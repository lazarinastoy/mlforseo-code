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hecklist" sheetId="2" state="visible" r:id="rId2"/>
    <sheet xmlns:r="http://schemas.openxmlformats.org/officeDocument/2006/relationships" name="Redirect map" sheetId="3" state="visible" r:id="rId3"/>
    <sheet xmlns:r="http://schemas.openxmlformats.org/officeDocument/2006/relationships" name="Progress" sheetId="4" state="visible" r:id="rId4"/>
  </sheets>
  <definedNames>
    <definedName name="_xlnm._FilterDatabase" localSheetId="1" hidden="1">'Checklist'!$A$1:$L$59</definedName>
    <definedName name="_xlnm._FilterDatabase" localSheetId="2" hidden="1">'Redirect map'!$A$4:$W$2004</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251046"/>
      <sz val="18"/>
    </font>
    <font>
      <name val="Arial"/>
      <color rgb="006B6480"/>
      <sz val="11"/>
    </font>
    <font>
      <name val="Arial"/>
      <b val="1"/>
      <color rgb="008448EF"/>
      <sz val="12"/>
    </font>
    <font>
      <name val="Arial"/>
      <color rgb="001A0B32"/>
      <sz val="10"/>
    </font>
    <font>
      <name val="Arial"/>
      <b val="1"/>
      <color rgb="001A0B32"/>
      <sz val="10"/>
    </font>
    <font>
      <name val="Arial"/>
      <color rgb="006B6480"/>
    </font>
    <font>
      <name val="Arial"/>
      <b val="1"/>
      <color rgb="004B2A99"/>
    </font>
    <font>
      <name val="Arial"/>
      <b val="1"/>
      <color rgb="001D6B3A"/>
    </font>
    <font>
      <name val="Arial"/>
      <color rgb="008A8A8A"/>
    </font>
    <font>
      <name val="Arial"/>
      <b val="1"/>
      <color rgb="00251046"/>
    </font>
    <font>
      <name val="Arial"/>
      <i val="1"/>
      <color rgb="006B6480"/>
      <sz val="9"/>
    </font>
    <font>
      <name val="Arial"/>
      <color rgb="008448EF"/>
      <sz val="10"/>
      <u val="single"/>
    </font>
    <font>
      <name val="Arial"/>
      <b val="1"/>
      <color rgb="00FFFFFF"/>
      <sz val="10"/>
    </font>
    <font>
      <name val="Arial"/>
      <i val="1"/>
      <color rgb="006B6480"/>
      <sz val="10"/>
    </font>
    <font>
      <name val="Arial"/>
      <color rgb="008448EF"/>
      <sz val="11"/>
    </font>
    <font>
      <name val="Arial"/>
      <b val="1"/>
      <color rgb="00251046"/>
      <sz val="12"/>
    </font>
    <font>
      <name val="Arial"/>
      <color rgb="008448EF"/>
      <sz val="10"/>
    </font>
  </fonts>
  <fills count="8">
    <fill>
      <patternFill/>
    </fill>
    <fill>
      <patternFill patternType="gray125"/>
    </fill>
    <fill>
      <patternFill patternType="solid">
        <fgColor rgb="00E6DCFB"/>
        <bgColor rgb="00E6DCFB"/>
      </patternFill>
    </fill>
    <fill>
      <patternFill patternType="solid">
        <fgColor rgb="00DDF3E4"/>
        <bgColor rgb="00DDF3E4"/>
      </patternFill>
    </fill>
    <fill>
      <patternFill patternType="solid">
        <fgColor rgb="00EEEEEE"/>
        <bgColor rgb="00EEEEEE"/>
      </patternFill>
    </fill>
    <fill>
      <patternFill patternType="solid">
        <fgColor rgb="00FFDE59"/>
        <bgColor rgb="00FFDE59"/>
      </patternFill>
    </fill>
    <fill>
      <patternFill patternType="solid">
        <fgColor rgb="00251046"/>
        <bgColor rgb="00251046"/>
      </patternFill>
    </fill>
    <fill>
      <patternFill patternType="solid">
        <fgColor rgb="006B6480"/>
        <bgColor rgb="006B6480"/>
      </patternFill>
    </fill>
  </fills>
  <borders count="2">
    <border>
      <left/>
      <right/>
      <top/>
      <bottom/>
      <diagonal/>
    </border>
    <border>
      <bottom style="thin">
        <color rgb="00DCD3F0"/>
      </bottom>
    </border>
  </borders>
  <cellStyleXfs count="1">
    <xf numFmtId="0" fontId="0" fillId="0" borderId="0"/>
  </cellStyleXfs>
  <cellXfs count="3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0" applyAlignment="1" pivotButton="0" quotePrefix="0" xfId="0">
      <alignment vertical="top" wrapText="1"/>
    </xf>
    <xf numFmtId="0" fontId="8" fillId="3" borderId="0" applyAlignment="1" pivotButton="0" quotePrefix="0" xfId="0">
      <alignment vertical="top" wrapText="1"/>
    </xf>
    <xf numFmtId="0" fontId="9" fillId="4" borderId="0" applyAlignment="1" pivotButton="0" quotePrefix="0" xfId="0">
      <alignment vertical="top" wrapText="1"/>
    </xf>
    <xf numFmtId="0" fontId="10" fillId="5"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3" fillId="6" borderId="0" applyAlignment="1" pivotButton="0" quotePrefix="0" xfId="0">
      <alignment vertical="center" wrapText="1"/>
    </xf>
    <xf numFmtId="0" fontId="4" fillId="0" borderId="1" applyAlignment="1" pivotButton="0" quotePrefix="0" xfId="0">
      <alignment horizontal="center"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12" fillId="0" borderId="1" applyAlignment="1" pivotButton="0" quotePrefix="0" xfId="0">
      <alignment vertical="top" wrapText="1"/>
    </xf>
    <xf numFmtId="0" fontId="5" fillId="0" borderId="0" applyAlignment="1" pivotButton="0" quotePrefix="0" xfId="0">
      <alignment vertical="center" wrapText="1"/>
    </xf>
    <xf numFmtId="0" fontId="4" fillId="5" borderId="0" applyAlignment="1" pivotButton="0" quotePrefix="0" xfId="0">
      <alignment horizontal="center" vertical="center"/>
    </xf>
    <xf numFmtId="0" fontId="13" fillId="7" borderId="0" applyAlignment="1" pivotButton="0" quotePrefix="0" xfId="0">
      <alignment vertical="center" wrapText="1"/>
    </xf>
    <xf numFmtId="0" fontId="14" fillId="0" borderId="0" applyAlignment="1" pivotButton="0" quotePrefix="0" xfId="0">
      <alignment vertical="top"/>
    </xf>
    <xf numFmtId="0" fontId="4" fillId="0" borderId="0" applyAlignment="1" pivotButton="0" quotePrefix="0" xfId="0">
      <alignment vertical="top"/>
    </xf>
    <xf numFmtId="0" fontId="14" fillId="0" borderId="0" applyAlignment="1" pivotButton="0" quotePrefix="0" xfId="0">
      <alignment vertical="top" wrapText="1"/>
    </xf>
    <xf numFmtId="0" fontId="1" fillId="0" borderId="0" pivotButton="0" quotePrefix="0" xfId="0"/>
    <xf numFmtId="0" fontId="11" fillId="0" borderId="0" pivotButton="0" quotePrefix="0" xfId="0"/>
    <xf numFmtId="0" fontId="5" fillId="0" borderId="0" pivotButton="0" quotePrefix="0" xfId="0"/>
    <xf numFmtId="0" fontId="4" fillId="0" borderId="0" applyAlignment="1" pivotButton="0" quotePrefix="0" xfId="0">
      <alignment horizontal="right"/>
    </xf>
    <xf numFmtId="9" fontId="3" fillId="0" borderId="0" pivotButton="0" quotePrefix="0" xfId="0"/>
    <xf numFmtId="0" fontId="15" fillId="0" borderId="0" pivotButton="0" quotePrefix="0" xfId="0"/>
    <xf numFmtId="0" fontId="16" fillId="5" borderId="0" pivotButton="0" quotePrefix="0" xfId="0"/>
    <xf numFmtId="9" fontId="4" fillId="0" borderId="0" applyAlignment="1" pivotButton="0" quotePrefix="0" xfId="0">
      <alignment horizontal="right"/>
    </xf>
    <xf numFmtId="0" fontId="17" fillId="0" borderId="0" pivotButton="0" quotePrefix="0" xfId="0"/>
    <xf numFmtId="0" fontId="13" fillId="6" borderId="0" pivotButton="0" quotePrefix="0" xfId="0"/>
    <xf numFmtId="0" fontId="3" fillId="0" borderId="0" pivotButton="0" quotePrefix="0" xfId="0"/>
  </cellXfs>
  <cellStyles count="1">
    <cellStyle name="Normal" xfId="0" builtinId="0" hidden="0"/>
  </cellStyles>
  <dxfs count="8">
    <dxf>
      <font>
        <name val="Arial"/>
        <b val="1"/>
        <color rgb="001D6B3A"/>
      </font>
      <fill>
        <patternFill patternType="solid">
          <fgColor rgb="00DDF3E4"/>
          <bgColor rgb="00DDF3E4"/>
        </patternFill>
      </fill>
    </dxf>
    <dxf>
      <font>
        <name val="Arial"/>
        <b val="1"/>
        <color rgb="004B2A99"/>
      </font>
      <fill>
        <patternFill patternType="solid">
          <fgColor rgb="00E6DCFB"/>
          <bgColor rgb="00E6DCFB"/>
        </patternFill>
      </fill>
    </dxf>
    <dxf>
      <font>
        <name val="Arial"/>
        <b val="1"/>
        <color rgb="008A8A8A"/>
      </font>
      <fill>
        <patternFill patternType="solid">
          <fgColor rgb="00EEEEEE"/>
          <bgColor rgb="00EEEEEE"/>
        </patternFill>
      </fill>
    </dxf>
    <dxf>
      <font>
        <name val="Arial"/>
        <color rgb="006B6480"/>
      </font>
    </dxf>
    <dxf>
      <font>
        <name val="Arial"/>
        <b val="1"/>
        <color rgb="00251046"/>
      </font>
      <fill>
        <patternFill patternType="solid">
          <fgColor rgb="00FFDE59"/>
          <bgColor rgb="00FFDE59"/>
        </patternFill>
      </fill>
    </dxf>
    <dxf>
      <fill>
        <patternFill patternType="solid">
          <fgColor rgb="00F4F0FD"/>
          <bgColor rgb="00F4F0FD"/>
        </patternFill>
      </fill>
    </dxf>
    <dxf>
      <font>
        <name val="Arial"/>
        <b val="1"/>
        <color rgb="009B1C1C"/>
      </font>
      <fill>
        <patternFill patternType="solid">
          <fgColor rgb="00FDE2E2"/>
          <bgColor rgb="00FDE2E2"/>
        </patternFill>
      </fill>
    </dxf>
    <dxf>
      <font>
        <name val="Arial"/>
        <b val="1"/>
        <color rgb="009B1C1C"/>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448EF"/>
    <outlinePr summaryBelow="1" summaryRight="1"/>
    <pageSetUpPr fitToPage="1"/>
  </sheetPr>
  <dimension ref="B2:C59"/>
  <sheetViews>
    <sheetView showGridLines="0" workbookViewId="0">
      <selection activeCell="A1" sqref="A1"/>
    </sheetView>
  </sheetViews>
  <sheetFormatPr baseColWidth="8" defaultRowHeight="15"/>
  <cols>
    <col width="3" customWidth="1" min="1" max="1"/>
    <col width="26" customWidth="1" min="2" max="2"/>
    <col width="92" customWidth="1" min="3" max="3"/>
  </cols>
  <sheetData>
    <row r="2" ht="30" customHeight="1">
      <c r="B2" s="1" t="inlineStr">
        <is>
          <t>SEO Site Migration Checklist + Redirect Mapping Workbook</t>
        </is>
      </c>
    </row>
    <row r="3" ht="36" customHeight="1">
      <c r="B3" s="2" t="inlineStr">
        <is>
          <t>43 checks across seven phases, plus a redirect map that takes the output of MLforSEO's fuzzy-matching notebooks and tracks QA for every URL. Free from MLforSEO, October 2026.</t>
        </is>
      </c>
    </row>
    <row r="5" ht="22" customHeight="1">
      <c r="B5" s="3" t="inlineStr">
        <is>
          <t>What this is</t>
        </is>
      </c>
    </row>
    <row r="6" ht="79" customHeight="1">
      <c r="B6" s="4" t="inlineStr">
        <is>
          <t>A phase-by-phase migration checklist (scope, benchmark, redirect mapping, staging, launch day, first weeks, first year) built on Google's site move documentation, linked to a redirect mapping workbook. Draft your redirects with fuzzy matching, paste the results in, make a decision for each old URL, and the workbook builds the final destination, an Apache rule and warning flags (home page redirects, chains, self-redirects, low scores), then tracks QA through to 'Live and verified'.</t>
        </is>
      </c>
    </row>
    <row r="7" ht="34" customHeight="1">
      <c r="B7" s="4" t="inlineStr">
        <is>
          <t>It covers domain changes, HTTP to HTTPS, URL structure changes and CMS replatforms. If your URLs aren't changing (a pure hosting move), follow Google's guide for moves without URL changes instead.</t>
        </is>
      </c>
    </row>
    <row r="9" ht="22" customHeight="1">
      <c r="B9" s="3" t="inlineStr">
        <is>
          <t>How to use it</t>
        </is>
      </c>
    </row>
    <row r="10" ht="19" customHeight="1">
      <c r="B10" s="5" t="inlineStr">
        <is>
          <t>Step 1</t>
        </is>
      </c>
      <c r="C10" s="4" t="inlineStr">
        <is>
          <t>Make your own copy (File &gt; Make a copy in Google Sheets).</t>
        </is>
      </c>
    </row>
    <row r="11" ht="34" customHeight="1">
      <c r="B11" s="5" t="inlineStr">
        <is>
          <t>Step 2</t>
        </is>
      </c>
      <c r="C11" s="4" t="inlineStr">
        <is>
          <t>Work through the Checklist tab phase by phase. Set Status, Owner and Notes as you go; mark anything that doesn't apply as N/A.</t>
        </is>
      </c>
    </row>
    <row r="12" ht="34" customHeight="1">
      <c r="B12" s="5" t="inlineStr">
        <is>
          <t>Step 3</t>
        </is>
      </c>
      <c r="C12" s="4" t="inlineStr">
        <is>
          <t>In phase 2, paste every old URL into column A of the Redirect map, with clicks and referring domains. Set your thresholds in the yellow cells at the top of that tab.</t>
        </is>
      </c>
    </row>
    <row r="13" ht="34" customHeight="1">
      <c r="B13" s="5" t="inlineStr">
        <is>
          <t>Step 4</t>
        </is>
      </c>
      <c r="C13" s="4" t="inlineStr">
        <is>
          <t>In phase 3, run a fuzzy-matching tool (see 'Which tool?' below) and paste its suggestions into columns E to J. Delete the example rows first.</t>
        </is>
      </c>
    </row>
    <row r="14" ht="34" customHeight="1">
      <c r="B14" s="5" t="inlineStr">
        <is>
          <t>Step 5</t>
        </is>
      </c>
      <c r="C14" s="4" t="inlineStr">
        <is>
          <t>Review each row and pick a Decision. Accepted rows use the suggestion; Override rows use the URL you type in column L. Columns M to P and T fill in automatically.</t>
        </is>
      </c>
    </row>
    <row r="15" ht="49" customHeight="1">
      <c r="B15" s="5" t="inlineStr">
        <is>
          <t>Step 6</t>
        </is>
      </c>
      <c r="C15" s="4" t="inlineStr">
        <is>
          <t>Before and after launch, crawl the old URLs in list mode and fill in Status code, Hops and 'Final URL returns 200?'. Move rows through QA status until they're 'Live and verified'.</t>
        </is>
      </c>
    </row>
    <row r="16" ht="19" customHeight="1">
      <c r="B16" s="5" t="inlineStr">
        <is>
          <t>Step 7</t>
        </is>
      </c>
      <c r="C16" s="4" t="inlineStr">
        <is>
          <t>Watch the Progress tab for open High-priority checks, undecided URLs and flags.</t>
        </is>
      </c>
    </row>
    <row r="18" ht="22" customHeight="1">
      <c r="B18" s="3" t="inlineStr">
        <is>
          <t>Which fuzzy-matching tool?</t>
        </is>
      </c>
    </row>
    <row r="19" ht="34" customHeight="1">
      <c r="B19" s="5" t="inlineStr">
        <is>
          <t>Under ~300 URLs</t>
        </is>
      </c>
      <c r="C19" s="4" t="inlineStr">
        <is>
          <t>Fuzzy Matching for SEO Google Sheets template (URL Redirection Mapping tab): www.mlforseo.com/resource/fuzzy-matching-for-seo-google-sheets-template/</t>
        </is>
      </c>
    </row>
    <row r="20" ht="34" customHeight="1">
      <c r="B20" s="5" t="inlineStr">
        <is>
          <t>Old site vs new site</t>
        </is>
      </c>
      <c r="C20" s="4" t="inlineStr">
        <is>
          <t>Triple fuzzy matching redirect notebook: matches pre- and post-migration crawls on Address, Title 1, H1-1, H2-1, H2-2 and Meta Description 1 with three algorithms.</t>
        </is>
      </c>
    </row>
    <row r="21" ht="34" customHeight="1">
      <c r="B21" s="5" t="inlineStr">
        <is>
          <t>404s to live pages</t>
        </is>
      </c>
      <c r="C21" s="4" t="inlineStr">
        <is>
          <t>Mapping 404 URLs to live pages notebook: four algorithms on the URL path, outputs .htaccess rules (scores are 0 to 1, so multiply by 100 for column G).</t>
        </is>
      </c>
    </row>
    <row r="22" ht="34" customHeight="1">
      <c r="B22" s="5" t="inlineStr">
        <is>
          <t>Python, free on GitHub</t>
        </is>
      </c>
      <c r="C22" s="4" t="inlineStr">
        <is>
          <t>fuzzy-matching-for-seo folder in lazarinastoy/mlforseo-code: redirect section outputs old_url, match, new_url, similarity, action.</t>
        </is>
      </c>
    </row>
    <row r="24" ht="22" customHeight="1">
      <c r="B24" s="3" t="inlineStr">
        <is>
          <t>Pasting notebook output into the Redirect map</t>
        </is>
      </c>
    </row>
    <row r="25" ht="34" customHeight="1">
      <c r="B25" s="5" t="inlineStr">
        <is>
          <t>Old URL (A)</t>
        </is>
      </c>
      <c r="C25" s="4" t="inlineStr">
        <is>
          <t>Pre-Migration value (triple notebook, Address rows) · 404 URL (404 notebook) · old_url (GitHub notebook) · old URL column (Sheets template)</t>
        </is>
      </c>
    </row>
    <row r="26" ht="49" customHeight="1">
      <c r="B26" s="5" t="inlineStr">
        <is>
          <t>Matched on (E)</t>
        </is>
      </c>
      <c r="C26" s="4" t="inlineStr">
        <is>
          <t>The column that generated the match: Address, Title 1, H1-1, H2-1, H2-2 or Meta Description 1. For title or heading matches, look up the URL that belongs to the matched value in your crawl before pasting.</t>
        </is>
      </c>
    </row>
    <row r="27" ht="19" customHeight="1">
      <c r="B27" s="5" t="inlineStr">
        <is>
          <t>Suggested new URL (F)</t>
        </is>
      </c>
      <c r="C27" s="4" t="inlineStr">
        <is>
          <t>Post-Migration match · live URL · new_url · most similar new URL</t>
        </is>
      </c>
    </row>
    <row r="28" ht="19" customHeight="1">
      <c r="B28" s="5" t="inlineStr">
        <is>
          <t>Similarity (G)</t>
        </is>
      </c>
      <c r="C28" s="4" t="inlineStr">
        <is>
          <t>Similarity score on a 0 to 100 scale (multiply 0 to 1 scores by 100)</t>
        </is>
      </c>
    </row>
    <row r="29" ht="34" customHeight="1">
      <c r="B29" s="5" t="inlineStr">
        <is>
          <t>Match type (H)</t>
        </is>
      </c>
      <c r="C29" s="4" t="inlineStr">
        <is>
          <t>Exact Match / Partial Match / No Suitable Match Found, or direct match / fuzzy match</t>
        </is>
      </c>
    </row>
    <row r="30" ht="34" customHeight="1">
      <c r="B30" s="5" t="inlineStr">
        <is>
          <t>Algorithm (I), agreeing (J)</t>
        </is>
      </c>
      <c r="C30" s="4" t="inlineStr">
        <is>
          <t>PolyFuzz (TF-IDF), RapidFuzz, TheFuzz / FuzzyWuzzy, Levenshtein. Put the number of algorithms that suggested the same URL in J: agreement is a good sign.</t>
        </is>
      </c>
    </row>
    <row r="32" ht="22" customHeight="1">
      <c r="B32" s="3" t="inlineStr">
        <is>
          <t>Status</t>
        </is>
      </c>
    </row>
    <row r="33" ht="19" customHeight="1">
      <c r="B33" s="6" t="inlineStr">
        <is>
          <t>Not started</t>
        </is>
      </c>
      <c r="C33" s="4" t="inlineStr">
        <is>
          <t>Default for every check.</t>
        </is>
      </c>
    </row>
    <row r="34" ht="19" customHeight="1">
      <c r="B34" s="7" t="inlineStr">
        <is>
          <t>In progress</t>
        </is>
      </c>
      <c r="C34" s="4" t="inlineStr">
        <is>
          <t>Someone is working on it.</t>
        </is>
      </c>
    </row>
    <row r="35" ht="19" customHeight="1">
      <c r="B35" s="8" t="inlineStr">
        <is>
          <t>Done</t>
        </is>
      </c>
      <c r="C35" s="4" t="inlineStr">
        <is>
          <t>Checked, and fixed if it needed fixing.</t>
        </is>
      </c>
    </row>
    <row r="36" ht="19" customHeight="1">
      <c r="B36" s="9" t="inlineStr">
        <is>
          <t>N/A</t>
        </is>
      </c>
      <c r="C36" s="4" t="inlineStr">
        <is>
          <t>Does not apply to this site. N/A rows are left out of the % complete.</t>
        </is>
      </c>
    </row>
    <row r="38" ht="22" customHeight="1">
      <c r="B38" s="3" t="inlineStr">
        <is>
          <t>Priority</t>
        </is>
      </c>
    </row>
    <row r="39" ht="19" customHeight="1">
      <c r="B39" s="10" t="inlineStr">
        <is>
          <t>High</t>
        </is>
      </c>
      <c r="C39" s="4" t="inlineStr">
        <is>
          <t>Skipping it risks lost traffic, broken indexing or lost link value.</t>
        </is>
      </c>
    </row>
    <row r="40" ht="19" customHeight="1">
      <c r="B40" s="5" t="inlineStr">
        <is>
          <t>Medium</t>
        </is>
      </c>
      <c r="C40" s="4" t="inlineStr">
        <is>
          <t>Reduces risk and speeds up recovery.</t>
        </is>
      </c>
    </row>
    <row r="41" ht="19" customHeight="1">
      <c r="B41" s="6" t="inlineStr">
        <is>
          <t>Low</t>
        </is>
      </c>
      <c r="C41" s="4" t="inlineStr">
        <is>
          <t>Tidy-up and documentation.</t>
        </is>
      </c>
    </row>
    <row r="43" ht="22" customHeight="1">
      <c r="B43" s="3" t="inlineStr">
        <is>
          <t>Evidence levels</t>
        </is>
      </c>
    </row>
    <row r="44" ht="19" customHeight="1">
      <c r="B44" s="5" t="inlineStr">
        <is>
          <t>Google-documented</t>
        </is>
      </c>
      <c r="C44" s="4" t="inlineStr">
        <is>
          <t>Stated in Google Search Central or Google Help documentation.</t>
        </is>
      </c>
    </row>
    <row r="45" ht="34" customHeight="1">
      <c r="B45" s="5" t="inlineStr">
        <is>
          <t>Platform-documented</t>
        </is>
      </c>
      <c r="C45" s="4" t="inlineStr">
        <is>
          <t>Stated in another platform's own documentation (OpenAI, Anthropic, Perplexity, Microsoft Bing, Apple, Meta, Wikidata / Wikimedia, schema.org).</t>
        </is>
      </c>
    </row>
    <row r="46" ht="34" customHeight="1">
      <c r="B46" s="5" t="inlineStr">
        <is>
          <t>Research-backed</t>
        </is>
      </c>
      <c r="C46" s="4" t="inlineStr">
        <is>
          <t>Supported by published research or a large public dataset. Results come from specific test conditions and may not carry over to every site.</t>
        </is>
      </c>
    </row>
    <row r="47" ht="34" customHeight="1">
      <c r="B47" s="5" t="inlineStr">
        <is>
          <t>MLforSEO practice</t>
        </is>
      </c>
      <c r="C47" s="4" t="inlineStr">
        <is>
          <t>What we teach in MLforSEO courses and use in audits, based on how retrieval and entity systems work. Sensible and low-risk, but not confirmed by the platforms.</t>
        </is>
      </c>
    </row>
    <row r="48" ht="19" customHeight="1">
      <c r="B48" s="5" t="inlineStr">
        <is>
          <t>Unconfirmed (optional)</t>
        </is>
      </c>
      <c r="C48" s="4" t="inlineStr">
        <is>
          <t>A cheap extra that no major platform has confirmed using. Do it last, if at all.</t>
        </is>
      </c>
    </row>
    <row r="50" ht="22" customHeight="1">
      <c r="B50" s="3" t="inlineStr">
        <is>
          <t>About the Apache rule column</t>
        </is>
      </c>
    </row>
    <row r="51" ht="60" customHeight="1">
      <c r="B51" s="11" t="inlineStr">
        <is>
          <t>Column P writes mod_alias rules such as 'Redirect 301 /old-page/ https://www.example.com/new-page/'. Redirect matches by prefix (it also catches /old-page/anything) and ignores query strings. Check the rules with your developer, order specific rules before general ones, or use RedirectMatch, nginx, CDN or CMS redirects instead. Columns M and O (destination and source path) work for any platform.</t>
        </is>
      </c>
    </row>
    <row r="53" ht="22" customHeight="1">
      <c r="B53" s="3" t="inlineStr">
        <is>
          <t>Credits</t>
        </is>
      </c>
    </row>
    <row r="54" ht="19" customHeight="1">
      <c r="B54" s="5" t="inlineStr">
        <is>
          <t>Created by</t>
        </is>
      </c>
      <c r="C54" s="12">
        <f>HYPERLINK("https://www.mlforseo.com/experts/lazarina-stoy/","Lazarina Stoy · MLforSEO")</f>
        <v/>
      </c>
    </row>
    <row r="55" ht="19" customHeight="1">
      <c r="B55" s="5" t="inlineStr">
        <is>
          <t>Read first</t>
        </is>
      </c>
      <c r="C55" s="12">
        <f>HYPERLINK("https://www.mlforseo.com/machine-learning-tutorials/fuzzy-matching/404-and-redirect-mapping-with-fuzzy-matching-in-google-colab-python/","404 and redirect mapping with fuzzy matching")</f>
        <v/>
      </c>
    </row>
    <row r="56" ht="19" customHeight="1">
      <c r="B56" s="5" t="inlineStr">
        <is>
          <t>Official guide</t>
        </is>
      </c>
      <c r="C56" s="12">
        <f>HYPERLINK("https://developers.google.com/search/docs/crawling-indexing/site-move-with-url-changes","Google: how to move a site with URL changes")</f>
        <v/>
      </c>
    </row>
    <row r="57" ht="19" customHeight="1">
      <c r="B57" s="5" t="inlineStr">
        <is>
          <t>Go deeper</t>
        </is>
      </c>
      <c r="C57" s="12">
        <f>HYPERLINK("https://www.mlforseo.com/courses/introduction-to-machine-learning-for-seo/","Introduction to Machine Learning for SEO (fuzzy matching module)")</f>
        <v/>
      </c>
    </row>
    <row r="58" ht="19" customHeight="1">
      <c r="B58" s="5" t="inlineStr">
        <is>
          <t>Source files</t>
        </is>
      </c>
      <c r="C58" s="12">
        <f>HYPERLINK("https://github.com/lazarinastoy/mlforseo-code/tree/main/site-migration-checklist","GitHub: lazarinastoy/mlforseo-code")</f>
        <v/>
      </c>
    </row>
    <row r="59" ht="18" customHeight="1">
      <c r="B59" s="11" t="inlineStr">
        <is>
          <t>Version 1.0, October 2026. Free to use and adapt (MIT licence); please keep the credit.</t>
        </is>
      </c>
    </row>
  </sheetData>
  <mergeCells count="15">
    <mergeCell ref="B6:C6"/>
    <mergeCell ref="B24:C24"/>
    <mergeCell ref="B2:C2"/>
    <mergeCell ref="B38:C38"/>
    <mergeCell ref="B7:C7"/>
    <mergeCell ref="B3:C3"/>
    <mergeCell ref="B5:C5"/>
    <mergeCell ref="B51:C51"/>
    <mergeCell ref="B59:C59"/>
    <mergeCell ref="B32:C32"/>
    <mergeCell ref="B50:C50"/>
    <mergeCell ref="B9:C9"/>
    <mergeCell ref="B53:C53"/>
    <mergeCell ref="B18:C18"/>
    <mergeCell ref="B43:C43"/>
  </mergeCells>
  <printOptions gridLines="0"/>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L5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0" customWidth="1" min="2" max="2"/>
    <col width="44" customWidth="1" min="3" max="3"/>
    <col width="46" customWidth="1" min="4" max="4"/>
    <col width="46" customWidth="1" min="5" max="5"/>
    <col width="10" customWidth="1" min="6" max="6"/>
    <col width="17" customWidth="1" min="7" max="7"/>
    <col width="13" customWidth="1" min="8" max="8"/>
    <col width="13" customWidth="1" min="9" max="9"/>
    <col width="28" customWidth="1" min="10" max="10"/>
    <col width="30" customWidth="1" min="11" max="11"/>
    <col width="30" customWidth="1" min="12" max="12"/>
  </cols>
  <sheetData>
    <row r="1" ht="30" customHeight="1">
      <c r="A1" s="13" t="inlineStr">
        <is>
          <t>ID</t>
        </is>
      </c>
      <c r="B1" s="13" t="inlineStr">
        <is>
          <t>Phase</t>
        </is>
      </c>
      <c r="C1" s="13" t="inlineStr">
        <is>
          <t>Check</t>
        </is>
      </c>
      <c r="D1" s="13" t="inlineStr">
        <is>
          <t>Why it matters</t>
        </is>
      </c>
      <c r="E1" s="13" t="inlineStr">
        <is>
          <t>How to check (tool / where)</t>
        </is>
      </c>
      <c r="F1" s="13" t="inlineStr">
        <is>
          <t>Priority</t>
        </is>
      </c>
      <c r="G1" s="13" t="inlineStr">
        <is>
          <t>Evidence</t>
        </is>
      </c>
      <c r="H1" s="13" t="inlineStr">
        <is>
          <t>Status</t>
        </is>
      </c>
      <c r="I1" s="13" t="inlineStr">
        <is>
          <t>Owner</t>
        </is>
      </c>
      <c r="J1" s="13" t="inlineStr">
        <is>
          <t>Notes</t>
        </is>
      </c>
      <c r="K1" s="13" t="inlineStr">
        <is>
          <t>Learn more</t>
        </is>
      </c>
      <c r="L1" s="13" t="inlineStr">
        <is>
          <t>Official source</t>
        </is>
      </c>
    </row>
    <row r="2" ht="81" customHeight="1">
      <c r="A2" s="14" t="inlineStr">
        <is>
          <t>M01</t>
        </is>
      </c>
      <c r="B2" s="15" t="inlineStr">
        <is>
          <t>1. Scope &amp; plan</t>
        </is>
      </c>
      <c r="C2" s="16" t="inlineStr">
        <is>
          <t>Write down exactly what is changing: domain, protocol, URL structure, CMS, design, hosting</t>
        </is>
      </c>
      <c r="D2" s="15" t="inlineStr">
        <is>
          <t>Each kind of change carries different risks and needs different steps. A hosting move with no URL changes needs no redirects; a domain change needs redirects and the Change of Address tool.</t>
        </is>
      </c>
      <c r="E2" s="15" t="inlineStr">
        <is>
          <t>List every change in the Notes column. If URLs don't change, follow Google's 'moving hosting without URL changes' guide instead of this full process.</t>
        </is>
      </c>
      <c r="F2" s="14" t="inlineStr">
        <is>
          <t>High</t>
        </is>
      </c>
      <c r="G2" s="15" t="inlineStr">
        <is>
          <t>Google-documented</t>
        </is>
      </c>
      <c r="H2" s="14" t="inlineStr">
        <is>
          <t>Not started</t>
        </is>
      </c>
      <c r="I2" s="15" t="inlineStr"/>
      <c r="J2" s="15" t="inlineStr"/>
      <c r="K2" s="15" t="inlineStr"/>
      <c r="L2" s="17">
        <f>HYPERLINK("https://developers.google.com/search/docs/crawling-indexing/site-move-with-url-changes","Google: how to move a site (URL changes)")</f>
        <v/>
      </c>
    </row>
    <row r="3" ht="66" customHeight="1">
      <c r="A3" s="14" t="inlineStr">
        <is>
          <t>M02</t>
        </is>
      </c>
      <c r="B3" s="15" t="inlineStr">
        <is>
          <t>1. Scope &amp; plan</t>
        </is>
      </c>
      <c r="C3" s="16" t="inlineStr">
        <is>
          <t>Change one thing at a time where you can</t>
        </is>
      </c>
      <c r="D3" s="15" t="inlineStr">
        <is>
          <t>Google recommends moving domain first and redesigning later, for example. Stacking changes makes it hard to tell what caused a drop.</t>
        </is>
      </c>
      <c r="E3" s="15" t="inlineStr">
        <is>
          <t>Agree the order of changes with stakeholders. If everything must ship together, plan extra benchmarking and monitoring.</t>
        </is>
      </c>
      <c r="F3" s="14" t="inlineStr">
        <is>
          <t>Medium</t>
        </is>
      </c>
      <c r="G3" s="15" t="inlineStr">
        <is>
          <t>Google-documented</t>
        </is>
      </c>
      <c r="H3" s="14" t="inlineStr">
        <is>
          <t>Not started</t>
        </is>
      </c>
      <c r="I3" s="15" t="inlineStr"/>
      <c r="J3" s="15" t="inlineStr"/>
      <c r="K3" s="15" t="inlineStr"/>
      <c r="L3" s="17">
        <f>HYPERLINK("https://developers.google.com/search/docs/crawling-indexing/site-move-with-url-changes","Google: how to move a site (URL changes)")</f>
        <v/>
      </c>
    </row>
    <row r="4" ht="66" customHeight="1">
      <c r="A4" s="14" t="inlineStr">
        <is>
          <t>M03</t>
        </is>
      </c>
      <c r="B4" s="15" t="inlineStr">
        <is>
          <t>1. Scope &amp; plan</t>
        </is>
      </c>
      <c r="C4" s="16" t="inlineStr">
        <is>
          <t>Decide whether to move everything at once or in sections</t>
        </is>
      </c>
      <c r="D4" s="15" t="inlineStr">
        <is>
          <t>Google recommends moving small and medium sites all at once, and suggests large sites can move section by section to spot problems early.</t>
        </is>
      </c>
      <c r="E4" s="15" t="inlineStr">
        <is>
          <t>Size the site from a crawl and the sitemap. For large sites, pick a test section that changes rarely and isn't driven by unpredictable events.</t>
        </is>
      </c>
      <c r="F4" s="14" t="inlineStr">
        <is>
          <t>Medium</t>
        </is>
      </c>
      <c r="G4" s="15" t="inlineStr">
        <is>
          <t>Google-documented</t>
        </is>
      </c>
      <c r="H4" s="14" t="inlineStr">
        <is>
          <t>Not started</t>
        </is>
      </c>
      <c r="I4" s="15" t="inlineStr"/>
      <c r="J4" s="15" t="inlineStr"/>
      <c r="K4" s="15" t="inlineStr"/>
      <c r="L4" s="17">
        <f>HYPERLINK("https://developers.google.com/search/docs/crawling-indexing/site-move-with-url-changes","Google: how to move a site (URL changes)")</f>
        <v/>
      </c>
    </row>
    <row r="5" ht="66" customHeight="1">
      <c r="A5" s="14" t="inlineStr">
        <is>
          <t>M04</t>
        </is>
      </c>
      <c r="B5" s="15" t="inlineStr">
        <is>
          <t>1. Scope &amp; plan</t>
        </is>
      </c>
      <c r="C5" s="16" t="inlineStr">
        <is>
          <t>Pick a launch window in a quieter traffic period, with a freeze and a rollback plan</t>
        </is>
      </c>
      <c r="D5" s="15" t="inlineStr">
        <is>
          <t>Fewer users meet any problems, and more server capacity is left for Googlebot's extra crawling after the move.</t>
        </is>
      </c>
      <c r="E5" s="15" t="inlineStr">
        <is>
          <t>Check seasonality in analytics. Avoid launches before weekends or holidays. Agree a content and code freeze, who can sign off, and how to roll back.</t>
        </is>
      </c>
      <c r="F5" s="14" t="inlineStr">
        <is>
          <t>Medium</t>
        </is>
      </c>
      <c r="G5" s="15" t="inlineStr">
        <is>
          <t>Google-documented</t>
        </is>
      </c>
      <c r="H5" s="14" t="inlineStr">
        <is>
          <t>Not started</t>
        </is>
      </c>
      <c r="I5" s="15" t="inlineStr"/>
      <c r="J5" s="15" t="inlineStr"/>
      <c r="K5" s="15" t="inlineStr"/>
      <c r="L5" s="17">
        <f>HYPERLINK("https://developers.google.com/search/docs/crawling-indexing/site-move-with-url-changes","Google: how to move a site (URL changes)")</f>
        <v/>
      </c>
    </row>
    <row r="6" ht="81" customHeight="1">
      <c r="A6" s="14" t="inlineStr">
        <is>
          <t>M05</t>
        </is>
      </c>
      <c r="B6" s="15" t="inlineStr">
        <is>
          <t>1. Scope &amp; plan</t>
        </is>
      </c>
      <c r="C6" s="16" t="inlineStr">
        <is>
          <t>Set expectations: rankings fluctuate, and a medium site can take a few weeks or more to settle</t>
        </is>
      </c>
      <c r="D6" s="15" t="inlineStr">
        <is>
          <t>Google says visibility may fluctuate while it recrawls; medium sites can take a few weeks or more for new URLs to replace old ones, larger sites longer. Agreeing this upfront avoids panic decisions.</t>
        </is>
      </c>
      <c r="E6" s="15" t="inlineStr">
        <is>
          <t>Share the timeline and the KPIs you'll report on (indexed URLs, organic clicks by section, key conversions) with stakeholders before launch.</t>
        </is>
      </c>
      <c r="F6" s="14" t="inlineStr">
        <is>
          <t>Medium</t>
        </is>
      </c>
      <c r="G6" s="15" t="inlineStr">
        <is>
          <t>Google-documented</t>
        </is>
      </c>
      <c r="H6" s="14" t="inlineStr">
        <is>
          <t>Not started</t>
        </is>
      </c>
      <c r="I6" s="15" t="inlineStr"/>
      <c r="J6" s="15" t="inlineStr"/>
      <c r="K6" s="15" t="inlineStr"/>
      <c r="L6" s="17">
        <f>HYPERLINK("https://developers.google.com/search/docs/crawling-indexing/site-move-with-url-changes","Google: how to move a site (URL changes)")</f>
        <v/>
      </c>
    </row>
    <row r="7" ht="81" customHeight="1">
      <c r="A7" s="14" t="inlineStr">
        <is>
          <t>M06</t>
        </is>
      </c>
      <c r="B7" s="15" t="inlineStr">
        <is>
          <t>1. Scope &amp; plan</t>
        </is>
      </c>
      <c r="C7" s="16" t="inlineStr">
        <is>
          <t>Keep the old domain registered (at least a year, ideally for good) with a valid TLS certificate</t>
        </is>
      </c>
      <c r="D7" s="15" t="inlineStr">
        <is>
          <t>Google recommends paying for the old domain for at least a year so nobody else can buy and misuse it. Redirects from https:// URLs also need a working certificate on the old host.</t>
        </is>
      </c>
      <c r="E7" s="15" t="inlineStr">
        <is>
          <t>Check the registrar renewal date and auto-renew. Confirm the old host keeps serving HTTPS long enough to return the redirects.</t>
        </is>
      </c>
      <c r="F7" s="14" t="inlineStr">
        <is>
          <t>High</t>
        </is>
      </c>
      <c r="G7" s="15" t="inlineStr">
        <is>
          <t>Google-documented</t>
        </is>
      </c>
      <c r="H7" s="14" t="inlineStr">
        <is>
          <t>Not started</t>
        </is>
      </c>
      <c r="I7" s="15" t="inlineStr"/>
      <c r="J7" s="15" t="inlineStr"/>
      <c r="K7" s="15" t="inlineStr"/>
      <c r="L7" s="17">
        <f>HYPERLINK("https://support.google.com/webmasters/answer/9370220","Google Help: Change of Address tool")</f>
        <v/>
      </c>
    </row>
    <row r="8" ht="81" customHeight="1">
      <c r="A8" s="14" t="inlineStr">
        <is>
          <t>M07</t>
        </is>
      </c>
      <c r="B8" s="15" t="inlineStr">
        <is>
          <t>2. Benchmark</t>
        </is>
      </c>
      <c r="C8" s="16" t="inlineStr">
        <is>
          <t>Crawl the old site in full and save the export</t>
        </is>
      </c>
      <c r="D8" s="15" t="inlineStr">
        <is>
          <t>The crawl is your record of what existed: URLs, status codes, titles, H1s, H2s, meta descriptions, canonicals, hreflang and structured data. It also feeds the fuzzy-matching notebook.</t>
        </is>
      </c>
      <c r="E8" s="15" t="inlineStr">
        <is>
          <t>Screaming Frog (or similar) with the Internal: HTML export; keep Address, Title 1, H1-1, H2-1, H2-2 and Meta Description 1 for redirect matching. Store the file with the launch date.</t>
        </is>
      </c>
      <c r="F8" s="14" t="inlineStr">
        <is>
          <t>High</t>
        </is>
      </c>
      <c r="G8" s="15" t="inlineStr">
        <is>
          <t>MLforSEO practice</t>
        </is>
      </c>
      <c r="H8" s="14" t="inlineStr">
        <is>
          <t>Not started</t>
        </is>
      </c>
      <c r="I8" s="15" t="inlineStr"/>
      <c r="J8" s="15" t="inlineStr"/>
      <c r="K8" s="17">
        <f>HYPERLINK("https://www.mlforseo.com/resource/automated-redirect-mapping-with-triple-fuzzy-matching-for-site-migrations-notebook/","Triple fuzzy matching redirect notebook")</f>
        <v/>
      </c>
      <c r="L8" s="15" t="inlineStr"/>
    </row>
    <row r="9" ht="66" customHeight="1">
      <c r="A9" s="14" t="inlineStr">
        <is>
          <t>M08</t>
        </is>
      </c>
      <c r="B9" s="15" t="inlineStr">
        <is>
          <t>2. Benchmark</t>
        </is>
      </c>
      <c r="C9" s="16" t="inlineStr">
        <is>
          <t>Export Search Console and analytics data per URL</t>
        </is>
      </c>
      <c r="D9" s="15" t="inlineStr">
        <is>
          <t>You need before-and-after numbers by page and section, and the old property's data becomes harder to compare once URLs change.</t>
        </is>
      </c>
      <c r="E9" s="15" t="inlineStr">
        <is>
          <t>Search Console: page and query performance for the last 16 months, Page indexing report, Links report. GA4: landing pages with sessions and key events.</t>
        </is>
      </c>
      <c r="F9" s="14" t="inlineStr">
        <is>
          <t>High</t>
        </is>
      </c>
      <c r="G9" s="15" t="inlineStr">
        <is>
          <t>Google-documented</t>
        </is>
      </c>
      <c r="H9" s="14" t="inlineStr">
        <is>
          <t>Not started</t>
        </is>
      </c>
      <c r="I9" s="15" t="inlineStr"/>
      <c r="J9" s="15" t="inlineStr"/>
      <c r="K9" s="15" t="inlineStr"/>
      <c r="L9" s="17">
        <f>HYPERLINK("https://developers.google.com/search/docs/crawling-indexing/site-move-with-url-changes","Google: how to move a site (URL changes)")</f>
        <v/>
      </c>
    </row>
    <row r="10" ht="81" customHeight="1">
      <c r="A10" s="14" t="inlineStr">
        <is>
          <t>M09</t>
        </is>
      </c>
      <c r="B10" s="15" t="inlineStr">
        <is>
          <t>2. Benchmark</t>
        </is>
      </c>
      <c r="C10" s="16" t="inlineStr">
        <is>
          <t>List every old URL that needs a decision, including images, PDFs and video</t>
        </is>
      </c>
      <c r="D10" s="15" t="inlineStr">
        <is>
          <t>Google suggests starting with your most important URLs and including embedded content such as images, videos, PDFs, JavaScript and CSS, which may be getting traffic or links.</t>
        </is>
      </c>
      <c r="E10" s="15" t="inlineStr">
        <is>
          <t>Combine sitemaps, the crawl, server logs, analytics landing pages, the Search Console Links report and a CMS export. Deduplicate into the Redirect map tab.</t>
        </is>
      </c>
      <c r="F10" s="14" t="inlineStr">
        <is>
          <t>High</t>
        </is>
      </c>
      <c r="G10" s="15" t="inlineStr">
        <is>
          <t>Google-documented</t>
        </is>
      </c>
      <c r="H10" s="14" t="inlineStr">
        <is>
          <t>Not started</t>
        </is>
      </c>
      <c r="I10" s="15" t="inlineStr"/>
      <c r="J10" s="15" t="inlineStr"/>
      <c r="K10" s="17">
        <f>HYPERLINK("https://www.mlforseo.com/machine-learning-tutorials/fuzzy-matching/404-and-redirect-mapping-with-fuzzy-matching-in-google-colab-python/","404 and redirect mapping with fuzzy matching")</f>
        <v/>
      </c>
      <c r="L10" s="17">
        <f>HYPERLINK("https://developers.google.com/search/docs/crawling-indexing/site-move-with-url-changes","Google: how to move a site (URL changes)")</f>
        <v/>
      </c>
    </row>
    <row r="11" ht="66" customHeight="1">
      <c r="A11" s="14" t="inlineStr">
        <is>
          <t>M10</t>
        </is>
      </c>
      <c r="B11" s="15" t="inlineStr">
        <is>
          <t>2. Benchmark</t>
        </is>
      </c>
      <c r="C11" s="16" t="inlineStr">
        <is>
          <t>Export the pages with backlinks and save the list of linking sites</t>
        </is>
      </c>
      <c r="D11" s="15" t="inlineStr">
        <is>
          <t>Old URLs with links pass their value on through permanent redirects. You'll also contact the most valuable linking sites after launch.</t>
        </is>
      </c>
      <c r="E11" s="15" t="inlineStr">
        <is>
          <t>Search Console &gt; Links (top linked pages and linking sites), plus Ahrefs or Semrush if you have them. Add referring domains to the Redirect map.</t>
        </is>
      </c>
      <c r="F11" s="14" t="inlineStr">
        <is>
          <t>High</t>
        </is>
      </c>
      <c r="G11" s="15" t="inlineStr">
        <is>
          <t>Google-documented</t>
        </is>
      </c>
      <c r="H11" s="14" t="inlineStr">
        <is>
          <t>Not started</t>
        </is>
      </c>
      <c r="I11" s="15" t="inlineStr"/>
      <c r="J11" s="15" t="inlineStr"/>
      <c r="K11" s="15" t="inlineStr"/>
      <c r="L11" s="17">
        <f>HYPERLINK("https://developers.google.com/search/docs/crawling-indexing/site-move-with-url-changes","Google: how to move a site (URL changes)")</f>
        <v/>
      </c>
    </row>
    <row r="12" ht="81" customHeight="1">
      <c r="A12" s="14" t="inlineStr">
        <is>
          <t>M11</t>
        </is>
      </c>
      <c r="B12" s="15" t="inlineStr">
        <is>
          <t>2. Benchmark</t>
        </is>
      </c>
      <c r="C12" s="16" t="inlineStr">
        <is>
          <t>Record your AI search and SERP feature baseline</t>
        </is>
      </c>
      <c r="D12" s="15" t="inlineStr">
        <is>
          <t>Migrations can break the URLs AI assistants and SERP features cite. A baseline shows whether you lost citations, rich results or a knowledge panel link.</t>
        </is>
      </c>
      <c r="E12" s="15" t="inlineStr">
        <is>
          <t>Note rich results by type (Search Console Enhancements), AI Overview appearances for key queries, and a quick citation check in ChatGPT, Perplexity and Gemini for your top questions.</t>
        </is>
      </c>
      <c r="F12" s="14" t="inlineStr">
        <is>
          <t>Medium</t>
        </is>
      </c>
      <c r="G12" s="15" t="inlineStr">
        <is>
          <t>MLforSEO practice</t>
        </is>
      </c>
      <c r="H12" s="14" t="inlineStr">
        <is>
          <t>Not started</t>
        </is>
      </c>
      <c r="I12" s="15" t="inlineStr"/>
      <c r="J12" s="15" t="inlineStr"/>
      <c r="K12" s="17">
        <f>HYPERLINK("https://www.mlforseo.com/machine-learning-implementation-guides/ai-search-optimisation/rank-tracker-ai-search-measurement/","Your rank tracker is lying to you about AI search")</f>
        <v/>
      </c>
      <c r="L12" s="15" t="inlineStr"/>
    </row>
    <row r="13" ht="66" customHeight="1">
      <c r="A13" s="14" t="inlineStr">
        <is>
          <t>M12</t>
        </is>
      </c>
      <c r="B13" s="15" t="inlineStr">
        <is>
          <t>3. Redirect mapping</t>
        </is>
      </c>
      <c r="C13" s="16" t="inlineStr">
        <is>
          <t>Map every old URL to its closest equivalent new URL, one to one where possible</t>
        </is>
      </c>
      <c r="D13" s="15" t="inlineStr">
        <is>
          <t>Relevant one-to-one redirects keep users and signals on the right page. Google recommends a full old-to-new mapping for any move beyond a simple domain swap.</t>
        </is>
      </c>
      <c r="E13" s="15" t="inlineStr">
        <is>
          <t>Use the Redirect map tab. For a straight domain change with identical paths, a wildcard rule may be enough; still test a sample.</t>
        </is>
      </c>
      <c r="F13" s="14" t="inlineStr">
        <is>
          <t>High</t>
        </is>
      </c>
      <c r="G13" s="15" t="inlineStr">
        <is>
          <t>Google-documented</t>
        </is>
      </c>
      <c r="H13" s="14" t="inlineStr">
        <is>
          <t>Not started</t>
        </is>
      </c>
      <c r="I13" s="15" t="inlineStr"/>
      <c r="J13" s="15" t="inlineStr"/>
      <c r="K13" s="17">
        <f>HYPERLINK("https://www.mlforseo.com/machine-learning-tutorials/fuzzy-matching/404-and-redirect-mapping-with-fuzzy-matching-in-google-colab-python/","404 and redirect mapping with fuzzy matching")</f>
        <v/>
      </c>
      <c r="L13" s="17">
        <f>HYPERLINK("https://developers.google.com/search/docs/crawling-indexing/site-move-with-url-changes","Google: how to move a site (URL changes)")</f>
        <v/>
      </c>
    </row>
    <row r="14" ht="81" customHeight="1">
      <c r="A14" s="14" t="inlineStr">
        <is>
          <t>M13</t>
        </is>
      </c>
      <c r="B14" s="15" t="inlineStr">
        <is>
          <t>3. Redirect mapping</t>
        </is>
      </c>
      <c r="C14" s="16" t="inlineStr">
        <is>
          <t>Draft the map at scale with fuzzy matching, then review it</t>
        </is>
      </c>
      <c r="D14" s="15" t="inlineStr">
        <is>
          <t>Matching hundreds or thousands of URLs by hand takes days. Fuzzy matching on URL, title, H1, H2 and meta description shortlists the best candidates in minutes.</t>
        </is>
      </c>
      <c r="E14" s="15" t="inlineStr">
        <is>
          <t>Under about 300 URLs: the MLforSEO fuzzy matching Google Sheets template. Larger: the triple fuzzy matching notebook (old vs new crawl) or the 404 mapping notebook. Paste results into the Redirect map tab.</t>
        </is>
      </c>
      <c r="F14" s="14" t="inlineStr">
        <is>
          <t>Medium</t>
        </is>
      </c>
      <c r="G14" s="15" t="inlineStr">
        <is>
          <t>MLforSEO practice</t>
        </is>
      </c>
      <c r="H14" s="14" t="inlineStr">
        <is>
          <t>Not started</t>
        </is>
      </c>
      <c r="I14" s="15" t="inlineStr"/>
      <c r="J14" s="15" t="inlineStr"/>
      <c r="K14" s="17">
        <f>HYPERLINK("https://www.mlforseo.com/resource/automated-redirect-mapping-with-triple-fuzzy-matching-for-site-migrations-notebook/","Triple fuzzy matching redirect notebook")</f>
        <v/>
      </c>
      <c r="L14" s="17">
        <f>HYPERLINK("https://www.mlforseo.com/resource/fuzzy-matching-for-seo-google-sheets-template/","Fuzzy matching Google Sheets template")</f>
        <v/>
      </c>
    </row>
    <row r="15" ht="81" customHeight="1">
      <c r="A15" s="14" t="inlineStr">
        <is>
          <t>M14</t>
        </is>
      </c>
      <c r="B15" s="15" t="inlineStr">
        <is>
          <t>3. Redirect mapping</t>
        </is>
      </c>
      <c r="C15" s="16" t="inlineStr">
        <is>
          <t>Review every partial or low-scoring match by hand</t>
        </is>
      </c>
      <c r="D15" s="15" t="inlineStr">
        <is>
          <t>String similarity has no understanding of meaning or intent. Two similar slugs can be different products; a strong score can still be wrong for the user.</t>
        </is>
      </c>
      <c r="E15" s="15" t="inlineStr">
        <is>
          <t>Sort the Redirect map by Similarity. Validate a sample to choose your own threshold, accept only above it, and set a Decision for everything below. Matches where several algorithms agree are safer.</t>
        </is>
      </c>
      <c r="F15" s="14" t="inlineStr">
        <is>
          <t>High</t>
        </is>
      </c>
      <c r="G15" s="15" t="inlineStr">
        <is>
          <t>MLforSEO practice</t>
        </is>
      </c>
      <c r="H15" s="14" t="inlineStr">
        <is>
          <t>Not started</t>
        </is>
      </c>
      <c r="I15" s="15" t="inlineStr"/>
      <c r="J15" s="15" t="inlineStr"/>
      <c r="K15" s="17">
        <f>HYPERLINK("https://www.mlforseo.com/machine-learning-tutorials/fuzzy-matching/404-and-redirect-mapping-with-fuzzy-matching-in-google-colab-python/","404 and redirect mapping with fuzzy matching")</f>
        <v/>
      </c>
      <c r="L15" s="15" t="inlineStr"/>
    </row>
    <row r="16" ht="66" customHeight="1">
      <c r="A16" s="14" t="inlineStr">
        <is>
          <t>M15</t>
        </is>
      </c>
      <c r="B16" s="15" t="inlineStr">
        <is>
          <t>3. Redirect mapping</t>
        </is>
      </c>
      <c r="C16" s="16" t="inlineStr">
        <is>
          <t>Don't redirect lots of old URLs to the home page or an unrelated page</t>
        </is>
      </c>
      <c r="D16" s="15" t="inlineStr">
        <is>
          <t>Google may treat irrelevant redirects as soft 404s, and they confuse users. Redirecting several old pages to one new page that consolidates their content is fine.</t>
        </is>
      </c>
      <c r="E16" s="15" t="inlineStr">
        <is>
          <t>Check the Flags column in the Redirect map for 'Home page redirect'. For content with no equivalent, choose 410 or 404 instead.</t>
        </is>
      </c>
      <c r="F16" s="14" t="inlineStr">
        <is>
          <t>High</t>
        </is>
      </c>
      <c r="G16" s="15" t="inlineStr">
        <is>
          <t>Google-documented</t>
        </is>
      </c>
      <c r="H16" s="14" t="inlineStr">
        <is>
          <t>Not started</t>
        </is>
      </c>
      <c r="I16" s="15" t="inlineStr"/>
      <c r="J16" s="15" t="inlineStr"/>
      <c r="K16" s="17">
        <f>HYPERLINK("https://www.mlforseo.com/machine-learning-tutorials/fuzzy-matching/404-and-redirect-mapping-with-fuzzy-matching-in-google-colab-python/","404 and redirect mapping with fuzzy matching")</f>
        <v/>
      </c>
      <c r="L16" s="17">
        <f>HYPERLINK("https://developers.google.com/search/docs/crawling-indexing/http-network-errors","Google: HTTP status codes and soft 404s")</f>
        <v/>
      </c>
    </row>
    <row r="17" ht="51" customHeight="1">
      <c r="A17" s="14" t="inlineStr">
        <is>
          <t>M16</t>
        </is>
      </c>
      <c r="B17" s="15" t="inlineStr">
        <is>
          <t>3. Redirect mapping</t>
        </is>
      </c>
      <c r="C17" s="16" t="inlineStr">
        <is>
          <t>Content you're retiring returns 404 or 410</t>
        </is>
      </c>
      <c r="D17" s="15" t="inlineStr">
        <is>
          <t>Google's guide asks for a 404 or 410 on deleted content rather than a redirect to something unrelated.</t>
        </is>
      </c>
      <c r="E17" s="15" t="inlineStr">
        <is>
          <t>Set Decision to '410 Gone' or '404' in the Redirect map. Make sure the 404 page returns a real 404 status code.</t>
        </is>
      </c>
      <c r="F17" s="14" t="inlineStr">
        <is>
          <t>Medium</t>
        </is>
      </c>
      <c r="G17" s="15" t="inlineStr">
        <is>
          <t>Google-documented</t>
        </is>
      </c>
      <c r="H17" s="14" t="inlineStr">
        <is>
          <t>Not started</t>
        </is>
      </c>
      <c r="I17" s="15" t="inlineStr"/>
      <c r="J17" s="15" t="inlineStr"/>
      <c r="K17" s="15" t="inlineStr"/>
      <c r="L17" s="17">
        <f>HYPERLINK("https://developers.google.com/search/docs/crawling-indexing/site-move-with-url-changes","Google: how to move a site (URL changes)")</f>
        <v/>
      </c>
    </row>
    <row r="18" ht="81" customHeight="1">
      <c r="A18" s="14" t="inlineStr">
        <is>
          <t>M17</t>
        </is>
      </c>
      <c r="B18" s="15" t="inlineStr">
        <is>
          <t>3. Redirect mapping</t>
        </is>
      </c>
      <c r="C18" s="16" t="inlineStr">
        <is>
          <t>Plan server-side permanent redirects (301 or 308) straight to the final URL</t>
        </is>
      </c>
      <c r="D18" s="15" t="inlineStr">
        <is>
          <t>Permanent redirects don't lose PageRank. Googlebot follows up to 10 hops, but Google advises redirecting to the final destination directly, and ideally no more than 3 hops.</t>
        </is>
      </c>
      <c r="E18" s="15" t="inlineStr">
        <is>
          <t>Agree the implementation with developers: server config (.htaccess, nginx), CDN rules or the CMS. Client-side (JavaScript or meta refresh) redirects are a last resort.</t>
        </is>
      </c>
      <c r="F18" s="14" t="inlineStr">
        <is>
          <t>High</t>
        </is>
      </c>
      <c r="G18" s="15" t="inlineStr">
        <is>
          <t>Google-documented</t>
        </is>
      </c>
      <c r="H18" s="14" t="inlineStr">
        <is>
          <t>Not started</t>
        </is>
      </c>
      <c r="I18" s="15" t="inlineStr"/>
      <c r="J18" s="15" t="inlineStr"/>
      <c r="K18" s="15" t="inlineStr"/>
      <c r="L18" s="17">
        <f>HYPERLINK("https://developers.google.com/search/docs/crawling-indexing/301-redirects","Google: redirects and Google Search")</f>
        <v/>
      </c>
    </row>
    <row r="19" ht="51" customHeight="1">
      <c r="A19" s="14" t="inlineStr">
        <is>
          <t>M18</t>
        </is>
      </c>
      <c r="B19" s="15" t="inlineStr">
        <is>
          <t>3. Redirect mapping</t>
        </is>
      </c>
      <c r="C19" s="16" t="inlineStr">
        <is>
          <t>Update existing redirects so they point at the new final URLs</t>
        </is>
      </c>
      <c r="D19" s="15" t="inlineStr">
        <is>
          <t>Redirects from earlier migrations will otherwise chain through the old site (old &gt; older &gt; new).</t>
        </is>
      </c>
      <c r="E19" s="15" t="inlineStr">
        <is>
          <t>Export current redirect rules, run them through the same mapping, and rewrite each to point directly at the new destination.</t>
        </is>
      </c>
      <c r="F19" s="14" t="inlineStr">
        <is>
          <t>Medium</t>
        </is>
      </c>
      <c r="G19" s="15" t="inlineStr">
        <is>
          <t>Google-documented</t>
        </is>
      </c>
      <c r="H19" s="14" t="inlineStr">
        <is>
          <t>Not started</t>
        </is>
      </c>
      <c r="I19" s="15" t="inlineStr"/>
      <c r="J19" s="15" t="inlineStr"/>
      <c r="K19" s="15" t="inlineStr"/>
      <c r="L19" s="17">
        <f>HYPERLINK("https://developers.google.com/search/docs/crawling-indexing/site-move-with-url-changes","Google: how to move a site (URL changes)")</f>
        <v/>
      </c>
    </row>
    <row r="20" ht="81" customHeight="1">
      <c r="A20" s="14" t="inlineStr">
        <is>
          <t>M19</t>
        </is>
      </c>
      <c r="B20" s="15" t="inlineStr">
        <is>
          <t>4. Pre-launch (staging)</t>
        </is>
      </c>
      <c r="C20" s="16" t="inlineStr">
        <is>
          <t>Keep staging out of search, and list exactly what to unblock at launch</t>
        </is>
      </c>
      <c r="D20" s="15" t="inlineStr">
        <is>
          <t>Staging sites get indexed by accident. Google's guide notes that if you block crawling or use noindex during development, you need a ready list of what to remove at launch.</t>
        </is>
      </c>
      <c r="E20" s="15" t="inlineStr">
        <is>
          <t>Password-protect staging (HTTP authentication) where possible. If you use noindex or robots.txt blocks, record each one in Notes so none are left behind.</t>
        </is>
      </c>
      <c r="F20" s="14" t="inlineStr">
        <is>
          <t>High</t>
        </is>
      </c>
      <c r="G20" s="15" t="inlineStr">
        <is>
          <t>Google-documented</t>
        </is>
      </c>
      <c r="H20" s="14" t="inlineStr">
        <is>
          <t>Not started</t>
        </is>
      </c>
      <c r="I20" s="15" t="inlineStr"/>
      <c r="J20" s="15" t="inlineStr"/>
      <c r="K20" s="15" t="inlineStr"/>
      <c r="L20" s="17">
        <f>HYPERLINK("https://developers.google.com/search/docs/crawling-indexing/site-move-with-url-changes","Google: how to move a site (URL changes)")</f>
        <v/>
      </c>
    </row>
    <row r="21" ht="66" customHeight="1">
      <c r="A21" s="14" t="inlineStr">
        <is>
          <t>M20</t>
        </is>
      </c>
      <c r="B21" s="15" t="inlineStr">
        <is>
          <t>4. Pre-launch (staging)</t>
        </is>
      </c>
      <c r="C21" s="16" t="inlineStr">
        <is>
          <t>Crawl staging and compare it with the old-site crawl</t>
        </is>
      </c>
      <c r="D21" s="15" t="inlineStr">
        <is>
          <t>Missing pages, empty titles, lost H1s, dropped structured data or thinner content show up in a side-by-side comparison before they cost traffic.</t>
        </is>
      </c>
      <c r="E21" s="15" t="inlineStr">
        <is>
          <t>Crawl staging (with authentication) and compare URL counts, titles, H1s, meta descriptions, word counts and structured data by template with the benchmark crawl.</t>
        </is>
      </c>
      <c r="F21" s="14" t="inlineStr">
        <is>
          <t>High</t>
        </is>
      </c>
      <c r="G21" s="15" t="inlineStr">
        <is>
          <t>MLforSEO practice</t>
        </is>
      </c>
      <c r="H21" s="14" t="inlineStr">
        <is>
          <t>Not started</t>
        </is>
      </c>
      <c r="I21" s="15" t="inlineStr"/>
      <c r="J21" s="15" t="inlineStr"/>
      <c r="K21" s="17">
        <f>HYPERLINK("https://www.mlforseo.com/machine-learning-implementation-guides/content-audit/web-scraping-screaming-frog/","Web scraping with Screaming Frog")</f>
        <v/>
      </c>
      <c r="L21" s="15" t="inlineStr"/>
    </row>
    <row r="22" ht="51" customHeight="1">
      <c r="A22" s="14" t="inlineStr">
        <is>
          <t>M21</t>
        </is>
      </c>
      <c r="B22" s="15" t="inlineStr">
        <is>
          <t>4. Pre-launch (staging)</t>
        </is>
      </c>
      <c r="C22" s="16" t="inlineStr">
        <is>
          <t>Every new URL has a self-referencing canonical, and hreflang uses the new URLs</t>
        </is>
      </c>
      <c r="D22" s="15" t="inlineStr">
        <is>
          <t>Canonicals or hreflang still pointing at old or staging URLs send mixed signals about which version to index.</t>
        </is>
      </c>
      <c r="E22" s="15" t="inlineStr">
        <is>
          <t>Crawl staging and check canonical and hreflang targets. None should point to the staging host or the old domain.</t>
        </is>
      </c>
      <c r="F22" s="14" t="inlineStr">
        <is>
          <t>High</t>
        </is>
      </c>
      <c r="G22" s="15" t="inlineStr">
        <is>
          <t>Google-documented</t>
        </is>
      </c>
      <c r="H22" s="14" t="inlineStr">
        <is>
          <t>Not started</t>
        </is>
      </c>
      <c r="I22" s="15" t="inlineStr"/>
      <c r="J22" s="15" t="inlineStr"/>
      <c r="K22" s="15" t="inlineStr"/>
      <c r="L22" s="17">
        <f>HYPERLINK("https://developers.google.com/search/docs/crawling-indexing/consolidate-duplicate-urls","Google: canonical URLs")</f>
        <v/>
      </c>
    </row>
    <row r="23" ht="66" customHeight="1">
      <c r="A23" s="14" t="inlineStr">
        <is>
          <t>M22</t>
        </is>
      </c>
      <c r="B23" s="15" t="inlineStr">
        <is>
          <t>4. Pre-launch (staging)</t>
        </is>
      </c>
      <c r="C23" s="16" t="inlineStr">
        <is>
          <t>Internal links point straight at new URLs, not through redirects</t>
        </is>
      </c>
      <c r="D23" s="15" t="inlineStr">
        <is>
          <t>Updating internal links reduces redirect load and helps Google find the new URLs faster.</t>
        </is>
      </c>
      <c r="E23" s="15" t="inlineStr">
        <is>
          <t>Use the mapping to find-and-replace links in content, navigation, footers and templates. Crawl staging and filter internal links returning 3xx.</t>
        </is>
      </c>
      <c r="F23" s="14" t="inlineStr">
        <is>
          <t>High</t>
        </is>
      </c>
      <c r="G23" s="15" t="inlineStr">
        <is>
          <t>Google-documented</t>
        </is>
      </c>
      <c r="H23" s="14" t="inlineStr">
        <is>
          <t>Not started</t>
        </is>
      </c>
      <c r="I23" s="15" t="inlineStr"/>
      <c r="J23" s="15" t="inlineStr"/>
      <c r="K23" s="15" t="inlineStr"/>
      <c r="L23" s="17">
        <f>HYPERLINK("https://developers.google.com/search/docs/crawling-indexing/site-move-with-url-changes","Google: how to move a site (URL changes)")</f>
        <v/>
      </c>
    </row>
    <row r="24" ht="81" customHeight="1">
      <c r="A24" s="14" t="inlineStr">
        <is>
          <t>M23</t>
        </is>
      </c>
      <c r="B24" s="15" t="inlineStr">
        <is>
          <t>4. Pre-launch (staging)</t>
        </is>
      </c>
      <c r="C24" s="16" t="inlineStr">
        <is>
          <t>A sitemap of the new URLs is ready, plus one of the old URLs</t>
        </is>
      </c>
      <c r="D24" s="15" t="inlineStr">
        <is>
          <t>Submitting the new sitemap helps Google discover the new URLs. Google's guide also suggests submitting the old-URL sitemap so you can watch old URLs drop out (redirect warnings there are expected).</t>
        </is>
      </c>
      <c r="E24" s="15" t="inlineStr">
        <is>
          <t>Generate the new XML sitemap (indexable 200 URLs only). Keep the old sitemap file from the benchmark.</t>
        </is>
      </c>
      <c r="F24" s="14" t="inlineStr">
        <is>
          <t>Medium</t>
        </is>
      </c>
      <c r="G24" s="15" t="inlineStr">
        <is>
          <t>Google-documented</t>
        </is>
      </c>
      <c r="H24" s="14" t="inlineStr">
        <is>
          <t>Not started</t>
        </is>
      </c>
      <c r="I24" s="15" t="inlineStr"/>
      <c r="J24" s="15" t="inlineStr"/>
      <c r="K24" s="15" t="inlineStr"/>
      <c r="L24" s="17">
        <f>HYPERLINK("https://developers.google.com/search/docs/crawling-indexing/sitemaps/build-sitemap","Google: build a sitemap")</f>
        <v/>
      </c>
    </row>
    <row r="25" ht="81" customHeight="1">
      <c r="A25" s="14" t="inlineStr">
        <is>
          <t>M24</t>
        </is>
      </c>
      <c r="B25" s="15" t="inlineStr">
        <is>
          <t>4. Pre-launch (staging)</t>
        </is>
      </c>
      <c r="C25" s="16" t="inlineStr">
        <is>
          <t>The new robots.txt is ready and keeps your AI crawler decisions</t>
        </is>
      </c>
      <c r="D25" s="15" t="inlineStr">
        <is>
          <t>A robots.txt copied from staging can block the whole site. Rebuilds also tend to drop rules for AI search crawlers (OAI-SearchBot, PerplexityBot, Claude-SearchBot), or a CDN default may start blocking them.</t>
        </is>
      </c>
      <c r="E25" s="15" t="inlineStr">
        <is>
          <t>Prepare the production robots.txt in advance and diff it against the old one. Check CDN bot settings on the new setup. If you publish llms.txt, update its URLs.</t>
        </is>
      </c>
      <c r="F25" s="14" t="inlineStr">
        <is>
          <t>Medium</t>
        </is>
      </c>
      <c r="G25" s="15" t="inlineStr">
        <is>
          <t>Google-documented</t>
        </is>
      </c>
      <c r="H25" s="14" t="inlineStr">
        <is>
          <t>Not started</t>
        </is>
      </c>
      <c r="I25" s="15" t="inlineStr"/>
      <c r="J25" s="15" t="inlineStr"/>
      <c r="K25" s="17">
        <f>HYPERLINK("https://www.mlforseo.com/machine-learning-implementation-guides/ai-search-optimisation/robots-txt-silent-killer-ai-traffic/","Your robots.txt might be the silent killer of your AI traffic")</f>
        <v/>
      </c>
      <c r="L25" s="17">
        <f>HYPERLINK("https://developers.google.com/search/docs/crawling-indexing/robots/intro","Google: robots.txt introduction")</f>
        <v/>
      </c>
    </row>
    <row r="26" ht="66" customHeight="1">
      <c r="A26" s="14" t="inlineStr">
        <is>
          <t>M25</t>
        </is>
      </c>
      <c r="B26" s="15" t="inlineStr">
        <is>
          <t>4. Pre-launch (staging)</t>
        </is>
      </c>
      <c r="C26" s="16" t="inlineStr">
        <is>
          <t>Structured data uses new URLs, and entity @id values stay stable</t>
        </is>
      </c>
      <c r="D26" s="15" t="inlineStr">
        <is>
          <t>Markup often hard-codes URLs (url, logo, sameAs, breadcrumbs, @id). If @id values change, the connections between your entities break.</t>
        </is>
      </c>
      <c r="E26" s="15" t="inlineStr">
        <is>
          <t>Search templates and the CMS for the old domain in JSON-LD. Keep @id values unchanged, or map them deliberately if they were built from page URLs.</t>
        </is>
      </c>
      <c r="F26" s="14" t="inlineStr">
        <is>
          <t>Medium</t>
        </is>
      </c>
      <c r="G26" s="15" t="inlineStr">
        <is>
          <t>MLforSEO practice</t>
        </is>
      </c>
      <c r="H26" s="14" t="inlineStr">
        <is>
          <t>Not started</t>
        </is>
      </c>
      <c r="I26" s="15" t="inlineStr"/>
      <c r="J26" s="15" t="inlineStr"/>
      <c r="K26" s="17">
        <f>HYPERLINK("https://www.mlforseo.com/machine-learning-implementation-guides/structured-data-audit/what-schema-org-id-does-and-why-your-entity-graph-falls-apart-without-it/","What schema.org @id does")</f>
        <v/>
      </c>
      <c r="L26" s="15" t="inlineStr"/>
    </row>
    <row r="27" ht="66" customHeight="1">
      <c r="A27" s="14" t="inlineStr">
        <is>
          <t>M26</t>
        </is>
      </c>
      <c r="B27" s="15" t="inlineStr">
        <is>
          <t>4. Pre-launch (staging)</t>
        </is>
      </c>
      <c r="C27" s="16" t="inlineStr">
        <is>
          <t>Analytics, tag manager and Search Console verification work on the new templates</t>
        </is>
      </c>
      <c r="D27" s="15" t="inlineStr">
        <is>
          <t>Missing tracking on launch day leaves a hole in your data. Search Console verification can break if the HTML file or meta tag isn't carried over.</t>
        </is>
      </c>
      <c r="E27" s="15" t="inlineStr">
        <is>
          <t>Test tags on staging. Verify both old and new sites in Search Console, including all variants (www and non-www, http and https).</t>
        </is>
      </c>
      <c r="F27" s="14" t="inlineStr">
        <is>
          <t>High</t>
        </is>
      </c>
      <c r="G27" s="15" t="inlineStr">
        <is>
          <t>Google-documented</t>
        </is>
      </c>
      <c r="H27" s="14" t="inlineStr">
        <is>
          <t>Not started</t>
        </is>
      </c>
      <c r="I27" s="15" t="inlineStr"/>
      <c r="J27" s="15" t="inlineStr"/>
      <c r="K27" s="15" t="inlineStr"/>
      <c r="L27" s="17">
        <f>HYPERLINK("https://developers.google.com/search/docs/crawling-indexing/site-move-with-url-changes","Google: how to move a site (URL changes)")</f>
        <v/>
      </c>
    </row>
    <row r="28" ht="66" customHeight="1">
      <c r="A28" s="14" t="inlineStr">
        <is>
          <t>M27</t>
        </is>
      </c>
      <c r="B28" s="15" t="inlineStr">
        <is>
          <t>4. Pre-launch (staging)</t>
        </is>
      </c>
      <c r="C28" s="16" t="inlineStr">
        <is>
          <t>The server and CDN can handle extra crawling</t>
        </is>
      </c>
      <c r="D28" s="15" t="inlineStr">
        <is>
          <t>Google says it will temporarily crawl the new site more heavily than usual after a move. Slow or failing responses slow down the whole migration.</t>
        </is>
      </c>
      <c r="E28" s="15" t="inlineStr">
        <is>
          <t>Warn your host for large sites. Make sure rate limits and WAF rules allow verified Googlebot and Bingbot.</t>
        </is>
      </c>
      <c r="F28" s="14" t="inlineStr">
        <is>
          <t>Medium</t>
        </is>
      </c>
      <c r="G28" s="15" t="inlineStr">
        <is>
          <t>Google-documented</t>
        </is>
      </c>
      <c r="H28" s="14" t="inlineStr">
        <is>
          <t>Not started</t>
        </is>
      </c>
      <c r="I28" s="15" t="inlineStr"/>
      <c r="J28" s="15" t="inlineStr"/>
      <c r="K28" s="15" t="inlineStr"/>
      <c r="L28" s="17">
        <f>HYPERLINK("https://developers.google.com/search/docs/crawling-indexing/site-move-with-url-changes","Google: how to move a site (URL changes)")</f>
        <v/>
      </c>
    </row>
    <row r="29" ht="51" customHeight="1">
      <c r="A29" s="14" t="inlineStr">
        <is>
          <t>M28</t>
        </is>
      </c>
      <c r="B29" s="15" t="inlineStr">
        <is>
          <t>4. Pre-launch (staging)</t>
        </is>
      </c>
      <c r="C29" s="16" t="inlineStr">
        <is>
          <t>If the new domain was bought second-hand, check its history</t>
        </is>
      </c>
      <c r="D29" s="15" t="inlineStr">
        <is>
          <t>A previous owner may have left manual actions or URL removal requests in place.</t>
        </is>
      </c>
      <c r="E29" s="15" t="inlineStr">
        <is>
          <t>Verify the new domain in Search Console and check Manual actions and Removals before launch.</t>
        </is>
      </c>
      <c r="F29" s="14" t="inlineStr">
        <is>
          <t>Medium</t>
        </is>
      </c>
      <c r="G29" s="15" t="inlineStr">
        <is>
          <t>Google-documented</t>
        </is>
      </c>
      <c r="H29" s="14" t="inlineStr">
        <is>
          <t>Not started</t>
        </is>
      </c>
      <c r="I29" s="15" t="inlineStr"/>
      <c r="J29" s="15" t="inlineStr"/>
      <c r="K29" s="15" t="inlineStr"/>
      <c r="L29" s="17">
        <f>HYPERLINK("https://developers.google.com/search/docs/crawling-indexing/site-move-with-url-changes","Google: how to move a site (URL changes)")</f>
        <v/>
      </c>
    </row>
    <row r="30" ht="66" customHeight="1">
      <c r="A30" s="14" t="inlineStr">
        <is>
          <t>M29</t>
        </is>
      </c>
      <c r="B30" s="15" t="inlineStr">
        <is>
          <t>4. Pre-launch (staging)</t>
        </is>
      </c>
      <c r="C30" s="16" t="inlineStr">
        <is>
          <t>Test the full redirect map on staging</t>
        </is>
      </c>
      <c r="D30" s="15" t="inlineStr">
        <is>
          <t>Mistakes in rules (wrong destinations, loops, chains, missing trailing slashes, lost query strings) are cheapest to fix before launch.</t>
        </is>
      </c>
      <c r="E30" s="15" t="inlineStr">
        <is>
          <t>Crawl the list of old URLs against staging in list mode with redirects followed. Fill in Status code, Hops and Final URL returns 200 in the Redirect map.</t>
        </is>
      </c>
      <c r="F30" s="14" t="inlineStr">
        <is>
          <t>High</t>
        </is>
      </c>
      <c r="G30" s="15" t="inlineStr">
        <is>
          <t>MLforSEO practice</t>
        </is>
      </c>
      <c r="H30" s="14" t="inlineStr">
        <is>
          <t>Not started</t>
        </is>
      </c>
      <c r="I30" s="15" t="inlineStr"/>
      <c r="J30" s="15" t="inlineStr"/>
      <c r="K30" s="17">
        <f>HYPERLINK("https://www.mlforseo.com/machine-learning-tutorials/fuzzy-matching/404-and-redirect-mapping-with-fuzzy-matching-in-google-colab-python/","404 and redirect mapping with fuzzy matching")</f>
        <v/>
      </c>
      <c r="L30" s="15" t="inlineStr"/>
    </row>
    <row r="31" ht="51" customHeight="1">
      <c r="A31" s="14" t="inlineStr">
        <is>
          <t>M30</t>
        </is>
      </c>
      <c r="B31" s="15" t="inlineStr">
        <is>
          <t>5. Launch day</t>
        </is>
      </c>
      <c r="C31" s="16" t="inlineStr">
        <is>
          <t>Switch on the redirects and remove the staging blocks</t>
        </is>
      </c>
      <c r="D31" s="15" t="inlineStr">
        <is>
          <t>Leftover noindex tags or robots.txt blocks are one of the most common reasons a new site fails to get indexed.</t>
        </is>
      </c>
      <c r="E31" s="15" t="inlineStr">
        <is>
          <t>Deploy redirects; remove noindex and authentication; publish the production robots.txt. Spot-check with URL Inspection.</t>
        </is>
      </c>
      <c r="F31" s="14" t="inlineStr">
        <is>
          <t>High</t>
        </is>
      </c>
      <c r="G31" s="15" t="inlineStr">
        <is>
          <t>Google-documented</t>
        </is>
      </c>
      <c r="H31" s="14" t="inlineStr">
        <is>
          <t>Not started</t>
        </is>
      </c>
      <c r="I31" s="15" t="inlineStr"/>
      <c r="J31" s="15" t="inlineStr"/>
      <c r="K31" s="15" t="inlineStr"/>
      <c r="L31" s="17">
        <f>HYPERLINK("https://developers.google.com/search/docs/crawling-indexing/site-move-with-url-changes","Google: how to move a site (URL changes)")</f>
        <v/>
      </c>
    </row>
    <row r="32" ht="66" customHeight="1">
      <c r="A32" s="14" t="inlineStr">
        <is>
          <t>M31</t>
        </is>
      </c>
      <c r="B32" s="15" t="inlineStr">
        <is>
          <t>5. Launch day</t>
        </is>
      </c>
      <c r="C32" s="16" t="inlineStr">
        <is>
          <t>Crawl every old URL: each returns 301 or 308 in one hop to a URL that returns 200</t>
        </is>
      </c>
      <c r="D32" s="15" t="inlineStr">
        <is>
          <t>Google frequently sees redirects pointing to wrong or non-existent URLs. A list crawl catches them in minutes.</t>
        </is>
      </c>
      <c r="E32" s="15" t="inlineStr">
        <is>
          <t>List-mode crawl of all old URLs with redirects followed. Filter for chains, loops, 4xx and 5xx destinations and anything not matching the Final destination column.</t>
        </is>
      </c>
      <c r="F32" s="14" t="inlineStr">
        <is>
          <t>High</t>
        </is>
      </c>
      <c r="G32" s="15" t="inlineStr">
        <is>
          <t>Google-documented</t>
        </is>
      </c>
      <c r="H32" s="14" t="inlineStr">
        <is>
          <t>Not started</t>
        </is>
      </c>
      <c r="I32" s="15" t="inlineStr"/>
      <c r="J32" s="15" t="inlineStr"/>
      <c r="K32" s="17">
        <f>HYPERLINK("https://www.mlforseo.com/machine-learning-tutorials/fuzzy-matching/404-and-redirect-mapping-with-fuzzy-matching-in-google-colab-python/","404 and redirect mapping with fuzzy matching")</f>
        <v/>
      </c>
      <c r="L32" s="17">
        <f>HYPERLINK("https://developers.google.com/search/docs/crawling-indexing/site-move-with-url-changes","Google: how to move a site (URL changes)")</f>
        <v/>
      </c>
    </row>
    <row r="33" ht="66" customHeight="1">
      <c r="A33" s="14" t="inlineStr">
        <is>
          <t>M32</t>
        </is>
      </c>
      <c r="B33" s="15" t="inlineStr">
        <is>
          <t>5. Launch day</t>
        </is>
      </c>
      <c r="C33" s="16" t="inlineStr">
        <is>
          <t>Domain or subdomain change: submit Change of Address for every verified variant</t>
        </is>
      </c>
      <c r="D33" s="15" t="inlineStr">
        <is>
          <t>The tool tells Google to prefer the new site and forwards signals for 180 days. You don't need it for HTTP to HTTPS, www to non-www, or path changes on the same domain.</t>
        </is>
      </c>
      <c r="E33" s="15" t="inlineStr">
        <is>
          <t>Search Console &gt; Settings &gt; Change of Address on the old domain-level property. Repeat for www, non-www and any subdomains, even unused ones.</t>
        </is>
      </c>
      <c r="F33" s="14" t="inlineStr">
        <is>
          <t>High</t>
        </is>
      </c>
      <c r="G33" s="15" t="inlineStr">
        <is>
          <t>Google-documented</t>
        </is>
      </c>
      <c r="H33" s="14" t="inlineStr">
        <is>
          <t>Not started</t>
        </is>
      </c>
      <c r="I33" s="15" t="inlineStr"/>
      <c r="J33" s="15" t="inlineStr"/>
      <c r="K33" s="15" t="inlineStr"/>
      <c r="L33" s="17">
        <f>HYPERLINK("https://support.google.com/webmasters/answer/9370220","Google Help: Change of Address tool")</f>
        <v/>
      </c>
    </row>
    <row r="34" ht="66" customHeight="1">
      <c r="A34" s="14" t="inlineStr">
        <is>
          <t>M33</t>
        </is>
      </c>
      <c r="B34" s="15" t="inlineStr">
        <is>
          <t>5. Launch day</t>
        </is>
      </c>
      <c r="C34" s="16" t="inlineStr">
        <is>
          <t>Submit sitemaps in Search Console and Bing Webmaster Tools, and ping IndexNow</t>
        </is>
      </c>
      <c r="D34" s="15" t="inlineStr">
        <is>
          <t>Sitemaps speed up discovery in Google. Bing Webmaster Tools has its own site move tool, and IndexNow notifies Bing and other participating engines of changed URLs.</t>
        </is>
      </c>
      <c r="E34" s="15" t="inlineStr">
        <is>
          <t>Submit the new sitemap (and the old-URL sitemap) in both tools. Use Bing's site move tool for domain changes. Send old and new URLs through IndexNow.</t>
        </is>
      </c>
      <c r="F34" s="14" t="inlineStr">
        <is>
          <t>Medium</t>
        </is>
      </c>
      <c r="G34" s="15" t="inlineStr">
        <is>
          <t>Platform-documented</t>
        </is>
      </c>
      <c r="H34" s="14" t="inlineStr">
        <is>
          <t>Not started</t>
        </is>
      </c>
      <c r="I34" s="15" t="inlineStr"/>
      <c r="J34" s="15" t="inlineStr"/>
      <c r="K34" s="17">
        <f>HYPERLINK("https://www.mlforseo.com/machine-learning-implementation-guides/indexnow-api-python/","The IndexNow API guide")</f>
        <v/>
      </c>
      <c r="L34" s="17">
        <f>HYPERLINK("https://www.bing.com/webmasters/","Bing Webmaster Tools")</f>
        <v/>
      </c>
    </row>
    <row r="35" ht="51" customHeight="1">
      <c r="A35" s="14" t="inlineStr">
        <is>
          <t>M34</t>
        </is>
      </c>
      <c r="B35" s="15" t="inlineStr">
        <is>
          <t>5. Launch day</t>
        </is>
      </c>
      <c r="C35" s="16" t="inlineStr">
        <is>
          <t>Re-upload any disavow file to the new property</t>
        </is>
      </c>
      <c r="D35" s="15" t="inlineStr">
        <is>
          <t>Google recommends re-uploading the old site's disavow file to the new Search Console property if you used one.</t>
        </is>
      </c>
      <c r="E35" s="15" t="inlineStr">
        <is>
          <t>Download it from the old property's disavow tool and upload to the new one.</t>
        </is>
      </c>
      <c r="F35" s="14" t="inlineStr">
        <is>
          <t>Low</t>
        </is>
      </c>
      <c r="G35" s="15" t="inlineStr">
        <is>
          <t>Google-documented</t>
        </is>
      </c>
      <c r="H35" s="14" t="inlineStr">
        <is>
          <t>Not started</t>
        </is>
      </c>
      <c r="I35" s="15" t="inlineStr"/>
      <c r="J35" s="15" t="inlineStr"/>
      <c r="K35" s="15" t="inlineStr"/>
      <c r="L35" s="17">
        <f>HYPERLINK("https://developers.google.com/search/docs/crawling-indexing/site-move-with-url-changes","Google: how to move a site (URL changes)")</f>
        <v/>
      </c>
    </row>
    <row r="36" ht="51" customHeight="1">
      <c r="A36" s="14" t="inlineStr">
        <is>
          <t>M35</t>
        </is>
      </c>
      <c r="B36" s="15" t="inlineStr">
        <is>
          <t>5. Launch day</t>
        </is>
      </c>
      <c r="C36" s="16" t="inlineStr">
        <is>
          <t>Inspect one URL from each key template</t>
        </is>
      </c>
      <c r="D36" s="15" t="inlineStr">
        <is>
          <t>Confirms Googlebot sees the right rendered content, canonical and indexability on the live site.</t>
        </is>
      </c>
      <c r="E36" s="15" t="inlineStr">
        <is>
          <t>Search Console &gt; URL Inspection &gt; Test live URL for the home page, a category, a product or service page and an article.</t>
        </is>
      </c>
      <c r="F36" s="14" t="inlineStr">
        <is>
          <t>High</t>
        </is>
      </c>
      <c r="G36" s="15" t="inlineStr">
        <is>
          <t>Google-documented</t>
        </is>
      </c>
      <c r="H36" s="14" t="inlineStr">
        <is>
          <t>Not started</t>
        </is>
      </c>
      <c r="I36" s="15" t="inlineStr"/>
      <c r="J36" s="15" t="inlineStr"/>
      <c r="K36" s="15" t="inlineStr"/>
      <c r="L36" s="17">
        <f>HYPERLINK("https://developers.google.com/search/docs/crawling-indexing/site-move-with-url-changes","Google: how to move a site (URL changes)")</f>
        <v/>
      </c>
    </row>
    <row r="37" ht="66" customHeight="1">
      <c r="A37" s="14" t="inlineStr">
        <is>
          <t>M36</t>
        </is>
      </c>
      <c r="B37" s="15" t="inlineStr">
        <is>
          <t>6. First weeks</t>
        </is>
      </c>
      <c r="C37" s="16" t="inlineStr">
        <is>
          <t>Monitor indexing, crawl stats and errors every day for the first two weeks</t>
        </is>
      </c>
      <c r="D37" s="15" t="inlineStr">
        <is>
          <t>Old URLs should drop out while new ones are indexed. Spikes in 404s, 5xx errors or 'Page with redirect' on new URLs need fixing fast.</t>
        </is>
      </c>
      <c r="E37" s="15" t="inlineStr">
        <is>
          <t>Search Console: Page indexing (old and new properties), Sitemaps, Crawl stats. Server logs: Googlebot status codes on old and new URLs.</t>
        </is>
      </c>
      <c r="F37" s="14" t="inlineStr">
        <is>
          <t>High</t>
        </is>
      </c>
      <c r="G37" s="15" t="inlineStr">
        <is>
          <t>Google-documented</t>
        </is>
      </c>
      <c r="H37" s="14" t="inlineStr">
        <is>
          <t>Not started</t>
        </is>
      </c>
      <c r="I37" s="15" t="inlineStr"/>
      <c r="J37" s="15" t="inlineStr"/>
      <c r="K37" s="15" t="inlineStr"/>
      <c r="L37" s="17">
        <f>HYPERLINK("https://developers.google.com/search/docs/crawling-indexing/site-move-with-url-changes","Google: how to move a site (URL changes)")</f>
        <v/>
      </c>
    </row>
    <row r="38" ht="66" customHeight="1">
      <c r="A38" s="14" t="inlineStr">
        <is>
          <t>M37</t>
        </is>
      </c>
      <c r="B38" s="15" t="inlineStr">
        <is>
          <t>6. First weeks</t>
        </is>
      </c>
      <c r="C38" s="16" t="inlineStr">
        <is>
          <t>Fix 404s on old URLs that have traffic or links within days</t>
        </is>
      </c>
      <c r="D38" s="15" t="inlineStr">
        <is>
          <t>Each one is lost value and a broken journey. The 404 notebook can map a new batch of broken URLs to live pages quickly.</t>
        </is>
      </c>
      <c r="E38" s="15" t="inlineStr">
        <is>
          <t>Pull 404s from Search Console, logs and the analytics 404 page. Map them with the Redirect map tab or the 404 mapping notebook and deploy in batches.</t>
        </is>
      </c>
      <c r="F38" s="14" t="inlineStr">
        <is>
          <t>High</t>
        </is>
      </c>
      <c r="G38" s="15" t="inlineStr">
        <is>
          <t>MLforSEO practice</t>
        </is>
      </c>
      <c r="H38" s="14" t="inlineStr">
        <is>
          <t>Not started</t>
        </is>
      </c>
      <c r="I38" s="15" t="inlineStr"/>
      <c r="J38" s="15" t="inlineStr"/>
      <c r="K38" s="17">
        <f>HYPERLINK("https://www.mlforseo.com/resource/mapping-404-urls-to-live-pages-with-fuzzy-matching-guide/","Mapping 404s to live pages (notebook)")</f>
        <v/>
      </c>
      <c r="L38" s="15" t="inlineStr"/>
    </row>
    <row r="39" ht="81" customHeight="1">
      <c r="A39" s="14" t="inlineStr">
        <is>
          <t>M38</t>
        </is>
      </c>
      <c r="B39" s="15" t="inlineStr">
        <is>
          <t>6. First weeks</t>
        </is>
      </c>
      <c r="C39" s="16" t="inlineStr">
        <is>
          <t>Update the links you control and ask for the important external ones to change</t>
        </is>
      </c>
      <c r="D39" s="15" t="inlineStr">
        <is>
          <t>Redirects are slow for users. Google suggests updating profile links, ad campaigns and high-value backlinks to point straight at new URLs.</t>
        </is>
      </c>
      <c r="E39" s="15" t="inlineStr">
        <is>
          <t>Update social profiles, Business Profile, Wikidata 'official website', Crunchbase, email templates, ads and partner pages. Contact the top linking sites from your benchmark list.</t>
        </is>
      </c>
      <c r="F39" s="14" t="inlineStr">
        <is>
          <t>Medium</t>
        </is>
      </c>
      <c r="G39" s="15" t="inlineStr">
        <is>
          <t>Google-documented</t>
        </is>
      </c>
      <c r="H39" s="14" t="inlineStr">
        <is>
          <t>Not started</t>
        </is>
      </c>
      <c r="I39" s="15" t="inlineStr"/>
      <c r="J39" s="15" t="inlineStr"/>
      <c r="K39" s="17">
        <f>HYPERLINK("https://www.mlforseo.com/machine-learning-implementation-guides/ai-search-optimisation/cross-platform-entity-consistency-the-llm-era/","Cross-platform entity consistency")</f>
        <v/>
      </c>
      <c r="L39" s="17">
        <f>HYPERLINK("https://developers.google.com/search/docs/crawling-indexing/site-move-with-url-changes","Google: how to move a site (URL changes)")</f>
        <v/>
      </c>
    </row>
    <row r="40" ht="66" customHeight="1">
      <c r="A40" s="14" t="inlineStr">
        <is>
          <t>M39</t>
        </is>
      </c>
      <c r="B40" s="15" t="inlineStr">
        <is>
          <t>6. First weeks</t>
        </is>
      </c>
      <c r="C40" s="16" t="inlineStr">
        <is>
          <t>Compare organic traffic and conversions with the benchmark by section</t>
        </is>
      </c>
      <c r="D40" s="15" t="inlineStr">
        <is>
          <t>Sitewide totals hide problems. Section or template comparisons show exactly where something broke.</t>
        </is>
      </c>
      <c r="E40" s="15" t="inlineStr">
        <is>
          <t>Weekly: clicks, impressions and key events by section, against the same weeks last year and the pre-launch baseline. Annotate the launch date in GA4 and your reports.</t>
        </is>
      </c>
      <c r="F40" s="14" t="inlineStr">
        <is>
          <t>Medium</t>
        </is>
      </c>
      <c r="G40" s="15" t="inlineStr">
        <is>
          <t>MLforSEO practice</t>
        </is>
      </c>
      <c r="H40" s="14" t="inlineStr">
        <is>
          <t>Not started</t>
        </is>
      </c>
      <c r="I40" s="15" t="inlineStr"/>
      <c r="J40" s="15" t="inlineStr"/>
      <c r="K40" s="15" t="inlineStr"/>
      <c r="L40" s="17">
        <f>HYPERLINK("https://developers.google.com/search/docs/crawling-indexing/site-move-with-url-changes","Google: how to move a site (URL changes)")</f>
        <v/>
      </c>
    </row>
    <row r="41" ht="66" customHeight="1">
      <c r="A41" s="14" t="inlineStr">
        <is>
          <t>M40</t>
        </is>
      </c>
      <c r="B41" s="15" t="inlineStr">
        <is>
          <t>6. First weeks</t>
        </is>
      </c>
      <c r="C41" s="16" t="inlineStr">
        <is>
          <t>Recheck AI answers and SERP features for your key queries</t>
        </is>
      </c>
      <c r="D41" s="15" t="inlineStr">
        <is>
          <t>Assistants and knowledge panels can keep citing old URLs for a while. Checking shows whether they now point to working, correct pages.</t>
        </is>
      </c>
      <c r="E41" s="15" t="inlineStr">
        <is>
          <t>Rerun the baseline questions from M11. Check rich results in Search Console Enhancements and that your knowledge panel shows the new website.</t>
        </is>
      </c>
      <c r="F41" s="14" t="inlineStr">
        <is>
          <t>Low</t>
        </is>
      </c>
      <c r="G41" s="15" t="inlineStr">
        <is>
          <t>MLforSEO practice</t>
        </is>
      </c>
      <c r="H41" s="14" t="inlineStr">
        <is>
          <t>Not started</t>
        </is>
      </c>
      <c r="I41" s="15" t="inlineStr"/>
      <c r="J41" s="15" t="inlineStr"/>
      <c r="K41" s="17">
        <f>HYPERLINK("https://www.mlforseo.com/machine-learning-implementation-guides/ai-search-optimisation/rank-tracker-ai-search-measurement/","Your rank tracker is lying to you about AI search")</f>
        <v/>
      </c>
      <c r="L41" s="15" t="inlineStr"/>
    </row>
    <row r="42" ht="81" customHeight="1">
      <c r="A42" s="14" t="inlineStr">
        <is>
          <t>M41</t>
        </is>
      </c>
      <c r="B42" s="15" t="inlineStr">
        <is>
          <t>7. Months 1 to 12</t>
        </is>
      </c>
      <c r="C42" s="16" t="inlineStr">
        <is>
          <t>Keep redirects for at least a year, ideally permanently</t>
        </is>
      </c>
      <c r="D42" s="15" t="inlineStr">
        <is>
          <t>Google recommends keeping redirects as long as possible, generally at least one year, so it can recrawl and transfer signals, and suggests users benefit from keeping them indefinitely.</t>
        </is>
      </c>
      <c r="E42" s="15" t="inlineStr">
        <is>
          <t>Document redirects somewhere other than one developer's memory (this workbook). Add a calendar reminder before any server or CMS change that could drop them.</t>
        </is>
      </c>
      <c r="F42" s="14" t="inlineStr">
        <is>
          <t>High</t>
        </is>
      </c>
      <c r="G42" s="15" t="inlineStr">
        <is>
          <t>Google-documented</t>
        </is>
      </c>
      <c r="H42" s="14" t="inlineStr">
        <is>
          <t>Not started</t>
        </is>
      </c>
      <c r="I42" s="15" t="inlineStr"/>
      <c r="J42" s="15" t="inlineStr"/>
      <c r="K42" s="15" t="inlineStr"/>
      <c r="L42" s="17">
        <f>HYPERLINK("https://developers.google.com/search/docs/crawling-indexing/site-move-with-url-changes","Google: how to move a site (URL changes)")</f>
        <v/>
      </c>
    </row>
    <row r="43" ht="36" customHeight="1">
      <c r="A43" s="14" t="inlineStr">
        <is>
          <t>M42</t>
        </is>
      </c>
      <c r="B43" s="15" t="inlineStr">
        <is>
          <t>7. Months 1 to 12</t>
        </is>
      </c>
      <c r="C43" s="16" t="inlineStr">
        <is>
          <t>Remove the old-URL sitemap once old URLs have dropped out</t>
        </is>
      </c>
      <c r="D43" s="15" t="inlineStr">
        <is>
          <t>Once Google uses the new sitemap, the old one has done its job.</t>
        </is>
      </c>
      <c r="E43" s="15" t="inlineStr">
        <is>
          <t>When the old sitemap shows close to zero indexed URLs in Search Console, remove it.</t>
        </is>
      </c>
      <c r="F43" s="14" t="inlineStr">
        <is>
          <t>Low</t>
        </is>
      </c>
      <c r="G43" s="15" t="inlineStr">
        <is>
          <t>Google-documented</t>
        </is>
      </c>
      <c r="H43" s="14" t="inlineStr">
        <is>
          <t>Not started</t>
        </is>
      </c>
      <c r="I43" s="15" t="inlineStr"/>
      <c r="J43" s="15" t="inlineStr"/>
      <c r="K43" s="15" t="inlineStr"/>
      <c r="L43" s="17">
        <f>HYPERLINK("https://developers.google.com/search/docs/crawling-indexing/site-move-with-url-changes","Google: how to move a site (URL changes)")</f>
        <v/>
      </c>
    </row>
    <row r="44" ht="66" customHeight="1">
      <c r="A44" s="14" t="inlineStr">
        <is>
          <t>M43</t>
        </is>
      </c>
      <c r="B44" s="15" t="inlineStr">
        <is>
          <t>7. Months 1 to 12</t>
        </is>
      </c>
      <c r="C44" s="16" t="inlineStr">
        <is>
          <t>Review results at 3, 6 and 12 months and write down what you learned</t>
        </is>
      </c>
      <c r="D44" s="15" t="inlineStr">
        <is>
          <t>A short write-up makes the next migration faster and shows stakeholders the outcome.</t>
        </is>
      </c>
      <c r="E44" s="15" t="inlineStr">
        <is>
          <t>Compare traffic, indexed URLs and conversions by section with the benchmark. Note what went wrong, what you'd repeat and any redirects still pending.</t>
        </is>
      </c>
      <c r="F44" s="14" t="inlineStr">
        <is>
          <t>Low</t>
        </is>
      </c>
      <c r="G44" s="15" t="inlineStr">
        <is>
          <t>MLforSEO practice</t>
        </is>
      </c>
      <c r="H44" s="14" t="inlineStr">
        <is>
          <t>Not started</t>
        </is>
      </c>
      <c r="I44" s="15" t="inlineStr"/>
      <c r="J44" s="15" t="inlineStr"/>
      <c r="K44" s="15" t="inlineStr"/>
      <c r="L44" s="15" t="inlineStr"/>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row r="55">
      <c r="A55" s="15" t="n"/>
      <c r="B55" s="15" t="n"/>
      <c r="C55" s="15" t="n"/>
      <c r="D55" s="15" t="n"/>
      <c r="E55" s="15" t="n"/>
      <c r="F55" s="15" t="n"/>
      <c r="G55" s="15" t="n"/>
      <c r="H55" s="15" t="n"/>
      <c r="I55" s="15" t="n"/>
      <c r="J55" s="15" t="n"/>
      <c r="K55" s="15" t="n"/>
      <c r="L55" s="15" t="n"/>
    </row>
    <row r="56">
      <c r="A56" s="15" t="n"/>
      <c r="B56" s="15" t="n"/>
      <c r="C56" s="15" t="n"/>
      <c r="D56" s="15" t="n"/>
      <c r="E56" s="15" t="n"/>
      <c r="F56" s="15" t="n"/>
      <c r="G56" s="15" t="n"/>
      <c r="H56" s="15" t="n"/>
      <c r="I56" s="15" t="n"/>
      <c r="J56" s="15" t="n"/>
      <c r="K56" s="15" t="n"/>
      <c r="L56" s="15" t="n"/>
    </row>
    <row r="57">
      <c r="A57" s="15" t="n"/>
      <c r="B57" s="15" t="n"/>
      <c r="C57" s="15" t="n"/>
      <c r="D57" s="15" t="n"/>
      <c r="E57" s="15" t="n"/>
      <c r="F57" s="15" t="n"/>
      <c r="G57" s="15" t="n"/>
      <c r="H57" s="15" t="n"/>
      <c r="I57" s="15" t="n"/>
      <c r="J57" s="15" t="n"/>
      <c r="K57" s="15" t="n"/>
      <c r="L57" s="15" t="n"/>
    </row>
    <row r="58">
      <c r="A58" s="15" t="n"/>
      <c r="B58" s="15" t="n"/>
      <c r="C58" s="15" t="n"/>
      <c r="D58" s="15" t="n"/>
      <c r="E58" s="15" t="n"/>
      <c r="F58" s="15" t="n"/>
      <c r="G58" s="15" t="n"/>
      <c r="H58" s="15" t="n"/>
      <c r="I58" s="15" t="n"/>
      <c r="J58" s="15" t="n"/>
      <c r="K58" s="15" t="n"/>
      <c r="L58" s="15" t="n"/>
    </row>
    <row r="59">
      <c r="A59" s="15" t="n"/>
      <c r="B59" s="15" t="n"/>
      <c r="C59" s="15" t="n"/>
      <c r="D59" s="15" t="n"/>
      <c r="E59" s="15" t="n"/>
      <c r="F59" s="15" t="n"/>
      <c r="G59" s="15" t="n"/>
      <c r="H59" s="15" t="n"/>
      <c r="I59" s="15" t="n"/>
      <c r="J59" s="15" t="n"/>
      <c r="K59" s="15" t="n"/>
      <c r="L59" s="15" t="n"/>
    </row>
  </sheetData>
  <autoFilter ref="A1:L59"/>
  <conditionalFormatting sqref="H2:H59">
    <cfRule type="cellIs" priority="1" operator="equal" dxfId="0" stopIfTrue="1">
      <formula>"Done"</formula>
    </cfRule>
    <cfRule type="cellIs" priority="2" operator="equal" dxfId="1" stopIfTrue="1">
      <formula>"In progress"</formula>
    </cfRule>
    <cfRule type="cellIs" priority="3" operator="equal" dxfId="2" stopIfTrue="1">
      <formula>"N/A"</formula>
    </cfRule>
    <cfRule type="cellIs" priority="4" operator="equal" dxfId="3" stopIfTrue="1">
      <formula>"Not started"</formula>
    </cfRule>
  </conditionalFormatting>
  <conditionalFormatting sqref="F2:F59">
    <cfRule type="cellIs" priority="5" operator="equal" dxfId="4" stopIfTrue="1">
      <formula>"High"</formula>
    </cfRule>
    <cfRule type="cellIs" priority="6" operator="equal" dxfId="3" stopIfTrue="1">
      <formula>"Low"</formula>
    </cfRule>
  </conditionalFormatting>
  <conditionalFormatting sqref="A2:L59">
    <cfRule type="expression" priority="7" dxfId="5">
      <formula>MOD(ROW(),2)=0</formula>
    </cfRule>
  </conditionalFormatting>
  <dataValidations count="3">
    <dataValidation sqref="H2:H59" showDropDown="0" showInputMessage="0" showErrorMessage="0" allowBlank="1" errorTitle="Not in list" error="Pick a value from the list." type="list">
      <formula1>"Not started,In progress,Done,N/A"</formula1>
    </dataValidation>
    <dataValidation sqref="F2:F59" showDropDown="0" showInputMessage="0" showErrorMessage="0" allowBlank="1" errorTitle="Not in list" error="Pick a value from the list." type="list">
      <formula1>"High,Medium,Low"</formula1>
    </dataValidation>
    <dataValidation sqref="G2:G59" showDropDown="0" showInputMessage="0" showErrorMessage="0" allowBlank="1" errorTitle="Not in list" error="Pick a value from the list." type="list">
      <formula1>"Google-documented,Platform-documented,Research-backed,MLforSEO practice,Unconfirmed (optional)"</formula1>
    </dataValidation>
  </dataValidations>
  <printOptions gridLines="0"/>
  <pageMargins left="0.75" right="0.75" top="1" bottom="1" header="0.5" footer="0.5"/>
  <pageSetup orientation="landscape" fitToHeight="0" fitToWidth="1"/>
</worksheet>
</file>

<file path=xl/worksheets/sheet3.xml><?xml version="1.0" encoding="utf-8"?>
<worksheet xmlns="http://schemas.openxmlformats.org/spreadsheetml/2006/main">
  <sheetPr>
    <tabColor rgb="008448EF"/>
    <outlinePr summaryBelow="1" summaryRight="1"/>
    <pageSetUpPr fitToPage="1"/>
  </sheetPr>
  <dimension ref="A1:W200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1" customWidth="1" min="2" max="2"/>
    <col width="11" customWidth="1" min="3" max="3"/>
    <col width="11" customWidth="1" min="4" max="4"/>
    <col width="14" customWidth="1" min="5" max="5"/>
    <col width="40" customWidth="1" min="6" max="6"/>
    <col width="11" customWidth="1" min="7" max="7"/>
    <col width="16" customWidth="1" min="8" max="8"/>
    <col width="14" customWidth="1" min="9" max="9"/>
    <col width="11" customWidth="1" min="10" max="10"/>
    <col width="18" customWidth="1" min="11" max="11"/>
    <col width="34" customWidth="1" min="12" max="12"/>
    <col width="40" customWidth="1" min="13" max="13"/>
    <col width="9" customWidth="1" min="14" max="14"/>
    <col width="30" customWidth="1" min="15" max="15"/>
    <col width="44" customWidth="1" min="16" max="16"/>
    <col width="10" customWidth="1" min="17" max="17"/>
    <col width="7" customWidth="1" min="18" max="18"/>
    <col width="10" customWidth="1" min="19" max="19"/>
    <col width="30" customWidth="1" min="20" max="20"/>
    <col width="15" customWidth="1" min="21" max="21"/>
    <col width="12" customWidth="1" min="22" max="22"/>
    <col width="30" customWidth="1" min="23" max="23"/>
  </cols>
  <sheetData>
    <row r="1" ht="30" customHeight="1">
      <c r="A1" s="11" t="inlineStr">
        <is>
          <t>Paste old URLs in column A and fuzzy-matching suggestions in E to J (see Start here for the column mapping). Pick a Decision in K. Grey-headed columns (D, M, N, O, P, T) are formulas: don't type over them. Delete the four example rows before you start.</t>
        </is>
      </c>
    </row>
    <row r="2" ht="30" customHeight="1">
      <c r="A2" s="18" t="inlineStr">
        <is>
          <t>Settings (edit the yellow cells):</t>
        </is>
      </c>
      <c r="B2" s="18" t="inlineStr">
        <is>
          <t>High priority if clicks ≥</t>
        </is>
      </c>
      <c r="C2" s="19" t="n">
        <v>100</v>
      </c>
      <c r="D2" s="18" t="inlineStr">
        <is>
          <t>or referring domains ≥</t>
        </is>
      </c>
      <c r="E2" s="19" t="n">
        <v>5</v>
      </c>
      <c r="F2" s="18" t="inlineStr">
        <is>
          <t>Flag accepted matches with similarity below</t>
        </is>
      </c>
      <c r="G2" s="19" t="n">
        <v>70</v>
      </c>
    </row>
    <row r="4" ht="44" customHeight="1">
      <c r="A4" s="13" t="inlineStr">
        <is>
          <t>Old URL</t>
        </is>
      </c>
      <c r="B4" s="13" t="inlineStr">
        <is>
          <t>Clicks (last 12 months)</t>
        </is>
      </c>
      <c r="C4" s="13" t="inlineStr">
        <is>
          <t>Referring domains</t>
        </is>
      </c>
      <c r="D4" s="20" t="inlineStr">
        <is>
          <t>Old URL priority</t>
        </is>
      </c>
      <c r="E4" s="13" t="inlineStr">
        <is>
          <t>Matched on</t>
        </is>
      </c>
      <c r="F4" s="13" t="inlineStr">
        <is>
          <t>Suggested new URL (from notebook)</t>
        </is>
      </c>
      <c r="G4" s="13" t="inlineStr">
        <is>
          <t>Similarity (0 to 100)</t>
        </is>
      </c>
      <c r="H4" s="13" t="inlineStr">
        <is>
          <t>Match type (from notebook)</t>
        </is>
      </c>
      <c r="I4" s="13" t="inlineStr">
        <is>
          <t>Algorithm</t>
        </is>
      </c>
      <c r="J4" s="13" t="inlineStr">
        <is>
          <t>Algorithms agreeing</t>
        </is>
      </c>
      <c r="K4" s="13" t="inlineStr">
        <is>
          <t>Decision</t>
        </is>
      </c>
      <c r="L4" s="13" t="inlineStr">
        <is>
          <t>Override URL</t>
        </is>
      </c>
      <c r="M4" s="20" t="inlineStr">
        <is>
          <t>Final destination</t>
        </is>
      </c>
      <c r="N4" s="20" t="inlineStr">
        <is>
          <t>Redirect type</t>
        </is>
      </c>
      <c r="O4" s="20" t="inlineStr">
        <is>
          <t>Source path</t>
        </is>
      </c>
      <c r="P4" s="20" t="inlineStr">
        <is>
          <t>Apache rule (check before use)</t>
        </is>
      </c>
      <c r="Q4" s="13" t="inlineStr">
        <is>
          <t>Status code at test</t>
        </is>
      </c>
      <c r="R4" s="13" t="inlineStr">
        <is>
          <t>Hops</t>
        </is>
      </c>
      <c r="S4" s="13" t="inlineStr">
        <is>
          <t>Final URL returns 200?</t>
        </is>
      </c>
      <c r="T4" s="20" t="inlineStr">
        <is>
          <t>Flags</t>
        </is>
      </c>
      <c r="U4" s="13" t="inlineStr">
        <is>
          <t>QA status</t>
        </is>
      </c>
      <c r="V4" s="13" t="inlineStr">
        <is>
          <t>Reviewer</t>
        </is>
      </c>
      <c r="W4" s="13" t="inlineStr">
        <is>
          <t>Notes</t>
        </is>
      </c>
    </row>
    <row r="5">
      <c r="A5" s="21" t="inlineStr">
        <is>
          <t>https://old.example.com/blog/how-to-choose-running-shoes/</t>
        </is>
      </c>
      <c r="B5" s="21" t="n">
        <v>420</v>
      </c>
      <c r="C5" s="21" t="n">
        <v>12</v>
      </c>
      <c r="D5" s="22">
        <f>IF(A5="","",IF(OR(N(B5)&gt;=$C$2,N(C5)&gt;=$E$2),"High",IF(OR(N(B5)&gt;0,N(C5)&gt;0),"Medium","Low")))</f>
        <v/>
      </c>
      <c r="E5" s="21" t="inlineStr">
        <is>
          <t>Address</t>
        </is>
      </c>
      <c r="F5" s="21" t="inlineStr">
        <is>
          <t>https://www.example.com/guides/choosing-running-shoes/</t>
        </is>
      </c>
      <c r="G5" s="21" t="n">
        <v>82</v>
      </c>
      <c r="H5" s="21" t="inlineStr">
        <is>
          <t>Partial Match</t>
        </is>
      </c>
      <c r="I5" s="21" t="inlineStr">
        <is>
          <t>RapidFuzz</t>
        </is>
      </c>
      <c r="J5" s="21" t="n">
        <v>3</v>
      </c>
      <c r="K5" s="21" t="inlineStr">
        <is>
          <t>Accept suggestion</t>
        </is>
      </c>
      <c r="L5" s="21" t="n"/>
      <c r="M5" s="22">
        <f>IF(K5="Override",L5,IF(K5="Accept suggestion",F5,IF(K5="No change (same URL)",A5,"")))</f>
        <v/>
      </c>
      <c r="N5" s="22">
        <f>IF(A5="","",IF(K5="410 Gone","410",IF(K5="404","404",IF(K5="No change (same URL)","none",IF(M5="","","301")))))</f>
        <v/>
      </c>
      <c r="O5" s="22">
        <f>IF(A5="","",IFERROR(MID(A5,FIND("/",A5,FIND("//",A5)+2),2000),A5))</f>
        <v/>
      </c>
      <c r="P5" s="22">
        <f>IF(OR(O5="",N5="",N5="none",N5="404"),"",IF(N5="410","Redirect gone "&amp;O5,"Redirect "&amp;N5&amp;" "&amp;O5&amp;" "&amp;M5))</f>
        <v/>
      </c>
      <c r="Q5" s="21" t="n">
        <v>301</v>
      </c>
      <c r="R5" s="21" t="n">
        <v>1</v>
      </c>
      <c r="S5" s="21" t="inlineStr">
        <is>
          <t>Yes</t>
        </is>
      </c>
      <c r="T5" s="4">
        <f>IF(A5="","",TRIM(IF(K5="","Needs decision; ","")&amp;IF(AND(K5="Accept suggestion",F5=""),"No suggestion to accept; ","")&amp;IF(AND(K5="Override",L5=""),"Override URL missing; ","")&amp;IF(AND(K5="Accept suggestion",N(G5)&lt;$G$2),"Below your threshold; ","")&amp;IF(AND(M5&lt;&gt;"",M5=A5,K5&lt;&gt;"No change (same URL)"),"Redirects to itself; ","")&amp;IF(AND(M5&lt;&gt;"",OR(M5="/",AND(LEFT(M5,4)="http",OR((LEN(M5)-LEN(SUBSTITUTE(M5,"/","")))=2,AND((LEN(M5)-LEN(SUBSTITUTE(M5,"/","")))=3,RIGHT(M5,1)="/"))))),"Home page redirect; ","")&amp;IF(N(R5)&gt;1,"Chain; ","")&amp;IF(S5="No","Destination not 200; ","")))</f>
        <v/>
      </c>
      <c r="U5" s="21" t="inlineStr">
        <is>
          <t>Live and verified</t>
        </is>
      </c>
      <c r="V5" s="21" t="inlineStr">
        <is>
          <t>LS</t>
        </is>
      </c>
      <c r="W5" s="23" t="inlineStr">
        <is>
          <t>EXAMPLE ROW: delete.</t>
        </is>
      </c>
    </row>
    <row r="6">
      <c r="A6" s="21" t="inlineStr">
        <is>
          <t>https://old.example.com/products/trail-runner-2/</t>
        </is>
      </c>
      <c r="B6" s="21" t="n">
        <v>95</v>
      </c>
      <c r="C6" s="21" t="n">
        <v>3</v>
      </c>
      <c r="D6" s="22">
        <f>IF(A6="","",IF(OR(N(B6)&gt;=$C$2,N(C6)&gt;=$E$2),"High",IF(OR(N(B6)&gt;0,N(C6)&gt;0),"Medium","Low")))</f>
        <v/>
      </c>
      <c r="E6" s="21" t="inlineStr">
        <is>
          <t>Title 1</t>
        </is>
      </c>
      <c r="F6" s="21" t="inlineStr">
        <is>
          <t>https://www.example.com/shop/trail-runner-3/</t>
        </is>
      </c>
      <c r="G6" s="21" t="n">
        <v>71</v>
      </c>
      <c r="H6" s="21" t="inlineStr">
        <is>
          <t>Partial Match</t>
        </is>
      </c>
      <c r="I6" s="21" t="inlineStr">
        <is>
          <t>PolyFuzz (TF-IDF)</t>
        </is>
      </c>
      <c r="J6" s="21" t="n">
        <v>1</v>
      </c>
      <c r="K6" s="21" t="inlineStr">
        <is>
          <t>Override</t>
        </is>
      </c>
      <c r="L6" s="21" t="inlineStr">
        <is>
          <t>https://www.example.com/shop/trail-runners/</t>
        </is>
      </c>
      <c r="M6" s="22">
        <f>IF(K6="Override",L6,IF(K6="Accept suggestion",F6,IF(K6="No change (same URL)",A6,"")))</f>
        <v/>
      </c>
      <c r="N6" s="22">
        <f>IF(A6="","",IF(K6="410 Gone","410",IF(K6="404","404",IF(K6="No change (same URL)","none",IF(M6="","","301")))))</f>
        <v/>
      </c>
      <c r="O6" s="22">
        <f>IF(A6="","",IFERROR(MID(A6,FIND("/",A6,FIND("//",A6)+2),2000),A6))</f>
        <v/>
      </c>
      <c r="P6" s="22">
        <f>IF(OR(O6="",N6="",N6="none",N6="404"),"",IF(N6="410","Redirect gone "&amp;O6,"Redirect "&amp;N6&amp;" "&amp;O6&amp;" "&amp;M6))</f>
        <v/>
      </c>
      <c r="Q6" s="21" t="n"/>
      <c r="R6" s="21" t="n"/>
      <c r="S6" s="21" t="n"/>
      <c r="T6" s="4">
        <f>IF(A6="","",TRIM(IF(K6="","Needs decision; ","")&amp;IF(AND(K6="Accept suggestion",F6=""),"No suggestion to accept; ","")&amp;IF(AND(K6="Override",L6=""),"Override URL missing; ","")&amp;IF(AND(K6="Accept suggestion",N(G6)&lt;$G$2),"Below your threshold; ","")&amp;IF(AND(M6&lt;&gt;"",M6=A6,K6&lt;&gt;"No change (same URL)"),"Redirects to itself; ","")&amp;IF(AND(M6&lt;&gt;"",OR(M6="/",AND(LEFT(M6,4)="http",OR((LEN(M6)-LEN(SUBSTITUTE(M6,"/","")))=2,AND((LEN(M6)-LEN(SUBSTITUTE(M6,"/","")))=3,RIGHT(M6,1)="/"))))),"Home page redirect; ","")&amp;IF(N(R6)&gt;1,"Chain; ","")&amp;IF(S6="No","Destination not 200; ","")))</f>
        <v/>
      </c>
      <c r="U6" s="21" t="inlineStr">
        <is>
          <t>Approved</t>
        </is>
      </c>
      <c r="V6" s="21" t="inlineStr">
        <is>
          <t>LS</t>
        </is>
      </c>
      <c r="W6" s="23" t="inlineStr">
        <is>
          <t>EXAMPLE ROW: delete. Model discontinued, category is the closest match.</t>
        </is>
      </c>
    </row>
    <row r="7">
      <c r="A7" s="21" t="inlineStr">
        <is>
          <t>https://old.example.com/2019-summer-sale/</t>
        </is>
      </c>
      <c r="B7" s="21" t="n">
        <v>0</v>
      </c>
      <c r="C7" s="21" t="n">
        <v>0</v>
      </c>
      <c r="D7" s="22">
        <f>IF(A7="","",IF(OR(N(B7)&gt;=$C$2,N(C7)&gt;=$E$2),"High",IF(OR(N(B7)&gt;0,N(C7)&gt;0),"Medium","Low")))</f>
        <v/>
      </c>
      <c r="E7" s="21" t="inlineStr">
        <is>
          <t>Address</t>
        </is>
      </c>
      <c r="F7" s="21" t="inlineStr">
        <is>
          <t>https://www.example.com/</t>
        </is>
      </c>
      <c r="G7" s="21" t="n">
        <v>38</v>
      </c>
      <c r="H7" s="21" t="inlineStr">
        <is>
          <t>No Suitable Match Found</t>
        </is>
      </c>
      <c r="I7" s="21" t="inlineStr">
        <is>
          <t>RapidFuzz</t>
        </is>
      </c>
      <c r="J7" s="21" t="n">
        <v>1</v>
      </c>
      <c r="K7" s="21" t="inlineStr">
        <is>
          <t>410 Gone</t>
        </is>
      </c>
      <c r="L7" s="21" t="n"/>
      <c r="M7" s="22">
        <f>IF(K7="Override",L7,IF(K7="Accept suggestion",F7,IF(K7="No change (same URL)",A7,"")))</f>
        <v/>
      </c>
      <c r="N7" s="22">
        <f>IF(A7="","",IF(K7="410 Gone","410",IF(K7="404","404",IF(K7="No change (same URL)","none",IF(M7="","","301")))))</f>
        <v/>
      </c>
      <c r="O7" s="22">
        <f>IF(A7="","",IFERROR(MID(A7,FIND("/",A7,FIND("//",A7)+2),2000),A7))</f>
        <v/>
      </c>
      <c r="P7" s="22">
        <f>IF(OR(O7="",N7="",N7="none",N7="404"),"",IF(N7="410","Redirect gone "&amp;O7,"Redirect "&amp;N7&amp;" "&amp;O7&amp;" "&amp;M7))</f>
        <v/>
      </c>
      <c r="Q7" s="21" t="n"/>
      <c r="R7" s="21" t="n"/>
      <c r="S7" s="21" t="n"/>
      <c r="T7" s="4">
        <f>IF(A7="","",TRIM(IF(K7="","Needs decision; ","")&amp;IF(AND(K7="Accept suggestion",F7=""),"No suggestion to accept; ","")&amp;IF(AND(K7="Override",L7=""),"Override URL missing; ","")&amp;IF(AND(K7="Accept suggestion",N(G7)&lt;$G$2),"Below your threshold; ","")&amp;IF(AND(M7&lt;&gt;"",M7=A7,K7&lt;&gt;"No change (same URL)"),"Redirects to itself; ","")&amp;IF(AND(M7&lt;&gt;"",OR(M7="/",AND(LEFT(M7,4)="http",OR((LEN(M7)-LEN(SUBSTITUTE(M7,"/","")))=2,AND((LEN(M7)-LEN(SUBSTITUTE(M7,"/","")))=3,RIGHT(M7,1)="/"))))),"Home page redirect; ","")&amp;IF(N(R7)&gt;1,"Chain; ","")&amp;IF(S7="No","Destination not 200; ","")))</f>
        <v/>
      </c>
      <c r="U7" s="21" t="inlineStr">
        <is>
          <t>Approved</t>
        </is>
      </c>
      <c r="V7" s="21" t="inlineStr">
        <is>
          <t>LS</t>
        </is>
      </c>
      <c r="W7" s="23" t="inlineStr">
        <is>
          <t>EXAMPLE ROW: delete. Expired promotion.</t>
        </is>
      </c>
    </row>
    <row r="8">
      <c r="A8" s="21" t="inlineStr">
        <is>
          <t>https://old.example.com/about-us/</t>
        </is>
      </c>
      <c r="B8" s="21" t="n">
        <v>60</v>
      </c>
      <c r="C8" s="21" t="n">
        <v>25</v>
      </c>
      <c r="D8" s="22">
        <f>IF(A8="","",IF(OR(N(B8)&gt;=$C$2,N(C8)&gt;=$E$2),"High",IF(OR(N(B8)&gt;0,N(C8)&gt;0),"Medium","Low")))</f>
        <v/>
      </c>
      <c r="E8" s="21" t="inlineStr">
        <is>
          <t>H1-1</t>
        </is>
      </c>
      <c r="F8" s="21" t="inlineStr">
        <is>
          <t>https://www.example.com/about/</t>
        </is>
      </c>
      <c r="G8" s="21" t="n">
        <v>100</v>
      </c>
      <c r="H8" s="21" t="inlineStr">
        <is>
          <t>Exact Match</t>
        </is>
      </c>
      <c r="I8" s="21" t="inlineStr">
        <is>
          <t>TheFuzz</t>
        </is>
      </c>
      <c r="J8" s="21" t="n">
        <v>3</v>
      </c>
      <c r="K8" s="21" t="n"/>
      <c r="L8" s="21" t="n"/>
      <c r="M8" s="22">
        <f>IF(K8="Override",L8,IF(K8="Accept suggestion",F8,IF(K8="No change (same URL)",A8,"")))</f>
        <v/>
      </c>
      <c r="N8" s="22">
        <f>IF(A8="","",IF(K8="410 Gone","410",IF(K8="404","404",IF(K8="No change (same URL)","none",IF(M8="","","301")))))</f>
        <v/>
      </c>
      <c r="O8" s="22">
        <f>IF(A8="","",IFERROR(MID(A8,FIND("/",A8,FIND("//",A8)+2),2000),A8))</f>
        <v/>
      </c>
      <c r="P8" s="22">
        <f>IF(OR(O8="",N8="",N8="none",N8="404"),"",IF(N8="410","Redirect gone "&amp;O8,"Redirect "&amp;N8&amp;" "&amp;O8&amp;" "&amp;M8))</f>
        <v/>
      </c>
      <c r="Q8" s="21" t="n"/>
      <c r="R8" s="21" t="n"/>
      <c r="S8" s="21" t="n"/>
      <c r="T8" s="4">
        <f>IF(A8="","",TRIM(IF(K8="","Needs decision; ","")&amp;IF(AND(K8="Accept suggestion",F8=""),"No suggestion to accept; ","")&amp;IF(AND(K8="Override",L8=""),"Override URL missing; ","")&amp;IF(AND(K8="Accept suggestion",N(G8)&lt;$G$2),"Below your threshold; ","")&amp;IF(AND(M8&lt;&gt;"",M8=A8,K8&lt;&gt;"No change (same URL)"),"Redirects to itself; ","")&amp;IF(AND(M8&lt;&gt;"",OR(M8="/",AND(LEFT(M8,4)="http",OR((LEN(M8)-LEN(SUBSTITUTE(M8,"/","")))=2,AND((LEN(M8)-LEN(SUBSTITUTE(M8,"/","")))=3,RIGHT(M8,1)="/"))))),"Home page redirect; ","")&amp;IF(N(R8)&gt;1,"Chain; ","")&amp;IF(S8="No","Destination not 200; ","")))</f>
        <v/>
      </c>
      <c r="U8" s="21" t="inlineStr">
        <is>
          <t>To review</t>
        </is>
      </c>
      <c r="V8" s="21" t="n"/>
      <c r="W8" s="23" t="inlineStr">
        <is>
          <t>EXAMPLE ROW: delete.</t>
        </is>
      </c>
    </row>
    <row r="9">
      <c r="A9" s="22" t="n"/>
      <c r="B9" s="22" t="n"/>
      <c r="C9" s="22" t="n"/>
      <c r="D9" s="22">
        <f>IF(A9="","",IF(OR(N(B9)&gt;=$C$2,N(C9)&gt;=$E$2),"High",IF(OR(N(B9)&gt;0,N(C9)&gt;0),"Medium","Low")))</f>
        <v/>
      </c>
      <c r="E9" s="22" t="n"/>
      <c r="F9" s="22" t="n"/>
      <c r="G9" s="22" t="n"/>
      <c r="H9" s="22" t="n"/>
      <c r="I9" s="22" t="n"/>
      <c r="J9" s="22" t="n"/>
      <c r="K9" s="22" t="n"/>
      <c r="L9" s="22" t="n"/>
      <c r="M9" s="22">
        <f>IF(K9="Override",L9,IF(K9="Accept suggestion",F9,IF(K9="No change (same URL)",A9,"")))</f>
        <v/>
      </c>
      <c r="N9" s="22">
        <f>IF(A9="","",IF(K9="410 Gone","410",IF(K9="404","404",IF(K9="No change (same URL)","none",IF(M9="","","301")))))</f>
        <v/>
      </c>
      <c r="O9" s="22">
        <f>IF(A9="","",IFERROR(MID(A9,FIND("/",A9,FIND("//",A9)+2),2000),A9))</f>
        <v/>
      </c>
      <c r="P9" s="22">
        <f>IF(OR(O9="",N9="",N9="none",N9="404"),"",IF(N9="410","Redirect gone "&amp;O9,"Redirect "&amp;N9&amp;" "&amp;O9&amp;" "&amp;M9))</f>
        <v/>
      </c>
      <c r="Q9" s="22" t="n"/>
      <c r="R9" s="22" t="n"/>
      <c r="S9" s="22" t="n"/>
      <c r="T9" s="4">
        <f>IF(A9="","",TRIM(IF(K9="","Needs decision; ","")&amp;IF(AND(K9="Accept suggestion",F9=""),"No suggestion to accept; ","")&amp;IF(AND(K9="Override",L9=""),"Override URL missing; ","")&amp;IF(AND(K9="Accept suggestion",N(G9)&lt;$G$2),"Below your threshold; ","")&amp;IF(AND(M9&lt;&gt;"",M9=A9,K9&lt;&gt;"No change (same URL)"),"Redirects to itself; ","")&amp;IF(AND(M9&lt;&gt;"",OR(M9="/",AND(LEFT(M9,4)="http",OR((LEN(M9)-LEN(SUBSTITUTE(M9,"/","")))=2,AND((LEN(M9)-LEN(SUBSTITUTE(M9,"/","")))=3,RIGHT(M9,1)="/"))))),"Home page redirect; ","")&amp;IF(N(R9)&gt;1,"Chain; ","")&amp;IF(S9="No","Destination not 200; ","")))</f>
        <v/>
      </c>
      <c r="U9" s="22" t="n"/>
      <c r="V9" s="22" t="n"/>
      <c r="W9" s="4" t="n"/>
    </row>
    <row r="10">
      <c r="A10" s="22" t="n"/>
      <c r="B10" s="22" t="n"/>
      <c r="C10" s="22" t="n"/>
      <c r="D10" s="22">
        <f>IF(A10="","",IF(OR(N(B10)&gt;=$C$2,N(C10)&gt;=$E$2),"High",IF(OR(N(B10)&gt;0,N(C10)&gt;0),"Medium","Low")))</f>
        <v/>
      </c>
      <c r="E10" s="22" t="n"/>
      <c r="F10" s="22" t="n"/>
      <c r="G10" s="22" t="n"/>
      <c r="H10" s="22" t="n"/>
      <c r="I10" s="22" t="n"/>
      <c r="J10" s="22" t="n"/>
      <c r="K10" s="22" t="n"/>
      <c r="L10" s="22" t="n"/>
      <c r="M10" s="22">
        <f>IF(K10="Override",L10,IF(K10="Accept suggestion",F10,IF(K10="No change (same URL)",A10,"")))</f>
        <v/>
      </c>
      <c r="N10" s="22">
        <f>IF(A10="","",IF(K10="410 Gone","410",IF(K10="404","404",IF(K10="No change (same URL)","none",IF(M10="","","301")))))</f>
        <v/>
      </c>
      <c r="O10" s="22">
        <f>IF(A10="","",IFERROR(MID(A10,FIND("/",A10,FIND("//",A10)+2),2000),A10))</f>
        <v/>
      </c>
      <c r="P10" s="22">
        <f>IF(OR(O10="",N10="",N10="none",N10="404"),"",IF(N10="410","Redirect gone "&amp;O10,"Redirect "&amp;N10&amp;" "&amp;O10&amp;" "&amp;M10))</f>
        <v/>
      </c>
      <c r="Q10" s="22" t="n"/>
      <c r="R10" s="22" t="n"/>
      <c r="S10" s="22" t="n"/>
      <c r="T10" s="4">
        <f>IF(A10="","",TRIM(IF(K10="","Needs decision; ","")&amp;IF(AND(K10="Accept suggestion",F10=""),"No suggestion to accept; ","")&amp;IF(AND(K10="Override",L10=""),"Override URL missing; ","")&amp;IF(AND(K10="Accept suggestion",N(G10)&lt;$G$2),"Below your threshold; ","")&amp;IF(AND(M10&lt;&gt;"",M10=A10,K10&lt;&gt;"No change (same URL)"),"Redirects to itself; ","")&amp;IF(AND(M10&lt;&gt;"",OR(M10="/",AND(LEFT(M10,4)="http",OR((LEN(M10)-LEN(SUBSTITUTE(M10,"/","")))=2,AND((LEN(M10)-LEN(SUBSTITUTE(M10,"/","")))=3,RIGHT(M10,1)="/"))))),"Home page redirect; ","")&amp;IF(N(R10)&gt;1,"Chain; ","")&amp;IF(S10="No","Destination not 200; ","")))</f>
        <v/>
      </c>
      <c r="U10" s="22" t="n"/>
      <c r="V10" s="22" t="n"/>
      <c r="W10" s="4" t="n"/>
    </row>
    <row r="11">
      <c r="A11" s="22" t="n"/>
      <c r="B11" s="22" t="n"/>
      <c r="C11" s="22" t="n"/>
      <c r="D11" s="22">
        <f>IF(A11="","",IF(OR(N(B11)&gt;=$C$2,N(C11)&gt;=$E$2),"High",IF(OR(N(B11)&gt;0,N(C11)&gt;0),"Medium","Low")))</f>
        <v/>
      </c>
      <c r="E11" s="22" t="n"/>
      <c r="F11" s="22" t="n"/>
      <c r="G11" s="22" t="n"/>
      <c r="H11" s="22" t="n"/>
      <c r="I11" s="22" t="n"/>
      <c r="J11" s="22" t="n"/>
      <c r="K11" s="22" t="n"/>
      <c r="L11" s="22" t="n"/>
      <c r="M11" s="22">
        <f>IF(K11="Override",L11,IF(K11="Accept suggestion",F11,IF(K11="No change (same URL)",A11,"")))</f>
        <v/>
      </c>
      <c r="N11" s="22">
        <f>IF(A11="","",IF(K11="410 Gone","410",IF(K11="404","404",IF(K11="No change (same URL)","none",IF(M11="","","301")))))</f>
        <v/>
      </c>
      <c r="O11" s="22">
        <f>IF(A11="","",IFERROR(MID(A11,FIND("/",A11,FIND("//",A11)+2),2000),A11))</f>
        <v/>
      </c>
      <c r="P11" s="22">
        <f>IF(OR(O11="",N11="",N11="none",N11="404"),"",IF(N11="410","Redirect gone "&amp;O11,"Redirect "&amp;N11&amp;" "&amp;O11&amp;" "&amp;M11))</f>
        <v/>
      </c>
      <c r="Q11" s="22" t="n"/>
      <c r="R11" s="22" t="n"/>
      <c r="S11" s="22" t="n"/>
      <c r="T11" s="4">
        <f>IF(A11="","",TRIM(IF(K11="","Needs decision; ","")&amp;IF(AND(K11="Accept suggestion",F11=""),"No suggestion to accept; ","")&amp;IF(AND(K11="Override",L11=""),"Override URL missing; ","")&amp;IF(AND(K11="Accept suggestion",N(G11)&lt;$G$2),"Below your threshold; ","")&amp;IF(AND(M11&lt;&gt;"",M11=A11,K11&lt;&gt;"No change (same URL)"),"Redirects to itself; ","")&amp;IF(AND(M11&lt;&gt;"",OR(M11="/",AND(LEFT(M11,4)="http",OR((LEN(M11)-LEN(SUBSTITUTE(M11,"/","")))=2,AND((LEN(M11)-LEN(SUBSTITUTE(M11,"/","")))=3,RIGHT(M11,1)="/"))))),"Home page redirect; ","")&amp;IF(N(R11)&gt;1,"Chain; ","")&amp;IF(S11="No","Destination not 200; ","")))</f>
        <v/>
      </c>
      <c r="U11" s="22" t="n"/>
      <c r="V11" s="22" t="n"/>
      <c r="W11" s="4" t="n"/>
    </row>
    <row r="12">
      <c r="A12" s="22" t="n"/>
      <c r="B12" s="22" t="n"/>
      <c r="C12" s="22" t="n"/>
      <c r="D12" s="22">
        <f>IF(A12="","",IF(OR(N(B12)&gt;=$C$2,N(C12)&gt;=$E$2),"High",IF(OR(N(B12)&gt;0,N(C12)&gt;0),"Medium","Low")))</f>
        <v/>
      </c>
      <c r="E12" s="22" t="n"/>
      <c r="F12" s="22" t="n"/>
      <c r="G12" s="22" t="n"/>
      <c r="H12" s="22" t="n"/>
      <c r="I12" s="22" t="n"/>
      <c r="J12" s="22" t="n"/>
      <c r="K12" s="22" t="n"/>
      <c r="L12" s="22" t="n"/>
      <c r="M12" s="22">
        <f>IF(K12="Override",L12,IF(K12="Accept suggestion",F12,IF(K12="No change (same URL)",A12,"")))</f>
        <v/>
      </c>
      <c r="N12" s="22">
        <f>IF(A12="","",IF(K12="410 Gone","410",IF(K12="404","404",IF(K12="No change (same URL)","none",IF(M12="","","301")))))</f>
        <v/>
      </c>
      <c r="O12" s="22">
        <f>IF(A12="","",IFERROR(MID(A12,FIND("/",A12,FIND("//",A12)+2),2000),A12))</f>
        <v/>
      </c>
      <c r="P12" s="22">
        <f>IF(OR(O12="",N12="",N12="none",N12="404"),"",IF(N12="410","Redirect gone "&amp;O12,"Redirect "&amp;N12&amp;" "&amp;O12&amp;" "&amp;M12))</f>
        <v/>
      </c>
      <c r="Q12" s="22" t="n"/>
      <c r="R12" s="22" t="n"/>
      <c r="S12" s="22" t="n"/>
      <c r="T12" s="4">
        <f>IF(A12="","",TRIM(IF(K12="","Needs decision; ","")&amp;IF(AND(K12="Accept suggestion",F12=""),"No suggestion to accept; ","")&amp;IF(AND(K12="Override",L12=""),"Override URL missing; ","")&amp;IF(AND(K12="Accept suggestion",N(G12)&lt;$G$2),"Below your threshold; ","")&amp;IF(AND(M12&lt;&gt;"",M12=A12,K12&lt;&gt;"No change (same URL)"),"Redirects to itself; ","")&amp;IF(AND(M12&lt;&gt;"",OR(M12="/",AND(LEFT(M12,4)="http",OR((LEN(M12)-LEN(SUBSTITUTE(M12,"/","")))=2,AND((LEN(M12)-LEN(SUBSTITUTE(M12,"/","")))=3,RIGHT(M12,1)="/"))))),"Home page redirect; ","")&amp;IF(N(R12)&gt;1,"Chain; ","")&amp;IF(S12="No","Destination not 200; ","")))</f>
        <v/>
      </c>
      <c r="U12" s="22" t="n"/>
      <c r="V12" s="22" t="n"/>
      <c r="W12" s="4" t="n"/>
    </row>
    <row r="13">
      <c r="A13" s="22" t="n"/>
      <c r="B13" s="22" t="n"/>
      <c r="C13" s="22" t="n"/>
      <c r="D13" s="22">
        <f>IF(A13="","",IF(OR(N(B13)&gt;=$C$2,N(C13)&gt;=$E$2),"High",IF(OR(N(B13)&gt;0,N(C13)&gt;0),"Medium","Low")))</f>
        <v/>
      </c>
      <c r="E13" s="22" t="n"/>
      <c r="F13" s="22" t="n"/>
      <c r="G13" s="22" t="n"/>
      <c r="H13" s="22" t="n"/>
      <c r="I13" s="22" t="n"/>
      <c r="J13" s="22" t="n"/>
      <c r="K13" s="22" t="n"/>
      <c r="L13" s="22" t="n"/>
      <c r="M13" s="22">
        <f>IF(K13="Override",L13,IF(K13="Accept suggestion",F13,IF(K13="No change (same URL)",A13,"")))</f>
        <v/>
      </c>
      <c r="N13" s="22">
        <f>IF(A13="","",IF(K13="410 Gone","410",IF(K13="404","404",IF(K13="No change (same URL)","none",IF(M13="","","301")))))</f>
        <v/>
      </c>
      <c r="O13" s="22">
        <f>IF(A13="","",IFERROR(MID(A13,FIND("/",A13,FIND("//",A13)+2),2000),A13))</f>
        <v/>
      </c>
      <c r="P13" s="22">
        <f>IF(OR(O13="",N13="",N13="none",N13="404"),"",IF(N13="410","Redirect gone "&amp;O13,"Redirect "&amp;N13&amp;" "&amp;O13&amp;" "&amp;M13))</f>
        <v/>
      </c>
      <c r="Q13" s="22" t="n"/>
      <c r="R13" s="22" t="n"/>
      <c r="S13" s="22" t="n"/>
      <c r="T13" s="4">
        <f>IF(A13="","",TRIM(IF(K13="","Needs decision; ","")&amp;IF(AND(K13="Accept suggestion",F13=""),"No suggestion to accept; ","")&amp;IF(AND(K13="Override",L13=""),"Override URL missing; ","")&amp;IF(AND(K13="Accept suggestion",N(G13)&lt;$G$2),"Below your threshold; ","")&amp;IF(AND(M13&lt;&gt;"",M13=A13,K13&lt;&gt;"No change (same URL)"),"Redirects to itself; ","")&amp;IF(AND(M13&lt;&gt;"",OR(M13="/",AND(LEFT(M13,4)="http",OR((LEN(M13)-LEN(SUBSTITUTE(M13,"/","")))=2,AND((LEN(M13)-LEN(SUBSTITUTE(M13,"/","")))=3,RIGHT(M13,1)="/"))))),"Home page redirect; ","")&amp;IF(N(R13)&gt;1,"Chain; ","")&amp;IF(S13="No","Destination not 200; ","")))</f>
        <v/>
      </c>
      <c r="U13" s="22" t="n"/>
      <c r="V13" s="22" t="n"/>
      <c r="W13" s="4" t="n"/>
    </row>
    <row r="14">
      <c r="A14" s="22" t="n"/>
      <c r="B14" s="22" t="n"/>
      <c r="C14" s="22" t="n"/>
      <c r="D14" s="22">
        <f>IF(A14="","",IF(OR(N(B14)&gt;=$C$2,N(C14)&gt;=$E$2),"High",IF(OR(N(B14)&gt;0,N(C14)&gt;0),"Medium","Low")))</f>
        <v/>
      </c>
      <c r="E14" s="22" t="n"/>
      <c r="F14" s="22" t="n"/>
      <c r="G14" s="22" t="n"/>
      <c r="H14" s="22" t="n"/>
      <c r="I14" s="22" t="n"/>
      <c r="J14" s="22" t="n"/>
      <c r="K14" s="22" t="n"/>
      <c r="L14" s="22" t="n"/>
      <c r="M14" s="22">
        <f>IF(K14="Override",L14,IF(K14="Accept suggestion",F14,IF(K14="No change (same URL)",A14,"")))</f>
        <v/>
      </c>
      <c r="N14" s="22">
        <f>IF(A14="","",IF(K14="410 Gone","410",IF(K14="404","404",IF(K14="No change (same URL)","none",IF(M14="","","301")))))</f>
        <v/>
      </c>
      <c r="O14" s="22">
        <f>IF(A14="","",IFERROR(MID(A14,FIND("/",A14,FIND("//",A14)+2),2000),A14))</f>
        <v/>
      </c>
      <c r="P14" s="22">
        <f>IF(OR(O14="",N14="",N14="none",N14="404"),"",IF(N14="410","Redirect gone "&amp;O14,"Redirect "&amp;N14&amp;" "&amp;O14&amp;" "&amp;M14))</f>
        <v/>
      </c>
      <c r="Q14" s="22" t="n"/>
      <c r="R14" s="22" t="n"/>
      <c r="S14" s="22" t="n"/>
      <c r="T14" s="4">
        <f>IF(A14="","",TRIM(IF(K14="","Needs decision; ","")&amp;IF(AND(K14="Accept suggestion",F14=""),"No suggestion to accept; ","")&amp;IF(AND(K14="Override",L14=""),"Override URL missing; ","")&amp;IF(AND(K14="Accept suggestion",N(G14)&lt;$G$2),"Below your threshold; ","")&amp;IF(AND(M14&lt;&gt;"",M14=A14,K14&lt;&gt;"No change (same URL)"),"Redirects to itself; ","")&amp;IF(AND(M14&lt;&gt;"",OR(M14="/",AND(LEFT(M14,4)="http",OR((LEN(M14)-LEN(SUBSTITUTE(M14,"/","")))=2,AND((LEN(M14)-LEN(SUBSTITUTE(M14,"/","")))=3,RIGHT(M14,1)="/"))))),"Home page redirect; ","")&amp;IF(N(R14)&gt;1,"Chain; ","")&amp;IF(S14="No","Destination not 200; ","")))</f>
        <v/>
      </c>
      <c r="U14" s="22" t="n"/>
      <c r="V14" s="22" t="n"/>
      <c r="W14" s="4" t="n"/>
    </row>
    <row r="15">
      <c r="A15" s="22" t="n"/>
      <c r="B15" s="22" t="n"/>
      <c r="C15" s="22" t="n"/>
      <c r="D15" s="22">
        <f>IF(A15="","",IF(OR(N(B15)&gt;=$C$2,N(C15)&gt;=$E$2),"High",IF(OR(N(B15)&gt;0,N(C15)&gt;0),"Medium","Low")))</f>
        <v/>
      </c>
      <c r="E15" s="22" t="n"/>
      <c r="F15" s="22" t="n"/>
      <c r="G15" s="22" t="n"/>
      <c r="H15" s="22" t="n"/>
      <c r="I15" s="22" t="n"/>
      <c r="J15" s="22" t="n"/>
      <c r="K15" s="22" t="n"/>
      <c r="L15" s="22" t="n"/>
      <c r="M15" s="22">
        <f>IF(K15="Override",L15,IF(K15="Accept suggestion",F15,IF(K15="No change (same URL)",A15,"")))</f>
        <v/>
      </c>
      <c r="N15" s="22">
        <f>IF(A15="","",IF(K15="410 Gone","410",IF(K15="404","404",IF(K15="No change (same URL)","none",IF(M15="","","301")))))</f>
        <v/>
      </c>
      <c r="O15" s="22">
        <f>IF(A15="","",IFERROR(MID(A15,FIND("/",A15,FIND("//",A15)+2),2000),A15))</f>
        <v/>
      </c>
      <c r="P15" s="22">
        <f>IF(OR(O15="",N15="",N15="none",N15="404"),"",IF(N15="410","Redirect gone "&amp;O15,"Redirect "&amp;N15&amp;" "&amp;O15&amp;" "&amp;M15))</f>
        <v/>
      </c>
      <c r="Q15" s="22" t="n"/>
      <c r="R15" s="22" t="n"/>
      <c r="S15" s="22" t="n"/>
      <c r="T15" s="4">
        <f>IF(A15="","",TRIM(IF(K15="","Needs decision; ","")&amp;IF(AND(K15="Accept suggestion",F15=""),"No suggestion to accept; ","")&amp;IF(AND(K15="Override",L15=""),"Override URL missing; ","")&amp;IF(AND(K15="Accept suggestion",N(G15)&lt;$G$2),"Below your threshold; ","")&amp;IF(AND(M15&lt;&gt;"",M15=A15,K15&lt;&gt;"No change (same URL)"),"Redirects to itself; ","")&amp;IF(AND(M15&lt;&gt;"",OR(M15="/",AND(LEFT(M15,4)="http",OR((LEN(M15)-LEN(SUBSTITUTE(M15,"/","")))=2,AND((LEN(M15)-LEN(SUBSTITUTE(M15,"/","")))=3,RIGHT(M15,1)="/"))))),"Home page redirect; ","")&amp;IF(N(R15)&gt;1,"Chain; ","")&amp;IF(S15="No","Destination not 200; ","")))</f>
        <v/>
      </c>
      <c r="U15" s="22" t="n"/>
      <c r="V15" s="22" t="n"/>
      <c r="W15" s="4" t="n"/>
    </row>
    <row r="16">
      <c r="A16" s="22" t="n"/>
      <c r="B16" s="22" t="n"/>
      <c r="C16" s="22" t="n"/>
      <c r="D16" s="22">
        <f>IF(A16="","",IF(OR(N(B16)&gt;=$C$2,N(C16)&gt;=$E$2),"High",IF(OR(N(B16)&gt;0,N(C16)&gt;0),"Medium","Low")))</f>
        <v/>
      </c>
      <c r="E16" s="22" t="n"/>
      <c r="F16" s="22" t="n"/>
      <c r="G16" s="22" t="n"/>
      <c r="H16" s="22" t="n"/>
      <c r="I16" s="22" t="n"/>
      <c r="J16" s="22" t="n"/>
      <c r="K16" s="22" t="n"/>
      <c r="L16" s="22" t="n"/>
      <c r="M16" s="22">
        <f>IF(K16="Override",L16,IF(K16="Accept suggestion",F16,IF(K16="No change (same URL)",A16,"")))</f>
        <v/>
      </c>
      <c r="N16" s="22">
        <f>IF(A16="","",IF(K16="410 Gone","410",IF(K16="404","404",IF(K16="No change (same URL)","none",IF(M16="","","301")))))</f>
        <v/>
      </c>
      <c r="O16" s="22">
        <f>IF(A16="","",IFERROR(MID(A16,FIND("/",A16,FIND("//",A16)+2),2000),A16))</f>
        <v/>
      </c>
      <c r="P16" s="22">
        <f>IF(OR(O16="",N16="",N16="none",N16="404"),"",IF(N16="410","Redirect gone "&amp;O16,"Redirect "&amp;N16&amp;" "&amp;O16&amp;" "&amp;M16))</f>
        <v/>
      </c>
      <c r="Q16" s="22" t="n"/>
      <c r="R16" s="22" t="n"/>
      <c r="S16" s="22" t="n"/>
      <c r="T16" s="4">
        <f>IF(A16="","",TRIM(IF(K16="","Needs decision; ","")&amp;IF(AND(K16="Accept suggestion",F16=""),"No suggestion to accept; ","")&amp;IF(AND(K16="Override",L16=""),"Override URL missing; ","")&amp;IF(AND(K16="Accept suggestion",N(G16)&lt;$G$2),"Below your threshold; ","")&amp;IF(AND(M16&lt;&gt;"",M16=A16,K16&lt;&gt;"No change (same URL)"),"Redirects to itself; ","")&amp;IF(AND(M16&lt;&gt;"",OR(M16="/",AND(LEFT(M16,4)="http",OR((LEN(M16)-LEN(SUBSTITUTE(M16,"/","")))=2,AND((LEN(M16)-LEN(SUBSTITUTE(M16,"/","")))=3,RIGHT(M16,1)="/"))))),"Home page redirect; ","")&amp;IF(N(R16)&gt;1,"Chain; ","")&amp;IF(S16="No","Destination not 200; ","")))</f>
        <v/>
      </c>
      <c r="U16" s="22" t="n"/>
      <c r="V16" s="22" t="n"/>
      <c r="W16" s="4" t="n"/>
    </row>
    <row r="17">
      <c r="A17" s="22" t="n"/>
      <c r="B17" s="22" t="n"/>
      <c r="C17" s="22" t="n"/>
      <c r="D17" s="22">
        <f>IF(A17="","",IF(OR(N(B17)&gt;=$C$2,N(C17)&gt;=$E$2),"High",IF(OR(N(B17)&gt;0,N(C17)&gt;0),"Medium","Low")))</f>
        <v/>
      </c>
      <c r="E17" s="22" t="n"/>
      <c r="F17" s="22" t="n"/>
      <c r="G17" s="22" t="n"/>
      <c r="H17" s="22" t="n"/>
      <c r="I17" s="22" t="n"/>
      <c r="J17" s="22" t="n"/>
      <c r="K17" s="22" t="n"/>
      <c r="L17" s="22" t="n"/>
      <c r="M17" s="22">
        <f>IF(K17="Override",L17,IF(K17="Accept suggestion",F17,IF(K17="No change (same URL)",A17,"")))</f>
        <v/>
      </c>
      <c r="N17" s="22">
        <f>IF(A17="","",IF(K17="410 Gone","410",IF(K17="404","404",IF(K17="No change (same URL)","none",IF(M17="","","301")))))</f>
        <v/>
      </c>
      <c r="O17" s="22">
        <f>IF(A17="","",IFERROR(MID(A17,FIND("/",A17,FIND("//",A17)+2),2000),A17))</f>
        <v/>
      </c>
      <c r="P17" s="22">
        <f>IF(OR(O17="",N17="",N17="none",N17="404"),"",IF(N17="410","Redirect gone "&amp;O17,"Redirect "&amp;N17&amp;" "&amp;O17&amp;" "&amp;M17))</f>
        <v/>
      </c>
      <c r="Q17" s="22" t="n"/>
      <c r="R17" s="22" t="n"/>
      <c r="S17" s="22" t="n"/>
      <c r="T17" s="4">
        <f>IF(A17="","",TRIM(IF(K17="","Needs decision; ","")&amp;IF(AND(K17="Accept suggestion",F17=""),"No suggestion to accept; ","")&amp;IF(AND(K17="Override",L17=""),"Override URL missing; ","")&amp;IF(AND(K17="Accept suggestion",N(G17)&lt;$G$2),"Below your threshold; ","")&amp;IF(AND(M17&lt;&gt;"",M17=A17,K17&lt;&gt;"No change (same URL)"),"Redirects to itself; ","")&amp;IF(AND(M17&lt;&gt;"",OR(M17="/",AND(LEFT(M17,4)="http",OR((LEN(M17)-LEN(SUBSTITUTE(M17,"/","")))=2,AND((LEN(M17)-LEN(SUBSTITUTE(M17,"/","")))=3,RIGHT(M17,1)="/"))))),"Home page redirect; ","")&amp;IF(N(R17)&gt;1,"Chain; ","")&amp;IF(S17="No","Destination not 200; ","")))</f>
        <v/>
      </c>
      <c r="U17" s="22" t="n"/>
      <c r="V17" s="22" t="n"/>
      <c r="W17" s="4" t="n"/>
    </row>
    <row r="18">
      <c r="A18" s="22" t="n"/>
      <c r="B18" s="22" t="n"/>
      <c r="C18" s="22" t="n"/>
      <c r="D18" s="22">
        <f>IF(A18="","",IF(OR(N(B18)&gt;=$C$2,N(C18)&gt;=$E$2),"High",IF(OR(N(B18)&gt;0,N(C18)&gt;0),"Medium","Low")))</f>
        <v/>
      </c>
      <c r="E18" s="22" t="n"/>
      <c r="F18" s="22" t="n"/>
      <c r="G18" s="22" t="n"/>
      <c r="H18" s="22" t="n"/>
      <c r="I18" s="22" t="n"/>
      <c r="J18" s="22" t="n"/>
      <c r="K18" s="22" t="n"/>
      <c r="L18" s="22" t="n"/>
      <c r="M18" s="22">
        <f>IF(K18="Override",L18,IF(K18="Accept suggestion",F18,IF(K18="No change (same URL)",A18,"")))</f>
        <v/>
      </c>
      <c r="N18" s="22">
        <f>IF(A18="","",IF(K18="410 Gone","410",IF(K18="404","404",IF(K18="No change (same URL)","none",IF(M18="","","301")))))</f>
        <v/>
      </c>
      <c r="O18" s="22">
        <f>IF(A18="","",IFERROR(MID(A18,FIND("/",A18,FIND("//",A18)+2),2000),A18))</f>
        <v/>
      </c>
      <c r="P18" s="22">
        <f>IF(OR(O18="",N18="",N18="none",N18="404"),"",IF(N18="410","Redirect gone "&amp;O18,"Redirect "&amp;N18&amp;" "&amp;O18&amp;" "&amp;M18))</f>
        <v/>
      </c>
      <c r="Q18" s="22" t="n"/>
      <c r="R18" s="22" t="n"/>
      <c r="S18" s="22" t="n"/>
      <c r="T18" s="4">
        <f>IF(A18="","",TRIM(IF(K18="","Needs decision; ","")&amp;IF(AND(K18="Accept suggestion",F18=""),"No suggestion to accept; ","")&amp;IF(AND(K18="Override",L18=""),"Override URL missing; ","")&amp;IF(AND(K18="Accept suggestion",N(G18)&lt;$G$2),"Below your threshold; ","")&amp;IF(AND(M18&lt;&gt;"",M18=A18,K18&lt;&gt;"No change (same URL)"),"Redirects to itself; ","")&amp;IF(AND(M18&lt;&gt;"",OR(M18="/",AND(LEFT(M18,4)="http",OR((LEN(M18)-LEN(SUBSTITUTE(M18,"/","")))=2,AND((LEN(M18)-LEN(SUBSTITUTE(M18,"/","")))=3,RIGHT(M18,1)="/"))))),"Home page redirect; ","")&amp;IF(N(R18)&gt;1,"Chain; ","")&amp;IF(S18="No","Destination not 200; ","")))</f>
        <v/>
      </c>
      <c r="U18" s="22" t="n"/>
      <c r="V18" s="22" t="n"/>
      <c r="W18" s="4" t="n"/>
    </row>
    <row r="19">
      <c r="A19" s="22" t="n"/>
      <c r="B19" s="22" t="n"/>
      <c r="C19" s="22" t="n"/>
      <c r="D19" s="22">
        <f>IF(A19="","",IF(OR(N(B19)&gt;=$C$2,N(C19)&gt;=$E$2),"High",IF(OR(N(B19)&gt;0,N(C19)&gt;0),"Medium","Low")))</f>
        <v/>
      </c>
      <c r="E19" s="22" t="n"/>
      <c r="F19" s="22" t="n"/>
      <c r="G19" s="22" t="n"/>
      <c r="H19" s="22" t="n"/>
      <c r="I19" s="22" t="n"/>
      <c r="J19" s="22" t="n"/>
      <c r="K19" s="22" t="n"/>
      <c r="L19" s="22" t="n"/>
      <c r="M19" s="22">
        <f>IF(K19="Override",L19,IF(K19="Accept suggestion",F19,IF(K19="No change (same URL)",A19,"")))</f>
        <v/>
      </c>
      <c r="N19" s="22">
        <f>IF(A19="","",IF(K19="410 Gone","410",IF(K19="404","404",IF(K19="No change (same URL)","none",IF(M19="","","301")))))</f>
        <v/>
      </c>
      <c r="O19" s="22">
        <f>IF(A19="","",IFERROR(MID(A19,FIND("/",A19,FIND("//",A19)+2),2000),A19))</f>
        <v/>
      </c>
      <c r="P19" s="22">
        <f>IF(OR(O19="",N19="",N19="none",N19="404"),"",IF(N19="410","Redirect gone "&amp;O19,"Redirect "&amp;N19&amp;" "&amp;O19&amp;" "&amp;M19))</f>
        <v/>
      </c>
      <c r="Q19" s="22" t="n"/>
      <c r="R19" s="22" t="n"/>
      <c r="S19" s="22" t="n"/>
      <c r="T19" s="4">
        <f>IF(A19="","",TRIM(IF(K19="","Needs decision; ","")&amp;IF(AND(K19="Accept suggestion",F19=""),"No suggestion to accept; ","")&amp;IF(AND(K19="Override",L19=""),"Override URL missing; ","")&amp;IF(AND(K19="Accept suggestion",N(G19)&lt;$G$2),"Below your threshold; ","")&amp;IF(AND(M19&lt;&gt;"",M19=A19,K19&lt;&gt;"No change (same URL)"),"Redirects to itself; ","")&amp;IF(AND(M19&lt;&gt;"",OR(M19="/",AND(LEFT(M19,4)="http",OR((LEN(M19)-LEN(SUBSTITUTE(M19,"/","")))=2,AND((LEN(M19)-LEN(SUBSTITUTE(M19,"/","")))=3,RIGHT(M19,1)="/"))))),"Home page redirect; ","")&amp;IF(N(R19)&gt;1,"Chain; ","")&amp;IF(S19="No","Destination not 200; ","")))</f>
        <v/>
      </c>
      <c r="U19" s="22" t="n"/>
      <c r="V19" s="22" t="n"/>
      <c r="W19" s="4" t="n"/>
    </row>
    <row r="20">
      <c r="A20" s="22" t="n"/>
      <c r="B20" s="22" t="n"/>
      <c r="C20" s="22" t="n"/>
      <c r="D20" s="22">
        <f>IF(A20="","",IF(OR(N(B20)&gt;=$C$2,N(C20)&gt;=$E$2),"High",IF(OR(N(B20)&gt;0,N(C20)&gt;0),"Medium","Low")))</f>
        <v/>
      </c>
      <c r="E20" s="22" t="n"/>
      <c r="F20" s="22" t="n"/>
      <c r="G20" s="22" t="n"/>
      <c r="H20" s="22" t="n"/>
      <c r="I20" s="22" t="n"/>
      <c r="J20" s="22" t="n"/>
      <c r="K20" s="22" t="n"/>
      <c r="L20" s="22" t="n"/>
      <c r="M20" s="22">
        <f>IF(K20="Override",L20,IF(K20="Accept suggestion",F20,IF(K20="No change (same URL)",A20,"")))</f>
        <v/>
      </c>
      <c r="N20" s="22">
        <f>IF(A20="","",IF(K20="410 Gone","410",IF(K20="404","404",IF(K20="No change (same URL)","none",IF(M20="","","301")))))</f>
        <v/>
      </c>
      <c r="O20" s="22">
        <f>IF(A20="","",IFERROR(MID(A20,FIND("/",A20,FIND("//",A20)+2),2000),A20))</f>
        <v/>
      </c>
      <c r="P20" s="22">
        <f>IF(OR(O20="",N20="",N20="none",N20="404"),"",IF(N20="410","Redirect gone "&amp;O20,"Redirect "&amp;N20&amp;" "&amp;O20&amp;" "&amp;M20))</f>
        <v/>
      </c>
      <c r="Q20" s="22" t="n"/>
      <c r="R20" s="22" t="n"/>
      <c r="S20" s="22" t="n"/>
      <c r="T20" s="4">
        <f>IF(A20="","",TRIM(IF(K20="","Needs decision; ","")&amp;IF(AND(K20="Accept suggestion",F20=""),"No suggestion to accept; ","")&amp;IF(AND(K20="Override",L20=""),"Override URL missing; ","")&amp;IF(AND(K20="Accept suggestion",N(G20)&lt;$G$2),"Below your threshold; ","")&amp;IF(AND(M20&lt;&gt;"",M20=A20,K20&lt;&gt;"No change (same URL)"),"Redirects to itself; ","")&amp;IF(AND(M20&lt;&gt;"",OR(M20="/",AND(LEFT(M20,4)="http",OR((LEN(M20)-LEN(SUBSTITUTE(M20,"/","")))=2,AND((LEN(M20)-LEN(SUBSTITUTE(M20,"/","")))=3,RIGHT(M20,1)="/"))))),"Home page redirect; ","")&amp;IF(N(R20)&gt;1,"Chain; ","")&amp;IF(S20="No","Destination not 200; ","")))</f>
        <v/>
      </c>
      <c r="U20" s="22" t="n"/>
      <c r="V20" s="22" t="n"/>
      <c r="W20" s="4" t="n"/>
    </row>
    <row r="21">
      <c r="A21" s="22" t="n"/>
      <c r="B21" s="22" t="n"/>
      <c r="C21" s="22" t="n"/>
      <c r="D21" s="22">
        <f>IF(A21="","",IF(OR(N(B21)&gt;=$C$2,N(C21)&gt;=$E$2),"High",IF(OR(N(B21)&gt;0,N(C21)&gt;0),"Medium","Low")))</f>
        <v/>
      </c>
      <c r="E21" s="22" t="n"/>
      <c r="F21" s="22" t="n"/>
      <c r="G21" s="22" t="n"/>
      <c r="H21" s="22" t="n"/>
      <c r="I21" s="22" t="n"/>
      <c r="J21" s="22" t="n"/>
      <c r="K21" s="22" t="n"/>
      <c r="L21" s="22" t="n"/>
      <c r="M21" s="22">
        <f>IF(K21="Override",L21,IF(K21="Accept suggestion",F21,IF(K21="No change (same URL)",A21,"")))</f>
        <v/>
      </c>
      <c r="N21" s="22">
        <f>IF(A21="","",IF(K21="410 Gone","410",IF(K21="404","404",IF(K21="No change (same URL)","none",IF(M21="","","301")))))</f>
        <v/>
      </c>
      <c r="O21" s="22">
        <f>IF(A21="","",IFERROR(MID(A21,FIND("/",A21,FIND("//",A21)+2),2000),A21))</f>
        <v/>
      </c>
      <c r="P21" s="22">
        <f>IF(OR(O21="",N21="",N21="none",N21="404"),"",IF(N21="410","Redirect gone "&amp;O21,"Redirect "&amp;N21&amp;" "&amp;O21&amp;" "&amp;M21))</f>
        <v/>
      </c>
      <c r="Q21" s="22" t="n"/>
      <c r="R21" s="22" t="n"/>
      <c r="S21" s="22" t="n"/>
      <c r="T21" s="4">
        <f>IF(A21="","",TRIM(IF(K21="","Needs decision; ","")&amp;IF(AND(K21="Accept suggestion",F21=""),"No suggestion to accept; ","")&amp;IF(AND(K21="Override",L21=""),"Override URL missing; ","")&amp;IF(AND(K21="Accept suggestion",N(G21)&lt;$G$2),"Below your threshold; ","")&amp;IF(AND(M21&lt;&gt;"",M21=A21,K21&lt;&gt;"No change (same URL)"),"Redirects to itself; ","")&amp;IF(AND(M21&lt;&gt;"",OR(M21="/",AND(LEFT(M21,4)="http",OR((LEN(M21)-LEN(SUBSTITUTE(M21,"/","")))=2,AND((LEN(M21)-LEN(SUBSTITUTE(M21,"/","")))=3,RIGHT(M21,1)="/"))))),"Home page redirect; ","")&amp;IF(N(R21)&gt;1,"Chain; ","")&amp;IF(S21="No","Destination not 200; ","")))</f>
        <v/>
      </c>
      <c r="U21" s="22" t="n"/>
      <c r="V21" s="22" t="n"/>
      <c r="W21" s="4" t="n"/>
    </row>
    <row r="22">
      <c r="A22" s="22" t="n"/>
      <c r="B22" s="22" t="n"/>
      <c r="C22" s="22" t="n"/>
      <c r="D22" s="22">
        <f>IF(A22="","",IF(OR(N(B22)&gt;=$C$2,N(C22)&gt;=$E$2),"High",IF(OR(N(B22)&gt;0,N(C22)&gt;0),"Medium","Low")))</f>
        <v/>
      </c>
      <c r="E22" s="22" t="n"/>
      <c r="F22" s="22" t="n"/>
      <c r="G22" s="22" t="n"/>
      <c r="H22" s="22" t="n"/>
      <c r="I22" s="22" t="n"/>
      <c r="J22" s="22" t="n"/>
      <c r="K22" s="22" t="n"/>
      <c r="L22" s="22" t="n"/>
      <c r="M22" s="22">
        <f>IF(K22="Override",L22,IF(K22="Accept suggestion",F22,IF(K22="No change (same URL)",A22,"")))</f>
        <v/>
      </c>
      <c r="N22" s="22">
        <f>IF(A22="","",IF(K22="410 Gone","410",IF(K22="404","404",IF(K22="No change (same URL)","none",IF(M22="","","301")))))</f>
        <v/>
      </c>
      <c r="O22" s="22">
        <f>IF(A22="","",IFERROR(MID(A22,FIND("/",A22,FIND("//",A22)+2),2000),A22))</f>
        <v/>
      </c>
      <c r="P22" s="22">
        <f>IF(OR(O22="",N22="",N22="none",N22="404"),"",IF(N22="410","Redirect gone "&amp;O22,"Redirect "&amp;N22&amp;" "&amp;O22&amp;" "&amp;M22))</f>
        <v/>
      </c>
      <c r="Q22" s="22" t="n"/>
      <c r="R22" s="22" t="n"/>
      <c r="S22" s="22" t="n"/>
      <c r="T22" s="4">
        <f>IF(A22="","",TRIM(IF(K22="","Needs decision; ","")&amp;IF(AND(K22="Accept suggestion",F22=""),"No suggestion to accept; ","")&amp;IF(AND(K22="Override",L22=""),"Override URL missing; ","")&amp;IF(AND(K22="Accept suggestion",N(G22)&lt;$G$2),"Below your threshold; ","")&amp;IF(AND(M22&lt;&gt;"",M22=A22,K22&lt;&gt;"No change (same URL)"),"Redirects to itself; ","")&amp;IF(AND(M22&lt;&gt;"",OR(M22="/",AND(LEFT(M22,4)="http",OR((LEN(M22)-LEN(SUBSTITUTE(M22,"/","")))=2,AND((LEN(M22)-LEN(SUBSTITUTE(M22,"/","")))=3,RIGHT(M22,1)="/"))))),"Home page redirect; ","")&amp;IF(N(R22)&gt;1,"Chain; ","")&amp;IF(S22="No","Destination not 200; ","")))</f>
        <v/>
      </c>
      <c r="U22" s="22" t="n"/>
      <c r="V22" s="22" t="n"/>
      <c r="W22" s="4" t="n"/>
    </row>
    <row r="23">
      <c r="A23" s="22" t="n"/>
      <c r="B23" s="22" t="n"/>
      <c r="C23" s="22" t="n"/>
      <c r="D23" s="22">
        <f>IF(A23="","",IF(OR(N(B23)&gt;=$C$2,N(C23)&gt;=$E$2),"High",IF(OR(N(B23)&gt;0,N(C23)&gt;0),"Medium","Low")))</f>
        <v/>
      </c>
      <c r="E23" s="22" t="n"/>
      <c r="F23" s="22" t="n"/>
      <c r="G23" s="22" t="n"/>
      <c r="H23" s="22" t="n"/>
      <c r="I23" s="22" t="n"/>
      <c r="J23" s="22" t="n"/>
      <c r="K23" s="22" t="n"/>
      <c r="L23" s="22" t="n"/>
      <c r="M23" s="22">
        <f>IF(K23="Override",L23,IF(K23="Accept suggestion",F23,IF(K23="No change (same URL)",A23,"")))</f>
        <v/>
      </c>
      <c r="N23" s="22">
        <f>IF(A23="","",IF(K23="410 Gone","410",IF(K23="404","404",IF(K23="No change (same URL)","none",IF(M23="","","301")))))</f>
        <v/>
      </c>
      <c r="O23" s="22">
        <f>IF(A23="","",IFERROR(MID(A23,FIND("/",A23,FIND("//",A23)+2),2000),A23))</f>
        <v/>
      </c>
      <c r="P23" s="22">
        <f>IF(OR(O23="",N23="",N23="none",N23="404"),"",IF(N23="410","Redirect gone "&amp;O23,"Redirect "&amp;N23&amp;" "&amp;O23&amp;" "&amp;M23))</f>
        <v/>
      </c>
      <c r="Q23" s="22" t="n"/>
      <c r="R23" s="22" t="n"/>
      <c r="S23" s="22" t="n"/>
      <c r="T23" s="4">
        <f>IF(A23="","",TRIM(IF(K23="","Needs decision; ","")&amp;IF(AND(K23="Accept suggestion",F23=""),"No suggestion to accept; ","")&amp;IF(AND(K23="Override",L23=""),"Override URL missing; ","")&amp;IF(AND(K23="Accept suggestion",N(G23)&lt;$G$2),"Below your threshold; ","")&amp;IF(AND(M23&lt;&gt;"",M23=A23,K23&lt;&gt;"No change (same URL)"),"Redirects to itself; ","")&amp;IF(AND(M23&lt;&gt;"",OR(M23="/",AND(LEFT(M23,4)="http",OR((LEN(M23)-LEN(SUBSTITUTE(M23,"/","")))=2,AND((LEN(M23)-LEN(SUBSTITUTE(M23,"/","")))=3,RIGHT(M23,1)="/"))))),"Home page redirect; ","")&amp;IF(N(R23)&gt;1,"Chain; ","")&amp;IF(S23="No","Destination not 200; ","")))</f>
        <v/>
      </c>
      <c r="U23" s="22" t="n"/>
      <c r="V23" s="22" t="n"/>
      <c r="W23" s="4" t="n"/>
    </row>
    <row r="24">
      <c r="A24" s="22" t="n"/>
      <c r="B24" s="22" t="n"/>
      <c r="C24" s="22" t="n"/>
      <c r="D24" s="22">
        <f>IF(A24="","",IF(OR(N(B24)&gt;=$C$2,N(C24)&gt;=$E$2),"High",IF(OR(N(B24)&gt;0,N(C24)&gt;0),"Medium","Low")))</f>
        <v/>
      </c>
      <c r="E24" s="22" t="n"/>
      <c r="F24" s="22" t="n"/>
      <c r="G24" s="22" t="n"/>
      <c r="H24" s="22" t="n"/>
      <c r="I24" s="22" t="n"/>
      <c r="J24" s="22" t="n"/>
      <c r="K24" s="22" t="n"/>
      <c r="L24" s="22" t="n"/>
      <c r="M24" s="22">
        <f>IF(K24="Override",L24,IF(K24="Accept suggestion",F24,IF(K24="No change (same URL)",A24,"")))</f>
        <v/>
      </c>
      <c r="N24" s="22">
        <f>IF(A24="","",IF(K24="410 Gone","410",IF(K24="404","404",IF(K24="No change (same URL)","none",IF(M24="","","301")))))</f>
        <v/>
      </c>
      <c r="O24" s="22">
        <f>IF(A24="","",IFERROR(MID(A24,FIND("/",A24,FIND("//",A24)+2),2000),A24))</f>
        <v/>
      </c>
      <c r="P24" s="22">
        <f>IF(OR(O24="",N24="",N24="none",N24="404"),"",IF(N24="410","Redirect gone "&amp;O24,"Redirect "&amp;N24&amp;" "&amp;O24&amp;" "&amp;M24))</f>
        <v/>
      </c>
      <c r="Q24" s="22" t="n"/>
      <c r="R24" s="22" t="n"/>
      <c r="S24" s="22" t="n"/>
      <c r="T24" s="4">
        <f>IF(A24="","",TRIM(IF(K24="","Needs decision; ","")&amp;IF(AND(K24="Accept suggestion",F24=""),"No suggestion to accept; ","")&amp;IF(AND(K24="Override",L24=""),"Override URL missing; ","")&amp;IF(AND(K24="Accept suggestion",N(G24)&lt;$G$2),"Below your threshold; ","")&amp;IF(AND(M24&lt;&gt;"",M24=A24,K24&lt;&gt;"No change (same URL)"),"Redirects to itself; ","")&amp;IF(AND(M24&lt;&gt;"",OR(M24="/",AND(LEFT(M24,4)="http",OR((LEN(M24)-LEN(SUBSTITUTE(M24,"/","")))=2,AND((LEN(M24)-LEN(SUBSTITUTE(M24,"/","")))=3,RIGHT(M24,1)="/"))))),"Home page redirect; ","")&amp;IF(N(R24)&gt;1,"Chain; ","")&amp;IF(S24="No","Destination not 200; ","")))</f>
        <v/>
      </c>
      <c r="U24" s="22" t="n"/>
      <c r="V24" s="22" t="n"/>
      <c r="W24" s="4" t="n"/>
    </row>
    <row r="25">
      <c r="A25" s="22" t="n"/>
      <c r="B25" s="22" t="n"/>
      <c r="C25" s="22" t="n"/>
      <c r="D25" s="22">
        <f>IF(A25="","",IF(OR(N(B25)&gt;=$C$2,N(C25)&gt;=$E$2),"High",IF(OR(N(B25)&gt;0,N(C25)&gt;0),"Medium","Low")))</f>
        <v/>
      </c>
      <c r="E25" s="22" t="n"/>
      <c r="F25" s="22" t="n"/>
      <c r="G25" s="22" t="n"/>
      <c r="H25" s="22" t="n"/>
      <c r="I25" s="22" t="n"/>
      <c r="J25" s="22" t="n"/>
      <c r="K25" s="22" t="n"/>
      <c r="L25" s="22" t="n"/>
      <c r="M25" s="22">
        <f>IF(K25="Override",L25,IF(K25="Accept suggestion",F25,IF(K25="No change (same URL)",A25,"")))</f>
        <v/>
      </c>
      <c r="N25" s="22">
        <f>IF(A25="","",IF(K25="410 Gone","410",IF(K25="404","404",IF(K25="No change (same URL)","none",IF(M25="","","301")))))</f>
        <v/>
      </c>
      <c r="O25" s="22">
        <f>IF(A25="","",IFERROR(MID(A25,FIND("/",A25,FIND("//",A25)+2),2000),A25))</f>
        <v/>
      </c>
      <c r="P25" s="22">
        <f>IF(OR(O25="",N25="",N25="none",N25="404"),"",IF(N25="410","Redirect gone "&amp;O25,"Redirect "&amp;N25&amp;" "&amp;O25&amp;" "&amp;M25))</f>
        <v/>
      </c>
      <c r="Q25" s="22" t="n"/>
      <c r="R25" s="22" t="n"/>
      <c r="S25" s="22" t="n"/>
      <c r="T25" s="4">
        <f>IF(A25="","",TRIM(IF(K25="","Needs decision; ","")&amp;IF(AND(K25="Accept suggestion",F25=""),"No suggestion to accept; ","")&amp;IF(AND(K25="Override",L25=""),"Override URL missing; ","")&amp;IF(AND(K25="Accept suggestion",N(G25)&lt;$G$2),"Below your threshold; ","")&amp;IF(AND(M25&lt;&gt;"",M25=A25,K25&lt;&gt;"No change (same URL)"),"Redirects to itself; ","")&amp;IF(AND(M25&lt;&gt;"",OR(M25="/",AND(LEFT(M25,4)="http",OR((LEN(M25)-LEN(SUBSTITUTE(M25,"/","")))=2,AND((LEN(M25)-LEN(SUBSTITUTE(M25,"/","")))=3,RIGHT(M25,1)="/"))))),"Home page redirect; ","")&amp;IF(N(R25)&gt;1,"Chain; ","")&amp;IF(S25="No","Destination not 200; ","")))</f>
        <v/>
      </c>
      <c r="U25" s="22" t="n"/>
      <c r="V25" s="22" t="n"/>
      <c r="W25" s="4" t="n"/>
    </row>
    <row r="26">
      <c r="A26" s="22" t="n"/>
      <c r="B26" s="22" t="n"/>
      <c r="C26" s="22" t="n"/>
      <c r="D26" s="22">
        <f>IF(A26="","",IF(OR(N(B26)&gt;=$C$2,N(C26)&gt;=$E$2),"High",IF(OR(N(B26)&gt;0,N(C26)&gt;0),"Medium","Low")))</f>
        <v/>
      </c>
      <c r="E26" s="22" t="n"/>
      <c r="F26" s="22" t="n"/>
      <c r="G26" s="22" t="n"/>
      <c r="H26" s="22" t="n"/>
      <c r="I26" s="22" t="n"/>
      <c r="J26" s="22" t="n"/>
      <c r="K26" s="22" t="n"/>
      <c r="L26" s="22" t="n"/>
      <c r="M26" s="22">
        <f>IF(K26="Override",L26,IF(K26="Accept suggestion",F26,IF(K26="No change (same URL)",A26,"")))</f>
        <v/>
      </c>
      <c r="N26" s="22">
        <f>IF(A26="","",IF(K26="410 Gone","410",IF(K26="404","404",IF(K26="No change (same URL)","none",IF(M26="","","301")))))</f>
        <v/>
      </c>
      <c r="O26" s="22">
        <f>IF(A26="","",IFERROR(MID(A26,FIND("/",A26,FIND("//",A26)+2),2000),A26))</f>
        <v/>
      </c>
      <c r="P26" s="22">
        <f>IF(OR(O26="",N26="",N26="none",N26="404"),"",IF(N26="410","Redirect gone "&amp;O26,"Redirect "&amp;N26&amp;" "&amp;O26&amp;" "&amp;M26))</f>
        <v/>
      </c>
      <c r="Q26" s="22" t="n"/>
      <c r="R26" s="22" t="n"/>
      <c r="S26" s="22" t="n"/>
      <c r="T26" s="4">
        <f>IF(A26="","",TRIM(IF(K26="","Needs decision; ","")&amp;IF(AND(K26="Accept suggestion",F26=""),"No suggestion to accept; ","")&amp;IF(AND(K26="Override",L26=""),"Override URL missing; ","")&amp;IF(AND(K26="Accept suggestion",N(G26)&lt;$G$2),"Below your threshold; ","")&amp;IF(AND(M26&lt;&gt;"",M26=A26,K26&lt;&gt;"No change (same URL)"),"Redirects to itself; ","")&amp;IF(AND(M26&lt;&gt;"",OR(M26="/",AND(LEFT(M26,4)="http",OR((LEN(M26)-LEN(SUBSTITUTE(M26,"/","")))=2,AND((LEN(M26)-LEN(SUBSTITUTE(M26,"/","")))=3,RIGHT(M26,1)="/"))))),"Home page redirect; ","")&amp;IF(N(R26)&gt;1,"Chain; ","")&amp;IF(S26="No","Destination not 200; ","")))</f>
        <v/>
      </c>
      <c r="U26" s="22" t="n"/>
      <c r="V26" s="22" t="n"/>
      <c r="W26" s="4" t="n"/>
    </row>
    <row r="27">
      <c r="A27" s="22" t="n"/>
      <c r="B27" s="22" t="n"/>
      <c r="C27" s="22" t="n"/>
      <c r="D27" s="22">
        <f>IF(A27="","",IF(OR(N(B27)&gt;=$C$2,N(C27)&gt;=$E$2),"High",IF(OR(N(B27)&gt;0,N(C27)&gt;0),"Medium","Low")))</f>
        <v/>
      </c>
      <c r="E27" s="22" t="n"/>
      <c r="F27" s="22" t="n"/>
      <c r="G27" s="22" t="n"/>
      <c r="H27" s="22" t="n"/>
      <c r="I27" s="22" t="n"/>
      <c r="J27" s="22" t="n"/>
      <c r="K27" s="22" t="n"/>
      <c r="L27" s="22" t="n"/>
      <c r="M27" s="22">
        <f>IF(K27="Override",L27,IF(K27="Accept suggestion",F27,IF(K27="No change (same URL)",A27,"")))</f>
        <v/>
      </c>
      <c r="N27" s="22">
        <f>IF(A27="","",IF(K27="410 Gone","410",IF(K27="404","404",IF(K27="No change (same URL)","none",IF(M27="","","301")))))</f>
        <v/>
      </c>
      <c r="O27" s="22">
        <f>IF(A27="","",IFERROR(MID(A27,FIND("/",A27,FIND("//",A27)+2),2000),A27))</f>
        <v/>
      </c>
      <c r="P27" s="22">
        <f>IF(OR(O27="",N27="",N27="none",N27="404"),"",IF(N27="410","Redirect gone "&amp;O27,"Redirect "&amp;N27&amp;" "&amp;O27&amp;" "&amp;M27))</f>
        <v/>
      </c>
      <c r="Q27" s="22" t="n"/>
      <c r="R27" s="22" t="n"/>
      <c r="S27" s="22" t="n"/>
      <c r="T27" s="4">
        <f>IF(A27="","",TRIM(IF(K27="","Needs decision; ","")&amp;IF(AND(K27="Accept suggestion",F27=""),"No suggestion to accept; ","")&amp;IF(AND(K27="Override",L27=""),"Override URL missing; ","")&amp;IF(AND(K27="Accept suggestion",N(G27)&lt;$G$2),"Below your threshold; ","")&amp;IF(AND(M27&lt;&gt;"",M27=A27,K27&lt;&gt;"No change (same URL)"),"Redirects to itself; ","")&amp;IF(AND(M27&lt;&gt;"",OR(M27="/",AND(LEFT(M27,4)="http",OR((LEN(M27)-LEN(SUBSTITUTE(M27,"/","")))=2,AND((LEN(M27)-LEN(SUBSTITUTE(M27,"/","")))=3,RIGHT(M27,1)="/"))))),"Home page redirect; ","")&amp;IF(N(R27)&gt;1,"Chain; ","")&amp;IF(S27="No","Destination not 200; ","")))</f>
        <v/>
      </c>
      <c r="U27" s="22" t="n"/>
      <c r="V27" s="22" t="n"/>
      <c r="W27" s="4" t="n"/>
    </row>
    <row r="28">
      <c r="A28" s="22" t="n"/>
      <c r="B28" s="22" t="n"/>
      <c r="C28" s="22" t="n"/>
      <c r="D28" s="22">
        <f>IF(A28="","",IF(OR(N(B28)&gt;=$C$2,N(C28)&gt;=$E$2),"High",IF(OR(N(B28)&gt;0,N(C28)&gt;0),"Medium","Low")))</f>
        <v/>
      </c>
      <c r="E28" s="22" t="n"/>
      <c r="F28" s="22" t="n"/>
      <c r="G28" s="22" t="n"/>
      <c r="H28" s="22" t="n"/>
      <c r="I28" s="22" t="n"/>
      <c r="J28" s="22" t="n"/>
      <c r="K28" s="22" t="n"/>
      <c r="L28" s="22" t="n"/>
      <c r="M28" s="22">
        <f>IF(K28="Override",L28,IF(K28="Accept suggestion",F28,IF(K28="No change (same URL)",A28,"")))</f>
        <v/>
      </c>
      <c r="N28" s="22">
        <f>IF(A28="","",IF(K28="410 Gone","410",IF(K28="404","404",IF(K28="No change (same URL)","none",IF(M28="","","301")))))</f>
        <v/>
      </c>
      <c r="O28" s="22">
        <f>IF(A28="","",IFERROR(MID(A28,FIND("/",A28,FIND("//",A28)+2),2000),A28))</f>
        <v/>
      </c>
      <c r="P28" s="22">
        <f>IF(OR(O28="",N28="",N28="none",N28="404"),"",IF(N28="410","Redirect gone "&amp;O28,"Redirect "&amp;N28&amp;" "&amp;O28&amp;" "&amp;M28))</f>
        <v/>
      </c>
      <c r="Q28" s="22" t="n"/>
      <c r="R28" s="22" t="n"/>
      <c r="S28" s="22" t="n"/>
      <c r="T28" s="4">
        <f>IF(A28="","",TRIM(IF(K28="","Needs decision; ","")&amp;IF(AND(K28="Accept suggestion",F28=""),"No suggestion to accept; ","")&amp;IF(AND(K28="Override",L28=""),"Override URL missing; ","")&amp;IF(AND(K28="Accept suggestion",N(G28)&lt;$G$2),"Below your threshold; ","")&amp;IF(AND(M28&lt;&gt;"",M28=A28,K28&lt;&gt;"No change (same URL)"),"Redirects to itself; ","")&amp;IF(AND(M28&lt;&gt;"",OR(M28="/",AND(LEFT(M28,4)="http",OR((LEN(M28)-LEN(SUBSTITUTE(M28,"/","")))=2,AND((LEN(M28)-LEN(SUBSTITUTE(M28,"/","")))=3,RIGHT(M28,1)="/"))))),"Home page redirect; ","")&amp;IF(N(R28)&gt;1,"Chain; ","")&amp;IF(S28="No","Destination not 200; ","")))</f>
        <v/>
      </c>
      <c r="U28" s="22" t="n"/>
      <c r="V28" s="22" t="n"/>
      <c r="W28" s="4" t="n"/>
    </row>
    <row r="29">
      <c r="A29" s="22" t="n"/>
      <c r="B29" s="22" t="n"/>
      <c r="C29" s="22" t="n"/>
      <c r="D29" s="22">
        <f>IF(A29="","",IF(OR(N(B29)&gt;=$C$2,N(C29)&gt;=$E$2),"High",IF(OR(N(B29)&gt;0,N(C29)&gt;0),"Medium","Low")))</f>
        <v/>
      </c>
      <c r="E29" s="22" t="n"/>
      <c r="F29" s="22" t="n"/>
      <c r="G29" s="22" t="n"/>
      <c r="H29" s="22" t="n"/>
      <c r="I29" s="22" t="n"/>
      <c r="J29" s="22" t="n"/>
      <c r="K29" s="22" t="n"/>
      <c r="L29" s="22" t="n"/>
      <c r="M29" s="22">
        <f>IF(K29="Override",L29,IF(K29="Accept suggestion",F29,IF(K29="No change (same URL)",A29,"")))</f>
        <v/>
      </c>
      <c r="N29" s="22">
        <f>IF(A29="","",IF(K29="410 Gone","410",IF(K29="404","404",IF(K29="No change (same URL)","none",IF(M29="","","301")))))</f>
        <v/>
      </c>
      <c r="O29" s="22">
        <f>IF(A29="","",IFERROR(MID(A29,FIND("/",A29,FIND("//",A29)+2),2000),A29))</f>
        <v/>
      </c>
      <c r="P29" s="22">
        <f>IF(OR(O29="",N29="",N29="none",N29="404"),"",IF(N29="410","Redirect gone "&amp;O29,"Redirect "&amp;N29&amp;" "&amp;O29&amp;" "&amp;M29))</f>
        <v/>
      </c>
      <c r="Q29" s="22" t="n"/>
      <c r="R29" s="22" t="n"/>
      <c r="S29" s="22" t="n"/>
      <c r="T29" s="4">
        <f>IF(A29="","",TRIM(IF(K29="","Needs decision; ","")&amp;IF(AND(K29="Accept suggestion",F29=""),"No suggestion to accept; ","")&amp;IF(AND(K29="Override",L29=""),"Override URL missing; ","")&amp;IF(AND(K29="Accept suggestion",N(G29)&lt;$G$2),"Below your threshold; ","")&amp;IF(AND(M29&lt;&gt;"",M29=A29,K29&lt;&gt;"No change (same URL)"),"Redirects to itself; ","")&amp;IF(AND(M29&lt;&gt;"",OR(M29="/",AND(LEFT(M29,4)="http",OR((LEN(M29)-LEN(SUBSTITUTE(M29,"/","")))=2,AND((LEN(M29)-LEN(SUBSTITUTE(M29,"/","")))=3,RIGHT(M29,1)="/"))))),"Home page redirect; ","")&amp;IF(N(R29)&gt;1,"Chain; ","")&amp;IF(S29="No","Destination not 200; ","")))</f>
        <v/>
      </c>
      <c r="U29" s="22" t="n"/>
      <c r="V29" s="22" t="n"/>
      <c r="W29" s="4" t="n"/>
    </row>
    <row r="30">
      <c r="A30" s="22" t="n"/>
      <c r="B30" s="22" t="n"/>
      <c r="C30" s="22" t="n"/>
      <c r="D30" s="22">
        <f>IF(A30="","",IF(OR(N(B30)&gt;=$C$2,N(C30)&gt;=$E$2),"High",IF(OR(N(B30)&gt;0,N(C30)&gt;0),"Medium","Low")))</f>
        <v/>
      </c>
      <c r="E30" s="22" t="n"/>
      <c r="F30" s="22" t="n"/>
      <c r="G30" s="22" t="n"/>
      <c r="H30" s="22" t="n"/>
      <c r="I30" s="22" t="n"/>
      <c r="J30" s="22" t="n"/>
      <c r="K30" s="22" t="n"/>
      <c r="L30" s="22" t="n"/>
      <c r="M30" s="22">
        <f>IF(K30="Override",L30,IF(K30="Accept suggestion",F30,IF(K30="No change (same URL)",A30,"")))</f>
        <v/>
      </c>
      <c r="N30" s="22">
        <f>IF(A30="","",IF(K30="410 Gone","410",IF(K30="404","404",IF(K30="No change (same URL)","none",IF(M30="","","301")))))</f>
        <v/>
      </c>
      <c r="O30" s="22">
        <f>IF(A30="","",IFERROR(MID(A30,FIND("/",A30,FIND("//",A30)+2),2000),A30))</f>
        <v/>
      </c>
      <c r="P30" s="22">
        <f>IF(OR(O30="",N30="",N30="none",N30="404"),"",IF(N30="410","Redirect gone "&amp;O30,"Redirect "&amp;N30&amp;" "&amp;O30&amp;" "&amp;M30))</f>
        <v/>
      </c>
      <c r="Q30" s="22" t="n"/>
      <c r="R30" s="22" t="n"/>
      <c r="S30" s="22" t="n"/>
      <c r="T30" s="4">
        <f>IF(A30="","",TRIM(IF(K30="","Needs decision; ","")&amp;IF(AND(K30="Accept suggestion",F30=""),"No suggestion to accept; ","")&amp;IF(AND(K30="Override",L30=""),"Override URL missing; ","")&amp;IF(AND(K30="Accept suggestion",N(G30)&lt;$G$2),"Below your threshold; ","")&amp;IF(AND(M30&lt;&gt;"",M30=A30,K30&lt;&gt;"No change (same URL)"),"Redirects to itself; ","")&amp;IF(AND(M30&lt;&gt;"",OR(M30="/",AND(LEFT(M30,4)="http",OR((LEN(M30)-LEN(SUBSTITUTE(M30,"/","")))=2,AND((LEN(M30)-LEN(SUBSTITUTE(M30,"/","")))=3,RIGHT(M30,1)="/"))))),"Home page redirect; ","")&amp;IF(N(R30)&gt;1,"Chain; ","")&amp;IF(S30="No","Destination not 200; ","")))</f>
        <v/>
      </c>
      <c r="U30" s="22" t="n"/>
      <c r="V30" s="22" t="n"/>
      <c r="W30" s="4" t="n"/>
    </row>
    <row r="31">
      <c r="A31" s="22" t="n"/>
      <c r="B31" s="22" t="n"/>
      <c r="C31" s="22" t="n"/>
      <c r="D31" s="22">
        <f>IF(A31="","",IF(OR(N(B31)&gt;=$C$2,N(C31)&gt;=$E$2),"High",IF(OR(N(B31)&gt;0,N(C31)&gt;0),"Medium","Low")))</f>
        <v/>
      </c>
      <c r="E31" s="22" t="n"/>
      <c r="F31" s="22" t="n"/>
      <c r="G31" s="22" t="n"/>
      <c r="H31" s="22" t="n"/>
      <c r="I31" s="22" t="n"/>
      <c r="J31" s="22" t="n"/>
      <c r="K31" s="22" t="n"/>
      <c r="L31" s="22" t="n"/>
      <c r="M31" s="22">
        <f>IF(K31="Override",L31,IF(K31="Accept suggestion",F31,IF(K31="No change (same URL)",A31,"")))</f>
        <v/>
      </c>
      <c r="N31" s="22">
        <f>IF(A31="","",IF(K31="410 Gone","410",IF(K31="404","404",IF(K31="No change (same URL)","none",IF(M31="","","301")))))</f>
        <v/>
      </c>
      <c r="O31" s="22">
        <f>IF(A31="","",IFERROR(MID(A31,FIND("/",A31,FIND("//",A31)+2),2000),A31))</f>
        <v/>
      </c>
      <c r="P31" s="22">
        <f>IF(OR(O31="",N31="",N31="none",N31="404"),"",IF(N31="410","Redirect gone "&amp;O31,"Redirect "&amp;N31&amp;" "&amp;O31&amp;" "&amp;M31))</f>
        <v/>
      </c>
      <c r="Q31" s="22" t="n"/>
      <c r="R31" s="22" t="n"/>
      <c r="S31" s="22" t="n"/>
      <c r="T31" s="4">
        <f>IF(A31="","",TRIM(IF(K31="","Needs decision; ","")&amp;IF(AND(K31="Accept suggestion",F31=""),"No suggestion to accept; ","")&amp;IF(AND(K31="Override",L31=""),"Override URL missing; ","")&amp;IF(AND(K31="Accept suggestion",N(G31)&lt;$G$2),"Below your threshold; ","")&amp;IF(AND(M31&lt;&gt;"",M31=A31,K31&lt;&gt;"No change (same URL)"),"Redirects to itself; ","")&amp;IF(AND(M31&lt;&gt;"",OR(M31="/",AND(LEFT(M31,4)="http",OR((LEN(M31)-LEN(SUBSTITUTE(M31,"/","")))=2,AND((LEN(M31)-LEN(SUBSTITUTE(M31,"/","")))=3,RIGHT(M31,1)="/"))))),"Home page redirect; ","")&amp;IF(N(R31)&gt;1,"Chain; ","")&amp;IF(S31="No","Destination not 200; ","")))</f>
        <v/>
      </c>
      <c r="U31" s="22" t="n"/>
      <c r="V31" s="22" t="n"/>
      <c r="W31" s="4" t="n"/>
    </row>
    <row r="32">
      <c r="A32" s="22" t="n"/>
      <c r="B32" s="22" t="n"/>
      <c r="C32" s="22" t="n"/>
      <c r="D32" s="22">
        <f>IF(A32="","",IF(OR(N(B32)&gt;=$C$2,N(C32)&gt;=$E$2),"High",IF(OR(N(B32)&gt;0,N(C32)&gt;0),"Medium","Low")))</f>
        <v/>
      </c>
      <c r="E32" s="22" t="n"/>
      <c r="F32" s="22" t="n"/>
      <c r="G32" s="22" t="n"/>
      <c r="H32" s="22" t="n"/>
      <c r="I32" s="22" t="n"/>
      <c r="J32" s="22" t="n"/>
      <c r="K32" s="22" t="n"/>
      <c r="L32" s="22" t="n"/>
      <c r="M32" s="22">
        <f>IF(K32="Override",L32,IF(K32="Accept suggestion",F32,IF(K32="No change (same URL)",A32,"")))</f>
        <v/>
      </c>
      <c r="N32" s="22">
        <f>IF(A32="","",IF(K32="410 Gone","410",IF(K32="404","404",IF(K32="No change (same URL)","none",IF(M32="","","301")))))</f>
        <v/>
      </c>
      <c r="O32" s="22">
        <f>IF(A32="","",IFERROR(MID(A32,FIND("/",A32,FIND("//",A32)+2),2000),A32))</f>
        <v/>
      </c>
      <c r="P32" s="22">
        <f>IF(OR(O32="",N32="",N32="none",N32="404"),"",IF(N32="410","Redirect gone "&amp;O32,"Redirect "&amp;N32&amp;" "&amp;O32&amp;" "&amp;M32))</f>
        <v/>
      </c>
      <c r="Q32" s="22" t="n"/>
      <c r="R32" s="22" t="n"/>
      <c r="S32" s="22" t="n"/>
      <c r="T32" s="4">
        <f>IF(A32="","",TRIM(IF(K32="","Needs decision; ","")&amp;IF(AND(K32="Accept suggestion",F32=""),"No suggestion to accept; ","")&amp;IF(AND(K32="Override",L32=""),"Override URL missing; ","")&amp;IF(AND(K32="Accept suggestion",N(G32)&lt;$G$2),"Below your threshold; ","")&amp;IF(AND(M32&lt;&gt;"",M32=A32,K32&lt;&gt;"No change (same URL)"),"Redirects to itself; ","")&amp;IF(AND(M32&lt;&gt;"",OR(M32="/",AND(LEFT(M32,4)="http",OR((LEN(M32)-LEN(SUBSTITUTE(M32,"/","")))=2,AND((LEN(M32)-LEN(SUBSTITUTE(M32,"/","")))=3,RIGHT(M32,1)="/"))))),"Home page redirect; ","")&amp;IF(N(R32)&gt;1,"Chain; ","")&amp;IF(S32="No","Destination not 200; ","")))</f>
        <v/>
      </c>
      <c r="U32" s="22" t="n"/>
      <c r="V32" s="22" t="n"/>
      <c r="W32" s="4" t="n"/>
    </row>
    <row r="33">
      <c r="A33" s="22" t="n"/>
      <c r="B33" s="22" t="n"/>
      <c r="C33" s="22" t="n"/>
      <c r="D33" s="22">
        <f>IF(A33="","",IF(OR(N(B33)&gt;=$C$2,N(C33)&gt;=$E$2),"High",IF(OR(N(B33)&gt;0,N(C33)&gt;0),"Medium","Low")))</f>
        <v/>
      </c>
      <c r="E33" s="22" t="n"/>
      <c r="F33" s="22" t="n"/>
      <c r="G33" s="22" t="n"/>
      <c r="H33" s="22" t="n"/>
      <c r="I33" s="22" t="n"/>
      <c r="J33" s="22" t="n"/>
      <c r="K33" s="22" t="n"/>
      <c r="L33" s="22" t="n"/>
      <c r="M33" s="22">
        <f>IF(K33="Override",L33,IF(K33="Accept suggestion",F33,IF(K33="No change (same URL)",A33,"")))</f>
        <v/>
      </c>
      <c r="N33" s="22">
        <f>IF(A33="","",IF(K33="410 Gone","410",IF(K33="404","404",IF(K33="No change (same URL)","none",IF(M33="","","301")))))</f>
        <v/>
      </c>
      <c r="O33" s="22">
        <f>IF(A33="","",IFERROR(MID(A33,FIND("/",A33,FIND("//",A33)+2),2000),A33))</f>
        <v/>
      </c>
      <c r="P33" s="22">
        <f>IF(OR(O33="",N33="",N33="none",N33="404"),"",IF(N33="410","Redirect gone "&amp;O33,"Redirect "&amp;N33&amp;" "&amp;O33&amp;" "&amp;M33))</f>
        <v/>
      </c>
      <c r="Q33" s="22" t="n"/>
      <c r="R33" s="22" t="n"/>
      <c r="S33" s="22" t="n"/>
      <c r="T33" s="4">
        <f>IF(A33="","",TRIM(IF(K33="","Needs decision; ","")&amp;IF(AND(K33="Accept suggestion",F33=""),"No suggestion to accept; ","")&amp;IF(AND(K33="Override",L33=""),"Override URL missing; ","")&amp;IF(AND(K33="Accept suggestion",N(G33)&lt;$G$2),"Below your threshold; ","")&amp;IF(AND(M33&lt;&gt;"",M33=A33,K33&lt;&gt;"No change (same URL)"),"Redirects to itself; ","")&amp;IF(AND(M33&lt;&gt;"",OR(M33="/",AND(LEFT(M33,4)="http",OR((LEN(M33)-LEN(SUBSTITUTE(M33,"/","")))=2,AND((LEN(M33)-LEN(SUBSTITUTE(M33,"/","")))=3,RIGHT(M33,1)="/"))))),"Home page redirect; ","")&amp;IF(N(R33)&gt;1,"Chain; ","")&amp;IF(S33="No","Destination not 200; ","")))</f>
        <v/>
      </c>
      <c r="U33" s="22" t="n"/>
      <c r="V33" s="22" t="n"/>
      <c r="W33" s="4" t="n"/>
    </row>
    <row r="34">
      <c r="A34" s="22" t="n"/>
      <c r="B34" s="22" t="n"/>
      <c r="C34" s="22" t="n"/>
      <c r="D34" s="22">
        <f>IF(A34="","",IF(OR(N(B34)&gt;=$C$2,N(C34)&gt;=$E$2),"High",IF(OR(N(B34)&gt;0,N(C34)&gt;0),"Medium","Low")))</f>
        <v/>
      </c>
      <c r="E34" s="22" t="n"/>
      <c r="F34" s="22" t="n"/>
      <c r="G34" s="22" t="n"/>
      <c r="H34" s="22" t="n"/>
      <c r="I34" s="22" t="n"/>
      <c r="J34" s="22" t="n"/>
      <c r="K34" s="22" t="n"/>
      <c r="L34" s="22" t="n"/>
      <c r="M34" s="22">
        <f>IF(K34="Override",L34,IF(K34="Accept suggestion",F34,IF(K34="No change (same URL)",A34,"")))</f>
        <v/>
      </c>
      <c r="N34" s="22">
        <f>IF(A34="","",IF(K34="410 Gone","410",IF(K34="404","404",IF(K34="No change (same URL)","none",IF(M34="","","301")))))</f>
        <v/>
      </c>
      <c r="O34" s="22">
        <f>IF(A34="","",IFERROR(MID(A34,FIND("/",A34,FIND("//",A34)+2),2000),A34))</f>
        <v/>
      </c>
      <c r="P34" s="22">
        <f>IF(OR(O34="",N34="",N34="none",N34="404"),"",IF(N34="410","Redirect gone "&amp;O34,"Redirect "&amp;N34&amp;" "&amp;O34&amp;" "&amp;M34))</f>
        <v/>
      </c>
      <c r="Q34" s="22" t="n"/>
      <c r="R34" s="22" t="n"/>
      <c r="S34" s="22" t="n"/>
      <c r="T34" s="4">
        <f>IF(A34="","",TRIM(IF(K34="","Needs decision; ","")&amp;IF(AND(K34="Accept suggestion",F34=""),"No suggestion to accept; ","")&amp;IF(AND(K34="Override",L34=""),"Override URL missing; ","")&amp;IF(AND(K34="Accept suggestion",N(G34)&lt;$G$2),"Below your threshold; ","")&amp;IF(AND(M34&lt;&gt;"",M34=A34,K34&lt;&gt;"No change (same URL)"),"Redirects to itself; ","")&amp;IF(AND(M34&lt;&gt;"",OR(M34="/",AND(LEFT(M34,4)="http",OR((LEN(M34)-LEN(SUBSTITUTE(M34,"/","")))=2,AND((LEN(M34)-LEN(SUBSTITUTE(M34,"/","")))=3,RIGHT(M34,1)="/"))))),"Home page redirect; ","")&amp;IF(N(R34)&gt;1,"Chain; ","")&amp;IF(S34="No","Destination not 200; ","")))</f>
        <v/>
      </c>
      <c r="U34" s="22" t="n"/>
      <c r="V34" s="22" t="n"/>
      <c r="W34" s="4" t="n"/>
    </row>
    <row r="35">
      <c r="A35" s="22" t="n"/>
      <c r="B35" s="22" t="n"/>
      <c r="C35" s="22" t="n"/>
      <c r="D35" s="22">
        <f>IF(A35="","",IF(OR(N(B35)&gt;=$C$2,N(C35)&gt;=$E$2),"High",IF(OR(N(B35)&gt;0,N(C35)&gt;0),"Medium","Low")))</f>
        <v/>
      </c>
      <c r="E35" s="22" t="n"/>
      <c r="F35" s="22" t="n"/>
      <c r="G35" s="22" t="n"/>
      <c r="H35" s="22" t="n"/>
      <c r="I35" s="22" t="n"/>
      <c r="J35" s="22" t="n"/>
      <c r="K35" s="22" t="n"/>
      <c r="L35" s="22" t="n"/>
      <c r="M35" s="22">
        <f>IF(K35="Override",L35,IF(K35="Accept suggestion",F35,IF(K35="No change (same URL)",A35,"")))</f>
        <v/>
      </c>
      <c r="N35" s="22">
        <f>IF(A35="","",IF(K35="410 Gone","410",IF(K35="404","404",IF(K35="No change (same URL)","none",IF(M35="","","301")))))</f>
        <v/>
      </c>
      <c r="O35" s="22">
        <f>IF(A35="","",IFERROR(MID(A35,FIND("/",A35,FIND("//",A35)+2),2000),A35))</f>
        <v/>
      </c>
      <c r="P35" s="22">
        <f>IF(OR(O35="",N35="",N35="none",N35="404"),"",IF(N35="410","Redirect gone "&amp;O35,"Redirect "&amp;N35&amp;" "&amp;O35&amp;" "&amp;M35))</f>
        <v/>
      </c>
      <c r="Q35" s="22" t="n"/>
      <c r="R35" s="22" t="n"/>
      <c r="S35" s="22" t="n"/>
      <c r="T35" s="4">
        <f>IF(A35="","",TRIM(IF(K35="","Needs decision; ","")&amp;IF(AND(K35="Accept suggestion",F35=""),"No suggestion to accept; ","")&amp;IF(AND(K35="Override",L35=""),"Override URL missing; ","")&amp;IF(AND(K35="Accept suggestion",N(G35)&lt;$G$2),"Below your threshold; ","")&amp;IF(AND(M35&lt;&gt;"",M35=A35,K35&lt;&gt;"No change (same URL)"),"Redirects to itself; ","")&amp;IF(AND(M35&lt;&gt;"",OR(M35="/",AND(LEFT(M35,4)="http",OR((LEN(M35)-LEN(SUBSTITUTE(M35,"/","")))=2,AND((LEN(M35)-LEN(SUBSTITUTE(M35,"/","")))=3,RIGHT(M35,1)="/"))))),"Home page redirect; ","")&amp;IF(N(R35)&gt;1,"Chain; ","")&amp;IF(S35="No","Destination not 200; ","")))</f>
        <v/>
      </c>
      <c r="U35" s="22" t="n"/>
      <c r="V35" s="22" t="n"/>
      <c r="W35" s="4" t="n"/>
    </row>
    <row r="36">
      <c r="A36" s="22" t="n"/>
      <c r="B36" s="22" t="n"/>
      <c r="C36" s="22" t="n"/>
      <c r="D36" s="22">
        <f>IF(A36="","",IF(OR(N(B36)&gt;=$C$2,N(C36)&gt;=$E$2),"High",IF(OR(N(B36)&gt;0,N(C36)&gt;0),"Medium","Low")))</f>
        <v/>
      </c>
      <c r="E36" s="22" t="n"/>
      <c r="F36" s="22" t="n"/>
      <c r="G36" s="22" t="n"/>
      <c r="H36" s="22" t="n"/>
      <c r="I36" s="22" t="n"/>
      <c r="J36" s="22" t="n"/>
      <c r="K36" s="22" t="n"/>
      <c r="L36" s="22" t="n"/>
      <c r="M36" s="22">
        <f>IF(K36="Override",L36,IF(K36="Accept suggestion",F36,IF(K36="No change (same URL)",A36,"")))</f>
        <v/>
      </c>
      <c r="N36" s="22">
        <f>IF(A36="","",IF(K36="410 Gone","410",IF(K36="404","404",IF(K36="No change (same URL)","none",IF(M36="","","301")))))</f>
        <v/>
      </c>
      <c r="O36" s="22">
        <f>IF(A36="","",IFERROR(MID(A36,FIND("/",A36,FIND("//",A36)+2),2000),A36))</f>
        <v/>
      </c>
      <c r="P36" s="22">
        <f>IF(OR(O36="",N36="",N36="none",N36="404"),"",IF(N36="410","Redirect gone "&amp;O36,"Redirect "&amp;N36&amp;" "&amp;O36&amp;" "&amp;M36))</f>
        <v/>
      </c>
      <c r="Q36" s="22" t="n"/>
      <c r="R36" s="22" t="n"/>
      <c r="S36" s="22" t="n"/>
      <c r="T36" s="4">
        <f>IF(A36="","",TRIM(IF(K36="","Needs decision; ","")&amp;IF(AND(K36="Accept suggestion",F36=""),"No suggestion to accept; ","")&amp;IF(AND(K36="Override",L36=""),"Override URL missing; ","")&amp;IF(AND(K36="Accept suggestion",N(G36)&lt;$G$2),"Below your threshold; ","")&amp;IF(AND(M36&lt;&gt;"",M36=A36,K36&lt;&gt;"No change (same URL)"),"Redirects to itself; ","")&amp;IF(AND(M36&lt;&gt;"",OR(M36="/",AND(LEFT(M36,4)="http",OR((LEN(M36)-LEN(SUBSTITUTE(M36,"/","")))=2,AND((LEN(M36)-LEN(SUBSTITUTE(M36,"/","")))=3,RIGHT(M36,1)="/"))))),"Home page redirect; ","")&amp;IF(N(R36)&gt;1,"Chain; ","")&amp;IF(S36="No","Destination not 200; ","")))</f>
        <v/>
      </c>
      <c r="U36" s="22" t="n"/>
      <c r="V36" s="22" t="n"/>
      <c r="W36" s="4" t="n"/>
    </row>
    <row r="37">
      <c r="A37" s="22" t="n"/>
      <c r="B37" s="22" t="n"/>
      <c r="C37" s="22" t="n"/>
      <c r="D37" s="22">
        <f>IF(A37="","",IF(OR(N(B37)&gt;=$C$2,N(C37)&gt;=$E$2),"High",IF(OR(N(B37)&gt;0,N(C37)&gt;0),"Medium","Low")))</f>
        <v/>
      </c>
      <c r="E37" s="22" t="n"/>
      <c r="F37" s="22" t="n"/>
      <c r="G37" s="22" t="n"/>
      <c r="H37" s="22" t="n"/>
      <c r="I37" s="22" t="n"/>
      <c r="J37" s="22" t="n"/>
      <c r="K37" s="22" t="n"/>
      <c r="L37" s="22" t="n"/>
      <c r="M37" s="22">
        <f>IF(K37="Override",L37,IF(K37="Accept suggestion",F37,IF(K37="No change (same URL)",A37,"")))</f>
        <v/>
      </c>
      <c r="N37" s="22">
        <f>IF(A37="","",IF(K37="410 Gone","410",IF(K37="404","404",IF(K37="No change (same URL)","none",IF(M37="","","301")))))</f>
        <v/>
      </c>
      <c r="O37" s="22">
        <f>IF(A37="","",IFERROR(MID(A37,FIND("/",A37,FIND("//",A37)+2),2000),A37))</f>
        <v/>
      </c>
      <c r="P37" s="22">
        <f>IF(OR(O37="",N37="",N37="none",N37="404"),"",IF(N37="410","Redirect gone "&amp;O37,"Redirect "&amp;N37&amp;" "&amp;O37&amp;" "&amp;M37))</f>
        <v/>
      </c>
      <c r="Q37" s="22" t="n"/>
      <c r="R37" s="22" t="n"/>
      <c r="S37" s="22" t="n"/>
      <c r="T37" s="4">
        <f>IF(A37="","",TRIM(IF(K37="","Needs decision; ","")&amp;IF(AND(K37="Accept suggestion",F37=""),"No suggestion to accept; ","")&amp;IF(AND(K37="Override",L37=""),"Override URL missing; ","")&amp;IF(AND(K37="Accept suggestion",N(G37)&lt;$G$2),"Below your threshold; ","")&amp;IF(AND(M37&lt;&gt;"",M37=A37,K37&lt;&gt;"No change (same URL)"),"Redirects to itself; ","")&amp;IF(AND(M37&lt;&gt;"",OR(M37="/",AND(LEFT(M37,4)="http",OR((LEN(M37)-LEN(SUBSTITUTE(M37,"/","")))=2,AND((LEN(M37)-LEN(SUBSTITUTE(M37,"/","")))=3,RIGHT(M37,1)="/"))))),"Home page redirect; ","")&amp;IF(N(R37)&gt;1,"Chain; ","")&amp;IF(S37="No","Destination not 200; ","")))</f>
        <v/>
      </c>
      <c r="U37" s="22" t="n"/>
      <c r="V37" s="22" t="n"/>
      <c r="W37" s="4" t="n"/>
    </row>
    <row r="38">
      <c r="A38" s="22" t="n"/>
      <c r="B38" s="22" t="n"/>
      <c r="C38" s="22" t="n"/>
      <c r="D38" s="22">
        <f>IF(A38="","",IF(OR(N(B38)&gt;=$C$2,N(C38)&gt;=$E$2),"High",IF(OR(N(B38)&gt;0,N(C38)&gt;0),"Medium","Low")))</f>
        <v/>
      </c>
      <c r="E38" s="22" t="n"/>
      <c r="F38" s="22" t="n"/>
      <c r="G38" s="22" t="n"/>
      <c r="H38" s="22" t="n"/>
      <c r="I38" s="22" t="n"/>
      <c r="J38" s="22" t="n"/>
      <c r="K38" s="22" t="n"/>
      <c r="L38" s="22" t="n"/>
      <c r="M38" s="22">
        <f>IF(K38="Override",L38,IF(K38="Accept suggestion",F38,IF(K38="No change (same URL)",A38,"")))</f>
        <v/>
      </c>
      <c r="N38" s="22">
        <f>IF(A38="","",IF(K38="410 Gone","410",IF(K38="404","404",IF(K38="No change (same URL)","none",IF(M38="","","301")))))</f>
        <v/>
      </c>
      <c r="O38" s="22">
        <f>IF(A38="","",IFERROR(MID(A38,FIND("/",A38,FIND("//",A38)+2),2000),A38))</f>
        <v/>
      </c>
      <c r="P38" s="22">
        <f>IF(OR(O38="",N38="",N38="none",N38="404"),"",IF(N38="410","Redirect gone "&amp;O38,"Redirect "&amp;N38&amp;" "&amp;O38&amp;" "&amp;M38))</f>
        <v/>
      </c>
      <c r="Q38" s="22" t="n"/>
      <c r="R38" s="22" t="n"/>
      <c r="S38" s="22" t="n"/>
      <c r="T38" s="4">
        <f>IF(A38="","",TRIM(IF(K38="","Needs decision; ","")&amp;IF(AND(K38="Accept suggestion",F38=""),"No suggestion to accept; ","")&amp;IF(AND(K38="Override",L38=""),"Override URL missing; ","")&amp;IF(AND(K38="Accept suggestion",N(G38)&lt;$G$2),"Below your threshold; ","")&amp;IF(AND(M38&lt;&gt;"",M38=A38,K38&lt;&gt;"No change (same URL)"),"Redirects to itself; ","")&amp;IF(AND(M38&lt;&gt;"",OR(M38="/",AND(LEFT(M38,4)="http",OR((LEN(M38)-LEN(SUBSTITUTE(M38,"/","")))=2,AND((LEN(M38)-LEN(SUBSTITUTE(M38,"/","")))=3,RIGHT(M38,1)="/"))))),"Home page redirect; ","")&amp;IF(N(R38)&gt;1,"Chain; ","")&amp;IF(S38="No","Destination not 200; ","")))</f>
        <v/>
      </c>
      <c r="U38" s="22" t="n"/>
      <c r="V38" s="22" t="n"/>
      <c r="W38" s="4" t="n"/>
    </row>
    <row r="39">
      <c r="A39" s="22" t="n"/>
      <c r="B39" s="22" t="n"/>
      <c r="C39" s="22" t="n"/>
      <c r="D39" s="22">
        <f>IF(A39="","",IF(OR(N(B39)&gt;=$C$2,N(C39)&gt;=$E$2),"High",IF(OR(N(B39)&gt;0,N(C39)&gt;0),"Medium","Low")))</f>
        <v/>
      </c>
      <c r="E39" s="22" t="n"/>
      <c r="F39" s="22" t="n"/>
      <c r="G39" s="22" t="n"/>
      <c r="H39" s="22" t="n"/>
      <c r="I39" s="22" t="n"/>
      <c r="J39" s="22" t="n"/>
      <c r="K39" s="22" t="n"/>
      <c r="L39" s="22" t="n"/>
      <c r="M39" s="22">
        <f>IF(K39="Override",L39,IF(K39="Accept suggestion",F39,IF(K39="No change (same URL)",A39,"")))</f>
        <v/>
      </c>
      <c r="N39" s="22">
        <f>IF(A39="","",IF(K39="410 Gone","410",IF(K39="404","404",IF(K39="No change (same URL)","none",IF(M39="","","301")))))</f>
        <v/>
      </c>
      <c r="O39" s="22">
        <f>IF(A39="","",IFERROR(MID(A39,FIND("/",A39,FIND("//",A39)+2),2000),A39))</f>
        <v/>
      </c>
      <c r="P39" s="22">
        <f>IF(OR(O39="",N39="",N39="none",N39="404"),"",IF(N39="410","Redirect gone "&amp;O39,"Redirect "&amp;N39&amp;" "&amp;O39&amp;" "&amp;M39))</f>
        <v/>
      </c>
      <c r="Q39" s="22" t="n"/>
      <c r="R39" s="22" t="n"/>
      <c r="S39" s="22" t="n"/>
      <c r="T39" s="4">
        <f>IF(A39="","",TRIM(IF(K39="","Needs decision; ","")&amp;IF(AND(K39="Accept suggestion",F39=""),"No suggestion to accept; ","")&amp;IF(AND(K39="Override",L39=""),"Override URL missing; ","")&amp;IF(AND(K39="Accept suggestion",N(G39)&lt;$G$2),"Below your threshold; ","")&amp;IF(AND(M39&lt;&gt;"",M39=A39,K39&lt;&gt;"No change (same URL)"),"Redirects to itself; ","")&amp;IF(AND(M39&lt;&gt;"",OR(M39="/",AND(LEFT(M39,4)="http",OR((LEN(M39)-LEN(SUBSTITUTE(M39,"/","")))=2,AND((LEN(M39)-LEN(SUBSTITUTE(M39,"/","")))=3,RIGHT(M39,1)="/"))))),"Home page redirect; ","")&amp;IF(N(R39)&gt;1,"Chain; ","")&amp;IF(S39="No","Destination not 200; ","")))</f>
        <v/>
      </c>
      <c r="U39" s="22" t="n"/>
      <c r="V39" s="22" t="n"/>
      <c r="W39" s="4" t="n"/>
    </row>
    <row r="40">
      <c r="A40" s="22" t="n"/>
      <c r="B40" s="22" t="n"/>
      <c r="C40" s="22" t="n"/>
      <c r="D40" s="22">
        <f>IF(A40="","",IF(OR(N(B40)&gt;=$C$2,N(C40)&gt;=$E$2),"High",IF(OR(N(B40)&gt;0,N(C40)&gt;0),"Medium","Low")))</f>
        <v/>
      </c>
      <c r="E40" s="22" t="n"/>
      <c r="F40" s="22" t="n"/>
      <c r="G40" s="22" t="n"/>
      <c r="H40" s="22" t="n"/>
      <c r="I40" s="22" t="n"/>
      <c r="J40" s="22" t="n"/>
      <c r="K40" s="22" t="n"/>
      <c r="L40" s="22" t="n"/>
      <c r="M40" s="22">
        <f>IF(K40="Override",L40,IF(K40="Accept suggestion",F40,IF(K40="No change (same URL)",A40,"")))</f>
        <v/>
      </c>
      <c r="N40" s="22">
        <f>IF(A40="","",IF(K40="410 Gone","410",IF(K40="404","404",IF(K40="No change (same URL)","none",IF(M40="","","301")))))</f>
        <v/>
      </c>
      <c r="O40" s="22">
        <f>IF(A40="","",IFERROR(MID(A40,FIND("/",A40,FIND("//",A40)+2),2000),A40))</f>
        <v/>
      </c>
      <c r="P40" s="22">
        <f>IF(OR(O40="",N40="",N40="none",N40="404"),"",IF(N40="410","Redirect gone "&amp;O40,"Redirect "&amp;N40&amp;" "&amp;O40&amp;" "&amp;M40))</f>
        <v/>
      </c>
      <c r="Q40" s="22" t="n"/>
      <c r="R40" s="22" t="n"/>
      <c r="S40" s="22" t="n"/>
      <c r="T40" s="4">
        <f>IF(A40="","",TRIM(IF(K40="","Needs decision; ","")&amp;IF(AND(K40="Accept suggestion",F40=""),"No suggestion to accept; ","")&amp;IF(AND(K40="Override",L40=""),"Override URL missing; ","")&amp;IF(AND(K40="Accept suggestion",N(G40)&lt;$G$2),"Below your threshold; ","")&amp;IF(AND(M40&lt;&gt;"",M40=A40,K40&lt;&gt;"No change (same URL)"),"Redirects to itself; ","")&amp;IF(AND(M40&lt;&gt;"",OR(M40="/",AND(LEFT(M40,4)="http",OR((LEN(M40)-LEN(SUBSTITUTE(M40,"/","")))=2,AND((LEN(M40)-LEN(SUBSTITUTE(M40,"/","")))=3,RIGHT(M40,1)="/"))))),"Home page redirect; ","")&amp;IF(N(R40)&gt;1,"Chain; ","")&amp;IF(S40="No","Destination not 200; ","")))</f>
        <v/>
      </c>
      <c r="U40" s="22" t="n"/>
      <c r="V40" s="22" t="n"/>
      <c r="W40" s="4" t="n"/>
    </row>
    <row r="41">
      <c r="A41" s="22" t="n"/>
      <c r="B41" s="22" t="n"/>
      <c r="C41" s="22" t="n"/>
      <c r="D41" s="22">
        <f>IF(A41="","",IF(OR(N(B41)&gt;=$C$2,N(C41)&gt;=$E$2),"High",IF(OR(N(B41)&gt;0,N(C41)&gt;0),"Medium","Low")))</f>
        <v/>
      </c>
      <c r="E41" s="22" t="n"/>
      <c r="F41" s="22" t="n"/>
      <c r="G41" s="22" t="n"/>
      <c r="H41" s="22" t="n"/>
      <c r="I41" s="22" t="n"/>
      <c r="J41" s="22" t="n"/>
      <c r="K41" s="22" t="n"/>
      <c r="L41" s="22" t="n"/>
      <c r="M41" s="22">
        <f>IF(K41="Override",L41,IF(K41="Accept suggestion",F41,IF(K41="No change (same URL)",A41,"")))</f>
        <v/>
      </c>
      <c r="N41" s="22">
        <f>IF(A41="","",IF(K41="410 Gone","410",IF(K41="404","404",IF(K41="No change (same URL)","none",IF(M41="","","301")))))</f>
        <v/>
      </c>
      <c r="O41" s="22">
        <f>IF(A41="","",IFERROR(MID(A41,FIND("/",A41,FIND("//",A41)+2),2000),A41))</f>
        <v/>
      </c>
      <c r="P41" s="22">
        <f>IF(OR(O41="",N41="",N41="none",N41="404"),"",IF(N41="410","Redirect gone "&amp;O41,"Redirect "&amp;N41&amp;" "&amp;O41&amp;" "&amp;M41))</f>
        <v/>
      </c>
      <c r="Q41" s="22" t="n"/>
      <c r="R41" s="22" t="n"/>
      <c r="S41" s="22" t="n"/>
      <c r="T41" s="4">
        <f>IF(A41="","",TRIM(IF(K41="","Needs decision; ","")&amp;IF(AND(K41="Accept suggestion",F41=""),"No suggestion to accept; ","")&amp;IF(AND(K41="Override",L41=""),"Override URL missing; ","")&amp;IF(AND(K41="Accept suggestion",N(G41)&lt;$G$2),"Below your threshold; ","")&amp;IF(AND(M41&lt;&gt;"",M41=A41,K41&lt;&gt;"No change (same URL)"),"Redirects to itself; ","")&amp;IF(AND(M41&lt;&gt;"",OR(M41="/",AND(LEFT(M41,4)="http",OR((LEN(M41)-LEN(SUBSTITUTE(M41,"/","")))=2,AND((LEN(M41)-LEN(SUBSTITUTE(M41,"/","")))=3,RIGHT(M41,1)="/"))))),"Home page redirect; ","")&amp;IF(N(R41)&gt;1,"Chain; ","")&amp;IF(S41="No","Destination not 200; ","")))</f>
        <v/>
      </c>
      <c r="U41" s="22" t="n"/>
      <c r="V41" s="22" t="n"/>
      <c r="W41" s="4" t="n"/>
    </row>
    <row r="42">
      <c r="A42" s="22" t="n"/>
      <c r="B42" s="22" t="n"/>
      <c r="C42" s="22" t="n"/>
      <c r="D42" s="22">
        <f>IF(A42="","",IF(OR(N(B42)&gt;=$C$2,N(C42)&gt;=$E$2),"High",IF(OR(N(B42)&gt;0,N(C42)&gt;0),"Medium","Low")))</f>
        <v/>
      </c>
      <c r="E42" s="22" t="n"/>
      <c r="F42" s="22" t="n"/>
      <c r="G42" s="22" t="n"/>
      <c r="H42" s="22" t="n"/>
      <c r="I42" s="22" t="n"/>
      <c r="J42" s="22" t="n"/>
      <c r="K42" s="22" t="n"/>
      <c r="L42" s="22" t="n"/>
      <c r="M42" s="22">
        <f>IF(K42="Override",L42,IF(K42="Accept suggestion",F42,IF(K42="No change (same URL)",A42,"")))</f>
        <v/>
      </c>
      <c r="N42" s="22">
        <f>IF(A42="","",IF(K42="410 Gone","410",IF(K42="404","404",IF(K42="No change (same URL)","none",IF(M42="","","301")))))</f>
        <v/>
      </c>
      <c r="O42" s="22">
        <f>IF(A42="","",IFERROR(MID(A42,FIND("/",A42,FIND("//",A42)+2),2000),A42))</f>
        <v/>
      </c>
      <c r="P42" s="22">
        <f>IF(OR(O42="",N42="",N42="none",N42="404"),"",IF(N42="410","Redirect gone "&amp;O42,"Redirect "&amp;N42&amp;" "&amp;O42&amp;" "&amp;M42))</f>
        <v/>
      </c>
      <c r="Q42" s="22" t="n"/>
      <c r="R42" s="22" t="n"/>
      <c r="S42" s="22" t="n"/>
      <c r="T42" s="4">
        <f>IF(A42="","",TRIM(IF(K42="","Needs decision; ","")&amp;IF(AND(K42="Accept suggestion",F42=""),"No suggestion to accept; ","")&amp;IF(AND(K42="Override",L42=""),"Override URL missing; ","")&amp;IF(AND(K42="Accept suggestion",N(G42)&lt;$G$2),"Below your threshold; ","")&amp;IF(AND(M42&lt;&gt;"",M42=A42,K42&lt;&gt;"No change (same URL)"),"Redirects to itself; ","")&amp;IF(AND(M42&lt;&gt;"",OR(M42="/",AND(LEFT(M42,4)="http",OR((LEN(M42)-LEN(SUBSTITUTE(M42,"/","")))=2,AND((LEN(M42)-LEN(SUBSTITUTE(M42,"/","")))=3,RIGHT(M42,1)="/"))))),"Home page redirect; ","")&amp;IF(N(R42)&gt;1,"Chain; ","")&amp;IF(S42="No","Destination not 200; ","")))</f>
        <v/>
      </c>
      <c r="U42" s="22" t="n"/>
      <c r="V42" s="22" t="n"/>
      <c r="W42" s="4" t="n"/>
    </row>
    <row r="43">
      <c r="A43" s="22" t="n"/>
      <c r="B43" s="22" t="n"/>
      <c r="C43" s="22" t="n"/>
      <c r="D43" s="22">
        <f>IF(A43="","",IF(OR(N(B43)&gt;=$C$2,N(C43)&gt;=$E$2),"High",IF(OR(N(B43)&gt;0,N(C43)&gt;0),"Medium","Low")))</f>
        <v/>
      </c>
      <c r="E43" s="22" t="n"/>
      <c r="F43" s="22" t="n"/>
      <c r="G43" s="22" t="n"/>
      <c r="H43" s="22" t="n"/>
      <c r="I43" s="22" t="n"/>
      <c r="J43" s="22" t="n"/>
      <c r="K43" s="22" t="n"/>
      <c r="L43" s="22" t="n"/>
      <c r="M43" s="22">
        <f>IF(K43="Override",L43,IF(K43="Accept suggestion",F43,IF(K43="No change (same URL)",A43,"")))</f>
        <v/>
      </c>
      <c r="N43" s="22">
        <f>IF(A43="","",IF(K43="410 Gone","410",IF(K43="404","404",IF(K43="No change (same URL)","none",IF(M43="","","301")))))</f>
        <v/>
      </c>
      <c r="O43" s="22">
        <f>IF(A43="","",IFERROR(MID(A43,FIND("/",A43,FIND("//",A43)+2),2000),A43))</f>
        <v/>
      </c>
      <c r="P43" s="22">
        <f>IF(OR(O43="",N43="",N43="none",N43="404"),"",IF(N43="410","Redirect gone "&amp;O43,"Redirect "&amp;N43&amp;" "&amp;O43&amp;" "&amp;M43))</f>
        <v/>
      </c>
      <c r="Q43" s="22" t="n"/>
      <c r="R43" s="22" t="n"/>
      <c r="S43" s="22" t="n"/>
      <c r="T43" s="4">
        <f>IF(A43="","",TRIM(IF(K43="","Needs decision; ","")&amp;IF(AND(K43="Accept suggestion",F43=""),"No suggestion to accept; ","")&amp;IF(AND(K43="Override",L43=""),"Override URL missing; ","")&amp;IF(AND(K43="Accept suggestion",N(G43)&lt;$G$2),"Below your threshold; ","")&amp;IF(AND(M43&lt;&gt;"",M43=A43,K43&lt;&gt;"No change (same URL)"),"Redirects to itself; ","")&amp;IF(AND(M43&lt;&gt;"",OR(M43="/",AND(LEFT(M43,4)="http",OR((LEN(M43)-LEN(SUBSTITUTE(M43,"/","")))=2,AND((LEN(M43)-LEN(SUBSTITUTE(M43,"/","")))=3,RIGHT(M43,1)="/"))))),"Home page redirect; ","")&amp;IF(N(R43)&gt;1,"Chain; ","")&amp;IF(S43="No","Destination not 200; ","")))</f>
        <v/>
      </c>
      <c r="U43" s="22" t="n"/>
      <c r="V43" s="22" t="n"/>
      <c r="W43" s="4" t="n"/>
    </row>
    <row r="44">
      <c r="A44" s="22" t="n"/>
      <c r="B44" s="22" t="n"/>
      <c r="C44" s="22" t="n"/>
      <c r="D44" s="22">
        <f>IF(A44="","",IF(OR(N(B44)&gt;=$C$2,N(C44)&gt;=$E$2),"High",IF(OR(N(B44)&gt;0,N(C44)&gt;0),"Medium","Low")))</f>
        <v/>
      </c>
      <c r="E44" s="22" t="n"/>
      <c r="F44" s="22" t="n"/>
      <c r="G44" s="22" t="n"/>
      <c r="H44" s="22" t="n"/>
      <c r="I44" s="22" t="n"/>
      <c r="J44" s="22" t="n"/>
      <c r="K44" s="22" t="n"/>
      <c r="L44" s="22" t="n"/>
      <c r="M44" s="22">
        <f>IF(K44="Override",L44,IF(K44="Accept suggestion",F44,IF(K44="No change (same URL)",A44,"")))</f>
        <v/>
      </c>
      <c r="N44" s="22">
        <f>IF(A44="","",IF(K44="410 Gone","410",IF(K44="404","404",IF(K44="No change (same URL)","none",IF(M44="","","301")))))</f>
        <v/>
      </c>
      <c r="O44" s="22">
        <f>IF(A44="","",IFERROR(MID(A44,FIND("/",A44,FIND("//",A44)+2),2000),A44))</f>
        <v/>
      </c>
      <c r="P44" s="22">
        <f>IF(OR(O44="",N44="",N44="none",N44="404"),"",IF(N44="410","Redirect gone "&amp;O44,"Redirect "&amp;N44&amp;" "&amp;O44&amp;" "&amp;M44))</f>
        <v/>
      </c>
      <c r="Q44" s="22" t="n"/>
      <c r="R44" s="22" t="n"/>
      <c r="S44" s="22" t="n"/>
      <c r="T44" s="4">
        <f>IF(A44="","",TRIM(IF(K44="","Needs decision; ","")&amp;IF(AND(K44="Accept suggestion",F44=""),"No suggestion to accept; ","")&amp;IF(AND(K44="Override",L44=""),"Override URL missing; ","")&amp;IF(AND(K44="Accept suggestion",N(G44)&lt;$G$2),"Below your threshold; ","")&amp;IF(AND(M44&lt;&gt;"",M44=A44,K44&lt;&gt;"No change (same URL)"),"Redirects to itself; ","")&amp;IF(AND(M44&lt;&gt;"",OR(M44="/",AND(LEFT(M44,4)="http",OR((LEN(M44)-LEN(SUBSTITUTE(M44,"/","")))=2,AND((LEN(M44)-LEN(SUBSTITUTE(M44,"/","")))=3,RIGHT(M44,1)="/"))))),"Home page redirect; ","")&amp;IF(N(R44)&gt;1,"Chain; ","")&amp;IF(S44="No","Destination not 200; ","")))</f>
        <v/>
      </c>
      <c r="U44" s="22" t="n"/>
      <c r="V44" s="22" t="n"/>
      <c r="W44" s="4" t="n"/>
    </row>
    <row r="45">
      <c r="A45" s="22" t="n"/>
      <c r="B45" s="22" t="n"/>
      <c r="C45" s="22" t="n"/>
      <c r="D45" s="22">
        <f>IF(A45="","",IF(OR(N(B45)&gt;=$C$2,N(C45)&gt;=$E$2),"High",IF(OR(N(B45)&gt;0,N(C45)&gt;0),"Medium","Low")))</f>
        <v/>
      </c>
      <c r="E45" s="22" t="n"/>
      <c r="F45" s="22" t="n"/>
      <c r="G45" s="22" t="n"/>
      <c r="H45" s="22" t="n"/>
      <c r="I45" s="22" t="n"/>
      <c r="J45" s="22" t="n"/>
      <c r="K45" s="22" t="n"/>
      <c r="L45" s="22" t="n"/>
      <c r="M45" s="22">
        <f>IF(K45="Override",L45,IF(K45="Accept suggestion",F45,IF(K45="No change (same URL)",A45,"")))</f>
        <v/>
      </c>
      <c r="N45" s="22">
        <f>IF(A45="","",IF(K45="410 Gone","410",IF(K45="404","404",IF(K45="No change (same URL)","none",IF(M45="","","301")))))</f>
        <v/>
      </c>
      <c r="O45" s="22">
        <f>IF(A45="","",IFERROR(MID(A45,FIND("/",A45,FIND("//",A45)+2),2000),A45))</f>
        <v/>
      </c>
      <c r="P45" s="22">
        <f>IF(OR(O45="",N45="",N45="none",N45="404"),"",IF(N45="410","Redirect gone "&amp;O45,"Redirect "&amp;N45&amp;" "&amp;O45&amp;" "&amp;M45))</f>
        <v/>
      </c>
      <c r="Q45" s="22" t="n"/>
      <c r="R45" s="22" t="n"/>
      <c r="S45" s="22" t="n"/>
      <c r="T45" s="4">
        <f>IF(A45="","",TRIM(IF(K45="","Needs decision; ","")&amp;IF(AND(K45="Accept suggestion",F45=""),"No suggestion to accept; ","")&amp;IF(AND(K45="Override",L45=""),"Override URL missing; ","")&amp;IF(AND(K45="Accept suggestion",N(G45)&lt;$G$2),"Below your threshold; ","")&amp;IF(AND(M45&lt;&gt;"",M45=A45,K45&lt;&gt;"No change (same URL)"),"Redirects to itself; ","")&amp;IF(AND(M45&lt;&gt;"",OR(M45="/",AND(LEFT(M45,4)="http",OR((LEN(M45)-LEN(SUBSTITUTE(M45,"/","")))=2,AND((LEN(M45)-LEN(SUBSTITUTE(M45,"/","")))=3,RIGHT(M45,1)="/"))))),"Home page redirect; ","")&amp;IF(N(R45)&gt;1,"Chain; ","")&amp;IF(S45="No","Destination not 200; ","")))</f>
        <v/>
      </c>
      <c r="U45" s="22" t="n"/>
      <c r="V45" s="22" t="n"/>
      <c r="W45" s="4" t="n"/>
    </row>
    <row r="46">
      <c r="A46" s="22" t="n"/>
      <c r="B46" s="22" t="n"/>
      <c r="C46" s="22" t="n"/>
      <c r="D46" s="22">
        <f>IF(A46="","",IF(OR(N(B46)&gt;=$C$2,N(C46)&gt;=$E$2),"High",IF(OR(N(B46)&gt;0,N(C46)&gt;0),"Medium","Low")))</f>
        <v/>
      </c>
      <c r="E46" s="22" t="n"/>
      <c r="F46" s="22" t="n"/>
      <c r="G46" s="22" t="n"/>
      <c r="H46" s="22" t="n"/>
      <c r="I46" s="22" t="n"/>
      <c r="J46" s="22" t="n"/>
      <c r="K46" s="22" t="n"/>
      <c r="L46" s="22" t="n"/>
      <c r="M46" s="22">
        <f>IF(K46="Override",L46,IF(K46="Accept suggestion",F46,IF(K46="No change (same URL)",A46,"")))</f>
        <v/>
      </c>
      <c r="N46" s="22">
        <f>IF(A46="","",IF(K46="410 Gone","410",IF(K46="404","404",IF(K46="No change (same URL)","none",IF(M46="","","301")))))</f>
        <v/>
      </c>
      <c r="O46" s="22">
        <f>IF(A46="","",IFERROR(MID(A46,FIND("/",A46,FIND("//",A46)+2),2000),A46))</f>
        <v/>
      </c>
      <c r="P46" s="22">
        <f>IF(OR(O46="",N46="",N46="none",N46="404"),"",IF(N46="410","Redirect gone "&amp;O46,"Redirect "&amp;N46&amp;" "&amp;O46&amp;" "&amp;M46))</f>
        <v/>
      </c>
      <c r="Q46" s="22" t="n"/>
      <c r="R46" s="22" t="n"/>
      <c r="S46" s="22" t="n"/>
      <c r="T46" s="4">
        <f>IF(A46="","",TRIM(IF(K46="","Needs decision; ","")&amp;IF(AND(K46="Accept suggestion",F46=""),"No suggestion to accept; ","")&amp;IF(AND(K46="Override",L46=""),"Override URL missing; ","")&amp;IF(AND(K46="Accept suggestion",N(G46)&lt;$G$2),"Below your threshold; ","")&amp;IF(AND(M46&lt;&gt;"",M46=A46,K46&lt;&gt;"No change (same URL)"),"Redirects to itself; ","")&amp;IF(AND(M46&lt;&gt;"",OR(M46="/",AND(LEFT(M46,4)="http",OR((LEN(M46)-LEN(SUBSTITUTE(M46,"/","")))=2,AND((LEN(M46)-LEN(SUBSTITUTE(M46,"/","")))=3,RIGHT(M46,1)="/"))))),"Home page redirect; ","")&amp;IF(N(R46)&gt;1,"Chain; ","")&amp;IF(S46="No","Destination not 200; ","")))</f>
        <v/>
      </c>
      <c r="U46" s="22" t="n"/>
      <c r="V46" s="22" t="n"/>
      <c r="W46" s="4" t="n"/>
    </row>
    <row r="47">
      <c r="A47" s="22" t="n"/>
      <c r="B47" s="22" t="n"/>
      <c r="C47" s="22" t="n"/>
      <c r="D47" s="22">
        <f>IF(A47="","",IF(OR(N(B47)&gt;=$C$2,N(C47)&gt;=$E$2),"High",IF(OR(N(B47)&gt;0,N(C47)&gt;0),"Medium","Low")))</f>
        <v/>
      </c>
      <c r="E47" s="22" t="n"/>
      <c r="F47" s="22" t="n"/>
      <c r="G47" s="22" t="n"/>
      <c r="H47" s="22" t="n"/>
      <c r="I47" s="22" t="n"/>
      <c r="J47" s="22" t="n"/>
      <c r="K47" s="22" t="n"/>
      <c r="L47" s="22" t="n"/>
      <c r="M47" s="22">
        <f>IF(K47="Override",L47,IF(K47="Accept suggestion",F47,IF(K47="No change (same URL)",A47,"")))</f>
        <v/>
      </c>
      <c r="N47" s="22">
        <f>IF(A47="","",IF(K47="410 Gone","410",IF(K47="404","404",IF(K47="No change (same URL)","none",IF(M47="","","301")))))</f>
        <v/>
      </c>
      <c r="O47" s="22">
        <f>IF(A47="","",IFERROR(MID(A47,FIND("/",A47,FIND("//",A47)+2),2000),A47))</f>
        <v/>
      </c>
      <c r="P47" s="22">
        <f>IF(OR(O47="",N47="",N47="none",N47="404"),"",IF(N47="410","Redirect gone "&amp;O47,"Redirect "&amp;N47&amp;" "&amp;O47&amp;" "&amp;M47))</f>
        <v/>
      </c>
      <c r="Q47" s="22" t="n"/>
      <c r="R47" s="22" t="n"/>
      <c r="S47" s="22" t="n"/>
      <c r="T47" s="4">
        <f>IF(A47="","",TRIM(IF(K47="","Needs decision; ","")&amp;IF(AND(K47="Accept suggestion",F47=""),"No suggestion to accept; ","")&amp;IF(AND(K47="Override",L47=""),"Override URL missing; ","")&amp;IF(AND(K47="Accept suggestion",N(G47)&lt;$G$2),"Below your threshold; ","")&amp;IF(AND(M47&lt;&gt;"",M47=A47,K47&lt;&gt;"No change (same URL)"),"Redirects to itself; ","")&amp;IF(AND(M47&lt;&gt;"",OR(M47="/",AND(LEFT(M47,4)="http",OR((LEN(M47)-LEN(SUBSTITUTE(M47,"/","")))=2,AND((LEN(M47)-LEN(SUBSTITUTE(M47,"/","")))=3,RIGHT(M47,1)="/"))))),"Home page redirect; ","")&amp;IF(N(R47)&gt;1,"Chain; ","")&amp;IF(S47="No","Destination not 200; ","")))</f>
        <v/>
      </c>
      <c r="U47" s="22" t="n"/>
      <c r="V47" s="22" t="n"/>
      <c r="W47" s="4" t="n"/>
    </row>
    <row r="48">
      <c r="A48" s="22" t="n"/>
      <c r="B48" s="22" t="n"/>
      <c r="C48" s="22" t="n"/>
      <c r="D48" s="22">
        <f>IF(A48="","",IF(OR(N(B48)&gt;=$C$2,N(C48)&gt;=$E$2),"High",IF(OR(N(B48)&gt;0,N(C48)&gt;0),"Medium","Low")))</f>
        <v/>
      </c>
      <c r="E48" s="22" t="n"/>
      <c r="F48" s="22" t="n"/>
      <c r="G48" s="22" t="n"/>
      <c r="H48" s="22" t="n"/>
      <c r="I48" s="22" t="n"/>
      <c r="J48" s="22" t="n"/>
      <c r="K48" s="22" t="n"/>
      <c r="L48" s="22" t="n"/>
      <c r="M48" s="22">
        <f>IF(K48="Override",L48,IF(K48="Accept suggestion",F48,IF(K48="No change (same URL)",A48,"")))</f>
        <v/>
      </c>
      <c r="N48" s="22">
        <f>IF(A48="","",IF(K48="410 Gone","410",IF(K48="404","404",IF(K48="No change (same URL)","none",IF(M48="","","301")))))</f>
        <v/>
      </c>
      <c r="O48" s="22">
        <f>IF(A48="","",IFERROR(MID(A48,FIND("/",A48,FIND("//",A48)+2),2000),A48))</f>
        <v/>
      </c>
      <c r="P48" s="22">
        <f>IF(OR(O48="",N48="",N48="none",N48="404"),"",IF(N48="410","Redirect gone "&amp;O48,"Redirect "&amp;N48&amp;" "&amp;O48&amp;" "&amp;M48))</f>
        <v/>
      </c>
      <c r="Q48" s="22" t="n"/>
      <c r="R48" s="22" t="n"/>
      <c r="S48" s="22" t="n"/>
      <c r="T48" s="4">
        <f>IF(A48="","",TRIM(IF(K48="","Needs decision; ","")&amp;IF(AND(K48="Accept suggestion",F48=""),"No suggestion to accept; ","")&amp;IF(AND(K48="Override",L48=""),"Override URL missing; ","")&amp;IF(AND(K48="Accept suggestion",N(G48)&lt;$G$2),"Below your threshold; ","")&amp;IF(AND(M48&lt;&gt;"",M48=A48,K48&lt;&gt;"No change (same URL)"),"Redirects to itself; ","")&amp;IF(AND(M48&lt;&gt;"",OR(M48="/",AND(LEFT(M48,4)="http",OR((LEN(M48)-LEN(SUBSTITUTE(M48,"/","")))=2,AND((LEN(M48)-LEN(SUBSTITUTE(M48,"/","")))=3,RIGHT(M48,1)="/"))))),"Home page redirect; ","")&amp;IF(N(R48)&gt;1,"Chain; ","")&amp;IF(S48="No","Destination not 200; ","")))</f>
        <v/>
      </c>
      <c r="U48" s="22" t="n"/>
      <c r="V48" s="22" t="n"/>
      <c r="W48" s="4" t="n"/>
    </row>
    <row r="49">
      <c r="A49" s="22" t="n"/>
      <c r="B49" s="22" t="n"/>
      <c r="C49" s="22" t="n"/>
      <c r="D49" s="22">
        <f>IF(A49="","",IF(OR(N(B49)&gt;=$C$2,N(C49)&gt;=$E$2),"High",IF(OR(N(B49)&gt;0,N(C49)&gt;0),"Medium","Low")))</f>
        <v/>
      </c>
      <c r="E49" s="22" t="n"/>
      <c r="F49" s="22" t="n"/>
      <c r="G49" s="22" t="n"/>
      <c r="H49" s="22" t="n"/>
      <c r="I49" s="22" t="n"/>
      <c r="J49" s="22" t="n"/>
      <c r="K49" s="22" t="n"/>
      <c r="L49" s="22" t="n"/>
      <c r="M49" s="22">
        <f>IF(K49="Override",L49,IF(K49="Accept suggestion",F49,IF(K49="No change (same URL)",A49,"")))</f>
        <v/>
      </c>
      <c r="N49" s="22">
        <f>IF(A49="","",IF(K49="410 Gone","410",IF(K49="404","404",IF(K49="No change (same URL)","none",IF(M49="","","301")))))</f>
        <v/>
      </c>
      <c r="O49" s="22">
        <f>IF(A49="","",IFERROR(MID(A49,FIND("/",A49,FIND("//",A49)+2),2000),A49))</f>
        <v/>
      </c>
      <c r="P49" s="22">
        <f>IF(OR(O49="",N49="",N49="none",N49="404"),"",IF(N49="410","Redirect gone "&amp;O49,"Redirect "&amp;N49&amp;" "&amp;O49&amp;" "&amp;M49))</f>
        <v/>
      </c>
      <c r="Q49" s="22" t="n"/>
      <c r="R49" s="22" t="n"/>
      <c r="S49" s="22" t="n"/>
      <c r="T49" s="4">
        <f>IF(A49="","",TRIM(IF(K49="","Needs decision; ","")&amp;IF(AND(K49="Accept suggestion",F49=""),"No suggestion to accept; ","")&amp;IF(AND(K49="Override",L49=""),"Override URL missing; ","")&amp;IF(AND(K49="Accept suggestion",N(G49)&lt;$G$2),"Below your threshold; ","")&amp;IF(AND(M49&lt;&gt;"",M49=A49,K49&lt;&gt;"No change (same URL)"),"Redirects to itself; ","")&amp;IF(AND(M49&lt;&gt;"",OR(M49="/",AND(LEFT(M49,4)="http",OR((LEN(M49)-LEN(SUBSTITUTE(M49,"/","")))=2,AND((LEN(M49)-LEN(SUBSTITUTE(M49,"/","")))=3,RIGHT(M49,1)="/"))))),"Home page redirect; ","")&amp;IF(N(R49)&gt;1,"Chain; ","")&amp;IF(S49="No","Destination not 200; ","")))</f>
        <v/>
      </c>
      <c r="U49" s="22" t="n"/>
      <c r="V49" s="22" t="n"/>
      <c r="W49" s="4" t="n"/>
    </row>
    <row r="50">
      <c r="A50" s="22" t="n"/>
      <c r="B50" s="22" t="n"/>
      <c r="C50" s="22" t="n"/>
      <c r="D50" s="22">
        <f>IF(A50="","",IF(OR(N(B50)&gt;=$C$2,N(C50)&gt;=$E$2),"High",IF(OR(N(B50)&gt;0,N(C50)&gt;0),"Medium","Low")))</f>
        <v/>
      </c>
      <c r="E50" s="22" t="n"/>
      <c r="F50" s="22" t="n"/>
      <c r="G50" s="22" t="n"/>
      <c r="H50" s="22" t="n"/>
      <c r="I50" s="22" t="n"/>
      <c r="J50" s="22" t="n"/>
      <c r="K50" s="22" t="n"/>
      <c r="L50" s="22" t="n"/>
      <c r="M50" s="22">
        <f>IF(K50="Override",L50,IF(K50="Accept suggestion",F50,IF(K50="No change (same URL)",A50,"")))</f>
        <v/>
      </c>
      <c r="N50" s="22">
        <f>IF(A50="","",IF(K50="410 Gone","410",IF(K50="404","404",IF(K50="No change (same URL)","none",IF(M50="","","301")))))</f>
        <v/>
      </c>
      <c r="O50" s="22">
        <f>IF(A50="","",IFERROR(MID(A50,FIND("/",A50,FIND("//",A50)+2),2000),A50))</f>
        <v/>
      </c>
      <c r="P50" s="22">
        <f>IF(OR(O50="",N50="",N50="none",N50="404"),"",IF(N50="410","Redirect gone "&amp;O50,"Redirect "&amp;N50&amp;" "&amp;O50&amp;" "&amp;M50))</f>
        <v/>
      </c>
      <c r="Q50" s="22" t="n"/>
      <c r="R50" s="22" t="n"/>
      <c r="S50" s="22" t="n"/>
      <c r="T50" s="4">
        <f>IF(A50="","",TRIM(IF(K50="","Needs decision; ","")&amp;IF(AND(K50="Accept suggestion",F50=""),"No suggestion to accept; ","")&amp;IF(AND(K50="Override",L50=""),"Override URL missing; ","")&amp;IF(AND(K50="Accept suggestion",N(G50)&lt;$G$2),"Below your threshold; ","")&amp;IF(AND(M50&lt;&gt;"",M50=A50,K50&lt;&gt;"No change (same URL)"),"Redirects to itself; ","")&amp;IF(AND(M50&lt;&gt;"",OR(M50="/",AND(LEFT(M50,4)="http",OR((LEN(M50)-LEN(SUBSTITUTE(M50,"/","")))=2,AND((LEN(M50)-LEN(SUBSTITUTE(M50,"/","")))=3,RIGHT(M50,1)="/"))))),"Home page redirect; ","")&amp;IF(N(R50)&gt;1,"Chain; ","")&amp;IF(S50="No","Destination not 200; ","")))</f>
        <v/>
      </c>
      <c r="U50" s="22" t="n"/>
      <c r="V50" s="22" t="n"/>
      <c r="W50" s="4" t="n"/>
    </row>
    <row r="51">
      <c r="A51" s="22" t="n"/>
      <c r="B51" s="22" t="n"/>
      <c r="C51" s="22" t="n"/>
      <c r="D51" s="22">
        <f>IF(A51="","",IF(OR(N(B51)&gt;=$C$2,N(C51)&gt;=$E$2),"High",IF(OR(N(B51)&gt;0,N(C51)&gt;0),"Medium","Low")))</f>
        <v/>
      </c>
      <c r="E51" s="22" t="n"/>
      <c r="F51" s="22" t="n"/>
      <c r="G51" s="22" t="n"/>
      <c r="H51" s="22" t="n"/>
      <c r="I51" s="22" t="n"/>
      <c r="J51" s="22" t="n"/>
      <c r="K51" s="22" t="n"/>
      <c r="L51" s="22" t="n"/>
      <c r="M51" s="22">
        <f>IF(K51="Override",L51,IF(K51="Accept suggestion",F51,IF(K51="No change (same URL)",A51,"")))</f>
        <v/>
      </c>
      <c r="N51" s="22">
        <f>IF(A51="","",IF(K51="410 Gone","410",IF(K51="404","404",IF(K51="No change (same URL)","none",IF(M51="","","301")))))</f>
        <v/>
      </c>
      <c r="O51" s="22">
        <f>IF(A51="","",IFERROR(MID(A51,FIND("/",A51,FIND("//",A51)+2),2000),A51))</f>
        <v/>
      </c>
      <c r="P51" s="22">
        <f>IF(OR(O51="",N51="",N51="none",N51="404"),"",IF(N51="410","Redirect gone "&amp;O51,"Redirect "&amp;N51&amp;" "&amp;O51&amp;" "&amp;M51))</f>
        <v/>
      </c>
      <c r="Q51" s="22" t="n"/>
      <c r="R51" s="22" t="n"/>
      <c r="S51" s="22" t="n"/>
      <c r="T51" s="4">
        <f>IF(A51="","",TRIM(IF(K51="","Needs decision; ","")&amp;IF(AND(K51="Accept suggestion",F51=""),"No suggestion to accept; ","")&amp;IF(AND(K51="Override",L51=""),"Override URL missing; ","")&amp;IF(AND(K51="Accept suggestion",N(G51)&lt;$G$2),"Below your threshold; ","")&amp;IF(AND(M51&lt;&gt;"",M51=A51,K51&lt;&gt;"No change (same URL)"),"Redirects to itself; ","")&amp;IF(AND(M51&lt;&gt;"",OR(M51="/",AND(LEFT(M51,4)="http",OR((LEN(M51)-LEN(SUBSTITUTE(M51,"/","")))=2,AND((LEN(M51)-LEN(SUBSTITUTE(M51,"/","")))=3,RIGHT(M51,1)="/"))))),"Home page redirect; ","")&amp;IF(N(R51)&gt;1,"Chain; ","")&amp;IF(S51="No","Destination not 200; ","")))</f>
        <v/>
      </c>
      <c r="U51" s="22" t="n"/>
      <c r="V51" s="22" t="n"/>
      <c r="W51" s="4" t="n"/>
    </row>
    <row r="52">
      <c r="A52" s="22" t="n"/>
      <c r="B52" s="22" t="n"/>
      <c r="C52" s="22" t="n"/>
      <c r="D52" s="22">
        <f>IF(A52="","",IF(OR(N(B52)&gt;=$C$2,N(C52)&gt;=$E$2),"High",IF(OR(N(B52)&gt;0,N(C52)&gt;0),"Medium","Low")))</f>
        <v/>
      </c>
      <c r="E52" s="22" t="n"/>
      <c r="F52" s="22" t="n"/>
      <c r="G52" s="22" t="n"/>
      <c r="H52" s="22" t="n"/>
      <c r="I52" s="22" t="n"/>
      <c r="J52" s="22" t="n"/>
      <c r="K52" s="22" t="n"/>
      <c r="L52" s="22" t="n"/>
      <c r="M52" s="22">
        <f>IF(K52="Override",L52,IF(K52="Accept suggestion",F52,IF(K52="No change (same URL)",A52,"")))</f>
        <v/>
      </c>
      <c r="N52" s="22">
        <f>IF(A52="","",IF(K52="410 Gone","410",IF(K52="404","404",IF(K52="No change (same URL)","none",IF(M52="","","301")))))</f>
        <v/>
      </c>
      <c r="O52" s="22">
        <f>IF(A52="","",IFERROR(MID(A52,FIND("/",A52,FIND("//",A52)+2),2000),A52))</f>
        <v/>
      </c>
      <c r="P52" s="22">
        <f>IF(OR(O52="",N52="",N52="none",N52="404"),"",IF(N52="410","Redirect gone "&amp;O52,"Redirect "&amp;N52&amp;" "&amp;O52&amp;" "&amp;M52))</f>
        <v/>
      </c>
      <c r="Q52" s="22" t="n"/>
      <c r="R52" s="22" t="n"/>
      <c r="S52" s="22" t="n"/>
      <c r="T52" s="4">
        <f>IF(A52="","",TRIM(IF(K52="","Needs decision; ","")&amp;IF(AND(K52="Accept suggestion",F52=""),"No suggestion to accept; ","")&amp;IF(AND(K52="Override",L52=""),"Override URL missing; ","")&amp;IF(AND(K52="Accept suggestion",N(G52)&lt;$G$2),"Below your threshold; ","")&amp;IF(AND(M52&lt;&gt;"",M52=A52,K52&lt;&gt;"No change (same URL)"),"Redirects to itself; ","")&amp;IF(AND(M52&lt;&gt;"",OR(M52="/",AND(LEFT(M52,4)="http",OR((LEN(M52)-LEN(SUBSTITUTE(M52,"/","")))=2,AND((LEN(M52)-LEN(SUBSTITUTE(M52,"/","")))=3,RIGHT(M52,1)="/"))))),"Home page redirect; ","")&amp;IF(N(R52)&gt;1,"Chain; ","")&amp;IF(S52="No","Destination not 200; ","")))</f>
        <v/>
      </c>
      <c r="U52" s="22" t="n"/>
      <c r="V52" s="22" t="n"/>
      <c r="W52" s="4" t="n"/>
    </row>
    <row r="53">
      <c r="A53" s="22" t="n"/>
      <c r="B53" s="22" t="n"/>
      <c r="C53" s="22" t="n"/>
      <c r="D53" s="22">
        <f>IF(A53="","",IF(OR(N(B53)&gt;=$C$2,N(C53)&gt;=$E$2),"High",IF(OR(N(B53)&gt;0,N(C53)&gt;0),"Medium","Low")))</f>
        <v/>
      </c>
      <c r="E53" s="22" t="n"/>
      <c r="F53" s="22" t="n"/>
      <c r="G53" s="22" t="n"/>
      <c r="H53" s="22" t="n"/>
      <c r="I53" s="22" t="n"/>
      <c r="J53" s="22" t="n"/>
      <c r="K53" s="22" t="n"/>
      <c r="L53" s="22" t="n"/>
      <c r="M53" s="22">
        <f>IF(K53="Override",L53,IF(K53="Accept suggestion",F53,IF(K53="No change (same URL)",A53,"")))</f>
        <v/>
      </c>
      <c r="N53" s="22">
        <f>IF(A53="","",IF(K53="410 Gone","410",IF(K53="404","404",IF(K53="No change (same URL)","none",IF(M53="","","301")))))</f>
        <v/>
      </c>
      <c r="O53" s="22">
        <f>IF(A53="","",IFERROR(MID(A53,FIND("/",A53,FIND("//",A53)+2),2000),A53))</f>
        <v/>
      </c>
      <c r="P53" s="22">
        <f>IF(OR(O53="",N53="",N53="none",N53="404"),"",IF(N53="410","Redirect gone "&amp;O53,"Redirect "&amp;N53&amp;" "&amp;O53&amp;" "&amp;M53))</f>
        <v/>
      </c>
      <c r="Q53" s="22" t="n"/>
      <c r="R53" s="22" t="n"/>
      <c r="S53" s="22" t="n"/>
      <c r="T53" s="4">
        <f>IF(A53="","",TRIM(IF(K53="","Needs decision; ","")&amp;IF(AND(K53="Accept suggestion",F53=""),"No suggestion to accept; ","")&amp;IF(AND(K53="Override",L53=""),"Override URL missing; ","")&amp;IF(AND(K53="Accept suggestion",N(G53)&lt;$G$2),"Below your threshold; ","")&amp;IF(AND(M53&lt;&gt;"",M53=A53,K53&lt;&gt;"No change (same URL)"),"Redirects to itself; ","")&amp;IF(AND(M53&lt;&gt;"",OR(M53="/",AND(LEFT(M53,4)="http",OR((LEN(M53)-LEN(SUBSTITUTE(M53,"/","")))=2,AND((LEN(M53)-LEN(SUBSTITUTE(M53,"/","")))=3,RIGHT(M53,1)="/"))))),"Home page redirect; ","")&amp;IF(N(R53)&gt;1,"Chain; ","")&amp;IF(S53="No","Destination not 200; ","")))</f>
        <v/>
      </c>
      <c r="U53" s="22" t="n"/>
      <c r="V53" s="22" t="n"/>
      <c r="W53" s="4" t="n"/>
    </row>
    <row r="54">
      <c r="A54" s="22" t="n"/>
      <c r="B54" s="22" t="n"/>
      <c r="C54" s="22" t="n"/>
      <c r="D54" s="22">
        <f>IF(A54="","",IF(OR(N(B54)&gt;=$C$2,N(C54)&gt;=$E$2),"High",IF(OR(N(B54)&gt;0,N(C54)&gt;0),"Medium","Low")))</f>
        <v/>
      </c>
      <c r="E54" s="22" t="n"/>
      <c r="F54" s="22" t="n"/>
      <c r="G54" s="22" t="n"/>
      <c r="H54" s="22" t="n"/>
      <c r="I54" s="22" t="n"/>
      <c r="J54" s="22" t="n"/>
      <c r="K54" s="22" t="n"/>
      <c r="L54" s="22" t="n"/>
      <c r="M54" s="22">
        <f>IF(K54="Override",L54,IF(K54="Accept suggestion",F54,IF(K54="No change (same URL)",A54,"")))</f>
        <v/>
      </c>
      <c r="N54" s="22">
        <f>IF(A54="","",IF(K54="410 Gone","410",IF(K54="404","404",IF(K54="No change (same URL)","none",IF(M54="","","301")))))</f>
        <v/>
      </c>
      <c r="O54" s="22">
        <f>IF(A54="","",IFERROR(MID(A54,FIND("/",A54,FIND("//",A54)+2),2000),A54))</f>
        <v/>
      </c>
      <c r="P54" s="22">
        <f>IF(OR(O54="",N54="",N54="none",N54="404"),"",IF(N54="410","Redirect gone "&amp;O54,"Redirect "&amp;N54&amp;" "&amp;O54&amp;" "&amp;M54))</f>
        <v/>
      </c>
      <c r="Q54" s="22" t="n"/>
      <c r="R54" s="22" t="n"/>
      <c r="S54" s="22" t="n"/>
      <c r="T54" s="4">
        <f>IF(A54="","",TRIM(IF(K54="","Needs decision; ","")&amp;IF(AND(K54="Accept suggestion",F54=""),"No suggestion to accept; ","")&amp;IF(AND(K54="Override",L54=""),"Override URL missing; ","")&amp;IF(AND(K54="Accept suggestion",N(G54)&lt;$G$2),"Below your threshold; ","")&amp;IF(AND(M54&lt;&gt;"",M54=A54,K54&lt;&gt;"No change (same URL)"),"Redirects to itself; ","")&amp;IF(AND(M54&lt;&gt;"",OR(M54="/",AND(LEFT(M54,4)="http",OR((LEN(M54)-LEN(SUBSTITUTE(M54,"/","")))=2,AND((LEN(M54)-LEN(SUBSTITUTE(M54,"/","")))=3,RIGHT(M54,1)="/"))))),"Home page redirect; ","")&amp;IF(N(R54)&gt;1,"Chain; ","")&amp;IF(S54="No","Destination not 200; ","")))</f>
        <v/>
      </c>
      <c r="U54" s="22" t="n"/>
      <c r="V54" s="22" t="n"/>
      <c r="W54" s="4" t="n"/>
    </row>
    <row r="55">
      <c r="A55" s="22" t="n"/>
      <c r="B55" s="22" t="n"/>
      <c r="C55" s="22" t="n"/>
      <c r="D55" s="22">
        <f>IF(A55="","",IF(OR(N(B55)&gt;=$C$2,N(C55)&gt;=$E$2),"High",IF(OR(N(B55)&gt;0,N(C55)&gt;0),"Medium","Low")))</f>
        <v/>
      </c>
      <c r="E55" s="22" t="n"/>
      <c r="F55" s="22" t="n"/>
      <c r="G55" s="22" t="n"/>
      <c r="H55" s="22" t="n"/>
      <c r="I55" s="22" t="n"/>
      <c r="J55" s="22" t="n"/>
      <c r="K55" s="22" t="n"/>
      <c r="L55" s="22" t="n"/>
      <c r="M55" s="22">
        <f>IF(K55="Override",L55,IF(K55="Accept suggestion",F55,IF(K55="No change (same URL)",A55,"")))</f>
        <v/>
      </c>
      <c r="N55" s="22">
        <f>IF(A55="","",IF(K55="410 Gone","410",IF(K55="404","404",IF(K55="No change (same URL)","none",IF(M55="","","301")))))</f>
        <v/>
      </c>
      <c r="O55" s="22">
        <f>IF(A55="","",IFERROR(MID(A55,FIND("/",A55,FIND("//",A55)+2),2000),A55))</f>
        <v/>
      </c>
      <c r="P55" s="22">
        <f>IF(OR(O55="",N55="",N55="none",N55="404"),"",IF(N55="410","Redirect gone "&amp;O55,"Redirect "&amp;N55&amp;" "&amp;O55&amp;" "&amp;M55))</f>
        <v/>
      </c>
      <c r="Q55" s="22" t="n"/>
      <c r="R55" s="22" t="n"/>
      <c r="S55" s="22" t="n"/>
      <c r="T55" s="4">
        <f>IF(A55="","",TRIM(IF(K55="","Needs decision; ","")&amp;IF(AND(K55="Accept suggestion",F55=""),"No suggestion to accept; ","")&amp;IF(AND(K55="Override",L55=""),"Override URL missing; ","")&amp;IF(AND(K55="Accept suggestion",N(G55)&lt;$G$2),"Below your threshold; ","")&amp;IF(AND(M55&lt;&gt;"",M55=A55,K55&lt;&gt;"No change (same URL)"),"Redirects to itself; ","")&amp;IF(AND(M55&lt;&gt;"",OR(M55="/",AND(LEFT(M55,4)="http",OR((LEN(M55)-LEN(SUBSTITUTE(M55,"/","")))=2,AND((LEN(M55)-LEN(SUBSTITUTE(M55,"/","")))=3,RIGHT(M55,1)="/"))))),"Home page redirect; ","")&amp;IF(N(R55)&gt;1,"Chain; ","")&amp;IF(S55="No","Destination not 200; ","")))</f>
        <v/>
      </c>
      <c r="U55" s="22" t="n"/>
      <c r="V55" s="22" t="n"/>
      <c r="W55" s="4" t="n"/>
    </row>
    <row r="56">
      <c r="A56" s="22" t="n"/>
      <c r="B56" s="22" t="n"/>
      <c r="C56" s="22" t="n"/>
      <c r="D56" s="22">
        <f>IF(A56="","",IF(OR(N(B56)&gt;=$C$2,N(C56)&gt;=$E$2),"High",IF(OR(N(B56)&gt;0,N(C56)&gt;0),"Medium","Low")))</f>
        <v/>
      </c>
      <c r="E56" s="22" t="n"/>
      <c r="F56" s="22" t="n"/>
      <c r="G56" s="22" t="n"/>
      <c r="H56" s="22" t="n"/>
      <c r="I56" s="22" t="n"/>
      <c r="J56" s="22" t="n"/>
      <c r="K56" s="22" t="n"/>
      <c r="L56" s="22" t="n"/>
      <c r="M56" s="22">
        <f>IF(K56="Override",L56,IF(K56="Accept suggestion",F56,IF(K56="No change (same URL)",A56,"")))</f>
        <v/>
      </c>
      <c r="N56" s="22">
        <f>IF(A56="","",IF(K56="410 Gone","410",IF(K56="404","404",IF(K56="No change (same URL)","none",IF(M56="","","301")))))</f>
        <v/>
      </c>
      <c r="O56" s="22">
        <f>IF(A56="","",IFERROR(MID(A56,FIND("/",A56,FIND("//",A56)+2),2000),A56))</f>
        <v/>
      </c>
      <c r="P56" s="22">
        <f>IF(OR(O56="",N56="",N56="none",N56="404"),"",IF(N56="410","Redirect gone "&amp;O56,"Redirect "&amp;N56&amp;" "&amp;O56&amp;" "&amp;M56))</f>
        <v/>
      </c>
      <c r="Q56" s="22" t="n"/>
      <c r="R56" s="22" t="n"/>
      <c r="S56" s="22" t="n"/>
      <c r="T56" s="4">
        <f>IF(A56="","",TRIM(IF(K56="","Needs decision; ","")&amp;IF(AND(K56="Accept suggestion",F56=""),"No suggestion to accept; ","")&amp;IF(AND(K56="Override",L56=""),"Override URL missing; ","")&amp;IF(AND(K56="Accept suggestion",N(G56)&lt;$G$2),"Below your threshold; ","")&amp;IF(AND(M56&lt;&gt;"",M56=A56,K56&lt;&gt;"No change (same URL)"),"Redirects to itself; ","")&amp;IF(AND(M56&lt;&gt;"",OR(M56="/",AND(LEFT(M56,4)="http",OR((LEN(M56)-LEN(SUBSTITUTE(M56,"/","")))=2,AND((LEN(M56)-LEN(SUBSTITUTE(M56,"/","")))=3,RIGHT(M56,1)="/"))))),"Home page redirect; ","")&amp;IF(N(R56)&gt;1,"Chain; ","")&amp;IF(S56="No","Destination not 200; ","")))</f>
        <v/>
      </c>
      <c r="U56" s="22" t="n"/>
      <c r="V56" s="22" t="n"/>
      <c r="W56" s="4" t="n"/>
    </row>
    <row r="57">
      <c r="A57" s="22" t="n"/>
      <c r="B57" s="22" t="n"/>
      <c r="C57" s="22" t="n"/>
      <c r="D57" s="22">
        <f>IF(A57="","",IF(OR(N(B57)&gt;=$C$2,N(C57)&gt;=$E$2),"High",IF(OR(N(B57)&gt;0,N(C57)&gt;0),"Medium","Low")))</f>
        <v/>
      </c>
      <c r="E57" s="22" t="n"/>
      <c r="F57" s="22" t="n"/>
      <c r="G57" s="22" t="n"/>
      <c r="H57" s="22" t="n"/>
      <c r="I57" s="22" t="n"/>
      <c r="J57" s="22" t="n"/>
      <c r="K57" s="22" t="n"/>
      <c r="L57" s="22" t="n"/>
      <c r="M57" s="22">
        <f>IF(K57="Override",L57,IF(K57="Accept suggestion",F57,IF(K57="No change (same URL)",A57,"")))</f>
        <v/>
      </c>
      <c r="N57" s="22">
        <f>IF(A57="","",IF(K57="410 Gone","410",IF(K57="404","404",IF(K57="No change (same URL)","none",IF(M57="","","301")))))</f>
        <v/>
      </c>
      <c r="O57" s="22">
        <f>IF(A57="","",IFERROR(MID(A57,FIND("/",A57,FIND("//",A57)+2),2000),A57))</f>
        <v/>
      </c>
      <c r="P57" s="22">
        <f>IF(OR(O57="",N57="",N57="none",N57="404"),"",IF(N57="410","Redirect gone "&amp;O57,"Redirect "&amp;N57&amp;" "&amp;O57&amp;" "&amp;M57))</f>
        <v/>
      </c>
      <c r="Q57" s="22" t="n"/>
      <c r="R57" s="22" t="n"/>
      <c r="S57" s="22" t="n"/>
      <c r="T57" s="4">
        <f>IF(A57="","",TRIM(IF(K57="","Needs decision; ","")&amp;IF(AND(K57="Accept suggestion",F57=""),"No suggestion to accept; ","")&amp;IF(AND(K57="Override",L57=""),"Override URL missing; ","")&amp;IF(AND(K57="Accept suggestion",N(G57)&lt;$G$2),"Below your threshold; ","")&amp;IF(AND(M57&lt;&gt;"",M57=A57,K57&lt;&gt;"No change (same URL)"),"Redirects to itself; ","")&amp;IF(AND(M57&lt;&gt;"",OR(M57="/",AND(LEFT(M57,4)="http",OR((LEN(M57)-LEN(SUBSTITUTE(M57,"/","")))=2,AND((LEN(M57)-LEN(SUBSTITUTE(M57,"/","")))=3,RIGHT(M57,1)="/"))))),"Home page redirect; ","")&amp;IF(N(R57)&gt;1,"Chain; ","")&amp;IF(S57="No","Destination not 200; ","")))</f>
        <v/>
      </c>
      <c r="U57" s="22" t="n"/>
      <c r="V57" s="22" t="n"/>
      <c r="W57" s="4" t="n"/>
    </row>
    <row r="58">
      <c r="A58" s="22" t="n"/>
      <c r="B58" s="22" t="n"/>
      <c r="C58" s="22" t="n"/>
      <c r="D58" s="22">
        <f>IF(A58="","",IF(OR(N(B58)&gt;=$C$2,N(C58)&gt;=$E$2),"High",IF(OR(N(B58)&gt;0,N(C58)&gt;0),"Medium","Low")))</f>
        <v/>
      </c>
      <c r="E58" s="22" t="n"/>
      <c r="F58" s="22" t="n"/>
      <c r="G58" s="22" t="n"/>
      <c r="H58" s="22" t="n"/>
      <c r="I58" s="22" t="n"/>
      <c r="J58" s="22" t="n"/>
      <c r="K58" s="22" t="n"/>
      <c r="L58" s="22" t="n"/>
      <c r="M58" s="22">
        <f>IF(K58="Override",L58,IF(K58="Accept suggestion",F58,IF(K58="No change (same URL)",A58,"")))</f>
        <v/>
      </c>
      <c r="N58" s="22">
        <f>IF(A58="","",IF(K58="410 Gone","410",IF(K58="404","404",IF(K58="No change (same URL)","none",IF(M58="","","301")))))</f>
        <v/>
      </c>
      <c r="O58" s="22">
        <f>IF(A58="","",IFERROR(MID(A58,FIND("/",A58,FIND("//",A58)+2),2000),A58))</f>
        <v/>
      </c>
      <c r="P58" s="22">
        <f>IF(OR(O58="",N58="",N58="none",N58="404"),"",IF(N58="410","Redirect gone "&amp;O58,"Redirect "&amp;N58&amp;" "&amp;O58&amp;" "&amp;M58))</f>
        <v/>
      </c>
      <c r="Q58" s="22" t="n"/>
      <c r="R58" s="22" t="n"/>
      <c r="S58" s="22" t="n"/>
      <c r="T58" s="4">
        <f>IF(A58="","",TRIM(IF(K58="","Needs decision; ","")&amp;IF(AND(K58="Accept suggestion",F58=""),"No suggestion to accept; ","")&amp;IF(AND(K58="Override",L58=""),"Override URL missing; ","")&amp;IF(AND(K58="Accept suggestion",N(G58)&lt;$G$2),"Below your threshold; ","")&amp;IF(AND(M58&lt;&gt;"",M58=A58,K58&lt;&gt;"No change (same URL)"),"Redirects to itself; ","")&amp;IF(AND(M58&lt;&gt;"",OR(M58="/",AND(LEFT(M58,4)="http",OR((LEN(M58)-LEN(SUBSTITUTE(M58,"/","")))=2,AND((LEN(M58)-LEN(SUBSTITUTE(M58,"/","")))=3,RIGHT(M58,1)="/"))))),"Home page redirect; ","")&amp;IF(N(R58)&gt;1,"Chain; ","")&amp;IF(S58="No","Destination not 200; ","")))</f>
        <v/>
      </c>
      <c r="U58" s="22" t="n"/>
      <c r="V58" s="22" t="n"/>
      <c r="W58" s="4" t="n"/>
    </row>
    <row r="59">
      <c r="A59" s="22" t="n"/>
      <c r="B59" s="22" t="n"/>
      <c r="C59" s="22" t="n"/>
      <c r="D59" s="22">
        <f>IF(A59="","",IF(OR(N(B59)&gt;=$C$2,N(C59)&gt;=$E$2),"High",IF(OR(N(B59)&gt;0,N(C59)&gt;0),"Medium","Low")))</f>
        <v/>
      </c>
      <c r="E59" s="22" t="n"/>
      <c r="F59" s="22" t="n"/>
      <c r="G59" s="22" t="n"/>
      <c r="H59" s="22" t="n"/>
      <c r="I59" s="22" t="n"/>
      <c r="J59" s="22" t="n"/>
      <c r="K59" s="22" t="n"/>
      <c r="L59" s="22" t="n"/>
      <c r="M59" s="22">
        <f>IF(K59="Override",L59,IF(K59="Accept suggestion",F59,IF(K59="No change (same URL)",A59,"")))</f>
        <v/>
      </c>
      <c r="N59" s="22">
        <f>IF(A59="","",IF(K59="410 Gone","410",IF(K59="404","404",IF(K59="No change (same URL)","none",IF(M59="","","301")))))</f>
        <v/>
      </c>
      <c r="O59" s="22">
        <f>IF(A59="","",IFERROR(MID(A59,FIND("/",A59,FIND("//",A59)+2),2000),A59))</f>
        <v/>
      </c>
      <c r="P59" s="22">
        <f>IF(OR(O59="",N59="",N59="none",N59="404"),"",IF(N59="410","Redirect gone "&amp;O59,"Redirect "&amp;N59&amp;" "&amp;O59&amp;" "&amp;M59))</f>
        <v/>
      </c>
      <c r="Q59" s="22" t="n"/>
      <c r="R59" s="22" t="n"/>
      <c r="S59" s="22" t="n"/>
      <c r="T59" s="4">
        <f>IF(A59="","",TRIM(IF(K59="","Needs decision; ","")&amp;IF(AND(K59="Accept suggestion",F59=""),"No suggestion to accept; ","")&amp;IF(AND(K59="Override",L59=""),"Override URL missing; ","")&amp;IF(AND(K59="Accept suggestion",N(G59)&lt;$G$2),"Below your threshold; ","")&amp;IF(AND(M59&lt;&gt;"",M59=A59,K59&lt;&gt;"No change (same URL)"),"Redirects to itself; ","")&amp;IF(AND(M59&lt;&gt;"",OR(M59="/",AND(LEFT(M59,4)="http",OR((LEN(M59)-LEN(SUBSTITUTE(M59,"/","")))=2,AND((LEN(M59)-LEN(SUBSTITUTE(M59,"/","")))=3,RIGHT(M59,1)="/"))))),"Home page redirect; ","")&amp;IF(N(R59)&gt;1,"Chain; ","")&amp;IF(S59="No","Destination not 200; ","")))</f>
        <v/>
      </c>
      <c r="U59" s="22" t="n"/>
      <c r="V59" s="22" t="n"/>
      <c r="W59" s="4" t="n"/>
    </row>
    <row r="60">
      <c r="A60" s="22" t="n"/>
      <c r="B60" s="22" t="n"/>
      <c r="C60" s="22" t="n"/>
      <c r="D60" s="22">
        <f>IF(A60="","",IF(OR(N(B60)&gt;=$C$2,N(C60)&gt;=$E$2),"High",IF(OR(N(B60)&gt;0,N(C60)&gt;0),"Medium","Low")))</f>
        <v/>
      </c>
      <c r="E60" s="22" t="n"/>
      <c r="F60" s="22" t="n"/>
      <c r="G60" s="22" t="n"/>
      <c r="H60" s="22" t="n"/>
      <c r="I60" s="22" t="n"/>
      <c r="J60" s="22" t="n"/>
      <c r="K60" s="22" t="n"/>
      <c r="L60" s="22" t="n"/>
      <c r="M60" s="22">
        <f>IF(K60="Override",L60,IF(K60="Accept suggestion",F60,IF(K60="No change (same URL)",A60,"")))</f>
        <v/>
      </c>
      <c r="N60" s="22">
        <f>IF(A60="","",IF(K60="410 Gone","410",IF(K60="404","404",IF(K60="No change (same URL)","none",IF(M60="","","301")))))</f>
        <v/>
      </c>
      <c r="O60" s="22">
        <f>IF(A60="","",IFERROR(MID(A60,FIND("/",A60,FIND("//",A60)+2),2000),A60))</f>
        <v/>
      </c>
      <c r="P60" s="22">
        <f>IF(OR(O60="",N60="",N60="none",N60="404"),"",IF(N60="410","Redirect gone "&amp;O60,"Redirect "&amp;N60&amp;" "&amp;O60&amp;" "&amp;M60))</f>
        <v/>
      </c>
      <c r="Q60" s="22" t="n"/>
      <c r="R60" s="22" t="n"/>
      <c r="S60" s="22" t="n"/>
      <c r="T60" s="4">
        <f>IF(A60="","",TRIM(IF(K60="","Needs decision; ","")&amp;IF(AND(K60="Accept suggestion",F60=""),"No suggestion to accept; ","")&amp;IF(AND(K60="Override",L60=""),"Override URL missing; ","")&amp;IF(AND(K60="Accept suggestion",N(G60)&lt;$G$2),"Below your threshold; ","")&amp;IF(AND(M60&lt;&gt;"",M60=A60,K60&lt;&gt;"No change (same URL)"),"Redirects to itself; ","")&amp;IF(AND(M60&lt;&gt;"",OR(M60="/",AND(LEFT(M60,4)="http",OR((LEN(M60)-LEN(SUBSTITUTE(M60,"/","")))=2,AND((LEN(M60)-LEN(SUBSTITUTE(M60,"/","")))=3,RIGHT(M60,1)="/"))))),"Home page redirect; ","")&amp;IF(N(R60)&gt;1,"Chain; ","")&amp;IF(S60="No","Destination not 200; ","")))</f>
        <v/>
      </c>
      <c r="U60" s="22" t="n"/>
      <c r="V60" s="22" t="n"/>
      <c r="W60" s="4" t="n"/>
    </row>
    <row r="61">
      <c r="A61" s="22" t="n"/>
      <c r="B61" s="22" t="n"/>
      <c r="C61" s="22" t="n"/>
      <c r="D61" s="22">
        <f>IF(A61="","",IF(OR(N(B61)&gt;=$C$2,N(C61)&gt;=$E$2),"High",IF(OR(N(B61)&gt;0,N(C61)&gt;0),"Medium","Low")))</f>
        <v/>
      </c>
      <c r="E61" s="22" t="n"/>
      <c r="F61" s="22" t="n"/>
      <c r="G61" s="22" t="n"/>
      <c r="H61" s="22" t="n"/>
      <c r="I61" s="22" t="n"/>
      <c r="J61" s="22" t="n"/>
      <c r="K61" s="22" t="n"/>
      <c r="L61" s="22" t="n"/>
      <c r="M61" s="22">
        <f>IF(K61="Override",L61,IF(K61="Accept suggestion",F61,IF(K61="No change (same URL)",A61,"")))</f>
        <v/>
      </c>
      <c r="N61" s="22">
        <f>IF(A61="","",IF(K61="410 Gone","410",IF(K61="404","404",IF(K61="No change (same URL)","none",IF(M61="","","301")))))</f>
        <v/>
      </c>
      <c r="O61" s="22">
        <f>IF(A61="","",IFERROR(MID(A61,FIND("/",A61,FIND("//",A61)+2),2000),A61))</f>
        <v/>
      </c>
      <c r="P61" s="22">
        <f>IF(OR(O61="",N61="",N61="none",N61="404"),"",IF(N61="410","Redirect gone "&amp;O61,"Redirect "&amp;N61&amp;" "&amp;O61&amp;" "&amp;M61))</f>
        <v/>
      </c>
      <c r="Q61" s="22" t="n"/>
      <c r="R61" s="22" t="n"/>
      <c r="S61" s="22" t="n"/>
      <c r="T61" s="4">
        <f>IF(A61="","",TRIM(IF(K61="","Needs decision; ","")&amp;IF(AND(K61="Accept suggestion",F61=""),"No suggestion to accept; ","")&amp;IF(AND(K61="Override",L61=""),"Override URL missing; ","")&amp;IF(AND(K61="Accept suggestion",N(G61)&lt;$G$2),"Below your threshold; ","")&amp;IF(AND(M61&lt;&gt;"",M61=A61,K61&lt;&gt;"No change (same URL)"),"Redirects to itself; ","")&amp;IF(AND(M61&lt;&gt;"",OR(M61="/",AND(LEFT(M61,4)="http",OR((LEN(M61)-LEN(SUBSTITUTE(M61,"/","")))=2,AND((LEN(M61)-LEN(SUBSTITUTE(M61,"/","")))=3,RIGHT(M61,1)="/"))))),"Home page redirect; ","")&amp;IF(N(R61)&gt;1,"Chain; ","")&amp;IF(S61="No","Destination not 200; ","")))</f>
        <v/>
      </c>
      <c r="U61" s="22" t="n"/>
      <c r="V61" s="22" t="n"/>
      <c r="W61" s="4" t="n"/>
    </row>
    <row r="62">
      <c r="A62" s="22" t="n"/>
      <c r="B62" s="22" t="n"/>
      <c r="C62" s="22" t="n"/>
      <c r="D62" s="22">
        <f>IF(A62="","",IF(OR(N(B62)&gt;=$C$2,N(C62)&gt;=$E$2),"High",IF(OR(N(B62)&gt;0,N(C62)&gt;0),"Medium","Low")))</f>
        <v/>
      </c>
      <c r="E62" s="22" t="n"/>
      <c r="F62" s="22" t="n"/>
      <c r="G62" s="22" t="n"/>
      <c r="H62" s="22" t="n"/>
      <c r="I62" s="22" t="n"/>
      <c r="J62" s="22" t="n"/>
      <c r="K62" s="22" t="n"/>
      <c r="L62" s="22" t="n"/>
      <c r="M62" s="22">
        <f>IF(K62="Override",L62,IF(K62="Accept suggestion",F62,IF(K62="No change (same URL)",A62,"")))</f>
        <v/>
      </c>
      <c r="N62" s="22">
        <f>IF(A62="","",IF(K62="410 Gone","410",IF(K62="404","404",IF(K62="No change (same URL)","none",IF(M62="","","301")))))</f>
        <v/>
      </c>
      <c r="O62" s="22">
        <f>IF(A62="","",IFERROR(MID(A62,FIND("/",A62,FIND("//",A62)+2),2000),A62))</f>
        <v/>
      </c>
      <c r="P62" s="22">
        <f>IF(OR(O62="",N62="",N62="none",N62="404"),"",IF(N62="410","Redirect gone "&amp;O62,"Redirect "&amp;N62&amp;" "&amp;O62&amp;" "&amp;M62))</f>
        <v/>
      </c>
      <c r="Q62" s="22" t="n"/>
      <c r="R62" s="22" t="n"/>
      <c r="S62" s="22" t="n"/>
      <c r="T62" s="4">
        <f>IF(A62="","",TRIM(IF(K62="","Needs decision; ","")&amp;IF(AND(K62="Accept suggestion",F62=""),"No suggestion to accept; ","")&amp;IF(AND(K62="Override",L62=""),"Override URL missing; ","")&amp;IF(AND(K62="Accept suggestion",N(G62)&lt;$G$2),"Below your threshold; ","")&amp;IF(AND(M62&lt;&gt;"",M62=A62,K62&lt;&gt;"No change (same URL)"),"Redirects to itself; ","")&amp;IF(AND(M62&lt;&gt;"",OR(M62="/",AND(LEFT(M62,4)="http",OR((LEN(M62)-LEN(SUBSTITUTE(M62,"/","")))=2,AND((LEN(M62)-LEN(SUBSTITUTE(M62,"/","")))=3,RIGHT(M62,1)="/"))))),"Home page redirect; ","")&amp;IF(N(R62)&gt;1,"Chain; ","")&amp;IF(S62="No","Destination not 200; ","")))</f>
        <v/>
      </c>
      <c r="U62" s="22" t="n"/>
      <c r="V62" s="22" t="n"/>
      <c r="W62" s="4" t="n"/>
    </row>
    <row r="63">
      <c r="A63" s="22" t="n"/>
      <c r="B63" s="22" t="n"/>
      <c r="C63" s="22" t="n"/>
      <c r="D63" s="22">
        <f>IF(A63="","",IF(OR(N(B63)&gt;=$C$2,N(C63)&gt;=$E$2),"High",IF(OR(N(B63)&gt;0,N(C63)&gt;0),"Medium","Low")))</f>
        <v/>
      </c>
      <c r="E63" s="22" t="n"/>
      <c r="F63" s="22" t="n"/>
      <c r="G63" s="22" t="n"/>
      <c r="H63" s="22" t="n"/>
      <c r="I63" s="22" t="n"/>
      <c r="J63" s="22" t="n"/>
      <c r="K63" s="22" t="n"/>
      <c r="L63" s="22" t="n"/>
      <c r="M63" s="22">
        <f>IF(K63="Override",L63,IF(K63="Accept suggestion",F63,IF(K63="No change (same URL)",A63,"")))</f>
        <v/>
      </c>
      <c r="N63" s="22">
        <f>IF(A63="","",IF(K63="410 Gone","410",IF(K63="404","404",IF(K63="No change (same URL)","none",IF(M63="","","301")))))</f>
        <v/>
      </c>
      <c r="O63" s="22">
        <f>IF(A63="","",IFERROR(MID(A63,FIND("/",A63,FIND("//",A63)+2),2000),A63))</f>
        <v/>
      </c>
      <c r="P63" s="22">
        <f>IF(OR(O63="",N63="",N63="none",N63="404"),"",IF(N63="410","Redirect gone "&amp;O63,"Redirect "&amp;N63&amp;" "&amp;O63&amp;" "&amp;M63))</f>
        <v/>
      </c>
      <c r="Q63" s="22" t="n"/>
      <c r="R63" s="22" t="n"/>
      <c r="S63" s="22" t="n"/>
      <c r="T63" s="4">
        <f>IF(A63="","",TRIM(IF(K63="","Needs decision; ","")&amp;IF(AND(K63="Accept suggestion",F63=""),"No suggestion to accept; ","")&amp;IF(AND(K63="Override",L63=""),"Override URL missing; ","")&amp;IF(AND(K63="Accept suggestion",N(G63)&lt;$G$2),"Below your threshold; ","")&amp;IF(AND(M63&lt;&gt;"",M63=A63,K63&lt;&gt;"No change (same URL)"),"Redirects to itself; ","")&amp;IF(AND(M63&lt;&gt;"",OR(M63="/",AND(LEFT(M63,4)="http",OR((LEN(M63)-LEN(SUBSTITUTE(M63,"/","")))=2,AND((LEN(M63)-LEN(SUBSTITUTE(M63,"/","")))=3,RIGHT(M63,1)="/"))))),"Home page redirect; ","")&amp;IF(N(R63)&gt;1,"Chain; ","")&amp;IF(S63="No","Destination not 200; ","")))</f>
        <v/>
      </c>
      <c r="U63" s="22" t="n"/>
      <c r="V63" s="22" t="n"/>
      <c r="W63" s="4" t="n"/>
    </row>
    <row r="64">
      <c r="A64" s="22" t="n"/>
      <c r="B64" s="22" t="n"/>
      <c r="C64" s="22" t="n"/>
      <c r="D64" s="22">
        <f>IF(A64="","",IF(OR(N(B64)&gt;=$C$2,N(C64)&gt;=$E$2),"High",IF(OR(N(B64)&gt;0,N(C64)&gt;0),"Medium","Low")))</f>
        <v/>
      </c>
      <c r="E64" s="22" t="n"/>
      <c r="F64" s="22" t="n"/>
      <c r="G64" s="22" t="n"/>
      <c r="H64" s="22" t="n"/>
      <c r="I64" s="22" t="n"/>
      <c r="J64" s="22" t="n"/>
      <c r="K64" s="22" t="n"/>
      <c r="L64" s="22" t="n"/>
      <c r="M64" s="22">
        <f>IF(K64="Override",L64,IF(K64="Accept suggestion",F64,IF(K64="No change (same URL)",A64,"")))</f>
        <v/>
      </c>
      <c r="N64" s="22">
        <f>IF(A64="","",IF(K64="410 Gone","410",IF(K64="404","404",IF(K64="No change (same URL)","none",IF(M64="","","301")))))</f>
        <v/>
      </c>
      <c r="O64" s="22">
        <f>IF(A64="","",IFERROR(MID(A64,FIND("/",A64,FIND("//",A64)+2),2000),A64))</f>
        <v/>
      </c>
      <c r="P64" s="22">
        <f>IF(OR(O64="",N64="",N64="none",N64="404"),"",IF(N64="410","Redirect gone "&amp;O64,"Redirect "&amp;N64&amp;" "&amp;O64&amp;" "&amp;M64))</f>
        <v/>
      </c>
      <c r="Q64" s="22" t="n"/>
      <c r="R64" s="22" t="n"/>
      <c r="S64" s="22" t="n"/>
      <c r="T64" s="4">
        <f>IF(A64="","",TRIM(IF(K64="","Needs decision; ","")&amp;IF(AND(K64="Accept suggestion",F64=""),"No suggestion to accept; ","")&amp;IF(AND(K64="Override",L64=""),"Override URL missing; ","")&amp;IF(AND(K64="Accept suggestion",N(G64)&lt;$G$2),"Below your threshold; ","")&amp;IF(AND(M64&lt;&gt;"",M64=A64,K64&lt;&gt;"No change (same URL)"),"Redirects to itself; ","")&amp;IF(AND(M64&lt;&gt;"",OR(M64="/",AND(LEFT(M64,4)="http",OR((LEN(M64)-LEN(SUBSTITUTE(M64,"/","")))=2,AND((LEN(M64)-LEN(SUBSTITUTE(M64,"/","")))=3,RIGHT(M64,1)="/"))))),"Home page redirect; ","")&amp;IF(N(R64)&gt;1,"Chain; ","")&amp;IF(S64="No","Destination not 200; ","")))</f>
        <v/>
      </c>
      <c r="U64" s="22" t="n"/>
      <c r="V64" s="22" t="n"/>
      <c r="W64" s="4" t="n"/>
    </row>
    <row r="65">
      <c r="A65" s="22" t="n"/>
      <c r="B65" s="22" t="n"/>
      <c r="C65" s="22" t="n"/>
      <c r="D65" s="22">
        <f>IF(A65="","",IF(OR(N(B65)&gt;=$C$2,N(C65)&gt;=$E$2),"High",IF(OR(N(B65)&gt;0,N(C65)&gt;0),"Medium","Low")))</f>
        <v/>
      </c>
      <c r="E65" s="22" t="n"/>
      <c r="F65" s="22" t="n"/>
      <c r="G65" s="22" t="n"/>
      <c r="H65" s="22" t="n"/>
      <c r="I65" s="22" t="n"/>
      <c r="J65" s="22" t="n"/>
      <c r="K65" s="22" t="n"/>
      <c r="L65" s="22" t="n"/>
      <c r="M65" s="22">
        <f>IF(K65="Override",L65,IF(K65="Accept suggestion",F65,IF(K65="No change (same URL)",A65,"")))</f>
        <v/>
      </c>
      <c r="N65" s="22">
        <f>IF(A65="","",IF(K65="410 Gone","410",IF(K65="404","404",IF(K65="No change (same URL)","none",IF(M65="","","301")))))</f>
        <v/>
      </c>
      <c r="O65" s="22">
        <f>IF(A65="","",IFERROR(MID(A65,FIND("/",A65,FIND("//",A65)+2),2000),A65))</f>
        <v/>
      </c>
      <c r="P65" s="22">
        <f>IF(OR(O65="",N65="",N65="none",N65="404"),"",IF(N65="410","Redirect gone "&amp;O65,"Redirect "&amp;N65&amp;" "&amp;O65&amp;" "&amp;M65))</f>
        <v/>
      </c>
      <c r="Q65" s="22" t="n"/>
      <c r="R65" s="22" t="n"/>
      <c r="S65" s="22" t="n"/>
      <c r="T65" s="4">
        <f>IF(A65="","",TRIM(IF(K65="","Needs decision; ","")&amp;IF(AND(K65="Accept suggestion",F65=""),"No suggestion to accept; ","")&amp;IF(AND(K65="Override",L65=""),"Override URL missing; ","")&amp;IF(AND(K65="Accept suggestion",N(G65)&lt;$G$2),"Below your threshold; ","")&amp;IF(AND(M65&lt;&gt;"",M65=A65,K65&lt;&gt;"No change (same URL)"),"Redirects to itself; ","")&amp;IF(AND(M65&lt;&gt;"",OR(M65="/",AND(LEFT(M65,4)="http",OR((LEN(M65)-LEN(SUBSTITUTE(M65,"/","")))=2,AND((LEN(M65)-LEN(SUBSTITUTE(M65,"/","")))=3,RIGHT(M65,1)="/"))))),"Home page redirect; ","")&amp;IF(N(R65)&gt;1,"Chain; ","")&amp;IF(S65="No","Destination not 200; ","")))</f>
        <v/>
      </c>
      <c r="U65" s="22" t="n"/>
      <c r="V65" s="22" t="n"/>
      <c r="W65" s="4" t="n"/>
    </row>
    <row r="66">
      <c r="A66" s="22" t="n"/>
      <c r="B66" s="22" t="n"/>
      <c r="C66" s="22" t="n"/>
      <c r="D66" s="22">
        <f>IF(A66="","",IF(OR(N(B66)&gt;=$C$2,N(C66)&gt;=$E$2),"High",IF(OR(N(B66)&gt;0,N(C66)&gt;0),"Medium","Low")))</f>
        <v/>
      </c>
      <c r="E66" s="22" t="n"/>
      <c r="F66" s="22" t="n"/>
      <c r="G66" s="22" t="n"/>
      <c r="H66" s="22" t="n"/>
      <c r="I66" s="22" t="n"/>
      <c r="J66" s="22" t="n"/>
      <c r="K66" s="22" t="n"/>
      <c r="L66" s="22" t="n"/>
      <c r="M66" s="22">
        <f>IF(K66="Override",L66,IF(K66="Accept suggestion",F66,IF(K66="No change (same URL)",A66,"")))</f>
        <v/>
      </c>
      <c r="N66" s="22">
        <f>IF(A66="","",IF(K66="410 Gone","410",IF(K66="404","404",IF(K66="No change (same URL)","none",IF(M66="","","301")))))</f>
        <v/>
      </c>
      <c r="O66" s="22">
        <f>IF(A66="","",IFERROR(MID(A66,FIND("/",A66,FIND("//",A66)+2),2000),A66))</f>
        <v/>
      </c>
      <c r="P66" s="22">
        <f>IF(OR(O66="",N66="",N66="none",N66="404"),"",IF(N66="410","Redirect gone "&amp;O66,"Redirect "&amp;N66&amp;" "&amp;O66&amp;" "&amp;M66))</f>
        <v/>
      </c>
      <c r="Q66" s="22" t="n"/>
      <c r="R66" s="22" t="n"/>
      <c r="S66" s="22" t="n"/>
      <c r="T66" s="4">
        <f>IF(A66="","",TRIM(IF(K66="","Needs decision; ","")&amp;IF(AND(K66="Accept suggestion",F66=""),"No suggestion to accept; ","")&amp;IF(AND(K66="Override",L66=""),"Override URL missing; ","")&amp;IF(AND(K66="Accept suggestion",N(G66)&lt;$G$2),"Below your threshold; ","")&amp;IF(AND(M66&lt;&gt;"",M66=A66,K66&lt;&gt;"No change (same URL)"),"Redirects to itself; ","")&amp;IF(AND(M66&lt;&gt;"",OR(M66="/",AND(LEFT(M66,4)="http",OR((LEN(M66)-LEN(SUBSTITUTE(M66,"/","")))=2,AND((LEN(M66)-LEN(SUBSTITUTE(M66,"/","")))=3,RIGHT(M66,1)="/"))))),"Home page redirect; ","")&amp;IF(N(R66)&gt;1,"Chain; ","")&amp;IF(S66="No","Destination not 200; ","")))</f>
        <v/>
      </c>
      <c r="U66" s="22" t="n"/>
      <c r="V66" s="22" t="n"/>
      <c r="W66" s="4" t="n"/>
    </row>
    <row r="67">
      <c r="A67" s="22" t="n"/>
      <c r="B67" s="22" t="n"/>
      <c r="C67" s="22" t="n"/>
      <c r="D67" s="22">
        <f>IF(A67="","",IF(OR(N(B67)&gt;=$C$2,N(C67)&gt;=$E$2),"High",IF(OR(N(B67)&gt;0,N(C67)&gt;0),"Medium","Low")))</f>
        <v/>
      </c>
      <c r="E67" s="22" t="n"/>
      <c r="F67" s="22" t="n"/>
      <c r="G67" s="22" t="n"/>
      <c r="H67" s="22" t="n"/>
      <c r="I67" s="22" t="n"/>
      <c r="J67" s="22" t="n"/>
      <c r="K67" s="22" t="n"/>
      <c r="L67" s="22" t="n"/>
      <c r="M67" s="22">
        <f>IF(K67="Override",L67,IF(K67="Accept suggestion",F67,IF(K67="No change (same URL)",A67,"")))</f>
        <v/>
      </c>
      <c r="N67" s="22">
        <f>IF(A67="","",IF(K67="410 Gone","410",IF(K67="404","404",IF(K67="No change (same URL)","none",IF(M67="","","301")))))</f>
        <v/>
      </c>
      <c r="O67" s="22">
        <f>IF(A67="","",IFERROR(MID(A67,FIND("/",A67,FIND("//",A67)+2),2000),A67))</f>
        <v/>
      </c>
      <c r="P67" s="22">
        <f>IF(OR(O67="",N67="",N67="none",N67="404"),"",IF(N67="410","Redirect gone "&amp;O67,"Redirect "&amp;N67&amp;" "&amp;O67&amp;" "&amp;M67))</f>
        <v/>
      </c>
      <c r="Q67" s="22" t="n"/>
      <c r="R67" s="22" t="n"/>
      <c r="S67" s="22" t="n"/>
      <c r="T67" s="4">
        <f>IF(A67="","",TRIM(IF(K67="","Needs decision; ","")&amp;IF(AND(K67="Accept suggestion",F67=""),"No suggestion to accept; ","")&amp;IF(AND(K67="Override",L67=""),"Override URL missing; ","")&amp;IF(AND(K67="Accept suggestion",N(G67)&lt;$G$2),"Below your threshold; ","")&amp;IF(AND(M67&lt;&gt;"",M67=A67,K67&lt;&gt;"No change (same URL)"),"Redirects to itself; ","")&amp;IF(AND(M67&lt;&gt;"",OR(M67="/",AND(LEFT(M67,4)="http",OR((LEN(M67)-LEN(SUBSTITUTE(M67,"/","")))=2,AND((LEN(M67)-LEN(SUBSTITUTE(M67,"/","")))=3,RIGHT(M67,1)="/"))))),"Home page redirect; ","")&amp;IF(N(R67)&gt;1,"Chain; ","")&amp;IF(S67="No","Destination not 200; ","")))</f>
        <v/>
      </c>
      <c r="U67" s="22" t="n"/>
      <c r="V67" s="22" t="n"/>
      <c r="W67" s="4" t="n"/>
    </row>
    <row r="68">
      <c r="A68" s="22" t="n"/>
      <c r="B68" s="22" t="n"/>
      <c r="C68" s="22" t="n"/>
      <c r="D68" s="22">
        <f>IF(A68="","",IF(OR(N(B68)&gt;=$C$2,N(C68)&gt;=$E$2),"High",IF(OR(N(B68)&gt;0,N(C68)&gt;0),"Medium","Low")))</f>
        <v/>
      </c>
      <c r="E68" s="22" t="n"/>
      <c r="F68" s="22" t="n"/>
      <c r="G68" s="22" t="n"/>
      <c r="H68" s="22" t="n"/>
      <c r="I68" s="22" t="n"/>
      <c r="J68" s="22" t="n"/>
      <c r="K68" s="22" t="n"/>
      <c r="L68" s="22" t="n"/>
      <c r="M68" s="22">
        <f>IF(K68="Override",L68,IF(K68="Accept suggestion",F68,IF(K68="No change (same URL)",A68,"")))</f>
        <v/>
      </c>
      <c r="N68" s="22">
        <f>IF(A68="","",IF(K68="410 Gone","410",IF(K68="404","404",IF(K68="No change (same URL)","none",IF(M68="","","301")))))</f>
        <v/>
      </c>
      <c r="O68" s="22">
        <f>IF(A68="","",IFERROR(MID(A68,FIND("/",A68,FIND("//",A68)+2),2000),A68))</f>
        <v/>
      </c>
      <c r="P68" s="22">
        <f>IF(OR(O68="",N68="",N68="none",N68="404"),"",IF(N68="410","Redirect gone "&amp;O68,"Redirect "&amp;N68&amp;" "&amp;O68&amp;" "&amp;M68))</f>
        <v/>
      </c>
      <c r="Q68" s="22" t="n"/>
      <c r="R68" s="22" t="n"/>
      <c r="S68" s="22" t="n"/>
      <c r="T68" s="4">
        <f>IF(A68="","",TRIM(IF(K68="","Needs decision; ","")&amp;IF(AND(K68="Accept suggestion",F68=""),"No suggestion to accept; ","")&amp;IF(AND(K68="Override",L68=""),"Override URL missing; ","")&amp;IF(AND(K68="Accept suggestion",N(G68)&lt;$G$2),"Below your threshold; ","")&amp;IF(AND(M68&lt;&gt;"",M68=A68,K68&lt;&gt;"No change (same URL)"),"Redirects to itself; ","")&amp;IF(AND(M68&lt;&gt;"",OR(M68="/",AND(LEFT(M68,4)="http",OR((LEN(M68)-LEN(SUBSTITUTE(M68,"/","")))=2,AND((LEN(M68)-LEN(SUBSTITUTE(M68,"/","")))=3,RIGHT(M68,1)="/"))))),"Home page redirect; ","")&amp;IF(N(R68)&gt;1,"Chain; ","")&amp;IF(S68="No","Destination not 200; ","")))</f>
        <v/>
      </c>
      <c r="U68" s="22" t="n"/>
      <c r="V68" s="22" t="n"/>
      <c r="W68" s="4" t="n"/>
    </row>
    <row r="69">
      <c r="A69" s="22" t="n"/>
      <c r="B69" s="22" t="n"/>
      <c r="C69" s="22" t="n"/>
      <c r="D69" s="22">
        <f>IF(A69="","",IF(OR(N(B69)&gt;=$C$2,N(C69)&gt;=$E$2),"High",IF(OR(N(B69)&gt;0,N(C69)&gt;0),"Medium","Low")))</f>
        <v/>
      </c>
      <c r="E69" s="22" t="n"/>
      <c r="F69" s="22" t="n"/>
      <c r="G69" s="22" t="n"/>
      <c r="H69" s="22" t="n"/>
      <c r="I69" s="22" t="n"/>
      <c r="J69" s="22" t="n"/>
      <c r="K69" s="22" t="n"/>
      <c r="L69" s="22" t="n"/>
      <c r="M69" s="22">
        <f>IF(K69="Override",L69,IF(K69="Accept suggestion",F69,IF(K69="No change (same URL)",A69,"")))</f>
        <v/>
      </c>
      <c r="N69" s="22">
        <f>IF(A69="","",IF(K69="410 Gone","410",IF(K69="404","404",IF(K69="No change (same URL)","none",IF(M69="","","301")))))</f>
        <v/>
      </c>
      <c r="O69" s="22">
        <f>IF(A69="","",IFERROR(MID(A69,FIND("/",A69,FIND("//",A69)+2),2000),A69))</f>
        <v/>
      </c>
      <c r="P69" s="22">
        <f>IF(OR(O69="",N69="",N69="none",N69="404"),"",IF(N69="410","Redirect gone "&amp;O69,"Redirect "&amp;N69&amp;" "&amp;O69&amp;" "&amp;M69))</f>
        <v/>
      </c>
      <c r="Q69" s="22" t="n"/>
      <c r="R69" s="22" t="n"/>
      <c r="S69" s="22" t="n"/>
      <c r="T69" s="4">
        <f>IF(A69="","",TRIM(IF(K69="","Needs decision; ","")&amp;IF(AND(K69="Accept suggestion",F69=""),"No suggestion to accept; ","")&amp;IF(AND(K69="Override",L69=""),"Override URL missing; ","")&amp;IF(AND(K69="Accept suggestion",N(G69)&lt;$G$2),"Below your threshold; ","")&amp;IF(AND(M69&lt;&gt;"",M69=A69,K69&lt;&gt;"No change (same URL)"),"Redirects to itself; ","")&amp;IF(AND(M69&lt;&gt;"",OR(M69="/",AND(LEFT(M69,4)="http",OR((LEN(M69)-LEN(SUBSTITUTE(M69,"/","")))=2,AND((LEN(M69)-LEN(SUBSTITUTE(M69,"/","")))=3,RIGHT(M69,1)="/"))))),"Home page redirect; ","")&amp;IF(N(R69)&gt;1,"Chain; ","")&amp;IF(S69="No","Destination not 200; ","")))</f>
        <v/>
      </c>
      <c r="U69" s="22" t="n"/>
      <c r="V69" s="22" t="n"/>
      <c r="W69" s="4" t="n"/>
    </row>
    <row r="70">
      <c r="A70" s="22" t="n"/>
      <c r="B70" s="22" t="n"/>
      <c r="C70" s="22" t="n"/>
      <c r="D70" s="22">
        <f>IF(A70="","",IF(OR(N(B70)&gt;=$C$2,N(C70)&gt;=$E$2),"High",IF(OR(N(B70)&gt;0,N(C70)&gt;0),"Medium","Low")))</f>
        <v/>
      </c>
      <c r="E70" s="22" t="n"/>
      <c r="F70" s="22" t="n"/>
      <c r="G70" s="22" t="n"/>
      <c r="H70" s="22" t="n"/>
      <c r="I70" s="22" t="n"/>
      <c r="J70" s="22" t="n"/>
      <c r="K70" s="22" t="n"/>
      <c r="L70" s="22" t="n"/>
      <c r="M70" s="22">
        <f>IF(K70="Override",L70,IF(K70="Accept suggestion",F70,IF(K70="No change (same URL)",A70,"")))</f>
        <v/>
      </c>
      <c r="N70" s="22">
        <f>IF(A70="","",IF(K70="410 Gone","410",IF(K70="404","404",IF(K70="No change (same URL)","none",IF(M70="","","301")))))</f>
        <v/>
      </c>
      <c r="O70" s="22">
        <f>IF(A70="","",IFERROR(MID(A70,FIND("/",A70,FIND("//",A70)+2),2000),A70))</f>
        <v/>
      </c>
      <c r="P70" s="22">
        <f>IF(OR(O70="",N70="",N70="none",N70="404"),"",IF(N70="410","Redirect gone "&amp;O70,"Redirect "&amp;N70&amp;" "&amp;O70&amp;" "&amp;M70))</f>
        <v/>
      </c>
      <c r="Q70" s="22" t="n"/>
      <c r="R70" s="22" t="n"/>
      <c r="S70" s="22" t="n"/>
      <c r="T70" s="4">
        <f>IF(A70="","",TRIM(IF(K70="","Needs decision; ","")&amp;IF(AND(K70="Accept suggestion",F70=""),"No suggestion to accept; ","")&amp;IF(AND(K70="Override",L70=""),"Override URL missing; ","")&amp;IF(AND(K70="Accept suggestion",N(G70)&lt;$G$2),"Below your threshold; ","")&amp;IF(AND(M70&lt;&gt;"",M70=A70,K70&lt;&gt;"No change (same URL)"),"Redirects to itself; ","")&amp;IF(AND(M70&lt;&gt;"",OR(M70="/",AND(LEFT(M70,4)="http",OR((LEN(M70)-LEN(SUBSTITUTE(M70,"/","")))=2,AND((LEN(M70)-LEN(SUBSTITUTE(M70,"/","")))=3,RIGHT(M70,1)="/"))))),"Home page redirect; ","")&amp;IF(N(R70)&gt;1,"Chain; ","")&amp;IF(S70="No","Destination not 200; ","")))</f>
        <v/>
      </c>
      <c r="U70" s="22" t="n"/>
      <c r="V70" s="22" t="n"/>
      <c r="W70" s="4" t="n"/>
    </row>
    <row r="71">
      <c r="A71" s="22" t="n"/>
      <c r="B71" s="22" t="n"/>
      <c r="C71" s="22" t="n"/>
      <c r="D71" s="22">
        <f>IF(A71="","",IF(OR(N(B71)&gt;=$C$2,N(C71)&gt;=$E$2),"High",IF(OR(N(B71)&gt;0,N(C71)&gt;0),"Medium","Low")))</f>
        <v/>
      </c>
      <c r="E71" s="22" t="n"/>
      <c r="F71" s="22" t="n"/>
      <c r="G71" s="22" t="n"/>
      <c r="H71" s="22" t="n"/>
      <c r="I71" s="22" t="n"/>
      <c r="J71" s="22" t="n"/>
      <c r="K71" s="22" t="n"/>
      <c r="L71" s="22" t="n"/>
      <c r="M71" s="22">
        <f>IF(K71="Override",L71,IF(K71="Accept suggestion",F71,IF(K71="No change (same URL)",A71,"")))</f>
        <v/>
      </c>
      <c r="N71" s="22">
        <f>IF(A71="","",IF(K71="410 Gone","410",IF(K71="404","404",IF(K71="No change (same URL)","none",IF(M71="","","301")))))</f>
        <v/>
      </c>
      <c r="O71" s="22">
        <f>IF(A71="","",IFERROR(MID(A71,FIND("/",A71,FIND("//",A71)+2),2000),A71))</f>
        <v/>
      </c>
      <c r="P71" s="22">
        <f>IF(OR(O71="",N71="",N71="none",N71="404"),"",IF(N71="410","Redirect gone "&amp;O71,"Redirect "&amp;N71&amp;" "&amp;O71&amp;" "&amp;M71))</f>
        <v/>
      </c>
      <c r="Q71" s="22" t="n"/>
      <c r="R71" s="22" t="n"/>
      <c r="S71" s="22" t="n"/>
      <c r="T71" s="4">
        <f>IF(A71="","",TRIM(IF(K71="","Needs decision; ","")&amp;IF(AND(K71="Accept suggestion",F71=""),"No suggestion to accept; ","")&amp;IF(AND(K71="Override",L71=""),"Override URL missing; ","")&amp;IF(AND(K71="Accept suggestion",N(G71)&lt;$G$2),"Below your threshold; ","")&amp;IF(AND(M71&lt;&gt;"",M71=A71,K71&lt;&gt;"No change (same URL)"),"Redirects to itself; ","")&amp;IF(AND(M71&lt;&gt;"",OR(M71="/",AND(LEFT(M71,4)="http",OR((LEN(M71)-LEN(SUBSTITUTE(M71,"/","")))=2,AND((LEN(M71)-LEN(SUBSTITUTE(M71,"/","")))=3,RIGHT(M71,1)="/"))))),"Home page redirect; ","")&amp;IF(N(R71)&gt;1,"Chain; ","")&amp;IF(S71="No","Destination not 200; ","")))</f>
        <v/>
      </c>
      <c r="U71" s="22" t="n"/>
      <c r="V71" s="22" t="n"/>
      <c r="W71" s="4" t="n"/>
    </row>
    <row r="72">
      <c r="A72" s="22" t="n"/>
      <c r="B72" s="22" t="n"/>
      <c r="C72" s="22" t="n"/>
      <c r="D72" s="22">
        <f>IF(A72="","",IF(OR(N(B72)&gt;=$C$2,N(C72)&gt;=$E$2),"High",IF(OR(N(B72)&gt;0,N(C72)&gt;0),"Medium","Low")))</f>
        <v/>
      </c>
      <c r="E72" s="22" t="n"/>
      <c r="F72" s="22" t="n"/>
      <c r="G72" s="22" t="n"/>
      <c r="H72" s="22" t="n"/>
      <c r="I72" s="22" t="n"/>
      <c r="J72" s="22" t="n"/>
      <c r="K72" s="22" t="n"/>
      <c r="L72" s="22" t="n"/>
      <c r="M72" s="22">
        <f>IF(K72="Override",L72,IF(K72="Accept suggestion",F72,IF(K72="No change (same URL)",A72,"")))</f>
        <v/>
      </c>
      <c r="N72" s="22">
        <f>IF(A72="","",IF(K72="410 Gone","410",IF(K72="404","404",IF(K72="No change (same URL)","none",IF(M72="","","301")))))</f>
        <v/>
      </c>
      <c r="O72" s="22">
        <f>IF(A72="","",IFERROR(MID(A72,FIND("/",A72,FIND("//",A72)+2),2000),A72))</f>
        <v/>
      </c>
      <c r="P72" s="22">
        <f>IF(OR(O72="",N72="",N72="none",N72="404"),"",IF(N72="410","Redirect gone "&amp;O72,"Redirect "&amp;N72&amp;" "&amp;O72&amp;" "&amp;M72))</f>
        <v/>
      </c>
      <c r="Q72" s="22" t="n"/>
      <c r="R72" s="22" t="n"/>
      <c r="S72" s="22" t="n"/>
      <c r="T72" s="4">
        <f>IF(A72="","",TRIM(IF(K72="","Needs decision; ","")&amp;IF(AND(K72="Accept suggestion",F72=""),"No suggestion to accept; ","")&amp;IF(AND(K72="Override",L72=""),"Override URL missing; ","")&amp;IF(AND(K72="Accept suggestion",N(G72)&lt;$G$2),"Below your threshold; ","")&amp;IF(AND(M72&lt;&gt;"",M72=A72,K72&lt;&gt;"No change (same URL)"),"Redirects to itself; ","")&amp;IF(AND(M72&lt;&gt;"",OR(M72="/",AND(LEFT(M72,4)="http",OR((LEN(M72)-LEN(SUBSTITUTE(M72,"/","")))=2,AND((LEN(M72)-LEN(SUBSTITUTE(M72,"/","")))=3,RIGHT(M72,1)="/"))))),"Home page redirect; ","")&amp;IF(N(R72)&gt;1,"Chain; ","")&amp;IF(S72="No","Destination not 200; ","")))</f>
        <v/>
      </c>
      <c r="U72" s="22" t="n"/>
      <c r="V72" s="22" t="n"/>
      <c r="W72" s="4" t="n"/>
    </row>
    <row r="73">
      <c r="A73" s="22" t="n"/>
      <c r="B73" s="22" t="n"/>
      <c r="C73" s="22" t="n"/>
      <c r="D73" s="22">
        <f>IF(A73="","",IF(OR(N(B73)&gt;=$C$2,N(C73)&gt;=$E$2),"High",IF(OR(N(B73)&gt;0,N(C73)&gt;0),"Medium","Low")))</f>
        <v/>
      </c>
      <c r="E73" s="22" t="n"/>
      <c r="F73" s="22" t="n"/>
      <c r="G73" s="22" t="n"/>
      <c r="H73" s="22" t="n"/>
      <c r="I73" s="22" t="n"/>
      <c r="J73" s="22" t="n"/>
      <c r="K73" s="22" t="n"/>
      <c r="L73" s="22" t="n"/>
      <c r="M73" s="22">
        <f>IF(K73="Override",L73,IF(K73="Accept suggestion",F73,IF(K73="No change (same URL)",A73,"")))</f>
        <v/>
      </c>
      <c r="N73" s="22">
        <f>IF(A73="","",IF(K73="410 Gone","410",IF(K73="404","404",IF(K73="No change (same URL)","none",IF(M73="","","301")))))</f>
        <v/>
      </c>
      <c r="O73" s="22">
        <f>IF(A73="","",IFERROR(MID(A73,FIND("/",A73,FIND("//",A73)+2),2000),A73))</f>
        <v/>
      </c>
      <c r="P73" s="22">
        <f>IF(OR(O73="",N73="",N73="none",N73="404"),"",IF(N73="410","Redirect gone "&amp;O73,"Redirect "&amp;N73&amp;" "&amp;O73&amp;" "&amp;M73))</f>
        <v/>
      </c>
      <c r="Q73" s="22" t="n"/>
      <c r="R73" s="22" t="n"/>
      <c r="S73" s="22" t="n"/>
      <c r="T73" s="4">
        <f>IF(A73="","",TRIM(IF(K73="","Needs decision; ","")&amp;IF(AND(K73="Accept suggestion",F73=""),"No suggestion to accept; ","")&amp;IF(AND(K73="Override",L73=""),"Override URL missing; ","")&amp;IF(AND(K73="Accept suggestion",N(G73)&lt;$G$2),"Below your threshold; ","")&amp;IF(AND(M73&lt;&gt;"",M73=A73,K73&lt;&gt;"No change (same URL)"),"Redirects to itself; ","")&amp;IF(AND(M73&lt;&gt;"",OR(M73="/",AND(LEFT(M73,4)="http",OR((LEN(M73)-LEN(SUBSTITUTE(M73,"/","")))=2,AND((LEN(M73)-LEN(SUBSTITUTE(M73,"/","")))=3,RIGHT(M73,1)="/"))))),"Home page redirect; ","")&amp;IF(N(R73)&gt;1,"Chain; ","")&amp;IF(S73="No","Destination not 200; ","")))</f>
        <v/>
      </c>
      <c r="U73" s="22" t="n"/>
      <c r="V73" s="22" t="n"/>
      <c r="W73" s="4" t="n"/>
    </row>
    <row r="74">
      <c r="A74" s="22" t="n"/>
      <c r="B74" s="22" t="n"/>
      <c r="C74" s="22" t="n"/>
      <c r="D74" s="22">
        <f>IF(A74="","",IF(OR(N(B74)&gt;=$C$2,N(C74)&gt;=$E$2),"High",IF(OR(N(B74)&gt;0,N(C74)&gt;0),"Medium","Low")))</f>
        <v/>
      </c>
      <c r="E74" s="22" t="n"/>
      <c r="F74" s="22" t="n"/>
      <c r="G74" s="22" t="n"/>
      <c r="H74" s="22" t="n"/>
      <c r="I74" s="22" t="n"/>
      <c r="J74" s="22" t="n"/>
      <c r="K74" s="22" t="n"/>
      <c r="L74" s="22" t="n"/>
      <c r="M74" s="22">
        <f>IF(K74="Override",L74,IF(K74="Accept suggestion",F74,IF(K74="No change (same URL)",A74,"")))</f>
        <v/>
      </c>
      <c r="N74" s="22">
        <f>IF(A74="","",IF(K74="410 Gone","410",IF(K74="404","404",IF(K74="No change (same URL)","none",IF(M74="","","301")))))</f>
        <v/>
      </c>
      <c r="O74" s="22">
        <f>IF(A74="","",IFERROR(MID(A74,FIND("/",A74,FIND("//",A74)+2),2000),A74))</f>
        <v/>
      </c>
      <c r="P74" s="22">
        <f>IF(OR(O74="",N74="",N74="none",N74="404"),"",IF(N74="410","Redirect gone "&amp;O74,"Redirect "&amp;N74&amp;" "&amp;O74&amp;" "&amp;M74))</f>
        <v/>
      </c>
      <c r="Q74" s="22" t="n"/>
      <c r="R74" s="22" t="n"/>
      <c r="S74" s="22" t="n"/>
      <c r="T74" s="4">
        <f>IF(A74="","",TRIM(IF(K74="","Needs decision; ","")&amp;IF(AND(K74="Accept suggestion",F74=""),"No suggestion to accept; ","")&amp;IF(AND(K74="Override",L74=""),"Override URL missing; ","")&amp;IF(AND(K74="Accept suggestion",N(G74)&lt;$G$2),"Below your threshold; ","")&amp;IF(AND(M74&lt;&gt;"",M74=A74,K74&lt;&gt;"No change (same URL)"),"Redirects to itself; ","")&amp;IF(AND(M74&lt;&gt;"",OR(M74="/",AND(LEFT(M74,4)="http",OR((LEN(M74)-LEN(SUBSTITUTE(M74,"/","")))=2,AND((LEN(M74)-LEN(SUBSTITUTE(M74,"/","")))=3,RIGHT(M74,1)="/"))))),"Home page redirect; ","")&amp;IF(N(R74)&gt;1,"Chain; ","")&amp;IF(S74="No","Destination not 200; ","")))</f>
        <v/>
      </c>
      <c r="U74" s="22" t="n"/>
      <c r="V74" s="22" t="n"/>
      <c r="W74" s="4" t="n"/>
    </row>
    <row r="75">
      <c r="A75" s="22" t="n"/>
      <c r="B75" s="22" t="n"/>
      <c r="C75" s="22" t="n"/>
      <c r="D75" s="22">
        <f>IF(A75="","",IF(OR(N(B75)&gt;=$C$2,N(C75)&gt;=$E$2),"High",IF(OR(N(B75)&gt;0,N(C75)&gt;0),"Medium","Low")))</f>
        <v/>
      </c>
      <c r="E75" s="22" t="n"/>
      <c r="F75" s="22" t="n"/>
      <c r="G75" s="22" t="n"/>
      <c r="H75" s="22" t="n"/>
      <c r="I75" s="22" t="n"/>
      <c r="J75" s="22" t="n"/>
      <c r="K75" s="22" t="n"/>
      <c r="L75" s="22" t="n"/>
      <c r="M75" s="22">
        <f>IF(K75="Override",L75,IF(K75="Accept suggestion",F75,IF(K75="No change (same URL)",A75,"")))</f>
        <v/>
      </c>
      <c r="N75" s="22">
        <f>IF(A75="","",IF(K75="410 Gone","410",IF(K75="404","404",IF(K75="No change (same URL)","none",IF(M75="","","301")))))</f>
        <v/>
      </c>
      <c r="O75" s="22">
        <f>IF(A75="","",IFERROR(MID(A75,FIND("/",A75,FIND("//",A75)+2),2000),A75))</f>
        <v/>
      </c>
      <c r="P75" s="22">
        <f>IF(OR(O75="",N75="",N75="none",N75="404"),"",IF(N75="410","Redirect gone "&amp;O75,"Redirect "&amp;N75&amp;" "&amp;O75&amp;" "&amp;M75))</f>
        <v/>
      </c>
      <c r="Q75" s="22" t="n"/>
      <c r="R75" s="22" t="n"/>
      <c r="S75" s="22" t="n"/>
      <c r="T75" s="4">
        <f>IF(A75="","",TRIM(IF(K75="","Needs decision; ","")&amp;IF(AND(K75="Accept suggestion",F75=""),"No suggestion to accept; ","")&amp;IF(AND(K75="Override",L75=""),"Override URL missing; ","")&amp;IF(AND(K75="Accept suggestion",N(G75)&lt;$G$2),"Below your threshold; ","")&amp;IF(AND(M75&lt;&gt;"",M75=A75,K75&lt;&gt;"No change (same URL)"),"Redirects to itself; ","")&amp;IF(AND(M75&lt;&gt;"",OR(M75="/",AND(LEFT(M75,4)="http",OR((LEN(M75)-LEN(SUBSTITUTE(M75,"/","")))=2,AND((LEN(M75)-LEN(SUBSTITUTE(M75,"/","")))=3,RIGHT(M75,1)="/"))))),"Home page redirect; ","")&amp;IF(N(R75)&gt;1,"Chain; ","")&amp;IF(S75="No","Destination not 200; ","")))</f>
        <v/>
      </c>
      <c r="U75" s="22" t="n"/>
      <c r="V75" s="22" t="n"/>
      <c r="W75" s="4" t="n"/>
    </row>
    <row r="76">
      <c r="A76" s="22" t="n"/>
      <c r="B76" s="22" t="n"/>
      <c r="C76" s="22" t="n"/>
      <c r="D76" s="22">
        <f>IF(A76="","",IF(OR(N(B76)&gt;=$C$2,N(C76)&gt;=$E$2),"High",IF(OR(N(B76)&gt;0,N(C76)&gt;0),"Medium","Low")))</f>
        <v/>
      </c>
      <c r="E76" s="22" t="n"/>
      <c r="F76" s="22" t="n"/>
      <c r="G76" s="22" t="n"/>
      <c r="H76" s="22" t="n"/>
      <c r="I76" s="22" t="n"/>
      <c r="J76" s="22" t="n"/>
      <c r="K76" s="22" t="n"/>
      <c r="L76" s="22" t="n"/>
      <c r="M76" s="22">
        <f>IF(K76="Override",L76,IF(K76="Accept suggestion",F76,IF(K76="No change (same URL)",A76,"")))</f>
        <v/>
      </c>
      <c r="N76" s="22">
        <f>IF(A76="","",IF(K76="410 Gone","410",IF(K76="404","404",IF(K76="No change (same URL)","none",IF(M76="","","301")))))</f>
        <v/>
      </c>
      <c r="O76" s="22">
        <f>IF(A76="","",IFERROR(MID(A76,FIND("/",A76,FIND("//",A76)+2),2000),A76))</f>
        <v/>
      </c>
      <c r="P76" s="22">
        <f>IF(OR(O76="",N76="",N76="none",N76="404"),"",IF(N76="410","Redirect gone "&amp;O76,"Redirect "&amp;N76&amp;" "&amp;O76&amp;" "&amp;M76))</f>
        <v/>
      </c>
      <c r="Q76" s="22" t="n"/>
      <c r="R76" s="22" t="n"/>
      <c r="S76" s="22" t="n"/>
      <c r="T76" s="4">
        <f>IF(A76="","",TRIM(IF(K76="","Needs decision; ","")&amp;IF(AND(K76="Accept suggestion",F76=""),"No suggestion to accept; ","")&amp;IF(AND(K76="Override",L76=""),"Override URL missing; ","")&amp;IF(AND(K76="Accept suggestion",N(G76)&lt;$G$2),"Below your threshold; ","")&amp;IF(AND(M76&lt;&gt;"",M76=A76,K76&lt;&gt;"No change (same URL)"),"Redirects to itself; ","")&amp;IF(AND(M76&lt;&gt;"",OR(M76="/",AND(LEFT(M76,4)="http",OR((LEN(M76)-LEN(SUBSTITUTE(M76,"/","")))=2,AND((LEN(M76)-LEN(SUBSTITUTE(M76,"/","")))=3,RIGHT(M76,1)="/"))))),"Home page redirect; ","")&amp;IF(N(R76)&gt;1,"Chain; ","")&amp;IF(S76="No","Destination not 200; ","")))</f>
        <v/>
      </c>
      <c r="U76" s="22" t="n"/>
      <c r="V76" s="22" t="n"/>
      <c r="W76" s="4" t="n"/>
    </row>
    <row r="77">
      <c r="A77" s="22" t="n"/>
      <c r="B77" s="22" t="n"/>
      <c r="C77" s="22" t="n"/>
      <c r="D77" s="22">
        <f>IF(A77="","",IF(OR(N(B77)&gt;=$C$2,N(C77)&gt;=$E$2),"High",IF(OR(N(B77)&gt;0,N(C77)&gt;0),"Medium","Low")))</f>
        <v/>
      </c>
      <c r="E77" s="22" t="n"/>
      <c r="F77" s="22" t="n"/>
      <c r="G77" s="22" t="n"/>
      <c r="H77" s="22" t="n"/>
      <c r="I77" s="22" t="n"/>
      <c r="J77" s="22" t="n"/>
      <c r="K77" s="22" t="n"/>
      <c r="L77" s="22" t="n"/>
      <c r="M77" s="22">
        <f>IF(K77="Override",L77,IF(K77="Accept suggestion",F77,IF(K77="No change (same URL)",A77,"")))</f>
        <v/>
      </c>
      <c r="N77" s="22">
        <f>IF(A77="","",IF(K77="410 Gone","410",IF(K77="404","404",IF(K77="No change (same URL)","none",IF(M77="","","301")))))</f>
        <v/>
      </c>
      <c r="O77" s="22">
        <f>IF(A77="","",IFERROR(MID(A77,FIND("/",A77,FIND("//",A77)+2),2000),A77))</f>
        <v/>
      </c>
      <c r="P77" s="22">
        <f>IF(OR(O77="",N77="",N77="none",N77="404"),"",IF(N77="410","Redirect gone "&amp;O77,"Redirect "&amp;N77&amp;" "&amp;O77&amp;" "&amp;M77))</f>
        <v/>
      </c>
      <c r="Q77" s="22" t="n"/>
      <c r="R77" s="22" t="n"/>
      <c r="S77" s="22" t="n"/>
      <c r="T77" s="4">
        <f>IF(A77="","",TRIM(IF(K77="","Needs decision; ","")&amp;IF(AND(K77="Accept suggestion",F77=""),"No suggestion to accept; ","")&amp;IF(AND(K77="Override",L77=""),"Override URL missing; ","")&amp;IF(AND(K77="Accept suggestion",N(G77)&lt;$G$2),"Below your threshold; ","")&amp;IF(AND(M77&lt;&gt;"",M77=A77,K77&lt;&gt;"No change (same URL)"),"Redirects to itself; ","")&amp;IF(AND(M77&lt;&gt;"",OR(M77="/",AND(LEFT(M77,4)="http",OR((LEN(M77)-LEN(SUBSTITUTE(M77,"/","")))=2,AND((LEN(M77)-LEN(SUBSTITUTE(M77,"/","")))=3,RIGHT(M77,1)="/"))))),"Home page redirect; ","")&amp;IF(N(R77)&gt;1,"Chain; ","")&amp;IF(S77="No","Destination not 200; ","")))</f>
        <v/>
      </c>
      <c r="U77" s="22" t="n"/>
      <c r="V77" s="22" t="n"/>
      <c r="W77" s="4" t="n"/>
    </row>
    <row r="78">
      <c r="A78" s="22" t="n"/>
      <c r="B78" s="22" t="n"/>
      <c r="C78" s="22" t="n"/>
      <c r="D78" s="22">
        <f>IF(A78="","",IF(OR(N(B78)&gt;=$C$2,N(C78)&gt;=$E$2),"High",IF(OR(N(B78)&gt;0,N(C78)&gt;0),"Medium","Low")))</f>
        <v/>
      </c>
      <c r="E78" s="22" t="n"/>
      <c r="F78" s="22" t="n"/>
      <c r="G78" s="22" t="n"/>
      <c r="H78" s="22" t="n"/>
      <c r="I78" s="22" t="n"/>
      <c r="J78" s="22" t="n"/>
      <c r="K78" s="22" t="n"/>
      <c r="L78" s="22" t="n"/>
      <c r="M78" s="22">
        <f>IF(K78="Override",L78,IF(K78="Accept suggestion",F78,IF(K78="No change (same URL)",A78,"")))</f>
        <v/>
      </c>
      <c r="N78" s="22">
        <f>IF(A78="","",IF(K78="410 Gone","410",IF(K78="404","404",IF(K78="No change (same URL)","none",IF(M78="","","301")))))</f>
        <v/>
      </c>
      <c r="O78" s="22">
        <f>IF(A78="","",IFERROR(MID(A78,FIND("/",A78,FIND("//",A78)+2),2000),A78))</f>
        <v/>
      </c>
      <c r="P78" s="22">
        <f>IF(OR(O78="",N78="",N78="none",N78="404"),"",IF(N78="410","Redirect gone "&amp;O78,"Redirect "&amp;N78&amp;" "&amp;O78&amp;" "&amp;M78))</f>
        <v/>
      </c>
      <c r="Q78" s="22" t="n"/>
      <c r="R78" s="22" t="n"/>
      <c r="S78" s="22" t="n"/>
      <c r="T78" s="4">
        <f>IF(A78="","",TRIM(IF(K78="","Needs decision; ","")&amp;IF(AND(K78="Accept suggestion",F78=""),"No suggestion to accept; ","")&amp;IF(AND(K78="Override",L78=""),"Override URL missing; ","")&amp;IF(AND(K78="Accept suggestion",N(G78)&lt;$G$2),"Below your threshold; ","")&amp;IF(AND(M78&lt;&gt;"",M78=A78,K78&lt;&gt;"No change (same URL)"),"Redirects to itself; ","")&amp;IF(AND(M78&lt;&gt;"",OR(M78="/",AND(LEFT(M78,4)="http",OR((LEN(M78)-LEN(SUBSTITUTE(M78,"/","")))=2,AND((LEN(M78)-LEN(SUBSTITUTE(M78,"/","")))=3,RIGHT(M78,1)="/"))))),"Home page redirect; ","")&amp;IF(N(R78)&gt;1,"Chain; ","")&amp;IF(S78="No","Destination not 200; ","")))</f>
        <v/>
      </c>
      <c r="U78" s="22" t="n"/>
      <c r="V78" s="22" t="n"/>
      <c r="W78" s="4" t="n"/>
    </row>
    <row r="79">
      <c r="A79" s="22" t="n"/>
      <c r="B79" s="22" t="n"/>
      <c r="C79" s="22" t="n"/>
      <c r="D79" s="22">
        <f>IF(A79="","",IF(OR(N(B79)&gt;=$C$2,N(C79)&gt;=$E$2),"High",IF(OR(N(B79)&gt;0,N(C79)&gt;0),"Medium","Low")))</f>
        <v/>
      </c>
      <c r="E79" s="22" t="n"/>
      <c r="F79" s="22" t="n"/>
      <c r="G79" s="22" t="n"/>
      <c r="H79" s="22" t="n"/>
      <c r="I79" s="22" t="n"/>
      <c r="J79" s="22" t="n"/>
      <c r="K79" s="22" t="n"/>
      <c r="L79" s="22" t="n"/>
      <c r="M79" s="22">
        <f>IF(K79="Override",L79,IF(K79="Accept suggestion",F79,IF(K79="No change (same URL)",A79,"")))</f>
        <v/>
      </c>
      <c r="N79" s="22">
        <f>IF(A79="","",IF(K79="410 Gone","410",IF(K79="404","404",IF(K79="No change (same URL)","none",IF(M79="","","301")))))</f>
        <v/>
      </c>
      <c r="O79" s="22">
        <f>IF(A79="","",IFERROR(MID(A79,FIND("/",A79,FIND("//",A79)+2),2000),A79))</f>
        <v/>
      </c>
      <c r="P79" s="22">
        <f>IF(OR(O79="",N79="",N79="none",N79="404"),"",IF(N79="410","Redirect gone "&amp;O79,"Redirect "&amp;N79&amp;" "&amp;O79&amp;" "&amp;M79))</f>
        <v/>
      </c>
      <c r="Q79" s="22" t="n"/>
      <c r="R79" s="22" t="n"/>
      <c r="S79" s="22" t="n"/>
      <c r="T79" s="4">
        <f>IF(A79="","",TRIM(IF(K79="","Needs decision; ","")&amp;IF(AND(K79="Accept suggestion",F79=""),"No suggestion to accept; ","")&amp;IF(AND(K79="Override",L79=""),"Override URL missing; ","")&amp;IF(AND(K79="Accept suggestion",N(G79)&lt;$G$2),"Below your threshold; ","")&amp;IF(AND(M79&lt;&gt;"",M79=A79,K79&lt;&gt;"No change (same URL)"),"Redirects to itself; ","")&amp;IF(AND(M79&lt;&gt;"",OR(M79="/",AND(LEFT(M79,4)="http",OR((LEN(M79)-LEN(SUBSTITUTE(M79,"/","")))=2,AND((LEN(M79)-LEN(SUBSTITUTE(M79,"/","")))=3,RIGHT(M79,1)="/"))))),"Home page redirect; ","")&amp;IF(N(R79)&gt;1,"Chain; ","")&amp;IF(S79="No","Destination not 200; ","")))</f>
        <v/>
      </c>
      <c r="U79" s="22" t="n"/>
      <c r="V79" s="22" t="n"/>
      <c r="W79" s="4" t="n"/>
    </row>
    <row r="80">
      <c r="A80" s="22" t="n"/>
      <c r="B80" s="22" t="n"/>
      <c r="C80" s="22" t="n"/>
      <c r="D80" s="22">
        <f>IF(A80="","",IF(OR(N(B80)&gt;=$C$2,N(C80)&gt;=$E$2),"High",IF(OR(N(B80)&gt;0,N(C80)&gt;0),"Medium","Low")))</f>
        <v/>
      </c>
      <c r="E80" s="22" t="n"/>
      <c r="F80" s="22" t="n"/>
      <c r="G80" s="22" t="n"/>
      <c r="H80" s="22" t="n"/>
      <c r="I80" s="22" t="n"/>
      <c r="J80" s="22" t="n"/>
      <c r="K80" s="22" t="n"/>
      <c r="L80" s="22" t="n"/>
      <c r="M80" s="22">
        <f>IF(K80="Override",L80,IF(K80="Accept suggestion",F80,IF(K80="No change (same URL)",A80,"")))</f>
        <v/>
      </c>
      <c r="N80" s="22">
        <f>IF(A80="","",IF(K80="410 Gone","410",IF(K80="404","404",IF(K80="No change (same URL)","none",IF(M80="","","301")))))</f>
        <v/>
      </c>
      <c r="O80" s="22">
        <f>IF(A80="","",IFERROR(MID(A80,FIND("/",A80,FIND("//",A80)+2),2000),A80))</f>
        <v/>
      </c>
      <c r="P80" s="22">
        <f>IF(OR(O80="",N80="",N80="none",N80="404"),"",IF(N80="410","Redirect gone "&amp;O80,"Redirect "&amp;N80&amp;" "&amp;O80&amp;" "&amp;M80))</f>
        <v/>
      </c>
      <c r="Q80" s="22" t="n"/>
      <c r="R80" s="22" t="n"/>
      <c r="S80" s="22" t="n"/>
      <c r="T80" s="4">
        <f>IF(A80="","",TRIM(IF(K80="","Needs decision; ","")&amp;IF(AND(K80="Accept suggestion",F80=""),"No suggestion to accept; ","")&amp;IF(AND(K80="Override",L80=""),"Override URL missing; ","")&amp;IF(AND(K80="Accept suggestion",N(G80)&lt;$G$2),"Below your threshold; ","")&amp;IF(AND(M80&lt;&gt;"",M80=A80,K80&lt;&gt;"No change (same URL)"),"Redirects to itself; ","")&amp;IF(AND(M80&lt;&gt;"",OR(M80="/",AND(LEFT(M80,4)="http",OR((LEN(M80)-LEN(SUBSTITUTE(M80,"/","")))=2,AND((LEN(M80)-LEN(SUBSTITUTE(M80,"/","")))=3,RIGHT(M80,1)="/"))))),"Home page redirect; ","")&amp;IF(N(R80)&gt;1,"Chain; ","")&amp;IF(S80="No","Destination not 200; ","")))</f>
        <v/>
      </c>
      <c r="U80" s="22" t="n"/>
      <c r="V80" s="22" t="n"/>
      <c r="W80" s="4" t="n"/>
    </row>
    <row r="81">
      <c r="A81" s="22" t="n"/>
      <c r="B81" s="22" t="n"/>
      <c r="C81" s="22" t="n"/>
      <c r="D81" s="22">
        <f>IF(A81="","",IF(OR(N(B81)&gt;=$C$2,N(C81)&gt;=$E$2),"High",IF(OR(N(B81)&gt;0,N(C81)&gt;0),"Medium","Low")))</f>
        <v/>
      </c>
      <c r="E81" s="22" t="n"/>
      <c r="F81" s="22" t="n"/>
      <c r="G81" s="22" t="n"/>
      <c r="H81" s="22" t="n"/>
      <c r="I81" s="22" t="n"/>
      <c r="J81" s="22" t="n"/>
      <c r="K81" s="22" t="n"/>
      <c r="L81" s="22" t="n"/>
      <c r="M81" s="22">
        <f>IF(K81="Override",L81,IF(K81="Accept suggestion",F81,IF(K81="No change (same URL)",A81,"")))</f>
        <v/>
      </c>
      <c r="N81" s="22">
        <f>IF(A81="","",IF(K81="410 Gone","410",IF(K81="404","404",IF(K81="No change (same URL)","none",IF(M81="","","301")))))</f>
        <v/>
      </c>
      <c r="O81" s="22">
        <f>IF(A81="","",IFERROR(MID(A81,FIND("/",A81,FIND("//",A81)+2),2000),A81))</f>
        <v/>
      </c>
      <c r="P81" s="22">
        <f>IF(OR(O81="",N81="",N81="none",N81="404"),"",IF(N81="410","Redirect gone "&amp;O81,"Redirect "&amp;N81&amp;" "&amp;O81&amp;" "&amp;M81))</f>
        <v/>
      </c>
      <c r="Q81" s="22" t="n"/>
      <c r="R81" s="22" t="n"/>
      <c r="S81" s="22" t="n"/>
      <c r="T81" s="4">
        <f>IF(A81="","",TRIM(IF(K81="","Needs decision; ","")&amp;IF(AND(K81="Accept suggestion",F81=""),"No suggestion to accept; ","")&amp;IF(AND(K81="Override",L81=""),"Override URL missing; ","")&amp;IF(AND(K81="Accept suggestion",N(G81)&lt;$G$2),"Below your threshold; ","")&amp;IF(AND(M81&lt;&gt;"",M81=A81,K81&lt;&gt;"No change (same URL)"),"Redirects to itself; ","")&amp;IF(AND(M81&lt;&gt;"",OR(M81="/",AND(LEFT(M81,4)="http",OR((LEN(M81)-LEN(SUBSTITUTE(M81,"/","")))=2,AND((LEN(M81)-LEN(SUBSTITUTE(M81,"/","")))=3,RIGHT(M81,1)="/"))))),"Home page redirect; ","")&amp;IF(N(R81)&gt;1,"Chain; ","")&amp;IF(S81="No","Destination not 200; ","")))</f>
        <v/>
      </c>
      <c r="U81" s="22" t="n"/>
      <c r="V81" s="22" t="n"/>
      <c r="W81" s="4" t="n"/>
    </row>
    <row r="82">
      <c r="A82" s="22" t="n"/>
      <c r="B82" s="22" t="n"/>
      <c r="C82" s="22" t="n"/>
      <c r="D82" s="22">
        <f>IF(A82="","",IF(OR(N(B82)&gt;=$C$2,N(C82)&gt;=$E$2),"High",IF(OR(N(B82)&gt;0,N(C82)&gt;0),"Medium","Low")))</f>
        <v/>
      </c>
      <c r="E82" s="22" t="n"/>
      <c r="F82" s="22" t="n"/>
      <c r="G82" s="22" t="n"/>
      <c r="H82" s="22" t="n"/>
      <c r="I82" s="22" t="n"/>
      <c r="J82" s="22" t="n"/>
      <c r="K82" s="22" t="n"/>
      <c r="L82" s="22" t="n"/>
      <c r="M82" s="22">
        <f>IF(K82="Override",L82,IF(K82="Accept suggestion",F82,IF(K82="No change (same URL)",A82,"")))</f>
        <v/>
      </c>
      <c r="N82" s="22">
        <f>IF(A82="","",IF(K82="410 Gone","410",IF(K82="404","404",IF(K82="No change (same URL)","none",IF(M82="","","301")))))</f>
        <v/>
      </c>
      <c r="O82" s="22">
        <f>IF(A82="","",IFERROR(MID(A82,FIND("/",A82,FIND("//",A82)+2),2000),A82))</f>
        <v/>
      </c>
      <c r="P82" s="22">
        <f>IF(OR(O82="",N82="",N82="none",N82="404"),"",IF(N82="410","Redirect gone "&amp;O82,"Redirect "&amp;N82&amp;" "&amp;O82&amp;" "&amp;M82))</f>
        <v/>
      </c>
      <c r="Q82" s="22" t="n"/>
      <c r="R82" s="22" t="n"/>
      <c r="S82" s="22" t="n"/>
      <c r="T82" s="4">
        <f>IF(A82="","",TRIM(IF(K82="","Needs decision; ","")&amp;IF(AND(K82="Accept suggestion",F82=""),"No suggestion to accept; ","")&amp;IF(AND(K82="Override",L82=""),"Override URL missing; ","")&amp;IF(AND(K82="Accept suggestion",N(G82)&lt;$G$2),"Below your threshold; ","")&amp;IF(AND(M82&lt;&gt;"",M82=A82,K82&lt;&gt;"No change (same URL)"),"Redirects to itself; ","")&amp;IF(AND(M82&lt;&gt;"",OR(M82="/",AND(LEFT(M82,4)="http",OR((LEN(M82)-LEN(SUBSTITUTE(M82,"/","")))=2,AND((LEN(M82)-LEN(SUBSTITUTE(M82,"/","")))=3,RIGHT(M82,1)="/"))))),"Home page redirect; ","")&amp;IF(N(R82)&gt;1,"Chain; ","")&amp;IF(S82="No","Destination not 200; ","")))</f>
        <v/>
      </c>
      <c r="U82" s="22" t="n"/>
      <c r="V82" s="22" t="n"/>
      <c r="W82" s="4" t="n"/>
    </row>
    <row r="83">
      <c r="A83" s="22" t="n"/>
      <c r="B83" s="22" t="n"/>
      <c r="C83" s="22" t="n"/>
      <c r="D83" s="22">
        <f>IF(A83="","",IF(OR(N(B83)&gt;=$C$2,N(C83)&gt;=$E$2),"High",IF(OR(N(B83)&gt;0,N(C83)&gt;0),"Medium","Low")))</f>
        <v/>
      </c>
      <c r="E83" s="22" t="n"/>
      <c r="F83" s="22" t="n"/>
      <c r="G83" s="22" t="n"/>
      <c r="H83" s="22" t="n"/>
      <c r="I83" s="22" t="n"/>
      <c r="J83" s="22" t="n"/>
      <c r="K83" s="22" t="n"/>
      <c r="L83" s="22" t="n"/>
      <c r="M83" s="22">
        <f>IF(K83="Override",L83,IF(K83="Accept suggestion",F83,IF(K83="No change (same URL)",A83,"")))</f>
        <v/>
      </c>
      <c r="N83" s="22">
        <f>IF(A83="","",IF(K83="410 Gone","410",IF(K83="404","404",IF(K83="No change (same URL)","none",IF(M83="","","301")))))</f>
        <v/>
      </c>
      <c r="O83" s="22">
        <f>IF(A83="","",IFERROR(MID(A83,FIND("/",A83,FIND("//",A83)+2),2000),A83))</f>
        <v/>
      </c>
      <c r="P83" s="22">
        <f>IF(OR(O83="",N83="",N83="none",N83="404"),"",IF(N83="410","Redirect gone "&amp;O83,"Redirect "&amp;N83&amp;" "&amp;O83&amp;" "&amp;M83))</f>
        <v/>
      </c>
      <c r="Q83" s="22" t="n"/>
      <c r="R83" s="22" t="n"/>
      <c r="S83" s="22" t="n"/>
      <c r="T83" s="4">
        <f>IF(A83="","",TRIM(IF(K83="","Needs decision; ","")&amp;IF(AND(K83="Accept suggestion",F83=""),"No suggestion to accept; ","")&amp;IF(AND(K83="Override",L83=""),"Override URL missing; ","")&amp;IF(AND(K83="Accept suggestion",N(G83)&lt;$G$2),"Below your threshold; ","")&amp;IF(AND(M83&lt;&gt;"",M83=A83,K83&lt;&gt;"No change (same URL)"),"Redirects to itself; ","")&amp;IF(AND(M83&lt;&gt;"",OR(M83="/",AND(LEFT(M83,4)="http",OR((LEN(M83)-LEN(SUBSTITUTE(M83,"/","")))=2,AND((LEN(M83)-LEN(SUBSTITUTE(M83,"/","")))=3,RIGHT(M83,1)="/"))))),"Home page redirect; ","")&amp;IF(N(R83)&gt;1,"Chain; ","")&amp;IF(S83="No","Destination not 200; ","")))</f>
        <v/>
      </c>
      <c r="U83" s="22" t="n"/>
      <c r="V83" s="22" t="n"/>
      <c r="W83" s="4" t="n"/>
    </row>
    <row r="84">
      <c r="A84" s="22" t="n"/>
      <c r="B84" s="22" t="n"/>
      <c r="C84" s="22" t="n"/>
      <c r="D84" s="22">
        <f>IF(A84="","",IF(OR(N(B84)&gt;=$C$2,N(C84)&gt;=$E$2),"High",IF(OR(N(B84)&gt;0,N(C84)&gt;0),"Medium","Low")))</f>
        <v/>
      </c>
      <c r="E84" s="22" t="n"/>
      <c r="F84" s="22" t="n"/>
      <c r="G84" s="22" t="n"/>
      <c r="H84" s="22" t="n"/>
      <c r="I84" s="22" t="n"/>
      <c r="J84" s="22" t="n"/>
      <c r="K84" s="22" t="n"/>
      <c r="L84" s="22" t="n"/>
      <c r="M84" s="22">
        <f>IF(K84="Override",L84,IF(K84="Accept suggestion",F84,IF(K84="No change (same URL)",A84,"")))</f>
        <v/>
      </c>
      <c r="N84" s="22">
        <f>IF(A84="","",IF(K84="410 Gone","410",IF(K84="404","404",IF(K84="No change (same URL)","none",IF(M84="","","301")))))</f>
        <v/>
      </c>
      <c r="O84" s="22">
        <f>IF(A84="","",IFERROR(MID(A84,FIND("/",A84,FIND("//",A84)+2),2000),A84))</f>
        <v/>
      </c>
      <c r="P84" s="22">
        <f>IF(OR(O84="",N84="",N84="none",N84="404"),"",IF(N84="410","Redirect gone "&amp;O84,"Redirect "&amp;N84&amp;" "&amp;O84&amp;" "&amp;M84))</f>
        <v/>
      </c>
      <c r="Q84" s="22" t="n"/>
      <c r="R84" s="22" t="n"/>
      <c r="S84" s="22" t="n"/>
      <c r="T84" s="4">
        <f>IF(A84="","",TRIM(IF(K84="","Needs decision; ","")&amp;IF(AND(K84="Accept suggestion",F84=""),"No suggestion to accept; ","")&amp;IF(AND(K84="Override",L84=""),"Override URL missing; ","")&amp;IF(AND(K84="Accept suggestion",N(G84)&lt;$G$2),"Below your threshold; ","")&amp;IF(AND(M84&lt;&gt;"",M84=A84,K84&lt;&gt;"No change (same URL)"),"Redirects to itself; ","")&amp;IF(AND(M84&lt;&gt;"",OR(M84="/",AND(LEFT(M84,4)="http",OR((LEN(M84)-LEN(SUBSTITUTE(M84,"/","")))=2,AND((LEN(M84)-LEN(SUBSTITUTE(M84,"/","")))=3,RIGHT(M84,1)="/"))))),"Home page redirect; ","")&amp;IF(N(R84)&gt;1,"Chain; ","")&amp;IF(S84="No","Destination not 200; ","")))</f>
        <v/>
      </c>
      <c r="U84" s="22" t="n"/>
      <c r="V84" s="22" t="n"/>
      <c r="W84" s="4" t="n"/>
    </row>
    <row r="85">
      <c r="A85" s="22" t="n"/>
      <c r="B85" s="22" t="n"/>
      <c r="C85" s="22" t="n"/>
      <c r="D85" s="22">
        <f>IF(A85="","",IF(OR(N(B85)&gt;=$C$2,N(C85)&gt;=$E$2),"High",IF(OR(N(B85)&gt;0,N(C85)&gt;0),"Medium","Low")))</f>
        <v/>
      </c>
      <c r="E85" s="22" t="n"/>
      <c r="F85" s="22" t="n"/>
      <c r="G85" s="22" t="n"/>
      <c r="H85" s="22" t="n"/>
      <c r="I85" s="22" t="n"/>
      <c r="J85" s="22" t="n"/>
      <c r="K85" s="22" t="n"/>
      <c r="L85" s="22" t="n"/>
      <c r="M85" s="22">
        <f>IF(K85="Override",L85,IF(K85="Accept suggestion",F85,IF(K85="No change (same URL)",A85,"")))</f>
        <v/>
      </c>
      <c r="N85" s="22">
        <f>IF(A85="","",IF(K85="410 Gone","410",IF(K85="404","404",IF(K85="No change (same URL)","none",IF(M85="","","301")))))</f>
        <v/>
      </c>
      <c r="O85" s="22">
        <f>IF(A85="","",IFERROR(MID(A85,FIND("/",A85,FIND("//",A85)+2),2000),A85))</f>
        <v/>
      </c>
      <c r="P85" s="22">
        <f>IF(OR(O85="",N85="",N85="none",N85="404"),"",IF(N85="410","Redirect gone "&amp;O85,"Redirect "&amp;N85&amp;" "&amp;O85&amp;" "&amp;M85))</f>
        <v/>
      </c>
      <c r="Q85" s="22" t="n"/>
      <c r="R85" s="22" t="n"/>
      <c r="S85" s="22" t="n"/>
      <c r="T85" s="4">
        <f>IF(A85="","",TRIM(IF(K85="","Needs decision; ","")&amp;IF(AND(K85="Accept suggestion",F85=""),"No suggestion to accept; ","")&amp;IF(AND(K85="Override",L85=""),"Override URL missing; ","")&amp;IF(AND(K85="Accept suggestion",N(G85)&lt;$G$2),"Below your threshold; ","")&amp;IF(AND(M85&lt;&gt;"",M85=A85,K85&lt;&gt;"No change (same URL)"),"Redirects to itself; ","")&amp;IF(AND(M85&lt;&gt;"",OR(M85="/",AND(LEFT(M85,4)="http",OR((LEN(M85)-LEN(SUBSTITUTE(M85,"/","")))=2,AND((LEN(M85)-LEN(SUBSTITUTE(M85,"/","")))=3,RIGHT(M85,1)="/"))))),"Home page redirect; ","")&amp;IF(N(R85)&gt;1,"Chain; ","")&amp;IF(S85="No","Destination not 200; ","")))</f>
        <v/>
      </c>
      <c r="U85" s="22" t="n"/>
      <c r="V85" s="22" t="n"/>
      <c r="W85" s="4" t="n"/>
    </row>
    <row r="86">
      <c r="A86" s="22" t="n"/>
      <c r="B86" s="22" t="n"/>
      <c r="C86" s="22" t="n"/>
      <c r="D86" s="22">
        <f>IF(A86="","",IF(OR(N(B86)&gt;=$C$2,N(C86)&gt;=$E$2),"High",IF(OR(N(B86)&gt;0,N(C86)&gt;0),"Medium","Low")))</f>
        <v/>
      </c>
      <c r="E86" s="22" t="n"/>
      <c r="F86" s="22" t="n"/>
      <c r="G86" s="22" t="n"/>
      <c r="H86" s="22" t="n"/>
      <c r="I86" s="22" t="n"/>
      <c r="J86" s="22" t="n"/>
      <c r="K86" s="22" t="n"/>
      <c r="L86" s="22" t="n"/>
      <c r="M86" s="22">
        <f>IF(K86="Override",L86,IF(K86="Accept suggestion",F86,IF(K86="No change (same URL)",A86,"")))</f>
        <v/>
      </c>
      <c r="N86" s="22">
        <f>IF(A86="","",IF(K86="410 Gone","410",IF(K86="404","404",IF(K86="No change (same URL)","none",IF(M86="","","301")))))</f>
        <v/>
      </c>
      <c r="O86" s="22">
        <f>IF(A86="","",IFERROR(MID(A86,FIND("/",A86,FIND("//",A86)+2),2000),A86))</f>
        <v/>
      </c>
      <c r="P86" s="22">
        <f>IF(OR(O86="",N86="",N86="none",N86="404"),"",IF(N86="410","Redirect gone "&amp;O86,"Redirect "&amp;N86&amp;" "&amp;O86&amp;" "&amp;M86))</f>
        <v/>
      </c>
      <c r="Q86" s="22" t="n"/>
      <c r="R86" s="22" t="n"/>
      <c r="S86" s="22" t="n"/>
      <c r="T86" s="4">
        <f>IF(A86="","",TRIM(IF(K86="","Needs decision; ","")&amp;IF(AND(K86="Accept suggestion",F86=""),"No suggestion to accept; ","")&amp;IF(AND(K86="Override",L86=""),"Override URL missing; ","")&amp;IF(AND(K86="Accept suggestion",N(G86)&lt;$G$2),"Below your threshold; ","")&amp;IF(AND(M86&lt;&gt;"",M86=A86,K86&lt;&gt;"No change (same URL)"),"Redirects to itself; ","")&amp;IF(AND(M86&lt;&gt;"",OR(M86="/",AND(LEFT(M86,4)="http",OR((LEN(M86)-LEN(SUBSTITUTE(M86,"/","")))=2,AND((LEN(M86)-LEN(SUBSTITUTE(M86,"/","")))=3,RIGHT(M86,1)="/"))))),"Home page redirect; ","")&amp;IF(N(R86)&gt;1,"Chain; ","")&amp;IF(S86="No","Destination not 200; ","")))</f>
        <v/>
      </c>
      <c r="U86" s="22" t="n"/>
      <c r="V86" s="22" t="n"/>
      <c r="W86" s="4" t="n"/>
    </row>
    <row r="87">
      <c r="A87" s="22" t="n"/>
      <c r="B87" s="22" t="n"/>
      <c r="C87" s="22" t="n"/>
      <c r="D87" s="22">
        <f>IF(A87="","",IF(OR(N(B87)&gt;=$C$2,N(C87)&gt;=$E$2),"High",IF(OR(N(B87)&gt;0,N(C87)&gt;0),"Medium","Low")))</f>
        <v/>
      </c>
      <c r="E87" s="22" t="n"/>
      <c r="F87" s="22" t="n"/>
      <c r="G87" s="22" t="n"/>
      <c r="H87" s="22" t="n"/>
      <c r="I87" s="22" t="n"/>
      <c r="J87" s="22" t="n"/>
      <c r="K87" s="22" t="n"/>
      <c r="L87" s="22" t="n"/>
      <c r="M87" s="22">
        <f>IF(K87="Override",L87,IF(K87="Accept suggestion",F87,IF(K87="No change (same URL)",A87,"")))</f>
        <v/>
      </c>
      <c r="N87" s="22">
        <f>IF(A87="","",IF(K87="410 Gone","410",IF(K87="404","404",IF(K87="No change (same URL)","none",IF(M87="","","301")))))</f>
        <v/>
      </c>
      <c r="O87" s="22">
        <f>IF(A87="","",IFERROR(MID(A87,FIND("/",A87,FIND("//",A87)+2),2000),A87))</f>
        <v/>
      </c>
      <c r="P87" s="22">
        <f>IF(OR(O87="",N87="",N87="none",N87="404"),"",IF(N87="410","Redirect gone "&amp;O87,"Redirect "&amp;N87&amp;" "&amp;O87&amp;" "&amp;M87))</f>
        <v/>
      </c>
      <c r="Q87" s="22" t="n"/>
      <c r="R87" s="22" t="n"/>
      <c r="S87" s="22" t="n"/>
      <c r="T87" s="4">
        <f>IF(A87="","",TRIM(IF(K87="","Needs decision; ","")&amp;IF(AND(K87="Accept suggestion",F87=""),"No suggestion to accept; ","")&amp;IF(AND(K87="Override",L87=""),"Override URL missing; ","")&amp;IF(AND(K87="Accept suggestion",N(G87)&lt;$G$2),"Below your threshold; ","")&amp;IF(AND(M87&lt;&gt;"",M87=A87,K87&lt;&gt;"No change (same URL)"),"Redirects to itself; ","")&amp;IF(AND(M87&lt;&gt;"",OR(M87="/",AND(LEFT(M87,4)="http",OR((LEN(M87)-LEN(SUBSTITUTE(M87,"/","")))=2,AND((LEN(M87)-LEN(SUBSTITUTE(M87,"/","")))=3,RIGHT(M87,1)="/"))))),"Home page redirect; ","")&amp;IF(N(R87)&gt;1,"Chain; ","")&amp;IF(S87="No","Destination not 200; ","")))</f>
        <v/>
      </c>
      <c r="U87" s="22" t="n"/>
      <c r="V87" s="22" t="n"/>
      <c r="W87" s="4" t="n"/>
    </row>
    <row r="88">
      <c r="A88" s="22" t="n"/>
      <c r="B88" s="22" t="n"/>
      <c r="C88" s="22" t="n"/>
      <c r="D88" s="22">
        <f>IF(A88="","",IF(OR(N(B88)&gt;=$C$2,N(C88)&gt;=$E$2),"High",IF(OR(N(B88)&gt;0,N(C88)&gt;0),"Medium","Low")))</f>
        <v/>
      </c>
      <c r="E88" s="22" t="n"/>
      <c r="F88" s="22" t="n"/>
      <c r="G88" s="22" t="n"/>
      <c r="H88" s="22" t="n"/>
      <c r="I88" s="22" t="n"/>
      <c r="J88" s="22" t="n"/>
      <c r="K88" s="22" t="n"/>
      <c r="L88" s="22" t="n"/>
      <c r="M88" s="22">
        <f>IF(K88="Override",L88,IF(K88="Accept suggestion",F88,IF(K88="No change (same URL)",A88,"")))</f>
        <v/>
      </c>
      <c r="N88" s="22">
        <f>IF(A88="","",IF(K88="410 Gone","410",IF(K88="404","404",IF(K88="No change (same URL)","none",IF(M88="","","301")))))</f>
        <v/>
      </c>
      <c r="O88" s="22">
        <f>IF(A88="","",IFERROR(MID(A88,FIND("/",A88,FIND("//",A88)+2),2000),A88))</f>
        <v/>
      </c>
      <c r="P88" s="22">
        <f>IF(OR(O88="",N88="",N88="none",N88="404"),"",IF(N88="410","Redirect gone "&amp;O88,"Redirect "&amp;N88&amp;" "&amp;O88&amp;" "&amp;M88))</f>
        <v/>
      </c>
      <c r="Q88" s="22" t="n"/>
      <c r="R88" s="22" t="n"/>
      <c r="S88" s="22" t="n"/>
      <c r="T88" s="4">
        <f>IF(A88="","",TRIM(IF(K88="","Needs decision; ","")&amp;IF(AND(K88="Accept suggestion",F88=""),"No suggestion to accept; ","")&amp;IF(AND(K88="Override",L88=""),"Override URL missing; ","")&amp;IF(AND(K88="Accept suggestion",N(G88)&lt;$G$2),"Below your threshold; ","")&amp;IF(AND(M88&lt;&gt;"",M88=A88,K88&lt;&gt;"No change (same URL)"),"Redirects to itself; ","")&amp;IF(AND(M88&lt;&gt;"",OR(M88="/",AND(LEFT(M88,4)="http",OR((LEN(M88)-LEN(SUBSTITUTE(M88,"/","")))=2,AND((LEN(M88)-LEN(SUBSTITUTE(M88,"/","")))=3,RIGHT(M88,1)="/"))))),"Home page redirect; ","")&amp;IF(N(R88)&gt;1,"Chain; ","")&amp;IF(S88="No","Destination not 200; ","")))</f>
        <v/>
      </c>
      <c r="U88" s="22" t="n"/>
      <c r="V88" s="22" t="n"/>
      <c r="W88" s="4" t="n"/>
    </row>
    <row r="89">
      <c r="A89" s="22" t="n"/>
      <c r="B89" s="22" t="n"/>
      <c r="C89" s="22" t="n"/>
      <c r="D89" s="22">
        <f>IF(A89="","",IF(OR(N(B89)&gt;=$C$2,N(C89)&gt;=$E$2),"High",IF(OR(N(B89)&gt;0,N(C89)&gt;0),"Medium","Low")))</f>
        <v/>
      </c>
      <c r="E89" s="22" t="n"/>
      <c r="F89" s="22" t="n"/>
      <c r="G89" s="22" t="n"/>
      <c r="H89" s="22" t="n"/>
      <c r="I89" s="22" t="n"/>
      <c r="J89" s="22" t="n"/>
      <c r="K89" s="22" t="n"/>
      <c r="L89" s="22" t="n"/>
      <c r="M89" s="22">
        <f>IF(K89="Override",L89,IF(K89="Accept suggestion",F89,IF(K89="No change (same URL)",A89,"")))</f>
        <v/>
      </c>
      <c r="N89" s="22">
        <f>IF(A89="","",IF(K89="410 Gone","410",IF(K89="404","404",IF(K89="No change (same URL)","none",IF(M89="","","301")))))</f>
        <v/>
      </c>
      <c r="O89" s="22">
        <f>IF(A89="","",IFERROR(MID(A89,FIND("/",A89,FIND("//",A89)+2),2000),A89))</f>
        <v/>
      </c>
      <c r="P89" s="22">
        <f>IF(OR(O89="",N89="",N89="none",N89="404"),"",IF(N89="410","Redirect gone "&amp;O89,"Redirect "&amp;N89&amp;" "&amp;O89&amp;" "&amp;M89))</f>
        <v/>
      </c>
      <c r="Q89" s="22" t="n"/>
      <c r="R89" s="22" t="n"/>
      <c r="S89" s="22" t="n"/>
      <c r="T89" s="4">
        <f>IF(A89="","",TRIM(IF(K89="","Needs decision; ","")&amp;IF(AND(K89="Accept suggestion",F89=""),"No suggestion to accept; ","")&amp;IF(AND(K89="Override",L89=""),"Override URL missing; ","")&amp;IF(AND(K89="Accept suggestion",N(G89)&lt;$G$2),"Below your threshold; ","")&amp;IF(AND(M89&lt;&gt;"",M89=A89,K89&lt;&gt;"No change (same URL)"),"Redirects to itself; ","")&amp;IF(AND(M89&lt;&gt;"",OR(M89="/",AND(LEFT(M89,4)="http",OR((LEN(M89)-LEN(SUBSTITUTE(M89,"/","")))=2,AND((LEN(M89)-LEN(SUBSTITUTE(M89,"/","")))=3,RIGHT(M89,1)="/"))))),"Home page redirect; ","")&amp;IF(N(R89)&gt;1,"Chain; ","")&amp;IF(S89="No","Destination not 200; ","")))</f>
        <v/>
      </c>
      <c r="U89" s="22" t="n"/>
      <c r="V89" s="22" t="n"/>
      <c r="W89" s="4" t="n"/>
    </row>
    <row r="90">
      <c r="A90" s="22" t="n"/>
      <c r="B90" s="22" t="n"/>
      <c r="C90" s="22" t="n"/>
      <c r="D90" s="22">
        <f>IF(A90="","",IF(OR(N(B90)&gt;=$C$2,N(C90)&gt;=$E$2),"High",IF(OR(N(B90)&gt;0,N(C90)&gt;0),"Medium","Low")))</f>
        <v/>
      </c>
      <c r="E90" s="22" t="n"/>
      <c r="F90" s="22" t="n"/>
      <c r="G90" s="22" t="n"/>
      <c r="H90" s="22" t="n"/>
      <c r="I90" s="22" t="n"/>
      <c r="J90" s="22" t="n"/>
      <c r="K90" s="22" t="n"/>
      <c r="L90" s="22" t="n"/>
      <c r="M90" s="22">
        <f>IF(K90="Override",L90,IF(K90="Accept suggestion",F90,IF(K90="No change (same URL)",A90,"")))</f>
        <v/>
      </c>
      <c r="N90" s="22">
        <f>IF(A90="","",IF(K90="410 Gone","410",IF(K90="404","404",IF(K90="No change (same URL)","none",IF(M90="","","301")))))</f>
        <v/>
      </c>
      <c r="O90" s="22">
        <f>IF(A90="","",IFERROR(MID(A90,FIND("/",A90,FIND("//",A90)+2),2000),A90))</f>
        <v/>
      </c>
      <c r="P90" s="22">
        <f>IF(OR(O90="",N90="",N90="none",N90="404"),"",IF(N90="410","Redirect gone "&amp;O90,"Redirect "&amp;N90&amp;" "&amp;O90&amp;" "&amp;M90))</f>
        <v/>
      </c>
      <c r="Q90" s="22" t="n"/>
      <c r="R90" s="22" t="n"/>
      <c r="S90" s="22" t="n"/>
      <c r="T90" s="4">
        <f>IF(A90="","",TRIM(IF(K90="","Needs decision; ","")&amp;IF(AND(K90="Accept suggestion",F90=""),"No suggestion to accept; ","")&amp;IF(AND(K90="Override",L90=""),"Override URL missing; ","")&amp;IF(AND(K90="Accept suggestion",N(G90)&lt;$G$2),"Below your threshold; ","")&amp;IF(AND(M90&lt;&gt;"",M90=A90,K90&lt;&gt;"No change (same URL)"),"Redirects to itself; ","")&amp;IF(AND(M90&lt;&gt;"",OR(M90="/",AND(LEFT(M90,4)="http",OR((LEN(M90)-LEN(SUBSTITUTE(M90,"/","")))=2,AND((LEN(M90)-LEN(SUBSTITUTE(M90,"/","")))=3,RIGHT(M90,1)="/"))))),"Home page redirect; ","")&amp;IF(N(R90)&gt;1,"Chain; ","")&amp;IF(S90="No","Destination not 200; ","")))</f>
        <v/>
      </c>
      <c r="U90" s="22" t="n"/>
      <c r="V90" s="22" t="n"/>
      <c r="W90" s="4" t="n"/>
    </row>
    <row r="91">
      <c r="A91" s="22" t="n"/>
      <c r="B91" s="22" t="n"/>
      <c r="C91" s="22" t="n"/>
      <c r="D91" s="22">
        <f>IF(A91="","",IF(OR(N(B91)&gt;=$C$2,N(C91)&gt;=$E$2),"High",IF(OR(N(B91)&gt;0,N(C91)&gt;0),"Medium","Low")))</f>
        <v/>
      </c>
      <c r="E91" s="22" t="n"/>
      <c r="F91" s="22" t="n"/>
      <c r="G91" s="22" t="n"/>
      <c r="H91" s="22" t="n"/>
      <c r="I91" s="22" t="n"/>
      <c r="J91" s="22" t="n"/>
      <c r="K91" s="22" t="n"/>
      <c r="L91" s="22" t="n"/>
      <c r="M91" s="22">
        <f>IF(K91="Override",L91,IF(K91="Accept suggestion",F91,IF(K91="No change (same URL)",A91,"")))</f>
        <v/>
      </c>
      <c r="N91" s="22">
        <f>IF(A91="","",IF(K91="410 Gone","410",IF(K91="404","404",IF(K91="No change (same URL)","none",IF(M91="","","301")))))</f>
        <v/>
      </c>
      <c r="O91" s="22">
        <f>IF(A91="","",IFERROR(MID(A91,FIND("/",A91,FIND("//",A91)+2),2000),A91))</f>
        <v/>
      </c>
      <c r="P91" s="22">
        <f>IF(OR(O91="",N91="",N91="none",N91="404"),"",IF(N91="410","Redirect gone "&amp;O91,"Redirect "&amp;N91&amp;" "&amp;O91&amp;" "&amp;M91))</f>
        <v/>
      </c>
      <c r="Q91" s="22" t="n"/>
      <c r="R91" s="22" t="n"/>
      <c r="S91" s="22" t="n"/>
      <c r="T91" s="4">
        <f>IF(A91="","",TRIM(IF(K91="","Needs decision; ","")&amp;IF(AND(K91="Accept suggestion",F91=""),"No suggestion to accept; ","")&amp;IF(AND(K91="Override",L91=""),"Override URL missing; ","")&amp;IF(AND(K91="Accept suggestion",N(G91)&lt;$G$2),"Below your threshold; ","")&amp;IF(AND(M91&lt;&gt;"",M91=A91,K91&lt;&gt;"No change (same URL)"),"Redirects to itself; ","")&amp;IF(AND(M91&lt;&gt;"",OR(M91="/",AND(LEFT(M91,4)="http",OR((LEN(M91)-LEN(SUBSTITUTE(M91,"/","")))=2,AND((LEN(M91)-LEN(SUBSTITUTE(M91,"/","")))=3,RIGHT(M91,1)="/"))))),"Home page redirect; ","")&amp;IF(N(R91)&gt;1,"Chain; ","")&amp;IF(S91="No","Destination not 200; ","")))</f>
        <v/>
      </c>
      <c r="U91" s="22" t="n"/>
      <c r="V91" s="22" t="n"/>
      <c r="W91" s="4" t="n"/>
    </row>
    <row r="92">
      <c r="A92" s="22" t="n"/>
      <c r="B92" s="22" t="n"/>
      <c r="C92" s="22" t="n"/>
      <c r="D92" s="22">
        <f>IF(A92="","",IF(OR(N(B92)&gt;=$C$2,N(C92)&gt;=$E$2),"High",IF(OR(N(B92)&gt;0,N(C92)&gt;0),"Medium","Low")))</f>
        <v/>
      </c>
      <c r="E92" s="22" t="n"/>
      <c r="F92" s="22" t="n"/>
      <c r="G92" s="22" t="n"/>
      <c r="H92" s="22" t="n"/>
      <c r="I92" s="22" t="n"/>
      <c r="J92" s="22" t="n"/>
      <c r="K92" s="22" t="n"/>
      <c r="L92" s="22" t="n"/>
      <c r="M92" s="22">
        <f>IF(K92="Override",L92,IF(K92="Accept suggestion",F92,IF(K92="No change (same URL)",A92,"")))</f>
        <v/>
      </c>
      <c r="N92" s="22">
        <f>IF(A92="","",IF(K92="410 Gone","410",IF(K92="404","404",IF(K92="No change (same URL)","none",IF(M92="","","301")))))</f>
        <v/>
      </c>
      <c r="O92" s="22">
        <f>IF(A92="","",IFERROR(MID(A92,FIND("/",A92,FIND("//",A92)+2),2000),A92))</f>
        <v/>
      </c>
      <c r="P92" s="22">
        <f>IF(OR(O92="",N92="",N92="none",N92="404"),"",IF(N92="410","Redirect gone "&amp;O92,"Redirect "&amp;N92&amp;" "&amp;O92&amp;" "&amp;M92))</f>
        <v/>
      </c>
      <c r="Q92" s="22" t="n"/>
      <c r="R92" s="22" t="n"/>
      <c r="S92" s="22" t="n"/>
      <c r="T92" s="4">
        <f>IF(A92="","",TRIM(IF(K92="","Needs decision; ","")&amp;IF(AND(K92="Accept suggestion",F92=""),"No suggestion to accept; ","")&amp;IF(AND(K92="Override",L92=""),"Override URL missing; ","")&amp;IF(AND(K92="Accept suggestion",N(G92)&lt;$G$2),"Below your threshold; ","")&amp;IF(AND(M92&lt;&gt;"",M92=A92,K92&lt;&gt;"No change (same URL)"),"Redirects to itself; ","")&amp;IF(AND(M92&lt;&gt;"",OR(M92="/",AND(LEFT(M92,4)="http",OR((LEN(M92)-LEN(SUBSTITUTE(M92,"/","")))=2,AND((LEN(M92)-LEN(SUBSTITUTE(M92,"/","")))=3,RIGHT(M92,1)="/"))))),"Home page redirect; ","")&amp;IF(N(R92)&gt;1,"Chain; ","")&amp;IF(S92="No","Destination not 200; ","")))</f>
        <v/>
      </c>
      <c r="U92" s="22" t="n"/>
      <c r="V92" s="22" t="n"/>
      <c r="W92" s="4" t="n"/>
    </row>
    <row r="93">
      <c r="A93" s="22" t="n"/>
      <c r="B93" s="22" t="n"/>
      <c r="C93" s="22" t="n"/>
      <c r="D93" s="22">
        <f>IF(A93="","",IF(OR(N(B93)&gt;=$C$2,N(C93)&gt;=$E$2),"High",IF(OR(N(B93)&gt;0,N(C93)&gt;0),"Medium","Low")))</f>
        <v/>
      </c>
      <c r="E93" s="22" t="n"/>
      <c r="F93" s="22" t="n"/>
      <c r="G93" s="22" t="n"/>
      <c r="H93" s="22" t="n"/>
      <c r="I93" s="22" t="n"/>
      <c r="J93" s="22" t="n"/>
      <c r="K93" s="22" t="n"/>
      <c r="L93" s="22" t="n"/>
      <c r="M93" s="22">
        <f>IF(K93="Override",L93,IF(K93="Accept suggestion",F93,IF(K93="No change (same URL)",A93,"")))</f>
        <v/>
      </c>
      <c r="N93" s="22">
        <f>IF(A93="","",IF(K93="410 Gone","410",IF(K93="404","404",IF(K93="No change (same URL)","none",IF(M93="","","301")))))</f>
        <v/>
      </c>
      <c r="O93" s="22">
        <f>IF(A93="","",IFERROR(MID(A93,FIND("/",A93,FIND("//",A93)+2),2000),A93))</f>
        <v/>
      </c>
      <c r="P93" s="22">
        <f>IF(OR(O93="",N93="",N93="none",N93="404"),"",IF(N93="410","Redirect gone "&amp;O93,"Redirect "&amp;N93&amp;" "&amp;O93&amp;" "&amp;M93))</f>
        <v/>
      </c>
      <c r="Q93" s="22" t="n"/>
      <c r="R93" s="22" t="n"/>
      <c r="S93" s="22" t="n"/>
      <c r="T93" s="4">
        <f>IF(A93="","",TRIM(IF(K93="","Needs decision; ","")&amp;IF(AND(K93="Accept suggestion",F93=""),"No suggestion to accept; ","")&amp;IF(AND(K93="Override",L93=""),"Override URL missing; ","")&amp;IF(AND(K93="Accept suggestion",N(G93)&lt;$G$2),"Below your threshold; ","")&amp;IF(AND(M93&lt;&gt;"",M93=A93,K93&lt;&gt;"No change (same URL)"),"Redirects to itself; ","")&amp;IF(AND(M93&lt;&gt;"",OR(M93="/",AND(LEFT(M93,4)="http",OR((LEN(M93)-LEN(SUBSTITUTE(M93,"/","")))=2,AND((LEN(M93)-LEN(SUBSTITUTE(M93,"/","")))=3,RIGHT(M93,1)="/"))))),"Home page redirect; ","")&amp;IF(N(R93)&gt;1,"Chain; ","")&amp;IF(S93="No","Destination not 200; ","")))</f>
        <v/>
      </c>
      <c r="U93" s="22" t="n"/>
      <c r="V93" s="22" t="n"/>
      <c r="W93" s="4" t="n"/>
    </row>
    <row r="94">
      <c r="A94" s="22" t="n"/>
      <c r="B94" s="22" t="n"/>
      <c r="C94" s="22" t="n"/>
      <c r="D94" s="22">
        <f>IF(A94="","",IF(OR(N(B94)&gt;=$C$2,N(C94)&gt;=$E$2),"High",IF(OR(N(B94)&gt;0,N(C94)&gt;0),"Medium","Low")))</f>
        <v/>
      </c>
      <c r="E94" s="22" t="n"/>
      <c r="F94" s="22" t="n"/>
      <c r="G94" s="22" t="n"/>
      <c r="H94" s="22" t="n"/>
      <c r="I94" s="22" t="n"/>
      <c r="J94" s="22" t="n"/>
      <c r="K94" s="22" t="n"/>
      <c r="L94" s="22" t="n"/>
      <c r="M94" s="22">
        <f>IF(K94="Override",L94,IF(K94="Accept suggestion",F94,IF(K94="No change (same URL)",A94,"")))</f>
        <v/>
      </c>
      <c r="N94" s="22">
        <f>IF(A94="","",IF(K94="410 Gone","410",IF(K94="404","404",IF(K94="No change (same URL)","none",IF(M94="","","301")))))</f>
        <v/>
      </c>
      <c r="O94" s="22">
        <f>IF(A94="","",IFERROR(MID(A94,FIND("/",A94,FIND("//",A94)+2),2000),A94))</f>
        <v/>
      </c>
      <c r="P94" s="22">
        <f>IF(OR(O94="",N94="",N94="none",N94="404"),"",IF(N94="410","Redirect gone "&amp;O94,"Redirect "&amp;N94&amp;" "&amp;O94&amp;" "&amp;M94))</f>
        <v/>
      </c>
      <c r="Q94" s="22" t="n"/>
      <c r="R94" s="22" t="n"/>
      <c r="S94" s="22" t="n"/>
      <c r="T94" s="4">
        <f>IF(A94="","",TRIM(IF(K94="","Needs decision; ","")&amp;IF(AND(K94="Accept suggestion",F94=""),"No suggestion to accept; ","")&amp;IF(AND(K94="Override",L94=""),"Override URL missing; ","")&amp;IF(AND(K94="Accept suggestion",N(G94)&lt;$G$2),"Below your threshold; ","")&amp;IF(AND(M94&lt;&gt;"",M94=A94,K94&lt;&gt;"No change (same URL)"),"Redirects to itself; ","")&amp;IF(AND(M94&lt;&gt;"",OR(M94="/",AND(LEFT(M94,4)="http",OR((LEN(M94)-LEN(SUBSTITUTE(M94,"/","")))=2,AND((LEN(M94)-LEN(SUBSTITUTE(M94,"/","")))=3,RIGHT(M94,1)="/"))))),"Home page redirect; ","")&amp;IF(N(R94)&gt;1,"Chain; ","")&amp;IF(S94="No","Destination not 200; ","")))</f>
        <v/>
      </c>
      <c r="U94" s="22" t="n"/>
      <c r="V94" s="22" t="n"/>
      <c r="W94" s="4" t="n"/>
    </row>
    <row r="95">
      <c r="A95" s="22" t="n"/>
      <c r="B95" s="22" t="n"/>
      <c r="C95" s="22" t="n"/>
      <c r="D95" s="22">
        <f>IF(A95="","",IF(OR(N(B95)&gt;=$C$2,N(C95)&gt;=$E$2),"High",IF(OR(N(B95)&gt;0,N(C95)&gt;0),"Medium","Low")))</f>
        <v/>
      </c>
      <c r="E95" s="22" t="n"/>
      <c r="F95" s="22" t="n"/>
      <c r="G95" s="22" t="n"/>
      <c r="H95" s="22" t="n"/>
      <c r="I95" s="22" t="n"/>
      <c r="J95" s="22" t="n"/>
      <c r="K95" s="22" t="n"/>
      <c r="L95" s="22" t="n"/>
      <c r="M95" s="22">
        <f>IF(K95="Override",L95,IF(K95="Accept suggestion",F95,IF(K95="No change (same URL)",A95,"")))</f>
        <v/>
      </c>
      <c r="N95" s="22">
        <f>IF(A95="","",IF(K95="410 Gone","410",IF(K95="404","404",IF(K95="No change (same URL)","none",IF(M95="","","301")))))</f>
        <v/>
      </c>
      <c r="O95" s="22">
        <f>IF(A95="","",IFERROR(MID(A95,FIND("/",A95,FIND("//",A95)+2),2000),A95))</f>
        <v/>
      </c>
      <c r="P95" s="22">
        <f>IF(OR(O95="",N95="",N95="none",N95="404"),"",IF(N95="410","Redirect gone "&amp;O95,"Redirect "&amp;N95&amp;" "&amp;O95&amp;" "&amp;M95))</f>
        <v/>
      </c>
      <c r="Q95" s="22" t="n"/>
      <c r="R95" s="22" t="n"/>
      <c r="S95" s="22" t="n"/>
      <c r="T95" s="4">
        <f>IF(A95="","",TRIM(IF(K95="","Needs decision; ","")&amp;IF(AND(K95="Accept suggestion",F95=""),"No suggestion to accept; ","")&amp;IF(AND(K95="Override",L95=""),"Override URL missing; ","")&amp;IF(AND(K95="Accept suggestion",N(G95)&lt;$G$2),"Below your threshold; ","")&amp;IF(AND(M95&lt;&gt;"",M95=A95,K95&lt;&gt;"No change (same URL)"),"Redirects to itself; ","")&amp;IF(AND(M95&lt;&gt;"",OR(M95="/",AND(LEFT(M95,4)="http",OR((LEN(M95)-LEN(SUBSTITUTE(M95,"/","")))=2,AND((LEN(M95)-LEN(SUBSTITUTE(M95,"/","")))=3,RIGHT(M95,1)="/"))))),"Home page redirect; ","")&amp;IF(N(R95)&gt;1,"Chain; ","")&amp;IF(S95="No","Destination not 200; ","")))</f>
        <v/>
      </c>
      <c r="U95" s="22" t="n"/>
      <c r="V95" s="22" t="n"/>
      <c r="W95" s="4" t="n"/>
    </row>
    <row r="96">
      <c r="A96" s="22" t="n"/>
      <c r="B96" s="22" t="n"/>
      <c r="C96" s="22" t="n"/>
      <c r="D96" s="22">
        <f>IF(A96="","",IF(OR(N(B96)&gt;=$C$2,N(C96)&gt;=$E$2),"High",IF(OR(N(B96)&gt;0,N(C96)&gt;0),"Medium","Low")))</f>
        <v/>
      </c>
      <c r="E96" s="22" t="n"/>
      <c r="F96" s="22" t="n"/>
      <c r="G96" s="22" t="n"/>
      <c r="H96" s="22" t="n"/>
      <c r="I96" s="22" t="n"/>
      <c r="J96" s="22" t="n"/>
      <c r="K96" s="22" t="n"/>
      <c r="L96" s="22" t="n"/>
      <c r="M96" s="22">
        <f>IF(K96="Override",L96,IF(K96="Accept suggestion",F96,IF(K96="No change (same URL)",A96,"")))</f>
        <v/>
      </c>
      <c r="N96" s="22">
        <f>IF(A96="","",IF(K96="410 Gone","410",IF(K96="404","404",IF(K96="No change (same URL)","none",IF(M96="","","301")))))</f>
        <v/>
      </c>
      <c r="O96" s="22">
        <f>IF(A96="","",IFERROR(MID(A96,FIND("/",A96,FIND("//",A96)+2),2000),A96))</f>
        <v/>
      </c>
      <c r="P96" s="22">
        <f>IF(OR(O96="",N96="",N96="none",N96="404"),"",IF(N96="410","Redirect gone "&amp;O96,"Redirect "&amp;N96&amp;" "&amp;O96&amp;" "&amp;M96))</f>
        <v/>
      </c>
      <c r="Q96" s="22" t="n"/>
      <c r="R96" s="22" t="n"/>
      <c r="S96" s="22" t="n"/>
      <c r="T96" s="4">
        <f>IF(A96="","",TRIM(IF(K96="","Needs decision; ","")&amp;IF(AND(K96="Accept suggestion",F96=""),"No suggestion to accept; ","")&amp;IF(AND(K96="Override",L96=""),"Override URL missing; ","")&amp;IF(AND(K96="Accept suggestion",N(G96)&lt;$G$2),"Below your threshold; ","")&amp;IF(AND(M96&lt;&gt;"",M96=A96,K96&lt;&gt;"No change (same URL)"),"Redirects to itself; ","")&amp;IF(AND(M96&lt;&gt;"",OR(M96="/",AND(LEFT(M96,4)="http",OR((LEN(M96)-LEN(SUBSTITUTE(M96,"/","")))=2,AND((LEN(M96)-LEN(SUBSTITUTE(M96,"/","")))=3,RIGHT(M96,1)="/"))))),"Home page redirect; ","")&amp;IF(N(R96)&gt;1,"Chain; ","")&amp;IF(S96="No","Destination not 200; ","")))</f>
        <v/>
      </c>
      <c r="U96" s="22" t="n"/>
      <c r="V96" s="22" t="n"/>
      <c r="W96" s="4" t="n"/>
    </row>
    <row r="97">
      <c r="A97" s="22" t="n"/>
      <c r="B97" s="22" t="n"/>
      <c r="C97" s="22" t="n"/>
      <c r="D97" s="22">
        <f>IF(A97="","",IF(OR(N(B97)&gt;=$C$2,N(C97)&gt;=$E$2),"High",IF(OR(N(B97)&gt;0,N(C97)&gt;0),"Medium","Low")))</f>
        <v/>
      </c>
      <c r="E97" s="22" t="n"/>
      <c r="F97" s="22" t="n"/>
      <c r="G97" s="22" t="n"/>
      <c r="H97" s="22" t="n"/>
      <c r="I97" s="22" t="n"/>
      <c r="J97" s="22" t="n"/>
      <c r="K97" s="22" t="n"/>
      <c r="L97" s="22" t="n"/>
      <c r="M97" s="22">
        <f>IF(K97="Override",L97,IF(K97="Accept suggestion",F97,IF(K97="No change (same URL)",A97,"")))</f>
        <v/>
      </c>
      <c r="N97" s="22">
        <f>IF(A97="","",IF(K97="410 Gone","410",IF(K97="404","404",IF(K97="No change (same URL)","none",IF(M97="","","301")))))</f>
        <v/>
      </c>
      <c r="O97" s="22">
        <f>IF(A97="","",IFERROR(MID(A97,FIND("/",A97,FIND("//",A97)+2),2000),A97))</f>
        <v/>
      </c>
      <c r="P97" s="22">
        <f>IF(OR(O97="",N97="",N97="none",N97="404"),"",IF(N97="410","Redirect gone "&amp;O97,"Redirect "&amp;N97&amp;" "&amp;O97&amp;" "&amp;M97))</f>
        <v/>
      </c>
      <c r="Q97" s="22" t="n"/>
      <c r="R97" s="22" t="n"/>
      <c r="S97" s="22" t="n"/>
      <c r="T97" s="4">
        <f>IF(A97="","",TRIM(IF(K97="","Needs decision; ","")&amp;IF(AND(K97="Accept suggestion",F97=""),"No suggestion to accept; ","")&amp;IF(AND(K97="Override",L97=""),"Override URL missing; ","")&amp;IF(AND(K97="Accept suggestion",N(G97)&lt;$G$2),"Below your threshold; ","")&amp;IF(AND(M97&lt;&gt;"",M97=A97,K97&lt;&gt;"No change (same URL)"),"Redirects to itself; ","")&amp;IF(AND(M97&lt;&gt;"",OR(M97="/",AND(LEFT(M97,4)="http",OR((LEN(M97)-LEN(SUBSTITUTE(M97,"/","")))=2,AND((LEN(M97)-LEN(SUBSTITUTE(M97,"/","")))=3,RIGHT(M97,1)="/"))))),"Home page redirect; ","")&amp;IF(N(R97)&gt;1,"Chain; ","")&amp;IF(S97="No","Destination not 200; ","")))</f>
        <v/>
      </c>
      <c r="U97" s="22" t="n"/>
      <c r="V97" s="22" t="n"/>
      <c r="W97" s="4" t="n"/>
    </row>
    <row r="98">
      <c r="A98" s="22" t="n"/>
      <c r="B98" s="22" t="n"/>
      <c r="C98" s="22" t="n"/>
      <c r="D98" s="22">
        <f>IF(A98="","",IF(OR(N(B98)&gt;=$C$2,N(C98)&gt;=$E$2),"High",IF(OR(N(B98)&gt;0,N(C98)&gt;0),"Medium","Low")))</f>
        <v/>
      </c>
      <c r="E98" s="22" t="n"/>
      <c r="F98" s="22" t="n"/>
      <c r="G98" s="22" t="n"/>
      <c r="H98" s="22" t="n"/>
      <c r="I98" s="22" t="n"/>
      <c r="J98" s="22" t="n"/>
      <c r="K98" s="22" t="n"/>
      <c r="L98" s="22" t="n"/>
      <c r="M98" s="22">
        <f>IF(K98="Override",L98,IF(K98="Accept suggestion",F98,IF(K98="No change (same URL)",A98,"")))</f>
        <v/>
      </c>
      <c r="N98" s="22">
        <f>IF(A98="","",IF(K98="410 Gone","410",IF(K98="404","404",IF(K98="No change (same URL)","none",IF(M98="","","301")))))</f>
        <v/>
      </c>
      <c r="O98" s="22">
        <f>IF(A98="","",IFERROR(MID(A98,FIND("/",A98,FIND("//",A98)+2),2000),A98))</f>
        <v/>
      </c>
      <c r="P98" s="22">
        <f>IF(OR(O98="",N98="",N98="none",N98="404"),"",IF(N98="410","Redirect gone "&amp;O98,"Redirect "&amp;N98&amp;" "&amp;O98&amp;" "&amp;M98))</f>
        <v/>
      </c>
      <c r="Q98" s="22" t="n"/>
      <c r="R98" s="22" t="n"/>
      <c r="S98" s="22" t="n"/>
      <c r="T98" s="4">
        <f>IF(A98="","",TRIM(IF(K98="","Needs decision; ","")&amp;IF(AND(K98="Accept suggestion",F98=""),"No suggestion to accept; ","")&amp;IF(AND(K98="Override",L98=""),"Override URL missing; ","")&amp;IF(AND(K98="Accept suggestion",N(G98)&lt;$G$2),"Below your threshold; ","")&amp;IF(AND(M98&lt;&gt;"",M98=A98,K98&lt;&gt;"No change (same URL)"),"Redirects to itself; ","")&amp;IF(AND(M98&lt;&gt;"",OR(M98="/",AND(LEFT(M98,4)="http",OR((LEN(M98)-LEN(SUBSTITUTE(M98,"/","")))=2,AND((LEN(M98)-LEN(SUBSTITUTE(M98,"/","")))=3,RIGHT(M98,1)="/"))))),"Home page redirect; ","")&amp;IF(N(R98)&gt;1,"Chain; ","")&amp;IF(S98="No","Destination not 200; ","")))</f>
        <v/>
      </c>
      <c r="U98" s="22" t="n"/>
      <c r="V98" s="22" t="n"/>
      <c r="W98" s="4" t="n"/>
    </row>
    <row r="99">
      <c r="A99" s="22" t="n"/>
      <c r="B99" s="22" t="n"/>
      <c r="C99" s="22" t="n"/>
      <c r="D99" s="22">
        <f>IF(A99="","",IF(OR(N(B99)&gt;=$C$2,N(C99)&gt;=$E$2),"High",IF(OR(N(B99)&gt;0,N(C99)&gt;0),"Medium","Low")))</f>
        <v/>
      </c>
      <c r="E99" s="22" t="n"/>
      <c r="F99" s="22" t="n"/>
      <c r="G99" s="22" t="n"/>
      <c r="H99" s="22" t="n"/>
      <c r="I99" s="22" t="n"/>
      <c r="J99" s="22" t="n"/>
      <c r="K99" s="22" t="n"/>
      <c r="L99" s="22" t="n"/>
      <c r="M99" s="22">
        <f>IF(K99="Override",L99,IF(K99="Accept suggestion",F99,IF(K99="No change (same URL)",A99,"")))</f>
        <v/>
      </c>
      <c r="N99" s="22">
        <f>IF(A99="","",IF(K99="410 Gone","410",IF(K99="404","404",IF(K99="No change (same URL)","none",IF(M99="","","301")))))</f>
        <v/>
      </c>
      <c r="O99" s="22">
        <f>IF(A99="","",IFERROR(MID(A99,FIND("/",A99,FIND("//",A99)+2),2000),A99))</f>
        <v/>
      </c>
      <c r="P99" s="22">
        <f>IF(OR(O99="",N99="",N99="none",N99="404"),"",IF(N99="410","Redirect gone "&amp;O99,"Redirect "&amp;N99&amp;" "&amp;O99&amp;" "&amp;M99))</f>
        <v/>
      </c>
      <c r="Q99" s="22" t="n"/>
      <c r="R99" s="22" t="n"/>
      <c r="S99" s="22" t="n"/>
      <c r="T99" s="4">
        <f>IF(A99="","",TRIM(IF(K99="","Needs decision; ","")&amp;IF(AND(K99="Accept suggestion",F99=""),"No suggestion to accept; ","")&amp;IF(AND(K99="Override",L99=""),"Override URL missing; ","")&amp;IF(AND(K99="Accept suggestion",N(G99)&lt;$G$2),"Below your threshold; ","")&amp;IF(AND(M99&lt;&gt;"",M99=A99,K99&lt;&gt;"No change (same URL)"),"Redirects to itself; ","")&amp;IF(AND(M99&lt;&gt;"",OR(M99="/",AND(LEFT(M99,4)="http",OR((LEN(M99)-LEN(SUBSTITUTE(M99,"/","")))=2,AND((LEN(M99)-LEN(SUBSTITUTE(M99,"/","")))=3,RIGHT(M99,1)="/"))))),"Home page redirect; ","")&amp;IF(N(R99)&gt;1,"Chain; ","")&amp;IF(S99="No","Destination not 200; ","")))</f>
        <v/>
      </c>
      <c r="U99" s="22" t="n"/>
      <c r="V99" s="22" t="n"/>
      <c r="W99" s="4" t="n"/>
    </row>
    <row r="100">
      <c r="A100" s="22" t="n"/>
      <c r="B100" s="22" t="n"/>
      <c r="C100" s="22" t="n"/>
      <c r="D100" s="22">
        <f>IF(A100="","",IF(OR(N(B100)&gt;=$C$2,N(C100)&gt;=$E$2),"High",IF(OR(N(B100)&gt;0,N(C100)&gt;0),"Medium","Low")))</f>
        <v/>
      </c>
      <c r="E100" s="22" t="n"/>
      <c r="F100" s="22" t="n"/>
      <c r="G100" s="22" t="n"/>
      <c r="H100" s="22" t="n"/>
      <c r="I100" s="22" t="n"/>
      <c r="J100" s="22" t="n"/>
      <c r="K100" s="22" t="n"/>
      <c r="L100" s="22" t="n"/>
      <c r="M100" s="22">
        <f>IF(K100="Override",L100,IF(K100="Accept suggestion",F100,IF(K100="No change (same URL)",A100,"")))</f>
        <v/>
      </c>
      <c r="N100" s="22">
        <f>IF(A100="","",IF(K100="410 Gone","410",IF(K100="404","404",IF(K100="No change (same URL)","none",IF(M100="","","301")))))</f>
        <v/>
      </c>
      <c r="O100" s="22">
        <f>IF(A100="","",IFERROR(MID(A100,FIND("/",A100,FIND("//",A100)+2),2000),A100))</f>
        <v/>
      </c>
      <c r="P100" s="22">
        <f>IF(OR(O100="",N100="",N100="none",N100="404"),"",IF(N100="410","Redirect gone "&amp;O100,"Redirect "&amp;N100&amp;" "&amp;O100&amp;" "&amp;M100))</f>
        <v/>
      </c>
      <c r="Q100" s="22" t="n"/>
      <c r="R100" s="22" t="n"/>
      <c r="S100" s="22" t="n"/>
      <c r="T100" s="4">
        <f>IF(A100="","",TRIM(IF(K100="","Needs decision; ","")&amp;IF(AND(K100="Accept suggestion",F100=""),"No suggestion to accept; ","")&amp;IF(AND(K100="Override",L100=""),"Override URL missing; ","")&amp;IF(AND(K100="Accept suggestion",N(G100)&lt;$G$2),"Below your threshold; ","")&amp;IF(AND(M100&lt;&gt;"",M100=A100,K100&lt;&gt;"No change (same URL)"),"Redirects to itself; ","")&amp;IF(AND(M100&lt;&gt;"",OR(M100="/",AND(LEFT(M100,4)="http",OR((LEN(M100)-LEN(SUBSTITUTE(M100,"/","")))=2,AND((LEN(M100)-LEN(SUBSTITUTE(M100,"/","")))=3,RIGHT(M100,1)="/"))))),"Home page redirect; ","")&amp;IF(N(R100)&gt;1,"Chain; ","")&amp;IF(S100="No","Destination not 200; ","")))</f>
        <v/>
      </c>
      <c r="U100" s="22" t="n"/>
      <c r="V100" s="22" t="n"/>
      <c r="W100" s="4" t="n"/>
    </row>
    <row r="101">
      <c r="A101" s="22" t="n"/>
      <c r="B101" s="22" t="n"/>
      <c r="C101" s="22" t="n"/>
      <c r="D101" s="22">
        <f>IF(A101="","",IF(OR(N(B101)&gt;=$C$2,N(C101)&gt;=$E$2),"High",IF(OR(N(B101)&gt;0,N(C101)&gt;0),"Medium","Low")))</f>
        <v/>
      </c>
      <c r="E101" s="22" t="n"/>
      <c r="F101" s="22" t="n"/>
      <c r="G101" s="22" t="n"/>
      <c r="H101" s="22" t="n"/>
      <c r="I101" s="22" t="n"/>
      <c r="J101" s="22" t="n"/>
      <c r="K101" s="22" t="n"/>
      <c r="L101" s="22" t="n"/>
      <c r="M101" s="22">
        <f>IF(K101="Override",L101,IF(K101="Accept suggestion",F101,IF(K101="No change (same URL)",A101,"")))</f>
        <v/>
      </c>
      <c r="N101" s="22">
        <f>IF(A101="","",IF(K101="410 Gone","410",IF(K101="404","404",IF(K101="No change (same URL)","none",IF(M101="","","301")))))</f>
        <v/>
      </c>
      <c r="O101" s="22">
        <f>IF(A101="","",IFERROR(MID(A101,FIND("/",A101,FIND("//",A101)+2),2000),A101))</f>
        <v/>
      </c>
      <c r="P101" s="22">
        <f>IF(OR(O101="",N101="",N101="none",N101="404"),"",IF(N101="410","Redirect gone "&amp;O101,"Redirect "&amp;N101&amp;" "&amp;O101&amp;" "&amp;M101))</f>
        <v/>
      </c>
      <c r="Q101" s="22" t="n"/>
      <c r="R101" s="22" t="n"/>
      <c r="S101" s="22" t="n"/>
      <c r="T101" s="4">
        <f>IF(A101="","",TRIM(IF(K101="","Needs decision; ","")&amp;IF(AND(K101="Accept suggestion",F101=""),"No suggestion to accept; ","")&amp;IF(AND(K101="Override",L101=""),"Override URL missing; ","")&amp;IF(AND(K101="Accept suggestion",N(G101)&lt;$G$2),"Below your threshold; ","")&amp;IF(AND(M101&lt;&gt;"",M101=A101,K101&lt;&gt;"No change (same URL)"),"Redirects to itself; ","")&amp;IF(AND(M101&lt;&gt;"",OR(M101="/",AND(LEFT(M101,4)="http",OR((LEN(M101)-LEN(SUBSTITUTE(M101,"/","")))=2,AND((LEN(M101)-LEN(SUBSTITUTE(M101,"/","")))=3,RIGHT(M101,1)="/"))))),"Home page redirect; ","")&amp;IF(N(R101)&gt;1,"Chain; ","")&amp;IF(S101="No","Destination not 200; ","")))</f>
        <v/>
      </c>
      <c r="U101" s="22" t="n"/>
      <c r="V101" s="22" t="n"/>
      <c r="W101" s="4" t="n"/>
    </row>
    <row r="102">
      <c r="A102" s="22" t="n"/>
      <c r="B102" s="22" t="n"/>
      <c r="C102" s="22" t="n"/>
      <c r="D102" s="22">
        <f>IF(A102="","",IF(OR(N(B102)&gt;=$C$2,N(C102)&gt;=$E$2),"High",IF(OR(N(B102)&gt;0,N(C102)&gt;0),"Medium","Low")))</f>
        <v/>
      </c>
      <c r="E102" s="22" t="n"/>
      <c r="F102" s="22" t="n"/>
      <c r="G102" s="22" t="n"/>
      <c r="H102" s="22" t="n"/>
      <c r="I102" s="22" t="n"/>
      <c r="J102" s="22" t="n"/>
      <c r="K102" s="22" t="n"/>
      <c r="L102" s="22" t="n"/>
      <c r="M102" s="22">
        <f>IF(K102="Override",L102,IF(K102="Accept suggestion",F102,IF(K102="No change (same URL)",A102,"")))</f>
        <v/>
      </c>
      <c r="N102" s="22">
        <f>IF(A102="","",IF(K102="410 Gone","410",IF(K102="404","404",IF(K102="No change (same URL)","none",IF(M102="","","301")))))</f>
        <v/>
      </c>
      <c r="O102" s="22">
        <f>IF(A102="","",IFERROR(MID(A102,FIND("/",A102,FIND("//",A102)+2),2000),A102))</f>
        <v/>
      </c>
      <c r="P102" s="22">
        <f>IF(OR(O102="",N102="",N102="none",N102="404"),"",IF(N102="410","Redirect gone "&amp;O102,"Redirect "&amp;N102&amp;" "&amp;O102&amp;" "&amp;M102))</f>
        <v/>
      </c>
      <c r="Q102" s="22" t="n"/>
      <c r="R102" s="22" t="n"/>
      <c r="S102" s="22" t="n"/>
      <c r="T102" s="4">
        <f>IF(A102="","",TRIM(IF(K102="","Needs decision; ","")&amp;IF(AND(K102="Accept suggestion",F102=""),"No suggestion to accept; ","")&amp;IF(AND(K102="Override",L102=""),"Override URL missing; ","")&amp;IF(AND(K102="Accept suggestion",N(G102)&lt;$G$2),"Below your threshold; ","")&amp;IF(AND(M102&lt;&gt;"",M102=A102,K102&lt;&gt;"No change (same URL)"),"Redirects to itself; ","")&amp;IF(AND(M102&lt;&gt;"",OR(M102="/",AND(LEFT(M102,4)="http",OR((LEN(M102)-LEN(SUBSTITUTE(M102,"/","")))=2,AND((LEN(M102)-LEN(SUBSTITUTE(M102,"/","")))=3,RIGHT(M102,1)="/"))))),"Home page redirect; ","")&amp;IF(N(R102)&gt;1,"Chain; ","")&amp;IF(S102="No","Destination not 200; ","")))</f>
        <v/>
      </c>
      <c r="U102" s="22" t="n"/>
      <c r="V102" s="22" t="n"/>
      <c r="W102" s="4" t="n"/>
    </row>
    <row r="103">
      <c r="A103" s="22" t="n"/>
      <c r="B103" s="22" t="n"/>
      <c r="C103" s="22" t="n"/>
      <c r="D103" s="22">
        <f>IF(A103="","",IF(OR(N(B103)&gt;=$C$2,N(C103)&gt;=$E$2),"High",IF(OR(N(B103)&gt;0,N(C103)&gt;0),"Medium","Low")))</f>
        <v/>
      </c>
      <c r="E103" s="22" t="n"/>
      <c r="F103" s="22" t="n"/>
      <c r="G103" s="22" t="n"/>
      <c r="H103" s="22" t="n"/>
      <c r="I103" s="22" t="n"/>
      <c r="J103" s="22" t="n"/>
      <c r="K103" s="22" t="n"/>
      <c r="L103" s="22" t="n"/>
      <c r="M103" s="22">
        <f>IF(K103="Override",L103,IF(K103="Accept suggestion",F103,IF(K103="No change (same URL)",A103,"")))</f>
        <v/>
      </c>
      <c r="N103" s="22">
        <f>IF(A103="","",IF(K103="410 Gone","410",IF(K103="404","404",IF(K103="No change (same URL)","none",IF(M103="","","301")))))</f>
        <v/>
      </c>
      <c r="O103" s="22">
        <f>IF(A103="","",IFERROR(MID(A103,FIND("/",A103,FIND("//",A103)+2),2000),A103))</f>
        <v/>
      </c>
      <c r="P103" s="22">
        <f>IF(OR(O103="",N103="",N103="none",N103="404"),"",IF(N103="410","Redirect gone "&amp;O103,"Redirect "&amp;N103&amp;" "&amp;O103&amp;" "&amp;M103))</f>
        <v/>
      </c>
      <c r="Q103" s="22" t="n"/>
      <c r="R103" s="22" t="n"/>
      <c r="S103" s="22" t="n"/>
      <c r="T103" s="4">
        <f>IF(A103="","",TRIM(IF(K103="","Needs decision; ","")&amp;IF(AND(K103="Accept suggestion",F103=""),"No suggestion to accept; ","")&amp;IF(AND(K103="Override",L103=""),"Override URL missing; ","")&amp;IF(AND(K103="Accept suggestion",N(G103)&lt;$G$2),"Below your threshold; ","")&amp;IF(AND(M103&lt;&gt;"",M103=A103,K103&lt;&gt;"No change (same URL)"),"Redirects to itself; ","")&amp;IF(AND(M103&lt;&gt;"",OR(M103="/",AND(LEFT(M103,4)="http",OR((LEN(M103)-LEN(SUBSTITUTE(M103,"/","")))=2,AND((LEN(M103)-LEN(SUBSTITUTE(M103,"/","")))=3,RIGHT(M103,1)="/"))))),"Home page redirect; ","")&amp;IF(N(R103)&gt;1,"Chain; ","")&amp;IF(S103="No","Destination not 200; ","")))</f>
        <v/>
      </c>
      <c r="U103" s="22" t="n"/>
      <c r="V103" s="22" t="n"/>
      <c r="W103" s="4" t="n"/>
    </row>
    <row r="104">
      <c r="A104" s="22" t="n"/>
      <c r="B104" s="22" t="n"/>
      <c r="C104" s="22" t="n"/>
      <c r="D104" s="22">
        <f>IF(A104="","",IF(OR(N(B104)&gt;=$C$2,N(C104)&gt;=$E$2),"High",IF(OR(N(B104)&gt;0,N(C104)&gt;0),"Medium","Low")))</f>
        <v/>
      </c>
      <c r="E104" s="22" t="n"/>
      <c r="F104" s="22" t="n"/>
      <c r="G104" s="22" t="n"/>
      <c r="H104" s="22" t="n"/>
      <c r="I104" s="22" t="n"/>
      <c r="J104" s="22" t="n"/>
      <c r="K104" s="22" t="n"/>
      <c r="L104" s="22" t="n"/>
      <c r="M104" s="22">
        <f>IF(K104="Override",L104,IF(K104="Accept suggestion",F104,IF(K104="No change (same URL)",A104,"")))</f>
        <v/>
      </c>
      <c r="N104" s="22">
        <f>IF(A104="","",IF(K104="410 Gone","410",IF(K104="404","404",IF(K104="No change (same URL)","none",IF(M104="","","301")))))</f>
        <v/>
      </c>
      <c r="O104" s="22">
        <f>IF(A104="","",IFERROR(MID(A104,FIND("/",A104,FIND("//",A104)+2),2000),A104))</f>
        <v/>
      </c>
      <c r="P104" s="22">
        <f>IF(OR(O104="",N104="",N104="none",N104="404"),"",IF(N104="410","Redirect gone "&amp;O104,"Redirect "&amp;N104&amp;" "&amp;O104&amp;" "&amp;M104))</f>
        <v/>
      </c>
      <c r="Q104" s="22" t="n"/>
      <c r="R104" s="22" t="n"/>
      <c r="S104" s="22" t="n"/>
      <c r="T104" s="4">
        <f>IF(A104="","",TRIM(IF(K104="","Needs decision; ","")&amp;IF(AND(K104="Accept suggestion",F104=""),"No suggestion to accept; ","")&amp;IF(AND(K104="Override",L104=""),"Override URL missing; ","")&amp;IF(AND(K104="Accept suggestion",N(G104)&lt;$G$2),"Below your threshold; ","")&amp;IF(AND(M104&lt;&gt;"",M104=A104,K104&lt;&gt;"No change (same URL)"),"Redirects to itself; ","")&amp;IF(AND(M104&lt;&gt;"",OR(M104="/",AND(LEFT(M104,4)="http",OR((LEN(M104)-LEN(SUBSTITUTE(M104,"/","")))=2,AND((LEN(M104)-LEN(SUBSTITUTE(M104,"/","")))=3,RIGHT(M104,1)="/"))))),"Home page redirect; ","")&amp;IF(N(R104)&gt;1,"Chain; ","")&amp;IF(S104="No","Destination not 200; ","")))</f>
        <v/>
      </c>
      <c r="U104" s="22" t="n"/>
      <c r="V104" s="22" t="n"/>
      <c r="W104" s="4" t="n"/>
    </row>
    <row r="105">
      <c r="A105" s="22" t="n"/>
      <c r="B105" s="22" t="n"/>
      <c r="C105" s="22" t="n"/>
      <c r="D105" s="22">
        <f>IF(A105="","",IF(OR(N(B105)&gt;=$C$2,N(C105)&gt;=$E$2),"High",IF(OR(N(B105)&gt;0,N(C105)&gt;0),"Medium","Low")))</f>
        <v/>
      </c>
      <c r="E105" s="22" t="n"/>
      <c r="F105" s="22" t="n"/>
      <c r="G105" s="22" t="n"/>
      <c r="H105" s="22" t="n"/>
      <c r="I105" s="22" t="n"/>
      <c r="J105" s="22" t="n"/>
      <c r="K105" s="22" t="n"/>
      <c r="L105" s="22" t="n"/>
      <c r="M105" s="22">
        <f>IF(K105="Override",L105,IF(K105="Accept suggestion",F105,IF(K105="No change (same URL)",A105,"")))</f>
        <v/>
      </c>
      <c r="N105" s="22">
        <f>IF(A105="","",IF(K105="410 Gone","410",IF(K105="404","404",IF(K105="No change (same URL)","none",IF(M105="","","301")))))</f>
        <v/>
      </c>
      <c r="O105" s="22">
        <f>IF(A105="","",IFERROR(MID(A105,FIND("/",A105,FIND("//",A105)+2),2000),A105))</f>
        <v/>
      </c>
      <c r="P105" s="22">
        <f>IF(OR(O105="",N105="",N105="none",N105="404"),"",IF(N105="410","Redirect gone "&amp;O105,"Redirect "&amp;N105&amp;" "&amp;O105&amp;" "&amp;M105))</f>
        <v/>
      </c>
      <c r="Q105" s="22" t="n"/>
      <c r="R105" s="22" t="n"/>
      <c r="S105" s="22" t="n"/>
      <c r="T105" s="4">
        <f>IF(A105="","",TRIM(IF(K105="","Needs decision; ","")&amp;IF(AND(K105="Accept suggestion",F105=""),"No suggestion to accept; ","")&amp;IF(AND(K105="Override",L105=""),"Override URL missing; ","")&amp;IF(AND(K105="Accept suggestion",N(G105)&lt;$G$2),"Below your threshold; ","")&amp;IF(AND(M105&lt;&gt;"",M105=A105,K105&lt;&gt;"No change (same URL)"),"Redirects to itself; ","")&amp;IF(AND(M105&lt;&gt;"",OR(M105="/",AND(LEFT(M105,4)="http",OR((LEN(M105)-LEN(SUBSTITUTE(M105,"/","")))=2,AND((LEN(M105)-LEN(SUBSTITUTE(M105,"/","")))=3,RIGHT(M105,1)="/"))))),"Home page redirect; ","")&amp;IF(N(R105)&gt;1,"Chain; ","")&amp;IF(S105="No","Destination not 200; ","")))</f>
        <v/>
      </c>
      <c r="U105" s="22" t="n"/>
      <c r="V105" s="22" t="n"/>
      <c r="W105" s="4" t="n"/>
    </row>
    <row r="106">
      <c r="A106" s="22" t="n"/>
      <c r="B106" s="22" t="n"/>
      <c r="C106" s="22" t="n"/>
      <c r="D106" s="22">
        <f>IF(A106="","",IF(OR(N(B106)&gt;=$C$2,N(C106)&gt;=$E$2),"High",IF(OR(N(B106)&gt;0,N(C106)&gt;0),"Medium","Low")))</f>
        <v/>
      </c>
      <c r="E106" s="22" t="n"/>
      <c r="F106" s="22" t="n"/>
      <c r="G106" s="22" t="n"/>
      <c r="H106" s="22" t="n"/>
      <c r="I106" s="22" t="n"/>
      <c r="J106" s="22" t="n"/>
      <c r="K106" s="22" t="n"/>
      <c r="L106" s="22" t="n"/>
      <c r="M106" s="22">
        <f>IF(K106="Override",L106,IF(K106="Accept suggestion",F106,IF(K106="No change (same URL)",A106,"")))</f>
        <v/>
      </c>
      <c r="N106" s="22">
        <f>IF(A106="","",IF(K106="410 Gone","410",IF(K106="404","404",IF(K106="No change (same URL)","none",IF(M106="","","301")))))</f>
        <v/>
      </c>
      <c r="O106" s="22">
        <f>IF(A106="","",IFERROR(MID(A106,FIND("/",A106,FIND("//",A106)+2),2000),A106))</f>
        <v/>
      </c>
      <c r="P106" s="22">
        <f>IF(OR(O106="",N106="",N106="none",N106="404"),"",IF(N106="410","Redirect gone "&amp;O106,"Redirect "&amp;N106&amp;" "&amp;O106&amp;" "&amp;M106))</f>
        <v/>
      </c>
      <c r="Q106" s="22" t="n"/>
      <c r="R106" s="22" t="n"/>
      <c r="S106" s="22" t="n"/>
      <c r="T106" s="4">
        <f>IF(A106="","",TRIM(IF(K106="","Needs decision; ","")&amp;IF(AND(K106="Accept suggestion",F106=""),"No suggestion to accept; ","")&amp;IF(AND(K106="Override",L106=""),"Override URL missing; ","")&amp;IF(AND(K106="Accept suggestion",N(G106)&lt;$G$2),"Below your threshold; ","")&amp;IF(AND(M106&lt;&gt;"",M106=A106,K106&lt;&gt;"No change (same URL)"),"Redirects to itself; ","")&amp;IF(AND(M106&lt;&gt;"",OR(M106="/",AND(LEFT(M106,4)="http",OR((LEN(M106)-LEN(SUBSTITUTE(M106,"/","")))=2,AND((LEN(M106)-LEN(SUBSTITUTE(M106,"/","")))=3,RIGHT(M106,1)="/"))))),"Home page redirect; ","")&amp;IF(N(R106)&gt;1,"Chain; ","")&amp;IF(S106="No","Destination not 200; ","")))</f>
        <v/>
      </c>
      <c r="U106" s="22" t="n"/>
      <c r="V106" s="22" t="n"/>
      <c r="W106" s="4" t="n"/>
    </row>
    <row r="107">
      <c r="A107" s="22" t="n"/>
      <c r="B107" s="22" t="n"/>
      <c r="C107" s="22" t="n"/>
      <c r="D107" s="22">
        <f>IF(A107="","",IF(OR(N(B107)&gt;=$C$2,N(C107)&gt;=$E$2),"High",IF(OR(N(B107)&gt;0,N(C107)&gt;0),"Medium","Low")))</f>
        <v/>
      </c>
      <c r="E107" s="22" t="n"/>
      <c r="F107" s="22" t="n"/>
      <c r="G107" s="22" t="n"/>
      <c r="H107" s="22" t="n"/>
      <c r="I107" s="22" t="n"/>
      <c r="J107" s="22" t="n"/>
      <c r="K107" s="22" t="n"/>
      <c r="L107" s="22" t="n"/>
      <c r="M107" s="22">
        <f>IF(K107="Override",L107,IF(K107="Accept suggestion",F107,IF(K107="No change (same URL)",A107,"")))</f>
        <v/>
      </c>
      <c r="N107" s="22">
        <f>IF(A107="","",IF(K107="410 Gone","410",IF(K107="404","404",IF(K107="No change (same URL)","none",IF(M107="","","301")))))</f>
        <v/>
      </c>
      <c r="O107" s="22">
        <f>IF(A107="","",IFERROR(MID(A107,FIND("/",A107,FIND("//",A107)+2),2000),A107))</f>
        <v/>
      </c>
      <c r="P107" s="22">
        <f>IF(OR(O107="",N107="",N107="none",N107="404"),"",IF(N107="410","Redirect gone "&amp;O107,"Redirect "&amp;N107&amp;" "&amp;O107&amp;" "&amp;M107))</f>
        <v/>
      </c>
      <c r="Q107" s="22" t="n"/>
      <c r="R107" s="22" t="n"/>
      <c r="S107" s="22" t="n"/>
      <c r="T107" s="4">
        <f>IF(A107="","",TRIM(IF(K107="","Needs decision; ","")&amp;IF(AND(K107="Accept suggestion",F107=""),"No suggestion to accept; ","")&amp;IF(AND(K107="Override",L107=""),"Override URL missing; ","")&amp;IF(AND(K107="Accept suggestion",N(G107)&lt;$G$2),"Below your threshold; ","")&amp;IF(AND(M107&lt;&gt;"",M107=A107,K107&lt;&gt;"No change (same URL)"),"Redirects to itself; ","")&amp;IF(AND(M107&lt;&gt;"",OR(M107="/",AND(LEFT(M107,4)="http",OR((LEN(M107)-LEN(SUBSTITUTE(M107,"/","")))=2,AND((LEN(M107)-LEN(SUBSTITUTE(M107,"/","")))=3,RIGHT(M107,1)="/"))))),"Home page redirect; ","")&amp;IF(N(R107)&gt;1,"Chain; ","")&amp;IF(S107="No","Destination not 200; ","")))</f>
        <v/>
      </c>
      <c r="U107" s="22" t="n"/>
      <c r="V107" s="22" t="n"/>
      <c r="W107" s="4" t="n"/>
    </row>
    <row r="108">
      <c r="A108" s="22" t="n"/>
      <c r="B108" s="22" t="n"/>
      <c r="C108" s="22" t="n"/>
      <c r="D108" s="22">
        <f>IF(A108="","",IF(OR(N(B108)&gt;=$C$2,N(C108)&gt;=$E$2),"High",IF(OR(N(B108)&gt;0,N(C108)&gt;0),"Medium","Low")))</f>
        <v/>
      </c>
      <c r="E108" s="22" t="n"/>
      <c r="F108" s="22" t="n"/>
      <c r="G108" s="22" t="n"/>
      <c r="H108" s="22" t="n"/>
      <c r="I108" s="22" t="n"/>
      <c r="J108" s="22" t="n"/>
      <c r="K108" s="22" t="n"/>
      <c r="L108" s="22" t="n"/>
      <c r="M108" s="22">
        <f>IF(K108="Override",L108,IF(K108="Accept suggestion",F108,IF(K108="No change (same URL)",A108,"")))</f>
        <v/>
      </c>
      <c r="N108" s="22">
        <f>IF(A108="","",IF(K108="410 Gone","410",IF(K108="404","404",IF(K108="No change (same URL)","none",IF(M108="","","301")))))</f>
        <v/>
      </c>
      <c r="O108" s="22">
        <f>IF(A108="","",IFERROR(MID(A108,FIND("/",A108,FIND("//",A108)+2),2000),A108))</f>
        <v/>
      </c>
      <c r="P108" s="22">
        <f>IF(OR(O108="",N108="",N108="none",N108="404"),"",IF(N108="410","Redirect gone "&amp;O108,"Redirect "&amp;N108&amp;" "&amp;O108&amp;" "&amp;M108))</f>
        <v/>
      </c>
      <c r="Q108" s="22" t="n"/>
      <c r="R108" s="22" t="n"/>
      <c r="S108" s="22" t="n"/>
      <c r="T108" s="4">
        <f>IF(A108="","",TRIM(IF(K108="","Needs decision; ","")&amp;IF(AND(K108="Accept suggestion",F108=""),"No suggestion to accept; ","")&amp;IF(AND(K108="Override",L108=""),"Override URL missing; ","")&amp;IF(AND(K108="Accept suggestion",N(G108)&lt;$G$2),"Below your threshold; ","")&amp;IF(AND(M108&lt;&gt;"",M108=A108,K108&lt;&gt;"No change (same URL)"),"Redirects to itself; ","")&amp;IF(AND(M108&lt;&gt;"",OR(M108="/",AND(LEFT(M108,4)="http",OR((LEN(M108)-LEN(SUBSTITUTE(M108,"/","")))=2,AND((LEN(M108)-LEN(SUBSTITUTE(M108,"/","")))=3,RIGHT(M108,1)="/"))))),"Home page redirect; ","")&amp;IF(N(R108)&gt;1,"Chain; ","")&amp;IF(S108="No","Destination not 200; ","")))</f>
        <v/>
      </c>
      <c r="U108" s="22" t="n"/>
      <c r="V108" s="22" t="n"/>
      <c r="W108" s="4" t="n"/>
    </row>
    <row r="109">
      <c r="A109" s="22" t="n"/>
      <c r="B109" s="22" t="n"/>
      <c r="C109" s="22" t="n"/>
      <c r="D109" s="22">
        <f>IF(A109="","",IF(OR(N(B109)&gt;=$C$2,N(C109)&gt;=$E$2),"High",IF(OR(N(B109)&gt;0,N(C109)&gt;0),"Medium","Low")))</f>
        <v/>
      </c>
      <c r="E109" s="22" t="n"/>
      <c r="F109" s="22" t="n"/>
      <c r="G109" s="22" t="n"/>
      <c r="H109" s="22" t="n"/>
      <c r="I109" s="22" t="n"/>
      <c r="J109" s="22" t="n"/>
      <c r="K109" s="22" t="n"/>
      <c r="L109" s="22" t="n"/>
      <c r="M109" s="22">
        <f>IF(K109="Override",L109,IF(K109="Accept suggestion",F109,IF(K109="No change (same URL)",A109,"")))</f>
        <v/>
      </c>
      <c r="N109" s="22">
        <f>IF(A109="","",IF(K109="410 Gone","410",IF(K109="404","404",IF(K109="No change (same URL)","none",IF(M109="","","301")))))</f>
        <v/>
      </c>
      <c r="O109" s="22">
        <f>IF(A109="","",IFERROR(MID(A109,FIND("/",A109,FIND("//",A109)+2),2000),A109))</f>
        <v/>
      </c>
      <c r="P109" s="22">
        <f>IF(OR(O109="",N109="",N109="none",N109="404"),"",IF(N109="410","Redirect gone "&amp;O109,"Redirect "&amp;N109&amp;" "&amp;O109&amp;" "&amp;M109))</f>
        <v/>
      </c>
      <c r="Q109" s="22" t="n"/>
      <c r="R109" s="22" t="n"/>
      <c r="S109" s="22" t="n"/>
      <c r="T109" s="4">
        <f>IF(A109="","",TRIM(IF(K109="","Needs decision; ","")&amp;IF(AND(K109="Accept suggestion",F109=""),"No suggestion to accept; ","")&amp;IF(AND(K109="Override",L109=""),"Override URL missing; ","")&amp;IF(AND(K109="Accept suggestion",N(G109)&lt;$G$2),"Below your threshold; ","")&amp;IF(AND(M109&lt;&gt;"",M109=A109,K109&lt;&gt;"No change (same URL)"),"Redirects to itself; ","")&amp;IF(AND(M109&lt;&gt;"",OR(M109="/",AND(LEFT(M109,4)="http",OR((LEN(M109)-LEN(SUBSTITUTE(M109,"/","")))=2,AND((LEN(M109)-LEN(SUBSTITUTE(M109,"/","")))=3,RIGHT(M109,1)="/"))))),"Home page redirect; ","")&amp;IF(N(R109)&gt;1,"Chain; ","")&amp;IF(S109="No","Destination not 200; ","")))</f>
        <v/>
      </c>
      <c r="U109" s="22" t="n"/>
      <c r="V109" s="22" t="n"/>
      <c r="W109" s="4" t="n"/>
    </row>
    <row r="110">
      <c r="A110" s="22" t="n"/>
      <c r="B110" s="22" t="n"/>
      <c r="C110" s="22" t="n"/>
      <c r="D110" s="22">
        <f>IF(A110="","",IF(OR(N(B110)&gt;=$C$2,N(C110)&gt;=$E$2),"High",IF(OR(N(B110)&gt;0,N(C110)&gt;0),"Medium","Low")))</f>
        <v/>
      </c>
      <c r="E110" s="22" t="n"/>
      <c r="F110" s="22" t="n"/>
      <c r="G110" s="22" t="n"/>
      <c r="H110" s="22" t="n"/>
      <c r="I110" s="22" t="n"/>
      <c r="J110" s="22" t="n"/>
      <c r="K110" s="22" t="n"/>
      <c r="L110" s="22" t="n"/>
      <c r="M110" s="22">
        <f>IF(K110="Override",L110,IF(K110="Accept suggestion",F110,IF(K110="No change (same URL)",A110,"")))</f>
        <v/>
      </c>
      <c r="N110" s="22">
        <f>IF(A110="","",IF(K110="410 Gone","410",IF(K110="404","404",IF(K110="No change (same URL)","none",IF(M110="","","301")))))</f>
        <v/>
      </c>
      <c r="O110" s="22">
        <f>IF(A110="","",IFERROR(MID(A110,FIND("/",A110,FIND("//",A110)+2),2000),A110))</f>
        <v/>
      </c>
      <c r="P110" s="22">
        <f>IF(OR(O110="",N110="",N110="none",N110="404"),"",IF(N110="410","Redirect gone "&amp;O110,"Redirect "&amp;N110&amp;" "&amp;O110&amp;" "&amp;M110))</f>
        <v/>
      </c>
      <c r="Q110" s="22" t="n"/>
      <c r="R110" s="22" t="n"/>
      <c r="S110" s="22" t="n"/>
      <c r="T110" s="4">
        <f>IF(A110="","",TRIM(IF(K110="","Needs decision; ","")&amp;IF(AND(K110="Accept suggestion",F110=""),"No suggestion to accept; ","")&amp;IF(AND(K110="Override",L110=""),"Override URL missing; ","")&amp;IF(AND(K110="Accept suggestion",N(G110)&lt;$G$2),"Below your threshold; ","")&amp;IF(AND(M110&lt;&gt;"",M110=A110,K110&lt;&gt;"No change (same URL)"),"Redirects to itself; ","")&amp;IF(AND(M110&lt;&gt;"",OR(M110="/",AND(LEFT(M110,4)="http",OR((LEN(M110)-LEN(SUBSTITUTE(M110,"/","")))=2,AND((LEN(M110)-LEN(SUBSTITUTE(M110,"/","")))=3,RIGHT(M110,1)="/"))))),"Home page redirect; ","")&amp;IF(N(R110)&gt;1,"Chain; ","")&amp;IF(S110="No","Destination not 200; ","")))</f>
        <v/>
      </c>
      <c r="U110" s="22" t="n"/>
      <c r="V110" s="22" t="n"/>
      <c r="W110" s="4" t="n"/>
    </row>
    <row r="111">
      <c r="A111" s="22" t="n"/>
      <c r="B111" s="22" t="n"/>
      <c r="C111" s="22" t="n"/>
      <c r="D111" s="22">
        <f>IF(A111="","",IF(OR(N(B111)&gt;=$C$2,N(C111)&gt;=$E$2),"High",IF(OR(N(B111)&gt;0,N(C111)&gt;0),"Medium","Low")))</f>
        <v/>
      </c>
      <c r="E111" s="22" t="n"/>
      <c r="F111" s="22" t="n"/>
      <c r="G111" s="22" t="n"/>
      <c r="H111" s="22" t="n"/>
      <c r="I111" s="22" t="n"/>
      <c r="J111" s="22" t="n"/>
      <c r="K111" s="22" t="n"/>
      <c r="L111" s="22" t="n"/>
      <c r="M111" s="22">
        <f>IF(K111="Override",L111,IF(K111="Accept suggestion",F111,IF(K111="No change (same URL)",A111,"")))</f>
        <v/>
      </c>
      <c r="N111" s="22">
        <f>IF(A111="","",IF(K111="410 Gone","410",IF(K111="404","404",IF(K111="No change (same URL)","none",IF(M111="","","301")))))</f>
        <v/>
      </c>
      <c r="O111" s="22">
        <f>IF(A111="","",IFERROR(MID(A111,FIND("/",A111,FIND("//",A111)+2),2000),A111))</f>
        <v/>
      </c>
      <c r="P111" s="22">
        <f>IF(OR(O111="",N111="",N111="none",N111="404"),"",IF(N111="410","Redirect gone "&amp;O111,"Redirect "&amp;N111&amp;" "&amp;O111&amp;" "&amp;M111))</f>
        <v/>
      </c>
      <c r="Q111" s="22" t="n"/>
      <c r="R111" s="22" t="n"/>
      <c r="S111" s="22" t="n"/>
      <c r="T111" s="4">
        <f>IF(A111="","",TRIM(IF(K111="","Needs decision; ","")&amp;IF(AND(K111="Accept suggestion",F111=""),"No suggestion to accept; ","")&amp;IF(AND(K111="Override",L111=""),"Override URL missing; ","")&amp;IF(AND(K111="Accept suggestion",N(G111)&lt;$G$2),"Below your threshold; ","")&amp;IF(AND(M111&lt;&gt;"",M111=A111,K111&lt;&gt;"No change (same URL)"),"Redirects to itself; ","")&amp;IF(AND(M111&lt;&gt;"",OR(M111="/",AND(LEFT(M111,4)="http",OR((LEN(M111)-LEN(SUBSTITUTE(M111,"/","")))=2,AND((LEN(M111)-LEN(SUBSTITUTE(M111,"/","")))=3,RIGHT(M111,1)="/"))))),"Home page redirect; ","")&amp;IF(N(R111)&gt;1,"Chain; ","")&amp;IF(S111="No","Destination not 200; ","")))</f>
        <v/>
      </c>
      <c r="U111" s="22" t="n"/>
      <c r="V111" s="22" t="n"/>
      <c r="W111" s="4" t="n"/>
    </row>
    <row r="112">
      <c r="A112" s="22" t="n"/>
      <c r="B112" s="22" t="n"/>
      <c r="C112" s="22" t="n"/>
      <c r="D112" s="22">
        <f>IF(A112="","",IF(OR(N(B112)&gt;=$C$2,N(C112)&gt;=$E$2),"High",IF(OR(N(B112)&gt;0,N(C112)&gt;0),"Medium","Low")))</f>
        <v/>
      </c>
      <c r="E112" s="22" t="n"/>
      <c r="F112" s="22" t="n"/>
      <c r="G112" s="22" t="n"/>
      <c r="H112" s="22" t="n"/>
      <c r="I112" s="22" t="n"/>
      <c r="J112" s="22" t="n"/>
      <c r="K112" s="22" t="n"/>
      <c r="L112" s="22" t="n"/>
      <c r="M112" s="22">
        <f>IF(K112="Override",L112,IF(K112="Accept suggestion",F112,IF(K112="No change (same URL)",A112,"")))</f>
        <v/>
      </c>
      <c r="N112" s="22">
        <f>IF(A112="","",IF(K112="410 Gone","410",IF(K112="404","404",IF(K112="No change (same URL)","none",IF(M112="","","301")))))</f>
        <v/>
      </c>
      <c r="O112" s="22">
        <f>IF(A112="","",IFERROR(MID(A112,FIND("/",A112,FIND("//",A112)+2),2000),A112))</f>
        <v/>
      </c>
      <c r="P112" s="22">
        <f>IF(OR(O112="",N112="",N112="none",N112="404"),"",IF(N112="410","Redirect gone "&amp;O112,"Redirect "&amp;N112&amp;" "&amp;O112&amp;" "&amp;M112))</f>
        <v/>
      </c>
      <c r="Q112" s="22" t="n"/>
      <c r="R112" s="22" t="n"/>
      <c r="S112" s="22" t="n"/>
      <c r="T112" s="4">
        <f>IF(A112="","",TRIM(IF(K112="","Needs decision; ","")&amp;IF(AND(K112="Accept suggestion",F112=""),"No suggestion to accept; ","")&amp;IF(AND(K112="Override",L112=""),"Override URL missing; ","")&amp;IF(AND(K112="Accept suggestion",N(G112)&lt;$G$2),"Below your threshold; ","")&amp;IF(AND(M112&lt;&gt;"",M112=A112,K112&lt;&gt;"No change (same URL)"),"Redirects to itself; ","")&amp;IF(AND(M112&lt;&gt;"",OR(M112="/",AND(LEFT(M112,4)="http",OR((LEN(M112)-LEN(SUBSTITUTE(M112,"/","")))=2,AND((LEN(M112)-LEN(SUBSTITUTE(M112,"/","")))=3,RIGHT(M112,1)="/"))))),"Home page redirect; ","")&amp;IF(N(R112)&gt;1,"Chain; ","")&amp;IF(S112="No","Destination not 200; ","")))</f>
        <v/>
      </c>
      <c r="U112" s="22" t="n"/>
      <c r="V112" s="22" t="n"/>
      <c r="W112" s="4" t="n"/>
    </row>
    <row r="113">
      <c r="A113" s="22" t="n"/>
      <c r="B113" s="22" t="n"/>
      <c r="C113" s="22" t="n"/>
      <c r="D113" s="22">
        <f>IF(A113="","",IF(OR(N(B113)&gt;=$C$2,N(C113)&gt;=$E$2),"High",IF(OR(N(B113)&gt;0,N(C113)&gt;0),"Medium","Low")))</f>
        <v/>
      </c>
      <c r="E113" s="22" t="n"/>
      <c r="F113" s="22" t="n"/>
      <c r="G113" s="22" t="n"/>
      <c r="H113" s="22" t="n"/>
      <c r="I113" s="22" t="n"/>
      <c r="J113" s="22" t="n"/>
      <c r="K113" s="22" t="n"/>
      <c r="L113" s="22" t="n"/>
      <c r="M113" s="22">
        <f>IF(K113="Override",L113,IF(K113="Accept suggestion",F113,IF(K113="No change (same URL)",A113,"")))</f>
        <v/>
      </c>
      <c r="N113" s="22">
        <f>IF(A113="","",IF(K113="410 Gone","410",IF(K113="404","404",IF(K113="No change (same URL)","none",IF(M113="","","301")))))</f>
        <v/>
      </c>
      <c r="O113" s="22">
        <f>IF(A113="","",IFERROR(MID(A113,FIND("/",A113,FIND("//",A113)+2),2000),A113))</f>
        <v/>
      </c>
      <c r="P113" s="22">
        <f>IF(OR(O113="",N113="",N113="none",N113="404"),"",IF(N113="410","Redirect gone "&amp;O113,"Redirect "&amp;N113&amp;" "&amp;O113&amp;" "&amp;M113))</f>
        <v/>
      </c>
      <c r="Q113" s="22" t="n"/>
      <c r="R113" s="22" t="n"/>
      <c r="S113" s="22" t="n"/>
      <c r="T113" s="4">
        <f>IF(A113="","",TRIM(IF(K113="","Needs decision; ","")&amp;IF(AND(K113="Accept suggestion",F113=""),"No suggestion to accept; ","")&amp;IF(AND(K113="Override",L113=""),"Override URL missing; ","")&amp;IF(AND(K113="Accept suggestion",N(G113)&lt;$G$2),"Below your threshold; ","")&amp;IF(AND(M113&lt;&gt;"",M113=A113,K113&lt;&gt;"No change (same URL)"),"Redirects to itself; ","")&amp;IF(AND(M113&lt;&gt;"",OR(M113="/",AND(LEFT(M113,4)="http",OR((LEN(M113)-LEN(SUBSTITUTE(M113,"/","")))=2,AND((LEN(M113)-LEN(SUBSTITUTE(M113,"/","")))=3,RIGHT(M113,1)="/"))))),"Home page redirect; ","")&amp;IF(N(R113)&gt;1,"Chain; ","")&amp;IF(S113="No","Destination not 200; ","")))</f>
        <v/>
      </c>
      <c r="U113" s="22" t="n"/>
      <c r="V113" s="22" t="n"/>
      <c r="W113" s="4" t="n"/>
    </row>
    <row r="114">
      <c r="A114" s="22" t="n"/>
      <c r="B114" s="22" t="n"/>
      <c r="C114" s="22" t="n"/>
      <c r="D114" s="22">
        <f>IF(A114="","",IF(OR(N(B114)&gt;=$C$2,N(C114)&gt;=$E$2),"High",IF(OR(N(B114)&gt;0,N(C114)&gt;0),"Medium","Low")))</f>
        <v/>
      </c>
      <c r="E114" s="22" t="n"/>
      <c r="F114" s="22" t="n"/>
      <c r="G114" s="22" t="n"/>
      <c r="H114" s="22" t="n"/>
      <c r="I114" s="22" t="n"/>
      <c r="J114" s="22" t="n"/>
      <c r="K114" s="22" t="n"/>
      <c r="L114" s="22" t="n"/>
      <c r="M114" s="22">
        <f>IF(K114="Override",L114,IF(K114="Accept suggestion",F114,IF(K114="No change (same URL)",A114,"")))</f>
        <v/>
      </c>
      <c r="N114" s="22">
        <f>IF(A114="","",IF(K114="410 Gone","410",IF(K114="404","404",IF(K114="No change (same URL)","none",IF(M114="","","301")))))</f>
        <v/>
      </c>
      <c r="O114" s="22">
        <f>IF(A114="","",IFERROR(MID(A114,FIND("/",A114,FIND("//",A114)+2),2000),A114))</f>
        <v/>
      </c>
      <c r="P114" s="22">
        <f>IF(OR(O114="",N114="",N114="none",N114="404"),"",IF(N114="410","Redirect gone "&amp;O114,"Redirect "&amp;N114&amp;" "&amp;O114&amp;" "&amp;M114))</f>
        <v/>
      </c>
      <c r="Q114" s="22" t="n"/>
      <c r="R114" s="22" t="n"/>
      <c r="S114" s="22" t="n"/>
      <c r="T114" s="4">
        <f>IF(A114="","",TRIM(IF(K114="","Needs decision; ","")&amp;IF(AND(K114="Accept suggestion",F114=""),"No suggestion to accept; ","")&amp;IF(AND(K114="Override",L114=""),"Override URL missing; ","")&amp;IF(AND(K114="Accept suggestion",N(G114)&lt;$G$2),"Below your threshold; ","")&amp;IF(AND(M114&lt;&gt;"",M114=A114,K114&lt;&gt;"No change (same URL)"),"Redirects to itself; ","")&amp;IF(AND(M114&lt;&gt;"",OR(M114="/",AND(LEFT(M114,4)="http",OR((LEN(M114)-LEN(SUBSTITUTE(M114,"/","")))=2,AND((LEN(M114)-LEN(SUBSTITUTE(M114,"/","")))=3,RIGHT(M114,1)="/"))))),"Home page redirect; ","")&amp;IF(N(R114)&gt;1,"Chain; ","")&amp;IF(S114="No","Destination not 200; ","")))</f>
        <v/>
      </c>
      <c r="U114" s="22" t="n"/>
      <c r="V114" s="22" t="n"/>
      <c r="W114" s="4" t="n"/>
    </row>
    <row r="115">
      <c r="A115" s="22" t="n"/>
      <c r="B115" s="22" t="n"/>
      <c r="C115" s="22" t="n"/>
      <c r="D115" s="22">
        <f>IF(A115="","",IF(OR(N(B115)&gt;=$C$2,N(C115)&gt;=$E$2),"High",IF(OR(N(B115)&gt;0,N(C115)&gt;0),"Medium","Low")))</f>
        <v/>
      </c>
      <c r="E115" s="22" t="n"/>
      <c r="F115" s="22" t="n"/>
      <c r="G115" s="22" t="n"/>
      <c r="H115" s="22" t="n"/>
      <c r="I115" s="22" t="n"/>
      <c r="J115" s="22" t="n"/>
      <c r="K115" s="22" t="n"/>
      <c r="L115" s="22" t="n"/>
      <c r="M115" s="22">
        <f>IF(K115="Override",L115,IF(K115="Accept suggestion",F115,IF(K115="No change (same URL)",A115,"")))</f>
        <v/>
      </c>
      <c r="N115" s="22">
        <f>IF(A115="","",IF(K115="410 Gone","410",IF(K115="404","404",IF(K115="No change (same URL)","none",IF(M115="","","301")))))</f>
        <v/>
      </c>
      <c r="O115" s="22">
        <f>IF(A115="","",IFERROR(MID(A115,FIND("/",A115,FIND("//",A115)+2),2000),A115))</f>
        <v/>
      </c>
      <c r="P115" s="22">
        <f>IF(OR(O115="",N115="",N115="none",N115="404"),"",IF(N115="410","Redirect gone "&amp;O115,"Redirect "&amp;N115&amp;" "&amp;O115&amp;" "&amp;M115))</f>
        <v/>
      </c>
      <c r="Q115" s="22" t="n"/>
      <c r="R115" s="22" t="n"/>
      <c r="S115" s="22" t="n"/>
      <c r="T115" s="4">
        <f>IF(A115="","",TRIM(IF(K115="","Needs decision; ","")&amp;IF(AND(K115="Accept suggestion",F115=""),"No suggestion to accept; ","")&amp;IF(AND(K115="Override",L115=""),"Override URL missing; ","")&amp;IF(AND(K115="Accept suggestion",N(G115)&lt;$G$2),"Below your threshold; ","")&amp;IF(AND(M115&lt;&gt;"",M115=A115,K115&lt;&gt;"No change (same URL)"),"Redirects to itself; ","")&amp;IF(AND(M115&lt;&gt;"",OR(M115="/",AND(LEFT(M115,4)="http",OR((LEN(M115)-LEN(SUBSTITUTE(M115,"/","")))=2,AND((LEN(M115)-LEN(SUBSTITUTE(M115,"/","")))=3,RIGHT(M115,1)="/"))))),"Home page redirect; ","")&amp;IF(N(R115)&gt;1,"Chain; ","")&amp;IF(S115="No","Destination not 200; ","")))</f>
        <v/>
      </c>
      <c r="U115" s="22" t="n"/>
      <c r="V115" s="22" t="n"/>
      <c r="W115" s="4" t="n"/>
    </row>
    <row r="116">
      <c r="A116" s="22" t="n"/>
      <c r="B116" s="22" t="n"/>
      <c r="C116" s="22" t="n"/>
      <c r="D116" s="22">
        <f>IF(A116="","",IF(OR(N(B116)&gt;=$C$2,N(C116)&gt;=$E$2),"High",IF(OR(N(B116)&gt;0,N(C116)&gt;0),"Medium","Low")))</f>
        <v/>
      </c>
      <c r="E116" s="22" t="n"/>
      <c r="F116" s="22" t="n"/>
      <c r="G116" s="22" t="n"/>
      <c r="H116" s="22" t="n"/>
      <c r="I116" s="22" t="n"/>
      <c r="J116" s="22" t="n"/>
      <c r="K116" s="22" t="n"/>
      <c r="L116" s="22" t="n"/>
      <c r="M116" s="22">
        <f>IF(K116="Override",L116,IF(K116="Accept suggestion",F116,IF(K116="No change (same URL)",A116,"")))</f>
        <v/>
      </c>
      <c r="N116" s="22">
        <f>IF(A116="","",IF(K116="410 Gone","410",IF(K116="404","404",IF(K116="No change (same URL)","none",IF(M116="","","301")))))</f>
        <v/>
      </c>
      <c r="O116" s="22">
        <f>IF(A116="","",IFERROR(MID(A116,FIND("/",A116,FIND("//",A116)+2),2000),A116))</f>
        <v/>
      </c>
      <c r="P116" s="22">
        <f>IF(OR(O116="",N116="",N116="none",N116="404"),"",IF(N116="410","Redirect gone "&amp;O116,"Redirect "&amp;N116&amp;" "&amp;O116&amp;" "&amp;M116))</f>
        <v/>
      </c>
      <c r="Q116" s="22" t="n"/>
      <c r="R116" s="22" t="n"/>
      <c r="S116" s="22" t="n"/>
      <c r="T116" s="4">
        <f>IF(A116="","",TRIM(IF(K116="","Needs decision; ","")&amp;IF(AND(K116="Accept suggestion",F116=""),"No suggestion to accept; ","")&amp;IF(AND(K116="Override",L116=""),"Override URL missing; ","")&amp;IF(AND(K116="Accept suggestion",N(G116)&lt;$G$2),"Below your threshold; ","")&amp;IF(AND(M116&lt;&gt;"",M116=A116,K116&lt;&gt;"No change (same URL)"),"Redirects to itself; ","")&amp;IF(AND(M116&lt;&gt;"",OR(M116="/",AND(LEFT(M116,4)="http",OR((LEN(M116)-LEN(SUBSTITUTE(M116,"/","")))=2,AND((LEN(M116)-LEN(SUBSTITUTE(M116,"/","")))=3,RIGHT(M116,1)="/"))))),"Home page redirect; ","")&amp;IF(N(R116)&gt;1,"Chain; ","")&amp;IF(S116="No","Destination not 200; ","")))</f>
        <v/>
      </c>
      <c r="U116" s="22" t="n"/>
      <c r="V116" s="22" t="n"/>
      <c r="W116" s="4" t="n"/>
    </row>
    <row r="117">
      <c r="A117" s="22" t="n"/>
      <c r="B117" s="22" t="n"/>
      <c r="C117" s="22" t="n"/>
      <c r="D117" s="22">
        <f>IF(A117="","",IF(OR(N(B117)&gt;=$C$2,N(C117)&gt;=$E$2),"High",IF(OR(N(B117)&gt;0,N(C117)&gt;0),"Medium","Low")))</f>
        <v/>
      </c>
      <c r="E117" s="22" t="n"/>
      <c r="F117" s="22" t="n"/>
      <c r="G117" s="22" t="n"/>
      <c r="H117" s="22" t="n"/>
      <c r="I117" s="22" t="n"/>
      <c r="J117" s="22" t="n"/>
      <c r="K117" s="22" t="n"/>
      <c r="L117" s="22" t="n"/>
      <c r="M117" s="22">
        <f>IF(K117="Override",L117,IF(K117="Accept suggestion",F117,IF(K117="No change (same URL)",A117,"")))</f>
        <v/>
      </c>
      <c r="N117" s="22">
        <f>IF(A117="","",IF(K117="410 Gone","410",IF(K117="404","404",IF(K117="No change (same URL)","none",IF(M117="","","301")))))</f>
        <v/>
      </c>
      <c r="O117" s="22">
        <f>IF(A117="","",IFERROR(MID(A117,FIND("/",A117,FIND("//",A117)+2),2000),A117))</f>
        <v/>
      </c>
      <c r="P117" s="22">
        <f>IF(OR(O117="",N117="",N117="none",N117="404"),"",IF(N117="410","Redirect gone "&amp;O117,"Redirect "&amp;N117&amp;" "&amp;O117&amp;" "&amp;M117))</f>
        <v/>
      </c>
      <c r="Q117" s="22" t="n"/>
      <c r="R117" s="22" t="n"/>
      <c r="S117" s="22" t="n"/>
      <c r="T117" s="4">
        <f>IF(A117="","",TRIM(IF(K117="","Needs decision; ","")&amp;IF(AND(K117="Accept suggestion",F117=""),"No suggestion to accept; ","")&amp;IF(AND(K117="Override",L117=""),"Override URL missing; ","")&amp;IF(AND(K117="Accept suggestion",N(G117)&lt;$G$2),"Below your threshold; ","")&amp;IF(AND(M117&lt;&gt;"",M117=A117,K117&lt;&gt;"No change (same URL)"),"Redirects to itself; ","")&amp;IF(AND(M117&lt;&gt;"",OR(M117="/",AND(LEFT(M117,4)="http",OR((LEN(M117)-LEN(SUBSTITUTE(M117,"/","")))=2,AND((LEN(M117)-LEN(SUBSTITUTE(M117,"/","")))=3,RIGHT(M117,1)="/"))))),"Home page redirect; ","")&amp;IF(N(R117)&gt;1,"Chain; ","")&amp;IF(S117="No","Destination not 200; ","")))</f>
        <v/>
      </c>
      <c r="U117" s="22" t="n"/>
      <c r="V117" s="22" t="n"/>
      <c r="W117" s="4" t="n"/>
    </row>
    <row r="118">
      <c r="A118" s="22" t="n"/>
      <c r="B118" s="22" t="n"/>
      <c r="C118" s="22" t="n"/>
      <c r="D118" s="22">
        <f>IF(A118="","",IF(OR(N(B118)&gt;=$C$2,N(C118)&gt;=$E$2),"High",IF(OR(N(B118)&gt;0,N(C118)&gt;0),"Medium","Low")))</f>
        <v/>
      </c>
      <c r="E118" s="22" t="n"/>
      <c r="F118" s="22" t="n"/>
      <c r="G118" s="22" t="n"/>
      <c r="H118" s="22" t="n"/>
      <c r="I118" s="22" t="n"/>
      <c r="J118" s="22" t="n"/>
      <c r="K118" s="22" t="n"/>
      <c r="L118" s="22" t="n"/>
      <c r="M118" s="22">
        <f>IF(K118="Override",L118,IF(K118="Accept suggestion",F118,IF(K118="No change (same URL)",A118,"")))</f>
        <v/>
      </c>
      <c r="N118" s="22">
        <f>IF(A118="","",IF(K118="410 Gone","410",IF(K118="404","404",IF(K118="No change (same URL)","none",IF(M118="","","301")))))</f>
        <v/>
      </c>
      <c r="O118" s="22">
        <f>IF(A118="","",IFERROR(MID(A118,FIND("/",A118,FIND("//",A118)+2),2000),A118))</f>
        <v/>
      </c>
      <c r="P118" s="22">
        <f>IF(OR(O118="",N118="",N118="none",N118="404"),"",IF(N118="410","Redirect gone "&amp;O118,"Redirect "&amp;N118&amp;" "&amp;O118&amp;" "&amp;M118))</f>
        <v/>
      </c>
      <c r="Q118" s="22" t="n"/>
      <c r="R118" s="22" t="n"/>
      <c r="S118" s="22" t="n"/>
      <c r="T118" s="4">
        <f>IF(A118="","",TRIM(IF(K118="","Needs decision; ","")&amp;IF(AND(K118="Accept suggestion",F118=""),"No suggestion to accept; ","")&amp;IF(AND(K118="Override",L118=""),"Override URL missing; ","")&amp;IF(AND(K118="Accept suggestion",N(G118)&lt;$G$2),"Below your threshold; ","")&amp;IF(AND(M118&lt;&gt;"",M118=A118,K118&lt;&gt;"No change (same URL)"),"Redirects to itself; ","")&amp;IF(AND(M118&lt;&gt;"",OR(M118="/",AND(LEFT(M118,4)="http",OR((LEN(M118)-LEN(SUBSTITUTE(M118,"/","")))=2,AND((LEN(M118)-LEN(SUBSTITUTE(M118,"/","")))=3,RIGHT(M118,1)="/"))))),"Home page redirect; ","")&amp;IF(N(R118)&gt;1,"Chain; ","")&amp;IF(S118="No","Destination not 200; ","")))</f>
        <v/>
      </c>
      <c r="U118" s="22" t="n"/>
      <c r="V118" s="22" t="n"/>
      <c r="W118" s="4" t="n"/>
    </row>
    <row r="119">
      <c r="A119" s="22" t="n"/>
      <c r="B119" s="22" t="n"/>
      <c r="C119" s="22" t="n"/>
      <c r="D119" s="22">
        <f>IF(A119="","",IF(OR(N(B119)&gt;=$C$2,N(C119)&gt;=$E$2),"High",IF(OR(N(B119)&gt;0,N(C119)&gt;0),"Medium","Low")))</f>
        <v/>
      </c>
      <c r="E119" s="22" t="n"/>
      <c r="F119" s="22" t="n"/>
      <c r="G119" s="22" t="n"/>
      <c r="H119" s="22" t="n"/>
      <c r="I119" s="22" t="n"/>
      <c r="J119" s="22" t="n"/>
      <c r="K119" s="22" t="n"/>
      <c r="L119" s="22" t="n"/>
      <c r="M119" s="22">
        <f>IF(K119="Override",L119,IF(K119="Accept suggestion",F119,IF(K119="No change (same URL)",A119,"")))</f>
        <v/>
      </c>
      <c r="N119" s="22">
        <f>IF(A119="","",IF(K119="410 Gone","410",IF(K119="404","404",IF(K119="No change (same URL)","none",IF(M119="","","301")))))</f>
        <v/>
      </c>
      <c r="O119" s="22">
        <f>IF(A119="","",IFERROR(MID(A119,FIND("/",A119,FIND("//",A119)+2),2000),A119))</f>
        <v/>
      </c>
      <c r="P119" s="22">
        <f>IF(OR(O119="",N119="",N119="none",N119="404"),"",IF(N119="410","Redirect gone "&amp;O119,"Redirect "&amp;N119&amp;" "&amp;O119&amp;" "&amp;M119))</f>
        <v/>
      </c>
      <c r="Q119" s="22" t="n"/>
      <c r="R119" s="22" t="n"/>
      <c r="S119" s="22" t="n"/>
      <c r="T119" s="4">
        <f>IF(A119="","",TRIM(IF(K119="","Needs decision; ","")&amp;IF(AND(K119="Accept suggestion",F119=""),"No suggestion to accept; ","")&amp;IF(AND(K119="Override",L119=""),"Override URL missing; ","")&amp;IF(AND(K119="Accept suggestion",N(G119)&lt;$G$2),"Below your threshold; ","")&amp;IF(AND(M119&lt;&gt;"",M119=A119,K119&lt;&gt;"No change (same URL)"),"Redirects to itself; ","")&amp;IF(AND(M119&lt;&gt;"",OR(M119="/",AND(LEFT(M119,4)="http",OR((LEN(M119)-LEN(SUBSTITUTE(M119,"/","")))=2,AND((LEN(M119)-LEN(SUBSTITUTE(M119,"/","")))=3,RIGHT(M119,1)="/"))))),"Home page redirect; ","")&amp;IF(N(R119)&gt;1,"Chain; ","")&amp;IF(S119="No","Destination not 200; ","")))</f>
        <v/>
      </c>
      <c r="U119" s="22" t="n"/>
      <c r="V119" s="22" t="n"/>
      <c r="W119" s="4" t="n"/>
    </row>
    <row r="120">
      <c r="A120" s="22" t="n"/>
      <c r="B120" s="22" t="n"/>
      <c r="C120" s="22" t="n"/>
      <c r="D120" s="22">
        <f>IF(A120="","",IF(OR(N(B120)&gt;=$C$2,N(C120)&gt;=$E$2),"High",IF(OR(N(B120)&gt;0,N(C120)&gt;0),"Medium","Low")))</f>
        <v/>
      </c>
      <c r="E120" s="22" t="n"/>
      <c r="F120" s="22" t="n"/>
      <c r="G120" s="22" t="n"/>
      <c r="H120" s="22" t="n"/>
      <c r="I120" s="22" t="n"/>
      <c r="J120" s="22" t="n"/>
      <c r="K120" s="22" t="n"/>
      <c r="L120" s="22" t="n"/>
      <c r="M120" s="22">
        <f>IF(K120="Override",L120,IF(K120="Accept suggestion",F120,IF(K120="No change (same URL)",A120,"")))</f>
        <v/>
      </c>
      <c r="N120" s="22">
        <f>IF(A120="","",IF(K120="410 Gone","410",IF(K120="404","404",IF(K120="No change (same URL)","none",IF(M120="","","301")))))</f>
        <v/>
      </c>
      <c r="O120" s="22">
        <f>IF(A120="","",IFERROR(MID(A120,FIND("/",A120,FIND("//",A120)+2),2000),A120))</f>
        <v/>
      </c>
      <c r="P120" s="22">
        <f>IF(OR(O120="",N120="",N120="none",N120="404"),"",IF(N120="410","Redirect gone "&amp;O120,"Redirect "&amp;N120&amp;" "&amp;O120&amp;" "&amp;M120))</f>
        <v/>
      </c>
      <c r="Q120" s="22" t="n"/>
      <c r="R120" s="22" t="n"/>
      <c r="S120" s="22" t="n"/>
      <c r="T120" s="4">
        <f>IF(A120="","",TRIM(IF(K120="","Needs decision; ","")&amp;IF(AND(K120="Accept suggestion",F120=""),"No suggestion to accept; ","")&amp;IF(AND(K120="Override",L120=""),"Override URL missing; ","")&amp;IF(AND(K120="Accept suggestion",N(G120)&lt;$G$2),"Below your threshold; ","")&amp;IF(AND(M120&lt;&gt;"",M120=A120,K120&lt;&gt;"No change (same URL)"),"Redirects to itself; ","")&amp;IF(AND(M120&lt;&gt;"",OR(M120="/",AND(LEFT(M120,4)="http",OR((LEN(M120)-LEN(SUBSTITUTE(M120,"/","")))=2,AND((LEN(M120)-LEN(SUBSTITUTE(M120,"/","")))=3,RIGHT(M120,1)="/"))))),"Home page redirect; ","")&amp;IF(N(R120)&gt;1,"Chain; ","")&amp;IF(S120="No","Destination not 200; ","")))</f>
        <v/>
      </c>
      <c r="U120" s="22" t="n"/>
      <c r="V120" s="22" t="n"/>
      <c r="W120" s="4" t="n"/>
    </row>
    <row r="121">
      <c r="A121" s="22" t="n"/>
      <c r="B121" s="22" t="n"/>
      <c r="C121" s="22" t="n"/>
      <c r="D121" s="22">
        <f>IF(A121="","",IF(OR(N(B121)&gt;=$C$2,N(C121)&gt;=$E$2),"High",IF(OR(N(B121)&gt;0,N(C121)&gt;0),"Medium","Low")))</f>
        <v/>
      </c>
      <c r="E121" s="22" t="n"/>
      <c r="F121" s="22" t="n"/>
      <c r="G121" s="22" t="n"/>
      <c r="H121" s="22" t="n"/>
      <c r="I121" s="22" t="n"/>
      <c r="J121" s="22" t="n"/>
      <c r="K121" s="22" t="n"/>
      <c r="L121" s="22" t="n"/>
      <c r="M121" s="22">
        <f>IF(K121="Override",L121,IF(K121="Accept suggestion",F121,IF(K121="No change (same URL)",A121,"")))</f>
        <v/>
      </c>
      <c r="N121" s="22">
        <f>IF(A121="","",IF(K121="410 Gone","410",IF(K121="404","404",IF(K121="No change (same URL)","none",IF(M121="","","301")))))</f>
        <v/>
      </c>
      <c r="O121" s="22">
        <f>IF(A121="","",IFERROR(MID(A121,FIND("/",A121,FIND("//",A121)+2),2000),A121))</f>
        <v/>
      </c>
      <c r="P121" s="22">
        <f>IF(OR(O121="",N121="",N121="none",N121="404"),"",IF(N121="410","Redirect gone "&amp;O121,"Redirect "&amp;N121&amp;" "&amp;O121&amp;" "&amp;M121))</f>
        <v/>
      </c>
      <c r="Q121" s="22" t="n"/>
      <c r="R121" s="22" t="n"/>
      <c r="S121" s="22" t="n"/>
      <c r="T121" s="4">
        <f>IF(A121="","",TRIM(IF(K121="","Needs decision; ","")&amp;IF(AND(K121="Accept suggestion",F121=""),"No suggestion to accept; ","")&amp;IF(AND(K121="Override",L121=""),"Override URL missing; ","")&amp;IF(AND(K121="Accept suggestion",N(G121)&lt;$G$2),"Below your threshold; ","")&amp;IF(AND(M121&lt;&gt;"",M121=A121,K121&lt;&gt;"No change (same URL)"),"Redirects to itself; ","")&amp;IF(AND(M121&lt;&gt;"",OR(M121="/",AND(LEFT(M121,4)="http",OR((LEN(M121)-LEN(SUBSTITUTE(M121,"/","")))=2,AND((LEN(M121)-LEN(SUBSTITUTE(M121,"/","")))=3,RIGHT(M121,1)="/"))))),"Home page redirect; ","")&amp;IF(N(R121)&gt;1,"Chain; ","")&amp;IF(S121="No","Destination not 200; ","")))</f>
        <v/>
      </c>
      <c r="U121" s="22" t="n"/>
      <c r="V121" s="22" t="n"/>
      <c r="W121" s="4" t="n"/>
    </row>
    <row r="122">
      <c r="A122" s="22" t="n"/>
      <c r="B122" s="22" t="n"/>
      <c r="C122" s="22" t="n"/>
      <c r="D122" s="22">
        <f>IF(A122="","",IF(OR(N(B122)&gt;=$C$2,N(C122)&gt;=$E$2),"High",IF(OR(N(B122)&gt;0,N(C122)&gt;0),"Medium","Low")))</f>
        <v/>
      </c>
      <c r="E122" s="22" t="n"/>
      <c r="F122" s="22" t="n"/>
      <c r="G122" s="22" t="n"/>
      <c r="H122" s="22" t="n"/>
      <c r="I122" s="22" t="n"/>
      <c r="J122" s="22" t="n"/>
      <c r="K122" s="22" t="n"/>
      <c r="L122" s="22" t="n"/>
      <c r="M122" s="22">
        <f>IF(K122="Override",L122,IF(K122="Accept suggestion",F122,IF(K122="No change (same URL)",A122,"")))</f>
        <v/>
      </c>
      <c r="N122" s="22">
        <f>IF(A122="","",IF(K122="410 Gone","410",IF(K122="404","404",IF(K122="No change (same URL)","none",IF(M122="","","301")))))</f>
        <v/>
      </c>
      <c r="O122" s="22">
        <f>IF(A122="","",IFERROR(MID(A122,FIND("/",A122,FIND("//",A122)+2),2000),A122))</f>
        <v/>
      </c>
      <c r="P122" s="22">
        <f>IF(OR(O122="",N122="",N122="none",N122="404"),"",IF(N122="410","Redirect gone "&amp;O122,"Redirect "&amp;N122&amp;" "&amp;O122&amp;" "&amp;M122))</f>
        <v/>
      </c>
      <c r="Q122" s="22" t="n"/>
      <c r="R122" s="22" t="n"/>
      <c r="S122" s="22" t="n"/>
      <c r="T122" s="4">
        <f>IF(A122="","",TRIM(IF(K122="","Needs decision; ","")&amp;IF(AND(K122="Accept suggestion",F122=""),"No suggestion to accept; ","")&amp;IF(AND(K122="Override",L122=""),"Override URL missing; ","")&amp;IF(AND(K122="Accept suggestion",N(G122)&lt;$G$2),"Below your threshold; ","")&amp;IF(AND(M122&lt;&gt;"",M122=A122,K122&lt;&gt;"No change (same URL)"),"Redirects to itself; ","")&amp;IF(AND(M122&lt;&gt;"",OR(M122="/",AND(LEFT(M122,4)="http",OR((LEN(M122)-LEN(SUBSTITUTE(M122,"/","")))=2,AND((LEN(M122)-LEN(SUBSTITUTE(M122,"/","")))=3,RIGHT(M122,1)="/"))))),"Home page redirect; ","")&amp;IF(N(R122)&gt;1,"Chain; ","")&amp;IF(S122="No","Destination not 200; ","")))</f>
        <v/>
      </c>
      <c r="U122" s="22" t="n"/>
      <c r="V122" s="22" t="n"/>
      <c r="W122" s="4" t="n"/>
    </row>
    <row r="123">
      <c r="A123" s="22" t="n"/>
      <c r="B123" s="22" t="n"/>
      <c r="C123" s="22" t="n"/>
      <c r="D123" s="22">
        <f>IF(A123="","",IF(OR(N(B123)&gt;=$C$2,N(C123)&gt;=$E$2),"High",IF(OR(N(B123)&gt;0,N(C123)&gt;0),"Medium","Low")))</f>
        <v/>
      </c>
      <c r="E123" s="22" t="n"/>
      <c r="F123" s="22" t="n"/>
      <c r="G123" s="22" t="n"/>
      <c r="H123" s="22" t="n"/>
      <c r="I123" s="22" t="n"/>
      <c r="J123" s="22" t="n"/>
      <c r="K123" s="22" t="n"/>
      <c r="L123" s="22" t="n"/>
      <c r="M123" s="22">
        <f>IF(K123="Override",L123,IF(K123="Accept suggestion",F123,IF(K123="No change (same URL)",A123,"")))</f>
        <v/>
      </c>
      <c r="N123" s="22">
        <f>IF(A123="","",IF(K123="410 Gone","410",IF(K123="404","404",IF(K123="No change (same URL)","none",IF(M123="","","301")))))</f>
        <v/>
      </c>
      <c r="O123" s="22">
        <f>IF(A123="","",IFERROR(MID(A123,FIND("/",A123,FIND("//",A123)+2),2000),A123))</f>
        <v/>
      </c>
      <c r="P123" s="22">
        <f>IF(OR(O123="",N123="",N123="none",N123="404"),"",IF(N123="410","Redirect gone "&amp;O123,"Redirect "&amp;N123&amp;" "&amp;O123&amp;" "&amp;M123))</f>
        <v/>
      </c>
      <c r="Q123" s="22" t="n"/>
      <c r="R123" s="22" t="n"/>
      <c r="S123" s="22" t="n"/>
      <c r="T123" s="4">
        <f>IF(A123="","",TRIM(IF(K123="","Needs decision; ","")&amp;IF(AND(K123="Accept suggestion",F123=""),"No suggestion to accept; ","")&amp;IF(AND(K123="Override",L123=""),"Override URL missing; ","")&amp;IF(AND(K123="Accept suggestion",N(G123)&lt;$G$2),"Below your threshold; ","")&amp;IF(AND(M123&lt;&gt;"",M123=A123,K123&lt;&gt;"No change (same URL)"),"Redirects to itself; ","")&amp;IF(AND(M123&lt;&gt;"",OR(M123="/",AND(LEFT(M123,4)="http",OR((LEN(M123)-LEN(SUBSTITUTE(M123,"/","")))=2,AND((LEN(M123)-LEN(SUBSTITUTE(M123,"/","")))=3,RIGHT(M123,1)="/"))))),"Home page redirect; ","")&amp;IF(N(R123)&gt;1,"Chain; ","")&amp;IF(S123="No","Destination not 200; ","")))</f>
        <v/>
      </c>
      <c r="U123" s="22" t="n"/>
      <c r="V123" s="22" t="n"/>
      <c r="W123" s="4" t="n"/>
    </row>
    <row r="124">
      <c r="A124" s="22" t="n"/>
      <c r="B124" s="22" t="n"/>
      <c r="C124" s="22" t="n"/>
      <c r="D124" s="22">
        <f>IF(A124="","",IF(OR(N(B124)&gt;=$C$2,N(C124)&gt;=$E$2),"High",IF(OR(N(B124)&gt;0,N(C124)&gt;0),"Medium","Low")))</f>
        <v/>
      </c>
      <c r="E124" s="22" t="n"/>
      <c r="F124" s="22" t="n"/>
      <c r="G124" s="22" t="n"/>
      <c r="H124" s="22" t="n"/>
      <c r="I124" s="22" t="n"/>
      <c r="J124" s="22" t="n"/>
      <c r="K124" s="22" t="n"/>
      <c r="L124" s="22" t="n"/>
      <c r="M124" s="22">
        <f>IF(K124="Override",L124,IF(K124="Accept suggestion",F124,IF(K124="No change (same URL)",A124,"")))</f>
        <v/>
      </c>
      <c r="N124" s="22">
        <f>IF(A124="","",IF(K124="410 Gone","410",IF(K124="404","404",IF(K124="No change (same URL)","none",IF(M124="","","301")))))</f>
        <v/>
      </c>
      <c r="O124" s="22">
        <f>IF(A124="","",IFERROR(MID(A124,FIND("/",A124,FIND("//",A124)+2),2000),A124))</f>
        <v/>
      </c>
      <c r="P124" s="22">
        <f>IF(OR(O124="",N124="",N124="none",N124="404"),"",IF(N124="410","Redirect gone "&amp;O124,"Redirect "&amp;N124&amp;" "&amp;O124&amp;" "&amp;M124))</f>
        <v/>
      </c>
      <c r="Q124" s="22" t="n"/>
      <c r="R124" s="22" t="n"/>
      <c r="S124" s="22" t="n"/>
      <c r="T124" s="4">
        <f>IF(A124="","",TRIM(IF(K124="","Needs decision; ","")&amp;IF(AND(K124="Accept suggestion",F124=""),"No suggestion to accept; ","")&amp;IF(AND(K124="Override",L124=""),"Override URL missing; ","")&amp;IF(AND(K124="Accept suggestion",N(G124)&lt;$G$2),"Below your threshold; ","")&amp;IF(AND(M124&lt;&gt;"",M124=A124,K124&lt;&gt;"No change (same URL)"),"Redirects to itself; ","")&amp;IF(AND(M124&lt;&gt;"",OR(M124="/",AND(LEFT(M124,4)="http",OR((LEN(M124)-LEN(SUBSTITUTE(M124,"/","")))=2,AND((LEN(M124)-LEN(SUBSTITUTE(M124,"/","")))=3,RIGHT(M124,1)="/"))))),"Home page redirect; ","")&amp;IF(N(R124)&gt;1,"Chain; ","")&amp;IF(S124="No","Destination not 200; ","")))</f>
        <v/>
      </c>
      <c r="U124" s="22" t="n"/>
      <c r="V124" s="22" t="n"/>
      <c r="W124" s="4" t="n"/>
    </row>
    <row r="125">
      <c r="A125" s="22" t="n"/>
      <c r="B125" s="22" t="n"/>
      <c r="C125" s="22" t="n"/>
      <c r="D125" s="22">
        <f>IF(A125="","",IF(OR(N(B125)&gt;=$C$2,N(C125)&gt;=$E$2),"High",IF(OR(N(B125)&gt;0,N(C125)&gt;0),"Medium","Low")))</f>
        <v/>
      </c>
      <c r="E125" s="22" t="n"/>
      <c r="F125" s="22" t="n"/>
      <c r="G125" s="22" t="n"/>
      <c r="H125" s="22" t="n"/>
      <c r="I125" s="22" t="n"/>
      <c r="J125" s="22" t="n"/>
      <c r="K125" s="22" t="n"/>
      <c r="L125" s="22" t="n"/>
      <c r="M125" s="22">
        <f>IF(K125="Override",L125,IF(K125="Accept suggestion",F125,IF(K125="No change (same URL)",A125,"")))</f>
        <v/>
      </c>
      <c r="N125" s="22">
        <f>IF(A125="","",IF(K125="410 Gone","410",IF(K125="404","404",IF(K125="No change (same URL)","none",IF(M125="","","301")))))</f>
        <v/>
      </c>
      <c r="O125" s="22">
        <f>IF(A125="","",IFERROR(MID(A125,FIND("/",A125,FIND("//",A125)+2),2000),A125))</f>
        <v/>
      </c>
      <c r="P125" s="22">
        <f>IF(OR(O125="",N125="",N125="none",N125="404"),"",IF(N125="410","Redirect gone "&amp;O125,"Redirect "&amp;N125&amp;" "&amp;O125&amp;" "&amp;M125))</f>
        <v/>
      </c>
      <c r="Q125" s="22" t="n"/>
      <c r="R125" s="22" t="n"/>
      <c r="S125" s="22" t="n"/>
      <c r="T125" s="4">
        <f>IF(A125="","",TRIM(IF(K125="","Needs decision; ","")&amp;IF(AND(K125="Accept suggestion",F125=""),"No suggestion to accept; ","")&amp;IF(AND(K125="Override",L125=""),"Override URL missing; ","")&amp;IF(AND(K125="Accept suggestion",N(G125)&lt;$G$2),"Below your threshold; ","")&amp;IF(AND(M125&lt;&gt;"",M125=A125,K125&lt;&gt;"No change (same URL)"),"Redirects to itself; ","")&amp;IF(AND(M125&lt;&gt;"",OR(M125="/",AND(LEFT(M125,4)="http",OR((LEN(M125)-LEN(SUBSTITUTE(M125,"/","")))=2,AND((LEN(M125)-LEN(SUBSTITUTE(M125,"/","")))=3,RIGHT(M125,1)="/"))))),"Home page redirect; ","")&amp;IF(N(R125)&gt;1,"Chain; ","")&amp;IF(S125="No","Destination not 200; ","")))</f>
        <v/>
      </c>
      <c r="U125" s="22" t="n"/>
      <c r="V125" s="22" t="n"/>
      <c r="W125" s="4" t="n"/>
    </row>
    <row r="126">
      <c r="A126" s="22" t="n"/>
      <c r="B126" s="22" t="n"/>
      <c r="C126" s="22" t="n"/>
      <c r="D126" s="22">
        <f>IF(A126="","",IF(OR(N(B126)&gt;=$C$2,N(C126)&gt;=$E$2),"High",IF(OR(N(B126)&gt;0,N(C126)&gt;0),"Medium","Low")))</f>
        <v/>
      </c>
      <c r="E126" s="22" t="n"/>
      <c r="F126" s="22" t="n"/>
      <c r="G126" s="22" t="n"/>
      <c r="H126" s="22" t="n"/>
      <c r="I126" s="22" t="n"/>
      <c r="J126" s="22" t="n"/>
      <c r="K126" s="22" t="n"/>
      <c r="L126" s="22" t="n"/>
      <c r="M126" s="22">
        <f>IF(K126="Override",L126,IF(K126="Accept suggestion",F126,IF(K126="No change (same URL)",A126,"")))</f>
        <v/>
      </c>
      <c r="N126" s="22">
        <f>IF(A126="","",IF(K126="410 Gone","410",IF(K126="404","404",IF(K126="No change (same URL)","none",IF(M126="","","301")))))</f>
        <v/>
      </c>
      <c r="O126" s="22">
        <f>IF(A126="","",IFERROR(MID(A126,FIND("/",A126,FIND("//",A126)+2),2000),A126))</f>
        <v/>
      </c>
      <c r="P126" s="22">
        <f>IF(OR(O126="",N126="",N126="none",N126="404"),"",IF(N126="410","Redirect gone "&amp;O126,"Redirect "&amp;N126&amp;" "&amp;O126&amp;" "&amp;M126))</f>
        <v/>
      </c>
      <c r="Q126" s="22" t="n"/>
      <c r="R126" s="22" t="n"/>
      <c r="S126" s="22" t="n"/>
      <c r="T126" s="4">
        <f>IF(A126="","",TRIM(IF(K126="","Needs decision; ","")&amp;IF(AND(K126="Accept suggestion",F126=""),"No suggestion to accept; ","")&amp;IF(AND(K126="Override",L126=""),"Override URL missing; ","")&amp;IF(AND(K126="Accept suggestion",N(G126)&lt;$G$2),"Below your threshold; ","")&amp;IF(AND(M126&lt;&gt;"",M126=A126,K126&lt;&gt;"No change (same URL)"),"Redirects to itself; ","")&amp;IF(AND(M126&lt;&gt;"",OR(M126="/",AND(LEFT(M126,4)="http",OR((LEN(M126)-LEN(SUBSTITUTE(M126,"/","")))=2,AND((LEN(M126)-LEN(SUBSTITUTE(M126,"/","")))=3,RIGHT(M126,1)="/"))))),"Home page redirect; ","")&amp;IF(N(R126)&gt;1,"Chain; ","")&amp;IF(S126="No","Destination not 200; ","")))</f>
        <v/>
      </c>
      <c r="U126" s="22" t="n"/>
      <c r="V126" s="22" t="n"/>
      <c r="W126" s="4" t="n"/>
    </row>
    <row r="127">
      <c r="A127" s="22" t="n"/>
      <c r="B127" s="22" t="n"/>
      <c r="C127" s="22" t="n"/>
      <c r="D127" s="22">
        <f>IF(A127="","",IF(OR(N(B127)&gt;=$C$2,N(C127)&gt;=$E$2),"High",IF(OR(N(B127)&gt;0,N(C127)&gt;0),"Medium","Low")))</f>
        <v/>
      </c>
      <c r="E127" s="22" t="n"/>
      <c r="F127" s="22" t="n"/>
      <c r="G127" s="22" t="n"/>
      <c r="H127" s="22" t="n"/>
      <c r="I127" s="22" t="n"/>
      <c r="J127" s="22" t="n"/>
      <c r="K127" s="22" t="n"/>
      <c r="L127" s="22" t="n"/>
      <c r="M127" s="22">
        <f>IF(K127="Override",L127,IF(K127="Accept suggestion",F127,IF(K127="No change (same URL)",A127,"")))</f>
        <v/>
      </c>
      <c r="N127" s="22">
        <f>IF(A127="","",IF(K127="410 Gone","410",IF(K127="404","404",IF(K127="No change (same URL)","none",IF(M127="","","301")))))</f>
        <v/>
      </c>
      <c r="O127" s="22">
        <f>IF(A127="","",IFERROR(MID(A127,FIND("/",A127,FIND("//",A127)+2),2000),A127))</f>
        <v/>
      </c>
      <c r="P127" s="22">
        <f>IF(OR(O127="",N127="",N127="none",N127="404"),"",IF(N127="410","Redirect gone "&amp;O127,"Redirect "&amp;N127&amp;" "&amp;O127&amp;" "&amp;M127))</f>
        <v/>
      </c>
      <c r="Q127" s="22" t="n"/>
      <c r="R127" s="22" t="n"/>
      <c r="S127" s="22" t="n"/>
      <c r="T127" s="4">
        <f>IF(A127="","",TRIM(IF(K127="","Needs decision; ","")&amp;IF(AND(K127="Accept suggestion",F127=""),"No suggestion to accept; ","")&amp;IF(AND(K127="Override",L127=""),"Override URL missing; ","")&amp;IF(AND(K127="Accept suggestion",N(G127)&lt;$G$2),"Below your threshold; ","")&amp;IF(AND(M127&lt;&gt;"",M127=A127,K127&lt;&gt;"No change (same URL)"),"Redirects to itself; ","")&amp;IF(AND(M127&lt;&gt;"",OR(M127="/",AND(LEFT(M127,4)="http",OR((LEN(M127)-LEN(SUBSTITUTE(M127,"/","")))=2,AND((LEN(M127)-LEN(SUBSTITUTE(M127,"/","")))=3,RIGHT(M127,1)="/"))))),"Home page redirect; ","")&amp;IF(N(R127)&gt;1,"Chain; ","")&amp;IF(S127="No","Destination not 200; ","")))</f>
        <v/>
      </c>
      <c r="U127" s="22" t="n"/>
      <c r="V127" s="22" t="n"/>
      <c r="W127" s="4" t="n"/>
    </row>
    <row r="128">
      <c r="A128" s="22" t="n"/>
      <c r="B128" s="22" t="n"/>
      <c r="C128" s="22" t="n"/>
      <c r="D128" s="22">
        <f>IF(A128="","",IF(OR(N(B128)&gt;=$C$2,N(C128)&gt;=$E$2),"High",IF(OR(N(B128)&gt;0,N(C128)&gt;0),"Medium","Low")))</f>
        <v/>
      </c>
      <c r="E128" s="22" t="n"/>
      <c r="F128" s="22" t="n"/>
      <c r="G128" s="22" t="n"/>
      <c r="H128" s="22" t="n"/>
      <c r="I128" s="22" t="n"/>
      <c r="J128" s="22" t="n"/>
      <c r="K128" s="22" t="n"/>
      <c r="L128" s="22" t="n"/>
      <c r="M128" s="22">
        <f>IF(K128="Override",L128,IF(K128="Accept suggestion",F128,IF(K128="No change (same URL)",A128,"")))</f>
        <v/>
      </c>
      <c r="N128" s="22">
        <f>IF(A128="","",IF(K128="410 Gone","410",IF(K128="404","404",IF(K128="No change (same URL)","none",IF(M128="","","301")))))</f>
        <v/>
      </c>
      <c r="O128" s="22">
        <f>IF(A128="","",IFERROR(MID(A128,FIND("/",A128,FIND("//",A128)+2),2000),A128))</f>
        <v/>
      </c>
      <c r="P128" s="22">
        <f>IF(OR(O128="",N128="",N128="none",N128="404"),"",IF(N128="410","Redirect gone "&amp;O128,"Redirect "&amp;N128&amp;" "&amp;O128&amp;" "&amp;M128))</f>
        <v/>
      </c>
      <c r="Q128" s="22" t="n"/>
      <c r="R128" s="22" t="n"/>
      <c r="S128" s="22" t="n"/>
      <c r="T128" s="4">
        <f>IF(A128="","",TRIM(IF(K128="","Needs decision; ","")&amp;IF(AND(K128="Accept suggestion",F128=""),"No suggestion to accept; ","")&amp;IF(AND(K128="Override",L128=""),"Override URL missing; ","")&amp;IF(AND(K128="Accept suggestion",N(G128)&lt;$G$2),"Below your threshold; ","")&amp;IF(AND(M128&lt;&gt;"",M128=A128,K128&lt;&gt;"No change (same URL)"),"Redirects to itself; ","")&amp;IF(AND(M128&lt;&gt;"",OR(M128="/",AND(LEFT(M128,4)="http",OR((LEN(M128)-LEN(SUBSTITUTE(M128,"/","")))=2,AND((LEN(M128)-LEN(SUBSTITUTE(M128,"/","")))=3,RIGHT(M128,1)="/"))))),"Home page redirect; ","")&amp;IF(N(R128)&gt;1,"Chain; ","")&amp;IF(S128="No","Destination not 200; ","")))</f>
        <v/>
      </c>
      <c r="U128" s="22" t="n"/>
      <c r="V128" s="22" t="n"/>
      <c r="W128" s="4" t="n"/>
    </row>
    <row r="129">
      <c r="A129" s="22" t="n"/>
      <c r="B129" s="22" t="n"/>
      <c r="C129" s="22" t="n"/>
      <c r="D129" s="22">
        <f>IF(A129="","",IF(OR(N(B129)&gt;=$C$2,N(C129)&gt;=$E$2),"High",IF(OR(N(B129)&gt;0,N(C129)&gt;0),"Medium","Low")))</f>
        <v/>
      </c>
      <c r="E129" s="22" t="n"/>
      <c r="F129" s="22" t="n"/>
      <c r="G129" s="22" t="n"/>
      <c r="H129" s="22" t="n"/>
      <c r="I129" s="22" t="n"/>
      <c r="J129" s="22" t="n"/>
      <c r="K129" s="22" t="n"/>
      <c r="L129" s="22" t="n"/>
      <c r="M129" s="22">
        <f>IF(K129="Override",L129,IF(K129="Accept suggestion",F129,IF(K129="No change (same URL)",A129,"")))</f>
        <v/>
      </c>
      <c r="N129" s="22">
        <f>IF(A129="","",IF(K129="410 Gone","410",IF(K129="404","404",IF(K129="No change (same URL)","none",IF(M129="","","301")))))</f>
        <v/>
      </c>
      <c r="O129" s="22">
        <f>IF(A129="","",IFERROR(MID(A129,FIND("/",A129,FIND("//",A129)+2),2000),A129))</f>
        <v/>
      </c>
      <c r="P129" s="22">
        <f>IF(OR(O129="",N129="",N129="none",N129="404"),"",IF(N129="410","Redirect gone "&amp;O129,"Redirect "&amp;N129&amp;" "&amp;O129&amp;" "&amp;M129))</f>
        <v/>
      </c>
      <c r="Q129" s="22" t="n"/>
      <c r="R129" s="22" t="n"/>
      <c r="S129" s="22" t="n"/>
      <c r="T129" s="4">
        <f>IF(A129="","",TRIM(IF(K129="","Needs decision; ","")&amp;IF(AND(K129="Accept suggestion",F129=""),"No suggestion to accept; ","")&amp;IF(AND(K129="Override",L129=""),"Override URL missing; ","")&amp;IF(AND(K129="Accept suggestion",N(G129)&lt;$G$2),"Below your threshold; ","")&amp;IF(AND(M129&lt;&gt;"",M129=A129,K129&lt;&gt;"No change (same URL)"),"Redirects to itself; ","")&amp;IF(AND(M129&lt;&gt;"",OR(M129="/",AND(LEFT(M129,4)="http",OR((LEN(M129)-LEN(SUBSTITUTE(M129,"/","")))=2,AND((LEN(M129)-LEN(SUBSTITUTE(M129,"/","")))=3,RIGHT(M129,1)="/"))))),"Home page redirect; ","")&amp;IF(N(R129)&gt;1,"Chain; ","")&amp;IF(S129="No","Destination not 200; ","")))</f>
        <v/>
      </c>
      <c r="U129" s="22" t="n"/>
      <c r="V129" s="22" t="n"/>
      <c r="W129" s="4" t="n"/>
    </row>
    <row r="130">
      <c r="A130" s="22" t="n"/>
      <c r="B130" s="22" t="n"/>
      <c r="C130" s="22" t="n"/>
      <c r="D130" s="22">
        <f>IF(A130="","",IF(OR(N(B130)&gt;=$C$2,N(C130)&gt;=$E$2),"High",IF(OR(N(B130)&gt;0,N(C130)&gt;0),"Medium","Low")))</f>
        <v/>
      </c>
      <c r="E130" s="22" t="n"/>
      <c r="F130" s="22" t="n"/>
      <c r="G130" s="22" t="n"/>
      <c r="H130" s="22" t="n"/>
      <c r="I130" s="22" t="n"/>
      <c r="J130" s="22" t="n"/>
      <c r="K130" s="22" t="n"/>
      <c r="L130" s="22" t="n"/>
      <c r="M130" s="22">
        <f>IF(K130="Override",L130,IF(K130="Accept suggestion",F130,IF(K130="No change (same URL)",A130,"")))</f>
        <v/>
      </c>
      <c r="N130" s="22">
        <f>IF(A130="","",IF(K130="410 Gone","410",IF(K130="404","404",IF(K130="No change (same URL)","none",IF(M130="","","301")))))</f>
        <v/>
      </c>
      <c r="O130" s="22">
        <f>IF(A130="","",IFERROR(MID(A130,FIND("/",A130,FIND("//",A130)+2),2000),A130))</f>
        <v/>
      </c>
      <c r="P130" s="22">
        <f>IF(OR(O130="",N130="",N130="none",N130="404"),"",IF(N130="410","Redirect gone "&amp;O130,"Redirect "&amp;N130&amp;" "&amp;O130&amp;" "&amp;M130))</f>
        <v/>
      </c>
      <c r="Q130" s="22" t="n"/>
      <c r="R130" s="22" t="n"/>
      <c r="S130" s="22" t="n"/>
      <c r="T130" s="4">
        <f>IF(A130="","",TRIM(IF(K130="","Needs decision; ","")&amp;IF(AND(K130="Accept suggestion",F130=""),"No suggestion to accept; ","")&amp;IF(AND(K130="Override",L130=""),"Override URL missing; ","")&amp;IF(AND(K130="Accept suggestion",N(G130)&lt;$G$2),"Below your threshold; ","")&amp;IF(AND(M130&lt;&gt;"",M130=A130,K130&lt;&gt;"No change (same URL)"),"Redirects to itself; ","")&amp;IF(AND(M130&lt;&gt;"",OR(M130="/",AND(LEFT(M130,4)="http",OR((LEN(M130)-LEN(SUBSTITUTE(M130,"/","")))=2,AND((LEN(M130)-LEN(SUBSTITUTE(M130,"/","")))=3,RIGHT(M130,1)="/"))))),"Home page redirect; ","")&amp;IF(N(R130)&gt;1,"Chain; ","")&amp;IF(S130="No","Destination not 200; ","")))</f>
        <v/>
      </c>
      <c r="U130" s="22" t="n"/>
      <c r="V130" s="22" t="n"/>
      <c r="W130" s="4" t="n"/>
    </row>
    <row r="131">
      <c r="A131" s="22" t="n"/>
      <c r="B131" s="22" t="n"/>
      <c r="C131" s="22" t="n"/>
      <c r="D131" s="22">
        <f>IF(A131="","",IF(OR(N(B131)&gt;=$C$2,N(C131)&gt;=$E$2),"High",IF(OR(N(B131)&gt;0,N(C131)&gt;0),"Medium","Low")))</f>
        <v/>
      </c>
      <c r="E131" s="22" t="n"/>
      <c r="F131" s="22" t="n"/>
      <c r="G131" s="22" t="n"/>
      <c r="H131" s="22" t="n"/>
      <c r="I131" s="22" t="n"/>
      <c r="J131" s="22" t="n"/>
      <c r="K131" s="22" t="n"/>
      <c r="L131" s="22" t="n"/>
      <c r="M131" s="22">
        <f>IF(K131="Override",L131,IF(K131="Accept suggestion",F131,IF(K131="No change (same URL)",A131,"")))</f>
        <v/>
      </c>
      <c r="N131" s="22">
        <f>IF(A131="","",IF(K131="410 Gone","410",IF(K131="404","404",IF(K131="No change (same URL)","none",IF(M131="","","301")))))</f>
        <v/>
      </c>
      <c r="O131" s="22">
        <f>IF(A131="","",IFERROR(MID(A131,FIND("/",A131,FIND("//",A131)+2),2000),A131))</f>
        <v/>
      </c>
      <c r="P131" s="22">
        <f>IF(OR(O131="",N131="",N131="none",N131="404"),"",IF(N131="410","Redirect gone "&amp;O131,"Redirect "&amp;N131&amp;" "&amp;O131&amp;" "&amp;M131))</f>
        <v/>
      </c>
      <c r="Q131" s="22" t="n"/>
      <c r="R131" s="22" t="n"/>
      <c r="S131" s="22" t="n"/>
      <c r="T131" s="4">
        <f>IF(A131="","",TRIM(IF(K131="","Needs decision; ","")&amp;IF(AND(K131="Accept suggestion",F131=""),"No suggestion to accept; ","")&amp;IF(AND(K131="Override",L131=""),"Override URL missing; ","")&amp;IF(AND(K131="Accept suggestion",N(G131)&lt;$G$2),"Below your threshold; ","")&amp;IF(AND(M131&lt;&gt;"",M131=A131,K131&lt;&gt;"No change (same URL)"),"Redirects to itself; ","")&amp;IF(AND(M131&lt;&gt;"",OR(M131="/",AND(LEFT(M131,4)="http",OR((LEN(M131)-LEN(SUBSTITUTE(M131,"/","")))=2,AND((LEN(M131)-LEN(SUBSTITUTE(M131,"/","")))=3,RIGHT(M131,1)="/"))))),"Home page redirect; ","")&amp;IF(N(R131)&gt;1,"Chain; ","")&amp;IF(S131="No","Destination not 200; ","")))</f>
        <v/>
      </c>
      <c r="U131" s="22" t="n"/>
      <c r="V131" s="22" t="n"/>
      <c r="W131" s="4" t="n"/>
    </row>
    <row r="132">
      <c r="A132" s="22" t="n"/>
      <c r="B132" s="22" t="n"/>
      <c r="C132" s="22" t="n"/>
      <c r="D132" s="22">
        <f>IF(A132="","",IF(OR(N(B132)&gt;=$C$2,N(C132)&gt;=$E$2),"High",IF(OR(N(B132)&gt;0,N(C132)&gt;0),"Medium","Low")))</f>
        <v/>
      </c>
      <c r="E132" s="22" t="n"/>
      <c r="F132" s="22" t="n"/>
      <c r="G132" s="22" t="n"/>
      <c r="H132" s="22" t="n"/>
      <c r="I132" s="22" t="n"/>
      <c r="J132" s="22" t="n"/>
      <c r="K132" s="22" t="n"/>
      <c r="L132" s="22" t="n"/>
      <c r="M132" s="22">
        <f>IF(K132="Override",L132,IF(K132="Accept suggestion",F132,IF(K132="No change (same URL)",A132,"")))</f>
        <v/>
      </c>
      <c r="N132" s="22">
        <f>IF(A132="","",IF(K132="410 Gone","410",IF(K132="404","404",IF(K132="No change (same URL)","none",IF(M132="","","301")))))</f>
        <v/>
      </c>
      <c r="O132" s="22">
        <f>IF(A132="","",IFERROR(MID(A132,FIND("/",A132,FIND("//",A132)+2),2000),A132))</f>
        <v/>
      </c>
      <c r="P132" s="22">
        <f>IF(OR(O132="",N132="",N132="none",N132="404"),"",IF(N132="410","Redirect gone "&amp;O132,"Redirect "&amp;N132&amp;" "&amp;O132&amp;" "&amp;M132))</f>
        <v/>
      </c>
      <c r="Q132" s="22" t="n"/>
      <c r="R132" s="22" t="n"/>
      <c r="S132" s="22" t="n"/>
      <c r="T132" s="4">
        <f>IF(A132="","",TRIM(IF(K132="","Needs decision; ","")&amp;IF(AND(K132="Accept suggestion",F132=""),"No suggestion to accept; ","")&amp;IF(AND(K132="Override",L132=""),"Override URL missing; ","")&amp;IF(AND(K132="Accept suggestion",N(G132)&lt;$G$2),"Below your threshold; ","")&amp;IF(AND(M132&lt;&gt;"",M132=A132,K132&lt;&gt;"No change (same URL)"),"Redirects to itself; ","")&amp;IF(AND(M132&lt;&gt;"",OR(M132="/",AND(LEFT(M132,4)="http",OR((LEN(M132)-LEN(SUBSTITUTE(M132,"/","")))=2,AND((LEN(M132)-LEN(SUBSTITUTE(M132,"/","")))=3,RIGHT(M132,1)="/"))))),"Home page redirect; ","")&amp;IF(N(R132)&gt;1,"Chain; ","")&amp;IF(S132="No","Destination not 200; ","")))</f>
        <v/>
      </c>
      <c r="U132" s="22" t="n"/>
      <c r="V132" s="22" t="n"/>
      <c r="W132" s="4" t="n"/>
    </row>
    <row r="133">
      <c r="A133" s="22" t="n"/>
      <c r="B133" s="22" t="n"/>
      <c r="C133" s="22" t="n"/>
      <c r="D133" s="22">
        <f>IF(A133="","",IF(OR(N(B133)&gt;=$C$2,N(C133)&gt;=$E$2),"High",IF(OR(N(B133)&gt;0,N(C133)&gt;0),"Medium","Low")))</f>
        <v/>
      </c>
      <c r="E133" s="22" t="n"/>
      <c r="F133" s="22" t="n"/>
      <c r="G133" s="22" t="n"/>
      <c r="H133" s="22" t="n"/>
      <c r="I133" s="22" t="n"/>
      <c r="J133" s="22" t="n"/>
      <c r="K133" s="22" t="n"/>
      <c r="L133" s="22" t="n"/>
      <c r="M133" s="22">
        <f>IF(K133="Override",L133,IF(K133="Accept suggestion",F133,IF(K133="No change (same URL)",A133,"")))</f>
        <v/>
      </c>
      <c r="N133" s="22">
        <f>IF(A133="","",IF(K133="410 Gone","410",IF(K133="404","404",IF(K133="No change (same URL)","none",IF(M133="","","301")))))</f>
        <v/>
      </c>
      <c r="O133" s="22">
        <f>IF(A133="","",IFERROR(MID(A133,FIND("/",A133,FIND("//",A133)+2),2000),A133))</f>
        <v/>
      </c>
      <c r="P133" s="22">
        <f>IF(OR(O133="",N133="",N133="none",N133="404"),"",IF(N133="410","Redirect gone "&amp;O133,"Redirect "&amp;N133&amp;" "&amp;O133&amp;" "&amp;M133))</f>
        <v/>
      </c>
      <c r="Q133" s="22" t="n"/>
      <c r="R133" s="22" t="n"/>
      <c r="S133" s="22" t="n"/>
      <c r="T133" s="4">
        <f>IF(A133="","",TRIM(IF(K133="","Needs decision; ","")&amp;IF(AND(K133="Accept suggestion",F133=""),"No suggestion to accept; ","")&amp;IF(AND(K133="Override",L133=""),"Override URL missing; ","")&amp;IF(AND(K133="Accept suggestion",N(G133)&lt;$G$2),"Below your threshold; ","")&amp;IF(AND(M133&lt;&gt;"",M133=A133,K133&lt;&gt;"No change (same URL)"),"Redirects to itself; ","")&amp;IF(AND(M133&lt;&gt;"",OR(M133="/",AND(LEFT(M133,4)="http",OR((LEN(M133)-LEN(SUBSTITUTE(M133,"/","")))=2,AND((LEN(M133)-LEN(SUBSTITUTE(M133,"/","")))=3,RIGHT(M133,1)="/"))))),"Home page redirect; ","")&amp;IF(N(R133)&gt;1,"Chain; ","")&amp;IF(S133="No","Destination not 200; ","")))</f>
        <v/>
      </c>
      <c r="U133" s="22" t="n"/>
      <c r="V133" s="22" t="n"/>
      <c r="W133" s="4" t="n"/>
    </row>
    <row r="134">
      <c r="A134" s="22" t="n"/>
      <c r="B134" s="22" t="n"/>
      <c r="C134" s="22" t="n"/>
      <c r="D134" s="22">
        <f>IF(A134="","",IF(OR(N(B134)&gt;=$C$2,N(C134)&gt;=$E$2),"High",IF(OR(N(B134)&gt;0,N(C134)&gt;0),"Medium","Low")))</f>
        <v/>
      </c>
      <c r="E134" s="22" t="n"/>
      <c r="F134" s="22" t="n"/>
      <c r="G134" s="22" t="n"/>
      <c r="H134" s="22" t="n"/>
      <c r="I134" s="22" t="n"/>
      <c r="J134" s="22" t="n"/>
      <c r="K134" s="22" t="n"/>
      <c r="L134" s="22" t="n"/>
      <c r="M134" s="22">
        <f>IF(K134="Override",L134,IF(K134="Accept suggestion",F134,IF(K134="No change (same URL)",A134,"")))</f>
        <v/>
      </c>
      <c r="N134" s="22">
        <f>IF(A134="","",IF(K134="410 Gone","410",IF(K134="404","404",IF(K134="No change (same URL)","none",IF(M134="","","301")))))</f>
        <v/>
      </c>
      <c r="O134" s="22">
        <f>IF(A134="","",IFERROR(MID(A134,FIND("/",A134,FIND("//",A134)+2),2000),A134))</f>
        <v/>
      </c>
      <c r="P134" s="22">
        <f>IF(OR(O134="",N134="",N134="none",N134="404"),"",IF(N134="410","Redirect gone "&amp;O134,"Redirect "&amp;N134&amp;" "&amp;O134&amp;" "&amp;M134))</f>
        <v/>
      </c>
      <c r="Q134" s="22" t="n"/>
      <c r="R134" s="22" t="n"/>
      <c r="S134" s="22" t="n"/>
      <c r="T134" s="4">
        <f>IF(A134="","",TRIM(IF(K134="","Needs decision; ","")&amp;IF(AND(K134="Accept suggestion",F134=""),"No suggestion to accept; ","")&amp;IF(AND(K134="Override",L134=""),"Override URL missing; ","")&amp;IF(AND(K134="Accept suggestion",N(G134)&lt;$G$2),"Below your threshold; ","")&amp;IF(AND(M134&lt;&gt;"",M134=A134,K134&lt;&gt;"No change (same URL)"),"Redirects to itself; ","")&amp;IF(AND(M134&lt;&gt;"",OR(M134="/",AND(LEFT(M134,4)="http",OR((LEN(M134)-LEN(SUBSTITUTE(M134,"/","")))=2,AND((LEN(M134)-LEN(SUBSTITUTE(M134,"/","")))=3,RIGHT(M134,1)="/"))))),"Home page redirect; ","")&amp;IF(N(R134)&gt;1,"Chain; ","")&amp;IF(S134="No","Destination not 200; ","")))</f>
        <v/>
      </c>
      <c r="U134" s="22" t="n"/>
      <c r="V134" s="22" t="n"/>
      <c r="W134" s="4" t="n"/>
    </row>
    <row r="135">
      <c r="A135" s="22" t="n"/>
      <c r="B135" s="22" t="n"/>
      <c r="C135" s="22" t="n"/>
      <c r="D135" s="22">
        <f>IF(A135="","",IF(OR(N(B135)&gt;=$C$2,N(C135)&gt;=$E$2),"High",IF(OR(N(B135)&gt;0,N(C135)&gt;0),"Medium","Low")))</f>
        <v/>
      </c>
      <c r="E135" s="22" t="n"/>
      <c r="F135" s="22" t="n"/>
      <c r="G135" s="22" t="n"/>
      <c r="H135" s="22" t="n"/>
      <c r="I135" s="22" t="n"/>
      <c r="J135" s="22" t="n"/>
      <c r="K135" s="22" t="n"/>
      <c r="L135" s="22" t="n"/>
      <c r="M135" s="22">
        <f>IF(K135="Override",L135,IF(K135="Accept suggestion",F135,IF(K135="No change (same URL)",A135,"")))</f>
        <v/>
      </c>
      <c r="N135" s="22">
        <f>IF(A135="","",IF(K135="410 Gone","410",IF(K135="404","404",IF(K135="No change (same URL)","none",IF(M135="","","301")))))</f>
        <v/>
      </c>
      <c r="O135" s="22">
        <f>IF(A135="","",IFERROR(MID(A135,FIND("/",A135,FIND("//",A135)+2),2000),A135))</f>
        <v/>
      </c>
      <c r="P135" s="22">
        <f>IF(OR(O135="",N135="",N135="none",N135="404"),"",IF(N135="410","Redirect gone "&amp;O135,"Redirect "&amp;N135&amp;" "&amp;O135&amp;" "&amp;M135))</f>
        <v/>
      </c>
      <c r="Q135" s="22" t="n"/>
      <c r="R135" s="22" t="n"/>
      <c r="S135" s="22" t="n"/>
      <c r="T135" s="4">
        <f>IF(A135="","",TRIM(IF(K135="","Needs decision; ","")&amp;IF(AND(K135="Accept suggestion",F135=""),"No suggestion to accept; ","")&amp;IF(AND(K135="Override",L135=""),"Override URL missing; ","")&amp;IF(AND(K135="Accept suggestion",N(G135)&lt;$G$2),"Below your threshold; ","")&amp;IF(AND(M135&lt;&gt;"",M135=A135,K135&lt;&gt;"No change (same URL)"),"Redirects to itself; ","")&amp;IF(AND(M135&lt;&gt;"",OR(M135="/",AND(LEFT(M135,4)="http",OR((LEN(M135)-LEN(SUBSTITUTE(M135,"/","")))=2,AND((LEN(M135)-LEN(SUBSTITUTE(M135,"/","")))=3,RIGHT(M135,1)="/"))))),"Home page redirect; ","")&amp;IF(N(R135)&gt;1,"Chain; ","")&amp;IF(S135="No","Destination not 200; ","")))</f>
        <v/>
      </c>
      <c r="U135" s="22" t="n"/>
      <c r="V135" s="22" t="n"/>
      <c r="W135" s="4" t="n"/>
    </row>
    <row r="136">
      <c r="A136" s="22" t="n"/>
      <c r="B136" s="22" t="n"/>
      <c r="C136" s="22" t="n"/>
      <c r="D136" s="22">
        <f>IF(A136="","",IF(OR(N(B136)&gt;=$C$2,N(C136)&gt;=$E$2),"High",IF(OR(N(B136)&gt;0,N(C136)&gt;0),"Medium","Low")))</f>
        <v/>
      </c>
      <c r="E136" s="22" t="n"/>
      <c r="F136" s="22" t="n"/>
      <c r="G136" s="22" t="n"/>
      <c r="H136" s="22" t="n"/>
      <c r="I136" s="22" t="n"/>
      <c r="J136" s="22" t="n"/>
      <c r="K136" s="22" t="n"/>
      <c r="L136" s="22" t="n"/>
      <c r="M136" s="22">
        <f>IF(K136="Override",L136,IF(K136="Accept suggestion",F136,IF(K136="No change (same URL)",A136,"")))</f>
        <v/>
      </c>
      <c r="N136" s="22">
        <f>IF(A136="","",IF(K136="410 Gone","410",IF(K136="404","404",IF(K136="No change (same URL)","none",IF(M136="","","301")))))</f>
        <v/>
      </c>
      <c r="O136" s="22">
        <f>IF(A136="","",IFERROR(MID(A136,FIND("/",A136,FIND("//",A136)+2),2000),A136))</f>
        <v/>
      </c>
      <c r="P136" s="22">
        <f>IF(OR(O136="",N136="",N136="none",N136="404"),"",IF(N136="410","Redirect gone "&amp;O136,"Redirect "&amp;N136&amp;" "&amp;O136&amp;" "&amp;M136))</f>
        <v/>
      </c>
      <c r="Q136" s="22" t="n"/>
      <c r="R136" s="22" t="n"/>
      <c r="S136" s="22" t="n"/>
      <c r="T136" s="4">
        <f>IF(A136="","",TRIM(IF(K136="","Needs decision; ","")&amp;IF(AND(K136="Accept suggestion",F136=""),"No suggestion to accept; ","")&amp;IF(AND(K136="Override",L136=""),"Override URL missing; ","")&amp;IF(AND(K136="Accept suggestion",N(G136)&lt;$G$2),"Below your threshold; ","")&amp;IF(AND(M136&lt;&gt;"",M136=A136,K136&lt;&gt;"No change (same URL)"),"Redirects to itself; ","")&amp;IF(AND(M136&lt;&gt;"",OR(M136="/",AND(LEFT(M136,4)="http",OR((LEN(M136)-LEN(SUBSTITUTE(M136,"/","")))=2,AND((LEN(M136)-LEN(SUBSTITUTE(M136,"/","")))=3,RIGHT(M136,1)="/"))))),"Home page redirect; ","")&amp;IF(N(R136)&gt;1,"Chain; ","")&amp;IF(S136="No","Destination not 200; ","")))</f>
        <v/>
      </c>
      <c r="U136" s="22" t="n"/>
      <c r="V136" s="22" t="n"/>
      <c r="W136" s="4" t="n"/>
    </row>
    <row r="137">
      <c r="A137" s="22" t="n"/>
      <c r="B137" s="22" t="n"/>
      <c r="C137" s="22" t="n"/>
      <c r="D137" s="22">
        <f>IF(A137="","",IF(OR(N(B137)&gt;=$C$2,N(C137)&gt;=$E$2),"High",IF(OR(N(B137)&gt;0,N(C137)&gt;0),"Medium","Low")))</f>
        <v/>
      </c>
      <c r="E137" s="22" t="n"/>
      <c r="F137" s="22" t="n"/>
      <c r="G137" s="22" t="n"/>
      <c r="H137" s="22" t="n"/>
      <c r="I137" s="22" t="n"/>
      <c r="J137" s="22" t="n"/>
      <c r="K137" s="22" t="n"/>
      <c r="L137" s="22" t="n"/>
      <c r="M137" s="22">
        <f>IF(K137="Override",L137,IF(K137="Accept suggestion",F137,IF(K137="No change (same URL)",A137,"")))</f>
        <v/>
      </c>
      <c r="N137" s="22">
        <f>IF(A137="","",IF(K137="410 Gone","410",IF(K137="404","404",IF(K137="No change (same URL)","none",IF(M137="","","301")))))</f>
        <v/>
      </c>
      <c r="O137" s="22">
        <f>IF(A137="","",IFERROR(MID(A137,FIND("/",A137,FIND("//",A137)+2),2000),A137))</f>
        <v/>
      </c>
      <c r="P137" s="22">
        <f>IF(OR(O137="",N137="",N137="none",N137="404"),"",IF(N137="410","Redirect gone "&amp;O137,"Redirect "&amp;N137&amp;" "&amp;O137&amp;" "&amp;M137))</f>
        <v/>
      </c>
      <c r="Q137" s="22" t="n"/>
      <c r="R137" s="22" t="n"/>
      <c r="S137" s="22" t="n"/>
      <c r="T137" s="4">
        <f>IF(A137="","",TRIM(IF(K137="","Needs decision; ","")&amp;IF(AND(K137="Accept suggestion",F137=""),"No suggestion to accept; ","")&amp;IF(AND(K137="Override",L137=""),"Override URL missing; ","")&amp;IF(AND(K137="Accept suggestion",N(G137)&lt;$G$2),"Below your threshold; ","")&amp;IF(AND(M137&lt;&gt;"",M137=A137,K137&lt;&gt;"No change (same URL)"),"Redirects to itself; ","")&amp;IF(AND(M137&lt;&gt;"",OR(M137="/",AND(LEFT(M137,4)="http",OR((LEN(M137)-LEN(SUBSTITUTE(M137,"/","")))=2,AND((LEN(M137)-LEN(SUBSTITUTE(M137,"/","")))=3,RIGHT(M137,1)="/"))))),"Home page redirect; ","")&amp;IF(N(R137)&gt;1,"Chain; ","")&amp;IF(S137="No","Destination not 200; ","")))</f>
        <v/>
      </c>
      <c r="U137" s="22" t="n"/>
      <c r="V137" s="22" t="n"/>
      <c r="W137" s="4" t="n"/>
    </row>
    <row r="138">
      <c r="A138" s="22" t="n"/>
      <c r="B138" s="22" t="n"/>
      <c r="C138" s="22" t="n"/>
      <c r="D138" s="22">
        <f>IF(A138="","",IF(OR(N(B138)&gt;=$C$2,N(C138)&gt;=$E$2),"High",IF(OR(N(B138)&gt;0,N(C138)&gt;0),"Medium","Low")))</f>
        <v/>
      </c>
      <c r="E138" s="22" t="n"/>
      <c r="F138" s="22" t="n"/>
      <c r="G138" s="22" t="n"/>
      <c r="H138" s="22" t="n"/>
      <c r="I138" s="22" t="n"/>
      <c r="J138" s="22" t="n"/>
      <c r="K138" s="22" t="n"/>
      <c r="L138" s="22" t="n"/>
      <c r="M138" s="22">
        <f>IF(K138="Override",L138,IF(K138="Accept suggestion",F138,IF(K138="No change (same URL)",A138,"")))</f>
        <v/>
      </c>
      <c r="N138" s="22">
        <f>IF(A138="","",IF(K138="410 Gone","410",IF(K138="404","404",IF(K138="No change (same URL)","none",IF(M138="","","301")))))</f>
        <v/>
      </c>
      <c r="O138" s="22">
        <f>IF(A138="","",IFERROR(MID(A138,FIND("/",A138,FIND("//",A138)+2),2000),A138))</f>
        <v/>
      </c>
      <c r="P138" s="22">
        <f>IF(OR(O138="",N138="",N138="none",N138="404"),"",IF(N138="410","Redirect gone "&amp;O138,"Redirect "&amp;N138&amp;" "&amp;O138&amp;" "&amp;M138))</f>
        <v/>
      </c>
      <c r="Q138" s="22" t="n"/>
      <c r="R138" s="22" t="n"/>
      <c r="S138" s="22" t="n"/>
      <c r="T138" s="4">
        <f>IF(A138="","",TRIM(IF(K138="","Needs decision; ","")&amp;IF(AND(K138="Accept suggestion",F138=""),"No suggestion to accept; ","")&amp;IF(AND(K138="Override",L138=""),"Override URL missing; ","")&amp;IF(AND(K138="Accept suggestion",N(G138)&lt;$G$2),"Below your threshold; ","")&amp;IF(AND(M138&lt;&gt;"",M138=A138,K138&lt;&gt;"No change (same URL)"),"Redirects to itself; ","")&amp;IF(AND(M138&lt;&gt;"",OR(M138="/",AND(LEFT(M138,4)="http",OR((LEN(M138)-LEN(SUBSTITUTE(M138,"/","")))=2,AND((LEN(M138)-LEN(SUBSTITUTE(M138,"/","")))=3,RIGHT(M138,1)="/"))))),"Home page redirect; ","")&amp;IF(N(R138)&gt;1,"Chain; ","")&amp;IF(S138="No","Destination not 200; ","")))</f>
        <v/>
      </c>
      <c r="U138" s="22" t="n"/>
      <c r="V138" s="22" t="n"/>
      <c r="W138" s="4" t="n"/>
    </row>
    <row r="139">
      <c r="A139" s="22" t="n"/>
      <c r="B139" s="22" t="n"/>
      <c r="C139" s="22" t="n"/>
      <c r="D139" s="22">
        <f>IF(A139="","",IF(OR(N(B139)&gt;=$C$2,N(C139)&gt;=$E$2),"High",IF(OR(N(B139)&gt;0,N(C139)&gt;0),"Medium","Low")))</f>
        <v/>
      </c>
      <c r="E139" s="22" t="n"/>
      <c r="F139" s="22" t="n"/>
      <c r="G139" s="22" t="n"/>
      <c r="H139" s="22" t="n"/>
      <c r="I139" s="22" t="n"/>
      <c r="J139" s="22" t="n"/>
      <c r="K139" s="22" t="n"/>
      <c r="L139" s="22" t="n"/>
      <c r="M139" s="22">
        <f>IF(K139="Override",L139,IF(K139="Accept suggestion",F139,IF(K139="No change (same URL)",A139,"")))</f>
        <v/>
      </c>
      <c r="N139" s="22">
        <f>IF(A139="","",IF(K139="410 Gone","410",IF(K139="404","404",IF(K139="No change (same URL)","none",IF(M139="","","301")))))</f>
        <v/>
      </c>
      <c r="O139" s="22">
        <f>IF(A139="","",IFERROR(MID(A139,FIND("/",A139,FIND("//",A139)+2),2000),A139))</f>
        <v/>
      </c>
      <c r="P139" s="22">
        <f>IF(OR(O139="",N139="",N139="none",N139="404"),"",IF(N139="410","Redirect gone "&amp;O139,"Redirect "&amp;N139&amp;" "&amp;O139&amp;" "&amp;M139))</f>
        <v/>
      </c>
      <c r="Q139" s="22" t="n"/>
      <c r="R139" s="22" t="n"/>
      <c r="S139" s="22" t="n"/>
      <c r="T139" s="4">
        <f>IF(A139="","",TRIM(IF(K139="","Needs decision; ","")&amp;IF(AND(K139="Accept suggestion",F139=""),"No suggestion to accept; ","")&amp;IF(AND(K139="Override",L139=""),"Override URL missing; ","")&amp;IF(AND(K139="Accept suggestion",N(G139)&lt;$G$2),"Below your threshold; ","")&amp;IF(AND(M139&lt;&gt;"",M139=A139,K139&lt;&gt;"No change (same URL)"),"Redirects to itself; ","")&amp;IF(AND(M139&lt;&gt;"",OR(M139="/",AND(LEFT(M139,4)="http",OR((LEN(M139)-LEN(SUBSTITUTE(M139,"/","")))=2,AND((LEN(M139)-LEN(SUBSTITUTE(M139,"/","")))=3,RIGHT(M139,1)="/"))))),"Home page redirect; ","")&amp;IF(N(R139)&gt;1,"Chain; ","")&amp;IF(S139="No","Destination not 200; ","")))</f>
        <v/>
      </c>
      <c r="U139" s="22" t="n"/>
      <c r="V139" s="22" t="n"/>
      <c r="W139" s="4" t="n"/>
    </row>
    <row r="140">
      <c r="A140" s="22" t="n"/>
      <c r="B140" s="22" t="n"/>
      <c r="C140" s="22" t="n"/>
      <c r="D140" s="22">
        <f>IF(A140="","",IF(OR(N(B140)&gt;=$C$2,N(C140)&gt;=$E$2),"High",IF(OR(N(B140)&gt;0,N(C140)&gt;0),"Medium","Low")))</f>
        <v/>
      </c>
      <c r="E140" s="22" t="n"/>
      <c r="F140" s="22" t="n"/>
      <c r="G140" s="22" t="n"/>
      <c r="H140" s="22" t="n"/>
      <c r="I140" s="22" t="n"/>
      <c r="J140" s="22" t="n"/>
      <c r="K140" s="22" t="n"/>
      <c r="L140" s="22" t="n"/>
      <c r="M140" s="22">
        <f>IF(K140="Override",L140,IF(K140="Accept suggestion",F140,IF(K140="No change (same URL)",A140,"")))</f>
        <v/>
      </c>
      <c r="N140" s="22">
        <f>IF(A140="","",IF(K140="410 Gone","410",IF(K140="404","404",IF(K140="No change (same URL)","none",IF(M140="","","301")))))</f>
        <v/>
      </c>
      <c r="O140" s="22">
        <f>IF(A140="","",IFERROR(MID(A140,FIND("/",A140,FIND("//",A140)+2),2000),A140))</f>
        <v/>
      </c>
      <c r="P140" s="22">
        <f>IF(OR(O140="",N140="",N140="none",N140="404"),"",IF(N140="410","Redirect gone "&amp;O140,"Redirect "&amp;N140&amp;" "&amp;O140&amp;" "&amp;M140))</f>
        <v/>
      </c>
      <c r="Q140" s="22" t="n"/>
      <c r="R140" s="22" t="n"/>
      <c r="S140" s="22" t="n"/>
      <c r="T140" s="4">
        <f>IF(A140="","",TRIM(IF(K140="","Needs decision; ","")&amp;IF(AND(K140="Accept suggestion",F140=""),"No suggestion to accept; ","")&amp;IF(AND(K140="Override",L140=""),"Override URL missing; ","")&amp;IF(AND(K140="Accept suggestion",N(G140)&lt;$G$2),"Below your threshold; ","")&amp;IF(AND(M140&lt;&gt;"",M140=A140,K140&lt;&gt;"No change (same URL)"),"Redirects to itself; ","")&amp;IF(AND(M140&lt;&gt;"",OR(M140="/",AND(LEFT(M140,4)="http",OR((LEN(M140)-LEN(SUBSTITUTE(M140,"/","")))=2,AND((LEN(M140)-LEN(SUBSTITUTE(M140,"/","")))=3,RIGHT(M140,1)="/"))))),"Home page redirect; ","")&amp;IF(N(R140)&gt;1,"Chain; ","")&amp;IF(S140="No","Destination not 200; ","")))</f>
        <v/>
      </c>
      <c r="U140" s="22" t="n"/>
      <c r="V140" s="22" t="n"/>
      <c r="W140" s="4" t="n"/>
    </row>
    <row r="141">
      <c r="A141" s="22" t="n"/>
      <c r="B141" s="22" t="n"/>
      <c r="C141" s="22" t="n"/>
      <c r="D141" s="22">
        <f>IF(A141="","",IF(OR(N(B141)&gt;=$C$2,N(C141)&gt;=$E$2),"High",IF(OR(N(B141)&gt;0,N(C141)&gt;0),"Medium","Low")))</f>
        <v/>
      </c>
      <c r="E141" s="22" t="n"/>
      <c r="F141" s="22" t="n"/>
      <c r="G141" s="22" t="n"/>
      <c r="H141" s="22" t="n"/>
      <c r="I141" s="22" t="n"/>
      <c r="J141" s="22" t="n"/>
      <c r="K141" s="22" t="n"/>
      <c r="L141" s="22" t="n"/>
      <c r="M141" s="22">
        <f>IF(K141="Override",L141,IF(K141="Accept suggestion",F141,IF(K141="No change (same URL)",A141,"")))</f>
        <v/>
      </c>
      <c r="N141" s="22">
        <f>IF(A141="","",IF(K141="410 Gone","410",IF(K141="404","404",IF(K141="No change (same URL)","none",IF(M141="","","301")))))</f>
        <v/>
      </c>
      <c r="O141" s="22">
        <f>IF(A141="","",IFERROR(MID(A141,FIND("/",A141,FIND("//",A141)+2),2000),A141))</f>
        <v/>
      </c>
      <c r="P141" s="22">
        <f>IF(OR(O141="",N141="",N141="none",N141="404"),"",IF(N141="410","Redirect gone "&amp;O141,"Redirect "&amp;N141&amp;" "&amp;O141&amp;" "&amp;M141))</f>
        <v/>
      </c>
      <c r="Q141" s="22" t="n"/>
      <c r="R141" s="22" t="n"/>
      <c r="S141" s="22" t="n"/>
      <c r="T141" s="4">
        <f>IF(A141="","",TRIM(IF(K141="","Needs decision; ","")&amp;IF(AND(K141="Accept suggestion",F141=""),"No suggestion to accept; ","")&amp;IF(AND(K141="Override",L141=""),"Override URL missing; ","")&amp;IF(AND(K141="Accept suggestion",N(G141)&lt;$G$2),"Below your threshold; ","")&amp;IF(AND(M141&lt;&gt;"",M141=A141,K141&lt;&gt;"No change (same URL)"),"Redirects to itself; ","")&amp;IF(AND(M141&lt;&gt;"",OR(M141="/",AND(LEFT(M141,4)="http",OR((LEN(M141)-LEN(SUBSTITUTE(M141,"/","")))=2,AND((LEN(M141)-LEN(SUBSTITUTE(M141,"/","")))=3,RIGHT(M141,1)="/"))))),"Home page redirect; ","")&amp;IF(N(R141)&gt;1,"Chain; ","")&amp;IF(S141="No","Destination not 200; ","")))</f>
        <v/>
      </c>
      <c r="U141" s="22" t="n"/>
      <c r="V141" s="22" t="n"/>
      <c r="W141" s="4" t="n"/>
    </row>
    <row r="142">
      <c r="A142" s="22" t="n"/>
      <c r="B142" s="22" t="n"/>
      <c r="C142" s="22" t="n"/>
      <c r="D142" s="22">
        <f>IF(A142="","",IF(OR(N(B142)&gt;=$C$2,N(C142)&gt;=$E$2),"High",IF(OR(N(B142)&gt;0,N(C142)&gt;0),"Medium","Low")))</f>
        <v/>
      </c>
      <c r="E142" s="22" t="n"/>
      <c r="F142" s="22" t="n"/>
      <c r="G142" s="22" t="n"/>
      <c r="H142" s="22" t="n"/>
      <c r="I142" s="22" t="n"/>
      <c r="J142" s="22" t="n"/>
      <c r="K142" s="22" t="n"/>
      <c r="L142" s="22" t="n"/>
      <c r="M142" s="22">
        <f>IF(K142="Override",L142,IF(K142="Accept suggestion",F142,IF(K142="No change (same URL)",A142,"")))</f>
        <v/>
      </c>
      <c r="N142" s="22">
        <f>IF(A142="","",IF(K142="410 Gone","410",IF(K142="404","404",IF(K142="No change (same URL)","none",IF(M142="","","301")))))</f>
        <v/>
      </c>
      <c r="O142" s="22">
        <f>IF(A142="","",IFERROR(MID(A142,FIND("/",A142,FIND("//",A142)+2),2000),A142))</f>
        <v/>
      </c>
      <c r="P142" s="22">
        <f>IF(OR(O142="",N142="",N142="none",N142="404"),"",IF(N142="410","Redirect gone "&amp;O142,"Redirect "&amp;N142&amp;" "&amp;O142&amp;" "&amp;M142))</f>
        <v/>
      </c>
      <c r="Q142" s="22" t="n"/>
      <c r="R142" s="22" t="n"/>
      <c r="S142" s="22" t="n"/>
      <c r="T142" s="4">
        <f>IF(A142="","",TRIM(IF(K142="","Needs decision; ","")&amp;IF(AND(K142="Accept suggestion",F142=""),"No suggestion to accept; ","")&amp;IF(AND(K142="Override",L142=""),"Override URL missing; ","")&amp;IF(AND(K142="Accept suggestion",N(G142)&lt;$G$2),"Below your threshold; ","")&amp;IF(AND(M142&lt;&gt;"",M142=A142,K142&lt;&gt;"No change (same URL)"),"Redirects to itself; ","")&amp;IF(AND(M142&lt;&gt;"",OR(M142="/",AND(LEFT(M142,4)="http",OR((LEN(M142)-LEN(SUBSTITUTE(M142,"/","")))=2,AND((LEN(M142)-LEN(SUBSTITUTE(M142,"/","")))=3,RIGHT(M142,1)="/"))))),"Home page redirect; ","")&amp;IF(N(R142)&gt;1,"Chain; ","")&amp;IF(S142="No","Destination not 200; ","")))</f>
        <v/>
      </c>
      <c r="U142" s="22" t="n"/>
      <c r="V142" s="22" t="n"/>
      <c r="W142" s="4" t="n"/>
    </row>
    <row r="143">
      <c r="A143" s="22" t="n"/>
      <c r="B143" s="22" t="n"/>
      <c r="C143" s="22" t="n"/>
      <c r="D143" s="22">
        <f>IF(A143="","",IF(OR(N(B143)&gt;=$C$2,N(C143)&gt;=$E$2),"High",IF(OR(N(B143)&gt;0,N(C143)&gt;0),"Medium","Low")))</f>
        <v/>
      </c>
      <c r="E143" s="22" t="n"/>
      <c r="F143" s="22" t="n"/>
      <c r="G143" s="22" t="n"/>
      <c r="H143" s="22" t="n"/>
      <c r="I143" s="22" t="n"/>
      <c r="J143" s="22" t="n"/>
      <c r="K143" s="22" t="n"/>
      <c r="L143" s="22" t="n"/>
      <c r="M143" s="22">
        <f>IF(K143="Override",L143,IF(K143="Accept suggestion",F143,IF(K143="No change (same URL)",A143,"")))</f>
        <v/>
      </c>
      <c r="N143" s="22">
        <f>IF(A143="","",IF(K143="410 Gone","410",IF(K143="404","404",IF(K143="No change (same URL)","none",IF(M143="","","301")))))</f>
        <v/>
      </c>
      <c r="O143" s="22">
        <f>IF(A143="","",IFERROR(MID(A143,FIND("/",A143,FIND("//",A143)+2),2000),A143))</f>
        <v/>
      </c>
      <c r="P143" s="22">
        <f>IF(OR(O143="",N143="",N143="none",N143="404"),"",IF(N143="410","Redirect gone "&amp;O143,"Redirect "&amp;N143&amp;" "&amp;O143&amp;" "&amp;M143))</f>
        <v/>
      </c>
      <c r="Q143" s="22" t="n"/>
      <c r="R143" s="22" t="n"/>
      <c r="S143" s="22" t="n"/>
      <c r="T143" s="4">
        <f>IF(A143="","",TRIM(IF(K143="","Needs decision; ","")&amp;IF(AND(K143="Accept suggestion",F143=""),"No suggestion to accept; ","")&amp;IF(AND(K143="Override",L143=""),"Override URL missing; ","")&amp;IF(AND(K143="Accept suggestion",N(G143)&lt;$G$2),"Below your threshold; ","")&amp;IF(AND(M143&lt;&gt;"",M143=A143,K143&lt;&gt;"No change (same URL)"),"Redirects to itself; ","")&amp;IF(AND(M143&lt;&gt;"",OR(M143="/",AND(LEFT(M143,4)="http",OR((LEN(M143)-LEN(SUBSTITUTE(M143,"/","")))=2,AND((LEN(M143)-LEN(SUBSTITUTE(M143,"/","")))=3,RIGHT(M143,1)="/"))))),"Home page redirect; ","")&amp;IF(N(R143)&gt;1,"Chain; ","")&amp;IF(S143="No","Destination not 200; ","")))</f>
        <v/>
      </c>
      <c r="U143" s="22" t="n"/>
      <c r="V143" s="22" t="n"/>
      <c r="W143" s="4" t="n"/>
    </row>
    <row r="144">
      <c r="A144" s="22" t="n"/>
      <c r="B144" s="22" t="n"/>
      <c r="C144" s="22" t="n"/>
      <c r="D144" s="22">
        <f>IF(A144="","",IF(OR(N(B144)&gt;=$C$2,N(C144)&gt;=$E$2),"High",IF(OR(N(B144)&gt;0,N(C144)&gt;0),"Medium","Low")))</f>
        <v/>
      </c>
      <c r="E144" s="22" t="n"/>
      <c r="F144" s="22" t="n"/>
      <c r="G144" s="22" t="n"/>
      <c r="H144" s="22" t="n"/>
      <c r="I144" s="22" t="n"/>
      <c r="J144" s="22" t="n"/>
      <c r="K144" s="22" t="n"/>
      <c r="L144" s="22" t="n"/>
      <c r="M144" s="22">
        <f>IF(K144="Override",L144,IF(K144="Accept suggestion",F144,IF(K144="No change (same URL)",A144,"")))</f>
        <v/>
      </c>
      <c r="N144" s="22">
        <f>IF(A144="","",IF(K144="410 Gone","410",IF(K144="404","404",IF(K144="No change (same URL)","none",IF(M144="","","301")))))</f>
        <v/>
      </c>
      <c r="O144" s="22">
        <f>IF(A144="","",IFERROR(MID(A144,FIND("/",A144,FIND("//",A144)+2),2000),A144))</f>
        <v/>
      </c>
      <c r="P144" s="22">
        <f>IF(OR(O144="",N144="",N144="none",N144="404"),"",IF(N144="410","Redirect gone "&amp;O144,"Redirect "&amp;N144&amp;" "&amp;O144&amp;" "&amp;M144))</f>
        <v/>
      </c>
      <c r="Q144" s="22" t="n"/>
      <c r="R144" s="22" t="n"/>
      <c r="S144" s="22" t="n"/>
      <c r="T144" s="4">
        <f>IF(A144="","",TRIM(IF(K144="","Needs decision; ","")&amp;IF(AND(K144="Accept suggestion",F144=""),"No suggestion to accept; ","")&amp;IF(AND(K144="Override",L144=""),"Override URL missing; ","")&amp;IF(AND(K144="Accept suggestion",N(G144)&lt;$G$2),"Below your threshold; ","")&amp;IF(AND(M144&lt;&gt;"",M144=A144,K144&lt;&gt;"No change (same URL)"),"Redirects to itself; ","")&amp;IF(AND(M144&lt;&gt;"",OR(M144="/",AND(LEFT(M144,4)="http",OR((LEN(M144)-LEN(SUBSTITUTE(M144,"/","")))=2,AND((LEN(M144)-LEN(SUBSTITUTE(M144,"/","")))=3,RIGHT(M144,1)="/"))))),"Home page redirect; ","")&amp;IF(N(R144)&gt;1,"Chain; ","")&amp;IF(S144="No","Destination not 200; ","")))</f>
        <v/>
      </c>
      <c r="U144" s="22" t="n"/>
      <c r="V144" s="22" t="n"/>
      <c r="W144" s="4" t="n"/>
    </row>
    <row r="145">
      <c r="A145" s="22" t="n"/>
      <c r="B145" s="22" t="n"/>
      <c r="C145" s="22" t="n"/>
      <c r="D145" s="22">
        <f>IF(A145="","",IF(OR(N(B145)&gt;=$C$2,N(C145)&gt;=$E$2),"High",IF(OR(N(B145)&gt;0,N(C145)&gt;0),"Medium","Low")))</f>
        <v/>
      </c>
      <c r="E145" s="22" t="n"/>
      <c r="F145" s="22" t="n"/>
      <c r="G145" s="22" t="n"/>
      <c r="H145" s="22" t="n"/>
      <c r="I145" s="22" t="n"/>
      <c r="J145" s="22" t="n"/>
      <c r="K145" s="22" t="n"/>
      <c r="L145" s="22" t="n"/>
      <c r="M145" s="22">
        <f>IF(K145="Override",L145,IF(K145="Accept suggestion",F145,IF(K145="No change (same URL)",A145,"")))</f>
        <v/>
      </c>
      <c r="N145" s="22">
        <f>IF(A145="","",IF(K145="410 Gone","410",IF(K145="404","404",IF(K145="No change (same URL)","none",IF(M145="","","301")))))</f>
        <v/>
      </c>
      <c r="O145" s="22">
        <f>IF(A145="","",IFERROR(MID(A145,FIND("/",A145,FIND("//",A145)+2),2000),A145))</f>
        <v/>
      </c>
      <c r="P145" s="22">
        <f>IF(OR(O145="",N145="",N145="none",N145="404"),"",IF(N145="410","Redirect gone "&amp;O145,"Redirect "&amp;N145&amp;" "&amp;O145&amp;" "&amp;M145))</f>
        <v/>
      </c>
      <c r="Q145" s="22" t="n"/>
      <c r="R145" s="22" t="n"/>
      <c r="S145" s="22" t="n"/>
      <c r="T145" s="4">
        <f>IF(A145="","",TRIM(IF(K145="","Needs decision; ","")&amp;IF(AND(K145="Accept suggestion",F145=""),"No suggestion to accept; ","")&amp;IF(AND(K145="Override",L145=""),"Override URL missing; ","")&amp;IF(AND(K145="Accept suggestion",N(G145)&lt;$G$2),"Below your threshold; ","")&amp;IF(AND(M145&lt;&gt;"",M145=A145,K145&lt;&gt;"No change (same URL)"),"Redirects to itself; ","")&amp;IF(AND(M145&lt;&gt;"",OR(M145="/",AND(LEFT(M145,4)="http",OR((LEN(M145)-LEN(SUBSTITUTE(M145,"/","")))=2,AND((LEN(M145)-LEN(SUBSTITUTE(M145,"/","")))=3,RIGHT(M145,1)="/"))))),"Home page redirect; ","")&amp;IF(N(R145)&gt;1,"Chain; ","")&amp;IF(S145="No","Destination not 200; ","")))</f>
        <v/>
      </c>
      <c r="U145" s="22" t="n"/>
      <c r="V145" s="22" t="n"/>
      <c r="W145" s="4" t="n"/>
    </row>
    <row r="146">
      <c r="A146" s="22" t="n"/>
      <c r="B146" s="22" t="n"/>
      <c r="C146" s="22" t="n"/>
      <c r="D146" s="22">
        <f>IF(A146="","",IF(OR(N(B146)&gt;=$C$2,N(C146)&gt;=$E$2),"High",IF(OR(N(B146)&gt;0,N(C146)&gt;0),"Medium","Low")))</f>
        <v/>
      </c>
      <c r="E146" s="22" t="n"/>
      <c r="F146" s="22" t="n"/>
      <c r="G146" s="22" t="n"/>
      <c r="H146" s="22" t="n"/>
      <c r="I146" s="22" t="n"/>
      <c r="J146" s="22" t="n"/>
      <c r="K146" s="22" t="n"/>
      <c r="L146" s="22" t="n"/>
      <c r="M146" s="22">
        <f>IF(K146="Override",L146,IF(K146="Accept suggestion",F146,IF(K146="No change (same URL)",A146,"")))</f>
        <v/>
      </c>
      <c r="N146" s="22">
        <f>IF(A146="","",IF(K146="410 Gone","410",IF(K146="404","404",IF(K146="No change (same URL)","none",IF(M146="","","301")))))</f>
        <v/>
      </c>
      <c r="O146" s="22">
        <f>IF(A146="","",IFERROR(MID(A146,FIND("/",A146,FIND("//",A146)+2),2000),A146))</f>
        <v/>
      </c>
      <c r="P146" s="22">
        <f>IF(OR(O146="",N146="",N146="none",N146="404"),"",IF(N146="410","Redirect gone "&amp;O146,"Redirect "&amp;N146&amp;" "&amp;O146&amp;" "&amp;M146))</f>
        <v/>
      </c>
      <c r="Q146" s="22" t="n"/>
      <c r="R146" s="22" t="n"/>
      <c r="S146" s="22" t="n"/>
      <c r="T146" s="4">
        <f>IF(A146="","",TRIM(IF(K146="","Needs decision; ","")&amp;IF(AND(K146="Accept suggestion",F146=""),"No suggestion to accept; ","")&amp;IF(AND(K146="Override",L146=""),"Override URL missing; ","")&amp;IF(AND(K146="Accept suggestion",N(G146)&lt;$G$2),"Below your threshold; ","")&amp;IF(AND(M146&lt;&gt;"",M146=A146,K146&lt;&gt;"No change (same URL)"),"Redirects to itself; ","")&amp;IF(AND(M146&lt;&gt;"",OR(M146="/",AND(LEFT(M146,4)="http",OR((LEN(M146)-LEN(SUBSTITUTE(M146,"/","")))=2,AND((LEN(M146)-LEN(SUBSTITUTE(M146,"/","")))=3,RIGHT(M146,1)="/"))))),"Home page redirect; ","")&amp;IF(N(R146)&gt;1,"Chain; ","")&amp;IF(S146="No","Destination not 200; ","")))</f>
        <v/>
      </c>
      <c r="U146" s="22" t="n"/>
      <c r="V146" s="22" t="n"/>
      <c r="W146" s="4" t="n"/>
    </row>
    <row r="147">
      <c r="A147" s="22" t="n"/>
      <c r="B147" s="22" t="n"/>
      <c r="C147" s="22" t="n"/>
      <c r="D147" s="22">
        <f>IF(A147="","",IF(OR(N(B147)&gt;=$C$2,N(C147)&gt;=$E$2),"High",IF(OR(N(B147)&gt;0,N(C147)&gt;0),"Medium","Low")))</f>
        <v/>
      </c>
      <c r="E147" s="22" t="n"/>
      <c r="F147" s="22" t="n"/>
      <c r="G147" s="22" t="n"/>
      <c r="H147" s="22" t="n"/>
      <c r="I147" s="22" t="n"/>
      <c r="J147" s="22" t="n"/>
      <c r="K147" s="22" t="n"/>
      <c r="L147" s="22" t="n"/>
      <c r="M147" s="22">
        <f>IF(K147="Override",L147,IF(K147="Accept suggestion",F147,IF(K147="No change (same URL)",A147,"")))</f>
        <v/>
      </c>
      <c r="N147" s="22">
        <f>IF(A147="","",IF(K147="410 Gone","410",IF(K147="404","404",IF(K147="No change (same URL)","none",IF(M147="","","301")))))</f>
        <v/>
      </c>
      <c r="O147" s="22">
        <f>IF(A147="","",IFERROR(MID(A147,FIND("/",A147,FIND("//",A147)+2),2000),A147))</f>
        <v/>
      </c>
      <c r="P147" s="22">
        <f>IF(OR(O147="",N147="",N147="none",N147="404"),"",IF(N147="410","Redirect gone "&amp;O147,"Redirect "&amp;N147&amp;" "&amp;O147&amp;" "&amp;M147))</f>
        <v/>
      </c>
      <c r="Q147" s="22" t="n"/>
      <c r="R147" s="22" t="n"/>
      <c r="S147" s="22" t="n"/>
      <c r="T147" s="4">
        <f>IF(A147="","",TRIM(IF(K147="","Needs decision; ","")&amp;IF(AND(K147="Accept suggestion",F147=""),"No suggestion to accept; ","")&amp;IF(AND(K147="Override",L147=""),"Override URL missing; ","")&amp;IF(AND(K147="Accept suggestion",N(G147)&lt;$G$2),"Below your threshold; ","")&amp;IF(AND(M147&lt;&gt;"",M147=A147,K147&lt;&gt;"No change (same URL)"),"Redirects to itself; ","")&amp;IF(AND(M147&lt;&gt;"",OR(M147="/",AND(LEFT(M147,4)="http",OR((LEN(M147)-LEN(SUBSTITUTE(M147,"/","")))=2,AND((LEN(M147)-LEN(SUBSTITUTE(M147,"/","")))=3,RIGHT(M147,1)="/"))))),"Home page redirect; ","")&amp;IF(N(R147)&gt;1,"Chain; ","")&amp;IF(S147="No","Destination not 200; ","")))</f>
        <v/>
      </c>
      <c r="U147" s="22" t="n"/>
      <c r="V147" s="22" t="n"/>
      <c r="W147" s="4" t="n"/>
    </row>
    <row r="148">
      <c r="A148" s="22" t="n"/>
      <c r="B148" s="22" t="n"/>
      <c r="C148" s="22" t="n"/>
      <c r="D148" s="22">
        <f>IF(A148="","",IF(OR(N(B148)&gt;=$C$2,N(C148)&gt;=$E$2),"High",IF(OR(N(B148)&gt;0,N(C148)&gt;0),"Medium","Low")))</f>
        <v/>
      </c>
      <c r="E148" s="22" t="n"/>
      <c r="F148" s="22" t="n"/>
      <c r="G148" s="22" t="n"/>
      <c r="H148" s="22" t="n"/>
      <c r="I148" s="22" t="n"/>
      <c r="J148" s="22" t="n"/>
      <c r="K148" s="22" t="n"/>
      <c r="L148" s="22" t="n"/>
      <c r="M148" s="22">
        <f>IF(K148="Override",L148,IF(K148="Accept suggestion",F148,IF(K148="No change (same URL)",A148,"")))</f>
        <v/>
      </c>
      <c r="N148" s="22">
        <f>IF(A148="","",IF(K148="410 Gone","410",IF(K148="404","404",IF(K148="No change (same URL)","none",IF(M148="","","301")))))</f>
        <v/>
      </c>
      <c r="O148" s="22">
        <f>IF(A148="","",IFERROR(MID(A148,FIND("/",A148,FIND("//",A148)+2),2000),A148))</f>
        <v/>
      </c>
      <c r="P148" s="22">
        <f>IF(OR(O148="",N148="",N148="none",N148="404"),"",IF(N148="410","Redirect gone "&amp;O148,"Redirect "&amp;N148&amp;" "&amp;O148&amp;" "&amp;M148))</f>
        <v/>
      </c>
      <c r="Q148" s="22" t="n"/>
      <c r="R148" s="22" t="n"/>
      <c r="S148" s="22" t="n"/>
      <c r="T148" s="4">
        <f>IF(A148="","",TRIM(IF(K148="","Needs decision; ","")&amp;IF(AND(K148="Accept suggestion",F148=""),"No suggestion to accept; ","")&amp;IF(AND(K148="Override",L148=""),"Override URL missing; ","")&amp;IF(AND(K148="Accept suggestion",N(G148)&lt;$G$2),"Below your threshold; ","")&amp;IF(AND(M148&lt;&gt;"",M148=A148,K148&lt;&gt;"No change (same URL)"),"Redirects to itself; ","")&amp;IF(AND(M148&lt;&gt;"",OR(M148="/",AND(LEFT(M148,4)="http",OR((LEN(M148)-LEN(SUBSTITUTE(M148,"/","")))=2,AND((LEN(M148)-LEN(SUBSTITUTE(M148,"/","")))=3,RIGHT(M148,1)="/"))))),"Home page redirect; ","")&amp;IF(N(R148)&gt;1,"Chain; ","")&amp;IF(S148="No","Destination not 200; ","")))</f>
        <v/>
      </c>
      <c r="U148" s="22" t="n"/>
      <c r="V148" s="22" t="n"/>
      <c r="W148" s="4" t="n"/>
    </row>
    <row r="149">
      <c r="A149" s="22" t="n"/>
      <c r="B149" s="22" t="n"/>
      <c r="C149" s="22" t="n"/>
      <c r="D149" s="22">
        <f>IF(A149="","",IF(OR(N(B149)&gt;=$C$2,N(C149)&gt;=$E$2),"High",IF(OR(N(B149)&gt;0,N(C149)&gt;0),"Medium","Low")))</f>
        <v/>
      </c>
      <c r="E149" s="22" t="n"/>
      <c r="F149" s="22" t="n"/>
      <c r="G149" s="22" t="n"/>
      <c r="H149" s="22" t="n"/>
      <c r="I149" s="22" t="n"/>
      <c r="J149" s="22" t="n"/>
      <c r="K149" s="22" t="n"/>
      <c r="L149" s="22" t="n"/>
      <c r="M149" s="22">
        <f>IF(K149="Override",L149,IF(K149="Accept suggestion",F149,IF(K149="No change (same URL)",A149,"")))</f>
        <v/>
      </c>
      <c r="N149" s="22">
        <f>IF(A149="","",IF(K149="410 Gone","410",IF(K149="404","404",IF(K149="No change (same URL)","none",IF(M149="","","301")))))</f>
        <v/>
      </c>
      <c r="O149" s="22">
        <f>IF(A149="","",IFERROR(MID(A149,FIND("/",A149,FIND("//",A149)+2),2000),A149))</f>
        <v/>
      </c>
      <c r="P149" s="22">
        <f>IF(OR(O149="",N149="",N149="none",N149="404"),"",IF(N149="410","Redirect gone "&amp;O149,"Redirect "&amp;N149&amp;" "&amp;O149&amp;" "&amp;M149))</f>
        <v/>
      </c>
      <c r="Q149" s="22" t="n"/>
      <c r="R149" s="22" t="n"/>
      <c r="S149" s="22" t="n"/>
      <c r="T149" s="4">
        <f>IF(A149="","",TRIM(IF(K149="","Needs decision; ","")&amp;IF(AND(K149="Accept suggestion",F149=""),"No suggestion to accept; ","")&amp;IF(AND(K149="Override",L149=""),"Override URL missing; ","")&amp;IF(AND(K149="Accept suggestion",N(G149)&lt;$G$2),"Below your threshold; ","")&amp;IF(AND(M149&lt;&gt;"",M149=A149,K149&lt;&gt;"No change (same URL)"),"Redirects to itself; ","")&amp;IF(AND(M149&lt;&gt;"",OR(M149="/",AND(LEFT(M149,4)="http",OR((LEN(M149)-LEN(SUBSTITUTE(M149,"/","")))=2,AND((LEN(M149)-LEN(SUBSTITUTE(M149,"/","")))=3,RIGHT(M149,1)="/"))))),"Home page redirect; ","")&amp;IF(N(R149)&gt;1,"Chain; ","")&amp;IF(S149="No","Destination not 200; ","")))</f>
        <v/>
      </c>
      <c r="U149" s="22" t="n"/>
      <c r="V149" s="22" t="n"/>
      <c r="W149" s="4" t="n"/>
    </row>
    <row r="150">
      <c r="A150" s="22" t="n"/>
      <c r="B150" s="22" t="n"/>
      <c r="C150" s="22" t="n"/>
      <c r="D150" s="22">
        <f>IF(A150="","",IF(OR(N(B150)&gt;=$C$2,N(C150)&gt;=$E$2),"High",IF(OR(N(B150)&gt;0,N(C150)&gt;0),"Medium","Low")))</f>
        <v/>
      </c>
      <c r="E150" s="22" t="n"/>
      <c r="F150" s="22" t="n"/>
      <c r="G150" s="22" t="n"/>
      <c r="H150" s="22" t="n"/>
      <c r="I150" s="22" t="n"/>
      <c r="J150" s="22" t="n"/>
      <c r="K150" s="22" t="n"/>
      <c r="L150" s="22" t="n"/>
      <c r="M150" s="22">
        <f>IF(K150="Override",L150,IF(K150="Accept suggestion",F150,IF(K150="No change (same URL)",A150,"")))</f>
        <v/>
      </c>
      <c r="N150" s="22">
        <f>IF(A150="","",IF(K150="410 Gone","410",IF(K150="404","404",IF(K150="No change (same URL)","none",IF(M150="","","301")))))</f>
        <v/>
      </c>
      <c r="O150" s="22">
        <f>IF(A150="","",IFERROR(MID(A150,FIND("/",A150,FIND("//",A150)+2),2000),A150))</f>
        <v/>
      </c>
      <c r="P150" s="22">
        <f>IF(OR(O150="",N150="",N150="none",N150="404"),"",IF(N150="410","Redirect gone "&amp;O150,"Redirect "&amp;N150&amp;" "&amp;O150&amp;" "&amp;M150))</f>
        <v/>
      </c>
      <c r="Q150" s="22" t="n"/>
      <c r="R150" s="22" t="n"/>
      <c r="S150" s="22" t="n"/>
      <c r="T150" s="4">
        <f>IF(A150="","",TRIM(IF(K150="","Needs decision; ","")&amp;IF(AND(K150="Accept suggestion",F150=""),"No suggestion to accept; ","")&amp;IF(AND(K150="Override",L150=""),"Override URL missing; ","")&amp;IF(AND(K150="Accept suggestion",N(G150)&lt;$G$2),"Below your threshold; ","")&amp;IF(AND(M150&lt;&gt;"",M150=A150,K150&lt;&gt;"No change (same URL)"),"Redirects to itself; ","")&amp;IF(AND(M150&lt;&gt;"",OR(M150="/",AND(LEFT(M150,4)="http",OR((LEN(M150)-LEN(SUBSTITUTE(M150,"/","")))=2,AND((LEN(M150)-LEN(SUBSTITUTE(M150,"/","")))=3,RIGHT(M150,1)="/"))))),"Home page redirect; ","")&amp;IF(N(R150)&gt;1,"Chain; ","")&amp;IF(S150="No","Destination not 200; ","")))</f>
        <v/>
      </c>
      <c r="U150" s="22" t="n"/>
      <c r="V150" s="22" t="n"/>
      <c r="W150" s="4" t="n"/>
    </row>
    <row r="151">
      <c r="A151" s="22" t="n"/>
      <c r="B151" s="22" t="n"/>
      <c r="C151" s="22" t="n"/>
      <c r="D151" s="22">
        <f>IF(A151="","",IF(OR(N(B151)&gt;=$C$2,N(C151)&gt;=$E$2),"High",IF(OR(N(B151)&gt;0,N(C151)&gt;0),"Medium","Low")))</f>
        <v/>
      </c>
      <c r="E151" s="22" t="n"/>
      <c r="F151" s="22" t="n"/>
      <c r="G151" s="22" t="n"/>
      <c r="H151" s="22" t="n"/>
      <c r="I151" s="22" t="n"/>
      <c r="J151" s="22" t="n"/>
      <c r="K151" s="22" t="n"/>
      <c r="L151" s="22" t="n"/>
      <c r="M151" s="22">
        <f>IF(K151="Override",L151,IF(K151="Accept suggestion",F151,IF(K151="No change (same URL)",A151,"")))</f>
        <v/>
      </c>
      <c r="N151" s="22">
        <f>IF(A151="","",IF(K151="410 Gone","410",IF(K151="404","404",IF(K151="No change (same URL)","none",IF(M151="","","301")))))</f>
        <v/>
      </c>
      <c r="O151" s="22">
        <f>IF(A151="","",IFERROR(MID(A151,FIND("/",A151,FIND("//",A151)+2),2000),A151))</f>
        <v/>
      </c>
      <c r="P151" s="22">
        <f>IF(OR(O151="",N151="",N151="none",N151="404"),"",IF(N151="410","Redirect gone "&amp;O151,"Redirect "&amp;N151&amp;" "&amp;O151&amp;" "&amp;M151))</f>
        <v/>
      </c>
      <c r="Q151" s="22" t="n"/>
      <c r="R151" s="22" t="n"/>
      <c r="S151" s="22" t="n"/>
      <c r="T151" s="4">
        <f>IF(A151="","",TRIM(IF(K151="","Needs decision; ","")&amp;IF(AND(K151="Accept suggestion",F151=""),"No suggestion to accept; ","")&amp;IF(AND(K151="Override",L151=""),"Override URL missing; ","")&amp;IF(AND(K151="Accept suggestion",N(G151)&lt;$G$2),"Below your threshold; ","")&amp;IF(AND(M151&lt;&gt;"",M151=A151,K151&lt;&gt;"No change (same URL)"),"Redirects to itself; ","")&amp;IF(AND(M151&lt;&gt;"",OR(M151="/",AND(LEFT(M151,4)="http",OR((LEN(M151)-LEN(SUBSTITUTE(M151,"/","")))=2,AND((LEN(M151)-LEN(SUBSTITUTE(M151,"/","")))=3,RIGHT(M151,1)="/"))))),"Home page redirect; ","")&amp;IF(N(R151)&gt;1,"Chain; ","")&amp;IF(S151="No","Destination not 200; ","")))</f>
        <v/>
      </c>
      <c r="U151" s="22" t="n"/>
      <c r="V151" s="22" t="n"/>
      <c r="W151" s="4" t="n"/>
    </row>
    <row r="152">
      <c r="A152" s="22" t="n"/>
      <c r="B152" s="22" t="n"/>
      <c r="C152" s="22" t="n"/>
      <c r="D152" s="22">
        <f>IF(A152="","",IF(OR(N(B152)&gt;=$C$2,N(C152)&gt;=$E$2),"High",IF(OR(N(B152)&gt;0,N(C152)&gt;0),"Medium","Low")))</f>
        <v/>
      </c>
      <c r="E152" s="22" t="n"/>
      <c r="F152" s="22" t="n"/>
      <c r="G152" s="22" t="n"/>
      <c r="H152" s="22" t="n"/>
      <c r="I152" s="22" t="n"/>
      <c r="J152" s="22" t="n"/>
      <c r="K152" s="22" t="n"/>
      <c r="L152" s="22" t="n"/>
      <c r="M152" s="22">
        <f>IF(K152="Override",L152,IF(K152="Accept suggestion",F152,IF(K152="No change (same URL)",A152,"")))</f>
        <v/>
      </c>
      <c r="N152" s="22">
        <f>IF(A152="","",IF(K152="410 Gone","410",IF(K152="404","404",IF(K152="No change (same URL)","none",IF(M152="","","301")))))</f>
        <v/>
      </c>
      <c r="O152" s="22">
        <f>IF(A152="","",IFERROR(MID(A152,FIND("/",A152,FIND("//",A152)+2),2000),A152))</f>
        <v/>
      </c>
      <c r="P152" s="22">
        <f>IF(OR(O152="",N152="",N152="none",N152="404"),"",IF(N152="410","Redirect gone "&amp;O152,"Redirect "&amp;N152&amp;" "&amp;O152&amp;" "&amp;M152))</f>
        <v/>
      </c>
      <c r="Q152" s="22" t="n"/>
      <c r="R152" s="22" t="n"/>
      <c r="S152" s="22" t="n"/>
      <c r="T152" s="4">
        <f>IF(A152="","",TRIM(IF(K152="","Needs decision; ","")&amp;IF(AND(K152="Accept suggestion",F152=""),"No suggestion to accept; ","")&amp;IF(AND(K152="Override",L152=""),"Override URL missing; ","")&amp;IF(AND(K152="Accept suggestion",N(G152)&lt;$G$2),"Below your threshold; ","")&amp;IF(AND(M152&lt;&gt;"",M152=A152,K152&lt;&gt;"No change (same URL)"),"Redirects to itself; ","")&amp;IF(AND(M152&lt;&gt;"",OR(M152="/",AND(LEFT(M152,4)="http",OR((LEN(M152)-LEN(SUBSTITUTE(M152,"/","")))=2,AND((LEN(M152)-LEN(SUBSTITUTE(M152,"/","")))=3,RIGHT(M152,1)="/"))))),"Home page redirect; ","")&amp;IF(N(R152)&gt;1,"Chain; ","")&amp;IF(S152="No","Destination not 200; ","")))</f>
        <v/>
      </c>
      <c r="U152" s="22" t="n"/>
      <c r="V152" s="22" t="n"/>
      <c r="W152" s="4" t="n"/>
    </row>
    <row r="153">
      <c r="A153" s="22" t="n"/>
      <c r="B153" s="22" t="n"/>
      <c r="C153" s="22" t="n"/>
      <c r="D153" s="22">
        <f>IF(A153="","",IF(OR(N(B153)&gt;=$C$2,N(C153)&gt;=$E$2),"High",IF(OR(N(B153)&gt;0,N(C153)&gt;0),"Medium","Low")))</f>
        <v/>
      </c>
      <c r="E153" s="22" t="n"/>
      <c r="F153" s="22" t="n"/>
      <c r="G153" s="22" t="n"/>
      <c r="H153" s="22" t="n"/>
      <c r="I153" s="22" t="n"/>
      <c r="J153" s="22" t="n"/>
      <c r="K153" s="22" t="n"/>
      <c r="L153" s="22" t="n"/>
      <c r="M153" s="22">
        <f>IF(K153="Override",L153,IF(K153="Accept suggestion",F153,IF(K153="No change (same URL)",A153,"")))</f>
        <v/>
      </c>
      <c r="N153" s="22">
        <f>IF(A153="","",IF(K153="410 Gone","410",IF(K153="404","404",IF(K153="No change (same URL)","none",IF(M153="","","301")))))</f>
        <v/>
      </c>
      <c r="O153" s="22">
        <f>IF(A153="","",IFERROR(MID(A153,FIND("/",A153,FIND("//",A153)+2),2000),A153))</f>
        <v/>
      </c>
      <c r="P153" s="22">
        <f>IF(OR(O153="",N153="",N153="none",N153="404"),"",IF(N153="410","Redirect gone "&amp;O153,"Redirect "&amp;N153&amp;" "&amp;O153&amp;" "&amp;M153))</f>
        <v/>
      </c>
      <c r="Q153" s="22" t="n"/>
      <c r="R153" s="22" t="n"/>
      <c r="S153" s="22" t="n"/>
      <c r="T153" s="4">
        <f>IF(A153="","",TRIM(IF(K153="","Needs decision; ","")&amp;IF(AND(K153="Accept suggestion",F153=""),"No suggestion to accept; ","")&amp;IF(AND(K153="Override",L153=""),"Override URL missing; ","")&amp;IF(AND(K153="Accept suggestion",N(G153)&lt;$G$2),"Below your threshold; ","")&amp;IF(AND(M153&lt;&gt;"",M153=A153,K153&lt;&gt;"No change (same URL)"),"Redirects to itself; ","")&amp;IF(AND(M153&lt;&gt;"",OR(M153="/",AND(LEFT(M153,4)="http",OR((LEN(M153)-LEN(SUBSTITUTE(M153,"/","")))=2,AND((LEN(M153)-LEN(SUBSTITUTE(M153,"/","")))=3,RIGHT(M153,1)="/"))))),"Home page redirect; ","")&amp;IF(N(R153)&gt;1,"Chain; ","")&amp;IF(S153="No","Destination not 200; ","")))</f>
        <v/>
      </c>
      <c r="U153" s="22" t="n"/>
      <c r="V153" s="22" t="n"/>
      <c r="W153" s="4" t="n"/>
    </row>
    <row r="154">
      <c r="A154" s="22" t="n"/>
      <c r="B154" s="22" t="n"/>
      <c r="C154" s="22" t="n"/>
      <c r="D154" s="22">
        <f>IF(A154="","",IF(OR(N(B154)&gt;=$C$2,N(C154)&gt;=$E$2),"High",IF(OR(N(B154)&gt;0,N(C154)&gt;0),"Medium","Low")))</f>
        <v/>
      </c>
      <c r="E154" s="22" t="n"/>
      <c r="F154" s="22" t="n"/>
      <c r="G154" s="22" t="n"/>
      <c r="H154" s="22" t="n"/>
      <c r="I154" s="22" t="n"/>
      <c r="J154" s="22" t="n"/>
      <c r="K154" s="22" t="n"/>
      <c r="L154" s="22" t="n"/>
      <c r="M154" s="22">
        <f>IF(K154="Override",L154,IF(K154="Accept suggestion",F154,IF(K154="No change (same URL)",A154,"")))</f>
        <v/>
      </c>
      <c r="N154" s="22">
        <f>IF(A154="","",IF(K154="410 Gone","410",IF(K154="404","404",IF(K154="No change (same URL)","none",IF(M154="","","301")))))</f>
        <v/>
      </c>
      <c r="O154" s="22">
        <f>IF(A154="","",IFERROR(MID(A154,FIND("/",A154,FIND("//",A154)+2),2000),A154))</f>
        <v/>
      </c>
      <c r="P154" s="22">
        <f>IF(OR(O154="",N154="",N154="none",N154="404"),"",IF(N154="410","Redirect gone "&amp;O154,"Redirect "&amp;N154&amp;" "&amp;O154&amp;" "&amp;M154))</f>
        <v/>
      </c>
      <c r="Q154" s="22" t="n"/>
      <c r="R154" s="22" t="n"/>
      <c r="S154" s="22" t="n"/>
      <c r="T154" s="4">
        <f>IF(A154="","",TRIM(IF(K154="","Needs decision; ","")&amp;IF(AND(K154="Accept suggestion",F154=""),"No suggestion to accept; ","")&amp;IF(AND(K154="Override",L154=""),"Override URL missing; ","")&amp;IF(AND(K154="Accept suggestion",N(G154)&lt;$G$2),"Below your threshold; ","")&amp;IF(AND(M154&lt;&gt;"",M154=A154,K154&lt;&gt;"No change (same URL)"),"Redirects to itself; ","")&amp;IF(AND(M154&lt;&gt;"",OR(M154="/",AND(LEFT(M154,4)="http",OR((LEN(M154)-LEN(SUBSTITUTE(M154,"/","")))=2,AND((LEN(M154)-LEN(SUBSTITUTE(M154,"/","")))=3,RIGHT(M154,1)="/"))))),"Home page redirect; ","")&amp;IF(N(R154)&gt;1,"Chain; ","")&amp;IF(S154="No","Destination not 200; ","")))</f>
        <v/>
      </c>
      <c r="U154" s="22" t="n"/>
      <c r="V154" s="22" t="n"/>
      <c r="W154" s="4" t="n"/>
    </row>
    <row r="155">
      <c r="A155" s="22" t="n"/>
      <c r="B155" s="22" t="n"/>
      <c r="C155" s="22" t="n"/>
      <c r="D155" s="22">
        <f>IF(A155="","",IF(OR(N(B155)&gt;=$C$2,N(C155)&gt;=$E$2),"High",IF(OR(N(B155)&gt;0,N(C155)&gt;0),"Medium","Low")))</f>
        <v/>
      </c>
      <c r="E155" s="22" t="n"/>
      <c r="F155" s="22" t="n"/>
      <c r="G155" s="22" t="n"/>
      <c r="H155" s="22" t="n"/>
      <c r="I155" s="22" t="n"/>
      <c r="J155" s="22" t="n"/>
      <c r="K155" s="22" t="n"/>
      <c r="L155" s="22" t="n"/>
      <c r="M155" s="22">
        <f>IF(K155="Override",L155,IF(K155="Accept suggestion",F155,IF(K155="No change (same URL)",A155,"")))</f>
        <v/>
      </c>
      <c r="N155" s="22">
        <f>IF(A155="","",IF(K155="410 Gone","410",IF(K155="404","404",IF(K155="No change (same URL)","none",IF(M155="","","301")))))</f>
        <v/>
      </c>
      <c r="O155" s="22">
        <f>IF(A155="","",IFERROR(MID(A155,FIND("/",A155,FIND("//",A155)+2),2000),A155))</f>
        <v/>
      </c>
      <c r="P155" s="22">
        <f>IF(OR(O155="",N155="",N155="none",N155="404"),"",IF(N155="410","Redirect gone "&amp;O155,"Redirect "&amp;N155&amp;" "&amp;O155&amp;" "&amp;M155))</f>
        <v/>
      </c>
      <c r="Q155" s="22" t="n"/>
      <c r="R155" s="22" t="n"/>
      <c r="S155" s="22" t="n"/>
      <c r="T155" s="4">
        <f>IF(A155="","",TRIM(IF(K155="","Needs decision; ","")&amp;IF(AND(K155="Accept suggestion",F155=""),"No suggestion to accept; ","")&amp;IF(AND(K155="Override",L155=""),"Override URL missing; ","")&amp;IF(AND(K155="Accept suggestion",N(G155)&lt;$G$2),"Below your threshold; ","")&amp;IF(AND(M155&lt;&gt;"",M155=A155,K155&lt;&gt;"No change (same URL)"),"Redirects to itself; ","")&amp;IF(AND(M155&lt;&gt;"",OR(M155="/",AND(LEFT(M155,4)="http",OR((LEN(M155)-LEN(SUBSTITUTE(M155,"/","")))=2,AND((LEN(M155)-LEN(SUBSTITUTE(M155,"/","")))=3,RIGHT(M155,1)="/"))))),"Home page redirect; ","")&amp;IF(N(R155)&gt;1,"Chain; ","")&amp;IF(S155="No","Destination not 200; ","")))</f>
        <v/>
      </c>
      <c r="U155" s="22" t="n"/>
      <c r="V155" s="22" t="n"/>
      <c r="W155" s="4" t="n"/>
    </row>
    <row r="156">
      <c r="A156" s="22" t="n"/>
      <c r="B156" s="22" t="n"/>
      <c r="C156" s="22" t="n"/>
      <c r="D156" s="22">
        <f>IF(A156="","",IF(OR(N(B156)&gt;=$C$2,N(C156)&gt;=$E$2),"High",IF(OR(N(B156)&gt;0,N(C156)&gt;0),"Medium","Low")))</f>
        <v/>
      </c>
      <c r="E156" s="22" t="n"/>
      <c r="F156" s="22" t="n"/>
      <c r="G156" s="22" t="n"/>
      <c r="H156" s="22" t="n"/>
      <c r="I156" s="22" t="n"/>
      <c r="J156" s="22" t="n"/>
      <c r="K156" s="22" t="n"/>
      <c r="L156" s="22" t="n"/>
      <c r="M156" s="22">
        <f>IF(K156="Override",L156,IF(K156="Accept suggestion",F156,IF(K156="No change (same URL)",A156,"")))</f>
        <v/>
      </c>
      <c r="N156" s="22">
        <f>IF(A156="","",IF(K156="410 Gone","410",IF(K156="404","404",IF(K156="No change (same URL)","none",IF(M156="","","301")))))</f>
        <v/>
      </c>
      <c r="O156" s="22">
        <f>IF(A156="","",IFERROR(MID(A156,FIND("/",A156,FIND("//",A156)+2),2000),A156))</f>
        <v/>
      </c>
      <c r="P156" s="22">
        <f>IF(OR(O156="",N156="",N156="none",N156="404"),"",IF(N156="410","Redirect gone "&amp;O156,"Redirect "&amp;N156&amp;" "&amp;O156&amp;" "&amp;M156))</f>
        <v/>
      </c>
      <c r="Q156" s="22" t="n"/>
      <c r="R156" s="22" t="n"/>
      <c r="S156" s="22" t="n"/>
      <c r="T156" s="4">
        <f>IF(A156="","",TRIM(IF(K156="","Needs decision; ","")&amp;IF(AND(K156="Accept suggestion",F156=""),"No suggestion to accept; ","")&amp;IF(AND(K156="Override",L156=""),"Override URL missing; ","")&amp;IF(AND(K156="Accept suggestion",N(G156)&lt;$G$2),"Below your threshold; ","")&amp;IF(AND(M156&lt;&gt;"",M156=A156,K156&lt;&gt;"No change (same URL)"),"Redirects to itself; ","")&amp;IF(AND(M156&lt;&gt;"",OR(M156="/",AND(LEFT(M156,4)="http",OR((LEN(M156)-LEN(SUBSTITUTE(M156,"/","")))=2,AND((LEN(M156)-LEN(SUBSTITUTE(M156,"/","")))=3,RIGHT(M156,1)="/"))))),"Home page redirect; ","")&amp;IF(N(R156)&gt;1,"Chain; ","")&amp;IF(S156="No","Destination not 200; ","")))</f>
        <v/>
      </c>
      <c r="U156" s="22" t="n"/>
      <c r="V156" s="22" t="n"/>
      <c r="W156" s="4" t="n"/>
    </row>
    <row r="157">
      <c r="A157" s="22" t="n"/>
      <c r="B157" s="22" t="n"/>
      <c r="C157" s="22" t="n"/>
      <c r="D157" s="22">
        <f>IF(A157="","",IF(OR(N(B157)&gt;=$C$2,N(C157)&gt;=$E$2),"High",IF(OR(N(B157)&gt;0,N(C157)&gt;0),"Medium","Low")))</f>
        <v/>
      </c>
      <c r="E157" s="22" t="n"/>
      <c r="F157" s="22" t="n"/>
      <c r="G157" s="22" t="n"/>
      <c r="H157" s="22" t="n"/>
      <c r="I157" s="22" t="n"/>
      <c r="J157" s="22" t="n"/>
      <c r="K157" s="22" t="n"/>
      <c r="L157" s="22" t="n"/>
      <c r="M157" s="22">
        <f>IF(K157="Override",L157,IF(K157="Accept suggestion",F157,IF(K157="No change (same URL)",A157,"")))</f>
        <v/>
      </c>
      <c r="N157" s="22">
        <f>IF(A157="","",IF(K157="410 Gone","410",IF(K157="404","404",IF(K157="No change (same URL)","none",IF(M157="","","301")))))</f>
        <v/>
      </c>
      <c r="O157" s="22">
        <f>IF(A157="","",IFERROR(MID(A157,FIND("/",A157,FIND("//",A157)+2),2000),A157))</f>
        <v/>
      </c>
      <c r="P157" s="22">
        <f>IF(OR(O157="",N157="",N157="none",N157="404"),"",IF(N157="410","Redirect gone "&amp;O157,"Redirect "&amp;N157&amp;" "&amp;O157&amp;" "&amp;M157))</f>
        <v/>
      </c>
      <c r="Q157" s="22" t="n"/>
      <c r="R157" s="22" t="n"/>
      <c r="S157" s="22" t="n"/>
      <c r="T157" s="4">
        <f>IF(A157="","",TRIM(IF(K157="","Needs decision; ","")&amp;IF(AND(K157="Accept suggestion",F157=""),"No suggestion to accept; ","")&amp;IF(AND(K157="Override",L157=""),"Override URL missing; ","")&amp;IF(AND(K157="Accept suggestion",N(G157)&lt;$G$2),"Below your threshold; ","")&amp;IF(AND(M157&lt;&gt;"",M157=A157,K157&lt;&gt;"No change (same URL)"),"Redirects to itself; ","")&amp;IF(AND(M157&lt;&gt;"",OR(M157="/",AND(LEFT(M157,4)="http",OR((LEN(M157)-LEN(SUBSTITUTE(M157,"/","")))=2,AND((LEN(M157)-LEN(SUBSTITUTE(M157,"/","")))=3,RIGHT(M157,1)="/"))))),"Home page redirect; ","")&amp;IF(N(R157)&gt;1,"Chain; ","")&amp;IF(S157="No","Destination not 200; ","")))</f>
        <v/>
      </c>
      <c r="U157" s="22" t="n"/>
      <c r="V157" s="22" t="n"/>
      <c r="W157" s="4" t="n"/>
    </row>
    <row r="158">
      <c r="A158" s="22" t="n"/>
      <c r="B158" s="22" t="n"/>
      <c r="C158" s="22" t="n"/>
      <c r="D158" s="22">
        <f>IF(A158="","",IF(OR(N(B158)&gt;=$C$2,N(C158)&gt;=$E$2),"High",IF(OR(N(B158)&gt;0,N(C158)&gt;0),"Medium","Low")))</f>
        <v/>
      </c>
      <c r="E158" s="22" t="n"/>
      <c r="F158" s="22" t="n"/>
      <c r="G158" s="22" t="n"/>
      <c r="H158" s="22" t="n"/>
      <c r="I158" s="22" t="n"/>
      <c r="J158" s="22" t="n"/>
      <c r="K158" s="22" t="n"/>
      <c r="L158" s="22" t="n"/>
      <c r="M158" s="22">
        <f>IF(K158="Override",L158,IF(K158="Accept suggestion",F158,IF(K158="No change (same URL)",A158,"")))</f>
        <v/>
      </c>
      <c r="N158" s="22">
        <f>IF(A158="","",IF(K158="410 Gone","410",IF(K158="404","404",IF(K158="No change (same URL)","none",IF(M158="","","301")))))</f>
        <v/>
      </c>
      <c r="O158" s="22">
        <f>IF(A158="","",IFERROR(MID(A158,FIND("/",A158,FIND("//",A158)+2),2000),A158))</f>
        <v/>
      </c>
      <c r="P158" s="22">
        <f>IF(OR(O158="",N158="",N158="none",N158="404"),"",IF(N158="410","Redirect gone "&amp;O158,"Redirect "&amp;N158&amp;" "&amp;O158&amp;" "&amp;M158))</f>
        <v/>
      </c>
      <c r="Q158" s="22" t="n"/>
      <c r="R158" s="22" t="n"/>
      <c r="S158" s="22" t="n"/>
      <c r="T158" s="4">
        <f>IF(A158="","",TRIM(IF(K158="","Needs decision; ","")&amp;IF(AND(K158="Accept suggestion",F158=""),"No suggestion to accept; ","")&amp;IF(AND(K158="Override",L158=""),"Override URL missing; ","")&amp;IF(AND(K158="Accept suggestion",N(G158)&lt;$G$2),"Below your threshold; ","")&amp;IF(AND(M158&lt;&gt;"",M158=A158,K158&lt;&gt;"No change (same URL)"),"Redirects to itself; ","")&amp;IF(AND(M158&lt;&gt;"",OR(M158="/",AND(LEFT(M158,4)="http",OR((LEN(M158)-LEN(SUBSTITUTE(M158,"/","")))=2,AND((LEN(M158)-LEN(SUBSTITUTE(M158,"/","")))=3,RIGHT(M158,1)="/"))))),"Home page redirect; ","")&amp;IF(N(R158)&gt;1,"Chain; ","")&amp;IF(S158="No","Destination not 200; ","")))</f>
        <v/>
      </c>
      <c r="U158" s="22" t="n"/>
      <c r="V158" s="22" t="n"/>
      <c r="W158" s="4" t="n"/>
    </row>
    <row r="159">
      <c r="A159" s="22" t="n"/>
      <c r="B159" s="22" t="n"/>
      <c r="C159" s="22" t="n"/>
      <c r="D159" s="22">
        <f>IF(A159="","",IF(OR(N(B159)&gt;=$C$2,N(C159)&gt;=$E$2),"High",IF(OR(N(B159)&gt;0,N(C159)&gt;0),"Medium","Low")))</f>
        <v/>
      </c>
      <c r="E159" s="22" t="n"/>
      <c r="F159" s="22" t="n"/>
      <c r="G159" s="22" t="n"/>
      <c r="H159" s="22" t="n"/>
      <c r="I159" s="22" t="n"/>
      <c r="J159" s="22" t="n"/>
      <c r="K159" s="22" t="n"/>
      <c r="L159" s="22" t="n"/>
      <c r="M159" s="22">
        <f>IF(K159="Override",L159,IF(K159="Accept suggestion",F159,IF(K159="No change (same URL)",A159,"")))</f>
        <v/>
      </c>
      <c r="N159" s="22">
        <f>IF(A159="","",IF(K159="410 Gone","410",IF(K159="404","404",IF(K159="No change (same URL)","none",IF(M159="","","301")))))</f>
        <v/>
      </c>
      <c r="O159" s="22">
        <f>IF(A159="","",IFERROR(MID(A159,FIND("/",A159,FIND("//",A159)+2),2000),A159))</f>
        <v/>
      </c>
      <c r="P159" s="22">
        <f>IF(OR(O159="",N159="",N159="none",N159="404"),"",IF(N159="410","Redirect gone "&amp;O159,"Redirect "&amp;N159&amp;" "&amp;O159&amp;" "&amp;M159))</f>
        <v/>
      </c>
      <c r="Q159" s="22" t="n"/>
      <c r="R159" s="22" t="n"/>
      <c r="S159" s="22" t="n"/>
      <c r="T159" s="4">
        <f>IF(A159="","",TRIM(IF(K159="","Needs decision; ","")&amp;IF(AND(K159="Accept suggestion",F159=""),"No suggestion to accept; ","")&amp;IF(AND(K159="Override",L159=""),"Override URL missing; ","")&amp;IF(AND(K159="Accept suggestion",N(G159)&lt;$G$2),"Below your threshold; ","")&amp;IF(AND(M159&lt;&gt;"",M159=A159,K159&lt;&gt;"No change (same URL)"),"Redirects to itself; ","")&amp;IF(AND(M159&lt;&gt;"",OR(M159="/",AND(LEFT(M159,4)="http",OR((LEN(M159)-LEN(SUBSTITUTE(M159,"/","")))=2,AND((LEN(M159)-LEN(SUBSTITUTE(M159,"/","")))=3,RIGHT(M159,1)="/"))))),"Home page redirect; ","")&amp;IF(N(R159)&gt;1,"Chain; ","")&amp;IF(S159="No","Destination not 200; ","")))</f>
        <v/>
      </c>
      <c r="U159" s="22" t="n"/>
      <c r="V159" s="22" t="n"/>
      <c r="W159" s="4" t="n"/>
    </row>
    <row r="160">
      <c r="A160" s="22" t="n"/>
      <c r="B160" s="22" t="n"/>
      <c r="C160" s="22" t="n"/>
      <c r="D160" s="22">
        <f>IF(A160="","",IF(OR(N(B160)&gt;=$C$2,N(C160)&gt;=$E$2),"High",IF(OR(N(B160)&gt;0,N(C160)&gt;0),"Medium","Low")))</f>
        <v/>
      </c>
      <c r="E160" s="22" t="n"/>
      <c r="F160" s="22" t="n"/>
      <c r="G160" s="22" t="n"/>
      <c r="H160" s="22" t="n"/>
      <c r="I160" s="22" t="n"/>
      <c r="J160" s="22" t="n"/>
      <c r="K160" s="22" t="n"/>
      <c r="L160" s="22" t="n"/>
      <c r="M160" s="22">
        <f>IF(K160="Override",L160,IF(K160="Accept suggestion",F160,IF(K160="No change (same URL)",A160,"")))</f>
        <v/>
      </c>
      <c r="N160" s="22">
        <f>IF(A160="","",IF(K160="410 Gone","410",IF(K160="404","404",IF(K160="No change (same URL)","none",IF(M160="","","301")))))</f>
        <v/>
      </c>
      <c r="O160" s="22">
        <f>IF(A160="","",IFERROR(MID(A160,FIND("/",A160,FIND("//",A160)+2),2000),A160))</f>
        <v/>
      </c>
      <c r="P160" s="22">
        <f>IF(OR(O160="",N160="",N160="none",N160="404"),"",IF(N160="410","Redirect gone "&amp;O160,"Redirect "&amp;N160&amp;" "&amp;O160&amp;" "&amp;M160))</f>
        <v/>
      </c>
      <c r="Q160" s="22" t="n"/>
      <c r="R160" s="22" t="n"/>
      <c r="S160" s="22" t="n"/>
      <c r="T160" s="4">
        <f>IF(A160="","",TRIM(IF(K160="","Needs decision; ","")&amp;IF(AND(K160="Accept suggestion",F160=""),"No suggestion to accept; ","")&amp;IF(AND(K160="Override",L160=""),"Override URL missing; ","")&amp;IF(AND(K160="Accept suggestion",N(G160)&lt;$G$2),"Below your threshold; ","")&amp;IF(AND(M160&lt;&gt;"",M160=A160,K160&lt;&gt;"No change (same URL)"),"Redirects to itself; ","")&amp;IF(AND(M160&lt;&gt;"",OR(M160="/",AND(LEFT(M160,4)="http",OR((LEN(M160)-LEN(SUBSTITUTE(M160,"/","")))=2,AND((LEN(M160)-LEN(SUBSTITUTE(M160,"/","")))=3,RIGHT(M160,1)="/"))))),"Home page redirect; ","")&amp;IF(N(R160)&gt;1,"Chain; ","")&amp;IF(S160="No","Destination not 200; ","")))</f>
        <v/>
      </c>
      <c r="U160" s="22" t="n"/>
      <c r="V160" s="22" t="n"/>
      <c r="W160" s="4" t="n"/>
    </row>
    <row r="161">
      <c r="A161" s="22" t="n"/>
      <c r="B161" s="22" t="n"/>
      <c r="C161" s="22" t="n"/>
      <c r="D161" s="22">
        <f>IF(A161="","",IF(OR(N(B161)&gt;=$C$2,N(C161)&gt;=$E$2),"High",IF(OR(N(B161)&gt;0,N(C161)&gt;0),"Medium","Low")))</f>
        <v/>
      </c>
      <c r="E161" s="22" t="n"/>
      <c r="F161" s="22" t="n"/>
      <c r="G161" s="22" t="n"/>
      <c r="H161" s="22" t="n"/>
      <c r="I161" s="22" t="n"/>
      <c r="J161" s="22" t="n"/>
      <c r="K161" s="22" t="n"/>
      <c r="L161" s="22" t="n"/>
      <c r="M161" s="22">
        <f>IF(K161="Override",L161,IF(K161="Accept suggestion",F161,IF(K161="No change (same URL)",A161,"")))</f>
        <v/>
      </c>
      <c r="N161" s="22">
        <f>IF(A161="","",IF(K161="410 Gone","410",IF(K161="404","404",IF(K161="No change (same URL)","none",IF(M161="","","301")))))</f>
        <v/>
      </c>
      <c r="O161" s="22">
        <f>IF(A161="","",IFERROR(MID(A161,FIND("/",A161,FIND("//",A161)+2),2000),A161))</f>
        <v/>
      </c>
      <c r="P161" s="22">
        <f>IF(OR(O161="",N161="",N161="none",N161="404"),"",IF(N161="410","Redirect gone "&amp;O161,"Redirect "&amp;N161&amp;" "&amp;O161&amp;" "&amp;M161))</f>
        <v/>
      </c>
      <c r="Q161" s="22" t="n"/>
      <c r="R161" s="22" t="n"/>
      <c r="S161" s="22" t="n"/>
      <c r="T161" s="4">
        <f>IF(A161="","",TRIM(IF(K161="","Needs decision; ","")&amp;IF(AND(K161="Accept suggestion",F161=""),"No suggestion to accept; ","")&amp;IF(AND(K161="Override",L161=""),"Override URL missing; ","")&amp;IF(AND(K161="Accept suggestion",N(G161)&lt;$G$2),"Below your threshold; ","")&amp;IF(AND(M161&lt;&gt;"",M161=A161,K161&lt;&gt;"No change (same URL)"),"Redirects to itself; ","")&amp;IF(AND(M161&lt;&gt;"",OR(M161="/",AND(LEFT(M161,4)="http",OR((LEN(M161)-LEN(SUBSTITUTE(M161,"/","")))=2,AND((LEN(M161)-LEN(SUBSTITUTE(M161,"/","")))=3,RIGHT(M161,1)="/"))))),"Home page redirect; ","")&amp;IF(N(R161)&gt;1,"Chain; ","")&amp;IF(S161="No","Destination not 200; ","")))</f>
        <v/>
      </c>
      <c r="U161" s="22" t="n"/>
      <c r="V161" s="22" t="n"/>
      <c r="W161" s="4" t="n"/>
    </row>
    <row r="162">
      <c r="A162" s="22" t="n"/>
      <c r="B162" s="22" t="n"/>
      <c r="C162" s="22" t="n"/>
      <c r="D162" s="22">
        <f>IF(A162="","",IF(OR(N(B162)&gt;=$C$2,N(C162)&gt;=$E$2),"High",IF(OR(N(B162)&gt;0,N(C162)&gt;0),"Medium","Low")))</f>
        <v/>
      </c>
      <c r="E162" s="22" t="n"/>
      <c r="F162" s="22" t="n"/>
      <c r="G162" s="22" t="n"/>
      <c r="H162" s="22" t="n"/>
      <c r="I162" s="22" t="n"/>
      <c r="J162" s="22" t="n"/>
      <c r="K162" s="22" t="n"/>
      <c r="L162" s="22" t="n"/>
      <c r="M162" s="22">
        <f>IF(K162="Override",L162,IF(K162="Accept suggestion",F162,IF(K162="No change (same URL)",A162,"")))</f>
        <v/>
      </c>
      <c r="N162" s="22">
        <f>IF(A162="","",IF(K162="410 Gone","410",IF(K162="404","404",IF(K162="No change (same URL)","none",IF(M162="","","301")))))</f>
        <v/>
      </c>
      <c r="O162" s="22">
        <f>IF(A162="","",IFERROR(MID(A162,FIND("/",A162,FIND("//",A162)+2),2000),A162))</f>
        <v/>
      </c>
      <c r="P162" s="22">
        <f>IF(OR(O162="",N162="",N162="none",N162="404"),"",IF(N162="410","Redirect gone "&amp;O162,"Redirect "&amp;N162&amp;" "&amp;O162&amp;" "&amp;M162))</f>
        <v/>
      </c>
      <c r="Q162" s="22" t="n"/>
      <c r="R162" s="22" t="n"/>
      <c r="S162" s="22" t="n"/>
      <c r="T162" s="4">
        <f>IF(A162="","",TRIM(IF(K162="","Needs decision; ","")&amp;IF(AND(K162="Accept suggestion",F162=""),"No suggestion to accept; ","")&amp;IF(AND(K162="Override",L162=""),"Override URL missing; ","")&amp;IF(AND(K162="Accept suggestion",N(G162)&lt;$G$2),"Below your threshold; ","")&amp;IF(AND(M162&lt;&gt;"",M162=A162,K162&lt;&gt;"No change (same URL)"),"Redirects to itself; ","")&amp;IF(AND(M162&lt;&gt;"",OR(M162="/",AND(LEFT(M162,4)="http",OR((LEN(M162)-LEN(SUBSTITUTE(M162,"/","")))=2,AND((LEN(M162)-LEN(SUBSTITUTE(M162,"/","")))=3,RIGHT(M162,1)="/"))))),"Home page redirect; ","")&amp;IF(N(R162)&gt;1,"Chain; ","")&amp;IF(S162="No","Destination not 200; ","")))</f>
        <v/>
      </c>
      <c r="U162" s="22" t="n"/>
      <c r="V162" s="22" t="n"/>
      <c r="W162" s="4" t="n"/>
    </row>
    <row r="163">
      <c r="A163" s="22" t="n"/>
      <c r="B163" s="22" t="n"/>
      <c r="C163" s="22" t="n"/>
      <c r="D163" s="22">
        <f>IF(A163="","",IF(OR(N(B163)&gt;=$C$2,N(C163)&gt;=$E$2),"High",IF(OR(N(B163)&gt;0,N(C163)&gt;0),"Medium","Low")))</f>
        <v/>
      </c>
      <c r="E163" s="22" t="n"/>
      <c r="F163" s="22" t="n"/>
      <c r="G163" s="22" t="n"/>
      <c r="H163" s="22" t="n"/>
      <c r="I163" s="22" t="n"/>
      <c r="J163" s="22" t="n"/>
      <c r="K163" s="22" t="n"/>
      <c r="L163" s="22" t="n"/>
      <c r="M163" s="22">
        <f>IF(K163="Override",L163,IF(K163="Accept suggestion",F163,IF(K163="No change (same URL)",A163,"")))</f>
        <v/>
      </c>
      <c r="N163" s="22">
        <f>IF(A163="","",IF(K163="410 Gone","410",IF(K163="404","404",IF(K163="No change (same URL)","none",IF(M163="","","301")))))</f>
        <v/>
      </c>
      <c r="O163" s="22">
        <f>IF(A163="","",IFERROR(MID(A163,FIND("/",A163,FIND("//",A163)+2),2000),A163))</f>
        <v/>
      </c>
      <c r="P163" s="22">
        <f>IF(OR(O163="",N163="",N163="none",N163="404"),"",IF(N163="410","Redirect gone "&amp;O163,"Redirect "&amp;N163&amp;" "&amp;O163&amp;" "&amp;M163))</f>
        <v/>
      </c>
      <c r="Q163" s="22" t="n"/>
      <c r="R163" s="22" t="n"/>
      <c r="S163" s="22" t="n"/>
      <c r="T163" s="4">
        <f>IF(A163="","",TRIM(IF(K163="","Needs decision; ","")&amp;IF(AND(K163="Accept suggestion",F163=""),"No suggestion to accept; ","")&amp;IF(AND(K163="Override",L163=""),"Override URL missing; ","")&amp;IF(AND(K163="Accept suggestion",N(G163)&lt;$G$2),"Below your threshold; ","")&amp;IF(AND(M163&lt;&gt;"",M163=A163,K163&lt;&gt;"No change (same URL)"),"Redirects to itself; ","")&amp;IF(AND(M163&lt;&gt;"",OR(M163="/",AND(LEFT(M163,4)="http",OR((LEN(M163)-LEN(SUBSTITUTE(M163,"/","")))=2,AND((LEN(M163)-LEN(SUBSTITUTE(M163,"/","")))=3,RIGHT(M163,1)="/"))))),"Home page redirect; ","")&amp;IF(N(R163)&gt;1,"Chain; ","")&amp;IF(S163="No","Destination not 200; ","")))</f>
        <v/>
      </c>
      <c r="U163" s="22" t="n"/>
      <c r="V163" s="22" t="n"/>
      <c r="W163" s="4" t="n"/>
    </row>
    <row r="164">
      <c r="A164" s="22" t="n"/>
      <c r="B164" s="22" t="n"/>
      <c r="C164" s="22" t="n"/>
      <c r="D164" s="22">
        <f>IF(A164="","",IF(OR(N(B164)&gt;=$C$2,N(C164)&gt;=$E$2),"High",IF(OR(N(B164)&gt;0,N(C164)&gt;0),"Medium","Low")))</f>
        <v/>
      </c>
      <c r="E164" s="22" t="n"/>
      <c r="F164" s="22" t="n"/>
      <c r="G164" s="22" t="n"/>
      <c r="H164" s="22" t="n"/>
      <c r="I164" s="22" t="n"/>
      <c r="J164" s="22" t="n"/>
      <c r="K164" s="22" t="n"/>
      <c r="L164" s="22" t="n"/>
      <c r="M164" s="22">
        <f>IF(K164="Override",L164,IF(K164="Accept suggestion",F164,IF(K164="No change (same URL)",A164,"")))</f>
        <v/>
      </c>
      <c r="N164" s="22">
        <f>IF(A164="","",IF(K164="410 Gone","410",IF(K164="404","404",IF(K164="No change (same URL)","none",IF(M164="","","301")))))</f>
        <v/>
      </c>
      <c r="O164" s="22">
        <f>IF(A164="","",IFERROR(MID(A164,FIND("/",A164,FIND("//",A164)+2),2000),A164))</f>
        <v/>
      </c>
      <c r="P164" s="22">
        <f>IF(OR(O164="",N164="",N164="none",N164="404"),"",IF(N164="410","Redirect gone "&amp;O164,"Redirect "&amp;N164&amp;" "&amp;O164&amp;" "&amp;M164))</f>
        <v/>
      </c>
      <c r="Q164" s="22" t="n"/>
      <c r="R164" s="22" t="n"/>
      <c r="S164" s="22" t="n"/>
      <c r="T164" s="4">
        <f>IF(A164="","",TRIM(IF(K164="","Needs decision; ","")&amp;IF(AND(K164="Accept suggestion",F164=""),"No suggestion to accept; ","")&amp;IF(AND(K164="Override",L164=""),"Override URL missing; ","")&amp;IF(AND(K164="Accept suggestion",N(G164)&lt;$G$2),"Below your threshold; ","")&amp;IF(AND(M164&lt;&gt;"",M164=A164,K164&lt;&gt;"No change (same URL)"),"Redirects to itself; ","")&amp;IF(AND(M164&lt;&gt;"",OR(M164="/",AND(LEFT(M164,4)="http",OR((LEN(M164)-LEN(SUBSTITUTE(M164,"/","")))=2,AND((LEN(M164)-LEN(SUBSTITUTE(M164,"/","")))=3,RIGHT(M164,1)="/"))))),"Home page redirect; ","")&amp;IF(N(R164)&gt;1,"Chain; ","")&amp;IF(S164="No","Destination not 200; ","")))</f>
        <v/>
      </c>
      <c r="U164" s="22" t="n"/>
      <c r="V164" s="22" t="n"/>
      <c r="W164" s="4" t="n"/>
    </row>
    <row r="165">
      <c r="A165" s="22" t="n"/>
      <c r="B165" s="22" t="n"/>
      <c r="C165" s="22" t="n"/>
      <c r="D165" s="22">
        <f>IF(A165="","",IF(OR(N(B165)&gt;=$C$2,N(C165)&gt;=$E$2),"High",IF(OR(N(B165)&gt;0,N(C165)&gt;0),"Medium","Low")))</f>
        <v/>
      </c>
      <c r="E165" s="22" t="n"/>
      <c r="F165" s="22" t="n"/>
      <c r="G165" s="22" t="n"/>
      <c r="H165" s="22" t="n"/>
      <c r="I165" s="22" t="n"/>
      <c r="J165" s="22" t="n"/>
      <c r="K165" s="22" t="n"/>
      <c r="L165" s="22" t="n"/>
      <c r="M165" s="22">
        <f>IF(K165="Override",L165,IF(K165="Accept suggestion",F165,IF(K165="No change (same URL)",A165,"")))</f>
        <v/>
      </c>
      <c r="N165" s="22">
        <f>IF(A165="","",IF(K165="410 Gone","410",IF(K165="404","404",IF(K165="No change (same URL)","none",IF(M165="","","301")))))</f>
        <v/>
      </c>
      <c r="O165" s="22">
        <f>IF(A165="","",IFERROR(MID(A165,FIND("/",A165,FIND("//",A165)+2),2000),A165))</f>
        <v/>
      </c>
      <c r="P165" s="22">
        <f>IF(OR(O165="",N165="",N165="none",N165="404"),"",IF(N165="410","Redirect gone "&amp;O165,"Redirect "&amp;N165&amp;" "&amp;O165&amp;" "&amp;M165))</f>
        <v/>
      </c>
      <c r="Q165" s="22" t="n"/>
      <c r="R165" s="22" t="n"/>
      <c r="S165" s="22" t="n"/>
      <c r="T165" s="4">
        <f>IF(A165="","",TRIM(IF(K165="","Needs decision; ","")&amp;IF(AND(K165="Accept suggestion",F165=""),"No suggestion to accept; ","")&amp;IF(AND(K165="Override",L165=""),"Override URL missing; ","")&amp;IF(AND(K165="Accept suggestion",N(G165)&lt;$G$2),"Below your threshold; ","")&amp;IF(AND(M165&lt;&gt;"",M165=A165,K165&lt;&gt;"No change (same URL)"),"Redirects to itself; ","")&amp;IF(AND(M165&lt;&gt;"",OR(M165="/",AND(LEFT(M165,4)="http",OR((LEN(M165)-LEN(SUBSTITUTE(M165,"/","")))=2,AND((LEN(M165)-LEN(SUBSTITUTE(M165,"/","")))=3,RIGHT(M165,1)="/"))))),"Home page redirect; ","")&amp;IF(N(R165)&gt;1,"Chain; ","")&amp;IF(S165="No","Destination not 200; ","")))</f>
        <v/>
      </c>
      <c r="U165" s="22" t="n"/>
      <c r="V165" s="22" t="n"/>
      <c r="W165" s="4" t="n"/>
    </row>
    <row r="166">
      <c r="A166" s="22" t="n"/>
      <c r="B166" s="22" t="n"/>
      <c r="C166" s="22" t="n"/>
      <c r="D166" s="22">
        <f>IF(A166="","",IF(OR(N(B166)&gt;=$C$2,N(C166)&gt;=$E$2),"High",IF(OR(N(B166)&gt;0,N(C166)&gt;0),"Medium","Low")))</f>
        <v/>
      </c>
      <c r="E166" s="22" t="n"/>
      <c r="F166" s="22" t="n"/>
      <c r="G166" s="22" t="n"/>
      <c r="H166" s="22" t="n"/>
      <c r="I166" s="22" t="n"/>
      <c r="J166" s="22" t="n"/>
      <c r="K166" s="22" t="n"/>
      <c r="L166" s="22" t="n"/>
      <c r="M166" s="22">
        <f>IF(K166="Override",L166,IF(K166="Accept suggestion",F166,IF(K166="No change (same URL)",A166,"")))</f>
        <v/>
      </c>
      <c r="N166" s="22">
        <f>IF(A166="","",IF(K166="410 Gone","410",IF(K166="404","404",IF(K166="No change (same URL)","none",IF(M166="","","301")))))</f>
        <v/>
      </c>
      <c r="O166" s="22">
        <f>IF(A166="","",IFERROR(MID(A166,FIND("/",A166,FIND("//",A166)+2),2000),A166))</f>
        <v/>
      </c>
      <c r="P166" s="22">
        <f>IF(OR(O166="",N166="",N166="none",N166="404"),"",IF(N166="410","Redirect gone "&amp;O166,"Redirect "&amp;N166&amp;" "&amp;O166&amp;" "&amp;M166))</f>
        <v/>
      </c>
      <c r="Q166" s="22" t="n"/>
      <c r="R166" s="22" t="n"/>
      <c r="S166" s="22" t="n"/>
      <c r="T166" s="4">
        <f>IF(A166="","",TRIM(IF(K166="","Needs decision; ","")&amp;IF(AND(K166="Accept suggestion",F166=""),"No suggestion to accept; ","")&amp;IF(AND(K166="Override",L166=""),"Override URL missing; ","")&amp;IF(AND(K166="Accept suggestion",N(G166)&lt;$G$2),"Below your threshold; ","")&amp;IF(AND(M166&lt;&gt;"",M166=A166,K166&lt;&gt;"No change (same URL)"),"Redirects to itself; ","")&amp;IF(AND(M166&lt;&gt;"",OR(M166="/",AND(LEFT(M166,4)="http",OR((LEN(M166)-LEN(SUBSTITUTE(M166,"/","")))=2,AND((LEN(M166)-LEN(SUBSTITUTE(M166,"/","")))=3,RIGHT(M166,1)="/"))))),"Home page redirect; ","")&amp;IF(N(R166)&gt;1,"Chain; ","")&amp;IF(S166="No","Destination not 200; ","")))</f>
        <v/>
      </c>
      <c r="U166" s="22" t="n"/>
      <c r="V166" s="22" t="n"/>
      <c r="W166" s="4" t="n"/>
    </row>
    <row r="167">
      <c r="A167" s="22" t="n"/>
      <c r="B167" s="22" t="n"/>
      <c r="C167" s="22" t="n"/>
      <c r="D167" s="22">
        <f>IF(A167="","",IF(OR(N(B167)&gt;=$C$2,N(C167)&gt;=$E$2),"High",IF(OR(N(B167)&gt;0,N(C167)&gt;0),"Medium","Low")))</f>
        <v/>
      </c>
      <c r="E167" s="22" t="n"/>
      <c r="F167" s="22" t="n"/>
      <c r="G167" s="22" t="n"/>
      <c r="H167" s="22" t="n"/>
      <c r="I167" s="22" t="n"/>
      <c r="J167" s="22" t="n"/>
      <c r="K167" s="22" t="n"/>
      <c r="L167" s="22" t="n"/>
      <c r="M167" s="22">
        <f>IF(K167="Override",L167,IF(K167="Accept suggestion",F167,IF(K167="No change (same URL)",A167,"")))</f>
        <v/>
      </c>
      <c r="N167" s="22">
        <f>IF(A167="","",IF(K167="410 Gone","410",IF(K167="404","404",IF(K167="No change (same URL)","none",IF(M167="","","301")))))</f>
        <v/>
      </c>
      <c r="O167" s="22">
        <f>IF(A167="","",IFERROR(MID(A167,FIND("/",A167,FIND("//",A167)+2),2000),A167))</f>
        <v/>
      </c>
      <c r="P167" s="22">
        <f>IF(OR(O167="",N167="",N167="none",N167="404"),"",IF(N167="410","Redirect gone "&amp;O167,"Redirect "&amp;N167&amp;" "&amp;O167&amp;" "&amp;M167))</f>
        <v/>
      </c>
      <c r="Q167" s="22" t="n"/>
      <c r="R167" s="22" t="n"/>
      <c r="S167" s="22" t="n"/>
      <c r="T167" s="4">
        <f>IF(A167="","",TRIM(IF(K167="","Needs decision; ","")&amp;IF(AND(K167="Accept suggestion",F167=""),"No suggestion to accept; ","")&amp;IF(AND(K167="Override",L167=""),"Override URL missing; ","")&amp;IF(AND(K167="Accept suggestion",N(G167)&lt;$G$2),"Below your threshold; ","")&amp;IF(AND(M167&lt;&gt;"",M167=A167,K167&lt;&gt;"No change (same URL)"),"Redirects to itself; ","")&amp;IF(AND(M167&lt;&gt;"",OR(M167="/",AND(LEFT(M167,4)="http",OR((LEN(M167)-LEN(SUBSTITUTE(M167,"/","")))=2,AND((LEN(M167)-LEN(SUBSTITUTE(M167,"/","")))=3,RIGHT(M167,1)="/"))))),"Home page redirect; ","")&amp;IF(N(R167)&gt;1,"Chain; ","")&amp;IF(S167="No","Destination not 200; ","")))</f>
        <v/>
      </c>
      <c r="U167" s="22" t="n"/>
      <c r="V167" s="22" t="n"/>
      <c r="W167" s="4" t="n"/>
    </row>
    <row r="168">
      <c r="A168" s="22" t="n"/>
      <c r="B168" s="22" t="n"/>
      <c r="C168" s="22" t="n"/>
      <c r="D168" s="22">
        <f>IF(A168="","",IF(OR(N(B168)&gt;=$C$2,N(C168)&gt;=$E$2),"High",IF(OR(N(B168)&gt;0,N(C168)&gt;0),"Medium","Low")))</f>
        <v/>
      </c>
      <c r="E168" s="22" t="n"/>
      <c r="F168" s="22" t="n"/>
      <c r="G168" s="22" t="n"/>
      <c r="H168" s="22" t="n"/>
      <c r="I168" s="22" t="n"/>
      <c r="J168" s="22" t="n"/>
      <c r="K168" s="22" t="n"/>
      <c r="L168" s="22" t="n"/>
      <c r="M168" s="22">
        <f>IF(K168="Override",L168,IF(K168="Accept suggestion",F168,IF(K168="No change (same URL)",A168,"")))</f>
        <v/>
      </c>
      <c r="N168" s="22">
        <f>IF(A168="","",IF(K168="410 Gone","410",IF(K168="404","404",IF(K168="No change (same URL)","none",IF(M168="","","301")))))</f>
        <v/>
      </c>
      <c r="O168" s="22">
        <f>IF(A168="","",IFERROR(MID(A168,FIND("/",A168,FIND("//",A168)+2),2000),A168))</f>
        <v/>
      </c>
      <c r="P168" s="22">
        <f>IF(OR(O168="",N168="",N168="none",N168="404"),"",IF(N168="410","Redirect gone "&amp;O168,"Redirect "&amp;N168&amp;" "&amp;O168&amp;" "&amp;M168))</f>
        <v/>
      </c>
      <c r="Q168" s="22" t="n"/>
      <c r="R168" s="22" t="n"/>
      <c r="S168" s="22" t="n"/>
      <c r="T168" s="4">
        <f>IF(A168="","",TRIM(IF(K168="","Needs decision; ","")&amp;IF(AND(K168="Accept suggestion",F168=""),"No suggestion to accept; ","")&amp;IF(AND(K168="Override",L168=""),"Override URL missing; ","")&amp;IF(AND(K168="Accept suggestion",N(G168)&lt;$G$2),"Below your threshold; ","")&amp;IF(AND(M168&lt;&gt;"",M168=A168,K168&lt;&gt;"No change (same URL)"),"Redirects to itself; ","")&amp;IF(AND(M168&lt;&gt;"",OR(M168="/",AND(LEFT(M168,4)="http",OR((LEN(M168)-LEN(SUBSTITUTE(M168,"/","")))=2,AND((LEN(M168)-LEN(SUBSTITUTE(M168,"/","")))=3,RIGHT(M168,1)="/"))))),"Home page redirect; ","")&amp;IF(N(R168)&gt;1,"Chain; ","")&amp;IF(S168="No","Destination not 200; ","")))</f>
        <v/>
      </c>
      <c r="U168" s="22" t="n"/>
      <c r="V168" s="22" t="n"/>
      <c r="W168" s="4" t="n"/>
    </row>
    <row r="169">
      <c r="A169" s="22" t="n"/>
      <c r="B169" s="22" t="n"/>
      <c r="C169" s="22" t="n"/>
      <c r="D169" s="22">
        <f>IF(A169="","",IF(OR(N(B169)&gt;=$C$2,N(C169)&gt;=$E$2),"High",IF(OR(N(B169)&gt;0,N(C169)&gt;0),"Medium","Low")))</f>
        <v/>
      </c>
      <c r="E169" s="22" t="n"/>
      <c r="F169" s="22" t="n"/>
      <c r="G169" s="22" t="n"/>
      <c r="H169" s="22" t="n"/>
      <c r="I169" s="22" t="n"/>
      <c r="J169" s="22" t="n"/>
      <c r="K169" s="22" t="n"/>
      <c r="L169" s="22" t="n"/>
      <c r="M169" s="22">
        <f>IF(K169="Override",L169,IF(K169="Accept suggestion",F169,IF(K169="No change (same URL)",A169,"")))</f>
        <v/>
      </c>
      <c r="N169" s="22">
        <f>IF(A169="","",IF(K169="410 Gone","410",IF(K169="404","404",IF(K169="No change (same URL)","none",IF(M169="","","301")))))</f>
        <v/>
      </c>
      <c r="O169" s="22">
        <f>IF(A169="","",IFERROR(MID(A169,FIND("/",A169,FIND("//",A169)+2),2000),A169))</f>
        <v/>
      </c>
      <c r="P169" s="22">
        <f>IF(OR(O169="",N169="",N169="none",N169="404"),"",IF(N169="410","Redirect gone "&amp;O169,"Redirect "&amp;N169&amp;" "&amp;O169&amp;" "&amp;M169))</f>
        <v/>
      </c>
      <c r="Q169" s="22" t="n"/>
      <c r="R169" s="22" t="n"/>
      <c r="S169" s="22" t="n"/>
      <c r="T169" s="4">
        <f>IF(A169="","",TRIM(IF(K169="","Needs decision; ","")&amp;IF(AND(K169="Accept suggestion",F169=""),"No suggestion to accept; ","")&amp;IF(AND(K169="Override",L169=""),"Override URL missing; ","")&amp;IF(AND(K169="Accept suggestion",N(G169)&lt;$G$2),"Below your threshold; ","")&amp;IF(AND(M169&lt;&gt;"",M169=A169,K169&lt;&gt;"No change (same URL)"),"Redirects to itself; ","")&amp;IF(AND(M169&lt;&gt;"",OR(M169="/",AND(LEFT(M169,4)="http",OR((LEN(M169)-LEN(SUBSTITUTE(M169,"/","")))=2,AND((LEN(M169)-LEN(SUBSTITUTE(M169,"/","")))=3,RIGHT(M169,1)="/"))))),"Home page redirect; ","")&amp;IF(N(R169)&gt;1,"Chain; ","")&amp;IF(S169="No","Destination not 200; ","")))</f>
        <v/>
      </c>
      <c r="U169" s="22" t="n"/>
      <c r="V169" s="22" t="n"/>
      <c r="W169" s="4" t="n"/>
    </row>
    <row r="170">
      <c r="A170" s="22" t="n"/>
      <c r="B170" s="22" t="n"/>
      <c r="C170" s="22" t="n"/>
      <c r="D170" s="22">
        <f>IF(A170="","",IF(OR(N(B170)&gt;=$C$2,N(C170)&gt;=$E$2),"High",IF(OR(N(B170)&gt;0,N(C170)&gt;0),"Medium","Low")))</f>
        <v/>
      </c>
      <c r="E170" s="22" t="n"/>
      <c r="F170" s="22" t="n"/>
      <c r="G170" s="22" t="n"/>
      <c r="H170" s="22" t="n"/>
      <c r="I170" s="22" t="n"/>
      <c r="J170" s="22" t="n"/>
      <c r="K170" s="22" t="n"/>
      <c r="L170" s="22" t="n"/>
      <c r="M170" s="22">
        <f>IF(K170="Override",L170,IF(K170="Accept suggestion",F170,IF(K170="No change (same URL)",A170,"")))</f>
        <v/>
      </c>
      <c r="N170" s="22">
        <f>IF(A170="","",IF(K170="410 Gone","410",IF(K170="404","404",IF(K170="No change (same URL)","none",IF(M170="","","301")))))</f>
        <v/>
      </c>
      <c r="O170" s="22">
        <f>IF(A170="","",IFERROR(MID(A170,FIND("/",A170,FIND("//",A170)+2),2000),A170))</f>
        <v/>
      </c>
      <c r="P170" s="22">
        <f>IF(OR(O170="",N170="",N170="none",N170="404"),"",IF(N170="410","Redirect gone "&amp;O170,"Redirect "&amp;N170&amp;" "&amp;O170&amp;" "&amp;M170))</f>
        <v/>
      </c>
      <c r="Q170" s="22" t="n"/>
      <c r="R170" s="22" t="n"/>
      <c r="S170" s="22" t="n"/>
      <c r="T170" s="4">
        <f>IF(A170="","",TRIM(IF(K170="","Needs decision; ","")&amp;IF(AND(K170="Accept suggestion",F170=""),"No suggestion to accept; ","")&amp;IF(AND(K170="Override",L170=""),"Override URL missing; ","")&amp;IF(AND(K170="Accept suggestion",N(G170)&lt;$G$2),"Below your threshold; ","")&amp;IF(AND(M170&lt;&gt;"",M170=A170,K170&lt;&gt;"No change (same URL)"),"Redirects to itself; ","")&amp;IF(AND(M170&lt;&gt;"",OR(M170="/",AND(LEFT(M170,4)="http",OR((LEN(M170)-LEN(SUBSTITUTE(M170,"/","")))=2,AND((LEN(M170)-LEN(SUBSTITUTE(M170,"/","")))=3,RIGHT(M170,1)="/"))))),"Home page redirect; ","")&amp;IF(N(R170)&gt;1,"Chain; ","")&amp;IF(S170="No","Destination not 200; ","")))</f>
        <v/>
      </c>
      <c r="U170" s="22" t="n"/>
      <c r="V170" s="22" t="n"/>
      <c r="W170" s="4" t="n"/>
    </row>
    <row r="171">
      <c r="A171" s="22" t="n"/>
      <c r="B171" s="22" t="n"/>
      <c r="C171" s="22" t="n"/>
      <c r="D171" s="22">
        <f>IF(A171="","",IF(OR(N(B171)&gt;=$C$2,N(C171)&gt;=$E$2),"High",IF(OR(N(B171)&gt;0,N(C171)&gt;0),"Medium","Low")))</f>
        <v/>
      </c>
      <c r="E171" s="22" t="n"/>
      <c r="F171" s="22" t="n"/>
      <c r="G171" s="22" t="n"/>
      <c r="H171" s="22" t="n"/>
      <c r="I171" s="22" t="n"/>
      <c r="J171" s="22" t="n"/>
      <c r="K171" s="22" t="n"/>
      <c r="L171" s="22" t="n"/>
      <c r="M171" s="22">
        <f>IF(K171="Override",L171,IF(K171="Accept suggestion",F171,IF(K171="No change (same URL)",A171,"")))</f>
        <v/>
      </c>
      <c r="N171" s="22">
        <f>IF(A171="","",IF(K171="410 Gone","410",IF(K171="404","404",IF(K171="No change (same URL)","none",IF(M171="","","301")))))</f>
        <v/>
      </c>
      <c r="O171" s="22">
        <f>IF(A171="","",IFERROR(MID(A171,FIND("/",A171,FIND("//",A171)+2),2000),A171))</f>
        <v/>
      </c>
      <c r="P171" s="22">
        <f>IF(OR(O171="",N171="",N171="none",N171="404"),"",IF(N171="410","Redirect gone "&amp;O171,"Redirect "&amp;N171&amp;" "&amp;O171&amp;" "&amp;M171))</f>
        <v/>
      </c>
      <c r="Q171" s="22" t="n"/>
      <c r="R171" s="22" t="n"/>
      <c r="S171" s="22" t="n"/>
      <c r="T171" s="4">
        <f>IF(A171="","",TRIM(IF(K171="","Needs decision; ","")&amp;IF(AND(K171="Accept suggestion",F171=""),"No suggestion to accept; ","")&amp;IF(AND(K171="Override",L171=""),"Override URL missing; ","")&amp;IF(AND(K171="Accept suggestion",N(G171)&lt;$G$2),"Below your threshold; ","")&amp;IF(AND(M171&lt;&gt;"",M171=A171,K171&lt;&gt;"No change (same URL)"),"Redirects to itself; ","")&amp;IF(AND(M171&lt;&gt;"",OR(M171="/",AND(LEFT(M171,4)="http",OR((LEN(M171)-LEN(SUBSTITUTE(M171,"/","")))=2,AND((LEN(M171)-LEN(SUBSTITUTE(M171,"/","")))=3,RIGHT(M171,1)="/"))))),"Home page redirect; ","")&amp;IF(N(R171)&gt;1,"Chain; ","")&amp;IF(S171="No","Destination not 200; ","")))</f>
        <v/>
      </c>
      <c r="U171" s="22" t="n"/>
      <c r="V171" s="22" t="n"/>
      <c r="W171" s="4" t="n"/>
    </row>
    <row r="172">
      <c r="A172" s="22" t="n"/>
      <c r="B172" s="22" t="n"/>
      <c r="C172" s="22" t="n"/>
      <c r="D172" s="22">
        <f>IF(A172="","",IF(OR(N(B172)&gt;=$C$2,N(C172)&gt;=$E$2),"High",IF(OR(N(B172)&gt;0,N(C172)&gt;0),"Medium","Low")))</f>
        <v/>
      </c>
      <c r="E172" s="22" t="n"/>
      <c r="F172" s="22" t="n"/>
      <c r="G172" s="22" t="n"/>
      <c r="H172" s="22" t="n"/>
      <c r="I172" s="22" t="n"/>
      <c r="J172" s="22" t="n"/>
      <c r="K172" s="22" t="n"/>
      <c r="L172" s="22" t="n"/>
      <c r="M172" s="22">
        <f>IF(K172="Override",L172,IF(K172="Accept suggestion",F172,IF(K172="No change (same URL)",A172,"")))</f>
        <v/>
      </c>
      <c r="N172" s="22">
        <f>IF(A172="","",IF(K172="410 Gone","410",IF(K172="404","404",IF(K172="No change (same URL)","none",IF(M172="","","301")))))</f>
        <v/>
      </c>
      <c r="O172" s="22">
        <f>IF(A172="","",IFERROR(MID(A172,FIND("/",A172,FIND("//",A172)+2),2000),A172))</f>
        <v/>
      </c>
      <c r="P172" s="22">
        <f>IF(OR(O172="",N172="",N172="none",N172="404"),"",IF(N172="410","Redirect gone "&amp;O172,"Redirect "&amp;N172&amp;" "&amp;O172&amp;" "&amp;M172))</f>
        <v/>
      </c>
      <c r="Q172" s="22" t="n"/>
      <c r="R172" s="22" t="n"/>
      <c r="S172" s="22" t="n"/>
      <c r="T172" s="4">
        <f>IF(A172="","",TRIM(IF(K172="","Needs decision; ","")&amp;IF(AND(K172="Accept suggestion",F172=""),"No suggestion to accept; ","")&amp;IF(AND(K172="Override",L172=""),"Override URL missing; ","")&amp;IF(AND(K172="Accept suggestion",N(G172)&lt;$G$2),"Below your threshold; ","")&amp;IF(AND(M172&lt;&gt;"",M172=A172,K172&lt;&gt;"No change (same URL)"),"Redirects to itself; ","")&amp;IF(AND(M172&lt;&gt;"",OR(M172="/",AND(LEFT(M172,4)="http",OR((LEN(M172)-LEN(SUBSTITUTE(M172,"/","")))=2,AND((LEN(M172)-LEN(SUBSTITUTE(M172,"/","")))=3,RIGHT(M172,1)="/"))))),"Home page redirect; ","")&amp;IF(N(R172)&gt;1,"Chain; ","")&amp;IF(S172="No","Destination not 200; ","")))</f>
        <v/>
      </c>
      <c r="U172" s="22" t="n"/>
      <c r="V172" s="22" t="n"/>
      <c r="W172" s="4" t="n"/>
    </row>
    <row r="173">
      <c r="A173" s="22" t="n"/>
      <c r="B173" s="22" t="n"/>
      <c r="C173" s="22" t="n"/>
      <c r="D173" s="22">
        <f>IF(A173="","",IF(OR(N(B173)&gt;=$C$2,N(C173)&gt;=$E$2),"High",IF(OR(N(B173)&gt;0,N(C173)&gt;0),"Medium","Low")))</f>
        <v/>
      </c>
      <c r="E173" s="22" t="n"/>
      <c r="F173" s="22" t="n"/>
      <c r="G173" s="22" t="n"/>
      <c r="H173" s="22" t="n"/>
      <c r="I173" s="22" t="n"/>
      <c r="J173" s="22" t="n"/>
      <c r="K173" s="22" t="n"/>
      <c r="L173" s="22" t="n"/>
      <c r="M173" s="22">
        <f>IF(K173="Override",L173,IF(K173="Accept suggestion",F173,IF(K173="No change (same URL)",A173,"")))</f>
        <v/>
      </c>
      <c r="N173" s="22">
        <f>IF(A173="","",IF(K173="410 Gone","410",IF(K173="404","404",IF(K173="No change (same URL)","none",IF(M173="","","301")))))</f>
        <v/>
      </c>
      <c r="O173" s="22">
        <f>IF(A173="","",IFERROR(MID(A173,FIND("/",A173,FIND("//",A173)+2),2000),A173))</f>
        <v/>
      </c>
      <c r="P173" s="22">
        <f>IF(OR(O173="",N173="",N173="none",N173="404"),"",IF(N173="410","Redirect gone "&amp;O173,"Redirect "&amp;N173&amp;" "&amp;O173&amp;" "&amp;M173))</f>
        <v/>
      </c>
      <c r="Q173" s="22" t="n"/>
      <c r="R173" s="22" t="n"/>
      <c r="S173" s="22" t="n"/>
      <c r="T173" s="4">
        <f>IF(A173="","",TRIM(IF(K173="","Needs decision; ","")&amp;IF(AND(K173="Accept suggestion",F173=""),"No suggestion to accept; ","")&amp;IF(AND(K173="Override",L173=""),"Override URL missing; ","")&amp;IF(AND(K173="Accept suggestion",N(G173)&lt;$G$2),"Below your threshold; ","")&amp;IF(AND(M173&lt;&gt;"",M173=A173,K173&lt;&gt;"No change (same URL)"),"Redirects to itself; ","")&amp;IF(AND(M173&lt;&gt;"",OR(M173="/",AND(LEFT(M173,4)="http",OR((LEN(M173)-LEN(SUBSTITUTE(M173,"/","")))=2,AND((LEN(M173)-LEN(SUBSTITUTE(M173,"/","")))=3,RIGHT(M173,1)="/"))))),"Home page redirect; ","")&amp;IF(N(R173)&gt;1,"Chain; ","")&amp;IF(S173="No","Destination not 200; ","")))</f>
        <v/>
      </c>
      <c r="U173" s="22" t="n"/>
      <c r="V173" s="22" t="n"/>
      <c r="W173" s="4" t="n"/>
    </row>
    <row r="174">
      <c r="A174" s="22" t="n"/>
      <c r="B174" s="22" t="n"/>
      <c r="C174" s="22" t="n"/>
      <c r="D174" s="22">
        <f>IF(A174="","",IF(OR(N(B174)&gt;=$C$2,N(C174)&gt;=$E$2),"High",IF(OR(N(B174)&gt;0,N(C174)&gt;0),"Medium","Low")))</f>
        <v/>
      </c>
      <c r="E174" s="22" t="n"/>
      <c r="F174" s="22" t="n"/>
      <c r="G174" s="22" t="n"/>
      <c r="H174" s="22" t="n"/>
      <c r="I174" s="22" t="n"/>
      <c r="J174" s="22" t="n"/>
      <c r="K174" s="22" t="n"/>
      <c r="L174" s="22" t="n"/>
      <c r="M174" s="22">
        <f>IF(K174="Override",L174,IF(K174="Accept suggestion",F174,IF(K174="No change (same URL)",A174,"")))</f>
        <v/>
      </c>
      <c r="N174" s="22">
        <f>IF(A174="","",IF(K174="410 Gone","410",IF(K174="404","404",IF(K174="No change (same URL)","none",IF(M174="","","301")))))</f>
        <v/>
      </c>
      <c r="O174" s="22">
        <f>IF(A174="","",IFERROR(MID(A174,FIND("/",A174,FIND("//",A174)+2),2000),A174))</f>
        <v/>
      </c>
      <c r="P174" s="22">
        <f>IF(OR(O174="",N174="",N174="none",N174="404"),"",IF(N174="410","Redirect gone "&amp;O174,"Redirect "&amp;N174&amp;" "&amp;O174&amp;" "&amp;M174))</f>
        <v/>
      </c>
      <c r="Q174" s="22" t="n"/>
      <c r="R174" s="22" t="n"/>
      <c r="S174" s="22" t="n"/>
      <c r="T174" s="4">
        <f>IF(A174="","",TRIM(IF(K174="","Needs decision; ","")&amp;IF(AND(K174="Accept suggestion",F174=""),"No suggestion to accept; ","")&amp;IF(AND(K174="Override",L174=""),"Override URL missing; ","")&amp;IF(AND(K174="Accept suggestion",N(G174)&lt;$G$2),"Below your threshold; ","")&amp;IF(AND(M174&lt;&gt;"",M174=A174,K174&lt;&gt;"No change (same URL)"),"Redirects to itself; ","")&amp;IF(AND(M174&lt;&gt;"",OR(M174="/",AND(LEFT(M174,4)="http",OR((LEN(M174)-LEN(SUBSTITUTE(M174,"/","")))=2,AND((LEN(M174)-LEN(SUBSTITUTE(M174,"/","")))=3,RIGHT(M174,1)="/"))))),"Home page redirect; ","")&amp;IF(N(R174)&gt;1,"Chain; ","")&amp;IF(S174="No","Destination not 200; ","")))</f>
        <v/>
      </c>
      <c r="U174" s="22" t="n"/>
      <c r="V174" s="22" t="n"/>
      <c r="W174" s="4" t="n"/>
    </row>
    <row r="175">
      <c r="A175" s="22" t="n"/>
      <c r="B175" s="22" t="n"/>
      <c r="C175" s="22" t="n"/>
      <c r="D175" s="22">
        <f>IF(A175="","",IF(OR(N(B175)&gt;=$C$2,N(C175)&gt;=$E$2),"High",IF(OR(N(B175)&gt;0,N(C175)&gt;0),"Medium","Low")))</f>
        <v/>
      </c>
      <c r="E175" s="22" t="n"/>
      <c r="F175" s="22" t="n"/>
      <c r="G175" s="22" t="n"/>
      <c r="H175" s="22" t="n"/>
      <c r="I175" s="22" t="n"/>
      <c r="J175" s="22" t="n"/>
      <c r="K175" s="22" t="n"/>
      <c r="L175" s="22" t="n"/>
      <c r="M175" s="22">
        <f>IF(K175="Override",L175,IF(K175="Accept suggestion",F175,IF(K175="No change (same URL)",A175,"")))</f>
        <v/>
      </c>
      <c r="N175" s="22">
        <f>IF(A175="","",IF(K175="410 Gone","410",IF(K175="404","404",IF(K175="No change (same URL)","none",IF(M175="","","301")))))</f>
        <v/>
      </c>
      <c r="O175" s="22">
        <f>IF(A175="","",IFERROR(MID(A175,FIND("/",A175,FIND("//",A175)+2),2000),A175))</f>
        <v/>
      </c>
      <c r="P175" s="22">
        <f>IF(OR(O175="",N175="",N175="none",N175="404"),"",IF(N175="410","Redirect gone "&amp;O175,"Redirect "&amp;N175&amp;" "&amp;O175&amp;" "&amp;M175))</f>
        <v/>
      </c>
      <c r="Q175" s="22" t="n"/>
      <c r="R175" s="22" t="n"/>
      <c r="S175" s="22" t="n"/>
      <c r="T175" s="4">
        <f>IF(A175="","",TRIM(IF(K175="","Needs decision; ","")&amp;IF(AND(K175="Accept suggestion",F175=""),"No suggestion to accept; ","")&amp;IF(AND(K175="Override",L175=""),"Override URL missing; ","")&amp;IF(AND(K175="Accept suggestion",N(G175)&lt;$G$2),"Below your threshold; ","")&amp;IF(AND(M175&lt;&gt;"",M175=A175,K175&lt;&gt;"No change (same URL)"),"Redirects to itself; ","")&amp;IF(AND(M175&lt;&gt;"",OR(M175="/",AND(LEFT(M175,4)="http",OR((LEN(M175)-LEN(SUBSTITUTE(M175,"/","")))=2,AND((LEN(M175)-LEN(SUBSTITUTE(M175,"/","")))=3,RIGHT(M175,1)="/"))))),"Home page redirect; ","")&amp;IF(N(R175)&gt;1,"Chain; ","")&amp;IF(S175="No","Destination not 200; ","")))</f>
        <v/>
      </c>
      <c r="U175" s="22" t="n"/>
      <c r="V175" s="22" t="n"/>
      <c r="W175" s="4" t="n"/>
    </row>
    <row r="176">
      <c r="A176" s="22" t="n"/>
      <c r="B176" s="22" t="n"/>
      <c r="C176" s="22" t="n"/>
      <c r="D176" s="22">
        <f>IF(A176="","",IF(OR(N(B176)&gt;=$C$2,N(C176)&gt;=$E$2),"High",IF(OR(N(B176)&gt;0,N(C176)&gt;0),"Medium","Low")))</f>
        <v/>
      </c>
      <c r="E176" s="22" t="n"/>
      <c r="F176" s="22" t="n"/>
      <c r="G176" s="22" t="n"/>
      <c r="H176" s="22" t="n"/>
      <c r="I176" s="22" t="n"/>
      <c r="J176" s="22" t="n"/>
      <c r="K176" s="22" t="n"/>
      <c r="L176" s="22" t="n"/>
      <c r="M176" s="22">
        <f>IF(K176="Override",L176,IF(K176="Accept suggestion",F176,IF(K176="No change (same URL)",A176,"")))</f>
        <v/>
      </c>
      <c r="N176" s="22">
        <f>IF(A176="","",IF(K176="410 Gone","410",IF(K176="404","404",IF(K176="No change (same URL)","none",IF(M176="","","301")))))</f>
        <v/>
      </c>
      <c r="O176" s="22">
        <f>IF(A176="","",IFERROR(MID(A176,FIND("/",A176,FIND("//",A176)+2),2000),A176))</f>
        <v/>
      </c>
      <c r="P176" s="22">
        <f>IF(OR(O176="",N176="",N176="none",N176="404"),"",IF(N176="410","Redirect gone "&amp;O176,"Redirect "&amp;N176&amp;" "&amp;O176&amp;" "&amp;M176))</f>
        <v/>
      </c>
      <c r="Q176" s="22" t="n"/>
      <c r="R176" s="22" t="n"/>
      <c r="S176" s="22" t="n"/>
      <c r="T176" s="4">
        <f>IF(A176="","",TRIM(IF(K176="","Needs decision; ","")&amp;IF(AND(K176="Accept suggestion",F176=""),"No suggestion to accept; ","")&amp;IF(AND(K176="Override",L176=""),"Override URL missing; ","")&amp;IF(AND(K176="Accept suggestion",N(G176)&lt;$G$2),"Below your threshold; ","")&amp;IF(AND(M176&lt;&gt;"",M176=A176,K176&lt;&gt;"No change (same URL)"),"Redirects to itself; ","")&amp;IF(AND(M176&lt;&gt;"",OR(M176="/",AND(LEFT(M176,4)="http",OR((LEN(M176)-LEN(SUBSTITUTE(M176,"/","")))=2,AND((LEN(M176)-LEN(SUBSTITUTE(M176,"/","")))=3,RIGHT(M176,1)="/"))))),"Home page redirect; ","")&amp;IF(N(R176)&gt;1,"Chain; ","")&amp;IF(S176="No","Destination not 200; ","")))</f>
        <v/>
      </c>
      <c r="U176" s="22" t="n"/>
      <c r="V176" s="22" t="n"/>
      <c r="W176" s="4" t="n"/>
    </row>
    <row r="177">
      <c r="A177" s="22" t="n"/>
      <c r="B177" s="22" t="n"/>
      <c r="C177" s="22" t="n"/>
      <c r="D177" s="22">
        <f>IF(A177="","",IF(OR(N(B177)&gt;=$C$2,N(C177)&gt;=$E$2),"High",IF(OR(N(B177)&gt;0,N(C177)&gt;0),"Medium","Low")))</f>
        <v/>
      </c>
      <c r="E177" s="22" t="n"/>
      <c r="F177" s="22" t="n"/>
      <c r="G177" s="22" t="n"/>
      <c r="H177" s="22" t="n"/>
      <c r="I177" s="22" t="n"/>
      <c r="J177" s="22" t="n"/>
      <c r="K177" s="22" t="n"/>
      <c r="L177" s="22" t="n"/>
      <c r="M177" s="22">
        <f>IF(K177="Override",L177,IF(K177="Accept suggestion",F177,IF(K177="No change (same URL)",A177,"")))</f>
        <v/>
      </c>
      <c r="N177" s="22">
        <f>IF(A177="","",IF(K177="410 Gone","410",IF(K177="404","404",IF(K177="No change (same URL)","none",IF(M177="","","301")))))</f>
        <v/>
      </c>
      <c r="O177" s="22">
        <f>IF(A177="","",IFERROR(MID(A177,FIND("/",A177,FIND("//",A177)+2),2000),A177))</f>
        <v/>
      </c>
      <c r="P177" s="22">
        <f>IF(OR(O177="",N177="",N177="none",N177="404"),"",IF(N177="410","Redirect gone "&amp;O177,"Redirect "&amp;N177&amp;" "&amp;O177&amp;" "&amp;M177))</f>
        <v/>
      </c>
      <c r="Q177" s="22" t="n"/>
      <c r="R177" s="22" t="n"/>
      <c r="S177" s="22" t="n"/>
      <c r="T177" s="4">
        <f>IF(A177="","",TRIM(IF(K177="","Needs decision; ","")&amp;IF(AND(K177="Accept suggestion",F177=""),"No suggestion to accept; ","")&amp;IF(AND(K177="Override",L177=""),"Override URL missing; ","")&amp;IF(AND(K177="Accept suggestion",N(G177)&lt;$G$2),"Below your threshold; ","")&amp;IF(AND(M177&lt;&gt;"",M177=A177,K177&lt;&gt;"No change (same URL)"),"Redirects to itself; ","")&amp;IF(AND(M177&lt;&gt;"",OR(M177="/",AND(LEFT(M177,4)="http",OR((LEN(M177)-LEN(SUBSTITUTE(M177,"/","")))=2,AND((LEN(M177)-LEN(SUBSTITUTE(M177,"/","")))=3,RIGHT(M177,1)="/"))))),"Home page redirect; ","")&amp;IF(N(R177)&gt;1,"Chain; ","")&amp;IF(S177="No","Destination not 200; ","")))</f>
        <v/>
      </c>
      <c r="U177" s="22" t="n"/>
      <c r="V177" s="22" t="n"/>
      <c r="W177" s="4" t="n"/>
    </row>
    <row r="178">
      <c r="A178" s="22" t="n"/>
      <c r="B178" s="22" t="n"/>
      <c r="C178" s="22" t="n"/>
      <c r="D178" s="22">
        <f>IF(A178="","",IF(OR(N(B178)&gt;=$C$2,N(C178)&gt;=$E$2),"High",IF(OR(N(B178)&gt;0,N(C178)&gt;0),"Medium","Low")))</f>
        <v/>
      </c>
      <c r="E178" s="22" t="n"/>
      <c r="F178" s="22" t="n"/>
      <c r="G178" s="22" t="n"/>
      <c r="H178" s="22" t="n"/>
      <c r="I178" s="22" t="n"/>
      <c r="J178" s="22" t="n"/>
      <c r="K178" s="22" t="n"/>
      <c r="L178" s="22" t="n"/>
      <c r="M178" s="22">
        <f>IF(K178="Override",L178,IF(K178="Accept suggestion",F178,IF(K178="No change (same URL)",A178,"")))</f>
        <v/>
      </c>
      <c r="N178" s="22">
        <f>IF(A178="","",IF(K178="410 Gone","410",IF(K178="404","404",IF(K178="No change (same URL)","none",IF(M178="","","301")))))</f>
        <v/>
      </c>
      <c r="O178" s="22">
        <f>IF(A178="","",IFERROR(MID(A178,FIND("/",A178,FIND("//",A178)+2),2000),A178))</f>
        <v/>
      </c>
      <c r="P178" s="22">
        <f>IF(OR(O178="",N178="",N178="none",N178="404"),"",IF(N178="410","Redirect gone "&amp;O178,"Redirect "&amp;N178&amp;" "&amp;O178&amp;" "&amp;M178))</f>
        <v/>
      </c>
      <c r="Q178" s="22" t="n"/>
      <c r="R178" s="22" t="n"/>
      <c r="S178" s="22" t="n"/>
      <c r="T178" s="4">
        <f>IF(A178="","",TRIM(IF(K178="","Needs decision; ","")&amp;IF(AND(K178="Accept suggestion",F178=""),"No suggestion to accept; ","")&amp;IF(AND(K178="Override",L178=""),"Override URL missing; ","")&amp;IF(AND(K178="Accept suggestion",N(G178)&lt;$G$2),"Below your threshold; ","")&amp;IF(AND(M178&lt;&gt;"",M178=A178,K178&lt;&gt;"No change (same URL)"),"Redirects to itself; ","")&amp;IF(AND(M178&lt;&gt;"",OR(M178="/",AND(LEFT(M178,4)="http",OR((LEN(M178)-LEN(SUBSTITUTE(M178,"/","")))=2,AND((LEN(M178)-LEN(SUBSTITUTE(M178,"/","")))=3,RIGHT(M178,1)="/"))))),"Home page redirect; ","")&amp;IF(N(R178)&gt;1,"Chain; ","")&amp;IF(S178="No","Destination not 200; ","")))</f>
        <v/>
      </c>
      <c r="U178" s="22" t="n"/>
      <c r="V178" s="22" t="n"/>
      <c r="W178" s="4" t="n"/>
    </row>
    <row r="179">
      <c r="A179" s="22" t="n"/>
      <c r="B179" s="22" t="n"/>
      <c r="C179" s="22" t="n"/>
      <c r="D179" s="22">
        <f>IF(A179="","",IF(OR(N(B179)&gt;=$C$2,N(C179)&gt;=$E$2),"High",IF(OR(N(B179)&gt;0,N(C179)&gt;0),"Medium","Low")))</f>
        <v/>
      </c>
      <c r="E179" s="22" t="n"/>
      <c r="F179" s="22" t="n"/>
      <c r="G179" s="22" t="n"/>
      <c r="H179" s="22" t="n"/>
      <c r="I179" s="22" t="n"/>
      <c r="J179" s="22" t="n"/>
      <c r="K179" s="22" t="n"/>
      <c r="L179" s="22" t="n"/>
      <c r="M179" s="22">
        <f>IF(K179="Override",L179,IF(K179="Accept suggestion",F179,IF(K179="No change (same URL)",A179,"")))</f>
        <v/>
      </c>
      <c r="N179" s="22">
        <f>IF(A179="","",IF(K179="410 Gone","410",IF(K179="404","404",IF(K179="No change (same URL)","none",IF(M179="","","301")))))</f>
        <v/>
      </c>
      <c r="O179" s="22">
        <f>IF(A179="","",IFERROR(MID(A179,FIND("/",A179,FIND("//",A179)+2),2000),A179))</f>
        <v/>
      </c>
      <c r="P179" s="22">
        <f>IF(OR(O179="",N179="",N179="none",N179="404"),"",IF(N179="410","Redirect gone "&amp;O179,"Redirect "&amp;N179&amp;" "&amp;O179&amp;" "&amp;M179))</f>
        <v/>
      </c>
      <c r="Q179" s="22" t="n"/>
      <c r="R179" s="22" t="n"/>
      <c r="S179" s="22" t="n"/>
      <c r="T179" s="4">
        <f>IF(A179="","",TRIM(IF(K179="","Needs decision; ","")&amp;IF(AND(K179="Accept suggestion",F179=""),"No suggestion to accept; ","")&amp;IF(AND(K179="Override",L179=""),"Override URL missing; ","")&amp;IF(AND(K179="Accept suggestion",N(G179)&lt;$G$2),"Below your threshold; ","")&amp;IF(AND(M179&lt;&gt;"",M179=A179,K179&lt;&gt;"No change (same URL)"),"Redirects to itself; ","")&amp;IF(AND(M179&lt;&gt;"",OR(M179="/",AND(LEFT(M179,4)="http",OR((LEN(M179)-LEN(SUBSTITUTE(M179,"/","")))=2,AND((LEN(M179)-LEN(SUBSTITUTE(M179,"/","")))=3,RIGHT(M179,1)="/"))))),"Home page redirect; ","")&amp;IF(N(R179)&gt;1,"Chain; ","")&amp;IF(S179="No","Destination not 200; ","")))</f>
        <v/>
      </c>
      <c r="U179" s="22" t="n"/>
      <c r="V179" s="22" t="n"/>
      <c r="W179" s="4" t="n"/>
    </row>
    <row r="180">
      <c r="A180" s="22" t="n"/>
      <c r="B180" s="22" t="n"/>
      <c r="C180" s="22" t="n"/>
      <c r="D180" s="22">
        <f>IF(A180="","",IF(OR(N(B180)&gt;=$C$2,N(C180)&gt;=$E$2),"High",IF(OR(N(B180)&gt;0,N(C180)&gt;0),"Medium","Low")))</f>
        <v/>
      </c>
      <c r="E180" s="22" t="n"/>
      <c r="F180" s="22" t="n"/>
      <c r="G180" s="22" t="n"/>
      <c r="H180" s="22" t="n"/>
      <c r="I180" s="22" t="n"/>
      <c r="J180" s="22" t="n"/>
      <c r="K180" s="22" t="n"/>
      <c r="L180" s="22" t="n"/>
      <c r="M180" s="22">
        <f>IF(K180="Override",L180,IF(K180="Accept suggestion",F180,IF(K180="No change (same URL)",A180,"")))</f>
        <v/>
      </c>
      <c r="N180" s="22">
        <f>IF(A180="","",IF(K180="410 Gone","410",IF(K180="404","404",IF(K180="No change (same URL)","none",IF(M180="","","301")))))</f>
        <v/>
      </c>
      <c r="O180" s="22">
        <f>IF(A180="","",IFERROR(MID(A180,FIND("/",A180,FIND("//",A180)+2),2000),A180))</f>
        <v/>
      </c>
      <c r="P180" s="22">
        <f>IF(OR(O180="",N180="",N180="none",N180="404"),"",IF(N180="410","Redirect gone "&amp;O180,"Redirect "&amp;N180&amp;" "&amp;O180&amp;" "&amp;M180))</f>
        <v/>
      </c>
      <c r="Q180" s="22" t="n"/>
      <c r="R180" s="22" t="n"/>
      <c r="S180" s="22" t="n"/>
      <c r="T180" s="4">
        <f>IF(A180="","",TRIM(IF(K180="","Needs decision; ","")&amp;IF(AND(K180="Accept suggestion",F180=""),"No suggestion to accept; ","")&amp;IF(AND(K180="Override",L180=""),"Override URL missing; ","")&amp;IF(AND(K180="Accept suggestion",N(G180)&lt;$G$2),"Below your threshold; ","")&amp;IF(AND(M180&lt;&gt;"",M180=A180,K180&lt;&gt;"No change (same URL)"),"Redirects to itself; ","")&amp;IF(AND(M180&lt;&gt;"",OR(M180="/",AND(LEFT(M180,4)="http",OR((LEN(M180)-LEN(SUBSTITUTE(M180,"/","")))=2,AND((LEN(M180)-LEN(SUBSTITUTE(M180,"/","")))=3,RIGHT(M180,1)="/"))))),"Home page redirect; ","")&amp;IF(N(R180)&gt;1,"Chain; ","")&amp;IF(S180="No","Destination not 200; ","")))</f>
        <v/>
      </c>
      <c r="U180" s="22" t="n"/>
      <c r="V180" s="22" t="n"/>
      <c r="W180" s="4" t="n"/>
    </row>
    <row r="181">
      <c r="A181" s="22" t="n"/>
      <c r="B181" s="22" t="n"/>
      <c r="C181" s="22" t="n"/>
      <c r="D181" s="22">
        <f>IF(A181="","",IF(OR(N(B181)&gt;=$C$2,N(C181)&gt;=$E$2),"High",IF(OR(N(B181)&gt;0,N(C181)&gt;0),"Medium","Low")))</f>
        <v/>
      </c>
      <c r="E181" s="22" t="n"/>
      <c r="F181" s="22" t="n"/>
      <c r="G181" s="22" t="n"/>
      <c r="H181" s="22" t="n"/>
      <c r="I181" s="22" t="n"/>
      <c r="J181" s="22" t="n"/>
      <c r="K181" s="22" t="n"/>
      <c r="L181" s="22" t="n"/>
      <c r="M181" s="22">
        <f>IF(K181="Override",L181,IF(K181="Accept suggestion",F181,IF(K181="No change (same URL)",A181,"")))</f>
        <v/>
      </c>
      <c r="N181" s="22">
        <f>IF(A181="","",IF(K181="410 Gone","410",IF(K181="404","404",IF(K181="No change (same URL)","none",IF(M181="","","301")))))</f>
        <v/>
      </c>
      <c r="O181" s="22">
        <f>IF(A181="","",IFERROR(MID(A181,FIND("/",A181,FIND("//",A181)+2),2000),A181))</f>
        <v/>
      </c>
      <c r="P181" s="22">
        <f>IF(OR(O181="",N181="",N181="none",N181="404"),"",IF(N181="410","Redirect gone "&amp;O181,"Redirect "&amp;N181&amp;" "&amp;O181&amp;" "&amp;M181))</f>
        <v/>
      </c>
      <c r="Q181" s="22" t="n"/>
      <c r="R181" s="22" t="n"/>
      <c r="S181" s="22" t="n"/>
      <c r="T181" s="4">
        <f>IF(A181="","",TRIM(IF(K181="","Needs decision; ","")&amp;IF(AND(K181="Accept suggestion",F181=""),"No suggestion to accept; ","")&amp;IF(AND(K181="Override",L181=""),"Override URL missing; ","")&amp;IF(AND(K181="Accept suggestion",N(G181)&lt;$G$2),"Below your threshold; ","")&amp;IF(AND(M181&lt;&gt;"",M181=A181,K181&lt;&gt;"No change (same URL)"),"Redirects to itself; ","")&amp;IF(AND(M181&lt;&gt;"",OR(M181="/",AND(LEFT(M181,4)="http",OR((LEN(M181)-LEN(SUBSTITUTE(M181,"/","")))=2,AND((LEN(M181)-LEN(SUBSTITUTE(M181,"/","")))=3,RIGHT(M181,1)="/"))))),"Home page redirect; ","")&amp;IF(N(R181)&gt;1,"Chain; ","")&amp;IF(S181="No","Destination not 200; ","")))</f>
        <v/>
      </c>
      <c r="U181" s="22" t="n"/>
      <c r="V181" s="22" t="n"/>
      <c r="W181" s="4" t="n"/>
    </row>
    <row r="182">
      <c r="A182" s="22" t="n"/>
      <c r="B182" s="22" t="n"/>
      <c r="C182" s="22" t="n"/>
      <c r="D182" s="22">
        <f>IF(A182="","",IF(OR(N(B182)&gt;=$C$2,N(C182)&gt;=$E$2),"High",IF(OR(N(B182)&gt;0,N(C182)&gt;0),"Medium","Low")))</f>
        <v/>
      </c>
      <c r="E182" s="22" t="n"/>
      <c r="F182" s="22" t="n"/>
      <c r="G182" s="22" t="n"/>
      <c r="H182" s="22" t="n"/>
      <c r="I182" s="22" t="n"/>
      <c r="J182" s="22" t="n"/>
      <c r="K182" s="22" t="n"/>
      <c r="L182" s="22" t="n"/>
      <c r="M182" s="22">
        <f>IF(K182="Override",L182,IF(K182="Accept suggestion",F182,IF(K182="No change (same URL)",A182,"")))</f>
        <v/>
      </c>
      <c r="N182" s="22">
        <f>IF(A182="","",IF(K182="410 Gone","410",IF(K182="404","404",IF(K182="No change (same URL)","none",IF(M182="","","301")))))</f>
        <v/>
      </c>
      <c r="O182" s="22">
        <f>IF(A182="","",IFERROR(MID(A182,FIND("/",A182,FIND("//",A182)+2),2000),A182))</f>
        <v/>
      </c>
      <c r="P182" s="22">
        <f>IF(OR(O182="",N182="",N182="none",N182="404"),"",IF(N182="410","Redirect gone "&amp;O182,"Redirect "&amp;N182&amp;" "&amp;O182&amp;" "&amp;M182))</f>
        <v/>
      </c>
      <c r="Q182" s="22" t="n"/>
      <c r="R182" s="22" t="n"/>
      <c r="S182" s="22" t="n"/>
      <c r="T182" s="4">
        <f>IF(A182="","",TRIM(IF(K182="","Needs decision; ","")&amp;IF(AND(K182="Accept suggestion",F182=""),"No suggestion to accept; ","")&amp;IF(AND(K182="Override",L182=""),"Override URL missing; ","")&amp;IF(AND(K182="Accept suggestion",N(G182)&lt;$G$2),"Below your threshold; ","")&amp;IF(AND(M182&lt;&gt;"",M182=A182,K182&lt;&gt;"No change (same URL)"),"Redirects to itself; ","")&amp;IF(AND(M182&lt;&gt;"",OR(M182="/",AND(LEFT(M182,4)="http",OR((LEN(M182)-LEN(SUBSTITUTE(M182,"/","")))=2,AND((LEN(M182)-LEN(SUBSTITUTE(M182,"/","")))=3,RIGHT(M182,1)="/"))))),"Home page redirect; ","")&amp;IF(N(R182)&gt;1,"Chain; ","")&amp;IF(S182="No","Destination not 200; ","")))</f>
        <v/>
      </c>
      <c r="U182" s="22" t="n"/>
      <c r="V182" s="22" t="n"/>
      <c r="W182" s="4" t="n"/>
    </row>
    <row r="183">
      <c r="A183" s="22" t="n"/>
      <c r="B183" s="22" t="n"/>
      <c r="C183" s="22" t="n"/>
      <c r="D183" s="22">
        <f>IF(A183="","",IF(OR(N(B183)&gt;=$C$2,N(C183)&gt;=$E$2),"High",IF(OR(N(B183)&gt;0,N(C183)&gt;0),"Medium","Low")))</f>
        <v/>
      </c>
      <c r="E183" s="22" t="n"/>
      <c r="F183" s="22" t="n"/>
      <c r="G183" s="22" t="n"/>
      <c r="H183" s="22" t="n"/>
      <c r="I183" s="22" t="n"/>
      <c r="J183" s="22" t="n"/>
      <c r="K183" s="22" t="n"/>
      <c r="L183" s="22" t="n"/>
      <c r="M183" s="22">
        <f>IF(K183="Override",L183,IF(K183="Accept suggestion",F183,IF(K183="No change (same URL)",A183,"")))</f>
        <v/>
      </c>
      <c r="N183" s="22">
        <f>IF(A183="","",IF(K183="410 Gone","410",IF(K183="404","404",IF(K183="No change (same URL)","none",IF(M183="","","301")))))</f>
        <v/>
      </c>
      <c r="O183" s="22">
        <f>IF(A183="","",IFERROR(MID(A183,FIND("/",A183,FIND("//",A183)+2),2000),A183))</f>
        <v/>
      </c>
      <c r="P183" s="22">
        <f>IF(OR(O183="",N183="",N183="none",N183="404"),"",IF(N183="410","Redirect gone "&amp;O183,"Redirect "&amp;N183&amp;" "&amp;O183&amp;" "&amp;M183))</f>
        <v/>
      </c>
      <c r="Q183" s="22" t="n"/>
      <c r="R183" s="22" t="n"/>
      <c r="S183" s="22" t="n"/>
      <c r="T183" s="4">
        <f>IF(A183="","",TRIM(IF(K183="","Needs decision; ","")&amp;IF(AND(K183="Accept suggestion",F183=""),"No suggestion to accept; ","")&amp;IF(AND(K183="Override",L183=""),"Override URL missing; ","")&amp;IF(AND(K183="Accept suggestion",N(G183)&lt;$G$2),"Below your threshold; ","")&amp;IF(AND(M183&lt;&gt;"",M183=A183,K183&lt;&gt;"No change (same URL)"),"Redirects to itself; ","")&amp;IF(AND(M183&lt;&gt;"",OR(M183="/",AND(LEFT(M183,4)="http",OR((LEN(M183)-LEN(SUBSTITUTE(M183,"/","")))=2,AND((LEN(M183)-LEN(SUBSTITUTE(M183,"/","")))=3,RIGHT(M183,1)="/"))))),"Home page redirect; ","")&amp;IF(N(R183)&gt;1,"Chain; ","")&amp;IF(S183="No","Destination not 200; ","")))</f>
        <v/>
      </c>
      <c r="U183" s="22" t="n"/>
      <c r="V183" s="22" t="n"/>
      <c r="W183" s="4" t="n"/>
    </row>
    <row r="184">
      <c r="A184" s="22" t="n"/>
      <c r="B184" s="22" t="n"/>
      <c r="C184" s="22" t="n"/>
      <c r="D184" s="22">
        <f>IF(A184="","",IF(OR(N(B184)&gt;=$C$2,N(C184)&gt;=$E$2),"High",IF(OR(N(B184)&gt;0,N(C184)&gt;0),"Medium","Low")))</f>
        <v/>
      </c>
      <c r="E184" s="22" t="n"/>
      <c r="F184" s="22" t="n"/>
      <c r="G184" s="22" t="n"/>
      <c r="H184" s="22" t="n"/>
      <c r="I184" s="22" t="n"/>
      <c r="J184" s="22" t="n"/>
      <c r="K184" s="22" t="n"/>
      <c r="L184" s="22" t="n"/>
      <c r="M184" s="22">
        <f>IF(K184="Override",L184,IF(K184="Accept suggestion",F184,IF(K184="No change (same URL)",A184,"")))</f>
        <v/>
      </c>
      <c r="N184" s="22">
        <f>IF(A184="","",IF(K184="410 Gone","410",IF(K184="404","404",IF(K184="No change (same URL)","none",IF(M184="","","301")))))</f>
        <v/>
      </c>
      <c r="O184" s="22">
        <f>IF(A184="","",IFERROR(MID(A184,FIND("/",A184,FIND("//",A184)+2),2000),A184))</f>
        <v/>
      </c>
      <c r="P184" s="22">
        <f>IF(OR(O184="",N184="",N184="none",N184="404"),"",IF(N184="410","Redirect gone "&amp;O184,"Redirect "&amp;N184&amp;" "&amp;O184&amp;" "&amp;M184))</f>
        <v/>
      </c>
      <c r="Q184" s="22" t="n"/>
      <c r="R184" s="22" t="n"/>
      <c r="S184" s="22" t="n"/>
      <c r="T184" s="4">
        <f>IF(A184="","",TRIM(IF(K184="","Needs decision; ","")&amp;IF(AND(K184="Accept suggestion",F184=""),"No suggestion to accept; ","")&amp;IF(AND(K184="Override",L184=""),"Override URL missing; ","")&amp;IF(AND(K184="Accept suggestion",N(G184)&lt;$G$2),"Below your threshold; ","")&amp;IF(AND(M184&lt;&gt;"",M184=A184,K184&lt;&gt;"No change (same URL)"),"Redirects to itself; ","")&amp;IF(AND(M184&lt;&gt;"",OR(M184="/",AND(LEFT(M184,4)="http",OR((LEN(M184)-LEN(SUBSTITUTE(M184,"/","")))=2,AND((LEN(M184)-LEN(SUBSTITUTE(M184,"/","")))=3,RIGHT(M184,1)="/"))))),"Home page redirect; ","")&amp;IF(N(R184)&gt;1,"Chain; ","")&amp;IF(S184="No","Destination not 200; ","")))</f>
        <v/>
      </c>
      <c r="U184" s="22" t="n"/>
      <c r="V184" s="22" t="n"/>
      <c r="W184" s="4" t="n"/>
    </row>
    <row r="185">
      <c r="A185" s="22" t="n"/>
      <c r="B185" s="22" t="n"/>
      <c r="C185" s="22" t="n"/>
      <c r="D185" s="22">
        <f>IF(A185="","",IF(OR(N(B185)&gt;=$C$2,N(C185)&gt;=$E$2),"High",IF(OR(N(B185)&gt;0,N(C185)&gt;0),"Medium","Low")))</f>
        <v/>
      </c>
      <c r="E185" s="22" t="n"/>
      <c r="F185" s="22" t="n"/>
      <c r="G185" s="22" t="n"/>
      <c r="H185" s="22" t="n"/>
      <c r="I185" s="22" t="n"/>
      <c r="J185" s="22" t="n"/>
      <c r="K185" s="22" t="n"/>
      <c r="L185" s="22" t="n"/>
      <c r="M185" s="22">
        <f>IF(K185="Override",L185,IF(K185="Accept suggestion",F185,IF(K185="No change (same URL)",A185,"")))</f>
        <v/>
      </c>
      <c r="N185" s="22">
        <f>IF(A185="","",IF(K185="410 Gone","410",IF(K185="404","404",IF(K185="No change (same URL)","none",IF(M185="","","301")))))</f>
        <v/>
      </c>
      <c r="O185" s="22">
        <f>IF(A185="","",IFERROR(MID(A185,FIND("/",A185,FIND("//",A185)+2),2000),A185))</f>
        <v/>
      </c>
      <c r="P185" s="22">
        <f>IF(OR(O185="",N185="",N185="none",N185="404"),"",IF(N185="410","Redirect gone "&amp;O185,"Redirect "&amp;N185&amp;" "&amp;O185&amp;" "&amp;M185))</f>
        <v/>
      </c>
      <c r="Q185" s="22" t="n"/>
      <c r="R185" s="22" t="n"/>
      <c r="S185" s="22" t="n"/>
      <c r="T185" s="4">
        <f>IF(A185="","",TRIM(IF(K185="","Needs decision; ","")&amp;IF(AND(K185="Accept suggestion",F185=""),"No suggestion to accept; ","")&amp;IF(AND(K185="Override",L185=""),"Override URL missing; ","")&amp;IF(AND(K185="Accept suggestion",N(G185)&lt;$G$2),"Below your threshold; ","")&amp;IF(AND(M185&lt;&gt;"",M185=A185,K185&lt;&gt;"No change (same URL)"),"Redirects to itself; ","")&amp;IF(AND(M185&lt;&gt;"",OR(M185="/",AND(LEFT(M185,4)="http",OR((LEN(M185)-LEN(SUBSTITUTE(M185,"/","")))=2,AND((LEN(M185)-LEN(SUBSTITUTE(M185,"/","")))=3,RIGHT(M185,1)="/"))))),"Home page redirect; ","")&amp;IF(N(R185)&gt;1,"Chain; ","")&amp;IF(S185="No","Destination not 200; ","")))</f>
        <v/>
      </c>
      <c r="U185" s="22" t="n"/>
      <c r="V185" s="22" t="n"/>
      <c r="W185" s="4" t="n"/>
    </row>
    <row r="186">
      <c r="A186" s="22" t="n"/>
      <c r="B186" s="22" t="n"/>
      <c r="C186" s="22" t="n"/>
      <c r="D186" s="22">
        <f>IF(A186="","",IF(OR(N(B186)&gt;=$C$2,N(C186)&gt;=$E$2),"High",IF(OR(N(B186)&gt;0,N(C186)&gt;0),"Medium","Low")))</f>
        <v/>
      </c>
      <c r="E186" s="22" t="n"/>
      <c r="F186" s="22" t="n"/>
      <c r="G186" s="22" t="n"/>
      <c r="H186" s="22" t="n"/>
      <c r="I186" s="22" t="n"/>
      <c r="J186" s="22" t="n"/>
      <c r="K186" s="22" t="n"/>
      <c r="L186" s="22" t="n"/>
      <c r="M186" s="22">
        <f>IF(K186="Override",L186,IF(K186="Accept suggestion",F186,IF(K186="No change (same URL)",A186,"")))</f>
        <v/>
      </c>
      <c r="N186" s="22">
        <f>IF(A186="","",IF(K186="410 Gone","410",IF(K186="404","404",IF(K186="No change (same URL)","none",IF(M186="","","301")))))</f>
        <v/>
      </c>
      <c r="O186" s="22">
        <f>IF(A186="","",IFERROR(MID(A186,FIND("/",A186,FIND("//",A186)+2),2000),A186))</f>
        <v/>
      </c>
      <c r="P186" s="22">
        <f>IF(OR(O186="",N186="",N186="none",N186="404"),"",IF(N186="410","Redirect gone "&amp;O186,"Redirect "&amp;N186&amp;" "&amp;O186&amp;" "&amp;M186))</f>
        <v/>
      </c>
      <c r="Q186" s="22" t="n"/>
      <c r="R186" s="22" t="n"/>
      <c r="S186" s="22" t="n"/>
      <c r="T186" s="4">
        <f>IF(A186="","",TRIM(IF(K186="","Needs decision; ","")&amp;IF(AND(K186="Accept suggestion",F186=""),"No suggestion to accept; ","")&amp;IF(AND(K186="Override",L186=""),"Override URL missing; ","")&amp;IF(AND(K186="Accept suggestion",N(G186)&lt;$G$2),"Below your threshold; ","")&amp;IF(AND(M186&lt;&gt;"",M186=A186,K186&lt;&gt;"No change (same URL)"),"Redirects to itself; ","")&amp;IF(AND(M186&lt;&gt;"",OR(M186="/",AND(LEFT(M186,4)="http",OR((LEN(M186)-LEN(SUBSTITUTE(M186,"/","")))=2,AND((LEN(M186)-LEN(SUBSTITUTE(M186,"/","")))=3,RIGHT(M186,1)="/"))))),"Home page redirect; ","")&amp;IF(N(R186)&gt;1,"Chain; ","")&amp;IF(S186="No","Destination not 200; ","")))</f>
        <v/>
      </c>
      <c r="U186" s="22" t="n"/>
      <c r="V186" s="22" t="n"/>
      <c r="W186" s="4" t="n"/>
    </row>
    <row r="187">
      <c r="A187" s="22" t="n"/>
      <c r="B187" s="22" t="n"/>
      <c r="C187" s="22" t="n"/>
      <c r="D187" s="22">
        <f>IF(A187="","",IF(OR(N(B187)&gt;=$C$2,N(C187)&gt;=$E$2),"High",IF(OR(N(B187)&gt;0,N(C187)&gt;0),"Medium","Low")))</f>
        <v/>
      </c>
      <c r="E187" s="22" t="n"/>
      <c r="F187" s="22" t="n"/>
      <c r="G187" s="22" t="n"/>
      <c r="H187" s="22" t="n"/>
      <c r="I187" s="22" t="n"/>
      <c r="J187" s="22" t="n"/>
      <c r="K187" s="22" t="n"/>
      <c r="L187" s="22" t="n"/>
      <c r="M187" s="22">
        <f>IF(K187="Override",L187,IF(K187="Accept suggestion",F187,IF(K187="No change (same URL)",A187,"")))</f>
        <v/>
      </c>
      <c r="N187" s="22">
        <f>IF(A187="","",IF(K187="410 Gone","410",IF(K187="404","404",IF(K187="No change (same URL)","none",IF(M187="","","301")))))</f>
        <v/>
      </c>
      <c r="O187" s="22">
        <f>IF(A187="","",IFERROR(MID(A187,FIND("/",A187,FIND("//",A187)+2),2000),A187))</f>
        <v/>
      </c>
      <c r="P187" s="22">
        <f>IF(OR(O187="",N187="",N187="none",N187="404"),"",IF(N187="410","Redirect gone "&amp;O187,"Redirect "&amp;N187&amp;" "&amp;O187&amp;" "&amp;M187))</f>
        <v/>
      </c>
      <c r="Q187" s="22" t="n"/>
      <c r="R187" s="22" t="n"/>
      <c r="S187" s="22" t="n"/>
      <c r="T187" s="4">
        <f>IF(A187="","",TRIM(IF(K187="","Needs decision; ","")&amp;IF(AND(K187="Accept suggestion",F187=""),"No suggestion to accept; ","")&amp;IF(AND(K187="Override",L187=""),"Override URL missing; ","")&amp;IF(AND(K187="Accept suggestion",N(G187)&lt;$G$2),"Below your threshold; ","")&amp;IF(AND(M187&lt;&gt;"",M187=A187,K187&lt;&gt;"No change (same URL)"),"Redirects to itself; ","")&amp;IF(AND(M187&lt;&gt;"",OR(M187="/",AND(LEFT(M187,4)="http",OR((LEN(M187)-LEN(SUBSTITUTE(M187,"/","")))=2,AND((LEN(M187)-LEN(SUBSTITUTE(M187,"/","")))=3,RIGHT(M187,1)="/"))))),"Home page redirect; ","")&amp;IF(N(R187)&gt;1,"Chain; ","")&amp;IF(S187="No","Destination not 200; ","")))</f>
        <v/>
      </c>
      <c r="U187" s="22" t="n"/>
      <c r="V187" s="22" t="n"/>
      <c r="W187" s="4" t="n"/>
    </row>
    <row r="188">
      <c r="A188" s="22" t="n"/>
      <c r="B188" s="22" t="n"/>
      <c r="C188" s="22" t="n"/>
      <c r="D188" s="22">
        <f>IF(A188="","",IF(OR(N(B188)&gt;=$C$2,N(C188)&gt;=$E$2),"High",IF(OR(N(B188)&gt;0,N(C188)&gt;0),"Medium","Low")))</f>
        <v/>
      </c>
      <c r="E188" s="22" t="n"/>
      <c r="F188" s="22" t="n"/>
      <c r="G188" s="22" t="n"/>
      <c r="H188" s="22" t="n"/>
      <c r="I188" s="22" t="n"/>
      <c r="J188" s="22" t="n"/>
      <c r="K188" s="22" t="n"/>
      <c r="L188" s="22" t="n"/>
      <c r="M188" s="22">
        <f>IF(K188="Override",L188,IF(K188="Accept suggestion",F188,IF(K188="No change (same URL)",A188,"")))</f>
        <v/>
      </c>
      <c r="N188" s="22">
        <f>IF(A188="","",IF(K188="410 Gone","410",IF(K188="404","404",IF(K188="No change (same URL)","none",IF(M188="","","301")))))</f>
        <v/>
      </c>
      <c r="O188" s="22">
        <f>IF(A188="","",IFERROR(MID(A188,FIND("/",A188,FIND("//",A188)+2),2000),A188))</f>
        <v/>
      </c>
      <c r="P188" s="22">
        <f>IF(OR(O188="",N188="",N188="none",N188="404"),"",IF(N188="410","Redirect gone "&amp;O188,"Redirect "&amp;N188&amp;" "&amp;O188&amp;" "&amp;M188))</f>
        <v/>
      </c>
      <c r="Q188" s="22" t="n"/>
      <c r="R188" s="22" t="n"/>
      <c r="S188" s="22" t="n"/>
      <c r="T188" s="4">
        <f>IF(A188="","",TRIM(IF(K188="","Needs decision; ","")&amp;IF(AND(K188="Accept suggestion",F188=""),"No suggestion to accept; ","")&amp;IF(AND(K188="Override",L188=""),"Override URL missing; ","")&amp;IF(AND(K188="Accept suggestion",N(G188)&lt;$G$2),"Below your threshold; ","")&amp;IF(AND(M188&lt;&gt;"",M188=A188,K188&lt;&gt;"No change (same URL)"),"Redirects to itself; ","")&amp;IF(AND(M188&lt;&gt;"",OR(M188="/",AND(LEFT(M188,4)="http",OR((LEN(M188)-LEN(SUBSTITUTE(M188,"/","")))=2,AND((LEN(M188)-LEN(SUBSTITUTE(M188,"/","")))=3,RIGHT(M188,1)="/"))))),"Home page redirect; ","")&amp;IF(N(R188)&gt;1,"Chain; ","")&amp;IF(S188="No","Destination not 200; ","")))</f>
        <v/>
      </c>
      <c r="U188" s="22" t="n"/>
      <c r="V188" s="22" t="n"/>
      <c r="W188" s="4" t="n"/>
    </row>
    <row r="189">
      <c r="A189" s="22" t="n"/>
      <c r="B189" s="22" t="n"/>
      <c r="C189" s="22" t="n"/>
      <c r="D189" s="22">
        <f>IF(A189="","",IF(OR(N(B189)&gt;=$C$2,N(C189)&gt;=$E$2),"High",IF(OR(N(B189)&gt;0,N(C189)&gt;0),"Medium","Low")))</f>
        <v/>
      </c>
      <c r="E189" s="22" t="n"/>
      <c r="F189" s="22" t="n"/>
      <c r="G189" s="22" t="n"/>
      <c r="H189" s="22" t="n"/>
      <c r="I189" s="22" t="n"/>
      <c r="J189" s="22" t="n"/>
      <c r="K189" s="22" t="n"/>
      <c r="L189" s="22" t="n"/>
      <c r="M189" s="22">
        <f>IF(K189="Override",L189,IF(K189="Accept suggestion",F189,IF(K189="No change (same URL)",A189,"")))</f>
        <v/>
      </c>
      <c r="N189" s="22">
        <f>IF(A189="","",IF(K189="410 Gone","410",IF(K189="404","404",IF(K189="No change (same URL)","none",IF(M189="","","301")))))</f>
        <v/>
      </c>
      <c r="O189" s="22">
        <f>IF(A189="","",IFERROR(MID(A189,FIND("/",A189,FIND("//",A189)+2),2000),A189))</f>
        <v/>
      </c>
      <c r="P189" s="22">
        <f>IF(OR(O189="",N189="",N189="none",N189="404"),"",IF(N189="410","Redirect gone "&amp;O189,"Redirect "&amp;N189&amp;" "&amp;O189&amp;" "&amp;M189))</f>
        <v/>
      </c>
      <c r="Q189" s="22" t="n"/>
      <c r="R189" s="22" t="n"/>
      <c r="S189" s="22" t="n"/>
      <c r="T189" s="4">
        <f>IF(A189="","",TRIM(IF(K189="","Needs decision; ","")&amp;IF(AND(K189="Accept suggestion",F189=""),"No suggestion to accept; ","")&amp;IF(AND(K189="Override",L189=""),"Override URL missing; ","")&amp;IF(AND(K189="Accept suggestion",N(G189)&lt;$G$2),"Below your threshold; ","")&amp;IF(AND(M189&lt;&gt;"",M189=A189,K189&lt;&gt;"No change (same URL)"),"Redirects to itself; ","")&amp;IF(AND(M189&lt;&gt;"",OR(M189="/",AND(LEFT(M189,4)="http",OR((LEN(M189)-LEN(SUBSTITUTE(M189,"/","")))=2,AND((LEN(M189)-LEN(SUBSTITUTE(M189,"/","")))=3,RIGHT(M189,1)="/"))))),"Home page redirect; ","")&amp;IF(N(R189)&gt;1,"Chain; ","")&amp;IF(S189="No","Destination not 200; ","")))</f>
        <v/>
      </c>
      <c r="U189" s="22" t="n"/>
      <c r="V189" s="22" t="n"/>
      <c r="W189" s="4" t="n"/>
    </row>
    <row r="190">
      <c r="A190" s="22" t="n"/>
      <c r="B190" s="22" t="n"/>
      <c r="C190" s="22" t="n"/>
      <c r="D190" s="22">
        <f>IF(A190="","",IF(OR(N(B190)&gt;=$C$2,N(C190)&gt;=$E$2),"High",IF(OR(N(B190)&gt;0,N(C190)&gt;0),"Medium","Low")))</f>
        <v/>
      </c>
      <c r="E190" s="22" t="n"/>
      <c r="F190" s="22" t="n"/>
      <c r="G190" s="22" t="n"/>
      <c r="H190" s="22" t="n"/>
      <c r="I190" s="22" t="n"/>
      <c r="J190" s="22" t="n"/>
      <c r="K190" s="22" t="n"/>
      <c r="L190" s="22" t="n"/>
      <c r="M190" s="22">
        <f>IF(K190="Override",L190,IF(K190="Accept suggestion",F190,IF(K190="No change (same URL)",A190,"")))</f>
        <v/>
      </c>
      <c r="N190" s="22">
        <f>IF(A190="","",IF(K190="410 Gone","410",IF(K190="404","404",IF(K190="No change (same URL)","none",IF(M190="","","301")))))</f>
        <v/>
      </c>
      <c r="O190" s="22">
        <f>IF(A190="","",IFERROR(MID(A190,FIND("/",A190,FIND("//",A190)+2),2000),A190))</f>
        <v/>
      </c>
      <c r="P190" s="22">
        <f>IF(OR(O190="",N190="",N190="none",N190="404"),"",IF(N190="410","Redirect gone "&amp;O190,"Redirect "&amp;N190&amp;" "&amp;O190&amp;" "&amp;M190))</f>
        <v/>
      </c>
      <c r="Q190" s="22" t="n"/>
      <c r="R190" s="22" t="n"/>
      <c r="S190" s="22" t="n"/>
      <c r="T190" s="4">
        <f>IF(A190="","",TRIM(IF(K190="","Needs decision; ","")&amp;IF(AND(K190="Accept suggestion",F190=""),"No suggestion to accept; ","")&amp;IF(AND(K190="Override",L190=""),"Override URL missing; ","")&amp;IF(AND(K190="Accept suggestion",N(G190)&lt;$G$2),"Below your threshold; ","")&amp;IF(AND(M190&lt;&gt;"",M190=A190,K190&lt;&gt;"No change (same URL)"),"Redirects to itself; ","")&amp;IF(AND(M190&lt;&gt;"",OR(M190="/",AND(LEFT(M190,4)="http",OR((LEN(M190)-LEN(SUBSTITUTE(M190,"/","")))=2,AND((LEN(M190)-LEN(SUBSTITUTE(M190,"/","")))=3,RIGHT(M190,1)="/"))))),"Home page redirect; ","")&amp;IF(N(R190)&gt;1,"Chain; ","")&amp;IF(S190="No","Destination not 200; ","")))</f>
        <v/>
      </c>
      <c r="U190" s="22" t="n"/>
      <c r="V190" s="22" t="n"/>
      <c r="W190" s="4" t="n"/>
    </row>
    <row r="191">
      <c r="A191" s="22" t="n"/>
      <c r="B191" s="22" t="n"/>
      <c r="C191" s="22" t="n"/>
      <c r="D191" s="22">
        <f>IF(A191="","",IF(OR(N(B191)&gt;=$C$2,N(C191)&gt;=$E$2),"High",IF(OR(N(B191)&gt;0,N(C191)&gt;0),"Medium","Low")))</f>
        <v/>
      </c>
      <c r="E191" s="22" t="n"/>
      <c r="F191" s="22" t="n"/>
      <c r="G191" s="22" t="n"/>
      <c r="H191" s="22" t="n"/>
      <c r="I191" s="22" t="n"/>
      <c r="J191" s="22" t="n"/>
      <c r="K191" s="22" t="n"/>
      <c r="L191" s="22" t="n"/>
      <c r="M191" s="22">
        <f>IF(K191="Override",L191,IF(K191="Accept suggestion",F191,IF(K191="No change (same URL)",A191,"")))</f>
        <v/>
      </c>
      <c r="N191" s="22">
        <f>IF(A191="","",IF(K191="410 Gone","410",IF(K191="404","404",IF(K191="No change (same URL)","none",IF(M191="","","301")))))</f>
        <v/>
      </c>
      <c r="O191" s="22">
        <f>IF(A191="","",IFERROR(MID(A191,FIND("/",A191,FIND("//",A191)+2),2000),A191))</f>
        <v/>
      </c>
      <c r="P191" s="22">
        <f>IF(OR(O191="",N191="",N191="none",N191="404"),"",IF(N191="410","Redirect gone "&amp;O191,"Redirect "&amp;N191&amp;" "&amp;O191&amp;" "&amp;M191))</f>
        <v/>
      </c>
      <c r="Q191" s="22" t="n"/>
      <c r="R191" s="22" t="n"/>
      <c r="S191" s="22" t="n"/>
      <c r="T191" s="4">
        <f>IF(A191="","",TRIM(IF(K191="","Needs decision; ","")&amp;IF(AND(K191="Accept suggestion",F191=""),"No suggestion to accept; ","")&amp;IF(AND(K191="Override",L191=""),"Override URL missing; ","")&amp;IF(AND(K191="Accept suggestion",N(G191)&lt;$G$2),"Below your threshold; ","")&amp;IF(AND(M191&lt;&gt;"",M191=A191,K191&lt;&gt;"No change (same URL)"),"Redirects to itself; ","")&amp;IF(AND(M191&lt;&gt;"",OR(M191="/",AND(LEFT(M191,4)="http",OR((LEN(M191)-LEN(SUBSTITUTE(M191,"/","")))=2,AND((LEN(M191)-LEN(SUBSTITUTE(M191,"/","")))=3,RIGHT(M191,1)="/"))))),"Home page redirect; ","")&amp;IF(N(R191)&gt;1,"Chain; ","")&amp;IF(S191="No","Destination not 200; ","")))</f>
        <v/>
      </c>
      <c r="U191" s="22" t="n"/>
      <c r="V191" s="22" t="n"/>
      <c r="W191" s="4" t="n"/>
    </row>
    <row r="192">
      <c r="A192" s="22" t="n"/>
      <c r="B192" s="22" t="n"/>
      <c r="C192" s="22" t="n"/>
      <c r="D192" s="22">
        <f>IF(A192="","",IF(OR(N(B192)&gt;=$C$2,N(C192)&gt;=$E$2),"High",IF(OR(N(B192)&gt;0,N(C192)&gt;0),"Medium","Low")))</f>
        <v/>
      </c>
      <c r="E192" s="22" t="n"/>
      <c r="F192" s="22" t="n"/>
      <c r="G192" s="22" t="n"/>
      <c r="H192" s="22" t="n"/>
      <c r="I192" s="22" t="n"/>
      <c r="J192" s="22" t="n"/>
      <c r="K192" s="22" t="n"/>
      <c r="L192" s="22" t="n"/>
      <c r="M192" s="22">
        <f>IF(K192="Override",L192,IF(K192="Accept suggestion",F192,IF(K192="No change (same URL)",A192,"")))</f>
        <v/>
      </c>
      <c r="N192" s="22">
        <f>IF(A192="","",IF(K192="410 Gone","410",IF(K192="404","404",IF(K192="No change (same URL)","none",IF(M192="","","301")))))</f>
        <v/>
      </c>
      <c r="O192" s="22">
        <f>IF(A192="","",IFERROR(MID(A192,FIND("/",A192,FIND("//",A192)+2),2000),A192))</f>
        <v/>
      </c>
      <c r="P192" s="22">
        <f>IF(OR(O192="",N192="",N192="none",N192="404"),"",IF(N192="410","Redirect gone "&amp;O192,"Redirect "&amp;N192&amp;" "&amp;O192&amp;" "&amp;M192))</f>
        <v/>
      </c>
      <c r="Q192" s="22" t="n"/>
      <c r="R192" s="22" t="n"/>
      <c r="S192" s="22" t="n"/>
      <c r="T192" s="4">
        <f>IF(A192="","",TRIM(IF(K192="","Needs decision; ","")&amp;IF(AND(K192="Accept suggestion",F192=""),"No suggestion to accept; ","")&amp;IF(AND(K192="Override",L192=""),"Override URL missing; ","")&amp;IF(AND(K192="Accept suggestion",N(G192)&lt;$G$2),"Below your threshold; ","")&amp;IF(AND(M192&lt;&gt;"",M192=A192,K192&lt;&gt;"No change (same URL)"),"Redirects to itself; ","")&amp;IF(AND(M192&lt;&gt;"",OR(M192="/",AND(LEFT(M192,4)="http",OR((LEN(M192)-LEN(SUBSTITUTE(M192,"/","")))=2,AND((LEN(M192)-LEN(SUBSTITUTE(M192,"/","")))=3,RIGHT(M192,1)="/"))))),"Home page redirect; ","")&amp;IF(N(R192)&gt;1,"Chain; ","")&amp;IF(S192="No","Destination not 200; ","")))</f>
        <v/>
      </c>
      <c r="U192" s="22" t="n"/>
      <c r="V192" s="22" t="n"/>
      <c r="W192" s="4" t="n"/>
    </row>
    <row r="193">
      <c r="A193" s="22" t="n"/>
      <c r="B193" s="22" t="n"/>
      <c r="C193" s="22" t="n"/>
      <c r="D193" s="22">
        <f>IF(A193="","",IF(OR(N(B193)&gt;=$C$2,N(C193)&gt;=$E$2),"High",IF(OR(N(B193)&gt;0,N(C193)&gt;0),"Medium","Low")))</f>
        <v/>
      </c>
      <c r="E193" s="22" t="n"/>
      <c r="F193" s="22" t="n"/>
      <c r="G193" s="22" t="n"/>
      <c r="H193" s="22" t="n"/>
      <c r="I193" s="22" t="n"/>
      <c r="J193" s="22" t="n"/>
      <c r="K193" s="22" t="n"/>
      <c r="L193" s="22" t="n"/>
      <c r="M193" s="22">
        <f>IF(K193="Override",L193,IF(K193="Accept suggestion",F193,IF(K193="No change (same URL)",A193,"")))</f>
        <v/>
      </c>
      <c r="N193" s="22">
        <f>IF(A193="","",IF(K193="410 Gone","410",IF(K193="404","404",IF(K193="No change (same URL)","none",IF(M193="","","301")))))</f>
        <v/>
      </c>
      <c r="O193" s="22">
        <f>IF(A193="","",IFERROR(MID(A193,FIND("/",A193,FIND("//",A193)+2),2000),A193))</f>
        <v/>
      </c>
      <c r="P193" s="22">
        <f>IF(OR(O193="",N193="",N193="none",N193="404"),"",IF(N193="410","Redirect gone "&amp;O193,"Redirect "&amp;N193&amp;" "&amp;O193&amp;" "&amp;M193))</f>
        <v/>
      </c>
      <c r="Q193" s="22" t="n"/>
      <c r="R193" s="22" t="n"/>
      <c r="S193" s="22" t="n"/>
      <c r="T193" s="4">
        <f>IF(A193="","",TRIM(IF(K193="","Needs decision; ","")&amp;IF(AND(K193="Accept suggestion",F193=""),"No suggestion to accept; ","")&amp;IF(AND(K193="Override",L193=""),"Override URL missing; ","")&amp;IF(AND(K193="Accept suggestion",N(G193)&lt;$G$2),"Below your threshold; ","")&amp;IF(AND(M193&lt;&gt;"",M193=A193,K193&lt;&gt;"No change (same URL)"),"Redirects to itself; ","")&amp;IF(AND(M193&lt;&gt;"",OR(M193="/",AND(LEFT(M193,4)="http",OR((LEN(M193)-LEN(SUBSTITUTE(M193,"/","")))=2,AND((LEN(M193)-LEN(SUBSTITUTE(M193,"/","")))=3,RIGHT(M193,1)="/"))))),"Home page redirect; ","")&amp;IF(N(R193)&gt;1,"Chain; ","")&amp;IF(S193="No","Destination not 200; ","")))</f>
        <v/>
      </c>
      <c r="U193" s="22" t="n"/>
      <c r="V193" s="22" t="n"/>
      <c r="W193" s="4" t="n"/>
    </row>
    <row r="194">
      <c r="A194" s="22" t="n"/>
      <c r="B194" s="22" t="n"/>
      <c r="C194" s="22" t="n"/>
      <c r="D194" s="22">
        <f>IF(A194="","",IF(OR(N(B194)&gt;=$C$2,N(C194)&gt;=$E$2),"High",IF(OR(N(B194)&gt;0,N(C194)&gt;0),"Medium","Low")))</f>
        <v/>
      </c>
      <c r="E194" s="22" t="n"/>
      <c r="F194" s="22" t="n"/>
      <c r="G194" s="22" t="n"/>
      <c r="H194" s="22" t="n"/>
      <c r="I194" s="22" t="n"/>
      <c r="J194" s="22" t="n"/>
      <c r="K194" s="22" t="n"/>
      <c r="L194" s="22" t="n"/>
      <c r="M194" s="22">
        <f>IF(K194="Override",L194,IF(K194="Accept suggestion",F194,IF(K194="No change (same URL)",A194,"")))</f>
        <v/>
      </c>
      <c r="N194" s="22">
        <f>IF(A194="","",IF(K194="410 Gone","410",IF(K194="404","404",IF(K194="No change (same URL)","none",IF(M194="","","301")))))</f>
        <v/>
      </c>
      <c r="O194" s="22">
        <f>IF(A194="","",IFERROR(MID(A194,FIND("/",A194,FIND("//",A194)+2),2000),A194))</f>
        <v/>
      </c>
      <c r="P194" s="22">
        <f>IF(OR(O194="",N194="",N194="none",N194="404"),"",IF(N194="410","Redirect gone "&amp;O194,"Redirect "&amp;N194&amp;" "&amp;O194&amp;" "&amp;M194))</f>
        <v/>
      </c>
      <c r="Q194" s="22" t="n"/>
      <c r="R194" s="22" t="n"/>
      <c r="S194" s="22" t="n"/>
      <c r="T194" s="4">
        <f>IF(A194="","",TRIM(IF(K194="","Needs decision; ","")&amp;IF(AND(K194="Accept suggestion",F194=""),"No suggestion to accept; ","")&amp;IF(AND(K194="Override",L194=""),"Override URL missing; ","")&amp;IF(AND(K194="Accept suggestion",N(G194)&lt;$G$2),"Below your threshold; ","")&amp;IF(AND(M194&lt;&gt;"",M194=A194,K194&lt;&gt;"No change (same URL)"),"Redirects to itself; ","")&amp;IF(AND(M194&lt;&gt;"",OR(M194="/",AND(LEFT(M194,4)="http",OR((LEN(M194)-LEN(SUBSTITUTE(M194,"/","")))=2,AND((LEN(M194)-LEN(SUBSTITUTE(M194,"/","")))=3,RIGHT(M194,1)="/"))))),"Home page redirect; ","")&amp;IF(N(R194)&gt;1,"Chain; ","")&amp;IF(S194="No","Destination not 200; ","")))</f>
        <v/>
      </c>
      <c r="U194" s="22" t="n"/>
      <c r="V194" s="22" t="n"/>
      <c r="W194" s="4" t="n"/>
    </row>
    <row r="195">
      <c r="A195" s="22" t="n"/>
      <c r="B195" s="22" t="n"/>
      <c r="C195" s="22" t="n"/>
      <c r="D195" s="22">
        <f>IF(A195="","",IF(OR(N(B195)&gt;=$C$2,N(C195)&gt;=$E$2),"High",IF(OR(N(B195)&gt;0,N(C195)&gt;0),"Medium","Low")))</f>
        <v/>
      </c>
      <c r="E195" s="22" t="n"/>
      <c r="F195" s="22" t="n"/>
      <c r="G195" s="22" t="n"/>
      <c r="H195" s="22" t="n"/>
      <c r="I195" s="22" t="n"/>
      <c r="J195" s="22" t="n"/>
      <c r="K195" s="22" t="n"/>
      <c r="L195" s="22" t="n"/>
      <c r="M195" s="22">
        <f>IF(K195="Override",L195,IF(K195="Accept suggestion",F195,IF(K195="No change (same URL)",A195,"")))</f>
        <v/>
      </c>
      <c r="N195" s="22">
        <f>IF(A195="","",IF(K195="410 Gone","410",IF(K195="404","404",IF(K195="No change (same URL)","none",IF(M195="","","301")))))</f>
        <v/>
      </c>
      <c r="O195" s="22">
        <f>IF(A195="","",IFERROR(MID(A195,FIND("/",A195,FIND("//",A195)+2),2000),A195))</f>
        <v/>
      </c>
      <c r="P195" s="22">
        <f>IF(OR(O195="",N195="",N195="none",N195="404"),"",IF(N195="410","Redirect gone "&amp;O195,"Redirect "&amp;N195&amp;" "&amp;O195&amp;" "&amp;M195))</f>
        <v/>
      </c>
      <c r="Q195" s="22" t="n"/>
      <c r="R195" s="22" t="n"/>
      <c r="S195" s="22" t="n"/>
      <c r="T195" s="4">
        <f>IF(A195="","",TRIM(IF(K195="","Needs decision; ","")&amp;IF(AND(K195="Accept suggestion",F195=""),"No suggestion to accept; ","")&amp;IF(AND(K195="Override",L195=""),"Override URL missing; ","")&amp;IF(AND(K195="Accept suggestion",N(G195)&lt;$G$2),"Below your threshold; ","")&amp;IF(AND(M195&lt;&gt;"",M195=A195,K195&lt;&gt;"No change (same URL)"),"Redirects to itself; ","")&amp;IF(AND(M195&lt;&gt;"",OR(M195="/",AND(LEFT(M195,4)="http",OR((LEN(M195)-LEN(SUBSTITUTE(M195,"/","")))=2,AND((LEN(M195)-LEN(SUBSTITUTE(M195,"/","")))=3,RIGHT(M195,1)="/"))))),"Home page redirect; ","")&amp;IF(N(R195)&gt;1,"Chain; ","")&amp;IF(S195="No","Destination not 200; ","")))</f>
        <v/>
      </c>
      <c r="U195" s="22" t="n"/>
      <c r="V195" s="22" t="n"/>
      <c r="W195" s="4" t="n"/>
    </row>
    <row r="196">
      <c r="A196" s="22" t="n"/>
      <c r="B196" s="22" t="n"/>
      <c r="C196" s="22" t="n"/>
      <c r="D196" s="22">
        <f>IF(A196="","",IF(OR(N(B196)&gt;=$C$2,N(C196)&gt;=$E$2),"High",IF(OR(N(B196)&gt;0,N(C196)&gt;0),"Medium","Low")))</f>
        <v/>
      </c>
      <c r="E196" s="22" t="n"/>
      <c r="F196" s="22" t="n"/>
      <c r="G196" s="22" t="n"/>
      <c r="H196" s="22" t="n"/>
      <c r="I196" s="22" t="n"/>
      <c r="J196" s="22" t="n"/>
      <c r="K196" s="22" t="n"/>
      <c r="L196" s="22" t="n"/>
      <c r="M196" s="22">
        <f>IF(K196="Override",L196,IF(K196="Accept suggestion",F196,IF(K196="No change (same URL)",A196,"")))</f>
        <v/>
      </c>
      <c r="N196" s="22">
        <f>IF(A196="","",IF(K196="410 Gone","410",IF(K196="404","404",IF(K196="No change (same URL)","none",IF(M196="","","301")))))</f>
        <v/>
      </c>
      <c r="O196" s="22">
        <f>IF(A196="","",IFERROR(MID(A196,FIND("/",A196,FIND("//",A196)+2),2000),A196))</f>
        <v/>
      </c>
      <c r="P196" s="22">
        <f>IF(OR(O196="",N196="",N196="none",N196="404"),"",IF(N196="410","Redirect gone "&amp;O196,"Redirect "&amp;N196&amp;" "&amp;O196&amp;" "&amp;M196))</f>
        <v/>
      </c>
      <c r="Q196" s="22" t="n"/>
      <c r="R196" s="22" t="n"/>
      <c r="S196" s="22" t="n"/>
      <c r="T196" s="4">
        <f>IF(A196="","",TRIM(IF(K196="","Needs decision; ","")&amp;IF(AND(K196="Accept suggestion",F196=""),"No suggestion to accept; ","")&amp;IF(AND(K196="Override",L196=""),"Override URL missing; ","")&amp;IF(AND(K196="Accept suggestion",N(G196)&lt;$G$2),"Below your threshold; ","")&amp;IF(AND(M196&lt;&gt;"",M196=A196,K196&lt;&gt;"No change (same URL)"),"Redirects to itself; ","")&amp;IF(AND(M196&lt;&gt;"",OR(M196="/",AND(LEFT(M196,4)="http",OR((LEN(M196)-LEN(SUBSTITUTE(M196,"/","")))=2,AND((LEN(M196)-LEN(SUBSTITUTE(M196,"/","")))=3,RIGHT(M196,1)="/"))))),"Home page redirect; ","")&amp;IF(N(R196)&gt;1,"Chain; ","")&amp;IF(S196="No","Destination not 200; ","")))</f>
        <v/>
      </c>
      <c r="U196" s="22" t="n"/>
      <c r="V196" s="22" t="n"/>
      <c r="W196" s="4" t="n"/>
    </row>
    <row r="197">
      <c r="A197" s="22" t="n"/>
      <c r="B197" s="22" t="n"/>
      <c r="C197" s="22" t="n"/>
      <c r="D197" s="22">
        <f>IF(A197="","",IF(OR(N(B197)&gt;=$C$2,N(C197)&gt;=$E$2),"High",IF(OR(N(B197)&gt;0,N(C197)&gt;0),"Medium","Low")))</f>
        <v/>
      </c>
      <c r="E197" s="22" t="n"/>
      <c r="F197" s="22" t="n"/>
      <c r="G197" s="22" t="n"/>
      <c r="H197" s="22" t="n"/>
      <c r="I197" s="22" t="n"/>
      <c r="J197" s="22" t="n"/>
      <c r="K197" s="22" t="n"/>
      <c r="L197" s="22" t="n"/>
      <c r="M197" s="22">
        <f>IF(K197="Override",L197,IF(K197="Accept suggestion",F197,IF(K197="No change (same URL)",A197,"")))</f>
        <v/>
      </c>
      <c r="N197" s="22">
        <f>IF(A197="","",IF(K197="410 Gone","410",IF(K197="404","404",IF(K197="No change (same URL)","none",IF(M197="","","301")))))</f>
        <v/>
      </c>
      <c r="O197" s="22">
        <f>IF(A197="","",IFERROR(MID(A197,FIND("/",A197,FIND("//",A197)+2),2000),A197))</f>
        <v/>
      </c>
      <c r="P197" s="22">
        <f>IF(OR(O197="",N197="",N197="none",N197="404"),"",IF(N197="410","Redirect gone "&amp;O197,"Redirect "&amp;N197&amp;" "&amp;O197&amp;" "&amp;M197))</f>
        <v/>
      </c>
      <c r="Q197" s="22" t="n"/>
      <c r="R197" s="22" t="n"/>
      <c r="S197" s="22" t="n"/>
      <c r="T197" s="4">
        <f>IF(A197="","",TRIM(IF(K197="","Needs decision; ","")&amp;IF(AND(K197="Accept suggestion",F197=""),"No suggestion to accept; ","")&amp;IF(AND(K197="Override",L197=""),"Override URL missing; ","")&amp;IF(AND(K197="Accept suggestion",N(G197)&lt;$G$2),"Below your threshold; ","")&amp;IF(AND(M197&lt;&gt;"",M197=A197,K197&lt;&gt;"No change (same URL)"),"Redirects to itself; ","")&amp;IF(AND(M197&lt;&gt;"",OR(M197="/",AND(LEFT(M197,4)="http",OR((LEN(M197)-LEN(SUBSTITUTE(M197,"/","")))=2,AND((LEN(M197)-LEN(SUBSTITUTE(M197,"/","")))=3,RIGHT(M197,1)="/"))))),"Home page redirect; ","")&amp;IF(N(R197)&gt;1,"Chain; ","")&amp;IF(S197="No","Destination not 200; ","")))</f>
        <v/>
      </c>
      <c r="U197" s="22" t="n"/>
      <c r="V197" s="22" t="n"/>
      <c r="W197" s="4" t="n"/>
    </row>
    <row r="198">
      <c r="A198" s="22" t="n"/>
      <c r="B198" s="22" t="n"/>
      <c r="C198" s="22" t="n"/>
      <c r="D198" s="22">
        <f>IF(A198="","",IF(OR(N(B198)&gt;=$C$2,N(C198)&gt;=$E$2),"High",IF(OR(N(B198)&gt;0,N(C198)&gt;0),"Medium","Low")))</f>
        <v/>
      </c>
      <c r="E198" s="22" t="n"/>
      <c r="F198" s="22" t="n"/>
      <c r="G198" s="22" t="n"/>
      <c r="H198" s="22" t="n"/>
      <c r="I198" s="22" t="n"/>
      <c r="J198" s="22" t="n"/>
      <c r="K198" s="22" t="n"/>
      <c r="L198" s="22" t="n"/>
      <c r="M198" s="22">
        <f>IF(K198="Override",L198,IF(K198="Accept suggestion",F198,IF(K198="No change (same URL)",A198,"")))</f>
        <v/>
      </c>
      <c r="N198" s="22">
        <f>IF(A198="","",IF(K198="410 Gone","410",IF(K198="404","404",IF(K198="No change (same URL)","none",IF(M198="","","301")))))</f>
        <v/>
      </c>
      <c r="O198" s="22">
        <f>IF(A198="","",IFERROR(MID(A198,FIND("/",A198,FIND("//",A198)+2),2000),A198))</f>
        <v/>
      </c>
      <c r="P198" s="22">
        <f>IF(OR(O198="",N198="",N198="none",N198="404"),"",IF(N198="410","Redirect gone "&amp;O198,"Redirect "&amp;N198&amp;" "&amp;O198&amp;" "&amp;M198))</f>
        <v/>
      </c>
      <c r="Q198" s="22" t="n"/>
      <c r="R198" s="22" t="n"/>
      <c r="S198" s="22" t="n"/>
      <c r="T198" s="4">
        <f>IF(A198="","",TRIM(IF(K198="","Needs decision; ","")&amp;IF(AND(K198="Accept suggestion",F198=""),"No suggestion to accept; ","")&amp;IF(AND(K198="Override",L198=""),"Override URL missing; ","")&amp;IF(AND(K198="Accept suggestion",N(G198)&lt;$G$2),"Below your threshold; ","")&amp;IF(AND(M198&lt;&gt;"",M198=A198,K198&lt;&gt;"No change (same URL)"),"Redirects to itself; ","")&amp;IF(AND(M198&lt;&gt;"",OR(M198="/",AND(LEFT(M198,4)="http",OR((LEN(M198)-LEN(SUBSTITUTE(M198,"/","")))=2,AND((LEN(M198)-LEN(SUBSTITUTE(M198,"/","")))=3,RIGHT(M198,1)="/"))))),"Home page redirect; ","")&amp;IF(N(R198)&gt;1,"Chain; ","")&amp;IF(S198="No","Destination not 200; ","")))</f>
        <v/>
      </c>
      <c r="U198" s="22" t="n"/>
      <c r="V198" s="22" t="n"/>
      <c r="W198" s="4" t="n"/>
    </row>
    <row r="199">
      <c r="A199" s="22" t="n"/>
      <c r="B199" s="22" t="n"/>
      <c r="C199" s="22" t="n"/>
      <c r="D199" s="22">
        <f>IF(A199="","",IF(OR(N(B199)&gt;=$C$2,N(C199)&gt;=$E$2),"High",IF(OR(N(B199)&gt;0,N(C199)&gt;0),"Medium","Low")))</f>
        <v/>
      </c>
      <c r="E199" s="22" t="n"/>
      <c r="F199" s="22" t="n"/>
      <c r="G199" s="22" t="n"/>
      <c r="H199" s="22" t="n"/>
      <c r="I199" s="22" t="n"/>
      <c r="J199" s="22" t="n"/>
      <c r="K199" s="22" t="n"/>
      <c r="L199" s="22" t="n"/>
      <c r="M199" s="22">
        <f>IF(K199="Override",L199,IF(K199="Accept suggestion",F199,IF(K199="No change (same URL)",A199,"")))</f>
        <v/>
      </c>
      <c r="N199" s="22">
        <f>IF(A199="","",IF(K199="410 Gone","410",IF(K199="404","404",IF(K199="No change (same URL)","none",IF(M199="","","301")))))</f>
        <v/>
      </c>
      <c r="O199" s="22">
        <f>IF(A199="","",IFERROR(MID(A199,FIND("/",A199,FIND("//",A199)+2),2000),A199))</f>
        <v/>
      </c>
      <c r="P199" s="22">
        <f>IF(OR(O199="",N199="",N199="none",N199="404"),"",IF(N199="410","Redirect gone "&amp;O199,"Redirect "&amp;N199&amp;" "&amp;O199&amp;" "&amp;M199))</f>
        <v/>
      </c>
      <c r="Q199" s="22" t="n"/>
      <c r="R199" s="22" t="n"/>
      <c r="S199" s="22" t="n"/>
      <c r="T199" s="4">
        <f>IF(A199="","",TRIM(IF(K199="","Needs decision; ","")&amp;IF(AND(K199="Accept suggestion",F199=""),"No suggestion to accept; ","")&amp;IF(AND(K199="Override",L199=""),"Override URL missing; ","")&amp;IF(AND(K199="Accept suggestion",N(G199)&lt;$G$2),"Below your threshold; ","")&amp;IF(AND(M199&lt;&gt;"",M199=A199,K199&lt;&gt;"No change (same URL)"),"Redirects to itself; ","")&amp;IF(AND(M199&lt;&gt;"",OR(M199="/",AND(LEFT(M199,4)="http",OR((LEN(M199)-LEN(SUBSTITUTE(M199,"/","")))=2,AND((LEN(M199)-LEN(SUBSTITUTE(M199,"/","")))=3,RIGHT(M199,1)="/"))))),"Home page redirect; ","")&amp;IF(N(R199)&gt;1,"Chain; ","")&amp;IF(S199="No","Destination not 200; ","")))</f>
        <v/>
      </c>
      <c r="U199" s="22" t="n"/>
      <c r="V199" s="22" t="n"/>
      <c r="W199" s="4" t="n"/>
    </row>
    <row r="200">
      <c r="A200" s="22" t="n"/>
      <c r="B200" s="22" t="n"/>
      <c r="C200" s="22" t="n"/>
      <c r="D200" s="22">
        <f>IF(A200="","",IF(OR(N(B200)&gt;=$C$2,N(C200)&gt;=$E$2),"High",IF(OR(N(B200)&gt;0,N(C200)&gt;0),"Medium","Low")))</f>
        <v/>
      </c>
      <c r="E200" s="22" t="n"/>
      <c r="F200" s="22" t="n"/>
      <c r="G200" s="22" t="n"/>
      <c r="H200" s="22" t="n"/>
      <c r="I200" s="22" t="n"/>
      <c r="J200" s="22" t="n"/>
      <c r="K200" s="22" t="n"/>
      <c r="L200" s="22" t="n"/>
      <c r="M200" s="22">
        <f>IF(K200="Override",L200,IF(K200="Accept suggestion",F200,IF(K200="No change (same URL)",A200,"")))</f>
        <v/>
      </c>
      <c r="N200" s="22">
        <f>IF(A200="","",IF(K200="410 Gone","410",IF(K200="404","404",IF(K200="No change (same URL)","none",IF(M200="","","301")))))</f>
        <v/>
      </c>
      <c r="O200" s="22">
        <f>IF(A200="","",IFERROR(MID(A200,FIND("/",A200,FIND("//",A200)+2),2000),A200))</f>
        <v/>
      </c>
      <c r="P200" s="22">
        <f>IF(OR(O200="",N200="",N200="none",N200="404"),"",IF(N200="410","Redirect gone "&amp;O200,"Redirect "&amp;N200&amp;" "&amp;O200&amp;" "&amp;M200))</f>
        <v/>
      </c>
      <c r="Q200" s="22" t="n"/>
      <c r="R200" s="22" t="n"/>
      <c r="S200" s="22" t="n"/>
      <c r="T200" s="4">
        <f>IF(A200="","",TRIM(IF(K200="","Needs decision; ","")&amp;IF(AND(K200="Accept suggestion",F200=""),"No suggestion to accept; ","")&amp;IF(AND(K200="Override",L200=""),"Override URL missing; ","")&amp;IF(AND(K200="Accept suggestion",N(G200)&lt;$G$2),"Below your threshold; ","")&amp;IF(AND(M200&lt;&gt;"",M200=A200,K200&lt;&gt;"No change (same URL)"),"Redirects to itself; ","")&amp;IF(AND(M200&lt;&gt;"",OR(M200="/",AND(LEFT(M200,4)="http",OR((LEN(M200)-LEN(SUBSTITUTE(M200,"/","")))=2,AND((LEN(M200)-LEN(SUBSTITUTE(M200,"/","")))=3,RIGHT(M200,1)="/"))))),"Home page redirect; ","")&amp;IF(N(R200)&gt;1,"Chain; ","")&amp;IF(S200="No","Destination not 200; ","")))</f>
        <v/>
      </c>
      <c r="U200" s="22" t="n"/>
      <c r="V200" s="22" t="n"/>
      <c r="W200" s="4" t="n"/>
    </row>
    <row r="201">
      <c r="A201" s="22" t="n"/>
      <c r="B201" s="22" t="n"/>
      <c r="C201" s="22" t="n"/>
      <c r="D201" s="22">
        <f>IF(A201="","",IF(OR(N(B201)&gt;=$C$2,N(C201)&gt;=$E$2),"High",IF(OR(N(B201)&gt;0,N(C201)&gt;0),"Medium","Low")))</f>
        <v/>
      </c>
      <c r="E201" s="22" t="n"/>
      <c r="F201" s="22" t="n"/>
      <c r="G201" s="22" t="n"/>
      <c r="H201" s="22" t="n"/>
      <c r="I201" s="22" t="n"/>
      <c r="J201" s="22" t="n"/>
      <c r="K201" s="22" t="n"/>
      <c r="L201" s="22" t="n"/>
      <c r="M201" s="22">
        <f>IF(K201="Override",L201,IF(K201="Accept suggestion",F201,IF(K201="No change (same URL)",A201,"")))</f>
        <v/>
      </c>
      <c r="N201" s="22">
        <f>IF(A201="","",IF(K201="410 Gone","410",IF(K201="404","404",IF(K201="No change (same URL)","none",IF(M201="","","301")))))</f>
        <v/>
      </c>
      <c r="O201" s="22">
        <f>IF(A201="","",IFERROR(MID(A201,FIND("/",A201,FIND("//",A201)+2),2000),A201))</f>
        <v/>
      </c>
      <c r="P201" s="22">
        <f>IF(OR(O201="",N201="",N201="none",N201="404"),"",IF(N201="410","Redirect gone "&amp;O201,"Redirect "&amp;N201&amp;" "&amp;O201&amp;" "&amp;M201))</f>
        <v/>
      </c>
      <c r="Q201" s="22" t="n"/>
      <c r="R201" s="22" t="n"/>
      <c r="S201" s="22" t="n"/>
      <c r="T201" s="4">
        <f>IF(A201="","",TRIM(IF(K201="","Needs decision; ","")&amp;IF(AND(K201="Accept suggestion",F201=""),"No suggestion to accept; ","")&amp;IF(AND(K201="Override",L201=""),"Override URL missing; ","")&amp;IF(AND(K201="Accept suggestion",N(G201)&lt;$G$2),"Below your threshold; ","")&amp;IF(AND(M201&lt;&gt;"",M201=A201,K201&lt;&gt;"No change (same URL)"),"Redirects to itself; ","")&amp;IF(AND(M201&lt;&gt;"",OR(M201="/",AND(LEFT(M201,4)="http",OR((LEN(M201)-LEN(SUBSTITUTE(M201,"/","")))=2,AND((LEN(M201)-LEN(SUBSTITUTE(M201,"/","")))=3,RIGHT(M201,1)="/"))))),"Home page redirect; ","")&amp;IF(N(R201)&gt;1,"Chain; ","")&amp;IF(S201="No","Destination not 200; ","")))</f>
        <v/>
      </c>
      <c r="U201" s="22" t="n"/>
      <c r="V201" s="22" t="n"/>
      <c r="W201" s="4" t="n"/>
    </row>
    <row r="202">
      <c r="A202" s="22" t="n"/>
      <c r="B202" s="22" t="n"/>
      <c r="C202" s="22" t="n"/>
      <c r="D202" s="22">
        <f>IF(A202="","",IF(OR(N(B202)&gt;=$C$2,N(C202)&gt;=$E$2),"High",IF(OR(N(B202)&gt;0,N(C202)&gt;0),"Medium","Low")))</f>
        <v/>
      </c>
      <c r="E202" s="22" t="n"/>
      <c r="F202" s="22" t="n"/>
      <c r="G202" s="22" t="n"/>
      <c r="H202" s="22" t="n"/>
      <c r="I202" s="22" t="n"/>
      <c r="J202" s="22" t="n"/>
      <c r="K202" s="22" t="n"/>
      <c r="L202" s="22" t="n"/>
      <c r="M202" s="22">
        <f>IF(K202="Override",L202,IF(K202="Accept suggestion",F202,IF(K202="No change (same URL)",A202,"")))</f>
        <v/>
      </c>
      <c r="N202" s="22">
        <f>IF(A202="","",IF(K202="410 Gone","410",IF(K202="404","404",IF(K202="No change (same URL)","none",IF(M202="","","301")))))</f>
        <v/>
      </c>
      <c r="O202" s="22">
        <f>IF(A202="","",IFERROR(MID(A202,FIND("/",A202,FIND("//",A202)+2),2000),A202))</f>
        <v/>
      </c>
      <c r="P202" s="22">
        <f>IF(OR(O202="",N202="",N202="none",N202="404"),"",IF(N202="410","Redirect gone "&amp;O202,"Redirect "&amp;N202&amp;" "&amp;O202&amp;" "&amp;M202))</f>
        <v/>
      </c>
      <c r="Q202" s="22" t="n"/>
      <c r="R202" s="22" t="n"/>
      <c r="S202" s="22" t="n"/>
      <c r="T202" s="4">
        <f>IF(A202="","",TRIM(IF(K202="","Needs decision; ","")&amp;IF(AND(K202="Accept suggestion",F202=""),"No suggestion to accept; ","")&amp;IF(AND(K202="Override",L202=""),"Override URL missing; ","")&amp;IF(AND(K202="Accept suggestion",N(G202)&lt;$G$2),"Below your threshold; ","")&amp;IF(AND(M202&lt;&gt;"",M202=A202,K202&lt;&gt;"No change (same URL)"),"Redirects to itself; ","")&amp;IF(AND(M202&lt;&gt;"",OR(M202="/",AND(LEFT(M202,4)="http",OR((LEN(M202)-LEN(SUBSTITUTE(M202,"/","")))=2,AND((LEN(M202)-LEN(SUBSTITUTE(M202,"/","")))=3,RIGHT(M202,1)="/"))))),"Home page redirect; ","")&amp;IF(N(R202)&gt;1,"Chain; ","")&amp;IF(S202="No","Destination not 200; ","")))</f>
        <v/>
      </c>
      <c r="U202" s="22" t="n"/>
      <c r="V202" s="22" t="n"/>
      <c r="W202" s="4" t="n"/>
    </row>
    <row r="203">
      <c r="A203" s="22" t="n"/>
      <c r="B203" s="22" t="n"/>
      <c r="C203" s="22" t="n"/>
      <c r="D203" s="22">
        <f>IF(A203="","",IF(OR(N(B203)&gt;=$C$2,N(C203)&gt;=$E$2),"High",IF(OR(N(B203)&gt;0,N(C203)&gt;0),"Medium","Low")))</f>
        <v/>
      </c>
      <c r="E203" s="22" t="n"/>
      <c r="F203" s="22" t="n"/>
      <c r="G203" s="22" t="n"/>
      <c r="H203" s="22" t="n"/>
      <c r="I203" s="22" t="n"/>
      <c r="J203" s="22" t="n"/>
      <c r="K203" s="22" t="n"/>
      <c r="L203" s="22" t="n"/>
      <c r="M203" s="22">
        <f>IF(K203="Override",L203,IF(K203="Accept suggestion",F203,IF(K203="No change (same URL)",A203,"")))</f>
        <v/>
      </c>
      <c r="N203" s="22">
        <f>IF(A203="","",IF(K203="410 Gone","410",IF(K203="404","404",IF(K203="No change (same URL)","none",IF(M203="","","301")))))</f>
        <v/>
      </c>
      <c r="O203" s="22">
        <f>IF(A203="","",IFERROR(MID(A203,FIND("/",A203,FIND("//",A203)+2),2000),A203))</f>
        <v/>
      </c>
      <c r="P203" s="22">
        <f>IF(OR(O203="",N203="",N203="none",N203="404"),"",IF(N203="410","Redirect gone "&amp;O203,"Redirect "&amp;N203&amp;" "&amp;O203&amp;" "&amp;M203))</f>
        <v/>
      </c>
      <c r="Q203" s="22" t="n"/>
      <c r="R203" s="22" t="n"/>
      <c r="S203" s="22" t="n"/>
      <c r="T203" s="4">
        <f>IF(A203="","",TRIM(IF(K203="","Needs decision; ","")&amp;IF(AND(K203="Accept suggestion",F203=""),"No suggestion to accept; ","")&amp;IF(AND(K203="Override",L203=""),"Override URL missing; ","")&amp;IF(AND(K203="Accept suggestion",N(G203)&lt;$G$2),"Below your threshold; ","")&amp;IF(AND(M203&lt;&gt;"",M203=A203,K203&lt;&gt;"No change (same URL)"),"Redirects to itself; ","")&amp;IF(AND(M203&lt;&gt;"",OR(M203="/",AND(LEFT(M203,4)="http",OR((LEN(M203)-LEN(SUBSTITUTE(M203,"/","")))=2,AND((LEN(M203)-LEN(SUBSTITUTE(M203,"/","")))=3,RIGHT(M203,1)="/"))))),"Home page redirect; ","")&amp;IF(N(R203)&gt;1,"Chain; ","")&amp;IF(S203="No","Destination not 200; ","")))</f>
        <v/>
      </c>
      <c r="U203" s="22" t="n"/>
      <c r="V203" s="22" t="n"/>
      <c r="W203" s="4" t="n"/>
    </row>
    <row r="204">
      <c r="A204" s="22" t="n"/>
      <c r="B204" s="22" t="n"/>
      <c r="C204" s="22" t="n"/>
      <c r="D204" s="22">
        <f>IF(A204="","",IF(OR(N(B204)&gt;=$C$2,N(C204)&gt;=$E$2),"High",IF(OR(N(B204)&gt;0,N(C204)&gt;0),"Medium","Low")))</f>
        <v/>
      </c>
      <c r="E204" s="22" t="n"/>
      <c r="F204" s="22" t="n"/>
      <c r="G204" s="22" t="n"/>
      <c r="H204" s="22" t="n"/>
      <c r="I204" s="22" t="n"/>
      <c r="J204" s="22" t="n"/>
      <c r="K204" s="22" t="n"/>
      <c r="L204" s="22" t="n"/>
      <c r="M204" s="22">
        <f>IF(K204="Override",L204,IF(K204="Accept suggestion",F204,IF(K204="No change (same URL)",A204,"")))</f>
        <v/>
      </c>
      <c r="N204" s="22">
        <f>IF(A204="","",IF(K204="410 Gone","410",IF(K204="404","404",IF(K204="No change (same URL)","none",IF(M204="","","301")))))</f>
        <v/>
      </c>
      <c r="O204" s="22">
        <f>IF(A204="","",IFERROR(MID(A204,FIND("/",A204,FIND("//",A204)+2),2000),A204))</f>
        <v/>
      </c>
      <c r="P204" s="22">
        <f>IF(OR(O204="",N204="",N204="none",N204="404"),"",IF(N204="410","Redirect gone "&amp;O204,"Redirect "&amp;N204&amp;" "&amp;O204&amp;" "&amp;M204))</f>
        <v/>
      </c>
      <c r="Q204" s="22" t="n"/>
      <c r="R204" s="22" t="n"/>
      <c r="S204" s="22" t="n"/>
      <c r="T204" s="4">
        <f>IF(A204="","",TRIM(IF(K204="","Needs decision; ","")&amp;IF(AND(K204="Accept suggestion",F204=""),"No suggestion to accept; ","")&amp;IF(AND(K204="Override",L204=""),"Override URL missing; ","")&amp;IF(AND(K204="Accept suggestion",N(G204)&lt;$G$2),"Below your threshold; ","")&amp;IF(AND(M204&lt;&gt;"",M204=A204,K204&lt;&gt;"No change (same URL)"),"Redirects to itself; ","")&amp;IF(AND(M204&lt;&gt;"",OR(M204="/",AND(LEFT(M204,4)="http",OR((LEN(M204)-LEN(SUBSTITUTE(M204,"/","")))=2,AND((LEN(M204)-LEN(SUBSTITUTE(M204,"/","")))=3,RIGHT(M204,1)="/"))))),"Home page redirect; ","")&amp;IF(N(R204)&gt;1,"Chain; ","")&amp;IF(S204="No","Destination not 200; ","")))</f>
        <v/>
      </c>
      <c r="U204" s="22" t="n"/>
      <c r="V204" s="22" t="n"/>
      <c r="W204" s="4" t="n"/>
    </row>
    <row r="205">
      <c r="A205" s="22" t="n"/>
      <c r="B205" s="22" t="n"/>
      <c r="C205" s="22" t="n"/>
      <c r="D205" s="22">
        <f>IF(A205="","",IF(OR(N(B205)&gt;=$C$2,N(C205)&gt;=$E$2),"High",IF(OR(N(B205)&gt;0,N(C205)&gt;0),"Medium","Low")))</f>
        <v/>
      </c>
      <c r="E205" s="22" t="n"/>
      <c r="F205" s="22" t="n"/>
      <c r="G205" s="22" t="n"/>
      <c r="H205" s="22" t="n"/>
      <c r="I205" s="22" t="n"/>
      <c r="J205" s="22" t="n"/>
      <c r="K205" s="22" t="n"/>
      <c r="L205" s="22" t="n"/>
      <c r="M205" s="22">
        <f>IF(K205="Override",L205,IF(K205="Accept suggestion",F205,IF(K205="No change (same URL)",A205,"")))</f>
        <v/>
      </c>
      <c r="N205" s="22">
        <f>IF(A205="","",IF(K205="410 Gone","410",IF(K205="404","404",IF(K205="No change (same URL)","none",IF(M205="","","301")))))</f>
        <v/>
      </c>
      <c r="O205" s="22">
        <f>IF(A205="","",IFERROR(MID(A205,FIND("/",A205,FIND("//",A205)+2),2000),A205))</f>
        <v/>
      </c>
      <c r="P205" s="22">
        <f>IF(OR(O205="",N205="",N205="none",N205="404"),"",IF(N205="410","Redirect gone "&amp;O205,"Redirect "&amp;N205&amp;" "&amp;O205&amp;" "&amp;M205))</f>
        <v/>
      </c>
      <c r="Q205" s="22" t="n"/>
      <c r="R205" s="22" t="n"/>
      <c r="S205" s="22" t="n"/>
      <c r="T205" s="4">
        <f>IF(A205="","",TRIM(IF(K205="","Needs decision; ","")&amp;IF(AND(K205="Accept suggestion",F205=""),"No suggestion to accept; ","")&amp;IF(AND(K205="Override",L205=""),"Override URL missing; ","")&amp;IF(AND(K205="Accept suggestion",N(G205)&lt;$G$2),"Below your threshold; ","")&amp;IF(AND(M205&lt;&gt;"",M205=A205,K205&lt;&gt;"No change (same URL)"),"Redirects to itself; ","")&amp;IF(AND(M205&lt;&gt;"",OR(M205="/",AND(LEFT(M205,4)="http",OR((LEN(M205)-LEN(SUBSTITUTE(M205,"/","")))=2,AND((LEN(M205)-LEN(SUBSTITUTE(M205,"/","")))=3,RIGHT(M205,1)="/"))))),"Home page redirect; ","")&amp;IF(N(R205)&gt;1,"Chain; ","")&amp;IF(S205="No","Destination not 200; ","")))</f>
        <v/>
      </c>
      <c r="U205" s="22" t="n"/>
      <c r="V205" s="22" t="n"/>
      <c r="W205" s="4" t="n"/>
    </row>
    <row r="206">
      <c r="A206" s="22" t="n"/>
      <c r="B206" s="22" t="n"/>
      <c r="C206" s="22" t="n"/>
      <c r="D206" s="22">
        <f>IF(A206="","",IF(OR(N(B206)&gt;=$C$2,N(C206)&gt;=$E$2),"High",IF(OR(N(B206)&gt;0,N(C206)&gt;0),"Medium","Low")))</f>
        <v/>
      </c>
      <c r="E206" s="22" t="n"/>
      <c r="F206" s="22" t="n"/>
      <c r="G206" s="22" t="n"/>
      <c r="H206" s="22" t="n"/>
      <c r="I206" s="22" t="n"/>
      <c r="J206" s="22" t="n"/>
      <c r="K206" s="22" t="n"/>
      <c r="L206" s="22" t="n"/>
      <c r="M206" s="22">
        <f>IF(K206="Override",L206,IF(K206="Accept suggestion",F206,IF(K206="No change (same URL)",A206,"")))</f>
        <v/>
      </c>
      <c r="N206" s="22">
        <f>IF(A206="","",IF(K206="410 Gone","410",IF(K206="404","404",IF(K206="No change (same URL)","none",IF(M206="","","301")))))</f>
        <v/>
      </c>
      <c r="O206" s="22">
        <f>IF(A206="","",IFERROR(MID(A206,FIND("/",A206,FIND("//",A206)+2),2000),A206))</f>
        <v/>
      </c>
      <c r="P206" s="22">
        <f>IF(OR(O206="",N206="",N206="none",N206="404"),"",IF(N206="410","Redirect gone "&amp;O206,"Redirect "&amp;N206&amp;" "&amp;O206&amp;" "&amp;M206))</f>
        <v/>
      </c>
      <c r="Q206" s="22" t="n"/>
      <c r="R206" s="22" t="n"/>
      <c r="S206" s="22" t="n"/>
      <c r="T206" s="4">
        <f>IF(A206="","",TRIM(IF(K206="","Needs decision; ","")&amp;IF(AND(K206="Accept suggestion",F206=""),"No suggestion to accept; ","")&amp;IF(AND(K206="Override",L206=""),"Override URL missing; ","")&amp;IF(AND(K206="Accept suggestion",N(G206)&lt;$G$2),"Below your threshold; ","")&amp;IF(AND(M206&lt;&gt;"",M206=A206,K206&lt;&gt;"No change (same URL)"),"Redirects to itself; ","")&amp;IF(AND(M206&lt;&gt;"",OR(M206="/",AND(LEFT(M206,4)="http",OR((LEN(M206)-LEN(SUBSTITUTE(M206,"/","")))=2,AND((LEN(M206)-LEN(SUBSTITUTE(M206,"/","")))=3,RIGHT(M206,1)="/"))))),"Home page redirect; ","")&amp;IF(N(R206)&gt;1,"Chain; ","")&amp;IF(S206="No","Destination not 200; ","")))</f>
        <v/>
      </c>
      <c r="U206" s="22" t="n"/>
      <c r="V206" s="22" t="n"/>
      <c r="W206" s="4" t="n"/>
    </row>
    <row r="207">
      <c r="A207" s="22" t="n"/>
      <c r="B207" s="22" t="n"/>
      <c r="C207" s="22" t="n"/>
      <c r="D207" s="22">
        <f>IF(A207="","",IF(OR(N(B207)&gt;=$C$2,N(C207)&gt;=$E$2),"High",IF(OR(N(B207)&gt;0,N(C207)&gt;0),"Medium","Low")))</f>
        <v/>
      </c>
      <c r="E207" s="22" t="n"/>
      <c r="F207" s="22" t="n"/>
      <c r="G207" s="22" t="n"/>
      <c r="H207" s="22" t="n"/>
      <c r="I207" s="22" t="n"/>
      <c r="J207" s="22" t="n"/>
      <c r="K207" s="22" t="n"/>
      <c r="L207" s="22" t="n"/>
      <c r="M207" s="22">
        <f>IF(K207="Override",L207,IF(K207="Accept suggestion",F207,IF(K207="No change (same URL)",A207,"")))</f>
        <v/>
      </c>
      <c r="N207" s="22">
        <f>IF(A207="","",IF(K207="410 Gone","410",IF(K207="404","404",IF(K207="No change (same URL)","none",IF(M207="","","301")))))</f>
        <v/>
      </c>
      <c r="O207" s="22">
        <f>IF(A207="","",IFERROR(MID(A207,FIND("/",A207,FIND("//",A207)+2),2000),A207))</f>
        <v/>
      </c>
      <c r="P207" s="22">
        <f>IF(OR(O207="",N207="",N207="none",N207="404"),"",IF(N207="410","Redirect gone "&amp;O207,"Redirect "&amp;N207&amp;" "&amp;O207&amp;" "&amp;M207))</f>
        <v/>
      </c>
      <c r="Q207" s="22" t="n"/>
      <c r="R207" s="22" t="n"/>
      <c r="S207" s="22" t="n"/>
      <c r="T207" s="4">
        <f>IF(A207="","",TRIM(IF(K207="","Needs decision; ","")&amp;IF(AND(K207="Accept suggestion",F207=""),"No suggestion to accept; ","")&amp;IF(AND(K207="Override",L207=""),"Override URL missing; ","")&amp;IF(AND(K207="Accept suggestion",N(G207)&lt;$G$2),"Below your threshold; ","")&amp;IF(AND(M207&lt;&gt;"",M207=A207,K207&lt;&gt;"No change (same URL)"),"Redirects to itself; ","")&amp;IF(AND(M207&lt;&gt;"",OR(M207="/",AND(LEFT(M207,4)="http",OR((LEN(M207)-LEN(SUBSTITUTE(M207,"/","")))=2,AND((LEN(M207)-LEN(SUBSTITUTE(M207,"/","")))=3,RIGHT(M207,1)="/"))))),"Home page redirect; ","")&amp;IF(N(R207)&gt;1,"Chain; ","")&amp;IF(S207="No","Destination not 200; ","")))</f>
        <v/>
      </c>
      <c r="U207" s="22" t="n"/>
      <c r="V207" s="22" t="n"/>
      <c r="W207" s="4" t="n"/>
    </row>
    <row r="208">
      <c r="A208" s="22" t="n"/>
      <c r="B208" s="22" t="n"/>
      <c r="C208" s="22" t="n"/>
      <c r="D208" s="22">
        <f>IF(A208="","",IF(OR(N(B208)&gt;=$C$2,N(C208)&gt;=$E$2),"High",IF(OR(N(B208)&gt;0,N(C208)&gt;0),"Medium","Low")))</f>
        <v/>
      </c>
      <c r="E208" s="22" t="n"/>
      <c r="F208" s="22" t="n"/>
      <c r="G208" s="22" t="n"/>
      <c r="H208" s="22" t="n"/>
      <c r="I208" s="22" t="n"/>
      <c r="J208" s="22" t="n"/>
      <c r="K208" s="22" t="n"/>
      <c r="L208" s="22" t="n"/>
      <c r="M208" s="22">
        <f>IF(K208="Override",L208,IF(K208="Accept suggestion",F208,IF(K208="No change (same URL)",A208,"")))</f>
        <v/>
      </c>
      <c r="N208" s="22">
        <f>IF(A208="","",IF(K208="410 Gone","410",IF(K208="404","404",IF(K208="No change (same URL)","none",IF(M208="","","301")))))</f>
        <v/>
      </c>
      <c r="O208" s="22">
        <f>IF(A208="","",IFERROR(MID(A208,FIND("/",A208,FIND("//",A208)+2),2000),A208))</f>
        <v/>
      </c>
      <c r="P208" s="22">
        <f>IF(OR(O208="",N208="",N208="none",N208="404"),"",IF(N208="410","Redirect gone "&amp;O208,"Redirect "&amp;N208&amp;" "&amp;O208&amp;" "&amp;M208))</f>
        <v/>
      </c>
      <c r="Q208" s="22" t="n"/>
      <c r="R208" s="22" t="n"/>
      <c r="S208" s="22" t="n"/>
      <c r="T208" s="4">
        <f>IF(A208="","",TRIM(IF(K208="","Needs decision; ","")&amp;IF(AND(K208="Accept suggestion",F208=""),"No suggestion to accept; ","")&amp;IF(AND(K208="Override",L208=""),"Override URL missing; ","")&amp;IF(AND(K208="Accept suggestion",N(G208)&lt;$G$2),"Below your threshold; ","")&amp;IF(AND(M208&lt;&gt;"",M208=A208,K208&lt;&gt;"No change (same URL)"),"Redirects to itself; ","")&amp;IF(AND(M208&lt;&gt;"",OR(M208="/",AND(LEFT(M208,4)="http",OR((LEN(M208)-LEN(SUBSTITUTE(M208,"/","")))=2,AND((LEN(M208)-LEN(SUBSTITUTE(M208,"/","")))=3,RIGHT(M208,1)="/"))))),"Home page redirect; ","")&amp;IF(N(R208)&gt;1,"Chain; ","")&amp;IF(S208="No","Destination not 200; ","")))</f>
        <v/>
      </c>
      <c r="U208" s="22" t="n"/>
      <c r="V208" s="22" t="n"/>
      <c r="W208" s="4" t="n"/>
    </row>
    <row r="209">
      <c r="A209" s="22" t="n"/>
      <c r="B209" s="22" t="n"/>
      <c r="C209" s="22" t="n"/>
      <c r="D209" s="22">
        <f>IF(A209="","",IF(OR(N(B209)&gt;=$C$2,N(C209)&gt;=$E$2),"High",IF(OR(N(B209)&gt;0,N(C209)&gt;0),"Medium","Low")))</f>
        <v/>
      </c>
      <c r="E209" s="22" t="n"/>
      <c r="F209" s="22" t="n"/>
      <c r="G209" s="22" t="n"/>
      <c r="H209" s="22" t="n"/>
      <c r="I209" s="22" t="n"/>
      <c r="J209" s="22" t="n"/>
      <c r="K209" s="22" t="n"/>
      <c r="L209" s="22" t="n"/>
      <c r="M209" s="22">
        <f>IF(K209="Override",L209,IF(K209="Accept suggestion",F209,IF(K209="No change (same URL)",A209,"")))</f>
        <v/>
      </c>
      <c r="N209" s="22">
        <f>IF(A209="","",IF(K209="410 Gone","410",IF(K209="404","404",IF(K209="No change (same URL)","none",IF(M209="","","301")))))</f>
        <v/>
      </c>
      <c r="O209" s="22">
        <f>IF(A209="","",IFERROR(MID(A209,FIND("/",A209,FIND("//",A209)+2),2000),A209))</f>
        <v/>
      </c>
      <c r="P209" s="22">
        <f>IF(OR(O209="",N209="",N209="none",N209="404"),"",IF(N209="410","Redirect gone "&amp;O209,"Redirect "&amp;N209&amp;" "&amp;O209&amp;" "&amp;M209))</f>
        <v/>
      </c>
      <c r="Q209" s="22" t="n"/>
      <c r="R209" s="22" t="n"/>
      <c r="S209" s="22" t="n"/>
      <c r="T209" s="4">
        <f>IF(A209="","",TRIM(IF(K209="","Needs decision; ","")&amp;IF(AND(K209="Accept suggestion",F209=""),"No suggestion to accept; ","")&amp;IF(AND(K209="Override",L209=""),"Override URL missing; ","")&amp;IF(AND(K209="Accept suggestion",N(G209)&lt;$G$2),"Below your threshold; ","")&amp;IF(AND(M209&lt;&gt;"",M209=A209,K209&lt;&gt;"No change (same URL)"),"Redirects to itself; ","")&amp;IF(AND(M209&lt;&gt;"",OR(M209="/",AND(LEFT(M209,4)="http",OR((LEN(M209)-LEN(SUBSTITUTE(M209,"/","")))=2,AND((LEN(M209)-LEN(SUBSTITUTE(M209,"/","")))=3,RIGHT(M209,1)="/"))))),"Home page redirect; ","")&amp;IF(N(R209)&gt;1,"Chain; ","")&amp;IF(S209="No","Destination not 200; ","")))</f>
        <v/>
      </c>
      <c r="U209" s="22" t="n"/>
      <c r="V209" s="22" t="n"/>
      <c r="W209" s="4" t="n"/>
    </row>
    <row r="210">
      <c r="A210" s="22" t="n"/>
      <c r="B210" s="22" t="n"/>
      <c r="C210" s="22" t="n"/>
      <c r="D210" s="22">
        <f>IF(A210="","",IF(OR(N(B210)&gt;=$C$2,N(C210)&gt;=$E$2),"High",IF(OR(N(B210)&gt;0,N(C210)&gt;0),"Medium","Low")))</f>
        <v/>
      </c>
      <c r="E210" s="22" t="n"/>
      <c r="F210" s="22" t="n"/>
      <c r="G210" s="22" t="n"/>
      <c r="H210" s="22" t="n"/>
      <c r="I210" s="22" t="n"/>
      <c r="J210" s="22" t="n"/>
      <c r="K210" s="22" t="n"/>
      <c r="L210" s="22" t="n"/>
      <c r="M210" s="22">
        <f>IF(K210="Override",L210,IF(K210="Accept suggestion",F210,IF(K210="No change (same URL)",A210,"")))</f>
        <v/>
      </c>
      <c r="N210" s="22">
        <f>IF(A210="","",IF(K210="410 Gone","410",IF(K210="404","404",IF(K210="No change (same URL)","none",IF(M210="","","301")))))</f>
        <v/>
      </c>
      <c r="O210" s="22">
        <f>IF(A210="","",IFERROR(MID(A210,FIND("/",A210,FIND("//",A210)+2),2000),A210))</f>
        <v/>
      </c>
      <c r="P210" s="22">
        <f>IF(OR(O210="",N210="",N210="none",N210="404"),"",IF(N210="410","Redirect gone "&amp;O210,"Redirect "&amp;N210&amp;" "&amp;O210&amp;" "&amp;M210))</f>
        <v/>
      </c>
      <c r="Q210" s="22" t="n"/>
      <c r="R210" s="22" t="n"/>
      <c r="S210" s="22" t="n"/>
      <c r="T210" s="4">
        <f>IF(A210="","",TRIM(IF(K210="","Needs decision; ","")&amp;IF(AND(K210="Accept suggestion",F210=""),"No suggestion to accept; ","")&amp;IF(AND(K210="Override",L210=""),"Override URL missing; ","")&amp;IF(AND(K210="Accept suggestion",N(G210)&lt;$G$2),"Below your threshold; ","")&amp;IF(AND(M210&lt;&gt;"",M210=A210,K210&lt;&gt;"No change (same URL)"),"Redirects to itself; ","")&amp;IF(AND(M210&lt;&gt;"",OR(M210="/",AND(LEFT(M210,4)="http",OR((LEN(M210)-LEN(SUBSTITUTE(M210,"/","")))=2,AND((LEN(M210)-LEN(SUBSTITUTE(M210,"/","")))=3,RIGHT(M210,1)="/"))))),"Home page redirect; ","")&amp;IF(N(R210)&gt;1,"Chain; ","")&amp;IF(S210="No","Destination not 200; ","")))</f>
        <v/>
      </c>
      <c r="U210" s="22" t="n"/>
      <c r="V210" s="22" t="n"/>
      <c r="W210" s="4" t="n"/>
    </row>
    <row r="211">
      <c r="A211" s="22" t="n"/>
      <c r="B211" s="22" t="n"/>
      <c r="C211" s="22" t="n"/>
      <c r="D211" s="22">
        <f>IF(A211="","",IF(OR(N(B211)&gt;=$C$2,N(C211)&gt;=$E$2),"High",IF(OR(N(B211)&gt;0,N(C211)&gt;0),"Medium","Low")))</f>
        <v/>
      </c>
      <c r="E211" s="22" t="n"/>
      <c r="F211" s="22" t="n"/>
      <c r="G211" s="22" t="n"/>
      <c r="H211" s="22" t="n"/>
      <c r="I211" s="22" t="n"/>
      <c r="J211" s="22" t="n"/>
      <c r="K211" s="22" t="n"/>
      <c r="L211" s="22" t="n"/>
      <c r="M211" s="22">
        <f>IF(K211="Override",L211,IF(K211="Accept suggestion",F211,IF(K211="No change (same URL)",A211,"")))</f>
        <v/>
      </c>
      <c r="N211" s="22">
        <f>IF(A211="","",IF(K211="410 Gone","410",IF(K211="404","404",IF(K211="No change (same URL)","none",IF(M211="","","301")))))</f>
        <v/>
      </c>
      <c r="O211" s="22">
        <f>IF(A211="","",IFERROR(MID(A211,FIND("/",A211,FIND("//",A211)+2),2000),A211))</f>
        <v/>
      </c>
      <c r="P211" s="22">
        <f>IF(OR(O211="",N211="",N211="none",N211="404"),"",IF(N211="410","Redirect gone "&amp;O211,"Redirect "&amp;N211&amp;" "&amp;O211&amp;" "&amp;M211))</f>
        <v/>
      </c>
      <c r="Q211" s="22" t="n"/>
      <c r="R211" s="22" t="n"/>
      <c r="S211" s="22" t="n"/>
      <c r="T211" s="4">
        <f>IF(A211="","",TRIM(IF(K211="","Needs decision; ","")&amp;IF(AND(K211="Accept suggestion",F211=""),"No suggestion to accept; ","")&amp;IF(AND(K211="Override",L211=""),"Override URL missing; ","")&amp;IF(AND(K211="Accept suggestion",N(G211)&lt;$G$2),"Below your threshold; ","")&amp;IF(AND(M211&lt;&gt;"",M211=A211,K211&lt;&gt;"No change (same URL)"),"Redirects to itself; ","")&amp;IF(AND(M211&lt;&gt;"",OR(M211="/",AND(LEFT(M211,4)="http",OR((LEN(M211)-LEN(SUBSTITUTE(M211,"/","")))=2,AND((LEN(M211)-LEN(SUBSTITUTE(M211,"/","")))=3,RIGHT(M211,1)="/"))))),"Home page redirect; ","")&amp;IF(N(R211)&gt;1,"Chain; ","")&amp;IF(S211="No","Destination not 200; ","")))</f>
        <v/>
      </c>
      <c r="U211" s="22" t="n"/>
      <c r="V211" s="22" t="n"/>
      <c r="W211" s="4" t="n"/>
    </row>
    <row r="212">
      <c r="A212" s="22" t="n"/>
      <c r="B212" s="22" t="n"/>
      <c r="C212" s="22" t="n"/>
      <c r="D212" s="22">
        <f>IF(A212="","",IF(OR(N(B212)&gt;=$C$2,N(C212)&gt;=$E$2),"High",IF(OR(N(B212)&gt;0,N(C212)&gt;0),"Medium","Low")))</f>
        <v/>
      </c>
      <c r="E212" s="22" t="n"/>
      <c r="F212" s="22" t="n"/>
      <c r="G212" s="22" t="n"/>
      <c r="H212" s="22" t="n"/>
      <c r="I212" s="22" t="n"/>
      <c r="J212" s="22" t="n"/>
      <c r="K212" s="22" t="n"/>
      <c r="L212" s="22" t="n"/>
      <c r="M212" s="22">
        <f>IF(K212="Override",L212,IF(K212="Accept suggestion",F212,IF(K212="No change (same URL)",A212,"")))</f>
        <v/>
      </c>
      <c r="N212" s="22">
        <f>IF(A212="","",IF(K212="410 Gone","410",IF(K212="404","404",IF(K212="No change (same URL)","none",IF(M212="","","301")))))</f>
        <v/>
      </c>
      <c r="O212" s="22">
        <f>IF(A212="","",IFERROR(MID(A212,FIND("/",A212,FIND("//",A212)+2),2000),A212))</f>
        <v/>
      </c>
      <c r="P212" s="22">
        <f>IF(OR(O212="",N212="",N212="none",N212="404"),"",IF(N212="410","Redirect gone "&amp;O212,"Redirect "&amp;N212&amp;" "&amp;O212&amp;" "&amp;M212))</f>
        <v/>
      </c>
      <c r="Q212" s="22" t="n"/>
      <c r="R212" s="22" t="n"/>
      <c r="S212" s="22" t="n"/>
      <c r="T212" s="4">
        <f>IF(A212="","",TRIM(IF(K212="","Needs decision; ","")&amp;IF(AND(K212="Accept suggestion",F212=""),"No suggestion to accept; ","")&amp;IF(AND(K212="Override",L212=""),"Override URL missing; ","")&amp;IF(AND(K212="Accept suggestion",N(G212)&lt;$G$2),"Below your threshold; ","")&amp;IF(AND(M212&lt;&gt;"",M212=A212,K212&lt;&gt;"No change (same URL)"),"Redirects to itself; ","")&amp;IF(AND(M212&lt;&gt;"",OR(M212="/",AND(LEFT(M212,4)="http",OR((LEN(M212)-LEN(SUBSTITUTE(M212,"/","")))=2,AND((LEN(M212)-LEN(SUBSTITUTE(M212,"/","")))=3,RIGHT(M212,1)="/"))))),"Home page redirect; ","")&amp;IF(N(R212)&gt;1,"Chain; ","")&amp;IF(S212="No","Destination not 200; ","")))</f>
        <v/>
      </c>
      <c r="U212" s="22" t="n"/>
      <c r="V212" s="22" t="n"/>
      <c r="W212" s="4" t="n"/>
    </row>
    <row r="213">
      <c r="A213" s="22" t="n"/>
      <c r="B213" s="22" t="n"/>
      <c r="C213" s="22" t="n"/>
      <c r="D213" s="22">
        <f>IF(A213="","",IF(OR(N(B213)&gt;=$C$2,N(C213)&gt;=$E$2),"High",IF(OR(N(B213)&gt;0,N(C213)&gt;0),"Medium","Low")))</f>
        <v/>
      </c>
      <c r="E213" s="22" t="n"/>
      <c r="F213" s="22" t="n"/>
      <c r="G213" s="22" t="n"/>
      <c r="H213" s="22" t="n"/>
      <c r="I213" s="22" t="n"/>
      <c r="J213" s="22" t="n"/>
      <c r="K213" s="22" t="n"/>
      <c r="L213" s="22" t="n"/>
      <c r="M213" s="22">
        <f>IF(K213="Override",L213,IF(K213="Accept suggestion",F213,IF(K213="No change (same URL)",A213,"")))</f>
        <v/>
      </c>
      <c r="N213" s="22">
        <f>IF(A213="","",IF(K213="410 Gone","410",IF(K213="404","404",IF(K213="No change (same URL)","none",IF(M213="","","301")))))</f>
        <v/>
      </c>
      <c r="O213" s="22">
        <f>IF(A213="","",IFERROR(MID(A213,FIND("/",A213,FIND("//",A213)+2),2000),A213))</f>
        <v/>
      </c>
      <c r="P213" s="22">
        <f>IF(OR(O213="",N213="",N213="none",N213="404"),"",IF(N213="410","Redirect gone "&amp;O213,"Redirect "&amp;N213&amp;" "&amp;O213&amp;" "&amp;M213))</f>
        <v/>
      </c>
      <c r="Q213" s="22" t="n"/>
      <c r="R213" s="22" t="n"/>
      <c r="S213" s="22" t="n"/>
      <c r="T213" s="4">
        <f>IF(A213="","",TRIM(IF(K213="","Needs decision; ","")&amp;IF(AND(K213="Accept suggestion",F213=""),"No suggestion to accept; ","")&amp;IF(AND(K213="Override",L213=""),"Override URL missing; ","")&amp;IF(AND(K213="Accept suggestion",N(G213)&lt;$G$2),"Below your threshold; ","")&amp;IF(AND(M213&lt;&gt;"",M213=A213,K213&lt;&gt;"No change (same URL)"),"Redirects to itself; ","")&amp;IF(AND(M213&lt;&gt;"",OR(M213="/",AND(LEFT(M213,4)="http",OR((LEN(M213)-LEN(SUBSTITUTE(M213,"/","")))=2,AND((LEN(M213)-LEN(SUBSTITUTE(M213,"/","")))=3,RIGHT(M213,1)="/"))))),"Home page redirect; ","")&amp;IF(N(R213)&gt;1,"Chain; ","")&amp;IF(S213="No","Destination not 200; ","")))</f>
        <v/>
      </c>
      <c r="U213" s="22" t="n"/>
      <c r="V213" s="22" t="n"/>
      <c r="W213" s="4" t="n"/>
    </row>
    <row r="214">
      <c r="A214" s="22" t="n"/>
      <c r="B214" s="22" t="n"/>
      <c r="C214" s="22" t="n"/>
      <c r="D214" s="22">
        <f>IF(A214="","",IF(OR(N(B214)&gt;=$C$2,N(C214)&gt;=$E$2),"High",IF(OR(N(B214)&gt;0,N(C214)&gt;0),"Medium","Low")))</f>
        <v/>
      </c>
      <c r="E214" s="22" t="n"/>
      <c r="F214" s="22" t="n"/>
      <c r="G214" s="22" t="n"/>
      <c r="H214" s="22" t="n"/>
      <c r="I214" s="22" t="n"/>
      <c r="J214" s="22" t="n"/>
      <c r="K214" s="22" t="n"/>
      <c r="L214" s="22" t="n"/>
      <c r="M214" s="22">
        <f>IF(K214="Override",L214,IF(K214="Accept suggestion",F214,IF(K214="No change (same URL)",A214,"")))</f>
        <v/>
      </c>
      <c r="N214" s="22">
        <f>IF(A214="","",IF(K214="410 Gone","410",IF(K214="404","404",IF(K214="No change (same URL)","none",IF(M214="","","301")))))</f>
        <v/>
      </c>
      <c r="O214" s="22">
        <f>IF(A214="","",IFERROR(MID(A214,FIND("/",A214,FIND("//",A214)+2),2000),A214))</f>
        <v/>
      </c>
      <c r="P214" s="22">
        <f>IF(OR(O214="",N214="",N214="none",N214="404"),"",IF(N214="410","Redirect gone "&amp;O214,"Redirect "&amp;N214&amp;" "&amp;O214&amp;" "&amp;M214))</f>
        <v/>
      </c>
      <c r="Q214" s="22" t="n"/>
      <c r="R214" s="22" t="n"/>
      <c r="S214" s="22" t="n"/>
      <c r="T214" s="4">
        <f>IF(A214="","",TRIM(IF(K214="","Needs decision; ","")&amp;IF(AND(K214="Accept suggestion",F214=""),"No suggestion to accept; ","")&amp;IF(AND(K214="Override",L214=""),"Override URL missing; ","")&amp;IF(AND(K214="Accept suggestion",N(G214)&lt;$G$2),"Below your threshold; ","")&amp;IF(AND(M214&lt;&gt;"",M214=A214,K214&lt;&gt;"No change (same URL)"),"Redirects to itself; ","")&amp;IF(AND(M214&lt;&gt;"",OR(M214="/",AND(LEFT(M214,4)="http",OR((LEN(M214)-LEN(SUBSTITUTE(M214,"/","")))=2,AND((LEN(M214)-LEN(SUBSTITUTE(M214,"/","")))=3,RIGHT(M214,1)="/"))))),"Home page redirect; ","")&amp;IF(N(R214)&gt;1,"Chain; ","")&amp;IF(S214="No","Destination not 200; ","")))</f>
        <v/>
      </c>
      <c r="U214" s="22" t="n"/>
      <c r="V214" s="22" t="n"/>
      <c r="W214" s="4" t="n"/>
    </row>
    <row r="215">
      <c r="A215" s="22" t="n"/>
      <c r="B215" s="22" t="n"/>
      <c r="C215" s="22" t="n"/>
      <c r="D215" s="22">
        <f>IF(A215="","",IF(OR(N(B215)&gt;=$C$2,N(C215)&gt;=$E$2),"High",IF(OR(N(B215)&gt;0,N(C215)&gt;0),"Medium","Low")))</f>
        <v/>
      </c>
      <c r="E215" s="22" t="n"/>
      <c r="F215" s="22" t="n"/>
      <c r="G215" s="22" t="n"/>
      <c r="H215" s="22" t="n"/>
      <c r="I215" s="22" t="n"/>
      <c r="J215" s="22" t="n"/>
      <c r="K215" s="22" t="n"/>
      <c r="L215" s="22" t="n"/>
      <c r="M215" s="22">
        <f>IF(K215="Override",L215,IF(K215="Accept suggestion",F215,IF(K215="No change (same URL)",A215,"")))</f>
        <v/>
      </c>
      <c r="N215" s="22">
        <f>IF(A215="","",IF(K215="410 Gone","410",IF(K215="404","404",IF(K215="No change (same URL)","none",IF(M215="","","301")))))</f>
        <v/>
      </c>
      <c r="O215" s="22">
        <f>IF(A215="","",IFERROR(MID(A215,FIND("/",A215,FIND("//",A215)+2),2000),A215))</f>
        <v/>
      </c>
      <c r="P215" s="22">
        <f>IF(OR(O215="",N215="",N215="none",N215="404"),"",IF(N215="410","Redirect gone "&amp;O215,"Redirect "&amp;N215&amp;" "&amp;O215&amp;" "&amp;M215))</f>
        <v/>
      </c>
      <c r="Q215" s="22" t="n"/>
      <c r="R215" s="22" t="n"/>
      <c r="S215" s="22" t="n"/>
      <c r="T215" s="4">
        <f>IF(A215="","",TRIM(IF(K215="","Needs decision; ","")&amp;IF(AND(K215="Accept suggestion",F215=""),"No suggestion to accept; ","")&amp;IF(AND(K215="Override",L215=""),"Override URL missing; ","")&amp;IF(AND(K215="Accept suggestion",N(G215)&lt;$G$2),"Below your threshold; ","")&amp;IF(AND(M215&lt;&gt;"",M215=A215,K215&lt;&gt;"No change (same URL)"),"Redirects to itself; ","")&amp;IF(AND(M215&lt;&gt;"",OR(M215="/",AND(LEFT(M215,4)="http",OR((LEN(M215)-LEN(SUBSTITUTE(M215,"/","")))=2,AND((LEN(M215)-LEN(SUBSTITUTE(M215,"/","")))=3,RIGHT(M215,1)="/"))))),"Home page redirect; ","")&amp;IF(N(R215)&gt;1,"Chain; ","")&amp;IF(S215="No","Destination not 200; ","")))</f>
        <v/>
      </c>
      <c r="U215" s="22" t="n"/>
      <c r="V215" s="22" t="n"/>
      <c r="W215" s="4" t="n"/>
    </row>
    <row r="216">
      <c r="A216" s="22" t="n"/>
      <c r="B216" s="22" t="n"/>
      <c r="C216" s="22" t="n"/>
      <c r="D216" s="22">
        <f>IF(A216="","",IF(OR(N(B216)&gt;=$C$2,N(C216)&gt;=$E$2),"High",IF(OR(N(B216)&gt;0,N(C216)&gt;0),"Medium","Low")))</f>
        <v/>
      </c>
      <c r="E216" s="22" t="n"/>
      <c r="F216" s="22" t="n"/>
      <c r="G216" s="22" t="n"/>
      <c r="H216" s="22" t="n"/>
      <c r="I216" s="22" t="n"/>
      <c r="J216" s="22" t="n"/>
      <c r="K216" s="22" t="n"/>
      <c r="L216" s="22" t="n"/>
      <c r="M216" s="22">
        <f>IF(K216="Override",L216,IF(K216="Accept suggestion",F216,IF(K216="No change (same URL)",A216,"")))</f>
        <v/>
      </c>
      <c r="N216" s="22">
        <f>IF(A216="","",IF(K216="410 Gone","410",IF(K216="404","404",IF(K216="No change (same URL)","none",IF(M216="","","301")))))</f>
        <v/>
      </c>
      <c r="O216" s="22">
        <f>IF(A216="","",IFERROR(MID(A216,FIND("/",A216,FIND("//",A216)+2),2000),A216))</f>
        <v/>
      </c>
      <c r="P216" s="22">
        <f>IF(OR(O216="",N216="",N216="none",N216="404"),"",IF(N216="410","Redirect gone "&amp;O216,"Redirect "&amp;N216&amp;" "&amp;O216&amp;" "&amp;M216))</f>
        <v/>
      </c>
      <c r="Q216" s="22" t="n"/>
      <c r="R216" s="22" t="n"/>
      <c r="S216" s="22" t="n"/>
      <c r="T216" s="4">
        <f>IF(A216="","",TRIM(IF(K216="","Needs decision; ","")&amp;IF(AND(K216="Accept suggestion",F216=""),"No suggestion to accept; ","")&amp;IF(AND(K216="Override",L216=""),"Override URL missing; ","")&amp;IF(AND(K216="Accept suggestion",N(G216)&lt;$G$2),"Below your threshold; ","")&amp;IF(AND(M216&lt;&gt;"",M216=A216,K216&lt;&gt;"No change (same URL)"),"Redirects to itself; ","")&amp;IF(AND(M216&lt;&gt;"",OR(M216="/",AND(LEFT(M216,4)="http",OR((LEN(M216)-LEN(SUBSTITUTE(M216,"/","")))=2,AND((LEN(M216)-LEN(SUBSTITUTE(M216,"/","")))=3,RIGHT(M216,1)="/"))))),"Home page redirect; ","")&amp;IF(N(R216)&gt;1,"Chain; ","")&amp;IF(S216="No","Destination not 200; ","")))</f>
        <v/>
      </c>
      <c r="U216" s="22" t="n"/>
      <c r="V216" s="22" t="n"/>
      <c r="W216" s="4" t="n"/>
    </row>
    <row r="217">
      <c r="A217" s="22" t="n"/>
      <c r="B217" s="22" t="n"/>
      <c r="C217" s="22" t="n"/>
      <c r="D217" s="22">
        <f>IF(A217="","",IF(OR(N(B217)&gt;=$C$2,N(C217)&gt;=$E$2),"High",IF(OR(N(B217)&gt;0,N(C217)&gt;0),"Medium","Low")))</f>
        <v/>
      </c>
      <c r="E217" s="22" t="n"/>
      <c r="F217" s="22" t="n"/>
      <c r="G217" s="22" t="n"/>
      <c r="H217" s="22" t="n"/>
      <c r="I217" s="22" t="n"/>
      <c r="J217" s="22" t="n"/>
      <c r="K217" s="22" t="n"/>
      <c r="L217" s="22" t="n"/>
      <c r="M217" s="22">
        <f>IF(K217="Override",L217,IF(K217="Accept suggestion",F217,IF(K217="No change (same URL)",A217,"")))</f>
        <v/>
      </c>
      <c r="N217" s="22">
        <f>IF(A217="","",IF(K217="410 Gone","410",IF(K217="404","404",IF(K217="No change (same URL)","none",IF(M217="","","301")))))</f>
        <v/>
      </c>
      <c r="O217" s="22">
        <f>IF(A217="","",IFERROR(MID(A217,FIND("/",A217,FIND("//",A217)+2),2000),A217))</f>
        <v/>
      </c>
      <c r="P217" s="22">
        <f>IF(OR(O217="",N217="",N217="none",N217="404"),"",IF(N217="410","Redirect gone "&amp;O217,"Redirect "&amp;N217&amp;" "&amp;O217&amp;" "&amp;M217))</f>
        <v/>
      </c>
      <c r="Q217" s="22" t="n"/>
      <c r="R217" s="22" t="n"/>
      <c r="S217" s="22" t="n"/>
      <c r="T217" s="4">
        <f>IF(A217="","",TRIM(IF(K217="","Needs decision; ","")&amp;IF(AND(K217="Accept suggestion",F217=""),"No suggestion to accept; ","")&amp;IF(AND(K217="Override",L217=""),"Override URL missing; ","")&amp;IF(AND(K217="Accept suggestion",N(G217)&lt;$G$2),"Below your threshold; ","")&amp;IF(AND(M217&lt;&gt;"",M217=A217,K217&lt;&gt;"No change (same URL)"),"Redirects to itself; ","")&amp;IF(AND(M217&lt;&gt;"",OR(M217="/",AND(LEFT(M217,4)="http",OR((LEN(M217)-LEN(SUBSTITUTE(M217,"/","")))=2,AND((LEN(M217)-LEN(SUBSTITUTE(M217,"/","")))=3,RIGHT(M217,1)="/"))))),"Home page redirect; ","")&amp;IF(N(R217)&gt;1,"Chain; ","")&amp;IF(S217="No","Destination not 200; ","")))</f>
        <v/>
      </c>
      <c r="U217" s="22" t="n"/>
      <c r="V217" s="22" t="n"/>
      <c r="W217" s="4" t="n"/>
    </row>
    <row r="218">
      <c r="A218" s="22" t="n"/>
      <c r="B218" s="22" t="n"/>
      <c r="C218" s="22" t="n"/>
      <c r="D218" s="22">
        <f>IF(A218="","",IF(OR(N(B218)&gt;=$C$2,N(C218)&gt;=$E$2),"High",IF(OR(N(B218)&gt;0,N(C218)&gt;0),"Medium","Low")))</f>
        <v/>
      </c>
      <c r="E218" s="22" t="n"/>
      <c r="F218" s="22" t="n"/>
      <c r="G218" s="22" t="n"/>
      <c r="H218" s="22" t="n"/>
      <c r="I218" s="22" t="n"/>
      <c r="J218" s="22" t="n"/>
      <c r="K218" s="22" t="n"/>
      <c r="L218" s="22" t="n"/>
      <c r="M218" s="22">
        <f>IF(K218="Override",L218,IF(K218="Accept suggestion",F218,IF(K218="No change (same URL)",A218,"")))</f>
        <v/>
      </c>
      <c r="N218" s="22">
        <f>IF(A218="","",IF(K218="410 Gone","410",IF(K218="404","404",IF(K218="No change (same URL)","none",IF(M218="","","301")))))</f>
        <v/>
      </c>
      <c r="O218" s="22">
        <f>IF(A218="","",IFERROR(MID(A218,FIND("/",A218,FIND("//",A218)+2),2000),A218))</f>
        <v/>
      </c>
      <c r="P218" s="22">
        <f>IF(OR(O218="",N218="",N218="none",N218="404"),"",IF(N218="410","Redirect gone "&amp;O218,"Redirect "&amp;N218&amp;" "&amp;O218&amp;" "&amp;M218))</f>
        <v/>
      </c>
      <c r="Q218" s="22" t="n"/>
      <c r="R218" s="22" t="n"/>
      <c r="S218" s="22" t="n"/>
      <c r="T218" s="4">
        <f>IF(A218="","",TRIM(IF(K218="","Needs decision; ","")&amp;IF(AND(K218="Accept suggestion",F218=""),"No suggestion to accept; ","")&amp;IF(AND(K218="Override",L218=""),"Override URL missing; ","")&amp;IF(AND(K218="Accept suggestion",N(G218)&lt;$G$2),"Below your threshold; ","")&amp;IF(AND(M218&lt;&gt;"",M218=A218,K218&lt;&gt;"No change (same URL)"),"Redirects to itself; ","")&amp;IF(AND(M218&lt;&gt;"",OR(M218="/",AND(LEFT(M218,4)="http",OR((LEN(M218)-LEN(SUBSTITUTE(M218,"/","")))=2,AND((LEN(M218)-LEN(SUBSTITUTE(M218,"/","")))=3,RIGHT(M218,1)="/"))))),"Home page redirect; ","")&amp;IF(N(R218)&gt;1,"Chain; ","")&amp;IF(S218="No","Destination not 200; ","")))</f>
        <v/>
      </c>
      <c r="U218" s="22" t="n"/>
      <c r="V218" s="22" t="n"/>
      <c r="W218" s="4" t="n"/>
    </row>
    <row r="219">
      <c r="A219" s="22" t="n"/>
      <c r="B219" s="22" t="n"/>
      <c r="C219" s="22" t="n"/>
      <c r="D219" s="22">
        <f>IF(A219="","",IF(OR(N(B219)&gt;=$C$2,N(C219)&gt;=$E$2),"High",IF(OR(N(B219)&gt;0,N(C219)&gt;0),"Medium","Low")))</f>
        <v/>
      </c>
      <c r="E219" s="22" t="n"/>
      <c r="F219" s="22" t="n"/>
      <c r="G219" s="22" t="n"/>
      <c r="H219" s="22" t="n"/>
      <c r="I219" s="22" t="n"/>
      <c r="J219" s="22" t="n"/>
      <c r="K219" s="22" t="n"/>
      <c r="L219" s="22" t="n"/>
      <c r="M219" s="22">
        <f>IF(K219="Override",L219,IF(K219="Accept suggestion",F219,IF(K219="No change (same URL)",A219,"")))</f>
        <v/>
      </c>
      <c r="N219" s="22">
        <f>IF(A219="","",IF(K219="410 Gone","410",IF(K219="404","404",IF(K219="No change (same URL)","none",IF(M219="","","301")))))</f>
        <v/>
      </c>
      <c r="O219" s="22">
        <f>IF(A219="","",IFERROR(MID(A219,FIND("/",A219,FIND("//",A219)+2),2000),A219))</f>
        <v/>
      </c>
      <c r="P219" s="22">
        <f>IF(OR(O219="",N219="",N219="none",N219="404"),"",IF(N219="410","Redirect gone "&amp;O219,"Redirect "&amp;N219&amp;" "&amp;O219&amp;" "&amp;M219))</f>
        <v/>
      </c>
      <c r="Q219" s="22" t="n"/>
      <c r="R219" s="22" t="n"/>
      <c r="S219" s="22" t="n"/>
      <c r="T219" s="4">
        <f>IF(A219="","",TRIM(IF(K219="","Needs decision; ","")&amp;IF(AND(K219="Accept suggestion",F219=""),"No suggestion to accept; ","")&amp;IF(AND(K219="Override",L219=""),"Override URL missing; ","")&amp;IF(AND(K219="Accept suggestion",N(G219)&lt;$G$2),"Below your threshold; ","")&amp;IF(AND(M219&lt;&gt;"",M219=A219,K219&lt;&gt;"No change (same URL)"),"Redirects to itself; ","")&amp;IF(AND(M219&lt;&gt;"",OR(M219="/",AND(LEFT(M219,4)="http",OR((LEN(M219)-LEN(SUBSTITUTE(M219,"/","")))=2,AND((LEN(M219)-LEN(SUBSTITUTE(M219,"/","")))=3,RIGHT(M219,1)="/"))))),"Home page redirect; ","")&amp;IF(N(R219)&gt;1,"Chain; ","")&amp;IF(S219="No","Destination not 200; ","")))</f>
        <v/>
      </c>
      <c r="U219" s="22" t="n"/>
      <c r="V219" s="22" t="n"/>
      <c r="W219" s="4" t="n"/>
    </row>
    <row r="220">
      <c r="A220" s="22" t="n"/>
      <c r="B220" s="22" t="n"/>
      <c r="C220" s="22" t="n"/>
      <c r="D220" s="22">
        <f>IF(A220="","",IF(OR(N(B220)&gt;=$C$2,N(C220)&gt;=$E$2),"High",IF(OR(N(B220)&gt;0,N(C220)&gt;0),"Medium","Low")))</f>
        <v/>
      </c>
      <c r="E220" s="22" t="n"/>
      <c r="F220" s="22" t="n"/>
      <c r="G220" s="22" t="n"/>
      <c r="H220" s="22" t="n"/>
      <c r="I220" s="22" t="n"/>
      <c r="J220" s="22" t="n"/>
      <c r="K220" s="22" t="n"/>
      <c r="L220" s="22" t="n"/>
      <c r="M220" s="22">
        <f>IF(K220="Override",L220,IF(K220="Accept suggestion",F220,IF(K220="No change (same URL)",A220,"")))</f>
        <v/>
      </c>
      <c r="N220" s="22">
        <f>IF(A220="","",IF(K220="410 Gone","410",IF(K220="404","404",IF(K220="No change (same URL)","none",IF(M220="","","301")))))</f>
        <v/>
      </c>
      <c r="O220" s="22">
        <f>IF(A220="","",IFERROR(MID(A220,FIND("/",A220,FIND("//",A220)+2),2000),A220))</f>
        <v/>
      </c>
      <c r="P220" s="22">
        <f>IF(OR(O220="",N220="",N220="none",N220="404"),"",IF(N220="410","Redirect gone "&amp;O220,"Redirect "&amp;N220&amp;" "&amp;O220&amp;" "&amp;M220))</f>
        <v/>
      </c>
      <c r="Q220" s="22" t="n"/>
      <c r="R220" s="22" t="n"/>
      <c r="S220" s="22" t="n"/>
      <c r="T220" s="4">
        <f>IF(A220="","",TRIM(IF(K220="","Needs decision; ","")&amp;IF(AND(K220="Accept suggestion",F220=""),"No suggestion to accept; ","")&amp;IF(AND(K220="Override",L220=""),"Override URL missing; ","")&amp;IF(AND(K220="Accept suggestion",N(G220)&lt;$G$2),"Below your threshold; ","")&amp;IF(AND(M220&lt;&gt;"",M220=A220,K220&lt;&gt;"No change (same URL)"),"Redirects to itself; ","")&amp;IF(AND(M220&lt;&gt;"",OR(M220="/",AND(LEFT(M220,4)="http",OR((LEN(M220)-LEN(SUBSTITUTE(M220,"/","")))=2,AND((LEN(M220)-LEN(SUBSTITUTE(M220,"/","")))=3,RIGHT(M220,1)="/"))))),"Home page redirect; ","")&amp;IF(N(R220)&gt;1,"Chain; ","")&amp;IF(S220="No","Destination not 200; ","")))</f>
        <v/>
      </c>
      <c r="U220" s="22" t="n"/>
      <c r="V220" s="22" t="n"/>
      <c r="W220" s="4" t="n"/>
    </row>
    <row r="221">
      <c r="A221" s="22" t="n"/>
      <c r="B221" s="22" t="n"/>
      <c r="C221" s="22" t="n"/>
      <c r="D221" s="22">
        <f>IF(A221="","",IF(OR(N(B221)&gt;=$C$2,N(C221)&gt;=$E$2),"High",IF(OR(N(B221)&gt;0,N(C221)&gt;0),"Medium","Low")))</f>
        <v/>
      </c>
      <c r="E221" s="22" t="n"/>
      <c r="F221" s="22" t="n"/>
      <c r="G221" s="22" t="n"/>
      <c r="H221" s="22" t="n"/>
      <c r="I221" s="22" t="n"/>
      <c r="J221" s="22" t="n"/>
      <c r="K221" s="22" t="n"/>
      <c r="L221" s="22" t="n"/>
      <c r="M221" s="22">
        <f>IF(K221="Override",L221,IF(K221="Accept suggestion",F221,IF(K221="No change (same URL)",A221,"")))</f>
        <v/>
      </c>
      <c r="N221" s="22">
        <f>IF(A221="","",IF(K221="410 Gone","410",IF(K221="404","404",IF(K221="No change (same URL)","none",IF(M221="","","301")))))</f>
        <v/>
      </c>
      <c r="O221" s="22">
        <f>IF(A221="","",IFERROR(MID(A221,FIND("/",A221,FIND("//",A221)+2),2000),A221))</f>
        <v/>
      </c>
      <c r="P221" s="22">
        <f>IF(OR(O221="",N221="",N221="none",N221="404"),"",IF(N221="410","Redirect gone "&amp;O221,"Redirect "&amp;N221&amp;" "&amp;O221&amp;" "&amp;M221))</f>
        <v/>
      </c>
      <c r="Q221" s="22" t="n"/>
      <c r="R221" s="22" t="n"/>
      <c r="S221" s="22" t="n"/>
      <c r="T221" s="4">
        <f>IF(A221="","",TRIM(IF(K221="","Needs decision; ","")&amp;IF(AND(K221="Accept suggestion",F221=""),"No suggestion to accept; ","")&amp;IF(AND(K221="Override",L221=""),"Override URL missing; ","")&amp;IF(AND(K221="Accept suggestion",N(G221)&lt;$G$2),"Below your threshold; ","")&amp;IF(AND(M221&lt;&gt;"",M221=A221,K221&lt;&gt;"No change (same URL)"),"Redirects to itself; ","")&amp;IF(AND(M221&lt;&gt;"",OR(M221="/",AND(LEFT(M221,4)="http",OR((LEN(M221)-LEN(SUBSTITUTE(M221,"/","")))=2,AND((LEN(M221)-LEN(SUBSTITUTE(M221,"/","")))=3,RIGHT(M221,1)="/"))))),"Home page redirect; ","")&amp;IF(N(R221)&gt;1,"Chain; ","")&amp;IF(S221="No","Destination not 200; ","")))</f>
        <v/>
      </c>
      <c r="U221" s="22" t="n"/>
      <c r="V221" s="22" t="n"/>
      <c r="W221" s="4" t="n"/>
    </row>
    <row r="222">
      <c r="A222" s="22" t="n"/>
      <c r="B222" s="22" t="n"/>
      <c r="C222" s="22" t="n"/>
      <c r="D222" s="22">
        <f>IF(A222="","",IF(OR(N(B222)&gt;=$C$2,N(C222)&gt;=$E$2),"High",IF(OR(N(B222)&gt;0,N(C222)&gt;0),"Medium","Low")))</f>
        <v/>
      </c>
      <c r="E222" s="22" t="n"/>
      <c r="F222" s="22" t="n"/>
      <c r="G222" s="22" t="n"/>
      <c r="H222" s="22" t="n"/>
      <c r="I222" s="22" t="n"/>
      <c r="J222" s="22" t="n"/>
      <c r="K222" s="22" t="n"/>
      <c r="L222" s="22" t="n"/>
      <c r="M222" s="22">
        <f>IF(K222="Override",L222,IF(K222="Accept suggestion",F222,IF(K222="No change (same URL)",A222,"")))</f>
        <v/>
      </c>
      <c r="N222" s="22">
        <f>IF(A222="","",IF(K222="410 Gone","410",IF(K222="404","404",IF(K222="No change (same URL)","none",IF(M222="","","301")))))</f>
        <v/>
      </c>
      <c r="O222" s="22">
        <f>IF(A222="","",IFERROR(MID(A222,FIND("/",A222,FIND("//",A222)+2),2000),A222))</f>
        <v/>
      </c>
      <c r="P222" s="22">
        <f>IF(OR(O222="",N222="",N222="none",N222="404"),"",IF(N222="410","Redirect gone "&amp;O222,"Redirect "&amp;N222&amp;" "&amp;O222&amp;" "&amp;M222))</f>
        <v/>
      </c>
      <c r="Q222" s="22" t="n"/>
      <c r="R222" s="22" t="n"/>
      <c r="S222" s="22" t="n"/>
      <c r="T222" s="4">
        <f>IF(A222="","",TRIM(IF(K222="","Needs decision; ","")&amp;IF(AND(K222="Accept suggestion",F222=""),"No suggestion to accept; ","")&amp;IF(AND(K222="Override",L222=""),"Override URL missing; ","")&amp;IF(AND(K222="Accept suggestion",N(G222)&lt;$G$2),"Below your threshold; ","")&amp;IF(AND(M222&lt;&gt;"",M222=A222,K222&lt;&gt;"No change (same URL)"),"Redirects to itself; ","")&amp;IF(AND(M222&lt;&gt;"",OR(M222="/",AND(LEFT(M222,4)="http",OR((LEN(M222)-LEN(SUBSTITUTE(M222,"/","")))=2,AND((LEN(M222)-LEN(SUBSTITUTE(M222,"/","")))=3,RIGHT(M222,1)="/"))))),"Home page redirect; ","")&amp;IF(N(R222)&gt;1,"Chain; ","")&amp;IF(S222="No","Destination not 200; ","")))</f>
        <v/>
      </c>
      <c r="U222" s="22" t="n"/>
      <c r="V222" s="22" t="n"/>
      <c r="W222" s="4" t="n"/>
    </row>
    <row r="223">
      <c r="A223" s="22" t="n"/>
      <c r="B223" s="22" t="n"/>
      <c r="C223" s="22" t="n"/>
      <c r="D223" s="22">
        <f>IF(A223="","",IF(OR(N(B223)&gt;=$C$2,N(C223)&gt;=$E$2),"High",IF(OR(N(B223)&gt;0,N(C223)&gt;0),"Medium","Low")))</f>
        <v/>
      </c>
      <c r="E223" s="22" t="n"/>
      <c r="F223" s="22" t="n"/>
      <c r="G223" s="22" t="n"/>
      <c r="H223" s="22" t="n"/>
      <c r="I223" s="22" t="n"/>
      <c r="J223" s="22" t="n"/>
      <c r="K223" s="22" t="n"/>
      <c r="L223" s="22" t="n"/>
      <c r="M223" s="22">
        <f>IF(K223="Override",L223,IF(K223="Accept suggestion",F223,IF(K223="No change (same URL)",A223,"")))</f>
        <v/>
      </c>
      <c r="N223" s="22">
        <f>IF(A223="","",IF(K223="410 Gone","410",IF(K223="404","404",IF(K223="No change (same URL)","none",IF(M223="","","301")))))</f>
        <v/>
      </c>
      <c r="O223" s="22">
        <f>IF(A223="","",IFERROR(MID(A223,FIND("/",A223,FIND("//",A223)+2),2000),A223))</f>
        <v/>
      </c>
      <c r="P223" s="22">
        <f>IF(OR(O223="",N223="",N223="none",N223="404"),"",IF(N223="410","Redirect gone "&amp;O223,"Redirect "&amp;N223&amp;" "&amp;O223&amp;" "&amp;M223))</f>
        <v/>
      </c>
      <c r="Q223" s="22" t="n"/>
      <c r="R223" s="22" t="n"/>
      <c r="S223" s="22" t="n"/>
      <c r="T223" s="4">
        <f>IF(A223="","",TRIM(IF(K223="","Needs decision; ","")&amp;IF(AND(K223="Accept suggestion",F223=""),"No suggestion to accept; ","")&amp;IF(AND(K223="Override",L223=""),"Override URL missing; ","")&amp;IF(AND(K223="Accept suggestion",N(G223)&lt;$G$2),"Below your threshold; ","")&amp;IF(AND(M223&lt;&gt;"",M223=A223,K223&lt;&gt;"No change (same URL)"),"Redirects to itself; ","")&amp;IF(AND(M223&lt;&gt;"",OR(M223="/",AND(LEFT(M223,4)="http",OR((LEN(M223)-LEN(SUBSTITUTE(M223,"/","")))=2,AND((LEN(M223)-LEN(SUBSTITUTE(M223,"/","")))=3,RIGHT(M223,1)="/"))))),"Home page redirect; ","")&amp;IF(N(R223)&gt;1,"Chain; ","")&amp;IF(S223="No","Destination not 200; ","")))</f>
        <v/>
      </c>
      <c r="U223" s="22" t="n"/>
      <c r="V223" s="22" t="n"/>
      <c r="W223" s="4" t="n"/>
    </row>
    <row r="224">
      <c r="A224" s="22" t="n"/>
      <c r="B224" s="22" t="n"/>
      <c r="C224" s="22" t="n"/>
      <c r="D224" s="22">
        <f>IF(A224="","",IF(OR(N(B224)&gt;=$C$2,N(C224)&gt;=$E$2),"High",IF(OR(N(B224)&gt;0,N(C224)&gt;0),"Medium","Low")))</f>
        <v/>
      </c>
      <c r="E224" s="22" t="n"/>
      <c r="F224" s="22" t="n"/>
      <c r="G224" s="22" t="n"/>
      <c r="H224" s="22" t="n"/>
      <c r="I224" s="22" t="n"/>
      <c r="J224" s="22" t="n"/>
      <c r="K224" s="22" t="n"/>
      <c r="L224" s="22" t="n"/>
      <c r="M224" s="22">
        <f>IF(K224="Override",L224,IF(K224="Accept suggestion",F224,IF(K224="No change (same URL)",A224,"")))</f>
        <v/>
      </c>
      <c r="N224" s="22">
        <f>IF(A224="","",IF(K224="410 Gone","410",IF(K224="404","404",IF(K224="No change (same URL)","none",IF(M224="","","301")))))</f>
        <v/>
      </c>
      <c r="O224" s="22">
        <f>IF(A224="","",IFERROR(MID(A224,FIND("/",A224,FIND("//",A224)+2),2000),A224))</f>
        <v/>
      </c>
      <c r="P224" s="22">
        <f>IF(OR(O224="",N224="",N224="none",N224="404"),"",IF(N224="410","Redirect gone "&amp;O224,"Redirect "&amp;N224&amp;" "&amp;O224&amp;" "&amp;M224))</f>
        <v/>
      </c>
      <c r="Q224" s="22" t="n"/>
      <c r="R224" s="22" t="n"/>
      <c r="S224" s="22" t="n"/>
      <c r="T224" s="4">
        <f>IF(A224="","",TRIM(IF(K224="","Needs decision; ","")&amp;IF(AND(K224="Accept suggestion",F224=""),"No suggestion to accept; ","")&amp;IF(AND(K224="Override",L224=""),"Override URL missing; ","")&amp;IF(AND(K224="Accept suggestion",N(G224)&lt;$G$2),"Below your threshold; ","")&amp;IF(AND(M224&lt;&gt;"",M224=A224,K224&lt;&gt;"No change (same URL)"),"Redirects to itself; ","")&amp;IF(AND(M224&lt;&gt;"",OR(M224="/",AND(LEFT(M224,4)="http",OR((LEN(M224)-LEN(SUBSTITUTE(M224,"/","")))=2,AND((LEN(M224)-LEN(SUBSTITUTE(M224,"/","")))=3,RIGHT(M224,1)="/"))))),"Home page redirect; ","")&amp;IF(N(R224)&gt;1,"Chain; ","")&amp;IF(S224="No","Destination not 200; ","")))</f>
        <v/>
      </c>
      <c r="U224" s="22" t="n"/>
      <c r="V224" s="22" t="n"/>
      <c r="W224" s="4" t="n"/>
    </row>
    <row r="225">
      <c r="A225" s="22" t="n"/>
      <c r="B225" s="22" t="n"/>
      <c r="C225" s="22" t="n"/>
      <c r="D225" s="22">
        <f>IF(A225="","",IF(OR(N(B225)&gt;=$C$2,N(C225)&gt;=$E$2),"High",IF(OR(N(B225)&gt;0,N(C225)&gt;0),"Medium","Low")))</f>
        <v/>
      </c>
      <c r="E225" s="22" t="n"/>
      <c r="F225" s="22" t="n"/>
      <c r="G225" s="22" t="n"/>
      <c r="H225" s="22" t="n"/>
      <c r="I225" s="22" t="n"/>
      <c r="J225" s="22" t="n"/>
      <c r="K225" s="22" t="n"/>
      <c r="L225" s="22" t="n"/>
      <c r="M225" s="22">
        <f>IF(K225="Override",L225,IF(K225="Accept suggestion",F225,IF(K225="No change (same URL)",A225,"")))</f>
        <v/>
      </c>
      <c r="N225" s="22">
        <f>IF(A225="","",IF(K225="410 Gone","410",IF(K225="404","404",IF(K225="No change (same URL)","none",IF(M225="","","301")))))</f>
        <v/>
      </c>
      <c r="O225" s="22">
        <f>IF(A225="","",IFERROR(MID(A225,FIND("/",A225,FIND("//",A225)+2),2000),A225))</f>
        <v/>
      </c>
      <c r="P225" s="22">
        <f>IF(OR(O225="",N225="",N225="none",N225="404"),"",IF(N225="410","Redirect gone "&amp;O225,"Redirect "&amp;N225&amp;" "&amp;O225&amp;" "&amp;M225))</f>
        <v/>
      </c>
      <c r="Q225" s="22" t="n"/>
      <c r="R225" s="22" t="n"/>
      <c r="S225" s="22" t="n"/>
      <c r="T225" s="4">
        <f>IF(A225="","",TRIM(IF(K225="","Needs decision; ","")&amp;IF(AND(K225="Accept suggestion",F225=""),"No suggestion to accept; ","")&amp;IF(AND(K225="Override",L225=""),"Override URL missing; ","")&amp;IF(AND(K225="Accept suggestion",N(G225)&lt;$G$2),"Below your threshold; ","")&amp;IF(AND(M225&lt;&gt;"",M225=A225,K225&lt;&gt;"No change (same URL)"),"Redirects to itself; ","")&amp;IF(AND(M225&lt;&gt;"",OR(M225="/",AND(LEFT(M225,4)="http",OR((LEN(M225)-LEN(SUBSTITUTE(M225,"/","")))=2,AND((LEN(M225)-LEN(SUBSTITUTE(M225,"/","")))=3,RIGHT(M225,1)="/"))))),"Home page redirect; ","")&amp;IF(N(R225)&gt;1,"Chain; ","")&amp;IF(S225="No","Destination not 200; ","")))</f>
        <v/>
      </c>
      <c r="U225" s="22" t="n"/>
      <c r="V225" s="22" t="n"/>
      <c r="W225" s="4" t="n"/>
    </row>
    <row r="226">
      <c r="A226" s="22" t="n"/>
      <c r="B226" s="22" t="n"/>
      <c r="C226" s="22" t="n"/>
      <c r="D226" s="22">
        <f>IF(A226="","",IF(OR(N(B226)&gt;=$C$2,N(C226)&gt;=$E$2),"High",IF(OR(N(B226)&gt;0,N(C226)&gt;0),"Medium","Low")))</f>
        <v/>
      </c>
      <c r="E226" s="22" t="n"/>
      <c r="F226" s="22" t="n"/>
      <c r="G226" s="22" t="n"/>
      <c r="H226" s="22" t="n"/>
      <c r="I226" s="22" t="n"/>
      <c r="J226" s="22" t="n"/>
      <c r="K226" s="22" t="n"/>
      <c r="L226" s="22" t="n"/>
      <c r="M226" s="22">
        <f>IF(K226="Override",L226,IF(K226="Accept suggestion",F226,IF(K226="No change (same URL)",A226,"")))</f>
        <v/>
      </c>
      <c r="N226" s="22">
        <f>IF(A226="","",IF(K226="410 Gone","410",IF(K226="404","404",IF(K226="No change (same URL)","none",IF(M226="","","301")))))</f>
        <v/>
      </c>
      <c r="O226" s="22">
        <f>IF(A226="","",IFERROR(MID(A226,FIND("/",A226,FIND("//",A226)+2),2000),A226))</f>
        <v/>
      </c>
      <c r="P226" s="22">
        <f>IF(OR(O226="",N226="",N226="none",N226="404"),"",IF(N226="410","Redirect gone "&amp;O226,"Redirect "&amp;N226&amp;" "&amp;O226&amp;" "&amp;M226))</f>
        <v/>
      </c>
      <c r="Q226" s="22" t="n"/>
      <c r="R226" s="22" t="n"/>
      <c r="S226" s="22" t="n"/>
      <c r="T226" s="4">
        <f>IF(A226="","",TRIM(IF(K226="","Needs decision; ","")&amp;IF(AND(K226="Accept suggestion",F226=""),"No suggestion to accept; ","")&amp;IF(AND(K226="Override",L226=""),"Override URL missing; ","")&amp;IF(AND(K226="Accept suggestion",N(G226)&lt;$G$2),"Below your threshold; ","")&amp;IF(AND(M226&lt;&gt;"",M226=A226,K226&lt;&gt;"No change (same URL)"),"Redirects to itself; ","")&amp;IF(AND(M226&lt;&gt;"",OR(M226="/",AND(LEFT(M226,4)="http",OR((LEN(M226)-LEN(SUBSTITUTE(M226,"/","")))=2,AND((LEN(M226)-LEN(SUBSTITUTE(M226,"/","")))=3,RIGHT(M226,1)="/"))))),"Home page redirect; ","")&amp;IF(N(R226)&gt;1,"Chain; ","")&amp;IF(S226="No","Destination not 200; ","")))</f>
        <v/>
      </c>
      <c r="U226" s="22" t="n"/>
      <c r="V226" s="22" t="n"/>
      <c r="W226" s="4" t="n"/>
    </row>
    <row r="227">
      <c r="A227" s="22" t="n"/>
      <c r="B227" s="22" t="n"/>
      <c r="C227" s="22" t="n"/>
      <c r="D227" s="22">
        <f>IF(A227="","",IF(OR(N(B227)&gt;=$C$2,N(C227)&gt;=$E$2),"High",IF(OR(N(B227)&gt;0,N(C227)&gt;0),"Medium","Low")))</f>
        <v/>
      </c>
      <c r="E227" s="22" t="n"/>
      <c r="F227" s="22" t="n"/>
      <c r="G227" s="22" t="n"/>
      <c r="H227" s="22" t="n"/>
      <c r="I227" s="22" t="n"/>
      <c r="J227" s="22" t="n"/>
      <c r="K227" s="22" t="n"/>
      <c r="L227" s="22" t="n"/>
      <c r="M227" s="22">
        <f>IF(K227="Override",L227,IF(K227="Accept suggestion",F227,IF(K227="No change (same URL)",A227,"")))</f>
        <v/>
      </c>
      <c r="N227" s="22">
        <f>IF(A227="","",IF(K227="410 Gone","410",IF(K227="404","404",IF(K227="No change (same URL)","none",IF(M227="","","301")))))</f>
        <v/>
      </c>
      <c r="O227" s="22">
        <f>IF(A227="","",IFERROR(MID(A227,FIND("/",A227,FIND("//",A227)+2),2000),A227))</f>
        <v/>
      </c>
      <c r="P227" s="22">
        <f>IF(OR(O227="",N227="",N227="none",N227="404"),"",IF(N227="410","Redirect gone "&amp;O227,"Redirect "&amp;N227&amp;" "&amp;O227&amp;" "&amp;M227))</f>
        <v/>
      </c>
      <c r="Q227" s="22" t="n"/>
      <c r="R227" s="22" t="n"/>
      <c r="S227" s="22" t="n"/>
      <c r="T227" s="4">
        <f>IF(A227="","",TRIM(IF(K227="","Needs decision; ","")&amp;IF(AND(K227="Accept suggestion",F227=""),"No suggestion to accept; ","")&amp;IF(AND(K227="Override",L227=""),"Override URL missing; ","")&amp;IF(AND(K227="Accept suggestion",N(G227)&lt;$G$2),"Below your threshold; ","")&amp;IF(AND(M227&lt;&gt;"",M227=A227,K227&lt;&gt;"No change (same URL)"),"Redirects to itself; ","")&amp;IF(AND(M227&lt;&gt;"",OR(M227="/",AND(LEFT(M227,4)="http",OR((LEN(M227)-LEN(SUBSTITUTE(M227,"/","")))=2,AND((LEN(M227)-LEN(SUBSTITUTE(M227,"/","")))=3,RIGHT(M227,1)="/"))))),"Home page redirect; ","")&amp;IF(N(R227)&gt;1,"Chain; ","")&amp;IF(S227="No","Destination not 200; ","")))</f>
        <v/>
      </c>
      <c r="U227" s="22" t="n"/>
      <c r="V227" s="22" t="n"/>
      <c r="W227" s="4" t="n"/>
    </row>
    <row r="228">
      <c r="A228" s="22" t="n"/>
      <c r="B228" s="22" t="n"/>
      <c r="C228" s="22" t="n"/>
      <c r="D228" s="22">
        <f>IF(A228="","",IF(OR(N(B228)&gt;=$C$2,N(C228)&gt;=$E$2),"High",IF(OR(N(B228)&gt;0,N(C228)&gt;0),"Medium","Low")))</f>
        <v/>
      </c>
      <c r="E228" s="22" t="n"/>
      <c r="F228" s="22" t="n"/>
      <c r="G228" s="22" t="n"/>
      <c r="H228" s="22" t="n"/>
      <c r="I228" s="22" t="n"/>
      <c r="J228" s="22" t="n"/>
      <c r="K228" s="22" t="n"/>
      <c r="L228" s="22" t="n"/>
      <c r="M228" s="22">
        <f>IF(K228="Override",L228,IF(K228="Accept suggestion",F228,IF(K228="No change (same URL)",A228,"")))</f>
        <v/>
      </c>
      <c r="N228" s="22">
        <f>IF(A228="","",IF(K228="410 Gone","410",IF(K228="404","404",IF(K228="No change (same URL)","none",IF(M228="","","301")))))</f>
        <v/>
      </c>
      <c r="O228" s="22">
        <f>IF(A228="","",IFERROR(MID(A228,FIND("/",A228,FIND("//",A228)+2),2000),A228))</f>
        <v/>
      </c>
      <c r="P228" s="22">
        <f>IF(OR(O228="",N228="",N228="none",N228="404"),"",IF(N228="410","Redirect gone "&amp;O228,"Redirect "&amp;N228&amp;" "&amp;O228&amp;" "&amp;M228))</f>
        <v/>
      </c>
      <c r="Q228" s="22" t="n"/>
      <c r="R228" s="22" t="n"/>
      <c r="S228" s="22" t="n"/>
      <c r="T228" s="4">
        <f>IF(A228="","",TRIM(IF(K228="","Needs decision; ","")&amp;IF(AND(K228="Accept suggestion",F228=""),"No suggestion to accept; ","")&amp;IF(AND(K228="Override",L228=""),"Override URL missing; ","")&amp;IF(AND(K228="Accept suggestion",N(G228)&lt;$G$2),"Below your threshold; ","")&amp;IF(AND(M228&lt;&gt;"",M228=A228,K228&lt;&gt;"No change (same URL)"),"Redirects to itself; ","")&amp;IF(AND(M228&lt;&gt;"",OR(M228="/",AND(LEFT(M228,4)="http",OR((LEN(M228)-LEN(SUBSTITUTE(M228,"/","")))=2,AND((LEN(M228)-LEN(SUBSTITUTE(M228,"/","")))=3,RIGHT(M228,1)="/"))))),"Home page redirect; ","")&amp;IF(N(R228)&gt;1,"Chain; ","")&amp;IF(S228="No","Destination not 200; ","")))</f>
        <v/>
      </c>
      <c r="U228" s="22" t="n"/>
      <c r="V228" s="22" t="n"/>
      <c r="W228" s="4" t="n"/>
    </row>
    <row r="229">
      <c r="A229" s="22" t="n"/>
      <c r="B229" s="22" t="n"/>
      <c r="C229" s="22" t="n"/>
      <c r="D229" s="22">
        <f>IF(A229="","",IF(OR(N(B229)&gt;=$C$2,N(C229)&gt;=$E$2),"High",IF(OR(N(B229)&gt;0,N(C229)&gt;0),"Medium","Low")))</f>
        <v/>
      </c>
      <c r="E229" s="22" t="n"/>
      <c r="F229" s="22" t="n"/>
      <c r="G229" s="22" t="n"/>
      <c r="H229" s="22" t="n"/>
      <c r="I229" s="22" t="n"/>
      <c r="J229" s="22" t="n"/>
      <c r="K229" s="22" t="n"/>
      <c r="L229" s="22" t="n"/>
      <c r="M229" s="22">
        <f>IF(K229="Override",L229,IF(K229="Accept suggestion",F229,IF(K229="No change (same URL)",A229,"")))</f>
        <v/>
      </c>
      <c r="N229" s="22">
        <f>IF(A229="","",IF(K229="410 Gone","410",IF(K229="404","404",IF(K229="No change (same URL)","none",IF(M229="","","301")))))</f>
        <v/>
      </c>
      <c r="O229" s="22">
        <f>IF(A229="","",IFERROR(MID(A229,FIND("/",A229,FIND("//",A229)+2),2000),A229))</f>
        <v/>
      </c>
      <c r="P229" s="22">
        <f>IF(OR(O229="",N229="",N229="none",N229="404"),"",IF(N229="410","Redirect gone "&amp;O229,"Redirect "&amp;N229&amp;" "&amp;O229&amp;" "&amp;M229))</f>
        <v/>
      </c>
      <c r="Q229" s="22" t="n"/>
      <c r="R229" s="22" t="n"/>
      <c r="S229" s="22" t="n"/>
      <c r="T229" s="4">
        <f>IF(A229="","",TRIM(IF(K229="","Needs decision; ","")&amp;IF(AND(K229="Accept suggestion",F229=""),"No suggestion to accept; ","")&amp;IF(AND(K229="Override",L229=""),"Override URL missing; ","")&amp;IF(AND(K229="Accept suggestion",N(G229)&lt;$G$2),"Below your threshold; ","")&amp;IF(AND(M229&lt;&gt;"",M229=A229,K229&lt;&gt;"No change (same URL)"),"Redirects to itself; ","")&amp;IF(AND(M229&lt;&gt;"",OR(M229="/",AND(LEFT(M229,4)="http",OR((LEN(M229)-LEN(SUBSTITUTE(M229,"/","")))=2,AND((LEN(M229)-LEN(SUBSTITUTE(M229,"/","")))=3,RIGHT(M229,1)="/"))))),"Home page redirect; ","")&amp;IF(N(R229)&gt;1,"Chain; ","")&amp;IF(S229="No","Destination not 200; ","")))</f>
        <v/>
      </c>
      <c r="U229" s="22" t="n"/>
      <c r="V229" s="22" t="n"/>
      <c r="W229" s="4" t="n"/>
    </row>
    <row r="230">
      <c r="A230" s="22" t="n"/>
      <c r="B230" s="22" t="n"/>
      <c r="C230" s="22" t="n"/>
      <c r="D230" s="22">
        <f>IF(A230="","",IF(OR(N(B230)&gt;=$C$2,N(C230)&gt;=$E$2),"High",IF(OR(N(B230)&gt;0,N(C230)&gt;0),"Medium","Low")))</f>
        <v/>
      </c>
      <c r="E230" s="22" t="n"/>
      <c r="F230" s="22" t="n"/>
      <c r="G230" s="22" t="n"/>
      <c r="H230" s="22" t="n"/>
      <c r="I230" s="22" t="n"/>
      <c r="J230" s="22" t="n"/>
      <c r="K230" s="22" t="n"/>
      <c r="L230" s="22" t="n"/>
      <c r="M230" s="22">
        <f>IF(K230="Override",L230,IF(K230="Accept suggestion",F230,IF(K230="No change (same URL)",A230,"")))</f>
        <v/>
      </c>
      <c r="N230" s="22">
        <f>IF(A230="","",IF(K230="410 Gone","410",IF(K230="404","404",IF(K230="No change (same URL)","none",IF(M230="","","301")))))</f>
        <v/>
      </c>
      <c r="O230" s="22">
        <f>IF(A230="","",IFERROR(MID(A230,FIND("/",A230,FIND("//",A230)+2),2000),A230))</f>
        <v/>
      </c>
      <c r="P230" s="22">
        <f>IF(OR(O230="",N230="",N230="none",N230="404"),"",IF(N230="410","Redirect gone "&amp;O230,"Redirect "&amp;N230&amp;" "&amp;O230&amp;" "&amp;M230))</f>
        <v/>
      </c>
      <c r="Q230" s="22" t="n"/>
      <c r="R230" s="22" t="n"/>
      <c r="S230" s="22" t="n"/>
      <c r="T230" s="4">
        <f>IF(A230="","",TRIM(IF(K230="","Needs decision; ","")&amp;IF(AND(K230="Accept suggestion",F230=""),"No suggestion to accept; ","")&amp;IF(AND(K230="Override",L230=""),"Override URL missing; ","")&amp;IF(AND(K230="Accept suggestion",N(G230)&lt;$G$2),"Below your threshold; ","")&amp;IF(AND(M230&lt;&gt;"",M230=A230,K230&lt;&gt;"No change (same URL)"),"Redirects to itself; ","")&amp;IF(AND(M230&lt;&gt;"",OR(M230="/",AND(LEFT(M230,4)="http",OR((LEN(M230)-LEN(SUBSTITUTE(M230,"/","")))=2,AND((LEN(M230)-LEN(SUBSTITUTE(M230,"/","")))=3,RIGHT(M230,1)="/"))))),"Home page redirect; ","")&amp;IF(N(R230)&gt;1,"Chain; ","")&amp;IF(S230="No","Destination not 200; ","")))</f>
        <v/>
      </c>
      <c r="U230" s="22" t="n"/>
      <c r="V230" s="22" t="n"/>
      <c r="W230" s="4" t="n"/>
    </row>
    <row r="231">
      <c r="A231" s="22" t="n"/>
      <c r="B231" s="22" t="n"/>
      <c r="C231" s="22" t="n"/>
      <c r="D231" s="22">
        <f>IF(A231="","",IF(OR(N(B231)&gt;=$C$2,N(C231)&gt;=$E$2),"High",IF(OR(N(B231)&gt;0,N(C231)&gt;0),"Medium","Low")))</f>
        <v/>
      </c>
      <c r="E231" s="22" t="n"/>
      <c r="F231" s="22" t="n"/>
      <c r="G231" s="22" t="n"/>
      <c r="H231" s="22" t="n"/>
      <c r="I231" s="22" t="n"/>
      <c r="J231" s="22" t="n"/>
      <c r="K231" s="22" t="n"/>
      <c r="L231" s="22" t="n"/>
      <c r="M231" s="22">
        <f>IF(K231="Override",L231,IF(K231="Accept suggestion",F231,IF(K231="No change (same URL)",A231,"")))</f>
        <v/>
      </c>
      <c r="N231" s="22">
        <f>IF(A231="","",IF(K231="410 Gone","410",IF(K231="404","404",IF(K231="No change (same URL)","none",IF(M231="","","301")))))</f>
        <v/>
      </c>
      <c r="O231" s="22">
        <f>IF(A231="","",IFERROR(MID(A231,FIND("/",A231,FIND("//",A231)+2),2000),A231))</f>
        <v/>
      </c>
      <c r="P231" s="22">
        <f>IF(OR(O231="",N231="",N231="none",N231="404"),"",IF(N231="410","Redirect gone "&amp;O231,"Redirect "&amp;N231&amp;" "&amp;O231&amp;" "&amp;M231))</f>
        <v/>
      </c>
      <c r="Q231" s="22" t="n"/>
      <c r="R231" s="22" t="n"/>
      <c r="S231" s="22" t="n"/>
      <c r="T231" s="4">
        <f>IF(A231="","",TRIM(IF(K231="","Needs decision; ","")&amp;IF(AND(K231="Accept suggestion",F231=""),"No suggestion to accept; ","")&amp;IF(AND(K231="Override",L231=""),"Override URL missing; ","")&amp;IF(AND(K231="Accept suggestion",N(G231)&lt;$G$2),"Below your threshold; ","")&amp;IF(AND(M231&lt;&gt;"",M231=A231,K231&lt;&gt;"No change (same URL)"),"Redirects to itself; ","")&amp;IF(AND(M231&lt;&gt;"",OR(M231="/",AND(LEFT(M231,4)="http",OR((LEN(M231)-LEN(SUBSTITUTE(M231,"/","")))=2,AND((LEN(M231)-LEN(SUBSTITUTE(M231,"/","")))=3,RIGHT(M231,1)="/"))))),"Home page redirect; ","")&amp;IF(N(R231)&gt;1,"Chain; ","")&amp;IF(S231="No","Destination not 200; ","")))</f>
        <v/>
      </c>
      <c r="U231" s="22" t="n"/>
      <c r="V231" s="22" t="n"/>
      <c r="W231" s="4" t="n"/>
    </row>
    <row r="232">
      <c r="A232" s="22" t="n"/>
      <c r="B232" s="22" t="n"/>
      <c r="C232" s="22" t="n"/>
      <c r="D232" s="22">
        <f>IF(A232="","",IF(OR(N(B232)&gt;=$C$2,N(C232)&gt;=$E$2),"High",IF(OR(N(B232)&gt;0,N(C232)&gt;0),"Medium","Low")))</f>
        <v/>
      </c>
      <c r="E232" s="22" t="n"/>
      <c r="F232" s="22" t="n"/>
      <c r="G232" s="22" t="n"/>
      <c r="H232" s="22" t="n"/>
      <c r="I232" s="22" t="n"/>
      <c r="J232" s="22" t="n"/>
      <c r="K232" s="22" t="n"/>
      <c r="L232" s="22" t="n"/>
      <c r="M232" s="22">
        <f>IF(K232="Override",L232,IF(K232="Accept suggestion",F232,IF(K232="No change (same URL)",A232,"")))</f>
        <v/>
      </c>
      <c r="N232" s="22">
        <f>IF(A232="","",IF(K232="410 Gone","410",IF(K232="404","404",IF(K232="No change (same URL)","none",IF(M232="","","301")))))</f>
        <v/>
      </c>
      <c r="O232" s="22">
        <f>IF(A232="","",IFERROR(MID(A232,FIND("/",A232,FIND("//",A232)+2),2000),A232))</f>
        <v/>
      </c>
      <c r="P232" s="22">
        <f>IF(OR(O232="",N232="",N232="none",N232="404"),"",IF(N232="410","Redirect gone "&amp;O232,"Redirect "&amp;N232&amp;" "&amp;O232&amp;" "&amp;M232))</f>
        <v/>
      </c>
      <c r="Q232" s="22" t="n"/>
      <c r="R232" s="22" t="n"/>
      <c r="S232" s="22" t="n"/>
      <c r="T232" s="4">
        <f>IF(A232="","",TRIM(IF(K232="","Needs decision; ","")&amp;IF(AND(K232="Accept suggestion",F232=""),"No suggestion to accept; ","")&amp;IF(AND(K232="Override",L232=""),"Override URL missing; ","")&amp;IF(AND(K232="Accept suggestion",N(G232)&lt;$G$2),"Below your threshold; ","")&amp;IF(AND(M232&lt;&gt;"",M232=A232,K232&lt;&gt;"No change (same URL)"),"Redirects to itself; ","")&amp;IF(AND(M232&lt;&gt;"",OR(M232="/",AND(LEFT(M232,4)="http",OR((LEN(M232)-LEN(SUBSTITUTE(M232,"/","")))=2,AND((LEN(M232)-LEN(SUBSTITUTE(M232,"/","")))=3,RIGHT(M232,1)="/"))))),"Home page redirect; ","")&amp;IF(N(R232)&gt;1,"Chain; ","")&amp;IF(S232="No","Destination not 200; ","")))</f>
        <v/>
      </c>
      <c r="U232" s="22" t="n"/>
      <c r="V232" s="22" t="n"/>
      <c r="W232" s="4" t="n"/>
    </row>
    <row r="233">
      <c r="A233" s="22" t="n"/>
      <c r="B233" s="22" t="n"/>
      <c r="C233" s="22" t="n"/>
      <c r="D233" s="22">
        <f>IF(A233="","",IF(OR(N(B233)&gt;=$C$2,N(C233)&gt;=$E$2),"High",IF(OR(N(B233)&gt;0,N(C233)&gt;0),"Medium","Low")))</f>
        <v/>
      </c>
      <c r="E233" s="22" t="n"/>
      <c r="F233" s="22" t="n"/>
      <c r="G233" s="22" t="n"/>
      <c r="H233" s="22" t="n"/>
      <c r="I233" s="22" t="n"/>
      <c r="J233" s="22" t="n"/>
      <c r="K233" s="22" t="n"/>
      <c r="L233" s="22" t="n"/>
      <c r="M233" s="22">
        <f>IF(K233="Override",L233,IF(K233="Accept suggestion",F233,IF(K233="No change (same URL)",A233,"")))</f>
        <v/>
      </c>
      <c r="N233" s="22">
        <f>IF(A233="","",IF(K233="410 Gone","410",IF(K233="404","404",IF(K233="No change (same URL)","none",IF(M233="","","301")))))</f>
        <v/>
      </c>
      <c r="O233" s="22">
        <f>IF(A233="","",IFERROR(MID(A233,FIND("/",A233,FIND("//",A233)+2),2000),A233))</f>
        <v/>
      </c>
      <c r="P233" s="22">
        <f>IF(OR(O233="",N233="",N233="none",N233="404"),"",IF(N233="410","Redirect gone "&amp;O233,"Redirect "&amp;N233&amp;" "&amp;O233&amp;" "&amp;M233))</f>
        <v/>
      </c>
      <c r="Q233" s="22" t="n"/>
      <c r="R233" s="22" t="n"/>
      <c r="S233" s="22" t="n"/>
      <c r="T233" s="4">
        <f>IF(A233="","",TRIM(IF(K233="","Needs decision; ","")&amp;IF(AND(K233="Accept suggestion",F233=""),"No suggestion to accept; ","")&amp;IF(AND(K233="Override",L233=""),"Override URL missing; ","")&amp;IF(AND(K233="Accept suggestion",N(G233)&lt;$G$2),"Below your threshold; ","")&amp;IF(AND(M233&lt;&gt;"",M233=A233,K233&lt;&gt;"No change (same URL)"),"Redirects to itself; ","")&amp;IF(AND(M233&lt;&gt;"",OR(M233="/",AND(LEFT(M233,4)="http",OR((LEN(M233)-LEN(SUBSTITUTE(M233,"/","")))=2,AND((LEN(M233)-LEN(SUBSTITUTE(M233,"/","")))=3,RIGHT(M233,1)="/"))))),"Home page redirect; ","")&amp;IF(N(R233)&gt;1,"Chain; ","")&amp;IF(S233="No","Destination not 200; ","")))</f>
        <v/>
      </c>
      <c r="U233" s="22" t="n"/>
      <c r="V233" s="22" t="n"/>
      <c r="W233" s="4" t="n"/>
    </row>
    <row r="234">
      <c r="A234" s="22" t="n"/>
      <c r="B234" s="22" t="n"/>
      <c r="C234" s="22" t="n"/>
      <c r="D234" s="22">
        <f>IF(A234="","",IF(OR(N(B234)&gt;=$C$2,N(C234)&gt;=$E$2),"High",IF(OR(N(B234)&gt;0,N(C234)&gt;0),"Medium","Low")))</f>
        <v/>
      </c>
      <c r="E234" s="22" t="n"/>
      <c r="F234" s="22" t="n"/>
      <c r="G234" s="22" t="n"/>
      <c r="H234" s="22" t="n"/>
      <c r="I234" s="22" t="n"/>
      <c r="J234" s="22" t="n"/>
      <c r="K234" s="22" t="n"/>
      <c r="L234" s="22" t="n"/>
      <c r="M234" s="22">
        <f>IF(K234="Override",L234,IF(K234="Accept suggestion",F234,IF(K234="No change (same URL)",A234,"")))</f>
        <v/>
      </c>
      <c r="N234" s="22">
        <f>IF(A234="","",IF(K234="410 Gone","410",IF(K234="404","404",IF(K234="No change (same URL)","none",IF(M234="","","301")))))</f>
        <v/>
      </c>
      <c r="O234" s="22">
        <f>IF(A234="","",IFERROR(MID(A234,FIND("/",A234,FIND("//",A234)+2),2000),A234))</f>
        <v/>
      </c>
      <c r="P234" s="22">
        <f>IF(OR(O234="",N234="",N234="none",N234="404"),"",IF(N234="410","Redirect gone "&amp;O234,"Redirect "&amp;N234&amp;" "&amp;O234&amp;" "&amp;M234))</f>
        <v/>
      </c>
      <c r="Q234" s="22" t="n"/>
      <c r="R234" s="22" t="n"/>
      <c r="S234" s="22" t="n"/>
      <c r="T234" s="4">
        <f>IF(A234="","",TRIM(IF(K234="","Needs decision; ","")&amp;IF(AND(K234="Accept suggestion",F234=""),"No suggestion to accept; ","")&amp;IF(AND(K234="Override",L234=""),"Override URL missing; ","")&amp;IF(AND(K234="Accept suggestion",N(G234)&lt;$G$2),"Below your threshold; ","")&amp;IF(AND(M234&lt;&gt;"",M234=A234,K234&lt;&gt;"No change (same URL)"),"Redirects to itself; ","")&amp;IF(AND(M234&lt;&gt;"",OR(M234="/",AND(LEFT(M234,4)="http",OR((LEN(M234)-LEN(SUBSTITUTE(M234,"/","")))=2,AND((LEN(M234)-LEN(SUBSTITUTE(M234,"/","")))=3,RIGHT(M234,1)="/"))))),"Home page redirect; ","")&amp;IF(N(R234)&gt;1,"Chain; ","")&amp;IF(S234="No","Destination not 200; ","")))</f>
        <v/>
      </c>
      <c r="U234" s="22" t="n"/>
      <c r="V234" s="22" t="n"/>
      <c r="W234" s="4" t="n"/>
    </row>
    <row r="235">
      <c r="A235" s="22" t="n"/>
      <c r="B235" s="22" t="n"/>
      <c r="C235" s="22" t="n"/>
      <c r="D235" s="22">
        <f>IF(A235="","",IF(OR(N(B235)&gt;=$C$2,N(C235)&gt;=$E$2),"High",IF(OR(N(B235)&gt;0,N(C235)&gt;0),"Medium","Low")))</f>
        <v/>
      </c>
      <c r="E235" s="22" t="n"/>
      <c r="F235" s="22" t="n"/>
      <c r="G235" s="22" t="n"/>
      <c r="H235" s="22" t="n"/>
      <c r="I235" s="22" t="n"/>
      <c r="J235" s="22" t="n"/>
      <c r="K235" s="22" t="n"/>
      <c r="L235" s="22" t="n"/>
      <c r="M235" s="22">
        <f>IF(K235="Override",L235,IF(K235="Accept suggestion",F235,IF(K235="No change (same URL)",A235,"")))</f>
        <v/>
      </c>
      <c r="N235" s="22">
        <f>IF(A235="","",IF(K235="410 Gone","410",IF(K235="404","404",IF(K235="No change (same URL)","none",IF(M235="","","301")))))</f>
        <v/>
      </c>
      <c r="O235" s="22">
        <f>IF(A235="","",IFERROR(MID(A235,FIND("/",A235,FIND("//",A235)+2),2000),A235))</f>
        <v/>
      </c>
      <c r="P235" s="22">
        <f>IF(OR(O235="",N235="",N235="none",N235="404"),"",IF(N235="410","Redirect gone "&amp;O235,"Redirect "&amp;N235&amp;" "&amp;O235&amp;" "&amp;M235))</f>
        <v/>
      </c>
      <c r="Q235" s="22" t="n"/>
      <c r="R235" s="22" t="n"/>
      <c r="S235" s="22" t="n"/>
      <c r="T235" s="4">
        <f>IF(A235="","",TRIM(IF(K235="","Needs decision; ","")&amp;IF(AND(K235="Accept suggestion",F235=""),"No suggestion to accept; ","")&amp;IF(AND(K235="Override",L235=""),"Override URL missing; ","")&amp;IF(AND(K235="Accept suggestion",N(G235)&lt;$G$2),"Below your threshold; ","")&amp;IF(AND(M235&lt;&gt;"",M235=A235,K235&lt;&gt;"No change (same URL)"),"Redirects to itself; ","")&amp;IF(AND(M235&lt;&gt;"",OR(M235="/",AND(LEFT(M235,4)="http",OR((LEN(M235)-LEN(SUBSTITUTE(M235,"/","")))=2,AND((LEN(M235)-LEN(SUBSTITUTE(M235,"/","")))=3,RIGHT(M235,1)="/"))))),"Home page redirect; ","")&amp;IF(N(R235)&gt;1,"Chain; ","")&amp;IF(S235="No","Destination not 200; ","")))</f>
        <v/>
      </c>
      <c r="U235" s="22" t="n"/>
      <c r="V235" s="22" t="n"/>
      <c r="W235" s="4" t="n"/>
    </row>
    <row r="236">
      <c r="A236" s="22" t="n"/>
      <c r="B236" s="22" t="n"/>
      <c r="C236" s="22" t="n"/>
      <c r="D236" s="22">
        <f>IF(A236="","",IF(OR(N(B236)&gt;=$C$2,N(C236)&gt;=$E$2),"High",IF(OR(N(B236)&gt;0,N(C236)&gt;0),"Medium","Low")))</f>
        <v/>
      </c>
      <c r="E236" s="22" t="n"/>
      <c r="F236" s="22" t="n"/>
      <c r="G236" s="22" t="n"/>
      <c r="H236" s="22" t="n"/>
      <c r="I236" s="22" t="n"/>
      <c r="J236" s="22" t="n"/>
      <c r="K236" s="22" t="n"/>
      <c r="L236" s="22" t="n"/>
      <c r="M236" s="22">
        <f>IF(K236="Override",L236,IF(K236="Accept suggestion",F236,IF(K236="No change (same URL)",A236,"")))</f>
        <v/>
      </c>
      <c r="N236" s="22">
        <f>IF(A236="","",IF(K236="410 Gone","410",IF(K236="404","404",IF(K236="No change (same URL)","none",IF(M236="","","301")))))</f>
        <v/>
      </c>
      <c r="O236" s="22">
        <f>IF(A236="","",IFERROR(MID(A236,FIND("/",A236,FIND("//",A236)+2),2000),A236))</f>
        <v/>
      </c>
      <c r="P236" s="22">
        <f>IF(OR(O236="",N236="",N236="none",N236="404"),"",IF(N236="410","Redirect gone "&amp;O236,"Redirect "&amp;N236&amp;" "&amp;O236&amp;" "&amp;M236))</f>
        <v/>
      </c>
      <c r="Q236" s="22" t="n"/>
      <c r="R236" s="22" t="n"/>
      <c r="S236" s="22" t="n"/>
      <c r="T236" s="4">
        <f>IF(A236="","",TRIM(IF(K236="","Needs decision; ","")&amp;IF(AND(K236="Accept suggestion",F236=""),"No suggestion to accept; ","")&amp;IF(AND(K236="Override",L236=""),"Override URL missing; ","")&amp;IF(AND(K236="Accept suggestion",N(G236)&lt;$G$2),"Below your threshold; ","")&amp;IF(AND(M236&lt;&gt;"",M236=A236,K236&lt;&gt;"No change (same URL)"),"Redirects to itself; ","")&amp;IF(AND(M236&lt;&gt;"",OR(M236="/",AND(LEFT(M236,4)="http",OR((LEN(M236)-LEN(SUBSTITUTE(M236,"/","")))=2,AND((LEN(M236)-LEN(SUBSTITUTE(M236,"/","")))=3,RIGHT(M236,1)="/"))))),"Home page redirect; ","")&amp;IF(N(R236)&gt;1,"Chain; ","")&amp;IF(S236="No","Destination not 200; ","")))</f>
        <v/>
      </c>
      <c r="U236" s="22" t="n"/>
      <c r="V236" s="22" t="n"/>
      <c r="W236" s="4" t="n"/>
    </row>
    <row r="237">
      <c r="A237" s="22" t="n"/>
      <c r="B237" s="22" t="n"/>
      <c r="C237" s="22" t="n"/>
      <c r="D237" s="22">
        <f>IF(A237="","",IF(OR(N(B237)&gt;=$C$2,N(C237)&gt;=$E$2),"High",IF(OR(N(B237)&gt;0,N(C237)&gt;0),"Medium","Low")))</f>
        <v/>
      </c>
      <c r="E237" s="22" t="n"/>
      <c r="F237" s="22" t="n"/>
      <c r="G237" s="22" t="n"/>
      <c r="H237" s="22" t="n"/>
      <c r="I237" s="22" t="n"/>
      <c r="J237" s="22" t="n"/>
      <c r="K237" s="22" t="n"/>
      <c r="L237" s="22" t="n"/>
      <c r="M237" s="22">
        <f>IF(K237="Override",L237,IF(K237="Accept suggestion",F237,IF(K237="No change (same URL)",A237,"")))</f>
        <v/>
      </c>
      <c r="N237" s="22">
        <f>IF(A237="","",IF(K237="410 Gone","410",IF(K237="404","404",IF(K237="No change (same URL)","none",IF(M237="","","301")))))</f>
        <v/>
      </c>
      <c r="O237" s="22">
        <f>IF(A237="","",IFERROR(MID(A237,FIND("/",A237,FIND("//",A237)+2),2000),A237))</f>
        <v/>
      </c>
      <c r="P237" s="22">
        <f>IF(OR(O237="",N237="",N237="none",N237="404"),"",IF(N237="410","Redirect gone "&amp;O237,"Redirect "&amp;N237&amp;" "&amp;O237&amp;" "&amp;M237))</f>
        <v/>
      </c>
      <c r="Q237" s="22" t="n"/>
      <c r="R237" s="22" t="n"/>
      <c r="S237" s="22" t="n"/>
      <c r="T237" s="4">
        <f>IF(A237="","",TRIM(IF(K237="","Needs decision; ","")&amp;IF(AND(K237="Accept suggestion",F237=""),"No suggestion to accept; ","")&amp;IF(AND(K237="Override",L237=""),"Override URL missing; ","")&amp;IF(AND(K237="Accept suggestion",N(G237)&lt;$G$2),"Below your threshold; ","")&amp;IF(AND(M237&lt;&gt;"",M237=A237,K237&lt;&gt;"No change (same URL)"),"Redirects to itself; ","")&amp;IF(AND(M237&lt;&gt;"",OR(M237="/",AND(LEFT(M237,4)="http",OR((LEN(M237)-LEN(SUBSTITUTE(M237,"/","")))=2,AND((LEN(M237)-LEN(SUBSTITUTE(M237,"/","")))=3,RIGHT(M237,1)="/"))))),"Home page redirect; ","")&amp;IF(N(R237)&gt;1,"Chain; ","")&amp;IF(S237="No","Destination not 200; ","")))</f>
        <v/>
      </c>
      <c r="U237" s="22" t="n"/>
      <c r="V237" s="22" t="n"/>
      <c r="W237" s="4" t="n"/>
    </row>
    <row r="238">
      <c r="A238" s="22" t="n"/>
      <c r="B238" s="22" t="n"/>
      <c r="C238" s="22" t="n"/>
      <c r="D238" s="22">
        <f>IF(A238="","",IF(OR(N(B238)&gt;=$C$2,N(C238)&gt;=$E$2),"High",IF(OR(N(B238)&gt;0,N(C238)&gt;0),"Medium","Low")))</f>
        <v/>
      </c>
      <c r="E238" s="22" t="n"/>
      <c r="F238" s="22" t="n"/>
      <c r="G238" s="22" t="n"/>
      <c r="H238" s="22" t="n"/>
      <c r="I238" s="22" t="n"/>
      <c r="J238" s="22" t="n"/>
      <c r="K238" s="22" t="n"/>
      <c r="L238" s="22" t="n"/>
      <c r="M238" s="22">
        <f>IF(K238="Override",L238,IF(K238="Accept suggestion",F238,IF(K238="No change (same URL)",A238,"")))</f>
        <v/>
      </c>
      <c r="N238" s="22">
        <f>IF(A238="","",IF(K238="410 Gone","410",IF(K238="404","404",IF(K238="No change (same URL)","none",IF(M238="","","301")))))</f>
        <v/>
      </c>
      <c r="O238" s="22">
        <f>IF(A238="","",IFERROR(MID(A238,FIND("/",A238,FIND("//",A238)+2),2000),A238))</f>
        <v/>
      </c>
      <c r="P238" s="22">
        <f>IF(OR(O238="",N238="",N238="none",N238="404"),"",IF(N238="410","Redirect gone "&amp;O238,"Redirect "&amp;N238&amp;" "&amp;O238&amp;" "&amp;M238))</f>
        <v/>
      </c>
      <c r="Q238" s="22" t="n"/>
      <c r="R238" s="22" t="n"/>
      <c r="S238" s="22" t="n"/>
      <c r="T238" s="4">
        <f>IF(A238="","",TRIM(IF(K238="","Needs decision; ","")&amp;IF(AND(K238="Accept suggestion",F238=""),"No suggestion to accept; ","")&amp;IF(AND(K238="Override",L238=""),"Override URL missing; ","")&amp;IF(AND(K238="Accept suggestion",N(G238)&lt;$G$2),"Below your threshold; ","")&amp;IF(AND(M238&lt;&gt;"",M238=A238,K238&lt;&gt;"No change (same URL)"),"Redirects to itself; ","")&amp;IF(AND(M238&lt;&gt;"",OR(M238="/",AND(LEFT(M238,4)="http",OR((LEN(M238)-LEN(SUBSTITUTE(M238,"/","")))=2,AND((LEN(M238)-LEN(SUBSTITUTE(M238,"/","")))=3,RIGHT(M238,1)="/"))))),"Home page redirect; ","")&amp;IF(N(R238)&gt;1,"Chain; ","")&amp;IF(S238="No","Destination not 200; ","")))</f>
        <v/>
      </c>
      <c r="U238" s="22" t="n"/>
      <c r="V238" s="22" t="n"/>
      <c r="W238" s="4" t="n"/>
    </row>
    <row r="239">
      <c r="A239" s="22" t="n"/>
      <c r="B239" s="22" t="n"/>
      <c r="C239" s="22" t="n"/>
      <c r="D239" s="22">
        <f>IF(A239="","",IF(OR(N(B239)&gt;=$C$2,N(C239)&gt;=$E$2),"High",IF(OR(N(B239)&gt;0,N(C239)&gt;0),"Medium","Low")))</f>
        <v/>
      </c>
      <c r="E239" s="22" t="n"/>
      <c r="F239" s="22" t="n"/>
      <c r="G239" s="22" t="n"/>
      <c r="H239" s="22" t="n"/>
      <c r="I239" s="22" t="n"/>
      <c r="J239" s="22" t="n"/>
      <c r="K239" s="22" t="n"/>
      <c r="L239" s="22" t="n"/>
      <c r="M239" s="22">
        <f>IF(K239="Override",L239,IF(K239="Accept suggestion",F239,IF(K239="No change (same URL)",A239,"")))</f>
        <v/>
      </c>
      <c r="N239" s="22">
        <f>IF(A239="","",IF(K239="410 Gone","410",IF(K239="404","404",IF(K239="No change (same URL)","none",IF(M239="","","301")))))</f>
        <v/>
      </c>
      <c r="O239" s="22">
        <f>IF(A239="","",IFERROR(MID(A239,FIND("/",A239,FIND("//",A239)+2),2000),A239))</f>
        <v/>
      </c>
      <c r="P239" s="22">
        <f>IF(OR(O239="",N239="",N239="none",N239="404"),"",IF(N239="410","Redirect gone "&amp;O239,"Redirect "&amp;N239&amp;" "&amp;O239&amp;" "&amp;M239))</f>
        <v/>
      </c>
      <c r="Q239" s="22" t="n"/>
      <c r="R239" s="22" t="n"/>
      <c r="S239" s="22" t="n"/>
      <c r="T239" s="4">
        <f>IF(A239="","",TRIM(IF(K239="","Needs decision; ","")&amp;IF(AND(K239="Accept suggestion",F239=""),"No suggestion to accept; ","")&amp;IF(AND(K239="Override",L239=""),"Override URL missing; ","")&amp;IF(AND(K239="Accept suggestion",N(G239)&lt;$G$2),"Below your threshold; ","")&amp;IF(AND(M239&lt;&gt;"",M239=A239,K239&lt;&gt;"No change (same URL)"),"Redirects to itself; ","")&amp;IF(AND(M239&lt;&gt;"",OR(M239="/",AND(LEFT(M239,4)="http",OR((LEN(M239)-LEN(SUBSTITUTE(M239,"/","")))=2,AND((LEN(M239)-LEN(SUBSTITUTE(M239,"/","")))=3,RIGHT(M239,1)="/"))))),"Home page redirect; ","")&amp;IF(N(R239)&gt;1,"Chain; ","")&amp;IF(S239="No","Destination not 200; ","")))</f>
        <v/>
      </c>
      <c r="U239" s="22" t="n"/>
      <c r="V239" s="22" t="n"/>
      <c r="W239" s="4" t="n"/>
    </row>
    <row r="240">
      <c r="A240" s="22" t="n"/>
      <c r="B240" s="22" t="n"/>
      <c r="C240" s="22" t="n"/>
      <c r="D240" s="22">
        <f>IF(A240="","",IF(OR(N(B240)&gt;=$C$2,N(C240)&gt;=$E$2),"High",IF(OR(N(B240)&gt;0,N(C240)&gt;0),"Medium","Low")))</f>
        <v/>
      </c>
      <c r="E240" s="22" t="n"/>
      <c r="F240" s="22" t="n"/>
      <c r="G240" s="22" t="n"/>
      <c r="H240" s="22" t="n"/>
      <c r="I240" s="22" t="n"/>
      <c r="J240" s="22" t="n"/>
      <c r="K240" s="22" t="n"/>
      <c r="L240" s="22" t="n"/>
      <c r="M240" s="22">
        <f>IF(K240="Override",L240,IF(K240="Accept suggestion",F240,IF(K240="No change (same URL)",A240,"")))</f>
        <v/>
      </c>
      <c r="N240" s="22">
        <f>IF(A240="","",IF(K240="410 Gone","410",IF(K240="404","404",IF(K240="No change (same URL)","none",IF(M240="","","301")))))</f>
        <v/>
      </c>
      <c r="O240" s="22">
        <f>IF(A240="","",IFERROR(MID(A240,FIND("/",A240,FIND("//",A240)+2),2000),A240))</f>
        <v/>
      </c>
      <c r="P240" s="22">
        <f>IF(OR(O240="",N240="",N240="none",N240="404"),"",IF(N240="410","Redirect gone "&amp;O240,"Redirect "&amp;N240&amp;" "&amp;O240&amp;" "&amp;M240))</f>
        <v/>
      </c>
      <c r="Q240" s="22" t="n"/>
      <c r="R240" s="22" t="n"/>
      <c r="S240" s="22" t="n"/>
      <c r="T240" s="4">
        <f>IF(A240="","",TRIM(IF(K240="","Needs decision; ","")&amp;IF(AND(K240="Accept suggestion",F240=""),"No suggestion to accept; ","")&amp;IF(AND(K240="Override",L240=""),"Override URL missing; ","")&amp;IF(AND(K240="Accept suggestion",N(G240)&lt;$G$2),"Below your threshold; ","")&amp;IF(AND(M240&lt;&gt;"",M240=A240,K240&lt;&gt;"No change (same URL)"),"Redirects to itself; ","")&amp;IF(AND(M240&lt;&gt;"",OR(M240="/",AND(LEFT(M240,4)="http",OR((LEN(M240)-LEN(SUBSTITUTE(M240,"/","")))=2,AND((LEN(M240)-LEN(SUBSTITUTE(M240,"/","")))=3,RIGHT(M240,1)="/"))))),"Home page redirect; ","")&amp;IF(N(R240)&gt;1,"Chain; ","")&amp;IF(S240="No","Destination not 200; ","")))</f>
        <v/>
      </c>
      <c r="U240" s="22" t="n"/>
      <c r="V240" s="22" t="n"/>
      <c r="W240" s="4" t="n"/>
    </row>
    <row r="241">
      <c r="A241" s="22" t="n"/>
      <c r="B241" s="22" t="n"/>
      <c r="C241" s="22" t="n"/>
      <c r="D241" s="22">
        <f>IF(A241="","",IF(OR(N(B241)&gt;=$C$2,N(C241)&gt;=$E$2),"High",IF(OR(N(B241)&gt;0,N(C241)&gt;0),"Medium","Low")))</f>
        <v/>
      </c>
      <c r="E241" s="22" t="n"/>
      <c r="F241" s="22" t="n"/>
      <c r="G241" s="22" t="n"/>
      <c r="H241" s="22" t="n"/>
      <c r="I241" s="22" t="n"/>
      <c r="J241" s="22" t="n"/>
      <c r="K241" s="22" t="n"/>
      <c r="L241" s="22" t="n"/>
      <c r="M241" s="22">
        <f>IF(K241="Override",L241,IF(K241="Accept suggestion",F241,IF(K241="No change (same URL)",A241,"")))</f>
        <v/>
      </c>
      <c r="N241" s="22">
        <f>IF(A241="","",IF(K241="410 Gone","410",IF(K241="404","404",IF(K241="No change (same URL)","none",IF(M241="","","301")))))</f>
        <v/>
      </c>
      <c r="O241" s="22">
        <f>IF(A241="","",IFERROR(MID(A241,FIND("/",A241,FIND("//",A241)+2),2000),A241))</f>
        <v/>
      </c>
      <c r="P241" s="22">
        <f>IF(OR(O241="",N241="",N241="none",N241="404"),"",IF(N241="410","Redirect gone "&amp;O241,"Redirect "&amp;N241&amp;" "&amp;O241&amp;" "&amp;M241))</f>
        <v/>
      </c>
      <c r="Q241" s="22" t="n"/>
      <c r="R241" s="22" t="n"/>
      <c r="S241" s="22" t="n"/>
      <c r="T241" s="4">
        <f>IF(A241="","",TRIM(IF(K241="","Needs decision; ","")&amp;IF(AND(K241="Accept suggestion",F241=""),"No suggestion to accept; ","")&amp;IF(AND(K241="Override",L241=""),"Override URL missing; ","")&amp;IF(AND(K241="Accept suggestion",N(G241)&lt;$G$2),"Below your threshold; ","")&amp;IF(AND(M241&lt;&gt;"",M241=A241,K241&lt;&gt;"No change (same URL)"),"Redirects to itself; ","")&amp;IF(AND(M241&lt;&gt;"",OR(M241="/",AND(LEFT(M241,4)="http",OR((LEN(M241)-LEN(SUBSTITUTE(M241,"/","")))=2,AND((LEN(M241)-LEN(SUBSTITUTE(M241,"/","")))=3,RIGHT(M241,1)="/"))))),"Home page redirect; ","")&amp;IF(N(R241)&gt;1,"Chain; ","")&amp;IF(S241="No","Destination not 200; ","")))</f>
        <v/>
      </c>
      <c r="U241" s="22" t="n"/>
      <c r="V241" s="22" t="n"/>
      <c r="W241" s="4" t="n"/>
    </row>
    <row r="242">
      <c r="A242" s="22" t="n"/>
      <c r="B242" s="22" t="n"/>
      <c r="C242" s="22" t="n"/>
      <c r="D242" s="22">
        <f>IF(A242="","",IF(OR(N(B242)&gt;=$C$2,N(C242)&gt;=$E$2),"High",IF(OR(N(B242)&gt;0,N(C242)&gt;0),"Medium","Low")))</f>
        <v/>
      </c>
      <c r="E242" s="22" t="n"/>
      <c r="F242" s="22" t="n"/>
      <c r="G242" s="22" t="n"/>
      <c r="H242" s="22" t="n"/>
      <c r="I242" s="22" t="n"/>
      <c r="J242" s="22" t="n"/>
      <c r="K242" s="22" t="n"/>
      <c r="L242" s="22" t="n"/>
      <c r="M242" s="22">
        <f>IF(K242="Override",L242,IF(K242="Accept suggestion",F242,IF(K242="No change (same URL)",A242,"")))</f>
        <v/>
      </c>
      <c r="N242" s="22">
        <f>IF(A242="","",IF(K242="410 Gone","410",IF(K242="404","404",IF(K242="No change (same URL)","none",IF(M242="","","301")))))</f>
        <v/>
      </c>
      <c r="O242" s="22">
        <f>IF(A242="","",IFERROR(MID(A242,FIND("/",A242,FIND("//",A242)+2),2000),A242))</f>
        <v/>
      </c>
      <c r="P242" s="22">
        <f>IF(OR(O242="",N242="",N242="none",N242="404"),"",IF(N242="410","Redirect gone "&amp;O242,"Redirect "&amp;N242&amp;" "&amp;O242&amp;" "&amp;M242))</f>
        <v/>
      </c>
      <c r="Q242" s="22" t="n"/>
      <c r="R242" s="22" t="n"/>
      <c r="S242" s="22" t="n"/>
      <c r="T242" s="4">
        <f>IF(A242="","",TRIM(IF(K242="","Needs decision; ","")&amp;IF(AND(K242="Accept suggestion",F242=""),"No suggestion to accept; ","")&amp;IF(AND(K242="Override",L242=""),"Override URL missing; ","")&amp;IF(AND(K242="Accept suggestion",N(G242)&lt;$G$2),"Below your threshold; ","")&amp;IF(AND(M242&lt;&gt;"",M242=A242,K242&lt;&gt;"No change (same URL)"),"Redirects to itself; ","")&amp;IF(AND(M242&lt;&gt;"",OR(M242="/",AND(LEFT(M242,4)="http",OR((LEN(M242)-LEN(SUBSTITUTE(M242,"/","")))=2,AND((LEN(M242)-LEN(SUBSTITUTE(M242,"/","")))=3,RIGHT(M242,1)="/"))))),"Home page redirect; ","")&amp;IF(N(R242)&gt;1,"Chain; ","")&amp;IF(S242="No","Destination not 200; ","")))</f>
        <v/>
      </c>
      <c r="U242" s="22" t="n"/>
      <c r="V242" s="22" t="n"/>
      <c r="W242" s="4" t="n"/>
    </row>
    <row r="243">
      <c r="A243" s="22" t="n"/>
      <c r="B243" s="22" t="n"/>
      <c r="C243" s="22" t="n"/>
      <c r="D243" s="22">
        <f>IF(A243="","",IF(OR(N(B243)&gt;=$C$2,N(C243)&gt;=$E$2),"High",IF(OR(N(B243)&gt;0,N(C243)&gt;0),"Medium","Low")))</f>
        <v/>
      </c>
      <c r="E243" s="22" t="n"/>
      <c r="F243" s="22" t="n"/>
      <c r="G243" s="22" t="n"/>
      <c r="H243" s="22" t="n"/>
      <c r="I243" s="22" t="n"/>
      <c r="J243" s="22" t="n"/>
      <c r="K243" s="22" t="n"/>
      <c r="L243" s="22" t="n"/>
      <c r="M243" s="22">
        <f>IF(K243="Override",L243,IF(K243="Accept suggestion",F243,IF(K243="No change (same URL)",A243,"")))</f>
        <v/>
      </c>
      <c r="N243" s="22">
        <f>IF(A243="","",IF(K243="410 Gone","410",IF(K243="404","404",IF(K243="No change (same URL)","none",IF(M243="","","301")))))</f>
        <v/>
      </c>
      <c r="O243" s="22">
        <f>IF(A243="","",IFERROR(MID(A243,FIND("/",A243,FIND("//",A243)+2),2000),A243))</f>
        <v/>
      </c>
      <c r="P243" s="22">
        <f>IF(OR(O243="",N243="",N243="none",N243="404"),"",IF(N243="410","Redirect gone "&amp;O243,"Redirect "&amp;N243&amp;" "&amp;O243&amp;" "&amp;M243))</f>
        <v/>
      </c>
      <c r="Q243" s="22" t="n"/>
      <c r="R243" s="22" t="n"/>
      <c r="S243" s="22" t="n"/>
      <c r="T243" s="4">
        <f>IF(A243="","",TRIM(IF(K243="","Needs decision; ","")&amp;IF(AND(K243="Accept suggestion",F243=""),"No suggestion to accept; ","")&amp;IF(AND(K243="Override",L243=""),"Override URL missing; ","")&amp;IF(AND(K243="Accept suggestion",N(G243)&lt;$G$2),"Below your threshold; ","")&amp;IF(AND(M243&lt;&gt;"",M243=A243,K243&lt;&gt;"No change (same URL)"),"Redirects to itself; ","")&amp;IF(AND(M243&lt;&gt;"",OR(M243="/",AND(LEFT(M243,4)="http",OR((LEN(M243)-LEN(SUBSTITUTE(M243,"/","")))=2,AND((LEN(M243)-LEN(SUBSTITUTE(M243,"/","")))=3,RIGHT(M243,1)="/"))))),"Home page redirect; ","")&amp;IF(N(R243)&gt;1,"Chain; ","")&amp;IF(S243="No","Destination not 200; ","")))</f>
        <v/>
      </c>
      <c r="U243" s="22" t="n"/>
      <c r="V243" s="22" t="n"/>
      <c r="W243" s="4" t="n"/>
    </row>
    <row r="244">
      <c r="A244" s="22" t="n"/>
      <c r="B244" s="22" t="n"/>
      <c r="C244" s="22" t="n"/>
      <c r="D244" s="22">
        <f>IF(A244="","",IF(OR(N(B244)&gt;=$C$2,N(C244)&gt;=$E$2),"High",IF(OR(N(B244)&gt;0,N(C244)&gt;0),"Medium","Low")))</f>
        <v/>
      </c>
      <c r="E244" s="22" t="n"/>
      <c r="F244" s="22" t="n"/>
      <c r="G244" s="22" t="n"/>
      <c r="H244" s="22" t="n"/>
      <c r="I244" s="22" t="n"/>
      <c r="J244" s="22" t="n"/>
      <c r="K244" s="22" t="n"/>
      <c r="L244" s="22" t="n"/>
      <c r="M244" s="22">
        <f>IF(K244="Override",L244,IF(K244="Accept suggestion",F244,IF(K244="No change (same URL)",A244,"")))</f>
        <v/>
      </c>
      <c r="N244" s="22">
        <f>IF(A244="","",IF(K244="410 Gone","410",IF(K244="404","404",IF(K244="No change (same URL)","none",IF(M244="","","301")))))</f>
        <v/>
      </c>
      <c r="O244" s="22">
        <f>IF(A244="","",IFERROR(MID(A244,FIND("/",A244,FIND("//",A244)+2),2000),A244))</f>
        <v/>
      </c>
      <c r="P244" s="22">
        <f>IF(OR(O244="",N244="",N244="none",N244="404"),"",IF(N244="410","Redirect gone "&amp;O244,"Redirect "&amp;N244&amp;" "&amp;O244&amp;" "&amp;M244))</f>
        <v/>
      </c>
      <c r="Q244" s="22" t="n"/>
      <c r="R244" s="22" t="n"/>
      <c r="S244" s="22" t="n"/>
      <c r="T244" s="4">
        <f>IF(A244="","",TRIM(IF(K244="","Needs decision; ","")&amp;IF(AND(K244="Accept suggestion",F244=""),"No suggestion to accept; ","")&amp;IF(AND(K244="Override",L244=""),"Override URL missing; ","")&amp;IF(AND(K244="Accept suggestion",N(G244)&lt;$G$2),"Below your threshold; ","")&amp;IF(AND(M244&lt;&gt;"",M244=A244,K244&lt;&gt;"No change (same URL)"),"Redirects to itself; ","")&amp;IF(AND(M244&lt;&gt;"",OR(M244="/",AND(LEFT(M244,4)="http",OR((LEN(M244)-LEN(SUBSTITUTE(M244,"/","")))=2,AND((LEN(M244)-LEN(SUBSTITUTE(M244,"/","")))=3,RIGHT(M244,1)="/"))))),"Home page redirect; ","")&amp;IF(N(R244)&gt;1,"Chain; ","")&amp;IF(S244="No","Destination not 200; ","")))</f>
        <v/>
      </c>
      <c r="U244" s="22" t="n"/>
      <c r="V244" s="22" t="n"/>
      <c r="W244" s="4" t="n"/>
    </row>
    <row r="245">
      <c r="A245" s="22" t="n"/>
      <c r="B245" s="22" t="n"/>
      <c r="C245" s="22" t="n"/>
      <c r="D245" s="22">
        <f>IF(A245="","",IF(OR(N(B245)&gt;=$C$2,N(C245)&gt;=$E$2),"High",IF(OR(N(B245)&gt;0,N(C245)&gt;0),"Medium","Low")))</f>
        <v/>
      </c>
      <c r="E245" s="22" t="n"/>
      <c r="F245" s="22" t="n"/>
      <c r="G245" s="22" t="n"/>
      <c r="H245" s="22" t="n"/>
      <c r="I245" s="22" t="n"/>
      <c r="J245" s="22" t="n"/>
      <c r="K245" s="22" t="n"/>
      <c r="L245" s="22" t="n"/>
      <c r="M245" s="22">
        <f>IF(K245="Override",L245,IF(K245="Accept suggestion",F245,IF(K245="No change (same URL)",A245,"")))</f>
        <v/>
      </c>
      <c r="N245" s="22">
        <f>IF(A245="","",IF(K245="410 Gone","410",IF(K245="404","404",IF(K245="No change (same URL)","none",IF(M245="","","301")))))</f>
        <v/>
      </c>
      <c r="O245" s="22">
        <f>IF(A245="","",IFERROR(MID(A245,FIND("/",A245,FIND("//",A245)+2),2000),A245))</f>
        <v/>
      </c>
      <c r="P245" s="22">
        <f>IF(OR(O245="",N245="",N245="none",N245="404"),"",IF(N245="410","Redirect gone "&amp;O245,"Redirect "&amp;N245&amp;" "&amp;O245&amp;" "&amp;M245))</f>
        <v/>
      </c>
      <c r="Q245" s="22" t="n"/>
      <c r="R245" s="22" t="n"/>
      <c r="S245" s="22" t="n"/>
      <c r="T245" s="4">
        <f>IF(A245="","",TRIM(IF(K245="","Needs decision; ","")&amp;IF(AND(K245="Accept suggestion",F245=""),"No suggestion to accept; ","")&amp;IF(AND(K245="Override",L245=""),"Override URL missing; ","")&amp;IF(AND(K245="Accept suggestion",N(G245)&lt;$G$2),"Below your threshold; ","")&amp;IF(AND(M245&lt;&gt;"",M245=A245,K245&lt;&gt;"No change (same URL)"),"Redirects to itself; ","")&amp;IF(AND(M245&lt;&gt;"",OR(M245="/",AND(LEFT(M245,4)="http",OR((LEN(M245)-LEN(SUBSTITUTE(M245,"/","")))=2,AND((LEN(M245)-LEN(SUBSTITUTE(M245,"/","")))=3,RIGHT(M245,1)="/"))))),"Home page redirect; ","")&amp;IF(N(R245)&gt;1,"Chain; ","")&amp;IF(S245="No","Destination not 200; ","")))</f>
        <v/>
      </c>
      <c r="U245" s="22" t="n"/>
      <c r="V245" s="22" t="n"/>
      <c r="W245" s="4" t="n"/>
    </row>
    <row r="246">
      <c r="A246" s="22" t="n"/>
      <c r="B246" s="22" t="n"/>
      <c r="C246" s="22" t="n"/>
      <c r="D246" s="22">
        <f>IF(A246="","",IF(OR(N(B246)&gt;=$C$2,N(C246)&gt;=$E$2),"High",IF(OR(N(B246)&gt;0,N(C246)&gt;0),"Medium","Low")))</f>
        <v/>
      </c>
      <c r="E246" s="22" t="n"/>
      <c r="F246" s="22" t="n"/>
      <c r="G246" s="22" t="n"/>
      <c r="H246" s="22" t="n"/>
      <c r="I246" s="22" t="n"/>
      <c r="J246" s="22" t="n"/>
      <c r="K246" s="22" t="n"/>
      <c r="L246" s="22" t="n"/>
      <c r="M246" s="22">
        <f>IF(K246="Override",L246,IF(K246="Accept suggestion",F246,IF(K246="No change (same URL)",A246,"")))</f>
        <v/>
      </c>
      <c r="N246" s="22">
        <f>IF(A246="","",IF(K246="410 Gone","410",IF(K246="404","404",IF(K246="No change (same URL)","none",IF(M246="","","301")))))</f>
        <v/>
      </c>
      <c r="O246" s="22">
        <f>IF(A246="","",IFERROR(MID(A246,FIND("/",A246,FIND("//",A246)+2),2000),A246))</f>
        <v/>
      </c>
      <c r="P246" s="22">
        <f>IF(OR(O246="",N246="",N246="none",N246="404"),"",IF(N246="410","Redirect gone "&amp;O246,"Redirect "&amp;N246&amp;" "&amp;O246&amp;" "&amp;M246))</f>
        <v/>
      </c>
      <c r="Q246" s="22" t="n"/>
      <c r="R246" s="22" t="n"/>
      <c r="S246" s="22" t="n"/>
      <c r="T246" s="4">
        <f>IF(A246="","",TRIM(IF(K246="","Needs decision; ","")&amp;IF(AND(K246="Accept suggestion",F246=""),"No suggestion to accept; ","")&amp;IF(AND(K246="Override",L246=""),"Override URL missing; ","")&amp;IF(AND(K246="Accept suggestion",N(G246)&lt;$G$2),"Below your threshold; ","")&amp;IF(AND(M246&lt;&gt;"",M246=A246,K246&lt;&gt;"No change (same URL)"),"Redirects to itself; ","")&amp;IF(AND(M246&lt;&gt;"",OR(M246="/",AND(LEFT(M246,4)="http",OR((LEN(M246)-LEN(SUBSTITUTE(M246,"/","")))=2,AND((LEN(M246)-LEN(SUBSTITUTE(M246,"/","")))=3,RIGHT(M246,1)="/"))))),"Home page redirect; ","")&amp;IF(N(R246)&gt;1,"Chain; ","")&amp;IF(S246="No","Destination not 200; ","")))</f>
        <v/>
      </c>
      <c r="U246" s="22" t="n"/>
      <c r="V246" s="22" t="n"/>
      <c r="W246" s="4" t="n"/>
    </row>
    <row r="247">
      <c r="A247" s="22" t="n"/>
      <c r="B247" s="22" t="n"/>
      <c r="C247" s="22" t="n"/>
      <c r="D247" s="22">
        <f>IF(A247="","",IF(OR(N(B247)&gt;=$C$2,N(C247)&gt;=$E$2),"High",IF(OR(N(B247)&gt;0,N(C247)&gt;0),"Medium","Low")))</f>
        <v/>
      </c>
      <c r="E247" s="22" t="n"/>
      <c r="F247" s="22" t="n"/>
      <c r="G247" s="22" t="n"/>
      <c r="H247" s="22" t="n"/>
      <c r="I247" s="22" t="n"/>
      <c r="J247" s="22" t="n"/>
      <c r="K247" s="22" t="n"/>
      <c r="L247" s="22" t="n"/>
      <c r="M247" s="22">
        <f>IF(K247="Override",L247,IF(K247="Accept suggestion",F247,IF(K247="No change (same URL)",A247,"")))</f>
        <v/>
      </c>
      <c r="N247" s="22">
        <f>IF(A247="","",IF(K247="410 Gone","410",IF(K247="404","404",IF(K247="No change (same URL)","none",IF(M247="","","301")))))</f>
        <v/>
      </c>
      <c r="O247" s="22">
        <f>IF(A247="","",IFERROR(MID(A247,FIND("/",A247,FIND("//",A247)+2),2000),A247))</f>
        <v/>
      </c>
      <c r="P247" s="22">
        <f>IF(OR(O247="",N247="",N247="none",N247="404"),"",IF(N247="410","Redirect gone "&amp;O247,"Redirect "&amp;N247&amp;" "&amp;O247&amp;" "&amp;M247))</f>
        <v/>
      </c>
      <c r="Q247" s="22" t="n"/>
      <c r="R247" s="22" t="n"/>
      <c r="S247" s="22" t="n"/>
      <c r="T247" s="4">
        <f>IF(A247="","",TRIM(IF(K247="","Needs decision; ","")&amp;IF(AND(K247="Accept suggestion",F247=""),"No suggestion to accept; ","")&amp;IF(AND(K247="Override",L247=""),"Override URL missing; ","")&amp;IF(AND(K247="Accept suggestion",N(G247)&lt;$G$2),"Below your threshold; ","")&amp;IF(AND(M247&lt;&gt;"",M247=A247,K247&lt;&gt;"No change (same URL)"),"Redirects to itself; ","")&amp;IF(AND(M247&lt;&gt;"",OR(M247="/",AND(LEFT(M247,4)="http",OR((LEN(M247)-LEN(SUBSTITUTE(M247,"/","")))=2,AND((LEN(M247)-LEN(SUBSTITUTE(M247,"/","")))=3,RIGHT(M247,1)="/"))))),"Home page redirect; ","")&amp;IF(N(R247)&gt;1,"Chain; ","")&amp;IF(S247="No","Destination not 200; ","")))</f>
        <v/>
      </c>
      <c r="U247" s="22" t="n"/>
      <c r="V247" s="22" t="n"/>
      <c r="W247" s="4" t="n"/>
    </row>
    <row r="248">
      <c r="A248" s="22" t="n"/>
      <c r="B248" s="22" t="n"/>
      <c r="C248" s="22" t="n"/>
      <c r="D248" s="22">
        <f>IF(A248="","",IF(OR(N(B248)&gt;=$C$2,N(C248)&gt;=$E$2),"High",IF(OR(N(B248)&gt;0,N(C248)&gt;0),"Medium","Low")))</f>
        <v/>
      </c>
      <c r="E248" s="22" t="n"/>
      <c r="F248" s="22" t="n"/>
      <c r="G248" s="22" t="n"/>
      <c r="H248" s="22" t="n"/>
      <c r="I248" s="22" t="n"/>
      <c r="J248" s="22" t="n"/>
      <c r="K248" s="22" t="n"/>
      <c r="L248" s="22" t="n"/>
      <c r="M248" s="22">
        <f>IF(K248="Override",L248,IF(K248="Accept suggestion",F248,IF(K248="No change (same URL)",A248,"")))</f>
        <v/>
      </c>
      <c r="N248" s="22">
        <f>IF(A248="","",IF(K248="410 Gone","410",IF(K248="404","404",IF(K248="No change (same URL)","none",IF(M248="","","301")))))</f>
        <v/>
      </c>
      <c r="O248" s="22">
        <f>IF(A248="","",IFERROR(MID(A248,FIND("/",A248,FIND("//",A248)+2),2000),A248))</f>
        <v/>
      </c>
      <c r="P248" s="22">
        <f>IF(OR(O248="",N248="",N248="none",N248="404"),"",IF(N248="410","Redirect gone "&amp;O248,"Redirect "&amp;N248&amp;" "&amp;O248&amp;" "&amp;M248))</f>
        <v/>
      </c>
      <c r="Q248" s="22" t="n"/>
      <c r="R248" s="22" t="n"/>
      <c r="S248" s="22" t="n"/>
      <c r="T248" s="4">
        <f>IF(A248="","",TRIM(IF(K248="","Needs decision; ","")&amp;IF(AND(K248="Accept suggestion",F248=""),"No suggestion to accept; ","")&amp;IF(AND(K248="Override",L248=""),"Override URL missing; ","")&amp;IF(AND(K248="Accept suggestion",N(G248)&lt;$G$2),"Below your threshold; ","")&amp;IF(AND(M248&lt;&gt;"",M248=A248,K248&lt;&gt;"No change (same URL)"),"Redirects to itself; ","")&amp;IF(AND(M248&lt;&gt;"",OR(M248="/",AND(LEFT(M248,4)="http",OR((LEN(M248)-LEN(SUBSTITUTE(M248,"/","")))=2,AND((LEN(M248)-LEN(SUBSTITUTE(M248,"/","")))=3,RIGHT(M248,1)="/"))))),"Home page redirect; ","")&amp;IF(N(R248)&gt;1,"Chain; ","")&amp;IF(S248="No","Destination not 200; ","")))</f>
        <v/>
      </c>
      <c r="U248" s="22" t="n"/>
      <c r="V248" s="22" t="n"/>
      <c r="W248" s="4" t="n"/>
    </row>
    <row r="249">
      <c r="A249" s="22" t="n"/>
      <c r="B249" s="22" t="n"/>
      <c r="C249" s="22" t="n"/>
      <c r="D249" s="22">
        <f>IF(A249="","",IF(OR(N(B249)&gt;=$C$2,N(C249)&gt;=$E$2),"High",IF(OR(N(B249)&gt;0,N(C249)&gt;0),"Medium","Low")))</f>
        <v/>
      </c>
      <c r="E249" s="22" t="n"/>
      <c r="F249" s="22" t="n"/>
      <c r="G249" s="22" t="n"/>
      <c r="H249" s="22" t="n"/>
      <c r="I249" s="22" t="n"/>
      <c r="J249" s="22" t="n"/>
      <c r="K249" s="22" t="n"/>
      <c r="L249" s="22" t="n"/>
      <c r="M249" s="22">
        <f>IF(K249="Override",L249,IF(K249="Accept suggestion",F249,IF(K249="No change (same URL)",A249,"")))</f>
        <v/>
      </c>
      <c r="N249" s="22">
        <f>IF(A249="","",IF(K249="410 Gone","410",IF(K249="404","404",IF(K249="No change (same URL)","none",IF(M249="","","301")))))</f>
        <v/>
      </c>
      <c r="O249" s="22">
        <f>IF(A249="","",IFERROR(MID(A249,FIND("/",A249,FIND("//",A249)+2),2000),A249))</f>
        <v/>
      </c>
      <c r="P249" s="22">
        <f>IF(OR(O249="",N249="",N249="none",N249="404"),"",IF(N249="410","Redirect gone "&amp;O249,"Redirect "&amp;N249&amp;" "&amp;O249&amp;" "&amp;M249))</f>
        <v/>
      </c>
      <c r="Q249" s="22" t="n"/>
      <c r="R249" s="22" t="n"/>
      <c r="S249" s="22" t="n"/>
      <c r="T249" s="4">
        <f>IF(A249="","",TRIM(IF(K249="","Needs decision; ","")&amp;IF(AND(K249="Accept suggestion",F249=""),"No suggestion to accept; ","")&amp;IF(AND(K249="Override",L249=""),"Override URL missing; ","")&amp;IF(AND(K249="Accept suggestion",N(G249)&lt;$G$2),"Below your threshold; ","")&amp;IF(AND(M249&lt;&gt;"",M249=A249,K249&lt;&gt;"No change (same URL)"),"Redirects to itself; ","")&amp;IF(AND(M249&lt;&gt;"",OR(M249="/",AND(LEFT(M249,4)="http",OR((LEN(M249)-LEN(SUBSTITUTE(M249,"/","")))=2,AND((LEN(M249)-LEN(SUBSTITUTE(M249,"/","")))=3,RIGHT(M249,1)="/"))))),"Home page redirect; ","")&amp;IF(N(R249)&gt;1,"Chain; ","")&amp;IF(S249="No","Destination not 200; ","")))</f>
        <v/>
      </c>
      <c r="U249" s="22" t="n"/>
      <c r="V249" s="22" t="n"/>
      <c r="W249" s="4" t="n"/>
    </row>
    <row r="250">
      <c r="A250" s="22" t="n"/>
      <c r="B250" s="22" t="n"/>
      <c r="C250" s="22" t="n"/>
      <c r="D250" s="22">
        <f>IF(A250="","",IF(OR(N(B250)&gt;=$C$2,N(C250)&gt;=$E$2),"High",IF(OR(N(B250)&gt;0,N(C250)&gt;0),"Medium","Low")))</f>
        <v/>
      </c>
      <c r="E250" s="22" t="n"/>
      <c r="F250" s="22" t="n"/>
      <c r="G250" s="22" t="n"/>
      <c r="H250" s="22" t="n"/>
      <c r="I250" s="22" t="n"/>
      <c r="J250" s="22" t="n"/>
      <c r="K250" s="22" t="n"/>
      <c r="L250" s="22" t="n"/>
      <c r="M250" s="22">
        <f>IF(K250="Override",L250,IF(K250="Accept suggestion",F250,IF(K250="No change (same URL)",A250,"")))</f>
        <v/>
      </c>
      <c r="N250" s="22">
        <f>IF(A250="","",IF(K250="410 Gone","410",IF(K250="404","404",IF(K250="No change (same URL)","none",IF(M250="","","301")))))</f>
        <v/>
      </c>
      <c r="O250" s="22">
        <f>IF(A250="","",IFERROR(MID(A250,FIND("/",A250,FIND("//",A250)+2),2000),A250))</f>
        <v/>
      </c>
      <c r="P250" s="22">
        <f>IF(OR(O250="",N250="",N250="none",N250="404"),"",IF(N250="410","Redirect gone "&amp;O250,"Redirect "&amp;N250&amp;" "&amp;O250&amp;" "&amp;M250))</f>
        <v/>
      </c>
      <c r="Q250" s="22" t="n"/>
      <c r="R250" s="22" t="n"/>
      <c r="S250" s="22" t="n"/>
      <c r="T250" s="4">
        <f>IF(A250="","",TRIM(IF(K250="","Needs decision; ","")&amp;IF(AND(K250="Accept suggestion",F250=""),"No suggestion to accept; ","")&amp;IF(AND(K250="Override",L250=""),"Override URL missing; ","")&amp;IF(AND(K250="Accept suggestion",N(G250)&lt;$G$2),"Below your threshold; ","")&amp;IF(AND(M250&lt;&gt;"",M250=A250,K250&lt;&gt;"No change (same URL)"),"Redirects to itself; ","")&amp;IF(AND(M250&lt;&gt;"",OR(M250="/",AND(LEFT(M250,4)="http",OR((LEN(M250)-LEN(SUBSTITUTE(M250,"/","")))=2,AND((LEN(M250)-LEN(SUBSTITUTE(M250,"/","")))=3,RIGHT(M250,1)="/"))))),"Home page redirect; ","")&amp;IF(N(R250)&gt;1,"Chain; ","")&amp;IF(S250="No","Destination not 200; ","")))</f>
        <v/>
      </c>
      <c r="U250" s="22" t="n"/>
      <c r="V250" s="22" t="n"/>
      <c r="W250" s="4" t="n"/>
    </row>
    <row r="251">
      <c r="A251" s="22" t="n"/>
      <c r="B251" s="22" t="n"/>
      <c r="C251" s="22" t="n"/>
      <c r="D251" s="22">
        <f>IF(A251="","",IF(OR(N(B251)&gt;=$C$2,N(C251)&gt;=$E$2),"High",IF(OR(N(B251)&gt;0,N(C251)&gt;0),"Medium","Low")))</f>
        <v/>
      </c>
      <c r="E251" s="22" t="n"/>
      <c r="F251" s="22" t="n"/>
      <c r="G251" s="22" t="n"/>
      <c r="H251" s="22" t="n"/>
      <c r="I251" s="22" t="n"/>
      <c r="J251" s="22" t="n"/>
      <c r="K251" s="22" t="n"/>
      <c r="L251" s="22" t="n"/>
      <c r="M251" s="22">
        <f>IF(K251="Override",L251,IF(K251="Accept suggestion",F251,IF(K251="No change (same URL)",A251,"")))</f>
        <v/>
      </c>
      <c r="N251" s="22">
        <f>IF(A251="","",IF(K251="410 Gone","410",IF(K251="404","404",IF(K251="No change (same URL)","none",IF(M251="","","301")))))</f>
        <v/>
      </c>
      <c r="O251" s="22">
        <f>IF(A251="","",IFERROR(MID(A251,FIND("/",A251,FIND("//",A251)+2),2000),A251))</f>
        <v/>
      </c>
      <c r="P251" s="22">
        <f>IF(OR(O251="",N251="",N251="none",N251="404"),"",IF(N251="410","Redirect gone "&amp;O251,"Redirect "&amp;N251&amp;" "&amp;O251&amp;" "&amp;M251))</f>
        <v/>
      </c>
      <c r="Q251" s="22" t="n"/>
      <c r="R251" s="22" t="n"/>
      <c r="S251" s="22" t="n"/>
      <c r="T251" s="4">
        <f>IF(A251="","",TRIM(IF(K251="","Needs decision; ","")&amp;IF(AND(K251="Accept suggestion",F251=""),"No suggestion to accept; ","")&amp;IF(AND(K251="Override",L251=""),"Override URL missing; ","")&amp;IF(AND(K251="Accept suggestion",N(G251)&lt;$G$2),"Below your threshold; ","")&amp;IF(AND(M251&lt;&gt;"",M251=A251,K251&lt;&gt;"No change (same URL)"),"Redirects to itself; ","")&amp;IF(AND(M251&lt;&gt;"",OR(M251="/",AND(LEFT(M251,4)="http",OR((LEN(M251)-LEN(SUBSTITUTE(M251,"/","")))=2,AND((LEN(M251)-LEN(SUBSTITUTE(M251,"/","")))=3,RIGHT(M251,1)="/"))))),"Home page redirect; ","")&amp;IF(N(R251)&gt;1,"Chain; ","")&amp;IF(S251="No","Destination not 200; ","")))</f>
        <v/>
      </c>
      <c r="U251" s="22" t="n"/>
      <c r="V251" s="22" t="n"/>
      <c r="W251" s="4" t="n"/>
    </row>
    <row r="252">
      <c r="A252" s="22" t="n"/>
      <c r="B252" s="22" t="n"/>
      <c r="C252" s="22" t="n"/>
      <c r="D252" s="22">
        <f>IF(A252="","",IF(OR(N(B252)&gt;=$C$2,N(C252)&gt;=$E$2),"High",IF(OR(N(B252)&gt;0,N(C252)&gt;0),"Medium","Low")))</f>
        <v/>
      </c>
      <c r="E252" s="22" t="n"/>
      <c r="F252" s="22" t="n"/>
      <c r="G252" s="22" t="n"/>
      <c r="H252" s="22" t="n"/>
      <c r="I252" s="22" t="n"/>
      <c r="J252" s="22" t="n"/>
      <c r="K252" s="22" t="n"/>
      <c r="L252" s="22" t="n"/>
      <c r="M252" s="22">
        <f>IF(K252="Override",L252,IF(K252="Accept suggestion",F252,IF(K252="No change (same URL)",A252,"")))</f>
        <v/>
      </c>
      <c r="N252" s="22">
        <f>IF(A252="","",IF(K252="410 Gone","410",IF(K252="404","404",IF(K252="No change (same URL)","none",IF(M252="","","301")))))</f>
        <v/>
      </c>
      <c r="O252" s="22">
        <f>IF(A252="","",IFERROR(MID(A252,FIND("/",A252,FIND("//",A252)+2),2000),A252))</f>
        <v/>
      </c>
      <c r="P252" s="22">
        <f>IF(OR(O252="",N252="",N252="none",N252="404"),"",IF(N252="410","Redirect gone "&amp;O252,"Redirect "&amp;N252&amp;" "&amp;O252&amp;" "&amp;M252))</f>
        <v/>
      </c>
      <c r="Q252" s="22" t="n"/>
      <c r="R252" s="22" t="n"/>
      <c r="S252" s="22" t="n"/>
      <c r="T252" s="4">
        <f>IF(A252="","",TRIM(IF(K252="","Needs decision; ","")&amp;IF(AND(K252="Accept suggestion",F252=""),"No suggestion to accept; ","")&amp;IF(AND(K252="Override",L252=""),"Override URL missing; ","")&amp;IF(AND(K252="Accept suggestion",N(G252)&lt;$G$2),"Below your threshold; ","")&amp;IF(AND(M252&lt;&gt;"",M252=A252,K252&lt;&gt;"No change (same URL)"),"Redirects to itself; ","")&amp;IF(AND(M252&lt;&gt;"",OR(M252="/",AND(LEFT(M252,4)="http",OR((LEN(M252)-LEN(SUBSTITUTE(M252,"/","")))=2,AND((LEN(M252)-LEN(SUBSTITUTE(M252,"/","")))=3,RIGHT(M252,1)="/"))))),"Home page redirect; ","")&amp;IF(N(R252)&gt;1,"Chain; ","")&amp;IF(S252="No","Destination not 200; ","")))</f>
        <v/>
      </c>
      <c r="U252" s="22" t="n"/>
      <c r="V252" s="22" t="n"/>
      <c r="W252" s="4" t="n"/>
    </row>
    <row r="253">
      <c r="A253" s="22" t="n"/>
      <c r="B253" s="22" t="n"/>
      <c r="C253" s="22" t="n"/>
      <c r="D253" s="22">
        <f>IF(A253="","",IF(OR(N(B253)&gt;=$C$2,N(C253)&gt;=$E$2),"High",IF(OR(N(B253)&gt;0,N(C253)&gt;0),"Medium","Low")))</f>
        <v/>
      </c>
      <c r="E253" s="22" t="n"/>
      <c r="F253" s="22" t="n"/>
      <c r="G253" s="22" t="n"/>
      <c r="H253" s="22" t="n"/>
      <c r="I253" s="22" t="n"/>
      <c r="J253" s="22" t="n"/>
      <c r="K253" s="22" t="n"/>
      <c r="L253" s="22" t="n"/>
      <c r="M253" s="22">
        <f>IF(K253="Override",L253,IF(K253="Accept suggestion",F253,IF(K253="No change (same URL)",A253,"")))</f>
        <v/>
      </c>
      <c r="N253" s="22">
        <f>IF(A253="","",IF(K253="410 Gone","410",IF(K253="404","404",IF(K253="No change (same URL)","none",IF(M253="","","301")))))</f>
        <v/>
      </c>
      <c r="O253" s="22">
        <f>IF(A253="","",IFERROR(MID(A253,FIND("/",A253,FIND("//",A253)+2),2000),A253))</f>
        <v/>
      </c>
      <c r="P253" s="22">
        <f>IF(OR(O253="",N253="",N253="none",N253="404"),"",IF(N253="410","Redirect gone "&amp;O253,"Redirect "&amp;N253&amp;" "&amp;O253&amp;" "&amp;M253))</f>
        <v/>
      </c>
      <c r="Q253" s="22" t="n"/>
      <c r="R253" s="22" t="n"/>
      <c r="S253" s="22" t="n"/>
      <c r="T253" s="4">
        <f>IF(A253="","",TRIM(IF(K253="","Needs decision; ","")&amp;IF(AND(K253="Accept suggestion",F253=""),"No suggestion to accept; ","")&amp;IF(AND(K253="Override",L253=""),"Override URL missing; ","")&amp;IF(AND(K253="Accept suggestion",N(G253)&lt;$G$2),"Below your threshold; ","")&amp;IF(AND(M253&lt;&gt;"",M253=A253,K253&lt;&gt;"No change (same URL)"),"Redirects to itself; ","")&amp;IF(AND(M253&lt;&gt;"",OR(M253="/",AND(LEFT(M253,4)="http",OR((LEN(M253)-LEN(SUBSTITUTE(M253,"/","")))=2,AND((LEN(M253)-LEN(SUBSTITUTE(M253,"/","")))=3,RIGHT(M253,1)="/"))))),"Home page redirect; ","")&amp;IF(N(R253)&gt;1,"Chain; ","")&amp;IF(S253="No","Destination not 200; ","")))</f>
        <v/>
      </c>
      <c r="U253" s="22" t="n"/>
      <c r="V253" s="22" t="n"/>
      <c r="W253" s="4" t="n"/>
    </row>
    <row r="254">
      <c r="A254" s="22" t="n"/>
      <c r="B254" s="22" t="n"/>
      <c r="C254" s="22" t="n"/>
      <c r="D254" s="22">
        <f>IF(A254="","",IF(OR(N(B254)&gt;=$C$2,N(C254)&gt;=$E$2),"High",IF(OR(N(B254)&gt;0,N(C254)&gt;0),"Medium","Low")))</f>
        <v/>
      </c>
      <c r="E254" s="22" t="n"/>
      <c r="F254" s="22" t="n"/>
      <c r="G254" s="22" t="n"/>
      <c r="H254" s="22" t="n"/>
      <c r="I254" s="22" t="n"/>
      <c r="J254" s="22" t="n"/>
      <c r="K254" s="22" t="n"/>
      <c r="L254" s="22" t="n"/>
      <c r="M254" s="22">
        <f>IF(K254="Override",L254,IF(K254="Accept suggestion",F254,IF(K254="No change (same URL)",A254,"")))</f>
        <v/>
      </c>
      <c r="N254" s="22">
        <f>IF(A254="","",IF(K254="410 Gone","410",IF(K254="404","404",IF(K254="No change (same URL)","none",IF(M254="","","301")))))</f>
        <v/>
      </c>
      <c r="O254" s="22">
        <f>IF(A254="","",IFERROR(MID(A254,FIND("/",A254,FIND("//",A254)+2),2000),A254))</f>
        <v/>
      </c>
      <c r="P254" s="22">
        <f>IF(OR(O254="",N254="",N254="none",N254="404"),"",IF(N254="410","Redirect gone "&amp;O254,"Redirect "&amp;N254&amp;" "&amp;O254&amp;" "&amp;M254))</f>
        <v/>
      </c>
      <c r="Q254" s="22" t="n"/>
      <c r="R254" s="22" t="n"/>
      <c r="S254" s="22" t="n"/>
      <c r="T254" s="4">
        <f>IF(A254="","",TRIM(IF(K254="","Needs decision; ","")&amp;IF(AND(K254="Accept suggestion",F254=""),"No suggestion to accept; ","")&amp;IF(AND(K254="Override",L254=""),"Override URL missing; ","")&amp;IF(AND(K254="Accept suggestion",N(G254)&lt;$G$2),"Below your threshold; ","")&amp;IF(AND(M254&lt;&gt;"",M254=A254,K254&lt;&gt;"No change (same URL)"),"Redirects to itself; ","")&amp;IF(AND(M254&lt;&gt;"",OR(M254="/",AND(LEFT(M254,4)="http",OR((LEN(M254)-LEN(SUBSTITUTE(M254,"/","")))=2,AND((LEN(M254)-LEN(SUBSTITUTE(M254,"/","")))=3,RIGHT(M254,1)="/"))))),"Home page redirect; ","")&amp;IF(N(R254)&gt;1,"Chain; ","")&amp;IF(S254="No","Destination not 200; ","")))</f>
        <v/>
      </c>
      <c r="U254" s="22" t="n"/>
      <c r="V254" s="22" t="n"/>
      <c r="W254" s="4" t="n"/>
    </row>
    <row r="255">
      <c r="A255" s="22" t="n"/>
      <c r="B255" s="22" t="n"/>
      <c r="C255" s="22" t="n"/>
      <c r="D255" s="22">
        <f>IF(A255="","",IF(OR(N(B255)&gt;=$C$2,N(C255)&gt;=$E$2),"High",IF(OR(N(B255)&gt;0,N(C255)&gt;0),"Medium","Low")))</f>
        <v/>
      </c>
      <c r="E255" s="22" t="n"/>
      <c r="F255" s="22" t="n"/>
      <c r="G255" s="22" t="n"/>
      <c r="H255" s="22" t="n"/>
      <c r="I255" s="22" t="n"/>
      <c r="J255" s="22" t="n"/>
      <c r="K255" s="22" t="n"/>
      <c r="L255" s="22" t="n"/>
      <c r="M255" s="22">
        <f>IF(K255="Override",L255,IF(K255="Accept suggestion",F255,IF(K255="No change (same URL)",A255,"")))</f>
        <v/>
      </c>
      <c r="N255" s="22">
        <f>IF(A255="","",IF(K255="410 Gone","410",IF(K255="404","404",IF(K255="No change (same URL)","none",IF(M255="","","301")))))</f>
        <v/>
      </c>
      <c r="O255" s="22">
        <f>IF(A255="","",IFERROR(MID(A255,FIND("/",A255,FIND("//",A255)+2),2000),A255))</f>
        <v/>
      </c>
      <c r="P255" s="22">
        <f>IF(OR(O255="",N255="",N255="none",N255="404"),"",IF(N255="410","Redirect gone "&amp;O255,"Redirect "&amp;N255&amp;" "&amp;O255&amp;" "&amp;M255))</f>
        <v/>
      </c>
      <c r="Q255" s="22" t="n"/>
      <c r="R255" s="22" t="n"/>
      <c r="S255" s="22" t="n"/>
      <c r="T255" s="4">
        <f>IF(A255="","",TRIM(IF(K255="","Needs decision; ","")&amp;IF(AND(K255="Accept suggestion",F255=""),"No suggestion to accept; ","")&amp;IF(AND(K255="Override",L255=""),"Override URL missing; ","")&amp;IF(AND(K255="Accept suggestion",N(G255)&lt;$G$2),"Below your threshold; ","")&amp;IF(AND(M255&lt;&gt;"",M255=A255,K255&lt;&gt;"No change (same URL)"),"Redirects to itself; ","")&amp;IF(AND(M255&lt;&gt;"",OR(M255="/",AND(LEFT(M255,4)="http",OR((LEN(M255)-LEN(SUBSTITUTE(M255,"/","")))=2,AND((LEN(M255)-LEN(SUBSTITUTE(M255,"/","")))=3,RIGHT(M255,1)="/"))))),"Home page redirect; ","")&amp;IF(N(R255)&gt;1,"Chain; ","")&amp;IF(S255="No","Destination not 200; ","")))</f>
        <v/>
      </c>
      <c r="U255" s="22" t="n"/>
      <c r="V255" s="22" t="n"/>
      <c r="W255" s="4" t="n"/>
    </row>
    <row r="256">
      <c r="A256" s="22" t="n"/>
      <c r="B256" s="22" t="n"/>
      <c r="C256" s="22" t="n"/>
      <c r="D256" s="22">
        <f>IF(A256="","",IF(OR(N(B256)&gt;=$C$2,N(C256)&gt;=$E$2),"High",IF(OR(N(B256)&gt;0,N(C256)&gt;0),"Medium","Low")))</f>
        <v/>
      </c>
      <c r="E256" s="22" t="n"/>
      <c r="F256" s="22" t="n"/>
      <c r="G256" s="22" t="n"/>
      <c r="H256" s="22" t="n"/>
      <c r="I256" s="22" t="n"/>
      <c r="J256" s="22" t="n"/>
      <c r="K256" s="22" t="n"/>
      <c r="L256" s="22" t="n"/>
      <c r="M256" s="22">
        <f>IF(K256="Override",L256,IF(K256="Accept suggestion",F256,IF(K256="No change (same URL)",A256,"")))</f>
        <v/>
      </c>
      <c r="N256" s="22">
        <f>IF(A256="","",IF(K256="410 Gone","410",IF(K256="404","404",IF(K256="No change (same URL)","none",IF(M256="","","301")))))</f>
        <v/>
      </c>
      <c r="O256" s="22">
        <f>IF(A256="","",IFERROR(MID(A256,FIND("/",A256,FIND("//",A256)+2),2000),A256))</f>
        <v/>
      </c>
      <c r="P256" s="22">
        <f>IF(OR(O256="",N256="",N256="none",N256="404"),"",IF(N256="410","Redirect gone "&amp;O256,"Redirect "&amp;N256&amp;" "&amp;O256&amp;" "&amp;M256))</f>
        <v/>
      </c>
      <c r="Q256" s="22" t="n"/>
      <c r="R256" s="22" t="n"/>
      <c r="S256" s="22" t="n"/>
      <c r="T256" s="4">
        <f>IF(A256="","",TRIM(IF(K256="","Needs decision; ","")&amp;IF(AND(K256="Accept suggestion",F256=""),"No suggestion to accept; ","")&amp;IF(AND(K256="Override",L256=""),"Override URL missing; ","")&amp;IF(AND(K256="Accept suggestion",N(G256)&lt;$G$2),"Below your threshold; ","")&amp;IF(AND(M256&lt;&gt;"",M256=A256,K256&lt;&gt;"No change (same URL)"),"Redirects to itself; ","")&amp;IF(AND(M256&lt;&gt;"",OR(M256="/",AND(LEFT(M256,4)="http",OR((LEN(M256)-LEN(SUBSTITUTE(M256,"/","")))=2,AND((LEN(M256)-LEN(SUBSTITUTE(M256,"/","")))=3,RIGHT(M256,1)="/"))))),"Home page redirect; ","")&amp;IF(N(R256)&gt;1,"Chain; ","")&amp;IF(S256="No","Destination not 200; ","")))</f>
        <v/>
      </c>
      <c r="U256" s="22" t="n"/>
      <c r="V256" s="22" t="n"/>
      <c r="W256" s="4" t="n"/>
    </row>
    <row r="257">
      <c r="A257" s="22" t="n"/>
      <c r="B257" s="22" t="n"/>
      <c r="C257" s="22" t="n"/>
      <c r="D257" s="22">
        <f>IF(A257="","",IF(OR(N(B257)&gt;=$C$2,N(C257)&gt;=$E$2),"High",IF(OR(N(B257)&gt;0,N(C257)&gt;0),"Medium","Low")))</f>
        <v/>
      </c>
      <c r="E257" s="22" t="n"/>
      <c r="F257" s="22" t="n"/>
      <c r="G257" s="22" t="n"/>
      <c r="H257" s="22" t="n"/>
      <c r="I257" s="22" t="n"/>
      <c r="J257" s="22" t="n"/>
      <c r="K257" s="22" t="n"/>
      <c r="L257" s="22" t="n"/>
      <c r="M257" s="22">
        <f>IF(K257="Override",L257,IF(K257="Accept suggestion",F257,IF(K257="No change (same URL)",A257,"")))</f>
        <v/>
      </c>
      <c r="N257" s="22">
        <f>IF(A257="","",IF(K257="410 Gone","410",IF(K257="404","404",IF(K257="No change (same URL)","none",IF(M257="","","301")))))</f>
        <v/>
      </c>
      <c r="O257" s="22">
        <f>IF(A257="","",IFERROR(MID(A257,FIND("/",A257,FIND("//",A257)+2),2000),A257))</f>
        <v/>
      </c>
      <c r="P257" s="22">
        <f>IF(OR(O257="",N257="",N257="none",N257="404"),"",IF(N257="410","Redirect gone "&amp;O257,"Redirect "&amp;N257&amp;" "&amp;O257&amp;" "&amp;M257))</f>
        <v/>
      </c>
      <c r="Q257" s="22" t="n"/>
      <c r="R257" s="22" t="n"/>
      <c r="S257" s="22" t="n"/>
      <c r="T257" s="4">
        <f>IF(A257="","",TRIM(IF(K257="","Needs decision; ","")&amp;IF(AND(K257="Accept suggestion",F257=""),"No suggestion to accept; ","")&amp;IF(AND(K257="Override",L257=""),"Override URL missing; ","")&amp;IF(AND(K257="Accept suggestion",N(G257)&lt;$G$2),"Below your threshold; ","")&amp;IF(AND(M257&lt;&gt;"",M257=A257,K257&lt;&gt;"No change (same URL)"),"Redirects to itself; ","")&amp;IF(AND(M257&lt;&gt;"",OR(M257="/",AND(LEFT(M257,4)="http",OR((LEN(M257)-LEN(SUBSTITUTE(M257,"/","")))=2,AND((LEN(M257)-LEN(SUBSTITUTE(M257,"/","")))=3,RIGHT(M257,1)="/"))))),"Home page redirect; ","")&amp;IF(N(R257)&gt;1,"Chain; ","")&amp;IF(S257="No","Destination not 200; ","")))</f>
        <v/>
      </c>
      <c r="U257" s="22" t="n"/>
      <c r="V257" s="22" t="n"/>
      <c r="W257" s="4" t="n"/>
    </row>
    <row r="258">
      <c r="A258" s="22" t="n"/>
      <c r="B258" s="22" t="n"/>
      <c r="C258" s="22" t="n"/>
      <c r="D258" s="22">
        <f>IF(A258="","",IF(OR(N(B258)&gt;=$C$2,N(C258)&gt;=$E$2),"High",IF(OR(N(B258)&gt;0,N(C258)&gt;0),"Medium","Low")))</f>
        <v/>
      </c>
      <c r="E258" s="22" t="n"/>
      <c r="F258" s="22" t="n"/>
      <c r="G258" s="22" t="n"/>
      <c r="H258" s="22" t="n"/>
      <c r="I258" s="22" t="n"/>
      <c r="J258" s="22" t="n"/>
      <c r="K258" s="22" t="n"/>
      <c r="L258" s="22" t="n"/>
      <c r="M258" s="22">
        <f>IF(K258="Override",L258,IF(K258="Accept suggestion",F258,IF(K258="No change (same URL)",A258,"")))</f>
        <v/>
      </c>
      <c r="N258" s="22">
        <f>IF(A258="","",IF(K258="410 Gone","410",IF(K258="404","404",IF(K258="No change (same URL)","none",IF(M258="","","301")))))</f>
        <v/>
      </c>
      <c r="O258" s="22">
        <f>IF(A258="","",IFERROR(MID(A258,FIND("/",A258,FIND("//",A258)+2),2000),A258))</f>
        <v/>
      </c>
      <c r="P258" s="22">
        <f>IF(OR(O258="",N258="",N258="none",N258="404"),"",IF(N258="410","Redirect gone "&amp;O258,"Redirect "&amp;N258&amp;" "&amp;O258&amp;" "&amp;M258))</f>
        <v/>
      </c>
      <c r="Q258" s="22" t="n"/>
      <c r="R258" s="22" t="n"/>
      <c r="S258" s="22" t="n"/>
      <c r="T258" s="4">
        <f>IF(A258="","",TRIM(IF(K258="","Needs decision; ","")&amp;IF(AND(K258="Accept suggestion",F258=""),"No suggestion to accept; ","")&amp;IF(AND(K258="Override",L258=""),"Override URL missing; ","")&amp;IF(AND(K258="Accept suggestion",N(G258)&lt;$G$2),"Below your threshold; ","")&amp;IF(AND(M258&lt;&gt;"",M258=A258,K258&lt;&gt;"No change (same URL)"),"Redirects to itself; ","")&amp;IF(AND(M258&lt;&gt;"",OR(M258="/",AND(LEFT(M258,4)="http",OR((LEN(M258)-LEN(SUBSTITUTE(M258,"/","")))=2,AND((LEN(M258)-LEN(SUBSTITUTE(M258,"/","")))=3,RIGHT(M258,1)="/"))))),"Home page redirect; ","")&amp;IF(N(R258)&gt;1,"Chain; ","")&amp;IF(S258="No","Destination not 200; ","")))</f>
        <v/>
      </c>
      <c r="U258" s="22" t="n"/>
      <c r="V258" s="22" t="n"/>
      <c r="W258" s="4" t="n"/>
    </row>
    <row r="259">
      <c r="A259" s="22" t="n"/>
      <c r="B259" s="22" t="n"/>
      <c r="C259" s="22" t="n"/>
      <c r="D259" s="22">
        <f>IF(A259="","",IF(OR(N(B259)&gt;=$C$2,N(C259)&gt;=$E$2),"High",IF(OR(N(B259)&gt;0,N(C259)&gt;0),"Medium","Low")))</f>
        <v/>
      </c>
      <c r="E259" s="22" t="n"/>
      <c r="F259" s="22" t="n"/>
      <c r="G259" s="22" t="n"/>
      <c r="H259" s="22" t="n"/>
      <c r="I259" s="22" t="n"/>
      <c r="J259" s="22" t="n"/>
      <c r="K259" s="22" t="n"/>
      <c r="L259" s="22" t="n"/>
      <c r="M259" s="22">
        <f>IF(K259="Override",L259,IF(K259="Accept suggestion",F259,IF(K259="No change (same URL)",A259,"")))</f>
        <v/>
      </c>
      <c r="N259" s="22">
        <f>IF(A259="","",IF(K259="410 Gone","410",IF(K259="404","404",IF(K259="No change (same URL)","none",IF(M259="","","301")))))</f>
        <v/>
      </c>
      <c r="O259" s="22">
        <f>IF(A259="","",IFERROR(MID(A259,FIND("/",A259,FIND("//",A259)+2),2000),A259))</f>
        <v/>
      </c>
      <c r="P259" s="22">
        <f>IF(OR(O259="",N259="",N259="none",N259="404"),"",IF(N259="410","Redirect gone "&amp;O259,"Redirect "&amp;N259&amp;" "&amp;O259&amp;" "&amp;M259))</f>
        <v/>
      </c>
      <c r="Q259" s="22" t="n"/>
      <c r="R259" s="22" t="n"/>
      <c r="S259" s="22" t="n"/>
      <c r="T259" s="4">
        <f>IF(A259="","",TRIM(IF(K259="","Needs decision; ","")&amp;IF(AND(K259="Accept suggestion",F259=""),"No suggestion to accept; ","")&amp;IF(AND(K259="Override",L259=""),"Override URL missing; ","")&amp;IF(AND(K259="Accept suggestion",N(G259)&lt;$G$2),"Below your threshold; ","")&amp;IF(AND(M259&lt;&gt;"",M259=A259,K259&lt;&gt;"No change (same URL)"),"Redirects to itself; ","")&amp;IF(AND(M259&lt;&gt;"",OR(M259="/",AND(LEFT(M259,4)="http",OR((LEN(M259)-LEN(SUBSTITUTE(M259,"/","")))=2,AND((LEN(M259)-LEN(SUBSTITUTE(M259,"/","")))=3,RIGHT(M259,1)="/"))))),"Home page redirect; ","")&amp;IF(N(R259)&gt;1,"Chain; ","")&amp;IF(S259="No","Destination not 200; ","")))</f>
        <v/>
      </c>
      <c r="U259" s="22" t="n"/>
      <c r="V259" s="22" t="n"/>
      <c r="W259" s="4" t="n"/>
    </row>
    <row r="260">
      <c r="A260" s="22" t="n"/>
      <c r="B260" s="22" t="n"/>
      <c r="C260" s="22" t="n"/>
      <c r="D260" s="22">
        <f>IF(A260="","",IF(OR(N(B260)&gt;=$C$2,N(C260)&gt;=$E$2),"High",IF(OR(N(B260)&gt;0,N(C260)&gt;0),"Medium","Low")))</f>
        <v/>
      </c>
      <c r="E260" s="22" t="n"/>
      <c r="F260" s="22" t="n"/>
      <c r="G260" s="22" t="n"/>
      <c r="H260" s="22" t="n"/>
      <c r="I260" s="22" t="n"/>
      <c r="J260" s="22" t="n"/>
      <c r="K260" s="22" t="n"/>
      <c r="L260" s="22" t="n"/>
      <c r="M260" s="22">
        <f>IF(K260="Override",L260,IF(K260="Accept suggestion",F260,IF(K260="No change (same URL)",A260,"")))</f>
        <v/>
      </c>
      <c r="N260" s="22">
        <f>IF(A260="","",IF(K260="410 Gone","410",IF(K260="404","404",IF(K260="No change (same URL)","none",IF(M260="","","301")))))</f>
        <v/>
      </c>
      <c r="O260" s="22">
        <f>IF(A260="","",IFERROR(MID(A260,FIND("/",A260,FIND("//",A260)+2),2000),A260))</f>
        <v/>
      </c>
      <c r="P260" s="22">
        <f>IF(OR(O260="",N260="",N260="none",N260="404"),"",IF(N260="410","Redirect gone "&amp;O260,"Redirect "&amp;N260&amp;" "&amp;O260&amp;" "&amp;M260))</f>
        <v/>
      </c>
      <c r="Q260" s="22" t="n"/>
      <c r="R260" s="22" t="n"/>
      <c r="S260" s="22" t="n"/>
      <c r="T260" s="4">
        <f>IF(A260="","",TRIM(IF(K260="","Needs decision; ","")&amp;IF(AND(K260="Accept suggestion",F260=""),"No suggestion to accept; ","")&amp;IF(AND(K260="Override",L260=""),"Override URL missing; ","")&amp;IF(AND(K260="Accept suggestion",N(G260)&lt;$G$2),"Below your threshold; ","")&amp;IF(AND(M260&lt;&gt;"",M260=A260,K260&lt;&gt;"No change (same URL)"),"Redirects to itself; ","")&amp;IF(AND(M260&lt;&gt;"",OR(M260="/",AND(LEFT(M260,4)="http",OR((LEN(M260)-LEN(SUBSTITUTE(M260,"/","")))=2,AND((LEN(M260)-LEN(SUBSTITUTE(M260,"/","")))=3,RIGHT(M260,1)="/"))))),"Home page redirect; ","")&amp;IF(N(R260)&gt;1,"Chain; ","")&amp;IF(S260="No","Destination not 200; ","")))</f>
        <v/>
      </c>
      <c r="U260" s="22" t="n"/>
      <c r="V260" s="22" t="n"/>
      <c r="W260" s="4" t="n"/>
    </row>
    <row r="261">
      <c r="A261" s="22" t="n"/>
      <c r="B261" s="22" t="n"/>
      <c r="C261" s="22" t="n"/>
      <c r="D261" s="22">
        <f>IF(A261="","",IF(OR(N(B261)&gt;=$C$2,N(C261)&gt;=$E$2),"High",IF(OR(N(B261)&gt;0,N(C261)&gt;0),"Medium","Low")))</f>
        <v/>
      </c>
      <c r="E261" s="22" t="n"/>
      <c r="F261" s="22" t="n"/>
      <c r="G261" s="22" t="n"/>
      <c r="H261" s="22" t="n"/>
      <c r="I261" s="22" t="n"/>
      <c r="J261" s="22" t="n"/>
      <c r="K261" s="22" t="n"/>
      <c r="L261" s="22" t="n"/>
      <c r="M261" s="22">
        <f>IF(K261="Override",L261,IF(K261="Accept suggestion",F261,IF(K261="No change (same URL)",A261,"")))</f>
        <v/>
      </c>
      <c r="N261" s="22">
        <f>IF(A261="","",IF(K261="410 Gone","410",IF(K261="404","404",IF(K261="No change (same URL)","none",IF(M261="","","301")))))</f>
        <v/>
      </c>
      <c r="O261" s="22">
        <f>IF(A261="","",IFERROR(MID(A261,FIND("/",A261,FIND("//",A261)+2),2000),A261))</f>
        <v/>
      </c>
      <c r="P261" s="22">
        <f>IF(OR(O261="",N261="",N261="none",N261="404"),"",IF(N261="410","Redirect gone "&amp;O261,"Redirect "&amp;N261&amp;" "&amp;O261&amp;" "&amp;M261))</f>
        <v/>
      </c>
      <c r="Q261" s="22" t="n"/>
      <c r="R261" s="22" t="n"/>
      <c r="S261" s="22" t="n"/>
      <c r="T261" s="4">
        <f>IF(A261="","",TRIM(IF(K261="","Needs decision; ","")&amp;IF(AND(K261="Accept suggestion",F261=""),"No suggestion to accept; ","")&amp;IF(AND(K261="Override",L261=""),"Override URL missing; ","")&amp;IF(AND(K261="Accept suggestion",N(G261)&lt;$G$2),"Below your threshold; ","")&amp;IF(AND(M261&lt;&gt;"",M261=A261,K261&lt;&gt;"No change (same URL)"),"Redirects to itself; ","")&amp;IF(AND(M261&lt;&gt;"",OR(M261="/",AND(LEFT(M261,4)="http",OR((LEN(M261)-LEN(SUBSTITUTE(M261,"/","")))=2,AND((LEN(M261)-LEN(SUBSTITUTE(M261,"/","")))=3,RIGHT(M261,1)="/"))))),"Home page redirect; ","")&amp;IF(N(R261)&gt;1,"Chain; ","")&amp;IF(S261="No","Destination not 200; ","")))</f>
        <v/>
      </c>
      <c r="U261" s="22" t="n"/>
      <c r="V261" s="22" t="n"/>
      <c r="W261" s="4" t="n"/>
    </row>
    <row r="262">
      <c r="A262" s="22" t="n"/>
      <c r="B262" s="22" t="n"/>
      <c r="C262" s="22" t="n"/>
      <c r="D262" s="22">
        <f>IF(A262="","",IF(OR(N(B262)&gt;=$C$2,N(C262)&gt;=$E$2),"High",IF(OR(N(B262)&gt;0,N(C262)&gt;0),"Medium","Low")))</f>
        <v/>
      </c>
      <c r="E262" s="22" t="n"/>
      <c r="F262" s="22" t="n"/>
      <c r="G262" s="22" t="n"/>
      <c r="H262" s="22" t="n"/>
      <c r="I262" s="22" t="n"/>
      <c r="J262" s="22" t="n"/>
      <c r="K262" s="22" t="n"/>
      <c r="L262" s="22" t="n"/>
      <c r="M262" s="22">
        <f>IF(K262="Override",L262,IF(K262="Accept suggestion",F262,IF(K262="No change (same URL)",A262,"")))</f>
        <v/>
      </c>
      <c r="N262" s="22">
        <f>IF(A262="","",IF(K262="410 Gone","410",IF(K262="404","404",IF(K262="No change (same URL)","none",IF(M262="","","301")))))</f>
        <v/>
      </c>
      <c r="O262" s="22">
        <f>IF(A262="","",IFERROR(MID(A262,FIND("/",A262,FIND("//",A262)+2),2000),A262))</f>
        <v/>
      </c>
      <c r="P262" s="22">
        <f>IF(OR(O262="",N262="",N262="none",N262="404"),"",IF(N262="410","Redirect gone "&amp;O262,"Redirect "&amp;N262&amp;" "&amp;O262&amp;" "&amp;M262))</f>
        <v/>
      </c>
      <c r="Q262" s="22" t="n"/>
      <c r="R262" s="22" t="n"/>
      <c r="S262" s="22" t="n"/>
      <c r="T262" s="4">
        <f>IF(A262="","",TRIM(IF(K262="","Needs decision; ","")&amp;IF(AND(K262="Accept suggestion",F262=""),"No suggestion to accept; ","")&amp;IF(AND(K262="Override",L262=""),"Override URL missing; ","")&amp;IF(AND(K262="Accept suggestion",N(G262)&lt;$G$2),"Below your threshold; ","")&amp;IF(AND(M262&lt;&gt;"",M262=A262,K262&lt;&gt;"No change (same URL)"),"Redirects to itself; ","")&amp;IF(AND(M262&lt;&gt;"",OR(M262="/",AND(LEFT(M262,4)="http",OR((LEN(M262)-LEN(SUBSTITUTE(M262,"/","")))=2,AND((LEN(M262)-LEN(SUBSTITUTE(M262,"/","")))=3,RIGHT(M262,1)="/"))))),"Home page redirect; ","")&amp;IF(N(R262)&gt;1,"Chain; ","")&amp;IF(S262="No","Destination not 200; ","")))</f>
        <v/>
      </c>
      <c r="U262" s="22" t="n"/>
      <c r="V262" s="22" t="n"/>
      <c r="W262" s="4" t="n"/>
    </row>
    <row r="263">
      <c r="A263" s="22" t="n"/>
      <c r="B263" s="22" t="n"/>
      <c r="C263" s="22" t="n"/>
      <c r="D263" s="22">
        <f>IF(A263="","",IF(OR(N(B263)&gt;=$C$2,N(C263)&gt;=$E$2),"High",IF(OR(N(B263)&gt;0,N(C263)&gt;0),"Medium","Low")))</f>
        <v/>
      </c>
      <c r="E263" s="22" t="n"/>
      <c r="F263" s="22" t="n"/>
      <c r="G263" s="22" t="n"/>
      <c r="H263" s="22" t="n"/>
      <c r="I263" s="22" t="n"/>
      <c r="J263" s="22" t="n"/>
      <c r="K263" s="22" t="n"/>
      <c r="L263" s="22" t="n"/>
      <c r="M263" s="22">
        <f>IF(K263="Override",L263,IF(K263="Accept suggestion",F263,IF(K263="No change (same URL)",A263,"")))</f>
        <v/>
      </c>
      <c r="N263" s="22">
        <f>IF(A263="","",IF(K263="410 Gone","410",IF(K263="404","404",IF(K263="No change (same URL)","none",IF(M263="","","301")))))</f>
        <v/>
      </c>
      <c r="O263" s="22">
        <f>IF(A263="","",IFERROR(MID(A263,FIND("/",A263,FIND("//",A263)+2),2000),A263))</f>
        <v/>
      </c>
      <c r="P263" s="22">
        <f>IF(OR(O263="",N263="",N263="none",N263="404"),"",IF(N263="410","Redirect gone "&amp;O263,"Redirect "&amp;N263&amp;" "&amp;O263&amp;" "&amp;M263))</f>
        <v/>
      </c>
      <c r="Q263" s="22" t="n"/>
      <c r="R263" s="22" t="n"/>
      <c r="S263" s="22" t="n"/>
      <c r="T263" s="4">
        <f>IF(A263="","",TRIM(IF(K263="","Needs decision; ","")&amp;IF(AND(K263="Accept suggestion",F263=""),"No suggestion to accept; ","")&amp;IF(AND(K263="Override",L263=""),"Override URL missing; ","")&amp;IF(AND(K263="Accept suggestion",N(G263)&lt;$G$2),"Below your threshold; ","")&amp;IF(AND(M263&lt;&gt;"",M263=A263,K263&lt;&gt;"No change (same URL)"),"Redirects to itself; ","")&amp;IF(AND(M263&lt;&gt;"",OR(M263="/",AND(LEFT(M263,4)="http",OR((LEN(M263)-LEN(SUBSTITUTE(M263,"/","")))=2,AND((LEN(M263)-LEN(SUBSTITUTE(M263,"/","")))=3,RIGHT(M263,1)="/"))))),"Home page redirect; ","")&amp;IF(N(R263)&gt;1,"Chain; ","")&amp;IF(S263="No","Destination not 200; ","")))</f>
        <v/>
      </c>
      <c r="U263" s="22" t="n"/>
      <c r="V263" s="22" t="n"/>
      <c r="W263" s="4" t="n"/>
    </row>
    <row r="264">
      <c r="A264" s="22" t="n"/>
      <c r="B264" s="22" t="n"/>
      <c r="C264" s="22" t="n"/>
      <c r="D264" s="22">
        <f>IF(A264="","",IF(OR(N(B264)&gt;=$C$2,N(C264)&gt;=$E$2),"High",IF(OR(N(B264)&gt;0,N(C264)&gt;0),"Medium","Low")))</f>
        <v/>
      </c>
      <c r="E264" s="22" t="n"/>
      <c r="F264" s="22" t="n"/>
      <c r="G264" s="22" t="n"/>
      <c r="H264" s="22" t="n"/>
      <c r="I264" s="22" t="n"/>
      <c r="J264" s="22" t="n"/>
      <c r="K264" s="22" t="n"/>
      <c r="L264" s="22" t="n"/>
      <c r="M264" s="22">
        <f>IF(K264="Override",L264,IF(K264="Accept suggestion",F264,IF(K264="No change (same URL)",A264,"")))</f>
        <v/>
      </c>
      <c r="N264" s="22">
        <f>IF(A264="","",IF(K264="410 Gone","410",IF(K264="404","404",IF(K264="No change (same URL)","none",IF(M264="","","301")))))</f>
        <v/>
      </c>
      <c r="O264" s="22">
        <f>IF(A264="","",IFERROR(MID(A264,FIND("/",A264,FIND("//",A264)+2),2000),A264))</f>
        <v/>
      </c>
      <c r="P264" s="22">
        <f>IF(OR(O264="",N264="",N264="none",N264="404"),"",IF(N264="410","Redirect gone "&amp;O264,"Redirect "&amp;N264&amp;" "&amp;O264&amp;" "&amp;M264))</f>
        <v/>
      </c>
      <c r="Q264" s="22" t="n"/>
      <c r="R264" s="22" t="n"/>
      <c r="S264" s="22" t="n"/>
      <c r="T264" s="4">
        <f>IF(A264="","",TRIM(IF(K264="","Needs decision; ","")&amp;IF(AND(K264="Accept suggestion",F264=""),"No suggestion to accept; ","")&amp;IF(AND(K264="Override",L264=""),"Override URL missing; ","")&amp;IF(AND(K264="Accept suggestion",N(G264)&lt;$G$2),"Below your threshold; ","")&amp;IF(AND(M264&lt;&gt;"",M264=A264,K264&lt;&gt;"No change (same URL)"),"Redirects to itself; ","")&amp;IF(AND(M264&lt;&gt;"",OR(M264="/",AND(LEFT(M264,4)="http",OR((LEN(M264)-LEN(SUBSTITUTE(M264,"/","")))=2,AND((LEN(M264)-LEN(SUBSTITUTE(M264,"/","")))=3,RIGHT(M264,1)="/"))))),"Home page redirect; ","")&amp;IF(N(R264)&gt;1,"Chain; ","")&amp;IF(S264="No","Destination not 200; ","")))</f>
        <v/>
      </c>
      <c r="U264" s="22" t="n"/>
      <c r="V264" s="22" t="n"/>
      <c r="W264" s="4" t="n"/>
    </row>
    <row r="265">
      <c r="A265" s="22" t="n"/>
      <c r="B265" s="22" t="n"/>
      <c r="C265" s="22" t="n"/>
      <c r="D265" s="22">
        <f>IF(A265="","",IF(OR(N(B265)&gt;=$C$2,N(C265)&gt;=$E$2),"High",IF(OR(N(B265)&gt;0,N(C265)&gt;0),"Medium","Low")))</f>
        <v/>
      </c>
      <c r="E265" s="22" t="n"/>
      <c r="F265" s="22" t="n"/>
      <c r="G265" s="22" t="n"/>
      <c r="H265" s="22" t="n"/>
      <c r="I265" s="22" t="n"/>
      <c r="J265" s="22" t="n"/>
      <c r="K265" s="22" t="n"/>
      <c r="L265" s="22" t="n"/>
      <c r="M265" s="22">
        <f>IF(K265="Override",L265,IF(K265="Accept suggestion",F265,IF(K265="No change (same URL)",A265,"")))</f>
        <v/>
      </c>
      <c r="N265" s="22">
        <f>IF(A265="","",IF(K265="410 Gone","410",IF(K265="404","404",IF(K265="No change (same URL)","none",IF(M265="","","301")))))</f>
        <v/>
      </c>
      <c r="O265" s="22">
        <f>IF(A265="","",IFERROR(MID(A265,FIND("/",A265,FIND("//",A265)+2),2000),A265))</f>
        <v/>
      </c>
      <c r="P265" s="22">
        <f>IF(OR(O265="",N265="",N265="none",N265="404"),"",IF(N265="410","Redirect gone "&amp;O265,"Redirect "&amp;N265&amp;" "&amp;O265&amp;" "&amp;M265))</f>
        <v/>
      </c>
      <c r="Q265" s="22" t="n"/>
      <c r="R265" s="22" t="n"/>
      <c r="S265" s="22" t="n"/>
      <c r="T265" s="4">
        <f>IF(A265="","",TRIM(IF(K265="","Needs decision; ","")&amp;IF(AND(K265="Accept suggestion",F265=""),"No suggestion to accept; ","")&amp;IF(AND(K265="Override",L265=""),"Override URL missing; ","")&amp;IF(AND(K265="Accept suggestion",N(G265)&lt;$G$2),"Below your threshold; ","")&amp;IF(AND(M265&lt;&gt;"",M265=A265,K265&lt;&gt;"No change (same URL)"),"Redirects to itself; ","")&amp;IF(AND(M265&lt;&gt;"",OR(M265="/",AND(LEFT(M265,4)="http",OR((LEN(M265)-LEN(SUBSTITUTE(M265,"/","")))=2,AND((LEN(M265)-LEN(SUBSTITUTE(M265,"/","")))=3,RIGHT(M265,1)="/"))))),"Home page redirect; ","")&amp;IF(N(R265)&gt;1,"Chain; ","")&amp;IF(S265="No","Destination not 200; ","")))</f>
        <v/>
      </c>
      <c r="U265" s="22" t="n"/>
      <c r="V265" s="22" t="n"/>
      <c r="W265" s="4" t="n"/>
    </row>
    <row r="266">
      <c r="A266" s="22" t="n"/>
      <c r="B266" s="22" t="n"/>
      <c r="C266" s="22" t="n"/>
      <c r="D266" s="22">
        <f>IF(A266="","",IF(OR(N(B266)&gt;=$C$2,N(C266)&gt;=$E$2),"High",IF(OR(N(B266)&gt;0,N(C266)&gt;0),"Medium","Low")))</f>
        <v/>
      </c>
      <c r="E266" s="22" t="n"/>
      <c r="F266" s="22" t="n"/>
      <c r="G266" s="22" t="n"/>
      <c r="H266" s="22" t="n"/>
      <c r="I266" s="22" t="n"/>
      <c r="J266" s="22" t="n"/>
      <c r="K266" s="22" t="n"/>
      <c r="L266" s="22" t="n"/>
      <c r="M266" s="22">
        <f>IF(K266="Override",L266,IF(K266="Accept suggestion",F266,IF(K266="No change (same URL)",A266,"")))</f>
        <v/>
      </c>
      <c r="N266" s="22">
        <f>IF(A266="","",IF(K266="410 Gone","410",IF(K266="404","404",IF(K266="No change (same URL)","none",IF(M266="","","301")))))</f>
        <v/>
      </c>
      <c r="O266" s="22">
        <f>IF(A266="","",IFERROR(MID(A266,FIND("/",A266,FIND("//",A266)+2),2000),A266))</f>
        <v/>
      </c>
      <c r="P266" s="22">
        <f>IF(OR(O266="",N266="",N266="none",N266="404"),"",IF(N266="410","Redirect gone "&amp;O266,"Redirect "&amp;N266&amp;" "&amp;O266&amp;" "&amp;M266))</f>
        <v/>
      </c>
      <c r="Q266" s="22" t="n"/>
      <c r="R266" s="22" t="n"/>
      <c r="S266" s="22" t="n"/>
      <c r="T266" s="4">
        <f>IF(A266="","",TRIM(IF(K266="","Needs decision; ","")&amp;IF(AND(K266="Accept suggestion",F266=""),"No suggestion to accept; ","")&amp;IF(AND(K266="Override",L266=""),"Override URL missing; ","")&amp;IF(AND(K266="Accept suggestion",N(G266)&lt;$G$2),"Below your threshold; ","")&amp;IF(AND(M266&lt;&gt;"",M266=A266,K266&lt;&gt;"No change (same URL)"),"Redirects to itself; ","")&amp;IF(AND(M266&lt;&gt;"",OR(M266="/",AND(LEFT(M266,4)="http",OR((LEN(M266)-LEN(SUBSTITUTE(M266,"/","")))=2,AND((LEN(M266)-LEN(SUBSTITUTE(M266,"/","")))=3,RIGHT(M266,1)="/"))))),"Home page redirect; ","")&amp;IF(N(R266)&gt;1,"Chain; ","")&amp;IF(S266="No","Destination not 200; ","")))</f>
        <v/>
      </c>
      <c r="U266" s="22" t="n"/>
      <c r="V266" s="22" t="n"/>
      <c r="W266" s="4" t="n"/>
    </row>
    <row r="267">
      <c r="A267" s="22" t="n"/>
      <c r="B267" s="22" t="n"/>
      <c r="C267" s="22" t="n"/>
      <c r="D267" s="22">
        <f>IF(A267="","",IF(OR(N(B267)&gt;=$C$2,N(C267)&gt;=$E$2),"High",IF(OR(N(B267)&gt;0,N(C267)&gt;0),"Medium","Low")))</f>
        <v/>
      </c>
      <c r="E267" s="22" t="n"/>
      <c r="F267" s="22" t="n"/>
      <c r="G267" s="22" t="n"/>
      <c r="H267" s="22" t="n"/>
      <c r="I267" s="22" t="n"/>
      <c r="J267" s="22" t="n"/>
      <c r="K267" s="22" t="n"/>
      <c r="L267" s="22" t="n"/>
      <c r="M267" s="22">
        <f>IF(K267="Override",L267,IF(K267="Accept suggestion",F267,IF(K267="No change (same URL)",A267,"")))</f>
        <v/>
      </c>
      <c r="N267" s="22">
        <f>IF(A267="","",IF(K267="410 Gone","410",IF(K267="404","404",IF(K267="No change (same URL)","none",IF(M267="","","301")))))</f>
        <v/>
      </c>
      <c r="O267" s="22">
        <f>IF(A267="","",IFERROR(MID(A267,FIND("/",A267,FIND("//",A267)+2),2000),A267))</f>
        <v/>
      </c>
      <c r="P267" s="22">
        <f>IF(OR(O267="",N267="",N267="none",N267="404"),"",IF(N267="410","Redirect gone "&amp;O267,"Redirect "&amp;N267&amp;" "&amp;O267&amp;" "&amp;M267))</f>
        <v/>
      </c>
      <c r="Q267" s="22" t="n"/>
      <c r="R267" s="22" t="n"/>
      <c r="S267" s="22" t="n"/>
      <c r="T267" s="4">
        <f>IF(A267="","",TRIM(IF(K267="","Needs decision; ","")&amp;IF(AND(K267="Accept suggestion",F267=""),"No suggestion to accept; ","")&amp;IF(AND(K267="Override",L267=""),"Override URL missing; ","")&amp;IF(AND(K267="Accept suggestion",N(G267)&lt;$G$2),"Below your threshold; ","")&amp;IF(AND(M267&lt;&gt;"",M267=A267,K267&lt;&gt;"No change (same URL)"),"Redirects to itself; ","")&amp;IF(AND(M267&lt;&gt;"",OR(M267="/",AND(LEFT(M267,4)="http",OR((LEN(M267)-LEN(SUBSTITUTE(M267,"/","")))=2,AND((LEN(M267)-LEN(SUBSTITUTE(M267,"/","")))=3,RIGHT(M267,1)="/"))))),"Home page redirect; ","")&amp;IF(N(R267)&gt;1,"Chain; ","")&amp;IF(S267="No","Destination not 200; ","")))</f>
        <v/>
      </c>
      <c r="U267" s="22" t="n"/>
      <c r="V267" s="22" t="n"/>
      <c r="W267" s="4" t="n"/>
    </row>
    <row r="268">
      <c r="A268" s="22" t="n"/>
      <c r="B268" s="22" t="n"/>
      <c r="C268" s="22" t="n"/>
      <c r="D268" s="22">
        <f>IF(A268="","",IF(OR(N(B268)&gt;=$C$2,N(C268)&gt;=$E$2),"High",IF(OR(N(B268)&gt;0,N(C268)&gt;0),"Medium","Low")))</f>
        <v/>
      </c>
      <c r="E268" s="22" t="n"/>
      <c r="F268" s="22" t="n"/>
      <c r="G268" s="22" t="n"/>
      <c r="H268" s="22" t="n"/>
      <c r="I268" s="22" t="n"/>
      <c r="J268" s="22" t="n"/>
      <c r="K268" s="22" t="n"/>
      <c r="L268" s="22" t="n"/>
      <c r="M268" s="22">
        <f>IF(K268="Override",L268,IF(K268="Accept suggestion",F268,IF(K268="No change (same URL)",A268,"")))</f>
        <v/>
      </c>
      <c r="N268" s="22">
        <f>IF(A268="","",IF(K268="410 Gone","410",IF(K268="404","404",IF(K268="No change (same URL)","none",IF(M268="","","301")))))</f>
        <v/>
      </c>
      <c r="O268" s="22">
        <f>IF(A268="","",IFERROR(MID(A268,FIND("/",A268,FIND("//",A268)+2),2000),A268))</f>
        <v/>
      </c>
      <c r="P268" s="22">
        <f>IF(OR(O268="",N268="",N268="none",N268="404"),"",IF(N268="410","Redirect gone "&amp;O268,"Redirect "&amp;N268&amp;" "&amp;O268&amp;" "&amp;M268))</f>
        <v/>
      </c>
      <c r="Q268" s="22" t="n"/>
      <c r="R268" s="22" t="n"/>
      <c r="S268" s="22" t="n"/>
      <c r="T268" s="4">
        <f>IF(A268="","",TRIM(IF(K268="","Needs decision; ","")&amp;IF(AND(K268="Accept suggestion",F268=""),"No suggestion to accept; ","")&amp;IF(AND(K268="Override",L268=""),"Override URL missing; ","")&amp;IF(AND(K268="Accept suggestion",N(G268)&lt;$G$2),"Below your threshold; ","")&amp;IF(AND(M268&lt;&gt;"",M268=A268,K268&lt;&gt;"No change (same URL)"),"Redirects to itself; ","")&amp;IF(AND(M268&lt;&gt;"",OR(M268="/",AND(LEFT(M268,4)="http",OR((LEN(M268)-LEN(SUBSTITUTE(M268,"/","")))=2,AND((LEN(M268)-LEN(SUBSTITUTE(M268,"/","")))=3,RIGHT(M268,1)="/"))))),"Home page redirect; ","")&amp;IF(N(R268)&gt;1,"Chain; ","")&amp;IF(S268="No","Destination not 200; ","")))</f>
        <v/>
      </c>
      <c r="U268" s="22" t="n"/>
      <c r="V268" s="22" t="n"/>
      <c r="W268" s="4" t="n"/>
    </row>
    <row r="269">
      <c r="A269" s="22" t="n"/>
      <c r="B269" s="22" t="n"/>
      <c r="C269" s="22" t="n"/>
      <c r="D269" s="22">
        <f>IF(A269="","",IF(OR(N(B269)&gt;=$C$2,N(C269)&gt;=$E$2),"High",IF(OR(N(B269)&gt;0,N(C269)&gt;0),"Medium","Low")))</f>
        <v/>
      </c>
      <c r="E269" s="22" t="n"/>
      <c r="F269" s="22" t="n"/>
      <c r="G269" s="22" t="n"/>
      <c r="H269" s="22" t="n"/>
      <c r="I269" s="22" t="n"/>
      <c r="J269" s="22" t="n"/>
      <c r="K269" s="22" t="n"/>
      <c r="L269" s="22" t="n"/>
      <c r="M269" s="22">
        <f>IF(K269="Override",L269,IF(K269="Accept suggestion",F269,IF(K269="No change (same URL)",A269,"")))</f>
        <v/>
      </c>
      <c r="N269" s="22">
        <f>IF(A269="","",IF(K269="410 Gone","410",IF(K269="404","404",IF(K269="No change (same URL)","none",IF(M269="","","301")))))</f>
        <v/>
      </c>
      <c r="O269" s="22">
        <f>IF(A269="","",IFERROR(MID(A269,FIND("/",A269,FIND("//",A269)+2),2000),A269))</f>
        <v/>
      </c>
      <c r="P269" s="22">
        <f>IF(OR(O269="",N269="",N269="none",N269="404"),"",IF(N269="410","Redirect gone "&amp;O269,"Redirect "&amp;N269&amp;" "&amp;O269&amp;" "&amp;M269))</f>
        <v/>
      </c>
      <c r="Q269" s="22" t="n"/>
      <c r="R269" s="22" t="n"/>
      <c r="S269" s="22" t="n"/>
      <c r="T269" s="4">
        <f>IF(A269="","",TRIM(IF(K269="","Needs decision; ","")&amp;IF(AND(K269="Accept suggestion",F269=""),"No suggestion to accept; ","")&amp;IF(AND(K269="Override",L269=""),"Override URL missing; ","")&amp;IF(AND(K269="Accept suggestion",N(G269)&lt;$G$2),"Below your threshold; ","")&amp;IF(AND(M269&lt;&gt;"",M269=A269,K269&lt;&gt;"No change (same URL)"),"Redirects to itself; ","")&amp;IF(AND(M269&lt;&gt;"",OR(M269="/",AND(LEFT(M269,4)="http",OR((LEN(M269)-LEN(SUBSTITUTE(M269,"/","")))=2,AND((LEN(M269)-LEN(SUBSTITUTE(M269,"/","")))=3,RIGHT(M269,1)="/"))))),"Home page redirect; ","")&amp;IF(N(R269)&gt;1,"Chain; ","")&amp;IF(S269="No","Destination not 200; ","")))</f>
        <v/>
      </c>
      <c r="U269" s="22" t="n"/>
      <c r="V269" s="22" t="n"/>
      <c r="W269" s="4" t="n"/>
    </row>
    <row r="270">
      <c r="A270" s="22" t="n"/>
      <c r="B270" s="22" t="n"/>
      <c r="C270" s="22" t="n"/>
      <c r="D270" s="22">
        <f>IF(A270="","",IF(OR(N(B270)&gt;=$C$2,N(C270)&gt;=$E$2),"High",IF(OR(N(B270)&gt;0,N(C270)&gt;0),"Medium","Low")))</f>
        <v/>
      </c>
      <c r="E270" s="22" t="n"/>
      <c r="F270" s="22" t="n"/>
      <c r="G270" s="22" t="n"/>
      <c r="H270" s="22" t="n"/>
      <c r="I270" s="22" t="n"/>
      <c r="J270" s="22" t="n"/>
      <c r="K270" s="22" t="n"/>
      <c r="L270" s="22" t="n"/>
      <c r="M270" s="22">
        <f>IF(K270="Override",L270,IF(K270="Accept suggestion",F270,IF(K270="No change (same URL)",A270,"")))</f>
        <v/>
      </c>
      <c r="N270" s="22">
        <f>IF(A270="","",IF(K270="410 Gone","410",IF(K270="404","404",IF(K270="No change (same URL)","none",IF(M270="","","301")))))</f>
        <v/>
      </c>
      <c r="O270" s="22">
        <f>IF(A270="","",IFERROR(MID(A270,FIND("/",A270,FIND("//",A270)+2),2000),A270))</f>
        <v/>
      </c>
      <c r="P270" s="22">
        <f>IF(OR(O270="",N270="",N270="none",N270="404"),"",IF(N270="410","Redirect gone "&amp;O270,"Redirect "&amp;N270&amp;" "&amp;O270&amp;" "&amp;M270))</f>
        <v/>
      </c>
      <c r="Q270" s="22" t="n"/>
      <c r="R270" s="22" t="n"/>
      <c r="S270" s="22" t="n"/>
      <c r="T270" s="4">
        <f>IF(A270="","",TRIM(IF(K270="","Needs decision; ","")&amp;IF(AND(K270="Accept suggestion",F270=""),"No suggestion to accept; ","")&amp;IF(AND(K270="Override",L270=""),"Override URL missing; ","")&amp;IF(AND(K270="Accept suggestion",N(G270)&lt;$G$2),"Below your threshold; ","")&amp;IF(AND(M270&lt;&gt;"",M270=A270,K270&lt;&gt;"No change (same URL)"),"Redirects to itself; ","")&amp;IF(AND(M270&lt;&gt;"",OR(M270="/",AND(LEFT(M270,4)="http",OR((LEN(M270)-LEN(SUBSTITUTE(M270,"/","")))=2,AND((LEN(M270)-LEN(SUBSTITUTE(M270,"/","")))=3,RIGHT(M270,1)="/"))))),"Home page redirect; ","")&amp;IF(N(R270)&gt;1,"Chain; ","")&amp;IF(S270="No","Destination not 200; ","")))</f>
        <v/>
      </c>
      <c r="U270" s="22" t="n"/>
      <c r="V270" s="22" t="n"/>
      <c r="W270" s="4" t="n"/>
    </row>
    <row r="271">
      <c r="A271" s="22" t="n"/>
      <c r="B271" s="22" t="n"/>
      <c r="C271" s="22" t="n"/>
      <c r="D271" s="22">
        <f>IF(A271="","",IF(OR(N(B271)&gt;=$C$2,N(C271)&gt;=$E$2),"High",IF(OR(N(B271)&gt;0,N(C271)&gt;0),"Medium","Low")))</f>
        <v/>
      </c>
      <c r="E271" s="22" t="n"/>
      <c r="F271" s="22" t="n"/>
      <c r="G271" s="22" t="n"/>
      <c r="H271" s="22" t="n"/>
      <c r="I271" s="22" t="n"/>
      <c r="J271" s="22" t="n"/>
      <c r="K271" s="22" t="n"/>
      <c r="L271" s="22" t="n"/>
      <c r="M271" s="22">
        <f>IF(K271="Override",L271,IF(K271="Accept suggestion",F271,IF(K271="No change (same URL)",A271,"")))</f>
        <v/>
      </c>
      <c r="N271" s="22">
        <f>IF(A271="","",IF(K271="410 Gone","410",IF(K271="404","404",IF(K271="No change (same URL)","none",IF(M271="","","301")))))</f>
        <v/>
      </c>
      <c r="O271" s="22">
        <f>IF(A271="","",IFERROR(MID(A271,FIND("/",A271,FIND("//",A271)+2),2000),A271))</f>
        <v/>
      </c>
      <c r="P271" s="22">
        <f>IF(OR(O271="",N271="",N271="none",N271="404"),"",IF(N271="410","Redirect gone "&amp;O271,"Redirect "&amp;N271&amp;" "&amp;O271&amp;" "&amp;M271))</f>
        <v/>
      </c>
      <c r="Q271" s="22" t="n"/>
      <c r="R271" s="22" t="n"/>
      <c r="S271" s="22" t="n"/>
      <c r="T271" s="4">
        <f>IF(A271="","",TRIM(IF(K271="","Needs decision; ","")&amp;IF(AND(K271="Accept suggestion",F271=""),"No suggestion to accept; ","")&amp;IF(AND(K271="Override",L271=""),"Override URL missing; ","")&amp;IF(AND(K271="Accept suggestion",N(G271)&lt;$G$2),"Below your threshold; ","")&amp;IF(AND(M271&lt;&gt;"",M271=A271,K271&lt;&gt;"No change (same URL)"),"Redirects to itself; ","")&amp;IF(AND(M271&lt;&gt;"",OR(M271="/",AND(LEFT(M271,4)="http",OR((LEN(M271)-LEN(SUBSTITUTE(M271,"/","")))=2,AND((LEN(M271)-LEN(SUBSTITUTE(M271,"/","")))=3,RIGHT(M271,1)="/"))))),"Home page redirect; ","")&amp;IF(N(R271)&gt;1,"Chain; ","")&amp;IF(S271="No","Destination not 200; ","")))</f>
        <v/>
      </c>
      <c r="U271" s="22" t="n"/>
      <c r="V271" s="22" t="n"/>
      <c r="W271" s="4" t="n"/>
    </row>
    <row r="272">
      <c r="A272" s="22" t="n"/>
      <c r="B272" s="22" t="n"/>
      <c r="C272" s="22" t="n"/>
      <c r="D272" s="22">
        <f>IF(A272="","",IF(OR(N(B272)&gt;=$C$2,N(C272)&gt;=$E$2),"High",IF(OR(N(B272)&gt;0,N(C272)&gt;0),"Medium","Low")))</f>
        <v/>
      </c>
      <c r="E272" s="22" t="n"/>
      <c r="F272" s="22" t="n"/>
      <c r="G272" s="22" t="n"/>
      <c r="H272" s="22" t="n"/>
      <c r="I272" s="22" t="n"/>
      <c r="J272" s="22" t="n"/>
      <c r="K272" s="22" t="n"/>
      <c r="L272" s="22" t="n"/>
      <c r="M272" s="22">
        <f>IF(K272="Override",L272,IF(K272="Accept suggestion",F272,IF(K272="No change (same URL)",A272,"")))</f>
        <v/>
      </c>
      <c r="N272" s="22">
        <f>IF(A272="","",IF(K272="410 Gone","410",IF(K272="404","404",IF(K272="No change (same URL)","none",IF(M272="","","301")))))</f>
        <v/>
      </c>
      <c r="O272" s="22">
        <f>IF(A272="","",IFERROR(MID(A272,FIND("/",A272,FIND("//",A272)+2),2000),A272))</f>
        <v/>
      </c>
      <c r="P272" s="22">
        <f>IF(OR(O272="",N272="",N272="none",N272="404"),"",IF(N272="410","Redirect gone "&amp;O272,"Redirect "&amp;N272&amp;" "&amp;O272&amp;" "&amp;M272))</f>
        <v/>
      </c>
      <c r="Q272" s="22" t="n"/>
      <c r="R272" s="22" t="n"/>
      <c r="S272" s="22" t="n"/>
      <c r="T272" s="4">
        <f>IF(A272="","",TRIM(IF(K272="","Needs decision; ","")&amp;IF(AND(K272="Accept suggestion",F272=""),"No suggestion to accept; ","")&amp;IF(AND(K272="Override",L272=""),"Override URL missing; ","")&amp;IF(AND(K272="Accept suggestion",N(G272)&lt;$G$2),"Below your threshold; ","")&amp;IF(AND(M272&lt;&gt;"",M272=A272,K272&lt;&gt;"No change (same URL)"),"Redirects to itself; ","")&amp;IF(AND(M272&lt;&gt;"",OR(M272="/",AND(LEFT(M272,4)="http",OR((LEN(M272)-LEN(SUBSTITUTE(M272,"/","")))=2,AND((LEN(M272)-LEN(SUBSTITUTE(M272,"/","")))=3,RIGHT(M272,1)="/"))))),"Home page redirect; ","")&amp;IF(N(R272)&gt;1,"Chain; ","")&amp;IF(S272="No","Destination not 200; ","")))</f>
        <v/>
      </c>
      <c r="U272" s="22" t="n"/>
      <c r="V272" s="22" t="n"/>
      <c r="W272" s="4" t="n"/>
    </row>
    <row r="273">
      <c r="A273" s="22" t="n"/>
      <c r="B273" s="22" t="n"/>
      <c r="C273" s="22" t="n"/>
      <c r="D273" s="22">
        <f>IF(A273="","",IF(OR(N(B273)&gt;=$C$2,N(C273)&gt;=$E$2),"High",IF(OR(N(B273)&gt;0,N(C273)&gt;0),"Medium","Low")))</f>
        <v/>
      </c>
      <c r="E273" s="22" t="n"/>
      <c r="F273" s="22" t="n"/>
      <c r="G273" s="22" t="n"/>
      <c r="H273" s="22" t="n"/>
      <c r="I273" s="22" t="n"/>
      <c r="J273" s="22" t="n"/>
      <c r="K273" s="22" t="n"/>
      <c r="L273" s="22" t="n"/>
      <c r="M273" s="22">
        <f>IF(K273="Override",L273,IF(K273="Accept suggestion",F273,IF(K273="No change (same URL)",A273,"")))</f>
        <v/>
      </c>
      <c r="N273" s="22">
        <f>IF(A273="","",IF(K273="410 Gone","410",IF(K273="404","404",IF(K273="No change (same URL)","none",IF(M273="","","301")))))</f>
        <v/>
      </c>
      <c r="O273" s="22">
        <f>IF(A273="","",IFERROR(MID(A273,FIND("/",A273,FIND("//",A273)+2),2000),A273))</f>
        <v/>
      </c>
      <c r="P273" s="22">
        <f>IF(OR(O273="",N273="",N273="none",N273="404"),"",IF(N273="410","Redirect gone "&amp;O273,"Redirect "&amp;N273&amp;" "&amp;O273&amp;" "&amp;M273))</f>
        <v/>
      </c>
      <c r="Q273" s="22" t="n"/>
      <c r="R273" s="22" t="n"/>
      <c r="S273" s="22" t="n"/>
      <c r="T273" s="4">
        <f>IF(A273="","",TRIM(IF(K273="","Needs decision; ","")&amp;IF(AND(K273="Accept suggestion",F273=""),"No suggestion to accept; ","")&amp;IF(AND(K273="Override",L273=""),"Override URL missing; ","")&amp;IF(AND(K273="Accept suggestion",N(G273)&lt;$G$2),"Below your threshold; ","")&amp;IF(AND(M273&lt;&gt;"",M273=A273,K273&lt;&gt;"No change (same URL)"),"Redirects to itself; ","")&amp;IF(AND(M273&lt;&gt;"",OR(M273="/",AND(LEFT(M273,4)="http",OR((LEN(M273)-LEN(SUBSTITUTE(M273,"/","")))=2,AND((LEN(M273)-LEN(SUBSTITUTE(M273,"/","")))=3,RIGHT(M273,1)="/"))))),"Home page redirect; ","")&amp;IF(N(R273)&gt;1,"Chain; ","")&amp;IF(S273="No","Destination not 200; ","")))</f>
        <v/>
      </c>
      <c r="U273" s="22" t="n"/>
      <c r="V273" s="22" t="n"/>
      <c r="W273" s="4" t="n"/>
    </row>
    <row r="274">
      <c r="A274" s="22" t="n"/>
      <c r="B274" s="22" t="n"/>
      <c r="C274" s="22" t="n"/>
      <c r="D274" s="22">
        <f>IF(A274="","",IF(OR(N(B274)&gt;=$C$2,N(C274)&gt;=$E$2),"High",IF(OR(N(B274)&gt;0,N(C274)&gt;0),"Medium","Low")))</f>
        <v/>
      </c>
      <c r="E274" s="22" t="n"/>
      <c r="F274" s="22" t="n"/>
      <c r="G274" s="22" t="n"/>
      <c r="H274" s="22" t="n"/>
      <c r="I274" s="22" t="n"/>
      <c r="J274" s="22" t="n"/>
      <c r="K274" s="22" t="n"/>
      <c r="L274" s="22" t="n"/>
      <c r="M274" s="22">
        <f>IF(K274="Override",L274,IF(K274="Accept suggestion",F274,IF(K274="No change (same URL)",A274,"")))</f>
        <v/>
      </c>
      <c r="N274" s="22">
        <f>IF(A274="","",IF(K274="410 Gone","410",IF(K274="404","404",IF(K274="No change (same URL)","none",IF(M274="","","301")))))</f>
        <v/>
      </c>
      <c r="O274" s="22">
        <f>IF(A274="","",IFERROR(MID(A274,FIND("/",A274,FIND("//",A274)+2),2000),A274))</f>
        <v/>
      </c>
      <c r="P274" s="22">
        <f>IF(OR(O274="",N274="",N274="none",N274="404"),"",IF(N274="410","Redirect gone "&amp;O274,"Redirect "&amp;N274&amp;" "&amp;O274&amp;" "&amp;M274))</f>
        <v/>
      </c>
      <c r="Q274" s="22" t="n"/>
      <c r="R274" s="22" t="n"/>
      <c r="S274" s="22" t="n"/>
      <c r="T274" s="4">
        <f>IF(A274="","",TRIM(IF(K274="","Needs decision; ","")&amp;IF(AND(K274="Accept suggestion",F274=""),"No suggestion to accept; ","")&amp;IF(AND(K274="Override",L274=""),"Override URL missing; ","")&amp;IF(AND(K274="Accept suggestion",N(G274)&lt;$G$2),"Below your threshold; ","")&amp;IF(AND(M274&lt;&gt;"",M274=A274,K274&lt;&gt;"No change (same URL)"),"Redirects to itself; ","")&amp;IF(AND(M274&lt;&gt;"",OR(M274="/",AND(LEFT(M274,4)="http",OR((LEN(M274)-LEN(SUBSTITUTE(M274,"/","")))=2,AND((LEN(M274)-LEN(SUBSTITUTE(M274,"/","")))=3,RIGHT(M274,1)="/"))))),"Home page redirect; ","")&amp;IF(N(R274)&gt;1,"Chain; ","")&amp;IF(S274="No","Destination not 200; ","")))</f>
        <v/>
      </c>
      <c r="U274" s="22" t="n"/>
      <c r="V274" s="22" t="n"/>
      <c r="W274" s="4" t="n"/>
    </row>
    <row r="275">
      <c r="A275" s="22" t="n"/>
      <c r="B275" s="22" t="n"/>
      <c r="C275" s="22" t="n"/>
      <c r="D275" s="22">
        <f>IF(A275="","",IF(OR(N(B275)&gt;=$C$2,N(C275)&gt;=$E$2),"High",IF(OR(N(B275)&gt;0,N(C275)&gt;0),"Medium","Low")))</f>
        <v/>
      </c>
      <c r="E275" s="22" t="n"/>
      <c r="F275" s="22" t="n"/>
      <c r="G275" s="22" t="n"/>
      <c r="H275" s="22" t="n"/>
      <c r="I275" s="22" t="n"/>
      <c r="J275" s="22" t="n"/>
      <c r="K275" s="22" t="n"/>
      <c r="L275" s="22" t="n"/>
      <c r="M275" s="22">
        <f>IF(K275="Override",L275,IF(K275="Accept suggestion",F275,IF(K275="No change (same URL)",A275,"")))</f>
        <v/>
      </c>
      <c r="N275" s="22">
        <f>IF(A275="","",IF(K275="410 Gone","410",IF(K275="404","404",IF(K275="No change (same URL)","none",IF(M275="","","301")))))</f>
        <v/>
      </c>
      <c r="O275" s="22">
        <f>IF(A275="","",IFERROR(MID(A275,FIND("/",A275,FIND("//",A275)+2),2000),A275))</f>
        <v/>
      </c>
      <c r="P275" s="22">
        <f>IF(OR(O275="",N275="",N275="none",N275="404"),"",IF(N275="410","Redirect gone "&amp;O275,"Redirect "&amp;N275&amp;" "&amp;O275&amp;" "&amp;M275))</f>
        <v/>
      </c>
      <c r="Q275" s="22" t="n"/>
      <c r="R275" s="22" t="n"/>
      <c r="S275" s="22" t="n"/>
      <c r="T275" s="4">
        <f>IF(A275="","",TRIM(IF(K275="","Needs decision; ","")&amp;IF(AND(K275="Accept suggestion",F275=""),"No suggestion to accept; ","")&amp;IF(AND(K275="Override",L275=""),"Override URL missing; ","")&amp;IF(AND(K275="Accept suggestion",N(G275)&lt;$G$2),"Below your threshold; ","")&amp;IF(AND(M275&lt;&gt;"",M275=A275,K275&lt;&gt;"No change (same URL)"),"Redirects to itself; ","")&amp;IF(AND(M275&lt;&gt;"",OR(M275="/",AND(LEFT(M275,4)="http",OR((LEN(M275)-LEN(SUBSTITUTE(M275,"/","")))=2,AND((LEN(M275)-LEN(SUBSTITUTE(M275,"/","")))=3,RIGHT(M275,1)="/"))))),"Home page redirect; ","")&amp;IF(N(R275)&gt;1,"Chain; ","")&amp;IF(S275="No","Destination not 200; ","")))</f>
        <v/>
      </c>
      <c r="U275" s="22" t="n"/>
      <c r="V275" s="22" t="n"/>
      <c r="W275" s="4" t="n"/>
    </row>
    <row r="276">
      <c r="A276" s="22" t="n"/>
      <c r="B276" s="22" t="n"/>
      <c r="C276" s="22" t="n"/>
      <c r="D276" s="22">
        <f>IF(A276="","",IF(OR(N(B276)&gt;=$C$2,N(C276)&gt;=$E$2),"High",IF(OR(N(B276)&gt;0,N(C276)&gt;0),"Medium","Low")))</f>
        <v/>
      </c>
      <c r="E276" s="22" t="n"/>
      <c r="F276" s="22" t="n"/>
      <c r="G276" s="22" t="n"/>
      <c r="H276" s="22" t="n"/>
      <c r="I276" s="22" t="n"/>
      <c r="J276" s="22" t="n"/>
      <c r="K276" s="22" t="n"/>
      <c r="L276" s="22" t="n"/>
      <c r="M276" s="22">
        <f>IF(K276="Override",L276,IF(K276="Accept suggestion",F276,IF(K276="No change (same URL)",A276,"")))</f>
        <v/>
      </c>
      <c r="N276" s="22">
        <f>IF(A276="","",IF(K276="410 Gone","410",IF(K276="404","404",IF(K276="No change (same URL)","none",IF(M276="","","301")))))</f>
        <v/>
      </c>
      <c r="O276" s="22">
        <f>IF(A276="","",IFERROR(MID(A276,FIND("/",A276,FIND("//",A276)+2),2000),A276))</f>
        <v/>
      </c>
      <c r="P276" s="22">
        <f>IF(OR(O276="",N276="",N276="none",N276="404"),"",IF(N276="410","Redirect gone "&amp;O276,"Redirect "&amp;N276&amp;" "&amp;O276&amp;" "&amp;M276))</f>
        <v/>
      </c>
      <c r="Q276" s="22" t="n"/>
      <c r="R276" s="22" t="n"/>
      <c r="S276" s="22" t="n"/>
      <c r="T276" s="4">
        <f>IF(A276="","",TRIM(IF(K276="","Needs decision; ","")&amp;IF(AND(K276="Accept suggestion",F276=""),"No suggestion to accept; ","")&amp;IF(AND(K276="Override",L276=""),"Override URL missing; ","")&amp;IF(AND(K276="Accept suggestion",N(G276)&lt;$G$2),"Below your threshold; ","")&amp;IF(AND(M276&lt;&gt;"",M276=A276,K276&lt;&gt;"No change (same URL)"),"Redirects to itself; ","")&amp;IF(AND(M276&lt;&gt;"",OR(M276="/",AND(LEFT(M276,4)="http",OR((LEN(M276)-LEN(SUBSTITUTE(M276,"/","")))=2,AND((LEN(M276)-LEN(SUBSTITUTE(M276,"/","")))=3,RIGHT(M276,1)="/"))))),"Home page redirect; ","")&amp;IF(N(R276)&gt;1,"Chain; ","")&amp;IF(S276="No","Destination not 200; ","")))</f>
        <v/>
      </c>
      <c r="U276" s="22" t="n"/>
      <c r="V276" s="22" t="n"/>
      <c r="W276" s="4" t="n"/>
    </row>
    <row r="277">
      <c r="A277" s="22" t="n"/>
      <c r="B277" s="22" t="n"/>
      <c r="C277" s="22" t="n"/>
      <c r="D277" s="22">
        <f>IF(A277="","",IF(OR(N(B277)&gt;=$C$2,N(C277)&gt;=$E$2),"High",IF(OR(N(B277)&gt;0,N(C277)&gt;0),"Medium","Low")))</f>
        <v/>
      </c>
      <c r="E277" s="22" t="n"/>
      <c r="F277" s="22" t="n"/>
      <c r="G277" s="22" t="n"/>
      <c r="H277" s="22" t="n"/>
      <c r="I277" s="22" t="n"/>
      <c r="J277" s="22" t="n"/>
      <c r="K277" s="22" t="n"/>
      <c r="L277" s="22" t="n"/>
      <c r="M277" s="22">
        <f>IF(K277="Override",L277,IF(K277="Accept suggestion",F277,IF(K277="No change (same URL)",A277,"")))</f>
        <v/>
      </c>
      <c r="N277" s="22">
        <f>IF(A277="","",IF(K277="410 Gone","410",IF(K277="404","404",IF(K277="No change (same URL)","none",IF(M277="","","301")))))</f>
        <v/>
      </c>
      <c r="O277" s="22">
        <f>IF(A277="","",IFERROR(MID(A277,FIND("/",A277,FIND("//",A277)+2),2000),A277))</f>
        <v/>
      </c>
      <c r="P277" s="22">
        <f>IF(OR(O277="",N277="",N277="none",N277="404"),"",IF(N277="410","Redirect gone "&amp;O277,"Redirect "&amp;N277&amp;" "&amp;O277&amp;" "&amp;M277))</f>
        <v/>
      </c>
      <c r="Q277" s="22" t="n"/>
      <c r="R277" s="22" t="n"/>
      <c r="S277" s="22" t="n"/>
      <c r="T277" s="4">
        <f>IF(A277="","",TRIM(IF(K277="","Needs decision; ","")&amp;IF(AND(K277="Accept suggestion",F277=""),"No suggestion to accept; ","")&amp;IF(AND(K277="Override",L277=""),"Override URL missing; ","")&amp;IF(AND(K277="Accept suggestion",N(G277)&lt;$G$2),"Below your threshold; ","")&amp;IF(AND(M277&lt;&gt;"",M277=A277,K277&lt;&gt;"No change (same URL)"),"Redirects to itself; ","")&amp;IF(AND(M277&lt;&gt;"",OR(M277="/",AND(LEFT(M277,4)="http",OR((LEN(M277)-LEN(SUBSTITUTE(M277,"/","")))=2,AND((LEN(M277)-LEN(SUBSTITUTE(M277,"/","")))=3,RIGHT(M277,1)="/"))))),"Home page redirect; ","")&amp;IF(N(R277)&gt;1,"Chain; ","")&amp;IF(S277="No","Destination not 200; ","")))</f>
        <v/>
      </c>
      <c r="U277" s="22" t="n"/>
      <c r="V277" s="22" t="n"/>
      <c r="W277" s="4" t="n"/>
    </row>
    <row r="278">
      <c r="A278" s="22" t="n"/>
      <c r="B278" s="22" t="n"/>
      <c r="C278" s="22" t="n"/>
      <c r="D278" s="22">
        <f>IF(A278="","",IF(OR(N(B278)&gt;=$C$2,N(C278)&gt;=$E$2),"High",IF(OR(N(B278)&gt;0,N(C278)&gt;0),"Medium","Low")))</f>
        <v/>
      </c>
      <c r="E278" s="22" t="n"/>
      <c r="F278" s="22" t="n"/>
      <c r="G278" s="22" t="n"/>
      <c r="H278" s="22" t="n"/>
      <c r="I278" s="22" t="n"/>
      <c r="J278" s="22" t="n"/>
      <c r="K278" s="22" t="n"/>
      <c r="L278" s="22" t="n"/>
      <c r="M278" s="22">
        <f>IF(K278="Override",L278,IF(K278="Accept suggestion",F278,IF(K278="No change (same URL)",A278,"")))</f>
        <v/>
      </c>
      <c r="N278" s="22">
        <f>IF(A278="","",IF(K278="410 Gone","410",IF(K278="404","404",IF(K278="No change (same URL)","none",IF(M278="","","301")))))</f>
        <v/>
      </c>
      <c r="O278" s="22">
        <f>IF(A278="","",IFERROR(MID(A278,FIND("/",A278,FIND("//",A278)+2),2000),A278))</f>
        <v/>
      </c>
      <c r="P278" s="22">
        <f>IF(OR(O278="",N278="",N278="none",N278="404"),"",IF(N278="410","Redirect gone "&amp;O278,"Redirect "&amp;N278&amp;" "&amp;O278&amp;" "&amp;M278))</f>
        <v/>
      </c>
      <c r="Q278" s="22" t="n"/>
      <c r="R278" s="22" t="n"/>
      <c r="S278" s="22" t="n"/>
      <c r="T278" s="4">
        <f>IF(A278="","",TRIM(IF(K278="","Needs decision; ","")&amp;IF(AND(K278="Accept suggestion",F278=""),"No suggestion to accept; ","")&amp;IF(AND(K278="Override",L278=""),"Override URL missing; ","")&amp;IF(AND(K278="Accept suggestion",N(G278)&lt;$G$2),"Below your threshold; ","")&amp;IF(AND(M278&lt;&gt;"",M278=A278,K278&lt;&gt;"No change (same URL)"),"Redirects to itself; ","")&amp;IF(AND(M278&lt;&gt;"",OR(M278="/",AND(LEFT(M278,4)="http",OR((LEN(M278)-LEN(SUBSTITUTE(M278,"/","")))=2,AND((LEN(M278)-LEN(SUBSTITUTE(M278,"/","")))=3,RIGHT(M278,1)="/"))))),"Home page redirect; ","")&amp;IF(N(R278)&gt;1,"Chain; ","")&amp;IF(S278="No","Destination not 200; ","")))</f>
        <v/>
      </c>
      <c r="U278" s="22" t="n"/>
      <c r="V278" s="22" t="n"/>
      <c r="W278" s="4" t="n"/>
    </row>
    <row r="279">
      <c r="A279" s="22" t="n"/>
      <c r="B279" s="22" t="n"/>
      <c r="C279" s="22" t="n"/>
      <c r="D279" s="22">
        <f>IF(A279="","",IF(OR(N(B279)&gt;=$C$2,N(C279)&gt;=$E$2),"High",IF(OR(N(B279)&gt;0,N(C279)&gt;0),"Medium","Low")))</f>
        <v/>
      </c>
      <c r="E279" s="22" t="n"/>
      <c r="F279" s="22" t="n"/>
      <c r="G279" s="22" t="n"/>
      <c r="H279" s="22" t="n"/>
      <c r="I279" s="22" t="n"/>
      <c r="J279" s="22" t="n"/>
      <c r="K279" s="22" t="n"/>
      <c r="L279" s="22" t="n"/>
      <c r="M279" s="22">
        <f>IF(K279="Override",L279,IF(K279="Accept suggestion",F279,IF(K279="No change (same URL)",A279,"")))</f>
        <v/>
      </c>
      <c r="N279" s="22">
        <f>IF(A279="","",IF(K279="410 Gone","410",IF(K279="404","404",IF(K279="No change (same URL)","none",IF(M279="","","301")))))</f>
        <v/>
      </c>
      <c r="O279" s="22">
        <f>IF(A279="","",IFERROR(MID(A279,FIND("/",A279,FIND("//",A279)+2),2000),A279))</f>
        <v/>
      </c>
      <c r="P279" s="22">
        <f>IF(OR(O279="",N279="",N279="none",N279="404"),"",IF(N279="410","Redirect gone "&amp;O279,"Redirect "&amp;N279&amp;" "&amp;O279&amp;" "&amp;M279))</f>
        <v/>
      </c>
      <c r="Q279" s="22" t="n"/>
      <c r="R279" s="22" t="n"/>
      <c r="S279" s="22" t="n"/>
      <c r="T279" s="4">
        <f>IF(A279="","",TRIM(IF(K279="","Needs decision; ","")&amp;IF(AND(K279="Accept suggestion",F279=""),"No suggestion to accept; ","")&amp;IF(AND(K279="Override",L279=""),"Override URL missing; ","")&amp;IF(AND(K279="Accept suggestion",N(G279)&lt;$G$2),"Below your threshold; ","")&amp;IF(AND(M279&lt;&gt;"",M279=A279,K279&lt;&gt;"No change (same URL)"),"Redirects to itself; ","")&amp;IF(AND(M279&lt;&gt;"",OR(M279="/",AND(LEFT(M279,4)="http",OR((LEN(M279)-LEN(SUBSTITUTE(M279,"/","")))=2,AND((LEN(M279)-LEN(SUBSTITUTE(M279,"/","")))=3,RIGHT(M279,1)="/"))))),"Home page redirect; ","")&amp;IF(N(R279)&gt;1,"Chain; ","")&amp;IF(S279="No","Destination not 200; ","")))</f>
        <v/>
      </c>
      <c r="U279" s="22" t="n"/>
      <c r="V279" s="22" t="n"/>
      <c r="W279" s="4" t="n"/>
    </row>
    <row r="280">
      <c r="A280" s="22" t="n"/>
      <c r="B280" s="22" t="n"/>
      <c r="C280" s="22" t="n"/>
      <c r="D280" s="22">
        <f>IF(A280="","",IF(OR(N(B280)&gt;=$C$2,N(C280)&gt;=$E$2),"High",IF(OR(N(B280)&gt;0,N(C280)&gt;0),"Medium","Low")))</f>
        <v/>
      </c>
      <c r="E280" s="22" t="n"/>
      <c r="F280" s="22" t="n"/>
      <c r="G280" s="22" t="n"/>
      <c r="H280" s="22" t="n"/>
      <c r="I280" s="22" t="n"/>
      <c r="J280" s="22" t="n"/>
      <c r="K280" s="22" t="n"/>
      <c r="L280" s="22" t="n"/>
      <c r="M280" s="22">
        <f>IF(K280="Override",L280,IF(K280="Accept suggestion",F280,IF(K280="No change (same URL)",A280,"")))</f>
        <v/>
      </c>
      <c r="N280" s="22">
        <f>IF(A280="","",IF(K280="410 Gone","410",IF(K280="404","404",IF(K280="No change (same URL)","none",IF(M280="","","301")))))</f>
        <v/>
      </c>
      <c r="O280" s="22">
        <f>IF(A280="","",IFERROR(MID(A280,FIND("/",A280,FIND("//",A280)+2),2000),A280))</f>
        <v/>
      </c>
      <c r="P280" s="22">
        <f>IF(OR(O280="",N280="",N280="none",N280="404"),"",IF(N280="410","Redirect gone "&amp;O280,"Redirect "&amp;N280&amp;" "&amp;O280&amp;" "&amp;M280))</f>
        <v/>
      </c>
      <c r="Q280" s="22" t="n"/>
      <c r="R280" s="22" t="n"/>
      <c r="S280" s="22" t="n"/>
      <c r="T280" s="4">
        <f>IF(A280="","",TRIM(IF(K280="","Needs decision; ","")&amp;IF(AND(K280="Accept suggestion",F280=""),"No suggestion to accept; ","")&amp;IF(AND(K280="Override",L280=""),"Override URL missing; ","")&amp;IF(AND(K280="Accept suggestion",N(G280)&lt;$G$2),"Below your threshold; ","")&amp;IF(AND(M280&lt;&gt;"",M280=A280,K280&lt;&gt;"No change (same URL)"),"Redirects to itself; ","")&amp;IF(AND(M280&lt;&gt;"",OR(M280="/",AND(LEFT(M280,4)="http",OR((LEN(M280)-LEN(SUBSTITUTE(M280,"/","")))=2,AND((LEN(M280)-LEN(SUBSTITUTE(M280,"/","")))=3,RIGHT(M280,1)="/"))))),"Home page redirect; ","")&amp;IF(N(R280)&gt;1,"Chain; ","")&amp;IF(S280="No","Destination not 200; ","")))</f>
        <v/>
      </c>
      <c r="U280" s="22" t="n"/>
      <c r="V280" s="22" t="n"/>
      <c r="W280" s="4" t="n"/>
    </row>
    <row r="281">
      <c r="A281" s="22" t="n"/>
      <c r="B281" s="22" t="n"/>
      <c r="C281" s="22" t="n"/>
      <c r="D281" s="22">
        <f>IF(A281="","",IF(OR(N(B281)&gt;=$C$2,N(C281)&gt;=$E$2),"High",IF(OR(N(B281)&gt;0,N(C281)&gt;0),"Medium","Low")))</f>
        <v/>
      </c>
      <c r="E281" s="22" t="n"/>
      <c r="F281" s="22" t="n"/>
      <c r="G281" s="22" t="n"/>
      <c r="H281" s="22" t="n"/>
      <c r="I281" s="22" t="n"/>
      <c r="J281" s="22" t="n"/>
      <c r="K281" s="22" t="n"/>
      <c r="L281" s="22" t="n"/>
      <c r="M281" s="22">
        <f>IF(K281="Override",L281,IF(K281="Accept suggestion",F281,IF(K281="No change (same URL)",A281,"")))</f>
        <v/>
      </c>
      <c r="N281" s="22">
        <f>IF(A281="","",IF(K281="410 Gone","410",IF(K281="404","404",IF(K281="No change (same URL)","none",IF(M281="","","301")))))</f>
        <v/>
      </c>
      <c r="O281" s="22">
        <f>IF(A281="","",IFERROR(MID(A281,FIND("/",A281,FIND("//",A281)+2),2000),A281))</f>
        <v/>
      </c>
      <c r="P281" s="22">
        <f>IF(OR(O281="",N281="",N281="none",N281="404"),"",IF(N281="410","Redirect gone "&amp;O281,"Redirect "&amp;N281&amp;" "&amp;O281&amp;" "&amp;M281))</f>
        <v/>
      </c>
      <c r="Q281" s="22" t="n"/>
      <c r="R281" s="22" t="n"/>
      <c r="S281" s="22" t="n"/>
      <c r="T281" s="4">
        <f>IF(A281="","",TRIM(IF(K281="","Needs decision; ","")&amp;IF(AND(K281="Accept suggestion",F281=""),"No suggestion to accept; ","")&amp;IF(AND(K281="Override",L281=""),"Override URL missing; ","")&amp;IF(AND(K281="Accept suggestion",N(G281)&lt;$G$2),"Below your threshold; ","")&amp;IF(AND(M281&lt;&gt;"",M281=A281,K281&lt;&gt;"No change (same URL)"),"Redirects to itself; ","")&amp;IF(AND(M281&lt;&gt;"",OR(M281="/",AND(LEFT(M281,4)="http",OR((LEN(M281)-LEN(SUBSTITUTE(M281,"/","")))=2,AND((LEN(M281)-LEN(SUBSTITUTE(M281,"/","")))=3,RIGHT(M281,1)="/"))))),"Home page redirect; ","")&amp;IF(N(R281)&gt;1,"Chain; ","")&amp;IF(S281="No","Destination not 200; ","")))</f>
        <v/>
      </c>
      <c r="U281" s="22" t="n"/>
      <c r="V281" s="22" t="n"/>
      <c r="W281" s="4" t="n"/>
    </row>
    <row r="282">
      <c r="A282" s="22" t="n"/>
      <c r="B282" s="22" t="n"/>
      <c r="C282" s="22" t="n"/>
      <c r="D282" s="22">
        <f>IF(A282="","",IF(OR(N(B282)&gt;=$C$2,N(C282)&gt;=$E$2),"High",IF(OR(N(B282)&gt;0,N(C282)&gt;0),"Medium","Low")))</f>
        <v/>
      </c>
      <c r="E282" s="22" t="n"/>
      <c r="F282" s="22" t="n"/>
      <c r="G282" s="22" t="n"/>
      <c r="H282" s="22" t="n"/>
      <c r="I282" s="22" t="n"/>
      <c r="J282" s="22" t="n"/>
      <c r="K282" s="22" t="n"/>
      <c r="L282" s="22" t="n"/>
      <c r="M282" s="22">
        <f>IF(K282="Override",L282,IF(K282="Accept suggestion",F282,IF(K282="No change (same URL)",A282,"")))</f>
        <v/>
      </c>
      <c r="N282" s="22">
        <f>IF(A282="","",IF(K282="410 Gone","410",IF(K282="404","404",IF(K282="No change (same URL)","none",IF(M282="","","301")))))</f>
        <v/>
      </c>
      <c r="O282" s="22">
        <f>IF(A282="","",IFERROR(MID(A282,FIND("/",A282,FIND("//",A282)+2),2000),A282))</f>
        <v/>
      </c>
      <c r="P282" s="22">
        <f>IF(OR(O282="",N282="",N282="none",N282="404"),"",IF(N282="410","Redirect gone "&amp;O282,"Redirect "&amp;N282&amp;" "&amp;O282&amp;" "&amp;M282))</f>
        <v/>
      </c>
      <c r="Q282" s="22" t="n"/>
      <c r="R282" s="22" t="n"/>
      <c r="S282" s="22" t="n"/>
      <c r="T282" s="4">
        <f>IF(A282="","",TRIM(IF(K282="","Needs decision; ","")&amp;IF(AND(K282="Accept suggestion",F282=""),"No suggestion to accept; ","")&amp;IF(AND(K282="Override",L282=""),"Override URL missing; ","")&amp;IF(AND(K282="Accept suggestion",N(G282)&lt;$G$2),"Below your threshold; ","")&amp;IF(AND(M282&lt;&gt;"",M282=A282,K282&lt;&gt;"No change (same URL)"),"Redirects to itself; ","")&amp;IF(AND(M282&lt;&gt;"",OR(M282="/",AND(LEFT(M282,4)="http",OR((LEN(M282)-LEN(SUBSTITUTE(M282,"/","")))=2,AND((LEN(M282)-LEN(SUBSTITUTE(M282,"/","")))=3,RIGHT(M282,1)="/"))))),"Home page redirect; ","")&amp;IF(N(R282)&gt;1,"Chain; ","")&amp;IF(S282="No","Destination not 200; ","")))</f>
        <v/>
      </c>
      <c r="U282" s="22" t="n"/>
      <c r="V282" s="22" t="n"/>
      <c r="W282" s="4" t="n"/>
    </row>
    <row r="283">
      <c r="A283" s="22" t="n"/>
      <c r="B283" s="22" t="n"/>
      <c r="C283" s="22" t="n"/>
      <c r="D283" s="22">
        <f>IF(A283="","",IF(OR(N(B283)&gt;=$C$2,N(C283)&gt;=$E$2),"High",IF(OR(N(B283)&gt;0,N(C283)&gt;0),"Medium","Low")))</f>
        <v/>
      </c>
      <c r="E283" s="22" t="n"/>
      <c r="F283" s="22" t="n"/>
      <c r="G283" s="22" t="n"/>
      <c r="H283" s="22" t="n"/>
      <c r="I283" s="22" t="n"/>
      <c r="J283" s="22" t="n"/>
      <c r="K283" s="22" t="n"/>
      <c r="L283" s="22" t="n"/>
      <c r="M283" s="22">
        <f>IF(K283="Override",L283,IF(K283="Accept suggestion",F283,IF(K283="No change (same URL)",A283,"")))</f>
        <v/>
      </c>
      <c r="N283" s="22">
        <f>IF(A283="","",IF(K283="410 Gone","410",IF(K283="404","404",IF(K283="No change (same URL)","none",IF(M283="","","301")))))</f>
        <v/>
      </c>
      <c r="O283" s="22">
        <f>IF(A283="","",IFERROR(MID(A283,FIND("/",A283,FIND("//",A283)+2),2000),A283))</f>
        <v/>
      </c>
      <c r="P283" s="22">
        <f>IF(OR(O283="",N283="",N283="none",N283="404"),"",IF(N283="410","Redirect gone "&amp;O283,"Redirect "&amp;N283&amp;" "&amp;O283&amp;" "&amp;M283))</f>
        <v/>
      </c>
      <c r="Q283" s="22" t="n"/>
      <c r="R283" s="22" t="n"/>
      <c r="S283" s="22" t="n"/>
      <c r="T283" s="4">
        <f>IF(A283="","",TRIM(IF(K283="","Needs decision; ","")&amp;IF(AND(K283="Accept suggestion",F283=""),"No suggestion to accept; ","")&amp;IF(AND(K283="Override",L283=""),"Override URL missing; ","")&amp;IF(AND(K283="Accept suggestion",N(G283)&lt;$G$2),"Below your threshold; ","")&amp;IF(AND(M283&lt;&gt;"",M283=A283,K283&lt;&gt;"No change (same URL)"),"Redirects to itself; ","")&amp;IF(AND(M283&lt;&gt;"",OR(M283="/",AND(LEFT(M283,4)="http",OR((LEN(M283)-LEN(SUBSTITUTE(M283,"/","")))=2,AND((LEN(M283)-LEN(SUBSTITUTE(M283,"/","")))=3,RIGHT(M283,1)="/"))))),"Home page redirect; ","")&amp;IF(N(R283)&gt;1,"Chain; ","")&amp;IF(S283="No","Destination not 200; ","")))</f>
        <v/>
      </c>
      <c r="U283" s="22" t="n"/>
      <c r="V283" s="22" t="n"/>
      <c r="W283" s="4" t="n"/>
    </row>
    <row r="284">
      <c r="A284" s="22" t="n"/>
      <c r="B284" s="22" t="n"/>
      <c r="C284" s="22" t="n"/>
      <c r="D284" s="22">
        <f>IF(A284="","",IF(OR(N(B284)&gt;=$C$2,N(C284)&gt;=$E$2),"High",IF(OR(N(B284)&gt;0,N(C284)&gt;0),"Medium","Low")))</f>
        <v/>
      </c>
      <c r="E284" s="22" t="n"/>
      <c r="F284" s="22" t="n"/>
      <c r="G284" s="22" t="n"/>
      <c r="H284" s="22" t="n"/>
      <c r="I284" s="22" t="n"/>
      <c r="J284" s="22" t="n"/>
      <c r="K284" s="22" t="n"/>
      <c r="L284" s="22" t="n"/>
      <c r="M284" s="22">
        <f>IF(K284="Override",L284,IF(K284="Accept suggestion",F284,IF(K284="No change (same URL)",A284,"")))</f>
        <v/>
      </c>
      <c r="N284" s="22">
        <f>IF(A284="","",IF(K284="410 Gone","410",IF(K284="404","404",IF(K284="No change (same URL)","none",IF(M284="","","301")))))</f>
        <v/>
      </c>
      <c r="O284" s="22">
        <f>IF(A284="","",IFERROR(MID(A284,FIND("/",A284,FIND("//",A284)+2),2000),A284))</f>
        <v/>
      </c>
      <c r="P284" s="22">
        <f>IF(OR(O284="",N284="",N284="none",N284="404"),"",IF(N284="410","Redirect gone "&amp;O284,"Redirect "&amp;N284&amp;" "&amp;O284&amp;" "&amp;M284))</f>
        <v/>
      </c>
      <c r="Q284" s="22" t="n"/>
      <c r="R284" s="22" t="n"/>
      <c r="S284" s="22" t="n"/>
      <c r="T284" s="4">
        <f>IF(A284="","",TRIM(IF(K284="","Needs decision; ","")&amp;IF(AND(K284="Accept suggestion",F284=""),"No suggestion to accept; ","")&amp;IF(AND(K284="Override",L284=""),"Override URL missing; ","")&amp;IF(AND(K284="Accept suggestion",N(G284)&lt;$G$2),"Below your threshold; ","")&amp;IF(AND(M284&lt;&gt;"",M284=A284,K284&lt;&gt;"No change (same URL)"),"Redirects to itself; ","")&amp;IF(AND(M284&lt;&gt;"",OR(M284="/",AND(LEFT(M284,4)="http",OR((LEN(M284)-LEN(SUBSTITUTE(M284,"/","")))=2,AND((LEN(M284)-LEN(SUBSTITUTE(M284,"/","")))=3,RIGHT(M284,1)="/"))))),"Home page redirect; ","")&amp;IF(N(R284)&gt;1,"Chain; ","")&amp;IF(S284="No","Destination not 200; ","")))</f>
        <v/>
      </c>
      <c r="U284" s="22" t="n"/>
      <c r="V284" s="22" t="n"/>
      <c r="W284" s="4" t="n"/>
    </row>
    <row r="285">
      <c r="A285" s="22" t="n"/>
      <c r="B285" s="22" t="n"/>
      <c r="C285" s="22" t="n"/>
      <c r="D285" s="22">
        <f>IF(A285="","",IF(OR(N(B285)&gt;=$C$2,N(C285)&gt;=$E$2),"High",IF(OR(N(B285)&gt;0,N(C285)&gt;0),"Medium","Low")))</f>
        <v/>
      </c>
      <c r="E285" s="22" t="n"/>
      <c r="F285" s="22" t="n"/>
      <c r="G285" s="22" t="n"/>
      <c r="H285" s="22" t="n"/>
      <c r="I285" s="22" t="n"/>
      <c r="J285" s="22" t="n"/>
      <c r="K285" s="22" t="n"/>
      <c r="L285" s="22" t="n"/>
      <c r="M285" s="22">
        <f>IF(K285="Override",L285,IF(K285="Accept suggestion",F285,IF(K285="No change (same URL)",A285,"")))</f>
        <v/>
      </c>
      <c r="N285" s="22">
        <f>IF(A285="","",IF(K285="410 Gone","410",IF(K285="404","404",IF(K285="No change (same URL)","none",IF(M285="","","301")))))</f>
        <v/>
      </c>
      <c r="O285" s="22">
        <f>IF(A285="","",IFERROR(MID(A285,FIND("/",A285,FIND("//",A285)+2),2000),A285))</f>
        <v/>
      </c>
      <c r="P285" s="22">
        <f>IF(OR(O285="",N285="",N285="none",N285="404"),"",IF(N285="410","Redirect gone "&amp;O285,"Redirect "&amp;N285&amp;" "&amp;O285&amp;" "&amp;M285))</f>
        <v/>
      </c>
      <c r="Q285" s="22" t="n"/>
      <c r="R285" s="22" t="n"/>
      <c r="S285" s="22" t="n"/>
      <c r="T285" s="4">
        <f>IF(A285="","",TRIM(IF(K285="","Needs decision; ","")&amp;IF(AND(K285="Accept suggestion",F285=""),"No suggestion to accept; ","")&amp;IF(AND(K285="Override",L285=""),"Override URL missing; ","")&amp;IF(AND(K285="Accept suggestion",N(G285)&lt;$G$2),"Below your threshold; ","")&amp;IF(AND(M285&lt;&gt;"",M285=A285,K285&lt;&gt;"No change (same URL)"),"Redirects to itself; ","")&amp;IF(AND(M285&lt;&gt;"",OR(M285="/",AND(LEFT(M285,4)="http",OR((LEN(M285)-LEN(SUBSTITUTE(M285,"/","")))=2,AND((LEN(M285)-LEN(SUBSTITUTE(M285,"/","")))=3,RIGHT(M285,1)="/"))))),"Home page redirect; ","")&amp;IF(N(R285)&gt;1,"Chain; ","")&amp;IF(S285="No","Destination not 200; ","")))</f>
        <v/>
      </c>
      <c r="U285" s="22" t="n"/>
      <c r="V285" s="22" t="n"/>
      <c r="W285" s="4" t="n"/>
    </row>
    <row r="286">
      <c r="A286" s="22" t="n"/>
      <c r="B286" s="22" t="n"/>
      <c r="C286" s="22" t="n"/>
      <c r="D286" s="22">
        <f>IF(A286="","",IF(OR(N(B286)&gt;=$C$2,N(C286)&gt;=$E$2),"High",IF(OR(N(B286)&gt;0,N(C286)&gt;0),"Medium","Low")))</f>
        <v/>
      </c>
      <c r="E286" s="22" t="n"/>
      <c r="F286" s="22" t="n"/>
      <c r="G286" s="22" t="n"/>
      <c r="H286" s="22" t="n"/>
      <c r="I286" s="22" t="n"/>
      <c r="J286" s="22" t="n"/>
      <c r="K286" s="22" t="n"/>
      <c r="L286" s="22" t="n"/>
      <c r="M286" s="22">
        <f>IF(K286="Override",L286,IF(K286="Accept suggestion",F286,IF(K286="No change (same URL)",A286,"")))</f>
        <v/>
      </c>
      <c r="N286" s="22">
        <f>IF(A286="","",IF(K286="410 Gone","410",IF(K286="404","404",IF(K286="No change (same URL)","none",IF(M286="","","301")))))</f>
        <v/>
      </c>
      <c r="O286" s="22">
        <f>IF(A286="","",IFERROR(MID(A286,FIND("/",A286,FIND("//",A286)+2),2000),A286))</f>
        <v/>
      </c>
      <c r="P286" s="22">
        <f>IF(OR(O286="",N286="",N286="none",N286="404"),"",IF(N286="410","Redirect gone "&amp;O286,"Redirect "&amp;N286&amp;" "&amp;O286&amp;" "&amp;M286))</f>
        <v/>
      </c>
      <c r="Q286" s="22" t="n"/>
      <c r="R286" s="22" t="n"/>
      <c r="S286" s="22" t="n"/>
      <c r="T286" s="4">
        <f>IF(A286="","",TRIM(IF(K286="","Needs decision; ","")&amp;IF(AND(K286="Accept suggestion",F286=""),"No suggestion to accept; ","")&amp;IF(AND(K286="Override",L286=""),"Override URL missing; ","")&amp;IF(AND(K286="Accept suggestion",N(G286)&lt;$G$2),"Below your threshold; ","")&amp;IF(AND(M286&lt;&gt;"",M286=A286,K286&lt;&gt;"No change (same URL)"),"Redirects to itself; ","")&amp;IF(AND(M286&lt;&gt;"",OR(M286="/",AND(LEFT(M286,4)="http",OR((LEN(M286)-LEN(SUBSTITUTE(M286,"/","")))=2,AND((LEN(M286)-LEN(SUBSTITUTE(M286,"/","")))=3,RIGHT(M286,1)="/"))))),"Home page redirect; ","")&amp;IF(N(R286)&gt;1,"Chain; ","")&amp;IF(S286="No","Destination not 200; ","")))</f>
        <v/>
      </c>
      <c r="U286" s="22" t="n"/>
      <c r="V286" s="22" t="n"/>
      <c r="W286" s="4" t="n"/>
    </row>
    <row r="287">
      <c r="A287" s="22" t="n"/>
      <c r="B287" s="22" t="n"/>
      <c r="C287" s="22" t="n"/>
      <c r="D287" s="22">
        <f>IF(A287="","",IF(OR(N(B287)&gt;=$C$2,N(C287)&gt;=$E$2),"High",IF(OR(N(B287)&gt;0,N(C287)&gt;0),"Medium","Low")))</f>
        <v/>
      </c>
      <c r="E287" s="22" t="n"/>
      <c r="F287" s="22" t="n"/>
      <c r="G287" s="22" t="n"/>
      <c r="H287" s="22" t="n"/>
      <c r="I287" s="22" t="n"/>
      <c r="J287" s="22" t="n"/>
      <c r="K287" s="22" t="n"/>
      <c r="L287" s="22" t="n"/>
      <c r="M287" s="22">
        <f>IF(K287="Override",L287,IF(K287="Accept suggestion",F287,IF(K287="No change (same URL)",A287,"")))</f>
        <v/>
      </c>
      <c r="N287" s="22">
        <f>IF(A287="","",IF(K287="410 Gone","410",IF(K287="404","404",IF(K287="No change (same URL)","none",IF(M287="","","301")))))</f>
        <v/>
      </c>
      <c r="O287" s="22">
        <f>IF(A287="","",IFERROR(MID(A287,FIND("/",A287,FIND("//",A287)+2),2000),A287))</f>
        <v/>
      </c>
      <c r="P287" s="22">
        <f>IF(OR(O287="",N287="",N287="none",N287="404"),"",IF(N287="410","Redirect gone "&amp;O287,"Redirect "&amp;N287&amp;" "&amp;O287&amp;" "&amp;M287))</f>
        <v/>
      </c>
      <c r="Q287" s="22" t="n"/>
      <c r="R287" s="22" t="n"/>
      <c r="S287" s="22" t="n"/>
      <c r="T287" s="4">
        <f>IF(A287="","",TRIM(IF(K287="","Needs decision; ","")&amp;IF(AND(K287="Accept suggestion",F287=""),"No suggestion to accept; ","")&amp;IF(AND(K287="Override",L287=""),"Override URL missing; ","")&amp;IF(AND(K287="Accept suggestion",N(G287)&lt;$G$2),"Below your threshold; ","")&amp;IF(AND(M287&lt;&gt;"",M287=A287,K287&lt;&gt;"No change (same URL)"),"Redirects to itself; ","")&amp;IF(AND(M287&lt;&gt;"",OR(M287="/",AND(LEFT(M287,4)="http",OR((LEN(M287)-LEN(SUBSTITUTE(M287,"/","")))=2,AND((LEN(M287)-LEN(SUBSTITUTE(M287,"/","")))=3,RIGHT(M287,1)="/"))))),"Home page redirect; ","")&amp;IF(N(R287)&gt;1,"Chain; ","")&amp;IF(S287="No","Destination not 200; ","")))</f>
        <v/>
      </c>
      <c r="U287" s="22" t="n"/>
      <c r="V287" s="22" t="n"/>
      <c r="W287" s="4" t="n"/>
    </row>
    <row r="288">
      <c r="A288" s="22" t="n"/>
      <c r="B288" s="22" t="n"/>
      <c r="C288" s="22" t="n"/>
      <c r="D288" s="22">
        <f>IF(A288="","",IF(OR(N(B288)&gt;=$C$2,N(C288)&gt;=$E$2),"High",IF(OR(N(B288)&gt;0,N(C288)&gt;0),"Medium","Low")))</f>
        <v/>
      </c>
      <c r="E288" s="22" t="n"/>
      <c r="F288" s="22" t="n"/>
      <c r="G288" s="22" t="n"/>
      <c r="H288" s="22" t="n"/>
      <c r="I288" s="22" t="n"/>
      <c r="J288" s="22" t="n"/>
      <c r="K288" s="22" t="n"/>
      <c r="L288" s="22" t="n"/>
      <c r="M288" s="22">
        <f>IF(K288="Override",L288,IF(K288="Accept suggestion",F288,IF(K288="No change (same URL)",A288,"")))</f>
        <v/>
      </c>
      <c r="N288" s="22">
        <f>IF(A288="","",IF(K288="410 Gone","410",IF(K288="404","404",IF(K288="No change (same URL)","none",IF(M288="","","301")))))</f>
        <v/>
      </c>
      <c r="O288" s="22">
        <f>IF(A288="","",IFERROR(MID(A288,FIND("/",A288,FIND("//",A288)+2),2000),A288))</f>
        <v/>
      </c>
      <c r="P288" s="22">
        <f>IF(OR(O288="",N288="",N288="none",N288="404"),"",IF(N288="410","Redirect gone "&amp;O288,"Redirect "&amp;N288&amp;" "&amp;O288&amp;" "&amp;M288))</f>
        <v/>
      </c>
      <c r="Q288" s="22" t="n"/>
      <c r="R288" s="22" t="n"/>
      <c r="S288" s="22" t="n"/>
      <c r="T288" s="4">
        <f>IF(A288="","",TRIM(IF(K288="","Needs decision; ","")&amp;IF(AND(K288="Accept suggestion",F288=""),"No suggestion to accept; ","")&amp;IF(AND(K288="Override",L288=""),"Override URL missing; ","")&amp;IF(AND(K288="Accept suggestion",N(G288)&lt;$G$2),"Below your threshold; ","")&amp;IF(AND(M288&lt;&gt;"",M288=A288,K288&lt;&gt;"No change (same URL)"),"Redirects to itself; ","")&amp;IF(AND(M288&lt;&gt;"",OR(M288="/",AND(LEFT(M288,4)="http",OR((LEN(M288)-LEN(SUBSTITUTE(M288,"/","")))=2,AND((LEN(M288)-LEN(SUBSTITUTE(M288,"/","")))=3,RIGHT(M288,1)="/"))))),"Home page redirect; ","")&amp;IF(N(R288)&gt;1,"Chain; ","")&amp;IF(S288="No","Destination not 200; ","")))</f>
        <v/>
      </c>
      <c r="U288" s="22" t="n"/>
      <c r="V288" s="22" t="n"/>
      <c r="W288" s="4" t="n"/>
    </row>
    <row r="289">
      <c r="A289" s="22" t="n"/>
      <c r="B289" s="22" t="n"/>
      <c r="C289" s="22" t="n"/>
      <c r="D289" s="22">
        <f>IF(A289="","",IF(OR(N(B289)&gt;=$C$2,N(C289)&gt;=$E$2),"High",IF(OR(N(B289)&gt;0,N(C289)&gt;0),"Medium","Low")))</f>
        <v/>
      </c>
      <c r="E289" s="22" t="n"/>
      <c r="F289" s="22" t="n"/>
      <c r="G289" s="22" t="n"/>
      <c r="H289" s="22" t="n"/>
      <c r="I289" s="22" t="n"/>
      <c r="J289" s="22" t="n"/>
      <c r="K289" s="22" t="n"/>
      <c r="L289" s="22" t="n"/>
      <c r="M289" s="22">
        <f>IF(K289="Override",L289,IF(K289="Accept suggestion",F289,IF(K289="No change (same URL)",A289,"")))</f>
        <v/>
      </c>
      <c r="N289" s="22">
        <f>IF(A289="","",IF(K289="410 Gone","410",IF(K289="404","404",IF(K289="No change (same URL)","none",IF(M289="","","301")))))</f>
        <v/>
      </c>
      <c r="O289" s="22">
        <f>IF(A289="","",IFERROR(MID(A289,FIND("/",A289,FIND("//",A289)+2),2000),A289))</f>
        <v/>
      </c>
      <c r="P289" s="22">
        <f>IF(OR(O289="",N289="",N289="none",N289="404"),"",IF(N289="410","Redirect gone "&amp;O289,"Redirect "&amp;N289&amp;" "&amp;O289&amp;" "&amp;M289))</f>
        <v/>
      </c>
      <c r="Q289" s="22" t="n"/>
      <c r="R289" s="22" t="n"/>
      <c r="S289" s="22" t="n"/>
      <c r="T289" s="4">
        <f>IF(A289="","",TRIM(IF(K289="","Needs decision; ","")&amp;IF(AND(K289="Accept suggestion",F289=""),"No suggestion to accept; ","")&amp;IF(AND(K289="Override",L289=""),"Override URL missing; ","")&amp;IF(AND(K289="Accept suggestion",N(G289)&lt;$G$2),"Below your threshold; ","")&amp;IF(AND(M289&lt;&gt;"",M289=A289,K289&lt;&gt;"No change (same URL)"),"Redirects to itself; ","")&amp;IF(AND(M289&lt;&gt;"",OR(M289="/",AND(LEFT(M289,4)="http",OR((LEN(M289)-LEN(SUBSTITUTE(M289,"/","")))=2,AND((LEN(M289)-LEN(SUBSTITUTE(M289,"/","")))=3,RIGHT(M289,1)="/"))))),"Home page redirect; ","")&amp;IF(N(R289)&gt;1,"Chain; ","")&amp;IF(S289="No","Destination not 200; ","")))</f>
        <v/>
      </c>
      <c r="U289" s="22" t="n"/>
      <c r="V289" s="22" t="n"/>
      <c r="W289" s="4" t="n"/>
    </row>
    <row r="290">
      <c r="A290" s="22" t="n"/>
      <c r="B290" s="22" t="n"/>
      <c r="C290" s="22" t="n"/>
      <c r="D290" s="22">
        <f>IF(A290="","",IF(OR(N(B290)&gt;=$C$2,N(C290)&gt;=$E$2),"High",IF(OR(N(B290)&gt;0,N(C290)&gt;0),"Medium","Low")))</f>
        <v/>
      </c>
      <c r="E290" s="22" t="n"/>
      <c r="F290" s="22" t="n"/>
      <c r="G290" s="22" t="n"/>
      <c r="H290" s="22" t="n"/>
      <c r="I290" s="22" t="n"/>
      <c r="J290" s="22" t="n"/>
      <c r="K290" s="22" t="n"/>
      <c r="L290" s="22" t="n"/>
      <c r="M290" s="22">
        <f>IF(K290="Override",L290,IF(K290="Accept suggestion",F290,IF(K290="No change (same URL)",A290,"")))</f>
        <v/>
      </c>
      <c r="N290" s="22">
        <f>IF(A290="","",IF(K290="410 Gone","410",IF(K290="404","404",IF(K290="No change (same URL)","none",IF(M290="","","301")))))</f>
        <v/>
      </c>
      <c r="O290" s="22">
        <f>IF(A290="","",IFERROR(MID(A290,FIND("/",A290,FIND("//",A290)+2),2000),A290))</f>
        <v/>
      </c>
      <c r="P290" s="22">
        <f>IF(OR(O290="",N290="",N290="none",N290="404"),"",IF(N290="410","Redirect gone "&amp;O290,"Redirect "&amp;N290&amp;" "&amp;O290&amp;" "&amp;M290))</f>
        <v/>
      </c>
      <c r="Q290" s="22" t="n"/>
      <c r="R290" s="22" t="n"/>
      <c r="S290" s="22" t="n"/>
      <c r="T290" s="4">
        <f>IF(A290="","",TRIM(IF(K290="","Needs decision; ","")&amp;IF(AND(K290="Accept suggestion",F290=""),"No suggestion to accept; ","")&amp;IF(AND(K290="Override",L290=""),"Override URL missing; ","")&amp;IF(AND(K290="Accept suggestion",N(G290)&lt;$G$2),"Below your threshold; ","")&amp;IF(AND(M290&lt;&gt;"",M290=A290,K290&lt;&gt;"No change (same URL)"),"Redirects to itself; ","")&amp;IF(AND(M290&lt;&gt;"",OR(M290="/",AND(LEFT(M290,4)="http",OR((LEN(M290)-LEN(SUBSTITUTE(M290,"/","")))=2,AND((LEN(M290)-LEN(SUBSTITUTE(M290,"/","")))=3,RIGHT(M290,1)="/"))))),"Home page redirect; ","")&amp;IF(N(R290)&gt;1,"Chain; ","")&amp;IF(S290="No","Destination not 200; ","")))</f>
        <v/>
      </c>
      <c r="U290" s="22" t="n"/>
      <c r="V290" s="22" t="n"/>
      <c r="W290" s="4" t="n"/>
    </row>
    <row r="291">
      <c r="A291" s="22" t="n"/>
      <c r="B291" s="22" t="n"/>
      <c r="C291" s="22" t="n"/>
      <c r="D291" s="22">
        <f>IF(A291="","",IF(OR(N(B291)&gt;=$C$2,N(C291)&gt;=$E$2),"High",IF(OR(N(B291)&gt;0,N(C291)&gt;0),"Medium","Low")))</f>
        <v/>
      </c>
      <c r="E291" s="22" t="n"/>
      <c r="F291" s="22" t="n"/>
      <c r="G291" s="22" t="n"/>
      <c r="H291" s="22" t="n"/>
      <c r="I291" s="22" t="n"/>
      <c r="J291" s="22" t="n"/>
      <c r="K291" s="22" t="n"/>
      <c r="L291" s="22" t="n"/>
      <c r="M291" s="22">
        <f>IF(K291="Override",L291,IF(K291="Accept suggestion",F291,IF(K291="No change (same URL)",A291,"")))</f>
        <v/>
      </c>
      <c r="N291" s="22">
        <f>IF(A291="","",IF(K291="410 Gone","410",IF(K291="404","404",IF(K291="No change (same URL)","none",IF(M291="","","301")))))</f>
        <v/>
      </c>
      <c r="O291" s="22">
        <f>IF(A291="","",IFERROR(MID(A291,FIND("/",A291,FIND("//",A291)+2),2000),A291))</f>
        <v/>
      </c>
      <c r="P291" s="22">
        <f>IF(OR(O291="",N291="",N291="none",N291="404"),"",IF(N291="410","Redirect gone "&amp;O291,"Redirect "&amp;N291&amp;" "&amp;O291&amp;" "&amp;M291))</f>
        <v/>
      </c>
      <c r="Q291" s="22" t="n"/>
      <c r="R291" s="22" t="n"/>
      <c r="S291" s="22" t="n"/>
      <c r="T291" s="4">
        <f>IF(A291="","",TRIM(IF(K291="","Needs decision; ","")&amp;IF(AND(K291="Accept suggestion",F291=""),"No suggestion to accept; ","")&amp;IF(AND(K291="Override",L291=""),"Override URL missing; ","")&amp;IF(AND(K291="Accept suggestion",N(G291)&lt;$G$2),"Below your threshold; ","")&amp;IF(AND(M291&lt;&gt;"",M291=A291,K291&lt;&gt;"No change (same URL)"),"Redirects to itself; ","")&amp;IF(AND(M291&lt;&gt;"",OR(M291="/",AND(LEFT(M291,4)="http",OR((LEN(M291)-LEN(SUBSTITUTE(M291,"/","")))=2,AND((LEN(M291)-LEN(SUBSTITUTE(M291,"/","")))=3,RIGHT(M291,1)="/"))))),"Home page redirect; ","")&amp;IF(N(R291)&gt;1,"Chain; ","")&amp;IF(S291="No","Destination not 200; ","")))</f>
        <v/>
      </c>
      <c r="U291" s="22" t="n"/>
      <c r="V291" s="22" t="n"/>
      <c r="W291" s="4" t="n"/>
    </row>
    <row r="292">
      <c r="A292" s="22" t="n"/>
      <c r="B292" s="22" t="n"/>
      <c r="C292" s="22" t="n"/>
      <c r="D292" s="22">
        <f>IF(A292="","",IF(OR(N(B292)&gt;=$C$2,N(C292)&gt;=$E$2),"High",IF(OR(N(B292)&gt;0,N(C292)&gt;0),"Medium","Low")))</f>
        <v/>
      </c>
      <c r="E292" s="22" t="n"/>
      <c r="F292" s="22" t="n"/>
      <c r="G292" s="22" t="n"/>
      <c r="H292" s="22" t="n"/>
      <c r="I292" s="22" t="n"/>
      <c r="J292" s="22" t="n"/>
      <c r="K292" s="22" t="n"/>
      <c r="L292" s="22" t="n"/>
      <c r="M292" s="22">
        <f>IF(K292="Override",L292,IF(K292="Accept suggestion",F292,IF(K292="No change (same URL)",A292,"")))</f>
        <v/>
      </c>
      <c r="N292" s="22">
        <f>IF(A292="","",IF(K292="410 Gone","410",IF(K292="404","404",IF(K292="No change (same URL)","none",IF(M292="","","301")))))</f>
        <v/>
      </c>
      <c r="O292" s="22">
        <f>IF(A292="","",IFERROR(MID(A292,FIND("/",A292,FIND("//",A292)+2),2000),A292))</f>
        <v/>
      </c>
      <c r="P292" s="22">
        <f>IF(OR(O292="",N292="",N292="none",N292="404"),"",IF(N292="410","Redirect gone "&amp;O292,"Redirect "&amp;N292&amp;" "&amp;O292&amp;" "&amp;M292))</f>
        <v/>
      </c>
      <c r="Q292" s="22" t="n"/>
      <c r="R292" s="22" t="n"/>
      <c r="S292" s="22" t="n"/>
      <c r="T292" s="4">
        <f>IF(A292="","",TRIM(IF(K292="","Needs decision; ","")&amp;IF(AND(K292="Accept suggestion",F292=""),"No suggestion to accept; ","")&amp;IF(AND(K292="Override",L292=""),"Override URL missing; ","")&amp;IF(AND(K292="Accept suggestion",N(G292)&lt;$G$2),"Below your threshold; ","")&amp;IF(AND(M292&lt;&gt;"",M292=A292,K292&lt;&gt;"No change (same URL)"),"Redirects to itself; ","")&amp;IF(AND(M292&lt;&gt;"",OR(M292="/",AND(LEFT(M292,4)="http",OR((LEN(M292)-LEN(SUBSTITUTE(M292,"/","")))=2,AND((LEN(M292)-LEN(SUBSTITUTE(M292,"/","")))=3,RIGHT(M292,1)="/"))))),"Home page redirect; ","")&amp;IF(N(R292)&gt;1,"Chain; ","")&amp;IF(S292="No","Destination not 200; ","")))</f>
        <v/>
      </c>
      <c r="U292" s="22" t="n"/>
      <c r="V292" s="22" t="n"/>
      <c r="W292" s="4" t="n"/>
    </row>
    <row r="293">
      <c r="A293" s="22" t="n"/>
      <c r="B293" s="22" t="n"/>
      <c r="C293" s="22" t="n"/>
      <c r="D293" s="22">
        <f>IF(A293="","",IF(OR(N(B293)&gt;=$C$2,N(C293)&gt;=$E$2),"High",IF(OR(N(B293)&gt;0,N(C293)&gt;0),"Medium","Low")))</f>
        <v/>
      </c>
      <c r="E293" s="22" t="n"/>
      <c r="F293" s="22" t="n"/>
      <c r="G293" s="22" t="n"/>
      <c r="H293" s="22" t="n"/>
      <c r="I293" s="22" t="n"/>
      <c r="J293" s="22" t="n"/>
      <c r="K293" s="22" t="n"/>
      <c r="L293" s="22" t="n"/>
      <c r="M293" s="22">
        <f>IF(K293="Override",L293,IF(K293="Accept suggestion",F293,IF(K293="No change (same URL)",A293,"")))</f>
        <v/>
      </c>
      <c r="N293" s="22">
        <f>IF(A293="","",IF(K293="410 Gone","410",IF(K293="404","404",IF(K293="No change (same URL)","none",IF(M293="","","301")))))</f>
        <v/>
      </c>
      <c r="O293" s="22">
        <f>IF(A293="","",IFERROR(MID(A293,FIND("/",A293,FIND("//",A293)+2),2000),A293))</f>
        <v/>
      </c>
      <c r="P293" s="22">
        <f>IF(OR(O293="",N293="",N293="none",N293="404"),"",IF(N293="410","Redirect gone "&amp;O293,"Redirect "&amp;N293&amp;" "&amp;O293&amp;" "&amp;M293))</f>
        <v/>
      </c>
      <c r="Q293" s="22" t="n"/>
      <c r="R293" s="22" t="n"/>
      <c r="S293" s="22" t="n"/>
      <c r="T293" s="4">
        <f>IF(A293="","",TRIM(IF(K293="","Needs decision; ","")&amp;IF(AND(K293="Accept suggestion",F293=""),"No suggestion to accept; ","")&amp;IF(AND(K293="Override",L293=""),"Override URL missing; ","")&amp;IF(AND(K293="Accept suggestion",N(G293)&lt;$G$2),"Below your threshold; ","")&amp;IF(AND(M293&lt;&gt;"",M293=A293,K293&lt;&gt;"No change (same URL)"),"Redirects to itself; ","")&amp;IF(AND(M293&lt;&gt;"",OR(M293="/",AND(LEFT(M293,4)="http",OR((LEN(M293)-LEN(SUBSTITUTE(M293,"/","")))=2,AND((LEN(M293)-LEN(SUBSTITUTE(M293,"/","")))=3,RIGHT(M293,1)="/"))))),"Home page redirect; ","")&amp;IF(N(R293)&gt;1,"Chain; ","")&amp;IF(S293="No","Destination not 200; ","")))</f>
        <v/>
      </c>
      <c r="U293" s="22" t="n"/>
      <c r="V293" s="22" t="n"/>
      <c r="W293" s="4" t="n"/>
    </row>
    <row r="294">
      <c r="A294" s="22" t="n"/>
      <c r="B294" s="22" t="n"/>
      <c r="C294" s="22" t="n"/>
      <c r="D294" s="22">
        <f>IF(A294="","",IF(OR(N(B294)&gt;=$C$2,N(C294)&gt;=$E$2),"High",IF(OR(N(B294)&gt;0,N(C294)&gt;0),"Medium","Low")))</f>
        <v/>
      </c>
      <c r="E294" s="22" t="n"/>
      <c r="F294" s="22" t="n"/>
      <c r="G294" s="22" t="n"/>
      <c r="H294" s="22" t="n"/>
      <c r="I294" s="22" t="n"/>
      <c r="J294" s="22" t="n"/>
      <c r="K294" s="22" t="n"/>
      <c r="L294" s="22" t="n"/>
      <c r="M294" s="22">
        <f>IF(K294="Override",L294,IF(K294="Accept suggestion",F294,IF(K294="No change (same URL)",A294,"")))</f>
        <v/>
      </c>
      <c r="N294" s="22">
        <f>IF(A294="","",IF(K294="410 Gone","410",IF(K294="404","404",IF(K294="No change (same URL)","none",IF(M294="","","301")))))</f>
        <v/>
      </c>
      <c r="O294" s="22">
        <f>IF(A294="","",IFERROR(MID(A294,FIND("/",A294,FIND("//",A294)+2),2000),A294))</f>
        <v/>
      </c>
      <c r="P294" s="22">
        <f>IF(OR(O294="",N294="",N294="none",N294="404"),"",IF(N294="410","Redirect gone "&amp;O294,"Redirect "&amp;N294&amp;" "&amp;O294&amp;" "&amp;M294))</f>
        <v/>
      </c>
      <c r="Q294" s="22" t="n"/>
      <c r="R294" s="22" t="n"/>
      <c r="S294" s="22" t="n"/>
      <c r="T294" s="4">
        <f>IF(A294="","",TRIM(IF(K294="","Needs decision; ","")&amp;IF(AND(K294="Accept suggestion",F294=""),"No suggestion to accept; ","")&amp;IF(AND(K294="Override",L294=""),"Override URL missing; ","")&amp;IF(AND(K294="Accept suggestion",N(G294)&lt;$G$2),"Below your threshold; ","")&amp;IF(AND(M294&lt;&gt;"",M294=A294,K294&lt;&gt;"No change (same URL)"),"Redirects to itself; ","")&amp;IF(AND(M294&lt;&gt;"",OR(M294="/",AND(LEFT(M294,4)="http",OR((LEN(M294)-LEN(SUBSTITUTE(M294,"/","")))=2,AND((LEN(M294)-LEN(SUBSTITUTE(M294,"/","")))=3,RIGHT(M294,1)="/"))))),"Home page redirect; ","")&amp;IF(N(R294)&gt;1,"Chain; ","")&amp;IF(S294="No","Destination not 200; ","")))</f>
        <v/>
      </c>
      <c r="U294" s="22" t="n"/>
      <c r="V294" s="22" t="n"/>
      <c r="W294" s="4" t="n"/>
    </row>
    <row r="295">
      <c r="A295" s="22" t="n"/>
      <c r="B295" s="22" t="n"/>
      <c r="C295" s="22" t="n"/>
      <c r="D295" s="22">
        <f>IF(A295="","",IF(OR(N(B295)&gt;=$C$2,N(C295)&gt;=$E$2),"High",IF(OR(N(B295)&gt;0,N(C295)&gt;0),"Medium","Low")))</f>
        <v/>
      </c>
      <c r="E295" s="22" t="n"/>
      <c r="F295" s="22" t="n"/>
      <c r="G295" s="22" t="n"/>
      <c r="H295" s="22" t="n"/>
      <c r="I295" s="22" t="n"/>
      <c r="J295" s="22" t="n"/>
      <c r="K295" s="22" t="n"/>
      <c r="L295" s="22" t="n"/>
      <c r="M295" s="22">
        <f>IF(K295="Override",L295,IF(K295="Accept suggestion",F295,IF(K295="No change (same URL)",A295,"")))</f>
        <v/>
      </c>
      <c r="N295" s="22">
        <f>IF(A295="","",IF(K295="410 Gone","410",IF(K295="404","404",IF(K295="No change (same URL)","none",IF(M295="","","301")))))</f>
        <v/>
      </c>
      <c r="O295" s="22">
        <f>IF(A295="","",IFERROR(MID(A295,FIND("/",A295,FIND("//",A295)+2),2000),A295))</f>
        <v/>
      </c>
      <c r="P295" s="22">
        <f>IF(OR(O295="",N295="",N295="none",N295="404"),"",IF(N295="410","Redirect gone "&amp;O295,"Redirect "&amp;N295&amp;" "&amp;O295&amp;" "&amp;M295))</f>
        <v/>
      </c>
      <c r="Q295" s="22" t="n"/>
      <c r="R295" s="22" t="n"/>
      <c r="S295" s="22" t="n"/>
      <c r="T295" s="4">
        <f>IF(A295="","",TRIM(IF(K295="","Needs decision; ","")&amp;IF(AND(K295="Accept suggestion",F295=""),"No suggestion to accept; ","")&amp;IF(AND(K295="Override",L295=""),"Override URL missing; ","")&amp;IF(AND(K295="Accept suggestion",N(G295)&lt;$G$2),"Below your threshold; ","")&amp;IF(AND(M295&lt;&gt;"",M295=A295,K295&lt;&gt;"No change (same URL)"),"Redirects to itself; ","")&amp;IF(AND(M295&lt;&gt;"",OR(M295="/",AND(LEFT(M295,4)="http",OR((LEN(M295)-LEN(SUBSTITUTE(M295,"/","")))=2,AND((LEN(M295)-LEN(SUBSTITUTE(M295,"/","")))=3,RIGHT(M295,1)="/"))))),"Home page redirect; ","")&amp;IF(N(R295)&gt;1,"Chain; ","")&amp;IF(S295="No","Destination not 200; ","")))</f>
        <v/>
      </c>
      <c r="U295" s="22" t="n"/>
      <c r="V295" s="22" t="n"/>
      <c r="W295" s="4" t="n"/>
    </row>
    <row r="296">
      <c r="A296" s="22" t="n"/>
      <c r="B296" s="22" t="n"/>
      <c r="C296" s="22" t="n"/>
      <c r="D296" s="22">
        <f>IF(A296="","",IF(OR(N(B296)&gt;=$C$2,N(C296)&gt;=$E$2),"High",IF(OR(N(B296)&gt;0,N(C296)&gt;0),"Medium","Low")))</f>
        <v/>
      </c>
      <c r="E296" s="22" t="n"/>
      <c r="F296" s="22" t="n"/>
      <c r="G296" s="22" t="n"/>
      <c r="H296" s="22" t="n"/>
      <c r="I296" s="22" t="n"/>
      <c r="J296" s="22" t="n"/>
      <c r="K296" s="22" t="n"/>
      <c r="L296" s="22" t="n"/>
      <c r="M296" s="22">
        <f>IF(K296="Override",L296,IF(K296="Accept suggestion",F296,IF(K296="No change (same URL)",A296,"")))</f>
        <v/>
      </c>
      <c r="N296" s="22">
        <f>IF(A296="","",IF(K296="410 Gone","410",IF(K296="404","404",IF(K296="No change (same URL)","none",IF(M296="","","301")))))</f>
        <v/>
      </c>
      <c r="O296" s="22">
        <f>IF(A296="","",IFERROR(MID(A296,FIND("/",A296,FIND("//",A296)+2),2000),A296))</f>
        <v/>
      </c>
      <c r="P296" s="22">
        <f>IF(OR(O296="",N296="",N296="none",N296="404"),"",IF(N296="410","Redirect gone "&amp;O296,"Redirect "&amp;N296&amp;" "&amp;O296&amp;" "&amp;M296))</f>
        <v/>
      </c>
      <c r="Q296" s="22" t="n"/>
      <c r="R296" s="22" t="n"/>
      <c r="S296" s="22" t="n"/>
      <c r="T296" s="4">
        <f>IF(A296="","",TRIM(IF(K296="","Needs decision; ","")&amp;IF(AND(K296="Accept suggestion",F296=""),"No suggestion to accept; ","")&amp;IF(AND(K296="Override",L296=""),"Override URL missing; ","")&amp;IF(AND(K296="Accept suggestion",N(G296)&lt;$G$2),"Below your threshold; ","")&amp;IF(AND(M296&lt;&gt;"",M296=A296,K296&lt;&gt;"No change (same URL)"),"Redirects to itself; ","")&amp;IF(AND(M296&lt;&gt;"",OR(M296="/",AND(LEFT(M296,4)="http",OR((LEN(M296)-LEN(SUBSTITUTE(M296,"/","")))=2,AND((LEN(M296)-LEN(SUBSTITUTE(M296,"/","")))=3,RIGHT(M296,1)="/"))))),"Home page redirect; ","")&amp;IF(N(R296)&gt;1,"Chain; ","")&amp;IF(S296="No","Destination not 200; ","")))</f>
        <v/>
      </c>
      <c r="U296" s="22" t="n"/>
      <c r="V296" s="22" t="n"/>
      <c r="W296" s="4" t="n"/>
    </row>
    <row r="297">
      <c r="A297" s="22" t="n"/>
      <c r="B297" s="22" t="n"/>
      <c r="C297" s="22" t="n"/>
      <c r="D297" s="22">
        <f>IF(A297="","",IF(OR(N(B297)&gt;=$C$2,N(C297)&gt;=$E$2),"High",IF(OR(N(B297)&gt;0,N(C297)&gt;0),"Medium","Low")))</f>
        <v/>
      </c>
      <c r="E297" s="22" t="n"/>
      <c r="F297" s="22" t="n"/>
      <c r="G297" s="22" t="n"/>
      <c r="H297" s="22" t="n"/>
      <c r="I297" s="22" t="n"/>
      <c r="J297" s="22" t="n"/>
      <c r="K297" s="22" t="n"/>
      <c r="L297" s="22" t="n"/>
      <c r="M297" s="22">
        <f>IF(K297="Override",L297,IF(K297="Accept suggestion",F297,IF(K297="No change (same URL)",A297,"")))</f>
        <v/>
      </c>
      <c r="N297" s="22">
        <f>IF(A297="","",IF(K297="410 Gone","410",IF(K297="404","404",IF(K297="No change (same URL)","none",IF(M297="","","301")))))</f>
        <v/>
      </c>
      <c r="O297" s="22">
        <f>IF(A297="","",IFERROR(MID(A297,FIND("/",A297,FIND("//",A297)+2),2000),A297))</f>
        <v/>
      </c>
      <c r="P297" s="22">
        <f>IF(OR(O297="",N297="",N297="none",N297="404"),"",IF(N297="410","Redirect gone "&amp;O297,"Redirect "&amp;N297&amp;" "&amp;O297&amp;" "&amp;M297))</f>
        <v/>
      </c>
      <c r="Q297" s="22" t="n"/>
      <c r="R297" s="22" t="n"/>
      <c r="S297" s="22" t="n"/>
      <c r="T297" s="4">
        <f>IF(A297="","",TRIM(IF(K297="","Needs decision; ","")&amp;IF(AND(K297="Accept suggestion",F297=""),"No suggestion to accept; ","")&amp;IF(AND(K297="Override",L297=""),"Override URL missing; ","")&amp;IF(AND(K297="Accept suggestion",N(G297)&lt;$G$2),"Below your threshold; ","")&amp;IF(AND(M297&lt;&gt;"",M297=A297,K297&lt;&gt;"No change (same URL)"),"Redirects to itself; ","")&amp;IF(AND(M297&lt;&gt;"",OR(M297="/",AND(LEFT(M297,4)="http",OR((LEN(M297)-LEN(SUBSTITUTE(M297,"/","")))=2,AND((LEN(M297)-LEN(SUBSTITUTE(M297,"/","")))=3,RIGHT(M297,1)="/"))))),"Home page redirect; ","")&amp;IF(N(R297)&gt;1,"Chain; ","")&amp;IF(S297="No","Destination not 200; ","")))</f>
        <v/>
      </c>
      <c r="U297" s="22" t="n"/>
      <c r="V297" s="22" t="n"/>
      <c r="W297" s="4" t="n"/>
    </row>
    <row r="298">
      <c r="A298" s="22" t="n"/>
      <c r="B298" s="22" t="n"/>
      <c r="C298" s="22" t="n"/>
      <c r="D298" s="22">
        <f>IF(A298="","",IF(OR(N(B298)&gt;=$C$2,N(C298)&gt;=$E$2),"High",IF(OR(N(B298)&gt;0,N(C298)&gt;0),"Medium","Low")))</f>
        <v/>
      </c>
      <c r="E298" s="22" t="n"/>
      <c r="F298" s="22" t="n"/>
      <c r="G298" s="22" t="n"/>
      <c r="H298" s="22" t="n"/>
      <c r="I298" s="22" t="n"/>
      <c r="J298" s="22" t="n"/>
      <c r="K298" s="22" t="n"/>
      <c r="L298" s="22" t="n"/>
      <c r="M298" s="22">
        <f>IF(K298="Override",L298,IF(K298="Accept suggestion",F298,IF(K298="No change (same URL)",A298,"")))</f>
        <v/>
      </c>
      <c r="N298" s="22">
        <f>IF(A298="","",IF(K298="410 Gone","410",IF(K298="404","404",IF(K298="No change (same URL)","none",IF(M298="","","301")))))</f>
        <v/>
      </c>
      <c r="O298" s="22">
        <f>IF(A298="","",IFERROR(MID(A298,FIND("/",A298,FIND("//",A298)+2),2000),A298))</f>
        <v/>
      </c>
      <c r="P298" s="22">
        <f>IF(OR(O298="",N298="",N298="none",N298="404"),"",IF(N298="410","Redirect gone "&amp;O298,"Redirect "&amp;N298&amp;" "&amp;O298&amp;" "&amp;M298))</f>
        <v/>
      </c>
      <c r="Q298" s="22" t="n"/>
      <c r="R298" s="22" t="n"/>
      <c r="S298" s="22" t="n"/>
      <c r="T298" s="4">
        <f>IF(A298="","",TRIM(IF(K298="","Needs decision; ","")&amp;IF(AND(K298="Accept suggestion",F298=""),"No suggestion to accept; ","")&amp;IF(AND(K298="Override",L298=""),"Override URL missing; ","")&amp;IF(AND(K298="Accept suggestion",N(G298)&lt;$G$2),"Below your threshold; ","")&amp;IF(AND(M298&lt;&gt;"",M298=A298,K298&lt;&gt;"No change (same URL)"),"Redirects to itself; ","")&amp;IF(AND(M298&lt;&gt;"",OR(M298="/",AND(LEFT(M298,4)="http",OR((LEN(M298)-LEN(SUBSTITUTE(M298,"/","")))=2,AND((LEN(M298)-LEN(SUBSTITUTE(M298,"/","")))=3,RIGHT(M298,1)="/"))))),"Home page redirect; ","")&amp;IF(N(R298)&gt;1,"Chain; ","")&amp;IF(S298="No","Destination not 200; ","")))</f>
        <v/>
      </c>
      <c r="U298" s="22" t="n"/>
      <c r="V298" s="22" t="n"/>
      <c r="W298" s="4" t="n"/>
    </row>
    <row r="299">
      <c r="A299" s="22" t="n"/>
      <c r="B299" s="22" t="n"/>
      <c r="C299" s="22" t="n"/>
      <c r="D299" s="22">
        <f>IF(A299="","",IF(OR(N(B299)&gt;=$C$2,N(C299)&gt;=$E$2),"High",IF(OR(N(B299)&gt;0,N(C299)&gt;0),"Medium","Low")))</f>
        <v/>
      </c>
      <c r="E299" s="22" t="n"/>
      <c r="F299" s="22" t="n"/>
      <c r="G299" s="22" t="n"/>
      <c r="H299" s="22" t="n"/>
      <c r="I299" s="22" t="n"/>
      <c r="J299" s="22" t="n"/>
      <c r="K299" s="22" t="n"/>
      <c r="L299" s="22" t="n"/>
      <c r="M299" s="22">
        <f>IF(K299="Override",L299,IF(K299="Accept suggestion",F299,IF(K299="No change (same URL)",A299,"")))</f>
        <v/>
      </c>
      <c r="N299" s="22">
        <f>IF(A299="","",IF(K299="410 Gone","410",IF(K299="404","404",IF(K299="No change (same URL)","none",IF(M299="","","301")))))</f>
        <v/>
      </c>
      <c r="O299" s="22">
        <f>IF(A299="","",IFERROR(MID(A299,FIND("/",A299,FIND("//",A299)+2),2000),A299))</f>
        <v/>
      </c>
      <c r="P299" s="22">
        <f>IF(OR(O299="",N299="",N299="none",N299="404"),"",IF(N299="410","Redirect gone "&amp;O299,"Redirect "&amp;N299&amp;" "&amp;O299&amp;" "&amp;M299))</f>
        <v/>
      </c>
      <c r="Q299" s="22" t="n"/>
      <c r="R299" s="22" t="n"/>
      <c r="S299" s="22" t="n"/>
      <c r="T299" s="4">
        <f>IF(A299="","",TRIM(IF(K299="","Needs decision; ","")&amp;IF(AND(K299="Accept suggestion",F299=""),"No suggestion to accept; ","")&amp;IF(AND(K299="Override",L299=""),"Override URL missing; ","")&amp;IF(AND(K299="Accept suggestion",N(G299)&lt;$G$2),"Below your threshold; ","")&amp;IF(AND(M299&lt;&gt;"",M299=A299,K299&lt;&gt;"No change (same URL)"),"Redirects to itself; ","")&amp;IF(AND(M299&lt;&gt;"",OR(M299="/",AND(LEFT(M299,4)="http",OR((LEN(M299)-LEN(SUBSTITUTE(M299,"/","")))=2,AND((LEN(M299)-LEN(SUBSTITUTE(M299,"/","")))=3,RIGHT(M299,1)="/"))))),"Home page redirect; ","")&amp;IF(N(R299)&gt;1,"Chain; ","")&amp;IF(S299="No","Destination not 200; ","")))</f>
        <v/>
      </c>
      <c r="U299" s="22" t="n"/>
      <c r="V299" s="22" t="n"/>
      <c r="W299" s="4" t="n"/>
    </row>
    <row r="300">
      <c r="A300" s="22" t="n"/>
      <c r="B300" s="22" t="n"/>
      <c r="C300" s="22" t="n"/>
      <c r="D300" s="22">
        <f>IF(A300="","",IF(OR(N(B300)&gt;=$C$2,N(C300)&gt;=$E$2),"High",IF(OR(N(B300)&gt;0,N(C300)&gt;0),"Medium","Low")))</f>
        <v/>
      </c>
      <c r="E300" s="22" t="n"/>
      <c r="F300" s="22" t="n"/>
      <c r="G300" s="22" t="n"/>
      <c r="H300" s="22" t="n"/>
      <c r="I300" s="22" t="n"/>
      <c r="J300" s="22" t="n"/>
      <c r="K300" s="22" t="n"/>
      <c r="L300" s="22" t="n"/>
      <c r="M300" s="22">
        <f>IF(K300="Override",L300,IF(K300="Accept suggestion",F300,IF(K300="No change (same URL)",A300,"")))</f>
        <v/>
      </c>
      <c r="N300" s="22">
        <f>IF(A300="","",IF(K300="410 Gone","410",IF(K300="404","404",IF(K300="No change (same URL)","none",IF(M300="","","301")))))</f>
        <v/>
      </c>
      <c r="O300" s="22">
        <f>IF(A300="","",IFERROR(MID(A300,FIND("/",A300,FIND("//",A300)+2),2000),A300))</f>
        <v/>
      </c>
      <c r="P300" s="22">
        <f>IF(OR(O300="",N300="",N300="none",N300="404"),"",IF(N300="410","Redirect gone "&amp;O300,"Redirect "&amp;N300&amp;" "&amp;O300&amp;" "&amp;M300))</f>
        <v/>
      </c>
      <c r="Q300" s="22" t="n"/>
      <c r="R300" s="22" t="n"/>
      <c r="S300" s="22" t="n"/>
      <c r="T300" s="4">
        <f>IF(A300="","",TRIM(IF(K300="","Needs decision; ","")&amp;IF(AND(K300="Accept suggestion",F300=""),"No suggestion to accept; ","")&amp;IF(AND(K300="Override",L300=""),"Override URL missing; ","")&amp;IF(AND(K300="Accept suggestion",N(G300)&lt;$G$2),"Below your threshold; ","")&amp;IF(AND(M300&lt;&gt;"",M300=A300,K300&lt;&gt;"No change (same URL)"),"Redirects to itself; ","")&amp;IF(AND(M300&lt;&gt;"",OR(M300="/",AND(LEFT(M300,4)="http",OR((LEN(M300)-LEN(SUBSTITUTE(M300,"/","")))=2,AND((LEN(M300)-LEN(SUBSTITUTE(M300,"/","")))=3,RIGHT(M300,1)="/"))))),"Home page redirect; ","")&amp;IF(N(R300)&gt;1,"Chain; ","")&amp;IF(S300="No","Destination not 200; ","")))</f>
        <v/>
      </c>
      <c r="U300" s="22" t="n"/>
      <c r="V300" s="22" t="n"/>
      <c r="W300" s="4" t="n"/>
    </row>
    <row r="301">
      <c r="A301" s="22" t="n"/>
      <c r="B301" s="22" t="n"/>
      <c r="C301" s="22" t="n"/>
      <c r="D301" s="22">
        <f>IF(A301="","",IF(OR(N(B301)&gt;=$C$2,N(C301)&gt;=$E$2),"High",IF(OR(N(B301)&gt;0,N(C301)&gt;0),"Medium","Low")))</f>
        <v/>
      </c>
      <c r="E301" s="22" t="n"/>
      <c r="F301" s="22" t="n"/>
      <c r="G301" s="22" t="n"/>
      <c r="H301" s="22" t="n"/>
      <c r="I301" s="22" t="n"/>
      <c r="J301" s="22" t="n"/>
      <c r="K301" s="22" t="n"/>
      <c r="L301" s="22" t="n"/>
      <c r="M301" s="22">
        <f>IF(K301="Override",L301,IF(K301="Accept suggestion",F301,IF(K301="No change (same URL)",A301,"")))</f>
        <v/>
      </c>
      <c r="N301" s="22">
        <f>IF(A301="","",IF(K301="410 Gone","410",IF(K301="404","404",IF(K301="No change (same URL)","none",IF(M301="","","301")))))</f>
        <v/>
      </c>
      <c r="O301" s="22">
        <f>IF(A301="","",IFERROR(MID(A301,FIND("/",A301,FIND("//",A301)+2),2000),A301))</f>
        <v/>
      </c>
      <c r="P301" s="22">
        <f>IF(OR(O301="",N301="",N301="none",N301="404"),"",IF(N301="410","Redirect gone "&amp;O301,"Redirect "&amp;N301&amp;" "&amp;O301&amp;" "&amp;M301))</f>
        <v/>
      </c>
      <c r="Q301" s="22" t="n"/>
      <c r="R301" s="22" t="n"/>
      <c r="S301" s="22" t="n"/>
      <c r="T301" s="4">
        <f>IF(A301="","",TRIM(IF(K301="","Needs decision; ","")&amp;IF(AND(K301="Accept suggestion",F301=""),"No suggestion to accept; ","")&amp;IF(AND(K301="Override",L301=""),"Override URL missing; ","")&amp;IF(AND(K301="Accept suggestion",N(G301)&lt;$G$2),"Below your threshold; ","")&amp;IF(AND(M301&lt;&gt;"",M301=A301,K301&lt;&gt;"No change (same URL)"),"Redirects to itself; ","")&amp;IF(AND(M301&lt;&gt;"",OR(M301="/",AND(LEFT(M301,4)="http",OR((LEN(M301)-LEN(SUBSTITUTE(M301,"/","")))=2,AND((LEN(M301)-LEN(SUBSTITUTE(M301,"/","")))=3,RIGHT(M301,1)="/"))))),"Home page redirect; ","")&amp;IF(N(R301)&gt;1,"Chain; ","")&amp;IF(S301="No","Destination not 200; ","")))</f>
        <v/>
      </c>
      <c r="U301" s="22" t="n"/>
      <c r="V301" s="22" t="n"/>
      <c r="W301" s="4" t="n"/>
    </row>
    <row r="302">
      <c r="A302" s="22" t="n"/>
      <c r="B302" s="22" t="n"/>
      <c r="C302" s="22" t="n"/>
      <c r="D302" s="22">
        <f>IF(A302="","",IF(OR(N(B302)&gt;=$C$2,N(C302)&gt;=$E$2),"High",IF(OR(N(B302)&gt;0,N(C302)&gt;0),"Medium","Low")))</f>
        <v/>
      </c>
      <c r="E302" s="22" t="n"/>
      <c r="F302" s="22" t="n"/>
      <c r="G302" s="22" t="n"/>
      <c r="H302" s="22" t="n"/>
      <c r="I302" s="22" t="n"/>
      <c r="J302" s="22" t="n"/>
      <c r="K302" s="22" t="n"/>
      <c r="L302" s="22" t="n"/>
      <c r="M302" s="22">
        <f>IF(K302="Override",L302,IF(K302="Accept suggestion",F302,IF(K302="No change (same URL)",A302,"")))</f>
        <v/>
      </c>
      <c r="N302" s="22">
        <f>IF(A302="","",IF(K302="410 Gone","410",IF(K302="404","404",IF(K302="No change (same URL)","none",IF(M302="","","301")))))</f>
        <v/>
      </c>
      <c r="O302" s="22">
        <f>IF(A302="","",IFERROR(MID(A302,FIND("/",A302,FIND("//",A302)+2),2000),A302))</f>
        <v/>
      </c>
      <c r="P302" s="22">
        <f>IF(OR(O302="",N302="",N302="none",N302="404"),"",IF(N302="410","Redirect gone "&amp;O302,"Redirect "&amp;N302&amp;" "&amp;O302&amp;" "&amp;M302))</f>
        <v/>
      </c>
      <c r="Q302" s="22" t="n"/>
      <c r="R302" s="22" t="n"/>
      <c r="S302" s="22" t="n"/>
      <c r="T302" s="4">
        <f>IF(A302="","",TRIM(IF(K302="","Needs decision; ","")&amp;IF(AND(K302="Accept suggestion",F302=""),"No suggestion to accept; ","")&amp;IF(AND(K302="Override",L302=""),"Override URL missing; ","")&amp;IF(AND(K302="Accept suggestion",N(G302)&lt;$G$2),"Below your threshold; ","")&amp;IF(AND(M302&lt;&gt;"",M302=A302,K302&lt;&gt;"No change (same URL)"),"Redirects to itself; ","")&amp;IF(AND(M302&lt;&gt;"",OR(M302="/",AND(LEFT(M302,4)="http",OR((LEN(M302)-LEN(SUBSTITUTE(M302,"/","")))=2,AND((LEN(M302)-LEN(SUBSTITUTE(M302,"/","")))=3,RIGHT(M302,1)="/"))))),"Home page redirect; ","")&amp;IF(N(R302)&gt;1,"Chain; ","")&amp;IF(S302="No","Destination not 200; ","")))</f>
        <v/>
      </c>
      <c r="U302" s="22" t="n"/>
      <c r="V302" s="22" t="n"/>
      <c r="W302" s="4" t="n"/>
    </row>
    <row r="303">
      <c r="A303" s="22" t="n"/>
      <c r="B303" s="22" t="n"/>
      <c r="C303" s="22" t="n"/>
      <c r="D303" s="22">
        <f>IF(A303="","",IF(OR(N(B303)&gt;=$C$2,N(C303)&gt;=$E$2),"High",IF(OR(N(B303)&gt;0,N(C303)&gt;0),"Medium","Low")))</f>
        <v/>
      </c>
      <c r="E303" s="22" t="n"/>
      <c r="F303" s="22" t="n"/>
      <c r="G303" s="22" t="n"/>
      <c r="H303" s="22" t="n"/>
      <c r="I303" s="22" t="n"/>
      <c r="J303" s="22" t="n"/>
      <c r="K303" s="22" t="n"/>
      <c r="L303" s="22" t="n"/>
      <c r="M303" s="22">
        <f>IF(K303="Override",L303,IF(K303="Accept suggestion",F303,IF(K303="No change (same URL)",A303,"")))</f>
        <v/>
      </c>
      <c r="N303" s="22">
        <f>IF(A303="","",IF(K303="410 Gone","410",IF(K303="404","404",IF(K303="No change (same URL)","none",IF(M303="","","301")))))</f>
        <v/>
      </c>
      <c r="O303" s="22">
        <f>IF(A303="","",IFERROR(MID(A303,FIND("/",A303,FIND("//",A303)+2),2000),A303))</f>
        <v/>
      </c>
      <c r="P303" s="22">
        <f>IF(OR(O303="",N303="",N303="none",N303="404"),"",IF(N303="410","Redirect gone "&amp;O303,"Redirect "&amp;N303&amp;" "&amp;O303&amp;" "&amp;M303))</f>
        <v/>
      </c>
      <c r="Q303" s="22" t="n"/>
      <c r="R303" s="22" t="n"/>
      <c r="S303" s="22" t="n"/>
      <c r="T303" s="4">
        <f>IF(A303="","",TRIM(IF(K303="","Needs decision; ","")&amp;IF(AND(K303="Accept suggestion",F303=""),"No suggestion to accept; ","")&amp;IF(AND(K303="Override",L303=""),"Override URL missing; ","")&amp;IF(AND(K303="Accept suggestion",N(G303)&lt;$G$2),"Below your threshold; ","")&amp;IF(AND(M303&lt;&gt;"",M303=A303,K303&lt;&gt;"No change (same URL)"),"Redirects to itself; ","")&amp;IF(AND(M303&lt;&gt;"",OR(M303="/",AND(LEFT(M303,4)="http",OR((LEN(M303)-LEN(SUBSTITUTE(M303,"/","")))=2,AND((LEN(M303)-LEN(SUBSTITUTE(M303,"/","")))=3,RIGHT(M303,1)="/"))))),"Home page redirect; ","")&amp;IF(N(R303)&gt;1,"Chain; ","")&amp;IF(S303="No","Destination not 200; ","")))</f>
        <v/>
      </c>
      <c r="U303" s="22" t="n"/>
      <c r="V303" s="22" t="n"/>
      <c r="W303" s="4" t="n"/>
    </row>
    <row r="304">
      <c r="A304" s="22" t="n"/>
      <c r="B304" s="22" t="n"/>
      <c r="C304" s="22" t="n"/>
      <c r="D304" s="22">
        <f>IF(A304="","",IF(OR(N(B304)&gt;=$C$2,N(C304)&gt;=$E$2),"High",IF(OR(N(B304)&gt;0,N(C304)&gt;0),"Medium","Low")))</f>
        <v/>
      </c>
      <c r="E304" s="22" t="n"/>
      <c r="F304" s="22" t="n"/>
      <c r="G304" s="22" t="n"/>
      <c r="H304" s="22" t="n"/>
      <c r="I304" s="22" t="n"/>
      <c r="J304" s="22" t="n"/>
      <c r="K304" s="22" t="n"/>
      <c r="L304" s="22" t="n"/>
      <c r="M304" s="22">
        <f>IF(K304="Override",L304,IF(K304="Accept suggestion",F304,IF(K304="No change (same URL)",A304,"")))</f>
        <v/>
      </c>
      <c r="N304" s="22">
        <f>IF(A304="","",IF(K304="410 Gone","410",IF(K304="404","404",IF(K304="No change (same URL)","none",IF(M304="","","301")))))</f>
        <v/>
      </c>
      <c r="O304" s="22">
        <f>IF(A304="","",IFERROR(MID(A304,FIND("/",A304,FIND("//",A304)+2),2000),A304))</f>
        <v/>
      </c>
      <c r="P304" s="22">
        <f>IF(OR(O304="",N304="",N304="none",N304="404"),"",IF(N304="410","Redirect gone "&amp;O304,"Redirect "&amp;N304&amp;" "&amp;O304&amp;" "&amp;M304))</f>
        <v/>
      </c>
      <c r="Q304" s="22" t="n"/>
      <c r="R304" s="22" t="n"/>
      <c r="S304" s="22" t="n"/>
      <c r="T304" s="4">
        <f>IF(A304="","",TRIM(IF(K304="","Needs decision; ","")&amp;IF(AND(K304="Accept suggestion",F304=""),"No suggestion to accept; ","")&amp;IF(AND(K304="Override",L304=""),"Override URL missing; ","")&amp;IF(AND(K304="Accept suggestion",N(G304)&lt;$G$2),"Below your threshold; ","")&amp;IF(AND(M304&lt;&gt;"",M304=A304,K304&lt;&gt;"No change (same URL)"),"Redirects to itself; ","")&amp;IF(AND(M304&lt;&gt;"",OR(M304="/",AND(LEFT(M304,4)="http",OR((LEN(M304)-LEN(SUBSTITUTE(M304,"/","")))=2,AND((LEN(M304)-LEN(SUBSTITUTE(M304,"/","")))=3,RIGHT(M304,1)="/"))))),"Home page redirect; ","")&amp;IF(N(R304)&gt;1,"Chain; ","")&amp;IF(S304="No","Destination not 200; ","")))</f>
        <v/>
      </c>
      <c r="U304" s="22" t="n"/>
      <c r="V304" s="22" t="n"/>
      <c r="W304" s="4" t="n"/>
    </row>
    <row r="305">
      <c r="A305" s="22" t="n"/>
      <c r="B305" s="22" t="n"/>
      <c r="C305" s="22" t="n"/>
      <c r="D305" s="22">
        <f>IF(A305="","",IF(OR(N(B305)&gt;=$C$2,N(C305)&gt;=$E$2),"High",IF(OR(N(B305)&gt;0,N(C305)&gt;0),"Medium","Low")))</f>
        <v/>
      </c>
      <c r="E305" s="22" t="n"/>
      <c r="F305" s="22" t="n"/>
      <c r="G305" s="22" t="n"/>
      <c r="H305" s="22" t="n"/>
      <c r="I305" s="22" t="n"/>
      <c r="J305" s="22" t="n"/>
      <c r="K305" s="22" t="n"/>
      <c r="L305" s="22" t="n"/>
      <c r="M305" s="22">
        <f>IF(K305="Override",L305,IF(K305="Accept suggestion",F305,IF(K305="No change (same URL)",A305,"")))</f>
        <v/>
      </c>
      <c r="N305" s="22">
        <f>IF(A305="","",IF(K305="410 Gone","410",IF(K305="404","404",IF(K305="No change (same URL)","none",IF(M305="","","301")))))</f>
        <v/>
      </c>
      <c r="O305" s="22">
        <f>IF(A305="","",IFERROR(MID(A305,FIND("/",A305,FIND("//",A305)+2),2000),A305))</f>
        <v/>
      </c>
      <c r="P305" s="22">
        <f>IF(OR(O305="",N305="",N305="none",N305="404"),"",IF(N305="410","Redirect gone "&amp;O305,"Redirect "&amp;N305&amp;" "&amp;O305&amp;" "&amp;M305))</f>
        <v/>
      </c>
      <c r="Q305" s="22" t="n"/>
      <c r="R305" s="22" t="n"/>
      <c r="S305" s="22" t="n"/>
      <c r="T305" s="4">
        <f>IF(A305="","",TRIM(IF(K305="","Needs decision; ","")&amp;IF(AND(K305="Accept suggestion",F305=""),"No suggestion to accept; ","")&amp;IF(AND(K305="Override",L305=""),"Override URL missing; ","")&amp;IF(AND(K305="Accept suggestion",N(G305)&lt;$G$2),"Below your threshold; ","")&amp;IF(AND(M305&lt;&gt;"",M305=A305,K305&lt;&gt;"No change (same URL)"),"Redirects to itself; ","")&amp;IF(AND(M305&lt;&gt;"",OR(M305="/",AND(LEFT(M305,4)="http",OR((LEN(M305)-LEN(SUBSTITUTE(M305,"/","")))=2,AND((LEN(M305)-LEN(SUBSTITUTE(M305,"/","")))=3,RIGHT(M305,1)="/"))))),"Home page redirect; ","")&amp;IF(N(R305)&gt;1,"Chain; ","")&amp;IF(S305="No","Destination not 200; ","")))</f>
        <v/>
      </c>
      <c r="U305" s="22" t="n"/>
      <c r="V305" s="22" t="n"/>
      <c r="W305" s="4" t="n"/>
    </row>
    <row r="306">
      <c r="A306" s="22" t="n"/>
      <c r="B306" s="22" t="n"/>
      <c r="C306" s="22" t="n"/>
      <c r="D306" s="22">
        <f>IF(A306="","",IF(OR(N(B306)&gt;=$C$2,N(C306)&gt;=$E$2),"High",IF(OR(N(B306)&gt;0,N(C306)&gt;0),"Medium","Low")))</f>
        <v/>
      </c>
      <c r="E306" s="22" t="n"/>
      <c r="F306" s="22" t="n"/>
      <c r="G306" s="22" t="n"/>
      <c r="H306" s="22" t="n"/>
      <c r="I306" s="22" t="n"/>
      <c r="J306" s="22" t="n"/>
      <c r="K306" s="22" t="n"/>
      <c r="L306" s="22" t="n"/>
      <c r="M306" s="22">
        <f>IF(K306="Override",L306,IF(K306="Accept suggestion",F306,IF(K306="No change (same URL)",A306,"")))</f>
        <v/>
      </c>
      <c r="N306" s="22">
        <f>IF(A306="","",IF(K306="410 Gone","410",IF(K306="404","404",IF(K306="No change (same URL)","none",IF(M306="","","301")))))</f>
        <v/>
      </c>
      <c r="O306" s="22">
        <f>IF(A306="","",IFERROR(MID(A306,FIND("/",A306,FIND("//",A306)+2),2000),A306))</f>
        <v/>
      </c>
      <c r="P306" s="22">
        <f>IF(OR(O306="",N306="",N306="none",N306="404"),"",IF(N306="410","Redirect gone "&amp;O306,"Redirect "&amp;N306&amp;" "&amp;O306&amp;" "&amp;M306))</f>
        <v/>
      </c>
      <c r="Q306" s="22" t="n"/>
      <c r="R306" s="22" t="n"/>
      <c r="S306" s="22" t="n"/>
      <c r="T306" s="4">
        <f>IF(A306="","",TRIM(IF(K306="","Needs decision; ","")&amp;IF(AND(K306="Accept suggestion",F306=""),"No suggestion to accept; ","")&amp;IF(AND(K306="Override",L306=""),"Override URL missing; ","")&amp;IF(AND(K306="Accept suggestion",N(G306)&lt;$G$2),"Below your threshold; ","")&amp;IF(AND(M306&lt;&gt;"",M306=A306,K306&lt;&gt;"No change (same URL)"),"Redirects to itself; ","")&amp;IF(AND(M306&lt;&gt;"",OR(M306="/",AND(LEFT(M306,4)="http",OR((LEN(M306)-LEN(SUBSTITUTE(M306,"/","")))=2,AND((LEN(M306)-LEN(SUBSTITUTE(M306,"/","")))=3,RIGHT(M306,1)="/"))))),"Home page redirect; ","")&amp;IF(N(R306)&gt;1,"Chain; ","")&amp;IF(S306="No","Destination not 200; ","")))</f>
        <v/>
      </c>
      <c r="U306" s="22" t="n"/>
      <c r="V306" s="22" t="n"/>
      <c r="W306" s="4" t="n"/>
    </row>
    <row r="307">
      <c r="A307" s="22" t="n"/>
      <c r="B307" s="22" t="n"/>
      <c r="C307" s="22" t="n"/>
      <c r="D307" s="22">
        <f>IF(A307="","",IF(OR(N(B307)&gt;=$C$2,N(C307)&gt;=$E$2),"High",IF(OR(N(B307)&gt;0,N(C307)&gt;0),"Medium","Low")))</f>
        <v/>
      </c>
      <c r="E307" s="22" t="n"/>
      <c r="F307" s="22" t="n"/>
      <c r="G307" s="22" t="n"/>
      <c r="H307" s="22" t="n"/>
      <c r="I307" s="22" t="n"/>
      <c r="J307" s="22" t="n"/>
      <c r="K307" s="22" t="n"/>
      <c r="L307" s="22" t="n"/>
      <c r="M307" s="22">
        <f>IF(K307="Override",L307,IF(K307="Accept suggestion",F307,IF(K307="No change (same URL)",A307,"")))</f>
        <v/>
      </c>
      <c r="N307" s="22">
        <f>IF(A307="","",IF(K307="410 Gone","410",IF(K307="404","404",IF(K307="No change (same URL)","none",IF(M307="","","301")))))</f>
        <v/>
      </c>
      <c r="O307" s="22">
        <f>IF(A307="","",IFERROR(MID(A307,FIND("/",A307,FIND("//",A307)+2),2000),A307))</f>
        <v/>
      </c>
      <c r="P307" s="22">
        <f>IF(OR(O307="",N307="",N307="none",N307="404"),"",IF(N307="410","Redirect gone "&amp;O307,"Redirect "&amp;N307&amp;" "&amp;O307&amp;" "&amp;M307))</f>
        <v/>
      </c>
      <c r="Q307" s="22" t="n"/>
      <c r="R307" s="22" t="n"/>
      <c r="S307" s="22" t="n"/>
      <c r="T307" s="4">
        <f>IF(A307="","",TRIM(IF(K307="","Needs decision; ","")&amp;IF(AND(K307="Accept suggestion",F307=""),"No suggestion to accept; ","")&amp;IF(AND(K307="Override",L307=""),"Override URL missing; ","")&amp;IF(AND(K307="Accept suggestion",N(G307)&lt;$G$2),"Below your threshold; ","")&amp;IF(AND(M307&lt;&gt;"",M307=A307,K307&lt;&gt;"No change (same URL)"),"Redirects to itself; ","")&amp;IF(AND(M307&lt;&gt;"",OR(M307="/",AND(LEFT(M307,4)="http",OR((LEN(M307)-LEN(SUBSTITUTE(M307,"/","")))=2,AND((LEN(M307)-LEN(SUBSTITUTE(M307,"/","")))=3,RIGHT(M307,1)="/"))))),"Home page redirect; ","")&amp;IF(N(R307)&gt;1,"Chain; ","")&amp;IF(S307="No","Destination not 200; ","")))</f>
        <v/>
      </c>
      <c r="U307" s="22" t="n"/>
      <c r="V307" s="22" t="n"/>
      <c r="W307" s="4" t="n"/>
    </row>
    <row r="308">
      <c r="A308" s="22" t="n"/>
      <c r="B308" s="22" t="n"/>
      <c r="C308" s="22" t="n"/>
      <c r="D308" s="22">
        <f>IF(A308="","",IF(OR(N(B308)&gt;=$C$2,N(C308)&gt;=$E$2),"High",IF(OR(N(B308)&gt;0,N(C308)&gt;0),"Medium","Low")))</f>
        <v/>
      </c>
      <c r="E308" s="22" t="n"/>
      <c r="F308" s="22" t="n"/>
      <c r="G308" s="22" t="n"/>
      <c r="H308" s="22" t="n"/>
      <c r="I308" s="22" t="n"/>
      <c r="J308" s="22" t="n"/>
      <c r="K308" s="22" t="n"/>
      <c r="L308" s="22" t="n"/>
      <c r="M308" s="22">
        <f>IF(K308="Override",L308,IF(K308="Accept suggestion",F308,IF(K308="No change (same URL)",A308,"")))</f>
        <v/>
      </c>
      <c r="N308" s="22">
        <f>IF(A308="","",IF(K308="410 Gone","410",IF(K308="404","404",IF(K308="No change (same URL)","none",IF(M308="","","301")))))</f>
        <v/>
      </c>
      <c r="O308" s="22">
        <f>IF(A308="","",IFERROR(MID(A308,FIND("/",A308,FIND("//",A308)+2),2000),A308))</f>
        <v/>
      </c>
      <c r="P308" s="22">
        <f>IF(OR(O308="",N308="",N308="none",N308="404"),"",IF(N308="410","Redirect gone "&amp;O308,"Redirect "&amp;N308&amp;" "&amp;O308&amp;" "&amp;M308))</f>
        <v/>
      </c>
      <c r="Q308" s="22" t="n"/>
      <c r="R308" s="22" t="n"/>
      <c r="S308" s="22" t="n"/>
      <c r="T308" s="4">
        <f>IF(A308="","",TRIM(IF(K308="","Needs decision; ","")&amp;IF(AND(K308="Accept suggestion",F308=""),"No suggestion to accept; ","")&amp;IF(AND(K308="Override",L308=""),"Override URL missing; ","")&amp;IF(AND(K308="Accept suggestion",N(G308)&lt;$G$2),"Below your threshold; ","")&amp;IF(AND(M308&lt;&gt;"",M308=A308,K308&lt;&gt;"No change (same URL)"),"Redirects to itself; ","")&amp;IF(AND(M308&lt;&gt;"",OR(M308="/",AND(LEFT(M308,4)="http",OR((LEN(M308)-LEN(SUBSTITUTE(M308,"/","")))=2,AND((LEN(M308)-LEN(SUBSTITUTE(M308,"/","")))=3,RIGHT(M308,1)="/"))))),"Home page redirect; ","")&amp;IF(N(R308)&gt;1,"Chain; ","")&amp;IF(S308="No","Destination not 200; ","")))</f>
        <v/>
      </c>
      <c r="U308" s="22" t="n"/>
      <c r="V308" s="22" t="n"/>
      <c r="W308" s="4" t="n"/>
    </row>
    <row r="309">
      <c r="A309" s="22" t="n"/>
      <c r="B309" s="22" t="n"/>
      <c r="C309" s="22" t="n"/>
      <c r="D309" s="22">
        <f>IF(A309="","",IF(OR(N(B309)&gt;=$C$2,N(C309)&gt;=$E$2),"High",IF(OR(N(B309)&gt;0,N(C309)&gt;0),"Medium","Low")))</f>
        <v/>
      </c>
      <c r="E309" s="22" t="n"/>
      <c r="F309" s="22" t="n"/>
      <c r="G309" s="22" t="n"/>
      <c r="H309" s="22" t="n"/>
      <c r="I309" s="22" t="n"/>
      <c r="J309" s="22" t="n"/>
      <c r="K309" s="22" t="n"/>
      <c r="L309" s="22" t="n"/>
      <c r="M309" s="22">
        <f>IF(K309="Override",L309,IF(K309="Accept suggestion",F309,IF(K309="No change (same URL)",A309,"")))</f>
        <v/>
      </c>
      <c r="N309" s="22">
        <f>IF(A309="","",IF(K309="410 Gone","410",IF(K309="404","404",IF(K309="No change (same URL)","none",IF(M309="","","301")))))</f>
        <v/>
      </c>
      <c r="O309" s="22">
        <f>IF(A309="","",IFERROR(MID(A309,FIND("/",A309,FIND("//",A309)+2),2000),A309))</f>
        <v/>
      </c>
      <c r="P309" s="22">
        <f>IF(OR(O309="",N309="",N309="none",N309="404"),"",IF(N309="410","Redirect gone "&amp;O309,"Redirect "&amp;N309&amp;" "&amp;O309&amp;" "&amp;M309))</f>
        <v/>
      </c>
      <c r="Q309" s="22" t="n"/>
      <c r="R309" s="22" t="n"/>
      <c r="S309" s="22" t="n"/>
      <c r="T309" s="4">
        <f>IF(A309="","",TRIM(IF(K309="","Needs decision; ","")&amp;IF(AND(K309="Accept suggestion",F309=""),"No suggestion to accept; ","")&amp;IF(AND(K309="Override",L309=""),"Override URL missing; ","")&amp;IF(AND(K309="Accept suggestion",N(G309)&lt;$G$2),"Below your threshold; ","")&amp;IF(AND(M309&lt;&gt;"",M309=A309,K309&lt;&gt;"No change (same URL)"),"Redirects to itself; ","")&amp;IF(AND(M309&lt;&gt;"",OR(M309="/",AND(LEFT(M309,4)="http",OR((LEN(M309)-LEN(SUBSTITUTE(M309,"/","")))=2,AND((LEN(M309)-LEN(SUBSTITUTE(M309,"/","")))=3,RIGHT(M309,1)="/"))))),"Home page redirect; ","")&amp;IF(N(R309)&gt;1,"Chain; ","")&amp;IF(S309="No","Destination not 200; ","")))</f>
        <v/>
      </c>
      <c r="U309" s="22" t="n"/>
      <c r="V309" s="22" t="n"/>
      <c r="W309" s="4" t="n"/>
    </row>
    <row r="310">
      <c r="A310" s="22" t="n"/>
      <c r="B310" s="22" t="n"/>
      <c r="C310" s="22" t="n"/>
      <c r="D310" s="22">
        <f>IF(A310="","",IF(OR(N(B310)&gt;=$C$2,N(C310)&gt;=$E$2),"High",IF(OR(N(B310)&gt;0,N(C310)&gt;0),"Medium","Low")))</f>
        <v/>
      </c>
      <c r="E310" s="22" t="n"/>
      <c r="F310" s="22" t="n"/>
      <c r="G310" s="22" t="n"/>
      <c r="H310" s="22" t="n"/>
      <c r="I310" s="22" t="n"/>
      <c r="J310" s="22" t="n"/>
      <c r="K310" s="22" t="n"/>
      <c r="L310" s="22" t="n"/>
      <c r="M310" s="22">
        <f>IF(K310="Override",L310,IF(K310="Accept suggestion",F310,IF(K310="No change (same URL)",A310,"")))</f>
        <v/>
      </c>
      <c r="N310" s="22">
        <f>IF(A310="","",IF(K310="410 Gone","410",IF(K310="404","404",IF(K310="No change (same URL)","none",IF(M310="","","301")))))</f>
        <v/>
      </c>
      <c r="O310" s="22">
        <f>IF(A310="","",IFERROR(MID(A310,FIND("/",A310,FIND("//",A310)+2),2000),A310))</f>
        <v/>
      </c>
      <c r="P310" s="22">
        <f>IF(OR(O310="",N310="",N310="none",N310="404"),"",IF(N310="410","Redirect gone "&amp;O310,"Redirect "&amp;N310&amp;" "&amp;O310&amp;" "&amp;M310))</f>
        <v/>
      </c>
      <c r="Q310" s="22" t="n"/>
      <c r="R310" s="22" t="n"/>
      <c r="S310" s="22" t="n"/>
      <c r="T310" s="4">
        <f>IF(A310="","",TRIM(IF(K310="","Needs decision; ","")&amp;IF(AND(K310="Accept suggestion",F310=""),"No suggestion to accept; ","")&amp;IF(AND(K310="Override",L310=""),"Override URL missing; ","")&amp;IF(AND(K310="Accept suggestion",N(G310)&lt;$G$2),"Below your threshold; ","")&amp;IF(AND(M310&lt;&gt;"",M310=A310,K310&lt;&gt;"No change (same URL)"),"Redirects to itself; ","")&amp;IF(AND(M310&lt;&gt;"",OR(M310="/",AND(LEFT(M310,4)="http",OR((LEN(M310)-LEN(SUBSTITUTE(M310,"/","")))=2,AND((LEN(M310)-LEN(SUBSTITUTE(M310,"/","")))=3,RIGHT(M310,1)="/"))))),"Home page redirect; ","")&amp;IF(N(R310)&gt;1,"Chain; ","")&amp;IF(S310="No","Destination not 200; ","")))</f>
        <v/>
      </c>
      <c r="U310" s="22" t="n"/>
      <c r="V310" s="22" t="n"/>
      <c r="W310" s="4" t="n"/>
    </row>
    <row r="311">
      <c r="A311" s="22" t="n"/>
      <c r="B311" s="22" t="n"/>
      <c r="C311" s="22" t="n"/>
      <c r="D311" s="22">
        <f>IF(A311="","",IF(OR(N(B311)&gt;=$C$2,N(C311)&gt;=$E$2),"High",IF(OR(N(B311)&gt;0,N(C311)&gt;0),"Medium","Low")))</f>
        <v/>
      </c>
      <c r="E311" s="22" t="n"/>
      <c r="F311" s="22" t="n"/>
      <c r="G311" s="22" t="n"/>
      <c r="H311" s="22" t="n"/>
      <c r="I311" s="22" t="n"/>
      <c r="J311" s="22" t="n"/>
      <c r="K311" s="22" t="n"/>
      <c r="L311" s="22" t="n"/>
      <c r="M311" s="22">
        <f>IF(K311="Override",L311,IF(K311="Accept suggestion",F311,IF(K311="No change (same URL)",A311,"")))</f>
        <v/>
      </c>
      <c r="N311" s="22">
        <f>IF(A311="","",IF(K311="410 Gone","410",IF(K311="404","404",IF(K311="No change (same URL)","none",IF(M311="","","301")))))</f>
        <v/>
      </c>
      <c r="O311" s="22">
        <f>IF(A311="","",IFERROR(MID(A311,FIND("/",A311,FIND("//",A311)+2),2000),A311))</f>
        <v/>
      </c>
      <c r="P311" s="22">
        <f>IF(OR(O311="",N311="",N311="none",N311="404"),"",IF(N311="410","Redirect gone "&amp;O311,"Redirect "&amp;N311&amp;" "&amp;O311&amp;" "&amp;M311))</f>
        <v/>
      </c>
      <c r="Q311" s="22" t="n"/>
      <c r="R311" s="22" t="n"/>
      <c r="S311" s="22" t="n"/>
      <c r="T311" s="4">
        <f>IF(A311="","",TRIM(IF(K311="","Needs decision; ","")&amp;IF(AND(K311="Accept suggestion",F311=""),"No suggestion to accept; ","")&amp;IF(AND(K311="Override",L311=""),"Override URL missing; ","")&amp;IF(AND(K311="Accept suggestion",N(G311)&lt;$G$2),"Below your threshold; ","")&amp;IF(AND(M311&lt;&gt;"",M311=A311,K311&lt;&gt;"No change (same URL)"),"Redirects to itself; ","")&amp;IF(AND(M311&lt;&gt;"",OR(M311="/",AND(LEFT(M311,4)="http",OR((LEN(M311)-LEN(SUBSTITUTE(M311,"/","")))=2,AND((LEN(M311)-LEN(SUBSTITUTE(M311,"/","")))=3,RIGHT(M311,1)="/"))))),"Home page redirect; ","")&amp;IF(N(R311)&gt;1,"Chain; ","")&amp;IF(S311="No","Destination not 200; ","")))</f>
        <v/>
      </c>
      <c r="U311" s="22" t="n"/>
      <c r="V311" s="22" t="n"/>
      <c r="W311" s="4" t="n"/>
    </row>
    <row r="312">
      <c r="A312" s="22" t="n"/>
      <c r="B312" s="22" t="n"/>
      <c r="C312" s="22" t="n"/>
      <c r="D312" s="22">
        <f>IF(A312="","",IF(OR(N(B312)&gt;=$C$2,N(C312)&gt;=$E$2),"High",IF(OR(N(B312)&gt;0,N(C312)&gt;0),"Medium","Low")))</f>
        <v/>
      </c>
      <c r="E312" s="22" t="n"/>
      <c r="F312" s="22" t="n"/>
      <c r="G312" s="22" t="n"/>
      <c r="H312" s="22" t="n"/>
      <c r="I312" s="22" t="n"/>
      <c r="J312" s="22" t="n"/>
      <c r="K312" s="22" t="n"/>
      <c r="L312" s="22" t="n"/>
      <c r="M312" s="22">
        <f>IF(K312="Override",L312,IF(K312="Accept suggestion",F312,IF(K312="No change (same URL)",A312,"")))</f>
        <v/>
      </c>
      <c r="N312" s="22">
        <f>IF(A312="","",IF(K312="410 Gone","410",IF(K312="404","404",IF(K312="No change (same URL)","none",IF(M312="","","301")))))</f>
        <v/>
      </c>
      <c r="O312" s="22">
        <f>IF(A312="","",IFERROR(MID(A312,FIND("/",A312,FIND("//",A312)+2),2000),A312))</f>
        <v/>
      </c>
      <c r="P312" s="22">
        <f>IF(OR(O312="",N312="",N312="none",N312="404"),"",IF(N312="410","Redirect gone "&amp;O312,"Redirect "&amp;N312&amp;" "&amp;O312&amp;" "&amp;M312))</f>
        <v/>
      </c>
      <c r="Q312" s="22" t="n"/>
      <c r="R312" s="22" t="n"/>
      <c r="S312" s="22" t="n"/>
      <c r="T312" s="4">
        <f>IF(A312="","",TRIM(IF(K312="","Needs decision; ","")&amp;IF(AND(K312="Accept suggestion",F312=""),"No suggestion to accept; ","")&amp;IF(AND(K312="Override",L312=""),"Override URL missing; ","")&amp;IF(AND(K312="Accept suggestion",N(G312)&lt;$G$2),"Below your threshold; ","")&amp;IF(AND(M312&lt;&gt;"",M312=A312,K312&lt;&gt;"No change (same URL)"),"Redirects to itself; ","")&amp;IF(AND(M312&lt;&gt;"",OR(M312="/",AND(LEFT(M312,4)="http",OR((LEN(M312)-LEN(SUBSTITUTE(M312,"/","")))=2,AND((LEN(M312)-LEN(SUBSTITUTE(M312,"/","")))=3,RIGHT(M312,1)="/"))))),"Home page redirect; ","")&amp;IF(N(R312)&gt;1,"Chain; ","")&amp;IF(S312="No","Destination not 200; ","")))</f>
        <v/>
      </c>
      <c r="U312" s="22" t="n"/>
      <c r="V312" s="22" t="n"/>
      <c r="W312" s="4" t="n"/>
    </row>
    <row r="313">
      <c r="A313" s="22" t="n"/>
      <c r="B313" s="22" t="n"/>
      <c r="C313" s="22" t="n"/>
      <c r="D313" s="22">
        <f>IF(A313="","",IF(OR(N(B313)&gt;=$C$2,N(C313)&gt;=$E$2),"High",IF(OR(N(B313)&gt;0,N(C313)&gt;0),"Medium","Low")))</f>
        <v/>
      </c>
      <c r="E313" s="22" t="n"/>
      <c r="F313" s="22" t="n"/>
      <c r="G313" s="22" t="n"/>
      <c r="H313" s="22" t="n"/>
      <c r="I313" s="22" t="n"/>
      <c r="J313" s="22" t="n"/>
      <c r="K313" s="22" t="n"/>
      <c r="L313" s="22" t="n"/>
      <c r="M313" s="22">
        <f>IF(K313="Override",L313,IF(K313="Accept suggestion",F313,IF(K313="No change (same URL)",A313,"")))</f>
        <v/>
      </c>
      <c r="N313" s="22">
        <f>IF(A313="","",IF(K313="410 Gone","410",IF(K313="404","404",IF(K313="No change (same URL)","none",IF(M313="","","301")))))</f>
        <v/>
      </c>
      <c r="O313" s="22">
        <f>IF(A313="","",IFERROR(MID(A313,FIND("/",A313,FIND("//",A313)+2),2000),A313))</f>
        <v/>
      </c>
      <c r="P313" s="22">
        <f>IF(OR(O313="",N313="",N313="none",N313="404"),"",IF(N313="410","Redirect gone "&amp;O313,"Redirect "&amp;N313&amp;" "&amp;O313&amp;" "&amp;M313))</f>
        <v/>
      </c>
      <c r="Q313" s="22" t="n"/>
      <c r="R313" s="22" t="n"/>
      <c r="S313" s="22" t="n"/>
      <c r="T313" s="4">
        <f>IF(A313="","",TRIM(IF(K313="","Needs decision; ","")&amp;IF(AND(K313="Accept suggestion",F313=""),"No suggestion to accept; ","")&amp;IF(AND(K313="Override",L313=""),"Override URL missing; ","")&amp;IF(AND(K313="Accept suggestion",N(G313)&lt;$G$2),"Below your threshold; ","")&amp;IF(AND(M313&lt;&gt;"",M313=A313,K313&lt;&gt;"No change (same URL)"),"Redirects to itself; ","")&amp;IF(AND(M313&lt;&gt;"",OR(M313="/",AND(LEFT(M313,4)="http",OR((LEN(M313)-LEN(SUBSTITUTE(M313,"/","")))=2,AND((LEN(M313)-LEN(SUBSTITUTE(M313,"/","")))=3,RIGHT(M313,1)="/"))))),"Home page redirect; ","")&amp;IF(N(R313)&gt;1,"Chain; ","")&amp;IF(S313="No","Destination not 200; ","")))</f>
        <v/>
      </c>
      <c r="U313" s="22" t="n"/>
      <c r="V313" s="22" t="n"/>
      <c r="W313" s="4" t="n"/>
    </row>
    <row r="314">
      <c r="A314" s="22" t="n"/>
      <c r="B314" s="22" t="n"/>
      <c r="C314" s="22" t="n"/>
      <c r="D314" s="22">
        <f>IF(A314="","",IF(OR(N(B314)&gt;=$C$2,N(C314)&gt;=$E$2),"High",IF(OR(N(B314)&gt;0,N(C314)&gt;0),"Medium","Low")))</f>
        <v/>
      </c>
      <c r="E314" s="22" t="n"/>
      <c r="F314" s="22" t="n"/>
      <c r="G314" s="22" t="n"/>
      <c r="H314" s="22" t="n"/>
      <c r="I314" s="22" t="n"/>
      <c r="J314" s="22" t="n"/>
      <c r="K314" s="22" t="n"/>
      <c r="L314" s="22" t="n"/>
      <c r="M314" s="22">
        <f>IF(K314="Override",L314,IF(K314="Accept suggestion",F314,IF(K314="No change (same URL)",A314,"")))</f>
        <v/>
      </c>
      <c r="N314" s="22">
        <f>IF(A314="","",IF(K314="410 Gone","410",IF(K314="404","404",IF(K314="No change (same URL)","none",IF(M314="","","301")))))</f>
        <v/>
      </c>
      <c r="O314" s="22">
        <f>IF(A314="","",IFERROR(MID(A314,FIND("/",A314,FIND("//",A314)+2),2000),A314))</f>
        <v/>
      </c>
      <c r="P314" s="22">
        <f>IF(OR(O314="",N314="",N314="none",N314="404"),"",IF(N314="410","Redirect gone "&amp;O314,"Redirect "&amp;N314&amp;" "&amp;O314&amp;" "&amp;M314))</f>
        <v/>
      </c>
      <c r="Q314" s="22" t="n"/>
      <c r="R314" s="22" t="n"/>
      <c r="S314" s="22" t="n"/>
      <c r="T314" s="4">
        <f>IF(A314="","",TRIM(IF(K314="","Needs decision; ","")&amp;IF(AND(K314="Accept suggestion",F314=""),"No suggestion to accept; ","")&amp;IF(AND(K314="Override",L314=""),"Override URL missing; ","")&amp;IF(AND(K314="Accept suggestion",N(G314)&lt;$G$2),"Below your threshold; ","")&amp;IF(AND(M314&lt;&gt;"",M314=A314,K314&lt;&gt;"No change (same URL)"),"Redirects to itself; ","")&amp;IF(AND(M314&lt;&gt;"",OR(M314="/",AND(LEFT(M314,4)="http",OR((LEN(M314)-LEN(SUBSTITUTE(M314,"/","")))=2,AND((LEN(M314)-LEN(SUBSTITUTE(M314,"/","")))=3,RIGHT(M314,1)="/"))))),"Home page redirect; ","")&amp;IF(N(R314)&gt;1,"Chain; ","")&amp;IF(S314="No","Destination not 200; ","")))</f>
        <v/>
      </c>
      <c r="U314" s="22" t="n"/>
      <c r="V314" s="22" t="n"/>
      <c r="W314" s="4" t="n"/>
    </row>
    <row r="315">
      <c r="A315" s="22" t="n"/>
      <c r="B315" s="22" t="n"/>
      <c r="C315" s="22" t="n"/>
      <c r="D315" s="22">
        <f>IF(A315="","",IF(OR(N(B315)&gt;=$C$2,N(C315)&gt;=$E$2),"High",IF(OR(N(B315)&gt;0,N(C315)&gt;0),"Medium","Low")))</f>
        <v/>
      </c>
      <c r="E315" s="22" t="n"/>
      <c r="F315" s="22" t="n"/>
      <c r="G315" s="22" t="n"/>
      <c r="H315" s="22" t="n"/>
      <c r="I315" s="22" t="n"/>
      <c r="J315" s="22" t="n"/>
      <c r="K315" s="22" t="n"/>
      <c r="L315" s="22" t="n"/>
      <c r="M315" s="22">
        <f>IF(K315="Override",L315,IF(K315="Accept suggestion",F315,IF(K315="No change (same URL)",A315,"")))</f>
        <v/>
      </c>
      <c r="N315" s="22">
        <f>IF(A315="","",IF(K315="410 Gone","410",IF(K315="404","404",IF(K315="No change (same URL)","none",IF(M315="","","301")))))</f>
        <v/>
      </c>
      <c r="O315" s="22">
        <f>IF(A315="","",IFERROR(MID(A315,FIND("/",A315,FIND("//",A315)+2),2000),A315))</f>
        <v/>
      </c>
      <c r="P315" s="22">
        <f>IF(OR(O315="",N315="",N315="none",N315="404"),"",IF(N315="410","Redirect gone "&amp;O315,"Redirect "&amp;N315&amp;" "&amp;O315&amp;" "&amp;M315))</f>
        <v/>
      </c>
      <c r="Q315" s="22" t="n"/>
      <c r="R315" s="22" t="n"/>
      <c r="S315" s="22" t="n"/>
      <c r="T315" s="4">
        <f>IF(A315="","",TRIM(IF(K315="","Needs decision; ","")&amp;IF(AND(K315="Accept suggestion",F315=""),"No suggestion to accept; ","")&amp;IF(AND(K315="Override",L315=""),"Override URL missing; ","")&amp;IF(AND(K315="Accept suggestion",N(G315)&lt;$G$2),"Below your threshold; ","")&amp;IF(AND(M315&lt;&gt;"",M315=A315,K315&lt;&gt;"No change (same URL)"),"Redirects to itself; ","")&amp;IF(AND(M315&lt;&gt;"",OR(M315="/",AND(LEFT(M315,4)="http",OR((LEN(M315)-LEN(SUBSTITUTE(M315,"/","")))=2,AND((LEN(M315)-LEN(SUBSTITUTE(M315,"/","")))=3,RIGHT(M315,1)="/"))))),"Home page redirect; ","")&amp;IF(N(R315)&gt;1,"Chain; ","")&amp;IF(S315="No","Destination not 200; ","")))</f>
        <v/>
      </c>
      <c r="U315" s="22" t="n"/>
      <c r="V315" s="22" t="n"/>
      <c r="W315" s="4" t="n"/>
    </row>
    <row r="316">
      <c r="A316" s="22" t="n"/>
      <c r="B316" s="22" t="n"/>
      <c r="C316" s="22" t="n"/>
      <c r="D316" s="22">
        <f>IF(A316="","",IF(OR(N(B316)&gt;=$C$2,N(C316)&gt;=$E$2),"High",IF(OR(N(B316)&gt;0,N(C316)&gt;0),"Medium","Low")))</f>
        <v/>
      </c>
      <c r="E316" s="22" t="n"/>
      <c r="F316" s="22" t="n"/>
      <c r="G316" s="22" t="n"/>
      <c r="H316" s="22" t="n"/>
      <c r="I316" s="22" t="n"/>
      <c r="J316" s="22" t="n"/>
      <c r="K316" s="22" t="n"/>
      <c r="L316" s="22" t="n"/>
      <c r="M316" s="22">
        <f>IF(K316="Override",L316,IF(K316="Accept suggestion",F316,IF(K316="No change (same URL)",A316,"")))</f>
        <v/>
      </c>
      <c r="N316" s="22">
        <f>IF(A316="","",IF(K316="410 Gone","410",IF(K316="404","404",IF(K316="No change (same URL)","none",IF(M316="","","301")))))</f>
        <v/>
      </c>
      <c r="O316" s="22">
        <f>IF(A316="","",IFERROR(MID(A316,FIND("/",A316,FIND("//",A316)+2),2000),A316))</f>
        <v/>
      </c>
      <c r="P316" s="22">
        <f>IF(OR(O316="",N316="",N316="none",N316="404"),"",IF(N316="410","Redirect gone "&amp;O316,"Redirect "&amp;N316&amp;" "&amp;O316&amp;" "&amp;M316))</f>
        <v/>
      </c>
      <c r="Q316" s="22" t="n"/>
      <c r="R316" s="22" t="n"/>
      <c r="S316" s="22" t="n"/>
      <c r="T316" s="4">
        <f>IF(A316="","",TRIM(IF(K316="","Needs decision; ","")&amp;IF(AND(K316="Accept suggestion",F316=""),"No suggestion to accept; ","")&amp;IF(AND(K316="Override",L316=""),"Override URL missing; ","")&amp;IF(AND(K316="Accept suggestion",N(G316)&lt;$G$2),"Below your threshold; ","")&amp;IF(AND(M316&lt;&gt;"",M316=A316,K316&lt;&gt;"No change (same URL)"),"Redirects to itself; ","")&amp;IF(AND(M316&lt;&gt;"",OR(M316="/",AND(LEFT(M316,4)="http",OR((LEN(M316)-LEN(SUBSTITUTE(M316,"/","")))=2,AND((LEN(M316)-LEN(SUBSTITUTE(M316,"/","")))=3,RIGHT(M316,1)="/"))))),"Home page redirect; ","")&amp;IF(N(R316)&gt;1,"Chain; ","")&amp;IF(S316="No","Destination not 200; ","")))</f>
        <v/>
      </c>
      <c r="U316" s="22" t="n"/>
      <c r="V316" s="22" t="n"/>
      <c r="W316" s="4" t="n"/>
    </row>
    <row r="317">
      <c r="A317" s="22" t="n"/>
      <c r="B317" s="22" t="n"/>
      <c r="C317" s="22" t="n"/>
      <c r="D317" s="22">
        <f>IF(A317="","",IF(OR(N(B317)&gt;=$C$2,N(C317)&gt;=$E$2),"High",IF(OR(N(B317)&gt;0,N(C317)&gt;0),"Medium","Low")))</f>
        <v/>
      </c>
      <c r="E317" s="22" t="n"/>
      <c r="F317" s="22" t="n"/>
      <c r="G317" s="22" t="n"/>
      <c r="H317" s="22" t="n"/>
      <c r="I317" s="22" t="n"/>
      <c r="J317" s="22" t="n"/>
      <c r="K317" s="22" t="n"/>
      <c r="L317" s="22" t="n"/>
      <c r="M317" s="22">
        <f>IF(K317="Override",L317,IF(K317="Accept suggestion",F317,IF(K317="No change (same URL)",A317,"")))</f>
        <v/>
      </c>
      <c r="N317" s="22">
        <f>IF(A317="","",IF(K317="410 Gone","410",IF(K317="404","404",IF(K317="No change (same URL)","none",IF(M317="","","301")))))</f>
        <v/>
      </c>
      <c r="O317" s="22">
        <f>IF(A317="","",IFERROR(MID(A317,FIND("/",A317,FIND("//",A317)+2),2000),A317))</f>
        <v/>
      </c>
      <c r="P317" s="22">
        <f>IF(OR(O317="",N317="",N317="none",N317="404"),"",IF(N317="410","Redirect gone "&amp;O317,"Redirect "&amp;N317&amp;" "&amp;O317&amp;" "&amp;M317))</f>
        <v/>
      </c>
      <c r="Q317" s="22" t="n"/>
      <c r="R317" s="22" t="n"/>
      <c r="S317" s="22" t="n"/>
      <c r="T317" s="4">
        <f>IF(A317="","",TRIM(IF(K317="","Needs decision; ","")&amp;IF(AND(K317="Accept suggestion",F317=""),"No suggestion to accept; ","")&amp;IF(AND(K317="Override",L317=""),"Override URL missing; ","")&amp;IF(AND(K317="Accept suggestion",N(G317)&lt;$G$2),"Below your threshold; ","")&amp;IF(AND(M317&lt;&gt;"",M317=A317,K317&lt;&gt;"No change (same URL)"),"Redirects to itself; ","")&amp;IF(AND(M317&lt;&gt;"",OR(M317="/",AND(LEFT(M317,4)="http",OR((LEN(M317)-LEN(SUBSTITUTE(M317,"/","")))=2,AND((LEN(M317)-LEN(SUBSTITUTE(M317,"/","")))=3,RIGHT(M317,1)="/"))))),"Home page redirect; ","")&amp;IF(N(R317)&gt;1,"Chain; ","")&amp;IF(S317="No","Destination not 200; ","")))</f>
        <v/>
      </c>
      <c r="U317" s="22" t="n"/>
      <c r="V317" s="22" t="n"/>
      <c r="W317" s="4" t="n"/>
    </row>
    <row r="318">
      <c r="A318" s="22" t="n"/>
      <c r="B318" s="22" t="n"/>
      <c r="C318" s="22" t="n"/>
      <c r="D318" s="22">
        <f>IF(A318="","",IF(OR(N(B318)&gt;=$C$2,N(C318)&gt;=$E$2),"High",IF(OR(N(B318)&gt;0,N(C318)&gt;0),"Medium","Low")))</f>
        <v/>
      </c>
      <c r="E318" s="22" t="n"/>
      <c r="F318" s="22" t="n"/>
      <c r="G318" s="22" t="n"/>
      <c r="H318" s="22" t="n"/>
      <c r="I318" s="22" t="n"/>
      <c r="J318" s="22" t="n"/>
      <c r="K318" s="22" t="n"/>
      <c r="L318" s="22" t="n"/>
      <c r="M318" s="22">
        <f>IF(K318="Override",L318,IF(K318="Accept suggestion",F318,IF(K318="No change (same URL)",A318,"")))</f>
        <v/>
      </c>
      <c r="N318" s="22">
        <f>IF(A318="","",IF(K318="410 Gone","410",IF(K318="404","404",IF(K318="No change (same URL)","none",IF(M318="","","301")))))</f>
        <v/>
      </c>
      <c r="O318" s="22">
        <f>IF(A318="","",IFERROR(MID(A318,FIND("/",A318,FIND("//",A318)+2),2000),A318))</f>
        <v/>
      </c>
      <c r="P318" s="22">
        <f>IF(OR(O318="",N318="",N318="none",N318="404"),"",IF(N318="410","Redirect gone "&amp;O318,"Redirect "&amp;N318&amp;" "&amp;O318&amp;" "&amp;M318))</f>
        <v/>
      </c>
      <c r="Q318" s="22" t="n"/>
      <c r="R318" s="22" t="n"/>
      <c r="S318" s="22" t="n"/>
      <c r="T318" s="4">
        <f>IF(A318="","",TRIM(IF(K318="","Needs decision; ","")&amp;IF(AND(K318="Accept suggestion",F318=""),"No suggestion to accept; ","")&amp;IF(AND(K318="Override",L318=""),"Override URL missing; ","")&amp;IF(AND(K318="Accept suggestion",N(G318)&lt;$G$2),"Below your threshold; ","")&amp;IF(AND(M318&lt;&gt;"",M318=A318,K318&lt;&gt;"No change (same URL)"),"Redirects to itself; ","")&amp;IF(AND(M318&lt;&gt;"",OR(M318="/",AND(LEFT(M318,4)="http",OR((LEN(M318)-LEN(SUBSTITUTE(M318,"/","")))=2,AND((LEN(M318)-LEN(SUBSTITUTE(M318,"/","")))=3,RIGHT(M318,1)="/"))))),"Home page redirect; ","")&amp;IF(N(R318)&gt;1,"Chain; ","")&amp;IF(S318="No","Destination not 200; ","")))</f>
        <v/>
      </c>
      <c r="U318" s="22" t="n"/>
      <c r="V318" s="22" t="n"/>
      <c r="W318" s="4" t="n"/>
    </row>
    <row r="319">
      <c r="A319" s="22" t="n"/>
      <c r="B319" s="22" t="n"/>
      <c r="C319" s="22" t="n"/>
      <c r="D319" s="22">
        <f>IF(A319="","",IF(OR(N(B319)&gt;=$C$2,N(C319)&gt;=$E$2),"High",IF(OR(N(B319)&gt;0,N(C319)&gt;0),"Medium","Low")))</f>
        <v/>
      </c>
      <c r="E319" s="22" t="n"/>
      <c r="F319" s="22" t="n"/>
      <c r="G319" s="22" t="n"/>
      <c r="H319" s="22" t="n"/>
      <c r="I319" s="22" t="n"/>
      <c r="J319" s="22" t="n"/>
      <c r="K319" s="22" t="n"/>
      <c r="L319" s="22" t="n"/>
      <c r="M319" s="22">
        <f>IF(K319="Override",L319,IF(K319="Accept suggestion",F319,IF(K319="No change (same URL)",A319,"")))</f>
        <v/>
      </c>
      <c r="N319" s="22">
        <f>IF(A319="","",IF(K319="410 Gone","410",IF(K319="404","404",IF(K319="No change (same URL)","none",IF(M319="","","301")))))</f>
        <v/>
      </c>
      <c r="O319" s="22">
        <f>IF(A319="","",IFERROR(MID(A319,FIND("/",A319,FIND("//",A319)+2),2000),A319))</f>
        <v/>
      </c>
      <c r="P319" s="22">
        <f>IF(OR(O319="",N319="",N319="none",N319="404"),"",IF(N319="410","Redirect gone "&amp;O319,"Redirect "&amp;N319&amp;" "&amp;O319&amp;" "&amp;M319))</f>
        <v/>
      </c>
      <c r="Q319" s="22" t="n"/>
      <c r="R319" s="22" t="n"/>
      <c r="S319" s="22" t="n"/>
      <c r="T319" s="4">
        <f>IF(A319="","",TRIM(IF(K319="","Needs decision; ","")&amp;IF(AND(K319="Accept suggestion",F319=""),"No suggestion to accept; ","")&amp;IF(AND(K319="Override",L319=""),"Override URL missing; ","")&amp;IF(AND(K319="Accept suggestion",N(G319)&lt;$G$2),"Below your threshold; ","")&amp;IF(AND(M319&lt;&gt;"",M319=A319,K319&lt;&gt;"No change (same URL)"),"Redirects to itself; ","")&amp;IF(AND(M319&lt;&gt;"",OR(M319="/",AND(LEFT(M319,4)="http",OR((LEN(M319)-LEN(SUBSTITUTE(M319,"/","")))=2,AND((LEN(M319)-LEN(SUBSTITUTE(M319,"/","")))=3,RIGHT(M319,1)="/"))))),"Home page redirect; ","")&amp;IF(N(R319)&gt;1,"Chain; ","")&amp;IF(S319="No","Destination not 200; ","")))</f>
        <v/>
      </c>
      <c r="U319" s="22" t="n"/>
      <c r="V319" s="22" t="n"/>
      <c r="W319" s="4" t="n"/>
    </row>
    <row r="320">
      <c r="A320" s="22" t="n"/>
      <c r="B320" s="22" t="n"/>
      <c r="C320" s="22" t="n"/>
      <c r="D320" s="22">
        <f>IF(A320="","",IF(OR(N(B320)&gt;=$C$2,N(C320)&gt;=$E$2),"High",IF(OR(N(B320)&gt;0,N(C320)&gt;0),"Medium","Low")))</f>
        <v/>
      </c>
      <c r="E320" s="22" t="n"/>
      <c r="F320" s="22" t="n"/>
      <c r="G320" s="22" t="n"/>
      <c r="H320" s="22" t="n"/>
      <c r="I320" s="22" t="n"/>
      <c r="J320" s="22" t="n"/>
      <c r="K320" s="22" t="n"/>
      <c r="L320" s="22" t="n"/>
      <c r="M320" s="22">
        <f>IF(K320="Override",L320,IF(K320="Accept suggestion",F320,IF(K320="No change (same URL)",A320,"")))</f>
        <v/>
      </c>
      <c r="N320" s="22">
        <f>IF(A320="","",IF(K320="410 Gone","410",IF(K320="404","404",IF(K320="No change (same URL)","none",IF(M320="","","301")))))</f>
        <v/>
      </c>
      <c r="O320" s="22">
        <f>IF(A320="","",IFERROR(MID(A320,FIND("/",A320,FIND("//",A320)+2),2000),A320))</f>
        <v/>
      </c>
      <c r="P320" s="22">
        <f>IF(OR(O320="",N320="",N320="none",N320="404"),"",IF(N320="410","Redirect gone "&amp;O320,"Redirect "&amp;N320&amp;" "&amp;O320&amp;" "&amp;M320))</f>
        <v/>
      </c>
      <c r="Q320" s="22" t="n"/>
      <c r="R320" s="22" t="n"/>
      <c r="S320" s="22" t="n"/>
      <c r="T320" s="4">
        <f>IF(A320="","",TRIM(IF(K320="","Needs decision; ","")&amp;IF(AND(K320="Accept suggestion",F320=""),"No suggestion to accept; ","")&amp;IF(AND(K320="Override",L320=""),"Override URL missing; ","")&amp;IF(AND(K320="Accept suggestion",N(G320)&lt;$G$2),"Below your threshold; ","")&amp;IF(AND(M320&lt;&gt;"",M320=A320,K320&lt;&gt;"No change (same URL)"),"Redirects to itself; ","")&amp;IF(AND(M320&lt;&gt;"",OR(M320="/",AND(LEFT(M320,4)="http",OR((LEN(M320)-LEN(SUBSTITUTE(M320,"/","")))=2,AND((LEN(M320)-LEN(SUBSTITUTE(M320,"/","")))=3,RIGHT(M320,1)="/"))))),"Home page redirect; ","")&amp;IF(N(R320)&gt;1,"Chain; ","")&amp;IF(S320="No","Destination not 200; ","")))</f>
        <v/>
      </c>
      <c r="U320" s="22" t="n"/>
      <c r="V320" s="22" t="n"/>
      <c r="W320" s="4" t="n"/>
    </row>
    <row r="321">
      <c r="A321" s="22" t="n"/>
      <c r="B321" s="22" t="n"/>
      <c r="C321" s="22" t="n"/>
      <c r="D321" s="22">
        <f>IF(A321="","",IF(OR(N(B321)&gt;=$C$2,N(C321)&gt;=$E$2),"High",IF(OR(N(B321)&gt;0,N(C321)&gt;0),"Medium","Low")))</f>
        <v/>
      </c>
      <c r="E321" s="22" t="n"/>
      <c r="F321" s="22" t="n"/>
      <c r="G321" s="22" t="n"/>
      <c r="H321" s="22" t="n"/>
      <c r="I321" s="22" t="n"/>
      <c r="J321" s="22" t="n"/>
      <c r="K321" s="22" t="n"/>
      <c r="L321" s="22" t="n"/>
      <c r="M321" s="22">
        <f>IF(K321="Override",L321,IF(K321="Accept suggestion",F321,IF(K321="No change (same URL)",A321,"")))</f>
        <v/>
      </c>
      <c r="N321" s="22">
        <f>IF(A321="","",IF(K321="410 Gone","410",IF(K321="404","404",IF(K321="No change (same URL)","none",IF(M321="","","301")))))</f>
        <v/>
      </c>
      <c r="O321" s="22">
        <f>IF(A321="","",IFERROR(MID(A321,FIND("/",A321,FIND("//",A321)+2),2000),A321))</f>
        <v/>
      </c>
      <c r="P321" s="22">
        <f>IF(OR(O321="",N321="",N321="none",N321="404"),"",IF(N321="410","Redirect gone "&amp;O321,"Redirect "&amp;N321&amp;" "&amp;O321&amp;" "&amp;M321))</f>
        <v/>
      </c>
      <c r="Q321" s="22" t="n"/>
      <c r="R321" s="22" t="n"/>
      <c r="S321" s="22" t="n"/>
      <c r="T321" s="4">
        <f>IF(A321="","",TRIM(IF(K321="","Needs decision; ","")&amp;IF(AND(K321="Accept suggestion",F321=""),"No suggestion to accept; ","")&amp;IF(AND(K321="Override",L321=""),"Override URL missing; ","")&amp;IF(AND(K321="Accept suggestion",N(G321)&lt;$G$2),"Below your threshold; ","")&amp;IF(AND(M321&lt;&gt;"",M321=A321,K321&lt;&gt;"No change (same URL)"),"Redirects to itself; ","")&amp;IF(AND(M321&lt;&gt;"",OR(M321="/",AND(LEFT(M321,4)="http",OR((LEN(M321)-LEN(SUBSTITUTE(M321,"/","")))=2,AND((LEN(M321)-LEN(SUBSTITUTE(M321,"/","")))=3,RIGHT(M321,1)="/"))))),"Home page redirect; ","")&amp;IF(N(R321)&gt;1,"Chain; ","")&amp;IF(S321="No","Destination not 200; ","")))</f>
        <v/>
      </c>
      <c r="U321" s="22" t="n"/>
      <c r="V321" s="22" t="n"/>
      <c r="W321" s="4" t="n"/>
    </row>
    <row r="322">
      <c r="A322" s="22" t="n"/>
      <c r="B322" s="22" t="n"/>
      <c r="C322" s="22" t="n"/>
      <c r="D322" s="22">
        <f>IF(A322="","",IF(OR(N(B322)&gt;=$C$2,N(C322)&gt;=$E$2),"High",IF(OR(N(B322)&gt;0,N(C322)&gt;0),"Medium","Low")))</f>
        <v/>
      </c>
      <c r="E322" s="22" t="n"/>
      <c r="F322" s="22" t="n"/>
      <c r="G322" s="22" t="n"/>
      <c r="H322" s="22" t="n"/>
      <c r="I322" s="22" t="n"/>
      <c r="J322" s="22" t="n"/>
      <c r="K322" s="22" t="n"/>
      <c r="L322" s="22" t="n"/>
      <c r="M322" s="22">
        <f>IF(K322="Override",L322,IF(K322="Accept suggestion",F322,IF(K322="No change (same URL)",A322,"")))</f>
        <v/>
      </c>
      <c r="N322" s="22">
        <f>IF(A322="","",IF(K322="410 Gone","410",IF(K322="404","404",IF(K322="No change (same URL)","none",IF(M322="","","301")))))</f>
        <v/>
      </c>
      <c r="O322" s="22">
        <f>IF(A322="","",IFERROR(MID(A322,FIND("/",A322,FIND("//",A322)+2),2000),A322))</f>
        <v/>
      </c>
      <c r="P322" s="22">
        <f>IF(OR(O322="",N322="",N322="none",N322="404"),"",IF(N322="410","Redirect gone "&amp;O322,"Redirect "&amp;N322&amp;" "&amp;O322&amp;" "&amp;M322))</f>
        <v/>
      </c>
      <c r="Q322" s="22" t="n"/>
      <c r="R322" s="22" t="n"/>
      <c r="S322" s="22" t="n"/>
      <c r="T322" s="4">
        <f>IF(A322="","",TRIM(IF(K322="","Needs decision; ","")&amp;IF(AND(K322="Accept suggestion",F322=""),"No suggestion to accept; ","")&amp;IF(AND(K322="Override",L322=""),"Override URL missing; ","")&amp;IF(AND(K322="Accept suggestion",N(G322)&lt;$G$2),"Below your threshold; ","")&amp;IF(AND(M322&lt;&gt;"",M322=A322,K322&lt;&gt;"No change (same URL)"),"Redirects to itself; ","")&amp;IF(AND(M322&lt;&gt;"",OR(M322="/",AND(LEFT(M322,4)="http",OR((LEN(M322)-LEN(SUBSTITUTE(M322,"/","")))=2,AND((LEN(M322)-LEN(SUBSTITUTE(M322,"/","")))=3,RIGHT(M322,1)="/"))))),"Home page redirect; ","")&amp;IF(N(R322)&gt;1,"Chain; ","")&amp;IF(S322="No","Destination not 200; ","")))</f>
        <v/>
      </c>
      <c r="U322" s="22" t="n"/>
      <c r="V322" s="22" t="n"/>
      <c r="W322" s="4" t="n"/>
    </row>
    <row r="323">
      <c r="A323" s="22" t="n"/>
      <c r="B323" s="22" t="n"/>
      <c r="C323" s="22" t="n"/>
      <c r="D323" s="22">
        <f>IF(A323="","",IF(OR(N(B323)&gt;=$C$2,N(C323)&gt;=$E$2),"High",IF(OR(N(B323)&gt;0,N(C323)&gt;0),"Medium","Low")))</f>
        <v/>
      </c>
      <c r="E323" s="22" t="n"/>
      <c r="F323" s="22" t="n"/>
      <c r="G323" s="22" t="n"/>
      <c r="H323" s="22" t="n"/>
      <c r="I323" s="22" t="n"/>
      <c r="J323" s="22" t="n"/>
      <c r="K323" s="22" t="n"/>
      <c r="L323" s="22" t="n"/>
      <c r="M323" s="22">
        <f>IF(K323="Override",L323,IF(K323="Accept suggestion",F323,IF(K323="No change (same URL)",A323,"")))</f>
        <v/>
      </c>
      <c r="N323" s="22">
        <f>IF(A323="","",IF(K323="410 Gone","410",IF(K323="404","404",IF(K323="No change (same URL)","none",IF(M323="","","301")))))</f>
        <v/>
      </c>
      <c r="O323" s="22">
        <f>IF(A323="","",IFERROR(MID(A323,FIND("/",A323,FIND("//",A323)+2),2000),A323))</f>
        <v/>
      </c>
      <c r="P323" s="22">
        <f>IF(OR(O323="",N323="",N323="none",N323="404"),"",IF(N323="410","Redirect gone "&amp;O323,"Redirect "&amp;N323&amp;" "&amp;O323&amp;" "&amp;M323))</f>
        <v/>
      </c>
      <c r="Q323" s="22" t="n"/>
      <c r="R323" s="22" t="n"/>
      <c r="S323" s="22" t="n"/>
      <c r="T323" s="4">
        <f>IF(A323="","",TRIM(IF(K323="","Needs decision; ","")&amp;IF(AND(K323="Accept suggestion",F323=""),"No suggestion to accept; ","")&amp;IF(AND(K323="Override",L323=""),"Override URL missing; ","")&amp;IF(AND(K323="Accept suggestion",N(G323)&lt;$G$2),"Below your threshold; ","")&amp;IF(AND(M323&lt;&gt;"",M323=A323,K323&lt;&gt;"No change (same URL)"),"Redirects to itself; ","")&amp;IF(AND(M323&lt;&gt;"",OR(M323="/",AND(LEFT(M323,4)="http",OR((LEN(M323)-LEN(SUBSTITUTE(M323,"/","")))=2,AND((LEN(M323)-LEN(SUBSTITUTE(M323,"/","")))=3,RIGHT(M323,1)="/"))))),"Home page redirect; ","")&amp;IF(N(R323)&gt;1,"Chain; ","")&amp;IF(S323="No","Destination not 200; ","")))</f>
        <v/>
      </c>
      <c r="U323" s="22" t="n"/>
      <c r="V323" s="22" t="n"/>
      <c r="W323" s="4" t="n"/>
    </row>
    <row r="324">
      <c r="A324" s="22" t="n"/>
      <c r="B324" s="22" t="n"/>
      <c r="C324" s="22" t="n"/>
      <c r="D324" s="22">
        <f>IF(A324="","",IF(OR(N(B324)&gt;=$C$2,N(C324)&gt;=$E$2),"High",IF(OR(N(B324)&gt;0,N(C324)&gt;0),"Medium","Low")))</f>
        <v/>
      </c>
      <c r="E324" s="22" t="n"/>
      <c r="F324" s="22" t="n"/>
      <c r="G324" s="22" t="n"/>
      <c r="H324" s="22" t="n"/>
      <c r="I324" s="22" t="n"/>
      <c r="J324" s="22" t="n"/>
      <c r="K324" s="22" t="n"/>
      <c r="L324" s="22" t="n"/>
      <c r="M324" s="22">
        <f>IF(K324="Override",L324,IF(K324="Accept suggestion",F324,IF(K324="No change (same URL)",A324,"")))</f>
        <v/>
      </c>
      <c r="N324" s="22">
        <f>IF(A324="","",IF(K324="410 Gone","410",IF(K324="404","404",IF(K324="No change (same URL)","none",IF(M324="","","301")))))</f>
        <v/>
      </c>
      <c r="O324" s="22">
        <f>IF(A324="","",IFERROR(MID(A324,FIND("/",A324,FIND("//",A324)+2),2000),A324))</f>
        <v/>
      </c>
      <c r="P324" s="22">
        <f>IF(OR(O324="",N324="",N324="none",N324="404"),"",IF(N324="410","Redirect gone "&amp;O324,"Redirect "&amp;N324&amp;" "&amp;O324&amp;" "&amp;M324))</f>
        <v/>
      </c>
      <c r="Q324" s="22" t="n"/>
      <c r="R324" s="22" t="n"/>
      <c r="S324" s="22" t="n"/>
      <c r="T324" s="4">
        <f>IF(A324="","",TRIM(IF(K324="","Needs decision; ","")&amp;IF(AND(K324="Accept suggestion",F324=""),"No suggestion to accept; ","")&amp;IF(AND(K324="Override",L324=""),"Override URL missing; ","")&amp;IF(AND(K324="Accept suggestion",N(G324)&lt;$G$2),"Below your threshold; ","")&amp;IF(AND(M324&lt;&gt;"",M324=A324,K324&lt;&gt;"No change (same URL)"),"Redirects to itself; ","")&amp;IF(AND(M324&lt;&gt;"",OR(M324="/",AND(LEFT(M324,4)="http",OR((LEN(M324)-LEN(SUBSTITUTE(M324,"/","")))=2,AND((LEN(M324)-LEN(SUBSTITUTE(M324,"/","")))=3,RIGHT(M324,1)="/"))))),"Home page redirect; ","")&amp;IF(N(R324)&gt;1,"Chain; ","")&amp;IF(S324="No","Destination not 200; ","")))</f>
        <v/>
      </c>
      <c r="U324" s="22" t="n"/>
      <c r="V324" s="22" t="n"/>
      <c r="W324" s="4" t="n"/>
    </row>
    <row r="325">
      <c r="A325" s="22" t="n"/>
      <c r="B325" s="22" t="n"/>
      <c r="C325" s="22" t="n"/>
      <c r="D325" s="22">
        <f>IF(A325="","",IF(OR(N(B325)&gt;=$C$2,N(C325)&gt;=$E$2),"High",IF(OR(N(B325)&gt;0,N(C325)&gt;0),"Medium","Low")))</f>
        <v/>
      </c>
      <c r="E325" s="22" t="n"/>
      <c r="F325" s="22" t="n"/>
      <c r="G325" s="22" t="n"/>
      <c r="H325" s="22" t="n"/>
      <c r="I325" s="22" t="n"/>
      <c r="J325" s="22" t="n"/>
      <c r="K325" s="22" t="n"/>
      <c r="L325" s="22" t="n"/>
      <c r="M325" s="22">
        <f>IF(K325="Override",L325,IF(K325="Accept suggestion",F325,IF(K325="No change (same URL)",A325,"")))</f>
        <v/>
      </c>
      <c r="N325" s="22">
        <f>IF(A325="","",IF(K325="410 Gone","410",IF(K325="404","404",IF(K325="No change (same URL)","none",IF(M325="","","301")))))</f>
        <v/>
      </c>
      <c r="O325" s="22">
        <f>IF(A325="","",IFERROR(MID(A325,FIND("/",A325,FIND("//",A325)+2),2000),A325))</f>
        <v/>
      </c>
      <c r="P325" s="22">
        <f>IF(OR(O325="",N325="",N325="none",N325="404"),"",IF(N325="410","Redirect gone "&amp;O325,"Redirect "&amp;N325&amp;" "&amp;O325&amp;" "&amp;M325))</f>
        <v/>
      </c>
      <c r="Q325" s="22" t="n"/>
      <c r="R325" s="22" t="n"/>
      <c r="S325" s="22" t="n"/>
      <c r="T325" s="4">
        <f>IF(A325="","",TRIM(IF(K325="","Needs decision; ","")&amp;IF(AND(K325="Accept suggestion",F325=""),"No suggestion to accept; ","")&amp;IF(AND(K325="Override",L325=""),"Override URL missing; ","")&amp;IF(AND(K325="Accept suggestion",N(G325)&lt;$G$2),"Below your threshold; ","")&amp;IF(AND(M325&lt;&gt;"",M325=A325,K325&lt;&gt;"No change (same URL)"),"Redirects to itself; ","")&amp;IF(AND(M325&lt;&gt;"",OR(M325="/",AND(LEFT(M325,4)="http",OR((LEN(M325)-LEN(SUBSTITUTE(M325,"/","")))=2,AND((LEN(M325)-LEN(SUBSTITUTE(M325,"/","")))=3,RIGHT(M325,1)="/"))))),"Home page redirect; ","")&amp;IF(N(R325)&gt;1,"Chain; ","")&amp;IF(S325="No","Destination not 200; ","")))</f>
        <v/>
      </c>
      <c r="U325" s="22" t="n"/>
      <c r="V325" s="22" t="n"/>
      <c r="W325" s="4" t="n"/>
    </row>
    <row r="326">
      <c r="A326" s="22" t="n"/>
      <c r="B326" s="22" t="n"/>
      <c r="C326" s="22" t="n"/>
      <c r="D326" s="22">
        <f>IF(A326="","",IF(OR(N(B326)&gt;=$C$2,N(C326)&gt;=$E$2),"High",IF(OR(N(B326)&gt;0,N(C326)&gt;0),"Medium","Low")))</f>
        <v/>
      </c>
      <c r="E326" s="22" t="n"/>
      <c r="F326" s="22" t="n"/>
      <c r="G326" s="22" t="n"/>
      <c r="H326" s="22" t="n"/>
      <c r="I326" s="22" t="n"/>
      <c r="J326" s="22" t="n"/>
      <c r="K326" s="22" t="n"/>
      <c r="L326" s="22" t="n"/>
      <c r="M326" s="22">
        <f>IF(K326="Override",L326,IF(K326="Accept suggestion",F326,IF(K326="No change (same URL)",A326,"")))</f>
        <v/>
      </c>
      <c r="N326" s="22">
        <f>IF(A326="","",IF(K326="410 Gone","410",IF(K326="404","404",IF(K326="No change (same URL)","none",IF(M326="","","301")))))</f>
        <v/>
      </c>
      <c r="O326" s="22">
        <f>IF(A326="","",IFERROR(MID(A326,FIND("/",A326,FIND("//",A326)+2),2000),A326))</f>
        <v/>
      </c>
      <c r="P326" s="22">
        <f>IF(OR(O326="",N326="",N326="none",N326="404"),"",IF(N326="410","Redirect gone "&amp;O326,"Redirect "&amp;N326&amp;" "&amp;O326&amp;" "&amp;M326))</f>
        <v/>
      </c>
      <c r="Q326" s="22" t="n"/>
      <c r="R326" s="22" t="n"/>
      <c r="S326" s="22" t="n"/>
      <c r="T326" s="4">
        <f>IF(A326="","",TRIM(IF(K326="","Needs decision; ","")&amp;IF(AND(K326="Accept suggestion",F326=""),"No suggestion to accept; ","")&amp;IF(AND(K326="Override",L326=""),"Override URL missing; ","")&amp;IF(AND(K326="Accept suggestion",N(G326)&lt;$G$2),"Below your threshold; ","")&amp;IF(AND(M326&lt;&gt;"",M326=A326,K326&lt;&gt;"No change (same URL)"),"Redirects to itself; ","")&amp;IF(AND(M326&lt;&gt;"",OR(M326="/",AND(LEFT(M326,4)="http",OR((LEN(M326)-LEN(SUBSTITUTE(M326,"/","")))=2,AND((LEN(M326)-LEN(SUBSTITUTE(M326,"/","")))=3,RIGHT(M326,1)="/"))))),"Home page redirect; ","")&amp;IF(N(R326)&gt;1,"Chain; ","")&amp;IF(S326="No","Destination not 200; ","")))</f>
        <v/>
      </c>
      <c r="U326" s="22" t="n"/>
      <c r="V326" s="22" t="n"/>
      <c r="W326" s="4" t="n"/>
    </row>
    <row r="327">
      <c r="A327" s="22" t="n"/>
      <c r="B327" s="22" t="n"/>
      <c r="C327" s="22" t="n"/>
      <c r="D327" s="22">
        <f>IF(A327="","",IF(OR(N(B327)&gt;=$C$2,N(C327)&gt;=$E$2),"High",IF(OR(N(B327)&gt;0,N(C327)&gt;0),"Medium","Low")))</f>
        <v/>
      </c>
      <c r="E327" s="22" t="n"/>
      <c r="F327" s="22" t="n"/>
      <c r="G327" s="22" t="n"/>
      <c r="H327" s="22" t="n"/>
      <c r="I327" s="22" t="n"/>
      <c r="J327" s="22" t="n"/>
      <c r="K327" s="22" t="n"/>
      <c r="L327" s="22" t="n"/>
      <c r="M327" s="22">
        <f>IF(K327="Override",L327,IF(K327="Accept suggestion",F327,IF(K327="No change (same URL)",A327,"")))</f>
        <v/>
      </c>
      <c r="N327" s="22">
        <f>IF(A327="","",IF(K327="410 Gone","410",IF(K327="404","404",IF(K327="No change (same URL)","none",IF(M327="","","301")))))</f>
        <v/>
      </c>
      <c r="O327" s="22">
        <f>IF(A327="","",IFERROR(MID(A327,FIND("/",A327,FIND("//",A327)+2),2000),A327))</f>
        <v/>
      </c>
      <c r="P327" s="22">
        <f>IF(OR(O327="",N327="",N327="none",N327="404"),"",IF(N327="410","Redirect gone "&amp;O327,"Redirect "&amp;N327&amp;" "&amp;O327&amp;" "&amp;M327))</f>
        <v/>
      </c>
      <c r="Q327" s="22" t="n"/>
      <c r="R327" s="22" t="n"/>
      <c r="S327" s="22" t="n"/>
      <c r="T327" s="4">
        <f>IF(A327="","",TRIM(IF(K327="","Needs decision; ","")&amp;IF(AND(K327="Accept suggestion",F327=""),"No suggestion to accept; ","")&amp;IF(AND(K327="Override",L327=""),"Override URL missing; ","")&amp;IF(AND(K327="Accept suggestion",N(G327)&lt;$G$2),"Below your threshold; ","")&amp;IF(AND(M327&lt;&gt;"",M327=A327,K327&lt;&gt;"No change (same URL)"),"Redirects to itself; ","")&amp;IF(AND(M327&lt;&gt;"",OR(M327="/",AND(LEFT(M327,4)="http",OR((LEN(M327)-LEN(SUBSTITUTE(M327,"/","")))=2,AND((LEN(M327)-LEN(SUBSTITUTE(M327,"/","")))=3,RIGHT(M327,1)="/"))))),"Home page redirect; ","")&amp;IF(N(R327)&gt;1,"Chain; ","")&amp;IF(S327="No","Destination not 200; ","")))</f>
        <v/>
      </c>
      <c r="U327" s="22" t="n"/>
      <c r="V327" s="22" t="n"/>
      <c r="W327" s="4" t="n"/>
    </row>
    <row r="328">
      <c r="A328" s="22" t="n"/>
      <c r="B328" s="22" t="n"/>
      <c r="C328" s="22" t="n"/>
      <c r="D328" s="22">
        <f>IF(A328="","",IF(OR(N(B328)&gt;=$C$2,N(C328)&gt;=$E$2),"High",IF(OR(N(B328)&gt;0,N(C328)&gt;0),"Medium","Low")))</f>
        <v/>
      </c>
      <c r="E328" s="22" t="n"/>
      <c r="F328" s="22" t="n"/>
      <c r="G328" s="22" t="n"/>
      <c r="H328" s="22" t="n"/>
      <c r="I328" s="22" t="n"/>
      <c r="J328" s="22" t="n"/>
      <c r="K328" s="22" t="n"/>
      <c r="L328" s="22" t="n"/>
      <c r="M328" s="22">
        <f>IF(K328="Override",L328,IF(K328="Accept suggestion",F328,IF(K328="No change (same URL)",A328,"")))</f>
        <v/>
      </c>
      <c r="N328" s="22">
        <f>IF(A328="","",IF(K328="410 Gone","410",IF(K328="404","404",IF(K328="No change (same URL)","none",IF(M328="","","301")))))</f>
        <v/>
      </c>
      <c r="O328" s="22">
        <f>IF(A328="","",IFERROR(MID(A328,FIND("/",A328,FIND("//",A328)+2),2000),A328))</f>
        <v/>
      </c>
      <c r="P328" s="22">
        <f>IF(OR(O328="",N328="",N328="none",N328="404"),"",IF(N328="410","Redirect gone "&amp;O328,"Redirect "&amp;N328&amp;" "&amp;O328&amp;" "&amp;M328))</f>
        <v/>
      </c>
      <c r="Q328" s="22" t="n"/>
      <c r="R328" s="22" t="n"/>
      <c r="S328" s="22" t="n"/>
      <c r="T328" s="4">
        <f>IF(A328="","",TRIM(IF(K328="","Needs decision; ","")&amp;IF(AND(K328="Accept suggestion",F328=""),"No suggestion to accept; ","")&amp;IF(AND(K328="Override",L328=""),"Override URL missing; ","")&amp;IF(AND(K328="Accept suggestion",N(G328)&lt;$G$2),"Below your threshold; ","")&amp;IF(AND(M328&lt;&gt;"",M328=A328,K328&lt;&gt;"No change (same URL)"),"Redirects to itself; ","")&amp;IF(AND(M328&lt;&gt;"",OR(M328="/",AND(LEFT(M328,4)="http",OR((LEN(M328)-LEN(SUBSTITUTE(M328,"/","")))=2,AND((LEN(M328)-LEN(SUBSTITUTE(M328,"/","")))=3,RIGHT(M328,1)="/"))))),"Home page redirect; ","")&amp;IF(N(R328)&gt;1,"Chain; ","")&amp;IF(S328="No","Destination not 200; ","")))</f>
        <v/>
      </c>
      <c r="U328" s="22" t="n"/>
      <c r="V328" s="22" t="n"/>
      <c r="W328" s="4" t="n"/>
    </row>
    <row r="329">
      <c r="A329" s="22" t="n"/>
      <c r="B329" s="22" t="n"/>
      <c r="C329" s="22" t="n"/>
      <c r="D329" s="22">
        <f>IF(A329="","",IF(OR(N(B329)&gt;=$C$2,N(C329)&gt;=$E$2),"High",IF(OR(N(B329)&gt;0,N(C329)&gt;0),"Medium","Low")))</f>
        <v/>
      </c>
      <c r="E329" s="22" t="n"/>
      <c r="F329" s="22" t="n"/>
      <c r="G329" s="22" t="n"/>
      <c r="H329" s="22" t="n"/>
      <c r="I329" s="22" t="n"/>
      <c r="J329" s="22" t="n"/>
      <c r="K329" s="22" t="n"/>
      <c r="L329" s="22" t="n"/>
      <c r="M329" s="22">
        <f>IF(K329="Override",L329,IF(K329="Accept suggestion",F329,IF(K329="No change (same URL)",A329,"")))</f>
        <v/>
      </c>
      <c r="N329" s="22">
        <f>IF(A329="","",IF(K329="410 Gone","410",IF(K329="404","404",IF(K329="No change (same URL)","none",IF(M329="","","301")))))</f>
        <v/>
      </c>
      <c r="O329" s="22">
        <f>IF(A329="","",IFERROR(MID(A329,FIND("/",A329,FIND("//",A329)+2),2000),A329))</f>
        <v/>
      </c>
      <c r="P329" s="22">
        <f>IF(OR(O329="",N329="",N329="none",N329="404"),"",IF(N329="410","Redirect gone "&amp;O329,"Redirect "&amp;N329&amp;" "&amp;O329&amp;" "&amp;M329))</f>
        <v/>
      </c>
      <c r="Q329" s="22" t="n"/>
      <c r="R329" s="22" t="n"/>
      <c r="S329" s="22" t="n"/>
      <c r="T329" s="4">
        <f>IF(A329="","",TRIM(IF(K329="","Needs decision; ","")&amp;IF(AND(K329="Accept suggestion",F329=""),"No suggestion to accept; ","")&amp;IF(AND(K329="Override",L329=""),"Override URL missing; ","")&amp;IF(AND(K329="Accept suggestion",N(G329)&lt;$G$2),"Below your threshold; ","")&amp;IF(AND(M329&lt;&gt;"",M329=A329,K329&lt;&gt;"No change (same URL)"),"Redirects to itself; ","")&amp;IF(AND(M329&lt;&gt;"",OR(M329="/",AND(LEFT(M329,4)="http",OR((LEN(M329)-LEN(SUBSTITUTE(M329,"/","")))=2,AND((LEN(M329)-LEN(SUBSTITUTE(M329,"/","")))=3,RIGHT(M329,1)="/"))))),"Home page redirect; ","")&amp;IF(N(R329)&gt;1,"Chain; ","")&amp;IF(S329="No","Destination not 200; ","")))</f>
        <v/>
      </c>
      <c r="U329" s="22" t="n"/>
      <c r="V329" s="22" t="n"/>
      <c r="W329" s="4" t="n"/>
    </row>
    <row r="330">
      <c r="A330" s="22" t="n"/>
      <c r="B330" s="22" t="n"/>
      <c r="C330" s="22" t="n"/>
      <c r="D330" s="22">
        <f>IF(A330="","",IF(OR(N(B330)&gt;=$C$2,N(C330)&gt;=$E$2),"High",IF(OR(N(B330)&gt;0,N(C330)&gt;0),"Medium","Low")))</f>
        <v/>
      </c>
      <c r="E330" s="22" t="n"/>
      <c r="F330" s="22" t="n"/>
      <c r="G330" s="22" t="n"/>
      <c r="H330" s="22" t="n"/>
      <c r="I330" s="22" t="n"/>
      <c r="J330" s="22" t="n"/>
      <c r="K330" s="22" t="n"/>
      <c r="L330" s="22" t="n"/>
      <c r="M330" s="22">
        <f>IF(K330="Override",L330,IF(K330="Accept suggestion",F330,IF(K330="No change (same URL)",A330,"")))</f>
        <v/>
      </c>
      <c r="N330" s="22">
        <f>IF(A330="","",IF(K330="410 Gone","410",IF(K330="404","404",IF(K330="No change (same URL)","none",IF(M330="","","301")))))</f>
        <v/>
      </c>
      <c r="O330" s="22">
        <f>IF(A330="","",IFERROR(MID(A330,FIND("/",A330,FIND("//",A330)+2),2000),A330))</f>
        <v/>
      </c>
      <c r="P330" s="22">
        <f>IF(OR(O330="",N330="",N330="none",N330="404"),"",IF(N330="410","Redirect gone "&amp;O330,"Redirect "&amp;N330&amp;" "&amp;O330&amp;" "&amp;M330))</f>
        <v/>
      </c>
      <c r="Q330" s="22" t="n"/>
      <c r="R330" s="22" t="n"/>
      <c r="S330" s="22" t="n"/>
      <c r="T330" s="4">
        <f>IF(A330="","",TRIM(IF(K330="","Needs decision; ","")&amp;IF(AND(K330="Accept suggestion",F330=""),"No suggestion to accept; ","")&amp;IF(AND(K330="Override",L330=""),"Override URL missing; ","")&amp;IF(AND(K330="Accept suggestion",N(G330)&lt;$G$2),"Below your threshold; ","")&amp;IF(AND(M330&lt;&gt;"",M330=A330,K330&lt;&gt;"No change (same URL)"),"Redirects to itself; ","")&amp;IF(AND(M330&lt;&gt;"",OR(M330="/",AND(LEFT(M330,4)="http",OR((LEN(M330)-LEN(SUBSTITUTE(M330,"/","")))=2,AND((LEN(M330)-LEN(SUBSTITUTE(M330,"/","")))=3,RIGHT(M330,1)="/"))))),"Home page redirect; ","")&amp;IF(N(R330)&gt;1,"Chain; ","")&amp;IF(S330="No","Destination not 200; ","")))</f>
        <v/>
      </c>
      <c r="U330" s="22" t="n"/>
      <c r="V330" s="22" t="n"/>
      <c r="W330" s="4" t="n"/>
    </row>
    <row r="331">
      <c r="A331" s="22" t="n"/>
      <c r="B331" s="22" t="n"/>
      <c r="C331" s="22" t="n"/>
      <c r="D331" s="22">
        <f>IF(A331="","",IF(OR(N(B331)&gt;=$C$2,N(C331)&gt;=$E$2),"High",IF(OR(N(B331)&gt;0,N(C331)&gt;0),"Medium","Low")))</f>
        <v/>
      </c>
      <c r="E331" s="22" t="n"/>
      <c r="F331" s="22" t="n"/>
      <c r="G331" s="22" t="n"/>
      <c r="H331" s="22" t="n"/>
      <c r="I331" s="22" t="n"/>
      <c r="J331" s="22" t="n"/>
      <c r="K331" s="22" t="n"/>
      <c r="L331" s="22" t="n"/>
      <c r="M331" s="22">
        <f>IF(K331="Override",L331,IF(K331="Accept suggestion",F331,IF(K331="No change (same URL)",A331,"")))</f>
        <v/>
      </c>
      <c r="N331" s="22">
        <f>IF(A331="","",IF(K331="410 Gone","410",IF(K331="404","404",IF(K331="No change (same URL)","none",IF(M331="","","301")))))</f>
        <v/>
      </c>
      <c r="O331" s="22">
        <f>IF(A331="","",IFERROR(MID(A331,FIND("/",A331,FIND("//",A331)+2),2000),A331))</f>
        <v/>
      </c>
      <c r="P331" s="22">
        <f>IF(OR(O331="",N331="",N331="none",N331="404"),"",IF(N331="410","Redirect gone "&amp;O331,"Redirect "&amp;N331&amp;" "&amp;O331&amp;" "&amp;M331))</f>
        <v/>
      </c>
      <c r="Q331" s="22" t="n"/>
      <c r="R331" s="22" t="n"/>
      <c r="S331" s="22" t="n"/>
      <c r="T331" s="4">
        <f>IF(A331="","",TRIM(IF(K331="","Needs decision; ","")&amp;IF(AND(K331="Accept suggestion",F331=""),"No suggestion to accept; ","")&amp;IF(AND(K331="Override",L331=""),"Override URL missing; ","")&amp;IF(AND(K331="Accept suggestion",N(G331)&lt;$G$2),"Below your threshold; ","")&amp;IF(AND(M331&lt;&gt;"",M331=A331,K331&lt;&gt;"No change (same URL)"),"Redirects to itself; ","")&amp;IF(AND(M331&lt;&gt;"",OR(M331="/",AND(LEFT(M331,4)="http",OR((LEN(M331)-LEN(SUBSTITUTE(M331,"/","")))=2,AND((LEN(M331)-LEN(SUBSTITUTE(M331,"/","")))=3,RIGHT(M331,1)="/"))))),"Home page redirect; ","")&amp;IF(N(R331)&gt;1,"Chain; ","")&amp;IF(S331="No","Destination not 200; ","")))</f>
        <v/>
      </c>
      <c r="U331" s="22" t="n"/>
      <c r="V331" s="22" t="n"/>
      <c r="W331" s="4" t="n"/>
    </row>
    <row r="332">
      <c r="A332" s="22" t="n"/>
      <c r="B332" s="22" t="n"/>
      <c r="C332" s="22" t="n"/>
      <c r="D332" s="22">
        <f>IF(A332="","",IF(OR(N(B332)&gt;=$C$2,N(C332)&gt;=$E$2),"High",IF(OR(N(B332)&gt;0,N(C332)&gt;0),"Medium","Low")))</f>
        <v/>
      </c>
      <c r="E332" s="22" t="n"/>
      <c r="F332" s="22" t="n"/>
      <c r="G332" s="22" t="n"/>
      <c r="H332" s="22" t="n"/>
      <c r="I332" s="22" t="n"/>
      <c r="J332" s="22" t="n"/>
      <c r="K332" s="22" t="n"/>
      <c r="L332" s="22" t="n"/>
      <c r="M332" s="22">
        <f>IF(K332="Override",L332,IF(K332="Accept suggestion",F332,IF(K332="No change (same URL)",A332,"")))</f>
        <v/>
      </c>
      <c r="N332" s="22">
        <f>IF(A332="","",IF(K332="410 Gone","410",IF(K332="404","404",IF(K332="No change (same URL)","none",IF(M332="","","301")))))</f>
        <v/>
      </c>
      <c r="O332" s="22">
        <f>IF(A332="","",IFERROR(MID(A332,FIND("/",A332,FIND("//",A332)+2),2000),A332))</f>
        <v/>
      </c>
      <c r="P332" s="22">
        <f>IF(OR(O332="",N332="",N332="none",N332="404"),"",IF(N332="410","Redirect gone "&amp;O332,"Redirect "&amp;N332&amp;" "&amp;O332&amp;" "&amp;M332))</f>
        <v/>
      </c>
      <c r="Q332" s="22" t="n"/>
      <c r="R332" s="22" t="n"/>
      <c r="S332" s="22" t="n"/>
      <c r="T332" s="4">
        <f>IF(A332="","",TRIM(IF(K332="","Needs decision; ","")&amp;IF(AND(K332="Accept suggestion",F332=""),"No suggestion to accept; ","")&amp;IF(AND(K332="Override",L332=""),"Override URL missing; ","")&amp;IF(AND(K332="Accept suggestion",N(G332)&lt;$G$2),"Below your threshold; ","")&amp;IF(AND(M332&lt;&gt;"",M332=A332,K332&lt;&gt;"No change (same URL)"),"Redirects to itself; ","")&amp;IF(AND(M332&lt;&gt;"",OR(M332="/",AND(LEFT(M332,4)="http",OR((LEN(M332)-LEN(SUBSTITUTE(M332,"/","")))=2,AND((LEN(M332)-LEN(SUBSTITUTE(M332,"/","")))=3,RIGHT(M332,1)="/"))))),"Home page redirect; ","")&amp;IF(N(R332)&gt;1,"Chain; ","")&amp;IF(S332="No","Destination not 200; ","")))</f>
        <v/>
      </c>
      <c r="U332" s="22" t="n"/>
      <c r="V332" s="22" t="n"/>
      <c r="W332" s="4" t="n"/>
    </row>
    <row r="333">
      <c r="A333" s="22" t="n"/>
      <c r="B333" s="22" t="n"/>
      <c r="C333" s="22" t="n"/>
      <c r="D333" s="22">
        <f>IF(A333="","",IF(OR(N(B333)&gt;=$C$2,N(C333)&gt;=$E$2),"High",IF(OR(N(B333)&gt;0,N(C333)&gt;0),"Medium","Low")))</f>
        <v/>
      </c>
      <c r="E333" s="22" t="n"/>
      <c r="F333" s="22" t="n"/>
      <c r="G333" s="22" t="n"/>
      <c r="H333" s="22" t="n"/>
      <c r="I333" s="22" t="n"/>
      <c r="J333" s="22" t="n"/>
      <c r="K333" s="22" t="n"/>
      <c r="L333" s="22" t="n"/>
      <c r="M333" s="22">
        <f>IF(K333="Override",L333,IF(K333="Accept suggestion",F333,IF(K333="No change (same URL)",A333,"")))</f>
        <v/>
      </c>
      <c r="N333" s="22">
        <f>IF(A333="","",IF(K333="410 Gone","410",IF(K333="404","404",IF(K333="No change (same URL)","none",IF(M333="","","301")))))</f>
        <v/>
      </c>
      <c r="O333" s="22">
        <f>IF(A333="","",IFERROR(MID(A333,FIND("/",A333,FIND("//",A333)+2),2000),A333))</f>
        <v/>
      </c>
      <c r="P333" s="22">
        <f>IF(OR(O333="",N333="",N333="none",N333="404"),"",IF(N333="410","Redirect gone "&amp;O333,"Redirect "&amp;N333&amp;" "&amp;O333&amp;" "&amp;M333))</f>
        <v/>
      </c>
      <c r="Q333" s="22" t="n"/>
      <c r="R333" s="22" t="n"/>
      <c r="S333" s="22" t="n"/>
      <c r="T333" s="4">
        <f>IF(A333="","",TRIM(IF(K333="","Needs decision; ","")&amp;IF(AND(K333="Accept suggestion",F333=""),"No suggestion to accept; ","")&amp;IF(AND(K333="Override",L333=""),"Override URL missing; ","")&amp;IF(AND(K333="Accept suggestion",N(G333)&lt;$G$2),"Below your threshold; ","")&amp;IF(AND(M333&lt;&gt;"",M333=A333,K333&lt;&gt;"No change (same URL)"),"Redirects to itself; ","")&amp;IF(AND(M333&lt;&gt;"",OR(M333="/",AND(LEFT(M333,4)="http",OR((LEN(M333)-LEN(SUBSTITUTE(M333,"/","")))=2,AND((LEN(M333)-LEN(SUBSTITUTE(M333,"/","")))=3,RIGHT(M333,1)="/"))))),"Home page redirect; ","")&amp;IF(N(R333)&gt;1,"Chain; ","")&amp;IF(S333="No","Destination not 200; ","")))</f>
        <v/>
      </c>
      <c r="U333" s="22" t="n"/>
      <c r="V333" s="22" t="n"/>
      <c r="W333" s="4" t="n"/>
    </row>
    <row r="334">
      <c r="A334" s="22" t="n"/>
      <c r="B334" s="22" t="n"/>
      <c r="C334" s="22" t="n"/>
      <c r="D334" s="22">
        <f>IF(A334="","",IF(OR(N(B334)&gt;=$C$2,N(C334)&gt;=$E$2),"High",IF(OR(N(B334)&gt;0,N(C334)&gt;0),"Medium","Low")))</f>
        <v/>
      </c>
      <c r="E334" s="22" t="n"/>
      <c r="F334" s="22" t="n"/>
      <c r="G334" s="22" t="n"/>
      <c r="H334" s="22" t="n"/>
      <c r="I334" s="22" t="n"/>
      <c r="J334" s="22" t="n"/>
      <c r="K334" s="22" t="n"/>
      <c r="L334" s="22" t="n"/>
      <c r="M334" s="22">
        <f>IF(K334="Override",L334,IF(K334="Accept suggestion",F334,IF(K334="No change (same URL)",A334,"")))</f>
        <v/>
      </c>
      <c r="N334" s="22">
        <f>IF(A334="","",IF(K334="410 Gone","410",IF(K334="404","404",IF(K334="No change (same URL)","none",IF(M334="","","301")))))</f>
        <v/>
      </c>
      <c r="O334" s="22">
        <f>IF(A334="","",IFERROR(MID(A334,FIND("/",A334,FIND("//",A334)+2),2000),A334))</f>
        <v/>
      </c>
      <c r="P334" s="22">
        <f>IF(OR(O334="",N334="",N334="none",N334="404"),"",IF(N334="410","Redirect gone "&amp;O334,"Redirect "&amp;N334&amp;" "&amp;O334&amp;" "&amp;M334))</f>
        <v/>
      </c>
      <c r="Q334" s="22" t="n"/>
      <c r="R334" s="22" t="n"/>
      <c r="S334" s="22" t="n"/>
      <c r="T334" s="4">
        <f>IF(A334="","",TRIM(IF(K334="","Needs decision; ","")&amp;IF(AND(K334="Accept suggestion",F334=""),"No suggestion to accept; ","")&amp;IF(AND(K334="Override",L334=""),"Override URL missing; ","")&amp;IF(AND(K334="Accept suggestion",N(G334)&lt;$G$2),"Below your threshold; ","")&amp;IF(AND(M334&lt;&gt;"",M334=A334,K334&lt;&gt;"No change (same URL)"),"Redirects to itself; ","")&amp;IF(AND(M334&lt;&gt;"",OR(M334="/",AND(LEFT(M334,4)="http",OR((LEN(M334)-LEN(SUBSTITUTE(M334,"/","")))=2,AND((LEN(M334)-LEN(SUBSTITUTE(M334,"/","")))=3,RIGHT(M334,1)="/"))))),"Home page redirect; ","")&amp;IF(N(R334)&gt;1,"Chain; ","")&amp;IF(S334="No","Destination not 200; ","")))</f>
        <v/>
      </c>
      <c r="U334" s="22" t="n"/>
      <c r="V334" s="22" t="n"/>
      <c r="W334" s="4" t="n"/>
    </row>
    <row r="335">
      <c r="A335" s="22" t="n"/>
      <c r="B335" s="22" t="n"/>
      <c r="C335" s="22" t="n"/>
      <c r="D335" s="22">
        <f>IF(A335="","",IF(OR(N(B335)&gt;=$C$2,N(C335)&gt;=$E$2),"High",IF(OR(N(B335)&gt;0,N(C335)&gt;0),"Medium","Low")))</f>
        <v/>
      </c>
      <c r="E335" s="22" t="n"/>
      <c r="F335" s="22" t="n"/>
      <c r="G335" s="22" t="n"/>
      <c r="H335" s="22" t="n"/>
      <c r="I335" s="22" t="n"/>
      <c r="J335" s="22" t="n"/>
      <c r="K335" s="22" t="n"/>
      <c r="L335" s="22" t="n"/>
      <c r="M335" s="22">
        <f>IF(K335="Override",L335,IF(K335="Accept suggestion",F335,IF(K335="No change (same URL)",A335,"")))</f>
        <v/>
      </c>
      <c r="N335" s="22">
        <f>IF(A335="","",IF(K335="410 Gone","410",IF(K335="404","404",IF(K335="No change (same URL)","none",IF(M335="","","301")))))</f>
        <v/>
      </c>
      <c r="O335" s="22">
        <f>IF(A335="","",IFERROR(MID(A335,FIND("/",A335,FIND("//",A335)+2),2000),A335))</f>
        <v/>
      </c>
      <c r="P335" s="22">
        <f>IF(OR(O335="",N335="",N335="none",N335="404"),"",IF(N335="410","Redirect gone "&amp;O335,"Redirect "&amp;N335&amp;" "&amp;O335&amp;" "&amp;M335))</f>
        <v/>
      </c>
      <c r="Q335" s="22" t="n"/>
      <c r="R335" s="22" t="n"/>
      <c r="S335" s="22" t="n"/>
      <c r="T335" s="4">
        <f>IF(A335="","",TRIM(IF(K335="","Needs decision; ","")&amp;IF(AND(K335="Accept suggestion",F335=""),"No suggestion to accept; ","")&amp;IF(AND(K335="Override",L335=""),"Override URL missing; ","")&amp;IF(AND(K335="Accept suggestion",N(G335)&lt;$G$2),"Below your threshold; ","")&amp;IF(AND(M335&lt;&gt;"",M335=A335,K335&lt;&gt;"No change (same URL)"),"Redirects to itself; ","")&amp;IF(AND(M335&lt;&gt;"",OR(M335="/",AND(LEFT(M335,4)="http",OR((LEN(M335)-LEN(SUBSTITUTE(M335,"/","")))=2,AND((LEN(M335)-LEN(SUBSTITUTE(M335,"/","")))=3,RIGHT(M335,1)="/"))))),"Home page redirect; ","")&amp;IF(N(R335)&gt;1,"Chain; ","")&amp;IF(S335="No","Destination not 200; ","")))</f>
        <v/>
      </c>
      <c r="U335" s="22" t="n"/>
      <c r="V335" s="22" t="n"/>
      <c r="W335" s="4" t="n"/>
    </row>
    <row r="336">
      <c r="A336" s="22" t="n"/>
      <c r="B336" s="22" t="n"/>
      <c r="C336" s="22" t="n"/>
      <c r="D336" s="22">
        <f>IF(A336="","",IF(OR(N(B336)&gt;=$C$2,N(C336)&gt;=$E$2),"High",IF(OR(N(B336)&gt;0,N(C336)&gt;0),"Medium","Low")))</f>
        <v/>
      </c>
      <c r="E336" s="22" t="n"/>
      <c r="F336" s="22" t="n"/>
      <c r="G336" s="22" t="n"/>
      <c r="H336" s="22" t="n"/>
      <c r="I336" s="22" t="n"/>
      <c r="J336" s="22" t="n"/>
      <c r="K336" s="22" t="n"/>
      <c r="L336" s="22" t="n"/>
      <c r="M336" s="22">
        <f>IF(K336="Override",L336,IF(K336="Accept suggestion",F336,IF(K336="No change (same URL)",A336,"")))</f>
        <v/>
      </c>
      <c r="N336" s="22">
        <f>IF(A336="","",IF(K336="410 Gone","410",IF(K336="404","404",IF(K336="No change (same URL)","none",IF(M336="","","301")))))</f>
        <v/>
      </c>
      <c r="O336" s="22">
        <f>IF(A336="","",IFERROR(MID(A336,FIND("/",A336,FIND("//",A336)+2),2000),A336))</f>
        <v/>
      </c>
      <c r="P336" s="22">
        <f>IF(OR(O336="",N336="",N336="none",N336="404"),"",IF(N336="410","Redirect gone "&amp;O336,"Redirect "&amp;N336&amp;" "&amp;O336&amp;" "&amp;M336))</f>
        <v/>
      </c>
      <c r="Q336" s="22" t="n"/>
      <c r="R336" s="22" t="n"/>
      <c r="S336" s="22" t="n"/>
      <c r="T336" s="4">
        <f>IF(A336="","",TRIM(IF(K336="","Needs decision; ","")&amp;IF(AND(K336="Accept suggestion",F336=""),"No suggestion to accept; ","")&amp;IF(AND(K336="Override",L336=""),"Override URL missing; ","")&amp;IF(AND(K336="Accept suggestion",N(G336)&lt;$G$2),"Below your threshold; ","")&amp;IF(AND(M336&lt;&gt;"",M336=A336,K336&lt;&gt;"No change (same URL)"),"Redirects to itself; ","")&amp;IF(AND(M336&lt;&gt;"",OR(M336="/",AND(LEFT(M336,4)="http",OR((LEN(M336)-LEN(SUBSTITUTE(M336,"/","")))=2,AND((LEN(M336)-LEN(SUBSTITUTE(M336,"/","")))=3,RIGHT(M336,1)="/"))))),"Home page redirect; ","")&amp;IF(N(R336)&gt;1,"Chain; ","")&amp;IF(S336="No","Destination not 200; ","")))</f>
        <v/>
      </c>
      <c r="U336" s="22" t="n"/>
      <c r="V336" s="22" t="n"/>
      <c r="W336" s="4" t="n"/>
    </row>
    <row r="337">
      <c r="A337" s="22" t="n"/>
      <c r="B337" s="22" t="n"/>
      <c r="C337" s="22" t="n"/>
      <c r="D337" s="22">
        <f>IF(A337="","",IF(OR(N(B337)&gt;=$C$2,N(C337)&gt;=$E$2),"High",IF(OR(N(B337)&gt;0,N(C337)&gt;0),"Medium","Low")))</f>
        <v/>
      </c>
      <c r="E337" s="22" t="n"/>
      <c r="F337" s="22" t="n"/>
      <c r="G337" s="22" t="n"/>
      <c r="H337" s="22" t="n"/>
      <c r="I337" s="22" t="n"/>
      <c r="J337" s="22" t="n"/>
      <c r="K337" s="22" t="n"/>
      <c r="L337" s="22" t="n"/>
      <c r="M337" s="22">
        <f>IF(K337="Override",L337,IF(K337="Accept suggestion",F337,IF(K337="No change (same URL)",A337,"")))</f>
        <v/>
      </c>
      <c r="N337" s="22">
        <f>IF(A337="","",IF(K337="410 Gone","410",IF(K337="404","404",IF(K337="No change (same URL)","none",IF(M337="","","301")))))</f>
        <v/>
      </c>
      <c r="O337" s="22">
        <f>IF(A337="","",IFERROR(MID(A337,FIND("/",A337,FIND("//",A337)+2),2000),A337))</f>
        <v/>
      </c>
      <c r="P337" s="22">
        <f>IF(OR(O337="",N337="",N337="none",N337="404"),"",IF(N337="410","Redirect gone "&amp;O337,"Redirect "&amp;N337&amp;" "&amp;O337&amp;" "&amp;M337))</f>
        <v/>
      </c>
      <c r="Q337" s="22" t="n"/>
      <c r="R337" s="22" t="n"/>
      <c r="S337" s="22" t="n"/>
      <c r="T337" s="4">
        <f>IF(A337="","",TRIM(IF(K337="","Needs decision; ","")&amp;IF(AND(K337="Accept suggestion",F337=""),"No suggestion to accept; ","")&amp;IF(AND(K337="Override",L337=""),"Override URL missing; ","")&amp;IF(AND(K337="Accept suggestion",N(G337)&lt;$G$2),"Below your threshold; ","")&amp;IF(AND(M337&lt;&gt;"",M337=A337,K337&lt;&gt;"No change (same URL)"),"Redirects to itself; ","")&amp;IF(AND(M337&lt;&gt;"",OR(M337="/",AND(LEFT(M337,4)="http",OR((LEN(M337)-LEN(SUBSTITUTE(M337,"/","")))=2,AND((LEN(M337)-LEN(SUBSTITUTE(M337,"/","")))=3,RIGHT(M337,1)="/"))))),"Home page redirect; ","")&amp;IF(N(R337)&gt;1,"Chain; ","")&amp;IF(S337="No","Destination not 200; ","")))</f>
        <v/>
      </c>
      <c r="U337" s="22" t="n"/>
      <c r="V337" s="22" t="n"/>
      <c r="W337" s="4" t="n"/>
    </row>
    <row r="338">
      <c r="A338" s="22" t="n"/>
      <c r="B338" s="22" t="n"/>
      <c r="C338" s="22" t="n"/>
      <c r="D338" s="22">
        <f>IF(A338="","",IF(OR(N(B338)&gt;=$C$2,N(C338)&gt;=$E$2),"High",IF(OR(N(B338)&gt;0,N(C338)&gt;0),"Medium","Low")))</f>
        <v/>
      </c>
      <c r="E338" s="22" t="n"/>
      <c r="F338" s="22" t="n"/>
      <c r="G338" s="22" t="n"/>
      <c r="H338" s="22" t="n"/>
      <c r="I338" s="22" t="n"/>
      <c r="J338" s="22" t="n"/>
      <c r="K338" s="22" t="n"/>
      <c r="L338" s="22" t="n"/>
      <c r="M338" s="22">
        <f>IF(K338="Override",L338,IF(K338="Accept suggestion",F338,IF(K338="No change (same URL)",A338,"")))</f>
        <v/>
      </c>
      <c r="N338" s="22">
        <f>IF(A338="","",IF(K338="410 Gone","410",IF(K338="404","404",IF(K338="No change (same URL)","none",IF(M338="","","301")))))</f>
        <v/>
      </c>
      <c r="O338" s="22">
        <f>IF(A338="","",IFERROR(MID(A338,FIND("/",A338,FIND("//",A338)+2),2000),A338))</f>
        <v/>
      </c>
      <c r="P338" s="22">
        <f>IF(OR(O338="",N338="",N338="none",N338="404"),"",IF(N338="410","Redirect gone "&amp;O338,"Redirect "&amp;N338&amp;" "&amp;O338&amp;" "&amp;M338))</f>
        <v/>
      </c>
      <c r="Q338" s="22" t="n"/>
      <c r="R338" s="22" t="n"/>
      <c r="S338" s="22" t="n"/>
      <c r="T338" s="4">
        <f>IF(A338="","",TRIM(IF(K338="","Needs decision; ","")&amp;IF(AND(K338="Accept suggestion",F338=""),"No suggestion to accept; ","")&amp;IF(AND(K338="Override",L338=""),"Override URL missing; ","")&amp;IF(AND(K338="Accept suggestion",N(G338)&lt;$G$2),"Below your threshold; ","")&amp;IF(AND(M338&lt;&gt;"",M338=A338,K338&lt;&gt;"No change (same URL)"),"Redirects to itself; ","")&amp;IF(AND(M338&lt;&gt;"",OR(M338="/",AND(LEFT(M338,4)="http",OR((LEN(M338)-LEN(SUBSTITUTE(M338,"/","")))=2,AND((LEN(M338)-LEN(SUBSTITUTE(M338,"/","")))=3,RIGHT(M338,1)="/"))))),"Home page redirect; ","")&amp;IF(N(R338)&gt;1,"Chain; ","")&amp;IF(S338="No","Destination not 200; ","")))</f>
        <v/>
      </c>
      <c r="U338" s="22" t="n"/>
      <c r="V338" s="22" t="n"/>
      <c r="W338" s="4" t="n"/>
    </row>
    <row r="339">
      <c r="A339" s="22" t="n"/>
      <c r="B339" s="22" t="n"/>
      <c r="C339" s="22" t="n"/>
      <c r="D339" s="22">
        <f>IF(A339="","",IF(OR(N(B339)&gt;=$C$2,N(C339)&gt;=$E$2),"High",IF(OR(N(B339)&gt;0,N(C339)&gt;0),"Medium","Low")))</f>
        <v/>
      </c>
      <c r="E339" s="22" t="n"/>
      <c r="F339" s="22" t="n"/>
      <c r="G339" s="22" t="n"/>
      <c r="H339" s="22" t="n"/>
      <c r="I339" s="22" t="n"/>
      <c r="J339" s="22" t="n"/>
      <c r="K339" s="22" t="n"/>
      <c r="L339" s="22" t="n"/>
      <c r="M339" s="22">
        <f>IF(K339="Override",L339,IF(K339="Accept suggestion",F339,IF(K339="No change (same URL)",A339,"")))</f>
        <v/>
      </c>
      <c r="N339" s="22">
        <f>IF(A339="","",IF(K339="410 Gone","410",IF(K339="404","404",IF(K339="No change (same URL)","none",IF(M339="","","301")))))</f>
        <v/>
      </c>
      <c r="O339" s="22">
        <f>IF(A339="","",IFERROR(MID(A339,FIND("/",A339,FIND("//",A339)+2),2000),A339))</f>
        <v/>
      </c>
      <c r="P339" s="22">
        <f>IF(OR(O339="",N339="",N339="none",N339="404"),"",IF(N339="410","Redirect gone "&amp;O339,"Redirect "&amp;N339&amp;" "&amp;O339&amp;" "&amp;M339))</f>
        <v/>
      </c>
      <c r="Q339" s="22" t="n"/>
      <c r="R339" s="22" t="n"/>
      <c r="S339" s="22" t="n"/>
      <c r="T339" s="4">
        <f>IF(A339="","",TRIM(IF(K339="","Needs decision; ","")&amp;IF(AND(K339="Accept suggestion",F339=""),"No suggestion to accept; ","")&amp;IF(AND(K339="Override",L339=""),"Override URL missing; ","")&amp;IF(AND(K339="Accept suggestion",N(G339)&lt;$G$2),"Below your threshold; ","")&amp;IF(AND(M339&lt;&gt;"",M339=A339,K339&lt;&gt;"No change (same URL)"),"Redirects to itself; ","")&amp;IF(AND(M339&lt;&gt;"",OR(M339="/",AND(LEFT(M339,4)="http",OR((LEN(M339)-LEN(SUBSTITUTE(M339,"/","")))=2,AND((LEN(M339)-LEN(SUBSTITUTE(M339,"/","")))=3,RIGHT(M339,1)="/"))))),"Home page redirect; ","")&amp;IF(N(R339)&gt;1,"Chain; ","")&amp;IF(S339="No","Destination not 200; ","")))</f>
        <v/>
      </c>
      <c r="U339" s="22" t="n"/>
      <c r="V339" s="22" t="n"/>
      <c r="W339" s="4" t="n"/>
    </row>
    <row r="340">
      <c r="A340" s="22" t="n"/>
      <c r="B340" s="22" t="n"/>
      <c r="C340" s="22" t="n"/>
      <c r="D340" s="22">
        <f>IF(A340="","",IF(OR(N(B340)&gt;=$C$2,N(C340)&gt;=$E$2),"High",IF(OR(N(B340)&gt;0,N(C340)&gt;0),"Medium","Low")))</f>
        <v/>
      </c>
      <c r="E340" s="22" t="n"/>
      <c r="F340" s="22" t="n"/>
      <c r="G340" s="22" t="n"/>
      <c r="H340" s="22" t="n"/>
      <c r="I340" s="22" t="n"/>
      <c r="J340" s="22" t="n"/>
      <c r="K340" s="22" t="n"/>
      <c r="L340" s="22" t="n"/>
      <c r="M340" s="22">
        <f>IF(K340="Override",L340,IF(K340="Accept suggestion",F340,IF(K340="No change (same URL)",A340,"")))</f>
        <v/>
      </c>
      <c r="N340" s="22">
        <f>IF(A340="","",IF(K340="410 Gone","410",IF(K340="404","404",IF(K340="No change (same URL)","none",IF(M340="","","301")))))</f>
        <v/>
      </c>
      <c r="O340" s="22">
        <f>IF(A340="","",IFERROR(MID(A340,FIND("/",A340,FIND("//",A340)+2),2000),A340))</f>
        <v/>
      </c>
      <c r="P340" s="22">
        <f>IF(OR(O340="",N340="",N340="none",N340="404"),"",IF(N340="410","Redirect gone "&amp;O340,"Redirect "&amp;N340&amp;" "&amp;O340&amp;" "&amp;M340))</f>
        <v/>
      </c>
      <c r="Q340" s="22" t="n"/>
      <c r="R340" s="22" t="n"/>
      <c r="S340" s="22" t="n"/>
      <c r="T340" s="4">
        <f>IF(A340="","",TRIM(IF(K340="","Needs decision; ","")&amp;IF(AND(K340="Accept suggestion",F340=""),"No suggestion to accept; ","")&amp;IF(AND(K340="Override",L340=""),"Override URL missing; ","")&amp;IF(AND(K340="Accept suggestion",N(G340)&lt;$G$2),"Below your threshold; ","")&amp;IF(AND(M340&lt;&gt;"",M340=A340,K340&lt;&gt;"No change (same URL)"),"Redirects to itself; ","")&amp;IF(AND(M340&lt;&gt;"",OR(M340="/",AND(LEFT(M340,4)="http",OR((LEN(M340)-LEN(SUBSTITUTE(M340,"/","")))=2,AND((LEN(M340)-LEN(SUBSTITUTE(M340,"/","")))=3,RIGHT(M340,1)="/"))))),"Home page redirect; ","")&amp;IF(N(R340)&gt;1,"Chain; ","")&amp;IF(S340="No","Destination not 200; ","")))</f>
        <v/>
      </c>
      <c r="U340" s="22" t="n"/>
      <c r="V340" s="22" t="n"/>
      <c r="W340" s="4" t="n"/>
    </row>
    <row r="341">
      <c r="A341" s="22" t="n"/>
      <c r="B341" s="22" t="n"/>
      <c r="C341" s="22" t="n"/>
      <c r="D341" s="22">
        <f>IF(A341="","",IF(OR(N(B341)&gt;=$C$2,N(C341)&gt;=$E$2),"High",IF(OR(N(B341)&gt;0,N(C341)&gt;0),"Medium","Low")))</f>
        <v/>
      </c>
      <c r="E341" s="22" t="n"/>
      <c r="F341" s="22" t="n"/>
      <c r="G341" s="22" t="n"/>
      <c r="H341" s="22" t="n"/>
      <c r="I341" s="22" t="n"/>
      <c r="J341" s="22" t="n"/>
      <c r="K341" s="22" t="n"/>
      <c r="L341" s="22" t="n"/>
      <c r="M341" s="22">
        <f>IF(K341="Override",L341,IF(K341="Accept suggestion",F341,IF(K341="No change (same URL)",A341,"")))</f>
        <v/>
      </c>
      <c r="N341" s="22">
        <f>IF(A341="","",IF(K341="410 Gone","410",IF(K341="404","404",IF(K341="No change (same URL)","none",IF(M341="","","301")))))</f>
        <v/>
      </c>
      <c r="O341" s="22">
        <f>IF(A341="","",IFERROR(MID(A341,FIND("/",A341,FIND("//",A341)+2),2000),A341))</f>
        <v/>
      </c>
      <c r="P341" s="22">
        <f>IF(OR(O341="",N341="",N341="none",N341="404"),"",IF(N341="410","Redirect gone "&amp;O341,"Redirect "&amp;N341&amp;" "&amp;O341&amp;" "&amp;M341))</f>
        <v/>
      </c>
      <c r="Q341" s="22" t="n"/>
      <c r="R341" s="22" t="n"/>
      <c r="S341" s="22" t="n"/>
      <c r="T341" s="4">
        <f>IF(A341="","",TRIM(IF(K341="","Needs decision; ","")&amp;IF(AND(K341="Accept suggestion",F341=""),"No suggestion to accept; ","")&amp;IF(AND(K341="Override",L341=""),"Override URL missing; ","")&amp;IF(AND(K341="Accept suggestion",N(G341)&lt;$G$2),"Below your threshold; ","")&amp;IF(AND(M341&lt;&gt;"",M341=A341,K341&lt;&gt;"No change (same URL)"),"Redirects to itself; ","")&amp;IF(AND(M341&lt;&gt;"",OR(M341="/",AND(LEFT(M341,4)="http",OR((LEN(M341)-LEN(SUBSTITUTE(M341,"/","")))=2,AND((LEN(M341)-LEN(SUBSTITUTE(M341,"/","")))=3,RIGHT(M341,1)="/"))))),"Home page redirect; ","")&amp;IF(N(R341)&gt;1,"Chain; ","")&amp;IF(S341="No","Destination not 200; ","")))</f>
        <v/>
      </c>
      <c r="U341" s="22" t="n"/>
      <c r="V341" s="22" t="n"/>
      <c r="W341" s="4" t="n"/>
    </row>
    <row r="342">
      <c r="A342" s="22" t="n"/>
      <c r="B342" s="22" t="n"/>
      <c r="C342" s="22" t="n"/>
      <c r="D342" s="22">
        <f>IF(A342="","",IF(OR(N(B342)&gt;=$C$2,N(C342)&gt;=$E$2),"High",IF(OR(N(B342)&gt;0,N(C342)&gt;0),"Medium","Low")))</f>
        <v/>
      </c>
      <c r="E342" s="22" t="n"/>
      <c r="F342" s="22" t="n"/>
      <c r="G342" s="22" t="n"/>
      <c r="H342" s="22" t="n"/>
      <c r="I342" s="22" t="n"/>
      <c r="J342" s="22" t="n"/>
      <c r="K342" s="22" t="n"/>
      <c r="L342" s="22" t="n"/>
      <c r="M342" s="22">
        <f>IF(K342="Override",L342,IF(K342="Accept suggestion",F342,IF(K342="No change (same URL)",A342,"")))</f>
        <v/>
      </c>
      <c r="N342" s="22">
        <f>IF(A342="","",IF(K342="410 Gone","410",IF(K342="404","404",IF(K342="No change (same URL)","none",IF(M342="","","301")))))</f>
        <v/>
      </c>
      <c r="O342" s="22">
        <f>IF(A342="","",IFERROR(MID(A342,FIND("/",A342,FIND("//",A342)+2),2000),A342))</f>
        <v/>
      </c>
      <c r="P342" s="22">
        <f>IF(OR(O342="",N342="",N342="none",N342="404"),"",IF(N342="410","Redirect gone "&amp;O342,"Redirect "&amp;N342&amp;" "&amp;O342&amp;" "&amp;M342))</f>
        <v/>
      </c>
      <c r="Q342" s="22" t="n"/>
      <c r="R342" s="22" t="n"/>
      <c r="S342" s="22" t="n"/>
      <c r="T342" s="4">
        <f>IF(A342="","",TRIM(IF(K342="","Needs decision; ","")&amp;IF(AND(K342="Accept suggestion",F342=""),"No suggestion to accept; ","")&amp;IF(AND(K342="Override",L342=""),"Override URL missing; ","")&amp;IF(AND(K342="Accept suggestion",N(G342)&lt;$G$2),"Below your threshold; ","")&amp;IF(AND(M342&lt;&gt;"",M342=A342,K342&lt;&gt;"No change (same URL)"),"Redirects to itself; ","")&amp;IF(AND(M342&lt;&gt;"",OR(M342="/",AND(LEFT(M342,4)="http",OR((LEN(M342)-LEN(SUBSTITUTE(M342,"/","")))=2,AND((LEN(M342)-LEN(SUBSTITUTE(M342,"/","")))=3,RIGHT(M342,1)="/"))))),"Home page redirect; ","")&amp;IF(N(R342)&gt;1,"Chain; ","")&amp;IF(S342="No","Destination not 200; ","")))</f>
        <v/>
      </c>
      <c r="U342" s="22" t="n"/>
      <c r="V342" s="22" t="n"/>
      <c r="W342" s="4" t="n"/>
    </row>
    <row r="343">
      <c r="A343" s="22" t="n"/>
      <c r="B343" s="22" t="n"/>
      <c r="C343" s="22" t="n"/>
      <c r="D343" s="22">
        <f>IF(A343="","",IF(OR(N(B343)&gt;=$C$2,N(C343)&gt;=$E$2),"High",IF(OR(N(B343)&gt;0,N(C343)&gt;0),"Medium","Low")))</f>
        <v/>
      </c>
      <c r="E343" s="22" t="n"/>
      <c r="F343" s="22" t="n"/>
      <c r="G343" s="22" t="n"/>
      <c r="H343" s="22" t="n"/>
      <c r="I343" s="22" t="n"/>
      <c r="J343" s="22" t="n"/>
      <c r="K343" s="22" t="n"/>
      <c r="L343" s="22" t="n"/>
      <c r="M343" s="22">
        <f>IF(K343="Override",L343,IF(K343="Accept suggestion",F343,IF(K343="No change (same URL)",A343,"")))</f>
        <v/>
      </c>
      <c r="N343" s="22">
        <f>IF(A343="","",IF(K343="410 Gone","410",IF(K343="404","404",IF(K343="No change (same URL)","none",IF(M343="","","301")))))</f>
        <v/>
      </c>
      <c r="O343" s="22">
        <f>IF(A343="","",IFERROR(MID(A343,FIND("/",A343,FIND("//",A343)+2),2000),A343))</f>
        <v/>
      </c>
      <c r="P343" s="22">
        <f>IF(OR(O343="",N343="",N343="none",N343="404"),"",IF(N343="410","Redirect gone "&amp;O343,"Redirect "&amp;N343&amp;" "&amp;O343&amp;" "&amp;M343))</f>
        <v/>
      </c>
      <c r="Q343" s="22" t="n"/>
      <c r="R343" s="22" t="n"/>
      <c r="S343" s="22" t="n"/>
      <c r="T343" s="4">
        <f>IF(A343="","",TRIM(IF(K343="","Needs decision; ","")&amp;IF(AND(K343="Accept suggestion",F343=""),"No suggestion to accept; ","")&amp;IF(AND(K343="Override",L343=""),"Override URL missing; ","")&amp;IF(AND(K343="Accept suggestion",N(G343)&lt;$G$2),"Below your threshold; ","")&amp;IF(AND(M343&lt;&gt;"",M343=A343,K343&lt;&gt;"No change (same URL)"),"Redirects to itself; ","")&amp;IF(AND(M343&lt;&gt;"",OR(M343="/",AND(LEFT(M343,4)="http",OR((LEN(M343)-LEN(SUBSTITUTE(M343,"/","")))=2,AND((LEN(M343)-LEN(SUBSTITUTE(M343,"/","")))=3,RIGHT(M343,1)="/"))))),"Home page redirect; ","")&amp;IF(N(R343)&gt;1,"Chain; ","")&amp;IF(S343="No","Destination not 200; ","")))</f>
        <v/>
      </c>
      <c r="U343" s="22" t="n"/>
      <c r="V343" s="22" t="n"/>
      <c r="W343" s="4" t="n"/>
    </row>
    <row r="344">
      <c r="A344" s="22" t="n"/>
      <c r="B344" s="22" t="n"/>
      <c r="C344" s="22" t="n"/>
      <c r="D344" s="22">
        <f>IF(A344="","",IF(OR(N(B344)&gt;=$C$2,N(C344)&gt;=$E$2),"High",IF(OR(N(B344)&gt;0,N(C344)&gt;0),"Medium","Low")))</f>
        <v/>
      </c>
      <c r="E344" s="22" t="n"/>
      <c r="F344" s="22" t="n"/>
      <c r="G344" s="22" t="n"/>
      <c r="H344" s="22" t="n"/>
      <c r="I344" s="22" t="n"/>
      <c r="J344" s="22" t="n"/>
      <c r="K344" s="22" t="n"/>
      <c r="L344" s="22" t="n"/>
      <c r="M344" s="22">
        <f>IF(K344="Override",L344,IF(K344="Accept suggestion",F344,IF(K344="No change (same URL)",A344,"")))</f>
        <v/>
      </c>
      <c r="N344" s="22">
        <f>IF(A344="","",IF(K344="410 Gone","410",IF(K344="404","404",IF(K344="No change (same URL)","none",IF(M344="","","301")))))</f>
        <v/>
      </c>
      <c r="O344" s="22">
        <f>IF(A344="","",IFERROR(MID(A344,FIND("/",A344,FIND("//",A344)+2),2000),A344))</f>
        <v/>
      </c>
      <c r="P344" s="22">
        <f>IF(OR(O344="",N344="",N344="none",N344="404"),"",IF(N344="410","Redirect gone "&amp;O344,"Redirect "&amp;N344&amp;" "&amp;O344&amp;" "&amp;M344))</f>
        <v/>
      </c>
      <c r="Q344" s="22" t="n"/>
      <c r="R344" s="22" t="n"/>
      <c r="S344" s="22" t="n"/>
      <c r="T344" s="4">
        <f>IF(A344="","",TRIM(IF(K344="","Needs decision; ","")&amp;IF(AND(K344="Accept suggestion",F344=""),"No suggestion to accept; ","")&amp;IF(AND(K344="Override",L344=""),"Override URL missing; ","")&amp;IF(AND(K344="Accept suggestion",N(G344)&lt;$G$2),"Below your threshold; ","")&amp;IF(AND(M344&lt;&gt;"",M344=A344,K344&lt;&gt;"No change (same URL)"),"Redirects to itself; ","")&amp;IF(AND(M344&lt;&gt;"",OR(M344="/",AND(LEFT(M344,4)="http",OR((LEN(M344)-LEN(SUBSTITUTE(M344,"/","")))=2,AND((LEN(M344)-LEN(SUBSTITUTE(M344,"/","")))=3,RIGHT(M344,1)="/"))))),"Home page redirect; ","")&amp;IF(N(R344)&gt;1,"Chain; ","")&amp;IF(S344="No","Destination not 200; ","")))</f>
        <v/>
      </c>
      <c r="U344" s="22" t="n"/>
      <c r="V344" s="22" t="n"/>
      <c r="W344" s="4" t="n"/>
    </row>
    <row r="345">
      <c r="A345" s="22" t="n"/>
      <c r="B345" s="22" t="n"/>
      <c r="C345" s="22" t="n"/>
      <c r="D345" s="22">
        <f>IF(A345="","",IF(OR(N(B345)&gt;=$C$2,N(C345)&gt;=$E$2),"High",IF(OR(N(B345)&gt;0,N(C345)&gt;0),"Medium","Low")))</f>
        <v/>
      </c>
      <c r="E345" s="22" t="n"/>
      <c r="F345" s="22" t="n"/>
      <c r="G345" s="22" t="n"/>
      <c r="H345" s="22" t="n"/>
      <c r="I345" s="22" t="n"/>
      <c r="J345" s="22" t="n"/>
      <c r="K345" s="22" t="n"/>
      <c r="L345" s="22" t="n"/>
      <c r="M345" s="22">
        <f>IF(K345="Override",L345,IF(K345="Accept suggestion",F345,IF(K345="No change (same URL)",A345,"")))</f>
        <v/>
      </c>
      <c r="N345" s="22">
        <f>IF(A345="","",IF(K345="410 Gone","410",IF(K345="404","404",IF(K345="No change (same URL)","none",IF(M345="","","301")))))</f>
        <v/>
      </c>
      <c r="O345" s="22">
        <f>IF(A345="","",IFERROR(MID(A345,FIND("/",A345,FIND("//",A345)+2),2000),A345))</f>
        <v/>
      </c>
      <c r="P345" s="22">
        <f>IF(OR(O345="",N345="",N345="none",N345="404"),"",IF(N345="410","Redirect gone "&amp;O345,"Redirect "&amp;N345&amp;" "&amp;O345&amp;" "&amp;M345))</f>
        <v/>
      </c>
      <c r="Q345" s="22" t="n"/>
      <c r="R345" s="22" t="n"/>
      <c r="S345" s="22" t="n"/>
      <c r="T345" s="4">
        <f>IF(A345="","",TRIM(IF(K345="","Needs decision; ","")&amp;IF(AND(K345="Accept suggestion",F345=""),"No suggestion to accept; ","")&amp;IF(AND(K345="Override",L345=""),"Override URL missing; ","")&amp;IF(AND(K345="Accept suggestion",N(G345)&lt;$G$2),"Below your threshold; ","")&amp;IF(AND(M345&lt;&gt;"",M345=A345,K345&lt;&gt;"No change (same URL)"),"Redirects to itself; ","")&amp;IF(AND(M345&lt;&gt;"",OR(M345="/",AND(LEFT(M345,4)="http",OR((LEN(M345)-LEN(SUBSTITUTE(M345,"/","")))=2,AND((LEN(M345)-LEN(SUBSTITUTE(M345,"/","")))=3,RIGHT(M345,1)="/"))))),"Home page redirect; ","")&amp;IF(N(R345)&gt;1,"Chain; ","")&amp;IF(S345="No","Destination not 200; ","")))</f>
        <v/>
      </c>
      <c r="U345" s="22" t="n"/>
      <c r="V345" s="22" t="n"/>
      <c r="W345" s="4" t="n"/>
    </row>
    <row r="346">
      <c r="A346" s="22" t="n"/>
      <c r="B346" s="22" t="n"/>
      <c r="C346" s="22" t="n"/>
      <c r="D346" s="22">
        <f>IF(A346="","",IF(OR(N(B346)&gt;=$C$2,N(C346)&gt;=$E$2),"High",IF(OR(N(B346)&gt;0,N(C346)&gt;0),"Medium","Low")))</f>
        <v/>
      </c>
      <c r="E346" s="22" t="n"/>
      <c r="F346" s="22" t="n"/>
      <c r="G346" s="22" t="n"/>
      <c r="H346" s="22" t="n"/>
      <c r="I346" s="22" t="n"/>
      <c r="J346" s="22" t="n"/>
      <c r="K346" s="22" t="n"/>
      <c r="L346" s="22" t="n"/>
      <c r="M346" s="22">
        <f>IF(K346="Override",L346,IF(K346="Accept suggestion",F346,IF(K346="No change (same URL)",A346,"")))</f>
        <v/>
      </c>
      <c r="N346" s="22">
        <f>IF(A346="","",IF(K346="410 Gone","410",IF(K346="404","404",IF(K346="No change (same URL)","none",IF(M346="","","301")))))</f>
        <v/>
      </c>
      <c r="O346" s="22">
        <f>IF(A346="","",IFERROR(MID(A346,FIND("/",A346,FIND("//",A346)+2),2000),A346))</f>
        <v/>
      </c>
      <c r="P346" s="22">
        <f>IF(OR(O346="",N346="",N346="none",N346="404"),"",IF(N346="410","Redirect gone "&amp;O346,"Redirect "&amp;N346&amp;" "&amp;O346&amp;" "&amp;M346))</f>
        <v/>
      </c>
      <c r="Q346" s="22" t="n"/>
      <c r="R346" s="22" t="n"/>
      <c r="S346" s="22" t="n"/>
      <c r="T346" s="4">
        <f>IF(A346="","",TRIM(IF(K346="","Needs decision; ","")&amp;IF(AND(K346="Accept suggestion",F346=""),"No suggestion to accept; ","")&amp;IF(AND(K346="Override",L346=""),"Override URL missing; ","")&amp;IF(AND(K346="Accept suggestion",N(G346)&lt;$G$2),"Below your threshold; ","")&amp;IF(AND(M346&lt;&gt;"",M346=A346,K346&lt;&gt;"No change (same URL)"),"Redirects to itself; ","")&amp;IF(AND(M346&lt;&gt;"",OR(M346="/",AND(LEFT(M346,4)="http",OR((LEN(M346)-LEN(SUBSTITUTE(M346,"/","")))=2,AND((LEN(M346)-LEN(SUBSTITUTE(M346,"/","")))=3,RIGHT(M346,1)="/"))))),"Home page redirect; ","")&amp;IF(N(R346)&gt;1,"Chain; ","")&amp;IF(S346="No","Destination not 200; ","")))</f>
        <v/>
      </c>
      <c r="U346" s="22" t="n"/>
      <c r="V346" s="22" t="n"/>
      <c r="W346" s="4" t="n"/>
    </row>
    <row r="347">
      <c r="A347" s="22" t="n"/>
      <c r="B347" s="22" t="n"/>
      <c r="C347" s="22" t="n"/>
      <c r="D347" s="22">
        <f>IF(A347="","",IF(OR(N(B347)&gt;=$C$2,N(C347)&gt;=$E$2),"High",IF(OR(N(B347)&gt;0,N(C347)&gt;0),"Medium","Low")))</f>
        <v/>
      </c>
      <c r="E347" s="22" t="n"/>
      <c r="F347" s="22" t="n"/>
      <c r="G347" s="22" t="n"/>
      <c r="H347" s="22" t="n"/>
      <c r="I347" s="22" t="n"/>
      <c r="J347" s="22" t="n"/>
      <c r="K347" s="22" t="n"/>
      <c r="L347" s="22" t="n"/>
      <c r="M347" s="22">
        <f>IF(K347="Override",L347,IF(K347="Accept suggestion",F347,IF(K347="No change (same URL)",A347,"")))</f>
        <v/>
      </c>
      <c r="N347" s="22">
        <f>IF(A347="","",IF(K347="410 Gone","410",IF(K347="404","404",IF(K347="No change (same URL)","none",IF(M347="","","301")))))</f>
        <v/>
      </c>
      <c r="O347" s="22">
        <f>IF(A347="","",IFERROR(MID(A347,FIND("/",A347,FIND("//",A347)+2),2000),A347))</f>
        <v/>
      </c>
      <c r="P347" s="22">
        <f>IF(OR(O347="",N347="",N347="none",N347="404"),"",IF(N347="410","Redirect gone "&amp;O347,"Redirect "&amp;N347&amp;" "&amp;O347&amp;" "&amp;M347))</f>
        <v/>
      </c>
      <c r="Q347" s="22" t="n"/>
      <c r="R347" s="22" t="n"/>
      <c r="S347" s="22" t="n"/>
      <c r="T347" s="4">
        <f>IF(A347="","",TRIM(IF(K347="","Needs decision; ","")&amp;IF(AND(K347="Accept suggestion",F347=""),"No suggestion to accept; ","")&amp;IF(AND(K347="Override",L347=""),"Override URL missing; ","")&amp;IF(AND(K347="Accept suggestion",N(G347)&lt;$G$2),"Below your threshold; ","")&amp;IF(AND(M347&lt;&gt;"",M347=A347,K347&lt;&gt;"No change (same URL)"),"Redirects to itself; ","")&amp;IF(AND(M347&lt;&gt;"",OR(M347="/",AND(LEFT(M347,4)="http",OR((LEN(M347)-LEN(SUBSTITUTE(M347,"/","")))=2,AND((LEN(M347)-LEN(SUBSTITUTE(M347,"/","")))=3,RIGHT(M347,1)="/"))))),"Home page redirect; ","")&amp;IF(N(R347)&gt;1,"Chain; ","")&amp;IF(S347="No","Destination not 200; ","")))</f>
        <v/>
      </c>
      <c r="U347" s="22" t="n"/>
      <c r="V347" s="22" t="n"/>
      <c r="W347" s="4" t="n"/>
    </row>
    <row r="348">
      <c r="A348" s="22" t="n"/>
      <c r="B348" s="22" t="n"/>
      <c r="C348" s="22" t="n"/>
      <c r="D348" s="22">
        <f>IF(A348="","",IF(OR(N(B348)&gt;=$C$2,N(C348)&gt;=$E$2),"High",IF(OR(N(B348)&gt;0,N(C348)&gt;0),"Medium","Low")))</f>
        <v/>
      </c>
      <c r="E348" s="22" t="n"/>
      <c r="F348" s="22" t="n"/>
      <c r="G348" s="22" t="n"/>
      <c r="H348" s="22" t="n"/>
      <c r="I348" s="22" t="n"/>
      <c r="J348" s="22" t="n"/>
      <c r="K348" s="22" t="n"/>
      <c r="L348" s="22" t="n"/>
      <c r="M348" s="22">
        <f>IF(K348="Override",L348,IF(K348="Accept suggestion",F348,IF(K348="No change (same URL)",A348,"")))</f>
        <v/>
      </c>
      <c r="N348" s="22">
        <f>IF(A348="","",IF(K348="410 Gone","410",IF(K348="404","404",IF(K348="No change (same URL)","none",IF(M348="","","301")))))</f>
        <v/>
      </c>
      <c r="O348" s="22">
        <f>IF(A348="","",IFERROR(MID(A348,FIND("/",A348,FIND("//",A348)+2),2000),A348))</f>
        <v/>
      </c>
      <c r="P348" s="22">
        <f>IF(OR(O348="",N348="",N348="none",N348="404"),"",IF(N348="410","Redirect gone "&amp;O348,"Redirect "&amp;N348&amp;" "&amp;O348&amp;" "&amp;M348))</f>
        <v/>
      </c>
      <c r="Q348" s="22" t="n"/>
      <c r="R348" s="22" t="n"/>
      <c r="S348" s="22" t="n"/>
      <c r="T348" s="4">
        <f>IF(A348="","",TRIM(IF(K348="","Needs decision; ","")&amp;IF(AND(K348="Accept suggestion",F348=""),"No suggestion to accept; ","")&amp;IF(AND(K348="Override",L348=""),"Override URL missing; ","")&amp;IF(AND(K348="Accept suggestion",N(G348)&lt;$G$2),"Below your threshold; ","")&amp;IF(AND(M348&lt;&gt;"",M348=A348,K348&lt;&gt;"No change (same URL)"),"Redirects to itself; ","")&amp;IF(AND(M348&lt;&gt;"",OR(M348="/",AND(LEFT(M348,4)="http",OR((LEN(M348)-LEN(SUBSTITUTE(M348,"/","")))=2,AND((LEN(M348)-LEN(SUBSTITUTE(M348,"/","")))=3,RIGHT(M348,1)="/"))))),"Home page redirect; ","")&amp;IF(N(R348)&gt;1,"Chain; ","")&amp;IF(S348="No","Destination not 200; ","")))</f>
        <v/>
      </c>
      <c r="U348" s="22" t="n"/>
      <c r="V348" s="22" t="n"/>
      <c r="W348" s="4" t="n"/>
    </row>
    <row r="349">
      <c r="A349" s="22" t="n"/>
      <c r="B349" s="22" t="n"/>
      <c r="C349" s="22" t="n"/>
      <c r="D349" s="22">
        <f>IF(A349="","",IF(OR(N(B349)&gt;=$C$2,N(C349)&gt;=$E$2),"High",IF(OR(N(B349)&gt;0,N(C349)&gt;0),"Medium","Low")))</f>
        <v/>
      </c>
      <c r="E349" s="22" t="n"/>
      <c r="F349" s="22" t="n"/>
      <c r="G349" s="22" t="n"/>
      <c r="H349" s="22" t="n"/>
      <c r="I349" s="22" t="n"/>
      <c r="J349" s="22" t="n"/>
      <c r="K349" s="22" t="n"/>
      <c r="L349" s="22" t="n"/>
      <c r="M349" s="22">
        <f>IF(K349="Override",L349,IF(K349="Accept suggestion",F349,IF(K349="No change (same URL)",A349,"")))</f>
        <v/>
      </c>
      <c r="N349" s="22">
        <f>IF(A349="","",IF(K349="410 Gone","410",IF(K349="404","404",IF(K349="No change (same URL)","none",IF(M349="","","301")))))</f>
        <v/>
      </c>
      <c r="O349" s="22">
        <f>IF(A349="","",IFERROR(MID(A349,FIND("/",A349,FIND("//",A349)+2),2000),A349))</f>
        <v/>
      </c>
      <c r="P349" s="22">
        <f>IF(OR(O349="",N349="",N349="none",N349="404"),"",IF(N349="410","Redirect gone "&amp;O349,"Redirect "&amp;N349&amp;" "&amp;O349&amp;" "&amp;M349))</f>
        <v/>
      </c>
      <c r="Q349" s="22" t="n"/>
      <c r="R349" s="22" t="n"/>
      <c r="S349" s="22" t="n"/>
      <c r="T349" s="4">
        <f>IF(A349="","",TRIM(IF(K349="","Needs decision; ","")&amp;IF(AND(K349="Accept suggestion",F349=""),"No suggestion to accept; ","")&amp;IF(AND(K349="Override",L349=""),"Override URL missing; ","")&amp;IF(AND(K349="Accept suggestion",N(G349)&lt;$G$2),"Below your threshold; ","")&amp;IF(AND(M349&lt;&gt;"",M349=A349,K349&lt;&gt;"No change (same URL)"),"Redirects to itself; ","")&amp;IF(AND(M349&lt;&gt;"",OR(M349="/",AND(LEFT(M349,4)="http",OR((LEN(M349)-LEN(SUBSTITUTE(M349,"/","")))=2,AND((LEN(M349)-LEN(SUBSTITUTE(M349,"/","")))=3,RIGHT(M349,1)="/"))))),"Home page redirect; ","")&amp;IF(N(R349)&gt;1,"Chain; ","")&amp;IF(S349="No","Destination not 200; ","")))</f>
        <v/>
      </c>
      <c r="U349" s="22" t="n"/>
      <c r="V349" s="22" t="n"/>
      <c r="W349" s="4" t="n"/>
    </row>
    <row r="350">
      <c r="A350" s="22" t="n"/>
      <c r="B350" s="22" t="n"/>
      <c r="C350" s="22" t="n"/>
      <c r="D350" s="22">
        <f>IF(A350="","",IF(OR(N(B350)&gt;=$C$2,N(C350)&gt;=$E$2),"High",IF(OR(N(B350)&gt;0,N(C350)&gt;0),"Medium","Low")))</f>
        <v/>
      </c>
      <c r="E350" s="22" t="n"/>
      <c r="F350" s="22" t="n"/>
      <c r="G350" s="22" t="n"/>
      <c r="H350" s="22" t="n"/>
      <c r="I350" s="22" t="n"/>
      <c r="J350" s="22" t="n"/>
      <c r="K350" s="22" t="n"/>
      <c r="L350" s="22" t="n"/>
      <c r="M350" s="22">
        <f>IF(K350="Override",L350,IF(K350="Accept suggestion",F350,IF(K350="No change (same URL)",A350,"")))</f>
        <v/>
      </c>
      <c r="N350" s="22">
        <f>IF(A350="","",IF(K350="410 Gone","410",IF(K350="404","404",IF(K350="No change (same URL)","none",IF(M350="","","301")))))</f>
        <v/>
      </c>
      <c r="O350" s="22">
        <f>IF(A350="","",IFERROR(MID(A350,FIND("/",A350,FIND("//",A350)+2),2000),A350))</f>
        <v/>
      </c>
      <c r="P350" s="22">
        <f>IF(OR(O350="",N350="",N350="none",N350="404"),"",IF(N350="410","Redirect gone "&amp;O350,"Redirect "&amp;N350&amp;" "&amp;O350&amp;" "&amp;M350))</f>
        <v/>
      </c>
      <c r="Q350" s="22" t="n"/>
      <c r="R350" s="22" t="n"/>
      <c r="S350" s="22" t="n"/>
      <c r="T350" s="4">
        <f>IF(A350="","",TRIM(IF(K350="","Needs decision; ","")&amp;IF(AND(K350="Accept suggestion",F350=""),"No suggestion to accept; ","")&amp;IF(AND(K350="Override",L350=""),"Override URL missing; ","")&amp;IF(AND(K350="Accept suggestion",N(G350)&lt;$G$2),"Below your threshold; ","")&amp;IF(AND(M350&lt;&gt;"",M350=A350,K350&lt;&gt;"No change (same URL)"),"Redirects to itself; ","")&amp;IF(AND(M350&lt;&gt;"",OR(M350="/",AND(LEFT(M350,4)="http",OR((LEN(M350)-LEN(SUBSTITUTE(M350,"/","")))=2,AND((LEN(M350)-LEN(SUBSTITUTE(M350,"/","")))=3,RIGHT(M350,1)="/"))))),"Home page redirect; ","")&amp;IF(N(R350)&gt;1,"Chain; ","")&amp;IF(S350="No","Destination not 200; ","")))</f>
        <v/>
      </c>
      <c r="U350" s="22" t="n"/>
      <c r="V350" s="22" t="n"/>
      <c r="W350" s="4" t="n"/>
    </row>
    <row r="351">
      <c r="A351" s="22" t="n"/>
      <c r="B351" s="22" t="n"/>
      <c r="C351" s="22" t="n"/>
      <c r="D351" s="22">
        <f>IF(A351="","",IF(OR(N(B351)&gt;=$C$2,N(C351)&gt;=$E$2),"High",IF(OR(N(B351)&gt;0,N(C351)&gt;0),"Medium","Low")))</f>
        <v/>
      </c>
      <c r="E351" s="22" t="n"/>
      <c r="F351" s="22" t="n"/>
      <c r="G351" s="22" t="n"/>
      <c r="H351" s="22" t="n"/>
      <c r="I351" s="22" t="n"/>
      <c r="J351" s="22" t="n"/>
      <c r="K351" s="22" t="n"/>
      <c r="L351" s="22" t="n"/>
      <c r="M351" s="22">
        <f>IF(K351="Override",L351,IF(K351="Accept suggestion",F351,IF(K351="No change (same URL)",A351,"")))</f>
        <v/>
      </c>
      <c r="N351" s="22">
        <f>IF(A351="","",IF(K351="410 Gone","410",IF(K351="404","404",IF(K351="No change (same URL)","none",IF(M351="","","301")))))</f>
        <v/>
      </c>
      <c r="O351" s="22">
        <f>IF(A351="","",IFERROR(MID(A351,FIND("/",A351,FIND("//",A351)+2),2000),A351))</f>
        <v/>
      </c>
      <c r="P351" s="22">
        <f>IF(OR(O351="",N351="",N351="none",N351="404"),"",IF(N351="410","Redirect gone "&amp;O351,"Redirect "&amp;N351&amp;" "&amp;O351&amp;" "&amp;M351))</f>
        <v/>
      </c>
      <c r="Q351" s="22" t="n"/>
      <c r="R351" s="22" t="n"/>
      <c r="S351" s="22" t="n"/>
      <c r="T351" s="4">
        <f>IF(A351="","",TRIM(IF(K351="","Needs decision; ","")&amp;IF(AND(K351="Accept suggestion",F351=""),"No suggestion to accept; ","")&amp;IF(AND(K351="Override",L351=""),"Override URL missing; ","")&amp;IF(AND(K351="Accept suggestion",N(G351)&lt;$G$2),"Below your threshold; ","")&amp;IF(AND(M351&lt;&gt;"",M351=A351,K351&lt;&gt;"No change (same URL)"),"Redirects to itself; ","")&amp;IF(AND(M351&lt;&gt;"",OR(M351="/",AND(LEFT(M351,4)="http",OR((LEN(M351)-LEN(SUBSTITUTE(M351,"/","")))=2,AND((LEN(M351)-LEN(SUBSTITUTE(M351,"/","")))=3,RIGHT(M351,1)="/"))))),"Home page redirect; ","")&amp;IF(N(R351)&gt;1,"Chain; ","")&amp;IF(S351="No","Destination not 200; ","")))</f>
        <v/>
      </c>
      <c r="U351" s="22" t="n"/>
      <c r="V351" s="22" t="n"/>
      <c r="W351" s="4" t="n"/>
    </row>
    <row r="352">
      <c r="A352" s="22" t="n"/>
      <c r="B352" s="22" t="n"/>
      <c r="C352" s="22" t="n"/>
      <c r="D352" s="22">
        <f>IF(A352="","",IF(OR(N(B352)&gt;=$C$2,N(C352)&gt;=$E$2),"High",IF(OR(N(B352)&gt;0,N(C352)&gt;0),"Medium","Low")))</f>
        <v/>
      </c>
      <c r="E352" s="22" t="n"/>
      <c r="F352" s="22" t="n"/>
      <c r="G352" s="22" t="n"/>
      <c r="H352" s="22" t="n"/>
      <c r="I352" s="22" t="n"/>
      <c r="J352" s="22" t="n"/>
      <c r="K352" s="22" t="n"/>
      <c r="L352" s="22" t="n"/>
      <c r="M352" s="22">
        <f>IF(K352="Override",L352,IF(K352="Accept suggestion",F352,IF(K352="No change (same URL)",A352,"")))</f>
        <v/>
      </c>
      <c r="N352" s="22">
        <f>IF(A352="","",IF(K352="410 Gone","410",IF(K352="404","404",IF(K352="No change (same URL)","none",IF(M352="","","301")))))</f>
        <v/>
      </c>
      <c r="O352" s="22">
        <f>IF(A352="","",IFERROR(MID(A352,FIND("/",A352,FIND("//",A352)+2),2000),A352))</f>
        <v/>
      </c>
      <c r="P352" s="22">
        <f>IF(OR(O352="",N352="",N352="none",N352="404"),"",IF(N352="410","Redirect gone "&amp;O352,"Redirect "&amp;N352&amp;" "&amp;O352&amp;" "&amp;M352))</f>
        <v/>
      </c>
      <c r="Q352" s="22" t="n"/>
      <c r="R352" s="22" t="n"/>
      <c r="S352" s="22" t="n"/>
      <c r="T352" s="4">
        <f>IF(A352="","",TRIM(IF(K352="","Needs decision; ","")&amp;IF(AND(K352="Accept suggestion",F352=""),"No suggestion to accept; ","")&amp;IF(AND(K352="Override",L352=""),"Override URL missing; ","")&amp;IF(AND(K352="Accept suggestion",N(G352)&lt;$G$2),"Below your threshold; ","")&amp;IF(AND(M352&lt;&gt;"",M352=A352,K352&lt;&gt;"No change (same URL)"),"Redirects to itself; ","")&amp;IF(AND(M352&lt;&gt;"",OR(M352="/",AND(LEFT(M352,4)="http",OR((LEN(M352)-LEN(SUBSTITUTE(M352,"/","")))=2,AND((LEN(M352)-LEN(SUBSTITUTE(M352,"/","")))=3,RIGHT(M352,1)="/"))))),"Home page redirect; ","")&amp;IF(N(R352)&gt;1,"Chain; ","")&amp;IF(S352="No","Destination not 200; ","")))</f>
        <v/>
      </c>
      <c r="U352" s="22" t="n"/>
      <c r="V352" s="22" t="n"/>
      <c r="W352" s="4" t="n"/>
    </row>
    <row r="353">
      <c r="A353" s="22" t="n"/>
      <c r="B353" s="22" t="n"/>
      <c r="C353" s="22" t="n"/>
      <c r="D353" s="22">
        <f>IF(A353="","",IF(OR(N(B353)&gt;=$C$2,N(C353)&gt;=$E$2),"High",IF(OR(N(B353)&gt;0,N(C353)&gt;0),"Medium","Low")))</f>
        <v/>
      </c>
      <c r="E353" s="22" t="n"/>
      <c r="F353" s="22" t="n"/>
      <c r="G353" s="22" t="n"/>
      <c r="H353" s="22" t="n"/>
      <c r="I353" s="22" t="n"/>
      <c r="J353" s="22" t="n"/>
      <c r="K353" s="22" t="n"/>
      <c r="L353" s="22" t="n"/>
      <c r="M353" s="22">
        <f>IF(K353="Override",L353,IF(K353="Accept suggestion",F353,IF(K353="No change (same URL)",A353,"")))</f>
        <v/>
      </c>
      <c r="N353" s="22">
        <f>IF(A353="","",IF(K353="410 Gone","410",IF(K353="404","404",IF(K353="No change (same URL)","none",IF(M353="","","301")))))</f>
        <v/>
      </c>
      <c r="O353" s="22">
        <f>IF(A353="","",IFERROR(MID(A353,FIND("/",A353,FIND("//",A353)+2),2000),A353))</f>
        <v/>
      </c>
      <c r="P353" s="22">
        <f>IF(OR(O353="",N353="",N353="none",N353="404"),"",IF(N353="410","Redirect gone "&amp;O353,"Redirect "&amp;N353&amp;" "&amp;O353&amp;" "&amp;M353))</f>
        <v/>
      </c>
      <c r="Q353" s="22" t="n"/>
      <c r="R353" s="22" t="n"/>
      <c r="S353" s="22" t="n"/>
      <c r="T353" s="4">
        <f>IF(A353="","",TRIM(IF(K353="","Needs decision; ","")&amp;IF(AND(K353="Accept suggestion",F353=""),"No suggestion to accept; ","")&amp;IF(AND(K353="Override",L353=""),"Override URL missing; ","")&amp;IF(AND(K353="Accept suggestion",N(G353)&lt;$G$2),"Below your threshold; ","")&amp;IF(AND(M353&lt;&gt;"",M353=A353,K353&lt;&gt;"No change (same URL)"),"Redirects to itself; ","")&amp;IF(AND(M353&lt;&gt;"",OR(M353="/",AND(LEFT(M353,4)="http",OR((LEN(M353)-LEN(SUBSTITUTE(M353,"/","")))=2,AND((LEN(M353)-LEN(SUBSTITUTE(M353,"/","")))=3,RIGHT(M353,1)="/"))))),"Home page redirect; ","")&amp;IF(N(R353)&gt;1,"Chain; ","")&amp;IF(S353="No","Destination not 200; ","")))</f>
        <v/>
      </c>
      <c r="U353" s="22" t="n"/>
      <c r="V353" s="22" t="n"/>
      <c r="W353" s="4" t="n"/>
    </row>
    <row r="354">
      <c r="A354" s="22" t="n"/>
      <c r="B354" s="22" t="n"/>
      <c r="C354" s="22" t="n"/>
      <c r="D354" s="22">
        <f>IF(A354="","",IF(OR(N(B354)&gt;=$C$2,N(C354)&gt;=$E$2),"High",IF(OR(N(B354)&gt;0,N(C354)&gt;0),"Medium","Low")))</f>
        <v/>
      </c>
      <c r="E354" s="22" t="n"/>
      <c r="F354" s="22" t="n"/>
      <c r="G354" s="22" t="n"/>
      <c r="H354" s="22" t="n"/>
      <c r="I354" s="22" t="n"/>
      <c r="J354" s="22" t="n"/>
      <c r="K354" s="22" t="n"/>
      <c r="L354" s="22" t="n"/>
      <c r="M354" s="22">
        <f>IF(K354="Override",L354,IF(K354="Accept suggestion",F354,IF(K354="No change (same URL)",A354,"")))</f>
        <v/>
      </c>
      <c r="N354" s="22">
        <f>IF(A354="","",IF(K354="410 Gone","410",IF(K354="404","404",IF(K354="No change (same URL)","none",IF(M354="","","301")))))</f>
        <v/>
      </c>
      <c r="O354" s="22">
        <f>IF(A354="","",IFERROR(MID(A354,FIND("/",A354,FIND("//",A354)+2),2000),A354))</f>
        <v/>
      </c>
      <c r="P354" s="22">
        <f>IF(OR(O354="",N354="",N354="none",N354="404"),"",IF(N354="410","Redirect gone "&amp;O354,"Redirect "&amp;N354&amp;" "&amp;O354&amp;" "&amp;M354))</f>
        <v/>
      </c>
      <c r="Q354" s="22" t="n"/>
      <c r="R354" s="22" t="n"/>
      <c r="S354" s="22" t="n"/>
      <c r="T354" s="4">
        <f>IF(A354="","",TRIM(IF(K354="","Needs decision; ","")&amp;IF(AND(K354="Accept suggestion",F354=""),"No suggestion to accept; ","")&amp;IF(AND(K354="Override",L354=""),"Override URL missing; ","")&amp;IF(AND(K354="Accept suggestion",N(G354)&lt;$G$2),"Below your threshold; ","")&amp;IF(AND(M354&lt;&gt;"",M354=A354,K354&lt;&gt;"No change (same URL)"),"Redirects to itself; ","")&amp;IF(AND(M354&lt;&gt;"",OR(M354="/",AND(LEFT(M354,4)="http",OR((LEN(M354)-LEN(SUBSTITUTE(M354,"/","")))=2,AND((LEN(M354)-LEN(SUBSTITUTE(M354,"/","")))=3,RIGHT(M354,1)="/"))))),"Home page redirect; ","")&amp;IF(N(R354)&gt;1,"Chain; ","")&amp;IF(S354="No","Destination not 200; ","")))</f>
        <v/>
      </c>
      <c r="U354" s="22" t="n"/>
      <c r="V354" s="22" t="n"/>
      <c r="W354" s="4" t="n"/>
    </row>
    <row r="355">
      <c r="A355" s="22" t="n"/>
      <c r="B355" s="22" t="n"/>
      <c r="C355" s="22" t="n"/>
      <c r="D355" s="22">
        <f>IF(A355="","",IF(OR(N(B355)&gt;=$C$2,N(C355)&gt;=$E$2),"High",IF(OR(N(B355)&gt;0,N(C355)&gt;0),"Medium","Low")))</f>
        <v/>
      </c>
      <c r="E355" s="22" t="n"/>
      <c r="F355" s="22" t="n"/>
      <c r="G355" s="22" t="n"/>
      <c r="H355" s="22" t="n"/>
      <c r="I355" s="22" t="n"/>
      <c r="J355" s="22" t="n"/>
      <c r="K355" s="22" t="n"/>
      <c r="L355" s="22" t="n"/>
      <c r="M355" s="22">
        <f>IF(K355="Override",L355,IF(K355="Accept suggestion",F355,IF(K355="No change (same URL)",A355,"")))</f>
        <v/>
      </c>
      <c r="N355" s="22">
        <f>IF(A355="","",IF(K355="410 Gone","410",IF(K355="404","404",IF(K355="No change (same URL)","none",IF(M355="","","301")))))</f>
        <v/>
      </c>
      <c r="O355" s="22">
        <f>IF(A355="","",IFERROR(MID(A355,FIND("/",A355,FIND("//",A355)+2),2000),A355))</f>
        <v/>
      </c>
      <c r="P355" s="22">
        <f>IF(OR(O355="",N355="",N355="none",N355="404"),"",IF(N355="410","Redirect gone "&amp;O355,"Redirect "&amp;N355&amp;" "&amp;O355&amp;" "&amp;M355))</f>
        <v/>
      </c>
      <c r="Q355" s="22" t="n"/>
      <c r="R355" s="22" t="n"/>
      <c r="S355" s="22" t="n"/>
      <c r="T355" s="4">
        <f>IF(A355="","",TRIM(IF(K355="","Needs decision; ","")&amp;IF(AND(K355="Accept suggestion",F355=""),"No suggestion to accept; ","")&amp;IF(AND(K355="Override",L355=""),"Override URL missing; ","")&amp;IF(AND(K355="Accept suggestion",N(G355)&lt;$G$2),"Below your threshold; ","")&amp;IF(AND(M355&lt;&gt;"",M355=A355,K355&lt;&gt;"No change (same URL)"),"Redirects to itself; ","")&amp;IF(AND(M355&lt;&gt;"",OR(M355="/",AND(LEFT(M355,4)="http",OR((LEN(M355)-LEN(SUBSTITUTE(M355,"/","")))=2,AND((LEN(M355)-LEN(SUBSTITUTE(M355,"/","")))=3,RIGHT(M355,1)="/"))))),"Home page redirect; ","")&amp;IF(N(R355)&gt;1,"Chain; ","")&amp;IF(S355="No","Destination not 200; ","")))</f>
        <v/>
      </c>
      <c r="U355" s="22" t="n"/>
      <c r="V355" s="22" t="n"/>
      <c r="W355" s="4" t="n"/>
    </row>
    <row r="356">
      <c r="A356" s="22" t="n"/>
      <c r="B356" s="22" t="n"/>
      <c r="C356" s="22" t="n"/>
      <c r="D356" s="22">
        <f>IF(A356="","",IF(OR(N(B356)&gt;=$C$2,N(C356)&gt;=$E$2),"High",IF(OR(N(B356)&gt;0,N(C356)&gt;0),"Medium","Low")))</f>
        <v/>
      </c>
      <c r="E356" s="22" t="n"/>
      <c r="F356" s="22" t="n"/>
      <c r="G356" s="22" t="n"/>
      <c r="H356" s="22" t="n"/>
      <c r="I356" s="22" t="n"/>
      <c r="J356" s="22" t="n"/>
      <c r="K356" s="22" t="n"/>
      <c r="L356" s="22" t="n"/>
      <c r="M356" s="22">
        <f>IF(K356="Override",L356,IF(K356="Accept suggestion",F356,IF(K356="No change (same URL)",A356,"")))</f>
        <v/>
      </c>
      <c r="N356" s="22">
        <f>IF(A356="","",IF(K356="410 Gone","410",IF(K356="404","404",IF(K356="No change (same URL)","none",IF(M356="","","301")))))</f>
        <v/>
      </c>
      <c r="O356" s="22">
        <f>IF(A356="","",IFERROR(MID(A356,FIND("/",A356,FIND("//",A356)+2),2000),A356))</f>
        <v/>
      </c>
      <c r="P356" s="22">
        <f>IF(OR(O356="",N356="",N356="none",N356="404"),"",IF(N356="410","Redirect gone "&amp;O356,"Redirect "&amp;N356&amp;" "&amp;O356&amp;" "&amp;M356))</f>
        <v/>
      </c>
      <c r="Q356" s="22" t="n"/>
      <c r="R356" s="22" t="n"/>
      <c r="S356" s="22" t="n"/>
      <c r="T356" s="4">
        <f>IF(A356="","",TRIM(IF(K356="","Needs decision; ","")&amp;IF(AND(K356="Accept suggestion",F356=""),"No suggestion to accept; ","")&amp;IF(AND(K356="Override",L356=""),"Override URL missing; ","")&amp;IF(AND(K356="Accept suggestion",N(G356)&lt;$G$2),"Below your threshold; ","")&amp;IF(AND(M356&lt;&gt;"",M356=A356,K356&lt;&gt;"No change (same URL)"),"Redirects to itself; ","")&amp;IF(AND(M356&lt;&gt;"",OR(M356="/",AND(LEFT(M356,4)="http",OR((LEN(M356)-LEN(SUBSTITUTE(M356,"/","")))=2,AND((LEN(M356)-LEN(SUBSTITUTE(M356,"/","")))=3,RIGHT(M356,1)="/"))))),"Home page redirect; ","")&amp;IF(N(R356)&gt;1,"Chain; ","")&amp;IF(S356="No","Destination not 200; ","")))</f>
        <v/>
      </c>
      <c r="U356" s="22" t="n"/>
      <c r="V356" s="22" t="n"/>
      <c r="W356" s="4" t="n"/>
    </row>
    <row r="357">
      <c r="A357" s="22" t="n"/>
      <c r="B357" s="22" t="n"/>
      <c r="C357" s="22" t="n"/>
      <c r="D357" s="22">
        <f>IF(A357="","",IF(OR(N(B357)&gt;=$C$2,N(C357)&gt;=$E$2),"High",IF(OR(N(B357)&gt;0,N(C357)&gt;0),"Medium","Low")))</f>
        <v/>
      </c>
      <c r="E357" s="22" t="n"/>
      <c r="F357" s="22" t="n"/>
      <c r="G357" s="22" t="n"/>
      <c r="H357" s="22" t="n"/>
      <c r="I357" s="22" t="n"/>
      <c r="J357" s="22" t="n"/>
      <c r="K357" s="22" t="n"/>
      <c r="L357" s="22" t="n"/>
      <c r="M357" s="22">
        <f>IF(K357="Override",L357,IF(K357="Accept suggestion",F357,IF(K357="No change (same URL)",A357,"")))</f>
        <v/>
      </c>
      <c r="N357" s="22">
        <f>IF(A357="","",IF(K357="410 Gone","410",IF(K357="404","404",IF(K357="No change (same URL)","none",IF(M357="","","301")))))</f>
        <v/>
      </c>
      <c r="O357" s="22">
        <f>IF(A357="","",IFERROR(MID(A357,FIND("/",A357,FIND("//",A357)+2),2000),A357))</f>
        <v/>
      </c>
      <c r="P357" s="22">
        <f>IF(OR(O357="",N357="",N357="none",N357="404"),"",IF(N357="410","Redirect gone "&amp;O357,"Redirect "&amp;N357&amp;" "&amp;O357&amp;" "&amp;M357))</f>
        <v/>
      </c>
      <c r="Q357" s="22" t="n"/>
      <c r="R357" s="22" t="n"/>
      <c r="S357" s="22" t="n"/>
      <c r="T357" s="4">
        <f>IF(A357="","",TRIM(IF(K357="","Needs decision; ","")&amp;IF(AND(K357="Accept suggestion",F357=""),"No suggestion to accept; ","")&amp;IF(AND(K357="Override",L357=""),"Override URL missing; ","")&amp;IF(AND(K357="Accept suggestion",N(G357)&lt;$G$2),"Below your threshold; ","")&amp;IF(AND(M357&lt;&gt;"",M357=A357,K357&lt;&gt;"No change (same URL)"),"Redirects to itself; ","")&amp;IF(AND(M357&lt;&gt;"",OR(M357="/",AND(LEFT(M357,4)="http",OR((LEN(M357)-LEN(SUBSTITUTE(M357,"/","")))=2,AND((LEN(M357)-LEN(SUBSTITUTE(M357,"/","")))=3,RIGHT(M357,1)="/"))))),"Home page redirect; ","")&amp;IF(N(R357)&gt;1,"Chain; ","")&amp;IF(S357="No","Destination not 200; ","")))</f>
        <v/>
      </c>
      <c r="U357" s="22" t="n"/>
      <c r="V357" s="22" t="n"/>
      <c r="W357" s="4" t="n"/>
    </row>
    <row r="358">
      <c r="A358" s="22" t="n"/>
      <c r="B358" s="22" t="n"/>
      <c r="C358" s="22" t="n"/>
      <c r="D358" s="22">
        <f>IF(A358="","",IF(OR(N(B358)&gt;=$C$2,N(C358)&gt;=$E$2),"High",IF(OR(N(B358)&gt;0,N(C358)&gt;0),"Medium","Low")))</f>
        <v/>
      </c>
      <c r="E358" s="22" t="n"/>
      <c r="F358" s="22" t="n"/>
      <c r="G358" s="22" t="n"/>
      <c r="H358" s="22" t="n"/>
      <c r="I358" s="22" t="n"/>
      <c r="J358" s="22" t="n"/>
      <c r="K358" s="22" t="n"/>
      <c r="L358" s="22" t="n"/>
      <c r="M358" s="22">
        <f>IF(K358="Override",L358,IF(K358="Accept suggestion",F358,IF(K358="No change (same URL)",A358,"")))</f>
        <v/>
      </c>
      <c r="N358" s="22">
        <f>IF(A358="","",IF(K358="410 Gone","410",IF(K358="404","404",IF(K358="No change (same URL)","none",IF(M358="","","301")))))</f>
        <v/>
      </c>
      <c r="O358" s="22">
        <f>IF(A358="","",IFERROR(MID(A358,FIND("/",A358,FIND("//",A358)+2),2000),A358))</f>
        <v/>
      </c>
      <c r="P358" s="22">
        <f>IF(OR(O358="",N358="",N358="none",N358="404"),"",IF(N358="410","Redirect gone "&amp;O358,"Redirect "&amp;N358&amp;" "&amp;O358&amp;" "&amp;M358))</f>
        <v/>
      </c>
      <c r="Q358" s="22" t="n"/>
      <c r="R358" s="22" t="n"/>
      <c r="S358" s="22" t="n"/>
      <c r="T358" s="4">
        <f>IF(A358="","",TRIM(IF(K358="","Needs decision; ","")&amp;IF(AND(K358="Accept suggestion",F358=""),"No suggestion to accept; ","")&amp;IF(AND(K358="Override",L358=""),"Override URL missing; ","")&amp;IF(AND(K358="Accept suggestion",N(G358)&lt;$G$2),"Below your threshold; ","")&amp;IF(AND(M358&lt;&gt;"",M358=A358,K358&lt;&gt;"No change (same URL)"),"Redirects to itself; ","")&amp;IF(AND(M358&lt;&gt;"",OR(M358="/",AND(LEFT(M358,4)="http",OR((LEN(M358)-LEN(SUBSTITUTE(M358,"/","")))=2,AND((LEN(M358)-LEN(SUBSTITUTE(M358,"/","")))=3,RIGHT(M358,1)="/"))))),"Home page redirect; ","")&amp;IF(N(R358)&gt;1,"Chain; ","")&amp;IF(S358="No","Destination not 200; ","")))</f>
        <v/>
      </c>
      <c r="U358" s="22" t="n"/>
      <c r="V358" s="22" t="n"/>
      <c r="W358" s="4" t="n"/>
    </row>
    <row r="359">
      <c r="A359" s="22" t="n"/>
      <c r="B359" s="22" t="n"/>
      <c r="C359" s="22" t="n"/>
      <c r="D359" s="22">
        <f>IF(A359="","",IF(OR(N(B359)&gt;=$C$2,N(C359)&gt;=$E$2),"High",IF(OR(N(B359)&gt;0,N(C359)&gt;0),"Medium","Low")))</f>
        <v/>
      </c>
      <c r="E359" s="22" t="n"/>
      <c r="F359" s="22" t="n"/>
      <c r="G359" s="22" t="n"/>
      <c r="H359" s="22" t="n"/>
      <c r="I359" s="22" t="n"/>
      <c r="J359" s="22" t="n"/>
      <c r="K359" s="22" t="n"/>
      <c r="L359" s="22" t="n"/>
      <c r="M359" s="22">
        <f>IF(K359="Override",L359,IF(K359="Accept suggestion",F359,IF(K359="No change (same URL)",A359,"")))</f>
        <v/>
      </c>
      <c r="N359" s="22">
        <f>IF(A359="","",IF(K359="410 Gone","410",IF(K359="404","404",IF(K359="No change (same URL)","none",IF(M359="","","301")))))</f>
        <v/>
      </c>
      <c r="O359" s="22">
        <f>IF(A359="","",IFERROR(MID(A359,FIND("/",A359,FIND("//",A359)+2),2000),A359))</f>
        <v/>
      </c>
      <c r="P359" s="22">
        <f>IF(OR(O359="",N359="",N359="none",N359="404"),"",IF(N359="410","Redirect gone "&amp;O359,"Redirect "&amp;N359&amp;" "&amp;O359&amp;" "&amp;M359))</f>
        <v/>
      </c>
      <c r="Q359" s="22" t="n"/>
      <c r="R359" s="22" t="n"/>
      <c r="S359" s="22" t="n"/>
      <c r="T359" s="4">
        <f>IF(A359="","",TRIM(IF(K359="","Needs decision; ","")&amp;IF(AND(K359="Accept suggestion",F359=""),"No suggestion to accept; ","")&amp;IF(AND(K359="Override",L359=""),"Override URL missing; ","")&amp;IF(AND(K359="Accept suggestion",N(G359)&lt;$G$2),"Below your threshold; ","")&amp;IF(AND(M359&lt;&gt;"",M359=A359,K359&lt;&gt;"No change (same URL)"),"Redirects to itself; ","")&amp;IF(AND(M359&lt;&gt;"",OR(M359="/",AND(LEFT(M359,4)="http",OR((LEN(M359)-LEN(SUBSTITUTE(M359,"/","")))=2,AND((LEN(M359)-LEN(SUBSTITUTE(M359,"/","")))=3,RIGHT(M359,1)="/"))))),"Home page redirect; ","")&amp;IF(N(R359)&gt;1,"Chain; ","")&amp;IF(S359="No","Destination not 200; ","")))</f>
        <v/>
      </c>
      <c r="U359" s="22" t="n"/>
      <c r="V359" s="22" t="n"/>
      <c r="W359" s="4" t="n"/>
    </row>
    <row r="360">
      <c r="A360" s="22" t="n"/>
      <c r="B360" s="22" t="n"/>
      <c r="C360" s="22" t="n"/>
      <c r="D360" s="22">
        <f>IF(A360="","",IF(OR(N(B360)&gt;=$C$2,N(C360)&gt;=$E$2),"High",IF(OR(N(B360)&gt;0,N(C360)&gt;0),"Medium","Low")))</f>
        <v/>
      </c>
      <c r="E360" s="22" t="n"/>
      <c r="F360" s="22" t="n"/>
      <c r="G360" s="22" t="n"/>
      <c r="H360" s="22" t="n"/>
      <c r="I360" s="22" t="n"/>
      <c r="J360" s="22" t="n"/>
      <c r="K360" s="22" t="n"/>
      <c r="L360" s="22" t="n"/>
      <c r="M360" s="22">
        <f>IF(K360="Override",L360,IF(K360="Accept suggestion",F360,IF(K360="No change (same URL)",A360,"")))</f>
        <v/>
      </c>
      <c r="N360" s="22">
        <f>IF(A360="","",IF(K360="410 Gone","410",IF(K360="404","404",IF(K360="No change (same URL)","none",IF(M360="","","301")))))</f>
        <v/>
      </c>
      <c r="O360" s="22">
        <f>IF(A360="","",IFERROR(MID(A360,FIND("/",A360,FIND("//",A360)+2),2000),A360))</f>
        <v/>
      </c>
      <c r="P360" s="22">
        <f>IF(OR(O360="",N360="",N360="none",N360="404"),"",IF(N360="410","Redirect gone "&amp;O360,"Redirect "&amp;N360&amp;" "&amp;O360&amp;" "&amp;M360))</f>
        <v/>
      </c>
      <c r="Q360" s="22" t="n"/>
      <c r="R360" s="22" t="n"/>
      <c r="S360" s="22" t="n"/>
      <c r="T360" s="4">
        <f>IF(A360="","",TRIM(IF(K360="","Needs decision; ","")&amp;IF(AND(K360="Accept suggestion",F360=""),"No suggestion to accept; ","")&amp;IF(AND(K360="Override",L360=""),"Override URL missing; ","")&amp;IF(AND(K360="Accept suggestion",N(G360)&lt;$G$2),"Below your threshold; ","")&amp;IF(AND(M360&lt;&gt;"",M360=A360,K360&lt;&gt;"No change (same URL)"),"Redirects to itself; ","")&amp;IF(AND(M360&lt;&gt;"",OR(M360="/",AND(LEFT(M360,4)="http",OR((LEN(M360)-LEN(SUBSTITUTE(M360,"/","")))=2,AND((LEN(M360)-LEN(SUBSTITUTE(M360,"/","")))=3,RIGHT(M360,1)="/"))))),"Home page redirect; ","")&amp;IF(N(R360)&gt;1,"Chain; ","")&amp;IF(S360="No","Destination not 200; ","")))</f>
        <v/>
      </c>
      <c r="U360" s="22" t="n"/>
      <c r="V360" s="22" t="n"/>
      <c r="W360" s="4" t="n"/>
    </row>
    <row r="361">
      <c r="A361" s="22" t="n"/>
      <c r="B361" s="22" t="n"/>
      <c r="C361" s="22" t="n"/>
      <c r="D361" s="22">
        <f>IF(A361="","",IF(OR(N(B361)&gt;=$C$2,N(C361)&gt;=$E$2),"High",IF(OR(N(B361)&gt;0,N(C361)&gt;0),"Medium","Low")))</f>
        <v/>
      </c>
      <c r="E361" s="22" t="n"/>
      <c r="F361" s="22" t="n"/>
      <c r="G361" s="22" t="n"/>
      <c r="H361" s="22" t="n"/>
      <c r="I361" s="22" t="n"/>
      <c r="J361" s="22" t="n"/>
      <c r="K361" s="22" t="n"/>
      <c r="L361" s="22" t="n"/>
      <c r="M361" s="22">
        <f>IF(K361="Override",L361,IF(K361="Accept suggestion",F361,IF(K361="No change (same URL)",A361,"")))</f>
        <v/>
      </c>
      <c r="N361" s="22">
        <f>IF(A361="","",IF(K361="410 Gone","410",IF(K361="404","404",IF(K361="No change (same URL)","none",IF(M361="","","301")))))</f>
        <v/>
      </c>
      <c r="O361" s="22">
        <f>IF(A361="","",IFERROR(MID(A361,FIND("/",A361,FIND("//",A361)+2),2000),A361))</f>
        <v/>
      </c>
      <c r="P361" s="22">
        <f>IF(OR(O361="",N361="",N361="none",N361="404"),"",IF(N361="410","Redirect gone "&amp;O361,"Redirect "&amp;N361&amp;" "&amp;O361&amp;" "&amp;M361))</f>
        <v/>
      </c>
      <c r="Q361" s="22" t="n"/>
      <c r="R361" s="22" t="n"/>
      <c r="S361" s="22" t="n"/>
      <c r="T361" s="4">
        <f>IF(A361="","",TRIM(IF(K361="","Needs decision; ","")&amp;IF(AND(K361="Accept suggestion",F361=""),"No suggestion to accept; ","")&amp;IF(AND(K361="Override",L361=""),"Override URL missing; ","")&amp;IF(AND(K361="Accept suggestion",N(G361)&lt;$G$2),"Below your threshold; ","")&amp;IF(AND(M361&lt;&gt;"",M361=A361,K361&lt;&gt;"No change (same URL)"),"Redirects to itself; ","")&amp;IF(AND(M361&lt;&gt;"",OR(M361="/",AND(LEFT(M361,4)="http",OR((LEN(M361)-LEN(SUBSTITUTE(M361,"/","")))=2,AND((LEN(M361)-LEN(SUBSTITUTE(M361,"/","")))=3,RIGHT(M361,1)="/"))))),"Home page redirect; ","")&amp;IF(N(R361)&gt;1,"Chain; ","")&amp;IF(S361="No","Destination not 200; ","")))</f>
        <v/>
      </c>
      <c r="U361" s="22" t="n"/>
      <c r="V361" s="22" t="n"/>
      <c r="W361" s="4" t="n"/>
    </row>
    <row r="362">
      <c r="A362" s="22" t="n"/>
      <c r="B362" s="22" t="n"/>
      <c r="C362" s="22" t="n"/>
      <c r="D362" s="22">
        <f>IF(A362="","",IF(OR(N(B362)&gt;=$C$2,N(C362)&gt;=$E$2),"High",IF(OR(N(B362)&gt;0,N(C362)&gt;0),"Medium","Low")))</f>
        <v/>
      </c>
      <c r="E362" s="22" t="n"/>
      <c r="F362" s="22" t="n"/>
      <c r="G362" s="22" t="n"/>
      <c r="H362" s="22" t="n"/>
      <c r="I362" s="22" t="n"/>
      <c r="J362" s="22" t="n"/>
      <c r="K362" s="22" t="n"/>
      <c r="L362" s="22" t="n"/>
      <c r="M362" s="22">
        <f>IF(K362="Override",L362,IF(K362="Accept suggestion",F362,IF(K362="No change (same URL)",A362,"")))</f>
        <v/>
      </c>
      <c r="N362" s="22">
        <f>IF(A362="","",IF(K362="410 Gone","410",IF(K362="404","404",IF(K362="No change (same URL)","none",IF(M362="","","301")))))</f>
        <v/>
      </c>
      <c r="O362" s="22">
        <f>IF(A362="","",IFERROR(MID(A362,FIND("/",A362,FIND("//",A362)+2),2000),A362))</f>
        <v/>
      </c>
      <c r="P362" s="22">
        <f>IF(OR(O362="",N362="",N362="none",N362="404"),"",IF(N362="410","Redirect gone "&amp;O362,"Redirect "&amp;N362&amp;" "&amp;O362&amp;" "&amp;M362))</f>
        <v/>
      </c>
      <c r="Q362" s="22" t="n"/>
      <c r="R362" s="22" t="n"/>
      <c r="S362" s="22" t="n"/>
      <c r="T362" s="4">
        <f>IF(A362="","",TRIM(IF(K362="","Needs decision; ","")&amp;IF(AND(K362="Accept suggestion",F362=""),"No suggestion to accept; ","")&amp;IF(AND(K362="Override",L362=""),"Override URL missing; ","")&amp;IF(AND(K362="Accept suggestion",N(G362)&lt;$G$2),"Below your threshold; ","")&amp;IF(AND(M362&lt;&gt;"",M362=A362,K362&lt;&gt;"No change (same URL)"),"Redirects to itself; ","")&amp;IF(AND(M362&lt;&gt;"",OR(M362="/",AND(LEFT(M362,4)="http",OR((LEN(M362)-LEN(SUBSTITUTE(M362,"/","")))=2,AND((LEN(M362)-LEN(SUBSTITUTE(M362,"/","")))=3,RIGHT(M362,1)="/"))))),"Home page redirect; ","")&amp;IF(N(R362)&gt;1,"Chain; ","")&amp;IF(S362="No","Destination not 200; ","")))</f>
        <v/>
      </c>
      <c r="U362" s="22" t="n"/>
      <c r="V362" s="22" t="n"/>
      <c r="W362" s="4" t="n"/>
    </row>
    <row r="363">
      <c r="A363" s="22" t="n"/>
      <c r="B363" s="22" t="n"/>
      <c r="C363" s="22" t="n"/>
      <c r="D363" s="22">
        <f>IF(A363="","",IF(OR(N(B363)&gt;=$C$2,N(C363)&gt;=$E$2),"High",IF(OR(N(B363)&gt;0,N(C363)&gt;0),"Medium","Low")))</f>
        <v/>
      </c>
      <c r="E363" s="22" t="n"/>
      <c r="F363" s="22" t="n"/>
      <c r="G363" s="22" t="n"/>
      <c r="H363" s="22" t="n"/>
      <c r="I363" s="22" t="n"/>
      <c r="J363" s="22" t="n"/>
      <c r="K363" s="22" t="n"/>
      <c r="L363" s="22" t="n"/>
      <c r="M363" s="22">
        <f>IF(K363="Override",L363,IF(K363="Accept suggestion",F363,IF(K363="No change (same URL)",A363,"")))</f>
        <v/>
      </c>
      <c r="N363" s="22">
        <f>IF(A363="","",IF(K363="410 Gone","410",IF(K363="404","404",IF(K363="No change (same URL)","none",IF(M363="","","301")))))</f>
        <v/>
      </c>
      <c r="O363" s="22">
        <f>IF(A363="","",IFERROR(MID(A363,FIND("/",A363,FIND("//",A363)+2),2000),A363))</f>
        <v/>
      </c>
      <c r="P363" s="22">
        <f>IF(OR(O363="",N363="",N363="none",N363="404"),"",IF(N363="410","Redirect gone "&amp;O363,"Redirect "&amp;N363&amp;" "&amp;O363&amp;" "&amp;M363))</f>
        <v/>
      </c>
      <c r="Q363" s="22" t="n"/>
      <c r="R363" s="22" t="n"/>
      <c r="S363" s="22" t="n"/>
      <c r="T363" s="4">
        <f>IF(A363="","",TRIM(IF(K363="","Needs decision; ","")&amp;IF(AND(K363="Accept suggestion",F363=""),"No suggestion to accept; ","")&amp;IF(AND(K363="Override",L363=""),"Override URL missing; ","")&amp;IF(AND(K363="Accept suggestion",N(G363)&lt;$G$2),"Below your threshold; ","")&amp;IF(AND(M363&lt;&gt;"",M363=A363,K363&lt;&gt;"No change (same URL)"),"Redirects to itself; ","")&amp;IF(AND(M363&lt;&gt;"",OR(M363="/",AND(LEFT(M363,4)="http",OR((LEN(M363)-LEN(SUBSTITUTE(M363,"/","")))=2,AND((LEN(M363)-LEN(SUBSTITUTE(M363,"/","")))=3,RIGHT(M363,1)="/"))))),"Home page redirect; ","")&amp;IF(N(R363)&gt;1,"Chain; ","")&amp;IF(S363="No","Destination not 200; ","")))</f>
        <v/>
      </c>
      <c r="U363" s="22" t="n"/>
      <c r="V363" s="22" t="n"/>
      <c r="W363" s="4" t="n"/>
    </row>
    <row r="364">
      <c r="A364" s="22" t="n"/>
      <c r="B364" s="22" t="n"/>
      <c r="C364" s="22" t="n"/>
      <c r="D364" s="22">
        <f>IF(A364="","",IF(OR(N(B364)&gt;=$C$2,N(C364)&gt;=$E$2),"High",IF(OR(N(B364)&gt;0,N(C364)&gt;0),"Medium","Low")))</f>
        <v/>
      </c>
      <c r="E364" s="22" t="n"/>
      <c r="F364" s="22" t="n"/>
      <c r="G364" s="22" t="n"/>
      <c r="H364" s="22" t="n"/>
      <c r="I364" s="22" t="n"/>
      <c r="J364" s="22" t="n"/>
      <c r="K364" s="22" t="n"/>
      <c r="L364" s="22" t="n"/>
      <c r="M364" s="22">
        <f>IF(K364="Override",L364,IF(K364="Accept suggestion",F364,IF(K364="No change (same URL)",A364,"")))</f>
        <v/>
      </c>
      <c r="N364" s="22">
        <f>IF(A364="","",IF(K364="410 Gone","410",IF(K364="404","404",IF(K364="No change (same URL)","none",IF(M364="","","301")))))</f>
        <v/>
      </c>
      <c r="O364" s="22">
        <f>IF(A364="","",IFERROR(MID(A364,FIND("/",A364,FIND("//",A364)+2),2000),A364))</f>
        <v/>
      </c>
      <c r="P364" s="22">
        <f>IF(OR(O364="",N364="",N364="none",N364="404"),"",IF(N364="410","Redirect gone "&amp;O364,"Redirect "&amp;N364&amp;" "&amp;O364&amp;" "&amp;M364))</f>
        <v/>
      </c>
      <c r="Q364" s="22" t="n"/>
      <c r="R364" s="22" t="n"/>
      <c r="S364" s="22" t="n"/>
      <c r="T364" s="4">
        <f>IF(A364="","",TRIM(IF(K364="","Needs decision; ","")&amp;IF(AND(K364="Accept suggestion",F364=""),"No suggestion to accept; ","")&amp;IF(AND(K364="Override",L364=""),"Override URL missing; ","")&amp;IF(AND(K364="Accept suggestion",N(G364)&lt;$G$2),"Below your threshold; ","")&amp;IF(AND(M364&lt;&gt;"",M364=A364,K364&lt;&gt;"No change (same URL)"),"Redirects to itself; ","")&amp;IF(AND(M364&lt;&gt;"",OR(M364="/",AND(LEFT(M364,4)="http",OR((LEN(M364)-LEN(SUBSTITUTE(M364,"/","")))=2,AND((LEN(M364)-LEN(SUBSTITUTE(M364,"/","")))=3,RIGHT(M364,1)="/"))))),"Home page redirect; ","")&amp;IF(N(R364)&gt;1,"Chain; ","")&amp;IF(S364="No","Destination not 200; ","")))</f>
        <v/>
      </c>
      <c r="U364" s="22" t="n"/>
      <c r="V364" s="22" t="n"/>
      <c r="W364" s="4" t="n"/>
    </row>
    <row r="365">
      <c r="A365" s="22" t="n"/>
      <c r="B365" s="22" t="n"/>
      <c r="C365" s="22" t="n"/>
      <c r="D365" s="22">
        <f>IF(A365="","",IF(OR(N(B365)&gt;=$C$2,N(C365)&gt;=$E$2),"High",IF(OR(N(B365)&gt;0,N(C365)&gt;0),"Medium","Low")))</f>
        <v/>
      </c>
      <c r="E365" s="22" t="n"/>
      <c r="F365" s="22" t="n"/>
      <c r="G365" s="22" t="n"/>
      <c r="H365" s="22" t="n"/>
      <c r="I365" s="22" t="n"/>
      <c r="J365" s="22" t="n"/>
      <c r="K365" s="22" t="n"/>
      <c r="L365" s="22" t="n"/>
      <c r="M365" s="22">
        <f>IF(K365="Override",L365,IF(K365="Accept suggestion",F365,IF(K365="No change (same URL)",A365,"")))</f>
        <v/>
      </c>
      <c r="N365" s="22">
        <f>IF(A365="","",IF(K365="410 Gone","410",IF(K365="404","404",IF(K365="No change (same URL)","none",IF(M365="","","301")))))</f>
        <v/>
      </c>
      <c r="O365" s="22">
        <f>IF(A365="","",IFERROR(MID(A365,FIND("/",A365,FIND("//",A365)+2),2000),A365))</f>
        <v/>
      </c>
      <c r="P365" s="22">
        <f>IF(OR(O365="",N365="",N365="none",N365="404"),"",IF(N365="410","Redirect gone "&amp;O365,"Redirect "&amp;N365&amp;" "&amp;O365&amp;" "&amp;M365))</f>
        <v/>
      </c>
      <c r="Q365" s="22" t="n"/>
      <c r="R365" s="22" t="n"/>
      <c r="S365" s="22" t="n"/>
      <c r="T365" s="4">
        <f>IF(A365="","",TRIM(IF(K365="","Needs decision; ","")&amp;IF(AND(K365="Accept suggestion",F365=""),"No suggestion to accept; ","")&amp;IF(AND(K365="Override",L365=""),"Override URL missing; ","")&amp;IF(AND(K365="Accept suggestion",N(G365)&lt;$G$2),"Below your threshold; ","")&amp;IF(AND(M365&lt;&gt;"",M365=A365,K365&lt;&gt;"No change (same URL)"),"Redirects to itself; ","")&amp;IF(AND(M365&lt;&gt;"",OR(M365="/",AND(LEFT(M365,4)="http",OR((LEN(M365)-LEN(SUBSTITUTE(M365,"/","")))=2,AND((LEN(M365)-LEN(SUBSTITUTE(M365,"/","")))=3,RIGHT(M365,1)="/"))))),"Home page redirect; ","")&amp;IF(N(R365)&gt;1,"Chain; ","")&amp;IF(S365="No","Destination not 200; ","")))</f>
        <v/>
      </c>
      <c r="U365" s="22" t="n"/>
      <c r="V365" s="22" t="n"/>
      <c r="W365" s="4" t="n"/>
    </row>
    <row r="366">
      <c r="A366" s="22" t="n"/>
      <c r="B366" s="22" t="n"/>
      <c r="C366" s="22" t="n"/>
      <c r="D366" s="22">
        <f>IF(A366="","",IF(OR(N(B366)&gt;=$C$2,N(C366)&gt;=$E$2),"High",IF(OR(N(B366)&gt;0,N(C366)&gt;0),"Medium","Low")))</f>
        <v/>
      </c>
      <c r="E366" s="22" t="n"/>
      <c r="F366" s="22" t="n"/>
      <c r="G366" s="22" t="n"/>
      <c r="H366" s="22" t="n"/>
      <c r="I366" s="22" t="n"/>
      <c r="J366" s="22" t="n"/>
      <c r="K366" s="22" t="n"/>
      <c r="L366" s="22" t="n"/>
      <c r="M366" s="22">
        <f>IF(K366="Override",L366,IF(K366="Accept suggestion",F366,IF(K366="No change (same URL)",A366,"")))</f>
        <v/>
      </c>
      <c r="N366" s="22">
        <f>IF(A366="","",IF(K366="410 Gone","410",IF(K366="404","404",IF(K366="No change (same URL)","none",IF(M366="","","301")))))</f>
        <v/>
      </c>
      <c r="O366" s="22">
        <f>IF(A366="","",IFERROR(MID(A366,FIND("/",A366,FIND("//",A366)+2),2000),A366))</f>
        <v/>
      </c>
      <c r="P366" s="22">
        <f>IF(OR(O366="",N366="",N366="none",N366="404"),"",IF(N366="410","Redirect gone "&amp;O366,"Redirect "&amp;N366&amp;" "&amp;O366&amp;" "&amp;M366))</f>
        <v/>
      </c>
      <c r="Q366" s="22" t="n"/>
      <c r="R366" s="22" t="n"/>
      <c r="S366" s="22" t="n"/>
      <c r="T366" s="4">
        <f>IF(A366="","",TRIM(IF(K366="","Needs decision; ","")&amp;IF(AND(K366="Accept suggestion",F366=""),"No suggestion to accept; ","")&amp;IF(AND(K366="Override",L366=""),"Override URL missing; ","")&amp;IF(AND(K366="Accept suggestion",N(G366)&lt;$G$2),"Below your threshold; ","")&amp;IF(AND(M366&lt;&gt;"",M366=A366,K366&lt;&gt;"No change (same URL)"),"Redirects to itself; ","")&amp;IF(AND(M366&lt;&gt;"",OR(M366="/",AND(LEFT(M366,4)="http",OR((LEN(M366)-LEN(SUBSTITUTE(M366,"/","")))=2,AND((LEN(M366)-LEN(SUBSTITUTE(M366,"/","")))=3,RIGHT(M366,1)="/"))))),"Home page redirect; ","")&amp;IF(N(R366)&gt;1,"Chain; ","")&amp;IF(S366="No","Destination not 200; ","")))</f>
        <v/>
      </c>
      <c r="U366" s="22" t="n"/>
      <c r="V366" s="22" t="n"/>
      <c r="W366" s="4" t="n"/>
    </row>
    <row r="367">
      <c r="A367" s="22" t="n"/>
      <c r="B367" s="22" t="n"/>
      <c r="C367" s="22" t="n"/>
      <c r="D367" s="22">
        <f>IF(A367="","",IF(OR(N(B367)&gt;=$C$2,N(C367)&gt;=$E$2),"High",IF(OR(N(B367)&gt;0,N(C367)&gt;0),"Medium","Low")))</f>
        <v/>
      </c>
      <c r="E367" s="22" t="n"/>
      <c r="F367" s="22" t="n"/>
      <c r="G367" s="22" t="n"/>
      <c r="H367" s="22" t="n"/>
      <c r="I367" s="22" t="n"/>
      <c r="J367" s="22" t="n"/>
      <c r="K367" s="22" t="n"/>
      <c r="L367" s="22" t="n"/>
      <c r="M367" s="22">
        <f>IF(K367="Override",L367,IF(K367="Accept suggestion",F367,IF(K367="No change (same URL)",A367,"")))</f>
        <v/>
      </c>
      <c r="N367" s="22">
        <f>IF(A367="","",IF(K367="410 Gone","410",IF(K367="404","404",IF(K367="No change (same URL)","none",IF(M367="","","301")))))</f>
        <v/>
      </c>
      <c r="O367" s="22">
        <f>IF(A367="","",IFERROR(MID(A367,FIND("/",A367,FIND("//",A367)+2),2000),A367))</f>
        <v/>
      </c>
      <c r="P367" s="22">
        <f>IF(OR(O367="",N367="",N367="none",N367="404"),"",IF(N367="410","Redirect gone "&amp;O367,"Redirect "&amp;N367&amp;" "&amp;O367&amp;" "&amp;M367))</f>
        <v/>
      </c>
      <c r="Q367" s="22" t="n"/>
      <c r="R367" s="22" t="n"/>
      <c r="S367" s="22" t="n"/>
      <c r="T367" s="4">
        <f>IF(A367="","",TRIM(IF(K367="","Needs decision; ","")&amp;IF(AND(K367="Accept suggestion",F367=""),"No suggestion to accept; ","")&amp;IF(AND(K367="Override",L367=""),"Override URL missing; ","")&amp;IF(AND(K367="Accept suggestion",N(G367)&lt;$G$2),"Below your threshold; ","")&amp;IF(AND(M367&lt;&gt;"",M367=A367,K367&lt;&gt;"No change (same URL)"),"Redirects to itself; ","")&amp;IF(AND(M367&lt;&gt;"",OR(M367="/",AND(LEFT(M367,4)="http",OR((LEN(M367)-LEN(SUBSTITUTE(M367,"/","")))=2,AND((LEN(M367)-LEN(SUBSTITUTE(M367,"/","")))=3,RIGHT(M367,1)="/"))))),"Home page redirect; ","")&amp;IF(N(R367)&gt;1,"Chain; ","")&amp;IF(S367="No","Destination not 200; ","")))</f>
        <v/>
      </c>
      <c r="U367" s="22" t="n"/>
      <c r="V367" s="22" t="n"/>
      <c r="W367" s="4" t="n"/>
    </row>
    <row r="368">
      <c r="A368" s="22" t="n"/>
      <c r="B368" s="22" t="n"/>
      <c r="C368" s="22" t="n"/>
      <c r="D368" s="22">
        <f>IF(A368="","",IF(OR(N(B368)&gt;=$C$2,N(C368)&gt;=$E$2),"High",IF(OR(N(B368)&gt;0,N(C368)&gt;0),"Medium","Low")))</f>
        <v/>
      </c>
      <c r="E368" s="22" t="n"/>
      <c r="F368" s="22" t="n"/>
      <c r="G368" s="22" t="n"/>
      <c r="H368" s="22" t="n"/>
      <c r="I368" s="22" t="n"/>
      <c r="J368" s="22" t="n"/>
      <c r="K368" s="22" t="n"/>
      <c r="L368" s="22" t="n"/>
      <c r="M368" s="22">
        <f>IF(K368="Override",L368,IF(K368="Accept suggestion",F368,IF(K368="No change (same URL)",A368,"")))</f>
        <v/>
      </c>
      <c r="N368" s="22">
        <f>IF(A368="","",IF(K368="410 Gone","410",IF(K368="404","404",IF(K368="No change (same URL)","none",IF(M368="","","301")))))</f>
        <v/>
      </c>
      <c r="O368" s="22">
        <f>IF(A368="","",IFERROR(MID(A368,FIND("/",A368,FIND("//",A368)+2),2000),A368))</f>
        <v/>
      </c>
      <c r="P368" s="22">
        <f>IF(OR(O368="",N368="",N368="none",N368="404"),"",IF(N368="410","Redirect gone "&amp;O368,"Redirect "&amp;N368&amp;" "&amp;O368&amp;" "&amp;M368))</f>
        <v/>
      </c>
      <c r="Q368" s="22" t="n"/>
      <c r="R368" s="22" t="n"/>
      <c r="S368" s="22" t="n"/>
      <c r="T368" s="4">
        <f>IF(A368="","",TRIM(IF(K368="","Needs decision; ","")&amp;IF(AND(K368="Accept suggestion",F368=""),"No suggestion to accept; ","")&amp;IF(AND(K368="Override",L368=""),"Override URL missing; ","")&amp;IF(AND(K368="Accept suggestion",N(G368)&lt;$G$2),"Below your threshold; ","")&amp;IF(AND(M368&lt;&gt;"",M368=A368,K368&lt;&gt;"No change (same URL)"),"Redirects to itself; ","")&amp;IF(AND(M368&lt;&gt;"",OR(M368="/",AND(LEFT(M368,4)="http",OR((LEN(M368)-LEN(SUBSTITUTE(M368,"/","")))=2,AND((LEN(M368)-LEN(SUBSTITUTE(M368,"/","")))=3,RIGHT(M368,1)="/"))))),"Home page redirect; ","")&amp;IF(N(R368)&gt;1,"Chain; ","")&amp;IF(S368="No","Destination not 200; ","")))</f>
        <v/>
      </c>
      <c r="U368" s="22" t="n"/>
      <c r="V368" s="22" t="n"/>
      <c r="W368" s="4" t="n"/>
    </row>
    <row r="369">
      <c r="A369" s="22" t="n"/>
      <c r="B369" s="22" t="n"/>
      <c r="C369" s="22" t="n"/>
      <c r="D369" s="22">
        <f>IF(A369="","",IF(OR(N(B369)&gt;=$C$2,N(C369)&gt;=$E$2),"High",IF(OR(N(B369)&gt;0,N(C369)&gt;0),"Medium","Low")))</f>
        <v/>
      </c>
      <c r="E369" s="22" t="n"/>
      <c r="F369" s="22" t="n"/>
      <c r="G369" s="22" t="n"/>
      <c r="H369" s="22" t="n"/>
      <c r="I369" s="22" t="n"/>
      <c r="J369" s="22" t="n"/>
      <c r="K369" s="22" t="n"/>
      <c r="L369" s="22" t="n"/>
      <c r="M369" s="22">
        <f>IF(K369="Override",L369,IF(K369="Accept suggestion",F369,IF(K369="No change (same URL)",A369,"")))</f>
        <v/>
      </c>
      <c r="N369" s="22">
        <f>IF(A369="","",IF(K369="410 Gone","410",IF(K369="404","404",IF(K369="No change (same URL)","none",IF(M369="","","301")))))</f>
        <v/>
      </c>
      <c r="O369" s="22">
        <f>IF(A369="","",IFERROR(MID(A369,FIND("/",A369,FIND("//",A369)+2),2000),A369))</f>
        <v/>
      </c>
      <c r="P369" s="22">
        <f>IF(OR(O369="",N369="",N369="none",N369="404"),"",IF(N369="410","Redirect gone "&amp;O369,"Redirect "&amp;N369&amp;" "&amp;O369&amp;" "&amp;M369))</f>
        <v/>
      </c>
      <c r="Q369" s="22" t="n"/>
      <c r="R369" s="22" t="n"/>
      <c r="S369" s="22" t="n"/>
      <c r="T369" s="4">
        <f>IF(A369="","",TRIM(IF(K369="","Needs decision; ","")&amp;IF(AND(K369="Accept suggestion",F369=""),"No suggestion to accept; ","")&amp;IF(AND(K369="Override",L369=""),"Override URL missing; ","")&amp;IF(AND(K369="Accept suggestion",N(G369)&lt;$G$2),"Below your threshold; ","")&amp;IF(AND(M369&lt;&gt;"",M369=A369,K369&lt;&gt;"No change (same URL)"),"Redirects to itself; ","")&amp;IF(AND(M369&lt;&gt;"",OR(M369="/",AND(LEFT(M369,4)="http",OR((LEN(M369)-LEN(SUBSTITUTE(M369,"/","")))=2,AND((LEN(M369)-LEN(SUBSTITUTE(M369,"/","")))=3,RIGHT(M369,1)="/"))))),"Home page redirect; ","")&amp;IF(N(R369)&gt;1,"Chain; ","")&amp;IF(S369="No","Destination not 200; ","")))</f>
        <v/>
      </c>
      <c r="U369" s="22" t="n"/>
      <c r="V369" s="22" t="n"/>
      <c r="W369" s="4" t="n"/>
    </row>
    <row r="370">
      <c r="A370" s="22" t="n"/>
      <c r="B370" s="22" t="n"/>
      <c r="C370" s="22" t="n"/>
      <c r="D370" s="22">
        <f>IF(A370="","",IF(OR(N(B370)&gt;=$C$2,N(C370)&gt;=$E$2),"High",IF(OR(N(B370)&gt;0,N(C370)&gt;0),"Medium","Low")))</f>
        <v/>
      </c>
      <c r="E370" s="22" t="n"/>
      <c r="F370" s="22" t="n"/>
      <c r="G370" s="22" t="n"/>
      <c r="H370" s="22" t="n"/>
      <c r="I370" s="22" t="n"/>
      <c r="J370" s="22" t="n"/>
      <c r="K370" s="22" t="n"/>
      <c r="L370" s="22" t="n"/>
      <c r="M370" s="22">
        <f>IF(K370="Override",L370,IF(K370="Accept suggestion",F370,IF(K370="No change (same URL)",A370,"")))</f>
        <v/>
      </c>
      <c r="N370" s="22">
        <f>IF(A370="","",IF(K370="410 Gone","410",IF(K370="404","404",IF(K370="No change (same URL)","none",IF(M370="","","301")))))</f>
        <v/>
      </c>
      <c r="O370" s="22">
        <f>IF(A370="","",IFERROR(MID(A370,FIND("/",A370,FIND("//",A370)+2),2000),A370))</f>
        <v/>
      </c>
      <c r="P370" s="22">
        <f>IF(OR(O370="",N370="",N370="none",N370="404"),"",IF(N370="410","Redirect gone "&amp;O370,"Redirect "&amp;N370&amp;" "&amp;O370&amp;" "&amp;M370))</f>
        <v/>
      </c>
      <c r="Q370" s="22" t="n"/>
      <c r="R370" s="22" t="n"/>
      <c r="S370" s="22" t="n"/>
      <c r="T370" s="4">
        <f>IF(A370="","",TRIM(IF(K370="","Needs decision; ","")&amp;IF(AND(K370="Accept suggestion",F370=""),"No suggestion to accept; ","")&amp;IF(AND(K370="Override",L370=""),"Override URL missing; ","")&amp;IF(AND(K370="Accept suggestion",N(G370)&lt;$G$2),"Below your threshold; ","")&amp;IF(AND(M370&lt;&gt;"",M370=A370,K370&lt;&gt;"No change (same URL)"),"Redirects to itself; ","")&amp;IF(AND(M370&lt;&gt;"",OR(M370="/",AND(LEFT(M370,4)="http",OR((LEN(M370)-LEN(SUBSTITUTE(M370,"/","")))=2,AND((LEN(M370)-LEN(SUBSTITUTE(M370,"/","")))=3,RIGHT(M370,1)="/"))))),"Home page redirect; ","")&amp;IF(N(R370)&gt;1,"Chain; ","")&amp;IF(S370="No","Destination not 200; ","")))</f>
        <v/>
      </c>
      <c r="U370" s="22" t="n"/>
      <c r="V370" s="22" t="n"/>
      <c r="W370" s="4" t="n"/>
    </row>
    <row r="371">
      <c r="A371" s="22" t="n"/>
      <c r="B371" s="22" t="n"/>
      <c r="C371" s="22" t="n"/>
      <c r="D371" s="22">
        <f>IF(A371="","",IF(OR(N(B371)&gt;=$C$2,N(C371)&gt;=$E$2),"High",IF(OR(N(B371)&gt;0,N(C371)&gt;0),"Medium","Low")))</f>
        <v/>
      </c>
      <c r="E371" s="22" t="n"/>
      <c r="F371" s="22" t="n"/>
      <c r="G371" s="22" t="n"/>
      <c r="H371" s="22" t="n"/>
      <c r="I371" s="22" t="n"/>
      <c r="J371" s="22" t="n"/>
      <c r="K371" s="22" t="n"/>
      <c r="L371" s="22" t="n"/>
      <c r="M371" s="22">
        <f>IF(K371="Override",L371,IF(K371="Accept suggestion",F371,IF(K371="No change (same URL)",A371,"")))</f>
        <v/>
      </c>
      <c r="N371" s="22">
        <f>IF(A371="","",IF(K371="410 Gone","410",IF(K371="404","404",IF(K371="No change (same URL)","none",IF(M371="","","301")))))</f>
        <v/>
      </c>
      <c r="O371" s="22">
        <f>IF(A371="","",IFERROR(MID(A371,FIND("/",A371,FIND("//",A371)+2),2000),A371))</f>
        <v/>
      </c>
      <c r="P371" s="22">
        <f>IF(OR(O371="",N371="",N371="none",N371="404"),"",IF(N371="410","Redirect gone "&amp;O371,"Redirect "&amp;N371&amp;" "&amp;O371&amp;" "&amp;M371))</f>
        <v/>
      </c>
      <c r="Q371" s="22" t="n"/>
      <c r="R371" s="22" t="n"/>
      <c r="S371" s="22" t="n"/>
      <c r="T371" s="4">
        <f>IF(A371="","",TRIM(IF(K371="","Needs decision; ","")&amp;IF(AND(K371="Accept suggestion",F371=""),"No suggestion to accept; ","")&amp;IF(AND(K371="Override",L371=""),"Override URL missing; ","")&amp;IF(AND(K371="Accept suggestion",N(G371)&lt;$G$2),"Below your threshold; ","")&amp;IF(AND(M371&lt;&gt;"",M371=A371,K371&lt;&gt;"No change (same URL)"),"Redirects to itself; ","")&amp;IF(AND(M371&lt;&gt;"",OR(M371="/",AND(LEFT(M371,4)="http",OR((LEN(M371)-LEN(SUBSTITUTE(M371,"/","")))=2,AND((LEN(M371)-LEN(SUBSTITUTE(M371,"/","")))=3,RIGHT(M371,1)="/"))))),"Home page redirect; ","")&amp;IF(N(R371)&gt;1,"Chain; ","")&amp;IF(S371="No","Destination not 200; ","")))</f>
        <v/>
      </c>
      <c r="U371" s="22" t="n"/>
      <c r="V371" s="22" t="n"/>
      <c r="W371" s="4" t="n"/>
    </row>
    <row r="372">
      <c r="A372" s="22" t="n"/>
      <c r="B372" s="22" t="n"/>
      <c r="C372" s="22" t="n"/>
      <c r="D372" s="22">
        <f>IF(A372="","",IF(OR(N(B372)&gt;=$C$2,N(C372)&gt;=$E$2),"High",IF(OR(N(B372)&gt;0,N(C372)&gt;0),"Medium","Low")))</f>
        <v/>
      </c>
      <c r="E372" s="22" t="n"/>
      <c r="F372" s="22" t="n"/>
      <c r="G372" s="22" t="n"/>
      <c r="H372" s="22" t="n"/>
      <c r="I372" s="22" t="n"/>
      <c r="J372" s="22" t="n"/>
      <c r="K372" s="22" t="n"/>
      <c r="L372" s="22" t="n"/>
      <c r="M372" s="22">
        <f>IF(K372="Override",L372,IF(K372="Accept suggestion",F372,IF(K372="No change (same URL)",A372,"")))</f>
        <v/>
      </c>
      <c r="N372" s="22">
        <f>IF(A372="","",IF(K372="410 Gone","410",IF(K372="404","404",IF(K372="No change (same URL)","none",IF(M372="","","301")))))</f>
        <v/>
      </c>
      <c r="O372" s="22">
        <f>IF(A372="","",IFERROR(MID(A372,FIND("/",A372,FIND("//",A372)+2),2000),A372))</f>
        <v/>
      </c>
      <c r="P372" s="22">
        <f>IF(OR(O372="",N372="",N372="none",N372="404"),"",IF(N372="410","Redirect gone "&amp;O372,"Redirect "&amp;N372&amp;" "&amp;O372&amp;" "&amp;M372))</f>
        <v/>
      </c>
      <c r="Q372" s="22" t="n"/>
      <c r="R372" s="22" t="n"/>
      <c r="S372" s="22" t="n"/>
      <c r="T372" s="4">
        <f>IF(A372="","",TRIM(IF(K372="","Needs decision; ","")&amp;IF(AND(K372="Accept suggestion",F372=""),"No suggestion to accept; ","")&amp;IF(AND(K372="Override",L372=""),"Override URL missing; ","")&amp;IF(AND(K372="Accept suggestion",N(G372)&lt;$G$2),"Below your threshold; ","")&amp;IF(AND(M372&lt;&gt;"",M372=A372,K372&lt;&gt;"No change (same URL)"),"Redirects to itself; ","")&amp;IF(AND(M372&lt;&gt;"",OR(M372="/",AND(LEFT(M372,4)="http",OR((LEN(M372)-LEN(SUBSTITUTE(M372,"/","")))=2,AND((LEN(M372)-LEN(SUBSTITUTE(M372,"/","")))=3,RIGHT(M372,1)="/"))))),"Home page redirect; ","")&amp;IF(N(R372)&gt;1,"Chain; ","")&amp;IF(S372="No","Destination not 200; ","")))</f>
        <v/>
      </c>
      <c r="U372" s="22" t="n"/>
      <c r="V372" s="22" t="n"/>
      <c r="W372" s="4" t="n"/>
    </row>
    <row r="373">
      <c r="A373" s="22" t="n"/>
      <c r="B373" s="22" t="n"/>
      <c r="C373" s="22" t="n"/>
      <c r="D373" s="22">
        <f>IF(A373="","",IF(OR(N(B373)&gt;=$C$2,N(C373)&gt;=$E$2),"High",IF(OR(N(B373)&gt;0,N(C373)&gt;0),"Medium","Low")))</f>
        <v/>
      </c>
      <c r="E373" s="22" t="n"/>
      <c r="F373" s="22" t="n"/>
      <c r="G373" s="22" t="n"/>
      <c r="H373" s="22" t="n"/>
      <c r="I373" s="22" t="n"/>
      <c r="J373" s="22" t="n"/>
      <c r="K373" s="22" t="n"/>
      <c r="L373" s="22" t="n"/>
      <c r="M373" s="22">
        <f>IF(K373="Override",L373,IF(K373="Accept suggestion",F373,IF(K373="No change (same URL)",A373,"")))</f>
        <v/>
      </c>
      <c r="N373" s="22">
        <f>IF(A373="","",IF(K373="410 Gone","410",IF(K373="404","404",IF(K373="No change (same URL)","none",IF(M373="","","301")))))</f>
        <v/>
      </c>
      <c r="O373" s="22">
        <f>IF(A373="","",IFERROR(MID(A373,FIND("/",A373,FIND("//",A373)+2),2000),A373))</f>
        <v/>
      </c>
      <c r="P373" s="22">
        <f>IF(OR(O373="",N373="",N373="none",N373="404"),"",IF(N373="410","Redirect gone "&amp;O373,"Redirect "&amp;N373&amp;" "&amp;O373&amp;" "&amp;M373))</f>
        <v/>
      </c>
      <c r="Q373" s="22" t="n"/>
      <c r="R373" s="22" t="n"/>
      <c r="S373" s="22" t="n"/>
      <c r="T373" s="4">
        <f>IF(A373="","",TRIM(IF(K373="","Needs decision; ","")&amp;IF(AND(K373="Accept suggestion",F373=""),"No suggestion to accept; ","")&amp;IF(AND(K373="Override",L373=""),"Override URL missing; ","")&amp;IF(AND(K373="Accept suggestion",N(G373)&lt;$G$2),"Below your threshold; ","")&amp;IF(AND(M373&lt;&gt;"",M373=A373,K373&lt;&gt;"No change (same URL)"),"Redirects to itself; ","")&amp;IF(AND(M373&lt;&gt;"",OR(M373="/",AND(LEFT(M373,4)="http",OR((LEN(M373)-LEN(SUBSTITUTE(M373,"/","")))=2,AND((LEN(M373)-LEN(SUBSTITUTE(M373,"/","")))=3,RIGHT(M373,1)="/"))))),"Home page redirect; ","")&amp;IF(N(R373)&gt;1,"Chain; ","")&amp;IF(S373="No","Destination not 200; ","")))</f>
        <v/>
      </c>
      <c r="U373" s="22" t="n"/>
      <c r="V373" s="22" t="n"/>
      <c r="W373" s="4" t="n"/>
    </row>
    <row r="374">
      <c r="A374" s="22" t="n"/>
      <c r="B374" s="22" t="n"/>
      <c r="C374" s="22" t="n"/>
      <c r="D374" s="22">
        <f>IF(A374="","",IF(OR(N(B374)&gt;=$C$2,N(C374)&gt;=$E$2),"High",IF(OR(N(B374)&gt;0,N(C374)&gt;0),"Medium","Low")))</f>
        <v/>
      </c>
      <c r="E374" s="22" t="n"/>
      <c r="F374" s="22" t="n"/>
      <c r="G374" s="22" t="n"/>
      <c r="H374" s="22" t="n"/>
      <c r="I374" s="22" t="n"/>
      <c r="J374" s="22" t="n"/>
      <c r="K374" s="22" t="n"/>
      <c r="L374" s="22" t="n"/>
      <c r="M374" s="22">
        <f>IF(K374="Override",L374,IF(K374="Accept suggestion",F374,IF(K374="No change (same URL)",A374,"")))</f>
        <v/>
      </c>
      <c r="N374" s="22">
        <f>IF(A374="","",IF(K374="410 Gone","410",IF(K374="404","404",IF(K374="No change (same URL)","none",IF(M374="","","301")))))</f>
        <v/>
      </c>
      <c r="O374" s="22">
        <f>IF(A374="","",IFERROR(MID(A374,FIND("/",A374,FIND("//",A374)+2),2000),A374))</f>
        <v/>
      </c>
      <c r="P374" s="22">
        <f>IF(OR(O374="",N374="",N374="none",N374="404"),"",IF(N374="410","Redirect gone "&amp;O374,"Redirect "&amp;N374&amp;" "&amp;O374&amp;" "&amp;M374))</f>
        <v/>
      </c>
      <c r="Q374" s="22" t="n"/>
      <c r="R374" s="22" t="n"/>
      <c r="S374" s="22" t="n"/>
      <c r="T374" s="4">
        <f>IF(A374="","",TRIM(IF(K374="","Needs decision; ","")&amp;IF(AND(K374="Accept suggestion",F374=""),"No suggestion to accept; ","")&amp;IF(AND(K374="Override",L374=""),"Override URL missing; ","")&amp;IF(AND(K374="Accept suggestion",N(G374)&lt;$G$2),"Below your threshold; ","")&amp;IF(AND(M374&lt;&gt;"",M374=A374,K374&lt;&gt;"No change (same URL)"),"Redirects to itself; ","")&amp;IF(AND(M374&lt;&gt;"",OR(M374="/",AND(LEFT(M374,4)="http",OR((LEN(M374)-LEN(SUBSTITUTE(M374,"/","")))=2,AND((LEN(M374)-LEN(SUBSTITUTE(M374,"/","")))=3,RIGHT(M374,1)="/"))))),"Home page redirect; ","")&amp;IF(N(R374)&gt;1,"Chain; ","")&amp;IF(S374="No","Destination not 200; ","")))</f>
        <v/>
      </c>
      <c r="U374" s="22" t="n"/>
      <c r="V374" s="22" t="n"/>
      <c r="W374" s="4" t="n"/>
    </row>
    <row r="375">
      <c r="A375" s="22" t="n"/>
      <c r="B375" s="22" t="n"/>
      <c r="C375" s="22" t="n"/>
      <c r="D375" s="22">
        <f>IF(A375="","",IF(OR(N(B375)&gt;=$C$2,N(C375)&gt;=$E$2),"High",IF(OR(N(B375)&gt;0,N(C375)&gt;0),"Medium","Low")))</f>
        <v/>
      </c>
      <c r="E375" s="22" t="n"/>
      <c r="F375" s="22" t="n"/>
      <c r="G375" s="22" t="n"/>
      <c r="H375" s="22" t="n"/>
      <c r="I375" s="22" t="n"/>
      <c r="J375" s="22" t="n"/>
      <c r="K375" s="22" t="n"/>
      <c r="L375" s="22" t="n"/>
      <c r="M375" s="22">
        <f>IF(K375="Override",L375,IF(K375="Accept suggestion",F375,IF(K375="No change (same URL)",A375,"")))</f>
        <v/>
      </c>
      <c r="N375" s="22">
        <f>IF(A375="","",IF(K375="410 Gone","410",IF(K375="404","404",IF(K375="No change (same URL)","none",IF(M375="","","301")))))</f>
        <v/>
      </c>
      <c r="O375" s="22">
        <f>IF(A375="","",IFERROR(MID(A375,FIND("/",A375,FIND("//",A375)+2),2000),A375))</f>
        <v/>
      </c>
      <c r="P375" s="22">
        <f>IF(OR(O375="",N375="",N375="none",N375="404"),"",IF(N375="410","Redirect gone "&amp;O375,"Redirect "&amp;N375&amp;" "&amp;O375&amp;" "&amp;M375))</f>
        <v/>
      </c>
      <c r="Q375" s="22" t="n"/>
      <c r="R375" s="22" t="n"/>
      <c r="S375" s="22" t="n"/>
      <c r="T375" s="4">
        <f>IF(A375="","",TRIM(IF(K375="","Needs decision; ","")&amp;IF(AND(K375="Accept suggestion",F375=""),"No suggestion to accept; ","")&amp;IF(AND(K375="Override",L375=""),"Override URL missing; ","")&amp;IF(AND(K375="Accept suggestion",N(G375)&lt;$G$2),"Below your threshold; ","")&amp;IF(AND(M375&lt;&gt;"",M375=A375,K375&lt;&gt;"No change (same URL)"),"Redirects to itself; ","")&amp;IF(AND(M375&lt;&gt;"",OR(M375="/",AND(LEFT(M375,4)="http",OR((LEN(M375)-LEN(SUBSTITUTE(M375,"/","")))=2,AND((LEN(M375)-LEN(SUBSTITUTE(M375,"/","")))=3,RIGHT(M375,1)="/"))))),"Home page redirect; ","")&amp;IF(N(R375)&gt;1,"Chain; ","")&amp;IF(S375="No","Destination not 200; ","")))</f>
        <v/>
      </c>
      <c r="U375" s="22" t="n"/>
      <c r="V375" s="22" t="n"/>
      <c r="W375" s="4" t="n"/>
    </row>
    <row r="376">
      <c r="A376" s="22" t="n"/>
      <c r="B376" s="22" t="n"/>
      <c r="C376" s="22" t="n"/>
      <c r="D376" s="22">
        <f>IF(A376="","",IF(OR(N(B376)&gt;=$C$2,N(C376)&gt;=$E$2),"High",IF(OR(N(B376)&gt;0,N(C376)&gt;0),"Medium","Low")))</f>
        <v/>
      </c>
      <c r="E376" s="22" t="n"/>
      <c r="F376" s="22" t="n"/>
      <c r="G376" s="22" t="n"/>
      <c r="H376" s="22" t="n"/>
      <c r="I376" s="22" t="n"/>
      <c r="J376" s="22" t="n"/>
      <c r="K376" s="22" t="n"/>
      <c r="L376" s="22" t="n"/>
      <c r="M376" s="22">
        <f>IF(K376="Override",L376,IF(K376="Accept suggestion",F376,IF(K376="No change (same URL)",A376,"")))</f>
        <v/>
      </c>
      <c r="N376" s="22">
        <f>IF(A376="","",IF(K376="410 Gone","410",IF(K376="404","404",IF(K376="No change (same URL)","none",IF(M376="","","301")))))</f>
        <v/>
      </c>
      <c r="O376" s="22">
        <f>IF(A376="","",IFERROR(MID(A376,FIND("/",A376,FIND("//",A376)+2),2000),A376))</f>
        <v/>
      </c>
      <c r="P376" s="22">
        <f>IF(OR(O376="",N376="",N376="none",N376="404"),"",IF(N376="410","Redirect gone "&amp;O376,"Redirect "&amp;N376&amp;" "&amp;O376&amp;" "&amp;M376))</f>
        <v/>
      </c>
      <c r="Q376" s="22" t="n"/>
      <c r="R376" s="22" t="n"/>
      <c r="S376" s="22" t="n"/>
      <c r="T376" s="4">
        <f>IF(A376="","",TRIM(IF(K376="","Needs decision; ","")&amp;IF(AND(K376="Accept suggestion",F376=""),"No suggestion to accept; ","")&amp;IF(AND(K376="Override",L376=""),"Override URL missing; ","")&amp;IF(AND(K376="Accept suggestion",N(G376)&lt;$G$2),"Below your threshold; ","")&amp;IF(AND(M376&lt;&gt;"",M376=A376,K376&lt;&gt;"No change (same URL)"),"Redirects to itself; ","")&amp;IF(AND(M376&lt;&gt;"",OR(M376="/",AND(LEFT(M376,4)="http",OR((LEN(M376)-LEN(SUBSTITUTE(M376,"/","")))=2,AND((LEN(M376)-LEN(SUBSTITUTE(M376,"/","")))=3,RIGHT(M376,1)="/"))))),"Home page redirect; ","")&amp;IF(N(R376)&gt;1,"Chain; ","")&amp;IF(S376="No","Destination not 200; ","")))</f>
        <v/>
      </c>
      <c r="U376" s="22" t="n"/>
      <c r="V376" s="22" t="n"/>
      <c r="W376" s="4" t="n"/>
    </row>
    <row r="377">
      <c r="A377" s="22" t="n"/>
      <c r="B377" s="22" t="n"/>
      <c r="C377" s="22" t="n"/>
      <c r="D377" s="22">
        <f>IF(A377="","",IF(OR(N(B377)&gt;=$C$2,N(C377)&gt;=$E$2),"High",IF(OR(N(B377)&gt;0,N(C377)&gt;0),"Medium","Low")))</f>
        <v/>
      </c>
      <c r="E377" s="22" t="n"/>
      <c r="F377" s="22" t="n"/>
      <c r="G377" s="22" t="n"/>
      <c r="H377" s="22" t="n"/>
      <c r="I377" s="22" t="n"/>
      <c r="J377" s="22" t="n"/>
      <c r="K377" s="22" t="n"/>
      <c r="L377" s="22" t="n"/>
      <c r="M377" s="22">
        <f>IF(K377="Override",L377,IF(K377="Accept suggestion",F377,IF(K377="No change (same URL)",A377,"")))</f>
        <v/>
      </c>
      <c r="N377" s="22">
        <f>IF(A377="","",IF(K377="410 Gone","410",IF(K377="404","404",IF(K377="No change (same URL)","none",IF(M377="","","301")))))</f>
        <v/>
      </c>
      <c r="O377" s="22">
        <f>IF(A377="","",IFERROR(MID(A377,FIND("/",A377,FIND("//",A377)+2),2000),A377))</f>
        <v/>
      </c>
      <c r="P377" s="22">
        <f>IF(OR(O377="",N377="",N377="none",N377="404"),"",IF(N377="410","Redirect gone "&amp;O377,"Redirect "&amp;N377&amp;" "&amp;O377&amp;" "&amp;M377))</f>
        <v/>
      </c>
      <c r="Q377" s="22" t="n"/>
      <c r="R377" s="22" t="n"/>
      <c r="S377" s="22" t="n"/>
      <c r="T377" s="4">
        <f>IF(A377="","",TRIM(IF(K377="","Needs decision; ","")&amp;IF(AND(K377="Accept suggestion",F377=""),"No suggestion to accept; ","")&amp;IF(AND(K377="Override",L377=""),"Override URL missing; ","")&amp;IF(AND(K377="Accept suggestion",N(G377)&lt;$G$2),"Below your threshold; ","")&amp;IF(AND(M377&lt;&gt;"",M377=A377,K377&lt;&gt;"No change (same URL)"),"Redirects to itself; ","")&amp;IF(AND(M377&lt;&gt;"",OR(M377="/",AND(LEFT(M377,4)="http",OR((LEN(M377)-LEN(SUBSTITUTE(M377,"/","")))=2,AND((LEN(M377)-LEN(SUBSTITUTE(M377,"/","")))=3,RIGHT(M377,1)="/"))))),"Home page redirect; ","")&amp;IF(N(R377)&gt;1,"Chain; ","")&amp;IF(S377="No","Destination not 200; ","")))</f>
        <v/>
      </c>
      <c r="U377" s="22" t="n"/>
      <c r="V377" s="22" t="n"/>
      <c r="W377" s="4" t="n"/>
    </row>
    <row r="378">
      <c r="A378" s="22" t="n"/>
      <c r="B378" s="22" t="n"/>
      <c r="C378" s="22" t="n"/>
      <c r="D378" s="22">
        <f>IF(A378="","",IF(OR(N(B378)&gt;=$C$2,N(C378)&gt;=$E$2),"High",IF(OR(N(B378)&gt;0,N(C378)&gt;0),"Medium","Low")))</f>
        <v/>
      </c>
      <c r="E378" s="22" t="n"/>
      <c r="F378" s="22" t="n"/>
      <c r="G378" s="22" t="n"/>
      <c r="H378" s="22" t="n"/>
      <c r="I378" s="22" t="n"/>
      <c r="J378" s="22" t="n"/>
      <c r="K378" s="22" t="n"/>
      <c r="L378" s="22" t="n"/>
      <c r="M378" s="22">
        <f>IF(K378="Override",L378,IF(K378="Accept suggestion",F378,IF(K378="No change (same URL)",A378,"")))</f>
        <v/>
      </c>
      <c r="N378" s="22">
        <f>IF(A378="","",IF(K378="410 Gone","410",IF(K378="404","404",IF(K378="No change (same URL)","none",IF(M378="","","301")))))</f>
        <v/>
      </c>
      <c r="O378" s="22">
        <f>IF(A378="","",IFERROR(MID(A378,FIND("/",A378,FIND("//",A378)+2),2000),A378))</f>
        <v/>
      </c>
      <c r="P378" s="22">
        <f>IF(OR(O378="",N378="",N378="none",N378="404"),"",IF(N378="410","Redirect gone "&amp;O378,"Redirect "&amp;N378&amp;" "&amp;O378&amp;" "&amp;M378))</f>
        <v/>
      </c>
      <c r="Q378" s="22" t="n"/>
      <c r="R378" s="22" t="n"/>
      <c r="S378" s="22" t="n"/>
      <c r="T378" s="4">
        <f>IF(A378="","",TRIM(IF(K378="","Needs decision; ","")&amp;IF(AND(K378="Accept suggestion",F378=""),"No suggestion to accept; ","")&amp;IF(AND(K378="Override",L378=""),"Override URL missing; ","")&amp;IF(AND(K378="Accept suggestion",N(G378)&lt;$G$2),"Below your threshold; ","")&amp;IF(AND(M378&lt;&gt;"",M378=A378,K378&lt;&gt;"No change (same URL)"),"Redirects to itself; ","")&amp;IF(AND(M378&lt;&gt;"",OR(M378="/",AND(LEFT(M378,4)="http",OR((LEN(M378)-LEN(SUBSTITUTE(M378,"/","")))=2,AND((LEN(M378)-LEN(SUBSTITUTE(M378,"/","")))=3,RIGHT(M378,1)="/"))))),"Home page redirect; ","")&amp;IF(N(R378)&gt;1,"Chain; ","")&amp;IF(S378="No","Destination not 200; ","")))</f>
        <v/>
      </c>
      <c r="U378" s="22" t="n"/>
      <c r="V378" s="22" t="n"/>
      <c r="W378" s="4" t="n"/>
    </row>
    <row r="379">
      <c r="A379" s="22" t="n"/>
      <c r="B379" s="22" t="n"/>
      <c r="C379" s="22" t="n"/>
      <c r="D379" s="22">
        <f>IF(A379="","",IF(OR(N(B379)&gt;=$C$2,N(C379)&gt;=$E$2),"High",IF(OR(N(B379)&gt;0,N(C379)&gt;0),"Medium","Low")))</f>
        <v/>
      </c>
      <c r="E379" s="22" t="n"/>
      <c r="F379" s="22" t="n"/>
      <c r="G379" s="22" t="n"/>
      <c r="H379" s="22" t="n"/>
      <c r="I379" s="22" t="n"/>
      <c r="J379" s="22" t="n"/>
      <c r="K379" s="22" t="n"/>
      <c r="L379" s="22" t="n"/>
      <c r="M379" s="22">
        <f>IF(K379="Override",L379,IF(K379="Accept suggestion",F379,IF(K379="No change (same URL)",A379,"")))</f>
        <v/>
      </c>
      <c r="N379" s="22">
        <f>IF(A379="","",IF(K379="410 Gone","410",IF(K379="404","404",IF(K379="No change (same URL)","none",IF(M379="","","301")))))</f>
        <v/>
      </c>
      <c r="O379" s="22">
        <f>IF(A379="","",IFERROR(MID(A379,FIND("/",A379,FIND("//",A379)+2),2000),A379))</f>
        <v/>
      </c>
      <c r="P379" s="22">
        <f>IF(OR(O379="",N379="",N379="none",N379="404"),"",IF(N379="410","Redirect gone "&amp;O379,"Redirect "&amp;N379&amp;" "&amp;O379&amp;" "&amp;M379))</f>
        <v/>
      </c>
      <c r="Q379" s="22" t="n"/>
      <c r="R379" s="22" t="n"/>
      <c r="S379" s="22" t="n"/>
      <c r="T379" s="4">
        <f>IF(A379="","",TRIM(IF(K379="","Needs decision; ","")&amp;IF(AND(K379="Accept suggestion",F379=""),"No suggestion to accept; ","")&amp;IF(AND(K379="Override",L379=""),"Override URL missing; ","")&amp;IF(AND(K379="Accept suggestion",N(G379)&lt;$G$2),"Below your threshold; ","")&amp;IF(AND(M379&lt;&gt;"",M379=A379,K379&lt;&gt;"No change (same URL)"),"Redirects to itself; ","")&amp;IF(AND(M379&lt;&gt;"",OR(M379="/",AND(LEFT(M379,4)="http",OR((LEN(M379)-LEN(SUBSTITUTE(M379,"/","")))=2,AND((LEN(M379)-LEN(SUBSTITUTE(M379,"/","")))=3,RIGHT(M379,1)="/"))))),"Home page redirect; ","")&amp;IF(N(R379)&gt;1,"Chain; ","")&amp;IF(S379="No","Destination not 200; ","")))</f>
        <v/>
      </c>
      <c r="U379" s="22" t="n"/>
      <c r="V379" s="22" t="n"/>
      <c r="W379" s="4" t="n"/>
    </row>
    <row r="380">
      <c r="A380" s="22" t="n"/>
      <c r="B380" s="22" t="n"/>
      <c r="C380" s="22" t="n"/>
      <c r="D380" s="22">
        <f>IF(A380="","",IF(OR(N(B380)&gt;=$C$2,N(C380)&gt;=$E$2),"High",IF(OR(N(B380)&gt;0,N(C380)&gt;0),"Medium","Low")))</f>
        <v/>
      </c>
      <c r="E380" s="22" t="n"/>
      <c r="F380" s="22" t="n"/>
      <c r="G380" s="22" t="n"/>
      <c r="H380" s="22" t="n"/>
      <c r="I380" s="22" t="n"/>
      <c r="J380" s="22" t="n"/>
      <c r="K380" s="22" t="n"/>
      <c r="L380" s="22" t="n"/>
      <c r="M380" s="22">
        <f>IF(K380="Override",L380,IF(K380="Accept suggestion",F380,IF(K380="No change (same URL)",A380,"")))</f>
        <v/>
      </c>
      <c r="N380" s="22">
        <f>IF(A380="","",IF(K380="410 Gone","410",IF(K380="404","404",IF(K380="No change (same URL)","none",IF(M380="","","301")))))</f>
        <v/>
      </c>
      <c r="O380" s="22">
        <f>IF(A380="","",IFERROR(MID(A380,FIND("/",A380,FIND("//",A380)+2),2000),A380))</f>
        <v/>
      </c>
      <c r="P380" s="22">
        <f>IF(OR(O380="",N380="",N380="none",N380="404"),"",IF(N380="410","Redirect gone "&amp;O380,"Redirect "&amp;N380&amp;" "&amp;O380&amp;" "&amp;M380))</f>
        <v/>
      </c>
      <c r="Q380" s="22" t="n"/>
      <c r="R380" s="22" t="n"/>
      <c r="S380" s="22" t="n"/>
      <c r="T380" s="4">
        <f>IF(A380="","",TRIM(IF(K380="","Needs decision; ","")&amp;IF(AND(K380="Accept suggestion",F380=""),"No suggestion to accept; ","")&amp;IF(AND(K380="Override",L380=""),"Override URL missing; ","")&amp;IF(AND(K380="Accept suggestion",N(G380)&lt;$G$2),"Below your threshold; ","")&amp;IF(AND(M380&lt;&gt;"",M380=A380,K380&lt;&gt;"No change (same URL)"),"Redirects to itself; ","")&amp;IF(AND(M380&lt;&gt;"",OR(M380="/",AND(LEFT(M380,4)="http",OR((LEN(M380)-LEN(SUBSTITUTE(M380,"/","")))=2,AND((LEN(M380)-LEN(SUBSTITUTE(M380,"/","")))=3,RIGHT(M380,1)="/"))))),"Home page redirect; ","")&amp;IF(N(R380)&gt;1,"Chain; ","")&amp;IF(S380="No","Destination not 200; ","")))</f>
        <v/>
      </c>
      <c r="U380" s="22" t="n"/>
      <c r="V380" s="22" t="n"/>
      <c r="W380" s="4" t="n"/>
    </row>
    <row r="381">
      <c r="A381" s="22" t="n"/>
      <c r="B381" s="22" t="n"/>
      <c r="C381" s="22" t="n"/>
      <c r="D381" s="22">
        <f>IF(A381="","",IF(OR(N(B381)&gt;=$C$2,N(C381)&gt;=$E$2),"High",IF(OR(N(B381)&gt;0,N(C381)&gt;0),"Medium","Low")))</f>
        <v/>
      </c>
      <c r="E381" s="22" t="n"/>
      <c r="F381" s="22" t="n"/>
      <c r="G381" s="22" t="n"/>
      <c r="H381" s="22" t="n"/>
      <c r="I381" s="22" t="n"/>
      <c r="J381" s="22" t="n"/>
      <c r="K381" s="22" t="n"/>
      <c r="L381" s="22" t="n"/>
      <c r="M381" s="22">
        <f>IF(K381="Override",L381,IF(K381="Accept suggestion",F381,IF(K381="No change (same URL)",A381,"")))</f>
        <v/>
      </c>
      <c r="N381" s="22">
        <f>IF(A381="","",IF(K381="410 Gone","410",IF(K381="404","404",IF(K381="No change (same URL)","none",IF(M381="","","301")))))</f>
        <v/>
      </c>
      <c r="O381" s="22">
        <f>IF(A381="","",IFERROR(MID(A381,FIND("/",A381,FIND("//",A381)+2),2000),A381))</f>
        <v/>
      </c>
      <c r="P381" s="22">
        <f>IF(OR(O381="",N381="",N381="none",N381="404"),"",IF(N381="410","Redirect gone "&amp;O381,"Redirect "&amp;N381&amp;" "&amp;O381&amp;" "&amp;M381))</f>
        <v/>
      </c>
      <c r="Q381" s="22" t="n"/>
      <c r="R381" s="22" t="n"/>
      <c r="S381" s="22" t="n"/>
      <c r="T381" s="4">
        <f>IF(A381="","",TRIM(IF(K381="","Needs decision; ","")&amp;IF(AND(K381="Accept suggestion",F381=""),"No suggestion to accept; ","")&amp;IF(AND(K381="Override",L381=""),"Override URL missing; ","")&amp;IF(AND(K381="Accept suggestion",N(G381)&lt;$G$2),"Below your threshold; ","")&amp;IF(AND(M381&lt;&gt;"",M381=A381,K381&lt;&gt;"No change (same URL)"),"Redirects to itself; ","")&amp;IF(AND(M381&lt;&gt;"",OR(M381="/",AND(LEFT(M381,4)="http",OR((LEN(M381)-LEN(SUBSTITUTE(M381,"/","")))=2,AND((LEN(M381)-LEN(SUBSTITUTE(M381,"/","")))=3,RIGHT(M381,1)="/"))))),"Home page redirect; ","")&amp;IF(N(R381)&gt;1,"Chain; ","")&amp;IF(S381="No","Destination not 200; ","")))</f>
        <v/>
      </c>
      <c r="U381" s="22" t="n"/>
      <c r="V381" s="22" t="n"/>
      <c r="W381" s="4" t="n"/>
    </row>
    <row r="382">
      <c r="A382" s="22" t="n"/>
      <c r="B382" s="22" t="n"/>
      <c r="C382" s="22" t="n"/>
      <c r="D382" s="22">
        <f>IF(A382="","",IF(OR(N(B382)&gt;=$C$2,N(C382)&gt;=$E$2),"High",IF(OR(N(B382)&gt;0,N(C382)&gt;0),"Medium","Low")))</f>
        <v/>
      </c>
      <c r="E382" s="22" t="n"/>
      <c r="F382" s="22" t="n"/>
      <c r="G382" s="22" t="n"/>
      <c r="H382" s="22" t="n"/>
      <c r="I382" s="22" t="n"/>
      <c r="J382" s="22" t="n"/>
      <c r="K382" s="22" t="n"/>
      <c r="L382" s="22" t="n"/>
      <c r="M382" s="22">
        <f>IF(K382="Override",L382,IF(K382="Accept suggestion",F382,IF(K382="No change (same URL)",A382,"")))</f>
        <v/>
      </c>
      <c r="N382" s="22">
        <f>IF(A382="","",IF(K382="410 Gone","410",IF(K382="404","404",IF(K382="No change (same URL)","none",IF(M382="","","301")))))</f>
        <v/>
      </c>
      <c r="O382" s="22">
        <f>IF(A382="","",IFERROR(MID(A382,FIND("/",A382,FIND("//",A382)+2),2000),A382))</f>
        <v/>
      </c>
      <c r="P382" s="22">
        <f>IF(OR(O382="",N382="",N382="none",N382="404"),"",IF(N382="410","Redirect gone "&amp;O382,"Redirect "&amp;N382&amp;" "&amp;O382&amp;" "&amp;M382))</f>
        <v/>
      </c>
      <c r="Q382" s="22" t="n"/>
      <c r="R382" s="22" t="n"/>
      <c r="S382" s="22" t="n"/>
      <c r="T382" s="4">
        <f>IF(A382="","",TRIM(IF(K382="","Needs decision; ","")&amp;IF(AND(K382="Accept suggestion",F382=""),"No suggestion to accept; ","")&amp;IF(AND(K382="Override",L382=""),"Override URL missing; ","")&amp;IF(AND(K382="Accept suggestion",N(G382)&lt;$G$2),"Below your threshold; ","")&amp;IF(AND(M382&lt;&gt;"",M382=A382,K382&lt;&gt;"No change (same URL)"),"Redirects to itself; ","")&amp;IF(AND(M382&lt;&gt;"",OR(M382="/",AND(LEFT(M382,4)="http",OR((LEN(M382)-LEN(SUBSTITUTE(M382,"/","")))=2,AND((LEN(M382)-LEN(SUBSTITUTE(M382,"/","")))=3,RIGHT(M382,1)="/"))))),"Home page redirect; ","")&amp;IF(N(R382)&gt;1,"Chain; ","")&amp;IF(S382="No","Destination not 200; ","")))</f>
        <v/>
      </c>
      <c r="U382" s="22" t="n"/>
      <c r="V382" s="22" t="n"/>
      <c r="W382" s="4" t="n"/>
    </row>
    <row r="383">
      <c r="A383" s="22" t="n"/>
      <c r="B383" s="22" t="n"/>
      <c r="C383" s="22" t="n"/>
      <c r="D383" s="22">
        <f>IF(A383="","",IF(OR(N(B383)&gt;=$C$2,N(C383)&gt;=$E$2),"High",IF(OR(N(B383)&gt;0,N(C383)&gt;0),"Medium","Low")))</f>
        <v/>
      </c>
      <c r="E383" s="22" t="n"/>
      <c r="F383" s="22" t="n"/>
      <c r="G383" s="22" t="n"/>
      <c r="H383" s="22" t="n"/>
      <c r="I383" s="22" t="n"/>
      <c r="J383" s="22" t="n"/>
      <c r="K383" s="22" t="n"/>
      <c r="L383" s="22" t="n"/>
      <c r="M383" s="22">
        <f>IF(K383="Override",L383,IF(K383="Accept suggestion",F383,IF(K383="No change (same URL)",A383,"")))</f>
        <v/>
      </c>
      <c r="N383" s="22">
        <f>IF(A383="","",IF(K383="410 Gone","410",IF(K383="404","404",IF(K383="No change (same URL)","none",IF(M383="","","301")))))</f>
        <v/>
      </c>
      <c r="O383" s="22">
        <f>IF(A383="","",IFERROR(MID(A383,FIND("/",A383,FIND("//",A383)+2),2000),A383))</f>
        <v/>
      </c>
      <c r="P383" s="22">
        <f>IF(OR(O383="",N383="",N383="none",N383="404"),"",IF(N383="410","Redirect gone "&amp;O383,"Redirect "&amp;N383&amp;" "&amp;O383&amp;" "&amp;M383))</f>
        <v/>
      </c>
      <c r="Q383" s="22" t="n"/>
      <c r="R383" s="22" t="n"/>
      <c r="S383" s="22" t="n"/>
      <c r="T383" s="4">
        <f>IF(A383="","",TRIM(IF(K383="","Needs decision; ","")&amp;IF(AND(K383="Accept suggestion",F383=""),"No suggestion to accept; ","")&amp;IF(AND(K383="Override",L383=""),"Override URL missing; ","")&amp;IF(AND(K383="Accept suggestion",N(G383)&lt;$G$2),"Below your threshold; ","")&amp;IF(AND(M383&lt;&gt;"",M383=A383,K383&lt;&gt;"No change (same URL)"),"Redirects to itself; ","")&amp;IF(AND(M383&lt;&gt;"",OR(M383="/",AND(LEFT(M383,4)="http",OR((LEN(M383)-LEN(SUBSTITUTE(M383,"/","")))=2,AND((LEN(M383)-LEN(SUBSTITUTE(M383,"/","")))=3,RIGHT(M383,1)="/"))))),"Home page redirect; ","")&amp;IF(N(R383)&gt;1,"Chain; ","")&amp;IF(S383="No","Destination not 200; ","")))</f>
        <v/>
      </c>
      <c r="U383" s="22" t="n"/>
      <c r="V383" s="22" t="n"/>
      <c r="W383" s="4" t="n"/>
    </row>
    <row r="384">
      <c r="A384" s="22" t="n"/>
      <c r="B384" s="22" t="n"/>
      <c r="C384" s="22" t="n"/>
      <c r="D384" s="22">
        <f>IF(A384="","",IF(OR(N(B384)&gt;=$C$2,N(C384)&gt;=$E$2),"High",IF(OR(N(B384)&gt;0,N(C384)&gt;0),"Medium","Low")))</f>
        <v/>
      </c>
      <c r="E384" s="22" t="n"/>
      <c r="F384" s="22" t="n"/>
      <c r="G384" s="22" t="n"/>
      <c r="H384" s="22" t="n"/>
      <c r="I384" s="22" t="n"/>
      <c r="J384" s="22" t="n"/>
      <c r="K384" s="22" t="n"/>
      <c r="L384" s="22" t="n"/>
      <c r="M384" s="22">
        <f>IF(K384="Override",L384,IF(K384="Accept suggestion",F384,IF(K384="No change (same URL)",A384,"")))</f>
        <v/>
      </c>
      <c r="N384" s="22">
        <f>IF(A384="","",IF(K384="410 Gone","410",IF(K384="404","404",IF(K384="No change (same URL)","none",IF(M384="","","301")))))</f>
        <v/>
      </c>
      <c r="O384" s="22">
        <f>IF(A384="","",IFERROR(MID(A384,FIND("/",A384,FIND("//",A384)+2),2000),A384))</f>
        <v/>
      </c>
      <c r="P384" s="22">
        <f>IF(OR(O384="",N384="",N384="none",N384="404"),"",IF(N384="410","Redirect gone "&amp;O384,"Redirect "&amp;N384&amp;" "&amp;O384&amp;" "&amp;M384))</f>
        <v/>
      </c>
      <c r="Q384" s="22" t="n"/>
      <c r="R384" s="22" t="n"/>
      <c r="S384" s="22" t="n"/>
      <c r="T384" s="4">
        <f>IF(A384="","",TRIM(IF(K384="","Needs decision; ","")&amp;IF(AND(K384="Accept suggestion",F384=""),"No suggestion to accept; ","")&amp;IF(AND(K384="Override",L384=""),"Override URL missing; ","")&amp;IF(AND(K384="Accept suggestion",N(G384)&lt;$G$2),"Below your threshold; ","")&amp;IF(AND(M384&lt;&gt;"",M384=A384,K384&lt;&gt;"No change (same URL)"),"Redirects to itself; ","")&amp;IF(AND(M384&lt;&gt;"",OR(M384="/",AND(LEFT(M384,4)="http",OR((LEN(M384)-LEN(SUBSTITUTE(M384,"/","")))=2,AND((LEN(M384)-LEN(SUBSTITUTE(M384,"/","")))=3,RIGHT(M384,1)="/"))))),"Home page redirect; ","")&amp;IF(N(R384)&gt;1,"Chain; ","")&amp;IF(S384="No","Destination not 200; ","")))</f>
        <v/>
      </c>
      <c r="U384" s="22" t="n"/>
      <c r="V384" s="22" t="n"/>
      <c r="W384" s="4" t="n"/>
    </row>
    <row r="385">
      <c r="A385" s="22" t="n"/>
      <c r="B385" s="22" t="n"/>
      <c r="C385" s="22" t="n"/>
      <c r="D385" s="22">
        <f>IF(A385="","",IF(OR(N(B385)&gt;=$C$2,N(C385)&gt;=$E$2),"High",IF(OR(N(B385)&gt;0,N(C385)&gt;0),"Medium","Low")))</f>
        <v/>
      </c>
      <c r="E385" s="22" t="n"/>
      <c r="F385" s="22" t="n"/>
      <c r="G385" s="22" t="n"/>
      <c r="H385" s="22" t="n"/>
      <c r="I385" s="22" t="n"/>
      <c r="J385" s="22" t="n"/>
      <c r="K385" s="22" t="n"/>
      <c r="L385" s="22" t="n"/>
      <c r="M385" s="22">
        <f>IF(K385="Override",L385,IF(K385="Accept suggestion",F385,IF(K385="No change (same URL)",A385,"")))</f>
        <v/>
      </c>
      <c r="N385" s="22">
        <f>IF(A385="","",IF(K385="410 Gone","410",IF(K385="404","404",IF(K385="No change (same URL)","none",IF(M385="","","301")))))</f>
        <v/>
      </c>
      <c r="O385" s="22">
        <f>IF(A385="","",IFERROR(MID(A385,FIND("/",A385,FIND("//",A385)+2),2000),A385))</f>
        <v/>
      </c>
      <c r="P385" s="22">
        <f>IF(OR(O385="",N385="",N385="none",N385="404"),"",IF(N385="410","Redirect gone "&amp;O385,"Redirect "&amp;N385&amp;" "&amp;O385&amp;" "&amp;M385))</f>
        <v/>
      </c>
      <c r="Q385" s="22" t="n"/>
      <c r="R385" s="22" t="n"/>
      <c r="S385" s="22" t="n"/>
      <c r="T385" s="4">
        <f>IF(A385="","",TRIM(IF(K385="","Needs decision; ","")&amp;IF(AND(K385="Accept suggestion",F385=""),"No suggestion to accept; ","")&amp;IF(AND(K385="Override",L385=""),"Override URL missing; ","")&amp;IF(AND(K385="Accept suggestion",N(G385)&lt;$G$2),"Below your threshold; ","")&amp;IF(AND(M385&lt;&gt;"",M385=A385,K385&lt;&gt;"No change (same URL)"),"Redirects to itself; ","")&amp;IF(AND(M385&lt;&gt;"",OR(M385="/",AND(LEFT(M385,4)="http",OR((LEN(M385)-LEN(SUBSTITUTE(M385,"/","")))=2,AND((LEN(M385)-LEN(SUBSTITUTE(M385,"/","")))=3,RIGHT(M385,1)="/"))))),"Home page redirect; ","")&amp;IF(N(R385)&gt;1,"Chain; ","")&amp;IF(S385="No","Destination not 200; ","")))</f>
        <v/>
      </c>
      <c r="U385" s="22" t="n"/>
      <c r="V385" s="22" t="n"/>
      <c r="W385" s="4" t="n"/>
    </row>
    <row r="386">
      <c r="A386" s="22" t="n"/>
      <c r="B386" s="22" t="n"/>
      <c r="C386" s="22" t="n"/>
      <c r="D386" s="22">
        <f>IF(A386="","",IF(OR(N(B386)&gt;=$C$2,N(C386)&gt;=$E$2),"High",IF(OR(N(B386)&gt;0,N(C386)&gt;0),"Medium","Low")))</f>
        <v/>
      </c>
      <c r="E386" s="22" t="n"/>
      <c r="F386" s="22" t="n"/>
      <c r="G386" s="22" t="n"/>
      <c r="H386" s="22" t="n"/>
      <c r="I386" s="22" t="n"/>
      <c r="J386" s="22" t="n"/>
      <c r="K386" s="22" t="n"/>
      <c r="L386" s="22" t="n"/>
      <c r="M386" s="22">
        <f>IF(K386="Override",L386,IF(K386="Accept suggestion",F386,IF(K386="No change (same URL)",A386,"")))</f>
        <v/>
      </c>
      <c r="N386" s="22">
        <f>IF(A386="","",IF(K386="410 Gone","410",IF(K386="404","404",IF(K386="No change (same URL)","none",IF(M386="","","301")))))</f>
        <v/>
      </c>
      <c r="O386" s="22">
        <f>IF(A386="","",IFERROR(MID(A386,FIND("/",A386,FIND("//",A386)+2),2000),A386))</f>
        <v/>
      </c>
      <c r="P386" s="22">
        <f>IF(OR(O386="",N386="",N386="none",N386="404"),"",IF(N386="410","Redirect gone "&amp;O386,"Redirect "&amp;N386&amp;" "&amp;O386&amp;" "&amp;M386))</f>
        <v/>
      </c>
      <c r="Q386" s="22" t="n"/>
      <c r="R386" s="22" t="n"/>
      <c r="S386" s="22" t="n"/>
      <c r="T386" s="4">
        <f>IF(A386="","",TRIM(IF(K386="","Needs decision; ","")&amp;IF(AND(K386="Accept suggestion",F386=""),"No suggestion to accept; ","")&amp;IF(AND(K386="Override",L386=""),"Override URL missing; ","")&amp;IF(AND(K386="Accept suggestion",N(G386)&lt;$G$2),"Below your threshold; ","")&amp;IF(AND(M386&lt;&gt;"",M386=A386,K386&lt;&gt;"No change (same URL)"),"Redirects to itself; ","")&amp;IF(AND(M386&lt;&gt;"",OR(M386="/",AND(LEFT(M386,4)="http",OR((LEN(M386)-LEN(SUBSTITUTE(M386,"/","")))=2,AND((LEN(M386)-LEN(SUBSTITUTE(M386,"/","")))=3,RIGHT(M386,1)="/"))))),"Home page redirect; ","")&amp;IF(N(R386)&gt;1,"Chain; ","")&amp;IF(S386="No","Destination not 200; ","")))</f>
        <v/>
      </c>
      <c r="U386" s="22" t="n"/>
      <c r="V386" s="22" t="n"/>
      <c r="W386" s="4" t="n"/>
    </row>
    <row r="387">
      <c r="A387" s="22" t="n"/>
      <c r="B387" s="22" t="n"/>
      <c r="C387" s="22" t="n"/>
      <c r="D387" s="22">
        <f>IF(A387="","",IF(OR(N(B387)&gt;=$C$2,N(C387)&gt;=$E$2),"High",IF(OR(N(B387)&gt;0,N(C387)&gt;0),"Medium","Low")))</f>
        <v/>
      </c>
      <c r="E387" s="22" t="n"/>
      <c r="F387" s="22" t="n"/>
      <c r="G387" s="22" t="n"/>
      <c r="H387" s="22" t="n"/>
      <c r="I387" s="22" t="n"/>
      <c r="J387" s="22" t="n"/>
      <c r="K387" s="22" t="n"/>
      <c r="L387" s="22" t="n"/>
      <c r="M387" s="22">
        <f>IF(K387="Override",L387,IF(K387="Accept suggestion",F387,IF(K387="No change (same URL)",A387,"")))</f>
        <v/>
      </c>
      <c r="N387" s="22">
        <f>IF(A387="","",IF(K387="410 Gone","410",IF(K387="404","404",IF(K387="No change (same URL)","none",IF(M387="","","301")))))</f>
        <v/>
      </c>
      <c r="O387" s="22">
        <f>IF(A387="","",IFERROR(MID(A387,FIND("/",A387,FIND("//",A387)+2),2000),A387))</f>
        <v/>
      </c>
      <c r="P387" s="22">
        <f>IF(OR(O387="",N387="",N387="none",N387="404"),"",IF(N387="410","Redirect gone "&amp;O387,"Redirect "&amp;N387&amp;" "&amp;O387&amp;" "&amp;M387))</f>
        <v/>
      </c>
      <c r="Q387" s="22" t="n"/>
      <c r="R387" s="22" t="n"/>
      <c r="S387" s="22" t="n"/>
      <c r="T387" s="4">
        <f>IF(A387="","",TRIM(IF(K387="","Needs decision; ","")&amp;IF(AND(K387="Accept suggestion",F387=""),"No suggestion to accept; ","")&amp;IF(AND(K387="Override",L387=""),"Override URL missing; ","")&amp;IF(AND(K387="Accept suggestion",N(G387)&lt;$G$2),"Below your threshold; ","")&amp;IF(AND(M387&lt;&gt;"",M387=A387,K387&lt;&gt;"No change (same URL)"),"Redirects to itself; ","")&amp;IF(AND(M387&lt;&gt;"",OR(M387="/",AND(LEFT(M387,4)="http",OR((LEN(M387)-LEN(SUBSTITUTE(M387,"/","")))=2,AND((LEN(M387)-LEN(SUBSTITUTE(M387,"/","")))=3,RIGHT(M387,1)="/"))))),"Home page redirect; ","")&amp;IF(N(R387)&gt;1,"Chain; ","")&amp;IF(S387="No","Destination not 200; ","")))</f>
        <v/>
      </c>
      <c r="U387" s="22" t="n"/>
      <c r="V387" s="22" t="n"/>
      <c r="W387" s="4" t="n"/>
    </row>
    <row r="388">
      <c r="A388" s="22" t="n"/>
      <c r="B388" s="22" t="n"/>
      <c r="C388" s="22" t="n"/>
      <c r="D388" s="22">
        <f>IF(A388="","",IF(OR(N(B388)&gt;=$C$2,N(C388)&gt;=$E$2),"High",IF(OR(N(B388)&gt;0,N(C388)&gt;0),"Medium","Low")))</f>
        <v/>
      </c>
      <c r="E388" s="22" t="n"/>
      <c r="F388" s="22" t="n"/>
      <c r="G388" s="22" t="n"/>
      <c r="H388" s="22" t="n"/>
      <c r="I388" s="22" t="n"/>
      <c r="J388" s="22" t="n"/>
      <c r="K388" s="22" t="n"/>
      <c r="L388" s="22" t="n"/>
      <c r="M388" s="22">
        <f>IF(K388="Override",L388,IF(K388="Accept suggestion",F388,IF(K388="No change (same URL)",A388,"")))</f>
        <v/>
      </c>
      <c r="N388" s="22">
        <f>IF(A388="","",IF(K388="410 Gone","410",IF(K388="404","404",IF(K388="No change (same URL)","none",IF(M388="","","301")))))</f>
        <v/>
      </c>
      <c r="O388" s="22">
        <f>IF(A388="","",IFERROR(MID(A388,FIND("/",A388,FIND("//",A388)+2),2000),A388))</f>
        <v/>
      </c>
      <c r="P388" s="22">
        <f>IF(OR(O388="",N388="",N388="none",N388="404"),"",IF(N388="410","Redirect gone "&amp;O388,"Redirect "&amp;N388&amp;" "&amp;O388&amp;" "&amp;M388))</f>
        <v/>
      </c>
      <c r="Q388" s="22" t="n"/>
      <c r="R388" s="22" t="n"/>
      <c r="S388" s="22" t="n"/>
      <c r="T388" s="4">
        <f>IF(A388="","",TRIM(IF(K388="","Needs decision; ","")&amp;IF(AND(K388="Accept suggestion",F388=""),"No suggestion to accept; ","")&amp;IF(AND(K388="Override",L388=""),"Override URL missing; ","")&amp;IF(AND(K388="Accept suggestion",N(G388)&lt;$G$2),"Below your threshold; ","")&amp;IF(AND(M388&lt;&gt;"",M388=A388,K388&lt;&gt;"No change (same URL)"),"Redirects to itself; ","")&amp;IF(AND(M388&lt;&gt;"",OR(M388="/",AND(LEFT(M388,4)="http",OR((LEN(M388)-LEN(SUBSTITUTE(M388,"/","")))=2,AND((LEN(M388)-LEN(SUBSTITUTE(M388,"/","")))=3,RIGHT(M388,1)="/"))))),"Home page redirect; ","")&amp;IF(N(R388)&gt;1,"Chain; ","")&amp;IF(S388="No","Destination not 200; ","")))</f>
        <v/>
      </c>
      <c r="U388" s="22" t="n"/>
      <c r="V388" s="22" t="n"/>
      <c r="W388" s="4" t="n"/>
    </row>
    <row r="389">
      <c r="A389" s="22" t="n"/>
      <c r="B389" s="22" t="n"/>
      <c r="C389" s="22" t="n"/>
      <c r="D389" s="22">
        <f>IF(A389="","",IF(OR(N(B389)&gt;=$C$2,N(C389)&gt;=$E$2),"High",IF(OR(N(B389)&gt;0,N(C389)&gt;0),"Medium","Low")))</f>
        <v/>
      </c>
      <c r="E389" s="22" t="n"/>
      <c r="F389" s="22" t="n"/>
      <c r="G389" s="22" t="n"/>
      <c r="H389" s="22" t="n"/>
      <c r="I389" s="22" t="n"/>
      <c r="J389" s="22" t="n"/>
      <c r="K389" s="22" t="n"/>
      <c r="L389" s="22" t="n"/>
      <c r="M389" s="22">
        <f>IF(K389="Override",L389,IF(K389="Accept suggestion",F389,IF(K389="No change (same URL)",A389,"")))</f>
        <v/>
      </c>
      <c r="N389" s="22">
        <f>IF(A389="","",IF(K389="410 Gone","410",IF(K389="404","404",IF(K389="No change (same URL)","none",IF(M389="","","301")))))</f>
        <v/>
      </c>
      <c r="O389" s="22">
        <f>IF(A389="","",IFERROR(MID(A389,FIND("/",A389,FIND("//",A389)+2),2000),A389))</f>
        <v/>
      </c>
      <c r="P389" s="22">
        <f>IF(OR(O389="",N389="",N389="none",N389="404"),"",IF(N389="410","Redirect gone "&amp;O389,"Redirect "&amp;N389&amp;" "&amp;O389&amp;" "&amp;M389))</f>
        <v/>
      </c>
      <c r="Q389" s="22" t="n"/>
      <c r="R389" s="22" t="n"/>
      <c r="S389" s="22" t="n"/>
      <c r="T389" s="4">
        <f>IF(A389="","",TRIM(IF(K389="","Needs decision; ","")&amp;IF(AND(K389="Accept suggestion",F389=""),"No suggestion to accept; ","")&amp;IF(AND(K389="Override",L389=""),"Override URL missing; ","")&amp;IF(AND(K389="Accept suggestion",N(G389)&lt;$G$2),"Below your threshold; ","")&amp;IF(AND(M389&lt;&gt;"",M389=A389,K389&lt;&gt;"No change (same URL)"),"Redirects to itself; ","")&amp;IF(AND(M389&lt;&gt;"",OR(M389="/",AND(LEFT(M389,4)="http",OR((LEN(M389)-LEN(SUBSTITUTE(M389,"/","")))=2,AND((LEN(M389)-LEN(SUBSTITUTE(M389,"/","")))=3,RIGHT(M389,1)="/"))))),"Home page redirect; ","")&amp;IF(N(R389)&gt;1,"Chain; ","")&amp;IF(S389="No","Destination not 200; ","")))</f>
        <v/>
      </c>
      <c r="U389" s="22" t="n"/>
      <c r="V389" s="22" t="n"/>
      <c r="W389" s="4" t="n"/>
    </row>
    <row r="390">
      <c r="A390" s="22" t="n"/>
      <c r="B390" s="22" t="n"/>
      <c r="C390" s="22" t="n"/>
      <c r="D390" s="22">
        <f>IF(A390="","",IF(OR(N(B390)&gt;=$C$2,N(C390)&gt;=$E$2),"High",IF(OR(N(B390)&gt;0,N(C390)&gt;0),"Medium","Low")))</f>
        <v/>
      </c>
      <c r="E390" s="22" t="n"/>
      <c r="F390" s="22" t="n"/>
      <c r="G390" s="22" t="n"/>
      <c r="H390" s="22" t="n"/>
      <c r="I390" s="22" t="n"/>
      <c r="J390" s="22" t="n"/>
      <c r="K390" s="22" t="n"/>
      <c r="L390" s="22" t="n"/>
      <c r="M390" s="22">
        <f>IF(K390="Override",L390,IF(K390="Accept suggestion",F390,IF(K390="No change (same URL)",A390,"")))</f>
        <v/>
      </c>
      <c r="N390" s="22">
        <f>IF(A390="","",IF(K390="410 Gone","410",IF(K390="404","404",IF(K390="No change (same URL)","none",IF(M390="","","301")))))</f>
        <v/>
      </c>
      <c r="O390" s="22">
        <f>IF(A390="","",IFERROR(MID(A390,FIND("/",A390,FIND("//",A390)+2),2000),A390))</f>
        <v/>
      </c>
      <c r="P390" s="22">
        <f>IF(OR(O390="",N390="",N390="none",N390="404"),"",IF(N390="410","Redirect gone "&amp;O390,"Redirect "&amp;N390&amp;" "&amp;O390&amp;" "&amp;M390))</f>
        <v/>
      </c>
      <c r="Q390" s="22" t="n"/>
      <c r="R390" s="22" t="n"/>
      <c r="S390" s="22" t="n"/>
      <c r="T390" s="4">
        <f>IF(A390="","",TRIM(IF(K390="","Needs decision; ","")&amp;IF(AND(K390="Accept suggestion",F390=""),"No suggestion to accept; ","")&amp;IF(AND(K390="Override",L390=""),"Override URL missing; ","")&amp;IF(AND(K390="Accept suggestion",N(G390)&lt;$G$2),"Below your threshold; ","")&amp;IF(AND(M390&lt;&gt;"",M390=A390,K390&lt;&gt;"No change (same URL)"),"Redirects to itself; ","")&amp;IF(AND(M390&lt;&gt;"",OR(M390="/",AND(LEFT(M390,4)="http",OR((LEN(M390)-LEN(SUBSTITUTE(M390,"/","")))=2,AND((LEN(M390)-LEN(SUBSTITUTE(M390,"/","")))=3,RIGHT(M390,1)="/"))))),"Home page redirect; ","")&amp;IF(N(R390)&gt;1,"Chain; ","")&amp;IF(S390="No","Destination not 200; ","")))</f>
        <v/>
      </c>
      <c r="U390" s="22" t="n"/>
      <c r="V390" s="22" t="n"/>
      <c r="W390" s="4" t="n"/>
    </row>
    <row r="391">
      <c r="A391" s="22" t="n"/>
      <c r="B391" s="22" t="n"/>
      <c r="C391" s="22" t="n"/>
      <c r="D391" s="22">
        <f>IF(A391="","",IF(OR(N(B391)&gt;=$C$2,N(C391)&gt;=$E$2),"High",IF(OR(N(B391)&gt;0,N(C391)&gt;0),"Medium","Low")))</f>
        <v/>
      </c>
      <c r="E391" s="22" t="n"/>
      <c r="F391" s="22" t="n"/>
      <c r="G391" s="22" t="n"/>
      <c r="H391" s="22" t="n"/>
      <c r="I391" s="22" t="n"/>
      <c r="J391" s="22" t="n"/>
      <c r="K391" s="22" t="n"/>
      <c r="L391" s="22" t="n"/>
      <c r="M391" s="22">
        <f>IF(K391="Override",L391,IF(K391="Accept suggestion",F391,IF(K391="No change (same URL)",A391,"")))</f>
        <v/>
      </c>
      <c r="N391" s="22">
        <f>IF(A391="","",IF(K391="410 Gone","410",IF(K391="404","404",IF(K391="No change (same URL)","none",IF(M391="","","301")))))</f>
        <v/>
      </c>
      <c r="O391" s="22">
        <f>IF(A391="","",IFERROR(MID(A391,FIND("/",A391,FIND("//",A391)+2),2000),A391))</f>
        <v/>
      </c>
      <c r="P391" s="22">
        <f>IF(OR(O391="",N391="",N391="none",N391="404"),"",IF(N391="410","Redirect gone "&amp;O391,"Redirect "&amp;N391&amp;" "&amp;O391&amp;" "&amp;M391))</f>
        <v/>
      </c>
      <c r="Q391" s="22" t="n"/>
      <c r="R391" s="22" t="n"/>
      <c r="S391" s="22" t="n"/>
      <c r="T391" s="4">
        <f>IF(A391="","",TRIM(IF(K391="","Needs decision; ","")&amp;IF(AND(K391="Accept suggestion",F391=""),"No suggestion to accept; ","")&amp;IF(AND(K391="Override",L391=""),"Override URL missing; ","")&amp;IF(AND(K391="Accept suggestion",N(G391)&lt;$G$2),"Below your threshold; ","")&amp;IF(AND(M391&lt;&gt;"",M391=A391,K391&lt;&gt;"No change (same URL)"),"Redirects to itself; ","")&amp;IF(AND(M391&lt;&gt;"",OR(M391="/",AND(LEFT(M391,4)="http",OR((LEN(M391)-LEN(SUBSTITUTE(M391,"/","")))=2,AND((LEN(M391)-LEN(SUBSTITUTE(M391,"/","")))=3,RIGHT(M391,1)="/"))))),"Home page redirect; ","")&amp;IF(N(R391)&gt;1,"Chain; ","")&amp;IF(S391="No","Destination not 200; ","")))</f>
        <v/>
      </c>
      <c r="U391" s="22" t="n"/>
      <c r="V391" s="22" t="n"/>
      <c r="W391" s="4" t="n"/>
    </row>
    <row r="392">
      <c r="A392" s="22" t="n"/>
      <c r="B392" s="22" t="n"/>
      <c r="C392" s="22" t="n"/>
      <c r="D392" s="22">
        <f>IF(A392="","",IF(OR(N(B392)&gt;=$C$2,N(C392)&gt;=$E$2),"High",IF(OR(N(B392)&gt;0,N(C392)&gt;0),"Medium","Low")))</f>
        <v/>
      </c>
      <c r="E392" s="22" t="n"/>
      <c r="F392" s="22" t="n"/>
      <c r="G392" s="22" t="n"/>
      <c r="H392" s="22" t="n"/>
      <c r="I392" s="22" t="n"/>
      <c r="J392" s="22" t="n"/>
      <c r="K392" s="22" t="n"/>
      <c r="L392" s="22" t="n"/>
      <c r="M392" s="22">
        <f>IF(K392="Override",L392,IF(K392="Accept suggestion",F392,IF(K392="No change (same URL)",A392,"")))</f>
        <v/>
      </c>
      <c r="N392" s="22">
        <f>IF(A392="","",IF(K392="410 Gone","410",IF(K392="404","404",IF(K392="No change (same URL)","none",IF(M392="","","301")))))</f>
        <v/>
      </c>
      <c r="O392" s="22">
        <f>IF(A392="","",IFERROR(MID(A392,FIND("/",A392,FIND("//",A392)+2),2000),A392))</f>
        <v/>
      </c>
      <c r="P392" s="22">
        <f>IF(OR(O392="",N392="",N392="none",N392="404"),"",IF(N392="410","Redirect gone "&amp;O392,"Redirect "&amp;N392&amp;" "&amp;O392&amp;" "&amp;M392))</f>
        <v/>
      </c>
      <c r="Q392" s="22" t="n"/>
      <c r="R392" s="22" t="n"/>
      <c r="S392" s="22" t="n"/>
      <c r="T392" s="4">
        <f>IF(A392="","",TRIM(IF(K392="","Needs decision; ","")&amp;IF(AND(K392="Accept suggestion",F392=""),"No suggestion to accept; ","")&amp;IF(AND(K392="Override",L392=""),"Override URL missing; ","")&amp;IF(AND(K392="Accept suggestion",N(G392)&lt;$G$2),"Below your threshold; ","")&amp;IF(AND(M392&lt;&gt;"",M392=A392,K392&lt;&gt;"No change (same URL)"),"Redirects to itself; ","")&amp;IF(AND(M392&lt;&gt;"",OR(M392="/",AND(LEFT(M392,4)="http",OR((LEN(M392)-LEN(SUBSTITUTE(M392,"/","")))=2,AND((LEN(M392)-LEN(SUBSTITUTE(M392,"/","")))=3,RIGHT(M392,1)="/"))))),"Home page redirect; ","")&amp;IF(N(R392)&gt;1,"Chain; ","")&amp;IF(S392="No","Destination not 200; ","")))</f>
        <v/>
      </c>
      <c r="U392" s="22" t="n"/>
      <c r="V392" s="22" t="n"/>
      <c r="W392" s="4" t="n"/>
    </row>
    <row r="393">
      <c r="A393" s="22" t="n"/>
      <c r="B393" s="22" t="n"/>
      <c r="C393" s="22" t="n"/>
      <c r="D393" s="22">
        <f>IF(A393="","",IF(OR(N(B393)&gt;=$C$2,N(C393)&gt;=$E$2),"High",IF(OR(N(B393)&gt;0,N(C393)&gt;0),"Medium","Low")))</f>
        <v/>
      </c>
      <c r="E393" s="22" t="n"/>
      <c r="F393" s="22" t="n"/>
      <c r="G393" s="22" t="n"/>
      <c r="H393" s="22" t="n"/>
      <c r="I393" s="22" t="n"/>
      <c r="J393" s="22" t="n"/>
      <c r="K393" s="22" t="n"/>
      <c r="L393" s="22" t="n"/>
      <c r="M393" s="22">
        <f>IF(K393="Override",L393,IF(K393="Accept suggestion",F393,IF(K393="No change (same URL)",A393,"")))</f>
        <v/>
      </c>
      <c r="N393" s="22">
        <f>IF(A393="","",IF(K393="410 Gone","410",IF(K393="404","404",IF(K393="No change (same URL)","none",IF(M393="","","301")))))</f>
        <v/>
      </c>
      <c r="O393" s="22">
        <f>IF(A393="","",IFERROR(MID(A393,FIND("/",A393,FIND("//",A393)+2),2000),A393))</f>
        <v/>
      </c>
      <c r="P393" s="22">
        <f>IF(OR(O393="",N393="",N393="none",N393="404"),"",IF(N393="410","Redirect gone "&amp;O393,"Redirect "&amp;N393&amp;" "&amp;O393&amp;" "&amp;M393))</f>
        <v/>
      </c>
      <c r="Q393" s="22" t="n"/>
      <c r="R393" s="22" t="n"/>
      <c r="S393" s="22" t="n"/>
      <c r="T393" s="4">
        <f>IF(A393="","",TRIM(IF(K393="","Needs decision; ","")&amp;IF(AND(K393="Accept suggestion",F393=""),"No suggestion to accept; ","")&amp;IF(AND(K393="Override",L393=""),"Override URL missing; ","")&amp;IF(AND(K393="Accept suggestion",N(G393)&lt;$G$2),"Below your threshold; ","")&amp;IF(AND(M393&lt;&gt;"",M393=A393,K393&lt;&gt;"No change (same URL)"),"Redirects to itself; ","")&amp;IF(AND(M393&lt;&gt;"",OR(M393="/",AND(LEFT(M393,4)="http",OR((LEN(M393)-LEN(SUBSTITUTE(M393,"/","")))=2,AND((LEN(M393)-LEN(SUBSTITUTE(M393,"/","")))=3,RIGHT(M393,1)="/"))))),"Home page redirect; ","")&amp;IF(N(R393)&gt;1,"Chain; ","")&amp;IF(S393="No","Destination not 200; ","")))</f>
        <v/>
      </c>
      <c r="U393" s="22" t="n"/>
      <c r="V393" s="22" t="n"/>
      <c r="W393" s="4" t="n"/>
    </row>
    <row r="394">
      <c r="A394" s="22" t="n"/>
      <c r="B394" s="22" t="n"/>
      <c r="C394" s="22" t="n"/>
      <c r="D394" s="22">
        <f>IF(A394="","",IF(OR(N(B394)&gt;=$C$2,N(C394)&gt;=$E$2),"High",IF(OR(N(B394)&gt;0,N(C394)&gt;0),"Medium","Low")))</f>
        <v/>
      </c>
      <c r="E394" s="22" t="n"/>
      <c r="F394" s="22" t="n"/>
      <c r="G394" s="22" t="n"/>
      <c r="H394" s="22" t="n"/>
      <c r="I394" s="22" t="n"/>
      <c r="J394" s="22" t="n"/>
      <c r="K394" s="22" t="n"/>
      <c r="L394" s="22" t="n"/>
      <c r="M394" s="22">
        <f>IF(K394="Override",L394,IF(K394="Accept suggestion",F394,IF(K394="No change (same URL)",A394,"")))</f>
        <v/>
      </c>
      <c r="N394" s="22">
        <f>IF(A394="","",IF(K394="410 Gone","410",IF(K394="404","404",IF(K394="No change (same URL)","none",IF(M394="","","301")))))</f>
        <v/>
      </c>
      <c r="O394" s="22">
        <f>IF(A394="","",IFERROR(MID(A394,FIND("/",A394,FIND("//",A394)+2),2000),A394))</f>
        <v/>
      </c>
      <c r="P394" s="22">
        <f>IF(OR(O394="",N394="",N394="none",N394="404"),"",IF(N394="410","Redirect gone "&amp;O394,"Redirect "&amp;N394&amp;" "&amp;O394&amp;" "&amp;M394))</f>
        <v/>
      </c>
      <c r="Q394" s="22" t="n"/>
      <c r="R394" s="22" t="n"/>
      <c r="S394" s="22" t="n"/>
      <c r="T394" s="4">
        <f>IF(A394="","",TRIM(IF(K394="","Needs decision; ","")&amp;IF(AND(K394="Accept suggestion",F394=""),"No suggestion to accept; ","")&amp;IF(AND(K394="Override",L394=""),"Override URL missing; ","")&amp;IF(AND(K394="Accept suggestion",N(G394)&lt;$G$2),"Below your threshold; ","")&amp;IF(AND(M394&lt;&gt;"",M394=A394,K394&lt;&gt;"No change (same URL)"),"Redirects to itself; ","")&amp;IF(AND(M394&lt;&gt;"",OR(M394="/",AND(LEFT(M394,4)="http",OR((LEN(M394)-LEN(SUBSTITUTE(M394,"/","")))=2,AND((LEN(M394)-LEN(SUBSTITUTE(M394,"/","")))=3,RIGHT(M394,1)="/"))))),"Home page redirect; ","")&amp;IF(N(R394)&gt;1,"Chain; ","")&amp;IF(S394="No","Destination not 200; ","")))</f>
        <v/>
      </c>
      <c r="U394" s="22" t="n"/>
      <c r="V394" s="22" t="n"/>
      <c r="W394" s="4" t="n"/>
    </row>
    <row r="395">
      <c r="A395" s="22" t="n"/>
      <c r="B395" s="22" t="n"/>
      <c r="C395" s="22" t="n"/>
      <c r="D395" s="22">
        <f>IF(A395="","",IF(OR(N(B395)&gt;=$C$2,N(C395)&gt;=$E$2),"High",IF(OR(N(B395)&gt;0,N(C395)&gt;0),"Medium","Low")))</f>
        <v/>
      </c>
      <c r="E395" s="22" t="n"/>
      <c r="F395" s="22" t="n"/>
      <c r="G395" s="22" t="n"/>
      <c r="H395" s="22" t="n"/>
      <c r="I395" s="22" t="n"/>
      <c r="J395" s="22" t="n"/>
      <c r="K395" s="22" t="n"/>
      <c r="L395" s="22" t="n"/>
      <c r="M395" s="22">
        <f>IF(K395="Override",L395,IF(K395="Accept suggestion",F395,IF(K395="No change (same URL)",A395,"")))</f>
        <v/>
      </c>
      <c r="N395" s="22">
        <f>IF(A395="","",IF(K395="410 Gone","410",IF(K395="404","404",IF(K395="No change (same URL)","none",IF(M395="","","301")))))</f>
        <v/>
      </c>
      <c r="O395" s="22">
        <f>IF(A395="","",IFERROR(MID(A395,FIND("/",A395,FIND("//",A395)+2),2000),A395))</f>
        <v/>
      </c>
      <c r="P395" s="22">
        <f>IF(OR(O395="",N395="",N395="none",N395="404"),"",IF(N395="410","Redirect gone "&amp;O395,"Redirect "&amp;N395&amp;" "&amp;O395&amp;" "&amp;M395))</f>
        <v/>
      </c>
      <c r="Q395" s="22" t="n"/>
      <c r="R395" s="22" t="n"/>
      <c r="S395" s="22" t="n"/>
      <c r="T395" s="4">
        <f>IF(A395="","",TRIM(IF(K395="","Needs decision; ","")&amp;IF(AND(K395="Accept suggestion",F395=""),"No suggestion to accept; ","")&amp;IF(AND(K395="Override",L395=""),"Override URL missing; ","")&amp;IF(AND(K395="Accept suggestion",N(G395)&lt;$G$2),"Below your threshold; ","")&amp;IF(AND(M395&lt;&gt;"",M395=A395,K395&lt;&gt;"No change (same URL)"),"Redirects to itself; ","")&amp;IF(AND(M395&lt;&gt;"",OR(M395="/",AND(LEFT(M395,4)="http",OR((LEN(M395)-LEN(SUBSTITUTE(M395,"/","")))=2,AND((LEN(M395)-LEN(SUBSTITUTE(M395,"/","")))=3,RIGHT(M395,1)="/"))))),"Home page redirect; ","")&amp;IF(N(R395)&gt;1,"Chain; ","")&amp;IF(S395="No","Destination not 200; ","")))</f>
        <v/>
      </c>
      <c r="U395" s="22" t="n"/>
      <c r="V395" s="22" t="n"/>
      <c r="W395" s="4" t="n"/>
    </row>
    <row r="396">
      <c r="A396" s="22" t="n"/>
      <c r="B396" s="22" t="n"/>
      <c r="C396" s="22" t="n"/>
      <c r="D396" s="22">
        <f>IF(A396="","",IF(OR(N(B396)&gt;=$C$2,N(C396)&gt;=$E$2),"High",IF(OR(N(B396)&gt;0,N(C396)&gt;0),"Medium","Low")))</f>
        <v/>
      </c>
      <c r="E396" s="22" t="n"/>
      <c r="F396" s="22" t="n"/>
      <c r="G396" s="22" t="n"/>
      <c r="H396" s="22" t="n"/>
      <c r="I396" s="22" t="n"/>
      <c r="J396" s="22" t="n"/>
      <c r="K396" s="22" t="n"/>
      <c r="L396" s="22" t="n"/>
      <c r="M396" s="22">
        <f>IF(K396="Override",L396,IF(K396="Accept suggestion",F396,IF(K396="No change (same URL)",A396,"")))</f>
        <v/>
      </c>
      <c r="N396" s="22">
        <f>IF(A396="","",IF(K396="410 Gone","410",IF(K396="404","404",IF(K396="No change (same URL)","none",IF(M396="","","301")))))</f>
        <v/>
      </c>
      <c r="O396" s="22">
        <f>IF(A396="","",IFERROR(MID(A396,FIND("/",A396,FIND("//",A396)+2),2000),A396))</f>
        <v/>
      </c>
      <c r="P396" s="22">
        <f>IF(OR(O396="",N396="",N396="none",N396="404"),"",IF(N396="410","Redirect gone "&amp;O396,"Redirect "&amp;N396&amp;" "&amp;O396&amp;" "&amp;M396))</f>
        <v/>
      </c>
      <c r="Q396" s="22" t="n"/>
      <c r="R396" s="22" t="n"/>
      <c r="S396" s="22" t="n"/>
      <c r="T396" s="4">
        <f>IF(A396="","",TRIM(IF(K396="","Needs decision; ","")&amp;IF(AND(K396="Accept suggestion",F396=""),"No suggestion to accept; ","")&amp;IF(AND(K396="Override",L396=""),"Override URL missing; ","")&amp;IF(AND(K396="Accept suggestion",N(G396)&lt;$G$2),"Below your threshold; ","")&amp;IF(AND(M396&lt;&gt;"",M396=A396,K396&lt;&gt;"No change (same URL)"),"Redirects to itself; ","")&amp;IF(AND(M396&lt;&gt;"",OR(M396="/",AND(LEFT(M396,4)="http",OR((LEN(M396)-LEN(SUBSTITUTE(M396,"/","")))=2,AND((LEN(M396)-LEN(SUBSTITUTE(M396,"/","")))=3,RIGHT(M396,1)="/"))))),"Home page redirect; ","")&amp;IF(N(R396)&gt;1,"Chain; ","")&amp;IF(S396="No","Destination not 200; ","")))</f>
        <v/>
      </c>
      <c r="U396" s="22" t="n"/>
      <c r="V396" s="22" t="n"/>
      <c r="W396" s="4" t="n"/>
    </row>
    <row r="397">
      <c r="A397" s="22" t="n"/>
      <c r="B397" s="22" t="n"/>
      <c r="C397" s="22" t="n"/>
      <c r="D397" s="22">
        <f>IF(A397="","",IF(OR(N(B397)&gt;=$C$2,N(C397)&gt;=$E$2),"High",IF(OR(N(B397)&gt;0,N(C397)&gt;0),"Medium","Low")))</f>
        <v/>
      </c>
      <c r="E397" s="22" t="n"/>
      <c r="F397" s="22" t="n"/>
      <c r="G397" s="22" t="n"/>
      <c r="H397" s="22" t="n"/>
      <c r="I397" s="22" t="n"/>
      <c r="J397" s="22" t="n"/>
      <c r="K397" s="22" t="n"/>
      <c r="L397" s="22" t="n"/>
      <c r="M397" s="22">
        <f>IF(K397="Override",L397,IF(K397="Accept suggestion",F397,IF(K397="No change (same URL)",A397,"")))</f>
        <v/>
      </c>
      <c r="N397" s="22">
        <f>IF(A397="","",IF(K397="410 Gone","410",IF(K397="404","404",IF(K397="No change (same URL)","none",IF(M397="","","301")))))</f>
        <v/>
      </c>
      <c r="O397" s="22">
        <f>IF(A397="","",IFERROR(MID(A397,FIND("/",A397,FIND("//",A397)+2),2000),A397))</f>
        <v/>
      </c>
      <c r="P397" s="22">
        <f>IF(OR(O397="",N397="",N397="none",N397="404"),"",IF(N397="410","Redirect gone "&amp;O397,"Redirect "&amp;N397&amp;" "&amp;O397&amp;" "&amp;M397))</f>
        <v/>
      </c>
      <c r="Q397" s="22" t="n"/>
      <c r="R397" s="22" t="n"/>
      <c r="S397" s="22" t="n"/>
      <c r="T397" s="4">
        <f>IF(A397="","",TRIM(IF(K397="","Needs decision; ","")&amp;IF(AND(K397="Accept suggestion",F397=""),"No suggestion to accept; ","")&amp;IF(AND(K397="Override",L397=""),"Override URL missing; ","")&amp;IF(AND(K397="Accept suggestion",N(G397)&lt;$G$2),"Below your threshold; ","")&amp;IF(AND(M397&lt;&gt;"",M397=A397,K397&lt;&gt;"No change (same URL)"),"Redirects to itself; ","")&amp;IF(AND(M397&lt;&gt;"",OR(M397="/",AND(LEFT(M397,4)="http",OR((LEN(M397)-LEN(SUBSTITUTE(M397,"/","")))=2,AND((LEN(M397)-LEN(SUBSTITUTE(M397,"/","")))=3,RIGHT(M397,1)="/"))))),"Home page redirect; ","")&amp;IF(N(R397)&gt;1,"Chain; ","")&amp;IF(S397="No","Destination not 200; ","")))</f>
        <v/>
      </c>
      <c r="U397" s="22" t="n"/>
      <c r="V397" s="22" t="n"/>
      <c r="W397" s="4" t="n"/>
    </row>
    <row r="398">
      <c r="A398" s="22" t="n"/>
      <c r="B398" s="22" t="n"/>
      <c r="C398" s="22" t="n"/>
      <c r="D398" s="22">
        <f>IF(A398="","",IF(OR(N(B398)&gt;=$C$2,N(C398)&gt;=$E$2),"High",IF(OR(N(B398)&gt;0,N(C398)&gt;0),"Medium","Low")))</f>
        <v/>
      </c>
      <c r="E398" s="22" t="n"/>
      <c r="F398" s="22" t="n"/>
      <c r="G398" s="22" t="n"/>
      <c r="H398" s="22" t="n"/>
      <c r="I398" s="22" t="n"/>
      <c r="J398" s="22" t="n"/>
      <c r="K398" s="22" t="n"/>
      <c r="L398" s="22" t="n"/>
      <c r="M398" s="22">
        <f>IF(K398="Override",L398,IF(K398="Accept suggestion",F398,IF(K398="No change (same URL)",A398,"")))</f>
        <v/>
      </c>
      <c r="N398" s="22">
        <f>IF(A398="","",IF(K398="410 Gone","410",IF(K398="404","404",IF(K398="No change (same URL)","none",IF(M398="","","301")))))</f>
        <v/>
      </c>
      <c r="O398" s="22">
        <f>IF(A398="","",IFERROR(MID(A398,FIND("/",A398,FIND("//",A398)+2),2000),A398))</f>
        <v/>
      </c>
      <c r="P398" s="22">
        <f>IF(OR(O398="",N398="",N398="none",N398="404"),"",IF(N398="410","Redirect gone "&amp;O398,"Redirect "&amp;N398&amp;" "&amp;O398&amp;" "&amp;M398))</f>
        <v/>
      </c>
      <c r="Q398" s="22" t="n"/>
      <c r="R398" s="22" t="n"/>
      <c r="S398" s="22" t="n"/>
      <c r="T398" s="4">
        <f>IF(A398="","",TRIM(IF(K398="","Needs decision; ","")&amp;IF(AND(K398="Accept suggestion",F398=""),"No suggestion to accept; ","")&amp;IF(AND(K398="Override",L398=""),"Override URL missing; ","")&amp;IF(AND(K398="Accept suggestion",N(G398)&lt;$G$2),"Below your threshold; ","")&amp;IF(AND(M398&lt;&gt;"",M398=A398,K398&lt;&gt;"No change (same URL)"),"Redirects to itself; ","")&amp;IF(AND(M398&lt;&gt;"",OR(M398="/",AND(LEFT(M398,4)="http",OR((LEN(M398)-LEN(SUBSTITUTE(M398,"/","")))=2,AND((LEN(M398)-LEN(SUBSTITUTE(M398,"/","")))=3,RIGHT(M398,1)="/"))))),"Home page redirect; ","")&amp;IF(N(R398)&gt;1,"Chain; ","")&amp;IF(S398="No","Destination not 200; ","")))</f>
        <v/>
      </c>
      <c r="U398" s="22" t="n"/>
      <c r="V398" s="22" t="n"/>
      <c r="W398" s="4" t="n"/>
    </row>
    <row r="399">
      <c r="A399" s="22" t="n"/>
      <c r="B399" s="22" t="n"/>
      <c r="C399" s="22" t="n"/>
      <c r="D399" s="22">
        <f>IF(A399="","",IF(OR(N(B399)&gt;=$C$2,N(C399)&gt;=$E$2),"High",IF(OR(N(B399)&gt;0,N(C399)&gt;0),"Medium","Low")))</f>
        <v/>
      </c>
      <c r="E399" s="22" t="n"/>
      <c r="F399" s="22" t="n"/>
      <c r="G399" s="22" t="n"/>
      <c r="H399" s="22" t="n"/>
      <c r="I399" s="22" t="n"/>
      <c r="J399" s="22" t="n"/>
      <c r="K399" s="22" t="n"/>
      <c r="L399" s="22" t="n"/>
      <c r="M399" s="22">
        <f>IF(K399="Override",L399,IF(K399="Accept suggestion",F399,IF(K399="No change (same URL)",A399,"")))</f>
        <v/>
      </c>
      <c r="N399" s="22">
        <f>IF(A399="","",IF(K399="410 Gone","410",IF(K399="404","404",IF(K399="No change (same URL)","none",IF(M399="","","301")))))</f>
        <v/>
      </c>
      <c r="O399" s="22">
        <f>IF(A399="","",IFERROR(MID(A399,FIND("/",A399,FIND("//",A399)+2),2000),A399))</f>
        <v/>
      </c>
      <c r="P399" s="22">
        <f>IF(OR(O399="",N399="",N399="none",N399="404"),"",IF(N399="410","Redirect gone "&amp;O399,"Redirect "&amp;N399&amp;" "&amp;O399&amp;" "&amp;M399))</f>
        <v/>
      </c>
      <c r="Q399" s="22" t="n"/>
      <c r="R399" s="22" t="n"/>
      <c r="S399" s="22" t="n"/>
      <c r="T399" s="4">
        <f>IF(A399="","",TRIM(IF(K399="","Needs decision; ","")&amp;IF(AND(K399="Accept suggestion",F399=""),"No suggestion to accept; ","")&amp;IF(AND(K399="Override",L399=""),"Override URL missing; ","")&amp;IF(AND(K399="Accept suggestion",N(G399)&lt;$G$2),"Below your threshold; ","")&amp;IF(AND(M399&lt;&gt;"",M399=A399,K399&lt;&gt;"No change (same URL)"),"Redirects to itself; ","")&amp;IF(AND(M399&lt;&gt;"",OR(M399="/",AND(LEFT(M399,4)="http",OR((LEN(M399)-LEN(SUBSTITUTE(M399,"/","")))=2,AND((LEN(M399)-LEN(SUBSTITUTE(M399,"/","")))=3,RIGHT(M399,1)="/"))))),"Home page redirect; ","")&amp;IF(N(R399)&gt;1,"Chain; ","")&amp;IF(S399="No","Destination not 200; ","")))</f>
        <v/>
      </c>
      <c r="U399" s="22" t="n"/>
      <c r="V399" s="22" t="n"/>
      <c r="W399" s="4" t="n"/>
    </row>
    <row r="400">
      <c r="A400" s="22" t="n"/>
      <c r="B400" s="22" t="n"/>
      <c r="C400" s="22" t="n"/>
      <c r="D400" s="22">
        <f>IF(A400="","",IF(OR(N(B400)&gt;=$C$2,N(C400)&gt;=$E$2),"High",IF(OR(N(B400)&gt;0,N(C400)&gt;0),"Medium","Low")))</f>
        <v/>
      </c>
      <c r="E400" s="22" t="n"/>
      <c r="F400" s="22" t="n"/>
      <c r="G400" s="22" t="n"/>
      <c r="H400" s="22" t="n"/>
      <c r="I400" s="22" t="n"/>
      <c r="J400" s="22" t="n"/>
      <c r="K400" s="22" t="n"/>
      <c r="L400" s="22" t="n"/>
      <c r="M400" s="22">
        <f>IF(K400="Override",L400,IF(K400="Accept suggestion",F400,IF(K400="No change (same URL)",A400,"")))</f>
        <v/>
      </c>
      <c r="N400" s="22">
        <f>IF(A400="","",IF(K400="410 Gone","410",IF(K400="404","404",IF(K400="No change (same URL)","none",IF(M400="","","301")))))</f>
        <v/>
      </c>
      <c r="O400" s="22">
        <f>IF(A400="","",IFERROR(MID(A400,FIND("/",A400,FIND("//",A400)+2),2000),A400))</f>
        <v/>
      </c>
      <c r="P400" s="22">
        <f>IF(OR(O400="",N400="",N400="none",N400="404"),"",IF(N400="410","Redirect gone "&amp;O400,"Redirect "&amp;N400&amp;" "&amp;O400&amp;" "&amp;M400))</f>
        <v/>
      </c>
      <c r="Q400" s="22" t="n"/>
      <c r="R400" s="22" t="n"/>
      <c r="S400" s="22" t="n"/>
      <c r="T400" s="4">
        <f>IF(A400="","",TRIM(IF(K400="","Needs decision; ","")&amp;IF(AND(K400="Accept suggestion",F400=""),"No suggestion to accept; ","")&amp;IF(AND(K400="Override",L400=""),"Override URL missing; ","")&amp;IF(AND(K400="Accept suggestion",N(G400)&lt;$G$2),"Below your threshold; ","")&amp;IF(AND(M400&lt;&gt;"",M400=A400,K400&lt;&gt;"No change (same URL)"),"Redirects to itself; ","")&amp;IF(AND(M400&lt;&gt;"",OR(M400="/",AND(LEFT(M400,4)="http",OR((LEN(M400)-LEN(SUBSTITUTE(M400,"/","")))=2,AND((LEN(M400)-LEN(SUBSTITUTE(M400,"/","")))=3,RIGHT(M400,1)="/"))))),"Home page redirect; ","")&amp;IF(N(R400)&gt;1,"Chain; ","")&amp;IF(S400="No","Destination not 200; ","")))</f>
        <v/>
      </c>
      <c r="U400" s="22" t="n"/>
      <c r="V400" s="22" t="n"/>
      <c r="W400" s="4" t="n"/>
    </row>
    <row r="401">
      <c r="A401" s="22" t="n"/>
      <c r="B401" s="22" t="n"/>
      <c r="C401" s="22" t="n"/>
      <c r="D401" s="22">
        <f>IF(A401="","",IF(OR(N(B401)&gt;=$C$2,N(C401)&gt;=$E$2),"High",IF(OR(N(B401)&gt;0,N(C401)&gt;0),"Medium","Low")))</f>
        <v/>
      </c>
      <c r="E401" s="22" t="n"/>
      <c r="F401" s="22" t="n"/>
      <c r="G401" s="22" t="n"/>
      <c r="H401" s="22" t="n"/>
      <c r="I401" s="22" t="n"/>
      <c r="J401" s="22" t="n"/>
      <c r="K401" s="22" t="n"/>
      <c r="L401" s="22" t="n"/>
      <c r="M401" s="22">
        <f>IF(K401="Override",L401,IF(K401="Accept suggestion",F401,IF(K401="No change (same URL)",A401,"")))</f>
        <v/>
      </c>
      <c r="N401" s="22">
        <f>IF(A401="","",IF(K401="410 Gone","410",IF(K401="404","404",IF(K401="No change (same URL)","none",IF(M401="","","301")))))</f>
        <v/>
      </c>
      <c r="O401" s="22">
        <f>IF(A401="","",IFERROR(MID(A401,FIND("/",A401,FIND("//",A401)+2),2000),A401))</f>
        <v/>
      </c>
      <c r="P401" s="22">
        <f>IF(OR(O401="",N401="",N401="none",N401="404"),"",IF(N401="410","Redirect gone "&amp;O401,"Redirect "&amp;N401&amp;" "&amp;O401&amp;" "&amp;M401))</f>
        <v/>
      </c>
      <c r="Q401" s="22" t="n"/>
      <c r="R401" s="22" t="n"/>
      <c r="S401" s="22" t="n"/>
      <c r="T401" s="4">
        <f>IF(A401="","",TRIM(IF(K401="","Needs decision; ","")&amp;IF(AND(K401="Accept suggestion",F401=""),"No suggestion to accept; ","")&amp;IF(AND(K401="Override",L401=""),"Override URL missing; ","")&amp;IF(AND(K401="Accept suggestion",N(G401)&lt;$G$2),"Below your threshold; ","")&amp;IF(AND(M401&lt;&gt;"",M401=A401,K401&lt;&gt;"No change (same URL)"),"Redirects to itself; ","")&amp;IF(AND(M401&lt;&gt;"",OR(M401="/",AND(LEFT(M401,4)="http",OR((LEN(M401)-LEN(SUBSTITUTE(M401,"/","")))=2,AND((LEN(M401)-LEN(SUBSTITUTE(M401,"/","")))=3,RIGHT(M401,1)="/"))))),"Home page redirect; ","")&amp;IF(N(R401)&gt;1,"Chain; ","")&amp;IF(S401="No","Destination not 200; ","")))</f>
        <v/>
      </c>
      <c r="U401" s="22" t="n"/>
      <c r="V401" s="22" t="n"/>
      <c r="W401" s="4" t="n"/>
    </row>
    <row r="402">
      <c r="A402" s="22" t="n"/>
      <c r="B402" s="22" t="n"/>
      <c r="C402" s="22" t="n"/>
      <c r="D402" s="22">
        <f>IF(A402="","",IF(OR(N(B402)&gt;=$C$2,N(C402)&gt;=$E$2),"High",IF(OR(N(B402)&gt;0,N(C402)&gt;0),"Medium","Low")))</f>
        <v/>
      </c>
      <c r="E402" s="22" t="n"/>
      <c r="F402" s="22" t="n"/>
      <c r="G402" s="22" t="n"/>
      <c r="H402" s="22" t="n"/>
      <c r="I402" s="22" t="n"/>
      <c r="J402" s="22" t="n"/>
      <c r="K402" s="22" t="n"/>
      <c r="L402" s="22" t="n"/>
      <c r="M402" s="22">
        <f>IF(K402="Override",L402,IF(K402="Accept suggestion",F402,IF(K402="No change (same URL)",A402,"")))</f>
        <v/>
      </c>
      <c r="N402" s="22">
        <f>IF(A402="","",IF(K402="410 Gone","410",IF(K402="404","404",IF(K402="No change (same URL)","none",IF(M402="","","301")))))</f>
        <v/>
      </c>
      <c r="O402" s="22">
        <f>IF(A402="","",IFERROR(MID(A402,FIND("/",A402,FIND("//",A402)+2),2000),A402))</f>
        <v/>
      </c>
      <c r="P402" s="22">
        <f>IF(OR(O402="",N402="",N402="none",N402="404"),"",IF(N402="410","Redirect gone "&amp;O402,"Redirect "&amp;N402&amp;" "&amp;O402&amp;" "&amp;M402))</f>
        <v/>
      </c>
      <c r="Q402" s="22" t="n"/>
      <c r="R402" s="22" t="n"/>
      <c r="S402" s="22" t="n"/>
      <c r="T402" s="4">
        <f>IF(A402="","",TRIM(IF(K402="","Needs decision; ","")&amp;IF(AND(K402="Accept suggestion",F402=""),"No suggestion to accept; ","")&amp;IF(AND(K402="Override",L402=""),"Override URL missing; ","")&amp;IF(AND(K402="Accept suggestion",N(G402)&lt;$G$2),"Below your threshold; ","")&amp;IF(AND(M402&lt;&gt;"",M402=A402,K402&lt;&gt;"No change (same URL)"),"Redirects to itself; ","")&amp;IF(AND(M402&lt;&gt;"",OR(M402="/",AND(LEFT(M402,4)="http",OR((LEN(M402)-LEN(SUBSTITUTE(M402,"/","")))=2,AND((LEN(M402)-LEN(SUBSTITUTE(M402,"/","")))=3,RIGHT(M402,1)="/"))))),"Home page redirect; ","")&amp;IF(N(R402)&gt;1,"Chain; ","")&amp;IF(S402="No","Destination not 200; ","")))</f>
        <v/>
      </c>
      <c r="U402" s="22" t="n"/>
      <c r="V402" s="22" t="n"/>
      <c r="W402" s="4" t="n"/>
    </row>
    <row r="403">
      <c r="A403" s="22" t="n"/>
      <c r="B403" s="22" t="n"/>
      <c r="C403" s="22" t="n"/>
      <c r="D403" s="22">
        <f>IF(A403="","",IF(OR(N(B403)&gt;=$C$2,N(C403)&gt;=$E$2),"High",IF(OR(N(B403)&gt;0,N(C403)&gt;0),"Medium","Low")))</f>
        <v/>
      </c>
      <c r="E403" s="22" t="n"/>
      <c r="F403" s="22" t="n"/>
      <c r="G403" s="22" t="n"/>
      <c r="H403" s="22" t="n"/>
      <c r="I403" s="22" t="n"/>
      <c r="J403" s="22" t="n"/>
      <c r="K403" s="22" t="n"/>
      <c r="L403" s="22" t="n"/>
      <c r="M403" s="22">
        <f>IF(K403="Override",L403,IF(K403="Accept suggestion",F403,IF(K403="No change (same URL)",A403,"")))</f>
        <v/>
      </c>
      <c r="N403" s="22">
        <f>IF(A403="","",IF(K403="410 Gone","410",IF(K403="404","404",IF(K403="No change (same URL)","none",IF(M403="","","301")))))</f>
        <v/>
      </c>
      <c r="O403" s="22">
        <f>IF(A403="","",IFERROR(MID(A403,FIND("/",A403,FIND("//",A403)+2),2000),A403))</f>
        <v/>
      </c>
      <c r="P403" s="22">
        <f>IF(OR(O403="",N403="",N403="none",N403="404"),"",IF(N403="410","Redirect gone "&amp;O403,"Redirect "&amp;N403&amp;" "&amp;O403&amp;" "&amp;M403))</f>
        <v/>
      </c>
      <c r="Q403" s="22" t="n"/>
      <c r="R403" s="22" t="n"/>
      <c r="S403" s="22" t="n"/>
      <c r="T403" s="4">
        <f>IF(A403="","",TRIM(IF(K403="","Needs decision; ","")&amp;IF(AND(K403="Accept suggestion",F403=""),"No suggestion to accept; ","")&amp;IF(AND(K403="Override",L403=""),"Override URL missing; ","")&amp;IF(AND(K403="Accept suggestion",N(G403)&lt;$G$2),"Below your threshold; ","")&amp;IF(AND(M403&lt;&gt;"",M403=A403,K403&lt;&gt;"No change (same URL)"),"Redirects to itself; ","")&amp;IF(AND(M403&lt;&gt;"",OR(M403="/",AND(LEFT(M403,4)="http",OR((LEN(M403)-LEN(SUBSTITUTE(M403,"/","")))=2,AND((LEN(M403)-LEN(SUBSTITUTE(M403,"/","")))=3,RIGHT(M403,1)="/"))))),"Home page redirect; ","")&amp;IF(N(R403)&gt;1,"Chain; ","")&amp;IF(S403="No","Destination not 200; ","")))</f>
        <v/>
      </c>
      <c r="U403" s="22" t="n"/>
      <c r="V403" s="22" t="n"/>
      <c r="W403" s="4" t="n"/>
    </row>
    <row r="404">
      <c r="A404" s="22" t="n"/>
      <c r="B404" s="22" t="n"/>
      <c r="C404" s="22" t="n"/>
      <c r="D404" s="22">
        <f>IF(A404="","",IF(OR(N(B404)&gt;=$C$2,N(C404)&gt;=$E$2),"High",IF(OR(N(B404)&gt;0,N(C404)&gt;0),"Medium","Low")))</f>
        <v/>
      </c>
      <c r="E404" s="22" t="n"/>
      <c r="F404" s="22" t="n"/>
      <c r="G404" s="22" t="n"/>
      <c r="H404" s="22" t="n"/>
      <c r="I404" s="22" t="n"/>
      <c r="J404" s="22" t="n"/>
      <c r="K404" s="22" t="n"/>
      <c r="L404" s="22" t="n"/>
      <c r="M404" s="22">
        <f>IF(K404="Override",L404,IF(K404="Accept suggestion",F404,IF(K404="No change (same URL)",A404,"")))</f>
        <v/>
      </c>
      <c r="N404" s="22">
        <f>IF(A404="","",IF(K404="410 Gone","410",IF(K404="404","404",IF(K404="No change (same URL)","none",IF(M404="","","301")))))</f>
        <v/>
      </c>
      <c r="O404" s="22">
        <f>IF(A404="","",IFERROR(MID(A404,FIND("/",A404,FIND("//",A404)+2),2000),A404))</f>
        <v/>
      </c>
      <c r="P404" s="22">
        <f>IF(OR(O404="",N404="",N404="none",N404="404"),"",IF(N404="410","Redirect gone "&amp;O404,"Redirect "&amp;N404&amp;" "&amp;O404&amp;" "&amp;M404))</f>
        <v/>
      </c>
      <c r="Q404" s="22" t="n"/>
      <c r="R404" s="22" t="n"/>
      <c r="S404" s="22" t="n"/>
      <c r="T404" s="4">
        <f>IF(A404="","",TRIM(IF(K404="","Needs decision; ","")&amp;IF(AND(K404="Accept suggestion",F404=""),"No suggestion to accept; ","")&amp;IF(AND(K404="Override",L404=""),"Override URL missing; ","")&amp;IF(AND(K404="Accept suggestion",N(G404)&lt;$G$2),"Below your threshold; ","")&amp;IF(AND(M404&lt;&gt;"",M404=A404,K404&lt;&gt;"No change (same URL)"),"Redirects to itself; ","")&amp;IF(AND(M404&lt;&gt;"",OR(M404="/",AND(LEFT(M404,4)="http",OR((LEN(M404)-LEN(SUBSTITUTE(M404,"/","")))=2,AND((LEN(M404)-LEN(SUBSTITUTE(M404,"/","")))=3,RIGHT(M404,1)="/"))))),"Home page redirect; ","")&amp;IF(N(R404)&gt;1,"Chain; ","")&amp;IF(S404="No","Destination not 200; ","")))</f>
        <v/>
      </c>
      <c r="U404" s="22" t="n"/>
      <c r="V404" s="22" t="n"/>
      <c r="W404" s="4" t="n"/>
    </row>
    <row r="405">
      <c r="A405" s="22" t="n"/>
      <c r="B405" s="22" t="n"/>
      <c r="C405" s="22" t="n"/>
      <c r="D405" s="22">
        <f>IF(A405="","",IF(OR(N(B405)&gt;=$C$2,N(C405)&gt;=$E$2),"High",IF(OR(N(B405)&gt;0,N(C405)&gt;0),"Medium","Low")))</f>
        <v/>
      </c>
      <c r="E405" s="22" t="n"/>
      <c r="F405" s="22" t="n"/>
      <c r="G405" s="22" t="n"/>
      <c r="H405" s="22" t="n"/>
      <c r="I405" s="22" t="n"/>
      <c r="J405" s="22" t="n"/>
      <c r="K405" s="22" t="n"/>
      <c r="L405" s="22" t="n"/>
      <c r="M405" s="22">
        <f>IF(K405="Override",L405,IF(K405="Accept suggestion",F405,IF(K405="No change (same URL)",A405,"")))</f>
        <v/>
      </c>
      <c r="N405" s="22">
        <f>IF(A405="","",IF(K405="410 Gone","410",IF(K405="404","404",IF(K405="No change (same URL)","none",IF(M405="","","301")))))</f>
        <v/>
      </c>
      <c r="O405" s="22">
        <f>IF(A405="","",IFERROR(MID(A405,FIND("/",A405,FIND("//",A405)+2),2000),A405))</f>
        <v/>
      </c>
      <c r="P405" s="22">
        <f>IF(OR(O405="",N405="",N405="none",N405="404"),"",IF(N405="410","Redirect gone "&amp;O405,"Redirect "&amp;N405&amp;" "&amp;O405&amp;" "&amp;M405))</f>
        <v/>
      </c>
      <c r="Q405" s="22" t="n"/>
      <c r="R405" s="22" t="n"/>
      <c r="S405" s="22" t="n"/>
      <c r="T405" s="4">
        <f>IF(A405="","",TRIM(IF(K405="","Needs decision; ","")&amp;IF(AND(K405="Accept suggestion",F405=""),"No suggestion to accept; ","")&amp;IF(AND(K405="Override",L405=""),"Override URL missing; ","")&amp;IF(AND(K405="Accept suggestion",N(G405)&lt;$G$2),"Below your threshold; ","")&amp;IF(AND(M405&lt;&gt;"",M405=A405,K405&lt;&gt;"No change (same URL)"),"Redirects to itself; ","")&amp;IF(AND(M405&lt;&gt;"",OR(M405="/",AND(LEFT(M405,4)="http",OR((LEN(M405)-LEN(SUBSTITUTE(M405,"/","")))=2,AND((LEN(M405)-LEN(SUBSTITUTE(M405,"/","")))=3,RIGHT(M405,1)="/"))))),"Home page redirect; ","")&amp;IF(N(R405)&gt;1,"Chain; ","")&amp;IF(S405="No","Destination not 200; ","")))</f>
        <v/>
      </c>
      <c r="U405" s="22" t="n"/>
      <c r="V405" s="22" t="n"/>
      <c r="W405" s="4" t="n"/>
    </row>
    <row r="406">
      <c r="A406" s="22" t="n"/>
      <c r="B406" s="22" t="n"/>
      <c r="C406" s="22" t="n"/>
      <c r="D406" s="22">
        <f>IF(A406="","",IF(OR(N(B406)&gt;=$C$2,N(C406)&gt;=$E$2),"High",IF(OR(N(B406)&gt;0,N(C406)&gt;0),"Medium","Low")))</f>
        <v/>
      </c>
      <c r="E406" s="22" t="n"/>
      <c r="F406" s="22" t="n"/>
      <c r="G406" s="22" t="n"/>
      <c r="H406" s="22" t="n"/>
      <c r="I406" s="22" t="n"/>
      <c r="J406" s="22" t="n"/>
      <c r="K406" s="22" t="n"/>
      <c r="L406" s="22" t="n"/>
      <c r="M406" s="22">
        <f>IF(K406="Override",L406,IF(K406="Accept suggestion",F406,IF(K406="No change (same URL)",A406,"")))</f>
        <v/>
      </c>
      <c r="N406" s="22">
        <f>IF(A406="","",IF(K406="410 Gone","410",IF(K406="404","404",IF(K406="No change (same URL)","none",IF(M406="","","301")))))</f>
        <v/>
      </c>
      <c r="O406" s="22">
        <f>IF(A406="","",IFERROR(MID(A406,FIND("/",A406,FIND("//",A406)+2),2000),A406))</f>
        <v/>
      </c>
      <c r="P406" s="22">
        <f>IF(OR(O406="",N406="",N406="none",N406="404"),"",IF(N406="410","Redirect gone "&amp;O406,"Redirect "&amp;N406&amp;" "&amp;O406&amp;" "&amp;M406))</f>
        <v/>
      </c>
      <c r="Q406" s="22" t="n"/>
      <c r="R406" s="22" t="n"/>
      <c r="S406" s="22" t="n"/>
      <c r="T406" s="4">
        <f>IF(A406="","",TRIM(IF(K406="","Needs decision; ","")&amp;IF(AND(K406="Accept suggestion",F406=""),"No suggestion to accept; ","")&amp;IF(AND(K406="Override",L406=""),"Override URL missing; ","")&amp;IF(AND(K406="Accept suggestion",N(G406)&lt;$G$2),"Below your threshold; ","")&amp;IF(AND(M406&lt;&gt;"",M406=A406,K406&lt;&gt;"No change (same URL)"),"Redirects to itself; ","")&amp;IF(AND(M406&lt;&gt;"",OR(M406="/",AND(LEFT(M406,4)="http",OR((LEN(M406)-LEN(SUBSTITUTE(M406,"/","")))=2,AND((LEN(M406)-LEN(SUBSTITUTE(M406,"/","")))=3,RIGHT(M406,1)="/"))))),"Home page redirect; ","")&amp;IF(N(R406)&gt;1,"Chain; ","")&amp;IF(S406="No","Destination not 200; ","")))</f>
        <v/>
      </c>
      <c r="U406" s="22" t="n"/>
      <c r="V406" s="22" t="n"/>
      <c r="W406" s="4" t="n"/>
    </row>
    <row r="407">
      <c r="A407" s="22" t="n"/>
      <c r="B407" s="22" t="n"/>
      <c r="C407" s="22" t="n"/>
      <c r="D407" s="22">
        <f>IF(A407="","",IF(OR(N(B407)&gt;=$C$2,N(C407)&gt;=$E$2),"High",IF(OR(N(B407)&gt;0,N(C407)&gt;0),"Medium","Low")))</f>
        <v/>
      </c>
      <c r="E407" s="22" t="n"/>
      <c r="F407" s="22" t="n"/>
      <c r="G407" s="22" t="n"/>
      <c r="H407" s="22" t="n"/>
      <c r="I407" s="22" t="n"/>
      <c r="J407" s="22" t="n"/>
      <c r="K407" s="22" t="n"/>
      <c r="L407" s="22" t="n"/>
      <c r="M407" s="22">
        <f>IF(K407="Override",L407,IF(K407="Accept suggestion",F407,IF(K407="No change (same URL)",A407,"")))</f>
        <v/>
      </c>
      <c r="N407" s="22">
        <f>IF(A407="","",IF(K407="410 Gone","410",IF(K407="404","404",IF(K407="No change (same URL)","none",IF(M407="","","301")))))</f>
        <v/>
      </c>
      <c r="O407" s="22">
        <f>IF(A407="","",IFERROR(MID(A407,FIND("/",A407,FIND("//",A407)+2),2000),A407))</f>
        <v/>
      </c>
      <c r="P407" s="22">
        <f>IF(OR(O407="",N407="",N407="none",N407="404"),"",IF(N407="410","Redirect gone "&amp;O407,"Redirect "&amp;N407&amp;" "&amp;O407&amp;" "&amp;M407))</f>
        <v/>
      </c>
      <c r="Q407" s="22" t="n"/>
      <c r="R407" s="22" t="n"/>
      <c r="S407" s="22" t="n"/>
      <c r="T407" s="4">
        <f>IF(A407="","",TRIM(IF(K407="","Needs decision; ","")&amp;IF(AND(K407="Accept suggestion",F407=""),"No suggestion to accept; ","")&amp;IF(AND(K407="Override",L407=""),"Override URL missing; ","")&amp;IF(AND(K407="Accept suggestion",N(G407)&lt;$G$2),"Below your threshold; ","")&amp;IF(AND(M407&lt;&gt;"",M407=A407,K407&lt;&gt;"No change (same URL)"),"Redirects to itself; ","")&amp;IF(AND(M407&lt;&gt;"",OR(M407="/",AND(LEFT(M407,4)="http",OR((LEN(M407)-LEN(SUBSTITUTE(M407,"/","")))=2,AND((LEN(M407)-LEN(SUBSTITUTE(M407,"/","")))=3,RIGHT(M407,1)="/"))))),"Home page redirect; ","")&amp;IF(N(R407)&gt;1,"Chain; ","")&amp;IF(S407="No","Destination not 200; ","")))</f>
        <v/>
      </c>
      <c r="U407" s="22" t="n"/>
      <c r="V407" s="22" t="n"/>
      <c r="W407" s="4" t="n"/>
    </row>
    <row r="408">
      <c r="A408" s="22" t="n"/>
      <c r="B408" s="22" t="n"/>
      <c r="C408" s="22" t="n"/>
      <c r="D408" s="22">
        <f>IF(A408="","",IF(OR(N(B408)&gt;=$C$2,N(C408)&gt;=$E$2),"High",IF(OR(N(B408)&gt;0,N(C408)&gt;0),"Medium","Low")))</f>
        <v/>
      </c>
      <c r="E408" s="22" t="n"/>
      <c r="F408" s="22" t="n"/>
      <c r="G408" s="22" t="n"/>
      <c r="H408" s="22" t="n"/>
      <c r="I408" s="22" t="n"/>
      <c r="J408" s="22" t="n"/>
      <c r="K408" s="22" t="n"/>
      <c r="L408" s="22" t="n"/>
      <c r="M408" s="22">
        <f>IF(K408="Override",L408,IF(K408="Accept suggestion",F408,IF(K408="No change (same URL)",A408,"")))</f>
        <v/>
      </c>
      <c r="N408" s="22">
        <f>IF(A408="","",IF(K408="410 Gone","410",IF(K408="404","404",IF(K408="No change (same URL)","none",IF(M408="","","301")))))</f>
        <v/>
      </c>
      <c r="O408" s="22">
        <f>IF(A408="","",IFERROR(MID(A408,FIND("/",A408,FIND("//",A408)+2),2000),A408))</f>
        <v/>
      </c>
      <c r="P408" s="22">
        <f>IF(OR(O408="",N408="",N408="none",N408="404"),"",IF(N408="410","Redirect gone "&amp;O408,"Redirect "&amp;N408&amp;" "&amp;O408&amp;" "&amp;M408))</f>
        <v/>
      </c>
      <c r="Q408" s="22" t="n"/>
      <c r="R408" s="22" t="n"/>
      <c r="S408" s="22" t="n"/>
      <c r="T408" s="4">
        <f>IF(A408="","",TRIM(IF(K408="","Needs decision; ","")&amp;IF(AND(K408="Accept suggestion",F408=""),"No suggestion to accept; ","")&amp;IF(AND(K408="Override",L408=""),"Override URL missing; ","")&amp;IF(AND(K408="Accept suggestion",N(G408)&lt;$G$2),"Below your threshold; ","")&amp;IF(AND(M408&lt;&gt;"",M408=A408,K408&lt;&gt;"No change (same URL)"),"Redirects to itself; ","")&amp;IF(AND(M408&lt;&gt;"",OR(M408="/",AND(LEFT(M408,4)="http",OR((LEN(M408)-LEN(SUBSTITUTE(M408,"/","")))=2,AND((LEN(M408)-LEN(SUBSTITUTE(M408,"/","")))=3,RIGHT(M408,1)="/"))))),"Home page redirect; ","")&amp;IF(N(R408)&gt;1,"Chain; ","")&amp;IF(S408="No","Destination not 200; ","")))</f>
        <v/>
      </c>
      <c r="U408" s="22" t="n"/>
      <c r="V408" s="22" t="n"/>
      <c r="W408" s="4" t="n"/>
    </row>
    <row r="409">
      <c r="A409" s="22" t="n"/>
      <c r="B409" s="22" t="n"/>
      <c r="C409" s="22" t="n"/>
      <c r="D409" s="22">
        <f>IF(A409="","",IF(OR(N(B409)&gt;=$C$2,N(C409)&gt;=$E$2),"High",IF(OR(N(B409)&gt;0,N(C409)&gt;0),"Medium","Low")))</f>
        <v/>
      </c>
      <c r="E409" s="22" t="n"/>
      <c r="F409" s="22" t="n"/>
      <c r="G409" s="22" t="n"/>
      <c r="H409" s="22" t="n"/>
      <c r="I409" s="22" t="n"/>
      <c r="J409" s="22" t="n"/>
      <c r="K409" s="22" t="n"/>
      <c r="L409" s="22" t="n"/>
      <c r="M409" s="22">
        <f>IF(K409="Override",L409,IF(K409="Accept suggestion",F409,IF(K409="No change (same URL)",A409,"")))</f>
        <v/>
      </c>
      <c r="N409" s="22">
        <f>IF(A409="","",IF(K409="410 Gone","410",IF(K409="404","404",IF(K409="No change (same URL)","none",IF(M409="","","301")))))</f>
        <v/>
      </c>
      <c r="O409" s="22">
        <f>IF(A409="","",IFERROR(MID(A409,FIND("/",A409,FIND("//",A409)+2),2000),A409))</f>
        <v/>
      </c>
      <c r="P409" s="22">
        <f>IF(OR(O409="",N409="",N409="none",N409="404"),"",IF(N409="410","Redirect gone "&amp;O409,"Redirect "&amp;N409&amp;" "&amp;O409&amp;" "&amp;M409))</f>
        <v/>
      </c>
      <c r="Q409" s="22" t="n"/>
      <c r="R409" s="22" t="n"/>
      <c r="S409" s="22" t="n"/>
      <c r="T409" s="4">
        <f>IF(A409="","",TRIM(IF(K409="","Needs decision; ","")&amp;IF(AND(K409="Accept suggestion",F409=""),"No suggestion to accept; ","")&amp;IF(AND(K409="Override",L409=""),"Override URL missing; ","")&amp;IF(AND(K409="Accept suggestion",N(G409)&lt;$G$2),"Below your threshold; ","")&amp;IF(AND(M409&lt;&gt;"",M409=A409,K409&lt;&gt;"No change (same URL)"),"Redirects to itself; ","")&amp;IF(AND(M409&lt;&gt;"",OR(M409="/",AND(LEFT(M409,4)="http",OR((LEN(M409)-LEN(SUBSTITUTE(M409,"/","")))=2,AND((LEN(M409)-LEN(SUBSTITUTE(M409,"/","")))=3,RIGHT(M409,1)="/"))))),"Home page redirect; ","")&amp;IF(N(R409)&gt;1,"Chain; ","")&amp;IF(S409="No","Destination not 200; ","")))</f>
        <v/>
      </c>
      <c r="U409" s="22" t="n"/>
      <c r="V409" s="22" t="n"/>
      <c r="W409" s="4" t="n"/>
    </row>
    <row r="410">
      <c r="A410" s="22" t="n"/>
      <c r="B410" s="22" t="n"/>
      <c r="C410" s="22" t="n"/>
      <c r="D410" s="22">
        <f>IF(A410="","",IF(OR(N(B410)&gt;=$C$2,N(C410)&gt;=$E$2),"High",IF(OR(N(B410)&gt;0,N(C410)&gt;0),"Medium","Low")))</f>
        <v/>
      </c>
      <c r="E410" s="22" t="n"/>
      <c r="F410" s="22" t="n"/>
      <c r="G410" s="22" t="n"/>
      <c r="H410" s="22" t="n"/>
      <c r="I410" s="22" t="n"/>
      <c r="J410" s="22" t="n"/>
      <c r="K410" s="22" t="n"/>
      <c r="L410" s="22" t="n"/>
      <c r="M410" s="22">
        <f>IF(K410="Override",L410,IF(K410="Accept suggestion",F410,IF(K410="No change (same URL)",A410,"")))</f>
        <v/>
      </c>
      <c r="N410" s="22">
        <f>IF(A410="","",IF(K410="410 Gone","410",IF(K410="404","404",IF(K410="No change (same URL)","none",IF(M410="","","301")))))</f>
        <v/>
      </c>
      <c r="O410" s="22">
        <f>IF(A410="","",IFERROR(MID(A410,FIND("/",A410,FIND("//",A410)+2),2000),A410))</f>
        <v/>
      </c>
      <c r="P410" s="22">
        <f>IF(OR(O410="",N410="",N410="none",N410="404"),"",IF(N410="410","Redirect gone "&amp;O410,"Redirect "&amp;N410&amp;" "&amp;O410&amp;" "&amp;M410))</f>
        <v/>
      </c>
      <c r="Q410" s="22" t="n"/>
      <c r="R410" s="22" t="n"/>
      <c r="S410" s="22" t="n"/>
      <c r="T410" s="4">
        <f>IF(A410="","",TRIM(IF(K410="","Needs decision; ","")&amp;IF(AND(K410="Accept suggestion",F410=""),"No suggestion to accept; ","")&amp;IF(AND(K410="Override",L410=""),"Override URL missing; ","")&amp;IF(AND(K410="Accept suggestion",N(G410)&lt;$G$2),"Below your threshold; ","")&amp;IF(AND(M410&lt;&gt;"",M410=A410,K410&lt;&gt;"No change (same URL)"),"Redirects to itself; ","")&amp;IF(AND(M410&lt;&gt;"",OR(M410="/",AND(LEFT(M410,4)="http",OR((LEN(M410)-LEN(SUBSTITUTE(M410,"/","")))=2,AND((LEN(M410)-LEN(SUBSTITUTE(M410,"/","")))=3,RIGHT(M410,1)="/"))))),"Home page redirect; ","")&amp;IF(N(R410)&gt;1,"Chain; ","")&amp;IF(S410="No","Destination not 200; ","")))</f>
        <v/>
      </c>
      <c r="U410" s="22" t="n"/>
      <c r="V410" s="22" t="n"/>
      <c r="W410" s="4" t="n"/>
    </row>
    <row r="411">
      <c r="A411" s="22" t="n"/>
      <c r="B411" s="22" t="n"/>
      <c r="C411" s="22" t="n"/>
      <c r="D411" s="22">
        <f>IF(A411="","",IF(OR(N(B411)&gt;=$C$2,N(C411)&gt;=$E$2),"High",IF(OR(N(B411)&gt;0,N(C411)&gt;0),"Medium","Low")))</f>
        <v/>
      </c>
      <c r="E411" s="22" t="n"/>
      <c r="F411" s="22" t="n"/>
      <c r="G411" s="22" t="n"/>
      <c r="H411" s="22" t="n"/>
      <c r="I411" s="22" t="n"/>
      <c r="J411" s="22" t="n"/>
      <c r="K411" s="22" t="n"/>
      <c r="L411" s="22" t="n"/>
      <c r="M411" s="22">
        <f>IF(K411="Override",L411,IF(K411="Accept suggestion",F411,IF(K411="No change (same URL)",A411,"")))</f>
        <v/>
      </c>
      <c r="N411" s="22">
        <f>IF(A411="","",IF(K411="410 Gone","410",IF(K411="404","404",IF(K411="No change (same URL)","none",IF(M411="","","301")))))</f>
        <v/>
      </c>
      <c r="O411" s="22">
        <f>IF(A411="","",IFERROR(MID(A411,FIND("/",A411,FIND("//",A411)+2),2000),A411))</f>
        <v/>
      </c>
      <c r="P411" s="22">
        <f>IF(OR(O411="",N411="",N411="none",N411="404"),"",IF(N411="410","Redirect gone "&amp;O411,"Redirect "&amp;N411&amp;" "&amp;O411&amp;" "&amp;M411))</f>
        <v/>
      </c>
      <c r="Q411" s="22" t="n"/>
      <c r="R411" s="22" t="n"/>
      <c r="S411" s="22" t="n"/>
      <c r="T411" s="4">
        <f>IF(A411="","",TRIM(IF(K411="","Needs decision; ","")&amp;IF(AND(K411="Accept suggestion",F411=""),"No suggestion to accept; ","")&amp;IF(AND(K411="Override",L411=""),"Override URL missing; ","")&amp;IF(AND(K411="Accept suggestion",N(G411)&lt;$G$2),"Below your threshold; ","")&amp;IF(AND(M411&lt;&gt;"",M411=A411,K411&lt;&gt;"No change (same URL)"),"Redirects to itself; ","")&amp;IF(AND(M411&lt;&gt;"",OR(M411="/",AND(LEFT(M411,4)="http",OR((LEN(M411)-LEN(SUBSTITUTE(M411,"/","")))=2,AND((LEN(M411)-LEN(SUBSTITUTE(M411,"/","")))=3,RIGHT(M411,1)="/"))))),"Home page redirect; ","")&amp;IF(N(R411)&gt;1,"Chain; ","")&amp;IF(S411="No","Destination not 200; ","")))</f>
        <v/>
      </c>
      <c r="U411" s="22" t="n"/>
      <c r="V411" s="22" t="n"/>
      <c r="W411" s="4" t="n"/>
    </row>
    <row r="412">
      <c r="A412" s="22" t="n"/>
      <c r="B412" s="22" t="n"/>
      <c r="C412" s="22" t="n"/>
      <c r="D412" s="22">
        <f>IF(A412="","",IF(OR(N(B412)&gt;=$C$2,N(C412)&gt;=$E$2),"High",IF(OR(N(B412)&gt;0,N(C412)&gt;0),"Medium","Low")))</f>
        <v/>
      </c>
      <c r="E412" s="22" t="n"/>
      <c r="F412" s="22" t="n"/>
      <c r="G412" s="22" t="n"/>
      <c r="H412" s="22" t="n"/>
      <c r="I412" s="22" t="n"/>
      <c r="J412" s="22" t="n"/>
      <c r="K412" s="22" t="n"/>
      <c r="L412" s="22" t="n"/>
      <c r="M412" s="22">
        <f>IF(K412="Override",L412,IF(K412="Accept suggestion",F412,IF(K412="No change (same URL)",A412,"")))</f>
        <v/>
      </c>
      <c r="N412" s="22">
        <f>IF(A412="","",IF(K412="410 Gone","410",IF(K412="404","404",IF(K412="No change (same URL)","none",IF(M412="","","301")))))</f>
        <v/>
      </c>
      <c r="O412" s="22">
        <f>IF(A412="","",IFERROR(MID(A412,FIND("/",A412,FIND("//",A412)+2),2000),A412))</f>
        <v/>
      </c>
      <c r="P412" s="22">
        <f>IF(OR(O412="",N412="",N412="none",N412="404"),"",IF(N412="410","Redirect gone "&amp;O412,"Redirect "&amp;N412&amp;" "&amp;O412&amp;" "&amp;M412))</f>
        <v/>
      </c>
      <c r="Q412" s="22" t="n"/>
      <c r="R412" s="22" t="n"/>
      <c r="S412" s="22" t="n"/>
      <c r="T412" s="4">
        <f>IF(A412="","",TRIM(IF(K412="","Needs decision; ","")&amp;IF(AND(K412="Accept suggestion",F412=""),"No suggestion to accept; ","")&amp;IF(AND(K412="Override",L412=""),"Override URL missing; ","")&amp;IF(AND(K412="Accept suggestion",N(G412)&lt;$G$2),"Below your threshold; ","")&amp;IF(AND(M412&lt;&gt;"",M412=A412,K412&lt;&gt;"No change (same URL)"),"Redirects to itself; ","")&amp;IF(AND(M412&lt;&gt;"",OR(M412="/",AND(LEFT(M412,4)="http",OR((LEN(M412)-LEN(SUBSTITUTE(M412,"/","")))=2,AND((LEN(M412)-LEN(SUBSTITUTE(M412,"/","")))=3,RIGHT(M412,1)="/"))))),"Home page redirect; ","")&amp;IF(N(R412)&gt;1,"Chain; ","")&amp;IF(S412="No","Destination not 200; ","")))</f>
        <v/>
      </c>
      <c r="U412" s="22" t="n"/>
      <c r="V412" s="22" t="n"/>
      <c r="W412" s="4" t="n"/>
    </row>
    <row r="413">
      <c r="A413" s="22" t="n"/>
      <c r="B413" s="22" t="n"/>
      <c r="C413" s="22" t="n"/>
      <c r="D413" s="22">
        <f>IF(A413="","",IF(OR(N(B413)&gt;=$C$2,N(C413)&gt;=$E$2),"High",IF(OR(N(B413)&gt;0,N(C413)&gt;0),"Medium","Low")))</f>
        <v/>
      </c>
      <c r="E413" s="22" t="n"/>
      <c r="F413" s="22" t="n"/>
      <c r="G413" s="22" t="n"/>
      <c r="H413" s="22" t="n"/>
      <c r="I413" s="22" t="n"/>
      <c r="J413" s="22" t="n"/>
      <c r="K413" s="22" t="n"/>
      <c r="L413" s="22" t="n"/>
      <c r="M413" s="22">
        <f>IF(K413="Override",L413,IF(K413="Accept suggestion",F413,IF(K413="No change (same URL)",A413,"")))</f>
        <v/>
      </c>
      <c r="N413" s="22">
        <f>IF(A413="","",IF(K413="410 Gone","410",IF(K413="404","404",IF(K413="No change (same URL)","none",IF(M413="","","301")))))</f>
        <v/>
      </c>
      <c r="O413" s="22">
        <f>IF(A413="","",IFERROR(MID(A413,FIND("/",A413,FIND("//",A413)+2),2000),A413))</f>
        <v/>
      </c>
      <c r="P413" s="22">
        <f>IF(OR(O413="",N413="",N413="none",N413="404"),"",IF(N413="410","Redirect gone "&amp;O413,"Redirect "&amp;N413&amp;" "&amp;O413&amp;" "&amp;M413))</f>
        <v/>
      </c>
      <c r="Q413" s="22" t="n"/>
      <c r="R413" s="22" t="n"/>
      <c r="S413" s="22" t="n"/>
      <c r="T413" s="4">
        <f>IF(A413="","",TRIM(IF(K413="","Needs decision; ","")&amp;IF(AND(K413="Accept suggestion",F413=""),"No suggestion to accept; ","")&amp;IF(AND(K413="Override",L413=""),"Override URL missing; ","")&amp;IF(AND(K413="Accept suggestion",N(G413)&lt;$G$2),"Below your threshold; ","")&amp;IF(AND(M413&lt;&gt;"",M413=A413,K413&lt;&gt;"No change (same URL)"),"Redirects to itself; ","")&amp;IF(AND(M413&lt;&gt;"",OR(M413="/",AND(LEFT(M413,4)="http",OR((LEN(M413)-LEN(SUBSTITUTE(M413,"/","")))=2,AND((LEN(M413)-LEN(SUBSTITUTE(M413,"/","")))=3,RIGHT(M413,1)="/"))))),"Home page redirect; ","")&amp;IF(N(R413)&gt;1,"Chain; ","")&amp;IF(S413="No","Destination not 200; ","")))</f>
        <v/>
      </c>
      <c r="U413" s="22" t="n"/>
      <c r="V413" s="22" t="n"/>
      <c r="W413" s="4" t="n"/>
    </row>
    <row r="414">
      <c r="A414" s="22" t="n"/>
      <c r="B414" s="22" t="n"/>
      <c r="C414" s="22" t="n"/>
      <c r="D414" s="22">
        <f>IF(A414="","",IF(OR(N(B414)&gt;=$C$2,N(C414)&gt;=$E$2),"High",IF(OR(N(B414)&gt;0,N(C414)&gt;0),"Medium","Low")))</f>
        <v/>
      </c>
      <c r="E414" s="22" t="n"/>
      <c r="F414" s="22" t="n"/>
      <c r="G414" s="22" t="n"/>
      <c r="H414" s="22" t="n"/>
      <c r="I414" s="22" t="n"/>
      <c r="J414" s="22" t="n"/>
      <c r="K414" s="22" t="n"/>
      <c r="L414" s="22" t="n"/>
      <c r="M414" s="22">
        <f>IF(K414="Override",L414,IF(K414="Accept suggestion",F414,IF(K414="No change (same URL)",A414,"")))</f>
        <v/>
      </c>
      <c r="N414" s="22">
        <f>IF(A414="","",IF(K414="410 Gone","410",IF(K414="404","404",IF(K414="No change (same URL)","none",IF(M414="","","301")))))</f>
        <v/>
      </c>
      <c r="O414" s="22">
        <f>IF(A414="","",IFERROR(MID(A414,FIND("/",A414,FIND("//",A414)+2),2000),A414))</f>
        <v/>
      </c>
      <c r="P414" s="22">
        <f>IF(OR(O414="",N414="",N414="none",N414="404"),"",IF(N414="410","Redirect gone "&amp;O414,"Redirect "&amp;N414&amp;" "&amp;O414&amp;" "&amp;M414))</f>
        <v/>
      </c>
      <c r="Q414" s="22" t="n"/>
      <c r="R414" s="22" t="n"/>
      <c r="S414" s="22" t="n"/>
      <c r="T414" s="4">
        <f>IF(A414="","",TRIM(IF(K414="","Needs decision; ","")&amp;IF(AND(K414="Accept suggestion",F414=""),"No suggestion to accept; ","")&amp;IF(AND(K414="Override",L414=""),"Override URL missing; ","")&amp;IF(AND(K414="Accept suggestion",N(G414)&lt;$G$2),"Below your threshold; ","")&amp;IF(AND(M414&lt;&gt;"",M414=A414,K414&lt;&gt;"No change (same URL)"),"Redirects to itself; ","")&amp;IF(AND(M414&lt;&gt;"",OR(M414="/",AND(LEFT(M414,4)="http",OR((LEN(M414)-LEN(SUBSTITUTE(M414,"/","")))=2,AND((LEN(M414)-LEN(SUBSTITUTE(M414,"/","")))=3,RIGHT(M414,1)="/"))))),"Home page redirect; ","")&amp;IF(N(R414)&gt;1,"Chain; ","")&amp;IF(S414="No","Destination not 200; ","")))</f>
        <v/>
      </c>
      <c r="U414" s="22" t="n"/>
      <c r="V414" s="22" t="n"/>
      <c r="W414" s="4" t="n"/>
    </row>
    <row r="415">
      <c r="A415" s="22" t="n"/>
      <c r="B415" s="22" t="n"/>
      <c r="C415" s="22" t="n"/>
      <c r="D415" s="22">
        <f>IF(A415="","",IF(OR(N(B415)&gt;=$C$2,N(C415)&gt;=$E$2),"High",IF(OR(N(B415)&gt;0,N(C415)&gt;0),"Medium","Low")))</f>
        <v/>
      </c>
      <c r="E415" s="22" t="n"/>
      <c r="F415" s="22" t="n"/>
      <c r="G415" s="22" t="n"/>
      <c r="H415" s="22" t="n"/>
      <c r="I415" s="22" t="n"/>
      <c r="J415" s="22" t="n"/>
      <c r="K415" s="22" t="n"/>
      <c r="L415" s="22" t="n"/>
      <c r="M415" s="22">
        <f>IF(K415="Override",L415,IF(K415="Accept suggestion",F415,IF(K415="No change (same URL)",A415,"")))</f>
        <v/>
      </c>
      <c r="N415" s="22">
        <f>IF(A415="","",IF(K415="410 Gone","410",IF(K415="404","404",IF(K415="No change (same URL)","none",IF(M415="","","301")))))</f>
        <v/>
      </c>
      <c r="O415" s="22">
        <f>IF(A415="","",IFERROR(MID(A415,FIND("/",A415,FIND("//",A415)+2),2000),A415))</f>
        <v/>
      </c>
      <c r="P415" s="22">
        <f>IF(OR(O415="",N415="",N415="none",N415="404"),"",IF(N415="410","Redirect gone "&amp;O415,"Redirect "&amp;N415&amp;" "&amp;O415&amp;" "&amp;M415))</f>
        <v/>
      </c>
      <c r="Q415" s="22" t="n"/>
      <c r="R415" s="22" t="n"/>
      <c r="S415" s="22" t="n"/>
      <c r="T415" s="4">
        <f>IF(A415="","",TRIM(IF(K415="","Needs decision; ","")&amp;IF(AND(K415="Accept suggestion",F415=""),"No suggestion to accept; ","")&amp;IF(AND(K415="Override",L415=""),"Override URL missing; ","")&amp;IF(AND(K415="Accept suggestion",N(G415)&lt;$G$2),"Below your threshold; ","")&amp;IF(AND(M415&lt;&gt;"",M415=A415,K415&lt;&gt;"No change (same URL)"),"Redirects to itself; ","")&amp;IF(AND(M415&lt;&gt;"",OR(M415="/",AND(LEFT(M415,4)="http",OR((LEN(M415)-LEN(SUBSTITUTE(M415,"/","")))=2,AND((LEN(M415)-LEN(SUBSTITUTE(M415,"/","")))=3,RIGHT(M415,1)="/"))))),"Home page redirect; ","")&amp;IF(N(R415)&gt;1,"Chain; ","")&amp;IF(S415="No","Destination not 200; ","")))</f>
        <v/>
      </c>
      <c r="U415" s="22" t="n"/>
      <c r="V415" s="22" t="n"/>
      <c r="W415" s="4" t="n"/>
    </row>
    <row r="416">
      <c r="A416" s="22" t="n"/>
      <c r="B416" s="22" t="n"/>
      <c r="C416" s="22" t="n"/>
      <c r="D416" s="22">
        <f>IF(A416="","",IF(OR(N(B416)&gt;=$C$2,N(C416)&gt;=$E$2),"High",IF(OR(N(B416)&gt;0,N(C416)&gt;0),"Medium","Low")))</f>
        <v/>
      </c>
      <c r="E416" s="22" t="n"/>
      <c r="F416" s="22" t="n"/>
      <c r="G416" s="22" t="n"/>
      <c r="H416" s="22" t="n"/>
      <c r="I416" s="22" t="n"/>
      <c r="J416" s="22" t="n"/>
      <c r="K416" s="22" t="n"/>
      <c r="L416" s="22" t="n"/>
      <c r="M416" s="22">
        <f>IF(K416="Override",L416,IF(K416="Accept suggestion",F416,IF(K416="No change (same URL)",A416,"")))</f>
        <v/>
      </c>
      <c r="N416" s="22">
        <f>IF(A416="","",IF(K416="410 Gone","410",IF(K416="404","404",IF(K416="No change (same URL)","none",IF(M416="","","301")))))</f>
        <v/>
      </c>
      <c r="O416" s="22">
        <f>IF(A416="","",IFERROR(MID(A416,FIND("/",A416,FIND("//",A416)+2),2000),A416))</f>
        <v/>
      </c>
      <c r="P416" s="22">
        <f>IF(OR(O416="",N416="",N416="none",N416="404"),"",IF(N416="410","Redirect gone "&amp;O416,"Redirect "&amp;N416&amp;" "&amp;O416&amp;" "&amp;M416))</f>
        <v/>
      </c>
      <c r="Q416" s="22" t="n"/>
      <c r="R416" s="22" t="n"/>
      <c r="S416" s="22" t="n"/>
      <c r="T416" s="4">
        <f>IF(A416="","",TRIM(IF(K416="","Needs decision; ","")&amp;IF(AND(K416="Accept suggestion",F416=""),"No suggestion to accept; ","")&amp;IF(AND(K416="Override",L416=""),"Override URL missing; ","")&amp;IF(AND(K416="Accept suggestion",N(G416)&lt;$G$2),"Below your threshold; ","")&amp;IF(AND(M416&lt;&gt;"",M416=A416,K416&lt;&gt;"No change (same URL)"),"Redirects to itself; ","")&amp;IF(AND(M416&lt;&gt;"",OR(M416="/",AND(LEFT(M416,4)="http",OR((LEN(M416)-LEN(SUBSTITUTE(M416,"/","")))=2,AND((LEN(M416)-LEN(SUBSTITUTE(M416,"/","")))=3,RIGHT(M416,1)="/"))))),"Home page redirect; ","")&amp;IF(N(R416)&gt;1,"Chain; ","")&amp;IF(S416="No","Destination not 200; ","")))</f>
        <v/>
      </c>
      <c r="U416" s="22" t="n"/>
      <c r="V416" s="22" t="n"/>
      <c r="W416" s="4" t="n"/>
    </row>
    <row r="417">
      <c r="A417" s="22" t="n"/>
      <c r="B417" s="22" t="n"/>
      <c r="C417" s="22" t="n"/>
      <c r="D417" s="22">
        <f>IF(A417="","",IF(OR(N(B417)&gt;=$C$2,N(C417)&gt;=$E$2),"High",IF(OR(N(B417)&gt;0,N(C417)&gt;0),"Medium","Low")))</f>
        <v/>
      </c>
      <c r="E417" s="22" t="n"/>
      <c r="F417" s="22" t="n"/>
      <c r="G417" s="22" t="n"/>
      <c r="H417" s="22" t="n"/>
      <c r="I417" s="22" t="n"/>
      <c r="J417" s="22" t="n"/>
      <c r="K417" s="22" t="n"/>
      <c r="L417" s="22" t="n"/>
      <c r="M417" s="22">
        <f>IF(K417="Override",L417,IF(K417="Accept suggestion",F417,IF(K417="No change (same URL)",A417,"")))</f>
        <v/>
      </c>
      <c r="N417" s="22">
        <f>IF(A417="","",IF(K417="410 Gone","410",IF(K417="404","404",IF(K417="No change (same URL)","none",IF(M417="","","301")))))</f>
        <v/>
      </c>
      <c r="O417" s="22">
        <f>IF(A417="","",IFERROR(MID(A417,FIND("/",A417,FIND("//",A417)+2),2000),A417))</f>
        <v/>
      </c>
      <c r="P417" s="22">
        <f>IF(OR(O417="",N417="",N417="none",N417="404"),"",IF(N417="410","Redirect gone "&amp;O417,"Redirect "&amp;N417&amp;" "&amp;O417&amp;" "&amp;M417))</f>
        <v/>
      </c>
      <c r="Q417" s="22" t="n"/>
      <c r="R417" s="22" t="n"/>
      <c r="S417" s="22" t="n"/>
      <c r="T417" s="4">
        <f>IF(A417="","",TRIM(IF(K417="","Needs decision; ","")&amp;IF(AND(K417="Accept suggestion",F417=""),"No suggestion to accept; ","")&amp;IF(AND(K417="Override",L417=""),"Override URL missing; ","")&amp;IF(AND(K417="Accept suggestion",N(G417)&lt;$G$2),"Below your threshold; ","")&amp;IF(AND(M417&lt;&gt;"",M417=A417,K417&lt;&gt;"No change (same URL)"),"Redirects to itself; ","")&amp;IF(AND(M417&lt;&gt;"",OR(M417="/",AND(LEFT(M417,4)="http",OR((LEN(M417)-LEN(SUBSTITUTE(M417,"/","")))=2,AND((LEN(M417)-LEN(SUBSTITUTE(M417,"/","")))=3,RIGHT(M417,1)="/"))))),"Home page redirect; ","")&amp;IF(N(R417)&gt;1,"Chain; ","")&amp;IF(S417="No","Destination not 200; ","")))</f>
        <v/>
      </c>
      <c r="U417" s="22" t="n"/>
      <c r="V417" s="22" t="n"/>
      <c r="W417" s="4" t="n"/>
    </row>
    <row r="418">
      <c r="A418" s="22" t="n"/>
      <c r="B418" s="22" t="n"/>
      <c r="C418" s="22" t="n"/>
      <c r="D418" s="22">
        <f>IF(A418="","",IF(OR(N(B418)&gt;=$C$2,N(C418)&gt;=$E$2),"High",IF(OR(N(B418)&gt;0,N(C418)&gt;0),"Medium","Low")))</f>
        <v/>
      </c>
      <c r="E418" s="22" t="n"/>
      <c r="F418" s="22" t="n"/>
      <c r="G418" s="22" t="n"/>
      <c r="H418" s="22" t="n"/>
      <c r="I418" s="22" t="n"/>
      <c r="J418" s="22" t="n"/>
      <c r="K418" s="22" t="n"/>
      <c r="L418" s="22" t="n"/>
      <c r="M418" s="22">
        <f>IF(K418="Override",L418,IF(K418="Accept suggestion",F418,IF(K418="No change (same URL)",A418,"")))</f>
        <v/>
      </c>
      <c r="N418" s="22">
        <f>IF(A418="","",IF(K418="410 Gone","410",IF(K418="404","404",IF(K418="No change (same URL)","none",IF(M418="","","301")))))</f>
        <v/>
      </c>
      <c r="O418" s="22">
        <f>IF(A418="","",IFERROR(MID(A418,FIND("/",A418,FIND("//",A418)+2),2000),A418))</f>
        <v/>
      </c>
      <c r="P418" s="22">
        <f>IF(OR(O418="",N418="",N418="none",N418="404"),"",IF(N418="410","Redirect gone "&amp;O418,"Redirect "&amp;N418&amp;" "&amp;O418&amp;" "&amp;M418))</f>
        <v/>
      </c>
      <c r="Q418" s="22" t="n"/>
      <c r="R418" s="22" t="n"/>
      <c r="S418" s="22" t="n"/>
      <c r="T418" s="4">
        <f>IF(A418="","",TRIM(IF(K418="","Needs decision; ","")&amp;IF(AND(K418="Accept suggestion",F418=""),"No suggestion to accept; ","")&amp;IF(AND(K418="Override",L418=""),"Override URL missing; ","")&amp;IF(AND(K418="Accept suggestion",N(G418)&lt;$G$2),"Below your threshold; ","")&amp;IF(AND(M418&lt;&gt;"",M418=A418,K418&lt;&gt;"No change (same URL)"),"Redirects to itself; ","")&amp;IF(AND(M418&lt;&gt;"",OR(M418="/",AND(LEFT(M418,4)="http",OR((LEN(M418)-LEN(SUBSTITUTE(M418,"/","")))=2,AND((LEN(M418)-LEN(SUBSTITUTE(M418,"/","")))=3,RIGHT(M418,1)="/"))))),"Home page redirect; ","")&amp;IF(N(R418)&gt;1,"Chain; ","")&amp;IF(S418="No","Destination not 200; ","")))</f>
        <v/>
      </c>
      <c r="U418" s="22" t="n"/>
      <c r="V418" s="22" t="n"/>
      <c r="W418" s="4" t="n"/>
    </row>
    <row r="419">
      <c r="A419" s="22" t="n"/>
      <c r="B419" s="22" t="n"/>
      <c r="C419" s="22" t="n"/>
      <c r="D419" s="22">
        <f>IF(A419="","",IF(OR(N(B419)&gt;=$C$2,N(C419)&gt;=$E$2),"High",IF(OR(N(B419)&gt;0,N(C419)&gt;0),"Medium","Low")))</f>
        <v/>
      </c>
      <c r="E419" s="22" t="n"/>
      <c r="F419" s="22" t="n"/>
      <c r="G419" s="22" t="n"/>
      <c r="H419" s="22" t="n"/>
      <c r="I419" s="22" t="n"/>
      <c r="J419" s="22" t="n"/>
      <c r="K419" s="22" t="n"/>
      <c r="L419" s="22" t="n"/>
      <c r="M419" s="22">
        <f>IF(K419="Override",L419,IF(K419="Accept suggestion",F419,IF(K419="No change (same URL)",A419,"")))</f>
        <v/>
      </c>
      <c r="N419" s="22">
        <f>IF(A419="","",IF(K419="410 Gone","410",IF(K419="404","404",IF(K419="No change (same URL)","none",IF(M419="","","301")))))</f>
        <v/>
      </c>
      <c r="O419" s="22">
        <f>IF(A419="","",IFERROR(MID(A419,FIND("/",A419,FIND("//",A419)+2),2000),A419))</f>
        <v/>
      </c>
      <c r="P419" s="22">
        <f>IF(OR(O419="",N419="",N419="none",N419="404"),"",IF(N419="410","Redirect gone "&amp;O419,"Redirect "&amp;N419&amp;" "&amp;O419&amp;" "&amp;M419))</f>
        <v/>
      </c>
      <c r="Q419" s="22" t="n"/>
      <c r="R419" s="22" t="n"/>
      <c r="S419" s="22" t="n"/>
      <c r="T419" s="4">
        <f>IF(A419="","",TRIM(IF(K419="","Needs decision; ","")&amp;IF(AND(K419="Accept suggestion",F419=""),"No suggestion to accept; ","")&amp;IF(AND(K419="Override",L419=""),"Override URL missing; ","")&amp;IF(AND(K419="Accept suggestion",N(G419)&lt;$G$2),"Below your threshold; ","")&amp;IF(AND(M419&lt;&gt;"",M419=A419,K419&lt;&gt;"No change (same URL)"),"Redirects to itself; ","")&amp;IF(AND(M419&lt;&gt;"",OR(M419="/",AND(LEFT(M419,4)="http",OR((LEN(M419)-LEN(SUBSTITUTE(M419,"/","")))=2,AND((LEN(M419)-LEN(SUBSTITUTE(M419,"/","")))=3,RIGHT(M419,1)="/"))))),"Home page redirect; ","")&amp;IF(N(R419)&gt;1,"Chain; ","")&amp;IF(S419="No","Destination not 200; ","")))</f>
        <v/>
      </c>
      <c r="U419" s="22" t="n"/>
      <c r="V419" s="22" t="n"/>
      <c r="W419" s="4" t="n"/>
    </row>
    <row r="420">
      <c r="A420" s="22" t="n"/>
      <c r="B420" s="22" t="n"/>
      <c r="C420" s="22" t="n"/>
      <c r="D420" s="22">
        <f>IF(A420="","",IF(OR(N(B420)&gt;=$C$2,N(C420)&gt;=$E$2),"High",IF(OR(N(B420)&gt;0,N(C420)&gt;0),"Medium","Low")))</f>
        <v/>
      </c>
      <c r="E420" s="22" t="n"/>
      <c r="F420" s="22" t="n"/>
      <c r="G420" s="22" t="n"/>
      <c r="H420" s="22" t="n"/>
      <c r="I420" s="22" t="n"/>
      <c r="J420" s="22" t="n"/>
      <c r="K420" s="22" t="n"/>
      <c r="L420" s="22" t="n"/>
      <c r="M420" s="22">
        <f>IF(K420="Override",L420,IF(K420="Accept suggestion",F420,IF(K420="No change (same URL)",A420,"")))</f>
        <v/>
      </c>
      <c r="N420" s="22">
        <f>IF(A420="","",IF(K420="410 Gone","410",IF(K420="404","404",IF(K420="No change (same URL)","none",IF(M420="","","301")))))</f>
        <v/>
      </c>
      <c r="O420" s="22">
        <f>IF(A420="","",IFERROR(MID(A420,FIND("/",A420,FIND("//",A420)+2),2000),A420))</f>
        <v/>
      </c>
      <c r="P420" s="22">
        <f>IF(OR(O420="",N420="",N420="none",N420="404"),"",IF(N420="410","Redirect gone "&amp;O420,"Redirect "&amp;N420&amp;" "&amp;O420&amp;" "&amp;M420))</f>
        <v/>
      </c>
      <c r="Q420" s="22" t="n"/>
      <c r="R420" s="22" t="n"/>
      <c r="S420" s="22" t="n"/>
      <c r="T420" s="4">
        <f>IF(A420="","",TRIM(IF(K420="","Needs decision; ","")&amp;IF(AND(K420="Accept suggestion",F420=""),"No suggestion to accept; ","")&amp;IF(AND(K420="Override",L420=""),"Override URL missing; ","")&amp;IF(AND(K420="Accept suggestion",N(G420)&lt;$G$2),"Below your threshold; ","")&amp;IF(AND(M420&lt;&gt;"",M420=A420,K420&lt;&gt;"No change (same URL)"),"Redirects to itself; ","")&amp;IF(AND(M420&lt;&gt;"",OR(M420="/",AND(LEFT(M420,4)="http",OR((LEN(M420)-LEN(SUBSTITUTE(M420,"/","")))=2,AND((LEN(M420)-LEN(SUBSTITUTE(M420,"/","")))=3,RIGHT(M420,1)="/"))))),"Home page redirect; ","")&amp;IF(N(R420)&gt;1,"Chain; ","")&amp;IF(S420="No","Destination not 200; ","")))</f>
        <v/>
      </c>
      <c r="U420" s="22" t="n"/>
      <c r="V420" s="22" t="n"/>
      <c r="W420" s="4" t="n"/>
    </row>
    <row r="421">
      <c r="A421" s="22" t="n"/>
      <c r="B421" s="22" t="n"/>
      <c r="C421" s="22" t="n"/>
      <c r="D421" s="22">
        <f>IF(A421="","",IF(OR(N(B421)&gt;=$C$2,N(C421)&gt;=$E$2),"High",IF(OR(N(B421)&gt;0,N(C421)&gt;0),"Medium","Low")))</f>
        <v/>
      </c>
      <c r="E421" s="22" t="n"/>
      <c r="F421" s="22" t="n"/>
      <c r="G421" s="22" t="n"/>
      <c r="H421" s="22" t="n"/>
      <c r="I421" s="22" t="n"/>
      <c r="J421" s="22" t="n"/>
      <c r="K421" s="22" t="n"/>
      <c r="L421" s="22" t="n"/>
      <c r="M421" s="22">
        <f>IF(K421="Override",L421,IF(K421="Accept suggestion",F421,IF(K421="No change (same URL)",A421,"")))</f>
        <v/>
      </c>
      <c r="N421" s="22">
        <f>IF(A421="","",IF(K421="410 Gone","410",IF(K421="404","404",IF(K421="No change (same URL)","none",IF(M421="","","301")))))</f>
        <v/>
      </c>
      <c r="O421" s="22">
        <f>IF(A421="","",IFERROR(MID(A421,FIND("/",A421,FIND("//",A421)+2),2000),A421))</f>
        <v/>
      </c>
      <c r="P421" s="22">
        <f>IF(OR(O421="",N421="",N421="none",N421="404"),"",IF(N421="410","Redirect gone "&amp;O421,"Redirect "&amp;N421&amp;" "&amp;O421&amp;" "&amp;M421))</f>
        <v/>
      </c>
      <c r="Q421" s="22" t="n"/>
      <c r="R421" s="22" t="n"/>
      <c r="S421" s="22" t="n"/>
      <c r="T421" s="4">
        <f>IF(A421="","",TRIM(IF(K421="","Needs decision; ","")&amp;IF(AND(K421="Accept suggestion",F421=""),"No suggestion to accept; ","")&amp;IF(AND(K421="Override",L421=""),"Override URL missing; ","")&amp;IF(AND(K421="Accept suggestion",N(G421)&lt;$G$2),"Below your threshold; ","")&amp;IF(AND(M421&lt;&gt;"",M421=A421,K421&lt;&gt;"No change (same URL)"),"Redirects to itself; ","")&amp;IF(AND(M421&lt;&gt;"",OR(M421="/",AND(LEFT(M421,4)="http",OR((LEN(M421)-LEN(SUBSTITUTE(M421,"/","")))=2,AND((LEN(M421)-LEN(SUBSTITUTE(M421,"/","")))=3,RIGHT(M421,1)="/"))))),"Home page redirect; ","")&amp;IF(N(R421)&gt;1,"Chain; ","")&amp;IF(S421="No","Destination not 200; ","")))</f>
        <v/>
      </c>
      <c r="U421" s="22" t="n"/>
      <c r="V421" s="22" t="n"/>
      <c r="W421" s="4" t="n"/>
    </row>
    <row r="422">
      <c r="A422" s="22" t="n"/>
      <c r="B422" s="22" t="n"/>
      <c r="C422" s="22" t="n"/>
      <c r="D422" s="22">
        <f>IF(A422="","",IF(OR(N(B422)&gt;=$C$2,N(C422)&gt;=$E$2),"High",IF(OR(N(B422)&gt;0,N(C422)&gt;0),"Medium","Low")))</f>
        <v/>
      </c>
      <c r="E422" s="22" t="n"/>
      <c r="F422" s="22" t="n"/>
      <c r="G422" s="22" t="n"/>
      <c r="H422" s="22" t="n"/>
      <c r="I422" s="22" t="n"/>
      <c r="J422" s="22" t="n"/>
      <c r="K422" s="22" t="n"/>
      <c r="L422" s="22" t="n"/>
      <c r="M422" s="22">
        <f>IF(K422="Override",L422,IF(K422="Accept suggestion",F422,IF(K422="No change (same URL)",A422,"")))</f>
        <v/>
      </c>
      <c r="N422" s="22">
        <f>IF(A422="","",IF(K422="410 Gone","410",IF(K422="404","404",IF(K422="No change (same URL)","none",IF(M422="","","301")))))</f>
        <v/>
      </c>
      <c r="O422" s="22">
        <f>IF(A422="","",IFERROR(MID(A422,FIND("/",A422,FIND("//",A422)+2),2000),A422))</f>
        <v/>
      </c>
      <c r="P422" s="22">
        <f>IF(OR(O422="",N422="",N422="none",N422="404"),"",IF(N422="410","Redirect gone "&amp;O422,"Redirect "&amp;N422&amp;" "&amp;O422&amp;" "&amp;M422))</f>
        <v/>
      </c>
      <c r="Q422" s="22" t="n"/>
      <c r="R422" s="22" t="n"/>
      <c r="S422" s="22" t="n"/>
      <c r="T422" s="4">
        <f>IF(A422="","",TRIM(IF(K422="","Needs decision; ","")&amp;IF(AND(K422="Accept suggestion",F422=""),"No suggestion to accept; ","")&amp;IF(AND(K422="Override",L422=""),"Override URL missing; ","")&amp;IF(AND(K422="Accept suggestion",N(G422)&lt;$G$2),"Below your threshold; ","")&amp;IF(AND(M422&lt;&gt;"",M422=A422,K422&lt;&gt;"No change (same URL)"),"Redirects to itself; ","")&amp;IF(AND(M422&lt;&gt;"",OR(M422="/",AND(LEFT(M422,4)="http",OR((LEN(M422)-LEN(SUBSTITUTE(M422,"/","")))=2,AND((LEN(M422)-LEN(SUBSTITUTE(M422,"/","")))=3,RIGHT(M422,1)="/"))))),"Home page redirect; ","")&amp;IF(N(R422)&gt;1,"Chain; ","")&amp;IF(S422="No","Destination not 200; ","")))</f>
        <v/>
      </c>
      <c r="U422" s="22" t="n"/>
      <c r="V422" s="22" t="n"/>
      <c r="W422" s="4" t="n"/>
    </row>
    <row r="423">
      <c r="A423" s="22" t="n"/>
      <c r="B423" s="22" t="n"/>
      <c r="C423" s="22" t="n"/>
      <c r="D423" s="22">
        <f>IF(A423="","",IF(OR(N(B423)&gt;=$C$2,N(C423)&gt;=$E$2),"High",IF(OR(N(B423)&gt;0,N(C423)&gt;0),"Medium","Low")))</f>
        <v/>
      </c>
      <c r="E423" s="22" t="n"/>
      <c r="F423" s="22" t="n"/>
      <c r="G423" s="22" t="n"/>
      <c r="H423" s="22" t="n"/>
      <c r="I423" s="22" t="n"/>
      <c r="J423" s="22" t="n"/>
      <c r="K423" s="22" t="n"/>
      <c r="L423" s="22" t="n"/>
      <c r="M423" s="22">
        <f>IF(K423="Override",L423,IF(K423="Accept suggestion",F423,IF(K423="No change (same URL)",A423,"")))</f>
        <v/>
      </c>
      <c r="N423" s="22">
        <f>IF(A423="","",IF(K423="410 Gone","410",IF(K423="404","404",IF(K423="No change (same URL)","none",IF(M423="","","301")))))</f>
        <v/>
      </c>
      <c r="O423" s="22">
        <f>IF(A423="","",IFERROR(MID(A423,FIND("/",A423,FIND("//",A423)+2),2000),A423))</f>
        <v/>
      </c>
      <c r="P423" s="22">
        <f>IF(OR(O423="",N423="",N423="none",N423="404"),"",IF(N423="410","Redirect gone "&amp;O423,"Redirect "&amp;N423&amp;" "&amp;O423&amp;" "&amp;M423))</f>
        <v/>
      </c>
      <c r="Q423" s="22" t="n"/>
      <c r="R423" s="22" t="n"/>
      <c r="S423" s="22" t="n"/>
      <c r="T423" s="4">
        <f>IF(A423="","",TRIM(IF(K423="","Needs decision; ","")&amp;IF(AND(K423="Accept suggestion",F423=""),"No suggestion to accept; ","")&amp;IF(AND(K423="Override",L423=""),"Override URL missing; ","")&amp;IF(AND(K423="Accept suggestion",N(G423)&lt;$G$2),"Below your threshold; ","")&amp;IF(AND(M423&lt;&gt;"",M423=A423,K423&lt;&gt;"No change (same URL)"),"Redirects to itself; ","")&amp;IF(AND(M423&lt;&gt;"",OR(M423="/",AND(LEFT(M423,4)="http",OR((LEN(M423)-LEN(SUBSTITUTE(M423,"/","")))=2,AND((LEN(M423)-LEN(SUBSTITUTE(M423,"/","")))=3,RIGHT(M423,1)="/"))))),"Home page redirect; ","")&amp;IF(N(R423)&gt;1,"Chain; ","")&amp;IF(S423="No","Destination not 200; ","")))</f>
        <v/>
      </c>
      <c r="U423" s="22" t="n"/>
      <c r="V423" s="22" t="n"/>
      <c r="W423" s="4" t="n"/>
    </row>
    <row r="424">
      <c r="A424" s="22" t="n"/>
      <c r="B424" s="22" t="n"/>
      <c r="C424" s="22" t="n"/>
      <c r="D424" s="22">
        <f>IF(A424="","",IF(OR(N(B424)&gt;=$C$2,N(C424)&gt;=$E$2),"High",IF(OR(N(B424)&gt;0,N(C424)&gt;0),"Medium","Low")))</f>
        <v/>
      </c>
      <c r="E424" s="22" t="n"/>
      <c r="F424" s="22" t="n"/>
      <c r="G424" s="22" t="n"/>
      <c r="H424" s="22" t="n"/>
      <c r="I424" s="22" t="n"/>
      <c r="J424" s="22" t="n"/>
      <c r="K424" s="22" t="n"/>
      <c r="L424" s="22" t="n"/>
      <c r="M424" s="22">
        <f>IF(K424="Override",L424,IF(K424="Accept suggestion",F424,IF(K424="No change (same URL)",A424,"")))</f>
        <v/>
      </c>
      <c r="N424" s="22">
        <f>IF(A424="","",IF(K424="410 Gone","410",IF(K424="404","404",IF(K424="No change (same URL)","none",IF(M424="","","301")))))</f>
        <v/>
      </c>
      <c r="O424" s="22">
        <f>IF(A424="","",IFERROR(MID(A424,FIND("/",A424,FIND("//",A424)+2),2000),A424))</f>
        <v/>
      </c>
      <c r="P424" s="22">
        <f>IF(OR(O424="",N424="",N424="none",N424="404"),"",IF(N424="410","Redirect gone "&amp;O424,"Redirect "&amp;N424&amp;" "&amp;O424&amp;" "&amp;M424))</f>
        <v/>
      </c>
      <c r="Q424" s="22" t="n"/>
      <c r="R424" s="22" t="n"/>
      <c r="S424" s="22" t="n"/>
      <c r="T424" s="4">
        <f>IF(A424="","",TRIM(IF(K424="","Needs decision; ","")&amp;IF(AND(K424="Accept suggestion",F424=""),"No suggestion to accept; ","")&amp;IF(AND(K424="Override",L424=""),"Override URL missing; ","")&amp;IF(AND(K424="Accept suggestion",N(G424)&lt;$G$2),"Below your threshold; ","")&amp;IF(AND(M424&lt;&gt;"",M424=A424,K424&lt;&gt;"No change (same URL)"),"Redirects to itself; ","")&amp;IF(AND(M424&lt;&gt;"",OR(M424="/",AND(LEFT(M424,4)="http",OR((LEN(M424)-LEN(SUBSTITUTE(M424,"/","")))=2,AND((LEN(M424)-LEN(SUBSTITUTE(M424,"/","")))=3,RIGHT(M424,1)="/"))))),"Home page redirect; ","")&amp;IF(N(R424)&gt;1,"Chain; ","")&amp;IF(S424="No","Destination not 200; ","")))</f>
        <v/>
      </c>
      <c r="U424" s="22" t="n"/>
      <c r="V424" s="22" t="n"/>
      <c r="W424" s="4" t="n"/>
    </row>
    <row r="425">
      <c r="A425" s="22" t="n"/>
      <c r="B425" s="22" t="n"/>
      <c r="C425" s="22" t="n"/>
      <c r="D425" s="22">
        <f>IF(A425="","",IF(OR(N(B425)&gt;=$C$2,N(C425)&gt;=$E$2),"High",IF(OR(N(B425)&gt;0,N(C425)&gt;0),"Medium","Low")))</f>
        <v/>
      </c>
      <c r="E425" s="22" t="n"/>
      <c r="F425" s="22" t="n"/>
      <c r="G425" s="22" t="n"/>
      <c r="H425" s="22" t="n"/>
      <c r="I425" s="22" t="n"/>
      <c r="J425" s="22" t="n"/>
      <c r="K425" s="22" t="n"/>
      <c r="L425" s="22" t="n"/>
      <c r="M425" s="22">
        <f>IF(K425="Override",L425,IF(K425="Accept suggestion",F425,IF(K425="No change (same URL)",A425,"")))</f>
        <v/>
      </c>
      <c r="N425" s="22">
        <f>IF(A425="","",IF(K425="410 Gone","410",IF(K425="404","404",IF(K425="No change (same URL)","none",IF(M425="","","301")))))</f>
        <v/>
      </c>
      <c r="O425" s="22">
        <f>IF(A425="","",IFERROR(MID(A425,FIND("/",A425,FIND("//",A425)+2),2000),A425))</f>
        <v/>
      </c>
      <c r="P425" s="22">
        <f>IF(OR(O425="",N425="",N425="none",N425="404"),"",IF(N425="410","Redirect gone "&amp;O425,"Redirect "&amp;N425&amp;" "&amp;O425&amp;" "&amp;M425))</f>
        <v/>
      </c>
      <c r="Q425" s="22" t="n"/>
      <c r="R425" s="22" t="n"/>
      <c r="S425" s="22" t="n"/>
      <c r="T425" s="4">
        <f>IF(A425="","",TRIM(IF(K425="","Needs decision; ","")&amp;IF(AND(K425="Accept suggestion",F425=""),"No suggestion to accept; ","")&amp;IF(AND(K425="Override",L425=""),"Override URL missing; ","")&amp;IF(AND(K425="Accept suggestion",N(G425)&lt;$G$2),"Below your threshold; ","")&amp;IF(AND(M425&lt;&gt;"",M425=A425,K425&lt;&gt;"No change (same URL)"),"Redirects to itself; ","")&amp;IF(AND(M425&lt;&gt;"",OR(M425="/",AND(LEFT(M425,4)="http",OR((LEN(M425)-LEN(SUBSTITUTE(M425,"/","")))=2,AND((LEN(M425)-LEN(SUBSTITUTE(M425,"/","")))=3,RIGHT(M425,1)="/"))))),"Home page redirect; ","")&amp;IF(N(R425)&gt;1,"Chain; ","")&amp;IF(S425="No","Destination not 200; ","")))</f>
        <v/>
      </c>
      <c r="U425" s="22" t="n"/>
      <c r="V425" s="22" t="n"/>
      <c r="W425" s="4" t="n"/>
    </row>
    <row r="426">
      <c r="A426" s="22" t="n"/>
      <c r="B426" s="22" t="n"/>
      <c r="C426" s="22" t="n"/>
      <c r="D426" s="22">
        <f>IF(A426="","",IF(OR(N(B426)&gt;=$C$2,N(C426)&gt;=$E$2),"High",IF(OR(N(B426)&gt;0,N(C426)&gt;0),"Medium","Low")))</f>
        <v/>
      </c>
      <c r="E426" s="22" t="n"/>
      <c r="F426" s="22" t="n"/>
      <c r="G426" s="22" t="n"/>
      <c r="H426" s="22" t="n"/>
      <c r="I426" s="22" t="n"/>
      <c r="J426" s="22" t="n"/>
      <c r="K426" s="22" t="n"/>
      <c r="L426" s="22" t="n"/>
      <c r="M426" s="22">
        <f>IF(K426="Override",L426,IF(K426="Accept suggestion",F426,IF(K426="No change (same URL)",A426,"")))</f>
        <v/>
      </c>
      <c r="N426" s="22">
        <f>IF(A426="","",IF(K426="410 Gone","410",IF(K426="404","404",IF(K426="No change (same URL)","none",IF(M426="","","301")))))</f>
        <v/>
      </c>
      <c r="O426" s="22">
        <f>IF(A426="","",IFERROR(MID(A426,FIND("/",A426,FIND("//",A426)+2),2000),A426))</f>
        <v/>
      </c>
      <c r="P426" s="22">
        <f>IF(OR(O426="",N426="",N426="none",N426="404"),"",IF(N426="410","Redirect gone "&amp;O426,"Redirect "&amp;N426&amp;" "&amp;O426&amp;" "&amp;M426))</f>
        <v/>
      </c>
      <c r="Q426" s="22" t="n"/>
      <c r="R426" s="22" t="n"/>
      <c r="S426" s="22" t="n"/>
      <c r="T426" s="4">
        <f>IF(A426="","",TRIM(IF(K426="","Needs decision; ","")&amp;IF(AND(K426="Accept suggestion",F426=""),"No suggestion to accept; ","")&amp;IF(AND(K426="Override",L426=""),"Override URL missing; ","")&amp;IF(AND(K426="Accept suggestion",N(G426)&lt;$G$2),"Below your threshold; ","")&amp;IF(AND(M426&lt;&gt;"",M426=A426,K426&lt;&gt;"No change (same URL)"),"Redirects to itself; ","")&amp;IF(AND(M426&lt;&gt;"",OR(M426="/",AND(LEFT(M426,4)="http",OR((LEN(M426)-LEN(SUBSTITUTE(M426,"/","")))=2,AND((LEN(M426)-LEN(SUBSTITUTE(M426,"/","")))=3,RIGHT(M426,1)="/"))))),"Home page redirect; ","")&amp;IF(N(R426)&gt;1,"Chain; ","")&amp;IF(S426="No","Destination not 200; ","")))</f>
        <v/>
      </c>
      <c r="U426" s="22" t="n"/>
      <c r="V426" s="22" t="n"/>
      <c r="W426" s="4" t="n"/>
    </row>
    <row r="427">
      <c r="A427" s="22" t="n"/>
      <c r="B427" s="22" t="n"/>
      <c r="C427" s="22" t="n"/>
      <c r="D427" s="22">
        <f>IF(A427="","",IF(OR(N(B427)&gt;=$C$2,N(C427)&gt;=$E$2),"High",IF(OR(N(B427)&gt;0,N(C427)&gt;0),"Medium","Low")))</f>
        <v/>
      </c>
      <c r="E427" s="22" t="n"/>
      <c r="F427" s="22" t="n"/>
      <c r="G427" s="22" t="n"/>
      <c r="H427" s="22" t="n"/>
      <c r="I427" s="22" t="n"/>
      <c r="J427" s="22" t="n"/>
      <c r="K427" s="22" t="n"/>
      <c r="L427" s="22" t="n"/>
      <c r="M427" s="22">
        <f>IF(K427="Override",L427,IF(K427="Accept suggestion",F427,IF(K427="No change (same URL)",A427,"")))</f>
        <v/>
      </c>
      <c r="N427" s="22">
        <f>IF(A427="","",IF(K427="410 Gone","410",IF(K427="404","404",IF(K427="No change (same URL)","none",IF(M427="","","301")))))</f>
        <v/>
      </c>
      <c r="O427" s="22">
        <f>IF(A427="","",IFERROR(MID(A427,FIND("/",A427,FIND("//",A427)+2),2000),A427))</f>
        <v/>
      </c>
      <c r="P427" s="22">
        <f>IF(OR(O427="",N427="",N427="none",N427="404"),"",IF(N427="410","Redirect gone "&amp;O427,"Redirect "&amp;N427&amp;" "&amp;O427&amp;" "&amp;M427))</f>
        <v/>
      </c>
      <c r="Q427" s="22" t="n"/>
      <c r="R427" s="22" t="n"/>
      <c r="S427" s="22" t="n"/>
      <c r="T427" s="4">
        <f>IF(A427="","",TRIM(IF(K427="","Needs decision; ","")&amp;IF(AND(K427="Accept suggestion",F427=""),"No suggestion to accept; ","")&amp;IF(AND(K427="Override",L427=""),"Override URL missing; ","")&amp;IF(AND(K427="Accept suggestion",N(G427)&lt;$G$2),"Below your threshold; ","")&amp;IF(AND(M427&lt;&gt;"",M427=A427,K427&lt;&gt;"No change (same URL)"),"Redirects to itself; ","")&amp;IF(AND(M427&lt;&gt;"",OR(M427="/",AND(LEFT(M427,4)="http",OR((LEN(M427)-LEN(SUBSTITUTE(M427,"/","")))=2,AND((LEN(M427)-LEN(SUBSTITUTE(M427,"/","")))=3,RIGHT(M427,1)="/"))))),"Home page redirect; ","")&amp;IF(N(R427)&gt;1,"Chain; ","")&amp;IF(S427="No","Destination not 200; ","")))</f>
        <v/>
      </c>
      <c r="U427" s="22" t="n"/>
      <c r="V427" s="22" t="n"/>
      <c r="W427" s="4" t="n"/>
    </row>
    <row r="428">
      <c r="A428" s="22" t="n"/>
      <c r="B428" s="22" t="n"/>
      <c r="C428" s="22" t="n"/>
      <c r="D428" s="22">
        <f>IF(A428="","",IF(OR(N(B428)&gt;=$C$2,N(C428)&gt;=$E$2),"High",IF(OR(N(B428)&gt;0,N(C428)&gt;0),"Medium","Low")))</f>
        <v/>
      </c>
      <c r="E428" s="22" t="n"/>
      <c r="F428" s="22" t="n"/>
      <c r="G428" s="22" t="n"/>
      <c r="H428" s="22" t="n"/>
      <c r="I428" s="22" t="n"/>
      <c r="J428" s="22" t="n"/>
      <c r="K428" s="22" t="n"/>
      <c r="L428" s="22" t="n"/>
      <c r="M428" s="22">
        <f>IF(K428="Override",L428,IF(K428="Accept suggestion",F428,IF(K428="No change (same URL)",A428,"")))</f>
        <v/>
      </c>
      <c r="N428" s="22">
        <f>IF(A428="","",IF(K428="410 Gone","410",IF(K428="404","404",IF(K428="No change (same URL)","none",IF(M428="","","301")))))</f>
        <v/>
      </c>
      <c r="O428" s="22">
        <f>IF(A428="","",IFERROR(MID(A428,FIND("/",A428,FIND("//",A428)+2),2000),A428))</f>
        <v/>
      </c>
      <c r="P428" s="22">
        <f>IF(OR(O428="",N428="",N428="none",N428="404"),"",IF(N428="410","Redirect gone "&amp;O428,"Redirect "&amp;N428&amp;" "&amp;O428&amp;" "&amp;M428))</f>
        <v/>
      </c>
      <c r="Q428" s="22" t="n"/>
      <c r="R428" s="22" t="n"/>
      <c r="S428" s="22" t="n"/>
      <c r="T428" s="4">
        <f>IF(A428="","",TRIM(IF(K428="","Needs decision; ","")&amp;IF(AND(K428="Accept suggestion",F428=""),"No suggestion to accept; ","")&amp;IF(AND(K428="Override",L428=""),"Override URL missing; ","")&amp;IF(AND(K428="Accept suggestion",N(G428)&lt;$G$2),"Below your threshold; ","")&amp;IF(AND(M428&lt;&gt;"",M428=A428,K428&lt;&gt;"No change (same URL)"),"Redirects to itself; ","")&amp;IF(AND(M428&lt;&gt;"",OR(M428="/",AND(LEFT(M428,4)="http",OR((LEN(M428)-LEN(SUBSTITUTE(M428,"/","")))=2,AND((LEN(M428)-LEN(SUBSTITUTE(M428,"/","")))=3,RIGHT(M428,1)="/"))))),"Home page redirect; ","")&amp;IF(N(R428)&gt;1,"Chain; ","")&amp;IF(S428="No","Destination not 200; ","")))</f>
        <v/>
      </c>
      <c r="U428" s="22" t="n"/>
      <c r="V428" s="22" t="n"/>
      <c r="W428" s="4" t="n"/>
    </row>
    <row r="429">
      <c r="A429" s="22" t="n"/>
      <c r="B429" s="22" t="n"/>
      <c r="C429" s="22" t="n"/>
      <c r="D429" s="22">
        <f>IF(A429="","",IF(OR(N(B429)&gt;=$C$2,N(C429)&gt;=$E$2),"High",IF(OR(N(B429)&gt;0,N(C429)&gt;0),"Medium","Low")))</f>
        <v/>
      </c>
      <c r="E429" s="22" t="n"/>
      <c r="F429" s="22" t="n"/>
      <c r="G429" s="22" t="n"/>
      <c r="H429" s="22" t="n"/>
      <c r="I429" s="22" t="n"/>
      <c r="J429" s="22" t="n"/>
      <c r="K429" s="22" t="n"/>
      <c r="L429" s="22" t="n"/>
      <c r="M429" s="22">
        <f>IF(K429="Override",L429,IF(K429="Accept suggestion",F429,IF(K429="No change (same URL)",A429,"")))</f>
        <v/>
      </c>
      <c r="N429" s="22">
        <f>IF(A429="","",IF(K429="410 Gone","410",IF(K429="404","404",IF(K429="No change (same URL)","none",IF(M429="","","301")))))</f>
        <v/>
      </c>
      <c r="O429" s="22">
        <f>IF(A429="","",IFERROR(MID(A429,FIND("/",A429,FIND("//",A429)+2),2000),A429))</f>
        <v/>
      </c>
      <c r="P429" s="22">
        <f>IF(OR(O429="",N429="",N429="none",N429="404"),"",IF(N429="410","Redirect gone "&amp;O429,"Redirect "&amp;N429&amp;" "&amp;O429&amp;" "&amp;M429))</f>
        <v/>
      </c>
      <c r="Q429" s="22" t="n"/>
      <c r="R429" s="22" t="n"/>
      <c r="S429" s="22" t="n"/>
      <c r="T429" s="4">
        <f>IF(A429="","",TRIM(IF(K429="","Needs decision; ","")&amp;IF(AND(K429="Accept suggestion",F429=""),"No suggestion to accept; ","")&amp;IF(AND(K429="Override",L429=""),"Override URL missing; ","")&amp;IF(AND(K429="Accept suggestion",N(G429)&lt;$G$2),"Below your threshold; ","")&amp;IF(AND(M429&lt;&gt;"",M429=A429,K429&lt;&gt;"No change (same URL)"),"Redirects to itself; ","")&amp;IF(AND(M429&lt;&gt;"",OR(M429="/",AND(LEFT(M429,4)="http",OR((LEN(M429)-LEN(SUBSTITUTE(M429,"/","")))=2,AND((LEN(M429)-LEN(SUBSTITUTE(M429,"/","")))=3,RIGHT(M429,1)="/"))))),"Home page redirect; ","")&amp;IF(N(R429)&gt;1,"Chain; ","")&amp;IF(S429="No","Destination not 200; ","")))</f>
        <v/>
      </c>
      <c r="U429" s="22" t="n"/>
      <c r="V429" s="22" t="n"/>
      <c r="W429" s="4" t="n"/>
    </row>
    <row r="430">
      <c r="A430" s="22" t="n"/>
      <c r="B430" s="22" t="n"/>
      <c r="C430" s="22" t="n"/>
      <c r="D430" s="22">
        <f>IF(A430="","",IF(OR(N(B430)&gt;=$C$2,N(C430)&gt;=$E$2),"High",IF(OR(N(B430)&gt;0,N(C430)&gt;0),"Medium","Low")))</f>
        <v/>
      </c>
      <c r="E430" s="22" t="n"/>
      <c r="F430" s="22" t="n"/>
      <c r="G430" s="22" t="n"/>
      <c r="H430" s="22" t="n"/>
      <c r="I430" s="22" t="n"/>
      <c r="J430" s="22" t="n"/>
      <c r="K430" s="22" t="n"/>
      <c r="L430" s="22" t="n"/>
      <c r="M430" s="22">
        <f>IF(K430="Override",L430,IF(K430="Accept suggestion",F430,IF(K430="No change (same URL)",A430,"")))</f>
        <v/>
      </c>
      <c r="N430" s="22">
        <f>IF(A430="","",IF(K430="410 Gone","410",IF(K430="404","404",IF(K430="No change (same URL)","none",IF(M430="","","301")))))</f>
        <v/>
      </c>
      <c r="O430" s="22">
        <f>IF(A430="","",IFERROR(MID(A430,FIND("/",A430,FIND("//",A430)+2),2000),A430))</f>
        <v/>
      </c>
      <c r="P430" s="22">
        <f>IF(OR(O430="",N430="",N430="none",N430="404"),"",IF(N430="410","Redirect gone "&amp;O430,"Redirect "&amp;N430&amp;" "&amp;O430&amp;" "&amp;M430))</f>
        <v/>
      </c>
      <c r="Q430" s="22" t="n"/>
      <c r="R430" s="22" t="n"/>
      <c r="S430" s="22" t="n"/>
      <c r="T430" s="4">
        <f>IF(A430="","",TRIM(IF(K430="","Needs decision; ","")&amp;IF(AND(K430="Accept suggestion",F430=""),"No suggestion to accept; ","")&amp;IF(AND(K430="Override",L430=""),"Override URL missing; ","")&amp;IF(AND(K430="Accept suggestion",N(G430)&lt;$G$2),"Below your threshold; ","")&amp;IF(AND(M430&lt;&gt;"",M430=A430,K430&lt;&gt;"No change (same URL)"),"Redirects to itself; ","")&amp;IF(AND(M430&lt;&gt;"",OR(M430="/",AND(LEFT(M430,4)="http",OR((LEN(M430)-LEN(SUBSTITUTE(M430,"/","")))=2,AND((LEN(M430)-LEN(SUBSTITUTE(M430,"/","")))=3,RIGHT(M430,1)="/"))))),"Home page redirect; ","")&amp;IF(N(R430)&gt;1,"Chain; ","")&amp;IF(S430="No","Destination not 200; ","")))</f>
        <v/>
      </c>
      <c r="U430" s="22" t="n"/>
      <c r="V430" s="22" t="n"/>
      <c r="W430" s="4" t="n"/>
    </row>
    <row r="431">
      <c r="A431" s="22" t="n"/>
      <c r="B431" s="22" t="n"/>
      <c r="C431" s="22" t="n"/>
      <c r="D431" s="22">
        <f>IF(A431="","",IF(OR(N(B431)&gt;=$C$2,N(C431)&gt;=$E$2),"High",IF(OR(N(B431)&gt;0,N(C431)&gt;0),"Medium","Low")))</f>
        <v/>
      </c>
      <c r="E431" s="22" t="n"/>
      <c r="F431" s="22" t="n"/>
      <c r="G431" s="22" t="n"/>
      <c r="H431" s="22" t="n"/>
      <c r="I431" s="22" t="n"/>
      <c r="J431" s="22" t="n"/>
      <c r="K431" s="22" t="n"/>
      <c r="L431" s="22" t="n"/>
      <c r="M431" s="22">
        <f>IF(K431="Override",L431,IF(K431="Accept suggestion",F431,IF(K431="No change (same URL)",A431,"")))</f>
        <v/>
      </c>
      <c r="N431" s="22">
        <f>IF(A431="","",IF(K431="410 Gone","410",IF(K431="404","404",IF(K431="No change (same URL)","none",IF(M431="","","301")))))</f>
        <v/>
      </c>
      <c r="O431" s="22">
        <f>IF(A431="","",IFERROR(MID(A431,FIND("/",A431,FIND("//",A431)+2),2000),A431))</f>
        <v/>
      </c>
      <c r="P431" s="22">
        <f>IF(OR(O431="",N431="",N431="none",N431="404"),"",IF(N431="410","Redirect gone "&amp;O431,"Redirect "&amp;N431&amp;" "&amp;O431&amp;" "&amp;M431))</f>
        <v/>
      </c>
      <c r="Q431" s="22" t="n"/>
      <c r="R431" s="22" t="n"/>
      <c r="S431" s="22" t="n"/>
      <c r="T431" s="4">
        <f>IF(A431="","",TRIM(IF(K431="","Needs decision; ","")&amp;IF(AND(K431="Accept suggestion",F431=""),"No suggestion to accept; ","")&amp;IF(AND(K431="Override",L431=""),"Override URL missing; ","")&amp;IF(AND(K431="Accept suggestion",N(G431)&lt;$G$2),"Below your threshold; ","")&amp;IF(AND(M431&lt;&gt;"",M431=A431,K431&lt;&gt;"No change (same URL)"),"Redirects to itself; ","")&amp;IF(AND(M431&lt;&gt;"",OR(M431="/",AND(LEFT(M431,4)="http",OR((LEN(M431)-LEN(SUBSTITUTE(M431,"/","")))=2,AND((LEN(M431)-LEN(SUBSTITUTE(M431,"/","")))=3,RIGHT(M431,1)="/"))))),"Home page redirect; ","")&amp;IF(N(R431)&gt;1,"Chain; ","")&amp;IF(S431="No","Destination not 200; ","")))</f>
        <v/>
      </c>
      <c r="U431" s="22" t="n"/>
      <c r="V431" s="22" t="n"/>
      <c r="W431" s="4" t="n"/>
    </row>
    <row r="432">
      <c r="A432" s="22" t="n"/>
      <c r="B432" s="22" t="n"/>
      <c r="C432" s="22" t="n"/>
      <c r="D432" s="22">
        <f>IF(A432="","",IF(OR(N(B432)&gt;=$C$2,N(C432)&gt;=$E$2),"High",IF(OR(N(B432)&gt;0,N(C432)&gt;0),"Medium","Low")))</f>
        <v/>
      </c>
      <c r="E432" s="22" t="n"/>
      <c r="F432" s="22" t="n"/>
      <c r="G432" s="22" t="n"/>
      <c r="H432" s="22" t="n"/>
      <c r="I432" s="22" t="n"/>
      <c r="J432" s="22" t="n"/>
      <c r="K432" s="22" t="n"/>
      <c r="L432" s="22" t="n"/>
      <c r="M432" s="22">
        <f>IF(K432="Override",L432,IF(K432="Accept suggestion",F432,IF(K432="No change (same URL)",A432,"")))</f>
        <v/>
      </c>
      <c r="N432" s="22">
        <f>IF(A432="","",IF(K432="410 Gone","410",IF(K432="404","404",IF(K432="No change (same URL)","none",IF(M432="","","301")))))</f>
        <v/>
      </c>
      <c r="O432" s="22">
        <f>IF(A432="","",IFERROR(MID(A432,FIND("/",A432,FIND("//",A432)+2),2000),A432))</f>
        <v/>
      </c>
      <c r="P432" s="22">
        <f>IF(OR(O432="",N432="",N432="none",N432="404"),"",IF(N432="410","Redirect gone "&amp;O432,"Redirect "&amp;N432&amp;" "&amp;O432&amp;" "&amp;M432))</f>
        <v/>
      </c>
      <c r="Q432" s="22" t="n"/>
      <c r="R432" s="22" t="n"/>
      <c r="S432" s="22" t="n"/>
      <c r="T432" s="4">
        <f>IF(A432="","",TRIM(IF(K432="","Needs decision; ","")&amp;IF(AND(K432="Accept suggestion",F432=""),"No suggestion to accept; ","")&amp;IF(AND(K432="Override",L432=""),"Override URL missing; ","")&amp;IF(AND(K432="Accept suggestion",N(G432)&lt;$G$2),"Below your threshold; ","")&amp;IF(AND(M432&lt;&gt;"",M432=A432,K432&lt;&gt;"No change (same URL)"),"Redirects to itself; ","")&amp;IF(AND(M432&lt;&gt;"",OR(M432="/",AND(LEFT(M432,4)="http",OR((LEN(M432)-LEN(SUBSTITUTE(M432,"/","")))=2,AND((LEN(M432)-LEN(SUBSTITUTE(M432,"/","")))=3,RIGHT(M432,1)="/"))))),"Home page redirect; ","")&amp;IF(N(R432)&gt;1,"Chain; ","")&amp;IF(S432="No","Destination not 200; ","")))</f>
        <v/>
      </c>
      <c r="U432" s="22" t="n"/>
      <c r="V432" s="22" t="n"/>
      <c r="W432" s="4" t="n"/>
    </row>
    <row r="433">
      <c r="A433" s="22" t="n"/>
      <c r="B433" s="22" t="n"/>
      <c r="C433" s="22" t="n"/>
      <c r="D433" s="22">
        <f>IF(A433="","",IF(OR(N(B433)&gt;=$C$2,N(C433)&gt;=$E$2),"High",IF(OR(N(B433)&gt;0,N(C433)&gt;0),"Medium","Low")))</f>
        <v/>
      </c>
      <c r="E433" s="22" t="n"/>
      <c r="F433" s="22" t="n"/>
      <c r="G433" s="22" t="n"/>
      <c r="H433" s="22" t="n"/>
      <c r="I433" s="22" t="n"/>
      <c r="J433" s="22" t="n"/>
      <c r="K433" s="22" t="n"/>
      <c r="L433" s="22" t="n"/>
      <c r="M433" s="22">
        <f>IF(K433="Override",L433,IF(K433="Accept suggestion",F433,IF(K433="No change (same URL)",A433,"")))</f>
        <v/>
      </c>
      <c r="N433" s="22">
        <f>IF(A433="","",IF(K433="410 Gone","410",IF(K433="404","404",IF(K433="No change (same URL)","none",IF(M433="","","301")))))</f>
        <v/>
      </c>
      <c r="O433" s="22">
        <f>IF(A433="","",IFERROR(MID(A433,FIND("/",A433,FIND("//",A433)+2),2000),A433))</f>
        <v/>
      </c>
      <c r="P433" s="22">
        <f>IF(OR(O433="",N433="",N433="none",N433="404"),"",IF(N433="410","Redirect gone "&amp;O433,"Redirect "&amp;N433&amp;" "&amp;O433&amp;" "&amp;M433))</f>
        <v/>
      </c>
      <c r="Q433" s="22" t="n"/>
      <c r="R433" s="22" t="n"/>
      <c r="S433" s="22" t="n"/>
      <c r="T433" s="4">
        <f>IF(A433="","",TRIM(IF(K433="","Needs decision; ","")&amp;IF(AND(K433="Accept suggestion",F433=""),"No suggestion to accept; ","")&amp;IF(AND(K433="Override",L433=""),"Override URL missing; ","")&amp;IF(AND(K433="Accept suggestion",N(G433)&lt;$G$2),"Below your threshold; ","")&amp;IF(AND(M433&lt;&gt;"",M433=A433,K433&lt;&gt;"No change (same URL)"),"Redirects to itself; ","")&amp;IF(AND(M433&lt;&gt;"",OR(M433="/",AND(LEFT(M433,4)="http",OR((LEN(M433)-LEN(SUBSTITUTE(M433,"/","")))=2,AND((LEN(M433)-LEN(SUBSTITUTE(M433,"/","")))=3,RIGHT(M433,1)="/"))))),"Home page redirect; ","")&amp;IF(N(R433)&gt;1,"Chain; ","")&amp;IF(S433="No","Destination not 200; ","")))</f>
        <v/>
      </c>
      <c r="U433" s="22" t="n"/>
      <c r="V433" s="22" t="n"/>
      <c r="W433" s="4" t="n"/>
    </row>
    <row r="434">
      <c r="A434" s="22" t="n"/>
      <c r="B434" s="22" t="n"/>
      <c r="C434" s="22" t="n"/>
      <c r="D434" s="22">
        <f>IF(A434="","",IF(OR(N(B434)&gt;=$C$2,N(C434)&gt;=$E$2),"High",IF(OR(N(B434)&gt;0,N(C434)&gt;0),"Medium","Low")))</f>
        <v/>
      </c>
      <c r="E434" s="22" t="n"/>
      <c r="F434" s="22" t="n"/>
      <c r="G434" s="22" t="n"/>
      <c r="H434" s="22" t="n"/>
      <c r="I434" s="22" t="n"/>
      <c r="J434" s="22" t="n"/>
      <c r="K434" s="22" t="n"/>
      <c r="L434" s="22" t="n"/>
      <c r="M434" s="22">
        <f>IF(K434="Override",L434,IF(K434="Accept suggestion",F434,IF(K434="No change (same URL)",A434,"")))</f>
        <v/>
      </c>
      <c r="N434" s="22">
        <f>IF(A434="","",IF(K434="410 Gone","410",IF(K434="404","404",IF(K434="No change (same URL)","none",IF(M434="","","301")))))</f>
        <v/>
      </c>
      <c r="O434" s="22">
        <f>IF(A434="","",IFERROR(MID(A434,FIND("/",A434,FIND("//",A434)+2),2000),A434))</f>
        <v/>
      </c>
      <c r="P434" s="22">
        <f>IF(OR(O434="",N434="",N434="none",N434="404"),"",IF(N434="410","Redirect gone "&amp;O434,"Redirect "&amp;N434&amp;" "&amp;O434&amp;" "&amp;M434))</f>
        <v/>
      </c>
      <c r="Q434" s="22" t="n"/>
      <c r="R434" s="22" t="n"/>
      <c r="S434" s="22" t="n"/>
      <c r="T434" s="4">
        <f>IF(A434="","",TRIM(IF(K434="","Needs decision; ","")&amp;IF(AND(K434="Accept suggestion",F434=""),"No suggestion to accept; ","")&amp;IF(AND(K434="Override",L434=""),"Override URL missing; ","")&amp;IF(AND(K434="Accept suggestion",N(G434)&lt;$G$2),"Below your threshold; ","")&amp;IF(AND(M434&lt;&gt;"",M434=A434,K434&lt;&gt;"No change (same URL)"),"Redirects to itself; ","")&amp;IF(AND(M434&lt;&gt;"",OR(M434="/",AND(LEFT(M434,4)="http",OR((LEN(M434)-LEN(SUBSTITUTE(M434,"/","")))=2,AND((LEN(M434)-LEN(SUBSTITUTE(M434,"/","")))=3,RIGHT(M434,1)="/"))))),"Home page redirect; ","")&amp;IF(N(R434)&gt;1,"Chain; ","")&amp;IF(S434="No","Destination not 200; ","")))</f>
        <v/>
      </c>
      <c r="U434" s="22" t="n"/>
      <c r="V434" s="22" t="n"/>
      <c r="W434" s="4" t="n"/>
    </row>
    <row r="435">
      <c r="A435" s="22" t="n"/>
      <c r="B435" s="22" t="n"/>
      <c r="C435" s="22" t="n"/>
      <c r="D435" s="22">
        <f>IF(A435="","",IF(OR(N(B435)&gt;=$C$2,N(C435)&gt;=$E$2),"High",IF(OR(N(B435)&gt;0,N(C435)&gt;0),"Medium","Low")))</f>
        <v/>
      </c>
      <c r="E435" s="22" t="n"/>
      <c r="F435" s="22" t="n"/>
      <c r="G435" s="22" t="n"/>
      <c r="H435" s="22" t="n"/>
      <c r="I435" s="22" t="n"/>
      <c r="J435" s="22" t="n"/>
      <c r="K435" s="22" t="n"/>
      <c r="L435" s="22" t="n"/>
      <c r="M435" s="22">
        <f>IF(K435="Override",L435,IF(K435="Accept suggestion",F435,IF(K435="No change (same URL)",A435,"")))</f>
        <v/>
      </c>
      <c r="N435" s="22">
        <f>IF(A435="","",IF(K435="410 Gone","410",IF(K435="404","404",IF(K435="No change (same URL)","none",IF(M435="","","301")))))</f>
        <v/>
      </c>
      <c r="O435" s="22">
        <f>IF(A435="","",IFERROR(MID(A435,FIND("/",A435,FIND("//",A435)+2),2000),A435))</f>
        <v/>
      </c>
      <c r="P435" s="22">
        <f>IF(OR(O435="",N435="",N435="none",N435="404"),"",IF(N435="410","Redirect gone "&amp;O435,"Redirect "&amp;N435&amp;" "&amp;O435&amp;" "&amp;M435))</f>
        <v/>
      </c>
      <c r="Q435" s="22" t="n"/>
      <c r="R435" s="22" t="n"/>
      <c r="S435" s="22" t="n"/>
      <c r="T435" s="4">
        <f>IF(A435="","",TRIM(IF(K435="","Needs decision; ","")&amp;IF(AND(K435="Accept suggestion",F435=""),"No suggestion to accept; ","")&amp;IF(AND(K435="Override",L435=""),"Override URL missing; ","")&amp;IF(AND(K435="Accept suggestion",N(G435)&lt;$G$2),"Below your threshold; ","")&amp;IF(AND(M435&lt;&gt;"",M435=A435,K435&lt;&gt;"No change (same URL)"),"Redirects to itself; ","")&amp;IF(AND(M435&lt;&gt;"",OR(M435="/",AND(LEFT(M435,4)="http",OR((LEN(M435)-LEN(SUBSTITUTE(M435,"/","")))=2,AND((LEN(M435)-LEN(SUBSTITUTE(M435,"/","")))=3,RIGHT(M435,1)="/"))))),"Home page redirect; ","")&amp;IF(N(R435)&gt;1,"Chain; ","")&amp;IF(S435="No","Destination not 200; ","")))</f>
        <v/>
      </c>
      <c r="U435" s="22" t="n"/>
      <c r="V435" s="22" t="n"/>
      <c r="W435" s="4" t="n"/>
    </row>
    <row r="436">
      <c r="A436" s="22" t="n"/>
      <c r="B436" s="22" t="n"/>
      <c r="C436" s="22" t="n"/>
      <c r="D436" s="22">
        <f>IF(A436="","",IF(OR(N(B436)&gt;=$C$2,N(C436)&gt;=$E$2),"High",IF(OR(N(B436)&gt;0,N(C436)&gt;0),"Medium","Low")))</f>
        <v/>
      </c>
      <c r="E436" s="22" t="n"/>
      <c r="F436" s="22" t="n"/>
      <c r="G436" s="22" t="n"/>
      <c r="H436" s="22" t="n"/>
      <c r="I436" s="22" t="n"/>
      <c r="J436" s="22" t="n"/>
      <c r="K436" s="22" t="n"/>
      <c r="L436" s="22" t="n"/>
      <c r="M436" s="22">
        <f>IF(K436="Override",L436,IF(K436="Accept suggestion",F436,IF(K436="No change (same URL)",A436,"")))</f>
        <v/>
      </c>
      <c r="N436" s="22">
        <f>IF(A436="","",IF(K436="410 Gone","410",IF(K436="404","404",IF(K436="No change (same URL)","none",IF(M436="","","301")))))</f>
        <v/>
      </c>
      <c r="O436" s="22">
        <f>IF(A436="","",IFERROR(MID(A436,FIND("/",A436,FIND("//",A436)+2),2000),A436))</f>
        <v/>
      </c>
      <c r="P436" s="22">
        <f>IF(OR(O436="",N436="",N436="none",N436="404"),"",IF(N436="410","Redirect gone "&amp;O436,"Redirect "&amp;N436&amp;" "&amp;O436&amp;" "&amp;M436))</f>
        <v/>
      </c>
      <c r="Q436" s="22" t="n"/>
      <c r="R436" s="22" t="n"/>
      <c r="S436" s="22" t="n"/>
      <c r="T436" s="4">
        <f>IF(A436="","",TRIM(IF(K436="","Needs decision; ","")&amp;IF(AND(K436="Accept suggestion",F436=""),"No suggestion to accept; ","")&amp;IF(AND(K436="Override",L436=""),"Override URL missing; ","")&amp;IF(AND(K436="Accept suggestion",N(G436)&lt;$G$2),"Below your threshold; ","")&amp;IF(AND(M436&lt;&gt;"",M436=A436,K436&lt;&gt;"No change (same URL)"),"Redirects to itself; ","")&amp;IF(AND(M436&lt;&gt;"",OR(M436="/",AND(LEFT(M436,4)="http",OR((LEN(M436)-LEN(SUBSTITUTE(M436,"/","")))=2,AND((LEN(M436)-LEN(SUBSTITUTE(M436,"/","")))=3,RIGHT(M436,1)="/"))))),"Home page redirect; ","")&amp;IF(N(R436)&gt;1,"Chain; ","")&amp;IF(S436="No","Destination not 200; ","")))</f>
        <v/>
      </c>
      <c r="U436" s="22" t="n"/>
      <c r="V436" s="22" t="n"/>
      <c r="W436" s="4" t="n"/>
    </row>
    <row r="437">
      <c r="A437" s="22" t="n"/>
      <c r="B437" s="22" t="n"/>
      <c r="C437" s="22" t="n"/>
      <c r="D437" s="22">
        <f>IF(A437="","",IF(OR(N(B437)&gt;=$C$2,N(C437)&gt;=$E$2),"High",IF(OR(N(B437)&gt;0,N(C437)&gt;0),"Medium","Low")))</f>
        <v/>
      </c>
      <c r="E437" s="22" t="n"/>
      <c r="F437" s="22" t="n"/>
      <c r="G437" s="22" t="n"/>
      <c r="H437" s="22" t="n"/>
      <c r="I437" s="22" t="n"/>
      <c r="J437" s="22" t="n"/>
      <c r="K437" s="22" t="n"/>
      <c r="L437" s="22" t="n"/>
      <c r="M437" s="22">
        <f>IF(K437="Override",L437,IF(K437="Accept suggestion",F437,IF(K437="No change (same URL)",A437,"")))</f>
        <v/>
      </c>
      <c r="N437" s="22">
        <f>IF(A437="","",IF(K437="410 Gone","410",IF(K437="404","404",IF(K437="No change (same URL)","none",IF(M437="","","301")))))</f>
        <v/>
      </c>
      <c r="O437" s="22">
        <f>IF(A437="","",IFERROR(MID(A437,FIND("/",A437,FIND("//",A437)+2),2000),A437))</f>
        <v/>
      </c>
      <c r="P437" s="22">
        <f>IF(OR(O437="",N437="",N437="none",N437="404"),"",IF(N437="410","Redirect gone "&amp;O437,"Redirect "&amp;N437&amp;" "&amp;O437&amp;" "&amp;M437))</f>
        <v/>
      </c>
      <c r="Q437" s="22" t="n"/>
      <c r="R437" s="22" t="n"/>
      <c r="S437" s="22" t="n"/>
      <c r="T437" s="4">
        <f>IF(A437="","",TRIM(IF(K437="","Needs decision; ","")&amp;IF(AND(K437="Accept suggestion",F437=""),"No suggestion to accept; ","")&amp;IF(AND(K437="Override",L437=""),"Override URL missing; ","")&amp;IF(AND(K437="Accept suggestion",N(G437)&lt;$G$2),"Below your threshold; ","")&amp;IF(AND(M437&lt;&gt;"",M437=A437,K437&lt;&gt;"No change (same URL)"),"Redirects to itself; ","")&amp;IF(AND(M437&lt;&gt;"",OR(M437="/",AND(LEFT(M437,4)="http",OR((LEN(M437)-LEN(SUBSTITUTE(M437,"/","")))=2,AND((LEN(M437)-LEN(SUBSTITUTE(M437,"/","")))=3,RIGHT(M437,1)="/"))))),"Home page redirect; ","")&amp;IF(N(R437)&gt;1,"Chain; ","")&amp;IF(S437="No","Destination not 200; ","")))</f>
        <v/>
      </c>
      <c r="U437" s="22" t="n"/>
      <c r="V437" s="22" t="n"/>
      <c r="W437" s="4" t="n"/>
    </row>
    <row r="438">
      <c r="A438" s="22" t="n"/>
      <c r="B438" s="22" t="n"/>
      <c r="C438" s="22" t="n"/>
      <c r="D438" s="22">
        <f>IF(A438="","",IF(OR(N(B438)&gt;=$C$2,N(C438)&gt;=$E$2),"High",IF(OR(N(B438)&gt;0,N(C438)&gt;0),"Medium","Low")))</f>
        <v/>
      </c>
      <c r="E438" s="22" t="n"/>
      <c r="F438" s="22" t="n"/>
      <c r="G438" s="22" t="n"/>
      <c r="H438" s="22" t="n"/>
      <c r="I438" s="22" t="n"/>
      <c r="J438" s="22" t="n"/>
      <c r="K438" s="22" t="n"/>
      <c r="L438" s="22" t="n"/>
      <c r="M438" s="22">
        <f>IF(K438="Override",L438,IF(K438="Accept suggestion",F438,IF(K438="No change (same URL)",A438,"")))</f>
        <v/>
      </c>
      <c r="N438" s="22">
        <f>IF(A438="","",IF(K438="410 Gone","410",IF(K438="404","404",IF(K438="No change (same URL)","none",IF(M438="","","301")))))</f>
        <v/>
      </c>
      <c r="O438" s="22">
        <f>IF(A438="","",IFERROR(MID(A438,FIND("/",A438,FIND("//",A438)+2),2000),A438))</f>
        <v/>
      </c>
      <c r="P438" s="22">
        <f>IF(OR(O438="",N438="",N438="none",N438="404"),"",IF(N438="410","Redirect gone "&amp;O438,"Redirect "&amp;N438&amp;" "&amp;O438&amp;" "&amp;M438))</f>
        <v/>
      </c>
      <c r="Q438" s="22" t="n"/>
      <c r="R438" s="22" t="n"/>
      <c r="S438" s="22" t="n"/>
      <c r="T438" s="4">
        <f>IF(A438="","",TRIM(IF(K438="","Needs decision; ","")&amp;IF(AND(K438="Accept suggestion",F438=""),"No suggestion to accept; ","")&amp;IF(AND(K438="Override",L438=""),"Override URL missing; ","")&amp;IF(AND(K438="Accept suggestion",N(G438)&lt;$G$2),"Below your threshold; ","")&amp;IF(AND(M438&lt;&gt;"",M438=A438,K438&lt;&gt;"No change (same URL)"),"Redirects to itself; ","")&amp;IF(AND(M438&lt;&gt;"",OR(M438="/",AND(LEFT(M438,4)="http",OR((LEN(M438)-LEN(SUBSTITUTE(M438,"/","")))=2,AND((LEN(M438)-LEN(SUBSTITUTE(M438,"/","")))=3,RIGHT(M438,1)="/"))))),"Home page redirect; ","")&amp;IF(N(R438)&gt;1,"Chain; ","")&amp;IF(S438="No","Destination not 200; ","")))</f>
        <v/>
      </c>
      <c r="U438" s="22" t="n"/>
      <c r="V438" s="22" t="n"/>
      <c r="W438" s="4" t="n"/>
    </row>
    <row r="439">
      <c r="A439" s="22" t="n"/>
      <c r="B439" s="22" t="n"/>
      <c r="C439" s="22" t="n"/>
      <c r="D439" s="22">
        <f>IF(A439="","",IF(OR(N(B439)&gt;=$C$2,N(C439)&gt;=$E$2),"High",IF(OR(N(B439)&gt;0,N(C439)&gt;0),"Medium","Low")))</f>
        <v/>
      </c>
      <c r="E439" s="22" t="n"/>
      <c r="F439" s="22" t="n"/>
      <c r="G439" s="22" t="n"/>
      <c r="H439" s="22" t="n"/>
      <c r="I439" s="22" t="n"/>
      <c r="J439" s="22" t="n"/>
      <c r="K439" s="22" t="n"/>
      <c r="L439" s="22" t="n"/>
      <c r="M439" s="22">
        <f>IF(K439="Override",L439,IF(K439="Accept suggestion",F439,IF(K439="No change (same URL)",A439,"")))</f>
        <v/>
      </c>
      <c r="N439" s="22">
        <f>IF(A439="","",IF(K439="410 Gone","410",IF(K439="404","404",IF(K439="No change (same URL)","none",IF(M439="","","301")))))</f>
        <v/>
      </c>
      <c r="O439" s="22">
        <f>IF(A439="","",IFERROR(MID(A439,FIND("/",A439,FIND("//",A439)+2),2000),A439))</f>
        <v/>
      </c>
      <c r="P439" s="22">
        <f>IF(OR(O439="",N439="",N439="none",N439="404"),"",IF(N439="410","Redirect gone "&amp;O439,"Redirect "&amp;N439&amp;" "&amp;O439&amp;" "&amp;M439))</f>
        <v/>
      </c>
      <c r="Q439" s="22" t="n"/>
      <c r="R439" s="22" t="n"/>
      <c r="S439" s="22" t="n"/>
      <c r="T439" s="4">
        <f>IF(A439="","",TRIM(IF(K439="","Needs decision; ","")&amp;IF(AND(K439="Accept suggestion",F439=""),"No suggestion to accept; ","")&amp;IF(AND(K439="Override",L439=""),"Override URL missing; ","")&amp;IF(AND(K439="Accept suggestion",N(G439)&lt;$G$2),"Below your threshold; ","")&amp;IF(AND(M439&lt;&gt;"",M439=A439,K439&lt;&gt;"No change (same URL)"),"Redirects to itself; ","")&amp;IF(AND(M439&lt;&gt;"",OR(M439="/",AND(LEFT(M439,4)="http",OR((LEN(M439)-LEN(SUBSTITUTE(M439,"/","")))=2,AND((LEN(M439)-LEN(SUBSTITUTE(M439,"/","")))=3,RIGHT(M439,1)="/"))))),"Home page redirect; ","")&amp;IF(N(R439)&gt;1,"Chain; ","")&amp;IF(S439="No","Destination not 200; ","")))</f>
        <v/>
      </c>
      <c r="U439" s="22" t="n"/>
      <c r="V439" s="22" t="n"/>
      <c r="W439" s="4" t="n"/>
    </row>
    <row r="440">
      <c r="A440" s="22" t="n"/>
      <c r="B440" s="22" t="n"/>
      <c r="C440" s="22" t="n"/>
      <c r="D440" s="22">
        <f>IF(A440="","",IF(OR(N(B440)&gt;=$C$2,N(C440)&gt;=$E$2),"High",IF(OR(N(B440)&gt;0,N(C440)&gt;0),"Medium","Low")))</f>
        <v/>
      </c>
      <c r="E440" s="22" t="n"/>
      <c r="F440" s="22" t="n"/>
      <c r="G440" s="22" t="n"/>
      <c r="H440" s="22" t="n"/>
      <c r="I440" s="22" t="n"/>
      <c r="J440" s="22" t="n"/>
      <c r="K440" s="22" t="n"/>
      <c r="L440" s="22" t="n"/>
      <c r="M440" s="22">
        <f>IF(K440="Override",L440,IF(K440="Accept suggestion",F440,IF(K440="No change (same URL)",A440,"")))</f>
        <v/>
      </c>
      <c r="N440" s="22">
        <f>IF(A440="","",IF(K440="410 Gone","410",IF(K440="404","404",IF(K440="No change (same URL)","none",IF(M440="","","301")))))</f>
        <v/>
      </c>
      <c r="O440" s="22">
        <f>IF(A440="","",IFERROR(MID(A440,FIND("/",A440,FIND("//",A440)+2),2000),A440))</f>
        <v/>
      </c>
      <c r="P440" s="22">
        <f>IF(OR(O440="",N440="",N440="none",N440="404"),"",IF(N440="410","Redirect gone "&amp;O440,"Redirect "&amp;N440&amp;" "&amp;O440&amp;" "&amp;M440))</f>
        <v/>
      </c>
      <c r="Q440" s="22" t="n"/>
      <c r="R440" s="22" t="n"/>
      <c r="S440" s="22" t="n"/>
      <c r="T440" s="4">
        <f>IF(A440="","",TRIM(IF(K440="","Needs decision; ","")&amp;IF(AND(K440="Accept suggestion",F440=""),"No suggestion to accept; ","")&amp;IF(AND(K440="Override",L440=""),"Override URL missing; ","")&amp;IF(AND(K440="Accept suggestion",N(G440)&lt;$G$2),"Below your threshold; ","")&amp;IF(AND(M440&lt;&gt;"",M440=A440,K440&lt;&gt;"No change (same URL)"),"Redirects to itself; ","")&amp;IF(AND(M440&lt;&gt;"",OR(M440="/",AND(LEFT(M440,4)="http",OR((LEN(M440)-LEN(SUBSTITUTE(M440,"/","")))=2,AND((LEN(M440)-LEN(SUBSTITUTE(M440,"/","")))=3,RIGHT(M440,1)="/"))))),"Home page redirect; ","")&amp;IF(N(R440)&gt;1,"Chain; ","")&amp;IF(S440="No","Destination not 200; ","")))</f>
        <v/>
      </c>
      <c r="U440" s="22" t="n"/>
      <c r="V440" s="22" t="n"/>
      <c r="W440" s="4" t="n"/>
    </row>
    <row r="441">
      <c r="A441" s="22" t="n"/>
      <c r="B441" s="22" t="n"/>
      <c r="C441" s="22" t="n"/>
      <c r="D441" s="22">
        <f>IF(A441="","",IF(OR(N(B441)&gt;=$C$2,N(C441)&gt;=$E$2),"High",IF(OR(N(B441)&gt;0,N(C441)&gt;0),"Medium","Low")))</f>
        <v/>
      </c>
      <c r="E441" s="22" t="n"/>
      <c r="F441" s="22" t="n"/>
      <c r="G441" s="22" t="n"/>
      <c r="H441" s="22" t="n"/>
      <c r="I441" s="22" t="n"/>
      <c r="J441" s="22" t="n"/>
      <c r="K441" s="22" t="n"/>
      <c r="L441" s="22" t="n"/>
      <c r="M441" s="22">
        <f>IF(K441="Override",L441,IF(K441="Accept suggestion",F441,IF(K441="No change (same URL)",A441,"")))</f>
        <v/>
      </c>
      <c r="N441" s="22">
        <f>IF(A441="","",IF(K441="410 Gone","410",IF(K441="404","404",IF(K441="No change (same URL)","none",IF(M441="","","301")))))</f>
        <v/>
      </c>
      <c r="O441" s="22">
        <f>IF(A441="","",IFERROR(MID(A441,FIND("/",A441,FIND("//",A441)+2),2000),A441))</f>
        <v/>
      </c>
      <c r="P441" s="22">
        <f>IF(OR(O441="",N441="",N441="none",N441="404"),"",IF(N441="410","Redirect gone "&amp;O441,"Redirect "&amp;N441&amp;" "&amp;O441&amp;" "&amp;M441))</f>
        <v/>
      </c>
      <c r="Q441" s="22" t="n"/>
      <c r="R441" s="22" t="n"/>
      <c r="S441" s="22" t="n"/>
      <c r="T441" s="4">
        <f>IF(A441="","",TRIM(IF(K441="","Needs decision; ","")&amp;IF(AND(K441="Accept suggestion",F441=""),"No suggestion to accept; ","")&amp;IF(AND(K441="Override",L441=""),"Override URL missing; ","")&amp;IF(AND(K441="Accept suggestion",N(G441)&lt;$G$2),"Below your threshold; ","")&amp;IF(AND(M441&lt;&gt;"",M441=A441,K441&lt;&gt;"No change (same URL)"),"Redirects to itself; ","")&amp;IF(AND(M441&lt;&gt;"",OR(M441="/",AND(LEFT(M441,4)="http",OR((LEN(M441)-LEN(SUBSTITUTE(M441,"/","")))=2,AND((LEN(M441)-LEN(SUBSTITUTE(M441,"/","")))=3,RIGHT(M441,1)="/"))))),"Home page redirect; ","")&amp;IF(N(R441)&gt;1,"Chain; ","")&amp;IF(S441="No","Destination not 200; ","")))</f>
        <v/>
      </c>
      <c r="U441" s="22" t="n"/>
      <c r="V441" s="22" t="n"/>
      <c r="W441" s="4" t="n"/>
    </row>
    <row r="442">
      <c r="A442" s="22" t="n"/>
      <c r="B442" s="22" t="n"/>
      <c r="C442" s="22" t="n"/>
      <c r="D442" s="22">
        <f>IF(A442="","",IF(OR(N(B442)&gt;=$C$2,N(C442)&gt;=$E$2),"High",IF(OR(N(B442)&gt;0,N(C442)&gt;0),"Medium","Low")))</f>
        <v/>
      </c>
      <c r="E442" s="22" t="n"/>
      <c r="F442" s="22" t="n"/>
      <c r="G442" s="22" t="n"/>
      <c r="H442" s="22" t="n"/>
      <c r="I442" s="22" t="n"/>
      <c r="J442" s="22" t="n"/>
      <c r="K442" s="22" t="n"/>
      <c r="L442" s="22" t="n"/>
      <c r="M442" s="22">
        <f>IF(K442="Override",L442,IF(K442="Accept suggestion",F442,IF(K442="No change (same URL)",A442,"")))</f>
        <v/>
      </c>
      <c r="N442" s="22">
        <f>IF(A442="","",IF(K442="410 Gone","410",IF(K442="404","404",IF(K442="No change (same URL)","none",IF(M442="","","301")))))</f>
        <v/>
      </c>
      <c r="O442" s="22">
        <f>IF(A442="","",IFERROR(MID(A442,FIND("/",A442,FIND("//",A442)+2),2000),A442))</f>
        <v/>
      </c>
      <c r="P442" s="22">
        <f>IF(OR(O442="",N442="",N442="none",N442="404"),"",IF(N442="410","Redirect gone "&amp;O442,"Redirect "&amp;N442&amp;" "&amp;O442&amp;" "&amp;M442))</f>
        <v/>
      </c>
      <c r="Q442" s="22" t="n"/>
      <c r="R442" s="22" t="n"/>
      <c r="S442" s="22" t="n"/>
      <c r="T442" s="4">
        <f>IF(A442="","",TRIM(IF(K442="","Needs decision; ","")&amp;IF(AND(K442="Accept suggestion",F442=""),"No suggestion to accept; ","")&amp;IF(AND(K442="Override",L442=""),"Override URL missing; ","")&amp;IF(AND(K442="Accept suggestion",N(G442)&lt;$G$2),"Below your threshold; ","")&amp;IF(AND(M442&lt;&gt;"",M442=A442,K442&lt;&gt;"No change (same URL)"),"Redirects to itself; ","")&amp;IF(AND(M442&lt;&gt;"",OR(M442="/",AND(LEFT(M442,4)="http",OR((LEN(M442)-LEN(SUBSTITUTE(M442,"/","")))=2,AND((LEN(M442)-LEN(SUBSTITUTE(M442,"/","")))=3,RIGHT(M442,1)="/"))))),"Home page redirect; ","")&amp;IF(N(R442)&gt;1,"Chain; ","")&amp;IF(S442="No","Destination not 200; ","")))</f>
        <v/>
      </c>
      <c r="U442" s="22" t="n"/>
      <c r="V442" s="22" t="n"/>
      <c r="W442" s="4" t="n"/>
    </row>
    <row r="443">
      <c r="A443" s="22" t="n"/>
      <c r="B443" s="22" t="n"/>
      <c r="C443" s="22" t="n"/>
      <c r="D443" s="22">
        <f>IF(A443="","",IF(OR(N(B443)&gt;=$C$2,N(C443)&gt;=$E$2),"High",IF(OR(N(B443)&gt;0,N(C443)&gt;0),"Medium","Low")))</f>
        <v/>
      </c>
      <c r="E443" s="22" t="n"/>
      <c r="F443" s="22" t="n"/>
      <c r="G443" s="22" t="n"/>
      <c r="H443" s="22" t="n"/>
      <c r="I443" s="22" t="n"/>
      <c r="J443" s="22" t="n"/>
      <c r="K443" s="22" t="n"/>
      <c r="L443" s="22" t="n"/>
      <c r="M443" s="22">
        <f>IF(K443="Override",L443,IF(K443="Accept suggestion",F443,IF(K443="No change (same URL)",A443,"")))</f>
        <v/>
      </c>
      <c r="N443" s="22">
        <f>IF(A443="","",IF(K443="410 Gone","410",IF(K443="404","404",IF(K443="No change (same URL)","none",IF(M443="","","301")))))</f>
        <v/>
      </c>
      <c r="O443" s="22">
        <f>IF(A443="","",IFERROR(MID(A443,FIND("/",A443,FIND("//",A443)+2),2000),A443))</f>
        <v/>
      </c>
      <c r="P443" s="22">
        <f>IF(OR(O443="",N443="",N443="none",N443="404"),"",IF(N443="410","Redirect gone "&amp;O443,"Redirect "&amp;N443&amp;" "&amp;O443&amp;" "&amp;M443))</f>
        <v/>
      </c>
      <c r="Q443" s="22" t="n"/>
      <c r="R443" s="22" t="n"/>
      <c r="S443" s="22" t="n"/>
      <c r="T443" s="4">
        <f>IF(A443="","",TRIM(IF(K443="","Needs decision; ","")&amp;IF(AND(K443="Accept suggestion",F443=""),"No suggestion to accept; ","")&amp;IF(AND(K443="Override",L443=""),"Override URL missing; ","")&amp;IF(AND(K443="Accept suggestion",N(G443)&lt;$G$2),"Below your threshold; ","")&amp;IF(AND(M443&lt;&gt;"",M443=A443,K443&lt;&gt;"No change (same URL)"),"Redirects to itself; ","")&amp;IF(AND(M443&lt;&gt;"",OR(M443="/",AND(LEFT(M443,4)="http",OR((LEN(M443)-LEN(SUBSTITUTE(M443,"/","")))=2,AND((LEN(M443)-LEN(SUBSTITUTE(M443,"/","")))=3,RIGHT(M443,1)="/"))))),"Home page redirect; ","")&amp;IF(N(R443)&gt;1,"Chain; ","")&amp;IF(S443="No","Destination not 200; ","")))</f>
        <v/>
      </c>
      <c r="U443" s="22" t="n"/>
      <c r="V443" s="22" t="n"/>
      <c r="W443" s="4" t="n"/>
    </row>
    <row r="444">
      <c r="A444" s="22" t="n"/>
      <c r="B444" s="22" t="n"/>
      <c r="C444" s="22" t="n"/>
      <c r="D444" s="22">
        <f>IF(A444="","",IF(OR(N(B444)&gt;=$C$2,N(C444)&gt;=$E$2),"High",IF(OR(N(B444)&gt;0,N(C444)&gt;0),"Medium","Low")))</f>
        <v/>
      </c>
      <c r="E444" s="22" t="n"/>
      <c r="F444" s="22" t="n"/>
      <c r="G444" s="22" t="n"/>
      <c r="H444" s="22" t="n"/>
      <c r="I444" s="22" t="n"/>
      <c r="J444" s="22" t="n"/>
      <c r="K444" s="22" t="n"/>
      <c r="L444" s="22" t="n"/>
      <c r="M444" s="22">
        <f>IF(K444="Override",L444,IF(K444="Accept suggestion",F444,IF(K444="No change (same URL)",A444,"")))</f>
        <v/>
      </c>
      <c r="N444" s="22">
        <f>IF(A444="","",IF(K444="410 Gone","410",IF(K444="404","404",IF(K444="No change (same URL)","none",IF(M444="","","301")))))</f>
        <v/>
      </c>
      <c r="O444" s="22">
        <f>IF(A444="","",IFERROR(MID(A444,FIND("/",A444,FIND("//",A444)+2),2000),A444))</f>
        <v/>
      </c>
      <c r="P444" s="22">
        <f>IF(OR(O444="",N444="",N444="none",N444="404"),"",IF(N444="410","Redirect gone "&amp;O444,"Redirect "&amp;N444&amp;" "&amp;O444&amp;" "&amp;M444))</f>
        <v/>
      </c>
      <c r="Q444" s="22" t="n"/>
      <c r="R444" s="22" t="n"/>
      <c r="S444" s="22" t="n"/>
      <c r="T444" s="4">
        <f>IF(A444="","",TRIM(IF(K444="","Needs decision; ","")&amp;IF(AND(K444="Accept suggestion",F444=""),"No suggestion to accept; ","")&amp;IF(AND(K444="Override",L444=""),"Override URL missing; ","")&amp;IF(AND(K444="Accept suggestion",N(G444)&lt;$G$2),"Below your threshold; ","")&amp;IF(AND(M444&lt;&gt;"",M444=A444,K444&lt;&gt;"No change (same URL)"),"Redirects to itself; ","")&amp;IF(AND(M444&lt;&gt;"",OR(M444="/",AND(LEFT(M444,4)="http",OR((LEN(M444)-LEN(SUBSTITUTE(M444,"/","")))=2,AND((LEN(M444)-LEN(SUBSTITUTE(M444,"/","")))=3,RIGHT(M444,1)="/"))))),"Home page redirect; ","")&amp;IF(N(R444)&gt;1,"Chain; ","")&amp;IF(S444="No","Destination not 200; ","")))</f>
        <v/>
      </c>
      <c r="U444" s="22" t="n"/>
      <c r="V444" s="22" t="n"/>
      <c r="W444" s="4" t="n"/>
    </row>
    <row r="445">
      <c r="A445" s="22" t="n"/>
      <c r="B445" s="22" t="n"/>
      <c r="C445" s="22" t="n"/>
      <c r="D445" s="22">
        <f>IF(A445="","",IF(OR(N(B445)&gt;=$C$2,N(C445)&gt;=$E$2),"High",IF(OR(N(B445)&gt;0,N(C445)&gt;0),"Medium","Low")))</f>
        <v/>
      </c>
      <c r="E445" s="22" t="n"/>
      <c r="F445" s="22" t="n"/>
      <c r="G445" s="22" t="n"/>
      <c r="H445" s="22" t="n"/>
      <c r="I445" s="22" t="n"/>
      <c r="J445" s="22" t="n"/>
      <c r="K445" s="22" t="n"/>
      <c r="L445" s="22" t="n"/>
      <c r="M445" s="22">
        <f>IF(K445="Override",L445,IF(K445="Accept suggestion",F445,IF(K445="No change (same URL)",A445,"")))</f>
        <v/>
      </c>
      <c r="N445" s="22">
        <f>IF(A445="","",IF(K445="410 Gone","410",IF(K445="404","404",IF(K445="No change (same URL)","none",IF(M445="","","301")))))</f>
        <v/>
      </c>
      <c r="O445" s="22">
        <f>IF(A445="","",IFERROR(MID(A445,FIND("/",A445,FIND("//",A445)+2),2000),A445))</f>
        <v/>
      </c>
      <c r="P445" s="22">
        <f>IF(OR(O445="",N445="",N445="none",N445="404"),"",IF(N445="410","Redirect gone "&amp;O445,"Redirect "&amp;N445&amp;" "&amp;O445&amp;" "&amp;M445))</f>
        <v/>
      </c>
      <c r="Q445" s="22" t="n"/>
      <c r="R445" s="22" t="n"/>
      <c r="S445" s="22" t="n"/>
      <c r="T445" s="4">
        <f>IF(A445="","",TRIM(IF(K445="","Needs decision; ","")&amp;IF(AND(K445="Accept suggestion",F445=""),"No suggestion to accept; ","")&amp;IF(AND(K445="Override",L445=""),"Override URL missing; ","")&amp;IF(AND(K445="Accept suggestion",N(G445)&lt;$G$2),"Below your threshold; ","")&amp;IF(AND(M445&lt;&gt;"",M445=A445,K445&lt;&gt;"No change (same URL)"),"Redirects to itself; ","")&amp;IF(AND(M445&lt;&gt;"",OR(M445="/",AND(LEFT(M445,4)="http",OR((LEN(M445)-LEN(SUBSTITUTE(M445,"/","")))=2,AND((LEN(M445)-LEN(SUBSTITUTE(M445,"/","")))=3,RIGHT(M445,1)="/"))))),"Home page redirect; ","")&amp;IF(N(R445)&gt;1,"Chain; ","")&amp;IF(S445="No","Destination not 200; ","")))</f>
        <v/>
      </c>
      <c r="U445" s="22" t="n"/>
      <c r="V445" s="22" t="n"/>
      <c r="W445" s="4" t="n"/>
    </row>
    <row r="446">
      <c r="A446" s="22" t="n"/>
      <c r="B446" s="22" t="n"/>
      <c r="C446" s="22" t="n"/>
      <c r="D446" s="22">
        <f>IF(A446="","",IF(OR(N(B446)&gt;=$C$2,N(C446)&gt;=$E$2),"High",IF(OR(N(B446)&gt;0,N(C446)&gt;0),"Medium","Low")))</f>
        <v/>
      </c>
      <c r="E446" s="22" t="n"/>
      <c r="F446" s="22" t="n"/>
      <c r="G446" s="22" t="n"/>
      <c r="H446" s="22" t="n"/>
      <c r="I446" s="22" t="n"/>
      <c r="J446" s="22" t="n"/>
      <c r="K446" s="22" t="n"/>
      <c r="L446" s="22" t="n"/>
      <c r="M446" s="22">
        <f>IF(K446="Override",L446,IF(K446="Accept suggestion",F446,IF(K446="No change (same URL)",A446,"")))</f>
        <v/>
      </c>
      <c r="N446" s="22">
        <f>IF(A446="","",IF(K446="410 Gone","410",IF(K446="404","404",IF(K446="No change (same URL)","none",IF(M446="","","301")))))</f>
        <v/>
      </c>
      <c r="O446" s="22">
        <f>IF(A446="","",IFERROR(MID(A446,FIND("/",A446,FIND("//",A446)+2),2000),A446))</f>
        <v/>
      </c>
      <c r="P446" s="22">
        <f>IF(OR(O446="",N446="",N446="none",N446="404"),"",IF(N446="410","Redirect gone "&amp;O446,"Redirect "&amp;N446&amp;" "&amp;O446&amp;" "&amp;M446))</f>
        <v/>
      </c>
      <c r="Q446" s="22" t="n"/>
      <c r="R446" s="22" t="n"/>
      <c r="S446" s="22" t="n"/>
      <c r="T446" s="4">
        <f>IF(A446="","",TRIM(IF(K446="","Needs decision; ","")&amp;IF(AND(K446="Accept suggestion",F446=""),"No suggestion to accept; ","")&amp;IF(AND(K446="Override",L446=""),"Override URL missing; ","")&amp;IF(AND(K446="Accept suggestion",N(G446)&lt;$G$2),"Below your threshold; ","")&amp;IF(AND(M446&lt;&gt;"",M446=A446,K446&lt;&gt;"No change (same URL)"),"Redirects to itself; ","")&amp;IF(AND(M446&lt;&gt;"",OR(M446="/",AND(LEFT(M446,4)="http",OR((LEN(M446)-LEN(SUBSTITUTE(M446,"/","")))=2,AND((LEN(M446)-LEN(SUBSTITUTE(M446,"/","")))=3,RIGHT(M446,1)="/"))))),"Home page redirect; ","")&amp;IF(N(R446)&gt;1,"Chain; ","")&amp;IF(S446="No","Destination not 200; ","")))</f>
        <v/>
      </c>
      <c r="U446" s="22" t="n"/>
      <c r="V446" s="22" t="n"/>
      <c r="W446" s="4" t="n"/>
    </row>
    <row r="447">
      <c r="A447" s="22" t="n"/>
      <c r="B447" s="22" t="n"/>
      <c r="C447" s="22" t="n"/>
      <c r="D447" s="22">
        <f>IF(A447="","",IF(OR(N(B447)&gt;=$C$2,N(C447)&gt;=$E$2),"High",IF(OR(N(B447)&gt;0,N(C447)&gt;0),"Medium","Low")))</f>
        <v/>
      </c>
      <c r="E447" s="22" t="n"/>
      <c r="F447" s="22" t="n"/>
      <c r="G447" s="22" t="n"/>
      <c r="H447" s="22" t="n"/>
      <c r="I447" s="22" t="n"/>
      <c r="J447" s="22" t="n"/>
      <c r="K447" s="22" t="n"/>
      <c r="L447" s="22" t="n"/>
      <c r="M447" s="22">
        <f>IF(K447="Override",L447,IF(K447="Accept suggestion",F447,IF(K447="No change (same URL)",A447,"")))</f>
        <v/>
      </c>
      <c r="N447" s="22">
        <f>IF(A447="","",IF(K447="410 Gone","410",IF(K447="404","404",IF(K447="No change (same URL)","none",IF(M447="","","301")))))</f>
        <v/>
      </c>
      <c r="O447" s="22">
        <f>IF(A447="","",IFERROR(MID(A447,FIND("/",A447,FIND("//",A447)+2),2000),A447))</f>
        <v/>
      </c>
      <c r="P447" s="22">
        <f>IF(OR(O447="",N447="",N447="none",N447="404"),"",IF(N447="410","Redirect gone "&amp;O447,"Redirect "&amp;N447&amp;" "&amp;O447&amp;" "&amp;M447))</f>
        <v/>
      </c>
      <c r="Q447" s="22" t="n"/>
      <c r="R447" s="22" t="n"/>
      <c r="S447" s="22" t="n"/>
      <c r="T447" s="4">
        <f>IF(A447="","",TRIM(IF(K447="","Needs decision; ","")&amp;IF(AND(K447="Accept suggestion",F447=""),"No suggestion to accept; ","")&amp;IF(AND(K447="Override",L447=""),"Override URL missing; ","")&amp;IF(AND(K447="Accept suggestion",N(G447)&lt;$G$2),"Below your threshold; ","")&amp;IF(AND(M447&lt;&gt;"",M447=A447,K447&lt;&gt;"No change (same URL)"),"Redirects to itself; ","")&amp;IF(AND(M447&lt;&gt;"",OR(M447="/",AND(LEFT(M447,4)="http",OR((LEN(M447)-LEN(SUBSTITUTE(M447,"/","")))=2,AND((LEN(M447)-LEN(SUBSTITUTE(M447,"/","")))=3,RIGHT(M447,1)="/"))))),"Home page redirect; ","")&amp;IF(N(R447)&gt;1,"Chain; ","")&amp;IF(S447="No","Destination not 200; ","")))</f>
        <v/>
      </c>
      <c r="U447" s="22" t="n"/>
      <c r="V447" s="22" t="n"/>
      <c r="W447" s="4" t="n"/>
    </row>
    <row r="448">
      <c r="A448" s="22" t="n"/>
      <c r="B448" s="22" t="n"/>
      <c r="C448" s="22" t="n"/>
      <c r="D448" s="22">
        <f>IF(A448="","",IF(OR(N(B448)&gt;=$C$2,N(C448)&gt;=$E$2),"High",IF(OR(N(B448)&gt;0,N(C448)&gt;0),"Medium","Low")))</f>
        <v/>
      </c>
      <c r="E448" s="22" t="n"/>
      <c r="F448" s="22" t="n"/>
      <c r="G448" s="22" t="n"/>
      <c r="H448" s="22" t="n"/>
      <c r="I448" s="22" t="n"/>
      <c r="J448" s="22" t="n"/>
      <c r="K448" s="22" t="n"/>
      <c r="L448" s="22" t="n"/>
      <c r="M448" s="22">
        <f>IF(K448="Override",L448,IF(K448="Accept suggestion",F448,IF(K448="No change (same URL)",A448,"")))</f>
        <v/>
      </c>
      <c r="N448" s="22">
        <f>IF(A448="","",IF(K448="410 Gone","410",IF(K448="404","404",IF(K448="No change (same URL)","none",IF(M448="","","301")))))</f>
        <v/>
      </c>
      <c r="O448" s="22">
        <f>IF(A448="","",IFERROR(MID(A448,FIND("/",A448,FIND("//",A448)+2),2000),A448))</f>
        <v/>
      </c>
      <c r="P448" s="22">
        <f>IF(OR(O448="",N448="",N448="none",N448="404"),"",IF(N448="410","Redirect gone "&amp;O448,"Redirect "&amp;N448&amp;" "&amp;O448&amp;" "&amp;M448))</f>
        <v/>
      </c>
      <c r="Q448" s="22" t="n"/>
      <c r="R448" s="22" t="n"/>
      <c r="S448" s="22" t="n"/>
      <c r="T448" s="4">
        <f>IF(A448="","",TRIM(IF(K448="","Needs decision; ","")&amp;IF(AND(K448="Accept suggestion",F448=""),"No suggestion to accept; ","")&amp;IF(AND(K448="Override",L448=""),"Override URL missing; ","")&amp;IF(AND(K448="Accept suggestion",N(G448)&lt;$G$2),"Below your threshold; ","")&amp;IF(AND(M448&lt;&gt;"",M448=A448,K448&lt;&gt;"No change (same URL)"),"Redirects to itself; ","")&amp;IF(AND(M448&lt;&gt;"",OR(M448="/",AND(LEFT(M448,4)="http",OR((LEN(M448)-LEN(SUBSTITUTE(M448,"/","")))=2,AND((LEN(M448)-LEN(SUBSTITUTE(M448,"/","")))=3,RIGHT(M448,1)="/"))))),"Home page redirect; ","")&amp;IF(N(R448)&gt;1,"Chain; ","")&amp;IF(S448="No","Destination not 200; ","")))</f>
        <v/>
      </c>
      <c r="U448" s="22" t="n"/>
      <c r="V448" s="22" t="n"/>
      <c r="W448" s="4" t="n"/>
    </row>
    <row r="449">
      <c r="A449" s="22" t="n"/>
      <c r="B449" s="22" t="n"/>
      <c r="C449" s="22" t="n"/>
      <c r="D449" s="22">
        <f>IF(A449="","",IF(OR(N(B449)&gt;=$C$2,N(C449)&gt;=$E$2),"High",IF(OR(N(B449)&gt;0,N(C449)&gt;0),"Medium","Low")))</f>
        <v/>
      </c>
      <c r="E449" s="22" t="n"/>
      <c r="F449" s="22" t="n"/>
      <c r="G449" s="22" t="n"/>
      <c r="H449" s="22" t="n"/>
      <c r="I449" s="22" t="n"/>
      <c r="J449" s="22" t="n"/>
      <c r="K449" s="22" t="n"/>
      <c r="L449" s="22" t="n"/>
      <c r="M449" s="22">
        <f>IF(K449="Override",L449,IF(K449="Accept suggestion",F449,IF(K449="No change (same URL)",A449,"")))</f>
        <v/>
      </c>
      <c r="N449" s="22">
        <f>IF(A449="","",IF(K449="410 Gone","410",IF(K449="404","404",IF(K449="No change (same URL)","none",IF(M449="","","301")))))</f>
        <v/>
      </c>
      <c r="O449" s="22">
        <f>IF(A449="","",IFERROR(MID(A449,FIND("/",A449,FIND("//",A449)+2),2000),A449))</f>
        <v/>
      </c>
      <c r="P449" s="22">
        <f>IF(OR(O449="",N449="",N449="none",N449="404"),"",IF(N449="410","Redirect gone "&amp;O449,"Redirect "&amp;N449&amp;" "&amp;O449&amp;" "&amp;M449))</f>
        <v/>
      </c>
      <c r="Q449" s="22" t="n"/>
      <c r="R449" s="22" t="n"/>
      <c r="S449" s="22" t="n"/>
      <c r="T449" s="4">
        <f>IF(A449="","",TRIM(IF(K449="","Needs decision; ","")&amp;IF(AND(K449="Accept suggestion",F449=""),"No suggestion to accept; ","")&amp;IF(AND(K449="Override",L449=""),"Override URL missing; ","")&amp;IF(AND(K449="Accept suggestion",N(G449)&lt;$G$2),"Below your threshold; ","")&amp;IF(AND(M449&lt;&gt;"",M449=A449,K449&lt;&gt;"No change (same URL)"),"Redirects to itself; ","")&amp;IF(AND(M449&lt;&gt;"",OR(M449="/",AND(LEFT(M449,4)="http",OR((LEN(M449)-LEN(SUBSTITUTE(M449,"/","")))=2,AND((LEN(M449)-LEN(SUBSTITUTE(M449,"/","")))=3,RIGHT(M449,1)="/"))))),"Home page redirect; ","")&amp;IF(N(R449)&gt;1,"Chain; ","")&amp;IF(S449="No","Destination not 200; ","")))</f>
        <v/>
      </c>
      <c r="U449" s="22" t="n"/>
      <c r="V449" s="22" t="n"/>
      <c r="W449" s="4" t="n"/>
    </row>
    <row r="450">
      <c r="A450" s="22" t="n"/>
      <c r="B450" s="22" t="n"/>
      <c r="C450" s="22" t="n"/>
      <c r="D450" s="22">
        <f>IF(A450="","",IF(OR(N(B450)&gt;=$C$2,N(C450)&gt;=$E$2),"High",IF(OR(N(B450)&gt;0,N(C450)&gt;0),"Medium","Low")))</f>
        <v/>
      </c>
      <c r="E450" s="22" t="n"/>
      <c r="F450" s="22" t="n"/>
      <c r="G450" s="22" t="n"/>
      <c r="H450" s="22" t="n"/>
      <c r="I450" s="22" t="n"/>
      <c r="J450" s="22" t="n"/>
      <c r="K450" s="22" t="n"/>
      <c r="L450" s="22" t="n"/>
      <c r="M450" s="22">
        <f>IF(K450="Override",L450,IF(K450="Accept suggestion",F450,IF(K450="No change (same URL)",A450,"")))</f>
        <v/>
      </c>
      <c r="N450" s="22">
        <f>IF(A450="","",IF(K450="410 Gone","410",IF(K450="404","404",IF(K450="No change (same URL)","none",IF(M450="","","301")))))</f>
        <v/>
      </c>
      <c r="O450" s="22">
        <f>IF(A450="","",IFERROR(MID(A450,FIND("/",A450,FIND("//",A450)+2),2000),A450))</f>
        <v/>
      </c>
      <c r="P450" s="22">
        <f>IF(OR(O450="",N450="",N450="none",N450="404"),"",IF(N450="410","Redirect gone "&amp;O450,"Redirect "&amp;N450&amp;" "&amp;O450&amp;" "&amp;M450))</f>
        <v/>
      </c>
      <c r="Q450" s="22" t="n"/>
      <c r="R450" s="22" t="n"/>
      <c r="S450" s="22" t="n"/>
      <c r="T450" s="4">
        <f>IF(A450="","",TRIM(IF(K450="","Needs decision; ","")&amp;IF(AND(K450="Accept suggestion",F450=""),"No suggestion to accept; ","")&amp;IF(AND(K450="Override",L450=""),"Override URL missing; ","")&amp;IF(AND(K450="Accept suggestion",N(G450)&lt;$G$2),"Below your threshold; ","")&amp;IF(AND(M450&lt;&gt;"",M450=A450,K450&lt;&gt;"No change (same URL)"),"Redirects to itself; ","")&amp;IF(AND(M450&lt;&gt;"",OR(M450="/",AND(LEFT(M450,4)="http",OR((LEN(M450)-LEN(SUBSTITUTE(M450,"/","")))=2,AND((LEN(M450)-LEN(SUBSTITUTE(M450,"/","")))=3,RIGHT(M450,1)="/"))))),"Home page redirect; ","")&amp;IF(N(R450)&gt;1,"Chain; ","")&amp;IF(S450="No","Destination not 200; ","")))</f>
        <v/>
      </c>
      <c r="U450" s="22" t="n"/>
      <c r="V450" s="22" t="n"/>
      <c r="W450" s="4" t="n"/>
    </row>
    <row r="451">
      <c r="A451" s="22" t="n"/>
      <c r="B451" s="22" t="n"/>
      <c r="C451" s="22" t="n"/>
      <c r="D451" s="22">
        <f>IF(A451="","",IF(OR(N(B451)&gt;=$C$2,N(C451)&gt;=$E$2),"High",IF(OR(N(B451)&gt;0,N(C451)&gt;0),"Medium","Low")))</f>
        <v/>
      </c>
      <c r="E451" s="22" t="n"/>
      <c r="F451" s="22" t="n"/>
      <c r="G451" s="22" t="n"/>
      <c r="H451" s="22" t="n"/>
      <c r="I451" s="22" t="n"/>
      <c r="J451" s="22" t="n"/>
      <c r="K451" s="22" t="n"/>
      <c r="L451" s="22" t="n"/>
      <c r="M451" s="22">
        <f>IF(K451="Override",L451,IF(K451="Accept suggestion",F451,IF(K451="No change (same URL)",A451,"")))</f>
        <v/>
      </c>
      <c r="N451" s="22">
        <f>IF(A451="","",IF(K451="410 Gone","410",IF(K451="404","404",IF(K451="No change (same URL)","none",IF(M451="","","301")))))</f>
        <v/>
      </c>
      <c r="O451" s="22">
        <f>IF(A451="","",IFERROR(MID(A451,FIND("/",A451,FIND("//",A451)+2),2000),A451))</f>
        <v/>
      </c>
      <c r="P451" s="22">
        <f>IF(OR(O451="",N451="",N451="none",N451="404"),"",IF(N451="410","Redirect gone "&amp;O451,"Redirect "&amp;N451&amp;" "&amp;O451&amp;" "&amp;M451))</f>
        <v/>
      </c>
      <c r="Q451" s="22" t="n"/>
      <c r="R451" s="22" t="n"/>
      <c r="S451" s="22" t="n"/>
      <c r="T451" s="4">
        <f>IF(A451="","",TRIM(IF(K451="","Needs decision; ","")&amp;IF(AND(K451="Accept suggestion",F451=""),"No suggestion to accept; ","")&amp;IF(AND(K451="Override",L451=""),"Override URL missing; ","")&amp;IF(AND(K451="Accept suggestion",N(G451)&lt;$G$2),"Below your threshold; ","")&amp;IF(AND(M451&lt;&gt;"",M451=A451,K451&lt;&gt;"No change (same URL)"),"Redirects to itself; ","")&amp;IF(AND(M451&lt;&gt;"",OR(M451="/",AND(LEFT(M451,4)="http",OR((LEN(M451)-LEN(SUBSTITUTE(M451,"/","")))=2,AND((LEN(M451)-LEN(SUBSTITUTE(M451,"/","")))=3,RIGHT(M451,1)="/"))))),"Home page redirect; ","")&amp;IF(N(R451)&gt;1,"Chain; ","")&amp;IF(S451="No","Destination not 200; ","")))</f>
        <v/>
      </c>
      <c r="U451" s="22" t="n"/>
      <c r="V451" s="22" t="n"/>
      <c r="W451" s="4" t="n"/>
    </row>
    <row r="452">
      <c r="A452" s="22" t="n"/>
      <c r="B452" s="22" t="n"/>
      <c r="C452" s="22" t="n"/>
      <c r="D452" s="22">
        <f>IF(A452="","",IF(OR(N(B452)&gt;=$C$2,N(C452)&gt;=$E$2),"High",IF(OR(N(B452)&gt;0,N(C452)&gt;0),"Medium","Low")))</f>
        <v/>
      </c>
      <c r="E452" s="22" t="n"/>
      <c r="F452" s="22" t="n"/>
      <c r="G452" s="22" t="n"/>
      <c r="H452" s="22" t="n"/>
      <c r="I452" s="22" t="n"/>
      <c r="J452" s="22" t="n"/>
      <c r="K452" s="22" t="n"/>
      <c r="L452" s="22" t="n"/>
      <c r="M452" s="22">
        <f>IF(K452="Override",L452,IF(K452="Accept suggestion",F452,IF(K452="No change (same URL)",A452,"")))</f>
        <v/>
      </c>
      <c r="N452" s="22">
        <f>IF(A452="","",IF(K452="410 Gone","410",IF(K452="404","404",IF(K452="No change (same URL)","none",IF(M452="","","301")))))</f>
        <v/>
      </c>
      <c r="O452" s="22">
        <f>IF(A452="","",IFERROR(MID(A452,FIND("/",A452,FIND("//",A452)+2),2000),A452))</f>
        <v/>
      </c>
      <c r="P452" s="22">
        <f>IF(OR(O452="",N452="",N452="none",N452="404"),"",IF(N452="410","Redirect gone "&amp;O452,"Redirect "&amp;N452&amp;" "&amp;O452&amp;" "&amp;M452))</f>
        <v/>
      </c>
      <c r="Q452" s="22" t="n"/>
      <c r="R452" s="22" t="n"/>
      <c r="S452" s="22" t="n"/>
      <c r="T452" s="4">
        <f>IF(A452="","",TRIM(IF(K452="","Needs decision; ","")&amp;IF(AND(K452="Accept suggestion",F452=""),"No suggestion to accept; ","")&amp;IF(AND(K452="Override",L452=""),"Override URL missing; ","")&amp;IF(AND(K452="Accept suggestion",N(G452)&lt;$G$2),"Below your threshold; ","")&amp;IF(AND(M452&lt;&gt;"",M452=A452,K452&lt;&gt;"No change (same URL)"),"Redirects to itself; ","")&amp;IF(AND(M452&lt;&gt;"",OR(M452="/",AND(LEFT(M452,4)="http",OR((LEN(M452)-LEN(SUBSTITUTE(M452,"/","")))=2,AND((LEN(M452)-LEN(SUBSTITUTE(M452,"/","")))=3,RIGHT(M452,1)="/"))))),"Home page redirect; ","")&amp;IF(N(R452)&gt;1,"Chain; ","")&amp;IF(S452="No","Destination not 200; ","")))</f>
        <v/>
      </c>
      <c r="U452" s="22" t="n"/>
      <c r="V452" s="22" t="n"/>
      <c r="W452" s="4" t="n"/>
    </row>
    <row r="453">
      <c r="A453" s="22" t="n"/>
      <c r="B453" s="22" t="n"/>
      <c r="C453" s="22" t="n"/>
      <c r="D453" s="22">
        <f>IF(A453="","",IF(OR(N(B453)&gt;=$C$2,N(C453)&gt;=$E$2),"High",IF(OR(N(B453)&gt;0,N(C453)&gt;0),"Medium","Low")))</f>
        <v/>
      </c>
      <c r="E453" s="22" t="n"/>
      <c r="F453" s="22" t="n"/>
      <c r="G453" s="22" t="n"/>
      <c r="H453" s="22" t="n"/>
      <c r="I453" s="22" t="n"/>
      <c r="J453" s="22" t="n"/>
      <c r="K453" s="22" t="n"/>
      <c r="L453" s="22" t="n"/>
      <c r="M453" s="22">
        <f>IF(K453="Override",L453,IF(K453="Accept suggestion",F453,IF(K453="No change (same URL)",A453,"")))</f>
        <v/>
      </c>
      <c r="N453" s="22">
        <f>IF(A453="","",IF(K453="410 Gone","410",IF(K453="404","404",IF(K453="No change (same URL)","none",IF(M453="","","301")))))</f>
        <v/>
      </c>
      <c r="O453" s="22">
        <f>IF(A453="","",IFERROR(MID(A453,FIND("/",A453,FIND("//",A453)+2),2000),A453))</f>
        <v/>
      </c>
      <c r="P453" s="22">
        <f>IF(OR(O453="",N453="",N453="none",N453="404"),"",IF(N453="410","Redirect gone "&amp;O453,"Redirect "&amp;N453&amp;" "&amp;O453&amp;" "&amp;M453))</f>
        <v/>
      </c>
      <c r="Q453" s="22" t="n"/>
      <c r="R453" s="22" t="n"/>
      <c r="S453" s="22" t="n"/>
      <c r="T453" s="4">
        <f>IF(A453="","",TRIM(IF(K453="","Needs decision; ","")&amp;IF(AND(K453="Accept suggestion",F453=""),"No suggestion to accept; ","")&amp;IF(AND(K453="Override",L453=""),"Override URL missing; ","")&amp;IF(AND(K453="Accept suggestion",N(G453)&lt;$G$2),"Below your threshold; ","")&amp;IF(AND(M453&lt;&gt;"",M453=A453,K453&lt;&gt;"No change (same URL)"),"Redirects to itself; ","")&amp;IF(AND(M453&lt;&gt;"",OR(M453="/",AND(LEFT(M453,4)="http",OR((LEN(M453)-LEN(SUBSTITUTE(M453,"/","")))=2,AND((LEN(M453)-LEN(SUBSTITUTE(M453,"/","")))=3,RIGHT(M453,1)="/"))))),"Home page redirect; ","")&amp;IF(N(R453)&gt;1,"Chain; ","")&amp;IF(S453="No","Destination not 200; ","")))</f>
        <v/>
      </c>
      <c r="U453" s="22" t="n"/>
      <c r="V453" s="22" t="n"/>
      <c r="W453" s="4" t="n"/>
    </row>
    <row r="454">
      <c r="A454" s="22" t="n"/>
      <c r="B454" s="22" t="n"/>
      <c r="C454" s="22" t="n"/>
      <c r="D454" s="22">
        <f>IF(A454="","",IF(OR(N(B454)&gt;=$C$2,N(C454)&gt;=$E$2),"High",IF(OR(N(B454)&gt;0,N(C454)&gt;0),"Medium","Low")))</f>
        <v/>
      </c>
      <c r="E454" s="22" t="n"/>
      <c r="F454" s="22" t="n"/>
      <c r="G454" s="22" t="n"/>
      <c r="H454" s="22" t="n"/>
      <c r="I454" s="22" t="n"/>
      <c r="J454" s="22" t="n"/>
      <c r="K454" s="22" t="n"/>
      <c r="L454" s="22" t="n"/>
      <c r="M454" s="22">
        <f>IF(K454="Override",L454,IF(K454="Accept suggestion",F454,IF(K454="No change (same URL)",A454,"")))</f>
        <v/>
      </c>
      <c r="N454" s="22">
        <f>IF(A454="","",IF(K454="410 Gone","410",IF(K454="404","404",IF(K454="No change (same URL)","none",IF(M454="","","301")))))</f>
        <v/>
      </c>
      <c r="O454" s="22">
        <f>IF(A454="","",IFERROR(MID(A454,FIND("/",A454,FIND("//",A454)+2),2000),A454))</f>
        <v/>
      </c>
      <c r="P454" s="22">
        <f>IF(OR(O454="",N454="",N454="none",N454="404"),"",IF(N454="410","Redirect gone "&amp;O454,"Redirect "&amp;N454&amp;" "&amp;O454&amp;" "&amp;M454))</f>
        <v/>
      </c>
      <c r="Q454" s="22" t="n"/>
      <c r="R454" s="22" t="n"/>
      <c r="S454" s="22" t="n"/>
      <c r="T454" s="4">
        <f>IF(A454="","",TRIM(IF(K454="","Needs decision; ","")&amp;IF(AND(K454="Accept suggestion",F454=""),"No suggestion to accept; ","")&amp;IF(AND(K454="Override",L454=""),"Override URL missing; ","")&amp;IF(AND(K454="Accept suggestion",N(G454)&lt;$G$2),"Below your threshold; ","")&amp;IF(AND(M454&lt;&gt;"",M454=A454,K454&lt;&gt;"No change (same URL)"),"Redirects to itself; ","")&amp;IF(AND(M454&lt;&gt;"",OR(M454="/",AND(LEFT(M454,4)="http",OR((LEN(M454)-LEN(SUBSTITUTE(M454,"/","")))=2,AND((LEN(M454)-LEN(SUBSTITUTE(M454,"/","")))=3,RIGHT(M454,1)="/"))))),"Home page redirect; ","")&amp;IF(N(R454)&gt;1,"Chain; ","")&amp;IF(S454="No","Destination not 200; ","")))</f>
        <v/>
      </c>
      <c r="U454" s="22" t="n"/>
      <c r="V454" s="22" t="n"/>
      <c r="W454" s="4" t="n"/>
    </row>
    <row r="455">
      <c r="A455" s="22" t="n"/>
      <c r="B455" s="22" t="n"/>
      <c r="C455" s="22" t="n"/>
      <c r="D455" s="22">
        <f>IF(A455="","",IF(OR(N(B455)&gt;=$C$2,N(C455)&gt;=$E$2),"High",IF(OR(N(B455)&gt;0,N(C455)&gt;0),"Medium","Low")))</f>
        <v/>
      </c>
      <c r="E455" s="22" t="n"/>
      <c r="F455" s="22" t="n"/>
      <c r="G455" s="22" t="n"/>
      <c r="H455" s="22" t="n"/>
      <c r="I455" s="22" t="n"/>
      <c r="J455" s="22" t="n"/>
      <c r="K455" s="22" t="n"/>
      <c r="L455" s="22" t="n"/>
      <c r="M455" s="22">
        <f>IF(K455="Override",L455,IF(K455="Accept suggestion",F455,IF(K455="No change (same URL)",A455,"")))</f>
        <v/>
      </c>
      <c r="N455" s="22">
        <f>IF(A455="","",IF(K455="410 Gone","410",IF(K455="404","404",IF(K455="No change (same URL)","none",IF(M455="","","301")))))</f>
        <v/>
      </c>
      <c r="O455" s="22">
        <f>IF(A455="","",IFERROR(MID(A455,FIND("/",A455,FIND("//",A455)+2),2000),A455))</f>
        <v/>
      </c>
      <c r="P455" s="22">
        <f>IF(OR(O455="",N455="",N455="none",N455="404"),"",IF(N455="410","Redirect gone "&amp;O455,"Redirect "&amp;N455&amp;" "&amp;O455&amp;" "&amp;M455))</f>
        <v/>
      </c>
      <c r="Q455" s="22" t="n"/>
      <c r="R455" s="22" t="n"/>
      <c r="S455" s="22" t="n"/>
      <c r="T455" s="4">
        <f>IF(A455="","",TRIM(IF(K455="","Needs decision; ","")&amp;IF(AND(K455="Accept suggestion",F455=""),"No suggestion to accept; ","")&amp;IF(AND(K455="Override",L455=""),"Override URL missing; ","")&amp;IF(AND(K455="Accept suggestion",N(G455)&lt;$G$2),"Below your threshold; ","")&amp;IF(AND(M455&lt;&gt;"",M455=A455,K455&lt;&gt;"No change (same URL)"),"Redirects to itself; ","")&amp;IF(AND(M455&lt;&gt;"",OR(M455="/",AND(LEFT(M455,4)="http",OR((LEN(M455)-LEN(SUBSTITUTE(M455,"/","")))=2,AND((LEN(M455)-LEN(SUBSTITUTE(M455,"/","")))=3,RIGHT(M455,1)="/"))))),"Home page redirect; ","")&amp;IF(N(R455)&gt;1,"Chain; ","")&amp;IF(S455="No","Destination not 200; ","")))</f>
        <v/>
      </c>
      <c r="U455" s="22" t="n"/>
      <c r="V455" s="22" t="n"/>
      <c r="W455" s="4" t="n"/>
    </row>
    <row r="456">
      <c r="A456" s="22" t="n"/>
      <c r="B456" s="22" t="n"/>
      <c r="C456" s="22" t="n"/>
      <c r="D456" s="22">
        <f>IF(A456="","",IF(OR(N(B456)&gt;=$C$2,N(C456)&gt;=$E$2),"High",IF(OR(N(B456)&gt;0,N(C456)&gt;0),"Medium","Low")))</f>
        <v/>
      </c>
      <c r="E456" s="22" t="n"/>
      <c r="F456" s="22" t="n"/>
      <c r="G456" s="22" t="n"/>
      <c r="H456" s="22" t="n"/>
      <c r="I456" s="22" t="n"/>
      <c r="J456" s="22" t="n"/>
      <c r="K456" s="22" t="n"/>
      <c r="L456" s="22" t="n"/>
      <c r="M456" s="22">
        <f>IF(K456="Override",L456,IF(K456="Accept suggestion",F456,IF(K456="No change (same URL)",A456,"")))</f>
        <v/>
      </c>
      <c r="N456" s="22">
        <f>IF(A456="","",IF(K456="410 Gone","410",IF(K456="404","404",IF(K456="No change (same URL)","none",IF(M456="","","301")))))</f>
        <v/>
      </c>
      <c r="O456" s="22">
        <f>IF(A456="","",IFERROR(MID(A456,FIND("/",A456,FIND("//",A456)+2),2000),A456))</f>
        <v/>
      </c>
      <c r="P456" s="22">
        <f>IF(OR(O456="",N456="",N456="none",N456="404"),"",IF(N456="410","Redirect gone "&amp;O456,"Redirect "&amp;N456&amp;" "&amp;O456&amp;" "&amp;M456))</f>
        <v/>
      </c>
      <c r="Q456" s="22" t="n"/>
      <c r="R456" s="22" t="n"/>
      <c r="S456" s="22" t="n"/>
      <c r="T456" s="4">
        <f>IF(A456="","",TRIM(IF(K456="","Needs decision; ","")&amp;IF(AND(K456="Accept suggestion",F456=""),"No suggestion to accept; ","")&amp;IF(AND(K456="Override",L456=""),"Override URL missing; ","")&amp;IF(AND(K456="Accept suggestion",N(G456)&lt;$G$2),"Below your threshold; ","")&amp;IF(AND(M456&lt;&gt;"",M456=A456,K456&lt;&gt;"No change (same URL)"),"Redirects to itself; ","")&amp;IF(AND(M456&lt;&gt;"",OR(M456="/",AND(LEFT(M456,4)="http",OR((LEN(M456)-LEN(SUBSTITUTE(M456,"/","")))=2,AND((LEN(M456)-LEN(SUBSTITUTE(M456,"/","")))=3,RIGHT(M456,1)="/"))))),"Home page redirect; ","")&amp;IF(N(R456)&gt;1,"Chain; ","")&amp;IF(S456="No","Destination not 200; ","")))</f>
        <v/>
      </c>
      <c r="U456" s="22" t="n"/>
      <c r="V456" s="22" t="n"/>
      <c r="W456" s="4" t="n"/>
    </row>
    <row r="457">
      <c r="A457" s="22" t="n"/>
      <c r="B457" s="22" t="n"/>
      <c r="C457" s="22" t="n"/>
      <c r="D457" s="22">
        <f>IF(A457="","",IF(OR(N(B457)&gt;=$C$2,N(C457)&gt;=$E$2),"High",IF(OR(N(B457)&gt;0,N(C457)&gt;0),"Medium","Low")))</f>
        <v/>
      </c>
      <c r="E457" s="22" t="n"/>
      <c r="F457" s="22" t="n"/>
      <c r="G457" s="22" t="n"/>
      <c r="H457" s="22" t="n"/>
      <c r="I457" s="22" t="n"/>
      <c r="J457" s="22" t="n"/>
      <c r="K457" s="22" t="n"/>
      <c r="L457" s="22" t="n"/>
      <c r="M457" s="22">
        <f>IF(K457="Override",L457,IF(K457="Accept suggestion",F457,IF(K457="No change (same URL)",A457,"")))</f>
        <v/>
      </c>
      <c r="N457" s="22">
        <f>IF(A457="","",IF(K457="410 Gone","410",IF(K457="404","404",IF(K457="No change (same URL)","none",IF(M457="","","301")))))</f>
        <v/>
      </c>
      <c r="O457" s="22">
        <f>IF(A457="","",IFERROR(MID(A457,FIND("/",A457,FIND("//",A457)+2),2000),A457))</f>
        <v/>
      </c>
      <c r="P457" s="22">
        <f>IF(OR(O457="",N457="",N457="none",N457="404"),"",IF(N457="410","Redirect gone "&amp;O457,"Redirect "&amp;N457&amp;" "&amp;O457&amp;" "&amp;M457))</f>
        <v/>
      </c>
      <c r="Q457" s="22" t="n"/>
      <c r="R457" s="22" t="n"/>
      <c r="S457" s="22" t="n"/>
      <c r="T457" s="4">
        <f>IF(A457="","",TRIM(IF(K457="","Needs decision; ","")&amp;IF(AND(K457="Accept suggestion",F457=""),"No suggestion to accept; ","")&amp;IF(AND(K457="Override",L457=""),"Override URL missing; ","")&amp;IF(AND(K457="Accept suggestion",N(G457)&lt;$G$2),"Below your threshold; ","")&amp;IF(AND(M457&lt;&gt;"",M457=A457,K457&lt;&gt;"No change (same URL)"),"Redirects to itself; ","")&amp;IF(AND(M457&lt;&gt;"",OR(M457="/",AND(LEFT(M457,4)="http",OR((LEN(M457)-LEN(SUBSTITUTE(M457,"/","")))=2,AND((LEN(M457)-LEN(SUBSTITUTE(M457,"/","")))=3,RIGHT(M457,1)="/"))))),"Home page redirect; ","")&amp;IF(N(R457)&gt;1,"Chain; ","")&amp;IF(S457="No","Destination not 200; ","")))</f>
        <v/>
      </c>
      <c r="U457" s="22" t="n"/>
      <c r="V457" s="22" t="n"/>
      <c r="W457" s="4" t="n"/>
    </row>
    <row r="458">
      <c r="A458" s="22" t="n"/>
      <c r="B458" s="22" t="n"/>
      <c r="C458" s="22" t="n"/>
      <c r="D458" s="22">
        <f>IF(A458="","",IF(OR(N(B458)&gt;=$C$2,N(C458)&gt;=$E$2),"High",IF(OR(N(B458)&gt;0,N(C458)&gt;0),"Medium","Low")))</f>
        <v/>
      </c>
      <c r="E458" s="22" t="n"/>
      <c r="F458" s="22" t="n"/>
      <c r="G458" s="22" t="n"/>
      <c r="H458" s="22" t="n"/>
      <c r="I458" s="22" t="n"/>
      <c r="J458" s="22" t="n"/>
      <c r="K458" s="22" t="n"/>
      <c r="L458" s="22" t="n"/>
      <c r="M458" s="22">
        <f>IF(K458="Override",L458,IF(K458="Accept suggestion",F458,IF(K458="No change (same URL)",A458,"")))</f>
        <v/>
      </c>
      <c r="N458" s="22">
        <f>IF(A458="","",IF(K458="410 Gone","410",IF(K458="404","404",IF(K458="No change (same URL)","none",IF(M458="","","301")))))</f>
        <v/>
      </c>
      <c r="O458" s="22">
        <f>IF(A458="","",IFERROR(MID(A458,FIND("/",A458,FIND("//",A458)+2),2000),A458))</f>
        <v/>
      </c>
      <c r="P458" s="22">
        <f>IF(OR(O458="",N458="",N458="none",N458="404"),"",IF(N458="410","Redirect gone "&amp;O458,"Redirect "&amp;N458&amp;" "&amp;O458&amp;" "&amp;M458))</f>
        <v/>
      </c>
      <c r="Q458" s="22" t="n"/>
      <c r="R458" s="22" t="n"/>
      <c r="S458" s="22" t="n"/>
      <c r="T458" s="4">
        <f>IF(A458="","",TRIM(IF(K458="","Needs decision; ","")&amp;IF(AND(K458="Accept suggestion",F458=""),"No suggestion to accept; ","")&amp;IF(AND(K458="Override",L458=""),"Override URL missing; ","")&amp;IF(AND(K458="Accept suggestion",N(G458)&lt;$G$2),"Below your threshold; ","")&amp;IF(AND(M458&lt;&gt;"",M458=A458,K458&lt;&gt;"No change (same URL)"),"Redirects to itself; ","")&amp;IF(AND(M458&lt;&gt;"",OR(M458="/",AND(LEFT(M458,4)="http",OR((LEN(M458)-LEN(SUBSTITUTE(M458,"/","")))=2,AND((LEN(M458)-LEN(SUBSTITUTE(M458,"/","")))=3,RIGHT(M458,1)="/"))))),"Home page redirect; ","")&amp;IF(N(R458)&gt;1,"Chain; ","")&amp;IF(S458="No","Destination not 200; ","")))</f>
        <v/>
      </c>
      <c r="U458" s="22" t="n"/>
      <c r="V458" s="22" t="n"/>
      <c r="W458" s="4" t="n"/>
    </row>
    <row r="459">
      <c r="A459" s="22" t="n"/>
      <c r="B459" s="22" t="n"/>
      <c r="C459" s="22" t="n"/>
      <c r="D459" s="22">
        <f>IF(A459="","",IF(OR(N(B459)&gt;=$C$2,N(C459)&gt;=$E$2),"High",IF(OR(N(B459)&gt;0,N(C459)&gt;0),"Medium","Low")))</f>
        <v/>
      </c>
      <c r="E459" s="22" t="n"/>
      <c r="F459" s="22" t="n"/>
      <c r="G459" s="22" t="n"/>
      <c r="H459" s="22" t="n"/>
      <c r="I459" s="22" t="n"/>
      <c r="J459" s="22" t="n"/>
      <c r="K459" s="22" t="n"/>
      <c r="L459" s="22" t="n"/>
      <c r="M459" s="22">
        <f>IF(K459="Override",L459,IF(K459="Accept suggestion",F459,IF(K459="No change (same URL)",A459,"")))</f>
        <v/>
      </c>
      <c r="N459" s="22">
        <f>IF(A459="","",IF(K459="410 Gone","410",IF(K459="404","404",IF(K459="No change (same URL)","none",IF(M459="","","301")))))</f>
        <v/>
      </c>
      <c r="O459" s="22">
        <f>IF(A459="","",IFERROR(MID(A459,FIND("/",A459,FIND("//",A459)+2),2000),A459))</f>
        <v/>
      </c>
      <c r="P459" s="22">
        <f>IF(OR(O459="",N459="",N459="none",N459="404"),"",IF(N459="410","Redirect gone "&amp;O459,"Redirect "&amp;N459&amp;" "&amp;O459&amp;" "&amp;M459))</f>
        <v/>
      </c>
      <c r="Q459" s="22" t="n"/>
      <c r="R459" s="22" t="n"/>
      <c r="S459" s="22" t="n"/>
      <c r="T459" s="4">
        <f>IF(A459="","",TRIM(IF(K459="","Needs decision; ","")&amp;IF(AND(K459="Accept suggestion",F459=""),"No suggestion to accept; ","")&amp;IF(AND(K459="Override",L459=""),"Override URL missing; ","")&amp;IF(AND(K459="Accept suggestion",N(G459)&lt;$G$2),"Below your threshold; ","")&amp;IF(AND(M459&lt;&gt;"",M459=A459,K459&lt;&gt;"No change (same URL)"),"Redirects to itself; ","")&amp;IF(AND(M459&lt;&gt;"",OR(M459="/",AND(LEFT(M459,4)="http",OR((LEN(M459)-LEN(SUBSTITUTE(M459,"/","")))=2,AND((LEN(M459)-LEN(SUBSTITUTE(M459,"/","")))=3,RIGHT(M459,1)="/"))))),"Home page redirect; ","")&amp;IF(N(R459)&gt;1,"Chain; ","")&amp;IF(S459="No","Destination not 200; ","")))</f>
        <v/>
      </c>
      <c r="U459" s="22" t="n"/>
      <c r="V459" s="22" t="n"/>
      <c r="W459" s="4" t="n"/>
    </row>
    <row r="460">
      <c r="A460" s="22" t="n"/>
      <c r="B460" s="22" t="n"/>
      <c r="C460" s="22" t="n"/>
      <c r="D460" s="22">
        <f>IF(A460="","",IF(OR(N(B460)&gt;=$C$2,N(C460)&gt;=$E$2),"High",IF(OR(N(B460)&gt;0,N(C460)&gt;0),"Medium","Low")))</f>
        <v/>
      </c>
      <c r="E460" s="22" t="n"/>
      <c r="F460" s="22" t="n"/>
      <c r="G460" s="22" t="n"/>
      <c r="H460" s="22" t="n"/>
      <c r="I460" s="22" t="n"/>
      <c r="J460" s="22" t="n"/>
      <c r="K460" s="22" t="n"/>
      <c r="L460" s="22" t="n"/>
      <c r="M460" s="22">
        <f>IF(K460="Override",L460,IF(K460="Accept suggestion",F460,IF(K460="No change (same URL)",A460,"")))</f>
        <v/>
      </c>
      <c r="N460" s="22">
        <f>IF(A460="","",IF(K460="410 Gone","410",IF(K460="404","404",IF(K460="No change (same URL)","none",IF(M460="","","301")))))</f>
        <v/>
      </c>
      <c r="O460" s="22">
        <f>IF(A460="","",IFERROR(MID(A460,FIND("/",A460,FIND("//",A460)+2),2000),A460))</f>
        <v/>
      </c>
      <c r="P460" s="22">
        <f>IF(OR(O460="",N460="",N460="none",N460="404"),"",IF(N460="410","Redirect gone "&amp;O460,"Redirect "&amp;N460&amp;" "&amp;O460&amp;" "&amp;M460))</f>
        <v/>
      </c>
      <c r="Q460" s="22" t="n"/>
      <c r="R460" s="22" t="n"/>
      <c r="S460" s="22" t="n"/>
      <c r="T460" s="4">
        <f>IF(A460="","",TRIM(IF(K460="","Needs decision; ","")&amp;IF(AND(K460="Accept suggestion",F460=""),"No suggestion to accept; ","")&amp;IF(AND(K460="Override",L460=""),"Override URL missing; ","")&amp;IF(AND(K460="Accept suggestion",N(G460)&lt;$G$2),"Below your threshold; ","")&amp;IF(AND(M460&lt;&gt;"",M460=A460,K460&lt;&gt;"No change (same URL)"),"Redirects to itself; ","")&amp;IF(AND(M460&lt;&gt;"",OR(M460="/",AND(LEFT(M460,4)="http",OR((LEN(M460)-LEN(SUBSTITUTE(M460,"/","")))=2,AND((LEN(M460)-LEN(SUBSTITUTE(M460,"/","")))=3,RIGHT(M460,1)="/"))))),"Home page redirect; ","")&amp;IF(N(R460)&gt;1,"Chain; ","")&amp;IF(S460="No","Destination not 200; ","")))</f>
        <v/>
      </c>
      <c r="U460" s="22" t="n"/>
      <c r="V460" s="22" t="n"/>
      <c r="W460" s="4" t="n"/>
    </row>
    <row r="461">
      <c r="A461" s="22" t="n"/>
      <c r="B461" s="22" t="n"/>
      <c r="C461" s="22" t="n"/>
      <c r="D461" s="22">
        <f>IF(A461="","",IF(OR(N(B461)&gt;=$C$2,N(C461)&gt;=$E$2),"High",IF(OR(N(B461)&gt;0,N(C461)&gt;0),"Medium","Low")))</f>
        <v/>
      </c>
      <c r="E461" s="22" t="n"/>
      <c r="F461" s="22" t="n"/>
      <c r="G461" s="22" t="n"/>
      <c r="H461" s="22" t="n"/>
      <c r="I461" s="22" t="n"/>
      <c r="J461" s="22" t="n"/>
      <c r="K461" s="22" t="n"/>
      <c r="L461" s="22" t="n"/>
      <c r="M461" s="22">
        <f>IF(K461="Override",L461,IF(K461="Accept suggestion",F461,IF(K461="No change (same URL)",A461,"")))</f>
        <v/>
      </c>
      <c r="N461" s="22">
        <f>IF(A461="","",IF(K461="410 Gone","410",IF(K461="404","404",IF(K461="No change (same URL)","none",IF(M461="","","301")))))</f>
        <v/>
      </c>
      <c r="O461" s="22">
        <f>IF(A461="","",IFERROR(MID(A461,FIND("/",A461,FIND("//",A461)+2),2000),A461))</f>
        <v/>
      </c>
      <c r="P461" s="22">
        <f>IF(OR(O461="",N461="",N461="none",N461="404"),"",IF(N461="410","Redirect gone "&amp;O461,"Redirect "&amp;N461&amp;" "&amp;O461&amp;" "&amp;M461))</f>
        <v/>
      </c>
      <c r="Q461" s="22" t="n"/>
      <c r="R461" s="22" t="n"/>
      <c r="S461" s="22" t="n"/>
      <c r="T461" s="4">
        <f>IF(A461="","",TRIM(IF(K461="","Needs decision; ","")&amp;IF(AND(K461="Accept suggestion",F461=""),"No suggestion to accept; ","")&amp;IF(AND(K461="Override",L461=""),"Override URL missing; ","")&amp;IF(AND(K461="Accept suggestion",N(G461)&lt;$G$2),"Below your threshold; ","")&amp;IF(AND(M461&lt;&gt;"",M461=A461,K461&lt;&gt;"No change (same URL)"),"Redirects to itself; ","")&amp;IF(AND(M461&lt;&gt;"",OR(M461="/",AND(LEFT(M461,4)="http",OR((LEN(M461)-LEN(SUBSTITUTE(M461,"/","")))=2,AND((LEN(M461)-LEN(SUBSTITUTE(M461,"/","")))=3,RIGHT(M461,1)="/"))))),"Home page redirect; ","")&amp;IF(N(R461)&gt;1,"Chain; ","")&amp;IF(S461="No","Destination not 200; ","")))</f>
        <v/>
      </c>
      <c r="U461" s="22" t="n"/>
      <c r="V461" s="22" t="n"/>
      <c r="W461" s="4" t="n"/>
    </row>
    <row r="462">
      <c r="A462" s="22" t="n"/>
      <c r="B462" s="22" t="n"/>
      <c r="C462" s="22" t="n"/>
      <c r="D462" s="22">
        <f>IF(A462="","",IF(OR(N(B462)&gt;=$C$2,N(C462)&gt;=$E$2),"High",IF(OR(N(B462)&gt;0,N(C462)&gt;0),"Medium","Low")))</f>
        <v/>
      </c>
      <c r="E462" s="22" t="n"/>
      <c r="F462" s="22" t="n"/>
      <c r="G462" s="22" t="n"/>
      <c r="H462" s="22" t="n"/>
      <c r="I462" s="22" t="n"/>
      <c r="J462" s="22" t="n"/>
      <c r="K462" s="22" t="n"/>
      <c r="L462" s="22" t="n"/>
      <c r="M462" s="22">
        <f>IF(K462="Override",L462,IF(K462="Accept suggestion",F462,IF(K462="No change (same URL)",A462,"")))</f>
        <v/>
      </c>
      <c r="N462" s="22">
        <f>IF(A462="","",IF(K462="410 Gone","410",IF(K462="404","404",IF(K462="No change (same URL)","none",IF(M462="","","301")))))</f>
        <v/>
      </c>
      <c r="O462" s="22">
        <f>IF(A462="","",IFERROR(MID(A462,FIND("/",A462,FIND("//",A462)+2),2000),A462))</f>
        <v/>
      </c>
      <c r="P462" s="22">
        <f>IF(OR(O462="",N462="",N462="none",N462="404"),"",IF(N462="410","Redirect gone "&amp;O462,"Redirect "&amp;N462&amp;" "&amp;O462&amp;" "&amp;M462))</f>
        <v/>
      </c>
      <c r="Q462" s="22" t="n"/>
      <c r="R462" s="22" t="n"/>
      <c r="S462" s="22" t="n"/>
      <c r="T462" s="4">
        <f>IF(A462="","",TRIM(IF(K462="","Needs decision; ","")&amp;IF(AND(K462="Accept suggestion",F462=""),"No suggestion to accept; ","")&amp;IF(AND(K462="Override",L462=""),"Override URL missing; ","")&amp;IF(AND(K462="Accept suggestion",N(G462)&lt;$G$2),"Below your threshold; ","")&amp;IF(AND(M462&lt;&gt;"",M462=A462,K462&lt;&gt;"No change (same URL)"),"Redirects to itself; ","")&amp;IF(AND(M462&lt;&gt;"",OR(M462="/",AND(LEFT(M462,4)="http",OR((LEN(M462)-LEN(SUBSTITUTE(M462,"/","")))=2,AND((LEN(M462)-LEN(SUBSTITUTE(M462,"/","")))=3,RIGHT(M462,1)="/"))))),"Home page redirect; ","")&amp;IF(N(R462)&gt;1,"Chain; ","")&amp;IF(S462="No","Destination not 200; ","")))</f>
        <v/>
      </c>
      <c r="U462" s="22" t="n"/>
      <c r="V462" s="22" t="n"/>
      <c r="W462" s="4" t="n"/>
    </row>
    <row r="463">
      <c r="A463" s="22" t="n"/>
      <c r="B463" s="22" t="n"/>
      <c r="C463" s="22" t="n"/>
      <c r="D463" s="22">
        <f>IF(A463="","",IF(OR(N(B463)&gt;=$C$2,N(C463)&gt;=$E$2),"High",IF(OR(N(B463)&gt;0,N(C463)&gt;0),"Medium","Low")))</f>
        <v/>
      </c>
      <c r="E463" s="22" t="n"/>
      <c r="F463" s="22" t="n"/>
      <c r="G463" s="22" t="n"/>
      <c r="H463" s="22" t="n"/>
      <c r="I463" s="22" t="n"/>
      <c r="J463" s="22" t="n"/>
      <c r="K463" s="22" t="n"/>
      <c r="L463" s="22" t="n"/>
      <c r="M463" s="22">
        <f>IF(K463="Override",L463,IF(K463="Accept suggestion",F463,IF(K463="No change (same URL)",A463,"")))</f>
        <v/>
      </c>
      <c r="N463" s="22">
        <f>IF(A463="","",IF(K463="410 Gone","410",IF(K463="404","404",IF(K463="No change (same URL)","none",IF(M463="","","301")))))</f>
        <v/>
      </c>
      <c r="O463" s="22">
        <f>IF(A463="","",IFERROR(MID(A463,FIND("/",A463,FIND("//",A463)+2),2000),A463))</f>
        <v/>
      </c>
      <c r="P463" s="22">
        <f>IF(OR(O463="",N463="",N463="none",N463="404"),"",IF(N463="410","Redirect gone "&amp;O463,"Redirect "&amp;N463&amp;" "&amp;O463&amp;" "&amp;M463))</f>
        <v/>
      </c>
      <c r="Q463" s="22" t="n"/>
      <c r="R463" s="22" t="n"/>
      <c r="S463" s="22" t="n"/>
      <c r="T463" s="4">
        <f>IF(A463="","",TRIM(IF(K463="","Needs decision; ","")&amp;IF(AND(K463="Accept suggestion",F463=""),"No suggestion to accept; ","")&amp;IF(AND(K463="Override",L463=""),"Override URL missing; ","")&amp;IF(AND(K463="Accept suggestion",N(G463)&lt;$G$2),"Below your threshold; ","")&amp;IF(AND(M463&lt;&gt;"",M463=A463,K463&lt;&gt;"No change (same URL)"),"Redirects to itself; ","")&amp;IF(AND(M463&lt;&gt;"",OR(M463="/",AND(LEFT(M463,4)="http",OR((LEN(M463)-LEN(SUBSTITUTE(M463,"/","")))=2,AND((LEN(M463)-LEN(SUBSTITUTE(M463,"/","")))=3,RIGHT(M463,1)="/"))))),"Home page redirect; ","")&amp;IF(N(R463)&gt;1,"Chain; ","")&amp;IF(S463="No","Destination not 200; ","")))</f>
        <v/>
      </c>
      <c r="U463" s="22" t="n"/>
      <c r="V463" s="22" t="n"/>
      <c r="W463" s="4" t="n"/>
    </row>
    <row r="464">
      <c r="A464" s="22" t="n"/>
      <c r="B464" s="22" t="n"/>
      <c r="C464" s="22" t="n"/>
      <c r="D464" s="22">
        <f>IF(A464="","",IF(OR(N(B464)&gt;=$C$2,N(C464)&gt;=$E$2),"High",IF(OR(N(B464)&gt;0,N(C464)&gt;0),"Medium","Low")))</f>
        <v/>
      </c>
      <c r="E464" s="22" t="n"/>
      <c r="F464" s="22" t="n"/>
      <c r="G464" s="22" t="n"/>
      <c r="H464" s="22" t="n"/>
      <c r="I464" s="22" t="n"/>
      <c r="J464" s="22" t="n"/>
      <c r="K464" s="22" t="n"/>
      <c r="L464" s="22" t="n"/>
      <c r="M464" s="22">
        <f>IF(K464="Override",L464,IF(K464="Accept suggestion",F464,IF(K464="No change (same URL)",A464,"")))</f>
        <v/>
      </c>
      <c r="N464" s="22">
        <f>IF(A464="","",IF(K464="410 Gone","410",IF(K464="404","404",IF(K464="No change (same URL)","none",IF(M464="","","301")))))</f>
        <v/>
      </c>
      <c r="O464" s="22">
        <f>IF(A464="","",IFERROR(MID(A464,FIND("/",A464,FIND("//",A464)+2),2000),A464))</f>
        <v/>
      </c>
      <c r="P464" s="22">
        <f>IF(OR(O464="",N464="",N464="none",N464="404"),"",IF(N464="410","Redirect gone "&amp;O464,"Redirect "&amp;N464&amp;" "&amp;O464&amp;" "&amp;M464))</f>
        <v/>
      </c>
      <c r="Q464" s="22" t="n"/>
      <c r="R464" s="22" t="n"/>
      <c r="S464" s="22" t="n"/>
      <c r="T464" s="4">
        <f>IF(A464="","",TRIM(IF(K464="","Needs decision; ","")&amp;IF(AND(K464="Accept suggestion",F464=""),"No suggestion to accept; ","")&amp;IF(AND(K464="Override",L464=""),"Override URL missing; ","")&amp;IF(AND(K464="Accept suggestion",N(G464)&lt;$G$2),"Below your threshold; ","")&amp;IF(AND(M464&lt;&gt;"",M464=A464,K464&lt;&gt;"No change (same URL)"),"Redirects to itself; ","")&amp;IF(AND(M464&lt;&gt;"",OR(M464="/",AND(LEFT(M464,4)="http",OR((LEN(M464)-LEN(SUBSTITUTE(M464,"/","")))=2,AND((LEN(M464)-LEN(SUBSTITUTE(M464,"/","")))=3,RIGHT(M464,1)="/"))))),"Home page redirect; ","")&amp;IF(N(R464)&gt;1,"Chain; ","")&amp;IF(S464="No","Destination not 200; ","")))</f>
        <v/>
      </c>
      <c r="U464" s="22" t="n"/>
      <c r="V464" s="22" t="n"/>
      <c r="W464" s="4" t="n"/>
    </row>
    <row r="465">
      <c r="A465" s="22" t="n"/>
      <c r="B465" s="22" t="n"/>
      <c r="C465" s="22" t="n"/>
      <c r="D465" s="22">
        <f>IF(A465="","",IF(OR(N(B465)&gt;=$C$2,N(C465)&gt;=$E$2),"High",IF(OR(N(B465)&gt;0,N(C465)&gt;0),"Medium","Low")))</f>
        <v/>
      </c>
      <c r="E465" s="22" t="n"/>
      <c r="F465" s="22" t="n"/>
      <c r="G465" s="22" t="n"/>
      <c r="H465" s="22" t="n"/>
      <c r="I465" s="22" t="n"/>
      <c r="J465" s="22" t="n"/>
      <c r="K465" s="22" t="n"/>
      <c r="L465" s="22" t="n"/>
      <c r="M465" s="22">
        <f>IF(K465="Override",L465,IF(K465="Accept suggestion",F465,IF(K465="No change (same URL)",A465,"")))</f>
        <v/>
      </c>
      <c r="N465" s="22">
        <f>IF(A465="","",IF(K465="410 Gone","410",IF(K465="404","404",IF(K465="No change (same URL)","none",IF(M465="","","301")))))</f>
        <v/>
      </c>
      <c r="O465" s="22">
        <f>IF(A465="","",IFERROR(MID(A465,FIND("/",A465,FIND("//",A465)+2),2000),A465))</f>
        <v/>
      </c>
      <c r="P465" s="22">
        <f>IF(OR(O465="",N465="",N465="none",N465="404"),"",IF(N465="410","Redirect gone "&amp;O465,"Redirect "&amp;N465&amp;" "&amp;O465&amp;" "&amp;M465))</f>
        <v/>
      </c>
      <c r="Q465" s="22" t="n"/>
      <c r="R465" s="22" t="n"/>
      <c r="S465" s="22" t="n"/>
      <c r="T465" s="4">
        <f>IF(A465="","",TRIM(IF(K465="","Needs decision; ","")&amp;IF(AND(K465="Accept suggestion",F465=""),"No suggestion to accept; ","")&amp;IF(AND(K465="Override",L465=""),"Override URL missing; ","")&amp;IF(AND(K465="Accept suggestion",N(G465)&lt;$G$2),"Below your threshold; ","")&amp;IF(AND(M465&lt;&gt;"",M465=A465,K465&lt;&gt;"No change (same URL)"),"Redirects to itself; ","")&amp;IF(AND(M465&lt;&gt;"",OR(M465="/",AND(LEFT(M465,4)="http",OR((LEN(M465)-LEN(SUBSTITUTE(M465,"/","")))=2,AND((LEN(M465)-LEN(SUBSTITUTE(M465,"/","")))=3,RIGHT(M465,1)="/"))))),"Home page redirect; ","")&amp;IF(N(R465)&gt;1,"Chain; ","")&amp;IF(S465="No","Destination not 200; ","")))</f>
        <v/>
      </c>
      <c r="U465" s="22" t="n"/>
      <c r="V465" s="22" t="n"/>
      <c r="W465" s="4" t="n"/>
    </row>
    <row r="466">
      <c r="A466" s="22" t="n"/>
      <c r="B466" s="22" t="n"/>
      <c r="C466" s="22" t="n"/>
      <c r="D466" s="22">
        <f>IF(A466="","",IF(OR(N(B466)&gt;=$C$2,N(C466)&gt;=$E$2),"High",IF(OR(N(B466)&gt;0,N(C466)&gt;0),"Medium","Low")))</f>
        <v/>
      </c>
      <c r="E466" s="22" t="n"/>
      <c r="F466" s="22" t="n"/>
      <c r="G466" s="22" t="n"/>
      <c r="H466" s="22" t="n"/>
      <c r="I466" s="22" t="n"/>
      <c r="J466" s="22" t="n"/>
      <c r="K466" s="22" t="n"/>
      <c r="L466" s="22" t="n"/>
      <c r="M466" s="22">
        <f>IF(K466="Override",L466,IF(K466="Accept suggestion",F466,IF(K466="No change (same URL)",A466,"")))</f>
        <v/>
      </c>
      <c r="N466" s="22">
        <f>IF(A466="","",IF(K466="410 Gone","410",IF(K466="404","404",IF(K466="No change (same URL)","none",IF(M466="","","301")))))</f>
        <v/>
      </c>
      <c r="O466" s="22">
        <f>IF(A466="","",IFERROR(MID(A466,FIND("/",A466,FIND("//",A466)+2),2000),A466))</f>
        <v/>
      </c>
      <c r="P466" s="22">
        <f>IF(OR(O466="",N466="",N466="none",N466="404"),"",IF(N466="410","Redirect gone "&amp;O466,"Redirect "&amp;N466&amp;" "&amp;O466&amp;" "&amp;M466))</f>
        <v/>
      </c>
      <c r="Q466" s="22" t="n"/>
      <c r="R466" s="22" t="n"/>
      <c r="S466" s="22" t="n"/>
      <c r="T466" s="4">
        <f>IF(A466="","",TRIM(IF(K466="","Needs decision; ","")&amp;IF(AND(K466="Accept suggestion",F466=""),"No suggestion to accept; ","")&amp;IF(AND(K466="Override",L466=""),"Override URL missing; ","")&amp;IF(AND(K466="Accept suggestion",N(G466)&lt;$G$2),"Below your threshold; ","")&amp;IF(AND(M466&lt;&gt;"",M466=A466,K466&lt;&gt;"No change (same URL)"),"Redirects to itself; ","")&amp;IF(AND(M466&lt;&gt;"",OR(M466="/",AND(LEFT(M466,4)="http",OR((LEN(M466)-LEN(SUBSTITUTE(M466,"/","")))=2,AND((LEN(M466)-LEN(SUBSTITUTE(M466,"/","")))=3,RIGHT(M466,1)="/"))))),"Home page redirect; ","")&amp;IF(N(R466)&gt;1,"Chain; ","")&amp;IF(S466="No","Destination not 200; ","")))</f>
        <v/>
      </c>
      <c r="U466" s="22" t="n"/>
      <c r="V466" s="22" t="n"/>
      <c r="W466" s="4" t="n"/>
    </row>
    <row r="467">
      <c r="A467" s="22" t="n"/>
      <c r="B467" s="22" t="n"/>
      <c r="C467" s="22" t="n"/>
      <c r="D467" s="22">
        <f>IF(A467="","",IF(OR(N(B467)&gt;=$C$2,N(C467)&gt;=$E$2),"High",IF(OR(N(B467)&gt;0,N(C467)&gt;0),"Medium","Low")))</f>
        <v/>
      </c>
      <c r="E467" s="22" t="n"/>
      <c r="F467" s="22" t="n"/>
      <c r="G467" s="22" t="n"/>
      <c r="H467" s="22" t="n"/>
      <c r="I467" s="22" t="n"/>
      <c r="J467" s="22" t="n"/>
      <c r="K467" s="22" t="n"/>
      <c r="L467" s="22" t="n"/>
      <c r="M467" s="22">
        <f>IF(K467="Override",L467,IF(K467="Accept suggestion",F467,IF(K467="No change (same URL)",A467,"")))</f>
        <v/>
      </c>
      <c r="N467" s="22">
        <f>IF(A467="","",IF(K467="410 Gone","410",IF(K467="404","404",IF(K467="No change (same URL)","none",IF(M467="","","301")))))</f>
        <v/>
      </c>
      <c r="O467" s="22">
        <f>IF(A467="","",IFERROR(MID(A467,FIND("/",A467,FIND("//",A467)+2),2000),A467))</f>
        <v/>
      </c>
      <c r="P467" s="22">
        <f>IF(OR(O467="",N467="",N467="none",N467="404"),"",IF(N467="410","Redirect gone "&amp;O467,"Redirect "&amp;N467&amp;" "&amp;O467&amp;" "&amp;M467))</f>
        <v/>
      </c>
      <c r="Q467" s="22" t="n"/>
      <c r="R467" s="22" t="n"/>
      <c r="S467" s="22" t="n"/>
      <c r="T467" s="4">
        <f>IF(A467="","",TRIM(IF(K467="","Needs decision; ","")&amp;IF(AND(K467="Accept suggestion",F467=""),"No suggestion to accept; ","")&amp;IF(AND(K467="Override",L467=""),"Override URL missing; ","")&amp;IF(AND(K467="Accept suggestion",N(G467)&lt;$G$2),"Below your threshold; ","")&amp;IF(AND(M467&lt;&gt;"",M467=A467,K467&lt;&gt;"No change (same URL)"),"Redirects to itself; ","")&amp;IF(AND(M467&lt;&gt;"",OR(M467="/",AND(LEFT(M467,4)="http",OR((LEN(M467)-LEN(SUBSTITUTE(M467,"/","")))=2,AND((LEN(M467)-LEN(SUBSTITUTE(M467,"/","")))=3,RIGHT(M467,1)="/"))))),"Home page redirect; ","")&amp;IF(N(R467)&gt;1,"Chain; ","")&amp;IF(S467="No","Destination not 200; ","")))</f>
        <v/>
      </c>
      <c r="U467" s="22" t="n"/>
      <c r="V467" s="22" t="n"/>
      <c r="W467" s="4" t="n"/>
    </row>
    <row r="468">
      <c r="A468" s="22" t="n"/>
      <c r="B468" s="22" t="n"/>
      <c r="C468" s="22" t="n"/>
      <c r="D468" s="22">
        <f>IF(A468="","",IF(OR(N(B468)&gt;=$C$2,N(C468)&gt;=$E$2),"High",IF(OR(N(B468)&gt;0,N(C468)&gt;0),"Medium","Low")))</f>
        <v/>
      </c>
      <c r="E468" s="22" t="n"/>
      <c r="F468" s="22" t="n"/>
      <c r="G468" s="22" t="n"/>
      <c r="H468" s="22" t="n"/>
      <c r="I468" s="22" t="n"/>
      <c r="J468" s="22" t="n"/>
      <c r="K468" s="22" t="n"/>
      <c r="L468" s="22" t="n"/>
      <c r="M468" s="22">
        <f>IF(K468="Override",L468,IF(K468="Accept suggestion",F468,IF(K468="No change (same URL)",A468,"")))</f>
        <v/>
      </c>
      <c r="N468" s="22">
        <f>IF(A468="","",IF(K468="410 Gone","410",IF(K468="404","404",IF(K468="No change (same URL)","none",IF(M468="","","301")))))</f>
        <v/>
      </c>
      <c r="O468" s="22">
        <f>IF(A468="","",IFERROR(MID(A468,FIND("/",A468,FIND("//",A468)+2),2000),A468))</f>
        <v/>
      </c>
      <c r="P468" s="22">
        <f>IF(OR(O468="",N468="",N468="none",N468="404"),"",IF(N468="410","Redirect gone "&amp;O468,"Redirect "&amp;N468&amp;" "&amp;O468&amp;" "&amp;M468))</f>
        <v/>
      </c>
      <c r="Q468" s="22" t="n"/>
      <c r="R468" s="22" t="n"/>
      <c r="S468" s="22" t="n"/>
      <c r="T468" s="4">
        <f>IF(A468="","",TRIM(IF(K468="","Needs decision; ","")&amp;IF(AND(K468="Accept suggestion",F468=""),"No suggestion to accept; ","")&amp;IF(AND(K468="Override",L468=""),"Override URL missing; ","")&amp;IF(AND(K468="Accept suggestion",N(G468)&lt;$G$2),"Below your threshold; ","")&amp;IF(AND(M468&lt;&gt;"",M468=A468,K468&lt;&gt;"No change (same URL)"),"Redirects to itself; ","")&amp;IF(AND(M468&lt;&gt;"",OR(M468="/",AND(LEFT(M468,4)="http",OR((LEN(M468)-LEN(SUBSTITUTE(M468,"/","")))=2,AND((LEN(M468)-LEN(SUBSTITUTE(M468,"/","")))=3,RIGHT(M468,1)="/"))))),"Home page redirect; ","")&amp;IF(N(R468)&gt;1,"Chain; ","")&amp;IF(S468="No","Destination not 200; ","")))</f>
        <v/>
      </c>
      <c r="U468" s="22" t="n"/>
      <c r="V468" s="22" t="n"/>
      <c r="W468" s="4" t="n"/>
    </row>
    <row r="469">
      <c r="A469" s="22" t="n"/>
      <c r="B469" s="22" t="n"/>
      <c r="C469" s="22" t="n"/>
      <c r="D469" s="22">
        <f>IF(A469="","",IF(OR(N(B469)&gt;=$C$2,N(C469)&gt;=$E$2),"High",IF(OR(N(B469)&gt;0,N(C469)&gt;0),"Medium","Low")))</f>
        <v/>
      </c>
      <c r="E469" s="22" t="n"/>
      <c r="F469" s="22" t="n"/>
      <c r="G469" s="22" t="n"/>
      <c r="H469" s="22" t="n"/>
      <c r="I469" s="22" t="n"/>
      <c r="J469" s="22" t="n"/>
      <c r="K469" s="22" t="n"/>
      <c r="L469" s="22" t="n"/>
      <c r="M469" s="22">
        <f>IF(K469="Override",L469,IF(K469="Accept suggestion",F469,IF(K469="No change (same URL)",A469,"")))</f>
        <v/>
      </c>
      <c r="N469" s="22">
        <f>IF(A469="","",IF(K469="410 Gone","410",IF(K469="404","404",IF(K469="No change (same URL)","none",IF(M469="","","301")))))</f>
        <v/>
      </c>
      <c r="O469" s="22">
        <f>IF(A469="","",IFERROR(MID(A469,FIND("/",A469,FIND("//",A469)+2),2000),A469))</f>
        <v/>
      </c>
      <c r="P469" s="22">
        <f>IF(OR(O469="",N469="",N469="none",N469="404"),"",IF(N469="410","Redirect gone "&amp;O469,"Redirect "&amp;N469&amp;" "&amp;O469&amp;" "&amp;M469))</f>
        <v/>
      </c>
      <c r="Q469" s="22" t="n"/>
      <c r="R469" s="22" t="n"/>
      <c r="S469" s="22" t="n"/>
      <c r="T469" s="4">
        <f>IF(A469="","",TRIM(IF(K469="","Needs decision; ","")&amp;IF(AND(K469="Accept suggestion",F469=""),"No suggestion to accept; ","")&amp;IF(AND(K469="Override",L469=""),"Override URL missing; ","")&amp;IF(AND(K469="Accept suggestion",N(G469)&lt;$G$2),"Below your threshold; ","")&amp;IF(AND(M469&lt;&gt;"",M469=A469,K469&lt;&gt;"No change (same URL)"),"Redirects to itself; ","")&amp;IF(AND(M469&lt;&gt;"",OR(M469="/",AND(LEFT(M469,4)="http",OR((LEN(M469)-LEN(SUBSTITUTE(M469,"/","")))=2,AND((LEN(M469)-LEN(SUBSTITUTE(M469,"/","")))=3,RIGHT(M469,1)="/"))))),"Home page redirect; ","")&amp;IF(N(R469)&gt;1,"Chain; ","")&amp;IF(S469="No","Destination not 200; ","")))</f>
        <v/>
      </c>
      <c r="U469" s="22" t="n"/>
      <c r="V469" s="22" t="n"/>
      <c r="W469" s="4" t="n"/>
    </row>
    <row r="470">
      <c r="A470" s="22" t="n"/>
      <c r="B470" s="22" t="n"/>
      <c r="C470" s="22" t="n"/>
      <c r="D470" s="22">
        <f>IF(A470="","",IF(OR(N(B470)&gt;=$C$2,N(C470)&gt;=$E$2),"High",IF(OR(N(B470)&gt;0,N(C470)&gt;0),"Medium","Low")))</f>
        <v/>
      </c>
      <c r="E470" s="22" t="n"/>
      <c r="F470" s="22" t="n"/>
      <c r="G470" s="22" t="n"/>
      <c r="H470" s="22" t="n"/>
      <c r="I470" s="22" t="n"/>
      <c r="J470" s="22" t="n"/>
      <c r="K470" s="22" t="n"/>
      <c r="L470" s="22" t="n"/>
      <c r="M470" s="22">
        <f>IF(K470="Override",L470,IF(K470="Accept suggestion",F470,IF(K470="No change (same URL)",A470,"")))</f>
        <v/>
      </c>
      <c r="N470" s="22">
        <f>IF(A470="","",IF(K470="410 Gone","410",IF(K470="404","404",IF(K470="No change (same URL)","none",IF(M470="","","301")))))</f>
        <v/>
      </c>
      <c r="O470" s="22">
        <f>IF(A470="","",IFERROR(MID(A470,FIND("/",A470,FIND("//",A470)+2),2000),A470))</f>
        <v/>
      </c>
      <c r="P470" s="22">
        <f>IF(OR(O470="",N470="",N470="none",N470="404"),"",IF(N470="410","Redirect gone "&amp;O470,"Redirect "&amp;N470&amp;" "&amp;O470&amp;" "&amp;M470))</f>
        <v/>
      </c>
      <c r="Q470" s="22" t="n"/>
      <c r="R470" s="22" t="n"/>
      <c r="S470" s="22" t="n"/>
      <c r="T470" s="4">
        <f>IF(A470="","",TRIM(IF(K470="","Needs decision; ","")&amp;IF(AND(K470="Accept suggestion",F470=""),"No suggestion to accept; ","")&amp;IF(AND(K470="Override",L470=""),"Override URL missing; ","")&amp;IF(AND(K470="Accept suggestion",N(G470)&lt;$G$2),"Below your threshold; ","")&amp;IF(AND(M470&lt;&gt;"",M470=A470,K470&lt;&gt;"No change (same URL)"),"Redirects to itself; ","")&amp;IF(AND(M470&lt;&gt;"",OR(M470="/",AND(LEFT(M470,4)="http",OR((LEN(M470)-LEN(SUBSTITUTE(M470,"/","")))=2,AND((LEN(M470)-LEN(SUBSTITUTE(M470,"/","")))=3,RIGHT(M470,1)="/"))))),"Home page redirect; ","")&amp;IF(N(R470)&gt;1,"Chain; ","")&amp;IF(S470="No","Destination not 200; ","")))</f>
        <v/>
      </c>
      <c r="U470" s="22" t="n"/>
      <c r="V470" s="22" t="n"/>
      <c r="W470" s="4" t="n"/>
    </row>
    <row r="471">
      <c r="A471" s="22" t="n"/>
      <c r="B471" s="22" t="n"/>
      <c r="C471" s="22" t="n"/>
      <c r="D471" s="22">
        <f>IF(A471="","",IF(OR(N(B471)&gt;=$C$2,N(C471)&gt;=$E$2),"High",IF(OR(N(B471)&gt;0,N(C471)&gt;0),"Medium","Low")))</f>
        <v/>
      </c>
      <c r="E471" s="22" t="n"/>
      <c r="F471" s="22" t="n"/>
      <c r="G471" s="22" t="n"/>
      <c r="H471" s="22" t="n"/>
      <c r="I471" s="22" t="n"/>
      <c r="J471" s="22" t="n"/>
      <c r="K471" s="22" t="n"/>
      <c r="L471" s="22" t="n"/>
      <c r="M471" s="22">
        <f>IF(K471="Override",L471,IF(K471="Accept suggestion",F471,IF(K471="No change (same URL)",A471,"")))</f>
        <v/>
      </c>
      <c r="N471" s="22">
        <f>IF(A471="","",IF(K471="410 Gone","410",IF(K471="404","404",IF(K471="No change (same URL)","none",IF(M471="","","301")))))</f>
        <v/>
      </c>
      <c r="O471" s="22">
        <f>IF(A471="","",IFERROR(MID(A471,FIND("/",A471,FIND("//",A471)+2),2000),A471))</f>
        <v/>
      </c>
      <c r="P471" s="22">
        <f>IF(OR(O471="",N471="",N471="none",N471="404"),"",IF(N471="410","Redirect gone "&amp;O471,"Redirect "&amp;N471&amp;" "&amp;O471&amp;" "&amp;M471))</f>
        <v/>
      </c>
      <c r="Q471" s="22" t="n"/>
      <c r="R471" s="22" t="n"/>
      <c r="S471" s="22" t="n"/>
      <c r="T471" s="4">
        <f>IF(A471="","",TRIM(IF(K471="","Needs decision; ","")&amp;IF(AND(K471="Accept suggestion",F471=""),"No suggestion to accept; ","")&amp;IF(AND(K471="Override",L471=""),"Override URL missing; ","")&amp;IF(AND(K471="Accept suggestion",N(G471)&lt;$G$2),"Below your threshold; ","")&amp;IF(AND(M471&lt;&gt;"",M471=A471,K471&lt;&gt;"No change (same URL)"),"Redirects to itself; ","")&amp;IF(AND(M471&lt;&gt;"",OR(M471="/",AND(LEFT(M471,4)="http",OR((LEN(M471)-LEN(SUBSTITUTE(M471,"/","")))=2,AND((LEN(M471)-LEN(SUBSTITUTE(M471,"/","")))=3,RIGHT(M471,1)="/"))))),"Home page redirect; ","")&amp;IF(N(R471)&gt;1,"Chain; ","")&amp;IF(S471="No","Destination not 200; ","")))</f>
        <v/>
      </c>
      <c r="U471" s="22" t="n"/>
      <c r="V471" s="22" t="n"/>
      <c r="W471" s="4" t="n"/>
    </row>
    <row r="472">
      <c r="A472" s="22" t="n"/>
      <c r="B472" s="22" t="n"/>
      <c r="C472" s="22" t="n"/>
      <c r="D472" s="22">
        <f>IF(A472="","",IF(OR(N(B472)&gt;=$C$2,N(C472)&gt;=$E$2),"High",IF(OR(N(B472)&gt;0,N(C472)&gt;0),"Medium","Low")))</f>
        <v/>
      </c>
      <c r="E472" s="22" t="n"/>
      <c r="F472" s="22" t="n"/>
      <c r="G472" s="22" t="n"/>
      <c r="H472" s="22" t="n"/>
      <c r="I472" s="22" t="n"/>
      <c r="J472" s="22" t="n"/>
      <c r="K472" s="22" t="n"/>
      <c r="L472" s="22" t="n"/>
      <c r="M472" s="22">
        <f>IF(K472="Override",L472,IF(K472="Accept suggestion",F472,IF(K472="No change (same URL)",A472,"")))</f>
        <v/>
      </c>
      <c r="N472" s="22">
        <f>IF(A472="","",IF(K472="410 Gone","410",IF(K472="404","404",IF(K472="No change (same URL)","none",IF(M472="","","301")))))</f>
        <v/>
      </c>
      <c r="O472" s="22">
        <f>IF(A472="","",IFERROR(MID(A472,FIND("/",A472,FIND("//",A472)+2),2000),A472))</f>
        <v/>
      </c>
      <c r="P472" s="22">
        <f>IF(OR(O472="",N472="",N472="none",N472="404"),"",IF(N472="410","Redirect gone "&amp;O472,"Redirect "&amp;N472&amp;" "&amp;O472&amp;" "&amp;M472))</f>
        <v/>
      </c>
      <c r="Q472" s="22" t="n"/>
      <c r="R472" s="22" t="n"/>
      <c r="S472" s="22" t="n"/>
      <c r="T472" s="4">
        <f>IF(A472="","",TRIM(IF(K472="","Needs decision; ","")&amp;IF(AND(K472="Accept suggestion",F472=""),"No suggestion to accept; ","")&amp;IF(AND(K472="Override",L472=""),"Override URL missing; ","")&amp;IF(AND(K472="Accept suggestion",N(G472)&lt;$G$2),"Below your threshold; ","")&amp;IF(AND(M472&lt;&gt;"",M472=A472,K472&lt;&gt;"No change (same URL)"),"Redirects to itself; ","")&amp;IF(AND(M472&lt;&gt;"",OR(M472="/",AND(LEFT(M472,4)="http",OR((LEN(M472)-LEN(SUBSTITUTE(M472,"/","")))=2,AND((LEN(M472)-LEN(SUBSTITUTE(M472,"/","")))=3,RIGHT(M472,1)="/"))))),"Home page redirect; ","")&amp;IF(N(R472)&gt;1,"Chain; ","")&amp;IF(S472="No","Destination not 200; ","")))</f>
        <v/>
      </c>
      <c r="U472" s="22" t="n"/>
      <c r="V472" s="22" t="n"/>
      <c r="W472" s="4" t="n"/>
    </row>
    <row r="473">
      <c r="A473" s="22" t="n"/>
      <c r="B473" s="22" t="n"/>
      <c r="C473" s="22" t="n"/>
      <c r="D473" s="22">
        <f>IF(A473="","",IF(OR(N(B473)&gt;=$C$2,N(C473)&gt;=$E$2),"High",IF(OR(N(B473)&gt;0,N(C473)&gt;0),"Medium","Low")))</f>
        <v/>
      </c>
      <c r="E473" s="22" t="n"/>
      <c r="F473" s="22" t="n"/>
      <c r="G473" s="22" t="n"/>
      <c r="H473" s="22" t="n"/>
      <c r="I473" s="22" t="n"/>
      <c r="J473" s="22" t="n"/>
      <c r="K473" s="22" t="n"/>
      <c r="L473" s="22" t="n"/>
      <c r="M473" s="22">
        <f>IF(K473="Override",L473,IF(K473="Accept suggestion",F473,IF(K473="No change (same URL)",A473,"")))</f>
        <v/>
      </c>
      <c r="N473" s="22">
        <f>IF(A473="","",IF(K473="410 Gone","410",IF(K473="404","404",IF(K473="No change (same URL)","none",IF(M473="","","301")))))</f>
        <v/>
      </c>
      <c r="O473" s="22">
        <f>IF(A473="","",IFERROR(MID(A473,FIND("/",A473,FIND("//",A473)+2),2000),A473))</f>
        <v/>
      </c>
      <c r="P473" s="22">
        <f>IF(OR(O473="",N473="",N473="none",N473="404"),"",IF(N473="410","Redirect gone "&amp;O473,"Redirect "&amp;N473&amp;" "&amp;O473&amp;" "&amp;M473))</f>
        <v/>
      </c>
      <c r="Q473" s="22" t="n"/>
      <c r="R473" s="22" t="n"/>
      <c r="S473" s="22" t="n"/>
      <c r="T473" s="4">
        <f>IF(A473="","",TRIM(IF(K473="","Needs decision; ","")&amp;IF(AND(K473="Accept suggestion",F473=""),"No suggestion to accept; ","")&amp;IF(AND(K473="Override",L473=""),"Override URL missing; ","")&amp;IF(AND(K473="Accept suggestion",N(G473)&lt;$G$2),"Below your threshold; ","")&amp;IF(AND(M473&lt;&gt;"",M473=A473,K473&lt;&gt;"No change (same URL)"),"Redirects to itself; ","")&amp;IF(AND(M473&lt;&gt;"",OR(M473="/",AND(LEFT(M473,4)="http",OR((LEN(M473)-LEN(SUBSTITUTE(M473,"/","")))=2,AND((LEN(M473)-LEN(SUBSTITUTE(M473,"/","")))=3,RIGHT(M473,1)="/"))))),"Home page redirect; ","")&amp;IF(N(R473)&gt;1,"Chain; ","")&amp;IF(S473="No","Destination not 200; ","")))</f>
        <v/>
      </c>
      <c r="U473" s="22" t="n"/>
      <c r="V473" s="22" t="n"/>
      <c r="W473" s="4" t="n"/>
    </row>
    <row r="474">
      <c r="A474" s="22" t="n"/>
      <c r="B474" s="22" t="n"/>
      <c r="C474" s="22" t="n"/>
      <c r="D474" s="22">
        <f>IF(A474="","",IF(OR(N(B474)&gt;=$C$2,N(C474)&gt;=$E$2),"High",IF(OR(N(B474)&gt;0,N(C474)&gt;0),"Medium","Low")))</f>
        <v/>
      </c>
      <c r="E474" s="22" t="n"/>
      <c r="F474" s="22" t="n"/>
      <c r="G474" s="22" t="n"/>
      <c r="H474" s="22" t="n"/>
      <c r="I474" s="22" t="n"/>
      <c r="J474" s="22" t="n"/>
      <c r="K474" s="22" t="n"/>
      <c r="L474" s="22" t="n"/>
      <c r="M474" s="22">
        <f>IF(K474="Override",L474,IF(K474="Accept suggestion",F474,IF(K474="No change (same URL)",A474,"")))</f>
        <v/>
      </c>
      <c r="N474" s="22">
        <f>IF(A474="","",IF(K474="410 Gone","410",IF(K474="404","404",IF(K474="No change (same URL)","none",IF(M474="","","301")))))</f>
        <v/>
      </c>
      <c r="O474" s="22">
        <f>IF(A474="","",IFERROR(MID(A474,FIND("/",A474,FIND("//",A474)+2),2000),A474))</f>
        <v/>
      </c>
      <c r="P474" s="22">
        <f>IF(OR(O474="",N474="",N474="none",N474="404"),"",IF(N474="410","Redirect gone "&amp;O474,"Redirect "&amp;N474&amp;" "&amp;O474&amp;" "&amp;M474))</f>
        <v/>
      </c>
      <c r="Q474" s="22" t="n"/>
      <c r="R474" s="22" t="n"/>
      <c r="S474" s="22" t="n"/>
      <c r="T474" s="4">
        <f>IF(A474="","",TRIM(IF(K474="","Needs decision; ","")&amp;IF(AND(K474="Accept suggestion",F474=""),"No suggestion to accept; ","")&amp;IF(AND(K474="Override",L474=""),"Override URL missing; ","")&amp;IF(AND(K474="Accept suggestion",N(G474)&lt;$G$2),"Below your threshold; ","")&amp;IF(AND(M474&lt;&gt;"",M474=A474,K474&lt;&gt;"No change (same URL)"),"Redirects to itself; ","")&amp;IF(AND(M474&lt;&gt;"",OR(M474="/",AND(LEFT(M474,4)="http",OR((LEN(M474)-LEN(SUBSTITUTE(M474,"/","")))=2,AND((LEN(M474)-LEN(SUBSTITUTE(M474,"/","")))=3,RIGHT(M474,1)="/"))))),"Home page redirect; ","")&amp;IF(N(R474)&gt;1,"Chain; ","")&amp;IF(S474="No","Destination not 200; ","")))</f>
        <v/>
      </c>
      <c r="U474" s="22" t="n"/>
      <c r="V474" s="22" t="n"/>
      <c r="W474" s="4" t="n"/>
    </row>
    <row r="475">
      <c r="A475" s="22" t="n"/>
      <c r="B475" s="22" t="n"/>
      <c r="C475" s="22" t="n"/>
      <c r="D475" s="22">
        <f>IF(A475="","",IF(OR(N(B475)&gt;=$C$2,N(C475)&gt;=$E$2),"High",IF(OR(N(B475)&gt;0,N(C475)&gt;0),"Medium","Low")))</f>
        <v/>
      </c>
      <c r="E475" s="22" t="n"/>
      <c r="F475" s="22" t="n"/>
      <c r="G475" s="22" t="n"/>
      <c r="H475" s="22" t="n"/>
      <c r="I475" s="22" t="n"/>
      <c r="J475" s="22" t="n"/>
      <c r="K475" s="22" t="n"/>
      <c r="L475" s="22" t="n"/>
      <c r="M475" s="22">
        <f>IF(K475="Override",L475,IF(K475="Accept suggestion",F475,IF(K475="No change (same URL)",A475,"")))</f>
        <v/>
      </c>
      <c r="N475" s="22">
        <f>IF(A475="","",IF(K475="410 Gone","410",IF(K475="404","404",IF(K475="No change (same URL)","none",IF(M475="","","301")))))</f>
        <v/>
      </c>
      <c r="O475" s="22">
        <f>IF(A475="","",IFERROR(MID(A475,FIND("/",A475,FIND("//",A475)+2),2000),A475))</f>
        <v/>
      </c>
      <c r="P475" s="22">
        <f>IF(OR(O475="",N475="",N475="none",N475="404"),"",IF(N475="410","Redirect gone "&amp;O475,"Redirect "&amp;N475&amp;" "&amp;O475&amp;" "&amp;M475))</f>
        <v/>
      </c>
      <c r="Q475" s="22" t="n"/>
      <c r="R475" s="22" t="n"/>
      <c r="S475" s="22" t="n"/>
      <c r="T475" s="4">
        <f>IF(A475="","",TRIM(IF(K475="","Needs decision; ","")&amp;IF(AND(K475="Accept suggestion",F475=""),"No suggestion to accept; ","")&amp;IF(AND(K475="Override",L475=""),"Override URL missing; ","")&amp;IF(AND(K475="Accept suggestion",N(G475)&lt;$G$2),"Below your threshold; ","")&amp;IF(AND(M475&lt;&gt;"",M475=A475,K475&lt;&gt;"No change (same URL)"),"Redirects to itself; ","")&amp;IF(AND(M475&lt;&gt;"",OR(M475="/",AND(LEFT(M475,4)="http",OR((LEN(M475)-LEN(SUBSTITUTE(M475,"/","")))=2,AND((LEN(M475)-LEN(SUBSTITUTE(M475,"/","")))=3,RIGHT(M475,1)="/"))))),"Home page redirect; ","")&amp;IF(N(R475)&gt;1,"Chain; ","")&amp;IF(S475="No","Destination not 200; ","")))</f>
        <v/>
      </c>
      <c r="U475" s="22" t="n"/>
      <c r="V475" s="22" t="n"/>
      <c r="W475" s="4" t="n"/>
    </row>
    <row r="476">
      <c r="A476" s="22" t="n"/>
      <c r="B476" s="22" t="n"/>
      <c r="C476" s="22" t="n"/>
      <c r="D476" s="22">
        <f>IF(A476="","",IF(OR(N(B476)&gt;=$C$2,N(C476)&gt;=$E$2),"High",IF(OR(N(B476)&gt;0,N(C476)&gt;0),"Medium","Low")))</f>
        <v/>
      </c>
      <c r="E476" s="22" t="n"/>
      <c r="F476" s="22" t="n"/>
      <c r="G476" s="22" t="n"/>
      <c r="H476" s="22" t="n"/>
      <c r="I476" s="22" t="n"/>
      <c r="J476" s="22" t="n"/>
      <c r="K476" s="22" t="n"/>
      <c r="L476" s="22" t="n"/>
      <c r="M476" s="22">
        <f>IF(K476="Override",L476,IF(K476="Accept suggestion",F476,IF(K476="No change (same URL)",A476,"")))</f>
        <v/>
      </c>
      <c r="N476" s="22">
        <f>IF(A476="","",IF(K476="410 Gone","410",IF(K476="404","404",IF(K476="No change (same URL)","none",IF(M476="","","301")))))</f>
        <v/>
      </c>
      <c r="O476" s="22">
        <f>IF(A476="","",IFERROR(MID(A476,FIND("/",A476,FIND("//",A476)+2),2000),A476))</f>
        <v/>
      </c>
      <c r="P476" s="22">
        <f>IF(OR(O476="",N476="",N476="none",N476="404"),"",IF(N476="410","Redirect gone "&amp;O476,"Redirect "&amp;N476&amp;" "&amp;O476&amp;" "&amp;M476))</f>
        <v/>
      </c>
      <c r="Q476" s="22" t="n"/>
      <c r="R476" s="22" t="n"/>
      <c r="S476" s="22" t="n"/>
      <c r="T476" s="4">
        <f>IF(A476="","",TRIM(IF(K476="","Needs decision; ","")&amp;IF(AND(K476="Accept suggestion",F476=""),"No suggestion to accept; ","")&amp;IF(AND(K476="Override",L476=""),"Override URL missing; ","")&amp;IF(AND(K476="Accept suggestion",N(G476)&lt;$G$2),"Below your threshold; ","")&amp;IF(AND(M476&lt;&gt;"",M476=A476,K476&lt;&gt;"No change (same URL)"),"Redirects to itself; ","")&amp;IF(AND(M476&lt;&gt;"",OR(M476="/",AND(LEFT(M476,4)="http",OR((LEN(M476)-LEN(SUBSTITUTE(M476,"/","")))=2,AND((LEN(M476)-LEN(SUBSTITUTE(M476,"/","")))=3,RIGHT(M476,1)="/"))))),"Home page redirect; ","")&amp;IF(N(R476)&gt;1,"Chain; ","")&amp;IF(S476="No","Destination not 200; ","")))</f>
        <v/>
      </c>
      <c r="U476" s="22" t="n"/>
      <c r="V476" s="22" t="n"/>
      <c r="W476" s="4" t="n"/>
    </row>
    <row r="477">
      <c r="A477" s="22" t="n"/>
      <c r="B477" s="22" t="n"/>
      <c r="C477" s="22" t="n"/>
      <c r="D477" s="22">
        <f>IF(A477="","",IF(OR(N(B477)&gt;=$C$2,N(C477)&gt;=$E$2),"High",IF(OR(N(B477)&gt;0,N(C477)&gt;0),"Medium","Low")))</f>
        <v/>
      </c>
      <c r="E477" s="22" t="n"/>
      <c r="F477" s="22" t="n"/>
      <c r="G477" s="22" t="n"/>
      <c r="H477" s="22" t="n"/>
      <c r="I477" s="22" t="n"/>
      <c r="J477" s="22" t="n"/>
      <c r="K477" s="22" t="n"/>
      <c r="L477" s="22" t="n"/>
      <c r="M477" s="22">
        <f>IF(K477="Override",L477,IF(K477="Accept suggestion",F477,IF(K477="No change (same URL)",A477,"")))</f>
        <v/>
      </c>
      <c r="N477" s="22">
        <f>IF(A477="","",IF(K477="410 Gone","410",IF(K477="404","404",IF(K477="No change (same URL)","none",IF(M477="","","301")))))</f>
        <v/>
      </c>
      <c r="O477" s="22">
        <f>IF(A477="","",IFERROR(MID(A477,FIND("/",A477,FIND("//",A477)+2),2000),A477))</f>
        <v/>
      </c>
      <c r="P477" s="22">
        <f>IF(OR(O477="",N477="",N477="none",N477="404"),"",IF(N477="410","Redirect gone "&amp;O477,"Redirect "&amp;N477&amp;" "&amp;O477&amp;" "&amp;M477))</f>
        <v/>
      </c>
      <c r="Q477" s="22" t="n"/>
      <c r="R477" s="22" t="n"/>
      <c r="S477" s="22" t="n"/>
      <c r="T477" s="4">
        <f>IF(A477="","",TRIM(IF(K477="","Needs decision; ","")&amp;IF(AND(K477="Accept suggestion",F477=""),"No suggestion to accept; ","")&amp;IF(AND(K477="Override",L477=""),"Override URL missing; ","")&amp;IF(AND(K477="Accept suggestion",N(G477)&lt;$G$2),"Below your threshold; ","")&amp;IF(AND(M477&lt;&gt;"",M477=A477,K477&lt;&gt;"No change (same URL)"),"Redirects to itself; ","")&amp;IF(AND(M477&lt;&gt;"",OR(M477="/",AND(LEFT(M477,4)="http",OR((LEN(M477)-LEN(SUBSTITUTE(M477,"/","")))=2,AND((LEN(M477)-LEN(SUBSTITUTE(M477,"/","")))=3,RIGHT(M477,1)="/"))))),"Home page redirect; ","")&amp;IF(N(R477)&gt;1,"Chain; ","")&amp;IF(S477="No","Destination not 200; ","")))</f>
        <v/>
      </c>
      <c r="U477" s="22" t="n"/>
      <c r="V477" s="22" t="n"/>
      <c r="W477" s="4" t="n"/>
    </row>
    <row r="478">
      <c r="A478" s="22" t="n"/>
      <c r="B478" s="22" t="n"/>
      <c r="C478" s="22" t="n"/>
      <c r="D478" s="22">
        <f>IF(A478="","",IF(OR(N(B478)&gt;=$C$2,N(C478)&gt;=$E$2),"High",IF(OR(N(B478)&gt;0,N(C478)&gt;0),"Medium","Low")))</f>
        <v/>
      </c>
      <c r="E478" s="22" t="n"/>
      <c r="F478" s="22" t="n"/>
      <c r="G478" s="22" t="n"/>
      <c r="H478" s="22" t="n"/>
      <c r="I478" s="22" t="n"/>
      <c r="J478" s="22" t="n"/>
      <c r="K478" s="22" t="n"/>
      <c r="L478" s="22" t="n"/>
      <c r="M478" s="22">
        <f>IF(K478="Override",L478,IF(K478="Accept suggestion",F478,IF(K478="No change (same URL)",A478,"")))</f>
        <v/>
      </c>
      <c r="N478" s="22">
        <f>IF(A478="","",IF(K478="410 Gone","410",IF(K478="404","404",IF(K478="No change (same URL)","none",IF(M478="","","301")))))</f>
        <v/>
      </c>
      <c r="O478" s="22">
        <f>IF(A478="","",IFERROR(MID(A478,FIND("/",A478,FIND("//",A478)+2),2000),A478))</f>
        <v/>
      </c>
      <c r="P478" s="22">
        <f>IF(OR(O478="",N478="",N478="none",N478="404"),"",IF(N478="410","Redirect gone "&amp;O478,"Redirect "&amp;N478&amp;" "&amp;O478&amp;" "&amp;M478))</f>
        <v/>
      </c>
      <c r="Q478" s="22" t="n"/>
      <c r="R478" s="22" t="n"/>
      <c r="S478" s="22" t="n"/>
      <c r="T478" s="4">
        <f>IF(A478="","",TRIM(IF(K478="","Needs decision; ","")&amp;IF(AND(K478="Accept suggestion",F478=""),"No suggestion to accept; ","")&amp;IF(AND(K478="Override",L478=""),"Override URL missing; ","")&amp;IF(AND(K478="Accept suggestion",N(G478)&lt;$G$2),"Below your threshold; ","")&amp;IF(AND(M478&lt;&gt;"",M478=A478,K478&lt;&gt;"No change (same URL)"),"Redirects to itself; ","")&amp;IF(AND(M478&lt;&gt;"",OR(M478="/",AND(LEFT(M478,4)="http",OR((LEN(M478)-LEN(SUBSTITUTE(M478,"/","")))=2,AND((LEN(M478)-LEN(SUBSTITUTE(M478,"/","")))=3,RIGHT(M478,1)="/"))))),"Home page redirect; ","")&amp;IF(N(R478)&gt;1,"Chain; ","")&amp;IF(S478="No","Destination not 200; ","")))</f>
        <v/>
      </c>
      <c r="U478" s="22" t="n"/>
      <c r="V478" s="22" t="n"/>
      <c r="W478" s="4" t="n"/>
    </row>
    <row r="479">
      <c r="A479" s="22" t="n"/>
      <c r="B479" s="22" t="n"/>
      <c r="C479" s="22" t="n"/>
      <c r="D479" s="22">
        <f>IF(A479="","",IF(OR(N(B479)&gt;=$C$2,N(C479)&gt;=$E$2),"High",IF(OR(N(B479)&gt;0,N(C479)&gt;0),"Medium","Low")))</f>
        <v/>
      </c>
      <c r="E479" s="22" t="n"/>
      <c r="F479" s="22" t="n"/>
      <c r="G479" s="22" t="n"/>
      <c r="H479" s="22" t="n"/>
      <c r="I479" s="22" t="n"/>
      <c r="J479" s="22" t="n"/>
      <c r="K479" s="22" t="n"/>
      <c r="L479" s="22" t="n"/>
      <c r="M479" s="22">
        <f>IF(K479="Override",L479,IF(K479="Accept suggestion",F479,IF(K479="No change (same URL)",A479,"")))</f>
        <v/>
      </c>
      <c r="N479" s="22">
        <f>IF(A479="","",IF(K479="410 Gone","410",IF(K479="404","404",IF(K479="No change (same URL)","none",IF(M479="","","301")))))</f>
        <v/>
      </c>
      <c r="O479" s="22">
        <f>IF(A479="","",IFERROR(MID(A479,FIND("/",A479,FIND("//",A479)+2),2000),A479))</f>
        <v/>
      </c>
      <c r="P479" s="22">
        <f>IF(OR(O479="",N479="",N479="none",N479="404"),"",IF(N479="410","Redirect gone "&amp;O479,"Redirect "&amp;N479&amp;" "&amp;O479&amp;" "&amp;M479))</f>
        <v/>
      </c>
      <c r="Q479" s="22" t="n"/>
      <c r="R479" s="22" t="n"/>
      <c r="S479" s="22" t="n"/>
      <c r="T479" s="4">
        <f>IF(A479="","",TRIM(IF(K479="","Needs decision; ","")&amp;IF(AND(K479="Accept suggestion",F479=""),"No suggestion to accept; ","")&amp;IF(AND(K479="Override",L479=""),"Override URL missing; ","")&amp;IF(AND(K479="Accept suggestion",N(G479)&lt;$G$2),"Below your threshold; ","")&amp;IF(AND(M479&lt;&gt;"",M479=A479,K479&lt;&gt;"No change (same URL)"),"Redirects to itself; ","")&amp;IF(AND(M479&lt;&gt;"",OR(M479="/",AND(LEFT(M479,4)="http",OR((LEN(M479)-LEN(SUBSTITUTE(M479,"/","")))=2,AND((LEN(M479)-LEN(SUBSTITUTE(M479,"/","")))=3,RIGHT(M479,1)="/"))))),"Home page redirect; ","")&amp;IF(N(R479)&gt;1,"Chain; ","")&amp;IF(S479="No","Destination not 200; ","")))</f>
        <v/>
      </c>
      <c r="U479" s="22" t="n"/>
      <c r="V479" s="22" t="n"/>
      <c r="W479" s="4" t="n"/>
    </row>
    <row r="480">
      <c r="A480" s="22" t="n"/>
      <c r="B480" s="22" t="n"/>
      <c r="C480" s="22" t="n"/>
      <c r="D480" s="22">
        <f>IF(A480="","",IF(OR(N(B480)&gt;=$C$2,N(C480)&gt;=$E$2),"High",IF(OR(N(B480)&gt;0,N(C480)&gt;0),"Medium","Low")))</f>
        <v/>
      </c>
      <c r="E480" s="22" t="n"/>
      <c r="F480" s="22" t="n"/>
      <c r="G480" s="22" t="n"/>
      <c r="H480" s="22" t="n"/>
      <c r="I480" s="22" t="n"/>
      <c r="J480" s="22" t="n"/>
      <c r="K480" s="22" t="n"/>
      <c r="L480" s="22" t="n"/>
      <c r="M480" s="22">
        <f>IF(K480="Override",L480,IF(K480="Accept suggestion",F480,IF(K480="No change (same URL)",A480,"")))</f>
        <v/>
      </c>
      <c r="N480" s="22">
        <f>IF(A480="","",IF(K480="410 Gone","410",IF(K480="404","404",IF(K480="No change (same URL)","none",IF(M480="","","301")))))</f>
        <v/>
      </c>
      <c r="O480" s="22">
        <f>IF(A480="","",IFERROR(MID(A480,FIND("/",A480,FIND("//",A480)+2),2000),A480))</f>
        <v/>
      </c>
      <c r="P480" s="22">
        <f>IF(OR(O480="",N480="",N480="none",N480="404"),"",IF(N480="410","Redirect gone "&amp;O480,"Redirect "&amp;N480&amp;" "&amp;O480&amp;" "&amp;M480))</f>
        <v/>
      </c>
      <c r="Q480" s="22" t="n"/>
      <c r="R480" s="22" t="n"/>
      <c r="S480" s="22" t="n"/>
      <c r="T480" s="4">
        <f>IF(A480="","",TRIM(IF(K480="","Needs decision; ","")&amp;IF(AND(K480="Accept suggestion",F480=""),"No suggestion to accept; ","")&amp;IF(AND(K480="Override",L480=""),"Override URL missing; ","")&amp;IF(AND(K480="Accept suggestion",N(G480)&lt;$G$2),"Below your threshold; ","")&amp;IF(AND(M480&lt;&gt;"",M480=A480,K480&lt;&gt;"No change (same URL)"),"Redirects to itself; ","")&amp;IF(AND(M480&lt;&gt;"",OR(M480="/",AND(LEFT(M480,4)="http",OR((LEN(M480)-LEN(SUBSTITUTE(M480,"/","")))=2,AND((LEN(M480)-LEN(SUBSTITUTE(M480,"/","")))=3,RIGHT(M480,1)="/"))))),"Home page redirect; ","")&amp;IF(N(R480)&gt;1,"Chain; ","")&amp;IF(S480="No","Destination not 200; ","")))</f>
        <v/>
      </c>
      <c r="U480" s="22" t="n"/>
      <c r="V480" s="22" t="n"/>
      <c r="W480" s="4" t="n"/>
    </row>
    <row r="481">
      <c r="A481" s="22" t="n"/>
      <c r="B481" s="22" t="n"/>
      <c r="C481" s="22" t="n"/>
      <c r="D481" s="22">
        <f>IF(A481="","",IF(OR(N(B481)&gt;=$C$2,N(C481)&gt;=$E$2),"High",IF(OR(N(B481)&gt;0,N(C481)&gt;0),"Medium","Low")))</f>
        <v/>
      </c>
      <c r="E481" s="22" t="n"/>
      <c r="F481" s="22" t="n"/>
      <c r="G481" s="22" t="n"/>
      <c r="H481" s="22" t="n"/>
      <c r="I481" s="22" t="n"/>
      <c r="J481" s="22" t="n"/>
      <c r="K481" s="22" t="n"/>
      <c r="L481" s="22" t="n"/>
      <c r="M481" s="22">
        <f>IF(K481="Override",L481,IF(K481="Accept suggestion",F481,IF(K481="No change (same URL)",A481,"")))</f>
        <v/>
      </c>
      <c r="N481" s="22">
        <f>IF(A481="","",IF(K481="410 Gone","410",IF(K481="404","404",IF(K481="No change (same URL)","none",IF(M481="","","301")))))</f>
        <v/>
      </c>
      <c r="O481" s="22">
        <f>IF(A481="","",IFERROR(MID(A481,FIND("/",A481,FIND("//",A481)+2),2000),A481))</f>
        <v/>
      </c>
      <c r="P481" s="22">
        <f>IF(OR(O481="",N481="",N481="none",N481="404"),"",IF(N481="410","Redirect gone "&amp;O481,"Redirect "&amp;N481&amp;" "&amp;O481&amp;" "&amp;M481))</f>
        <v/>
      </c>
      <c r="Q481" s="22" t="n"/>
      <c r="R481" s="22" t="n"/>
      <c r="S481" s="22" t="n"/>
      <c r="T481" s="4">
        <f>IF(A481="","",TRIM(IF(K481="","Needs decision; ","")&amp;IF(AND(K481="Accept suggestion",F481=""),"No suggestion to accept; ","")&amp;IF(AND(K481="Override",L481=""),"Override URL missing; ","")&amp;IF(AND(K481="Accept suggestion",N(G481)&lt;$G$2),"Below your threshold; ","")&amp;IF(AND(M481&lt;&gt;"",M481=A481,K481&lt;&gt;"No change (same URL)"),"Redirects to itself; ","")&amp;IF(AND(M481&lt;&gt;"",OR(M481="/",AND(LEFT(M481,4)="http",OR((LEN(M481)-LEN(SUBSTITUTE(M481,"/","")))=2,AND((LEN(M481)-LEN(SUBSTITUTE(M481,"/","")))=3,RIGHT(M481,1)="/"))))),"Home page redirect; ","")&amp;IF(N(R481)&gt;1,"Chain; ","")&amp;IF(S481="No","Destination not 200; ","")))</f>
        <v/>
      </c>
      <c r="U481" s="22" t="n"/>
      <c r="V481" s="22" t="n"/>
      <c r="W481" s="4" t="n"/>
    </row>
    <row r="482">
      <c r="A482" s="22" t="n"/>
      <c r="B482" s="22" t="n"/>
      <c r="C482" s="22" t="n"/>
      <c r="D482" s="22">
        <f>IF(A482="","",IF(OR(N(B482)&gt;=$C$2,N(C482)&gt;=$E$2),"High",IF(OR(N(B482)&gt;0,N(C482)&gt;0),"Medium","Low")))</f>
        <v/>
      </c>
      <c r="E482" s="22" t="n"/>
      <c r="F482" s="22" t="n"/>
      <c r="G482" s="22" t="n"/>
      <c r="H482" s="22" t="n"/>
      <c r="I482" s="22" t="n"/>
      <c r="J482" s="22" t="n"/>
      <c r="K482" s="22" t="n"/>
      <c r="L482" s="22" t="n"/>
      <c r="M482" s="22">
        <f>IF(K482="Override",L482,IF(K482="Accept suggestion",F482,IF(K482="No change (same URL)",A482,"")))</f>
        <v/>
      </c>
      <c r="N482" s="22">
        <f>IF(A482="","",IF(K482="410 Gone","410",IF(K482="404","404",IF(K482="No change (same URL)","none",IF(M482="","","301")))))</f>
        <v/>
      </c>
      <c r="O482" s="22">
        <f>IF(A482="","",IFERROR(MID(A482,FIND("/",A482,FIND("//",A482)+2),2000),A482))</f>
        <v/>
      </c>
      <c r="P482" s="22">
        <f>IF(OR(O482="",N482="",N482="none",N482="404"),"",IF(N482="410","Redirect gone "&amp;O482,"Redirect "&amp;N482&amp;" "&amp;O482&amp;" "&amp;M482))</f>
        <v/>
      </c>
      <c r="Q482" s="22" t="n"/>
      <c r="R482" s="22" t="n"/>
      <c r="S482" s="22" t="n"/>
      <c r="T482" s="4">
        <f>IF(A482="","",TRIM(IF(K482="","Needs decision; ","")&amp;IF(AND(K482="Accept suggestion",F482=""),"No suggestion to accept; ","")&amp;IF(AND(K482="Override",L482=""),"Override URL missing; ","")&amp;IF(AND(K482="Accept suggestion",N(G482)&lt;$G$2),"Below your threshold; ","")&amp;IF(AND(M482&lt;&gt;"",M482=A482,K482&lt;&gt;"No change (same URL)"),"Redirects to itself; ","")&amp;IF(AND(M482&lt;&gt;"",OR(M482="/",AND(LEFT(M482,4)="http",OR((LEN(M482)-LEN(SUBSTITUTE(M482,"/","")))=2,AND((LEN(M482)-LEN(SUBSTITUTE(M482,"/","")))=3,RIGHT(M482,1)="/"))))),"Home page redirect; ","")&amp;IF(N(R482)&gt;1,"Chain; ","")&amp;IF(S482="No","Destination not 200; ","")))</f>
        <v/>
      </c>
      <c r="U482" s="22" t="n"/>
      <c r="V482" s="22" t="n"/>
      <c r="W482" s="4" t="n"/>
    </row>
    <row r="483">
      <c r="A483" s="22" t="n"/>
      <c r="B483" s="22" t="n"/>
      <c r="C483" s="22" t="n"/>
      <c r="D483" s="22">
        <f>IF(A483="","",IF(OR(N(B483)&gt;=$C$2,N(C483)&gt;=$E$2),"High",IF(OR(N(B483)&gt;0,N(C483)&gt;0),"Medium","Low")))</f>
        <v/>
      </c>
      <c r="E483" s="22" t="n"/>
      <c r="F483" s="22" t="n"/>
      <c r="G483" s="22" t="n"/>
      <c r="H483" s="22" t="n"/>
      <c r="I483" s="22" t="n"/>
      <c r="J483" s="22" t="n"/>
      <c r="K483" s="22" t="n"/>
      <c r="L483" s="22" t="n"/>
      <c r="M483" s="22">
        <f>IF(K483="Override",L483,IF(K483="Accept suggestion",F483,IF(K483="No change (same URL)",A483,"")))</f>
        <v/>
      </c>
      <c r="N483" s="22">
        <f>IF(A483="","",IF(K483="410 Gone","410",IF(K483="404","404",IF(K483="No change (same URL)","none",IF(M483="","","301")))))</f>
        <v/>
      </c>
      <c r="O483" s="22">
        <f>IF(A483="","",IFERROR(MID(A483,FIND("/",A483,FIND("//",A483)+2),2000),A483))</f>
        <v/>
      </c>
      <c r="P483" s="22">
        <f>IF(OR(O483="",N483="",N483="none",N483="404"),"",IF(N483="410","Redirect gone "&amp;O483,"Redirect "&amp;N483&amp;" "&amp;O483&amp;" "&amp;M483))</f>
        <v/>
      </c>
      <c r="Q483" s="22" t="n"/>
      <c r="R483" s="22" t="n"/>
      <c r="S483" s="22" t="n"/>
      <c r="T483" s="4">
        <f>IF(A483="","",TRIM(IF(K483="","Needs decision; ","")&amp;IF(AND(K483="Accept suggestion",F483=""),"No suggestion to accept; ","")&amp;IF(AND(K483="Override",L483=""),"Override URL missing; ","")&amp;IF(AND(K483="Accept suggestion",N(G483)&lt;$G$2),"Below your threshold; ","")&amp;IF(AND(M483&lt;&gt;"",M483=A483,K483&lt;&gt;"No change (same URL)"),"Redirects to itself; ","")&amp;IF(AND(M483&lt;&gt;"",OR(M483="/",AND(LEFT(M483,4)="http",OR((LEN(M483)-LEN(SUBSTITUTE(M483,"/","")))=2,AND((LEN(M483)-LEN(SUBSTITUTE(M483,"/","")))=3,RIGHT(M483,1)="/"))))),"Home page redirect; ","")&amp;IF(N(R483)&gt;1,"Chain; ","")&amp;IF(S483="No","Destination not 200; ","")))</f>
        <v/>
      </c>
      <c r="U483" s="22" t="n"/>
      <c r="V483" s="22" t="n"/>
      <c r="W483" s="4" t="n"/>
    </row>
    <row r="484">
      <c r="A484" s="22" t="n"/>
      <c r="B484" s="22" t="n"/>
      <c r="C484" s="22" t="n"/>
      <c r="D484" s="22">
        <f>IF(A484="","",IF(OR(N(B484)&gt;=$C$2,N(C484)&gt;=$E$2),"High",IF(OR(N(B484)&gt;0,N(C484)&gt;0),"Medium","Low")))</f>
        <v/>
      </c>
      <c r="E484" s="22" t="n"/>
      <c r="F484" s="22" t="n"/>
      <c r="G484" s="22" t="n"/>
      <c r="H484" s="22" t="n"/>
      <c r="I484" s="22" t="n"/>
      <c r="J484" s="22" t="n"/>
      <c r="K484" s="22" t="n"/>
      <c r="L484" s="22" t="n"/>
      <c r="M484" s="22">
        <f>IF(K484="Override",L484,IF(K484="Accept suggestion",F484,IF(K484="No change (same URL)",A484,"")))</f>
        <v/>
      </c>
      <c r="N484" s="22">
        <f>IF(A484="","",IF(K484="410 Gone","410",IF(K484="404","404",IF(K484="No change (same URL)","none",IF(M484="","","301")))))</f>
        <v/>
      </c>
      <c r="O484" s="22">
        <f>IF(A484="","",IFERROR(MID(A484,FIND("/",A484,FIND("//",A484)+2),2000),A484))</f>
        <v/>
      </c>
      <c r="P484" s="22">
        <f>IF(OR(O484="",N484="",N484="none",N484="404"),"",IF(N484="410","Redirect gone "&amp;O484,"Redirect "&amp;N484&amp;" "&amp;O484&amp;" "&amp;M484))</f>
        <v/>
      </c>
      <c r="Q484" s="22" t="n"/>
      <c r="R484" s="22" t="n"/>
      <c r="S484" s="22" t="n"/>
      <c r="T484" s="4">
        <f>IF(A484="","",TRIM(IF(K484="","Needs decision; ","")&amp;IF(AND(K484="Accept suggestion",F484=""),"No suggestion to accept; ","")&amp;IF(AND(K484="Override",L484=""),"Override URL missing; ","")&amp;IF(AND(K484="Accept suggestion",N(G484)&lt;$G$2),"Below your threshold; ","")&amp;IF(AND(M484&lt;&gt;"",M484=A484,K484&lt;&gt;"No change (same URL)"),"Redirects to itself; ","")&amp;IF(AND(M484&lt;&gt;"",OR(M484="/",AND(LEFT(M484,4)="http",OR((LEN(M484)-LEN(SUBSTITUTE(M484,"/","")))=2,AND((LEN(M484)-LEN(SUBSTITUTE(M484,"/","")))=3,RIGHT(M484,1)="/"))))),"Home page redirect; ","")&amp;IF(N(R484)&gt;1,"Chain; ","")&amp;IF(S484="No","Destination not 200; ","")))</f>
        <v/>
      </c>
      <c r="U484" s="22" t="n"/>
      <c r="V484" s="22" t="n"/>
      <c r="W484" s="4" t="n"/>
    </row>
    <row r="485">
      <c r="A485" s="22" t="n"/>
      <c r="B485" s="22" t="n"/>
      <c r="C485" s="22" t="n"/>
      <c r="D485" s="22">
        <f>IF(A485="","",IF(OR(N(B485)&gt;=$C$2,N(C485)&gt;=$E$2),"High",IF(OR(N(B485)&gt;0,N(C485)&gt;0),"Medium","Low")))</f>
        <v/>
      </c>
      <c r="E485" s="22" t="n"/>
      <c r="F485" s="22" t="n"/>
      <c r="G485" s="22" t="n"/>
      <c r="H485" s="22" t="n"/>
      <c r="I485" s="22" t="n"/>
      <c r="J485" s="22" t="n"/>
      <c r="K485" s="22" t="n"/>
      <c r="L485" s="22" t="n"/>
      <c r="M485" s="22">
        <f>IF(K485="Override",L485,IF(K485="Accept suggestion",F485,IF(K485="No change (same URL)",A485,"")))</f>
        <v/>
      </c>
      <c r="N485" s="22">
        <f>IF(A485="","",IF(K485="410 Gone","410",IF(K485="404","404",IF(K485="No change (same URL)","none",IF(M485="","","301")))))</f>
        <v/>
      </c>
      <c r="O485" s="22">
        <f>IF(A485="","",IFERROR(MID(A485,FIND("/",A485,FIND("//",A485)+2),2000),A485))</f>
        <v/>
      </c>
      <c r="P485" s="22">
        <f>IF(OR(O485="",N485="",N485="none",N485="404"),"",IF(N485="410","Redirect gone "&amp;O485,"Redirect "&amp;N485&amp;" "&amp;O485&amp;" "&amp;M485))</f>
        <v/>
      </c>
      <c r="Q485" s="22" t="n"/>
      <c r="R485" s="22" t="n"/>
      <c r="S485" s="22" t="n"/>
      <c r="T485" s="4">
        <f>IF(A485="","",TRIM(IF(K485="","Needs decision; ","")&amp;IF(AND(K485="Accept suggestion",F485=""),"No suggestion to accept; ","")&amp;IF(AND(K485="Override",L485=""),"Override URL missing; ","")&amp;IF(AND(K485="Accept suggestion",N(G485)&lt;$G$2),"Below your threshold; ","")&amp;IF(AND(M485&lt;&gt;"",M485=A485,K485&lt;&gt;"No change (same URL)"),"Redirects to itself; ","")&amp;IF(AND(M485&lt;&gt;"",OR(M485="/",AND(LEFT(M485,4)="http",OR((LEN(M485)-LEN(SUBSTITUTE(M485,"/","")))=2,AND((LEN(M485)-LEN(SUBSTITUTE(M485,"/","")))=3,RIGHT(M485,1)="/"))))),"Home page redirect; ","")&amp;IF(N(R485)&gt;1,"Chain; ","")&amp;IF(S485="No","Destination not 200; ","")))</f>
        <v/>
      </c>
      <c r="U485" s="22" t="n"/>
      <c r="V485" s="22" t="n"/>
      <c r="W485" s="4" t="n"/>
    </row>
    <row r="486">
      <c r="A486" s="22" t="n"/>
      <c r="B486" s="22" t="n"/>
      <c r="C486" s="22" t="n"/>
      <c r="D486" s="22">
        <f>IF(A486="","",IF(OR(N(B486)&gt;=$C$2,N(C486)&gt;=$E$2),"High",IF(OR(N(B486)&gt;0,N(C486)&gt;0),"Medium","Low")))</f>
        <v/>
      </c>
      <c r="E486" s="22" t="n"/>
      <c r="F486" s="22" t="n"/>
      <c r="G486" s="22" t="n"/>
      <c r="H486" s="22" t="n"/>
      <c r="I486" s="22" t="n"/>
      <c r="J486" s="22" t="n"/>
      <c r="K486" s="22" t="n"/>
      <c r="L486" s="22" t="n"/>
      <c r="M486" s="22">
        <f>IF(K486="Override",L486,IF(K486="Accept suggestion",F486,IF(K486="No change (same URL)",A486,"")))</f>
        <v/>
      </c>
      <c r="N486" s="22">
        <f>IF(A486="","",IF(K486="410 Gone","410",IF(K486="404","404",IF(K486="No change (same URL)","none",IF(M486="","","301")))))</f>
        <v/>
      </c>
      <c r="O486" s="22">
        <f>IF(A486="","",IFERROR(MID(A486,FIND("/",A486,FIND("//",A486)+2),2000),A486))</f>
        <v/>
      </c>
      <c r="P486" s="22">
        <f>IF(OR(O486="",N486="",N486="none",N486="404"),"",IF(N486="410","Redirect gone "&amp;O486,"Redirect "&amp;N486&amp;" "&amp;O486&amp;" "&amp;M486))</f>
        <v/>
      </c>
      <c r="Q486" s="22" t="n"/>
      <c r="R486" s="22" t="n"/>
      <c r="S486" s="22" t="n"/>
      <c r="T486" s="4">
        <f>IF(A486="","",TRIM(IF(K486="","Needs decision; ","")&amp;IF(AND(K486="Accept suggestion",F486=""),"No suggestion to accept; ","")&amp;IF(AND(K486="Override",L486=""),"Override URL missing; ","")&amp;IF(AND(K486="Accept suggestion",N(G486)&lt;$G$2),"Below your threshold; ","")&amp;IF(AND(M486&lt;&gt;"",M486=A486,K486&lt;&gt;"No change (same URL)"),"Redirects to itself; ","")&amp;IF(AND(M486&lt;&gt;"",OR(M486="/",AND(LEFT(M486,4)="http",OR((LEN(M486)-LEN(SUBSTITUTE(M486,"/","")))=2,AND((LEN(M486)-LEN(SUBSTITUTE(M486,"/","")))=3,RIGHT(M486,1)="/"))))),"Home page redirect; ","")&amp;IF(N(R486)&gt;1,"Chain; ","")&amp;IF(S486="No","Destination not 200; ","")))</f>
        <v/>
      </c>
      <c r="U486" s="22" t="n"/>
      <c r="V486" s="22" t="n"/>
      <c r="W486" s="4" t="n"/>
    </row>
    <row r="487">
      <c r="A487" s="22" t="n"/>
      <c r="B487" s="22" t="n"/>
      <c r="C487" s="22" t="n"/>
      <c r="D487" s="22">
        <f>IF(A487="","",IF(OR(N(B487)&gt;=$C$2,N(C487)&gt;=$E$2),"High",IF(OR(N(B487)&gt;0,N(C487)&gt;0),"Medium","Low")))</f>
        <v/>
      </c>
      <c r="E487" s="22" t="n"/>
      <c r="F487" s="22" t="n"/>
      <c r="G487" s="22" t="n"/>
      <c r="H487" s="22" t="n"/>
      <c r="I487" s="22" t="n"/>
      <c r="J487" s="22" t="n"/>
      <c r="K487" s="22" t="n"/>
      <c r="L487" s="22" t="n"/>
      <c r="M487" s="22">
        <f>IF(K487="Override",L487,IF(K487="Accept suggestion",F487,IF(K487="No change (same URL)",A487,"")))</f>
        <v/>
      </c>
      <c r="N487" s="22">
        <f>IF(A487="","",IF(K487="410 Gone","410",IF(K487="404","404",IF(K487="No change (same URL)","none",IF(M487="","","301")))))</f>
        <v/>
      </c>
      <c r="O487" s="22">
        <f>IF(A487="","",IFERROR(MID(A487,FIND("/",A487,FIND("//",A487)+2),2000),A487))</f>
        <v/>
      </c>
      <c r="P487" s="22">
        <f>IF(OR(O487="",N487="",N487="none",N487="404"),"",IF(N487="410","Redirect gone "&amp;O487,"Redirect "&amp;N487&amp;" "&amp;O487&amp;" "&amp;M487))</f>
        <v/>
      </c>
      <c r="Q487" s="22" t="n"/>
      <c r="R487" s="22" t="n"/>
      <c r="S487" s="22" t="n"/>
      <c r="T487" s="4">
        <f>IF(A487="","",TRIM(IF(K487="","Needs decision; ","")&amp;IF(AND(K487="Accept suggestion",F487=""),"No suggestion to accept; ","")&amp;IF(AND(K487="Override",L487=""),"Override URL missing; ","")&amp;IF(AND(K487="Accept suggestion",N(G487)&lt;$G$2),"Below your threshold; ","")&amp;IF(AND(M487&lt;&gt;"",M487=A487,K487&lt;&gt;"No change (same URL)"),"Redirects to itself; ","")&amp;IF(AND(M487&lt;&gt;"",OR(M487="/",AND(LEFT(M487,4)="http",OR((LEN(M487)-LEN(SUBSTITUTE(M487,"/","")))=2,AND((LEN(M487)-LEN(SUBSTITUTE(M487,"/","")))=3,RIGHT(M487,1)="/"))))),"Home page redirect; ","")&amp;IF(N(R487)&gt;1,"Chain; ","")&amp;IF(S487="No","Destination not 200; ","")))</f>
        <v/>
      </c>
      <c r="U487" s="22" t="n"/>
      <c r="V487" s="22" t="n"/>
      <c r="W487" s="4" t="n"/>
    </row>
    <row r="488">
      <c r="A488" s="22" t="n"/>
      <c r="B488" s="22" t="n"/>
      <c r="C488" s="22" t="n"/>
      <c r="D488" s="22">
        <f>IF(A488="","",IF(OR(N(B488)&gt;=$C$2,N(C488)&gt;=$E$2),"High",IF(OR(N(B488)&gt;0,N(C488)&gt;0),"Medium","Low")))</f>
        <v/>
      </c>
      <c r="E488" s="22" t="n"/>
      <c r="F488" s="22" t="n"/>
      <c r="G488" s="22" t="n"/>
      <c r="H488" s="22" t="n"/>
      <c r="I488" s="22" t="n"/>
      <c r="J488" s="22" t="n"/>
      <c r="K488" s="22" t="n"/>
      <c r="L488" s="22" t="n"/>
      <c r="M488" s="22">
        <f>IF(K488="Override",L488,IF(K488="Accept suggestion",F488,IF(K488="No change (same URL)",A488,"")))</f>
        <v/>
      </c>
      <c r="N488" s="22">
        <f>IF(A488="","",IF(K488="410 Gone","410",IF(K488="404","404",IF(K488="No change (same URL)","none",IF(M488="","","301")))))</f>
        <v/>
      </c>
      <c r="O488" s="22">
        <f>IF(A488="","",IFERROR(MID(A488,FIND("/",A488,FIND("//",A488)+2),2000),A488))</f>
        <v/>
      </c>
      <c r="P488" s="22">
        <f>IF(OR(O488="",N488="",N488="none",N488="404"),"",IF(N488="410","Redirect gone "&amp;O488,"Redirect "&amp;N488&amp;" "&amp;O488&amp;" "&amp;M488))</f>
        <v/>
      </c>
      <c r="Q488" s="22" t="n"/>
      <c r="R488" s="22" t="n"/>
      <c r="S488" s="22" t="n"/>
      <c r="T488" s="4">
        <f>IF(A488="","",TRIM(IF(K488="","Needs decision; ","")&amp;IF(AND(K488="Accept suggestion",F488=""),"No suggestion to accept; ","")&amp;IF(AND(K488="Override",L488=""),"Override URL missing; ","")&amp;IF(AND(K488="Accept suggestion",N(G488)&lt;$G$2),"Below your threshold; ","")&amp;IF(AND(M488&lt;&gt;"",M488=A488,K488&lt;&gt;"No change (same URL)"),"Redirects to itself; ","")&amp;IF(AND(M488&lt;&gt;"",OR(M488="/",AND(LEFT(M488,4)="http",OR((LEN(M488)-LEN(SUBSTITUTE(M488,"/","")))=2,AND((LEN(M488)-LEN(SUBSTITUTE(M488,"/","")))=3,RIGHT(M488,1)="/"))))),"Home page redirect; ","")&amp;IF(N(R488)&gt;1,"Chain; ","")&amp;IF(S488="No","Destination not 200; ","")))</f>
        <v/>
      </c>
      <c r="U488" s="22" t="n"/>
      <c r="V488" s="22" t="n"/>
      <c r="W488" s="4" t="n"/>
    </row>
    <row r="489">
      <c r="A489" s="22" t="n"/>
      <c r="B489" s="22" t="n"/>
      <c r="C489" s="22" t="n"/>
      <c r="D489" s="22">
        <f>IF(A489="","",IF(OR(N(B489)&gt;=$C$2,N(C489)&gt;=$E$2),"High",IF(OR(N(B489)&gt;0,N(C489)&gt;0),"Medium","Low")))</f>
        <v/>
      </c>
      <c r="E489" s="22" t="n"/>
      <c r="F489" s="22" t="n"/>
      <c r="G489" s="22" t="n"/>
      <c r="H489" s="22" t="n"/>
      <c r="I489" s="22" t="n"/>
      <c r="J489" s="22" t="n"/>
      <c r="K489" s="22" t="n"/>
      <c r="L489" s="22" t="n"/>
      <c r="M489" s="22">
        <f>IF(K489="Override",L489,IF(K489="Accept suggestion",F489,IF(K489="No change (same URL)",A489,"")))</f>
        <v/>
      </c>
      <c r="N489" s="22">
        <f>IF(A489="","",IF(K489="410 Gone","410",IF(K489="404","404",IF(K489="No change (same URL)","none",IF(M489="","","301")))))</f>
        <v/>
      </c>
      <c r="O489" s="22">
        <f>IF(A489="","",IFERROR(MID(A489,FIND("/",A489,FIND("//",A489)+2),2000),A489))</f>
        <v/>
      </c>
      <c r="P489" s="22">
        <f>IF(OR(O489="",N489="",N489="none",N489="404"),"",IF(N489="410","Redirect gone "&amp;O489,"Redirect "&amp;N489&amp;" "&amp;O489&amp;" "&amp;M489))</f>
        <v/>
      </c>
      <c r="Q489" s="22" t="n"/>
      <c r="R489" s="22" t="n"/>
      <c r="S489" s="22" t="n"/>
      <c r="T489" s="4">
        <f>IF(A489="","",TRIM(IF(K489="","Needs decision; ","")&amp;IF(AND(K489="Accept suggestion",F489=""),"No suggestion to accept; ","")&amp;IF(AND(K489="Override",L489=""),"Override URL missing; ","")&amp;IF(AND(K489="Accept suggestion",N(G489)&lt;$G$2),"Below your threshold; ","")&amp;IF(AND(M489&lt;&gt;"",M489=A489,K489&lt;&gt;"No change (same URL)"),"Redirects to itself; ","")&amp;IF(AND(M489&lt;&gt;"",OR(M489="/",AND(LEFT(M489,4)="http",OR((LEN(M489)-LEN(SUBSTITUTE(M489,"/","")))=2,AND((LEN(M489)-LEN(SUBSTITUTE(M489,"/","")))=3,RIGHT(M489,1)="/"))))),"Home page redirect; ","")&amp;IF(N(R489)&gt;1,"Chain; ","")&amp;IF(S489="No","Destination not 200; ","")))</f>
        <v/>
      </c>
      <c r="U489" s="22" t="n"/>
      <c r="V489" s="22" t="n"/>
      <c r="W489" s="4" t="n"/>
    </row>
    <row r="490">
      <c r="A490" s="22" t="n"/>
      <c r="B490" s="22" t="n"/>
      <c r="C490" s="22" t="n"/>
      <c r="D490" s="22">
        <f>IF(A490="","",IF(OR(N(B490)&gt;=$C$2,N(C490)&gt;=$E$2),"High",IF(OR(N(B490)&gt;0,N(C490)&gt;0),"Medium","Low")))</f>
        <v/>
      </c>
      <c r="E490" s="22" t="n"/>
      <c r="F490" s="22" t="n"/>
      <c r="G490" s="22" t="n"/>
      <c r="H490" s="22" t="n"/>
      <c r="I490" s="22" t="n"/>
      <c r="J490" s="22" t="n"/>
      <c r="K490" s="22" t="n"/>
      <c r="L490" s="22" t="n"/>
      <c r="M490" s="22">
        <f>IF(K490="Override",L490,IF(K490="Accept suggestion",F490,IF(K490="No change (same URL)",A490,"")))</f>
        <v/>
      </c>
      <c r="N490" s="22">
        <f>IF(A490="","",IF(K490="410 Gone","410",IF(K490="404","404",IF(K490="No change (same URL)","none",IF(M490="","","301")))))</f>
        <v/>
      </c>
      <c r="O490" s="22">
        <f>IF(A490="","",IFERROR(MID(A490,FIND("/",A490,FIND("//",A490)+2),2000),A490))</f>
        <v/>
      </c>
      <c r="P490" s="22">
        <f>IF(OR(O490="",N490="",N490="none",N490="404"),"",IF(N490="410","Redirect gone "&amp;O490,"Redirect "&amp;N490&amp;" "&amp;O490&amp;" "&amp;M490))</f>
        <v/>
      </c>
      <c r="Q490" s="22" t="n"/>
      <c r="R490" s="22" t="n"/>
      <c r="S490" s="22" t="n"/>
      <c r="T490" s="4">
        <f>IF(A490="","",TRIM(IF(K490="","Needs decision; ","")&amp;IF(AND(K490="Accept suggestion",F490=""),"No suggestion to accept; ","")&amp;IF(AND(K490="Override",L490=""),"Override URL missing; ","")&amp;IF(AND(K490="Accept suggestion",N(G490)&lt;$G$2),"Below your threshold; ","")&amp;IF(AND(M490&lt;&gt;"",M490=A490,K490&lt;&gt;"No change (same URL)"),"Redirects to itself; ","")&amp;IF(AND(M490&lt;&gt;"",OR(M490="/",AND(LEFT(M490,4)="http",OR((LEN(M490)-LEN(SUBSTITUTE(M490,"/","")))=2,AND((LEN(M490)-LEN(SUBSTITUTE(M490,"/","")))=3,RIGHT(M490,1)="/"))))),"Home page redirect; ","")&amp;IF(N(R490)&gt;1,"Chain; ","")&amp;IF(S490="No","Destination not 200; ","")))</f>
        <v/>
      </c>
      <c r="U490" s="22" t="n"/>
      <c r="V490" s="22" t="n"/>
      <c r="W490" s="4" t="n"/>
    </row>
    <row r="491">
      <c r="A491" s="22" t="n"/>
      <c r="B491" s="22" t="n"/>
      <c r="C491" s="22" t="n"/>
      <c r="D491" s="22">
        <f>IF(A491="","",IF(OR(N(B491)&gt;=$C$2,N(C491)&gt;=$E$2),"High",IF(OR(N(B491)&gt;0,N(C491)&gt;0),"Medium","Low")))</f>
        <v/>
      </c>
      <c r="E491" s="22" t="n"/>
      <c r="F491" s="22" t="n"/>
      <c r="G491" s="22" t="n"/>
      <c r="H491" s="22" t="n"/>
      <c r="I491" s="22" t="n"/>
      <c r="J491" s="22" t="n"/>
      <c r="K491" s="22" t="n"/>
      <c r="L491" s="22" t="n"/>
      <c r="M491" s="22">
        <f>IF(K491="Override",L491,IF(K491="Accept suggestion",F491,IF(K491="No change (same URL)",A491,"")))</f>
        <v/>
      </c>
      <c r="N491" s="22">
        <f>IF(A491="","",IF(K491="410 Gone","410",IF(K491="404","404",IF(K491="No change (same URL)","none",IF(M491="","","301")))))</f>
        <v/>
      </c>
      <c r="O491" s="22">
        <f>IF(A491="","",IFERROR(MID(A491,FIND("/",A491,FIND("//",A491)+2),2000),A491))</f>
        <v/>
      </c>
      <c r="P491" s="22">
        <f>IF(OR(O491="",N491="",N491="none",N491="404"),"",IF(N491="410","Redirect gone "&amp;O491,"Redirect "&amp;N491&amp;" "&amp;O491&amp;" "&amp;M491))</f>
        <v/>
      </c>
      <c r="Q491" s="22" t="n"/>
      <c r="R491" s="22" t="n"/>
      <c r="S491" s="22" t="n"/>
      <c r="T491" s="4">
        <f>IF(A491="","",TRIM(IF(K491="","Needs decision; ","")&amp;IF(AND(K491="Accept suggestion",F491=""),"No suggestion to accept; ","")&amp;IF(AND(K491="Override",L491=""),"Override URL missing; ","")&amp;IF(AND(K491="Accept suggestion",N(G491)&lt;$G$2),"Below your threshold; ","")&amp;IF(AND(M491&lt;&gt;"",M491=A491,K491&lt;&gt;"No change (same URL)"),"Redirects to itself; ","")&amp;IF(AND(M491&lt;&gt;"",OR(M491="/",AND(LEFT(M491,4)="http",OR((LEN(M491)-LEN(SUBSTITUTE(M491,"/","")))=2,AND((LEN(M491)-LEN(SUBSTITUTE(M491,"/","")))=3,RIGHT(M491,1)="/"))))),"Home page redirect; ","")&amp;IF(N(R491)&gt;1,"Chain; ","")&amp;IF(S491="No","Destination not 200; ","")))</f>
        <v/>
      </c>
      <c r="U491" s="22" t="n"/>
      <c r="V491" s="22" t="n"/>
      <c r="W491" s="4" t="n"/>
    </row>
    <row r="492">
      <c r="A492" s="22" t="n"/>
      <c r="B492" s="22" t="n"/>
      <c r="C492" s="22" t="n"/>
      <c r="D492" s="22">
        <f>IF(A492="","",IF(OR(N(B492)&gt;=$C$2,N(C492)&gt;=$E$2),"High",IF(OR(N(B492)&gt;0,N(C492)&gt;0),"Medium","Low")))</f>
        <v/>
      </c>
      <c r="E492" s="22" t="n"/>
      <c r="F492" s="22" t="n"/>
      <c r="G492" s="22" t="n"/>
      <c r="H492" s="22" t="n"/>
      <c r="I492" s="22" t="n"/>
      <c r="J492" s="22" t="n"/>
      <c r="K492" s="22" t="n"/>
      <c r="L492" s="22" t="n"/>
      <c r="M492" s="22">
        <f>IF(K492="Override",L492,IF(K492="Accept suggestion",F492,IF(K492="No change (same URL)",A492,"")))</f>
        <v/>
      </c>
      <c r="N492" s="22">
        <f>IF(A492="","",IF(K492="410 Gone","410",IF(K492="404","404",IF(K492="No change (same URL)","none",IF(M492="","","301")))))</f>
        <v/>
      </c>
      <c r="O492" s="22">
        <f>IF(A492="","",IFERROR(MID(A492,FIND("/",A492,FIND("//",A492)+2),2000),A492))</f>
        <v/>
      </c>
      <c r="P492" s="22">
        <f>IF(OR(O492="",N492="",N492="none",N492="404"),"",IF(N492="410","Redirect gone "&amp;O492,"Redirect "&amp;N492&amp;" "&amp;O492&amp;" "&amp;M492))</f>
        <v/>
      </c>
      <c r="Q492" s="22" t="n"/>
      <c r="R492" s="22" t="n"/>
      <c r="S492" s="22" t="n"/>
      <c r="T492" s="4">
        <f>IF(A492="","",TRIM(IF(K492="","Needs decision; ","")&amp;IF(AND(K492="Accept suggestion",F492=""),"No suggestion to accept; ","")&amp;IF(AND(K492="Override",L492=""),"Override URL missing; ","")&amp;IF(AND(K492="Accept suggestion",N(G492)&lt;$G$2),"Below your threshold; ","")&amp;IF(AND(M492&lt;&gt;"",M492=A492,K492&lt;&gt;"No change (same URL)"),"Redirects to itself; ","")&amp;IF(AND(M492&lt;&gt;"",OR(M492="/",AND(LEFT(M492,4)="http",OR((LEN(M492)-LEN(SUBSTITUTE(M492,"/","")))=2,AND((LEN(M492)-LEN(SUBSTITUTE(M492,"/","")))=3,RIGHT(M492,1)="/"))))),"Home page redirect; ","")&amp;IF(N(R492)&gt;1,"Chain; ","")&amp;IF(S492="No","Destination not 200; ","")))</f>
        <v/>
      </c>
      <c r="U492" s="22" t="n"/>
      <c r="V492" s="22" t="n"/>
      <c r="W492" s="4" t="n"/>
    </row>
    <row r="493">
      <c r="A493" s="22" t="n"/>
      <c r="B493" s="22" t="n"/>
      <c r="C493" s="22" t="n"/>
      <c r="D493" s="22">
        <f>IF(A493="","",IF(OR(N(B493)&gt;=$C$2,N(C493)&gt;=$E$2),"High",IF(OR(N(B493)&gt;0,N(C493)&gt;0),"Medium","Low")))</f>
        <v/>
      </c>
      <c r="E493" s="22" t="n"/>
      <c r="F493" s="22" t="n"/>
      <c r="G493" s="22" t="n"/>
      <c r="H493" s="22" t="n"/>
      <c r="I493" s="22" t="n"/>
      <c r="J493" s="22" t="n"/>
      <c r="K493" s="22" t="n"/>
      <c r="L493" s="22" t="n"/>
      <c r="M493" s="22">
        <f>IF(K493="Override",L493,IF(K493="Accept suggestion",F493,IF(K493="No change (same URL)",A493,"")))</f>
        <v/>
      </c>
      <c r="N493" s="22">
        <f>IF(A493="","",IF(K493="410 Gone","410",IF(K493="404","404",IF(K493="No change (same URL)","none",IF(M493="","","301")))))</f>
        <v/>
      </c>
      <c r="O493" s="22">
        <f>IF(A493="","",IFERROR(MID(A493,FIND("/",A493,FIND("//",A493)+2),2000),A493))</f>
        <v/>
      </c>
      <c r="P493" s="22">
        <f>IF(OR(O493="",N493="",N493="none",N493="404"),"",IF(N493="410","Redirect gone "&amp;O493,"Redirect "&amp;N493&amp;" "&amp;O493&amp;" "&amp;M493))</f>
        <v/>
      </c>
      <c r="Q493" s="22" t="n"/>
      <c r="R493" s="22" t="n"/>
      <c r="S493" s="22" t="n"/>
      <c r="T493" s="4">
        <f>IF(A493="","",TRIM(IF(K493="","Needs decision; ","")&amp;IF(AND(K493="Accept suggestion",F493=""),"No suggestion to accept; ","")&amp;IF(AND(K493="Override",L493=""),"Override URL missing; ","")&amp;IF(AND(K493="Accept suggestion",N(G493)&lt;$G$2),"Below your threshold; ","")&amp;IF(AND(M493&lt;&gt;"",M493=A493,K493&lt;&gt;"No change (same URL)"),"Redirects to itself; ","")&amp;IF(AND(M493&lt;&gt;"",OR(M493="/",AND(LEFT(M493,4)="http",OR((LEN(M493)-LEN(SUBSTITUTE(M493,"/","")))=2,AND((LEN(M493)-LEN(SUBSTITUTE(M493,"/","")))=3,RIGHT(M493,1)="/"))))),"Home page redirect; ","")&amp;IF(N(R493)&gt;1,"Chain; ","")&amp;IF(S493="No","Destination not 200; ","")))</f>
        <v/>
      </c>
      <c r="U493" s="22" t="n"/>
      <c r="V493" s="22" t="n"/>
      <c r="W493" s="4" t="n"/>
    </row>
    <row r="494">
      <c r="A494" s="22" t="n"/>
      <c r="B494" s="22" t="n"/>
      <c r="C494" s="22" t="n"/>
      <c r="D494" s="22">
        <f>IF(A494="","",IF(OR(N(B494)&gt;=$C$2,N(C494)&gt;=$E$2),"High",IF(OR(N(B494)&gt;0,N(C494)&gt;0),"Medium","Low")))</f>
        <v/>
      </c>
      <c r="E494" s="22" t="n"/>
      <c r="F494" s="22" t="n"/>
      <c r="G494" s="22" t="n"/>
      <c r="H494" s="22" t="n"/>
      <c r="I494" s="22" t="n"/>
      <c r="J494" s="22" t="n"/>
      <c r="K494" s="22" t="n"/>
      <c r="L494" s="22" t="n"/>
      <c r="M494" s="22">
        <f>IF(K494="Override",L494,IF(K494="Accept suggestion",F494,IF(K494="No change (same URL)",A494,"")))</f>
        <v/>
      </c>
      <c r="N494" s="22">
        <f>IF(A494="","",IF(K494="410 Gone","410",IF(K494="404","404",IF(K494="No change (same URL)","none",IF(M494="","","301")))))</f>
        <v/>
      </c>
      <c r="O494" s="22">
        <f>IF(A494="","",IFERROR(MID(A494,FIND("/",A494,FIND("//",A494)+2),2000),A494))</f>
        <v/>
      </c>
      <c r="P494" s="22">
        <f>IF(OR(O494="",N494="",N494="none",N494="404"),"",IF(N494="410","Redirect gone "&amp;O494,"Redirect "&amp;N494&amp;" "&amp;O494&amp;" "&amp;M494))</f>
        <v/>
      </c>
      <c r="Q494" s="22" t="n"/>
      <c r="R494" s="22" t="n"/>
      <c r="S494" s="22" t="n"/>
      <c r="T494" s="4">
        <f>IF(A494="","",TRIM(IF(K494="","Needs decision; ","")&amp;IF(AND(K494="Accept suggestion",F494=""),"No suggestion to accept; ","")&amp;IF(AND(K494="Override",L494=""),"Override URL missing; ","")&amp;IF(AND(K494="Accept suggestion",N(G494)&lt;$G$2),"Below your threshold; ","")&amp;IF(AND(M494&lt;&gt;"",M494=A494,K494&lt;&gt;"No change (same URL)"),"Redirects to itself; ","")&amp;IF(AND(M494&lt;&gt;"",OR(M494="/",AND(LEFT(M494,4)="http",OR((LEN(M494)-LEN(SUBSTITUTE(M494,"/","")))=2,AND((LEN(M494)-LEN(SUBSTITUTE(M494,"/","")))=3,RIGHT(M494,1)="/"))))),"Home page redirect; ","")&amp;IF(N(R494)&gt;1,"Chain; ","")&amp;IF(S494="No","Destination not 200; ","")))</f>
        <v/>
      </c>
      <c r="U494" s="22" t="n"/>
      <c r="V494" s="22" t="n"/>
      <c r="W494" s="4" t="n"/>
    </row>
    <row r="495">
      <c r="A495" s="22" t="n"/>
      <c r="B495" s="22" t="n"/>
      <c r="C495" s="22" t="n"/>
      <c r="D495" s="22">
        <f>IF(A495="","",IF(OR(N(B495)&gt;=$C$2,N(C495)&gt;=$E$2),"High",IF(OR(N(B495)&gt;0,N(C495)&gt;0),"Medium","Low")))</f>
        <v/>
      </c>
      <c r="E495" s="22" t="n"/>
      <c r="F495" s="22" t="n"/>
      <c r="G495" s="22" t="n"/>
      <c r="H495" s="22" t="n"/>
      <c r="I495" s="22" t="n"/>
      <c r="J495" s="22" t="n"/>
      <c r="K495" s="22" t="n"/>
      <c r="L495" s="22" t="n"/>
      <c r="M495" s="22">
        <f>IF(K495="Override",L495,IF(K495="Accept suggestion",F495,IF(K495="No change (same URL)",A495,"")))</f>
        <v/>
      </c>
      <c r="N495" s="22">
        <f>IF(A495="","",IF(K495="410 Gone","410",IF(K495="404","404",IF(K495="No change (same URL)","none",IF(M495="","","301")))))</f>
        <v/>
      </c>
      <c r="O495" s="22">
        <f>IF(A495="","",IFERROR(MID(A495,FIND("/",A495,FIND("//",A495)+2),2000),A495))</f>
        <v/>
      </c>
      <c r="P495" s="22">
        <f>IF(OR(O495="",N495="",N495="none",N495="404"),"",IF(N495="410","Redirect gone "&amp;O495,"Redirect "&amp;N495&amp;" "&amp;O495&amp;" "&amp;M495))</f>
        <v/>
      </c>
      <c r="Q495" s="22" t="n"/>
      <c r="R495" s="22" t="n"/>
      <c r="S495" s="22" t="n"/>
      <c r="T495" s="4">
        <f>IF(A495="","",TRIM(IF(K495="","Needs decision; ","")&amp;IF(AND(K495="Accept suggestion",F495=""),"No suggestion to accept; ","")&amp;IF(AND(K495="Override",L495=""),"Override URL missing; ","")&amp;IF(AND(K495="Accept suggestion",N(G495)&lt;$G$2),"Below your threshold; ","")&amp;IF(AND(M495&lt;&gt;"",M495=A495,K495&lt;&gt;"No change (same URL)"),"Redirects to itself; ","")&amp;IF(AND(M495&lt;&gt;"",OR(M495="/",AND(LEFT(M495,4)="http",OR((LEN(M495)-LEN(SUBSTITUTE(M495,"/","")))=2,AND((LEN(M495)-LEN(SUBSTITUTE(M495,"/","")))=3,RIGHT(M495,1)="/"))))),"Home page redirect; ","")&amp;IF(N(R495)&gt;1,"Chain; ","")&amp;IF(S495="No","Destination not 200; ","")))</f>
        <v/>
      </c>
      <c r="U495" s="22" t="n"/>
      <c r="V495" s="22" t="n"/>
      <c r="W495" s="4" t="n"/>
    </row>
    <row r="496">
      <c r="A496" s="22" t="n"/>
      <c r="B496" s="22" t="n"/>
      <c r="C496" s="22" t="n"/>
      <c r="D496" s="22">
        <f>IF(A496="","",IF(OR(N(B496)&gt;=$C$2,N(C496)&gt;=$E$2),"High",IF(OR(N(B496)&gt;0,N(C496)&gt;0),"Medium","Low")))</f>
        <v/>
      </c>
      <c r="E496" s="22" t="n"/>
      <c r="F496" s="22" t="n"/>
      <c r="G496" s="22" t="n"/>
      <c r="H496" s="22" t="n"/>
      <c r="I496" s="22" t="n"/>
      <c r="J496" s="22" t="n"/>
      <c r="K496" s="22" t="n"/>
      <c r="L496" s="22" t="n"/>
      <c r="M496" s="22">
        <f>IF(K496="Override",L496,IF(K496="Accept suggestion",F496,IF(K496="No change (same URL)",A496,"")))</f>
        <v/>
      </c>
      <c r="N496" s="22">
        <f>IF(A496="","",IF(K496="410 Gone","410",IF(K496="404","404",IF(K496="No change (same URL)","none",IF(M496="","","301")))))</f>
        <v/>
      </c>
      <c r="O496" s="22">
        <f>IF(A496="","",IFERROR(MID(A496,FIND("/",A496,FIND("//",A496)+2),2000),A496))</f>
        <v/>
      </c>
      <c r="P496" s="22">
        <f>IF(OR(O496="",N496="",N496="none",N496="404"),"",IF(N496="410","Redirect gone "&amp;O496,"Redirect "&amp;N496&amp;" "&amp;O496&amp;" "&amp;M496))</f>
        <v/>
      </c>
      <c r="Q496" s="22" t="n"/>
      <c r="R496" s="22" t="n"/>
      <c r="S496" s="22" t="n"/>
      <c r="T496" s="4">
        <f>IF(A496="","",TRIM(IF(K496="","Needs decision; ","")&amp;IF(AND(K496="Accept suggestion",F496=""),"No suggestion to accept; ","")&amp;IF(AND(K496="Override",L496=""),"Override URL missing; ","")&amp;IF(AND(K496="Accept suggestion",N(G496)&lt;$G$2),"Below your threshold; ","")&amp;IF(AND(M496&lt;&gt;"",M496=A496,K496&lt;&gt;"No change (same URL)"),"Redirects to itself; ","")&amp;IF(AND(M496&lt;&gt;"",OR(M496="/",AND(LEFT(M496,4)="http",OR((LEN(M496)-LEN(SUBSTITUTE(M496,"/","")))=2,AND((LEN(M496)-LEN(SUBSTITUTE(M496,"/","")))=3,RIGHT(M496,1)="/"))))),"Home page redirect; ","")&amp;IF(N(R496)&gt;1,"Chain; ","")&amp;IF(S496="No","Destination not 200; ","")))</f>
        <v/>
      </c>
      <c r="U496" s="22" t="n"/>
      <c r="V496" s="22" t="n"/>
      <c r="W496" s="4" t="n"/>
    </row>
    <row r="497">
      <c r="A497" s="22" t="n"/>
      <c r="B497" s="22" t="n"/>
      <c r="C497" s="22" t="n"/>
      <c r="D497" s="22">
        <f>IF(A497="","",IF(OR(N(B497)&gt;=$C$2,N(C497)&gt;=$E$2),"High",IF(OR(N(B497)&gt;0,N(C497)&gt;0),"Medium","Low")))</f>
        <v/>
      </c>
      <c r="E497" s="22" t="n"/>
      <c r="F497" s="22" t="n"/>
      <c r="G497" s="22" t="n"/>
      <c r="H497" s="22" t="n"/>
      <c r="I497" s="22" t="n"/>
      <c r="J497" s="22" t="n"/>
      <c r="K497" s="22" t="n"/>
      <c r="L497" s="22" t="n"/>
      <c r="M497" s="22">
        <f>IF(K497="Override",L497,IF(K497="Accept suggestion",F497,IF(K497="No change (same URL)",A497,"")))</f>
        <v/>
      </c>
      <c r="N497" s="22">
        <f>IF(A497="","",IF(K497="410 Gone","410",IF(K497="404","404",IF(K497="No change (same URL)","none",IF(M497="","","301")))))</f>
        <v/>
      </c>
      <c r="O497" s="22">
        <f>IF(A497="","",IFERROR(MID(A497,FIND("/",A497,FIND("//",A497)+2),2000),A497))</f>
        <v/>
      </c>
      <c r="P497" s="22">
        <f>IF(OR(O497="",N497="",N497="none",N497="404"),"",IF(N497="410","Redirect gone "&amp;O497,"Redirect "&amp;N497&amp;" "&amp;O497&amp;" "&amp;M497))</f>
        <v/>
      </c>
      <c r="Q497" s="22" t="n"/>
      <c r="R497" s="22" t="n"/>
      <c r="S497" s="22" t="n"/>
      <c r="T497" s="4">
        <f>IF(A497="","",TRIM(IF(K497="","Needs decision; ","")&amp;IF(AND(K497="Accept suggestion",F497=""),"No suggestion to accept; ","")&amp;IF(AND(K497="Override",L497=""),"Override URL missing; ","")&amp;IF(AND(K497="Accept suggestion",N(G497)&lt;$G$2),"Below your threshold; ","")&amp;IF(AND(M497&lt;&gt;"",M497=A497,K497&lt;&gt;"No change (same URL)"),"Redirects to itself; ","")&amp;IF(AND(M497&lt;&gt;"",OR(M497="/",AND(LEFT(M497,4)="http",OR((LEN(M497)-LEN(SUBSTITUTE(M497,"/","")))=2,AND((LEN(M497)-LEN(SUBSTITUTE(M497,"/","")))=3,RIGHT(M497,1)="/"))))),"Home page redirect; ","")&amp;IF(N(R497)&gt;1,"Chain; ","")&amp;IF(S497="No","Destination not 200; ","")))</f>
        <v/>
      </c>
      <c r="U497" s="22" t="n"/>
      <c r="V497" s="22" t="n"/>
      <c r="W497" s="4" t="n"/>
    </row>
    <row r="498">
      <c r="A498" s="22" t="n"/>
      <c r="B498" s="22" t="n"/>
      <c r="C498" s="22" t="n"/>
      <c r="D498" s="22">
        <f>IF(A498="","",IF(OR(N(B498)&gt;=$C$2,N(C498)&gt;=$E$2),"High",IF(OR(N(B498)&gt;0,N(C498)&gt;0),"Medium","Low")))</f>
        <v/>
      </c>
      <c r="E498" s="22" t="n"/>
      <c r="F498" s="22" t="n"/>
      <c r="G498" s="22" t="n"/>
      <c r="H498" s="22" t="n"/>
      <c r="I498" s="22" t="n"/>
      <c r="J498" s="22" t="n"/>
      <c r="K498" s="22" t="n"/>
      <c r="L498" s="22" t="n"/>
      <c r="M498" s="22">
        <f>IF(K498="Override",L498,IF(K498="Accept suggestion",F498,IF(K498="No change (same URL)",A498,"")))</f>
        <v/>
      </c>
      <c r="N498" s="22">
        <f>IF(A498="","",IF(K498="410 Gone","410",IF(K498="404","404",IF(K498="No change (same URL)","none",IF(M498="","","301")))))</f>
        <v/>
      </c>
      <c r="O498" s="22">
        <f>IF(A498="","",IFERROR(MID(A498,FIND("/",A498,FIND("//",A498)+2),2000),A498))</f>
        <v/>
      </c>
      <c r="P498" s="22">
        <f>IF(OR(O498="",N498="",N498="none",N498="404"),"",IF(N498="410","Redirect gone "&amp;O498,"Redirect "&amp;N498&amp;" "&amp;O498&amp;" "&amp;M498))</f>
        <v/>
      </c>
      <c r="Q498" s="22" t="n"/>
      <c r="R498" s="22" t="n"/>
      <c r="S498" s="22" t="n"/>
      <c r="T498" s="4">
        <f>IF(A498="","",TRIM(IF(K498="","Needs decision; ","")&amp;IF(AND(K498="Accept suggestion",F498=""),"No suggestion to accept; ","")&amp;IF(AND(K498="Override",L498=""),"Override URL missing; ","")&amp;IF(AND(K498="Accept suggestion",N(G498)&lt;$G$2),"Below your threshold; ","")&amp;IF(AND(M498&lt;&gt;"",M498=A498,K498&lt;&gt;"No change (same URL)"),"Redirects to itself; ","")&amp;IF(AND(M498&lt;&gt;"",OR(M498="/",AND(LEFT(M498,4)="http",OR((LEN(M498)-LEN(SUBSTITUTE(M498,"/","")))=2,AND((LEN(M498)-LEN(SUBSTITUTE(M498,"/","")))=3,RIGHT(M498,1)="/"))))),"Home page redirect; ","")&amp;IF(N(R498)&gt;1,"Chain; ","")&amp;IF(S498="No","Destination not 200; ","")))</f>
        <v/>
      </c>
      <c r="U498" s="22" t="n"/>
      <c r="V498" s="22" t="n"/>
      <c r="W498" s="4" t="n"/>
    </row>
    <row r="499">
      <c r="A499" s="22" t="n"/>
      <c r="B499" s="22" t="n"/>
      <c r="C499" s="22" t="n"/>
      <c r="D499" s="22">
        <f>IF(A499="","",IF(OR(N(B499)&gt;=$C$2,N(C499)&gt;=$E$2),"High",IF(OR(N(B499)&gt;0,N(C499)&gt;0),"Medium","Low")))</f>
        <v/>
      </c>
      <c r="E499" s="22" t="n"/>
      <c r="F499" s="22" t="n"/>
      <c r="G499" s="22" t="n"/>
      <c r="H499" s="22" t="n"/>
      <c r="I499" s="22" t="n"/>
      <c r="J499" s="22" t="n"/>
      <c r="K499" s="22" t="n"/>
      <c r="L499" s="22" t="n"/>
      <c r="M499" s="22">
        <f>IF(K499="Override",L499,IF(K499="Accept suggestion",F499,IF(K499="No change (same URL)",A499,"")))</f>
        <v/>
      </c>
      <c r="N499" s="22">
        <f>IF(A499="","",IF(K499="410 Gone","410",IF(K499="404","404",IF(K499="No change (same URL)","none",IF(M499="","","301")))))</f>
        <v/>
      </c>
      <c r="O499" s="22">
        <f>IF(A499="","",IFERROR(MID(A499,FIND("/",A499,FIND("//",A499)+2),2000),A499))</f>
        <v/>
      </c>
      <c r="P499" s="22">
        <f>IF(OR(O499="",N499="",N499="none",N499="404"),"",IF(N499="410","Redirect gone "&amp;O499,"Redirect "&amp;N499&amp;" "&amp;O499&amp;" "&amp;M499))</f>
        <v/>
      </c>
      <c r="Q499" s="22" t="n"/>
      <c r="R499" s="22" t="n"/>
      <c r="S499" s="22" t="n"/>
      <c r="T499" s="4">
        <f>IF(A499="","",TRIM(IF(K499="","Needs decision; ","")&amp;IF(AND(K499="Accept suggestion",F499=""),"No suggestion to accept; ","")&amp;IF(AND(K499="Override",L499=""),"Override URL missing; ","")&amp;IF(AND(K499="Accept suggestion",N(G499)&lt;$G$2),"Below your threshold; ","")&amp;IF(AND(M499&lt;&gt;"",M499=A499,K499&lt;&gt;"No change (same URL)"),"Redirects to itself; ","")&amp;IF(AND(M499&lt;&gt;"",OR(M499="/",AND(LEFT(M499,4)="http",OR((LEN(M499)-LEN(SUBSTITUTE(M499,"/","")))=2,AND((LEN(M499)-LEN(SUBSTITUTE(M499,"/","")))=3,RIGHT(M499,1)="/"))))),"Home page redirect; ","")&amp;IF(N(R499)&gt;1,"Chain; ","")&amp;IF(S499="No","Destination not 200; ","")))</f>
        <v/>
      </c>
      <c r="U499" s="22" t="n"/>
      <c r="V499" s="22" t="n"/>
      <c r="W499" s="4" t="n"/>
    </row>
    <row r="500">
      <c r="A500" s="22" t="n"/>
      <c r="B500" s="22" t="n"/>
      <c r="C500" s="22" t="n"/>
      <c r="D500" s="22">
        <f>IF(A500="","",IF(OR(N(B500)&gt;=$C$2,N(C500)&gt;=$E$2),"High",IF(OR(N(B500)&gt;0,N(C500)&gt;0),"Medium","Low")))</f>
        <v/>
      </c>
      <c r="E500" s="22" t="n"/>
      <c r="F500" s="22" t="n"/>
      <c r="G500" s="22" t="n"/>
      <c r="H500" s="22" t="n"/>
      <c r="I500" s="22" t="n"/>
      <c r="J500" s="22" t="n"/>
      <c r="K500" s="22" t="n"/>
      <c r="L500" s="22" t="n"/>
      <c r="M500" s="22">
        <f>IF(K500="Override",L500,IF(K500="Accept suggestion",F500,IF(K500="No change (same URL)",A500,"")))</f>
        <v/>
      </c>
      <c r="N500" s="22">
        <f>IF(A500="","",IF(K500="410 Gone","410",IF(K500="404","404",IF(K500="No change (same URL)","none",IF(M500="","","301")))))</f>
        <v/>
      </c>
      <c r="O500" s="22">
        <f>IF(A500="","",IFERROR(MID(A500,FIND("/",A500,FIND("//",A500)+2),2000),A500))</f>
        <v/>
      </c>
      <c r="P500" s="22">
        <f>IF(OR(O500="",N500="",N500="none",N500="404"),"",IF(N500="410","Redirect gone "&amp;O500,"Redirect "&amp;N500&amp;" "&amp;O500&amp;" "&amp;M500))</f>
        <v/>
      </c>
      <c r="Q500" s="22" t="n"/>
      <c r="R500" s="22" t="n"/>
      <c r="S500" s="22" t="n"/>
      <c r="T500" s="4">
        <f>IF(A500="","",TRIM(IF(K500="","Needs decision; ","")&amp;IF(AND(K500="Accept suggestion",F500=""),"No suggestion to accept; ","")&amp;IF(AND(K500="Override",L500=""),"Override URL missing; ","")&amp;IF(AND(K500="Accept suggestion",N(G500)&lt;$G$2),"Below your threshold; ","")&amp;IF(AND(M500&lt;&gt;"",M500=A500,K500&lt;&gt;"No change (same URL)"),"Redirects to itself; ","")&amp;IF(AND(M500&lt;&gt;"",OR(M500="/",AND(LEFT(M500,4)="http",OR((LEN(M500)-LEN(SUBSTITUTE(M500,"/","")))=2,AND((LEN(M500)-LEN(SUBSTITUTE(M500,"/","")))=3,RIGHT(M500,1)="/"))))),"Home page redirect; ","")&amp;IF(N(R500)&gt;1,"Chain; ","")&amp;IF(S500="No","Destination not 200; ","")))</f>
        <v/>
      </c>
      <c r="U500" s="22" t="n"/>
      <c r="V500" s="22" t="n"/>
      <c r="W500" s="4" t="n"/>
    </row>
    <row r="501">
      <c r="A501" s="22" t="n"/>
      <c r="B501" s="22" t="n"/>
      <c r="C501" s="22" t="n"/>
      <c r="D501" s="22">
        <f>IF(A501="","",IF(OR(N(B501)&gt;=$C$2,N(C501)&gt;=$E$2),"High",IF(OR(N(B501)&gt;0,N(C501)&gt;0),"Medium","Low")))</f>
        <v/>
      </c>
      <c r="E501" s="22" t="n"/>
      <c r="F501" s="22" t="n"/>
      <c r="G501" s="22" t="n"/>
      <c r="H501" s="22" t="n"/>
      <c r="I501" s="22" t="n"/>
      <c r="J501" s="22" t="n"/>
      <c r="K501" s="22" t="n"/>
      <c r="L501" s="22" t="n"/>
      <c r="M501" s="22">
        <f>IF(K501="Override",L501,IF(K501="Accept suggestion",F501,IF(K501="No change (same URL)",A501,"")))</f>
        <v/>
      </c>
      <c r="N501" s="22">
        <f>IF(A501="","",IF(K501="410 Gone","410",IF(K501="404","404",IF(K501="No change (same URL)","none",IF(M501="","","301")))))</f>
        <v/>
      </c>
      <c r="O501" s="22">
        <f>IF(A501="","",IFERROR(MID(A501,FIND("/",A501,FIND("//",A501)+2),2000),A501))</f>
        <v/>
      </c>
      <c r="P501" s="22">
        <f>IF(OR(O501="",N501="",N501="none",N501="404"),"",IF(N501="410","Redirect gone "&amp;O501,"Redirect "&amp;N501&amp;" "&amp;O501&amp;" "&amp;M501))</f>
        <v/>
      </c>
      <c r="Q501" s="22" t="n"/>
      <c r="R501" s="22" t="n"/>
      <c r="S501" s="22" t="n"/>
      <c r="T501" s="4">
        <f>IF(A501="","",TRIM(IF(K501="","Needs decision; ","")&amp;IF(AND(K501="Accept suggestion",F501=""),"No suggestion to accept; ","")&amp;IF(AND(K501="Override",L501=""),"Override URL missing; ","")&amp;IF(AND(K501="Accept suggestion",N(G501)&lt;$G$2),"Below your threshold; ","")&amp;IF(AND(M501&lt;&gt;"",M501=A501,K501&lt;&gt;"No change (same URL)"),"Redirects to itself; ","")&amp;IF(AND(M501&lt;&gt;"",OR(M501="/",AND(LEFT(M501,4)="http",OR((LEN(M501)-LEN(SUBSTITUTE(M501,"/","")))=2,AND((LEN(M501)-LEN(SUBSTITUTE(M501,"/","")))=3,RIGHT(M501,1)="/"))))),"Home page redirect; ","")&amp;IF(N(R501)&gt;1,"Chain; ","")&amp;IF(S501="No","Destination not 200; ","")))</f>
        <v/>
      </c>
      <c r="U501" s="22" t="n"/>
      <c r="V501" s="22" t="n"/>
      <c r="W501" s="4" t="n"/>
    </row>
    <row r="502">
      <c r="A502" s="22" t="n"/>
      <c r="B502" s="22" t="n"/>
      <c r="C502" s="22" t="n"/>
      <c r="D502" s="22">
        <f>IF(A502="","",IF(OR(N(B502)&gt;=$C$2,N(C502)&gt;=$E$2),"High",IF(OR(N(B502)&gt;0,N(C502)&gt;0),"Medium","Low")))</f>
        <v/>
      </c>
      <c r="E502" s="22" t="n"/>
      <c r="F502" s="22" t="n"/>
      <c r="G502" s="22" t="n"/>
      <c r="H502" s="22" t="n"/>
      <c r="I502" s="22" t="n"/>
      <c r="J502" s="22" t="n"/>
      <c r="K502" s="22" t="n"/>
      <c r="L502" s="22" t="n"/>
      <c r="M502" s="22">
        <f>IF(K502="Override",L502,IF(K502="Accept suggestion",F502,IF(K502="No change (same URL)",A502,"")))</f>
        <v/>
      </c>
      <c r="N502" s="22">
        <f>IF(A502="","",IF(K502="410 Gone","410",IF(K502="404","404",IF(K502="No change (same URL)","none",IF(M502="","","301")))))</f>
        <v/>
      </c>
      <c r="O502" s="22">
        <f>IF(A502="","",IFERROR(MID(A502,FIND("/",A502,FIND("//",A502)+2),2000),A502))</f>
        <v/>
      </c>
      <c r="P502" s="22">
        <f>IF(OR(O502="",N502="",N502="none",N502="404"),"",IF(N502="410","Redirect gone "&amp;O502,"Redirect "&amp;N502&amp;" "&amp;O502&amp;" "&amp;M502))</f>
        <v/>
      </c>
      <c r="Q502" s="22" t="n"/>
      <c r="R502" s="22" t="n"/>
      <c r="S502" s="22" t="n"/>
      <c r="T502" s="4">
        <f>IF(A502="","",TRIM(IF(K502="","Needs decision; ","")&amp;IF(AND(K502="Accept suggestion",F502=""),"No suggestion to accept; ","")&amp;IF(AND(K502="Override",L502=""),"Override URL missing; ","")&amp;IF(AND(K502="Accept suggestion",N(G502)&lt;$G$2),"Below your threshold; ","")&amp;IF(AND(M502&lt;&gt;"",M502=A502,K502&lt;&gt;"No change (same URL)"),"Redirects to itself; ","")&amp;IF(AND(M502&lt;&gt;"",OR(M502="/",AND(LEFT(M502,4)="http",OR((LEN(M502)-LEN(SUBSTITUTE(M502,"/","")))=2,AND((LEN(M502)-LEN(SUBSTITUTE(M502,"/","")))=3,RIGHT(M502,1)="/"))))),"Home page redirect; ","")&amp;IF(N(R502)&gt;1,"Chain; ","")&amp;IF(S502="No","Destination not 200; ","")))</f>
        <v/>
      </c>
      <c r="U502" s="22" t="n"/>
      <c r="V502" s="22" t="n"/>
      <c r="W502" s="4" t="n"/>
    </row>
    <row r="503">
      <c r="A503" s="22" t="n"/>
      <c r="B503" s="22" t="n"/>
      <c r="C503" s="22" t="n"/>
      <c r="D503" s="22">
        <f>IF(A503="","",IF(OR(N(B503)&gt;=$C$2,N(C503)&gt;=$E$2),"High",IF(OR(N(B503)&gt;0,N(C503)&gt;0),"Medium","Low")))</f>
        <v/>
      </c>
      <c r="E503" s="22" t="n"/>
      <c r="F503" s="22" t="n"/>
      <c r="G503" s="22" t="n"/>
      <c r="H503" s="22" t="n"/>
      <c r="I503" s="22" t="n"/>
      <c r="J503" s="22" t="n"/>
      <c r="K503" s="22" t="n"/>
      <c r="L503" s="22" t="n"/>
      <c r="M503" s="22">
        <f>IF(K503="Override",L503,IF(K503="Accept suggestion",F503,IF(K503="No change (same URL)",A503,"")))</f>
        <v/>
      </c>
      <c r="N503" s="22">
        <f>IF(A503="","",IF(K503="410 Gone","410",IF(K503="404","404",IF(K503="No change (same URL)","none",IF(M503="","","301")))))</f>
        <v/>
      </c>
      <c r="O503" s="22">
        <f>IF(A503="","",IFERROR(MID(A503,FIND("/",A503,FIND("//",A503)+2),2000),A503))</f>
        <v/>
      </c>
      <c r="P503" s="22">
        <f>IF(OR(O503="",N503="",N503="none",N503="404"),"",IF(N503="410","Redirect gone "&amp;O503,"Redirect "&amp;N503&amp;" "&amp;O503&amp;" "&amp;M503))</f>
        <v/>
      </c>
      <c r="Q503" s="22" t="n"/>
      <c r="R503" s="22" t="n"/>
      <c r="S503" s="22" t="n"/>
      <c r="T503" s="4">
        <f>IF(A503="","",TRIM(IF(K503="","Needs decision; ","")&amp;IF(AND(K503="Accept suggestion",F503=""),"No suggestion to accept; ","")&amp;IF(AND(K503="Override",L503=""),"Override URL missing; ","")&amp;IF(AND(K503="Accept suggestion",N(G503)&lt;$G$2),"Below your threshold; ","")&amp;IF(AND(M503&lt;&gt;"",M503=A503,K503&lt;&gt;"No change (same URL)"),"Redirects to itself; ","")&amp;IF(AND(M503&lt;&gt;"",OR(M503="/",AND(LEFT(M503,4)="http",OR((LEN(M503)-LEN(SUBSTITUTE(M503,"/","")))=2,AND((LEN(M503)-LEN(SUBSTITUTE(M503,"/","")))=3,RIGHT(M503,1)="/"))))),"Home page redirect; ","")&amp;IF(N(R503)&gt;1,"Chain; ","")&amp;IF(S503="No","Destination not 200; ","")))</f>
        <v/>
      </c>
      <c r="U503" s="22" t="n"/>
      <c r="V503" s="22" t="n"/>
      <c r="W503" s="4" t="n"/>
    </row>
    <row r="504">
      <c r="A504" s="22" t="n"/>
      <c r="B504" s="22" t="n"/>
      <c r="C504" s="22" t="n"/>
      <c r="D504" s="22">
        <f>IF(A504="","",IF(OR(N(B504)&gt;=$C$2,N(C504)&gt;=$E$2),"High",IF(OR(N(B504)&gt;0,N(C504)&gt;0),"Medium","Low")))</f>
        <v/>
      </c>
      <c r="E504" s="22" t="n"/>
      <c r="F504" s="22" t="n"/>
      <c r="G504" s="22" t="n"/>
      <c r="H504" s="22" t="n"/>
      <c r="I504" s="22" t="n"/>
      <c r="J504" s="22" t="n"/>
      <c r="K504" s="22" t="n"/>
      <c r="L504" s="22" t="n"/>
      <c r="M504" s="22">
        <f>IF(K504="Override",L504,IF(K504="Accept suggestion",F504,IF(K504="No change (same URL)",A504,"")))</f>
        <v/>
      </c>
      <c r="N504" s="22">
        <f>IF(A504="","",IF(K504="410 Gone","410",IF(K504="404","404",IF(K504="No change (same URL)","none",IF(M504="","","301")))))</f>
        <v/>
      </c>
      <c r="O504" s="22">
        <f>IF(A504="","",IFERROR(MID(A504,FIND("/",A504,FIND("//",A504)+2),2000),A504))</f>
        <v/>
      </c>
      <c r="P504" s="22">
        <f>IF(OR(O504="",N504="",N504="none",N504="404"),"",IF(N504="410","Redirect gone "&amp;O504,"Redirect "&amp;N504&amp;" "&amp;O504&amp;" "&amp;M504))</f>
        <v/>
      </c>
      <c r="Q504" s="22" t="n"/>
      <c r="R504" s="22" t="n"/>
      <c r="S504" s="22" t="n"/>
      <c r="T504" s="4">
        <f>IF(A504="","",TRIM(IF(K504="","Needs decision; ","")&amp;IF(AND(K504="Accept suggestion",F504=""),"No suggestion to accept; ","")&amp;IF(AND(K504="Override",L504=""),"Override URL missing; ","")&amp;IF(AND(K504="Accept suggestion",N(G504)&lt;$G$2),"Below your threshold; ","")&amp;IF(AND(M504&lt;&gt;"",M504=A504,K504&lt;&gt;"No change (same URL)"),"Redirects to itself; ","")&amp;IF(AND(M504&lt;&gt;"",OR(M504="/",AND(LEFT(M504,4)="http",OR((LEN(M504)-LEN(SUBSTITUTE(M504,"/","")))=2,AND((LEN(M504)-LEN(SUBSTITUTE(M504,"/","")))=3,RIGHT(M504,1)="/"))))),"Home page redirect; ","")&amp;IF(N(R504)&gt;1,"Chain; ","")&amp;IF(S504="No","Destination not 200; ","")))</f>
        <v/>
      </c>
      <c r="U504" s="22" t="n"/>
      <c r="V504" s="22" t="n"/>
      <c r="W504" s="4" t="n"/>
    </row>
    <row r="505">
      <c r="A505" s="22" t="n"/>
      <c r="B505" s="22" t="n"/>
      <c r="C505" s="22" t="n"/>
      <c r="D505" s="22">
        <f>IF(A505="","",IF(OR(N(B505)&gt;=$C$2,N(C505)&gt;=$E$2),"High",IF(OR(N(B505)&gt;0,N(C505)&gt;0),"Medium","Low")))</f>
        <v/>
      </c>
      <c r="E505" s="22" t="n"/>
      <c r="F505" s="22" t="n"/>
      <c r="G505" s="22" t="n"/>
      <c r="H505" s="22" t="n"/>
      <c r="I505" s="22" t="n"/>
      <c r="J505" s="22" t="n"/>
      <c r="K505" s="22" t="n"/>
      <c r="L505" s="22" t="n"/>
      <c r="M505" s="22">
        <f>IF(K505="Override",L505,IF(K505="Accept suggestion",F505,IF(K505="No change (same URL)",A505,"")))</f>
        <v/>
      </c>
      <c r="N505" s="22">
        <f>IF(A505="","",IF(K505="410 Gone","410",IF(K505="404","404",IF(K505="No change (same URL)","none",IF(M505="","","301")))))</f>
        <v/>
      </c>
      <c r="O505" s="22">
        <f>IF(A505="","",IFERROR(MID(A505,FIND("/",A505,FIND("//",A505)+2),2000),A505))</f>
        <v/>
      </c>
      <c r="P505" s="22">
        <f>IF(OR(O505="",N505="",N505="none",N505="404"),"",IF(N505="410","Redirect gone "&amp;O505,"Redirect "&amp;N505&amp;" "&amp;O505&amp;" "&amp;M505))</f>
        <v/>
      </c>
      <c r="Q505" s="22" t="n"/>
      <c r="R505" s="22" t="n"/>
      <c r="S505" s="22" t="n"/>
      <c r="T505" s="4">
        <f>IF(A505="","",TRIM(IF(K505="","Needs decision; ","")&amp;IF(AND(K505="Accept suggestion",F505=""),"No suggestion to accept; ","")&amp;IF(AND(K505="Override",L505=""),"Override URL missing; ","")&amp;IF(AND(K505="Accept suggestion",N(G505)&lt;$G$2),"Below your threshold; ","")&amp;IF(AND(M505&lt;&gt;"",M505=A505,K505&lt;&gt;"No change (same URL)"),"Redirects to itself; ","")&amp;IF(AND(M505&lt;&gt;"",OR(M505="/",AND(LEFT(M505,4)="http",OR((LEN(M505)-LEN(SUBSTITUTE(M505,"/","")))=2,AND((LEN(M505)-LEN(SUBSTITUTE(M505,"/","")))=3,RIGHT(M505,1)="/"))))),"Home page redirect; ","")&amp;IF(N(R505)&gt;1,"Chain; ","")&amp;IF(S505="No","Destination not 200; ","")))</f>
        <v/>
      </c>
      <c r="U505" s="22" t="n"/>
      <c r="V505" s="22" t="n"/>
      <c r="W505" s="4" t="n"/>
    </row>
    <row r="506">
      <c r="A506" s="22" t="n"/>
      <c r="B506" s="22" t="n"/>
      <c r="C506" s="22" t="n"/>
      <c r="D506" s="22">
        <f>IF(A506="","",IF(OR(N(B506)&gt;=$C$2,N(C506)&gt;=$E$2),"High",IF(OR(N(B506)&gt;0,N(C506)&gt;0),"Medium","Low")))</f>
        <v/>
      </c>
      <c r="E506" s="22" t="n"/>
      <c r="F506" s="22" t="n"/>
      <c r="G506" s="22" t="n"/>
      <c r="H506" s="22" t="n"/>
      <c r="I506" s="22" t="n"/>
      <c r="J506" s="22" t="n"/>
      <c r="K506" s="22" t="n"/>
      <c r="L506" s="22" t="n"/>
      <c r="M506" s="22">
        <f>IF(K506="Override",L506,IF(K506="Accept suggestion",F506,IF(K506="No change (same URL)",A506,"")))</f>
        <v/>
      </c>
      <c r="N506" s="22">
        <f>IF(A506="","",IF(K506="410 Gone","410",IF(K506="404","404",IF(K506="No change (same URL)","none",IF(M506="","","301")))))</f>
        <v/>
      </c>
      <c r="O506" s="22">
        <f>IF(A506="","",IFERROR(MID(A506,FIND("/",A506,FIND("//",A506)+2),2000),A506))</f>
        <v/>
      </c>
      <c r="P506" s="22">
        <f>IF(OR(O506="",N506="",N506="none",N506="404"),"",IF(N506="410","Redirect gone "&amp;O506,"Redirect "&amp;N506&amp;" "&amp;O506&amp;" "&amp;M506))</f>
        <v/>
      </c>
      <c r="Q506" s="22" t="n"/>
      <c r="R506" s="22" t="n"/>
      <c r="S506" s="22" t="n"/>
      <c r="T506" s="4">
        <f>IF(A506="","",TRIM(IF(K506="","Needs decision; ","")&amp;IF(AND(K506="Accept suggestion",F506=""),"No suggestion to accept; ","")&amp;IF(AND(K506="Override",L506=""),"Override URL missing; ","")&amp;IF(AND(K506="Accept suggestion",N(G506)&lt;$G$2),"Below your threshold; ","")&amp;IF(AND(M506&lt;&gt;"",M506=A506,K506&lt;&gt;"No change (same URL)"),"Redirects to itself; ","")&amp;IF(AND(M506&lt;&gt;"",OR(M506="/",AND(LEFT(M506,4)="http",OR((LEN(M506)-LEN(SUBSTITUTE(M506,"/","")))=2,AND((LEN(M506)-LEN(SUBSTITUTE(M506,"/","")))=3,RIGHT(M506,1)="/"))))),"Home page redirect; ","")&amp;IF(N(R506)&gt;1,"Chain; ","")&amp;IF(S506="No","Destination not 200; ","")))</f>
        <v/>
      </c>
      <c r="U506" s="22" t="n"/>
      <c r="V506" s="22" t="n"/>
      <c r="W506" s="4" t="n"/>
    </row>
    <row r="507">
      <c r="A507" s="22" t="n"/>
      <c r="B507" s="22" t="n"/>
      <c r="C507" s="22" t="n"/>
      <c r="D507" s="22">
        <f>IF(A507="","",IF(OR(N(B507)&gt;=$C$2,N(C507)&gt;=$E$2),"High",IF(OR(N(B507)&gt;0,N(C507)&gt;0),"Medium","Low")))</f>
        <v/>
      </c>
      <c r="E507" s="22" t="n"/>
      <c r="F507" s="22" t="n"/>
      <c r="G507" s="22" t="n"/>
      <c r="H507" s="22" t="n"/>
      <c r="I507" s="22" t="n"/>
      <c r="J507" s="22" t="n"/>
      <c r="K507" s="22" t="n"/>
      <c r="L507" s="22" t="n"/>
      <c r="M507" s="22">
        <f>IF(K507="Override",L507,IF(K507="Accept suggestion",F507,IF(K507="No change (same URL)",A507,"")))</f>
        <v/>
      </c>
      <c r="N507" s="22">
        <f>IF(A507="","",IF(K507="410 Gone","410",IF(K507="404","404",IF(K507="No change (same URL)","none",IF(M507="","","301")))))</f>
        <v/>
      </c>
      <c r="O507" s="22">
        <f>IF(A507="","",IFERROR(MID(A507,FIND("/",A507,FIND("//",A507)+2),2000),A507))</f>
        <v/>
      </c>
      <c r="P507" s="22">
        <f>IF(OR(O507="",N507="",N507="none",N507="404"),"",IF(N507="410","Redirect gone "&amp;O507,"Redirect "&amp;N507&amp;" "&amp;O507&amp;" "&amp;M507))</f>
        <v/>
      </c>
      <c r="Q507" s="22" t="n"/>
      <c r="R507" s="22" t="n"/>
      <c r="S507" s="22" t="n"/>
      <c r="T507" s="4">
        <f>IF(A507="","",TRIM(IF(K507="","Needs decision; ","")&amp;IF(AND(K507="Accept suggestion",F507=""),"No suggestion to accept; ","")&amp;IF(AND(K507="Override",L507=""),"Override URL missing; ","")&amp;IF(AND(K507="Accept suggestion",N(G507)&lt;$G$2),"Below your threshold; ","")&amp;IF(AND(M507&lt;&gt;"",M507=A507,K507&lt;&gt;"No change (same URL)"),"Redirects to itself; ","")&amp;IF(AND(M507&lt;&gt;"",OR(M507="/",AND(LEFT(M507,4)="http",OR((LEN(M507)-LEN(SUBSTITUTE(M507,"/","")))=2,AND((LEN(M507)-LEN(SUBSTITUTE(M507,"/","")))=3,RIGHT(M507,1)="/"))))),"Home page redirect; ","")&amp;IF(N(R507)&gt;1,"Chain; ","")&amp;IF(S507="No","Destination not 200; ","")))</f>
        <v/>
      </c>
      <c r="U507" s="22" t="n"/>
      <c r="V507" s="22" t="n"/>
      <c r="W507" s="4" t="n"/>
    </row>
    <row r="508">
      <c r="A508" s="22" t="n"/>
      <c r="B508" s="22" t="n"/>
      <c r="C508" s="22" t="n"/>
      <c r="D508" s="22">
        <f>IF(A508="","",IF(OR(N(B508)&gt;=$C$2,N(C508)&gt;=$E$2),"High",IF(OR(N(B508)&gt;0,N(C508)&gt;0),"Medium","Low")))</f>
        <v/>
      </c>
      <c r="E508" s="22" t="n"/>
      <c r="F508" s="22" t="n"/>
      <c r="G508" s="22" t="n"/>
      <c r="H508" s="22" t="n"/>
      <c r="I508" s="22" t="n"/>
      <c r="J508" s="22" t="n"/>
      <c r="K508" s="22" t="n"/>
      <c r="L508" s="22" t="n"/>
      <c r="M508" s="22">
        <f>IF(K508="Override",L508,IF(K508="Accept suggestion",F508,IF(K508="No change (same URL)",A508,"")))</f>
        <v/>
      </c>
      <c r="N508" s="22">
        <f>IF(A508="","",IF(K508="410 Gone","410",IF(K508="404","404",IF(K508="No change (same URL)","none",IF(M508="","","301")))))</f>
        <v/>
      </c>
      <c r="O508" s="22">
        <f>IF(A508="","",IFERROR(MID(A508,FIND("/",A508,FIND("//",A508)+2),2000),A508))</f>
        <v/>
      </c>
      <c r="P508" s="22">
        <f>IF(OR(O508="",N508="",N508="none",N508="404"),"",IF(N508="410","Redirect gone "&amp;O508,"Redirect "&amp;N508&amp;" "&amp;O508&amp;" "&amp;M508))</f>
        <v/>
      </c>
      <c r="Q508" s="22" t="n"/>
      <c r="R508" s="22" t="n"/>
      <c r="S508" s="22" t="n"/>
      <c r="T508" s="4">
        <f>IF(A508="","",TRIM(IF(K508="","Needs decision; ","")&amp;IF(AND(K508="Accept suggestion",F508=""),"No suggestion to accept; ","")&amp;IF(AND(K508="Override",L508=""),"Override URL missing; ","")&amp;IF(AND(K508="Accept suggestion",N(G508)&lt;$G$2),"Below your threshold; ","")&amp;IF(AND(M508&lt;&gt;"",M508=A508,K508&lt;&gt;"No change (same URL)"),"Redirects to itself; ","")&amp;IF(AND(M508&lt;&gt;"",OR(M508="/",AND(LEFT(M508,4)="http",OR((LEN(M508)-LEN(SUBSTITUTE(M508,"/","")))=2,AND((LEN(M508)-LEN(SUBSTITUTE(M508,"/","")))=3,RIGHT(M508,1)="/"))))),"Home page redirect; ","")&amp;IF(N(R508)&gt;1,"Chain; ","")&amp;IF(S508="No","Destination not 200; ","")))</f>
        <v/>
      </c>
      <c r="U508" s="22" t="n"/>
      <c r="V508" s="22" t="n"/>
      <c r="W508" s="4" t="n"/>
    </row>
    <row r="509">
      <c r="A509" s="22" t="n"/>
      <c r="B509" s="22" t="n"/>
      <c r="C509" s="22" t="n"/>
      <c r="D509" s="22">
        <f>IF(A509="","",IF(OR(N(B509)&gt;=$C$2,N(C509)&gt;=$E$2),"High",IF(OR(N(B509)&gt;0,N(C509)&gt;0),"Medium","Low")))</f>
        <v/>
      </c>
      <c r="E509" s="22" t="n"/>
      <c r="F509" s="22" t="n"/>
      <c r="G509" s="22" t="n"/>
      <c r="H509" s="22" t="n"/>
      <c r="I509" s="22" t="n"/>
      <c r="J509" s="22" t="n"/>
      <c r="K509" s="22" t="n"/>
      <c r="L509" s="22" t="n"/>
      <c r="M509" s="22">
        <f>IF(K509="Override",L509,IF(K509="Accept suggestion",F509,IF(K509="No change (same URL)",A509,"")))</f>
        <v/>
      </c>
      <c r="N509" s="22">
        <f>IF(A509="","",IF(K509="410 Gone","410",IF(K509="404","404",IF(K509="No change (same URL)","none",IF(M509="","","301")))))</f>
        <v/>
      </c>
      <c r="O509" s="22">
        <f>IF(A509="","",IFERROR(MID(A509,FIND("/",A509,FIND("//",A509)+2),2000),A509))</f>
        <v/>
      </c>
      <c r="P509" s="22">
        <f>IF(OR(O509="",N509="",N509="none",N509="404"),"",IF(N509="410","Redirect gone "&amp;O509,"Redirect "&amp;N509&amp;" "&amp;O509&amp;" "&amp;M509))</f>
        <v/>
      </c>
      <c r="Q509" s="22" t="n"/>
      <c r="R509" s="22" t="n"/>
      <c r="S509" s="22" t="n"/>
      <c r="T509" s="4">
        <f>IF(A509="","",TRIM(IF(K509="","Needs decision; ","")&amp;IF(AND(K509="Accept suggestion",F509=""),"No suggestion to accept; ","")&amp;IF(AND(K509="Override",L509=""),"Override URL missing; ","")&amp;IF(AND(K509="Accept suggestion",N(G509)&lt;$G$2),"Below your threshold; ","")&amp;IF(AND(M509&lt;&gt;"",M509=A509,K509&lt;&gt;"No change (same URL)"),"Redirects to itself; ","")&amp;IF(AND(M509&lt;&gt;"",OR(M509="/",AND(LEFT(M509,4)="http",OR((LEN(M509)-LEN(SUBSTITUTE(M509,"/","")))=2,AND((LEN(M509)-LEN(SUBSTITUTE(M509,"/","")))=3,RIGHT(M509,1)="/"))))),"Home page redirect; ","")&amp;IF(N(R509)&gt;1,"Chain; ","")&amp;IF(S509="No","Destination not 200; ","")))</f>
        <v/>
      </c>
      <c r="U509" s="22" t="n"/>
      <c r="V509" s="22" t="n"/>
      <c r="W509" s="4" t="n"/>
    </row>
    <row r="510">
      <c r="A510" s="22" t="n"/>
      <c r="B510" s="22" t="n"/>
      <c r="C510" s="22" t="n"/>
      <c r="D510" s="22">
        <f>IF(A510="","",IF(OR(N(B510)&gt;=$C$2,N(C510)&gt;=$E$2),"High",IF(OR(N(B510)&gt;0,N(C510)&gt;0),"Medium","Low")))</f>
        <v/>
      </c>
      <c r="E510" s="22" t="n"/>
      <c r="F510" s="22" t="n"/>
      <c r="G510" s="22" t="n"/>
      <c r="H510" s="22" t="n"/>
      <c r="I510" s="22" t="n"/>
      <c r="J510" s="22" t="n"/>
      <c r="K510" s="22" t="n"/>
      <c r="L510" s="22" t="n"/>
      <c r="M510" s="22">
        <f>IF(K510="Override",L510,IF(K510="Accept suggestion",F510,IF(K510="No change (same URL)",A510,"")))</f>
        <v/>
      </c>
      <c r="N510" s="22">
        <f>IF(A510="","",IF(K510="410 Gone","410",IF(K510="404","404",IF(K510="No change (same URL)","none",IF(M510="","","301")))))</f>
        <v/>
      </c>
      <c r="O510" s="22">
        <f>IF(A510="","",IFERROR(MID(A510,FIND("/",A510,FIND("//",A510)+2),2000),A510))</f>
        <v/>
      </c>
      <c r="P510" s="22">
        <f>IF(OR(O510="",N510="",N510="none",N510="404"),"",IF(N510="410","Redirect gone "&amp;O510,"Redirect "&amp;N510&amp;" "&amp;O510&amp;" "&amp;M510))</f>
        <v/>
      </c>
      <c r="Q510" s="22" t="n"/>
      <c r="R510" s="22" t="n"/>
      <c r="S510" s="22" t="n"/>
      <c r="T510" s="4">
        <f>IF(A510="","",TRIM(IF(K510="","Needs decision; ","")&amp;IF(AND(K510="Accept suggestion",F510=""),"No suggestion to accept; ","")&amp;IF(AND(K510="Override",L510=""),"Override URL missing; ","")&amp;IF(AND(K510="Accept suggestion",N(G510)&lt;$G$2),"Below your threshold; ","")&amp;IF(AND(M510&lt;&gt;"",M510=A510,K510&lt;&gt;"No change (same URL)"),"Redirects to itself; ","")&amp;IF(AND(M510&lt;&gt;"",OR(M510="/",AND(LEFT(M510,4)="http",OR((LEN(M510)-LEN(SUBSTITUTE(M510,"/","")))=2,AND((LEN(M510)-LEN(SUBSTITUTE(M510,"/","")))=3,RIGHT(M510,1)="/"))))),"Home page redirect; ","")&amp;IF(N(R510)&gt;1,"Chain; ","")&amp;IF(S510="No","Destination not 200; ","")))</f>
        <v/>
      </c>
      <c r="U510" s="22" t="n"/>
      <c r="V510" s="22" t="n"/>
      <c r="W510" s="4" t="n"/>
    </row>
    <row r="511">
      <c r="A511" s="22" t="n"/>
      <c r="B511" s="22" t="n"/>
      <c r="C511" s="22" t="n"/>
      <c r="D511" s="22">
        <f>IF(A511="","",IF(OR(N(B511)&gt;=$C$2,N(C511)&gt;=$E$2),"High",IF(OR(N(B511)&gt;0,N(C511)&gt;0),"Medium","Low")))</f>
        <v/>
      </c>
      <c r="E511" s="22" t="n"/>
      <c r="F511" s="22" t="n"/>
      <c r="G511" s="22" t="n"/>
      <c r="H511" s="22" t="n"/>
      <c r="I511" s="22" t="n"/>
      <c r="J511" s="22" t="n"/>
      <c r="K511" s="22" t="n"/>
      <c r="L511" s="22" t="n"/>
      <c r="M511" s="22">
        <f>IF(K511="Override",L511,IF(K511="Accept suggestion",F511,IF(K511="No change (same URL)",A511,"")))</f>
        <v/>
      </c>
      <c r="N511" s="22">
        <f>IF(A511="","",IF(K511="410 Gone","410",IF(K511="404","404",IF(K511="No change (same URL)","none",IF(M511="","","301")))))</f>
        <v/>
      </c>
      <c r="O511" s="22">
        <f>IF(A511="","",IFERROR(MID(A511,FIND("/",A511,FIND("//",A511)+2),2000),A511))</f>
        <v/>
      </c>
      <c r="P511" s="22">
        <f>IF(OR(O511="",N511="",N511="none",N511="404"),"",IF(N511="410","Redirect gone "&amp;O511,"Redirect "&amp;N511&amp;" "&amp;O511&amp;" "&amp;M511))</f>
        <v/>
      </c>
      <c r="Q511" s="22" t="n"/>
      <c r="R511" s="22" t="n"/>
      <c r="S511" s="22" t="n"/>
      <c r="T511" s="4">
        <f>IF(A511="","",TRIM(IF(K511="","Needs decision; ","")&amp;IF(AND(K511="Accept suggestion",F511=""),"No suggestion to accept; ","")&amp;IF(AND(K511="Override",L511=""),"Override URL missing; ","")&amp;IF(AND(K511="Accept suggestion",N(G511)&lt;$G$2),"Below your threshold; ","")&amp;IF(AND(M511&lt;&gt;"",M511=A511,K511&lt;&gt;"No change (same URL)"),"Redirects to itself; ","")&amp;IF(AND(M511&lt;&gt;"",OR(M511="/",AND(LEFT(M511,4)="http",OR((LEN(M511)-LEN(SUBSTITUTE(M511,"/","")))=2,AND((LEN(M511)-LEN(SUBSTITUTE(M511,"/","")))=3,RIGHT(M511,1)="/"))))),"Home page redirect; ","")&amp;IF(N(R511)&gt;1,"Chain; ","")&amp;IF(S511="No","Destination not 200; ","")))</f>
        <v/>
      </c>
      <c r="U511" s="22" t="n"/>
      <c r="V511" s="22" t="n"/>
      <c r="W511" s="4" t="n"/>
    </row>
    <row r="512">
      <c r="A512" s="22" t="n"/>
      <c r="B512" s="22" t="n"/>
      <c r="C512" s="22" t="n"/>
      <c r="D512" s="22">
        <f>IF(A512="","",IF(OR(N(B512)&gt;=$C$2,N(C512)&gt;=$E$2),"High",IF(OR(N(B512)&gt;0,N(C512)&gt;0),"Medium","Low")))</f>
        <v/>
      </c>
      <c r="E512" s="22" t="n"/>
      <c r="F512" s="22" t="n"/>
      <c r="G512" s="22" t="n"/>
      <c r="H512" s="22" t="n"/>
      <c r="I512" s="22" t="n"/>
      <c r="J512" s="22" t="n"/>
      <c r="K512" s="22" t="n"/>
      <c r="L512" s="22" t="n"/>
      <c r="M512" s="22">
        <f>IF(K512="Override",L512,IF(K512="Accept suggestion",F512,IF(K512="No change (same URL)",A512,"")))</f>
        <v/>
      </c>
      <c r="N512" s="22">
        <f>IF(A512="","",IF(K512="410 Gone","410",IF(K512="404","404",IF(K512="No change (same URL)","none",IF(M512="","","301")))))</f>
        <v/>
      </c>
      <c r="O512" s="22">
        <f>IF(A512="","",IFERROR(MID(A512,FIND("/",A512,FIND("//",A512)+2),2000),A512))</f>
        <v/>
      </c>
      <c r="P512" s="22">
        <f>IF(OR(O512="",N512="",N512="none",N512="404"),"",IF(N512="410","Redirect gone "&amp;O512,"Redirect "&amp;N512&amp;" "&amp;O512&amp;" "&amp;M512))</f>
        <v/>
      </c>
      <c r="Q512" s="22" t="n"/>
      <c r="R512" s="22" t="n"/>
      <c r="S512" s="22" t="n"/>
      <c r="T512" s="4">
        <f>IF(A512="","",TRIM(IF(K512="","Needs decision; ","")&amp;IF(AND(K512="Accept suggestion",F512=""),"No suggestion to accept; ","")&amp;IF(AND(K512="Override",L512=""),"Override URL missing; ","")&amp;IF(AND(K512="Accept suggestion",N(G512)&lt;$G$2),"Below your threshold; ","")&amp;IF(AND(M512&lt;&gt;"",M512=A512,K512&lt;&gt;"No change (same URL)"),"Redirects to itself; ","")&amp;IF(AND(M512&lt;&gt;"",OR(M512="/",AND(LEFT(M512,4)="http",OR((LEN(M512)-LEN(SUBSTITUTE(M512,"/","")))=2,AND((LEN(M512)-LEN(SUBSTITUTE(M512,"/","")))=3,RIGHT(M512,1)="/"))))),"Home page redirect; ","")&amp;IF(N(R512)&gt;1,"Chain; ","")&amp;IF(S512="No","Destination not 200; ","")))</f>
        <v/>
      </c>
      <c r="U512" s="22" t="n"/>
      <c r="V512" s="22" t="n"/>
      <c r="W512" s="4" t="n"/>
    </row>
    <row r="513">
      <c r="A513" s="22" t="n"/>
      <c r="B513" s="22" t="n"/>
      <c r="C513" s="22" t="n"/>
      <c r="D513" s="22">
        <f>IF(A513="","",IF(OR(N(B513)&gt;=$C$2,N(C513)&gt;=$E$2),"High",IF(OR(N(B513)&gt;0,N(C513)&gt;0),"Medium","Low")))</f>
        <v/>
      </c>
      <c r="E513" s="22" t="n"/>
      <c r="F513" s="22" t="n"/>
      <c r="G513" s="22" t="n"/>
      <c r="H513" s="22" t="n"/>
      <c r="I513" s="22" t="n"/>
      <c r="J513" s="22" t="n"/>
      <c r="K513" s="22" t="n"/>
      <c r="L513" s="22" t="n"/>
      <c r="M513" s="22">
        <f>IF(K513="Override",L513,IF(K513="Accept suggestion",F513,IF(K513="No change (same URL)",A513,"")))</f>
        <v/>
      </c>
      <c r="N513" s="22">
        <f>IF(A513="","",IF(K513="410 Gone","410",IF(K513="404","404",IF(K513="No change (same URL)","none",IF(M513="","","301")))))</f>
        <v/>
      </c>
      <c r="O513" s="22">
        <f>IF(A513="","",IFERROR(MID(A513,FIND("/",A513,FIND("//",A513)+2),2000),A513))</f>
        <v/>
      </c>
      <c r="P513" s="22">
        <f>IF(OR(O513="",N513="",N513="none",N513="404"),"",IF(N513="410","Redirect gone "&amp;O513,"Redirect "&amp;N513&amp;" "&amp;O513&amp;" "&amp;M513))</f>
        <v/>
      </c>
      <c r="Q513" s="22" t="n"/>
      <c r="R513" s="22" t="n"/>
      <c r="S513" s="22" t="n"/>
      <c r="T513" s="4">
        <f>IF(A513="","",TRIM(IF(K513="","Needs decision; ","")&amp;IF(AND(K513="Accept suggestion",F513=""),"No suggestion to accept; ","")&amp;IF(AND(K513="Override",L513=""),"Override URL missing; ","")&amp;IF(AND(K513="Accept suggestion",N(G513)&lt;$G$2),"Below your threshold; ","")&amp;IF(AND(M513&lt;&gt;"",M513=A513,K513&lt;&gt;"No change (same URL)"),"Redirects to itself; ","")&amp;IF(AND(M513&lt;&gt;"",OR(M513="/",AND(LEFT(M513,4)="http",OR((LEN(M513)-LEN(SUBSTITUTE(M513,"/","")))=2,AND((LEN(M513)-LEN(SUBSTITUTE(M513,"/","")))=3,RIGHT(M513,1)="/"))))),"Home page redirect; ","")&amp;IF(N(R513)&gt;1,"Chain; ","")&amp;IF(S513="No","Destination not 200; ","")))</f>
        <v/>
      </c>
      <c r="U513" s="22" t="n"/>
      <c r="V513" s="22" t="n"/>
      <c r="W513" s="4" t="n"/>
    </row>
    <row r="514">
      <c r="A514" s="22" t="n"/>
      <c r="B514" s="22" t="n"/>
      <c r="C514" s="22" t="n"/>
      <c r="D514" s="22">
        <f>IF(A514="","",IF(OR(N(B514)&gt;=$C$2,N(C514)&gt;=$E$2),"High",IF(OR(N(B514)&gt;0,N(C514)&gt;0),"Medium","Low")))</f>
        <v/>
      </c>
      <c r="E514" s="22" t="n"/>
      <c r="F514" s="22" t="n"/>
      <c r="G514" s="22" t="n"/>
      <c r="H514" s="22" t="n"/>
      <c r="I514" s="22" t="n"/>
      <c r="J514" s="22" t="n"/>
      <c r="K514" s="22" t="n"/>
      <c r="L514" s="22" t="n"/>
      <c r="M514" s="22">
        <f>IF(K514="Override",L514,IF(K514="Accept suggestion",F514,IF(K514="No change (same URL)",A514,"")))</f>
        <v/>
      </c>
      <c r="N514" s="22">
        <f>IF(A514="","",IF(K514="410 Gone","410",IF(K514="404","404",IF(K514="No change (same URL)","none",IF(M514="","","301")))))</f>
        <v/>
      </c>
      <c r="O514" s="22">
        <f>IF(A514="","",IFERROR(MID(A514,FIND("/",A514,FIND("//",A514)+2),2000),A514))</f>
        <v/>
      </c>
      <c r="P514" s="22">
        <f>IF(OR(O514="",N514="",N514="none",N514="404"),"",IF(N514="410","Redirect gone "&amp;O514,"Redirect "&amp;N514&amp;" "&amp;O514&amp;" "&amp;M514))</f>
        <v/>
      </c>
      <c r="Q514" s="22" t="n"/>
      <c r="R514" s="22" t="n"/>
      <c r="S514" s="22" t="n"/>
      <c r="T514" s="4">
        <f>IF(A514="","",TRIM(IF(K514="","Needs decision; ","")&amp;IF(AND(K514="Accept suggestion",F514=""),"No suggestion to accept; ","")&amp;IF(AND(K514="Override",L514=""),"Override URL missing; ","")&amp;IF(AND(K514="Accept suggestion",N(G514)&lt;$G$2),"Below your threshold; ","")&amp;IF(AND(M514&lt;&gt;"",M514=A514,K514&lt;&gt;"No change (same URL)"),"Redirects to itself; ","")&amp;IF(AND(M514&lt;&gt;"",OR(M514="/",AND(LEFT(M514,4)="http",OR((LEN(M514)-LEN(SUBSTITUTE(M514,"/","")))=2,AND((LEN(M514)-LEN(SUBSTITUTE(M514,"/","")))=3,RIGHT(M514,1)="/"))))),"Home page redirect; ","")&amp;IF(N(R514)&gt;1,"Chain; ","")&amp;IF(S514="No","Destination not 200; ","")))</f>
        <v/>
      </c>
      <c r="U514" s="22" t="n"/>
      <c r="V514" s="22" t="n"/>
      <c r="W514" s="4" t="n"/>
    </row>
    <row r="515">
      <c r="A515" s="22" t="n"/>
      <c r="B515" s="22" t="n"/>
      <c r="C515" s="22" t="n"/>
      <c r="D515" s="22">
        <f>IF(A515="","",IF(OR(N(B515)&gt;=$C$2,N(C515)&gt;=$E$2),"High",IF(OR(N(B515)&gt;0,N(C515)&gt;0),"Medium","Low")))</f>
        <v/>
      </c>
      <c r="E515" s="22" t="n"/>
      <c r="F515" s="22" t="n"/>
      <c r="G515" s="22" t="n"/>
      <c r="H515" s="22" t="n"/>
      <c r="I515" s="22" t="n"/>
      <c r="J515" s="22" t="n"/>
      <c r="K515" s="22" t="n"/>
      <c r="L515" s="22" t="n"/>
      <c r="M515" s="22">
        <f>IF(K515="Override",L515,IF(K515="Accept suggestion",F515,IF(K515="No change (same URL)",A515,"")))</f>
        <v/>
      </c>
      <c r="N515" s="22">
        <f>IF(A515="","",IF(K515="410 Gone","410",IF(K515="404","404",IF(K515="No change (same URL)","none",IF(M515="","","301")))))</f>
        <v/>
      </c>
      <c r="O515" s="22">
        <f>IF(A515="","",IFERROR(MID(A515,FIND("/",A515,FIND("//",A515)+2),2000),A515))</f>
        <v/>
      </c>
      <c r="P515" s="22">
        <f>IF(OR(O515="",N515="",N515="none",N515="404"),"",IF(N515="410","Redirect gone "&amp;O515,"Redirect "&amp;N515&amp;" "&amp;O515&amp;" "&amp;M515))</f>
        <v/>
      </c>
      <c r="Q515" s="22" t="n"/>
      <c r="R515" s="22" t="n"/>
      <c r="S515" s="22" t="n"/>
      <c r="T515" s="4">
        <f>IF(A515="","",TRIM(IF(K515="","Needs decision; ","")&amp;IF(AND(K515="Accept suggestion",F515=""),"No suggestion to accept; ","")&amp;IF(AND(K515="Override",L515=""),"Override URL missing; ","")&amp;IF(AND(K515="Accept suggestion",N(G515)&lt;$G$2),"Below your threshold; ","")&amp;IF(AND(M515&lt;&gt;"",M515=A515,K515&lt;&gt;"No change (same URL)"),"Redirects to itself; ","")&amp;IF(AND(M515&lt;&gt;"",OR(M515="/",AND(LEFT(M515,4)="http",OR((LEN(M515)-LEN(SUBSTITUTE(M515,"/","")))=2,AND((LEN(M515)-LEN(SUBSTITUTE(M515,"/","")))=3,RIGHT(M515,1)="/"))))),"Home page redirect; ","")&amp;IF(N(R515)&gt;1,"Chain; ","")&amp;IF(S515="No","Destination not 200; ","")))</f>
        <v/>
      </c>
      <c r="U515" s="22" t="n"/>
      <c r="V515" s="22" t="n"/>
      <c r="W515" s="4" t="n"/>
    </row>
    <row r="516">
      <c r="A516" s="22" t="n"/>
      <c r="B516" s="22" t="n"/>
      <c r="C516" s="22" t="n"/>
      <c r="D516" s="22">
        <f>IF(A516="","",IF(OR(N(B516)&gt;=$C$2,N(C516)&gt;=$E$2),"High",IF(OR(N(B516)&gt;0,N(C516)&gt;0),"Medium","Low")))</f>
        <v/>
      </c>
      <c r="E516" s="22" t="n"/>
      <c r="F516" s="22" t="n"/>
      <c r="G516" s="22" t="n"/>
      <c r="H516" s="22" t="n"/>
      <c r="I516" s="22" t="n"/>
      <c r="J516" s="22" t="n"/>
      <c r="K516" s="22" t="n"/>
      <c r="L516" s="22" t="n"/>
      <c r="M516" s="22">
        <f>IF(K516="Override",L516,IF(K516="Accept suggestion",F516,IF(K516="No change (same URL)",A516,"")))</f>
        <v/>
      </c>
      <c r="N516" s="22">
        <f>IF(A516="","",IF(K516="410 Gone","410",IF(K516="404","404",IF(K516="No change (same URL)","none",IF(M516="","","301")))))</f>
        <v/>
      </c>
      <c r="O516" s="22">
        <f>IF(A516="","",IFERROR(MID(A516,FIND("/",A516,FIND("//",A516)+2),2000),A516))</f>
        <v/>
      </c>
      <c r="P516" s="22">
        <f>IF(OR(O516="",N516="",N516="none",N516="404"),"",IF(N516="410","Redirect gone "&amp;O516,"Redirect "&amp;N516&amp;" "&amp;O516&amp;" "&amp;M516))</f>
        <v/>
      </c>
      <c r="Q516" s="22" t="n"/>
      <c r="R516" s="22" t="n"/>
      <c r="S516" s="22" t="n"/>
      <c r="T516" s="4">
        <f>IF(A516="","",TRIM(IF(K516="","Needs decision; ","")&amp;IF(AND(K516="Accept suggestion",F516=""),"No suggestion to accept; ","")&amp;IF(AND(K516="Override",L516=""),"Override URL missing; ","")&amp;IF(AND(K516="Accept suggestion",N(G516)&lt;$G$2),"Below your threshold; ","")&amp;IF(AND(M516&lt;&gt;"",M516=A516,K516&lt;&gt;"No change (same URL)"),"Redirects to itself; ","")&amp;IF(AND(M516&lt;&gt;"",OR(M516="/",AND(LEFT(M516,4)="http",OR((LEN(M516)-LEN(SUBSTITUTE(M516,"/","")))=2,AND((LEN(M516)-LEN(SUBSTITUTE(M516,"/","")))=3,RIGHT(M516,1)="/"))))),"Home page redirect; ","")&amp;IF(N(R516)&gt;1,"Chain; ","")&amp;IF(S516="No","Destination not 200; ","")))</f>
        <v/>
      </c>
      <c r="U516" s="22" t="n"/>
      <c r="V516" s="22" t="n"/>
      <c r="W516" s="4" t="n"/>
    </row>
    <row r="517">
      <c r="A517" s="22" t="n"/>
      <c r="B517" s="22" t="n"/>
      <c r="C517" s="22" t="n"/>
      <c r="D517" s="22">
        <f>IF(A517="","",IF(OR(N(B517)&gt;=$C$2,N(C517)&gt;=$E$2),"High",IF(OR(N(B517)&gt;0,N(C517)&gt;0),"Medium","Low")))</f>
        <v/>
      </c>
      <c r="E517" s="22" t="n"/>
      <c r="F517" s="22" t="n"/>
      <c r="G517" s="22" t="n"/>
      <c r="H517" s="22" t="n"/>
      <c r="I517" s="22" t="n"/>
      <c r="J517" s="22" t="n"/>
      <c r="K517" s="22" t="n"/>
      <c r="L517" s="22" t="n"/>
      <c r="M517" s="22">
        <f>IF(K517="Override",L517,IF(K517="Accept suggestion",F517,IF(K517="No change (same URL)",A517,"")))</f>
        <v/>
      </c>
      <c r="N517" s="22">
        <f>IF(A517="","",IF(K517="410 Gone","410",IF(K517="404","404",IF(K517="No change (same URL)","none",IF(M517="","","301")))))</f>
        <v/>
      </c>
      <c r="O517" s="22">
        <f>IF(A517="","",IFERROR(MID(A517,FIND("/",A517,FIND("//",A517)+2),2000),A517))</f>
        <v/>
      </c>
      <c r="P517" s="22">
        <f>IF(OR(O517="",N517="",N517="none",N517="404"),"",IF(N517="410","Redirect gone "&amp;O517,"Redirect "&amp;N517&amp;" "&amp;O517&amp;" "&amp;M517))</f>
        <v/>
      </c>
      <c r="Q517" s="22" t="n"/>
      <c r="R517" s="22" t="n"/>
      <c r="S517" s="22" t="n"/>
      <c r="T517" s="4">
        <f>IF(A517="","",TRIM(IF(K517="","Needs decision; ","")&amp;IF(AND(K517="Accept suggestion",F517=""),"No suggestion to accept; ","")&amp;IF(AND(K517="Override",L517=""),"Override URL missing; ","")&amp;IF(AND(K517="Accept suggestion",N(G517)&lt;$G$2),"Below your threshold; ","")&amp;IF(AND(M517&lt;&gt;"",M517=A517,K517&lt;&gt;"No change (same URL)"),"Redirects to itself; ","")&amp;IF(AND(M517&lt;&gt;"",OR(M517="/",AND(LEFT(M517,4)="http",OR((LEN(M517)-LEN(SUBSTITUTE(M517,"/","")))=2,AND((LEN(M517)-LEN(SUBSTITUTE(M517,"/","")))=3,RIGHT(M517,1)="/"))))),"Home page redirect; ","")&amp;IF(N(R517)&gt;1,"Chain; ","")&amp;IF(S517="No","Destination not 200; ","")))</f>
        <v/>
      </c>
      <c r="U517" s="22" t="n"/>
      <c r="V517" s="22" t="n"/>
      <c r="W517" s="4" t="n"/>
    </row>
    <row r="518">
      <c r="A518" s="22" t="n"/>
      <c r="B518" s="22" t="n"/>
      <c r="C518" s="22" t="n"/>
      <c r="D518" s="22">
        <f>IF(A518="","",IF(OR(N(B518)&gt;=$C$2,N(C518)&gt;=$E$2),"High",IF(OR(N(B518)&gt;0,N(C518)&gt;0),"Medium","Low")))</f>
        <v/>
      </c>
      <c r="E518" s="22" t="n"/>
      <c r="F518" s="22" t="n"/>
      <c r="G518" s="22" t="n"/>
      <c r="H518" s="22" t="n"/>
      <c r="I518" s="22" t="n"/>
      <c r="J518" s="22" t="n"/>
      <c r="K518" s="22" t="n"/>
      <c r="L518" s="22" t="n"/>
      <c r="M518" s="22">
        <f>IF(K518="Override",L518,IF(K518="Accept suggestion",F518,IF(K518="No change (same URL)",A518,"")))</f>
        <v/>
      </c>
      <c r="N518" s="22">
        <f>IF(A518="","",IF(K518="410 Gone","410",IF(K518="404","404",IF(K518="No change (same URL)","none",IF(M518="","","301")))))</f>
        <v/>
      </c>
      <c r="O518" s="22">
        <f>IF(A518="","",IFERROR(MID(A518,FIND("/",A518,FIND("//",A518)+2),2000),A518))</f>
        <v/>
      </c>
      <c r="P518" s="22">
        <f>IF(OR(O518="",N518="",N518="none",N518="404"),"",IF(N518="410","Redirect gone "&amp;O518,"Redirect "&amp;N518&amp;" "&amp;O518&amp;" "&amp;M518))</f>
        <v/>
      </c>
      <c r="Q518" s="22" t="n"/>
      <c r="R518" s="22" t="n"/>
      <c r="S518" s="22" t="n"/>
      <c r="T518" s="4">
        <f>IF(A518="","",TRIM(IF(K518="","Needs decision; ","")&amp;IF(AND(K518="Accept suggestion",F518=""),"No suggestion to accept; ","")&amp;IF(AND(K518="Override",L518=""),"Override URL missing; ","")&amp;IF(AND(K518="Accept suggestion",N(G518)&lt;$G$2),"Below your threshold; ","")&amp;IF(AND(M518&lt;&gt;"",M518=A518,K518&lt;&gt;"No change (same URL)"),"Redirects to itself; ","")&amp;IF(AND(M518&lt;&gt;"",OR(M518="/",AND(LEFT(M518,4)="http",OR((LEN(M518)-LEN(SUBSTITUTE(M518,"/","")))=2,AND((LEN(M518)-LEN(SUBSTITUTE(M518,"/","")))=3,RIGHT(M518,1)="/"))))),"Home page redirect; ","")&amp;IF(N(R518)&gt;1,"Chain; ","")&amp;IF(S518="No","Destination not 200; ","")))</f>
        <v/>
      </c>
      <c r="U518" s="22" t="n"/>
      <c r="V518" s="22" t="n"/>
      <c r="W518" s="4" t="n"/>
    </row>
    <row r="519">
      <c r="A519" s="22" t="n"/>
      <c r="B519" s="22" t="n"/>
      <c r="C519" s="22" t="n"/>
      <c r="D519" s="22">
        <f>IF(A519="","",IF(OR(N(B519)&gt;=$C$2,N(C519)&gt;=$E$2),"High",IF(OR(N(B519)&gt;0,N(C519)&gt;0),"Medium","Low")))</f>
        <v/>
      </c>
      <c r="E519" s="22" t="n"/>
      <c r="F519" s="22" t="n"/>
      <c r="G519" s="22" t="n"/>
      <c r="H519" s="22" t="n"/>
      <c r="I519" s="22" t="n"/>
      <c r="J519" s="22" t="n"/>
      <c r="K519" s="22" t="n"/>
      <c r="L519" s="22" t="n"/>
      <c r="M519" s="22">
        <f>IF(K519="Override",L519,IF(K519="Accept suggestion",F519,IF(K519="No change (same URL)",A519,"")))</f>
        <v/>
      </c>
      <c r="N519" s="22">
        <f>IF(A519="","",IF(K519="410 Gone","410",IF(K519="404","404",IF(K519="No change (same URL)","none",IF(M519="","","301")))))</f>
        <v/>
      </c>
      <c r="O519" s="22">
        <f>IF(A519="","",IFERROR(MID(A519,FIND("/",A519,FIND("//",A519)+2),2000),A519))</f>
        <v/>
      </c>
      <c r="P519" s="22">
        <f>IF(OR(O519="",N519="",N519="none",N519="404"),"",IF(N519="410","Redirect gone "&amp;O519,"Redirect "&amp;N519&amp;" "&amp;O519&amp;" "&amp;M519))</f>
        <v/>
      </c>
      <c r="Q519" s="22" t="n"/>
      <c r="R519" s="22" t="n"/>
      <c r="S519" s="22" t="n"/>
      <c r="T519" s="4">
        <f>IF(A519="","",TRIM(IF(K519="","Needs decision; ","")&amp;IF(AND(K519="Accept suggestion",F519=""),"No suggestion to accept; ","")&amp;IF(AND(K519="Override",L519=""),"Override URL missing; ","")&amp;IF(AND(K519="Accept suggestion",N(G519)&lt;$G$2),"Below your threshold; ","")&amp;IF(AND(M519&lt;&gt;"",M519=A519,K519&lt;&gt;"No change (same URL)"),"Redirects to itself; ","")&amp;IF(AND(M519&lt;&gt;"",OR(M519="/",AND(LEFT(M519,4)="http",OR((LEN(M519)-LEN(SUBSTITUTE(M519,"/","")))=2,AND((LEN(M519)-LEN(SUBSTITUTE(M519,"/","")))=3,RIGHT(M519,1)="/"))))),"Home page redirect; ","")&amp;IF(N(R519)&gt;1,"Chain; ","")&amp;IF(S519="No","Destination not 200; ","")))</f>
        <v/>
      </c>
      <c r="U519" s="22" t="n"/>
      <c r="V519" s="22" t="n"/>
      <c r="W519" s="4" t="n"/>
    </row>
    <row r="520">
      <c r="A520" s="22" t="n"/>
      <c r="B520" s="22" t="n"/>
      <c r="C520" s="22" t="n"/>
      <c r="D520" s="22">
        <f>IF(A520="","",IF(OR(N(B520)&gt;=$C$2,N(C520)&gt;=$E$2),"High",IF(OR(N(B520)&gt;0,N(C520)&gt;0),"Medium","Low")))</f>
        <v/>
      </c>
      <c r="E520" s="22" t="n"/>
      <c r="F520" s="22" t="n"/>
      <c r="G520" s="22" t="n"/>
      <c r="H520" s="22" t="n"/>
      <c r="I520" s="22" t="n"/>
      <c r="J520" s="22" t="n"/>
      <c r="K520" s="22" t="n"/>
      <c r="L520" s="22" t="n"/>
      <c r="M520" s="22">
        <f>IF(K520="Override",L520,IF(K520="Accept suggestion",F520,IF(K520="No change (same URL)",A520,"")))</f>
        <v/>
      </c>
      <c r="N520" s="22">
        <f>IF(A520="","",IF(K520="410 Gone","410",IF(K520="404","404",IF(K520="No change (same URL)","none",IF(M520="","","301")))))</f>
        <v/>
      </c>
      <c r="O520" s="22">
        <f>IF(A520="","",IFERROR(MID(A520,FIND("/",A520,FIND("//",A520)+2),2000),A520))</f>
        <v/>
      </c>
      <c r="P520" s="22">
        <f>IF(OR(O520="",N520="",N520="none",N520="404"),"",IF(N520="410","Redirect gone "&amp;O520,"Redirect "&amp;N520&amp;" "&amp;O520&amp;" "&amp;M520))</f>
        <v/>
      </c>
      <c r="Q520" s="22" t="n"/>
      <c r="R520" s="22" t="n"/>
      <c r="S520" s="22" t="n"/>
      <c r="T520" s="4">
        <f>IF(A520="","",TRIM(IF(K520="","Needs decision; ","")&amp;IF(AND(K520="Accept suggestion",F520=""),"No suggestion to accept; ","")&amp;IF(AND(K520="Override",L520=""),"Override URL missing; ","")&amp;IF(AND(K520="Accept suggestion",N(G520)&lt;$G$2),"Below your threshold; ","")&amp;IF(AND(M520&lt;&gt;"",M520=A520,K520&lt;&gt;"No change (same URL)"),"Redirects to itself; ","")&amp;IF(AND(M520&lt;&gt;"",OR(M520="/",AND(LEFT(M520,4)="http",OR((LEN(M520)-LEN(SUBSTITUTE(M520,"/","")))=2,AND((LEN(M520)-LEN(SUBSTITUTE(M520,"/","")))=3,RIGHT(M520,1)="/"))))),"Home page redirect; ","")&amp;IF(N(R520)&gt;1,"Chain; ","")&amp;IF(S520="No","Destination not 200; ","")))</f>
        <v/>
      </c>
      <c r="U520" s="22" t="n"/>
      <c r="V520" s="22" t="n"/>
      <c r="W520" s="4" t="n"/>
    </row>
    <row r="521">
      <c r="A521" s="22" t="n"/>
      <c r="B521" s="22" t="n"/>
      <c r="C521" s="22" t="n"/>
      <c r="D521" s="22">
        <f>IF(A521="","",IF(OR(N(B521)&gt;=$C$2,N(C521)&gt;=$E$2),"High",IF(OR(N(B521)&gt;0,N(C521)&gt;0),"Medium","Low")))</f>
        <v/>
      </c>
      <c r="E521" s="22" t="n"/>
      <c r="F521" s="22" t="n"/>
      <c r="G521" s="22" t="n"/>
      <c r="H521" s="22" t="n"/>
      <c r="I521" s="22" t="n"/>
      <c r="J521" s="22" t="n"/>
      <c r="K521" s="22" t="n"/>
      <c r="L521" s="22" t="n"/>
      <c r="M521" s="22">
        <f>IF(K521="Override",L521,IF(K521="Accept suggestion",F521,IF(K521="No change (same URL)",A521,"")))</f>
        <v/>
      </c>
      <c r="N521" s="22">
        <f>IF(A521="","",IF(K521="410 Gone","410",IF(K521="404","404",IF(K521="No change (same URL)","none",IF(M521="","","301")))))</f>
        <v/>
      </c>
      <c r="O521" s="22">
        <f>IF(A521="","",IFERROR(MID(A521,FIND("/",A521,FIND("//",A521)+2),2000),A521))</f>
        <v/>
      </c>
      <c r="P521" s="22">
        <f>IF(OR(O521="",N521="",N521="none",N521="404"),"",IF(N521="410","Redirect gone "&amp;O521,"Redirect "&amp;N521&amp;" "&amp;O521&amp;" "&amp;M521))</f>
        <v/>
      </c>
      <c r="Q521" s="22" t="n"/>
      <c r="R521" s="22" t="n"/>
      <c r="S521" s="22" t="n"/>
      <c r="T521" s="4">
        <f>IF(A521="","",TRIM(IF(K521="","Needs decision; ","")&amp;IF(AND(K521="Accept suggestion",F521=""),"No suggestion to accept; ","")&amp;IF(AND(K521="Override",L521=""),"Override URL missing; ","")&amp;IF(AND(K521="Accept suggestion",N(G521)&lt;$G$2),"Below your threshold; ","")&amp;IF(AND(M521&lt;&gt;"",M521=A521,K521&lt;&gt;"No change (same URL)"),"Redirects to itself; ","")&amp;IF(AND(M521&lt;&gt;"",OR(M521="/",AND(LEFT(M521,4)="http",OR((LEN(M521)-LEN(SUBSTITUTE(M521,"/","")))=2,AND((LEN(M521)-LEN(SUBSTITUTE(M521,"/","")))=3,RIGHT(M521,1)="/"))))),"Home page redirect; ","")&amp;IF(N(R521)&gt;1,"Chain; ","")&amp;IF(S521="No","Destination not 200; ","")))</f>
        <v/>
      </c>
      <c r="U521" s="22" t="n"/>
      <c r="V521" s="22" t="n"/>
      <c r="W521" s="4" t="n"/>
    </row>
    <row r="522">
      <c r="A522" s="22" t="n"/>
      <c r="B522" s="22" t="n"/>
      <c r="C522" s="22" t="n"/>
      <c r="D522" s="22">
        <f>IF(A522="","",IF(OR(N(B522)&gt;=$C$2,N(C522)&gt;=$E$2),"High",IF(OR(N(B522)&gt;0,N(C522)&gt;0),"Medium","Low")))</f>
        <v/>
      </c>
      <c r="E522" s="22" t="n"/>
      <c r="F522" s="22" t="n"/>
      <c r="G522" s="22" t="n"/>
      <c r="H522" s="22" t="n"/>
      <c r="I522" s="22" t="n"/>
      <c r="J522" s="22" t="n"/>
      <c r="K522" s="22" t="n"/>
      <c r="L522" s="22" t="n"/>
      <c r="M522" s="22">
        <f>IF(K522="Override",L522,IF(K522="Accept suggestion",F522,IF(K522="No change (same URL)",A522,"")))</f>
        <v/>
      </c>
      <c r="N522" s="22">
        <f>IF(A522="","",IF(K522="410 Gone","410",IF(K522="404","404",IF(K522="No change (same URL)","none",IF(M522="","","301")))))</f>
        <v/>
      </c>
      <c r="O522" s="22">
        <f>IF(A522="","",IFERROR(MID(A522,FIND("/",A522,FIND("//",A522)+2),2000),A522))</f>
        <v/>
      </c>
      <c r="P522" s="22">
        <f>IF(OR(O522="",N522="",N522="none",N522="404"),"",IF(N522="410","Redirect gone "&amp;O522,"Redirect "&amp;N522&amp;" "&amp;O522&amp;" "&amp;M522))</f>
        <v/>
      </c>
      <c r="Q522" s="22" t="n"/>
      <c r="R522" s="22" t="n"/>
      <c r="S522" s="22" t="n"/>
      <c r="T522" s="4">
        <f>IF(A522="","",TRIM(IF(K522="","Needs decision; ","")&amp;IF(AND(K522="Accept suggestion",F522=""),"No suggestion to accept; ","")&amp;IF(AND(K522="Override",L522=""),"Override URL missing; ","")&amp;IF(AND(K522="Accept suggestion",N(G522)&lt;$G$2),"Below your threshold; ","")&amp;IF(AND(M522&lt;&gt;"",M522=A522,K522&lt;&gt;"No change (same URL)"),"Redirects to itself; ","")&amp;IF(AND(M522&lt;&gt;"",OR(M522="/",AND(LEFT(M522,4)="http",OR((LEN(M522)-LEN(SUBSTITUTE(M522,"/","")))=2,AND((LEN(M522)-LEN(SUBSTITUTE(M522,"/","")))=3,RIGHT(M522,1)="/"))))),"Home page redirect; ","")&amp;IF(N(R522)&gt;1,"Chain; ","")&amp;IF(S522="No","Destination not 200; ","")))</f>
        <v/>
      </c>
      <c r="U522" s="22" t="n"/>
      <c r="V522" s="22" t="n"/>
      <c r="W522" s="4" t="n"/>
    </row>
    <row r="523">
      <c r="A523" s="22" t="n"/>
      <c r="B523" s="22" t="n"/>
      <c r="C523" s="22" t="n"/>
      <c r="D523" s="22">
        <f>IF(A523="","",IF(OR(N(B523)&gt;=$C$2,N(C523)&gt;=$E$2),"High",IF(OR(N(B523)&gt;0,N(C523)&gt;0),"Medium","Low")))</f>
        <v/>
      </c>
      <c r="E523" s="22" t="n"/>
      <c r="F523" s="22" t="n"/>
      <c r="G523" s="22" t="n"/>
      <c r="H523" s="22" t="n"/>
      <c r="I523" s="22" t="n"/>
      <c r="J523" s="22" t="n"/>
      <c r="K523" s="22" t="n"/>
      <c r="L523" s="22" t="n"/>
      <c r="M523" s="22">
        <f>IF(K523="Override",L523,IF(K523="Accept suggestion",F523,IF(K523="No change (same URL)",A523,"")))</f>
        <v/>
      </c>
      <c r="N523" s="22">
        <f>IF(A523="","",IF(K523="410 Gone","410",IF(K523="404","404",IF(K523="No change (same URL)","none",IF(M523="","","301")))))</f>
        <v/>
      </c>
      <c r="O523" s="22">
        <f>IF(A523="","",IFERROR(MID(A523,FIND("/",A523,FIND("//",A523)+2),2000),A523))</f>
        <v/>
      </c>
      <c r="P523" s="22">
        <f>IF(OR(O523="",N523="",N523="none",N523="404"),"",IF(N523="410","Redirect gone "&amp;O523,"Redirect "&amp;N523&amp;" "&amp;O523&amp;" "&amp;M523))</f>
        <v/>
      </c>
      <c r="Q523" s="22" t="n"/>
      <c r="R523" s="22" t="n"/>
      <c r="S523" s="22" t="n"/>
      <c r="T523" s="4">
        <f>IF(A523="","",TRIM(IF(K523="","Needs decision; ","")&amp;IF(AND(K523="Accept suggestion",F523=""),"No suggestion to accept; ","")&amp;IF(AND(K523="Override",L523=""),"Override URL missing; ","")&amp;IF(AND(K523="Accept suggestion",N(G523)&lt;$G$2),"Below your threshold; ","")&amp;IF(AND(M523&lt;&gt;"",M523=A523,K523&lt;&gt;"No change (same URL)"),"Redirects to itself; ","")&amp;IF(AND(M523&lt;&gt;"",OR(M523="/",AND(LEFT(M523,4)="http",OR((LEN(M523)-LEN(SUBSTITUTE(M523,"/","")))=2,AND((LEN(M523)-LEN(SUBSTITUTE(M523,"/","")))=3,RIGHT(M523,1)="/"))))),"Home page redirect; ","")&amp;IF(N(R523)&gt;1,"Chain; ","")&amp;IF(S523="No","Destination not 200; ","")))</f>
        <v/>
      </c>
      <c r="U523" s="22" t="n"/>
      <c r="V523" s="22" t="n"/>
      <c r="W523" s="4" t="n"/>
    </row>
    <row r="524">
      <c r="A524" s="22" t="n"/>
      <c r="B524" s="22" t="n"/>
      <c r="C524" s="22" t="n"/>
      <c r="D524" s="22">
        <f>IF(A524="","",IF(OR(N(B524)&gt;=$C$2,N(C524)&gt;=$E$2),"High",IF(OR(N(B524)&gt;0,N(C524)&gt;0),"Medium","Low")))</f>
        <v/>
      </c>
      <c r="E524" s="22" t="n"/>
      <c r="F524" s="22" t="n"/>
      <c r="G524" s="22" t="n"/>
      <c r="H524" s="22" t="n"/>
      <c r="I524" s="22" t="n"/>
      <c r="J524" s="22" t="n"/>
      <c r="K524" s="22" t="n"/>
      <c r="L524" s="22" t="n"/>
      <c r="M524" s="22">
        <f>IF(K524="Override",L524,IF(K524="Accept suggestion",F524,IF(K524="No change (same URL)",A524,"")))</f>
        <v/>
      </c>
      <c r="N524" s="22">
        <f>IF(A524="","",IF(K524="410 Gone","410",IF(K524="404","404",IF(K524="No change (same URL)","none",IF(M524="","","301")))))</f>
        <v/>
      </c>
      <c r="O524" s="22">
        <f>IF(A524="","",IFERROR(MID(A524,FIND("/",A524,FIND("//",A524)+2),2000),A524))</f>
        <v/>
      </c>
      <c r="P524" s="22">
        <f>IF(OR(O524="",N524="",N524="none",N524="404"),"",IF(N524="410","Redirect gone "&amp;O524,"Redirect "&amp;N524&amp;" "&amp;O524&amp;" "&amp;M524))</f>
        <v/>
      </c>
      <c r="Q524" s="22" t="n"/>
      <c r="R524" s="22" t="n"/>
      <c r="S524" s="22" t="n"/>
      <c r="T524" s="4">
        <f>IF(A524="","",TRIM(IF(K524="","Needs decision; ","")&amp;IF(AND(K524="Accept suggestion",F524=""),"No suggestion to accept; ","")&amp;IF(AND(K524="Override",L524=""),"Override URL missing; ","")&amp;IF(AND(K524="Accept suggestion",N(G524)&lt;$G$2),"Below your threshold; ","")&amp;IF(AND(M524&lt;&gt;"",M524=A524,K524&lt;&gt;"No change (same URL)"),"Redirects to itself; ","")&amp;IF(AND(M524&lt;&gt;"",OR(M524="/",AND(LEFT(M524,4)="http",OR((LEN(M524)-LEN(SUBSTITUTE(M524,"/","")))=2,AND((LEN(M524)-LEN(SUBSTITUTE(M524,"/","")))=3,RIGHT(M524,1)="/"))))),"Home page redirect; ","")&amp;IF(N(R524)&gt;1,"Chain; ","")&amp;IF(S524="No","Destination not 200; ","")))</f>
        <v/>
      </c>
      <c r="U524" s="22" t="n"/>
      <c r="V524" s="22" t="n"/>
      <c r="W524" s="4" t="n"/>
    </row>
    <row r="525">
      <c r="A525" s="22" t="n"/>
      <c r="B525" s="22" t="n"/>
      <c r="C525" s="22" t="n"/>
      <c r="D525" s="22">
        <f>IF(A525="","",IF(OR(N(B525)&gt;=$C$2,N(C525)&gt;=$E$2),"High",IF(OR(N(B525)&gt;0,N(C525)&gt;0),"Medium","Low")))</f>
        <v/>
      </c>
      <c r="E525" s="22" t="n"/>
      <c r="F525" s="22" t="n"/>
      <c r="G525" s="22" t="n"/>
      <c r="H525" s="22" t="n"/>
      <c r="I525" s="22" t="n"/>
      <c r="J525" s="22" t="n"/>
      <c r="K525" s="22" t="n"/>
      <c r="L525" s="22" t="n"/>
      <c r="M525" s="22">
        <f>IF(K525="Override",L525,IF(K525="Accept suggestion",F525,IF(K525="No change (same URL)",A525,"")))</f>
        <v/>
      </c>
      <c r="N525" s="22">
        <f>IF(A525="","",IF(K525="410 Gone","410",IF(K525="404","404",IF(K525="No change (same URL)","none",IF(M525="","","301")))))</f>
        <v/>
      </c>
      <c r="O525" s="22">
        <f>IF(A525="","",IFERROR(MID(A525,FIND("/",A525,FIND("//",A525)+2),2000),A525))</f>
        <v/>
      </c>
      <c r="P525" s="22">
        <f>IF(OR(O525="",N525="",N525="none",N525="404"),"",IF(N525="410","Redirect gone "&amp;O525,"Redirect "&amp;N525&amp;" "&amp;O525&amp;" "&amp;M525))</f>
        <v/>
      </c>
      <c r="Q525" s="22" t="n"/>
      <c r="R525" s="22" t="n"/>
      <c r="S525" s="22" t="n"/>
      <c r="T525" s="4">
        <f>IF(A525="","",TRIM(IF(K525="","Needs decision; ","")&amp;IF(AND(K525="Accept suggestion",F525=""),"No suggestion to accept; ","")&amp;IF(AND(K525="Override",L525=""),"Override URL missing; ","")&amp;IF(AND(K525="Accept suggestion",N(G525)&lt;$G$2),"Below your threshold; ","")&amp;IF(AND(M525&lt;&gt;"",M525=A525,K525&lt;&gt;"No change (same URL)"),"Redirects to itself; ","")&amp;IF(AND(M525&lt;&gt;"",OR(M525="/",AND(LEFT(M525,4)="http",OR((LEN(M525)-LEN(SUBSTITUTE(M525,"/","")))=2,AND((LEN(M525)-LEN(SUBSTITUTE(M525,"/","")))=3,RIGHT(M525,1)="/"))))),"Home page redirect; ","")&amp;IF(N(R525)&gt;1,"Chain; ","")&amp;IF(S525="No","Destination not 200; ","")))</f>
        <v/>
      </c>
      <c r="U525" s="22" t="n"/>
      <c r="V525" s="22" t="n"/>
      <c r="W525" s="4" t="n"/>
    </row>
    <row r="526">
      <c r="A526" s="22" t="n"/>
      <c r="B526" s="22" t="n"/>
      <c r="C526" s="22" t="n"/>
      <c r="D526" s="22">
        <f>IF(A526="","",IF(OR(N(B526)&gt;=$C$2,N(C526)&gt;=$E$2),"High",IF(OR(N(B526)&gt;0,N(C526)&gt;0),"Medium","Low")))</f>
        <v/>
      </c>
      <c r="E526" s="22" t="n"/>
      <c r="F526" s="22" t="n"/>
      <c r="G526" s="22" t="n"/>
      <c r="H526" s="22" t="n"/>
      <c r="I526" s="22" t="n"/>
      <c r="J526" s="22" t="n"/>
      <c r="K526" s="22" t="n"/>
      <c r="L526" s="22" t="n"/>
      <c r="M526" s="22">
        <f>IF(K526="Override",L526,IF(K526="Accept suggestion",F526,IF(K526="No change (same URL)",A526,"")))</f>
        <v/>
      </c>
      <c r="N526" s="22">
        <f>IF(A526="","",IF(K526="410 Gone","410",IF(K526="404","404",IF(K526="No change (same URL)","none",IF(M526="","","301")))))</f>
        <v/>
      </c>
      <c r="O526" s="22">
        <f>IF(A526="","",IFERROR(MID(A526,FIND("/",A526,FIND("//",A526)+2),2000),A526))</f>
        <v/>
      </c>
      <c r="P526" s="22">
        <f>IF(OR(O526="",N526="",N526="none",N526="404"),"",IF(N526="410","Redirect gone "&amp;O526,"Redirect "&amp;N526&amp;" "&amp;O526&amp;" "&amp;M526))</f>
        <v/>
      </c>
      <c r="Q526" s="22" t="n"/>
      <c r="R526" s="22" t="n"/>
      <c r="S526" s="22" t="n"/>
      <c r="T526" s="4">
        <f>IF(A526="","",TRIM(IF(K526="","Needs decision; ","")&amp;IF(AND(K526="Accept suggestion",F526=""),"No suggestion to accept; ","")&amp;IF(AND(K526="Override",L526=""),"Override URL missing; ","")&amp;IF(AND(K526="Accept suggestion",N(G526)&lt;$G$2),"Below your threshold; ","")&amp;IF(AND(M526&lt;&gt;"",M526=A526,K526&lt;&gt;"No change (same URL)"),"Redirects to itself; ","")&amp;IF(AND(M526&lt;&gt;"",OR(M526="/",AND(LEFT(M526,4)="http",OR((LEN(M526)-LEN(SUBSTITUTE(M526,"/","")))=2,AND((LEN(M526)-LEN(SUBSTITUTE(M526,"/","")))=3,RIGHT(M526,1)="/"))))),"Home page redirect; ","")&amp;IF(N(R526)&gt;1,"Chain; ","")&amp;IF(S526="No","Destination not 200; ","")))</f>
        <v/>
      </c>
      <c r="U526" s="22" t="n"/>
      <c r="V526" s="22" t="n"/>
      <c r="W526" s="4" t="n"/>
    </row>
    <row r="527">
      <c r="A527" s="22" t="n"/>
      <c r="B527" s="22" t="n"/>
      <c r="C527" s="22" t="n"/>
      <c r="D527" s="22">
        <f>IF(A527="","",IF(OR(N(B527)&gt;=$C$2,N(C527)&gt;=$E$2),"High",IF(OR(N(B527)&gt;0,N(C527)&gt;0),"Medium","Low")))</f>
        <v/>
      </c>
      <c r="E527" s="22" t="n"/>
      <c r="F527" s="22" t="n"/>
      <c r="G527" s="22" t="n"/>
      <c r="H527" s="22" t="n"/>
      <c r="I527" s="22" t="n"/>
      <c r="J527" s="22" t="n"/>
      <c r="K527" s="22" t="n"/>
      <c r="L527" s="22" t="n"/>
      <c r="M527" s="22">
        <f>IF(K527="Override",L527,IF(K527="Accept suggestion",F527,IF(K527="No change (same URL)",A527,"")))</f>
        <v/>
      </c>
      <c r="N527" s="22">
        <f>IF(A527="","",IF(K527="410 Gone","410",IF(K527="404","404",IF(K527="No change (same URL)","none",IF(M527="","","301")))))</f>
        <v/>
      </c>
      <c r="O527" s="22">
        <f>IF(A527="","",IFERROR(MID(A527,FIND("/",A527,FIND("//",A527)+2),2000),A527))</f>
        <v/>
      </c>
      <c r="P527" s="22">
        <f>IF(OR(O527="",N527="",N527="none",N527="404"),"",IF(N527="410","Redirect gone "&amp;O527,"Redirect "&amp;N527&amp;" "&amp;O527&amp;" "&amp;M527))</f>
        <v/>
      </c>
      <c r="Q527" s="22" t="n"/>
      <c r="R527" s="22" t="n"/>
      <c r="S527" s="22" t="n"/>
      <c r="T527" s="4">
        <f>IF(A527="","",TRIM(IF(K527="","Needs decision; ","")&amp;IF(AND(K527="Accept suggestion",F527=""),"No suggestion to accept; ","")&amp;IF(AND(K527="Override",L527=""),"Override URL missing; ","")&amp;IF(AND(K527="Accept suggestion",N(G527)&lt;$G$2),"Below your threshold; ","")&amp;IF(AND(M527&lt;&gt;"",M527=A527,K527&lt;&gt;"No change (same URL)"),"Redirects to itself; ","")&amp;IF(AND(M527&lt;&gt;"",OR(M527="/",AND(LEFT(M527,4)="http",OR((LEN(M527)-LEN(SUBSTITUTE(M527,"/","")))=2,AND((LEN(M527)-LEN(SUBSTITUTE(M527,"/","")))=3,RIGHT(M527,1)="/"))))),"Home page redirect; ","")&amp;IF(N(R527)&gt;1,"Chain; ","")&amp;IF(S527="No","Destination not 200; ","")))</f>
        <v/>
      </c>
      <c r="U527" s="22" t="n"/>
      <c r="V527" s="22" t="n"/>
      <c r="W527" s="4" t="n"/>
    </row>
    <row r="528">
      <c r="A528" s="22" t="n"/>
      <c r="B528" s="22" t="n"/>
      <c r="C528" s="22" t="n"/>
      <c r="D528" s="22">
        <f>IF(A528="","",IF(OR(N(B528)&gt;=$C$2,N(C528)&gt;=$E$2),"High",IF(OR(N(B528)&gt;0,N(C528)&gt;0),"Medium","Low")))</f>
        <v/>
      </c>
      <c r="E528" s="22" t="n"/>
      <c r="F528" s="22" t="n"/>
      <c r="G528" s="22" t="n"/>
      <c r="H528" s="22" t="n"/>
      <c r="I528" s="22" t="n"/>
      <c r="J528" s="22" t="n"/>
      <c r="K528" s="22" t="n"/>
      <c r="L528" s="22" t="n"/>
      <c r="M528" s="22">
        <f>IF(K528="Override",L528,IF(K528="Accept suggestion",F528,IF(K528="No change (same URL)",A528,"")))</f>
        <v/>
      </c>
      <c r="N528" s="22">
        <f>IF(A528="","",IF(K528="410 Gone","410",IF(K528="404","404",IF(K528="No change (same URL)","none",IF(M528="","","301")))))</f>
        <v/>
      </c>
      <c r="O528" s="22">
        <f>IF(A528="","",IFERROR(MID(A528,FIND("/",A528,FIND("//",A528)+2),2000),A528))</f>
        <v/>
      </c>
      <c r="P528" s="22">
        <f>IF(OR(O528="",N528="",N528="none",N528="404"),"",IF(N528="410","Redirect gone "&amp;O528,"Redirect "&amp;N528&amp;" "&amp;O528&amp;" "&amp;M528))</f>
        <v/>
      </c>
      <c r="Q528" s="22" t="n"/>
      <c r="R528" s="22" t="n"/>
      <c r="S528" s="22" t="n"/>
      <c r="T528" s="4">
        <f>IF(A528="","",TRIM(IF(K528="","Needs decision; ","")&amp;IF(AND(K528="Accept suggestion",F528=""),"No suggestion to accept; ","")&amp;IF(AND(K528="Override",L528=""),"Override URL missing; ","")&amp;IF(AND(K528="Accept suggestion",N(G528)&lt;$G$2),"Below your threshold; ","")&amp;IF(AND(M528&lt;&gt;"",M528=A528,K528&lt;&gt;"No change (same URL)"),"Redirects to itself; ","")&amp;IF(AND(M528&lt;&gt;"",OR(M528="/",AND(LEFT(M528,4)="http",OR((LEN(M528)-LEN(SUBSTITUTE(M528,"/","")))=2,AND((LEN(M528)-LEN(SUBSTITUTE(M528,"/","")))=3,RIGHT(M528,1)="/"))))),"Home page redirect; ","")&amp;IF(N(R528)&gt;1,"Chain; ","")&amp;IF(S528="No","Destination not 200; ","")))</f>
        <v/>
      </c>
      <c r="U528" s="22" t="n"/>
      <c r="V528" s="22" t="n"/>
      <c r="W528" s="4" t="n"/>
    </row>
    <row r="529">
      <c r="A529" s="22" t="n"/>
      <c r="B529" s="22" t="n"/>
      <c r="C529" s="22" t="n"/>
      <c r="D529" s="22">
        <f>IF(A529="","",IF(OR(N(B529)&gt;=$C$2,N(C529)&gt;=$E$2),"High",IF(OR(N(B529)&gt;0,N(C529)&gt;0),"Medium","Low")))</f>
        <v/>
      </c>
      <c r="E529" s="22" t="n"/>
      <c r="F529" s="22" t="n"/>
      <c r="G529" s="22" t="n"/>
      <c r="H529" s="22" t="n"/>
      <c r="I529" s="22" t="n"/>
      <c r="J529" s="22" t="n"/>
      <c r="K529" s="22" t="n"/>
      <c r="L529" s="22" t="n"/>
      <c r="M529" s="22">
        <f>IF(K529="Override",L529,IF(K529="Accept suggestion",F529,IF(K529="No change (same URL)",A529,"")))</f>
        <v/>
      </c>
      <c r="N529" s="22">
        <f>IF(A529="","",IF(K529="410 Gone","410",IF(K529="404","404",IF(K529="No change (same URL)","none",IF(M529="","","301")))))</f>
        <v/>
      </c>
      <c r="O529" s="22">
        <f>IF(A529="","",IFERROR(MID(A529,FIND("/",A529,FIND("//",A529)+2),2000),A529))</f>
        <v/>
      </c>
      <c r="P529" s="22">
        <f>IF(OR(O529="",N529="",N529="none",N529="404"),"",IF(N529="410","Redirect gone "&amp;O529,"Redirect "&amp;N529&amp;" "&amp;O529&amp;" "&amp;M529))</f>
        <v/>
      </c>
      <c r="Q529" s="22" t="n"/>
      <c r="R529" s="22" t="n"/>
      <c r="S529" s="22" t="n"/>
      <c r="T529" s="4">
        <f>IF(A529="","",TRIM(IF(K529="","Needs decision; ","")&amp;IF(AND(K529="Accept suggestion",F529=""),"No suggestion to accept; ","")&amp;IF(AND(K529="Override",L529=""),"Override URL missing; ","")&amp;IF(AND(K529="Accept suggestion",N(G529)&lt;$G$2),"Below your threshold; ","")&amp;IF(AND(M529&lt;&gt;"",M529=A529,K529&lt;&gt;"No change (same URL)"),"Redirects to itself; ","")&amp;IF(AND(M529&lt;&gt;"",OR(M529="/",AND(LEFT(M529,4)="http",OR((LEN(M529)-LEN(SUBSTITUTE(M529,"/","")))=2,AND((LEN(M529)-LEN(SUBSTITUTE(M529,"/","")))=3,RIGHT(M529,1)="/"))))),"Home page redirect; ","")&amp;IF(N(R529)&gt;1,"Chain; ","")&amp;IF(S529="No","Destination not 200; ","")))</f>
        <v/>
      </c>
      <c r="U529" s="22" t="n"/>
      <c r="V529" s="22" t="n"/>
      <c r="W529" s="4" t="n"/>
    </row>
    <row r="530">
      <c r="A530" s="22" t="n"/>
      <c r="B530" s="22" t="n"/>
      <c r="C530" s="22" t="n"/>
      <c r="D530" s="22">
        <f>IF(A530="","",IF(OR(N(B530)&gt;=$C$2,N(C530)&gt;=$E$2),"High",IF(OR(N(B530)&gt;0,N(C530)&gt;0),"Medium","Low")))</f>
        <v/>
      </c>
      <c r="E530" s="22" t="n"/>
      <c r="F530" s="22" t="n"/>
      <c r="G530" s="22" t="n"/>
      <c r="H530" s="22" t="n"/>
      <c r="I530" s="22" t="n"/>
      <c r="J530" s="22" t="n"/>
      <c r="K530" s="22" t="n"/>
      <c r="L530" s="22" t="n"/>
      <c r="M530" s="22">
        <f>IF(K530="Override",L530,IF(K530="Accept suggestion",F530,IF(K530="No change (same URL)",A530,"")))</f>
        <v/>
      </c>
      <c r="N530" s="22">
        <f>IF(A530="","",IF(K530="410 Gone","410",IF(K530="404","404",IF(K530="No change (same URL)","none",IF(M530="","","301")))))</f>
        <v/>
      </c>
      <c r="O530" s="22">
        <f>IF(A530="","",IFERROR(MID(A530,FIND("/",A530,FIND("//",A530)+2),2000),A530))</f>
        <v/>
      </c>
      <c r="P530" s="22">
        <f>IF(OR(O530="",N530="",N530="none",N530="404"),"",IF(N530="410","Redirect gone "&amp;O530,"Redirect "&amp;N530&amp;" "&amp;O530&amp;" "&amp;M530))</f>
        <v/>
      </c>
      <c r="Q530" s="22" t="n"/>
      <c r="R530" s="22" t="n"/>
      <c r="S530" s="22" t="n"/>
      <c r="T530" s="4">
        <f>IF(A530="","",TRIM(IF(K530="","Needs decision; ","")&amp;IF(AND(K530="Accept suggestion",F530=""),"No suggestion to accept; ","")&amp;IF(AND(K530="Override",L530=""),"Override URL missing; ","")&amp;IF(AND(K530="Accept suggestion",N(G530)&lt;$G$2),"Below your threshold; ","")&amp;IF(AND(M530&lt;&gt;"",M530=A530,K530&lt;&gt;"No change (same URL)"),"Redirects to itself; ","")&amp;IF(AND(M530&lt;&gt;"",OR(M530="/",AND(LEFT(M530,4)="http",OR((LEN(M530)-LEN(SUBSTITUTE(M530,"/","")))=2,AND((LEN(M530)-LEN(SUBSTITUTE(M530,"/","")))=3,RIGHT(M530,1)="/"))))),"Home page redirect; ","")&amp;IF(N(R530)&gt;1,"Chain; ","")&amp;IF(S530="No","Destination not 200; ","")))</f>
        <v/>
      </c>
      <c r="U530" s="22" t="n"/>
      <c r="V530" s="22" t="n"/>
      <c r="W530" s="4" t="n"/>
    </row>
    <row r="531">
      <c r="A531" s="22" t="n"/>
      <c r="B531" s="22" t="n"/>
      <c r="C531" s="22" t="n"/>
      <c r="D531" s="22">
        <f>IF(A531="","",IF(OR(N(B531)&gt;=$C$2,N(C531)&gt;=$E$2),"High",IF(OR(N(B531)&gt;0,N(C531)&gt;0),"Medium","Low")))</f>
        <v/>
      </c>
      <c r="E531" s="22" t="n"/>
      <c r="F531" s="22" t="n"/>
      <c r="G531" s="22" t="n"/>
      <c r="H531" s="22" t="n"/>
      <c r="I531" s="22" t="n"/>
      <c r="J531" s="22" t="n"/>
      <c r="K531" s="22" t="n"/>
      <c r="L531" s="22" t="n"/>
      <c r="M531" s="22">
        <f>IF(K531="Override",L531,IF(K531="Accept suggestion",F531,IF(K531="No change (same URL)",A531,"")))</f>
        <v/>
      </c>
      <c r="N531" s="22">
        <f>IF(A531="","",IF(K531="410 Gone","410",IF(K531="404","404",IF(K531="No change (same URL)","none",IF(M531="","","301")))))</f>
        <v/>
      </c>
      <c r="O531" s="22">
        <f>IF(A531="","",IFERROR(MID(A531,FIND("/",A531,FIND("//",A531)+2),2000),A531))</f>
        <v/>
      </c>
      <c r="P531" s="22">
        <f>IF(OR(O531="",N531="",N531="none",N531="404"),"",IF(N531="410","Redirect gone "&amp;O531,"Redirect "&amp;N531&amp;" "&amp;O531&amp;" "&amp;M531))</f>
        <v/>
      </c>
      <c r="Q531" s="22" t="n"/>
      <c r="R531" s="22" t="n"/>
      <c r="S531" s="22" t="n"/>
      <c r="T531" s="4">
        <f>IF(A531="","",TRIM(IF(K531="","Needs decision; ","")&amp;IF(AND(K531="Accept suggestion",F531=""),"No suggestion to accept; ","")&amp;IF(AND(K531="Override",L531=""),"Override URL missing; ","")&amp;IF(AND(K531="Accept suggestion",N(G531)&lt;$G$2),"Below your threshold; ","")&amp;IF(AND(M531&lt;&gt;"",M531=A531,K531&lt;&gt;"No change (same URL)"),"Redirects to itself; ","")&amp;IF(AND(M531&lt;&gt;"",OR(M531="/",AND(LEFT(M531,4)="http",OR((LEN(M531)-LEN(SUBSTITUTE(M531,"/","")))=2,AND((LEN(M531)-LEN(SUBSTITUTE(M531,"/","")))=3,RIGHT(M531,1)="/"))))),"Home page redirect; ","")&amp;IF(N(R531)&gt;1,"Chain; ","")&amp;IF(S531="No","Destination not 200; ","")))</f>
        <v/>
      </c>
      <c r="U531" s="22" t="n"/>
      <c r="V531" s="22" t="n"/>
      <c r="W531" s="4" t="n"/>
    </row>
    <row r="532">
      <c r="A532" s="22" t="n"/>
      <c r="B532" s="22" t="n"/>
      <c r="C532" s="22" t="n"/>
      <c r="D532" s="22">
        <f>IF(A532="","",IF(OR(N(B532)&gt;=$C$2,N(C532)&gt;=$E$2),"High",IF(OR(N(B532)&gt;0,N(C532)&gt;0),"Medium","Low")))</f>
        <v/>
      </c>
      <c r="E532" s="22" t="n"/>
      <c r="F532" s="22" t="n"/>
      <c r="G532" s="22" t="n"/>
      <c r="H532" s="22" t="n"/>
      <c r="I532" s="22" t="n"/>
      <c r="J532" s="22" t="n"/>
      <c r="K532" s="22" t="n"/>
      <c r="L532" s="22" t="n"/>
      <c r="M532" s="22">
        <f>IF(K532="Override",L532,IF(K532="Accept suggestion",F532,IF(K532="No change (same URL)",A532,"")))</f>
        <v/>
      </c>
      <c r="N532" s="22">
        <f>IF(A532="","",IF(K532="410 Gone","410",IF(K532="404","404",IF(K532="No change (same URL)","none",IF(M532="","","301")))))</f>
        <v/>
      </c>
      <c r="O532" s="22">
        <f>IF(A532="","",IFERROR(MID(A532,FIND("/",A532,FIND("//",A532)+2),2000),A532))</f>
        <v/>
      </c>
      <c r="P532" s="22">
        <f>IF(OR(O532="",N532="",N532="none",N532="404"),"",IF(N532="410","Redirect gone "&amp;O532,"Redirect "&amp;N532&amp;" "&amp;O532&amp;" "&amp;M532))</f>
        <v/>
      </c>
      <c r="Q532" s="22" t="n"/>
      <c r="R532" s="22" t="n"/>
      <c r="S532" s="22" t="n"/>
      <c r="T532" s="4">
        <f>IF(A532="","",TRIM(IF(K532="","Needs decision; ","")&amp;IF(AND(K532="Accept suggestion",F532=""),"No suggestion to accept; ","")&amp;IF(AND(K532="Override",L532=""),"Override URL missing; ","")&amp;IF(AND(K532="Accept suggestion",N(G532)&lt;$G$2),"Below your threshold; ","")&amp;IF(AND(M532&lt;&gt;"",M532=A532,K532&lt;&gt;"No change (same URL)"),"Redirects to itself; ","")&amp;IF(AND(M532&lt;&gt;"",OR(M532="/",AND(LEFT(M532,4)="http",OR((LEN(M532)-LEN(SUBSTITUTE(M532,"/","")))=2,AND((LEN(M532)-LEN(SUBSTITUTE(M532,"/","")))=3,RIGHT(M532,1)="/"))))),"Home page redirect; ","")&amp;IF(N(R532)&gt;1,"Chain; ","")&amp;IF(S532="No","Destination not 200; ","")))</f>
        <v/>
      </c>
      <c r="U532" s="22" t="n"/>
      <c r="V532" s="22" t="n"/>
      <c r="W532" s="4" t="n"/>
    </row>
    <row r="533">
      <c r="A533" s="22" t="n"/>
      <c r="B533" s="22" t="n"/>
      <c r="C533" s="22" t="n"/>
      <c r="D533" s="22">
        <f>IF(A533="","",IF(OR(N(B533)&gt;=$C$2,N(C533)&gt;=$E$2),"High",IF(OR(N(B533)&gt;0,N(C533)&gt;0),"Medium","Low")))</f>
        <v/>
      </c>
      <c r="E533" s="22" t="n"/>
      <c r="F533" s="22" t="n"/>
      <c r="G533" s="22" t="n"/>
      <c r="H533" s="22" t="n"/>
      <c r="I533" s="22" t="n"/>
      <c r="J533" s="22" t="n"/>
      <c r="K533" s="22" t="n"/>
      <c r="L533" s="22" t="n"/>
      <c r="M533" s="22">
        <f>IF(K533="Override",L533,IF(K533="Accept suggestion",F533,IF(K533="No change (same URL)",A533,"")))</f>
        <v/>
      </c>
      <c r="N533" s="22">
        <f>IF(A533="","",IF(K533="410 Gone","410",IF(K533="404","404",IF(K533="No change (same URL)","none",IF(M533="","","301")))))</f>
        <v/>
      </c>
      <c r="O533" s="22">
        <f>IF(A533="","",IFERROR(MID(A533,FIND("/",A533,FIND("//",A533)+2),2000),A533))</f>
        <v/>
      </c>
      <c r="P533" s="22">
        <f>IF(OR(O533="",N533="",N533="none",N533="404"),"",IF(N533="410","Redirect gone "&amp;O533,"Redirect "&amp;N533&amp;" "&amp;O533&amp;" "&amp;M533))</f>
        <v/>
      </c>
      <c r="Q533" s="22" t="n"/>
      <c r="R533" s="22" t="n"/>
      <c r="S533" s="22" t="n"/>
      <c r="T533" s="4">
        <f>IF(A533="","",TRIM(IF(K533="","Needs decision; ","")&amp;IF(AND(K533="Accept suggestion",F533=""),"No suggestion to accept; ","")&amp;IF(AND(K533="Override",L533=""),"Override URL missing; ","")&amp;IF(AND(K533="Accept suggestion",N(G533)&lt;$G$2),"Below your threshold; ","")&amp;IF(AND(M533&lt;&gt;"",M533=A533,K533&lt;&gt;"No change (same URL)"),"Redirects to itself; ","")&amp;IF(AND(M533&lt;&gt;"",OR(M533="/",AND(LEFT(M533,4)="http",OR((LEN(M533)-LEN(SUBSTITUTE(M533,"/","")))=2,AND((LEN(M533)-LEN(SUBSTITUTE(M533,"/","")))=3,RIGHT(M533,1)="/"))))),"Home page redirect; ","")&amp;IF(N(R533)&gt;1,"Chain; ","")&amp;IF(S533="No","Destination not 200; ","")))</f>
        <v/>
      </c>
      <c r="U533" s="22" t="n"/>
      <c r="V533" s="22" t="n"/>
      <c r="W533" s="4" t="n"/>
    </row>
    <row r="534">
      <c r="A534" s="22" t="n"/>
      <c r="B534" s="22" t="n"/>
      <c r="C534" s="22" t="n"/>
      <c r="D534" s="22">
        <f>IF(A534="","",IF(OR(N(B534)&gt;=$C$2,N(C534)&gt;=$E$2),"High",IF(OR(N(B534)&gt;0,N(C534)&gt;0),"Medium","Low")))</f>
        <v/>
      </c>
      <c r="E534" s="22" t="n"/>
      <c r="F534" s="22" t="n"/>
      <c r="G534" s="22" t="n"/>
      <c r="H534" s="22" t="n"/>
      <c r="I534" s="22" t="n"/>
      <c r="J534" s="22" t="n"/>
      <c r="K534" s="22" t="n"/>
      <c r="L534" s="22" t="n"/>
      <c r="M534" s="22">
        <f>IF(K534="Override",L534,IF(K534="Accept suggestion",F534,IF(K534="No change (same URL)",A534,"")))</f>
        <v/>
      </c>
      <c r="N534" s="22">
        <f>IF(A534="","",IF(K534="410 Gone","410",IF(K534="404","404",IF(K534="No change (same URL)","none",IF(M534="","","301")))))</f>
        <v/>
      </c>
      <c r="O534" s="22">
        <f>IF(A534="","",IFERROR(MID(A534,FIND("/",A534,FIND("//",A534)+2),2000),A534))</f>
        <v/>
      </c>
      <c r="P534" s="22">
        <f>IF(OR(O534="",N534="",N534="none",N534="404"),"",IF(N534="410","Redirect gone "&amp;O534,"Redirect "&amp;N534&amp;" "&amp;O534&amp;" "&amp;M534))</f>
        <v/>
      </c>
      <c r="Q534" s="22" t="n"/>
      <c r="R534" s="22" t="n"/>
      <c r="S534" s="22" t="n"/>
      <c r="T534" s="4">
        <f>IF(A534="","",TRIM(IF(K534="","Needs decision; ","")&amp;IF(AND(K534="Accept suggestion",F534=""),"No suggestion to accept; ","")&amp;IF(AND(K534="Override",L534=""),"Override URL missing; ","")&amp;IF(AND(K534="Accept suggestion",N(G534)&lt;$G$2),"Below your threshold; ","")&amp;IF(AND(M534&lt;&gt;"",M534=A534,K534&lt;&gt;"No change (same URL)"),"Redirects to itself; ","")&amp;IF(AND(M534&lt;&gt;"",OR(M534="/",AND(LEFT(M534,4)="http",OR((LEN(M534)-LEN(SUBSTITUTE(M534,"/","")))=2,AND((LEN(M534)-LEN(SUBSTITUTE(M534,"/","")))=3,RIGHT(M534,1)="/"))))),"Home page redirect; ","")&amp;IF(N(R534)&gt;1,"Chain; ","")&amp;IF(S534="No","Destination not 200; ","")))</f>
        <v/>
      </c>
      <c r="U534" s="22" t="n"/>
      <c r="V534" s="22" t="n"/>
      <c r="W534" s="4" t="n"/>
    </row>
    <row r="535">
      <c r="A535" s="22" t="n"/>
      <c r="B535" s="22" t="n"/>
      <c r="C535" s="22" t="n"/>
      <c r="D535" s="22">
        <f>IF(A535="","",IF(OR(N(B535)&gt;=$C$2,N(C535)&gt;=$E$2),"High",IF(OR(N(B535)&gt;0,N(C535)&gt;0),"Medium","Low")))</f>
        <v/>
      </c>
      <c r="E535" s="22" t="n"/>
      <c r="F535" s="22" t="n"/>
      <c r="G535" s="22" t="n"/>
      <c r="H535" s="22" t="n"/>
      <c r="I535" s="22" t="n"/>
      <c r="J535" s="22" t="n"/>
      <c r="K535" s="22" t="n"/>
      <c r="L535" s="22" t="n"/>
      <c r="M535" s="22">
        <f>IF(K535="Override",L535,IF(K535="Accept suggestion",F535,IF(K535="No change (same URL)",A535,"")))</f>
        <v/>
      </c>
      <c r="N535" s="22">
        <f>IF(A535="","",IF(K535="410 Gone","410",IF(K535="404","404",IF(K535="No change (same URL)","none",IF(M535="","","301")))))</f>
        <v/>
      </c>
      <c r="O535" s="22">
        <f>IF(A535="","",IFERROR(MID(A535,FIND("/",A535,FIND("//",A535)+2),2000),A535))</f>
        <v/>
      </c>
      <c r="P535" s="22">
        <f>IF(OR(O535="",N535="",N535="none",N535="404"),"",IF(N535="410","Redirect gone "&amp;O535,"Redirect "&amp;N535&amp;" "&amp;O535&amp;" "&amp;M535))</f>
        <v/>
      </c>
      <c r="Q535" s="22" t="n"/>
      <c r="R535" s="22" t="n"/>
      <c r="S535" s="22" t="n"/>
      <c r="T535" s="4">
        <f>IF(A535="","",TRIM(IF(K535="","Needs decision; ","")&amp;IF(AND(K535="Accept suggestion",F535=""),"No suggestion to accept; ","")&amp;IF(AND(K535="Override",L535=""),"Override URL missing; ","")&amp;IF(AND(K535="Accept suggestion",N(G535)&lt;$G$2),"Below your threshold; ","")&amp;IF(AND(M535&lt;&gt;"",M535=A535,K535&lt;&gt;"No change (same URL)"),"Redirects to itself; ","")&amp;IF(AND(M535&lt;&gt;"",OR(M535="/",AND(LEFT(M535,4)="http",OR((LEN(M535)-LEN(SUBSTITUTE(M535,"/","")))=2,AND((LEN(M535)-LEN(SUBSTITUTE(M535,"/","")))=3,RIGHT(M535,1)="/"))))),"Home page redirect; ","")&amp;IF(N(R535)&gt;1,"Chain; ","")&amp;IF(S535="No","Destination not 200; ","")))</f>
        <v/>
      </c>
      <c r="U535" s="22" t="n"/>
      <c r="V535" s="22" t="n"/>
      <c r="W535" s="4" t="n"/>
    </row>
    <row r="536">
      <c r="A536" s="22" t="n"/>
      <c r="B536" s="22" t="n"/>
      <c r="C536" s="22" t="n"/>
      <c r="D536" s="22">
        <f>IF(A536="","",IF(OR(N(B536)&gt;=$C$2,N(C536)&gt;=$E$2),"High",IF(OR(N(B536)&gt;0,N(C536)&gt;0),"Medium","Low")))</f>
        <v/>
      </c>
      <c r="E536" s="22" t="n"/>
      <c r="F536" s="22" t="n"/>
      <c r="G536" s="22" t="n"/>
      <c r="H536" s="22" t="n"/>
      <c r="I536" s="22" t="n"/>
      <c r="J536" s="22" t="n"/>
      <c r="K536" s="22" t="n"/>
      <c r="L536" s="22" t="n"/>
      <c r="M536" s="22">
        <f>IF(K536="Override",L536,IF(K536="Accept suggestion",F536,IF(K536="No change (same URL)",A536,"")))</f>
        <v/>
      </c>
      <c r="N536" s="22">
        <f>IF(A536="","",IF(K536="410 Gone","410",IF(K536="404","404",IF(K536="No change (same URL)","none",IF(M536="","","301")))))</f>
        <v/>
      </c>
      <c r="O536" s="22">
        <f>IF(A536="","",IFERROR(MID(A536,FIND("/",A536,FIND("//",A536)+2),2000),A536))</f>
        <v/>
      </c>
      <c r="P536" s="22">
        <f>IF(OR(O536="",N536="",N536="none",N536="404"),"",IF(N536="410","Redirect gone "&amp;O536,"Redirect "&amp;N536&amp;" "&amp;O536&amp;" "&amp;M536))</f>
        <v/>
      </c>
      <c r="Q536" s="22" t="n"/>
      <c r="R536" s="22" t="n"/>
      <c r="S536" s="22" t="n"/>
      <c r="T536" s="4">
        <f>IF(A536="","",TRIM(IF(K536="","Needs decision; ","")&amp;IF(AND(K536="Accept suggestion",F536=""),"No suggestion to accept; ","")&amp;IF(AND(K536="Override",L536=""),"Override URL missing; ","")&amp;IF(AND(K536="Accept suggestion",N(G536)&lt;$G$2),"Below your threshold; ","")&amp;IF(AND(M536&lt;&gt;"",M536=A536,K536&lt;&gt;"No change (same URL)"),"Redirects to itself; ","")&amp;IF(AND(M536&lt;&gt;"",OR(M536="/",AND(LEFT(M536,4)="http",OR((LEN(M536)-LEN(SUBSTITUTE(M536,"/","")))=2,AND((LEN(M536)-LEN(SUBSTITUTE(M536,"/","")))=3,RIGHT(M536,1)="/"))))),"Home page redirect; ","")&amp;IF(N(R536)&gt;1,"Chain; ","")&amp;IF(S536="No","Destination not 200; ","")))</f>
        <v/>
      </c>
      <c r="U536" s="22" t="n"/>
      <c r="V536" s="22" t="n"/>
      <c r="W536" s="4" t="n"/>
    </row>
    <row r="537">
      <c r="A537" s="22" t="n"/>
      <c r="B537" s="22" t="n"/>
      <c r="C537" s="22" t="n"/>
      <c r="D537" s="22">
        <f>IF(A537="","",IF(OR(N(B537)&gt;=$C$2,N(C537)&gt;=$E$2),"High",IF(OR(N(B537)&gt;0,N(C537)&gt;0),"Medium","Low")))</f>
        <v/>
      </c>
      <c r="E537" s="22" t="n"/>
      <c r="F537" s="22" t="n"/>
      <c r="G537" s="22" t="n"/>
      <c r="H537" s="22" t="n"/>
      <c r="I537" s="22" t="n"/>
      <c r="J537" s="22" t="n"/>
      <c r="K537" s="22" t="n"/>
      <c r="L537" s="22" t="n"/>
      <c r="M537" s="22">
        <f>IF(K537="Override",L537,IF(K537="Accept suggestion",F537,IF(K537="No change (same URL)",A537,"")))</f>
        <v/>
      </c>
      <c r="N537" s="22">
        <f>IF(A537="","",IF(K537="410 Gone","410",IF(K537="404","404",IF(K537="No change (same URL)","none",IF(M537="","","301")))))</f>
        <v/>
      </c>
      <c r="O537" s="22">
        <f>IF(A537="","",IFERROR(MID(A537,FIND("/",A537,FIND("//",A537)+2),2000),A537))</f>
        <v/>
      </c>
      <c r="P537" s="22">
        <f>IF(OR(O537="",N537="",N537="none",N537="404"),"",IF(N537="410","Redirect gone "&amp;O537,"Redirect "&amp;N537&amp;" "&amp;O537&amp;" "&amp;M537))</f>
        <v/>
      </c>
      <c r="Q537" s="22" t="n"/>
      <c r="R537" s="22" t="n"/>
      <c r="S537" s="22" t="n"/>
      <c r="T537" s="4">
        <f>IF(A537="","",TRIM(IF(K537="","Needs decision; ","")&amp;IF(AND(K537="Accept suggestion",F537=""),"No suggestion to accept; ","")&amp;IF(AND(K537="Override",L537=""),"Override URL missing; ","")&amp;IF(AND(K537="Accept suggestion",N(G537)&lt;$G$2),"Below your threshold; ","")&amp;IF(AND(M537&lt;&gt;"",M537=A537,K537&lt;&gt;"No change (same URL)"),"Redirects to itself; ","")&amp;IF(AND(M537&lt;&gt;"",OR(M537="/",AND(LEFT(M537,4)="http",OR((LEN(M537)-LEN(SUBSTITUTE(M537,"/","")))=2,AND((LEN(M537)-LEN(SUBSTITUTE(M537,"/","")))=3,RIGHT(M537,1)="/"))))),"Home page redirect; ","")&amp;IF(N(R537)&gt;1,"Chain; ","")&amp;IF(S537="No","Destination not 200; ","")))</f>
        <v/>
      </c>
      <c r="U537" s="22" t="n"/>
      <c r="V537" s="22" t="n"/>
      <c r="W537" s="4" t="n"/>
    </row>
    <row r="538">
      <c r="A538" s="22" t="n"/>
      <c r="B538" s="22" t="n"/>
      <c r="C538" s="22" t="n"/>
      <c r="D538" s="22">
        <f>IF(A538="","",IF(OR(N(B538)&gt;=$C$2,N(C538)&gt;=$E$2),"High",IF(OR(N(B538)&gt;0,N(C538)&gt;0),"Medium","Low")))</f>
        <v/>
      </c>
      <c r="E538" s="22" t="n"/>
      <c r="F538" s="22" t="n"/>
      <c r="G538" s="22" t="n"/>
      <c r="H538" s="22" t="n"/>
      <c r="I538" s="22" t="n"/>
      <c r="J538" s="22" t="n"/>
      <c r="K538" s="22" t="n"/>
      <c r="L538" s="22" t="n"/>
      <c r="M538" s="22">
        <f>IF(K538="Override",L538,IF(K538="Accept suggestion",F538,IF(K538="No change (same URL)",A538,"")))</f>
        <v/>
      </c>
      <c r="N538" s="22">
        <f>IF(A538="","",IF(K538="410 Gone","410",IF(K538="404","404",IF(K538="No change (same URL)","none",IF(M538="","","301")))))</f>
        <v/>
      </c>
      <c r="O538" s="22">
        <f>IF(A538="","",IFERROR(MID(A538,FIND("/",A538,FIND("//",A538)+2),2000),A538))</f>
        <v/>
      </c>
      <c r="P538" s="22">
        <f>IF(OR(O538="",N538="",N538="none",N538="404"),"",IF(N538="410","Redirect gone "&amp;O538,"Redirect "&amp;N538&amp;" "&amp;O538&amp;" "&amp;M538))</f>
        <v/>
      </c>
      <c r="Q538" s="22" t="n"/>
      <c r="R538" s="22" t="n"/>
      <c r="S538" s="22" t="n"/>
      <c r="T538" s="4">
        <f>IF(A538="","",TRIM(IF(K538="","Needs decision; ","")&amp;IF(AND(K538="Accept suggestion",F538=""),"No suggestion to accept; ","")&amp;IF(AND(K538="Override",L538=""),"Override URL missing; ","")&amp;IF(AND(K538="Accept suggestion",N(G538)&lt;$G$2),"Below your threshold; ","")&amp;IF(AND(M538&lt;&gt;"",M538=A538,K538&lt;&gt;"No change (same URL)"),"Redirects to itself; ","")&amp;IF(AND(M538&lt;&gt;"",OR(M538="/",AND(LEFT(M538,4)="http",OR((LEN(M538)-LEN(SUBSTITUTE(M538,"/","")))=2,AND((LEN(M538)-LEN(SUBSTITUTE(M538,"/","")))=3,RIGHT(M538,1)="/"))))),"Home page redirect; ","")&amp;IF(N(R538)&gt;1,"Chain; ","")&amp;IF(S538="No","Destination not 200; ","")))</f>
        <v/>
      </c>
      <c r="U538" s="22" t="n"/>
      <c r="V538" s="22" t="n"/>
      <c r="W538" s="4" t="n"/>
    </row>
    <row r="539">
      <c r="A539" s="22" t="n"/>
      <c r="B539" s="22" t="n"/>
      <c r="C539" s="22" t="n"/>
      <c r="D539" s="22">
        <f>IF(A539="","",IF(OR(N(B539)&gt;=$C$2,N(C539)&gt;=$E$2),"High",IF(OR(N(B539)&gt;0,N(C539)&gt;0),"Medium","Low")))</f>
        <v/>
      </c>
      <c r="E539" s="22" t="n"/>
      <c r="F539" s="22" t="n"/>
      <c r="G539" s="22" t="n"/>
      <c r="H539" s="22" t="n"/>
      <c r="I539" s="22" t="n"/>
      <c r="J539" s="22" t="n"/>
      <c r="K539" s="22" t="n"/>
      <c r="L539" s="22" t="n"/>
      <c r="M539" s="22">
        <f>IF(K539="Override",L539,IF(K539="Accept suggestion",F539,IF(K539="No change (same URL)",A539,"")))</f>
        <v/>
      </c>
      <c r="N539" s="22">
        <f>IF(A539="","",IF(K539="410 Gone","410",IF(K539="404","404",IF(K539="No change (same URL)","none",IF(M539="","","301")))))</f>
        <v/>
      </c>
      <c r="O539" s="22">
        <f>IF(A539="","",IFERROR(MID(A539,FIND("/",A539,FIND("//",A539)+2),2000),A539))</f>
        <v/>
      </c>
      <c r="P539" s="22">
        <f>IF(OR(O539="",N539="",N539="none",N539="404"),"",IF(N539="410","Redirect gone "&amp;O539,"Redirect "&amp;N539&amp;" "&amp;O539&amp;" "&amp;M539))</f>
        <v/>
      </c>
      <c r="Q539" s="22" t="n"/>
      <c r="R539" s="22" t="n"/>
      <c r="S539" s="22" t="n"/>
      <c r="T539" s="4">
        <f>IF(A539="","",TRIM(IF(K539="","Needs decision; ","")&amp;IF(AND(K539="Accept suggestion",F539=""),"No suggestion to accept; ","")&amp;IF(AND(K539="Override",L539=""),"Override URL missing; ","")&amp;IF(AND(K539="Accept suggestion",N(G539)&lt;$G$2),"Below your threshold; ","")&amp;IF(AND(M539&lt;&gt;"",M539=A539,K539&lt;&gt;"No change (same URL)"),"Redirects to itself; ","")&amp;IF(AND(M539&lt;&gt;"",OR(M539="/",AND(LEFT(M539,4)="http",OR((LEN(M539)-LEN(SUBSTITUTE(M539,"/","")))=2,AND((LEN(M539)-LEN(SUBSTITUTE(M539,"/","")))=3,RIGHT(M539,1)="/"))))),"Home page redirect; ","")&amp;IF(N(R539)&gt;1,"Chain; ","")&amp;IF(S539="No","Destination not 200; ","")))</f>
        <v/>
      </c>
      <c r="U539" s="22" t="n"/>
      <c r="V539" s="22" t="n"/>
      <c r="W539" s="4" t="n"/>
    </row>
    <row r="540">
      <c r="A540" s="22" t="n"/>
      <c r="B540" s="22" t="n"/>
      <c r="C540" s="22" t="n"/>
      <c r="D540" s="22">
        <f>IF(A540="","",IF(OR(N(B540)&gt;=$C$2,N(C540)&gt;=$E$2),"High",IF(OR(N(B540)&gt;0,N(C540)&gt;0),"Medium","Low")))</f>
        <v/>
      </c>
      <c r="E540" s="22" t="n"/>
      <c r="F540" s="22" t="n"/>
      <c r="G540" s="22" t="n"/>
      <c r="H540" s="22" t="n"/>
      <c r="I540" s="22" t="n"/>
      <c r="J540" s="22" t="n"/>
      <c r="K540" s="22" t="n"/>
      <c r="L540" s="22" t="n"/>
      <c r="M540" s="22">
        <f>IF(K540="Override",L540,IF(K540="Accept suggestion",F540,IF(K540="No change (same URL)",A540,"")))</f>
        <v/>
      </c>
      <c r="N540" s="22">
        <f>IF(A540="","",IF(K540="410 Gone","410",IF(K540="404","404",IF(K540="No change (same URL)","none",IF(M540="","","301")))))</f>
        <v/>
      </c>
      <c r="O540" s="22">
        <f>IF(A540="","",IFERROR(MID(A540,FIND("/",A540,FIND("//",A540)+2),2000),A540))</f>
        <v/>
      </c>
      <c r="P540" s="22">
        <f>IF(OR(O540="",N540="",N540="none",N540="404"),"",IF(N540="410","Redirect gone "&amp;O540,"Redirect "&amp;N540&amp;" "&amp;O540&amp;" "&amp;M540))</f>
        <v/>
      </c>
      <c r="Q540" s="22" t="n"/>
      <c r="R540" s="22" t="n"/>
      <c r="S540" s="22" t="n"/>
      <c r="T540" s="4">
        <f>IF(A540="","",TRIM(IF(K540="","Needs decision; ","")&amp;IF(AND(K540="Accept suggestion",F540=""),"No suggestion to accept; ","")&amp;IF(AND(K540="Override",L540=""),"Override URL missing; ","")&amp;IF(AND(K540="Accept suggestion",N(G540)&lt;$G$2),"Below your threshold; ","")&amp;IF(AND(M540&lt;&gt;"",M540=A540,K540&lt;&gt;"No change (same URL)"),"Redirects to itself; ","")&amp;IF(AND(M540&lt;&gt;"",OR(M540="/",AND(LEFT(M540,4)="http",OR((LEN(M540)-LEN(SUBSTITUTE(M540,"/","")))=2,AND((LEN(M540)-LEN(SUBSTITUTE(M540,"/","")))=3,RIGHT(M540,1)="/"))))),"Home page redirect; ","")&amp;IF(N(R540)&gt;1,"Chain; ","")&amp;IF(S540="No","Destination not 200; ","")))</f>
        <v/>
      </c>
      <c r="U540" s="22" t="n"/>
      <c r="V540" s="22" t="n"/>
      <c r="W540" s="4" t="n"/>
    </row>
    <row r="541">
      <c r="A541" s="22" t="n"/>
      <c r="B541" s="22" t="n"/>
      <c r="C541" s="22" t="n"/>
      <c r="D541" s="22">
        <f>IF(A541="","",IF(OR(N(B541)&gt;=$C$2,N(C541)&gt;=$E$2),"High",IF(OR(N(B541)&gt;0,N(C541)&gt;0),"Medium","Low")))</f>
        <v/>
      </c>
      <c r="E541" s="22" t="n"/>
      <c r="F541" s="22" t="n"/>
      <c r="G541" s="22" t="n"/>
      <c r="H541" s="22" t="n"/>
      <c r="I541" s="22" t="n"/>
      <c r="J541" s="22" t="n"/>
      <c r="K541" s="22" t="n"/>
      <c r="L541" s="22" t="n"/>
      <c r="M541" s="22">
        <f>IF(K541="Override",L541,IF(K541="Accept suggestion",F541,IF(K541="No change (same URL)",A541,"")))</f>
        <v/>
      </c>
      <c r="N541" s="22">
        <f>IF(A541="","",IF(K541="410 Gone","410",IF(K541="404","404",IF(K541="No change (same URL)","none",IF(M541="","","301")))))</f>
        <v/>
      </c>
      <c r="O541" s="22">
        <f>IF(A541="","",IFERROR(MID(A541,FIND("/",A541,FIND("//",A541)+2),2000),A541))</f>
        <v/>
      </c>
      <c r="P541" s="22">
        <f>IF(OR(O541="",N541="",N541="none",N541="404"),"",IF(N541="410","Redirect gone "&amp;O541,"Redirect "&amp;N541&amp;" "&amp;O541&amp;" "&amp;M541))</f>
        <v/>
      </c>
      <c r="Q541" s="22" t="n"/>
      <c r="R541" s="22" t="n"/>
      <c r="S541" s="22" t="n"/>
      <c r="T541" s="4">
        <f>IF(A541="","",TRIM(IF(K541="","Needs decision; ","")&amp;IF(AND(K541="Accept suggestion",F541=""),"No suggestion to accept; ","")&amp;IF(AND(K541="Override",L541=""),"Override URL missing; ","")&amp;IF(AND(K541="Accept suggestion",N(G541)&lt;$G$2),"Below your threshold; ","")&amp;IF(AND(M541&lt;&gt;"",M541=A541,K541&lt;&gt;"No change (same URL)"),"Redirects to itself; ","")&amp;IF(AND(M541&lt;&gt;"",OR(M541="/",AND(LEFT(M541,4)="http",OR((LEN(M541)-LEN(SUBSTITUTE(M541,"/","")))=2,AND((LEN(M541)-LEN(SUBSTITUTE(M541,"/","")))=3,RIGHT(M541,1)="/"))))),"Home page redirect; ","")&amp;IF(N(R541)&gt;1,"Chain; ","")&amp;IF(S541="No","Destination not 200; ","")))</f>
        <v/>
      </c>
      <c r="U541" s="22" t="n"/>
      <c r="V541" s="22" t="n"/>
      <c r="W541" s="4" t="n"/>
    </row>
    <row r="542">
      <c r="A542" s="22" t="n"/>
      <c r="B542" s="22" t="n"/>
      <c r="C542" s="22" t="n"/>
      <c r="D542" s="22">
        <f>IF(A542="","",IF(OR(N(B542)&gt;=$C$2,N(C542)&gt;=$E$2),"High",IF(OR(N(B542)&gt;0,N(C542)&gt;0),"Medium","Low")))</f>
        <v/>
      </c>
      <c r="E542" s="22" t="n"/>
      <c r="F542" s="22" t="n"/>
      <c r="G542" s="22" t="n"/>
      <c r="H542" s="22" t="n"/>
      <c r="I542" s="22" t="n"/>
      <c r="J542" s="22" t="n"/>
      <c r="K542" s="22" t="n"/>
      <c r="L542" s="22" t="n"/>
      <c r="M542" s="22">
        <f>IF(K542="Override",L542,IF(K542="Accept suggestion",F542,IF(K542="No change (same URL)",A542,"")))</f>
        <v/>
      </c>
      <c r="N542" s="22">
        <f>IF(A542="","",IF(K542="410 Gone","410",IF(K542="404","404",IF(K542="No change (same URL)","none",IF(M542="","","301")))))</f>
        <v/>
      </c>
      <c r="O542" s="22">
        <f>IF(A542="","",IFERROR(MID(A542,FIND("/",A542,FIND("//",A542)+2),2000),A542))</f>
        <v/>
      </c>
      <c r="P542" s="22">
        <f>IF(OR(O542="",N542="",N542="none",N542="404"),"",IF(N542="410","Redirect gone "&amp;O542,"Redirect "&amp;N542&amp;" "&amp;O542&amp;" "&amp;M542))</f>
        <v/>
      </c>
      <c r="Q542" s="22" t="n"/>
      <c r="R542" s="22" t="n"/>
      <c r="S542" s="22" t="n"/>
      <c r="T542" s="4">
        <f>IF(A542="","",TRIM(IF(K542="","Needs decision; ","")&amp;IF(AND(K542="Accept suggestion",F542=""),"No suggestion to accept; ","")&amp;IF(AND(K542="Override",L542=""),"Override URL missing; ","")&amp;IF(AND(K542="Accept suggestion",N(G542)&lt;$G$2),"Below your threshold; ","")&amp;IF(AND(M542&lt;&gt;"",M542=A542,K542&lt;&gt;"No change (same URL)"),"Redirects to itself; ","")&amp;IF(AND(M542&lt;&gt;"",OR(M542="/",AND(LEFT(M542,4)="http",OR((LEN(M542)-LEN(SUBSTITUTE(M542,"/","")))=2,AND((LEN(M542)-LEN(SUBSTITUTE(M542,"/","")))=3,RIGHT(M542,1)="/"))))),"Home page redirect; ","")&amp;IF(N(R542)&gt;1,"Chain; ","")&amp;IF(S542="No","Destination not 200; ","")))</f>
        <v/>
      </c>
      <c r="U542" s="22" t="n"/>
      <c r="V542" s="22" t="n"/>
      <c r="W542" s="4" t="n"/>
    </row>
    <row r="543">
      <c r="A543" s="22" t="n"/>
      <c r="B543" s="22" t="n"/>
      <c r="C543" s="22" t="n"/>
      <c r="D543" s="22">
        <f>IF(A543="","",IF(OR(N(B543)&gt;=$C$2,N(C543)&gt;=$E$2),"High",IF(OR(N(B543)&gt;0,N(C543)&gt;0),"Medium","Low")))</f>
        <v/>
      </c>
      <c r="E543" s="22" t="n"/>
      <c r="F543" s="22" t="n"/>
      <c r="G543" s="22" t="n"/>
      <c r="H543" s="22" t="n"/>
      <c r="I543" s="22" t="n"/>
      <c r="J543" s="22" t="n"/>
      <c r="K543" s="22" t="n"/>
      <c r="L543" s="22" t="n"/>
      <c r="M543" s="22">
        <f>IF(K543="Override",L543,IF(K543="Accept suggestion",F543,IF(K543="No change (same URL)",A543,"")))</f>
        <v/>
      </c>
      <c r="N543" s="22">
        <f>IF(A543="","",IF(K543="410 Gone","410",IF(K543="404","404",IF(K543="No change (same URL)","none",IF(M543="","","301")))))</f>
        <v/>
      </c>
      <c r="O543" s="22">
        <f>IF(A543="","",IFERROR(MID(A543,FIND("/",A543,FIND("//",A543)+2),2000),A543))</f>
        <v/>
      </c>
      <c r="P543" s="22">
        <f>IF(OR(O543="",N543="",N543="none",N543="404"),"",IF(N543="410","Redirect gone "&amp;O543,"Redirect "&amp;N543&amp;" "&amp;O543&amp;" "&amp;M543))</f>
        <v/>
      </c>
      <c r="Q543" s="22" t="n"/>
      <c r="R543" s="22" t="n"/>
      <c r="S543" s="22" t="n"/>
      <c r="T543" s="4">
        <f>IF(A543="","",TRIM(IF(K543="","Needs decision; ","")&amp;IF(AND(K543="Accept suggestion",F543=""),"No suggestion to accept; ","")&amp;IF(AND(K543="Override",L543=""),"Override URL missing; ","")&amp;IF(AND(K543="Accept suggestion",N(G543)&lt;$G$2),"Below your threshold; ","")&amp;IF(AND(M543&lt;&gt;"",M543=A543,K543&lt;&gt;"No change (same URL)"),"Redirects to itself; ","")&amp;IF(AND(M543&lt;&gt;"",OR(M543="/",AND(LEFT(M543,4)="http",OR((LEN(M543)-LEN(SUBSTITUTE(M543,"/","")))=2,AND((LEN(M543)-LEN(SUBSTITUTE(M543,"/","")))=3,RIGHT(M543,1)="/"))))),"Home page redirect; ","")&amp;IF(N(R543)&gt;1,"Chain; ","")&amp;IF(S543="No","Destination not 200; ","")))</f>
        <v/>
      </c>
      <c r="U543" s="22" t="n"/>
      <c r="V543" s="22" t="n"/>
      <c r="W543" s="4" t="n"/>
    </row>
    <row r="544">
      <c r="A544" s="22" t="n"/>
      <c r="B544" s="22" t="n"/>
      <c r="C544" s="22" t="n"/>
      <c r="D544" s="22">
        <f>IF(A544="","",IF(OR(N(B544)&gt;=$C$2,N(C544)&gt;=$E$2),"High",IF(OR(N(B544)&gt;0,N(C544)&gt;0),"Medium","Low")))</f>
        <v/>
      </c>
      <c r="E544" s="22" t="n"/>
      <c r="F544" s="22" t="n"/>
      <c r="G544" s="22" t="n"/>
      <c r="H544" s="22" t="n"/>
      <c r="I544" s="22" t="n"/>
      <c r="J544" s="22" t="n"/>
      <c r="K544" s="22" t="n"/>
      <c r="L544" s="22" t="n"/>
      <c r="M544" s="22">
        <f>IF(K544="Override",L544,IF(K544="Accept suggestion",F544,IF(K544="No change (same URL)",A544,"")))</f>
        <v/>
      </c>
      <c r="N544" s="22">
        <f>IF(A544="","",IF(K544="410 Gone","410",IF(K544="404","404",IF(K544="No change (same URL)","none",IF(M544="","","301")))))</f>
        <v/>
      </c>
      <c r="O544" s="22">
        <f>IF(A544="","",IFERROR(MID(A544,FIND("/",A544,FIND("//",A544)+2),2000),A544))</f>
        <v/>
      </c>
      <c r="P544" s="22">
        <f>IF(OR(O544="",N544="",N544="none",N544="404"),"",IF(N544="410","Redirect gone "&amp;O544,"Redirect "&amp;N544&amp;" "&amp;O544&amp;" "&amp;M544))</f>
        <v/>
      </c>
      <c r="Q544" s="22" t="n"/>
      <c r="R544" s="22" t="n"/>
      <c r="S544" s="22" t="n"/>
      <c r="T544" s="4">
        <f>IF(A544="","",TRIM(IF(K544="","Needs decision; ","")&amp;IF(AND(K544="Accept suggestion",F544=""),"No suggestion to accept; ","")&amp;IF(AND(K544="Override",L544=""),"Override URL missing; ","")&amp;IF(AND(K544="Accept suggestion",N(G544)&lt;$G$2),"Below your threshold; ","")&amp;IF(AND(M544&lt;&gt;"",M544=A544,K544&lt;&gt;"No change (same URL)"),"Redirects to itself; ","")&amp;IF(AND(M544&lt;&gt;"",OR(M544="/",AND(LEFT(M544,4)="http",OR((LEN(M544)-LEN(SUBSTITUTE(M544,"/","")))=2,AND((LEN(M544)-LEN(SUBSTITUTE(M544,"/","")))=3,RIGHT(M544,1)="/"))))),"Home page redirect; ","")&amp;IF(N(R544)&gt;1,"Chain; ","")&amp;IF(S544="No","Destination not 200; ","")))</f>
        <v/>
      </c>
      <c r="U544" s="22" t="n"/>
      <c r="V544" s="22" t="n"/>
      <c r="W544" s="4" t="n"/>
    </row>
    <row r="545">
      <c r="A545" s="22" t="n"/>
      <c r="B545" s="22" t="n"/>
      <c r="C545" s="22" t="n"/>
      <c r="D545" s="22">
        <f>IF(A545="","",IF(OR(N(B545)&gt;=$C$2,N(C545)&gt;=$E$2),"High",IF(OR(N(B545)&gt;0,N(C545)&gt;0),"Medium","Low")))</f>
        <v/>
      </c>
      <c r="E545" s="22" t="n"/>
      <c r="F545" s="22" t="n"/>
      <c r="G545" s="22" t="n"/>
      <c r="H545" s="22" t="n"/>
      <c r="I545" s="22" t="n"/>
      <c r="J545" s="22" t="n"/>
      <c r="K545" s="22" t="n"/>
      <c r="L545" s="22" t="n"/>
      <c r="M545" s="22">
        <f>IF(K545="Override",L545,IF(K545="Accept suggestion",F545,IF(K545="No change (same URL)",A545,"")))</f>
        <v/>
      </c>
      <c r="N545" s="22">
        <f>IF(A545="","",IF(K545="410 Gone","410",IF(K545="404","404",IF(K545="No change (same URL)","none",IF(M545="","","301")))))</f>
        <v/>
      </c>
      <c r="O545" s="22">
        <f>IF(A545="","",IFERROR(MID(A545,FIND("/",A545,FIND("//",A545)+2),2000),A545))</f>
        <v/>
      </c>
      <c r="P545" s="22">
        <f>IF(OR(O545="",N545="",N545="none",N545="404"),"",IF(N545="410","Redirect gone "&amp;O545,"Redirect "&amp;N545&amp;" "&amp;O545&amp;" "&amp;M545))</f>
        <v/>
      </c>
      <c r="Q545" s="22" t="n"/>
      <c r="R545" s="22" t="n"/>
      <c r="S545" s="22" t="n"/>
      <c r="T545" s="4">
        <f>IF(A545="","",TRIM(IF(K545="","Needs decision; ","")&amp;IF(AND(K545="Accept suggestion",F545=""),"No suggestion to accept; ","")&amp;IF(AND(K545="Override",L545=""),"Override URL missing; ","")&amp;IF(AND(K545="Accept suggestion",N(G545)&lt;$G$2),"Below your threshold; ","")&amp;IF(AND(M545&lt;&gt;"",M545=A545,K545&lt;&gt;"No change (same URL)"),"Redirects to itself; ","")&amp;IF(AND(M545&lt;&gt;"",OR(M545="/",AND(LEFT(M545,4)="http",OR((LEN(M545)-LEN(SUBSTITUTE(M545,"/","")))=2,AND((LEN(M545)-LEN(SUBSTITUTE(M545,"/","")))=3,RIGHT(M545,1)="/"))))),"Home page redirect; ","")&amp;IF(N(R545)&gt;1,"Chain; ","")&amp;IF(S545="No","Destination not 200; ","")))</f>
        <v/>
      </c>
      <c r="U545" s="22" t="n"/>
      <c r="V545" s="22" t="n"/>
      <c r="W545" s="4" t="n"/>
    </row>
    <row r="546">
      <c r="A546" s="22" t="n"/>
      <c r="B546" s="22" t="n"/>
      <c r="C546" s="22" t="n"/>
      <c r="D546" s="22">
        <f>IF(A546="","",IF(OR(N(B546)&gt;=$C$2,N(C546)&gt;=$E$2),"High",IF(OR(N(B546)&gt;0,N(C546)&gt;0),"Medium","Low")))</f>
        <v/>
      </c>
      <c r="E546" s="22" t="n"/>
      <c r="F546" s="22" t="n"/>
      <c r="G546" s="22" t="n"/>
      <c r="H546" s="22" t="n"/>
      <c r="I546" s="22" t="n"/>
      <c r="J546" s="22" t="n"/>
      <c r="K546" s="22" t="n"/>
      <c r="L546" s="22" t="n"/>
      <c r="M546" s="22">
        <f>IF(K546="Override",L546,IF(K546="Accept suggestion",F546,IF(K546="No change (same URL)",A546,"")))</f>
        <v/>
      </c>
      <c r="N546" s="22">
        <f>IF(A546="","",IF(K546="410 Gone","410",IF(K546="404","404",IF(K546="No change (same URL)","none",IF(M546="","","301")))))</f>
        <v/>
      </c>
      <c r="O546" s="22">
        <f>IF(A546="","",IFERROR(MID(A546,FIND("/",A546,FIND("//",A546)+2),2000),A546))</f>
        <v/>
      </c>
      <c r="P546" s="22">
        <f>IF(OR(O546="",N546="",N546="none",N546="404"),"",IF(N546="410","Redirect gone "&amp;O546,"Redirect "&amp;N546&amp;" "&amp;O546&amp;" "&amp;M546))</f>
        <v/>
      </c>
      <c r="Q546" s="22" t="n"/>
      <c r="R546" s="22" t="n"/>
      <c r="S546" s="22" t="n"/>
      <c r="T546" s="4">
        <f>IF(A546="","",TRIM(IF(K546="","Needs decision; ","")&amp;IF(AND(K546="Accept suggestion",F546=""),"No suggestion to accept; ","")&amp;IF(AND(K546="Override",L546=""),"Override URL missing; ","")&amp;IF(AND(K546="Accept suggestion",N(G546)&lt;$G$2),"Below your threshold; ","")&amp;IF(AND(M546&lt;&gt;"",M546=A546,K546&lt;&gt;"No change (same URL)"),"Redirects to itself; ","")&amp;IF(AND(M546&lt;&gt;"",OR(M546="/",AND(LEFT(M546,4)="http",OR((LEN(M546)-LEN(SUBSTITUTE(M546,"/","")))=2,AND((LEN(M546)-LEN(SUBSTITUTE(M546,"/","")))=3,RIGHT(M546,1)="/"))))),"Home page redirect; ","")&amp;IF(N(R546)&gt;1,"Chain; ","")&amp;IF(S546="No","Destination not 200; ","")))</f>
        <v/>
      </c>
      <c r="U546" s="22" t="n"/>
      <c r="V546" s="22" t="n"/>
      <c r="W546" s="4" t="n"/>
    </row>
    <row r="547">
      <c r="A547" s="22" t="n"/>
      <c r="B547" s="22" t="n"/>
      <c r="C547" s="22" t="n"/>
      <c r="D547" s="22">
        <f>IF(A547="","",IF(OR(N(B547)&gt;=$C$2,N(C547)&gt;=$E$2),"High",IF(OR(N(B547)&gt;0,N(C547)&gt;0),"Medium","Low")))</f>
        <v/>
      </c>
      <c r="E547" s="22" t="n"/>
      <c r="F547" s="22" t="n"/>
      <c r="G547" s="22" t="n"/>
      <c r="H547" s="22" t="n"/>
      <c r="I547" s="22" t="n"/>
      <c r="J547" s="22" t="n"/>
      <c r="K547" s="22" t="n"/>
      <c r="L547" s="22" t="n"/>
      <c r="M547" s="22">
        <f>IF(K547="Override",L547,IF(K547="Accept suggestion",F547,IF(K547="No change (same URL)",A547,"")))</f>
        <v/>
      </c>
      <c r="N547" s="22">
        <f>IF(A547="","",IF(K547="410 Gone","410",IF(K547="404","404",IF(K547="No change (same URL)","none",IF(M547="","","301")))))</f>
        <v/>
      </c>
      <c r="O547" s="22">
        <f>IF(A547="","",IFERROR(MID(A547,FIND("/",A547,FIND("//",A547)+2),2000),A547))</f>
        <v/>
      </c>
      <c r="P547" s="22">
        <f>IF(OR(O547="",N547="",N547="none",N547="404"),"",IF(N547="410","Redirect gone "&amp;O547,"Redirect "&amp;N547&amp;" "&amp;O547&amp;" "&amp;M547))</f>
        <v/>
      </c>
      <c r="Q547" s="22" t="n"/>
      <c r="R547" s="22" t="n"/>
      <c r="S547" s="22" t="n"/>
      <c r="T547" s="4">
        <f>IF(A547="","",TRIM(IF(K547="","Needs decision; ","")&amp;IF(AND(K547="Accept suggestion",F547=""),"No suggestion to accept; ","")&amp;IF(AND(K547="Override",L547=""),"Override URL missing; ","")&amp;IF(AND(K547="Accept suggestion",N(G547)&lt;$G$2),"Below your threshold; ","")&amp;IF(AND(M547&lt;&gt;"",M547=A547,K547&lt;&gt;"No change (same URL)"),"Redirects to itself; ","")&amp;IF(AND(M547&lt;&gt;"",OR(M547="/",AND(LEFT(M547,4)="http",OR((LEN(M547)-LEN(SUBSTITUTE(M547,"/","")))=2,AND((LEN(M547)-LEN(SUBSTITUTE(M547,"/","")))=3,RIGHT(M547,1)="/"))))),"Home page redirect; ","")&amp;IF(N(R547)&gt;1,"Chain; ","")&amp;IF(S547="No","Destination not 200; ","")))</f>
        <v/>
      </c>
      <c r="U547" s="22" t="n"/>
      <c r="V547" s="22" t="n"/>
      <c r="W547" s="4" t="n"/>
    </row>
    <row r="548">
      <c r="A548" s="22" t="n"/>
      <c r="B548" s="22" t="n"/>
      <c r="C548" s="22" t="n"/>
      <c r="D548" s="22">
        <f>IF(A548="","",IF(OR(N(B548)&gt;=$C$2,N(C548)&gt;=$E$2),"High",IF(OR(N(B548)&gt;0,N(C548)&gt;0),"Medium","Low")))</f>
        <v/>
      </c>
      <c r="E548" s="22" t="n"/>
      <c r="F548" s="22" t="n"/>
      <c r="G548" s="22" t="n"/>
      <c r="H548" s="22" t="n"/>
      <c r="I548" s="22" t="n"/>
      <c r="J548" s="22" t="n"/>
      <c r="K548" s="22" t="n"/>
      <c r="L548" s="22" t="n"/>
      <c r="M548" s="22">
        <f>IF(K548="Override",L548,IF(K548="Accept suggestion",F548,IF(K548="No change (same URL)",A548,"")))</f>
        <v/>
      </c>
      <c r="N548" s="22">
        <f>IF(A548="","",IF(K548="410 Gone","410",IF(K548="404","404",IF(K548="No change (same URL)","none",IF(M548="","","301")))))</f>
        <v/>
      </c>
      <c r="O548" s="22">
        <f>IF(A548="","",IFERROR(MID(A548,FIND("/",A548,FIND("//",A548)+2),2000),A548))</f>
        <v/>
      </c>
      <c r="P548" s="22">
        <f>IF(OR(O548="",N548="",N548="none",N548="404"),"",IF(N548="410","Redirect gone "&amp;O548,"Redirect "&amp;N548&amp;" "&amp;O548&amp;" "&amp;M548))</f>
        <v/>
      </c>
      <c r="Q548" s="22" t="n"/>
      <c r="R548" s="22" t="n"/>
      <c r="S548" s="22" t="n"/>
      <c r="T548" s="4">
        <f>IF(A548="","",TRIM(IF(K548="","Needs decision; ","")&amp;IF(AND(K548="Accept suggestion",F548=""),"No suggestion to accept; ","")&amp;IF(AND(K548="Override",L548=""),"Override URL missing; ","")&amp;IF(AND(K548="Accept suggestion",N(G548)&lt;$G$2),"Below your threshold; ","")&amp;IF(AND(M548&lt;&gt;"",M548=A548,K548&lt;&gt;"No change (same URL)"),"Redirects to itself; ","")&amp;IF(AND(M548&lt;&gt;"",OR(M548="/",AND(LEFT(M548,4)="http",OR((LEN(M548)-LEN(SUBSTITUTE(M548,"/","")))=2,AND((LEN(M548)-LEN(SUBSTITUTE(M548,"/","")))=3,RIGHT(M548,1)="/"))))),"Home page redirect; ","")&amp;IF(N(R548)&gt;1,"Chain; ","")&amp;IF(S548="No","Destination not 200; ","")))</f>
        <v/>
      </c>
      <c r="U548" s="22" t="n"/>
      <c r="V548" s="22" t="n"/>
      <c r="W548" s="4" t="n"/>
    </row>
    <row r="549">
      <c r="A549" s="22" t="n"/>
      <c r="B549" s="22" t="n"/>
      <c r="C549" s="22" t="n"/>
      <c r="D549" s="22">
        <f>IF(A549="","",IF(OR(N(B549)&gt;=$C$2,N(C549)&gt;=$E$2),"High",IF(OR(N(B549)&gt;0,N(C549)&gt;0),"Medium","Low")))</f>
        <v/>
      </c>
      <c r="E549" s="22" t="n"/>
      <c r="F549" s="22" t="n"/>
      <c r="G549" s="22" t="n"/>
      <c r="H549" s="22" t="n"/>
      <c r="I549" s="22" t="n"/>
      <c r="J549" s="22" t="n"/>
      <c r="K549" s="22" t="n"/>
      <c r="L549" s="22" t="n"/>
      <c r="M549" s="22">
        <f>IF(K549="Override",L549,IF(K549="Accept suggestion",F549,IF(K549="No change (same URL)",A549,"")))</f>
        <v/>
      </c>
      <c r="N549" s="22">
        <f>IF(A549="","",IF(K549="410 Gone","410",IF(K549="404","404",IF(K549="No change (same URL)","none",IF(M549="","","301")))))</f>
        <v/>
      </c>
      <c r="O549" s="22">
        <f>IF(A549="","",IFERROR(MID(A549,FIND("/",A549,FIND("//",A549)+2),2000),A549))</f>
        <v/>
      </c>
      <c r="P549" s="22">
        <f>IF(OR(O549="",N549="",N549="none",N549="404"),"",IF(N549="410","Redirect gone "&amp;O549,"Redirect "&amp;N549&amp;" "&amp;O549&amp;" "&amp;M549))</f>
        <v/>
      </c>
      <c r="Q549" s="22" t="n"/>
      <c r="R549" s="22" t="n"/>
      <c r="S549" s="22" t="n"/>
      <c r="T549" s="4">
        <f>IF(A549="","",TRIM(IF(K549="","Needs decision; ","")&amp;IF(AND(K549="Accept suggestion",F549=""),"No suggestion to accept; ","")&amp;IF(AND(K549="Override",L549=""),"Override URL missing; ","")&amp;IF(AND(K549="Accept suggestion",N(G549)&lt;$G$2),"Below your threshold; ","")&amp;IF(AND(M549&lt;&gt;"",M549=A549,K549&lt;&gt;"No change (same URL)"),"Redirects to itself; ","")&amp;IF(AND(M549&lt;&gt;"",OR(M549="/",AND(LEFT(M549,4)="http",OR((LEN(M549)-LEN(SUBSTITUTE(M549,"/","")))=2,AND((LEN(M549)-LEN(SUBSTITUTE(M549,"/","")))=3,RIGHT(M549,1)="/"))))),"Home page redirect; ","")&amp;IF(N(R549)&gt;1,"Chain; ","")&amp;IF(S549="No","Destination not 200; ","")))</f>
        <v/>
      </c>
      <c r="U549" s="22" t="n"/>
      <c r="V549" s="22" t="n"/>
      <c r="W549" s="4" t="n"/>
    </row>
    <row r="550">
      <c r="A550" s="22" t="n"/>
      <c r="B550" s="22" t="n"/>
      <c r="C550" s="22" t="n"/>
      <c r="D550" s="22">
        <f>IF(A550="","",IF(OR(N(B550)&gt;=$C$2,N(C550)&gt;=$E$2),"High",IF(OR(N(B550)&gt;0,N(C550)&gt;0),"Medium","Low")))</f>
        <v/>
      </c>
      <c r="E550" s="22" t="n"/>
      <c r="F550" s="22" t="n"/>
      <c r="G550" s="22" t="n"/>
      <c r="H550" s="22" t="n"/>
      <c r="I550" s="22" t="n"/>
      <c r="J550" s="22" t="n"/>
      <c r="K550" s="22" t="n"/>
      <c r="L550" s="22" t="n"/>
      <c r="M550" s="22">
        <f>IF(K550="Override",L550,IF(K550="Accept suggestion",F550,IF(K550="No change (same URL)",A550,"")))</f>
        <v/>
      </c>
      <c r="N550" s="22">
        <f>IF(A550="","",IF(K550="410 Gone","410",IF(K550="404","404",IF(K550="No change (same URL)","none",IF(M550="","","301")))))</f>
        <v/>
      </c>
      <c r="O550" s="22">
        <f>IF(A550="","",IFERROR(MID(A550,FIND("/",A550,FIND("//",A550)+2),2000),A550))</f>
        <v/>
      </c>
      <c r="P550" s="22">
        <f>IF(OR(O550="",N550="",N550="none",N550="404"),"",IF(N550="410","Redirect gone "&amp;O550,"Redirect "&amp;N550&amp;" "&amp;O550&amp;" "&amp;M550))</f>
        <v/>
      </c>
      <c r="Q550" s="22" t="n"/>
      <c r="R550" s="22" t="n"/>
      <c r="S550" s="22" t="n"/>
      <c r="T550" s="4">
        <f>IF(A550="","",TRIM(IF(K550="","Needs decision; ","")&amp;IF(AND(K550="Accept suggestion",F550=""),"No suggestion to accept; ","")&amp;IF(AND(K550="Override",L550=""),"Override URL missing; ","")&amp;IF(AND(K550="Accept suggestion",N(G550)&lt;$G$2),"Below your threshold; ","")&amp;IF(AND(M550&lt;&gt;"",M550=A550,K550&lt;&gt;"No change (same URL)"),"Redirects to itself; ","")&amp;IF(AND(M550&lt;&gt;"",OR(M550="/",AND(LEFT(M550,4)="http",OR((LEN(M550)-LEN(SUBSTITUTE(M550,"/","")))=2,AND((LEN(M550)-LEN(SUBSTITUTE(M550,"/","")))=3,RIGHT(M550,1)="/"))))),"Home page redirect; ","")&amp;IF(N(R550)&gt;1,"Chain; ","")&amp;IF(S550="No","Destination not 200; ","")))</f>
        <v/>
      </c>
      <c r="U550" s="22" t="n"/>
      <c r="V550" s="22" t="n"/>
      <c r="W550" s="4" t="n"/>
    </row>
    <row r="551">
      <c r="A551" s="22" t="n"/>
      <c r="B551" s="22" t="n"/>
      <c r="C551" s="22" t="n"/>
      <c r="D551" s="22">
        <f>IF(A551="","",IF(OR(N(B551)&gt;=$C$2,N(C551)&gt;=$E$2),"High",IF(OR(N(B551)&gt;0,N(C551)&gt;0),"Medium","Low")))</f>
        <v/>
      </c>
      <c r="E551" s="22" t="n"/>
      <c r="F551" s="22" t="n"/>
      <c r="G551" s="22" t="n"/>
      <c r="H551" s="22" t="n"/>
      <c r="I551" s="22" t="n"/>
      <c r="J551" s="22" t="n"/>
      <c r="K551" s="22" t="n"/>
      <c r="L551" s="22" t="n"/>
      <c r="M551" s="22">
        <f>IF(K551="Override",L551,IF(K551="Accept suggestion",F551,IF(K551="No change (same URL)",A551,"")))</f>
        <v/>
      </c>
      <c r="N551" s="22">
        <f>IF(A551="","",IF(K551="410 Gone","410",IF(K551="404","404",IF(K551="No change (same URL)","none",IF(M551="","","301")))))</f>
        <v/>
      </c>
      <c r="O551" s="22">
        <f>IF(A551="","",IFERROR(MID(A551,FIND("/",A551,FIND("//",A551)+2),2000),A551))</f>
        <v/>
      </c>
      <c r="P551" s="22">
        <f>IF(OR(O551="",N551="",N551="none",N551="404"),"",IF(N551="410","Redirect gone "&amp;O551,"Redirect "&amp;N551&amp;" "&amp;O551&amp;" "&amp;M551))</f>
        <v/>
      </c>
      <c r="Q551" s="22" t="n"/>
      <c r="R551" s="22" t="n"/>
      <c r="S551" s="22" t="n"/>
      <c r="T551" s="4">
        <f>IF(A551="","",TRIM(IF(K551="","Needs decision; ","")&amp;IF(AND(K551="Accept suggestion",F551=""),"No suggestion to accept; ","")&amp;IF(AND(K551="Override",L551=""),"Override URL missing; ","")&amp;IF(AND(K551="Accept suggestion",N(G551)&lt;$G$2),"Below your threshold; ","")&amp;IF(AND(M551&lt;&gt;"",M551=A551,K551&lt;&gt;"No change (same URL)"),"Redirects to itself; ","")&amp;IF(AND(M551&lt;&gt;"",OR(M551="/",AND(LEFT(M551,4)="http",OR((LEN(M551)-LEN(SUBSTITUTE(M551,"/","")))=2,AND((LEN(M551)-LEN(SUBSTITUTE(M551,"/","")))=3,RIGHT(M551,1)="/"))))),"Home page redirect; ","")&amp;IF(N(R551)&gt;1,"Chain; ","")&amp;IF(S551="No","Destination not 200; ","")))</f>
        <v/>
      </c>
      <c r="U551" s="22" t="n"/>
      <c r="V551" s="22" t="n"/>
      <c r="W551" s="4" t="n"/>
    </row>
    <row r="552">
      <c r="A552" s="22" t="n"/>
      <c r="B552" s="22" t="n"/>
      <c r="C552" s="22" t="n"/>
      <c r="D552" s="22">
        <f>IF(A552="","",IF(OR(N(B552)&gt;=$C$2,N(C552)&gt;=$E$2),"High",IF(OR(N(B552)&gt;0,N(C552)&gt;0),"Medium","Low")))</f>
        <v/>
      </c>
      <c r="E552" s="22" t="n"/>
      <c r="F552" s="22" t="n"/>
      <c r="G552" s="22" t="n"/>
      <c r="H552" s="22" t="n"/>
      <c r="I552" s="22" t="n"/>
      <c r="J552" s="22" t="n"/>
      <c r="K552" s="22" t="n"/>
      <c r="L552" s="22" t="n"/>
      <c r="M552" s="22">
        <f>IF(K552="Override",L552,IF(K552="Accept suggestion",F552,IF(K552="No change (same URL)",A552,"")))</f>
        <v/>
      </c>
      <c r="N552" s="22">
        <f>IF(A552="","",IF(K552="410 Gone","410",IF(K552="404","404",IF(K552="No change (same URL)","none",IF(M552="","","301")))))</f>
        <v/>
      </c>
      <c r="O552" s="22">
        <f>IF(A552="","",IFERROR(MID(A552,FIND("/",A552,FIND("//",A552)+2),2000),A552))</f>
        <v/>
      </c>
      <c r="P552" s="22">
        <f>IF(OR(O552="",N552="",N552="none",N552="404"),"",IF(N552="410","Redirect gone "&amp;O552,"Redirect "&amp;N552&amp;" "&amp;O552&amp;" "&amp;M552))</f>
        <v/>
      </c>
      <c r="Q552" s="22" t="n"/>
      <c r="R552" s="22" t="n"/>
      <c r="S552" s="22" t="n"/>
      <c r="T552" s="4">
        <f>IF(A552="","",TRIM(IF(K552="","Needs decision; ","")&amp;IF(AND(K552="Accept suggestion",F552=""),"No suggestion to accept; ","")&amp;IF(AND(K552="Override",L552=""),"Override URL missing; ","")&amp;IF(AND(K552="Accept suggestion",N(G552)&lt;$G$2),"Below your threshold; ","")&amp;IF(AND(M552&lt;&gt;"",M552=A552,K552&lt;&gt;"No change (same URL)"),"Redirects to itself; ","")&amp;IF(AND(M552&lt;&gt;"",OR(M552="/",AND(LEFT(M552,4)="http",OR((LEN(M552)-LEN(SUBSTITUTE(M552,"/","")))=2,AND((LEN(M552)-LEN(SUBSTITUTE(M552,"/","")))=3,RIGHT(M552,1)="/"))))),"Home page redirect; ","")&amp;IF(N(R552)&gt;1,"Chain; ","")&amp;IF(S552="No","Destination not 200; ","")))</f>
        <v/>
      </c>
      <c r="U552" s="22" t="n"/>
      <c r="V552" s="22" t="n"/>
      <c r="W552" s="4" t="n"/>
    </row>
    <row r="553">
      <c r="A553" s="22" t="n"/>
      <c r="B553" s="22" t="n"/>
      <c r="C553" s="22" t="n"/>
      <c r="D553" s="22">
        <f>IF(A553="","",IF(OR(N(B553)&gt;=$C$2,N(C553)&gt;=$E$2),"High",IF(OR(N(B553)&gt;0,N(C553)&gt;0),"Medium","Low")))</f>
        <v/>
      </c>
      <c r="E553" s="22" t="n"/>
      <c r="F553" s="22" t="n"/>
      <c r="G553" s="22" t="n"/>
      <c r="H553" s="22" t="n"/>
      <c r="I553" s="22" t="n"/>
      <c r="J553" s="22" t="n"/>
      <c r="K553" s="22" t="n"/>
      <c r="L553" s="22" t="n"/>
      <c r="M553" s="22">
        <f>IF(K553="Override",L553,IF(K553="Accept suggestion",F553,IF(K553="No change (same URL)",A553,"")))</f>
        <v/>
      </c>
      <c r="N553" s="22">
        <f>IF(A553="","",IF(K553="410 Gone","410",IF(K553="404","404",IF(K553="No change (same URL)","none",IF(M553="","","301")))))</f>
        <v/>
      </c>
      <c r="O553" s="22">
        <f>IF(A553="","",IFERROR(MID(A553,FIND("/",A553,FIND("//",A553)+2),2000),A553))</f>
        <v/>
      </c>
      <c r="P553" s="22">
        <f>IF(OR(O553="",N553="",N553="none",N553="404"),"",IF(N553="410","Redirect gone "&amp;O553,"Redirect "&amp;N553&amp;" "&amp;O553&amp;" "&amp;M553))</f>
        <v/>
      </c>
      <c r="Q553" s="22" t="n"/>
      <c r="R553" s="22" t="n"/>
      <c r="S553" s="22" t="n"/>
      <c r="T553" s="4">
        <f>IF(A553="","",TRIM(IF(K553="","Needs decision; ","")&amp;IF(AND(K553="Accept suggestion",F553=""),"No suggestion to accept; ","")&amp;IF(AND(K553="Override",L553=""),"Override URL missing; ","")&amp;IF(AND(K553="Accept suggestion",N(G553)&lt;$G$2),"Below your threshold; ","")&amp;IF(AND(M553&lt;&gt;"",M553=A553,K553&lt;&gt;"No change (same URL)"),"Redirects to itself; ","")&amp;IF(AND(M553&lt;&gt;"",OR(M553="/",AND(LEFT(M553,4)="http",OR((LEN(M553)-LEN(SUBSTITUTE(M553,"/","")))=2,AND((LEN(M553)-LEN(SUBSTITUTE(M553,"/","")))=3,RIGHT(M553,1)="/"))))),"Home page redirect; ","")&amp;IF(N(R553)&gt;1,"Chain; ","")&amp;IF(S553="No","Destination not 200; ","")))</f>
        <v/>
      </c>
      <c r="U553" s="22" t="n"/>
      <c r="V553" s="22" t="n"/>
      <c r="W553" s="4" t="n"/>
    </row>
    <row r="554">
      <c r="A554" s="22" t="n"/>
      <c r="B554" s="22" t="n"/>
      <c r="C554" s="22" t="n"/>
      <c r="D554" s="22">
        <f>IF(A554="","",IF(OR(N(B554)&gt;=$C$2,N(C554)&gt;=$E$2),"High",IF(OR(N(B554)&gt;0,N(C554)&gt;0),"Medium","Low")))</f>
        <v/>
      </c>
      <c r="E554" s="22" t="n"/>
      <c r="F554" s="22" t="n"/>
      <c r="G554" s="22" t="n"/>
      <c r="H554" s="22" t="n"/>
      <c r="I554" s="22" t="n"/>
      <c r="J554" s="22" t="n"/>
      <c r="K554" s="22" t="n"/>
      <c r="L554" s="22" t="n"/>
      <c r="M554" s="22">
        <f>IF(K554="Override",L554,IF(K554="Accept suggestion",F554,IF(K554="No change (same URL)",A554,"")))</f>
        <v/>
      </c>
      <c r="N554" s="22">
        <f>IF(A554="","",IF(K554="410 Gone","410",IF(K554="404","404",IF(K554="No change (same URL)","none",IF(M554="","","301")))))</f>
        <v/>
      </c>
      <c r="O554" s="22">
        <f>IF(A554="","",IFERROR(MID(A554,FIND("/",A554,FIND("//",A554)+2),2000),A554))</f>
        <v/>
      </c>
      <c r="P554" s="22">
        <f>IF(OR(O554="",N554="",N554="none",N554="404"),"",IF(N554="410","Redirect gone "&amp;O554,"Redirect "&amp;N554&amp;" "&amp;O554&amp;" "&amp;M554))</f>
        <v/>
      </c>
      <c r="Q554" s="22" t="n"/>
      <c r="R554" s="22" t="n"/>
      <c r="S554" s="22" t="n"/>
      <c r="T554" s="4">
        <f>IF(A554="","",TRIM(IF(K554="","Needs decision; ","")&amp;IF(AND(K554="Accept suggestion",F554=""),"No suggestion to accept; ","")&amp;IF(AND(K554="Override",L554=""),"Override URL missing; ","")&amp;IF(AND(K554="Accept suggestion",N(G554)&lt;$G$2),"Below your threshold; ","")&amp;IF(AND(M554&lt;&gt;"",M554=A554,K554&lt;&gt;"No change (same URL)"),"Redirects to itself; ","")&amp;IF(AND(M554&lt;&gt;"",OR(M554="/",AND(LEFT(M554,4)="http",OR((LEN(M554)-LEN(SUBSTITUTE(M554,"/","")))=2,AND((LEN(M554)-LEN(SUBSTITUTE(M554,"/","")))=3,RIGHT(M554,1)="/"))))),"Home page redirect; ","")&amp;IF(N(R554)&gt;1,"Chain; ","")&amp;IF(S554="No","Destination not 200; ","")))</f>
        <v/>
      </c>
      <c r="U554" s="22" t="n"/>
      <c r="V554" s="22" t="n"/>
      <c r="W554" s="4" t="n"/>
    </row>
    <row r="555">
      <c r="A555" s="22" t="n"/>
      <c r="B555" s="22" t="n"/>
      <c r="C555" s="22" t="n"/>
      <c r="D555" s="22">
        <f>IF(A555="","",IF(OR(N(B555)&gt;=$C$2,N(C555)&gt;=$E$2),"High",IF(OR(N(B555)&gt;0,N(C555)&gt;0),"Medium","Low")))</f>
        <v/>
      </c>
      <c r="E555" s="22" t="n"/>
      <c r="F555" s="22" t="n"/>
      <c r="G555" s="22" t="n"/>
      <c r="H555" s="22" t="n"/>
      <c r="I555" s="22" t="n"/>
      <c r="J555" s="22" t="n"/>
      <c r="K555" s="22" t="n"/>
      <c r="L555" s="22" t="n"/>
      <c r="M555" s="22">
        <f>IF(K555="Override",L555,IF(K555="Accept suggestion",F555,IF(K555="No change (same URL)",A555,"")))</f>
        <v/>
      </c>
      <c r="N555" s="22">
        <f>IF(A555="","",IF(K555="410 Gone","410",IF(K555="404","404",IF(K555="No change (same URL)","none",IF(M555="","","301")))))</f>
        <v/>
      </c>
      <c r="O555" s="22">
        <f>IF(A555="","",IFERROR(MID(A555,FIND("/",A555,FIND("//",A555)+2),2000),A555))</f>
        <v/>
      </c>
      <c r="P555" s="22">
        <f>IF(OR(O555="",N555="",N555="none",N555="404"),"",IF(N555="410","Redirect gone "&amp;O555,"Redirect "&amp;N555&amp;" "&amp;O555&amp;" "&amp;M555))</f>
        <v/>
      </c>
      <c r="Q555" s="22" t="n"/>
      <c r="R555" s="22" t="n"/>
      <c r="S555" s="22" t="n"/>
      <c r="T555" s="4">
        <f>IF(A555="","",TRIM(IF(K555="","Needs decision; ","")&amp;IF(AND(K555="Accept suggestion",F555=""),"No suggestion to accept; ","")&amp;IF(AND(K555="Override",L555=""),"Override URL missing; ","")&amp;IF(AND(K555="Accept suggestion",N(G555)&lt;$G$2),"Below your threshold; ","")&amp;IF(AND(M555&lt;&gt;"",M555=A555,K555&lt;&gt;"No change (same URL)"),"Redirects to itself; ","")&amp;IF(AND(M555&lt;&gt;"",OR(M555="/",AND(LEFT(M555,4)="http",OR((LEN(M555)-LEN(SUBSTITUTE(M555,"/","")))=2,AND((LEN(M555)-LEN(SUBSTITUTE(M555,"/","")))=3,RIGHT(M555,1)="/"))))),"Home page redirect; ","")&amp;IF(N(R555)&gt;1,"Chain; ","")&amp;IF(S555="No","Destination not 200; ","")))</f>
        <v/>
      </c>
      <c r="U555" s="22" t="n"/>
      <c r="V555" s="22" t="n"/>
      <c r="W555" s="4" t="n"/>
    </row>
    <row r="556">
      <c r="A556" s="22" t="n"/>
      <c r="B556" s="22" t="n"/>
      <c r="C556" s="22" t="n"/>
      <c r="D556" s="22">
        <f>IF(A556="","",IF(OR(N(B556)&gt;=$C$2,N(C556)&gt;=$E$2),"High",IF(OR(N(B556)&gt;0,N(C556)&gt;0),"Medium","Low")))</f>
        <v/>
      </c>
      <c r="E556" s="22" t="n"/>
      <c r="F556" s="22" t="n"/>
      <c r="G556" s="22" t="n"/>
      <c r="H556" s="22" t="n"/>
      <c r="I556" s="22" t="n"/>
      <c r="J556" s="22" t="n"/>
      <c r="K556" s="22" t="n"/>
      <c r="L556" s="22" t="n"/>
      <c r="M556" s="22">
        <f>IF(K556="Override",L556,IF(K556="Accept suggestion",F556,IF(K556="No change (same URL)",A556,"")))</f>
        <v/>
      </c>
      <c r="N556" s="22">
        <f>IF(A556="","",IF(K556="410 Gone","410",IF(K556="404","404",IF(K556="No change (same URL)","none",IF(M556="","","301")))))</f>
        <v/>
      </c>
      <c r="O556" s="22">
        <f>IF(A556="","",IFERROR(MID(A556,FIND("/",A556,FIND("//",A556)+2),2000),A556))</f>
        <v/>
      </c>
      <c r="P556" s="22">
        <f>IF(OR(O556="",N556="",N556="none",N556="404"),"",IF(N556="410","Redirect gone "&amp;O556,"Redirect "&amp;N556&amp;" "&amp;O556&amp;" "&amp;M556))</f>
        <v/>
      </c>
      <c r="Q556" s="22" t="n"/>
      <c r="R556" s="22" t="n"/>
      <c r="S556" s="22" t="n"/>
      <c r="T556" s="4">
        <f>IF(A556="","",TRIM(IF(K556="","Needs decision; ","")&amp;IF(AND(K556="Accept suggestion",F556=""),"No suggestion to accept; ","")&amp;IF(AND(K556="Override",L556=""),"Override URL missing; ","")&amp;IF(AND(K556="Accept suggestion",N(G556)&lt;$G$2),"Below your threshold; ","")&amp;IF(AND(M556&lt;&gt;"",M556=A556,K556&lt;&gt;"No change (same URL)"),"Redirects to itself; ","")&amp;IF(AND(M556&lt;&gt;"",OR(M556="/",AND(LEFT(M556,4)="http",OR((LEN(M556)-LEN(SUBSTITUTE(M556,"/","")))=2,AND((LEN(M556)-LEN(SUBSTITUTE(M556,"/","")))=3,RIGHT(M556,1)="/"))))),"Home page redirect; ","")&amp;IF(N(R556)&gt;1,"Chain; ","")&amp;IF(S556="No","Destination not 200; ","")))</f>
        <v/>
      </c>
      <c r="U556" s="22" t="n"/>
      <c r="V556" s="22" t="n"/>
      <c r="W556" s="4" t="n"/>
    </row>
    <row r="557">
      <c r="A557" s="22" t="n"/>
      <c r="B557" s="22" t="n"/>
      <c r="C557" s="22" t="n"/>
      <c r="D557" s="22">
        <f>IF(A557="","",IF(OR(N(B557)&gt;=$C$2,N(C557)&gt;=$E$2),"High",IF(OR(N(B557)&gt;0,N(C557)&gt;0),"Medium","Low")))</f>
        <v/>
      </c>
      <c r="E557" s="22" t="n"/>
      <c r="F557" s="22" t="n"/>
      <c r="G557" s="22" t="n"/>
      <c r="H557" s="22" t="n"/>
      <c r="I557" s="22" t="n"/>
      <c r="J557" s="22" t="n"/>
      <c r="K557" s="22" t="n"/>
      <c r="L557" s="22" t="n"/>
      <c r="M557" s="22">
        <f>IF(K557="Override",L557,IF(K557="Accept suggestion",F557,IF(K557="No change (same URL)",A557,"")))</f>
        <v/>
      </c>
      <c r="N557" s="22">
        <f>IF(A557="","",IF(K557="410 Gone","410",IF(K557="404","404",IF(K557="No change (same URL)","none",IF(M557="","","301")))))</f>
        <v/>
      </c>
      <c r="O557" s="22">
        <f>IF(A557="","",IFERROR(MID(A557,FIND("/",A557,FIND("//",A557)+2),2000),A557))</f>
        <v/>
      </c>
      <c r="P557" s="22">
        <f>IF(OR(O557="",N557="",N557="none",N557="404"),"",IF(N557="410","Redirect gone "&amp;O557,"Redirect "&amp;N557&amp;" "&amp;O557&amp;" "&amp;M557))</f>
        <v/>
      </c>
      <c r="Q557" s="22" t="n"/>
      <c r="R557" s="22" t="n"/>
      <c r="S557" s="22" t="n"/>
      <c r="T557" s="4">
        <f>IF(A557="","",TRIM(IF(K557="","Needs decision; ","")&amp;IF(AND(K557="Accept suggestion",F557=""),"No suggestion to accept; ","")&amp;IF(AND(K557="Override",L557=""),"Override URL missing; ","")&amp;IF(AND(K557="Accept suggestion",N(G557)&lt;$G$2),"Below your threshold; ","")&amp;IF(AND(M557&lt;&gt;"",M557=A557,K557&lt;&gt;"No change (same URL)"),"Redirects to itself; ","")&amp;IF(AND(M557&lt;&gt;"",OR(M557="/",AND(LEFT(M557,4)="http",OR((LEN(M557)-LEN(SUBSTITUTE(M557,"/","")))=2,AND((LEN(M557)-LEN(SUBSTITUTE(M557,"/","")))=3,RIGHT(M557,1)="/"))))),"Home page redirect; ","")&amp;IF(N(R557)&gt;1,"Chain; ","")&amp;IF(S557="No","Destination not 200; ","")))</f>
        <v/>
      </c>
      <c r="U557" s="22" t="n"/>
      <c r="V557" s="22" t="n"/>
      <c r="W557" s="4" t="n"/>
    </row>
    <row r="558">
      <c r="A558" s="22" t="n"/>
      <c r="B558" s="22" t="n"/>
      <c r="C558" s="22" t="n"/>
      <c r="D558" s="22">
        <f>IF(A558="","",IF(OR(N(B558)&gt;=$C$2,N(C558)&gt;=$E$2),"High",IF(OR(N(B558)&gt;0,N(C558)&gt;0),"Medium","Low")))</f>
        <v/>
      </c>
      <c r="E558" s="22" t="n"/>
      <c r="F558" s="22" t="n"/>
      <c r="G558" s="22" t="n"/>
      <c r="H558" s="22" t="n"/>
      <c r="I558" s="22" t="n"/>
      <c r="J558" s="22" t="n"/>
      <c r="K558" s="22" t="n"/>
      <c r="L558" s="22" t="n"/>
      <c r="M558" s="22">
        <f>IF(K558="Override",L558,IF(K558="Accept suggestion",F558,IF(K558="No change (same URL)",A558,"")))</f>
        <v/>
      </c>
      <c r="N558" s="22">
        <f>IF(A558="","",IF(K558="410 Gone","410",IF(K558="404","404",IF(K558="No change (same URL)","none",IF(M558="","","301")))))</f>
        <v/>
      </c>
      <c r="O558" s="22">
        <f>IF(A558="","",IFERROR(MID(A558,FIND("/",A558,FIND("//",A558)+2),2000),A558))</f>
        <v/>
      </c>
      <c r="P558" s="22">
        <f>IF(OR(O558="",N558="",N558="none",N558="404"),"",IF(N558="410","Redirect gone "&amp;O558,"Redirect "&amp;N558&amp;" "&amp;O558&amp;" "&amp;M558))</f>
        <v/>
      </c>
      <c r="Q558" s="22" t="n"/>
      <c r="R558" s="22" t="n"/>
      <c r="S558" s="22" t="n"/>
      <c r="T558" s="4">
        <f>IF(A558="","",TRIM(IF(K558="","Needs decision; ","")&amp;IF(AND(K558="Accept suggestion",F558=""),"No suggestion to accept; ","")&amp;IF(AND(K558="Override",L558=""),"Override URL missing; ","")&amp;IF(AND(K558="Accept suggestion",N(G558)&lt;$G$2),"Below your threshold; ","")&amp;IF(AND(M558&lt;&gt;"",M558=A558,K558&lt;&gt;"No change (same URL)"),"Redirects to itself; ","")&amp;IF(AND(M558&lt;&gt;"",OR(M558="/",AND(LEFT(M558,4)="http",OR((LEN(M558)-LEN(SUBSTITUTE(M558,"/","")))=2,AND((LEN(M558)-LEN(SUBSTITUTE(M558,"/","")))=3,RIGHT(M558,1)="/"))))),"Home page redirect; ","")&amp;IF(N(R558)&gt;1,"Chain; ","")&amp;IF(S558="No","Destination not 200; ","")))</f>
        <v/>
      </c>
      <c r="U558" s="22" t="n"/>
      <c r="V558" s="22" t="n"/>
      <c r="W558" s="4" t="n"/>
    </row>
    <row r="559">
      <c r="A559" s="22" t="n"/>
      <c r="B559" s="22" t="n"/>
      <c r="C559" s="22" t="n"/>
      <c r="D559" s="22">
        <f>IF(A559="","",IF(OR(N(B559)&gt;=$C$2,N(C559)&gt;=$E$2),"High",IF(OR(N(B559)&gt;0,N(C559)&gt;0),"Medium","Low")))</f>
        <v/>
      </c>
      <c r="E559" s="22" t="n"/>
      <c r="F559" s="22" t="n"/>
      <c r="G559" s="22" t="n"/>
      <c r="H559" s="22" t="n"/>
      <c r="I559" s="22" t="n"/>
      <c r="J559" s="22" t="n"/>
      <c r="K559" s="22" t="n"/>
      <c r="L559" s="22" t="n"/>
      <c r="M559" s="22">
        <f>IF(K559="Override",L559,IF(K559="Accept suggestion",F559,IF(K559="No change (same URL)",A559,"")))</f>
        <v/>
      </c>
      <c r="N559" s="22">
        <f>IF(A559="","",IF(K559="410 Gone","410",IF(K559="404","404",IF(K559="No change (same URL)","none",IF(M559="","","301")))))</f>
        <v/>
      </c>
      <c r="O559" s="22">
        <f>IF(A559="","",IFERROR(MID(A559,FIND("/",A559,FIND("//",A559)+2),2000),A559))</f>
        <v/>
      </c>
      <c r="P559" s="22">
        <f>IF(OR(O559="",N559="",N559="none",N559="404"),"",IF(N559="410","Redirect gone "&amp;O559,"Redirect "&amp;N559&amp;" "&amp;O559&amp;" "&amp;M559))</f>
        <v/>
      </c>
      <c r="Q559" s="22" t="n"/>
      <c r="R559" s="22" t="n"/>
      <c r="S559" s="22" t="n"/>
      <c r="T559" s="4">
        <f>IF(A559="","",TRIM(IF(K559="","Needs decision; ","")&amp;IF(AND(K559="Accept suggestion",F559=""),"No suggestion to accept; ","")&amp;IF(AND(K559="Override",L559=""),"Override URL missing; ","")&amp;IF(AND(K559="Accept suggestion",N(G559)&lt;$G$2),"Below your threshold; ","")&amp;IF(AND(M559&lt;&gt;"",M559=A559,K559&lt;&gt;"No change (same URL)"),"Redirects to itself; ","")&amp;IF(AND(M559&lt;&gt;"",OR(M559="/",AND(LEFT(M559,4)="http",OR((LEN(M559)-LEN(SUBSTITUTE(M559,"/","")))=2,AND((LEN(M559)-LEN(SUBSTITUTE(M559,"/","")))=3,RIGHT(M559,1)="/"))))),"Home page redirect; ","")&amp;IF(N(R559)&gt;1,"Chain; ","")&amp;IF(S559="No","Destination not 200; ","")))</f>
        <v/>
      </c>
      <c r="U559" s="22" t="n"/>
      <c r="V559" s="22" t="n"/>
      <c r="W559" s="4" t="n"/>
    </row>
    <row r="560">
      <c r="A560" s="22" t="n"/>
      <c r="B560" s="22" t="n"/>
      <c r="C560" s="22" t="n"/>
      <c r="D560" s="22">
        <f>IF(A560="","",IF(OR(N(B560)&gt;=$C$2,N(C560)&gt;=$E$2),"High",IF(OR(N(B560)&gt;0,N(C560)&gt;0),"Medium","Low")))</f>
        <v/>
      </c>
      <c r="E560" s="22" t="n"/>
      <c r="F560" s="22" t="n"/>
      <c r="G560" s="22" t="n"/>
      <c r="H560" s="22" t="n"/>
      <c r="I560" s="22" t="n"/>
      <c r="J560" s="22" t="n"/>
      <c r="K560" s="22" t="n"/>
      <c r="L560" s="22" t="n"/>
      <c r="M560" s="22">
        <f>IF(K560="Override",L560,IF(K560="Accept suggestion",F560,IF(K560="No change (same URL)",A560,"")))</f>
        <v/>
      </c>
      <c r="N560" s="22">
        <f>IF(A560="","",IF(K560="410 Gone","410",IF(K560="404","404",IF(K560="No change (same URL)","none",IF(M560="","","301")))))</f>
        <v/>
      </c>
      <c r="O560" s="22">
        <f>IF(A560="","",IFERROR(MID(A560,FIND("/",A560,FIND("//",A560)+2),2000),A560))</f>
        <v/>
      </c>
      <c r="P560" s="22">
        <f>IF(OR(O560="",N560="",N560="none",N560="404"),"",IF(N560="410","Redirect gone "&amp;O560,"Redirect "&amp;N560&amp;" "&amp;O560&amp;" "&amp;M560))</f>
        <v/>
      </c>
      <c r="Q560" s="22" t="n"/>
      <c r="R560" s="22" t="n"/>
      <c r="S560" s="22" t="n"/>
      <c r="T560" s="4">
        <f>IF(A560="","",TRIM(IF(K560="","Needs decision; ","")&amp;IF(AND(K560="Accept suggestion",F560=""),"No suggestion to accept; ","")&amp;IF(AND(K560="Override",L560=""),"Override URL missing; ","")&amp;IF(AND(K560="Accept suggestion",N(G560)&lt;$G$2),"Below your threshold; ","")&amp;IF(AND(M560&lt;&gt;"",M560=A560,K560&lt;&gt;"No change (same URL)"),"Redirects to itself; ","")&amp;IF(AND(M560&lt;&gt;"",OR(M560="/",AND(LEFT(M560,4)="http",OR((LEN(M560)-LEN(SUBSTITUTE(M560,"/","")))=2,AND((LEN(M560)-LEN(SUBSTITUTE(M560,"/","")))=3,RIGHT(M560,1)="/"))))),"Home page redirect; ","")&amp;IF(N(R560)&gt;1,"Chain; ","")&amp;IF(S560="No","Destination not 200; ","")))</f>
        <v/>
      </c>
      <c r="U560" s="22" t="n"/>
      <c r="V560" s="22" t="n"/>
      <c r="W560" s="4" t="n"/>
    </row>
    <row r="561">
      <c r="A561" s="22" t="n"/>
      <c r="B561" s="22" t="n"/>
      <c r="C561" s="22" t="n"/>
      <c r="D561" s="22">
        <f>IF(A561="","",IF(OR(N(B561)&gt;=$C$2,N(C561)&gt;=$E$2),"High",IF(OR(N(B561)&gt;0,N(C561)&gt;0),"Medium","Low")))</f>
        <v/>
      </c>
      <c r="E561" s="22" t="n"/>
      <c r="F561" s="22" t="n"/>
      <c r="G561" s="22" t="n"/>
      <c r="H561" s="22" t="n"/>
      <c r="I561" s="22" t="n"/>
      <c r="J561" s="22" t="n"/>
      <c r="K561" s="22" t="n"/>
      <c r="L561" s="22" t="n"/>
      <c r="M561" s="22">
        <f>IF(K561="Override",L561,IF(K561="Accept suggestion",F561,IF(K561="No change (same URL)",A561,"")))</f>
        <v/>
      </c>
      <c r="N561" s="22">
        <f>IF(A561="","",IF(K561="410 Gone","410",IF(K561="404","404",IF(K561="No change (same URL)","none",IF(M561="","","301")))))</f>
        <v/>
      </c>
      <c r="O561" s="22">
        <f>IF(A561="","",IFERROR(MID(A561,FIND("/",A561,FIND("//",A561)+2),2000),A561))</f>
        <v/>
      </c>
      <c r="P561" s="22">
        <f>IF(OR(O561="",N561="",N561="none",N561="404"),"",IF(N561="410","Redirect gone "&amp;O561,"Redirect "&amp;N561&amp;" "&amp;O561&amp;" "&amp;M561))</f>
        <v/>
      </c>
      <c r="Q561" s="22" t="n"/>
      <c r="R561" s="22" t="n"/>
      <c r="S561" s="22" t="n"/>
      <c r="T561" s="4">
        <f>IF(A561="","",TRIM(IF(K561="","Needs decision; ","")&amp;IF(AND(K561="Accept suggestion",F561=""),"No suggestion to accept; ","")&amp;IF(AND(K561="Override",L561=""),"Override URL missing; ","")&amp;IF(AND(K561="Accept suggestion",N(G561)&lt;$G$2),"Below your threshold; ","")&amp;IF(AND(M561&lt;&gt;"",M561=A561,K561&lt;&gt;"No change (same URL)"),"Redirects to itself; ","")&amp;IF(AND(M561&lt;&gt;"",OR(M561="/",AND(LEFT(M561,4)="http",OR((LEN(M561)-LEN(SUBSTITUTE(M561,"/","")))=2,AND((LEN(M561)-LEN(SUBSTITUTE(M561,"/","")))=3,RIGHT(M561,1)="/"))))),"Home page redirect; ","")&amp;IF(N(R561)&gt;1,"Chain; ","")&amp;IF(S561="No","Destination not 200; ","")))</f>
        <v/>
      </c>
      <c r="U561" s="22" t="n"/>
      <c r="V561" s="22" t="n"/>
      <c r="W561" s="4" t="n"/>
    </row>
    <row r="562">
      <c r="A562" s="22" t="n"/>
      <c r="B562" s="22" t="n"/>
      <c r="C562" s="22" t="n"/>
      <c r="D562" s="22">
        <f>IF(A562="","",IF(OR(N(B562)&gt;=$C$2,N(C562)&gt;=$E$2),"High",IF(OR(N(B562)&gt;0,N(C562)&gt;0),"Medium","Low")))</f>
        <v/>
      </c>
      <c r="E562" s="22" t="n"/>
      <c r="F562" s="22" t="n"/>
      <c r="G562" s="22" t="n"/>
      <c r="H562" s="22" t="n"/>
      <c r="I562" s="22" t="n"/>
      <c r="J562" s="22" t="n"/>
      <c r="K562" s="22" t="n"/>
      <c r="L562" s="22" t="n"/>
      <c r="M562" s="22">
        <f>IF(K562="Override",L562,IF(K562="Accept suggestion",F562,IF(K562="No change (same URL)",A562,"")))</f>
        <v/>
      </c>
      <c r="N562" s="22">
        <f>IF(A562="","",IF(K562="410 Gone","410",IF(K562="404","404",IF(K562="No change (same URL)","none",IF(M562="","","301")))))</f>
        <v/>
      </c>
      <c r="O562" s="22">
        <f>IF(A562="","",IFERROR(MID(A562,FIND("/",A562,FIND("//",A562)+2),2000),A562))</f>
        <v/>
      </c>
      <c r="P562" s="22">
        <f>IF(OR(O562="",N562="",N562="none",N562="404"),"",IF(N562="410","Redirect gone "&amp;O562,"Redirect "&amp;N562&amp;" "&amp;O562&amp;" "&amp;M562))</f>
        <v/>
      </c>
      <c r="Q562" s="22" t="n"/>
      <c r="R562" s="22" t="n"/>
      <c r="S562" s="22" t="n"/>
      <c r="T562" s="4">
        <f>IF(A562="","",TRIM(IF(K562="","Needs decision; ","")&amp;IF(AND(K562="Accept suggestion",F562=""),"No suggestion to accept; ","")&amp;IF(AND(K562="Override",L562=""),"Override URL missing; ","")&amp;IF(AND(K562="Accept suggestion",N(G562)&lt;$G$2),"Below your threshold; ","")&amp;IF(AND(M562&lt;&gt;"",M562=A562,K562&lt;&gt;"No change (same URL)"),"Redirects to itself; ","")&amp;IF(AND(M562&lt;&gt;"",OR(M562="/",AND(LEFT(M562,4)="http",OR((LEN(M562)-LEN(SUBSTITUTE(M562,"/","")))=2,AND((LEN(M562)-LEN(SUBSTITUTE(M562,"/","")))=3,RIGHT(M562,1)="/"))))),"Home page redirect; ","")&amp;IF(N(R562)&gt;1,"Chain; ","")&amp;IF(S562="No","Destination not 200; ","")))</f>
        <v/>
      </c>
      <c r="U562" s="22" t="n"/>
      <c r="V562" s="22" t="n"/>
      <c r="W562" s="4" t="n"/>
    </row>
    <row r="563">
      <c r="A563" s="22" t="n"/>
      <c r="B563" s="22" t="n"/>
      <c r="C563" s="22" t="n"/>
      <c r="D563" s="22">
        <f>IF(A563="","",IF(OR(N(B563)&gt;=$C$2,N(C563)&gt;=$E$2),"High",IF(OR(N(B563)&gt;0,N(C563)&gt;0),"Medium","Low")))</f>
        <v/>
      </c>
      <c r="E563" s="22" t="n"/>
      <c r="F563" s="22" t="n"/>
      <c r="G563" s="22" t="n"/>
      <c r="H563" s="22" t="n"/>
      <c r="I563" s="22" t="n"/>
      <c r="J563" s="22" t="n"/>
      <c r="K563" s="22" t="n"/>
      <c r="L563" s="22" t="n"/>
      <c r="M563" s="22">
        <f>IF(K563="Override",L563,IF(K563="Accept suggestion",F563,IF(K563="No change (same URL)",A563,"")))</f>
        <v/>
      </c>
      <c r="N563" s="22">
        <f>IF(A563="","",IF(K563="410 Gone","410",IF(K563="404","404",IF(K563="No change (same URL)","none",IF(M563="","","301")))))</f>
        <v/>
      </c>
      <c r="O563" s="22">
        <f>IF(A563="","",IFERROR(MID(A563,FIND("/",A563,FIND("//",A563)+2),2000),A563))</f>
        <v/>
      </c>
      <c r="P563" s="22">
        <f>IF(OR(O563="",N563="",N563="none",N563="404"),"",IF(N563="410","Redirect gone "&amp;O563,"Redirect "&amp;N563&amp;" "&amp;O563&amp;" "&amp;M563))</f>
        <v/>
      </c>
      <c r="Q563" s="22" t="n"/>
      <c r="R563" s="22" t="n"/>
      <c r="S563" s="22" t="n"/>
      <c r="T563" s="4">
        <f>IF(A563="","",TRIM(IF(K563="","Needs decision; ","")&amp;IF(AND(K563="Accept suggestion",F563=""),"No suggestion to accept; ","")&amp;IF(AND(K563="Override",L563=""),"Override URL missing; ","")&amp;IF(AND(K563="Accept suggestion",N(G563)&lt;$G$2),"Below your threshold; ","")&amp;IF(AND(M563&lt;&gt;"",M563=A563,K563&lt;&gt;"No change (same URL)"),"Redirects to itself; ","")&amp;IF(AND(M563&lt;&gt;"",OR(M563="/",AND(LEFT(M563,4)="http",OR((LEN(M563)-LEN(SUBSTITUTE(M563,"/","")))=2,AND((LEN(M563)-LEN(SUBSTITUTE(M563,"/","")))=3,RIGHT(M563,1)="/"))))),"Home page redirect; ","")&amp;IF(N(R563)&gt;1,"Chain; ","")&amp;IF(S563="No","Destination not 200; ","")))</f>
        <v/>
      </c>
      <c r="U563" s="22" t="n"/>
      <c r="V563" s="22" t="n"/>
      <c r="W563" s="4" t="n"/>
    </row>
    <row r="564">
      <c r="A564" s="22" t="n"/>
      <c r="B564" s="22" t="n"/>
      <c r="C564" s="22" t="n"/>
      <c r="D564" s="22">
        <f>IF(A564="","",IF(OR(N(B564)&gt;=$C$2,N(C564)&gt;=$E$2),"High",IF(OR(N(B564)&gt;0,N(C564)&gt;0),"Medium","Low")))</f>
        <v/>
      </c>
      <c r="E564" s="22" t="n"/>
      <c r="F564" s="22" t="n"/>
      <c r="G564" s="22" t="n"/>
      <c r="H564" s="22" t="n"/>
      <c r="I564" s="22" t="n"/>
      <c r="J564" s="22" t="n"/>
      <c r="K564" s="22" t="n"/>
      <c r="L564" s="22" t="n"/>
      <c r="M564" s="22">
        <f>IF(K564="Override",L564,IF(K564="Accept suggestion",F564,IF(K564="No change (same URL)",A564,"")))</f>
        <v/>
      </c>
      <c r="N564" s="22">
        <f>IF(A564="","",IF(K564="410 Gone","410",IF(K564="404","404",IF(K564="No change (same URL)","none",IF(M564="","","301")))))</f>
        <v/>
      </c>
      <c r="O564" s="22">
        <f>IF(A564="","",IFERROR(MID(A564,FIND("/",A564,FIND("//",A564)+2),2000),A564))</f>
        <v/>
      </c>
      <c r="P564" s="22">
        <f>IF(OR(O564="",N564="",N564="none",N564="404"),"",IF(N564="410","Redirect gone "&amp;O564,"Redirect "&amp;N564&amp;" "&amp;O564&amp;" "&amp;M564))</f>
        <v/>
      </c>
      <c r="Q564" s="22" t="n"/>
      <c r="R564" s="22" t="n"/>
      <c r="S564" s="22" t="n"/>
      <c r="T564" s="4">
        <f>IF(A564="","",TRIM(IF(K564="","Needs decision; ","")&amp;IF(AND(K564="Accept suggestion",F564=""),"No suggestion to accept; ","")&amp;IF(AND(K564="Override",L564=""),"Override URL missing; ","")&amp;IF(AND(K564="Accept suggestion",N(G564)&lt;$G$2),"Below your threshold; ","")&amp;IF(AND(M564&lt;&gt;"",M564=A564,K564&lt;&gt;"No change (same URL)"),"Redirects to itself; ","")&amp;IF(AND(M564&lt;&gt;"",OR(M564="/",AND(LEFT(M564,4)="http",OR((LEN(M564)-LEN(SUBSTITUTE(M564,"/","")))=2,AND((LEN(M564)-LEN(SUBSTITUTE(M564,"/","")))=3,RIGHT(M564,1)="/"))))),"Home page redirect; ","")&amp;IF(N(R564)&gt;1,"Chain; ","")&amp;IF(S564="No","Destination not 200; ","")))</f>
        <v/>
      </c>
      <c r="U564" s="22" t="n"/>
      <c r="V564" s="22" t="n"/>
      <c r="W564" s="4" t="n"/>
    </row>
    <row r="565">
      <c r="A565" s="22" t="n"/>
      <c r="B565" s="22" t="n"/>
      <c r="C565" s="22" t="n"/>
      <c r="D565" s="22">
        <f>IF(A565="","",IF(OR(N(B565)&gt;=$C$2,N(C565)&gt;=$E$2),"High",IF(OR(N(B565)&gt;0,N(C565)&gt;0),"Medium","Low")))</f>
        <v/>
      </c>
      <c r="E565" s="22" t="n"/>
      <c r="F565" s="22" t="n"/>
      <c r="G565" s="22" t="n"/>
      <c r="H565" s="22" t="n"/>
      <c r="I565" s="22" t="n"/>
      <c r="J565" s="22" t="n"/>
      <c r="K565" s="22" t="n"/>
      <c r="L565" s="22" t="n"/>
      <c r="M565" s="22">
        <f>IF(K565="Override",L565,IF(K565="Accept suggestion",F565,IF(K565="No change (same URL)",A565,"")))</f>
        <v/>
      </c>
      <c r="N565" s="22">
        <f>IF(A565="","",IF(K565="410 Gone","410",IF(K565="404","404",IF(K565="No change (same URL)","none",IF(M565="","","301")))))</f>
        <v/>
      </c>
      <c r="O565" s="22">
        <f>IF(A565="","",IFERROR(MID(A565,FIND("/",A565,FIND("//",A565)+2),2000),A565))</f>
        <v/>
      </c>
      <c r="P565" s="22">
        <f>IF(OR(O565="",N565="",N565="none",N565="404"),"",IF(N565="410","Redirect gone "&amp;O565,"Redirect "&amp;N565&amp;" "&amp;O565&amp;" "&amp;M565))</f>
        <v/>
      </c>
      <c r="Q565" s="22" t="n"/>
      <c r="R565" s="22" t="n"/>
      <c r="S565" s="22" t="n"/>
      <c r="T565" s="4">
        <f>IF(A565="","",TRIM(IF(K565="","Needs decision; ","")&amp;IF(AND(K565="Accept suggestion",F565=""),"No suggestion to accept; ","")&amp;IF(AND(K565="Override",L565=""),"Override URL missing; ","")&amp;IF(AND(K565="Accept suggestion",N(G565)&lt;$G$2),"Below your threshold; ","")&amp;IF(AND(M565&lt;&gt;"",M565=A565,K565&lt;&gt;"No change (same URL)"),"Redirects to itself; ","")&amp;IF(AND(M565&lt;&gt;"",OR(M565="/",AND(LEFT(M565,4)="http",OR((LEN(M565)-LEN(SUBSTITUTE(M565,"/","")))=2,AND((LEN(M565)-LEN(SUBSTITUTE(M565,"/","")))=3,RIGHT(M565,1)="/"))))),"Home page redirect; ","")&amp;IF(N(R565)&gt;1,"Chain; ","")&amp;IF(S565="No","Destination not 200; ","")))</f>
        <v/>
      </c>
      <c r="U565" s="22" t="n"/>
      <c r="V565" s="22" t="n"/>
      <c r="W565" s="4" t="n"/>
    </row>
    <row r="566">
      <c r="A566" s="22" t="n"/>
      <c r="B566" s="22" t="n"/>
      <c r="C566" s="22" t="n"/>
      <c r="D566" s="22">
        <f>IF(A566="","",IF(OR(N(B566)&gt;=$C$2,N(C566)&gt;=$E$2),"High",IF(OR(N(B566)&gt;0,N(C566)&gt;0),"Medium","Low")))</f>
        <v/>
      </c>
      <c r="E566" s="22" t="n"/>
      <c r="F566" s="22" t="n"/>
      <c r="G566" s="22" t="n"/>
      <c r="H566" s="22" t="n"/>
      <c r="I566" s="22" t="n"/>
      <c r="J566" s="22" t="n"/>
      <c r="K566" s="22" t="n"/>
      <c r="L566" s="22" t="n"/>
      <c r="M566" s="22">
        <f>IF(K566="Override",L566,IF(K566="Accept suggestion",F566,IF(K566="No change (same URL)",A566,"")))</f>
        <v/>
      </c>
      <c r="N566" s="22">
        <f>IF(A566="","",IF(K566="410 Gone","410",IF(K566="404","404",IF(K566="No change (same URL)","none",IF(M566="","","301")))))</f>
        <v/>
      </c>
      <c r="O566" s="22">
        <f>IF(A566="","",IFERROR(MID(A566,FIND("/",A566,FIND("//",A566)+2),2000),A566))</f>
        <v/>
      </c>
      <c r="P566" s="22">
        <f>IF(OR(O566="",N566="",N566="none",N566="404"),"",IF(N566="410","Redirect gone "&amp;O566,"Redirect "&amp;N566&amp;" "&amp;O566&amp;" "&amp;M566))</f>
        <v/>
      </c>
      <c r="Q566" s="22" t="n"/>
      <c r="R566" s="22" t="n"/>
      <c r="S566" s="22" t="n"/>
      <c r="T566" s="4">
        <f>IF(A566="","",TRIM(IF(K566="","Needs decision; ","")&amp;IF(AND(K566="Accept suggestion",F566=""),"No suggestion to accept; ","")&amp;IF(AND(K566="Override",L566=""),"Override URL missing; ","")&amp;IF(AND(K566="Accept suggestion",N(G566)&lt;$G$2),"Below your threshold; ","")&amp;IF(AND(M566&lt;&gt;"",M566=A566,K566&lt;&gt;"No change (same URL)"),"Redirects to itself; ","")&amp;IF(AND(M566&lt;&gt;"",OR(M566="/",AND(LEFT(M566,4)="http",OR((LEN(M566)-LEN(SUBSTITUTE(M566,"/","")))=2,AND((LEN(M566)-LEN(SUBSTITUTE(M566,"/","")))=3,RIGHT(M566,1)="/"))))),"Home page redirect; ","")&amp;IF(N(R566)&gt;1,"Chain; ","")&amp;IF(S566="No","Destination not 200; ","")))</f>
        <v/>
      </c>
      <c r="U566" s="22" t="n"/>
      <c r="V566" s="22" t="n"/>
      <c r="W566" s="4" t="n"/>
    </row>
    <row r="567">
      <c r="A567" s="22" t="n"/>
      <c r="B567" s="22" t="n"/>
      <c r="C567" s="22" t="n"/>
      <c r="D567" s="22">
        <f>IF(A567="","",IF(OR(N(B567)&gt;=$C$2,N(C567)&gt;=$E$2),"High",IF(OR(N(B567)&gt;0,N(C567)&gt;0),"Medium","Low")))</f>
        <v/>
      </c>
      <c r="E567" s="22" t="n"/>
      <c r="F567" s="22" t="n"/>
      <c r="G567" s="22" t="n"/>
      <c r="H567" s="22" t="n"/>
      <c r="I567" s="22" t="n"/>
      <c r="J567" s="22" t="n"/>
      <c r="K567" s="22" t="n"/>
      <c r="L567" s="22" t="n"/>
      <c r="M567" s="22">
        <f>IF(K567="Override",L567,IF(K567="Accept suggestion",F567,IF(K567="No change (same URL)",A567,"")))</f>
        <v/>
      </c>
      <c r="N567" s="22">
        <f>IF(A567="","",IF(K567="410 Gone","410",IF(K567="404","404",IF(K567="No change (same URL)","none",IF(M567="","","301")))))</f>
        <v/>
      </c>
      <c r="O567" s="22">
        <f>IF(A567="","",IFERROR(MID(A567,FIND("/",A567,FIND("//",A567)+2),2000),A567))</f>
        <v/>
      </c>
      <c r="P567" s="22">
        <f>IF(OR(O567="",N567="",N567="none",N567="404"),"",IF(N567="410","Redirect gone "&amp;O567,"Redirect "&amp;N567&amp;" "&amp;O567&amp;" "&amp;M567))</f>
        <v/>
      </c>
      <c r="Q567" s="22" t="n"/>
      <c r="R567" s="22" t="n"/>
      <c r="S567" s="22" t="n"/>
      <c r="T567" s="4">
        <f>IF(A567="","",TRIM(IF(K567="","Needs decision; ","")&amp;IF(AND(K567="Accept suggestion",F567=""),"No suggestion to accept; ","")&amp;IF(AND(K567="Override",L567=""),"Override URL missing; ","")&amp;IF(AND(K567="Accept suggestion",N(G567)&lt;$G$2),"Below your threshold; ","")&amp;IF(AND(M567&lt;&gt;"",M567=A567,K567&lt;&gt;"No change (same URL)"),"Redirects to itself; ","")&amp;IF(AND(M567&lt;&gt;"",OR(M567="/",AND(LEFT(M567,4)="http",OR((LEN(M567)-LEN(SUBSTITUTE(M567,"/","")))=2,AND((LEN(M567)-LEN(SUBSTITUTE(M567,"/","")))=3,RIGHT(M567,1)="/"))))),"Home page redirect; ","")&amp;IF(N(R567)&gt;1,"Chain; ","")&amp;IF(S567="No","Destination not 200; ","")))</f>
        <v/>
      </c>
      <c r="U567" s="22" t="n"/>
      <c r="V567" s="22" t="n"/>
      <c r="W567" s="4" t="n"/>
    </row>
    <row r="568">
      <c r="A568" s="22" t="n"/>
      <c r="B568" s="22" t="n"/>
      <c r="C568" s="22" t="n"/>
      <c r="D568" s="22">
        <f>IF(A568="","",IF(OR(N(B568)&gt;=$C$2,N(C568)&gt;=$E$2),"High",IF(OR(N(B568)&gt;0,N(C568)&gt;0),"Medium","Low")))</f>
        <v/>
      </c>
      <c r="E568" s="22" t="n"/>
      <c r="F568" s="22" t="n"/>
      <c r="G568" s="22" t="n"/>
      <c r="H568" s="22" t="n"/>
      <c r="I568" s="22" t="n"/>
      <c r="J568" s="22" t="n"/>
      <c r="K568" s="22" t="n"/>
      <c r="L568" s="22" t="n"/>
      <c r="M568" s="22">
        <f>IF(K568="Override",L568,IF(K568="Accept suggestion",F568,IF(K568="No change (same URL)",A568,"")))</f>
        <v/>
      </c>
      <c r="N568" s="22">
        <f>IF(A568="","",IF(K568="410 Gone","410",IF(K568="404","404",IF(K568="No change (same URL)","none",IF(M568="","","301")))))</f>
        <v/>
      </c>
      <c r="O568" s="22">
        <f>IF(A568="","",IFERROR(MID(A568,FIND("/",A568,FIND("//",A568)+2),2000),A568))</f>
        <v/>
      </c>
      <c r="P568" s="22">
        <f>IF(OR(O568="",N568="",N568="none",N568="404"),"",IF(N568="410","Redirect gone "&amp;O568,"Redirect "&amp;N568&amp;" "&amp;O568&amp;" "&amp;M568))</f>
        <v/>
      </c>
      <c r="Q568" s="22" t="n"/>
      <c r="R568" s="22" t="n"/>
      <c r="S568" s="22" t="n"/>
      <c r="T568" s="4">
        <f>IF(A568="","",TRIM(IF(K568="","Needs decision; ","")&amp;IF(AND(K568="Accept suggestion",F568=""),"No suggestion to accept; ","")&amp;IF(AND(K568="Override",L568=""),"Override URL missing; ","")&amp;IF(AND(K568="Accept suggestion",N(G568)&lt;$G$2),"Below your threshold; ","")&amp;IF(AND(M568&lt;&gt;"",M568=A568,K568&lt;&gt;"No change (same URL)"),"Redirects to itself; ","")&amp;IF(AND(M568&lt;&gt;"",OR(M568="/",AND(LEFT(M568,4)="http",OR((LEN(M568)-LEN(SUBSTITUTE(M568,"/","")))=2,AND((LEN(M568)-LEN(SUBSTITUTE(M568,"/","")))=3,RIGHT(M568,1)="/"))))),"Home page redirect; ","")&amp;IF(N(R568)&gt;1,"Chain; ","")&amp;IF(S568="No","Destination not 200; ","")))</f>
        <v/>
      </c>
      <c r="U568" s="22" t="n"/>
      <c r="V568" s="22" t="n"/>
      <c r="W568" s="4" t="n"/>
    </row>
    <row r="569">
      <c r="A569" s="22" t="n"/>
      <c r="B569" s="22" t="n"/>
      <c r="C569" s="22" t="n"/>
      <c r="D569" s="22">
        <f>IF(A569="","",IF(OR(N(B569)&gt;=$C$2,N(C569)&gt;=$E$2),"High",IF(OR(N(B569)&gt;0,N(C569)&gt;0),"Medium","Low")))</f>
        <v/>
      </c>
      <c r="E569" s="22" t="n"/>
      <c r="F569" s="22" t="n"/>
      <c r="G569" s="22" t="n"/>
      <c r="H569" s="22" t="n"/>
      <c r="I569" s="22" t="n"/>
      <c r="J569" s="22" t="n"/>
      <c r="K569" s="22" t="n"/>
      <c r="L569" s="22" t="n"/>
      <c r="M569" s="22">
        <f>IF(K569="Override",L569,IF(K569="Accept suggestion",F569,IF(K569="No change (same URL)",A569,"")))</f>
        <v/>
      </c>
      <c r="N569" s="22">
        <f>IF(A569="","",IF(K569="410 Gone","410",IF(K569="404","404",IF(K569="No change (same URL)","none",IF(M569="","","301")))))</f>
        <v/>
      </c>
      <c r="O569" s="22">
        <f>IF(A569="","",IFERROR(MID(A569,FIND("/",A569,FIND("//",A569)+2),2000),A569))</f>
        <v/>
      </c>
      <c r="P569" s="22">
        <f>IF(OR(O569="",N569="",N569="none",N569="404"),"",IF(N569="410","Redirect gone "&amp;O569,"Redirect "&amp;N569&amp;" "&amp;O569&amp;" "&amp;M569))</f>
        <v/>
      </c>
      <c r="Q569" s="22" t="n"/>
      <c r="R569" s="22" t="n"/>
      <c r="S569" s="22" t="n"/>
      <c r="T569" s="4">
        <f>IF(A569="","",TRIM(IF(K569="","Needs decision; ","")&amp;IF(AND(K569="Accept suggestion",F569=""),"No suggestion to accept; ","")&amp;IF(AND(K569="Override",L569=""),"Override URL missing; ","")&amp;IF(AND(K569="Accept suggestion",N(G569)&lt;$G$2),"Below your threshold; ","")&amp;IF(AND(M569&lt;&gt;"",M569=A569,K569&lt;&gt;"No change (same URL)"),"Redirects to itself; ","")&amp;IF(AND(M569&lt;&gt;"",OR(M569="/",AND(LEFT(M569,4)="http",OR((LEN(M569)-LEN(SUBSTITUTE(M569,"/","")))=2,AND((LEN(M569)-LEN(SUBSTITUTE(M569,"/","")))=3,RIGHT(M569,1)="/"))))),"Home page redirect; ","")&amp;IF(N(R569)&gt;1,"Chain; ","")&amp;IF(S569="No","Destination not 200; ","")))</f>
        <v/>
      </c>
      <c r="U569" s="22" t="n"/>
      <c r="V569" s="22" t="n"/>
      <c r="W569" s="4" t="n"/>
    </row>
    <row r="570">
      <c r="A570" s="22" t="n"/>
      <c r="B570" s="22" t="n"/>
      <c r="C570" s="22" t="n"/>
      <c r="D570" s="22">
        <f>IF(A570="","",IF(OR(N(B570)&gt;=$C$2,N(C570)&gt;=$E$2),"High",IF(OR(N(B570)&gt;0,N(C570)&gt;0),"Medium","Low")))</f>
        <v/>
      </c>
      <c r="E570" s="22" t="n"/>
      <c r="F570" s="22" t="n"/>
      <c r="G570" s="22" t="n"/>
      <c r="H570" s="22" t="n"/>
      <c r="I570" s="22" t="n"/>
      <c r="J570" s="22" t="n"/>
      <c r="K570" s="22" t="n"/>
      <c r="L570" s="22" t="n"/>
      <c r="M570" s="22">
        <f>IF(K570="Override",L570,IF(K570="Accept suggestion",F570,IF(K570="No change (same URL)",A570,"")))</f>
        <v/>
      </c>
      <c r="N570" s="22">
        <f>IF(A570="","",IF(K570="410 Gone","410",IF(K570="404","404",IF(K570="No change (same URL)","none",IF(M570="","","301")))))</f>
        <v/>
      </c>
      <c r="O570" s="22">
        <f>IF(A570="","",IFERROR(MID(A570,FIND("/",A570,FIND("//",A570)+2),2000),A570))</f>
        <v/>
      </c>
      <c r="P570" s="22">
        <f>IF(OR(O570="",N570="",N570="none",N570="404"),"",IF(N570="410","Redirect gone "&amp;O570,"Redirect "&amp;N570&amp;" "&amp;O570&amp;" "&amp;M570))</f>
        <v/>
      </c>
      <c r="Q570" s="22" t="n"/>
      <c r="R570" s="22" t="n"/>
      <c r="S570" s="22" t="n"/>
      <c r="T570" s="4">
        <f>IF(A570="","",TRIM(IF(K570="","Needs decision; ","")&amp;IF(AND(K570="Accept suggestion",F570=""),"No suggestion to accept; ","")&amp;IF(AND(K570="Override",L570=""),"Override URL missing; ","")&amp;IF(AND(K570="Accept suggestion",N(G570)&lt;$G$2),"Below your threshold; ","")&amp;IF(AND(M570&lt;&gt;"",M570=A570,K570&lt;&gt;"No change (same URL)"),"Redirects to itself; ","")&amp;IF(AND(M570&lt;&gt;"",OR(M570="/",AND(LEFT(M570,4)="http",OR((LEN(M570)-LEN(SUBSTITUTE(M570,"/","")))=2,AND((LEN(M570)-LEN(SUBSTITUTE(M570,"/","")))=3,RIGHT(M570,1)="/"))))),"Home page redirect; ","")&amp;IF(N(R570)&gt;1,"Chain; ","")&amp;IF(S570="No","Destination not 200; ","")))</f>
        <v/>
      </c>
      <c r="U570" s="22" t="n"/>
      <c r="V570" s="22" t="n"/>
      <c r="W570" s="4" t="n"/>
    </row>
    <row r="571">
      <c r="A571" s="22" t="n"/>
      <c r="B571" s="22" t="n"/>
      <c r="C571" s="22" t="n"/>
      <c r="D571" s="22">
        <f>IF(A571="","",IF(OR(N(B571)&gt;=$C$2,N(C571)&gt;=$E$2),"High",IF(OR(N(B571)&gt;0,N(C571)&gt;0),"Medium","Low")))</f>
        <v/>
      </c>
      <c r="E571" s="22" t="n"/>
      <c r="F571" s="22" t="n"/>
      <c r="G571" s="22" t="n"/>
      <c r="H571" s="22" t="n"/>
      <c r="I571" s="22" t="n"/>
      <c r="J571" s="22" t="n"/>
      <c r="K571" s="22" t="n"/>
      <c r="L571" s="22" t="n"/>
      <c r="M571" s="22">
        <f>IF(K571="Override",L571,IF(K571="Accept suggestion",F571,IF(K571="No change (same URL)",A571,"")))</f>
        <v/>
      </c>
      <c r="N571" s="22">
        <f>IF(A571="","",IF(K571="410 Gone","410",IF(K571="404","404",IF(K571="No change (same URL)","none",IF(M571="","","301")))))</f>
        <v/>
      </c>
      <c r="O571" s="22">
        <f>IF(A571="","",IFERROR(MID(A571,FIND("/",A571,FIND("//",A571)+2),2000),A571))</f>
        <v/>
      </c>
      <c r="P571" s="22">
        <f>IF(OR(O571="",N571="",N571="none",N571="404"),"",IF(N571="410","Redirect gone "&amp;O571,"Redirect "&amp;N571&amp;" "&amp;O571&amp;" "&amp;M571))</f>
        <v/>
      </c>
      <c r="Q571" s="22" t="n"/>
      <c r="R571" s="22" t="n"/>
      <c r="S571" s="22" t="n"/>
      <c r="T571" s="4">
        <f>IF(A571="","",TRIM(IF(K571="","Needs decision; ","")&amp;IF(AND(K571="Accept suggestion",F571=""),"No suggestion to accept; ","")&amp;IF(AND(K571="Override",L571=""),"Override URL missing; ","")&amp;IF(AND(K571="Accept suggestion",N(G571)&lt;$G$2),"Below your threshold; ","")&amp;IF(AND(M571&lt;&gt;"",M571=A571,K571&lt;&gt;"No change (same URL)"),"Redirects to itself; ","")&amp;IF(AND(M571&lt;&gt;"",OR(M571="/",AND(LEFT(M571,4)="http",OR((LEN(M571)-LEN(SUBSTITUTE(M571,"/","")))=2,AND((LEN(M571)-LEN(SUBSTITUTE(M571,"/","")))=3,RIGHT(M571,1)="/"))))),"Home page redirect; ","")&amp;IF(N(R571)&gt;1,"Chain; ","")&amp;IF(S571="No","Destination not 200; ","")))</f>
        <v/>
      </c>
      <c r="U571" s="22" t="n"/>
      <c r="V571" s="22" t="n"/>
      <c r="W571" s="4" t="n"/>
    </row>
    <row r="572">
      <c r="A572" s="22" t="n"/>
      <c r="B572" s="22" t="n"/>
      <c r="C572" s="22" t="n"/>
      <c r="D572" s="22">
        <f>IF(A572="","",IF(OR(N(B572)&gt;=$C$2,N(C572)&gt;=$E$2),"High",IF(OR(N(B572)&gt;0,N(C572)&gt;0),"Medium","Low")))</f>
        <v/>
      </c>
      <c r="E572" s="22" t="n"/>
      <c r="F572" s="22" t="n"/>
      <c r="G572" s="22" t="n"/>
      <c r="H572" s="22" t="n"/>
      <c r="I572" s="22" t="n"/>
      <c r="J572" s="22" t="n"/>
      <c r="K572" s="22" t="n"/>
      <c r="L572" s="22" t="n"/>
      <c r="M572" s="22">
        <f>IF(K572="Override",L572,IF(K572="Accept suggestion",F572,IF(K572="No change (same URL)",A572,"")))</f>
        <v/>
      </c>
      <c r="N572" s="22">
        <f>IF(A572="","",IF(K572="410 Gone","410",IF(K572="404","404",IF(K572="No change (same URL)","none",IF(M572="","","301")))))</f>
        <v/>
      </c>
      <c r="O572" s="22">
        <f>IF(A572="","",IFERROR(MID(A572,FIND("/",A572,FIND("//",A572)+2),2000),A572))</f>
        <v/>
      </c>
      <c r="P572" s="22">
        <f>IF(OR(O572="",N572="",N572="none",N572="404"),"",IF(N572="410","Redirect gone "&amp;O572,"Redirect "&amp;N572&amp;" "&amp;O572&amp;" "&amp;M572))</f>
        <v/>
      </c>
      <c r="Q572" s="22" t="n"/>
      <c r="R572" s="22" t="n"/>
      <c r="S572" s="22" t="n"/>
      <c r="T572" s="4">
        <f>IF(A572="","",TRIM(IF(K572="","Needs decision; ","")&amp;IF(AND(K572="Accept suggestion",F572=""),"No suggestion to accept; ","")&amp;IF(AND(K572="Override",L572=""),"Override URL missing; ","")&amp;IF(AND(K572="Accept suggestion",N(G572)&lt;$G$2),"Below your threshold; ","")&amp;IF(AND(M572&lt;&gt;"",M572=A572,K572&lt;&gt;"No change (same URL)"),"Redirects to itself; ","")&amp;IF(AND(M572&lt;&gt;"",OR(M572="/",AND(LEFT(M572,4)="http",OR((LEN(M572)-LEN(SUBSTITUTE(M572,"/","")))=2,AND((LEN(M572)-LEN(SUBSTITUTE(M572,"/","")))=3,RIGHT(M572,1)="/"))))),"Home page redirect; ","")&amp;IF(N(R572)&gt;1,"Chain; ","")&amp;IF(S572="No","Destination not 200; ","")))</f>
        <v/>
      </c>
      <c r="U572" s="22" t="n"/>
      <c r="V572" s="22" t="n"/>
      <c r="W572" s="4" t="n"/>
    </row>
    <row r="573">
      <c r="A573" s="22" t="n"/>
      <c r="B573" s="22" t="n"/>
      <c r="C573" s="22" t="n"/>
      <c r="D573" s="22">
        <f>IF(A573="","",IF(OR(N(B573)&gt;=$C$2,N(C573)&gt;=$E$2),"High",IF(OR(N(B573)&gt;0,N(C573)&gt;0),"Medium","Low")))</f>
        <v/>
      </c>
      <c r="E573" s="22" t="n"/>
      <c r="F573" s="22" t="n"/>
      <c r="G573" s="22" t="n"/>
      <c r="H573" s="22" t="n"/>
      <c r="I573" s="22" t="n"/>
      <c r="J573" s="22" t="n"/>
      <c r="K573" s="22" t="n"/>
      <c r="L573" s="22" t="n"/>
      <c r="M573" s="22">
        <f>IF(K573="Override",L573,IF(K573="Accept suggestion",F573,IF(K573="No change (same URL)",A573,"")))</f>
        <v/>
      </c>
      <c r="N573" s="22">
        <f>IF(A573="","",IF(K573="410 Gone","410",IF(K573="404","404",IF(K573="No change (same URL)","none",IF(M573="","","301")))))</f>
        <v/>
      </c>
      <c r="O573" s="22">
        <f>IF(A573="","",IFERROR(MID(A573,FIND("/",A573,FIND("//",A573)+2),2000),A573))</f>
        <v/>
      </c>
      <c r="P573" s="22">
        <f>IF(OR(O573="",N573="",N573="none",N573="404"),"",IF(N573="410","Redirect gone "&amp;O573,"Redirect "&amp;N573&amp;" "&amp;O573&amp;" "&amp;M573))</f>
        <v/>
      </c>
      <c r="Q573" s="22" t="n"/>
      <c r="R573" s="22" t="n"/>
      <c r="S573" s="22" t="n"/>
      <c r="T573" s="4">
        <f>IF(A573="","",TRIM(IF(K573="","Needs decision; ","")&amp;IF(AND(K573="Accept suggestion",F573=""),"No suggestion to accept; ","")&amp;IF(AND(K573="Override",L573=""),"Override URL missing; ","")&amp;IF(AND(K573="Accept suggestion",N(G573)&lt;$G$2),"Below your threshold; ","")&amp;IF(AND(M573&lt;&gt;"",M573=A573,K573&lt;&gt;"No change (same URL)"),"Redirects to itself; ","")&amp;IF(AND(M573&lt;&gt;"",OR(M573="/",AND(LEFT(M573,4)="http",OR((LEN(M573)-LEN(SUBSTITUTE(M573,"/","")))=2,AND((LEN(M573)-LEN(SUBSTITUTE(M573,"/","")))=3,RIGHT(M573,1)="/"))))),"Home page redirect; ","")&amp;IF(N(R573)&gt;1,"Chain; ","")&amp;IF(S573="No","Destination not 200; ","")))</f>
        <v/>
      </c>
      <c r="U573" s="22" t="n"/>
      <c r="V573" s="22" t="n"/>
      <c r="W573" s="4" t="n"/>
    </row>
    <row r="574">
      <c r="A574" s="22" t="n"/>
      <c r="B574" s="22" t="n"/>
      <c r="C574" s="22" t="n"/>
      <c r="D574" s="22">
        <f>IF(A574="","",IF(OR(N(B574)&gt;=$C$2,N(C574)&gt;=$E$2),"High",IF(OR(N(B574)&gt;0,N(C574)&gt;0),"Medium","Low")))</f>
        <v/>
      </c>
      <c r="E574" s="22" t="n"/>
      <c r="F574" s="22" t="n"/>
      <c r="G574" s="22" t="n"/>
      <c r="H574" s="22" t="n"/>
      <c r="I574" s="22" t="n"/>
      <c r="J574" s="22" t="n"/>
      <c r="K574" s="22" t="n"/>
      <c r="L574" s="22" t="n"/>
      <c r="M574" s="22">
        <f>IF(K574="Override",L574,IF(K574="Accept suggestion",F574,IF(K574="No change (same URL)",A574,"")))</f>
        <v/>
      </c>
      <c r="N574" s="22">
        <f>IF(A574="","",IF(K574="410 Gone","410",IF(K574="404","404",IF(K574="No change (same URL)","none",IF(M574="","","301")))))</f>
        <v/>
      </c>
      <c r="O574" s="22">
        <f>IF(A574="","",IFERROR(MID(A574,FIND("/",A574,FIND("//",A574)+2),2000),A574))</f>
        <v/>
      </c>
      <c r="P574" s="22">
        <f>IF(OR(O574="",N574="",N574="none",N574="404"),"",IF(N574="410","Redirect gone "&amp;O574,"Redirect "&amp;N574&amp;" "&amp;O574&amp;" "&amp;M574))</f>
        <v/>
      </c>
      <c r="Q574" s="22" t="n"/>
      <c r="R574" s="22" t="n"/>
      <c r="S574" s="22" t="n"/>
      <c r="T574" s="4">
        <f>IF(A574="","",TRIM(IF(K574="","Needs decision; ","")&amp;IF(AND(K574="Accept suggestion",F574=""),"No suggestion to accept; ","")&amp;IF(AND(K574="Override",L574=""),"Override URL missing; ","")&amp;IF(AND(K574="Accept suggestion",N(G574)&lt;$G$2),"Below your threshold; ","")&amp;IF(AND(M574&lt;&gt;"",M574=A574,K574&lt;&gt;"No change (same URL)"),"Redirects to itself; ","")&amp;IF(AND(M574&lt;&gt;"",OR(M574="/",AND(LEFT(M574,4)="http",OR((LEN(M574)-LEN(SUBSTITUTE(M574,"/","")))=2,AND((LEN(M574)-LEN(SUBSTITUTE(M574,"/","")))=3,RIGHT(M574,1)="/"))))),"Home page redirect; ","")&amp;IF(N(R574)&gt;1,"Chain; ","")&amp;IF(S574="No","Destination not 200; ","")))</f>
        <v/>
      </c>
      <c r="U574" s="22" t="n"/>
      <c r="V574" s="22" t="n"/>
      <c r="W574" s="4" t="n"/>
    </row>
    <row r="575">
      <c r="A575" s="22" t="n"/>
      <c r="B575" s="22" t="n"/>
      <c r="C575" s="22" t="n"/>
      <c r="D575" s="22">
        <f>IF(A575="","",IF(OR(N(B575)&gt;=$C$2,N(C575)&gt;=$E$2),"High",IF(OR(N(B575)&gt;0,N(C575)&gt;0),"Medium","Low")))</f>
        <v/>
      </c>
      <c r="E575" s="22" t="n"/>
      <c r="F575" s="22" t="n"/>
      <c r="G575" s="22" t="n"/>
      <c r="H575" s="22" t="n"/>
      <c r="I575" s="22" t="n"/>
      <c r="J575" s="22" t="n"/>
      <c r="K575" s="22" t="n"/>
      <c r="L575" s="22" t="n"/>
      <c r="M575" s="22">
        <f>IF(K575="Override",L575,IF(K575="Accept suggestion",F575,IF(K575="No change (same URL)",A575,"")))</f>
        <v/>
      </c>
      <c r="N575" s="22">
        <f>IF(A575="","",IF(K575="410 Gone","410",IF(K575="404","404",IF(K575="No change (same URL)","none",IF(M575="","","301")))))</f>
        <v/>
      </c>
      <c r="O575" s="22">
        <f>IF(A575="","",IFERROR(MID(A575,FIND("/",A575,FIND("//",A575)+2),2000),A575))</f>
        <v/>
      </c>
      <c r="P575" s="22">
        <f>IF(OR(O575="",N575="",N575="none",N575="404"),"",IF(N575="410","Redirect gone "&amp;O575,"Redirect "&amp;N575&amp;" "&amp;O575&amp;" "&amp;M575))</f>
        <v/>
      </c>
      <c r="Q575" s="22" t="n"/>
      <c r="R575" s="22" t="n"/>
      <c r="S575" s="22" t="n"/>
      <c r="T575" s="4">
        <f>IF(A575="","",TRIM(IF(K575="","Needs decision; ","")&amp;IF(AND(K575="Accept suggestion",F575=""),"No suggestion to accept; ","")&amp;IF(AND(K575="Override",L575=""),"Override URL missing; ","")&amp;IF(AND(K575="Accept suggestion",N(G575)&lt;$G$2),"Below your threshold; ","")&amp;IF(AND(M575&lt;&gt;"",M575=A575,K575&lt;&gt;"No change (same URL)"),"Redirects to itself; ","")&amp;IF(AND(M575&lt;&gt;"",OR(M575="/",AND(LEFT(M575,4)="http",OR((LEN(M575)-LEN(SUBSTITUTE(M575,"/","")))=2,AND((LEN(M575)-LEN(SUBSTITUTE(M575,"/","")))=3,RIGHT(M575,1)="/"))))),"Home page redirect; ","")&amp;IF(N(R575)&gt;1,"Chain; ","")&amp;IF(S575="No","Destination not 200; ","")))</f>
        <v/>
      </c>
      <c r="U575" s="22" t="n"/>
      <c r="V575" s="22" t="n"/>
      <c r="W575" s="4" t="n"/>
    </row>
    <row r="576">
      <c r="A576" s="22" t="n"/>
      <c r="B576" s="22" t="n"/>
      <c r="C576" s="22" t="n"/>
      <c r="D576" s="22">
        <f>IF(A576="","",IF(OR(N(B576)&gt;=$C$2,N(C576)&gt;=$E$2),"High",IF(OR(N(B576)&gt;0,N(C576)&gt;0),"Medium","Low")))</f>
        <v/>
      </c>
      <c r="E576" s="22" t="n"/>
      <c r="F576" s="22" t="n"/>
      <c r="G576" s="22" t="n"/>
      <c r="H576" s="22" t="n"/>
      <c r="I576" s="22" t="n"/>
      <c r="J576" s="22" t="n"/>
      <c r="K576" s="22" t="n"/>
      <c r="L576" s="22" t="n"/>
      <c r="M576" s="22">
        <f>IF(K576="Override",L576,IF(K576="Accept suggestion",F576,IF(K576="No change (same URL)",A576,"")))</f>
        <v/>
      </c>
      <c r="N576" s="22">
        <f>IF(A576="","",IF(K576="410 Gone","410",IF(K576="404","404",IF(K576="No change (same URL)","none",IF(M576="","","301")))))</f>
        <v/>
      </c>
      <c r="O576" s="22">
        <f>IF(A576="","",IFERROR(MID(A576,FIND("/",A576,FIND("//",A576)+2),2000),A576))</f>
        <v/>
      </c>
      <c r="P576" s="22">
        <f>IF(OR(O576="",N576="",N576="none",N576="404"),"",IF(N576="410","Redirect gone "&amp;O576,"Redirect "&amp;N576&amp;" "&amp;O576&amp;" "&amp;M576))</f>
        <v/>
      </c>
      <c r="Q576" s="22" t="n"/>
      <c r="R576" s="22" t="n"/>
      <c r="S576" s="22" t="n"/>
      <c r="T576" s="4">
        <f>IF(A576="","",TRIM(IF(K576="","Needs decision; ","")&amp;IF(AND(K576="Accept suggestion",F576=""),"No suggestion to accept; ","")&amp;IF(AND(K576="Override",L576=""),"Override URL missing; ","")&amp;IF(AND(K576="Accept suggestion",N(G576)&lt;$G$2),"Below your threshold; ","")&amp;IF(AND(M576&lt;&gt;"",M576=A576,K576&lt;&gt;"No change (same URL)"),"Redirects to itself; ","")&amp;IF(AND(M576&lt;&gt;"",OR(M576="/",AND(LEFT(M576,4)="http",OR((LEN(M576)-LEN(SUBSTITUTE(M576,"/","")))=2,AND((LEN(M576)-LEN(SUBSTITUTE(M576,"/","")))=3,RIGHT(M576,1)="/"))))),"Home page redirect; ","")&amp;IF(N(R576)&gt;1,"Chain; ","")&amp;IF(S576="No","Destination not 200; ","")))</f>
        <v/>
      </c>
      <c r="U576" s="22" t="n"/>
      <c r="V576" s="22" t="n"/>
      <c r="W576" s="4" t="n"/>
    </row>
    <row r="577">
      <c r="A577" s="22" t="n"/>
      <c r="B577" s="22" t="n"/>
      <c r="C577" s="22" t="n"/>
      <c r="D577" s="22">
        <f>IF(A577="","",IF(OR(N(B577)&gt;=$C$2,N(C577)&gt;=$E$2),"High",IF(OR(N(B577)&gt;0,N(C577)&gt;0),"Medium","Low")))</f>
        <v/>
      </c>
      <c r="E577" s="22" t="n"/>
      <c r="F577" s="22" t="n"/>
      <c r="G577" s="22" t="n"/>
      <c r="H577" s="22" t="n"/>
      <c r="I577" s="22" t="n"/>
      <c r="J577" s="22" t="n"/>
      <c r="K577" s="22" t="n"/>
      <c r="L577" s="22" t="n"/>
      <c r="M577" s="22">
        <f>IF(K577="Override",L577,IF(K577="Accept suggestion",F577,IF(K577="No change (same URL)",A577,"")))</f>
        <v/>
      </c>
      <c r="N577" s="22">
        <f>IF(A577="","",IF(K577="410 Gone","410",IF(K577="404","404",IF(K577="No change (same URL)","none",IF(M577="","","301")))))</f>
        <v/>
      </c>
      <c r="O577" s="22">
        <f>IF(A577="","",IFERROR(MID(A577,FIND("/",A577,FIND("//",A577)+2),2000),A577))</f>
        <v/>
      </c>
      <c r="P577" s="22">
        <f>IF(OR(O577="",N577="",N577="none",N577="404"),"",IF(N577="410","Redirect gone "&amp;O577,"Redirect "&amp;N577&amp;" "&amp;O577&amp;" "&amp;M577))</f>
        <v/>
      </c>
      <c r="Q577" s="22" t="n"/>
      <c r="R577" s="22" t="n"/>
      <c r="S577" s="22" t="n"/>
      <c r="T577" s="4">
        <f>IF(A577="","",TRIM(IF(K577="","Needs decision; ","")&amp;IF(AND(K577="Accept suggestion",F577=""),"No suggestion to accept; ","")&amp;IF(AND(K577="Override",L577=""),"Override URL missing; ","")&amp;IF(AND(K577="Accept suggestion",N(G577)&lt;$G$2),"Below your threshold; ","")&amp;IF(AND(M577&lt;&gt;"",M577=A577,K577&lt;&gt;"No change (same URL)"),"Redirects to itself; ","")&amp;IF(AND(M577&lt;&gt;"",OR(M577="/",AND(LEFT(M577,4)="http",OR((LEN(M577)-LEN(SUBSTITUTE(M577,"/","")))=2,AND((LEN(M577)-LEN(SUBSTITUTE(M577,"/","")))=3,RIGHT(M577,1)="/"))))),"Home page redirect; ","")&amp;IF(N(R577)&gt;1,"Chain; ","")&amp;IF(S577="No","Destination not 200; ","")))</f>
        <v/>
      </c>
      <c r="U577" s="22" t="n"/>
      <c r="V577" s="22" t="n"/>
      <c r="W577" s="4" t="n"/>
    </row>
    <row r="578">
      <c r="A578" s="22" t="n"/>
      <c r="B578" s="22" t="n"/>
      <c r="C578" s="22" t="n"/>
      <c r="D578" s="22">
        <f>IF(A578="","",IF(OR(N(B578)&gt;=$C$2,N(C578)&gt;=$E$2),"High",IF(OR(N(B578)&gt;0,N(C578)&gt;0),"Medium","Low")))</f>
        <v/>
      </c>
      <c r="E578" s="22" t="n"/>
      <c r="F578" s="22" t="n"/>
      <c r="G578" s="22" t="n"/>
      <c r="H578" s="22" t="n"/>
      <c r="I578" s="22" t="n"/>
      <c r="J578" s="22" t="n"/>
      <c r="K578" s="22" t="n"/>
      <c r="L578" s="22" t="n"/>
      <c r="M578" s="22">
        <f>IF(K578="Override",L578,IF(K578="Accept suggestion",F578,IF(K578="No change (same URL)",A578,"")))</f>
        <v/>
      </c>
      <c r="N578" s="22">
        <f>IF(A578="","",IF(K578="410 Gone","410",IF(K578="404","404",IF(K578="No change (same URL)","none",IF(M578="","","301")))))</f>
        <v/>
      </c>
      <c r="O578" s="22">
        <f>IF(A578="","",IFERROR(MID(A578,FIND("/",A578,FIND("//",A578)+2),2000),A578))</f>
        <v/>
      </c>
      <c r="P578" s="22">
        <f>IF(OR(O578="",N578="",N578="none",N578="404"),"",IF(N578="410","Redirect gone "&amp;O578,"Redirect "&amp;N578&amp;" "&amp;O578&amp;" "&amp;M578))</f>
        <v/>
      </c>
      <c r="Q578" s="22" t="n"/>
      <c r="R578" s="22" t="n"/>
      <c r="S578" s="22" t="n"/>
      <c r="T578" s="4">
        <f>IF(A578="","",TRIM(IF(K578="","Needs decision; ","")&amp;IF(AND(K578="Accept suggestion",F578=""),"No suggestion to accept; ","")&amp;IF(AND(K578="Override",L578=""),"Override URL missing; ","")&amp;IF(AND(K578="Accept suggestion",N(G578)&lt;$G$2),"Below your threshold; ","")&amp;IF(AND(M578&lt;&gt;"",M578=A578,K578&lt;&gt;"No change (same URL)"),"Redirects to itself; ","")&amp;IF(AND(M578&lt;&gt;"",OR(M578="/",AND(LEFT(M578,4)="http",OR((LEN(M578)-LEN(SUBSTITUTE(M578,"/","")))=2,AND((LEN(M578)-LEN(SUBSTITUTE(M578,"/","")))=3,RIGHT(M578,1)="/"))))),"Home page redirect; ","")&amp;IF(N(R578)&gt;1,"Chain; ","")&amp;IF(S578="No","Destination not 200; ","")))</f>
        <v/>
      </c>
      <c r="U578" s="22" t="n"/>
      <c r="V578" s="22" t="n"/>
      <c r="W578" s="4" t="n"/>
    </row>
    <row r="579">
      <c r="A579" s="22" t="n"/>
      <c r="B579" s="22" t="n"/>
      <c r="C579" s="22" t="n"/>
      <c r="D579" s="22">
        <f>IF(A579="","",IF(OR(N(B579)&gt;=$C$2,N(C579)&gt;=$E$2),"High",IF(OR(N(B579)&gt;0,N(C579)&gt;0),"Medium","Low")))</f>
        <v/>
      </c>
      <c r="E579" s="22" t="n"/>
      <c r="F579" s="22" t="n"/>
      <c r="G579" s="22" t="n"/>
      <c r="H579" s="22" t="n"/>
      <c r="I579" s="22" t="n"/>
      <c r="J579" s="22" t="n"/>
      <c r="K579" s="22" t="n"/>
      <c r="L579" s="22" t="n"/>
      <c r="M579" s="22">
        <f>IF(K579="Override",L579,IF(K579="Accept suggestion",F579,IF(K579="No change (same URL)",A579,"")))</f>
        <v/>
      </c>
      <c r="N579" s="22">
        <f>IF(A579="","",IF(K579="410 Gone","410",IF(K579="404","404",IF(K579="No change (same URL)","none",IF(M579="","","301")))))</f>
        <v/>
      </c>
      <c r="O579" s="22">
        <f>IF(A579="","",IFERROR(MID(A579,FIND("/",A579,FIND("//",A579)+2),2000),A579))</f>
        <v/>
      </c>
      <c r="P579" s="22">
        <f>IF(OR(O579="",N579="",N579="none",N579="404"),"",IF(N579="410","Redirect gone "&amp;O579,"Redirect "&amp;N579&amp;" "&amp;O579&amp;" "&amp;M579))</f>
        <v/>
      </c>
      <c r="Q579" s="22" t="n"/>
      <c r="R579" s="22" t="n"/>
      <c r="S579" s="22" t="n"/>
      <c r="T579" s="4">
        <f>IF(A579="","",TRIM(IF(K579="","Needs decision; ","")&amp;IF(AND(K579="Accept suggestion",F579=""),"No suggestion to accept; ","")&amp;IF(AND(K579="Override",L579=""),"Override URL missing; ","")&amp;IF(AND(K579="Accept suggestion",N(G579)&lt;$G$2),"Below your threshold; ","")&amp;IF(AND(M579&lt;&gt;"",M579=A579,K579&lt;&gt;"No change (same URL)"),"Redirects to itself; ","")&amp;IF(AND(M579&lt;&gt;"",OR(M579="/",AND(LEFT(M579,4)="http",OR((LEN(M579)-LEN(SUBSTITUTE(M579,"/","")))=2,AND((LEN(M579)-LEN(SUBSTITUTE(M579,"/","")))=3,RIGHT(M579,1)="/"))))),"Home page redirect; ","")&amp;IF(N(R579)&gt;1,"Chain; ","")&amp;IF(S579="No","Destination not 200; ","")))</f>
        <v/>
      </c>
      <c r="U579" s="22" t="n"/>
      <c r="V579" s="22" t="n"/>
      <c r="W579" s="4" t="n"/>
    </row>
    <row r="580">
      <c r="A580" s="22" t="n"/>
      <c r="B580" s="22" t="n"/>
      <c r="C580" s="22" t="n"/>
      <c r="D580" s="22">
        <f>IF(A580="","",IF(OR(N(B580)&gt;=$C$2,N(C580)&gt;=$E$2),"High",IF(OR(N(B580)&gt;0,N(C580)&gt;0),"Medium","Low")))</f>
        <v/>
      </c>
      <c r="E580" s="22" t="n"/>
      <c r="F580" s="22" t="n"/>
      <c r="G580" s="22" t="n"/>
      <c r="H580" s="22" t="n"/>
      <c r="I580" s="22" t="n"/>
      <c r="J580" s="22" t="n"/>
      <c r="K580" s="22" t="n"/>
      <c r="L580" s="22" t="n"/>
      <c r="M580" s="22">
        <f>IF(K580="Override",L580,IF(K580="Accept suggestion",F580,IF(K580="No change (same URL)",A580,"")))</f>
        <v/>
      </c>
      <c r="N580" s="22">
        <f>IF(A580="","",IF(K580="410 Gone","410",IF(K580="404","404",IF(K580="No change (same URL)","none",IF(M580="","","301")))))</f>
        <v/>
      </c>
      <c r="O580" s="22">
        <f>IF(A580="","",IFERROR(MID(A580,FIND("/",A580,FIND("//",A580)+2),2000),A580))</f>
        <v/>
      </c>
      <c r="P580" s="22">
        <f>IF(OR(O580="",N580="",N580="none",N580="404"),"",IF(N580="410","Redirect gone "&amp;O580,"Redirect "&amp;N580&amp;" "&amp;O580&amp;" "&amp;M580))</f>
        <v/>
      </c>
      <c r="Q580" s="22" t="n"/>
      <c r="R580" s="22" t="n"/>
      <c r="S580" s="22" t="n"/>
      <c r="T580" s="4">
        <f>IF(A580="","",TRIM(IF(K580="","Needs decision; ","")&amp;IF(AND(K580="Accept suggestion",F580=""),"No suggestion to accept; ","")&amp;IF(AND(K580="Override",L580=""),"Override URL missing; ","")&amp;IF(AND(K580="Accept suggestion",N(G580)&lt;$G$2),"Below your threshold; ","")&amp;IF(AND(M580&lt;&gt;"",M580=A580,K580&lt;&gt;"No change (same URL)"),"Redirects to itself; ","")&amp;IF(AND(M580&lt;&gt;"",OR(M580="/",AND(LEFT(M580,4)="http",OR((LEN(M580)-LEN(SUBSTITUTE(M580,"/","")))=2,AND((LEN(M580)-LEN(SUBSTITUTE(M580,"/","")))=3,RIGHT(M580,1)="/"))))),"Home page redirect; ","")&amp;IF(N(R580)&gt;1,"Chain; ","")&amp;IF(S580="No","Destination not 200; ","")))</f>
        <v/>
      </c>
      <c r="U580" s="22" t="n"/>
      <c r="V580" s="22" t="n"/>
      <c r="W580" s="4" t="n"/>
    </row>
    <row r="581">
      <c r="A581" s="22" t="n"/>
      <c r="B581" s="22" t="n"/>
      <c r="C581" s="22" t="n"/>
      <c r="D581" s="22">
        <f>IF(A581="","",IF(OR(N(B581)&gt;=$C$2,N(C581)&gt;=$E$2),"High",IF(OR(N(B581)&gt;0,N(C581)&gt;0),"Medium","Low")))</f>
        <v/>
      </c>
      <c r="E581" s="22" t="n"/>
      <c r="F581" s="22" t="n"/>
      <c r="G581" s="22" t="n"/>
      <c r="H581" s="22" t="n"/>
      <c r="I581" s="22" t="n"/>
      <c r="J581" s="22" t="n"/>
      <c r="K581" s="22" t="n"/>
      <c r="L581" s="22" t="n"/>
      <c r="M581" s="22">
        <f>IF(K581="Override",L581,IF(K581="Accept suggestion",F581,IF(K581="No change (same URL)",A581,"")))</f>
        <v/>
      </c>
      <c r="N581" s="22">
        <f>IF(A581="","",IF(K581="410 Gone","410",IF(K581="404","404",IF(K581="No change (same URL)","none",IF(M581="","","301")))))</f>
        <v/>
      </c>
      <c r="O581" s="22">
        <f>IF(A581="","",IFERROR(MID(A581,FIND("/",A581,FIND("//",A581)+2),2000),A581))</f>
        <v/>
      </c>
      <c r="P581" s="22">
        <f>IF(OR(O581="",N581="",N581="none",N581="404"),"",IF(N581="410","Redirect gone "&amp;O581,"Redirect "&amp;N581&amp;" "&amp;O581&amp;" "&amp;M581))</f>
        <v/>
      </c>
      <c r="Q581" s="22" t="n"/>
      <c r="R581" s="22" t="n"/>
      <c r="S581" s="22" t="n"/>
      <c r="T581" s="4">
        <f>IF(A581="","",TRIM(IF(K581="","Needs decision; ","")&amp;IF(AND(K581="Accept suggestion",F581=""),"No suggestion to accept; ","")&amp;IF(AND(K581="Override",L581=""),"Override URL missing; ","")&amp;IF(AND(K581="Accept suggestion",N(G581)&lt;$G$2),"Below your threshold; ","")&amp;IF(AND(M581&lt;&gt;"",M581=A581,K581&lt;&gt;"No change (same URL)"),"Redirects to itself; ","")&amp;IF(AND(M581&lt;&gt;"",OR(M581="/",AND(LEFT(M581,4)="http",OR((LEN(M581)-LEN(SUBSTITUTE(M581,"/","")))=2,AND((LEN(M581)-LEN(SUBSTITUTE(M581,"/","")))=3,RIGHT(M581,1)="/"))))),"Home page redirect; ","")&amp;IF(N(R581)&gt;1,"Chain; ","")&amp;IF(S581="No","Destination not 200; ","")))</f>
        <v/>
      </c>
      <c r="U581" s="22" t="n"/>
      <c r="V581" s="22" t="n"/>
      <c r="W581" s="4" t="n"/>
    </row>
    <row r="582">
      <c r="A582" s="22" t="n"/>
      <c r="B582" s="22" t="n"/>
      <c r="C582" s="22" t="n"/>
      <c r="D582" s="22">
        <f>IF(A582="","",IF(OR(N(B582)&gt;=$C$2,N(C582)&gt;=$E$2),"High",IF(OR(N(B582)&gt;0,N(C582)&gt;0),"Medium","Low")))</f>
        <v/>
      </c>
      <c r="E582" s="22" t="n"/>
      <c r="F582" s="22" t="n"/>
      <c r="G582" s="22" t="n"/>
      <c r="H582" s="22" t="n"/>
      <c r="I582" s="22" t="n"/>
      <c r="J582" s="22" t="n"/>
      <c r="K582" s="22" t="n"/>
      <c r="L582" s="22" t="n"/>
      <c r="M582" s="22">
        <f>IF(K582="Override",L582,IF(K582="Accept suggestion",F582,IF(K582="No change (same URL)",A582,"")))</f>
        <v/>
      </c>
      <c r="N582" s="22">
        <f>IF(A582="","",IF(K582="410 Gone","410",IF(K582="404","404",IF(K582="No change (same URL)","none",IF(M582="","","301")))))</f>
        <v/>
      </c>
      <c r="O582" s="22">
        <f>IF(A582="","",IFERROR(MID(A582,FIND("/",A582,FIND("//",A582)+2),2000),A582))</f>
        <v/>
      </c>
      <c r="P582" s="22">
        <f>IF(OR(O582="",N582="",N582="none",N582="404"),"",IF(N582="410","Redirect gone "&amp;O582,"Redirect "&amp;N582&amp;" "&amp;O582&amp;" "&amp;M582))</f>
        <v/>
      </c>
      <c r="Q582" s="22" t="n"/>
      <c r="R582" s="22" t="n"/>
      <c r="S582" s="22" t="n"/>
      <c r="T582" s="4">
        <f>IF(A582="","",TRIM(IF(K582="","Needs decision; ","")&amp;IF(AND(K582="Accept suggestion",F582=""),"No suggestion to accept; ","")&amp;IF(AND(K582="Override",L582=""),"Override URL missing; ","")&amp;IF(AND(K582="Accept suggestion",N(G582)&lt;$G$2),"Below your threshold; ","")&amp;IF(AND(M582&lt;&gt;"",M582=A582,K582&lt;&gt;"No change (same URL)"),"Redirects to itself; ","")&amp;IF(AND(M582&lt;&gt;"",OR(M582="/",AND(LEFT(M582,4)="http",OR((LEN(M582)-LEN(SUBSTITUTE(M582,"/","")))=2,AND((LEN(M582)-LEN(SUBSTITUTE(M582,"/","")))=3,RIGHT(M582,1)="/"))))),"Home page redirect; ","")&amp;IF(N(R582)&gt;1,"Chain; ","")&amp;IF(S582="No","Destination not 200; ","")))</f>
        <v/>
      </c>
      <c r="U582" s="22" t="n"/>
      <c r="V582" s="22" t="n"/>
      <c r="W582" s="4" t="n"/>
    </row>
    <row r="583">
      <c r="A583" s="22" t="n"/>
      <c r="B583" s="22" t="n"/>
      <c r="C583" s="22" t="n"/>
      <c r="D583" s="22">
        <f>IF(A583="","",IF(OR(N(B583)&gt;=$C$2,N(C583)&gt;=$E$2),"High",IF(OR(N(B583)&gt;0,N(C583)&gt;0),"Medium","Low")))</f>
        <v/>
      </c>
      <c r="E583" s="22" t="n"/>
      <c r="F583" s="22" t="n"/>
      <c r="G583" s="22" t="n"/>
      <c r="H583" s="22" t="n"/>
      <c r="I583" s="22" t="n"/>
      <c r="J583" s="22" t="n"/>
      <c r="K583" s="22" t="n"/>
      <c r="L583" s="22" t="n"/>
      <c r="M583" s="22">
        <f>IF(K583="Override",L583,IF(K583="Accept suggestion",F583,IF(K583="No change (same URL)",A583,"")))</f>
        <v/>
      </c>
      <c r="N583" s="22">
        <f>IF(A583="","",IF(K583="410 Gone","410",IF(K583="404","404",IF(K583="No change (same URL)","none",IF(M583="","","301")))))</f>
        <v/>
      </c>
      <c r="O583" s="22">
        <f>IF(A583="","",IFERROR(MID(A583,FIND("/",A583,FIND("//",A583)+2),2000),A583))</f>
        <v/>
      </c>
      <c r="P583" s="22">
        <f>IF(OR(O583="",N583="",N583="none",N583="404"),"",IF(N583="410","Redirect gone "&amp;O583,"Redirect "&amp;N583&amp;" "&amp;O583&amp;" "&amp;M583))</f>
        <v/>
      </c>
      <c r="Q583" s="22" t="n"/>
      <c r="R583" s="22" t="n"/>
      <c r="S583" s="22" t="n"/>
      <c r="T583" s="4">
        <f>IF(A583="","",TRIM(IF(K583="","Needs decision; ","")&amp;IF(AND(K583="Accept suggestion",F583=""),"No suggestion to accept; ","")&amp;IF(AND(K583="Override",L583=""),"Override URL missing; ","")&amp;IF(AND(K583="Accept suggestion",N(G583)&lt;$G$2),"Below your threshold; ","")&amp;IF(AND(M583&lt;&gt;"",M583=A583,K583&lt;&gt;"No change (same URL)"),"Redirects to itself; ","")&amp;IF(AND(M583&lt;&gt;"",OR(M583="/",AND(LEFT(M583,4)="http",OR((LEN(M583)-LEN(SUBSTITUTE(M583,"/","")))=2,AND((LEN(M583)-LEN(SUBSTITUTE(M583,"/","")))=3,RIGHT(M583,1)="/"))))),"Home page redirect; ","")&amp;IF(N(R583)&gt;1,"Chain; ","")&amp;IF(S583="No","Destination not 200; ","")))</f>
        <v/>
      </c>
      <c r="U583" s="22" t="n"/>
      <c r="V583" s="22" t="n"/>
      <c r="W583" s="4" t="n"/>
    </row>
    <row r="584">
      <c r="A584" s="22" t="n"/>
      <c r="B584" s="22" t="n"/>
      <c r="C584" s="22" t="n"/>
      <c r="D584" s="22">
        <f>IF(A584="","",IF(OR(N(B584)&gt;=$C$2,N(C584)&gt;=$E$2),"High",IF(OR(N(B584)&gt;0,N(C584)&gt;0),"Medium","Low")))</f>
        <v/>
      </c>
      <c r="E584" s="22" t="n"/>
      <c r="F584" s="22" t="n"/>
      <c r="G584" s="22" t="n"/>
      <c r="H584" s="22" t="n"/>
      <c r="I584" s="22" t="n"/>
      <c r="J584" s="22" t="n"/>
      <c r="K584" s="22" t="n"/>
      <c r="L584" s="22" t="n"/>
      <c r="M584" s="22">
        <f>IF(K584="Override",L584,IF(K584="Accept suggestion",F584,IF(K584="No change (same URL)",A584,"")))</f>
        <v/>
      </c>
      <c r="N584" s="22">
        <f>IF(A584="","",IF(K584="410 Gone","410",IF(K584="404","404",IF(K584="No change (same URL)","none",IF(M584="","","301")))))</f>
        <v/>
      </c>
      <c r="O584" s="22">
        <f>IF(A584="","",IFERROR(MID(A584,FIND("/",A584,FIND("//",A584)+2),2000),A584))</f>
        <v/>
      </c>
      <c r="P584" s="22">
        <f>IF(OR(O584="",N584="",N584="none",N584="404"),"",IF(N584="410","Redirect gone "&amp;O584,"Redirect "&amp;N584&amp;" "&amp;O584&amp;" "&amp;M584))</f>
        <v/>
      </c>
      <c r="Q584" s="22" t="n"/>
      <c r="R584" s="22" t="n"/>
      <c r="S584" s="22" t="n"/>
      <c r="T584" s="4">
        <f>IF(A584="","",TRIM(IF(K584="","Needs decision; ","")&amp;IF(AND(K584="Accept suggestion",F584=""),"No suggestion to accept; ","")&amp;IF(AND(K584="Override",L584=""),"Override URL missing; ","")&amp;IF(AND(K584="Accept suggestion",N(G584)&lt;$G$2),"Below your threshold; ","")&amp;IF(AND(M584&lt;&gt;"",M584=A584,K584&lt;&gt;"No change (same URL)"),"Redirects to itself; ","")&amp;IF(AND(M584&lt;&gt;"",OR(M584="/",AND(LEFT(M584,4)="http",OR((LEN(M584)-LEN(SUBSTITUTE(M584,"/","")))=2,AND((LEN(M584)-LEN(SUBSTITUTE(M584,"/","")))=3,RIGHT(M584,1)="/"))))),"Home page redirect; ","")&amp;IF(N(R584)&gt;1,"Chain; ","")&amp;IF(S584="No","Destination not 200; ","")))</f>
        <v/>
      </c>
      <c r="U584" s="22" t="n"/>
      <c r="V584" s="22" t="n"/>
      <c r="W584" s="4" t="n"/>
    </row>
    <row r="585">
      <c r="A585" s="22" t="n"/>
      <c r="B585" s="22" t="n"/>
      <c r="C585" s="22" t="n"/>
      <c r="D585" s="22">
        <f>IF(A585="","",IF(OR(N(B585)&gt;=$C$2,N(C585)&gt;=$E$2),"High",IF(OR(N(B585)&gt;0,N(C585)&gt;0),"Medium","Low")))</f>
        <v/>
      </c>
      <c r="E585" s="22" t="n"/>
      <c r="F585" s="22" t="n"/>
      <c r="G585" s="22" t="n"/>
      <c r="H585" s="22" t="n"/>
      <c r="I585" s="22" t="n"/>
      <c r="J585" s="22" t="n"/>
      <c r="K585" s="22" t="n"/>
      <c r="L585" s="22" t="n"/>
      <c r="M585" s="22">
        <f>IF(K585="Override",L585,IF(K585="Accept suggestion",F585,IF(K585="No change (same URL)",A585,"")))</f>
        <v/>
      </c>
      <c r="N585" s="22">
        <f>IF(A585="","",IF(K585="410 Gone","410",IF(K585="404","404",IF(K585="No change (same URL)","none",IF(M585="","","301")))))</f>
        <v/>
      </c>
      <c r="O585" s="22">
        <f>IF(A585="","",IFERROR(MID(A585,FIND("/",A585,FIND("//",A585)+2),2000),A585))</f>
        <v/>
      </c>
      <c r="P585" s="22">
        <f>IF(OR(O585="",N585="",N585="none",N585="404"),"",IF(N585="410","Redirect gone "&amp;O585,"Redirect "&amp;N585&amp;" "&amp;O585&amp;" "&amp;M585))</f>
        <v/>
      </c>
      <c r="Q585" s="22" t="n"/>
      <c r="R585" s="22" t="n"/>
      <c r="S585" s="22" t="n"/>
      <c r="T585" s="4">
        <f>IF(A585="","",TRIM(IF(K585="","Needs decision; ","")&amp;IF(AND(K585="Accept suggestion",F585=""),"No suggestion to accept; ","")&amp;IF(AND(K585="Override",L585=""),"Override URL missing; ","")&amp;IF(AND(K585="Accept suggestion",N(G585)&lt;$G$2),"Below your threshold; ","")&amp;IF(AND(M585&lt;&gt;"",M585=A585,K585&lt;&gt;"No change (same URL)"),"Redirects to itself; ","")&amp;IF(AND(M585&lt;&gt;"",OR(M585="/",AND(LEFT(M585,4)="http",OR((LEN(M585)-LEN(SUBSTITUTE(M585,"/","")))=2,AND((LEN(M585)-LEN(SUBSTITUTE(M585,"/","")))=3,RIGHT(M585,1)="/"))))),"Home page redirect; ","")&amp;IF(N(R585)&gt;1,"Chain; ","")&amp;IF(S585="No","Destination not 200; ","")))</f>
        <v/>
      </c>
      <c r="U585" s="22" t="n"/>
      <c r="V585" s="22" t="n"/>
      <c r="W585" s="4" t="n"/>
    </row>
    <row r="586">
      <c r="A586" s="22" t="n"/>
      <c r="B586" s="22" t="n"/>
      <c r="C586" s="22" t="n"/>
      <c r="D586" s="22">
        <f>IF(A586="","",IF(OR(N(B586)&gt;=$C$2,N(C586)&gt;=$E$2),"High",IF(OR(N(B586)&gt;0,N(C586)&gt;0),"Medium","Low")))</f>
        <v/>
      </c>
      <c r="E586" s="22" t="n"/>
      <c r="F586" s="22" t="n"/>
      <c r="G586" s="22" t="n"/>
      <c r="H586" s="22" t="n"/>
      <c r="I586" s="22" t="n"/>
      <c r="J586" s="22" t="n"/>
      <c r="K586" s="22" t="n"/>
      <c r="L586" s="22" t="n"/>
      <c r="M586" s="22">
        <f>IF(K586="Override",L586,IF(K586="Accept suggestion",F586,IF(K586="No change (same URL)",A586,"")))</f>
        <v/>
      </c>
      <c r="N586" s="22">
        <f>IF(A586="","",IF(K586="410 Gone","410",IF(K586="404","404",IF(K586="No change (same URL)","none",IF(M586="","","301")))))</f>
        <v/>
      </c>
      <c r="O586" s="22">
        <f>IF(A586="","",IFERROR(MID(A586,FIND("/",A586,FIND("//",A586)+2),2000),A586))</f>
        <v/>
      </c>
      <c r="P586" s="22">
        <f>IF(OR(O586="",N586="",N586="none",N586="404"),"",IF(N586="410","Redirect gone "&amp;O586,"Redirect "&amp;N586&amp;" "&amp;O586&amp;" "&amp;M586))</f>
        <v/>
      </c>
      <c r="Q586" s="22" t="n"/>
      <c r="R586" s="22" t="n"/>
      <c r="S586" s="22" t="n"/>
      <c r="T586" s="4">
        <f>IF(A586="","",TRIM(IF(K586="","Needs decision; ","")&amp;IF(AND(K586="Accept suggestion",F586=""),"No suggestion to accept; ","")&amp;IF(AND(K586="Override",L586=""),"Override URL missing; ","")&amp;IF(AND(K586="Accept suggestion",N(G586)&lt;$G$2),"Below your threshold; ","")&amp;IF(AND(M586&lt;&gt;"",M586=A586,K586&lt;&gt;"No change (same URL)"),"Redirects to itself; ","")&amp;IF(AND(M586&lt;&gt;"",OR(M586="/",AND(LEFT(M586,4)="http",OR((LEN(M586)-LEN(SUBSTITUTE(M586,"/","")))=2,AND((LEN(M586)-LEN(SUBSTITUTE(M586,"/","")))=3,RIGHT(M586,1)="/"))))),"Home page redirect; ","")&amp;IF(N(R586)&gt;1,"Chain; ","")&amp;IF(S586="No","Destination not 200; ","")))</f>
        <v/>
      </c>
      <c r="U586" s="22" t="n"/>
      <c r="V586" s="22" t="n"/>
      <c r="W586" s="4" t="n"/>
    </row>
    <row r="587">
      <c r="A587" s="22" t="n"/>
      <c r="B587" s="22" t="n"/>
      <c r="C587" s="22" t="n"/>
      <c r="D587" s="22">
        <f>IF(A587="","",IF(OR(N(B587)&gt;=$C$2,N(C587)&gt;=$E$2),"High",IF(OR(N(B587)&gt;0,N(C587)&gt;0),"Medium","Low")))</f>
        <v/>
      </c>
      <c r="E587" s="22" t="n"/>
      <c r="F587" s="22" t="n"/>
      <c r="G587" s="22" t="n"/>
      <c r="H587" s="22" t="n"/>
      <c r="I587" s="22" t="n"/>
      <c r="J587" s="22" t="n"/>
      <c r="K587" s="22" t="n"/>
      <c r="L587" s="22" t="n"/>
      <c r="M587" s="22">
        <f>IF(K587="Override",L587,IF(K587="Accept suggestion",F587,IF(K587="No change (same URL)",A587,"")))</f>
        <v/>
      </c>
      <c r="N587" s="22">
        <f>IF(A587="","",IF(K587="410 Gone","410",IF(K587="404","404",IF(K587="No change (same URL)","none",IF(M587="","","301")))))</f>
        <v/>
      </c>
      <c r="O587" s="22">
        <f>IF(A587="","",IFERROR(MID(A587,FIND("/",A587,FIND("//",A587)+2),2000),A587))</f>
        <v/>
      </c>
      <c r="P587" s="22">
        <f>IF(OR(O587="",N587="",N587="none",N587="404"),"",IF(N587="410","Redirect gone "&amp;O587,"Redirect "&amp;N587&amp;" "&amp;O587&amp;" "&amp;M587))</f>
        <v/>
      </c>
      <c r="Q587" s="22" t="n"/>
      <c r="R587" s="22" t="n"/>
      <c r="S587" s="22" t="n"/>
      <c r="T587" s="4">
        <f>IF(A587="","",TRIM(IF(K587="","Needs decision; ","")&amp;IF(AND(K587="Accept suggestion",F587=""),"No suggestion to accept; ","")&amp;IF(AND(K587="Override",L587=""),"Override URL missing; ","")&amp;IF(AND(K587="Accept suggestion",N(G587)&lt;$G$2),"Below your threshold; ","")&amp;IF(AND(M587&lt;&gt;"",M587=A587,K587&lt;&gt;"No change (same URL)"),"Redirects to itself; ","")&amp;IF(AND(M587&lt;&gt;"",OR(M587="/",AND(LEFT(M587,4)="http",OR((LEN(M587)-LEN(SUBSTITUTE(M587,"/","")))=2,AND((LEN(M587)-LEN(SUBSTITUTE(M587,"/","")))=3,RIGHT(M587,1)="/"))))),"Home page redirect; ","")&amp;IF(N(R587)&gt;1,"Chain; ","")&amp;IF(S587="No","Destination not 200; ","")))</f>
        <v/>
      </c>
      <c r="U587" s="22" t="n"/>
      <c r="V587" s="22" t="n"/>
      <c r="W587" s="4" t="n"/>
    </row>
    <row r="588">
      <c r="A588" s="22" t="n"/>
      <c r="B588" s="22" t="n"/>
      <c r="C588" s="22" t="n"/>
      <c r="D588" s="22">
        <f>IF(A588="","",IF(OR(N(B588)&gt;=$C$2,N(C588)&gt;=$E$2),"High",IF(OR(N(B588)&gt;0,N(C588)&gt;0),"Medium","Low")))</f>
        <v/>
      </c>
      <c r="E588" s="22" t="n"/>
      <c r="F588" s="22" t="n"/>
      <c r="G588" s="22" t="n"/>
      <c r="H588" s="22" t="n"/>
      <c r="I588" s="22" t="n"/>
      <c r="J588" s="22" t="n"/>
      <c r="K588" s="22" t="n"/>
      <c r="L588" s="22" t="n"/>
      <c r="M588" s="22">
        <f>IF(K588="Override",L588,IF(K588="Accept suggestion",F588,IF(K588="No change (same URL)",A588,"")))</f>
        <v/>
      </c>
      <c r="N588" s="22">
        <f>IF(A588="","",IF(K588="410 Gone","410",IF(K588="404","404",IF(K588="No change (same URL)","none",IF(M588="","","301")))))</f>
        <v/>
      </c>
      <c r="O588" s="22">
        <f>IF(A588="","",IFERROR(MID(A588,FIND("/",A588,FIND("//",A588)+2),2000),A588))</f>
        <v/>
      </c>
      <c r="P588" s="22">
        <f>IF(OR(O588="",N588="",N588="none",N588="404"),"",IF(N588="410","Redirect gone "&amp;O588,"Redirect "&amp;N588&amp;" "&amp;O588&amp;" "&amp;M588))</f>
        <v/>
      </c>
      <c r="Q588" s="22" t="n"/>
      <c r="R588" s="22" t="n"/>
      <c r="S588" s="22" t="n"/>
      <c r="T588" s="4">
        <f>IF(A588="","",TRIM(IF(K588="","Needs decision; ","")&amp;IF(AND(K588="Accept suggestion",F588=""),"No suggestion to accept; ","")&amp;IF(AND(K588="Override",L588=""),"Override URL missing; ","")&amp;IF(AND(K588="Accept suggestion",N(G588)&lt;$G$2),"Below your threshold; ","")&amp;IF(AND(M588&lt;&gt;"",M588=A588,K588&lt;&gt;"No change (same URL)"),"Redirects to itself; ","")&amp;IF(AND(M588&lt;&gt;"",OR(M588="/",AND(LEFT(M588,4)="http",OR((LEN(M588)-LEN(SUBSTITUTE(M588,"/","")))=2,AND((LEN(M588)-LEN(SUBSTITUTE(M588,"/","")))=3,RIGHT(M588,1)="/"))))),"Home page redirect; ","")&amp;IF(N(R588)&gt;1,"Chain; ","")&amp;IF(S588="No","Destination not 200; ","")))</f>
        <v/>
      </c>
      <c r="U588" s="22" t="n"/>
      <c r="V588" s="22" t="n"/>
      <c r="W588" s="4" t="n"/>
    </row>
    <row r="589">
      <c r="A589" s="22" t="n"/>
      <c r="B589" s="22" t="n"/>
      <c r="C589" s="22" t="n"/>
      <c r="D589" s="22">
        <f>IF(A589="","",IF(OR(N(B589)&gt;=$C$2,N(C589)&gt;=$E$2),"High",IF(OR(N(B589)&gt;0,N(C589)&gt;0),"Medium","Low")))</f>
        <v/>
      </c>
      <c r="E589" s="22" t="n"/>
      <c r="F589" s="22" t="n"/>
      <c r="G589" s="22" t="n"/>
      <c r="H589" s="22" t="n"/>
      <c r="I589" s="22" t="n"/>
      <c r="J589" s="22" t="n"/>
      <c r="K589" s="22" t="n"/>
      <c r="L589" s="22" t="n"/>
      <c r="M589" s="22">
        <f>IF(K589="Override",L589,IF(K589="Accept suggestion",F589,IF(K589="No change (same URL)",A589,"")))</f>
        <v/>
      </c>
      <c r="N589" s="22">
        <f>IF(A589="","",IF(K589="410 Gone","410",IF(K589="404","404",IF(K589="No change (same URL)","none",IF(M589="","","301")))))</f>
        <v/>
      </c>
      <c r="O589" s="22">
        <f>IF(A589="","",IFERROR(MID(A589,FIND("/",A589,FIND("//",A589)+2),2000),A589))</f>
        <v/>
      </c>
      <c r="P589" s="22">
        <f>IF(OR(O589="",N589="",N589="none",N589="404"),"",IF(N589="410","Redirect gone "&amp;O589,"Redirect "&amp;N589&amp;" "&amp;O589&amp;" "&amp;M589))</f>
        <v/>
      </c>
      <c r="Q589" s="22" t="n"/>
      <c r="R589" s="22" t="n"/>
      <c r="S589" s="22" t="n"/>
      <c r="T589" s="4">
        <f>IF(A589="","",TRIM(IF(K589="","Needs decision; ","")&amp;IF(AND(K589="Accept suggestion",F589=""),"No suggestion to accept; ","")&amp;IF(AND(K589="Override",L589=""),"Override URL missing; ","")&amp;IF(AND(K589="Accept suggestion",N(G589)&lt;$G$2),"Below your threshold; ","")&amp;IF(AND(M589&lt;&gt;"",M589=A589,K589&lt;&gt;"No change (same URL)"),"Redirects to itself; ","")&amp;IF(AND(M589&lt;&gt;"",OR(M589="/",AND(LEFT(M589,4)="http",OR((LEN(M589)-LEN(SUBSTITUTE(M589,"/","")))=2,AND((LEN(M589)-LEN(SUBSTITUTE(M589,"/","")))=3,RIGHT(M589,1)="/"))))),"Home page redirect; ","")&amp;IF(N(R589)&gt;1,"Chain; ","")&amp;IF(S589="No","Destination not 200; ","")))</f>
        <v/>
      </c>
      <c r="U589" s="22" t="n"/>
      <c r="V589" s="22" t="n"/>
      <c r="W589" s="4" t="n"/>
    </row>
    <row r="590">
      <c r="A590" s="22" t="n"/>
      <c r="B590" s="22" t="n"/>
      <c r="C590" s="22" t="n"/>
      <c r="D590" s="22">
        <f>IF(A590="","",IF(OR(N(B590)&gt;=$C$2,N(C590)&gt;=$E$2),"High",IF(OR(N(B590)&gt;0,N(C590)&gt;0),"Medium","Low")))</f>
        <v/>
      </c>
      <c r="E590" s="22" t="n"/>
      <c r="F590" s="22" t="n"/>
      <c r="G590" s="22" t="n"/>
      <c r="H590" s="22" t="n"/>
      <c r="I590" s="22" t="n"/>
      <c r="J590" s="22" t="n"/>
      <c r="K590" s="22" t="n"/>
      <c r="L590" s="22" t="n"/>
      <c r="M590" s="22">
        <f>IF(K590="Override",L590,IF(K590="Accept suggestion",F590,IF(K590="No change (same URL)",A590,"")))</f>
        <v/>
      </c>
      <c r="N590" s="22">
        <f>IF(A590="","",IF(K590="410 Gone","410",IF(K590="404","404",IF(K590="No change (same URL)","none",IF(M590="","","301")))))</f>
        <v/>
      </c>
      <c r="O590" s="22">
        <f>IF(A590="","",IFERROR(MID(A590,FIND("/",A590,FIND("//",A590)+2),2000),A590))</f>
        <v/>
      </c>
      <c r="P590" s="22">
        <f>IF(OR(O590="",N590="",N590="none",N590="404"),"",IF(N590="410","Redirect gone "&amp;O590,"Redirect "&amp;N590&amp;" "&amp;O590&amp;" "&amp;M590))</f>
        <v/>
      </c>
      <c r="Q590" s="22" t="n"/>
      <c r="R590" s="22" t="n"/>
      <c r="S590" s="22" t="n"/>
      <c r="T590" s="4">
        <f>IF(A590="","",TRIM(IF(K590="","Needs decision; ","")&amp;IF(AND(K590="Accept suggestion",F590=""),"No suggestion to accept; ","")&amp;IF(AND(K590="Override",L590=""),"Override URL missing; ","")&amp;IF(AND(K590="Accept suggestion",N(G590)&lt;$G$2),"Below your threshold; ","")&amp;IF(AND(M590&lt;&gt;"",M590=A590,K590&lt;&gt;"No change (same URL)"),"Redirects to itself; ","")&amp;IF(AND(M590&lt;&gt;"",OR(M590="/",AND(LEFT(M590,4)="http",OR((LEN(M590)-LEN(SUBSTITUTE(M590,"/","")))=2,AND((LEN(M590)-LEN(SUBSTITUTE(M590,"/","")))=3,RIGHT(M590,1)="/"))))),"Home page redirect; ","")&amp;IF(N(R590)&gt;1,"Chain; ","")&amp;IF(S590="No","Destination not 200; ","")))</f>
        <v/>
      </c>
      <c r="U590" s="22" t="n"/>
      <c r="V590" s="22" t="n"/>
      <c r="W590" s="4" t="n"/>
    </row>
    <row r="591">
      <c r="A591" s="22" t="n"/>
      <c r="B591" s="22" t="n"/>
      <c r="C591" s="22" t="n"/>
      <c r="D591" s="22">
        <f>IF(A591="","",IF(OR(N(B591)&gt;=$C$2,N(C591)&gt;=$E$2),"High",IF(OR(N(B591)&gt;0,N(C591)&gt;0),"Medium","Low")))</f>
        <v/>
      </c>
      <c r="E591" s="22" t="n"/>
      <c r="F591" s="22" t="n"/>
      <c r="G591" s="22" t="n"/>
      <c r="H591" s="22" t="n"/>
      <c r="I591" s="22" t="n"/>
      <c r="J591" s="22" t="n"/>
      <c r="K591" s="22" t="n"/>
      <c r="L591" s="22" t="n"/>
      <c r="M591" s="22">
        <f>IF(K591="Override",L591,IF(K591="Accept suggestion",F591,IF(K591="No change (same URL)",A591,"")))</f>
        <v/>
      </c>
      <c r="N591" s="22">
        <f>IF(A591="","",IF(K591="410 Gone","410",IF(K591="404","404",IF(K591="No change (same URL)","none",IF(M591="","","301")))))</f>
        <v/>
      </c>
      <c r="O591" s="22">
        <f>IF(A591="","",IFERROR(MID(A591,FIND("/",A591,FIND("//",A591)+2),2000),A591))</f>
        <v/>
      </c>
      <c r="P591" s="22">
        <f>IF(OR(O591="",N591="",N591="none",N591="404"),"",IF(N591="410","Redirect gone "&amp;O591,"Redirect "&amp;N591&amp;" "&amp;O591&amp;" "&amp;M591))</f>
        <v/>
      </c>
      <c r="Q591" s="22" t="n"/>
      <c r="R591" s="22" t="n"/>
      <c r="S591" s="22" t="n"/>
      <c r="T591" s="4">
        <f>IF(A591="","",TRIM(IF(K591="","Needs decision; ","")&amp;IF(AND(K591="Accept suggestion",F591=""),"No suggestion to accept; ","")&amp;IF(AND(K591="Override",L591=""),"Override URL missing; ","")&amp;IF(AND(K591="Accept suggestion",N(G591)&lt;$G$2),"Below your threshold; ","")&amp;IF(AND(M591&lt;&gt;"",M591=A591,K591&lt;&gt;"No change (same URL)"),"Redirects to itself; ","")&amp;IF(AND(M591&lt;&gt;"",OR(M591="/",AND(LEFT(M591,4)="http",OR((LEN(M591)-LEN(SUBSTITUTE(M591,"/","")))=2,AND((LEN(M591)-LEN(SUBSTITUTE(M591,"/","")))=3,RIGHT(M591,1)="/"))))),"Home page redirect; ","")&amp;IF(N(R591)&gt;1,"Chain; ","")&amp;IF(S591="No","Destination not 200; ","")))</f>
        <v/>
      </c>
      <c r="U591" s="22" t="n"/>
      <c r="V591" s="22" t="n"/>
      <c r="W591" s="4" t="n"/>
    </row>
    <row r="592">
      <c r="A592" s="22" t="n"/>
      <c r="B592" s="22" t="n"/>
      <c r="C592" s="22" t="n"/>
      <c r="D592" s="22">
        <f>IF(A592="","",IF(OR(N(B592)&gt;=$C$2,N(C592)&gt;=$E$2),"High",IF(OR(N(B592)&gt;0,N(C592)&gt;0),"Medium","Low")))</f>
        <v/>
      </c>
      <c r="E592" s="22" t="n"/>
      <c r="F592" s="22" t="n"/>
      <c r="G592" s="22" t="n"/>
      <c r="H592" s="22" t="n"/>
      <c r="I592" s="22" t="n"/>
      <c r="J592" s="22" t="n"/>
      <c r="K592" s="22" t="n"/>
      <c r="L592" s="22" t="n"/>
      <c r="M592" s="22">
        <f>IF(K592="Override",L592,IF(K592="Accept suggestion",F592,IF(K592="No change (same URL)",A592,"")))</f>
        <v/>
      </c>
      <c r="N592" s="22">
        <f>IF(A592="","",IF(K592="410 Gone","410",IF(K592="404","404",IF(K592="No change (same URL)","none",IF(M592="","","301")))))</f>
        <v/>
      </c>
      <c r="O592" s="22">
        <f>IF(A592="","",IFERROR(MID(A592,FIND("/",A592,FIND("//",A592)+2),2000),A592))</f>
        <v/>
      </c>
      <c r="P592" s="22">
        <f>IF(OR(O592="",N592="",N592="none",N592="404"),"",IF(N592="410","Redirect gone "&amp;O592,"Redirect "&amp;N592&amp;" "&amp;O592&amp;" "&amp;M592))</f>
        <v/>
      </c>
      <c r="Q592" s="22" t="n"/>
      <c r="R592" s="22" t="n"/>
      <c r="S592" s="22" t="n"/>
      <c r="T592" s="4">
        <f>IF(A592="","",TRIM(IF(K592="","Needs decision; ","")&amp;IF(AND(K592="Accept suggestion",F592=""),"No suggestion to accept; ","")&amp;IF(AND(K592="Override",L592=""),"Override URL missing; ","")&amp;IF(AND(K592="Accept suggestion",N(G592)&lt;$G$2),"Below your threshold; ","")&amp;IF(AND(M592&lt;&gt;"",M592=A592,K592&lt;&gt;"No change (same URL)"),"Redirects to itself; ","")&amp;IF(AND(M592&lt;&gt;"",OR(M592="/",AND(LEFT(M592,4)="http",OR((LEN(M592)-LEN(SUBSTITUTE(M592,"/","")))=2,AND((LEN(M592)-LEN(SUBSTITUTE(M592,"/","")))=3,RIGHT(M592,1)="/"))))),"Home page redirect; ","")&amp;IF(N(R592)&gt;1,"Chain; ","")&amp;IF(S592="No","Destination not 200; ","")))</f>
        <v/>
      </c>
      <c r="U592" s="22" t="n"/>
      <c r="V592" s="22" t="n"/>
      <c r="W592" s="4" t="n"/>
    </row>
    <row r="593">
      <c r="A593" s="22" t="n"/>
      <c r="B593" s="22" t="n"/>
      <c r="C593" s="22" t="n"/>
      <c r="D593" s="22">
        <f>IF(A593="","",IF(OR(N(B593)&gt;=$C$2,N(C593)&gt;=$E$2),"High",IF(OR(N(B593)&gt;0,N(C593)&gt;0),"Medium","Low")))</f>
        <v/>
      </c>
      <c r="E593" s="22" t="n"/>
      <c r="F593" s="22" t="n"/>
      <c r="G593" s="22" t="n"/>
      <c r="H593" s="22" t="n"/>
      <c r="I593" s="22" t="n"/>
      <c r="J593" s="22" t="n"/>
      <c r="K593" s="22" t="n"/>
      <c r="L593" s="22" t="n"/>
      <c r="M593" s="22">
        <f>IF(K593="Override",L593,IF(K593="Accept suggestion",F593,IF(K593="No change (same URL)",A593,"")))</f>
        <v/>
      </c>
      <c r="N593" s="22">
        <f>IF(A593="","",IF(K593="410 Gone","410",IF(K593="404","404",IF(K593="No change (same URL)","none",IF(M593="","","301")))))</f>
        <v/>
      </c>
      <c r="O593" s="22">
        <f>IF(A593="","",IFERROR(MID(A593,FIND("/",A593,FIND("//",A593)+2),2000),A593))</f>
        <v/>
      </c>
      <c r="P593" s="22">
        <f>IF(OR(O593="",N593="",N593="none",N593="404"),"",IF(N593="410","Redirect gone "&amp;O593,"Redirect "&amp;N593&amp;" "&amp;O593&amp;" "&amp;M593))</f>
        <v/>
      </c>
      <c r="Q593" s="22" t="n"/>
      <c r="R593" s="22" t="n"/>
      <c r="S593" s="22" t="n"/>
      <c r="T593" s="4">
        <f>IF(A593="","",TRIM(IF(K593="","Needs decision; ","")&amp;IF(AND(K593="Accept suggestion",F593=""),"No suggestion to accept; ","")&amp;IF(AND(K593="Override",L593=""),"Override URL missing; ","")&amp;IF(AND(K593="Accept suggestion",N(G593)&lt;$G$2),"Below your threshold; ","")&amp;IF(AND(M593&lt;&gt;"",M593=A593,K593&lt;&gt;"No change (same URL)"),"Redirects to itself; ","")&amp;IF(AND(M593&lt;&gt;"",OR(M593="/",AND(LEFT(M593,4)="http",OR((LEN(M593)-LEN(SUBSTITUTE(M593,"/","")))=2,AND((LEN(M593)-LEN(SUBSTITUTE(M593,"/","")))=3,RIGHT(M593,1)="/"))))),"Home page redirect; ","")&amp;IF(N(R593)&gt;1,"Chain; ","")&amp;IF(S593="No","Destination not 200; ","")))</f>
        <v/>
      </c>
      <c r="U593" s="22" t="n"/>
      <c r="V593" s="22" t="n"/>
      <c r="W593" s="4" t="n"/>
    </row>
    <row r="594">
      <c r="A594" s="22" t="n"/>
      <c r="B594" s="22" t="n"/>
      <c r="C594" s="22" t="n"/>
      <c r="D594" s="22">
        <f>IF(A594="","",IF(OR(N(B594)&gt;=$C$2,N(C594)&gt;=$E$2),"High",IF(OR(N(B594)&gt;0,N(C594)&gt;0),"Medium","Low")))</f>
        <v/>
      </c>
      <c r="E594" s="22" t="n"/>
      <c r="F594" s="22" t="n"/>
      <c r="G594" s="22" t="n"/>
      <c r="H594" s="22" t="n"/>
      <c r="I594" s="22" t="n"/>
      <c r="J594" s="22" t="n"/>
      <c r="K594" s="22" t="n"/>
      <c r="L594" s="22" t="n"/>
      <c r="M594" s="22">
        <f>IF(K594="Override",L594,IF(K594="Accept suggestion",F594,IF(K594="No change (same URL)",A594,"")))</f>
        <v/>
      </c>
      <c r="N594" s="22">
        <f>IF(A594="","",IF(K594="410 Gone","410",IF(K594="404","404",IF(K594="No change (same URL)","none",IF(M594="","","301")))))</f>
        <v/>
      </c>
      <c r="O594" s="22">
        <f>IF(A594="","",IFERROR(MID(A594,FIND("/",A594,FIND("//",A594)+2),2000),A594))</f>
        <v/>
      </c>
      <c r="P594" s="22">
        <f>IF(OR(O594="",N594="",N594="none",N594="404"),"",IF(N594="410","Redirect gone "&amp;O594,"Redirect "&amp;N594&amp;" "&amp;O594&amp;" "&amp;M594))</f>
        <v/>
      </c>
      <c r="Q594" s="22" t="n"/>
      <c r="R594" s="22" t="n"/>
      <c r="S594" s="22" t="n"/>
      <c r="T594" s="4">
        <f>IF(A594="","",TRIM(IF(K594="","Needs decision; ","")&amp;IF(AND(K594="Accept suggestion",F594=""),"No suggestion to accept; ","")&amp;IF(AND(K594="Override",L594=""),"Override URL missing; ","")&amp;IF(AND(K594="Accept suggestion",N(G594)&lt;$G$2),"Below your threshold; ","")&amp;IF(AND(M594&lt;&gt;"",M594=A594,K594&lt;&gt;"No change (same URL)"),"Redirects to itself; ","")&amp;IF(AND(M594&lt;&gt;"",OR(M594="/",AND(LEFT(M594,4)="http",OR((LEN(M594)-LEN(SUBSTITUTE(M594,"/","")))=2,AND((LEN(M594)-LEN(SUBSTITUTE(M594,"/","")))=3,RIGHT(M594,1)="/"))))),"Home page redirect; ","")&amp;IF(N(R594)&gt;1,"Chain; ","")&amp;IF(S594="No","Destination not 200; ","")))</f>
        <v/>
      </c>
      <c r="U594" s="22" t="n"/>
      <c r="V594" s="22" t="n"/>
      <c r="W594" s="4" t="n"/>
    </row>
    <row r="595">
      <c r="A595" s="22" t="n"/>
      <c r="B595" s="22" t="n"/>
      <c r="C595" s="22" t="n"/>
      <c r="D595" s="22">
        <f>IF(A595="","",IF(OR(N(B595)&gt;=$C$2,N(C595)&gt;=$E$2),"High",IF(OR(N(B595)&gt;0,N(C595)&gt;0),"Medium","Low")))</f>
        <v/>
      </c>
      <c r="E595" s="22" t="n"/>
      <c r="F595" s="22" t="n"/>
      <c r="G595" s="22" t="n"/>
      <c r="H595" s="22" t="n"/>
      <c r="I595" s="22" t="n"/>
      <c r="J595" s="22" t="n"/>
      <c r="K595" s="22" t="n"/>
      <c r="L595" s="22" t="n"/>
      <c r="M595" s="22">
        <f>IF(K595="Override",L595,IF(K595="Accept suggestion",F595,IF(K595="No change (same URL)",A595,"")))</f>
        <v/>
      </c>
      <c r="N595" s="22">
        <f>IF(A595="","",IF(K595="410 Gone","410",IF(K595="404","404",IF(K595="No change (same URL)","none",IF(M595="","","301")))))</f>
        <v/>
      </c>
      <c r="O595" s="22">
        <f>IF(A595="","",IFERROR(MID(A595,FIND("/",A595,FIND("//",A595)+2),2000),A595))</f>
        <v/>
      </c>
      <c r="P595" s="22">
        <f>IF(OR(O595="",N595="",N595="none",N595="404"),"",IF(N595="410","Redirect gone "&amp;O595,"Redirect "&amp;N595&amp;" "&amp;O595&amp;" "&amp;M595))</f>
        <v/>
      </c>
      <c r="Q595" s="22" t="n"/>
      <c r="R595" s="22" t="n"/>
      <c r="S595" s="22" t="n"/>
      <c r="T595" s="4">
        <f>IF(A595="","",TRIM(IF(K595="","Needs decision; ","")&amp;IF(AND(K595="Accept suggestion",F595=""),"No suggestion to accept; ","")&amp;IF(AND(K595="Override",L595=""),"Override URL missing; ","")&amp;IF(AND(K595="Accept suggestion",N(G595)&lt;$G$2),"Below your threshold; ","")&amp;IF(AND(M595&lt;&gt;"",M595=A595,K595&lt;&gt;"No change (same URL)"),"Redirects to itself; ","")&amp;IF(AND(M595&lt;&gt;"",OR(M595="/",AND(LEFT(M595,4)="http",OR((LEN(M595)-LEN(SUBSTITUTE(M595,"/","")))=2,AND((LEN(M595)-LEN(SUBSTITUTE(M595,"/","")))=3,RIGHT(M595,1)="/"))))),"Home page redirect; ","")&amp;IF(N(R595)&gt;1,"Chain; ","")&amp;IF(S595="No","Destination not 200; ","")))</f>
        <v/>
      </c>
      <c r="U595" s="22" t="n"/>
      <c r="V595" s="22" t="n"/>
      <c r="W595" s="4" t="n"/>
    </row>
    <row r="596">
      <c r="A596" s="22" t="n"/>
      <c r="B596" s="22" t="n"/>
      <c r="C596" s="22" t="n"/>
      <c r="D596" s="22">
        <f>IF(A596="","",IF(OR(N(B596)&gt;=$C$2,N(C596)&gt;=$E$2),"High",IF(OR(N(B596)&gt;0,N(C596)&gt;0),"Medium","Low")))</f>
        <v/>
      </c>
      <c r="E596" s="22" t="n"/>
      <c r="F596" s="22" t="n"/>
      <c r="G596" s="22" t="n"/>
      <c r="H596" s="22" t="n"/>
      <c r="I596" s="22" t="n"/>
      <c r="J596" s="22" t="n"/>
      <c r="K596" s="22" t="n"/>
      <c r="L596" s="22" t="n"/>
      <c r="M596" s="22">
        <f>IF(K596="Override",L596,IF(K596="Accept suggestion",F596,IF(K596="No change (same URL)",A596,"")))</f>
        <v/>
      </c>
      <c r="N596" s="22">
        <f>IF(A596="","",IF(K596="410 Gone","410",IF(K596="404","404",IF(K596="No change (same URL)","none",IF(M596="","","301")))))</f>
        <v/>
      </c>
      <c r="O596" s="22">
        <f>IF(A596="","",IFERROR(MID(A596,FIND("/",A596,FIND("//",A596)+2),2000),A596))</f>
        <v/>
      </c>
      <c r="P596" s="22">
        <f>IF(OR(O596="",N596="",N596="none",N596="404"),"",IF(N596="410","Redirect gone "&amp;O596,"Redirect "&amp;N596&amp;" "&amp;O596&amp;" "&amp;M596))</f>
        <v/>
      </c>
      <c r="Q596" s="22" t="n"/>
      <c r="R596" s="22" t="n"/>
      <c r="S596" s="22" t="n"/>
      <c r="T596" s="4">
        <f>IF(A596="","",TRIM(IF(K596="","Needs decision; ","")&amp;IF(AND(K596="Accept suggestion",F596=""),"No suggestion to accept; ","")&amp;IF(AND(K596="Override",L596=""),"Override URL missing; ","")&amp;IF(AND(K596="Accept suggestion",N(G596)&lt;$G$2),"Below your threshold; ","")&amp;IF(AND(M596&lt;&gt;"",M596=A596,K596&lt;&gt;"No change (same URL)"),"Redirects to itself; ","")&amp;IF(AND(M596&lt;&gt;"",OR(M596="/",AND(LEFT(M596,4)="http",OR((LEN(M596)-LEN(SUBSTITUTE(M596,"/","")))=2,AND((LEN(M596)-LEN(SUBSTITUTE(M596,"/","")))=3,RIGHT(M596,1)="/"))))),"Home page redirect; ","")&amp;IF(N(R596)&gt;1,"Chain; ","")&amp;IF(S596="No","Destination not 200; ","")))</f>
        <v/>
      </c>
      <c r="U596" s="22" t="n"/>
      <c r="V596" s="22" t="n"/>
      <c r="W596" s="4" t="n"/>
    </row>
    <row r="597">
      <c r="A597" s="22" t="n"/>
      <c r="B597" s="22" t="n"/>
      <c r="C597" s="22" t="n"/>
      <c r="D597" s="22">
        <f>IF(A597="","",IF(OR(N(B597)&gt;=$C$2,N(C597)&gt;=$E$2),"High",IF(OR(N(B597)&gt;0,N(C597)&gt;0),"Medium","Low")))</f>
        <v/>
      </c>
      <c r="E597" s="22" t="n"/>
      <c r="F597" s="22" t="n"/>
      <c r="G597" s="22" t="n"/>
      <c r="H597" s="22" t="n"/>
      <c r="I597" s="22" t="n"/>
      <c r="J597" s="22" t="n"/>
      <c r="K597" s="22" t="n"/>
      <c r="L597" s="22" t="n"/>
      <c r="M597" s="22">
        <f>IF(K597="Override",L597,IF(K597="Accept suggestion",F597,IF(K597="No change (same URL)",A597,"")))</f>
        <v/>
      </c>
      <c r="N597" s="22">
        <f>IF(A597="","",IF(K597="410 Gone","410",IF(K597="404","404",IF(K597="No change (same URL)","none",IF(M597="","","301")))))</f>
        <v/>
      </c>
      <c r="O597" s="22">
        <f>IF(A597="","",IFERROR(MID(A597,FIND("/",A597,FIND("//",A597)+2),2000),A597))</f>
        <v/>
      </c>
      <c r="P597" s="22">
        <f>IF(OR(O597="",N597="",N597="none",N597="404"),"",IF(N597="410","Redirect gone "&amp;O597,"Redirect "&amp;N597&amp;" "&amp;O597&amp;" "&amp;M597))</f>
        <v/>
      </c>
      <c r="Q597" s="22" t="n"/>
      <c r="R597" s="22" t="n"/>
      <c r="S597" s="22" t="n"/>
      <c r="T597" s="4">
        <f>IF(A597="","",TRIM(IF(K597="","Needs decision; ","")&amp;IF(AND(K597="Accept suggestion",F597=""),"No suggestion to accept; ","")&amp;IF(AND(K597="Override",L597=""),"Override URL missing; ","")&amp;IF(AND(K597="Accept suggestion",N(G597)&lt;$G$2),"Below your threshold; ","")&amp;IF(AND(M597&lt;&gt;"",M597=A597,K597&lt;&gt;"No change (same URL)"),"Redirects to itself; ","")&amp;IF(AND(M597&lt;&gt;"",OR(M597="/",AND(LEFT(M597,4)="http",OR((LEN(M597)-LEN(SUBSTITUTE(M597,"/","")))=2,AND((LEN(M597)-LEN(SUBSTITUTE(M597,"/","")))=3,RIGHT(M597,1)="/"))))),"Home page redirect; ","")&amp;IF(N(R597)&gt;1,"Chain; ","")&amp;IF(S597="No","Destination not 200; ","")))</f>
        <v/>
      </c>
      <c r="U597" s="22" t="n"/>
      <c r="V597" s="22" t="n"/>
      <c r="W597" s="4" t="n"/>
    </row>
    <row r="598">
      <c r="A598" s="22" t="n"/>
      <c r="B598" s="22" t="n"/>
      <c r="C598" s="22" t="n"/>
      <c r="D598" s="22">
        <f>IF(A598="","",IF(OR(N(B598)&gt;=$C$2,N(C598)&gt;=$E$2),"High",IF(OR(N(B598)&gt;0,N(C598)&gt;0),"Medium","Low")))</f>
        <v/>
      </c>
      <c r="E598" s="22" t="n"/>
      <c r="F598" s="22" t="n"/>
      <c r="G598" s="22" t="n"/>
      <c r="H598" s="22" t="n"/>
      <c r="I598" s="22" t="n"/>
      <c r="J598" s="22" t="n"/>
      <c r="K598" s="22" t="n"/>
      <c r="L598" s="22" t="n"/>
      <c r="M598" s="22">
        <f>IF(K598="Override",L598,IF(K598="Accept suggestion",F598,IF(K598="No change (same URL)",A598,"")))</f>
        <v/>
      </c>
      <c r="N598" s="22">
        <f>IF(A598="","",IF(K598="410 Gone","410",IF(K598="404","404",IF(K598="No change (same URL)","none",IF(M598="","","301")))))</f>
        <v/>
      </c>
      <c r="O598" s="22">
        <f>IF(A598="","",IFERROR(MID(A598,FIND("/",A598,FIND("//",A598)+2),2000),A598))</f>
        <v/>
      </c>
      <c r="P598" s="22">
        <f>IF(OR(O598="",N598="",N598="none",N598="404"),"",IF(N598="410","Redirect gone "&amp;O598,"Redirect "&amp;N598&amp;" "&amp;O598&amp;" "&amp;M598))</f>
        <v/>
      </c>
      <c r="Q598" s="22" t="n"/>
      <c r="R598" s="22" t="n"/>
      <c r="S598" s="22" t="n"/>
      <c r="T598" s="4">
        <f>IF(A598="","",TRIM(IF(K598="","Needs decision; ","")&amp;IF(AND(K598="Accept suggestion",F598=""),"No suggestion to accept; ","")&amp;IF(AND(K598="Override",L598=""),"Override URL missing; ","")&amp;IF(AND(K598="Accept suggestion",N(G598)&lt;$G$2),"Below your threshold; ","")&amp;IF(AND(M598&lt;&gt;"",M598=A598,K598&lt;&gt;"No change (same URL)"),"Redirects to itself; ","")&amp;IF(AND(M598&lt;&gt;"",OR(M598="/",AND(LEFT(M598,4)="http",OR((LEN(M598)-LEN(SUBSTITUTE(M598,"/","")))=2,AND((LEN(M598)-LEN(SUBSTITUTE(M598,"/","")))=3,RIGHT(M598,1)="/"))))),"Home page redirect; ","")&amp;IF(N(R598)&gt;1,"Chain; ","")&amp;IF(S598="No","Destination not 200; ","")))</f>
        <v/>
      </c>
      <c r="U598" s="22" t="n"/>
      <c r="V598" s="22" t="n"/>
      <c r="W598" s="4" t="n"/>
    </row>
    <row r="599">
      <c r="A599" s="22" t="n"/>
      <c r="B599" s="22" t="n"/>
      <c r="C599" s="22" t="n"/>
      <c r="D599" s="22">
        <f>IF(A599="","",IF(OR(N(B599)&gt;=$C$2,N(C599)&gt;=$E$2),"High",IF(OR(N(B599)&gt;0,N(C599)&gt;0),"Medium","Low")))</f>
        <v/>
      </c>
      <c r="E599" s="22" t="n"/>
      <c r="F599" s="22" t="n"/>
      <c r="G599" s="22" t="n"/>
      <c r="H599" s="22" t="n"/>
      <c r="I599" s="22" t="n"/>
      <c r="J599" s="22" t="n"/>
      <c r="K599" s="22" t="n"/>
      <c r="L599" s="22" t="n"/>
      <c r="M599" s="22">
        <f>IF(K599="Override",L599,IF(K599="Accept suggestion",F599,IF(K599="No change (same URL)",A599,"")))</f>
        <v/>
      </c>
      <c r="N599" s="22">
        <f>IF(A599="","",IF(K599="410 Gone","410",IF(K599="404","404",IF(K599="No change (same URL)","none",IF(M599="","","301")))))</f>
        <v/>
      </c>
      <c r="O599" s="22">
        <f>IF(A599="","",IFERROR(MID(A599,FIND("/",A599,FIND("//",A599)+2),2000),A599))</f>
        <v/>
      </c>
      <c r="P599" s="22">
        <f>IF(OR(O599="",N599="",N599="none",N599="404"),"",IF(N599="410","Redirect gone "&amp;O599,"Redirect "&amp;N599&amp;" "&amp;O599&amp;" "&amp;M599))</f>
        <v/>
      </c>
      <c r="Q599" s="22" t="n"/>
      <c r="R599" s="22" t="n"/>
      <c r="S599" s="22" t="n"/>
      <c r="T599" s="4">
        <f>IF(A599="","",TRIM(IF(K599="","Needs decision; ","")&amp;IF(AND(K599="Accept suggestion",F599=""),"No suggestion to accept; ","")&amp;IF(AND(K599="Override",L599=""),"Override URL missing; ","")&amp;IF(AND(K599="Accept suggestion",N(G599)&lt;$G$2),"Below your threshold; ","")&amp;IF(AND(M599&lt;&gt;"",M599=A599,K599&lt;&gt;"No change (same URL)"),"Redirects to itself; ","")&amp;IF(AND(M599&lt;&gt;"",OR(M599="/",AND(LEFT(M599,4)="http",OR((LEN(M599)-LEN(SUBSTITUTE(M599,"/","")))=2,AND((LEN(M599)-LEN(SUBSTITUTE(M599,"/","")))=3,RIGHT(M599,1)="/"))))),"Home page redirect; ","")&amp;IF(N(R599)&gt;1,"Chain; ","")&amp;IF(S599="No","Destination not 200; ","")))</f>
        <v/>
      </c>
      <c r="U599" s="22" t="n"/>
      <c r="V599" s="22" t="n"/>
      <c r="W599" s="4" t="n"/>
    </row>
    <row r="600">
      <c r="A600" s="22" t="n"/>
      <c r="B600" s="22" t="n"/>
      <c r="C600" s="22" t="n"/>
      <c r="D600" s="22">
        <f>IF(A600="","",IF(OR(N(B600)&gt;=$C$2,N(C600)&gt;=$E$2),"High",IF(OR(N(B600)&gt;0,N(C600)&gt;0),"Medium","Low")))</f>
        <v/>
      </c>
      <c r="E600" s="22" t="n"/>
      <c r="F600" s="22" t="n"/>
      <c r="G600" s="22" t="n"/>
      <c r="H600" s="22" t="n"/>
      <c r="I600" s="22" t="n"/>
      <c r="J600" s="22" t="n"/>
      <c r="K600" s="22" t="n"/>
      <c r="L600" s="22" t="n"/>
      <c r="M600" s="22">
        <f>IF(K600="Override",L600,IF(K600="Accept suggestion",F600,IF(K600="No change (same URL)",A600,"")))</f>
        <v/>
      </c>
      <c r="N600" s="22">
        <f>IF(A600="","",IF(K600="410 Gone","410",IF(K600="404","404",IF(K600="No change (same URL)","none",IF(M600="","","301")))))</f>
        <v/>
      </c>
      <c r="O600" s="22">
        <f>IF(A600="","",IFERROR(MID(A600,FIND("/",A600,FIND("//",A600)+2),2000),A600))</f>
        <v/>
      </c>
      <c r="P600" s="22">
        <f>IF(OR(O600="",N600="",N600="none",N600="404"),"",IF(N600="410","Redirect gone "&amp;O600,"Redirect "&amp;N600&amp;" "&amp;O600&amp;" "&amp;M600))</f>
        <v/>
      </c>
      <c r="Q600" s="22" t="n"/>
      <c r="R600" s="22" t="n"/>
      <c r="S600" s="22" t="n"/>
      <c r="T600" s="4">
        <f>IF(A600="","",TRIM(IF(K600="","Needs decision; ","")&amp;IF(AND(K600="Accept suggestion",F600=""),"No suggestion to accept; ","")&amp;IF(AND(K600="Override",L600=""),"Override URL missing; ","")&amp;IF(AND(K600="Accept suggestion",N(G600)&lt;$G$2),"Below your threshold; ","")&amp;IF(AND(M600&lt;&gt;"",M600=A600,K600&lt;&gt;"No change (same URL)"),"Redirects to itself; ","")&amp;IF(AND(M600&lt;&gt;"",OR(M600="/",AND(LEFT(M600,4)="http",OR((LEN(M600)-LEN(SUBSTITUTE(M600,"/","")))=2,AND((LEN(M600)-LEN(SUBSTITUTE(M600,"/","")))=3,RIGHT(M600,1)="/"))))),"Home page redirect; ","")&amp;IF(N(R600)&gt;1,"Chain; ","")&amp;IF(S600="No","Destination not 200; ","")))</f>
        <v/>
      </c>
      <c r="U600" s="22" t="n"/>
      <c r="V600" s="22" t="n"/>
      <c r="W600" s="4" t="n"/>
    </row>
    <row r="601">
      <c r="A601" s="22" t="n"/>
      <c r="B601" s="22" t="n"/>
      <c r="C601" s="22" t="n"/>
      <c r="D601" s="22">
        <f>IF(A601="","",IF(OR(N(B601)&gt;=$C$2,N(C601)&gt;=$E$2),"High",IF(OR(N(B601)&gt;0,N(C601)&gt;0),"Medium","Low")))</f>
        <v/>
      </c>
      <c r="E601" s="22" t="n"/>
      <c r="F601" s="22" t="n"/>
      <c r="G601" s="22" t="n"/>
      <c r="H601" s="22" t="n"/>
      <c r="I601" s="22" t="n"/>
      <c r="J601" s="22" t="n"/>
      <c r="K601" s="22" t="n"/>
      <c r="L601" s="22" t="n"/>
      <c r="M601" s="22">
        <f>IF(K601="Override",L601,IF(K601="Accept suggestion",F601,IF(K601="No change (same URL)",A601,"")))</f>
        <v/>
      </c>
      <c r="N601" s="22">
        <f>IF(A601="","",IF(K601="410 Gone","410",IF(K601="404","404",IF(K601="No change (same URL)","none",IF(M601="","","301")))))</f>
        <v/>
      </c>
      <c r="O601" s="22">
        <f>IF(A601="","",IFERROR(MID(A601,FIND("/",A601,FIND("//",A601)+2),2000),A601))</f>
        <v/>
      </c>
      <c r="P601" s="22">
        <f>IF(OR(O601="",N601="",N601="none",N601="404"),"",IF(N601="410","Redirect gone "&amp;O601,"Redirect "&amp;N601&amp;" "&amp;O601&amp;" "&amp;M601))</f>
        <v/>
      </c>
      <c r="Q601" s="22" t="n"/>
      <c r="R601" s="22" t="n"/>
      <c r="S601" s="22" t="n"/>
      <c r="T601" s="4">
        <f>IF(A601="","",TRIM(IF(K601="","Needs decision; ","")&amp;IF(AND(K601="Accept suggestion",F601=""),"No suggestion to accept; ","")&amp;IF(AND(K601="Override",L601=""),"Override URL missing; ","")&amp;IF(AND(K601="Accept suggestion",N(G601)&lt;$G$2),"Below your threshold; ","")&amp;IF(AND(M601&lt;&gt;"",M601=A601,K601&lt;&gt;"No change (same URL)"),"Redirects to itself; ","")&amp;IF(AND(M601&lt;&gt;"",OR(M601="/",AND(LEFT(M601,4)="http",OR((LEN(M601)-LEN(SUBSTITUTE(M601,"/","")))=2,AND((LEN(M601)-LEN(SUBSTITUTE(M601,"/","")))=3,RIGHT(M601,1)="/"))))),"Home page redirect; ","")&amp;IF(N(R601)&gt;1,"Chain; ","")&amp;IF(S601="No","Destination not 200; ","")))</f>
        <v/>
      </c>
      <c r="U601" s="22" t="n"/>
      <c r="V601" s="22" t="n"/>
      <c r="W601" s="4" t="n"/>
    </row>
    <row r="602">
      <c r="A602" s="22" t="n"/>
      <c r="B602" s="22" t="n"/>
      <c r="C602" s="22" t="n"/>
      <c r="D602" s="22">
        <f>IF(A602="","",IF(OR(N(B602)&gt;=$C$2,N(C602)&gt;=$E$2),"High",IF(OR(N(B602)&gt;0,N(C602)&gt;0),"Medium","Low")))</f>
        <v/>
      </c>
      <c r="E602" s="22" t="n"/>
      <c r="F602" s="22" t="n"/>
      <c r="G602" s="22" t="n"/>
      <c r="H602" s="22" t="n"/>
      <c r="I602" s="22" t="n"/>
      <c r="J602" s="22" t="n"/>
      <c r="K602" s="22" t="n"/>
      <c r="L602" s="22" t="n"/>
      <c r="M602" s="22">
        <f>IF(K602="Override",L602,IF(K602="Accept suggestion",F602,IF(K602="No change (same URL)",A602,"")))</f>
        <v/>
      </c>
      <c r="N602" s="22">
        <f>IF(A602="","",IF(K602="410 Gone","410",IF(K602="404","404",IF(K602="No change (same URL)","none",IF(M602="","","301")))))</f>
        <v/>
      </c>
      <c r="O602" s="22">
        <f>IF(A602="","",IFERROR(MID(A602,FIND("/",A602,FIND("//",A602)+2),2000),A602))</f>
        <v/>
      </c>
      <c r="P602" s="22">
        <f>IF(OR(O602="",N602="",N602="none",N602="404"),"",IF(N602="410","Redirect gone "&amp;O602,"Redirect "&amp;N602&amp;" "&amp;O602&amp;" "&amp;M602))</f>
        <v/>
      </c>
      <c r="Q602" s="22" t="n"/>
      <c r="R602" s="22" t="n"/>
      <c r="S602" s="22" t="n"/>
      <c r="T602" s="4">
        <f>IF(A602="","",TRIM(IF(K602="","Needs decision; ","")&amp;IF(AND(K602="Accept suggestion",F602=""),"No suggestion to accept; ","")&amp;IF(AND(K602="Override",L602=""),"Override URL missing; ","")&amp;IF(AND(K602="Accept suggestion",N(G602)&lt;$G$2),"Below your threshold; ","")&amp;IF(AND(M602&lt;&gt;"",M602=A602,K602&lt;&gt;"No change (same URL)"),"Redirects to itself; ","")&amp;IF(AND(M602&lt;&gt;"",OR(M602="/",AND(LEFT(M602,4)="http",OR((LEN(M602)-LEN(SUBSTITUTE(M602,"/","")))=2,AND((LEN(M602)-LEN(SUBSTITUTE(M602,"/","")))=3,RIGHT(M602,1)="/"))))),"Home page redirect; ","")&amp;IF(N(R602)&gt;1,"Chain; ","")&amp;IF(S602="No","Destination not 200; ","")))</f>
        <v/>
      </c>
      <c r="U602" s="22" t="n"/>
      <c r="V602" s="22" t="n"/>
      <c r="W602" s="4" t="n"/>
    </row>
    <row r="603">
      <c r="A603" s="22" t="n"/>
      <c r="B603" s="22" t="n"/>
      <c r="C603" s="22" t="n"/>
      <c r="D603" s="22">
        <f>IF(A603="","",IF(OR(N(B603)&gt;=$C$2,N(C603)&gt;=$E$2),"High",IF(OR(N(B603)&gt;0,N(C603)&gt;0),"Medium","Low")))</f>
        <v/>
      </c>
      <c r="E603" s="22" t="n"/>
      <c r="F603" s="22" t="n"/>
      <c r="G603" s="22" t="n"/>
      <c r="H603" s="22" t="n"/>
      <c r="I603" s="22" t="n"/>
      <c r="J603" s="22" t="n"/>
      <c r="K603" s="22" t="n"/>
      <c r="L603" s="22" t="n"/>
      <c r="M603" s="22">
        <f>IF(K603="Override",L603,IF(K603="Accept suggestion",F603,IF(K603="No change (same URL)",A603,"")))</f>
        <v/>
      </c>
      <c r="N603" s="22">
        <f>IF(A603="","",IF(K603="410 Gone","410",IF(K603="404","404",IF(K603="No change (same URL)","none",IF(M603="","","301")))))</f>
        <v/>
      </c>
      <c r="O603" s="22">
        <f>IF(A603="","",IFERROR(MID(A603,FIND("/",A603,FIND("//",A603)+2),2000),A603))</f>
        <v/>
      </c>
      <c r="P603" s="22">
        <f>IF(OR(O603="",N603="",N603="none",N603="404"),"",IF(N603="410","Redirect gone "&amp;O603,"Redirect "&amp;N603&amp;" "&amp;O603&amp;" "&amp;M603))</f>
        <v/>
      </c>
      <c r="Q603" s="22" t="n"/>
      <c r="R603" s="22" t="n"/>
      <c r="S603" s="22" t="n"/>
      <c r="T603" s="4">
        <f>IF(A603="","",TRIM(IF(K603="","Needs decision; ","")&amp;IF(AND(K603="Accept suggestion",F603=""),"No suggestion to accept; ","")&amp;IF(AND(K603="Override",L603=""),"Override URL missing; ","")&amp;IF(AND(K603="Accept suggestion",N(G603)&lt;$G$2),"Below your threshold; ","")&amp;IF(AND(M603&lt;&gt;"",M603=A603,K603&lt;&gt;"No change (same URL)"),"Redirects to itself; ","")&amp;IF(AND(M603&lt;&gt;"",OR(M603="/",AND(LEFT(M603,4)="http",OR((LEN(M603)-LEN(SUBSTITUTE(M603,"/","")))=2,AND((LEN(M603)-LEN(SUBSTITUTE(M603,"/","")))=3,RIGHT(M603,1)="/"))))),"Home page redirect; ","")&amp;IF(N(R603)&gt;1,"Chain; ","")&amp;IF(S603="No","Destination not 200; ","")))</f>
        <v/>
      </c>
      <c r="U603" s="22" t="n"/>
      <c r="V603" s="22" t="n"/>
      <c r="W603" s="4" t="n"/>
    </row>
    <row r="604">
      <c r="A604" s="22" t="n"/>
      <c r="B604" s="22" t="n"/>
      <c r="C604" s="22" t="n"/>
      <c r="D604" s="22">
        <f>IF(A604="","",IF(OR(N(B604)&gt;=$C$2,N(C604)&gt;=$E$2),"High",IF(OR(N(B604)&gt;0,N(C604)&gt;0),"Medium","Low")))</f>
        <v/>
      </c>
      <c r="E604" s="22" t="n"/>
      <c r="F604" s="22" t="n"/>
      <c r="G604" s="22" t="n"/>
      <c r="H604" s="22" t="n"/>
      <c r="I604" s="22" t="n"/>
      <c r="J604" s="22" t="n"/>
      <c r="K604" s="22" t="n"/>
      <c r="L604" s="22" t="n"/>
      <c r="M604" s="22">
        <f>IF(K604="Override",L604,IF(K604="Accept suggestion",F604,IF(K604="No change (same URL)",A604,"")))</f>
        <v/>
      </c>
      <c r="N604" s="22">
        <f>IF(A604="","",IF(K604="410 Gone","410",IF(K604="404","404",IF(K604="No change (same URL)","none",IF(M604="","","301")))))</f>
        <v/>
      </c>
      <c r="O604" s="22">
        <f>IF(A604="","",IFERROR(MID(A604,FIND("/",A604,FIND("//",A604)+2),2000),A604))</f>
        <v/>
      </c>
      <c r="P604" s="22">
        <f>IF(OR(O604="",N604="",N604="none",N604="404"),"",IF(N604="410","Redirect gone "&amp;O604,"Redirect "&amp;N604&amp;" "&amp;O604&amp;" "&amp;M604))</f>
        <v/>
      </c>
      <c r="Q604" s="22" t="n"/>
      <c r="R604" s="22" t="n"/>
      <c r="S604" s="22" t="n"/>
      <c r="T604" s="4">
        <f>IF(A604="","",TRIM(IF(K604="","Needs decision; ","")&amp;IF(AND(K604="Accept suggestion",F604=""),"No suggestion to accept; ","")&amp;IF(AND(K604="Override",L604=""),"Override URL missing; ","")&amp;IF(AND(K604="Accept suggestion",N(G604)&lt;$G$2),"Below your threshold; ","")&amp;IF(AND(M604&lt;&gt;"",M604=A604,K604&lt;&gt;"No change (same URL)"),"Redirects to itself; ","")&amp;IF(AND(M604&lt;&gt;"",OR(M604="/",AND(LEFT(M604,4)="http",OR((LEN(M604)-LEN(SUBSTITUTE(M604,"/","")))=2,AND((LEN(M604)-LEN(SUBSTITUTE(M604,"/","")))=3,RIGHT(M604,1)="/"))))),"Home page redirect; ","")&amp;IF(N(R604)&gt;1,"Chain; ","")&amp;IF(S604="No","Destination not 200; ","")))</f>
        <v/>
      </c>
      <c r="U604" s="22" t="n"/>
      <c r="V604" s="22" t="n"/>
      <c r="W604" s="4" t="n"/>
    </row>
    <row r="605">
      <c r="A605" s="22" t="n"/>
      <c r="B605" s="22" t="n"/>
      <c r="C605" s="22" t="n"/>
      <c r="D605" s="22">
        <f>IF(A605="","",IF(OR(N(B605)&gt;=$C$2,N(C605)&gt;=$E$2),"High",IF(OR(N(B605)&gt;0,N(C605)&gt;0),"Medium","Low")))</f>
        <v/>
      </c>
      <c r="E605" s="22" t="n"/>
      <c r="F605" s="22" t="n"/>
      <c r="G605" s="22" t="n"/>
      <c r="H605" s="22" t="n"/>
      <c r="I605" s="22" t="n"/>
      <c r="J605" s="22" t="n"/>
      <c r="K605" s="22" t="n"/>
      <c r="L605" s="22" t="n"/>
      <c r="M605" s="22">
        <f>IF(K605="Override",L605,IF(K605="Accept suggestion",F605,IF(K605="No change (same URL)",A605,"")))</f>
        <v/>
      </c>
      <c r="N605" s="22">
        <f>IF(A605="","",IF(K605="410 Gone","410",IF(K605="404","404",IF(K605="No change (same URL)","none",IF(M605="","","301")))))</f>
        <v/>
      </c>
      <c r="O605" s="22">
        <f>IF(A605="","",IFERROR(MID(A605,FIND("/",A605,FIND("//",A605)+2),2000),A605))</f>
        <v/>
      </c>
      <c r="P605" s="22">
        <f>IF(OR(O605="",N605="",N605="none",N605="404"),"",IF(N605="410","Redirect gone "&amp;O605,"Redirect "&amp;N605&amp;" "&amp;O605&amp;" "&amp;M605))</f>
        <v/>
      </c>
      <c r="Q605" s="22" t="n"/>
      <c r="R605" s="22" t="n"/>
      <c r="S605" s="22" t="n"/>
      <c r="T605" s="4">
        <f>IF(A605="","",TRIM(IF(K605="","Needs decision; ","")&amp;IF(AND(K605="Accept suggestion",F605=""),"No suggestion to accept; ","")&amp;IF(AND(K605="Override",L605=""),"Override URL missing; ","")&amp;IF(AND(K605="Accept suggestion",N(G605)&lt;$G$2),"Below your threshold; ","")&amp;IF(AND(M605&lt;&gt;"",M605=A605,K605&lt;&gt;"No change (same URL)"),"Redirects to itself; ","")&amp;IF(AND(M605&lt;&gt;"",OR(M605="/",AND(LEFT(M605,4)="http",OR((LEN(M605)-LEN(SUBSTITUTE(M605,"/","")))=2,AND((LEN(M605)-LEN(SUBSTITUTE(M605,"/","")))=3,RIGHT(M605,1)="/"))))),"Home page redirect; ","")&amp;IF(N(R605)&gt;1,"Chain; ","")&amp;IF(S605="No","Destination not 200; ","")))</f>
        <v/>
      </c>
      <c r="U605" s="22" t="n"/>
      <c r="V605" s="22" t="n"/>
      <c r="W605" s="4" t="n"/>
    </row>
    <row r="606">
      <c r="A606" s="22" t="n"/>
      <c r="B606" s="22" t="n"/>
      <c r="C606" s="22" t="n"/>
      <c r="D606" s="22">
        <f>IF(A606="","",IF(OR(N(B606)&gt;=$C$2,N(C606)&gt;=$E$2),"High",IF(OR(N(B606)&gt;0,N(C606)&gt;0),"Medium","Low")))</f>
        <v/>
      </c>
      <c r="E606" s="22" t="n"/>
      <c r="F606" s="22" t="n"/>
      <c r="G606" s="22" t="n"/>
      <c r="H606" s="22" t="n"/>
      <c r="I606" s="22" t="n"/>
      <c r="J606" s="22" t="n"/>
      <c r="K606" s="22" t="n"/>
      <c r="L606" s="22" t="n"/>
      <c r="M606" s="22">
        <f>IF(K606="Override",L606,IF(K606="Accept suggestion",F606,IF(K606="No change (same URL)",A606,"")))</f>
        <v/>
      </c>
      <c r="N606" s="22">
        <f>IF(A606="","",IF(K606="410 Gone","410",IF(K606="404","404",IF(K606="No change (same URL)","none",IF(M606="","","301")))))</f>
        <v/>
      </c>
      <c r="O606" s="22">
        <f>IF(A606="","",IFERROR(MID(A606,FIND("/",A606,FIND("//",A606)+2),2000),A606))</f>
        <v/>
      </c>
      <c r="P606" s="22">
        <f>IF(OR(O606="",N606="",N606="none",N606="404"),"",IF(N606="410","Redirect gone "&amp;O606,"Redirect "&amp;N606&amp;" "&amp;O606&amp;" "&amp;M606))</f>
        <v/>
      </c>
      <c r="Q606" s="22" t="n"/>
      <c r="R606" s="22" t="n"/>
      <c r="S606" s="22" t="n"/>
      <c r="T606" s="4">
        <f>IF(A606="","",TRIM(IF(K606="","Needs decision; ","")&amp;IF(AND(K606="Accept suggestion",F606=""),"No suggestion to accept; ","")&amp;IF(AND(K606="Override",L606=""),"Override URL missing; ","")&amp;IF(AND(K606="Accept suggestion",N(G606)&lt;$G$2),"Below your threshold; ","")&amp;IF(AND(M606&lt;&gt;"",M606=A606,K606&lt;&gt;"No change (same URL)"),"Redirects to itself; ","")&amp;IF(AND(M606&lt;&gt;"",OR(M606="/",AND(LEFT(M606,4)="http",OR((LEN(M606)-LEN(SUBSTITUTE(M606,"/","")))=2,AND((LEN(M606)-LEN(SUBSTITUTE(M606,"/","")))=3,RIGHT(M606,1)="/"))))),"Home page redirect; ","")&amp;IF(N(R606)&gt;1,"Chain; ","")&amp;IF(S606="No","Destination not 200; ","")))</f>
        <v/>
      </c>
      <c r="U606" s="22" t="n"/>
      <c r="V606" s="22" t="n"/>
      <c r="W606" s="4" t="n"/>
    </row>
    <row r="607">
      <c r="A607" s="22" t="n"/>
      <c r="B607" s="22" t="n"/>
      <c r="C607" s="22" t="n"/>
      <c r="D607" s="22">
        <f>IF(A607="","",IF(OR(N(B607)&gt;=$C$2,N(C607)&gt;=$E$2),"High",IF(OR(N(B607)&gt;0,N(C607)&gt;0),"Medium","Low")))</f>
        <v/>
      </c>
      <c r="E607" s="22" t="n"/>
      <c r="F607" s="22" t="n"/>
      <c r="G607" s="22" t="n"/>
      <c r="H607" s="22" t="n"/>
      <c r="I607" s="22" t="n"/>
      <c r="J607" s="22" t="n"/>
      <c r="K607" s="22" t="n"/>
      <c r="L607" s="22" t="n"/>
      <c r="M607" s="22">
        <f>IF(K607="Override",L607,IF(K607="Accept suggestion",F607,IF(K607="No change (same URL)",A607,"")))</f>
        <v/>
      </c>
      <c r="N607" s="22">
        <f>IF(A607="","",IF(K607="410 Gone","410",IF(K607="404","404",IF(K607="No change (same URL)","none",IF(M607="","","301")))))</f>
        <v/>
      </c>
      <c r="O607" s="22">
        <f>IF(A607="","",IFERROR(MID(A607,FIND("/",A607,FIND("//",A607)+2),2000),A607))</f>
        <v/>
      </c>
      <c r="P607" s="22">
        <f>IF(OR(O607="",N607="",N607="none",N607="404"),"",IF(N607="410","Redirect gone "&amp;O607,"Redirect "&amp;N607&amp;" "&amp;O607&amp;" "&amp;M607))</f>
        <v/>
      </c>
      <c r="Q607" s="22" t="n"/>
      <c r="R607" s="22" t="n"/>
      <c r="S607" s="22" t="n"/>
      <c r="T607" s="4">
        <f>IF(A607="","",TRIM(IF(K607="","Needs decision; ","")&amp;IF(AND(K607="Accept suggestion",F607=""),"No suggestion to accept; ","")&amp;IF(AND(K607="Override",L607=""),"Override URL missing; ","")&amp;IF(AND(K607="Accept suggestion",N(G607)&lt;$G$2),"Below your threshold; ","")&amp;IF(AND(M607&lt;&gt;"",M607=A607,K607&lt;&gt;"No change (same URL)"),"Redirects to itself; ","")&amp;IF(AND(M607&lt;&gt;"",OR(M607="/",AND(LEFT(M607,4)="http",OR((LEN(M607)-LEN(SUBSTITUTE(M607,"/","")))=2,AND((LEN(M607)-LEN(SUBSTITUTE(M607,"/","")))=3,RIGHT(M607,1)="/"))))),"Home page redirect; ","")&amp;IF(N(R607)&gt;1,"Chain; ","")&amp;IF(S607="No","Destination not 200; ","")))</f>
        <v/>
      </c>
      <c r="U607" s="22" t="n"/>
      <c r="V607" s="22" t="n"/>
      <c r="W607" s="4" t="n"/>
    </row>
    <row r="608">
      <c r="A608" s="22" t="n"/>
      <c r="B608" s="22" t="n"/>
      <c r="C608" s="22" t="n"/>
      <c r="D608" s="22">
        <f>IF(A608="","",IF(OR(N(B608)&gt;=$C$2,N(C608)&gt;=$E$2),"High",IF(OR(N(B608)&gt;0,N(C608)&gt;0),"Medium","Low")))</f>
        <v/>
      </c>
      <c r="E608" s="22" t="n"/>
      <c r="F608" s="22" t="n"/>
      <c r="G608" s="22" t="n"/>
      <c r="H608" s="22" t="n"/>
      <c r="I608" s="22" t="n"/>
      <c r="J608" s="22" t="n"/>
      <c r="K608" s="22" t="n"/>
      <c r="L608" s="22" t="n"/>
      <c r="M608" s="22">
        <f>IF(K608="Override",L608,IF(K608="Accept suggestion",F608,IF(K608="No change (same URL)",A608,"")))</f>
        <v/>
      </c>
      <c r="N608" s="22">
        <f>IF(A608="","",IF(K608="410 Gone","410",IF(K608="404","404",IF(K608="No change (same URL)","none",IF(M608="","","301")))))</f>
        <v/>
      </c>
      <c r="O608" s="22">
        <f>IF(A608="","",IFERROR(MID(A608,FIND("/",A608,FIND("//",A608)+2),2000),A608))</f>
        <v/>
      </c>
      <c r="P608" s="22">
        <f>IF(OR(O608="",N608="",N608="none",N608="404"),"",IF(N608="410","Redirect gone "&amp;O608,"Redirect "&amp;N608&amp;" "&amp;O608&amp;" "&amp;M608))</f>
        <v/>
      </c>
      <c r="Q608" s="22" t="n"/>
      <c r="R608" s="22" t="n"/>
      <c r="S608" s="22" t="n"/>
      <c r="T608" s="4">
        <f>IF(A608="","",TRIM(IF(K608="","Needs decision; ","")&amp;IF(AND(K608="Accept suggestion",F608=""),"No suggestion to accept; ","")&amp;IF(AND(K608="Override",L608=""),"Override URL missing; ","")&amp;IF(AND(K608="Accept suggestion",N(G608)&lt;$G$2),"Below your threshold; ","")&amp;IF(AND(M608&lt;&gt;"",M608=A608,K608&lt;&gt;"No change (same URL)"),"Redirects to itself; ","")&amp;IF(AND(M608&lt;&gt;"",OR(M608="/",AND(LEFT(M608,4)="http",OR((LEN(M608)-LEN(SUBSTITUTE(M608,"/","")))=2,AND((LEN(M608)-LEN(SUBSTITUTE(M608,"/","")))=3,RIGHT(M608,1)="/"))))),"Home page redirect; ","")&amp;IF(N(R608)&gt;1,"Chain; ","")&amp;IF(S608="No","Destination not 200; ","")))</f>
        <v/>
      </c>
      <c r="U608" s="22" t="n"/>
      <c r="V608" s="22" t="n"/>
      <c r="W608" s="4" t="n"/>
    </row>
    <row r="609">
      <c r="A609" s="22" t="n"/>
      <c r="B609" s="22" t="n"/>
      <c r="C609" s="22" t="n"/>
      <c r="D609" s="22">
        <f>IF(A609="","",IF(OR(N(B609)&gt;=$C$2,N(C609)&gt;=$E$2),"High",IF(OR(N(B609)&gt;0,N(C609)&gt;0),"Medium","Low")))</f>
        <v/>
      </c>
      <c r="E609" s="22" t="n"/>
      <c r="F609" s="22" t="n"/>
      <c r="G609" s="22" t="n"/>
      <c r="H609" s="22" t="n"/>
      <c r="I609" s="22" t="n"/>
      <c r="J609" s="22" t="n"/>
      <c r="K609" s="22" t="n"/>
      <c r="L609" s="22" t="n"/>
      <c r="M609" s="22">
        <f>IF(K609="Override",L609,IF(K609="Accept suggestion",F609,IF(K609="No change (same URL)",A609,"")))</f>
        <v/>
      </c>
      <c r="N609" s="22">
        <f>IF(A609="","",IF(K609="410 Gone","410",IF(K609="404","404",IF(K609="No change (same URL)","none",IF(M609="","","301")))))</f>
        <v/>
      </c>
      <c r="O609" s="22">
        <f>IF(A609="","",IFERROR(MID(A609,FIND("/",A609,FIND("//",A609)+2),2000),A609))</f>
        <v/>
      </c>
      <c r="P609" s="22">
        <f>IF(OR(O609="",N609="",N609="none",N609="404"),"",IF(N609="410","Redirect gone "&amp;O609,"Redirect "&amp;N609&amp;" "&amp;O609&amp;" "&amp;M609))</f>
        <v/>
      </c>
      <c r="Q609" s="22" t="n"/>
      <c r="R609" s="22" t="n"/>
      <c r="S609" s="22" t="n"/>
      <c r="T609" s="4">
        <f>IF(A609="","",TRIM(IF(K609="","Needs decision; ","")&amp;IF(AND(K609="Accept suggestion",F609=""),"No suggestion to accept; ","")&amp;IF(AND(K609="Override",L609=""),"Override URL missing; ","")&amp;IF(AND(K609="Accept suggestion",N(G609)&lt;$G$2),"Below your threshold; ","")&amp;IF(AND(M609&lt;&gt;"",M609=A609,K609&lt;&gt;"No change (same URL)"),"Redirects to itself; ","")&amp;IF(AND(M609&lt;&gt;"",OR(M609="/",AND(LEFT(M609,4)="http",OR((LEN(M609)-LEN(SUBSTITUTE(M609,"/","")))=2,AND((LEN(M609)-LEN(SUBSTITUTE(M609,"/","")))=3,RIGHT(M609,1)="/"))))),"Home page redirect; ","")&amp;IF(N(R609)&gt;1,"Chain; ","")&amp;IF(S609="No","Destination not 200; ","")))</f>
        <v/>
      </c>
      <c r="U609" s="22" t="n"/>
      <c r="V609" s="22" t="n"/>
      <c r="W609" s="4" t="n"/>
    </row>
    <row r="610">
      <c r="A610" s="22" t="n"/>
      <c r="B610" s="22" t="n"/>
      <c r="C610" s="22" t="n"/>
      <c r="D610" s="22">
        <f>IF(A610="","",IF(OR(N(B610)&gt;=$C$2,N(C610)&gt;=$E$2),"High",IF(OR(N(B610)&gt;0,N(C610)&gt;0),"Medium","Low")))</f>
        <v/>
      </c>
      <c r="E610" s="22" t="n"/>
      <c r="F610" s="22" t="n"/>
      <c r="G610" s="22" t="n"/>
      <c r="H610" s="22" t="n"/>
      <c r="I610" s="22" t="n"/>
      <c r="J610" s="22" t="n"/>
      <c r="K610" s="22" t="n"/>
      <c r="L610" s="22" t="n"/>
      <c r="M610" s="22">
        <f>IF(K610="Override",L610,IF(K610="Accept suggestion",F610,IF(K610="No change (same URL)",A610,"")))</f>
        <v/>
      </c>
      <c r="N610" s="22">
        <f>IF(A610="","",IF(K610="410 Gone","410",IF(K610="404","404",IF(K610="No change (same URL)","none",IF(M610="","","301")))))</f>
        <v/>
      </c>
      <c r="O610" s="22">
        <f>IF(A610="","",IFERROR(MID(A610,FIND("/",A610,FIND("//",A610)+2),2000),A610))</f>
        <v/>
      </c>
      <c r="P610" s="22">
        <f>IF(OR(O610="",N610="",N610="none",N610="404"),"",IF(N610="410","Redirect gone "&amp;O610,"Redirect "&amp;N610&amp;" "&amp;O610&amp;" "&amp;M610))</f>
        <v/>
      </c>
      <c r="Q610" s="22" t="n"/>
      <c r="R610" s="22" t="n"/>
      <c r="S610" s="22" t="n"/>
      <c r="T610" s="4">
        <f>IF(A610="","",TRIM(IF(K610="","Needs decision; ","")&amp;IF(AND(K610="Accept suggestion",F610=""),"No suggestion to accept; ","")&amp;IF(AND(K610="Override",L610=""),"Override URL missing; ","")&amp;IF(AND(K610="Accept suggestion",N(G610)&lt;$G$2),"Below your threshold; ","")&amp;IF(AND(M610&lt;&gt;"",M610=A610,K610&lt;&gt;"No change (same URL)"),"Redirects to itself; ","")&amp;IF(AND(M610&lt;&gt;"",OR(M610="/",AND(LEFT(M610,4)="http",OR((LEN(M610)-LEN(SUBSTITUTE(M610,"/","")))=2,AND((LEN(M610)-LEN(SUBSTITUTE(M610,"/","")))=3,RIGHT(M610,1)="/"))))),"Home page redirect; ","")&amp;IF(N(R610)&gt;1,"Chain; ","")&amp;IF(S610="No","Destination not 200; ","")))</f>
        <v/>
      </c>
      <c r="U610" s="22" t="n"/>
      <c r="V610" s="22" t="n"/>
      <c r="W610" s="4" t="n"/>
    </row>
    <row r="611">
      <c r="A611" s="22" t="n"/>
      <c r="B611" s="22" t="n"/>
      <c r="C611" s="22" t="n"/>
      <c r="D611" s="22">
        <f>IF(A611="","",IF(OR(N(B611)&gt;=$C$2,N(C611)&gt;=$E$2),"High",IF(OR(N(B611)&gt;0,N(C611)&gt;0),"Medium","Low")))</f>
        <v/>
      </c>
      <c r="E611" s="22" t="n"/>
      <c r="F611" s="22" t="n"/>
      <c r="G611" s="22" t="n"/>
      <c r="H611" s="22" t="n"/>
      <c r="I611" s="22" t="n"/>
      <c r="J611" s="22" t="n"/>
      <c r="K611" s="22" t="n"/>
      <c r="L611" s="22" t="n"/>
      <c r="M611" s="22">
        <f>IF(K611="Override",L611,IF(K611="Accept suggestion",F611,IF(K611="No change (same URL)",A611,"")))</f>
        <v/>
      </c>
      <c r="N611" s="22">
        <f>IF(A611="","",IF(K611="410 Gone","410",IF(K611="404","404",IF(K611="No change (same URL)","none",IF(M611="","","301")))))</f>
        <v/>
      </c>
      <c r="O611" s="22">
        <f>IF(A611="","",IFERROR(MID(A611,FIND("/",A611,FIND("//",A611)+2),2000),A611))</f>
        <v/>
      </c>
      <c r="P611" s="22">
        <f>IF(OR(O611="",N611="",N611="none",N611="404"),"",IF(N611="410","Redirect gone "&amp;O611,"Redirect "&amp;N611&amp;" "&amp;O611&amp;" "&amp;M611))</f>
        <v/>
      </c>
      <c r="Q611" s="22" t="n"/>
      <c r="R611" s="22" t="n"/>
      <c r="S611" s="22" t="n"/>
      <c r="T611" s="4">
        <f>IF(A611="","",TRIM(IF(K611="","Needs decision; ","")&amp;IF(AND(K611="Accept suggestion",F611=""),"No suggestion to accept; ","")&amp;IF(AND(K611="Override",L611=""),"Override URL missing; ","")&amp;IF(AND(K611="Accept suggestion",N(G611)&lt;$G$2),"Below your threshold; ","")&amp;IF(AND(M611&lt;&gt;"",M611=A611,K611&lt;&gt;"No change (same URL)"),"Redirects to itself; ","")&amp;IF(AND(M611&lt;&gt;"",OR(M611="/",AND(LEFT(M611,4)="http",OR((LEN(M611)-LEN(SUBSTITUTE(M611,"/","")))=2,AND((LEN(M611)-LEN(SUBSTITUTE(M611,"/","")))=3,RIGHT(M611,1)="/"))))),"Home page redirect; ","")&amp;IF(N(R611)&gt;1,"Chain; ","")&amp;IF(S611="No","Destination not 200; ","")))</f>
        <v/>
      </c>
      <c r="U611" s="22" t="n"/>
      <c r="V611" s="22" t="n"/>
      <c r="W611" s="4" t="n"/>
    </row>
    <row r="612">
      <c r="A612" s="22" t="n"/>
      <c r="B612" s="22" t="n"/>
      <c r="C612" s="22" t="n"/>
      <c r="D612" s="22">
        <f>IF(A612="","",IF(OR(N(B612)&gt;=$C$2,N(C612)&gt;=$E$2),"High",IF(OR(N(B612)&gt;0,N(C612)&gt;0),"Medium","Low")))</f>
        <v/>
      </c>
      <c r="E612" s="22" t="n"/>
      <c r="F612" s="22" t="n"/>
      <c r="G612" s="22" t="n"/>
      <c r="H612" s="22" t="n"/>
      <c r="I612" s="22" t="n"/>
      <c r="J612" s="22" t="n"/>
      <c r="K612" s="22" t="n"/>
      <c r="L612" s="22" t="n"/>
      <c r="M612" s="22">
        <f>IF(K612="Override",L612,IF(K612="Accept suggestion",F612,IF(K612="No change (same URL)",A612,"")))</f>
        <v/>
      </c>
      <c r="N612" s="22">
        <f>IF(A612="","",IF(K612="410 Gone","410",IF(K612="404","404",IF(K612="No change (same URL)","none",IF(M612="","","301")))))</f>
        <v/>
      </c>
      <c r="O612" s="22">
        <f>IF(A612="","",IFERROR(MID(A612,FIND("/",A612,FIND("//",A612)+2),2000),A612))</f>
        <v/>
      </c>
      <c r="P612" s="22">
        <f>IF(OR(O612="",N612="",N612="none",N612="404"),"",IF(N612="410","Redirect gone "&amp;O612,"Redirect "&amp;N612&amp;" "&amp;O612&amp;" "&amp;M612))</f>
        <v/>
      </c>
      <c r="Q612" s="22" t="n"/>
      <c r="R612" s="22" t="n"/>
      <c r="S612" s="22" t="n"/>
      <c r="T612" s="4">
        <f>IF(A612="","",TRIM(IF(K612="","Needs decision; ","")&amp;IF(AND(K612="Accept suggestion",F612=""),"No suggestion to accept; ","")&amp;IF(AND(K612="Override",L612=""),"Override URL missing; ","")&amp;IF(AND(K612="Accept suggestion",N(G612)&lt;$G$2),"Below your threshold; ","")&amp;IF(AND(M612&lt;&gt;"",M612=A612,K612&lt;&gt;"No change (same URL)"),"Redirects to itself; ","")&amp;IF(AND(M612&lt;&gt;"",OR(M612="/",AND(LEFT(M612,4)="http",OR((LEN(M612)-LEN(SUBSTITUTE(M612,"/","")))=2,AND((LEN(M612)-LEN(SUBSTITUTE(M612,"/","")))=3,RIGHT(M612,1)="/"))))),"Home page redirect; ","")&amp;IF(N(R612)&gt;1,"Chain; ","")&amp;IF(S612="No","Destination not 200; ","")))</f>
        <v/>
      </c>
      <c r="U612" s="22" t="n"/>
      <c r="V612" s="22" t="n"/>
      <c r="W612" s="4" t="n"/>
    </row>
    <row r="613">
      <c r="A613" s="22" t="n"/>
      <c r="B613" s="22" t="n"/>
      <c r="C613" s="22" t="n"/>
      <c r="D613" s="22">
        <f>IF(A613="","",IF(OR(N(B613)&gt;=$C$2,N(C613)&gt;=$E$2),"High",IF(OR(N(B613)&gt;0,N(C613)&gt;0),"Medium","Low")))</f>
        <v/>
      </c>
      <c r="E613" s="22" t="n"/>
      <c r="F613" s="22" t="n"/>
      <c r="G613" s="22" t="n"/>
      <c r="H613" s="22" t="n"/>
      <c r="I613" s="22" t="n"/>
      <c r="J613" s="22" t="n"/>
      <c r="K613" s="22" t="n"/>
      <c r="L613" s="22" t="n"/>
      <c r="M613" s="22">
        <f>IF(K613="Override",L613,IF(K613="Accept suggestion",F613,IF(K613="No change (same URL)",A613,"")))</f>
        <v/>
      </c>
      <c r="N613" s="22">
        <f>IF(A613="","",IF(K613="410 Gone","410",IF(K613="404","404",IF(K613="No change (same URL)","none",IF(M613="","","301")))))</f>
        <v/>
      </c>
      <c r="O613" s="22">
        <f>IF(A613="","",IFERROR(MID(A613,FIND("/",A613,FIND("//",A613)+2),2000),A613))</f>
        <v/>
      </c>
      <c r="P613" s="22">
        <f>IF(OR(O613="",N613="",N613="none",N613="404"),"",IF(N613="410","Redirect gone "&amp;O613,"Redirect "&amp;N613&amp;" "&amp;O613&amp;" "&amp;M613))</f>
        <v/>
      </c>
      <c r="Q613" s="22" t="n"/>
      <c r="R613" s="22" t="n"/>
      <c r="S613" s="22" t="n"/>
      <c r="T613" s="4">
        <f>IF(A613="","",TRIM(IF(K613="","Needs decision; ","")&amp;IF(AND(K613="Accept suggestion",F613=""),"No suggestion to accept; ","")&amp;IF(AND(K613="Override",L613=""),"Override URL missing; ","")&amp;IF(AND(K613="Accept suggestion",N(G613)&lt;$G$2),"Below your threshold; ","")&amp;IF(AND(M613&lt;&gt;"",M613=A613,K613&lt;&gt;"No change (same URL)"),"Redirects to itself; ","")&amp;IF(AND(M613&lt;&gt;"",OR(M613="/",AND(LEFT(M613,4)="http",OR((LEN(M613)-LEN(SUBSTITUTE(M613,"/","")))=2,AND((LEN(M613)-LEN(SUBSTITUTE(M613,"/","")))=3,RIGHT(M613,1)="/"))))),"Home page redirect; ","")&amp;IF(N(R613)&gt;1,"Chain; ","")&amp;IF(S613="No","Destination not 200; ","")))</f>
        <v/>
      </c>
      <c r="U613" s="22" t="n"/>
      <c r="V613" s="22" t="n"/>
      <c r="W613" s="4" t="n"/>
    </row>
    <row r="614">
      <c r="A614" s="22" t="n"/>
      <c r="B614" s="22" t="n"/>
      <c r="C614" s="22" t="n"/>
      <c r="D614" s="22">
        <f>IF(A614="","",IF(OR(N(B614)&gt;=$C$2,N(C614)&gt;=$E$2),"High",IF(OR(N(B614)&gt;0,N(C614)&gt;0),"Medium","Low")))</f>
        <v/>
      </c>
      <c r="E614" s="22" t="n"/>
      <c r="F614" s="22" t="n"/>
      <c r="G614" s="22" t="n"/>
      <c r="H614" s="22" t="n"/>
      <c r="I614" s="22" t="n"/>
      <c r="J614" s="22" t="n"/>
      <c r="K614" s="22" t="n"/>
      <c r="L614" s="22" t="n"/>
      <c r="M614" s="22">
        <f>IF(K614="Override",L614,IF(K614="Accept suggestion",F614,IF(K614="No change (same URL)",A614,"")))</f>
        <v/>
      </c>
      <c r="N614" s="22">
        <f>IF(A614="","",IF(K614="410 Gone","410",IF(K614="404","404",IF(K614="No change (same URL)","none",IF(M614="","","301")))))</f>
        <v/>
      </c>
      <c r="O614" s="22">
        <f>IF(A614="","",IFERROR(MID(A614,FIND("/",A614,FIND("//",A614)+2),2000),A614))</f>
        <v/>
      </c>
      <c r="P614" s="22">
        <f>IF(OR(O614="",N614="",N614="none",N614="404"),"",IF(N614="410","Redirect gone "&amp;O614,"Redirect "&amp;N614&amp;" "&amp;O614&amp;" "&amp;M614))</f>
        <v/>
      </c>
      <c r="Q614" s="22" t="n"/>
      <c r="R614" s="22" t="n"/>
      <c r="S614" s="22" t="n"/>
      <c r="T614" s="4">
        <f>IF(A614="","",TRIM(IF(K614="","Needs decision; ","")&amp;IF(AND(K614="Accept suggestion",F614=""),"No suggestion to accept; ","")&amp;IF(AND(K614="Override",L614=""),"Override URL missing; ","")&amp;IF(AND(K614="Accept suggestion",N(G614)&lt;$G$2),"Below your threshold; ","")&amp;IF(AND(M614&lt;&gt;"",M614=A614,K614&lt;&gt;"No change (same URL)"),"Redirects to itself; ","")&amp;IF(AND(M614&lt;&gt;"",OR(M614="/",AND(LEFT(M614,4)="http",OR((LEN(M614)-LEN(SUBSTITUTE(M614,"/","")))=2,AND((LEN(M614)-LEN(SUBSTITUTE(M614,"/","")))=3,RIGHT(M614,1)="/"))))),"Home page redirect; ","")&amp;IF(N(R614)&gt;1,"Chain; ","")&amp;IF(S614="No","Destination not 200; ","")))</f>
        <v/>
      </c>
      <c r="U614" s="22" t="n"/>
      <c r="V614" s="22" t="n"/>
      <c r="W614" s="4" t="n"/>
    </row>
    <row r="615">
      <c r="A615" s="22" t="n"/>
      <c r="B615" s="22" t="n"/>
      <c r="C615" s="22" t="n"/>
      <c r="D615" s="22">
        <f>IF(A615="","",IF(OR(N(B615)&gt;=$C$2,N(C615)&gt;=$E$2),"High",IF(OR(N(B615)&gt;0,N(C615)&gt;0),"Medium","Low")))</f>
        <v/>
      </c>
      <c r="E615" s="22" t="n"/>
      <c r="F615" s="22" t="n"/>
      <c r="G615" s="22" t="n"/>
      <c r="H615" s="22" t="n"/>
      <c r="I615" s="22" t="n"/>
      <c r="J615" s="22" t="n"/>
      <c r="K615" s="22" t="n"/>
      <c r="L615" s="22" t="n"/>
      <c r="M615" s="22">
        <f>IF(K615="Override",L615,IF(K615="Accept suggestion",F615,IF(K615="No change (same URL)",A615,"")))</f>
        <v/>
      </c>
      <c r="N615" s="22">
        <f>IF(A615="","",IF(K615="410 Gone","410",IF(K615="404","404",IF(K615="No change (same URL)","none",IF(M615="","","301")))))</f>
        <v/>
      </c>
      <c r="O615" s="22">
        <f>IF(A615="","",IFERROR(MID(A615,FIND("/",A615,FIND("//",A615)+2),2000),A615))</f>
        <v/>
      </c>
      <c r="P615" s="22">
        <f>IF(OR(O615="",N615="",N615="none",N615="404"),"",IF(N615="410","Redirect gone "&amp;O615,"Redirect "&amp;N615&amp;" "&amp;O615&amp;" "&amp;M615))</f>
        <v/>
      </c>
      <c r="Q615" s="22" t="n"/>
      <c r="R615" s="22" t="n"/>
      <c r="S615" s="22" t="n"/>
      <c r="T615" s="4">
        <f>IF(A615="","",TRIM(IF(K615="","Needs decision; ","")&amp;IF(AND(K615="Accept suggestion",F615=""),"No suggestion to accept; ","")&amp;IF(AND(K615="Override",L615=""),"Override URL missing; ","")&amp;IF(AND(K615="Accept suggestion",N(G615)&lt;$G$2),"Below your threshold; ","")&amp;IF(AND(M615&lt;&gt;"",M615=A615,K615&lt;&gt;"No change (same URL)"),"Redirects to itself; ","")&amp;IF(AND(M615&lt;&gt;"",OR(M615="/",AND(LEFT(M615,4)="http",OR((LEN(M615)-LEN(SUBSTITUTE(M615,"/","")))=2,AND((LEN(M615)-LEN(SUBSTITUTE(M615,"/","")))=3,RIGHT(M615,1)="/"))))),"Home page redirect; ","")&amp;IF(N(R615)&gt;1,"Chain; ","")&amp;IF(S615="No","Destination not 200; ","")))</f>
        <v/>
      </c>
      <c r="U615" s="22" t="n"/>
      <c r="V615" s="22" t="n"/>
      <c r="W615" s="4" t="n"/>
    </row>
    <row r="616">
      <c r="A616" s="22" t="n"/>
      <c r="B616" s="22" t="n"/>
      <c r="C616" s="22" t="n"/>
      <c r="D616" s="22">
        <f>IF(A616="","",IF(OR(N(B616)&gt;=$C$2,N(C616)&gt;=$E$2),"High",IF(OR(N(B616)&gt;0,N(C616)&gt;0),"Medium","Low")))</f>
        <v/>
      </c>
      <c r="E616" s="22" t="n"/>
      <c r="F616" s="22" t="n"/>
      <c r="G616" s="22" t="n"/>
      <c r="H616" s="22" t="n"/>
      <c r="I616" s="22" t="n"/>
      <c r="J616" s="22" t="n"/>
      <c r="K616" s="22" t="n"/>
      <c r="L616" s="22" t="n"/>
      <c r="M616" s="22">
        <f>IF(K616="Override",L616,IF(K616="Accept suggestion",F616,IF(K616="No change (same URL)",A616,"")))</f>
        <v/>
      </c>
      <c r="N616" s="22">
        <f>IF(A616="","",IF(K616="410 Gone","410",IF(K616="404","404",IF(K616="No change (same URL)","none",IF(M616="","","301")))))</f>
        <v/>
      </c>
      <c r="O616" s="22">
        <f>IF(A616="","",IFERROR(MID(A616,FIND("/",A616,FIND("//",A616)+2),2000),A616))</f>
        <v/>
      </c>
      <c r="P616" s="22">
        <f>IF(OR(O616="",N616="",N616="none",N616="404"),"",IF(N616="410","Redirect gone "&amp;O616,"Redirect "&amp;N616&amp;" "&amp;O616&amp;" "&amp;M616))</f>
        <v/>
      </c>
      <c r="Q616" s="22" t="n"/>
      <c r="R616" s="22" t="n"/>
      <c r="S616" s="22" t="n"/>
      <c r="T616" s="4">
        <f>IF(A616="","",TRIM(IF(K616="","Needs decision; ","")&amp;IF(AND(K616="Accept suggestion",F616=""),"No suggestion to accept; ","")&amp;IF(AND(K616="Override",L616=""),"Override URL missing; ","")&amp;IF(AND(K616="Accept suggestion",N(G616)&lt;$G$2),"Below your threshold; ","")&amp;IF(AND(M616&lt;&gt;"",M616=A616,K616&lt;&gt;"No change (same URL)"),"Redirects to itself; ","")&amp;IF(AND(M616&lt;&gt;"",OR(M616="/",AND(LEFT(M616,4)="http",OR((LEN(M616)-LEN(SUBSTITUTE(M616,"/","")))=2,AND((LEN(M616)-LEN(SUBSTITUTE(M616,"/","")))=3,RIGHT(M616,1)="/"))))),"Home page redirect; ","")&amp;IF(N(R616)&gt;1,"Chain; ","")&amp;IF(S616="No","Destination not 200; ","")))</f>
        <v/>
      </c>
      <c r="U616" s="22" t="n"/>
      <c r="V616" s="22" t="n"/>
      <c r="W616" s="4" t="n"/>
    </row>
    <row r="617">
      <c r="A617" s="22" t="n"/>
      <c r="B617" s="22" t="n"/>
      <c r="C617" s="22" t="n"/>
      <c r="D617" s="22">
        <f>IF(A617="","",IF(OR(N(B617)&gt;=$C$2,N(C617)&gt;=$E$2),"High",IF(OR(N(B617)&gt;0,N(C617)&gt;0),"Medium","Low")))</f>
        <v/>
      </c>
      <c r="E617" s="22" t="n"/>
      <c r="F617" s="22" t="n"/>
      <c r="G617" s="22" t="n"/>
      <c r="H617" s="22" t="n"/>
      <c r="I617" s="22" t="n"/>
      <c r="J617" s="22" t="n"/>
      <c r="K617" s="22" t="n"/>
      <c r="L617" s="22" t="n"/>
      <c r="M617" s="22">
        <f>IF(K617="Override",L617,IF(K617="Accept suggestion",F617,IF(K617="No change (same URL)",A617,"")))</f>
        <v/>
      </c>
      <c r="N617" s="22">
        <f>IF(A617="","",IF(K617="410 Gone","410",IF(K617="404","404",IF(K617="No change (same URL)","none",IF(M617="","","301")))))</f>
        <v/>
      </c>
      <c r="O617" s="22">
        <f>IF(A617="","",IFERROR(MID(A617,FIND("/",A617,FIND("//",A617)+2),2000),A617))</f>
        <v/>
      </c>
      <c r="P617" s="22">
        <f>IF(OR(O617="",N617="",N617="none",N617="404"),"",IF(N617="410","Redirect gone "&amp;O617,"Redirect "&amp;N617&amp;" "&amp;O617&amp;" "&amp;M617))</f>
        <v/>
      </c>
      <c r="Q617" s="22" t="n"/>
      <c r="R617" s="22" t="n"/>
      <c r="S617" s="22" t="n"/>
      <c r="T617" s="4">
        <f>IF(A617="","",TRIM(IF(K617="","Needs decision; ","")&amp;IF(AND(K617="Accept suggestion",F617=""),"No suggestion to accept; ","")&amp;IF(AND(K617="Override",L617=""),"Override URL missing; ","")&amp;IF(AND(K617="Accept suggestion",N(G617)&lt;$G$2),"Below your threshold; ","")&amp;IF(AND(M617&lt;&gt;"",M617=A617,K617&lt;&gt;"No change (same URL)"),"Redirects to itself; ","")&amp;IF(AND(M617&lt;&gt;"",OR(M617="/",AND(LEFT(M617,4)="http",OR((LEN(M617)-LEN(SUBSTITUTE(M617,"/","")))=2,AND((LEN(M617)-LEN(SUBSTITUTE(M617,"/","")))=3,RIGHT(M617,1)="/"))))),"Home page redirect; ","")&amp;IF(N(R617)&gt;1,"Chain; ","")&amp;IF(S617="No","Destination not 200; ","")))</f>
        <v/>
      </c>
      <c r="U617" s="22" t="n"/>
      <c r="V617" s="22" t="n"/>
      <c r="W617" s="4" t="n"/>
    </row>
    <row r="618">
      <c r="A618" s="22" t="n"/>
      <c r="B618" s="22" t="n"/>
      <c r="C618" s="22" t="n"/>
      <c r="D618" s="22">
        <f>IF(A618="","",IF(OR(N(B618)&gt;=$C$2,N(C618)&gt;=$E$2),"High",IF(OR(N(B618)&gt;0,N(C618)&gt;0),"Medium","Low")))</f>
        <v/>
      </c>
      <c r="E618" s="22" t="n"/>
      <c r="F618" s="22" t="n"/>
      <c r="G618" s="22" t="n"/>
      <c r="H618" s="22" t="n"/>
      <c r="I618" s="22" t="n"/>
      <c r="J618" s="22" t="n"/>
      <c r="K618" s="22" t="n"/>
      <c r="L618" s="22" t="n"/>
      <c r="M618" s="22">
        <f>IF(K618="Override",L618,IF(K618="Accept suggestion",F618,IF(K618="No change (same URL)",A618,"")))</f>
        <v/>
      </c>
      <c r="N618" s="22">
        <f>IF(A618="","",IF(K618="410 Gone","410",IF(K618="404","404",IF(K618="No change (same URL)","none",IF(M618="","","301")))))</f>
        <v/>
      </c>
      <c r="O618" s="22">
        <f>IF(A618="","",IFERROR(MID(A618,FIND("/",A618,FIND("//",A618)+2),2000),A618))</f>
        <v/>
      </c>
      <c r="P618" s="22">
        <f>IF(OR(O618="",N618="",N618="none",N618="404"),"",IF(N618="410","Redirect gone "&amp;O618,"Redirect "&amp;N618&amp;" "&amp;O618&amp;" "&amp;M618))</f>
        <v/>
      </c>
      <c r="Q618" s="22" t="n"/>
      <c r="R618" s="22" t="n"/>
      <c r="S618" s="22" t="n"/>
      <c r="T618" s="4">
        <f>IF(A618="","",TRIM(IF(K618="","Needs decision; ","")&amp;IF(AND(K618="Accept suggestion",F618=""),"No suggestion to accept; ","")&amp;IF(AND(K618="Override",L618=""),"Override URL missing; ","")&amp;IF(AND(K618="Accept suggestion",N(G618)&lt;$G$2),"Below your threshold; ","")&amp;IF(AND(M618&lt;&gt;"",M618=A618,K618&lt;&gt;"No change (same URL)"),"Redirects to itself; ","")&amp;IF(AND(M618&lt;&gt;"",OR(M618="/",AND(LEFT(M618,4)="http",OR((LEN(M618)-LEN(SUBSTITUTE(M618,"/","")))=2,AND((LEN(M618)-LEN(SUBSTITUTE(M618,"/","")))=3,RIGHT(M618,1)="/"))))),"Home page redirect; ","")&amp;IF(N(R618)&gt;1,"Chain; ","")&amp;IF(S618="No","Destination not 200; ","")))</f>
        <v/>
      </c>
      <c r="U618" s="22" t="n"/>
      <c r="V618" s="22" t="n"/>
      <c r="W618" s="4" t="n"/>
    </row>
    <row r="619">
      <c r="A619" s="22" t="n"/>
      <c r="B619" s="22" t="n"/>
      <c r="C619" s="22" t="n"/>
      <c r="D619" s="22">
        <f>IF(A619="","",IF(OR(N(B619)&gt;=$C$2,N(C619)&gt;=$E$2),"High",IF(OR(N(B619)&gt;0,N(C619)&gt;0),"Medium","Low")))</f>
        <v/>
      </c>
      <c r="E619" s="22" t="n"/>
      <c r="F619" s="22" t="n"/>
      <c r="G619" s="22" t="n"/>
      <c r="H619" s="22" t="n"/>
      <c r="I619" s="22" t="n"/>
      <c r="J619" s="22" t="n"/>
      <c r="K619" s="22" t="n"/>
      <c r="L619" s="22" t="n"/>
      <c r="M619" s="22">
        <f>IF(K619="Override",L619,IF(K619="Accept suggestion",F619,IF(K619="No change (same URL)",A619,"")))</f>
        <v/>
      </c>
      <c r="N619" s="22">
        <f>IF(A619="","",IF(K619="410 Gone","410",IF(K619="404","404",IF(K619="No change (same URL)","none",IF(M619="","","301")))))</f>
        <v/>
      </c>
      <c r="O619" s="22">
        <f>IF(A619="","",IFERROR(MID(A619,FIND("/",A619,FIND("//",A619)+2),2000),A619))</f>
        <v/>
      </c>
      <c r="P619" s="22">
        <f>IF(OR(O619="",N619="",N619="none",N619="404"),"",IF(N619="410","Redirect gone "&amp;O619,"Redirect "&amp;N619&amp;" "&amp;O619&amp;" "&amp;M619))</f>
        <v/>
      </c>
      <c r="Q619" s="22" t="n"/>
      <c r="R619" s="22" t="n"/>
      <c r="S619" s="22" t="n"/>
      <c r="T619" s="4">
        <f>IF(A619="","",TRIM(IF(K619="","Needs decision; ","")&amp;IF(AND(K619="Accept suggestion",F619=""),"No suggestion to accept; ","")&amp;IF(AND(K619="Override",L619=""),"Override URL missing; ","")&amp;IF(AND(K619="Accept suggestion",N(G619)&lt;$G$2),"Below your threshold; ","")&amp;IF(AND(M619&lt;&gt;"",M619=A619,K619&lt;&gt;"No change (same URL)"),"Redirects to itself; ","")&amp;IF(AND(M619&lt;&gt;"",OR(M619="/",AND(LEFT(M619,4)="http",OR((LEN(M619)-LEN(SUBSTITUTE(M619,"/","")))=2,AND((LEN(M619)-LEN(SUBSTITUTE(M619,"/","")))=3,RIGHT(M619,1)="/"))))),"Home page redirect; ","")&amp;IF(N(R619)&gt;1,"Chain; ","")&amp;IF(S619="No","Destination not 200; ","")))</f>
        <v/>
      </c>
      <c r="U619" s="22" t="n"/>
      <c r="V619" s="22" t="n"/>
      <c r="W619" s="4" t="n"/>
    </row>
    <row r="620">
      <c r="A620" s="22" t="n"/>
      <c r="B620" s="22" t="n"/>
      <c r="C620" s="22" t="n"/>
      <c r="D620" s="22">
        <f>IF(A620="","",IF(OR(N(B620)&gt;=$C$2,N(C620)&gt;=$E$2),"High",IF(OR(N(B620)&gt;0,N(C620)&gt;0),"Medium","Low")))</f>
        <v/>
      </c>
      <c r="E620" s="22" t="n"/>
      <c r="F620" s="22" t="n"/>
      <c r="G620" s="22" t="n"/>
      <c r="H620" s="22" t="n"/>
      <c r="I620" s="22" t="n"/>
      <c r="J620" s="22" t="n"/>
      <c r="K620" s="22" t="n"/>
      <c r="L620" s="22" t="n"/>
      <c r="M620" s="22">
        <f>IF(K620="Override",L620,IF(K620="Accept suggestion",F620,IF(K620="No change (same URL)",A620,"")))</f>
        <v/>
      </c>
      <c r="N620" s="22">
        <f>IF(A620="","",IF(K620="410 Gone","410",IF(K620="404","404",IF(K620="No change (same URL)","none",IF(M620="","","301")))))</f>
        <v/>
      </c>
      <c r="O620" s="22">
        <f>IF(A620="","",IFERROR(MID(A620,FIND("/",A620,FIND("//",A620)+2),2000),A620))</f>
        <v/>
      </c>
      <c r="P620" s="22">
        <f>IF(OR(O620="",N620="",N620="none",N620="404"),"",IF(N620="410","Redirect gone "&amp;O620,"Redirect "&amp;N620&amp;" "&amp;O620&amp;" "&amp;M620))</f>
        <v/>
      </c>
      <c r="Q620" s="22" t="n"/>
      <c r="R620" s="22" t="n"/>
      <c r="S620" s="22" t="n"/>
      <c r="T620" s="4">
        <f>IF(A620="","",TRIM(IF(K620="","Needs decision; ","")&amp;IF(AND(K620="Accept suggestion",F620=""),"No suggestion to accept; ","")&amp;IF(AND(K620="Override",L620=""),"Override URL missing; ","")&amp;IF(AND(K620="Accept suggestion",N(G620)&lt;$G$2),"Below your threshold; ","")&amp;IF(AND(M620&lt;&gt;"",M620=A620,K620&lt;&gt;"No change (same URL)"),"Redirects to itself; ","")&amp;IF(AND(M620&lt;&gt;"",OR(M620="/",AND(LEFT(M620,4)="http",OR((LEN(M620)-LEN(SUBSTITUTE(M620,"/","")))=2,AND((LEN(M620)-LEN(SUBSTITUTE(M620,"/","")))=3,RIGHT(M620,1)="/"))))),"Home page redirect; ","")&amp;IF(N(R620)&gt;1,"Chain; ","")&amp;IF(S620="No","Destination not 200; ","")))</f>
        <v/>
      </c>
      <c r="U620" s="22" t="n"/>
      <c r="V620" s="22" t="n"/>
      <c r="W620" s="4" t="n"/>
    </row>
    <row r="621">
      <c r="A621" s="22" t="n"/>
      <c r="B621" s="22" t="n"/>
      <c r="C621" s="22" t="n"/>
      <c r="D621" s="22">
        <f>IF(A621="","",IF(OR(N(B621)&gt;=$C$2,N(C621)&gt;=$E$2),"High",IF(OR(N(B621)&gt;0,N(C621)&gt;0),"Medium","Low")))</f>
        <v/>
      </c>
      <c r="E621" s="22" t="n"/>
      <c r="F621" s="22" t="n"/>
      <c r="G621" s="22" t="n"/>
      <c r="H621" s="22" t="n"/>
      <c r="I621" s="22" t="n"/>
      <c r="J621" s="22" t="n"/>
      <c r="K621" s="22" t="n"/>
      <c r="L621" s="22" t="n"/>
      <c r="M621" s="22">
        <f>IF(K621="Override",L621,IF(K621="Accept suggestion",F621,IF(K621="No change (same URL)",A621,"")))</f>
        <v/>
      </c>
      <c r="N621" s="22">
        <f>IF(A621="","",IF(K621="410 Gone","410",IF(K621="404","404",IF(K621="No change (same URL)","none",IF(M621="","","301")))))</f>
        <v/>
      </c>
      <c r="O621" s="22">
        <f>IF(A621="","",IFERROR(MID(A621,FIND("/",A621,FIND("//",A621)+2),2000),A621))</f>
        <v/>
      </c>
      <c r="P621" s="22">
        <f>IF(OR(O621="",N621="",N621="none",N621="404"),"",IF(N621="410","Redirect gone "&amp;O621,"Redirect "&amp;N621&amp;" "&amp;O621&amp;" "&amp;M621))</f>
        <v/>
      </c>
      <c r="Q621" s="22" t="n"/>
      <c r="R621" s="22" t="n"/>
      <c r="S621" s="22" t="n"/>
      <c r="T621" s="4">
        <f>IF(A621="","",TRIM(IF(K621="","Needs decision; ","")&amp;IF(AND(K621="Accept suggestion",F621=""),"No suggestion to accept; ","")&amp;IF(AND(K621="Override",L621=""),"Override URL missing; ","")&amp;IF(AND(K621="Accept suggestion",N(G621)&lt;$G$2),"Below your threshold; ","")&amp;IF(AND(M621&lt;&gt;"",M621=A621,K621&lt;&gt;"No change (same URL)"),"Redirects to itself; ","")&amp;IF(AND(M621&lt;&gt;"",OR(M621="/",AND(LEFT(M621,4)="http",OR((LEN(M621)-LEN(SUBSTITUTE(M621,"/","")))=2,AND((LEN(M621)-LEN(SUBSTITUTE(M621,"/","")))=3,RIGHT(M621,1)="/"))))),"Home page redirect; ","")&amp;IF(N(R621)&gt;1,"Chain; ","")&amp;IF(S621="No","Destination not 200; ","")))</f>
        <v/>
      </c>
      <c r="U621" s="22" t="n"/>
      <c r="V621" s="22" t="n"/>
      <c r="W621" s="4" t="n"/>
    </row>
    <row r="622">
      <c r="A622" s="22" t="n"/>
      <c r="B622" s="22" t="n"/>
      <c r="C622" s="22" t="n"/>
      <c r="D622" s="22">
        <f>IF(A622="","",IF(OR(N(B622)&gt;=$C$2,N(C622)&gt;=$E$2),"High",IF(OR(N(B622)&gt;0,N(C622)&gt;0),"Medium","Low")))</f>
        <v/>
      </c>
      <c r="E622" s="22" t="n"/>
      <c r="F622" s="22" t="n"/>
      <c r="G622" s="22" t="n"/>
      <c r="H622" s="22" t="n"/>
      <c r="I622" s="22" t="n"/>
      <c r="J622" s="22" t="n"/>
      <c r="K622" s="22" t="n"/>
      <c r="L622" s="22" t="n"/>
      <c r="M622" s="22">
        <f>IF(K622="Override",L622,IF(K622="Accept suggestion",F622,IF(K622="No change (same URL)",A622,"")))</f>
        <v/>
      </c>
      <c r="N622" s="22">
        <f>IF(A622="","",IF(K622="410 Gone","410",IF(K622="404","404",IF(K622="No change (same URL)","none",IF(M622="","","301")))))</f>
        <v/>
      </c>
      <c r="O622" s="22">
        <f>IF(A622="","",IFERROR(MID(A622,FIND("/",A622,FIND("//",A622)+2),2000),A622))</f>
        <v/>
      </c>
      <c r="P622" s="22">
        <f>IF(OR(O622="",N622="",N622="none",N622="404"),"",IF(N622="410","Redirect gone "&amp;O622,"Redirect "&amp;N622&amp;" "&amp;O622&amp;" "&amp;M622))</f>
        <v/>
      </c>
      <c r="Q622" s="22" t="n"/>
      <c r="R622" s="22" t="n"/>
      <c r="S622" s="22" t="n"/>
      <c r="T622" s="4">
        <f>IF(A622="","",TRIM(IF(K622="","Needs decision; ","")&amp;IF(AND(K622="Accept suggestion",F622=""),"No suggestion to accept; ","")&amp;IF(AND(K622="Override",L622=""),"Override URL missing; ","")&amp;IF(AND(K622="Accept suggestion",N(G622)&lt;$G$2),"Below your threshold; ","")&amp;IF(AND(M622&lt;&gt;"",M622=A622,K622&lt;&gt;"No change (same URL)"),"Redirects to itself; ","")&amp;IF(AND(M622&lt;&gt;"",OR(M622="/",AND(LEFT(M622,4)="http",OR((LEN(M622)-LEN(SUBSTITUTE(M622,"/","")))=2,AND((LEN(M622)-LEN(SUBSTITUTE(M622,"/","")))=3,RIGHT(M622,1)="/"))))),"Home page redirect; ","")&amp;IF(N(R622)&gt;1,"Chain; ","")&amp;IF(S622="No","Destination not 200; ","")))</f>
        <v/>
      </c>
      <c r="U622" s="22" t="n"/>
      <c r="V622" s="22" t="n"/>
      <c r="W622" s="4" t="n"/>
    </row>
    <row r="623">
      <c r="A623" s="22" t="n"/>
      <c r="B623" s="22" t="n"/>
      <c r="C623" s="22" t="n"/>
      <c r="D623" s="22">
        <f>IF(A623="","",IF(OR(N(B623)&gt;=$C$2,N(C623)&gt;=$E$2),"High",IF(OR(N(B623)&gt;0,N(C623)&gt;0),"Medium","Low")))</f>
        <v/>
      </c>
      <c r="E623" s="22" t="n"/>
      <c r="F623" s="22" t="n"/>
      <c r="G623" s="22" t="n"/>
      <c r="H623" s="22" t="n"/>
      <c r="I623" s="22" t="n"/>
      <c r="J623" s="22" t="n"/>
      <c r="K623" s="22" t="n"/>
      <c r="L623" s="22" t="n"/>
      <c r="M623" s="22">
        <f>IF(K623="Override",L623,IF(K623="Accept suggestion",F623,IF(K623="No change (same URL)",A623,"")))</f>
        <v/>
      </c>
      <c r="N623" s="22">
        <f>IF(A623="","",IF(K623="410 Gone","410",IF(K623="404","404",IF(K623="No change (same URL)","none",IF(M623="","","301")))))</f>
        <v/>
      </c>
      <c r="O623" s="22">
        <f>IF(A623="","",IFERROR(MID(A623,FIND("/",A623,FIND("//",A623)+2),2000),A623))</f>
        <v/>
      </c>
      <c r="P623" s="22">
        <f>IF(OR(O623="",N623="",N623="none",N623="404"),"",IF(N623="410","Redirect gone "&amp;O623,"Redirect "&amp;N623&amp;" "&amp;O623&amp;" "&amp;M623))</f>
        <v/>
      </c>
      <c r="Q623" s="22" t="n"/>
      <c r="R623" s="22" t="n"/>
      <c r="S623" s="22" t="n"/>
      <c r="T623" s="4">
        <f>IF(A623="","",TRIM(IF(K623="","Needs decision; ","")&amp;IF(AND(K623="Accept suggestion",F623=""),"No suggestion to accept; ","")&amp;IF(AND(K623="Override",L623=""),"Override URL missing; ","")&amp;IF(AND(K623="Accept suggestion",N(G623)&lt;$G$2),"Below your threshold; ","")&amp;IF(AND(M623&lt;&gt;"",M623=A623,K623&lt;&gt;"No change (same URL)"),"Redirects to itself; ","")&amp;IF(AND(M623&lt;&gt;"",OR(M623="/",AND(LEFT(M623,4)="http",OR((LEN(M623)-LEN(SUBSTITUTE(M623,"/","")))=2,AND((LEN(M623)-LEN(SUBSTITUTE(M623,"/","")))=3,RIGHT(M623,1)="/"))))),"Home page redirect; ","")&amp;IF(N(R623)&gt;1,"Chain; ","")&amp;IF(S623="No","Destination not 200; ","")))</f>
        <v/>
      </c>
      <c r="U623" s="22" t="n"/>
      <c r="V623" s="22" t="n"/>
      <c r="W623" s="4" t="n"/>
    </row>
    <row r="624">
      <c r="A624" s="22" t="n"/>
      <c r="B624" s="22" t="n"/>
      <c r="C624" s="22" t="n"/>
      <c r="D624" s="22">
        <f>IF(A624="","",IF(OR(N(B624)&gt;=$C$2,N(C624)&gt;=$E$2),"High",IF(OR(N(B624)&gt;0,N(C624)&gt;0),"Medium","Low")))</f>
        <v/>
      </c>
      <c r="E624" s="22" t="n"/>
      <c r="F624" s="22" t="n"/>
      <c r="G624" s="22" t="n"/>
      <c r="H624" s="22" t="n"/>
      <c r="I624" s="22" t="n"/>
      <c r="J624" s="22" t="n"/>
      <c r="K624" s="22" t="n"/>
      <c r="L624" s="22" t="n"/>
      <c r="M624" s="22">
        <f>IF(K624="Override",L624,IF(K624="Accept suggestion",F624,IF(K624="No change (same URL)",A624,"")))</f>
        <v/>
      </c>
      <c r="N624" s="22">
        <f>IF(A624="","",IF(K624="410 Gone","410",IF(K624="404","404",IF(K624="No change (same URL)","none",IF(M624="","","301")))))</f>
        <v/>
      </c>
      <c r="O624" s="22">
        <f>IF(A624="","",IFERROR(MID(A624,FIND("/",A624,FIND("//",A624)+2),2000),A624))</f>
        <v/>
      </c>
      <c r="P624" s="22">
        <f>IF(OR(O624="",N624="",N624="none",N624="404"),"",IF(N624="410","Redirect gone "&amp;O624,"Redirect "&amp;N624&amp;" "&amp;O624&amp;" "&amp;M624))</f>
        <v/>
      </c>
      <c r="Q624" s="22" t="n"/>
      <c r="R624" s="22" t="n"/>
      <c r="S624" s="22" t="n"/>
      <c r="T624" s="4">
        <f>IF(A624="","",TRIM(IF(K624="","Needs decision; ","")&amp;IF(AND(K624="Accept suggestion",F624=""),"No suggestion to accept; ","")&amp;IF(AND(K624="Override",L624=""),"Override URL missing; ","")&amp;IF(AND(K624="Accept suggestion",N(G624)&lt;$G$2),"Below your threshold; ","")&amp;IF(AND(M624&lt;&gt;"",M624=A624,K624&lt;&gt;"No change (same URL)"),"Redirects to itself; ","")&amp;IF(AND(M624&lt;&gt;"",OR(M624="/",AND(LEFT(M624,4)="http",OR((LEN(M624)-LEN(SUBSTITUTE(M624,"/","")))=2,AND((LEN(M624)-LEN(SUBSTITUTE(M624,"/","")))=3,RIGHT(M624,1)="/"))))),"Home page redirect; ","")&amp;IF(N(R624)&gt;1,"Chain; ","")&amp;IF(S624="No","Destination not 200; ","")))</f>
        <v/>
      </c>
      <c r="U624" s="22" t="n"/>
      <c r="V624" s="22" t="n"/>
      <c r="W624" s="4" t="n"/>
    </row>
    <row r="625">
      <c r="A625" s="22" t="n"/>
      <c r="B625" s="22" t="n"/>
      <c r="C625" s="22" t="n"/>
      <c r="D625" s="22">
        <f>IF(A625="","",IF(OR(N(B625)&gt;=$C$2,N(C625)&gt;=$E$2),"High",IF(OR(N(B625)&gt;0,N(C625)&gt;0),"Medium","Low")))</f>
        <v/>
      </c>
      <c r="E625" s="22" t="n"/>
      <c r="F625" s="22" t="n"/>
      <c r="G625" s="22" t="n"/>
      <c r="H625" s="22" t="n"/>
      <c r="I625" s="22" t="n"/>
      <c r="J625" s="22" t="n"/>
      <c r="K625" s="22" t="n"/>
      <c r="L625" s="22" t="n"/>
      <c r="M625" s="22">
        <f>IF(K625="Override",L625,IF(K625="Accept suggestion",F625,IF(K625="No change (same URL)",A625,"")))</f>
        <v/>
      </c>
      <c r="N625" s="22">
        <f>IF(A625="","",IF(K625="410 Gone","410",IF(K625="404","404",IF(K625="No change (same URL)","none",IF(M625="","","301")))))</f>
        <v/>
      </c>
      <c r="O625" s="22">
        <f>IF(A625="","",IFERROR(MID(A625,FIND("/",A625,FIND("//",A625)+2),2000),A625))</f>
        <v/>
      </c>
      <c r="P625" s="22">
        <f>IF(OR(O625="",N625="",N625="none",N625="404"),"",IF(N625="410","Redirect gone "&amp;O625,"Redirect "&amp;N625&amp;" "&amp;O625&amp;" "&amp;M625))</f>
        <v/>
      </c>
      <c r="Q625" s="22" t="n"/>
      <c r="R625" s="22" t="n"/>
      <c r="S625" s="22" t="n"/>
      <c r="T625" s="4">
        <f>IF(A625="","",TRIM(IF(K625="","Needs decision; ","")&amp;IF(AND(K625="Accept suggestion",F625=""),"No suggestion to accept; ","")&amp;IF(AND(K625="Override",L625=""),"Override URL missing; ","")&amp;IF(AND(K625="Accept suggestion",N(G625)&lt;$G$2),"Below your threshold; ","")&amp;IF(AND(M625&lt;&gt;"",M625=A625,K625&lt;&gt;"No change (same URL)"),"Redirects to itself; ","")&amp;IF(AND(M625&lt;&gt;"",OR(M625="/",AND(LEFT(M625,4)="http",OR((LEN(M625)-LEN(SUBSTITUTE(M625,"/","")))=2,AND((LEN(M625)-LEN(SUBSTITUTE(M625,"/","")))=3,RIGHT(M625,1)="/"))))),"Home page redirect; ","")&amp;IF(N(R625)&gt;1,"Chain; ","")&amp;IF(S625="No","Destination not 200; ","")))</f>
        <v/>
      </c>
      <c r="U625" s="22" t="n"/>
      <c r="V625" s="22" t="n"/>
      <c r="W625" s="4" t="n"/>
    </row>
    <row r="626">
      <c r="A626" s="22" t="n"/>
      <c r="B626" s="22" t="n"/>
      <c r="C626" s="22" t="n"/>
      <c r="D626" s="22">
        <f>IF(A626="","",IF(OR(N(B626)&gt;=$C$2,N(C626)&gt;=$E$2),"High",IF(OR(N(B626)&gt;0,N(C626)&gt;0),"Medium","Low")))</f>
        <v/>
      </c>
      <c r="E626" s="22" t="n"/>
      <c r="F626" s="22" t="n"/>
      <c r="G626" s="22" t="n"/>
      <c r="H626" s="22" t="n"/>
      <c r="I626" s="22" t="n"/>
      <c r="J626" s="22" t="n"/>
      <c r="K626" s="22" t="n"/>
      <c r="L626" s="22" t="n"/>
      <c r="M626" s="22">
        <f>IF(K626="Override",L626,IF(K626="Accept suggestion",F626,IF(K626="No change (same URL)",A626,"")))</f>
        <v/>
      </c>
      <c r="N626" s="22">
        <f>IF(A626="","",IF(K626="410 Gone","410",IF(K626="404","404",IF(K626="No change (same URL)","none",IF(M626="","","301")))))</f>
        <v/>
      </c>
      <c r="O626" s="22">
        <f>IF(A626="","",IFERROR(MID(A626,FIND("/",A626,FIND("//",A626)+2),2000),A626))</f>
        <v/>
      </c>
      <c r="P626" s="22">
        <f>IF(OR(O626="",N626="",N626="none",N626="404"),"",IF(N626="410","Redirect gone "&amp;O626,"Redirect "&amp;N626&amp;" "&amp;O626&amp;" "&amp;M626))</f>
        <v/>
      </c>
      <c r="Q626" s="22" t="n"/>
      <c r="R626" s="22" t="n"/>
      <c r="S626" s="22" t="n"/>
      <c r="T626" s="4">
        <f>IF(A626="","",TRIM(IF(K626="","Needs decision; ","")&amp;IF(AND(K626="Accept suggestion",F626=""),"No suggestion to accept; ","")&amp;IF(AND(K626="Override",L626=""),"Override URL missing; ","")&amp;IF(AND(K626="Accept suggestion",N(G626)&lt;$G$2),"Below your threshold; ","")&amp;IF(AND(M626&lt;&gt;"",M626=A626,K626&lt;&gt;"No change (same URL)"),"Redirects to itself; ","")&amp;IF(AND(M626&lt;&gt;"",OR(M626="/",AND(LEFT(M626,4)="http",OR((LEN(M626)-LEN(SUBSTITUTE(M626,"/","")))=2,AND((LEN(M626)-LEN(SUBSTITUTE(M626,"/","")))=3,RIGHT(M626,1)="/"))))),"Home page redirect; ","")&amp;IF(N(R626)&gt;1,"Chain; ","")&amp;IF(S626="No","Destination not 200; ","")))</f>
        <v/>
      </c>
      <c r="U626" s="22" t="n"/>
      <c r="V626" s="22" t="n"/>
      <c r="W626" s="4" t="n"/>
    </row>
    <row r="627">
      <c r="A627" s="22" t="n"/>
      <c r="B627" s="22" t="n"/>
      <c r="C627" s="22" t="n"/>
      <c r="D627" s="22">
        <f>IF(A627="","",IF(OR(N(B627)&gt;=$C$2,N(C627)&gt;=$E$2),"High",IF(OR(N(B627)&gt;0,N(C627)&gt;0),"Medium","Low")))</f>
        <v/>
      </c>
      <c r="E627" s="22" t="n"/>
      <c r="F627" s="22" t="n"/>
      <c r="G627" s="22" t="n"/>
      <c r="H627" s="22" t="n"/>
      <c r="I627" s="22" t="n"/>
      <c r="J627" s="22" t="n"/>
      <c r="K627" s="22" t="n"/>
      <c r="L627" s="22" t="n"/>
      <c r="M627" s="22">
        <f>IF(K627="Override",L627,IF(K627="Accept suggestion",F627,IF(K627="No change (same URL)",A627,"")))</f>
        <v/>
      </c>
      <c r="N627" s="22">
        <f>IF(A627="","",IF(K627="410 Gone","410",IF(K627="404","404",IF(K627="No change (same URL)","none",IF(M627="","","301")))))</f>
        <v/>
      </c>
      <c r="O627" s="22">
        <f>IF(A627="","",IFERROR(MID(A627,FIND("/",A627,FIND("//",A627)+2),2000),A627))</f>
        <v/>
      </c>
      <c r="P627" s="22">
        <f>IF(OR(O627="",N627="",N627="none",N627="404"),"",IF(N627="410","Redirect gone "&amp;O627,"Redirect "&amp;N627&amp;" "&amp;O627&amp;" "&amp;M627))</f>
        <v/>
      </c>
      <c r="Q627" s="22" t="n"/>
      <c r="R627" s="22" t="n"/>
      <c r="S627" s="22" t="n"/>
      <c r="T627" s="4">
        <f>IF(A627="","",TRIM(IF(K627="","Needs decision; ","")&amp;IF(AND(K627="Accept suggestion",F627=""),"No suggestion to accept; ","")&amp;IF(AND(K627="Override",L627=""),"Override URL missing; ","")&amp;IF(AND(K627="Accept suggestion",N(G627)&lt;$G$2),"Below your threshold; ","")&amp;IF(AND(M627&lt;&gt;"",M627=A627,K627&lt;&gt;"No change (same URL)"),"Redirects to itself; ","")&amp;IF(AND(M627&lt;&gt;"",OR(M627="/",AND(LEFT(M627,4)="http",OR((LEN(M627)-LEN(SUBSTITUTE(M627,"/","")))=2,AND((LEN(M627)-LEN(SUBSTITUTE(M627,"/","")))=3,RIGHT(M627,1)="/"))))),"Home page redirect; ","")&amp;IF(N(R627)&gt;1,"Chain; ","")&amp;IF(S627="No","Destination not 200; ","")))</f>
        <v/>
      </c>
      <c r="U627" s="22" t="n"/>
      <c r="V627" s="22" t="n"/>
      <c r="W627" s="4" t="n"/>
    </row>
    <row r="628">
      <c r="A628" s="22" t="n"/>
      <c r="B628" s="22" t="n"/>
      <c r="C628" s="22" t="n"/>
      <c r="D628" s="22">
        <f>IF(A628="","",IF(OR(N(B628)&gt;=$C$2,N(C628)&gt;=$E$2),"High",IF(OR(N(B628)&gt;0,N(C628)&gt;0),"Medium","Low")))</f>
        <v/>
      </c>
      <c r="E628" s="22" t="n"/>
      <c r="F628" s="22" t="n"/>
      <c r="G628" s="22" t="n"/>
      <c r="H628" s="22" t="n"/>
      <c r="I628" s="22" t="n"/>
      <c r="J628" s="22" t="n"/>
      <c r="K628" s="22" t="n"/>
      <c r="L628" s="22" t="n"/>
      <c r="M628" s="22">
        <f>IF(K628="Override",L628,IF(K628="Accept suggestion",F628,IF(K628="No change (same URL)",A628,"")))</f>
        <v/>
      </c>
      <c r="N628" s="22">
        <f>IF(A628="","",IF(K628="410 Gone","410",IF(K628="404","404",IF(K628="No change (same URL)","none",IF(M628="","","301")))))</f>
        <v/>
      </c>
      <c r="O628" s="22">
        <f>IF(A628="","",IFERROR(MID(A628,FIND("/",A628,FIND("//",A628)+2),2000),A628))</f>
        <v/>
      </c>
      <c r="P628" s="22">
        <f>IF(OR(O628="",N628="",N628="none",N628="404"),"",IF(N628="410","Redirect gone "&amp;O628,"Redirect "&amp;N628&amp;" "&amp;O628&amp;" "&amp;M628))</f>
        <v/>
      </c>
      <c r="Q628" s="22" t="n"/>
      <c r="R628" s="22" t="n"/>
      <c r="S628" s="22" t="n"/>
      <c r="T628" s="4">
        <f>IF(A628="","",TRIM(IF(K628="","Needs decision; ","")&amp;IF(AND(K628="Accept suggestion",F628=""),"No suggestion to accept; ","")&amp;IF(AND(K628="Override",L628=""),"Override URL missing; ","")&amp;IF(AND(K628="Accept suggestion",N(G628)&lt;$G$2),"Below your threshold; ","")&amp;IF(AND(M628&lt;&gt;"",M628=A628,K628&lt;&gt;"No change (same URL)"),"Redirects to itself; ","")&amp;IF(AND(M628&lt;&gt;"",OR(M628="/",AND(LEFT(M628,4)="http",OR((LEN(M628)-LEN(SUBSTITUTE(M628,"/","")))=2,AND((LEN(M628)-LEN(SUBSTITUTE(M628,"/","")))=3,RIGHT(M628,1)="/"))))),"Home page redirect; ","")&amp;IF(N(R628)&gt;1,"Chain; ","")&amp;IF(S628="No","Destination not 200; ","")))</f>
        <v/>
      </c>
      <c r="U628" s="22" t="n"/>
      <c r="V628" s="22" t="n"/>
      <c r="W628" s="4" t="n"/>
    </row>
    <row r="629">
      <c r="A629" s="22" t="n"/>
      <c r="B629" s="22" t="n"/>
      <c r="C629" s="22" t="n"/>
      <c r="D629" s="22">
        <f>IF(A629="","",IF(OR(N(B629)&gt;=$C$2,N(C629)&gt;=$E$2),"High",IF(OR(N(B629)&gt;0,N(C629)&gt;0),"Medium","Low")))</f>
        <v/>
      </c>
      <c r="E629" s="22" t="n"/>
      <c r="F629" s="22" t="n"/>
      <c r="G629" s="22" t="n"/>
      <c r="H629" s="22" t="n"/>
      <c r="I629" s="22" t="n"/>
      <c r="J629" s="22" t="n"/>
      <c r="K629" s="22" t="n"/>
      <c r="L629" s="22" t="n"/>
      <c r="M629" s="22">
        <f>IF(K629="Override",L629,IF(K629="Accept suggestion",F629,IF(K629="No change (same URL)",A629,"")))</f>
        <v/>
      </c>
      <c r="N629" s="22">
        <f>IF(A629="","",IF(K629="410 Gone","410",IF(K629="404","404",IF(K629="No change (same URL)","none",IF(M629="","","301")))))</f>
        <v/>
      </c>
      <c r="O629" s="22">
        <f>IF(A629="","",IFERROR(MID(A629,FIND("/",A629,FIND("//",A629)+2),2000),A629))</f>
        <v/>
      </c>
      <c r="P629" s="22">
        <f>IF(OR(O629="",N629="",N629="none",N629="404"),"",IF(N629="410","Redirect gone "&amp;O629,"Redirect "&amp;N629&amp;" "&amp;O629&amp;" "&amp;M629))</f>
        <v/>
      </c>
      <c r="Q629" s="22" t="n"/>
      <c r="R629" s="22" t="n"/>
      <c r="S629" s="22" t="n"/>
      <c r="T629" s="4">
        <f>IF(A629="","",TRIM(IF(K629="","Needs decision; ","")&amp;IF(AND(K629="Accept suggestion",F629=""),"No suggestion to accept; ","")&amp;IF(AND(K629="Override",L629=""),"Override URL missing; ","")&amp;IF(AND(K629="Accept suggestion",N(G629)&lt;$G$2),"Below your threshold; ","")&amp;IF(AND(M629&lt;&gt;"",M629=A629,K629&lt;&gt;"No change (same URL)"),"Redirects to itself; ","")&amp;IF(AND(M629&lt;&gt;"",OR(M629="/",AND(LEFT(M629,4)="http",OR((LEN(M629)-LEN(SUBSTITUTE(M629,"/","")))=2,AND((LEN(M629)-LEN(SUBSTITUTE(M629,"/","")))=3,RIGHT(M629,1)="/"))))),"Home page redirect; ","")&amp;IF(N(R629)&gt;1,"Chain; ","")&amp;IF(S629="No","Destination not 200; ","")))</f>
        <v/>
      </c>
      <c r="U629" s="22" t="n"/>
      <c r="V629" s="22" t="n"/>
      <c r="W629" s="4" t="n"/>
    </row>
    <row r="630">
      <c r="A630" s="22" t="n"/>
      <c r="B630" s="22" t="n"/>
      <c r="C630" s="22" t="n"/>
      <c r="D630" s="22">
        <f>IF(A630="","",IF(OR(N(B630)&gt;=$C$2,N(C630)&gt;=$E$2),"High",IF(OR(N(B630)&gt;0,N(C630)&gt;0),"Medium","Low")))</f>
        <v/>
      </c>
      <c r="E630" s="22" t="n"/>
      <c r="F630" s="22" t="n"/>
      <c r="G630" s="22" t="n"/>
      <c r="H630" s="22" t="n"/>
      <c r="I630" s="22" t="n"/>
      <c r="J630" s="22" t="n"/>
      <c r="K630" s="22" t="n"/>
      <c r="L630" s="22" t="n"/>
      <c r="M630" s="22">
        <f>IF(K630="Override",L630,IF(K630="Accept suggestion",F630,IF(K630="No change (same URL)",A630,"")))</f>
        <v/>
      </c>
      <c r="N630" s="22">
        <f>IF(A630="","",IF(K630="410 Gone","410",IF(K630="404","404",IF(K630="No change (same URL)","none",IF(M630="","","301")))))</f>
        <v/>
      </c>
      <c r="O630" s="22">
        <f>IF(A630="","",IFERROR(MID(A630,FIND("/",A630,FIND("//",A630)+2),2000),A630))</f>
        <v/>
      </c>
      <c r="P630" s="22">
        <f>IF(OR(O630="",N630="",N630="none",N630="404"),"",IF(N630="410","Redirect gone "&amp;O630,"Redirect "&amp;N630&amp;" "&amp;O630&amp;" "&amp;M630))</f>
        <v/>
      </c>
      <c r="Q630" s="22" t="n"/>
      <c r="R630" s="22" t="n"/>
      <c r="S630" s="22" t="n"/>
      <c r="T630" s="4">
        <f>IF(A630="","",TRIM(IF(K630="","Needs decision; ","")&amp;IF(AND(K630="Accept suggestion",F630=""),"No suggestion to accept; ","")&amp;IF(AND(K630="Override",L630=""),"Override URL missing; ","")&amp;IF(AND(K630="Accept suggestion",N(G630)&lt;$G$2),"Below your threshold; ","")&amp;IF(AND(M630&lt;&gt;"",M630=A630,K630&lt;&gt;"No change (same URL)"),"Redirects to itself; ","")&amp;IF(AND(M630&lt;&gt;"",OR(M630="/",AND(LEFT(M630,4)="http",OR((LEN(M630)-LEN(SUBSTITUTE(M630,"/","")))=2,AND((LEN(M630)-LEN(SUBSTITUTE(M630,"/","")))=3,RIGHT(M630,1)="/"))))),"Home page redirect; ","")&amp;IF(N(R630)&gt;1,"Chain; ","")&amp;IF(S630="No","Destination not 200; ","")))</f>
        <v/>
      </c>
      <c r="U630" s="22" t="n"/>
      <c r="V630" s="22" t="n"/>
      <c r="W630" s="4" t="n"/>
    </row>
    <row r="631">
      <c r="A631" s="22" t="n"/>
      <c r="B631" s="22" t="n"/>
      <c r="C631" s="22" t="n"/>
      <c r="D631" s="22">
        <f>IF(A631="","",IF(OR(N(B631)&gt;=$C$2,N(C631)&gt;=$E$2),"High",IF(OR(N(B631)&gt;0,N(C631)&gt;0),"Medium","Low")))</f>
        <v/>
      </c>
      <c r="E631" s="22" t="n"/>
      <c r="F631" s="22" t="n"/>
      <c r="G631" s="22" t="n"/>
      <c r="H631" s="22" t="n"/>
      <c r="I631" s="22" t="n"/>
      <c r="J631" s="22" t="n"/>
      <c r="K631" s="22" t="n"/>
      <c r="L631" s="22" t="n"/>
      <c r="M631" s="22">
        <f>IF(K631="Override",L631,IF(K631="Accept suggestion",F631,IF(K631="No change (same URL)",A631,"")))</f>
        <v/>
      </c>
      <c r="N631" s="22">
        <f>IF(A631="","",IF(K631="410 Gone","410",IF(K631="404","404",IF(K631="No change (same URL)","none",IF(M631="","","301")))))</f>
        <v/>
      </c>
      <c r="O631" s="22">
        <f>IF(A631="","",IFERROR(MID(A631,FIND("/",A631,FIND("//",A631)+2),2000),A631))</f>
        <v/>
      </c>
      <c r="P631" s="22">
        <f>IF(OR(O631="",N631="",N631="none",N631="404"),"",IF(N631="410","Redirect gone "&amp;O631,"Redirect "&amp;N631&amp;" "&amp;O631&amp;" "&amp;M631))</f>
        <v/>
      </c>
      <c r="Q631" s="22" t="n"/>
      <c r="R631" s="22" t="n"/>
      <c r="S631" s="22" t="n"/>
      <c r="T631" s="4">
        <f>IF(A631="","",TRIM(IF(K631="","Needs decision; ","")&amp;IF(AND(K631="Accept suggestion",F631=""),"No suggestion to accept; ","")&amp;IF(AND(K631="Override",L631=""),"Override URL missing; ","")&amp;IF(AND(K631="Accept suggestion",N(G631)&lt;$G$2),"Below your threshold; ","")&amp;IF(AND(M631&lt;&gt;"",M631=A631,K631&lt;&gt;"No change (same URL)"),"Redirects to itself; ","")&amp;IF(AND(M631&lt;&gt;"",OR(M631="/",AND(LEFT(M631,4)="http",OR((LEN(M631)-LEN(SUBSTITUTE(M631,"/","")))=2,AND((LEN(M631)-LEN(SUBSTITUTE(M631,"/","")))=3,RIGHT(M631,1)="/"))))),"Home page redirect; ","")&amp;IF(N(R631)&gt;1,"Chain; ","")&amp;IF(S631="No","Destination not 200; ","")))</f>
        <v/>
      </c>
      <c r="U631" s="22" t="n"/>
      <c r="V631" s="22" t="n"/>
      <c r="W631" s="4" t="n"/>
    </row>
    <row r="632">
      <c r="A632" s="22" t="n"/>
      <c r="B632" s="22" t="n"/>
      <c r="C632" s="22" t="n"/>
      <c r="D632" s="22">
        <f>IF(A632="","",IF(OR(N(B632)&gt;=$C$2,N(C632)&gt;=$E$2),"High",IF(OR(N(B632)&gt;0,N(C632)&gt;0),"Medium","Low")))</f>
        <v/>
      </c>
      <c r="E632" s="22" t="n"/>
      <c r="F632" s="22" t="n"/>
      <c r="G632" s="22" t="n"/>
      <c r="H632" s="22" t="n"/>
      <c r="I632" s="22" t="n"/>
      <c r="J632" s="22" t="n"/>
      <c r="K632" s="22" t="n"/>
      <c r="L632" s="22" t="n"/>
      <c r="M632" s="22">
        <f>IF(K632="Override",L632,IF(K632="Accept suggestion",F632,IF(K632="No change (same URL)",A632,"")))</f>
        <v/>
      </c>
      <c r="N632" s="22">
        <f>IF(A632="","",IF(K632="410 Gone","410",IF(K632="404","404",IF(K632="No change (same URL)","none",IF(M632="","","301")))))</f>
        <v/>
      </c>
      <c r="O632" s="22">
        <f>IF(A632="","",IFERROR(MID(A632,FIND("/",A632,FIND("//",A632)+2),2000),A632))</f>
        <v/>
      </c>
      <c r="P632" s="22">
        <f>IF(OR(O632="",N632="",N632="none",N632="404"),"",IF(N632="410","Redirect gone "&amp;O632,"Redirect "&amp;N632&amp;" "&amp;O632&amp;" "&amp;M632))</f>
        <v/>
      </c>
      <c r="Q632" s="22" t="n"/>
      <c r="R632" s="22" t="n"/>
      <c r="S632" s="22" t="n"/>
      <c r="T632" s="4">
        <f>IF(A632="","",TRIM(IF(K632="","Needs decision; ","")&amp;IF(AND(K632="Accept suggestion",F632=""),"No suggestion to accept; ","")&amp;IF(AND(K632="Override",L632=""),"Override URL missing; ","")&amp;IF(AND(K632="Accept suggestion",N(G632)&lt;$G$2),"Below your threshold; ","")&amp;IF(AND(M632&lt;&gt;"",M632=A632,K632&lt;&gt;"No change (same URL)"),"Redirects to itself; ","")&amp;IF(AND(M632&lt;&gt;"",OR(M632="/",AND(LEFT(M632,4)="http",OR((LEN(M632)-LEN(SUBSTITUTE(M632,"/","")))=2,AND((LEN(M632)-LEN(SUBSTITUTE(M632,"/","")))=3,RIGHT(M632,1)="/"))))),"Home page redirect; ","")&amp;IF(N(R632)&gt;1,"Chain; ","")&amp;IF(S632="No","Destination not 200; ","")))</f>
        <v/>
      </c>
      <c r="U632" s="22" t="n"/>
      <c r="V632" s="22" t="n"/>
      <c r="W632" s="4" t="n"/>
    </row>
    <row r="633">
      <c r="A633" s="22" t="n"/>
      <c r="B633" s="22" t="n"/>
      <c r="C633" s="22" t="n"/>
      <c r="D633" s="22">
        <f>IF(A633="","",IF(OR(N(B633)&gt;=$C$2,N(C633)&gt;=$E$2),"High",IF(OR(N(B633)&gt;0,N(C633)&gt;0),"Medium","Low")))</f>
        <v/>
      </c>
      <c r="E633" s="22" t="n"/>
      <c r="F633" s="22" t="n"/>
      <c r="G633" s="22" t="n"/>
      <c r="H633" s="22" t="n"/>
      <c r="I633" s="22" t="n"/>
      <c r="J633" s="22" t="n"/>
      <c r="K633" s="22" t="n"/>
      <c r="L633" s="22" t="n"/>
      <c r="M633" s="22">
        <f>IF(K633="Override",L633,IF(K633="Accept suggestion",F633,IF(K633="No change (same URL)",A633,"")))</f>
        <v/>
      </c>
      <c r="N633" s="22">
        <f>IF(A633="","",IF(K633="410 Gone","410",IF(K633="404","404",IF(K633="No change (same URL)","none",IF(M633="","","301")))))</f>
        <v/>
      </c>
      <c r="O633" s="22">
        <f>IF(A633="","",IFERROR(MID(A633,FIND("/",A633,FIND("//",A633)+2),2000),A633))</f>
        <v/>
      </c>
      <c r="P633" s="22">
        <f>IF(OR(O633="",N633="",N633="none",N633="404"),"",IF(N633="410","Redirect gone "&amp;O633,"Redirect "&amp;N633&amp;" "&amp;O633&amp;" "&amp;M633))</f>
        <v/>
      </c>
      <c r="Q633" s="22" t="n"/>
      <c r="R633" s="22" t="n"/>
      <c r="S633" s="22" t="n"/>
      <c r="T633" s="4">
        <f>IF(A633="","",TRIM(IF(K633="","Needs decision; ","")&amp;IF(AND(K633="Accept suggestion",F633=""),"No suggestion to accept; ","")&amp;IF(AND(K633="Override",L633=""),"Override URL missing; ","")&amp;IF(AND(K633="Accept suggestion",N(G633)&lt;$G$2),"Below your threshold; ","")&amp;IF(AND(M633&lt;&gt;"",M633=A633,K633&lt;&gt;"No change (same URL)"),"Redirects to itself; ","")&amp;IF(AND(M633&lt;&gt;"",OR(M633="/",AND(LEFT(M633,4)="http",OR((LEN(M633)-LEN(SUBSTITUTE(M633,"/","")))=2,AND((LEN(M633)-LEN(SUBSTITUTE(M633,"/","")))=3,RIGHT(M633,1)="/"))))),"Home page redirect; ","")&amp;IF(N(R633)&gt;1,"Chain; ","")&amp;IF(S633="No","Destination not 200; ","")))</f>
        <v/>
      </c>
      <c r="U633" s="22" t="n"/>
      <c r="V633" s="22" t="n"/>
      <c r="W633" s="4" t="n"/>
    </row>
    <row r="634">
      <c r="A634" s="22" t="n"/>
      <c r="B634" s="22" t="n"/>
      <c r="C634" s="22" t="n"/>
      <c r="D634" s="22">
        <f>IF(A634="","",IF(OR(N(B634)&gt;=$C$2,N(C634)&gt;=$E$2),"High",IF(OR(N(B634)&gt;0,N(C634)&gt;0),"Medium","Low")))</f>
        <v/>
      </c>
      <c r="E634" s="22" t="n"/>
      <c r="F634" s="22" t="n"/>
      <c r="G634" s="22" t="n"/>
      <c r="H634" s="22" t="n"/>
      <c r="I634" s="22" t="n"/>
      <c r="J634" s="22" t="n"/>
      <c r="K634" s="22" t="n"/>
      <c r="L634" s="22" t="n"/>
      <c r="M634" s="22">
        <f>IF(K634="Override",L634,IF(K634="Accept suggestion",F634,IF(K634="No change (same URL)",A634,"")))</f>
        <v/>
      </c>
      <c r="N634" s="22">
        <f>IF(A634="","",IF(K634="410 Gone","410",IF(K634="404","404",IF(K634="No change (same URL)","none",IF(M634="","","301")))))</f>
        <v/>
      </c>
      <c r="O634" s="22">
        <f>IF(A634="","",IFERROR(MID(A634,FIND("/",A634,FIND("//",A634)+2),2000),A634))</f>
        <v/>
      </c>
      <c r="P634" s="22">
        <f>IF(OR(O634="",N634="",N634="none",N634="404"),"",IF(N634="410","Redirect gone "&amp;O634,"Redirect "&amp;N634&amp;" "&amp;O634&amp;" "&amp;M634))</f>
        <v/>
      </c>
      <c r="Q634" s="22" t="n"/>
      <c r="R634" s="22" t="n"/>
      <c r="S634" s="22" t="n"/>
      <c r="T634" s="4">
        <f>IF(A634="","",TRIM(IF(K634="","Needs decision; ","")&amp;IF(AND(K634="Accept suggestion",F634=""),"No suggestion to accept; ","")&amp;IF(AND(K634="Override",L634=""),"Override URL missing; ","")&amp;IF(AND(K634="Accept suggestion",N(G634)&lt;$G$2),"Below your threshold; ","")&amp;IF(AND(M634&lt;&gt;"",M634=A634,K634&lt;&gt;"No change (same URL)"),"Redirects to itself; ","")&amp;IF(AND(M634&lt;&gt;"",OR(M634="/",AND(LEFT(M634,4)="http",OR((LEN(M634)-LEN(SUBSTITUTE(M634,"/","")))=2,AND((LEN(M634)-LEN(SUBSTITUTE(M634,"/","")))=3,RIGHT(M634,1)="/"))))),"Home page redirect; ","")&amp;IF(N(R634)&gt;1,"Chain; ","")&amp;IF(S634="No","Destination not 200; ","")))</f>
        <v/>
      </c>
      <c r="U634" s="22" t="n"/>
      <c r="V634" s="22" t="n"/>
      <c r="W634" s="4" t="n"/>
    </row>
    <row r="635">
      <c r="A635" s="22" t="n"/>
      <c r="B635" s="22" t="n"/>
      <c r="C635" s="22" t="n"/>
      <c r="D635" s="22">
        <f>IF(A635="","",IF(OR(N(B635)&gt;=$C$2,N(C635)&gt;=$E$2),"High",IF(OR(N(B635)&gt;0,N(C635)&gt;0),"Medium","Low")))</f>
        <v/>
      </c>
      <c r="E635" s="22" t="n"/>
      <c r="F635" s="22" t="n"/>
      <c r="G635" s="22" t="n"/>
      <c r="H635" s="22" t="n"/>
      <c r="I635" s="22" t="n"/>
      <c r="J635" s="22" t="n"/>
      <c r="K635" s="22" t="n"/>
      <c r="L635" s="22" t="n"/>
      <c r="M635" s="22">
        <f>IF(K635="Override",L635,IF(K635="Accept suggestion",F635,IF(K635="No change (same URL)",A635,"")))</f>
        <v/>
      </c>
      <c r="N635" s="22">
        <f>IF(A635="","",IF(K635="410 Gone","410",IF(K635="404","404",IF(K635="No change (same URL)","none",IF(M635="","","301")))))</f>
        <v/>
      </c>
      <c r="O635" s="22">
        <f>IF(A635="","",IFERROR(MID(A635,FIND("/",A635,FIND("//",A635)+2),2000),A635))</f>
        <v/>
      </c>
      <c r="P635" s="22">
        <f>IF(OR(O635="",N635="",N635="none",N635="404"),"",IF(N635="410","Redirect gone "&amp;O635,"Redirect "&amp;N635&amp;" "&amp;O635&amp;" "&amp;M635))</f>
        <v/>
      </c>
      <c r="Q635" s="22" t="n"/>
      <c r="R635" s="22" t="n"/>
      <c r="S635" s="22" t="n"/>
      <c r="T635" s="4">
        <f>IF(A635="","",TRIM(IF(K635="","Needs decision; ","")&amp;IF(AND(K635="Accept suggestion",F635=""),"No suggestion to accept; ","")&amp;IF(AND(K635="Override",L635=""),"Override URL missing; ","")&amp;IF(AND(K635="Accept suggestion",N(G635)&lt;$G$2),"Below your threshold; ","")&amp;IF(AND(M635&lt;&gt;"",M635=A635,K635&lt;&gt;"No change (same URL)"),"Redirects to itself; ","")&amp;IF(AND(M635&lt;&gt;"",OR(M635="/",AND(LEFT(M635,4)="http",OR((LEN(M635)-LEN(SUBSTITUTE(M635,"/","")))=2,AND((LEN(M635)-LEN(SUBSTITUTE(M635,"/","")))=3,RIGHT(M635,1)="/"))))),"Home page redirect; ","")&amp;IF(N(R635)&gt;1,"Chain; ","")&amp;IF(S635="No","Destination not 200; ","")))</f>
        <v/>
      </c>
      <c r="U635" s="22" t="n"/>
      <c r="V635" s="22" t="n"/>
      <c r="W635" s="4" t="n"/>
    </row>
    <row r="636">
      <c r="A636" s="22" t="n"/>
      <c r="B636" s="22" t="n"/>
      <c r="C636" s="22" t="n"/>
      <c r="D636" s="22">
        <f>IF(A636="","",IF(OR(N(B636)&gt;=$C$2,N(C636)&gt;=$E$2),"High",IF(OR(N(B636)&gt;0,N(C636)&gt;0),"Medium","Low")))</f>
        <v/>
      </c>
      <c r="E636" s="22" t="n"/>
      <c r="F636" s="22" t="n"/>
      <c r="G636" s="22" t="n"/>
      <c r="H636" s="22" t="n"/>
      <c r="I636" s="22" t="n"/>
      <c r="J636" s="22" t="n"/>
      <c r="K636" s="22" t="n"/>
      <c r="L636" s="22" t="n"/>
      <c r="M636" s="22">
        <f>IF(K636="Override",L636,IF(K636="Accept suggestion",F636,IF(K636="No change (same URL)",A636,"")))</f>
        <v/>
      </c>
      <c r="N636" s="22">
        <f>IF(A636="","",IF(K636="410 Gone","410",IF(K636="404","404",IF(K636="No change (same URL)","none",IF(M636="","","301")))))</f>
        <v/>
      </c>
      <c r="O636" s="22">
        <f>IF(A636="","",IFERROR(MID(A636,FIND("/",A636,FIND("//",A636)+2),2000),A636))</f>
        <v/>
      </c>
      <c r="P636" s="22">
        <f>IF(OR(O636="",N636="",N636="none",N636="404"),"",IF(N636="410","Redirect gone "&amp;O636,"Redirect "&amp;N636&amp;" "&amp;O636&amp;" "&amp;M636))</f>
        <v/>
      </c>
      <c r="Q636" s="22" t="n"/>
      <c r="R636" s="22" t="n"/>
      <c r="S636" s="22" t="n"/>
      <c r="T636" s="4">
        <f>IF(A636="","",TRIM(IF(K636="","Needs decision; ","")&amp;IF(AND(K636="Accept suggestion",F636=""),"No suggestion to accept; ","")&amp;IF(AND(K636="Override",L636=""),"Override URL missing; ","")&amp;IF(AND(K636="Accept suggestion",N(G636)&lt;$G$2),"Below your threshold; ","")&amp;IF(AND(M636&lt;&gt;"",M636=A636,K636&lt;&gt;"No change (same URL)"),"Redirects to itself; ","")&amp;IF(AND(M636&lt;&gt;"",OR(M636="/",AND(LEFT(M636,4)="http",OR((LEN(M636)-LEN(SUBSTITUTE(M636,"/","")))=2,AND((LEN(M636)-LEN(SUBSTITUTE(M636,"/","")))=3,RIGHT(M636,1)="/"))))),"Home page redirect; ","")&amp;IF(N(R636)&gt;1,"Chain; ","")&amp;IF(S636="No","Destination not 200; ","")))</f>
        <v/>
      </c>
      <c r="U636" s="22" t="n"/>
      <c r="V636" s="22" t="n"/>
      <c r="W636" s="4" t="n"/>
    </row>
    <row r="637">
      <c r="A637" s="22" t="n"/>
      <c r="B637" s="22" t="n"/>
      <c r="C637" s="22" t="n"/>
      <c r="D637" s="22">
        <f>IF(A637="","",IF(OR(N(B637)&gt;=$C$2,N(C637)&gt;=$E$2),"High",IF(OR(N(B637)&gt;0,N(C637)&gt;0),"Medium","Low")))</f>
        <v/>
      </c>
      <c r="E637" s="22" t="n"/>
      <c r="F637" s="22" t="n"/>
      <c r="G637" s="22" t="n"/>
      <c r="H637" s="22" t="n"/>
      <c r="I637" s="22" t="n"/>
      <c r="J637" s="22" t="n"/>
      <c r="K637" s="22" t="n"/>
      <c r="L637" s="22" t="n"/>
      <c r="M637" s="22">
        <f>IF(K637="Override",L637,IF(K637="Accept suggestion",F637,IF(K637="No change (same URL)",A637,"")))</f>
        <v/>
      </c>
      <c r="N637" s="22">
        <f>IF(A637="","",IF(K637="410 Gone","410",IF(K637="404","404",IF(K637="No change (same URL)","none",IF(M637="","","301")))))</f>
        <v/>
      </c>
      <c r="O637" s="22">
        <f>IF(A637="","",IFERROR(MID(A637,FIND("/",A637,FIND("//",A637)+2),2000),A637))</f>
        <v/>
      </c>
      <c r="P637" s="22">
        <f>IF(OR(O637="",N637="",N637="none",N637="404"),"",IF(N637="410","Redirect gone "&amp;O637,"Redirect "&amp;N637&amp;" "&amp;O637&amp;" "&amp;M637))</f>
        <v/>
      </c>
      <c r="Q637" s="22" t="n"/>
      <c r="R637" s="22" t="n"/>
      <c r="S637" s="22" t="n"/>
      <c r="T637" s="4">
        <f>IF(A637="","",TRIM(IF(K637="","Needs decision; ","")&amp;IF(AND(K637="Accept suggestion",F637=""),"No suggestion to accept; ","")&amp;IF(AND(K637="Override",L637=""),"Override URL missing; ","")&amp;IF(AND(K637="Accept suggestion",N(G637)&lt;$G$2),"Below your threshold; ","")&amp;IF(AND(M637&lt;&gt;"",M637=A637,K637&lt;&gt;"No change (same URL)"),"Redirects to itself; ","")&amp;IF(AND(M637&lt;&gt;"",OR(M637="/",AND(LEFT(M637,4)="http",OR((LEN(M637)-LEN(SUBSTITUTE(M637,"/","")))=2,AND((LEN(M637)-LEN(SUBSTITUTE(M637,"/","")))=3,RIGHT(M637,1)="/"))))),"Home page redirect; ","")&amp;IF(N(R637)&gt;1,"Chain; ","")&amp;IF(S637="No","Destination not 200; ","")))</f>
        <v/>
      </c>
      <c r="U637" s="22" t="n"/>
      <c r="V637" s="22" t="n"/>
      <c r="W637" s="4" t="n"/>
    </row>
    <row r="638">
      <c r="A638" s="22" t="n"/>
      <c r="B638" s="22" t="n"/>
      <c r="C638" s="22" t="n"/>
      <c r="D638" s="22">
        <f>IF(A638="","",IF(OR(N(B638)&gt;=$C$2,N(C638)&gt;=$E$2),"High",IF(OR(N(B638)&gt;0,N(C638)&gt;0),"Medium","Low")))</f>
        <v/>
      </c>
      <c r="E638" s="22" t="n"/>
      <c r="F638" s="22" t="n"/>
      <c r="G638" s="22" t="n"/>
      <c r="H638" s="22" t="n"/>
      <c r="I638" s="22" t="n"/>
      <c r="J638" s="22" t="n"/>
      <c r="K638" s="22" t="n"/>
      <c r="L638" s="22" t="n"/>
      <c r="M638" s="22">
        <f>IF(K638="Override",L638,IF(K638="Accept suggestion",F638,IF(K638="No change (same URL)",A638,"")))</f>
        <v/>
      </c>
      <c r="N638" s="22">
        <f>IF(A638="","",IF(K638="410 Gone","410",IF(K638="404","404",IF(K638="No change (same URL)","none",IF(M638="","","301")))))</f>
        <v/>
      </c>
      <c r="O638" s="22">
        <f>IF(A638="","",IFERROR(MID(A638,FIND("/",A638,FIND("//",A638)+2),2000),A638))</f>
        <v/>
      </c>
      <c r="P638" s="22">
        <f>IF(OR(O638="",N638="",N638="none",N638="404"),"",IF(N638="410","Redirect gone "&amp;O638,"Redirect "&amp;N638&amp;" "&amp;O638&amp;" "&amp;M638))</f>
        <v/>
      </c>
      <c r="Q638" s="22" t="n"/>
      <c r="R638" s="22" t="n"/>
      <c r="S638" s="22" t="n"/>
      <c r="T638" s="4">
        <f>IF(A638="","",TRIM(IF(K638="","Needs decision; ","")&amp;IF(AND(K638="Accept suggestion",F638=""),"No suggestion to accept; ","")&amp;IF(AND(K638="Override",L638=""),"Override URL missing; ","")&amp;IF(AND(K638="Accept suggestion",N(G638)&lt;$G$2),"Below your threshold; ","")&amp;IF(AND(M638&lt;&gt;"",M638=A638,K638&lt;&gt;"No change (same URL)"),"Redirects to itself; ","")&amp;IF(AND(M638&lt;&gt;"",OR(M638="/",AND(LEFT(M638,4)="http",OR((LEN(M638)-LEN(SUBSTITUTE(M638,"/","")))=2,AND((LEN(M638)-LEN(SUBSTITUTE(M638,"/","")))=3,RIGHT(M638,1)="/"))))),"Home page redirect; ","")&amp;IF(N(R638)&gt;1,"Chain; ","")&amp;IF(S638="No","Destination not 200; ","")))</f>
        <v/>
      </c>
      <c r="U638" s="22" t="n"/>
      <c r="V638" s="22" t="n"/>
      <c r="W638" s="4" t="n"/>
    </row>
    <row r="639">
      <c r="A639" s="22" t="n"/>
      <c r="B639" s="22" t="n"/>
      <c r="C639" s="22" t="n"/>
      <c r="D639" s="22">
        <f>IF(A639="","",IF(OR(N(B639)&gt;=$C$2,N(C639)&gt;=$E$2),"High",IF(OR(N(B639)&gt;0,N(C639)&gt;0),"Medium","Low")))</f>
        <v/>
      </c>
      <c r="E639" s="22" t="n"/>
      <c r="F639" s="22" t="n"/>
      <c r="G639" s="22" t="n"/>
      <c r="H639" s="22" t="n"/>
      <c r="I639" s="22" t="n"/>
      <c r="J639" s="22" t="n"/>
      <c r="K639" s="22" t="n"/>
      <c r="L639" s="22" t="n"/>
      <c r="M639" s="22">
        <f>IF(K639="Override",L639,IF(K639="Accept suggestion",F639,IF(K639="No change (same URL)",A639,"")))</f>
        <v/>
      </c>
      <c r="N639" s="22">
        <f>IF(A639="","",IF(K639="410 Gone","410",IF(K639="404","404",IF(K639="No change (same URL)","none",IF(M639="","","301")))))</f>
        <v/>
      </c>
      <c r="O639" s="22">
        <f>IF(A639="","",IFERROR(MID(A639,FIND("/",A639,FIND("//",A639)+2),2000),A639))</f>
        <v/>
      </c>
      <c r="P639" s="22">
        <f>IF(OR(O639="",N639="",N639="none",N639="404"),"",IF(N639="410","Redirect gone "&amp;O639,"Redirect "&amp;N639&amp;" "&amp;O639&amp;" "&amp;M639))</f>
        <v/>
      </c>
      <c r="Q639" s="22" t="n"/>
      <c r="R639" s="22" t="n"/>
      <c r="S639" s="22" t="n"/>
      <c r="T639" s="4">
        <f>IF(A639="","",TRIM(IF(K639="","Needs decision; ","")&amp;IF(AND(K639="Accept suggestion",F639=""),"No suggestion to accept; ","")&amp;IF(AND(K639="Override",L639=""),"Override URL missing; ","")&amp;IF(AND(K639="Accept suggestion",N(G639)&lt;$G$2),"Below your threshold; ","")&amp;IF(AND(M639&lt;&gt;"",M639=A639,K639&lt;&gt;"No change (same URL)"),"Redirects to itself; ","")&amp;IF(AND(M639&lt;&gt;"",OR(M639="/",AND(LEFT(M639,4)="http",OR((LEN(M639)-LEN(SUBSTITUTE(M639,"/","")))=2,AND((LEN(M639)-LEN(SUBSTITUTE(M639,"/","")))=3,RIGHT(M639,1)="/"))))),"Home page redirect; ","")&amp;IF(N(R639)&gt;1,"Chain; ","")&amp;IF(S639="No","Destination not 200; ","")))</f>
        <v/>
      </c>
      <c r="U639" s="22" t="n"/>
      <c r="V639" s="22" t="n"/>
      <c r="W639" s="4" t="n"/>
    </row>
    <row r="640">
      <c r="A640" s="22" t="n"/>
      <c r="B640" s="22" t="n"/>
      <c r="C640" s="22" t="n"/>
      <c r="D640" s="22">
        <f>IF(A640="","",IF(OR(N(B640)&gt;=$C$2,N(C640)&gt;=$E$2),"High",IF(OR(N(B640)&gt;0,N(C640)&gt;0),"Medium","Low")))</f>
        <v/>
      </c>
      <c r="E640" s="22" t="n"/>
      <c r="F640" s="22" t="n"/>
      <c r="G640" s="22" t="n"/>
      <c r="H640" s="22" t="n"/>
      <c r="I640" s="22" t="n"/>
      <c r="J640" s="22" t="n"/>
      <c r="K640" s="22" t="n"/>
      <c r="L640" s="22" t="n"/>
      <c r="M640" s="22">
        <f>IF(K640="Override",L640,IF(K640="Accept suggestion",F640,IF(K640="No change (same URL)",A640,"")))</f>
        <v/>
      </c>
      <c r="N640" s="22">
        <f>IF(A640="","",IF(K640="410 Gone","410",IF(K640="404","404",IF(K640="No change (same URL)","none",IF(M640="","","301")))))</f>
        <v/>
      </c>
      <c r="O640" s="22">
        <f>IF(A640="","",IFERROR(MID(A640,FIND("/",A640,FIND("//",A640)+2),2000),A640))</f>
        <v/>
      </c>
      <c r="P640" s="22">
        <f>IF(OR(O640="",N640="",N640="none",N640="404"),"",IF(N640="410","Redirect gone "&amp;O640,"Redirect "&amp;N640&amp;" "&amp;O640&amp;" "&amp;M640))</f>
        <v/>
      </c>
      <c r="Q640" s="22" t="n"/>
      <c r="R640" s="22" t="n"/>
      <c r="S640" s="22" t="n"/>
      <c r="T640" s="4">
        <f>IF(A640="","",TRIM(IF(K640="","Needs decision; ","")&amp;IF(AND(K640="Accept suggestion",F640=""),"No suggestion to accept; ","")&amp;IF(AND(K640="Override",L640=""),"Override URL missing; ","")&amp;IF(AND(K640="Accept suggestion",N(G640)&lt;$G$2),"Below your threshold; ","")&amp;IF(AND(M640&lt;&gt;"",M640=A640,K640&lt;&gt;"No change (same URL)"),"Redirects to itself; ","")&amp;IF(AND(M640&lt;&gt;"",OR(M640="/",AND(LEFT(M640,4)="http",OR((LEN(M640)-LEN(SUBSTITUTE(M640,"/","")))=2,AND((LEN(M640)-LEN(SUBSTITUTE(M640,"/","")))=3,RIGHT(M640,1)="/"))))),"Home page redirect; ","")&amp;IF(N(R640)&gt;1,"Chain; ","")&amp;IF(S640="No","Destination not 200; ","")))</f>
        <v/>
      </c>
      <c r="U640" s="22" t="n"/>
      <c r="V640" s="22" t="n"/>
      <c r="W640" s="4" t="n"/>
    </row>
    <row r="641">
      <c r="A641" s="22" t="n"/>
      <c r="B641" s="22" t="n"/>
      <c r="C641" s="22" t="n"/>
      <c r="D641" s="22">
        <f>IF(A641="","",IF(OR(N(B641)&gt;=$C$2,N(C641)&gt;=$E$2),"High",IF(OR(N(B641)&gt;0,N(C641)&gt;0),"Medium","Low")))</f>
        <v/>
      </c>
      <c r="E641" s="22" t="n"/>
      <c r="F641" s="22" t="n"/>
      <c r="G641" s="22" t="n"/>
      <c r="H641" s="22" t="n"/>
      <c r="I641" s="22" t="n"/>
      <c r="J641" s="22" t="n"/>
      <c r="K641" s="22" t="n"/>
      <c r="L641" s="22" t="n"/>
      <c r="M641" s="22">
        <f>IF(K641="Override",L641,IF(K641="Accept suggestion",F641,IF(K641="No change (same URL)",A641,"")))</f>
        <v/>
      </c>
      <c r="N641" s="22">
        <f>IF(A641="","",IF(K641="410 Gone","410",IF(K641="404","404",IF(K641="No change (same URL)","none",IF(M641="","","301")))))</f>
        <v/>
      </c>
      <c r="O641" s="22">
        <f>IF(A641="","",IFERROR(MID(A641,FIND("/",A641,FIND("//",A641)+2),2000),A641))</f>
        <v/>
      </c>
      <c r="P641" s="22">
        <f>IF(OR(O641="",N641="",N641="none",N641="404"),"",IF(N641="410","Redirect gone "&amp;O641,"Redirect "&amp;N641&amp;" "&amp;O641&amp;" "&amp;M641))</f>
        <v/>
      </c>
      <c r="Q641" s="22" t="n"/>
      <c r="R641" s="22" t="n"/>
      <c r="S641" s="22" t="n"/>
      <c r="T641" s="4">
        <f>IF(A641="","",TRIM(IF(K641="","Needs decision; ","")&amp;IF(AND(K641="Accept suggestion",F641=""),"No suggestion to accept; ","")&amp;IF(AND(K641="Override",L641=""),"Override URL missing; ","")&amp;IF(AND(K641="Accept suggestion",N(G641)&lt;$G$2),"Below your threshold; ","")&amp;IF(AND(M641&lt;&gt;"",M641=A641,K641&lt;&gt;"No change (same URL)"),"Redirects to itself; ","")&amp;IF(AND(M641&lt;&gt;"",OR(M641="/",AND(LEFT(M641,4)="http",OR((LEN(M641)-LEN(SUBSTITUTE(M641,"/","")))=2,AND((LEN(M641)-LEN(SUBSTITUTE(M641,"/","")))=3,RIGHT(M641,1)="/"))))),"Home page redirect; ","")&amp;IF(N(R641)&gt;1,"Chain; ","")&amp;IF(S641="No","Destination not 200; ","")))</f>
        <v/>
      </c>
      <c r="U641" s="22" t="n"/>
      <c r="V641" s="22" t="n"/>
      <c r="W641" s="4" t="n"/>
    </row>
    <row r="642">
      <c r="A642" s="22" t="n"/>
      <c r="B642" s="22" t="n"/>
      <c r="C642" s="22" t="n"/>
      <c r="D642" s="22">
        <f>IF(A642="","",IF(OR(N(B642)&gt;=$C$2,N(C642)&gt;=$E$2),"High",IF(OR(N(B642)&gt;0,N(C642)&gt;0),"Medium","Low")))</f>
        <v/>
      </c>
      <c r="E642" s="22" t="n"/>
      <c r="F642" s="22" t="n"/>
      <c r="G642" s="22" t="n"/>
      <c r="H642" s="22" t="n"/>
      <c r="I642" s="22" t="n"/>
      <c r="J642" s="22" t="n"/>
      <c r="K642" s="22" t="n"/>
      <c r="L642" s="22" t="n"/>
      <c r="M642" s="22">
        <f>IF(K642="Override",L642,IF(K642="Accept suggestion",F642,IF(K642="No change (same URL)",A642,"")))</f>
        <v/>
      </c>
      <c r="N642" s="22">
        <f>IF(A642="","",IF(K642="410 Gone","410",IF(K642="404","404",IF(K642="No change (same URL)","none",IF(M642="","","301")))))</f>
        <v/>
      </c>
      <c r="O642" s="22">
        <f>IF(A642="","",IFERROR(MID(A642,FIND("/",A642,FIND("//",A642)+2),2000),A642))</f>
        <v/>
      </c>
      <c r="P642" s="22">
        <f>IF(OR(O642="",N642="",N642="none",N642="404"),"",IF(N642="410","Redirect gone "&amp;O642,"Redirect "&amp;N642&amp;" "&amp;O642&amp;" "&amp;M642))</f>
        <v/>
      </c>
      <c r="Q642" s="22" t="n"/>
      <c r="R642" s="22" t="n"/>
      <c r="S642" s="22" t="n"/>
      <c r="T642" s="4">
        <f>IF(A642="","",TRIM(IF(K642="","Needs decision; ","")&amp;IF(AND(K642="Accept suggestion",F642=""),"No suggestion to accept; ","")&amp;IF(AND(K642="Override",L642=""),"Override URL missing; ","")&amp;IF(AND(K642="Accept suggestion",N(G642)&lt;$G$2),"Below your threshold; ","")&amp;IF(AND(M642&lt;&gt;"",M642=A642,K642&lt;&gt;"No change (same URL)"),"Redirects to itself; ","")&amp;IF(AND(M642&lt;&gt;"",OR(M642="/",AND(LEFT(M642,4)="http",OR((LEN(M642)-LEN(SUBSTITUTE(M642,"/","")))=2,AND((LEN(M642)-LEN(SUBSTITUTE(M642,"/","")))=3,RIGHT(M642,1)="/"))))),"Home page redirect; ","")&amp;IF(N(R642)&gt;1,"Chain; ","")&amp;IF(S642="No","Destination not 200; ","")))</f>
        <v/>
      </c>
      <c r="U642" s="22" t="n"/>
      <c r="V642" s="22" t="n"/>
      <c r="W642" s="4" t="n"/>
    </row>
    <row r="643">
      <c r="A643" s="22" t="n"/>
      <c r="B643" s="22" t="n"/>
      <c r="C643" s="22" t="n"/>
      <c r="D643" s="22">
        <f>IF(A643="","",IF(OR(N(B643)&gt;=$C$2,N(C643)&gt;=$E$2),"High",IF(OR(N(B643)&gt;0,N(C643)&gt;0),"Medium","Low")))</f>
        <v/>
      </c>
      <c r="E643" s="22" t="n"/>
      <c r="F643" s="22" t="n"/>
      <c r="G643" s="22" t="n"/>
      <c r="H643" s="22" t="n"/>
      <c r="I643" s="22" t="n"/>
      <c r="J643" s="22" t="n"/>
      <c r="K643" s="22" t="n"/>
      <c r="L643" s="22" t="n"/>
      <c r="M643" s="22">
        <f>IF(K643="Override",L643,IF(K643="Accept suggestion",F643,IF(K643="No change (same URL)",A643,"")))</f>
        <v/>
      </c>
      <c r="N643" s="22">
        <f>IF(A643="","",IF(K643="410 Gone","410",IF(K643="404","404",IF(K643="No change (same URL)","none",IF(M643="","","301")))))</f>
        <v/>
      </c>
      <c r="O643" s="22">
        <f>IF(A643="","",IFERROR(MID(A643,FIND("/",A643,FIND("//",A643)+2),2000),A643))</f>
        <v/>
      </c>
      <c r="P643" s="22">
        <f>IF(OR(O643="",N643="",N643="none",N643="404"),"",IF(N643="410","Redirect gone "&amp;O643,"Redirect "&amp;N643&amp;" "&amp;O643&amp;" "&amp;M643))</f>
        <v/>
      </c>
      <c r="Q643" s="22" t="n"/>
      <c r="R643" s="22" t="n"/>
      <c r="S643" s="22" t="n"/>
      <c r="T643" s="4">
        <f>IF(A643="","",TRIM(IF(K643="","Needs decision; ","")&amp;IF(AND(K643="Accept suggestion",F643=""),"No suggestion to accept; ","")&amp;IF(AND(K643="Override",L643=""),"Override URL missing; ","")&amp;IF(AND(K643="Accept suggestion",N(G643)&lt;$G$2),"Below your threshold; ","")&amp;IF(AND(M643&lt;&gt;"",M643=A643,K643&lt;&gt;"No change (same URL)"),"Redirects to itself; ","")&amp;IF(AND(M643&lt;&gt;"",OR(M643="/",AND(LEFT(M643,4)="http",OR((LEN(M643)-LEN(SUBSTITUTE(M643,"/","")))=2,AND((LEN(M643)-LEN(SUBSTITUTE(M643,"/","")))=3,RIGHT(M643,1)="/"))))),"Home page redirect; ","")&amp;IF(N(R643)&gt;1,"Chain; ","")&amp;IF(S643="No","Destination not 200; ","")))</f>
        <v/>
      </c>
      <c r="U643" s="22" t="n"/>
      <c r="V643" s="22" t="n"/>
      <c r="W643" s="4" t="n"/>
    </row>
    <row r="644">
      <c r="A644" s="22" t="n"/>
      <c r="B644" s="22" t="n"/>
      <c r="C644" s="22" t="n"/>
      <c r="D644" s="22">
        <f>IF(A644="","",IF(OR(N(B644)&gt;=$C$2,N(C644)&gt;=$E$2),"High",IF(OR(N(B644)&gt;0,N(C644)&gt;0),"Medium","Low")))</f>
        <v/>
      </c>
      <c r="E644" s="22" t="n"/>
      <c r="F644" s="22" t="n"/>
      <c r="G644" s="22" t="n"/>
      <c r="H644" s="22" t="n"/>
      <c r="I644" s="22" t="n"/>
      <c r="J644" s="22" t="n"/>
      <c r="K644" s="22" t="n"/>
      <c r="L644" s="22" t="n"/>
      <c r="M644" s="22">
        <f>IF(K644="Override",L644,IF(K644="Accept suggestion",F644,IF(K644="No change (same URL)",A644,"")))</f>
        <v/>
      </c>
      <c r="N644" s="22">
        <f>IF(A644="","",IF(K644="410 Gone","410",IF(K644="404","404",IF(K644="No change (same URL)","none",IF(M644="","","301")))))</f>
        <v/>
      </c>
      <c r="O644" s="22">
        <f>IF(A644="","",IFERROR(MID(A644,FIND("/",A644,FIND("//",A644)+2),2000),A644))</f>
        <v/>
      </c>
      <c r="P644" s="22">
        <f>IF(OR(O644="",N644="",N644="none",N644="404"),"",IF(N644="410","Redirect gone "&amp;O644,"Redirect "&amp;N644&amp;" "&amp;O644&amp;" "&amp;M644))</f>
        <v/>
      </c>
      <c r="Q644" s="22" t="n"/>
      <c r="R644" s="22" t="n"/>
      <c r="S644" s="22" t="n"/>
      <c r="T644" s="4">
        <f>IF(A644="","",TRIM(IF(K644="","Needs decision; ","")&amp;IF(AND(K644="Accept suggestion",F644=""),"No suggestion to accept; ","")&amp;IF(AND(K644="Override",L644=""),"Override URL missing; ","")&amp;IF(AND(K644="Accept suggestion",N(G644)&lt;$G$2),"Below your threshold; ","")&amp;IF(AND(M644&lt;&gt;"",M644=A644,K644&lt;&gt;"No change (same URL)"),"Redirects to itself; ","")&amp;IF(AND(M644&lt;&gt;"",OR(M644="/",AND(LEFT(M644,4)="http",OR((LEN(M644)-LEN(SUBSTITUTE(M644,"/","")))=2,AND((LEN(M644)-LEN(SUBSTITUTE(M644,"/","")))=3,RIGHT(M644,1)="/"))))),"Home page redirect; ","")&amp;IF(N(R644)&gt;1,"Chain; ","")&amp;IF(S644="No","Destination not 200; ","")))</f>
        <v/>
      </c>
      <c r="U644" s="22" t="n"/>
      <c r="V644" s="22" t="n"/>
      <c r="W644" s="4" t="n"/>
    </row>
    <row r="645">
      <c r="A645" s="22" t="n"/>
      <c r="B645" s="22" t="n"/>
      <c r="C645" s="22" t="n"/>
      <c r="D645" s="22">
        <f>IF(A645="","",IF(OR(N(B645)&gt;=$C$2,N(C645)&gt;=$E$2),"High",IF(OR(N(B645)&gt;0,N(C645)&gt;0),"Medium","Low")))</f>
        <v/>
      </c>
      <c r="E645" s="22" t="n"/>
      <c r="F645" s="22" t="n"/>
      <c r="G645" s="22" t="n"/>
      <c r="H645" s="22" t="n"/>
      <c r="I645" s="22" t="n"/>
      <c r="J645" s="22" t="n"/>
      <c r="K645" s="22" t="n"/>
      <c r="L645" s="22" t="n"/>
      <c r="M645" s="22">
        <f>IF(K645="Override",L645,IF(K645="Accept suggestion",F645,IF(K645="No change (same URL)",A645,"")))</f>
        <v/>
      </c>
      <c r="N645" s="22">
        <f>IF(A645="","",IF(K645="410 Gone","410",IF(K645="404","404",IF(K645="No change (same URL)","none",IF(M645="","","301")))))</f>
        <v/>
      </c>
      <c r="O645" s="22">
        <f>IF(A645="","",IFERROR(MID(A645,FIND("/",A645,FIND("//",A645)+2),2000),A645))</f>
        <v/>
      </c>
      <c r="P645" s="22">
        <f>IF(OR(O645="",N645="",N645="none",N645="404"),"",IF(N645="410","Redirect gone "&amp;O645,"Redirect "&amp;N645&amp;" "&amp;O645&amp;" "&amp;M645))</f>
        <v/>
      </c>
      <c r="Q645" s="22" t="n"/>
      <c r="R645" s="22" t="n"/>
      <c r="S645" s="22" t="n"/>
      <c r="T645" s="4">
        <f>IF(A645="","",TRIM(IF(K645="","Needs decision; ","")&amp;IF(AND(K645="Accept suggestion",F645=""),"No suggestion to accept; ","")&amp;IF(AND(K645="Override",L645=""),"Override URL missing; ","")&amp;IF(AND(K645="Accept suggestion",N(G645)&lt;$G$2),"Below your threshold; ","")&amp;IF(AND(M645&lt;&gt;"",M645=A645,K645&lt;&gt;"No change (same URL)"),"Redirects to itself; ","")&amp;IF(AND(M645&lt;&gt;"",OR(M645="/",AND(LEFT(M645,4)="http",OR((LEN(M645)-LEN(SUBSTITUTE(M645,"/","")))=2,AND((LEN(M645)-LEN(SUBSTITUTE(M645,"/","")))=3,RIGHT(M645,1)="/"))))),"Home page redirect; ","")&amp;IF(N(R645)&gt;1,"Chain; ","")&amp;IF(S645="No","Destination not 200; ","")))</f>
        <v/>
      </c>
      <c r="U645" s="22" t="n"/>
      <c r="V645" s="22" t="n"/>
      <c r="W645" s="4" t="n"/>
    </row>
    <row r="646">
      <c r="A646" s="22" t="n"/>
      <c r="B646" s="22" t="n"/>
      <c r="C646" s="22" t="n"/>
      <c r="D646" s="22">
        <f>IF(A646="","",IF(OR(N(B646)&gt;=$C$2,N(C646)&gt;=$E$2),"High",IF(OR(N(B646)&gt;0,N(C646)&gt;0),"Medium","Low")))</f>
        <v/>
      </c>
      <c r="E646" s="22" t="n"/>
      <c r="F646" s="22" t="n"/>
      <c r="G646" s="22" t="n"/>
      <c r="H646" s="22" t="n"/>
      <c r="I646" s="22" t="n"/>
      <c r="J646" s="22" t="n"/>
      <c r="K646" s="22" t="n"/>
      <c r="L646" s="22" t="n"/>
      <c r="M646" s="22">
        <f>IF(K646="Override",L646,IF(K646="Accept suggestion",F646,IF(K646="No change (same URL)",A646,"")))</f>
        <v/>
      </c>
      <c r="N646" s="22">
        <f>IF(A646="","",IF(K646="410 Gone","410",IF(K646="404","404",IF(K646="No change (same URL)","none",IF(M646="","","301")))))</f>
        <v/>
      </c>
      <c r="O646" s="22">
        <f>IF(A646="","",IFERROR(MID(A646,FIND("/",A646,FIND("//",A646)+2),2000),A646))</f>
        <v/>
      </c>
      <c r="P646" s="22">
        <f>IF(OR(O646="",N646="",N646="none",N646="404"),"",IF(N646="410","Redirect gone "&amp;O646,"Redirect "&amp;N646&amp;" "&amp;O646&amp;" "&amp;M646))</f>
        <v/>
      </c>
      <c r="Q646" s="22" t="n"/>
      <c r="R646" s="22" t="n"/>
      <c r="S646" s="22" t="n"/>
      <c r="T646" s="4">
        <f>IF(A646="","",TRIM(IF(K646="","Needs decision; ","")&amp;IF(AND(K646="Accept suggestion",F646=""),"No suggestion to accept; ","")&amp;IF(AND(K646="Override",L646=""),"Override URL missing; ","")&amp;IF(AND(K646="Accept suggestion",N(G646)&lt;$G$2),"Below your threshold; ","")&amp;IF(AND(M646&lt;&gt;"",M646=A646,K646&lt;&gt;"No change (same URL)"),"Redirects to itself; ","")&amp;IF(AND(M646&lt;&gt;"",OR(M646="/",AND(LEFT(M646,4)="http",OR((LEN(M646)-LEN(SUBSTITUTE(M646,"/","")))=2,AND((LEN(M646)-LEN(SUBSTITUTE(M646,"/","")))=3,RIGHT(M646,1)="/"))))),"Home page redirect; ","")&amp;IF(N(R646)&gt;1,"Chain; ","")&amp;IF(S646="No","Destination not 200; ","")))</f>
        <v/>
      </c>
      <c r="U646" s="22" t="n"/>
      <c r="V646" s="22" t="n"/>
      <c r="W646" s="4" t="n"/>
    </row>
    <row r="647">
      <c r="A647" s="22" t="n"/>
      <c r="B647" s="22" t="n"/>
      <c r="C647" s="22" t="n"/>
      <c r="D647" s="22">
        <f>IF(A647="","",IF(OR(N(B647)&gt;=$C$2,N(C647)&gt;=$E$2),"High",IF(OR(N(B647)&gt;0,N(C647)&gt;0),"Medium","Low")))</f>
        <v/>
      </c>
      <c r="E647" s="22" t="n"/>
      <c r="F647" s="22" t="n"/>
      <c r="G647" s="22" t="n"/>
      <c r="H647" s="22" t="n"/>
      <c r="I647" s="22" t="n"/>
      <c r="J647" s="22" t="n"/>
      <c r="K647" s="22" t="n"/>
      <c r="L647" s="22" t="n"/>
      <c r="M647" s="22">
        <f>IF(K647="Override",L647,IF(K647="Accept suggestion",F647,IF(K647="No change (same URL)",A647,"")))</f>
        <v/>
      </c>
      <c r="N647" s="22">
        <f>IF(A647="","",IF(K647="410 Gone","410",IF(K647="404","404",IF(K647="No change (same URL)","none",IF(M647="","","301")))))</f>
        <v/>
      </c>
      <c r="O647" s="22">
        <f>IF(A647="","",IFERROR(MID(A647,FIND("/",A647,FIND("//",A647)+2),2000),A647))</f>
        <v/>
      </c>
      <c r="P647" s="22">
        <f>IF(OR(O647="",N647="",N647="none",N647="404"),"",IF(N647="410","Redirect gone "&amp;O647,"Redirect "&amp;N647&amp;" "&amp;O647&amp;" "&amp;M647))</f>
        <v/>
      </c>
      <c r="Q647" s="22" t="n"/>
      <c r="R647" s="22" t="n"/>
      <c r="S647" s="22" t="n"/>
      <c r="T647" s="4">
        <f>IF(A647="","",TRIM(IF(K647="","Needs decision; ","")&amp;IF(AND(K647="Accept suggestion",F647=""),"No suggestion to accept; ","")&amp;IF(AND(K647="Override",L647=""),"Override URL missing; ","")&amp;IF(AND(K647="Accept suggestion",N(G647)&lt;$G$2),"Below your threshold; ","")&amp;IF(AND(M647&lt;&gt;"",M647=A647,K647&lt;&gt;"No change (same URL)"),"Redirects to itself; ","")&amp;IF(AND(M647&lt;&gt;"",OR(M647="/",AND(LEFT(M647,4)="http",OR((LEN(M647)-LEN(SUBSTITUTE(M647,"/","")))=2,AND((LEN(M647)-LEN(SUBSTITUTE(M647,"/","")))=3,RIGHT(M647,1)="/"))))),"Home page redirect; ","")&amp;IF(N(R647)&gt;1,"Chain; ","")&amp;IF(S647="No","Destination not 200; ","")))</f>
        <v/>
      </c>
      <c r="U647" s="22" t="n"/>
      <c r="V647" s="22" t="n"/>
      <c r="W647" s="4" t="n"/>
    </row>
    <row r="648">
      <c r="A648" s="22" t="n"/>
      <c r="B648" s="22" t="n"/>
      <c r="C648" s="22" t="n"/>
      <c r="D648" s="22">
        <f>IF(A648="","",IF(OR(N(B648)&gt;=$C$2,N(C648)&gt;=$E$2),"High",IF(OR(N(B648)&gt;0,N(C648)&gt;0),"Medium","Low")))</f>
        <v/>
      </c>
      <c r="E648" s="22" t="n"/>
      <c r="F648" s="22" t="n"/>
      <c r="G648" s="22" t="n"/>
      <c r="H648" s="22" t="n"/>
      <c r="I648" s="22" t="n"/>
      <c r="J648" s="22" t="n"/>
      <c r="K648" s="22" t="n"/>
      <c r="L648" s="22" t="n"/>
      <c r="M648" s="22">
        <f>IF(K648="Override",L648,IF(K648="Accept suggestion",F648,IF(K648="No change (same URL)",A648,"")))</f>
        <v/>
      </c>
      <c r="N648" s="22">
        <f>IF(A648="","",IF(K648="410 Gone","410",IF(K648="404","404",IF(K648="No change (same URL)","none",IF(M648="","","301")))))</f>
        <v/>
      </c>
      <c r="O648" s="22">
        <f>IF(A648="","",IFERROR(MID(A648,FIND("/",A648,FIND("//",A648)+2),2000),A648))</f>
        <v/>
      </c>
      <c r="P648" s="22">
        <f>IF(OR(O648="",N648="",N648="none",N648="404"),"",IF(N648="410","Redirect gone "&amp;O648,"Redirect "&amp;N648&amp;" "&amp;O648&amp;" "&amp;M648))</f>
        <v/>
      </c>
      <c r="Q648" s="22" t="n"/>
      <c r="R648" s="22" t="n"/>
      <c r="S648" s="22" t="n"/>
      <c r="T648" s="4">
        <f>IF(A648="","",TRIM(IF(K648="","Needs decision; ","")&amp;IF(AND(K648="Accept suggestion",F648=""),"No suggestion to accept; ","")&amp;IF(AND(K648="Override",L648=""),"Override URL missing; ","")&amp;IF(AND(K648="Accept suggestion",N(G648)&lt;$G$2),"Below your threshold; ","")&amp;IF(AND(M648&lt;&gt;"",M648=A648,K648&lt;&gt;"No change (same URL)"),"Redirects to itself; ","")&amp;IF(AND(M648&lt;&gt;"",OR(M648="/",AND(LEFT(M648,4)="http",OR((LEN(M648)-LEN(SUBSTITUTE(M648,"/","")))=2,AND((LEN(M648)-LEN(SUBSTITUTE(M648,"/","")))=3,RIGHT(M648,1)="/"))))),"Home page redirect; ","")&amp;IF(N(R648)&gt;1,"Chain; ","")&amp;IF(S648="No","Destination not 200; ","")))</f>
        <v/>
      </c>
      <c r="U648" s="22" t="n"/>
      <c r="V648" s="22" t="n"/>
      <c r="W648" s="4" t="n"/>
    </row>
    <row r="649">
      <c r="A649" s="22" t="n"/>
      <c r="B649" s="22" t="n"/>
      <c r="C649" s="22" t="n"/>
      <c r="D649" s="22">
        <f>IF(A649="","",IF(OR(N(B649)&gt;=$C$2,N(C649)&gt;=$E$2),"High",IF(OR(N(B649)&gt;0,N(C649)&gt;0),"Medium","Low")))</f>
        <v/>
      </c>
      <c r="E649" s="22" t="n"/>
      <c r="F649" s="22" t="n"/>
      <c r="G649" s="22" t="n"/>
      <c r="H649" s="22" t="n"/>
      <c r="I649" s="22" t="n"/>
      <c r="J649" s="22" t="n"/>
      <c r="K649" s="22" t="n"/>
      <c r="L649" s="22" t="n"/>
      <c r="M649" s="22">
        <f>IF(K649="Override",L649,IF(K649="Accept suggestion",F649,IF(K649="No change (same URL)",A649,"")))</f>
        <v/>
      </c>
      <c r="N649" s="22">
        <f>IF(A649="","",IF(K649="410 Gone","410",IF(K649="404","404",IF(K649="No change (same URL)","none",IF(M649="","","301")))))</f>
        <v/>
      </c>
      <c r="O649" s="22">
        <f>IF(A649="","",IFERROR(MID(A649,FIND("/",A649,FIND("//",A649)+2),2000),A649))</f>
        <v/>
      </c>
      <c r="P649" s="22">
        <f>IF(OR(O649="",N649="",N649="none",N649="404"),"",IF(N649="410","Redirect gone "&amp;O649,"Redirect "&amp;N649&amp;" "&amp;O649&amp;" "&amp;M649))</f>
        <v/>
      </c>
      <c r="Q649" s="22" t="n"/>
      <c r="R649" s="22" t="n"/>
      <c r="S649" s="22" t="n"/>
      <c r="T649" s="4">
        <f>IF(A649="","",TRIM(IF(K649="","Needs decision; ","")&amp;IF(AND(K649="Accept suggestion",F649=""),"No suggestion to accept; ","")&amp;IF(AND(K649="Override",L649=""),"Override URL missing; ","")&amp;IF(AND(K649="Accept suggestion",N(G649)&lt;$G$2),"Below your threshold; ","")&amp;IF(AND(M649&lt;&gt;"",M649=A649,K649&lt;&gt;"No change (same URL)"),"Redirects to itself; ","")&amp;IF(AND(M649&lt;&gt;"",OR(M649="/",AND(LEFT(M649,4)="http",OR((LEN(M649)-LEN(SUBSTITUTE(M649,"/","")))=2,AND((LEN(M649)-LEN(SUBSTITUTE(M649,"/","")))=3,RIGHT(M649,1)="/"))))),"Home page redirect; ","")&amp;IF(N(R649)&gt;1,"Chain; ","")&amp;IF(S649="No","Destination not 200; ","")))</f>
        <v/>
      </c>
      <c r="U649" s="22" t="n"/>
      <c r="V649" s="22" t="n"/>
      <c r="W649" s="4" t="n"/>
    </row>
    <row r="650">
      <c r="A650" s="22" t="n"/>
      <c r="B650" s="22" t="n"/>
      <c r="C650" s="22" t="n"/>
      <c r="D650" s="22">
        <f>IF(A650="","",IF(OR(N(B650)&gt;=$C$2,N(C650)&gt;=$E$2),"High",IF(OR(N(B650)&gt;0,N(C650)&gt;0),"Medium","Low")))</f>
        <v/>
      </c>
      <c r="E650" s="22" t="n"/>
      <c r="F650" s="22" t="n"/>
      <c r="G650" s="22" t="n"/>
      <c r="H650" s="22" t="n"/>
      <c r="I650" s="22" t="n"/>
      <c r="J650" s="22" t="n"/>
      <c r="K650" s="22" t="n"/>
      <c r="L650" s="22" t="n"/>
      <c r="M650" s="22">
        <f>IF(K650="Override",L650,IF(K650="Accept suggestion",F650,IF(K650="No change (same URL)",A650,"")))</f>
        <v/>
      </c>
      <c r="N650" s="22">
        <f>IF(A650="","",IF(K650="410 Gone","410",IF(K650="404","404",IF(K650="No change (same URL)","none",IF(M650="","","301")))))</f>
        <v/>
      </c>
      <c r="O650" s="22">
        <f>IF(A650="","",IFERROR(MID(A650,FIND("/",A650,FIND("//",A650)+2),2000),A650))</f>
        <v/>
      </c>
      <c r="P650" s="22">
        <f>IF(OR(O650="",N650="",N650="none",N650="404"),"",IF(N650="410","Redirect gone "&amp;O650,"Redirect "&amp;N650&amp;" "&amp;O650&amp;" "&amp;M650))</f>
        <v/>
      </c>
      <c r="Q650" s="22" t="n"/>
      <c r="R650" s="22" t="n"/>
      <c r="S650" s="22" t="n"/>
      <c r="T650" s="4">
        <f>IF(A650="","",TRIM(IF(K650="","Needs decision; ","")&amp;IF(AND(K650="Accept suggestion",F650=""),"No suggestion to accept; ","")&amp;IF(AND(K650="Override",L650=""),"Override URL missing; ","")&amp;IF(AND(K650="Accept suggestion",N(G650)&lt;$G$2),"Below your threshold; ","")&amp;IF(AND(M650&lt;&gt;"",M650=A650,K650&lt;&gt;"No change (same URL)"),"Redirects to itself; ","")&amp;IF(AND(M650&lt;&gt;"",OR(M650="/",AND(LEFT(M650,4)="http",OR((LEN(M650)-LEN(SUBSTITUTE(M650,"/","")))=2,AND((LEN(M650)-LEN(SUBSTITUTE(M650,"/","")))=3,RIGHT(M650,1)="/"))))),"Home page redirect; ","")&amp;IF(N(R650)&gt;1,"Chain; ","")&amp;IF(S650="No","Destination not 200; ","")))</f>
        <v/>
      </c>
      <c r="U650" s="22" t="n"/>
      <c r="V650" s="22" t="n"/>
      <c r="W650" s="4" t="n"/>
    </row>
    <row r="651">
      <c r="A651" s="22" t="n"/>
      <c r="B651" s="22" t="n"/>
      <c r="C651" s="22" t="n"/>
      <c r="D651" s="22">
        <f>IF(A651="","",IF(OR(N(B651)&gt;=$C$2,N(C651)&gt;=$E$2),"High",IF(OR(N(B651)&gt;0,N(C651)&gt;0),"Medium","Low")))</f>
        <v/>
      </c>
      <c r="E651" s="22" t="n"/>
      <c r="F651" s="22" t="n"/>
      <c r="G651" s="22" t="n"/>
      <c r="H651" s="22" t="n"/>
      <c r="I651" s="22" t="n"/>
      <c r="J651" s="22" t="n"/>
      <c r="K651" s="22" t="n"/>
      <c r="L651" s="22" t="n"/>
      <c r="M651" s="22">
        <f>IF(K651="Override",L651,IF(K651="Accept suggestion",F651,IF(K651="No change (same URL)",A651,"")))</f>
        <v/>
      </c>
      <c r="N651" s="22">
        <f>IF(A651="","",IF(K651="410 Gone","410",IF(K651="404","404",IF(K651="No change (same URL)","none",IF(M651="","","301")))))</f>
        <v/>
      </c>
      <c r="O651" s="22">
        <f>IF(A651="","",IFERROR(MID(A651,FIND("/",A651,FIND("//",A651)+2),2000),A651))</f>
        <v/>
      </c>
      <c r="P651" s="22">
        <f>IF(OR(O651="",N651="",N651="none",N651="404"),"",IF(N651="410","Redirect gone "&amp;O651,"Redirect "&amp;N651&amp;" "&amp;O651&amp;" "&amp;M651))</f>
        <v/>
      </c>
      <c r="Q651" s="22" t="n"/>
      <c r="R651" s="22" t="n"/>
      <c r="S651" s="22" t="n"/>
      <c r="T651" s="4">
        <f>IF(A651="","",TRIM(IF(K651="","Needs decision; ","")&amp;IF(AND(K651="Accept suggestion",F651=""),"No suggestion to accept; ","")&amp;IF(AND(K651="Override",L651=""),"Override URL missing; ","")&amp;IF(AND(K651="Accept suggestion",N(G651)&lt;$G$2),"Below your threshold; ","")&amp;IF(AND(M651&lt;&gt;"",M651=A651,K651&lt;&gt;"No change (same URL)"),"Redirects to itself; ","")&amp;IF(AND(M651&lt;&gt;"",OR(M651="/",AND(LEFT(M651,4)="http",OR((LEN(M651)-LEN(SUBSTITUTE(M651,"/","")))=2,AND((LEN(M651)-LEN(SUBSTITUTE(M651,"/","")))=3,RIGHT(M651,1)="/"))))),"Home page redirect; ","")&amp;IF(N(R651)&gt;1,"Chain; ","")&amp;IF(S651="No","Destination not 200; ","")))</f>
        <v/>
      </c>
      <c r="U651" s="22" t="n"/>
      <c r="V651" s="22" t="n"/>
      <c r="W651" s="4" t="n"/>
    </row>
    <row r="652">
      <c r="A652" s="22" t="n"/>
      <c r="B652" s="22" t="n"/>
      <c r="C652" s="22" t="n"/>
      <c r="D652" s="22">
        <f>IF(A652="","",IF(OR(N(B652)&gt;=$C$2,N(C652)&gt;=$E$2),"High",IF(OR(N(B652)&gt;0,N(C652)&gt;0),"Medium","Low")))</f>
        <v/>
      </c>
      <c r="E652" s="22" t="n"/>
      <c r="F652" s="22" t="n"/>
      <c r="G652" s="22" t="n"/>
      <c r="H652" s="22" t="n"/>
      <c r="I652" s="22" t="n"/>
      <c r="J652" s="22" t="n"/>
      <c r="K652" s="22" t="n"/>
      <c r="L652" s="22" t="n"/>
      <c r="M652" s="22">
        <f>IF(K652="Override",L652,IF(K652="Accept suggestion",F652,IF(K652="No change (same URL)",A652,"")))</f>
        <v/>
      </c>
      <c r="N652" s="22">
        <f>IF(A652="","",IF(K652="410 Gone","410",IF(K652="404","404",IF(K652="No change (same URL)","none",IF(M652="","","301")))))</f>
        <v/>
      </c>
      <c r="O652" s="22">
        <f>IF(A652="","",IFERROR(MID(A652,FIND("/",A652,FIND("//",A652)+2),2000),A652))</f>
        <v/>
      </c>
      <c r="P652" s="22">
        <f>IF(OR(O652="",N652="",N652="none",N652="404"),"",IF(N652="410","Redirect gone "&amp;O652,"Redirect "&amp;N652&amp;" "&amp;O652&amp;" "&amp;M652))</f>
        <v/>
      </c>
      <c r="Q652" s="22" t="n"/>
      <c r="R652" s="22" t="n"/>
      <c r="S652" s="22" t="n"/>
      <c r="T652" s="4">
        <f>IF(A652="","",TRIM(IF(K652="","Needs decision; ","")&amp;IF(AND(K652="Accept suggestion",F652=""),"No suggestion to accept; ","")&amp;IF(AND(K652="Override",L652=""),"Override URL missing; ","")&amp;IF(AND(K652="Accept suggestion",N(G652)&lt;$G$2),"Below your threshold; ","")&amp;IF(AND(M652&lt;&gt;"",M652=A652,K652&lt;&gt;"No change (same URL)"),"Redirects to itself; ","")&amp;IF(AND(M652&lt;&gt;"",OR(M652="/",AND(LEFT(M652,4)="http",OR((LEN(M652)-LEN(SUBSTITUTE(M652,"/","")))=2,AND((LEN(M652)-LEN(SUBSTITUTE(M652,"/","")))=3,RIGHT(M652,1)="/"))))),"Home page redirect; ","")&amp;IF(N(R652)&gt;1,"Chain; ","")&amp;IF(S652="No","Destination not 200; ","")))</f>
        <v/>
      </c>
      <c r="U652" s="22" t="n"/>
      <c r="V652" s="22" t="n"/>
      <c r="W652" s="4" t="n"/>
    </row>
    <row r="653">
      <c r="A653" s="22" t="n"/>
      <c r="B653" s="22" t="n"/>
      <c r="C653" s="22" t="n"/>
      <c r="D653" s="22">
        <f>IF(A653="","",IF(OR(N(B653)&gt;=$C$2,N(C653)&gt;=$E$2),"High",IF(OR(N(B653)&gt;0,N(C653)&gt;0),"Medium","Low")))</f>
        <v/>
      </c>
      <c r="E653" s="22" t="n"/>
      <c r="F653" s="22" t="n"/>
      <c r="G653" s="22" t="n"/>
      <c r="H653" s="22" t="n"/>
      <c r="I653" s="22" t="n"/>
      <c r="J653" s="22" t="n"/>
      <c r="K653" s="22" t="n"/>
      <c r="L653" s="22" t="n"/>
      <c r="M653" s="22">
        <f>IF(K653="Override",L653,IF(K653="Accept suggestion",F653,IF(K653="No change (same URL)",A653,"")))</f>
        <v/>
      </c>
      <c r="N653" s="22">
        <f>IF(A653="","",IF(K653="410 Gone","410",IF(K653="404","404",IF(K653="No change (same URL)","none",IF(M653="","","301")))))</f>
        <v/>
      </c>
      <c r="O653" s="22">
        <f>IF(A653="","",IFERROR(MID(A653,FIND("/",A653,FIND("//",A653)+2),2000),A653))</f>
        <v/>
      </c>
      <c r="P653" s="22">
        <f>IF(OR(O653="",N653="",N653="none",N653="404"),"",IF(N653="410","Redirect gone "&amp;O653,"Redirect "&amp;N653&amp;" "&amp;O653&amp;" "&amp;M653))</f>
        <v/>
      </c>
      <c r="Q653" s="22" t="n"/>
      <c r="R653" s="22" t="n"/>
      <c r="S653" s="22" t="n"/>
      <c r="T653" s="4">
        <f>IF(A653="","",TRIM(IF(K653="","Needs decision; ","")&amp;IF(AND(K653="Accept suggestion",F653=""),"No suggestion to accept; ","")&amp;IF(AND(K653="Override",L653=""),"Override URL missing; ","")&amp;IF(AND(K653="Accept suggestion",N(G653)&lt;$G$2),"Below your threshold; ","")&amp;IF(AND(M653&lt;&gt;"",M653=A653,K653&lt;&gt;"No change (same URL)"),"Redirects to itself; ","")&amp;IF(AND(M653&lt;&gt;"",OR(M653="/",AND(LEFT(M653,4)="http",OR((LEN(M653)-LEN(SUBSTITUTE(M653,"/","")))=2,AND((LEN(M653)-LEN(SUBSTITUTE(M653,"/","")))=3,RIGHT(M653,1)="/"))))),"Home page redirect; ","")&amp;IF(N(R653)&gt;1,"Chain; ","")&amp;IF(S653="No","Destination not 200; ","")))</f>
        <v/>
      </c>
      <c r="U653" s="22" t="n"/>
      <c r="V653" s="22" t="n"/>
      <c r="W653" s="4" t="n"/>
    </row>
    <row r="654">
      <c r="A654" s="22" t="n"/>
      <c r="B654" s="22" t="n"/>
      <c r="C654" s="22" t="n"/>
      <c r="D654" s="22">
        <f>IF(A654="","",IF(OR(N(B654)&gt;=$C$2,N(C654)&gt;=$E$2),"High",IF(OR(N(B654)&gt;0,N(C654)&gt;0),"Medium","Low")))</f>
        <v/>
      </c>
      <c r="E654" s="22" t="n"/>
      <c r="F654" s="22" t="n"/>
      <c r="G654" s="22" t="n"/>
      <c r="H654" s="22" t="n"/>
      <c r="I654" s="22" t="n"/>
      <c r="J654" s="22" t="n"/>
      <c r="K654" s="22" t="n"/>
      <c r="L654" s="22" t="n"/>
      <c r="M654" s="22">
        <f>IF(K654="Override",L654,IF(K654="Accept suggestion",F654,IF(K654="No change (same URL)",A654,"")))</f>
        <v/>
      </c>
      <c r="N654" s="22">
        <f>IF(A654="","",IF(K654="410 Gone","410",IF(K654="404","404",IF(K654="No change (same URL)","none",IF(M654="","","301")))))</f>
        <v/>
      </c>
      <c r="O654" s="22">
        <f>IF(A654="","",IFERROR(MID(A654,FIND("/",A654,FIND("//",A654)+2),2000),A654))</f>
        <v/>
      </c>
      <c r="P654" s="22">
        <f>IF(OR(O654="",N654="",N654="none",N654="404"),"",IF(N654="410","Redirect gone "&amp;O654,"Redirect "&amp;N654&amp;" "&amp;O654&amp;" "&amp;M654))</f>
        <v/>
      </c>
      <c r="Q654" s="22" t="n"/>
      <c r="R654" s="22" t="n"/>
      <c r="S654" s="22" t="n"/>
      <c r="T654" s="4">
        <f>IF(A654="","",TRIM(IF(K654="","Needs decision; ","")&amp;IF(AND(K654="Accept suggestion",F654=""),"No suggestion to accept; ","")&amp;IF(AND(K654="Override",L654=""),"Override URL missing; ","")&amp;IF(AND(K654="Accept suggestion",N(G654)&lt;$G$2),"Below your threshold; ","")&amp;IF(AND(M654&lt;&gt;"",M654=A654,K654&lt;&gt;"No change (same URL)"),"Redirects to itself; ","")&amp;IF(AND(M654&lt;&gt;"",OR(M654="/",AND(LEFT(M654,4)="http",OR((LEN(M654)-LEN(SUBSTITUTE(M654,"/","")))=2,AND((LEN(M654)-LEN(SUBSTITUTE(M654,"/","")))=3,RIGHT(M654,1)="/"))))),"Home page redirect; ","")&amp;IF(N(R654)&gt;1,"Chain; ","")&amp;IF(S654="No","Destination not 200; ","")))</f>
        <v/>
      </c>
      <c r="U654" s="22" t="n"/>
      <c r="V654" s="22" t="n"/>
      <c r="W654" s="4" t="n"/>
    </row>
    <row r="655">
      <c r="A655" s="22" t="n"/>
      <c r="B655" s="22" t="n"/>
      <c r="C655" s="22" t="n"/>
      <c r="D655" s="22">
        <f>IF(A655="","",IF(OR(N(B655)&gt;=$C$2,N(C655)&gt;=$E$2),"High",IF(OR(N(B655)&gt;0,N(C655)&gt;0),"Medium","Low")))</f>
        <v/>
      </c>
      <c r="E655" s="22" t="n"/>
      <c r="F655" s="22" t="n"/>
      <c r="G655" s="22" t="n"/>
      <c r="H655" s="22" t="n"/>
      <c r="I655" s="22" t="n"/>
      <c r="J655" s="22" t="n"/>
      <c r="K655" s="22" t="n"/>
      <c r="L655" s="22" t="n"/>
      <c r="M655" s="22">
        <f>IF(K655="Override",L655,IF(K655="Accept suggestion",F655,IF(K655="No change (same URL)",A655,"")))</f>
        <v/>
      </c>
      <c r="N655" s="22">
        <f>IF(A655="","",IF(K655="410 Gone","410",IF(K655="404","404",IF(K655="No change (same URL)","none",IF(M655="","","301")))))</f>
        <v/>
      </c>
      <c r="O655" s="22">
        <f>IF(A655="","",IFERROR(MID(A655,FIND("/",A655,FIND("//",A655)+2),2000),A655))</f>
        <v/>
      </c>
      <c r="P655" s="22">
        <f>IF(OR(O655="",N655="",N655="none",N655="404"),"",IF(N655="410","Redirect gone "&amp;O655,"Redirect "&amp;N655&amp;" "&amp;O655&amp;" "&amp;M655))</f>
        <v/>
      </c>
      <c r="Q655" s="22" t="n"/>
      <c r="R655" s="22" t="n"/>
      <c r="S655" s="22" t="n"/>
      <c r="T655" s="4">
        <f>IF(A655="","",TRIM(IF(K655="","Needs decision; ","")&amp;IF(AND(K655="Accept suggestion",F655=""),"No suggestion to accept; ","")&amp;IF(AND(K655="Override",L655=""),"Override URL missing; ","")&amp;IF(AND(K655="Accept suggestion",N(G655)&lt;$G$2),"Below your threshold; ","")&amp;IF(AND(M655&lt;&gt;"",M655=A655,K655&lt;&gt;"No change (same URL)"),"Redirects to itself; ","")&amp;IF(AND(M655&lt;&gt;"",OR(M655="/",AND(LEFT(M655,4)="http",OR((LEN(M655)-LEN(SUBSTITUTE(M655,"/","")))=2,AND((LEN(M655)-LEN(SUBSTITUTE(M655,"/","")))=3,RIGHT(M655,1)="/"))))),"Home page redirect; ","")&amp;IF(N(R655)&gt;1,"Chain; ","")&amp;IF(S655="No","Destination not 200; ","")))</f>
        <v/>
      </c>
      <c r="U655" s="22" t="n"/>
      <c r="V655" s="22" t="n"/>
      <c r="W655" s="4" t="n"/>
    </row>
    <row r="656">
      <c r="A656" s="22" t="n"/>
      <c r="B656" s="22" t="n"/>
      <c r="C656" s="22" t="n"/>
      <c r="D656" s="22">
        <f>IF(A656="","",IF(OR(N(B656)&gt;=$C$2,N(C656)&gt;=$E$2),"High",IF(OR(N(B656)&gt;0,N(C656)&gt;0),"Medium","Low")))</f>
        <v/>
      </c>
      <c r="E656" s="22" t="n"/>
      <c r="F656" s="22" t="n"/>
      <c r="G656" s="22" t="n"/>
      <c r="H656" s="22" t="n"/>
      <c r="I656" s="22" t="n"/>
      <c r="J656" s="22" t="n"/>
      <c r="K656" s="22" t="n"/>
      <c r="L656" s="22" t="n"/>
      <c r="M656" s="22">
        <f>IF(K656="Override",L656,IF(K656="Accept suggestion",F656,IF(K656="No change (same URL)",A656,"")))</f>
        <v/>
      </c>
      <c r="N656" s="22">
        <f>IF(A656="","",IF(K656="410 Gone","410",IF(K656="404","404",IF(K656="No change (same URL)","none",IF(M656="","","301")))))</f>
        <v/>
      </c>
      <c r="O656" s="22">
        <f>IF(A656="","",IFERROR(MID(A656,FIND("/",A656,FIND("//",A656)+2),2000),A656))</f>
        <v/>
      </c>
      <c r="P656" s="22">
        <f>IF(OR(O656="",N656="",N656="none",N656="404"),"",IF(N656="410","Redirect gone "&amp;O656,"Redirect "&amp;N656&amp;" "&amp;O656&amp;" "&amp;M656))</f>
        <v/>
      </c>
      <c r="Q656" s="22" t="n"/>
      <c r="R656" s="22" t="n"/>
      <c r="S656" s="22" t="n"/>
      <c r="T656" s="4">
        <f>IF(A656="","",TRIM(IF(K656="","Needs decision; ","")&amp;IF(AND(K656="Accept suggestion",F656=""),"No suggestion to accept; ","")&amp;IF(AND(K656="Override",L656=""),"Override URL missing; ","")&amp;IF(AND(K656="Accept suggestion",N(G656)&lt;$G$2),"Below your threshold; ","")&amp;IF(AND(M656&lt;&gt;"",M656=A656,K656&lt;&gt;"No change (same URL)"),"Redirects to itself; ","")&amp;IF(AND(M656&lt;&gt;"",OR(M656="/",AND(LEFT(M656,4)="http",OR((LEN(M656)-LEN(SUBSTITUTE(M656,"/","")))=2,AND((LEN(M656)-LEN(SUBSTITUTE(M656,"/","")))=3,RIGHT(M656,1)="/"))))),"Home page redirect; ","")&amp;IF(N(R656)&gt;1,"Chain; ","")&amp;IF(S656="No","Destination not 200; ","")))</f>
        <v/>
      </c>
      <c r="U656" s="22" t="n"/>
      <c r="V656" s="22" t="n"/>
      <c r="W656" s="4" t="n"/>
    </row>
    <row r="657">
      <c r="A657" s="22" t="n"/>
      <c r="B657" s="22" t="n"/>
      <c r="C657" s="22" t="n"/>
      <c r="D657" s="22">
        <f>IF(A657="","",IF(OR(N(B657)&gt;=$C$2,N(C657)&gt;=$E$2),"High",IF(OR(N(B657)&gt;0,N(C657)&gt;0),"Medium","Low")))</f>
        <v/>
      </c>
      <c r="E657" s="22" t="n"/>
      <c r="F657" s="22" t="n"/>
      <c r="G657" s="22" t="n"/>
      <c r="H657" s="22" t="n"/>
      <c r="I657" s="22" t="n"/>
      <c r="J657" s="22" t="n"/>
      <c r="K657" s="22" t="n"/>
      <c r="L657" s="22" t="n"/>
      <c r="M657" s="22">
        <f>IF(K657="Override",L657,IF(K657="Accept suggestion",F657,IF(K657="No change (same URL)",A657,"")))</f>
        <v/>
      </c>
      <c r="N657" s="22">
        <f>IF(A657="","",IF(K657="410 Gone","410",IF(K657="404","404",IF(K657="No change (same URL)","none",IF(M657="","","301")))))</f>
        <v/>
      </c>
      <c r="O657" s="22">
        <f>IF(A657="","",IFERROR(MID(A657,FIND("/",A657,FIND("//",A657)+2),2000),A657))</f>
        <v/>
      </c>
      <c r="P657" s="22">
        <f>IF(OR(O657="",N657="",N657="none",N657="404"),"",IF(N657="410","Redirect gone "&amp;O657,"Redirect "&amp;N657&amp;" "&amp;O657&amp;" "&amp;M657))</f>
        <v/>
      </c>
      <c r="Q657" s="22" t="n"/>
      <c r="R657" s="22" t="n"/>
      <c r="S657" s="22" t="n"/>
      <c r="T657" s="4">
        <f>IF(A657="","",TRIM(IF(K657="","Needs decision; ","")&amp;IF(AND(K657="Accept suggestion",F657=""),"No suggestion to accept; ","")&amp;IF(AND(K657="Override",L657=""),"Override URL missing; ","")&amp;IF(AND(K657="Accept suggestion",N(G657)&lt;$G$2),"Below your threshold; ","")&amp;IF(AND(M657&lt;&gt;"",M657=A657,K657&lt;&gt;"No change (same URL)"),"Redirects to itself; ","")&amp;IF(AND(M657&lt;&gt;"",OR(M657="/",AND(LEFT(M657,4)="http",OR((LEN(M657)-LEN(SUBSTITUTE(M657,"/","")))=2,AND((LEN(M657)-LEN(SUBSTITUTE(M657,"/","")))=3,RIGHT(M657,1)="/"))))),"Home page redirect; ","")&amp;IF(N(R657)&gt;1,"Chain; ","")&amp;IF(S657="No","Destination not 200; ","")))</f>
        <v/>
      </c>
      <c r="U657" s="22" t="n"/>
      <c r="V657" s="22" t="n"/>
      <c r="W657" s="4" t="n"/>
    </row>
    <row r="658">
      <c r="A658" s="22" t="n"/>
      <c r="B658" s="22" t="n"/>
      <c r="C658" s="22" t="n"/>
      <c r="D658" s="22">
        <f>IF(A658="","",IF(OR(N(B658)&gt;=$C$2,N(C658)&gt;=$E$2),"High",IF(OR(N(B658)&gt;0,N(C658)&gt;0),"Medium","Low")))</f>
        <v/>
      </c>
      <c r="E658" s="22" t="n"/>
      <c r="F658" s="22" t="n"/>
      <c r="G658" s="22" t="n"/>
      <c r="H658" s="22" t="n"/>
      <c r="I658" s="22" t="n"/>
      <c r="J658" s="22" t="n"/>
      <c r="K658" s="22" t="n"/>
      <c r="L658" s="22" t="n"/>
      <c r="M658" s="22">
        <f>IF(K658="Override",L658,IF(K658="Accept suggestion",F658,IF(K658="No change (same URL)",A658,"")))</f>
        <v/>
      </c>
      <c r="N658" s="22">
        <f>IF(A658="","",IF(K658="410 Gone","410",IF(K658="404","404",IF(K658="No change (same URL)","none",IF(M658="","","301")))))</f>
        <v/>
      </c>
      <c r="O658" s="22">
        <f>IF(A658="","",IFERROR(MID(A658,FIND("/",A658,FIND("//",A658)+2),2000),A658))</f>
        <v/>
      </c>
      <c r="P658" s="22">
        <f>IF(OR(O658="",N658="",N658="none",N658="404"),"",IF(N658="410","Redirect gone "&amp;O658,"Redirect "&amp;N658&amp;" "&amp;O658&amp;" "&amp;M658))</f>
        <v/>
      </c>
      <c r="Q658" s="22" t="n"/>
      <c r="R658" s="22" t="n"/>
      <c r="S658" s="22" t="n"/>
      <c r="T658" s="4">
        <f>IF(A658="","",TRIM(IF(K658="","Needs decision; ","")&amp;IF(AND(K658="Accept suggestion",F658=""),"No suggestion to accept; ","")&amp;IF(AND(K658="Override",L658=""),"Override URL missing; ","")&amp;IF(AND(K658="Accept suggestion",N(G658)&lt;$G$2),"Below your threshold; ","")&amp;IF(AND(M658&lt;&gt;"",M658=A658,K658&lt;&gt;"No change (same URL)"),"Redirects to itself; ","")&amp;IF(AND(M658&lt;&gt;"",OR(M658="/",AND(LEFT(M658,4)="http",OR((LEN(M658)-LEN(SUBSTITUTE(M658,"/","")))=2,AND((LEN(M658)-LEN(SUBSTITUTE(M658,"/","")))=3,RIGHT(M658,1)="/"))))),"Home page redirect; ","")&amp;IF(N(R658)&gt;1,"Chain; ","")&amp;IF(S658="No","Destination not 200; ","")))</f>
        <v/>
      </c>
      <c r="U658" s="22" t="n"/>
      <c r="V658" s="22" t="n"/>
      <c r="W658" s="4" t="n"/>
    </row>
    <row r="659">
      <c r="A659" s="22" t="n"/>
      <c r="B659" s="22" t="n"/>
      <c r="C659" s="22" t="n"/>
      <c r="D659" s="22">
        <f>IF(A659="","",IF(OR(N(B659)&gt;=$C$2,N(C659)&gt;=$E$2),"High",IF(OR(N(B659)&gt;0,N(C659)&gt;0),"Medium","Low")))</f>
        <v/>
      </c>
      <c r="E659" s="22" t="n"/>
      <c r="F659" s="22" t="n"/>
      <c r="G659" s="22" t="n"/>
      <c r="H659" s="22" t="n"/>
      <c r="I659" s="22" t="n"/>
      <c r="J659" s="22" t="n"/>
      <c r="K659" s="22" t="n"/>
      <c r="L659" s="22" t="n"/>
      <c r="M659" s="22">
        <f>IF(K659="Override",L659,IF(K659="Accept suggestion",F659,IF(K659="No change (same URL)",A659,"")))</f>
        <v/>
      </c>
      <c r="N659" s="22">
        <f>IF(A659="","",IF(K659="410 Gone","410",IF(K659="404","404",IF(K659="No change (same URL)","none",IF(M659="","","301")))))</f>
        <v/>
      </c>
      <c r="O659" s="22">
        <f>IF(A659="","",IFERROR(MID(A659,FIND("/",A659,FIND("//",A659)+2),2000),A659))</f>
        <v/>
      </c>
      <c r="P659" s="22">
        <f>IF(OR(O659="",N659="",N659="none",N659="404"),"",IF(N659="410","Redirect gone "&amp;O659,"Redirect "&amp;N659&amp;" "&amp;O659&amp;" "&amp;M659))</f>
        <v/>
      </c>
      <c r="Q659" s="22" t="n"/>
      <c r="R659" s="22" t="n"/>
      <c r="S659" s="22" t="n"/>
      <c r="T659" s="4">
        <f>IF(A659="","",TRIM(IF(K659="","Needs decision; ","")&amp;IF(AND(K659="Accept suggestion",F659=""),"No suggestion to accept; ","")&amp;IF(AND(K659="Override",L659=""),"Override URL missing; ","")&amp;IF(AND(K659="Accept suggestion",N(G659)&lt;$G$2),"Below your threshold; ","")&amp;IF(AND(M659&lt;&gt;"",M659=A659,K659&lt;&gt;"No change (same URL)"),"Redirects to itself; ","")&amp;IF(AND(M659&lt;&gt;"",OR(M659="/",AND(LEFT(M659,4)="http",OR((LEN(M659)-LEN(SUBSTITUTE(M659,"/","")))=2,AND((LEN(M659)-LEN(SUBSTITUTE(M659,"/","")))=3,RIGHT(M659,1)="/"))))),"Home page redirect; ","")&amp;IF(N(R659)&gt;1,"Chain; ","")&amp;IF(S659="No","Destination not 200; ","")))</f>
        <v/>
      </c>
      <c r="U659" s="22" t="n"/>
      <c r="V659" s="22" t="n"/>
      <c r="W659" s="4" t="n"/>
    </row>
    <row r="660">
      <c r="A660" s="22" t="n"/>
      <c r="B660" s="22" t="n"/>
      <c r="C660" s="22" t="n"/>
      <c r="D660" s="22">
        <f>IF(A660="","",IF(OR(N(B660)&gt;=$C$2,N(C660)&gt;=$E$2),"High",IF(OR(N(B660)&gt;0,N(C660)&gt;0),"Medium","Low")))</f>
        <v/>
      </c>
      <c r="E660" s="22" t="n"/>
      <c r="F660" s="22" t="n"/>
      <c r="G660" s="22" t="n"/>
      <c r="H660" s="22" t="n"/>
      <c r="I660" s="22" t="n"/>
      <c r="J660" s="22" t="n"/>
      <c r="K660" s="22" t="n"/>
      <c r="L660" s="22" t="n"/>
      <c r="M660" s="22">
        <f>IF(K660="Override",L660,IF(K660="Accept suggestion",F660,IF(K660="No change (same URL)",A660,"")))</f>
        <v/>
      </c>
      <c r="N660" s="22">
        <f>IF(A660="","",IF(K660="410 Gone","410",IF(K660="404","404",IF(K660="No change (same URL)","none",IF(M660="","","301")))))</f>
        <v/>
      </c>
      <c r="O660" s="22">
        <f>IF(A660="","",IFERROR(MID(A660,FIND("/",A660,FIND("//",A660)+2),2000),A660))</f>
        <v/>
      </c>
      <c r="P660" s="22">
        <f>IF(OR(O660="",N660="",N660="none",N660="404"),"",IF(N660="410","Redirect gone "&amp;O660,"Redirect "&amp;N660&amp;" "&amp;O660&amp;" "&amp;M660))</f>
        <v/>
      </c>
      <c r="Q660" s="22" t="n"/>
      <c r="R660" s="22" t="n"/>
      <c r="S660" s="22" t="n"/>
      <c r="T660" s="4">
        <f>IF(A660="","",TRIM(IF(K660="","Needs decision; ","")&amp;IF(AND(K660="Accept suggestion",F660=""),"No suggestion to accept; ","")&amp;IF(AND(K660="Override",L660=""),"Override URL missing; ","")&amp;IF(AND(K660="Accept suggestion",N(G660)&lt;$G$2),"Below your threshold; ","")&amp;IF(AND(M660&lt;&gt;"",M660=A660,K660&lt;&gt;"No change (same URL)"),"Redirects to itself; ","")&amp;IF(AND(M660&lt;&gt;"",OR(M660="/",AND(LEFT(M660,4)="http",OR((LEN(M660)-LEN(SUBSTITUTE(M660,"/","")))=2,AND((LEN(M660)-LEN(SUBSTITUTE(M660,"/","")))=3,RIGHT(M660,1)="/"))))),"Home page redirect; ","")&amp;IF(N(R660)&gt;1,"Chain; ","")&amp;IF(S660="No","Destination not 200; ","")))</f>
        <v/>
      </c>
      <c r="U660" s="22" t="n"/>
      <c r="V660" s="22" t="n"/>
      <c r="W660" s="4" t="n"/>
    </row>
    <row r="661">
      <c r="A661" s="22" t="n"/>
      <c r="B661" s="22" t="n"/>
      <c r="C661" s="22" t="n"/>
      <c r="D661" s="22">
        <f>IF(A661="","",IF(OR(N(B661)&gt;=$C$2,N(C661)&gt;=$E$2),"High",IF(OR(N(B661)&gt;0,N(C661)&gt;0),"Medium","Low")))</f>
        <v/>
      </c>
      <c r="E661" s="22" t="n"/>
      <c r="F661" s="22" t="n"/>
      <c r="G661" s="22" t="n"/>
      <c r="H661" s="22" t="n"/>
      <c r="I661" s="22" t="n"/>
      <c r="J661" s="22" t="n"/>
      <c r="K661" s="22" t="n"/>
      <c r="L661" s="22" t="n"/>
      <c r="M661" s="22">
        <f>IF(K661="Override",L661,IF(K661="Accept suggestion",F661,IF(K661="No change (same URL)",A661,"")))</f>
        <v/>
      </c>
      <c r="N661" s="22">
        <f>IF(A661="","",IF(K661="410 Gone","410",IF(K661="404","404",IF(K661="No change (same URL)","none",IF(M661="","","301")))))</f>
        <v/>
      </c>
      <c r="O661" s="22">
        <f>IF(A661="","",IFERROR(MID(A661,FIND("/",A661,FIND("//",A661)+2),2000),A661))</f>
        <v/>
      </c>
      <c r="P661" s="22">
        <f>IF(OR(O661="",N661="",N661="none",N661="404"),"",IF(N661="410","Redirect gone "&amp;O661,"Redirect "&amp;N661&amp;" "&amp;O661&amp;" "&amp;M661))</f>
        <v/>
      </c>
      <c r="Q661" s="22" t="n"/>
      <c r="R661" s="22" t="n"/>
      <c r="S661" s="22" t="n"/>
      <c r="T661" s="4">
        <f>IF(A661="","",TRIM(IF(K661="","Needs decision; ","")&amp;IF(AND(K661="Accept suggestion",F661=""),"No suggestion to accept; ","")&amp;IF(AND(K661="Override",L661=""),"Override URL missing; ","")&amp;IF(AND(K661="Accept suggestion",N(G661)&lt;$G$2),"Below your threshold; ","")&amp;IF(AND(M661&lt;&gt;"",M661=A661,K661&lt;&gt;"No change (same URL)"),"Redirects to itself; ","")&amp;IF(AND(M661&lt;&gt;"",OR(M661="/",AND(LEFT(M661,4)="http",OR((LEN(M661)-LEN(SUBSTITUTE(M661,"/","")))=2,AND((LEN(M661)-LEN(SUBSTITUTE(M661,"/","")))=3,RIGHT(M661,1)="/"))))),"Home page redirect; ","")&amp;IF(N(R661)&gt;1,"Chain; ","")&amp;IF(S661="No","Destination not 200; ","")))</f>
        <v/>
      </c>
      <c r="U661" s="22" t="n"/>
      <c r="V661" s="22" t="n"/>
      <c r="W661" s="4" t="n"/>
    </row>
    <row r="662">
      <c r="A662" s="22" t="n"/>
      <c r="B662" s="22" t="n"/>
      <c r="C662" s="22" t="n"/>
      <c r="D662" s="22">
        <f>IF(A662="","",IF(OR(N(B662)&gt;=$C$2,N(C662)&gt;=$E$2),"High",IF(OR(N(B662)&gt;0,N(C662)&gt;0),"Medium","Low")))</f>
        <v/>
      </c>
      <c r="E662" s="22" t="n"/>
      <c r="F662" s="22" t="n"/>
      <c r="G662" s="22" t="n"/>
      <c r="H662" s="22" t="n"/>
      <c r="I662" s="22" t="n"/>
      <c r="J662" s="22" t="n"/>
      <c r="K662" s="22" t="n"/>
      <c r="L662" s="22" t="n"/>
      <c r="M662" s="22">
        <f>IF(K662="Override",L662,IF(K662="Accept suggestion",F662,IF(K662="No change (same URL)",A662,"")))</f>
        <v/>
      </c>
      <c r="N662" s="22">
        <f>IF(A662="","",IF(K662="410 Gone","410",IF(K662="404","404",IF(K662="No change (same URL)","none",IF(M662="","","301")))))</f>
        <v/>
      </c>
      <c r="O662" s="22">
        <f>IF(A662="","",IFERROR(MID(A662,FIND("/",A662,FIND("//",A662)+2),2000),A662))</f>
        <v/>
      </c>
      <c r="P662" s="22">
        <f>IF(OR(O662="",N662="",N662="none",N662="404"),"",IF(N662="410","Redirect gone "&amp;O662,"Redirect "&amp;N662&amp;" "&amp;O662&amp;" "&amp;M662))</f>
        <v/>
      </c>
      <c r="Q662" s="22" t="n"/>
      <c r="R662" s="22" t="n"/>
      <c r="S662" s="22" t="n"/>
      <c r="T662" s="4">
        <f>IF(A662="","",TRIM(IF(K662="","Needs decision; ","")&amp;IF(AND(K662="Accept suggestion",F662=""),"No suggestion to accept; ","")&amp;IF(AND(K662="Override",L662=""),"Override URL missing; ","")&amp;IF(AND(K662="Accept suggestion",N(G662)&lt;$G$2),"Below your threshold; ","")&amp;IF(AND(M662&lt;&gt;"",M662=A662,K662&lt;&gt;"No change (same URL)"),"Redirects to itself; ","")&amp;IF(AND(M662&lt;&gt;"",OR(M662="/",AND(LEFT(M662,4)="http",OR((LEN(M662)-LEN(SUBSTITUTE(M662,"/","")))=2,AND((LEN(M662)-LEN(SUBSTITUTE(M662,"/","")))=3,RIGHT(M662,1)="/"))))),"Home page redirect; ","")&amp;IF(N(R662)&gt;1,"Chain; ","")&amp;IF(S662="No","Destination not 200; ","")))</f>
        <v/>
      </c>
      <c r="U662" s="22" t="n"/>
      <c r="V662" s="22" t="n"/>
      <c r="W662" s="4" t="n"/>
    </row>
    <row r="663">
      <c r="A663" s="22" t="n"/>
      <c r="B663" s="22" t="n"/>
      <c r="C663" s="22" t="n"/>
      <c r="D663" s="22">
        <f>IF(A663="","",IF(OR(N(B663)&gt;=$C$2,N(C663)&gt;=$E$2),"High",IF(OR(N(B663)&gt;0,N(C663)&gt;0),"Medium","Low")))</f>
        <v/>
      </c>
      <c r="E663" s="22" t="n"/>
      <c r="F663" s="22" t="n"/>
      <c r="G663" s="22" t="n"/>
      <c r="H663" s="22" t="n"/>
      <c r="I663" s="22" t="n"/>
      <c r="J663" s="22" t="n"/>
      <c r="K663" s="22" t="n"/>
      <c r="L663" s="22" t="n"/>
      <c r="M663" s="22">
        <f>IF(K663="Override",L663,IF(K663="Accept suggestion",F663,IF(K663="No change (same URL)",A663,"")))</f>
        <v/>
      </c>
      <c r="N663" s="22">
        <f>IF(A663="","",IF(K663="410 Gone","410",IF(K663="404","404",IF(K663="No change (same URL)","none",IF(M663="","","301")))))</f>
        <v/>
      </c>
      <c r="O663" s="22">
        <f>IF(A663="","",IFERROR(MID(A663,FIND("/",A663,FIND("//",A663)+2),2000),A663))</f>
        <v/>
      </c>
      <c r="P663" s="22">
        <f>IF(OR(O663="",N663="",N663="none",N663="404"),"",IF(N663="410","Redirect gone "&amp;O663,"Redirect "&amp;N663&amp;" "&amp;O663&amp;" "&amp;M663))</f>
        <v/>
      </c>
      <c r="Q663" s="22" t="n"/>
      <c r="R663" s="22" t="n"/>
      <c r="S663" s="22" t="n"/>
      <c r="T663" s="4">
        <f>IF(A663="","",TRIM(IF(K663="","Needs decision; ","")&amp;IF(AND(K663="Accept suggestion",F663=""),"No suggestion to accept; ","")&amp;IF(AND(K663="Override",L663=""),"Override URL missing; ","")&amp;IF(AND(K663="Accept suggestion",N(G663)&lt;$G$2),"Below your threshold; ","")&amp;IF(AND(M663&lt;&gt;"",M663=A663,K663&lt;&gt;"No change (same URL)"),"Redirects to itself; ","")&amp;IF(AND(M663&lt;&gt;"",OR(M663="/",AND(LEFT(M663,4)="http",OR((LEN(M663)-LEN(SUBSTITUTE(M663,"/","")))=2,AND((LEN(M663)-LEN(SUBSTITUTE(M663,"/","")))=3,RIGHT(M663,1)="/"))))),"Home page redirect; ","")&amp;IF(N(R663)&gt;1,"Chain; ","")&amp;IF(S663="No","Destination not 200; ","")))</f>
        <v/>
      </c>
      <c r="U663" s="22" t="n"/>
      <c r="V663" s="22" t="n"/>
      <c r="W663" s="4" t="n"/>
    </row>
    <row r="664">
      <c r="A664" s="22" t="n"/>
      <c r="B664" s="22" t="n"/>
      <c r="C664" s="22" t="n"/>
      <c r="D664" s="22">
        <f>IF(A664="","",IF(OR(N(B664)&gt;=$C$2,N(C664)&gt;=$E$2),"High",IF(OR(N(B664)&gt;0,N(C664)&gt;0),"Medium","Low")))</f>
        <v/>
      </c>
      <c r="E664" s="22" t="n"/>
      <c r="F664" s="22" t="n"/>
      <c r="G664" s="22" t="n"/>
      <c r="H664" s="22" t="n"/>
      <c r="I664" s="22" t="n"/>
      <c r="J664" s="22" t="n"/>
      <c r="K664" s="22" t="n"/>
      <c r="L664" s="22" t="n"/>
      <c r="M664" s="22">
        <f>IF(K664="Override",L664,IF(K664="Accept suggestion",F664,IF(K664="No change (same URL)",A664,"")))</f>
        <v/>
      </c>
      <c r="N664" s="22">
        <f>IF(A664="","",IF(K664="410 Gone","410",IF(K664="404","404",IF(K664="No change (same URL)","none",IF(M664="","","301")))))</f>
        <v/>
      </c>
      <c r="O664" s="22">
        <f>IF(A664="","",IFERROR(MID(A664,FIND("/",A664,FIND("//",A664)+2),2000),A664))</f>
        <v/>
      </c>
      <c r="P664" s="22">
        <f>IF(OR(O664="",N664="",N664="none",N664="404"),"",IF(N664="410","Redirect gone "&amp;O664,"Redirect "&amp;N664&amp;" "&amp;O664&amp;" "&amp;M664))</f>
        <v/>
      </c>
      <c r="Q664" s="22" t="n"/>
      <c r="R664" s="22" t="n"/>
      <c r="S664" s="22" t="n"/>
      <c r="T664" s="4">
        <f>IF(A664="","",TRIM(IF(K664="","Needs decision; ","")&amp;IF(AND(K664="Accept suggestion",F664=""),"No suggestion to accept; ","")&amp;IF(AND(K664="Override",L664=""),"Override URL missing; ","")&amp;IF(AND(K664="Accept suggestion",N(G664)&lt;$G$2),"Below your threshold; ","")&amp;IF(AND(M664&lt;&gt;"",M664=A664,K664&lt;&gt;"No change (same URL)"),"Redirects to itself; ","")&amp;IF(AND(M664&lt;&gt;"",OR(M664="/",AND(LEFT(M664,4)="http",OR((LEN(M664)-LEN(SUBSTITUTE(M664,"/","")))=2,AND((LEN(M664)-LEN(SUBSTITUTE(M664,"/","")))=3,RIGHT(M664,1)="/"))))),"Home page redirect; ","")&amp;IF(N(R664)&gt;1,"Chain; ","")&amp;IF(S664="No","Destination not 200; ","")))</f>
        <v/>
      </c>
      <c r="U664" s="22" t="n"/>
      <c r="V664" s="22" t="n"/>
      <c r="W664" s="4" t="n"/>
    </row>
    <row r="665">
      <c r="A665" s="22" t="n"/>
      <c r="B665" s="22" t="n"/>
      <c r="C665" s="22" t="n"/>
      <c r="D665" s="22">
        <f>IF(A665="","",IF(OR(N(B665)&gt;=$C$2,N(C665)&gt;=$E$2),"High",IF(OR(N(B665)&gt;0,N(C665)&gt;0),"Medium","Low")))</f>
        <v/>
      </c>
      <c r="E665" s="22" t="n"/>
      <c r="F665" s="22" t="n"/>
      <c r="G665" s="22" t="n"/>
      <c r="H665" s="22" t="n"/>
      <c r="I665" s="22" t="n"/>
      <c r="J665" s="22" t="n"/>
      <c r="K665" s="22" t="n"/>
      <c r="L665" s="22" t="n"/>
      <c r="M665" s="22">
        <f>IF(K665="Override",L665,IF(K665="Accept suggestion",F665,IF(K665="No change (same URL)",A665,"")))</f>
        <v/>
      </c>
      <c r="N665" s="22">
        <f>IF(A665="","",IF(K665="410 Gone","410",IF(K665="404","404",IF(K665="No change (same URL)","none",IF(M665="","","301")))))</f>
        <v/>
      </c>
      <c r="O665" s="22">
        <f>IF(A665="","",IFERROR(MID(A665,FIND("/",A665,FIND("//",A665)+2),2000),A665))</f>
        <v/>
      </c>
      <c r="P665" s="22">
        <f>IF(OR(O665="",N665="",N665="none",N665="404"),"",IF(N665="410","Redirect gone "&amp;O665,"Redirect "&amp;N665&amp;" "&amp;O665&amp;" "&amp;M665))</f>
        <v/>
      </c>
      <c r="Q665" s="22" t="n"/>
      <c r="R665" s="22" t="n"/>
      <c r="S665" s="22" t="n"/>
      <c r="T665" s="4">
        <f>IF(A665="","",TRIM(IF(K665="","Needs decision; ","")&amp;IF(AND(K665="Accept suggestion",F665=""),"No suggestion to accept; ","")&amp;IF(AND(K665="Override",L665=""),"Override URL missing; ","")&amp;IF(AND(K665="Accept suggestion",N(G665)&lt;$G$2),"Below your threshold; ","")&amp;IF(AND(M665&lt;&gt;"",M665=A665,K665&lt;&gt;"No change (same URL)"),"Redirects to itself; ","")&amp;IF(AND(M665&lt;&gt;"",OR(M665="/",AND(LEFT(M665,4)="http",OR((LEN(M665)-LEN(SUBSTITUTE(M665,"/","")))=2,AND((LEN(M665)-LEN(SUBSTITUTE(M665,"/","")))=3,RIGHT(M665,1)="/"))))),"Home page redirect; ","")&amp;IF(N(R665)&gt;1,"Chain; ","")&amp;IF(S665="No","Destination not 200; ","")))</f>
        <v/>
      </c>
      <c r="U665" s="22" t="n"/>
      <c r="V665" s="22" t="n"/>
      <c r="W665" s="4" t="n"/>
    </row>
    <row r="666">
      <c r="A666" s="22" t="n"/>
      <c r="B666" s="22" t="n"/>
      <c r="C666" s="22" t="n"/>
      <c r="D666" s="22">
        <f>IF(A666="","",IF(OR(N(B666)&gt;=$C$2,N(C666)&gt;=$E$2),"High",IF(OR(N(B666)&gt;0,N(C666)&gt;0),"Medium","Low")))</f>
        <v/>
      </c>
      <c r="E666" s="22" t="n"/>
      <c r="F666" s="22" t="n"/>
      <c r="G666" s="22" t="n"/>
      <c r="H666" s="22" t="n"/>
      <c r="I666" s="22" t="n"/>
      <c r="J666" s="22" t="n"/>
      <c r="K666" s="22" t="n"/>
      <c r="L666" s="22" t="n"/>
      <c r="M666" s="22">
        <f>IF(K666="Override",L666,IF(K666="Accept suggestion",F666,IF(K666="No change (same URL)",A666,"")))</f>
        <v/>
      </c>
      <c r="N666" s="22">
        <f>IF(A666="","",IF(K666="410 Gone","410",IF(K666="404","404",IF(K666="No change (same URL)","none",IF(M666="","","301")))))</f>
        <v/>
      </c>
      <c r="O666" s="22">
        <f>IF(A666="","",IFERROR(MID(A666,FIND("/",A666,FIND("//",A666)+2),2000),A666))</f>
        <v/>
      </c>
      <c r="P666" s="22">
        <f>IF(OR(O666="",N666="",N666="none",N666="404"),"",IF(N666="410","Redirect gone "&amp;O666,"Redirect "&amp;N666&amp;" "&amp;O666&amp;" "&amp;M666))</f>
        <v/>
      </c>
      <c r="Q666" s="22" t="n"/>
      <c r="R666" s="22" t="n"/>
      <c r="S666" s="22" t="n"/>
      <c r="T666" s="4">
        <f>IF(A666="","",TRIM(IF(K666="","Needs decision; ","")&amp;IF(AND(K666="Accept suggestion",F666=""),"No suggestion to accept; ","")&amp;IF(AND(K666="Override",L666=""),"Override URL missing; ","")&amp;IF(AND(K666="Accept suggestion",N(G666)&lt;$G$2),"Below your threshold; ","")&amp;IF(AND(M666&lt;&gt;"",M666=A666,K666&lt;&gt;"No change (same URL)"),"Redirects to itself; ","")&amp;IF(AND(M666&lt;&gt;"",OR(M666="/",AND(LEFT(M666,4)="http",OR((LEN(M666)-LEN(SUBSTITUTE(M666,"/","")))=2,AND((LEN(M666)-LEN(SUBSTITUTE(M666,"/","")))=3,RIGHT(M666,1)="/"))))),"Home page redirect; ","")&amp;IF(N(R666)&gt;1,"Chain; ","")&amp;IF(S666="No","Destination not 200; ","")))</f>
        <v/>
      </c>
      <c r="U666" s="22" t="n"/>
      <c r="V666" s="22" t="n"/>
      <c r="W666" s="4" t="n"/>
    </row>
    <row r="667">
      <c r="A667" s="22" t="n"/>
      <c r="B667" s="22" t="n"/>
      <c r="C667" s="22" t="n"/>
      <c r="D667" s="22">
        <f>IF(A667="","",IF(OR(N(B667)&gt;=$C$2,N(C667)&gt;=$E$2),"High",IF(OR(N(B667)&gt;0,N(C667)&gt;0),"Medium","Low")))</f>
        <v/>
      </c>
      <c r="E667" s="22" t="n"/>
      <c r="F667" s="22" t="n"/>
      <c r="G667" s="22" t="n"/>
      <c r="H667" s="22" t="n"/>
      <c r="I667" s="22" t="n"/>
      <c r="J667" s="22" t="n"/>
      <c r="K667" s="22" t="n"/>
      <c r="L667" s="22" t="n"/>
      <c r="M667" s="22">
        <f>IF(K667="Override",L667,IF(K667="Accept suggestion",F667,IF(K667="No change (same URL)",A667,"")))</f>
        <v/>
      </c>
      <c r="N667" s="22">
        <f>IF(A667="","",IF(K667="410 Gone","410",IF(K667="404","404",IF(K667="No change (same URL)","none",IF(M667="","","301")))))</f>
        <v/>
      </c>
      <c r="O667" s="22">
        <f>IF(A667="","",IFERROR(MID(A667,FIND("/",A667,FIND("//",A667)+2),2000),A667))</f>
        <v/>
      </c>
      <c r="P667" s="22">
        <f>IF(OR(O667="",N667="",N667="none",N667="404"),"",IF(N667="410","Redirect gone "&amp;O667,"Redirect "&amp;N667&amp;" "&amp;O667&amp;" "&amp;M667))</f>
        <v/>
      </c>
      <c r="Q667" s="22" t="n"/>
      <c r="R667" s="22" t="n"/>
      <c r="S667" s="22" t="n"/>
      <c r="T667" s="4">
        <f>IF(A667="","",TRIM(IF(K667="","Needs decision; ","")&amp;IF(AND(K667="Accept suggestion",F667=""),"No suggestion to accept; ","")&amp;IF(AND(K667="Override",L667=""),"Override URL missing; ","")&amp;IF(AND(K667="Accept suggestion",N(G667)&lt;$G$2),"Below your threshold; ","")&amp;IF(AND(M667&lt;&gt;"",M667=A667,K667&lt;&gt;"No change (same URL)"),"Redirects to itself; ","")&amp;IF(AND(M667&lt;&gt;"",OR(M667="/",AND(LEFT(M667,4)="http",OR((LEN(M667)-LEN(SUBSTITUTE(M667,"/","")))=2,AND((LEN(M667)-LEN(SUBSTITUTE(M667,"/","")))=3,RIGHT(M667,1)="/"))))),"Home page redirect; ","")&amp;IF(N(R667)&gt;1,"Chain; ","")&amp;IF(S667="No","Destination not 200; ","")))</f>
        <v/>
      </c>
      <c r="U667" s="22" t="n"/>
      <c r="V667" s="22" t="n"/>
      <c r="W667" s="4" t="n"/>
    </row>
    <row r="668">
      <c r="A668" s="22" t="n"/>
      <c r="B668" s="22" t="n"/>
      <c r="C668" s="22" t="n"/>
      <c r="D668" s="22">
        <f>IF(A668="","",IF(OR(N(B668)&gt;=$C$2,N(C668)&gt;=$E$2),"High",IF(OR(N(B668)&gt;0,N(C668)&gt;0),"Medium","Low")))</f>
        <v/>
      </c>
      <c r="E668" s="22" t="n"/>
      <c r="F668" s="22" t="n"/>
      <c r="G668" s="22" t="n"/>
      <c r="H668" s="22" t="n"/>
      <c r="I668" s="22" t="n"/>
      <c r="J668" s="22" t="n"/>
      <c r="K668" s="22" t="n"/>
      <c r="L668" s="22" t="n"/>
      <c r="M668" s="22">
        <f>IF(K668="Override",L668,IF(K668="Accept suggestion",F668,IF(K668="No change (same URL)",A668,"")))</f>
        <v/>
      </c>
      <c r="N668" s="22">
        <f>IF(A668="","",IF(K668="410 Gone","410",IF(K668="404","404",IF(K668="No change (same URL)","none",IF(M668="","","301")))))</f>
        <v/>
      </c>
      <c r="O668" s="22">
        <f>IF(A668="","",IFERROR(MID(A668,FIND("/",A668,FIND("//",A668)+2),2000),A668))</f>
        <v/>
      </c>
      <c r="P668" s="22">
        <f>IF(OR(O668="",N668="",N668="none",N668="404"),"",IF(N668="410","Redirect gone "&amp;O668,"Redirect "&amp;N668&amp;" "&amp;O668&amp;" "&amp;M668))</f>
        <v/>
      </c>
      <c r="Q668" s="22" t="n"/>
      <c r="R668" s="22" t="n"/>
      <c r="S668" s="22" t="n"/>
      <c r="T668" s="4">
        <f>IF(A668="","",TRIM(IF(K668="","Needs decision; ","")&amp;IF(AND(K668="Accept suggestion",F668=""),"No suggestion to accept; ","")&amp;IF(AND(K668="Override",L668=""),"Override URL missing; ","")&amp;IF(AND(K668="Accept suggestion",N(G668)&lt;$G$2),"Below your threshold; ","")&amp;IF(AND(M668&lt;&gt;"",M668=A668,K668&lt;&gt;"No change (same URL)"),"Redirects to itself; ","")&amp;IF(AND(M668&lt;&gt;"",OR(M668="/",AND(LEFT(M668,4)="http",OR((LEN(M668)-LEN(SUBSTITUTE(M668,"/","")))=2,AND((LEN(M668)-LEN(SUBSTITUTE(M668,"/","")))=3,RIGHT(M668,1)="/"))))),"Home page redirect; ","")&amp;IF(N(R668)&gt;1,"Chain; ","")&amp;IF(S668="No","Destination not 200; ","")))</f>
        <v/>
      </c>
      <c r="U668" s="22" t="n"/>
      <c r="V668" s="22" t="n"/>
      <c r="W668" s="4" t="n"/>
    </row>
    <row r="669">
      <c r="A669" s="22" t="n"/>
      <c r="B669" s="22" t="n"/>
      <c r="C669" s="22" t="n"/>
      <c r="D669" s="22">
        <f>IF(A669="","",IF(OR(N(B669)&gt;=$C$2,N(C669)&gt;=$E$2),"High",IF(OR(N(B669)&gt;0,N(C669)&gt;0),"Medium","Low")))</f>
        <v/>
      </c>
      <c r="E669" s="22" t="n"/>
      <c r="F669" s="22" t="n"/>
      <c r="G669" s="22" t="n"/>
      <c r="H669" s="22" t="n"/>
      <c r="I669" s="22" t="n"/>
      <c r="J669" s="22" t="n"/>
      <c r="K669" s="22" t="n"/>
      <c r="L669" s="22" t="n"/>
      <c r="M669" s="22">
        <f>IF(K669="Override",L669,IF(K669="Accept suggestion",F669,IF(K669="No change (same URL)",A669,"")))</f>
        <v/>
      </c>
      <c r="N669" s="22">
        <f>IF(A669="","",IF(K669="410 Gone","410",IF(K669="404","404",IF(K669="No change (same URL)","none",IF(M669="","","301")))))</f>
        <v/>
      </c>
      <c r="O669" s="22">
        <f>IF(A669="","",IFERROR(MID(A669,FIND("/",A669,FIND("//",A669)+2),2000),A669))</f>
        <v/>
      </c>
      <c r="P669" s="22">
        <f>IF(OR(O669="",N669="",N669="none",N669="404"),"",IF(N669="410","Redirect gone "&amp;O669,"Redirect "&amp;N669&amp;" "&amp;O669&amp;" "&amp;M669))</f>
        <v/>
      </c>
      <c r="Q669" s="22" t="n"/>
      <c r="R669" s="22" t="n"/>
      <c r="S669" s="22" t="n"/>
      <c r="T669" s="4">
        <f>IF(A669="","",TRIM(IF(K669="","Needs decision; ","")&amp;IF(AND(K669="Accept suggestion",F669=""),"No suggestion to accept; ","")&amp;IF(AND(K669="Override",L669=""),"Override URL missing; ","")&amp;IF(AND(K669="Accept suggestion",N(G669)&lt;$G$2),"Below your threshold; ","")&amp;IF(AND(M669&lt;&gt;"",M669=A669,K669&lt;&gt;"No change (same URL)"),"Redirects to itself; ","")&amp;IF(AND(M669&lt;&gt;"",OR(M669="/",AND(LEFT(M669,4)="http",OR((LEN(M669)-LEN(SUBSTITUTE(M669,"/","")))=2,AND((LEN(M669)-LEN(SUBSTITUTE(M669,"/","")))=3,RIGHT(M669,1)="/"))))),"Home page redirect; ","")&amp;IF(N(R669)&gt;1,"Chain; ","")&amp;IF(S669="No","Destination not 200; ","")))</f>
        <v/>
      </c>
      <c r="U669" s="22" t="n"/>
      <c r="V669" s="22" t="n"/>
      <c r="W669" s="4" t="n"/>
    </row>
    <row r="670">
      <c r="A670" s="22" t="n"/>
      <c r="B670" s="22" t="n"/>
      <c r="C670" s="22" t="n"/>
      <c r="D670" s="22">
        <f>IF(A670="","",IF(OR(N(B670)&gt;=$C$2,N(C670)&gt;=$E$2),"High",IF(OR(N(B670)&gt;0,N(C670)&gt;0),"Medium","Low")))</f>
        <v/>
      </c>
      <c r="E670" s="22" t="n"/>
      <c r="F670" s="22" t="n"/>
      <c r="G670" s="22" t="n"/>
      <c r="H670" s="22" t="n"/>
      <c r="I670" s="22" t="n"/>
      <c r="J670" s="22" t="n"/>
      <c r="K670" s="22" t="n"/>
      <c r="L670" s="22" t="n"/>
      <c r="M670" s="22">
        <f>IF(K670="Override",L670,IF(K670="Accept suggestion",F670,IF(K670="No change (same URL)",A670,"")))</f>
        <v/>
      </c>
      <c r="N670" s="22">
        <f>IF(A670="","",IF(K670="410 Gone","410",IF(K670="404","404",IF(K670="No change (same URL)","none",IF(M670="","","301")))))</f>
        <v/>
      </c>
      <c r="O670" s="22">
        <f>IF(A670="","",IFERROR(MID(A670,FIND("/",A670,FIND("//",A670)+2),2000),A670))</f>
        <v/>
      </c>
      <c r="P670" s="22">
        <f>IF(OR(O670="",N670="",N670="none",N670="404"),"",IF(N670="410","Redirect gone "&amp;O670,"Redirect "&amp;N670&amp;" "&amp;O670&amp;" "&amp;M670))</f>
        <v/>
      </c>
      <c r="Q670" s="22" t="n"/>
      <c r="R670" s="22" t="n"/>
      <c r="S670" s="22" t="n"/>
      <c r="T670" s="4">
        <f>IF(A670="","",TRIM(IF(K670="","Needs decision; ","")&amp;IF(AND(K670="Accept suggestion",F670=""),"No suggestion to accept; ","")&amp;IF(AND(K670="Override",L670=""),"Override URL missing; ","")&amp;IF(AND(K670="Accept suggestion",N(G670)&lt;$G$2),"Below your threshold; ","")&amp;IF(AND(M670&lt;&gt;"",M670=A670,K670&lt;&gt;"No change (same URL)"),"Redirects to itself; ","")&amp;IF(AND(M670&lt;&gt;"",OR(M670="/",AND(LEFT(M670,4)="http",OR((LEN(M670)-LEN(SUBSTITUTE(M670,"/","")))=2,AND((LEN(M670)-LEN(SUBSTITUTE(M670,"/","")))=3,RIGHT(M670,1)="/"))))),"Home page redirect; ","")&amp;IF(N(R670)&gt;1,"Chain; ","")&amp;IF(S670="No","Destination not 200; ","")))</f>
        <v/>
      </c>
      <c r="U670" s="22" t="n"/>
      <c r="V670" s="22" t="n"/>
      <c r="W670" s="4" t="n"/>
    </row>
    <row r="671">
      <c r="A671" s="22" t="n"/>
      <c r="B671" s="22" t="n"/>
      <c r="C671" s="22" t="n"/>
      <c r="D671" s="22">
        <f>IF(A671="","",IF(OR(N(B671)&gt;=$C$2,N(C671)&gt;=$E$2),"High",IF(OR(N(B671)&gt;0,N(C671)&gt;0),"Medium","Low")))</f>
        <v/>
      </c>
      <c r="E671" s="22" t="n"/>
      <c r="F671" s="22" t="n"/>
      <c r="G671" s="22" t="n"/>
      <c r="H671" s="22" t="n"/>
      <c r="I671" s="22" t="n"/>
      <c r="J671" s="22" t="n"/>
      <c r="K671" s="22" t="n"/>
      <c r="L671" s="22" t="n"/>
      <c r="M671" s="22">
        <f>IF(K671="Override",L671,IF(K671="Accept suggestion",F671,IF(K671="No change (same URL)",A671,"")))</f>
        <v/>
      </c>
      <c r="N671" s="22">
        <f>IF(A671="","",IF(K671="410 Gone","410",IF(K671="404","404",IF(K671="No change (same URL)","none",IF(M671="","","301")))))</f>
        <v/>
      </c>
      <c r="O671" s="22">
        <f>IF(A671="","",IFERROR(MID(A671,FIND("/",A671,FIND("//",A671)+2),2000),A671))</f>
        <v/>
      </c>
      <c r="P671" s="22">
        <f>IF(OR(O671="",N671="",N671="none",N671="404"),"",IF(N671="410","Redirect gone "&amp;O671,"Redirect "&amp;N671&amp;" "&amp;O671&amp;" "&amp;M671))</f>
        <v/>
      </c>
      <c r="Q671" s="22" t="n"/>
      <c r="R671" s="22" t="n"/>
      <c r="S671" s="22" t="n"/>
      <c r="T671" s="4">
        <f>IF(A671="","",TRIM(IF(K671="","Needs decision; ","")&amp;IF(AND(K671="Accept suggestion",F671=""),"No suggestion to accept; ","")&amp;IF(AND(K671="Override",L671=""),"Override URL missing; ","")&amp;IF(AND(K671="Accept suggestion",N(G671)&lt;$G$2),"Below your threshold; ","")&amp;IF(AND(M671&lt;&gt;"",M671=A671,K671&lt;&gt;"No change (same URL)"),"Redirects to itself; ","")&amp;IF(AND(M671&lt;&gt;"",OR(M671="/",AND(LEFT(M671,4)="http",OR((LEN(M671)-LEN(SUBSTITUTE(M671,"/","")))=2,AND((LEN(M671)-LEN(SUBSTITUTE(M671,"/","")))=3,RIGHT(M671,1)="/"))))),"Home page redirect; ","")&amp;IF(N(R671)&gt;1,"Chain; ","")&amp;IF(S671="No","Destination not 200; ","")))</f>
        <v/>
      </c>
      <c r="U671" s="22" t="n"/>
      <c r="V671" s="22" t="n"/>
      <c r="W671" s="4" t="n"/>
    </row>
    <row r="672">
      <c r="A672" s="22" t="n"/>
      <c r="B672" s="22" t="n"/>
      <c r="C672" s="22" t="n"/>
      <c r="D672" s="22">
        <f>IF(A672="","",IF(OR(N(B672)&gt;=$C$2,N(C672)&gt;=$E$2),"High",IF(OR(N(B672)&gt;0,N(C672)&gt;0),"Medium","Low")))</f>
        <v/>
      </c>
      <c r="E672" s="22" t="n"/>
      <c r="F672" s="22" t="n"/>
      <c r="G672" s="22" t="n"/>
      <c r="H672" s="22" t="n"/>
      <c r="I672" s="22" t="n"/>
      <c r="J672" s="22" t="n"/>
      <c r="K672" s="22" t="n"/>
      <c r="L672" s="22" t="n"/>
      <c r="M672" s="22">
        <f>IF(K672="Override",L672,IF(K672="Accept suggestion",F672,IF(K672="No change (same URL)",A672,"")))</f>
        <v/>
      </c>
      <c r="N672" s="22">
        <f>IF(A672="","",IF(K672="410 Gone","410",IF(K672="404","404",IF(K672="No change (same URL)","none",IF(M672="","","301")))))</f>
        <v/>
      </c>
      <c r="O672" s="22">
        <f>IF(A672="","",IFERROR(MID(A672,FIND("/",A672,FIND("//",A672)+2),2000),A672))</f>
        <v/>
      </c>
      <c r="P672" s="22">
        <f>IF(OR(O672="",N672="",N672="none",N672="404"),"",IF(N672="410","Redirect gone "&amp;O672,"Redirect "&amp;N672&amp;" "&amp;O672&amp;" "&amp;M672))</f>
        <v/>
      </c>
      <c r="Q672" s="22" t="n"/>
      <c r="R672" s="22" t="n"/>
      <c r="S672" s="22" t="n"/>
      <c r="T672" s="4">
        <f>IF(A672="","",TRIM(IF(K672="","Needs decision; ","")&amp;IF(AND(K672="Accept suggestion",F672=""),"No suggestion to accept; ","")&amp;IF(AND(K672="Override",L672=""),"Override URL missing; ","")&amp;IF(AND(K672="Accept suggestion",N(G672)&lt;$G$2),"Below your threshold; ","")&amp;IF(AND(M672&lt;&gt;"",M672=A672,K672&lt;&gt;"No change (same URL)"),"Redirects to itself; ","")&amp;IF(AND(M672&lt;&gt;"",OR(M672="/",AND(LEFT(M672,4)="http",OR((LEN(M672)-LEN(SUBSTITUTE(M672,"/","")))=2,AND((LEN(M672)-LEN(SUBSTITUTE(M672,"/","")))=3,RIGHT(M672,1)="/"))))),"Home page redirect; ","")&amp;IF(N(R672)&gt;1,"Chain; ","")&amp;IF(S672="No","Destination not 200; ","")))</f>
        <v/>
      </c>
      <c r="U672" s="22" t="n"/>
      <c r="V672" s="22" t="n"/>
      <c r="W672" s="4" t="n"/>
    </row>
    <row r="673">
      <c r="A673" s="22" t="n"/>
      <c r="B673" s="22" t="n"/>
      <c r="C673" s="22" t="n"/>
      <c r="D673" s="22">
        <f>IF(A673="","",IF(OR(N(B673)&gt;=$C$2,N(C673)&gt;=$E$2),"High",IF(OR(N(B673)&gt;0,N(C673)&gt;0),"Medium","Low")))</f>
        <v/>
      </c>
      <c r="E673" s="22" t="n"/>
      <c r="F673" s="22" t="n"/>
      <c r="G673" s="22" t="n"/>
      <c r="H673" s="22" t="n"/>
      <c r="I673" s="22" t="n"/>
      <c r="J673" s="22" t="n"/>
      <c r="K673" s="22" t="n"/>
      <c r="L673" s="22" t="n"/>
      <c r="M673" s="22">
        <f>IF(K673="Override",L673,IF(K673="Accept suggestion",F673,IF(K673="No change (same URL)",A673,"")))</f>
        <v/>
      </c>
      <c r="N673" s="22">
        <f>IF(A673="","",IF(K673="410 Gone","410",IF(K673="404","404",IF(K673="No change (same URL)","none",IF(M673="","","301")))))</f>
        <v/>
      </c>
      <c r="O673" s="22">
        <f>IF(A673="","",IFERROR(MID(A673,FIND("/",A673,FIND("//",A673)+2),2000),A673))</f>
        <v/>
      </c>
      <c r="P673" s="22">
        <f>IF(OR(O673="",N673="",N673="none",N673="404"),"",IF(N673="410","Redirect gone "&amp;O673,"Redirect "&amp;N673&amp;" "&amp;O673&amp;" "&amp;M673))</f>
        <v/>
      </c>
      <c r="Q673" s="22" t="n"/>
      <c r="R673" s="22" t="n"/>
      <c r="S673" s="22" t="n"/>
      <c r="T673" s="4">
        <f>IF(A673="","",TRIM(IF(K673="","Needs decision; ","")&amp;IF(AND(K673="Accept suggestion",F673=""),"No suggestion to accept; ","")&amp;IF(AND(K673="Override",L673=""),"Override URL missing; ","")&amp;IF(AND(K673="Accept suggestion",N(G673)&lt;$G$2),"Below your threshold; ","")&amp;IF(AND(M673&lt;&gt;"",M673=A673,K673&lt;&gt;"No change (same URL)"),"Redirects to itself; ","")&amp;IF(AND(M673&lt;&gt;"",OR(M673="/",AND(LEFT(M673,4)="http",OR((LEN(M673)-LEN(SUBSTITUTE(M673,"/","")))=2,AND((LEN(M673)-LEN(SUBSTITUTE(M673,"/","")))=3,RIGHT(M673,1)="/"))))),"Home page redirect; ","")&amp;IF(N(R673)&gt;1,"Chain; ","")&amp;IF(S673="No","Destination not 200; ","")))</f>
        <v/>
      </c>
      <c r="U673" s="22" t="n"/>
      <c r="V673" s="22" t="n"/>
      <c r="W673" s="4" t="n"/>
    </row>
    <row r="674">
      <c r="A674" s="22" t="n"/>
      <c r="B674" s="22" t="n"/>
      <c r="C674" s="22" t="n"/>
      <c r="D674" s="22">
        <f>IF(A674="","",IF(OR(N(B674)&gt;=$C$2,N(C674)&gt;=$E$2),"High",IF(OR(N(B674)&gt;0,N(C674)&gt;0),"Medium","Low")))</f>
        <v/>
      </c>
      <c r="E674" s="22" t="n"/>
      <c r="F674" s="22" t="n"/>
      <c r="G674" s="22" t="n"/>
      <c r="H674" s="22" t="n"/>
      <c r="I674" s="22" t="n"/>
      <c r="J674" s="22" t="n"/>
      <c r="K674" s="22" t="n"/>
      <c r="L674" s="22" t="n"/>
      <c r="M674" s="22">
        <f>IF(K674="Override",L674,IF(K674="Accept suggestion",F674,IF(K674="No change (same URL)",A674,"")))</f>
        <v/>
      </c>
      <c r="N674" s="22">
        <f>IF(A674="","",IF(K674="410 Gone","410",IF(K674="404","404",IF(K674="No change (same URL)","none",IF(M674="","","301")))))</f>
        <v/>
      </c>
      <c r="O674" s="22">
        <f>IF(A674="","",IFERROR(MID(A674,FIND("/",A674,FIND("//",A674)+2),2000),A674))</f>
        <v/>
      </c>
      <c r="P674" s="22">
        <f>IF(OR(O674="",N674="",N674="none",N674="404"),"",IF(N674="410","Redirect gone "&amp;O674,"Redirect "&amp;N674&amp;" "&amp;O674&amp;" "&amp;M674))</f>
        <v/>
      </c>
      <c r="Q674" s="22" t="n"/>
      <c r="R674" s="22" t="n"/>
      <c r="S674" s="22" t="n"/>
      <c r="T674" s="4">
        <f>IF(A674="","",TRIM(IF(K674="","Needs decision; ","")&amp;IF(AND(K674="Accept suggestion",F674=""),"No suggestion to accept; ","")&amp;IF(AND(K674="Override",L674=""),"Override URL missing; ","")&amp;IF(AND(K674="Accept suggestion",N(G674)&lt;$G$2),"Below your threshold; ","")&amp;IF(AND(M674&lt;&gt;"",M674=A674,K674&lt;&gt;"No change (same URL)"),"Redirects to itself; ","")&amp;IF(AND(M674&lt;&gt;"",OR(M674="/",AND(LEFT(M674,4)="http",OR((LEN(M674)-LEN(SUBSTITUTE(M674,"/","")))=2,AND((LEN(M674)-LEN(SUBSTITUTE(M674,"/","")))=3,RIGHT(M674,1)="/"))))),"Home page redirect; ","")&amp;IF(N(R674)&gt;1,"Chain; ","")&amp;IF(S674="No","Destination not 200; ","")))</f>
        <v/>
      </c>
      <c r="U674" s="22" t="n"/>
      <c r="V674" s="22" t="n"/>
      <c r="W674" s="4" t="n"/>
    </row>
    <row r="675">
      <c r="A675" s="22" t="n"/>
      <c r="B675" s="22" t="n"/>
      <c r="C675" s="22" t="n"/>
      <c r="D675" s="22">
        <f>IF(A675="","",IF(OR(N(B675)&gt;=$C$2,N(C675)&gt;=$E$2),"High",IF(OR(N(B675)&gt;0,N(C675)&gt;0),"Medium","Low")))</f>
        <v/>
      </c>
      <c r="E675" s="22" t="n"/>
      <c r="F675" s="22" t="n"/>
      <c r="G675" s="22" t="n"/>
      <c r="H675" s="22" t="n"/>
      <c r="I675" s="22" t="n"/>
      <c r="J675" s="22" t="n"/>
      <c r="K675" s="22" t="n"/>
      <c r="L675" s="22" t="n"/>
      <c r="M675" s="22">
        <f>IF(K675="Override",L675,IF(K675="Accept suggestion",F675,IF(K675="No change (same URL)",A675,"")))</f>
        <v/>
      </c>
      <c r="N675" s="22">
        <f>IF(A675="","",IF(K675="410 Gone","410",IF(K675="404","404",IF(K675="No change (same URL)","none",IF(M675="","","301")))))</f>
        <v/>
      </c>
      <c r="O675" s="22">
        <f>IF(A675="","",IFERROR(MID(A675,FIND("/",A675,FIND("//",A675)+2),2000),A675))</f>
        <v/>
      </c>
      <c r="P675" s="22">
        <f>IF(OR(O675="",N675="",N675="none",N675="404"),"",IF(N675="410","Redirect gone "&amp;O675,"Redirect "&amp;N675&amp;" "&amp;O675&amp;" "&amp;M675))</f>
        <v/>
      </c>
      <c r="Q675" s="22" t="n"/>
      <c r="R675" s="22" t="n"/>
      <c r="S675" s="22" t="n"/>
      <c r="T675" s="4">
        <f>IF(A675="","",TRIM(IF(K675="","Needs decision; ","")&amp;IF(AND(K675="Accept suggestion",F675=""),"No suggestion to accept; ","")&amp;IF(AND(K675="Override",L675=""),"Override URL missing; ","")&amp;IF(AND(K675="Accept suggestion",N(G675)&lt;$G$2),"Below your threshold; ","")&amp;IF(AND(M675&lt;&gt;"",M675=A675,K675&lt;&gt;"No change (same URL)"),"Redirects to itself; ","")&amp;IF(AND(M675&lt;&gt;"",OR(M675="/",AND(LEFT(M675,4)="http",OR((LEN(M675)-LEN(SUBSTITUTE(M675,"/","")))=2,AND((LEN(M675)-LEN(SUBSTITUTE(M675,"/","")))=3,RIGHT(M675,1)="/"))))),"Home page redirect; ","")&amp;IF(N(R675)&gt;1,"Chain; ","")&amp;IF(S675="No","Destination not 200; ","")))</f>
        <v/>
      </c>
      <c r="U675" s="22" t="n"/>
      <c r="V675" s="22" t="n"/>
      <c r="W675" s="4" t="n"/>
    </row>
    <row r="676">
      <c r="A676" s="22" t="n"/>
      <c r="B676" s="22" t="n"/>
      <c r="C676" s="22" t="n"/>
      <c r="D676" s="22">
        <f>IF(A676="","",IF(OR(N(B676)&gt;=$C$2,N(C676)&gt;=$E$2),"High",IF(OR(N(B676)&gt;0,N(C676)&gt;0),"Medium","Low")))</f>
        <v/>
      </c>
      <c r="E676" s="22" t="n"/>
      <c r="F676" s="22" t="n"/>
      <c r="G676" s="22" t="n"/>
      <c r="H676" s="22" t="n"/>
      <c r="I676" s="22" t="n"/>
      <c r="J676" s="22" t="n"/>
      <c r="K676" s="22" t="n"/>
      <c r="L676" s="22" t="n"/>
      <c r="M676" s="22">
        <f>IF(K676="Override",L676,IF(K676="Accept suggestion",F676,IF(K676="No change (same URL)",A676,"")))</f>
        <v/>
      </c>
      <c r="N676" s="22">
        <f>IF(A676="","",IF(K676="410 Gone","410",IF(K676="404","404",IF(K676="No change (same URL)","none",IF(M676="","","301")))))</f>
        <v/>
      </c>
      <c r="O676" s="22">
        <f>IF(A676="","",IFERROR(MID(A676,FIND("/",A676,FIND("//",A676)+2),2000),A676))</f>
        <v/>
      </c>
      <c r="P676" s="22">
        <f>IF(OR(O676="",N676="",N676="none",N676="404"),"",IF(N676="410","Redirect gone "&amp;O676,"Redirect "&amp;N676&amp;" "&amp;O676&amp;" "&amp;M676))</f>
        <v/>
      </c>
      <c r="Q676" s="22" t="n"/>
      <c r="R676" s="22" t="n"/>
      <c r="S676" s="22" t="n"/>
      <c r="T676" s="4">
        <f>IF(A676="","",TRIM(IF(K676="","Needs decision; ","")&amp;IF(AND(K676="Accept suggestion",F676=""),"No suggestion to accept; ","")&amp;IF(AND(K676="Override",L676=""),"Override URL missing; ","")&amp;IF(AND(K676="Accept suggestion",N(G676)&lt;$G$2),"Below your threshold; ","")&amp;IF(AND(M676&lt;&gt;"",M676=A676,K676&lt;&gt;"No change (same URL)"),"Redirects to itself; ","")&amp;IF(AND(M676&lt;&gt;"",OR(M676="/",AND(LEFT(M676,4)="http",OR((LEN(M676)-LEN(SUBSTITUTE(M676,"/","")))=2,AND((LEN(M676)-LEN(SUBSTITUTE(M676,"/","")))=3,RIGHT(M676,1)="/"))))),"Home page redirect; ","")&amp;IF(N(R676)&gt;1,"Chain; ","")&amp;IF(S676="No","Destination not 200; ","")))</f>
        <v/>
      </c>
      <c r="U676" s="22" t="n"/>
      <c r="V676" s="22" t="n"/>
      <c r="W676" s="4" t="n"/>
    </row>
    <row r="677">
      <c r="A677" s="22" t="n"/>
      <c r="B677" s="22" t="n"/>
      <c r="C677" s="22" t="n"/>
      <c r="D677" s="22">
        <f>IF(A677="","",IF(OR(N(B677)&gt;=$C$2,N(C677)&gt;=$E$2),"High",IF(OR(N(B677)&gt;0,N(C677)&gt;0),"Medium","Low")))</f>
        <v/>
      </c>
      <c r="E677" s="22" t="n"/>
      <c r="F677" s="22" t="n"/>
      <c r="G677" s="22" t="n"/>
      <c r="H677" s="22" t="n"/>
      <c r="I677" s="22" t="n"/>
      <c r="J677" s="22" t="n"/>
      <c r="K677" s="22" t="n"/>
      <c r="L677" s="22" t="n"/>
      <c r="M677" s="22">
        <f>IF(K677="Override",L677,IF(K677="Accept suggestion",F677,IF(K677="No change (same URL)",A677,"")))</f>
        <v/>
      </c>
      <c r="N677" s="22">
        <f>IF(A677="","",IF(K677="410 Gone","410",IF(K677="404","404",IF(K677="No change (same URL)","none",IF(M677="","","301")))))</f>
        <v/>
      </c>
      <c r="O677" s="22">
        <f>IF(A677="","",IFERROR(MID(A677,FIND("/",A677,FIND("//",A677)+2),2000),A677))</f>
        <v/>
      </c>
      <c r="P677" s="22">
        <f>IF(OR(O677="",N677="",N677="none",N677="404"),"",IF(N677="410","Redirect gone "&amp;O677,"Redirect "&amp;N677&amp;" "&amp;O677&amp;" "&amp;M677))</f>
        <v/>
      </c>
      <c r="Q677" s="22" t="n"/>
      <c r="R677" s="22" t="n"/>
      <c r="S677" s="22" t="n"/>
      <c r="T677" s="4">
        <f>IF(A677="","",TRIM(IF(K677="","Needs decision; ","")&amp;IF(AND(K677="Accept suggestion",F677=""),"No suggestion to accept; ","")&amp;IF(AND(K677="Override",L677=""),"Override URL missing; ","")&amp;IF(AND(K677="Accept suggestion",N(G677)&lt;$G$2),"Below your threshold; ","")&amp;IF(AND(M677&lt;&gt;"",M677=A677,K677&lt;&gt;"No change (same URL)"),"Redirects to itself; ","")&amp;IF(AND(M677&lt;&gt;"",OR(M677="/",AND(LEFT(M677,4)="http",OR((LEN(M677)-LEN(SUBSTITUTE(M677,"/","")))=2,AND((LEN(M677)-LEN(SUBSTITUTE(M677,"/","")))=3,RIGHT(M677,1)="/"))))),"Home page redirect; ","")&amp;IF(N(R677)&gt;1,"Chain; ","")&amp;IF(S677="No","Destination not 200; ","")))</f>
        <v/>
      </c>
      <c r="U677" s="22" t="n"/>
      <c r="V677" s="22" t="n"/>
      <c r="W677" s="4" t="n"/>
    </row>
    <row r="678">
      <c r="A678" s="22" t="n"/>
      <c r="B678" s="22" t="n"/>
      <c r="C678" s="22" t="n"/>
      <c r="D678" s="22">
        <f>IF(A678="","",IF(OR(N(B678)&gt;=$C$2,N(C678)&gt;=$E$2),"High",IF(OR(N(B678)&gt;0,N(C678)&gt;0),"Medium","Low")))</f>
        <v/>
      </c>
      <c r="E678" s="22" t="n"/>
      <c r="F678" s="22" t="n"/>
      <c r="G678" s="22" t="n"/>
      <c r="H678" s="22" t="n"/>
      <c r="I678" s="22" t="n"/>
      <c r="J678" s="22" t="n"/>
      <c r="K678" s="22" t="n"/>
      <c r="L678" s="22" t="n"/>
      <c r="M678" s="22">
        <f>IF(K678="Override",L678,IF(K678="Accept suggestion",F678,IF(K678="No change (same URL)",A678,"")))</f>
        <v/>
      </c>
      <c r="N678" s="22">
        <f>IF(A678="","",IF(K678="410 Gone","410",IF(K678="404","404",IF(K678="No change (same URL)","none",IF(M678="","","301")))))</f>
        <v/>
      </c>
      <c r="O678" s="22">
        <f>IF(A678="","",IFERROR(MID(A678,FIND("/",A678,FIND("//",A678)+2),2000),A678))</f>
        <v/>
      </c>
      <c r="P678" s="22">
        <f>IF(OR(O678="",N678="",N678="none",N678="404"),"",IF(N678="410","Redirect gone "&amp;O678,"Redirect "&amp;N678&amp;" "&amp;O678&amp;" "&amp;M678))</f>
        <v/>
      </c>
      <c r="Q678" s="22" t="n"/>
      <c r="R678" s="22" t="n"/>
      <c r="S678" s="22" t="n"/>
      <c r="T678" s="4">
        <f>IF(A678="","",TRIM(IF(K678="","Needs decision; ","")&amp;IF(AND(K678="Accept suggestion",F678=""),"No suggestion to accept; ","")&amp;IF(AND(K678="Override",L678=""),"Override URL missing; ","")&amp;IF(AND(K678="Accept suggestion",N(G678)&lt;$G$2),"Below your threshold; ","")&amp;IF(AND(M678&lt;&gt;"",M678=A678,K678&lt;&gt;"No change (same URL)"),"Redirects to itself; ","")&amp;IF(AND(M678&lt;&gt;"",OR(M678="/",AND(LEFT(M678,4)="http",OR((LEN(M678)-LEN(SUBSTITUTE(M678,"/","")))=2,AND((LEN(M678)-LEN(SUBSTITUTE(M678,"/","")))=3,RIGHT(M678,1)="/"))))),"Home page redirect; ","")&amp;IF(N(R678)&gt;1,"Chain; ","")&amp;IF(S678="No","Destination not 200; ","")))</f>
        <v/>
      </c>
      <c r="U678" s="22" t="n"/>
      <c r="V678" s="22" t="n"/>
      <c r="W678" s="4" t="n"/>
    </row>
    <row r="679">
      <c r="A679" s="22" t="n"/>
      <c r="B679" s="22" t="n"/>
      <c r="C679" s="22" t="n"/>
      <c r="D679" s="22">
        <f>IF(A679="","",IF(OR(N(B679)&gt;=$C$2,N(C679)&gt;=$E$2),"High",IF(OR(N(B679)&gt;0,N(C679)&gt;0),"Medium","Low")))</f>
        <v/>
      </c>
      <c r="E679" s="22" t="n"/>
      <c r="F679" s="22" t="n"/>
      <c r="G679" s="22" t="n"/>
      <c r="H679" s="22" t="n"/>
      <c r="I679" s="22" t="n"/>
      <c r="J679" s="22" t="n"/>
      <c r="K679" s="22" t="n"/>
      <c r="L679" s="22" t="n"/>
      <c r="M679" s="22">
        <f>IF(K679="Override",L679,IF(K679="Accept suggestion",F679,IF(K679="No change (same URL)",A679,"")))</f>
        <v/>
      </c>
      <c r="N679" s="22">
        <f>IF(A679="","",IF(K679="410 Gone","410",IF(K679="404","404",IF(K679="No change (same URL)","none",IF(M679="","","301")))))</f>
        <v/>
      </c>
      <c r="O679" s="22">
        <f>IF(A679="","",IFERROR(MID(A679,FIND("/",A679,FIND("//",A679)+2),2000),A679))</f>
        <v/>
      </c>
      <c r="P679" s="22">
        <f>IF(OR(O679="",N679="",N679="none",N679="404"),"",IF(N679="410","Redirect gone "&amp;O679,"Redirect "&amp;N679&amp;" "&amp;O679&amp;" "&amp;M679))</f>
        <v/>
      </c>
      <c r="Q679" s="22" t="n"/>
      <c r="R679" s="22" t="n"/>
      <c r="S679" s="22" t="n"/>
      <c r="T679" s="4">
        <f>IF(A679="","",TRIM(IF(K679="","Needs decision; ","")&amp;IF(AND(K679="Accept suggestion",F679=""),"No suggestion to accept; ","")&amp;IF(AND(K679="Override",L679=""),"Override URL missing; ","")&amp;IF(AND(K679="Accept suggestion",N(G679)&lt;$G$2),"Below your threshold; ","")&amp;IF(AND(M679&lt;&gt;"",M679=A679,K679&lt;&gt;"No change (same URL)"),"Redirects to itself; ","")&amp;IF(AND(M679&lt;&gt;"",OR(M679="/",AND(LEFT(M679,4)="http",OR((LEN(M679)-LEN(SUBSTITUTE(M679,"/","")))=2,AND((LEN(M679)-LEN(SUBSTITUTE(M679,"/","")))=3,RIGHT(M679,1)="/"))))),"Home page redirect; ","")&amp;IF(N(R679)&gt;1,"Chain; ","")&amp;IF(S679="No","Destination not 200; ","")))</f>
        <v/>
      </c>
      <c r="U679" s="22" t="n"/>
      <c r="V679" s="22" t="n"/>
      <c r="W679" s="4" t="n"/>
    </row>
    <row r="680">
      <c r="A680" s="22" t="n"/>
      <c r="B680" s="22" t="n"/>
      <c r="C680" s="22" t="n"/>
      <c r="D680" s="22">
        <f>IF(A680="","",IF(OR(N(B680)&gt;=$C$2,N(C680)&gt;=$E$2),"High",IF(OR(N(B680)&gt;0,N(C680)&gt;0),"Medium","Low")))</f>
        <v/>
      </c>
      <c r="E680" s="22" t="n"/>
      <c r="F680" s="22" t="n"/>
      <c r="G680" s="22" t="n"/>
      <c r="H680" s="22" t="n"/>
      <c r="I680" s="22" t="n"/>
      <c r="J680" s="22" t="n"/>
      <c r="K680" s="22" t="n"/>
      <c r="L680" s="22" t="n"/>
      <c r="M680" s="22">
        <f>IF(K680="Override",L680,IF(K680="Accept suggestion",F680,IF(K680="No change (same URL)",A680,"")))</f>
        <v/>
      </c>
      <c r="N680" s="22">
        <f>IF(A680="","",IF(K680="410 Gone","410",IF(K680="404","404",IF(K680="No change (same URL)","none",IF(M680="","","301")))))</f>
        <v/>
      </c>
      <c r="O680" s="22">
        <f>IF(A680="","",IFERROR(MID(A680,FIND("/",A680,FIND("//",A680)+2),2000),A680))</f>
        <v/>
      </c>
      <c r="P680" s="22">
        <f>IF(OR(O680="",N680="",N680="none",N680="404"),"",IF(N680="410","Redirect gone "&amp;O680,"Redirect "&amp;N680&amp;" "&amp;O680&amp;" "&amp;M680))</f>
        <v/>
      </c>
      <c r="Q680" s="22" t="n"/>
      <c r="R680" s="22" t="n"/>
      <c r="S680" s="22" t="n"/>
      <c r="T680" s="4">
        <f>IF(A680="","",TRIM(IF(K680="","Needs decision; ","")&amp;IF(AND(K680="Accept suggestion",F680=""),"No suggestion to accept; ","")&amp;IF(AND(K680="Override",L680=""),"Override URL missing; ","")&amp;IF(AND(K680="Accept suggestion",N(G680)&lt;$G$2),"Below your threshold; ","")&amp;IF(AND(M680&lt;&gt;"",M680=A680,K680&lt;&gt;"No change (same URL)"),"Redirects to itself; ","")&amp;IF(AND(M680&lt;&gt;"",OR(M680="/",AND(LEFT(M680,4)="http",OR((LEN(M680)-LEN(SUBSTITUTE(M680,"/","")))=2,AND((LEN(M680)-LEN(SUBSTITUTE(M680,"/","")))=3,RIGHT(M680,1)="/"))))),"Home page redirect; ","")&amp;IF(N(R680)&gt;1,"Chain; ","")&amp;IF(S680="No","Destination not 200; ","")))</f>
        <v/>
      </c>
      <c r="U680" s="22" t="n"/>
      <c r="V680" s="22" t="n"/>
      <c r="W680" s="4" t="n"/>
    </row>
    <row r="681">
      <c r="A681" s="22" t="n"/>
      <c r="B681" s="22" t="n"/>
      <c r="C681" s="22" t="n"/>
      <c r="D681" s="22">
        <f>IF(A681="","",IF(OR(N(B681)&gt;=$C$2,N(C681)&gt;=$E$2),"High",IF(OR(N(B681)&gt;0,N(C681)&gt;0),"Medium","Low")))</f>
        <v/>
      </c>
      <c r="E681" s="22" t="n"/>
      <c r="F681" s="22" t="n"/>
      <c r="G681" s="22" t="n"/>
      <c r="H681" s="22" t="n"/>
      <c r="I681" s="22" t="n"/>
      <c r="J681" s="22" t="n"/>
      <c r="K681" s="22" t="n"/>
      <c r="L681" s="22" t="n"/>
      <c r="M681" s="22">
        <f>IF(K681="Override",L681,IF(K681="Accept suggestion",F681,IF(K681="No change (same URL)",A681,"")))</f>
        <v/>
      </c>
      <c r="N681" s="22">
        <f>IF(A681="","",IF(K681="410 Gone","410",IF(K681="404","404",IF(K681="No change (same URL)","none",IF(M681="","","301")))))</f>
        <v/>
      </c>
      <c r="O681" s="22">
        <f>IF(A681="","",IFERROR(MID(A681,FIND("/",A681,FIND("//",A681)+2),2000),A681))</f>
        <v/>
      </c>
      <c r="P681" s="22">
        <f>IF(OR(O681="",N681="",N681="none",N681="404"),"",IF(N681="410","Redirect gone "&amp;O681,"Redirect "&amp;N681&amp;" "&amp;O681&amp;" "&amp;M681))</f>
        <v/>
      </c>
      <c r="Q681" s="22" t="n"/>
      <c r="R681" s="22" t="n"/>
      <c r="S681" s="22" t="n"/>
      <c r="T681" s="4">
        <f>IF(A681="","",TRIM(IF(K681="","Needs decision; ","")&amp;IF(AND(K681="Accept suggestion",F681=""),"No suggestion to accept; ","")&amp;IF(AND(K681="Override",L681=""),"Override URL missing; ","")&amp;IF(AND(K681="Accept suggestion",N(G681)&lt;$G$2),"Below your threshold; ","")&amp;IF(AND(M681&lt;&gt;"",M681=A681,K681&lt;&gt;"No change (same URL)"),"Redirects to itself; ","")&amp;IF(AND(M681&lt;&gt;"",OR(M681="/",AND(LEFT(M681,4)="http",OR((LEN(M681)-LEN(SUBSTITUTE(M681,"/","")))=2,AND((LEN(M681)-LEN(SUBSTITUTE(M681,"/","")))=3,RIGHT(M681,1)="/"))))),"Home page redirect; ","")&amp;IF(N(R681)&gt;1,"Chain; ","")&amp;IF(S681="No","Destination not 200; ","")))</f>
        <v/>
      </c>
      <c r="U681" s="22" t="n"/>
      <c r="V681" s="22" t="n"/>
      <c r="W681" s="4" t="n"/>
    </row>
    <row r="682">
      <c r="A682" s="22" t="n"/>
      <c r="B682" s="22" t="n"/>
      <c r="C682" s="22" t="n"/>
      <c r="D682" s="22">
        <f>IF(A682="","",IF(OR(N(B682)&gt;=$C$2,N(C682)&gt;=$E$2),"High",IF(OR(N(B682)&gt;0,N(C682)&gt;0),"Medium","Low")))</f>
        <v/>
      </c>
      <c r="E682" s="22" t="n"/>
      <c r="F682" s="22" t="n"/>
      <c r="G682" s="22" t="n"/>
      <c r="H682" s="22" t="n"/>
      <c r="I682" s="22" t="n"/>
      <c r="J682" s="22" t="n"/>
      <c r="K682" s="22" t="n"/>
      <c r="L682" s="22" t="n"/>
      <c r="M682" s="22">
        <f>IF(K682="Override",L682,IF(K682="Accept suggestion",F682,IF(K682="No change (same URL)",A682,"")))</f>
        <v/>
      </c>
      <c r="N682" s="22">
        <f>IF(A682="","",IF(K682="410 Gone","410",IF(K682="404","404",IF(K682="No change (same URL)","none",IF(M682="","","301")))))</f>
        <v/>
      </c>
      <c r="O682" s="22">
        <f>IF(A682="","",IFERROR(MID(A682,FIND("/",A682,FIND("//",A682)+2),2000),A682))</f>
        <v/>
      </c>
      <c r="P682" s="22">
        <f>IF(OR(O682="",N682="",N682="none",N682="404"),"",IF(N682="410","Redirect gone "&amp;O682,"Redirect "&amp;N682&amp;" "&amp;O682&amp;" "&amp;M682))</f>
        <v/>
      </c>
      <c r="Q682" s="22" t="n"/>
      <c r="R682" s="22" t="n"/>
      <c r="S682" s="22" t="n"/>
      <c r="T682" s="4">
        <f>IF(A682="","",TRIM(IF(K682="","Needs decision; ","")&amp;IF(AND(K682="Accept suggestion",F682=""),"No suggestion to accept; ","")&amp;IF(AND(K682="Override",L682=""),"Override URL missing; ","")&amp;IF(AND(K682="Accept suggestion",N(G682)&lt;$G$2),"Below your threshold; ","")&amp;IF(AND(M682&lt;&gt;"",M682=A682,K682&lt;&gt;"No change (same URL)"),"Redirects to itself; ","")&amp;IF(AND(M682&lt;&gt;"",OR(M682="/",AND(LEFT(M682,4)="http",OR((LEN(M682)-LEN(SUBSTITUTE(M682,"/","")))=2,AND((LEN(M682)-LEN(SUBSTITUTE(M682,"/","")))=3,RIGHT(M682,1)="/"))))),"Home page redirect; ","")&amp;IF(N(R682)&gt;1,"Chain; ","")&amp;IF(S682="No","Destination not 200; ","")))</f>
        <v/>
      </c>
      <c r="U682" s="22" t="n"/>
      <c r="V682" s="22" t="n"/>
      <c r="W682" s="4" t="n"/>
    </row>
    <row r="683">
      <c r="A683" s="22" t="n"/>
      <c r="B683" s="22" t="n"/>
      <c r="C683" s="22" t="n"/>
      <c r="D683" s="22">
        <f>IF(A683="","",IF(OR(N(B683)&gt;=$C$2,N(C683)&gt;=$E$2),"High",IF(OR(N(B683)&gt;0,N(C683)&gt;0),"Medium","Low")))</f>
        <v/>
      </c>
      <c r="E683" s="22" t="n"/>
      <c r="F683" s="22" t="n"/>
      <c r="G683" s="22" t="n"/>
      <c r="H683" s="22" t="n"/>
      <c r="I683" s="22" t="n"/>
      <c r="J683" s="22" t="n"/>
      <c r="K683" s="22" t="n"/>
      <c r="L683" s="22" t="n"/>
      <c r="M683" s="22">
        <f>IF(K683="Override",L683,IF(K683="Accept suggestion",F683,IF(K683="No change (same URL)",A683,"")))</f>
        <v/>
      </c>
      <c r="N683" s="22">
        <f>IF(A683="","",IF(K683="410 Gone","410",IF(K683="404","404",IF(K683="No change (same URL)","none",IF(M683="","","301")))))</f>
        <v/>
      </c>
      <c r="O683" s="22">
        <f>IF(A683="","",IFERROR(MID(A683,FIND("/",A683,FIND("//",A683)+2),2000),A683))</f>
        <v/>
      </c>
      <c r="P683" s="22">
        <f>IF(OR(O683="",N683="",N683="none",N683="404"),"",IF(N683="410","Redirect gone "&amp;O683,"Redirect "&amp;N683&amp;" "&amp;O683&amp;" "&amp;M683))</f>
        <v/>
      </c>
      <c r="Q683" s="22" t="n"/>
      <c r="R683" s="22" t="n"/>
      <c r="S683" s="22" t="n"/>
      <c r="T683" s="4">
        <f>IF(A683="","",TRIM(IF(K683="","Needs decision; ","")&amp;IF(AND(K683="Accept suggestion",F683=""),"No suggestion to accept; ","")&amp;IF(AND(K683="Override",L683=""),"Override URL missing; ","")&amp;IF(AND(K683="Accept suggestion",N(G683)&lt;$G$2),"Below your threshold; ","")&amp;IF(AND(M683&lt;&gt;"",M683=A683,K683&lt;&gt;"No change (same URL)"),"Redirects to itself; ","")&amp;IF(AND(M683&lt;&gt;"",OR(M683="/",AND(LEFT(M683,4)="http",OR((LEN(M683)-LEN(SUBSTITUTE(M683,"/","")))=2,AND((LEN(M683)-LEN(SUBSTITUTE(M683,"/","")))=3,RIGHT(M683,1)="/"))))),"Home page redirect; ","")&amp;IF(N(R683)&gt;1,"Chain; ","")&amp;IF(S683="No","Destination not 200; ","")))</f>
        <v/>
      </c>
      <c r="U683" s="22" t="n"/>
      <c r="V683" s="22" t="n"/>
      <c r="W683" s="4" t="n"/>
    </row>
    <row r="684">
      <c r="A684" s="22" t="n"/>
      <c r="B684" s="22" t="n"/>
      <c r="C684" s="22" t="n"/>
      <c r="D684" s="22">
        <f>IF(A684="","",IF(OR(N(B684)&gt;=$C$2,N(C684)&gt;=$E$2),"High",IF(OR(N(B684)&gt;0,N(C684)&gt;0),"Medium","Low")))</f>
        <v/>
      </c>
      <c r="E684" s="22" t="n"/>
      <c r="F684" s="22" t="n"/>
      <c r="G684" s="22" t="n"/>
      <c r="H684" s="22" t="n"/>
      <c r="I684" s="22" t="n"/>
      <c r="J684" s="22" t="n"/>
      <c r="K684" s="22" t="n"/>
      <c r="L684" s="22" t="n"/>
      <c r="M684" s="22">
        <f>IF(K684="Override",L684,IF(K684="Accept suggestion",F684,IF(K684="No change (same URL)",A684,"")))</f>
        <v/>
      </c>
      <c r="N684" s="22">
        <f>IF(A684="","",IF(K684="410 Gone","410",IF(K684="404","404",IF(K684="No change (same URL)","none",IF(M684="","","301")))))</f>
        <v/>
      </c>
      <c r="O684" s="22">
        <f>IF(A684="","",IFERROR(MID(A684,FIND("/",A684,FIND("//",A684)+2),2000),A684))</f>
        <v/>
      </c>
      <c r="P684" s="22">
        <f>IF(OR(O684="",N684="",N684="none",N684="404"),"",IF(N684="410","Redirect gone "&amp;O684,"Redirect "&amp;N684&amp;" "&amp;O684&amp;" "&amp;M684))</f>
        <v/>
      </c>
      <c r="Q684" s="22" t="n"/>
      <c r="R684" s="22" t="n"/>
      <c r="S684" s="22" t="n"/>
      <c r="T684" s="4">
        <f>IF(A684="","",TRIM(IF(K684="","Needs decision; ","")&amp;IF(AND(K684="Accept suggestion",F684=""),"No suggestion to accept; ","")&amp;IF(AND(K684="Override",L684=""),"Override URL missing; ","")&amp;IF(AND(K684="Accept suggestion",N(G684)&lt;$G$2),"Below your threshold; ","")&amp;IF(AND(M684&lt;&gt;"",M684=A684,K684&lt;&gt;"No change (same URL)"),"Redirects to itself; ","")&amp;IF(AND(M684&lt;&gt;"",OR(M684="/",AND(LEFT(M684,4)="http",OR((LEN(M684)-LEN(SUBSTITUTE(M684,"/","")))=2,AND((LEN(M684)-LEN(SUBSTITUTE(M684,"/","")))=3,RIGHT(M684,1)="/"))))),"Home page redirect; ","")&amp;IF(N(R684)&gt;1,"Chain; ","")&amp;IF(S684="No","Destination not 200; ","")))</f>
        <v/>
      </c>
      <c r="U684" s="22" t="n"/>
      <c r="V684" s="22" t="n"/>
      <c r="W684" s="4" t="n"/>
    </row>
    <row r="685">
      <c r="A685" s="22" t="n"/>
      <c r="B685" s="22" t="n"/>
      <c r="C685" s="22" t="n"/>
      <c r="D685" s="22">
        <f>IF(A685="","",IF(OR(N(B685)&gt;=$C$2,N(C685)&gt;=$E$2),"High",IF(OR(N(B685)&gt;0,N(C685)&gt;0),"Medium","Low")))</f>
        <v/>
      </c>
      <c r="E685" s="22" t="n"/>
      <c r="F685" s="22" t="n"/>
      <c r="G685" s="22" t="n"/>
      <c r="H685" s="22" t="n"/>
      <c r="I685" s="22" t="n"/>
      <c r="J685" s="22" t="n"/>
      <c r="K685" s="22" t="n"/>
      <c r="L685" s="22" t="n"/>
      <c r="M685" s="22">
        <f>IF(K685="Override",L685,IF(K685="Accept suggestion",F685,IF(K685="No change (same URL)",A685,"")))</f>
        <v/>
      </c>
      <c r="N685" s="22">
        <f>IF(A685="","",IF(K685="410 Gone","410",IF(K685="404","404",IF(K685="No change (same URL)","none",IF(M685="","","301")))))</f>
        <v/>
      </c>
      <c r="O685" s="22">
        <f>IF(A685="","",IFERROR(MID(A685,FIND("/",A685,FIND("//",A685)+2),2000),A685))</f>
        <v/>
      </c>
      <c r="P685" s="22">
        <f>IF(OR(O685="",N685="",N685="none",N685="404"),"",IF(N685="410","Redirect gone "&amp;O685,"Redirect "&amp;N685&amp;" "&amp;O685&amp;" "&amp;M685))</f>
        <v/>
      </c>
      <c r="Q685" s="22" t="n"/>
      <c r="R685" s="22" t="n"/>
      <c r="S685" s="22" t="n"/>
      <c r="T685" s="4">
        <f>IF(A685="","",TRIM(IF(K685="","Needs decision; ","")&amp;IF(AND(K685="Accept suggestion",F685=""),"No suggestion to accept; ","")&amp;IF(AND(K685="Override",L685=""),"Override URL missing; ","")&amp;IF(AND(K685="Accept suggestion",N(G685)&lt;$G$2),"Below your threshold; ","")&amp;IF(AND(M685&lt;&gt;"",M685=A685,K685&lt;&gt;"No change (same URL)"),"Redirects to itself; ","")&amp;IF(AND(M685&lt;&gt;"",OR(M685="/",AND(LEFT(M685,4)="http",OR((LEN(M685)-LEN(SUBSTITUTE(M685,"/","")))=2,AND((LEN(M685)-LEN(SUBSTITUTE(M685,"/","")))=3,RIGHT(M685,1)="/"))))),"Home page redirect; ","")&amp;IF(N(R685)&gt;1,"Chain; ","")&amp;IF(S685="No","Destination not 200; ","")))</f>
        <v/>
      </c>
      <c r="U685" s="22" t="n"/>
      <c r="V685" s="22" t="n"/>
      <c r="W685" s="4" t="n"/>
    </row>
    <row r="686">
      <c r="A686" s="22" t="n"/>
      <c r="B686" s="22" t="n"/>
      <c r="C686" s="22" t="n"/>
      <c r="D686" s="22">
        <f>IF(A686="","",IF(OR(N(B686)&gt;=$C$2,N(C686)&gt;=$E$2),"High",IF(OR(N(B686)&gt;0,N(C686)&gt;0),"Medium","Low")))</f>
        <v/>
      </c>
      <c r="E686" s="22" t="n"/>
      <c r="F686" s="22" t="n"/>
      <c r="G686" s="22" t="n"/>
      <c r="H686" s="22" t="n"/>
      <c r="I686" s="22" t="n"/>
      <c r="J686" s="22" t="n"/>
      <c r="K686" s="22" t="n"/>
      <c r="L686" s="22" t="n"/>
      <c r="M686" s="22">
        <f>IF(K686="Override",L686,IF(K686="Accept suggestion",F686,IF(K686="No change (same URL)",A686,"")))</f>
        <v/>
      </c>
      <c r="N686" s="22">
        <f>IF(A686="","",IF(K686="410 Gone","410",IF(K686="404","404",IF(K686="No change (same URL)","none",IF(M686="","","301")))))</f>
        <v/>
      </c>
      <c r="O686" s="22">
        <f>IF(A686="","",IFERROR(MID(A686,FIND("/",A686,FIND("//",A686)+2),2000),A686))</f>
        <v/>
      </c>
      <c r="P686" s="22">
        <f>IF(OR(O686="",N686="",N686="none",N686="404"),"",IF(N686="410","Redirect gone "&amp;O686,"Redirect "&amp;N686&amp;" "&amp;O686&amp;" "&amp;M686))</f>
        <v/>
      </c>
      <c r="Q686" s="22" t="n"/>
      <c r="R686" s="22" t="n"/>
      <c r="S686" s="22" t="n"/>
      <c r="T686" s="4">
        <f>IF(A686="","",TRIM(IF(K686="","Needs decision; ","")&amp;IF(AND(K686="Accept suggestion",F686=""),"No suggestion to accept; ","")&amp;IF(AND(K686="Override",L686=""),"Override URL missing; ","")&amp;IF(AND(K686="Accept suggestion",N(G686)&lt;$G$2),"Below your threshold; ","")&amp;IF(AND(M686&lt;&gt;"",M686=A686,K686&lt;&gt;"No change (same URL)"),"Redirects to itself; ","")&amp;IF(AND(M686&lt;&gt;"",OR(M686="/",AND(LEFT(M686,4)="http",OR((LEN(M686)-LEN(SUBSTITUTE(M686,"/","")))=2,AND((LEN(M686)-LEN(SUBSTITUTE(M686,"/","")))=3,RIGHT(M686,1)="/"))))),"Home page redirect; ","")&amp;IF(N(R686)&gt;1,"Chain; ","")&amp;IF(S686="No","Destination not 200; ","")))</f>
        <v/>
      </c>
      <c r="U686" s="22" t="n"/>
      <c r="V686" s="22" t="n"/>
      <c r="W686" s="4" t="n"/>
    </row>
    <row r="687">
      <c r="A687" s="22" t="n"/>
      <c r="B687" s="22" t="n"/>
      <c r="C687" s="22" t="n"/>
      <c r="D687" s="22">
        <f>IF(A687="","",IF(OR(N(B687)&gt;=$C$2,N(C687)&gt;=$E$2),"High",IF(OR(N(B687)&gt;0,N(C687)&gt;0),"Medium","Low")))</f>
        <v/>
      </c>
      <c r="E687" s="22" t="n"/>
      <c r="F687" s="22" t="n"/>
      <c r="G687" s="22" t="n"/>
      <c r="H687" s="22" t="n"/>
      <c r="I687" s="22" t="n"/>
      <c r="J687" s="22" t="n"/>
      <c r="K687" s="22" t="n"/>
      <c r="L687" s="22" t="n"/>
      <c r="M687" s="22">
        <f>IF(K687="Override",L687,IF(K687="Accept suggestion",F687,IF(K687="No change (same URL)",A687,"")))</f>
        <v/>
      </c>
      <c r="N687" s="22">
        <f>IF(A687="","",IF(K687="410 Gone","410",IF(K687="404","404",IF(K687="No change (same URL)","none",IF(M687="","","301")))))</f>
        <v/>
      </c>
      <c r="O687" s="22">
        <f>IF(A687="","",IFERROR(MID(A687,FIND("/",A687,FIND("//",A687)+2),2000),A687))</f>
        <v/>
      </c>
      <c r="P687" s="22">
        <f>IF(OR(O687="",N687="",N687="none",N687="404"),"",IF(N687="410","Redirect gone "&amp;O687,"Redirect "&amp;N687&amp;" "&amp;O687&amp;" "&amp;M687))</f>
        <v/>
      </c>
      <c r="Q687" s="22" t="n"/>
      <c r="R687" s="22" t="n"/>
      <c r="S687" s="22" t="n"/>
      <c r="T687" s="4">
        <f>IF(A687="","",TRIM(IF(K687="","Needs decision; ","")&amp;IF(AND(K687="Accept suggestion",F687=""),"No suggestion to accept; ","")&amp;IF(AND(K687="Override",L687=""),"Override URL missing; ","")&amp;IF(AND(K687="Accept suggestion",N(G687)&lt;$G$2),"Below your threshold; ","")&amp;IF(AND(M687&lt;&gt;"",M687=A687,K687&lt;&gt;"No change (same URL)"),"Redirects to itself; ","")&amp;IF(AND(M687&lt;&gt;"",OR(M687="/",AND(LEFT(M687,4)="http",OR((LEN(M687)-LEN(SUBSTITUTE(M687,"/","")))=2,AND((LEN(M687)-LEN(SUBSTITUTE(M687,"/","")))=3,RIGHT(M687,1)="/"))))),"Home page redirect; ","")&amp;IF(N(R687)&gt;1,"Chain; ","")&amp;IF(S687="No","Destination not 200; ","")))</f>
        <v/>
      </c>
      <c r="U687" s="22" t="n"/>
      <c r="V687" s="22" t="n"/>
      <c r="W687" s="4" t="n"/>
    </row>
    <row r="688">
      <c r="A688" s="22" t="n"/>
      <c r="B688" s="22" t="n"/>
      <c r="C688" s="22" t="n"/>
      <c r="D688" s="22">
        <f>IF(A688="","",IF(OR(N(B688)&gt;=$C$2,N(C688)&gt;=$E$2),"High",IF(OR(N(B688)&gt;0,N(C688)&gt;0),"Medium","Low")))</f>
        <v/>
      </c>
      <c r="E688" s="22" t="n"/>
      <c r="F688" s="22" t="n"/>
      <c r="G688" s="22" t="n"/>
      <c r="H688" s="22" t="n"/>
      <c r="I688" s="22" t="n"/>
      <c r="J688" s="22" t="n"/>
      <c r="K688" s="22" t="n"/>
      <c r="L688" s="22" t="n"/>
      <c r="M688" s="22">
        <f>IF(K688="Override",L688,IF(K688="Accept suggestion",F688,IF(K688="No change (same URL)",A688,"")))</f>
        <v/>
      </c>
      <c r="N688" s="22">
        <f>IF(A688="","",IF(K688="410 Gone","410",IF(K688="404","404",IF(K688="No change (same URL)","none",IF(M688="","","301")))))</f>
        <v/>
      </c>
      <c r="O688" s="22">
        <f>IF(A688="","",IFERROR(MID(A688,FIND("/",A688,FIND("//",A688)+2),2000),A688))</f>
        <v/>
      </c>
      <c r="P688" s="22">
        <f>IF(OR(O688="",N688="",N688="none",N688="404"),"",IF(N688="410","Redirect gone "&amp;O688,"Redirect "&amp;N688&amp;" "&amp;O688&amp;" "&amp;M688))</f>
        <v/>
      </c>
      <c r="Q688" s="22" t="n"/>
      <c r="R688" s="22" t="n"/>
      <c r="S688" s="22" t="n"/>
      <c r="T688" s="4">
        <f>IF(A688="","",TRIM(IF(K688="","Needs decision; ","")&amp;IF(AND(K688="Accept suggestion",F688=""),"No suggestion to accept; ","")&amp;IF(AND(K688="Override",L688=""),"Override URL missing; ","")&amp;IF(AND(K688="Accept suggestion",N(G688)&lt;$G$2),"Below your threshold; ","")&amp;IF(AND(M688&lt;&gt;"",M688=A688,K688&lt;&gt;"No change (same URL)"),"Redirects to itself; ","")&amp;IF(AND(M688&lt;&gt;"",OR(M688="/",AND(LEFT(M688,4)="http",OR((LEN(M688)-LEN(SUBSTITUTE(M688,"/","")))=2,AND((LEN(M688)-LEN(SUBSTITUTE(M688,"/","")))=3,RIGHT(M688,1)="/"))))),"Home page redirect; ","")&amp;IF(N(R688)&gt;1,"Chain; ","")&amp;IF(S688="No","Destination not 200; ","")))</f>
        <v/>
      </c>
      <c r="U688" s="22" t="n"/>
      <c r="V688" s="22" t="n"/>
      <c r="W688" s="4" t="n"/>
    </row>
    <row r="689">
      <c r="A689" s="22" t="n"/>
      <c r="B689" s="22" t="n"/>
      <c r="C689" s="22" t="n"/>
      <c r="D689" s="22">
        <f>IF(A689="","",IF(OR(N(B689)&gt;=$C$2,N(C689)&gt;=$E$2),"High",IF(OR(N(B689)&gt;0,N(C689)&gt;0),"Medium","Low")))</f>
        <v/>
      </c>
      <c r="E689" s="22" t="n"/>
      <c r="F689" s="22" t="n"/>
      <c r="G689" s="22" t="n"/>
      <c r="H689" s="22" t="n"/>
      <c r="I689" s="22" t="n"/>
      <c r="J689" s="22" t="n"/>
      <c r="K689" s="22" t="n"/>
      <c r="L689" s="22" t="n"/>
      <c r="M689" s="22">
        <f>IF(K689="Override",L689,IF(K689="Accept suggestion",F689,IF(K689="No change (same URL)",A689,"")))</f>
        <v/>
      </c>
      <c r="N689" s="22">
        <f>IF(A689="","",IF(K689="410 Gone","410",IF(K689="404","404",IF(K689="No change (same URL)","none",IF(M689="","","301")))))</f>
        <v/>
      </c>
      <c r="O689" s="22">
        <f>IF(A689="","",IFERROR(MID(A689,FIND("/",A689,FIND("//",A689)+2),2000),A689))</f>
        <v/>
      </c>
      <c r="P689" s="22">
        <f>IF(OR(O689="",N689="",N689="none",N689="404"),"",IF(N689="410","Redirect gone "&amp;O689,"Redirect "&amp;N689&amp;" "&amp;O689&amp;" "&amp;M689))</f>
        <v/>
      </c>
      <c r="Q689" s="22" t="n"/>
      <c r="R689" s="22" t="n"/>
      <c r="S689" s="22" t="n"/>
      <c r="T689" s="4">
        <f>IF(A689="","",TRIM(IF(K689="","Needs decision; ","")&amp;IF(AND(K689="Accept suggestion",F689=""),"No suggestion to accept; ","")&amp;IF(AND(K689="Override",L689=""),"Override URL missing; ","")&amp;IF(AND(K689="Accept suggestion",N(G689)&lt;$G$2),"Below your threshold; ","")&amp;IF(AND(M689&lt;&gt;"",M689=A689,K689&lt;&gt;"No change (same URL)"),"Redirects to itself; ","")&amp;IF(AND(M689&lt;&gt;"",OR(M689="/",AND(LEFT(M689,4)="http",OR((LEN(M689)-LEN(SUBSTITUTE(M689,"/","")))=2,AND((LEN(M689)-LEN(SUBSTITUTE(M689,"/","")))=3,RIGHT(M689,1)="/"))))),"Home page redirect; ","")&amp;IF(N(R689)&gt;1,"Chain; ","")&amp;IF(S689="No","Destination not 200; ","")))</f>
        <v/>
      </c>
      <c r="U689" s="22" t="n"/>
      <c r="V689" s="22" t="n"/>
      <c r="W689" s="4" t="n"/>
    </row>
    <row r="690">
      <c r="A690" s="22" t="n"/>
      <c r="B690" s="22" t="n"/>
      <c r="C690" s="22" t="n"/>
      <c r="D690" s="22">
        <f>IF(A690="","",IF(OR(N(B690)&gt;=$C$2,N(C690)&gt;=$E$2),"High",IF(OR(N(B690)&gt;0,N(C690)&gt;0),"Medium","Low")))</f>
        <v/>
      </c>
      <c r="E690" s="22" t="n"/>
      <c r="F690" s="22" t="n"/>
      <c r="G690" s="22" t="n"/>
      <c r="H690" s="22" t="n"/>
      <c r="I690" s="22" t="n"/>
      <c r="J690" s="22" t="n"/>
      <c r="K690" s="22" t="n"/>
      <c r="L690" s="22" t="n"/>
      <c r="M690" s="22">
        <f>IF(K690="Override",L690,IF(K690="Accept suggestion",F690,IF(K690="No change (same URL)",A690,"")))</f>
        <v/>
      </c>
      <c r="N690" s="22">
        <f>IF(A690="","",IF(K690="410 Gone","410",IF(K690="404","404",IF(K690="No change (same URL)","none",IF(M690="","","301")))))</f>
        <v/>
      </c>
      <c r="O690" s="22">
        <f>IF(A690="","",IFERROR(MID(A690,FIND("/",A690,FIND("//",A690)+2),2000),A690))</f>
        <v/>
      </c>
      <c r="P690" s="22">
        <f>IF(OR(O690="",N690="",N690="none",N690="404"),"",IF(N690="410","Redirect gone "&amp;O690,"Redirect "&amp;N690&amp;" "&amp;O690&amp;" "&amp;M690))</f>
        <v/>
      </c>
      <c r="Q690" s="22" t="n"/>
      <c r="R690" s="22" t="n"/>
      <c r="S690" s="22" t="n"/>
      <c r="T690" s="4">
        <f>IF(A690="","",TRIM(IF(K690="","Needs decision; ","")&amp;IF(AND(K690="Accept suggestion",F690=""),"No suggestion to accept; ","")&amp;IF(AND(K690="Override",L690=""),"Override URL missing; ","")&amp;IF(AND(K690="Accept suggestion",N(G690)&lt;$G$2),"Below your threshold; ","")&amp;IF(AND(M690&lt;&gt;"",M690=A690,K690&lt;&gt;"No change (same URL)"),"Redirects to itself; ","")&amp;IF(AND(M690&lt;&gt;"",OR(M690="/",AND(LEFT(M690,4)="http",OR((LEN(M690)-LEN(SUBSTITUTE(M690,"/","")))=2,AND((LEN(M690)-LEN(SUBSTITUTE(M690,"/","")))=3,RIGHT(M690,1)="/"))))),"Home page redirect; ","")&amp;IF(N(R690)&gt;1,"Chain; ","")&amp;IF(S690="No","Destination not 200; ","")))</f>
        <v/>
      </c>
      <c r="U690" s="22" t="n"/>
      <c r="V690" s="22" t="n"/>
      <c r="W690" s="4" t="n"/>
    </row>
    <row r="691">
      <c r="A691" s="22" t="n"/>
      <c r="B691" s="22" t="n"/>
      <c r="C691" s="22" t="n"/>
      <c r="D691" s="22">
        <f>IF(A691="","",IF(OR(N(B691)&gt;=$C$2,N(C691)&gt;=$E$2),"High",IF(OR(N(B691)&gt;0,N(C691)&gt;0),"Medium","Low")))</f>
        <v/>
      </c>
      <c r="E691" s="22" t="n"/>
      <c r="F691" s="22" t="n"/>
      <c r="G691" s="22" t="n"/>
      <c r="H691" s="22" t="n"/>
      <c r="I691" s="22" t="n"/>
      <c r="J691" s="22" t="n"/>
      <c r="K691" s="22" t="n"/>
      <c r="L691" s="22" t="n"/>
      <c r="M691" s="22">
        <f>IF(K691="Override",L691,IF(K691="Accept suggestion",F691,IF(K691="No change (same URL)",A691,"")))</f>
        <v/>
      </c>
      <c r="N691" s="22">
        <f>IF(A691="","",IF(K691="410 Gone","410",IF(K691="404","404",IF(K691="No change (same URL)","none",IF(M691="","","301")))))</f>
        <v/>
      </c>
      <c r="O691" s="22">
        <f>IF(A691="","",IFERROR(MID(A691,FIND("/",A691,FIND("//",A691)+2),2000),A691))</f>
        <v/>
      </c>
      <c r="P691" s="22">
        <f>IF(OR(O691="",N691="",N691="none",N691="404"),"",IF(N691="410","Redirect gone "&amp;O691,"Redirect "&amp;N691&amp;" "&amp;O691&amp;" "&amp;M691))</f>
        <v/>
      </c>
      <c r="Q691" s="22" t="n"/>
      <c r="R691" s="22" t="n"/>
      <c r="S691" s="22" t="n"/>
      <c r="T691" s="4">
        <f>IF(A691="","",TRIM(IF(K691="","Needs decision; ","")&amp;IF(AND(K691="Accept suggestion",F691=""),"No suggestion to accept; ","")&amp;IF(AND(K691="Override",L691=""),"Override URL missing; ","")&amp;IF(AND(K691="Accept suggestion",N(G691)&lt;$G$2),"Below your threshold; ","")&amp;IF(AND(M691&lt;&gt;"",M691=A691,K691&lt;&gt;"No change (same URL)"),"Redirects to itself; ","")&amp;IF(AND(M691&lt;&gt;"",OR(M691="/",AND(LEFT(M691,4)="http",OR((LEN(M691)-LEN(SUBSTITUTE(M691,"/","")))=2,AND((LEN(M691)-LEN(SUBSTITUTE(M691,"/","")))=3,RIGHT(M691,1)="/"))))),"Home page redirect; ","")&amp;IF(N(R691)&gt;1,"Chain; ","")&amp;IF(S691="No","Destination not 200; ","")))</f>
        <v/>
      </c>
      <c r="U691" s="22" t="n"/>
      <c r="V691" s="22" t="n"/>
      <c r="W691" s="4" t="n"/>
    </row>
    <row r="692">
      <c r="A692" s="22" t="n"/>
      <c r="B692" s="22" t="n"/>
      <c r="C692" s="22" t="n"/>
      <c r="D692" s="22">
        <f>IF(A692="","",IF(OR(N(B692)&gt;=$C$2,N(C692)&gt;=$E$2),"High",IF(OR(N(B692)&gt;0,N(C692)&gt;0),"Medium","Low")))</f>
        <v/>
      </c>
      <c r="E692" s="22" t="n"/>
      <c r="F692" s="22" t="n"/>
      <c r="G692" s="22" t="n"/>
      <c r="H692" s="22" t="n"/>
      <c r="I692" s="22" t="n"/>
      <c r="J692" s="22" t="n"/>
      <c r="K692" s="22" t="n"/>
      <c r="L692" s="22" t="n"/>
      <c r="M692" s="22">
        <f>IF(K692="Override",L692,IF(K692="Accept suggestion",F692,IF(K692="No change (same URL)",A692,"")))</f>
        <v/>
      </c>
      <c r="N692" s="22">
        <f>IF(A692="","",IF(K692="410 Gone","410",IF(K692="404","404",IF(K692="No change (same URL)","none",IF(M692="","","301")))))</f>
        <v/>
      </c>
      <c r="O692" s="22">
        <f>IF(A692="","",IFERROR(MID(A692,FIND("/",A692,FIND("//",A692)+2),2000),A692))</f>
        <v/>
      </c>
      <c r="P692" s="22">
        <f>IF(OR(O692="",N692="",N692="none",N692="404"),"",IF(N692="410","Redirect gone "&amp;O692,"Redirect "&amp;N692&amp;" "&amp;O692&amp;" "&amp;M692))</f>
        <v/>
      </c>
      <c r="Q692" s="22" t="n"/>
      <c r="R692" s="22" t="n"/>
      <c r="S692" s="22" t="n"/>
      <c r="T692" s="4">
        <f>IF(A692="","",TRIM(IF(K692="","Needs decision; ","")&amp;IF(AND(K692="Accept suggestion",F692=""),"No suggestion to accept; ","")&amp;IF(AND(K692="Override",L692=""),"Override URL missing; ","")&amp;IF(AND(K692="Accept suggestion",N(G692)&lt;$G$2),"Below your threshold; ","")&amp;IF(AND(M692&lt;&gt;"",M692=A692,K692&lt;&gt;"No change (same URL)"),"Redirects to itself; ","")&amp;IF(AND(M692&lt;&gt;"",OR(M692="/",AND(LEFT(M692,4)="http",OR((LEN(M692)-LEN(SUBSTITUTE(M692,"/","")))=2,AND((LEN(M692)-LEN(SUBSTITUTE(M692,"/","")))=3,RIGHT(M692,1)="/"))))),"Home page redirect; ","")&amp;IF(N(R692)&gt;1,"Chain; ","")&amp;IF(S692="No","Destination not 200; ","")))</f>
        <v/>
      </c>
      <c r="U692" s="22" t="n"/>
      <c r="V692" s="22" t="n"/>
      <c r="W692" s="4" t="n"/>
    </row>
    <row r="693">
      <c r="A693" s="22" t="n"/>
      <c r="B693" s="22" t="n"/>
      <c r="C693" s="22" t="n"/>
      <c r="D693" s="22">
        <f>IF(A693="","",IF(OR(N(B693)&gt;=$C$2,N(C693)&gt;=$E$2),"High",IF(OR(N(B693)&gt;0,N(C693)&gt;0),"Medium","Low")))</f>
        <v/>
      </c>
      <c r="E693" s="22" t="n"/>
      <c r="F693" s="22" t="n"/>
      <c r="G693" s="22" t="n"/>
      <c r="H693" s="22" t="n"/>
      <c r="I693" s="22" t="n"/>
      <c r="J693" s="22" t="n"/>
      <c r="K693" s="22" t="n"/>
      <c r="L693" s="22" t="n"/>
      <c r="M693" s="22">
        <f>IF(K693="Override",L693,IF(K693="Accept suggestion",F693,IF(K693="No change (same URL)",A693,"")))</f>
        <v/>
      </c>
      <c r="N693" s="22">
        <f>IF(A693="","",IF(K693="410 Gone","410",IF(K693="404","404",IF(K693="No change (same URL)","none",IF(M693="","","301")))))</f>
        <v/>
      </c>
      <c r="O693" s="22">
        <f>IF(A693="","",IFERROR(MID(A693,FIND("/",A693,FIND("//",A693)+2),2000),A693))</f>
        <v/>
      </c>
      <c r="P693" s="22">
        <f>IF(OR(O693="",N693="",N693="none",N693="404"),"",IF(N693="410","Redirect gone "&amp;O693,"Redirect "&amp;N693&amp;" "&amp;O693&amp;" "&amp;M693))</f>
        <v/>
      </c>
      <c r="Q693" s="22" t="n"/>
      <c r="R693" s="22" t="n"/>
      <c r="S693" s="22" t="n"/>
      <c r="T693" s="4">
        <f>IF(A693="","",TRIM(IF(K693="","Needs decision; ","")&amp;IF(AND(K693="Accept suggestion",F693=""),"No suggestion to accept; ","")&amp;IF(AND(K693="Override",L693=""),"Override URL missing; ","")&amp;IF(AND(K693="Accept suggestion",N(G693)&lt;$G$2),"Below your threshold; ","")&amp;IF(AND(M693&lt;&gt;"",M693=A693,K693&lt;&gt;"No change (same URL)"),"Redirects to itself; ","")&amp;IF(AND(M693&lt;&gt;"",OR(M693="/",AND(LEFT(M693,4)="http",OR((LEN(M693)-LEN(SUBSTITUTE(M693,"/","")))=2,AND((LEN(M693)-LEN(SUBSTITUTE(M693,"/","")))=3,RIGHT(M693,1)="/"))))),"Home page redirect; ","")&amp;IF(N(R693)&gt;1,"Chain; ","")&amp;IF(S693="No","Destination not 200; ","")))</f>
        <v/>
      </c>
      <c r="U693" s="22" t="n"/>
      <c r="V693" s="22" t="n"/>
      <c r="W693" s="4" t="n"/>
    </row>
    <row r="694">
      <c r="A694" s="22" t="n"/>
      <c r="B694" s="22" t="n"/>
      <c r="C694" s="22" t="n"/>
      <c r="D694" s="22">
        <f>IF(A694="","",IF(OR(N(B694)&gt;=$C$2,N(C694)&gt;=$E$2),"High",IF(OR(N(B694)&gt;0,N(C694)&gt;0),"Medium","Low")))</f>
        <v/>
      </c>
      <c r="E694" s="22" t="n"/>
      <c r="F694" s="22" t="n"/>
      <c r="G694" s="22" t="n"/>
      <c r="H694" s="22" t="n"/>
      <c r="I694" s="22" t="n"/>
      <c r="J694" s="22" t="n"/>
      <c r="K694" s="22" t="n"/>
      <c r="L694" s="22" t="n"/>
      <c r="M694" s="22">
        <f>IF(K694="Override",L694,IF(K694="Accept suggestion",F694,IF(K694="No change (same URL)",A694,"")))</f>
        <v/>
      </c>
      <c r="N694" s="22">
        <f>IF(A694="","",IF(K694="410 Gone","410",IF(K694="404","404",IF(K694="No change (same URL)","none",IF(M694="","","301")))))</f>
        <v/>
      </c>
      <c r="O694" s="22">
        <f>IF(A694="","",IFERROR(MID(A694,FIND("/",A694,FIND("//",A694)+2),2000),A694))</f>
        <v/>
      </c>
      <c r="P694" s="22">
        <f>IF(OR(O694="",N694="",N694="none",N694="404"),"",IF(N694="410","Redirect gone "&amp;O694,"Redirect "&amp;N694&amp;" "&amp;O694&amp;" "&amp;M694))</f>
        <v/>
      </c>
      <c r="Q694" s="22" t="n"/>
      <c r="R694" s="22" t="n"/>
      <c r="S694" s="22" t="n"/>
      <c r="T694" s="4">
        <f>IF(A694="","",TRIM(IF(K694="","Needs decision; ","")&amp;IF(AND(K694="Accept suggestion",F694=""),"No suggestion to accept; ","")&amp;IF(AND(K694="Override",L694=""),"Override URL missing; ","")&amp;IF(AND(K694="Accept suggestion",N(G694)&lt;$G$2),"Below your threshold; ","")&amp;IF(AND(M694&lt;&gt;"",M694=A694,K694&lt;&gt;"No change (same URL)"),"Redirects to itself; ","")&amp;IF(AND(M694&lt;&gt;"",OR(M694="/",AND(LEFT(M694,4)="http",OR((LEN(M694)-LEN(SUBSTITUTE(M694,"/","")))=2,AND((LEN(M694)-LEN(SUBSTITUTE(M694,"/","")))=3,RIGHT(M694,1)="/"))))),"Home page redirect; ","")&amp;IF(N(R694)&gt;1,"Chain; ","")&amp;IF(S694="No","Destination not 200; ","")))</f>
        <v/>
      </c>
      <c r="U694" s="22" t="n"/>
      <c r="V694" s="22" t="n"/>
      <c r="W694" s="4" t="n"/>
    </row>
    <row r="695">
      <c r="A695" s="22" t="n"/>
      <c r="B695" s="22" t="n"/>
      <c r="C695" s="22" t="n"/>
      <c r="D695" s="22">
        <f>IF(A695="","",IF(OR(N(B695)&gt;=$C$2,N(C695)&gt;=$E$2),"High",IF(OR(N(B695)&gt;0,N(C695)&gt;0),"Medium","Low")))</f>
        <v/>
      </c>
      <c r="E695" s="22" t="n"/>
      <c r="F695" s="22" t="n"/>
      <c r="G695" s="22" t="n"/>
      <c r="H695" s="22" t="n"/>
      <c r="I695" s="22" t="n"/>
      <c r="J695" s="22" t="n"/>
      <c r="K695" s="22" t="n"/>
      <c r="L695" s="22" t="n"/>
      <c r="M695" s="22">
        <f>IF(K695="Override",L695,IF(K695="Accept suggestion",F695,IF(K695="No change (same URL)",A695,"")))</f>
        <v/>
      </c>
      <c r="N695" s="22">
        <f>IF(A695="","",IF(K695="410 Gone","410",IF(K695="404","404",IF(K695="No change (same URL)","none",IF(M695="","","301")))))</f>
        <v/>
      </c>
      <c r="O695" s="22">
        <f>IF(A695="","",IFERROR(MID(A695,FIND("/",A695,FIND("//",A695)+2),2000),A695))</f>
        <v/>
      </c>
      <c r="P695" s="22">
        <f>IF(OR(O695="",N695="",N695="none",N695="404"),"",IF(N695="410","Redirect gone "&amp;O695,"Redirect "&amp;N695&amp;" "&amp;O695&amp;" "&amp;M695))</f>
        <v/>
      </c>
      <c r="Q695" s="22" t="n"/>
      <c r="R695" s="22" t="n"/>
      <c r="S695" s="22" t="n"/>
      <c r="T695" s="4">
        <f>IF(A695="","",TRIM(IF(K695="","Needs decision; ","")&amp;IF(AND(K695="Accept suggestion",F695=""),"No suggestion to accept; ","")&amp;IF(AND(K695="Override",L695=""),"Override URL missing; ","")&amp;IF(AND(K695="Accept suggestion",N(G695)&lt;$G$2),"Below your threshold; ","")&amp;IF(AND(M695&lt;&gt;"",M695=A695,K695&lt;&gt;"No change (same URL)"),"Redirects to itself; ","")&amp;IF(AND(M695&lt;&gt;"",OR(M695="/",AND(LEFT(M695,4)="http",OR((LEN(M695)-LEN(SUBSTITUTE(M695,"/","")))=2,AND((LEN(M695)-LEN(SUBSTITUTE(M695,"/","")))=3,RIGHT(M695,1)="/"))))),"Home page redirect; ","")&amp;IF(N(R695)&gt;1,"Chain; ","")&amp;IF(S695="No","Destination not 200; ","")))</f>
        <v/>
      </c>
      <c r="U695" s="22" t="n"/>
      <c r="V695" s="22" t="n"/>
      <c r="W695" s="4" t="n"/>
    </row>
    <row r="696">
      <c r="A696" s="22" t="n"/>
      <c r="B696" s="22" t="n"/>
      <c r="C696" s="22" t="n"/>
      <c r="D696" s="22">
        <f>IF(A696="","",IF(OR(N(B696)&gt;=$C$2,N(C696)&gt;=$E$2),"High",IF(OR(N(B696)&gt;0,N(C696)&gt;0),"Medium","Low")))</f>
        <v/>
      </c>
      <c r="E696" s="22" t="n"/>
      <c r="F696" s="22" t="n"/>
      <c r="G696" s="22" t="n"/>
      <c r="H696" s="22" t="n"/>
      <c r="I696" s="22" t="n"/>
      <c r="J696" s="22" t="n"/>
      <c r="K696" s="22" t="n"/>
      <c r="L696" s="22" t="n"/>
      <c r="M696" s="22">
        <f>IF(K696="Override",L696,IF(K696="Accept suggestion",F696,IF(K696="No change (same URL)",A696,"")))</f>
        <v/>
      </c>
      <c r="N696" s="22">
        <f>IF(A696="","",IF(K696="410 Gone","410",IF(K696="404","404",IF(K696="No change (same URL)","none",IF(M696="","","301")))))</f>
        <v/>
      </c>
      <c r="O696" s="22">
        <f>IF(A696="","",IFERROR(MID(A696,FIND("/",A696,FIND("//",A696)+2),2000),A696))</f>
        <v/>
      </c>
      <c r="P696" s="22">
        <f>IF(OR(O696="",N696="",N696="none",N696="404"),"",IF(N696="410","Redirect gone "&amp;O696,"Redirect "&amp;N696&amp;" "&amp;O696&amp;" "&amp;M696))</f>
        <v/>
      </c>
      <c r="Q696" s="22" t="n"/>
      <c r="R696" s="22" t="n"/>
      <c r="S696" s="22" t="n"/>
      <c r="T696" s="4">
        <f>IF(A696="","",TRIM(IF(K696="","Needs decision; ","")&amp;IF(AND(K696="Accept suggestion",F696=""),"No suggestion to accept; ","")&amp;IF(AND(K696="Override",L696=""),"Override URL missing; ","")&amp;IF(AND(K696="Accept suggestion",N(G696)&lt;$G$2),"Below your threshold; ","")&amp;IF(AND(M696&lt;&gt;"",M696=A696,K696&lt;&gt;"No change (same URL)"),"Redirects to itself; ","")&amp;IF(AND(M696&lt;&gt;"",OR(M696="/",AND(LEFT(M696,4)="http",OR((LEN(M696)-LEN(SUBSTITUTE(M696,"/","")))=2,AND((LEN(M696)-LEN(SUBSTITUTE(M696,"/","")))=3,RIGHT(M696,1)="/"))))),"Home page redirect; ","")&amp;IF(N(R696)&gt;1,"Chain; ","")&amp;IF(S696="No","Destination not 200; ","")))</f>
        <v/>
      </c>
      <c r="U696" s="22" t="n"/>
      <c r="V696" s="22" t="n"/>
      <c r="W696" s="4" t="n"/>
    </row>
    <row r="697">
      <c r="A697" s="22" t="n"/>
      <c r="B697" s="22" t="n"/>
      <c r="C697" s="22" t="n"/>
      <c r="D697" s="22">
        <f>IF(A697="","",IF(OR(N(B697)&gt;=$C$2,N(C697)&gt;=$E$2),"High",IF(OR(N(B697)&gt;0,N(C697)&gt;0),"Medium","Low")))</f>
        <v/>
      </c>
      <c r="E697" s="22" t="n"/>
      <c r="F697" s="22" t="n"/>
      <c r="G697" s="22" t="n"/>
      <c r="H697" s="22" t="n"/>
      <c r="I697" s="22" t="n"/>
      <c r="J697" s="22" t="n"/>
      <c r="K697" s="22" t="n"/>
      <c r="L697" s="22" t="n"/>
      <c r="M697" s="22">
        <f>IF(K697="Override",L697,IF(K697="Accept suggestion",F697,IF(K697="No change (same URL)",A697,"")))</f>
        <v/>
      </c>
      <c r="N697" s="22">
        <f>IF(A697="","",IF(K697="410 Gone","410",IF(K697="404","404",IF(K697="No change (same URL)","none",IF(M697="","","301")))))</f>
        <v/>
      </c>
      <c r="O697" s="22">
        <f>IF(A697="","",IFERROR(MID(A697,FIND("/",A697,FIND("//",A697)+2),2000),A697))</f>
        <v/>
      </c>
      <c r="P697" s="22">
        <f>IF(OR(O697="",N697="",N697="none",N697="404"),"",IF(N697="410","Redirect gone "&amp;O697,"Redirect "&amp;N697&amp;" "&amp;O697&amp;" "&amp;M697))</f>
        <v/>
      </c>
      <c r="Q697" s="22" t="n"/>
      <c r="R697" s="22" t="n"/>
      <c r="S697" s="22" t="n"/>
      <c r="T697" s="4">
        <f>IF(A697="","",TRIM(IF(K697="","Needs decision; ","")&amp;IF(AND(K697="Accept suggestion",F697=""),"No suggestion to accept; ","")&amp;IF(AND(K697="Override",L697=""),"Override URL missing; ","")&amp;IF(AND(K697="Accept suggestion",N(G697)&lt;$G$2),"Below your threshold; ","")&amp;IF(AND(M697&lt;&gt;"",M697=A697,K697&lt;&gt;"No change (same URL)"),"Redirects to itself; ","")&amp;IF(AND(M697&lt;&gt;"",OR(M697="/",AND(LEFT(M697,4)="http",OR((LEN(M697)-LEN(SUBSTITUTE(M697,"/","")))=2,AND((LEN(M697)-LEN(SUBSTITUTE(M697,"/","")))=3,RIGHT(M697,1)="/"))))),"Home page redirect; ","")&amp;IF(N(R697)&gt;1,"Chain; ","")&amp;IF(S697="No","Destination not 200; ","")))</f>
        <v/>
      </c>
      <c r="U697" s="22" t="n"/>
      <c r="V697" s="22" t="n"/>
      <c r="W697" s="4" t="n"/>
    </row>
    <row r="698">
      <c r="A698" s="22" t="n"/>
      <c r="B698" s="22" t="n"/>
      <c r="C698" s="22" t="n"/>
      <c r="D698" s="22">
        <f>IF(A698="","",IF(OR(N(B698)&gt;=$C$2,N(C698)&gt;=$E$2),"High",IF(OR(N(B698)&gt;0,N(C698)&gt;0),"Medium","Low")))</f>
        <v/>
      </c>
      <c r="E698" s="22" t="n"/>
      <c r="F698" s="22" t="n"/>
      <c r="G698" s="22" t="n"/>
      <c r="H698" s="22" t="n"/>
      <c r="I698" s="22" t="n"/>
      <c r="J698" s="22" t="n"/>
      <c r="K698" s="22" t="n"/>
      <c r="L698" s="22" t="n"/>
      <c r="M698" s="22">
        <f>IF(K698="Override",L698,IF(K698="Accept suggestion",F698,IF(K698="No change (same URL)",A698,"")))</f>
        <v/>
      </c>
      <c r="N698" s="22">
        <f>IF(A698="","",IF(K698="410 Gone","410",IF(K698="404","404",IF(K698="No change (same URL)","none",IF(M698="","","301")))))</f>
        <v/>
      </c>
      <c r="O698" s="22">
        <f>IF(A698="","",IFERROR(MID(A698,FIND("/",A698,FIND("//",A698)+2),2000),A698))</f>
        <v/>
      </c>
      <c r="P698" s="22">
        <f>IF(OR(O698="",N698="",N698="none",N698="404"),"",IF(N698="410","Redirect gone "&amp;O698,"Redirect "&amp;N698&amp;" "&amp;O698&amp;" "&amp;M698))</f>
        <v/>
      </c>
      <c r="Q698" s="22" t="n"/>
      <c r="R698" s="22" t="n"/>
      <c r="S698" s="22" t="n"/>
      <c r="T698" s="4">
        <f>IF(A698="","",TRIM(IF(K698="","Needs decision; ","")&amp;IF(AND(K698="Accept suggestion",F698=""),"No suggestion to accept; ","")&amp;IF(AND(K698="Override",L698=""),"Override URL missing; ","")&amp;IF(AND(K698="Accept suggestion",N(G698)&lt;$G$2),"Below your threshold; ","")&amp;IF(AND(M698&lt;&gt;"",M698=A698,K698&lt;&gt;"No change (same URL)"),"Redirects to itself; ","")&amp;IF(AND(M698&lt;&gt;"",OR(M698="/",AND(LEFT(M698,4)="http",OR((LEN(M698)-LEN(SUBSTITUTE(M698,"/","")))=2,AND((LEN(M698)-LEN(SUBSTITUTE(M698,"/","")))=3,RIGHT(M698,1)="/"))))),"Home page redirect; ","")&amp;IF(N(R698)&gt;1,"Chain; ","")&amp;IF(S698="No","Destination not 200; ","")))</f>
        <v/>
      </c>
      <c r="U698" s="22" t="n"/>
      <c r="V698" s="22" t="n"/>
      <c r="W698" s="4" t="n"/>
    </row>
    <row r="699">
      <c r="A699" s="22" t="n"/>
      <c r="B699" s="22" t="n"/>
      <c r="C699" s="22" t="n"/>
      <c r="D699" s="22">
        <f>IF(A699="","",IF(OR(N(B699)&gt;=$C$2,N(C699)&gt;=$E$2),"High",IF(OR(N(B699)&gt;0,N(C699)&gt;0),"Medium","Low")))</f>
        <v/>
      </c>
      <c r="E699" s="22" t="n"/>
      <c r="F699" s="22" t="n"/>
      <c r="G699" s="22" t="n"/>
      <c r="H699" s="22" t="n"/>
      <c r="I699" s="22" t="n"/>
      <c r="J699" s="22" t="n"/>
      <c r="K699" s="22" t="n"/>
      <c r="L699" s="22" t="n"/>
      <c r="M699" s="22">
        <f>IF(K699="Override",L699,IF(K699="Accept suggestion",F699,IF(K699="No change (same URL)",A699,"")))</f>
        <v/>
      </c>
      <c r="N699" s="22">
        <f>IF(A699="","",IF(K699="410 Gone","410",IF(K699="404","404",IF(K699="No change (same URL)","none",IF(M699="","","301")))))</f>
        <v/>
      </c>
      <c r="O699" s="22">
        <f>IF(A699="","",IFERROR(MID(A699,FIND("/",A699,FIND("//",A699)+2),2000),A699))</f>
        <v/>
      </c>
      <c r="P699" s="22">
        <f>IF(OR(O699="",N699="",N699="none",N699="404"),"",IF(N699="410","Redirect gone "&amp;O699,"Redirect "&amp;N699&amp;" "&amp;O699&amp;" "&amp;M699))</f>
        <v/>
      </c>
      <c r="Q699" s="22" t="n"/>
      <c r="R699" s="22" t="n"/>
      <c r="S699" s="22" t="n"/>
      <c r="T699" s="4">
        <f>IF(A699="","",TRIM(IF(K699="","Needs decision; ","")&amp;IF(AND(K699="Accept suggestion",F699=""),"No suggestion to accept; ","")&amp;IF(AND(K699="Override",L699=""),"Override URL missing; ","")&amp;IF(AND(K699="Accept suggestion",N(G699)&lt;$G$2),"Below your threshold; ","")&amp;IF(AND(M699&lt;&gt;"",M699=A699,K699&lt;&gt;"No change (same URL)"),"Redirects to itself; ","")&amp;IF(AND(M699&lt;&gt;"",OR(M699="/",AND(LEFT(M699,4)="http",OR((LEN(M699)-LEN(SUBSTITUTE(M699,"/","")))=2,AND((LEN(M699)-LEN(SUBSTITUTE(M699,"/","")))=3,RIGHT(M699,1)="/"))))),"Home page redirect; ","")&amp;IF(N(R699)&gt;1,"Chain; ","")&amp;IF(S699="No","Destination not 200; ","")))</f>
        <v/>
      </c>
      <c r="U699" s="22" t="n"/>
      <c r="V699" s="22" t="n"/>
      <c r="W699" s="4" t="n"/>
    </row>
    <row r="700">
      <c r="A700" s="22" t="n"/>
      <c r="B700" s="22" t="n"/>
      <c r="C700" s="22" t="n"/>
      <c r="D700" s="22">
        <f>IF(A700="","",IF(OR(N(B700)&gt;=$C$2,N(C700)&gt;=$E$2),"High",IF(OR(N(B700)&gt;0,N(C700)&gt;0),"Medium","Low")))</f>
        <v/>
      </c>
      <c r="E700" s="22" t="n"/>
      <c r="F700" s="22" t="n"/>
      <c r="G700" s="22" t="n"/>
      <c r="H700" s="22" t="n"/>
      <c r="I700" s="22" t="n"/>
      <c r="J700" s="22" t="n"/>
      <c r="K700" s="22" t="n"/>
      <c r="L700" s="22" t="n"/>
      <c r="M700" s="22">
        <f>IF(K700="Override",L700,IF(K700="Accept suggestion",F700,IF(K700="No change (same URL)",A700,"")))</f>
        <v/>
      </c>
      <c r="N700" s="22">
        <f>IF(A700="","",IF(K700="410 Gone","410",IF(K700="404","404",IF(K700="No change (same URL)","none",IF(M700="","","301")))))</f>
        <v/>
      </c>
      <c r="O700" s="22">
        <f>IF(A700="","",IFERROR(MID(A700,FIND("/",A700,FIND("//",A700)+2),2000),A700))</f>
        <v/>
      </c>
      <c r="P700" s="22">
        <f>IF(OR(O700="",N700="",N700="none",N700="404"),"",IF(N700="410","Redirect gone "&amp;O700,"Redirect "&amp;N700&amp;" "&amp;O700&amp;" "&amp;M700))</f>
        <v/>
      </c>
      <c r="Q700" s="22" t="n"/>
      <c r="R700" s="22" t="n"/>
      <c r="S700" s="22" t="n"/>
      <c r="T700" s="4">
        <f>IF(A700="","",TRIM(IF(K700="","Needs decision; ","")&amp;IF(AND(K700="Accept suggestion",F700=""),"No suggestion to accept; ","")&amp;IF(AND(K700="Override",L700=""),"Override URL missing; ","")&amp;IF(AND(K700="Accept suggestion",N(G700)&lt;$G$2),"Below your threshold; ","")&amp;IF(AND(M700&lt;&gt;"",M700=A700,K700&lt;&gt;"No change (same URL)"),"Redirects to itself; ","")&amp;IF(AND(M700&lt;&gt;"",OR(M700="/",AND(LEFT(M700,4)="http",OR((LEN(M700)-LEN(SUBSTITUTE(M700,"/","")))=2,AND((LEN(M700)-LEN(SUBSTITUTE(M700,"/","")))=3,RIGHT(M700,1)="/"))))),"Home page redirect; ","")&amp;IF(N(R700)&gt;1,"Chain; ","")&amp;IF(S700="No","Destination not 200; ","")))</f>
        <v/>
      </c>
      <c r="U700" s="22" t="n"/>
      <c r="V700" s="22" t="n"/>
      <c r="W700" s="4" t="n"/>
    </row>
    <row r="701">
      <c r="A701" s="22" t="n"/>
      <c r="B701" s="22" t="n"/>
      <c r="C701" s="22" t="n"/>
      <c r="D701" s="22">
        <f>IF(A701="","",IF(OR(N(B701)&gt;=$C$2,N(C701)&gt;=$E$2),"High",IF(OR(N(B701)&gt;0,N(C701)&gt;0),"Medium","Low")))</f>
        <v/>
      </c>
      <c r="E701" s="22" t="n"/>
      <c r="F701" s="22" t="n"/>
      <c r="G701" s="22" t="n"/>
      <c r="H701" s="22" t="n"/>
      <c r="I701" s="22" t="n"/>
      <c r="J701" s="22" t="n"/>
      <c r="K701" s="22" t="n"/>
      <c r="L701" s="22" t="n"/>
      <c r="M701" s="22">
        <f>IF(K701="Override",L701,IF(K701="Accept suggestion",F701,IF(K701="No change (same URL)",A701,"")))</f>
        <v/>
      </c>
      <c r="N701" s="22">
        <f>IF(A701="","",IF(K701="410 Gone","410",IF(K701="404","404",IF(K701="No change (same URL)","none",IF(M701="","","301")))))</f>
        <v/>
      </c>
      <c r="O701" s="22">
        <f>IF(A701="","",IFERROR(MID(A701,FIND("/",A701,FIND("//",A701)+2),2000),A701))</f>
        <v/>
      </c>
      <c r="P701" s="22">
        <f>IF(OR(O701="",N701="",N701="none",N701="404"),"",IF(N701="410","Redirect gone "&amp;O701,"Redirect "&amp;N701&amp;" "&amp;O701&amp;" "&amp;M701))</f>
        <v/>
      </c>
      <c r="Q701" s="22" t="n"/>
      <c r="R701" s="22" t="n"/>
      <c r="S701" s="22" t="n"/>
      <c r="T701" s="4">
        <f>IF(A701="","",TRIM(IF(K701="","Needs decision; ","")&amp;IF(AND(K701="Accept suggestion",F701=""),"No suggestion to accept; ","")&amp;IF(AND(K701="Override",L701=""),"Override URL missing; ","")&amp;IF(AND(K701="Accept suggestion",N(G701)&lt;$G$2),"Below your threshold; ","")&amp;IF(AND(M701&lt;&gt;"",M701=A701,K701&lt;&gt;"No change (same URL)"),"Redirects to itself; ","")&amp;IF(AND(M701&lt;&gt;"",OR(M701="/",AND(LEFT(M701,4)="http",OR((LEN(M701)-LEN(SUBSTITUTE(M701,"/","")))=2,AND((LEN(M701)-LEN(SUBSTITUTE(M701,"/","")))=3,RIGHT(M701,1)="/"))))),"Home page redirect; ","")&amp;IF(N(R701)&gt;1,"Chain; ","")&amp;IF(S701="No","Destination not 200; ","")))</f>
        <v/>
      </c>
      <c r="U701" s="22" t="n"/>
      <c r="V701" s="22" t="n"/>
      <c r="W701" s="4" t="n"/>
    </row>
    <row r="702">
      <c r="A702" s="22" t="n"/>
      <c r="B702" s="22" t="n"/>
      <c r="C702" s="22" t="n"/>
      <c r="D702" s="22">
        <f>IF(A702="","",IF(OR(N(B702)&gt;=$C$2,N(C702)&gt;=$E$2),"High",IF(OR(N(B702)&gt;0,N(C702)&gt;0),"Medium","Low")))</f>
        <v/>
      </c>
      <c r="E702" s="22" t="n"/>
      <c r="F702" s="22" t="n"/>
      <c r="G702" s="22" t="n"/>
      <c r="H702" s="22" t="n"/>
      <c r="I702" s="22" t="n"/>
      <c r="J702" s="22" t="n"/>
      <c r="K702" s="22" t="n"/>
      <c r="L702" s="22" t="n"/>
      <c r="M702" s="22">
        <f>IF(K702="Override",L702,IF(K702="Accept suggestion",F702,IF(K702="No change (same URL)",A702,"")))</f>
        <v/>
      </c>
      <c r="N702" s="22">
        <f>IF(A702="","",IF(K702="410 Gone","410",IF(K702="404","404",IF(K702="No change (same URL)","none",IF(M702="","","301")))))</f>
        <v/>
      </c>
      <c r="O702" s="22">
        <f>IF(A702="","",IFERROR(MID(A702,FIND("/",A702,FIND("//",A702)+2),2000),A702))</f>
        <v/>
      </c>
      <c r="P702" s="22">
        <f>IF(OR(O702="",N702="",N702="none",N702="404"),"",IF(N702="410","Redirect gone "&amp;O702,"Redirect "&amp;N702&amp;" "&amp;O702&amp;" "&amp;M702))</f>
        <v/>
      </c>
      <c r="Q702" s="22" t="n"/>
      <c r="R702" s="22" t="n"/>
      <c r="S702" s="22" t="n"/>
      <c r="T702" s="4">
        <f>IF(A702="","",TRIM(IF(K702="","Needs decision; ","")&amp;IF(AND(K702="Accept suggestion",F702=""),"No suggestion to accept; ","")&amp;IF(AND(K702="Override",L702=""),"Override URL missing; ","")&amp;IF(AND(K702="Accept suggestion",N(G702)&lt;$G$2),"Below your threshold; ","")&amp;IF(AND(M702&lt;&gt;"",M702=A702,K702&lt;&gt;"No change (same URL)"),"Redirects to itself; ","")&amp;IF(AND(M702&lt;&gt;"",OR(M702="/",AND(LEFT(M702,4)="http",OR((LEN(M702)-LEN(SUBSTITUTE(M702,"/","")))=2,AND((LEN(M702)-LEN(SUBSTITUTE(M702,"/","")))=3,RIGHT(M702,1)="/"))))),"Home page redirect; ","")&amp;IF(N(R702)&gt;1,"Chain; ","")&amp;IF(S702="No","Destination not 200; ","")))</f>
        <v/>
      </c>
      <c r="U702" s="22" t="n"/>
      <c r="V702" s="22" t="n"/>
      <c r="W702" s="4" t="n"/>
    </row>
    <row r="703">
      <c r="A703" s="22" t="n"/>
      <c r="B703" s="22" t="n"/>
      <c r="C703" s="22" t="n"/>
      <c r="D703" s="22">
        <f>IF(A703="","",IF(OR(N(B703)&gt;=$C$2,N(C703)&gt;=$E$2),"High",IF(OR(N(B703)&gt;0,N(C703)&gt;0),"Medium","Low")))</f>
        <v/>
      </c>
      <c r="E703" s="22" t="n"/>
      <c r="F703" s="22" t="n"/>
      <c r="G703" s="22" t="n"/>
      <c r="H703" s="22" t="n"/>
      <c r="I703" s="22" t="n"/>
      <c r="J703" s="22" t="n"/>
      <c r="K703" s="22" t="n"/>
      <c r="L703" s="22" t="n"/>
      <c r="M703" s="22">
        <f>IF(K703="Override",L703,IF(K703="Accept suggestion",F703,IF(K703="No change (same URL)",A703,"")))</f>
        <v/>
      </c>
      <c r="N703" s="22">
        <f>IF(A703="","",IF(K703="410 Gone","410",IF(K703="404","404",IF(K703="No change (same URL)","none",IF(M703="","","301")))))</f>
        <v/>
      </c>
      <c r="O703" s="22">
        <f>IF(A703="","",IFERROR(MID(A703,FIND("/",A703,FIND("//",A703)+2),2000),A703))</f>
        <v/>
      </c>
      <c r="P703" s="22">
        <f>IF(OR(O703="",N703="",N703="none",N703="404"),"",IF(N703="410","Redirect gone "&amp;O703,"Redirect "&amp;N703&amp;" "&amp;O703&amp;" "&amp;M703))</f>
        <v/>
      </c>
      <c r="Q703" s="22" t="n"/>
      <c r="R703" s="22" t="n"/>
      <c r="S703" s="22" t="n"/>
      <c r="T703" s="4">
        <f>IF(A703="","",TRIM(IF(K703="","Needs decision; ","")&amp;IF(AND(K703="Accept suggestion",F703=""),"No suggestion to accept; ","")&amp;IF(AND(K703="Override",L703=""),"Override URL missing; ","")&amp;IF(AND(K703="Accept suggestion",N(G703)&lt;$G$2),"Below your threshold; ","")&amp;IF(AND(M703&lt;&gt;"",M703=A703,K703&lt;&gt;"No change (same URL)"),"Redirects to itself; ","")&amp;IF(AND(M703&lt;&gt;"",OR(M703="/",AND(LEFT(M703,4)="http",OR((LEN(M703)-LEN(SUBSTITUTE(M703,"/","")))=2,AND((LEN(M703)-LEN(SUBSTITUTE(M703,"/","")))=3,RIGHT(M703,1)="/"))))),"Home page redirect; ","")&amp;IF(N(R703)&gt;1,"Chain; ","")&amp;IF(S703="No","Destination not 200; ","")))</f>
        <v/>
      </c>
      <c r="U703" s="22" t="n"/>
      <c r="V703" s="22" t="n"/>
      <c r="W703" s="4" t="n"/>
    </row>
    <row r="704">
      <c r="A704" s="22" t="n"/>
      <c r="B704" s="22" t="n"/>
      <c r="C704" s="22" t="n"/>
      <c r="D704" s="22">
        <f>IF(A704="","",IF(OR(N(B704)&gt;=$C$2,N(C704)&gt;=$E$2),"High",IF(OR(N(B704)&gt;0,N(C704)&gt;0),"Medium","Low")))</f>
        <v/>
      </c>
      <c r="E704" s="22" t="n"/>
      <c r="F704" s="22" t="n"/>
      <c r="G704" s="22" t="n"/>
      <c r="H704" s="22" t="n"/>
      <c r="I704" s="22" t="n"/>
      <c r="J704" s="22" t="n"/>
      <c r="K704" s="22" t="n"/>
      <c r="L704" s="22" t="n"/>
      <c r="M704" s="22">
        <f>IF(K704="Override",L704,IF(K704="Accept suggestion",F704,IF(K704="No change (same URL)",A704,"")))</f>
        <v/>
      </c>
      <c r="N704" s="22">
        <f>IF(A704="","",IF(K704="410 Gone","410",IF(K704="404","404",IF(K704="No change (same URL)","none",IF(M704="","","301")))))</f>
        <v/>
      </c>
      <c r="O704" s="22">
        <f>IF(A704="","",IFERROR(MID(A704,FIND("/",A704,FIND("//",A704)+2),2000),A704))</f>
        <v/>
      </c>
      <c r="P704" s="22">
        <f>IF(OR(O704="",N704="",N704="none",N704="404"),"",IF(N704="410","Redirect gone "&amp;O704,"Redirect "&amp;N704&amp;" "&amp;O704&amp;" "&amp;M704))</f>
        <v/>
      </c>
      <c r="Q704" s="22" t="n"/>
      <c r="R704" s="22" t="n"/>
      <c r="S704" s="22" t="n"/>
      <c r="T704" s="4">
        <f>IF(A704="","",TRIM(IF(K704="","Needs decision; ","")&amp;IF(AND(K704="Accept suggestion",F704=""),"No suggestion to accept; ","")&amp;IF(AND(K704="Override",L704=""),"Override URL missing; ","")&amp;IF(AND(K704="Accept suggestion",N(G704)&lt;$G$2),"Below your threshold; ","")&amp;IF(AND(M704&lt;&gt;"",M704=A704,K704&lt;&gt;"No change (same URL)"),"Redirects to itself; ","")&amp;IF(AND(M704&lt;&gt;"",OR(M704="/",AND(LEFT(M704,4)="http",OR((LEN(M704)-LEN(SUBSTITUTE(M704,"/","")))=2,AND((LEN(M704)-LEN(SUBSTITUTE(M704,"/","")))=3,RIGHT(M704,1)="/"))))),"Home page redirect; ","")&amp;IF(N(R704)&gt;1,"Chain; ","")&amp;IF(S704="No","Destination not 200; ","")))</f>
        <v/>
      </c>
      <c r="U704" s="22" t="n"/>
      <c r="V704" s="22" t="n"/>
      <c r="W704" s="4" t="n"/>
    </row>
    <row r="705">
      <c r="A705" s="22" t="n"/>
      <c r="B705" s="22" t="n"/>
      <c r="C705" s="22" t="n"/>
      <c r="D705" s="22">
        <f>IF(A705="","",IF(OR(N(B705)&gt;=$C$2,N(C705)&gt;=$E$2),"High",IF(OR(N(B705)&gt;0,N(C705)&gt;0),"Medium","Low")))</f>
        <v/>
      </c>
      <c r="E705" s="22" t="n"/>
      <c r="F705" s="22" t="n"/>
      <c r="G705" s="22" t="n"/>
      <c r="H705" s="22" t="n"/>
      <c r="I705" s="22" t="n"/>
      <c r="J705" s="22" t="n"/>
      <c r="K705" s="22" t="n"/>
      <c r="L705" s="22" t="n"/>
      <c r="M705" s="22">
        <f>IF(K705="Override",L705,IF(K705="Accept suggestion",F705,IF(K705="No change (same URL)",A705,"")))</f>
        <v/>
      </c>
      <c r="N705" s="22">
        <f>IF(A705="","",IF(K705="410 Gone","410",IF(K705="404","404",IF(K705="No change (same URL)","none",IF(M705="","","301")))))</f>
        <v/>
      </c>
      <c r="O705" s="22">
        <f>IF(A705="","",IFERROR(MID(A705,FIND("/",A705,FIND("//",A705)+2),2000),A705))</f>
        <v/>
      </c>
      <c r="P705" s="22">
        <f>IF(OR(O705="",N705="",N705="none",N705="404"),"",IF(N705="410","Redirect gone "&amp;O705,"Redirect "&amp;N705&amp;" "&amp;O705&amp;" "&amp;M705))</f>
        <v/>
      </c>
      <c r="Q705" s="22" t="n"/>
      <c r="R705" s="22" t="n"/>
      <c r="S705" s="22" t="n"/>
      <c r="T705" s="4">
        <f>IF(A705="","",TRIM(IF(K705="","Needs decision; ","")&amp;IF(AND(K705="Accept suggestion",F705=""),"No suggestion to accept; ","")&amp;IF(AND(K705="Override",L705=""),"Override URL missing; ","")&amp;IF(AND(K705="Accept suggestion",N(G705)&lt;$G$2),"Below your threshold; ","")&amp;IF(AND(M705&lt;&gt;"",M705=A705,K705&lt;&gt;"No change (same URL)"),"Redirects to itself; ","")&amp;IF(AND(M705&lt;&gt;"",OR(M705="/",AND(LEFT(M705,4)="http",OR((LEN(M705)-LEN(SUBSTITUTE(M705,"/","")))=2,AND((LEN(M705)-LEN(SUBSTITUTE(M705,"/","")))=3,RIGHT(M705,1)="/"))))),"Home page redirect; ","")&amp;IF(N(R705)&gt;1,"Chain; ","")&amp;IF(S705="No","Destination not 200; ","")))</f>
        <v/>
      </c>
      <c r="U705" s="22" t="n"/>
      <c r="V705" s="22" t="n"/>
      <c r="W705" s="4" t="n"/>
    </row>
    <row r="706">
      <c r="A706" s="22" t="n"/>
      <c r="B706" s="22" t="n"/>
      <c r="C706" s="22" t="n"/>
      <c r="D706" s="22">
        <f>IF(A706="","",IF(OR(N(B706)&gt;=$C$2,N(C706)&gt;=$E$2),"High",IF(OR(N(B706)&gt;0,N(C706)&gt;0),"Medium","Low")))</f>
        <v/>
      </c>
      <c r="E706" s="22" t="n"/>
      <c r="F706" s="22" t="n"/>
      <c r="G706" s="22" t="n"/>
      <c r="H706" s="22" t="n"/>
      <c r="I706" s="22" t="n"/>
      <c r="J706" s="22" t="n"/>
      <c r="K706" s="22" t="n"/>
      <c r="L706" s="22" t="n"/>
      <c r="M706" s="22">
        <f>IF(K706="Override",L706,IF(K706="Accept suggestion",F706,IF(K706="No change (same URL)",A706,"")))</f>
        <v/>
      </c>
      <c r="N706" s="22">
        <f>IF(A706="","",IF(K706="410 Gone","410",IF(K706="404","404",IF(K706="No change (same URL)","none",IF(M706="","","301")))))</f>
        <v/>
      </c>
      <c r="O706" s="22">
        <f>IF(A706="","",IFERROR(MID(A706,FIND("/",A706,FIND("//",A706)+2),2000),A706))</f>
        <v/>
      </c>
      <c r="P706" s="22">
        <f>IF(OR(O706="",N706="",N706="none",N706="404"),"",IF(N706="410","Redirect gone "&amp;O706,"Redirect "&amp;N706&amp;" "&amp;O706&amp;" "&amp;M706))</f>
        <v/>
      </c>
      <c r="Q706" s="22" t="n"/>
      <c r="R706" s="22" t="n"/>
      <c r="S706" s="22" t="n"/>
      <c r="T706" s="4">
        <f>IF(A706="","",TRIM(IF(K706="","Needs decision; ","")&amp;IF(AND(K706="Accept suggestion",F706=""),"No suggestion to accept; ","")&amp;IF(AND(K706="Override",L706=""),"Override URL missing; ","")&amp;IF(AND(K706="Accept suggestion",N(G706)&lt;$G$2),"Below your threshold; ","")&amp;IF(AND(M706&lt;&gt;"",M706=A706,K706&lt;&gt;"No change (same URL)"),"Redirects to itself; ","")&amp;IF(AND(M706&lt;&gt;"",OR(M706="/",AND(LEFT(M706,4)="http",OR((LEN(M706)-LEN(SUBSTITUTE(M706,"/","")))=2,AND((LEN(M706)-LEN(SUBSTITUTE(M706,"/","")))=3,RIGHT(M706,1)="/"))))),"Home page redirect; ","")&amp;IF(N(R706)&gt;1,"Chain; ","")&amp;IF(S706="No","Destination not 200; ","")))</f>
        <v/>
      </c>
      <c r="U706" s="22" t="n"/>
      <c r="V706" s="22" t="n"/>
      <c r="W706" s="4" t="n"/>
    </row>
    <row r="707">
      <c r="A707" s="22" t="n"/>
      <c r="B707" s="22" t="n"/>
      <c r="C707" s="22" t="n"/>
      <c r="D707" s="22">
        <f>IF(A707="","",IF(OR(N(B707)&gt;=$C$2,N(C707)&gt;=$E$2),"High",IF(OR(N(B707)&gt;0,N(C707)&gt;0),"Medium","Low")))</f>
        <v/>
      </c>
      <c r="E707" s="22" t="n"/>
      <c r="F707" s="22" t="n"/>
      <c r="G707" s="22" t="n"/>
      <c r="H707" s="22" t="n"/>
      <c r="I707" s="22" t="n"/>
      <c r="J707" s="22" t="n"/>
      <c r="K707" s="22" t="n"/>
      <c r="L707" s="22" t="n"/>
      <c r="M707" s="22">
        <f>IF(K707="Override",L707,IF(K707="Accept suggestion",F707,IF(K707="No change (same URL)",A707,"")))</f>
        <v/>
      </c>
      <c r="N707" s="22">
        <f>IF(A707="","",IF(K707="410 Gone","410",IF(K707="404","404",IF(K707="No change (same URL)","none",IF(M707="","","301")))))</f>
        <v/>
      </c>
      <c r="O707" s="22">
        <f>IF(A707="","",IFERROR(MID(A707,FIND("/",A707,FIND("//",A707)+2),2000),A707))</f>
        <v/>
      </c>
      <c r="P707" s="22">
        <f>IF(OR(O707="",N707="",N707="none",N707="404"),"",IF(N707="410","Redirect gone "&amp;O707,"Redirect "&amp;N707&amp;" "&amp;O707&amp;" "&amp;M707))</f>
        <v/>
      </c>
      <c r="Q707" s="22" t="n"/>
      <c r="R707" s="22" t="n"/>
      <c r="S707" s="22" t="n"/>
      <c r="T707" s="4">
        <f>IF(A707="","",TRIM(IF(K707="","Needs decision; ","")&amp;IF(AND(K707="Accept suggestion",F707=""),"No suggestion to accept; ","")&amp;IF(AND(K707="Override",L707=""),"Override URL missing; ","")&amp;IF(AND(K707="Accept suggestion",N(G707)&lt;$G$2),"Below your threshold; ","")&amp;IF(AND(M707&lt;&gt;"",M707=A707,K707&lt;&gt;"No change (same URL)"),"Redirects to itself; ","")&amp;IF(AND(M707&lt;&gt;"",OR(M707="/",AND(LEFT(M707,4)="http",OR((LEN(M707)-LEN(SUBSTITUTE(M707,"/","")))=2,AND((LEN(M707)-LEN(SUBSTITUTE(M707,"/","")))=3,RIGHT(M707,1)="/"))))),"Home page redirect; ","")&amp;IF(N(R707)&gt;1,"Chain; ","")&amp;IF(S707="No","Destination not 200; ","")))</f>
        <v/>
      </c>
      <c r="U707" s="22" t="n"/>
      <c r="V707" s="22" t="n"/>
      <c r="W707" s="4" t="n"/>
    </row>
    <row r="708">
      <c r="A708" s="22" t="n"/>
      <c r="B708" s="22" t="n"/>
      <c r="C708" s="22" t="n"/>
      <c r="D708" s="22">
        <f>IF(A708="","",IF(OR(N(B708)&gt;=$C$2,N(C708)&gt;=$E$2),"High",IF(OR(N(B708)&gt;0,N(C708)&gt;0),"Medium","Low")))</f>
        <v/>
      </c>
      <c r="E708" s="22" t="n"/>
      <c r="F708" s="22" t="n"/>
      <c r="G708" s="22" t="n"/>
      <c r="H708" s="22" t="n"/>
      <c r="I708" s="22" t="n"/>
      <c r="J708" s="22" t="n"/>
      <c r="K708" s="22" t="n"/>
      <c r="L708" s="22" t="n"/>
      <c r="M708" s="22">
        <f>IF(K708="Override",L708,IF(K708="Accept suggestion",F708,IF(K708="No change (same URL)",A708,"")))</f>
        <v/>
      </c>
      <c r="N708" s="22">
        <f>IF(A708="","",IF(K708="410 Gone","410",IF(K708="404","404",IF(K708="No change (same URL)","none",IF(M708="","","301")))))</f>
        <v/>
      </c>
      <c r="O708" s="22">
        <f>IF(A708="","",IFERROR(MID(A708,FIND("/",A708,FIND("//",A708)+2),2000),A708))</f>
        <v/>
      </c>
      <c r="P708" s="22">
        <f>IF(OR(O708="",N708="",N708="none",N708="404"),"",IF(N708="410","Redirect gone "&amp;O708,"Redirect "&amp;N708&amp;" "&amp;O708&amp;" "&amp;M708))</f>
        <v/>
      </c>
      <c r="Q708" s="22" t="n"/>
      <c r="R708" s="22" t="n"/>
      <c r="S708" s="22" t="n"/>
      <c r="T708" s="4">
        <f>IF(A708="","",TRIM(IF(K708="","Needs decision; ","")&amp;IF(AND(K708="Accept suggestion",F708=""),"No suggestion to accept; ","")&amp;IF(AND(K708="Override",L708=""),"Override URL missing; ","")&amp;IF(AND(K708="Accept suggestion",N(G708)&lt;$G$2),"Below your threshold; ","")&amp;IF(AND(M708&lt;&gt;"",M708=A708,K708&lt;&gt;"No change (same URL)"),"Redirects to itself; ","")&amp;IF(AND(M708&lt;&gt;"",OR(M708="/",AND(LEFT(M708,4)="http",OR((LEN(M708)-LEN(SUBSTITUTE(M708,"/","")))=2,AND((LEN(M708)-LEN(SUBSTITUTE(M708,"/","")))=3,RIGHT(M708,1)="/"))))),"Home page redirect; ","")&amp;IF(N(R708)&gt;1,"Chain; ","")&amp;IF(S708="No","Destination not 200; ","")))</f>
        <v/>
      </c>
      <c r="U708" s="22" t="n"/>
      <c r="V708" s="22" t="n"/>
      <c r="W708" s="4" t="n"/>
    </row>
    <row r="709">
      <c r="A709" s="22" t="n"/>
      <c r="B709" s="22" t="n"/>
      <c r="C709" s="22" t="n"/>
      <c r="D709" s="22">
        <f>IF(A709="","",IF(OR(N(B709)&gt;=$C$2,N(C709)&gt;=$E$2),"High",IF(OR(N(B709)&gt;0,N(C709)&gt;0),"Medium","Low")))</f>
        <v/>
      </c>
      <c r="E709" s="22" t="n"/>
      <c r="F709" s="22" t="n"/>
      <c r="G709" s="22" t="n"/>
      <c r="H709" s="22" t="n"/>
      <c r="I709" s="22" t="n"/>
      <c r="J709" s="22" t="n"/>
      <c r="K709" s="22" t="n"/>
      <c r="L709" s="22" t="n"/>
      <c r="M709" s="22">
        <f>IF(K709="Override",L709,IF(K709="Accept suggestion",F709,IF(K709="No change (same URL)",A709,"")))</f>
        <v/>
      </c>
      <c r="N709" s="22">
        <f>IF(A709="","",IF(K709="410 Gone","410",IF(K709="404","404",IF(K709="No change (same URL)","none",IF(M709="","","301")))))</f>
        <v/>
      </c>
      <c r="O709" s="22">
        <f>IF(A709="","",IFERROR(MID(A709,FIND("/",A709,FIND("//",A709)+2),2000),A709))</f>
        <v/>
      </c>
      <c r="P709" s="22">
        <f>IF(OR(O709="",N709="",N709="none",N709="404"),"",IF(N709="410","Redirect gone "&amp;O709,"Redirect "&amp;N709&amp;" "&amp;O709&amp;" "&amp;M709))</f>
        <v/>
      </c>
      <c r="Q709" s="22" t="n"/>
      <c r="R709" s="22" t="n"/>
      <c r="S709" s="22" t="n"/>
      <c r="T709" s="4">
        <f>IF(A709="","",TRIM(IF(K709="","Needs decision; ","")&amp;IF(AND(K709="Accept suggestion",F709=""),"No suggestion to accept; ","")&amp;IF(AND(K709="Override",L709=""),"Override URL missing; ","")&amp;IF(AND(K709="Accept suggestion",N(G709)&lt;$G$2),"Below your threshold; ","")&amp;IF(AND(M709&lt;&gt;"",M709=A709,K709&lt;&gt;"No change (same URL)"),"Redirects to itself; ","")&amp;IF(AND(M709&lt;&gt;"",OR(M709="/",AND(LEFT(M709,4)="http",OR((LEN(M709)-LEN(SUBSTITUTE(M709,"/","")))=2,AND((LEN(M709)-LEN(SUBSTITUTE(M709,"/","")))=3,RIGHT(M709,1)="/"))))),"Home page redirect; ","")&amp;IF(N(R709)&gt;1,"Chain; ","")&amp;IF(S709="No","Destination not 200; ","")))</f>
        <v/>
      </c>
      <c r="U709" s="22" t="n"/>
      <c r="V709" s="22" t="n"/>
      <c r="W709" s="4" t="n"/>
    </row>
    <row r="710">
      <c r="A710" s="22" t="n"/>
      <c r="B710" s="22" t="n"/>
      <c r="C710" s="22" t="n"/>
      <c r="D710" s="22">
        <f>IF(A710="","",IF(OR(N(B710)&gt;=$C$2,N(C710)&gt;=$E$2),"High",IF(OR(N(B710)&gt;0,N(C710)&gt;0),"Medium","Low")))</f>
        <v/>
      </c>
      <c r="E710" s="22" t="n"/>
      <c r="F710" s="22" t="n"/>
      <c r="G710" s="22" t="n"/>
      <c r="H710" s="22" t="n"/>
      <c r="I710" s="22" t="n"/>
      <c r="J710" s="22" t="n"/>
      <c r="K710" s="22" t="n"/>
      <c r="L710" s="22" t="n"/>
      <c r="M710" s="22">
        <f>IF(K710="Override",L710,IF(K710="Accept suggestion",F710,IF(K710="No change (same URL)",A710,"")))</f>
        <v/>
      </c>
      <c r="N710" s="22">
        <f>IF(A710="","",IF(K710="410 Gone","410",IF(K710="404","404",IF(K710="No change (same URL)","none",IF(M710="","","301")))))</f>
        <v/>
      </c>
      <c r="O710" s="22">
        <f>IF(A710="","",IFERROR(MID(A710,FIND("/",A710,FIND("//",A710)+2),2000),A710))</f>
        <v/>
      </c>
      <c r="P710" s="22">
        <f>IF(OR(O710="",N710="",N710="none",N710="404"),"",IF(N710="410","Redirect gone "&amp;O710,"Redirect "&amp;N710&amp;" "&amp;O710&amp;" "&amp;M710))</f>
        <v/>
      </c>
      <c r="Q710" s="22" t="n"/>
      <c r="R710" s="22" t="n"/>
      <c r="S710" s="22" t="n"/>
      <c r="T710" s="4">
        <f>IF(A710="","",TRIM(IF(K710="","Needs decision; ","")&amp;IF(AND(K710="Accept suggestion",F710=""),"No suggestion to accept; ","")&amp;IF(AND(K710="Override",L710=""),"Override URL missing; ","")&amp;IF(AND(K710="Accept suggestion",N(G710)&lt;$G$2),"Below your threshold; ","")&amp;IF(AND(M710&lt;&gt;"",M710=A710,K710&lt;&gt;"No change (same URL)"),"Redirects to itself; ","")&amp;IF(AND(M710&lt;&gt;"",OR(M710="/",AND(LEFT(M710,4)="http",OR((LEN(M710)-LEN(SUBSTITUTE(M710,"/","")))=2,AND((LEN(M710)-LEN(SUBSTITUTE(M710,"/","")))=3,RIGHT(M710,1)="/"))))),"Home page redirect; ","")&amp;IF(N(R710)&gt;1,"Chain; ","")&amp;IF(S710="No","Destination not 200; ","")))</f>
        <v/>
      </c>
      <c r="U710" s="22" t="n"/>
      <c r="V710" s="22" t="n"/>
      <c r="W710" s="4" t="n"/>
    </row>
    <row r="711">
      <c r="A711" s="22" t="n"/>
      <c r="B711" s="22" t="n"/>
      <c r="C711" s="22" t="n"/>
      <c r="D711" s="22">
        <f>IF(A711="","",IF(OR(N(B711)&gt;=$C$2,N(C711)&gt;=$E$2),"High",IF(OR(N(B711)&gt;0,N(C711)&gt;0),"Medium","Low")))</f>
        <v/>
      </c>
      <c r="E711" s="22" t="n"/>
      <c r="F711" s="22" t="n"/>
      <c r="G711" s="22" t="n"/>
      <c r="H711" s="22" t="n"/>
      <c r="I711" s="22" t="n"/>
      <c r="J711" s="22" t="n"/>
      <c r="K711" s="22" t="n"/>
      <c r="L711" s="22" t="n"/>
      <c r="M711" s="22">
        <f>IF(K711="Override",L711,IF(K711="Accept suggestion",F711,IF(K711="No change (same URL)",A711,"")))</f>
        <v/>
      </c>
      <c r="N711" s="22">
        <f>IF(A711="","",IF(K711="410 Gone","410",IF(K711="404","404",IF(K711="No change (same URL)","none",IF(M711="","","301")))))</f>
        <v/>
      </c>
      <c r="O711" s="22">
        <f>IF(A711="","",IFERROR(MID(A711,FIND("/",A711,FIND("//",A711)+2),2000),A711))</f>
        <v/>
      </c>
      <c r="P711" s="22">
        <f>IF(OR(O711="",N711="",N711="none",N711="404"),"",IF(N711="410","Redirect gone "&amp;O711,"Redirect "&amp;N711&amp;" "&amp;O711&amp;" "&amp;M711))</f>
        <v/>
      </c>
      <c r="Q711" s="22" t="n"/>
      <c r="R711" s="22" t="n"/>
      <c r="S711" s="22" t="n"/>
      <c r="T711" s="4">
        <f>IF(A711="","",TRIM(IF(K711="","Needs decision; ","")&amp;IF(AND(K711="Accept suggestion",F711=""),"No suggestion to accept; ","")&amp;IF(AND(K711="Override",L711=""),"Override URL missing; ","")&amp;IF(AND(K711="Accept suggestion",N(G711)&lt;$G$2),"Below your threshold; ","")&amp;IF(AND(M711&lt;&gt;"",M711=A711,K711&lt;&gt;"No change (same URL)"),"Redirects to itself; ","")&amp;IF(AND(M711&lt;&gt;"",OR(M711="/",AND(LEFT(M711,4)="http",OR((LEN(M711)-LEN(SUBSTITUTE(M711,"/","")))=2,AND((LEN(M711)-LEN(SUBSTITUTE(M711,"/","")))=3,RIGHT(M711,1)="/"))))),"Home page redirect; ","")&amp;IF(N(R711)&gt;1,"Chain; ","")&amp;IF(S711="No","Destination not 200; ","")))</f>
        <v/>
      </c>
      <c r="U711" s="22" t="n"/>
      <c r="V711" s="22" t="n"/>
      <c r="W711" s="4" t="n"/>
    </row>
    <row r="712">
      <c r="A712" s="22" t="n"/>
      <c r="B712" s="22" t="n"/>
      <c r="C712" s="22" t="n"/>
      <c r="D712" s="22">
        <f>IF(A712="","",IF(OR(N(B712)&gt;=$C$2,N(C712)&gt;=$E$2),"High",IF(OR(N(B712)&gt;0,N(C712)&gt;0),"Medium","Low")))</f>
        <v/>
      </c>
      <c r="E712" s="22" t="n"/>
      <c r="F712" s="22" t="n"/>
      <c r="G712" s="22" t="n"/>
      <c r="H712" s="22" t="n"/>
      <c r="I712" s="22" t="n"/>
      <c r="J712" s="22" t="n"/>
      <c r="K712" s="22" t="n"/>
      <c r="L712" s="22" t="n"/>
      <c r="M712" s="22">
        <f>IF(K712="Override",L712,IF(K712="Accept suggestion",F712,IF(K712="No change (same URL)",A712,"")))</f>
        <v/>
      </c>
      <c r="N712" s="22">
        <f>IF(A712="","",IF(K712="410 Gone","410",IF(K712="404","404",IF(K712="No change (same URL)","none",IF(M712="","","301")))))</f>
        <v/>
      </c>
      <c r="O712" s="22">
        <f>IF(A712="","",IFERROR(MID(A712,FIND("/",A712,FIND("//",A712)+2),2000),A712))</f>
        <v/>
      </c>
      <c r="P712" s="22">
        <f>IF(OR(O712="",N712="",N712="none",N712="404"),"",IF(N712="410","Redirect gone "&amp;O712,"Redirect "&amp;N712&amp;" "&amp;O712&amp;" "&amp;M712))</f>
        <v/>
      </c>
      <c r="Q712" s="22" t="n"/>
      <c r="R712" s="22" t="n"/>
      <c r="S712" s="22" t="n"/>
      <c r="T712" s="4">
        <f>IF(A712="","",TRIM(IF(K712="","Needs decision; ","")&amp;IF(AND(K712="Accept suggestion",F712=""),"No suggestion to accept; ","")&amp;IF(AND(K712="Override",L712=""),"Override URL missing; ","")&amp;IF(AND(K712="Accept suggestion",N(G712)&lt;$G$2),"Below your threshold; ","")&amp;IF(AND(M712&lt;&gt;"",M712=A712,K712&lt;&gt;"No change (same URL)"),"Redirects to itself; ","")&amp;IF(AND(M712&lt;&gt;"",OR(M712="/",AND(LEFT(M712,4)="http",OR((LEN(M712)-LEN(SUBSTITUTE(M712,"/","")))=2,AND((LEN(M712)-LEN(SUBSTITUTE(M712,"/","")))=3,RIGHT(M712,1)="/"))))),"Home page redirect; ","")&amp;IF(N(R712)&gt;1,"Chain; ","")&amp;IF(S712="No","Destination not 200; ","")))</f>
        <v/>
      </c>
      <c r="U712" s="22" t="n"/>
      <c r="V712" s="22" t="n"/>
      <c r="W712" s="4" t="n"/>
    </row>
    <row r="713">
      <c r="A713" s="22" t="n"/>
      <c r="B713" s="22" t="n"/>
      <c r="C713" s="22" t="n"/>
      <c r="D713" s="22">
        <f>IF(A713="","",IF(OR(N(B713)&gt;=$C$2,N(C713)&gt;=$E$2),"High",IF(OR(N(B713)&gt;0,N(C713)&gt;0),"Medium","Low")))</f>
        <v/>
      </c>
      <c r="E713" s="22" t="n"/>
      <c r="F713" s="22" t="n"/>
      <c r="G713" s="22" t="n"/>
      <c r="H713" s="22" t="n"/>
      <c r="I713" s="22" t="n"/>
      <c r="J713" s="22" t="n"/>
      <c r="K713" s="22" t="n"/>
      <c r="L713" s="22" t="n"/>
      <c r="M713" s="22">
        <f>IF(K713="Override",L713,IF(K713="Accept suggestion",F713,IF(K713="No change (same URL)",A713,"")))</f>
        <v/>
      </c>
      <c r="N713" s="22">
        <f>IF(A713="","",IF(K713="410 Gone","410",IF(K713="404","404",IF(K713="No change (same URL)","none",IF(M713="","","301")))))</f>
        <v/>
      </c>
      <c r="O713" s="22">
        <f>IF(A713="","",IFERROR(MID(A713,FIND("/",A713,FIND("//",A713)+2),2000),A713))</f>
        <v/>
      </c>
      <c r="P713" s="22">
        <f>IF(OR(O713="",N713="",N713="none",N713="404"),"",IF(N713="410","Redirect gone "&amp;O713,"Redirect "&amp;N713&amp;" "&amp;O713&amp;" "&amp;M713))</f>
        <v/>
      </c>
      <c r="Q713" s="22" t="n"/>
      <c r="R713" s="22" t="n"/>
      <c r="S713" s="22" t="n"/>
      <c r="T713" s="4">
        <f>IF(A713="","",TRIM(IF(K713="","Needs decision; ","")&amp;IF(AND(K713="Accept suggestion",F713=""),"No suggestion to accept; ","")&amp;IF(AND(K713="Override",L713=""),"Override URL missing; ","")&amp;IF(AND(K713="Accept suggestion",N(G713)&lt;$G$2),"Below your threshold; ","")&amp;IF(AND(M713&lt;&gt;"",M713=A713,K713&lt;&gt;"No change (same URL)"),"Redirects to itself; ","")&amp;IF(AND(M713&lt;&gt;"",OR(M713="/",AND(LEFT(M713,4)="http",OR((LEN(M713)-LEN(SUBSTITUTE(M713,"/","")))=2,AND((LEN(M713)-LEN(SUBSTITUTE(M713,"/","")))=3,RIGHT(M713,1)="/"))))),"Home page redirect; ","")&amp;IF(N(R713)&gt;1,"Chain; ","")&amp;IF(S713="No","Destination not 200; ","")))</f>
        <v/>
      </c>
      <c r="U713" s="22" t="n"/>
      <c r="V713" s="22" t="n"/>
      <c r="W713" s="4" t="n"/>
    </row>
    <row r="714">
      <c r="A714" s="22" t="n"/>
      <c r="B714" s="22" t="n"/>
      <c r="C714" s="22" t="n"/>
      <c r="D714" s="22">
        <f>IF(A714="","",IF(OR(N(B714)&gt;=$C$2,N(C714)&gt;=$E$2),"High",IF(OR(N(B714)&gt;0,N(C714)&gt;0),"Medium","Low")))</f>
        <v/>
      </c>
      <c r="E714" s="22" t="n"/>
      <c r="F714" s="22" t="n"/>
      <c r="G714" s="22" t="n"/>
      <c r="H714" s="22" t="n"/>
      <c r="I714" s="22" t="n"/>
      <c r="J714" s="22" t="n"/>
      <c r="K714" s="22" t="n"/>
      <c r="L714" s="22" t="n"/>
      <c r="M714" s="22">
        <f>IF(K714="Override",L714,IF(K714="Accept suggestion",F714,IF(K714="No change (same URL)",A714,"")))</f>
        <v/>
      </c>
      <c r="N714" s="22">
        <f>IF(A714="","",IF(K714="410 Gone","410",IF(K714="404","404",IF(K714="No change (same URL)","none",IF(M714="","","301")))))</f>
        <v/>
      </c>
      <c r="O714" s="22">
        <f>IF(A714="","",IFERROR(MID(A714,FIND("/",A714,FIND("//",A714)+2),2000),A714))</f>
        <v/>
      </c>
      <c r="P714" s="22">
        <f>IF(OR(O714="",N714="",N714="none",N714="404"),"",IF(N714="410","Redirect gone "&amp;O714,"Redirect "&amp;N714&amp;" "&amp;O714&amp;" "&amp;M714))</f>
        <v/>
      </c>
      <c r="Q714" s="22" t="n"/>
      <c r="R714" s="22" t="n"/>
      <c r="S714" s="22" t="n"/>
      <c r="T714" s="4">
        <f>IF(A714="","",TRIM(IF(K714="","Needs decision; ","")&amp;IF(AND(K714="Accept suggestion",F714=""),"No suggestion to accept; ","")&amp;IF(AND(K714="Override",L714=""),"Override URL missing; ","")&amp;IF(AND(K714="Accept suggestion",N(G714)&lt;$G$2),"Below your threshold; ","")&amp;IF(AND(M714&lt;&gt;"",M714=A714,K714&lt;&gt;"No change (same URL)"),"Redirects to itself; ","")&amp;IF(AND(M714&lt;&gt;"",OR(M714="/",AND(LEFT(M714,4)="http",OR((LEN(M714)-LEN(SUBSTITUTE(M714,"/","")))=2,AND((LEN(M714)-LEN(SUBSTITUTE(M714,"/","")))=3,RIGHT(M714,1)="/"))))),"Home page redirect; ","")&amp;IF(N(R714)&gt;1,"Chain; ","")&amp;IF(S714="No","Destination not 200; ","")))</f>
        <v/>
      </c>
      <c r="U714" s="22" t="n"/>
      <c r="V714" s="22" t="n"/>
      <c r="W714" s="4" t="n"/>
    </row>
    <row r="715">
      <c r="A715" s="22" t="n"/>
      <c r="B715" s="22" t="n"/>
      <c r="C715" s="22" t="n"/>
      <c r="D715" s="22">
        <f>IF(A715="","",IF(OR(N(B715)&gt;=$C$2,N(C715)&gt;=$E$2),"High",IF(OR(N(B715)&gt;0,N(C715)&gt;0),"Medium","Low")))</f>
        <v/>
      </c>
      <c r="E715" s="22" t="n"/>
      <c r="F715" s="22" t="n"/>
      <c r="G715" s="22" t="n"/>
      <c r="H715" s="22" t="n"/>
      <c r="I715" s="22" t="n"/>
      <c r="J715" s="22" t="n"/>
      <c r="K715" s="22" t="n"/>
      <c r="L715" s="22" t="n"/>
      <c r="M715" s="22">
        <f>IF(K715="Override",L715,IF(K715="Accept suggestion",F715,IF(K715="No change (same URL)",A715,"")))</f>
        <v/>
      </c>
      <c r="N715" s="22">
        <f>IF(A715="","",IF(K715="410 Gone","410",IF(K715="404","404",IF(K715="No change (same URL)","none",IF(M715="","","301")))))</f>
        <v/>
      </c>
      <c r="O715" s="22">
        <f>IF(A715="","",IFERROR(MID(A715,FIND("/",A715,FIND("//",A715)+2),2000),A715))</f>
        <v/>
      </c>
      <c r="P715" s="22">
        <f>IF(OR(O715="",N715="",N715="none",N715="404"),"",IF(N715="410","Redirect gone "&amp;O715,"Redirect "&amp;N715&amp;" "&amp;O715&amp;" "&amp;M715))</f>
        <v/>
      </c>
      <c r="Q715" s="22" t="n"/>
      <c r="R715" s="22" t="n"/>
      <c r="S715" s="22" t="n"/>
      <c r="T715" s="4">
        <f>IF(A715="","",TRIM(IF(K715="","Needs decision; ","")&amp;IF(AND(K715="Accept suggestion",F715=""),"No suggestion to accept; ","")&amp;IF(AND(K715="Override",L715=""),"Override URL missing; ","")&amp;IF(AND(K715="Accept suggestion",N(G715)&lt;$G$2),"Below your threshold; ","")&amp;IF(AND(M715&lt;&gt;"",M715=A715,K715&lt;&gt;"No change (same URL)"),"Redirects to itself; ","")&amp;IF(AND(M715&lt;&gt;"",OR(M715="/",AND(LEFT(M715,4)="http",OR((LEN(M715)-LEN(SUBSTITUTE(M715,"/","")))=2,AND((LEN(M715)-LEN(SUBSTITUTE(M715,"/","")))=3,RIGHT(M715,1)="/"))))),"Home page redirect; ","")&amp;IF(N(R715)&gt;1,"Chain; ","")&amp;IF(S715="No","Destination not 200; ","")))</f>
        <v/>
      </c>
      <c r="U715" s="22" t="n"/>
      <c r="V715" s="22" t="n"/>
      <c r="W715" s="4" t="n"/>
    </row>
    <row r="716">
      <c r="A716" s="22" t="n"/>
      <c r="B716" s="22" t="n"/>
      <c r="C716" s="22" t="n"/>
      <c r="D716" s="22">
        <f>IF(A716="","",IF(OR(N(B716)&gt;=$C$2,N(C716)&gt;=$E$2),"High",IF(OR(N(B716)&gt;0,N(C716)&gt;0),"Medium","Low")))</f>
        <v/>
      </c>
      <c r="E716" s="22" t="n"/>
      <c r="F716" s="22" t="n"/>
      <c r="G716" s="22" t="n"/>
      <c r="H716" s="22" t="n"/>
      <c r="I716" s="22" t="n"/>
      <c r="J716" s="22" t="n"/>
      <c r="K716" s="22" t="n"/>
      <c r="L716" s="22" t="n"/>
      <c r="M716" s="22">
        <f>IF(K716="Override",L716,IF(K716="Accept suggestion",F716,IF(K716="No change (same URL)",A716,"")))</f>
        <v/>
      </c>
      <c r="N716" s="22">
        <f>IF(A716="","",IF(K716="410 Gone","410",IF(K716="404","404",IF(K716="No change (same URL)","none",IF(M716="","","301")))))</f>
        <v/>
      </c>
      <c r="O716" s="22">
        <f>IF(A716="","",IFERROR(MID(A716,FIND("/",A716,FIND("//",A716)+2),2000),A716))</f>
        <v/>
      </c>
      <c r="P716" s="22">
        <f>IF(OR(O716="",N716="",N716="none",N716="404"),"",IF(N716="410","Redirect gone "&amp;O716,"Redirect "&amp;N716&amp;" "&amp;O716&amp;" "&amp;M716))</f>
        <v/>
      </c>
      <c r="Q716" s="22" t="n"/>
      <c r="R716" s="22" t="n"/>
      <c r="S716" s="22" t="n"/>
      <c r="T716" s="4">
        <f>IF(A716="","",TRIM(IF(K716="","Needs decision; ","")&amp;IF(AND(K716="Accept suggestion",F716=""),"No suggestion to accept; ","")&amp;IF(AND(K716="Override",L716=""),"Override URL missing; ","")&amp;IF(AND(K716="Accept suggestion",N(G716)&lt;$G$2),"Below your threshold; ","")&amp;IF(AND(M716&lt;&gt;"",M716=A716,K716&lt;&gt;"No change (same URL)"),"Redirects to itself; ","")&amp;IF(AND(M716&lt;&gt;"",OR(M716="/",AND(LEFT(M716,4)="http",OR((LEN(M716)-LEN(SUBSTITUTE(M716,"/","")))=2,AND((LEN(M716)-LEN(SUBSTITUTE(M716,"/","")))=3,RIGHT(M716,1)="/"))))),"Home page redirect; ","")&amp;IF(N(R716)&gt;1,"Chain; ","")&amp;IF(S716="No","Destination not 200; ","")))</f>
        <v/>
      </c>
      <c r="U716" s="22" t="n"/>
      <c r="V716" s="22" t="n"/>
      <c r="W716" s="4" t="n"/>
    </row>
    <row r="717">
      <c r="A717" s="22" t="n"/>
      <c r="B717" s="22" t="n"/>
      <c r="C717" s="22" t="n"/>
      <c r="D717" s="22">
        <f>IF(A717="","",IF(OR(N(B717)&gt;=$C$2,N(C717)&gt;=$E$2),"High",IF(OR(N(B717)&gt;0,N(C717)&gt;0),"Medium","Low")))</f>
        <v/>
      </c>
      <c r="E717" s="22" t="n"/>
      <c r="F717" s="22" t="n"/>
      <c r="G717" s="22" t="n"/>
      <c r="H717" s="22" t="n"/>
      <c r="I717" s="22" t="n"/>
      <c r="J717" s="22" t="n"/>
      <c r="K717" s="22" t="n"/>
      <c r="L717" s="22" t="n"/>
      <c r="M717" s="22">
        <f>IF(K717="Override",L717,IF(K717="Accept suggestion",F717,IF(K717="No change (same URL)",A717,"")))</f>
        <v/>
      </c>
      <c r="N717" s="22">
        <f>IF(A717="","",IF(K717="410 Gone","410",IF(K717="404","404",IF(K717="No change (same URL)","none",IF(M717="","","301")))))</f>
        <v/>
      </c>
      <c r="O717" s="22">
        <f>IF(A717="","",IFERROR(MID(A717,FIND("/",A717,FIND("//",A717)+2),2000),A717))</f>
        <v/>
      </c>
      <c r="P717" s="22">
        <f>IF(OR(O717="",N717="",N717="none",N717="404"),"",IF(N717="410","Redirect gone "&amp;O717,"Redirect "&amp;N717&amp;" "&amp;O717&amp;" "&amp;M717))</f>
        <v/>
      </c>
      <c r="Q717" s="22" t="n"/>
      <c r="R717" s="22" t="n"/>
      <c r="S717" s="22" t="n"/>
      <c r="T717" s="4">
        <f>IF(A717="","",TRIM(IF(K717="","Needs decision; ","")&amp;IF(AND(K717="Accept suggestion",F717=""),"No suggestion to accept; ","")&amp;IF(AND(K717="Override",L717=""),"Override URL missing; ","")&amp;IF(AND(K717="Accept suggestion",N(G717)&lt;$G$2),"Below your threshold; ","")&amp;IF(AND(M717&lt;&gt;"",M717=A717,K717&lt;&gt;"No change (same URL)"),"Redirects to itself; ","")&amp;IF(AND(M717&lt;&gt;"",OR(M717="/",AND(LEFT(M717,4)="http",OR((LEN(M717)-LEN(SUBSTITUTE(M717,"/","")))=2,AND((LEN(M717)-LEN(SUBSTITUTE(M717,"/","")))=3,RIGHT(M717,1)="/"))))),"Home page redirect; ","")&amp;IF(N(R717)&gt;1,"Chain; ","")&amp;IF(S717="No","Destination not 200; ","")))</f>
        <v/>
      </c>
      <c r="U717" s="22" t="n"/>
      <c r="V717" s="22" t="n"/>
      <c r="W717" s="4" t="n"/>
    </row>
    <row r="718">
      <c r="A718" s="22" t="n"/>
      <c r="B718" s="22" t="n"/>
      <c r="C718" s="22" t="n"/>
      <c r="D718" s="22">
        <f>IF(A718="","",IF(OR(N(B718)&gt;=$C$2,N(C718)&gt;=$E$2),"High",IF(OR(N(B718)&gt;0,N(C718)&gt;0),"Medium","Low")))</f>
        <v/>
      </c>
      <c r="E718" s="22" t="n"/>
      <c r="F718" s="22" t="n"/>
      <c r="G718" s="22" t="n"/>
      <c r="H718" s="22" t="n"/>
      <c r="I718" s="22" t="n"/>
      <c r="J718" s="22" t="n"/>
      <c r="K718" s="22" t="n"/>
      <c r="L718" s="22" t="n"/>
      <c r="M718" s="22">
        <f>IF(K718="Override",L718,IF(K718="Accept suggestion",F718,IF(K718="No change (same URL)",A718,"")))</f>
        <v/>
      </c>
      <c r="N718" s="22">
        <f>IF(A718="","",IF(K718="410 Gone","410",IF(K718="404","404",IF(K718="No change (same URL)","none",IF(M718="","","301")))))</f>
        <v/>
      </c>
      <c r="O718" s="22">
        <f>IF(A718="","",IFERROR(MID(A718,FIND("/",A718,FIND("//",A718)+2),2000),A718))</f>
        <v/>
      </c>
      <c r="P718" s="22">
        <f>IF(OR(O718="",N718="",N718="none",N718="404"),"",IF(N718="410","Redirect gone "&amp;O718,"Redirect "&amp;N718&amp;" "&amp;O718&amp;" "&amp;M718))</f>
        <v/>
      </c>
      <c r="Q718" s="22" t="n"/>
      <c r="R718" s="22" t="n"/>
      <c r="S718" s="22" t="n"/>
      <c r="T718" s="4">
        <f>IF(A718="","",TRIM(IF(K718="","Needs decision; ","")&amp;IF(AND(K718="Accept suggestion",F718=""),"No suggestion to accept; ","")&amp;IF(AND(K718="Override",L718=""),"Override URL missing; ","")&amp;IF(AND(K718="Accept suggestion",N(G718)&lt;$G$2),"Below your threshold; ","")&amp;IF(AND(M718&lt;&gt;"",M718=A718,K718&lt;&gt;"No change (same URL)"),"Redirects to itself; ","")&amp;IF(AND(M718&lt;&gt;"",OR(M718="/",AND(LEFT(M718,4)="http",OR((LEN(M718)-LEN(SUBSTITUTE(M718,"/","")))=2,AND((LEN(M718)-LEN(SUBSTITUTE(M718,"/","")))=3,RIGHT(M718,1)="/"))))),"Home page redirect; ","")&amp;IF(N(R718)&gt;1,"Chain; ","")&amp;IF(S718="No","Destination not 200; ","")))</f>
        <v/>
      </c>
      <c r="U718" s="22" t="n"/>
      <c r="V718" s="22" t="n"/>
      <c r="W718" s="4" t="n"/>
    </row>
    <row r="719">
      <c r="A719" s="22" t="n"/>
      <c r="B719" s="22" t="n"/>
      <c r="C719" s="22" t="n"/>
      <c r="D719" s="22">
        <f>IF(A719="","",IF(OR(N(B719)&gt;=$C$2,N(C719)&gt;=$E$2),"High",IF(OR(N(B719)&gt;0,N(C719)&gt;0),"Medium","Low")))</f>
        <v/>
      </c>
      <c r="E719" s="22" t="n"/>
      <c r="F719" s="22" t="n"/>
      <c r="G719" s="22" t="n"/>
      <c r="H719" s="22" t="n"/>
      <c r="I719" s="22" t="n"/>
      <c r="J719" s="22" t="n"/>
      <c r="K719" s="22" t="n"/>
      <c r="L719" s="22" t="n"/>
      <c r="M719" s="22">
        <f>IF(K719="Override",L719,IF(K719="Accept suggestion",F719,IF(K719="No change (same URL)",A719,"")))</f>
        <v/>
      </c>
      <c r="N719" s="22">
        <f>IF(A719="","",IF(K719="410 Gone","410",IF(K719="404","404",IF(K719="No change (same URL)","none",IF(M719="","","301")))))</f>
        <v/>
      </c>
      <c r="O719" s="22">
        <f>IF(A719="","",IFERROR(MID(A719,FIND("/",A719,FIND("//",A719)+2),2000),A719))</f>
        <v/>
      </c>
      <c r="P719" s="22">
        <f>IF(OR(O719="",N719="",N719="none",N719="404"),"",IF(N719="410","Redirect gone "&amp;O719,"Redirect "&amp;N719&amp;" "&amp;O719&amp;" "&amp;M719))</f>
        <v/>
      </c>
      <c r="Q719" s="22" t="n"/>
      <c r="R719" s="22" t="n"/>
      <c r="S719" s="22" t="n"/>
      <c r="T719" s="4">
        <f>IF(A719="","",TRIM(IF(K719="","Needs decision; ","")&amp;IF(AND(K719="Accept suggestion",F719=""),"No suggestion to accept; ","")&amp;IF(AND(K719="Override",L719=""),"Override URL missing; ","")&amp;IF(AND(K719="Accept suggestion",N(G719)&lt;$G$2),"Below your threshold; ","")&amp;IF(AND(M719&lt;&gt;"",M719=A719,K719&lt;&gt;"No change (same URL)"),"Redirects to itself; ","")&amp;IF(AND(M719&lt;&gt;"",OR(M719="/",AND(LEFT(M719,4)="http",OR((LEN(M719)-LEN(SUBSTITUTE(M719,"/","")))=2,AND((LEN(M719)-LEN(SUBSTITUTE(M719,"/","")))=3,RIGHT(M719,1)="/"))))),"Home page redirect; ","")&amp;IF(N(R719)&gt;1,"Chain; ","")&amp;IF(S719="No","Destination not 200; ","")))</f>
        <v/>
      </c>
      <c r="U719" s="22" t="n"/>
      <c r="V719" s="22" t="n"/>
      <c r="W719" s="4" t="n"/>
    </row>
    <row r="720">
      <c r="A720" s="22" t="n"/>
      <c r="B720" s="22" t="n"/>
      <c r="C720" s="22" t="n"/>
      <c r="D720" s="22">
        <f>IF(A720="","",IF(OR(N(B720)&gt;=$C$2,N(C720)&gt;=$E$2),"High",IF(OR(N(B720)&gt;0,N(C720)&gt;0),"Medium","Low")))</f>
        <v/>
      </c>
      <c r="E720" s="22" t="n"/>
      <c r="F720" s="22" t="n"/>
      <c r="G720" s="22" t="n"/>
      <c r="H720" s="22" t="n"/>
      <c r="I720" s="22" t="n"/>
      <c r="J720" s="22" t="n"/>
      <c r="K720" s="22" t="n"/>
      <c r="L720" s="22" t="n"/>
      <c r="M720" s="22">
        <f>IF(K720="Override",L720,IF(K720="Accept suggestion",F720,IF(K720="No change (same URL)",A720,"")))</f>
        <v/>
      </c>
      <c r="N720" s="22">
        <f>IF(A720="","",IF(K720="410 Gone","410",IF(K720="404","404",IF(K720="No change (same URL)","none",IF(M720="","","301")))))</f>
        <v/>
      </c>
      <c r="O720" s="22">
        <f>IF(A720="","",IFERROR(MID(A720,FIND("/",A720,FIND("//",A720)+2),2000),A720))</f>
        <v/>
      </c>
      <c r="P720" s="22">
        <f>IF(OR(O720="",N720="",N720="none",N720="404"),"",IF(N720="410","Redirect gone "&amp;O720,"Redirect "&amp;N720&amp;" "&amp;O720&amp;" "&amp;M720))</f>
        <v/>
      </c>
      <c r="Q720" s="22" t="n"/>
      <c r="R720" s="22" t="n"/>
      <c r="S720" s="22" t="n"/>
      <c r="T720" s="4">
        <f>IF(A720="","",TRIM(IF(K720="","Needs decision; ","")&amp;IF(AND(K720="Accept suggestion",F720=""),"No suggestion to accept; ","")&amp;IF(AND(K720="Override",L720=""),"Override URL missing; ","")&amp;IF(AND(K720="Accept suggestion",N(G720)&lt;$G$2),"Below your threshold; ","")&amp;IF(AND(M720&lt;&gt;"",M720=A720,K720&lt;&gt;"No change (same URL)"),"Redirects to itself; ","")&amp;IF(AND(M720&lt;&gt;"",OR(M720="/",AND(LEFT(M720,4)="http",OR((LEN(M720)-LEN(SUBSTITUTE(M720,"/","")))=2,AND((LEN(M720)-LEN(SUBSTITUTE(M720,"/","")))=3,RIGHT(M720,1)="/"))))),"Home page redirect; ","")&amp;IF(N(R720)&gt;1,"Chain; ","")&amp;IF(S720="No","Destination not 200; ","")))</f>
        <v/>
      </c>
      <c r="U720" s="22" t="n"/>
      <c r="V720" s="22" t="n"/>
      <c r="W720" s="4" t="n"/>
    </row>
    <row r="721">
      <c r="A721" s="22" t="n"/>
      <c r="B721" s="22" t="n"/>
      <c r="C721" s="22" t="n"/>
      <c r="D721" s="22">
        <f>IF(A721="","",IF(OR(N(B721)&gt;=$C$2,N(C721)&gt;=$E$2),"High",IF(OR(N(B721)&gt;0,N(C721)&gt;0),"Medium","Low")))</f>
        <v/>
      </c>
      <c r="E721" s="22" t="n"/>
      <c r="F721" s="22" t="n"/>
      <c r="G721" s="22" t="n"/>
      <c r="H721" s="22" t="n"/>
      <c r="I721" s="22" t="n"/>
      <c r="J721" s="22" t="n"/>
      <c r="K721" s="22" t="n"/>
      <c r="L721" s="22" t="n"/>
      <c r="M721" s="22">
        <f>IF(K721="Override",L721,IF(K721="Accept suggestion",F721,IF(K721="No change (same URL)",A721,"")))</f>
        <v/>
      </c>
      <c r="N721" s="22">
        <f>IF(A721="","",IF(K721="410 Gone","410",IF(K721="404","404",IF(K721="No change (same URL)","none",IF(M721="","","301")))))</f>
        <v/>
      </c>
      <c r="O721" s="22">
        <f>IF(A721="","",IFERROR(MID(A721,FIND("/",A721,FIND("//",A721)+2),2000),A721))</f>
        <v/>
      </c>
      <c r="P721" s="22">
        <f>IF(OR(O721="",N721="",N721="none",N721="404"),"",IF(N721="410","Redirect gone "&amp;O721,"Redirect "&amp;N721&amp;" "&amp;O721&amp;" "&amp;M721))</f>
        <v/>
      </c>
      <c r="Q721" s="22" t="n"/>
      <c r="R721" s="22" t="n"/>
      <c r="S721" s="22" t="n"/>
      <c r="T721" s="4">
        <f>IF(A721="","",TRIM(IF(K721="","Needs decision; ","")&amp;IF(AND(K721="Accept suggestion",F721=""),"No suggestion to accept; ","")&amp;IF(AND(K721="Override",L721=""),"Override URL missing; ","")&amp;IF(AND(K721="Accept suggestion",N(G721)&lt;$G$2),"Below your threshold; ","")&amp;IF(AND(M721&lt;&gt;"",M721=A721,K721&lt;&gt;"No change (same URL)"),"Redirects to itself; ","")&amp;IF(AND(M721&lt;&gt;"",OR(M721="/",AND(LEFT(M721,4)="http",OR((LEN(M721)-LEN(SUBSTITUTE(M721,"/","")))=2,AND((LEN(M721)-LEN(SUBSTITUTE(M721,"/","")))=3,RIGHT(M721,1)="/"))))),"Home page redirect; ","")&amp;IF(N(R721)&gt;1,"Chain; ","")&amp;IF(S721="No","Destination not 200; ","")))</f>
        <v/>
      </c>
      <c r="U721" s="22" t="n"/>
      <c r="V721" s="22" t="n"/>
      <c r="W721" s="4" t="n"/>
    </row>
    <row r="722">
      <c r="A722" s="22" t="n"/>
      <c r="B722" s="22" t="n"/>
      <c r="C722" s="22" t="n"/>
      <c r="D722" s="22">
        <f>IF(A722="","",IF(OR(N(B722)&gt;=$C$2,N(C722)&gt;=$E$2),"High",IF(OR(N(B722)&gt;0,N(C722)&gt;0),"Medium","Low")))</f>
        <v/>
      </c>
      <c r="E722" s="22" t="n"/>
      <c r="F722" s="22" t="n"/>
      <c r="G722" s="22" t="n"/>
      <c r="H722" s="22" t="n"/>
      <c r="I722" s="22" t="n"/>
      <c r="J722" s="22" t="n"/>
      <c r="K722" s="22" t="n"/>
      <c r="L722" s="22" t="n"/>
      <c r="M722" s="22">
        <f>IF(K722="Override",L722,IF(K722="Accept suggestion",F722,IF(K722="No change (same URL)",A722,"")))</f>
        <v/>
      </c>
      <c r="N722" s="22">
        <f>IF(A722="","",IF(K722="410 Gone","410",IF(K722="404","404",IF(K722="No change (same URL)","none",IF(M722="","","301")))))</f>
        <v/>
      </c>
      <c r="O722" s="22">
        <f>IF(A722="","",IFERROR(MID(A722,FIND("/",A722,FIND("//",A722)+2),2000),A722))</f>
        <v/>
      </c>
      <c r="P722" s="22">
        <f>IF(OR(O722="",N722="",N722="none",N722="404"),"",IF(N722="410","Redirect gone "&amp;O722,"Redirect "&amp;N722&amp;" "&amp;O722&amp;" "&amp;M722))</f>
        <v/>
      </c>
      <c r="Q722" s="22" t="n"/>
      <c r="R722" s="22" t="n"/>
      <c r="S722" s="22" t="n"/>
      <c r="T722" s="4">
        <f>IF(A722="","",TRIM(IF(K722="","Needs decision; ","")&amp;IF(AND(K722="Accept suggestion",F722=""),"No suggestion to accept; ","")&amp;IF(AND(K722="Override",L722=""),"Override URL missing; ","")&amp;IF(AND(K722="Accept suggestion",N(G722)&lt;$G$2),"Below your threshold; ","")&amp;IF(AND(M722&lt;&gt;"",M722=A722,K722&lt;&gt;"No change (same URL)"),"Redirects to itself; ","")&amp;IF(AND(M722&lt;&gt;"",OR(M722="/",AND(LEFT(M722,4)="http",OR((LEN(M722)-LEN(SUBSTITUTE(M722,"/","")))=2,AND((LEN(M722)-LEN(SUBSTITUTE(M722,"/","")))=3,RIGHT(M722,1)="/"))))),"Home page redirect; ","")&amp;IF(N(R722)&gt;1,"Chain; ","")&amp;IF(S722="No","Destination not 200; ","")))</f>
        <v/>
      </c>
      <c r="U722" s="22" t="n"/>
      <c r="V722" s="22" t="n"/>
      <c r="W722" s="4" t="n"/>
    </row>
    <row r="723">
      <c r="A723" s="22" t="n"/>
      <c r="B723" s="22" t="n"/>
      <c r="C723" s="22" t="n"/>
      <c r="D723" s="22">
        <f>IF(A723="","",IF(OR(N(B723)&gt;=$C$2,N(C723)&gt;=$E$2),"High",IF(OR(N(B723)&gt;0,N(C723)&gt;0),"Medium","Low")))</f>
        <v/>
      </c>
      <c r="E723" s="22" t="n"/>
      <c r="F723" s="22" t="n"/>
      <c r="G723" s="22" t="n"/>
      <c r="H723" s="22" t="n"/>
      <c r="I723" s="22" t="n"/>
      <c r="J723" s="22" t="n"/>
      <c r="K723" s="22" t="n"/>
      <c r="L723" s="22" t="n"/>
      <c r="M723" s="22">
        <f>IF(K723="Override",L723,IF(K723="Accept suggestion",F723,IF(K723="No change (same URL)",A723,"")))</f>
        <v/>
      </c>
      <c r="N723" s="22">
        <f>IF(A723="","",IF(K723="410 Gone","410",IF(K723="404","404",IF(K723="No change (same URL)","none",IF(M723="","","301")))))</f>
        <v/>
      </c>
      <c r="O723" s="22">
        <f>IF(A723="","",IFERROR(MID(A723,FIND("/",A723,FIND("//",A723)+2),2000),A723))</f>
        <v/>
      </c>
      <c r="P723" s="22">
        <f>IF(OR(O723="",N723="",N723="none",N723="404"),"",IF(N723="410","Redirect gone "&amp;O723,"Redirect "&amp;N723&amp;" "&amp;O723&amp;" "&amp;M723))</f>
        <v/>
      </c>
      <c r="Q723" s="22" t="n"/>
      <c r="R723" s="22" t="n"/>
      <c r="S723" s="22" t="n"/>
      <c r="T723" s="4">
        <f>IF(A723="","",TRIM(IF(K723="","Needs decision; ","")&amp;IF(AND(K723="Accept suggestion",F723=""),"No suggestion to accept; ","")&amp;IF(AND(K723="Override",L723=""),"Override URL missing; ","")&amp;IF(AND(K723="Accept suggestion",N(G723)&lt;$G$2),"Below your threshold; ","")&amp;IF(AND(M723&lt;&gt;"",M723=A723,K723&lt;&gt;"No change (same URL)"),"Redirects to itself; ","")&amp;IF(AND(M723&lt;&gt;"",OR(M723="/",AND(LEFT(M723,4)="http",OR((LEN(M723)-LEN(SUBSTITUTE(M723,"/","")))=2,AND((LEN(M723)-LEN(SUBSTITUTE(M723,"/","")))=3,RIGHT(M723,1)="/"))))),"Home page redirect; ","")&amp;IF(N(R723)&gt;1,"Chain; ","")&amp;IF(S723="No","Destination not 200; ","")))</f>
        <v/>
      </c>
      <c r="U723" s="22" t="n"/>
      <c r="V723" s="22" t="n"/>
      <c r="W723" s="4" t="n"/>
    </row>
    <row r="724">
      <c r="A724" s="22" t="n"/>
      <c r="B724" s="22" t="n"/>
      <c r="C724" s="22" t="n"/>
      <c r="D724" s="22">
        <f>IF(A724="","",IF(OR(N(B724)&gt;=$C$2,N(C724)&gt;=$E$2),"High",IF(OR(N(B724)&gt;0,N(C724)&gt;0),"Medium","Low")))</f>
        <v/>
      </c>
      <c r="E724" s="22" t="n"/>
      <c r="F724" s="22" t="n"/>
      <c r="G724" s="22" t="n"/>
      <c r="H724" s="22" t="n"/>
      <c r="I724" s="22" t="n"/>
      <c r="J724" s="22" t="n"/>
      <c r="K724" s="22" t="n"/>
      <c r="L724" s="22" t="n"/>
      <c r="M724" s="22">
        <f>IF(K724="Override",L724,IF(K724="Accept suggestion",F724,IF(K724="No change (same URL)",A724,"")))</f>
        <v/>
      </c>
      <c r="N724" s="22">
        <f>IF(A724="","",IF(K724="410 Gone","410",IF(K724="404","404",IF(K724="No change (same URL)","none",IF(M724="","","301")))))</f>
        <v/>
      </c>
      <c r="O724" s="22">
        <f>IF(A724="","",IFERROR(MID(A724,FIND("/",A724,FIND("//",A724)+2),2000),A724))</f>
        <v/>
      </c>
      <c r="P724" s="22">
        <f>IF(OR(O724="",N724="",N724="none",N724="404"),"",IF(N724="410","Redirect gone "&amp;O724,"Redirect "&amp;N724&amp;" "&amp;O724&amp;" "&amp;M724))</f>
        <v/>
      </c>
      <c r="Q724" s="22" t="n"/>
      <c r="R724" s="22" t="n"/>
      <c r="S724" s="22" t="n"/>
      <c r="T724" s="4">
        <f>IF(A724="","",TRIM(IF(K724="","Needs decision; ","")&amp;IF(AND(K724="Accept suggestion",F724=""),"No suggestion to accept; ","")&amp;IF(AND(K724="Override",L724=""),"Override URL missing; ","")&amp;IF(AND(K724="Accept suggestion",N(G724)&lt;$G$2),"Below your threshold; ","")&amp;IF(AND(M724&lt;&gt;"",M724=A724,K724&lt;&gt;"No change (same URL)"),"Redirects to itself; ","")&amp;IF(AND(M724&lt;&gt;"",OR(M724="/",AND(LEFT(M724,4)="http",OR((LEN(M724)-LEN(SUBSTITUTE(M724,"/","")))=2,AND((LEN(M724)-LEN(SUBSTITUTE(M724,"/","")))=3,RIGHT(M724,1)="/"))))),"Home page redirect; ","")&amp;IF(N(R724)&gt;1,"Chain; ","")&amp;IF(S724="No","Destination not 200; ","")))</f>
        <v/>
      </c>
      <c r="U724" s="22" t="n"/>
      <c r="V724" s="22" t="n"/>
      <c r="W724" s="4" t="n"/>
    </row>
    <row r="725">
      <c r="A725" s="22" t="n"/>
      <c r="B725" s="22" t="n"/>
      <c r="C725" s="22" t="n"/>
      <c r="D725" s="22">
        <f>IF(A725="","",IF(OR(N(B725)&gt;=$C$2,N(C725)&gt;=$E$2),"High",IF(OR(N(B725)&gt;0,N(C725)&gt;0),"Medium","Low")))</f>
        <v/>
      </c>
      <c r="E725" s="22" t="n"/>
      <c r="F725" s="22" t="n"/>
      <c r="G725" s="22" t="n"/>
      <c r="H725" s="22" t="n"/>
      <c r="I725" s="22" t="n"/>
      <c r="J725" s="22" t="n"/>
      <c r="K725" s="22" t="n"/>
      <c r="L725" s="22" t="n"/>
      <c r="M725" s="22">
        <f>IF(K725="Override",L725,IF(K725="Accept suggestion",F725,IF(K725="No change (same URL)",A725,"")))</f>
        <v/>
      </c>
      <c r="N725" s="22">
        <f>IF(A725="","",IF(K725="410 Gone","410",IF(K725="404","404",IF(K725="No change (same URL)","none",IF(M725="","","301")))))</f>
        <v/>
      </c>
      <c r="O725" s="22">
        <f>IF(A725="","",IFERROR(MID(A725,FIND("/",A725,FIND("//",A725)+2),2000),A725))</f>
        <v/>
      </c>
      <c r="P725" s="22">
        <f>IF(OR(O725="",N725="",N725="none",N725="404"),"",IF(N725="410","Redirect gone "&amp;O725,"Redirect "&amp;N725&amp;" "&amp;O725&amp;" "&amp;M725))</f>
        <v/>
      </c>
      <c r="Q725" s="22" t="n"/>
      <c r="R725" s="22" t="n"/>
      <c r="S725" s="22" t="n"/>
      <c r="T725" s="4">
        <f>IF(A725="","",TRIM(IF(K725="","Needs decision; ","")&amp;IF(AND(K725="Accept suggestion",F725=""),"No suggestion to accept; ","")&amp;IF(AND(K725="Override",L725=""),"Override URL missing; ","")&amp;IF(AND(K725="Accept suggestion",N(G725)&lt;$G$2),"Below your threshold; ","")&amp;IF(AND(M725&lt;&gt;"",M725=A725,K725&lt;&gt;"No change (same URL)"),"Redirects to itself; ","")&amp;IF(AND(M725&lt;&gt;"",OR(M725="/",AND(LEFT(M725,4)="http",OR((LEN(M725)-LEN(SUBSTITUTE(M725,"/","")))=2,AND((LEN(M725)-LEN(SUBSTITUTE(M725,"/","")))=3,RIGHT(M725,1)="/"))))),"Home page redirect; ","")&amp;IF(N(R725)&gt;1,"Chain; ","")&amp;IF(S725="No","Destination not 200; ","")))</f>
        <v/>
      </c>
      <c r="U725" s="22" t="n"/>
      <c r="V725" s="22" t="n"/>
      <c r="W725" s="4" t="n"/>
    </row>
    <row r="726">
      <c r="A726" s="22" t="n"/>
      <c r="B726" s="22" t="n"/>
      <c r="C726" s="22" t="n"/>
      <c r="D726" s="22">
        <f>IF(A726="","",IF(OR(N(B726)&gt;=$C$2,N(C726)&gt;=$E$2),"High",IF(OR(N(B726)&gt;0,N(C726)&gt;0),"Medium","Low")))</f>
        <v/>
      </c>
      <c r="E726" s="22" t="n"/>
      <c r="F726" s="22" t="n"/>
      <c r="G726" s="22" t="n"/>
      <c r="H726" s="22" t="n"/>
      <c r="I726" s="22" t="n"/>
      <c r="J726" s="22" t="n"/>
      <c r="K726" s="22" t="n"/>
      <c r="L726" s="22" t="n"/>
      <c r="M726" s="22">
        <f>IF(K726="Override",L726,IF(K726="Accept suggestion",F726,IF(K726="No change (same URL)",A726,"")))</f>
        <v/>
      </c>
      <c r="N726" s="22">
        <f>IF(A726="","",IF(K726="410 Gone","410",IF(K726="404","404",IF(K726="No change (same URL)","none",IF(M726="","","301")))))</f>
        <v/>
      </c>
      <c r="O726" s="22">
        <f>IF(A726="","",IFERROR(MID(A726,FIND("/",A726,FIND("//",A726)+2),2000),A726))</f>
        <v/>
      </c>
      <c r="P726" s="22">
        <f>IF(OR(O726="",N726="",N726="none",N726="404"),"",IF(N726="410","Redirect gone "&amp;O726,"Redirect "&amp;N726&amp;" "&amp;O726&amp;" "&amp;M726))</f>
        <v/>
      </c>
      <c r="Q726" s="22" t="n"/>
      <c r="R726" s="22" t="n"/>
      <c r="S726" s="22" t="n"/>
      <c r="T726" s="4">
        <f>IF(A726="","",TRIM(IF(K726="","Needs decision; ","")&amp;IF(AND(K726="Accept suggestion",F726=""),"No suggestion to accept; ","")&amp;IF(AND(K726="Override",L726=""),"Override URL missing; ","")&amp;IF(AND(K726="Accept suggestion",N(G726)&lt;$G$2),"Below your threshold; ","")&amp;IF(AND(M726&lt;&gt;"",M726=A726,K726&lt;&gt;"No change (same URL)"),"Redirects to itself; ","")&amp;IF(AND(M726&lt;&gt;"",OR(M726="/",AND(LEFT(M726,4)="http",OR((LEN(M726)-LEN(SUBSTITUTE(M726,"/","")))=2,AND((LEN(M726)-LEN(SUBSTITUTE(M726,"/","")))=3,RIGHT(M726,1)="/"))))),"Home page redirect; ","")&amp;IF(N(R726)&gt;1,"Chain; ","")&amp;IF(S726="No","Destination not 200; ","")))</f>
        <v/>
      </c>
      <c r="U726" s="22" t="n"/>
      <c r="V726" s="22" t="n"/>
      <c r="W726" s="4" t="n"/>
    </row>
    <row r="727">
      <c r="A727" s="22" t="n"/>
      <c r="B727" s="22" t="n"/>
      <c r="C727" s="22" t="n"/>
      <c r="D727" s="22">
        <f>IF(A727="","",IF(OR(N(B727)&gt;=$C$2,N(C727)&gt;=$E$2),"High",IF(OR(N(B727)&gt;0,N(C727)&gt;0),"Medium","Low")))</f>
        <v/>
      </c>
      <c r="E727" s="22" t="n"/>
      <c r="F727" s="22" t="n"/>
      <c r="G727" s="22" t="n"/>
      <c r="H727" s="22" t="n"/>
      <c r="I727" s="22" t="n"/>
      <c r="J727" s="22" t="n"/>
      <c r="K727" s="22" t="n"/>
      <c r="L727" s="22" t="n"/>
      <c r="M727" s="22">
        <f>IF(K727="Override",L727,IF(K727="Accept suggestion",F727,IF(K727="No change (same URL)",A727,"")))</f>
        <v/>
      </c>
      <c r="N727" s="22">
        <f>IF(A727="","",IF(K727="410 Gone","410",IF(K727="404","404",IF(K727="No change (same URL)","none",IF(M727="","","301")))))</f>
        <v/>
      </c>
      <c r="O727" s="22">
        <f>IF(A727="","",IFERROR(MID(A727,FIND("/",A727,FIND("//",A727)+2),2000),A727))</f>
        <v/>
      </c>
      <c r="P727" s="22">
        <f>IF(OR(O727="",N727="",N727="none",N727="404"),"",IF(N727="410","Redirect gone "&amp;O727,"Redirect "&amp;N727&amp;" "&amp;O727&amp;" "&amp;M727))</f>
        <v/>
      </c>
      <c r="Q727" s="22" t="n"/>
      <c r="R727" s="22" t="n"/>
      <c r="S727" s="22" t="n"/>
      <c r="T727" s="4">
        <f>IF(A727="","",TRIM(IF(K727="","Needs decision; ","")&amp;IF(AND(K727="Accept suggestion",F727=""),"No suggestion to accept; ","")&amp;IF(AND(K727="Override",L727=""),"Override URL missing; ","")&amp;IF(AND(K727="Accept suggestion",N(G727)&lt;$G$2),"Below your threshold; ","")&amp;IF(AND(M727&lt;&gt;"",M727=A727,K727&lt;&gt;"No change (same URL)"),"Redirects to itself; ","")&amp;IF(AND(M727&lt;&gt;"",OR(M727="/",AND(LEFT(M727,4)="http",OR((LEN(M727)-LEN(SUBSTITUTE(M727,"/","")))=2,AND((LEN(M727)-LEN(SUBSTITUTE(M727,"/","")))=3,RIGHT(M727,1)="/"))))),"Home page redirect; ","")&amp;IF(N(R727)&gt;1,"Chain; ","")&amp;IF(S727="No","Destination not 200; ","")))</f>
        <v/>
      </c>
      <c r="U727" s="22" t="n"/>
      <c r="V727" s="22" t="n"/>
      <c r="W727" s="4" t="n"/>
    </row>
    <row r="728">
      <c r="A728" s="22" t="n"/>
      <c r="B728" s="22" t="n"/>
      <c r="C728" s="22" t="n"/>
      <c r="D728" s="22">
        <f>IF(A728="","",IF(OR(N(B728)&gt;=$C$2,N(C728)&gt;=$E$2),"High",IF(OR(N(B728)&gt;0,N(C728)&gt;0),"Medium","Low")))</f>
        <v/>
      </c>
      <c r="E728" s="22" t="n"/>
      <c r="F728" s="22" t="n"/>
      <c r="G728" s="22" t="n"/>
      <c r="H728" s="22" t="n"/>
      <c r="I728" s="22" t="n"/>
      <c r="J728" s="22" t="n"/>
      <c r="K728" s="22" t="n"/>
      <c r="L728" s="22" t="n"/>
      <c r="M728" s="22">
        <f>IF(K728="Override",L728,IF(K728="Accept suggestion",F728,IF(K728="No change (same URL)",A728,"")))</f>
        <v/>
      </c>
      <c r="N728" s="22">
        <f>IF(A728="","",IF(K728="410 Gone","410",IF(K728="404","404",IF(K728="No change (same URL)","none",IF(M728="","","301")))))</f>
        <v/>
      </c>
      <c r="O728" s="22">
        <f>IF(A728="","",IFERROR(MID(A728,FIND("/",A728,FIND("//",A728)+2),2000),A728))</f>
        <v/>
      </c>
      <c r="P728" s="22">
        <f>IF(OR(O728="",N728="",N728="none",N728="404"),"",IF(N728="410","Redirect gone "&amp;O728,"Redirect "&amp;N728&amp;" "&amp;O728&amp;" "&amp;M728))</f>
        <v/>
      </c>
      <c r="Q728" s="22" t="n"/>
      <c r="R728" s="22" t="n"/>
      <c r="S728" s="22" t="n"/>
      <c r="T728" s="4">
        <f>IF(A728="","",TRIM(IF(K728="","Needs decision; ","")&amp;IF(AND(K728="Accept suggestion",F728=""),"No suggestion to accept; ","")&amp;IF(AND(K728="Override",L728=""),"Override URL missing; ","")&amp;IF(AND(K728="Accept suggestion",N(G728)&lt;$G$2),"Below your threshold; ","")&amp;IF(AND(M728&lt;&gt;"",M728=A728,K728&lt;&gt;"No change (same URL)"),"Redirects to itself; ","")&amp;IF(AND(M728&lt;&gt;"",OR(M728="/",AND(LEFT(M728,4)="http",OR((LEN(M728)-LEN(SUBSTITUTE(M728,"/","")))=2,AND((LEN(M728)-LEN(SUBSTITUTE(M728,"/","")))=3,RIGHT(M728,1)="/"))))),"Home page redirect; ","")&amp;IF(N(R728)&gt;1,"Chain; ","")&amp;IF(S728="No","Destination not 200; ","")))</f>
        <v/>
      </c>
      <c r="U728" s="22" t="n"/>
      <c r="V728" s="22" t="n"/>
      <c r="W728" s="4" t="n"/>
    </row>
    <row r="729">
      <c r="A729" s="22" t="n"/>
      <c r="B729" s="22" t="n"/>
      <c r="C729" s="22" t="n"/>
      <c r="D729" s="22">
        <f>IF(A729="","",IF(OR(N(B729)&gt;=$C$2,N(C729)&gt;=$E$2),"High",IF(OR(N(B729)&gt;0,N(C729)&gt;0),"Medium","Low")))</f>
        <v/>
      </c>
      <c r="E729" s="22" t="n"/>
      <c r="F729" s="22" t="n"/>
      <c r="G729" s="22" t="n"/>
      <c r="H729" s="22" t="n"/>
      <c r="I729" s="22" t="n"/>
      <c r="J729" s="22" t="n"/>
      <c r="K729" s="22" t="n"/>
      <c r="L729" s="22" t="n"/>
      <c r="M729" s="22">
        <f>IF(K729="Override",L729,IF(K729="Accept suggestion",F729,IF(K729="No change (same URL)",A729,"")))</f>
        <v/>
      </c>
      <c r="N729" s="22">
        <f>IF(A729="","",IF(K729="410 Gone","410",IF(K729="404","404",IF(K729="No change (same URL)","none",IF(M729="","","301")))))</f>
        <v/>
      </c>
      <c r="O729" s="22">
        <f>IF(A729="","",IFERROR(MID(A729,FIND("/",A729,FIND("//",A729)+2),2000),A729))</f>
        <v/>
      </c>
      <c r="P729" s="22">
        <f>IF(OR(O729="",N729="",N729="none",N729="404"),"",IF(N729="410","Redirect gone "&amp;O729,"Redirect "&amp;N729&amp;" "&amp;O729&amp;" "&amp;M729))</f>
        <v/>
      </c>
      <c r="Q729" s="22" t="n"/>
      <c r="R729" s="22" t="n"/>
      <c r="S729" s="22" t="n"/>
      <c r="T729" s="4">
        <f>IF(A729="","",TRIM(IF(K729="","Needs decision; ","")&amp;IF(AND(K729="Accept suggestion",F729=""),"No suggestion to accept; ","")&amp;IF(AND(K729="Override",L729=""),"Override URL missing; ","")&amp;IF(AND(K729="Accept suggestion",N(G729)&lt;$G$2),"Below your threshold; ","")&amp;IF(AND(M729&lt;&gt;"",M729=A729,K729&lt;&gt;"No change (same URL)"),"Redirects to itself; ","")&amp;IF(AND(M729&lt;&gt;"",OR(M729="/",AND(LEFT(M729,4)="http",OR((LEN(M729)-LEN(SUBSTITUTE(M729,"/","")))=2,AND((LEN(M729)-LEN(SUBSTITUTE(M729,"/","")))=3,RIGHT(M729,1)="/"))))),"Home page redirect; ","")&amp;IF(N(R729)&gt;1,"Chain; ","")&amp;IF(S729="No","Destination not 200; ","")))</f>
        <v/>
      </c>
      <c r="U729" s="22" t="n"/>
      <c r="V729" s="22" t="n"/>
      <c r="W729" s="4" t="n"/>
    </row>
    <row r="730">
      <c r="A730" s="22" t="n"/>
      <c r="B730" s="22" t="n"/>
      <c r="C730" s="22" t="n"/>
      <c r="D730" s="22">
        <f>IF(A730="","",IF(OR(N(B730)&gt;=$C$2,N(C730)&gt;=$E$2),"High",IF(OR(N(B730)&gt;0,N(C730)&gt;0),"Medium","Low")))</f>
        <v/>
      </c>
      <c r="E730" s="22" t="n"/>
      <c r="F730" s="22" t="n"/>
      <c r="G730" s="22" t="n"/>
      <c r="H730" s="22" t="n"/>
      <c r="I730" s="22" t="n"/>
      <c r="J730" s="22" t="n"/>
      <c r="K730" s="22" t="n"/>
      <c r="L730" s="22" t="n"/>
      <c r="M730" s="22">
        <f>IF(K730="Override",L730,IF(K730="Accept suggestion",F730,IF(K730="No change (same URL)",A730,"")))</f>
        <v/>
      </c>
      <c r="N730" s="22">
        <f>IF(A730="","",IF(K730="410 Gone","410",IF(K730="404","404",IF(K730="No change (same URL)","none",IF(M730="","","301")))))</f>
        <v/>
      </c>
      <c r="O730" s="22">
        <f>IF(A730="","",IFERROR(MID(A730,FIND("/",A730,FIND("//",A730)+2),2000),A730))</f>
        <v/>
      </c>
      <c r="P730" s="22">
        <f>IF(OR(O730="",N730="",N730="none",N730="404"),"",IF(N730="410","Redirect gone "&amp;O730,"Redirect "&amp;N730&amp;" "&amp;O730&amp;" "&amp;M730))</f>
        <v/>
      </c>
      <c r="Q730" s="22" t="n"/>
      <c r="R730" s="22" t="n"/>
      <c r="S730" s="22" t="n"/>
      <c r="T730" s="4">
        <f>IF(A730="","",TRIM(IF(K730="","Needs decision; ","")&amp;IF(AND(K730="Accept suggestion",F730=""),"No suggestion to accept; ","")&amp;IF(AND(K730="Override",L730=""),"Override URL missing; ","")&amp;IF(AND(K730="Accept suggestion",N(G730)&lt;$G$2),"Below your threshold; ","")&amp;IF(AND(M730&lt;&gt;"",M730=A730,K730&lt;&gt;"No change (same URL)"),"Redirects to itself; ","")&amp;IF(AND(M730&lt;&gt;"",OR(M730="/",AND(LEFT(M730,4)="http",OR((LEN(M730)-LEN(SUBSTITUTE(M730,"/","")))=2,AND((LEN(M730)-LEN(SUBSTITUTE(M730,"/","")))=3,RIGHT(M730,1)="/"))))),"Home page redirect; ","")&amp;IF(N(R730)&gt;1,"Chain; ","")&amp;IF(S730="No","Destination not 200; ","")))</f>
        <v/>
      </c>
      <c r="U730" s="22" t="n"/>
      <c r="V730" s="22" t="n"/>
      <c r="W730" s="4" t="n"/>
    </row>
    <row r="731">
      <c r="A731" s="22" t="n"/>
      <c r="B731" s="22" t="n"/>
      <c r="C731" s="22" t="n"/>
      <c r="D731" s="22">
        <f>IF(A731="","",IF(OR(N(B731)&gt;=$C$2,N(C731)&gt;=$E$2),"High",IF(OR(N(B731)&gt;0,N(C731)&gt;0),"Medium","Low")))</f>
        <v/>
      </c>
      <c r="E731" s="22" t="n"/>
      <c r="F731" s="22" t="n"/>
      <c r="G731" s="22" t="n"/>
      <c r="H731" s="22" t="n"/>
      <c r="I731" s="22" t="n"/>
      <c r="J731" s="22" t="n"/>
      <c r="K731" s="22" t="n"/>
      <c r="L731" s="22" t="n"/>
      <c r="M731" s="22">
        <f>IF(K731="Override",L731,IF(K731="Accept suggestion",F731,IF(K731="No change (same URL)",A731,"")))</f>
        <v/>
      </c>
      <c r="N731" s="22">
        <f>IF(A731="","",IF(K731="410 Gone","410",IF(K731="404","404",IF(K731="No change (same URL)","none",IF(M731="","","301")))))</f>
        <v/>
      </c>
      <c r="O731" s="22">
        <f>IF(A731="","",IFERROR(MID(A731,FIND("/",A731,FIND("//",A731)+2),2000),A731))</f>
        <v/>
      </c>
      <c r="P731" s="22">
        <f>IF(OR(O731="",N731="",N731="none",N731="404"),"",IF(N731="410","Redirect gone "&amp;O731,"Redirect "&amp;N731&amp;" "&amp;O731&amp;" "&amp;M731))</f>
        <v/>
      </c>
      <c r="Q731" s="22" t="n"/>
      <c r="R731" s="22" t="n"/>
      <c r="S731" s="22" t="n"/>
      <c r="T731" s="4">
        <f>IF(A731="","",TRIM(IF(K731="","Needs decision; ","")&amp;IF(AND(K731="Accept suggestion",F731=""),"No suggestion to accept; ","")&amp;IF(AND(K731="Override",L731=""),"Override URL missing; ","")&amp;IF(AND(K731="Accept suggestion",N(G731)&lt;$G$2),"Below your threshold; ","")&amp;IF(AND(M731&lt;&gt;"",M731=A731,K731&lt;&gt;"No change (same URL)"),"Redirects to itself; ","")&amp;IF(AND(M731&lt;&gt;"",OR(M731="/",AND(LEFT(M731,4)="http",OR((LEN(M731)-LEN(SUBSTITUTE(M731,"/","")))=2,AND((LEN(M731)-LEN(SUBSTITUTE(M731,"/","")))=3,RIGHT(M731,1)="/"))))),"Home page redirect; ","")&amp;IF(N(R731)&gt;1,"Chain; ","")&amp;IF(S731="No","Destination not 200; ","")))</f>
        <v/>
      </c>
      <c r="U731" s="22" t="n"/>
      <c r="V731" s="22" t="n"/>
      <c r="W731" s="4" t="n"/>
    </row>
    <row r="732">
      <c r="A732" s="22" t="n"/>
      <c r="B732" s="22" t="n"/>
      <c r="C732" s="22" t="n"/>
      <c r="D732" s="22">
        <f>IF(A732="","",IF(OR(N(B732)&gt;=$C$2,N(C732)&gt;=$E$2),"High",IF(OR(N(B732)&gt;0,N(C732)&gt;0),"Medium","Low")))</f>
        <v/>
      </c>
      <c r="E732" s="22" t="n"/>
      <c r="F732" s="22" t="n"/>
      <c r="G732" s="22" t="n"/>
      <c r="H732" s="22" t="n"/>
      <c r="I732" s="22" t="n"/>
      <c r="J732" s="22" t="n"/>
      <c r="K732" s="22" t="n"/>
      <c r="L732" s="22" t="n"/>
      <c r="M732" s="22">
        <f>IF(K732="Override",L732,IF(K732="Accept suggestion",F732,IF(K732="No change (same URL)",A732,"")))</f>
        <v/>
      </c>
      <c r="N732" s="22">
        <f>IF(A732="","",IF(K732="410 Gone","410",IF(K732="404","404",IF(K732="No change (same URL)","none",IF(M732="","","301")))))</f>
        <v/>
      </c>
      <c r="O732" s="22">
        <f>IF(A732="","",IFERROR(MID(A732,FIND("/",A732,FIND("//",A732)+2),2000),A732))</f>
        <v/>
      </c>
      <c r="P732" s="22">
        <f>IF(OR(O732="",N732="",N732="none",N732="404"),"",IF(N732="410","Redirect gone "&amp;O732,"Redirect "&amp;N732&amp;" "&amp;O732&amp;" "&amp;M732))</f>
        <v/>
      </c>
      <c r="Q732" s="22" t="n"/>
      <c r="R732" s="22" t="n"/>
      <c r="S732" s="22" t="n"/>
      <c r="T732" s="4">
        <f>IF(A732="","",TRIM(IF(K732="","Needs decision; ","")&amp;IF(AND(K732="Accept suggestion",F732=""),"No suggestion to accept; ","")&amp;IF(AND(K732="Override",L732=""),"Override URL missing; ","")&amp;IF(AND(K732="Accept suggestion",N(G732)&lt;$G$2),"Below your threshold; ","")&amp;IF(AND(M732&lt;&gt;"",M732=A732,K732&lt;&gt;"No change (same URL)"),"Redirects to itself; ","")&amp;IF(AND(M732&lt;&gt;"",OR(M732="/",AND(LEFT(M732,4)="http",OR((LEN(M732)-LEN(SUBSTITUTE(M732,"/","")))=2,AND((LEN(M732)-LEN(SUBSTITUTE(M732,"/","")))=3,RIGHT(M732,1)="/"))))),"Home page redirect; ","")&amp;IF(N(R732)&gt;1,"Chain; ","")&amp;IF(S732="No","Destination not 200; ","")))</f>
        <v/>
      </c>
      <c r="U732" s="22" t="n"/>
      <c r="V732" s="22" t="n"/>
      <c r="W732" s="4" t="n"/>
    </row>
    <row r="733">
      <c r="A733" s="22" t="n"/>
      <c r="B733" s="22" t="n"/>
      <c r="C733" s="22" t="n"/>
      <c r="D733" s="22">
        <f>IF(A733="","",IF(OR(N(B733)&gt;=$C$2,N(C733)&gt;=$E$2),"High",IF(OR(N(B733)&gt;0,N(C733)&gt;0),"Medium","Low")))</f>
        <v/>
      </c>
      <c r="E733" s="22" t="n"/>
      <c r="F733" s="22" t="n"/>
      <c r="G733" s="22" t="n"/>
      <c r="H733" s="22" t="n"/>
      <c r="I733" s="22" t="n"/>
      <c r="J733" s="22" t="n"/>
      <c r="K733" s="22" t="n"/>
      <c r="L733" s="22" t="n"/>
      <c r="M733" s="22">
        <f>IF(K733="Override",L733,IF(K733="Accept suggestion",F733,IF(K733="No change (same URL)",A733,"")))</f>
        <v/>
      </c>
      <c r="N733" s="22">
        <f>IF(A733="","",IF(K733="410 Gone","410",IF(K733="404","404",IF(K733="No change (same URL)","none",IF(M733="","","301")))))</f>
        <v/>
      </c>
      <c r="O733" s="22">
        <f>IF(A733="","",IFERROR(MID(A733,FIND("/",A733,FIND("//",A733)+2),2000),A733))</f>
        <v/>
      </c>
      <c r="P733" s="22">
        <f>IF(OR(O733="",N733="",N733="none",N733="404"),"",IF(N733="410","Redirect gone "&amp;O733,"Redirect "&amp;N733&amp;" "&amp;O733&amp;" "&amp;M733))</f>
        <v/>
      </c>
      <c r="Q733" s="22" t="n"/>
      <c r="R733" s="22" t="n"/>
      <c r="S733" s="22" t="n"/>
      <c r="T733" s="4">
        <f>IF(A733="","",TRIM(IF(K733="","Needs decision; ","")&amp;IF(AND(K733="Accept suggestion",F733=""),"No suggestion to accept; ","")&amp;IF(AND(K733="Override",L733=""),"Override URL missing; ","")&amp;IF(AND(K733="Accept suggestion",N(G733)&lt;$G$2),"Below your threshold; ","")&amp;IF(AND(M733&lt;&gt;"",M733=A733,K733&lt;&gt;"No change (same URL)"),"Redirects to itself; ","")&amp;IF(AND(M733&lt;&gt;"",OR(M733="/",AND(LEFT(M733,4)="http",OR((LEN(M733)-LEN(SUBSTITUTE(M733,"/","")))=2,AND((LEN(M733)-LEN(SUBSTITUTE(M733,"/","")))=3,RIGHT(M733,1)="/"))))),"Home page redirect; ","")&amp;IF(N(R733)&gt;1,"Chain; ","")&amp;IF(S733="No","Destination not 200; ","")))</f>
        <v/>
      </c>
      <c r="U733" s="22" t="n"/>
      <c r="V733" s="22" t="n"/>
      <c r="W733" s="4" t="n"/>
    </row>
    <row r="734">
      <c r="A734" s="22" t="n"/>
      <c r="B734" s="22" t="n"/>
      <c r="C734" s="22" t="n"/>
      <c r="D734" s="22">
        <f>IF(A734="","",IF(OR(N(B734)&gt;=$C$2,N(C734)&gt;=$E$2),"High",IF(OR(N(B734)&gt;0,N(C734)&gt;0),"Medium","Low")))</f>
        <v/>
      </c>
      <c r="E734" s="22" t="n"/>
      <c r="F734" s="22" t="n"/>
      <c r="G734" s="22" t="n"/>
      <c r="H734" s="22" t="n"/>
      <c r="I734" s="22" t="n"/>
      <c r="J734" s="22" t="n"/>
      <c r="K734" s="22" t="n"/>
      <c r="L734" s="22" t="n"/>
      <c r="M734" s="22">
        <f>IF(K734="Override",L734,IF(K734="Accept suggestion",F734,IF(K734="No change (same URL)",A734,"")))</f>
        <v/>
      </c>
      <c r="N734" s="22">
        <f>IF(A734="","",IF(K734="410 Gone","410",IF(K734="404","404",IF(K734="No change (same URL)","none",IF(M734="","","301")))))</f>
        <v/>
      </c>
      <c r="O734" s="22">
        <f>IF(A734="","",IFERROR(MID(A734,FIND("/",A734,FIND("//",A734)+2),2000),A734))</f>
        <v/>
      </c>
      <c r="P734" s="22">
        <f>IF(OR(O734="",N734="",N734="none",N734="404"),"",IF(N734="410","Redirect gone "&amp;O734,"Redirect "&amp;N734&amp;" "&amp;O734&amp;" "&amp;M734))</f>
        <v/>
      </c>
      <c r="Q734" s="22" t="n"/>
      <c r="R734" s="22" t="n"/>
      <c r="S734" s="22" t="n"/>
      <c r="T734" s="4">
        <f>IF(A734="","",TRIM(IF(K734="","Needs decision; ","")&amp;IF(AND(K734="Accept suggestion",F734=""),"No suggestion to accept; ","")&amp;IF(AND(K734="Override",L734=""),"Override URL missing; ","")&amp;IF(AND(K734="Accept suggestion",N(G734)&lt;$G$2),"Below your threshold; ","")&amp;IF(AND(M734&lt;&gt;"",M734=A734,K734&lt;&gt;"No change (same URL)"),"Redirects to itself; ","")&amp;IF(AND(M734&lt;&gt;"",OR(M734="/",AND(LEFT(M734,4)="http",OR((LEN(M734)-LEN(SUBSTITUTE(M734,"/","")))=2,AND((LEN(M734)-LEN(SUBSTITUTE(M734,"/","")))=3,RIGHT(M734,1)="/"))))),"Home page redirect; ","")&amp;IF(N(R734)&gt;1,"Chain; ","")&amp;IF(S734="No","Destination not 200; ","")))</f>
        <v/>
      </c>
      <c r="U734" s="22" t="n"/>
      <c r="V734" s="22" t="n"/>
      <c r="W734" s="4" t="n"/>
    </row>
    <row r="735">
      <c r="A735" s="22" t="n"/>
      <c r="B735" s="22" t="n"/>
      <c r="C735" s="22" t="n"/>
      <c r="D735" s="22">
        <f>IF(A735="","",IF(OR(N(B735)&gt;=$C$2,N(C735)&gt;=$E$2),"High",IF(OR(N(B735)&gt;0,N(C735)&gt;0),"Medium","Low")))</f>
        <v/>
      </c>
      <c r="E735" s="22" t="n"/>
      <c r="F735" s="22" t="n"/>
      <c r="G735" s="22" t="n"/>
      <c r="H735" s="22" t="n"/>
      <c r="I735" s="22" t="n"/>
      <c r="J735" s="22" t="n"/>
      <c r="K735" s="22" t="n"/>
      <c r="L735" s="22" t="n"/>
      <c r="M735" s="22">
        <f>IF(K735="Override",L735,IF(K735="Accept suggestion",F735,IF(K735="No change (same URL)",A735,"")))</f>
        <v/>
      </c>
      <c r="N735" s="22">
        <f>IF(A735="","",IF(K735="410 Gone","410",IF(K735="404","404",IF(K735="No change (same URL)","none",IF(M735="","","301")))))</f>
        <v/>
      </c>
      <c r="O735" s="22">
        <f>IF(A735="","",IFERROR(MID(A735,FIND("/",A735,FIND("//",A735)+2),2000),A735))</f>
        <v/>
      </c>
      <c r="P735" s="22">
        <f>IF(OR(O735="",N735="",N735="none",N735="404"),"",IF(N735="410","Redirect gone "&amp;O735,"Redirect "&amp;N735&amp;" "&amp;O735&amp;" "&amp;M735))</f>
        <v/>
      </c>
      <c r="Q735" s="22" t="n"/>
      <c r="R735" s="22" t="n"/>
      <c r="S735" s="22" t="n"/>
      <c r="T735" s="4">
        <f>IF(A735="","",TRIM(IF(K735="","Needs decision; ","")&amp;IF(AND(K735="Accept suggestion",F735=""),"No suggestion to accept; ","")&amp;IF(AND(K735="Override",L735=""),"Override URL missing; ","")&amp;IF(AND(K735="Accept suggestion",N(G735)&lt;$G$2),"Below your threshold; ","")&amp;IF(AND(M735&lt;&gt;"",M735=A735,K735&lt;&gt;"No change (same URL)"),"Redirects to itself; ","")&amp;IF(AND(M735&lt;&gt;"",OR(M735="/",AND(LEFT(M735,4)="http",OR((LEN(M735)-LEN(SUBSTITUTE(M735,"/","")))=2,AND((LEN(M735)-LEN(SUBSTITUTE(M735,"/","")))=3,RIGHT(M735,1)="/"))))),"Home page redirect; ","")&amp;IF(N(R735)&gt;1,"Chain; ","")&amp;IF(S735="No","Destination not 200; ","")))</f>
        <v/>
      </c>
      <c r="U735" s="22" t="n"/>
      <c r="V735" s="22" t="n"/>
      <c r="W735" s="4" t="n"/>
    </row>
    <row r="736">
      <c r="A736" s="22" t="n"/>
      <c r="B736" s="22" t="n"/>
      <c r="C736" s="22" t="n"/>
      <c r="D736" s="22">
        <f>IF(A736="","",IF(OR(N(B736)&gt;=$C$2,N(C736)&gt;=$E$2),"High",IF(OR(N(B736)&gt;0,N(C736)&gt;0),"Medium","Low")))</f>
        <v/>
      </c>
      <c r="E736" s="22" t="n"/>
      <c r="F736" s="22" t="n"/>
      <c r="G736" s="22" t="n"/>
      <c r="H736" s="22" t="n"/>
      <c r="I736" s="22" t="n"/>
      <c r="J736" s="22" t="n"/>
      <c r="K736" s="22" t="n"/>
      <c r="L736" s="22" t="n"/>
      <c r="M736" s="22">
        <f>IF(K736="Override",L736,IF(K736="Accept suggestion",F736,IF(K736="No change (same URL)",A736,"")))</f>
        <v/>
      </c>
      <c r="N736" s="22">
        <f>IF(A736="","",IF(K736="410 Gone","410",IF(K736="404","404",IF(K736="No change (same URL)","none",IF(M736="","","301")))))</f>
        <v/>
      </c>
      <c r="O736" s="22">
        <f>IF(A736="","",IFERROR(MID(A736,FIND("/",A736,FIND("//",A736)+2),2000),A736))</f>
        <v/>
      </c>
      <c r="P736" s="22">
        <f>IF(OR(O736="",N736="",N736="none",N736="404"),"",IF(N736="410","Redirect gone "&amp;O736,"Redirect "&amp;N736&amp;" "&amp;O736&amp;" "&amp;M736))</f>
        <v/>
      </c>
      <c r="Q736" s="22" t="n"/>
      <c r="R736" s="22" t="n"/>
      <c r="S736" s="22" t="n"/>
      <c r="T736" s="4">
        <f>IF(A736="","",TRIM(IF(K736="","Needs decision; ","")&amp;IF(AND(K736="Accept suggestion",F736=""),"No suggestion to accept; ","")&amp;IF(AND(K736="Override",L736=""),"Override URL missing; ","")&amp;IF(AND(K736="Accept suggestion",N(G736)&lt;$G$2),"Below your threshold; ","")&amp;IF(AND(M736&lt;&gt;"",M736=A736,K736&lt;&gt;"No change (same URL)"),"Redirects to itself; ","")&amp;IF(AND(M736&lt;&gt;"",OR(M736="/",AND(LEFT(M736,4)="http",OR((LEN(M736)-LEN(SUBSTITUTE(M736,"/","")))=2,AND((LEN(M736)-LEN(SUBSTITUTE(M736,"/","")))=3,RIGHT(M736,1)="/"))))),"Home page redirect; ","")&amp;IF(N(R736)&gt;1,"Chain; ","")&amp;IF(S736="No","Destination not 200; ","")))</f>
        <v/>
      </c>
      <c r="U736" s="22" t="n"/>
      <c r="V736" s="22" t="n"/>
      <c r="W736" s="4" t="n"/>
    </row>
    <row r="737">
      <c r="A737" s="22" t="n"/>
      <c r="B737" s="22" t="n"/>
      <c r="C737" s="22" t="n"/>
      <c r="D737" s="22">
        <f>IF(A737="","",IF(OR(N(B737)&gt;=$C$2,N(C737)&gt;=$E$2),"High",IF(OR(N(B737)&gt;0,N(C737)&gt;0),"Medium","Low")))</f>
        <v/>
      </c>
      <c r="E737" s="22" t="n"/>
      <c r="F737" s="22" t="n"/>
      <c r="G737" s="22" t="n"/>
      <c r="H737" s="22" t="n"/>
      <c r="I737" s="22" t="n"/>
      <c r="J737" s="22" t="n"/>
      <c r="K737" s="22" t="n"/>
      <c r="L737" s="22" t="n"/>
      <c r="M737" s="22">
        <f>IF(K737="Override",L737,IF(K737="Accept suggestion",F737,IF(K737="No change (same URL)",A737,"")))</f>
        <v/>
      </c>
      <c r="N737" s="22">
        <f>IF(A737="","",IF(K737="410 Gone","410",IF(K737="404","404",IF(K737="No change (same URL)","none",IF(M737="","","301")))))</f>
        <v/>
      </c>
      <c r="O737" s="22">
        <f>IF(A737="","",IFERROR(MID(A737,FIND("/",A737,FIND("//",A737)+2),2000),A737))</f>
        <v/>
      </c>
      <c r="P737" s="22">
        <f>IF(OR(O737="",N737="",N737="none",N737="404"),"",IF(N737="410","Redirect gone "&amp;O737,"Redirect "&amp;N737&amp;" "&amp;O737&amp;" "&amp;M737))</f>
        <v/>
      </c>
      <c r="Q737" s="22" t="n"/>
      <c r="R737" s="22" t="n"/>
      <c r="S737" s="22" t="n"/>
      <c r="T737" s="4">
        <f>IF(A737="","",TRIM(IF(K737="","Needs decision; ","")&amp;IF(AND(K737="Accept suggestion",F737=""),"No suggestion to accept; ","")&amp;IF(AND(K737="Override",L737=""),"Override URL missing; ","")&amp;IF(AND(K737="Accept suggestion",N(G737)&lt;$G$2),"Below your threshold; ","")&amp;IF(AND(M737&lt;&gt;"",M737=A737,K737&lt;&gt;"No change (same URL)"),"Redirects to itself; ","")&amp;IF(AND(M737&lt;&gt;"",OR(M737="/",AND(LEFT(M737,4)="http",OR((LEN(M737)-LEN(SUBSTITUTE(M737,"/","")))=2,AND((LEN(M737)-LEN(SUBSTITUTE(M737,"/","")))=3,RIGHT(M737,1)="/"))))),"Home page redirect; ","")&amp;IF(N(R737)&gt;1,"Chain; ","")&amp;IF(S737="No","Destination not 200; ","")))</f>
        <v/>
      </c>
      <c r="U737" s="22" t="n"/>
      <c r="V737" s="22" t="n"/>
      <c r="W737" s="4" t="n"/>
    </row>
    <row r="738">
      <c r="A738" s="22" t="n"/>
      <c r="B738" s="22" t="n"/>
      <c r="C738" s="22" t="n"/>
      <c r="D738" s="22">
        <f>IF(A738="","",IF(OR(N(B738)&gt;=$C$2,N(C738)&gt;=$E$2),"High",IF(OR(N(B738)&gt;0,N(C738)&gt;0),"Medium","Low")))</f>
        <v/>
      </c>
      <c r="E738" s="22" t="n"/>
      <c r="F738" s="22" t="n"/>
      <c r="G738" s="22" t="n"/>
      <c r="H738" s="22" t="n"/>
      <c r="I738" s="22" t="n"/>
      <c r="J738" s="22" t="n"/>
      <c r="K738" s="22" t="n"/>
      <c r="L738" s="22" t="n"/>
      <c r="M738" s="22">
        <f>IF(K738="Override",L738,IF(K738="Accept suggestion",F738,IF(K738="No change (same URL)",A738,"")))</f>
        <v/>
      </c>
      <c r="N738" s="22">
        <f>IF(A738="","",IF(K738="410 Gone","410",IF(K738="404","404",IF(K738="No change (same URL)","none",IF(M738="","","301")))))</f>
        <v/>
      </c>
      <c r="O738" s="22">
        <f>IF(A738="","",IFERROR(MID(A738,FIND("/",A738,FIND("//",A738)+2),2000),A738))</f>
        <v/>
      </c>
      <c r="P738" s="22">
        <f>IF(OR(O738="",N738="",N738="none",N738="404"),"",IF(N738="410","Redirect gone "&amp;O738,"Redirect "&amp;N738&amp;" "&amp;O738&amp;" "&amp;M738))</f>
        <v/>
      </c>
      <c r="Q738" s="22" t="n"/>
      <c r="R738" s="22" t="n"/>
      <c r="S738" s="22" t="n"/>
      <c r="T738" s="4">
        <f>IF(A738="","",TRIM(IF(K738="","Needs decision; ","")&amp;IF(AND(K738="Accept suggestion",F738=""),"No suggestion to accept; ","")&amp;IF(AND(K738="Override",L738=""),"Override URL missing; ","")&amp;IF(AND(K738="Accept suggestion",N(G738)&lt;$G$2),"Below your threshold; ","")&amp;IF(AND(M738&lt;&gt;"",M738=A738,K738&lt;&gt;"No change (same URL)"),"Redirects to itself; ","")&amp;IF(AND(M738&lt;&gt;"",OR(M738="/",AND(LEFT(M738,4)="http",OR((LEN(M738)-LEN(SUBSTITUTE(M738,"/","")))=2,AND((LEN(M738)-LEN(SUBSTITUTE(M738,"/","")))=3,RIGHT(M738,1)="/"))))),"Home page redirect; ","")&amp;IF(N(R738)&gt;1,"Chain; ","")&amp;IF(S738="No","Destination not 200; ","")))</f>
        <v/>
      </c>
      <c r="U738" s="22" t="n"/>
      <c r="V738" s="22" t="n"/>
      <c r="W738" s="4" t="n"/>
    </row>
    <row r="739">
      <c r="A739" s="22" t="n"/>
      <c r="B739" s="22" t="n"/>
      <c r="C739" s="22" t="n"/>
      <c r="D739" s="22">
        <f>IF(A739="","",IF(OR(N(B739)&gt;=$C$2,N(C739)&gt;=$E$2),"High",IF(OR(N(B739)&gt;0,N(C739)&gt;0),"Medium","Low")))</f>
        <v/>
      </c>
      <c r="E739" s="22" t="n"/>
      <c r="F739" s="22" t="n"/>
      <c r="G739" s="22" t="n"/>
      <c r="H739" s="22" t="n"/>
      <c r="I739" s="22" t="n"/>
      <c r="J739" s="22" t="n"/>
      <c r="K739" s="22" t="n"/>
      <c r="L739" s="22" t="n"/>
      <c r="M739" s="22">
        <f>IF(K739="Override",L739,IF(K739="Accept suggestion",F739,IF(K739="No change (same URL)",A739,"")))</f>
        <v/>
      </c>
      <c r="N739" s="22">
        <f>IF(A739="","",IF(K739="410 Gone","410",IF(K739="404","404",IF(K739="No change (same URL)","none",IF(M739="","","301")))))</f>
        <v/>
      </c>
      <c r="O739" s="22">
        <f>IF(A739="","",IFERROR(MID(A739,FIND("/",A739,FIND("//",A739)+2),2000),A739))</f>
        <v/>
      </c>
      <c r="P739" s="22">
        <f>IF(OR(O739="",N739="",N739="none",N739="404"),"",IF(N739="410","Redirect gone "&amp;O739,"Redirect "&amp;N739&amp;" "&amp;O739&amp;" "&amp;M739))</f>
        <v/>
      </c>
      <c r="Q739" s="22" t="n"/>
      <c r="R739" s="22" t="n"/>
      <c r="S739" s="22" t="n"/>
      <c r="T739" s="4">
        <f>IF(A739="","",TRIM(IF(K739="","Needs decision; ","")&amp;IF(AND(K739="Accept suggestion",F739=""),"No suggestion to accept; ","")&amp;IF(AND(K739="Override",L739=""),"Override URL missing; ","")&amp;IF(AND(K739="Accept suggestion",N(G739)&lt;$G$2),"Below your threshold; ","")&amp;IF(AND(M739&lt;&gt;"",M739=A739,K739&lt;&gt;"No change (same URL)"),"Redirects to itself; ","")&amp;IF(AND(M739&lt;&gt;"",OR(M739="/",AND(LEFT(M739,4)="http",OR((LEN(M739)-LEN(SUBSTITUTE(M739,"/","")))=2,AND((LEN(M739)-LEN(SUBSTITUTE(M739,"/","")))=3,RIGHT(M739,1)="/"))))),"Home page redirect; ","")&amp;IF(N(R739)&gt;1,"Chain; ","")&amp;IF(S739="No","Destination not 200; ","")))</f>
        <v/>
      </c>
      <c r="U739" s="22" t="n"/>
      <c r="V739" s="22" t="n"/>
      <c r="W739" s="4" t="n"/>
    </row>
    <row r="740">
      <c r="A740" s="22" t="n"/>
      <c r="B740" s="22" t="n"/>
      <c r="C740" s="22" t="n"/>
      <c r="D740" s="22">
        <f>IF(A740="","",IF(OR(N(B740)&gt;=$C$2,N(C740)&gt;=$E$2),"High",IF(OR(N(B740)&gt;0,N(C740)&gt;0),"Medium","Low")))</f>
        <v/>
      </c>
      <c r="E740" s="22" t="n"/>
      <c r="F740" s="22" t="n"/>
      <c r="G740" s="22" t="n"/>
      <c r="H740" s="22" t="n"/>
      <c r="I740" s="22" t="n"/>
      <c r="J740" s="22" t="n"/>
      <c r="K740" s="22" t="n"/>
      <c r="L740" s="22" t="n"/>
      <c r="M740" s="22">
        <f>IF(K740="Override",L740,IF(K740="Accept suggestion",F740,IF(K740="No change (same URL)",A740,"")))</f>
        <v/>
      </c>
      <c r="N740" s="22">
        <f>IF(A740="","",IF(K740="410 Gone","410",IF(K740="404","404",IF(K740="No change (same URL)","none",IF(M740="","","301")))))</f>
        <v/>
      </c>
      <c r="O740" s="22">
        <f>IF(A740="","",IFERROR(MID(A740,FIND("/",A740,FIND("//",A740)+2),2000),A740))</f>
        <v/>
      </c>
      <c r="P740" s="22">
        <f>IF(OR(O740="",N740="",N740="none",N740="404"),"",IF(N740="410","Redirect gone "&amp;O740,"Redirect "&amp;N740&amp;" "&amp;O740&amp;" "&amp;M740))</f>
        <v/>
      </c>
      <c r="Q740" s="22" t="n"/>
      <c r="R740" s="22" t="n"/>
      <c r="S740" s="22" t="n"/>
      <c r="T740" s="4">
        <f>IF(A740="","",TRIM(IF(K740="","Needs decision; ","")&amp;IF(AND(K740="Accept suggestion",F740=""),"No suggestion to accept; ","")&amp;IF(AND(K740="Override",L740=""),"Override URL missing; ","")&amp;IF(AND(K740="Accept suggestion",N(G740)&lt;$G$2),"Below your threshold; ","")&amp;IF(AND(M740&lt;&gt;"",M740=A740,K740&lt;&gt;"No change (same URL)"),"Redirects to itself; ","")&amp;IF(AND(M740&lt;&gt;"",OR(M740="/",AND(LEFT(M740,4)="http",OR((LEN(M740)-LEN(SUBSTITUTE(M740,"/","")))=2,AND((LEN(M740)-LEN(SUBSTITUTE(M740,"/","")))=3,RIGHT(M740,1)="/"))))),"Home page redirect; ","")&amp;IF(N(R740)&gt;1,"Chain; ","")&amp;IF(S740="No","Destination not 200; ","")))</f>
        <v/>
      </c>
      <c r="U740" s="22" t="n"/>
      <c r="V740" s="22" t="n"/>
      <c r="W740" s="4" t="n"/>
    </row>
    <row r="741">
      <c r="A741" s="22" t="n"/>
      <c r="B741" s="22" t="n"/>
      <c r="C741" s="22" t="n"/>
      <c r="D741" s="22">
        <f>IF(A741="","",IF(OR(N(B741)&gt;=$C$2,N(C741)&gt;=$E$2),"High",IF(OR(N(B741)&gt;0,N(C741)&gt;0),"Medium","Low")))</f>
        <v/>
      </c>
      <c r="E741" s="22" t="n"/>
      <c r="F741" s="22" t="n"/>
      <c r="G741" s="22" t="n"/>
      <c r="H741" s="22" t="n"/>
      <c r="I741" s="22" t="n"/>
      <c r="J741" s="22" t="n"/>
      <c r="K741" s="22" t="n"/>
      <c r="L741" s="22" t="n"/>
      <c r="M741" s="22">
        <f>IF(K741="Override",L741,IF(K741="Accept suggestion",F741,IF(K741="No change (same URL)",A741,"")))</f>
        <v/>
      </c>
      <c r="N741" s="22">
        <f>IF(A741="","",IF(K741="410 Gone","410",IF(K741="404","404",IF(K741="No change (same URL)","none",IF(M741="","","301")))))</f>
        <v/>
      </c>
      <c r="O741" s="22">
        <f>IF(A741="","",IFERROR(MID(A741,FIND("/",A741,FIND("//",A741)+2),2000),A741))</f>
        <v/>
      </c>
      <c r="P741" s="22">
        <f>IF(OR(O741="",N741="",N741="none",N741="404"),"",IF(N741="410","Redirect gone "&amp;O741,"Redirect "&amp;N741&amp;" "&amp;O741&amp;" "&amp;M741))</f>
        <v/>
      </c>
      <c r="Q741" s="22" t="n"/>
      <c r="R741" s="22" t="n"/>
      <c r="S741" s="22" t="n"/>
      <c r="T741" s="4">
        <f>IF(A741="","",TRIM(IF(K741="","Needs decision; ","")&amp;IF(AND(K741="Accept suggestion",F741=""),"No suggestion to accept; ","")&amp;IF(AND(K741="Override",L741=""),"Override URL missing; ","")&amp;IF(AND(K741="Accept suggestion",N(G741)&lt;$G$2),"Below your threshold; ","")&amp;IF(AND(M741&lt;&gt;"",M741=A741,K741&lt;&gt;"No change (same URL)"),"Redirects to itself; ","")&amp;IF(AND(M741&lt;&gt;"",OR(M741="/",AND(LEFT(M741,4)="http",OR((LEN(M741)-LEN(SUBSTITUTE(M741,"/","")))=2,AND((LEN(M741)-LEN(SUBSTITUTE(M741,"/","")))=3,RIGHT(M741,1)="/"))))),"Home page redirect; ","")&amp;IF(N(R741)&gt;1,"Chain; ","")&amp;IF(S741="No","Destination not 200; ","")))</f>
        <v/>
      </c>
      <c r="U741" s="22" t="n"/>
      <c r="V741" s="22" t="n"/>
      <c r="W741" s="4" t="n"/>
    </row>
    <row r="742">
      <c r="A742" s="22" t="n"/>
      <c r="B742" s="22" t="n"/>
      <c r="C742" s="22" t="n"/>
      <c r="D742" s="22">
        <f>IF(A742="","",IF(OR(N(B742)&gt;=$C$2,N(C742)&gt;=$E$2),"High",IF(OR(N(B742)&gt;0,N(C742)&gt;0),"Medium","Low")))</f>
        <v/>
      </c>
      <c r="E742" s="22" t="n"/>
      <c r="F742" s="22" t="n"/>
      <c r="G742" s="22" t="n"/>
      <c r="H742" s="22" t="n"/>
      <c r="I742" s="22" t="n"/>
      <c r="J742" s="22" t="n"/>
      <c r="K742" s="22" t="n"/>
      <c r="L742" s="22" t="n"/>
      <c r="M742" s="22">
        <f>IF(K742="Override",L742,IF(K742="Accept suggestion",F742,IF(K742="No change (same URL)",A742,"")))</f>
        <v/>
      </c>
      <c r="N742" s="22">
        <f>IF(A742="","",IF(K742="410 Gone","410",IF(K742="404","404",IF(K742="No change (same URL)","none",IF(M742="","","301")))))</f>
        <v/>
      </c>
      <c r="O742" s="22">
        <f>IF(A742="","",IFERROR(MID(A742,FIND("/",A742,FIND("//",A742)+2),2000),A742))</f>
        <v/>
      </c>
      <c r="P742" s="22">
        <f>IF(OR(O742="",N742="",N742="none",N742="404"),"",IF(N742="410","Redirect gone "&amp;O742,"Redirect "&amp;N742&amp;" "&amp;O742&amp;" "&amp;M742))</f>
        <v/>
      </c>
      <c r="Q742" s="22" t="n"/>
      <c r="R742" s="22" t="n"/>
      <c r="S742" s="22" t="n"/>
      <c r="T742" s="4">
        <f>IF(A742="","",TRIM(IF(K742="","Needs decision; ","")&amp;IF(AND(K742="Accept suggestion",F742=""),"No suggestion to accept; ","")&amp;IF(AND(K742="Override",L742=""),"Override URL missing; ","")&amp;IF(AND(K742="Accept suggestion",N(G742)&lt;$G$2),"Below your threshold; ","")&amp;IF(AND(M742&lt;&gt;"",M742=A742,K742&lt;&gt;"No change (same URL)"),"Redirects to itself; ","")&amp;IF(AND(M742&lt;&gt;"",OR(M742="/",AND(LEFT(M742,4)="http",OR((LEN(M742)-LEN(SUBSTITUTE(M742,"/","")))=2,AND((LEN(M742)-LEN(SUBSTITUTE(M742,"/","")))=3,RIGHT(M742,1)="/"))))),"Home page redirect; ","")&amp;IF(N(R742)&gt;1,"Chain; ","")&amp;IF(S742="No","Destination not 200; ","")))</f>
        <v/>
      </c>
      <c r="U742" s="22" t="n"/>
      <c r="V742" s="22" t="n"/>
      <c r="W742" s="4" t="n"/>
    </row>
    <row r="743">
      <c r="A743" s="22" t="n"/>
      <c r="B743" s="22" t="n"/>
      <c r="C743" s="22" t="n"/>
      <c r="D743" s="22">
        <f>IF(A743="","",IF(OR(N(B743)&gt;=$C$2,N(C743)&gt;=$E$2),"High",IF(OR(N(B743)&gt;0,N(C743)&gt;0),"Medium","Low")))</f>
        <v/>
      </c>
      <c r="E743" s="22" t="n"/>
      <c r="F743" s="22" t="n"/>
      <c r="G743" s="22" t="n"/>
      <c r="H743" s="22" t="n"/>
      <c r="I743" s="22" t="n"/>
      <c r="J743" s="22" t="n"/>
      <c r="K743" s="22" t="n"/>
      <c r="L743" s="22" t="n"/>
      <c r="M743" s="22">
        <f>IF(K743="Override",L743,IF(K743="Accept suggestion",F743,IF(K743="No change (same URL)",A743,"")))</f>
        <v/>
      </c>
      <c r="N743" s="22">
        <f>IF(A743="","",IF(K743="410 Gone","410",IF(K743="404","404",IF(K743="No change (same URL)","none",IF(M743="","","301")))))</f>
        <v/>
      </c>
      <c r="O743" s="22">
        <f>IF(A743="","",IFERROR(MID(A743,FIND("/",A743,FIND("//",A743)+2),2000),A743))</f>
        <v/>
      </c>
      <c r="P743" s="22">
        <f>IF(OR(O743="",N743="",N743="none",N743="404"),"",IF(N743="410","Redirect gone "&amp;O743,"Redirect "&amp;N743&amp;" "&amp;O743&amp;" "&amp;M743))</f>
        <v/>
      </c>
      <c r="Q743" s="22" t="n"/>
      <c r="R743" s="22" t="n"/>
      <c r="S743" s="22" t="n"/>
      <c r="T743" s="4">
        <f>IF(A743="","",TRIM(IF(K743="","Needs decision; ","")&amp;IF(AND(K743="Accept suggestion",F743=""),"No suggestion to accept; ","")&amp;IF(AND(K743="Override",L743=""),"Override URL missing; ","")&amp;IF(AND(K743="Accept suggestion",N(G743)&lt;$G$2),"Below your threshold; ","")&amp;IF(AND(M743&lt;&gt;"",M743=A743,K743&lt;&gt;"No change (same URL)"),"Redirects to itself; ","")&amp;IF(AND(M743&lt;&gt;"",OR(M743="/",AND(LEFT(M743,4)="http",OR((LEN(M743)-LEN(SUBSTITUTE(M743,"/","")))=2,AND((LEN(M743)-LEN(SUBSTITUTE(M743,"/","")))=3,RIGHT(M743,1)="/"))))),"Home page redirect; ","")&amp;IF(N(R743)&gt;1,"Chain; ","")&amp;IF(S743="No","Destination not 200; ","")))</f>
        <v/>
      </c>
      <c r="U743" s="22" t="n"/>
      <c r="V743" s="22" t="n"/>
      <c r="W743" s="4" t="n"/>
    </row>
    <row r="744">
      <c r="A744" s="22" t="n"/>
      <c r="B744" s="22" t="n"/>
      <c r="C744" s="22" t="n"/>
      <c r="D744" s="22">
        <f>IF(A744="","",IF(OR(N(B744)&gt;=$C$2,N(C744)&gt;=$E$2),"High",IF(OR(N(B744)&gt;0,N(C744)&gt;0),"Medium","Low")))</f>
        <v/>
      </c>
      <c r="E744" s="22" t="n"/>
      <c r="F744" s="22" t="n"/>
      <c r="G744" s="22" t="n"/>
      <c r="H744" s="22" t="n"/>
      <c r="I744" s="22" t="n"/>
      <c r="J744" s="22" t="n"/>
      <c r="K744" s="22" t="n"/>
      <c r="L744" s="22" t="n"/>
      <c r="M744" s="22">
        <f>IF(K744="Override",L744,IF(K744="Accept suggestion",F744,IF(K744="No change (same URL)",A744,"")))</f>
        <v/>
      </c>
      <c r="N744" s="22">
        <f>IF(A744="","",IF(K744="410 Gone","410",IF(K744="404","404",IF(K744="No change (same URL)","none",IF(M744="","","301")))))</f>
        <v/>
      </c>
      <c r="O744" s="22">
        <f>IF(A744="","",IFERROR(MID(A744,FIND("/",A744,FIND("//",A744)+2),2000),A744))</f>
        <v/>
      </c>
      <c r="P744" s="22">
        <f>IF(OR(O744="",N744="",N744="none",N744="404"),"",IF(N744="410","Redirect gone "&amp;O744,"Redirect "&amp;N744&amp;" "&amp;O744&amp;" "&amp;M744))</f>
        <v/>
      </c>
      <c r="Q744" s="22" t="n"/>
      <c r="R744" s="22" t="n"/>
      <c r="S744" s="22" t="n"/>
      <c r="T744" s="4">
        <f>IF(A744="","",TRIM(IF(K744="","Needs decision; ","")&amp;IF(AND(K744="Accept suggestion",F744=""),"No suggestion to accept; ","")&amp;IF(AND(K744="Override",L744=""),"Override URL missing; ","")&amp;IF(AND(K744="Accept suggestion",N(G744)&lt;$G$2),"Below your threshold; ","")&amp;IF(AND(M744&lt;&gt;"",M744=A744,K744&lt;&gt;"No change (same URL)"),"Redirects to itself; ","")&amp;IF(AND(M744&lt;&gt;"",OR(M744="/",AND(LEFT(M744,4)="http",OR((LEN(M744)-LEN(SUBSTITUTE(M744,"/","")))=2,AND((LEN(M744)-LEN(SUBSTITUTE(M744,"/","")))=3,RIGHT(M744,1)="/"))))),"Home page redirect; ","")&amp;IF(N(R744)&gt;1,"Chain; ","")&amp;IF(S744="No","Destination not 200; ","")))</f>
        <v/>
      </c>
      <c r="U744" s="22" t="n"/>
      <c r="V744" s="22" t="n"/>
      <c r="W744" s="4" t="n"/>
    </row>
    <row r="745">
      <c r="A745" s="22" t="n"/>
      <c r="B745" s="22" t="n"/>
      <c r="C745" s="22" t="n"/>
      <c r="D745" s="22">
        <f>IF(A745="","",IF(OR(N(B745)&gt;=$C$2,N(C745)&gt;=$E$2),"High",IF(OR(N(B745)&gt;0,N(C745)&gt;0),"Medium","Low")))</f>
        <v/>
      </c>
      <c r="E745" s="22" t="n"/>
      <c r="F745" s="22" t="n"/>
      <c r="G745" s="22" t="n"/>
      <c r="H745" s="22" t="n"/>
      <c r="I745" s="22" t="n"/>
      <c r="J745" s="22" t="n"/>
      <c r="K745" s="22" t="n"/>
      <c r="L745" s="22" t="n"/>
      <c r="M745" s="22">
        <f>IF(K745="Override",L745,IF(K745="Accept suggestion",F745,IF(K745="No change (same URL)",A745,"")))</f>
        <v/>
      </c>
      <c r="N745" s="22">
        <f>IF(A745="","",IF(K745="410 Gone","410",IF(K745="404","404",IF(K745="No change (same URL)","none",IF(M745="","","301")))))</f>
        <v/>
      </c>
      <c r="O745" s="22">
        <f>IF(A745="","",IFERROR(MID(A745,FIND("/",A745,FIND("//",A745)+2),2000),A745))</f>
        <v/>
      </c>
      <c r="P745" s="22">
        <f>IF(OR(O745="",N745="",N745="none",N745="404"),"",IF(N745="410","Redirect gone "&amp;O745,"Redirect "&amp;N745&amp;" "&amp;O745&amp;" "&amp;M745))</f>
        <v/>
      </c>
      <c r="Q745" s="22" t="n"/>
      <c r="R745" s="22" t="n"/>
      <c r="S745" s="22" t="n"/>
      <c r="T745" s="4">
        <f>IF(A745="","",TRIM(IF(K745="","Needs decision; ","")&amp;IF(AND(K745="Accept suggestion",F745=""),"No suggestion to accept; ","")&amp;IF(AND(K745="Override",L745=""),"Override URL missing; ","")&amp;IF(AND(K745="Accept suggestion",N(G745)&lt;$G$2),"Below your threshold; ","")&amp;IF(AND(M745&lt;&gt;"",M745=A745,K745&lt;&gt;"No change (same URL)"),"Redirects to itself; ","")&amp;IF(AND(M745&lt;&gt;"",OR(M745="/",AND(LEFT(M745,4)="http",OR((LEN(M745)-LEN(SUBSTITUTE(M745,"/","")))=2,AND((LEN(M745)-LEN(SUBSTITUTE(M745,"/","")))=3,RIGHT(M745,1)="/"))))),"Home page redirect; ","")&amp;IF(N(R745)&gt;1,"Chain; ","")&amp;IF(S745="No","Destination not 200; ","")))</f>
        <v/>
      </c>
      <c r="U745" s="22" t="n"/>
      <c r="V745" s="22" t="n"/>
      <c r="W745" s="4" t="n"/>
    </row>
    <row r="746">
      <c r="A746" s="22" t="n"/>
      <c r="B746" s="22" t="n"/>
      <c r="C746" s="22" t="n"/>
      <c r="D746" s="22">
        <f>IF(A746="","",IF(OR(N(B746)&gt;=$C$2,N(C746)&gt;=$E$2),"High",IF(OR(N(B746)&gt;0,N(C746)&gt;0),"Medium","Low")))</f>
        <v/>
      </c>
      <c r="E746" s="22" t="n"/>
      <c r="F746" s="22" t="n"/>
      <c r="G746" s="22" t="n"/>
      <c r="H746" s="22" t="n"/>
      <c r="I746" s="22" t="n"/>
      <c r="J746" s="22" t="n"/>
      <c r="K746" s="22" t="n"/>
      <c r="L746" s="22" t="n"/>
      <c r="M746" s="22">
        <f>IF(K746="Override",L746,IF(K746="Accept suggestion",F746,IF(K746="No change (same URL)",A746,"")))</f>
        <v/>
      </c>
      <c r="N746" s="22">
        <f>IF(A746="","",IF(K746="410 Gone","410",IF(K746="404","404",IF(K746="No change (same URL)","none",IF(M746="","","301")))))</f>
        <v/>
      </c>
      <c r="O746" s="22">
        <f>IF(A746="","",IFERROR(MID(A746,FIND("/",A746,FIND("//",A746)+2),2000),A746))</f>
        <v/>
      </c>
      <c r="P746" s="22">
        <f>IF(OR(O746="",N746="",N746="none",N746="404"),"",IF(N746="410","Redirect gone "&amp;O746,"Redirect "&amp;N746&amp;" "&amp;O746&amp;" "&amp;M746))</f>
        <v/>
      </c>
      <c r="Q746" s="22" t="n"/>
      <c r="R746" s="22" t="n"/>
      <c r="S746" s="22" t="n"/>
      <c r="T746" s="4">
        <f>IF(A746="","",TRIM(IF(K746="","Needs decision; ","")&amp;IF(AND(K746="Accept suggestion",F746=""),"No suggestion to accept; ","")&amp;IF(AND(K746="Override",L746=""),"Override URL missing; ","")&amp;IF(AND(K746="Accept suggestion",N(G746)&lt;$G$2),"Below your threshold; ","")&amp;IF(AND(M746&lt;&gt;"",M746=A746,K746&lt;&gt;"No change (same URL)"),"Redirects to itself; ","")&amp;IF(AND(M746&lt;&gt;"",OR(M746="/",AND(LEFT(M746,4)="http",OR((LEN(M746)-LEN(SUBSTITUTE(M746,"/","")))=2,AND((LEN(M746)-LEN(SUBSTITUTE(M746,"/","")))=3,RIGHT(M746,1)="/"))))),"Home page redirect; ","")&amp;IF(N(R746)&gt;1,"Chain; ","")&amp;IF(S746="No","Destination not 200; ","")))</f>
        <v/>
      </c>
      <c r="U746" s="22" t="n"/>
      <c r="V746" s="22" t="n"/>
      <c r="W746" s="4" t="n"/>
    </row>
    <row r="747">
      <c r="A747" s="22" t="n"/>
      <c r="B747" s="22" t="n"/>
      <c r="C747" s="22" t="n"/>
      <c r="D747" s="22">
        <f>IF(A747="","",IF(OR(N(B747)&gt;=$C$2,N(C747)&gt;=$E$2),"High",IF(OR(N(B747)&gt;0,N(C747)&gt;0),"Medium","Low")))</f>
        <v/>
      </c>
      <c r="E747" s="22" t="n"/>
      <c r="F747" s="22" t="n"/>
      <c r="G747" s="22" t="n"/>
      <c r="H747" s="22" t="n"/>
      <c r="I747" s="22" t="n"/>
      <c r="J747" s="22" t="n"/>
      <c r="K747" s="22" t="n"/>
      <c r="L747" s="22" t="n"/>
      <c r="M747" s="22">
        <f>IF(K747="Override",L747,IF(K747="Accept suggestion",F747,IF(K747="No change (same URL)",A747,"")))</f>
        <v/>
      </c>
      <c r="N747" s="22">
        <f>IF(A747="","",IF(K747="410 Gone","410",IF(K747="404","404",IF(K747="No change (same URL)","none",IF(M747="","","301")))))</f>
        <v/>
      </c>
      <c r="O747" s="22">
        <f>IF(A747="","",IFERROR(MID(A747,FIND("/",A747,FIND("//",A747)+2),2000),A747))</f>
        <v/>
      </c>
      <c r="P747" s="22">
        <f>IF(OR(O747="",N747="",N747="none",N747="404"),"",IF(N747="410","Redirect gone "&amp;O747,"Redirect "&amp;N747&amp;" "&amp;O747&amp;" "&amp;M747))</f>
        <v/>
      </c>
      <c r="Q747" s="22" t="n"/>
      <c r="R747" s="22" t="n"/>
      <c r="S747" s="22" t="n"/>
      <c r="T747" s="4">
        <f>IF(A747="","",TRIM(IF(K747="","Needs decision; ","")&amp;IF(AND(K747="Accept suggestion",F747=""),"No suggestion to accept; ","")&amp;IF(AND(K747="Override",L747=""),"Override URL missing; ","")&amp;IF(AND(K747="Accept suggestion",N(G747)&lt;$G$2),"Below your threshold; ","")&amp;IF(AND(M747&lt;&gt;"",M747=A747,K747&lt;&gt;"No change (same URL)"),"Redirects to itself; ","")&amp;IF(AND(M747&lt;&gt;"",OR(M747="/",AND(LEFT(M747,4)="http",OR((LEN(M747)-LEN(SUBSTITUTE(M747,"/","")))=2,AND((LEN(M747)-LEN(SUBSTITUTE(M747,"/","")))=3,RIGHT(M747,1)="/"))))),"Home page redirect; ","")&amp;IF(N(R747)&gt;1,"Chain; ","")&amp;IF(S747="No","Destination not 200; ","")))</f>
        <v/>
      </c>
      <c r="U747" s="22" t="n"/>
      <c r="V747" s="22" t="n"/>
      <c r="W747" s="4" t="n"/>
    </row>
    <row r="748">
      <c r="A748" s="22" t="n"/>
      <c r="B748" s="22" t="n"/>
      <c r="C748" s="22" t="n"/>
      <c r="D748" s="22">
        <f>IF(A748="","",IF(OR(N(B748)&gt;=$C$2,N(C748)&gt;=$E$2),"High",IF(OR(N(B748)&gt;0,N(C748)&gt;0),"Medium","Low")))</f>
        <v/>
      </c>
      <c r="E748" s="22" t="n"/>
      <c r="F748" s="22" t="n"/>
      <c r="G748" s="22" t="n"/>
      <c r="H748" s="22" t="n"/>
      <c r="I748" s="22" t="n"/>
      <c r="J748" s="22" t="n"/>
      <c r="K748" s="22" t="n"/>
      <c r="L748" s="22" t="n"/>
      <c r="M748" s="22">
        <f>IF(K748="Override",L748,IF(K748="Accept suggestion",F748,IF(K748="No change (same URL)",A748,"")))</f>
        <v/>
      </c>
      <c r="N748" s="22">
        <f>IF(A748="","",IF(K748="410 Gone","410",IF(K748="404","404",IF(K748="No change (same URL)","none",IF(M748="","","301")))))</f>
        <v/>
      </c>
      <c r="O748" s="22">
        <f>IF(A748="","",IFERROR(MID(A748,FIND("/",A748,FIND("//",A748)+2),2000),A748))</f>
        <v/>
      </c>
      <c r="P748" s="22">
        <f>IF(OR(O748="",N748="",N748="none",N748="404"),"",IF(N748="410","Redirect gone "&amp;O748,"Redirect "&amp;N748&amp;" "&amp;O748&amp;" "&amp;M748))</f>
        <v/>
      </c>
      <c r="Q748" s="22" t="n"/>
      <c r="R748" s="22" t="n"/>
      <c r="S748" s="22" t="n"/>
      <c r="T748" s="4">
        <f>IF(A748="","",TRIM(IF(K748="","Needs decision; ","")&amp;IF(AND(K748="Accept suggestion",F748=""),"No suggestion to accept; ","")&amp;IF(AND(K748="Override",L748=""),"Override URL missing; ","")&amp;IF(AND(K748="Accept suggestion",N(G748)&lt;$G$2),"Below your threshold; ","")&amp;IF(AND(M748&lt;&gt;"",M748=A748,K748&lt;&gt;"No change (same URL)"),"Redirects to itself; ","")&amp;IF(AND(M748&lt;&gt;"",OR(M748="/",AND(LEFT(M748,4)="http",OR((LEN(M748)-LEN(SUBSTITUTE(M748,"/","")))=2,AND((LEN(M748)-LEN(SUBSTITUTE(M748,"/","")))=3,RIGHT(M748,1)="/"))))),"Home page redirect; ","")&amp;IF(N(R748)&gt;1,"Chain; ","")&amp;IF(S748="No","Destination not 200; ","")))</f>
        <v/>
      </c>
      <c r="U748" s="22" t="n"/>
      <c r="V748" s="22" t="n"/>
      <c r="W748" s="4" t="n"/>
    </row>
    <row r="749">
      <c r="A749" s="22" t="n"/>
      <c r="B749" s="22" t="n"/>
      <c r="C749" s="22" t="n"/>
      <c r="D749" s="22">
        <f>IF(A749="","",IF(OR(N(B749)&gt;=$C$2,N(C749)&gt;=$E$2),"High",IF(OR(N(B749)&gt;0,N(C749)&gt;0),"Medium","Low")))</f>
        <v/>
      </c>
      <c r="E749" s="22" t="n"/>
      <c r="F749" s="22" t="n"/>
      <c r="G749" s="22" t="n"/>
      <c r="H749" s="22" t="n"/>
      <c r="I749" s="22" t="n"/>
      <c r="J749" s="22" t="n"/>
      <c r="K749" s="22" t="n"/>
      <c r="L749" s="22" t="n"/>
      <c r="M749" s="22">
        <f>IF(K749="Override",L749,IF(K749="Accept suggestion",F749,IF(K749="No change (same URL)",A749,"")))</f>
        <v/>
      </c>
      <c r="N749" s="22">
        <f>IF(A749="","",IF(K749="410 Gone","410",IF(K749="404","404",IF(K749="No change (same URL)","none",IF(M749="","","301")))))</f>
        <v/>
      </c>
      <c r="O749" s="22">
        <f>IF(A749="","",IFERROR(MID(A749,FIND("/",A749,FIND("//",A749)+2),2000),A749))</f>
        <v/>
      </c>
      <c r="P749" s="22">
        <f>IF(OR(O749="",N749="",N749="none",N749="404"),"",IF(N749="410","Redirect gone "&amp;O749,"Redirect "&amp;N749&amp;" "&amp;O749&amp;" "&amp;M749))</f>
        <v/>
      </c>
      <c r="Q749" s="22" t="n"/>
      <c r="R749" s="22" t="n"/>
      <c r="S749" s="22" t="n"/>
      <c r="T749" s="4">
        <f>IF(A749="","",TRIM(IF(K749="","Needs decision; ","")&amp;IF(AND(K749="Accept suggestion",F749=""),"No suggestion to accept; ","")&amp;IF(AND(K749="Override",L749=""),"Override URL missing; ","")&amp;IF(AND(K749="Accept suggestion",N(G749)&lt;$G$2),"Below your threshold; ","")&amp;IF(AND(M749&lt;&gt;"",M749=A749,K749&lt;&gt;"No change (same URL)"),"Redirects to itself; ","")&amp;IF(AND(M749&lt;&gt;"",OR(M749="/",AND(LEFT(M749,4)="http",OR((LEN(M749)-LEN(SUBSTITUTE(M749,"/","")))=2,AND((LEN(M749)-LEN(SUBSTITUTE(M749,"/","")))=3,RIGHT(M749,1)="/"))))),"Home page redirect; ","")&amp;IF(N(R749)&gt;1,"Chain; ","")&amp;IF(S749="No","Destination not 200; ","")))</f>
        <v/>
      </c>
      <c r="U749" s="22" t="n"/>
      <c r="V749" s="22" t="n"/>
      <c r="W749" s="4" t="n"/>
    </row>
    <row r="750">
      <c r="A750" s="22" t="n"/>
      <c r="B750" s="22" t="n"/>
      <c r="C750" s="22" t="n"/>
      <c r="D750" s="22">
        <f>IF(A750="","",IF(OR(N(B750)&gt;=$C$2,N(C750)&gt;=$E$2),"High",IF(OR(N(B750)&gt;0,N(C750)&gt;0),"Medium","Low")))</f>
        <v/>
      </c>
      <c r="E750" s="22" t="n"/>
      <c r="F750" s="22" t="n"/>
      <c r="G750" s="22" t="n"/>
      <c r="H750" s="22" t="n"/>
      <c r="I750" s="22" t="n"/>
      <c r="J750" s="22" t="n"/>
      <c r="K750" s="22" t="n"/>
      <c r="L750" s="22" t="n"/>
      <c r="M750" s="22">
        <f>IF(K750="Override",L750,IF(K750="Accept suggestion",F750,IF(K750="No change (same URL)",A750,"")))</f>
        <v/>
      </c>
      <c r="N750" s="22">
        <f>IF(A750="","",IF(K750="410 Gone","410",IF(K750="404","404",IF(K750="No change (same URL)","none",IF(M750="","","301")))))</f>
        <v/>
      </c>
      <c r="O750" s="22">
        <f>IF(A750="","",IFERROR(MID(A750,FIND("/",A750,FIND("//",A750)+2),2000),A750))</f>
        <v/>
      </c>
      <c r="P750" s="22">
        <f>IF(OR(O750="",N750="",N750="none",N750="404"),"",IF(N750="410","Redirect gone "&amp;O750,"Redirect "&amp;N750&amp;" "&amp;O750&amp;" "&amp;M750))</f>
        <v/>
      </c>
      <c r="Q750" s="22" t="n"/>
      <c r="R750" s="22" t="n"/>
      <c r="S750" s="22" t="n"/>
      <c r="T750" s="4">
        <f>IF(A750="","",TRIM(IF(K750="","Needs decision; ","")&amp;IF(AND(K750="Accept suggestion",F750=""),"No suggestion to accept; ","")&amp;IF(AND(K750="Override",L750=""),"Override URL missing; ","")&amp;IF(AND(K750="Accept suggestion",N(G750)&lt;$G$2),"Below your threshold; ","")&amp;IF(AND(M750&lt;&gt;"",M750=A750,K750&lt;&gt;"No change (same URL)"),"Redirects to itself; ","")&amp;IF(AND(M750&lt;&gt;"",OR(M750="/",AND(LEFT(M750,4)="http",OR((LEN(M750)-LEN(SUBSTITUTE(M750,"/","")))=2,AND((LEN(M750)-LEN(SUBSTITUTE(M750,"/","")))=3,RIGHT(M750,1)="/"))))),"Home page redirect; ","")&amp;IF(N(R750)&gt;1,"Chain; ","")&amp;IF(S750="No","Destination not 200; ","")))</f>
        <v/>
      </c>
      <c r="U750" s="22" t="n"/>
      <c r="V750" s="22" t="n"/>
      <c r="W750" s="4" t="n"/>
    </row>
    <row r="751">
      <c r="A751" s="22" t="n"/>
      <c r="B751" s="22" t="n"/>
      <c r="C751" s="22" t="n"/>
      <c r="D751" s="22">
        <f>IF(A751="","",IF(OR(N(B751)&gt;=$C$2,N(C751)&gt;=$E$2),"High",IF(OR(N(B751)&gt;0,N(C751)&gt;0),"Medium","Low")))</f>
        <v/>
      </c>
      <c r="E751" s="22" t="n"/>
      <c r="F751" s="22" t="n"/>
      <c r="G751" s="22" t="n"/>
      <c r="H751" s="22" t="n"/>
      <c r="I751" s="22" t="n"/>
      <c r="J751" s="22" t="n"/>
      <c r="K751" s="22" t="n"/>
      <c r="L751" s="22" t="n"/>
      <c r="M751" s="22">
        <f>IF(K751="Override",L751,IF(K751="Accept suggestion",F751,IF(K751="No change (same URL)",A751,"")))</f>
        <v/>
      </c>
      <c r="N751" s="22">
        <f>IF(A751="","",IF(K751="410 Gone","410",IF(K751="404","404",IF(K751="No change (same URL)","none",IF(M751="","","301")))))</f>
        <v/>
      </c>
      <c r="O751" s="22">
        <f>IF(A751="","",IFERROR(MID(A751,FIND("/",A751,FIND("//",A751)+2),2000),A751))</f>
        <v/>
      </c>
      <c r="P751" s="22">
        <f>IF(OR(O751="",N751="",N751="none",N751="404"),"",IF(N751="410","Redirect gone "&amp;O751,"Redirect "&amp;N751&amp;" "&amp;O751&amp;" "&amp;M751))</f>
        <v/>
      </c>
      <c r="Q751" s="22" t="n"/>
      <c r="R751" s="22" t="n"/>
      <c r="S751" s="22" t="n"/>
      <c r="T751" s="4">
        <f>IF(A751="","",TRIM(IF(K751="","Needs decision; ","")&amp;IF(AND(K751="Accept suggestion",F751=""),"No suggestion to accept; ","")&amp;IF(AND(K751="Override",L751=""),"Override URL missing; ","")&amp;IF(AND(K751="Accept suggestion",N(G751)&lt;$G$2),"Below your threshold; ","")&amp;IF(AND(M751&lt;&gt;"",M751=A751,K751&lt;&gt;"No change (same URL)"),"Redirects to itself; ","")&amp;IF(AND(M751&lt;&gt;"",OR(M751="/",AND(LEFT(M751,4)="http",OR((LEN(M751)-LEN(SUBSTITUTE(M751,"/","")))=2,AND((LEN(M751)-LEN(SUBSTITUTE(M751,"/","")))=3,RIGHT(M751,1)="/"))))),"Home page redirect; ","")&amp;IF(N(R751)&gt;1,"Chain; ","")&amp;IF(S751="No","Destination not 200; ","")))</f>
        <v/>
      </c>
      <c r="U751" s="22" t="n"/>
      <c r="V751" s="22" t="n"/>
      <c r="W751" s="4" t="n"/>
    </row>
    <row r="752">
      <c r="A752" s="22" t="n"/>
      <c r="B752" s="22" t="n"/>
      <c r="C752" s="22" t="n"/>
      <c r="D752" s="22">
        <f>IF(A752="","",IF(OR(N(B752)&gt;=$C$2,N(C752)&gt;=$E$2),"High",IF(OR(N(B752)&gt;0,N(C752)&gt;0),"Medium","Low")))</f>
        <v/>
      </c>
      <c r="E752" s="22" t="n"/>
      <c r="F752" s="22" t="n"/>
      <c r="G752" s="22" t="n"/>
      <c r="H752" s="22" t="n"/>
      <c r="I752" s="22" t="n"/>
      <c r="J752" s="22" t="n"/>
      <c r="K752" s="22" t="n"/>
      <c r="L752" s="22" t="n"/>
      <c r="M752" s="22">
        <f>IF(K752="Override",L752,IF(K752="Accept suggestion",F752,IF(K752="No change (same URL)",A752,"")))</f>
        <v/>
      </c>
      <c r="N752" s="22">
        <f>IF(A752="","",IF(K752="410 Gone","410",IF(K752="404","404",IF(K752="No change (same URL)","none",IF(M752="","","301")))))</f>
        <v/>
      </c>
      <c r="O752" s="22">
        <f>IF(A752="","",IFERROR(MID(A752,FIND("/",A752,FIND("//",A752)+2),2000),A752))</f>
        <v/>
      </c>
      <c r="P752" s="22">
        <f>IF(OR(O752="",N752="",N752="none",N752="404"),"",IF(N752="410","Redirect gone "&amp;O752,"Redirect "&amp;N752&amp;" "&amp;O752&amp;" "&amp;M752))</f>
        <v/>
      </c>
      <c r="Q752" s="22" t="n"/>
      <c r="R752" s="22" t="n"/>
      <c r="S752" s="22" t="n"/>
      <c r="T752" s="4">
        <f>IF(A752="","",TRIM(IF(K752="","Needs decision; ","")&amp;IF(AND(K752="Accept suggestion",F752=""),"No suggestion to accept; ","")&amp;IF(AND(K752="Override",L752=""),"Override URL missing; ","")&amp;IF(AND(K752="Accept suggestion",N(G752)&lt;$G$2),"Below your threshold; ","")&amp;IF(AND(M752&lt;&gt;"",M752=A752,K752&lt;&gt;"No change (same URL)"),"Redirects to itself; ","")&amp;IF(AND(M752&lt;&gt;"",OR(M752="/",AND(LEFT(M752,4)="http",OR((LEN(M752)-LEN(SUBSTITUTE(M752,"/","")))=2,AND((LEN(M752)-LEN(SUBSTITUTE(M752,"/","")))=3,RIGHT(M752,1)="/"))))),"Home page redirect; ","")&amp;IF(N(R752)&gt;1,"Chain; ","")&amp;IF(S752="No","Destination not 200; ","")))</f>
        <v/>
      </c>
      <c r="U752" s="22" t="n"/>
      <c r="V752" s="22" t="n"/>
      <c r="W752" s="4" t="n"/>
    </row>
    <row r="753">
      <c r="A753" s="22" t="n"/>
      <c r="B753" s="22" t="n"/>
      <c r="C753" s="22" t="n"/>
      <c r="D753" s="22">
        <f>IF(A753="","",IF(OR(N(B753)&gt;=$C$2,N(C753)&gt;=$E$2),"High",IF(OR(N(B753)&gt;0,N(C753)&gt;0),"Medium","Low")))</f>
        <v/>
      </c>
      <c r="E753" s="22" t="n"/>
      <c r="F753" s="22" t="n"/>
      <c r="G753" s="22" t="n"/>
      <c r="H753" s="22" t="n"/>
      <c r="I753" s="22" t="n"/>
      <c r="J753" s="22" t="n"/>
      <c r="K753" s="22" t="n"/>
      <c r="L753" s="22" t="n"/>
      <c r="M753" s="22">
        <f>IF(K753="Override",L753,IF(K753="Accept suggestion",F753,IF(K753="No change (same URL)",A753,"")))</f>
        <v/>
      </c>
      <c r="N753" s="22">
        <f>IF(A753="","",IF(K753="410 Gone","410",IF(K753="404","404",IF(K753="No change (same URL)","none",IF(M753="","","301")))))</f>
        <v/>
      </c>
      <c r="O753" s="22">
        <f>IF(A753="","",IFERROR(MID(A753,FIND("/",A753,FIND("//",A753)+2),2000),A753))</f>
        <v/>
      </c>
      <c r="P753" s="22">
        <f>IF(OR(O753="",N753="",N753="none",N753="404"),"",IF(N753="410","Redirect gone "&amp;O753,"Redirect "&amp;N753&amp;" "&amp;O753&amp;" "&amp;M753))</f>
        <v/>
      </c>
      <c r="Q753" s="22" t="n"/>
      <c r="R753" s="22" t="n"/>
      <c r="S753" s="22" t="n"/>
      <c r="T753" s="4">
        <f>IF(A753="","",TRIM(IF(K753="","Needs decision; ","")&amp;IF(AND(K753="Accept suggestion",F753=""),"No suggestion to accept; ","")&amp;IF(AND(K753="Override",L753=""),"Override URL missing; ","")&amp;IF(AND(K753="Accept suggestion",N(G753)&lt;$G$2),"Below your threshold; ","")&amp;IF(AND(M753&lt;&gt;"",M753=A753,K753&lt;&gt;"No change (same URL)"),"Redirects to itself; ","")&amp;IF(AND(M753&lt;&gt;"",OR(M753="/",AND(LEFT(M753,4)="http",OR((LEN(M753)-LEN(SUBSTITUTE(M753,"/","")))=2,AND((LEN(M753)-LEN(SUBSTITUTE(M753,"/","")))=3,RIGHT(M753,1)="/"))))),"Home page redirect; ","")&amp;IF(N(R753)&gt;1,"Chain; ","")&amp;IF(S753="No","Destination not 200; ","")))</f>
        <v/>
      </c>
      <c r="U753" s="22" t="n"/>
      <c r="V753" s="22" t="n"/>
      <c r="W753" s="4" t="n"/>
    </row>
    <row r="754">
      <c r="A754" s="22" t="n"/>
      <c r="B754" s="22" t="n"/>
      <c r="C754" s="22" t="n"/>
      <c r="D754" s="22">
        <f>IF(A754="","",IF(OR(N(B754)&gt;=$C$2,N(C754)&gt;=$E$2),"High",IF(OR(N(B754)&gt;0,N(C754)&gt;0),"Medium","Low")))</f>
        <v/>
      </c>
      <c r="E754" s="22" t="n"/>
      <c r="F754" s="22" t="n"/>
      <c r="G754" s="22" t="n"/>
      <c r="H754" s="22" t="n"/>
      <c r="I754" s="22" t="n"/>
      <c r="J754" s="22" t="n"/>
      <c r="K754" s="22" t="n"/>
      <c r="L754" s="22" t="n"/>
      <c r="M754" s="22">
        <f>IF(K754="Override",L754,IF(K754="Accept suggestion",F754,IF(K754="No change (same URL)",A754,"")))</f>
        <v/>
      </c>
      <c r="N754" s="22">
        <f>IF(A754="","",IF(K754="410 Gone","410",IF(K754="404","404",IF(K754="No change (same URL)","none",IF(M754="","","301")))))</f>
        <v/>
      </c>
      <c r="O754" s="22">
        <f>IF(A754="","",IFERROR(MID(A754,FIND("/",A754,FIND("//",A754)+2),2000),A754))</f>
        <v/>
      </c>
      <c r="P754" s="22">
        <f>IF(OR(O754="",N754="",N754="none",N754="404"),"",IF(N754="410","Redirect gone "&amp;O754,"Redirect "&amp;N754&amp;" "&amp;O754&amp;" "&amp;M754))</f>
        <v/>
      </c>
      <c r="Q754" s="22" t="n"/>
      <c r="R754" s="22" t="n"/>
      <c r="S754" s="22" t="n"/>
      <c r="T754" s="4">
        <f>IF(A754="","",TRIM(IF(K754="","Needs decision; ","")&amp;IF(AND(K754="Accept suggestion",F754=""),"No suggestion to accept; ","")&amp;IF(AND(K754="Override",L754=""),"Override URL missing; ","")&amp;IF(AND(K754="Accept suggestion",N(G754)&lt;$G$2),"Below your threshold; ","")&amp;IF(AND(M754&lt;&gt;"",M754=A754,K754&lt;&gt;"No change (same URL)"),"Redirects to itself; ","")&amp;IF(AND(M754&lt;&gt;"",OR(M754="/",AND(LEFT(M754,4)="http",OR((LEN(M754)-LEN(SUBSTITUTE(M754,"/","")))=2,AND((LEN(M754)-LEN(SUBSTITUTE(M754,"/","")))=3,RIGHT(M754,1)="/"))))),"Home page redirect; ","")&amp;IF(N(R754)&gt;1,"Chain; ","")&amp;IF(S754="No","Destination not 200; ","")))</f>
        <v/>
      </c>
      <c r="U754" s="22" t="n"/>
      <c r="V754" s="22" t="n"/>
      <c r="W754" s="4" t="n"/>
    </row>
    <row r="755">
      <c r="A755" s="22" t="n"/>
      <c r="B755" s="22" t="n"/>
      <c r="C755" s="22" t="n"/>
      <c r="D755" s="22">
        <f>IF(A755="","",IF(OR(N(B755)&gt;=$C$2,N(C755)&gt;=$E$2),"High",IF(OR(N(B755)&gt;0,N(C755)&gt;0),"Medium","Low")))</f>
        <v/>
      </c>
      <c r="E755" s="22" t="n"/>
      <c r="F755" s="22" t="n"/>
      <c r="G755" s="22" t="n"/>
      <c r="H755" s="22" t="n"/>
      <c r="I755" s="22" t="n"/>
      <c r="J755" s="22" t="n"/>
      <c r="K755" s="22" t="n"/>
      <c r="L755" s="22" t="n"/>
      <c r="M755" s="22">
        <f>IF(K755="Override",L755,IF(K755="Accept suggestion",F755,IF(K755="No change (same URL)",A755,"")))</f>
        <v/>
      </c>
      <c r="N755" s="22">
        <f>IF(A755="","",IF(K755="410 Gone","410",IF(K755="404","404",IF(K755="No change (same URL)","none",IF(M755="","","301")))))</f>
        <v/>
      </c>
      <c r="O755" s="22">
        <f>IF(A755="","",IFERROR(MID(A755,FIND("/",A755,FIND("//",A755)+2),2000),A755))</f>
        <v/>
      </c>
      <c r="P755" s="22">
        <f>IF(OR(O755="",N755="",N755="none",N755="404"),"",IF(N755="410","Redirect gone "&amp;O755,"Redirect "&amp;N755&amp;" "&amp;O755&amp;" "&amp;M755))</f>
        <v/>
      </c>
      <c r="Q755" s="22" t="n"/>
      <c r="R755" s="22" t="n"/>
      <c r="S755" s="22" t="n"/>
      <c r="T755" s="4">
        <f>IF(A755="","",TRIM(IF(K755="","Needs decision; ","")&amp;IF(AND(K755="Accept suggestion",F755=""),"No suggestion to accept; ","")&amp;IF(AND(K755="Override",L755=""),"Override URL missing; ","")&amp;IF(AND(K755="Accept suggestion",N(G755)&lt;$G$2),"Below your threshold; ","")&amp;IF(AND(M755&lt;&gt;"",M755=A755,K755&lt;&gt;"No change (same URL)"),"Redirects to itself; ","")&amp;IF(AND(M755&lt;&gt;"",OR(M755="/",AND(LEFT(M755,4)="http",OR((LEN(M755)-LEN(SUBSTITUTE(M755,"/","")))=2,AND((LEN(M755)-LEN(SUBSTITUTE(M755,"/","")))=3,RIGHT(M755,1)="/"))))),"Home page redirect; ","")&amp;IF(N(R755)&gt;1,"Chain; ","")&amp;IF(S755="No","Destination not 200; ","")))</f>
        <v/>
      </c>
      <c r="U755" s="22" t="n"/>
      <c r="V755" s="22" t="n"/>
      <c r="W755" s="4" t="n"/>
    </row>
    <row r="756">
      <c r="A756" s="22" t="n"/>
      <c r="B756" s="22" t="n"/>
      <c r="C756" s="22" t="n"/>
      <c r="D756" s="22">
        <f>IF(A756="","",IF(OR(N(B756)&gt;=$C$2,N(C756)&gt;=$E$2),"High",IF(OR(N(B756)&gt;0,N(C756)&gt;0),"Medium","Low")))</f>
        <v/>
      </c>
      <c r="E756" s="22" t="n"/>
      <c r="F756" s="22" t="n"/>
      <c r="G756" s="22" t="n"/>
      <c r="H756" s="22" t="n"/>
      <c r="I756" s="22" t="n"/>
      <c r="J756" s="22" t="n"/>
      <c r="K756" s="22" t="n"/>
      <c r="L756" s="22" t="n"/>
      <c r="M756" s="22">
        <f>IF(K756="Override",L756,IF(K756="Accept suggestion",F756,IF(K756="No change (same URL)",A756,"")))</f>
        <v/>
      </c>
      <c r="N756" s="22">
        <f>IF(A756="","",IF(K756="410 Gone","410",IF(K756="404","404",IF(K756="No change (same URL)","none",IF(M756="","","301")))))</f>
        <v/>
      </c>
      <c r="O756" s="22">
        <f>IF(A756="","",IFERROR(MID(A756,FIND("/",A756,FIND("//",A756)+2),2000),A756))</f>
        <v/>
      </c>
      <c r="P756" s="22">
        <f>IF(OR(O756="",N756="",N756="none",N756="404"),"",IF(N756="410","Redirect gone "&amp;O756,"Redirect "&amp;N756&amp;" "&amp;O756&amp;" "&amp;M756))</f>
        <v/>
      </c>
      <c r="Q756" s="22" t="n"/>
      <c r="R756" s="22" t="n"/>
      <c r="S756" s="22" t="n"/>
      <c r="T756" s="4">
        <f>IF(A756="","",TRIM(IF(K756="","Needs decision; ","")&amp;IF(AND(K756="Accept suggestion",F756=""),"No suggestion to accept; ","")&amp;IF(AND(K756="Override",L756=""),"Override URL missing; ","")&amp;IF(AND(K756="Accept suggestion",N(G756)&lt;$G$2),"Below your threshold; ","")&amp;IF(AND(M756&lt;&gt;"",M756=A756,K756&lt;&gt;"No change (same URL)"),"Redirects to itself; ","")&amp;IF(AND(M756&lt;&gt;"",OR(M756="/",AND(LEFT(M756,4)="http",OR((LEN(M756)-LEN(SUBSTITUTE(M756,"/","")))=2,AND((LEN(M756)-LEN(SUBSTITUTE(M756,"/","")))=3,RIGHT(M756,1)="/"))))),"Home page redirect; ","")&amp;IF(N(R756)&gt;1,"Chain; ","")&amp;IF(S756="No","Destination not 200; ","")))</f>
        <v/>
      </c>
      <c r="U756" s="22" t="n"/>
      <c r="V756" s="22" t="n"/>
      <c r="W756" s="4" t="n"/>
    </row>
    <row r="757">
      <c r="A757" s="22" t="n"/>
      <c r="B757" s="22" t="n"/>
      <c r="C757" s="22" t="n"/>
      <c r="D757" s="22">
        <f>IF(A757="","",IF(OR(N(B757)&gt;=$C$2,N(C757)&gt;=$E$2),"High",IF(OR(N(B757)&gt;0,N(C757)&gt;0),"Medium","Low")))</f>
        <v/>
      </c>
      <c r="E757" s="22" t="n"/>
      <c r="F757" s="22" t="n"/>
      <c r="G757" s="22" t="n"/>
      <c r="H757" s="22" t="n"/>
      <c r="I757" s="22" t="n"/>
      <c r="J757" s="22" t="n"/>
      <c r="K757" s="22" t="n"/>
      <c r="L757" s="22" t="n"/>
      <c r="M757" s="22">
        <f>IF(K757="Override",L757,IF(K757="Accept suggestion",F757,IF(K757="No change (same URL)",A757,"")))</f>
        <v/>
      </c>
      <c r="N757" s="22">
        <f>IF(A757="","",IF(K757="410 Gone","410",IF(K757="404","404",IF(K757="No change (same URL)","none",IF(M757="","","301")))))</f>
        <v/>
      </c>
      <c r="O757" s="22">
        <f>IF(A757="","",IFERROR(MID(A757,FIND("/",A757,FIND("//",A757)+2),2000),A757))</f>
        <v/>
      </c>
      <c r="P757" s="22">
        <f>IF(OR(O757="",N757="",N757="none",N757="404"),"",IF(N757="410","Redirect gone "&amp;O757,"Redirect "&amp;N757&amp;" "&amp;O757&amp;" "&amp;M757))</f>
        <v/>
      </c>
      <c r="Q757" s="22" t="n"/>
      <c r="R757" s="22" t="n"/>
      <c r="S757" s="22" t="n"/>
      <c r="T757" s="4">
        <f>IF(A757="","",TRIM(IF(K757="","Needs decision; ","")&amp;IF(AND(K757="Accept suggestion",F757=""),"No suggestion to accept; ","")&amp;IF(AND(K757="Override",L757=""),"Override URL missing; ","")&amp;IF(AND(K757="Accept suggestion",N(G757)&lt;$G$2),"Below your threshold; ","")&amp;IF(AND(M757&lt;&gt;"",M757=A757,K757&lt;&gt;"No change (same URL)"),"Redirects to itself; ","")&amp;IF(AND(M757&lt;&gt;"",OR(M757="/",AND(LEFT(M757,4)="http",OR((LEN(M757)-LEN(SUBSTITUTE(M757,"/","")))=2,AND((LEN(M757)-LEN(SUBSTITUTE(M757,"/","")))=3,RIGHT(M757,1)="/"))))),"Home page redirect; ","")&amp;IF(N(R757)&gt;1,"Chain; ","")&amp;IF(S757="No","Destination not 200; ","")))</f>
        <v/>
      </c>
      <c r="U757" s="22" t="n"/>
      <c r="V757" s="22" t="n"/>
      <c r="W757" s="4" t="n"/>
    </row>
    <row r="758">
      <c r="A758" s="22" t="n"/>
      <c r="B758" s="22" t="n"/>
      <c r="C758" s="22" t="n"/>
      <c r="D758" s="22">
        <f>IF(A758="","",IF(OR(N(B758)&gt;=$C$2,N(C758)&gt;=$E$2),"High",IF(OR(N(B758)&gt;0,N(C758)&gt;0),"Medium","Low")))</f>
        <v/>
      </c>
      <c r="E758" s="22" t="n"/>
      <c r="F758" s="22" t="n"/>
      <c r="G758" s="22" t="n"/>
      <c r="H758" s="22" t="n"/>
      <c r="I758" s="22" t="n"/>
      <c r="J758" s="22" t="n"/>
      <c r="K758" s="22" t="n"/>
      <c r="L758" s="22" t="n"/>
      <c r="M758" s="22">
        <f>IF(K758="Override",L758,IF(K758="Accept suggestion",F758,IF(K758="No change (same URL)",A758,"")))</f>
        <v/>
      </c>
      <c r="N758" s="22">
        <f>IF(A758="","",IF(K758="410 Gone","410",IF(K758="404","404",IF(K758="No change (same URL)","none",IF(M758="","","301")))))</f>
        <v/>
      </c>
      <c r="O758" s="22">
        <f>IF(A758="","",IFERROR(MID(A758,FIND("/",A758,FIND("//",A758)+2),2000),A758))</f>
        <v/>
      </c>
      <c r="P758" s="22">
        <f>IF(OR(O758="",N758="",N758="none",N758="404"),"",IF(N758="410","Redirect gone "&amp;O758,"Redirect "&amp;N758&amp;" "&amp;O758&amp;" "&amp;M758))</f>
        <v/>
      </c>
      <c r="Q758" s="22" t="n"/>
      <c r="R758" s="22" t="n"/>
      <c r="S758" s="22" t="n"/>
      <c r="T758" s="4">
        <f>IF(A758="","",TRIM(IF(K758="","Needs decision; ","")&amp;IF(AND(K758="Accept suggestion",F758=""),"No suggestion to accept; ","")&amp;IF(AND(K758="Override",L758=""),"Override URL missing; ","")&amp;IF(AND(K758="Accept suggestion",N(G758)&lt;$G$2),"Below your threshold; ","")&amp;IF(AND(M758&lt;&gt;"",M758=A758,K758&lt;&gt;"No change (same URL)"),"Redirects to itself; ","")&amp;IF(AND(M758&lt;&gt;"",OR(M758="/",AND(LEFT(M758,4)="http",OR((LEN(M758)-LEN(SUBSTITUTE(M758,"/","")))=2,AND((LEN(M758)-LEN(SUBSTITUTE(M758,"/","")))=3,RIGHT(M758,1)="/"))))),"Home page redirect; ","")&amp;IF(N(R758)&gt;1,"Chain; ","")&amp;IF(S758="No","Destination not 200; ","")))</f>
        <v/>
      </c>
      <c r="U758" s="22" t="n"/>
      <c r="V758" s="22" t="n"/>
      <c r="W758" s="4" t="n"/>
    </row>
    <row r="759">
      <c r="A759" s="22" t="n"/>
      <c r="B759" s="22" t="n"/>
      <c r="C759" s="22" t="n"/>
      <c r="D759" s="22">
        <f>IF(A759="","",IF(OR(N(B759)&gt;=$C$2,N(C759)&gt;=$E$2),"High",IF(OR(N(B759)&gt;0,N(C759)&gt;0),"Medium","Low")))</f>
        <v/>
      </c>
      <c r="E759" s="22" t="n"/>
      <c r="F759" s="22" t="n"/>
      <c r="G759" s="22" t="n"/>
      <c r="H759" s="22" t="n"/>
      <c r="I759" s="22" t="n"/>
      <c r="J759" s="22" t="n"/>
      <c r="K759" s="22" t="n"/>
      <c r="L759" s="22" t="n"/>
      <c r="M759" s="22">
        <f>IF(K759="Override",L759,IF(K759="Accept suggestion",F759,IF(K759="No change (same URL)",A759,"")))</f>
        <v/>
      </c>
      <c r="N759" s="22">
        <f>IF(A759="","",IF(K759="410 Gone","410",IF(K759="404","404",IF(K759="No change (same URL)","none",IF(M759="","","301")))))</f>
        <v/>
      </c>
      <c r="O759" s="22">
        <f>IF(A759="","",IFERROR(MID(A759,FIND("/",A759,FIND("//",A759)+2),2000),A759))</f>
        <v/>
      </c>
      <c r="P759" s="22">
        <f>IF(OR(O759="",N759="",N759="none",N759="404"),"",IF(N759="410","Redirect gone "&amp;O759,"Redirect "&amp;N759&amp;" "&amp;O759&amp;" "&amp;M759))</f>
        <v/>
      </c>
      <c r="Q759" s="22" t="n"/>
      <c r="R759" s="22" t="n"/>
      <c r="S759" s="22" t="n"/>
      <c r="T759" s="4">
        <f>IF(A759="","",TRIM(IF(K759="","Needs decision; ","")&amp;IF(AND(K759="Accept suggestion",F759=""),"No suggestion to accept; ","")&amp;IF(AND(K759="Override",L759=""),"Override URL missing; ","")&amp;IF(AND(K759="Accept suggestion",N(G759)&lt;$G$2),"Below your threshold; ","")&amp;IF(AND(M759&lt;&gt;"",M759=A759,K759&lt;&gt;"No change (same URL)"),"Redirects to itself; ","")&amp;IF(AND(M759&lt;&gt;"",OR(M759="/",AND(LEFT(M759,4)="http",OR((LEN(M759)-LEN(SUBSTITUTE(M759,"/","")))=2,AND((LEN(M759)-LEN(SUBSTITUTE(M759,"/","")))=3,RIGHT(M759,1)="/"))))),"Home page redirect; ","")&amp;IF(N(R759)&gt;1,"Chain; ","")&amp;IF(S759="No","Destination not 200; ","")))</f>
        <v/>
      </c>
      <c r="U759" s="22" t="n"/>
      <c r="V759" s="22" t="n"/>
      <c r="W759" s="4" t="n"/>
    </row>
    <row r="760">
      <c r="A760" s="22" t="n"/>
      <c r="B760" s="22" t="n"/>
      <c r="C760" s="22" t="n"/>
      <c r="D760" s="22">
        <f>IF(A760="","",IF(OR(N(B760)&gt;=$C$2,N(C760)&gt;=$E$2),"High",IF(OR(N(B760)&gt;0,N(C760)&gt;0),"Medium","Low")))</f>
        <v/>
      </c>
      <c r="E760" s="22" t="n"/>
      <c r="F760" s="22" t="n"/>
      <c r="G760" s="22" t="n"/>
      <c r="H760" s="22" t="n"/>
      <c r="I760" s="22" t="n"/>
      <c r="J760" s="22" t="n"/>
      <c r="K760" s="22" t="n"/>
      <c r="L760" s="22" t="n"/>
      <c r="M760" s="22">
        <f>IF(K760="Override",L760,IF(K760="Accept suggestion",F760,IF(K760="No change (same URL)",A760,"")))</f>
        <v/>
      </c>
      <c r="N760" s="22">
        <f>IF(A760="","",IF(K760="410 Gone","410",IF(K760="404","404",IF(K760="No change (same URL)","none",IF(M760="","","301")))))</f>
        <v/>
      </c>
      <c r="O760" s="22">
        <f>IF(A760="","",IFERROR(MID(A760,FIND("/",A760,FIND("//",A760)+2),2000),A760))</f>
        <v/>
      </c>
      <c r="P760" s="22">
        <f>IF(OR(O760="",N760="",N760="none",N760="404"),"",IF(N760="410","Redirect gone "&amp;O760,"Redirect "&amp;N760&amp;" "&amp;O760&amp;" "&amp;M760))</f>
        <v/>
      </c>
      <c r="Q760" s="22" t="n"/>
      <c r="R760" s="22" t="n"/>
      <c r="S760" s="22" t="n"/>
      <c r="T760" s="4">
        <f>IF(A760="","",TRIM(IF(K760="","Needs decision; ","")&amp;IF(AND(K760="Accept suggestion",F760=""),"No suggestion to accept; ","")&amp;IF(AND(K760="Override",L760=""),"Override URL missing; ","")&amp;IF(AND(K760="Accept suggestion",N(G760)&lt;$G$2),"Below your threshold; ","")&amp;IF(AND(M760&lt;&gt;"",M760=A760,K760&lt;&gt;"No change (same URL)"),"Redirects to itself; ","")&amp;IF(AND(M760&lt;&gt;"",OR(M760="/",AND(LEFT(M760,4)="http",OR((LEN(M760)-LEN(SUBSTITUTE(M760,"/","")))=2,AND((LEN(M760)-LEN(SUBSTITUTE(M760,"/","")))=3,RIGHT(M760,1)="/"))))),"Home page redirect; ","")&amp;IF(N(R760)&gt;1,"Chain; ","")&amp;IF(S760="No","Destination not 200; ","")))</f>
        <v/>
      </c>
      <c r="U760" s="22" t="n"/>
      <c r="V760" s="22" t="n"/>
      <c r="W760" s="4" t="n"/>
    </row>
    <row r="761">
      <c r="A761" s="22" t="n"/>
      <c r="B761" s="22" t="n"/>
      <c r="C761" s="22" t="n"/>
      <c r="D761" s="22">
        <f>IF(A761="","",IF(OR(N(B761)&gt;=$C$2,N(C761)&gt;=$E$2),"High",IF(OR(N(B761)&gt;0,N(C761)&gt;0),"Medium","Low")))</f>
        <v/>
      </c>
      <c r="E761" s="22" t="n"/>
      <c r="F761" s="22" t="n"/>
      <c r="G761" s="22" t="n"/>
      <c r="H761" s="22" t="n"/>
      <c r="I761" s="22" t="n"/>
      <c r="J761" s="22" t="n"/>
      <c r="K761" s="22" t="n"/>
      <c r="L761" s="22" t="n"/>
      <c r="M761" s="22">
        <f>IF(K761="Override",L761,IF(K761="Accept suggestion",F761,IF(K761="No change (same URL)",A761,"")))</f>
        <v/>
      </c>
      <c r="N761" s="22">
        <f>IF(A761="","",IF(K761="410 Gone","410",IF(K761="404","404",IF(K761="No change (same URL)","none",IF(M761="","","301")))))</f>
        <v/>
      </c>
      <c r="O761" s="22">
        <f>IF(A761="","",IFERROR(MID(A761,FIND("/",A761,FIND("//",A761)+2),2000),A761))</f>
        <v/>
      </c>
      <c r="P761" s="22">
        <f>IF(OR(O761="",N761="",N761="none",N761="404"),"",IF(N761="410","Redirect gone "&amp;O761,"Redirect "&amp;N761&amp;" "&amp;O761&amp;" "&amp;M761))</f>
        <v/>
      </c>
      <c r="Q761" s="22" t="n"/>
      <c r="R761" s="22" t="n"/>
      <c r="S761" s="22" t="n"/>
      <c r="T761" s="4">
        <f>IF(A761="","",TRIM(IF(K761="","Needs decision; ","")&amp;IF(AND(K761="Accept suggestion",F761=""),"No suggestion to accept; ","")&amp;IF(AND(K761="Override",L761=""),"Override URL missing; ","")&amp;IF(AND(K761="Accept suggestion",N(G761)&lt;$G$2),"Below your threshold; ","")&amp;IF(AND(M761&lt;&gt;"",M761=A761,K761&lt;&gt;"No change (same URL)"),"Redirects to itself; ","")&amp;IF(AND(M761&lt;&gt;"",OR(M761="/",AND(LEFT(M761,4)="http",OR((LEN(M761)-LEN(SUBSTITUTE(M761,"/","")))=2,AND((LEN(M761)-LEN(SUBSTITUTE(M761,"/","")))=3,RIGHT(M761,1)="/"))))),"Home page redirect; ","")&amp;IF(N(R761)&gt;1,"Chain; ","")&amp;IF(S761="No","Destination not 200; ","")))</f>
        <v/>
      </c>
      <c r="U761" s="22" t="n"/>
      <c r="V761" s="22" t="n"/>
      <c r="W761" s="4" t="n"/>
    </row>
    <row r="762">
      <c r="A762" s="22" t="n"/>
      <c r="B762" s="22" t="n"/>
      <c r="C762" s="22" t="n"/>
      <c r="D762" s="22">
        <f>IF(A762="","",IF(OR(N(B762)&gt;=$C$2,N(C762)&gt;=$E$2),"High",IF(OR(N(B762)&gt;0,N(C762)&gt;0),"Medium","Low")))</f>
        <v/>
      </c>
      <c r="E762" s="22" t="n"/>
      <c r="F762" s="22" t="n"/>
      <c r="G762" s="22" t="n"/>
      <c r="H762" s="22" t="n"/>
      <c r="I762" s="22" t="n"/>
      <c r="J762" s="22" t="n"/>
      <c r="K762" s="22" t="n"/>
      <c r="L762" s="22" t="n"/>
      <c r="M762" s="22">
        <f>IF(K762="Override",L762,IF(K762="Accept suggestion",F762,IF(K762="No change (same URL)",A762,"")))</f>
        <v/>
      </c>
      <c r="N762" s="22">
        <f>IF(A762="","",IF(K762="410 Gone","410",IF(K762="404","404",IF(K762="No change (same URL)","none",IF(M762="","","301")))))</f>
        <v/>
      </c>
      <c r="O762" s="22">
        <f>IF(A762="","",IFERROR(MID(A762,FIND("/",A762,FIND("//",A762)+2),2000),A762))</f>
        <v/>
      </c>
      <c r="P762" s="22">
        <f>IF(OR(O762="",N762="",N762="none",N762="404"),"",IF(N762="410","Redirect gone "&amp;O762,"Redirect "&amp;N762&amp;" "&amp;O762&amp;" "&amp;M762))</f>
        <v/>
      </c>
      <c r="Q762" s="22" t="n"/>
      <c r="R762" s="22" t="n"/>
      <c r="S762" s="22" t="n"/>
      <c r="T762" s="4">
        <f>IF(A762="","",TRIM(IF(K762="","Needs decision; ","")&amp;IF(AND(K762="Accept suggestion",F762=""),"No suggestion to accept; ","")&amp;IF(AND(K762="Override",L762=""),"Override URL missing; ","")&amp;IF(AND(K762="Accept suggestion",N(G762)&lt;$G$2),"Below your threshold; ","")&amp;IF(AND(M762&lt;&gt;"",M762=A762,K762&lt;&gt;"No change (same URL)"),"Redirects to itself; ","")&amp;IF(AND(M762&lt;&gt;"",OR(M762="/",AND(LEFT(M762,4)="http",OR((LEN(M762)-LEN(SUBSTITUTE(M762,"/","")))=2,AND((LEN(M762)-LEN(SUBSTITUTE(M762,"/","")))=3,RIGHT(M762,1)="/"))))),"Home page redirect; ","")&amp;IF(N(R762)&gt;1,"Chain; ","")&amp;IF(S762="No","Destination not 200; ","")))</f>
        <v/>
      </c>
      <c r="U762" s="22" t="n"/>
      <c r="V762" s="22" t="n"/>
      <c r="W762" s="4" t="n"/>
    </row>
    <row r="763">
      <c r="A763" s="22" t="n"/>
      <c r="B763" s="22" t="n"/>
      <c r="C763" s="22" t="n"/>
      <c r="D763" s="22">
        <f>IF(A763="","",IF(OR(N(B763)&gt;=$C$2,N(C763)&gt;=$E$2),"High",IF(OR(N(B763)&gt;0,N(C763)&gt;0),"Medium","Low")))</f>
        <v/>
      </c>
      <c r="E763" s="22" t="n"/>
      <c r="F763" s="22" t="n"/>
      <c r="G763" s="22" t="n"/>
      <c r="H763" s="22" t="n"/>
      <c r="I763" s="22" t="n"/>
      <c r="J763" s="22" t="n"/>
      <c r="K763" s="22" t="n"/>
      <c r="L763" s="22" t="n"/>
      <c r="M763" s="22">
        <f>IF(K763="Override",L763,IF(K763="Accept suggestion",F763,IF(K763="No change (same URL)",A763,"")))</f>
        <v/>
      </c>
      <c r="N763" s="22">
        <f>IF(A763="","",IF(K763="410 Gone","410",IF(K763="404","404",IF(K763="No change (same URL)","none",IF(M763="","","301")))))</f>
        <v/>
      </c>
      <c r="O763" s="22">
        <f>IF(A763="","",IFERROR(MID(A763,FIND("/",A763,FIND("//",A763)+2),2000),A763))</f>
        <v/>
      </c>
      <c r="P763" s="22">
        <f>IF(OR(O763="",N763="",N763="none",N763="404"),"",IF(N763="410","Redirect gone "&amp;O763,"Redirect "&amp;N763&amp;" "&amp;O763&amp;" "&amp;M763))</f>
        <v/>
      </c>
      <c r="Q763" s="22" t="n"/>
      <c r="R763" s="22" t="n"/>
      <c r="S763" s="22" t="n"/>
      <c r="T763" s="4">
        <f>IF(A763="","",TRIM(IF(K763="","Needs decision; ","")&amp;IF(AND(K763="Accept suggestion",F763=""),"No suggestion to accept; ","")&amp;IF(AND(K763="Override",L763=""),"Override URL missing; ","")&amp;IF(AND(K763="Accept suggestion",N(G763)&lt;$G$2),"Below your threshold; ","")&amp;IF(AND(M763&lt;&gt;"",M763=A763,K763&lt;&gt;"No change (same URL)"),"Redirects to itself; ","")&amp;IF(AND(M763&lt;&gt;"",OR(M763="/",AND(LEFT(M763,4)="http",OR((LEN(M763)-LEN(SUBSTITUTE(M763,"/","")))=2,AND((LEN(M763)-LEN(SUBSTITUTE(M763,"/","")))=3,RIGHT(M763,1)="/"))))),"Home page redirect; ","")&amp;IF(N(R763)&gt;1,"Chain; ","")&amp;IF(S763="No","Destination not 200; ","")))</f>
        <v/>
      </c>
      <c r="U763" s="22" t="n"/>
      <c r="V763" s="22" t="n"/>
      <c r="W763" s="4" t="n"/>
    </row>
    <row r="764">
      <c r="A764" s="22" t="n"/>
      <c r="B764" s="22" t="n"/>
      <c r="C764" s="22" t="n"/>
      <c r="D764" s="22">
        <f>IF(A764="","",IF(OR(N(B764)&gt;=$C$2,N(C764)&gt;=$E$2),"High",IF(OR(N(B764)&gt;0,N(C764)&gt;0),"Medium","Low")))</f>
        <v/>
      </c>
      <c r="E764" s="22" t="n"/>
      <c r="F764" s="22" t="n"/>
      <c r="G764" s="22" t="n"/>
      <c r="H764" s="22" t="n"/>
      <c r="I764" s="22" t="n"/>
      <c r="J764" s="22" t="n"/>
      <c r="K764" s="22" t="n"/>
      <c r="L764" s="22" t="n"/>
      <c r="M764" s="22">
        <f>IF(K764="Override",L764,IF(K764="Accept suggestion",F764,IF(K764="No change (same URL)",A764,"")))</f>
        <v/>
      </c>
      <c r="N764" s="22">
        <f>IF(A764="","",IF(K764="410 Gone","410",IF(K764="404","404",IF(K764="No change (same URL)","none",IF(M764="","","301")))))</f>
        <v/>
      </c>
      <c r="O764" s="22">
        <f>IF(A764="","",IFERROR(MID(A764,FIND("/",A764,FIND("//",A764)+2),2000),A764))</f>
        <v/>
      </c>
      <c r="P764" s="22">
        <f>IF(OR(O764="",N764="",N764="none",N764="404"),"",IF(N764="410","Redirect gone "&amp;O764,"Redirect "&amp;N764&amp;" "&amp;O764&amp;" "&amp;M764))</f>
        <v/>
      </c>
      <c r="Q764" s="22" t="n"/>
      <c r="R764" s="22" t="n"/>
      <c r="S764" s="22" t="n"/>
      <c r="T764" s="4">
        <f>IF(A764="","",TRIM(IF(K764="","Needs decision; ","")&amp;IF(AND(K764="Accept suggestion",F764=""),"No suggestion to accept; ","")&amp;IF(AND(K764="Override",L764=""),"Override URL missing; ","")&amp;IF(AND(K764="Accept suggestion",N(G764)&lt;$G$2),"Below your threshold; ","")&amp;IF(AND(M764&lt;&gt;"",M764=A764,K764&lt;&gt;"No change (same URL)"),"Redirects to itself; ","")&amp;IF(AND(M764&lt;&gt;"",OR(M764="/",AND(LEFT(M764,4)="http",OR((LEN(M764)-LEN(SUBSTITUTE(M764,"/","")))=2,AND((LEN(M764)-LEN(SUBSTITUTE(M764,"/","")))=3,RIGHT(M764,1)="/"))))),"Home page redirect; ","")&amp;IF(N(R764)&gt;1,"Chain; ","")&amp;IF(S764="No","Destination not 200; ","")))</f>
        <v/>
      </c>
      <c r="U764" s="22" t="n"/>
      <c r="V764" s="22" t="n"/>
      <c r="W764" s="4" t="n"/>
    </row>
    <row r="765">
      <c r="A765" s="22" t="n"/>
      <c r="B765" s="22" t="n"/>
      <c r="C765" s="22" t="n"/>
      <c r="D765" s="22">
        <f>IF(A765="","",IF(OR(N(B765)&gt;=$C$2,N(C765)&gt;=$E$2),"High",IF(OR(N(B765)&gt;0,N(C765)&gt;0),"Medium","Low")))</f>
        <v/>
      </c>
      <c r="E765" s="22" t="n"/>
      <c r="F765" s="22" t="n"/>
      <c r="G765" s="22" t="n"/>
      <c r="H765" s="22" t="n"/>
      <c r="I765" s="22" t="n"/>
      <c r="J765" s="22" t="n"/>
      <c r="K765" s="22" t="n"/>
      <c r="L765" s="22" t="n"/>
      <c r="M765" s="22">
        <f>IF(K765="Override",L765,IF(K765="Accept suggestion",F765,IF(K765="No change (same URL)",A765,"")))</f>
        <v/>
      </c>
      <c r="N765" s="22">
        <f>IF(A765="","",IF(K765="410 Gone","410",IF(K765="404","404",IF(K765="No change (same URL)","none",IF(M765="","","301")))))</f>
        <v/>
      </c>
      <c r="O765" s="22">
        <f>IF(A765="","",IFERROR(MID(A765,FIND("/",A765,FIND("//",A765)+2),2000),A765))</f>
        <v/>
      </c>
      <c r="P765" s="22">
        <f>IF(OR(O765="",N765="",N765="none",N765="404"),"",IF(N765="410","Redirect gone "&amp;O765,"Redirect "&amp;N765&amp;" "&amp;O765&amp;" "&amp;M765))</f>
        <v/>
      </c>
      <c r="Q765" s="22" t="n"/>
      <c r="R765" s="22" t="n"/>
      <c r="S765" s="22" t="n"/>
      <c r="T765" s="4">
        <f>IF(A765="","",TRIM(IF(K765="","Needs decision; ","")&amp;IF(AND(K765="Accept suggestion",F765=""),"No suggestion to accept; ","")&amp;IF(AND(K765="Override",L765=""),"Override URL missing; ","")&amp;IF(AND(K765="Accept suggestion",N(G765)&lt;$G$2),"Below your threshold; ","")&amp;IF(AND(M765&lt;&gt;"",M765=A765,K765&lt;&gt;"No change (same URL)"),"Redirects to itself; ","")&amp;IF(AND(M765&lt;&gt;"",OR(M765="/",AND(LEFT(M765,4)="http",OR((LEN(M765)-LEN(SUBSTITUTE(M765,"/","")))=2,AND((LEN(M765)-LEN(SUBSTITUTE(M765,"/","")))=3,RIGHT(M765,1)="/"))))),"Home page redirect; ","")&amp;IF(N(R765)&gt;1,"Chain; ","")&amp;IF(S765="No","Destination not 200; ","")))</f>
        <v/>
      </c>
      <c r="U765" s="22" t="n"/>
      <c r="V765" s="22" t="n"/>
      <c r="W765" s="4" t="n"/>
    </row>
    <row r="766">
      <c r="A766" s="22" t="n"/>
      <c r="B766" s="22" t="n"/>
      <c r="C766" s="22" t="n"/>
      <c r="D766" s="22">
        <f>IF(A766="","",IF(OR(N(B766)&gt;=$C$2,N(C766)&gt;=$E$2),"High",IF(OR(N(B766)&gt;0,N(C766)&gt;0),"Medium","Low")))</f>
        <v/>
      </c>
      <c r="E766" s="22" t="n"/>
      <c r="F766" s="22" t="n"/>
      <c r="G766" s="22" t="n"/>
      <c r="H766" s="22" t="n"/>
      <c r="I766" s="22" t="n"/>
      <c r="J766" s="22" t="n"/>
      <c r="K766" s="22" t="n"/>
      <c r="L766" s="22" t="n"/>
      <c r="M766" s="22">
        <f>IF(K766="Override",L766,IF(K766="Accept suggestion",F766,IF(K766="No change (same URL)",A766,"")))</f>
        <v/>
      </c>
      <c r="N766" s="22">
        <f>IF(A766="","",IF(K766="410 Gone","410",IF(K766="404","404",IF(K766="No change (same URL)","none",IF(M766="","","301")))))</f>
        <v/>
      </c>
      <c r="O766" s="22">
        <f>IF(A766="","",IFERROR(MID(A766,FIND("/",A766,FIND("//",A766)+2),2000),A766))</f>
        <v/>
      </c>
      <c r="P766" s="22">
        <f>IF(OR(O766="",N766="",N766="none",N766="404"),"",IF(N766="410","Redirect gone "&amp;O766,"Redirect "&amp;N766&amp;" "&amp;O766&amp;" "&amp;M766))</f>
        <v/>
      </c>
      <c r="Q766" s="22" t="n"/>
      <c r="R766" s="22" t="n"/>
      <c r="S766" s="22" t="n"/>
      <c r="T766" s="4">
        <f>IF(A766="","",TRIM(IF(K766="","Needs decision; ","")&amp;IF(AND(K766="Accept suggestion",F766=""),"No suggestion to accept; ","")&amp;IF(AND(K766="Override",L766=""),"Override URL missing; ","")&amp;IF(AND(K766="Accept suggestion",N(G766)&lt;$G$2),"Below your threshold; ","")&amp;IF(AND(M766&lt;&gt;"",M766=A766,K766&lt;&gt;"No change (same URL)"),"Redirects to itself; ","")&amp;IF(AND(M766&lt;&gt;"",OR(M766="/",AND(LEFT(M766,4)="http",OR((LEN(M766)-LEN(SUBSTITUTE(M766,"/","")))=2,AND((LEN(M766)-LEN(SUBSTITUTE(M766,"/","")))=3,RIGHT(M766,1)="/"))))),"Home page redirect; ","")&amp;IF(N(R766)&gt;1,"Chain; ","")&amp;IF(S766="No","Destination not 200; ","")))</f>
        <v/>
      </c>
      <c r="U766" s="22" t="n"/>
      <c r="V766" s="22" t="n"/>
      <c r="W766" s="4" t="n"/>
    </row>
    <row r="767">
      <c r="A767" s="22" t="n"/>
      <c r="B767" s="22" t="n"/>
      <c r="C767" s="22" t="n"/>
      <c r="D767" s="22">
        <f>IF(A767="","",IF(OR(N(B767)&gt;=$C$2,N(C767)&gt;=$E$2),"High",IF(OR(N(B767)&gt;0,N(C767)&gt;0),"Medium","Low")))</f>
        <v/>
      </c>
      <c r="E767" s="22" t="n"/>
      <c r="F767" s="22" t="n"/>
      <c r="G767" s="22" t="n"/>
      <c r="H767" s="22" t="n"/>
      <c r="I767" s="22" t="n"/>
      <c r="J767" s="22" t="n"/>
      <c r="K767" s="22" t="n"/>
      <c r="L767" s="22" t="n"/>
      <c r="M767" s="22">
        <f>IF(K767="Override",L767,IF(K767="Accept suggestion",F767,IF(K767="No change (same URL)",A767,"")))</f>
        <v/>
      </c>
      <c r="N767" s="22">
        <f>IF(A767="","",IF(K767="410 Gone","410",IF(K767="404","404",IF(K767="No change (same URL)","none",IF(M767="","","301")))))</f>
        <v/>
      </c>
      <c r="O767" s="22">
        <f>IF(A767="","",IFERROR(MID(A767,FIND("/",A767,FIND("//",A767)+2),2000),A767))</f>
        <v/>
      </c>
      <c r="P767" s="22">
        <f>IF(OR(O767="",N767="",N767="none",N767="404"),"",IF(N767="410","Redirect gone "&amp;O767,"Redirect "&amp;N767&amp;" "&amp;O767&amp;" "&amp;M767))</f>
        <v/>
      </c>
      <c r="Q767" s="22" t="n"/>
      <c r="R767" s="22" t="n"/>
      <c r="S767" s="22" t="n"/>
      <c r="T767" s="4">
        <f>IF(A767="","",TRIM(IF(K767="","Needs decision; ","")&amp;IF(AND(K767="Accept suggestion",F767=""),"No suggestion to accept; ","")&amp;IF(AND(K767="Override",L767=""),"Override URL missing; ","")&amp;IF(AND(K767="Accept suggestion",N(G767)&lt;$G$2),"Below your threshold; ","")&amp;IF(AND(M767&lt;&gt;"",M767=A767,K767&lt;&gt;"No change (same URL)"),"Redirects to itself; ","")&amp;IF(AND(M767&lt;&gt;"",OR(M767="/",AND(LEFT(M767,4)="http",OR((LEN(M767)-LEN(SUBSTITUTE(M767,"/","")))=2,AND((LEN(M767)-LEN(SUBSTITUTE(M767,"/","")))=3,RIGHT(M767,1)="/"))))),"Home page redirect; ","")&amp;IF(N(R767)&gt;1,"Chain; ","")&amp;IF(S767="No","Destination not 200; ","")))</f>
        <v/>
      </c>
      <c r="U767" s="22" t="n"/>
      <c r="V767" s="22" t="n"/>
      <c r="W767" s="4" t="n"/>
    </row>
    <row r="768">
      <c r="A768" s="22" t="n"/>
      <c r="B768" s="22" t="n"/>
      <c r="C768" s="22" t="n"/>
      <c r="D768" s="22">
        <f>IF(A768="","",IF(OR(N(B768)&gt;=$C$2,N(C768)&gt;=$E$2),"High",IF(OR(N(B768)&gt;0,N(C768)&gt;0),"Medium","Low")))</f>
        <v/>
      </c>
      <c r="E768" s="22" t="n"/>
      <c r="F768" s="22" t="n"/>
      <c r="G768" s="22" t="n"/>
      <c r="H768" s="22" t="n"/>
      <c r="I768" s="22" t="n"/>
      <c r="J768" s="22" t="n"/>
      <c r="K768" s="22" t="n"/>
      <c r="L768" s="22" t="n"/>
      <c r="M768" s="22">
        <f>IF(K768="Override",L768,IF(K768="Accept suggestion",F768,IF(K768="No change (same URL)",A768,"")))</f>
        <v/>
      </c>
      <c r="N768" s="22">
        <f>IF(A768="","",IF(K768="410 Gone","410",IF(K768="404","404",IF(K768="No change (same URL)","none",IF(M768="","","301")))))</f>
        <v/>
      </c>
      <c r="O768" s="22">
        <f>IF(A768="","",IFERROR(MID(A768,FIND("/",A768,FIND("//",A768)+2),2000),A768))</f>
        <v/>
      </c>
      <c r="P768" s="22">
        <f>IF(OR(O768="",N768="",N768="none",N768="404"),"",IF(N768="410","Redirect gone "&amp;O768,"Redirect "&amp;N768&amp;" "&amp;O768&amp;" "&amp;M768))</f>
        <v/>
      </c>
      <c r="Q768" s="22" t="n"/>
      <c r="R768" s="22" t="n"/>
      <c r="S768" s="22" t="n"/>
      <c r="T768" s="4">
        <f>IF(A768="","",TRIM(IF(K768="","Needs decision; ","")&amp;IF(AND(K768="Accept suggestion",F768=""),"No suggestion to accept; ","")&amp;IF(AND(K768="Override",L768=""),"Override URL missing; ","")&amp;IF(AND(K768="Accept suggestion",N(G768)&lt;$G$2),"Below your threshold; ","")&amp;IF(AND(M768&lt;&gt;"",M768=A768,K768&lt;&gt;"No change (same URL)"),"Redirects to itself; ","")&amp;IF(AND(M768&lt;&gt;"",OR(M768="/",AND(LEFT(M768,4)="http",OR((LEN(M768)-LEN(SUBSTITUTE(M768,"/","")))=2,AND((LEN(M768)-LEN(SUBSTITUTE(M768,"/","")))=3,RIGHT(M768,1)="/"))))),"Home page redirect; ","")&amp;IF(N(R768)&gt;1,"Chain; ","")&amp;IF(S768="No","Destination not 200; ","")))</f>
        <v/>
      </c>
      <c r="U768" s="22" t="n"/>
      <c r="V768" s="22" t="n"/>
      <c r="W768" s="4" t="n"/>
    </row>
    <row r="769">
      <c r="A769" s="22" t="n"/>
      <c r="B769" s="22" t="n"/>
      <c r="C769" s="22" t="n"/>
      <c r="D769" s="22">
        <f>IF(A769="","",IF(OR(N(B769)&gt;=$C$2,N(C769)&gt;=$E$2),"High",IF(OR(N(B769)&gt;0,N(C769)&gt;0),"Medium","Low")))</f>
        <v/>
      </c>
      <c r="E769" s="22" t="n"/>
      <c r="F769" s="22" t="n"/>
      <c r="G769" s="22" t="n"/>
      <c r="H769" s="22" t="n"/>
      <c r="I769" s="22" t="n"/>
      <c r="J769" s="22" t="n"/>
      <c r="K769" s="22" t="n"/>
      <c r="L769" s="22" t="n"/>
      <c r="M769" s="22">
        <f>IF(K769="Override",L769,IF(K769="Accept suggestion",F769,IF(K769="No change (same URL)",A769,"")))</f>
        <v/>
      </c>
      <c r="N769" s="22">
        <f>IF(A769="","",IF(K769="410 Gone","410",IF(K769="404","404",IF(K769="No change (same URL)","none",IF(M769="","","301")))))</f>
        <v/>
      </c>
      <c r="O769" s="22">
        <f>IF(A769="","",IFERROR(MID(A769,FIND("/",A769,FIND("//",A769)+2),2000),A769))</f>
        <v/>
      </c>
      <c r="P769" s="22">
        <f>IF(OR(O769="",N769="",N769="none",N769="404"),"",IF(N769="410","Redirect gone "&amp;O769,"Redirect "&amp;N769&amp;" "&amp;O769&amp;" "&amp;M769))</f>
        <v/>
      </c>
      <c r="Q769" s="22" t="n"/>
      <c r="R769" s="22" t="n"/>
      <c r="S769" s="22" t="n"/>
      <c r="T769" s="4">
        <f>IF(A769="","",TRIM(IF(K769="","Needs decision; ","")&amp;IF(AND(K769="Accept suggestion",F769=""),"No suggestion to accept; ","")&amp;IF(AND(K769="Override",L769=""),"Override URL missing; ","")&amp;IF(AND(K769="Accept suggestion",N(G769)&lt;$G$2),"Below your threshold; ","")&amp;IF(AND(M769&lt;&gt;"",M769=A769,K769&lt;&gt;"No change (same URL)"),"Redirects to itself; ","")&amp;IF(AND(M769&lt;&gt;"",OR(M769="/",AND(LEFT(M769,4)="http",OR((LEN(M769)-LEN(SUBSTITUTE(M769,"/","")))=2,AND((LEN(M769)-LEN(SUBSTITUTE(M769,"/","")))=3,RIGHT(M769,1)="/"))))),"Home page redirect; ","")&amp;IF(N(R769)&gt;1,"Chain; ","")&amp;IF(S769="No","Destination not 200; ","")))</f>
        <v/>
      </c>
      <c r="U769" s="22" t="n"/>
      <c r="V769" s="22" t="n"/>
      <c r="W769" s="4" t="n"/>
    </row>
    <row r="770">
      <c r="A770" s="22" t="n"/>
      <c r="B770" s="22" t="n"/>
      <c r="C770" s="22" t="n"/>
      <c r="D770" s="22">
        <f>IF(A770="","",IF(OR(N(B770)&gt;=$C$2,N(C770)&gt;=$E$2),"High",IF(OR(N(B770)&gt;0,N(C770)&gt;0),"Medium","Low")))</f>
        <v/>
      </c>
      <c r="E770" s="22" t="n"/>
      <c r="F770" s="22" t="n"/>
      <c r="G770" s="22" t="n"/>
      <c r="H770" s="22" t="n"/>
      <c r="I770" s="22" t="n"/>
      <c r="J770" s="22" t="n"/>
      <c r="K770" s="22" t="n"/>
      <c r="L770" s="22" t="n"/>
      <c r="M770" s="22">
        <f>IF(K770="Override",L770,IF(K770="Accept suggestion",F770,IF(K770="No change (same URL)",A770,"")))</f>
        <v/>
      </c>
      <c r="N770" s="22">
        <f>IF(A770="","",IF(K770="410 Gone","410",IF(K770="404","404",IF(K770="No change (same URL)","none",IF(M770="","","301")))))</f>
        <v/>
      </c>
      <c r="O770" s="22">
        <f>IF(A770="","",IFERROR(MID(A770,FIND("/",A770,FIND("//",A770)+2),2000),A770))</f>
        <v/>
      </c>
      <c r="P770" s="22">
        <f>IF(OR(O770="",N770="",N770="none",N770="404"),"",IF(N770="410","Redirect gone "&amp;O770,"Redirect "&amp;N770&amp;" "&amp;O770&amp;" "&amp;M770))</f>
        <v/>
      </c>
      <c r="Q770" s="22" t="n"/>
      <c r="R770" s="22" t="n"/>
      <c r="S770" s="22" t="n"/>
      <c r="T770" s="4">
        <f>IF(A770="","",TRIM(IF(K770="","Needs decision; ","")&amp;IF(AND(K770="Accept suggestion",F770=""),"No suggestion to accept; ","")&amp;IF(AND(K770="Override",L770=""),"Override URL missing; ","")&amp;IF(AND(K770="Accept suggestion",N(G770)&lt;$G$2),"Below your threshold; ","")&amp;IF(AND(M770&lt;&gt;"",M770=A770,K770&lt;&gt;"No change (same URL)"),"Redirects to itself; ","")&amp;IF(AND(M770&lt;&gt;"",OR(M770="/",AND(LEFT(M770,4)="http",OR((LEN(M770)-LEN(SUBSTITUTE(M770,"/","")))=2,AND((LEN(M770)-LEN(SUBSTITUTE(M770,"/","")))=3,RIGHT(M770,1)="/"))))),"Home page redirect; ","")&amp;IF(N(R770)&gt;1,"Chain; ","")&amp;IF(S770="No","Destination not 200; ","")))</f>
        <v/>
      </c>
      <c r="U770" s="22" t="n"/>
      <c r="V770" s="22" t="n"/>
      <c r="W770" s="4" t="n"/>
    </row>
    <row r="771">
      <c r="A771" s="22" t="n"/>
      <c r="B771" s="22" t="n"/>
      <c r="C771" s="22" t="n"/>
      <c r="D771" s="22">
        <f>IF(A771="","",IF(OR(N(B771)&gt;=$C$2,N(C771)&gt;=$E$2),"High",IF(OR(N(B771)&gt;0,N(C771)&gt;0),"Medium","Low")))</f>
        <v/>
      </c>
      <c r="E771" s="22" t="n"/>
      <c r="F771" s="22" t="n"/>
      <c r="G771" s="22" t="n"/>
      <c r="H771" s="22" t="n"/>
      <c r="I771" s="22" t="n"/>
      <c r="J771" s="22" t="n"/>
      <c r="K771" s="22" t="n"/>
      <c r="L771" s="22" t="n"/>
      <c r="M771" s="22">
        <f>IF(K771="Override",L771,IF(K771="Accept suggestion",F771,IF(K771="No change (same URL)",A771,"")))</f>
        <v/>
      </c>
      <c r="N771" s="22">
        <f>IF(A771="","",IF(K771="410 Gone","410",IF(K771="404","404",IF(K771="No change (same URL)","none",IF(M771="","","301")))))</f>
        <v/>
      </c>
      <c r="O771" s="22">
        <f>IF(A771="","",IFERROR(MID(A771,FIND("/",A771,FIND("//",A771)+2),2000),A771))</f>
        <v/>
      </c>
      <c r="P771" s="22">
        <f>IF(OR(O771="",N771="",N771="none",N771="404"),"",IF(N771="410","Redirect gone "&amp;O771,"Redirect "&amp;N771&amp;" "&amp;O771&amp;" "&amp;M771))</f>
        <v/>
      </c>
      <c r="Q771" s="22" t="n"/>
      <c r="R771" s="22" t="n"/>
      <c r="S771" s="22" t="n"/>
      <c r="T771" s="4">
        <f>IF(A771="","",TRIM(IF(K771="","Needs decision; ","")&amp;IF(AND(K771="Accept suggestion",F771=""),"No suggestion to accept; ","")&amp;IF(AND(K771="Override",L771=""),"Override URL missing; ","")&amp;IF(AND(K771="Accept suggestion",N(G771)&lt;$G$2),"Below your threshold; ","")&amp;IF(AND(M771&lt;&gt;"",M771=A771,K771&lt;&gt;"No change (same URL)"),"Redirects to itself; ","")&amp;IF(AND(M771&lt;&gt;"",OR(M771="/",AND(LEFT(M771,4)="http",OR((LEN(M771)-LEN(SUBSTITUTE(M771,"/","")))=2,AND((LEN(M771)-LEN(SUBSTITUTE(M771,"/","")))=3,RIGHT(M771,1)="/"))))),"Home page redirect; ","")&amp;IF(N(R771)&gt;1,"Chain; ","")&amp;IF(S771="No","Destination not 200; ","")))</f>
        <v/>
      </c>
      <c r="U771" s="22" t="n"/>
      <c r="V771" s="22" t="n"/>
      <c r="W771" s="4" t="n"/>
    </row>
    <row r="772">
      <c r="A772" s="22" t="n"/>
      <c r="B772" s="22" t="n"/>
      <c r="C772" s="22" t="n"/>
      <c r="D772" s="22">
        <f>IF(A772="","",IF(OR(N(B772)&gt;=$C$2,N(C772)&gt;=$E$2),"High",IF(OR(N(B772)&gt;0,N(C772)&gt;0),"Medium","Low")))</f>
        <v/>
      </c>
      <c r="E772" s="22" t="n"/>
      <c r="F772" s="22" t="n"/>
      <c r="G772" s="22" t="n"/>
      <c r="H772" s="22" t="n"/>
      <c r="I772" s="22" t="n"/>
      <c r="J772" s="22" t="n"/>
      <c r="K772" s="22" t="n"/>
      <c r="L772" s="22" t="n"/>
      <c r="M772" s="22">
        <f>IF(K772="Override",L772,IF(K772="Accept suggestion",F772,IF(K772="No change (same URL)",A772,"")))</f>
        <v/>
      </c>
      <c r="N772" s="22">
        <f>IF(A772="","",IF(K772="410 Gone","410",IF(K772="404","404",IF(K772="No change (same URL)","none",IF(M772="","","301")))))</f>
        <v/>
      </c>
      <c r="O772" s="22">
        <f>IF(A772="","",IFERROR(MID(A772,FIND("/",A772,FIND("//",A772)+2),2000),A772))</f>
        <v/>
      </c>
      <c r="P772" s="22">
        <f>IF(OR(O772="",N772="",N772="none",N772="404"),"",IF(N772="410","Redirect gone "&amp;O772,"Redirect "&amp;N772&amp;" "&amp;O772&amp;" "&amp;M772))</f>
        <v/>
      </c>
      <c r="Q772" s="22" t="n"/>
      <c r="R772" s="22" t="n"/>
      <c r="S772" s="22" t="n"/>
      <c r="T772" s="4">
        <f>IF(A772="","",TRIM(IF(K772="","Needs decision; ","")&amp;IF(AND(K772="Accept suggestion",F772=""),"No suggestion to accept; ","")&amp;IF(AND(K772="Override",L772=""),"Override URL missing; ","")&amp;IF(AND(K772="Accept suggestion",N(G772)&lt;$G$2),"Below your threshold; ","")&amp;IF(AND(M772&lt;&gt;"",M772=A772,K772&lt;&gt;"No change (same URL)"),"Redirects to itself; ","")&amp;IF(AND(M772&lt;&gt;"",OR(M772="/",AND(LEFT(M772,4)="http",OR((LEN(M772)-LEN(SUBSTITUTE(M772,"/","")))=2,AND((LEN(M772)-LEN(SUBSTITUTE(M772,"/","")))=3,RIGHT(M772,1)="/"))))),"Home page redirect; ","")&amp;IF(N(R772)&gt;1,"Chain; ","")&amp;IF(S772="No","Destination not 200; ","")))</f>
        <v/>
      </c>
      <c r="U772" s="22" t="n"/>
      <c r="V772" s="22" t="n"/>
      <c r="W772" s="4" t="n"/>
    </row>
    <row r="773">
      <c r="A773" s="22" t="n"/>
      <c r="B773" s="22" t="n"/>
      <c r="C773" s="22" t="n"/>
      <c r="D773" s="22">
        <f>IF(A773="","",IF(OR(N(B773)&gt;=$C$2,N(C773)&gt;=$E$2),"High",IF(OR(N(B773)&gt;0,N(C773)&gt;0),"Medium","Low")))</f>
        <v/>
      </c>
      <c r="E773" s="22" t="n"/>
      <c r="F773" s="22" t="n"/>
      <c r="G773" s="22" t="n"/>
      <c r="H773" s="22" t="n"/>
      <c r="I773" s="22" t="n"/>
      <c r="J773" s="22" t="n"/>
      <c r="K773" s="22" t="n"/>
      <c r="L773" s="22" t="n"/>
      <c r="M773" s="22">
        <f>IF(K773="Override",L773,IF(K773="Accept suggestion",F773,IF(K773="No change (same URL)",A773,"")))</f>
        <v/>
      </c>
      <c r="N773" s="22">
        <f>IF(A773="","",IF(K773="410 Gone","410",IF(K773="404","404",IF(K773="No change (same URL)","none",IF(M773="","","301")))))</f>
        <v/>
      </c>
      <c r="O773" s="22">
        <f>IF(A773="","",IFERROR(MID(A773,FIND("/",A773,FIND("//",A773)+2),2000),A773))</f>
        <v/>
      </c>
      <c r="P773" s="22">
        <f>IF(OR(O773="",N773="",N773="none",N773="404"),"",IF(N773="410","Redirect gone "&amp;O773,"Redirect "&amp;N773&amp;" "&amp;O773&amp;" "&amp;M773))</f>
        <v/>
      </c>
      <c r="Q773" s="22" t="n"/>
      <c r="R773" s="22" t="n"/>
      <c r="S773" s="22" t="n"/>
      <c r="T773" s="4">
        <f>IF(A773="","",TRIM(IF(K773="","Needs decision; ","")&amp;IF(AND(K773="Accept suggestion",F773=""),"No suggestion to accept; ","")&amp;IF(AND(K773="Override",L773=""),"Override URL missing; ","")&amp;IF(AND(K773="Accept suggestion",N(G773)&lt;$G$2),"Below your threshold; ","")&amp;IF(AND(M773&lt;&gt;"",M773=A773,K773&lt;&gt;"No change (same URL)"),"Redirects to itself; ","")&amp;IF(AND(M773&lt;&gt;"",OR(M773="/",AND(LEFT(M773,4)="http",OR((LEN(M773)-LEN(SUBSTITUTE(M773,"/","")))=2,AND((LEN(M773)-LEN(SUBSTITUTE(M773,"/","")))=3,RIGHT(M773,1)="/"))))),"Home page redirect; ","")&amp;IF(N(R773)&gt;1,"Chain; ","")&amp;IF(S773="No","Destination not 200; ","")))</f>
        <v/>
      </c>
      <c r="U773" s="22" t="n"/>
      <c r="V773" s="22" t="n"/>
      <c r="W773" s="4" t="n"/>
    </row>
    <row r="774">
      <c r="A774" s="22" t="n"/>
      <c r="B774" s="22" t="n"/>
      <c r="C774" s="22" t="n"/>
      <c r="D774" s="22">
        <f>IF(A774="","",IF(OR(N(B774)&gt;=$C$2,N(C774)&gt;=$E$2),"High",IF(OR(N(B774)&gt;0,N(C774)&gt;0),"Medium","Low")))</f>
        <v/>
      </c>
      <c r="E774" s="22" t="n"/>
      <c r="F774" s="22" t="n"/>
      <c r="G774" s="22" t="n"/>
      <c r="H774" s="22" t="n"/>
      <c r="I774" s="22" t="n"/>
      <c r="J774" s="22" t="n"/>
      <c r="K774" s="22" t="n"/>
      <c r="L774" s="22" t="n"/>
      <c r="M774" s="22">
        <f>IF(K774="Override",L774,IF(K774="Accept suggestion",F774,IF(K774="No change (same URL)",A774,"")))</f>
        <v/>
      </c>
      <c r="N774" s="22">
        <f>IF(A774="","",IF(K774="410 Gone","410",IF(K774="404","404",IF(K774="No change (same URL)","none",IF(M774="","","301")))))</f>
        <v/>
      </c>
      <c r="O774" s="22">
        <f>IF(A774="","",IFERROR(MID(A774,FIND("/",A774,FIND("//",A774)+2),2000),A774))</f>
        <v/>
      </c>
      <c r="P774" s="22">
        <f>IF(OR(O774="",N774="",N774="none",N774="404"),"",IF(N774="410","Redirect gone "&amp;O774,"Redirect "&amp;N774&amp;" "&amp;O774&amp;" "&amp;M774))</f>
        <v/>
      </c>
      <c r="Q774" s="22" t="n"/>
      <c r="R774" s="22" t="n"/>
      <c r="S774" s="22" t="n"/>
      <c r="T774" s="4">
        <f>IF(A774="","",TRIM(IF(K774="","Needs decision; ","")&amp;IF(AND(K774="Accept suggestion",F774=""),"No suggestion to accept; ","")&amp;IF(AND(K774="Override",L774=""),"Override URL missing; ","")&amp;IF(AND(K774="Accept suggestion",N(G774)&lt;$G$2),"Below your threshold; ","")&amp;IF(AND(M774&lt;&gt;"",M774=A774,K774&lt;&gt;"No change (same URL)"),"Redirects to itself; ","")&amp;IF(AND(M774&lt;&gt;"",OR(M774="/",AND(LEFT(M774,4)="http",OR((LEN(M774)-LEN(SUBSTITUTE(M774,"/","")))=2,AND((LEN(M774)-LEN(SUBSTITUTE(M774,"/","")))=3,RIGHT(M774,1)="/"))))),"Home page redirect; ","")&amp;IF(N(R774)&gt;1,"Chain; ","")&amp;IF(S774="No","Destination not 200; ","")))</f>
        <v/>
      </c>
      <c r="U774" s="22" t="n"/>
      <c r="V774" s="22" t="n"/>
      <c r="W774" s="4" t="n"/>
    </row>
    <row r="775">
      <c r="A775" s="22" t="n"/>
      <c r="B775" s="22" t="n"/>
      <c r="C775" s="22" t="n"/>
      <c r="D775" s="22">
        <f>IF(A775="","",IF(OR(N(B775)&gt;=$C$2,N(C775)&gt;=$E$2),"High",IF(OR(N(B775)&gt;0,N(C775)&gt;0),"Medium","Low")))</f>
        <v/>
      </c>
      <c r="E775" s="22" t="n"/>
      <c r="F775" s="22" t="n"/>
      <c r="G775" s="22" t="n"/>
      <c r="H775" s="22" t="n"/>
      <c r="I775" s="22" t="n"/>
      <c r="J775" s="22" t="n"/>
      <c r="K775" s="22" t="n"/>
      <c r="L775" s="22" t="n"/>
      <c r="M775" s="22">
        <f>IF(K775="Override",L775,IF(K775="Accept suggestion",F775,IF(K775="No change (same URL)",A775,"")))</f>
        <v/>
      </c>
      <c r="N775" s="22">
        <f>IF(A775="","",IF(K775="410 Gone","410",IF(K775="404","404",IF(K775="No change (same URL)","none",IF(M775="","","301")))))</f>
        <v/>
      </c>
      <c r="O775" s="22">
        <f>IF(A775="","",IFERROR(MID(A775,FIND("/",A775,FIND("//",A775)+2),2000),A775))</f>
        <v/>
      </c>
      <c r="P775" s="22">
        <f>IF(OR(O775="",N775="",N775="none",N775="404"),"",IF(N775="410","Redirect gone "&amp;O775,"Redirect "&amp;N775&amp;" "&amp;O775&amp;" "&amp;M775))</f>
        <v/>
      </c>
      <c r="Q775" s="22" t="n"/>
      <c r="R775" s="22" t="n"/>
      <c r="S775" s="22" t="n"/>
      <c r="T775" s="4">
        <f>IF(A775="","",TRIM(IF(K775="","Needs decision; ","")&amp;IF(AND(K775="Accept suggestion",F775=""),"No suggestion to accept; ","")&amp;IF(AND(K775="Override",L775=""),"Override URL missing; ","")&amp;IF(AND(K775="Accept suggestion",N(G775)&lt;$G$2),"Below your threshold; ","")&amp;IF(AND(M775&lt;&gt;"",M775=A775,K775&lt;&gt;"No change (same URL)"),"Redirects to itself; ","")&amp;IF(AND(M775&lt;&gt;"",OR(M775="/",AND(LEFT(M775,4)="http",OR((LEN(M775)-LEN(SUBSTITUTE(M775,"/","")))=2,AND((LEN(M775)-LEN(SUBSTITUTE(M775,"/","")))=3,RIGHT(M775,1)="/"))))),"Home page redirect; ","")&amp;IF(N(R775)&gt;1,"Chain; ","")&amp;IF(S775="No","Destination not 200; ","")))</f>
        <v/>
      </c>
      <c r="U775" s="22" t="n"/>
      <c r="V775" s="22" t="n"/>
      <c r="W775" s="4" t="n"/>
    </row>
    <row r="776">
      <c r="A776" s="22" t="n"/>
      <c r="B776" s="22" t="n"/>
      <c r="C776" s="22" t="n"/>
      <c r="D776" s="22">
        <f>IF(A776="","",IF(OR(N(B776)&gt;=$C$2,N(C776)&gt;=$E$2),"High",IF(OR(N(B776)&gt;0,N(C776)&gt;0),"Medium","Low")))</f>
        <v/>
      </c>
      <c r="E776" s="22" t="n"/>
      <c r="F776" s="22" t="n"/>
      <c r="G776" s="22" t="n"/>
      <c r="H776" s="22" t="n"/>
      <c r="I776" s="22" t="n"/>
      <c r="J776" s="22" t="n"/>
      <c r="K776" s="22" t="n"/>
      <c r="L776" s="22" t="n"/>
      <c r="M776" s="22">
        <f>IF(K776="Override",L776,IF(K776="Accept suggestion",F776,IF(K776="No change (same URL)",A776,"")))</f>
        <v/>
      </c>
      <c r="N776" s="22">
        <f>IF(A776="","",IF(K776="410 Gone","410",IF(K776="404","404",IF(K776="No change (same URL)","none",IF(M776="","","301")))))</f>
        <v/>
      </c>
      <c r="O776" s="22">
        <f>IF(A776="","",IFERROR(MID(A776,FIND("/",A776,FIND("//",A776)+2),2000),A776))</f>
        <v/>
      </c>
      <c r="P776" s="22">
        <f>IF(OR(O776="",N776="",N776="none",N776="404"),"",IF(N776="410","Redirect gone "&amp;O776,"Redirect "&amp;N776&amp;" "&amp;O776&amp;" "&amp;M776))</f>
        <v/>
      </c>
      <c r="Q776" s="22" t="n"/>
      <c r="R776" s="22" t="n"/>
      <c r="S776" s="22" t="n"/>
      <c r="T776" s="4">
        <f>IF(A776="","",TRIM(IF(K776="","Needs decision; ","")&amp;IF(AND(K776="Accept suggestion",F776=""),"No suggestion to accept; ","")&amp;IF(AND(K776="Override",L776=""),"Override URL missing; ","")&amp;IF(AND(K776="Accept suggestion",N(G776)&lt;$G$2),"Below your threshold; ","")&amp;IF(AND(M776&lt;&gt;"",M776=A776,K776&lt;&gt;"No change (same URL)"),"Redirects to itself; ","")&amp;IF(AND(M776&lt;&gt;"",OR(M776="/",AND(LEFT(M776,4)="http",OR((LEN(M776)-LEN(SUBSTITUTE(M776,"/","")))=2,AND((LEN(M776)-LEN(SUBSTITUTE(M776,"/","")))=3,RIGHT(M776,1)="/"))))),"Home page redirect; ","")&amp;IF(N(R776)&gt;1,"Chain; ","")&amp;IF(S776="No","Destination not 200; ","")))</f>
        <v/>
      </c>
      <c r="U776" s="22" t="n"/>
      <c r="V776" s="22" t="n"/>
      <c r="W776" s="4" t="n"/>
    </row>
    <row r="777">
      <c r="A777" s="22" t="n"/>
      <c r="B777" s="22" t="n"/>
      <c r="C777" s="22" t="n"/>
      <c r="D777" s="22">
        <f>IF(A777="","",IF(OR(N(B777)&gt;=$C$2,N(C777)&gt;=$E$2),"High",IF(OR(N(B777)&gt;0,N(C777)&gt;0),"Medium","Low")))</f>
        <v/>
      </c>
      <c r="E777" s="22" t="n"/>
      <c r="F777" s="22" t="n"/>
      <c r="G777" s="22" t="n"/>
      <c r="H777" s="22" t="n"/>
      <c r="I777" s="22" t="n"/>
      <c r="J777" s="22" t="n"/>
      <c r="K777" s="22" t="n"/>
      <c r="L777" s="22" t="n"/>
      <c r="M777" s="22">
        <f>IF(K777="Override",L777,IF(K777="Accept suggestion",F777,IF(K777="No change (same URL)",A777,"")))</f>
        <v/>
      </c>
      <c r="N777" s="22">
        <f>IF(A777="","",IF(K777="410 Gone","410",IF(K777="404","404",IF(K777="No change (same URL)","none",IF(M777="","","301")))))</f>
        <v/>
      </c>
      <c r="O777" s="22">
        <f>IF(A777="","",IFERROR(MID(A777,FIND("/",A777,FIND("//",A777)+2),2000),A777))</f>
        <v/>
      </c>
      <c r="P777" s="22">
        <f>IF(OR(O777="",N777="",N777="none",N777="404"),"",IF(N777="410","Redirect gone "&amp;O777,"Redirect "&amp;N777&amp;" "&amp;O777&amp;" "&amp;M777))</f>
        <v/>
      </c>
      <c r="Q777" s="22" t="n"/>
      <c r="R777" s="22" t="n"/>
      <c r="S777" s="22" t="n"/>
      <c r="T777" s="4">
        <f>IF(A777="","",TRIM(IF(K777="","Needs decision; ","")&amp;IF(AND(K777="Accept suggestion",F777=""),"No suggestion to accept; ","")&amp;IF(AND(K777="Override",L777=""),"Override URL missing; ","")&amp;IF(AND(K777="Accept suggestion",N(G777)&lt;$G$2),"Below your threshold; ","")&amp;IF(AND(M777&lt;&gt;"",M777=A777,K777&lt;&gt;"No change (same URL)"),"Redirects to itself; ","")&amp;IF(AND(M777&lt;&gt;"",OR(M777="/",AND(LEFT(M777,4)="http",OR((LEN(M777)-LEN(SUBSTITUTE(M777,"/","")))=2,AND((LEN(M777)-LEN(SUBSTITUTE(M777,"/","")))=3,RIGHT(M777,1)="/"))))),"Home page redirect; ","")&amp;IF(N(R777)&gt;1,"Chain; ","")&amp;IF(S777="No","Destination not 200; ","")))</f>
        <v/>
      </c>
      <c r="U777" s="22" t="n"/>
      <c r="V777" s="22" t="n"/>
      <c r="W777" s="4" t="n"/>
    </row>
    <row r="778">
      <c r="A778" s="22" t="n"/>
      <c r="B778" s="22" t="n"/>
      <c r="C778" s="22" t="n"/>
      <c r="D778" s="22">
        <f>IF(A778="","",IF(OR(N(B778)&gt;=$C$2,N(C778)&gt;=$E$2),"High",IF(OR(N(B778)&gt;0,N(C778)&gt;0),"Medium","Low")))</f>
        <v/>
      </c>
      <c r="E778" s="22" t="n"/>
      <c r="F778" s="22" t="n"/>
      <c r="G778" s="22" t="n"/>
      <c r="H778" s="22" t="n"/>
      <c r="I778" s="22" t="n"/>
      <c r="J778" s="22" t="n"/>
      <c r="K778" s="22" t="n"/>
      <c r="L778" s="22" t="n"/>
      <c r="M778" s="22">
        <f>IF(K778="Override",L778,IF(K778="Accept suggestion",F778,IF(K778="No change (same URL)",A778,"")))</f>
        <v/>
      </c>
      <c r="N778" s="22">
        <f>IF(A778="","",IF(K778="410 Gone","410",IF(K778="404","404",IF(K778="No change (same URL)","none",IF(M778="","","301")))))</f>
        <v/>
      </c>
      <c r="O778" s="22">
        <f>IF(A778="","",IFERROR(MID(A778,FIND("/",A778,FIND("//",A778)+2),2000),A778))</f>
        <v/>
      </c>
      <c r="P778" s="22">
        <f>IF(OR(O778="",N778="",N778="none",N778="404"),"",IF(N778="410","Redirect gone "&amp;O778,"Redirect "&amp;N778&amp;" "&amp;O778&amp;" "&amp;M778))</f>
        <v/>
      </c>
      <c r="Q778" s="22" t="n"/>
      <c r="R778" s="22" t="n"/>
      <c r="S778" s="22" t="n"/>
      <c r="T778" s="4">
        <f>IF(A778="","",TRIM(IF(K778="","Needs decision; ","")&amp;IF(AND(K778="Accept suggestion",F778=""),"No suggestion to accept; ","")&amp;IF(AND(K778="Override",L778=""),"Override URL missing; ","")&amp;IF(AND(K778="Accept suggestion",N(G778)&lt;$G$2),"Below your threshold; ","")&amp;IF(AND(M778&lt;&gt;"",M778=A778,K778&lt;&gt;"No change (same URL)"),"Redirects to itself; ","")&amp;IF(AND(M778&lt;&gt;"",OR(M778="/",AND(LEFT(M778,4)="http",OR((LEN(M778)-LEN(SUBSTITUTE(M778,"/","")))=2,AND((LEN(M778)-LEN(SUBSTITUTE(M778,"/","")))=3,RIGHT(M778,1)="/"))))),"Home page redirect; ","")&amp;IF(N(R778)&gt;1,"Chain; ","")&amp;IF(S778="No","Destination not 200; ","")))</f>
        <v/>
      </c>
      <c r="U778" s="22" t="n"/>
      <c r="V778" s="22" t="n"/>
      <c r="W778" s="4" t="n"/>
    </row>
    <row r="779">
      <c r="A779" s="22" t="n"/>
      <c r="B779" s="22" t="n"/>
      <c r="C779" s="22" t="n"/>
      <c r="D779" s="22">
        <f>IF(A779="","",IF(OR(N(B779)&gt;=$C$2,N(C779)&gt;=$E$2),"High",IF(OR(N(B779)&gt;0,N(C779)&gt;0),"Medium","Low")))</f>
        <v/>
      </c>
      <c r="E779" s="22" t="n"/>
      <c r="F779" s="22" t="n"/>
      <c r="G779" s="22" t="n"/>
      <c r="H779" s="22" t="n"/>
      <c r="I779" s="22" t="n"/>
      <c r="J779" s="22" t="n"/>
      <c r="K779" s="22" t="n"/>
      <c r="L779" s="22" t="n"/>
      <c r="M779" s="22">
        <f>IF(K779="Override",L779,IF(K779="Accept suggestion",F779,IF(K779="No change (same URL)",A779,"")))</f>
        <v/>
      </c>
      <c r="N779" s="22">
        <f>IF(A779="","",IF(K779="410 Gone","410",IF(K779="404","404",IF(K779="No change (same URL)","none",IF(M779="","","301")))))</f>
        <v/>
      </c>
      <c r="O779" s="22">
        <f>IF(A779="","",IFERROR(MID(A779,FIND("/",A779,FIND("//",A779)+2),2000),A779))</f>
        <v/>
      </c>
      <c r="P779" s="22">
        <f>IF(OR(O779="",N779="",N779="none",N779="404"),"",IF(N779="410","Redirect gone "&amp;O779,"Redirect "&amp;N779&amp;" "&amp;O779&amp;" "&amp;M779))</f>
        <v/>
      </c>
      <c r="Q779" s="22" t="n"/>
      <c r="R779" s="22" t="n"/>
      <c r="S779" s="22" t="n"/>
      <c r="T779" s="4">
        <f>IF(A779="","",TRIM(IF(K779="","Needs decision; ","")&amp;IF(AND(K779="Accept suggestion",F779=""),"No suggestion to accept; ","")&amp;IF(AND(K779="Override",L779=""),"Override URL missing; ","")&amp;IF(AND(K779="Accept suggestion",N(G779)&lt;$G$2),"Below your threshold; ","")&amp;IF(AND(M779&lt;&gt;"",M779=A779,K779&lt;&gt;"No change (same URL)"),"Redirects to itself; ","")&amp;IF(AND(M779&lt;&gt;"",OR(M779="/",AND(LEFT(M779,4)="http",OR((LEN(M779)-LEN(SUBSTITUTE(M779,"/","")))=2,AND((LEN(M779)-LEN(SUBSTITUTE(M779,"/","")))=3,RIGHT(M779,1)="/"))))),"Home page redirect; ","")&amp;IF(N(R779)&gt;1,"Chain; ","")&amp;IF(S779="No","Destination not 200; ","")))</f>
        <v/>
      </c>
      <c r="U779" s="22" t="n"/>
      <c r="V779" s="22" t="n"/>
      <c r="W779" s="4" t="n"/>
    </row>
    <row r="780">
      <c r="A780" s="22" t="n"/>
      <c r="B780" s="22" t="n"/>
      <c r="C780" s="22" t="n"/>
      <c r="D780" s="22">
        <f>IF(A780="","",IF(OR(N(B780)&gt;=$C$2,N(C780)&gt;=$E$2),"High",IF(OR(N(B780)&gt;0,N(C780)&gt;0),"Medium","Low")))</f>
        <v/>
      </c>
      <c r="E780" s="22" t="n"/>
      <c r="F780" s="22" t="n"/>
      <c r="G780" s="22" t="n"/>
      <c r="H780" s="22" t="n"/>
      <c r="I780" s="22" t="n"/>
      <c r="J780" s="22" t="n"/>
      <c r="K780" s="22" t="n"/>
      <c r="L780" s="22" t="n"/>
      <c r="M780" s="22">
        <f>IF(K780="Override",L780,IF(K780="Accept suggestion",F780,IF(K780="No change (same URL)",A780,"")))</f>
        <v/>
      </c>
      <c r="N780" s="22">
        <f>IF(A780="","",IF(K780="410 Gone","410",IF(K780="404","404",IF(K780="No change (same URL)","none",IF(M780="","","301")))))</f>
        <v/>
      </c>
      <c r="O780" s="22">
        <f>IF(A780="","",IFERROR(MID(A780,FIND("/",A780,FIND("//",A780)+2),2000),A780))</f>
        <v/>
      </c>
      <c r="P780" s="22">
        <f>IF(OR(O780="",N780="",N780="none",N780="404"),"",IF(N780="410","Redirect gone "&amp;O780,"Redirect "&amp;N780&amp;" "&amp;O780&amp;" "&amp;M780))</f>
        <v/>
      </c>
      <c r="Q780" s="22" t="n"/>
      <c r="R780" s="22" t="n"/>
      <c r="S780" s="22" t="n"/>
      <c r="T780" s="4">
        <f>IF(A780="","",TRIM(IF(K780="","Needs decision; ","")&amp;IF(AND(K780="Accept suggestion",F780=""),"No suggestion to accept; ","")&amp;IF(AND(K780="Override",L780=""),"Override URL missing; ","")&amp;IF(AND(K780="Accept suggestion",N(G780)&lt;$G$2),"Below your threshold; ","")&amp;IF(AND(M780&lt;&gt;"",M780=A780,K780&lt;&gt;"No change (same URL)"),"Redirects to itself; ","")&amp;IF(AND(M780&lt;&gt;"",OR(M780="/",AND(LEFT(M780,4)="http",OR((LEN(M780)-LEN(SUBSTITUTE(M780,"/","")))=2,AND((LEN(M780)-LEN(SUBSTITUTE(M780,"/","")))=3,RIGHT(M780,1)="/"))))),"Home page redirect; ","")&amp;IF(N(R780)&gt;1,"Chain; ","")&amp;IF(S780="No","Destination not 200; ","")))</f>
        <v/>
      </c>
      <c r="U780" s="22" t="n"/>
      <c r="V780" s="22" t="n"/>
      <c r="W780" s="4" t="n"/>
    </row>
    <row r="781">
      <c r="A781" s="22" t="n"/>
      <c r="B781" s="22" t="n"/>
      <c r="C781" s="22" t="n"/>
      <c r="D781" s="22">
        <f>IF(A781="","",IF(OR(N(B781)&gt;=$C$2,N(C781)&gt;=$E$2),"High",IF(OR(N(B781)&gt;0,N(C781)&gt;0),"Medium","Low")))</f>
        <v/>
      </c>
      <c r="E781" s="22" t="n"/>
      <c r="F781" s="22" t="n"/>
      <c r="G781" s="22" t="n"/>
      <c r="H781" s="22" t="n"/>
      <c r="I781" s="22" t="n"/>
      <c r="J781" s="22" t="n"/>
      <c r="K781" s="22" t="n"/>
      <c r="L781" s="22" t="n"/>
      <c r="M781" s="22">
        <f>IF(K781="Override",L781,IF(K781="Accept suggestion",F781,IF(K781="No change (same URL)",A781,"")))</f>
        <v/>
      </c>
      <c r="N781" s="22">
        <f>IF(A781="","",IF(K781="410 Gone","410",IF(K781="404","404",IF(K781="No change (same URL)","none",IF(M781="","","301")))))</f>
        <v/>
      </c>
      <c r="O781" s="22">
        <f>IF(A781="","",IFERROR(MID(A781,FIND("/",A781,FIND("//",A781)+2),2000),A781))</f>
        <v/>
      </c>
      <c r="P781" s="22">
        <f>IF(OR(O781="",N781="",N781="none",N781="404"),"",IF(N781="410","Redirect gone "&amp;O781,"Redirect "&amp;N781&amp;" "&amp;O781&amp;" "&amp;M781))</f>
        <v/>
      </c>
      <c r="Q781" s="22" t="n"/>
      <c r="R781" s="22" t="n"/>
      <c r="S781" s="22" t="n"/>
      <c r="T781" s="4">
        <f>IF(A781="","",TRIM(IF(K781="","Needs decision; ","")&amp;IF(AND(K781="Accept suggestion",F781=""),"No suggestion to accept; ","")&amp;IF(AND(K781="Override",L781=""),"Override URL missing; ","")&amp;IF(AND(K781="Accept suggestion",N(G781)&lt;$G$2),"Below your threshold; ","")&amp;IF(AND(M781&lt;&gt;"",M781=A781,K781&lt;&gt;"No change (same URL)"),"Redirects to itself; ","")&amp;IF(AND(M781&lt;&gt;"",OR(M781="/",AND(LEFT(M781,4)="http",OR((LEN(M781)-LEN(SUBSTITUTE(M781,"/","")))=2,AND((LEN(M781)-LEN(SUBSTITUTE(M781,"/","")))=3,RIGHT(M781,1)="/"))))),"Home page redirect; ","")&amp;IF(N(R781)&gt;1,"Chain; ","")&amp;IF(S781="No","Destination not 200; ","")))</f>
        <v/>
      </c>
      <c r="U781" s="22" t="n"/>
      <c r="V781" s="22" t="n"/>
      <c r="W781" s="4" t="n"/>
    </row>
    <row r="782">
      <c r="A782" s="22" t="n"/>
      <c r="B782" s="22" t="n"/>
      <c r="C782" s="22" t="n"/>
      <c r="D782" s="22">
        <f>IF(A782="","",IF(OR(N(B782)&gt;=$C$2,N(C782)&gt;=$E$2),"High",IF(OR(N(B782)&gt;0,N(C782)&gt;0),"Medium","Low")))</f>
        <v/>
      </c>
      <c r="E782" s="22" t="n"/>
      <c r="F782" s="22" t="n"/>
      <c r="G782" s="22" t="n"/>
      <c r="H782" s="22" t="n"/>
      <c r="I782" s="22" t="n"/>
      <c r="J782" s="22" t="n"/>
      <c r="K782" s="22" t="n"/>
      <c r="L782" s="22" t="n"/>
      <c r="M782" s="22">
        <f>IF(K782="Override",L782,IF(K782="Accept suggestion",F782,IF(K782="No change (same URL)",A782,"")))</f>
        <v/>
      </c>
      <c r="N782" s="22">
        <f>IF(A782="","",IF(K782="410 Gone","410",IF(K782="404","404",IF(K782="No change (same URL)","none",IF(M782="","","301")))))</f>
        <v/>
      </c>
      <c r="O782" s="22">
        <f>IF(A782="","",IFERROR(MID(A782,FIND("/",A782,FIND("//",A782)+2),2000),A782))</f>
        <v/>
      </c>
      <c r="P782" s="22">
        <f>IF(OR(O782="",N782="",N782="none",N782="404"),"",IF(N782="410","Redirect gone "&amp;O782,"Redirect "&amp;N782&amp;" "&amp;O782&amp;" "&amp;M782))</f>
        <v/>
      </c>
      <c r="Q782" s="22" t="n"/>
      <c r="R782" s="22" t="n"/>
      <c r="S782" s="22" t="n"/>
      <c r="T782" s="4">
        <f>IF(A782="","",TRIM(IF(K782="","Needs decision; ","")&amp;IF(AND(K782="Accept suggestion",F782=""),"No suggestion to accept; ","")&amp;IF(AND(K782="Override",L782=""),"Override URL missing; ","")&amp;IF(AND(K782="Accept suggestion",N(G782)&lt;$G$2),"Below your threshold; ","")&amp;IF(AND(M782&lt;&gt;"",M782=A782,K782&lt;&gt;"No change (same URL)"),"Redirects to itself; ","")&amp;IF(AND(M782&lt;&gt;"",OR(M782="/",AND(LEFT(M782,4)="http",OR((LEN(M782)-LEN(SUBSTITUTE(M782,"/","")))=2,AND((LEN(M782)-LEN(SUBSTITUTE(M782,"/","")))=3,RIGHT(M782,1)="/"))))),"Home page redirect; ","")&amp;IF(N(R782)&gt;1,"Chain; ","")&amp;IF(S782="No","Destination not 200; ","")))</f>
        <v/>
      </c>
      <c r="U782" s="22" t="n"/>
      <c r="V782" s="22" t="n"/>
      <c r="W782" s="4" t="n"/>
    </row>
    <row r="783">
      <c r="A783" s="22" t="n"/>
      <c r="B783" s="22" t="n"/>
      <c r="C783" s="22" t="n"/>
      <c r="D783" s="22">
        <f>IF(A783="","",IF(OR(N(B783)&gt;=$C$2,N(C783)&gt;=$E$2),"High",IF(OR(N(B783)&gt;0,N(C783)&gt;0),"Medium","Low")))</f>
        <v/>
      </c>
      <c r="E783" s="22" t="n"/>
      <c r="F783" s="22" t="n"/>
      <c r="G783" s="22" t="n"/>
      <c r="H783" s="22" t="n"/>
      <c r="I783" s="22" t="n"/>
      <c r="J783" s="22" t="n"/>
      <c r="K783" s="22" t="n"/>
      <c r="L783" s="22" t="n"/>
      <c r="M783" s="22">
        <f>IF(K783="Override",L783,IF(K783="Accept suggestion",F783,IF(K783="No change (same URL)",A783,"")))</f>
        <v/>
      </c>
      <c r="N783" s="22">
        <f>IF(A783="","",IF(K783="410 Gone","410",IF(K783="404","404",IF(K783="No change (same URL)","none",IF(M783="","","301")))))</f>
        <v/>
      </c>
      <c r="O783" s="22">
        <f>IF(A783="","",IFERROR(MID(A783,FIND("/",A783,FIND("//",A783)+2),2000),A783))</f>
        <v/>
      </c>
      <c r="P783" s="22">
        <f>IF(OR(O783="",N783="",N783="none",N783="404"),"",IF(N783="410","Redirect gone "&amp;O783,"Redirect "&amp;N783&amp;" "&amp;O783&amp;" "&amp;M783))</f>
        <v/>
      </c>
      <c r="Q783" s="22" t="n"/>
      <c r="R783" s="22" t="n"/>
      <c r="S783" s="22" t="n"/>
      <c r="T783" s="4">
        <f>IF(A783="","",TRIM(IF(K783="","Needs decision; ","")&amp;IF(AND(K783="Accept suggestion",F783=""),"No suggestion to accept; ","")&amp;IF(AND(K783="Override",L783=""),"Override URL missing; ","")&amp;IF(AND(K783="Accept suggestion",N(G783)&lt;$G$2),"Below your threshold; ","")&amp;IF(AND(M783&lt;&gt;"",M783=A783,K783&lt;&gt;"No change (same URL)"),"Redirects to itself; ","")&amp;IF(AND(M783&lt;&gt;"",OR(M783="/",AND(LEFT(M783,4)="http",OR((LEN(M783)-LEN(SUBSTITUTE(M783,"/","")))=2,AND((LEN(M783)-LEN(SUBSTITUTE(M783,"/","")))=3,RIGHT(M783,1)="/"))))),"Home page redirect; ","")&amp;IF(N(R783)&gt;1,"Chain; ","")&amp;IF(S783="No","Destination not 200; ","")))</f>
        <v/>
      </c>
      <c r="U783" s="22" t="n"/>
      <c r="V783" s="22" t="n"/>
      <c r="W783" s="4" t="n"/>
    </row>
    <row r="784">
      <c r="A784" s="22" t="n"/>
      <c r="B784" s="22" t="n"/>
      <c r="C784" s="22" t="n"/>
      <c r="D784" s="22">
        <f>IF(A784="","",IF(OR(N(B784)&gt;=$C$2,N(C784)&gt;=$E$2),"High",IF(OR(N(B784)&gt;0,N(C784)&gt;0),"Medium","Low")))</f>
        <v/>
      </c>
      <c r="E784" s="22" t="n"/>
      <c r="F784" s="22" t="n"/>
      <c r="G784" s="22" t="n"/>
      <c r="H784" s="22" t="n"/>
      <c r="I784" s="22" t="n"/>
      <c r="J784" s="22" t="n"/>
      <c r="K784" s="22" t="n"/>
      <c r="L784" s="22" t="n"/>
      <c r="M784" s="22">
        <f>IF(K784="Override",L784,IF(K784="Accept suggestion",F784,IF(K784="No change (same URL)",A784,"")))</f>
        <v/>
      </c>
      <c r="N784" s="22">
        <f>IF(A784="","",IF(K784="410 Gone","410",IF(K784="404","404",IF(K784="No change (same URL)","none",IF(M784="","","301")))))</f>
        <v/>
      </c>
      <c r="O784" s="22">
        <f>IF(A784="","",IFERROR(MID(A784,FIND("/",A784,FIND("//",A784)+2),2000),A784))</f>
        <v/>
      </c>
      <c r="P784" s="22">
        <f>IF(OR(O784="",N784="",N784="none",N784="404"),"",IF(N784="410","Redirect gone "&amp;O784,"Redirect "&amp;N784&amp;" "&amp;O784&amp;" "&amp;M784))</f>
        <v/>
      </c>
      <c r="Q784" s="22" t="n"/>
      <c r="R784" s="22" t="n"/>
      <c r="S784" s="22" t="n"/>
      <c r="T784" s="4">
        <f>IF(A784="","",TRIM(IF(K784="","Needs decision; ","")&amp;IF(AND(K784="Accept suggestion",F784=""),"No suggestion to accept; ","")&amp;IF(AND(K784="Override",L784=""),"Override URL missing; ","")&amp;IF(AND(K784="Accept suggestion",N(G784)&lt;$G$2),"Below your threshold; ","")&amp;IF(AND(M784&lt;&gt;"",M784=A784,K784&lt;&gt;"No change (same URL)"),"Redirects to itself; ","")&amp;IF(AND(M784&lt;&gt;"",OR(M784="/",AND(LEFT(M784,4)="http",OR((LEN(M784)-LEN(SUBSTITUTE(M784,"/","")))=2,AND((LEN(M784)-LEN(SUBSTITUTE(M784,"/","")))=3,RIGHT(M784,1)="/"))))),"Home page redirect; ","")&amp;IF(N(R784)&gt;1,"Chain; ","")&amp;IF(S784="No","Destination not 200; ","")))</f>
        <v/>
      </c>
      <c r="U784" s="22" t="n"/>
      <c r="V784" s="22" t="n"/>
      <c r="W784" s="4" t="n"/>
    </row>
    <row r="785">
      <c r="A785" s="22" t="n"/>
      <c r="B785" s="22" t="n"/>
      <c r="C785" s="22" t="n"/>
      <c r="D785" s="22">
        <f>IF(A785="","",IF(OR(N(B785)&gt;=$C$2,N(C785)&gt;=$E$2),"High",IF(OR(N(B785)&gt;0,N(C785)&gt;0),"Medium","Low")))</f>
        <v/>
      </c>
      <c r="E785" s="22" t="n"/>
      <c r="F785" s="22" t="n"/>
      <c r="G785" s="22" t="n"/>
      <c r="H785" s="22" t="n"/>
      <c r="I785" s="22" t="n"/>
      <c r="J785" s="22" t="n"/>
      <c r="K785" s="22" t="n"/>
      <c r="L785" s="22" t="n"/>
      <c r="M785" s="22">
        <f>IF(K785="Override",L785,IF(K785="Accept suggestion",F785,IF(K785="No change (same URL)",A785,"")))</f>
        <v/>
      </c>
      <c r="N785" s="22">
        <f>IF(A785="","",IF(K785="410 Gone","410",IF(K785="404","404",IF(K785="No change (same URL)","none",IF(M785="","","301")))))</f>
        <v/>
      </c>
      <c r="O785" s="22">
        <f>IF(A785="","",IFERROR(MID(A785,FIND("/",A785,FIND("//",A785)+2),2000),A785))</f>
        <v/>
      </c>
      <c r="P785" s="22">
        <f>IF(OR(O785="",N785="",N785="none",N785="404"),"",IF(N785="410","Redirect gone "&amp;O785,"Redirect "&amp;N785&amp;" "&amp;O785&amp;" "&amp;M785))</f>
        <v/>
      </c>
      <c r="Q785" s="22" t="n"/>
      <c r="R785" s="22" t="n"/>
      <c r="S785" s="22" t="n"/>
      <c r="T785" s="4">
        <f>IF(A785="","",TRIM(IF(K785="","Needs decision; ","")&amp;IF(AND(K785="Accept suggestion",F785=""),"No suggestion to accept; ","")&amp;IF(AND(K785="Override",L785=""),"Override URL missing; ","")&amp;IF(AND(K785="Accept suggestion",N(G785)&lt;$G$2),"Below your threshold; ","")&amp;IF(AND(M785&lt;&gt;"",M785=A785,K785&lt;&gt;"No change (same URL)"),"Redirects to itself; ","")&amp;IF(AND(M785&lt;&gt;"",OR(M785="/",AND(LEFT(M785,4)="http",OR((LEN(M785)-LEN(SUBSTITUTE(M785,"/","")))=2,AND((LEN(M785)-LEN(SUBSTITUTE(M785,"/","")))=3,RIGHT(M785,1)="/"))))),"Home page redirect; ","")&amp;IF(N(R785)&gt;1,"Chain; ","")&amp;IF(S785="No","Destination not 200; ","")))</f>
        <v/>
      </c>
      <c r="U785" s="22" t="n"/>
      <c r="V785" s="22" t="n"/>
      <c r="W785" s="4" t="n"/>
    </row>
    <row r="786">
      <c r="A786" s="22" t="n"/>
      <c r="B786" s="22" t="n"/>
      <c r="C786" s="22" t="n"/>
      <c r="D786" s="22">
        <f>IF(A786="","",IF(OR(N(B786)&gt;=$C$2,N(C786)&gt;=$E$2),"High",IF(OR(N(B786)&gt;0,N(C786)&gt;0),"Medium","Low")))</f>
        <v/>
      </c>
      <c r="E786" s="22" t="n"/>
      <c r="F786" s="22" t="n"/>
      <c r="G786" s="22" t="n"/>
      <c r="H786" s="22" t="n"/>
      <c r="I786" s="22" t="n"/>
      <c r="J786" s="22" t="n"/>
      <c r="K786" s="22" t="n"/>
      <c r="L786" s="22" t="n"/>
      <c r="M786" s="22">
        <f>IF(K786="Override",L786,IF(K786="Accept suggestion",F786,IF(K786="No change (same URL)",A786,"")))</f>
        <v/>
      </c>
      <c r="N786" s="22">
        <f>IF(A786="","",IF(K786="410 Gone","410",IF(K786="404","404",IF(K786="No change (same URL)","none",IF(M786="","","301")))))</f>
        <v/>
      </c>
      <c r="O786" s="22">
        <f>IF(A786="","",IFERROR(MID(A786,FIND("/",A786,FIND("//",A786)+2),2000),A786))</f>
        <v/>
      </c>
      <c r="P786" s="22">
        <f>IF(OR(O786="",N786="",N786="none",N786="404"),"",IF(N786="410","Redirect gone "&amp;O786,"Redirect "&amp;N786&amp;" "&amp;O786&amp;" "&amp;M786))</f>
        <v/>
      </c>
      <c r="Q786" s="22" t="n"/>
      <c r="R786" s="22" t="n"/>
      <c r="S786" s="22" t="n"/>
      <c r="T786" s="4">
        <f>IF(A786="","",TRIM(IF(K786="","Needs decision; ","")&amp;IF(AND(K786="Accept suggestion",F786=""),"No suggestion to accept; ","")&amp;IF(AND(K786="Override",L786=""),"Override URL missing; ","")&amp;IF(AND(K786="Accept suggestion",N(G786)&lt;$G$2),"Below your threshold; ","")&amp;IF(AND(M786&lt;&gt;"",M786=A786,K786&lt;&gt;"No change (same URL)"),"Redirects to itself; ","")&amp;IF(AND(M786&lt;&gt;"",OR(M786="/",AND(LEFT(M786,4)="http",OR((LEN(M786)-LEN(SUBSTITUTE(M786,"/","")))=2,AND((LEN(M786)-LEN(SUBSTITUTE(M786,"/","")))=3,RIGHT(M786,1)="/"))))),"Home page redirect; ","")&amp;IF(N(R786)&gt;1,"Chain; ","")&amp;IF(S786="No","Destination not 200; ","")))</f>
        <v/>
      </c>
      <c r="U786" s="22" t="n"/>
      <c r="V786" s="22" t="n"/>
      <c r="W786" s="4" t="n"/>
    </row>
    <row r="787">
      <c r="A787" s="22" t="n"/>
      <c r="B787" s="22" t="n"/>
      <c r="C787" s="22" t="n"/>
      <c r="D787" s="22">
        <f>IF(A787="","",IF(OR(N(B787)&gt;=$C$2,N(C787)&gt;=$E$2),"High",IF(OR(N(B787)&gt;0,N(C787)&gt;0),"Medium","Low")))</f>
        <v/>
      </c>
      <c r="E787" s="22" t="n"/>
      <c r="F787" s="22" t="n"/>
      <c r="G787" s="22" t="n"/>
      <c r="H787" s="22" t="n"/>
      <c r="I787" s="22" t="n"/>
      <c r="J787" s="22" t="n"/>
      <c r="K787" s="22" t="n"/>
      <c r="L787" s="22" t="n"/>
      <c r="M787" s="22">
        <f>IF(K787="Override",L787,IF(K787="Accept suggestion",F787,IF(K787="No change (same URL)",A787,"")))</f>
        <v/>
      </c>
      <c r="N787" s="22">
        <f>IF(A787="","",IF(K787="410 Gone","410",IF(K787="404","404",IF(K787="No change (same URL)","none",IF(M787="","","301")))))</f>
        <v/>
      </c>
      <c r="O787" s="22">
        <f>IF(A787="","",IFERROR(MID(A787,FIND("/",A787,FIND("//",A787)+2),2000),A787))</f>
        <v/>
      </c>
      <c r="P787" s="22">
        <f>IF(OR(O787="",N787="",N787="none",N787="404"),"",IF(N787="410","Redirect gone "&amp;O787,"Redirect "&amp;N787&amp;" "&amp;O787&amp;" "&amp;M787))</f>
        <v/>
      </c>
      <c r="Q787" s="22" t="n"/>
      <c r="R787" s="22" t="n"/>
      <c r="S787" s="22" t="n"/>
      <c r="T787" s="4">
        <f>IF(A787="","",TRIM(IF(K787="","Needs decision; ","")&amp;IF(AND(K787="Accept suggestion",F787=""),"No suggestion to accept; ","")&amp;IF(AND(K787="Override",L787=""),"Override URL missing; ","")&amp;IF(AND(K787="Accept suggestion",N(G787)&lt;$G$2),"Below your threshold; ","")&amp;IF(AND(M787&lt;&gt;"",M787=A787,K787&lt;&gt;"No change (same URL)"),"Redirects to itself; ","")&amp;IF(AND(M787&lt;&gt;"",OR(M787="/",AND(LEFT(M787,4)="http",OR((LEN(M787)-LEN(SUBSTITUTE(M787,"/","")))=2,AND((LEN(M787)-LEN(SUBSTITUTE(M787,"/","")))=3,RIGHT(M787,1)="/"))))),"Home page redirect; ","")&amp;IF(N(R787)&gt;1,"Chain; ","")&amp;IF(S787="No","Destination not 200; ","")))</f>
        <v/>
      </c>
      <c r="U787" s="22" t="n"/>
      <c r="V787" s="22" t="n"/>
      <c r="W787" s="4" t="n"/>
    </row>
    <row r="788">
      <c r="A788" s="22" t="n"/>
      <c r="B788" s="22" t="n"/>
      <c r="C788" s="22" t="n"/>
      <c r="D788" s="22">
        <f>IF(A788="","",IF(OR(N(B788)&gt;=$C$2,N(C788)&gt;=$E$2),"High",IF(OR(N(B788)&gt;0,N(C788)&gt;0),"Medium","Low")))</f>
        <v/>
      </c>
      <c r="E788" s="22" t="n"/>
      <c r="F788" s="22" t="n"/>
      <c r="G788" s="22" t="n"/>
      <c r="H788" s="22" t="n"/>
      <c r="I788" s="22" t="n"/>
      <c r="J788" s="22" t="n"/>
      <c r="K788" s="22" t="n"/>
      <c r="L788" s="22" t="n"/>
      <c r="M788" s="22">
        <f>IF(K788="Override",L788,IF(K788="Accept suggestion",F788,IF(K788="No change (same URL)",A788,"")))</f>
        <v/>
      </c>
      <c r="N788" s="22">
        <f>IF(A788="","",IF(K788="410 Gone","410",IF(K788="404","404",IF(K788="No change (same URL)","none",IF(M788="","","301")))))</f>
        <v/>
      </c>
      <c r="O788" s="22">
        <f>IF(A788="","",IFERROR(MID(A788,FIND("/",A788,FIND("//",A788)+2),2000),A788))</f>
        <v/>
      </c>
      <c r="P788" s="22">
        <f>IF(OR(O788="",N788="",N788="none",N788="404"),"",IF(N788="410","Redirect gone "&amp;O788,"Redirect "&amp;N788&amp;" "&amp;O788&amp;" "&amp;M788))</f>
        <v/>
      </c>
      <c r="Q788" s="22" t="n"/>
      <c r="R788" s="22" t="n"/>
      <c r="S788" s="22" t="n"/>
      <c r="T788" s="4">
        <f>IF(A788="","",TRIM(IF(K788="","Needs decision; ","")&amp;IF(AND(K788="Accept suggestion",F788=""),"No suggestion to accept; ","")&amp;IF(AND(K788="Override",L788=""),"Override URL missing; ","")&amp;IF(AND(K788="Accept suggestion",N(G788)&lt;$G$2),"Below your threshold; ","")&amp;IF(AND(M788&lt;&gt;"",M788=A788,K788&lt;&gt;"No change (same URL)"),"Redirects to itself; ","")&amp;IF(AND(M788&lt;&gt;"",OR(M788="/",AND(LEFT(M788,4)="http",OR((LEN(M788)-LEN(SUBSTITUTE(M788,"/","")))=2,AND((LEN(M788)-LEN(SUBSTITUTE(M788,"/","")))=3,RIGHT(M788,1)="/"))))),"Home page redirect; ","")&amp;IF(N(R788)&gt;1,"Chain; ","")&amp;IF(S788="No","Destination not 200; ","")))</f>
        <v/>
      </c>
      <c r="U788" s="22" t="n"/>
      <c r="V788" s="22" t="n"/>
      <c r="W788" s="4" t="n"/>
    </row>
    <row r="789">
      <c r="A789" s="22" t="n"/>
      <c r="B789" s="22" t="n"/>
      <c r="C789" s="22" t="n"/>
      <c r="D789" s="22">
        <f>IF(A789="","",IF(OR(N(B789)&gt;=$C$2,N(C789)&gt;=$E$2),"High",IF(OR(N(B789)&gt;0,N(C789)&gt;0),"Medium","Low")))</f>
        <v/>
      </c>
      <c r="E789" s="22" t="n"/>
      <c r="F789" s="22" t="n"/>
      <c r="G789" s="22" t="n"/>
      <c r="H789" s="22" t="n"/>
      <c r="I789" s="22" t="n"/>
      <c r="J789" s="22" t="n"/>
      <c r="K789" s="22" t="n"/>
      <c r="L789" s="22" t="n"/>
      <c r="M789" s="22">
        <f>IF(K789="Override",L789,IF(K789="Accept suggestion",F789,IF(K789="No change (same URL)",A789,"")))</f>
        <v/>
      </c>
      <c r="N789" s="22">
        <f>IF(A789="","",IF(K789="410 Gone","410",IF(K789="404","404",IF(K789="No change (same URL)","none",IF(M789="","","301")))))</f>
        <v/>
      </c>
      <c r="O789" s="22">
        <f>IF(A789="","",IFERROR(MID(A789,FIND("/",A789,FIND("//",A789)+2),2000),A789))</f>
        <v/>
      </c>
      <c r="P789" s="22">
        <f>IF(OR(O789="",N789="",N789="none",N789="404"),"",IF(N789="410","Redirect gone "&amp;O789,"Redirect "&amp;N789&amp;" "&amp;O789&amp;" "&amp;M789))</f>
        <v/>
      </c>
      <c r="Q789" s="22" t="n"/>
      <c r="R789" s="22" t="n"/>
      <c r="S789" s="22" t="n"/>
      <c r="T789" s="4">
        <f>IF(A789="","",TRIM(IF(K789="","Needs decision; ","")&amp;IF(AND(K789="Accept suggestion",F789=""),"No suggestion to accept; ","")&amp;IF(AND(K789="Override",L789=""),"Override URL missing; ","")&amp;IF(AND(K789="Accept suggestion",N(G789)&lt;$G$2),"Below your threshold; ","")&amp;IF(AND(M789&lt;&gt;"",M789=A789,K789&lt;&gt;"No change (same URL)"),"Redirects to itself; ","")&amp;IF(AND(M789&lt;&gt;"",OR(M789="/",AND(LEFT(M789,4)="http",OR((LEN(M789)-LEN(SUBSTITUTE(M789,"/","")))=2,AND((LEN(M789)-LEN(SUBSTITUTE(M789,"/","")))=3,RIGHT(M789,1)="/"))))),"Home page redirect; ","")&amp;IF(N(R789)&gt;1,"Chain; ","")&amp;IF(S789="No","Destination not 200; ","")))</f>
        <v/>
      </c>
      <c r="U789" s="22" t="n"/>
      <c r="V789" s="22" t="n"/>
      <c r="W789" s="4" t="n"/>
    </row>
    <row r="790">
      <c r="A790" s="22" t="n"/>
      <c r="B790" s="22" t="n"/>
      <c r="C790" s="22" t="n"/>
      <c r="D790" s="22">
        <f>IF(A790="","",IF(OR(N(B790)&gt;=$C$2,N(C790)&gt;=$E$2),"High",IF(OR(N(B790)&gt;0,N(C790)&gt;0),"Medium","Low")))</f>
        <v/>
      </c>
      <c r="E790" s="22" t="n"/>
      <c r="F790" s="22" t="n"/>
      <c r="G790" s="22" t="n"/>
      <c r="H790" s="22" t="n"/>
      <c r="I790" s="22" t="n"/>
      <c r="J790" s="22" t="n"/>
      <c r="K790" s="22" t="n"/>
      <c r="L790" s="22" t="n"/>
      <c r="M790" s="22">
        <f>IF(K790="Override",L790,IF(K790="Accept suggestion",F790,IF(K790="No change (same URL)",A790,"")))</f>
        <v/>
      </c>
      <c r="N790" s="22">
        <f>IF(A790="","",IF(K790="410 Gone","410",IF(K790="404","404",IF(K790="No change (same URL)","none",IF(M790="","","301")))))</f>
        <v/>
      </c>
      <c r="O790" s="22">
        <f>IF(A790="","",IFERROR(MID(A790,FIND("/",A790,FIND("//",A790)+2),2000),A790))</f>
        <v/>
      </c>
      <c r="P790" s="22">
        <f>IF(OR(O790="",N790="",N790="none",N790="404"),"",IF(N790="410","Redirect gone "&amp;O790,"Redirect "&amp;N790&amp;" "&amp;O790&amp;" "&amp;M790))</f>
        <v/>
      </c>
      <c r="Q790" s="22" t="n"/>
      <c r="R790" s="22" t="n"/>
      <c r="S790" s="22" t="n"/>
      <c r="T790" s="4">
        <f>IF(A790="","",TRIM(IF(K790="","Needs decision; ","")&amp;IF(AND(K790="Accept suggestion",F790=""),"No suggestion to accept; ","")&amp;IF(AND(K790="Override",L790=""),"Override URL missing; ","")&amp;IF(AND(K790="Accept suggestion",N(G790)&lt;$G$2),"Below your threshold; ","")&amp;IF(AND(M790&lt;&gt;"",M790=A790,K790&lt;&gt;"No change (same URL)"),"Redirects to itself; ","")&amp;IF(AND(M790&lt;&gt;"",OR(M790="/",AND(LEFT(M790,4)="http",OR((LEN(M790)-LEN(SUBSTITUTE(M790,"/","")))=2,AND((LEN(M790)-LEN(SUBSTITUTE(M790,"/","")))=3,RIGHT(M790,1)="/"))))),"Home page redirect; ","")&amp;IF(N(R790)&gt;1,"Chain; ","")&amp;IF(S790="No","Destination not 200; ","")))</f>
        <v/>
      </c>
      <c r="U790" s="22" t="n"/>
      <c r="V790" s="22" t="n"/>
      <c r="W790" s="4" t="n"/>
    </row>
    <row r="791">
      <c r="A791" s="22" t="n"/>
      <c r="B791" s="22" t="n"/>
      <c r="C791" s="22" t="n"/>
      <c r="D791" s="22">
        <f>IF(A791="","",IF(OR(N(B791)&gt;=$C$2,N(C791)&gt;=$E$2),"High",IF(OR(N(B791)&gt;0,N(C791)&gt;0),"Medium","Low")))</f>
        <v/>
      </c>
      <c r="E791" s="22" t="n"/>
      <c r="F791" s="22" t="n"/>
      <c r="G791" s="22" t="n"/>
      <c r="H791" s="22" t="n"/>
      <c r="I791" s="22" t="n"/>
      <c r="J791" s="22" t="n"/>
      <c r="K791" s="22" t="n"/>
      <c r="L791" s="22" t="n"/>
      <c r="M791" s="22">
        <f>IF(K791="Override",L791,IF(K791="Accept suggestion",F791,IF(K791="No change (same URL)",A791,"")))</f>
        <v/>
      </c>
      <c r="N791" s="22">
        <f>IF(A791="","",IF(K791="410 Gone","410",IF(K791="404","404",IF(K791="No change (same URL)","none",IF(M791="","","301")))))</f>
        <v/>
      </c>
      <c r="O791" s="22">
        <f>IF(A791="","",IFERROR(MID(A791,FIND("/",A791,FIND("//",A791)+2),2000),A791))</f>
        <v/>
      </c>
      <c r="P791" s="22">
        <f>IF(OR(O791="",N791="",N791="none",N791="404"),"",IF(N791="410","Redirect gone "&amp;O791,"Redirect "&amp;N791&amp;" "&amp;O791&amp;" "&amp;M791))</f>
        <v/>
      </c>
      <c r="Q791" s="22" t="n"/>
      <c r="R791" s="22" t="n"/>
      <c r="S791" s="22" t="n"/>
      <c r="T791" s="4">
        <f>IF(A791="","",TRIM(IF(K791="","Needs decision; ","")&amp;IF(AND(K791="Accept suggestion",F791=""),"No suggestion to accept; ","")&amp;IF(AND(K791="Override",L791=""),"Override URL missing; ","")&amp;IF(AND(K791="Accept suggestion",N(G791)&lt;$G$2),"Below your threshold; ","")&amp;IF(AND(M791&lt;&gt;"",M791=A791,K791&lt;&gt;"No change (same URL)"),"Redirects to itself; ","")&amp;IF(AND(M791&lt;&gt;"",OR(M791="/",AND(LEFT(M791,4)="http",OR((LEN(M791)-LEN(SUBSTITUTE(M791,"/","")))=2,AND((LEN(M791)-LEN(SUBSTITUTE(M791,"/","")))=3,RIGHT(M791,1)="/"))))),"Home page redirect; ","")&amp;IF(N(R791)&gt;1,"Chain; ","")&amp;IF(S791="No","Destination not 200; ","")))</f>
        <v/>
      </c>
      <c r="U791" s="22" t="n"/>
      <c r="V791" s="22" t="n"/>
      <c r="W791" s="4" t="n"/>
    </row>
    <row r="792">
      <c r="A792" s="22" t="n"/>
      <c r="B792" s="22" t="n"/>
      <c r="C792" s="22" t="n"/>
      <c r="D792" s="22">
        <f>IF(A792="","",IF(OR(N(B792)&gt;=$C$2,N(C792)&gt;=$E$2),"High",IF(OR(N(B792)&gt;0,N(C792)&gt;0),"Medium","Low")))</f>
        <v/>
      </c>
      <c r="E792" s="22" t="n"/>
      <c r="F792" s="22" t="n"/>
      <c r="G792" s="22" t="n"/>
      <c r="H792" s="22" t="n"/>
      <c r="I792" s="22" t="n"/>
      <c r="J792" s="22" t="n"/>
      <c r="K792" s="22" t="n"/>
      <c r="L792" s="22" t="n"/>
      <c r="M792" s="22">
        <f>IF(K792="Override",L792,IF(K792="Accept suggestion",F792,IF(K792="No change (same URL)",A792,"")))</f>
        <v/>
      </c>
      <c r="N792" s="22">
        <f>IF(A792="","",IF(K792="410 Gone","410",IF(K792="404","404",IF(K792="No change (same URL)","none",IF(M792="","","301")))))</f>
        <v/>
      </c>
      <c r="O792" s="22">
        <f>IF(A792="","",IFERROR(MID(A792,FIND("/",A792,FIND("//",A792)+2),2000),A792))</f>
        <v/>
      </c>
      <c r="P792" s="22">
        <f>IF(OR(O792="",N792="",N792="none",N792="404"),"",IF(N792="410","Redirect gone "&amp;O792,"Redirect "&amp;N792&amp;" "&amp;O792&amp;" "&amp;M792))</f>
        <v/>
      </c>
      <c r="Q792" s="22" t="n"/>
      <c r="R792" s="22" t="n"/>
      <c r="S792" s="22" t="n"/>
      <c r="T792" s="4">
        <f>IF(A792="","",TRIM(IF(K792="","Needs decision; ","")&amp;IF(AND(K792="Accept suggestion",F792=""),"No suggestion to accept; ","")&amp;IF(AND(K792="Override",L792=""),"Override URL missing; ","")&amp;IF(AND(K792="Accept suggestion",N(G792)&lt;$G$2),"Below your threshold; ","")&amp;IF(AND(M792&lt;&gt;"",M792=A792,K792&lt;&gt;"No change (same URL)"),"Redirects to itself; ","")&amp;IF(AND(M792&lt;&gt;"",OR(M792="/",AND(LEFT(M792,4)="http",OR((LEN(M792)-LEN(SUBSTITUTE(M792,"/","")))=2,AND((LEN(M792)-LEN(SUBSTITUTE(M792,"/","")))=3,RIGHT(M792,1)="/"))))),"Home page redirect; ","")&amp;IF(N(R792)&gt;1,"Chain; ","")&amp;IF(S792="No","Destination not 200; ","")))</f>
        <v/>
      </c>
      <c r="U792" s="22" t="n"/>
      <c r="V792" s="22" t="n"/>
      <c r="W792" s="4" t="n"/>
    </row>
    <row r="793">
      <c r="A793" s="22" t="n"/>
      <c r="B793" s="22" t="n"/>
      <c r="C793" s="22" t="n"/>
      <c r="D793" s="22">
        <f>IF(A793="","",IF(OR(N(B793)&gt;=$C$2,N(C793)&gt;=$E$2),"High",IF(OR(N(B793)&gt;0,N(C793)&gt;0),"Medium","Low")))</f>
        <v/>
      </c>
      <c r="E793" s="22" t="n"/>
      <c r="F793" s="22" t="n"/>
      <c r="G793" s="22" t="n"/>
      <c r="H793" s="22" t="n"/>
      <c r="I793" s="22" t="n"/>
      <c r="J793" s="22" t="n"/>
      <c r="K793" s="22" t="n"/>
      <c r="L793" s="22" t="n"/>
      <c r="M793" s="22">
        <f>IF(K793="Override",L793,IF(K793="Accept suggestion",F793,IF(K793="No change (same URL)",A793,"")))</f>
        <v/>
      </c>
      <c r="N793" s="22">
        <f>IF(A793="","",IF(K793="410 Gone","410",IF(K793="404","404",IF(K793="No change (same URL)","none",IF(M793="","","301")))))</f>
        <v/>
      </c>
      <c r="O793" s="22">
        <f>IF(A793="","",IFERROR(MID(A793,FIND("/",A793,FIND("//",A793)+2),2000),A793))</f>
        <v/>
      </c>
      <c r="P793" s="22">
        <f>IF(OR(O793="",N793="",N793="none",N793="404"),"",IF(N793="410","Redirect gone "&amp;O793,"Redirect "&amp;N793&amp;" "&amp;O793&amp;" "&amp;M793))</f>
        <v/>
      </c>
      <c r="Q793" s="22" t="n"/>
      <c r="R793" s="22" t="n"/>
      <c r="S793" s="22" t="n"/>
      <c r="T793" s="4">
        <f>IF(A793="","",TRIM(IF(K793="","Needs decision; ","")&amp;IF(AND(K793="Accept suggestion",F793=""),"No suggestion to accept; ","")&amp;IF(AND(K793="Override",L793=""),"Override URL missing; ","")&amp;IF(AND(K793="Accept suggestion",N(G793)&lt;$G$2),"Below your threshold; ","")&amp;IF(AND(M793&lt;&gt;"",M793=A793,K793&lt;&gt;"No change (same URL)"),"Redirects to itself; ","")&amp;IF(AND(M793&lt;&gt;"",OR(M793="/",AND(LEFT(M793,4)="http",OR((LEN(M793)-LEN(SUBSTITUTE(M793,"/","")))=2,AND((LEN(M793)-LEN(SUBSTITUTE(M793,"/","")))=3,RIGHT(M793,1)="/"))))),"Home page redirect; ","")&amp;IF(N(R793)&gt;1,"Chain; ","")&amp;IF(S793="No","Destination not 200; ","")))</f>
        <v/>
      </c>
      <c r="U793" s="22" t="n"/>
      <c r="V793" s="22" t="n"/>
      <c r="W793" s="4" t="n"/>
    </row>
    <row r="794">
      <c r="A794" s="22" t="n"/>
      <c r="B794" s="22" t="n"/>
      <c r="C794" s="22" t="n"/>
      <c r="D794" s="22">
        <f>IF(A794="","",IF(OR(N(B794)&gt;=$C$2,N(C794)&gt;=$E$2),"High",IF(OR(N(B794)&gt;0,N(C794)&gt;0),"Medium","Low")))</f>
        <v/>
      </c>
      <c r="E794" s="22" t="n"/>
      <c r="F794" s="22" t="n"/>
      <c r="G794" s="22" t="n"/>
      <c r="H794" s="22" t="n"/>
      <c r="I794" s="22" t="n"/>
      <c r="J794" s="22" t="n"/>
      <c r="K794" s="22" t="n"/>
      <c r="L794" s="22" t="n"/>
      <c r="M794" s="22">
        <f>IF(K794="Override",L794,IF(K794="Accept suggestion",F794,IF(K794="No change (same URL)",A794,"")))</f>
        <v/>
      </c>
      <c r="N794" s="22">
        <f>IF(A794="","",IF(K794="410 Gone","410",IF(K794="404","404",IF(K794="No change (same URL)","none",IF(M794="","","301")))))</f>
        <v/>
      </c>
      <c r="O794" s="22">
        <f>IF(A794="","",IFERROR(MID(A794,FIND("/",A794,FIND("//",A794)+2),2000),A794))</f>
        <v/>
      </c>
      <c r="P794" s="22">
        <f>IF(OR(O794="",N794="",N794="none",N794="404"),"",IF(N794="410","Redirect gone "&amp;O794,"Redirect "&amp;N794&amp;" "&amp;O794&amp;" "&amp;M794))</f>
        <v/>
      </c>
      <c r="Q794" s="22" t="n"/>
      <c r="R794" s="22" t="n"/>
      <c r="S794" s="22" t="n"/>
      <c r="T794" s="4">
        <f>IF(A794="","",TRIM(IF(K794="","Needs decision; ","")&amp;IF(AND(K794="Accept suggestion",F794=""),"No suggestion to accept; ","")&amp;IF(AND(K794="Override",L794=""),"Override URL missing; ","")&amp;IF(AND(K794="Accept suggestion",N(G794)&lt;$G$2),"Below your threshold; ","")&amp;IF(AND(M794&lt;&gt;"",M794=A794,K794&lt;&gt;"No change (same URL)"),"Redirects to itself; ","")&amp;IF(AND(M794&lt;&gt;"",OR(M794="/",AND(LEFT(M794,4)="http",OR((LEN(M794)-LEN(SUBSTITUTE(M794,"/","")))=2,AND((LEN(M794)-LEN(SUBSTITUTE(M794,"/","")))=3,RIGHT(M794,1)="/"))))),"Home page redirect; ","")&amp;IF(N(R794)&gt;1,"Chain; ","")&amp;IF(S794="No","Destination not 200; ","")))</f>
        <v/>
      </c>
      <c r="U794" s="22" t="n"/>
      <c r="V794" s="22" t="n"/>
      <c r="W794" s="4" t="n"/>
    </row>
    <row r="795">
      <c r="A795" s="22" t="n"/>
      <c r="B795" s="22" t="n"/>
      <c r="C795" s="22" t="n"/>
      <c r="D795" s="22">
        <f>IF(A795="","",IF(OR(N(B795)&gt;=$C$2,N(C795)&gt;=$E$2),"High",IF(OR(N(B795)&gt;0,N(C795)&gt;0),"Medium","Low")))</f>
        <v/>
      </c>
      <c r="E795" s="22" t="n"/>
      <c r="F795" s="22" t="n"/>
      <c r="G795" s="22" t="n"/>
      <c r="H795" s="22" t="n"/>
      <c r="I795" s="22" t="n"/>
      <c r="J795" s="22" t="n"/>
      <c r="K795" s="22" t="n"/>
      <c r="L795" s="22" t="n"/>
      <c r="M795" s="22">
        <f>IF(K795="Override",L795,IF(K795="Accept suggestion",F795,IF(K795="No change (same URL)",A795,"")))</f>
        <v/>
      </c>
      <c r="N795" s="22">
        <f>IF(A795="","",IF(K795="410 Gone","410",IF(K795="404","404",IF(K795="No change (same URL)","none",IF(M795="","","301")))))</f>
        <v/>
      </c>
      <c r="O795" s="22">
        <f>IF(A795="","",IFERROR(MID(A795,FIND("/",A795,FIND("//",A795)+2),2000),A795))</f>
        <v/>
      </c>
      <c r="P795" s="22">
        <f>IF(OR(O795="",N795="",N795="none",N795="404"),"",IF(N795="410","Redirect gone "&amp;O795,"Redirect "&amp;N795&amp;" "&amp;O795&amp;" "&amp;M795))</f>
        <v/>
      </c>
      <c r="Q795" s="22" t="n"/>
      <c r="R795" s="22" t="n"/>
      <c r="S795" s="22" t="n"/>
      <c r="T795" s="4">
        <f>IF(A795="","",TRIM(IF(K795="","Needs decision; ","")&amp;IF(AND(K795="Accept suggestion",F795=""),"No suggestion to accept; ","")&amp;IF(AND(K795="Override",L795=""),"Override URL missing; ","")&amp;IF(AND(K795="Accept suggestion",N(G795)&lt;$G$2),"Below your threshold; ","")&amp;IF(AND(M795&lt;&gt;"",M795=A795,K795&lt;&gt;"No change (same URL)"),"Redirects to itself; ","")&amp;IF(AND(M795&lt;&gt;"",OR(M795="/",AND(LEFT(M795,4)="http",OR((LEN(M795)-LEN(SUBSTITUTE(M795,"/","")))=2,AND((LEN(M795)-LEN(SUBSTITUTE(M795,"/","")))=3,RIGHT(M795,1)="/"))))),"Home page redirect; ","")&amp;IF(N(R795)&gt;1,"Chain; ","")&amp;IF(S795="No","Destination not 200; ","")))</f>
        <v/>
      </c>
      <c r="U795" s="22" t="n"/>
      <c r="V795" s="22" t="n"/>
      <c r="W795" s="4" t="n"/>
    </row>
    <row r="796">
      <c r="A796" s="22" t="n"/>
      <c r="B796" s="22" t="n"/>
      <c r="C796" s="22" t="n"/>
      <c r="D796" s="22">
        <f>IF(A796="","",IF(OR(N(B796)&gt;=$C$2,N(C796)&gt;=$E$2),"High",IF(OR(N(B796)&gt;0,N(C796)&gt;0),"Medium","Low")))</f>
        <v/>
      </c>
      <c r="E796" s="22" t="n"/>
      <c r="F796" s="22" t="n"/>
      <c r="G796" s="22" t="n"/>
      <c r="H796" s="22" t="n"/>
      <c r="I796" s="22" t="n"/>
      <c r="J796" s="22" t="n"/>
      <c r="K796" s="22" t="n"/>
      <c r="L796" s="22" t="n"/>
      <c r="M796" s="22">
        <f>IF(K796="Override",L796,IF(K796="Accept suggestion",F796,IF(K796="No change (same URL)",A796,"")))</f>
        <v/>
      </c>
      <c r="N796" s="22">
        <f>IF(A796="","",IF(K796="410 Gone","410",IF(K796="404","404",IF(K796="No change (same URL)","none",IF(M796="","","301")))))</f>
        <v/>
      </c>
      <c r="O796" s="22">
        <f>IF(A796="","",IFERROR(MID(A796,FIND("/",A796,FIND("//",A796)+2),2000),A796))</f>
        <v/>
      </c>
      <c r="P796" s="22">
        <f>IF(OR(O796="",N796="",N796="none",N796="404"),"",IF(N796="410","Redirect gone "&amp;O796,"Redirect "&amp;N796&amp;" "&amp;O796&amp;" "&amp;M796))</f>
        <v/>
      </c>
      <c r="Q796" s="22" t="n"/>
      <c r="R796" s="22" t="n"/>
      <c r="S796" s="22" t="n"/>
      <c r="T796" s="4">
        <f>IF(A796="","",TRIM(IF(K796="","Needs decision; ","")&amp;IF(AND(K796="Accept suggestion",F796=""),"No suggestion to accept; ","")&amp;IF(AND(K796="Override",L796=""),"Override URL missing; ","")&amp;IF(AND(K796="Accept suggestion",N(G796)&lt;$G$2),"Below your threshold; ","")&amp;IF(AND(M796&lt;&gt;"",M796=A796,K796&lt;&gt;"No change (same URL)"),"Redirects to itself; ","")&amp;IF(AND(M796&lt;&gt;"",OR(M796="/",AND(LEFT(M796,4)="http",OR((LEN(M796)-LEN(SUBSTITUTE(M796,"/","")))=2,AND((LEN(M796)-LEN(SUBSTITUTE(M796,"/","")))=3,RIGHT(M796,1)="/"))))),"Home page redirect; ","")&amp;IF(N(R796)&gt;1,"Chain; ","")&amp;IF(S796="No","Destination not 200; ","")))</f>
        <v/>
      </c>
      <c r="U796" s="22" t="n"/>
      <c r="V796" s="22" t="n"/>
      <c r="W796" s="4" t="n"/>
    </row>
    <row r="797">
      <c r="A797" s="22" t="n"/>
      <c r="B797" s="22" t="n"/>
      <c r="C797" s="22" t="n"/>
      <c r="D797" s="22">
        <f>IF(A797="","",IF(OR(N(B797)&gt;=$C$2,N(C797)&gt;=$E$2),"High",IF(OR(N(B797)&gt;0,N(C797)&gt;0),"Medium","Low")))</f>
        <v/>
      </c>
      <c r="E797" s="22" t="n"/>
      <c r="F797" s="22" t="n"/>
      <c r="G797" s="22" t="n"/>
      <c r="H797" s="22" t="n"/>
      <c r="I797" s="22" t="n"/>
      <c r="J797" s="22" t="n"/>
      <c r="K797" s="22" t="n"/>
      <c r="L797" s="22" t="n"/>
      <c r="M797" s="22">
        <f>IF(K797="Override",L797,IF(K797="Accept suggestion",F797,IF(K797="No change (same URL)",A797,"")))</f>
        <v/>
      </c>
      <c r="N797" s="22">
        <f>IF(A797="","",IF(K797="410 Gone","410",IF(K797="404","404",IF(K797="No change (same URL)","none",IF(M797="","","301")))))</f>
        <v/>
      </c>
      <c r="O797" s="22">
        <f>IF(A797="","",IFERROR(MID(A797,FIND("/",A797,FIND("//",A797)+2),2000),A797))</f>
        <v/>
      </c>
      <c r="P797" s="22">
        <f>IF(OR(O797="",N797="",N797="none",N797="404"),"",IF(N797="410","Redirect gone "&amp;O797,"Redirect "&amp;N797&amp;" "&amp;O797&amp;" "&amp;M797))</f>
        <v/>
      </c>
      <c r="Q797" s="22" t="n"/>
      <c r="R797" s="22" t="n"/>
      <c r="S797" s="22" t="n"/>
      <c r="T797" s="4">
        <f>IF(A797="","",TRIM(IF(K797="","Needs decision; ","")&amp;IF(AND(K797="Accept suggestion",F797=""),"No suggestion to accept; ","")&amp;IF(AND(K797="Override",L797=""),"Override URL missing; ","")&amp;IF(AND(K797="Accept suggestion",N(G797)&lt;$G$2),"Below your threshold; ","")&amp;IF(AND(M797&lt;&gt;"",M797=A797,K797&lt;&gt;"No change (same URL)"),"Redirects to itself; ","")&amp;IF(AND(M797&lt;&gt;"",OR(M797="/",AND(LEFT(M797,4)="http",OR((LEN(M797)-LEN(SUBSTITUTE(M797,"/","")))=2,AND((LEN(M797)-LEN(SUBSTITUTE(M797,"/","")))=3,RIGHT(M797,1)="/"))))),"Home page redirect; ","")&amp;IF(N(R797)&gt;1,"Chain; ","")&amp;IF(S797="No","Destination not 200; ","")))</f>
        <v/>
      </c>
      <c r="U797" s="22" t="n"/>
      <c r="V797" s="22" t="n"/>
      <c r="W797" s="4" t="n"/>
    </row>
    <row r="798">
      <c r="A798" s="22" t="n"/>
      <c r="B798" s="22" t="n"/>
      <c r="C798" s="22" t="n"/>
      <c r="D798" s="22">
        <f>IF(A798="","",IF(OR(N(B798)&gt;=$C$2,N(C798)&gt;=$E$2),"High",IF(OR(N(B798)&gt;0,N(C798)&gt;0),"Medium","Low")))</f>
        <v/>
      </c>
      <c r="E798" s="22" t="n"/>
      <c r="F798" s="22" t="n"/>
      <c r="G798" s="22" t="n"/>
      <c r="H798" s="22" t="n"/>
      <c r="I798" s="22" t="n"/>
      <c r="J798" s="22" t="n"/>
      <c r="K798" s="22" t="n"/>
      <c r="L798" s="22" t="n"/>
      <c r="M798" s="22">
        <f>IF(K798="Override",L798,IF(K798="Accept suggestion",F798,IF(K798="No change (same URL)",A798,"")))</f>
        <v/>
      </c>
      <c r="N798" s="22">
        <f>IF(A798="","",IF(K798="410 Gone","410",IF(K798="404","404",IF(K798="No change (same URL)","none",IF(M798="","","301")))))</f>
        <v/>
      </c>
      <c r="O798" s="22">
        <f>IF(A798="","",IFERROR(MID(A798,FIND("/",A798,FIND("//",A798)+2),2000),A798))</f>
        <v/>
      </c>
      <c r="P798" s="22">
        <f>IF(OR(O798="",N798="",N798="none",N798="404"),"",IF(N798="410","Redirect gone "&amp;O798,"Redirect "&amp;N798&amp;" "&amp;O798&amp;" "&amp;M798))</f>
        <v/>
      </c>
      <c r="Q798" s="22" t="n"/>
      <c r="R798" s="22" t="n"/>
      <c r="S798" s="22" t="n"/>
      <c r="T798" s="4">
        <f>IF(A798="","",TRIM(IF(K798="","Needs decision; ","")&amp;IF(AND(K798="Accept suggestion",F798=""),"No suggestion to accept; ","")&amp;IF(AND(K798="Override",L798=""),"Override URL missing; ","")&amp;IF(AND(K798="Accept suggestion",N(G798)&lt;$G$2),"Below your threshold; ","")&amp;IF(AND(M798&lt;&gt;"",M798=A798,K798&lt;&gt;"No change (same URL)"),"Redirects to itself; ","")&amp;IF(AND(M798&lt;&gt;"",OR(M798="/",AND(LEFT(M798,4)="http",OR((LEN(M798)-LEN(SUBSTITUTE(M798,"/","")))=2,AND((LEN(M798)-LEN(SUBSTITUTE(M798,"/","")))=3,RIGHT(M798,1)="/"))))),"Home page redirect; ","")&amp;IF(N(R798)&gt;1,"Chain; ","")&amp;IF(S798="No","Destination not 200; ","")))</f>
        <v/>
      </c>
      <c r="U798" s="22" t="n"/>
      <c r="V798" s="22" t="n"/>
      <c r="W798" s="4" t="n"/>
    </row>
    <row r="799">
      <c r="A799" s="22" t="n"/>
      <c r="B799" s="22" t="n"/>
      <c r="C799" s="22" t="n"/>
      <c r="D799" s="22">
        <f>IF(A799="","",IF(OR(N(B799)&gt;=$C$2,N(C799)&gt;=$E$2),"High",IF(OR(N(B799)&gt;0,N(C799)&gt;0),"Medium","Low")))</f>
        <v/>
      </c>
      <c r="E799" s="22" t="n"/>
      <c r="F799" s="22" t="n"/>
      <c r="G799" s="22" t="n"/>
      <c r="H799" s="22" t="n"/>
      <c r="I799" s="22" t="n"/>
      <c r="J799" s="22" t="n"/>
      <c r="K799" s="22" t="n"/>
      <c r="L799" s="22" t="n"/>
      <c r="M799" s="22">
        <f>IF(K799="Override",L799,IF(K799="Accept suggestion",F799,IF(K799="No change (same URL)",A799,"")))</f>
        <v/>
      </c>
      <c r="N799" s="22">
        <f>IF(A799="","",IF(K799="410 Gone","410",IF(K799="404","404",IF(K799="No change (same URL)","none",IF(M799="","","301")))))</f>
        <v/>
      </c>
      <c r="O799" s="22">
        <f>IF(A799="","",IFERROR(MID(A799,FIND("/",A799,FIND("//",A799)+2),2000),A799))</f>
        <v/>
      </c>
      <c r="P799" s="22">
        <f>IF(OR(O799="",N799="",N799="none",N799="404"),"",IF(N799="410","Redirect gone "&amp;O799,"Redirect "&amp;N799&amp;" "&amp;O799&amp;" "&amp;M799))</f>
        <v/>
      </c>
      <c r="Q799" s="22" t="n"/>
      <c r="R799" s="22" t="n"/>
      <c r="S799" s="22" t="n"/>
      <c r="T799" s="4">
        <f>IF(A799="","",TRIM(IF(K799="","Needs decision; ","")&amp;IF(AND(K799="Accept suggestion",F799=""),"No suggestion to accept; ","")&amp;IF(AND(K799="Override",L799=""),"Override URL missing; ","")&amp;IF(AND(K799="Accept suggestion",N(G799)&lt;$G$2),"Below your threshold; ","")&amp;IF(AND(M799&lt;&gt;"",M799=A799,K799&lt;&gt;"No change (same URL)"),"Redirects to itself; ","")&amp;IF(AND(M799&lt;&gt;"",OR(M799="/",AND(LEFT(M799,4)="http",OR((LEN(M799)-LEN(SUBSTITUTE(M799,"/","")))=2,AND((LEN(M799)-LEN(SUBSTITUTE(M799,"/","")))=3,RIGHT(M799,1)="/"))))),"Home page redirect; ","")&amp;IF(N(R799)&gt;1,"Chain; ","")&amp;IF(S799="No","Destination not 200; ","")))</f>
        <v/>
      </c>
      <c r="U799" s="22" t="n"/>
      <c r="V799" s="22" t="n"/>
      <c r="W799" s="4" t="n"/>
    </row>
    <row r="800">
      <c r="A800" s="22" t="n"/>
      <c r="B800" s="22" t="n"/>
      <c r="C800" s="22" t="n"/>
      <c r="D800" s="22">
        <f>IF(A800="","",IF(OR(N(B800)&gt;=$C$2,N(C800)&gt;=$E$2),"High",IF(OR(N(B800)&gt;0,N(C800)&gt;0),"Medium","Low")))</f>
        <v/>
      </c>
      <c r="E800" s="22" t="n"/>
      <c r="F800" s="22" t="n"/>
      <c r="G800" s="22" t="n"/>
      <c r="H800" s="22" t="n"/>
      <c r="I800" s="22" t="n"/>
      <c r="J800" s="22" t="n"/>
      <c r="K800" s="22" t="n"/>
      <c r="L800" s="22" t="n"/>
      <c r="M800" s="22">
        <f>IF(K800="Override",L800,IF(K800="Accept suggestion",F800,IF(K800="No change (same URL)",A800,"")))</f>
        <v/>
      </c>
      <c r="N800" s="22">
        <f>IF(A800="","",IF(K800="410 Gone","410",IF(K800="404","404",IF(K800="No change (same URL)","none",IF(M800="","","301")))))</f>
        <v/>
      </c>
      <c r="O800" s="22">
        <f>IF(A800="","",IFERROR(MID(A800,FIND("/",A800,FIND("//",A800)+2),2000),A800))</f>
        <v/>
      </c>
      <c r="P800" s="22">
        <f>IF(OR(O800="",N800="",N800="none",N800="404"),"",IF(N800="410","Redirect gone "&amp;O800,"Redirect "&amp;N800&amp;" "&amp;O800&amp;" "&amp;M800))</f>
        <v/>
      </c>
      <c r="Q800" s="22" t="n"/>
      <c r="R800" s="22" t="n"/>
      <c r="S800" s="22" t="n"/>
      <c r="T800" s="4">
        <f>IF(A800="","",TRIM(IF(K800="","Needs decision; ","")&amp;IF(AND(K800="Accept suggestion",F800=""),"No suggestion to accept; ","")&amp;IF(AND(K800="Override",L800=""),"Override URL missing; ","")&amp;IF(AND(K800="Accept suggestion",N(G800)&lt;$G$2),"Below your threshold; ","")&amp;IF(AND(M800&lt;&gt;"",M800=A800,K800&lt;&gt;"No change (same URL)"),"Redirects to itself; ","")&amp;IF(AND(M800&lt;&gt;"",OR(M800="/",AND(LEFT(M800,4)="http",OR((LEN(M800)-LEN(SUBSTITUTE(M800,"/","")))=2,AND((LEN(M800)-LEN(SUBSTITUTE(M800,"/","")))=3,RIGHT(M800,1)="/"))))),"Home page redirect; ","")&amp;IF(N(R800)&gt;1,"Chain; ","")&amp;IF(S800="No","Destination not 200; ","")))</f>
        <v/>
      </c>
      <c r="U800" s="22" t="n"/>
      <c r="V800" s="22" t="n"/>
      <c r="W800" s="4" t="n"/>
    </row>
    <row r="801">
      <c r="A801" s="22" t="n"/>
      <c r="B801" s="22" t="n"/>
      <c r="C801" s="22" t="n"/>
      <c r="D801" s="22">
        <f>IF(A801="","",IF(OR(N(B801)&gt;=$C$2,N(C801)&gt;=$E$2),"High",IF(OR(N(B801)&gt;0,N(C801)&gt;0),"Medium","Low")))</f>
        <v/>
      </c>
      <c r="E801" s="22" t="n"/>
      <c r="F801" s="22" t="n"/>
      <c r="G801" s="22" t="n"/>
      <c r="H801" s="22" t="n"/>
      <c r="I801" s="22" t="n"/>
      <c r="J801" s="22" t="n"/>
      <c r="K801" s="22" t="n"/>
      <c r="L801" s="22" t="n"/>
      <c r="M801" s="22">
        <f>IF(K801="Override",L801,IF(K801="Accept suggestion",F801,IF(K801="No change (same URL)",A801,"")))</f>
        <v/>
      </c>
      <c r="N801" s="22">
        <f>IF(A801="","",IF(K801="410 Gone","410",IF(K801="404","404",IF(K801="No change (same URL)","none",IF(M801="","","301")))))</f>
        <v/>
      </c>
      <c r="O801" s="22">
        <f>IF(A801="","",IFERROR(MID(A801,FIND("/",A801,FIND("//",A801)+2),2000),A801))</f>
        <v/>
      </c>
      <c r="P801" s="22">
        <f>IF(OR(O801="",N801="",N801="none",N801="404"),"",IF(N801="410","Redirect gone "&amp;O801,"Redirect "&amp;N801&amp;" "&amp;O801&amp;" "&amp;M801))</f>
        <v/>
      </c>
      <c r="Q801" s="22" t="n"/>
      <c r="R801" s="22" t="n"/>
      <c r="S801" s="22" t="n"/>
      <c r="T801" s="4">
        <f>IF(A801="","",TRIM(IF(K801="","Needs decision; ","")&amp;IF(AND(K801="Accept suggestion",F801=""),"No suggestion to accept; ","")&amp;IF(AND(K801="Override",L801=""),"Override URL missing; ","")&amp;IF(AND(K801="Accept suggestion",N(G801)&lt;$G$2),"Below your threshold; ","")&amp;IF(AND(M801&lt;&gt;"",M801=A801,K801&lt;&gt;"No change (same URL)"),"Redirects to itself; ","")&amp;IF(AND(M801&lt;&gt;"",OR(M801="/",AND(LEFT(M801,4)="http",OR((LEN(M801)-LEN(SUBSTITUTE(M801,"/","")))=2,AND((LEN(M801)-LEN(SUBSTITUTE(M801,"/","")))=3,RIGHT(M801,1)="/"))))),"Home page redirect; ","")&amp;IF(N(R801)&gt;1,"Chain; ","")&amp;IF(S801="No","Destination not 200; ","")))</f>
        <v/>
      </c>
      <c r="U801" s="22" t="n"/>
      <c r="V801" s="22" t="n"/>
      <c r="W801" s="4" t="n"/>
    </row>
    <row r="802">
      <c r="A802" s="22" t="n"/>
      <c r="B802" s="22" t="n"/>
      <c r="C802" s="22" t="n"/>
      <c r="D802" s="22">
        <f>IF(A802="","",IF(OR(N(B802)&gt;=$C$2,N(C802)&gt;=$E$2),"High",IF(OR(N(B802)&gt;0,N(C802)&gt;0),"Medium","Low")))</f>
        <v/>
      </c>
      <c r="E802" s="22" t="n"/>
      <c r="F802" s="22" t="n"/>
      <c r="G802" s="22" t="n"/>
      <c r="H802" s="22" t="n"/>
      <c r="I802" s="22" t="n"/>
      <c r="J802" s="22" t="n"/>
      <c r="K802" s="22" t="n"/>
      <c r="L802" s="22" t="n"/>
      <c r="M802" s="22">
        <f>IF(K802="Override",L802,IF(K802="Accept suggestion",F802,IF(K802="No change (same URL)",A802,"")))</f>
        <v/>
      </c>
      <c r="N802" s="22">
        <f>IF(A802="","",IF(K802="410 Gone","410",IF(K802="404","404",IF(K802="No change (same URL)","none",IF(M802="","","301")))))</f>
        <v/>
      </c>
      <c r="O802" s="22">
        <f>IF(A802="","",IFERROR(MID(A802,FIND("/",A802,FIND("//",A802)+2),2000),A802))</f>
        <v/>
      </c>
      <c r="P802" s="22">
        <f>IF(OR(O802="",N802="",N802="none",N802="404"),"",IF(N802="410","Redirect gone "&amp;O802,"Redirect "&amp;N802&amp;" "&amp;O802&amp;" "&amp;M802))</f>
        <v/>
      </c>
      <c r="Q802" s="22" t="n"/>
      <c r="R802" s="22" t="n"/>
      <c r="S802" s="22" t="n"/>
      <c r="T802" s="4">
        <f>IF(A802="","",TRIM(IF(K802="","Needs decision; ","")&amp;IF(AND(K802="Accept suggestion",F802=""),"No suggestion to accept; ","")&amp;IF(AND(K802="Override",L802=""),"Override URL missing; ","")&amp;IF(AND(K802="Accept suggestion",N(G802)&lt;$G$2),"Below your threshold; ","")&amp;IF(AND(M802&lt;&gt;"",M802=A802,K802&lt;&gt;"No change (same URL)"),"Redirects to itself; ","")&amp;IF(AND(M802&lt;&gt;"",OR(M802="/",AND(LEFT(M802,4)="http",OR((LEN(M802)-LEN(SUBSTITUTE(M802,"/","")))=2,AND((LEN(M802)-LEN(SUBSTITUTE(M802,"/","")))=3,RIGHT(M802,1)="/"))))),"Home page redirect; ","")&amp;IF(N(R802)&gt;1,"Chain; ","")&amp;IF(S802="No","Destination not 200; ","")))</f>
        <v/>
      </c>
      <c r="U802" s="22" t="n"/>
      <c r="V802" s="22" t="n"/>
      <c r="W802" s="4" t="n"/>
    </row>
    <row r="803">
      <c r="A803" s="22" t="n"/>
      <c r="B803" s="22" t="n"/>
      <c r="C803" s="22" t="n"/>
      <c r="D803" s="22">
        <f>IF(A803="","",IF(OR(N(B803)&gt;=$C$2,N(C803)&gt;=$E$2),"High",IF(OR(N(B803)&gt;0,N(C803)&gt;0),"Medium","Low")))</f>
        <v/>
      </c>
      <c r="E803" s="22" t="n"/>
      <c r="F803" s="22" t="n"/>
      <c r="G803" s="22" t="n"/>
      <c r="H803" s="22" t="n"/>
      <c r="I803" s="22" t="n"/>
      <c r="J803" s="22" t="n"/>
      <c r="K803" s="22" t="n"/>
      <c r="L803" s="22" t="n"/>
      <c r="M803" s="22">
        <f>IF(K803="Override",L803,IF(K803="Accept suggestion",F803,IF(K803="No change (same URL)",A803,"")))</f>
        <v/>
      </c>
      <c r="N803" s="22">
        <f>IF(A803="","",IF(K803="410 Gone","410",IF(K803="404","404",IF(K803="No change (same URL)","none",IF(M803="","","301")))))</f>
        <v/>
      </c>
      <c r="O803" s="22">
        <f>IF(A803="","",IFERROR(MID(A803,FIND("/",A803,FIND("//",A803)+2),2000),A803))</f>
        <v/>
      </c>
      <c r="P803" s="22">
        <f>IF(OR(O803="",N803="",N803="none",N803="404"),"",IF(N803="410","Redirect gone "&amp;O803,"Redirect "&amp;N803&amp;" "&amp;O803&amp;" "&amp;M803))</f>
        <v/>
      </c>
      <c r="Q803" s="22" t="n"/>
      <c r="R803" s="22" t="n"/>
      <c r="S803" s="22" t="n"/>
      <c r="T803" s="4">
        <f>IF(A803="","",TRIM(IF(K803="","Needs decision; ","")&amp;IF(AND(K803="Accept suggestion",F803=""),"No suggestion to accept; ","")&amp;IF(AND(K803="Override",L803=""),"Override URL missing; ","")&amp;IF(AND(K803="Accept suggestion",N(G803)&lt;$G$2),"Below your threshold; ","")&amp;IF(AND(M803&lt;&gt;"",M803=A803,K803&lt;&gt;"No change (same URL)"),"Redirects to itself; ","")&amp;IF(AND(M803&lt;&gt;"",OR(M803="/",AND(LEFT(M803,4)="http",OR((LEN(M803)-LEN(SUBSTITUTE(M803,"/","")))=2,AND((LEN(M803)-LEN(SUBSTITUTE(M803,"/","")))=3,RIGHT(M803,1)="/"))))),"Home page redirect; ","")&amp;IF(N(R803)&gt;1,"Chain; ","")&amp;IF(S803="No","Destination not 200; ","")))</f>
        <v/>
      </c>
      <c r="U803" s="22" t="n"/>
      <c r="V803" s="22" t="n"/>
      <c r="W803" s="4" t="n"/>
    </row>
    <row r="804">
      <c r="A804" s="22" t="n"/>
      <c r="B804" s="22" t="n"/>
      <c r="C804" s="22" t="n"/>
      <c r="D804" s="22">
        <f>IF(A804="","",IF(OR(N(B804)&gt;=$C$2,N(C804)&gt;=$E$2),"High",IF(OR(N(B804)&gt;0,N(C804)&gt;0),"Medium","Low")))</f>
        <v/>
      </c>
      <c r="E804" s="22" t="n"/>
      <c r="F804" s="22" t="n"/>
      <c r="G804" s="22" t="n"/>
      <c r="H804" s="22" t="n"/>
      <c r="I804" s="22" t="n"/>
      <c r="J804" s="22" t="n"/>
      <c r="K804" s="22" t="n"/>
      <c r="L804" s="22" t="n"/>
      <c r="M804" s="22">
        <f>IF(K804="Override",L804,IF(K804="Accept suggestion",F804,IF(K804="No change (same URL)",A804,"")))</f>
        <v/>
      </c>
      <c r="N804" s="22">
        <f>IF(A804="","",IF(K804="410 Gone","410",IF(K804="404","404",IF(K804="No change (same URL)","none",IF(M804="","","301")))))</f>
        <v/>
      </c>
      <c r="O804" s="22">
        <f>IF(A804="","",IFERROR(MID(A804,FIND("/",A804,FIND("//",A804)+2),2000),A804))</f>
        <v/>
      </c>
      <c r="P804" s="22">
        <f>IF(OR(O804="",N804="",N804="none",N804="404"),"",IF(N804="410","Redirect gone "&amp;O804,"Redirect "&amp;N804&amp;" "&amp;O804&amp;" "&amp;M804))</f>
        <v/>
      </c>
      <c r="Q804" s="22" t="n"/>
      <c r="R804" s="22" t="n"/>
      <c r="S804" s="22" t="n"/>
      <c r="T804" s="4">
        <f>IF(A804="","",TRIM(IF(K804="","Needs decision; ","")&amp;IF(AND(K804="Accept suggestion",F804=""),"No suggestion to accept; ","")&amp;IF(AND(K804="Override",L804=""),"Override URL missing; ","")&amp;IF(AND(K804="Accept suggestion",N(G804)&lt;$G$2),"Below your threshold; ","")&amp;IF(AND(M804&lt;&gt;"",M804=A804,K804&lt;&gt;"No change (same URL)"),"Redirects to itself; ","")&amp;IF(AND(M804&lt;&gt;"",OR(M804="/",AND(LEFT(M804,4)="http",OR((LEN(M804)-LEN(SUBSTITUTE(M804,"/","")))=2,AND((LEN(M804)-LEN(SUBSTITUTE(M804,"/","")))=3,RIGHT(M804,1)="/"))))),"Home page redirect; ","")&amp;IF(N(R804)&gt;1,"Chain; ","")&amp;IF(S804="No","Destination not 200; ","")))</f>
        <v/>
      </c>
      <c r="U804" s="22" t="n"/>
      <c r="V804" s="22" t="n"/>
      <c r="W804" s="4" t="n"/>
    </row>
    <row r="805">
      <c r="A805" s="22" t="n"/>
      <c r="B805" s="22" t="n"/>
      <c r="C805" s="22" t="n"/>
      <c r="D805" s="22">
        <f>IF(A805="","",IF(OR(N(B805)&gt;=$C$2,N(C805)&gt;=$E$2),"High",IF(OR(N(B805)&gt;0,N(C805)&gt;0),"Medium","Low")))</f>
        <v/>
      </c>
      <c r="E805" s="22" t="n"/>
      <c r="F805" s="22" t="n"/>
      <c r="G805" s="22" t="n"/>
      <c r="H805" s="22" t="n"/>
      <c r="I805" s="22" t="n"/>
      <c r="J805" s="22" t="n"/>
      <c r="K805" s="22" t="n"/>
      <c r="L805" s="22" t="n"/>
      <c r="M805" s="22">
        <f>IF(K805="Override",L805,IF(K805="Accept suggestion",F805,IF(K805="No change (same URL)",A805,"")))</f>
        <v/>
      </c>
      <c r="N805" s="22">
        <f>IF(A805="","",IF(K805="410 Gone","410",IF(K805="404","404",IF(K805="No change (same URL)","none",IF(M805="","","301")))))</f>
        <v/>
      </c>
      <c r="O805" s="22">
        <f>IF(A805="","",IFERROR(MID(A805,FIND("/",A805,FIND("//",A805)+2),2000),A805))</f>
        <v/>
      </c>
      <c r="P805" s="22">
        <f>IF(OR(O805="",N805="",N805="none",N805="404"),"",IF(N805="410","Redirect gone "&amp;O805,"Redirect "&amp;N805&amp;" "&amp;O805&amp;" "&amp;M805))</f>
        <v/>
      </c>
      <c r="Q805" s="22" t="n"/>
      <c r="R805" s="22" t="n"/>
      <c r="S805" s="22" t="n"/>
      <c r="T805" s="4">
        <f>IF(A805="","",TRIM(IF(K805="","Needs decision; ","")&amp;IF(AND(K805="Accept suggestion",F805=""),"No suggestion to accept; ","")&amp;IF(AND(K805="Override",L805=""),"Override URL missing; ","")&amp;IF(AND(K805="Accept suggestion",N(G805)&lt;$G$2),"Below your threshold; ","")&amp;IF(AND(M805&lt;&gt;"",M805=A805,K805&lt;&gt;"No change (same URL)"),"Redirects to itself; ","")&amp;IF(AND(M805&lt;&gt;"",OR(M805="/",AND(LEFT(M805,4)="http",OR((LEN(M805)-LEN(SUBSTITUTE(M805,"/","")))=2,AND((LEN(M805)-LEN(SUBSTITUTE(M805,"/","")))=3,RIGHT(M805,1)="/"))))),"Home page redirect; ","")&amp;IF(N(R805)&gt;1,"Chain; ","")&amp;IF(S805="No","Destination not 200; ","")))</f>
        <v/>
      </c>
      <c r="U805" s="22" t="n"/>
      <c r="V805" s="22" t="n"/>
      <c r="W805" s="4" t="n"/>
    </row>
    <row r="806">
      <c r="A806" s="22" t="n"/>
      <c r="B806" s="22" t="n"/>
      <c r="C806" s="22" t="n"/>
      <c r="D806" s="22">
        <f>IF(A806="","",IF(OR(N(B806)&gt;=$C$2,N(C806)&gt;=$E$2),"High",IF(OR(N(B806)&gt;0,N(C806)&gt;0),"Medium","Low")))</f>
        <v/>
      </c>
      <c r="E806" s="22" t="n"/>
      <c r="F806" s="22" t="n"/>
      <c r="G806" s="22" t="n"/>
      <c r="H806" s="22" t="n"/>
      <c r="I806" s="22" t="n"/>
      <c r="J806" s="22" t="n"/>
      <c r="K806" s="22" t="n"/>
      <c r="L806" s="22" t="n"/>
      <c r="M806" s="22">
        <f>IF(K806="Override",L806,IF(K806="Accept suggestion",F806,IF(K806="No change (same URL)",A806,"")))</f>
        <v/>
      </c>
      <c r="N806" s="22">
        <f>IF(A806="","",IF(K806="410 Gone","410",IF(K806="404","404",IF(K806="No change (same URL)","none",IF(M806="","","301")))))</f>
        <v/>
      </c>
      <c r="O806" s="22">
        <f>IF(A806="","",IFERROR(MID(A806,FIND("/",A806,FIND("//",A806)+2),2000),A806))</f>
        <v/>
      </c>
      <c r="P806" s="22">
        <f>IF(OR(O806="",N806="",N806="none",N806="404"),"",IF(N806="410","Redirect gone "&amp;O806,"Redirect "&amp;N806&amp;" "&amp;O806&amp;" "&amp;M806))</f>
        <v/>
      </c>
      <c r="Q806" s="22" t="n"/>
      <c r="R806" s="22" t="n"/>
      <c r="S806" s="22" t="n"/>
      <c r="T806" s="4">
        <f>IF(A806="","",TRIM(IF(K806="","Needs decision; ","")&amp;IF(AND(K806="Accept suggestion",F806=""),"No suggestion to accept; ","")&amp;IF(AND(K806="Override",L806=""),"Override URL missing; ","")&amp;IF(AND(K806="Accept suggestion",N(G806)&lt;$G$2),"Below your threshold; ","")&amp;IF(AND(M806&lt;&gt;"",M806=A806,K806&lt;&gt;"No change (same URL)"),"Redirects to itself; ","")&amp;IF(AND(M806&lt;&gt;"",OR(M806="/",AND(LEFT(M806,4)="http",OR((LEN(M806)-LEN(SUBSTITUTE(M806,"/","")))=2,AND((LEN(M806)-LEN(SUBSTITUTE(M806,"/","")))=3,RIGHT(M806,1)="/"))))),"Home page redirect; ","")&amp;IF(N(R806)&gt;1,"Chain; ","")&amp;IF(S806="No","Destination not 200; ","")))</f>
        <v/>
      </c>
      <c r="U806" s="22" t="n"/>
      <c r="V806" s="22" t="n"/>
      <c r="W806" s="4" t="n"/>
    </row>
    <row r="807">
      <c r="A807" s="22" t="n"/>
      <c r="B807" s="22" t="n"/>
      <c r="C807" s="22" t="n"/>
      <c r="D807" s="22">
        <f>IF(A807="","",IF(OR(N(B807)&gt;=$C$2,N(C807)&gt;=$E$2),"High",IF(OR(N(B807)&gt;0,N(C807)&gt;0),"Medium","Low")))</f>
        <v/>
      </c>
      <c r="E807" s="22" t="n"/>
      <c r="F807" s="22" t="n"/>
      <c r="G807" s="22" t="n"/>
      <c r="H807" s="22" t="n"/>
      <c r="I807" s="22" t="n"/>
      <c r="J807" s="22" t="n"/>
      <c r="K807" s="22" t="n"/>
      <c r="L807" s="22" t="n"/>
      <c r="M807" s="22">
        <f>IF(K807="Override",L807,IF(K807="Accept suggestion",F807,IF(K807="No change (same URL)",A807,"")))</f>
        <v/>
      </c>
      <c r="N807" s="22">
        <f>IF(A807="","",IF(K807="410 Gone","410",IF(K807="404","404",IF(K807="No change (same URL)","none",IF(M807="","","301")))))</f>
        <v/>
      </c>
      <c r="O807" s="22">
        <f>IF(A807="","",IFERROR(MID(A807,FIND("/",A807,FIND("//",A807)+2),2000),A807))</f>
        <v/>
      </c>
      <c r="P807" s="22">
        <f>IF(OR(O807="",N807="",N807="none",N807="404"),"",IF(N807="410","Redirect gone "&amp;O807,"Redirect "&amp;N807&amp;" "&amp;O807&amp;" "&amp;M807))</f>
        <v/>
      </c>
      <c r="Q807" s="22" t="n"/>
      <c r="R807" s="22" t="n"/>
      <c r="S807" s="22" t="n"/>
      <c r="T807" s="4">
        <f>IF(A807="","",TRIM(IF(K807="","Needs decision; ","")&amp;IF(AND(K807="Accept suggestion",F807=""),"No suggestion to accept; ","")&amp;IF(AND(K807="Override",L807=""),"Override URL missing; ","")&amp;IF(AND(K807="Accept suggestion",N(G807)&lt;$G$2),"Below your threshold; ","")&amp;IF(AND(M807&lt;&gt;"",M807=A807,K807&lt;&gt;"No change (same URL)"),"Redirects to itself; ","")&amp;IF(AND(M807&lt;&gt;"",OR(M807="/",AND(LEFT(M807,4)="http",OR((LEN(M807)-LEN(SUBSTITUTE(M807,"/","")))=2,AND((LEN(M807)-LEN(SUBSTITUTE(M807,"/","")))=3,RIGHT(M807,1)="/"))))),"Home page redirect; ","")&amp;IF(N(R807)&gt;1,"Chain; ","")&amp;IF(S807="No","Destination not 200; ","")))</f>
        <v/>
      </c>
      <c r="U807" s="22" t="n"/>
      <c r="V807" s="22" t="n"/>
      <c r="W807" s="4" t="n"/>
    </row>
    <row r="808">
      <c r="A808" s="22" t="n"/>
      <c r="B808" s="22" t="n"/>
      <c r="C808" s="22" t="n"/>
      <c r="D808" s="22">
        <f>IF(A808="","",IF(OR(N(B808)&gt;=$C$2,N(C808)&gt;=$E$2),"High",IF(OR(N(B808)&gt;0,N(C808)&gt;0),"Medium","Low")))</f>
        <v/>
      </c>
      <c r="E808" s="22" t="n"/>
      <c r="F808" s="22" t="n"/>
      <c r="G808" s="22" t="n"/>
      <c r="H808" s="22" t="n"/>
      <c r="I808" s="22" t="n"/>
      <c r="J808" s="22" t="n"/>
      <c r="K808" s="22" t="n"/>
      <c r="L808" s="22" t="n"/>
      <c r="M808" s="22">
        <f>IF(K808="Override",L808,IF(K808="Accept suggestion",F808,IF(K808="No change (same URL)",A808,"")))</f>
        <v/>
      </c>
      <c r="N808" s="22">
        <f>IF(A808="","",IF(K808="410 Gone","410",IF(K808="404","404",IF(K808="No change (same URL)","none",IF(M808="","","301")))))</f>
        <v/>
      </c>
      <c r="O808" s="22">
        <f>IF(A808="","",IFERROR(MID(A808,FIND("/",A808,FIND("//",A808)+2),2000),A808))</f>
        <v/>
      </c>
      <c r="P808" s="22">
        <f>IF(OR(O808="",N808="",N808="none",N808="404"),"",IF(N808="410","Redirect gone "&amp;O808,"Redirect "&amp;N808&amp;" "&amp;O808&amp;" "&amp;M808))</f>
        <v/>
      </c>
      <c r="Q808" s="22" t="n"/>
      <c r="R808" s="22" t="n"/>
      <c r="S808" s="22" t="n"/>
      <c r="T808" s="4">
        <f>IF(A808="","",TRIM(IF(K808="","Needs decision; ","")&amp;IF(AND(K808="Accept suggestion",F808=""),"No suggestion to accept; ","")&amp;IF(AND(K808="Override",L808=""),"Override URL missing; ","")&amp;IF(AND(K808="Accept suggestion",N(G808)&lt;$G$2),"Below your threshold; ","")&amp;IF(AND(M808&lt;&gt;"",M808=A808,K808&lt;&gt;"No change (same URL)"),"Redirects to itself; ","")&amp;IF(AND(M808&lt;&gt;"",OR(M808="/",AND(LEFT(M808,4)="http",OR((LEN(M808)-LEN(SUBSTITUTE(M808,"/","")))=2,AND((LEN(M808)-LEN(SUBSTITUTE(M808,"/","")))=3,RIGHT(M808,1)="/"))))),"Home page redirect; ","")&amp;IF(N(R808)&gt;1,"Chain; ","")&amp;IF(S808="No","Destination not 200; ","")))</f>
        <v/>
      </c>
      <c r="U808" s="22" t="n"/>
      <c r="V808" s="22" t="n"/>
      <c r="W808" s="4" t="n"/>
    </row>
    <row r="809">
      <c r="A809" s="22" t="n"/>
      <c r="B809" s="22" t="n"/>
      <c r="C809" s="22" t="n"/>
      <c r="D809" s="22">
        <f>IF(A809="","",IF(OR(N(B809)&gt;=$C$2,N(C809)&gt;=$E$2),"High",IF(OR(N(B809)&gt;0,N(C809)&gt;0),"Medium","Low")))</f>
        <v/>
      </c>
      <c r="E809" s="22" t="n"/>
      <c r="F809" s="22" t="n"/>
      <c r="G809" s="22" t="n"/>
      <c r="H809" s="22" t="n"/>
      <c r="I809" s="22" t="n"/>
      <c r="J809" s="22" t="n"/>
      <c r="K809" s="22" t="n"/>
      <c r="L809" s="22" t="n"/>
      <c r="M809" s="22">
        <f>IF(K809="Override",L809,IF(K809="Accept suggestion",F809,IF(K809="No change (same URL)",A809,"")))</f>
        <v/>
      </c>
      <c r="N809" s="22">
        <f>IF(A809="","",IF(K809="410 Gone","410",IF(K809="404","404",IF(K809="No change (same URL)","none",IF(M809="","","301")))))</f>
        <v/>
      </c>
      <c r="O809" s="22">
        <f>IF(A809="","",IFERROR(MID(A809,FIND("/",A809,FIND("//",A809)+2),2000),A809))</f>
        <v/>
      </c>
      <c r="P809" s="22">
        <f>IF(OR(O809="",N809="",N809="none",N809="404"),"",IF(N809="410","Redirect gone "&amp;O809,"Redirect "&amp;N809&amp;" "&amp;O809&amp;" "&amp;M809))</f>
        <v/>
      </c>
      <c r="Q809" s="22" t="n"/>
      <c r="R809" s="22" t="n"/>
      <c r="S809" s="22" t="n"/>
      <c r="T809" s="4">
        <f>IF(A809="","",TRIM(IF(K809="","Needs decision; ","")&amp;IF(AND(K809="Accept suggestion",F809=""),"No suggestion to accept; ","")&amp;IF(AND(K809="Override",L809=""),"Override URL missing; ","")&amp;IF(AND(K809="Accept suggestion",N(G809)&lt;$G$2),"Below your threshold; ","")&amp;IF(AND(M809&lt;&gt;"",M809=A809,K809&lt;&gt;"No change (same URL)"),"Redirects to itself; ","")&amp;IF(AND(M809&lt;&gt;"",OR(M809="/",AND(LEFT(M809,4)="http",OR((LEN(M809)-LEN(SUBSTITUTE(M809,"/","")))=2,AND((LEN(M809)-LEN(SUBSTITUTE(M809,"/","")))=3,RIGHT(M809,1)="/"))))),"Home page redirect; ","")&amp;IF(N(R809)&gt;1,"Chain; ","")&amp;IF(S809="No","Destination not 200; ","")))</f>
        <v/>
      </c>
      <c r="U809" s="22" t="n"/>
      <c r="V809" s="22" t="n"/>
      <c r="W809" s="4" t="n"/>
    </row>
    <row r="810">
      <c r="A810" s="22" t="n"/>
      <c r="B810" s="22" t="n"/>
      <c r="C810" s="22" t="n"/>
      <c r="D810" s="22">
        <f>IF(A810="","",IF(OR(N(B810)&gt;=$C$2,N(C810)&gt;=$E$2),"High",IF(OR(N(B810)&gt;0,N(C810)&gt;0),"Medium","Low")))</f>
        <v/>
      </c>
      <c r="E810" s="22" t="n"/>
      <c r="F810" s="22" t="n"/>
      <c r="G810" s="22" t="n"/>
      <c r="H810" s="22" t="n"/>
      <c r="I810" s="22" t="n"/>
      <c r="J810" s="22" t="n"/>
      <c r="K810" s="22" t="n"/>
      <c r="L810" s="22" t="n"/>
      <c r="M810" s="22">
        <f>IF(K810="Override",L810,IF(K810="Accept suggestion",F810,IF(K810="No change (same URL)",A810,"")))</f>
        <v/>
      </c>
      <c r="N810" s="22">
        <f>IF(A810="","",IF(K810="410 Gone","410",IF(K810="404","404",IF(K810="No change (same URL)","none",IF(M810="","","301")))))</f>
        <v/>
      </c>
      <c r="O810" s="22">
        <f>IF(A810="","",IFERROR(MID(A810,FIND("/",A810,FIND("//",A810)+2),2000),A810))</f>
        <v/>
      </c>
      <c r="P810" s="22">
        <f>IF(OR(O810="",N810="",N810="none",N810="404"),"",IF(N810="410","Redirect gone "&amp;O810,"Redirect "&amp;N810&amp;" "&amp;O810&amp;" "&amp;M810))</f>
        <v/>
      </c>
      <c r="Q810" s="22" t="n"/>
      <c r="R810" s="22" t="n"/>
      <c r="S810" s="22" t="n"/>
      <c r="T810" s="4">
        <f>IF(A810="","",TRIM(IF(K810="","Needs decision; ","")&amp;IF(AND(K810="Accept suggestion",F810=""),"No suggestion to accept; ","")&amp;IF(AND(K810="Override",L810=""),"Override URL missing; ","")&amp;IF(AND(K810="Accept suggestion",N(G810)&lt;$G$2),"Below your threshold; ","")&amp;IF(AND(M810&lt;&gt;"",M810=A810,K810&lt;&gt;"No change (same URL)"),"Redirects to itself; ","")&amp;IF(AND(M810&lt;&gt;"",OR(M810="/",AND(LEFT(M810,4)="http",OR((LEN(M810)-LEN(SUBSTITUTE(M810,"/","")))=2,AND((LEN(M810)-LEN(SUBSTITUTE(M810,"/","")))=3,RIGHT(M810,1)="/"))))),"Home page redirect; ","")&amp;IF(N(R810)&gt;1,"Chain; ","")&amp;IF(S810="No","Destination not 200; ","")))</f>
        <v/>
      </c>
      <c r="U810" s="22" t="n"/>
      <c r="V810" s="22" t="n"/>
      <c r="W810" s="4" t="n"/>
    </row>
    <row r="811">
      <c r="A811" s="22" t="n"/>
      <c r="B811" s="22" t="n"/>
      <c r="C811" s="22" t="n"/>
      <c r="D811" s="22">
        <f>IF(A811="","",IF(OR(N(B811)&gt;=$C$2,N(C811)&gt;=$E$2),"High",IF(OR(N(B811)&gt;0,N(C811)&gt;0),"Medium","Low")))</f>
        <v/>
      </c>
      <c r="E811" s="22" t="n"/>
      <c r="F811" s="22" t="n"/>
      <c r="G811" s="22" t="n"/>
      <c r="H811" s="22" t="n"/>
      <c r="I811" s="22" t="n"/>
      <c r="J811" s="22" t="n"/>
      <c r="K811" s="22" t="n"/>
      <c r="L811" s="22" t="n"/>
      <c r="M811" s="22">
        <f>IF(K811="Override",L811,IF(K811="Accept suggestion",F811,IF(K811="No change (same URL)",A811,"")))</f>
        <v/>
      </c>
      <c r="N811" s="22">
        <f>IF(A811="","",IF(K811="410 Gone","410",IF(K811="404","404",IF(K811="No change (same URL)","none",IF(M811="","","301")))))</f>
        <v/>
      </c>
      <c r="O811" s="22">
        <f>IF(A811="","",IFERROR(MID(A811,FIND("/",A811,FIND("//",A811)+2),2000),A811))</f>
        <v/>
      </c>
      <c r="P811" s="22">
        <f>IF(OR(O811="",N811="",N811="none",N811="404"),"",IF(N811="410","Redirect gone "&amp;O811,"Redirect "&amp;N811&amp;" "&amp;O811&amp;" "&amp;M811))</f>
        <v/>
      </c>
      <c r="Q811" s="22" t="n"/>
      <c r="R811" s="22" t="n"/>
      <c r="S811" s="22" t="n"/>
      <c r="T811" s="4">
        <f>IF(A811="","",TRIM(IF(K811="","Needs decision; ","")&amp;IF(AND(K811="Accept suggestion",F811=""),"No suggestion to accept; ","")&amp;IF(AND(K811="Override",L811=""),"Override URL missing; ","")&amp;IF(AND(K811="Accept suggestion",N(G811)&lt;$G$2),"Below your threshold; ","")&amp;IF(AND(M811&lt;&gt;"",M811=A811,K811&lt;&gt;"No change (same URL)"),"Redirects to itself; ","")&amp;IF(AND(M811&lt;&gt;"",OR(M811="/",AND(LEFT(M811,4)="http",OR((LEN(M811)-LEN(SUBSTITUTE(M811,"/","")))=2,AND((LEN(M811)-LEN(SUBSTITUTE(M811,"/","")))=3,RIGHT(M811,1)="/"))))),"Home page redirect; ","")&amp;IF(N(R811)&gt;1,"Chain; ","")&amp;IF(S811="No","Destination not 200; ","")))</f>
        <v/>
      </c>
      <c r="U811" s="22" t="n"/>
      <c r="V811" s="22" t="n"/>
      <c r="W811" s="4" t="n"/>
    </row>
    <row r="812">
      <c r="A812" s="22" t="n"/>
      <c r="B812" s="22" t="n"/>
      <c r="C812" s="22" t="n"/>
      <c r="D812" s="22">
        <f>IF(A812="","",IF(OR(N(B812)&gt;=$C$2,N(C812)&gt;=$E$2),"High",IF(OR(N(B812)&gt;0,N(C812)&gt;0),"Medium","Low")))</f>
        <v/>
      </c>
      <c r="E812" s="22" t="n"/>
      <c r="F812" s="22" t="n"/>
      <c r="G812" s="22" t="n"/>
      <c r="H812" s="22" t="n"/>
      <c r="I812" s="22" t="n"/>
      <c r="J812" s="22" t="n"/>
      <c r="K812" s="22" t="n"/>
      <c r="L812" s="22" t="n"/>
      <c r="M812" s="22">
        <f>IF(K812="Override",L812,IF(K812="Accept suggestion",F812,IF(K812="No change (same URL)",A812,"")))</f>
        <v/>
      </c>
      <c r="N812" s="22">
        <f>IF(A812="","",IF(K812="410 Gone","410",IF(K812="404","404",IF(K812="No change (same URL)","none",IF(M812="","","301")))))</f>
        <v/>
      </c>
      <c r="O812" s="22">
        <f>IF(A812="","",IFERROR(MID(A812,FIND("/",A812,FIND("//",A812)+2),2000),A812))</f>
        <v/>
      </c>
      <c r="P812" s="22">
        <f>IF(OR(O812="",N812="",N812="none",N812="404"),"",IF(N812="410","Redirect gone "&amp;O812,"Redirect "&amp;N812&amp;" "&amp;O812&amp;" "&amp;M812))</f>
        <v/>
      </c>
      <c r="Q812" s="22" t="n"/>
      <c r="R812" s="22" t="n"/>
      <c r="S812" s="22" t="n"/>
      <c r="T812" s="4">
        <f>IF(A812="","",TRIM(IF(K812="","Needs decision; ","")&amp;IF(AND(K812="Accept suggestion",F812=""),"No suggestion to accept; ","")&amp;IF(AND(K812="Override",L812=""),"Override URL missing; ","")&amp;IF(AND(K812="Accept suggestion",N(G812)&lt;$G$2),"Below your threshold; ","")&amp;IF(AND(M812&lt;&gt;"",M812=A812,K812&lt;&gt;"No change (same URL)"),"Redirects to itself; ","")&amp;IF(AND(M812&lt;&gt;"",OR(M812="/",AND(LEFT(M812,4)="http",OR((LEN(M812)-LEN(SUBSTITUTE(M812,"/","")))=2,AND((LEN(M812)-LEN(SUBSTITUTE(M812,"/","")))=3,RIGHT(M812,1)="/"))))),"Home page redirect; ","")&amp;IF(N(R812)&gt;1,"Chain; ","")&amp;IF(S812="No","Destination not 200; ","")))</f>
        <v/>
      </c>
      <c r="U812" s="22" t="n"/>
      <c r="V812" s="22" t="n"/>
      <c r="W812" s="4" t="n"/>
    </row>
    <row r="813">
      <c r="A813" s="22" t="n"/>
      <c r="B813" s="22" t="n"/>
      <c r="C813" s="22" t="n"/>
      <c r="D813" s="22">
        <f>IF(A813="","",IF(OR(N(B813)&gt;=$C$2,N(C813)&gt;=$E$2),"High",IF(OR(N(B813)&gt;0,N(C813)&gt;0),"Medium","Low")))</f>
        <v/>
      </c>
      <c r="E813" s="22" t="n"/>
      <c r="F813" s="22" t="n"/>
      <c r="G813" s="22" t="n"/>
      <c r="H813" s="22" t="n"/>
      <c r="I813" s="22" t="n"/>
      <c r="J813" s="22" t="n"/>
      <c r="K813" s="22" t="n"/>
      <c r="L813" s="22" t="n"/>
      <c r="M813" s="22">
        <f>IF(K813="Override",L813,IF(K813="Accept suggestion",F813,IF(K813="No change (same URL)",A813,"")))</f>
        <v/>
      </c>
      <c r="N813" s="22">
        <f>IF(A813="","",IF(K813="410 Gone","410",IF(K813="404","404",IF(K813="No change (same URL)","none",IF(M813="","","301")))))</f>
        <v/>
      </c>
      <c r="O813" s="22">
        <f>IF(A813="","",IFERROR(MID(A813,FIND("/",A813,FIND("//",A813)+2),2000),A813))</f>
        <v/>
      </c>
      <c r="P813" s="22">
        <f>IF(OR(O813="",N813="",N813="none",N813="404"),"",IF(N813="410","Redirect gone "&amp;O813,"Redirect "&amp;N813&amp;" "&amp;O813&amp;" "&amp;M813))</f>
        <v/>
      </c>
      <c r="Q813" s="22" t="n"/>
      <c r="R813" s="22" t="n"/>
      <c r="S813" s="22" t="n"/>
      <c r="T813" s="4">
        <f>IF(A813="","",TRIM(IF(K813="","Needs decision; ","")&amp;IF(AND(K813="Accept suggestion",F813=""),"No suggestion to accept; ","")&amp;IF(AND(K813="Override",L813=""),"Override URL missing; ","")&amp;IF(AND(K813="Accept suggestion",N(G813)&lt;$G$2),"Below your threshold; ","")&amp;IF(AND(M813&lt;&gt;"",M813=A813,K813&lt;&gt;"No change (same URL)"),"Redirects to itself; ","")&amp;IF(AND(M813&lt;&gt;"",OR(M813="/",AND(LEFT(M813,4)="http",OR((LEN(M813)-LEN(SUBSTITUTE(M813,"/","")))=2,AND((LEN(M813)-LEN(SUBSTITUTE(M813,"/","")))=3,RIGHT(M813,1)="/"))))),"Home page redirect; ","")&amp;IF(N(R813)&gt;1,"Chain; ","")&amp;IF(S813="No","Destination not 200; ","")))</f>
        <v/>
      </c>
      <c r="U813" s="22" t="n"/>
      <c r="V813" s="22" t="n"/>
      <c r="W813" s="4" t="n"/>
    </row>
    <row r="814">
      <c r="A814" s="22" t="n"/>
      <c r="B814" s="22" t="n"/>
      <c r="C814" s="22" t="n"/>
      <c r="D814" s="22">
        <f>IF(A814="","",IF(OR(N(B814)&gt;=$C$2,N(C814)&gt;=$E$2),"High",IF(OR(N(B814)&gt;0,N(C814)&gt;0),"Medium","Low")))</f>
        <v/>
      </c>
      <c r="E814" s="22" t="n"/>
      <c r="F814" s="22" t="n"/>
      <c r="G814" s="22" t="n"/>
      <c r="H814" s="22" t="n"/>
      <c r="I814" s="22" t="n"/>
      <c r="J814" s="22" t="n"/>
      <c r="K814" s="22" t="n"/>
      <c r="L814" s="22" t="n"/>
      <c r="M814" s="22">
        <f>IF(K814="Override",L814,IF(K814="Accept suggestion",F814,IF(K814="No change (same URL)",A814,"")))</f>
        <v/>
      </c>
      <c r="N814" s="22">
        <f>IF(A814="","",IF(K814="410 Gone","410",IF(K814="404","404",IF(K814="No change (same URL)","none",IF(M814="","","301")))))</f>
        <v/>
      </c>
      <c r="O814" s="22">
        <f>IF(A814="","",IFERROR(MID(A814,FIND("/",A814,FIND("//",A814)+2),2000),A814))</f>
        <v/>
      </c>
      <c r="P814" s="22">
        <f>IF(OR(O814="",N814="",N814="none",N814="404"),"",IF(N814="410","Redirect gone "&amp;O814,"Redirect "&amp;N814&amp;" "&amp;O814&amp;" "&amp;M814))</f>
        <v/>
      </c>
      <c r="Q814" s="22" t="n"/>
      <c r="R814" s="22" t="n"/>
      <c r="S814" s="22" t="n"/>
      <c r="T814" s="4">
        <f>IF(A814="","",TRIM(IF(K814="","Needs decision; ","")&amp;IF(AND(K814="Accept suggestion",F814=""),"No suggestion to accept; ","")&amp;IF(AND(K814="Override",L814=""),"Override URL missing; ","")&amp;IF(AND(K814="Accept suggestion",N(G814)&lt;$G$2),"Below your threshold; ","")&amp;IF(AND(M814&lt;&gt;"",M814=A814,K814&lt;&gt;"No change (same URL)"),"Redirects to itself; ","")&amp;IF(AND(M814&lt;&gt;"",OR(M814="/",AND(LEFT(M814,4)="http",OR((LEN(M814)-LEN(SUBSTITUTE(M814,"/","")))=2,AND((LEN(M814)-LEN(SUBSTITUTE(M814,"/","")))=3,RIGHT(M814,1)="/"))))),"Home page redirect; ","")&amp;IF(N(R814)&gt;1,"Chain; ","")&amp;IF(S814="No","Destination not 200; ","")))</f>
        <v/>
      </c>
      <c r="U814" s="22" t="n"/>
      <c r="V814" s="22" t="n"/>
      <c r="W814" s="4" t="n"/>
    </row>
    <row r="815">
      <c r="A815" s="22" t="n"/>
      <c r="B815" s="22" t="n"/>
      <c r="C815" s="22" t="n"/>
      <c r="D815" s="22">
        <f>IF(A815="","",IF(OR(N(B815)&gt;=$C$2,N(C815)&gt;=$E$2),"High",IF(OR(N(B815)&gt;0,N(C815)&gt;0),"Medium","Low")))</f>
        <v/>
      </c>
      <c r="E815" s="22" t="n"/>
      <c r="F815" s="22" t="n"/>
      <c r="G815" s="22" t="n"/>
      <c r="H815" s="22" t="n"/>
      <c r="I815" s="22" t="n"/>
      <c r="J815" s="22" t="n"/>
      <c r="K815" s="22" t="n"/>
      <c r="L815" s="22" t="n"/>
      <c r="M815" s="22">
        <f>IF(K815="Override",L815,IF(K815="Accept suggestion",F815,IF(K815="No change (same URL)",A815,"")))</f>
        <v/>
      </c>
      <c r="N815" s="22">
        <f>IF(A815="","",IF(K815="410 Gone","410",IF(K815="404","404",IF(K815="No change (same URL)","none",IF(M815="","","301")))))</f>
        <v/>
      </c>
      <c r="O815" s="22">
        <f>IF(A815="","",IFERROR(MID(A815,FIND("/",A815,FIND("//",A815)+2),2000),A815))</f>
        <v/>
      </c>
      <c r="P815" s="22">
        <f>IF(OR(O815="",N815="",N815="none",N815="404"),"",IF(N815="410","Redirect gone "&amp;O815,"Redirect "&amp;N815&amp;" "&amp;O815&amp;" "&amp;M815))</f>
        <v/>
      </c>
      <c r="Q815" s="22" t="n"/>
      <c r="R815" s="22" t="n"/>
      <c r="S815" s="22" t="n"/>
      <c r="T815" s="4">
        <f>IF(A815="","",TRIM(IF(K815="","Needs decision; ","")&amp;IF(AND(K815="Accept suggestion",F815=""),"No suggestion to accept; ","")&amp;IF(AND(K815="Override",L815=""),"Override URL missing; ","")&amp;IF(AND(K815="Accept suggestion",N(G815)&lt;$G$2),"Below your threshold; ","")&amp;IF(AND(M815&lt;&gt;"",M815=A815,K815&lt;&gt;"No change (same URL)"),"Redirects to itself; ","")&amp;IF(AND(M815&lt;&gt;"",OR(M815="/",AND(LEFT(M815,4)="http",OR((LEN(M815)-LEN(SUBSTITUTE(M815,"/","")))=2,AND((LEN(M815)-LEN(SUBSTITUTE(M815,"/","")))=3,RIGHT(M815,1)="/"))))),"Home page redirect; ","")&amp;IF(N(R815)&gt;1,"Chain; ","")&amp;IF(S815="No","Destination not 200; ","")))</f>
        <v/>
      </c>
      <c r="U815" s="22" t="n"/>
      <c r="V815" s="22" t="n"/>
      <c r="W815" s="4" t="n"/>
    </row>
    <row r="816">
      <c r="A816" s="22" t="n"/>
      <c r="B816" s="22" t="n"/>
      <c r="C816" s="22" t="n"/>
      <c r="D816" s="22">
        <f>IF(A816="","",IF(OR(N(B816)&gt;=$C$2,N(C816)&gt;=$E$2),"High",IF(OR(N(B816)&gt;0,N(C816)&gt;0),"Medium","Low")))</f>
        <v/>
      </c>
      <c r="E816" s="22" t="n"/>
      <c r="F816" s="22" t="n"/>
      <c r="G816" s="22" t="n"/>
      <c r="H816" s="22" t="n"/>
      <c r="I816" s="22" t="n"/>
      <c r="J816" s="22" t="n"/>
      <c r="K816" s="22" t="n"/>
      <c r="L816" s="22" t="n"/>
      <c r="M816" s="22">
        <f>IF(K816="Override",L816,IF(K816="Accept suggestion",F816,IF(K816="No change (same URL)",A816,"")))</f>
        <v/>
      </c>
      <c r="N816" s="22">
        <f>IF(A816="","",IF(K816="410 Gone","410",IF(K816="404","404",IF(K816="No change (same URL)","none",IF(M816="","","301")))))</f>
        <v/>
      </c>
      <c r="O816" s="22">
        <f>IF(A816="","",IFERROR(MID(A816,FIND("/",A816,FIND("//",A816)+2),2000),A816))</f>
        <v/>
      </c>
      <c r="P816" s="22">
        <f>IF(OR(O816="",N816="",N816="none",N816="404"),"",IF(N816="410","Redirect gone "&amp;O816,"Redirect "&amp;N816&amp;" "&amp;O816&amp;" "&amp;M816))</f>
        <v/>
      </c>
      <c r="Q816" s="22" t="n"/>
      <c r="R816" s="22" t="n"/>
      <c r="S816" s="22" t="n"/>
      <c r="T816" s="4">
        <f>IF(A816="","",TRIM(IF(K816="","Needs decision; ","")&amp;IF(AND(K816="Accept suggestion",F816=""),"No suggestion to accept; ","")&amp;IF(AND(K816="Override",L816=""),"Override URL missing; ","")&amp;IF(AND(K816="Accept suggestion",N(G816)&lt;$G$2),"Below your threshold; ","")&amp;IF(AND(M816&lt;&gt;"",M816=A816,K816&lt;&gt;"No change (same URL)"),"Redirects to itself; ","")&amp;IF(AND(M816&lt;&gt;"",OR(M816="/",AND(LEFT(M816,4)="http",OR((LEN(M816)-LEN(SUBSTITUTE(M816,"/","")))=2,AND((LEN(M816)-LEN(SUBSTITUTE(M816,"/","")))=3,RIGHT(M816,1)="/"))))),"Home page redirect; ","")&amp;IF(N(R816)&gt;1,"Chain; ","")&amp;IF(S816="No","Destination not 200; ","")))</f>
        <v/>
      </c>
      <c r="U816" s="22" t="n"/>
      <c r="V816" s="22" t="n"/>
      <c r="W816" s="4" t="n"/>
    </row>
    <row r="817">
      <c r="A817" s="22" t="n"/>
      <c r="B817" s="22" t="n"/>
      <c r="C817" s="22" t="n"/>
      <c r="D817" s="22">
        <f>IF(A817="","",IF(OR(N(B817)&gt;=$C$2,N(C817)&gt;=$E$2),"High",IF(OR(N(B817)&gt;0,N(C817)&gt;0),"Medium","Low")))</f>
        <v/>
      </c>
      <c r="E817" s="22" t="n"/>
      <c r="F817" s="22" t="n"/>
      <c r="G817" s="22" t="n"/>
      <c r="H817" s="22" t="n"/>
      <c r="I817" s="22" t="n"/>
      <c r="J817" s="22" t="n"/>
      <c r="K817" s="22" t="n"/>
      <c r="L817" s="22" t="n"/>
      <c r="M817" s="22">
        <f>IF(K817="Override",L817,IF(K817="Accept suggestion",F817,IF(K817="No change (same URL)",A817,"")))</f>
        <v/>
      </c>
      <c r="N817" s="22">
        <f>IF(A817="","",IF(K817="410 Gone","410",IF(K817="404","404",IF(K817="No change (same URL)","none",IF(M817="","","301")))))</f>
        <v/>
      </c>
      <c r="O817" s="22">
        <f>IF(A817="","",IFERROR(MID(A817,FIND("/",A817,FIND("//",A817)+2),2000),A817))</f>
        <v/>
      </c>
      <c r="P817" s="22">
        <f>IF(OR(O817="",N817="",N817="none",N817="404"),"",IF(N817="410","Redirect gone "&amp;O817,"Redirect "&amp;N817&amp;" "&amp;O817&amp;" "&amp;M817))</f>
        <v/>
      </c>
      <c r="Q817" s="22" t="n"/>
      <c r="R817" s="22" t="n"/>
      <c r="S817" s="22" t="n"/>
      <c r="T817" s="4">
        <f>IF(A817="","",TRIM(IF(K817="","Needs decision; ","")&amp;IF(AND(K817="Accept suggestion",F817=""),"No suggestion to accept; ","")&amp;IF(AND(K817="Override",L817=""),"Override URL missing; ","")&amp;IF(AND(K817="Accept suggestion",N(G817)&lt;$G$2),"Below your threshold; ","")&amp;IF(AND(M817&lt;&gt;"",M817=A817,K817&lt;&gt;"No change (same URL)"),"Redirects to itself; ","")&amp;IF(AND(M817&lt;&gt;"",OR(M817="/",AND(LEFT(M817,4)="http",OR((LEN(M817)-LEN(SUBSTITUTE(M817,"/","")))=2,AND((LEN(M817)-LEN(SUBSTITUTE(M817,"/","")))=3,RIGHT(M817,1)="/"))))),"Home page redirect; ","")&amp;IF(N(R817)&gt;1,"Chain; ","")&amp;IF(S817="No","Destination not 200; ","")))</f>
        <v/>
      </c>
      <c r="U817" s="22" t="n"/>
      <c r="V817" s="22" t="n"/>
      <c r="W817" s="4" t="n"/>
    </row>
    <row r="818">
      <c r="A818" s="22" t="n"/>
      <c r="B818" s="22" t="n"/>
      <c r="C818" s="22" t="n"/>
      <c r="D818" s="22">
        <f>IF(A818="","",IF(OR(N(B818)&gt;=$C$2,N(C818)&gt;=$E$2),"High",IF(OR(N(B818)&gt;0,N(C818)&gt;0),"Medium","Low")))</f>
        <v/>
      </c>
      <c r="E818" s="22" t="n"/>
      <c r="F818" s="22" t="n"/>
      <c r="G818" s="22" t="n"/>
      <c r="H818" s="22" t="n"/>
      <c r="I818" s="22" t="n"/>
      <c r="J818" s="22" t="n"/>
      <c r="K818" s="22" t="n"/>
      <c r="L818" s="22" t="n"/>
      <c r="M818" s="22">
        <f>IF(K818="Override",L818,IF(K818="Accept suggestion",F818,IF(K818="No change (same URL)",A818,"")))</f>
        <v/>
      </c>
      <c r="N818" s="22">
        <f>IF(A818="","",IF(K818="410 Gone","410",IF(K818="404","404",IF(K818="No change (same URL)","none",IF(M818="","","301")))))</f>
        <v/>
      </c>
      <c r="O818" s="22">
        <f>IF(A818="","",IFERROR(MID(A818,FIND("/",A818,FIND("//",A818)+2),2000),A818))</f>
        <v/>
      </c>
      <c r="P818" s="22">
        <f>IF(OR(O818="",N818="",N818="none",N818="404"),"",IF(N818="410","Redirect gone "&amp;O818,"Redirect "&amp;N818&amp;" "&amp;O818&amp;" "&amp;M818))</f>
        <v/>
      </c>
      <c r="Q818" s="22" t="n"/>
      <c r="R818" s="22" t="n"/>
      <c r="S818" s="22" t="n"/>
      <c r="T818" s="4">
        <f>IF(A818="","",TRIM(IF(K818="","Needs decision; ","")&amp;IF(AND(K818="Accept suggestion",F818=""),"No suggestion to accept; ","")&amp;IF(AND(K818="Override",L818=""),"Override URL missing; ","")&amp;IF(AND(K818="Accept suggestion",N(G818)&lt;$G$2),"Below your threshold; ","")&amp;IF(AND(M818&lt;&gt;"",M818=A818,K818&lt;&gt;"No change (same URL)"),"Redirects to itself; ","")&amp;IF(AND(M818&lt;&gt;"",OR(M818="/",AND(LEFT(M818,4)="http",OR((LEN(M818)-LEN(SUBSTITUTE(M818,"/","")))=2,AND((LEN(M818)-LEN(SUBSTITUTE(M818,"/","")))=3,RIGHT(M818,1)="/"))))),"Home page redirect; ","")&amp;IF(N(R818)&gt;1,"Chain; ","")&amp;IF(S818="No","Destination not 200; ","")))</f>
        <v/>
      </c>
      <c r="U818" s="22" t="n"/>
      <c r="V818" s="22" t="n"/>
      <c r="W818" s="4" t="n"/>
    </row>
    <row r="819">
      <c r="A819" s="22" t="n"/>
      <c r="B819" s="22" t="n"/>
      <c r="C819" s="22" t="n"/>
      <c r="D819" s="22">
        <f>IF(A819="","",IF(OR(N(B819)&gt;=$C$2,N(C819)&gt;=$E$2),"High",IF(OR(N(B819)&gt;0,N(C819)&gt;0),"Medium","Low")))</f>
        <v/>
      </c>
      <c r="E819" s="22" t="n"/>
      <c r="F819" s="22" t="n"/>
      <c r="G819" s="22" t="n"/>
      <c r="H819" s="22" t="n"/>
      <c r="I819" s="22" t="n"/>
      <c r="J819" s="22" t="n"/>
      <c r="K819" s="22" t="n"/>
      <c r="L819" s="22" t="n"/>
      <c r="M819" s="22">
        <f>IF(K819="Override",L819,IF(K819="Accept suggestion",F819,IF(K819="No change (same URL)",A819,"")))</f>
        <v/>
      </c>
      <c r="N819" s="22">
        <f>IF(A819="","",IF(K819="410 Gone","410",IF(K819="404","404",IF(K819="No change (same URL)","none",IF(M819="","","301")))))</f>
        <v/>
      </c>
      <c r="O819" s="22">
        <f>IF(A819="","",IFERROR(MID(A819,FIND("/",A819,FIND("//",A819)+2),2000),A819))</f>
        <v/>
      </c>
      <c r="P819" s="22">
        <f>IF(OR(O819="",N819="",N819="none",N819="404"),"",IF(N819="410","Redirect gone "&amp;O819,"Redirect "&amp;N819&amp;" "&amp;O819&amp;" "&amp;M819))</f>
        <v/>
      </c>
      <c r="Q819" s="22" t="n"/>
      <c r="R819" s="22" t="n"/>
      <c r="S819" s="22" t="n"/>
      <c r="T819" s="4">
        <f>IF(A819="","",TRIM(IF(K819="","Needs decision; ","")&amp;IF(AND(K819="Accept suggestion",F819=""),"No suggestion to accept; ","")&amp;IF(AND(K819="Override",L819=""),"Override URL missing; ","")&amp;IF(AND(K819="Accept suggestion",N(G819)&lt;$G$2),"Below your threshold; ","")&amp;IF(AND(M819&lt;&gt;"",M819=A819,K819&lt;&gt;"No change (same URL)"),"Redirects to itself; ","")&amp;IF(AND(M819&lt;&gt;"",OR(M819="/",AND(LEFT(M819,4)="http",OR((LEN(M819)-LEN(SUBSTITUTE(M819,"/","")))=2,AND((LEN(M819)-LEN(SUBSTITUTE(M819,"/","")))=3,RIGHT(M819,1)="/"))))),"Home page redirect; ","")&amp;IF(N(R819)&gt;1,"Chain; ","")&amp;IF(S819="No","Destination not 200; ","")))</f>
        <v/>
      </c>
      <c r="U819" s="22" t="n"/>
      <c r="V819" s="22" t="n"/>
      <c r="W819" s="4" t="n"/>
    </row>
    <row r="820">
      <c r="A820" s="22" t="n"/>
      <c r="B820" s="22" t="n"/>
      <c r="C820" s="22" t="n"/>
      <c r="D820" s="22">
        <f>IF(A820="","",IF(OR(N(B820)&gt;=$C$2,N(C820)&gt;=$E$2),"High",IF(OR(N(B820)&gt;0,N(C820)&gt;0),"Medium","Low")))</f>
        <v/>
      </c>
      <c r="E820" s="22" t="n"/>
      <c r="F820" s="22" t="n"/>
      <c r="G820" s="22" t="n"/>
      <c r="H820" s="22" t="n"/>
      <c r="I820" s="22" t="n"/>
      <c r="J820" s="22" t="n"/>
      <c r="K820" s="22" t="n"/>
      <c r="L820" s="22" t="n"/>
      <c r="M820" s="22">
        <f>IF(K820="Override",L820,IF(K820="Accept suggestion",F820,IF(K820="No change (same URL)",A820,"")))</f>
        <v/>
      </c>
      <c r="N820" s="22">
        <f>IF(A820="","",IF(K820="410 Gone","410",IF(K820="404","404",IF(K820="No change (same URL)","none",IF(M820="","","301")))))</f>
        <v/>
      </c>
      <c r="O820" s="22">
        <f>IF(A820="","",IFERROR(MID(A820,FIND("/",A820,FIND("//",A820)+2),2000),A820))</f>
        <v/>
      </c>
      <c r="P820" s="22">
        <f>IF(OR(O820="",N820="",N820="none",N820="404"),"",IF(N820="410","Redirect gone "&amp;O820,"Redirect "&amp;N820&amp;" "&amp;O820&amp;" "&amp;M820))</f>
        <v/>
      </c>
      <c r="Q820" s="22" t="n"/>
      <c r="R820" s="22" t="n"/>
      <c r="S820" s="22" t="n"/>
      <c r="T820" s="4">
        <f>IF(A820="","",TRIM(IF(K820="","Needs decision; ","")&amp;IF(AND(K820="Accept suggestion",F820=""),"No suggestion to accept; ","")&amp;IF(AND(K820="Override",L820=""),"Override URL missing; ","")&amp;IF(AND(K820="Accept suggestion",N(G820)&lt;$G$2),"Below your threshold; ","")&amp;IF(AND(M820&lt;&gt;"",M820=A820,K820&lt;&gt;"No change (same URL)"),"Redirects to itself; ","")&amp;IF(AND(M820&lt;&gt;"",OR(M820="/",AND(LEFT(M820,4)="http",OR((LEN(M820)-LEN(SUBSTITUTE(M820,"/","")))=2,AND((LEN(M820)-LEN(SUBSTITUTE(M820,"/","")))=3,RIGHT(M820,1)="/"))))),"Home page redirect; ","")&amp;IF(N(R820)&gt;1,"Chain; ","")&amp;IF(S820="No","Destination not 200; ","")))</f>
        <v/>
      </c>
      <c r="U820" s="22" t="n"/>
      <c r="V820" s="22" t="n"/>
      <c r="W820" s="4" t="n"/>
    </row>
    <row r="821">
      <c r="A821" s="22" t="n"/>
      <c r="B821" s="22" t="n"/>
      <c r="C821" s="22" t="n"/>
      <c r="D821" s="22">
        <f>IF(A821="","",IF(OR(N(B821)&gt;=$C$2,N(C821)&gt;=$E$2),"High",IF(OR(N(B821)&gt;0,N(C821)&gt;0),"Medium","Low")))</f>
        <v/>
      </c>
      <c r="E821" s="22" t="n"/>
      <c r="F821" s="22" t="n"/>
      <c r="G821" s="22" t="n"/>
      <c r="H821" s="22" t="n"/>
      <c r="I821" s="22" t="n"/>
      <c r="J821" s="22" t="n"/>
      <c r="K821" s="22" t="n"/>
      <c r="L821" s="22" t="n"/>
      <c r="M821" s="22">
        <f>IF(K821="Override",L821,IF(K821="Accept suggestion",F821,IF(K821="No change (same URL)",A821,"")))</f>
        <v/>
      </c>
      <c r="N821" s="22">
        <f>IF(A821="","",IF(K821="410 Gone","410",IF(K821="404","404",IF(K821="No change (same URL)","none",IF(M821="","","301")))))</f>
        <v/>
      </c>
      <c r="O821" s="22">
        <f>IF(A821="","",IFERROR(MID(A821,FIND("/",A821,FIND("//",A821)+2),2000),A821))</f>
        <v/>
      </c>
      <c r="P821" s="22">
        <f>IF(OR(O821="",N821="",N821="none",N821="404"),"",IF(N821="410","Redirect gone "&amp;O821,"Redirect "&amp;N821&amp;" "&amp;O821&amp;" "&amp;M821))</f>
        <v/>
      </c>
      <c r="Q821" s="22" t="n"/>
      <c r="R821" s="22" t="n"/>
      <c r="S821" s="22" t="n"/>
      <c r="T821" s="4">
        <f>IF(A821="","",TRIM(IF(K821="","Needs decision; ","")&amp;IF(AND(K821="Accept suggestion",F821=""),"No suggestion to accept; ","")&amp;IF(AND(K821="Override",L821=""),"Override URL missing; ","")&amp;IF(AND(K821="Accept suggestion",N(G821)&lt;$G$2),"Below your threshold; ","")&amp;IF(AND(M821&lt;&gt;"",M821=A821,K821&lt;&gt;"No change (same URL)"),"Redirects to itself; ","")&amp;IF(AND(M821&lt;&gt;"",OR(M821="/",AND(LEFT(M821,4)="http",OR((LEN(M821)-LEN(SUBSTITUTE(M821,"/","")))=2,AND((LEN(M821)-LEN(SUBSTITUTE(M821,"/","")))=3,RIGHT(M821,1)="/"))))),"Home page redirect; ","")&amp;IF(N(R821)&gt;1,"Chain; ","")&amp;IF(S821="No","Destination not 200; ","")))</f>
        <v/>
      </c>
      <c r="U821" s="22" t="n"/>
      <c r="V821" s="22" t="n"/>
      <c r="W821" s="4" t="n"/>
    </row>
    <row r="822">
      <c r="A822" s="22" t="n"/>
      <c r="B822" s="22" t="n"/>
      <c r="C822" s="22" t="n"/>
      <c r="D822" s="22">
        <f>IF(A822="","",IF(OR(N(B822)&gt;=$C$2,N(C822)&gt;=$E$2),"High",IF(OR(N(B822)&gt;0,N(C822)&gt;0),"Medium","Low")))</f>
        <v/>
      </c>
      <c r="E822" s="22" t="n"/>
      <c r="F822" s="22" t="n"/>
      <c r="G822" s="22" t="n"/>
      <c r="H822" s="22" t="n"/>
      <c r="I822" s="22" t="n"/>
      <c r="J822" s="22" t="n"/>
      <c r="K822" s="22" t="n"/>
      <c r="L822" s="22" t="n"/>
      <c r="M822" s="22">
        <f>IF(K822="Override",L822,IF(K822="Accept suggestion",F822,IF(K822="No change (same URL)",A822,"")))</f>
        <v/>
      </c>
      <c r="N822" s="22">
        <f>IF(A822="","",IF(K822="410 Gone","410",IF(K822="404","404",IF(K822="No change (same URL)","none",IF(M822="","","301")))))</f>
        <v/>
      </c>
      <c r="O822" s="22">
        <f>IF(A822="","",IFERROR(MID(A822,FIND("/",A822,FIND("//",A822)+2),2000),A822))</f>
        <v/>
      </c>
      <c r="P822" s="22">
        <f>IF(OR(O822="",N822="",N822="none",N822="404"),"",IF(N822="410","Redirect gone "&amp;O822,"Redirect "&amp;N822&amp;" "&amp;O822&amp;" "&amp;M822))</f>
        <v/>
      </c>
      <c r="Q822" s="22" t="n"/>
      <c r="R822" s="22" t="n"/>
      <c r="S822" s="22" t="n"/>
      <c r="T822" s="4">
        <f>IF(A822="","",TRIM(IF(K822="","Needs decision; ","")&amp;IF(AND(K822="Accept suggestion",F822=""),"No suggestion to accept; ","")&amp;IF(AND(K822="Override",L822=""),"Override URL missing; ","")&amp;IF(AND(K822="Accept suggestion",N(G822)&lt;$G$2),"Below your threshold; ","")&amp;IF(AND(M822&lt;&gt;"",M822=A822,K822&lt;&gt;"No change (same URL)"),"Redirects to itself; ","")&amp;IF(AND(M822&lt;&gt;"",OR(M822="/",AND(LEFT(M822,4)="http",OR((LEN(M822)-LEN(SUBSTITUTE(M822,"/","")))=2,AND((LEN(M822)-LEN(SUBSTITUTE(M822,"/","")))=3,RIGHT(M822,1)="/"))))),"Home page redirect; ","")&amp;IF(N(R822)&gt;1,"Chain; ","")&amp;IF(S822="No","Destination not 200; ","")))</f>
        <v/>
      </c>
      <c r="U822" s="22" t="n"/>
      <c r="V822" s="22" t="n"/>
      <c r="W822" s="4" t="n"/>
    </row>
    <row r="823">
      <c r="A823" s="22" t="n"/>
      <c r="B823" s="22" t="n"/>
      <c r="C823" s="22" t="n"/>
      <c r="D823" s="22">
        <f>IF(A823="","",IF(OR(N(B823)&gt;=$C$2,N(C823)&gt;=$E$2),"High",IF(OR(N(B823)&gt;0,N(C823)&gt;0),"Medium","Low")))</f>
        <v/>
      </c>
      <c r="E823" s="22" t="n"/>
      <c r="F823" s="22" t="n"/>
      <c r="G823" s="22" t="n"/>
      <c r="H823" s="22" t="n"/>
      <c r="I823" s="22" t="n"/>
      <c r="J823" s="22" t="n"/>
      <c r="K823" s="22" t="n"/>
      <c r="L823" s="22" t="n"/>
      <c r="M823" s="22">
        <f>IF(K823="Override",L823,IF(K823="Accept suggestion",F823,IF(K823="No change (same URL)",A823,"")))</f>
        <v/>
      </c>
      <c r="N823" s="22">
        <f>IF(A823="","",IF(K823="410 Gone","410",IF(K823="404","404",IF(K823="No change (same URL)","none",IF(M823="","","301")))))</f>
        <v/>
      </c>
      <c r="O823" s="22">
        <f>IF(A823="","",IFERROR(MID(A823,FIND("/",A823,FIND("//",A823)+2),2000),A823))</f>
        <v/>
      </c>
      <c r="P823" s="22">
        <f>IF(OR(O823="",N823="",N823="none",N823="404"),"",IF(N823="410","Redirect gone "&amp;O823,"Redirect "&amp;N823&amp;" "&amp;O823&amp;" "&amp;M823))</f>
        <v/>
      </c>
      <c r="Q823" s="22" t="n"/>
      <c r="R823" s="22" t="n"/>
      <c r="S823" s="22" t="n"/>
      <c r="T823" s="4">
        <f>IF(A823="","",TRIM(IF(K823="","Needs decision; ","")&amp;IF(AND(K823="Accept suggestion",F823=""),"No suggestion to accept; ","")&amp;IF(AND(K823="Override",L823=""),"Override URL missing; ","")&amp;IF(AND(K823="Accept suggestion",N(G823)&lt;$G$2),"Below your threshold; ","")&amp;IF(AND(M823&lt;&gt;"",M823=A823,K823&lt;&gt;"No change (same URL)"),"Redirects to itself; ","")&amp;IF(AND(M823&lt;&gt;"",OR(M823="/",AND(LEFT(M823,4)="http",OR((LEN(M823)-LEN(SUBSTITUTE(M823,"/","")))=2,AND((LEN(M823)-LEN(SUBSTITUTE(M823,"/","")))=3,RIGHT(M823,1)="/"))))),"Home page redirect; ","")&amp;IF(N(R823)&gt;1,"Chain; ","")&amp;IF(S823="No","Destination not 200; ","")))</f>
        <v/>
      </c>
      <c r="U823" s="22" t="n"/>
      <c r="V823" s="22" t="n"/>
      <c r="W823" s="4" t="n"/>
    </row>
    <row r="824">
      <c r="A824" s="22" t="n"/>
      <c r="B824" s="22" t="n"/>
      <c r="C824" s="22" t="n"/>
      <c r="D824" s="22">
        <f>IF(A824="","",IF(OR(N(B824)&gt;=$C$2,N(C824)&gt;=$E$2),"High",IF(OR(N(B824)&gt;0,N(C824)&gt;0),"Medium","Low")))</f>
        <v/>
      </c>
      <c r="E824" s="22" t="n"/>
      <c r="F824" s="22" t="n"/>
      <c r="G824" s="22" t="n"/>
      <c r="H824" s="22" t="n"/>
      <c r="I824" s="22" t="n"/>
      <c r="J824" s="22" t="n"/>
      <c r="K824" s="22" t="n"/>
      <c r="L824" s="22" t="n"/>
      <c r="M824" s="22">
        <f>IF(K824="Override",L824,IF(K824="Accept suggestion",F824,IF(K824="No change (same URL)",A824,"")))</f>
        <v/>
      </c>
      <c r="N824" s="22">
        <f>IF(A824="","",IF(K824="410 Gone","410",IF(K824="404","404",IF(K824="No change (same URL)","none",IF(M824="","","301")))))</f>
        <v/>
      </c>
      <c r="O824" s="22">
        <f>IF(A824="","",IFERROR(MID(A824,FIND("/",A824,FIND("//",A824)+2),2000),A824))</f>
        <v/>
      </c>
      <c r="P824" s="22">
        <f>IF(OR(O824="",N824="",N824="none",N824="404"),"",IF(N824="410","Redirect gone "&amp;O824,"Redirect "&amp;N824&amp;" "&amp;O824&amp;" "&amp;M824))</f>
        <v/>
      </c>
      <c r="Q824" s="22" t="n"/>
      <c r="R824" s="22" t="n"/>
      <c r="S824" s="22" t="n"/>
      <c r="T824" s="4">
        <f>IF(A824="","",TRIM(IF(K824="","Needs decision; ","")&amp;IF(AND(K824="Accept suggestion",F824=""),"No suggestion to accept; ","")&amp;IF(AND(K824="Override",L824=""),"Override URL missing; ","")&amp;IF(AND(K824="Accept suggestion",N(G824)&lt;$G$2),"Below your threshold; ","")&amp;IF(AND(M824&lt;&gt;"",M824=A824,K824&lt;&gt;"No change (same URL)"),"Redirects to itself; ","")&amp;IF(AND(M824&lt;&gt;"",OR(M824="/",AND(LEFT(M824,4)="http",OR((LEN(M824)-LEN(SUBSTITUTE(M824,"/","")))=2,AND((LEN(M824)-LEN(SUBSTITUTE(M824,"/","")))=3,RIGHT(M824,1)="/"))))),"Home page redirect; ","")&amp;IF(N(R824)&gt;1,"Chain; ","")&amp;IF(S824="No","Destination not 200; ","")))</f>
        <v/>
      </c>
      <c r="U824" s="22" t="n"/>
      <c r="V824" s="22" t="n"/>
      <c r="W824" s="4" t="n"/>
    </row>
    <row r="825">
      <c r="A825" s="22" t="n"/>
      <c r="B825" s="22" t="n"/>
      <c r="C825" s="22" t="n"/>
      <c r="D825" s="22">
        <f>IF(A825="","",IF(OR(N(B825)&gt;=$C$2,N(C825)&gt;=$E$2),"High",IF(OR(N(B825)&gt;0,N(C825)&gt;0),"Medium","Low")))</f>
        <v/>
      </c>
      <c r="E825" s="22" t="n"/>
      <c r="F825" s="22" t="n"/>
      <c r="G825" s="22" t="n"/>
      <c r="H825" s="22" t="n"/>
      <c r="I825" s="22" t="n"/>
      <c r="J825" s="22" t="n"/>
      <c r="K825" s="22" t="n"/>
      <c r="L825" s="22" t="n"/>
      <c r="M825" s="22">
        <f>IF(K825="Override",L825,IF(K825="Accept suggestion",F825,IF(K825="No change (same URL)",A825,"")))</f>
        <v/>
      </c>
      <c r="N825" s="22">
        <f>IF(A825="","",IF(K825="410 Gone","410",IF(K825="404","404",IF(K825="No change (same URL)","none",IF(M825="","","301")))))</f>
        <v/>
      </c>
      <c r="O825" s="22">
        <f>IF(A825="","",IFERROR(MID(A825,FIND("/",A825,FIND("//",A825)+2),2000),A825))</f>
        <v/>
      </c>
      <c r="P825" s="22">
        <f>IF(OR(O825="",N825="",N825="none",N825="404"),"",IF(N825="410","Redirect gone "&amp;O825,"Redirect "&amp;N825&amp;" "&amp;O825&amp;" "&amp;M825))</f>
        <v/>
      </c>
      <c r="Q825" s="22" t="n"/>
      <c r="R825" s="22" t="n"/>
      <c r="S825" s="22" t="n"/>
      <c r="T825" s="4">
        <f>IF(A825="","",TRIM(IF(K825="","Needs decision; ","")&amp;IF(AND(K825="Accept suggestion",F825=""),"No suggestion to accept; ","")&amp;IF(AND(K825="Override",L825=""),"Override URL missing; ","")&amp;IF(AND(K825="Accept suggestion",N(G825)&lt;$G$2),"Below your threshold; ","")&amp;IF(AND(M825&lt;&gt;"",M825=A825,K825&lt;&gt;"No change (same URL)"),"Redirects to itself; ","")&amp;IF(AND(M825&lt;&gt;"",OR(M825="/",AND(LEFT(M825,4)="http",OR((LEN(M825)-LEN(SUBSTITUTE(M825,"/","")))=2,AND((LEN(M825)-LEN(SUBSTITUTE(M825,"/","")))=3,RIGHT(M825,1)="/"))))),"Home page redirect; ","")&amp;IF(N(R825)&gt;1,"Chain; ","")&amp;IF(S825="No","Destination not 200; ","")))</f>
        <v/>
      </c>
      <c r="U825" s="22" t="n"/>
      <c r="V825" s="22" t="n"/>
      <c r="W825" s="4" t="n"/>
    </row>
    <row r="826">
      <c r="A826" s="22" t="n"/>
      <c r="B826" s="22" t="n"/>
      <c r="C826" s="22" t="n"/>
      <c r="D826" s="22">
        <f>IF(A826="","",IF(OR(N(B826)&gt;=$C$2,N(C826)&gt;=$E$2),"High",IF(OR(N(B826)&gt;0,N(C826)&gt;0),"Medium","Low")))</f>
        <v/>
      </c>
      <c r="E826" s="22" t="n"/>
      <c r="F826" s="22" t="n"/>
      <c r="G826" s="22" t="n"/>
      <c r="H826" s="22" t="n"/>
      <c r="I826" s="22" t="n"/>
      <c r="J826" s="22" t="n"/>
      <c r="K826" s="22" t="n"/>
      <c r="L826" s="22" t="n"/>
      <c r="M826" s="22">
        <f>IF(K826="Override",L826,IF(K826="Accept suggestion",F826,IF(K826="No change (same URL)",A826,"")))</f>
        <v/>
      </c>
      <c r="N826" s="22">
        <f>IF(A826="","",IF(K826="410 Gone","410",IF(K826="404","404",IF(K826="No change (same URL)","none",IF(M826="","","301")))))</f>
        <v/>
      </c>
      <c r="O826" s="22">
        <f>IF(A826="","",IFERROR(MID(A826,FIND("/",A826,FIND("//",A826)+2),2000),A826))</f>
        <v/>
      </c>
      <c r="P826" s="22">
        <f>IF(OR(O826="",N826="",N826="none",N826="404"),"",IF(N826="410","Redirect gone "&amp;O826,"Redirect "&amp;N826&amp;" "&amp;O826&amp;" "&amp;M826))</f>
        <v/>
      </c>
      <c r="Q826" s="22" t="n"/>
      <c r="R826" s="22" t="n"/>
      <c r="S826" s="22" t="n"/>
      <c r="T826" s="4">
        <f>IF(A826="","",TRIM(IF(K826="","Needs decision; ","")&amp;IF(AND(K826="Accept suggestion",F826=""),"No suggestion to accept; ","")&amp;IF(AND(K826="Override",L826=""),"Override URL missing; ","")&amp;IF(AND(K826="Accept suggestion",N(G826)&lt;$G$2),"Below your threshold; ","")&amp;IF(AND(M826&lt;&gt;"",M826=A826,K826&lt;&gt;"No change (same URL)"),"Redirects to itself; ","")&amp;IF(AND(M826&lt;&gt;"",OR(M826="/",AND(LEFT(M826,4)="http",OR((LEN(M826)-LEN(SUBSTITUTE(M826,"/","")))=2,AND((LEN(M826)-LEN(SUBSTITUTE(M826,"/","")))=3,RIGHT(M826,1)="/"))))),"Home page redirect; ","")&amp;IF(N(R826)&gt;1,"Chain; ","")&amp;IF(S826="No","Destination not 200; ","")))</f>
        <v/>
      </c>
      <c r="U826" s="22" t="n"/>
      <c r="V826" s="22" t="n"/>
      <c r="W826" s="4" t="n"/>
    </row>
    <row r="827">
      <c r="A827" s="22" t="n"/>
      <c r="B827" s="22" t="n"/>
      <c r="C827" s="22" t="n"/>
      <c r="D827" s="22">
        <f>IF(A827="","",IF(OR(N(B827)&gt;=$C$2,N(C827)&gt;=$E$2),"High",IF(OR(N(B827)&gt;0,N(C827)&gt;0),"Medium","Low")))</f>
        <v/>
      </c>
      <c r="E827" s="22" t="n"/>
      <c r="F827" s="22" t="n"/>
      <c r="G827" s="22" t="n"/>
      <c r="H827" s="22" t="n"/>
      <c r="I827" s="22" t="n"/>
      <c r="J827" s="22" t="n"/>
      <c r="K827" s="22" t="n"/>
      <c r="L827" s="22" t="n"/>
      <c r="M827" s="22">
        <f>IF(K827="Override",L827,IF(K827="Accept suggestion",F827,IF(K827="No change (same URL)",A827,"")))</f>
        <v/>
      </c>
      <c r="N827" s="22">
        <f>IF(A827="","",IF(K827="410 Gone","410",IF(K827="404","404",IF(K827="No change (same URL)","none",IF(M827="","","301")))))</f>
        <v/>
      </c>
      <c r="O827" s="22">
        <f>IF(A827="","",IFERROR(MID(A827,FIND("/",A827,FIND("//",A827)+2),2000),A827))</f>
        <v/>
      </c>
      <c r="P827" s="22">
        <f>IF(OR(O827="",N827="",N827="none",N827="404"),"",IF(N827="410","Redirect gone "&amp;O827,"Redirect "&amp;N827&amp;" "&amp;O827&amp;" "&amp;M827))</f>
        <v/>
      </c>
      <c r="Q827" s="22" t="n"/>
      <c r="R827" s="22" t="n"/>
      <c r="S827" s="22" t="n"/>
      <c r="T827" s="4">
        <f>IF(A827="","",TRIM(IF(K827="","Needs decision; ","")&amp;IF(AND(K827="Accept suggestion",F827=""),"No suggestion to accept; ","")&amp;IF(AND(K827="Override",L827=""),"Override URL missing; ","")&amp;IF(AND(K827="Accept suggestion",N(G827)&lt;$G$2),"Below your threshold; ","")&amp;IF(AND(M827&lt;&gt;"",M827=A827,K827&lt;&gt;"No change (same URL)"),"Redirects to itself; ","")&amp;IF(AND(M827&lt;&gt;"",OR(M827="/",AND(LEFT(M827,4)="http",OR((LEN(M827)-LEN(SUBSTITUTE(M827,"/","")))=2,AND((LEN(M827)-LEN(SUBSTITUTE(M827,"/","")))=3,RIGHT(M827,1)="/"))))),"Home page redirect; ","")&amp;IF(N(R827)&gt;1,"Chain; ","")&amp;IF(S827="No","Destination not 200; ","")))</f>
        <v/>
      </c>
      <c r="U827" s="22" t="n"/>
      <c r="V827" s="22" t="n"/>
      <c r="W827" s="4" t="n"/>
    </row>
    <row r="828">
      <c r="A828" s="22" t="n"/>
      <c r="B828" s="22" t="n"/>
      <c r="C828" s="22" t="n"/>
      <c r="D828" s="22">
        <f>IF(A828="","",IF(OR(N(B828)&gt;=$C$2,N(C828)&gt;=$E$2),"High",IF(OR(N(B828)&gt;0,N(C828)&gt;0),"Medium","Low")))</f>
        <v/>
      </c>
      <c r="E828" s="22" t="n"/>
      <c r="F828" s="22" t="n"/>
      <c r="G828" s="22" t="n"/>
      <c r="H828" s="22" t="n"/>
      <c r="I828" s="22" t="n"/>
      <c r="J828" s="22" t="n"/>
      <c r="K828" s="22" t="n"/>
      <c r="L828" s="22" t="n"/>
      <c r="M828" s="22">
        <f>IF(K828="Override",L828,IF(K828="Accept suggestion",F828,IF(K828="No change (same URL)",A828,"")))</f>
        <v/>
      </c>
      <c r="N828" s="22">
        <f>IF(A828="","",IF(K828="410 Gone","410",IF(K828="404","404",IF(K828="No change (same URL)","none",IF(M828="","","301")))))</f>
        <v/>
      </c>
      <c r="O828" s="22">
        <f>IF(A828="","",IFERROR(MID(A828,FIND("/",A828,FIND("//",A828)+2),2000),A828))</f>
        <v/>
      </c>
      <c r="P828" s="22">
        <f>IF(OR(O828="",N828="",N828="none",N828="404"),"",IF(N828="410","Redirect gone "&amp;O828,"Redirect "&amp;N828&amp;" "&amp;O828&amp;" "&amp;M828))</f>
        <v/>
      </c>
      <c r="Q828" s="22" t="n"/>
      <c r="R828" s="22" t="n"/>
      <c r="S828" s="22" t="n"/>
      <c r="T828" s="4">
        <f>IF(A828="","",TRIM(IF(K828="","Needs decision; ","")&amp;IF(AND(K828="Accept suggestion",F828=""),"No suggestion to accept; ","")&amp;IF(AND(K828="Override",L828=""),"Override URL missing; ","")&amp;IF(AND(K828="Accept suggestion",N(G828)&lt;$G$2),"Below your threshold; ","")&amp;IF(AND(M828&lt;&gt;"",M828=A828,K828&lt;&gt;"No change (same URL)"),"Redirects to itself; ","")&amp;IF(AND(M828&lt;&gt;"",OR(M828="/",AND(LEFT(M828,4)="http",OR((LEN(M828)-LEN(SUBSTITUTE(M828,"/","")))=2,AND((LEN(M828)-LEN(SUBSTITUTE(M828,"/","")))=3,RIGHT(M828,1)="/"))))),"Home page redirect; ","")&amp;IF(N(R828)&gt;1,"Chain; ","")&amp;IF(S828="No","Destination not 200; ","")))</f>
        <v/>
      </c>
      <c r="U828" s="22" t="n"/>
      <c r="V828" s="22" t="n"/>
      <c r="W828" s="4" t="n"/>
    </row>
    <row r="829">
      <c r="A829" s="22" t="n"/>
      <c r="B829" s="22" t="n"/>
      <c r="C829" s="22" t="n"/>
      <c r="D829" s="22">
        <f>IF(A829="","",IF(OR(N(B829)&gt;=$C$2,N(C829)&gt;=$E$2),"High",IF(OR(N(B829)&gt;0,N(C829)&gt;0),"Medium","Low")))</f>
        <v/>
      </c>
      <c r="E829" s="22" t="n"/>
      <c r="F829" s="22" t="n"/>
      <c r="G829" s="22" t="n"/>
      <c r="H829" s="22" t="n"/>
      <c r="I829" s="22" t="n"/>
      <c r="J829" s="22" t="n"/>
      <c r="K829" s="22" t="n"/>
      <c r="L829" s="22" t="n"/>
      <c r="M829" s="22">
        <f>IF(K829="Override",L829,IF(K829="Accept suggestion",F829,IF(K829="No change (same URL)",A829,"")))</f>
        <v/>
      </c>
      <c r="N829" s="22">
        <f>IF(A829="","",IF(K829="410 Gone","410",IF(K829="404","404",IF(K829="No change (same URL)","none",IF(M829="","","301")))))</f>
        <v/>
      </c>
      <c r="O829" s="22">
        <f>IF(A829="","",IFERROR(MID(A829,FIND("/",A829,FIND("//",A829)+2),2000),A829))</f>
        <v/>
      </c>
      <c r="P829" s="22">
        <f>IF(OR(O829="",N829="",N829="none",N829="404"),"",IF(N829="410","Redirect gone "&amp;O829,"Redirect "&amp;N829&amp;" "&amp;O829&amp;" "&amp;M829))</f>
        <v/>
      </c>
      <c r="Q829" s="22" t="n"/>
      <c r="R829" s="22" t="n"/>
      <c r="S829" s="22" t="n"/>
      <c r="T829" s="4">
        <f>IF(A829="","",TRIM(IF(K829="","Needs decision; ","")&amp;IF(AND(K829="Accept suggestion",F829=""),"No suggestion to accept; ","")&amp;IF(AND(K829="Override",L829=""),"Override URL missing; ","")&amp;IF(AND(K829="Accept suggestion",N(G829)&lt;$G$2),"Below your threshold; ","")&amp;IF(AND(M829&lt;&gt;"",M829=A829,K829&lt;&gt;"No change (same URL)"),"Redirects to itself; ","")&amp;IF(AND(M829&lt;&gt;"",OR(M829="/",AND(LEFT(M829,4)="http",OR((LEN(M829)-LEN(SUBSTITUTE(M829,"/","")))=2,AND((LEN(M829)-LEN(SUBSTITUTE(M829,"/","")))=3,RIGHT(M829,1)="/"))))),"Home page redirect; ","")&amp;IF(N(R829)&gt;1,"Chain; ","")&amp;IF(S829="No","Destination not 200; ","")))</f>
        <v/>
      </c>
      <c r="U829" s="22" t="n"/>
      <c r="V829" s="22" t="n"/>
      <c r="W829" s="4" t="n"/>
    </row>
    <row r="830">
      <c r="A830" s="22" t="n"/>
      <c r="B830" s="22" t="n"/>
      <c r="C830" s="22" t="n"/>
      <c r="D830" s="22">
        <f>IF(A830="","",IF(OR(N(B830)&gt;=$C$2,N(C830)&gt;=$E$2),"High",IF(OR(N(B830)&gt;0,N(C830)&gt;0),"Medium","Low")))</f>
        <v/>
      </c>
      <c r="E830" s="22" t="n"/>
      <c r="F830" s="22" t="n"/>
      <c r="G830" s="22" t="n"/>
      <c r="H830" s="22" t="n"/>
      <c r="I830" s="22" t="n"/>
      <c r="J830" s="22" t="n"/>
      <c r="K830" s="22" t="n"/>
      <c r="L830" s="22" t="n"/>
      <c r="M830" s="22">
        <f>IF(K830="Override",L830,IF(K830="Accept suggestion",F830,IF(K830="No change (same URL)",A830,"")))</f>
        <v/>
      </c>
      <c r="N830" s="22">
        <f>IF(A830="","",IF(K830="410 Gone","410",IF(K830="404","404",IF(K830="No change (same URL)","none",IF(M830="","","301")))))</f>
        <v/>
      </c>
      <c r="O830" s="22">
        <f>IF(A830="","",IFERROR(MID(A830,FIND("/",A830,FIND("//",A830)+2),2000),A830))</f>
        <v/>
      </c>
      <c r="P830" s="22">
        <f>IF(OR(O830="",N830="",N830="none",N830="404"),"",IF(N830="410","Redirect gone "&amp;O830,"Redirect "&amp;N830&amp;" "&amp;O830&amp;" "&amp;M830))</f>
        <v/>
      </c>
      <c r="Q830" s="22" t="n"/>
      <c r="R830" s="22" t="n"/>
      <c r="S830" s="22" t="n"/>
      <c r="T830" s="4">
        <f>IF(A830="","",TRIM(IF(K830="","Needs decision; ","")&amp;IF(AND(K830="Accept suggestion",F830=""),"No suggestion to accept; ","")&amp;IF(AND(K830="Override",L830=""),"Override URL missing; ","")&amp;IF(AND(K830="Accept suggestion",N(G830)&lt;$G$2),"Below your threshold; ","")&amp;IF(AND(M830&lt;&gt;"",M830=A830,K830&lt;&gt;"No change (same URL)"),"Redirects to itself; ","")&amp;IF(AND(M830&lt;&gt;"",OR(M830="/",AND(LEFT(M830,4)="http",OR((LEN(M830)-LEN(SUBSTITUTE(M830,"/","")))=2,AND((LEN(M830)-LEN(SUBSTITUTE(M830,"/","")))=3,RIGHT(M830,1)="/"))))),"Home page redirect; ","")&amp;IF(N(R830)&gt;1,"Chain; ","")&amp;IF(S830="No","Destination not 200; ","")))</f>
        <v/>
      </c>
      <c r="U830" s="22" t="n"/>
      <c r="V830" s="22" t="n"/>
      <c r="W830" s="4" t="n"/>
    </row>
    <row r="831">
      <c r="A831" s="22" t="n"/>
      <c r="B831" s="22" t="n"/>
      <c r="C831" s="22" t="n"/>
      <c r="D831" s="22">
        <f>IF(A831="","",IF(OR(N(B831)&gt;=$C$2,N(C831)&gt;=$E$2),"High",IF(OR(N(B831)&gt;0,N(C831)&gt;0),"Medium","Low")))</f>
        <v/>
      </c>
      <c r="E831" s="22" t="n"/>
      <c r="F831" s="22" t="n"/>
      <c r="G831" s="22" t="n"/>
      <c r="H831" s="22" t="n"/>
      <c r="I831" s="22" t="n"/>
      <c r="J831" s="22" t="n"/>
      <c r="K831" s="22" t="n"/>
      <c r="L831" s="22" t="n"/>
      <c r="M831" s="22">
        <f>IF(K831="Override",L831,IF(K831="Accept suggestion",F831,IF(K831="No change (same URL)",A831,"")))</f>
        <v/>
      </c>
      <c r="N831" s="22">
        <f>IF(A831="","",IF(K831="410 Gone","410",IF(K831="404","404",IF(K831="No change (same URL)","none",IF(M831="","","301")))))</f>
        <v/>
      </c>
      <c r="O831" s="22">
        <f>IF(A831="","",IFERROR(MID(A831,FIND("/",A831,FIND("//",A831)+2),2000),A831))</f>
        <v/>
      </c>
      <c r="P831" s="22">
        <f>IF(OR(O831="",N831="",N831="none",N831="404"),"",IF(N831="410","Redirect gone "&amp;O831,"Redirect "&amp;N831&amp;" "&amp;O831&amp;" "&amp;M831))</f>
        <v/>
      </c>
      <c r="Q831" s="22" t="n"/>
      <c r="R831" s="22" t="n"/>
      <c r="S831" s="22" t="n"/>
      <c r="T831" s="4">
        <f>IF(A831="","",TRIM(IF(K831="","Needs decision; ","")&amp;IF(AND(K831="Accept suggestion",F831=""),"No suggestion to accept; ","")&amp;IF(AND(K831="Override",L831=""),"Override URL missing; ","")&amp;IF(AND(K831="Accept suggestion",N(G831)&lt;$G$2),"Below your threshold; ","")&amp;IF(AND(M831&lt;&gt;"",M831=A831,K831&lt;&gt;"No change (same URL)"),"Redirects to itself; ","")&amp;IF(AND(M831&lt;&gt;"",OR(M831="/",AND(LEFT(M831,4)="http",OR((LEN(M831)-LEN(SUBSTITUTE(M831,"/","")))=2,AND((LEN(M831)-LEN(SUBSTITUTE(M831,"/","")))=3,RIGHT(M831,1)="/"))))),"Home page redirect; ","")&amp;IF(N(R831)&gt;1,"Chain; ","")&amp;IF(S831="No","Destination not 200; ","")))</f>
        <v/>
      </c>
      <c r="U831" s="22" t="n"/>
      <c r="V831" s="22" t="n"/>
      <c r="W831" s="4" t="n"/>
    </row>
    <row r="832">
      <c r="A832" s="22" t="n"/>
      <c r="B832" s="22" t="n"/>
      <c r="C832" s="22" t="n"/>
      <c r="D832" s="22">
        <f>IF(A832="","",IF(OR(N(B832)&gt;=$C$2,N(C832)&gt;=$E$2),"High",IF(OR(N(B832)&gt;0,N(C832)&gt;0),"Medium","Low")))</f>
        <v/>
      </c>
      <c r="E832" s="22" t="n"/>
      <c r="F832" s="22" t="n"/>
      <c r="G832" s="22" t="n"/>
      <c r="H832" s="22" t="n"/>
      <c r="I832" s="22" t="n"/>
      <c r="J832" s="22" t="n"/>
      <c r="K832" s="22" t="n"/>
      <c r="L832" s="22" t="n"/>
      <c r="M832" s="22">
        <f>IF(K832="Override",L832,IF(K832="Accept suggestion",F832,IF(K832="No change (same URL)",A832,"")))</f>
        <v/>
      </c>
      <c r="N832" s="22">
        <f>IF(A832="","",IF(K832="410 Gone","410",IF(K832="404","404",IF(K832="No change (same URL)","none",IF(M832="","","301")))))</f>
        <v/>
      </c>
      <c r="O832" s="22">
        <f>IF(A832="","",IFERROR(MID(A832,FIND("/",A832,FIND("//",A832)+2),2000),A832))</f>
        <v/>
      </c>
      <c r="P832" s="22">
        <f>IF(OR(O832="",N832="",N832="none",N832="404"),"",IF(N832="410","Redirect gone "&amp;O832,"Redirect "&amp;N832&amp;" "&amp;O832&amp;" "&amp;M832))</f>
        <v/>
      </c>
      <c r="Q832" s="22" t="n"/>
      <c r="R832" s="22" t="n"/>
      <c r="S832" s="22" t="n"/>
      <c r="T832" s="4">
        <f>IF(A832="","",TRIM(IF(K832="","Needs decision; ","")&amp;IF(AND(K832="Accept suggestion",F832=""),"No suggestion to accept; ","")&amp;IF(AND(K832="Override",L832=""),"Override URL missing; ","")&amp;IF(AND(K832="Accept suggestion",N(G832)&lt;$G$2),"Below your threshold; ","")&amp;IF(AND(M832&lt;&gt;"",M832=A832,K832&lt;&gt;"No change (same URL)"),"Redirects to itself; ","")&amp;IF(AND(M832&lt;&gt;"",OR(M832="/",AND(LEFT(M832,4)="http",OR((LEN(M832)-LEN(SUBSTITUTE(M832,"/","")))=2,AND((LEN(M832)-LEN(SUBSTITUTE(M832,"/","")))=3,RIGHT(M832,1)="/"))))),"Home page redirect; ","")&amp;IF(N(R832)&gt;1,"Chain; ","")&amp;IF(S832="No","Destination not 200; ","")))</f>
        <v/>
      </c>
      <c r="U832" s="22" t="n"/>
      <c r="V832" s="22" t="n"/>
      <c r="W832" s="4" t="n"/>
    </row>
    <row r="833">
      <c r="A833" s="22" t="n"/>
      <c r="B833" s="22" t="n"/>
      <c r="C833" s="22" t="n"/>
      <c r="D833" s="22">
        <f>IF(A833="","",IF(OR(N(B833)&gt;=$C$2,N(C833)&gt;=$E$2),"High",IF(OR(N(B833)&gt;0,N(C833)&gt;0),"Medium","Low")))</f>
        <v/>
      </c>
      <c r="E833" s="22" t="n"/>
      <c r="F833" s="22" t="n"/>
      <c r="G833" s="22" t="n"/>
      <c r="H833" s="22" t="n"/>
      <c r="I833" s="22" t="n"/>
      <c r="J833" s="22" t="n"/>
      <c r="K833" s="22" t="n"/>
      <c r="L833" s="22" t="n"/>
      <c r="M833" s="22">
        <f>IF(K833="Override",L833,IF(K833="Accept suggestion",F833,IF(K833="No change (same URL)",A833,"")))</f>
        <v/>
      </c>
      <c r="N833" s="22">
        <f>IF(A833="","",IF(K833="410 Gone","410",IF(K833="404","404",IF(K833="No change (same URL)","none",IF(M833="","","301")))))</f>
        <v/>
      </c>
      <c r="O833" s="22">
        <f>IF(A833="","",IFERROR(MID(A833,FIND("/",A833,FIND("//",A833)+2),2000),A833))</f>
        <v/>
      </c>
      <c r="P833" s="22">
        <f>IF(OR(O833="",N833="",N833="none",N833="404"),"",IF(N833="410","Redirect gone "&amp;O833,"Redirect "&amp;N833&amp;" "&amp;O833&amp;" "&amp;M833))</f>
        <v/>
      </c>
      <c r="Q833" s="22" t="n"/>
      <c r="R833" s="22" t="n"/>
      <c r="S833" s="22" t="n"/>
      <c r="T833" s="4">
        <f>IF(A833="","",TRIM(IF(K833="","Needs decision; ","")&amp;IF(AND(K833="Accept suggestion",F833=""),"No suggestion to accept; ","")&amp;IF(AND(K833="Override",L833=""),"Override URL missing; ","")&amp;IF(AND(K833="Accept suggestion",N(G833)&lt;$G$2),"Below your threshold; ","")&amp;IF(AND(M833&lt;&gt;"",M833=A833,K833&lt;&gt;"No change (same URL)"),"Redirects to itself; ","")&amp;IF(AND(M833&lt;&gt;"",OR(M833="/",AND(LEFT(M833,4)="http",OR((LEN(M833)-LEN(SUBSTITUTE(M833,"/","")))=2,AND((LEN(M833)-LEN(SUBSTITUTE(M833,"/","")))=3,RIGHT(M833,1)="/"))))),"Home page redirect; ","")&amp;IF(N(R833)&gt;1,"Chain; ","")&amp;IF(S833="No","Destination not 200; ","")))</f>
        <v/>
      </c>
      <c r="U833" s="22" t="n"/>
      <c r="V833" s="22" t="n"/>
      <c r="W833" s="4" t="n"/>
    </row>
    <row r="834">
      <c r="A834" s="22" t="n"/>
      <c r="B834" s="22" t="n"/>
      <c r="C834" s="22" t="n"/>
      <c r="D834" s="22">
        <f>IF(A834="","",IF(OR(N(B834)&gt;=$C$2,N(C834)&gt;=$E$2),"High",IF(OR(N(B834)&gt;0,N(C834)&gt;0),"Medium","Low")))</f>
        <v/>
      </c>
      <c r="E834" s="22" t="n"/>
      <c r="F834" s="22" t="n"/>
      <c r="G834" s="22" t="n"/>
      <c r="H834" s="22" t="n"/>
      <c r="I834" s="22" t="n"/>
      <c r="J834" s="22" t="n"/>
      <c r="K834" s="22" t="n"/>
      <c r="L834" s="22" t="n"/>
      <c r="M834" s="22">
        <f>IF(K834="Override",L834,IF(K834="Accept suggestion",F834,IF(K834="No change (same URL)",A834,"")))</f>
        <v/>
      </c>
      <c r="N834" s="22">
        <f>IF(A834="","",IF(K834="410 Gone","410",IF(K834="404","404",IF(K834="No change (same URL)","none",IF(M834="","","301")))))</f>
        <v/>
      </c>
      <c r="O834" s="22">
        <f>IF(A834="","",IFERROR(MID(A834,FIND("/",A834,FIND("//",A834)+2),2000),A834))</f>
        <v/>
      </c>
      <c r="P834" s="22">
        <f>IF(OR(O834="",N834="",N834="none",N834="404"),"",IF(N834="410","Redirect gone "&amp;O834,"Redirect "&amp;N834&amp;" "&amp;O834&amp;" "&amp;M834))</f>
        <v/>
      </c>
      <c r="Q834" s="22" t="n"/>
      <c r="R834" s="22" t="n"/>
      <c r="S834" s="22" t="n"/>
      <c r="T834" s="4">
        <f>IF(A834="","",TRIM(IF(K834="","Needs decision; ","")&amp;IF(AND(K834="Accept suggestion",F834=""),"No suggestion to accept; ","")&amp;IF(AND(K834="Override",L834=""),"Override URL missing; ","")&amp;IF(AND(K834="Accept suggestion",N(G834)&lt;$G$2),"Below your threshold; ","")&amp;IF(AND(M834&lt;&gt;"",M834=A834,K834&lt;&gt;"No change (same URL)"),"Redirects to itself; ","")&amp;IF(AND(M834&lt;&gt;"",OR(M834="/",AND(LEFT(M834,4)="http",OR((LEN(M834)-LEN(SUBSTITUTE(M834,"/","")))=2,AND((LEN(M834)-LEN(SUBSTITUTE(M834,"/","")))=3,RIGHT(M834,1)="/"))))),"Home page redirect; ","")&amp;IF(N(R834)&gt;1,"Chain; ","")&amp;IF(S834="No","Destination not 200; ","")))</f>
        <v/>
      </c>
      <c r="U834" s="22" t="n"/>
      <c r="V834" s="22" t="n"/>
      <c r="W834" s="4" t="n"/>
    </row>
    <row r="835">
      <c r="A835" s="22" t="n"/>
      <c r="B835" s="22" t="n"/>
      <c r="C835" s="22" t="n"/>
      <c r="D835" s="22">
        <f>IF(A835="","",IF(OR(N(B835)&gt;=$C$2,N(C835)&gt;=$E$2),"High",IF(OR(N(B835)&gt;0,N(C835)&gt;0),"Medium","Low")))</f>
        <v/>
      </c>
      <c r="E835" s="22" t="n"/>
      <c r="F835" s="22" t="n"/>
      <c r="G835" s="22" t="n"/>
      <c r="H835" s="22" t="n"/>
      <c r="I835" s="22" t="n"/>
      <c r="J835" s="22" t="n"/>
      <c r="K835" s="22" t="n"/>
      <c r="L835" s="22" t="n"/>
      <c r="M835" s="22">
        <f>IF(K835="Override",L835,IF(K835="Accept suggestion",F835,IF(K835="No change (same URL)",A835,"")))</f>
        <v/>
      </c>
      <c r="N835" s="22">
        <f>IF(A835="","",IF(K835="410 Gone","410",IF(K835="404","404",IF(K835="No change (same URL)","none",IF(M835="","","301")))))</f>
        <v/>
      </c>
      <c r="O835" s="22">
        <f>IF(A835="","",IFERROR(MID(A835,FIND("/",A835,FIND("//",A835)+2),2000),A835))</f>
        <v/>
      </c>
      <c r="P835" s="22">
        <f>IF(OR(O835="",N835="",N835="none",N835="404"),"",IF(N835="410","Redirect gone "&amp;O835,"Redirect "&amp;N835&amp;" "&amp;O835&amp;" "&amp;M835))</f>
        <v/>
      </c>
      <c r="Q835" s="22" t="n"/>
      <c r="R835" s="22" t="n"/>
      <c r="S835" s="22" t="n"/>
      <c r="T835" s="4">
        <f>IF(A835="","",TRIM(IF(K835="","Needs decision; ","")&amp;IF(AND(K835="Accept suggestion",F835=""),"No suggestion to accept; ","")&amp;IF(AND(K835="Override",L835=""),"Override URL missing; ","")&amp;IF(AND(K835="Accept suggestion",N(G835)&lt;$G$2),"Below your threshold; ","")&amp;IF(AND(M835&lt;&gt;"",M835=A835,K835&lt;&gt;"No change (same URL)"),"Redirects to itself; ","")&amp;IF(AND(M835&lt;&gt;"",OR(M835="/",AND(LEFT(M835,4)="http",OR((LEN(M835)-LEN(SUBSTITUTE(M835,"/","")))=2,AND((LEN(M835)-LEN(SUBSTITUTE(M835,"/","")))=3,RIGHT(M835,1)="/"))))),"Home page redirect; ","")&amp;IF(N(R835)&gt;1,"Chain; ","")&amp;IF(S835="No","Destination not 200; ","")))</f>
        <v/>
      </c>
      <c r="U835" s="22" t="n"/>
      <c r="V835" s="22" t="n"/>
      <c r="W835" s="4" t="n"/>
    </row>
    <row r="836">
      <c r="A836" s="22" t="n"/>
      <c r="B836" s="22" t="n"/>
      <c r="C836" s="22" t="n"/>
      <c r="D836" s="22">
        <f>IF(A836="","",IF(OR(N(B836)&gt;=$C$2,N(C836)&gt;=$E$2),"High",IF(OR(N(B836)&gt;0,N(C836)&gt;0),"Medium","Low")))</f>
        <v/>
      </c>
      <c r="E836" s="22" t="n"/>
      <c r="F836" s="22" t="n"/>
      <c r="G836" s="22" t="n"/>
      <c r="H836" s="22" t="n"/>
      <c r="I836" s="22" t="n"/>
      <c r="J836" s="22" t="n"/>
      <c r="K836" s="22" t="n"/>
      <c r="L836" s="22" t="n"/>
      <c r="M836" s="22">
        <f>IF(K836="Override",L836,IF(K836="Accept suggestion",F836,IF(K836="No change (same URL)",A836,"")))</f>
        <v/>
      </c>
      <c r="N836" s="22">
        <f>IF(A836="","",IF(K836="410 Gone","410",IF(K836="404","404",IF(K836="No change (same URL)","none",IF(M836="","","301")))))</f>
        <v/>
      </c>
      <c r="O836" s="22">
        <f>IF(A836="","",IFERROR(MID(A836,FIND("/",A836,FIND("//",A836)+2),2000),A836))</f>
        <v/>
      </c>
      <c r="P836" s="22">
        <f>IF(OR(O836="",N836="",N836="none",N836="404"),"",IF(N836="410","Redirect gone "&amp;O836,"Redirect "&amp;N836&amp;" "&amp;O836&amp;" "&amp;M836))</f>
        <v/>
      </c>
      <c r="Q836" s="22" t="n"/>
      <c r="R836" s="22" t="n"/>
      <c r="S836" s="22" t="n"/>
      <c r="T836" s="4">
        <f>IF(A836="","",TRIM(IF(K836="","Needs decision; ","")&amp;IF(AND(K836="Accept suggestion",F836=""),"No suggestion to accept; ","")&amp;IF(AND(K836="Override",L836=""),"Override URL missing; ","")&amp;IF(AND(K836="Accept suggestion",N(G836)&lt;$G$2),"Below your threshold; ","")&amp;IF(AND(M836&lt;&gt;"",M836=A836,K836&lt;&gt;"No change (same URL)"),"Redirects to itself; ","")&amp;IF(AND(M836&lt;&gt;"",OR(M836="/",AND(LEFT(M836,4)="http",OR((LEN(M836)-LEN(SUBSTITUTE(M836,"/","")))=2,AND((LEN(M836)-LEN(SUBSTITUTE(M836,"/","")))=3,RIGHT(M836,1)="/"))))),"Home page redirect; ","")&amp;IF(N(R836)&gt;1,"Chain; ","")&amp;IF(S836="No","Destination not 200; ","")))</f>
        <v/>
      </c>
      <c r="U836" s="22" t="n"/>
      <c r="V836" s="22" t="n"/>
      <c r="W836" s="4" t="n"/>
    </row>
    <row r="837">
      <c r="A837" s="22" t="n"/>
      <c r="B837" s="22" t="n"/>
      <c r="C837" s="22" t="n"/>
      <c r="D837" s="22">
        <f>IF(A837="","",IF(OR(N(B837)&gt;=$C$2,N(C837)&gt;=$E$2),"High",IF(OR(N(B837)&gt;0,N(C837)&gt;0),"Medium","Low")))</f>
        <v/>
      </c>
      <c r="E837" s="22" t="n"/>
      <c r="F837" s="22" t="n"/>
      <c r="G837" s="22" t="n"/>
      <c r="H837" s="22" t="n"/>
      <c r="I837" s="22" t="n"/>
      <c r="J837" s="22" t="n"/>
      <c r="K837" s="22" t="n"/>
      <c r="L837" s="22" t="n"/>
      <c r="M837" s="22">
        <f>IF(K837="Override",L837,IF(K837="Accept suggestion",F837,IF(K837="No change (same URL)",A837,"")))</f>
        <v/>
      </c>
      <c r="N837" s="22">
        <f>IF(A837="","",IF(K837="410 Gone","410",IF(K837="404","404",IF(K837="No change (same URL)","none",IF(M837="","","301")))))</f>
        <v/>
      </c>
      <c r="O837" s="22">
        <f>IF(A837="","",IFERROR(MID(A837,FIND("/",A837,FIND("//",A837)+2),2000),A837))</f>
        <v/>
      </c>
      <c r="P837" s="22">
        <f>IF(OR(O837="",N837="",N837="none",N837="404"),"",IF(N837="410","Redirect gone "&amp;O837,"Redirect "&amp;N837&amp;" "&amp;O837&amp;" "&amp;M837))</f>
        <v/>
      </c>
      <c r="Q837" s="22" t="n"/>
      <c r="R837" s="22" t="n"/>
      <c r="S837" s="22" t="n"/>
      <c r="T837" s="4">
        <f>IF(A837="","",TRIM(IF(K837="","Needs decision; ","")&amp;IF(AND(K837="Accept suggestion",F837=""),"No suggestion to accept; ","")&amp;IF(AND(K837="Override",L837=""),"Override URL missing; ","")&amp;IF(AND(K837="Accept suggestion",N(G837)&lt;$G$2),"Below your threshold; ","")&amp;IF(AND(M837&lt;&gt;"",M837=A837,K837&lt;&gt;"No change (same URL)"),"Redirects to itself; ","")&amp;IF(AND(M837&lt;&gt;"",OR(M837="/",AND(LEFT(M837,4)="http",OR((LEN(M837)-LEN(SUBSTITUTE(M837,"/","")))=2,AND((LEN(M837)-LEN(SUBSTITUTE(M837,"/","")))=3,RIGHT(M837,1)="/"))))),"Home page redirect; ","")&amp;IF(N(R837)&gt;1,"Chain; ","")&amp;IF(S837="No","Destination not 200; ","")))</f>
        <v/>
      </c>
      <c r="U837" s="22" t="n"/>
      <c r="V837" s="22" t="n"/>
      <c r="W837" s="4" t="n"/>
    </row>
    <row r="838">
      <c r="A838" s="22" t="n"/>
      <c r="B838" s="22" t="n"/>
      <c r="C838" s="22" t="n"/>
      <c r="D838" s="22">
        <f>IF(A838="","",IF(OR(N(B838)&gt;=$C$2,N(C838)&gt;=$E$2),"High",IF(OR(N(B838)&gt;0,N(C838)&gt;0),"Medium","Low")))</f>
        <v/>
      </c>
      <c r="E838" s="22" t="n"/>
      <c r="F838" s="22" t="n"/>
      <c r="G838" s="22" t="n"/>
      <c r="H838" s="22" t="n"/>
      <c r="I838" s="22" t="n"/>
      <c r="J838" s="22" t="n"/>
      <c r="K838" s="22" t="n"/>
      <c r="L838" s="22" t="n"/>
      <c r="M838" s="22">
        <f>IF(K838="Override",L838,IF(K838="Accept suggestion",F838,IF(K838="No change (same URL)",A838,"")))</f>
        <v/>
      </c>
      <c r="N838" s="22">
        <f>IF(A838="","",IF(K838="410 Gone","410",IF(K838="404","404",IF(K838="No change (same URL)","none",IF(M838="","","301")))))</f>
        <v/>
      </c>
      <c r="O838" s="22">
        <f>IF(A838="","",IFERROR(MID(A838,FIND("/",A838,FIND("//",A838)+2),2000),A838))</f>
        <v/>
      </c>
      <c r="P838" s="22">
        <f>IF(OR(O838="",N838="",N838="none",N838="404"),"",IF(N838="410","Redirect gone "&amp;O838,"Redirect "&amp;N838&amp;" "&amp;O838&amp;" "&amp;M838))</f>
        <v/>
      </c>
      <c r="Q838" s="22" t="n"/>
      <c r="R838" s="22" t="n"/>
      <c r="S838" s="22" t="n"/>
      <c r="T838" s="4">
        <f>IF(A838="","",TRIM(IF(K838="","Needs decision; ","")&amp;IF(AND(K838="Accept suggestion",F838=""),"No suggestion to accept; ","")&amp;IF(AND(K838="Override",L838=""),"Override URL missing; ","")&amp;IF(AND(K838="Accept suggestion",N(G838)&lt;$G$2),"Below your threshold; ","")&amp;IF(AND(M838&lt;&gt;"",M838=A838,K838&lt;&gt;"No change (same URL)"),"Redirects to itself; ","")&amp;IF(AND(M838&lt;&gt;"",OR(M838="/",AND(LEFT(M838,4)="http",OR((LEN(M838)-LEN(SUBSTITUTE(M838,"/","")))=2,AND((LEN(M838)-LEN(SUBSTITUTE(M838,"/","")))=3,RIGHT(M838,1)="/"))))),"Home page redirect; ","")&amp;IF(N(R838)&gt;1,"Chain; ","")&amp;IF(S838="No","Destination not 200; ","")))</f>
        <v/>
      </c>
      <c r="U838" s="22" t="n"/>
      <c r="V838" s="22" t="n"/>
      <c r="W838" s="4" t="n"/>
    </row>
    <row r="839">
      <c r="A839" s="22" t="n"/>
      <c r="B839" s="22" t="n"/>
      <c r="C839" s="22" t="n"/>
      <c r="D839" s="22">
        <f>IF(A839="","",IF(OR(N(B839)&gt;=$C$2,N(C839)&gt;=$E$2),"High",IF(OR(N(B839)&gt;0,N(C839)&gt;0),"Medium","Low")))</f>
        <v/>
      </c>
      <c r="E839" s="22" t="n"/>
      <c r="F839" s="22" t="n"/>
      <c r="G839" s="22" t="n"/>
      <c r="H839" s="22" t="n"/>
      <c r="I839" s="22" t="n"/>
      <c r="J839" s="22" t="n"/>
      <c r="K839" s="22" t="n"/>
      <c r="L839" s="22" t="n"/>
      <c r="M839" s="22">
        <f>IF(K839="Override",L839,IF(K839="Accept suggestion",F839,IF(K839="No change (same URL)",A839,"")))</f>
        <v/>
      </c>
      <c r="N839" s="22">
        <f>IF(A839="","",IF(K839="410 Gone","410",IF(K839="404","404",IF(K839="No change (same URL)","none",IF(M839="","","301")))))</f>
        <v/>
      </c>
      <c r="O839" s="22">
        <f>IF(A839="","",IFERROR(MID(A839,FIND("/",A839,FIND("//",A839)+2),2000),A839))</f>
        <v/>
      </c>
      <c r="P839" s="22">
        <f>IF(OR(O839="",N839="",N839="none",N839="404"),"",IF(N839="410","Redirect gone "&amp;O839,"Redirect "&amp;N839&amp;" "&amp;O839&amp;" "&amp;M839))</f>
        <v/>
      </c>
      <c r="Q839" s="22" t="n"/>
      <c r="R839" s="22" t="n"/>
      <c r="S839" s="22" t="n"/>
      <c r="T839" s="4">
        <f>IF(A839="","",TRIM(IF(K839="","Needs decision; ","")&amp;IF(AND(K839="Accept suggestion",F839=""),"No suggestion to accept; ","")&amp;IF(AND(K839="Override",L839=""),"Override URL missing; ","")&amp;IF(AND(K839="Accept suggestion",N(G839)&lt;$G$2),"Below your threshold; ","")&amp;IF(AND(M839&lt;&gt;"",M839=A839,K839&lt;&gt;"No change (same URL)"),"Redirects to itself; ","")&amp;IF(AND(M839&lt;&gt;"",OR(M839="/",AND(LEFT(M839,4)="http",OR((LEN(M839)-LEN(SUBSTITUTE(M839,"/","")))=2,AND((LEN(M839)-LEN(SUBSTITUTE(M839,"/","")))=3,RIGHT(M839,1)="/"))))),"Home page redirect; ","")&amp;IF(N(R839)&gt;1,"Chain; ","")&amp;IF(S839="No","Destination not 200; ","")))</f>
        <v/>
      </c>
      <c r="U839" s="22" t="n"/>
      <c r="V839" s="22" t="n"/>
      <c r="W839" s="4" t="n"/>
    </row>
    <row r="840">
      <c r="A840" s="22" t="n"/>
      <c r="B840" s="22" t="n"/>
      <c r="C840" s="22" t="n"/>
      <c r="D840" s="22">
        <f>IF(A840="","",IF(OR(N(B840)&gt;=$C$2,N(C840)&gt;=$E$2),"High",IF(OR(N(B840)&gt;0,N(C840)&gt;0),"Medium","Low")))</f>
        <v/>
      </c>
      <c r="E840" s="22" t="n"/>
      <c r="F840" s="22" t="n"/>
      <c r="G840" s="22" t="n"/>
      <c r="H840" s="22" t="n"/>
      <c r="I840" s="22" t="n"/>
      <c r="J840" s="22" t="n"/>
      <c r="K840" s="22" t="n"/>
      <c r="L840" s="22" t="n"/>
      <c r="M840" s="22">
        <f>IF(K840="Override",L840,IF(K840="Accept suggestion",F840,IF(K840="No change (same URL)",A840,"")))</f>
        <v/>
      </c>
      <c r="N840" s="22">
        <f>IF(A840="","",IF(K840="410 Gone","410",IF(K840="404","404",IF(K840="No change (same URL)","none",IF(M840="","","301")))))</f>
        <v/>
      </c>
      <c r="O840" s="22">
        <f>IF(A840="","",IFERROR(MID(A840,FIND("/",A840,FIND("//",A840)+2),2000),A840))</f>
        <v/>
      </c>
      <c r="P840" s="22">
        <f>IF(OR(O840="",N840="",N840="none",N840="404"),"",IF(N840="410","Redirect gone "&amp;O840,"Redirect "&amp;N840&amp;" "&amp;O840&amp;" "&amp;M840))</f>
        <v/>
      </c>
      <c r="Q840" s="22" t="n"/>
      <c r="R840" s="22" t="n"/>
      <c r="S840" s="22" t="n"/>
      <c r="T840" s="4">
        <f>IF(A840="","",TRIM(IF(K840="","Needs decision; ","")&amp;IF(AND(K840="Accept suggestion",F840=""),"No suggestion to accept; ","")&amp;IF(AND(K840="Override",L840=""),"Override URL missing; ","")&amp;IF(AND(K840="Accept suggestion",N(G840)&lt;$G$2),"Below your threshold; ","")&amp;IF(AND(M840&lt;&gt;"",M840=A840,K840&lt;&gt;"No change (same URL)"),"Redirects to itself; ","")&amp;IF(AND(M840&lt;&gt;"",OR(M840="/",AND(LEFT(M840,4)="http",OR((LEN(M840)-LEN(SUBSTITUTE(M840,"/","")))=2,AND((LEN(M840)-LEN(SUBSTITUTE(M840,"/","")))=3,RIGHT(M840,1)="/"))))),"Home page redirect; ","")&amp;IF(N(R840)&gt;1,"Chain; ","")&amp;IF(S840="No","Destination not 200; ","")))</f>
        <v/>
      </c>
      <c r="U840" s="22" t="n"/>
      <c r="V840" s="22" t="n"/>
      <c r="W840" s="4" t="n"/>
    </row>
    <row r="841">
      <c r="A841" s="22" t="n"/>
      <c r="B841" s="22" t="n"/>
      <c r="C841" s="22" t="n"/>
      <c r="D841" s="22">
        <f>IF(A841="","",IF(OR(N(B841)&gt;=$C$2,N(C841)&gt;=$E$2),"High",IF(OR(N(B841)&gt;0,N(C841)&gt;0),"Medium","Low")))</f>
        <v/>
      </c>
      <c r="E841" s="22" t="n"/>
      <c r="F841" s="22" t="n"/>
      <c r="G841" s="22" t="n"/>
      <c r="H841" s="22" t="n"/>
      <c r="I841" s="22" t="n"/>
      <c r="J841" s="22" t="n"/>
      <c r="K841" s="22" t="n"/>
      <c r="L841" s="22" t="n"/>
      <c r="M841" s="22">
        <f>IF(K841="Override",L841,IF(K841="Accept suggestion",F841,IF(K841="No change (same URL)",A841,"")))</f>
        <v/>
      </c>
      <c r="N841" s="22">
        <f>IF(A841="","",IF(K841="410 Gone","410",IF(K841="404","404",IF(K841="No change (same URL)","none",IF(M841="","","301")))))</f>
        <v/>
      </c>
      <c r="O841" s="22">
        <f>IF(A841="","",IFERROR(MID(A841,FIND("/",A841,FIND("//",A841)+2),2000),A841))</f>
        <v/>
      </c>
      <c r="P841" s="22">
        <f>IF(OR(O841="",N841="",N841="none",N841="404"),"",IF(N841="410","Redirect gone "&amp;O841,"Redirect "&amp;N841&amp;" "&amp;O841&amp;" "&amp;M841))</f>
        <v/>
      </c>
      <c r="Q841" s="22" t="n"/>
      <c r="R841" s="22" t="n"/>
      <c r="S841" s="22" t="n"/>
      <c r="T841" s="4">
        <f>IF(A841="","",TRIM(IF(K841="","Needs decision; ","")&amp;IF(AND(K841="Accept suggestion",F841=""),"No suggestion to accept; ","")&amp;IF(AND(K841="Override",L841=""),"Override URL missing; ","")&amp;IF(AND(K841="Accept suggestion",N(G841)&lt;$G$2),"Below your threshold; ","")&amp;IF(AND(M841&lt;&gt;"",M841=A841,K841&lt;&gt;"No change (same URL)"),"Redirects to itself; ","")&amp;IF(AND(M841&lt;&gt;"",OR(M841="/",AND(LEFT(M841,4)="http",OR((LEN(M841)-LEN(SUBSTITUTE(M841,"/","")))=2,AND((LEN(M841)-LEN(SUBSTITUTE(M841,"/","")))=3,RIGHT(M841,1)="/"))))),"Home page redirect; ","")&amp;IF(N(R841)&gt;1,"Chain; ","")&amp;IF(S841="No","Destination not 200; ","")))</f>
        <v/>
      </c>
      <c r="U841" s="22" t="n"/>
      <c r="V841" s="22" t="n"/>
      <c r="W841" s="4" t="n"/>
    </row>
    <row r="842">
      <c r="A842" s="22" t="n"/>
      <c r="B842" s="22" t="n"/>
      <c r="C842" s="22" t="n"/>
      <c r="D842" s="22">
        <f>IF(A842="","",IF(OR(N(B842)&gt;=$C$2,N(C842)&gt;=$E$2),"High",IF(OR(N(B842)&gt;0,N(C842)&gt;0),"Medium","Low")))</f>
        <v/>
      </c>
      <c r="E842" s="22" t="n"/>
      <c r="F842" s="22" t="n"/>
      <c r="G842" s="22" t="n"/>
      <c r="H842" s="22" t="n"/>
      <c r="I842" s="22" t="n"/>
      <c r="J842" s="22" t="n"/>
      <c r="K842" s="22" t="n"/>
      <c r="L842" s="22" t="n"/>
      <c r="M842" s="22">
        <f>IF(K842="Override",L842,IF(K842="Accept suggestion",F842,IF(K842="No change (same URL)",A842,"")))</f>
        <v/>
      </c>
      <c r="N842" s="22">
        <f>IF(A842="","",IF(K842="410 Gone","410",IF(K842="404","404",IF(K842="No change (same URL)","none",IF(M842="","","301")))))</f>
        <v/>
      </c>
      <c r="O842" s="22">
        <f>IF(A842="","",IFERROR(MID(A842,FIND("/",A842,FIND("//",A842)+2),2000),A842))</f>
        <v/>
      </c>
      <c r="P842" s="22">
        <f>IF(OR(O842="",N842="",N842="none",N842="404"),"",IF(N842="410","Redirect gone "&amp;O842,"Redirect "&amp;N842&amp;" "&amp;O842&amp;" "&amp;M842))</f>
        <v/>
      </c>
      <c r="Q842" s="22" t="n"/>
      <c r="R842" s="22" t="n"/>
      <c r="S842" s="22" t="n"/>
      <c r="T842" s="4">
        <f>IF(A842="","",TRIM(IF(K842="","Needs decision; ","")&amp;IF(AND(K842="Accept suggestion",F842=""),"No suggestion to accept; ","")&amp;IF(AND(K842="Override",L842=""),"Override URL missing; ","")&amp;IF(AND(K842="Accept suggestion",N(G842)&lt;$G$2),"Below your threshold; ","")&amp;IF(AND(M842&lt;&gt;"",M842=A842,K842&lt;&gt;"No change (same URL)"),"Redirects to itself; ","")&amp;IF(AND(M842&lt;&gt;"",OR(M842="/",AND(LEFT(M842,4)="http",OR((LEN(M842)-LEN(SUBSTITUTE(M842,"/","")))=2,AND((LEN(M842)-LEN(SUBSTITUTE(M842,"/","")))=3,RIGHT(M842,1)="/"))))),"Home page redirect; ","")&amp;IF(N(R842)&gt;1,"Chain; ","")&amp;IF(S842="No","Destination not 200; ","")))</f>
        <v/>
      </c>
      <c r="U842" s="22" t="n"/>
      <c r="V842" s="22" t="n"/>
      <c r="W842" s="4" t="n"/>
    </row>
    <row r="843">
      <c r="A843" s="22" t="n"/>
      <c r="B843" s="22" t="n"/>
      <c r="C843" s="22" t="n"/>
      <c r="D843" s="22">
        <f>IF(A843="","",IF(OR(N(B843)&gt;=$C$2,N(C843)&gt;=$E$2),"High",IF(OR(N(B843)&gt;0,N(C843)&gt;0),"Medium","Low")))</f>
        <v/>
      </c>
      <c r="E843" s="22" t="n"/>
      <c r="F843" s="22" t="n"/>
      <c r="G843" s="22" t="n"/>
      <c r="H843" s="22" t="n"/>
      <c r="I843" s="22" t="n"/>
      <c r="J843" s="22" t="n"/>
      <c r="K843" s="22" t="n"/>
      <c r="L843" s="22" t="n"/>
      <c r="M843" s="22">
        <f>IF(K843="Override",L843,IF(K843="Accept suggestion",F843,IF(K843="No change (same URL)",A843,"")))</f>
        <v/>
      </c>
      <c r="N843" s="22">
        <f>IF(A843="","",IF(K843="410 Gone","410",IF(K843="404","404",IF(K843="No change (same URL)","none",IF(M843="","","301")))))</f>
        <v/>
      </c>
      <c r="O843" s="22">
        <f>IF(A843="","",IFERROR(MID(A843,FIND("/",A843,FIND("//",A843)+2),2000),A843))</f>
        <v/>
      </c>
      <c r="P843" s="22">
        <f>IF(OR(O843="",N843="",N843="none",N843="404"),"",IF(N843="410","Redirect gone "&amp;O843,"Redirect "&amp;N843&amp;" "&amp;O843&amp;" "&amp;M843))</f>
        <v/>
      </c>
      <c r="Q843" s="22" t="n"/>
      <c r="R843" s="22" t="n"/>
      <c r="S843" s="22" t="n"/>
      <c r="T843" s="4">
        <f>IF(A843="","",TRIM(IF(K843="","Needs decision; ","")&amp;IF(AND(K843="Accept suggestion",F843=""),"No suggestion to accept; ","")&amp;IF(AND(K843="Override",L843=""),"Override URL missing; ","")&amp;IF(AND(K843="Accept suggestion",N(G843)&lt;$G$2),"Below your threshold; ","")&amp;IF(AND(M843&lt;&gt;"",M843=A843,K843&lt;&gt;"No change (same URL)"),"Redirects to itself; ","")&amp;IF(AND(M843&lt;&gt;"",OR(M843="/",AND(LEFT(M843,4)="http",OR((LEN(M843)-LEN(SUBSTITUTE(M843,"/","")))=2,AND((LEN(M843)-LEN(SUBSTITUTE(M843,"/","")))=3,RIGHT(M843,1)="/"))))),"Home page redirect; ","")&amp;IF(N(R843)&gt;1,"Chain; ","")&amp;IF(S843="No","Destination not 200; ","")))</f>
        <v/>
      </c>
      <c r="U843" s="22" t="n"/>
      <c r="V843" s="22" t="n"/>
      <c r="W843" s="4" t="n"/>
    </row>
    <row r="844">
      <c r="A844" s="22" t="n"/>
      <c r="B844" s="22" t="n"/>
      <c r="C844" s="22" t="n"/>
      <c r="D844" s="22">
        <f>IF(A844="","",IF(OR(N(B844)&gt;=$C$2,N(C844)&gt;=$E$2),"High",IF(OR(N(B844)&gt;0,N(C844)&gt;0),"Medium","Low")))</f>
        <v/>
      </c>
      <c r="E844" s="22" t="n"/>
      <c r="F844" s="22" t="n"/>
      <c r="G844" s="22" t="n"/>
      <c r="H844" s="22" t="n"/>
      <c r="I844" s="22" t="n"/>
      <c r="J844" s="22" t="n"/>
      <c r="K844" s="22" t="n"/>
      <c r="L844" s="22" t="n"/>
      <c r="M844" s="22">
        <f>IF(K844="Override",L844,IF(K844="Accept suggestion",F844,IF(K844="No change (same URL)",A844,"")))</f>
        <v/>
      </c>
      <c r="N844" s="22">
        <f>IF(A844="","",IF(K844="410 Gone","410",IF(K844="404","404",IF(K844="No change (same URL)","none",IF(M844="","","301")))))</f>
        <v/>
      </c>
      <c r="O844" s="22">
        <f>IF(A844="","",IFERROR(MID(A844,FIND("/",A844,FIND("//",A844)+2),2000),A844))</f>
        <v/>
      </c>
      <c r="P844" s="22">
        <f>IF(OR(O844="",N844="",N844="none",N844="404"),"",IF(N844="410","Redirect gone "&amp;O844,"Redirect "&amp;N844&amp;" "&amp;O844&amp;" "&amp;M844))</f>
        <v/>
      </c>
      <c r="Q844" s="22" t="n"/>
      <c r="R844" s="22" t="n"/>
      <c r="S844" s="22" t="n"/>
      <c r="T844" s="4">
        <f>IF(A844="","",TRIM(IF(K844="","Needs decision; ","")&amp;IF(AND(K844="Accept suggestion",F844=""),"No suggestion to accept; ","")&amp;IF(AND(K844="Override",L844=""),"Override URL missing; ","")&amp;IF(AND(K844="Accept suggestion",N(G844)&lt;$G$2),"Below your threshold; ","")&amp;IF(AND(M844&lt;&gt;"",M844=A844,K844&lt;&gt;"No change (same URL)"),"Redirects to itself; ","")&amp;IF(AND(M844&lt;&gt;"",OR(M844="/",AND(LEFT(M844,4)="http",OR((LEN(M844)-LEN(SUBSTITUTE(M844,"/","")))=2,AND((LEN(M844)-LEN(SUBSTITUTE(M844,"/","")))=3,RIGHT(M844,1)="/"))))),"Home page redirect; ","")&amp;IF(N(R844)&gt;1,"Chain; ","")&amp;IF(S844="No","Destination not 200; ","")))</f>
        <v/>
      </c>
      <c r="U844" s="22" t="n"/>
      <c r="V844" s="22" t="n"/>
      <c r="W844" s="4" t="n"/>
    </row>
    <row r="845">
      <c r="A845" s="22" t="n"/>
      <c r="B845" s="22" t="n"/>
      <c r="C845" s="22" t="n"/>
      <c r="D845" s="22">
        <f>IF(A845="","",IF(OR(N(B845)&gt;=$C$2,N(C845)&gt;=$E$2),"High",IF(OR(N(B845)&gt;0,N(C845)&gt;0),"Medium","Low")))</f>
        <v/>
      </c>
      <c r="E845" s="22" t="n"/>
      <c r="F845" s="22" t="n"/>
      <c r="G845" s="22" t="n"/>
      <c r="H845" s="22" t="n"/>
      <c r="I845" s="22" t="n"/>
      <c r="J845" s="22" t="n"/>
      <c r="K845" s="22" t="n"/>
      <c r="L845" s="22" t="n"/>
      <c r="M845" s="22">
        <f>IF(K845="Override",L845,IF(K845="Accept suggestion",F845,IF(K845="No change (same URL)",A845,"")))</f>
        <v/>
      </c>
      <c r="N845" s="22">
        <f>IF(A845="","",IF(K845="410 Gone","410",IF(K845="404","404",IF(K845="No change (same URL)","none",IF(M845="","","301")))))</f>
        <v/>
      </c>
      <c r="O845" s="22">
        <f>IF(A845="","",IFERROR(MID(A845,FIND("/",A845,FIND("//",A845)+2),2000),A845))</f>
        <v/>
      </c>
      <c r="P845" s="22">
        <f>IF(OR(O845="",N845="",N845="none",N845="404"),"",IF(N845="410","Redirect gone "&amp;O845,"Redirect "&amp;N845&amp;" "&amp;O845&amp;" "&amp;M845))</f>
        <v/>
      </c>
      <c r="Q845" s="22" t="n"/>
      <c r="R845" s="22" t="n"/>
      <c r="S845" s="22" t="n"/>
      <c r="T845" s="4">
        <f>IF(A845="","",TRIM(IF(K845="","Needs decision; ","")&amp;IF(AND(K845="Accept suggestion",F845=""),"No suggestion to accept; ","")&amp;IF(AND(K845="Override",L845=""),"Override URL missing; ","")&amp;IF(AND(K845="Accept suggestion",N(G845)&lt;$G$2),"Below your threshold; ","")&amp;IF(AND(M845&lt;&gt;"",M845=A845,K845&lt;&gt;"No change (same URL)"),"Redirects to itself; ","")&amp;IF(AND(M845&lt;&gt;"",OR(M845="/",AND(LEFT(M845,4)="http",OR((LEN(M845)-LEN(SUBSTITUTE(M845,"/","")))=2,AND((LEN(M845)-LEN(SUBSTITUTE(M845,"/","")))=3,RIGHT(M845,1)="/"))))),"Home page redirect; ","")&amp;IF(N(R845)&gt;1,"Chain; ","")&amp;IF(S845="No","Destination not 200; ","")))</f>
        <v/>
      </c>
      <c r="U845" s="22" t="n"/>
      <c r="V845" s="22" t="n"/>
      <c r="W845" s="4" t="n"/>
    </row>
    <row r="846">
      <c r="A846" s="22" t="n"/>
      <c r="B846" s="22" t="n"/>
      <c r="C846" s="22" t="n"/>
      <c r="D846" s="22">
        <f>IF(A846="","",IF(OR(N(B846)&gt;=$C$2,N(C846)&gt;=$E$2),"High",IF(OR(N(B846)&gt;0,N(C846)&gt;0),"Medium","Low")))</f>
        <v/>
      </c>
      <c r="E846" s="22" t="n"/>
      <c r="F846" s="22" t="n"/>
      <c r="G846" s="22" t="n"/>
      <c r="H846" s="22" t="n"/>
      <c r="I846" s="22" t="n"/>
      <c r="J846" s="22" t="n"/>
      <c r="K846" s="22" t="n"/>
      <c r="L846" s="22" t="n"/>
      <c r="M846" s="22">
        <f>IF(K846="Override",L846,IF(K846="Accept suggestion",F846,IF(K846="No change (same URL)",A846,"")))</f>
        <v/>
      </c>
      <c r="N846" s="22">
        <f>IF(A846="","",IF(K846="410 Gone","410",IF(K846="404","404",IF(K846="No change (same URL)","none",IF(M846="","","301")))))</f>
        <v/>
      </c>
      <c r="O846" s="22">
        <f>IF(A846="","",IFERROR(MID(A846,FIND("/",A846,FIND("//",A846)+2),2000),A846))</f>
        <v/>
      </c>
      <c r="P846" s="22">
        <f>IF(OR(O846="",N846="",N846="none",N846="404"),"",IF(N846="410","Redirect gone "&amp;O846,"Redirect "&amp;N846&amp;" "&amp;O846&amp;" "&amp;M846))</f>
        <v/>
      </c>
      <c r="Q846" s="22" t="n"/>
      <c r="R846" s="22" t="n"/>
      <c r="S846" s="22" t="n"/>
      <c r="T846" s="4">
        <f>IF(A846="","",TRIM(IF(K846="","Needs decision; ","")&amp;IF(AND(K846="Accept suggestion",F846=""),"No suggestion to accept; ","")&amp;IF(AND(K846="Override",L846=""),"Override URL missing; ","")&amp;IF(AND(K846="Accept suggestion",N(G846)&lt;$G$2),"Below your threshold; ","")&amp;IF(AND(M846&lt;&gt;"",M846=A846,K846&lt;&gt;"No change (same URL)"),"Redirects to itself; ","")&amp;IF(AND(M846&lt;&gt;"",OR(M846="/",AND(LEFT(M846,4)="http",OR((LEN(M846)-LEN(SUBSTITUTE(M846,"/","")))=2,AND((LEN(M846)-LEN(SUBSTITUTE(M846,"/","")))=3,RIGHT(M846,1)="/"))))),"Home page redirect; ","")&amp;IF(N(R846)&gt;1,"Chain; ","")&amp;IF(S846="No","Destination not 200; ","")))</f>
        <v/>
      </c>
      <c r="U846" s="22" t="n"/>
      <c r="V846" s="22" t="n"/>
      <c r="W846" s="4" t="n"/>
    </row>
    <row r="847">
      <c r="A847" s="22" t="n"/>
      <c r="B847" s="22" t="n"/>
      <c r="C847" s="22" t="n"/>
      <c r="D847" s="22">
        <f>IF(A847="","",IF(OR(N(B847)&gt;=$C$2,N(C847)&gt;=$E$2),"High",IF(OR(N(B847)&gt;0,N(C847)&gt;0),"Medium","Low")))</f>
        <v/>
      </c>
      <c r="E847" s="22" t="n"/>
      <c r="F847" s="22" t="n"/>
      <c r="G847" s="22" t="n"/>
      <c r="H847" s="22" t="n"/>
      <c r="I847" s="22" t="n"/>
      <c r="J847" s="22" t="n"/>
      <c r="K847" s="22" t="n"/>
      <c r="L847" s="22" t="n"/>
      <c r="M847" s="22">
        <f>IF(K847="Override",L847,IF(K847="Accept suggestion",F847,IF(K847="No change (same URL)",A847,"")))</f>
        <v/>
      </c>
      <c r="N847" s="22">
        <f>IF(A847="","",IF(K847="410 Gone","410",IF(K847="404","404",IF(K847="No change (same URL)","none",IF(M847="","","301")))))</f>
        <v/>
      </c>
      <c r="O847" s="22">
        <f>IF(A847="","",IFERROR(MID(A847,FIND("/",A847,FIND("//",A847)+2),2000),A847))</f>
        <v/>
      </c>
      <c r="P847" s="22">
        <f>IF(OR(O847="",N847="",N847="none",N847="404"),"",IF(N847="410","Redirect gone "&amp;O847,"Redirect "&amp;N847&amp;" "&amp;O847&amp;" "&amp;M847))</f>
        <v/>
      </c>
      <c r="Q847" s="22" t="n"/>
      <c r="R847" s="22" t="n"/>
      <c r="S847" s="22" t="n"/>
      <c r="T847" s="4">
        <f>IF(A847="","",TRIM(IF(K847="","Needs decision; ","")&amp;IF(AND(K847="Accept suggestion",F847=""),"No suggestion to accept; ","")&amp;IF(AND(K847="Override",L847=""),"Override URL missing; ","")&amp;IF(AND(K847="Accept suggestion",N(G847)&lt;$G$2),"Below your threshold; ","")&amp;IF(AND(M847&lt;&gt;"",M847=A847,K847&lt;&gt;"No change (same URL)"),"Redirects to itself; ","")&amp;IF(AND(M847&lt;&gt;"",OR(M847="/",AND(LEFT(M847,4)="http",OR((LEN(M847)-LEN(SUBSTITUTE(M847,"/","")))=2,AND((LEN(M847)-LEN(SUBSTITUTE(M847,"/","")))=3,RIGHT(M847,1)="/"))))),"Home page redirect; ","")&amp;IF(N(R847)&gt;1,"Chain; ","")&amp;IF(S847="No","Destination not 200; ","")))</f>
        <v/>
      </c>
      <c r="U847" s="22" t="n"/>
      <c r="V847" s="22" t="n"/>
      <c r="W847" s="4" t="n"/>
    </row>
    <row r="848">
      <c r="A848" s="22" t="n"/>
      <c r="B848" s="22" t="n"/>
      <c r="C848" s="22" t="n"/>
      <c r="D848" s="22">
        <f>IF(A848="","",IF(OR(N(B848)&gt;=$C$2,N(C848)&gt;=$E$2),"High",IF(OR(N(B848)&gt;0,N(C848)&gt;0),"Medium","Low")))</f>
        <v/>
      </c>
      <c r="E848" s="22" t="n"/>
      <c r="F848" s="22" t="n"/>
      <c r="G848" s="22" t="n"/>
      <c r="H848" s="22" t="n"/>
      <c r="I848" s="22" t="n"/>
      <c r="J848" s="22" t="n"/>
      <c r="K848" s="22" t="n"/>
      <c r="L848" s="22" t="n"/>
      <c r="M848" s="22">
        <f>IF(K848="Override",L848,IF(K848="Accept suggestion",F848,IF(K848="No change (same URL)",A848,"")))</f>
        <v/>
      </c>
      <c r="N848" s="22">
        <f>IF(A848="","",IF(K848="410 Gone","410",IF(K848="404","404",IF(K848="No change (same URL)","none",IF(M848="","","301")))))</f>
        <v/>
      </c>
      <c r="O848" s="22">
        <f>IF(A848="","",IFERROR(MID(A848,FIND("/",A848,FIND("//",A848)+2),2000),A848))</f>
        <v/>
      </c>
      <c r="P848" s="22">
        <f>IF(OR(O848="",N848="",N848="none",N848="404"),"",IF(N848="410","Redirect gone "&amp;O848,"Redirect "&amp;N848&amp;" "&amp;O848&amp;" "&amp;M848))</f>
        <v/>
      </c>
      <c r="Q848" s="22" t="n"/>
      <c r="R848" s="22" t="n"/>
      <c r="S848" s="22" t="n"/>
      <c r="T848" s="4">
        <f>IF(A848="","",TRIM(IF(K848="","Needs decision; ","")&amp;IF(AND(K848="Accept suggestion",F848=""),"No suggestion to accept; ","")&amp;IF(AND(K848="Override",L848=""),"Override URL missing; ","")&amp;IF(AND(K848="Accept suggestion",N(G848)&lt;$G$2),"Below your threshold; ","")&amp;IF(AND(M848&lt;&gt;"",M848=A848,K848&lt;&gt;"No change (same URL)"),"Redirects to itself; ","")&amp;IF(AND(M848&lt;&gt;"",OR(M848="/",AND(LEFT(M848,4)="http",OR((LEN(M848)-LEN(SUBSTITUTE(M848,"/","")))=2,AND((LEN(M848)-LEN(SUBSTITUTE(M848,"/","")))=3,RIGHT(M848,1)="/"))))),"Home page redirect; ","")&amp;IF(N(R848)&gt;1,"Chain; ","")&amp;IF(S848="No","Destination not 200; ","")))</f>
        <v/>
      </c>
      <c r="U848" s="22" t="n"/>
      <c r="V848" s="22" t="n"/>
      <c r="W848" s="4" t="n"/>
    </row>
    <row r="849">
      <c r="A849" s="22" t="n"/>
      <c r="B849" s="22" t="n"/>
      <c r="C849" s="22" t="n"/>
      <c r="D849" s="22">
        <f>IF(A849="","",IF(OR(N(B849)&gt;=$C$2,N(C849)&gt;=$E$2),"High",IF(OR(N(B849)&gt;0,N(C849)&gt;0),"Medium","Low")))</f>
        <v/>
      </c>
      <c r="E849" s="22" t="n"/>
      <c r="F849" s="22" t="n"/>
      <c r="G849" s="22" t="n"/>
      <c r="H849" s="22" t="n"/>
      <c r="I849" s="22" t="n"/>
      <c r="J849" s="22" t="n"/>
      <c r="K849" s="22" t="n"/>
      <c r="L849" s="22" t="n"/>
      <c r="M849" s="22">
        <f>IF(K849="Override",L849,IF(K849="Accept suggestion",F849,IF(K849="No change (same URL)",A849,"")))</f>
        <v/>
      </c>
      <c r="N849" s="22">
        <f>IF(A849="","",IF(K849="410 Gone","410",IF(K849="404","404",IF(K849="No change (same URL)","none",IF(M849="","","301")))))</f>
        <v/>
      </c>
      <c r="O849" s="22">
        <f>IF(A849="","",IFERROR(MID(A849,FIND("/",A849,FIND("//",A849)+2),2000),A849))</f>
        <v/>
      </c>
      <c r="P849" s="22">
        <f>IF(OR(O849="",N849="",N849="none",N849="404"),"",IF(N849="410","Redirect gone "&amp;O849,"Redirect "&amp;N849&amp;" "&amp;O849&amp;" "&amp;M849))</f>
        <v/>
      </c>
      <c r="Q849" s="22" t="n"/>
      <c r="R849" s="22" t="n"/>
      <c r="S849" s="22" t="n"/>
      <c r="T849" s="4">
        <f>IF(A849="","",TRIM(IF(K849="","Needs decision; ","")&amp;IF(AND(K849="Accept suggestion",F849=""),"No suggestion to accept; ","")&amp;IF(AND(K849="Override",L849=""),"Override URL missing; ","")&amp;IF(AND(K849="Accept suggestion",N(G849)&lt;$G$2),"Below your threshold; ","")&amp;IF(AND(M849&lt;&gt;"",M849=A849,K849&lt;&gt;"No change (same URL)"),"Redirects to itself; ","")&amp;IF(AND(M849&lt;&gt;"",OR(M849="/",AND(LEFT(M849,4)="http",OR((LEN(M849)-LEN(SUBSTITUTE(M849,"/","")))=2,AND((LEN(M849)-LEN(SUBSTITUTE(M849,"/","")))=3,RIGHT(M849,1)="/"))))),"Home page redirect; ","")&amp;IF(N(R849)&gt;1,"Chain; ","")&amp;IF(S849="No","Destination not 200; ","")))</f>
        <v/>
      </c>
      <c r="U849" s="22" t="n"/>
      <c r="V849" s="22" t="n"/>
      <c r="W849" s="4" t="n"/>
    </row>
    <row r="850">
      <c r="A850" s="22" t="n"/>
      <c r="B850" s="22" t="n"/>
      <c r="C850" s="22" t="n"/>
      <c r="D850" s="22">
        <f>IF(A850="","",IF(OR(N(B850)&gt;=$C$2,N(C850)&gt;=$E$2),"High",IF(OR(N(B850)&gt;0,N(C850)&gt;0),"Medium","Low")))</f>
        <v/>
      </c>
      <c r="E850" s="22" t="n"/>
      <c r="F850" s="22" t="n"/>
      <c r="G850" s="22" t="n"/>
      <c r="H850" s="22" t="n"/>
      <c r="I850" s="22" t="n"/>
      <c r="J850" s="22" t="n"/>
      <c r="K850" s="22" t="n"/>
      <c r="L850" s="22" t="n"/>
      <c r="M850" s="22">
        <f>IF(K850="Override",L850,IF(K850="Accept suggestion",F850,IF(K850="No change (same URL)",A850,"")))</f>
        <v/>
      </c>
      <c r="N850" s="22">
        <f>IF(A850="","",IF(K850="410 Gone","410",IF(K850="404","404",IF(K850="No change (same URL)","none",IF(M850="","","301")))))</f>
        <v/>
      </c>
      <c r="O850" s="22">
        <f>IF(A850="","",IFERROR(MID(A850,FIND("/",A850,FIND("//",A850)+2),2000),A850))</f>
        <v/>
      </c>
      <c r="P850" s="22">
        <f>IF(OR(O850="",N850="",N850="none",N850="404"),"",IF(N850="410","Redirect gone "&amp;O850,"Redirect "&amp;N850&amp;" "&amp;O850&amp;" "&amp;M850))</f>
        <v/>
      </c>
      <c r="Q850" s="22" t="n"/>
      <c r="R850" s="22" t="n"/>
      <c r="S850" s="22" t="n"/>
      <c r="T850" s="4">
        <f>IF(A850="","",TRIM(IF(K850="","Needs decision; ","")&amp;IF(AND(K850="Accept suggestion",F850=""),"No suggestion to accept; ","")&amp;IF(AND(K850="Override",L850=""),"Override URL missing; ","")&amp;IF(AND(K850="Accept suggestion",N(G850)&lt;$G$2),"Below your threshold; ","")&amp;IF(AND(M850&lt;&gt;"",M850=A850,K850&lt;&gt;"No change (same URL)"),"Redirects to itself; ","")&amp;IF(AND(M850&lt;&gt;"",OR(M850="/",AND(LEFT(M850,4)="http",OR((LEN(M850)-LEN(SUBSTITUTE(M850,"/","")))=2,AND((LEN(M850)-LEN(SUBSTITUTE(M850,"/","")))=3,RIGHT(M850,1)="/"))))),"Home page redirect; ","")&amp;IF(N(R850)&gt;1,"Chain; ","")&amp;IF(S850="No","Destination not 200; ","")))</f>
        <v/>
      </c>
      <c r="U850" s="22" t="n"/>
      <c r="V850" s="22" t="n"/>
      <c r="W850" s="4" t="n"/>
    </row>
    <row r="851">
      <c r="A851" s="22" t="n"/>
      <c r="B851" s="22" t="n"/>
      <c r="C851" s="22" t="n"/>
      <c r="D851" s="22">
        <f>IF(A851="","",IF(OR(N(B851)&gt;=$C$2,N(C851)&gt;=$E$2),"High",IF(OR(N(B851)&gt;0,N(C851)&gt;0),"Medium","Low")))</f>
        <v/>
      </c>
      <c r="E851" s="22" t="n"/>
      <c r="F851" s="22" t="n"/>
      <c r="G851" s="22" t="n"/>
      <c r="H851" s="22" t="n"/>
      <c r="I851" s="22" t="n"/>
      <c r="J851" s="22" t="n"/>
      <c r="K851" s="22" t="n"/>
      <c r="L851" s="22" t="n"/>
      <c r="M851" s="22">
        <f>IF(K851="Override",L851,IF(K851="Accept suggestion",F851,IF(K851="No change (same URL)",A851,"")))</f>
        <v/>
      </c>
      <c r="N851" s="22">
        <f>IF(A851="","",IF(K851="410 Gone","410",IF(K851="404","404",IF(K851="No change (same URL)","none",IF(M851="","","301")))))</f>
        <v/>
      </c>
      <c r="O851" s="22">
        <f>IF(A851="","",IFERROR(MID(A851,FIND("/",A851,FIND("//",A851)+2),2000),A851))</f>
        <v/>
      </c>
      <c r="P851" s="22">
        <f>IF(OR(O851="",N851="",N851="none",N851="404"),"",IF(N851="410","Redirect gone "&amp;O851,"Redirect "&amp;N851&amp;" "&amp;O851&amp;" "&amp;M851))</f>
        <v/>
      </c>
      <c r="Q851" s="22" t="n"/>
      <c r="R851" s="22" t="n"/>
      <c r="S851" s="22" t="n"/>
      <c r="T851" s="4">
        <f>IF(A851="","",TRIM(IF(K851="","Needs decision; ","")&amp;IF(AND(K851="Accept suggestion",F851=""),"No suggestion to accept; ","")&amp;IF(AND(K851="Override",L851=""),"Override URL missing; ","")&amp;IF(AND(K851="Accept suggestion",N(G851)&lt;$G$2),"Below your threshold; ","")&amp;IF(AND(M851&lt;&gt;"",M851=A851,K851&lt;&gt;"No change (same URL)"),"Redirects to itself; ","")&amp;IF(AND(M851&lt;&gt;"",OR(M851="/",AND(LEFT(M851,4)="http",OR((LEN(M851)-LEN(SUBSTITUTE(M851,"/","")))=2,AND((LEN(M851)-LEN(SUBSTITUTE(M851,"/","")))=3,RIGHT(M851,1)="/"))))),"Home page redirect; ","")&amp;IF(N(R851)&gt;1,"Chain; ","")&amp;IF(S851="No","Destination not 200; ","")))</f>
        <v/>
      </c>
      <c r="U851" s="22" t="n"/>
      <c r="V851" s="22" t="n"/>
      <c r="W851" s="4" t="n"/>
    </row>
    <row r="852">
      <c r="A852" s="22" t="n"/>
      <c r="B852" s="22" t="n"/>
      <c r="C852" s="22" t="n"/>
      <c r="D852" s="22">
        <f>IF(A852="","",IF(OR(N(B852)&gt;=$C$2,N(C852)&gt;=$E$2),"High",IF(OR(N(B852)&gt;0,N(C852)&gt;0),"Medium","Low")))</f>
        <v/>
      </c>
      <c r="E852" s="22" t="n"/>
      <c r="F852" s="22" t="n"/>
      <c r="G852" s="22" t="n"/>
      <c r="H852" s="22" t="n"/>
      <c r="I852" s="22" t="n"/>
      <c r="J852" s="22" t="n"/>
      <c r="K852" s="22" t="n"/>
      <c r="L852" s="22" t="n"/>
      <c r="M852" s="22">
        <f>IF(K852="Override",L852,IF(K852="Accept suggestion",F852,IF(K852="No change (same URL)",A852,"")))</f>
        <v/>
      </c>
      <c r="N852" s="22">
        <f>IF(A852="","",IF(K852="410 Gone","410",IF(K852="404","404",IF(K852="No change (same URL)","none",IF(M852="","","301")))))</f>
        <v/>
      </c>
      <c r="O852" s="22">
        <f>IF(A852="","",IFERROR(MID(A852,FIND("/",A852,FIND("//",A852)+2),2000),A852))</f>
        <v/>
      </c>
      <c r="P852" s="22">
        <f>IF(OR(O852="",N852="",N852="none",N852="404"),"",IF(N852="410","Redirect gone "&amp;O852,"Redirect "&amp;N852&amp;" "&amp;O852&amp;" "&amp;M852))</f>
        <v/>
      </c>
      <c r="Q852" s="22" t="n"/>
      <c r="R852" s="22" t="n"/>
      <c r="S852" s="22" t="n"/>
      <c r="T852" s="4">
        <f>IF(A852="","",TRIM(IF(K852="","Needs decision; ","")&amp;IF(AND(K852="Accept suggestion",F852=""),"No suggestion to accept; ","")&amp;IF(AND(K852="Override",L852=""),"Override URL missing; ","")&amp;IF(AND(K852="Accept suggestion",N(G852)&lt;$G$2),"Below your threshold; ","")&amp;IF(AND(M852&lt;&gt;"",M852=A852,K852&lt;&gt;"No change (same URL)"),"Redirects to itself; ","")&amp;IF(AND(M852&lt;&gt;"",OR(M852="/",AND(LEFT(M852,4)="http",OR((LEN(M852)-LEN(SUBSTITUTE(M852,"/","")))=2,AND((LEN(M852)-LEN(SUBSTITUTE(M852,"/","")))=3,RIGHT(M852,1)="/"))))),"Home page redirect; ","")&amp;IF(N(R852)&gt;1,"Chain; ","")&amp;IF(S852="No","Destination not 200; ","")))</f>
        <v/>
      </c>
      <c r="U852" s="22" t="n"/>
      <c r="V852" s="22" t="n"/>
      <c r="W852" s="4" t="n"/>
    </row>
    <row r="853">
      <c r="A853" s="22" t="n"/>
      <c r="B853" s="22" t="n"/>
      <c r="C853" s="22" t="n"/>
      <c r="D853" s="22">
        <f>IF(A853="","",IF(OR(N(B853)&gt;=$C$2,N(C853)&gt;=$E$2),"High",IF(OR(N(B853)&gt;0,N(C853)&gt;0),"Medium","Low")))</f>
        <v/>
      </c>
      <c r="E853" s="22" t="n"/>
      <c r="F853" s="22" t="n"/>
      <c r="G853" s="22" t="n"/>
      <c r="H853" s="22" t="n"/>
      <c r="I853" s="22" t="n"/>
      <c r="J853" s="22" t="n"/>
      <c r="K853" s="22" t="n"/>
      <c r="L853" s="22" t="n"/>
      <c r="M853" s="22">
        <f>IF(K853="Override",L853,IF(K853="Accept suggestion",F853,IF(K853="No change (same URL)",A853,"")))</f>
        <v/>
      </c>
      <c r="N853" s="22">
        <f>IF(A853="","",IF(K853="410 Gone","410",IF(K853="404","404",IF(K853="No change (same URL)","none",IF(M853="","","301")))))</f>
        <v/>
      </c>
      <c r="O853" s="22">
        <f>IF(A853="","",IFERROR(MID(A853,FIND("/",A853,FIND("//",A853)+2),2000),A853))</f>
        <v/>
      </c>
      <c r="P853" s="22">
        <f>IF(OR(O853="",N853="",N853="none",N853="404"),"",IF(N853="410","Redirect gone "&amp;O853,"Redirect "&amp;N853&amp;" "&amp;O853&amp;" "&amp;M853))</f>
        <v/>
      </c>
      <c r="Q853" s="22" t="n"/>
      <c r="R853" s="22" t="n"/>
      <c r="S853" s="22" t="n"/>
      <c r="T853" s="4">
        <f>IF(A853="","",TRIM(IF(K853="","Needs decision; ","")&amp;IF(AND(K853="Accept suggestion",F853=""),"No suggestion to accept; ","")&amp;IF(AND(K853="Override",L853=""),"Override URL missing; ","")&amp;IF(AND(K853="Accept suggestion",N(G853)&lt;$G$2),"Below your threshold; ","")&amp;IF(AND(M853&lt;&gt;"",M853=A853,K853&lt;&gt;"No change (same URL)"),"Redirects to itself; ","")&amp;IF(AND(M853&lt;&gt;"",OR(M853="/",AND(LEFT(M853,4)="http",OR((LEN(M853)-LEN(SUBSTITUTE(M853,"/","")))=2,AND((LEN(M853)-LEN(SUBSTITUTE(M853,"/","")))=3,RIGHT(M853,1)="/"))))),"Home page redirect; ","")&amp;IF(N(R853)&gt;1,"Chain; ","")&amp;IF(S853="No","Destination not 200; ","")))</f>
        <v/>
      </c>
      <c r="U853" s="22" t="n"/>
      <c r="V853" s="22" t="n"/>
      <c r="W853" s="4" t="n"/>
    </row>
    <row r="854">
      <c r="A854" s="22" t="n"/>
      <c r="B854" s="22" t="n"/>
      <c r="C854" s="22" t="n"/>
      <c r="D854" s="22">
        <f>IF(A854="","",IF(OR(N(B854)&gt;=$C$2,N(C854)&gt;=$E$2),"High",IF(OR(N(B854)&gt;0,N(C854)&gt;0),"Medium","Low")))</f>
        <v/>
      </c>
      <c r="E854" s="22" t="n"/>
      <c r="F854" s="22" t="n"/>
      <c r="G854" s="22" t="n"/>
      <c r="H854" s="22" t="n"/>
      <c r="I854" s="22" t="n"/>
      <c r="J854" s="22" t="n"/>
      <c r="K854" s="22" t="n"/>
      <c r="L854" s="22" t="n"/>
      <c r="M854" s="22">
        <f>IF(K854="Override",L854,IF(K854="Accept suggestion",F854,IF(K854="No change (same URL)",A854,"")))</f>
        <v/>
      </c>
      <c r="N854" s="22">
        <f>IF(A854="","",IF(K854="410 Gone","410",IF(K854="404","404",IF(K854="No change (same URL)","none",IF(M854="","","301")))))</f>
        <v/>
      </c>
      <c r="O854" s="22">
        <f>IF(A854="","",IFERROR(MID(A854,FIND("/",A854,FIND("//",A854)+2),2000),A854))</f>
        <v/>
      </c>
      <c r="P854" s="22">
        <f>IF(OR(O854="",N854="",N854="none",N854="404"),"",IF(N854="410","Redirect gone "&amp;O854,"Redirect "&amp;N854&amp;" "&amp;O854&amp;" "&amp;M854))</f>
        <v/>
      </c>
      <c r="Q854" s="22" t="n"/>
      <c r="R854" s="22" t="n"/>
      <c r="S854" s="22" t="n"/>
      <c r="T854" s="4">
        <f>IF(A854="","",TRIM(IF(K854="","Needs decision; ","")&amp;IF(AND(K854="Accept suggestion",F854=""),"No suggestion to accept; ","")&amp;IF(AND(K854="Override",L854=""),"Override URL missing; ","")&amp;IF(AND(K854="Accept suggestion",N(G854)&lt;$G$2),"Below your threshold; ","")&amp;IF(AND(M854&lt;&gt;"",M854=A854,K854&lt;&gt;"No change (same URL)"),"Redirects to itself; ","")&amp;IF(AND(M854&lt;&gt;"",OR(M854="/",AND(LEFT(M854,4)="http",OR((LEN(M854)-LEN(SUBSTITUTE(M854,"/","")))=2,AND((LEN(M854)-LEN(SUBSTITUTE(M854,"/","")))=3,RIGHT(M854,1)="/"))))),"Home page redirect; ","")&amp;IF(N(R854)&gt;1,"Chain; ","")&amp;IF(S854="No","Destination not 200; ","")))</f>
        <v/>
      </c>
      <c r="U854" s="22" t="n"/>
      <c r="V854" s="22" t="n"/>
      <c r="W854" s="4" t="n"/>
    </row>
    <row r="855">
      <c r="A855" s="22" t="n"/>
      <c r="B855" s="22" t="n"/>
      <c r="C855" s="22" t="n"/>
      <c r="D855" s="22">
        <f>IF(A855="","",IF(OR(N(B855)&gt;=$C$2,N(C855)&gt;=$E$2),"High",IF(OR(N(B855)&gt;0,N(C855)&gt;0),"Medium","Low")))</f>
        <v/>
      </c>
      <c r="E855" s="22" t="n"/>
      <c r="F855" s="22" t="n"/>
      <c r="G855" s="22" t="n"/>
      <c r="H855" s="22" t="n"/>
      <c r="I855" s="22" t="n"/>
      <c r="J855" s="22" t="n"/>
      <c r="K855" s="22" t="n"/>
      <c r="L855" s="22" t="n"/>
      <c r="M855" s="22">
        <f>IF(K855="Override",L855,IF(K855="Accept suggestion",F855,IF(K855="No change (same URL)",A855,"")))</f>
        <v/>
      </c>
      <c r="N855" s="22">
        <f>IF(A855="","",IF(K855="410 Gone","410",IF(K855="404","404",IF(K855="No change (same URL)","none",IF(M855="","","301")))))</f>
        <v/>
      </c>
      <c r="O855" s="22">
        <f>IF(A855="","",IFERROR(MID(A855,FIND("/",A855,FIND("//",A855)+2),2000),A855))</f>
        <v/>
      </c>
      <c r="P855" s="22">
        <f>IF(OR(O855="",N855="",N855="none",N855="404"),"",IF(N855="410","Redirect gone "&amp;O855,"Redirect "&amp;N855&amp;" "&amp;O855&amp;" "&amp;M855))</f>
        <v/>
      </c>
      <c r="Q855" s="22" t="n"/>
      <c r="R855" s="22" t="n"/>
      <c r="S855" s="22" t="n"/>
      <c r="T855" s="4">
        <f>IF(A855="","",TRIM(IF(K855="","Needs decision; ","")&amp;IF(AND(K855="Accept suggestion",F855=""),"No suggestion to accept; ","")&amp;IF(AND(K855="Override",L855=""),"Override URL missing; ","")&amp;IF(AND(K855="Accept suggestion",N(G855)&lt;$G$2),"Below your threshold; ","")&amp;IF(AND(M855&lt;&gt;"",M855=A855,K855&lt;&gt;"No change (same URL)"),"Redirects to itself; ","")&amp;IF(AND(M855&lt;&gt;"",OR(M855="/",AND(LEFT(M855,4)="http",OR((LEN(M855)-LEN(SUBSTITUTE(M855,"/","")))=2,AND((LEN(M855)-LEN(SUBSTITUTE(M855,"/","")))=3,RIGHT(M855,1)="/"))))),"Home page redirect; ","")&amp;IF(N(R855)&gt;1,"Chain; ","")&amp;IF(S855="No","Destination not 200; ","")))</f>
        <v/>
      </c>
      <c r="U855" s="22" t="n"/>
      <c r="V855" s="22" t="n"/>
      <c r="W855" s="4" t="n"/>
    </row>
    <row r="856">
      <c r="A856" s="22" t="n"/>
      <c r="B856" s="22" t="n"/>
      <c r="C856" s="22" t="n"/>
      <c r="D856" s="22">
        <f>IF(A856="","",IF(OR(N(B856)&gt;=$C$2,N(C856)&gt;=$E$2),"High",IF(OR(N(B856)&gt;0,N(C856)&gt;0),"Medium","Low")))</f>
        <v/>
      </c>
      <c r="E856" s="22" t="n"/>
      <c r="F856" s="22" t="n"/>
      <c r="G856" s="22" t="n"/>
      <c r="H856" s="22" t="n"/>
      <c r="I856" s="22" t="n"/>
      <c r="J856" s="22" t="n"/>
      <c r="K856" s="22" t="n"/>
      <c r="L856" s="22" t="n"/>
      <c r="M856" s="22">
        <f>IF(K856="Override",L856,IF(K856="Accept suggestion",F856,IF(K856="No change (same URL)",A856,"")))</f>
        <v/>
      </c>
      <c r="N856" s="22">
        <f>IF(A856="","",IF(K856="410 Gone","410",IF(K856="404","404",IF(K856="No change (same URL)","none",IF(M856="","","301")))))</f>
        <v/>
      </c>
      <c r="O856" s="22">
        <f>IF(A856="","",IFERROR(MID(A856,FIND("/",A856,FIND("//",A856)+2),2000),A856))</f>
        <v/>
      </c>
      <c r="P856" s="22">
        <f>IF(OR(O856="",N856="",N856="none",N856="404"),"",IF(N856="410","Redirect gone "&amp;O856,"Redirect "&amp;N856&amp;" "&amp;O856&amp;" "&amp;M856))</f>
        <v/>
      </c>
      <c r="Q856" s="22" t="n"/>
      <c r="R856" s="22" t="n"/>
      <c r="S856" s="22" t="n"/>
      <c r="T856" s="4">
        <f>IF(A856="","",TRIM(IF(K856="","Needs decision; ","")&amp;IF(AND(K856="Accept suggestion",F856=""),"No suggestion to accept; ","")&amp;IF(AND(K856="Override",L856=""),"Override URL missing; ","")&amp;IF(AND(K856="Accept suggestion",N(G856)&lt;$G$2),"Below your threshold; ","")&amp;IF(AND(M856&lt;&gt;"",M856=A856,K856&lt;&gt;"No change (same URL)"),"Redirects to itself; ","")&amp;IF(AND(M856&lt;&gt;"",OR(M856="/",AND(LEFT(M856,4)="http",OR((LEN(M856)-LEN(SUBSTITUTE(M856,"/","")))=2,AND((LEN(M856)-LEN(SUBSTITUTE(M856,"/","")))=3,RIGHT(M856,1)="/"))))),"Home page redirect; ","")&amp;IF(N(R856)&gt;1,"Chain; ","")&amp;IF(S856="No","Destination not 200; ","")))</f>
        <v/>
      </c>
      <c r="U856" s="22" t="n"/>
      <c r="V856" s="22" t="n"/>
      <c r="W856" s="4" t="n"/>
    </row>
    <row r="857">
      <c r="A857" s="22" t="n"/>
      <c r="B857" s="22" t="n"/>
      <c r="C857" s="22" t="n"/>
      <c r="D857" s="22">
        <f>IF(A857="","",IF(OR(N(B857)&gt;=$C$2,N(C857)&gt;=$E$2),"High",IF(OR(N(B857)&gt;0,N(C857)&gt;0),"Medium","Low")))</f>
        <v/>
      </c>
      <c r="E857" s="22" t="n"/>
      <c r="F857" s="22" t="n"/>
      <c r="G857" s="22" t="n"/>
      <c r="H857" s="22" t="n"/>
      <c r="I857" s="22" t="n"/>
      <c r="J857" s="22" t="n"/>
      <c r="K857" s="22" t="n"/>
      <c r="L857" s="22" t="n"/>
      <c r="M857" s="22">
        <f>IF(K857="Override",L857,IF(K857="Accept suggestion",F857,IF(K857="No change (same URL)",A857,"")))</f>
        <v/>
      </c>
      <c r="N857" s="22">
        <f>IF(A857="","",IF(K857="410 Gone","410",IF(K857="404","404",IF(K857="No change (same URL)","none",IF(M857="","","301")))))</f>
        <v/>
      </c>
      <c r="O857" s="22">
        <f>IF(A857="","",IFERROR(MID(A857,FIND("/",A857,FIND("//",A857)+2),2000),A857))</f>
        <v/>
      </c>
      <c r="P857" s="22">
        <f>IF(OR(O857="",N857="",N857="none",N857="404"),"",IF(N857="410","Redirect gone "&amp;O857,"Redirect "&amp;N857&amp;" "&amp;O857&amp;" "&amp;M857))</f>
        <v/>
      </c>
      <c r="Q857" s="22" t="n"/>
      <c r="R857" s="22" t="n"/>
      <c r="S857" s="22" t="n"/>
      <c r="T857" s="4">
        <f>IF(A857="","",TRIM(IF(K857="","Needs decision; ","")&amp;IF(AND(K857="Accept suggestion",F857=""),"No suggestion to accept; ","")&amp;IF(AND(K857="Override",L857=""),"Override URL missing; ","")&amp;IF(AND(K857="Accept suggestion",N(G857)&lt;$G$2),"Below your threshold; ","")&amp;IF(AND(M857&lt;&gt;"",M857=A857,K857&lt;&gt;"No change (same URL)"),"Redirects to itself; ","")&amp;IF(AND(M857&lt;&gt;"",OR(M857="/",AND(LEFT(M857,4)="http",OR((LEN(M857)-LEN(SUBSTITUTE(M857,"/","")))=2,AND((LEN(M857)-LEN(SUBSTITUTE(M857,"/","")))=3,RIGHT(M857,1)="/"))))),"Home page redirect; ","")&amp;IF(N(R857)&gt;1,"Chain; ","")&amp;IF(S857="No","Destination not 200; ","")))</f>
        <v/>
      </c>
      <c r="U857" s="22" t="n"/>
      <c r="V857" s="22" t="n"/>
      <c r="W857" s="4" t="n"/>
    </row>
    <row r="858">
      <c r="A858" s="22" t="n"/>
      <c r="B858" s="22" t="n"/>
      <c r="C858" s="22" t="n"/>
      <c r="D858" s="22">
        <f>IF(A858="","",IF(OR(N(B858)&gt;=$C$2,N(C858)&gt;=$E$2),"High",IF(OR(N(B858)&gt;0,N(C858)&gt;0),"Medium","Low")))</f>
        <v/>
      </c>
      <c r="E858" s="22" t="n"/>
      <c r="F858" s="22" t="n"/>
      <c r="G858" s="22" t="n"/>
      <c r="H858" s="22" t="n"/>
      <c r="I858" s="22" t="n"/>
      <c r="J858" s="22" t="n"/>
      <c r="K858" s="22" t="n"/>
      <c r="L858" s="22" t="n"/>
      <c r="M858" s="22">
        <f>IF(K858="Override",L858,IF(K858="Accept suggestion",F858,IF(K858="No change (same URL)",A858,"")))</f>
        <v/>
      </c>
      <c r="N858" s="22">
        <f>IF(A858="","",IF(K858="410 Gone","410",IF(K858="404","404",IF(K858="No change (same URL)","none",IF(M858="","","301")))))</f>
        <v/>
      </c>
      <c r="O858" s="22">
        <f>IF(A858="","",IFERROR(MID(A858,FIND("/",A858,FIND("//",A858)+2),2000),A858))</f>
        <v/>
      </c>
      <c r="P858" s="22">
        <f>IF(OR(O858="",N858="",N858="none",N858="404"),"",IF(N858="410","Redirect gone "&amp;O858,"Redirect "&amp;N858&amp;" "&amp;O858&amp;" "&amp;M858))</f>
        <v/>
      </c>
      <c r="Q858" s="22" t="n"/>
      <c r="R858" s="22" t="n"/>
      <c r="S858" s="22" t="n"/>
      <c r="T858" s="4">
        <f>IF(A858="","",TRIM(IF(K858="","Needs decision; ","")&amp;IF(AND(K858="Accept suggestion",F858=""),"No suggestion to accept; ","")&amp;IF(AND(K858="Override",L858=""),"Override URL missing; ","")&amp;IF(AND(K858="Accept suggestion",N(G858)&lt;$G$2),"Below your threshold; ","")&amp;IF(AND(M858&lt;&gt;"",M858=A858,K858&lt;&gt;"No change (same URL)"),"Redirects to itself; ","")&amp;IF(AND(M858&lt;&gt;"",OR(M858="/",AND(LEFT(M858,4)="http",OR((LEN(M858)-LEN(SUBSTITUTE(M858,"/","")))=2,AND((LEN(M858)-LEN(SUBSTITUTE(M858,"/","")))=3,RIGHT(M858,1)="/"))))),"Home page redirect; ","")&amp;IF(N(R858)&gt;1,"Chain; ","")&amp;IF(S858="No","Destination not 200; ","")))</f>
        <v/>
      </c>
      <c r="U858" s="22" t="n"/>
      <c r="V858" s="22" t="n"/>
      <c r="W858" s="4" t="n"/>
    </row>
    <row r="859">
      <c r="A859" s="22" t="n"/>
      <c r="B859" s="22" t="n"/>
      <c r="C859" s="22" t="n"/>
      <c r="D859" s="22">
        <f>IF(A859="","",IF(OR(N(B859)&gt;=$C$2,N(C859)&gt;=$E$2),"High",IF(OR(N(B859)&gt;0,N(C859)&gt;0),"Medium","Low")))</f>
        <v/>
      </c>
      <c r="E859" s="22" t="n"/>
      <c r="F859" s="22" t="n"/>
      <c r="G859" s="22" t="n"/>
      <c r="H859" s="22" t="n"/>
      <c r="I859" s="22" t="n"/>
      <c r="J859" s="22" t="n"/>
      <c r="K859" s="22" t="n"/>
      <c r="L859" s="22" t="n"/>
      <c r="M859" s="22">
        <f>IF(K859="Override",L859,IF(K859="Accept suggestion",F859,IF(K859="No change (same URL)",A859,"")))</f>
        <v/>
      </c>
      <c r="N859" s="22">
        <f>IF(A859="","",IF(K859="410 Gone","410",IF(K859="404","404",IF(K859="No change (same URL)","none",IF(M859="","","301")))))</f>
        <v/>
      </c>
      <c r="O859" s="22">
        <f>IF(A859="","",IFERROR(MID(A859,FIND("/",A859,FIND("//",A859)+2),2000),A859))</f>
        <v/>
      </c>
      <c r="P859" s="22">
        <f>IF(OR(O859="",N859="",N859="none",N859="404"),"",IF(N859="410","Redirect gone "&amp;O859,"Redirect "&amp;N859&amp;" "&amp;O859&amp;" "&amp;M859))</f>
        <v/>
      </c>
      <c r="Q859" s="22" t="n"/>
      <c r="R859" s="22" t="n"/>
      <c r="S859" s="22" t="n"/>
      <c r="T859" s="4">
        <f>IF(A859="","",TRIM(IF(K859="","Needs decision; ","")&amp;IF(AND(K859="Accept suggestion",F859=""),"No suggestion to accept; ","")&amp;IF(AND(K859="Override",L859=""),"Override URL missing; ","")&amp;IF(AND(K859="Accept suggestion",N(G859)&lt;$G$2),"Below your threshold; ","")&amp;IF(AND(M859&lt;&gt;"",M859=A859,K859&lt;&gt;"No change (same URL)"),"Redirects to itself; ","")&amp;IF(AND(M859&lt;&gt;"",OR(M859="/",AND(LEFT(M859,4)="http",OR((LEN(M859)-LEN(SUBSTITUTE(M859,"/","")))=2,AND((LEN(M859)-LEN(SUBSTITUTE(M859,"/","")))=3,RIGHT(M859,1)="/"))))),"Home page redirect; ","")&amp;IF(N(R859)&gt;1,"Chain; ","")&amp;IF(S859="No","Destination not 200; ","")))</f>
        <v/>
      </c>
      <c r="U859" s="22" t="n"/>
      <c r="V859" s="22" t="n"/>
      <c r="W859" s="4" t="n"/>
    </row>
    <row r="860">
      <c r="A860" s="22" t="n"/>
      <c r="B860" s="22" t="n"/>
      <c r="C860" s="22" t="n"/>
      <c r="D860" s="22">
        <f>IF(A860="","",IF(OR(N(B860)&gt;=$C$2,N(C860)&gt;=$E$2),"High",IF(OR(N(B860)&gt;0,N(C860)&gt;0),"Medium","Low")))</f>
        <v/>
      </c>
      <c r="E860" s="22" t="n"/>
      <c r="F860" s="22" t="n"/>
      <c r="G860" s="22" t="n"/>
      <c r="H860" s="22" t="n"/>
      <c r="I860" s="22" t="n"/>
      <c r="J860" s="22" t="n"/>
      <c r="K860" s="22" t="n"/>
      <c r="L860" s="22" t="n"/>
      <c r="M860" s="22">
        <f>IF(K860="Override",L860,IF(K860="Accept suggestion",F860,IF(K860="No change (same URL)",A860,"")))</f>
        <v/>
      </c>
      <c r="N860" s="22">
        <f>IF(A860="","",IF(K860="410 Gone","410",IF(K860="404","404",IF(K860="No change (same URL)","none",IF(M860="","","301")))))</f>
        <v/>
      </c>
      <c r="O860" s="22">
        <f>IF(A860="","",IFERROR(MID(A860,FIND("/",A860,FIND("//",A860)+2),2000),A860))</f>
        <v/>
      </c>
      <c r="P860" s="22">
        <f>IF(OR(O860="",N860="",N860="none",N860="404"),"",IF(N860="410","Redirect gone "&amp;O860,"Redirect "&amp;N860&amp;" "&amp;O860&amp;" "&amp;M860))</f>
        <v/>
      </c>
      <c r="Q860" s="22" t="n"/>
      <c r="R860" s="22" t="n"/>
      <c r="S860" s="22" t="n"/>
      <c r="T860" s="4">
        <f>IF(A860="","",TRIM(IF(K860="","Needs decision; ","")&amp;IF(AND(K860="Accept suggestion",F860=""),"No suggestion to accept; ","")&amp;IF(AND(K860="Override",L860=""),"Override URL missing; ","")&amp;IF(AND(K860="Accept suggestion",N(G860)&lt;$G$2),"Below your threshold; ","")&amp;IF(AND(M860&lt;&gt;"",M860=A860,K860&lt;&gt;"No change (same URL)"),"Redirects to itself; ","")&amp;IF(AND(M860&lt;&gt;"",OR(M860="/",AND(LEFT(M860,4)="http",OR((LEN(M860)-LEN(SUBSTITUTE(M860,"/","")))=2,AND((LEN(M860)-LEN(SUBSTITUTE(M860,"/","")))=3,RIGHT(M860,1)="/"))))),"Home page redirect; ","")&amp;IF(N(R860)&gt;1,"Chain; ","")&amp;IF(S860="No","Destination not 200; ","")))</f>
        <v/>
      </c>
      <c r="U860" s="22" t="n"/>
      <c r="V860" s="22" t="n"/>
      <c r="W860" s="4" t="n"/>
    </row>
    <row r="861">
      <c r="A861" s="22" t="n"/>
      <c r="B861" s="22" t="n"/>
      <c r="C861" s="22" t="n"/>
      <c r="D861" s="22">
        <f>IF(A861="","",IF(OR(N(B861)&gt;=$C$2,N(C861)&gt;=$E$2),"High",IF(OR(N(B861)&gt;0,N(C861)&gt;0),"Medium","Low")))</f>
        <v/>
      </c>
      <c r="E861" s="22" t="n"/>
      <c r="F861" s="22" t="n"/>
      <c r="G861" s="22" t="n"/>
      <c r="H861" s="22" t="n"/>
      <c r="I861" s="22" t="n"/>
      <c r="J861" s="22" t="n"/>
      <c r="K861" s="22" t="n"/>
      <c r="L861" s="22" t="n"/>
      <c r="M861" s="22">
        <f>IF(K861="Override",L861,IF(K861="Accept suggestion",F861,IF(K861="No change (same URL)",A861,"")))</f>
        <v/>
      </c>
      <c r="N861" s="22">
        <f>IF(A861="","",IF(K861="410 Gone","410",IF(K861="404","404",IF(K861="No change (same URL)","none",IF(M861="","","301")))))</f>
        <v/>
      </c>
      <c r="O861" s="22">
        <f>IF(A861="","",IFERROR(MID(A861,FIND("/",A861,FIND("//",A861)+2),2000),A861))</f>
        <v/>
      </c>
      <c r="P861" s="22">
        <f>IF(OR(O861="",N861="",N861="none",N861="404"),"",IF(N861="410","Redirect gone "&amp;O861,"Redirect "&amp;N861&amp;" "&amp;O861&amp;" "&amp;M861))</f>
        <v/>
      </c>
      <c r="Q861" s="22" t="n"/>
      <c r="R861" s="22" t="n"/>
      <c r="S861" s="22" t="n"/>
      <c r="T861" s="4">
        <f>IF(A861="","",TRIM(IF(K861="","Needs decision; ","")&amp;IF(AND(K861="Accept suggestion",F861=""),"No suggestion to accept; ","")&amp;IF(AND(K861="Override",L861=""),"Override URL missing; ","")&amp;IF(AND(K861="Accept suggestion",N(G861)&lt;$G$2),"Below your threshold; ","")&amp;IF(AND(M861&lt;&gt;"",M861=A861,K861&lt;&gt;"No change (same URL)"),"Redirects to itself; ","")&amp;IF(AND(M861&lt;&gt;"",OR(M861="/",AND(LEFT(M861,4)="http",OR((LEN(M861)-LEN(SUBSTITUTE(M861,"/","")))=2,AND((LEN(M861)-LEN(SUBSTITUTE(M861,"/","")))=3,RIGHT(M861,1)="/"))))),"Home page redirect; ","")&amp;IF(N(R861)&gt;1,"Chain; ","")&amp;IF(S861="No","Destination not 200; ","")))</f>
        <v/>
      </c>
      <c r="U861" s="22" t="n"/>
      <c r="V861" s="22" t="n"/>
      <c r="W861" s="4" t="n"/>
    </row>
    <row r="862">
      <c r="A862" s="22" t="n"/>
      <c r="B862" s="22" t="n"/>
      <c r="C862" s="22" t="n"/>
      <c r="D862" s="22">
        <f>IF(A862="","",IF(OR(N(B862)&gt;=$C$2,N(C862)&gt;=$E$2),"High",IF(OR(N(B862)&gt;0,N(C862)&gt;0),"Medium","Low")))</f>
        <v/>
      </c>
      <c r="E862" s="22" t="n"/>
      <c r="F862" s="22" t="n"/>
      <c r="G862" s="22" t="n"/>
      <c r="H862" s="22" t="n"/>
      <c r="I862" s="22" t="n"/>
      <c r="J862" s="22" t="n"/>
      <c r="K862" s="22" t="n"/>
      <c r="L862" s="22" t="n"/>
      <c r="M862" s="22">
        <f>IF(K862="Override",L862,IF(K862="Accept suggestion",F862,IF(K862="No change (same URL)",A862,"")))</f>
        <v/>
      </c>
      <c r="N862" s="22">
        <f>IF(A862="","",IF(K862="410 Gone","410",IF(K862="404","404",IF(K862="No change (same URL)","none",IF(M862="","","301")))))</f>
        <v/>
      </c>
      <c r="O862" s="22">
        <f>IF(A862="","",IFERROR(MID(A862,FIND("/",A862,FIND("//",A862)+2),2000),A862))</f>
        <v/>
      </c>
      <c r="P862" s="22">
        <f>IF(OR(O862="",N862="",N862="none",N862="404"),"",IF(N862="410","Redirect gone "&amp;O862,"Redirect "&amp;N862&amp;" "&amp;O862&amp;" "&amp;M862))</f>
        <v/>
      </c>
      <c r="Q862" s="22" t="n"/>
      <c r="R862" s="22" t="n"/>
      <c r="S862" s="22" t="n"/>
      <c r="T862" s="4">
        <f>IF(A862="","",TRIM(IF(K862="","Needs decision; ","")&amp;IF(AND(K862="Accept suggestion",F862=""),"No suggestion to accept; ","")&amp;IF(AND(K862="Override",L862=""),"Override URL missing; ","")&amp;IF(AND(K862="Accept suggestion",N(G862)&lt;$G$2),"Below your threshold; ","")&amp;IF(AND(M862&lt;&gt;"",M862=A862,K862&lt;&gt;"No change (same URL)"),"Redirects to itself; ","")&amp;IF(AND(M862&lt;&gt;"",OR(M862="/",AND(LEFT(M862,4)="http",OR((LEN(M862)-LEN(SUBSTITUTE(M862,"/","")))=2,AND((LEN(M862)-LEN(SUBSTITUTE(M862,"/","")))=3,RIGHT(M862,1)="/"))))),"Home page redirect; ","")&amp;IF(N(R862)&gt;1,"Chain; ","")&amp;IF(S862="No","Destination not 200; ","")))</f>
        <v/>
      </c>
      <c r="U862" s="22" t="n"/>
      <c r="V862" s="22" t="n"/>
      <c r="W862" s="4" t="n"/>
    </row>
    <row r="863">
      <c r="A863" s="22" t="n"/>
      <c r="B863" s="22" t="n"/>
      <c r="C863" s="22" t="n"/>
      <c r="D863" s="22">
        <f>IF(A863="","",IF(OR(N(B863)&gt;=$C$2,N(C863)&gt;=$E$2),"High",IF(OR(N(B863)&gt;0,N(C863)&gt;0),"Medium","Low")))</f>
        <v/>
      </c>
      <c r="E863" s="22" t="n"/>
      <c r="F863" s="22" t="n"/>
      <c r="G863" s="22" t="n"/>
      <c r="H863" s="22" t="n"/>
      <c r="I863" s="22" t="n"/>
      <c r="J863" s="22" t="n"/>
      <c r="K863" s="22" t="n"/>
      <c r="L863" s="22" t="n"/>
      <c r="M863" s="22">
        <f>IF(K863="Override",L863,IF(K863="Accept suggestion",F863,IF(K863="No change (same URL)",A863,"")))</f>
        <v/>
      </c>
      <c r="N863" s="22">
        <f>IF(A863="","",IF(K863="410 Gone","410",IF(K863="404","404",IF(K863="No change (same URL)","none",IF(M863="","","301")))))</f>
        <v/>
      </c>
      <c r="O863" s="22">
        <f>IF(A863="","",IFERROR(MID(A863,FIND("/",A863,FIND("//",A863)+2),2000),A863))</f>
        <v/>
      </c>
      <c r="P863" s="22">
        <f>IF(OR(O863="",N863="",N863="none",N863="404"),"",IF(N863="410","Redirect gone "&amp;O863,"Redirect "&amp;N863&amp;" "&amp;O863&amp;" "&amp;M863))</f>
        <v/>
      </c>
      <c r="Q863" s="22" t="n"/>
      <c r="R863" s="22" t="n"/>
      <c r="S863" s="22" t="n"/>
      <c r="T863" s="4">
        <f>IF(A863="","",TRIM(IF(K863="","Needs decision; ","")&amp;IF(AND(K863="Accept suggestion",F863=""),"No suggestion to accept; ","")&amp;IF(AND(K863="Override",L863=""),"Override URL missing; ","")&amp;IF(AND(K863="Accept suggestion",N(G863)&lt;$G$2),"Below your threshold; ","")&amp;IF(AND(M863&lt;&gt;"",M863=A863,K863&lt;&gt;"No change (same URL)"),"Redirects to itself; ","")&amp;IF(AND(M863&lt;&gt;"",OR(M863="/",AND(LEFT(M863,4)="http",OR((LEN(M863)-LEN(SUBSTITUTE(M863,"/","")))=2,AND((LEN(M863)-LEN(SUBSTITUTE(M863,"/","")))=3,RIGHT(M863,1)="/"))))),"Home page redirect; ","")&amp;IF(N(R863)&gt;1,"Chain; ","")&amp;IF(S863="No","Destination not 200; ","")))</f>
        <v/>
      </c>
      <c r="U863" s="22" t="n"/>
      <c r="V863" s="22" t="n"/>
      <c r="W863" s="4" t="n"/>
    </row>
    <row r="864">
      <c r="A864" s="22" t="n"/>
      <c r="B864" s="22" t="n"/>
      <c r="C864" s="22" t="n"/>
      <c r="D864" s="22">
        <f>IF(A864="","",IF(OR(N(B864)&gt;=$C$2,N(C864)&gt;=$E$2),"High",IF(OR(N(B864)&gt;0,N(C864)&gt;0),"Medium","Low")))</f>
        <v/>
      </c>
      <c r="E864" s="22" t="n"/>
      <c r="F864" s="22" t="n"/>
      <c r="G864" s="22" t="n"/>
      <c r="H864" s="22" t="n"/>
      <c r="I864" s="22" t="n"/>
      <c r="J864" s="22" t="n"/>
      <c r="K864" s="22" t="n"/>
      <c r="L864" s="22" t="n"/>
      <c r="M864" s="22">
        <f>IF(K864="Override",L864,IF(K864="Accept suggestion",F864,IF(K864="No change (same URL)",A864,"")))</f>
        <v/>
      </c>
      <c r="N864" s="22">
        <f>IF(A864="","",IF(K864="410 Gone","410",IF(K864="404","404",IF(K864="No change (same URL)","none",IF(M864="","","301")))))</f>
        <v/>
      </c>
      <c r="O864" s="22">
        <f>IF(A864="","",IFERROR(MID(A864,FIND("/",A864,FIND("//",A864)+2),2000),A864))</f>
        <v/>
      </c>
      <c r="P864" s="22">
        <f>IF(OR(O864="",N864="",N864="none",N864="404"),"",IF(N864="410","Redirect gone "&amp;O864,"Redirect "&amp;N864&amp;" "&amp;O864&amp;" "&amp;M864))</f>
        <v/>
      </c>
      <c r="Q864" s="22" t="n"/>
      <c r="R864" s="22" t="n"/>
      <c r="S864" s="22" t="n"/>
      <c r="T864" s="4">
        <f>IF(A864="","",TRIM(IF(K864="","Needs decision; ","")&amp;IF(AND(K864="Accept suggestion",F864=""),"No suggestion to accept; ","")&amp;IF(AND(K864="Override",L864=""),"Override URL missing; ","")&amp;IF(AND(K864="Accept suggestion",N(G864)&lt;$G$2),"Below your threshold; ","")&amp;IF(AND(M864&lt;&gt;"",M864=A864,K864&lt;&gt;"No change (same URL)"),"Redirects to itself; ","")&amp;IF(AND(M864&lt;&gt;"",OR(M864="/",AND(LEFT(M864,4)="http",OR((LEN(M864)-LEN(SUBSTITUTE(M864,"/","")))=2,AND((LEN(M864)-LEN(SUBSTITUTE(M864,"/","")))=3,RIGHT(M864,1)="/"))))),"Home page redirect; ","")&amp;IF(N(R864)&gt;1,"Chain; ","")&amp;IF(S864="No","Destination not 200; ","")))</f>
        <v/>
      </c>
      <c r="U864" s="22" t="n"/>
      <c r="V864" s="22" t="n"/>
      <c r="W864" s="4" t="n"/>
    </row>
    <row r="865">
      <c r="A865" s="22" t="n"/>
      <c r="B865" s="22" t="n"/>
      <c r="C865" s="22" t="n"/>
      <c r="D865" s="22">
        <f>IF(A865="","",IF(OR(N(B865)&gt;=$C$2,N(C865)&gt;=$E$2),"High",IF(OR(N(B865)&gt;0,N(C865)&gt;0),"Medium","Low")))</f>
        <v/>
      </c>
      <c r="E865" s="22" t="n"/>
      <c r="F865" s="22" t="n"/>
      <c r="G865" s="22" t="n"/>
      <c r="H865" s="22" t="n"/>
      <c r="I865" s="22" t="n"/>
      <c r="J865" s="22" t="n"/>
      <c r="K865" s="22" t="n"/>
      <c r="L865" s="22" t="n"/>
      <c r="M865" s="22">
        <f>IF(K865="Override",L865,IF(K865="Accept suggestion",F865,IF(K865="No change (same URL)",A865,"")))</f>
        <v/>
      </c>
      <c r="N865" s="22">
        <f>IF(A865="","",IF(K865="410 Gone","410",IF(K865="404","404",IF(K865="No change (same URL)","none",IF(M865="","","301")))))</f>
        <v/>
      </c>
      <c r="O865" s="22">
        <f>IF(A865="","",IFERROR(MID(A865,FIND("/",A865,FIND("//",A865)+2),2000),A865))</f>
        <v/>
      </c>
      <c r="P865" s="22">
        <f>IF(OR(O865="",N865="",N865="none",N865="404"),"",IF(N865="410","Redirect gone "&amp;O865,"Redirect "&amp;N865&amp;" "&amp;O865&amp;" "&amp;M865))</f>
        <v/>
      </c>
      <c r="Q865" s="22" t="n"/>
      <c r="R865" s="22" t="n"/>
      <c r="S865" s="22" t="n"/>
      <c r="T865" s="4">
        <f>IF(A865="","",TRIM(IF(K865="","Needs decision; ","")&amp;IF(AND(K865="Accept suggestion",F865=""),"No suggestion to accept; ","")&amp;IF(AND(K865="Override",L865=""),"Override URL missing; ","")&amp;IF(AND(K865="Accept suggestion",N(G865)&lt;$G$2),"Below your threshold; ","")&amp;IF(AND(M865&lt;&gt;"",M865=A865,K865&lt;&gt;"No change (same URL)"),"Redirects to itself; ","")&amp;IF(AND(M865&lt;&gt;"",OR(M865="/",AND(LEFT(M865,4)="http",OR((LEN(M865)-LEN(SUBSTITUTE(M865,"/","")))=2,AND((LEN(M865)-LEN(SUBSTITUTE(M865,"/","")))=3,RIGHT(M865,1)="/"))))),"Home page redirect; ","")&amp;IF(N(R865)&gt;1,"Chain; ","")&amp;IF(S865="No","Destination not 200; ","")))</f>
        <v/>
      </c>
      <c r="U865" s="22" t="n"/>
      <c r="V865" s="22" t="n"/>
      <c r="W865" s="4" t="n"/>
    </row>
    <row r="866">
      <c r="A866" s="22" t="n"/>
      <c r="B866" s="22" t="n"/>
      <c r="C866" s="22" t="n"/>
      <c r="D866" s="22">
        <f>IF(A866="","",IF(OR(N(B866)&gt;=$C$2,N(C866)&gt;=$E$2),"High",IF(OR(N(B866)&gt;0,N(C866)&gt;0),"Medium","Low")))</f>
        <v/>
      </c>
      <c r="E866" s="22" t="n"/>
      <c r="F866" s="22" t="n"/>
      <c r="G866" s="22" t="n"/>
      <c r="H866" s="22" t="n"/>
      <c r="I866" s="22" t="n"/>
      <c r="J866" s="22" t="n"/>
      <c r="K866" s="22" t="n"/>
      <c r="L866" s="22" t="n"/>
      <c r="M866" s="22">
        <f>IF(K866="Override",L866,IF(K866="Accept suggestion",F866,IF(K866="No change (same URL)",A866,"")))</f>
        <v/>
      </c>
      <c r="N866" s="22">
        <f>IF(A866="","",IF(K866="410 Gone","410",IF(K866="404","404",IF(K866="No change (same URL)","none",IF(M866="","","301")))))</f>
        <v/>
      </c>
      <c r="O866" s="22">
        <f>IF(A866="","",IFERROR(MID(A866,FIND("/",A866,FIND("//",A866)+2),2000),A866))</f>
        <v/>
      </c>
      <c r="P866" s="22">
        <f>IF(OR(O866="",N866="",N866="none",N866="404"),"",IF(N866="410","Redirect gone "&amp;O866,"Redirect "&amp;N866&amp;" "&amp;O866&amp;" "&amp;M866))</f>
        <v/>
      </c>
      <c r="Q866" s="22" t="n"/>
      <c r="R866" s="22" t="n"/>
      <c r="S866" s="22" t="n"/>
      <c r="T866" s="4">
        <f>IF(A866="","",TRIM(IF(K866="","Needs decision; ","")&amp;IF(AND(K866="Accept suggestion",F866=""),"No suggestion to accept; ","")&amp;IF(AND(K866="Override",L866=""),"Override URL missing; ","")&amp;IF(AND(K866="Accept suggestion",N(G866)&lt;$G$2),"Below your threshold; ","")&amp;IF(AND(M866&lt;&gt;"",M866=A866,K866&lt;&gt;"No change (same URL)"),"Redirects to itself; ","")&amp;IF(AND(M866&lt;&gt;"",OR(M866="/",AND(LEFT(M866,4)="http",OR((LEN(M866)-LEN(SUBSTITUTE(M866,"/","")))=2,AND((LEN(M866)-LEN(SUBSTITUTE(M866,"/","")))=3,RIGHT(M866,1)="/"))))),"Home page redirect; ","")&amp;IF(N(R866)&gt;1,"Chain; ","")&amp;IF(S866="No","Destination not 200; ","")))</f>
        <v/>
      </c>
      <c r="U866" s="22" t="n"/>
      <c r="V866" s="22" t="n"/>
      <c r="W866" s="4" t="n"/>
    </row>
    <row r="867">
      <c r="A867" s="22" t="n"/>
      <c r="B867" s="22" t="n"/>
      <c r="C867" s="22" t="n"/>
      <c r="D867" s="22">
        <f>IF(A867="","",IF(OR(N(B867)&gt;=$C$2,N(C867)&gt;=$E$2),"High",IF(OR(N(B867)&gt;0,N(C867)&gt;0),"Medium","Low")))</f>
        <v/>
      </c>
      <c r="E867" s="22" t="n"/>
      <c r="F867" s="22" t="n"/>
      <c r="G867" s="22" t="n"/>
      <c r="H867" s="22" t="n"/>
      <c r="I867" s="22" t="n"/>
      <c r="J867" s="22" t="n"/>
      <c r="K867" s="22" t="n"/>
      <c r="L867" s="22" t="n"/>
      <c r="M867" s="22">
        <f>IF(K867="Override",L867,IF(K867="Accept suggestion",F867,IF(K867="No change (same URL)",A867,"")))</f>
        <v/>
      </c>
      <c r="N867" s="22">
        <f>IF(A867="","",IF(K867="410 Gone","410",IF(K867="404","404",IF(K867="No change (same URL)","none",IF(M867="","","301")))))</f>
        <v/>
      </c>
      <c r="O867" s="22">
        <f>IF(A867="","",IFERROR(MID(A867,FIND("/",A867,FIND("//",A867)+2),2000),A867))</f>
        <v/>
      </c>
      <c r="P867" s="22">
        <f>IF(OR(O867="",N867="",N867="none",N867="404"),"",IF(N867="410","Redirect gone "&amp;O867,"Redirect "&amp;N867&amp;" "&amp;O867&amp;" "&amp;M867))</f>
        <v/>
      </c>
      <c r="Q867" s="22" t="n"/>
      <c r="R867" s="22" t="n"/>
      <c r="S867" s="22" t="n"/>
      <c r="T867" s="4">
        <f>IF(A867="","",TRIM(IF(K867="","Needs decision; ","")&amp;IF(AND(K867="Accept suggestion",F867=""),"No suggestion to accept; ","")&amp;IF(AND(K867="Override",L867=""),"Override URL missing; ","")&amp;IF(AND(K867="Accept suggestion",N(G867)&lt;$G$2),"Below your threshold; ","")&amp;IF(AND(M867&lt;&gt;"",M867=A867,K867&lt;&gt;"No change (same URL)"),"Redirects to itself; ","")&amp;IF(AND(M867&lt;&gt;"",OR(M867="/",AND(LEFT(M867,4)="http",OR((LEN(M867)-LEN(SUBSTITUTE(M867,"/","")))=2,AND((LEN(M867)-LEN(SUBSTITUTE(M867,"/","")))=3,RIGHT(M867,1)="/"))))),"Home page redirect; ","")&amp;IF(N(R867)&gt;1,"Chain; ","")&amp;IF(S867="No","Destination not 200; ","")))</f>
        <v/>
      </c>
      <c r="U867" s="22" t="n"/>
      <c r="V867" s="22" t="n"/>
      <c r="W867" s="4" t="n"/>
    </row>
    <row r="868">
      <c r="A868" s="22" t="n"/>
      <c r="B868" s="22" t="n"/>
      <c r="C868" s="22" t="n"/>
      <c r="D868" s="22">
        <f>IF(A868="","",IF(OR(N(B868)&gt;=$C$2,N(C868)&gt;=$E$2),"High",IF(OR(N(B868)&gt;0,N(C868)&gt;0),"Medium","Low")))</f>
        <v/>
      </c>
      <c r="E868" s="22" t="n"/>
      <c r="F868" s="22" t="n"/>
      <c r="G868" s="22" t="n"/>
      <c r="H868" s="22" t="n"/>
      <c r="I868" s="22" t="n"/>
      <c r="J868" s="22" t="n"/>
      <c r="K868" s="22" t="n"/>
      <c r="L868" s="22" t="n"/>
      <c r="M868" s="22">
        <f>IF(K868="Override",L868,IF(K868="Accept suggestion",F868,IF(K868="No change (same URL)",A868,"")))</f>
        <v/>
      </c>
      <c r="N868" s="22">
        <f>IF(A868="","",IF(K868="410 Gone","410",IF(K868="404","404",IF(K868="No change (same URL)","none",IF(M868="","","301")))))</f>
        <v/>
      </c>
      <c r="O868" s="22">
        <f>IF(A868="","",IFERROR(MID(A868,FIND("/",A868,FIND("//",A868)+2),2000),A868))</f>
        <v/>
      </c>
      <c r="P868" s="22">
        <f>IF(OR(O868="",N868="",N868="none",N868="404"),"",IF(N868="410","Redirect gone "&amp;O868,"Redirect "&amp;N868&amp;" "&amp;O868&amp;" "&amp;M868))</f>
        <v/>
      </c>
      <c r="Q868" s="22" t="n"/>
      <c r="R868" s="22" t="n"/>
      <c r="S868" s="22" t="n"/>
      <c r="T868" s="4">
        <f>IF(A868="","",TRIM(IF(K868="","Needs decision; ","")&amp;IF(AND(K868="Accept suggestion",F868=""),"No suggestion to accept; ","")&amp;IF(AND(K868="Override",L868=""),"Override URL missing; ","")&amp;IF(AND(K868="Accept suggestion",N(G868)&lt;$G$2),"Below your threshold; ","")&amp;IF(AND(M868&lt;&gt;"",M868=A868,K868&lt;&gt;"No change (same URL)"),"Redirects to itself; ","")&amp;IF(AND(M868&lt;&gt;"",OR(M868="/",AND(LEFT(M868,4)="http",OR((LEN(M868)-LEN(SUBSTITUTE(M868,"/","")))=2,AND((LEN(M868)-LEN(SUBSTITUTE(M868,"/","")))=3,RIGHT(M868,1)="/"))))),"Home page redirect; ","")&amp;IF(N(R868)&gt;1,"Chain; ","")&amp;IF(S868="No","Destination not 200; ","")))</f>
        <v/>
      </c>
      <c r="U868" s="22" t="n"/>
      <c r="V868" s="22" t="n"/>
      <c r="W868" s="4" t="n"/>
    </row>
    <row r="869">
      <c r="A869" s="22" t="n"/>
      <c r="B869" s="22" t="n"/>
      <c r="C869" s="22" t="n"/>
      <c r="D869" s="22">
        <f>IF(A869="","",IF(OR(N(B869)&gt;=$C$2,N(C869)&gt;=$E$2),"High",IF(OR(N(B869)&gt;0,N(C869)&gt;0),"Medium","Low")))</f>
        <v/>
      </c>
      <c r="E869" s="22" t="n"/>
      <c r="F869" s="22" t="n"/>
      <c r="G869" s="22" t="n"/>
      <c r="H869" s="22" t="n"/>
      <c r="I869" s="22" t="n"/>
      <c r="J869" s="22" t="n"/>
      <c r="K869" s="22" t="n"/>
      <c r="L869" s="22" t="n"/>
      <c r="M869" s="22">
        <f>IF(K869="Override",L869,IF(K869="Accept suggestion",F869,IF(K869="No change (same URL)",A869,"")))</f>
        <v/>
      </c>
      <c r="N869" s="22">
        <f>IF(A869="","",IF(K869="410 Gone","410",IF(K869="404","404",IF(K869="No change (same URL)","none",IF(M869="","","301")))))</f>
        <v/>
      </c>
      <c r="O869" s="22">
        <f>IF(A869="","",IFERROR(MID(A869,FIND("/",A869,FIND("//",A869)+2),2000),A869))</f>
        <v/>
      </c>
      <c r="P869" s="22">
        <f>IF(OR(O869="",N869="",N869="none",N869="404"),"",IF(N869="410","Redirect gone "&amp;O869,"Redirect "&amp;N869&amp;" "&amp;O869&amp;" "&amp;M869))</f>
        <v/>
      </c>
      <c r="Q869" s="22" t="n"/>
      <c r="R869" s="22" t="n"/>
      <c r="S869" s="22" t="n"/>
      <c r="T869" s="4">
        <f>IF(A869="","",TRIM(IF(K869="","Needs decision; ","")&amp;IF(AND(K869="Accept suggestion",F869=""),"No suggestion to accept; ","")&amp;IF(AND(K869="Override",L869=""),"Override URL missing; ","")&amp;IF(AND(K869="Accept suggestion",N(G869)&lt;$G$2),"Below your threshold; ","")&amp;IF(AND(M869&lt;&gt;"",M869=A869,K869&lt;&gt;"No change (same URL)"),"Redirects to itself; ","")&amp;IF(AND(M869&lt;&gt;"",OR(M869="/",AND(LEFT(M869,4)="http",OR((LEN(M869)-LEN(SUBSTITUTE(M869,"/","")))=2,AND((LEN(M869)-LEN(SUBSTITUTE(M869,"/","")))=3,RIGHT(M869,1)="/"))))),"Home page redirect; ","")&amp;IF(N(R869)&gt;1,"Chain; ","")&amp;IF(S869="No","Destination not 200; ","")))</f>
        <v/>
      </c>
      <c r="U869" s="22" t="n"/>
      <c r="V869" s="22" t="n"/>
      <c r="W869" s="4" t="n"/>
    </row>
    <row r="870">
      <c r="A870" s="22" t="n"/>
      <c r="B870" s="22" t="n"/>
      <c r="C870" s="22" t="n"/>
      <c r="D870" s="22">
        <f>IF(A870="","",IF(OR(N(B870)&gt;=$C$2,N(C870)&gt;=$E$2),"High",IF(OR(N(B870)&gt;0,N(C870)&gt;0),"Medium","Low")))</f>
        <v/>
      </c>
      <c r="E870" s="22" t="n"/>
      <c r="F870" s="22" t="n"/>
      <c r="G870" s="22" t="n"/>
      <c r="H870" s="22" t="n"/>
      <c r="I870" s="22" t="n"/>
      <c r="J870" s="22" t="n"/>
      <c r="K870" s="22" t="n"/>
      <c r="L870" s="22" t="n"/>
      <c r="M870" s="22">
        <f>IF(K870="Override",L870,IF(K870="Accept suggestion",F870,IF(K870="No change (same URL)",A870,"")))</f>
        <v/>
      </c>
      <c r="N870" s="22">
        <f>IF(A870="","",IF(K870="410 Gone","410",IF(K870="404","404",IF(K870="No change (same URL)","none",IF(M870="","","301")))))</f>
        <v/>
      </c>
      <c r="O870" s="22">
        <f>IF(A870="","",IFERROR(MID(A870,FIND("/",A870,FIND("//",A870)+2),2000),A870))</f>
        <v/>
      </c>
      <c r="P870" s="22">
        <f>IF(OR(O870="",N870="",N870="none",N870="404"),"",IF(N870="410","Redirect gone "&amp;O870,"Redirect "&amp;N870&amp;" "&amp;O870&amp;" "&amp;M870))</f>
        <v/>
      </c>
      <c r="Q870" s="22" t="n"/>
      <c r="R870" s="22" t="n"/>
      <c r="S870" s="22" t="n"/>
      <c r="T870" s="4">
        <f>IF(A870="","",TRIM(IF(K870="","Needs decision; ","")&amp;IF(AND(K870="Accept suggestion",F870=""),"No suggestion to accept; ","")&amp;IF(AND(K870="Override",L870=""),"Override URL missing; ","")&amp;IF(AND(K870="Accept suggestion",N(G870)&lt;$G$2),"Below your threshold; ","")&amp;IF(AND(M870&lt;&gt;"",M870=A870,K870&lt;&gt;"No change (same URL)"),"Redirects to itself; ","")&amp;IF(AND(M870&lt;&gt;"",OR(M870="/",AND(LEFT(M870,4)="http",OR((LEN(M870)-LEN(SUBSTITUTE(M870,"/","")))=2,AND((LEN(M870)-LEN(SUBSTITUTE(M870,"/","")))=3,RIGHT(M870,1)="/"))))),"Home page redirect; ","")&amp;IF(N(R870)&gt;1,"Chain; ","")&amp;IF(S870="No","Destination not 200; ","")))</f>
        <v/>
      </c>
      <c r="U870" s="22" t="n"/>
      <c r="V870" s="22" t="n"/>
      <c r="W870" s="4" t="n"/>
    </row>
    <row r="871">
      <c r="A871" s="22" t="n"/>
      <c r="B871" s="22" t="n"/>
      <c r="C871" s="22" t="n"/>
      <c r="D871" s="22">
        <f>IF(A871="","",IF(OR(N(B871)&gt;=$C$2,N(C871)&gt;=$E$2),"High",IF(OR(N(B871)&gt;0,N(C871)&gt;0),"Medium","Low")))</f>
        <v/>
      </c>
      <c r="E871" s="22" t="n"/>
      <c r="F871" s="22" t="n"/>
      <c r="G871" s="22" t="n"/>
      <c r="H871" s="22" t="n"/>
      <c r="I871" s="22" t="n"/>
      <c r="J871" s="22" t="n"/>
      <c r="K871" s="22" t="n"/>
      <c r="L871" s="22" t="n"/>
      <c r="M871" s="22">
        <f>IF(K871="Override",L871,IF(K871="Accept suggestion",F871,IF(K871="No change (same URL)",A871,"")))</f>
        <v/>
      </c>
      <c r="N871" s="22">
        <f>IF(A871="","",IF(K871="410 Gone","410",IF(K871="404","404",IF(K871="No change (same URL)","none",IF(M871="","","301")))))</f>
        <v/>
      </c>
      <c r="O871" s="22">
        <f>IF(A871="","",IFERROR(MID(A871,FIND("/",A871,FIND("//",A871)+2),2000),A871))</f>
        <v/>
      </c>
      <c r="P871" s="22">
        <f>IF(OR(O871="",N871="",N871="none",N871="404"),"",IF(N871="410","Redirect gone "&amp;O871,"Redirect "&amp;N871&amp;" "&amp;O871&amp;" "&amp;M871))</f>
        <v/>
      </c>
      <c r="Q871" s="22" t="n"/>
      <c r="R871" s="22" t="n"/>
      <c r="S871" s="22" t="n"/>
      <c r="T871" s="4">
        <f>IF(A871="","",TRIM(IF(K871="","Needs decision; ","")&amp;IF(AND(K871="Accept suggestion",F871=""),"No suggestion to accept; ","")&amp;IF(AND(K871="Override",L871=""),"Override URL missing; ","")&amp;IF(AND(K871="Accept suggestion",N(G871)&lt;$G$2),"Below your threshold; ","")&amp;IF(AND(M871&lt;&gt;"",M871=A871,K871&lt;&gt;"No change (same URL)"),"Redirects to itself; ","")&amp;IF(AND(M871&lt;&gt;"",OR(M871="/",AND(LEFT(M871,4)="http",OR((LEN(M871)-LEN(SUBSTITUTE(M871,"/","")))=2,AND((LEN(M871)-LEN(SUBSTITUTE(M871,"/","")))=3,RIGHT(M871,1)="/"))))),"Home page redirect; ","")&amp;IF(N(R871)&gt;1,"Chain; ","")&amp;IF(S871="No","Destination not 200; ","")))</f>
        <v/>
      </c>
      <c r="U871" s="22" t="n"/>
      <c r="V871" s="22" t="n"/>
      <c r="W871" s="4" t="n"/>
    </row>
    <row r="872">
      <c r="A872" s="22" t="n"/>
      <c r="B872" s="22" t="n"/>
      <c r="C872" s="22" t="n"/>
      <c r="D872" s="22">
        <f>IF(A872="","",IF(OR(N(B872)&gt;=$C$2,N(C872)&gt;=$E$2),"High",IF(OR(N(B872)&gt;0,N(C872)&gt;0),"Medium","Low")))</f>
        <v/>
      </c>
      <c r="E872" s="22" t="n"/>
      <c r="F872" s="22" t="n"/>
      <c r="G872" s="22" t="n"/>
      <c r="H872" s="22" t="n"/>
      <c r="I872" s="22" t="n"/>
      <c r="J872" s="22" t="n"/>
      <c r="K872" s="22" t="n"/>
      <c r="L872" s="22" t="n"/>
      <c r="M872" s="22">
        <f>IF(K872="Override",L872,IF(K872="Accept suggestion",F872,IF(K872="No change (same URL)",A872,"")))</f>
        <v/>
      </c>
      <c r="N872" s="22">
        <f>IF(A872="","",IF(K872="410 Gone","410",IF(K872="404","404",IF(K872="No change (same URL)","none",IF(M872="","","301")))))</f>
        <v/>
      </c>
      <c r="O872" s="22">
        <f>IF(A872="","",IFERROR(MID(A872,FIND("/",A872,FIND("//",A872)+2),2000),A872))</f>
        <v/>
      </c>
      <c r="P872" s="22">
        <f>IF(OR(O872="",N872="",N872="none",N872="404"),"",IF(N872="410","Redirect gone "&amp;O872,"Redirect "&amp;N872&amp;" "&amp;O872&amp;" "&amp;M872))</f>
        <v/>
      </c>
      <c r="Q872" s="22" t="n"/>
      <c r="R872" s="22" t="n"/>
      <c r="S872" s="22" t="n"/>
      <c r="T872" s="4">
        <f>IF(A872="","",TRIM(IF(K872="","Needs decision; ","")&amp;IF(AND(K872="Accept suggestion",F872=""),"No suggestion to accept; ","")&amp;IF(AND(K872="Override",L872=""),"Override URL missing; ","")&amp;IF(AND(K872="Accept suggestion",N(G872)&lt;$G$2),"Below your threshold; ","")&amp;IF(AND(M872&lt;&gt;"",M872=A872,K872&lt;&gt;"No change (same URL)"),"Redirects to itself; ","")&amp;IF(AND(M872&lt;&gt;"",OR(M872="/",AND(LEFT(M872,4)="http",OR((LEN(M872)-LEN(SUBSTITUTE(M872,"/","")))=2,AND((LEN(M872)-LEN(SUBSTITUTE(M872,"/","")))=3,RIGHT(M872,1)="/"))))),"Home page redirect; ","")&amp;IF(N(R872)&gt;1,"Chain; ","")&amp;IF(S872="No","Destination not 200; ","")))</f>
        <v/>
      </c>
      <c r="U872" s="22" t="n"/>
      <c r="V872" s="22" t="n"/>
      <c r="W872" s="4" t="n"/>
    </row>
    <row r="873">
      <c r="A873" s="22" t="n"/>
      <c r="B873" s="22" t="n"/>
      <c r="C873" s="22" t="n"/>
      <c r="D873" s="22">
        <f>IF(A873="","",IF(OR(N(B873)&gt;=$C$2,N(C873)&gt;=$E$2),"High",IF(OR(N(B873)&gt;0,N(C873)&gt;0),"Medium","Low")))</f>
        <v/>
      </c>
      <c r="E873" s="22" t="n"/>
      <c r="F873" s="22" t="n"/>
      <c r="G873" s="22" t="n"/>
      <c r="H873" s="22" t="n"/>
      <c r="I873" s="22" t="n"/>
      <c r="J873" s="22" t="n"/>
      <c r="K873" s="22" t="n"/>
      <c r="L873" s="22" t="n"/>
      <c r="M873" s="22">
        <f>IF(K873="Override",L873,IF(K873="Accept suggestion",F873,IF(K873="No change (same URL)",A873,"")))</f>
        <v/>
      </c>
      <c r="N873" s="22">
        <f>IF(A873="","",IF(K873="410 Gone","410",IF(K873="404","404",IF(K873="No change (same URL)","none",IF(M873="","","301")))))</f>
        <v/>
      </c>
      <c r="O873" s="22">
        <f>IF(A873="","",IFERROR(MID(A873,FIND("/",A873,FIND("//",A873)+2),2000),A873))</f>
        <v/>
      </c>
      <c r="P873" s="22">
        <f>IF(OR(O873="",N873="",N873="none",N873="404"),"",IF(N873="410","Redirect gone "&amp;O873,"Redirect "&amp;N873&amp;" "&amp;O873&amp;" "&amp;M873))</f>
        <v/>
      </c>
      <c r="Q873" s="22" t="n"/>
      <c r="R873" s="22" t="n"/>
      <c r="S873" s="22" t="n"/>
      <c r="T873" s="4">
        <f>IF(A873="","",TRIM(IF(K873="","Needs decision; ","")&amp;IF(AND(K873="Accept suggestion",F873=""),"No suggestion to accept; ","")&amp;IF(AND(K873="Override",L873=""),"Override URL missing; ","")&amp;IF(AND(K873="Accept suggestion",N(G873)&lt;$G$2),"Below your threshold; ","")&amp;IF(AND(M873&lt;&gt;"",M873=A873,K873&lt;&gt;"No change (same URL)"),"Redirects to itself; ","")&amp;IF(AND(M873&lt;&gt;"",OR(M873="/",AND(LEFT(M873,4)="http",OR((LEN(M873)-LEN(SUBSTITUTE(M873,"/","")))=2,AND((LEN(M873)-LEN(SUBSTITUTE(M873,"/","")))=3,RIGHT(M873,1)="/"))))),"Home page redirect; ","")&amp;IF(N(R873)&gt;1,"Chain; ","")&amp;IF(S873="No","Destination not 200; ","")))</f>
        <v/>
      </c>
      <c r="U873" s="22" t="n"/>
      <c r="V873" s="22" t="n"/>
      <c r="W873" s="4" t="n"/>
    </row>
    <row r="874">
      <c r="A874" s="22" t="n"/>
      <c r="B874" s="22" t="n"/>
      <c r="C874" s="22" t="n"/>
      <c r="D874" s="22">
        <f>IF(A874="","",IF(OR(N(B874)&gt;=$C$2,N(C874)&gt;=$E$2),"High",IF(OR(N(B874)&gt;0,N(C874)&gt;0),"Medium","Low")))</f>
        <v/>
      </c>
      <c r="E874" s="22" t="n"/>
      <c r="F874" s="22" t="n"/>
      <c r="G874" s="22" t="n"/>
      <c r="H874" s="22" t="n"/>
      <c r="I874" s="22" t="n"/>
      <c r="J874" s="22" t="n"/>
      <c r="K874" s="22" t="n"/>
      <c r="L874" s="22" t="n"/>
      <c r="M874" s="22">
        <f>IF(K874="Override",L874,IF(K874="Accept suggestion",F874,IF(K874="No change (same URL)",A874,"")))</f>
        <v/>
      </c>
      <c r="N874" s="22">
        <f>IF(A874="","",IF(K874="410 Gone","410",IF(K874="404","404",IF(K874="No change (same URL)","none",IF(M874="","","301")))))</f>
        <v/>
      </c>
      <c r="O874" s="22">
        <f>IF(A874="","",IFERROR(MID(A874,FIND("/",A874,FIND("//",A874)+2),2000),A874))</f>
        <v/>
      </c>
      <c r="P874" s="22">
        <f>IF(OR(O874="",N874="",N874="none",N874="404"),"",IF(N874="410","Redirect gone "&amp;O874,"Redirect "&amp;N874&amp;" "&amp;O874&amp;" "&amp;M874))</f>
        <v/>
      </c>
      <c r="Q874" s="22" t="n"/>
      <c r="R874" s="22" t="n"/>
      <c r="S874" s="22" t="n"/>
      <c r="T874" s="4">
        <f>IF(A874="","",TRIM(IF(K874="","Needs decision; ","")&amp;IF(AND(K874="Accept suggestion",F874=""),"No suggestion to accept; ","")&amp;IF(AND(K874="Override",L874=""),"Override URL missing; ","")&amp;IF(AND(K874="Accept suggestion",N(G874)&lt;$G$2),"Below your threshold; ","")&amp;IF(AND(M874&lt;&gt;"",M874=A874,K874&lt;&gt;"No change (same URL)"),"Redirects to itself; ","")&amp;IF(AND(M874&lt;&gt;"",OR(M874="/",AND(LEFT(M874,4)="http",OR((LEN(M874)-LEN(SUBSTITUTE(M874,"/","")))=2,AND((LEN(M874)-LEN(SUBSTITUTE(M874,"/","")))=3,RIGHT(M874,1)="/"))))),"Home page redirect; ","")&amp;IF(N(R874)&gt;1,"Chain; ","")&amp;IF(S874="No","Destination not 200; ","")))</f>
        <v/>
      </c>
      <c r="U874" s="22" t="n"/>
      <c r="V874" s="22" t="n"/>
      <c r="W874" s="4" t="n"/>
    </row>
    <row r="875">
      <c r="A875" s="22" t="n"/>
      <c r="B875" s="22" t="n"/>
      <c r="C875" s="22" t="n"/>
      <c r="D875" s="22">
        <f>IF(A875="","",IF(OR(N(B875)&gt;=$C$2,N(C875)&gt;=$E$2),"High",IF(OR(N(B875)&gt;0,N(C875)&gt;0),"Medium","Low")))</f>
        <v/>
      </c>
      <c r="E875" s="22" t="n"/>
      <c r="F875" s="22" t="n"/>
      <c r="G875" s="22" t="n"/>
      <c r="H875" s="22" t="n"/>
      <c r="I875" s="22" t="n"/>
      <c r="J875" s="22" t="n"/>
      <c r="K875" s="22" t="n"/>
      <c r="L875" s="22" t="n"/>
      <c r="M875" s="22">
        <f>IF(K875="Override",L875,IF(K875="Accept suggestion",F875,IF(K875="No change (same URL)",A875,"")))</f>
        <v/>
      </c>
      <c r="N875" s="22">
        <f>IF(A875="","",IF(K875="410 Gone","410",IF(K875="404","404",IF(K875="No change (same URL)","none",IF(M875="","","301")))))</f>
        <v/>
      </c>
      <c r="O875" s="22">
        <f>IF(A875="","",IFERROR(MID(A875,FIND("/",A875,FIND("//",A875)+2),2000),A875))</f>
        <v/>
      </c>
      <c r="P875" s="22">
        <f>IF(OR(O875="",N875="",N875="none",N875="404"),"",IF(N875="410","Redirect gone "&amp;O875,"Redirect "&amp;N875&amp;" "&amp;O875&amp;" "&amp;M875))</f>
        <v/>
      </c>
      <c r="Q875" s="22" t="n"/>
      <c r="R875" s="22" t="n"/>
      <c r="S875" s="22" t="n"/>
      <c r="T875" s="4">
        <f>IF(A875="","",TRIM(IF(K875="","Needs decision; ","")&amp;IF(AND(K875="Accept suggestion",F875=""),"No suggestion to accept; ","")&amp;IF(AND(K875="Override",L875=""),"Override URL missing; ","")&amp;IF(AND(K875="Accept suggestion",N(G875)&lt;$G$2),"Below your threshold; ","")&amp;IF(AND(M875&lt;&gt;"",M875=A875,K875&lt;&gt;"No change (same URL)"),"Redirects to itself; ","")&amp;IF(AND(M875&lt;&gt;"",OR(M875="/",AND(LEFT(M875,4)="http",OR((LEN(M875)-LEN(SUBSTITUTE(M875,"/","")))=2,AND((LEN(M875)-LEN(SUBSTITUTE(M875,"/","")))=3,RIGHT(M875,1)="/"))))),"Home page redirect; ","")&amp;IF(N(R875)&gt;1,"Chain; ","")&amp;IF(S875="No","Destination not 200; ","")))</f>
        <v/>
      </c>
      <c r="U875" s="22" t="n"/>
      <c r="V875" s="22" t="n"/>
      <c r="W875" s="4" t="n"/>
    </row>
    <row r="876">
      <c r="A876" s="22" t="n"/>
      <c r="B876" s="22" t="n"/>
      <c r="C876" s="22" t="n"/>
      <c r="D876" s="22">
        <f>IF(A876="","",IF(OR(N(B876)&gt;=$C$2,N(C876)&gt;=$E$2),"High",IF(OR(N(B876)&gt;0,N(C876)&gt;0),"Medium","Low")))</f>
        <v/>
      </c>
      <c r="E876" s="22" t="n"/>
      <c r="F876" s="22" t="n"/>
      <c r="G876" s="22" t="n"/>
      <c r="H876" s="22" t="n"/>
      <c r="I876" s="22" t="n"/>
      <c r="J876" s="22" t="n"/>
      <c r="K876" s="22" t="n"/>
      <c r="L876" s="22" t="n"/>
      <c r="M876" s="22">
        <f>IF(K876="Override",L876,IF(K876="Accept suggestion",F876,IF(K876="No change (same URL)",A876,"")))</f>
        <v/>
      </c>
      <c r="N876" s="22">
        <f>IF(A876="","",IF(K876="410 Gone","410",IF(K876="404","404",IF(K876="No change (same URL)","none",IF(M876="","","301")))))</f>
        <v/>
      </c>
      <c r="O876" s="22">
        <f>IF(A876="","",IFERROR(MID(A876,FIND("/",A876,FIND("//",A876)+2),2000),A876))</f>
        <v/>
      </c>
      <c r="P876" s="22">
        <f>IF(OR(O876="",N876="",N876="none",N876="404"),"",IF(N876="410","Redirect gone "&amp;O876,"Redirect "&amp;N876&amp;" "&amp;O876&amp;" "&amp;M876))</f>
        <v/>
      </c>
      <c r="Q876" s="22" t="n"/>
      <c r="R876" s="22" t="n"/>
      <c r="S876" s="22" t="n"/>
      <c r="T876" s="4">
        <f>IF(A876="","",TRIM(IF(K876="","Needs decision; ","")&amp;IF(AND(K876="Accept suggestion",F876=""),"No suggestion to accept; ","")&amp;IF(AND(K876="Override",L876=""),"Override URL missing; ","")&amp;IF(AND(K876="Accept suggestion",N(G876)&lt;$G$2),"Below your threshold; ","")&amp;IF(AND(M876&lt;&gt;"",M876=A876,K876&lt;&gt;"No change (same URL)"),"Redirects to itself; ","")&amp;IF(AND(M876&lt;&gt;"",OR(M876="/",AND(LEFT(M876,4)="http",OR((LEN(M876)-LEN(SUBSTITUTE(M876,"/","")))=2,AND((LEN(M876)-LEN(SUBSTITUTE(M876,"/","")))=3,RIGHT(M876,1)="/"))))),"Home page redirect; ","")&amp;IF(N(R876)&gt;1,"Chain; ","")&amp;IF(S876="No","Destination not 200; ","")))</f>
        <v/>
      </c>
      <c r="U876" s="22" t="n"/>
      <c r="V876" s="22" t="n"/>
      <c r="W876" s="4" t="n"/>
    </row>
    <row r="877">
      <c r="A877" s="22" t="n"/>
      <c r="B877" s="22" t="n"/>
      <c r="C877" s="22" t="n"/>
      <c r="D877" s="22">
        <f>IF(A877="","",IF(OR(N(B877)&gt;=$C$2,N(C877)&gt;=$E$2),"High",IF(OR(N(B877)&gt;0,N(C877)&gt;0),"Medium","Low")))</f>
        <v/>
      </c>
      <c r="E877" s="22" t="n"/>
      <c r="F877" s="22" t="n"/>
      <c r="G877" s="22" t="n"/>
      <c r="H877" s="22" t="n"/>
      <c r="I877" s="22" t="n"/>
      <c r="J877" s="22" t="n"/>
      <c r="K877" s="22" t="n"/>
      <c r="L877" s="22" t="n"/>
      <c r="M877" s="22">
        <f>IF(K877="Override",L877,IF(K877="Accept suggestion",F877,IF(K877="No change (same URL)",A877,"")))</f>
        <v/>
      </c>
      <c r="N877" s="22">
        <f>IF(A877="","",IF(K877="410 Gone","410",IF(K877="404","404",IF(K877="No change (same URL)","none",IF(M877="","","301")))))</f>
        <v/>
      </c>
      <c r="O877" s="22">
        <f>IF(A877="","",IFERROR(MID(A877,FIND("/",A877,FIND("//",A877)+2),2000),A877))</f>
        <v/>
      </c>
      <c r="P877" s="22">
        <f>IF(OR(O877="",N877="",N877="none",N877="404"),"",IF(N877="410","Redirect gone "&amp;O877,"Redirect "&amp;N877&amp;" "&amp;O877&amp;" "&amp;M877))</f>
        <v/>
      </c>
      <c r="Q877" s="22" t="n"/>
      <c r="R877" s="22" t="n"/>
      <c r="S877" s="22" t="n"/>
      <c r="T877" s="4">
        <f>IF(A877="","",TRIM(IF(K877="","Needs decision; ","")&amp;IF(AND(K877="Accept suggestion",F877=""),"No suggestion to accept; ","")&amp;IF(AND(K877="Override",L877=""),"Override URL missing; ","")&amp;IF(AND(K877="Accept suggestion",N(G877)&lt;$G$2),"Below your threshold; ","")&amp;IF(AND(M877&lt;&gt;"",M877=A877,K877&lt;&gt;"No change (same URL)"),"Redirects to itself; ","")&amp;IF(AND(M877&lt;&gt;"",OR(M877="/",AND(LEFT(M877,4)="http",OR((LEN(M877)-LEN(SUBSTITUTE(M877,"/","")))=2,AND((LEN(M877)-LEN(SUBSTITUTE(M877,"/","")))=3,RIGHT(M877,1)="/"))))),"Home page redirect; ","")&amp;IF(N(R877)&gt;1,"Chain; ","")&amp;IF(S877="No","Destination not 200; ","")))</f>
        <v/>
      </c>
      <c r="U877" s="22" t="n"/>
      <c r="V877" s="22" t="n"/>
      <c r="W877" s="4" t="n"/>
    </row>
    <row r="878">
      <c r="A878" s="22" t="n"/>
      <c r="B878" s="22" t="n"/>
      <c r="C878" s="22" t="n"/>
      <c r="D878" s="22">
        <f>IF(A878="","",IF(OR(N(B878)&gt;=$C$2,N(C878)&gt;=$E$2),"High",IF(OR(N(B878)&gt;0,N(C878)&gt;0),"Medium","Low")))</f>
        <v/>
      </c>
      <c r="E878" s="22" t="n"/>
      <c r="F878" s="22" t="n"/>
      <c r="G878" s="22" t="n"/>
      <c r="H878" s="22" t="n"/>
      <c r="I878" s="22" t="n"/>
      <c r="J878" s="22" t="n"/>
      <c r="K878" s="22" t="n"/>
      <c r="L878" s="22" t="n"/>
      <c r="M878" s="22">
        <f>IF(K878="Override",L878,IF(K878="Accept suggestion",F878,IF(K878="No change (same URL)",A878,"")))</f>
        <v/>
      </c>
      <c r="N878" s="22">
        <f>IF(A878="","",IF(K878="410 Gone","410",IF(K878="404","404",IF(K878="No change (same URL)","none",IF(M878="","","301")))))</f>
        <v/>
      </c>
      <c r="O878" s="22">
        <f>IF(A878="","",IFERROR(MID(A878,FIND("/",A878,FIND("//",A878)+2),2000),A878))</f>
        <v/>
      </c>
      <c r="P878" s="22">
        <f>IF(OR(O878="",N878="",N878="none",N878="404"),"",IF(N878="410","Redirect gone "&amp;O878,"Redirect "&amp;N878&amp;" "&amp;O878&amp;" "&amp;M878))</f>
        <v/>
      </c>
      <c r="Q878" s="22" t="n"/>
      <c r="R878" s="22" t="n"/>
      <c r="S878" s="22" t="n"/>
      <c r="T878" s="4">
        <f>IF(A878="","",TRIM(IF(K878="","Needs decision; ","")&amp;IF(AND(K878="Accept suggestion",F878=""),"No suggestion to accept; ","")&amp;IF(AND(K878="Override",L878=""),"Override URL missing; ","")&amp;IF(AND(K878="Accept suggestion",N(G878)&lt;$G$2),"Below your threshold; ","")&amp;IF(AND(M878&lt;&gt;"",M878=A878,K878&lt;&gt;"No change (same URL)"),"Redirects to itself; ","")&amp;IF(AND(M878&lt;&gt;"",OR(M878="/",AND(LEFT(M878,4)="http",OR((LEN(M878)-LEN(SUBSTITUTE(M878,"/","")))=2,AND((LEN(M878)-LEN(SUBSTITUTE(M878,"/","")))=3,RIGHT(M878,1)="/"))))),"Home page redirect; ","")&amp;IF(N(R878)&gt;1,"Chain; ","")&amp;IF(S878="No","Destination not 200; ","")))</f>
        <v/>
      </c>
      <c r="U878" s="22" t="n"/>
      <c r="V878" s="22" t="n"/>
      <c r="W878" s="4" t="n"/>
    </row>
    <row r="879">
      <c r="A879" s="22" t="n"/>
      <c r="B879" s="22" t="n"/>
      <c r="C879" s="22" t="n"/>
      <c r="D879" s="22">
        <f>IF(A879="","",IF(OR(N(B879)&gt;=$C$2,N(C879)&gt;=$E$2),"High",IF(OR(N(B879)&gt;0,N(C879)&gt;0),"Medium","Low")))</f>
        <v/>
      </c>
      <c r="E879" s="22" t="n"/>
      <c r="F879" s="22" t="n"/>
      <c r="G879" s="22" t="n"/>
      <c r="H879" s="22" t="n"/>
      <c r="I879" s="22" t="n"/>
      <c r="J879" s="22" t="n"/>
      <c r="K879" s="22" t="n"/>
      <c r="L879" s="22" t="n"/>
      <c r="M879" s="22">
        <f>IF(K879="Override",L879,IF(K879="Accept suggestion",F879,IF(K879="No change (same URL)",A879,"")))</f>
        <v/>
      </c>
      <c r="N879" s="22">
        <f>IF(A879="","",IF(K879="410 Gone","410",IF(K879="404","404",IF(K879="No change (same URL)","none",IF(M879="","","301")))))</f>
        <v/>
      </c>
      <c r="O879" s="22">
        <f>IF(A879="","",IFERROR(MID(A879,FIND("/",A879,FIND("//",A879)+2),2000),A879))</f>
        <v/>
      </c>
      <c r="P879" s="22">
        <f>IF(OR(O879="",N879="",N879="none",N879="404"),"",IF(N879="410","Redirect gone "&amp;O879,"Redirect "&amp;N879&amp;" "&amp;O879&amp;" "&amp;M879))</f>
        <v/>
      </c>
      <c r="Q879" s="22" t="n"/>
      <c r="R879" s="22" t="n"/>
      <c r="S879" s="22" t="n"/>
      <c r="T879" s="4">
        <f>IF(A879="","",TRIM(IF(K879="","Needs decision; ","")&amp;IF(AND(K879="Accept suggestion",F879=""),"No suggestion to accept; ","")&amp;IF(AND(K879="Override",L879=""),"Override URL missing; ","")&amp;IF(AND(K879="Accept suggestion",N(G879)&lt;$G$2),"Below your threshold; ","")&amp;IF(AND(M879&lt;&gt;"",M879=A879,K879&lt;&gt;"No change (same URL)"),"Redirects to itself; ","")&amp;IF(AND(M879&lt;&gt;"",OR(M879="/",AND(LEFT(M879,4)="http",OR((LEN(M879)-LEN(SUBSTITUTE(M879,"/","")))=2,AND((LEN(M879)-LEN(SUBSTITUTE(M879,"/","")))=3,RIGHT(M879,1)="/"))))),"Home page redirect; ","")&amp;IF(N(R879)&gt;1,"Chain; ","")&amp;IF(S879="No","Destination not 200; ","")))</f>
        <v/>
      </c>
      <c r="U879" s="22" t="n"/>
      <c r="V879" s="22" t="n"/>
      <c r="W879" s="4" t="n"/>
    </row>
    <row r="880">
      <c r="A880" s="22" t="n"/>
      <c r="B880" s="22" t="n"/>
      <c r="C880" s="22" t="n"/>
      <c r="D880" s="22">
        <f>IF(A880="","",IF(OR(N(B880)&gt;=$C$2,N(C880)&gt;=$E$2),"High",IF(OR(N(B880)&gt;0,N(C880)&gt;0),"Medium","Low")))</f>
        <v/>
      </c>
      <c r="E880" s="22" t="n"/>
      <c r="F880" s="22" t="n"/>
      <c r="G880" s="22" t="n"/>
      <c r="H880" s="22" t="n"/>
      <c r="I880" s="22" t="n"/>
      <c r="J880" s="22" t="n"/>
      <c r="K880" s="22" t="n"/>
      <c r="L880" s="22" t="n"/>
      <c r="M880" s="22">
        <f>IF(K880="Override",L880,IF(K880="Accept suggestion",F880,IF(K880="No change (same URL)",A880,"")))</f>
        <v/>
      </c>
      <c r="N880" s="22">
        <f>IF(A880="","",IF(K880="410 Gone","410",IF(K880="404","404",IF(K880="No change (same URL)","none",IF(M880="","","301")))))</f>
        <v/>
      </c>
      <c r="O880" s="22">
        <f>IF(A880="","",IFERROR(MID(A880,FIND("/",A880,FIND("//",A880)+2),2000),A880))</f>
        <v/>
      </c>
      <c r="P880" s="22">
        <f>IF(OR(O880="",N880="",N880="none",N880="404"),"",IF(N880="410","Redirect gone "&amp;O880,"Redirect "&amp;N880&amp;" "&amp;O880&amp;" "&amp;M880))</f>
        <v/>
      </c>
      <c r="Q880" s="22" t="n"/>
      <c r="R880" s="22" t="n"/>
      <c r="S880" s="22" t="n"/>
      <c r="T880" s="4">
        <f>IF(A880="","",TRIM(IF(K880="","Needs decision; ","")&amp;IF(AND(K880="Accept suggestion",F880=""),"No suggestion to accept; ","")&amp;IF(AND(K880="Override",L880=""),"Override URL missing; ","")&amp;IF(AND(K880="Accept suggestion",N(G880)&lt;$G$2),"Below your threshold; ","")&amp;IF(AND(M880&lt;&gt;"",M880=A880,K880&lt;&gt;"No change (same URL)"),"Redirects to itself; ","")&amp;IF(AND(M880&lt;&gt;"",OR(M880="/",AND(LEFT(M880,4)="http",OR((LEN(M880)-LEN(SUBSTITUTE(M880,"/","")))=2,AND((LEN(M880)-LEN(SUBSTITUTE(M880,"/","")))=3,RIGHT(M880,1)="/"))))),"Home page redirect; ","")&amp;IF(N(R880)&gt;1,"Chain; ","")&amp;IF(S880="No","Destination not 200; ","")))</f>
        <v/>
      </c>
      <c r="U880" s="22" t="n"/>
      <c r="V880" s="22" t="n"/>
      <c r="W880" s="4" t="n"/>
    </row>
    <row r="881">
      <c r="A881" s="22" t="n"/>
      <c r="B881" s="22" t="n"/>
      <c r="C881" s="22" t="n"/>
      <c r="D881" s="22">
        <f>IF(A881="","",IF(OR(N(B881)&gt;=$C$2,N(C881)&gt;=$E$2),"High",IF(OR(N(B881)&gt;0,N(C881)&gt;0),"Medium","Low")))</f>
        <v/>
      </c>
      <c r="E881" s="22" t="n"/>
      <c r="F881" s="22" t="n"/>
      <c r="G881" s="22" t="n"/>
      <c r="H881" s="22" t="n"/>
      <c r="I881" s="22" t="n"/>
      <c r="J881" s="22" t="n"/>
      <c r="K881" s="22" t="n"/>
      <c r="L881" s="22" t="n"/>
      <c r="M881" s="22">
        <f>IF(K881="Override",L881,IF(K881="Accept suggestion",F881,IF(K881="No change (same URL)",A881,"")))</f>
        <v/>
      </c>
      <c r="N881" s="22">
        <f>IF(A881="","",IF(K881="410 Gone","410",IF(K881="404","404",IF(K881="No change (same URL)","none",IF(M881="","","301")))))</f>
        <v/>
      </c>
      <c r="O881" s="22">
        <f>IF(A881="","",IFERROR(MID(A881,FIND("/",A881,FIND("//",A881)+2),2000),A881))</f>
        <v/>
      </c>
      <c r="P881" s="22">
        <f>IF(OR(O881="",N881="",N881="none",N881="404"),"",IF(N881="410","Redirect gone "&amp;O881,"Redirect "&amp;N881&amp;" "&amp;O881&amp;" "&amp;M881))</f>
        <v/>
      </c>
      <c r="Q881" s="22" t="n"/>
      <c r="R881" s="22" t="n"/>
      <c r="S881" s="22" t="n"/>
      <c r="T881" s="4">
        <f>IF(A881="","",TRIM(IF(K881="","Needs decision; ","")&amp;IF(AND(K881="Accept suggestion",F881=""),"No suggestion to accept; ","")&amp;IF(AND(K881="Override",L881=""),"Override URL missing; ","")&amp;IF(AND(K881="Accept suggestion",N(G881)&lt;$G$2),"Below your threshold; ","")&amp;IF(AND(M881&lt;&gt;"",M881=A881,K881&lt;&gt;"No change (same URL)"),"Redirects to itself; ","")&amp;IF(AND(M881&lt;&gt;"",OR(M881="/",AND(LEFT(M881,4)="http",OR((LEN(M881)-LEN(SUBSTITUTE(M881,"/","")))=2,AND((LEN(M881)-LEN(SUBSTITUTE(M881,"/","")))=3,RIGHT(M881,1)="/"))))),"Home page redirect; ","")&amp;IF(N(R881)&gt;1,"Chain; ","")&amp;IF(S881="No","Destination not 200; ","")))</f>
        <v/>
      </c>
      <c r="U881" s="22" t="n"/>
      <c r="V881" s="22" t="n"/>
      <c r="W881" s="4" t="n"/>
    </row>
    <row r="882">
      <c r="A882" s="22" t="n"/>
      <c r="B882" s="22" t="n"/>
      <c r="C882" s="22" t="n"/>
      <c r="D882" s="22">
        <f>IF(A882="","",IF(OR(N(B882)&gt;=$C$2,N(C882)&gt;=$E$2),"High",IF(OR(N(B882)&gt;0,N(C882)&gt;0),"Medium","Low")))</f>
        <v/>
      </c>
      <c r="E882" s="22" t="n"/>
      <c r="F882" s="22" t="n"/>
      <c r="G882" s="22" t="n"/>
      <c r="H882" s="22" t="n"/>
      <c r="I882" s="22" t="n"/>
      <c r="J882" s="22" t="n"/>
      <c r="K882" s="22" t="n"/>
      <c r="L882" s="22" t="n"/>
      <c r="M882" s="22">
        <f>IF(K882="Override",L882,IF(K882="Accept suggestion",F882,IF(K882="No change (same URL)",A882,"")))</f>
        <v/>
      </c>
      <c r="N882" s="22">
        <f>IF(A882="","",IF(K882="410 Gone","410",IF(K882="404","404",IF(K882="No change (same URL)","none",IF(M882="","","301")))))</f>
        <v/>
      </c>
      <c r="O882" s="22">
        <f>IF(A882="","",IFERROR(MID(A882,FIND("/",A882,FIND("//",A882)+2),2000),A882))</f>
        <v/>
      </c>
      <c r="P882" s="22">
        <f>IF(OR(O882="",N882="",N882="none",N882="404"),"",IF(N882="410","Redirect gone "&amp;O882,"Redirect "&amp;N882&amp;" "&amp;O882&amp;" "&amp;M882))</f>
        <v/>
      </c>
      <c r="Q882" s="22" t="n"/>
      <c r="R882" s="22" t="n"/>
      <c r="S882" s="22" t="n"/>
      <c r="T882" s="4">
        <f>IF(A882="","",TRIM(IF(K882="","Needs decision; ","")&amp;IF(AND(K882="Accept suggestion",F882=""),"No suggestion to accept; ","")&amp;IF(AND(K882="Override",L882=""),"Override URL missing; ","")&amp;IF(AND(K882="Accept suggestion",N(G882)&lt;$G$2),"Below your threshold; ","")&amp;IF(AND(M882&lt;&gt;"",M882=A882,K882&lt;&gt;"No change (same URL)"),"Redirects to itself; ","")&amp;IF(AND(M882&lt;&gt;"",OR(M882="/",AND(LEFT(M882,4)="http",OR((LEN(M882)-LEN(SUBSTITUTE(M882,"/","")))=2,AND((LEN(M882)-LEN(SUBSTITUTE(M882,"/","")))=3,RIGHT(M882,1)="/"))))),"Home page redirect; ","")&amp;IF(N(R882)&gt;1,"Chain; ","")&amp;IF(S882="No","Destination not 200; ","")))</f>
        <v/>
      </c>
      <c r="U882" s="22" t="n"/>
      <c r="V882" s="22" t="n"/>
      <c r="W882" s="4" t="n"/>
    </row>
    <row r="883">
      <c r="A883" s="22" t="n"/>
      <c r="B883" s="22" t="n"/>
      <c r="C883" s="22" t="n"/>
      <c r="D883" s="22">
        <f>IF(A883="","",IF(OR(N(B883)&gt;=$C$2,N(C883)&gt;=$E$2),"High",IF(OR(N(B883)&gt;0,N(C883)&gt;0),"Medium","Low")))</f>
        <v/>
      </c>
      <c r="E883" s="22" t="n"/>
      <c r="F883" s="22" t="n"/>
      <c r="G883" s="22" t="n"/>
      <c r="H883" s="22" t="n"/>
      <c r="I883" s="22" t="n"/>
      <c r="J883" s="22" t="n"/>
      <c r="K883" s="22" t="n"/>
      <c r="L883" s="22" t="n"/>
      <c r="M883" s="22">
        <f>IF(K883="Override",L883,IF(K883="Accept suggestion",F883,IF(K883="No change (same URL)",A883,"")))</f>
        <v/>
      </c>
      <c r="N883" s="22">
        <f>IF(A883="","",IF(K883="410 Gone","410",IF(K883="404","404",IF(K883="No change (same URL)","none",IF(M883="","","301")))))</f>
        <v/>
      </c>
      <c r="O883" s="22">
        <f>IF(A883="","",IFERROR(MID(A883,FIND("/",A883,FIND("//",A883)+2),2000),A883))</f>
        <v/>
      </c>
      <c r="P883" s="22">
        <f>IF(OR(O883="",N883="",N883="none",N883="404"),"",IF(N883="410","Redirect gone "&amp;O883,"Redirect "&amp;N883&amp;" "&amp;O883&amp;" "&amp;M883))</f>
        <v/>
      </c>
      <c r="Q883" s="22" t="n"/>
      <c r="R883" s="22" t="n"/>
      <c r="S883" s="22" t="n"/>
      <c r="T883" s="4">
        <f>IF(A883="","",TRIM(IF(K883="","Needs decision; ","")&amp;IF(AND(K883="Accept suggestion",F883=""),"No suggestion to accept; ","")&amp;IF(AND(K883="Override",L883=""),"Override URL missing; ","")&amp;IF(AND(K883="Accept suggestion",N(G883)&lt;$G$2),"Below your threshold; ","")&amp;IF(AND(M883&lt;&gt;"",M883=A883,K883&lt;&gt;"No change (same URL)"),"Redirects to itself; ","")&amp;IF(AND(M883&lt;&gt;"",OR(M883="/",AND(LEFT(M883,4)="http",OR((LEN(M883)-LEN(SUBSTITUTE(M883,"/","")))=2,AND((LEN(M883)-LEN(SUBSTITUTE(M883,"/","")))=3,RIGHT(M883,1)="/"))))),"Home page redirect; ","")&amp;IF(N(R883)&gt;1,"Chain; ","")&amp;IF(S883="No","Destination not 200; ","")))</f>
        <v/>
      </c>
      <c r="U883" s="22" t="n"/>
      <c r="V883" s="22" t="n"/>
      <c r="W883" s="4" t="n"/>
    </row>
    <row r="884">
      <c r="A884" s="22" t="n"/>
      <c r="B884" s="22" t="n"/>
      <c r="C884" s="22" t="n"/>
      <c r="D884" s="22">
        <f>IF(A884="","",IF(OR(N(B884)&gt;=$C$2,N(C884)&gt;=$E$2),"High",IF(OR(N(B884)&gt;0,N(C884)&gt;0),"Medium","Low")))</f>
        <v/>
      </c>
      <c r="E884" s="22" t="n"/>
      <c r="F884" s="22" t="n"/>
      <c r="G884" s="22" t="n"/>
      <c r="H884" s="22" t="n"/>
      <c r="I884" s="22" t="n"/>
      <c r="J884" s="22" t="n"/>
      <c r="K884" s="22" t="n"/>
      <c r="L884" s="22" t="n"/>
      <c r="M884" s="22">
        <f>IF(K884="Override",L884,IF(K884="Accept suggestion",F884,IF(K884="No change (same URL)",A884,"")))</f>
        <v/>
      </c>
      <c r="N884" s="22">
        <f>IF(A884="","",IF(K884="410 Gone","410",IF(K884="404","404",IF(K884="No change (same URL)","none",IF(M884="","","301")))))</f>
        <v/>
      </c>
      <c r="O884" s="22">
        <f>IF(A884="","",IFERROR(MID(A884,FIND("/",A884,FIND("//",A884)+2),2000),A884))</f>
        <v/>
      </c>
      <c r="P884" s="22">
        <f>IF(OR(O884="",N884="",N884="none",N884="404"),"",IF(N884="410","Redirect gone "&amp;O884,"Redirect "&amp;N884&amp;" "&amp;O884&amp;" "&amp;M884))</f>
        <v/>
      </c>
      <c r="Q884" s="22" t="n"/>
      <c r="R884" s="22" t="n"/>
      <c r="S884" s="22" t="n"/>
      <c r="T884" s="4">
        <f>IF(A884="","",TRIM(IF(K884="","Needs decision; ","")&amp;IF(AND(K884="Accept suggestion",F884=""),"No suggestion to accept; ","")&amp;IF(AND(K884="Override",L884=""),"Override URL missing; ","")&amp;IF(AND(K884="Accept suggestion",N(G884)&lt;$G$2),"Below your threshold; ","")&amp;IF(AND(M884&lt;&gt;"",M884=A884,K884&lt;&gt;"No change (same URL)"),"Redirects to itself; ","")&amp;IF(AND(M884&lt;&gt;"",OR(M884="/",AND(LEFT(M884,4)="http",OR((LEN(M884)-LEN(SUBSTITUTE(M884,"/","")))=2,AND((LEN(M884)-LEN(SUBSTITUTE(M884,"/","")))=3,RIGHT(M884,1)="/"))))),"Home page redirect; ","")&amp;IF(N(R884)&gt;1,"Chain; ","")&amp;IF(S884="No","Destination not 200; ","")))</f>
        <v/>
      </c>
      <c r="U884" s="22" t="n"/>
      <c r="V884" s="22" t="n"/>
      <c r="W884" s="4" t="n"/>
    </row>
    <row r="885">
      <c r="A885" s="22" t="n"/>
      <c r="B885" s="22" t="n"/>
      <c r="C885" s="22" t="n"/>
      <c r="D885" s="22">
        <f>IF(A885="","",IF(OR(N(B885)&gt;=$C$2,N(C885)&gt;=$E$2),"High",IF(OR(N(B885)&gt;0,N(C885)&gt;0),"Medium","Low")))</f>
        <v/>
      </c>
      <c r="E885" s="22" t="n"/>
      <c r="F885" s="22" t="n"/>
      <c r="G885" s="22" t="n"/>
      <c r="H885" s="22" t="n"/>
      <c r="I885" s="22" t="n"/>
      <c r="J885" s="22" t="n"/>
      <c r="K885" s="22" t="n"/>
      <c r="L885" s="22" t="n"/>
      <c r="M885" s="22">
        <f>IF(K885="Override",L885,IF(K885="Accept suggestion",F885,IF(K885="No change (same URL)",A885,"")))</f>
        <v/>
      </c>
      <c r="N885" s="22">
        <f>IF(A885="","",IF(K885="410 Gone","410",IF(K885="404","404",IF(K885="No change (same URL)","none",IF(M885="","","301")))))</f>
        <v/>
      </c>
      <c r="O885" s="22">
        <f>IF(A885="","",IFERROR(MID(A885,FIND("/",A885,FIND("//",A885)+2),2000),A885))</f>
        <v/>
      </c>
      <c r="P885" s="22">
        <f>IF(OR(O885="",N885="",N885="none",N885="404"),"",IF(N885="410","Redirect gone "&amp;O885,"Redirect "&amp;N885&amp;" "&amp;O885&amp;" "&amp;M885))</f>
        <v/>
      </c>
      <c r="Q885" s="22" t="n"/>
      <c r="R885" s="22" t="n"/>
      <c r="S885" s="22" t="n"/>
      <c r="T885" s="4">
        <f>IF(A885="","",TRIM(IF(K885="","Needs decision; ","")&amp;IF(AND(K885="Accept suggestion",F885=""),"No suggestion to accept; ","")&amp;IF(AND(K885="Override",L885=""),"Override URL missing; ","")&amp;IF(AND(K885="Accept suggestion",N(G885)&lt;$G$2),"Below your threshold; ","")&amp;IF(AND(M885&lt;&gt;"",M885=A885,K885&lt;&gt;"No change (same URL)"),"Redirects to itself; ","")&amp;IF(AND(M885&lt;&gt;"",OR(M885="/",AND(LEFT(M885,4)="http",OR((LEN(M885)-LEN(SUBSTITUTE(M885,"/","")))=2,AND((LEN(M885)-LEN(SUBSTITUTE(M885,"/","")))=3,RIGHT(M885,1)="/"))))),"Home page redirect; ","")&amp;IF(N(R885)&gt;1,"Chain; ","")&amp;IF(S885="No","Destination not 200; ","")))</f>
        <v/>
      </c>
      <c r="U885" s="22" t="n"/>
      <c r="V885" s="22" t="n"/>
      <c r="W885" s="4" t="n"/>
    </row>
    <row r="886">
      <c r="A886" s="22" t="n"/>
      <c r="B886" s="22" t="n"/>
      <c r="C886" s="22" t="n"/>
      <c r="D886" s="22">
        <f>IF(A886="","",IF(OR(N(B886)&gt;=$C$2,N(C886)&gt;=$E$2),"High",IF(OR(N(B886)&gt;0,N(C886)&gt;0),"Medium","Low")))</f>
        <v/>
      </c>
      <c r="E886" s="22" t="n"/>
      <c r="F886" s="22" t="n"/>
      <c r="G886" s="22" t="n"/>
      <c r="H886" s="22" t="n"/>
      <c r="I886" s="22" t="n"/>
      <c r="J886" s="22" t="n"/>
      <c r="K886" s="22" t="n"/>
      <c r="L886" s="22" t="n"/>
      <c r="M886" s="22">
        <f>IF(K886="Override",L886,IF(K886="Accept suggestion",F886,IF(K886="No change (same URL)",A886,"")))</f>
        <v/>
      </c>
      <c r="N886" s="22">
        <f>IF(A886="","",IF(K886="410 Gone","410",IF(K886="404","404",IF(K886="No change (same URL)","none",IF(M886="","","301")))))</f>
        <v/>
      </c>
      <c r="O886" s="22">
        <f>IF(A886="","",IFERROR(MID(A886,FIND("/",A886,FIND("//",A886)+2),2000),A886))</f>
        <v/>
      </c>
      <c r="P886" s="22">
        <f>IF(OR(O886="",N886="",N886="none",N886="404"),"",IF(N886="410","Redirect gone "&amp;O886,"Redirect "&amp;N886&amp;" "&amp;O886&amp;" "&amp;M886))</f>
        <v/>
      </c>
      <c r="Q886" s="22" t="n"/>
      <c r="R886" s="22" t="n"/>
      <c r="S886" s="22" t="n"/>
      <c r="T886" s="4">
        <f>IF(A886="","",TRIM(IF(K886="","Needs decision; ","")&amp;IF(AND(K886="Accept suggestion",F886=""),"No suggestion to accept; ","")&amp;IF(AND(K886="Override",L886=""),"Override URL missing; ","")&amp;IF(AND(K886="Accept suggestion",N(G886)&lt;$G$2),"Below your threshold; ","")&amp;IF(AND(M886&lt;&gt;"",M886=A886,K886&lt;&gt;"No change (same URL)"),"Redirects to itself; ","")&amp;IF(AND(M886&lt;&gt;"",OR(M886="/",AND(LEFT(M886,4)="http",OR((LEN(M886)-LEN(SUBSTITUTE(M886,"/","")))=2,AND((LEN(M886)-LEN(SUBSTITUTE(M886,"/","")))=3,RIGHT(M886,1)="/"))))),"Home page redirect; ","")&amp;IF(N(R886)&gt;1,"Chain; ","")&amp;IF(S886="No","Destination not 200; ","")))</f>
        <v/>
      </c>
      <c r="U886" s="22" t="n"/>
      <c r="V886" s="22" t="n"/>
      <c r="W886" s="4" t="n"/>
    </row>
    <row r="887">
      <c r="A887" s="22" t="n"/>
      <c r="B887" s="22" t="n"/>
      <c r="C887" s="22" t="n"/>
      <c r="D887" s="22">
        <f>IF(A887="","",IF(OR(N(B887)&gt;=$C$2,N(C887)&gt;=$E$2),"High",IF(OR(N(B887)&gt;0,N(C887)&gt;0),"Medium","Low")))</f>
        <v/>
      </c>
      <c r="E887" s="22" t="n"/>
      <c r="F887" s="22" t="n"/>
      <c r="G887" s="22" t="n"/>
      <c r="H887" s="22" t="n"/>
      <c r="I887" s="22" t="n"/>
      <c r="J887" s="22" t="n"/>
      <c r="K887" s="22" t="n"/>
      <c r="L887" s="22" t="n"/>
      <c r="M887" s="22">
        <f>IF(K887="Override",L887,IF(K887="Accept suggestion",F887,IF(K887="No change (same URL)",A887,"")))</f>
        <v/>
      </c>
      <c r="N887" s="22">
        <f>IF(A887="","",IF(K887="410 Gone","410",IF(K887="404","404",IF(K887="No change (same URL)","none",IF(M887="","","301")))))</f>
        <v/>
      </c>
      <c r="O887" s="22">
        <f>IF(A887="","",IFERROR(MID(A887,FIND("/",A887,FIND("//",A887)+2),2000),A887))</f>
        <v/>
      </c>
      <c r="P887" s="22">
        <f>IF(OR(O887="",N887="",N887="none",N887="404"),"",IF(N887="410","Redirect gone "&amp;O887,"Redirect "&amp;N887&amp;" "&amp;O887&amp;" "&amp;M887))</f>
        <v/>
      </c>
      <c r="Q887" s="22" t="n"/>
      <c r="R887" s="22" t="n"/>
      <c r="S887" s="22" t="n"/>
      <c r="T887" s="4">
        <f>IF(A887="","",TRIM(IF(K887="","Needs decision; ","")&amp;IF(AND(K887="Accept suggestion",F887=""),"No suggestion to accept; ","")&amp;IF(AND(K887="Override",L887=""),"Override URL missing; ","")&amp;IF(AND(K887="Accept suggestion",N(G887)&lt;$G$2),"Below your threshold; ","")&amp;IF(AND(M887&lt;&gt;"",M887=A887,K887&lt;&gt;"No change (same URL)"),"Redirects to itself; ","")&amp;IF(AND(M887&lt;&gt;"",OR(M887="/",AND(LEFT(M887,4)="http",OR((LEN(M887)-LEN(SUBSTITUTE(M887,"/","")))=2,AND((LEN(M887)-LEN(SUBSTITUTE(M887,"/","")))=3,RIGHT(M887,1)="/"))))),"Home page redirect; ","")&amp;IF(N(R887)&gt;1,"Chain; ","")&amp;IF(S887="No","Destination not 200; ","")))</f>
        <v/>
      </c>
      <c r="U887" s="22" t="n"/>
      <c r="V887" s="22" t="n"/>
      <c r="W887" s="4" t="n"/>
    </row>
    <row r="888">
      <c r="A888" s="22" t="n"/>
      <c r="B888" s="22" t="n"/>
      <c r="C888" s="22" t="n"/>
      <c r="D888" s="22">
        <f>IF(A888="","",IF(OR(N(B888)&gt;=$C$2,N(C888)&gt;=$E$2),"High",IF(OR(N(B888)&gt;0,N(C888)&gt;0),"Medium","Low")))</f>
        <v/>
      </c>
      <c r="E888" s="22" t="n"/>
      <c r="F888" s="22" t="n"/>
      <c r="G888" s="22" t="n"/>
      <c r="H888" s="22" t="n"/>
      <c r="I888" s="22" t="n"/>
      <c r="J888" s="22" t="n"/>
      <c r="K888" s="22" t="n"/>
      <c r="L888" s="22" t="n"/>
      <c r="M888" s="22">
        <f>IF(K888="Override",L888,IF(K888="Accept suggestion",F888,IF(K888="No change (same URL)",A888,"")))</f>
        <v/>
      </c>
      <c r="N888" s="22">
        <f>IF(A888="","",IF(K888="410 Gone","410",IF(K888="404","404",IF(K888="No change (same URL)","none",IF(M888="","","301")))))</f>
        <v/>
      </c>
      <c r="O888" s="22">
        <f>IF(A888="","",IFERROR(MID(A888,FIND("/",A888,FIND("//",A888)+2),2000),A888))</f>
        <v/>
      </c>
      <c r="P888" s="22">
        <f>IF(OR(O888="",N888="",N888="none",N888="404"),"",IF(N888="410","Redirect gone "&amp;O888,"Redirect "&amp;N888&amp;" "&amp;O888&amp;" "&amp;M888))</f>
        <v/>
      </c>
      <c r="Q888" s="22" t="n"/>
      <c r="R888" s="22" t="n"/>
      <c r="S888" s="22" t="n"/>
      <c r="T888" s="4">
        <f>IF(A888="","",TRIM(IF(K888="","Needs decision; ","")&amp;IF(AND(K888="Accept suggestion",F888=""),"No suggestion to accept; ","")&amp;IF(AND(K888="Override",L888=""),"Override URL missing; ","")&amp;IF(AND(K888="Accept suggestion",N(G888)&lt;$G$2),"Below your threshold; ","")&amp;IF(AND(M888&lt;&gt;"",M888=A888,K888&lt;&gt;"No change (same URL)"),"Redirects to itself; ","")&amp;IF(AND(M888&lt;&gt;"",OR(M888="/",AND(LEFT(M888,4)="http",OR((LEN(M888)-LEN(SUBSTITUTE(M888,"/","")))=2,AND((LEN(M888)-LEN(SUBSTITUTE(M888,"/","")))=3,RIGHT(M888,1)="/"))))),"Home page redirect; ","")&amp;IF(N(R888)&gt;1,"Chain; ","")&amp;IF(S888="No","Destination not 200; ","")))</f>
        <v/>
      </c>
      <c r="U888" s="22" t="n"/>
      <c r="V888" s="22" t="n"/>
      <c r="W888" s="4" t="n"/>
    </row>
    <row r="889">
      <c r="A889" s="22" t="n"/>
      <c r="B889" s="22" t="n"/>
      <c r="C889" s="22" t="n"/>
      <c r="D889" s="22">
        <f>IF(A889="","",IF(OR(N(B889)&gt;=$C$2,N(C889)&gt;=$E$2),"High",IF(OR(N(B889)&gt;0,N(C889)&gt;0),"Medium","Low")))</f>
        <v/>
      </c>
      <c r="E889" s="22" t="n"/>
      <c r="F889" s="22" t="n"/>
      <c r="G889" s="22" t="n"/>
      <c r="H889" s="22" t="n"/>
      <c r="I889" s="22" t="n"/>
      <c r="J889" s="22" t="n"/>
      <c r="K889" s="22" t="n"/>
      <c r="L889" s="22" t="n"/>
      <c r="M889" s="22">
        <f>IF(K889="Override",L889,IF(K889="Accept suggestion",F889,IF(K889="No change (same URL)",A889,"")))</f>
        <v/>
      </c>
      <c r="N889" s="22">
        <f>IF(A889="","",IF(K889="410 Gone","410",IF(K889="404","404",IF(K889="No change (same URL)","none",IF(M889="","","301")))))</f>
        <v/>
      </c>
      <c r="O889" s="22">
        <f>IF(A889="","",IFERROR(MID(A889,FIND("/",A889,FIND("//",A889)+2),2000),A889))</f>
        <v/>
      </c>
      <c r="P889" s="22">
        <f>IF(OR(O889="",N889="",N889="none",N889="404"),"",IF(N889="410","Redirect gone "&amp;O889,"Redirect "&amp;N889&amp;" "&amp;O889&amp;" "&amp;M889))</f>
        <v/>
      </c>
      <c r="Q889" s="22" t="n"/>
      <c r="R889" s="22" t="n"/>
      <c r="S889" s="22" t="n"/>
      <c r="T889" s="4">
        <f>IF(A889="","",TRIM(IF(K889="","Needs decision; ","")&amp;IF(AND(K889="Accept suggestion",F889=""),"No suggestion to accept; ","")&amp;IF(AND(K889="Override",L889=""),"Override URL missing; ","")&amp;IF(AND(K889="Accept suggestion",N(G889)&lt;$G$2),"Below your threshold; ","")&amp;IF(AND(M889&lt;&gt;"",M889=A889,K889&lt;&gt;"No change (same URL)"),"Redirects to itself; ","")&amp;IF(AND(M889&lt;&gt;"",OR(M889="/",AND(LEFT(M889,4)="http",OR((LEN(M889)-LEN(SUBSTITUTE(M889,"/","")))=2,AND((LEN(M889)-LEN(SUBSTITUTE(M889,"/","")))=3,RIGHT(M889,1)="/"))))),"Home page redirect; ","")&amp;IF(N(R889)&gt;1,"Chain; ","")&amp;IF(S889="No","Destination not 200; ","")))</f>
        <v/>
      </c>
      <c r="U889" s="22" t="n"/>
      <c r="V889" s="22" t="n"/>
      <c r="W889" s="4" t="n"/>
    </row>
    <row r="890">
      <c r="A890" s="22" t="n"/>
      <c r="B890" s="22" t="n"/>
      <c r="C890" s="22" t="n"/>
      <c r="D890" s="22">
        <f>IF(A890="","",IF(OR(N(B890)&gt;=$C$2,N(C890)&gt;=$E$2),"High",IF(OR(N(B890)&gt;0,N(C890)&gt;0),"Medium","Low")))</f>
        <v/>
      </c>
      <c r="E890" s="22" t="n"/>
      <c r="F890" s="22" t="n"/>
      <c r="G890" s="22" t="n"/>
      <c r="H890" s="22" t="n"/>
      <c r="I890" s="22" t="n"/>
      <c r="J890" s="22" t="n"/>
      <c r="K890" s="22" t="n"/>
      <c r="L890" s="22" t="n"/>
      <c r="M890" s="22">
        <f>IF(K890="Override",L890,IF(K890="Accept suggestion",F890,IF(K890="No change (same URL)",A890,"")))</f>
        <v/>
      </c>
      <c r="N890" s="22">
        <f>IF(A890="","",IF(K890="410 Gone","410",IF(K890="404","404",IF(K890="No change (same URL)","none",IF(M890="","","301")))))</f>
        <v/>
      </c>
      <c r="O890" s="22">
        <f>IF(A890="","",IFERROR(MID(A890,FIND("/",A890,FIND("//",A890)+2),2000),A890))</f>
        <v/>
      </c>
      <c r="P890" s="22">
        <f>IF(OR(O890="",N890="",N890="none",N890="404"),"",IF(N890="410","Redirect gone "&amp;O890,"Redirect "&amp;N890&amp;" "&amp;O890&amp;" "&amp;M890))</f>
        <v/>
      </c>
      <c r="Q890" s="22" t="n"/>
      <c r="R890" s="22" t="n"/>
      <c r="S890" s="22" t="n"/>
      <c r="T890" s="4">
        <f>IF(A890="","",TRIM(IF(K890="","Needs decision; ","")&amp;IF(AND(K890="Accept suggestion",F890=""),"No suggestion to accept; ","")&amp;IF(AND(K890="Override",L890=""),"Override URL missing; ","")&amp;IF(AND(K890="Accept suggestion",N(G890)&lt;$G$2),"Below your threshold; ","")&amp;IF(AND(M890&lt;&gt;"",M890=A890,K890&lt;&gt;"No change (same URL)"),"Redirects to itself; ","")&amp;IF(AND(M890&lt;&gt;"",OR(M890="/",AND(LEFT(M890,4)="http",OR((LEN(M890)-LEN(SUBSTITUTE(M890,"/","")))=2,AND((LEN(M890)-LEN(SUBSTITUTE(M890,"/","")))=3,RIGHT(M890,1)="/"))))),"Home page redirect; ","")&amp;IF(N(R890)&gt;1,"Chain; ","")&amp;IF(S890="No","Destination not 200; ","")))</f>
        <v/>
      </c>
      <c r="U890" s="22" t="n"/>
      <c r="V890" s="22" t="n"/>
      <c r="W890" s="4" t="n"/>
    </row>
    <row r="891">
      <c r="A891" s="22" t="n"/>
      <c r="B891" s="22" t="n"/>
      <c r="C891" s="22" t="n"/>
      <c r="D891" s="22">
        <f>IF(A891="","",IF(OR(N(B891)&gt;=$C$2,N(C891)&gt;=$E$2),"High",IF(OR(N(B891)&gt;0,N(C891)&gt;0),"Medium","Low")))</f>
        <v/>
      </c>
      <c r="E891" s="22" t="n"/>
      <c r="F891" s="22" t="n"/>
      <c r="G891" s="22" t="n"/>
      <c r="H891" s="22" t="n"/>
      <c r="I891" s="22" t="n"/>
      <c r="J891" s="22" t="n"/>
      <c r="K891" s="22" t="n"/>
      <c r="L891" s="22" t="n"/>
      <c r="M891" s="22">
        <f>IF(K891="Override",L891,IF(K891="Accept suggestion",F891,IF(K891="No change (same URL)",A891,"")))</f>
        <v/>
      </c>
      <c r="N891" s="22">
        <f>IF(A891="","",IF(K891="410 Gone","410",IF(K891="404","404",IF(K891="No change (same URL)","none",IF(M891="","","301")))))</f>
        <v/>
      </c>
      <c r="O891" s="22">
        <f>IF(A891="","",IFERROR(MID(A891,FIND("/",A891,FIND("//",A891)+2),2000),A891))</f>
        <v/>
      </c>
      <c r="P891" s="22">
        <f>IF(OR(O891="",N891="",N891="none",N891="404"),"",IF(N891="410","Redirect gone "&amp;O891,"Redirect "&amp;N891&amp;" "&amp;O891&amp;" "&amp;M891))</f>
        <v/>
      </c>
      <c r="Q891" s="22" t="n"/>
      <c r="R891" s="22" t="n"/>
      <c r="S891" s="22" t="n"/>
      <c r="T891" s="4">
        <f>IF(A891="","",TRIM(IF(K891="","Needs decision; ","")&amp;IF(AND(K891="Accept suggestion",F891=""),"No suggestion to accept; ","")&amp;IF(AND(K891="Override",L891=""),"Override URL missing; ","")&amp;IF(AND(K891="Accept suggestion",N(G891)&lt;$G$2),"Below your threshold; ","")&amp;IF(AND(M891&lt;&gt;"",M891=A891,K891&lt;&gt;"No change (same URL)"),"Redirects to itself; ","")&amp;IF(AND(M891&lt;&gt;"",OR(M891="/",AND(LEFT(M891,4)="http",OR((LEN(M891)-LEN(SUBSTITUTE(M891,"/","")))=2,AND((LEN(M891)-LEN(SUBSTITUTE(M891,"/","")))=3,RIGHT(M891,1)="/"))))),"Home page redirect; ","")&amp;IF(N(R891)&gt;1,"Chain; ","")&amp;IF(S891="No","Destination not 200; ","")))</f>
        <v/>
      </c>
      <c r="U891" s="22" t="n"/>
      <c r="V891" s="22" t="n"/>
      <c r="W891" s="4" t="n"/>
    </row>
    <row r="892">
      <c r="A892" s="22" t="n"/>
      <c r="B892" s="22" t="n"/>
      <c r="C892" s="22" t="n"/>
      <c r="D892" s="22">
        <f>IF(A892="","",IF(OR(N(B892)&gt;=$C$2,N(C892)&gt;=$E$2),"High",IF(OR(N(B892)&gt;0,N(C892)&gt;0),"Medium","Low")))</f>
        <v/>
      </c>
      <c r="E892" s="22" t="n"/>
      <c r="F892" s="22" t="n"/>
      <c r="G892" s="22" t="n"/>
      <c r="H892" s="22" t="n"/>
      <c r="I892" s="22" t="n"/>
      <c r="J892" s="22" t="n"/>
      <c r="K892" s="22" t="n"/>
      <c r="L892" s="22" t="n"/>
      <c r="M892" s="22">
        <f>IF(K892="Override",L892,IF(K892="Accept suggestion",F892,IF(K892="No change (same URL)",A892,"")))</f>
        <v/>
      </c>
      <c r="N892" s="22">
        <f>IF(A892="","",IF(K892="410 Gone","410",IF(K892="404","404",IF(K892="No change (same URL)","none",IF(M892="","","301")))))</f>
        <v/>
      </c>
      <c r="O892" s="22">
        <f>IF(A892="","",IFERROR(MID(A892,FIND("/",A892,FIND("//",A892)+2),2000),A892))</f>
        <v/>
      </c>
      <c r="P892" s="22">
        <f>IF(OR(O892="",N892="",N892="none",N892="404"),"",IF(N892="410","Redirect gone "&amp;O892,"Redirect "&amp;N892&amp;" "&amp;O892&amp;" "&amp;M892))</f>
        <v/>
      </c>
      <c r="Q892" s="22" t="n"/>
      <c r="R892" s="22" t="n"/>
      <c r="S892" s="22" t="n"/>
      <c r="T892" s="4">
        <f>IF(A892="","",TRIM(IF(K892="","Needs decision; ","")&amp;IF(AND(K892="Accept suggestion",F892=""),"No suggestion to accept; ","")&amp;IF(AND(K892="Override",L892=""),"Override URL missing; ","")&amp;IF(AND(K892="Accept suggestion",N(G892)&lt;$G$2),"Below your threshold; ","")&amp;IF(AND(M892&lt;&gt;"",M892=A892,K892&lt;&gt;"No change (same URL)"),"Redirects to itself; ","")&amp;IF(AND(M892&lt;&gt;"",OR(M892="/",AND(LEFT(M892,4)="http",OR((LEN(M892)-LEN(SUBSTITUTE(M892,"/","")))=2,AND((LEN(M892)-LEN(SUBSTITUTE(M892,"/","")))=3,RIGHT(M892,1)="/"))))),"Home page redirect; ","")&amp;IF(N(R892)&gt;1,"Chain; ","")&amp;IF(S892="No","Destination not 200; ","")))</f>
        <v/>
      </c>
      <c r="U892" s="22" t="n"/>
      <c r="V892" s="22" t="n"/>
      <c r="W892" s="4" t="n"/>
    </row>
    <row r="893">
      <c r="A893" s="22" t="n"/>
      <c r="B893" s="22" t="n"/>
      <c r="C893" s="22" t="n"/>
      <c r="D893" s="22">
        <f>IF(A893="","",IF(OR(N(B893)&gt;=$C$2,N(C893)&gt;=$E$2),"High",IF(OR(N(B893)&gt;0,N(C893)&gt;0),"Medium","Low")))</f>
        <v/>
      </c>
      <c r="E893" s="22" t="n"/>
      <c r="F893" s="22" t="n"/>
      <c r="G893" s="22" t="n"/>
      <c r="H893" s="22" t="n"/>
      <c r="I893" s="22" t="n"/>
      <c r="J893" s="22" t="n"/>
      <c r="K893" s="22" t="n"/>
      <c r="L893" s="22" t="n"/>
      <c r="M893" s="22">
        <f>IF(K893="Override",L893,IF(K893="Accept suggestion",F893,IF(K893="No change (same URL)",A893,"")))</f>
        <v/>
      </c>
      <c r="N893" s="22">
        <f>IF(A893="","",IF(K893="410 Gone","410",IF(K893="404","404",IF(K893="No change (same URL)","none",IF(M893="","","301")))))</f>
        <v/>
      </c>
      <c r="O893" s="22">
        <f>IF(A893="","",IFERROR(MID(A893,FIND("/",A893,FIND("//",A893)+2),2000),A893))</f>
        <v/>
      </c>
      <c r="P893" s="22">
        <f>IF(OR(O893="",N893="",N893="none",N893="404"),"",IF(N893="410","Redirect gone "&amp;O893,"Redirect "&amp;N893&amp;" "&amp;O893&amp;" "&amp;M893))</f>
        <v/>
      </c>
      <c r="Q893" s="22" t="n"/>
      <c r="R893" s="22" t="n"/>
      <c r="S893" s="22" t="n"/>
      <c r="T893" s="4">
        <f>IF(A893="","",TRIM(IF(K893="","Needs decision; ","")&amp;IF(AND(K893="Accept suggestion",F893=""),"No suggestion to accept; ","")&amp;IF(AND(K893="Override",L893=""),"Override URL missing; ","")&amp;IF(AND(K893="Accept suggestion",N(G893)&lt;$G$2),"Below your threshold; ","")&amp;IF(AND(M893&lt;&gt;"",M893=A893,K893&lt;&gt;"No change (same URL)"),"Redirects to itself; ","")&amp;IF(AND(M893&lt;&gt;"",OR(M893="/",AND(LEFT(M893,4)="http",OR((LEN(M893)-LEN(SUBSTITUTE(M893,"/","")))=2,AND((LEN(M893)-LEN(SUBSTITUTE(M893,"/","")))=3,RIGHT(M893,1)="/"))))),"Home page redirect; ","")&amp;IF(N(R893)&gt;1,"Chain; ","")&amp;IF(S893="No","Destination not 200; ","")))</f>
        <v/>
      </c>
      <c r="U893" s="22" t="n"/>
      <c r="V893" s="22" t="n"/>
      <c r="W893" s="4" t="n"/>
    </row>
    <row r="894">
      <c r="A894" s="22" t="n"/>
      <c r="B894" s="22" t="n"/>
      <c r="C894" s="22" t="n"/>
      <c r="D894" s="22">
        <f>IF(A894="","",IF(OR(N(B894)&gt;=$C$2,N(C894)&gt;=$E$2),"High",IF(OR(N(B894)&gt;0,N(C894)&gt;0),"Medium","Low")))</f>
        <v/>
      </c>
      <c r="E894" s="22" t="n"/>
      <c r="F894" s="22" t="n"/>
      <c r="G894" s="22" t="n"/>
      <c r="H894" s="22" t="n"/>
      <c r="I894" s="22" t="n"/>
      <c r="J894" s="22" t="n"/>
      <c r="K894" s="22" t="n"/>
      <c r="L894" s="22" t="n"/>
      <c r="M894" s="22">
        <f>IF(K894="Override",L894,IF(K894="Accept suggestion",F894,IF(K894="No change (same URL)",A894,"")))</f>
        <v/>
      </c>
      <c r="N894" s="22">
        <f>IF(A894="","",IF(K894="410 Gone","410",IF(K894="404","404",IF(K894="No change (same URL)","none",IF(M894="","","301")))))</f>
        <v/>
      </c>
      <c r="O894" s="22">
        <f>IF(A894="","",IFERROR(MID(A894,FIND("/",A894,FIND("//",A894)+2),2000),A894))</f>
        <v/>
      </c>
      <c r="P894" s="22">
        <f>IF(OR(O894="",N894="",N894="none",N894="404"),"",IF(N894="410","Redirect gone "&amp;O894,"Redirect "&amp;N894&amp;" "&amp;O894&amp;" "&amp;M894))</f>
        <v/>
      </c>
      <c r="Q894" s="22" t="n"/>
      <c r="R894" s="22" t="n"/>
      <c r="S894" s="22" t="n"/>
      <c r="T894" s="4">
        <f>IF(A894="","",TRIM(IF(K894="","Needs decision; ","")&amp;IF(AND(K894="Accept suggestion",F894=""),"No suggestion to accept; ","")&amp;IF(AND(K894="Override",L894=""),"Override URL missing; ","")&amp;IF(AND(K894="Accept suggestion",N(G894)&lt;$G$2),"Below your threshold; ","")&amp;IF(AND(M894&lt;&gt;"",M894=A894,K894&lt;&gt;"No change (same URL)"),"Redirects to itself; ","")&amp;IF(AND(M894&lt;&gt;"",OR(M894="/",AND(LEFT(M894,4)="http",OR((LEN(M894)-LEN(SUBSTITUTE(M894,"/","")))=2,AND((LEN(M894)-LEN(SUBSTITUTE(M894,"/","")))=3,RIGHT(M894,1)="/"))))),"Home page redirect; ","")&amp;IF(N(R894)&gt;1,"Chain; ","")&amp;IF(S894="No","Destination not 200; ","")))</f>
        <v/>
      </c>
      <c r="U894" s="22" t="n"/>
      <c r="V894" s="22" t="n"/>
      <c r="W894" s="4" t="n"/>
    </row>
    <row r="895">
      <c r="A895" s="22" t="n"/>
      <c r="B895" s="22" t="n"/>
      <c r="C895" s="22" t="n"/>
      <c r="D895" s="22">
        <f>IF(A895="","",IF(OR(N(B895)&gt;=$C$2,N(C895)&gt;=$E$2),"High",IF(OR(N(B895)&gt;0,N(C895)&gt;0),"Medium","Low")))</f>
        <v/>
      </c>
      <c r="E895" s="22" t="n"/>
      <c r="F895" s="22" t="n"/>
      <c r="G895" s="22" t="n"/>
      <c r="H895" s="22" t="n"/>
      <c r="I895" s="22" t="n"/>
      <c r="J895" s="22" t="n"/>
      <c r="K895" s="22" t="n"/>
      <c r="L895" s="22" t="n"/>
      <c r="M895" s="22">
        <f>IF(K895="Override",L895,IF(K895="Accept suggestion",F895,IF(K895="No change (same URL)",A895,"")))</f>
        <v/>
      </c>
      <c r="N895" s="22">
        <f>IF(A895="","",IF(K895="410 Gone","410",IF(K895="404","404",IF(K895="No change (same URL)","none",IF(M895="","","301")))))</f>
        <v/>
      </c>
      <c r="O895" s="22">
        <f>IF(A895="","",IFERROR(MID(A895,FIND("/",A895,FIND("//",A895)+2),2000),A895))</f>
        <v/>
      </c>
      <c r="P895" s="22">
        <f>IF(OR(O895="",N895="",N895="none",N895="404"),"",IF(N895="410","Redirect gone "&amp;O895,"Redirect "&amp;N895&amp;" "&amp;O895&amp;" "&amp;M895))</f>
        <v/>
      </c>
      <c r="Q895" s="22" t="n"/>
      <c r="R895" s="22" t="n"/>
      <c r="S895" s="22" t="n"/>
      <c r="T895" s="4">
        <f>IF(A895="","",TRIM(IF(K895="","Needs decision; ","")&amp;IF(AND(K895="Accept suggestion",F895=""),"No suggestion to accept; ","")&amp;IF(AND(K895="Override",L895=""),"Override URL missing; ","")&amp;IF(AND(K895="Accept suggestion",N(G895)&lt;$G$2),"Below your threshold; ","")&amp;IF(AND(M895&lt;&gt;"",M895=A895,K895&lt;&gt;"No change (same URL)"),"Redirects to itself; ","")&amp;IF(AND(M895&lt;&gt;"",OR(M895="/",AND(LEFT(M895,4)="http",OR((LEN(M895)-LEN(SUBSTITUTE(M895,"/","")))=2,AND((LEN(M895)-LEN(SUBSTITUTE(M895,"/","")))=3,RIGHT(M895,1)="/"))))),"Home page redirect; ","")&amp;IF(N(R895)&gt;1,"Chain; ","")&amp;IF(S895="No","Destination not 200; ","")))</f>
        <v/>
      </c>
      <c r="U895" s="22" t="n"/>
      <c r="V895" s="22" t="n"/>
      <c r="W895" s="4" t="n"/>
    </row>
    <row r="896">
      <c r="A896" s="22" t="n"/>
      <c r="B896" s="22" t="n"/>
      <c r="C896" s="22" t="n"/>
      <c r="D896" s="22">
        <f>IF(A896="","",IF(OR(N(B896)&gt;=$C$2,N(C896)&gt;=$E$2),"High",IF(OR(N(B896)&gt;0,N(C896)&gt;0),"Medium","Low")))</f>
        <v/>
      </c>
      <c r="E896" s="22" t="n"/>
      <c r="F896" s="22" t="n"/>
      <c r="G896" s="22" t="n"/>
      <c r="H896" s="22" t="n"/>
      <c r="I896" s="22" t="n"/>
      <c r="J896" s="22" t="n"/>
      <c r="K896" s="22" t="n"/>
      <c r="L896" s="22" t="n"/>
      <c r="M896" s="22">
        <f>IF(K896="Override",L896,IF(K896="Accept suggestion",F896,IF(K896="No change (same URL)",A896,"")))</f>
        <v/>
      </c>
      <c r="N896" s="22">
        <f>IF(A896="","",IF(K896="410 Gone","410",IF(K896="404","404",IF(K896="No change (same URL)","none",IF(M896="","","301")))))</f>
        <v/>
      </c>
      <c r="O896" s="22">
        <f>IF(A896="","",IFERROR(MID(A896,FIND("/",A896,FIND("//",A896)+2),2000),A896))</f>
        <v/>
      </c>
      <c r="P896" s="22">
        <f>IF(OR(O896="",N896="",N896="none",N896="404"),"",IF(N896="410","Redirect gone "&amp;O896,"Redirect "&amp;N896&amp;" "&amp;O896&amp;" "&amp;M896))</f>
        <v/>
      </c>
      <c r="Q896" s="22" t="n"/>
      <c r="R896" s="22" t="n"/>
      <c r="S896" s="22" t="n"/>
      <c r="T896" s="4">
        <f>IF(A896="","",TRIM(IF(K896="","Needs decision; ","")&amp;IF(AND(K896="Accept suggestion",F896=""),"No suggestion to accept; ","")&amp;IF(AND(K896="Override",L896=""),"Override URL missing; ","")&amp;IF(AND(K896="Accept suggestion",N(G896)&lt;$G$2),"Below your threshold; ","")&amp;IF(AND(M896&lt;&gt;"",M896=A896,K896&lt;&gt;"No change (same URL)"),"Redirects to itself; ","")&amp;IF(AND(M896&lt;&gt;"",OR(M896="/",AND(LEFT(M896,4)="http",OR((LEN(M896)-LEN(SUBSTITUTE(M896,"/","")))=2,AND((LEN(M896)-LEN(SUBSTITUTE(M896,"/","")))=3,RIGHT(M896,1)="/"))))),"Home page redirect; ","")&amp;IF(N(R896)&gt;1,"Chain; ","")&amp;IF(S896="No","Destination not 200; ","")))</f>
        <v/>
      </c>
      <c r="U896" s="22" t="n"/>
      <c r="V896" s="22" t="n"/>
      <c r="W896" s="4" t="n"/>
    </row>
    <row r="897">
      <c r="A897" s="22" t="n"/>
      <c r="B897" s="22" t="n"/>
      <c r="C897" s="22" t="n"/>
      <c r="D897" s="22">
        <f>IF(A897="","",IF(OR(N(B897)&gt;=$C$2,N(C897)&gt;=$E$2),"High",IF(OR(N(B897)&gt;0,N(C897)&gt;0),"Medium","Low")))</f>
        <v/>
      </c>
      <c r="E897" s="22" t="n"/>
      <c r="F897" s="22" t="n"/>
      <c r="G897" s="22" t="n"/>
      <c r="H897" s="22" t="n"/>
      <c r="I897" s="22" t="n"/>
      <c r="J897" s="22" t="n"/>
      <c r="K897" s="22" t="n"/>
      <c r="L897" s="22" t="n"/>
      <c r="M897" s="22">
        <f>IF(K897="Override",L897,IF(K897="Accept suggestion",F897,IF(K897="No change (same URL)",A897,"")))</f>
        <v/>
      </c>
      <c r="N897" s="22">
        <f>IF(A897="","",IF(K897="410 Gone","410",IF(K897="404","404",IF(K897="No change (same URL)","none",IF(M897="","","301")))))</f>
        <v/>
      </c>
      <c r="O897" s="22">
        <f>IF(A897="","",IFERROR(MID(A897,FIND("/",A897,FIND("//",A897)+2),2000),A897))</f>
        <v/>
      </c>
      <c r="P897" s="22">
        <f>IF(OR(O897="",N897="",N897="none",N897="404"),"",IF(N897="410","Redirect gone "&amp;O897,"Redirect "&amp;N897&amp;" "&amp;O897&amp;" "&amp;M897))</f>
        <v/>
      </c>
      <c r="Q897" s="22" t="n"/>
      <c r="R897" s="22" t="n"/>
      <c r="S897" s="22" t="n"/>
      <c r="T897" s="4">
        <f>IF(A897="","",TRIM(IF(K897="","Needs decision; ","")&amp;IF(AND(K897="Accept suggestion",F897=""),"No suggestion to accept; ","")&amp;IF(AND(K897="Override",L897=""),"Override URL missing; ","")&amp;IF(AND(K897="Accept suggestion",N(G897)&lt;$G$2),"Below your threshold; ","")&amp;IF(AND(M897&lt;&gt;"",M897=A897,K897&lt;&gt;"No change (same URL)"),"Redirects to itself; ","")&amp;IF(AND(M897&lt;&gt;"",OR(M897="/",AND(LEFT(M897,4)="http",OR((LEN(M897)-LEN(SUBSTITUTE(M897,"/","")))=2,AND((LEN(M897)-LEN(SUBSTITUTE(M897,"/","")))=3,RIGHT(M897,1)="/"))))),"Home page redirect; ","")&amp;IF(N(R897)&gt;1,"Chain; ","")&amp;IF(S897="No","Destination not 200; ","")))</f>
        <v/>
      </c>
      <c r="U897" s="22" t="n"/>
      <c r="V897" s="22" t="n"/>
      <c r="W897" s="4" t="n"/>
    </row>
    <row r="898">
      <c r="A898" s="22" t="n"/>
      <c r="B898" s="22" t="n"/>
      <c r="C898" s="22" t="n"/>
      <c r="D898" s="22">
        <f>IF(A898="","",IF(OR(N(B898)&gt;=$C$2,N(C898)&gt;=$E$2),"High",IF(OR(N(B898)&gt;0,N(C898)&gt;0),"Medium","Low")))</f>
        <v/>
      </c>
      <c r="E898" s="22" t="n"/>
      <c r="F898" s="22" t="n"/>
      <c r="G898" s="22" t="n"/>
      <c r="H898" s="22" t="n"/>
      <c r="I898" s="22" t="n"/>
      <c r="J898" s="22" t="n"/>
      <c r="K898" s="22" t="n"/>
      <c r="L898" s="22" t="n"/>
      <c r="M898" s="22">
        <f>IF(K898="Override",L898,IF(K898="Accept suggestion",F898,IF(K898="No change (same URL)",A898,"")))</f>
        <v/>
      </c>
      <c r="N898" s="22">
        <f>IF(A898="","",IF(K898="410 Gone","410",IF(K898="404","404",IF(K898="No change (same URL)","none",IF(M898="","","301")))))</f>
        <v/>
      </c>
      <c r="O898" s="22">
        <f>IF(A898="","",IFERROR(MID(A898,FIND("/",A898,FIND("//",A898)+2),2000),A898))</f>
        <v/>
      </c>
      <c r="P898" s="22">
        <f>IF(OR(O898="",N898="",N898="none",N898="404"),"",IF(N898="410","Redirect gone "&amp;O898,"Redirect "&amp;N898&amp;" "&amp;O898&amp;" "&amp;M898))</f>
        <v/>
      </c>
      <c r="Q898" s="22" t="n"/>
      <c r="R898" s="22" t="n"/>
      <c r="S898" s="22" t="n"/>
      <c r="T898" s="4">
        <f>IF(A898="","",TRIM(IF(K898="","Needs decision; ","")&amp;IF(AND(K898="Accept suggestion",F898=""),"No suggestion to accept; ","")&amp;IF(AND(K898="Override",L898=""),"Override URL missing; ","")&amp;IF(AND(K898="Accept suggestion",N(G898)&lt;$G$2),"Below your threshold; ","")&amp;IF(AND(M898&lt;&gt;"",M898=A898,K898&lt;&gt;"No change (same URL)"),"Redirects to itself; ","")&amp;IF(AND(M898&lt;&gt;"",OR(M898="/",AND(LEFT(M898,4)="http",OR((LEN(M898)-LEN(SUBSTITUTE(M898,"/","")))=2,AND((LEN(M898)-LEN(SUBSTITUTE(M898,"/","")))=3,RIGHT(M898,1)="/"))))),"Home page redirect; ","")&amp;IF(N(R898)&gt;1,"Chain; ","")&amp;IF(S898="No","Destination not 200; ","")))</f>
        <v/>
      </c>
      <c r="U898" s="22" t="n"/>
      <c r="V898" s="22" t="n"/>
      <c r="W898" s="4" t="n"/>
    </row>
    <row r="899">
      <c r="A899" s="22" t="n"/>
      <c r="B899" s="22" t="n"/>
      <c r="C899" s="22" t="n"/>
      <c r="D899" s="22">
        <f>IF(A899="","",IF(OR(N(B899)&gt;=$C$2,N(C899)&gt;=$E$2),"High",IF(OR(N(B899)&gt;0,N(C899)&gt;0),"Medium","Low")))</f>
        <v/>
      </c>
      <c r="E899" s="22" t="n"/>
      <c r="F899" s="22" t="n"/>
      <c r="G899" s="22" t="n"/>
      <c r="H899" s="22" t="n"/>
      <c r="I899" s="22" t="n"/>
      <c r="J899" s="22" t="n"/>
      <c r="K899" s="22" t="n"/>
      <c r="L899" s="22" t="n"/>
      <c r="M899" s="22">
        <f>IF(K899="Override",L899,IF(K899="Accept suggestion",F899,IF(K899="No change (same URL)",A899,"")))</f>
        <v/>
      </c>
      <c r="N899" s="22">
        <f>IF(A899="","",IF(K899="410 Gone","410",IF(K899="404","404",IF(K899="No change (same URL)","none",IF(M899="","","301")))))</f>
        <v/>
      </c>
      <c r="O899" s="22">
        <f>IF(A899="","",IFERROR(MID(A899,FIND("/",A899,FIND("//",A899)+2),2000),A899))</f>
        <v/>
      </c>
      <c r="P899" s="22">
        <f>IF(OR(O899="",N899="",N899="none",N899="404"),"",IF(N899="410","Redirect gone "&amp;O899,"Redirect "&amp;N899&amp;" "&amp;O899&amp;" "&amp;M899))</f>
        <v/>
      </c>
      <c r="Q899" s="22" t="n"/>
      <c r="R899" s="22" t="n"/>
      <c r="S899" s="22" t="n"/>
      <c r="T899" s="4">
        <f>IF(A899="","",TRIM(IF(K899="","Needs decision; ","")&amp;IF(AND(K899="Accept suggestion",F899=""),"No suggestion to accept; ","")&amp;IF(AND(K899="Override",L899=""),"Override URL missing; ","")&amp;IF(AND(K899="Accept suggestion",N(G899)&lt;$G$2),"Below your threshold; ","")&amp;IF(AND(M899&lt;&gt;"",M899=A899,K899&lt;&gt;"No change (same URL)"),"Redirects to itself; ","")&amp;IF(AND(M899&lt;&gt;"",OR(M899="/",AND(LEFT(M899,4)="http",OR((LEN(M899)-LEN(SUBSTITUTE(M899,"/","")))=2,AND((LEN(M899)-LEN(SUBSTITUTE(M899,"/","")))=3,RIGHT(M899,1)="/"))))),"Home page redirect; ","")&amp;IF(N(R899)&gt;1,"Chain; ","")&amp;IF(S899="No","Destination not 200; ","")))</f>
        <v/>
      </c>
      <c r="U899" s="22" t="n"/>
      <c r="V899" s="22" t="n"/>
      <c r="W899" s="4" t="n"/>
    </row>
    <row r="900">
      <c r="A900" s="22" t="n"/>
      <c r="B900" s="22" t="n"/>
      <c r="C900" s="22" t="n"/>
      <c r="D900" s="22">
        <f>IF(A900="","",IF(OR(N(B900)&gt;=$C$2,N(C900)&gt;=$E$2),"High",IF(OR(N(B900)&gt;0,N(C900)&gt;0),"Medium","Low")))</f>
        <v/>
      </c>
      <c r="E900" s="22" t="n"/>
      <c r="F900" s="22" t="n"/>
      <c r="G900" s="22" t="n"/>
      <c r="H900" s="22" t="n"/>
      <c r="I900" s="22" t="n"/>
      <c r="J900" s="22" t="n"/>
      <c r="K900" s="22" t="n"/>
      <c r="L900" s="22" t="n"/>
      <c r="M900" s="22">
        <f>IF(K900="Override",L900,IF(K900="Accept suggestion",F900,IF(K900="No change (same URL)",A900,"")))</f>
        <v/>
      </c>
      <c r="N900" s="22">
        <f>IF(A900="","",IF(K900="410 Gone","410",IF(K900="404","404",IF(K900="No change (same URL)","none",IF(M900="","","301")))))</f>
        <v/>
      </c>
      <c r="O900" s="22">
        <f>IF(A900="","",IFERROR(MID(A900,FIND("/",A900,FIND("//",A900)+2),2000),A900))</f>
        <v/>
      </c>
      <c r="P900" s="22">
        <f>IF(OR(O900="",N900="",N900="none",N900="404"),"",IF(N900="410","Redirect gone "&amp;O900,"Redirect "&amp;N900&amp;" "&amp;O900&amp;" "&amp;M900))</f>
        <v/>
      </c>
      <c r="Q900" s="22" t="n"/>
      <c r="R900" s="22" t="n"/>
      <c r="S900" s="22" t="n"/>
      <c r="T900" s="4">
        <f>IF(A900="","",TRIM(IF(K900="","Needs decision; ","")&amp;IF(AND(K900="Accept suggestion",F900=""),"No suggestion to accept; ","")&amp;IF(AND(K900="Override",L900=""),"Override URL missing; ","")&amp;IF(AND(K900="Accept suggestion",N(G900)&lt;$G$2),"Below your threshold; ","")&amp;IF(AND(M900&lt;&gt;"",M900=A900,K900&lt;&gt;"No change (same URL)"),"Redirects to itself; ","")&amp;IF(AND(M900&lt;&gt;"",OR(M900="/",AND(LEFT(M900,4)="http",OR((LEN(M900)-LEN(SUBSTITUTE(M900,"/","")))=2,AND((LEN(M900)-LEN(SUBSTITUTE(M900,"/","")))=3,RIGHT(M900,1)="/"))))),"Home page redirect; ","")&amp;IF(N(R900)&gt;1,"Chain; ","")&amp;IF(S900="No","Destination not 200; ","")))</f>
        <v/>
      </c>
      <c r="U900" s="22" t="n"/>
      <c r="V900" s="22" t="n"/>
      <c r="W900" s="4" t="n"/>
    </row>
    <row r="901">
      <c r="A901" s="22" t="n"/>
      <c r="B901" s="22" t="n"/>
      <c r="C901" s="22" t="n"/>
      <c r="D901" s="22">
        <f>IF(A901="","",IF(OR(N(B901)&gt;=$C$2,N(C901)&gt;=$E$2),"High",IF(OR(N(B901)&gt;0,N(C901)&gt;0),"Medium","Low")))</f>
        <v/>
      </c>
      <c r="E901" s="22" t="n"/>
      <c r="F901" s="22" t="n"/>
      <c r="G901" s="22" t="n"/>
      <c r="H901" s="22" t="n"/>
      <c r="I901" s="22" t="n"/>
      <c r="J901" s="22" t="n"/>
      <c r="K901" s="22" t="n"/>
      <c r="L901" s="22" t="n"/>
      <c r="M901" s="22">
        <f>IF(K901="Override",L901,IF(K901="Accept suggestion",F901,IF(K901="No change (same URL)",A901,"")))</f>
        <v/>
      </c>
      <c r="N901" s="22">
        <f>IF(A901="","",IF(K901="410 Gone","410",IF(K901="404","404",IF(K901="No change (same URL)","none",IF(M901="","","301")))))</f>
        <v/>
      </c>
      <c r="O901" s="22">
        <f>IF(A901="","",IFERROR(MID(A901,FIND("/",A901,FIND("//",A901)+2),2000),A901))</f>
        <v/>
      </c>
      <c r="P901" s="22">
        <f>IF(OR(O901="",N901="",N901="none",N901="404"),"",IF(N901="410","Redirect gone "&amp;O901,"Redirect "&amp;N901&amp;" "&amp;O901&amp;" "&amp;M901))</f>
        <v/>
      </c>
      <c r="Q901" s="22" t="n"/>
      <c r="R901" s="22" t="n"/>
      <c r="S901" s="22" t="n"/>
      <c r="T901" s="4">
        <f>IF(A901="","",TRIM(IF(K901="","Needs decision; ","")&amp;IF(AND(K901="Accept suggestion",F901=""),"No suggestion to accept; ","")&amp;IF(AND(K901="Override",L901=""),"Override URL missing; ","")&amp;IF(AND(K901="Accept suggestion",N(G901)&lt;$G$2),"Below your threshold; ","")&amp;IF(AND(M901&lt;&gt;"",M901=A901,K901&lt;&gt;"No change (same URL)"),"Redirects to itself; ","")&amp;IF(AND(M901&lt;&gt;"",OR(M901="/",AND(LEFT(M901,4)="http",OR((LEN(M901)-LEN(SUBSTITUTE(M901,"/","")))=2,AND((LEN(M901)-LEN(SUBSTITUTE(M901,"/","")))=3,RIGHT(M901,1)="/"))))),"Home page redirect; ","")&amp;IF(N(R901)&gt;1,"Chain; ","")&amp;IF(S901="No","Destination not 200; ","")))</f>
        <v/>
      </c>
      <c r="U901" s="22" t="n"/>
      <c r="V901" s="22" t="n"/>
      <c r="W901" s="4" t="n"/>
    </row>
    <row r="902">
      <c r="A902" s="22" t="n"/>
      <c r="B902" s="22" t="n"/>
      <c r="C902" s="22" t="n"/>
      <c r="D902" s="22">
        <f>IF(A902="","",IF(OR(N(B902)&gt;=$C$2,N(C902)&gt;=$E$2),"High",IF(OR(N(B902)&gt;0,N(C902)&gt;0),"Medium","Low")))</f>
        <v/>
      </c>
      <c r="E902" s="22" t="n"/>
      <c r="F902" s="22" t="n"/>
      <c r="G902" s="22" t="n"/>
      <c r="H902" s="22" t="n"/>
      <c r="I902" s="22" t="n"/>
      <c r="J902" s="22" t="n"/>
      <c r="K902" s="22" t="n"/>
      <c r="L902" s="22" t="n"/>
      <c r="M902" s="22">
        <f>IF(K902="Override",L902,IF(K902="Accept suggestion",F902,IF(K902="No change (same URL)",A902,"")))</f>
        <v/>
      </c>
      <c r="N902" s="22">
        <f>IF(A902="","",IF(K902="410 Gone","410",IF(K902="404","404",IF(K902="No change (same URL)","none",IF(M902="","","301")))))</f>
        <v/>
      </c>
      <c r="O902" s="22">
        <f>IF(A902="","",IFERROR(MID(A902,FIND("/",A902,FIND("//",A902)+2),2000),A902))</f>
        <v/>
      </c>
      <c r="P902" s="22">
        <f>IF(OR(O902="",N902="",N902="none",N902="404"),"",IF(N902="410","Redirect gone "&amp;O902,"Redirect "&amp;N902&amp;" "&amp;O902&amp;" "&amp;M902))</f>
        <v/>
      </c>
      <c r="Q902" s="22" t="n"/>
      <c r="R902" s="22" t="n"/>
      <c r="S902" s="22" t="n"/>
      <c r="T902" s="4">
        <f>IF(A902="","",TRIM(IF(K902="","Needs decision; ","")&amp;IF(AND(K902="Accept suggestion",F902=""),"No suggestion to accept; ","")&amp;IF(AND(K902="Override",L902=""),"Override URL missing; ","")&amp;IF(AND(K902="Accept suggestion",N(G902)&lt;$G$2),"Below your threshold; ","")&amp;IF(AND(M902&lt;&gt;"",M902=A902,K902&lt;&gt;"No change (same URL)"),"Redirects to itself; ","")&amp;IF(AND(M902&lt;&gt;"",OR(M902="/",AND(LEFT(M902,4)="http",OR((LEN(M902)-LEN(SUBSTITUTE(M902,"/","")))=2,AND((LEN(M902)-LEN(SUBSTITUTE(M902,"/","")))=3,RIGHT(M902,1)="/"))))),"Home page redirect; ","")&amp;IF(N(R902)&gt;1,"Chain; ","")&amp;IF(S902="No","Destination not 200; ","")))</f>
        <v/>
      </c>
      <c r="U902" s="22" t="n"/>
      <c r="V902" s="22" t="n"/>
      <c r="W902" s="4" t="n"/>
    </row>
    <row r="903">
      <c r="A903" s="22" t="n"/>
      <c r="B903" s="22" t="n"/>
      <c r="C903" s="22" t="n"/>
      <c r="D903" s="22">
        <f>IF(A903="","",IF(OR(N(B903)&gt;=$C$2,N(C903)&gt;=$E$2),"High",IF(OR(N(B903)&gt;0,N(C903)&gt;0),"Medium","Low")))</f>
        <v/>
      </c>
      <c r="E903" s="22" t="n"/>
      <c r="F903" s="22" t="n"/>
      <c r="G903" s="22" t="n"/>
      <c r="H903" s="22" t="n"/>
      <c r="I903" s="22" t="n"/>
      <c r="J903" s="22" t="n"/>
      <c r="K903" s="22" t="n"/>
      <c r="L903" s="22" t="n"/>
      <c r="M903" s="22">
        <f>IF(K903="Override",L903,IF(K903="Accept suggestion",F903,IF(K903="No change (same URL)",A903,"")))</f>
        <v/>
      </c>
      <c r="N903" s="22">
        <f>IF(A903="","",IF(K903="410 Gone","410",IF(K903="404","404",IF(K903="No change (same URL)","none",IF(M903="","","301")))))</f>
        <v/>
      </c>
      <c r="O903" s="22">
        <f>IF(A903="","",IFERROR(MID(A903,FIND("/",A903,FIND("//",A903)+2),2000),A903))</f>
        <v/>
      </c>
      <c r="P903" s="22">
        <f>IF(OR(O903="",N903="",N903="none",N903="404"),"",IF(N903="410","Redirect gone "&amp;O903,"Redirect "&amp;N903&amp;" "&amp;O903&amp;" "&amp;M903))</f>
        <v/>
      </c>
      <c r="Q903" s="22" t="n"/>
      <c r="R903" s="22" t="n"/>
      <c r="S903" s="22" t="n"/>
      <c r="T903" s="4">
        <f>IF(A903="","",TRIM(IF(K903="","Needs decision; ","")&amp;IF(AND(K903="Accept suggestion",F903=""),"No suggestion to accept; ","")&amp;IF(AND(K903="Override",L903=""),"Override URL missing; ","")&amp;IF(AND(K903="Accept suggestion",N(G903)&lt;$G$2),"Below your threshold; ","")&amp;IF(AND(M903&lt;&gt;"",M903=A903,K903&lt;&gt;"No change (same URL)"),"Redirects to itself; ","")&amp;IF(AND(M903&lt;&gt;"",OR(M903="/",AND(LEFT(M903,4)="http",OR((LEN(M903)-LEN(SUBSTITUTE(M903,"/","")))=2,AND((LEN(M903)-LEN(SUBSTITUTE(M903,"/","")))=3,RIGHT(M903,1)="/"))))),"Home page redirect; ","")&amp;IF(N(R903)&gt;1,"Chain; ","")&amp;IF(S903="No","Destination not 200; ","")))</f>
        <v/>
      </c>
      <c r="U903" s="22" t="n"/>
      <c r="V903" s="22" t="n"/>
      <c r="W903" s="4" t="n"/>
    </row>
    <row r="904">
      <c r="A904" s="22" t="n"/>
      <c r="B904" s="22" t="n"/>
      <c r="C904" s="22" t="n"/>
      <c r="D904" s="22">
        <f>IF(A904="","",IF(OR(N(B904)&gt;=$C$2,N(C904)&gt;=$E$2),"High",IF(OR(N(B904)&gt;0,N(C904)&gt;0),"Medium","Low")))</f>
        <v/>
      </c>
      <c r="E904" s="22" t="n"/>
      <c r="F904" s="22" t="n"/>
      <c r="G904" s="22" t="n"/>
      <c r="H904" s="22" t="n"/>
      <c r="I904" s="22" t="n"/>
      <c r="J904" s="22" t="n"/>
      <c r="K904" s="22" t="n"/>
      <c r="L904" s="22" t="n"/>
      <c r="M904" s="22">
        <f>IF(K904="Override",L904,IF(K904="Accept suggestion",F904,IF(K904="No change (same URL)",A904,"")))</f>
        <v/>
      </c>
      <c r="N904" s="22">
        <f>IF(A904="","",IF(K904="410 Gone","410",IF(K904="404","404",IF(K904="No change (same URL)","none",IF(M904="","","301")))))</f>
        <v/>
      </c>
      <c r="O904" s="22">
        <f>IF(A904="","",IFERROR(MID(A904,FIND("/",A904,FIND("//",A904)+2),2000),A904))</f>
        <v/>
      </c>
      <c r="P904" s="22">
        <f>IF(OR(O904="",N904="",N904="none",N904="404"),"",IF(N904="410","Redirect gone "&amp;O904,"Redirect "&amp;N904&amp;" "&amp;O904&amp;" "&amp;M904))</f>
        <v/>
      </c>
      <c r="Q904" s="22" t="n"/>
      <c r="R904" s="22" t="n"/>
      <c r="S904" s="22" t="n"/>
      <c r="T904" s="4">
        <f>IF(A904="","",TRIM(IF(K904="","Needs decision; ","")&amp;IF(AND(K904="Accept suggestion",F904=""),"No suggestion to accept; ","")&amp;IF(AND(K904="Override",L904=""),"Override URL missing; ","")&amp;IF(AND(K904="Accept suggestion",N(G904)&lt;$G$2),"Below your threshold; ","")&amp;IF(AND(M904&lt;&gt;"",M904=A904,K904&lt;&gt;"No change (same URL)"),"Redirects to itself; ","")&amp;IF(AND(M904&lt;&gt;"",OR(M904="/",AND(LEFT(M904,4)="http",OR((LEN(M904)-LEN(SUBSTITUTE(M904,"/","")))=2,AND((LEN(M904)-LEN(SUBSTITUTE(M904,"/","")))=3,RIGHT(M904,1)="/"))))),"Home page redirect; ","")&amp;IF(N(R904)&gt;1,"Chain; ","")&amp;IF(S904="No","Destination not 200; ","")))</f>
        <v/>
      </c>
      <c r="U904" s="22" t="n"/>
      <c r="V904" s="22" t="n"/>
      <c r="W904" s="4" t="n"/>
    </row>
    <row r="905">
      <c r="A905" s="22" t="n"/>
      <c r="B905" s="22" t="n"/>
      <c r="C905" s="22" t="n"/>
      <c r="D905" s="22">
        <f>IF(A905="","",IF(OR(N(B905)&gt;=$C$2,N(C905)&gt;=$E$2),"High",IF(OR(N(B905)&gt;0,N(C905)&gt;0),"Medium","Low")))</f>
        <v/>
      </c>
      <c r="E905" s="22" t="n"/>
      <c r="F905" s="22" t="n"/>
      <c r="G905" s="22" t="n"/>
      <c r="H905" s="22" t="n"/>
      <c r="I905" s="22" t="n"/>
      <c r="J905" s="22" t="n"/>
      <c r="K905" s="22" t="n"/>
      <c r="L905" s="22" t="n"/>
      <c r="M905" s="22">
        <f>IF(K905="Override",L905,IF(K905="Accept suggestion",F905,IF(K905="No change (same URL)",A905,"")))</f>
        <v/>
      </c>
      <c r="N905" s="22">
        <f>IF(A905="","",IF(K905="410 Gone","410",IF(K905="404","404",IF(K905="No change (same URL)","none",IF(M905="","","301")))))</f>
        <v/>
      </c>
      <c r="O905" s="22">
        <f>IF(A905="","",IFERROR(MID(A905,FIND("/",A905,FIND("//",A905)+2),2000),A905))</f>
        <v/>
      </c>
      <c r="P905" s="22">
        <f>IF(OR(O905="",N905="",N905="none",N905="404"),"",IF(N905="410","Redirect gone "&amp;O905,"Redirect "&amp;N905&amp;" "&amp;O905&amp;" "&amp;M905))</f>
        <v/>
      </c>
      <c r="Q905" s="22" t="n"/>
      <c r="R905" s="22" t="n"/>
      <c r="S905" s="22" t="n"/>
      <c r="T905" s="4">
        <f>IF(A905="","",TRIM(IF(K905="","Needs decision; ","")&amp;IF(AND(K905="Accept suggestion",F905=""),"No suggestion to accept; ","")&amp;IF(AND(K905="Override",L905=""),"Override URL missing; ","")&amp;IF(AND(K905="Accept suggestion",N(G905)&lt;$G$2),"Below your threshold; ","")&amp;IF(AND(M905&lt;&gt;"",M905=A905,K905&lt;&gt;"No change (same URL)"),"Redirects to itself; ","")&amp;IF(AND(M905&lt;&gt;"",OR(M905="/",AND(LEFT(M905,4)="http",OR((LEN(M905)-LEN(SUBSTITUTE(M905,"/","")))=2,AND((LEN(M905)-LEN(SUBSTITUTE(M905,"/","")))=3,RIGHT(M905,1)="/"))))),"Home page redirect; ","")&amp;IF(N(R905)&gt;1,"Chain; ","")&amp;IF(S905="No","Destination not 200; ","")))</f>
        <v/>
      </c>
      <c r="U905" s="22" t="n"/>
      <c r="V905" s="22" t="n"/>
      <c r="W905" s="4" t="n"/>
    </row>
    <row r="906">
      <c r="A906" s="22" t="n"/>
      <c r="B906" s="22" t="n"/>
      <c r="C906" s="22" t="n"/>
      <c r="D906" s="22">
        <f>IF(A906="","",IF(OR(N(B906)&gt;=$C$2,N(C906)&gt;=$E$2),"High",IF(OR(N(B906)&gt;0,N(C906)&gt;0),"Medium","Low")))</f>
        <v/>
      </c>
      <c r="E906" s="22" t="n"/>
      <c r="F906" s="22" t="n"/>
      <c r="G906" s="22" t="n"/>
      <c r="H906" s="22" t="n"/>
      <c r="I906" s="22" t="n"/>
      <c r="J906" s="22" t="n"/>
      <c r="K906" s="22" t="n"/>
      <c r="L906" s="22" t="n"/>
      <c r="M906" s="22">
        <f>IF(K906="Override",L906,IF(K906="Accept suggestion",F906,IF(K906="No change (same URL)",A906,"")))</f>
        <v/>
      </c>
      <c r="N906" s="22">
        <f>IF(A906="","",IF(K906="410 Gone","410",IF(K906="404","404",IF(K906="No change (same URL)","none",IF(M906="","","301")))))</f>
        <v/>
      </c>
      <c r="O906" s="22">
        <f>IF(A906="","",IFERROR(MID(A906,FIND("/",A906,FIND("//",A906)+2),2000),A906))</f>
        <v/>
      </c>
      <c r="P906" s="22">
        <f>IF(OR(O906="",N906="",N906="none",N906="404"),"",IF(N906="410","Redirect gone "&amp;O906,"Redirect "&amp;N906&amp;" "&amp;O906&amp;" "&amp;M906))</f>
        <v/>
      </c>
      <c r="Q906" s="22" t="n"/>
      <c r="R906" s="22" t="n"/>
      <c r="S906" s="22" t="n"/>
      <c r="T906" s="4">
        <f>IF(A906="","",TRIM(IF(K906="","Needs decision; ","")&amp;IF(AND(K906="Accept suggestion",F906=""),"No suggestion to accept; ","")&amp;IF(AND(K906="Override",L906=""),"Override URL missing; ","")&amp;IF(AND(K906="Accept suggestion",N(G906)&lt;$G$2),"Below your threshold; ","")&amp;IF(AND(M906&lt;&gt;"",M906=A906,K906&lt;&gt;"No change (same URL)"),"Redirects to itself; ","")&amp;IF(AND(M906&lt;&gt;"",OR(M906="/",AND(LEFT(M906,4)="http",OR((LEN(M906)-LEN(SUBSTITUTE(M906,"/","")))=2,AND((LEN(M906)-LEN(SUBSTITUTE(M906,"/","")))=3,RIGHT(M906,1)="/"))))),"Home page redirect; ","")&amp;IF(N(R906)&gt;1,"Chain; ","")&amp;IF(S906="No","Destination not 200; ","")))</f>
        <v/>
      </c>
      <c r="U906" s="22" t="n"/>
      <c r="V906" s="22" t="n"/>
      <c r="W906" s="4" t="n"/>
    </row>
    <row r="907">
      <c r="A907" s="22" t="n"/>
      <c r="B907" s="22" t="n"/>
      <c r="C907" s="22" t="n"/>
      <c r="D907" s="22">
        <f>IF(A907="","",IF(OR(N(B907)&gt;=$C$2,N(C907)&gt;=$E$2),"High",IF(OR(N(B907)&gt;0,N(C907)&gt;0),"Medium","Low")))</f>
        <v/>
      </c>
      <c r="E907" s="22" t="n"/>
      <c r="F907" s="22" t="n"/>
      <c r="G907" s="22" t="n"/>
      <c r="H907" s="22" t="n"/>
      <c r="I907" s="22" t="n"/>
      <c r="J907" s="22" t="n"/>
      <c r="K907" s="22" t="n"/>
      <c r="L907" s="22" t="n"/>
      <c r="M907" s="22">
        <f>IF(K907="Override",L907,IF(K907="Accept suggestion",F907,IF(K907="No change (same URL)",A907,"")))</f>
        <v/>
      </c>
      <c r="N907" s="22">
        <f>IF(A907="","",IF(K907="410 Gone","410",IF(K907="404","404",IF(K907="No change (same URL)","none",IF(M907="","","301")))))</f>
        <v/>
      </c>
      <c r="O907" s="22">
        <f>IF(A907="","",IFERROR(MID(A907,FIND("/",A907,FIND("//",A907)+2),2000),A907))</f>
        <v/>
      </c>
      <c r="P907" s="22">
        <f>IF(OR(O907="",N907="",N907="none",N907="404"),"",IF(N907="410","Redirect gone "&amp;O907,"Redirect "&amp;N907&amp;" "&amp;O907&amp;" "&amp;M907))</f>
        <v/>
      </c>
      <c r="Q907" s="22" t="n"/>
      <c r="R907" s="22" t="n"/>
      <c r="S907" s="22" t="n"/>
      <c r="T907" s="4">
        <f>IF(A907="","",TRIM(IF(K907="","Needs decision; ","")&amp;IF(AND(K907="Accept suggestion",F907=""),"No suggestion to accept; ","")&amp;IF(AND(K907="Override",L907=""),"Override URL missing; ","")&amp;IF(AND(K907="Accept suggestion",N(G907)&lt;$G$2),"Below your threshold; ","")&amp;IF(AND(M907&lt;&gt;"",M907=A907,K907&lt;&gt;"No change (same URL)"),"Redirects to itself; ","")&amp;IF(AND(M907&lt;&gt;"",OR(M907="/",AND(LEFT(M907,4)="http",OR((LEN(M907)-LEN(SUBSTITUTE(M907,"/","")))=2,AND((LEN(M907)-LEN(SUBSTITUTE(M907,"/","")))=3,RIGHT(M907,1)="/"))))),"Home page redirect; ","")&amp;IF(N(R907)&gt;1,"Chain; ","")&amp;IF(S907="No","Destination not 200; ","")))</f>
        <v/>
      </c>
      <c r="U907" s="22" t="n"/>
      <c r="V907" s="22" t="n"/>
      <c r="W907" s="4" t="n"/>
    </row>
    <row r="908">
      <c r="A908" s="22" t="n"/>
      <c r="B908" s="22" t="n"/>
      <c r="C908" s="22" t="n"/>
      <c r="D908" s="22">
        <f>IF(A908="","",IF(OR(N(B908)&gt;=$C$2,N(C908)&gt;=$E$2),"High",IF(OR(N(B908)&gt;0,N(C908)&gt;0),"Medium","Low")))</f>
        <v/>
      </c>
      <c r="E908" s="22" t="n"/>
      <c r="F908" s="22" t="n"/>
      <c r="G908" s="22" t="n"/>
      <c r="H908" s="22" t="n"/>
      <c r="I908" s="22" t="n"/>
      <c r="J908" s="22" t="n"/>
      <c r="K908" s="22" t="n"/>
      <c r="L908" s="22" t="n"/>
      <c r="M908" s="22">
        <f>IF(K908="Override",L908,IF(K908="Accept suggestion",F908,IF(K908="No change (same URL)",A908,"")))</f>
        <v/>
      </c>
      <c r="N908" s="22">
        <f>IF(A908="","",IF(K908="410 Gone","410",IF(K908="404","404",IF(K908="No change (same URL)","none",IF(M908="","","301")))))</f>
        <v/>
      </c>
      <c r="O908" s="22">
        <f>IF(A908="","",IFERROR(MID(A908,FIND("/",A908,FIND("//",A908)+2),2000),A908))</f>
        <v/>
      </c>
      <c r="P908" s="22">
        <f>IF(OR(O908="",N908="",N908="none",N908="404"),"",IF(N908="410","Redirect gone "&amp;O908,"Redirect "&amp;N908&amp;" "&amp;O908&amp;" "&amp;M908))</f>
        <v/>
      </c>
      <c r="Q908" s="22" t="n"/>
      <c r="R908" s="22" t="n"/>
      <c r="S908" s="22" t="n"/>
      <c r="T908" s="4">
        <f>IF(A908="","",TRIM(IF(K908="","Needs decision; ","")&amp;IF(AND(K908="Accept suggestion",F908=""),"No suggestion to accept; ","")&amp;IF(AND(K908="Override",L908=""),"Override URL missing; ","")&amp;IF(AND(K908="Accept suggestion",N(G908)&lt;$G$2),"Below your threshold; ","")&amp;IF(AND(M908&lt;&gt;"",M908=A908,K908&lt;&gt;"No change (same URL)"),"Redirects to itself; ","")&amp;IF(AND(M908&lt;&gt;"",OR(M908="/",AND(LEFT(M908,4)="http",OR((LEN(M908)-LEN(SUBSTITUTE(M908,"/","")))=2,AND((LEN(M908)-LEN(SUBSTITUTE(M908,"/","")))=3,RIGHT(M908,1)="/"))))),"Home page redirect; ","")&amp;IF(N(R908)&gt;1,"Chain; ","")&amp;IF(S908="No","Destination not 200; ","")))</f>
        <v/>
      </c>
      <c r="U908" s="22" t="n"/>
      <c r="V908" s="22" t="n"/>
      <c r="W908" s="4" t="n"/>
    </row>
    <row r="909">
      <c r="A909" s="22" t="n"/>
      <c r="B909" s="22" t="n"/>
      <c r="C909" s="22" t="n"/>
      <c r="D909" s="22">
        <f>IF(A909="","",IF(OR(N(B909)&gt;=$C$2,N(C909)&gt;=$E$2),"High",IF(OR(N(B909)&gt;0,N(C909)&gt;0),"Medium","Low")))</f>
        <v/>
      </c>
      <c r="E909" s="22" t="n"/>
      <c r="F909" s="22" t="n"/>
      <c r="G909" s="22" t="n"/>
      <c r="H909" s="22" t="n"/>
      <c r="I909" s="22" t="n"/>
      <c r="J909" s="22" t="n"/>
      <c r="K909" s="22" t="n"/>
      <c r="L909" s="22" t="n"/>
      <c r="M909" s="22">
        <f>IF(K909="Override",L909,IF(K909="Accept suggestion",F909,IF(K909="No change (same URL)",A909,"")))</f>
        <v/>
      </c>
      <c r="N909" s="22">
        <f>IF(A909="","",IF(K909="410 Gone","410",IF(K909="404","404",IF(K909="No change (same URL)","none",IF(M909="","","301")))))</f>
        <v/>
      </c>
      <c r="O909" s="22">
        <f>IF(A909="","",IFERROR(MID(A909,FIND("/",A909,FIND("//",A909)+2),2000),A909))</f>
        <v/>
      </c>
      <c r="P909" s="22">
        <f>IF(OR(O909="",N909="",N909="none",N909="404"),"",IF(N909="410","Redirect gone "&amp;O909,"Redirect "&amp;N909&amp;" "&amp;O909&amp;" "&amp;M909))</f>
        <v/>
      </c>
      <c r="Q909" s="22" t="n"/>
      <c r="R909" s="22" t="n"/>
      <c r="S909" s="22" t="n"/>
      <c r="T909" s="4">
        <f>IF(A909="","",TRIM(IF(K909="","Needs decision; ","")&amp;IF(AND(K909="Accept suggestion",F909=""),"No suggestion to accept; ","")&amp;IF(AND(K909="Override",L909=""),"Override URL missing; ","")&amp;IF(AND(K909="Accept suggestion",N(G909)&lt;$G$2),"Below your threshold; ","")&amp;IF(AND(M909&lt;&gt;"",M909=A909,K909&lt;&gt;"No change (same URL)"),"Redirects to itself; ","")&amp;IF(AND(M909&lt;&gt;"",OR(M909="/",AND(LEFT(M909,4)="http",OR((LEN(M909)-LEN(SUBSTITUTE(M909,"/","")))=2,AND((LEN(M909)-LEN(SUBSTITUTE(M909,"/","")))=3,RIGHT(M909,1)="/"))))),"Home page redirect; ","")&amp;IF(N(R909)&gt;1,"Chain; ","")&amp;IF(S909="No","Destination not 200; ","")))</f>
        <v/>
      </c>
      <c r="U909" s="22" t="n"/>
      <c r="V909" s="22" t="n"/>
      <c r="W909" s="4" t="n"/>
    </row>
    <row r="910">
      <c r="A910" s="22" t="n"/>
      <c r="B910" s="22" t="n"/>
      <c r="C910" s="22" t="n"/>
      <c r="D910" s="22">
        <f>IF(A910="","",IF(OR(N(B910)&gt;=$C$2,N(C910)&gt;=$E$2),"High",IF(OR(N(B910)&gt;0,N(C910)&gt;0),"Medium","Low")))</f>
        <v/>
      </c>
      <c r="E910" s="22" t="n"/>
      <c r="F910" s="22" t="n"/>
      <c r="G910" s="22" t="n"/>
      <c r="H910" s="22" t="n"/>
      <c r="I910" s="22" t="n"/>
      <c r="J910" s="22" t="n"/>
      <c r="K910" s="22" t="n"/>
      <c r="L910" s="22" t="n"/>
      <c r="M910" s="22">
        <f>IF(K910="Override",L910,IF(K910="Accept suggestion",F910,IF(K910="No change (same URL)",A910,"")))</f>
        <v/>
      </c>
      <c r="N910" s="22">
        <f>IF(A910="","",IF(K910="410 Gone","410",IF(K910="404","404",IF(K910="No change (same URL)","none",IF(M910="","","301")))))</f>
        <v/>
      </c>
      <c r="O910" s="22">
        <f>IF(A910="","",IFERROR(MID(A910,FIND("/",A910,FIND("//",A910)+2),2000),A910))</f>
        <v/>
      </c>
      <c r="P910" s="22">
        <f>IF(OR(O910="",N910="",N910="none",N910="404"),"",IF(N910="410","Redirect gone "&amp;O910,"Redirect "&amp;N910&amp;" "&amp;O910&amp;" "&amp;M910))</f>
        <v/>
      </c>
      <c r="Q910" s="22" t="n"/>
      <c r="R910" s="22" t="n"/>
      <c r="S910" s="22" t="n"/>
      <c r="T910" s="4">
        <f>IF(A910="","",TRIM(IF(K910="","Needs decision; ","")&amp;IF(AND(K910="Accept suggestion",F910=""),"No suggestion to accept; ","")&amp;IF(AND(K910="Override",L910=""),"Override URL missing; ","")&amp;IF(AND(K910="Accept suggestion",N(G910)&lt;$G$2),"Below your threshold; ","")&amp;IF(AND(M910&lt;&gt;"",M910=A910,K910&lt;&gt;"No change (same URL)"),"Redirects to itself; ","")&amp;IF(AND(M910&lt;&gt;"",OR(M910="/",AND(LEFT(M910,4)="http",OR((LEN(M910)-LEN(SUBSTITUTE(M910,"/","")))=2,AND((LEN(M910)-LEN(SUBSTITUTE(M910,"/","")))=3,RIGHT(M910,1)="/"))))),"Home page redirect; ","")&amp;IF(N(R910)&gt;1,"Chain; ","")&amp;IF(S910="No","Destination not 200; ","")))</f>
        <v/>
      </c>
      <c r="U910" s="22" t="n"/>
      <c r="V910" s="22" t="n"/>
      <c r="W910" s="4" t="n"/>
    </row>
    <row r="911">
      <c r="A911" s="22" t="n"/>
      <c r="B911" s="22" t="n"/>
      <c r="C911" s="22" t="n"/>
      <c r="D911" s="22">
        <f>IF(A911="","",IF(OR(N(B911)&gt;=$C$2,N(C911)&gt;=$E$2),"High",IF(OR(N(B911)&gt;0,N(C911)&gt;0),"Medium","Low")))</f>
        <v/>
      </c>
      <c r="E911" s="22" t="n"/>
      <c r="F911" s="22" t="n"/>
      <c r="G911" s="22" t="n"/>
      <c r="H911" s="22" t="n"/>
      <c r="I911" s="22" t="n"/>
      <c r="J911" s="22" t="n"/>
      <c r="K911" s="22" t="n"/>
      <c r="L911" s="22" t="n"/>
      <c r="M911" s="22">
        <f>IF(K911="Override",L911,IF(K911="Accept suggestion",F911,IF(K911="No change (same URL)",A911,"")))</f>
        <v/>
      </c>
      <c r="N911" s="22">
        <f>IF(A911="","",IF(K911="410 Gone","410",IF(K911="404","404",IF(K911="No change (same URL)","none",IF(M911="","","301")))))</f>
        <v/>
      </c>
      <c r="O911" s="22">
        <f>IF(A911="","",IFERROR(MID(A911,FIND("/",A911,FIND("//",A911)+2),2000),A911))</f>
        <v/>
      </c>
      <c r="P911" s="22">
        <f>IF(OR(O911="",N911="",N911="none",N911="404"),"",IF(N911="410","Redirect gone "&amp;O911,"Redirect "&amp;N911&amp;" "&amp;O911&amp;" "&amp;M911))</f>
        <v/>
      </c>
      <c r="Q911" s="22" t="n"/>
      <c r="R911" s="22" t="n"/>
      <c r="S911" s="22" t="n"/>
      <c r="T911" s="4">
        <f>IF(A911="","",TRIM(IF(K911="","Needs decision; ","")&amp;IF(AND(K911="Accept suggestion",F911=""),"No suggestion to accept; ","")&amp;IF(AND(K911="Override",L911=""),"Override URL missing; ","")&amp;IF(AND(K911="Accept suggestion",N(G911)&lt;$G$2),"Below your threshold; ","")&amp;IF(AND(M911&lt;&gt;"",M911=A911,K911&lt;&gt;"No change (same URL)"),"Redirects to itself; ","")&amp;IF(AND(M911&lt;&gt;"",OR(M911="/",AND(LEFT(M911,4)="http",OR((LEN(M911)-LEN(SUBSTITUTE(M911,"/","")))=2,AND((LEN(M911)-LEN(SUBSTITUTE(M911,"/","")))=3,RIGHT(M911,1)="/"))))),"Home page redirect; ","")&amp;IF(N(R911)&gt;1,"Chain; ","")&amp;IF(S911="No","Destination not 200; ","")))</f>
        <v/>
      </c>
      <c r="U911" s="22" t="n"/>
      <c r="V911" s="22" t="n"/>
      <c r="W911" s="4" t="n"/>
    </row>
    <row r="912">
      <c r="A912" s="22" t="n"/>
      <c r="B912" s="22" t="n"/>
      <c r="C912" s="22" t="n"/>
      <c r="D912" s="22">
        <f>IF(A912="","",IF(OR(N(B912)&gt;=$C$2,N(C912)&gt;=$E$2),"High",IF(OR(N(B912)&gt;0,N(C912)&gt;0),"Medium","Low")))</f>
        <v/>
      </c>
      <c r="E912" s="22" t="n"/>
      <c r="F912" s="22" t="n"/>
      <c r="G912" s="22" t="n"/>
      <c r="H912" s="22" t="n"/>
      <c r="I912" s="22" t="n"/>
      <c r="J912" s="22" t="n"/>
      <c r="K912" s="22" t="n"/>
      <c r="L912" s="22" t="n"/>
      <c r="M912" s="22">
        <f>IF(K912="Override",L912,IF(K912="Accept suggestion",F912,IF(K912="No change (same URL)",A912,"")))</f>
        <v/>
      </c>
      <c r="N912" s="22">
        <f>IF(A912="","",IF(K912="410 Gone","410",IF(K912="404","404",IF(K912="No change (same URL)","none",IF(M912="","","301")))))</f>
        <v/>
      </c>
      <c r="O912" s="22">
        <f>IF(A912="","",IFERROR(MID(A912,FIND("/",A912,FIND("//",A912)+2),2000),A912))</f>
        <v/>
      </c>
      <c r="P912" s="22">
        <f>IF(OR(O912="",N912="",N912="none",N912="404"),"",IF(N912="410","Redirect gone "&amp;O912,"Redirect "&amp;N912&amp;" "&amp;O912&amp;" "&amp;M912))</f>
        <v/>
      </c>
      <c r="Q912" s="22" t="n"/>
      <c r="R912" s="22" t="n"/>
      <c r="S912" s="22" t="n"/>
      <c r="T912" s="4">
        <f>IF(A912="","",TRIM(IF(K912="","Needs decision; ","")&amp;IF(AND(K912="Accept suggestion",F912=""),"No suggestion to accept; ","")&amp;IF(AND(K912="Override",L912=""),"Override URL missing; ","")&amp;IF(AND(K912="Accept suggestion",N(G912)&lt;$G$2),"Below your threshold; ","")&amp;IF(AND(M912&lt;&gt;"",M912=A912,K912&lt;&gt;"No change (same URL)"),"Redirects to itself; ","")&amp;IF(AND(M912&lt;&gt;"",OR(M912="/",AND(LEFT(M912,4)="http",OR((LEN(M912)-LEN(SUBSTITUTE(M912,"/","")))=2,AND((LEN(M912)-LEN(SUBSTITUTE(M912,"/","")))=3,RIGHT(M912,1)="/"))))),"Home page redirect; ","")&amp;IF(N(R912)&gt;1,"Chain; ","")&amp;IF(S912="No","Destination not 200; ","")))</f>
        <v/>
      </c>
      <c r="U912" s="22" t="n"/>
      <c r="V912" s="22" t="n"/>
      <c r="W912" s="4" t="n"/>
    </row>
    <row r="913">
      <c r="A913" s="22" t="n"/>
      <c r="B913" s="22" t="n"/>
      <c r="C913" s="22" t="n"/>
      <c r="D913" s="22">
        <f>IF(A913="","",IF(OR(N(B913)&gt;=$C$2,N(C913)&gt;=$E$2),"High",IF(OR(N(B913)&gt;0,N(C913)&gt;0),"Medium","Low")))</f>
        <v/>
      </c>
      <c r="E913" s="22" t="n"/>
      <c r="F913" s="22" t="n"/>
      <c r="G913" s="22" t="n"/>
      <c r="H913" s="22" t="n"/>
      <c r="I913" s="22" t="n"/>
      <c r="J913" s="22" t="n"/>
      <c r="K913" s="22" t="n"/>
      <c r="L913" s="22" t="n"/>
      <c r="M913" s="22">
        <f>IF(K913="Override",L913,IF(K913="Accept suggestion",F913,IF(K913="No change (same URL)",A913,"")))</f>
        <v/>
      </c>
      <c r="N913" s="22">
        <f>IF(A913="","",IF(K913="410 Gone","410",IF(K913="404","404",IF(K913="No change (same URL)","none",IF(M913="","","301")))))</f>
        <v/>
      </c>
      <c r="O913" s="22">
        <f>IF(A913="","",IFERROR(MID(A913,FIND("/",A913,FIND("//",A913)+2),2000),A913))</f>
        <v/>
      </c>
      <c r="P913" s="22">
        <f>IF(OR(O913="",N913="",N913="none",N913="404"),"",IF(N913="410","Redirect gone "&amp;O913,"Redirect "&amp;N913&amp;" "&amp;O913&amp;" "&amp;M913))</f>
        <v/>
      </c>
      <c r="Q913" s="22" t="n"/>
      <c r="R913" s="22" t="n"/>
      <c r="S913" s="22" t="n"/>
      <c r="T913" s="4">
        <f>IF(A913="","",TRIM(IF(K913="","Needs decision; ","")&amp;IF(AND(K913="Accept suggestion",F913=""),"No suggestion to accept; ","")&amp;IF(AND(K913="Override",L913=""),"Override URL missing; ","")&amp;IF(AND(K913="Accept suggestion",N(G913)&lt;$G$2),"Below your threshold; ","")&amp;IF(AND(M913&lt;&gt;"",M913=A913,K913&lt;&gt;"No change (same URL)"),"Redirects to itself; ","")&amp;IF(AND(M913&lt;&gt;"",OR(M913="/",AND(LEFT(M913,4)="http",OR((LEN(M913)-LEN(SUBSTITUTE(M913,"/","")))=2,AND((LEN(M913)-LEN(SUBSTITUTE(M913,"/","")))=3,RIGHT(M913,1)="/"))))),"Home page redirect; ","")&amp;IF(N(R913)&gt;1,"Chain; ","")&amp;IF(S913="No","Destination not 200; ","")))</f>
        <v/>
      </c>
      <c r="U913" s="22" t="n"/>
      <c r="V913" s="22" t="n"/>
      <c r="W913" s="4" t="n"/>
    </row>
    <row r="914">
      <c r="A914" s="22" t="n"/>
      <c r="B914" s="22" t="n"/>
      <c r="C914" s="22" t="n"/>
      <c r="D914" s="22">
        <f>IF(A914="","",IF(OR(N(B914)&gt;=$C$2,N(C914)&gt;=$E$2),"High",IF(OR(N(B914)&gt;0,N(C914)&gt;0),"Medium","Low")))</f>
        <v/>
      </c>
      <c r="E914" s="22" t="n"/>
      <c r="F914" s="22" t="n"/>
      <c r="G914" s="22" t="n"/>
      <c r="H914" s="22" t="n"/>
      <c r="I914" s="22" t="n"/>
      <c r="J914" s="22" t="n"/>
      <c r="K914" s="22" t="n"/>
      <c r="L914" s="22" t="n"/>
      <c r="M914" s="22">
        <f>IF(K914="Override",L914,IF(K914="Accept suggestion",F914,IF(K914="No change (same URL)",A914,"")))</f>
        <v/>
      </c>
      <c r="N914" s="22">
        <f>IF(A914="","",IF(K914="410 Gone","410",IF(K914="404","404",IF(K914="No change (same URL)","none",IF(M914="","","301")))))</f>
        <v/>
      </c>
      <c r="O914" s="22">
        <f>IF(A914="","",IFERROR(MID(A914,FIND("/",A914,FIND("//",A914)+2),2000),A914))</f>
        <v/>
      </c>
      <c r="P914" s="22">
        <f>IF(OR(O914="",N914="",N914="none",N914="404"),"",IF(N914="410","Redirect gone "&amp;O914,"Redirect "&amp;N914&amp;" "&amp;O914&amp;" "&amp;M914))</f>
        <v/>
      </c>
      <c r="Q914" s="22" t="n"/>
      <c r="R914" s="22" t="n"/>
      <c r="S914" s="22" t="n"/>
      <c r="T914" s="4">
        <f>IF(A914="","",TRIM(IF(K914="","Needs decision; ","")&amp;IF(AND(K914="Accept suggestion",F914=""),"No suggestion to accept; ","")&amp;IF(AND(K914="Override",L914=""),"Override URL missing; ","")&amp;IF(AND(K914="Accept suggestion",N(G914)&lt;$G$2),"Below your threshold; ","")&amp;IF(AND(M914&lt;&gt;"",M914=A914,K914&lt;&gt;"No change (same URL)"),"Redirects to itself; ","")&amp;IF(AND(M914&lt;&gt;"",OR(M914="/",AND(LEFT(M914,4)="http",OR((LEN(M914)-LEN(SUBSTITUTE(M914,"/","")))=2,AND((LEN(M914)-LEN(SUBSTITUTE(M914,"/","")))=3,RIGHT(M914,1)="/"))))),"Home page redirect; ","")&amp;IF(N(R914)&gt;1,"Chain; ","")&amp;IF(S914="No","Destination not 200; ","")))</f>
        <v/>
      </c>
      <c r="U914" s="22" t="n"/>
      <c r="V914" s="22" t="n"/>
      <c r="W914" s="4" t="n"/>
    </row>
    <row r="915">
      <c r="A915" s="22" t="n"/>
      <c r="B915" s="22" t="n"/>
      <c r="C915" s="22" t="n"/>
      <c r="D915" s="22">
        <f>IF(A915="","",IF(OR(N(B915)&gt;=$C$2,N(C915)&gt;=$E$2),"High",IF(OR(N(B915)&gt;0,N(C915)&gt;0),"Medium","Low")))</f>
        <v/>
      </c>
      <c r="E915" s="22" t="n"/>
      <c r="F915" s="22" t="n"/>
      <c r="G915" s="22" t="n"/>
      <c r="H915" s="22" t="n"/>
      <c r="I915" s="22" t="n"/>
      <c r="J915" s="22" t="n"/>
      <c r="K915" s="22" t="n"/>
      <c r="L915" s="22" t="n"/>
      <c r="M915" s="22">
        <f>IF(K915="Override",L915,IF(K915="Accept suggestion",F915,IF(K915="No change (same URL)",A915,"")))</f>
        <v/>
      </c>
      <c r="N915" s="22">
        <f>IF(A915="","",IF(K915="410 Gone","410",IF(K915="404","404",IF(K915="No change (same URL)","none",IF(M915="","","301")))))</f>
        <v/>
      </c>
      <c r="O915" s="22">
        <f>IF(A915="","",IFERROR(MID(A915,FIND("/",A915,FIND("//",A915)+2),2000),A915))</f>
        <v/>
      </c>
      <c r="P915" s="22">
        <f>IF(OR(O915="",N915="",N915="none",N915="404"),"",IF(N915="410","Redirect gone "&amp;O915,"Redirect "&amp;N915&amp;" "&amp;O915&amp;" "&amp;M915))</f>
        <v/>
      </c>
      <c r="Q915" s="22" t="n"/>
      <c r="R915" s="22" t="n"/>
      <c r="S915" s="22" t="n"/>
      <c r="T915" s="4">
        <f>IF(A915="","",TRIM(IF(K915="","Needs decision; ","")&amp;IF(AND(K915="Accept suggestion",F915=""),"No suggestion to accept; ","")&amp;IF(AND(K915="Override",L915=""),"Override URL missing; ","")&amp;IF(AND(K915="Accept suggestion",N(G915)&lt;$G$2),"Below your threshold; ","")&amp;IF(AND(M915&lt;&gt;"",M915=A915,K915&lt;&gt;"No change (same URL)"),"Redirects to itself; ","")&amp;IF(AND(M915&lt;&gt;"",OR(M915="/",AND(LEFT(M915,4)="http",OR((LEN(M915)-LEN(SUBSTITUTE(M915,"/","")))=2,AND((LEN(M915)-LEN(SUBSTITUTE(M915,"/","")))=3,RIGHT(M915,1)="/"))))),"Home page redirect; ","")&amp;IF(N(R915)&gt;1,"Chain; ","")&amp;IF(S915="No","Destination not 200; ","")))</f>
        <v/>
      </c>
      <c r="U915" s="22" t="n"/>
      <c r="V915" s="22" t="n"/>
      <c r="W915" s="4" t="n"/>
    </row>
    <row r="916">
      <c r="A916" s="22" t="n"/>
      <c r="B916" s="22" t="n"/>
      <c r="C916" s="22" t="n"/>
      <c r="D916" s="22">
        <f>IF(A916="","",IF(OR(N(B916)&gt;=$C$2,N(C916)&gt;=$E$2),"High",IF(OR(N(B916)&gt;0,N(C916)&gt;0),"Medium","Low")))</f>
        <v/>
      </c>
      <c r="E916" s="22" t="n"/>
      <c r="F916" s="22" t="n"/>
      <c r="G916" s="22" t="n"/>
      <c r="H916" s="22" t="n"/>
      <c r="I916" s="22" t="n"/>
      <c r="J916" s="22" t="n"/>
      <c r="K916" s="22" t="n"/>
      <c r="L916" s="22" t="n"/>
      <c r="M916" s="22">
        <f>IF(K916="Override",L916,IF(K916="Accept suggestion",F916,IF(K916="No change (same URL)",A916,"")))</f>
        <v/>
      </c>
      <c r="N916" s="22">
        <f>IF(A916="","",IF(K916="410 Gone","410",IF(K916="404","404",IF(K916="No change (same URL)","none",IF(M916="","","301")))))</f>
        <v/>
      </c>
      <c r="O916" s="22">
        <f>IF(A916="","",IFERROR(MID(A916,FIND("/",A916,FIND("//",A916)+2),2000),A916))</f>
        <v/>
      </c>
      <c r="P916" s="22">
        <f>IF(OR(O916="",N916="",N916="none",N916="404"),"",IF(N916="410","Redirect gone "&amp;O916,"Redirect "&amp;N916&amp;" "&amp;O916&amp;" "&amp;M916))</f>
        <v/>
      </c>
      <c r="Q916" s="22" t="n"/>
      <c r="R916" s="22" t="n"/>
      <c r="S916" s="22" t="n"/>
      <c r="T916" s="4">
        <f>IF(A916="","",TRIM(IF(K916="","Needs decision; ","")&amp;IF(AND(K916="Accept suggestion",F916=""),"No suggestion to accept; ","")&amp;IF(AND(K916="Override",L916=""),"Override URL missing; ","")&amp;IF(AND(K916="Accept suggestion",N(G916)&lt;$G$2),"Below your threshold; ","")&amp;IF(AND(M916&lt;&gt;"",M916=A916,K916&lt;&gt;"No change (same URL)"),"Redirects to itself; ","")&amp;IF(AND(M916&lt;&gt;"",OR(M916="/",AND(LEFT(M916,4)="http",OR((LEN(M916)-LEN(SUBSTITUTE(M916,"/","")))=2,AND((LEN(M916)-LEN(SUBSTITUTE(M916,"/","")))=3,RIGHT(M916,1)="/"))))),"Home page redirect; ","")&amp;IF(N(R916)&gt;1,"Chain; ","")&amp;IF(S916="No","Destination not 200; ","")))</f>
        <v/>
      </c>
      <c r="U916" s="22" t="n"/>
      <c r="V916" s="22" t="n"/>
      <c r="W916" s="4" t="n"/>
    </row>
    <row r="917">
      <c r="A917" s="22" t="n"/>
      <c r="B917" s="22" t="n"/>
      <c r="C917" s="22" t="n"/>
      <c r="D917" s="22">
        <f>IF(A917="","",IF(OR(N(B917)&gt;=$C$2,N(C917)&gt;=$E$2),"High",IF(OR(N(B917)&gt;0,N(C917)&gt;0),"Medium","Low")))</f>
        <v/>
      </c>
      <c r="E917" s="22" t="n"/>
      <c r="F917" s="22" t="n"/>
      <c r="G917" s="22" t="n"/>
      <c r="H917" s="22" t="n"/>
      <c r="I917" s="22" t="n"/>
      <c r="J917" s="22" t="n"/>
      <c r="K917" s="22" t="n"/>
      <c r="L917" s="22" t="n"/>
      <c r="M917" s="22">
        <f>IF(K917="Override",L917,IF(K917="Accept suggestion",F917,IF(K917="No change (same URL)",A917,"")))</f>
        <v/>
      </c>
      <c r="N917" s="22">
        <f>IF(A917="","",IF(K917="410 Gone","410",IF(K917="404","404",IF(K917="No change (same URL)","none",IF(M917="","","301")))))</f>
        <v/>
      </c>
      <c r="O917" s="22">
        <f>IF(A917="","",IFERROR(MID(A917,FIND("/",A917,FIND("//",A917)+2),2000),A917))</f>
        <v/>
      </c>
      <c r="P917" s="22">
        <f>IF(OR(O917="",N917="",N917="none",N917="404"),"",IF(N917="410","Redirect gone "&amp;O917,"Redirect "&amp;N917&amp;" "&amp;O917&amp;" "&amp;M917))</f>
        <v/>
      </c>
      <c r="Q917" s="22" t="n"/>
      <c r="R917" s="22" t="n"/>
      <c r="S917" s="22" t="n"/>
      <c r="T917" s="4">
        <f>IF(A917="","",TRIM(IF(K917="","Needs decision; ","")&amp;IF(AND(K917="Accept suggestion",F917=""),"No suggestion to accept; ","")&amp;IF(AND(K917="Override",L917=""),"Override URL missing; ","")&amp;IF(AND(K917="Accept suggestion",N(G917)&lt;$G$2),"Below your threshold; ","")&amp;IF(AND(M917&lt;&gt;"",M917=A917,K917&lt;&gt;"No change (same URL)"),"Redirects to itself; ","")&amp;IF(AND(M917&lt;&gt;"",OR(M917="/",AND(LEFT(M917,4)="http",OR((LEN(M917)-LEN(SUBSTITUTE(M917,"/","")))=2,AND((LEN(M917)-LEN(SUBSTITUTE(M917,"/","")))=3,RIGHT(M917,1)="/"))))),"Home page redirect; ","")&amp;IF(N(R917)&gt;1,"Chain; ","")&amp;IF(S917="No","Destination not 200; ","")))</f>
        <v/>
      </c>
      <c r="U917" s="22" t="n"/>
      <c r="V917" s="22" t="n"/>
      <c r="W917" s="4" t="n"/>
    </row>
    <row r="918">
      <c r="A918" s="22" t="n"/>
      <c r="B918" s="22" t="n"/>
      <c r="C918" s="22" t="n"/>
      <c r="D918" s="22">
        <f>IF(A918="","",IF(OR(N(B918)&gt;=$C$2,N(C918)&gt;=$E$2),"High",IF(OR(N(B918)&gt;0,N(C918)&gt;0),"Medium","Low")))</f>
        <v/>
      </c>
      <c r="E918" s="22" t="n"/>
      <c r="F918" s="22" t="n"/>
      <c r="G918" s="22" t="n"/>
      <c r="H918" s="22" t="n"/>
      <c r="I918" s="22" t="n"/>
      <c r="J918" s="22" t="n"/>
      <c r="K918" s="22" t="n"/>
      <c r="L918" s="22" t="n"/>
      <c r="M918" s="22">
        <f>IF(K918="Override",L918,IF(K918="Accept suggestion",F918,IF(K918="No change (same URL)",A918,"")))</f>
        <v/>
      </c>
      <c r="N918" s="22">
        <f>IF(A918="","",IF(K918="410 Gone","410",IF(K918="404","404",IF(K918="No change (same URL)","none",IF(M918="","","301")))))</f>
        <v/>
      </c>
      <c r="O918" s="22">
        <f>IF(A918="","",IFERROR(MID(A918,FIND("/",A918,FIND("//",A918)+2),2000),A918))</f>
        <v/>
      </c>
      <c r="P918" s="22">
        <f>IF(OR(O918="",N918="",N918="none",N918="404"),"",IF(N918="410","Redirect gone "&amp;O918,"Redirect "&amp;N918&amp;" "&amp;O918&amp;" "&amp;M918))</f>
        <v/>
      </c>
      <c r="Q918" s="22" t="n"/>
      <c r="R918" s="22" t="n"/>
      <c r="S918" s="22" t="n"/>
      <c r="T918" s="4">
        <f>IF(A918="","",TRIM(IF(K918="","Needs decision; ","")&amp;IF(AND(K918="Accept suggestion",F918=""),"No suggestion to accept; ","")&amp;IF(AND(K918="Override",L918=""),"Override URL missing; ","")&amp;IF(AND(K918="Accept suggestion",N(G918)&lt;$G$2),"Below your threshold; ","")&amp;IF(AND(M918&lt;&gt;"",M918=A918,K918&lt;&gt;"No change (same URL)"),"Redirects to itself; ","")&amp;IF(AND(M918&lt;&gt;"",OR(M918="/",AND(LEFT(M918,4)="http",OR((LEN(M918)-LEN(SUBSTITUTE(M918,"/","")))=2,AND((LEN(M918)-LEN(SUBSTITUTE(M918,"/","")))=3,RIGHT(M918,1)="/"))))),"Home page redirect; ","")&amp;IF(N(R918)&gt;1,"Chain; ","")&amp;IF(S918="No","Destination not 200; ","")))</f>
        <v/>
      </c>
      <c r="U918" s="22" t="n"/>
      <c r="V918" s="22" t="n"/>
      <c r="W918" s="4" t="n"/>
    </row>
    <row r="919">
      <c r="A919" s="22" t="n"/>
      <c r="B919" s="22" t="n"/>
      <c r="C919" s="22" t="n"/>
      <c r="D919" s="22">
        <f>IF(A919="","",IF(OR(N(B919)&gt;=$C$2,N(C919)&gt;=$E$2),"High",IF(OR(N(B919)&gt;0,N(C919)&gt;0),"Medium","Low")))</f>
        <v/>
      </c>
      <c r="E919" s="22" t="n"/>
      <c r="F919" s="22" t="n"/>
      <c r="G919" s="22" t="n"/>
      <c r="H919" s="22" t="n"/>
      <c r="I919" s="22" t="n"/>
      <c r="J919" s="22" t="n"/>
      <c r="K919" s="22" t="n"/>
      <c r="L919" s="22" t="n"/>
      <c r="M919" s="22">
        <f>IF(K919="Override",L919,IF(K919="Accept suggestion",F919,IF(K919="No change (same URL)",A919,"")))</f>
        <v/>
      </c>
      <c r="N919" s="22">
        <f>IF(A919="","",IF(K919="410 Gone","410",IF(K919="404","404",IF(K919="No change (same URL)","none",IF(M919="","","301")))))</f>
        <v/>
      </c>
      <c r="O919" s="22">
        <f>IF(A919="","",IFERROR(MID(A919,FIND("/",A919,FIND("//",A919)+2),2000),A919))</f>
        <v/>
      </c>
      <c r="P919" s="22">
        <f>IF(OR(O919="",N919="",N919="none",N919="404"),"",IF(N919="410","Redirect gone "&amp;O919,"Redirect "&amp;N919&amp;" "&amp;O919&amp;" "&amp;M919))</f>
        <v/>
      </c>
      <c r="Q919" s="22" t="n"/>
      <c r="R919" s="22" t="n"/>
      <c r="S919" s="22" t="n"/>
      <c r="T919" s="4">
        <f>IF(A919="","",TRIM(IF(K919="","Needs decision; ","")&amp;IF(AND(K919="Accept suggestion",F919=""),"No suggestion to accept; ","")&amp;IF(AND(K919="Override",L919=""),"Override URL missing; ","")&amp;IF(AND(K919="Accept suggestion",N(G919)&lt;$G$2),"Below your threshold; ","")&amp;IF(AND(M919&lt;&gt;"",M919=A919,K919&lt;&gt;"No change (same URL)"),"Redirects to itself; ","")&amp;IF(AND(M919&lt;&gt;"",OR(M919="/",AND(LEFT(M919,4)="http",OR((LEN(M919)-LEN(SUBSTITUTE(M919,"/","")))=2,AND((LEN(M919)-LEN(SUBSTITUTE(M919,"/","")))=3,RIGHT(M919,1)="/"))))),"Home page redirect; ","")&amp;IF(N(R919)&gt;1,"Chain; ","")&amp;IF(S919="No","Destination not 200; ","")))</f>
        <v/>
      </c>
      <c r="U919" s="22" t="n"/>
      <c r="V919" s="22" t="n"/>
      <c r="W919" s="4" t="n"/>
    </row>
    <row r="920">
      <c r="A920" s="22" t="n"/>
      <c r="B920" s="22" t="n"/>
      <c r="C920" s="22" t="n"/>
      <c r="D920" s="22">
        <f>IF(A920="","",IF(OR(N(B920)&gt;=$C$2,N(C920)&gt;=$E$2),"High",IF(OR(N(B920)&gt;0,N(C920)&gt;0),"Medium","Low")))</f>
        <v/>
      </c>
      <c r="E920" s="22" t="n"/>
      <c r="F920" s="22" t="n"/>
      <c r="G920" s="22" t="n"/>
      <c r="H920" s="22" t="n"/>
      <c r="I920" s="22" t="n"/>
      <c r="J920" s="22" t="n"/>
      <c r="K920" s="22" t="n"/>
      <c r="L920" s="22" t="n"/>
      <c r="M920" s="22">
        <f>IF(K920="Override",L920,IF(K920="Accept suggestion",F920,IF(K920="No change (same URL)",A920,"")))</f>
        <v/>
      </c>
      <c r="N920" s="22">
        <f>IF(A920="","",IF(K920="410 Gone","410",IF(K920="404","404",IF(K920="No change (same URL)","none",IF(M920="","","301")))))</f>
        <v/>
      </c>
      <c r="O920" s="22">
        <f>IF(A920="","",IFERROR(MID(A920,FIND("/",A920,FIND("//",A920)+2),2000),A920))</f>
        <v/>
      </c>
      <c r="P920" s="22">
        <f>IF(OR(O920="",N920="",N920="none",N920="404"),"",IF(N920="410","Redirect gone "&amp;O920,"Redirect "&amp;N920&amp;" "&amp;O920&amp;" "&amp;M920))</f>
        <v/>
      </c>
      <c r="Q920" s="22" t="n"/>
      <c r="R920" s="22" t="n"/>
      <c r="S920" s="22" t="n"/>
      <c r="T920" s="4">
        <f>IF(A920="","",TRIM(IF(K920="","Needs decision; ","")&amp;IF(AND(K920="Accept suggestion",F920=""),"No suggestion to accept; ","")&amp;IF(AND(K920="Override",L920=""),"Override URL missing; ","")&amp;IF(AND(K920="Accept suggestion",N(G920)&lt;$G$2),"Below your threshold; ","")&amp;IF(AND(M920&lt;&gt;"",M920=A920,K920&lt;&gt;"No change (same URL)"),"Redirects to itself; ","")&amp;IF(AND(M920&lt;&gt;"",OR(M920="/",AND(LEFT(M920,4)="http",OR((LEN(M920)-LEN(SUBSTITUTE(M920,"/","")))=2,AND((LEN(M920)-LEN(SUBSTITUTE(M920,"/","")))=3,RIGHT(M920,1)="/"))))),"Home page redirect; ","")&amp;IF(N(R920)&gt;1,"Chain; ","")&amp;IF(S920="No","Destination not 200; ","")))</f>
        <v/>
      </c>
      <c r="U920" s="22" t="n"/>
      <c r="V920" s="22" t="n"/>
      <c r="W920" s="4" t="n"/>
    </row>
    <row r="921">
      <c r="A921" s="22" t="n"/>
      <c r="B921" s="22" t="n"/>
      <c r="C921" s="22" t="n"/>
      <c r="D921" s="22">
        <f>IF(A921="","",IF(OR(N(B921)&gt;=$C$2,N(C921)&gt;=$E$2),"High",IF(OR(N(B921)&gt;0,N(C921)&gt;0),"Medium","Low")))</f>
        <v/>
      </c>
      <c r="E921" s="22" t="n"/>
      <c r="F921" s="22" t="n"/>
      <c r="G921" s="22" t="n"/>
      <c r="H921" s="22" t="n"/>
      <c r="I921" s="22" t="n"/>
      <c r="J921" s="22" t="n"/>
      <c r="K921" s="22" t="n"/>
      <c r="L921" s="22" t="n"/>
      <c r="M921" s="22">
        <f>IF(K921="Override",L921,IF(K921="Accept suggestion",F921,IF(K921="No change (same URL)",A921,"")))</f>
        <v/>
      </c>
      <c r="N921" s="22">
        <f>IF(A921="","",IF(K921="410 Gone","410",IF(K921="404","404",IF(K921="No change (same URL)","none",IF(M921="","","301")))))</f>
        <v/>
      </c>
      <c r="O921" s="22">
        <f>IF(A921="","",IFERROR(MID(A921,FIND("/",A921,FIND("//",A921)+2),2000),A921))</f>
        <v/>
      </c>
      <c r="P921" s="22">
        <f>IF(OR(O921="",N921="",N921="none",N921="404"),"",IF(N921="410","Redirect gone "&amp;O921,"Redirect "&amp;N921&amp;" "&amp;O921&amp;" "&amp;M921))</f>
        <v/>
      </c>
      <c r="Q921" s="22" t="n"/>
      <c r="R921" s="22" t="n"/>
      <c r="S921" s="22" t="n"/>
      <c r="T921" s="4">
        <f>IF(A921="","",TRIM(IF(K921="","Needs decision; ","")&amp;IF(AND(K921="Accept suggestion",F921=""),"No suggestion to accept; ","")&amp;IF(AND(K921="Override",L921=""),"Override URL missing; ","")&amp;IF(AND(K921="Accept suggestion",N(G921)&lt;$G$2),"Below your threshold; ","")&amp;IF(AND(M921&lt;&gt;"",M921=A921,K921&lt;&gt;"No change (same URL)"),"Redirects to itself; ","")&amp;IF(AND(M921&lt;&gt;"",OR(M921="/",AND(LEFT(M921,4)="http",OR((LEN(M921)-LEN(SUBSTITUTE(M921,"/","")))=2,AND((LEN(M921)-LEN(SUBSTITUTE(M921,"/","")))=3,RIGHT(M921,1)="/"))))),"Home page redirect; ","")&amp;IF(N(R921)&gt;1,"Chain; ","")&amp;IF(S921="No","Destination not 200; ","")))</f>
        <v/>
      </c>
      <c r="U921" s="22" t="n"/>
      <c r="V921" s="22" t="n"/>
      <c r="W921" s="4" t="n"/>
    </row>
    <row r="922">
      <c r="A922" s="22" t="n"/>
      <c r="B922" s="22" t="n"/>
      <c r="C922" s="22" t="n"/>
      <c r="D922" s="22">
        <f>IF(A922="","",IF(OR(N(B922)&gt;=$C$2,N(C922)&gt;=$E$2),"High",IF(OR(N(B922)&gt;0,N(C922)&gt;0),"Medium","Low")))</f>
        <v/>
      </c>
      <c r="E922" s="22" t="n"/>
      <c r="F922" s="22" t="n"/>
      <c r="G922" s="22" t="n"/>
      <c r="H922" s="22" t="n"/>
      <c r="I922" s="22" t="n"/>
      <c r="J922" s="22" t="n"/>
      <c r="K922" s="22" t="n"/>
      <c r="L922" s="22" t="n"/>
      <c r="M922" s="22">
        <f>IF(K922="Override",L922,IF(K922="Accept suggestion",F922,IF(K922="No change (same URL)",A922,"")))</f>
        <v/>
      </c>
      <c r="N922" s="22">
        <f>IF(A922="","",IF(K922="410 Gone","410",IF(K922="404","404",IF(K922="No change (same URL)","none",IF(M922="","","301")))))</f>
        <v/>
      </c>
      <c r="O922" s="22">
        <f>IF(A922="","",IFERROR(MID(A922,FIND("/",A922,FIND("//",A922)+2),2000),A922))</f>
        <v/>
      </c>
      <c r="P922" s="22">
        <f>IF(OR(O922="",N922="",N922="none",N922="404"),"",IF(N922="410","Redirect gone "&amp;O922,"Redirect "&amp;N922&amp;" "&amp;O922&amp;" "&amp;M922))</f>
        <v/>
      </c>
      <c r="Q922" s="22" t="n"/>
      <c r="R922" s="22" t="n"/>
      <c r="S922" s="22" t="n"/>
      <c r="T922" s="4">
        <f>IF(A922="","",TRIM(IF(K922="","Needs decision; ","")&amp;IF(AND(K922="Accept suggestion",F922=""),"No suggestion to accept; ","")&amp;IF(AND(K922="Override",L922=""),"Override URL missing; ","")&amp;IF(AND(K922="Accept suggestion",N(G922)&lt;$G$2),"Below your threshold; ","")&amp;IF(AND(M922&lt;&gt;"",M922=A922,K922&lt;&gt;"No change (same URL)"),"Redirects to itself; ","")&amp;IF(AND(M922&lt;&gt;"",OR(M922="/",AND(LEFT(M922,4)="http",OR((LEN(M922)-LEN(SUBSTITUTE(M922,"/","")))=2,AND((LEN(M922)-LEN(SUBSTITUTE(M922,"/","")))=3,RIGHT(M922,1)="/"))))),"Home page redirect; ","")&amp;IF(N(R922)&gt;1,"Chain; ","")&amp;IF(S922="No","Destination not 200; ","")))</f>
        <v/>
      </c>
      <c r="U922" s="22" t="n"/>
      <c r="V922" s="22" t="n"/>
      <c r="W922" s="4" t="n"/>
    </row>
    <row r="923">
      <c r="A923" s="22" t="n"/>
      <c r="B923" s="22" t="n"/>
      <c r="C923" s="22" t="n"/>
      <c r="D923" s="22">
        <f>IF(A923="","",IF(OR(N(B923)&gt;=$C$2,N(C923)&gt;=$E$2),"High",IF(OR(N(B923)&gt;0,N(C923)&gt;0),"Medium","Low")))</f>
        <v/>
      </c>
      <c r="E923" s="22" t="n"/>
      <c r="F923" s="22" t="n"/>
      <c r="G923" s="22" t="n"/>
      <c r="H923" s="22" t="n"/>
      <c r="I923" s="22" t="n"/>
      <c r="J923" s="22" t="n"/>
      <c r="K923" s="22" t="n"/>
      <c r="L923" s="22" t="n"/>
      <c r="M923" s="22">
        <f>IF(K923="Override",L923,IF(K923="Accept suggestion",F923,IF(K923="No change (same URL)",A923,"")))</f>
        <v/>
      </c>
      <c r="N923" s="22">
        <f>IF(A923="","",IF(K923="410 Gone","410",IF(K923="404","404",IF(K923="No change (same URL)","none",IF(M923="","","301")))))</f>
        <v/>
      </c>
      <c r="O923" s="22">
        <f>IF(A923="","",IFERROR(MID(A923,FIND("/",A923,FIND("//",A923)+2),2000),A923))</f>
        <v/>
      </c>
      <c r="P923" s="22">
        <f>IF(OR(O923="",N923="",N923="none",N923="404"),"",IF(N923="410","Redirect gone "&amp;O923,"Redirect "&amp;N923&amp;" "&amp;O923&amp;" "&amp;M923))</f>
        <v/>
      </c>
      <c r="Q923" s="22" t="n"/>
      <c r="R923" s="22" t="n"/>
      <c r="S923" s="22" t="n"/>
      <c r="T923" s="4">
        <f>IF(A923="","",TRIM(IF(K923="","Needs decision; ","")&amp;IF(AND(K923="Accept suggestion",F923=""),"No suggestion to accept; ","")&amp;IF(AND(K923="Override",L923=""),"Override URL missing; ","")&amp;IF(AND(K923="Accept suggestion",N(G923)&lt;$G$2),"Below your threshold; ","")&amp;IF(AND(M923&lt;&gt;"",M923=A923,K923&lt;&gt;"No change (same URL)"),"Redirects to itself; ","")&amp;IF(AND(M923&lt;&gt;"",OR(M923="/",AND(LEFT(M923,4)="http",OR((LEN(M923)-LEN(SUBSTITUTE(M923,"/","")))=2,AND((LEN(M923)-LEN(SUBSTITUTE(M923,"/","")))=3,RIGHT(M923,1)="/"))))),"Home page redirect; ","")&amp;IF(N(R923)&gt;1,"Chain; ","")&amp;IF(S923="No","Destination not 200; ","")))</f>
        <v/>
      </c>
      <c r="U923" s="22" t="n"/>
      <c r="V923" s="22" t="n"/>
      <c r="W923" s="4" t="n"/>
    </row>
    <row r="924">
      <c r="A924" s="22" t="n"/>
      <c r="B924" s="22" t="n"/>
      <c r="C924" s="22" t="n"/>
      <c r="D924" s="22">
        <f>IF(A924="","",IF(OR(N(B924)&gt;=$C$2,N(C924)&gt;=$E$2),"High",IF(OR(N(B924)&gt;0,N(C924)&gt;0),"Medium","Low")))</f>
        <v/>
      </c>
      <c r="E924" s="22" t="n"/>
      <c r="F924" s="22" t="n"/>
      <c r="G924" s="22" t="n"/>
      <c r="H924" s="22" t="n"/>
      <c r="I924" s="22" t="n"/>
      <c r="J924" s="22" t="n"/>
      <c r="K924" s="22" t="n"/>
      <c r="L924" s="22" t="n"/>
      <c r="M924" s="22">
        <f>IF(K924="Override",L924,IF(K924="Accept suggestion",F924,IF(K924="No change (same URL)",A924,"")))</f>
        <v/>
      </c>
      <c r="N924" s="22">
        <f>IF(A924="","",IF(K924="410 Gone","410",IF(K924="404","404",IF(K924="No change (same URL)","none",IF(M924="","","301")))))</f>
        <v/>
      </c>
      <c r="O924" s="22">
        <f>IF(A924="","",IFERROR(MID(A924,FIND("/",A924,FIND("//",A924)+2),2000),A924))</f>
        <v/>
      </c>
      <c r="P924" s="22">
        <f>IF(OR(O924="",N924="",N924="none",N924="404"),"",IF(N924="410","Redirect gone "&amp;O924,"Redirect "&amp;N924&amp;" "&amp;O924&amp;" "&amp;M924))</f>
        <v/>
      </c>
      <c r="Q924" s="22" t="n"/>
      <c r="R924" s="22" t="n"/>
      <c r="S924" s="22" t="n"/>
      <c r="T924" s="4">
        <f>IF(A924="","",TRIM(IF(K924="","Needs decision; ","")&amp;IF(AND(K924="Accept suggestion",F924=""),"No suggestion to accept; ","")&amp;IF(AND(K924="Override",L924=""),"Override URL missing; ","")&amp;IF(AND(K924="Accept suggestion",N(G924)&lt;$G$2),"Below your threshold; ","")&amp;IF(AND(M924&lt;&gt;"",M924=A924,K924&lt;&gt;"No change (same URL)"),"Redirects to itself; ","")&amp;IF(AND(M924&lt;&gt;"",OR(M924="/",AND(LEFT(M924,4)="http",OR((LEN(M924)-LEN(SUBSTITUTE(M924,"/","")))=2,AND((LEN(M924)-LEN(SUBSTITUTE(M924,"/","")))=3,RIGHT(M924,1)="/"))))),"Home page redirect; ","")&amp;IF(N(R924)&gt;1,"Chain; ","")&amp;IF(S924="No","Destination not 200; ","")))</f>
        <v/>
      </c>
      <c r="U924" s="22" t="n"/>
      <c r="V924" s="22" t="n"/>
      <c r="W924" s="4" t="n"/>
    </row>
    <row r="925">
      <c r="A925" s="22" t="n"/>
      <c r="B925" s="22" t="n"/>
      <c r="C925" s="22" t="n"/>
      <c r="D925" s="22">
        <f>IF(A925="","",IF(OR(N(B925)&gt;=$C$2,N(C925)&gt;=$E$2),"High",IF(OR(N(B925)&gt;0,N(C925)&gt;0),"Medium","Low")))</f>
        <v/>
      </c>
      <c r="E925" s="22" t="n"/>
      <c r="F925" s="22" t="n"/>
      <c r="G925" s="22" t="n"/>
      <c r="H925" s="22" t="n"/>
      <c r="I925" s="22" t="n"/>
      <c r="J925" s="22" t="n"/>
      <c r="K925" s="22" t="n"/>
      <c r="L925" s="22" t="n"/>
      <c r="M925" s="22">
        <f>IF(K925="Override",L925,IF(K925="Accept suggestion",F925,IF(K925="No change (same URL)",A925,"")))</f>
        <v/>
      </c>
      <c r="N925" s="22">
        <f>IF(A925="","",IF(K925="410 Gone","410",IF(K925="404","404",IF(K925="No change (same URL)","none",IF(M925="","","301")))))</f>
        <v/>
      </c>
      <c r="O925" s="22">
        <f>IF(A925="","",IFERROR(MID(A925,FIND("/",A925,FIND("//",A925)+2),2000),A925))</f>
        <v/>
      </c>
      <c r="P925" s="22">
        <f>IF(OR(O925="",N925="",N925="none",N925="404"),"",IF(N925="410","Redirect gone "&amp;O925,"Redirect "&amp;N925&amp;" "&amp;O925&amp;" "&amp;M925))</f>
        <v/>
      </c>
      <c r="Q925" s="22" t="n"/>
      <c r="R925" s="22" t="n"/>
      <c r="S925" s="22" t="n"/>
      <c r="T925" s="4">
        <f>IF(A925="","",TRIM(IF(K925="","Needs decision; ","")&amp;IF(AND(K925="Accept suggestion",F925=""),"No suggestion to accept; ","")&amp;IF(AND(K925="Override",L925=""),"Override URL missing; ","")&amp;IF(AND(K925="Accept suggestion",N(G925)&lt;$G$2),"Below your threshold; ","")&amp;IF(AND(M925&lt;&gt;"",M925=A925,K925&lt;&gt;"No change (same URL)"),"Redirects to itself; ","")&amp;IF(AND(M925&lt;&gt;"",OR(M925="/",AND(LEFT(M925,4)="http",OR((LEN(M925)-LEN(SUBSTITUTE(M925,"/","")))=2,AND((LEN(M925)-LEN(SUBSTITUTE(M925,"/","")))=3,RIGHT(M925,1)="/"))))),"Home page redirect; ","")&amp;IF(N(R925)&gt;1,"Chain; ","")&amp;IF(S925="No","Destination not 200; ","")))</f>
        <v/>
      </c>
      <c r="U925" s="22" t="n"/>
      <c r="V925" s="22" t="n"/>
      <c r="W925" s="4" t="n"/>
    </row>
    <row r="926">
      <c r="A926" s="22" t="n"/>
      <c r="B926" s="22" t="n"/>
      <c r="C926" s="22" t="n"/>
      <c r="D926" s="22">
        <f>IF(A926="","",IF(OR(N(B926)&gt;=$C$2,N(C926)&gt;=$E$2),"High",IF(OR(N(B926)&gt;0,N(C926)&gt;0),"Medium","Low")))</f>
        <v/>
      </c>
      <c r="E926" s="22" t="n"/>
      <c r="F926" s="22" t="n"/>
      <c r="G926" s="22" t="n"/>
      <c r="H926" s="22" t="n"/>
      <c r="I926" s="22" t="n"/>
      <c r="J926" s="22" t="n"/>
      <c r="K926" s="22" t="n"/>
      <c r="L926" s="22" t="n"/>
      <c r="M926" s="22">
        <f>IF(K926="Override",L926,IF(K926="Accept suggestion",F926,IF(K926="No change (same URL)",A926,"")))</f>
        <v/>
      </c>
      <c r="N926" s="22">
        <f>IF(A926="","",IF(K926="410 Gone","410",IF(K926="404","404",IF(K926="No change (same URL)","none",IF(M926="","","301")))))</f>
        <v/>
      </c>
      <c r="O926" s="22">
        <f>IF(A926="","",IFERROR(MID(A926,FIND("/",A926,FIND("//",A926)+2),2000),A926))</f>
        <v/>
      </c>
      <c r="P926" s="22">
        <f>IF(OR(O926="",N926="",N926="none",N926="404"),"",IF(N926="410","Redirect gone "&amp;O926,"Redirect "&amp;N926&amp;" "&amp;O926&amp;" "&amp;M926))</f>
        <v/>
      </c>
      <c r="Q926" s="22" t="n"/>
      <c r="R926" s="22" t="n"/>
      <c r="S926" s="22" t="n"/>
      <c r="T926" s="4">
        <f>IF(A926="","",TRIM(IF(K926="","Needs decision; ","")&amp;IF(AND(K926="Accept suggestion",F926=""),"No suggestion to accept; ","")&amp;IF(AND(K926="Override",L926=""),"Override URL missing; ","")&amp;IF(AND(K926="Accept suggestion",N(G926)&lt;$G$2),"Below your threshold; ","")&amp;IF(AND(M926&lt;&gt;"",M926=A926,K926&lt;&gt;"No change (same URL)"),"Redirects to itself; ","")&amp;IF(AND(M926&lt;&gt;"",OR(M926="/",AND(LEFT(M926,4)="http",OR((LEN(M926)-LEN(SUBSTITUTE(M926,"/","")))=2,AND((LEN(M926)-LEN(SUBSTITUTE(M926,"/","")))=3,RIGHT(M926,1)="/"))))),"Home page redirect; ","")&amp;IF(N(R926)&gt;1,"Chain; ","")&amp;IF(S926="No","Destination not 200; ","")))</f>
        <v/>
      </c>
      <c r="U926" s="22" t="n"/>
      <c r="V926" s="22" t="n"/>
      <c r="W926" s="4" t="n"/>
    </row>
    <row r="927">
      <c r="A927" s="22" t="n"/>
      <c r="B927" s="22" t="n"/>
      <c r="C927" s="22" t="n"/>
      <c r="D927" s="22">
        <f>IF(A927="","",IF(OR(N(B927)&gt;=$C$2,N(C927)&gt;=$E$2),"High",IF(OR(N(B927)&gt;0,N(C927)&gt;0),"Medium","Low")))</f>
        <v/>
      </c>
      <c r="E927" s="22" t="n"/>
      <c r="F927" s="22" t="n"/>
      <c r="G927" s="22" t="n"/>
      <c r="H927" s="22" t="n"/>
      <c r="I927" s="22" t="n"/>
      <c r="J927" s="22" t="n"/>
      <c r="K927" s="22" t="n"/>
      <c r="L927" s="22" t="n"/>
      <c r="M927" s="22">
        <f>IF(K927="Override",L927,IF(K927="Accept suggestion",F927,IF(K927="No change (same URL)",A927,"")))</f>
        <v/>
      </c>
      <c r="N927" s="22">
        <f>IF(A927="","",IF(K927="410 Gone","410",IF(K927="404","404",IF(K927="No change (same URL)","none",IF(M927="","","301")))))</f>
        <v/>
      </c>
      <c r="O927" s="22">
        <f>IF(A927="","",IFERROR(MID(A927,FIND("/",A927,FIND("//",A927)+2),2000),A927))</f>
        <v/>
      </c>
      <c r="P927" s="22">
        <f>IF(OR(O927="",N927="",N927="none",N927="404"),"",IF(N927="410","Redirect gone "&amp;O927,"Redirect "&amp;N927&amp;" "&amp;O927&amp;" "&amp;M927))</f>
        <v/>
      </c>
      <c r="Q927" s="22" t="n"/>
      <c r="R927" s="22" t="n"/>
      <c r="S927" s="22" t="n"/>
      <c r="T927" s="4">
        <f>IF(A927="","",TRIM(IF(K927="","Needs decision; ","")&amp;IF(AND(K927="Accept suggestion",F927=""),"No suggestion to accept; ","")&amp;IF(AND(K927="Override",L927=""),"Override URL missing; ","")&amp;IF(AND(K927="Accept suggestion",N(G927)&lt;$G$2),"Below your threshold; ","")&amp;IF(AND(M927&lt;&gt;"",M927=A927,K927&lt;&gt;"No change (same URL)"),"Redirects to itself; ","")&amp;IF(AND(M927&lt;&gt;"",OR(M927="/",AND(LEFT(M927,4)="http",OR((LEN(M927)-LEN(SUBSTITUTE(M927,"/","")))=2,AND((LEN(M927)-LEN(SUBSTITUTE(M927,"/","")))=3,RIGHT(M927,1)="/"))))),"Home page redirect; ","")&amp;IF(N(R927)&gt;1,"Chain; ","")&amp;IF(S927="No","Destination not 200; ","")))</f>
        <v/>
      </c>
      <c r="U927" s="22" t="n"/>
      <c r="V927" s="22" t="n"/>
      <c r="W927" s="4" t="n"/>
    </row>
    <row r="928">
      <c r="A928" s="22" t="n"/>
      <c r="B928" s="22" t="n"/>
      <c r="C928" s="22" t="n"/>
      <c r="D928" s="22">
        <f>IF(A928="","",IF(OR(N(B928)&gt;=$C$2,N(C928)&gt;=$E$2),"High",IF(OR(N(B928)&gt;0,N(C928)&gt;0),"Medium","Low")))</f>
        <v/>
      </c>
      <c r="E928" s="22" t="n"/>
      <c r="F928" s="22" t="n"/>
      <c r="G928" s="22" t="n"/>
      <c r="H928" s="22" t="n"/>
      <c r="I928" s="22" t="n"/>
      <c r="J928" s="22" t="n"/>
      <c r="K928" s="22" t="n"/>
      <c r="L928" s="22" t="n"/>
      <c r="M928" s="22">
        <f>IF(K928="Override",L928,IF(K928="Accept suggestion",F928,IF(K928="No change (same URL)",A928,"")))</f>
        <v/>
      </c>
      <c r="N928" s="22">
        <f>IF(A928="","",IF(K928="410 Gone","410",IF(K928="404","404",IF(K928="No change (same URL)","none",IF(M928="","","301")))))</f>
        <v/>
      </c>
      <c r="O928" s="22">
        <f>IF(A928="","",IFERROR(MID(A928,FIND("/",A928,FIND("//",A928)+2),2000),A928))</f>
        <v/>
      </c>
      <c r="P928" s="22">
        <f>IF(OR(O928="",N928="",N928="none",N928="404"),"",IF(N928="410","Redirect gone "&amp;O928,"Redirect "&amp;N928&amp;" "&amp;O928&amp;" "&amp;M928))</f>
        <v/>
      </c>
      <c r="Q928" s="22" t="n"/>
      <c r="R928" s="22" t="n"/>
      <c r="S928" s="22" t="n"/>
      <c r="T928" s="4">
        <f>IF(A928="","",TRIM(IF(K928="","Needs decision; ","")&amp;IF(AND(K928="Accept suggestion",F928=""),"No suggestion to accept; ","")&amp;IF(AND(K928="Override",L928=""),"Override URL missing; ","")&amp;IF(AND(K928="Accept suggestion",N(G928)&lt;$G$2),"Below your threshold; ","")&amp;IF(AND(M928&lt;&gt;"",M928=A928,K928&lt;&gt;"No change (same URL)"),"Redirects to itself; ","")&amp;IF(AND(M928&lt;&gt;"",OR(M928="/",AND(LEFT(M928,4)="http",OR((LEN(M928)-LEN(SUBSTITUTE(M928,"/","")))=2,AND((LEN(M928)-LEN(SUBSTITUTE(M928,"/","")))=3,RIGHT(M928,1)="/"))))),"Home page redirect; ","")&amp;IF(N(R928)&gt;1,"Chain; ","")&amp;IF(S928="No","Destination not 200; ","")))</f>
        <v/>
      </c>
      <c r="U928" s="22" t="n"/>
      <c r="V928" s="22" t="n"/>
      <c r="W928" s="4" t="n"/>
    </row>
    <row r="929">
      <c r="A929" s="22" t="n"/>
      <c r="B929" s="22" t="n"/>
      <c r="C929" s="22" t="n"/>
      <c r="D929" s="22">
        <f>IF(A929="","",IF(OR(N(B929)&gt;=$C$2,N(C929)&gt;=$E$2),"High",IF(OR(N(B929)&gt;0,N(C929)&gt;0),"Medium","Low")))</f>
        <v/>
      </c>
      <c r="E929" s="22" t="n"/>
      <c r="F929" s="22" t="n"/>
      <c r="G929" s="22" t="n"/>
      <c r="H929" s="22" t="n"/>
      <c r="I929" s="22" t="n"/>
      <c r="J929" s="22" t="n"/>
      <c r="K929" s="22" t="n"/>
      <c r="L929" s="22" t="n"/>
      <c r="M929" s="22">
        <f>IF(K929="Override",L929,IF(K929="Accept suggestion",F929,IF(K929="No change (same URL)",A929,"")))</f>
        <v/>
      </c>
      <c r="N929" s="22">
        <f>IF(A929="","",IF(K929="410 Gone","410",IF(K929="404","404",IF(K929="No change (same URL)","none",IF(M929="","","301")))))</f>
        <v/>
      </c>
      <c r="O929" s="22">
        <f>IF(A929="","",IFERROR(MID(A929,FIND("/",A929,FIND("//",A929)+2),2000),A929))</f>
        <v/>
      </c>
      <c r="P929" s="22">
        <f>IF(OR(O929="",N929="",N929="none",N929="404"),"",IF(N929="410","Redirect gone "&amp;O929,"Redirect "&amp;N929&amp;" "&amp;O929&amp;" "&amp;M929))</f>
        <v/>
      </c>
      <c r="Q929" s="22" t="n"/>
      <c r="R929" s="22" t="n"/>
      <c r="S929" s="22" t="n"/>
      <c r="T929" s="4">
        <f>IF(A929="","",TRIM(IF(K929="","Needs decision; ","")&amp;IF(AND(K929="Accept suggestion",F929=""),"No suggestion to accept; ","")&amp;IF(AND(K929="Override",L929=""),"Override URL missing; ","")&amp;IF(AND(K929="Accept suggestion",N(G929)&lt;$G$2),"Below your threshold; ","")&amp;IF(AND(M929&lt;&gt;"",M929=A929,K929&lt;&gt;"No change (same URL)"),"Redirects to itself; ","")&amp;IF(AND(M929&lt;&gt;"",OR(M929="/",AND(LEFT(M929,4)="http",OR((LEN(M929)-LEN(SUBSTITUTE(M929,"/","")))=2,AND((LEN(M929)-LEN(SUBSTITUTE(M929,"/","")))=3,RIGHT(M929,1)="/"))))),"Home page redirect; ","")&amp;IF(N(R929)&gt;1,"Chain; ","")&amp;IF(S929="No","Destination not 200; ","")))</f>
        <v/>
      </c>
      <c r="U929" s="22" t="n"/>
      <c r="V929" s="22" t="n"/>
      <c r="W929" s="4" t="n"/>
    </row>
    <row r="930">
      <c r="A930" s="22" t="n"/>
      <c r="B930" s="22" t="n"/>
      <c r="C930" s="22" t="n"/>
      <c r="D930" s="22">
        <f>IF(A930="","",IF(OR(N(B930)&gt;=$C$2,N(C930)&gt;=$E$2),"High",IF(OR(N(B930)&gt;0,N(C930)&gt;0),"Medium","Low")))</f>
        <v/>
      </c>
      <c r="E930" s="22" t="n"/>
      <c r="F930" s="22" t="n"/>
      <c r="G930" s="22" t="n"/>
      <c r="H930" s="22" t="n"/>
      <c r="I930" s="22" t="n"/>
      <c r="J930" s="22" t="n"/>
      <c r="K930" s="22" t="n"/>
      <c r="L930" s="22" t="n"/>
      <c r="M930" s="22">
        <f>IF(K930="Override",L930,IF(K930="Accept suggestion",F930,IF(K930="No change (same URL)",A930,"")))</f>
        <v/>
      </c>
      <c r="N930" s="22">
        <f>IF(A930="","",IF(K930="410 Gone","410",IF(K930="404","404",IF(K930="No change (same URL)","none",IF(M930="","","301")))))</f>
        <v/>
      </c>
      <c r="O930" s="22">
        <f>IF(A930="","",IFERROR(MID(A930,FIND("/",A930,FIND("//",A930)+2),2000),A930))</f>
        <v/>
      </c>
      <c r="P930" s="22">
        <f>IF(OR(O930="",N930="",N930="none",N930="404"),"",IF(N930="410","Redirect gone "&amp;O930,"Redirect "&amp;N930&amp;" "&amp;O930&amp;" "&amp;M930))</f>
        <v/>
      </c>
      <c r="Q930" s="22" t="n"/>
      <c r="R930" s="22" t="n"/>
      <c r="S930" s="22" t="n"/>
      <c r="T930" s="4">
        <f>IF(A930="","",TRIM(IF(K930="","Needs decision; ","")&amp;IF(AND(K930="Accept suggestion",F930=""),"No suggestion to accept; ","")&amp;IF(AND(K930="Override",L930=""),"Override URL missing; ","")&amp;IF(AND(K930="Accept suggestion",N(G930)&lt;$G$2),"Below your threshold; ","")&amp;IF(AND(M930&lt;&gt;"",M930=A930,K930&lt;&gt;"No change (same URL)"),"Redirects to itself; ","")&amp;IF(AND(M930&lt;&gt;"",OR(M930="/",AND(LEFT(M930,4)="http",OR((LEN(M930)-LEN(SUBSTITUTE(M930,"/","")))=2,AND((LEN(M930)-LEN(SUBSTITUTE(M930,"/","")))=3,RIGHT(M930,1)="/"))))),"Home page redirect; ","")&amp;IF(N(R930)&gt;1,"Chain; ","")&amp;IF(S930="No","Destination not 200; ","")))</f>
        <v/>
      </c>
      <c r="U930" s="22" t="n"/>
      <c r="V930" s="22" t="n"/>
      <c r="W930" s="4" t="n"/>
    </row>
    <row r="931">
      <c r="A931" s="22" t="n"/>
      <c r="B931" s="22" t="n"/>
      <c r="C931" s="22" t="n"/>
      <c r="D931" s="22">
        <f>IF(A931="","",IF(OR(N(B931)&gt;=$C$2,N(C931)&gt;=$E$2),"High",IF(OR(N(B931)&gt;0,N(C931)&gt;0),"Medium","Low")))</f>
        <v/>
      </c>
      <c r="E931" s="22" t="n"/>
      <c r="F931" s="22" t="n"/>
      <c r="G931" s="22" t="n"/>
      <c r="H931" s="22" t="n"/>
      <c r="I931" s="22" t="n"/>
      <c r="J931" s="22" t="n"/>
      <c r="K931" s="22" t="n"/>
      <c r="L931" s="22" t="n"/>
      <c r="M931" s="22">
        <f>IF(K931="Override",L931,IF(K931="Accept suggestion",F931,IF(K931="No change (same URL)",A931,"")))</f>
        <v/>
      </c>
      <c r="N931" s="22">
        <f>IF(A931="","",IF(K931="410 Gone","410",IF(K931="404","404",IF(K931="No change (same URL)","none",IF(M931="","","301")))))</f>
        <v/>
      </c>
      <c r="O931" s="22">
        <f>IF(A931="","",IFERROR(MID(A931,FIND("/",A931,FIND("//",A931)+2),2000),A931))</f>
        <v/>
      </c>
      <c r="P931" s="22">
        <f>IF(OR(O931="",N931="",N931="none",N931="404"),"",IF(N931="410","Redirect gone "&amp;O931,"Redirect "&amp;N931&amp;" "&amp;O931&amp;" "&amp;M931))</f>
        <v/>
      </c>
      <c r="Q931" s="22" t="n"/>
      <c r="R931" s="22" t="n"/>
      <c r="S931" s="22" t="n"/>
      <c r="T931" s="4">
        <f>IF(A931="","",TRIM(IF(K931="","Needs decision; ","")&amp;IF(AND(K931="Accept suggestion",F931=""),"No suggestion to accept; ","")&amp;IF(AND(K931="Override",L931=""),"Override URL missing; ","")&amp;IF(AND(K931="Accept suggestion",N(G931)&lt;$G$2),"Below your threshold; ","")&amp;IF(AND(M931&lt;&gt;"",M931=A931,K931&lt;&gt;"No change (same URL)"),"Redirects to itself; ","")&amp;IF(AND(M931&lt;&gt;"",OR(M931="/",AND(LEFT(M931,4)="http",OR((LEN(M931)-LEN(SUBSTITUTE(M931,"/","")))=2,AND((LEN(M931)-LEN(SUBSTITUTE(M931,"/","")))=3,RIGHT(M931,1)="/"))))),"Home page redirect; ","")&amp;IF(N(R931)&gt;1,"Chain; ","")&amp;IF(S931="No","Destination not 200; ","")))</f>
        <v/>
      </c>
      <c r="U931" s="22" t="n"/>
      <c r="V931" s="22" t="n"/>
      <c r="W931" s="4" t="n"/>
    </row>
    <row r="932">
      <c r="A932" s="22" t="n"/>
      <c r="B932" s="22" t="n"/>
      <c r="C932" s="22" t="n"/>
      <c r="D932" s="22">
        <f>IF(A932="","",IF(OR(N(B932)&gt;=$C$2,N(C932)&gt;=$E$2),"High",IF(OR(N(B932)&gt;0,N(C932)&gt;0),"Medium","Low")))</f>
        <v/>
      </c>
      <c r="E932" s="22" t="n"/>
      <c r="F932" s="22" t="n"/>
      <c r="G932" s="22" t="n"/>
      <c r="H932" s="22" t="n"/>
      <c r="I932" s="22" t="n"/>
      <c r="J932" s="22" t="n"/>
      <c r="K932" s="22" t="n"/>
      <c r="L932" s="22" t="n"/>
      <c r="M932" s="22">
        <f>IF(K932="Override",L932,IF(K932="Accept suggestion",F932,IF(K932="No change (same URL)",A932,"")))</f>
        <v/>
      </c>
      <c r="N932" s="22">
        <f>IF(A932="","",IF(K932="410 Gone","410",IF(K932="404","404",IF(K932="No change (same URL)","none",IF(M932="","","301")))))</f>
        <v/>
      </c>
      <c r="O932" s="22">
        <f>IF(A932="","",IFERROR(MID(A932,FIND("/",A932,FIND("//",A932)+2),2000),A932))</f>
        <v/>
      </c>
      <c r="P932" s="22">
        <f>IF(OR(O932="",N932="",N932="none",N932="404"),"",IF(N932="410","Redirect gone "&amp;O932,"Redirect "&amp;N932&amp;" "&amp;O932&amp;" "&amp;M932))</f>
        <v/>
      </c>
      <c r="Q932" s="22" t="n"/>
      <c r="R932" s="22" t="n"/>
      <c r="S932" s="22" t="n"/>
      <c r="T932" s="4">
        <f>IF(A932="","",TRIM(IF(K932="","Needs decision; ","")&amp;IF(AND(K932="Accept suggestion",F932=""),"No suggestion to accept; ","")&amp;IF(AND(K932="Override",L932=""),"Override URL missing; ","")&amp;IF(AND(K932="Accept suggestion",N(G932)&lt;$G$2),"Below your threshold; ","")&amp;IF(AND(M932&lt;&gt;"",M932=A932,K932&lt;&gt;"No change (same URL)"),"Redirects to itself; ","")&amp;IF(AND(M932&lt;&gt;"",OR(M932="/",AND(LEFT(M932,4)="http",OR((LEN(M932)-LEN(SUBSTITUTE(M932,"/","")))=2,AND((LEN(M932)-LEN(SUBSTITUTE(M932,"/","")))=3,RIGHT(M932,1)="/"))))),"Home page redirect; ","")&amp;IF(N(R932)&gt;1,"Chain; ","")&amp;IF(S932="No","Destination not 200; ","")))</f>
        <v/>
      </c>
      <c r="U932" s="22" t="n"/>
      <c r="V932" s="22" t="n"/>
      <c r="W932" s="4" t="n"/>
    </row>
    <row r="933">
      <c r="A933" s="22" t="n"/>
      <c r="B933" s="22" t="n"/>
      <c r="C933" s="22" t="n"/>
      <c r="D933" s="22">
        <f>IF(A933="","",IF(OR(N(B933)&gt;=$C$2,N(C933)&gt;=$E$2),"High",IF(OR(N(B933)&gt;0,N(C933)&gt;0),"Medium","Low")))</f>
        <v/>
      </c>
      <c r="E933" s="22" t="n"/>
      <c r="F933" s="22" t="n"/>
      <c r="G933" s="22" t="n"/>
      <c r="H933" s="22" t="n"/>
      <c r="I933" s="22" t="n"/>
      <c r="J933" s="22" t="n"/>
      <c r="K933" s="22" t="n"/>
      <c r="L933" s="22" t="n"/>
      <c r="M933" s="22">
        <f>IF(K933="Override",L933,IF(K933="Accept suggestion",F933,IF(K933="No change (same URL)",A933,"")))</f>
        <v/>
      </c>
      <c r="N933" s="22">
        <f>IF(A933="","",IF(K933="410 Gone","410",IF(K933="404","404",IF(K933="No change (same URL)","none",IF(M933="","","301")))))</f>
        <v/>
      </c>
      <c r="O933" s="22">
        <f>IF(A933="","",IFERROR(MID(A933,FIND("/",A933,FIND("//",A933)+2),2000),A933))</f>
        <v/>
      </c>
      <c r="P933" s="22">
        <f>IF(OR(O933="",N933="",N933="none",N933="404"),"",IF(N933="410","Redirect gone "&amp;O933,"Redirect "&amp;N933&amp;" "&amp;O933&amp;" "&amp;M933))</f>
        <v/>
      </c>
      <c r="Q933" s="22" t="n"/>
      <c r="R933" s="22" t="n"/>
      <c r="S933" s="22" t="n"/>
      <c r="T933" s="4">
        <f>IF(A933="","",TRIM(IF(K933="","Needs decision; ","")&amp;IF(AND(K933="Accept suggestion",F933=""),"No suggestion to accept; ","")&amp;IF(AND(K933="Override",L933=""),"Override URL missing; ","")&amp;IF(AND(K933="Accept suggestion",N(G933)&lt;$G$2),"Below your threshold; ","")&amp;IF(AND(M933&lt;&gt;"",M933=A933,K933&lt;&gt;"No change (same URL)"),"Redirects to itself; ","")&amp;IF(AND(M933&lt;&gt;"",OR(M933="/",AND(LEFT(M933,4)="http",OR((LEN(M933)-LEN(SUBSTITUTE(M933,"/","")))=2,AND((LEN(M933)-LEN(SUBSTITUTE(M933,"/","")))=3,RIGHT(M933,1)="/"))))),"Home page redirect; ","")&amp;IF(N(R933)&gt;1,"Chain; ","")&amp;IF(S933="No","Destination not 200; ","")))</f>
        <v/>
      </c>
      <c r="U933" s="22" t="n"/>
      <c r="V933" s="22" t="n"/>
      <c r="W933" s="4" t="n"/>
    </row>
    <row r="934">
      <c r="A934" s="22" t="n"/>
      <c r="B934" s="22" t="n"/>
      <c r="C934" s="22" t="n"/>
      <c r="D934" s="22">
        <f>IF(A934="","",IF(OR(N(B934)&gt;=$C$2,N(C934)&gt;=$E$2),"High",IF(OR(N(B934)&gt;0,N(C934)&gt;0),"Medium","Low")))</f>
        <v/>
      </c>
      <c r="E934" s="22" t="n"/>
      <c r="F934" s="22" t="n"/>
      <c r="G934" s="22" t="n"/>
      <c r="H934" s="22" t="n"/>
      <c r="I934" s="22" t="n"/>
      <c r="J934" s="22" t="n"/>
      <c r="K934" s="22" t="n"/>
      <c r="L934" s="22" t="n"/>
      <c r="M934" s="22">
        <f>IF(K934="Override",L934,IF(K934="Accept suggestion",F934,IF(K934="No change (same URL)",A934,"")))</f>
        <v/>
      </c>
      <c r="N934" s="22">
        <f>IF(A934="","",IF(K934="410 Gone","410",IF(K934="404","404",IF(K934="No change (same URL)","none",IF(M934="","","301")))))</f>
        <v/>
      </c>
      <c r="O934" s="22">
        <f>IF(A934="","",IFERROR(MID(A934,FIND("/",A934,FIND("//",A934)+2),2000),A934))</f>
        <v/>
      </c>
      <c r="P934" s="22">
        <f>IF(OR(O934="",N934="",N934="none",N934="404"),"",IF(N934="410","Redirect gone "&amp;O934,"Redirect "&amp;N934&amp;" "&amp;O934&amp;" "&amp;M934))</f>
        <v/>
      </c>
      <c r="Q934" s="22" t="n"/>
      <c r="R934" s="22" t="n"/>
      <c r="S934" s="22" t="n"/>
      <c r="T934" s="4">
        <f>IF(A934="","",TRIM(IF(K934="","Needs decision; ","")&amp;IF(AND(K934="Accept suggestion",F934=""),"No suggestion to accept; ","")&amp;IF(AND(K934="Override",L934=""),"Override URL missing; ","")&amp;IF(AND(K934="Accept suggestion",N(G934)&lt;$G$2),"Below your threshold; ","")&amp;IF(AND(M934&lt;&gt;"",M934=A934,K934&lt;&gt;"No change (same URL)"),"Redirects to itself; ","")&amp;IF(AND(M934&lt;&gt;"",OR(M934="/",AND(LEFT(M934,4)="http",OR((LEN(M934)-LEN(SUBSTITUTE(M934,"/","")))=2,AND((LEN(M934)-LEN(SUBSTITUTE(M934,"/","")))=3,RIGHT(M934,1)="/"))))),"Home page redirect; ","")&amp;IF(N(R934)&gt;1,"Chain; ","")&amp;IF(S934="No","Destination not 200; ","")))</f>
        <v/>
      </c>
      <c r="U934" s="22" t="n"/>
      <c r="V934" s="22" t="n"/>
      <c r="W934" s="4" t="n"/>
    </row>
    <row r="935">
      <c r="A935" s="22" t="n"/>
      <c r="B935" s="22" t="n"/>
      <c r="C935" s="22" t="n"/>
      <c r="D935" s="22">
        <f>IF(A935="","",IF(OR(N(B935)&gt;=$C$2,N(C935)&gt;=$E$2),"High",IF(OR(N(B935)&gt;0,N(C935)&gt;0),"Medium","Low")))</f>
        <v/>
      </c>
      <c r="E935" s="22" t="n"/>
      <c r="F935" s="22" t="n"/>
      <c r="G935" s="22" t="n"/>
      <c r="H935" s="22" t="n"/>
      <c r="I935" s="22" t="n"/>
      <c r="J935" s="22" t="n"/>
      <c r="K935" s="22" t="n"/>
      <c r="L935" s="22" t="n"/>
      <c r="M935" s="22">
        <f>IF(K935="Override",L935,IF(K935="Accept suggestion",F935,IF(K935="No change (same URL)",A935,"")))</f>
        <v/>
      </c>
      <c r="N935" s="22">
        <f>IF(A935="","",IF(K935="410 Gone","410",IF(K935="404","404",IF(K935="No change (same URL)","none",IF(M935="","","301")))))</f>
        <v/>
      </c>
      <c r="O935" s="22">
        <f>IF(A935="","",IFERROR(MID(A935,FIND("/",A935,FIND("//",A935)+2),2000),A935))</f>
        <v/>
      </c>
      <c r="P935" s="22">
        <f>IF(OR(O935="",N935="",N935="none",N935="404"),"",IF(N935="410","Redirect gone "&amp;O935,"Redirect "&amp;N935&amp;" "&amp;O935&amp;" "&amp;M935))</f>
        <v/>
      </c>
      <c r="Q935" s="22" t="n"/>
      <c r="R935" s="22" t="n"/>
      <c r="S935" s="22" t="n"/>
      <c r="T935" s="4">
        <f>IF(A935="","",TRIM(IF(K935="","Needs decision; ","")&amp;IF(AND(K935="Accept suggestion",F935=""),"No suggestion to accept; ","")&amp;IF(AND(K935="Override",L935=""),"Override URL missing; ","")&amp;IF(AND(K935="Accept suggestion",N(G935)&lt;$G$2),"Below your threshold; ","")&amp;IF(AND(M935&lt;&gt;"",M935=A935,K935&lt;&gt;"No change (same URL)"),"Redirects to itself; ","")&amp;IF(AND(M935&lt;&gt;"",OR(M935="/",AND(LEFT(M935,4)="http",OR((LEN(M935)-LEN(SUBSTITUTE(M935,"/","")))=2,AND((LEN(M935)-LEN(SUBSTITUTE(M935,"/","")))=3,RIGHT(M935,1)="/"))))),"Home page redirect; ","")&amp;IF(N(R935)&gt;1,"Chain; ","")&amp;IF(S935="No","Destination not 200; ","")))</f>
        <v/>
      </c>
      <c r="U935" s="22" t="n"/>
      <c r="V935" s="22" t="n"/>
      <c r="W935" s="4" t="n"/>
    </row>
    <row r="936">
      <c r="A936" s="22" t="n"/>
      <c r="B936" s="22" t="n"/>
      <c r="C936" s="22" t="n"/>
      <c r="D936" s="22">
        <f>IF(A936="","",IF(OR(N(B936)&gt;=$C$2,N(C936)&gt;=$E$2),"High",IF(OR(N(B936)&gt;0,N(C936)&gt;0),"Medium","Low")))</f>
        <v/>
      </c>
      <c r="E936" s="22" t="n"/>
      <c r="F936" s="22" t="n"/>
      <c r="G936" s="22" t="n"/>
      <c r="H936" s="22" t="n"/>
      <c r="I936" s="22" t="n"/>
      <c r="J936" s="22" t="n"/>
      <c r="K936" s="22" t="n"/>
      <c r="L936" s="22" t="n"/>
      <c r="M936" s="22">
        <f>IF(K936="Override",L936,IF(K936="Accept suggestion",F936,IF(K936="No change (same URL)",A936,"")))</f>
        <v/>
      </c>
      <c r="N936" s="22">
        <f>IF(A936="","",IF(K936="410 Gone","410",IF(K936="404","404",IF(K936="No change (same URL)","none",IF(M936="","","301")))))</f>
        <v/>
      </c>
      <c r="O936" s="22">
        <f>IF(A936="","",IFERROR(MID(A936,FIND("/",A936,FIND("//",A936)+2),2000),A936))</f>
        <v/>
      </c>
      <c r="P936" s="22">
        <f>IF(OR(O936="",N936="",N936="none",N936="404"),"",IF(N936="410","Redirect gone "&amp;O936,"Redirect "&amp;N936&amp;" "&amp;O936&amp;" "&amp;M936))</f>
        <v/>
      </c>
      <c r="Q936" s="22" t="n"/>
      <c r="R936" s="22" t="n"/>
      <c r="S936" s="22" t="n"/>
      <c r="T936" s="4">
        <f>IF(A936="","",TRIM(IF(K936="","Needs decision; ","")&amp;IF(AND(K936="Accept suggestion",F936=""),"No suggestion to accept; ","")&amp;IF(AND(K936="Override",L936=""),"Override URL missing; ","")&amp;IF(AND(K936="Accept suggestion",N(G936)&lt;$G$2),"Below your threshold; ","")&amp;IF(AND(M936&lt;&gt;"",M936=A936,K936&lt;&gt;"No change (same URL)"),"Redirects to itself; ","")&amp;IF(AND(M936&lt;&gt;"",OR(M936="/",AND(LEFT(M936,4)="http",OR((LEN(M936)-LEN(SUBSTITUTE(M936,"/","")))=2,AND((LEN(M936)-LEN(SUBSTITUTE(M936,"/","")))=3,RIGHT(M936,1)="/"))))),"Home page redirect; ","")&amp;IF(N(R936)&gt;1,"Chain; ","")&amp;IF(S936="No","Destination not 200; ","")))</f>
        <v/>
      </c>
      <c r="U936" s="22" t="n"/>
      <c r="V936" s="22" t="n"/>
      <c r="W936" s="4" t="n"/>
    </row>
    <row r="937">
      <c r="A937" s="22" t="n"/>
      <c r="B937" s="22" t="n"/>
      <c r="C937" s="22" t="n"/>
      <c r="D937" s="22">
        <f>IF(A937="","",IF(OR(N(B937)&gt;=$C$2,N(C937)&gt;=$E$2),"High",IF(OR(N(B937)&gt;0,N(C937)&gt;0),"Medium","Low")))</f>
        <v/>
      </c>
      <c r="E937" s="22" t="n"/>
      <c r="F937" s="22" t="n"/>
      <c r="G937" s="22" t="n"/>
      <c r="H937" s="22" t="n"/>
      <c r="I937" s="22" t="n"/>
      <c r="J937" s="22" t="n"/>
      <c r="K937" s="22" t="n"/>
      <c r="L937" s="22" t="n"/>
      <c r="M937" s="22">
        <f>IF(K937="Override",L937,IF(K937="Accept suggestion",F937,IF(K937="No change (same URL)",A937,"")))</f>
        <v/>
      </c>
      <c r="N937" s="22">
        <f>IF(A937="","",IF(K937="410 Gone","410",IF(K937="404","404",IF(K937="No change (same URL)","none",IF(M937="","","301")))))</f>
        <v/>
      </c>
      <c r="O937" s="22">
        <f>IF(A937="","",IFERROR(MID(A937,FIND("/",A937,FIND("//",A937)+2),2000),A937))</f>
        <v/>
      </c>
      <c r="P937" s="22">
        <f>IF(OR(O937="",N937="",N937="none",N937="404"),"",IF(N937="410","Redirect gone "&amp;O937,"Redirect "&amp;N937&amp;" "&amp;O937&amp;" "&amp;M937))</f>
        <v/>
      </c>
      <c r="Q937" s="22" t="n"/>
      <c r="R937" s="22" t="n"/>
      <c r="S937" s="22" t="n"/>
      <c r="T937" s="4">
        <f>IF(A937="","",TRIM(IF(K937="","Needs decision; ","")&amp;IF(AND(K937="Accept suggestion",F937=""),"No suggestion to accept; ","")&amp;IF(AND(K937="Override",L937=""),"Override URL missing; ","")&amp;IF(AND(K937="Accept suggestion",N(G937)&lt;$G$2),"Below your threshold; ","")&amp;IF(AND(M937&lt;&gt;"",M937=A937,K937&lt;&gt;"No change (same URL)"),"Redirects to itself; ","")&amp;IF(AND(M937&lt;&gt;"",OR(M937="/",AND(LEFT(M937,4)="http",OR((LEN(M937)-LEN(SUBSTITUTE(M937,"/","")))=2,AND((LEN(M937)-LEN(SUBSTITUTE(M937,"/","")))=3,RIGHT(M937,1)="/"))))),"Home page redirect; ","")&amp;IF(N(R937)&gt;1,"Chain; ","")&amp;IF(S937="No","Destination not 200; ","")))</f>
        <v/>
      </c>
      <c r="U937" s="22" t="n"/>
      <c r="V937" s="22" t="n"/>
      <c r="W937" s="4" t="n"/>
    </row>
    <row r="938">
      <c r="A938" s="22" t="n"/>
      <c r="B938" s="22" t="n"/>
      <c r="C938" s="22" t="n"/>
      <c r="D938" s="22">
        <f>IF(A938="","",IF(OR(N(B938)&gt;=$C$2,N(C938)&gt;=$E$2),"High",IF(OR(N(B938)&gt;0,N(C938)&gt;0),"Medium","Low")))</f>
        <v/>
      </c>
      <c r="E938" s="22" t="n"/>
      <c r="F938" s="22" t="n"/>
      <c r="G938" s="22" t="n"/>
      <c r="H938" s="22" t="n"/>
      <c r="I938" s="22" t="n"/>
      <c r="J938" s="22" t="n"/>
      <c r="K938" s="22" t="n"/>
      <c r="L938" s="22" t="n"/>
      <c r="M938" s="22">
        <f>IF(K938="Override",L938,IF(K938="Accept suggestion",F938,IF(K938="No change (same URL)",A938,"")))</f>
        <v/>
      </c>
      <c r="N938" s="22">
        <f>IF(A938="","",IF(K938="410 Gone","410",IF(K938="404","404",IF(K938="No change (same URL)","none",IF(M938="","","301")))))</f>
        <v/>
      </c>
      <c r="O938" s="22">
        <f>IF(A938="","",IFERROR(MID(A938,FIND("/",A938,FIND("//",A938)+2),2000),A938))</f>
        <v/>
      </c>
      <c r="P938" s="22">
        <f>IF(OR(O938="",N938="",N938="none",N938="404"),"",IF(N938="410","Redirect gone "&amp;O938,"Redirect "&amp;N938&amp;" "&amp;O938&amp;" "&amp;M938))</f>
        <v/>
      </c>
      <c r="Q938" s="22" t="n"/>
      <c r="R938" s="22" t="n"/>
      <c r="S938" s="22" t="n"/>
      <c r="T938" s="4">
        <f>IF(A938="","",TRIM(IF(K938="","Needs decision; ","")&amp;IF(AND(K938="Accept suggestion",F938=""),"No suggestion to accept; ","")&amp;IF(AND(K938="Override",L938=""),"Override URL missing; ","")&amp;IF(AND(K938="Accept suggestion",N(G938)&lt;$G$2),"Below your threshold; ","")&amp;IF(AND(M938&lt;&gt;"",M938=A938,K938&lt;&gt;"No change (same URL)"),"Redirects to itself; ","")&amp;IF(AND(M938&lt;&gt;"",OR(M938="/",AND(LEFT(M938,4)="http",OR((LEN(M938)-LEN(SUBSTITUTE(M938,"/","")))=2,AND((LEN(M938)-LEN(SUBSTITUTE(M938,"/","")))=3,RIGHT(M938,1)="/"))))),"Home page redirect; ","")&amp;IF(N(R938)&gt;1,"Chain; ","")&amp;IF(S938="No","Destination not 200; ","")))</f>
        <v/>
      </c>
      <c r="U938" s="22" t="n"/>
      <c r="V938" s="22" t="n"/>
      <c r="W938" s="4" t="n"/>
    </row>
    <row r="939">
      <c r="A939" s="22" t="n"/>
      <c r="B939" s="22" t="n"/>
      <c r="C939" s="22" t="n"/>
      <c r="D939" s="22">
        <f>IF(A939="","",IF(OR(N(B939)&gt;=$C$2,N(C939)&gt;=$E$2),"High",IF(OR(N(B939)&gt;0,N(C939)&gt;0),"Medium","Low")))</f>
        <v/>
      </c>
      <c r="E939" s="22" t="n"/>
      <c r="F939" s="22" t="n"/>
      <c r="G939" s="22" t="n"/>
      <c r="H939" s="22" t="n"/>
      <c r="I939" s="22" t="n"/>
      <c r="J939" s="22" t="n"/>
      <c r="K939" s="22" t="n"/>
      <c r="L939" s="22" t="n"/>
      <c r="M939" s="22">
        <f>IF(K939="Override",L939,IF(K939="Accept suggestion",F939,IF(K939="No change (same URL)",A939,"")))</f>
        <v/>
      </c>
      <c r="N939" s="22">
        <f>IF(A939="","",IF(K939="410 Gone","410",IF(K939="404","404",IF(K939="No change (same URL)","none",IF(M939="","","301")))))</f>
        <v/>
      </c>
      <c r="O939" s="22">
        <f>IF(A939="","",IFERROR(MID(A939,FIND("/",A939,FIND("//",A939)+2),2000),A939))</f>
        <v/>
      </c>
      <c r="P939" s="22">
        <f>IF(OR(O939="",N939="",N939="none",N939="404"),"",IF(N939="410","Redirect gone "&amp;O939,"Redirect "&amp;N939&amp;" "&amp;O939&amp;" "&amp;M939))</f>
        <v/>
      </c>
      <c r="Q939" s="22" t="n"/>
      <c r="R939" s="22" t="n"/>
      <c r="S939" s="22" t="n"/>
      <c r="T939" s="4">
        <f>IF(A939="","",TRIM(IF(K939="","Needs decision; ","")&amp;IF(AND(K939="Accept suggestion",F939=""),"No suggestion to accept; ","")&amp;IF(AND(K939="Override",L939=""),"Override URL missing; ","")&amp;IF(AND(K939="Accept suggestion",N(G939)&lt;$G$2),"Below your threshold; ","")&amp;IF(AND(M939&lt;&gt;"",M939=A939,K939&lt;&gt;"No change (same URL)"),"Redirects to itself; ","")&amp;IF(AND(M939&lt;&gt;"",OR(M939="/",AND(LEFT(M939,4)="http",OR((LEN(M939)-LEN(SUBSTITUTE(M939,"/","")))=2,AND((LEN(M939)-LEN(SUBSTITUTE(M939,"/","")))=3,RIGHT(M939,1)="/"))))),"Home page redirect; ","")&amp;IF(N(R939)&gt;1,"Chain; ","")&amp;IF(S939="No","Destination not 200; ","")))</f>
        <v/>
      </c>
      <c r="U939" s="22" t="n"/>
      <c r="V939" s="22" t="n"/>
      <c r="W939" s="4" t="n"/>
    </row>
    <row r="940">
      <c r="A940" s="22" t="n"/>
      <c r="B940" s="22" t="n"/>
      <c r="C940" s="22" t="n"/>
      <c r="D940" s="22">
        <f>IF(A940="","",IF(OR(N(B940)&gt;=$C$2,N(C940)&gt;=$E$2),"High",IF(OR(N(B940)&gt;0,N(C940)&gt;0),"Medium","Low")))</f>
        <v/>
      </c>
      <c r="E940" s="22" t="n"/>
      <c r="F940" s="22" t="n"/>
      <c r="G940" s="22" t="n"/>
      <c r="H940" s="22" t="n"/>
      <c r="I940" s="22" t="n"/>
      <c r="J940" s="22" t="n"/>
      <c r="K940" s="22" t="n"/>
      <c r="L940" s="22" t="n"/>
      <c r="M940" s="22">
        <f>IF(K940="Override",L940,IF(K940="Accept suggestion",F940,IF(K940="No change (same URL)",A940,"")))</f>
        <v/>
      </c>
      <c r="N940" s="22">
        <f>IF(A940="","",IF(K940="410 Gone","410",IF(K940="404","404",IF(K940="No change (same URL)","none",IF(M940="","","301")))))</f>
        <v/>
      </c>
      <c r="O940" s="22">
        <f>IF(A940="","",IFERROR(MID(A940,FIND("/",A940,FIND("//",A940)+2),2000),A940))</f>
        <v/>
      </c>
      <c r="P940" s="22">
        <f>IF(OR(O940="",N940="",N940="none",N940="404"),"",IF(N940="410","Redirect gone "&amp;O940,"Redirect "&amp;N940&amp;" "&amp;O940&amp;" "&amp;M940))</f>
        <v/>
      </c>
      <c r="Q940" s="22" t="n"/>
      <c r="R940" s="22" t="n"/>
      <c r="S940" s="22" t="n"/>
      <c r="T940" s="4">
        <f>IF(A940="","",TRIM(IF(K940="","Needs decision; ","")&amp;IF(AND(K940="Accept suggestion",F940=""),"No suggestion to accept; ","")&amp;IF(AND(K940="Override",L940=""),"Override URL missing; ","")&amp;IF(AND(K940="Accept suggestion",N(G940)&lt;$G$2),"Below your threshold; ","")&amp;IF(AND(M940&lt;&gt;"",M940=A940,K940&lt;&gt;"No change (same URL)"),"Redirects to itself; ","")&amp;IF(AND(M940&lt;&gt;"",OR(M940="/",AND(LEFT(M940,4)="http",OR((LEN(M940)-LEN(SUBSTITUTE(M940,"/","")))=2,AND((LEN(M940)-LEN(SUBSTITUTE(M940,"/","")))=3,RIGHT(M940,1)="/"))))),"Home page redirect; ","")&amp;IF(N(R940)&gt;1,"Chain; ","")&amp;IF(S940="No","Destination not 200; ","")))</f>
        <v/>
      </c>
      <c r="U940" s="22" t="n"/>
      <c r="V940" s="22" t="n"/>
      <c r="W940" s="4" t="n"/>
    </row>
    <row r="941">
      <c r="A941" s="22" t="n"/>
      <c r="B941" s="22" t="n"/>
      <c r="C941" s="22" t="n"/>
      <c r="D941" s="22">
        <f>IF(A941="","",IF(OR(N(B941)&gt;=$C$2,N(C941)&gt;=$E$2),"High",IF(OR(N(B941)&gt;0,N(C941)&gt;0),"Medium","Low")))</f>
        <v/>
      </c>
      <c r="E941" s="22" t="n"/>
      <c r="F941" s="22" t="n"/>
      <c r="G941" s="22" t="n"/>
      <c r="H941" s="22" t="n"/>
      <c r="I941" s="22" t="n"/>
      <c r="J941" s="22" t="n"/>
      <c r="K941" s="22" t="n"/>
      <c r="L941" s="22" t="n"/>
      <c r="M941" s="22">
        <f>IF(K941="Override",L941,IF(K941="Accept suggestion",F941,IF(K941="No change (same URL)",A941,"")))</f>
        <v/>
      </c>
      <c r="N941" s="22">
        <f>IF(A941="","",IF(K941="410 Gone","410",IF(K941="404","404",IF(K941="No change (same URL)","none",IF(M941="","","301")))))</f>
        <v/>
      </c>
      <c r="O941" s="22">
        <f>IF(A941="","",IFERROR(MID(A941,FIND("/",A941,FIND("//",A941)+2),2000),A941))</f>
        <v/>
      </c>
      <c r="P941" s="22">
        <f>IF(OR(O941="",N941="",N941="none",N941="404"),"",IF(N941="410","Redirect gone "&amp;O941,"Redirect "&amp;N941&amp;" "&amp;O941&amp;" "&amp;M941))</f>
        <v/>
      </c>
      <c r="Q941" s="22" t="n"/>
      <c r="R941" s="22" t="n"/>
      <c r="S941" s="22" t="n"/>
      <c r="T941" s="4">
        <f>IF(A941="","",TRIM(IF(K941="","Needs decision; ","")&amp;IF(AND(K941="Accept suggestion",F941=""),"No suggestion to accept; ","")&amp;IF(AND(K941="Override",L941=""),"Override URL missing; ","")&amp;IF(AND(K941="Accept suggestion",N(G941)&lt;$G$2),"Below your threshold; ","")&amp;IF(AND(M941&lt;&gt;"",M941=A941,K941&lt;&gt;"No change (same URL)"),"Redirects to itself; ","")&amp;IF(AND(M941&lt;&gt;"",OR(M941="/",AND(LEFT(M941,4)="http",OR((LEN(M941)-LEN(SUBSTITUTE(M941,"/","")))=2,AND((LEN(M941)-LEN(SUBSTITUTE(M941,"/","")))=3,RIGHT(M941,1)="/"))))),"Home page redirect; ","")&amp;IF(N(R941)&gt;1,"Chain; ","")&amp;IF(S941="No","Destination not 200; ","")))</f>
        <v/>
      </c>
      <c r="U941" s="22" t="n"/>
      <c r="V941" s="22" t="n"/>
      <c r="W941" s="4" t="n"/>
    </row>
    <row r="942">
      <c r="A942" s="22" t="n"/>
      <c r="B942" s="22" t="n"/>
      <c r="C942" s="22" t="n"/>
      <c r="D942" s="22">
        <f>IF(A942="","",IF(OR(N(B942)&gt;=$C$2,N(C942)&gt;=$E$2),"High",IF(OR(N(B942)&gt;0,N(C942)&gt;0),"Medium","Low")))</f>
        <v/>
      </c>
      <c r="E942" s="22" t="n"/>
      <c r="F942" s="22" t="n"/>
      <c r="G942" s="22" t="n"/>
      <c r="H942" s="22" t="n"/>
      <c r="I942" s="22" t="n"/>
      <c r="J942" s="22" t="n"/>
      <c r="K942" s="22" t="n"/>
      <c r="L942" s="22" t="n"/>
      <c r="M942" s="22">
        <f>IF(K942="Override",L942,IF(K942="Accept suggestion",F942,IF(K942="No change (same URL)",A942,"")))</f>
        <v/>
      </c>
      <c r="N942" s="22">
        <f>IF(A942="","",IF(K942="410 Gone","410",IF(K942="404","404",IF(K942="No change (same URL)","none",IF(M942="","","301")))))</f>
        <v/>
      </c>
      <c r="O942" s="22">
        <f>IF(A942="","",IFERROR(MID(A942,FIND("/",A942,FIND("//",A942)+2),2000),A942))</f>
        <v/>
      </c>
      <c r="P942" s="22">
        <f>IF(OR(O942="",N942="",N942="none",N942="404"),"",IF(N942="410","Redirect gone "&amp;O942,"Redirect "&amp;N942&amp;" "&amp;O942&amp;" "&amp;M942))</f>
        <v/>
      </c>
      <c r="Q942" s="22" t="n"/>
      <c r="R942" s="22" t="n"/>
      <c r="S942" s="22" t="n"/>
      <c r="T942" s="4">
        <f>IF(A942="","",TRIM(IF(K942="","Needs decision; ","")&amp;IF(AND(K942="Accept suggestion",F942=""),"No suggestion to accept; ","")&amp;IF(AND(K942="Override",L942=""),"Override URL missing; ","")&amp;IF(AND(K942="Accept suggestion",N(G942)&lt;$G$2),"Below your threshold; ","")&amp;IF(AND(M942&lt;&gt;"",M942=A942,K942&lt;&gt;"No change (same URL)"),"Redirects to itself; ","")&amp;IF(AND(M942&lt;&gt;"",OR(M942="/",AND(LEFT(M942,4)="http",OR((LEN(M942)-LEN(SUBSTITUTE(M942,"/","")))=2,AND((LEN(M942)-LEN(SUBSTITUTE(M942,"/","")))=3,RIGHT(M942,1)="/"))))),"Home page redirect; ","")&amp;IF(N(R942)&gt;1,"Chain; ","")&amp;IF(S942="No","Destination not 200; ","")))</f>
        <v/>
      </c>
      <c r="U942" s="22" t="n"/>
      <c r="V942" s="22" t="n"/>
      <c r="W942" s="4" t="n"/>
    </row>
    <row r="943">
      <c r="A943" s="22" t="n"/>
      <c r="B943" s="22" t="n"/>
      <c r="C943" s="22" t="n"/>
      <c r="D943" s="22">
        <f>IF(A943="","",IF(OR(N(B943)&gt;=$C$2,N(C943)&gt;=$E$2),"High",IF(OR(N(B943)&gt;0,N(C943)&gt;0),"Medium","Low")))</f>
        <v/>
      </c>
      <c r="E943" s="22" t="n"/>
      <c r="F943" s="22" t="n"/>
      <c r="G943" s="22" t="n"/>
      <c r="H943" s="22" t="n"/>
      <c r="I943" s="22" t="n"/>
      <c r="J943" s="22" t="n"/>
      <c r="K943" s="22" t="n"/>
      <c r="L943" s="22" t="n"/>
      <c r="M943" s="22">
        <f>IF(K943="Override",L943,IF(K943="Accept suggestion",F943,IF(K943="No change (same URL)",A943,"")))</f>
        <v/>
      </c>
      <c r="N943" s="22">
        <f>IF(A943="","",IF(K943="410 Gone","410",IF(K943="404","404",IF(K943="No change (same URL)","none",IF(M943="","","301")))))</f>
        <v/>
      </c>
      <c r="O943" s="22">
        <f>IF(A943="","",IFERROR(MID(A943,FIND("/",A943,FIND("//",A943)+2),2000),A943))</f>
        <v/>
      </c>
      <c r="P943" s="22">
        <f>IF(OR(O943="",N943="",N943="none",N943="404"),"",IF(N943="410","Redirect gone "&amp;O943,"Redirect "&amp;N943&amp;" "&amp;O943&amp;" "&amp;M943))</f>
        <v/>
      </c>
      <c r="Q943" s="22" t="n"/>
      <c r="R943" s="22" t="n"/>
      <c r="S943" s="22" t="n"/>
      <c r="T943" s="4">
        <f>IF(A943="","",TRIM(IF(K943="","Needs decision; ","")&amp;IF(AND(K943="Accept suggestion",F943=""),"No suggestion to accept; ","")&amp;IF(AND(K943="Override",L943=""),"Override URL missing; ","")&amp;IF(AND(K943="Accept suggestion",N(G943)&lt;$G$2),"Below your threshold; ","")&amp;IF(AND(M943&lt;&gt;"",M943=A943,K943&lt;&gt;"No change (same URL)"),"Redirects to itself; ","")&amp;IF(AND(M943&lt;&gt;"",OR(M943="/",AND(LEFT(M943,4)="http",OR((LEN(M943)-LEN(SUBSTITUTE(M943,"/","")))=2,AND((LEN(M943)-LEN(SUBSTITUTE(M943,"/","")))=3,RIGHT(M943,1)="/"))))),"Home page redirect; ","")&amp;IF(N(R943)&gt;1,"Chain; ","")&amp;IF(S943="No","Destination not 200; ","")))</f>
        <v/>
      </c>
      <c r="U943" s="22" t="n"/>
      <c r="V943" s="22" t="n"/>
      <c r="W943" s="4" t="n"/>
    </row>
    <row r="944">
      <c r="A944" s="22" t="n"/>
      <c r="B944" s="22" t="n"/>
      <c r="C944" s="22" t="n"/>
      <c r="D944" s="22">
        <f>IF(A944="","",IF(OR(N(B944)&gt;=$C$2,N(C944)&gt;=$E$2),"High",IF(OR(N(B944)&gt;0,N(C944)&gt;0),"Medium","Low")))</f>
        <v/>
      </c>
      <c r="E944" s="22" t="n"/>
      <c r="F944" s="22" t="n"/>
      <c r="G944" s="22" t="n"/>
      <c r="H944" s="22" t="n"/>
      <c r="I944" s="22" t="n"/>
      <c r="J944" s="22" t="n"/>
      <c r="K944" s="22" t="n"/>
      <c r="L944" s="22" t="n"/>
      <c r="M944" s="22">
        <f>IF(K944="Override",L944,IF(K944="Accept suggestion",F944,IF(K944="No change (same URL)",A944,"")))</f>
        <v/>
      </c>
      <c r="N944" s="22">
        <f>IF(A944="","",IF(K944="410 Gone","410",IF(K944="404","404",IF(K944="No change (same URL)","none",IF(M944="","","301")))))</f>
        <v/>
      </c>
      <c r="O944" s="22">
        <f>IF(A944="","",IFERROR(MID(A944,FIND("/",A944,FIND("//",A944)+2),2000),A944))</f>
        <v/>
      </c>
      <c r="P944" s="22">
        <f>IF(OR(O944="",N944="",N944="none",N944="404"),"",IF(N944="410","Redirect gone "&amp;O944,"Redirect "&amp;N944&amp;" "&amp;O944&amp;" "&amp;M944))</f>
        <v/>
      </c>
      <c r="Q944" s="22" t="n"/>
      <c r="R944" s="22" t="n"/>
      <c r="S944" s="22" t="n"/>
      <c r="T944" s="4">
        <f>IF(A944="","",TRIM(IF(K944="","Needs decision; ","")&amp;IF(AND(K944="Accept suggestion",F944=""),"No suggestion to accept; ","")&amp;IF(AND(K944="Override",L944=""),"Override URL missing; ","")&amp;IF(AND(K944="Accept suggestion",N(G944)&lt;$G$2),"Below your threshold; ","")&amp;IF(AND(M944&lt;&gt;"",M944=A944,K944&lt;&gt;"No change (same URL)"),"Redirects to itself; ","")&amp;IF(AND(M944&lt;&gt;"",OR(M944="/",AND(LEFT(M944,4)="http",OR((LEN(M944)-LEN(SUBSTITUTE(M944,"/","")))=2,AND((LEN(M944)-LEN(SUBSTITUTE(M944,"/","")))=3,RIGHT(M944,1)="/"))))),"Home page redirect; ","")&amp;IF(N(R944)&gt;1,"Chain; ","")&amp;IF(S944="No","Destination not 200; ","")))</f>
        <v/>
      </c>
      <c r="U944" s="22" t="n"/>
      <c r="V944" s="22" t="n"/>
      <c r="W944" s="4" t="n"/>
    </row>
    <row r="945">
      <c r="A945" s="22" t="n"/>
      <c r="B945" s="22" t="n"/>
      <c r="C945" s="22" t="n"/>
      <c r="D945" s="22">
        <f>IF(A945="","",IF(OR(N(B945)&gt;=$C$2,N(C945)&gt;=$E$2),"High",IF(OR(N(B945)&gt;0,N(C945)&gt;0),"Medium","Low")))</f>
        <v/>
      </c>
      <c r="E945" s="22" t="n"/>
      <c r="F945" s="22" t="n"/>
      <c r="G945" s="22" t="n"/>
      <c r="H945" s="22" t="n"/>
      <c r="I945" s="22" t="n"/>
      <c r="J945" s="22" t="n"/>
      <c r="K945" s="22" t="n"/>
      <c r="L945" s="22" t="n"/>
      <c r="M945" s="22">
        <f>IF(K945="Override",L945,IF(K945="Accept suggestion",F945,IF(K945="No change (same URL)",A945,"")))</f>
        <v/>
      </c>
      <c r="N945" s="22">
        <f>IF(A945="","",IF(K945="410 Gone","410",IF(K945="404","404",IF(K945="No change (same URL)","none",IF(M945="","","301")))))</f>
        <v/>
      </c>
      <c r="O945" s="22">
        <f>IF(A945="","",IFERROR(MID(A945,FIND("/",A945,FIND("//",A945)+2),2000),A945))</f>
        <v/>
      </c>
      <c r="P945" s="22">
        <f>IF(OR(O945="",N945="",N945="none",N945="404"),"",IF(N945="410","Redirect gone "&amp;O945,"Redirect "&amp;N945&amp;" "&amp;O945&amp;" "&amp;M945))</f>
        <v/>
      </c>
      <c r="Q945" s="22" t="n"/>
      <c r="R945" s="22" t="n"/>
      <c r="S945" s="22" t="n"/>
      <c r="T945" s="4">
        <f>IF(A945="","",TRIM(IF(K945="","Needs decision; ","")&amp;IF(AND(K945="Accept suggestion",F945=""),"No suggestion to accept; ","")&amp;IF(AND(K945="Override",L945=""),"Override URL missing; ","")&amp;IF(AND(K945="Accept suggestion",N(G945)&lt;$G$2),"Below your threshold; ","")&amp;IF(AND(M945&lt;&gt;"",M945=A945,K945&lt;&gt;"No change (same URL)"),"Redirects to itself; ","")&amp;IF(AND(M945&lt;&gt;"",OR(M945="/",AND(LEFT(M945,4)="http",OR((LEN(M945)-LEN(SUBSTITUTE(M945,"/","")))=2,AND((LEN(M945)-LEN(SUBSTITUTE(M945,"/","")))=3,RIGHT(M945,1)="/"))))),"Home page redirect; ","")&amp;IF(N(R945)&gt;1,"Chain; ","")&amp;IF(S945="No","Destination not 200; ","")))</f>
        <v/>
      </c>
      <c r="U945" s="22" t="n"/>
      <c r="V945" s="22" t="n"/>
      <c r="W945" s="4" t="n"/>
    </row>
    <row r="946">
      <c r="A946" s="22" t="n"/>
      <c r="B946" s="22" t="n"/>
      <c r="C946" s="22" t="n"/>
      <c r="D946" s="22">
        <f>IF(A946="","",IF(OR(N(B946)&gt;=$C$2,N(C946)&gt;=$E$2),"High",IF(OR(N(B946)&gt;0,N(C946)&gt;0),"Medium","Low")))</f>
        <v/>
      </c>
      <c r="E946" s="22" t="n"/>
      <c r="F946" s="22" t="n"/>
      <c r="G946" s="22" t="n"/>
      <c r="H946" s="22" t="n"/>
      <c r="I946" s="22" t="n"/>
      <c r="J946" s="22" t="n"/>
      <c r="K946" s="22" t="n"/>
      <c r="L946" s="22" t="n"/>
      <c r="M946" s="22">
        <f>IF(K946="Override",L946,IF(K946="Accept suggestion",F946,IF(K946="No change (same URL)",A946,"")))</f>
        <v/>
      </c>
      <c r="N946" s="22">
        <f>IF(A946="","",IF(K946="410 Gone","410",IF(K946="404","404",IF(K946="No change (same URL)","none",IF(M946="","","301")))))</f>
        <v/>
      </c>
      <c r="O946" s="22">
        <f>IF(A946="","",IFERROR(MID(A946,FIND("/",A946,FIND("//",A946)+2),2000),A946))</f>
        <v/>
      </c>
      <c r="P946" s="22">
        <f>IF(OR(O946="",N946="",N946="none",N946="404"),"",IF(N946="410","Redirect gone "&amp;O946,"Redirect "&amp;N946&amp;" "&amp;O946&amp;" "&amp;M946))</f>
        <v/>
      </c>
      <c r="Q946" s="22" t="n"/>
      <c r="R946" s="22" t="n"/>
      <c r="S946" s="22" t="n"/>
      <c r="T946" s="4">
        <f>IF(A946="","",TRIM(IF(K946="","Needs decision; ","")&amp;IF(AND(K946="Accept suggestion",F946=""),"No suggestion to accept; ","")&amp;IF(AND(K946="Override",L946=""),"Override URL missing; ","")&amp;IF(AND(K946="Accept suggestion",N(G946)&lt;$G$2),"Below your threshold; ","")&amp;IF(AND(M946&lt;&gt;"",M946=A946,K946&lt;&gt;"No change (same URL)"),"Redirects to itself; ","")&amp;IF(AND(M946&lt;&gt;"",OR(M946="/",AND(LEFT(M946,4)="http",OR((LEN(M946)-LEN(SUBSTITUTE(M946,"/","")))=2,AND((LEN(M946)-LEN(SUBSTITUTE(M946,"/","")))=3,RIGHT(M946,1)="/"))))),"Home page redirect; ","")&amp;IF(N(R946)&gt;1,"Chain; ","")&amp;IF(S946="No","Destination not 200; ","")))</f>
        <v/>
      </c>
      <c r="U946" s="22" t="n"/>
      <c r="V946" s="22" t="n"/>
      <c r="W946" s="4" t="n"/>
    </row>
    <row r="947">
      <c r="A947" s="22" t="n"/>
      <c r="B947" s="22" t="n"/>
      <c r="C947" s="22" t="n"/>
      <c r="D947" s="22">
        <f>IF(A947="","",IF(OR(N(B947)&gt;=$C$2,N(C947)&gt;=$E$2),"High",IF(OR(N(B947)&gt;0,N(C947)&gt;0),"Medium","Low")))</f>
        <v/>
      </c>
      <c r="E947" s="22" t="n"/>
      <c r="F947" s="22" t="n"/>
      <c r="G947" s="22" t="n"/>
      <c r="H947" s="22" t="n"/>
      <c r="I947" s="22" t="n"/>
      <c r="J947" s="22" t="n"/>
      <c r="K947" s="22" t="n"/>
      <c r="L947" s="22" t="n"/>
      <c r="M947" s="22">
        <f>IF(K947="Override",L947,IF(K947="Accept suggestion",F947,IF(K947="No change (same URL)",A947,"")))</f>
        <v/>
      </c>
      <c r="N947" s="22">
        <f>IF(A947="","",IF(K947="410 Gone","410",IF(K947="404","404",IF(K947="No change (same URL)","none",IF(M947="","","301")))))</f>
        <v/>
      </c>
      <c r="O947" s="22">
        <f>IF(A947="","",IFERROR(MID(A947,FIND("/",A947,FIND("//",A947)+2),2000),A947))</f>
        <v/>
      </c>
      <c r="P947" s="22">
        <f>IF(OR(O947="",N947="",N947="none",N947="404"),"",IF(N947="410","Redirect gone "&amp;O947,"Redirect "&amp;N947&amp;" "&amp;O947&amp;" "&amp;M947))</f>
        <v/>
      </c>
      <c r="Q947" s="22" t="n"/>
      <c r="R947" s="22" t="n"/>
      <c r="S947" s="22" t="n"/>
      <c r="T947" s="4">
        <f>IF(A947="","",TRIM(IF(K947="","Needs decision; ","")&amp;IF(AND(K947="Accept suggestion",F947=""),"No suggestion to accept; ","")&amp;IF(AND(K947="Override",L947=""),"Override URL missing; ","")&amp;IF(AND(K947="Accept suggestion",N(G947)&lt;$G$2),"Below your threshold; ","")&amp;IF(AND(M947&lt;&gt;"",M947=A947,K947&lt;&gt;"No change (same URL)"),"Redirects to itself; ","")&amp;IF(AND(M947&lt;&gt;"",OR(M947="/",AND(LEFT(M947,4)="http",OR((LEN(M947)-LEN(SUBSTITUTE(M947,"/","")))=2,AND((LEN(M947)-LEN(SUBSTITUTE(M947,"/","")))=3,RIGHT(M947,1)="/"))))),"Home page redirect; ","")&amp;IF(N(R947)&gt;1,"Chain; ","")&amp;IF(S947="No","Destination not 200; ","")))</f>
        <v/>
      </c>
      <c r="U947" s="22" t="n"/>
      <c r="V947" s="22" t="n"/>
      <c r="W947" s="4" t="n"/>
    </row>
    <row r="948">
      <c r="A948" s="22" t="n"/>
      <c r="B948" s="22" t="n"/>
      <c r="C948" s="22" t="n"/>
      <c r="D948" s="22">
        <f>IF(A948="","",IF(OR(N(B948)&gt;=$C$2,N(C948)&gt;=$E$2),"High",IF(OR(N(B948)&gt;0,N(C948)&gt;0),"Medium","Low")))</f>
        <v/>
      </c>
      <c r="E948" s="22" t="n"/>
      <c r="F948" s="22" t="n"/>
      <c r="G948" s="22" t="n"/>
      <c r="H948" s="22" t="n"/>
      <c r="I948" s="22" t="n"/>
      <c r="J948" s="22" t="n"/>
      <c r="K948" s="22" t="n"/>
      <c r="L948" s="22" t="n"/>
      <c r="M948" s="22">
        <f>IF(K948="Override",L948,IF(K948="Accept suggestion",F948,IF(K948="No change (same URL)",A948,"")))</f>
        <v/>
      </c>
      <c r="N948" s="22">
        <f>IF(A948="","",IF(K948="410 Gone","410",IF(K948="404","404",IF(K948="No change (same URL)","none",IF(M948="","","301")))))</f>
        <v/>
      </c>
      <c r="O948" s="22">
        <f>IF(A948="","",IFERROR(MID(A948,FIND("/",A948,FIND("//",A948)+2),2000),A948))</f>
        <v/>
      </c>
      <c r="P948" s="22">
        <f>IF(OR(O948="",N948="",N948="none",N948="404"),"",IF(N948="410","Redirect gone "&amp;O948,"Redirect "&amp;N948&amp;" "&amp;O948&amp;" "&amp;M948))</f>
        <v/>
      </c>
      <c r="Q948" s="22" t="n"/>
      <c r="R948" s="22" t="n"/>
      <c r="S948" s="22" t="n"/>
      <c r="T948" s="4">
        <f>IF(A948="","",TRIM(IF(K948="","Needs decision; ","")&amp;IF(AND(K948="Accept suggestion",F948=""),"No suggestion to accept; ","")&amp;IF(AND(K948="Override",L948=""),"Override URL missing; ","")&amp;IF(AND(K948="Accept suggestion",N(G948)&lt;$G$2),"Below your threshold; ","")&amp;IF(AND(M948&lt;&gt;"",M948=A948,K948&lt;&gt;"No change (same URL)"),"Redirects to itself; ","")&amp;IF(AND(M948&lt;&gt;"",OR(M948="/",AND(LEFT(M948,4)="http",OR((LEN(M948)-LEN(SUBSTITUTE(M948,"/","")))=2,AND((LEN(M948)-LEN(SUBSTITUTE(M948,"/","")))=3,RIGHT(M948,1)="/"))))),"Home page redirect; ","")&amp;IF(N(R948)&gt;1,"Chain; ","")&amp;IF(S948="No","Destination not 200; ","")))</f>
        <v/>
      </c>
      <c r="U948" s="22" t="n"/>
      <c r="V948" s="22" t="n"/>
      <c r="W948" s="4" t="n"/>
    </row>
    <row r="949">
      <c r="A949" s="22" t="n"/>
      <c r="B949" s="22" t="n"/>
      <c r="C949" s="22" t="n"/>
      <c r="D949" s="22">
        <f>IF(A949="","",IF(OR(N(B949)&gt;=$C$2,N(C949)&gt;=$E$2),"High",IF(OR(N(B949)&gt;0,N(C949)&gt;0),"Medium","Low")))</f>
        <v/>
      </c>
      <c r="E949" s="22" t="n"/>
      <c r="F949" s="22" t="n"/>
      <c r="G949" s="22" t="n"/>
      <c r="H949" s="22" t="n"/>
      <c r="I949" s="22" t="n"/>
      <c r="J949" s="22" t="n"/>
      <c r="K949" s="22" t="n"/>
      <c r="L949" s="22" t="n"/>
      <c r="M949" s="22">
        <f>IF(K949="Override",L949,IF(K949="Accept suggestion",F949,IF(K949="No change (same URL)",A949,"")))</f>
        <v/>
      </c>
      <c r="N949" s="22">
        <f>IF(A949="","",IF(K949="410 Gone","410",IF(K949="404","404",IF(K949="No change (same URL)","none",IF(M949="","","301")))))</f>
        <v/>
      </c>
      <c r="O949" s="22">
        <f>IF(A949="","",IFERROR(MID(A949,FIND("/",A949,FIND("//",A949)+2),2000),A949))</f>
        <v/>
      </c>
      <c r="P949" s="22">
        <f>IF(OR(O949="",N949="",N949="none",N949="404"),"",IF(N949="410","Redirect gone "&amp;O949,"Redirect "&amp;N949&amp;" "&amp;O949&amp;" "&amp;M949))</f>
        <v/>
      </c>
      <c r="Q949" s="22" t="n"/>
      <c r="R949" s="22" t="n"/>
      <c r="S949" s="22" t="n"/>
      <c r="T949" s="4">
        <f>IF(A949="","",TRIM(IF(K949="","Needs decision; ","")&amp;IF(AND(K949="Accept suggestion",F949=""),"No suggestion to accept; ","")&amp;IF(AND(K949="Override",L949=""),"Override URL missing; ","")&amp;IF(AND(K949="Accept suggestion",N(G949)&lt;$G$2),"Below your threshold; ","")&amp;IF(AND(M949&lt;&gt;"",M949=A949,K949&lt;&gt;"No change (same URL)"),"Redirects to itself; ","")&amp;IF(AND(M949&lt;&gt;"",OR(M949="/",AND(LEFT(M949,4)="http",OR((LEN(M949)-LEN(SUBSTITUTE(M949,"/","")))=2,AND((LEN(M949)-LEN(SUBSTITUTE(M949,"/","")))=3,RIGHT(M949,1)="/"))))),"Home page redirect; ","")&amp;IF(N(R949)&gt;1,"Chain; ","")&amp;IF(S949="No","Destination not 200; ","")))</f>
        <v/>
      </c>
      <c r="U949" s="22" t="n"/>
      <c r="V949" s="22" t="n"/>
      <c r="W949" s="4" t="n"/>
    </row>
    <row r="950">
      <c r="A950" s="22" t="n"/>
      <c r="B950" s="22" t="n"/>
      <c r="C950" s="22" t="n"/>
      <c r="D950" s="22">
        <f>IF(A950="","",IF(OR(N(B950)&gt;=$C$2,N(C950)&gt;=$E$2),"High",IF(OR(N(B950)&gt;0,N(C950)&gt;0),"Medium","Low")))</f>
        <v/>
      </c>
      <c r="E950" s="22" t="n"/>
      <c r="F950" s="22" t="n"/>
      <c r="G950" s="22" t="n"/>
      <c r="H950" s="22" t="n"/>
      <c r="I950" s="22" t="n"/>
      <c r="J950" s="22" t="n"/>
      <c r="K950" s="22" t="n"/>
      <c r="L950" s="22" t="n"/>
      <c r="M950" s="22">
        <f>IF(K950="Override",L950,IF(K950="Accept suggestion",F950,IF(K950="No change (same URL)",A950,"")))</f>
        <v/>
      </c>
      <c r="N950" s="22">
        <f>IF(A950="","",IF(K950="410 Gone","410",IF(K950="404","404",IF(K950="No change (same URL)","none",IF(M950="","","301")))))</f>
        <v/>
      </c>
      <c r="O950" s="22">
        <f>IF(A950="","",IFERROR(MID(A950,FIND("/",A950,FIND("//",A950)+2),2000),A950))</f>
        <v/>
      </c>
      <c r="P950" s="22">
        <f>IF(OR(O950="",N950="",N950="none",N950="404"),"",IF(N950="410","Redirect gone "&amp;O950,"Redirect "&amp;N950&amp;" "&amp;O950&amp;" "&amp;M950))</f>
        <v/>
      </c>
      <c r="Q950" s="22" t="n"/>
      <c r="R950" s="22" t="n"/>
      <c r="S950" s="22" t="n"/>
      <c r="T950" s="4">
        <f>IF(A950="","",TRIM(IF(K950="","Needs decision; ","")&amp;IF(AND(K950="Accept suggestion",F950=""),"No suggestion to accept; ","")&amp;IF(AND(K950="Override",L950=""),"Override URL missing; ","")&amp;IF(AND(K950="Accept suggestion",N(G950)&lt;$G$2),"Below your threshold; ","")&amp;IF(AND(M950&lt;&gt;"",M950=A950,K950&lt;&gt;"No change (same URL)"),"Redirects to itself; ","")&amp;IF(AND(M950&lt;&gt;"",OR(M950="/",AND(LEFT(M950,4)="http",OR((LEN(M950)-LEN(SUBSTITUTE(M950,"/","")))=2,AND((LEN(M950)-LEN(SUBSTITUTE(M950,"/","")))=3,RIGHT(M950,1)="/"))))),"Home page redirect; ","")&amp;IF(N(R950)&gt;1,"Chain; ","")&amp;IF(S950="No","Destination not 200; ","")))</f>
        <v/>
      </c>
      <c r="U950" s="22" t="n"/>
      <c r="V950" s="22" t="n"/>
      <c r="W950" s="4" t="n"/>
    </row>
    <row r="951">
      <c r="A951" s="22" t="n"/>
      <c r="B951" s="22" t="n"/>
      <c r="C951" s="22" t="n"/>
      <c r="D951" s="22">
        <f>IF(A951="","",IF(OR(N(B951)&gt;=$C$2,N(C951)&gt;=$E$2),"High",IF(OR(N(B951)&gt;0,N(C951)&gt;0),"Medium","Low")))</f>
        <v/>
      </c>
      <c r="E951" s="22" t="n"/>
      <c r="F951" s="22" t="n"/>
      <c r="G951" s="22" t="n"/>
      <c r="H951" s="22" t="n"/>
      <c r="I951" s="22" t="n"/>
      <c r="J951" s="22" t="n"/>
      <c r="K951" s="22" t="n"/>
      <c r="L951" s="22" t="n"/>
      <c r="M951" s="22">
        <f>IF(K951="Override",L951,IF(K951="Accept suggestion",F951,IF(K951="No change (same URL)",A951,"")))</f>
        <v/>
      </c>
      <c r="N951" s="22">
        <f>IF(A951="","",IF(K951="410 Gone","410",IF(K951="404","404",IF(K951="No change (same URL)","none",IF(M951="","","301")))))</f>
        <v/>
      </c>
      <c r="O951" s="22">
        <f>IF(A951="","",IFERROR(MID(A951,FIND("/",A951,FIND("//",A951)+2),2000),A951))</f>
        <v/>
      </c>
      <c r="P951" s="22">
        <f>IF(OR(O951="",N951="",N951="none",N951="404"),"",IF(N951="410","Redirect gone "&amp;O951,"Redirect "&amp;N951&amp;" "&amp;O951&amp;" "&amp;M951))</f>
        <v/>
      </c>
      <c r="Q951" s="22" t="n"/>
      <c r="R951" s="22" t="n"/>
      <c r="S951" s="22" t="n"/>
      <c r="T951" s="4">
        <f>IF(A951="","",TRIM(IF(K951="","Needs decision; ","")&amp;IF(AND(K951="Accept suggestion",F951=""),"No suggestion to accept; ","")&amp;IF(AND(K951="Override",L951=""),"Override URL missing; ","")&amp;IF(AND(K951="Accept suggestion",N(G951)&lt;$G$2),"Below your threshold; ","")&amp;IF(AND(M951&lt;&gt;"",M951=A951,K951&lt;&gt;"No change (same URL)"),"Redirects to itself; ","")&amp;IF(AND(M951&lt;&gt;"",OR(M951="/",AND(LEFT(M951,4)="http",OR((LEN(M951)-LEN(SUBSTITUTE(M951,"/","")))=2,AND((LEN(M951)-LEN(SUBSTITUTE(M951,"/","")))=3,RIGHT(M951,1)="/"))))),"Home page redirect; ","")&amp;IF(N(R951)&gt;1,"Chain; ","")&amp;IF(S951="No","Destination not 200; ","")))</f>
        <v/>
      </c>
      <c r="U951" s="22" t="n"/>
      <c r="V951" s="22" t="n"/>
      <c r="W951" s="4" t="n"/>
    </row>
    <row r="952">
      <c r="A952" s="22" t="n"/>
      <c r="B952" s="22" t="n"/>
      <c r="C952" s="22" t="n"/>
      <c r="D952" s="22">
        <f>IF(A952="","",IF(OR(N(B952)&gt;=$C$2,N(C952)&gt;=$E$2),"High",IF(OR(N(B952)&gt;0,N(C952)&gt;0),"Medium","Low")))</f>
        <v/>
      </c>
      <c r="E952" s="22" t="n"/>
      <c r="F952" s="22" t="n"/>
      <c r="G952" s="22" t="n"/>
      <c r="H952" s="22" t="n"/>
      <c r="I952" s="22" t="n"/>
      <c r="J952" s="22" t="n"/>
      <c r="K952" s="22" t="n"/>
      <c r="L952" s="22" t="n"/>
      <c r="M952" s="22">
        <f>IF(K952="Override",L952,IF(K952="Accept suggestion",F952,IF(K952="No change (same URL)",A952,"")))</f>
        <v/>
      </c>
      <c r="N952" s="22">
        <f>IF(A952="","",IF(K952="410 Gone","410",IF(K952="404","404",IF(K952="No change (same URL)","none",IF(M952="","","301")))))</f>
        <v/>
      </c>
      <c r="O952" s="22">
        <f>IF(A952="","",IFERROR(MID(A952,FIND("/",A952,FIND("//",A952)+2),2000),A952))</f>
        <v/>
      </c>
      <c r="P952" s="22">
        <f>IF(OR(O952="",N952="",N952="none",N952="404"),"",IF(N952="410","Redirect gone "&amp;O952,"Redirect "&amp;N952&amp;" "&amp;O952&amp;" "&amp;M952))</f>
        <v/>
      </c>
      <c r="Q952" s="22" t="n"/>
      <c r="R952" s="22" t="n"/>
      <c r="S952" s="22" t="n"/>
      <c r="T952" s="4">
        <f>IF(A952="","",TRIM(IF(K952="","Needs decision; ","")&amp;IF(AND(K952="Accept suggestion",F952=""),"No suggestion to accept; ","")&amp;IF(AND(K952="Override",L952=""),"Override URL missing; ","")&amp;IF(AND(K952="Accept suggestion",N(G952)&lt;$G$2),"Below your threshold; ","")&amp;IF(AND(M952&lt;&gt;"",M952=A952,K952&lt;&gt;"No change (same URL)"),"Redirects to itself; ","")&amp;IF(AND(M952&lt;&gt;"",OR(M952="/",AND(LEFT(M952,4)="http",OR((LEN(M952)-LEN(SUBSTITUTE(M952,"/","")))=2,AND((LEN(M952)-LEN(SUBSTITUTE(M952,"/","")))=3,RIGHT(M952,1)="/"))))),"Home page redirect; ","")&amp;IF(N(R952)&gt;1,"Chain; ","")&amp;IF(S952="No","Destination not 200; ","")))</f>
        <v/>
      </c>
      <c r="U952" s="22" t="n"/>
      <c r="V952" s="22" t="n"/>
      <c r="W952" s="4" t="n"/>
    </row>
    <row r="953">
      <c r="A953" s="22" t="n"/>
      <c r="B953" s="22" t="n"/>
      <c r="C953" s="22" t="n"/>
      <c r="D953" s="22">
        <f>IF(A953="","",IF(OR(N(B953)&gt;=$C$2,N(C953)&gt;=$E$2),"High",IF(OR(N(B953)&gt;0,N(C953)&gt;0),"Medium","Low")))</f>
        <v/>
      </c>
      <c r="E953" s="22" t="n"/>
      <c r="F953" s="22" t="n"/>
      <c r="G953" s="22" t="n"/>
      <c r="H953" s="22" t="n"/>
      <c r="I953" s="22" t="n"/>
      <c r="J953" s="22" t="n"/>
      <c r="K953" s="22" t="n"/>
      <c r="L953" s="22" t="n"/>
      <c r="M953" s="22">
        <f>IF(K953="Override",L953,IF(K953="Accept suggestion",F953,IF(K953="No change (same URL)",A953,"")))</f>
        <v/>
      </c>
      <c r="N953" s="22">
        <f>IF(A953="","",IF(K953="410 Gone","410",IF(K953="404","404",IF(K953="No change (same URL)","none",IF(M953="","","301")))))</f>
        <v/>
      </c>
      <c r="O953" s="22">
        <f>IF(A953="","",IFERROR(MID(A953,FIND("/",A953,FIND("//",A953)+2),2000),A953))</f>
        <v/>
      </c>
      <c r="P953" s="22">
        <f>IF(OR(O953="",N953="",N953="none",N953="404"),"",IF(N953="410","Redirect gone "&amp;O953,"Redirect "&amp;N953&amp;" "&amp;O953&amp;" "&amp;M953))</f>
        <v/>
      </c>
      <c r="Q953" s="22" t="n"/>
      <c r="R953" s="22" t="n"/>
      <c r="S953" s="22" t="n"/>
      <c r="T953" s="4">
        <f>IF(A953="","",TRIM(IF(K953="","Needs decision; ","")&amp;IF(AND(K953="Accept suggestion",F953=""),"No suggestion to accept; ","")&amp;IF(AND(K953="Override",L953=""),"Override URL missing; ","")&amp;IF(AND(K953="Accept suggestion",N(G953)&lt;$G$2),"Below your threshold; ","")&amp;IF(AND(M953&lt;&gt;"",M953=A953,K953&lt;&gt;"No change (same URL)"),"Redirects to itself; ","")&amp;IF(AND(M953&lt;&gt;"",OR(M953="/",AND(LEFT(M953,4)="http",OR((LEN(M953)-LEN(SUBSTITUTE(M953,"/","")))=2,AND((LEN(M953)-LEN(SUBSTITUTE(M953,"/","")))=3,RIGHT(M953,1)="/"))))),"Home page redirect; ","")&amp;IF(N(R953)&gt;1,"Chain; ","")&amp;IF(S953="No","Destination not 200; ","")))</f>
        <v/>
      </c>
      <c r="U953" s="22" t="n"/>
      <c r="V953" s="22" t="n"/>
      <c r="W953" s="4" t="n"/>
    </row>
    <row r="954">
      <c r="A954" s="22" t="n"/>
      <c r="B954" s="22" t="n"/>
      <c r="C954" s="22" t="n"/>
      <c r="D954" s="22">
        <f>IF(A954="","",IF(OR(N(B954)&gt;=$C$2,N(C954)&gt;=$E$2),"High",IF(OR(N(B954)&gt;0,N(C954)&gt;0),"Medium","Low")))</f>
        <v/>
      </c>
      <c r="E954" s="22" t="n"/>
      <c r="F954" s="22" t="n"/>
      <c r="G954" s="22" t="n"/>
      <c r="H954" s="22" t="n"/>
      <c r="I954" s="22" t="n"/>
      <c r="J954" s="22" t="n"/>
      <c r="K954" s="22" t="n"/>
      <c r="L954" s="22" t="n"/>
      <c r="M954" s="22">
        <f>IF(K954="Override",L954,IF(K954="Accept suggestion",F954,IF(K954="No change (same URL)",A954,"")))</f>
        <v/>
      </c>
      <c r="N954" s="22">
        <f>IF(A954="","",IF(K954="410 Gone","410",IF(K954="404","404",IF(K954="No change (same URL)","none",IF(M954="","","301")))))</f>
        <v/>
      </c>
      <c r="O954" s="22">
        <f>IF(A954="","",IFERROR(MID(A954,FIND("/",A954,FIND("//",A954)+2),2000),A954))</f>
        <v/>
      </c>
      <c r="P954" s="22">
        <f>IF(OR(O954="",N954="",N954="none",N954="404"),"",IF(N954="410","Redirect gone "&amp;O954,"Redirect "&amp;N954&amp;" "&amp;O954&amp;" "&amp;M954))</f>
        <v/>
      </c>
      <c r="Q954" s="22" t="n"/>
      <c r="R954" s="22" t="n"/>
      <c r="S954" s="22" t="n"/>
      <c r="T954" s="4">
        <f>IF(A954="","",TRIM(IF(K954="","Needs decision; ","")&amp;IF(AND(K954="Accept suggestion",F954=""),"No suggestion to accept; ","")&amp;IF(AND(K954="Override",L954=""),"Override URL missing; ","")&amp;IF(AND(K954="Accept suggestion",N(G954)&lt;$G$2),"Below your threshold; ","")&amp;IF(AND(M954&lt;&gt;"",M954=A954,K954&lt;&gt;"No change (same URL)"),"Redirects to itself; ","")&amp;IF(AND(M954&lt;&gt;"",OR(M954="/",AND(LEFT(M954,4)="http",OR((LEN(M954)-LEN(SUBSTITUTE(M954,"/","")))=2,AND((LEN(M954)-LEN(SUBSTITUTE(M954,"/","")))=3,RIGHT(M954,1)="/"))))),"Home page redirect; ","")&amp;IF(N(R954)&gt;1,"Chain; ","")&amp;IF(S954="No","Destination not 200; ","")))</f>
        <v/>
      </c>
      <c r="U954" s="22" t="n"/>
      <c r="V954" s="22" t="n"/>
      <c r="W954" s="4" t="n"/>
    </row>
    <row r="955">
      <c r="A955" s="22" t="n"/>
      <c r="B955" s="22" t="n"/>
      <c r="C955" s="22" t="n"/>
      <c r="D955" s="22">
        <f>IF(A955="","",IF(OR(N(B955)&gt;=$C$2,N(C955)&gt;=$E$2),"High",IF(OR(N(B955)&gt;0,N(C955)&gt;0),"Medium","Low")))</f>
        <v/>
      </c>
      <c r="E955" s="22" t="n"/>
      <c r="F955" s="22" t="n"/>
      <c r="G955" s="22" t="n"/>
      <c r="H955" s="22" t="n"/>
      <c r="I955" s="22" t="n"/>
      <c r="J955" s="22" t="n"/>
      <c r="K955" s="22" t="n"/>
      <c r="L955" s="22" t="n"/>
      <c r="M955" s="22">
        <f>IF(K955="Override",L955,IF(K955="Accept suggestion",F955,IF(K955="No change (same URL)",A955,"")))</f>
        <v/>
      </c>
      <c r="N955" s="22">
        <f>IF(A955="","",IF(K955="410 Gone","410",IF(K955="404","404",IF(K955="No change (same URL)","none",IF(M955="","","301")))))</f>
        <v/>
      </c>
      <c r="O955" s="22">
        <f>IF(A955="","",IFERROR(MID(A955,FIND("/",A955,FIND("//",A955)+2),2000),A955))</f>
        <v/>
      </c>
      <c r="P955" s="22">
        <f>IF(OR(O955="",N955="",N955="none",N955="404"),"",IF(N955="410","Redirect gone "&amp;O955,"Redirect "&amp;N955&amp;" "&amp;O955&amp;" "&amp;M955))</f>
        <v/>
      </c>
      <c r="Q955" s="22" t="n"/>
      <c r="R955" s="22" t="n"/>
      <c r="S955" s="22" t="n"/>
      <c r="T955" s="4">
        <f>IF(A955="","",TRIM(IF(K955="","Needs decision; ","")&amp;IF(AND(K955="Accept suggestion",F955=""),"No suggestion to accept; ","")&amp;IF(AND(K955="Override",L955=""),"Override URL missing; ","")&amp;IF(AND(K955="Accept suggestion",N(G955)&lt;$G$2),"Below your threshold; ","")&amp;IF(AND(M955&lt;&gt;"",M955=A955,K955&lt;&gt;"No change (same URL)"),"Redirects to itself; ","")&amp;IF(AND(M955&lt;&gt;"",OR(M955="/",AND(LEFT(M955,4)="http",OR((LEN(M955)-LEN(SUBSTITUTE(M955,"/","")))=2,AND((LEN(M955)-LEN(SUBSTITUTE(M955,"/","")))=3,RIGHT(M955,1)="/"))))),"Home page redirect; ","")&amp;IF(N(R955)&gt;1,"Chain; ","")&amp;IF(S955="No","Destination not 200; ","")))</f>
        <v/>
      </c>
      <c r="U955" s="22" t="n"/>
      <c r="V955" s="22" t="n"/>
      <c r="W955" s="4" t="n"/>
    </row>
    <row r="956">
      <c r="A956" s="22" t="n"/>
      <c r="B956" s="22" t="n"/>
      <c r="C956" s="22" t="n"/>
      <c r="D956" s="22">
        <f>IF(A956="","",IF(OR(N(B956)&gt;=$C$2,N(C956)&gt;=$E$2),"High",IF(OR(N(B956)&gt;0,N(C956)&gt;0),"Medium","Low")))</f>
        <v/>
      </c>
      <c r="E956" s="22" t="n"/>
      <c r="F956" s="22" t="n"/>
      <c r="G956" s="22" t="n"/>
      <c r="H956" s="22" t="n"/>
      <c r="I956" s="22" t="n"/>
      <c r="J956" s="22" t="n"/>
      <c r="K956" s="22" t="n"/>
      <c r="L956" s="22" t="n"/>
      <c r="M956" s="22">
        <f>IF(K956="Override",L956,IF(K956="Accept suggestion",F956,IF(K956="No change (same URL)",A956,"")))</f>
        <v/>
      </c>
      <c r="N956" s="22">
        <f>IF(A956="","",IF(K956="410 Gone","410",IF(K956="404","404",IF(K956="No change (same URL)","none",IF(M956="","","301")))))</f>
        <v/>
      </c>
      <c r="O956" s="22">
        <f>IF(A956="","",IFERROR(MID(A956,FIND("/",A956,FIND("//",A956)+2),2000),A956))</f>
        <v/>
      </c>
      <c r="P956" s="22">
        <f>IF(OR(O956="",N956="",N956="none",N956="404"),"",IF(N956="410","Redirect gone "&amp;O956,"Redirect "&amp;N956&amp;" "&amp;O956&amp;" "&amp;M956))</f>
        <v/>
      </c>
      <c r="Q956" s="22" t="n"/>
      <c r="R956" s="22" t="n"/>
      <c r="S956" s="22" t="n"/>
      <c r="T956" s="4">
        <f>IF(A956="","",TRIM(IF(K956="","Needs decision; ","")&amp;IF(AND(K956="Accept suggestion",F956=""),"No suggestion to accept; ","")&amp;IF(AND(K956="Override",L956=""),"Override URL missing; ","")&amp;IF(AND(K956="Accept suggestion",N(G956)&lt;$G$2),"Below your threshold; ","")&amp;IF(AND(M956&lt;&gt;"",M956=A956,K956&lt;&gt;"No change (same URL)"),"Redirects to itself; ","")&amp;IF(AND(M956&lt;&gt;"",OR(M956="/",AND(LEFT(M956,4)="http",OR((LEN(M956)-LEN(SUBSTITUTE(M956,"/","")))=2,AND((LEN(M956)-LEN(SUBSTITUTE(M956,"/","")))=3,RIGHT(M956,1)="/"))))),"Home page redirect; ","")&amp;IF(N(R956)&gt;1,"Chain; ","")&amp;IF(S956="No","Destination not 200; ","")))</f>
        <v/>
      </c>
      <c r="U956" s="22" t="n"/>
      <c r="V956" s="22" t="n"/>
      <c r="W956" s="4" t="n"/>
    </row>
    <row r="957">
      <c r="A957" s="22" t="n"/>
      <c r="B957" s="22" t="n"/>
      <c r="C957" s="22" t="n"/>
      <c r="D957" s="22">
        <f>IF(A957="","",IF(OR(N(B957)&gt;=$C$2,N(C957)&gt;=$E$2),"High",IF(OR(N(B957)&gt;0,N(C957)&gt;0),"Medium","Low")))</f>
        <v/>
      </c>
      <c r="E957" s="22" t="n"/>
      <c r="F957" s="22" t="n"/>
      <c r="G957" s="22" t="n"/>
      <c r="H957" s="22" t="n"/>
      <c r="I957" s="22" t="n"/>
      <c r="J957" s="22" t="n"/>
      <c r="K957" s="22" t="n"/>
      <c r="L957" s="22" t="n"/>
      <c r="M957" s="22">
        <f>IF(K957="Override",L957,IF(K957="Accept suggestion",F957,IF(K957="No change (same URL)",A957,"")))</f>
        <v/>
      </c>
      <c r="N957" s="22">
        <f>IF(A957="","",IF(K957="410 Gone","410",IF(K957="404","404",IF(K957="No change (same URL)","none",IF(M957="","","301")))))</f>
        <v/>
      </c>
      <c r="O957" s="22">
        <f>IF(A957="","",IFERROR(MID(A957,FIND("/",A957,FIND("//",A957)+2),2000),A957))</f>
        <v/>
      </c>
      <c r="P957" s="22">
        <f>IF(OR(O957="",N957="",N957="none",N957="404"),"",IF(N957="410","Redirect gone "&amp;O957,"Redirect "&amp;N957&amp;" "&amp;O957&amp;" "&amp;M957))</f>
        <v/>
      </c>
      <c r="Q957" s="22" t="n"/>
      <c r="R957" s="22" t="n"/>
      <c r="S957" s="22" t="n"/>
      <c r="T957" s="4">
        <f>IF(A957="","",TRIM(IF(K957="","Needs decision; ","")&amp;IF(AND(K957="Accept suggestion",F957=""),"No suggestion to accept; ","")&amp;IF(AND(K957="Override",L957=""),"Override URL missing; ","")&amp;IF(AND(K957="Accept suggestion",N(G957)&lt;$G$2),"Below your threshold; ","")&amp;IF(AND(M957&lt;&gt;"",M957=A957,K957&lt;&gt;"No change (same URL)"),"Redirects to itself; ","")&amp;IF(AND(M957&lt;&gt;"",OR(M957="/",AND(LEFT(M957,4)="http",OR((LEN(M957)-LEN(SUBSTITUTE(M957,"/","")))=2,AND((LEN(M957)-LEN(SUBSTITUTE(M957,"/","")))=3,RIGHT(M957,1)="/"))))),"Home page redirect; ","")&amp;IF(N(R957)&gt;1,"Chain; ","")&amp;IF(S957="No","Destination not 200; ","")))</f>
        <v/>
      </c>
      <c r="U957" s="22" t="n"/>
      <c r="V957" s="22" t="n"/>
      <c r="W957" s="4" t="n"/>
    </row>
    <row r="958">
      <c r="A958" s="22" t="n"/>
      <c r="B958" s="22" t="n"/>
      <c r="C958" s="22" t="n"/>
      <c r="D958" s="22">
        <f>IF(A958="","",IF(OR(N(B958)&gt;=$C$2,N(C958)&gt;=$E$2),"High",IF(OR(N(B958)&gt;0,N(C958)&gt;0),"Medium","Low")))</f>
        <v/>
      </c>
      <c r="E958" s="22" t="n"/>
      <c r="F958" s="22" t="n"/>
      <c r="G958" s="22" t="n"/>
      <c r="H958" s="22" t="n"/>
      <c r="I958" s="22" t="n"/>
      <c r="J958" s="22" t="n"/>
      <c r="K958" s="22" t="n"/>
      <c r="L958" s="22" t="n"/>
      <c r="M958" s="22">
        <f>IF(K958="Override",L958,IF(K958="Accept suggestion",F958,IF(K958="No change (same URL)",A958,"")))</f>
        <v/>
      </c>
      <c r="N958" s="22">
        <f>IF(A958="","",IF(K958="410 Gone","410",IF(K958="404","404",IF(K958="No change (same URL)","none",IF(M958="","","301")))))</f>
        <v/>
      </c>
      <c r="O958" s="22">
        <f>IF(A958="","",IFERROR(MID(A958,FIND("/",A958,FIND("//",A958)+2),2000),A958))</f>
        <v/>
      </c>
      <c r="P958" s="22">
        <f>IF(OR(O958="",N958="",N958="none",N958="404"),"",IF(N958="410","Redirect gone "&amp;O958,"Redirect "&amp;N958&amp;" "&amp;O958&amp;" "&amp;M958))</f>
        <v/>
      </c>
      <c r="Q958" s="22" t="n"/>
      <c r="R958" s="22" t="n"/>
      <c r="S958" s="22" t="n"/>
      <c r="T958" s="4">
        <f>IF(A958="","",TRIM(IF(K958="","Needs decision; ","")&amp;IF(AND(K958="Accept suggestion",F958=""),"No suggestion to accept; ","")&amp;IF(AND(K958="Override",L958=""),"Override URL missing; ","")&amp;IF(AND(K958="Accept suggestion",N(G958)&lt;$G$2),"Below your threshold; ","")&amp;IF(AND(M958&lt;&gt;"",M958=A958,K958&lt;&gt;"No change (same URL)"),"Redirects to itself; ","")&amp;IF(AND(M958&lt;&gt;"",OR(M958="/",AND(LEFT(M958,4)="http",OR((LEN(M958)-LEN(SUBSTITUTE(M958,"/","")))=2,AND((LEN(M958)-LEN(SUBSTITUTE(M958,"/","")))=3,RIGHT(M958,1)="/"))))),"Home page redirect; ","")&amp;IF(N(R958)&gt;1,"Chain; ","")&amp;IF(S958="No","Destination not 200; ","")))</f>
        <v/>
      </c>
      <c r="U958" s="22" t="n"/>
      <c r="V958" s="22" t="n"/>
      <c r="W958" s="4" t="n"/>
    </row>
    <row r="959">
      <c r="A959" s="22" t="n"/>
      <c r="B959" s="22" t="n"/>
      <c r="C959" s="22" t="n"/>
      <c r="D959" s="22">
        <f>IF(A959="","",IF(OR(N(B959)&gt;=$C$2,N(C959)&gt;=$E$2),"High",IF(OR(N(B959)&gt;0,N(C959)&gt;0),"Medium","Low")))</f>
        <v/>
      </c>
      <c r="E959" s="22" t="n"/>
      <c r="F959" s="22" t="n"/>
      <c r="G959" s="22" t="n"/>
      <c r="H959" s="22" t="n"/>
      <c r="I959" s="22" t="n"/>
      <c r="J959" s="22" t="n"/>
      <c r="K959" s="22" t="n"/>
      <c r="L959" s="22" t="n"/>
      <c r="M959" s="22">
        <f>IF(K959="Override",L959,IF(K959="Accept suggestion",F959,IF(K959="No change (same URL)",A959,"")))</f>
        <v/>
      </c>
      <c r="N959" s="22">
        <f>IF(A959="","",IF(K959="410 Gone","410",IF(K959="404","404",IF(K959="No change (same URL)","none",IF(M959="","","301")))))</f>
        <v/>
      </c>
      <c r="O959" s="22">
        <f>IF(A959="","",IFERROR(MID(A959,FIND("/",A959,FIND("//",A959)+2),2000),A959))</f>
        <v/>
      </c>
      <c r="P959" s="22">
        <f>IF(OR(O959="",N959="",N959="none",N959="404"),"",IF(N959="410","Redirect gone "&amp;O959,"Redirect "&amp;N959&amp;" "&amp;O959&amp;" "&amp;M959))</f>
        <v/>
      </c>
      <c r="Q959" s="22" t="n"/>
      <c r="R959" s="22" t="n"/>
      <c r="S959" s="22" t="n"/>
      <c r="T959" s="4">
        <f>IF(A959="","",TRIM(IF(K959="","Needs decision; ","")&amp;IF(AND(K959="Accept suggestion",F959=""),"No suggestion to accept; ","")&amp;IF(AND(K959="Override",L959=""),"Override URL missing; ","")&amp;IF(AND(K959="Accept suggestion",N(G959)&lt;$G$2),"Below your threshold; ","")&amp;IF(AND(M959&lt;&gt;"",M959=A959,K959&lt;&gt;"No change (same URL)"),"Redirects to itself; ","")&amp;IF(AND(M959&lt;&gt;"",OR(M959="/",AND(LEFT(M959,4)="http",OR((LEN(M959)-LEN(SUBSTITUTE(M959,"/","")))=2,AND((LEN(M959)-LEN(SUBSTITUTE(M959,"/","")))=3,RIGHT(M959,1)="/"))))),"Home page redirect; ","")&amp;IF(N(R959)&gt;1,"Chain; ","")&amp;IF(S959="No","Destination not 200; ","")))</f>
        <v/>
      </c>
      <c r="U959" s="22" t="n"/>
      <c r="V959" s="22" t="n"/>
      <c r="W959" s="4" t="n"/>
    </row>
    <row r="960">
      <c r="A960" s="22" t="n"/>
      <c r="B960" s="22" t="n"/>
      <c r="C960" s="22" t="n"/>
      <c r="D960" s="22">
        <f>IF(A960="","",IF(OR(N(B960)&gt;=$C$2,N(C960)&gt;=$E$2),"High",IF(OR(N(B960)&gt;0,N(C960)&gt;0),"Medium","Low")))</f>
        <v/>
      </c>
      <c r="E960" s="22" t="n"/>
      <c r="F960" s="22" t="n"/>
      <c r="G960" s="22" t="n"/>
      <c r="H960" s="22" t="n"/>
      <c r="I960" s="22" t="n"/>
      <c r="J960" s="22" t="n"/>
      <c r="K960" s="22" t="n"/>
      <c r="L960" s="22" t="n"/>
      <c r="M960" s="22">
        <f>IF(K960="Override",L960,IF(K960="Accept suggestion",F960,IF(K960="No change (same URL)",A960,"")))</f>
        <v/>
      </c>
      <c r="N960" s="22">
        <f>IF(A960="","",IF(K960="410 Gone","410",IF(K960="404","404",IF(K960="No change (same URL)","none",IF(M960="","","301")))))</f>
        <v/>
      </c>
      <c r="O960" s="22">
        <f>IF(A960="","",IFERROR(MID(A960,FIND("/",A960,FIND("//",A960)+2),2000),A960))</f>
        <v/>
      </c>
      <c r="P960" s="22">
        <f>IF(OR(O960="",N960="",N960="none",N960="404"),"",IF(N960="410","Redirect gone "&amp;O960,"Redirect "&amp;N960&amp;" "&amp;O960&amp;" "&amp;M960))</f>
        <v/>
      </c>
      <c r="Q960" s="22" t="n"/>
      <c r="R960" s="22" t="n"/>
      <c r="S960" s="22" t="n"/>
      <c r="T960" s="4">
        <f>IF(A960="","",TRIM(IF(K960="","Needs decision; ","")&amp;IF(AND(K960="Accept suggestion",F960=""),"No suggestion to accept; ","")&amp;IF(AND(K960="Override",L960=""),"Override URL missing; ","")&amp;IF(AND(K960="Accept suggestion",N(G960)&lt;$G$2),"Below your threshold; ","")&amp;IF(AND(M960&lt;&gt;"",M960=A960,K960&lt;&gt;"No change (same URL)"),"Redirects to itself; ","")&amp;IF(AND(M960&lt;&gt;"",OR(M960="/",AND(LEFT(M960,4)="http",OR((LEN(M960)-LEN(SUBSTITUTE(M960,"/","")))=2,AND((LEN(M960)-LEN(SUBSTITUTE(M960,"/","")))=3,RIGHT(M960,1)="/"))))),"Home page redirect; ","")&amp;IF(N(R960)&gt;1,"Chain; ","")&amp;IF(S960="No","Destination not 200; ","")))</f>
        <v/>
      </c>
      <c r="U960" s="22" t="n"/>
      <c r="V960" s="22" t="n"/>
      <c r="W960" s="4" t="n"/>
    </row>
    <row r="961">
      <c r="A961" s="22" t="n"/>
      <c r="B961" s="22" t="n"/>
      <c r="C961" s="22" t="n"/>
      <c r="D961" s="22">
        <f>IF(A961="","",IF(OR(N(B961)&gt;=$C$2,N(C961)&gt;=$E$2),"High",IF(OR(N(B961)&gt;0,N(C961)&gt;0),"Medium","Low")))</f>
        <v/>
      </c>
      <c r="E961" s="22" t="n"/>
      <c r="F961" s="22" t="n"/>
      <c r="G961" s="22" t="n"/>
      <c r="H961" s="22" t="n"/>
      <c r="I961" s="22" t="n"/>
      <c r="J961" s="22" t="n"/>
      <c r="K961" s="22" t="n"/>
      <c r="L961" s="22" t="n"/>
      <c r="M961" s="22">
        <f>IF(K961="Override",L961,IF(K961="Accept suggestion",F961,IF(K961="No change (same URL)",A961,"")))</f>
        <v/>
      </c>
      <c r="N961" s="22">
        <f>IF(A961="","",IF(K961="410 Gone","410",IF(K961="404","404",IF(K961="No change (same URL)","none",IF(M961="","","301")))))</f>
        <v/>
      </c>
      <c r="O961" s="22">
        <f>IF(A961="","",IFERROR(MID(A961,FIND("/",A961,FIND("//",A961)+2),2000),A961))</f>
        <v/>
      </c>
      <c r="P961" s="22">
        <f>IF(OR(O961="",N961="",N961="none",N961="404"),"",IF(N961="410","Redirect gone "&amp;O961,"Redirect "&amp;N961&amp;" "&amp;O961&amp;" "&amp;M961))</f>
        <v/>
      </c>
      <c r="Q961" s="22" t="n"/>
      <c r="R961" s="22" t="n"/>
      <c r="S961" s="22" t="n"/>
      <c r="T961" s="4">
        <f>IF(A961="","",TRIM(IF(K961="","Needs decision; ","")&amp;IF(AND(K961="Accept suggestion",F961=""),"No suggestion to accept; ","")&amp;IF(AND(K961="Override",L961=""),"Override URL missing; ","")&amp;IF(AND(K961="Accept suggestion",N(G961)&lt;$G$2),"Below your threshold; ","")&amp;IF(AND(M961&lt;&gt;"",M961=A961,K961&lt;&gt;"No change (same URL)"),"Redirects to itself; ","")&amp;IF(AND(M961&lt;&gt;"",OR(M961="/",AND(LEFT(M961,4)="http",OR((LEN(M961)-LEN(SUBSTITUTE(M961,"/","")))=2,AND((LEN(M961)-LEN(SUBSTITUTE(M961,"/","")))=3,RIGHT(M961,1)="/"))))),"Home page redirect; ","")&amp;IF(N(R961)&gt;1,"Chain; ","")&amp;IF(S961="No","Destination not 200; ","")))</f>
        <v/>
      </c>
      <c r="U961" s="22" t="n"/>
      <c r="V961" s="22" t="n"/>
      <c r="W961" s="4" t="n"/>
    </row>
    <row r="962">
      <c r="A962" s="22" t="n"/>
      <c r="B962" s="22" t="n"/>
      <c r="C962" s="22" t="n"/>
      <c r="D962" s="22">
        <f>IF(A962="","",IF(OR(N(B962)&gt;=$C$2,N(C962)&gt;=$E$2),"High",IF(OR(N(B962)&gt;0,N(C962)&gt;0),"Medium","Low")))</f>
        <v/>
      </c>
      <c r="E962" s="22" t="n"/>
      <c r="F962" s="22" t="n"/>
      <c r="G962" s="22" t="n"/>
      <c r="H962" s="22" t="n"/>
      <c r="I962" s="22" t="n"/>
      <c r="J962" s="22" t="n"/>
      <c r="K962" s="22" t="n"/>
      <c r="L962" s="22" t="n"/>
      <c r="M962" s="22">
        <f>IF(K962="Override",L962,IF(K962="Accept suggestion",F962,IF(K962="No change (same URL)",A962,"")))</f>
        <v/>
      </c>
      <c r="N962" s="22">
        <f>IF(A962="","",IF(K962="410 Gone","410",IF(K962="404","404",IF(K962="No change (same URL)","none",IF(M962="","","301")))))</f>
        <v/>
      </c>
      <c r="O962" s="22">
        <f>IF(A962="","",IFERROR(MID(A962,FIND("/",A962,FIND("//",A962)+2),2000),A962))</f>
        <v/>
      </c>
      <c r="P962" s="22">
        <f>IF(OR(O962="",N962="",N962="none",N962="404"),"",IF(N962="410","Redirect gone "&amp;O962,"Redirect "&amp;N962&amp;" "&amp;O962&amp;" "&amp;M962))</f>
        <v/>
      </c>
      <c r="Q962" s="22" t="n"/>
      <c r="R962" s="22" t="n"/>
      <c r="S962" s="22" t="n"/>
      <c r="T962" s="4">
        <f>IF(A962="","",TRIM(IF(K962="","Needs decision; ","")&amp;IF(AND(K962="Accept suggestion",F962=""),"No suggestion to accept; ","")&amp;IF(AND(K962="Override",L962=""),"Override URL missing; ","")&amp;IF(AND(K962="Accept suggestion",N(G962)&lt;$G$2),"Below your threshold; ","")&amp;IF(AND(M962&lt;&gt;"",M962=A962,K962&lt;&gt;"No change (same URL)"),"Redirects to itself; ","")&amp;IF(AND(M962&lt;&gt;"",OR(M962="/",AND(LEFT(M962,4)="http",OR((LEN(M962)-LEN(SUBSTITUTE(M962,"/","")))=2,AND((LEN(M962)-LEN(SUBSTITUTE(M962,"/","")))=3,RIGHT(M962,1)="/"))))),"Home page redirect; ","")&amp;IF(N(R962)&gt;1,"Chain; ","")&amp;IF(S962="No","Destination not 200; ","")))</f>
        <v/>
      </c>
      <c r="U962" s="22" t="n"/>
      <c r="V962" s="22" t="n"/>
      <c r="W962" s="4" t="n"/>
    </row>
    <row r="963">
      <c r="A963" s="22" t="n"/>
      <c r="B963" s="22" t="n"/>
      <c r="C963" s="22" t="n"/>
      <c r="D963" s="22">
        <f>IF(A963="","",IF(OR(N(B963)&gt;=$C$2,N(C963)&gt;=$E$2),"High",IF(OR(N(B963)&gt;0,N(C963)&gt;0),"Medium","Low")))</f>
        <v/>
      </c>
      <c r="E963" s="22" t="n"/>
      <c r="F963" s="22" t="n"/>
      <c r="G963" s="22" t="n"/>
      <c r="H963" s="22" t="n"/>
      <c r="I963" s="22" t="n"/>
      <c r="J963" s="22" t="n"/>
      <c r="K963" s="22" t="n"/>
      <c r="L963" s="22" t="n"/>
      <c r="M963" s="22">
        <f>IF(K963="Override",L963,IF(K963="Accept suggestion",F963,IF(K963="No change (same URL)",A963,"")))</f>
        <v/>
      </c>
      <c r="N963" s="22">
        <f>IF(A963="","",IF(K963="410 Gone","410",IF(K963="404","404",IF(K963="No change (same URL)","none",IF(M963="","","301")))))</f>
        <v/>
      </c>
      <c r="O963" s="22">
        <f>IF(A963="","",IFERROR(MID(A963,FIND("/",A963,FIND("//",A963)+2),2000),A963))</f>
        <v/>
      </c>
      <c r="P963" s="22">
        <f>IF(OR(O963="",N963="",N963="none",N963="404"),"",IF(N963="410","Redirect gone "&amp;O963,"Redirect "&amp;N963&amp;" "&amp;O963&amp;" "&amp;M963))</f>
        <v/>
      </c>
      <c r="Q963" s="22" t="n"/>
      <c r="R963" s="22" t="n"/>
      <c r="S963" s="22" t="n"/>
      <c r="T963" s="4">
        <f>IF(A963="","",TRIM(IF(K963="","Needs decision; ","")&amp;IF(AND(K963="Accept suggestion",F963=""),"No suggestion to accept; ","")&amp;IF(AND(K963="Override",L963=""),"Override URL missing; ","")&amp;IF(AND(K963="Accept suggestion",N(G963)&lt;$G$2),"Below your threshold; ","")&amp;IF(AND(M963&lt;&gt;"",M963=A963,K963&lt;&gt;"No change (same URL)"),"Redirects to itself; ","")&amp;IF(AND(M963&lt;&gt;"",OR(M963="/",AND(LEFT(M963,4)="http",OR((LEN(M963)-LEN(SUBSTITUTE(M963,"/","")))=2,AND((LEN(M963)-LEN(SUBSTITUTE(M963,"/","")))=3,RIGHT(M963,1)="/"))))),"Home page redirect; ","")&amp;IF(N(R963)&gt;1,"Chain; ","")&amp;IF(S963="No","Destination not 200; ","")))</f>
        <v/>
      </c>
      <c r="U963" s="22" t="n"/>
      <c r="V963" s="22" t="n"/>
      <c r="W963" s="4" t="n"/>
    </row>
    <row r="964">
      <c r="A964" s="22" t="n"/>
      <c r="B964" s="22" t="n"/>
      <c r="C964" s="22" t="n"/>
      <c r="D964" s="22">
        <f>IF(A964="","",IF(OR(N(B964)&gt;=$C$2,N(C964)&gt;=$E$2),"High",IF(OR(N(B964)&gt;0,N(C964)&gt;0),"Medium","Low")))</f>
        <v/>
      </c>
      <c r="E964" s="22" t="n"/>
      <c r="F964" s="22" t="n"/>
      <c r="G964" s="22" t="n"/>
      <c r="H964" s="22" t="n"/>
      <c r="I964" s="22" t="n"/>
      <c r="J964" s="22" t="n"/>
      <c r="K964" s="22" t="n"/>
      <c r="L964" s="22" t="n"/>
      <c r="M964" s="22">
        <f>IF(K964="Override",L964,IF(K964="Accept suggestion",F964,IF(K964="No change (same URL)",A964,"")))</f>
        <v/>
      </c>
      <c r="N964" s="22">
        <f>IF(A964="","",IF(K964="410 Gone","410",IF(K964="404","404",IF(K964="No change (same URL)","none",IF(M964="","","301")))))</f>
        <v/>
      </c>
      <c r="O964" s="22">
        <f>IF(A964="","",IFERROR(MID(A964,FIND("/",A964,FIND("//",A964)+2),2000),A964))</f>
        <v/>
      </c>
      <c r="P964" s="22">
        <f>IF(OR(O964="",N964="",N964="none",N964="404"),"",IF(N964="410","Redirect gone "&amp;O964,"Redirect "&amp;N964&amp;" "&amp;O964&amp;" "&amp;M964))</f>
        <v/>
      </c>
      <c r="Q964" s="22" t="n"/>
      <c r="R964" s="22" t="n"/>
      <c r="S964" s="22" t="n"/>
      <c r="T964" s="4">
        <f>IF(A964="","",TRIM(IF(K964="","Needs decision; ","")&amp;IF(AND(K964="Accept suggestion",F964=""),"No suggestion to accept; ","")&amp;IF(AND(K964="Override",L964=""),"Override URL missing; ","")&amp;IF(AND(K964="Accept suggestion",N(G964)&lt;$G$2),"Below your threshold; ","")&amp;IF(AND(M964&lt;&gt;"",M964=A964,K964&lt;&gt;"No change (same URL)"),"Redirects to itself; ","")&amp;IF(AND(M964&lt;&gt;"",OR(M964="/",AND(LEFT(M964,4)="http",OR((LEN(M964)-LEN(SUBSTITUTE(M964,"/","")))=2,AND((LEN(M964)-LEN(SUBSTITUTE(M964,"/","")))=3,RIGHT(M964,1)="/"))))),"Home page redirect; ","")&amp;IF(N(R964)&gt;1,"Chain; ","")&amp;IF(S964="No","Destination not 200; ","")))</f>
        <v/>
      </c>
      <c r="U964" s="22" t="n"/>
      <c r="V964" s="22" t="n"/>
      <c r="W964" s="4" t="n"/>
    </row>
    <row r="965">
      <c r="A965" s="22" t="n"/>
      <c r="B965" s="22" t="n"/>
      <c r="C965" s="22" t="n"/>
      <c r="D965" s="22">
        <f>IF(A965="","",IF(OR(N(B965)&gt;=$C$2,N(C965)&gt;=$E$2),"High",IF(OR(N(B965)&gt;0,N(C965)&gt;0),"Medium","Low")))</f>
        <v/>
      </c>
      <c r="E965" s="22" t="n"/>
      <c r="F965" s="22" t="n"/>
      <c r="G965" s="22" t="n"/>
      <c r="H965" s="22" t="n"/>
      <c r="I965" s="22" t="n"/>
      <c r="J965" s="22" t="n"/>
      <c r="K965" s="22" t="n"/>
      <c r="L965" s="22" t="n"/>
      <c r="M965" s="22">
        <f>IF(K965="Override",L965,IF(K965="Accept suggestion",F965,IF(K965="No change (same URL)",A965,"")))</f>
        <v/>
      </c>
      <c r="N965" s="22">
        <f>IF(A965="","",IF(K965="410 Gone","410",IF(K965="404","404",IF(K965="No change (same URL)","none",IF(M965="","","301")))))</f>
        <v/>
      </c>
      <c r="O965" s="22">
        <f>IF(A965="","",IFERROR(MID(A965,FIND("/",A965,FIND("//",A965)+2),2000),A965))</f>
        <v/>
      </c>
      <c r="P965" s="22">
        <f>IF(OR(O965="",N965="",N965="none",N965="404"),"",IF(N965="410","Redirect gone "&amp;O965,"Redirect "&amp;N965&amp;" "&amp;O965&amp;" "&amp;M965))</f>
        <v/>
      </c>
      <c r="Q965" s="22" t="n"/>
      <c r="R965" s="22" t="n"/>
      <c r="S965" s="22" t="n"/>
      <c r="T965" s="4">
        <f>IF(A965="","",TRIM(IF(K965="","Needs decision; ","")&amp;IF(AND(K965="Accept suggestion",F965=""),"No suggestion to accept; ","")&amp;IF(AND(K965="Override",L965=""),"Override URL missing; ","")&amp;IF(AND(K965="Accept suggestion",N(G965)&lt;$G$2),"Below your threshold; ","")&amp;IF(AND(M965&lt;&gt;"",M965=A965,K965&lt;&gt;"No change (same URL)"),"Redirects to itself; ","")&amp;IF(AND(M965&lt;&gt;"",OR(M965="/",AND(LEFT(M965,4)="http",OR((LEN(M965)-LEN(SUBSTITUTE(M965,"/","")))=2,AND((LEN(M965)-LEN(SUBSTITUTE(M965,"/","")))=3,RIGHT(M965,1)="/"))))),"Home page redirect; ","")&amp;IF(N(R965)&gt;1,"Chain; ","")&amp;IF(S965="No","Destination not 200; ","")))</f>
        <v/>
      </c>
      <c r="U965" s="22" t="n"/>
      <c r="V965" s="22" t="n"/>
      <c r="W965" s="4" t="n"/>
    </row>
    <row r="966">
      <c r="A966" s="22" t="n"/>
      <c r="B966" s="22" t="n"/>
      <c r="C966" s="22" t="n"/>
      <c r="D966" s="22">
        <f>IF(A966="","",IF(OR(N(B966)&gt;=$C$2,N(C966)&gt;=$E$2),"High",IF(OR(N(B966)&gt;0,N(C966)&gt;0),"Medium","Low")))</f>
        <v/>
      </c>
      <c r="E966" s="22" t="n"/>
      <c r="F966" s="22" t="n"/>
      <c r="G966" s="22" t="n"/>
      <c r="H966" s="22" t="n"/>
      <c r="I966" s="22" t="n"/>
      <c r="J966" s="22" t="n"/>
      <c r="K966" s="22" t="n"/>
      <c r="L966" s="22" t="n"/>
      <c r="M966" s="22">
        <f>IF(K966="Override",L966,IF(K966="Accept suggestion",F966,IF(K966="No change (same URL)",A966,"")))</f>
        <v/>
      </c>
      <c r="N966" s="22">
        <f>IF(A966="","",IF(K966="410 Gone","410",IF(K966="404","404",IF(K966="No change (same URL)","none",IF(M966="","","301")))))</f>
        <v/>
      </c>
      <c r="O966" s="22">
        <f>IF(A966="","",IFERROR(MID(A966,FIND("/",A966,FIND("//",A966)+2),2000),A966))</f>
        <v/>
      </c>
      <c r="P966" s="22">
        <f>IF(OR(O966="",N966="",N966="none",N966="404"),"",IF(N966="410","Redirect gone "&amp;O966,"Redirect "&amp;N966&amp;" "&amp;O966&amp;" "&amp;M966))</f>
        <v/>
      </c>
      <c r="Q966" s="22" t="n"/>
      <c r="R966" s="22" t="n"/>
      <c r="S966" s="22" t="n"/>
      <c r="T966" s="4">
        <f>IF(A966="","",TRIM(IF(K966="","Needs decision; ","")&amp;IF(AND(K966="Accept suggestion",F966=""),"No suggestion to accept; ","")&amp;IF(AND(K966="Override",L966=""),"Override URL missing; ","")&amp;IF(AND(K966="Accept suggestion",N(G966)&lt;$G$2),"Below your threshold; ","")&amp;IF(AND(M966&lt;&gt;"",M966=A966,K966&lt;&gt;"No change (same URL)"),"Redirects to itself; ","")&amp;IF(AND(M966&lt;&gt;"",OR(M966="/",AND(LEFT(M966,4)="http",OR((LEN(M966)-LEN(SUBSTITUTE(M966,"/","")))=2,AND((LEN(M966)-LEN(SUBSTITUTE(M966,"/","")))=3,RIGHT(M966,1)="/"))))),"Home page redirect; ","")&amp;IF(N(R966)&gt;1,"Chain; ","")&amp;IF(S966="No","Destination not 200; ","")))</f>
        <v/>
      </c>
      <c r="U966" s="22" t="n"/>
      <c r="V966" s="22" t="n"/>
      <c r="W966" s="4" t="n"/>
    </row>
    <row r="967">
      <c r="A967" s="22" t="n"/>
      <c r="B967" s="22" t="n"/>
      <c r="C967" s="22" t="n"/>
      <c r="D967" s="22">
        <f>IF(A967="","",IF(OR(N(B967)&gt;=$C$2,N(C967)&gt;=$E$2),"High",IF(OR(N(B967)&gt;0,N(C967)&gt;0),"Medium","Low")))</f>
        <v/>
      </c>
      <c r="E967" s="22" t="n"/>
      <c r="F967" s="22" t="n"/>
      <c r="G967" s="22" t="n"/>
      <c r="H967" s="22" t="n"/>
      <c r="I967" s="22" t="n"/>
      <c r="J967" s="22" t="n"/>
      <c r="K967" s="22" t="n"/>
      <c r="L967" s="22" t="n"/>
      <c r="M967" s="22">
        <f>IF(K967="Override",L967,IF(K967="Accept suggestion",F967,IF(K967="No change (same URL)",A967,"")))</f>
        <v/>
      </c>
      <c r="N967" s="22">
        <f>IF(A967="","",IF(K967="410 Gone","410",IF(K967="404","404",IF(K967="No change (same URL)","none",IF(M967="","","301")))))</f>
        <v/>
      </c>
      <c r="O967" s="22">
        <f>IF(A967="","",IFERROR(MID(A967,FIND("/",A967,FIND("//",A967)+2),2000),A967))</f>
        <v/>
      </c>
      <c r="P967" s="22">
        <f>IF(OR(O967="",N967="",N967="none",N967="404"),"",IF(N967="410","Redirect gone "&amp;O967,"Redirect "&amp;N967&amp;" "&amp;O967&amp;" "&amp;M967))</f>
        <v/>
      </c>
      <c r="Q967" s="22" t="n"/>
      <c r="R967" s="22" t="n"/>
      <c r="S967" s="22" t="n"/>
      <c r="T967" s="4">
        <f>IF(A967="","",TRIM(IF(K967="","Needs decision; ","")&amp;IF(AND(K967="Accept suggestion",F967=""),"No suggestion to accept; ","")&amp;IF(AND(K967="Override",L967=""),"Override URL missing; ","")&amp;IF(AND(K967="Accept suggestion",N(G967)&lt;$G$2),"Below your threshold; ","")&amp;IF(AND(M967&lt;&gt;"",M967=A967,K967&lt;&gt;"No change (same URL)"),"Redirects to itself; ","")&amp;IF(AND(M967&lt;&gt;"",OR(M967="/",AND(LEFT(M967,4)="http",OR((LEN(M967)-LEN(SUBSTITUTE(M967,"/","")))=2,AND((LEN(M967)-LEN(SUBSTITUTE(M967,"/","")))=3,RIGHT(M967,1)="/"))))),"Home page redirect; ","")&amp;IF(N(R967)&gt;1,"Chain; ","")&amp;IF(S967="No","Destination not 200; ","")))</f>
        <v/>
      </c>
      <c r="U967" s="22" t="n"/>
      <c r="V967" s="22" t="n"/>
      <c r="W967" s="4" t="n"/>
    </row>
    <row r="968">
      <c r="A968" s="22" t="n"/>
      <c r="B968" s="22" t="n"/>
      <c r="C968" s="22" t="n"/>
      <c r="D968" s="22">
        <f>IF(A968="","",IF(OR(N(B968)&gt;=$C$2,N(C968)&gt;=$E$2),"High",IF(OR(N(B968)&gt;0,N(C968)&gt;0),"Medium","Low")))</f>
        <v/>
      </c>
      <c r="E968" s="22" t="n"/>
      <c r="F968" s="22" t="n"/>
      <c r="G968" s="22" t="n"/>
      <c r="H968" s="22" t="n"/>
      <c r="I968" s="22" t="n"/>
      <c r="J968" s="22" t="n"/>
      <c r="K968" s="22" t="n"/>
      <c r="L968" s="22" t="n"/>
      <c r="M968" s="22">
        <f>IF(K968="Override",L968,IF(K968="Accept suggestion",F968,IF(K968="No change (same URL)",A968,"")))</f>
        <v/>
      </c>
      <c r="N968" s="22">
        <f>IF(A968="","",IF(K968="410 Gone","410",IF(K968="404","404",IF(K968="No change (same URL)","none",IF(M968="","","301")))))</f>
        <v/>
      </c>
      <c r="O968" s="22">
        <f>IF(A968="","",IFERROR(MID(A968,FIND("/",A968,FIND("//",A968)+2),2000),A968))</f>
        <v/>
      </c>
      <c r="P968" s="22">
        <f>IF(OR(O968="",N968="",N968="none",N968="404"),"",IF(N968="410","Redirect gone "&amp;O968,"Redirect "&amp;N968&amp;" "&amp;O968&amp;" "&amp;M968))</f>
        <v/>
      </c>
      <c r="Q968" s="22" t="n"/>
      <c r="R968" s="22" t="n"/>
      <c r="S968" s="22" t="n"/>
      <c r="T968" s="4">
        <f>IF(A968="","",TRIM(IF(K968="","Needs decision; ","")&amp;IF(AND(K968="Accept suggestion",F968=""),"No suggestion to accept; ","")&amp;IF(AND(K968="Override",L968=""),"Override URL missing; ","")&amp;IF(AND(K968="Accept suggestion",N(G968)&lt;$G$2),"Below your threshold; ","")&amp;IF(AND(M968&lt;&gt;"",M968=A968,K968&lt;&gt;"No change (same URL)"),"Redirects to itself; ","")&amp;IF(AND(M968&lt;&gt;"",OR(M968="/",AND(LEFT(M968,4)="http",OR((LEN(M968)-LEN(SUBSTITUTE(M968,"/","")))=2,AND((LEN(M968)-LEN(SUBSTITUTE(M968,"/","")))=3,RIGHT(M968,1)="/"))))),"Home page redirect; ","")&amp;IF(N(R968)&gt;1,"Chain; ","")&amp;IF(S968="No","Destination not 200; ","")))</f>
        <v/>
      </c>
      <c r="U968" s="22" t="n"/>
      <c r="V968" s="22" t="n"/>
      <c r="W968" s="4" t="n"/>
    </row>
    <row r="969">
      <c r="A969" s="22" t="n"/>
      <c r="B969" s="22" t="n"/>
      <c r="C969" s="22" t="n"/>
      <c r="D969" s="22">
        <f>IF(A969="","",IF(OR(N(B969)&gt;=$C$2,N(C969)&gt;=$E$2),"High",IF(OR(N(B969)&gt;0,N(C969)&gt;0),"Medium","Low")))</f>
        <v/>
      </c>
      <c r="E969" s="22" t="n"/>
      <c r="F969" s="22" t="n"/>
      <c r="G969" s="22" t="n"/>
      <c r="H969" s="22" t="n"/>
      <c r="I969" s="22" t="n"/>
      <c r="J969" s="22" t="n"/>
      <c r="K969" s="22" t="n"/>
      <c r="L969" s="22" t="n"/>
      <c r="M969" s="22">
        <f>IF(K969="Override",L969,IF(K969="Accept suggestion",F969,IF(K969="No change (same URL)",A969,"")))</f>
        <v/>
      </c>
      <c r="N969" s="22">
        <f>IF(A969="","",IF(K969="410 Gone","410",IF(K969="404","404",IF(K969="No change (same URL)","none",IF(M969="","","301")))))</f>
        <v/>
      </c>
      <c r="O969" s="22">
        <f>IF(A969="","",IFERROR(MID(A969,FIND("/",A969,FIND("//",A969)+2),2000),A969))</f>
        <v/>
      </c>
      <c r="P969" s="22">
        <f>IF(OR(O969="",N969="",N969="none",N969="404"),"",IF(N969="410","Redirect gone "&amp;O969,"Redirect "&amp;N969&amp;" "&amp;O969&amp;" "&amp;M969))</f>
        <v/>
      </c>
      <c r="Q969" s="22" t="n"/>
      <c r="R969" s="22" t="n"/>
      <c r="S969" s="22" t="n"/>
      <c r="T969" s="4">
        <f>IF(A969="","",TRIM(IF(K969="","Needs decision; ","")&amp;IF(AND(K969="Accept suggestion",F969=""),"No suggestion to accept; ","")&amp;IF(AND(K969="Override",L969=""),"Override URL missing; ","")&amp;IF(AND(K969="Accept suggestion",N(G969)&lt;$G$2),"Below your threshold; ","")&amp;IF(AND(M969&lt;&gt;"",M969=A969,K969&lt;&gt;"No change (same URL)"),"Redirects to itself; ","")&amp;IF(AND(M969&lt;&gt;"",OR(M969="/",AND(LEFT(M969,4)="http",OR((LEN(M969)-LEN(SUBSTITUTE(M969,"/","")))=2,AND((LEN(M969)-LEN(SUBSTITUTE(M969,"/","")))=3,RIGHT(M969,1)="/"))))),"Home page redirect; ","")&amp;IF(N(R969)&gt;1,"Chain; ","")&amp;IF(S969="No","Destination not 200; ","")))</f>
        <v/>
      </c>
      <c r="U969" s="22" t="n"/>
      <c r="V969" s="22" t="n"/>
      <c r="W969" s="4" t="n"/>
    </row>
    <row r="970">
      <c r="A970" s="22" t="n"/>
      <c r="B970" s="22" t="n"/>
      <c r="C970" s="22" t="n"/>
      <c r="D970" s="22">
        <f>IF(A970="","",IF(OR(N(B970)&gt;=$C$2,N(C970)&gt;=$E$2),"High",IF(OR(N(B970)&gt;0,N(C970)&gt;0),"Medium","Low")))</f>
        <v/>
      </c>
      <c r="E970" s="22" t="n"/>
      <c r="F970" s="22" t="n"/>
      <c r="G970" s="22" t="n"/>
      <c r="H970" s="22" t="n"/>
      <c r="I970" s="22" t="n"/>
      <c r="J970" s="22" t="n"/>
      <c r="K970" s="22" t="n"/>
      <c r="L970" s="22" t="n"/>
      <c r="M970" s="22">
        <f>IF(K970="Override",L970,IF(K970="Accept suggestion",F970,IF(K970="No change (same URL)",A970,"")))</f>
        <v/>
      </c>
      <c r="N970" s="22">
        <f>IF(A970="","",IF(K970="410 Gone","410",IF(K970="404","404",IF(K970="No change (same URL)","none",IF(M970="","","301")))))</f>
        <v/>
      </c>
      <c r="O970" s="22">
        <f>IF(A970="","",IFERROR(MID(A970,FIND("/",A970,FIND("//",A970)+2),2000),A970))</f>
        <v/>
      </c>
      <c r="P970" s="22">
        <f>IF(OR(O970="",N970="",N970="none",N970="404"),"",IF(N970="410","Redirect gone "&amp;O970,"Redirect "&amp;N970&amp;" "&amp;O970&amp;" "&amp;M970))</f>
        <v/>
      </c>
      <c r="Q970" s="22" t="n"/>
      <c r="R970" s="22" t="n"/>
      <c r="S970" s="22" t="n"/>
      <c r="T970" s="4">
        <f>IF(A970="","",TRIM(IF(K970="","Needs decision; ","")&amp;IF(AND(K970="Accept suggestion",F970=""),"No suggestion to accept; ","")&amp;IF(AND(K970="Override",L970=""),"Override URL missing; ","")&amp;IF(AND(K970="Accept suggestion",N(G970)&lt;$G$2),"Below your threshold; ","")&amp;IF(AND(M970&lt;&gt;"",M970=A970,K970&lt;&gt;"No change (same URL)"),"Redirects to itself; ","")&amp;IF(AND(M970&lt;&gt;"",OR(M970="/",AND(LEFT(M970,4)="http",OR((LEN(M970)-LEN(SUBSTITUTE(M970,"/","")))=2,AND((LEN(M970)-LEN(SUBSTITUTE(M970,"/","")))=3,RIGHT(M970,1)="/"))))),"Home page redirect; ","")&amp;IF(N(R970)&gt;1,"Chain; ","")&amp;IF(S970="No","Destination not 200; ","")))</f>
        <v/>
      </c>
      <c r="U970" s="22" t="n"/>
      <c r="V970" s="22" t="n"/>
      <c r="W970" s="4" t="n"/>
    </row>
    <row r="971">
      <c r="A971" s="22" t="n"/>
      <c r="B971" s="22" t="n"/>
      <c r="C971" s="22" t="n"/>
      <c r="D971" s="22">
        <f>IF(A971="","",IF(OR(N(B971)&gt;=$C$2,N(C971)&gt;=$E$2),"High",IF(OR(N(B971)&gt;0,N(C971)&gt;0),"Medium","Low")))</f>
        <v/>
      </c>
      <c r="E971" s="22" t="n"/>
      <c r="F971" s="22" t="n"/>
      <c r="G971" s="22" t="n"/>
      <c r="H971" s="22" t="n"/>
      <c r="I971" s="22" t="n"/>
      <c r="J971" s="22" t="n"/>
      <c r="K971" s="22" t="n"/>
      <c r="L971" s="22" t="n"/>
      <c r="M971" s="22">
        <f>IF(K971="Override",L971,IF(K971="Accept suggestion",F971,IF(K971="No change (same URL)",A971,"")))</f>
        <v/>
      </c>
      <c r="N971" s="22">
        <f>IF(A971="","",IF(K971="410 Gone","410",IF(K971="404","404",IF(K971="No change (same URL)","none",IF(M971="","","301")))))</f>
        <v/>
      </c>
      <c r="O971" s="22">
        <f>IF(A971="","",IFERROR(MID(A971,FIND("/",A971,FIND("//",A971)+2),2000),A971))</f>
        <v/>
      </c>
      <c r="P971" s="22">
        <f>IF(OR(O971="",N971="",N971="none",N971="404"),"",IF(N971="410","Redirect gone "&amp;O971,"Redirect "&amp;N971&amp;" "&amp;O971&amp;" "&amp;M971))</f>
        <v/>
      </c>
      <c r="Q971" s="22" t="n"/>
      <c r="R971" s="22" t="n"/>
      <c r="S971" s="22" t="n"/>
      <c r="T971" s="4">
        <f>IF(A971="","",TRIM(IF(K971="","Needs decision; ","")&amp;IF(AND(K971="Accept suggestion",F971=""),"No suggestion to accept; ","")&amp;IF(AND(K971="Override",L971=""),"Override URL missing; ","")&amp;IF(AND(K971="Accept suggestion",N(G971)&lt;$G$2),"Below your threshold; ","")&amp;IF(AND(M971&lt;&gt;"",M971=A971,K971&lt;&gt;"No change (same URL)"),"Redirects to itself; ","")&amp;IF(AND(M971&lt;&gt;"",OR(M971="/",AND(LEFT(M971,4)="http",OR((LEN(M971)-LEN(SUBSTITUTE(M971,"/","")))=2,AND((LEN(M971)-LEN(SUBSTITUTE(M971,"/","")))=3,RIGHT(M971,1)="/"))))),"Home page redirect; ","")&amp;IF(N(R971)&gt;1,"Chain; ","")&amp;IF(S971="No","Destination not 200; ","")))</f>
        <v/>
      </c>
      <c r="U971" s="22" t="n"/>
      <c r="V971" s="22" t="n"/>
      <c r="W971" s="4" t="n"/>
    </row>
    <row r="972">
      <c r="A972" s="22" t="n"/>
      <c r="B972" s="22" t="n"/>
      <c r="C972" s="22" t="n"/>
      <c r="D972" s="22">
        <f>IF(A972="","",IF(OR(N(B972)&gt;=$C$2,N(C972)&gt;=$E$2),"High",IF(OR(N(B972)&gt;0,N(C972)&gt;0),"Medium","Low")))</f>
        <v/>
      </c>
      <c r="E972" s="22" t="n"/>
      <c r="F972" s="22" t="n"/>
      <c r="G972" s="22" t="n"/>
      <c r="H972" s="22" t="n"/>
      <c r="I972" s="22" t="n"/>
      <c r="J972" s="22" t="n"/>
      <c r="K972" s="22" t="n"/>
      <c r="L972" s="22" t="n"/>
      <c r="M972" s="22">
        <f>IF(K972="Override",L972,IF(K972="Accept suggestion",F972,IF(K972="No change (same URL)",A972,"")))</f>
        <v/>
      </c>
      <c r="N972" s="22">
        <f>IF(A972="","",IF(K972="410 Gone","410",IF(K972="404","404",IF(K972="No change (same URL)","none",IF(M972="","","301")))))</f>
        <v/>
      </c>
      <c r="O972" s="22">
        <f>IF(A972="","",IFERROR(MID(A972,FIND("/",A972,FIND("//",A972)+2),2000),A972))</f>
        <v/>
      </c>
      <c r="P972" s="22">
        <f>IF(OR(O972="",N972="",N972="none",N972="404"),"",IF(N972="410","Redirect gone "&amp;O972,"Redirect "&amp;N972&amp;" "&amp;O972&amp;" "&amp;M972))</f>
        <v/>
      </c>
      <c r="Q972" s="22" t="n"/>
      <c r="R972" s="22" t="n"/>
      <c r="S972" s="22" t="n"/>
      <c r="T972" s="4">
        <f>IF(A972="","",TRIM(IF(K972="","Needs decision; ","")&amp;IF(AND(K972="Accept suggestion",F972=""),"No suggestion to accept; ","")&amp;IF(AND(K972="Override",L972=""),"Override URL missing; ","")&amp;IF(AND(K972="Accept suggestion",N(G972)&lt;$G$2),"Below your threshold; ","")&amp;IF(AND(M972&lt;&gt;"",M972=A972,K972&lt;&gt;"No change (same URL)"),"Redirects to itself; ","")&amp;IF(AND(M972&lt;&gt;"",OR(M972="/",AND(LEFT(M972,4)="http",OR((LEN(M972)-LEN(SUBSTITUTE(M972,"/","")))=2,AND((LEN(M972)-LEN(SUBSTITUTE(M972,"/","")))=3,RIGHT(M972,1)="/"))))),"Home page redirect; ","")&amp;IF(N(R972)&gt;1,"Chain; ","")&amp;IF(S972="No","Destination not 200; ","")))</f>
        <v/>
      </c>
      <c r="U972" s="22" t="n"/>
      <c r="V972" s="22" t="n"/>
      <c r="W972" s="4" t="n"/>
    </row>
    <row r="973">
      <c r="A973" s="22" t="n"/>
      <c r="B973" s="22" t="n"/>
      <c r="C973" s="22" t="n"/>
      <c r="D973" s="22">
        <f>IF(A973="","",IF(OR(N(B973)&gt;=$C$2,N(C973)&gt;=$E$2),"High",IF(OR(N(B973)&gt;0,N(C973)&gt;0),"Medium","Low")))</f>
        <v/>
      </c>
      <c r="E973" s="22" t="n"/>
      <c r="F973" s="22" t="n"/>
      <c r="G973" s="22" t="n"/>
      <c r="H973" s="22" t="n"/>
      <c r="I973" s="22" t="n"/>
      <c r="J973" s="22" t="n"/>
      <c r="K973" s="22" t="n"/>
      <c r="L973" s="22" t="n"/>
      <c r="M973" s="22">
        <f>IF(K973="Override",L973,IF(K973="Accept suggestion",F973,IF(K973="No change (same URL)",A973,"")))</f>
        <v/>
      </c>
      <c r="N973" s="22">
        <f>IF(A973="","",IF(K973="410 Gone","410",IF(K973="404","404",IF(K973="No change (same URL)","none",IF(M973="","","301")))))</f>
        <v/>
      </c>
      <c r="O973" s="22">
        <f>IF(A973="","",IFERROR(MID(A973,FIND("/",A973,FIND("//",A973)+2),2000),A973))</f>
        <v/>
      </c>
      <c r="P973" s="22">
        <f>IF(OR(O973="",N973="",N973="none",N973="404"),"",IF(N973="410","Redirect gone "&amp;O973,"Redirect "&amp;N973&amp;" "&amp;O973&amp;" "&amp;M973))</f>
        <v/>
      </c>
      <c r="Q973" s="22" t="n"/>
      <c r="R973" s="22" t="n"/>
      <c r="S973" s="22" t="n"/>
      <c r="T973" s="4">
        <f>IF(A973="","",TRIM(IF(K973="","Needs decision; ","")&amp;IF(AND(K973="Accept suggestion",F973=""),"No suggestion to accept; ","")&amp;IF(AND(K973="Override",L973=""),"Override URL missing; ","")&amp;IF(AND(K973="Accept suggestion",N(G973)&lt;$G$2),"Below your threshold; ","")&amp;IF(AND(M973&lt;&gt;"",M973=A973,K973&lt;&gt;"No change (same URL)"),"Redirects to itself; ","")&amp;IF(AND(M973&lt;&gt;"",OR(M973="/",AND(LEFT(M973,4)="http",OR((LEN(M973)-LEN(SUBSTITUTE(M973,"/","")))=2,AND((LEN(M973)-LEN(SUBSTITUTE(M973,"/","")))=3,RIGHT(M973,1)="/"))))),"Home page redirect; ","")&amp;IF(N(R973)&gt;1,"Chain; ","")&amp;IF(S973="No","Destination not 200; ","")))</f>
        <v/>
      </c>
      <c r="U973" s="22" t="n"/>
      <c r="V973" s="22" t="n"/>
      <c r="W973" s="4" t="n"/>
    </row>
    <row r="974">
      <c r="A974" s="22" t="n"/>
      <c r="B974" s="22" t="n"/>
      <c r="C974" s="22" t="n"/>
      <c r="D974" s="22">
        <f>IF(A974="","",IF(OR(N(B974)&gt;=$C$2,N(C974)&gt;=$E$2),"High",IF(OR(N(B974)&gt;0,N(C974)&gt;0),"Medium","Low")))</f>
        <v/>
      </c>
      <c r="E974" s="22" t="n"/>
      <c r="F974" s="22" t="n"/>
      <c r="G974" s="22" t="n"/>
      <c r="H974" s="22" t="n"/>
      <c r="I974" s="22" t="n"/>
      <c r="J974" s="22" t="n"/>
      <c r="K974" s="22" t="n"/>
      <c r="L974" s="22" t="n"/>
      <c r="M974" s="22">
        <f>IF(K974="Override",L974,IF(K974="Accept suggestion",F974,IF(K974="No change (same URL)",A974,"")))</f>
        <v/>
      </c>
      <c r="N974" s="22">
        <f>IF(A974="","",IF(K974="410 Gone","410",IF(K974="404","404",IF(K974="No change (same URL)","none",IF(M974="","","301")))))</f>
        <v/>
      </c>
      <c r="O974" s="22">
        <f>IF(A974="","",IFERROR(MID(A974,FIND("/",A974,FIND("//",A974)+2),2000),A974))</f>
        <v/>
      </c>
      <c r="P974" s="22">
        <f>IF(OR(O974="",N974="",N974="none",N974="404"),"",IF(N974="410","Redirect gone "&amp;O974,"Redirect "&amp;N974&amp;" "&amp;O974&amp;" "&amp;M974))</f>
        <v/>
      </c>
      <c r="Q974" s="22" t="n"/>
      <c r="R974" s="22" t="n"/>
      <c r="S974" s="22" t="n"/>
      <c r="T974" s="4">
        <f>IF(A974="","",TRIM(IF(K974="","Needs decision; ","")&amp;IF(AND(K974="Accept suggestion",F974=""),"No suggestion to accept; ","")&amp;IF(AND(K974="Override",L974=""),"Override URL missing; ","")&amp;IF(AND(K974="Accept suggestion",N(G974)&lt;$G$2),"Below your threshold; ","")&amp;IF(AND(M974&lt;&gt;"",M974=A974,K974&lt;&gt;"No change (same URL)"),"Redirects to itself; ","")&amp;IF(AND(M974&lt;&gt;"",OR(M974="/",AND(LEFT(M974,4)="http",OR((LEN(M974)-LEN(SUBSTITUTE(M974,"/","")))=2,AND((LEN(M974)-LEN(SUBSTITUTE(M974,"/","")))=3,RIGHT(M974,1)="/"))))),"Home page redirect; ","")&amp;IF(N(R974)&gt;1,"Chain; ","")&amp;IF(S974="No","Destination not 200; ","")))</f>
        <v/>
      </c>
      <c r="U974" s="22" t="n"/>
      <c r="V974" s="22" t="n"/>
      <c r="W974" s="4" t="n"/>
    </row>
    <row r="975">
      <c r="A975" s="22" t="n"/>
      <c r="B975" s="22" t="n"/>
      <c r="C975" s="22" t="n"/>
      <c r="D975" s="22">
        <f>IF(A975="","",IF(OR(N(B975)&gt;=$C$2,N(C975)&gt;=$E$2),"High",IF(OR(N(B975)&gt;0,N(C975)&gt;0),"Medium","Low")))</f>
        <v/>
      </c>
      <c r="E975" s="22" t="n"/>
      <c r="F975" s="22" t="n"/>
      <c r="G975" s="22" t="n"/>
      <c r="H975" s="22" t="n"/>
      <c r="I975" s="22" t="n"/>
      <c r="J975" s="22" t="n"/>
      <c r="K975" s="22" t="n"/>
      <c r="L975" s="22" t="n"/>
      <c r="M975" s="22">
        <f>IF(K975="Override",L975,IF(K975="Accept suggestion",F975,IF(K975="No change (same URL)",A975,"")))</f>
        <v/>
      </c>
      <c r="N975" s="22">
        <f>IF(A975="","",IF(K975="410 Gone","410",IF(K975="404","404",IF(K975="No change (same URL)","none",IF(M975="","","301")))))</f>
        <v/>
      </c>
      <c r="O975" s="22">
        <f>IF(A975="","",IFERROR(MID(A975,FIND("/",A975,FIND("//",A975)+2),2000),A975))</f>
        <v/>
      </c>
      <c r="P975" s="22">
        <f>IF(OR(O975="",N975="",N975="none",N975="404"),"",IF(N975="410","Redirect gone "&amp;O975,"Redirect "&amp;N975&amp;" "&amp;O975&amp;" "&amp;M975))</f>
        <v/>
      </c>
      <c r="Q975" s="22" t="n"/>
      <c r="R975" s="22" t="n"/>
      <c r="S975" s="22" t="n"/>
      <c r="T975" s="4">
        <f>IF(A975="","",TRIM(IF(K975="","Needs decision; ","")&amp;IF(AND(K975="Accept suggestion",F975=""),"No suggestion to accept; ","")&amp;IF(AND(K975="Override",L975=""),"Override URL missing; ","")&amp;IF(AND(K975="Accept suggestion",N(G975)&lt;$G$2),"Below your threshold; ","")&amp;IF(AND(M975&lt;&gt;"",M975=A975,K975&lt;&gt;"No change (same URL)"),"Redirects to itself; ","")&amp;IF(AND(M975&lt;&gt;"",OR(M975="/",AND(LEFT(M975,4)="http",OR((LEN(M975)-LEN(SUBSTITUTE(M975,"/","")))=2,AND((LEN(M975)-LEN(SUBSTITUTE(M975,"/","")))=3,RIGHT(M975,1)="/"))))),"Home page redirect; ","")&amp;IF(N(R975)&gt;1,"Chain; ","")&amp;IF(S975="No","Destination not 200; ","")))</f>
        <v/>
      </c>
      <c r="U975" s="22" t="n"/>
      <c r="V975" s="22" t="n"/>
      <c r="W975" s="4" t="n"/>
    </row>
    <row r="976">
      <c r="A976" s="22" t="n"/>
      <c r="B976" s="22" t="n"/>
      <c r="C976" s="22" t="n"/>
      <c r="D976" s="22">
        <f>IF(A976="","",IF(OR(N(B976)&gt;=$C$2,N(C976)&gt;=$E$2),"High",IF(OR(N(B976)&gt;0,N(C976)&gt;0),"Medium","Low")))</f>
        <v/>
      </c>
      <c r="E976" s="22" t="n"/>
      <c r="F976" s="22" t="n"/>
      <c r="G976" s="22" t="n"/>
      <c r="H976" s="22" t="n"/>
      <c r="I976" s="22" t="n"/>
      <c r="J976" s="22" t="n"/>
      <c r="K976" s="22" t="n"/>
      <c r="L976" s="22" t="n"/>
      <c r="M976" s="22">
        <f>IF(K976="Override",L976,IF(K976="Accept suggestion",F976,IF(K976="No change (same URL)",A976,"")))</f>
        <v/>
      </c>
      <c r="N976" s="22">
        <f>IF(A976="","",IF(K976="410 Gone","410",IF(K976="404","404",IF(K976="No change (same URL)","none",IF(M976="","","301")))))</f>
        <v/>
      </c>
      <c r="O976" s="22">
        <f>IF(A976="","",IFERROR(MID(A976,FIND("/",A976,FIND("//",A976)+2),2000),A976))</f>
        <v/>
      </c>
      <c r="P976" s="22">
        <f>IF(OR(O976="",N976="",N976="none",N976="404"),"",IF(N976="410","Redirect gone "&amp;O976,"Redirect "&amp;N976&amp;" "&amp;O976&amp;" "&amp;M976))</f>
        <v/>
      </c>
      <c r="Q976" s="22" t="n"/>
      <c r="R976" s="22" t="n"/>
      <c r="S976" s="22" t="n"/>
      <c r="T976" s="4">
        <f>IF(A976="","",TRIM(IF(K976="","Needs decision; ","")&amp;IF(AND(K976="Accept suggestion",F976=""),"No suggestion to accept; ","")&amp;IF(AND(K976="Override",L976=""),"Override URL missing; ","")&amp;IF(AND(K976="Accept suggestion",N(G976)&lt;$G$2),"Below your threshold; ","")&amp;IF(AND(M976&lt;&gt;"",M976=A976,K976&lt;&gt;"No change (same URL)"),"Redirects to itself; ","")&amp;IF(AND(M976&lt;&gt;"",OR(M976="/",AND(LEFT(M976,4)="http",OR((LEN(M976)-LEN(SUBSTITUTE(M976,"/","")))=2,AND((LEN(M976)-LEN(SUBSTITUTE(M976,"/","")))=3,RIGHT(M976,1)="/"))))),"Home page redirect; ","")&amp;IF(N(R976)&gt;1,"Chain; ","")&amp;IF(S976="No","Destination not 200; ","")))</f>
        <v/>
      </c>
      <c r="U976" s="22" t="n"/>
      <c r="V976" s="22" t="n"/>
      <c r="W976" s="4" t="n"/>
    </row>
    <row r="977">
      <c r="A977" s="22" t="n"/>
      <c r="B977" s="22" t="n"/>
      <c r="C977" s="22" t="n"/>
      <c r="D977" s="22">
        <f>IF(A977="","",IF(OR(N(B977)&gt;=$C$2,N(C977)&gt;=$E$2),"High",IF(OR(N(B977)&gt;0,N(C977)&gt;0),"Medium","Low")))</f>
        <v/>
      </c>
      <c r="E977" s="22" t="n"/>
      <c r="F977" s="22" t="n"/>
      <c r="G977" s="22" t="n"/>
      <c r="H977" s="22" t="n"/>
      <c r="I977" s="22" t="n"/>
      <c r="J977" s="22" t="n"/>
      <c r="K977" s="22" t="n"/>
      <c r="L977" s="22" t="n"/>
      <c r="M977" s="22">
        <f>IF(K977="Override",L977,IF(K977="Accept suggestion",F977,IF(K977="No change (same URL)",A977,"")))</f>
        <v/>
      </c>
      <c r="N977" s="22">
        <f>IF(A977="","",IF(K977="410 Gone","410",IF(K977="404","404",IF(K977="No change (same URL)","none",IF(M977="","","301")))))</f>
        <v/>
      </c>
      <c r="O977" s="22">
        <f>IF(A977="","",IFERROR(MID(A977,FIND("/",A977,FIND("//",A977)+2),2000),A977))</f>
        <v/>
      </c>
      <c r="P977" s="22">
        <f>IF(OR(O977="",N977="",N977="none",N977="404"),"",IF(N977="410","Redirect gone "&amp;O977,"Redirect "&amp;N977&amp;" "&amp;O977&amp;" "&amp;M977))</f>
        <v/>
      </c>
      <c r="Q977" s="22" t="n"/>
      <c r="R977" s="22" t="n"/>
      <c r="S977" s="22" t="n"/>
      <c r="T977" s="4">
        <f>IF(A977="","",TRIM(IF(K977="","Needs decision; ","")&amp;IF(AND(K977="Accept suggestion",F977=""),"No suggestion to accept; ","")&amp;IF(AND(K977="Override",L977=""),"Override URL missing; ","")&amp;IF(AND(K977="Accept suggestion",N(G977)&lt;$G$2),"Below your threshold; ","")&amp;IF(AND(M977&lt;&gt;"",M977=A977,K977&lt;&gt;"No change (same URL)"),"Redirects to itself; ","")&amp;IF(AND(M977&lt;&gt;"",OR(M977="/",AND(LEFT(M977,4)="http",OR((LEN(M977)-LEN(SUBSTITUTE(M977,"/","")))=2,AND((LEN(M977)-LEN(SUBSTITUTE(M977,"/","")))=3,RIGHT(M977,1)="/"))))),"Home page redirect; ","")&amp;IF(N(R977)&gt;1,"Chain; ","")&amp;IF(S977="No","Destination not 200; ","")))</f>
        <v/>
      </c>
      <c r="U977" s="22" t="n"/>
      <c r="V977" s="22" t="n"/>
      <c r="W977" s="4" t="n"/>
    </row>
    <row r="978">
      <c r="A978" s="22" t="n"/>
      <c r="B978" s="22" t="n"/>
      <c r="C978" s="22" t="n"/>
      <c r="D978" s="22">
        <f>IF(A978="","",IF(OR(N(B978)&gt;=$C$2,N(C978)&gt;=$E$2),"High",IF(OR(N(B978)&gt;0,N(C978)&gt;0),"Medium","Low")))</f>
        <v/>
      </c>
      <c r="E978" s="22" t="n"/>
      <c r="F978" s="22" t="n"/>
      <c r="G978" s="22" t="n"/>
      <c r="H978" s="22" t="n"/>
      <c r="I978" s="22" t="n"/>
      <c r="J978" s="22" t="n"/>
      <c r="K978" s="22" t="n"/>
      <c r="L978" s="22" t="n"/>
      <c r="M978" s="22">
        <f>IF(K978="Override",L978,IF(K978="Accept suggestion",F978,IF(K978="No change (same URL)",A978,"")))</f>
        <v/>
      </c>
      <c r="N978" s="22">
        <f>IF(A978="","",IF(K978="410 Gone","410",IF(K978="404","404",IF(K978="No change (same URL)","none",IF(M978="","","301")))))</f>
        <v/>
      </c>
      <c r="O978" s="22">
        <f>IF(A978="","",IFERROR(MID(A978,FIND("/",A978,FIND("//",A978)+2),2000),A978))</f>
        <v/>
      </c>
      <c r="P978" s="22">
        <f>IF(OR(O978="",N978="",N978="none",N978="404"),"",IF(N978="410","Redirect gone "&amp;O978,"Redirect "&amp;N978&amp;" "&amp;O978&amp;" "&amp;M978))</f>
        <v/>
      </c>
      <c r="Q978" s="22" t="n"/>
      <c r="R978" s="22" t="n"/>
      <c r="S978" s="22" t="n"/>
      <c r="T978" s="4">
        <f>IF(A978="","",TRIM(IF(K978="","Needs decision; ","")&amp;IF(AND(K978="Accept suggestion",F978=""),"No suggestion to accept; ","")&amp;IF(AND(K978="Override",L978=""),"Override URL missing; ","")&amp;IF(AND(K978="Accept suggestion",N(G978)&lt;$G$2),"Below your threshold; ","")&amp;IF(AND(M978&lt;&gt;"",M978=A978,K978&lt;&gt;"No change (same URL)"),"Redirects to itself; ","")&amp;IF(AND(M978&lt;&gt;"",OR(M978="/",AND(LEFT(M978,4)="http",OR((LEN(M978)-LEN(SUBSTITUTE(M978,"/","")))=2,AND((LEN(M978)-LEN(SUBSTITUTE(M978,"/","")))=3,RIGHT(M978,1)="/"))))),"Home page redirect; ","")&amp;IF(N(R978)&gt;1,"Chain; ","")&amp;IF(S978="No","Destination not 200; ","")))</f>
        <v/>
      </c>
      <c r="U978" s="22" t="n"/>
      <c r="V978" s="22" t="n"/>
      <c r="W978" s="4" t="n"/>
    </row>
    <row r="979">
      <c r="A979" s="22" t="n"/>
      <c r="B979" s="22" t="n"/>
      <c r="C979" s="22" t="n"/>
      <c r="D979" s="22">
        <f>IF(A979="","",IF(OR(N(B979)&gt;=$C$2,N(C979)&gt;=$E$2),"High",IF(OR(N(B979)&gt;0,N(C979)&gt;0),"Medium","Low")))</f>
        <v/>
      </c>
      <c r="E979" s="22" t="n"/>
      <c r="F979" s="22" t="n"/>
      <c r="G979" s="22" t="n"/>
      <c r="H979" s="22" t="n"/>
      <c r="I979" s="22" t="n"/>
      <c r="J979" s="22" t="n"/>
      <c r="K979" s="22" t="n"/>
      <c r="L979" s="22" t="n"/>
      <c r="M979" s="22">
        <f>IF(K979="Override",L979,IF(K979="Accept suggestion",F979,IF(K979="No change (same URL)",A979,"")))</f>
        <v/>
      </c>
      <c r="N979" s="22">
        <f>IF(A979="","",IF(K979="410 Gone","410",IF(K979="404","404",IF(K979="No change (same URL)","none",IF(M979="","","301")))))</f>
        <v/>
      </c>
      <c r="O979" s="22">
        <f>IF(A979="","",IFERROR(MID(A979,FIND("/",A979,FIND("//",A979)+2),2000),A979))</f>
        <v/>
      </c>
      <c r="P979" s="22">
        <f>IF(OR(O979="",N979="",N979="none",N979="404"),"",IF(N979="410","Redirect gone "&amp;O979,"Redirect "&amp;N979&amp;" "&amp;O979&amp;" "&amp;M979))</f>
        <v/>
      </c>
      <c r="Q979" s="22" t="n"/>
      <c r="R979" s="22" t="n"/>
      <c r="S979" s="22" t="n"/>
      <c r="T979" s="4">
        <f>IF(A979="","",TRIM(IF(K979="","Needs decision; ","")&amp;IF(AND(K979="Accept suggestion",F979=""),"No suggestion to accept; ","")&amp;IF(AND(K979="Override",L979=""),"Override URL missing; ","")&amp;IF(AND(K979="Accept suggestion",N(G979)&lt;$G$2),"Below your threshold; ","")&amp;IF(AND(M979&lt;&gt;"",M979=A979,K979&lt;&gt;"No change (same URL)"),"Redirects to itself; ","")&amp;IF(AND(M979&lt;&gt;"",OR(M979="/",AND(LEFT(M979,4)="http",OR((LEN(M979)-LEN(SUBSTITUTE(M979,"/","")))=2,AND((LEN(M979)-LEN(SUBSTITUTE(M979,"/","")))=3,RIGHT(M979,1)="/"))))),"Home page redirect; ","")&amp;IF(N(R979)&gt;1,"Chain; ","")&amp;IF(S979="No","Destination not 200; ","")))</f>
        <v/>
      </c>
      <c r="U979" s="22" t="n"/>
      <c r="V979" s="22" t="n"/>
      <c r="W979" s="4" t="n"/>
    </row>
    <row r="980">
      <c r="A980" s="22" t="n"/>
      <c r="B980" s="22" t="n"/>
      <c r="C980" s="22" t="n"/>
      <c r="D980" s="22">
        <f>IF(A980="","",IF(OR(N(B980)&gt;=$C$2,N(C980)&gt;=$E$2),"High",IF(OR(N(B980)&gt;0,N(C980)&gt;0),"Medium","Low")))</f>
        <v/>
      </c>
      <c r="E980" s="22" t="n"/>
      <c r="F980" s="22" t="n"/>
      <c r="G980" s="22" t="n"/>
      <c r="H980" s="22" t="n"/>
      <c r="I980" s="22" t="n"/>
      <c r="J980" s="22" t="n"/>
      <c r="K980" s="22" t="n"/>
      <c r="L980" s="22" t="n"/>
      <c r="M980" s="22">
        <f>IF(K980="Override",L980,IF(K980="Accept suggestion",F980,IF(K980="No change (same URL)",A980,"")))</f>
        <v/>
      </c>
      <c r="N980" s="22">
        <f>IF(A980="","",IF(K980="410 Gone","410",IF(K980="404","404",IF(K980="No change (same URL)","none",IF(M980="","","301")))))</f>
        <v/>
      </c>
      <c r="O980" s="22">
        <f>IF(A980="","",IFERROR(MID(A980,FIND("/",A980,FIND("//",A980)+2),2000),A980))</f>
        <v/>
      </c>
      <c r="P980" s="22">
        <f>IF(OR(O980="",N980="",N980="none",N980="404"),"",IF(N980="410","Redirect gone "&amp;O980,"Redirect "&amp;N980&amp;" "&amp;O980&amp;" "&amp;M980))</f>
        <v/>
      </c>
      <c r="Q980" s="22" t="n"/>
      <c r="R980" s="22" t="n"/>
      <c r="S980" s="22" t="n"/>
      <c r="T980" s="4">
        <f>IF(A980="","",TRIM(IF(K980="","Needs decision; ","")&amp;IF(AND(K980="Accept suggestion",F980=""),"No suggestion to accept; ","")&amp;IF(AND(K980="Override",L980=""),"Override URL missing; ","")&amp;IF(AND(K980="Accept suggestion",N(G980)&lt;$G$2),"Below your threshold; ","")&amp;IF(AND(M980&lt;&gt;"",M980=A980,K980&lt;&gt;"No change (same URL)"),"Redirects to itself; ","")&amp;IF(AND(M980&lt;&gt;"",OR(M980="/",AND(LEFT(M980,4)="http",OR((LEN(M980)-LEN(SUBSTITUTE(M980,"/","")))=2,AND((LEN(M980)-LEN(SUBSTITUTE(M980,"/","")))=3,RIGHT(M980,1)="/"))))),"Home page redirect; ","")&amp;IF(N(R980)&gt;1,"Chain; ","")&amp;IF(S980="No","Destination not 200; ","")))</f>
        <v/>
      </c>
      <c r="U980" s="22" t="n"/>
      <c r="V980" s="22" t="n"/>
      <c r="W980" s="4" t="n"/>
    </row>
    <row r="981">
      <c r="A981" s="22" t="n"/>
      <c r="B981" s="22" t="n"/>
      <c r="C981" s="22" t="n"/>
      <c r="D981" s="22">
        <f>IF(A981="","",IF(OR(N(B981)&gt;=$C$2,N(C981)&gt;=$E$2),"High",IF(OR(N(B981)&gt;0,N(C981)&gt;0),"Medium","Low")))</f>
        <v/>
      </c>
      <c r="E981" s="22" t="n"/>
      <c r="F981" s="22" t="n"/>
      <c r="G981" s="22" t="n"/>
      <c r="H981" s="22" t="n"/>
      <c r="I981" s="22" t="n"/>
      <c r="J981" s="22" t="n"/>
      <c r="K981" s="22" t="n"/>
      <c r="L981" s="22" t="n"/>
      <c r="M981" s="22">
        <f>IF(K981="Override",L981,IF(K981="Accept suggestion",F981,IF(K981="No change (same URL)",A981,"")))</f>
        <v/>
      </c>
      <c r="N981" s="22">
        <f>IF(A981="","",IF(K981="410 Gone","410",IF(K981="404","404",IF(K981="No change (same URL)","none",IF(M981="","","301")))))</f>
        <v/>
      </c>
      <c r="O981" s="22">
        <f>IF(A981="","",IFERROR(MID(A981,FIND("/",A981,FIND("//",A981)+2),2000),A981))</f>
        <v/>
      </c>
      <c r="P981" s="22">
        <f>IF(OR(O981="",N981="",N981="none",N981="404"),"",IF(N981="410","Redirect gone "&amp;O981,"Redirect "&amp;N981&amp;" "&amp;O981&amp;" "&amp;M981))</f>
        <v/>
      </c>
      <c r="Q981" s="22" t="n"/>
      <c r="R981" s="22" t="n"/>
      <c r="S981" s="22" t="n"/>
      <c r="T981" s="4">
        <f>IF(A981="","",TRIM(IF(K981="","Needs decision; ","")&amp;IF(AND(K981="Accept suggestion",F981=""),"No suggestion to accept; ","")&amp;IF(AND(K981="Override",L981=""),"Override URL missing; ","")&amp;IF(AND(K981="Accept suggestion",N(G981)&lt;$G$2),"Below your threshold; ","")&amp;IF(AND(M981&lt;&gt;"",M981=A981,K981&lt;&gt;"No change (same URL)"),"Redirects to itself; ","")&amp;IF(AND(M981&lt;&gt;"",OR(M981="/",AND(LEFT(M981,4)="http",OR((LEN(M981)-LEN(SUBSTITUTE(M981,"/","")))=2,AND((LEN(M981)-LEN(SUBSTITUTE(M981,"/","")))=3,RIGHT(M981,1)="/"))))),"Home page redirect; ","")&amp;IF(N(R981)&gt;1,"Chain; ","")&amp;IF(S981="No","Destination not 200; ","")))</f>
        <v/>
      </c>
      <c r="U981" s="22" t="n"/>
      <c r="V981" s="22" t="n"/>
      <c r="W981" s="4" t="n"/>
    </row>
    <row r="982">
      <c r="A982" s="22" t="n"/>
      <c r="B982" s="22" t="n"/>
      <c r="C982" s="22" t="n"/>
      <c r="D982" s="22">
        <f>IF(A982="","",IF(OR(N(B982)&gt;=$C$2,N(C982)&gt;=$E$2),"High",IF(OR(N(B982)&gt;0,N(C982)&gt;0),"Medium","Low")))</f>
        <v/>
      </c>
      <c r="E982" s="22" t="n"/>
      <c r="F982" s="22" t="n"/>
      <c r="G982" s="22" t="n"/>
      <c r="H982" s="22" t="n"/>
      <c r="I982" s="22" t="n"/>
      <c r="J982" s="22" t="n"/>
      <c r="K982" s="22" t="n"/>
      <c r="L982" s="22" t="n"/>
      <c r="M982" s="22">
        <f>IF(K982="Override",L982,IF(K982="Accept suggestion",F982,IF(K982="No change (same URL)",A982,"")))</f>
        <v/>
      </c>
      <c r="N982" s="22">
        <f>IF(A982="","",IF(K982="410 Gone","410",IF(K982="404","404",IF(K982="No change (same URL)","none",IF(M982="","","301")))))</f>
        <v/>
      </c>
      <c r="O982" s="22">
        <f>IF(A982="","",IFERROR(MID(A982,FIND("/",A982,FIND("//",A982)+2),2000),A982))</f>
        <v/>
      </c>
      <c r="P982" s="22">
        <f>IF(OR(O982="",N982="",N982="none",N982="404"),"",IF(N982="410","Redirect gone "&amp;O982,"Redirect "&amp;N982&amp;" "&amp;O982&amp;" "&amp;M982))</f>
        <v/>
      </c>
      <c r="Q982" s="22" t="n"/>
      <c r="R982" s="22" t="n"/>
      <c r="S982" s="22" t="n"/>
      <c r="T982" s="4">
        <f>IF(A982="","",TRIM(IF(K982="","Needs decision; ","")&amp;IF(AND(K982="Accept suggestion",F982=""),"No suggestion to accept; ","")&amp;IF(AND(K982="Override",L982=""),"Override URL missing; ","")&amp;IF(AND(K982="Accept suggestion",N(G982)&lt;$G$2),"Below your threshold; ","")&amp;IF(AND(M982&lt;&gt;"",M982=A982,K982&lt;&gt;"No change (same URL)"),"Redirects to itself; ","")&amp;IF(AND(M982&lt;&gt;"",OR(M982="/",AND(LEFT(M982,4)="http",OR((LEN(M982)-LEN(SUBSTITUTE(M982,"/","")))=2,AND((LEN(M982)-LEN(SUBSTITUTE(M982,"/","")))=3,RIGHT(M982,1)="/"))))),"Home page redirect; ","")&amp;IF(N(R982)&gt;1,"Chain; ","")&amp;IF(S982="No","Destination not 200; ","")))</f>
        <v/>
      </c>
      <c r="U982" s="22" t="n"/>
      <c r="V982" s="22" t="n"/>
      <c r="W982" s="4" t="n"/>
    </row>
    <row r="983">
      <c r="A983" s="22" t="n"/>
      <c r="B983" s="22" t="n"/>
      <c r="C983" s="22" t="n"/>
      <c r="D983" s="22">
        <f>IF(A983="","",IF(OR(N(B983)&gt;=$C$2,N(C983)&gt;=$E$2),"High",IF(OR(N(B983)&gt;0,N(C983)&gt;0),"Medium","Low")))</f>
        <v/>
      </c>
      <c r="E983" s="22" t="n"/>
      <c r="F983" s="22" t="n"/>
      <c r="G983" s="22" t="n"/>
      <c r="H983" s="22" t="n"/>
      <c r="I983" s="22" t="n"/>
      <c r="J983" s="22" t="n"/>
      <c r="K983" s="22" t="n"/>
      <c r="L983" s="22" t="n"/>
      <c r="M983" s="22">
        <f>IF(K983="Override",L983,IF(K983="Accept suggestion",F983,IF(K983="No change (same URL)",A983,"")))</f>
        <v/>
      </c>
      <c r="N983" s="22">
        <f>IF(A983="","",IF(K983="410 Gone","410",IF(K983="404","404",IF(K983="No change (same URL)","none",IF(M983="","","301")))))</f>
        <v/>
      </c>
      <c r="O983" s="22">
        <f>IF(A983="","",IFERROR(MID(A983,FIND("/",A983,FIND("//",A983)+2),2000),A983))</f>
        <v/>
      </c>
      <c r="P983" s="22">
        <f>IF(OR(O983="",N983="",N983="none",N983="404"),"",IF(N983="410","Redirect gone "&amp;O983,"Redirect "&amp;N983&amp;" "&amp;O983&amp;" "&amp;M983))</f>
        <v/>
      </c>
      <c r="Q983" s="22" t="n"/>
      <c r="R983" s="22" t="n"/>
      <c r="S983" s="22" t="n"/>
      <c r="T983" s="4">
        <f>IF(A983="","",TRIM(IF(K983="","Needs decision; ","")&amp;IF(AND(K983="Accept suggestion",F983=""),"No suggestion to accept; ","")&amp;IF(AND(K983="Override",L983=""),"Override URL missing; ","")&amp;IF(AND(K983="Accept suggestion",N(G983)&lt;$G$2),"Below your threshold; ","")&amp;IF(AND(M983&lt;&gt;"",M983=A983,K983&lt;&gt;"No change (same URL)"),"Redirects to itself; ","")&amp;IF(AND(M983&lt;&gt;"",OR(M983="/",AND(LEFT(M983,4)="http",OR((LEN(M983)-LEN(SUBSTITUTE(M983,"/","")))=2,AND((LEN(M983)-LEN(SUBSTITUTE(M983,"/","")))=3,RIGHT(M983,1)="/"))))),"Home page redirect; ","")&amp;IF(N(R983)&gt;1,"Chain; ","")&amp;IF(S983="No","Destination not 200; ","")))</f>
        <v/>
      </c>
      <c r="U983" s="22" t="n"/>
      <c r="V983" s="22" t="n"/>
      <c r="W983" s="4" t="n"/>
    </row>
    <row r="984">
      <c r="A984" s="22" t="n"/>
      <c r="B984" s="22" t="n"/>
      <c r="C984" s="22" t="n"/>
      <c r="D984" s="22">
        <f>IF(A984="","",IF(OR(N(B984)&gt;=$C$2,N(C984)&gt;=$E$2),"High",IF(OR(N(B984)&gt;0,N(C984)&gt;0),"Medium","Low")))</f>
        <v/>
      </c>
      <c r="E984" s="22" t="n"/>
      <c r="F984" s="22" t="n"/>
      <c r="G984" s="22" t="n"/>
      <c r="H984" s="22" t="n"/>
      <c r="I984" s="22" t="n"/>
      <c r="J984" s="22" t="n"/>
      <c r="K984" s="22" t="n"/>
      <c r="L984" s="22" t="n"/>
      <c r="M984" s="22">
        <f>IF(K984="Override",L984,IF(K984="Accept suggestion",F984,IF(K984="No change (same URL)",A984,"")))</f>
        <v/>
      </c>
      <c r="N984" s="22">
        <f>IF(A984="","",IF(K984="410 Gone","410",IF(K984="404","404",IF(K984="No change (same URL)","none",IF(M984="","","301")))))</f>
        <v/>
      </c>
      <c r="O984" s="22">
        <f>IF(A984="","",IFERROR(MID(A984,FIND("/",A984,FIND("//",A984)+2),2000),A984))</f>
        <v/>
      </c>
      <c r="P984" s="22">
        <f>IF(OR(O984="",N984="",N984="none",N984="404"),"",IF(N984="410","Redirect gone "&amp;O984,"Redirect "&amp;N984&amp;" "&amp;O984&amp;" "&amp;M984))</f>
        <v/>
      </c>
      <c r="Q984" s="22" t="n"/>
      <c r="R984" s="22" t="n"/>
      <c r="S984" s="22" t="n"/>
      <c r="T984" s="4">
        <f>IF(A984="","",TRIM(IF(K984="","Needs decision; ","")&amp;IF(AND(K984="Accept suggestion",F984=""),"No suggestion to accept; ","")&amp;IF(AND(K984="Override",L984=""),"Override URL missing; ","")&amp;IF(AND(K984="Accept suggestion",N(G984)&lt;$G$2),"Below your threshold; ","")&amp;IF(AND(M984&lt;&gt;"",M984=A984,K984&lt;&gt;"No change (same URL)"),"Redirects to itself; ","")&amp;IF(AND(M984&lt;&gt;"",OR(M984="/",AND(LEFT(M984,4)="http",OR((LEN(M984)-LEN(SUBSTITUTE(M984,"/","")))=2,AND((LEN(M984)-LEN(SUBSTITUTE(M984,"/","")))=3,RIGHT(M984,1)="/"))))),"Home page redirect; ","")&amp;IF(N(R984)&gt;1,"Chain; ","")&amp;IF(S984="No","Destination not 200; ","")))</f>
        <v/>
      </c>
      <c r="U984" s="22" t="n"/>
      <c r="V984" s="22" t="n"/>
      <c r="W984" s="4" t="n"/>
    </row>
    <row r="985">
      <c r="A985" s="22" t="n"/>
      <c r="B985" s="22" t="n"/>
      <c r="C985" s="22" t="n"/>
      <c r="D985" s="22">
        <f>IF(A985="","",IF(OR(N(B985)&gt;=$C$2,N(C985)&gt;=$E$2),"High",IF(OR(N(B985)&gt;0,N(C985)&gt;0),"Medium","Low")))</f>
        <v/>
      </c>
      <c r="E985" s="22" t="n"/>
      <c r="F985" s="22" t="n"/>
      <c r="G985" s="22" t="n"/>
      <c r="H985" s="22" t="n"/>
      <c r="I985" s="22" t="n"/>
      <c r="J985" s="22" t="n"/>
      <c r="K985" s="22" t="n"/>
      <c r="L985" s="22" t="n"/>
      <c r="M985" s="22">
        <f>IF(K985="Override",L985,IF(K985="Accept suggestion",F985,IF(K985="No change (same URL)",A985,"")))</f>
        <v/>
      </c>
      <c r="N985" s="22">
        <f>IF(A985="","",IF(K985="410 Gone","410",IF(K985="404","404",IF(K985="No change (same URL)","none",IF(M985="","","301")))))</f>
        <v/>
      </c>
      <c r="O985" s="22">
        <f>IF(A985="","",IFERROR(MID(A985,FIND("/",A985,FIND("//",A985)+2),2000),A985))</f>
        <v/>
      </c>
      <c r="P985" s="22">
        <f>IF(OR(O985="",N985="",N985="none",N985="404"),"",IF(N985="410","Redirect gone "&amp;O985,"Redirect "&amp;N985&amp;" "&amp;O985&amp;" "&amp;M985))</f>
        <v/>
      </c>
      <c r="Q985" s="22" t="n"/>
      <c r="R985" s="22" t="n"/>
      <c r="S985" s="22" t="n"/>
      <c r="T985" s="4">
        <f>IF(A985="","",TRIM(IF(K985="","Needs decision; ","")&amp;IF(AND(K985="Accept suggestion",F985=""),"No suggestion to accept; ","")&amp;IF(AND(K985="Override",L985=""),"Override URL missing; ","")&amp;IF(AND(K985="Accept suggestion",N(G985)&lt;$G$2),"Below your threshold; ","")&amp;IF(AND(M985&lt;&gt;"",M985=A985,K985&lt;&gt;"No change (same URL)"),"Redirects to itself; ","")&amp;IF(AND(M985&lt;&gt;"",OR(M985="/",AND(LEFT(M985,4)="http",OR((LEN(M985)-LEN(SUBSTITUTE(M985,"/","")))=2,AND((LEN(M985)-LEN(SUBSTITUTE(M985,"/","")))=3,RIGHT(M985,1)="/"))))),"Home page redirect; ","")&amp;IF(N(R985)&gt;1,"Chain; ","")&amp;IF(S985="No","Destination not 200; ","")))</f>
        <v/>
      </c>
      <c r="U985" s="22" t="n"/>
      <c r="V985" s="22" t="n"/>
      <c r="W985" s="4" t="n"/>
    </row>
    <row r="986">
      <c r="A986" s="22" t="n"/>
      <c r="B986" s="22" t="n"/>
      <c r="C986" s="22" t="n"/>
      <c r="D986" s="22">
        <f>IF(A986="","",IF(OR(N(B986)&gt;=$C$2,N(C986)&gt;=$E$2),"High",IF(OR(N(B986)&gt;0,N(C986)&gt;0),"Medium","Low")))</f>
        <v/>
      </c>
      <c r="E986" s="22" t="n"/>
      <c r="F986" s="22" t="n"/>
      <c r="G986" s="22" t="n"/>
      <c r="H986" s="22" t="n"/>
      <c r="I986" s="22" t="n"/>
      <c r="J986" s="22" t="n"/>
      <c r="K986" s="22" t="n"/>
      <c r="L986" s="22" t="n"/>
      <c r="M986" s="22">
        <f>IF(K986="Override",L986,IF(K986="Accept suggestion",F986,IF(K986="No change (same URL)",A986,"")))</f>
        <v/>
      </c>
      <c r="N986" s="22">
        <f>IF(A986="","",IF(K986="410 Gone","410",IF(K986="404","404",IF(K986="No change (same URL)","none",IF(M986="","","301")))))</f>
        <v/>
      </c>
      <c r="O986" s="22">
        <f>IF(A986="","",IFERROR(MID(A986,FIND("/",A986,FIND("//",A986)+2),2000),A986))</f>
        <v/>
      </c>
      <c r="P986" s="22">
        <f>IF(OR(O986="",N986="",N986="none",N986="404"),"",IF(N986="410","Redirect gone "&amp;O986,"Redirect "&amp;N986&amp;" "&amp;O986&amp;" "&amp;M986))</f>
        <v/>
      </c>
      <c r="Q986" s="22" t="n"/>
      <c r="R986" s="22" t="n"/>
      <c r="S986" s="22" t="n"/>
      <c r="T986" s="4">
        <f>IF(A986="","",TRIM(IF(K986="","Needs decision; ","")&amp;IF(AND(K986="Accept suggestion",F986=""),"No suggestion to accept; ","")&amp;IF(AND(K986="Override",L986=""),"Override URL missing; ","")&amp;IF(AND(K986="Accept suggestion",N(G986)&lt;$G$2),"Below your threshold; ","")&amp;IF(AND(M986&lt;&gt;"",M986=A986,K986&lt;&gt;"No change (same URL)"),"Redirects to itself; ","")&amp;IF(AND(M986&lt;&gt;"",OR(M986="/",AND(LEFT(M986,4)="http",OR((LEN(M986)-LEN(SUBSTITUTE(M986,"/","")))=2,AND((LEN(M986)-LEN(SUBSTITUTE(M986,"/","")))=3,RIGHT(M986,1)="/"))))),"Home page redirect; ","")&amp;IF(N(R986)&gt;1,"Chain; ","")&amp;IF(S986="No","Destination not 200; ","")))</f>
        <v/>
      </c>
      <c r="U986" s="22" t="n"/>
      <c r="V986" s="22" t="n"/>
      <c r="W986" s="4" t="n"/>
    </row>
    <row r="987">
      <c r="A987" s="22" t="n"/>
      <c r="B987" s="22" t="n"/>
      <c r="C987" s="22" t="n"/>
      <c r="D987" s="22">
        <f>IF(A987="","",IF(OR(N(B987)&gt;=$C$2,N(C987)&gt;=$E$2),"High",IF(OR(N(B987)&gt;0,N(C987)&gt;0),"Medium","Low")))</f>
        <v/>
      </c>
      <c r="E987" s="22" t="n"/>
      <c r="F987" s="22" t="n"/>
      <c r="G987" s="22" t="n"/>
      <c r="H987" s="22" t="n"/>
      <c r="I987" s="22" t="n"/>
      <c r="J987" s="22" t="n"/>
      <c r="K987" s="22" t="n"/>
      <c r="L987" s="22" t="n"/>
      <c r="M987" s="22">
        <f>IF(K987="Override",L987,IF(K987="Accept suggestion",F987,IF(K987="No change (same URL)",A987,"")))</f>
        <v/>
      </c>
      <c r="N987" s="22">
        <f>IF(A987="","",IF(K987="410 Gone","410",IF(K987="404","404",IF(K987="No change (same URL)","none",IF(M987="","","301")))))</f>
        <v/>
      </c>
      <c r="O987" s="22">
        <f>IF(A987="","",IFERROR(MID(A987,FIND("/",A987,FIND("//",A987)+2),2000),A987))</f>
        <v/>
      </c>
      <c r="P987" s="22">
        <f>IF(OR(O987="",N987="",N987="none",N987="404"),"",IF(N987="410","Redirect gone "&amp;O987,"Redirect "&amp;N987&amp;" "&amp;O987&amp;" "&amp;M987))</f>
        <v/>
      </c>
      <c r="Q987" s="22" t="n"/>
      <c r="R987" s="22" t="n"/>
      <c r="S987" s="22" t="n"/>
      <c r="T987" s="4">
        <f>IF(A987="","",TRIM(IF(K987="","Needs decision; ","")&amp;IF(AND(K987="Accept suggestion",F987=""),"No suggestion to accept; ","")&amp;IF(AND(K987="Override",L987=""),"Override URL missing; ","")&amp;IF(AND(K987="Accept suggestion",N(G987)&lt;$G$2),"Below your threshold; ","")&amp;IF(AND(M987&lt;&gt;"",M987=A987,K987&lt;&gt;"No change (same URL)"),"Redirects to itself; ","")&amp;IF(AND(M987&lt;&gt;"",OR(M987="/",AND(LEFT(M987,4)="http",OR((LEN(M987)-LEN(SUBSTITUTE(M987,"/","")))=2,AND((LEN(M987)-LEN(SUBSTITUTE(M987,"/","")))=3,RIGHT(M987,1)="/"))))),"Home page redirect; ","")&amp;IF(N(R987)&gt;1,"Chain; ","")&amp;IF(S987="No","Destination not 200; ","")))</f>
        <v/>
      </c>
      <c r="U987" s="22" t="n"/>
      <c r="V987" s="22" t="n"/>
      <c r="W987" s="4" t="n"/>
    </row>
    <row r="988">
      <c r="A988" s="22" t="n"/>
      <c r="B988" s="22" t="n"/>
      <c r="C988" s="22" t="n"/>
      <c r="D988" s="22">
        <f>IF(A988="","",IF(OR(N(B988)&gt;=$C$2,N(C988)&gt;=$E$2),"High",IF(OR(N(B988)&gt;0,N(C988)&gt;0),"Medium","Low")))</f>
        <v/>
      </c>
      <c r="E988" s="22" t="n"/>
      <c r="F988" s="22" t="n"/>
      <c r="G988" s="22" t="n"/>
      <c r="H988" s="22" t="n"/>
      <c r="I988" s="22" t="n"/>
      <c r="J988" s="22" t="n"/>
      <c r="K988" s="22" t="n"/>
      <c r="L988" s="22" t="n"/>
      <c r="M988" s="22">
        <f>IF(K988="Override",L988,IF(K988="Accept suggestion",F988,IF(K988="No change (same URL)",A988,"")))</f>
        <v/>
      </c>
      <c r="N988" s="22">
        <f>IF(A988="","",IF(K988="410 Gone","410",IF(K988="404","404",IF(K988="No change (same URL)","none",IF(M988="","","301")))))</f>
        <v/>
      </c>
      <c r="O988" s="22">
        <f>IF(A988="","",IFERROR(MID(A988,FIND("/",A988,FIND("//",A988)+2),2000),A988))</f>
        <v/>
      </c>
      <c r="P988" s="22">
        <f>IF(OR(O988="",N988="",N988="none",N988="404"),"",IF(N988="410","Redirect gone "&amp;O988,"Redirect "&amp;N988&amp;" "&amp;O988&amp;" "&amp;M988))</f>
        <v/>
      </c>
      <c r="Q988" s="22" t="n"/>
      <c r="R988" s="22" t="n"/>
      <c r="S988" s="22" t="n"/>
      <c r="T988" s="4">
        <f>IF(A988="","",TRIM(IF(K988="","Needs decision; ","")&amp;IF(AND(K988="Accept suggestion",F988=""),"No suggestion to accept; ","")&amp;IF(AND(K988="Override",L988=""),"Override URL missing; ","")&amp;IF(AND(K988="Accept suggestion",N(G988)&lt;$G$2),"Below your threshold; ","")&amp;IF(AND(M988&lt;&gt;"",M988=A988,K988&lt;&gt;"No change (same URL)"),"Redirects to itself; ","")&amp;IF(AND(M988&lt;&gt;"",OR(M988="/",AND(LEFT(M988,4)="http",OR((LEN(M988)-LEN(SUBSTITUTE(M988,"/","")))=2,AND((LEN(M988)-LEN(SUBSTITUTE(M988,"/","")))=3,RIGHT(M988,1)="/"))))),"Home page redirect; ","")&amp;IF(N(R988)&gt;1,"Chain; ","")&amp;IF(S988="No","Destination not 200; ","")))</f>
        <v/>
      </c>
      <c r="U988" s="22" t="n"/>
      <c r="V988" s="22" t="n"/>
      <c r="W988" s="4" t="n"/>
    </row>
    <row r="989">
      <c r="A989" s="22" t="n"/>
      <c r="B989" s="22" t="n"/>
      <c r="C989" s="22" t="n"/>
      <c r="D989" s="22">
        <f>IF(A989="","",IF(OR(N(B989)&gt;=$C$2,N(C989)&gt;=$E$2),"High",IF(OR(N(B989)&gt;0,N(C989)&gt;0),"Medium","Low")))</f>
        <v/>
      </c>
      <c r="E989" s="22" t="n"/>
      <c r="F989" s="22" t="n"/>
      <c r="G989" s="22" t="n"/>
      <c r="H989" s="22" t="n"/>
      <c r="I989" s="22" t="n"/>
      <c r="J989" s="22" t="n"/>
      <c r="K989" s="22" t="n"/>
      <c r="L989" s="22" t="n"/>
      <c r="M989" s="22">
        <f>IF(K989="Override",L989,IF(K989="Accept suggestion",F989,IF(K989="No change (same URL)",A989,"")))</f>
        <v/>
      </c>
      <c r="N989" s="22">
        <f>IF(A989="","",IF(K989="410 Gone","410",IF(K989="404","404",IF(K989="No change (same URL)","none",IF(M989="","","301")))))</f>
        <v/>
      </c>
      <c r="O989" s="22">
        <f>IF(A989="","",IFERROR(MID(A989,FIND("/",A989,FIND("//",A989)+2),2000),A989))</f>
        <v/>
      </c>
      <c r="P989" s="22">
        <f>IF(OR(O989="",N989="",N989="none",N989="404"),"",IF(N989="410","Redirect gone "&amp;O989,"Redirect "&amp;N989&amp;" "&amp;O989&amp;" "&amp;M989))</f>
        <v/>
      </c>
      <c r="Q989" s="22" t="n"/>
      <c r="R989" s="22" t="n"/>
      <c r="S989" s="22" t="n"/>
      <c r="T989" s="4">
        <f>IF(A989="","",TRIM(IF(K989="","Needs decision; ","")&amp;IF(AND(K989="Accept suggestion",F989=""),"No suggestion to accept; ","")&amp;IF(AND(K989="Override",L989=""),"Override URL missing; ","")&amp;IF(AND(K989="Accept suggestion",N(G989)&lt;$G$2),"Below your threshold; ","")&amp;IF(AND(M989&lt;&gt;"",M989=A989,K989&lt;&gt;"No change (same URL)"),"Redirects to itself; ","")&amp;IF(AND(M989&lt;&gt;"",OR(M989="/",AND(LEFT(M989,4)="http",OR((LEN(M989)-LEN(SUBSTITUTE(M989,"/","")))=2,AND((LEN(M989)-LEN(SUBSTITUTE(M989,"/","")))=3,RIGHT(M989,1)="/"))))),"Home page redirect; ","")&amp;IF(N(R989)&gt;1,"Chain; ","")&amp;IF(S989="No","Destination not 200; ","")))</f>
        <v/>
      </c>
      <c r="U989" s="22" t="n"/>
      <c r="V989" s="22" t="n"/>
      <c r="W989" s="4" t="n"/>
    </row>
    <row r="990">
      <c r="A990" s="22" t="n"/>
      <c r="B990" s="22" t="n"/>
      <c r="C990" s="22" t="n"/>
      <c r="D990" s="22">
        <f>IF(A990="","",IF(OR(N(B990)&gt;=$C$2,N(C990)&gt;=$E$2),"High",IF(OR(N(B990)&gt;0,N(C990)&gt;0),"Medium","Low")))</f>
        <v/>
      </c>
      <c r="E990" s="22" t="n"/>
      <c r="F990" s="22" t="n"/>
      <c r="G990" s="22" t="n"/>
      <c r="H990" s="22" t="n"/>
      <c r="I990" s="22" t="n"/>
      <c r="J990" s="22" t="n"/>
      <c r="K990" s="22" t="n"/>
      <c r="L990" s="22" t="n"/>
      <c r="M990" s="22">
        <f>IF(K990="Override",L990,IF(K990="Accept suggestion",F990,IF(K990="No change (same URL)",A990,"")))</f>
        <v/>
      </c>
      <c r="N990" s="22">
        <f>IF(A990="","",IF(K990="410 Gone","410",IF(K990="404","404",IF(K990="No change (same URL)","none",IF(M990="","","301")))))</f>
        <v/>
      </c>
      <c r="O990" s="22">
        <f>IF(A990="","",IFERROR(MID(A990,FIND("/",A990,FIND("//",A990)+2),2000),A990))</f>
        <v/>
      </c>
      <c r="P990" s="22">
        <f>IF(OR(O990="",N990="",N990="none",N990="404"),"",IF(N990="410","Redirect gone "&amp;O990,"Redirect "&amp;N990&amp;" "&amp;O990&amp;" "&amp;M990))</f>
        <v/>
      </c>
      <c r="Q990" s="22" t="n"/>
      <c r="R990" s="22" t="n"/>
      <c r="S990" s="22" t="n"/>
      <c r="T990" s="4">
        <f>IF(A990="","",TRIM(IF(K990="","Needs decision; ","")&amp;IF(AND(K990="Accept suggestion",F990=""),"No suggestion to accept; ","")&amp;IF(AND(K990="Override",L990=""),"Override URL missing; ","")&amp;IF(AND(K990="Accept suggestion",N(G990)&lt;$G$2),"Below your threshold; ","")&amp;IF(AND(M990&lt;&gt;"",M990=A990,K990&lt;&gt;"No change (same URL)"),"Redirects to itself; ","")&amp;IF(AND(M990&lt;&gt;"",OR(M990="/",AND(LEFT(M990,4)="http",OR((LEN(M990)-LEN(SUBSTITUTE(M990,"/","")))=2,AND((LEN(M990)-LEN(SUBSTITUTE(M990,"/","")))=3,RIGHT(M990,1)="/"))))),"Home page redirect; ","")&amp;IF(N(R990)&gt;1,"Chain; ","")&amp;IF(S990="No","Destination not 200; ","")))</f>
        <v/>
      </c>
      <c r="U990" s="22" t="n"/>
      <c r="V990" s="22" t="n"/>
      <c r="W990" s="4" t="n"/>
    </row>
    <row r="991">
      <c r="A991" s="22" t="n"/>
      <c r="B991" s="22" t="n"/>
      <c r="C991" s="22" t="n"/>
      <c r="D991" s="22">
        <f>IF(A991="","",IF(OR(N(B991)&gt;=$C$2,N(C991)&gt;=$E$2),"High",IF(OR(N(B991)&gt;0,N(C991)&gt;0),"Medium","Low")))</f>
        <v/>
      </c>
      <c r="E991" s="22" t="n"/>
      <c r="F991" s="22" t="n"/>
      <c r="G991" s="22" t="n"/>
      <c r="H991" s="22" t="n"/>
      <c r="I991" s="22" t="n"/>
      <c r="J991" s="22" t="n"/>
      <c r="K991" s="22" t="n"/>
      <c r="L991" s="22" t="n"/>
      <c r="M991" s="22">
        <f>IF(K991="Override",L991,IF(K991="Accept suggestion",F991,IF(K991="No change (same URL)",A991,"")))</f>
        <v/>
      </c>
      <c r="N991" s="22">
        <f>IF(A991="","",IF(K991="410 Gone","410",IF(K991="404","404",IF(K991="No change (same URL)","none",IF(M991="","","301")))))</f>
        <v/>
      </c>
      <c r="O991" s="22">
        <f>IF(A991="","",IFERROR(MID(A991,FIND("/",A991,FIND("//",A991)+2),2000),A991))</f>
        <v/>
      </c>
      <c r="P991" s="22">
        <f>IF(OR(O991="",N991="",N991="none",N991="404"),"",IF(N991="410","Redirect gone "&amp;O991,"Redirect "&amp;N991&amp;" "&amp;O991&amp;" "&amp;M991))</f>
        <v/>
      </c>
      <c r="Q991" s="22" t="n"/>
      <c r="R991" s="22" t="n"/>
      <c r="S991" s="22" t="n"/>
      <c r="T991" s="4">
        <f>IF(A991="","",TRIM(IF(K991="","Needs decision; ","")&amp;IF(AND(K991="Accept suggestion",F991=""),"No suggestion to accept; ","")&amp;IF(AND(K991="Override",L991=""),"Override URL missing; ","")&amp;IF(AND(K991="Accept suggestion",N(G991)&lt;$G$2),"Below your threshold; ","")&amp;IF(AND(M991&lt;&gt;"",M991=A991,K991&lt;&gt;"No change (same URL)"),"Redirects to itself; ","")&amp;IF(AND(M991&lt;&gt;"",OR(M991="/",AND(LEFT(M991,4)="http",OR((LEN(M991)-LEN(SUBSTITUTE(M991,"/","")))=2,AND((LEN(M991)-LEN(SUBSTITUTE(M991,"/","")))=3,RIGHT(M991,1)="/"))))),"Home page redirect; ","")&amp;IF(N(R991)&gt;1,"Chain; ","")&amp;IF(S991="No","Destination not 200; ","")))</f>
        <v/>
      </c>
      <c r="U991" s="22" t="n"/>
      <c r="V991" s="22" t="n"/>
      <c r="W991" s="4" t="n"/>
    </row>
    <row r="992">
      <c r="A992" s="22" t="n"/>
      <c r="B992" s="22" t="n"/>
      <c r="C992" s="22" t="n"/>
      <c r="D992" s="22">
        <f>IF(A992="","",IF(OR(N(B992)&gt;=$C$2,N(C992)&gt;=$E$2),"High",IF(OR(N(B992)&gt;0,N(C992)&gt;0),"Medium","Low")))</f>
        <v/>
      </c>
      <c r="E992" s="22" t="n"/>
      <c r="F992" s="22" t="n"/>
      <c r="G992" s="22" t="n"/>
      <c r="H992" s="22" t="n"/>
      <c r="I992" s="22" t="n"/>
      <c r="J992" s="22" t="n"/>
      <c r="K992" s="22" t="n"/>
      <c r="L992" s="22" t="n"/>
      <c r="M992" s="22">
        <f>IF(K992="Override",L992,IF(K992="Accept suggestion",F992,IF(K992="No change (same URL)",A992,"")))</f>
        <v/>
      </c>
      <c r="N992" s="22">
        <f>IF(A992="","",IF(K992="410 Gone","410",IF(K992="404","404",IF(K992="No change (same URL)","none",IF(M992="","","301")))))</f>
        <v/>
      </c>
      <c r="O992" s="22">
        <f>IF(A992="","",IFERROR(MID(A992,FIND("/",A992,FIND("//",A992)+2),2000),A992))</f>
        <v/>
      </c>
      <c r="P992" s="22">
        <f>IF(OR(O992="",N992="",N992="none",N992="404"),"",IF(N992="410","Redirect gone "&amp;O992,"Redirect "&amp;N992&amp;" "&amp;O992&amp;" "&amp;M992))</f>
        <v/>
      </c>
      <c r="Q992" s="22" t="n"/>
      <c r="R992" s="22" t="n"/>
      <c r="S992" s="22" t="n"/>
      <c r="T992" s="4">
        <f>IF(A992="","",TRIM(IF(K992="","Needs decision; ","")&amp;IF(AND(K992="Accept suggestion",F992=""),"No suggestion to accept; ","")&amp;IF(AND(K992="Override",L992=""),"Override URL missing; ","")&amp;IF(AND(K992="Accept suggestion",N(G992)&lt;$G$2),"Below your threshold; ","")&amp;IF(AND(M992&lt;&gt;"",M992=A992,K992&lt;&gt;"No change (same URL)"),"Redirects to itself; ","")&amp;IF(AND(M992&lt;&gt;"",OR(M992="/",AND(LEFT(M992,4)="http",OR((LEN(M992)-LEN(SUBSTITUTE(M992,"/","")))=2,AND((LEN(M992)-LEN(SUBSTITUTE(M992,"/","")))=3,RIGHT(M992,1)="/"))))),"Home page redirect; ","")&amp;IF(N(R992)&gt;1,"Chain; ","")&amp;IF(S992="No","Destination not 200; ","")))</f>
        <v/>
      </c>
      <c r="U992" s="22" t="n"/>
      <c r="V992" s="22" t="n"/>
      <c r="W992" s="4" t="n"/>
    </row>
    <row r="993">
      <c r="A993" s="22" t="n"/>
      <c r="B993" s="22" t="n"/>
      <c r="C993" s="22" t="n"/>
      <c r="D993" s="22">
        <f>IF(A993="","",IF(OR(N(B993)&gt;=$C$2,N(C993)&gt;=$E$2),"High",IF(OR(N(B993)&gt;0,N(C993)&gt;0),"Medium","Low")))</f>
        <v/>
      </c>
      <c r="E993" s="22" t="n"/>
      <c r="F993" s="22" t="n"/>
      <c r="G993" s="22" t="n"/>
      <c r="H993" s="22" t="n"/>
      <c r="I993" s="22" t="n"/>
      <c r="J993" s="22" t="n"/>
      <c r="K993" s="22" t="n"/>
      <c r="L993" s="22" t="n"/>
      <c r="M993" s="22">
        <f>IF(K993="Override",L993,IF(K993="Accept suggestion",F993,IF(K993="No change (same URL)",A993,"")))</f>
        <v/>
      </c>
      <c r="N993" s="22">
        <f>IF(A993="","",IF(K993="410 Gone","410",IF(K993="404","404",IF(K993="No change (same URL)","none",IF(M993="","","301")))))</f>
        <v/>
      </c>
      <c r="O993" s="22">
        <f>IF(A993="","",IFERROR(MID(A993,FIND("/",A993,FIND("//",A993)+2),2000),A993))</f>
        <v/>
      </c>
      <c r="P993" s="22">
        <f>IF(OR(O993="",N993="",N993="none",N993="404"),"",IF(N993="410","Redirect gone "&amp;O993,"Redirect "&amp;N993&amp;" "&amp;O993&amp;" "&amp;M993))</f>
        <v/>
      </c>
      <c r="Q993" s="22" t="n"/>
      <c r="R993" s="22" t="n"/>
      <c r="S993" s="22" t="n"/>
      <c r="T993" s="4">
        <f>IF(A993="","",TRIM(IF(K993="","Needs decision; ","")&amp;IF(AND(K993="Accept suggestion",F993=""),"No suggestion to accept; ","")&amp;IF(AND(K993="Override",L993=""),"Override URL missing; ","")&amp;IF(AND(K993="Accept suggestion",N(G993)&lt;$G$2),"Below your threshold; ","")&amp;IF(AND(M993&lt;&gt;"",M993=A993,K993&lt;&gt;"No change (same URL)"),"Redirects to itself; ","")&amp;IF(AND(M993&lt;&gt;"",OR(M993="/",AND(LEFT(M993,4)="http",OR((LEN(M993)-LEN(SUBSTITUTE(M993,"/","")))=2,AND((LEN(M993)-LEN(SUBSTITUTE(M993,"/","")))=3,RIGHT(M993,1)="/"))))),"Home page redirect; ","")&amp;IF(N(R993)&gt;1,"Chain; ","")&amp;IF(S993="No","Destination not 200; ","")))</f>
        <v/>
      </c>
      <c r="U993" s="22" t="n"/>
      <c r="V993" s="22" t="n"/>
      <c r="W993" s="4" t="n"/>
    </row>
    <row r="994">
      <c r="A994" s="22" t="n"/>
      <c r="B994" s="22" t="n"/>
      <c r="C994" s="22" t="n"/>
      <c r="D994" s="22">
        <f>IF(A994="","",IF(OR(N(B994)&gt;=$C$2,N(C994)&gt;=$E$2),"High",IF(OR(N(B994)&gt;0,N(C994)&gt;0),"Medium","Low")))</f>
        <v/>
      </c>
      <c r="E994" s="22" t="n"/>
      <c r="F994" s="22" t="n"/>
      <c r="G994" s="22" t="n"/>
      <c r="H994" s="22" t="n"/>
      <c r="I994" s="22" t="n"/>
      <c r="J994" s="22" t="n"/>
      <c r="K994" s="22" t="n"/>
      <c r="L994" s="22" t="n"/>
      <c r="M994" s="22">
        <f>IF(K994="Override",L994,IF(K994="Accept suggestion",F994,IF(K994="No change (same URL)",A994,"")))</f>
        <v/>
      </c>
      <c r="N994" s="22">
        <f>IF(A994="","",IF(K994="410 Gone","410",IF(K994="404","404",IF(K994="No change (same URL)","none",IF(M994="","","301")))))</f>
        <v/>
      </c>
      <c r="O994" s="22">
        <f>IF(A994="","",IFERROR(MID(A994,FIND("/",A994,FIND("//",A994)+2),2000),A994))</f>
        <v/>
      </c>
      <c r="P994" s="22">
        <f>IF(OR(O994="",N994="",N994="none",N994="404"),"",IF(N994="410","Redirect gone "&amp;O994,"Redirect "&amp;N994&amp;" "&amp;O994&amp;" "&amp;M994))</f>
        <v/>
      </c>
      <c r="Q994" s="22" t="n"/>
      <c r="R994" s="22" t="n"/>
      <c r="S994" s="22" t="n"/>
      <c r="T994" s="4">
        <f>IF(A994="","",TRIM(IF(K994="","Needs decision; ","")&amp;IF(AND(K994="Accept suggestion",F994=""),"No suggestion to accept; ","")&amp;IF(AND(K994="Override",L994=""),"Override URL missing; ","")&amp;IF(AND(K994="Accept suggestion",N(G994)&lt;$G$2),"Below your threshold; ","")&amp;IF(AND(M994&lt;&gt;"",M994=A994,K994&lt;&gt;"No change (same URL)"),"Redirects to itself; ","")&amp;IF(AND(M994&lt;&gt;"",OR(M994="/",AND(LEFT(M994,4)="http",OR((LEN(M994)-LEN(SUBSTITUTE(M994,"/","")))=2,AND((LEN(M994)-LEN(SUBSTITUTE(M994,"/","")))=3,RIGHT(M994,1)="/"))))),"Home page redirect; ","")&amp;IF(N(R994)&gt;1,"Chain; ","")&amp;IF(S994="No","Destination not 200; ","")))</f>
        <v/>
      </c>
      <c r="U994" s="22" t="n"/>
      <c r="V994" s="22" t="n"/>
      <c r="W994" s="4" t="n"/>
    </row>
    <row r="995">
      <c r="A995" s="22" t="n"/>
      <c r="B995" s="22" t="n"/>
      <c r="C995" s="22" t="n"/>
      <c r="D995" s="22">
        <f>IF(A995="","",IF(OR(N(B995)&gt;=$C$2,N(C995)&gt;=$E$2),"High",IF(OR(N(B995)&gt;0,N(C995)&gt;0),"Medium","Low")))</f>
        <v/>
      </c>
      <c r="E995" s="22" t="n"/>
      <c r="F995" s="22" t="n"/>
      <c r="G995" s="22" t="n"/>
      <c r="H995" s="22" t="n"/>
      <c r="I995" s="22" t="n"/>
      <c r="J995" s="22" t="n"/>
      <c r="K995" s="22" t="n"/>
      <c r="L995" s="22" t="n"/>
      <c r="M995" s="22">
        <f>IF(K995="Override",L995,IF(K995="Accept suggestion",F995,IF(K995="No change (same URL)",A995,"")))</f>
        <v/>
      </c>
      <c r="N995" s="22">
        <f>IF(A995="","",IF(K995="410 Gone","410",IF(K995="404","404",IF(K995="No change (same URL)","none",IF(M995="","","301")))))</f>
        <v/>
      </c>
      <c r="O995" s="22">
        <f>IF(A995="","",IFERROR(MID(A995,FIND("/",A995,FIND("//",A995)+2),2000),A995))</f>
        <v/>
      </c>
      <c r="P995" s="22">
        <f>IF(OR(O995="",N995="",N995="none",N995="404"),"",IF(N995="410","Redirect gone "&amp;O995,"Redirect "&amp;N995&amp;" "&amp;O995&amp;" "&amp;M995))</f>
        <v/>
      </c>
      <c r="Q995" s="22" t="n"/>
      <c r="R995" s="22" t="n"/>
      <c r="S995" s="22" t="n"/>
      <c r="T995" s="4">
        <f>IF(A995="","",TRIM(IF(K995="","Needs decision; ","")&amp;IF(AND(K995="Accept suggestion",F995=""),"No suggestion to accept; ","")&amp;IF(AND(K995="Override",L995=""),"Override URL missing; ","")&amp;IF(AND(K995="Accept suggestion",N(G995)&lt;$G$2),"Below your threshold; ","")&amp;IF(AND(M995&lt;&gt;"",M995=A995,K995&lt;&gt;"No change (same URL)"),"Redirects to itself; ","")&amp;IF(AND(M995&lt;&gt;"",OR(M995="/",AND(LEFT(M995,4)="http",OR((LEN(M995)-LEN(SUBSTITUTE(M995,"/","")))=2,AND((LEN(M995)-LEN(SUBSTITUTE(M995,"/","")))=3,RIGHT(M995,1)="/"))))),"Home page redirect; ","")&amp;IF(N(R995)&gt;1,"Chain; ","")&amp;IF(S995="No","Destination not 200; ","")))</f>
        <v/>
      </c>
      <c r="U995" s="22" t="n"/>
      <c r="V995" s="22" t="n"/>
      <c r="W995" s="4" t="n"/>
    </row>
    <row r="996">
      <c r="A996" s="22" t="n"/>
      <c r="B996" s="22" t="n"/>
      <c r="C996" s="22" t="n"/>
      <c r="D996" s="22">
        <f>IF(A996="","",IF(OR(N(B996)&gt;=$C$2,N(C996)&gt;=$E$2),"High",IF(OR(N(B996)&gt;0,N(C996)&gt;0),"Medium","Low")))</f>
        <v/>
      </c>
      <c r="E996" s="22" t="n"/>
      <c r="F996" s="22" t="n"/>
      <c r="G996" s="22" t="n"/>
      <c r="H996" s="22" t="n"/>
      <c r="I996" s="22" t="n"/>
      <c r="J996" s="22" t="n"/>
      <c r="K996" s="22" t="n"/>
      <c r="L996" s="22" t="n"/>
      <c r="M996" s="22">
        <f>IF(K996="Override",L996,IF(K996="Accept suggestion",F996,IF(K996="No change (same URL)",A996,"")))</f>
        <v/>
      </c>
      <c r="N996" s="22">
        <f>IF(A996="","",IF(K996="410 Gone","410",IF(K996="404","404",IF(K996="No change (same URL)","none",IF(M996="","","301")))))</f>
        <v/>
      </c>
      <c r="O996" s="22">
        <f>IF(A996="","",IFERROR(MID(A996,FIND("/",A996,FIND("//",A996)+2),2000),A996))</f>
        <v/>
      </c>
      <c r="P996" s="22">
        <f>IF(OR(O996="",N996="",N996="none",N996="404"),"",IF(N996="410","Redirect gone "&amp;O996,"Redirect "&amp;N996&amp;" "&amp;O996&amp;" "&amp;M996))</f>
        <v/>
      </c>
      <c r="Q996" s="22" t="n"/>
      <c r="R996" s="22" t="n"/>
      <c r="S996" s="22" t="n"/>
      <c r="T996" s="4">
        <f>IF(A996="","",TRIM(IF(K996="","Needs decision; ","")&amp;IF(AND(K996="Accept suggestion",F996=""),"No suggestion to accept; ","")&amp;IF(AND(K996="Override",L996=""),"Override URL missing; ","")&amp;IF(AND(K996="Accept suggestion",N(G996)&lt;$G$2),"Below your threshold; ","")&amp;IF(AND(M996&lt;&gt;"",M996=A996,K996&lt;&gt;"No change (same URL)"),"Redirects to itself; ","")&amp;IF(AND(M996&lt;&gt;"",OR(M996="/",AND(LEFT(M996,4)="http",OR((LEN(M996)-LEN(SUBSTITUTE(M996,"/","")))=2,AND((LEN(M996)-LEN(SUBSTITUTE(M996,"/","")))=3,RIGHT(M996,1)="/"))))),"Home page redirect; ","")&amp;IF(N(R996)&gt;1,"Chain; ","")&amp;IF(S996="No","Destination not 200; ","")))</f>
        <v/>
      </c>
      <c r="U996" s="22" t="n"/>
      <c r="V996" s="22" t="n"/>
      <c r="W996" s="4" t="n"/>
    </row>
    <row r="997">
      <c r="A997" s="22" t="n"/>
      <c r="B997" s="22" t="n"/>
      <c r="C997" s="22" t="n"/>
      <c r="D997" s="22">
        <f>IF(A997="","",IF(OR(N(B997)&gt;=$C$2,N(C997)&gt;=$E$2),"High",IF(OR(N(B997)&gt;0,N(C997)&gt;0),"Medium","Low")))</f>
        <v/>
      </c>
      <c r="E997" s="22" t="n"/>
      <c r="F997" s="22" t="n"/>
      <c r="G997" s="22" t="n"/>
      <c r="H997" s="22" t="n"/>
      <c r="I997" s="22" t="n"/>
      <c r="J997" s="22" t="n"/>
      <c r="K997" s="22" t="n"/>
      <c r="L997" s="22" t="n"/>
      <c r="M997" s="22">
        <f>IF(K997="Override",L997,IF(K997="Accept suggestion",F997,IF(K997="No change (same URL)",A997,"")))</f>
        <v/>
      </c>
      <c r="N997" s="22">
        <f>IF(A997="","",IF(K997="410 Gone","410",IF(K997="404","404",IF(K997="No change (same URL)","none",IF(M997="","","301")))))</f>
        <v/>
      </c>
      <c r="O997" s="22">
        <f>IF(A997="","",IFERROR(MID(A997,FIND("/",A997,FIND("//",A997)+2),2000),A997))</f>
        <v/>
      </c>
      <c r="P997" s="22">
        <f>IF(OR(O997="",N997="",N997="none",N997="404"),"",IF(N997="410","Redirect gone "&amp;O997,"Redirect "&amp;N997&amp;" "&amp;O997&amp;" "&amp;M997))</f>
        <v/>
      </c>
      <c r="Q997" s="22" t="n"/>
      <c r="R997" s="22" t="n"/>
      <c r="S997" s="22" t="n"/>
      <c r="T997" s="4">
        <f>IF(A997="","",TRIM(IF(K997="","Needs decision; ","")&amp;IF(AND(K997="Accept suggestion",F997=""),"No suggestion to accept; ","")&amp;IF(AND(K997="Override",L997=""),"Override URL missing; ","")&amp;IF(AND(K997="Accept suggestion",N(G997)&lt;$G$2),"Below your threshold; ","")&amp;IF(AND(M997&lt;&gt;"",M997=A997,K997&lt;&gt;"No change (same URL)"),"Redirects to itself; ","")&amp;IF(AND(M997&lt;&gt;"",OR(M997="/",AND(LEFT(M997,4)="http",OR((LEN(M997)-LEN(SUBSTITUTE(M997,"/","")))=2,AND((LEN(M997)-LEN(SUBSTITUTE(M997,"/","")))=3,RIGHT(M997,1)="/"))))),"Home page redirect; ","")&amp;IF(N(R997)&gt;1,"Chain; ","")&amp;IF(S997="No","Destination not 200; ","")))</f>
        <v/>
      </c>
      <c r="U997" s="22" t="n"/>
      <c r="V997" s="22" t="n"/>
      <c r="W997" s="4" t="n"/>
    </row>
    <row r="998">
      <c r="A998" s="22" t="n"/>
      <c r="B998" s="22" t="n"/>
      <c r="C998" s="22" t="n"/>
      <c r="D998" s="22">
        <f>IF(A998="","",IF(OR(N(B998)&gt;=$C$2,N(C998)&gt;=$E$2),"High",IF(OR(N(B998)&gt;0,N(C998)&gt;0),"Medium","Low")))</f>
        <v/>
      </c>
      <c r="E998" s="22" t="n"/>
      <c r="F998" s="22" t="n"/>
      <c r="G998" s="22" t="n"/>
      <c r="H998" s="22" t="n"/>
      <c r="I998" s="22" t="n"/>
      <c r="J998" s="22" t="n"/>
      <c r="K998" s="22" t="n"/>
      <c r="L998" s="22" t="n"/>
      <c r="M998" s="22">
        <f>IF(K998="Override",L998,IF(K998="Accept suggestion",F998,IF(K998="No change (same URL)",A998,"")))</f>
        <v/>
      </c>
      <c r="N998" s="22">
        <f>IF(A998="","",IF(K998="410 Gone","410",IF(K998="404","404",IF(K998="No change (same URL)","none",IF(M998="","","301")))))</f>
        <v/>
      </c>
      <c r="O998" s="22">
        <f>IF(A998="","",IFERROR(MID(A998,FIND("/",A998,FIND("//",A998)+2),2000),A998))</f>
        <v/>
      </c>
      <c r="P998" s="22">
        <f>IF(OR(O998="",N998="",N998="none",N998="404"),"",IF(N998="410","Redirect gone "&amp;O998,"Redirect "&amp;N998&amp;" "&amp;O998&amp;" "&amp;M998))</f>
        <v/>
      </c>
      <c r="Q998" s="22" t="n"/>
      <c r="R998" s="22" t="n"/>
      <c r="S998" s="22" t="n"/>
      <c r="T998" s="4">
        <f>IF(A998="","",TRIM(IF(K998="","Needs decision; ","")&amp;IF(AND(K998="Accept suggestion",F998=""),"No suggestion to accept; ","")&amp;IF(AND(K998="Override",L998=""),"Override URL missing; ","")&amp;IF(AND(K998="Accept suggestion",N(G998)&lt;$G$2),"Below your threshold; ","")&amp;IF(AND(M998&lt;&gt;"",M998=A998,K998&lt;&gt;"No change (same URL)"),"Redirects to itself; ","")&amp;IF(AND(M998&lt;&gt;"",OR(M998="/",AND(LEFT(M998,4)="http",OR((LEN(M998)-LEN(SUBSTITUTE(M998,"/","")))=2,AND((LEN(M998)-LEN(SUBSTITUTE(M998,"/","")))=3,RIGHT(M998,1)="/"))))),"Home page redirect; ","")&amp;IF(N(R998)&gt;1,"Chain; ","")&amp;IF(S998="No","Destination not 200; ","")))</f>
        <v/>
      </c>
      <c r="U998" s="22" t="n"/>
      <c r="V998" s="22" t="n"/>
      <c r="W998" s="4" t="n"/>
    </row>
    <row r="999">
      <c r="A999" s="22" t="n"/>
      <c r="B999" s="22" t="n"/>
      <c r="C999" s="22" t="n"/>
      <c r="D999" s="22">
        <f>IF(A999="","",IF(OR(N(B999)&gt;=$C$2,N(C999)&gt;=$E$2),"High",IF(OR(N(B999)&gt;0,N(C999)&gt;0),"Medium","Low")))</f>
        <v/>
      </c>
      <c r="E999" s="22" t="n"/>
      <c r="F999" s="22" t="n"/>
      <c r="G999" s="22" t="n"/>
      <c r="H999" s="22" t="n"/>
      <c r="I999" s="22" t="n"/>
      <c r="J999" s="22" t="n"/>
      <c r="K999" s="22" t="n"/>
      <c r="L999" s="22" t="n"/>
      <c r="M999" s="22">
        <f>IF(K999="Override",L999,IF(K999="Accept suggestion",F999,IF(K999="No change (same URL)",A999,"")))</f>
        <v/>
      </c>
      <c r="N999" s="22">
        <f>IF(A999="","",IF(K999="410 Gone","410",IF(K999="404","404",IF(K999="No change (same URL)","none",IF(M999="","","301")))))</f>
        <v/>
      </c>
      <c r="O999" s="22">
        <f>IF(A999="","",IFERROR(MID(A999,FIND("/",A999,FIND("//",A999)+2),2000),A999))</f>
        <v/>
      </c>
      <c r="P999" s="22">
        <f>IF(OR(O999="",N999="",N999="none",N999="404"),"",IF(N999="410","Redirect gone "&amp;O999,"Redirect "&amp;N999&amp;" "&amp;O999&amp;" "&amp;M999))</f>
        <v/>
      </c>
      <c r="Q999" s="22" t="n"/>
      <c r="R999" s="22" t="n"/>
      <c r="S999" s="22" t="n"/>
      <c r="T999" s="4">
        <f>IF(A999="","",TRIM(IF(K999="","Needs decision; ","")&amp;IF(AND(K999="Accept suggestion",F999=""),"No suggestion to accept; ","")&amp;IF(AND(K999="Override",L999=""),"Override URL missing; ","")&amp;IF(AND(K999="Accept suggestion",N(G999)&lt;$G$2),"Below your threshold; ","")&amp;IF(AND(M999&lt;&gt;"",M999=A999,K999&lt;&gt;"No change (same URL)"),"Redirects to itself; ","")&amp;IF(AND(M999&lt;&gt;"",OR(M999="/",AND(LEFT(M999,4)="http",OR((LEN(M999)-LEN(SUBSTITUTE(M999,"/","")))=2,AND((LEN(M999)-LEN(SUBSTITUTE(M999,"/","")))=3,RIGHT(M999,1)="/"))))),"Home page redirect; ","")&amp;IF(N(R999)&gt;1,"Chain; ","")&amp;IF(S999="No","Destination not 200; ","")))</f>
        <v/>
      </c>
      <c r="U999" s="22" t="n"/>
      <c r="V999" s="22" t="n"/>
      <c r="W999" s="4" t="n"/>
    </row>
    <row r="1000">
      <c r="A1000" s="22" t="n"/>
      <c r="B1000" s="22" t="n"/>
      <c r="C1000" s="22" t="n"/>
      <c r="D1000" s="22">
        <f>IF(A1000="","",IF(OR(N(B1000)&gt;=$C$2,N(C1000)&gt;=$E$2),"High",IF(OR(N(B1000)&gt;0,N(C1000)&gt;0),"Medium","Low")))</f>
        <v/>
      </c>
      <c r="E1000" s="22" t="n"/>
      <c r="F1000" s="22" t="n"/>
      <c r="G1000" s="22" t="n"/>
      <c r="H1000" s="22" t="n"/>
      <c r="I1000" s="22" t="n"/>
      <c r="J1000" s="22" t="n"/>
      <c r="K1000" s="22" t="n"/>
      <c r="L1000" s="22" t="n"/>
      <c r="M1000" s="22">
        <f>IF(K1000="Override",L1000,IF(K1000="Accept suggestion",F1000,IF(K1000="No change (same URL)",A1000,"")))</f>
        <v/>
      </c>
      <c r="N1000" s="22">
        <f>IF(A1000="","",IF(K1000="410 Gone","410",IF(K1000="404","404",IF(K1000="No change (same URL)","none",IF(M1000="","","301")))))</f>
        <v/>
      </c>
      <c r="O1000" s="22">
        <f>IF(A1000="","",IFERROR(MID(A1000,FIND("/",A1000,FIND("//",A1000)+2),2000),A1000))</f>
        <v/>
      </c>
      <c r="P1000" s="22">
        <f>IF(OR(O1000="",N1000="",N1000="none",N1000="404"),"",IF(N1000="410","Redirect gone "&amp;O1000,"Redirect "&amp;N1000&amp;" "&amp;O1000&amp;" "&amp;M1000))</f>
        <v/>
      </c>
      <c r="Q1000" s="22" t="n"/>
      <c r="R1000" s="22" t="n"/>
      <c r="S1000" s="22" t="n"/>
      <c r="T1000" s="4">
        <f>IF(A1000="","",TRIM(IF(K1000="","Needs decision; ","")&amp;IF(AND(K1000="Accept suggestion",F1000=""),"No suggestion to accept; ","")&amp;IF(AND(K1000="Override",L1000=""),"Override URL missing; ","")&amp;IF(AND(K1000="Accept suggestion",N(G1000)&lt;$G$2),"Below your threshold; ","")&amp;IF(AND(M1000&lt;&gt;"",M1000=A1000,K1000&lt;&gt;"No change (same URL)"),"Redirects to itself; ","")&amp;IF(AND(M1000&lt;&gt;"",OR(M1000="/",AND(LEFT(M1000,4)="http",OR((LEN(M1000)-LEN(SUBSTITUTE(M1000,"/","")))=2,AND((LEN(M1000)-LEN(SUBSTITUTE(M1000,"/","")))=3,RIGHT(M1000,1)="/"))))),"Home page redirect; ","")&amp;IF(N(R1000)&gt;1,"Chain; ","")&amp;IF(S1000="No","Destination not 200; ","")))</f>
        <v/>
      </c>
      <c r="U1000" s="22" t="n"/>
      <c r="V1000" s="22" t="n"/>
      <c r="W1000" s="4" t="n"/>
    </row>
    <row r="1001">
      <c r="A1001" s="22" t="n"/>
      <c r="B1001" s="22" t="n"/>
      <c r="C1001" s="22" t="n"/>
      <c r="D1001" s="22">
        <f>IF(A1001="","",IF(OR(N(B1001)&gt;=$C$2,N(C1001)&gt;=$E$2),"High",IF(OR(N(B1001)&gt;0,N(C1001)&gt;0),"Medium","Low")))</f>
        <v/>
      </c>
      <c r="E1001" s="22" t="n"/>
      <c r="F1001" s="22" t="n"/>
      <c r="G1001" s="22" t="n"/>
      <c r="H1001" s="22" t="n"/>
      <c r="I1001" s="22" t="n"/>
      <c r="J1001" s="22" t="n"/>
      <c r="K1001" s="22" t="n"/>
      <c r="L1001" s="22" t="n"/>
      <c r="M1001" s="22">
        <f>IF(K1001="Override",L1001,IF(K1001="Accept suggestion",F1001,IF(K1001="No change (same URL)",A1001,"")))</f>
        <v/>
      </c>
      <c r="N1001" s="22">
        <f>IF(A1001="","",IF(K1001="410 Gone","410",IF(K1001="404","404",IF(K1001="No change (same URL)","none",IF(M1001="","","301")))))</f>
        <v/>
      </c>
      <c r="O1001" s="22">
        <f>IF(A1001="","",IFERROR(MID(A1001,FIND("/",A1001,FIND("//",A1001)+2),2000),A1001))</f>
        <v/>
      </c>
      <c r="P1001" s="22">
        <f>IF(OR(O1001="",N1001="",N1001="none",N1001="404"),"",IF(N1001="410","Redirect gone "&amp;O1001,"Redirect "&amp;N1001&amp;" "&amp;O1001&amp;" "&amp;M1001))</f>
        <v/>
      </c>
      <c r="Q1001" s="22" t="n"/>
      <c r="R1001" s="22" t="n"/>
      <c r="S1001" s="22" t="n"/>
      <c r="T1001" s="4">
        <f>IF(A1001="","",TRIM(IF(K1001="","Needs decision; ","")&amp;IF(AND(K1001="Accept suggestion",F1001=""),"No suggestion to accept; ","")&amp;IF(AND(K1001="Override",L1001=""),"Override URL missing; ","")&amp;IF(AND(K1001="Accept suggestion",N(G1001)&lt;$G$2),"Below your threshold; ","")&amp;IF(AND(M1001&lt;&gt;"",M1001=A1001,K1001&lt;&gt;"No change (same URL)"),"Redirects to itself; ","")&amp;IF(AND(M1001&lt;&gt;"",OR(M1001="/",AND(LEFT(M1001,4)="http",OR((LEN(M1001)-LEN(SUBSTITUTE(M1001,"/","")))=2,AND((LEN(M1001)-LEN(SUBSTITUTE(M1001,"/","")))=3,RIGHT(M1001,1)="/"))))),"Home page redirect; ","")&amp;IF(N(R1001)&gt;1,"Chain; ","")&amp;IF(S1001="No","Destination not 200; ","")))</f>
        <v/>
      </c>
      <c r="U1001" s="22" t="n"/>
      <c r="V1001" s="22" t="n"/>
      <c r="W1001" s="4" t="n"/>
    </row>
    <row r="1002">
      <c r="A1002" s="22" t="n"/>
      <c r="B1002" s="22" t="n"/>
      <c r="C1002" s="22" t="n"/>
      <c r="D1002" s="22">
        <f>IF(A1002="","",IF(OR(N(B1002)&gt;=$C$2,N(C1002)&gt;=$E$2),"High",IF(OR(N(B1002)&gt;0,N(C1002)&gt;0),"Medium","Low")))</f>
        <v/>
      </c>
      <c r="E1002" s="22" t="n"/>
      <c r="F1002" s="22" t="n"/>
      <c r="G1002" s="22" t="n"/>
      <c r="H1002" s="22" t="n"/>
      <c r="I1002" s="22" t="n"/>
      <c r="J1002" s="22" t="n"/>
      <c r="K1002" s="22" t="n"/>
      <c r="L1002" s="22" t="n"/>
      <c r="M1002" s="22">
        <f>IF(K1002="Override",L1002,IF(K1002="Accept suggestion",F1002,IF(K1002="No change (same URL)",A1002,"")))</f>
        <v/>
      </c>
      <c r="N1002" s="22">
        <f>IF(A1002="","",IF(K1002="410 Gone","410",IF(K1002="404","404",IF(K1002="No change (same URL)","none",IF(M1002="","","301")))))</f>
        <v/>
      </c>
      <c r="O1002" s="22">
        <f>IF(A1002="","",IFERROR(MID(A1002,FIND("/",A1002,FIND("//",A1002)+2),2000),A1002))</f>
        <v/>
      </c>
      <c r="P1002" s="22">
        <f>IF(OR(O1002="",N1002="",N1002="none",N1002="404"),"",IF(N1002="410","Redirect gone "&amp;O1002,"Redirect "&amp;N1002&amp;" "&amp;O1002&amp;" "&amp;M1002))</f>
        <v/>
      </c>
      <c r="Q1002" s="22" t="n"/>
      <c r="R1002" s="22" t="n"/>
      <c r="S1002" s="22" t="n"/>
      <c r="T1002" s="4">
        <f>IF(A1002="","",TRIM(IF(K1002="","Needs decision; ","")&amp;IF(AND(K1002="Accept suggestion",F1002=""),"No suggestion to accept; ","")&amp;IF(AND(K1002="Override",L1002=""),"Override URL missing; ","")&amp;IF(AND(K1002="Accept suggestion",N(G1002)&lt;$G$2),"Below your threshold; ","")&amp;IF(AND(M1002&lt;&gt;"",M1002=A1002,K1002&lt;&gt;"No change (same URL)"),"Redirects to itself; ","")&amp;IF(AND(M1002&lt;&gt;"",OR(M1002="/",AND(LEFT(M1002,4)="http",OR((LEN(M1002)-LEN(SUBSTITUTE(M1002,"/","")))=2,AND((LEN(M1002)-LEN(SUBSTITUTE(M1002,"/","")))=3,RIGHT(M1002,1)="/"))))),"Home page redirect; ","")&amp;IF(N(R1002)&gt;1,"Chain; ","")&amp;IF(S1002="No","Destination not 200; ","")))</f>
        <v/>
      </c>
      <c r="U1002" s="22" t="n"/>
      <c r="V1002" s="22" t="n"/>
      <c r="W1002" s="4" t="n"/>
    </row>
    <row r="1003">
      <c r="A1003" s="22" t="n"/>
      <c r="B1003" s="22" t="n"/>
      <c r="C1003" s="22" t="n"/>
      <c r="D1003" s="22">
        <f>IF(A1003="","",IF(OR(N(B1003)&gt;=$C$2,N(C1003)&gt;=$E$2),"High",IF(OR(N(B1003)&gt;0,N(C1003)&gt;0),"Medium","Low")))</f>
        <v/>
      </c>
      <c r="E1003" s="22" t="n"/>
      <c r="F1003" s="22" t="n"/>
      <c r="G1003" s="22" t="n"/>
      <c r="H1003" s="22" t="n"/>
      <c r="I1003" s="22" t="n"/>
      <c r="J1003" s="22" t="n"/>
      <c r="K1003" s="22" t="n"/>
      <c r="L1003" s="22" t="n"/>
      <c r="M1003" s="22">
        <f>IF(K1003="Override",L1003,IF(K1003="Accept suggestion",F1003,IF(K1003="No change (same URL)",A1003,"")))</f>
        <v/>
      </c>
      <c r="N1003" s="22">
        <f>IF(A1003="","",IF(K1003="410 Gone","410",IF(K1003="404","404",IF(K1003="No change (same URL)","none",IF(M1003="","","301")))))</f>
        <v/>
      </c>
      <c r="O1003" s="22">
        <f>IF(A1003="","",IFERROR(MID(A1003,FIND("/",A1003,FIND("//",A1003)+2),2000),A1003))</f>
        <v/>
      </c>
      <c r="P1003" s="22">
        <f>IF(OR(O1003="",N1003="",N1003="none",N1003="404"),"",IF(N1003="410","Redirect gone "&amp;O1003,"Redirect "&amp;N1003&amp;" "&amp;O1003&amp;" "&amp;M1003))</f>
        <v/>
      </c>
      <c r="Q1003" s="22" t="n"/>
      <c r="R1003" s="22" t="n"/>
      <c r="S1003" s="22" t="n"/>
      <c r="T1003" s="4">
        <f>IF(A1003="","",TRIM(IF(K1003="","Needs decision; ","")&amp;IF(AND(K1003="Accept suggestion",F1003=""),"No suggestion to accept; ","")&amp;IF(AND(K1003="Override",L1003=""),"Override URL missing; ","")&amp;IF(AND(K1003="Accept suggestion",N(G1003)&lt;$G$2),"Below your threshold; ","")&amp;IF(AND(M1003&lt;&gt;"",M1003=A1003,K1003&lt;&gt;"No change (same URL)"),"Redirects to itself; ","")&amp;IF(AND(M1003&lt;&gt;"",OR(M1003="/",AND(LEFT(M1003,4)="http",OR((LEN(M1003)-LEN(SUBSTITUTE(M1003,"/","")))=2,AND((LEN(M1003)-LEN(SUBSTITUTE(M1003,"/","")))=3,RIGHT(M1003,1)="/"))))),"Home page redirect; ","")&amp;IF(N(R1003)&gt;1,"Chain; ","")&amp;IF(S1003="No","Destination not 200; ","")))</f>
        <v/>
      </c>
      <c r="U1003" s="22" t="n"/>
      <c r="V1003" s="22" t="n"/>
      <c r="W1003" s="4" t="n"/>
    </row>
    <row r="1004">
      <c r="A1004" s="22" t="n"/>
      <c r="B1004" s="22" t="n"/>
      <c r="C1004" s="22" t="n"/>
      <c r="D1004" s="22">
        <f>IF(A1004="","",IF(OR(N(B1004)&gt;=$C$2,N(C1004)&gt;=$E$2),"High",IF(OR(N(B1004)&gt;0,N(C1004)&gt;0),"Medium","Low")))</f>
        <v/>
      </c>
      <c r="E1004" s="22" t="n"/>
      <c r="F1004" s="22" t="n"/>
      <c r="G1004" s="22" t="n"/>
      <c r="H1004" s="22" t="n"/>
      <c r="I1004" s="22" t="n"/>
      <c r="J1004" s="22" t="n"/>
      <c r="K1004" s="22" t="n"/>
      <c r="L1004" s="22" t="n"/>
      <c r="M1004" s="22">
        <f>IF(K1004="Override",L1004,IF(K1004="Accept suggestion",F1004,IF(K1004="No change (same URL)",A1004,"")))</f>
        <v/>
      </c>
      <c r="N1004" s="22">
        <f>IF(A1004="","",IF(K1004="410 Gone","410",IF(K1004="404","404",IF(K1004="No change (same URL)","none",IF(M1004="","","301")))))</f>
        <v/>
      </c>
      <c r="O1004" s="22">
        <f>IF(A1004="","",IFERROR(MID(A1004,FIND("/",A1004,FIND("//",A1004)+2),2000),A1004))</f>
        <v/>
      </c>
      <c r="P1004" s="22">
        <f>IF(OR(O1004="",N1004="",N1004="none",N1004="404"),"",IF(N1004="410","Redirect gone "&amp;O1004,"Redirect "&amp;N1004&amp;" "&amp;O1004&amp;" "&amp;M1004))</f>
        <v/>
      </c>
      <c r="Q1004" s="22" t="n"/>
      <c r="R1004" s="22" t="n"/>
      <c r="S1004" s="22" t="n"/>
      <c r="T1004" s="4">
        <f>IF(A1004="","",TRIM(IF(K1004="","Needs decision; ","")&amp;IF(AND(K1004="Accept suggestion",F1004=""),"No suggestion to accept; ","")&amp;IF(AND(K1004="Override",L1004=""),"Override URL missing; ","")&amp;IF(AND(K1004="Accept suggestion",N(G1004)&lt;$G$2),"Below your threshold; ","")&amp;IF(AND(M1004&lt;&gt;"",M1004=A1004,K1004&lt;&gt;"No change (same URL)"),"Redirects to itself; ","")&amp;IF(AND(M1004&lt;&gt;"",OR(M1004="/",AND(LEFT(M1004,4)="http",OR((LEN(M1004)-LEN(SUBSTITUTE(M1004,"/","")))=2,AND((LEN(M1004)-LEN(SUBSTITUTE(M1004,"/","")))=3,RIGHT(M1004,1)="/"))))),"Home page redirect; ","")&amp;IF(N(R1004)&gt;1,"Chain; ","")&amp;IF(S1004="No","Destination not 200; ","")))</f>
        <v/>
      </c>
      <c r="U1004" s="22" t="n"/>
      <c r="V1004" s="22" t="n"/>
      <c r="W1004" s="4" t="n"/>
    </row>
    <row r="1005">
      <c r="A1005" s="22" t="n"/>
      <c r="B1005" s="22" t="n"/>
      <c r="C1005" s="22" t="n"/>
      <c r="D1005" s="22">
        <f>IF(A1005="","",IF(OR(N(B1005)&gt;=$C$2,N(C1005)&gt;=$E$2),"High",IF(OR(N(B1005)&gt;0,N(C1005)&gt;0),"Medium","Low")))</f>
        <v/>
      </c>
      <c r="E1005" s="22" t="n"/>
      <c r="F1005" s="22" t="n"/>
      <c r="G1005" s="22" t="n"/>
      <c r="H1005" s="22" t="n"/>
      <c r="I1005" s="22" t="n"/>
      <c r="J1005" s="22" t="n"/>
      <c r="K1005" s="22" t="n"/>
      <c r="L1005" s="22" t="n"/>
      <c r="M1005" s="22">
        <f>IF(K1005="Override",L1005,IF(K1005="Accept suggestion",F1005,IF(K1005="No change (same URL)",A1005,"")))</f>
        <v/>
      </c>
      <c r="N1005" s="22">
        <f>IF(A1005="","",IF(K1005="410 Gone","410",IF(K1005="404","404",IF(K1005="No change (same URL)","none",IF(M1005="","","301")))))</f>
        <v/>
      </c>
      <c r="O1005" s="22">
        <f>IF(A1005="","",IFERROR(MID(A1005,FIND("/",A1005,FIND("//",A1005)+2),2000),A1005))</f>
        <v/>
      </c>
      <c r="P1005" s="22">
        <f>IF(OR(O1005="",N1005="",N1005="none",N1005="404"),"",IF(N1005="410","Redirect gone "&amp;O1005,"Redirect "&amp;N1005&amp;" "&amp;O1005&amp;" "&amp;M1005))</f>
        <v/>
      </c>
      <c r="Q1005" s="22" t="n"/>
      <c r="R1005" s="22" t="n"/>
      <c r="S1005" s="22" t="n"/>
      <c r="T1005" s="4">
        <f>IF(A1005="","",TRIM(IF(K1005="","Needs decision; ","")&amp;IF(AND(K1005="Accept suggestion",F1005=""),"No suggestion to accept; ","")&amp;IF(AND(K1005="Override",L1005=""),"Override URL missing; ","")&amp;IF(AND(K1005="Accept suggestion",N(G1005)&lt;$G$2),"Below your threshold; ","")&amp;IF(AND(M1005&lt;&gt;"",M1005=A1005,K1005&lt;&gt;"No change (same URL)"),"Redirects to itself; ","")&amp;IF(AND(M1005&lt;&gt;"",OR(M1005="/",AND(LEFT(M1005,4)="http",OR((LEN(M1005)-LEN(SUBSTITUTE(M1005,"/","")))=2,AND((LEN(M1005)-LEN(SUBSTITUTE(M1005,"/","")))=3,RIGHT(M1005,1)="/"))))),"Home page redirect; ","")&amp;IF(N(R1005)&gt;1,"Chain; ","")&amp;IF(S1005="No","Destination not 200; ","")))</f>
        <v/>
      </c>
      <c r="U1005" s="22" t="n"/>
      <c r="V1005" s="22" t="n"/>
      <c r="W1005" s="4" t="n"/>
    </row>
    <row r="1006">
      <c r="A1006" s="22" t="n"/>
      <c r="B1006" s="22" t="n"/>
      <c r="C1006" s="22" t="n"/>
      <c r="D1006" s="22">
        <f>IF(A1006="","",IF(OR(N(B1006)&gt;=$C$2,N(C1006)&gt;=$E$2),"High",IF(OR(N(B1006)&gt;0,N(C1006)&gt;0),"Medium","Low")))</f>
        <v/>
      </c>
      <c r="E1006" s="22" t="n"/>
      <c r="F1006" s="22" t="n"/>
      <c r="G1006" s="22" t="n"/>
      <c r="H1006" s="22" t="n"/>
      <c r="I1006" s="22" t="n"/>
      <c r="J1006" s="22" t="n"/>
      <c r="K1006" s="22" t="n"/>
      <c r="L1006" s="22" t="n"/>
      <c r="M1006" s="22">
        <f>IF(K1006="Override",L1006,IF(K1006="Accept suggestion",F1006,IF(K1006="No change (same URL)",A1006,"")))</f>
        <v/>
      </c>
      <c r="N1006" s="22">
        <f>IF(A1006="","",IF(K1006="410 Gone","410",IF(K1006="404","404",IF(K1006="No change (same URL)","none",IF(M1006="","","301")))))</f>
        <v/>
      </c>
      <c r="O1006" s="22">
        <f>IF(A1006="","",IFERROR(MID(A1006,FIND("/",A1006,FIND("//",A1006)+2),2000),A1006))</f>
        <v/>
      </c>
      <c r="P1006" s="22">
        <f>IF(OR(O1006="",N1006="",N1006="none",N1006="404"),"",IF(N1006="410","Redirect gone "&amp;O1006,"Redirect "&amp;N1006&amp;" "&amp;O1006&amp;" "&amp;M1006))</f>
        <v/>
      </c>
      <c r="Q1006" s="22" t="n"/>
      <c r="R1006" s="22" t="n"/>
      <c r="S1006" s="22" t="n"/>
      <c r="T1006" s="4">
        <f>IF(A1006="","",TRIM(IF(K1006="","Needs decision; ","")&amp;IF(AND(K1006="Accept suggestion",F1006=""),"No suggestion to accept; ","")&amp;IF(AND(K1006="Override",L1006=""),"Override URL missing; ","")&amp;IF(AND(K1006="Accept suggestion",N(G1006)&lt;$G$2),"Below your threshold; ","")&amp;IF(AND(M1006&lt;&gt;"",M1006=A1006,K1006&lt;&gt;"No change (same URL)"),"Redirects to itself; ","")&amp;IF(AND(M1006&lt;&gt;"",OR(M1006="/",AND(LEFT(M1006,4)="http",OR((LEN(M1006)-LEN(SUBSTITUTE(M1006,"/","")))=2,AND((LEN(M1006)-LEN(SUBSTITUTE(M1006,"/","")))=3,RIGHT(M1006,1)="/"))))),"Home page redirect; ","")&amp;IF(N(R1006)&gt;1,"Chain; ","")&amp;IF(S1006="No","Destination not 200; ","")))</f>
        <v/>
      </c>
      <c r="U1006" s="22" t="n"/>
      <c r="V1006" s="22" t="n"/>
      <c r="W1006" s="4" t="n"/>
    </row>
    <row r="1007">
      <c r="A1007" s="22" t="n"/>
      <c r="B1007" s="22" t="n"/>
      <c r="C1007" s="22" t="n"/>
      <c r="D1007" s="22">
        <f>IF(A1007="","",IF(OR(N(B1007)&gt;=$C$2,N(C1007)&gt;=$E$2),"High",IF(OR(N(B1007)&gt;0,N(C1007)&gt;0),"Medium","Low")))</f>
        <v/>
      </c>
      <c r="E1007" s="22" t="n"/>
      <c r="F1007" s="22" t="n"/>
      <c r="G1007" s="22" t="n"/>
      <c r="H1007" s="22" t="n"/>
      <c r="I1007" s="22" t="n"/>
      <c r="J1007" s="22" t="n"/>
      <c r="K1007" s="22" t="n"/>
      <c r="L1007" s="22" t="n"/>
      <c r="M1007" s="22">
        <f>IF(K1007="Override",L1007,IF(K1007="Accept suggestion",F1007,IF(K1007="No change (same URL)",A1007,"")))</f>
        <v/>
      </c>
      <c r="N1007" s="22">
        <f>IF(A1007="","",IF(K1007="410 Gone","410",IF(K1007="404","404",IF(K1007="No change (same URL)","none",IF(M1007="","","301")))))</f>
        <v/>
      </c>
      <c r="O1007" s="22">
        <f>IF(A1007="","",IFERROR(MID(A1007,FIND("/",A1007,FIND("//",A1007)+2),2000),A1007))</f>
        <v/>
      </c>
      <c r="P1007" s="22">
        <f>IF(OR(O1007="",N1007="",N1007="none",N1007="404"),"",IF(N1007="410","Redirect gone "&amp;O1007,"Redirect "&amp;N1007&amp;" "&amp;O1007&amp;" "&amp;M1007))</f>
        <v/>
      </c>
      <c r="Q1007" s="22" t="n"/>
      <c r="R1007" s="22" t="n"/>
      <c r="S1007" s="22" t="n"/>
      <c r="T1007" s="4">
        <f>IF(A1007="","",TRIM(IF(K1007="","Needs decision; ","")&amp;IF(AND(K1007="Accept suggestion",F1007=""),"No suggestion to accept; ","")&amp;IF(AND(K1007="Override",L1007=""),"Override URL missing; ","")&amp;IF(AND(K1007="Accept suggestion",N(G1007)&lt;$G$2),"Below your threshold; ","")&amp;IF(AND(M1007&lt;&gt;"",M1007=A1007,K1007&lt;&gt;"No change (same URL)"),"Redirects to itself; ","")&amp;IF(AND(M1007&lt;&gt;"",OR(M1007="/",AND(LEFT(M1007,4)="http",OR((LEN(M1007)-LEN(SUBSTITUTE(M1007,"/","")))=2,AND((LEN(M1007)-LEN(SUBSTITUTE(M1007,"/","")))=3,RIGHT(M1007,1)="/"))))),"Home page redirect; ","")&amp;IF(N(R1007)&gt;1,"Chain; ","")&amp;IF(S1007="No","Destination not 200; ","")))</f>
        <v/>
      </c>
      <c r="U1007" s="22" t="n"/>
      <c r="V1007" s="22" t="n"/>
      <c r="W1007" s="4" t="n"/>
    </row>
    <row r="1008">
      <c r="A1008" s="22" t="n"/>
      <c r="B1008" s="22" t="n"/>
      <c r="C1008" s="22" t="n"/>
      <c r="D1008" s="22">
        <f>IF(A1008="","",IF(OR(N(B1008)&gt;=$C$2,N(C1008)&gt;=$E$2),"High",IF(OR(N(B1008)&gt;0,N(C1008)&gt;0),"Medium","Low")))</f>
        <v/>
      </c>
      <c r="E1008" s="22" t="n"/>
      <c r="F1008" s="22" t="n"/>
      <c r="G1008" s="22" t="n"/>
      <c r="H1008" s="22" t="n"/>
      <c r="I1008" s="22" t="n"/>
      <c r="J1008" s="22" t="n"/>
      <c r="K1008" s="22" t="n"/>
      <c r="L1008" s="22" t="n"/>
      <c r="M1008" s="22">
        <f>IF(K1008="Override",L1008,IF(K1008="Accept suggestion",F1008,IF(K1008="No change (same URL)",A1008,"")))</f>
        <v/>
      </c>
      <c r="N1008" s="22">
        <f>IF(A1008="","",IF(K1008="410 Gone","410",IF(K1008="404","404",IF(K1008="No change (same URL)","none",IF(M1008="","","301")))))</f>
        <v/>
      </c>
      <c r="O1008" s="22">
        <f>IF(A1008="","",IFERROR(MID(A1008,FIND("/",A1008,FIND("//",A1008)+2),2000),A1008))</f>
        <v/>
      </c>
      <c r="P1008" s="22">
        <f>IF(OR(O1008="",N1008="",N1008="none",N1008="404"),"",IF(N1008="410","Redirect gone "&amp;O1008,"Redirect "&amp;N1008&amp;" "&amp;O1008&amp;" "&amp;M1008))</f>
        <v/>
      </c>
      <c r="Q1008" s="22" t="n"/>
      <c r="R1008" s="22" t="n"/>
      <c r="S1008" s="22" t="n"/>
      <c r="T1008" s="4">
        <f>IF(A1008="","",TRIM(IF(K1008="","Needs decision; ","")&amp;IF(AND(K1008="Accept suggestion",F1008=""),"No suggestion to accept; ","")&amp;IF(AND(K1008="Override",L1008=""),"Override URL missing; ","")&amp;IF(AND(K1008="Accept suggestion",N(G1008)&lt;$G$2),"Below your threshold; ","")&amp;IF(AND(M1008&lt;&gt;"",M1008=A1008,K1008&lt;&gt;"No change (same URL)"),"Redirects to itself; ","")&amp;IF(AND(M1008&lt;&gt;"",OR(M1008="/",AND(LEFT(M1008,4)="http",OR((LEN(M1008)-LEN(SUBSTITUTE(M1008,"/","")))=2,AND((LEN(M1008)-LEN(SUBSTITUTE(M1008,"/","")))=3,RIGHT(M1008,1)="/"))))),"Home page redirect; ","")&amp;IF(N(R1008)&gt;1,"Chain; ","")&amp;IF(S1008="No","Destination not 200; ","")))</f>
        <v/>
      </c>
      <c r="U1008" s="22" t="n"/>
      <c r="V1008" s="22" t="n"/>
      <c r="W1008" s="4" t="n"/>
    </row>
    <row r="1009">
      <c r="A1009" s="22" t="n"/>
      <c r="B1009" s="22" t="n"/>
      <c r="C1009" s="22" t="n"/>
      <c r="D1009" s="22">
        <f>IF(A1009="","",IF(OR(N(B1009)&gt;=$C$2,N(C1009)&gt;=$E$2),"High",IF(OR(N(B1009)&gt;0,N(C1009)&gt;0),"Medium","Low")))</f>
        <v/>
      </c>
      <c r="E1009" s="22" t="n"/>
      <c r="F1009" s="22" t="n"/>
      <c r="G1009" s="22" t="n"/>
      <c r="H1009" s="22" t="n"/>
      <c r="I1009" s="22" t="n"/>
      <c r="J1009" s="22" t="n"/>
      <c r="K1009" s="22" t="n"/>
      <c r="L1009" s="22" t="n"/>
      <c r="M1009" s="22">
        <f>IF(K1009="Override",L1009,IF(K1009="Accept suggestion",F1009,IF(K1009="No change (same URL)",A1009,"")))</f>
        <v/>
      </c>
      <c r="N1009" s="22">
        <f>IF(A1009="","",IF(K1009="410 Gone","410",IF(K1009="404","404",IF(K1009="No change (same URL)","none",IF(M1009="","","301")))))</f>
        <v/>
      </c>
      <c r="O1009" s="22">
        <f>IF(A1009="","",IFERROR(MID(A1009,FIND("/",A1009,FIND("//",A1009)+2),2000),A1009))</f>
        <v/>
      </c>
      <c r="P1009" s="22">
        <f>IF(OR(O1009="",N1009="",N1009="none",N1009="404"),"",IF(N1009="410","Redirect gone "&amp;O1009,"Redirect "&amp;N1009&amp;" "&amp;O1009&amp;" "&amp;M1009))</f>
        <v/>
      </c>
      <c r="Q1009" s="22" t="n"/>
      <c r="R1009" s="22" t="n"/>
      <c r="S1009" s="22" t="n"/>
      <c r="T1009" s="4">
        <f>IF(A1009="","",TRIM(IF(K1009="","Needs decision; ","")&amp;IF(AND(K1009="Accept suggestion",F1009=""),"No suggestion to accept; ","")&amp;IF(AND(K1009="Override",L1009=""),"Override URL missing; ","")&amp;IF(AND(K1009="Accept suggestion",N(G1009)&lt;$G$2),"Below your threshold; ","")&amp;IF(AND(M1009&lt;&gt;"",M1009=A1009,K1009&lt;&gt;"No change (same URL)"),"Redirects to itself; ","")&amp;IF(AND(M1009&lt;&gt;"",OR(M1009="/",AND(LEFT(M1009,4)="http",OR((LEN(M1009)-LEN(SUBSTITUTE(M1009,"/","")))=2,AND((LEN(M1009)-LEN(SUBSTITUTE(M1009,"/","")))=3,RIGHT(M1009,1)="/"))))),"Home page redirect; ","")&amp;IF(N(R1009)&gt;1,"Chain; ","")&amp;IF(S1009="No","Destination not 200; ","")))</f>
        <v/>
      </c>
      <c r="U1009" s="22" t="n"/>
      <c r="V1009" s="22" t="n"/>
      <c r="W1009" s="4" t="n"/>
    </row>
    <row r="1010">
      <c r="A1010" s="22" t="n"/>
      <c r="B1010" s="22" t="n"/>
      <c r="C1010" s="22" t="n"/>
      <c r="D1010" s="22">
        <f>IF(A1010="","",IF(OR(N(B1010)&gt;=$C$2,N(C1010)&gt;=$E$2),"High",IF(OR(N(B1010)&gt;0,N(C1010)&gt;0),"Medium","Low")))</f>
        <v/>
      </c>
      <c r="E1010" s="22" t="n"/>
      <c r="F1010" s="22" t="n"/>
      <c r="G1010" s="22" t="n"/>
      <c r="H1010" s="22" t="n"/>
      <c r="I1010" s="22" t="n"/>
      <c r="J1010" s="22" t="n"/>
      <c r="K1010" s="22" t="n"/>
      <c r="L1010" s="22" t="n"/>
      <c r="M1010" s="22">
        <f>IF(K1010="Override",L1010,IF(K1010="Accept suggestion",F1010,IF(K1010="No change (same URL)",A1010,"")))</f>
        <v/>
      </c>
      <c r="N1010" s="22">
        <f>IF(A1010="","",IF(K1010="410 Gone","410",IF(K1010="404","404",IF(K1010="No change (same URL)","none",IF(M1010="","","301")))))</f>
        <v/>
      </c>
      <c r="O1010" s="22">
        <f>IF(A1010="","",IFERROR(MID(A1010,FIND("/",A1010,FIND("//",A1010)+2),2000),A1010))</f>
        <v/>
      </c>
      <c r="P1010" s="22">
        <f>IF(OR(O1010="",N1010="",N1010="none",N1010="404"),"",IF(N1010="410","Redirect gone "&amp;O1010,"Redirect "&amp;N1010&amp;" "&amp;O1010&amp;" "&amp;M1010))</f>
        <v/>
      </c>
      <c r="Q1010" s="22" t="n"/>
      <c r="R1010" s="22" t="n"/>
      <c r="S1010" s="22" t="n"/>
      <c r="T1010" s="4">
        <f>IF(A1010="","",TRIM(IF(K1010="","Needs decision; ","")&amp;IF(AND(K1010="Accept suggestion",F1010=""),"No suggestion to accept; ","")&amp;IF(AND(K1010="Override",L1010=""),"Override URL missing; ","")&amp;IF(AND(K1010="Accept suggestion",N(G1010)&lt;$G$2),"Below your threshold; ","")&amp;IF(AND(M1010&lt;&gt;"",M1010=A1010,K1010&lt;&gt;"No change (same URL)"),"Redirects to itself; ","")&amp;IF(AND(M1010&lt;&gt;"",OR(M1010="/",AND(LEFT(M1010,4)="http",OR((LEN(M1010)-LEN(SUBSTITUTE(M1010,"/","")))=2,AND((LEN(M1010)-LEN(SUBSTITUTE(M1010,"/","")))=3,RIGHT(M1010,1)="/"))))),"Home page redirect; ","")&amp;IF(N(R1010)&gt;1,"Chain; ","")&amp;IF(S1010="No","Destination not 200; ","")))</f>
        <v/>
      </c>
      <c r="U1010" s="22" t="n"/>
      <c r="V1010" s="22" t="n"/>
      <c r="W1010" s="4" t="n"/>
    </row>
    <row r="1011">
      <c r="A1011" s="22" t="n"/>
      <c r="B1011" s="22" t="n"/>
      <c r="C1011" s="22" t="n"/>
      <c r="D1011" s="22">
        <f>IF(A1011="","",IF(OR(N(B1011)&gt;=$C$2,N(C1011)&gt;=$E$2),"High",IF(OR(N(B1011)&gt;0,N(C1011)&gt;0),"Medium","Low")))</f>
        <v/>
      </c>
      <c r="E1011" s="22" t="n"/>
      <c r="F1011" s="22" t="n"/>
      <c r="G1011" s="22" t="n"/>
      <c r="H1011" s="22" t="n"/>
      <c r="I1011" s="22" t="n"/>
      <c r="J1011" s="22" t="n"/>
      <c r="K1011" s="22" t="n"/>
      <c r="L1011" s="22" t="n"/>
      <c r="M1011" s="22">
        <f>IF(K1011="Override",L1011,IF(K1011="Accept suggestion",F1011,IF(K1011="No change (same URL)",A1011,"")))</f>
        <v/>
      </c>
      <c r="N1011" s="22">
        <f>IF(A1011="","",IF(K1011="410 Gone","410",IF(K1011="404","404",IF(K1011="No change (same URL)","none",IF(M1011="","","301")))))</f>
        <v/>
      </c>
      <c r="O1011" s="22">
        <f>IF(A1011="","",IFERROR(MID(A1011,FIND("/",A1011,FIND("//",A1011)+2),2000),A1011))</f>
        <v/>
      </c>
      <c r="P1011" s="22">
        <f>IF(OR(O1011="",N1011="",N1011="none",N1011="404"),"",IF(N1011="410","Redirect gone "&amp;O1011,"Redirect "&amp;N1011&amp;" "&amp;O1011&amp;" "&amp;M1011))</f>
        <v/>
      </c>
      <c r="Q1011" s="22" t="n"/>
      <c r="R1011" s="22" t="n"/>
      <c r="S1011" s="22" t="n"/>
      <c r="T1011" s="4">
        <f>IF(A1011="","",TRIM(IF(K1011="","Needs decision; ","")&amp;IF(AND(K1011="Accept suggestion",F1011=""),"No suggestion to accept; ","")&amp;IF(AND(K1011="Override",L1011=""),"Override URL missing; ","")&amp;IF(AND(K1011="Accept suggestion",N(G1011)&lt;$G$2),"Below your threshold; ","")&amp;IF(AND(M1011&lt;&gt;"",M1011=A1011,K1011&lt;&gt;"No change (same URL)"),"Redirects to itself; ","")&amp;IF(AND(M1011&lt;&gt;"",OR(M1011="/",AND(LEFT(M1011,4)="http",OR((LEN(M1011)-LEN(SUBSTITUTE(M1011,"/","")))=2,AND((LEN(M1011)-LEN(SUBSTITUTE(M1011,"/","")))=3,RIGHT(M1011,1)="/"))))),"Home page redirect; ","")&amp;IF(N(R1011)&gt;1,"Chain; ","")&amp;IF(S1011="No","Destination not 200; ","")))</f>
        <v/>
      </c>
      <c r="U1011" s="22" t="n"/>
      <c r="V1011" s="22" t="n"/>
      <c r="W1011" s="4" t="n"/>
    </row>
    <row r="1012">
      <c r="A1012" s="22" t="n"/>
      <c r="B1012" s="22" t="n"/>
      <c r="C1012" s="22" t="n"/>
      <c r="D1012" s="22">
        <f>IF(A1012="","",IF(OR(N(B1012)&gt;=$C$2,N(C1012)&gt;=$E$2),"High",IF(OR(N(B1012)&gt;0,N(C1012)&gt;0),"Medium","Low")))</f>
        <v/>
      </c>
      <c r="E1012" s="22" t="n"/>
      <c r="F1012" s="22" t="n"/>
      <c r="G1012" s="22" t="n"/>
      <c r="H1012" s="22" t="n"/>
      <c r="I1012" s="22" t="n"/>
      <c r="J1012" s="22" t="n"/>
      <c r="K1012" s="22" t="n"/>
      <c r="L1012" s="22" t="n"/>
      <c r="M1012" s="22">
        <f>IF(K1012="Override",L1012,IF(K1012="Accept suggestion",F1012,IF(K1012="No change (same URL)",A1012,"")))</f>
        <v/>
      </c>
      <c r="N1012" s="22">
        <f>IF(A1012="","",IF(K1012="410 Gone","410",IF(K1012="404","404",IF(K1012="No change (same URL)","none",IF(M1012="","","301")))))</f>
        <v/>
      </c>
      <c r="O1012" s="22">
        <f>IF(A1012="","",IFERROR(MID(A1012,FIND("/",A1012,FIND("//",A1012)+2),2000),A1012))</f>
        <v/>
      </c>
      <c r="P1012" s="22">
        <f>IF(OR(O1012="",N1012="",N1012="none",N1012="404"),"",IF(N1012="410","Redirect gone "&amp;O1012,"Redirect "&amp;N1012&amp;" "&amp;O1012&amp;" "&amp;M1012))</f>
        <v/>
      </c>
      <c r="Q1012" s="22" t="n"/>
      <c r="R1012" s="22" t="n"/>
      <c r="S1012" s="22" t="n"/>
      <c r="T1012" s="4">
        <f>IF(A1012="","",TRIM(IF(K1012="","Needs decision; ","")&amp;IF(AND(K1012="Accept suggestion",F1012=""),"No suggestion to accept; ","")&amp;IF(AND(K1012="Override",L1012=""),"Override URL missing; ","")&amp;IF(AND(K1012="Accept suggestion",N(G1012)&lt;$G$2),"Below your threshold; ","")&amp;IF(AND(M1012&lt;&gt;"",M1012=A1012,K1012&lt;&gt;"No change (same URL)"),"Redirects to itself; ","")&amp;IF(AND(M1012&lt;&gt;"",OR(M1012="/",AND(LEFT(M1012,4)="http",OR((LEN(M1012)-LEN(SUBSTITUTE(M1012,"/","")))=2,AND((LEN(M1012)-LEN(SUBSTITUTE(M1012,"/","")))=3,RIGHT(M1012,1)="/"))))),"Home page redirect; ","")&amp;IF(N(R1012)&gt;1,"Chain; ","")&amp;IF(S1012="No","Destination not 200; ","")))</f>
        <v/>
      </c>
      <c r="U1012" s="22" t="n"/>
      <c r="V1012" s="22" t="n"/>
      <c r="W1012" s="4" t="n"/>
    </row>
    <row r="1013">
      <c r="A1013" s="22" t="n"/>
      <c r="B1013" s="22" t="n"/>
      <c r="C1013" s="22" t="n"/>
      <c r="D1013" s="22">
        <f>IF(A1013="","",IF(OR(N(B1013)&gt;=$C$2,N(C1013)&gt;=$E$2),"High",IF(OR(N(B1013)&gt;0,N(C1013)&gt;0),"Medium","Low")))</f>
        <v/>
      </c>
      <c r="E1013" s="22" t="n"/>
      <c r="F1013" s="22" t="n"/>
      <c r="G1013" s="22" t="n"/>
      <c r="H1013" s="22" t="n"/>
      <c r="I1013" s="22" t="n"/>
      <c r="J1013" s="22" t="n"/>
      <c r="K1013" s="22" t="n"/>
      <c r="L1013" s="22" t="n"/>
      <c r="M1013" s="22">
        <f>IF(K1013="Override",L1013,IF(K1013="Accept suggestion",F1013,IF(K1013="No change (same URL)",A1013,"")))</f>
        <v/>
      </c>
      <c r="N1013" s="22">
        <f>IF(A1013="","",IF(K1013="410 Gone","410",IF(K1013="404","404",IF(K1013="No change (same URL)","none",IF(M1013="","","301")))))</f>
        <v/>
      </c>
      <c r="O1013" s="22">
        <f>IF(A1013="","",IFERROR(MID(A1013,FIND("/",A1013,FIND("//",A1013)+2),2000),A1013))</f>
        <v/>
      </c>
      <c r="P1013" s="22">
        <f>IF(OR(O1013="",N1013="",N1013="none",N1013="404"),"",IF(N1013="410","Redirect gone "&amp;O1013,"Redirect "&amp;N1013&amp;" "&amp;O1013&amp;" "&amp;M1013))</f>
        <v/>
      </c>
      <c r="Q1013" s="22" t="n"/>
      <c r="R1013" s="22" t="n"/>
      <c r="S1013" s="22" t="n"/>
      <c r="T1013" s="4">
        <f>IF(A1013="","",TRIM(IF(K1013="","Needs decision; ","")&amp;IF(AND(K1013="Accept suggestion",F1013=""),"No suggestion to accept; ","")&amp;IF(AND(K1013="Override",L1013=""),"Override URL missing; ","")&amp;IF(AND(K1013="Accept suggestion",N(G1013)&lt;$G$2),"Below your threshold; ","")&amp;IF(AND(M1013&lt;&gt;"",M1013=A1013,K1013&lt;&gt;"No change (same URL)"),"Redirects to itself; ","")&amp;IF(AND(M1013&lt;&gt;"",OR(M1013="/",AND(LEFT(M1013,4)="http",OR((LEN(M1013)-LEN(SUBSTITUTE(M1013,"/","")))=2,AND((LEN(M1013)-LEN(SUBSTITUTE(M1013,"/","")))=3,RIGHT(M1013,1)="/"))))),"Home page redirect; ","")&amp;IF(N(R1013)&gt;1,"Chain; ","")&amp;IF(S1013="No","Destination not 200; ","")))</f>
        <v/>
      </c>
      <c r="U1013" s="22" t="n"/>
      <c r="V1013" s="22" t="n"/>
      <c r="W1013" s="4" t="n"/>
    </row>
    <row r="1014">
      <c r="A1014" s="22" t="n"/>
      <c r="B1014" s="22" t="n"/>
      <c r="C1014" s="22" t="n"/>
      <c r="D1014" s="22">
        <f>IF(A1014="","",IF(OR(N(B1014)&gt;=$C$2,N(C1014)&gt;=$E$2),"High",IF(OR(N(B1014)&gt;0,N(C1014)&gt;0),"Medium","Low")))</f>
        <v/>
      </c>
      <c r="E1014" s="22" t="n"/>
      <c r="F1014" s="22" t="n"/>
      <c r="G1014" s="22" t="n"/>
      <c r="H1014" s="22" t="n"/>
      <c r="I1014" s="22" t="n"/>
      <c r="J1014" s="22" t="n"/>
      <c r="K1014" s="22" t="n"/>
      <c r="L1014" s="22" t="n"/>
      <c r="M1014" s="22">
        <f>IF(K1014="Override",L1014,IF(K1014="Accept suggestion",F1014,IF(K1014="No change (same URL)",A1014,"")))</f>
        <v/>
      </c>
      <c r="N1014" s="22">
        <f>IF(A1014="","",IF(K1014="410 Gone","410",IF(K1014="404","404",IF(K1014="No change (same URL)","none",IF(M1014="","","301")))))</f>
        <v/>
      </c>
      <c r="O1014" s="22">
        <f>IF(A1014="","",IFERROR(MID(A1014,FIND("/",A1014,FIND("//",A1014)+2),2000),A1014))</f>
        <v/>
      </c>
      <c r="P1014" s="22">
        <f>IF(OR(O1014="",N1014="",N1014="none",N1014="404"),"",IF(N1014="410","Redirect gone "&amp;O1014,"Redirect "&amp;N1014&amp;" "&amp;O1014&amp;" "&amp;M1014))</f>
        <v/>
      </c>
      <c r="Q1014" s="22" t="n"/>
      <c r="R1014" s="22" t="n"/>
      <c r="S1014" s="22" t="n"/>
      <c r="T1014" s="4">
        <f>IF(A1014="","",TRIM(IF(K1014="","Needs decision; ","")&amp;IF(AND(K1014="Accept suggestion",F1014=""),"No suggestion to accept; ","")&amp;IF(AND(K1014="Override",L1014=""),"Override URL missing; ","")&amp;IF(AND(K1014="Accept suggestion",N(G1014)&lt;$G$2),"Below your threshold; ","")&amp;IF(AND(M1014&lt;&gt;"",M1014=A1014,K1014&lt;&gt;"No change (same URL)"),"Redirects to itself; ","")&amp;IF(AND(M1014&lt;&gt;"",OR(M1014="/",AND(LEFT(M1014,4)="http",OR((LEN(M1014)-LEN(SUBSTITUTE(M1014,"/","")))=2,AND((LEN(M1014)-LEN(SUBSTITUTE(M1014,"/","")))=3,RIGHT(M1014,1)="/"))))),"Home page redirect; ","")&amp;IF(N(R1014)&gt;1,"Chain; ","")&amp;IF(S1014="No","Destination not 200; ","")))</f>
        <v/>
      </c>
      <c r="U1014" s="22" t="n"/>
      <c r="V1014" s="22" t="n"/>
      <c r="W1014" s="4" t="n"/>
    </row>
    <row r="1015">
      <c r="A1015" s="22" t="n"/>
      <c r="B1015" s="22" t="n"/>
      <c r="C1015" s="22" t="n"/>
      <c r="D1015" s="22">
        <f>IF(A1015="","",IF(OR(N(B1015)&gt;=$C$2,N(C1015)&gt;=$E$2),"High",IF(OR(N(B1015)&gt;0,N(C1015)&gt;0),"Medium","Low")))</f>
        <v/>
      </c>
      <c r="E1015" s="22" t="n"/>
      <c r="F1015" s="22" t="n"/>
      <c r="G1015" s="22" t="n"/>
      <c r="H1015" s="22" t="n"/>
      <c r="I1015" s="22" t="n"/>
      <c r="J1015" s="22" t="n"/>
      <c r="K1015" s="22" t="n"/>
      <c r="L1015" s="22" t="n"/>
      <c r="M1015" s="22">
        <f>IF(K1015="Override",L1015,IF(K1015="Accept suggestion",F1015,IF(K1015="No change (same URL)",A1015,"")))</f>
        <v/>
      </c>
      <c r="N1015" s="22">
        <f>IF(A1015="","",IF(K1015="410 Gone","410",IF(K1015="404","404",IF(K1015="No change (same URL)","none",IF(M1015="","","301")))))</f>
        <v/>
      </c>
      <c r="O1015" s="22">
        <f>IF(A1015="","",IFERROR(MID(A1015,FIND("/",A1015,FIND("//",A1015)+2),2000),A1015))</f>
        <v/>
      </c>
      <c r="P1015" s="22">
        <f>IF(OR(O1015="",N1015="",N1015="none",N1015="404"),"",IF(N1015="410","Redirect gone "&amp;O1015,"Redirect "&amp;N1015&amp;" "&amp;O1015&amp;" "&amp;M1015))</f>
        <v/>
      </c>
      <c r="Q1015" s="22" t="n"/>
      <c r="R1015" s="22" t="n"/>
      <c r="S1015" s="22" t="n"/>
      <c r="T1015" s="4">
        <f>IF(A1015="","",TRIM(IF(K1015="","Needs decision; ","")&amp;IF(AND(K1015="Accept suggestion",F1015=""),"No suggestion to accept; ","")&amp;IF(AND(K1015="Override",L1015=""),"Override URL missing; ","")&amp;IF(AND(K1015="Accept suggestion",N(G1015)&lt;$G$2),"Below your threshold; ","")&amp;IF(AND(M1015&lt;&gt;"",M1015=A1015,K1015&lt;&gt;"No change (same URL)"),"Redirects to itself; ","")&amp;IF(AND(M1015&lt;&gt;"",OR(M1015="/",AND(LEFT(M1015,4)="http",OR((LEN(M1015)-LEN(SUBSTITUTE(M1015,"/","")))=2,AND((LEN(M1015)-LEN(SUBSTITUTE(M1015,"/","")))=3,RIGHT(M1015,1)="/"))))),"Home page redirect; ","")&amp;IF(N(R1015)&gt;1,"Chain; ","")&amp;IF(S1015="No","Destination not 200; ","")))</f>
        <v/>
      </c>
      <c r="U1015" s="22" t="n"/>
      <c r="V1015" s="22" t="n"/>
      <c r="W1015" s="4" t="n"/>
    </row>
    <row r="1016">
      <c r="A1016" s="22" t="n"/>
      <c r="B1016" s="22" t="n"/>
      <c r="C1016" s="22" t="n"/>
      <c r="D1016" s="22">
        <f>IF(A1016="","",IF(OR(N(B1016)&gt;=$C$2,N(C1016)&gt;=$E$2),"High",IF(OR(N(B1016)&gt;0,N(C1016)&gt;0),"Medium","Low")))</f>
        <v/>
      </c>
      <c r="E1016" s="22" t="n"/>
      <c r="F1016" s="22" t="n"/>
      <c r="G1016" s="22" t="n"/>
      <c r="H1016" s="22" t="n"/>
      <c r="I1016" s="22" t="n"/>
      <c r="J1016" s="22" t="n"/>
      <c r="K1016" s="22" t="n"/>
      <c r="L1016" s="22" t="n"/>
      <c r="M1016" s="22">
        <f>IF(K1016="Override",L1016,IF(K1016="Accept suggestion",F1016,IF(K1016="No change (same URL)",A1016,"")))</f>
        <v/>
      </c>
      <c r="N1016" s="22">
        <f>IF(A1016="","",IF(K1016="410 Gone","410",IF(K1016="404","404",IF(K1016="No change (same URL)","none",IF(M1016="","","301")))))</f>
        <v/>
      </c>
      <c r="O1016" s="22">
        <f>IF(A1016="","",IFERROR(MID(A1016,FIND("/",A1016,FIND("//",A1016)+2),2000),A1016))</f>
        <v/>
      </c>
      <c r="P1016" s="22">
        <f>IF(OR(O1016="",N1016="",N1016="none",N1016="404"),"",IF(N1016="410","Redirect gone "&amp;O1016,"Redirect "&amp;N1016&amp;" "&amp;O1016&amp;" "&amp;M1016))</f>
        <v/>
      </c>
      <c r="Q1016" s="22" t="n"/>
      <c r="R1016" s="22" t="n"/>
      <c r="S1016" s="22" t="n"/>
      <c r="T1016" s="4">
        <f>IF(A1016="","",TRIM(IF(K1016="","Needs decision; ","")&amp;IF(AND(K1016="Accept suggestion",F1016=""),"No suggestion to accept; ","")&amp;IF(AND(K1016="Override",L1016=""),"Override URL missing; ","")&amp;IF(AND(K1016="Accept suggestion",N(G1016)&lt;$G$2),"Below your threshold; ","")&amp;IF(AND(M1016&lt;&gt;"",M1016=A1016,K1016&lt;&gt;"No change (same URL)"),"Redirects to itself; ","")&amp;IF(AND(M1016&lt;&gt;"",OR(M1016="/",AND(LEFT(M1016,4)="http",OR((LEN(M1016)-LEN(SUBSTITUTE(M1016,"/","")))=2,AND((LEN(M1016)-LEN(SUBSTITUTE(M1016,"/","")))=3,RIGHT(M1016,1)="/"))))),"Home page redirect; ","")&amp;IF(N(R1016)&gt;1,"Chain; ","")&amp;IF(S1016="No","Destination not 200; ","")))</f>
        <v/>
      </c>
      <c r="U1016" s="22" t="n"/>
      <c r="V1016" s="22" t="n"/>
      <c r="W1016" s="4" t="n"/>
    </row>
    <row r="1017">
      <c r="A1017" s="22" t="n"/>
      <c r="B1017" s="22" t="n"/>
      <c r="C1017" s="22" t="n"/>
      <c r="D1017" s="22">
        <f>IF(A1017="","",IF(OR(N(B1017)&gt;=$C$2,N(C1017)&gt;=$E$2),"High",IF(OR(N(B1017)&gt;0,N(C1017)&gt;0),"Medium","Low")))</f>
        <v/>
      </c>
      <c r="E1017" s="22" t="n"/>
      <c r="F1017" s="22" t="n"/>
      <c r="G1017" s="22" t="n"/>
      <c r="H1017" s="22" t="n"/>
      <c r="I1017" s="22" t="n"/>
      <c r="J1017" s="22" t="n"/>
      <c r="K1017" s="22" t="n"/>
      <c r="L1017" s="22" t="n"/>
      <c r="M1017" s="22">
        <f>IF(K1017="Override",L1017,IF(K1017="Accept suggestion",F1017,IF(K1017="No change (same URL)",A1017,"")))</f>
        <v/>
      </c>
      <c r="N1017" s="22">
        <f>IF(A1017="","",IF(K1017="410 Gone","410",IF(K1017="404","404",IF(K1017="No change (same URL)","none",IF(M1017="","","301")))))</f>
        <v/>
      </c>
      <c r="O1017" s="22">
        <f>IF(A1017="","",IFERROR(MID(A1017,FIND("/",A1017,FIND("//",A1017)+2),2000),A1017))</f>
        <v/>
      </c>
      <c r="P1017" s="22">
        <f>IF(OR(O1017="",N1017="",N1017="none",N1017="404"),"",IF(N1017="410","Redirect gone "&amp;O1017,"Redirect "&amp;N1017&amp;" "&amp;O1017&amp;" "&amp;M1017))</f>
        <v/>
      </c>
      <c r="Q1017" s="22" t="n"/>
      <c r="R1017" s="22" t="n"/>
      <c r="S1017" s="22" t="n"/>
      <c r="T1017" s="4">
        <f>IF(A1017="","",TRIM(IF(K1017="","Needs decision; ","")&amp;IF(AND(K1017="Accept suggestion",F1017=""),"No suggestion to accept; ","")&amp;IF(AND(K1017="Override",L1017=""),"Override URL missing; ","")&amp;IF(AND(K1017="Accept suggestion",N(G1017)&lt;$G$2),"Below your threshold; ","")&amp;IF(AND(M1017&lt;&gt;"",M1017=A1017,K1017&lt;&gt;"No change (same URL)"),"Redirects to itself; ","")&amp;IF(AND(M1017&lt;&gt;"",OR(M1017="/",AND(LEFT(M1017,4)="http",OR((LEN(M1017)-LEN(SUBSTITUTE(M1017,"/","")))=2,AND((LEN(M1017)-LEN(SUBSTITUTE(M1017,"/","")))=3,RIGHT(M1017,1)="/"))))),"Home page redirect; ","")&amp;IF(N(R1017)&gt;1,"Chain; ","")&amp;IF(S1017="No","Destination not 200; ","")))</f>
        <v/>
      </c>
      <c r="U1017" s="22" t="n"/>
      <c r="V1017" s="22" t="n"/>
      <c r="W1017" s="4" t="n"/>
    </row>
    <row r="1018">
      <c r="A1018" s="22" t="n"/>
      <c r="B1018" s="22" t="n"/>
      <c r="C1018" s="22" t="n"/>
      <c r="D1018" s="22">
        <f>IF(A1018="","",IF(OR(N(B1018)&gt;=$C$2,N(C1018)&gt;=$E$2),"High",IF(OR(N(B1018)&gt;0,N(C1018)&gt;0),"Medium","Low")))</f>
        <v/>
      </c>
      <c r="E1018" s="22" t="n"/>
      <c r="F1018" s="22" t="n"/>
      <c r="G1018" s="22" t="n"/>
      <c r="H1018" s="22" t="n"/>
      <c r="I1018" s="22" t="n"/>
      <c r="J1018" s="22" t="n"/>
      <c r="K1018" s="22" t="n"/>
      <c r="L1018" s="22" t="n"/>
      <c r="M1018" s="22">
        <f>IF(K1018="Override",L1018,IF(K1018="Accept suggestion",F1018,IF(K1018="No change (same URL)",A1018,"")))</f>
        <v/>
      </c>
      <c r="N1018" s="22">
        <f>IF(A1018="","",IF(K1018="410 Gone","410",IF(K1018="404","404",IF(K1018="No change (same URL)","none",IF(M1018="","","301")))))</f>
        <v/>
      </c>
      <c r="O1018" s="22">
        <f>IF(A1018="","",IFERROR(MID(A1018,FIND("/",A1018,FIND("//",A1018)+2),2000),A1018))</f>
        <v/>
      </c>
      <c r="P1018" s="22">
        <f>IF(OR(O1018="",N1018="",N1018="none",N1018="404"),"",IF(N1018="410","Redirect gone "&amp;O1018,"Redirect "&amp;N1018&amp;" "&amp;O1018&amp;" "&amp;M1018))</f>
        <v/>
      </c>
      <c r="Q1018" s="22" t="n"/>
      <c r="R1018" s="22" t="n"/>
      <c r="S1018" s="22" t="n"/>
      <c r="T1018" s="4">
        <f>IF(A1018="","",TRIM(IF(K1018="","Needs decision; ","")&amp;IF(AND(K1018="Accept suggestion",F1018=""),"No suggestion to accept; ","")&amp;IF(AND(K1018="Override",L1018=""),"Override URL missing; ","")&amp;IF(AND(K1018="Accept suggestion",N(G1018)&lt;$G$2),"Below your threshold; ","")&amp;IF(AND(M1018&lt;&gt;"",M1018=A1018,K1018&lt;&gt;"No change (same URL)"),"Redirects to itself; ","")&amp;IF(AND(M1018&lt;&gt;"",OR(M1018="/",AND(LEFT(M1018,4)="http",OR((LEN(M1018)-LEN(SUBSTITUTE(M1018,"/","")))=2,AND((LEN(M1018)-LEN(SUBSTITUTE(M1018,"/","")))=3,RIGHT(M1018,1)="/"))))),"Home page redirect; ","")&amp;IF(N(R1018)&gt;1,"Chain; ","")&amp;IF(S1018="No","Destination not 200; ","")))</f>
        <v/>
      </c>
      <c r="U1018" s="22" t="n"/>
      <c r="V1018" s="22" t="n"/>
      <c r="W1018" s="4" t="n"/>
    </row>
    <row r="1019">
      <c r="A1019" s="22" t="n"/>
      <c r="B1019" s="22" t="n"/>
      <c r="C1019" s="22" t="n"/>
      <c r="D1019" s="22">
        <f>IF(A1019="","",IF(OR(N(B1019)&gt;=$C$2,N(C1019)&gt;=$E$2),"High",IF(OR(N(B1019)&gt;0,N(C1019)&gt;0),"Medium","Low")))</f>
        <v/>
      </c>
      <c r="E1019" s="22" t="n"/>
      <c r="F1019" s="22" t="n"/>
      <c r="G1019" s="22" t="n"/>
      <c r="H1019" s="22" t="n"/>
      <c r="I1019" s="22" t="n"/>
      <c r="J1019" s="22" t="n"/>
      <c r="K1019" s="22" t="n"/>
      <c r="L1019" s="22" t="n"/>
      <c r="M1019" s="22">
        <f>IF(K1019="Override",L1019,IF(K1019="Accept suggestion",F1019,IF(K1019="No change (same URL)",A1019,"")))</f>
        <v/>
      </c>
      <c r="N1019" s="22">
        <f>IF(A1019="","",IF(K1019="410 Gone","410",IF(K1019="404","404",IF(K1019="No change (same URL)","none",IF(M1019="","","301")))))</f>
        <v/>
      </c>
      <c r="O1019" s="22">
        <f>IF(A1019="","",IFERROR(MID(A1019,FIND("/",A1019,FIND("//",A1019)+2),2000),A1019))</f>
        <v/>
      </c>
      <c r="P1019" s="22">
        <f>IF(OR(O1019="",N1019="",N1019="none",N1019="404"),"",IF(N1019="410","Redirect gone "&amp;O1019,"Redirect "&amp;N1019&amp;" "&amp;O1019&amp;" "&amp;M1019))</f>
        <v/>
      </c>
      <c r="Q1019" s="22" t="n"/>
      <c r="R1019" s="22" t="n"/>
      <c r="S1019" s="22" t="n"/>
      <c r="T1019" s="4">
        <f>IF(A1019="","",TRIM(IF(K1019="","Needs decision; ","")&amp;IF(AND(K1019="Accept suggestion",F1019=""),"No suggestion to accept; ","")&amp;IF(AND(K1019="Override",L1019=""),"Override URL missing; ","")&amp;IF(AND(K1019="Accept suggestion",N(G1019)&lt;$G$2),"Below your threshold; ","")&amp;IF(AND(M1019&lt;&gt;"",M1019=A1019,K1019&lt;&gt;"No change (same URL)"),"Redirects to itself; ","")&amp;IF(AND(M1019&lt;&gt;"",OR(M1019="/",AND(LEFT(M1019,4)="http",OR((LEN(M1019)-LEN(SUBSTITUTE(M1019,"/","")))=2,AND((LEN(M1019)-LEN(SUBSTITUTE(M1019,"/","")))=3,RIGHT(M1019,1)="/"))))),"Home page redirect; ","")&amp;IF(N(R1019)&gt;1,"Chain; ","")&amp;IF(S1019="No","Destination not 200; ","")))</f>
        <v/>
      </c>
      <c r="U1019" s="22" t="n"/>
      <c r="V1019" s="22" t="n"/>
      <c r="W1019" s="4" t="n"/>
    </row>
    <row r="1020">
      <c r="A1020" s="22" t="n"/>
      <c r="B1020" s="22" t="n"/>
      <c r="C1020" s="22" t="n"/>
      <c r="D1020" s="22">
        <f>IF(A1020="","",IF(OR(N(B1020)&gt;=$C$2,N(C1020)&gt;=$E$2),"High",IF(OR(N(B1020)&gt;0,N(C1020)&gt;0),"Medium","Low")))</f>
        <v/>
      </c>
      <c r="E1020" s="22" t="n"/>
      <c r="F1020" s="22" t="n"/>
      <c r="G1020" s="22" t="n"/>
      <c r="H1020" s="22" t="n"/>
      <c r="I1020" s="22" t="n"/>
      <c r="J1020" s="22" t="n"/>
      <c r="K1020" s="22" t="n"/>
      <c r="L1020" s="22" t="n"/>
      <c r="M1020" s="22">
        <f>IF(K1020="Override",L1020,IF(K1020="Accept suggestion",F1020,IF(K1020="No change (same URL)",A1020,"")))</f>
        <v/>
      </c>
      <c r="N1020" s="22">
        <f>IF(A1020="","",IF(K1020="410 Gone","410",IF(K1020="404","404",IF(K1020="No change (same URL)","none",IF(M1020="","","301")))))</f>
        <v/>
      </c>
      <c r="O1020" s="22">
        <f>IF(A1020="","",IFERROR(MID(A1020,FIND("/",A1020,FIND("//",A1020)+2),2000),A1020))</f>
        <v/>
      </c>
      <c r="P1020" s="22">
        <f>IF(OR(O1020="",N1020="",N1020="none",N1020="404"),"",IF(N1020="410","Redirect gone "&amp;O1020,"Redirect "&amp;N1020&amp;" "&amp;O1020&amp;" "&amp;M1020))</f>
        <v/>
      </c>
      <c r="Q1020" s="22" t="n"/>
      <c r="R1020" s="22" t="n"/>
      <c r="S1020" s="22" t="n"/>
      <c r="T1020" s="4">
        <f>IF(A1020="","",TRIM(IF(K1020="","Needs decision; ","")&amp;IF(AND(K1020="Accept suggestion",F1020=""),"No suggestion to accept; ","")&amp;IF(AND(K1020="Override",L1020=""),"Override URL missing; ","")&amp;IF(AND(K1020="Accept suggestion",N(G1020)&lt;$G$2),"Below your threshold; ","")&amp;IF(AND(M1020&lt;&gt;"",M1020=A1020,K1020&lt;&gt;"No change (same URL)"),"Redirects to itself; ","")&amp;IF(AND(M1020&lt;&gt;"",OR(M1020="/",AND(LEFT(M1020,4)="http",OR((LEN(M1020)-LEN(SUBSTITUTE(M1020,"/","")))=2,AND((LEN(M1020)-LEN(SUBSTITUTE(M1020,"/","")))=3,RIGHT(M1020,1)="/"))))),"Home page redirect; ","")&amp;IF(N(R1020)&gt;1,"Chain; ","")&amp;IF(S1020="No","Destination not 200; ","")))</f>
        <v/>
      </c>
      <c r="U1020" s="22" t="n"/>
      <c r="V1020" s="22" t="n"/>
      <c r="W1020" s="4" t="n"/>
    </row>
    <row r="1021">
      <c r="A1021" s="22" t="n"/>
      <c r="B1021" s="22" t="n"/>
      <c r="C1021" s="22" t="n"/>
      <c r="D1021" s="22">
        <f>IF(A1021="","",IF(OR(N(B1021)&gt;=$C$2,N(C1021)&gt;=$E$2),"High",IF(OR(N(B1021)&gt;0,N(C1021)&gt;0),"Medium","Low")))</f>
        <v/>
      </c>
      <c r="E1021" s="22" t="n"/>
      <c r="F1021" s="22" t="n"/>
      <c r="G1021" s="22" t="n"/>
      <c r="H1021" s="22" t="n"/>
      <c r="I1021" s="22" t="n"/>
      <c r="J1021" s="22" t="n"/>
      <c r="K1021" s="22" t="n"/>
      <c r="L1021" s="22" t="n"/>
      <c r="M1021" s="22">
        <f>IF(K1021="Override",L1021,IF(K1021="Accept suggestion",F1021,IF(K1021="No change (same URL)",A1021,"")))</f>
        <v/>
      </c>
      <c r="N1021" s="22">
        <f>IF(A1021="","",IF(K1021="410 Gone","410",IF(K1021="404","404",IF(K1021="No change (same URL)","none",IF(M1021="","","301")))))</f>
        <v/>
      </c>
      <c r="O1021" s="22">
        <f>IF(A1021="","",IFERROR(MID(A1021,FIND("/",A1021,FIND("//",A1021)+2),2000),A1021))</f>
        <v/>
      </c>
      <c r="P1021" s="22">
        <f>IF(OR(O1021="",N1021="",N1021="none",N1021="404"),"",IF(N1021="410","Redirect gone "&amp;O1021,"Redirect "&amp;N1021&amp;" "&amp;O1021&amp;" "&amp;M1021))</f>
        <v/>
      </c>
      <c r="Q1021" s="22" t="n"/>
      <c r="R1021" s="22" t="n"/>
      <c r="S1021" s="22" t="n"/>
      <c r="T1021" s="4">
        <f>IF(A1021="","",TRIM(IF(K1021="","Needs decision; ","")&amp;IF(AND(K1021="Accept suggestion",F1021=""),"No suggestion to accept; ","")&amp;IF(AND(K1021="Override",L1021=""),"Override URL missing; ","")&amp;IF(AND(K1021="Accept suggestion",N(G1021)&lt;$G$2),"Below your threshold; ","")&amp;IF(AND(M1021&lt;&gt;"",M1021=A1021,K1021&lt;&gt;"No change (same URL)"),"Redirects to itself; ","")&amp;IF(AND(M1021&lt;&gt;"",OR(M1021="/",AND(LEFT(M1021,4)="http",OR((LEN(M1021)-LEN(SUBSTITUTE(M1021,"/","")))=2,AND((LEN(M1021)-LEN(SUBSTITUTE(M1021,"/","")))=3,RIGHT(M1021,1)="/"))))),"Home page redirect; ","")&amp;IF(N(R1021)&gt;1,"Chain; ","")&amp;IF(S1021="No","Destination not 200; ","")))</f>
        <v/>
      </c>
      <c r="U1021" s="22" t="n"/>
      <c r="V1021" s="22" t="n"/>
      <c r="W1021" s="4" t="n"/>
    </row>
    <row r="1022">
      <c r="A1022" s="22" t="n"/>
      <c r="B1022" s="22" t="n"/>
      <c r="C1022" s="22" t="n"/>
      <c r="D1022" s="22">
        <f>IF(A1022="","",IF(OR(N(B1022)&gt;=$C$2,N(C1022)&gt;=$E$2),"High",IF(OR(N(B1022)&gt;0,N(C1022)&gt;0),"Medium","Low")))</f>
        <v/>
      </c>
      <c r="E1022" s="22" t="n"/>
      <c r="F1022" s="22" t="n"/>
      <c r="G1022" s="22" t="n"/>
      <c r="H1022" s="22" t="n"/>
      <c r="I1022" s="22" t="n"/>
      <c r="J1022" s="22" t="n"/>
      <c r="K1022" s="22" t="n"/>
      <c r="L1022" s="22" t="n"/>
      <c r="M1022" s="22">
        <f>IF(K1022="Override",L1022,IF(K1022="Accept suggestion",F1022,IF(K1022="No change (same URL)",A1022,"")))</f>
        <v/>
      </c>
      <c r="N1022" s="22">
        <f>IF(A1022="","",IF(K1022="410 Gone","410",IF(K1022="404","404",IF(K1022="No change (same URL)","none",IF(M1022="","","301")))))</f>
        <v/>
      </c>
      <c r="O1022" s="22">
        <f>IF(A1022="","",IFERROR(MID(A1022,FIND("/",A1022,FIND("//",A1022)+2),2000),A1022))</f>
        <v/>
      </c>
      <c r="P1022" s="22">
        <f>IF(OR(O1022="",N1022="",N1022="none",N1022="404"),"",IF(N1022="410","Redirect gone "&amp;O1022,"Redirect "&amp;N1022&amp;" "&amp;O1022&amp;" "&amp;M1022))</f>
        <v/>
      </c>
      <c r="Q1022" s="22" t="n"/>
      <c r="R1022" s="22" t="n"/>
      <c r="S1022" s="22" t="n"/>
      <c r="T1022" s="4">
        <f>IF(A1022="","",TRIM(IF(K1022="","Needs decision; ","")&amp;IF(AND(K1022="Accept suggestion",F1022=""),"No suggestion to accept; ","")&amp;IF(AND(K1022="Override",L1022=""),"Override URL missing; ","")&amp;IF(AND(K1022="Accept suggestion",N(G1022)&lt;$G$2),"Below your threshold; ","")&amp;IF(AND(M1022&lt;&gt;"",M1022=A1022,K1022&lt;&gt;"No change (same URL)"),"Redirects to itself; ","")&amp;IF(AND(M1022&lt;&gt;"",OR(M1022="/",AND(LEFT(M1022,4)="http",OR((LEN(M1022)-LEN(SUBSTITUTE(M1022,"/","")))=2,AND((LEN(M1022)-LEN(SUBSTITUTE(M1022,"/","")))=3,RIGHT(M1022,1)="/"))))),"Home page redirect; ","")&amp;IF(N(R1022)&gt;1,"Chain; ","")&amp;IF(S1022="No","Destination not 200; ","")))</f>
        <v/>
      </c>
      <c r="U1022" s="22" t="n"/>
      <c r="V1022" s="22" t="n"/>
      <c r="W1022" s="4" t="n"/>
    </row>
    <row r="1023">
      <c r="A1023" s="22" t="n"/>
      <c r="B1023" s="22" t="n"/>
      <c r="C1023" s="22" t="n"/>
      <c r="D1023" s="22">
        <f>IF(A1023="","",IF(OR(N(B1023)&gt;=$C$2,N(C1023)&gt;=$E$2),"High",IF(OR(N(B1023)&gt;0,N(C1023)&gt;0),"Medium","Low")))</f>
        <v/>
      </c>
      <c r="E1023" s="22" t="n"/>
      <c r="F1023" s="22" t="n"/>
      <c r="G1023" s="22" t="n"/>
      <c r="H1023" s="22" t="n"/>
      <c r="I1023" s="22" t="n"/>
      <c r="J1023" s="22" t="n"/>
      <c r="K1023" s="22" t="n"/>
      <c r="L1023" s="22" t="n"/>
      <c r="M1023" s="22">
        <f>IF(K1023="Override",L1023,IF(K1023="Accept suggestion",F1023,IF(K1023="No change (same URL)",A1023,"")))</f>
        <v/>
      </c>
      <c r="N1023" s="22">
        <f>IF(A1023="","",IF(K1023="410 Gone","410",IF(K1023="404","404",IF(K1023="No change (same URL)","none",IF(M1023="","","301")))))</f>
        <v/>
      </c>
      <c r="O1023" s="22">
        <f>IF(A1023="","",IFERROR(MID(A1023,FIND("/",A1023,FIND("//",A1023)+2),2000),A1023))</f>
        <v/>
      </c>
      <c r="P1023" s="22">
        <f>IF(OR(O1023="",N1023="",N1023="none",N1023="404"),"",IF(N1023="410","Redirect gone "&amp;O1023,"Redirect "&amp;N1023&amp;" "&amp;O1023&amp;" "&amp;M1023))</f>
        <v/>
      </c>
      <c r="Q1023" s="22" t="n"/>
      <c r="R1023" s="22" t="n"/>
      <c r="S1023" s="22" t="n"/>
      <c r="T1023" s="4">
        <f>IF(A1023="","",TRIM(IF(K1023="","Needs decision; ","")&amp;IF(AND(K1023="Accept suggestion",F1023=""),"No suggestion to accept; ","")&amp;IF(AND(K1023="Override",L1023=""),"Override URL missing; ","")&amp;IF(AND(K1023="Accept suggestion",N(G1023)&lt;$G$2),"Below your threshold; ","")&amp;IF(AND(M1023&lt;&gt;"",M1023=A1023,K1023&lt;&gt;"No change (same URL)"),"Redirects to itself; ","")&amp;IF(AND(M1023&lt;&gt;"",OR(M1023="/",AND(LEFT(M1023,4)="http",OR((LEN(M1023)-LEN(SUBSTITUTE(M1023,"/","")))=2,AND((LEN(M1023)-LEN(SUBSTITUTE(M1023,"/","")))=3,RIGHT(M1023,1)="/"))))),"Home page redirect; ","")&amp;IF(N(R1023)&gt;1,"Chain; ","")&amp;IF(S1023="No","Destination not 200; ","")))</f>
        <v/>
      </c>
      <c r="U1023" s="22" t="n"/>
      <c r="V1023" s="22" t="n"/>
      <c r="W1023" s="4" t="n"/>
    </row>
    <row r="1024">
      <c r="A1024" s="22" t="n"/>
      <c r="B1024" s="22" t="n"/>
      <c r="C1024" s="22" t="n"/>
      <c r="D1024" s="22">
        <f>IF(A1024="","",IF(OR(N(B1024)&gt;=$C$2,N(C1024)&gt;=$E$2),"High",IF(OR(N(B1024)&gt;0,N(C1024)&gt;0),"Medium","Low")))</f>
        <v/>
      </c>
      <c r="E1024" s="22" t="n"/>
      <c r="F1024" s="22" t="n"/>
      <c r="G1024" s="22" t="n"/>
      <c r="H1024" s="22" t="n"/>
      <c r="I1024" s="22" t="n"/>
      <c r="J1024" s="22" t="n"/>
      <c r="K1024" s="22" t="n"/>
      <c r="L1024" s="22" t="n"/>
      <c r="M1024" s="22">
        <f>IF(K1024="Override",L1024,IF(K1024="Accept suggestion",F1024,IF(K1024="No change (same URL)",A1024,"")))</f>
        <v/>
      </c>
      <c r="N1024" s="22">
        <f>IF(A1024="","",IF(K1024="410 Gone","410",IF(K1024="404","404",IF(K1024="No change (same URL)","none",IF(M1024="","","301")))))</f>
        <v/>
      </c>
      <c r="O1024" s="22">
        <f>IF(A1024="","",IFERROR(MID(A1024,FIND("/",A1024,FIND("//",A1024)+2),2000),A1024))</f>
        <v/>
      </c>
      <c r="P1024" s="22">
        <f>IF(OR(O1024="",N1024="",N1024="none",N1024="404"),"",IF(N1024="410","Redirect gone "&amp;O1024,"Redirect "&amp;N1024&amp;" "&amp;O1024&amp;" "&amp;M1024))</f>
        <v/>
      </c>
      <c r="Q1024" s="22" t="n"/>
      <c r="R1024" s="22" t="n"/>
      <c r="S1024" s="22" t="n"/>
      <c r="T1024" s="4">
        <f>IF(A1024="","",TRIM(IF(K1024="","Needs decision; ","")&amp;IF(AND(K1024="Accept suggestion",F1024=""),"No suggestion to accept; ","")&amp;IF(AND(K1024="Override",L1024=""),"Override URL missing; ","")&amp;IF(AND(K1024="Accept suggestion",N(G1024)&lt;$G$2),"Below your threshold; ","")&amp;IF(AND(M1024&lt;&gt;"",M1024=A1024,K1024&lt;&gt;"No change (same URL)"),"Redirects to itself; ","")&amp;IF(AND(M1024&lt;&gt;"",OR(M1024="/",AND(LEFT(M1024,4)="http",OR((LEN(M1024)-LEN(SUBSTITUTE(M1024,"/","")))=2,AND((LEN(M1024)-LEN(SUBSTITUTE(M1024,"/","")))=3,RIGHT(M1024,1)="/"))))),"Home page redirect; ","")&amp;IF(N(R1024)&gt;1,"Chain; ","")&amp;IF(S1024="No","Destination not 200; ","")))</f>
        <v/>
      </c>
      <c r="U1024" s="22" t="n"/>
      <c r="V1024" s="22" t="n"/>
      <c r="W1024" s="4" t="n"/>
    </row>
    <row r="1025">
      <c r="A1025" s="22" t="n"/>
      <c r="B1025" s="22" t="n"/>
      <c r="C1025" s="22" t="n"/>
      <c r="D1025" s="22">
        <f>IF(A1025="","",IF(OR(N(B1025)&gt;=$C$2,N(C1025)&gt;=$E$2),"High",IF(OR(N(B1025)&gt;0,N(C1025)&gt;0),"Medium","Low")))</f>
        <v/>
      </c>
      <c r="E1025" s="22" t="n"/>
      <c r="F1025" s="22" t="n"/>
      <c r="G1025" s="22" t="n"/>
      <c r="H1025" s="22" t="n"/>
      <c r="I1025" s="22" t="n"/>
      <c r="J1025" s="22" t="n"/>
      <c r="K1025" s="22" t="n"/>
      <c r="L1025" s="22" t="n"/>
      <c r="M1025" s="22">
        <f>IF(K1025="Override",L1025,IF(K1025="Accept suggestion",F1025,IF(K1025="No change (same URL)",A1025,"")))</f>
        <v/>
      </c>
      <c r="N1025" s="22">
        <f>IF(A1025="","",IF(K1025="410 Gone","410",IF(K1025="404","404",IF(K1025="No change (same URL)","none",IF(M1025="","","301")))))</f>
        <v/>
      </c>
      <c r="O1025" s="22">
        <f>IF(A1025="","",IFERROR(MID(A1025,FIND("/",A1025,FIND("//",A1025)+2),2000),A1025))</f>
        <v/>
      </c>
      <c r="P1025" s="22">
        <f>IF(OR(O1025="",N1025="",N1025="none",N1025="404"),"",IF(N1025="410","Redirect gone "&amp;O1025,"Redirect "&amp;N1025&amp;" "&amp;O1025&amp;" "&amp;M1025))</f>
        <v/>
      </c>
      <c r="Q1025" s="22" t="n"/>
      <c r="R1025" s="22" t="n"/>
      <c r="S1025" s="22" t="n"/>
      <c r="T1025" s="4">
        <f>IF(A1025="","",TRIM(IF(K1025="","Needs decision; ","")&amp;IF(AND(K1025="Accept suggestion",F1025=""),"No suggestion to accept; ","")&amp;IF(AND(K1025="Override",L1025=""),"Override URL missing; ","")&amp;IF(AND(K1025="Accept suggestion",N(G1025)&lt;$G$2),"Below your threshold; ","")&amp;IF(AND(M1025&lt;&gt;"",M1025=A1025,K1025&lt;&gt;"No change (same URL)"),"Redirects to itself; ","")&amp;IF(AND(M1025&lt;&gt;"",OR(M1025="/",AND(LEFT(M1025,4)="http",OR((LEN(M1025)-LEN(SUBSTITUTE(M1025,"/","")))=2,AND((LEN(M1025)-LEN(SUBSTITUTE(M1025,"/","")))=3,RIGHT(M1025,1)="/"))))),"Home page redirect; ","")&amp;IF(N(R1025)&gt;1,"Chain; ","")&amp;IF(S1025="No","Destination not 200; ","")))</f>
        <v/>
      </c>
      <c r="U1025" s="22" t="n"/>
      <c r="V1025" s="22" t="n"/>
      <c r="W1025" s="4" t="n"/>
    </row>
    <row r="1026">
      <c r="A1026" s="22" t="n"/>
      <c r="B1026" s="22" t="n"/>
      <c r="C1026" s="22" t="n"/>
      <c r="D1026" s="22">
        <f>IF(A1026="","",IF(OR(N(B1026)&gt;=$C$2,N(C1026)&gt;=$E$2),"High",IF(OR(N(B1026)&gt;0,N(C1026)&gt;0),"Medium","Low")))</f>
        <v/>
      </c>
      <c r="E1026" s="22" t="n"/>
      <c r="F1026" s="22" t="n"/>
      <c r="G1026" s="22" t="n"/>
      <c r="H1026" s="22" t="n"/>
      <c r="I1026" s="22" t="n"/>
      <c r="J1026" s="22" t="n"/>
      <c r="K1026" s="22" t="n"/>
      <c r="L1026" s="22" t="n"/>
      <c r="M1026" s="22">
        <f>IF(K1026="Override",L1026,IF(K1026="Accept suggestion",F1026,IF(K1026="No change (same URL)",A1026,"")))</f>
        <v/>
      </c>
      <c r="N1026" s="22">
        <f>IF(A1026="","",IF(K1026="410 Gone","410",IF(K1026="404","404",IF(K1026="No change (same URL)","none",IF(M1026="","","301")))))</f>
        <v/>
      </c>
      <c r="O1026" s="22">
        <f>IF(A1026="","",IFERROR(MID(A1026,FIND("/",A1026,FIND("//",A1026)+2),2000),A1026))</f>
        <v/>
      </c>
      <c r="P1026" s="22">
        <f>IF(OR(O1026="",N1026="",N1026="none",N1026="404"),"",IF(N1026="410","Redirect gone "&amp;O1026,"Redirect "&amp;N1026&amp;" "&amp;O1026&amp;" "&amp;M1026))</f>
        <v/>
      </c>
      <c r="Q1026" s="22" t="n"/>
      <c r="R1026" s="22" t="n"/>
      <c r="S1026" s="22" t="n"/>
      <c r="T1026" s="4">
        <f>IF(A1026="","",TRIM(IF(K1026="","Needs decision; ","")&amp;IF(AND(K1026="Accept suggestion",F1026=""),"No suggestion to accept; ","")&amp;IF(AND(K1026="Override",L1026=""),"Override URL missing; ","")&amp;IF(AND(K1026="Accept suggestion",N(G1026)&lt;$G$2),"Below your threshold; ","")&amp;IF(AND(M1026&lt;&gt;"",M1026=A1026,K1026&lt;&gt;"No change (same URL)"),"Redirects to itself; ","")&amp;IF(AND(M1026&lt;&gt;"",OR(M1026="/",AND(LEFT(M1026,4)="http",OR((LEN(M1026)-LEN(SUBSTITUTE(M1026,"/","")))=2,AND((LEN(M1026)-LEN(SUBSTITUTE(M1026,"/","")))=3,RIGHT(M1026,1)="/"))))),"Home page redirect; ","")&amp;IF(N(R1026)&gt;1,"Chain; ","")&amp;IF(S1026="No","Destination not 200; ","")))</f>
        <v/>
      </c>
      <c r="U1026" s="22" t="n"/>
      <c r="V1026" s="22" t="n"/>
      <c r="W1026" s="4" t="n"/>
    </row>
    <row r="1027">
      <c r="A1027" s="22" t="n"/>
      <c r="B1027" s="22" t="n"/>
      <c r="C1027" s="22" t="n"/>
      <c r="D1027" s="22">
        <f>IF(A1027="","",IF(OR(N(B1027)&gt;=$C$2,N(C1027)&gt;=$E$2),"High",IF(OR(N(B1027)&gt;0,N(C1027)&gt;0),"Medium","Low")))</f>
        <v/>
      </c>
      <c r="E1027" s="22" t="n"/>
      <c r="F1027" s="22" t="n"/>
      <c r="G1027" s="22" t="n"/>
      <c r="H1027" s="22" t="n"/>
      <c r="I1027" s="22" t="n"/>
      <c r="J1027" s="22" t="n"/>
      <c r="K1027" s="22" t="n"/>
      <c r="L1027" s="22" t="n"/>
      <c r="M1027" s="22">
        <f>IF(K1027="Override",L1027,IF(K1027="Accept suggestion",F1027,IF(K1027="No change (same URL)",A1027,"")))</f>
        <v/>
      </c>
      <c r="N1027" s="22">
        <f>IF(A1027="","",IF(K1027="410 Gone","410",IF(K1027="404","404",IF(K1027="No change (same URL)","none",IF(M1027="","","301")))))</f>
        <v/>
      </c>
      <c r="O1027" s="22">
        <f>IF(A1027="","",IFERROR(MID(A1027,FIND("/",A1027,FIND("//",A1027)+2),2000),A1027))</f>
        <v/>
      </c>
      <c r="P1027" s="22">
        <f>IF(OR(O1027="",N1027="",N1027="none",N1027="404"),"",IF(N1027="410","Redirect gone "&amp;O1027,"Redirect "&amp;N1027&amp;" "&amp;O1027&amp;" "&amp;M1027))</f>
        <v/>
      </c>
      <c r="Q1027" s="22" t="n"/>
      <c r="R1027" s="22" t="n"/>
      <c r="S1027" s="22" t="n"/>
      <c r="T1027" s="4">
        <f>IF(A1027="","",TRIM(IF(K1027="","Needs decision; ","")&amp;IF(AND(K1027="Accept suggestion",F1027=""),"No suggestion to accept; ","")&amp;IF(AND(K1027="Override",L1027=""),"Override URL missing; ","")&amp;IF(AND(K1027="Accept suggestion",N(G1027)&lt;$G$2),"Below your threshold; ","")&amp;IF(AND(M1027&lt;&gt;"",M1027=A1027,K1027&lt;&gt;"No change (same URL)"),"Redirects to itself; ","")&amp;IF(AND(M1027&lt;&gt;"",OR(M1027="/",AND(LEFT(M1027,4)="http",OR((LEN(M1027)-LEN(SUBSTITUTE(M1027,"/","")))=2,AND((LEN(M1027)-LEN(SUBSTITUTE(M1027,"/","")))=3,RIGHT(M1027,1)="/"))))),"Home page redirect; ","")&amp;IF(N(R1027)&gt;1,"Chain; ","")&amp;IF(S1027="No","Destination not 200; ","")))</f>
        <v/>
      </c>
      <c r="U1027" s="22" t="n"/>
      <c r="V1027" s="22" t="n"/>
      <c r="W1027" s="4" t="n"/>
    </row>
    <row r="1028">
      <c r="A1028" s="22" t="n"/>
      <c r="B1028" s="22" t="n"/>
      <c r="C1028" s="22" t="n"/>
      <c r="D1028" s="22">
        <f>IF(A1028="","",IF(OR(N(B1028)&gt;=$C$2,N(C1028)&gt;=$E$2),"High",IF(OR(N(B1028)&gt;0,N(C1028)&gt;0),"Medium","Low")))</f>
        <v/>
      </c>
      <c r="E1028" s="22" t="n"/>
      <c r="F1028" s="22" t="n"/>
      <c r="G1028" s="22" t="n"/>
      <c r="H1028" s="22" t="n"/>
      <c r="I1028" s="22" t="n"/>
      <c r="J1028" s="22" t="n"/>
      <c r="K1028" s="22" t="n"/>
      <c r="L1028" s="22" t="n"/>
      <c r="M1028" s="22">
        <f>IF(K1028="Override",L1028,IF(K1028="Accept suggestion",F1028,IF(K1028="No change (same URL)",A1028,"")))</f>
        <v/>
      </c>
      <c r="N1028" s="22">
        <f>IF(A1028="","",IF(K1028="410 Gone","410",IF(K1028="404","404",IF(K1028="No change (same URL)","none",IF(M1028="","","301")))))</f>
        <v/>
      </c>
      <c r="O1028" s="22">
        <f>IF(A1028="","",IFERROR(MID(A1028,FIND("/",A1028,FIND("//",A1028)+2),2000),A1028))</f>
        <v/>
      </c>
      <c r="P1028" s="22">
        <f>IF(OR(O1028="",N1028="",N1028="none",N1028="404"),"",IF(N1028="410","Redirect gone "&amp;O1028,"Redirect "&amp;N1028&amp;" "&amp;O1028&amp;" "&amp;M1028))</f>
        <v/>
      </c>
      <c r="Q1028" s="22" t="n"/>
      <c r="R1028" s="22" t="n"/>
      <c r="S1028" s="22" t="n"/>
      <c r="T1028" s="4">
        <f>IF(A1028="","",TRIM(IF(K1028="","Needs decision; ","")&amp;IF(AND(K1028="Accept suggestion",F1028=""),"No suggestion to accept; ","")&amp;IF(AND(K1028="Override",L1028=""),"Override URL missing; ","")&amp;IF(AND(K1028="Accept suggestion",N(G1028)&lt;$G$2),"Below your threshold; ","")&amp;IF(AND(M1028&lt;&gt;"",M1028=A1028,K1028&lt;&gt;"No change (same URL)"),"Redirects to itself; ","")&amp;IF(AND(M1028&lt;&gt;"",OR(M1028="/",AND(LEFT(M1028,4)="http",OR((LEN(M1028)-LEN(SUBSTITUTE(M1028,"/","")))=2,AND((LEN(M1028)-LEN(SUBSTITUTE(M1028,"/","")))=3,RIGHT(M1028,1)="/"))))),"Home page redirect; ","")&amp;IF(N(R1028)&gt;1,"Chain; ","")&amp;IF(S1028="No","Destination not 200; ","")))</f>
        <v/>
      </c>
      <c r="U1028" s="22" t="n"/>
      <c r="V1028" s="22" t="n"/>
      <c r="W1028" s="4" t="n"/>
    </row>
    <row r="1029">
      <c r="A1029" s="22" t="n"/>
      <c r="B1029" s="22" t="n"/>
      <c r="C1029" s="22" t="n"/>
      <c r="D1029" s="22">
        <f>IF(A1029="","",IF(OR(N(B1029)&gt;=$C$2,N(C1029)&gt;=$E$2),"High",IF(OR(N(B1029)&gt;0,N(C1029)&gt;0),"Medium","Low")))</f>
        <v/>
      </c>
      <c r="E1029" s="22" t="n"/>
      <c r="F1029" s="22" t="n"/>
      <c r="G1029" s="22" t="n"/>
      <c r="H1029" s="22" t="n"/>
      <c r="I1029" s="22" t="n"/>
      <c r="J1029" s="22" t="n"/>
      <c r="K1029" s="22" t="n"/>
      <c r="L1029" s="22" t="n"/>
      <c r="M1029" s="22">
        <f>IF(K1029="Override",L1029,IF(K1029="Accept suggestion",F1029,IF(K1029="No change (same URL)",A1029,"")))</f>
        <v/>
      </c>
      <c r="N1029" s="22">
        <f>IF(A1029="","",IF(K1029="410 Gone","410",IF(K1029="404","404",IF(K1029="No change (same URL)","none",IF(M1029="","","301")))))</f>
        <v/>
      </c>
      <c r="O1029" s="22">
        <f>IF(A1029="","",IFERROR(MID(A1029,FIND("/",A1029,FIND("//",A1029)+2),2000),A1029))</f>
        <v/>
      </c>
      <c r="P1029" s="22">
        <f>IF(OR(O1029="",N1029="",N1029="none",N1029="404"),"",IF(N1029="410","Redirect gone "&amp;O1029,"Redirect "&amp;N1029&amp;" "&amp;O1029&amp;" "&amp;M1029))</f>
        <v/>
      </c>
      <c r="Q1029" s="22" t="n"/>
      <c r="R1029" s="22" t="n"/>
      <c r="S1029" s="22" t="n"/>
      <c r="T1029" s="4">
        <f>IF(A1029="","",TRIM(IF(K1029="","Needs decision; ","")&amp;IF(AND(K1029="Accept suggestion",F1029=""),"No suggestion to accept; ","")&amp;IF(AND(K1029="Override",L1029=""),"Override URL missing; ","")&amp;IF(AND(K1029="Accept suggestion",N(G1029)&lt;$G$2),"Below your threshold; ","")&amp;IF(AND(M1029&lt;&gt;"",M1029=A1029,K1029&lt;&gt;"No change (same URL)"),"Redirects to itself; ","")&amp;IF(AND(M1029&lt;&gt;"",OR(M1029="/",AND(LEFT(M1029,4)="http",OR((LEN(M1029)-LEN(SUBSTITUTE(M1029,"/","")))=2,AND((LEN(M1029)-LEN(SUBSTITUTE(M1029,"/","")))=3,RIGHT(M1029,1)="/"))))),"Home page redirect; ","")&amp;IF(N(R1029)&gt;1,"Chain; ","")&amp;IF(S1029="No","Destination not 200; ","")))</f>
        <v/>
      </c>
      <c r="U1029" s="22" t="n"/>
      <c r="V1029" s="22" t="n"/>
      <c r="W1029" s="4" t="n"/>
    </row>
    <row r="1030">
      <c r="A1030" s="22" t="n"/>
      <c r="B1030" s="22" t="n"/>
      <c r="C1030" s="22" t="n"/>
      <c r="D1030" s="22">
        <f>IF(A1030="","",IF(OR(N(B1030)&gt;=$C$2,N(C1030)&gt;=$E$2),"High",IF(OR(N(B1030)&gt;0,N(C1030)&gt;0),"Medium","Low")))</f>
        <v/>
      </c>
      <c r="E1030" s="22" t="n"/>
      <c r="F1030" s="22" t="n"/>
      <c r="G1030" s="22" t="n"/>
      <c r="H1030" s="22" t="n"/>
      <c r="I1030" s="22" t="n"/>
      <c r="J1030" s="22" t="n"/>
      <c r="K1030" s="22" t="n"/>
      <c r="L1030" s="22" t="n"/>
      <c r="M1030" s="22">
        <f>IF(K1030="Override",L1030,IF(K1030="Accept suggestion",F1030,IF(K1030="No change (same URL)",A1030,"")))</f>
        <v/>
      </c>
      <c r="N1030" s="22">
        <f>IF(A1030="","",IF(K1030="410 Gone","410",IF(K1030="404","404",IF(K1030="No change (same URL)","none",IF(M1030="","","301")))))</f>
        <v/>
      </c>
      <c r="O1030" s="22">
        <f>IF(A1030="","",IFERROR(MID(A1030,FIND("/",A1030,FIND("//",A1030)+2),2000),A1030))</f>
        <v/>
      </c>
      <c r="P1030" s="22">
        <f>IF(OR(O1030="",N1030="",N1030="none",N1030="404"),"",IF(N1030="410","Redirect gone "&amp;O1030,"Redirect "&amp;N1030&amp;" "&amp;O1030&amp;" "&amp;M1030))</f>
        <v/>
      </c>
      <c r="Q1030" s="22" t="n"/>
      <c r="R1030" s="22" t="n"/>
      <c r="S1030" s="22" t="n"/>
      <c r="T1030" s="4">
        <f>IF(A1030="","",TRIM(IF(K1030="","Needs decision; ","")&amp;IF(AND(K1030="Accept suggestion",F1030=""),"No suggestion to accept; ","")&amp;IF(AND(K1030="Override",L1030=""),"Override URL missing; ","")&amp;IF(AND(K1030="Accept suggestion",N(G1030)&lt;$G$2),"Below your threshold; ","")&amp;IF(AND(M1030&lt;&gt;"",M1030=A1030,K1030&lt;&gt;"No change (same URL)"),"Redirects to itself; ","")&amp;IF(AND(M1030&lt;&gt;"",OR(M1030="/",AND(LEFT(M1030,4)="http",OR((LEN(M1030)-LEN(SUBSTITUTE(M1030,"/","")))=2,AND((LEN(M1030)-LEN(SUBSTITUTE(M1030,"/","")))=3,RIGHT(M1030,1)="/"))))),"Home page redirect; ","")&amp;IF(N(R1030)&gt;1,"Chain; ","")&amp;IF(S1030="No","Destination not 200; ","")))</f>
        <v/>
      </c>
      <c r="U1030" s="22" t="n"/>
      <c r="V1030" s="22" t="n"/>
      <c r="W1030" s="4" t="n"/>
    </row>
    <row r="1031">
      <c r="A1031" s="22" t="n"/>
      <c r="B1031" s="22" t="n"/>
      <c r="C1031" s="22" t="n"/>
      <c r="D1031" s="22">
        <f>IF(A1031="","",IF(OR(N(B1031)&gt;=$C$2,N(C1031)&gt;=$E$2),"High",IF(OR(N(B1031)&gt;0,N(C1031)&gt;0),"Medium","Low")))</f>
        <v/>
      </c>
      <c r="E1031" s="22" t="n"/>
      <c r="F1031" s="22" t="n"/>
      <c r="G1031" s="22" t="n"/>
      <c r="H1031" s="22" t="n"/>
      <c r="I1031" s="22" t="n"/>
      <c r="J1031" s="22" t="n"/>
      <c r="K1031" s="22" t="n"/>
      <c r="L1031" s="22" t="n"/>
      <c r="M1031" s="22">
        <f>IF(K1031="Override",L1031,IF(K1031="Accept suggestion",F1031,IF(K1031="No change (same URL)",A1031,"")))</f>
        <v/>
      </c>
      <c r="N1031" s="22">
        <f>IF(A1031="","",IF(K1031="410 Gone","410",IF(K1031="404","404",IF(K1031="No change (same URL)","none",IF(M1031="","","301")))))</f>
        <v/>
      </c>
      <c r="O1031" s="22">
        <f>IF(A1031="","",IFERROR(MID(A1031,FIND("/",A1031,FIND("//",A1031)+2),2000),A1031))</f>
        <v/>
      </c>
      <c r="P1031" s="22">
        <f>IF(OR(O1031="",N1031="",N1031="none",N1031="404"),"",IF(N1031="410","Redirect gone "&amp;O1031,"Redirect "&amp;N1031&amp;" "&amp;O1031&amp;" "&amp;M1031))</f>
        <v/>
      </c>
      <c r="Q1031" s="22" t="n"/>
      <c r="R1031" s="22" t="n"/>
      <c r="S1031" s="22" t="n"/>
      <c r="T1031" s="4">
        <f>IF(A1031="","",TRIM(IF(K1031="","Needs decision; ","")&amp;IF(AND(K1031="Accept suggestion",F1031=""),"No suggestion to accept; ","")&amp;IF(AND(K1031="Override",L1031=""),"Override URL missing; ","")&amp;IF(AND(K1031="Accept suggestion",N(G1031)&lt;$G$2),"Below your threshold; ","")&amp;IF(AND(M1031&lt;&gt;"",M1031=A1031,K1031&lt;&gt;"No change (same URL)"),"Redirects to itself; ","")&amp;IF(AND(M1031&lt;&gt;"",OR(M1031="/",AND(LEFT(M1031,4)="http",OR((LEN(M1031)-LEN(SUBSTITUTE(M1031,"/","")))=2,AND((LEN(M1031)-LEN(SUBSTITUTE(M1031,"/","")))=3,RIGHT(M1031,1)="/"))))),"Home page redirect; ","")&amp;IF(N(R1031)&gt;1,"Chain; ","")&amp;IF(S1031="No","Destination not 200; ","")))</f>
        <v/>
      </c>
      <c r="U1031" s="22" t="n"/>
      <c r="V1031" s="22" t="n"/>
      <c r="W1031" s="4" t="n"/>
    </row>
    <row r="1032">
      <c r="A1032" s="22" t="n"/>
      <c r="B1032" s="22" t="n"/>
      <c r="C1032" s="22" t="n"/>
      <c r="D1032" s="22">
        <f>IF(A1032="","",IF(OR(N(B1032)&gt;=$C$2,N(C1032)&gt;=$E$2),"High",IF(OR(N(B1032)&gt;0,N(C1032)&gt;0),"Medium","Low")))</f>
        <v/>
      </c>
      <c r="E1032" s="22" t="n"/>
      <c r="F1032" s="22" t="n"/>
      <c r="G1032" s="22" t="n"/>
      <c r="H1032" s="22" t="n"/>
      <c r="I1032" s="22" t="n"/>
      <c r="J1032" s="22" t="n"/>
      <c r="K1032" s="22" t="n"/>
      <c r="L1032" s="22" t="n"/>
      <c r="M1032" s="22">
        <f>IF(K1032="Override",L1032,IF(K1032="Accept suggestion",F1032,IF(K1032="No change (same URL)",A1032,"")))</f>
        <v/>
      </c>
      <c r="N1032" s="22">
        <f>IF(A1032="","",IF(K1032="410 Gone","410",IF(K1032="404","404",IF(K1032="No change (same URL)","none",IF(M1032="","","301")))))</f>
        <v/>
      </c>
      <c r="O1032" s="22">
        <f>IF(A1032="","",IFERROR(MID(A1032,FIND("/",A1032,FIND("//",A1032)+2),2000),A1032))</f>
        <v/>
      </c>
      <c r="P1032" s="22">
        <f>IF(OR(O1032="",N1032="",N1032="none",N1032="404"),"",IF(N1032="410","Redirect gone "&amp;O1032,"Redirect "&amp;N1032&amp;" "&amp;O1032&amp;" "&amp;M1032))</f>
        <v/>
      </c>
      <c r="Q1032" s="22" t="n"/>
      <c r="R1032" s="22" t="n"/>
      <c r="S1032" s="22" t="n"/>
      <c r="T1032" s="4">
        <f>IF(A1032="","",TRIM(IF(K1032="","Needs decision; ","")&amp;IF(AND(K1032="Accept suggestion",F1032=""),"No suggestion to accept; ","")&amp;IF(AND(K1032="Override",L1032=""),"Override URL missing; ","")&amp;IF(AND(K1032="Accept suggestion",N(G1032)&lt;$G$2),"Below your threshold; ","")&amp;IF(AND(M1032&lt;&gt;"",M1032=A1032,K1032&lt;&gt;"No change (same URL)"),"Redirects to itself; ","")&amp;IF(AND(M1032&lt;&gt;"",OR(M1032="/",AND(LEFT(M1032,4)="http",OR((LEN(M1032)-LEN(SUBSTITUTE(M1032,"/","")))=2,AND((LEN(M1032)-LEN(SUBSTITUTE(M1032,"/","")))=3,RIGHT(M1032,1)="/"))))),"Home page redirect; ","")&amp;IF(N(R1032)&gt;1,"Chain; ","")&amp;IF(S1032="No","Destination not 200; ","")))</f>
        <v/>
      </c>
      <c r="U1032" s="22" t="n"/>
      <c r="V1032" s="22" t="n"/>
      <c r="W1032" s="4" t="n"/>
    </row>
    <row r="1033">
      <c r="A1033" s="22" t="n"/>
      <c r="B1033" s="22" t="n"/>
      <c r="C1033" s="22" t="n"/>
      <c r="D1033" s="22">
        <f>IF(A1033="","",IF(OR(N(B1033)&gt;=$C$2,N(C1033)&gt;=$E$2),"High",IF(OR(N(B1033)&gt;0,N(C1033)&gt;0),"Medium","Low")))</f>
        <v/>
      </c>
      <c r="E1033" s="22" t="n"/>
      <c r="F1033" s="22" t="n"/>
      <c r="G1033" s="22" t="n"/>
      <c r="H1033" s="22" t="n"/>
      <c r="I1033" s="22" t="n"/>
      <c r="J1033" s="22" t="n"/>
      <c r="K1033" s="22" t="n"/>
      <c r="L1033" s="22" t="n"/>
      <c r="M1033" s="22">
        <f>IF(K1033="Override",L1033,IF(K1033="Accept suggestion",F1033,IF(K1033="No change (same URL)",A1033,"")))</f>
        <v/>
      </c>
      <c r="N1033" s="22">
        <f>IF(A1033="","",IF(K1033="410 Gone","410",IF(K1033="404","404",IF(K1033="No change (same URL)","none",IF(M1033="","","301")))))</f>
        <v/>
      </c>
      <c r="O1033" s="22">
        <f>IF(A1033="","",IFERROR(MID(A1033,FIND("/",A1033,FIND("//",A1033)+2),2000),A1033))</f>
        <v/>
      </c>
      <c r="P1033" s="22">
        <f>IF(OR(O1033="",N1033="",N1033="none",N1033="404"),"",IF(N1033="410","Redirect gone "&amp;O1033,"Redirect "&amp;N1033&amp;" "&amp;O1033&amp;" "&amp;M1033))</f>
        <v/>
      </c>
      <c r="Q1033" s="22" t="n"/>
      <c r="R1033" s="22" t="n"/>
      <c r="S1033" s="22" t="n"/>
      <c r="T1033" s="4">
        <f>IF(A1033="","",TRIM(IF(K1033="","Needs decision; ","")&amp;IF(AND(K1033="Accept suggestion",F1033=""),"No suggestion to accept; ","")&amp;IF(AND(K1033="Override",L1033=""),"Override URL missing; ","")&amp;IF(AND(K1033="Accept suggestion",N(G1033)&lt;$G$2),"Below your threshold; ","")&amp;IF(AND(M1033&lt;&gt;"",M1033=A1033,K1033&lt;&gt;"No change (same URL)"),"Redirects to itself; ","")&amp;IF(AND(M1033&lt;&gt;"",OR(M1033="/",AND(LEFT(M1033,4)="http",OR((LEN(M1033)-LEN(SUBSTITUTE(M1033,"/","")))=2,AND((LEN(M1033)-LEN(SUBSTITUTE(M1033,"/","")))=3,RIGHT(M1033,1)="/"))))),"Home page redirect; ","")&amp;IF(N(R1033)&gt;1,"Chain; ","")&amp;IF(S1033="No","Destination not 200; ","")))</f>
        <v/>
      </c>
      <c r="U1033" s="22" t="n"/>
      <c r="V1033" s="22" t="n"/>
      <c r="W1033" s="4" t="n"/>
    </row>
    <row r="1034">
      <c r="A1034" s="22" t="n"/>
      <c r="B1034" s="22" t="n"/>
      <c r="C1034" s="22" t="n"/>
      <c r="D1034" s="22">
        <f>IF(A1034="","",IF(OR(N(B1034)&gt;=$C$2,N(C1034)&gt;=$E$2),"High",IF(OR(N(B1034)&gt;0,N(C1034)&gt;0),"Medium","Low")))</f>
        <v/>
      </c>
      <c r="E1034" s="22" t="n"/>
      <c r="F1034" s="22" t="n"/>
      <c r="G1034" s="22" t="n"/>
      <c r="H1034" s="22" t="n"/>
      <c r="I1034" s="22" t="n"/>
      <c r="J1034" s="22" t="n"/>
      <c r="K1034" s="22" t="n"/>
      <c r="L1034" s="22" t="n"/>
      <c r="M1034" s="22">
        <f>IF(K1034="Override",L1034,IF(K1034="Accept suggestion",F1034,IF(K1034="No change (same URL)",A1034,"")))</f>
        <v/>
      </c>
      <c r="N1034" s="22">
        <f>IF(A1034="","",IF(K1034="410 Gone","410",IF(K1034="404","404",IF(K1034="No change (same URL)","none",IF(M1034="","","301")))))</f>
        <v/>
      </c>
      <c r="O1034" s="22">
        <f>IF(A1034="","",IFERROR(MID(A1034,FIND("/",A1034,FIND("//",A1034)+2),2000),A1034))</f>
        <v/>
      </c>
      <c r="P1034" s="22">
        <f>IF(OR(O1034="",N1034="",N1034="none",N1034="404"),"",IF(N1034="410","Redirect gone "&amp;O1034,"Redirect "&amp;N1034&amp;" "&amp;O1034&amp;" "&amp;M1034))</f>
        <v/>
      </c>
      <c r="Q1034" s="22" t="n"/>
      <c r="R1034" s="22" t="n"/>
      <c r="S1034" s="22" t="n"/>
      <c r="T1034" s="4">
        <f>IF(A1034="","",TRIM(IF(K1034="","Needs decision; ","")&amp;IF(AND(K1034="Accept suggestion",F1034=""),"No suggestion to accept; ","")&amp;IF(AND(K1034="Override",L1034=""),"Override URL missing; ","")&amp;IF(AND(K1034="Accept suggestion",N(G1034)&lt;$G$2),"Below your threshold; ","")&amp;IF(AND(M1034&lt;&gt;"",M1034=A1034,K1034&lt;&gt;"No change (same URL)"),"Redirects to itself; ","")&amp;IF(AND(M1034&lt;&gt;"",OR(M1034="/",AND(LEFT(M1034,4)="http",OR((LEN(M1034)-LEN(SUBSTITUTE(M1034,"/","")))=2,AND((LEN(M1034)-LEN(SUBSTITUTE(M1034,"/","")))=3,RIGHT(M1034,1)="/"))))),"Home page redirect; ","")&amp;IF(N(R1034)&gt;1,"Chain; ","")&amp;IF(S1034="No","Destination not 200; ","")))</f>
        <v/>
      </c>
      <c r="U1034" s="22" t="n"/>
      <c r="V1034" s="22" t="n"/>
      <c r="W1034" s="4" t="n"/>
    </row>
    <row r="1035">
      <c r="A1035" s="22" t="n"/>
      <c r="B1035" s="22" t="n"/>
      <c r="C1035" s="22" t="n"/>
      <c r="D1035" s="22">
        <f>IF(A1035="","",IF(OR(N(B1035)&gt;=$C$2,N(C1035)&gt;=$E$2),"High",IF(OR(N(B1035)&gt;0,N(C1035)&gt;0),"Medium","Low")))</f>
        <v/>
      </c>
      <c r="E1035" s="22" t="n"/>
      <c r="F1035" s="22" t="n"/>
      <c r="G1035" s="22" t="n"/>
      <c r="H1035" s="22" t="n"/>
      <c r="I1035" s="22" t="n"/>
      <c r="J1035" s="22" t="n"/>
      <c r="K1035" s="22" t="n"/>
      <c r="L1035" s="22" t="n"/>
      <c r="M1035" s="22">
        <f>IF(K1035="Override",L1035,IF(K1035="Accept suggestion",F1035,IF(K1035="No change (same URL)",A1035,"")))</f>
        <v/>
      </c>
      <c r="N1035" s="22">
        <f>IF(A1035="","",IF(K1035="410 Gone","410",IF(K1035="404","404",IF(K1035="No change (same URL)","none",IF(M1035="","","301")))))</f>
        <v/>
      </c>
      <c r="O1035" s="22">
        <f>IF(A1035="","",IFERROR(MID(A1035,FIND("/",A1035,FIND("//",A1035)+2),2000),A1035))</f>
        <v/>
      </c>
      <c r="P1035" s="22">
        <f>IF(OR(O1035="",N1035="",N1035="none",N1035="404"),"",IF(N1035="410","Redirect gone "&amp;O1035,"Redirect "&amp;N1035&amp;" "&amp;O1035&amp;" "&amp;M1035))</f>
        <v/>
      </c>
      <c r="Q1035" s="22" t="n"/>
      <c r="R1035" s="22" t="n"/>
      <c r="S1035" s="22" t="n"/>
      <c r="T1035" s="4">
        <f>IF(A1035="","",TRIM(IF(K1035="","Needs decision; ","")&amp;IF(AND(K1035="Accept suggestion",F1035=""),"No suggestion to accept; ","")&amp;IF(AND(K1035="Override",L1035=""),"Override URL missing; ","")&amp;IF(AND(K1035="Accept suggestion",N(G1035)&lt;$G$2),"Below your threshold; ","")&amp;IF(AND(M1035&lt;&gt;"",M1035=A1035,K1035&lt;&gt;"No change (same URL)"),"Redirects to itself; ","")&amp;IF(AND(M1035&lt;&gt;"",OR(M1035="/",AND(LEFT(M1035,4)="http",OR((LEN(M1035)-LEN(SUBSTITUTE(M1035,"/","")))=2,AND((LEN(M1035)-LEN(SUBSTITUTE(M1035,"/","")))=3,RIGHT(M1035,1)="/"))))),"Home page redirect; ","")&amp;IF(N(R1035)&gt;1,"Chain; ","")&amp;IF(S1035="No","Destination not 200; ","")))</f>
        <v/>
      </c>
      <c r="U1035" s="22" t="n"/>
      <c r="V1035" s="22" t="n"/>
      <c r="W1035" s="4" t="n"/>
    </row>
    <row r="1036">
      <c r="A1036" s="22" t="n"/>
      <c r="B1036" s="22" t="n"/>
      <c r="C1036" s="22" t="n"/>
      <c r="D1036" s="22">
        <f>IF(A1036="","",IF(OR(N(B1036)&gt;=$C$2,N(C1036)&gt;=$E$2),"High",IF(OR(N(B1036)&gt;0,N(C1036)&gt;0),"Medium","Low")))</f>
        <v/>
      </c>
      <c r="E1036" s="22" t="n"/>
      <c r="F1036" s="22" t="n"/>
      <c r="G1036" s="22" t="n"/>
      <c r="H1036" s="22" t="n"/>
      <c r="I1036" s="22" t="n"/>
      <c r="J1036" s="22" t="n"/>
      <c r="K1036" s="22" t="n"/>
      <c r="L1036" s="22" t="n"/>
      <c r="M1036" s="22">
        <f>IF(K1036="Override",L1036,IF(K1036="Accept suggestion",F1036,IF(K1036="No change (same URL)",A1036,"")))</f>
        <v/>
      </c>
      <c r="N1036" s="22">
        <f>IF(A1036="","",IF(K1036="410 Gone","410",IF(K1036="404","404",IF(K1036="No change (same URL)","none",IF(M1036="","","301")))))</f>
        <v/>
      </c>
      <c r="O1036" s="22">
        <f>IF(A1036="","",IFERROR(MID(A1036,FIND("/",A1036,FIND("//",A1036)+2),2000),A1036))</f>
        <v/>
      </c>
      <c r="P1036" s="22">
        <f>IF(OR(O1036="",N1036="",N1036="none",N1036="404"),"",IF(N1036="410","Redirect gone "&amp;O1036,"Redirect "&amp;N1036&amp;" "&amp;O1036&amp;" "&amp;M1036))</f>
        <v/>
      </c>
      <c r="Q1036" s="22" t="n"/>
      <c r="R1036" s="22" t="n"/>
      <c r="S1036" s="22" t="n"/>
      <c r="T1036" s="4">
        <f>IF(A1036="","",TRIM(IF(K1036="","Needs decision; ","")&amp;IF(AND(K1036="Accept suggestion",F1036=""),"No suggestion to accept; ","")&amp;IF(AND(K1036="Override",L1036=""),"Override URL missing; ","")&amp;IF(AND(K1036="Accept suggestion",N(G1036)&lt;$G$2),"Below your threshold; ","")&amp;IF(AND(M1036&lt;&gt;"",M1036=A1036,K1036&lt;&gt;"No change (same URL)"),"Redirects to itself; ","")&amp;IF(AND(M1036&lt;&gt;"",OR(M1036="/",AND(LEFT(M1036,4)="http",OR((LEN(M1036)-LEN(SUBSTITUTE(M1036,"/","")))=2,AND((LEN(M1036)-LEN(SUBSTITUTE(M1036,"/","")))=3,RIGHT(M1036,1)="/"))))),"Home page redirect; ","")&amp;IF(N(R1036)&gt;1,"Chain; ","")&amp;IF(S1036="No","Destination not 200; ","")))</f>
        <v/>
      </c>
      <c r="U1036" s="22" t="n"/>
      <c r="V1036" s="22" t="n"/>
      <c r="W1036" s="4" t="n"/>
    </row>
    <row r="1037">
      <c r="A1037" s="22" t="n"/>
      <c r="B1037" s="22" t="n"/>
      <c r="C1037" s="22" t="n"/>
      <c r="D1037" s="22">
        <f>IF(A1037="","",IF(OR(N(B1037)&gt;=$C$2,N(C1037)&gt;=$E$2),"High",IF(OR(N(B1037)&gt;0,N(C1037)&gt;0),"Medium","Low")))</f>
        <v/>
      </c>
      <c r="E1037" s="22" t="n"/>
      <c r="F1037" s="22" t="n"/>
      <c r="G1037" s="22" t="n"/>
      <c r="H1037" s="22" t="n"/>
      <c r="I1037" s="22" t="n"/>
      <c r="J1037" s="22" t="n"/>
      <c r="K1037" s="22" t="n"/>
      <c r="L1037" s="22" t="n"/>
      <c r="M1037" s="22">
        <f>IF(K1037="Override",L1037,IF(K1037="Accept suggestion",F1037,IF(K1037="No change (same URL)",A1037,"")))</f>
        <v/>
      </c>
      <c r="N1037" s="22">
        <f>IF(A1037="","",IF(K1037="410 Gone","410",IF(K1037="404","404",IF(K1037="No change (same URL)","none",IF(M1037="","","301")))))</f>
        <v/>
      </c>
      <c r="O1037" s="22">
        <f>IF(A1037="","",IFERROR(MID(A1037,FIND("/",A1037,FIND("//",A1037)+2),2000),A1037))</f>
        <v/>
      </c>
      <c r="P1037" s="22">
        <f>IF(OR(O1037="",N1037="",N1037="none",N1037="404"),"",IF(N1037="410","Redirect gone "&amp;O1037,"Redirect "&amp;N1037&amp;" "&amp;O1037&amp;" "&amp;M1037))</f>
        <v/>
      </c>
      <c r="Q1037" s="22" t="n"/>
      <c r="R1037" s="22" t="n"/>
      <c r="S1037" s="22" t="n"/>
      <c r="T1037" s="4">
        <f>IF(A1037="","",TRIM(IF(K1037="","Needs decision; ","")&amp;IF(AND(K1037="Accept suggestion",F1037=""),"No suggestion to accept; ","")&amp;IF(AND(K1037="Override",L1037=""),"Override URL missing; ","")&amp;IF(AND(K1037="Accept suggestion",N(G1037)&lt;$G$2),"Below your threshold; ","")&amp;IF(AND(M1037&lt;&gt;"",M1037=A1037,K1037&lt;&gt;"No change (same URL)"),"Redirects to itself; ","")&amp;IF(AND(M1037&lt;&gt;"",OR(M1037="/",AND(LEFT(M1037,4)="http",OR((LEN(M1037)-LEN(SUBSTITUTE(M1037,"/","")))=2,AND((LEN(M1037)-LEN(SUBSTITUTE(M1037,"/","")))=3,RIGHT(M1037,1)="/"))))),"Home page redirect; ","")&amp;IF(N(R1037)&gt;1,"Chain; ","")&amp;IF(S1037="No","Destination not 200; ","")))</f>
        <v/>
      </c>
      <c r="U1037" s="22" t="n"/>
      <c r="V1037" s="22" t="n"/>
      <c r="W1037" s="4" t="n"/>
    </row>
    <row r="1038">
      <c r="A1038" s="22" t="n"/>
      <c r="B1038" s="22" t="n"/>
      <c r="C1038" s="22" t="n"/>
      <c r="D1038" s="22">
        <f>IF(A1038="","",IF(OR(N(B1038)&gt;=$C$2,N(C1038)&gt;=$E$2),"High",IF(OR(N(B1038)&gt;0,N(C1038)&gt;0),"Medium","Low")))</f>
        <v/>
      </c>
      <c r="E1038" s="22" t="n"/>
      <c r="F1038" s="22" t="n"/>
      <c r="G1038" s="22" t="n"/>
      <c r="H1038" s="22" t="n"/>
      <c r="I1038" s="22" t="n"/>
      <c r="J1038" s="22" t="n"/>
      <c r="K1038" s="22" t="n"/>
      <c r="L1038" s="22" t="n"/>
      <c r="M1038" s="22">
        <f>IF(K1038="Override",L1038,IF(K1038="Accept suggestion",F1038,IF(K1038="No change (same URL)",A1038,"")))</f>
        <v/>
      </c>
      <c r="N1038" s="22">
        <f>IF(A1038="","",IF(K1038="410 Gone","410",IF(K1038="404","404",IF(K1038="No change (same URL)","none",IF(M1038="","","301")))))</f>
        <v/>
      </c>
      <c r="O1038" s="22">
        <f>IF(A1038="","",IFERROR(MID(A1038,FIND("/",A1038,FIND("//",A1038)+2),2000),A1038))</f>
        <v/>
      </c>
      <c r="P1038" s="22">
        <f>IF(OR(O1038="",N1038="",N1038="none",N1038="404"),"",IF(N1038="410","Redirect gone "&amp;O1038,"Redirect "&amp;N1038&amp;" "&amp;O1038&amp;" "&amp;M1038))</f>
        <v/>
      </c>
      <c r="Q1038" s="22" t="n"/>
      <c r="R1038" s="22" t="n"/>
      <c r="S1038" s="22" t="n"/>
      <c r="T1038" s="4">
        <f>IF(A1038="","",TRIM(IF(K1038="","Needs decision; ","")&amp;IF(AND(K1038="Accept suggestion",F1038=""),"No suggestion to accept; ","")&amp;IF(AND(K1038="Override",L1038=""),"Override URL missing; ","")&amp;IF(AND(K1038="Accept suggestion",N(G1038)&lt;$G$2),"Below your threshold; ","")&amp;IF(AND(M1038&lt;&gt;"",M1038=A1038,K1038&lt;&gt;"No change (same URL)"),"Redirects to itself; ","")&amp;IF(AND(M1038&lt;&gt;"",OR(M1038="/",AND(LEFT(M1038,4)="http",OR((LEN(M1038)-LEN(SUBSTITUTE(M1038,"/","")))=2,AND((LEN(M1038)-LEN(SUBSTITUTE(M1038,"/","")))=3,RIGHT(M1038,1)="/"))))),"Home page redirect; ","")&amp;IF(N(R1038)&gt;1,"Chain; ","")&amp;IF(S1038="No","Destination not 200; ","")))</f>
        <v/>
      </c>
      <c r="U1038" s="22" t="n"/>
      <c r="V1038" s="22" t="n"/>
      <c r="W1038" s="4" t="n"/>
    </row>
    <row r="1039">
      <c r="A1039" s="22" t="n"/>
      <c r="B1039" s="22" t="n"/>
      <c r="C1039" s="22" t="n"/>
      <c r="D1039" s="22">
        <f>IF(A1039="","",IF(OR(N(B1039)&gt;=$C$2,N(C1039)&gt;=$E$2),"High",IF(OR(N(B1039)&gt;0,N(C1039)&gt;0),"Medium","Low")))</f>
        <v/>
      </c>
      <c r="E1039" s="22" t="n"/>
      <c r="F1039" s="22" t="n"/>
      <c r="G1039" s="22" t="n"/>
      <c r="H1039" s="22" t="n"/>
      <c r="I1039" s="22" t="n"/>
      <c r="J1039" s="22" t="n"/>
      <c r="K1039" s="22" t="n"/>
      <c r="L1039" s="22" t="n"/>
      <c r="M1039" s="22">
        <f>IF(K1039="Override",L1039,IF(K1039="Accept suggestion",F1039,IF(K1039="No change (same URL)",A1039,"")))</f>
        <v/>
      </c>
      <c r="N1039" s="22">
        <f>IF(A1039="","",IF(K1039="410 Gone","410",IF(K1039="404","404",IF(K1039="No change (same URL)","none",IF(M1039="","","301")))))</f>
        <v/>
      </c>
      <c r="O1039" s="22">
        <f>IF(A1039="","",IFERROR(MID(A1039,FIND("/",A1039,FIND("//",A1039)+2),2000),A1039))</f>
        <v/>
      </c>
      <c r="P1039" s="22">
        <f>IF(OR(O1039="",N1039="",N1039="none",N1039="404"),"",IF(N1039="410","Redirect gone "&amp;O1039,"Redirect "&amp;N1039&amp;" "&amp;O1039&amp;" "&amp;M1039))</f>
        <v/>
      </c>
      <c r="Q1039" s="22" t="n"/>
      <c r="R1039" s="22" t="n"/>
      <c r="S1039" s="22" t="n"/>
      <c r="T1039" s="4">
        <f>IF(A1039="","",TRIM(IF(K1039="","Needs decision; ","")&amp;IF(AND(K1039="Accept suggestion",F1039=""),"No suggestion to accept; ","")&amp;IF(AND(K1039="Override",L1039=""),"Override URL missing; ","")&amp;IF(AND(K1039="Accept suggestion",N(G1039)&lt;$G$2),"Below your threshold; ","")&amp;IF(AND(M1039&lt;&gt;"",M1039=A1039,K1039&lt;&gt;"No change (same URL)"),"Redirects to itself; ","")&amp;IF(AND(M1039&lt;&gt;"",OR(M1039="/",AND(LEFT(M1039,4)="http",OR((LEN(M1039)-LEN(SUBSTITUTE(M1039,"/","")))=2,AND((LEN(M1039)-LEN(SUBSTITUTE(M1039,"/","")))=3,RIGHT(M1039,1)="/"))))),"Home page redirect; ","")&amp;IF(N(R1039)&gt;1,"Chain; ","")&amp;IF(S1039="No","Destination not 200; ","")))</f>
        <v/>
      </c>
      <c r="U1039" s="22" t="n"/>
      <c r="V1039" s="22" t="n"/>
      <c r="W1039" s="4" t="n"/>
    </row>
    <row r="1040">
      <c r="A1040" s="22" t="n"/>
      <c r="B1040" s="22" t="n"/>
      <c r="C1040" s="22" t="n"/>
      <c r="D1040" s="22">
        <f>IF(A1040="","",IF(OR(N(B1040)&gt;=$C$2,N(C1040)&gt;=$E$2),"High",IF(OR(N(B1040)&gt;0,N(C1040)&gt;0),"Medium","Low")))</f>
        <v/>
      </c>
      <c r="E1040" s="22" t="n"/>
      <c r="F1040" s="22" t="n"/>
      <c r="G1040" s="22" t="n"/>
      <c r="H1040" s="22" t="n"/>
      <c r="I1040" s="22" t="n"/>
      <c r="J1040" s="22" t="n"/>
      <c r="K1040" s="22" t="n"/>
      <c r="L1040" s="22" t="n"/>
      <c r="M1040" s="22">
        <f>IF(K1040="Override",L1040,IF(K1040="Accept suggestion",F1040,IF(K1040="No change (same URL)",A1040,"")))</f>
        <v/>
      </c>
      <c r="N1040" s="22">
        <f>IF(A1040="","",IF(K1040="410 Gone","410",IF(K1040="404","404",IF(K1040="No change (same URL)","none",IF(M1040="","","301")))))</f>
        <v/>
      </c>
      <c r="O1040" s="22">
        <f>IF(A1040="","",IFERROR(MID(A1040,FIND("/",A1040,FIND("//",A1040)+2),2000),A1040))</f>
        <v/>
      </c>
      <c r="P1040" s="22">
        <f>IF(OR(O1040="",N1040="",N1040="none",N1040="404"),"",IF(N1040="410","Redirect gone "&amp;O1040,"Redirect "&amp;N1040&amp;" "&amp;O1040&amp;" "&amp;M1040))</f>
        <v/>
      </c>
      <c r="Q1040" s="22" t="n"/>
      <c r="R1040" s="22" t="n"/>
      <c r="S1040" s="22" t="n"/>
      <c r="T1040" s="4">
        <f>IF(A1040="","",TRIM(IF(K1040="","Needs decision; ","")&amp;IF(AND(K1040="Accept suggestion",F1040=""),"No suggestion to accept; ","")&amp;IF(AND(K1040="Override",L1040=""),"Override URL missing; ","")&amp;IF(AND(K1040="Accept suggestion",N(G1040)&lt;$G$2),"Below your threshold; ","")&amp;IF(AND(M1040&lt;&gt;"",M1040=A1040,K1040&lt;&gt;"No change (same URL)"),"Redirects to itself; ","")&amp;IF(AND(M1040&lt;&gt;"",OR(M1040="/",AND(LEFT(M1040,4)="http",OR((LEN(M1040)-LEN(SUBSTITUTE(M1040,"/","")))=2,AND((LEN(M1040)-LEN(SUBSTITUTE(M1040,"/","")))=3,RIGHT(M1040,1)="/"))))),"Home page redirect; ","")&amp;IF(N(R1040)&gt;1,"Chain; ","")&amp;IF(S1040="No","Destination not 200; ","")))</f>
        <v/>
      </c>
      <c r="U1040" s="22" t="n"/>
      <c r="V1040" s="22" t="n"/>
      <c r="W1040" s="4" t="n"/>
    </row>
    <row r="1041">
      <c r="A1041" s="22" t="n"/>
      <c r="B1041" s="22" t="n"/>
      <c r="C1041" s="22" t="n"/>
      <c r="D1041" s="22">
        <f>IF(A1041="","",IF(OR(N(B1041)&gt;=$C$2,N(C1041)&gt;=$E$2),"High",IF(OR(N(B1041)&gt;0,N(C1041)&gt;0),"Medium","Low")))</f>
        <v/>
      </c>
      <c r="E1041" s="22" t="n"/>
      <c r="F1041" s="22" t="n"/>
      <c r="G1041" s="22" t="n"/>
      <c r="H1041" s="22" t="n"/>
      <c r="I1041" s="22" t="n"/>
      <c r="J1041" s="22" t="n"/>
      <c r="K1041" s="22" t="n"/>
      <c r="L1041" s="22" t="n"/>
      <c r="M1041" s="22">
        <f>IF(K1041="Override",L1041,IF(K1041="Accept suggestion",F1041,IF(K1041="No change (same URL)",A1041,"")))</f>
        <v/>
      </c>
      <c r="N1041" s="22">
        <f>IF(A1041="","",IF(K1041="410 Gone","410",IF(K1041="404","404",IF(K1041="No change (same URL)","none",IF(M1041="","","301")))))</f>
        <v/>
      </c>
      <c r="O1041" s="22">
        <f>IF(A1041="","",IFERROR(MID(A1041,FIND("/",A1041,FIND("//",A1041)+2),2000),A1041))</f>
        <v/>
      </c>
      <c r="P1041" s="22">
        <f>IF(OR(O1041="",N1041="",N1041="none",N1041="404"),"",IF(N1041="410","Redirect gone "&amp;O1041,"Redirect "&amp;N1041&amp;" "&amp;O1041&amp;" "&amp;M1041))</f>
        <v/>
      </c>
      <c r="Q1041" s="22" t="n"/>
      <c r="R1041" s="22" t="n"/>
      <c r="S1041" s="22" t="n"/>
      <c r="T1041" s="4">
        <f>IF(A1041="","",TRIM(IF(K1041="","Needs decision; ","")&amp;IF(AND(K1041="Accept suggestion",F1041=""),"No suggestion to accept; ","")&amp;IF(AND(K1041="Override",L1041=""),"Override URL missing; ","")&amp;IF(AND(K1041="Accept suggestion",N(G1041)&lt;$G$2),"Below your threshold; ","")&amp;IF(AND(M1041&lt;&gt;"",M1041=A1041,K1041&lt;&gt;"No change (same URL)"),"Redirects to itself; ","")&amp;IF(AND(M1041&lt;&gt;"",OR(M1041="/",AND(LEFT(M1041,4)="http",OR((LEN(M1041)-LEN(SUBSTITUTE(M1041,"/","")))=2,AND((LEN(M1041)-LEN(SUBSTITUTE(M1041,"/","")))=3,RIGHT(M1041,1)="/"))))),"Home page redirect; ","")&amp;IF(N(R1041)&gt;1,"Chain; ","")&amp;IF(S1041="No","Destination not 200; ","")))</f>
        <v/>
      </c>
      <c r="U1041" s="22" t="n"/>
      <c r="V1041" s="22" t="n"/>
      <c r="W1041" s="4" t="n"/>
    </row>
    <row r="1042">
      <c r="A1042" s="22" t="n"/>
      <c r="B1042" s="22" t="n"/>
      <c r="C1042" s="22" t="n"/>
      <c r="D1042" s="22">
        <f>IF(A1042="","",IF(OR(N(B1042)&gt;=$C$2,N(C1042)&gt;=$E$2),"High",IF(OR(N(B1042)&gt;0,N(C1042)&gt;0),"Medium","Low")))</f>
        <v/>
      </c>
      <c r="E1042" s="22" t="n"/>
      <c r="F1042" s="22" t="n"/>
      <c r="G1042" s="22" t="n"/>
      <c r="H1042" s="22" t="n"/>
      <c r="I1042" s="22" t="n"/>
      <c r="J1042" s="22" t="n"/>
      <c r="K1042" s="22" t="n"/>
      <c r="L1042" s="22" t="n"/>
      <c r="M1042" s="22">
        <f>IF(K1042="Override",L1042,IF(K1042="Accept suggestion",F1042,IF(K1042="No change (same URL)",A1042,"")))</f>
        <v/>
      </c>
      <c r="N1042" s="22">
        <f>IF(A1042="","",IF(K1042="410 Gone","410",IF(K1042="404","404",IF(K1042="No change (same URL)","none",IF(M1042="","","301")))))</f>
        <v/>
      </c>
      <c r="O1042" s="22">
        <f>IF(A1042="","",IFERROR(MID(A1042,FIND("/",A1042,FIND("//",A1042)+2),2000),A1042))</f>
        <v/>
      </c>
      <c r="P1042" s="22">
        <f>IF(OR(O1042="",N1042="",N1042="none",N1042="404"),"",IF(N1042="410","Redirect gone "&amp;O1042,"Redirect "&amp;N1042&amp;" "&amp;O1042&amp;" "&amp;M1042))</f>
        <v/>
      </c>
      <c r="Q1042" s="22" t="n"/>
      <c r="R1042" s="22" t="n"/>
      <c r="S1042" s="22" t="n"/>
      <c r="T1042" s="4">
        <f>IF(A1042="","",TRIM(IF(K1042="","Needs decision; ","")&amp;IF(AND(K1042="Accept suggestion",F1042=""),"No suggestion to accept; ","")&amp;IF(AND(K1042="Override",L1042=""),"Override URL missing; ","")&amp;IF(AND(K1042="Accept suggestion",N(G1042)&lt;$G$2),"Below your threshold; ","")&amp;IF(AND(M1042&lt;&gt;"",M1042=A1042,K1042&lt;&gt;"No change (same URL)"),"Redirects to itself; ","")&amp;IF(AND(M1042&lt;&gt;"",OR(M1042="/",AND(LEFT(M1042,4)="http",OR((LEN(M1042)-LEN(SUBSTITUTE(M1042,"/","")))=2,AND((LEN(M1042)-LEN(SUBSTITUTE(M1042,"/","")))=3,RIGHT(M1042,1)="/"))))),"Home page redirect; ","")&amp;IF(N(R1042)&gt;1,"Chain; ","")&amp;IF(S1042="No","Destination not 200; ","")))</f>
        <v/>
      </c>
      <c r="U1042" s="22" t="n"/>
      <c r="V1042" s="22" t="n"/>
      <c r="W1042" s="4" t="n"/>
    </row>
    <row r="1043">
      <c r="A1043" s="22" t="n"/>
      <c r="B1043" s="22" t="n"/>
      <c r="C1043" s="22" t="n"/>
      <c r="D1043" s="22">
        <f>IF(A1043="","",IF(OR(N(B1043)&gt;=$C$2,N(C1043)&gt;=$E$2),"High",IF(OR(N(B1043)&gt;0,N(C1043)&gt;0),"Medium","Low")))</f>
        <v/>
      </c>
      <c r="E1043" s="22" t="n"/>
      <c r="F1043" s="22" t="n"/>
      <c r="G1043" s="22" t="n"/>
      <c r="H1043" s="22" t="n"/>
      <c r="I1043" s="22" t="n"/>
      <c r="J1043" s="22" t="n"/>
      <c r="K1043" s="22" t="n"/>
      <c r="L1043" s="22" t="n"/>
      <c r="M1043" s="22">
        <f>IF(K1043="Override",L1043,IF(K1043="Accept suggestion",F1043,IF(K1043="No change (same URL)",A1043,"")))</f>
        <v/>
      </c>
      <c r="N1043" s="22">
        <f>IF(A1043="","",IF(K1043="410 Gone","410",IF(K1043="404","404",IF(K1043="No change (same URL)","none",IF(M1043="","","301")))))</f>
        <v/>
      </c>
      <c r="O1043" s="22">
        <f>IF(A1043="","",IFERROR(MID(A1043,FIND("/",A1043,FIND("//",A1043)+2),2000),A1043))</f>
        <v/>
      </c>
      <c r="P1043" s="22">
        <f>IF(OR(O1043="",N1043="",N1043="none",N1043="404"),"",IF(N1043="410","Redirect gone "&amp;O1043,"Redirect "&amp;N1043&amp;" "&amp;O1043&amp;" "&amp;M1043))</f>
        <v/>
      </c>
      <c r="Q1043" s="22" t="n"/>
      <c r="R1043" s="22" t="n"/>
      <c r="S1043" s="22" t="n"/>
      <c r="T1043" s="4">
        <f>IF(A1043="","",TRIM(IF(K1043="","Needs decision; ","")&amp;IF(AND(K1043="Accept suggestion",F1043=""),"No suggestion to accept; ","")&amp;IF(AND(K1043="Override",L1043=""),"Override URL missing; ","")&amp;IF(AND(K1043="Accept suggestion",N(G1043)&lt;$G$2),"Below your threshold; ","")&amp;IF(AND(M1043&lt;&gt;"",M1043=A1043,K1043&lt;&gt;"No change (same URL)"),"Redirects to itself; ","")&amp;IF(AND(M1043&lt;&gt;"",OR(M1043="/",AND(LEFT(M1043,4)="http",OR((LEN(M1043)-LEN(SUBSTITUTE(M1043,"/","")))=2,AND((LEN(M1043)-LEN(SUBSTITUTE(M1043,"/","")))=3,RIGHT(M1043,1)="/"))))),"Home page redirect; ","")&amp;IF(N(R1043)&gt;1,"Chain; ","")&amp;IF(S1043="No","Destination not 200; ","")))</f>
        <v/>
      </c>
      <c r="U1043" s="22" t="n"/>
      <c r="V1043" s="22" t="n"/>
      <c r="W1043" s="4" t="n"/>
    </row>
    <row r="1044">
      <c r="A1044" s="22" t="n"/>
      <c r="B1044" s="22" t="n"/>
      <c r="C1044" s="22" t="n"/>
      <c r="D1044" s="22">
        <f>IF(A1044="","",IF(OR(N(B1044)&gt;=$C$2,N(C1044)&gt;=$E$2),"High",IF(OR(N(B1044)&gt;0,N(C1044)&gt;0),"Medium","Low")))</f>
        <v/>
      </c>
      <c r="E1044" s="22" t="n"/>
      <c r="F1044" s="22" t="n"/>
      <c r="G1044" s="22" t="n"/>
      <c r="H1044" s="22" t="n"/>
      <c r="I1044" s="22" t="n"/>
      <c r="J1044" s="22" t="n"/>
      <c r="K1044" s="22" t="n"/>
      <c r="L1044" s="22" t="n"/>
      <c r="M1044" s="22">
        <f>IF(K1044="Override",L1044,IF(K1044="Accept suggestion",F1044,IF(K1044="No change (same URL)",A1044,"")))</f>
        <v/>
      </c>
      <c r="N1044" s="22">
        <f>IF(A1044="","",IF(K1044="410 Gone","410",IF(K1044="404","404",IF(K1044="No change (same URL)","none",IF(M1044="","","301")))))</f>
        <v/>
      </c>
      <c r="O1044" s="22">
        <f>IF(A1044="","",IFERROR(MID(A1044,FIND("/",A1044,FIND("//",A1044)+2),2000),A1044))</f>
        <v/>
      </c>
      <c r="P1044" s="22">
        <f>IF(OR(O1044="",N1044="",N1044="none",N1044="404"),"",IF(N1044="410","Redirect gone "&amp;O1044,"Redirect "&amp;N1044&amp;" "&amp;O1044&amp;" "&amp;M1044))</f>
        <v/>
      </c>
      <c r="Q1044" s="22" t="n"/>
      <c r="R1044" s="22" t="n"/>
      <c r="S1044" s="22" t="n"/>
      <c r="T1044" s="4">
        <f>IF(A1044="","",TRIM(IF(K1044="","Needs decision; ","")&amp;IF(AND(K1044="Accept suggestion",F1044=""),"No suggestion to accept; ","")&amp;IF(AND(K1044="Override",L1044=""),"Override URL missing; ","")&amp;IF(AND(K1044="Accept suggestion",N(G1044)&lt;$G$2),"Below your threshold; ","")&amp;IF(AND(M1044&lt;&gt;"",M1044=A1044,K1044&lt;&gt;"No change (same URL)"),"Redirects to itself; ","")&amp;IF(AND(M1044&lt;&gt;"",OR(M1044="/",AND(LEFT(M1044,4)="http",OR((LEN(M1044)-LEN(SUBSTITUTE(M1044,"/","")))=2,AND((LEN(M1044)-LEN(SUBSTITUTE(M1044,"/","")))=3,RIGHT(M1044,1)="/"))))),"Home page redirect; ","")&amp;IF(N(R1044)&gt;1,"Chain; ","")&amp;IF(S1044="No","Destination not 200; ","")))</f>
        <v/>
      </c>
      <c r="U1044" s="22" t="n"/>
      <c r="V1044" s="22" t="n"/>
      <c r="W1044" s="4" t="n"/>
    </row>
    <row r="1045">
      <c r="A1045" s="22" t="n"/>
      <c r="B1045" s="22" t="n"/>
      <c r="C1045" s="22" t="n"/>
      <c r="D1045" s="22">
        <f>IF(A1045="","",IF(OR(N(B1045)&gt;=$C$2,N(C1045)&gt;=$E$2),"High",IF(OR(N(B1045)&gt;0,N(C1045)&gt;0),"Medium","Low")))</f>
        <v/>
      </c>
      <c r="E1045" s="22" t="n"/>
      <c r="F1045" s="22" t="n"/>
      <c r="G1045" s="22" t="n"/>
      <c r="H1045" s="22" t="n"/>
      <c r="I1045" s="22" t="n"/>
      <c r="J1045" s="22" t="n"/>
      <c r="K1045" s="22" t="n"/>
      <c r="L1045" s="22" t="n"/>
      <c r="M1045" s="22">
        <f>IF(K1045="Override",L1045,IF(K1045="Accept suggestion",F1045,IF(K1045="No change (same URL)",A1045,"")))</f>
        <v/>
      </c>
      <c r="N1045" s="22">
        <f>IF(A1045="","",IF(K1045="410 Gone","410",IF(K1045="404","404",IF(K1045="No change (same URL)","none",IF(M1045="","","301")))))</f>
        <v/>
      </c>
      <c r="O1045" s="22">
        <f>IF(A1045="","",IFERROR(MID(A1045,FIND("/",A1045,FIND("//",A1045)+2),2000),A1045))</f>
        <v/>
      </c>
      <c r="P1045" s="22">
        <f>IF(OR(O1045="",N1045="",N1045="none",N1045="404"),"",IF(N1045="410","Redirect gone "&amp;O1045,"Redirect "&amp;N1045&amp;" "&amp;O1045&amp;" "&amp;M1045))</f>
        <v/>
      </c>
      <c r="Q1045" s="22" t="n"/>
      <c r="R1045" s="22" t="n"/>
      <c r="S1045" s="22" t="n"/>
      <c r="T1045" s="4">
        <f>IF(A1045="","",TRIM(IF(K1045="","Needs decision; ","")&amp;IF(AND(K1045="Accept suggestion",F1045=""),"No suggestion to accept; ","")&amp;IF(AND(K1045="Override",L1045=""),"Override URL missing; ","")&amp;IF(AND(K1045="Accept suggestion",N(G1045)&lt;$G$2),"Below your threshold; ","")&amp;IF(AND(M1045&lt;&gt;"",M1045=A1045,K1045&lt;&gt;"No change (same URL)"),"Redirects to itself; ","")&amp;IF(AND(M1045&lt;&gt;"",OR(M1045="/",AND(LEFT(M1045,4)="http",OR((LEN(M1045)-LEN(SUBSTITUTE(M1045,"/","")))=2,AND((LEN(M1045)-LEN(SUBSTITUTE(M1045,"/","")))=3,RIGHT(M1045,1)="/"))))),"Home page redirect; ","")&amp;IF(N(R1045)&gt;1,"Chain; ","")&amp;IF(S1045="No","Destination not 200; ","")))</f>
        <v/>
      </c>
      <c r="U1045" s="22" t="n"/>
      <c r="V1045" s="22" t="n"/>
      <c r="W1045" s="4" t="n"/>
    </row>
    <row r="1046">
      <c r="A1046" s="22" t="n"/>
      <c r="B1046" s="22" t="n"/>
      <c r="C1046" s="22" t="n"/>
      <c r="D1046" s="22">
        <f>IF(A1046="","",IF(OR(N(B1046)&gt;=$C$2,N(C1046)&gt;=$E$2),"High",IF(OR(N(B1046)&gt;0,N(C1046)&gt;0),"Medium","Low")))</f>
        <v/>
      </c>
      <c r="E1046" s="22" t="n"/>
      <c r="F1046" s="22" t="n"/>
      <c r="G1046" s="22" t="n"/>
      <c r="H1046" s="22" t="n"/>
      <c r="I1046" s="22" t="n"/>
      <c r="J1046" s="22" t="n"/>
      <c r="K1046" s="22" t="n"/>
      <c r="L1046" s="22" t="n"/>
      <c r="M1046" s="22">
        <f>IF(K1046="Override",L1046,IF(K1046="Accept suggestion",F1046,IF(K1046="No change (same URL)",A1046,"")))</f>
        <v/>
      </c>
      <c r="N1046" s="22">
        <f>IF(A1046="","",IF(K1046="410 Gone","410",IF(K1046="404","404",IF(K1046="No change (same URL)","none",IF(M1046="","","301")))))</f>
        <v/>
      </c>
      <c r="O1046" s="22">
        <f>IF(A1046="","",IFERROR(MID(A1046,FIND("/",A1046,FIND("//",A1046)+2),2000),A1046))</f>
        <v/>
      </c>
      <c r="P1046" s="22">
        <f>IF(OR(O1046="",N1046="",N1046="none",N1046="404"),"",IF(N1046="410","Redirect gone "&amp;O1046,"Redirect "&amp;N1046&amp;" "&amp;O1046&amp;" "&amp;M1046))</f>
        <v/>
      </c>
      <c r="Q1046" s="22" t="n"/>
      <c r="R1046" s="22" t="n"/>
      <c r="S1046" s="22" t="n"/>
      <c r="T1046" s="4">
        <f>IF(A1046="","",TRIM(IF(K1046="","Needs decision; ","")&amp;IF(AND(K1046="Accept suggestion",F1046=""),"No suggestion to accept; ","")&amp;IF(AND(K1046="Override",L1046=""),"Override URL missing; ","")&amp;IF(AND(K1046="Accept suggestion",N(G1046)&lt;$G$2),"Below your threshold; ","")&amp;IF(AND(M1046&lt;&gt;"",M1046=A1046,K1046&lt;&gt;"No change (same URL)"),"Redirects to itself; ","")&amp;IF(AND(M1046&lt;&gt;"",OR(M1046="/",AND(LEFT(M1046,4)="http",OR((LEN(M1046)-LEN(SUBSTITUTE(M1046,"/","")))=2,AND((LEN(M1046)-LEN(SUBSTITUTE(M1046,"/","")))=3,RIGHT(M1046,1)="/"))))),"Home page redirect; ","")&amp;IF(N(R1046)&gt;1,"Chain; ","")&amp;IF(S1046="No","Destination not 200; ","")))</f>
        <v/>
      </c>
      <c r="U1046" s="22" t="n"/>
      <c r="V1046" s="22" t="n"/>
      <c r="W1046" s="4" t="n"/>
    </row>
    <row r="1047">
      <c r="A1047" s="22" t="n"/>
      <c r="B1047" s="22" t="n"/>
      <c r="C1047" s="22" t="n"/>
      <c r="D1047" s="22">
        <f>IF(A1047="","",IF(OR(N(B1047)&gt;=$C$2,N(C1047)&gt;=$E$2),"High",IF(OR(N(B1047)&gt;0,N(C1047)&gt;0),"Medium","Low")))</f>
        <v/>
      </c>
      <c r="E1047" s="22" t="n"/>
      <c r="F1047" s="22" t="n"/>
      <c r="G1047" s="22" t="n"/>
      <c r="H1047" s="22" t="n"/>
      <c r="I1047" s="22" t="n"/>
      <c r="J1047" s="22" t="n"/>
      <c r="K1047" s="22" t="n"/>
      <c r="L1047" s="22" t="n"/>
      <c r="M1047" s="22">
        <f>IF(K1047="Override",L1047,IF(K1047="Accept suggestion",F1047,IF(K1047="No change (same URL)",A1047,"")))</f>
        <v/>
      </c>
      <c r="N1047" s="22">
        <f>IF(A1047="","",IF(K1047="410 Gone","410",IF(K1047="404","404",IF(K1047="No change (same URL)","none",IF(M1047="","","301")))))</f>
        <v/>
      </c>
      <c r="O1047" s="22">
        <f>IF(A1047="","",IFERROR(MID(A1047,FIND("/",A1047,FIND("//",A1047)+2),2000),A1047))</f>
        <v/>
      </c>
      <c r="P1047" s="22">
        <f>IF(OR(O1047="",N1047="",N1047="none",N1047="404"),"",IF(N1047="410","Redirect gone "&amp;O1047,"Redirect "&amp;N1047&amp;" "&amp;O1047&amp;" "&amp;M1047))</f>
        <v/>
      </c>
      <c r="Q1047" s="22" t="n"/>
      <c r="R1047" s="22" t="n"/>
      <c r="S1047" s="22" t="n"/>
      <c r="T1047" s="4">
        <f>IF(A1047="","",TRIM(IF(K1047="","Needs decision; ","")&amp;IF(AND(K1047="Accept suggestion",F1047=""),"No suggestion to accept; ","")&amp;IF(AND(K1047="Override",L1047=""),"Override URL missing; ","")&amp;IF(AND(K1047="Accept suggestion",N(G1047)&lt;$G$2),"Below your threshold; ","")&amp;IF(AND(M1047&lt;&gt;"",M1047=A1047,K1047&lt;&gt;"No change (same URL)"),"Redirects to itself; ","")&amp;IF(AND(M1047&lt;&gt;"",OR(M1047="/",AND(LEFT(M1047,4)="http",OR((LEN(M1047)-LEN(SUBSTITUTE(M1047,"/","")))=2,AND((LEN(M1047)-LEN(SUBSTITUTE(M1047,"/","")))=3,RIGHT(M1047,1)="/"))))),"Home page redirect; ","")&amp;IF(N(R1047)&gt;1,"Chain; ","")&amp;IF(S1047="No","Destination not 200; ","")))</f>
        <v/>
      </c>
      <c r="U1047" s="22" t="n"/>
      <c r="V1047" s="22" t="n"/>
      <c r="W1047" s="4" t="n"/>
    </row>
    <row r="1048">
      <c r="A1048" s="22" t="n"/>
      <c r="B1048" s="22" t="n"/>
      <c r="C1048" s="22" t="n"/>
      <c r="D1048" s="22">
        <f>IF(A1048="","",IF(OR(N(B1048)&gt;=$C$2,N(C1048)&gt;=$E$2),"High",IF(OR(N(B1048)&gt;0,N(C1048)&gt;0),"Medium","Low")))</f>
        <v/>
      </c>
      <c r="E1048" s="22" t="n"/>
      <c r="F1048" s="22" t="n"/>
      <c r="G1048" s="22" t="n"/>
      <c r="H1048" s="22" t="n"/>
      <c r="I1048" s="22" t="n"/>
      <c r="J1048" s="22" t="n"/>
      <c r="K1048" s="22" t="n"/>
      <c r="L1048" s="22" t="n"/>
      <c r="M1048" s="22">
        <f>IF(K1048="Override",L1048,IF(K1048="Accept suggestion",F1048,IF(K1048="No change (same URL)",A1048,"")))</f>
        <v/>
      </c>
      <c r="N1048" s="22">
        <f>IF(A1048="","",IF(K1048="410 Gone","410",IF(K1048="404","404",IF(K1048="No change (same URL)","none",IF(M1048="","","301")))))</f>
        <v/>
      </c>
      <c r="O1048" s="22">
        <f>IF(A1048="","",IFERROR(MID(A1048,FIND("/",A1048,FIND("//",A1048)+2),2000),A1048))</f>
        <v/>
      </c>
      <c r="P1048" s="22">
        <f>IF(OR(O1048="",N1048="",N1048="none",N1048="404"),"",IF(N1048="410","Redirect gone "&amp;O1048,"Redirect "&amp;N1048&amp;" "&amp;O1048&amp;" "&amp;M1048))</f>
        <v/>
      </c>
      <c r="Q1048" s="22" t="n"/>
      <c r="R1048" s="22" t="n"/>
      <c r="S1048" s="22" t="n"/>
      <c r="T1048" s="4">
        <f>IF(A1048="","",TRIM(IF(K1048="","Needs decision; ","")&amp;IF(AND(K1048="Accept suggestion",F1048=""),"No suggestion to accept; ","")&amp;IF(AND(K1048="Override",L1048=""),"Override URL missing; ","")&amp;IF(AND(K1048="Accept suggestion",N(G1048)&lt;$G$2),"Below your threshold; ","")&amp;IF(AND(M1048&lt;&gt;"",M1048=A1048,K1048&lt;&gt;"No change (same URL)"),"Redirects to itself; ","")&amp;IF(AND(M1048&lt;&gt;"",OR(M1048="/",AND(LEFT(M1048,4)="http",OR((LEN(M1048)-LEN(SUBSTITUTE(M1048,"/","")))=2,AND((LEN(M1048)-LEN(SUBSTITUTE(M1048,"/","")))=3,RIGHT(M1048,1)="/"))))),"Home page redirect; ","")&amp;IF(N(R1048)&gt;1,"Chain; ","")&amp;IF(S1048="No","Destination not 200; ","")))</f>
        <v/>
      </c>
      <c r="U1048" s="22" t="n"/>
      <c r="V1048" s="22" t="n"/>
      <c r="W1048" s="4" t="n"/>
    </row>
    <row r="1049">
      <c r="A1049" s="22" t="n"/>
      <c r="B1049" s="22" t="n"/>
      <c r="C1049" s="22" t="n"/>
      <c r="D1049" s="22">
        <f>IF(A1049="","",IF(OR(N(B1049)&gt;=$C$2,N(C1049)&gt;=$E$2),"High",IF(OR(N(B1049)&gt;0,N(C1049)&gt;0),"Medium","Low")))</f>
        <v/>
      </c>
      <c r="E1049" s="22" t="n"/>
      <c r="F1049" s="22" t="n"/>
      <c r="G1049" s="22" t="n"/>
      <c r="H1049" s="22" t="n"/>
      <c r="I1049" s="22" t="n"/>
      <c r="J1049" s="22" t="n"/>
      <c r="K1049" s="22" t="n"/>
      <c r="L1049" s="22" t="n"/>
      <c r="M1049" s="22">
        <f>IF(K1049="Override",L1049,IF(K1049="Accept suggestion",F1049,IF(K1049="No change (same URL)",A1049,"")))</f>
        <v/>
      </c>
      <c r="N1049" s="22">
        <f>IF(A1049="","",IF(K1049="410 Gone","410",IF(K1049="404","404",IF(K1049="No change (same URL)","none",IF(M1049="","","301")))))</f>
        <v/>
      </c>
      <c r="O1049" s="22">
        <f>IF(A1049="","",IFERROR(MID(A1049,FIND("/",A1049,FIND("//",A1049)+2),2000),A1049))</f>
        <v/>
      </c>
      <c r="P1049" s="22">
        <f>IF(OR(O1049="",N1049="",N1049="none",N1049="404"),"",IF(N1049="410","Redirect gone "&amp;O1049,"Redirect "&amp;N1049&amp;" "&amp;O1049&amp;" "&amp;M1049))</f>
        <v/>
      </c>
      <c r="Q1049" s="22" t="n"/>
      <c r="R1049" s="22" t="n"/>
      <c r="S1049" s="22" t="n"/>
      <c r="T1049" s="4">
        <f>IF(A1049="","",TRIM(IF(K1049="","Needs decision; ","")&amp;IF(AND(K1049="Accept suggestion",F1049=""),"No suggestion to accept; ","")&amp;IF(AND(K1049="Override",L1049=""),"Override URL missing; ","")&amp;IF(AND(K1049="Accept suggestion",N(G1049)&lt;$G$2),"Below your threshold; ","")&amp;IF(AND(M1049&lt;&gt;"",M1049=A1049,K1049&lt;&gt;"No change (same URL)"),"Redirects to itself; ","")&amp;IF(AND(M1049&lt;&gt;"",OR(M1049="/",AND(LEFT(M1049,4)="http",OR((LEN(M1049)-LEN(SUBSTITUTE(M1049,"/","")))=2,AND((LEN(M1049)-LEN(SUBSTITUTE(M1049,"/","")))=3,RIGHT(M1049,1)="/"))))),"Home page redirect; ","")&amp;IF(N(R1049)&gt;1,"Chain; ","")&amp;IF(S1049="No","Destination not 200; ","")))</f>
        <v/>
      </c>
      <c r="U1049" s="22" t="n"/>
      <c r="V1049" s="22" t="n"/>
      <c r="W1049" s="4" t="n"/>
    </row>
    <row r="1050">
      <c r="A1050" s="22" t="n"/>
      <c r="B1050" s="22" t="n"/>
      <c r="C1050" s="22" t="n"/>
      <c r="D1050" s="22">
        <f>IF(A1050="","",IF(OR(N(B1050)&gt;=$C$2,N(C1050)&gt;=$E$2),"High",IF(OR(N(B1050)&gt;0,N(C1050)&gt;0),"Medium","Low")))</f>
        <v/>
      </c>
      <c r="E1050" s="22" t="n"/>
      <c r="F1050" s="22" t="n"/>
      <c r="G1050" s="22" t="n"/>
      <c r="H1050" s="22" t="n"/>
      <c r="I1050" s="22" t="n"/>
      <c r="J1050" s="22" t="n"/>
      <c r="K1050" s="22" t="n"/>
      <c r="L1050" s="22" t="n"/>
      <c r="M1050" s="22">
        <f>IF(K1050="Override",L1050,IF(K1050="Accept suggestion",F1050,IF(K1050="No change (same URL)",A1050,"")))</f>
        <v/>
      </c>
      <c r="N1050" s="22">
        <f>IF(A1050="","",IF(K1050="410 Gone","410",IF(K1050="404","404",IF(K1050="No change (same URL)","none",IF(M1050="","","301")))))</f>
        <v/>
      </c>
      <c r="O1050" s="22">
        <f>IF(A1050="","",IFERROR(MID(A1050,FIND("/",A1050,FIND("//",A1050)+2),2000),A1050))</f>
        <v/>
      </c>
      <c r="P1050" s="22">
        <f>IF(OR(O1050="",N1050="",N1050="none",N1050="404"),"",IF(N1050="410","Redirect gone "&amp;O1050,"Redirect "&amp;N1050&amp;" "&amp;O1050&amp;" "&amp;M1050))</f>
        <v/>
      </c>
      <c r="Q1050" s="22" t="n"/>
      <c r="R1050" s="22" t="n"/>
      <c r="S1050" s="22" t="n"/>
      <c r="T1050" s="4">
        <f>IF(A1050="","",TRIM(IF(K1050="","Needs decision; ","")&amp;IF(AND(K1050="Accept suggestion",F1050=""),"No suggestion to accept; ","")&amp;IF(AND(K1050="Override",L1050=""),"Override URL missing; ","")&amp;IF(AND(K1050="Accept suggestion",N(G1050)&lt;$G$2),"Below your threshold; ","")&amp;IF(AND(M1050&lt;&gt;"",M1050=A1050,K1050&lt;&gt;"No change (same URL)"),"Redirects to itself; ","")&amp;IF(AND(M1050&lt;&gt;"",OR(M1050="/",AND(LEFT(M1050,4)="http",OR((LEN(M1050)-LEN(SUBSTITUTE(M1050,"/","")))=2,AND((LEN(M1050)-LEN(SUBSTITUTE(M1050,"/","")))=3,RIGHT(M1050,1)="/"))))),"Home page redirect; ","")&amp;IF(N(R1050)&gt;1,"Chain; ","")&amp;IF(S1050="No","Destination not 200; ","")))</f>
        <v/>
      </c>
      <c r="U1050" s="22" t="n"/>
      <c r="V1050" s="22" t="n"/>
      <c r="W1050" s="4" t="n"/>
    </row>
    <row r="1051">
      <c r="A1051" s="22" t="n"/>
      <c r="B1051" s="22" t="n"/>
      <c r="C1051" s="22" t="n"/>
      <c r="D1051" s="22">
        <f>IF(A1051="","",IF(OR(N(B1051)&gt;=$C$2,N(C1051)&gt;=$E$2),"High",IF(OR(N(B1051)&gt;0,N(C1051)&gt;0),"Medium","Low")))</f>
        <v/>
      </c>
      <c r="E1051" s="22" t="n"/>
      <c r="F1051" s="22" t="n"/>
      <c r="G1051" s="22" t="n"/>
      <c r="H1051" s="22" t="n"/>
      <c r="I1051" s="22" t="n"/>
      <c r="J1051" s="22" t="n"/>
      <c r="K1051" s="22" t="n"/>
      <c r="L1051" s="22" t="n"/>
      <c r="M1051" s="22">
        <f>IF(K1051="Override",L1051,IF(K1051="Accept suggestion",F1051,IF(K1051="No change (same URL)",A1051,"")))</f>
        <v/>
      </c>
      <c r="N1051" s="22">
        <f>IF(A1051="","",IF(K1051="410 Gone","410",IF(K1051="404","404",IF(K1051="No change (same URL)","none",IF(M1051="","","301")))))</f>
        <v/>
      </c>
      <c r="O1051" s="22">
        <f>IF(A1051="","",IFERROR(MID(A1051,FIND("/",A1051,FIND("//",A1051)+2),2000),A1051))</f>
        <v/>
      </c>
      <c r="P1051" s="22">
        <f>IF(OR(O1051="",N1051="",N1051="none",N1051="404"),"",IF(N1051="410","Redirect gone "&amp;O1051,"Redirect "&amp;N1051&amp;" "&amp;O1051&amp;" "&amp;M1051))</f>
        <v/>
      </c>
      <c r="Q1051" s="22" t="n"/>
      <c r="R1051" s="22" t="n"/>
      <c r="S1051" s="22" t="n"/>
      <c r="T1051" s="4">
        <f>IF(A1051="","",TRIM(IF(K1051="","Needs decision; ","")&amp;IF(AND(K1051="Accept suggestion",F1051=""),"No suggestion to accept; ","")&amp;IF(AND(K1051="Override",L1051=""),"Override URL missing; ","")&amp;IF(AND(K1051="Accept suggestion",N(G1051)&lt;$G$2),"Below your threshold; ","")&amp;IF(AND(M1051&lt;&gt;"",M1051=A1051,K1051&lt;&gt;"No change (same URL)"),"Redirects to itself; ","")&amp;IF(AND(M1051&lt;&gt;"",OR(M1051="/",AND(LEFT(M1051,4)="http",OR((LEN(M1051)-LEN(SUBSTITUTE(M1051,"/","")))=2,AND((LEN(M1051)-LEN(SUBSTITUTE(M1051,"/","")))=3,RIGHT(M1051,1)="/"))))),"Home page redirect; ","")&amp;IF(N(R1051)&gt;1,"Chain; ","")&amp;IF(S1051="No","Destination not 200; ","")))</f>
        <v/>
      </c>
      <c r="U1051" s="22" t="n"/>
      <c r="V1051" s="22" t="n"/>
      <c r="W1051" s="4" t="n"/>
    </row>
    <row r="1052">
      <c r="A1052" s="22" t="n"/>
      <c r="B1052" s="22" t="n"/>
      <c r="C1052" s="22" t="n"/>
      <c r="D1052" s="22">
        <f>IF(A1052="","",IF(OR(N(B1052)&gt;=$C$2,N(C1052)&gt;=$E$2),"High",IF(OR(N(B1052)&gt;0,N(C1052)&gt;0),"Medium","Low")))</f>
        <v/>
      </c>
      <c r="E1052" s="22" t="n"/>
      <c r="F1052" s="22" t="n"/>
      <c r="G1052" s="22" t="n"/>
      <c r="H1052" s="22" t="n"/>
      <c r="I1052" s="22" t="n"/>
      <c r="J1052" s="22" t="n"/>
      <c r="K1052" s="22" t="n"/>
      <c r="L1052" s="22" t="n"/>
      <c r="M1052" s="22">
        <f>IF(K1052="Override",L1052,IF(K1052="Accept suggestion",F1052,IF(K1052="No change (same URL)",A1052,"")))</f>
        <v/>
      </c>
      <c r="N1052" s="22">
        <f>IF(A1052="","",IF(K1052="410 Gone","410",IF(K1052="404","404",IF(K1052="No change (same URL)","none",IF(M1052="","","301")))))</f>
        <v/>
      </c>
      <c r="O1052" s="22">
        <f>IF(A1052="","",IFERROR(MID(A1052,FIND("/",A1052,FIND("//",A1052)+2),2000),A1052))</f>
        <v/>
      </c>
      <c r="P1052" s="22">
        <f>IF(OR(O1052="",N1052="",N1052="none",N1052="404"),"",IF(N1052="410","Redirect gone "&amp;O1052,"Redirect "&amp;N1052&amp;" "&amp;O1052&amp;" "&amp;M1052))</f>
        <v/>
      </c>
      <c r="Q1052" s="22" t="n"/>
      <c r="R1052" s="22" t="n"/>
      <c r="S1052" s="22" t="n"/>
      <c r="T1052" s="4">
        <f>IF(A1052="","",TRIM(IF(K1052="","Needs decision; ","")&amp;IF(AND(K1052="Accept suggestion",F1052=""),"No suggestion to accept; ","")&amp;IF(AND(K1052="Override",L1052=""),"Override URL missing; ","")&amp;IF(AND(K1052="Accept suggestion",N(G1052)&lt;$G$2),"Below your threshold; ","")&amp;IF(AND(M1052&lt;&gt;"",M1052=A1052,K1052&lt;&gt;"No change (same URL)"),"Redirects to itself; ","")&amp;IF(AND(M1052&lt;&gt;"",OR(M1052="/",AND(LEFT(M1052,4)="http",OR((LEN(M1052)-LEN(SUBSTITUTE(M1052,"/","")))=2,AND((LEN(M1052)-LEN(SUBSTITUTE(M1052,"/","")))=3,RIGHT(M1052,1)="/"))))),"Home page redirect; ","")&amp;IF(N(R1052)&gt;1,"Chain; ","")&amp;IF(S1052="No","Destination not 200; ","")))</f>
        <v/>
      </c>
      <c r="U1052" s="22" t="n"/>
      <c r="V1052" s="22" t="n"/>
      <c r="W1052" s="4" t="n"/>
    </row>
    <row r="1053">
      <c r="A1053" s="22" t="n"/>
      <c r="B1053" s="22" t="n"/>
      <c r="C1053" s="22" t="n"/>
      <c r="D1053" s="22">
        <f>IF(A1053="","",IF(OR(N(B1053)&gt;=$C$2,N(C1053)&gt;=$E$2),"High",IF(OR(N(B1053)&gt;0,N(C1053)&gt;0),"Medium","Low")))</f>
        <v/>
      </c>
      <c r="E1053" s="22" t="n"/>
      <c r="F1053" s="22" t="n"/>
      <c r="G1053" s="22" t="n"/>
      <c r="H1053" s="22" t="n"/>
      <c r="I1053" s="22" t="n"/>
      <c r="J1053" s="22" t="n"/>
      <c r="K1053" s="22" t="n"/>
      <c r="L1053" s="22" t="n"/>
      <c r="M1053" s="22">
        <f>IF(K1053="Override",L1053,IF(K1053="Accept suggestion",F1053,IF(K1053="No change (same URL)",A1053,"")))</f>
        <v/>
      </c>
      <c r="N1053" s="22">
        <f>IF(A1053="","",IF(K1053="410 Gone","410",IF(K1053="404","404",IF(K1053="No change (same URL)","none",IF(M1053="","","301")))))</f>
        <v/>
      </c>
      <c r="O1053" s="22">
        <f>IF(A1053="","",IFERROR(MID(A1053,FIND("/",A1053,FIND("//",A1053)+2),2000),A1053))</f>
        <v/>
      </c>
      <c r="P1053" s="22">
        <f>IF(OR(O1053="",N1053="",N1053="none",N1053="404"),"",IF(N1053="410","Redirect gone "&amp;O1053,"Redirect "&amp;N1053&amp;" "&amp;O1053&amp;" "&amp;M1053))</f>
        <v/>
      </c>
      <c r="Q1053" s="22" t="n"/>
      <c r="R1053" s="22" t="n"/>
      <c r="S1053" s="22" t="n"/>
      <c r="T1053" s="4">
        <f>IF(A1053="","",TRIM(IF(K1053="","Needs decision; ","")&amp;IF(AND(K1053="Accept suggestion",F1053=""),"No suggestion to accept; ","")&amp;IF(AND(K1053="Override",L1053=""),"Override URL missing; ","")&amp;IF(AND(K1053="Accept suggestion",N(G1053)&lt;$G$2),"Below your threshold; ","")&amp;IF(AND(M1053&lt;&gt;"",M1053=A1053,K1053&lt;&gt;"No change (same URL)"),"Redirects to itself; ","")&amp;IF(AND(M1053&lt;&gt;"",OR(M1053="/",AND(LEFT(M1053,4)="http",OR((LEN(M1053)-LEN(SUBSTITUTE(M1053,"/","")))=2,AND((LEN(M1053)-LEN(SUBSTITUTE(M1053,"/","")))=3,RIGHT(M1053,1)="/"))))),"Home page redirect; ","")&amp;IF(N(R1053)&gt;1,"Chain; ","")&amp;IF(S1053="No","Destination not 200; ","")))</f>
        <v/>
      </c>
      <c r="U1053" s="22" t="n"/>
      <c r="V1053" s="22" t="n"/>
      <c r="W1053" s="4" t="n"/>
    </row>
    <row r="1054">
      <c r="A1054" s="22" t="n"/>
      <c r="B1054" s="22" t="n"/>
      <c r="C1054" s="22" t="n"/>
      <c r="D1054" s="22">
        <f>IF(A1054="","",IF(OR(N(B1054)&gt;=$C$2,N(C1054)&gt;=$E$2),"High",IF(OR(N(B1054)&gt;0,N(C1054)&gt;0),"Medium","Low")))</f>
        <v/>
      </c>
      <c r="E1054" s="22" t="n"/>
      <c r="F1054" s="22" t="n"/>
      <c r="G1054" s="22" t="n"/>
      <c r="H1054" s="22" t="n"/>
      <c r="I1054" s="22" t="n"/>
      <c r="J1054" s="22" t="n"/>
      <c r="K1054" s="22" t="n"/>
      <c r="L1054" s="22" t="n"/>
      <c r="M1054" s="22">
        <f>IF(K1054="Override",L1054,IF(K1054="Accept suggestion",F1054,IF(K1054="No change (same URL)",A1054,"")))</f>
        <v/>
      </c>
      <c r="N1054" s="22">
        <f>IF(A1054="","",IF(K1054="410 Gone","410",IF(K1054="404","404",IF(K1054="No change (same URL)","none",IF(M1054="","","301")))))</f>
        <v/>
      </c>
      <c r="O1054" s="22">
        <f>IF(A1054="","",IFERROR(MID(A1054,FIND("/",A1054,FIND("//",A1054)+2),2000),A1054))</f>
        <v/>
      </c>
      <c r="P1054" s="22">
        <f>IF(OR(O1054="",N1054="",N1054="none",N1054="404"),"",IF(N1054="410","Redirect gone "&amp;O1054,"Redirect "&amp;N1054&amp;" "&amp;O1054&amp;" "&amp;M1054))</f>
        <v/>
      </c>
      <c r="Q1054" s="22" t="n"/>
      <c r="R1054" s="22" t="n"/>
      <c r="S1054" s="22" t="n"/>
      <c r="T1054" s="4">
        <f>IF(A1054="","",TRIM(IF(K1054="","Needs decision; ","")&amp;IF(AND(K1054="Accept suggestion",F1054=""),"No suggestion to accept; ","")&amp;IF(AND(K1054="Override",L1054=""),"Override URL missing; ","")&amp;IF(AND(K1054="Accept suggestion",N(G1054)&lt;$G$2),"Below your threshold; ","")&amp;IF(AND(M1054&lt;&gt;"",M1054=A1054,K1054&lt;&gt;"No change (same URL)"),"Redirects to itself; ","")&amp;IF(AND(M1054&lt;&gt;"",OR(M1054="/",AND(LEFT(M1054,4)="http",OR((LEN(M1054)-LEN(SUBSTITUTE(M1054,"/","")))=2,AND((LEN(M1054)-LEN(SUBSTITUTE(M1054,"/","")))=3,RIGHT(M1054,1)="/"))))),"Home page redirect; ","")&amp;IF(N(R1054)&gt;1,"Chain; ","")&amp;IF(S1054="No","Destination not 200; ","")))</f>
        <v/>
      </c>
      <c r="U1054" s="22" t="n"/>
      <c r="V1054" s="22" t="n"/>
      <c r="W1054" s="4" t="n"/>
    </row>
    <row r="1055">
      <c r="A1055" s="22" t="n"/>
      <c r="B1055" s="22" t="n"/>
      <c r="C1055" s="22" t="n"/>
      <c r="D1055" s="22">
        <f>IF(A1055="","",IF(OR(N(B1055)&gt;=$C$2,N(C1055)&gt;=$E$2),"High",IF(OR(N(B1055)&gt;0,N(C1055)&gt;0),"Medium","Low")))</f>
        <v/>
      </c>
      <c r="E1055" s="22" t="n"/>
      <c r="F1055" s="22" t="n"/>
      <c r="G1055" s="22" t="n"/>
      <c r="H1055" s="22" t="n"/>
      <c r="I1055" s="22" t="n"/>
      <c r="J1055" s="22" t="n"/>
      <c r="K1055" s="22" t="n"/>
      <c r="L1055" s="22" t="n"/>
      <c r="M1055" s="22">
        <f>IF(K1055="Override",L1055,IF(K1055="Accept suggestion",F1055,IF(K1055="No change (same URL)",A1055,"")))</f>
        <v/>
      </c>
      <c r="N1055" s="22">
        <f>IF(A1055="","",IF(K1055="410 Gone","410",IF(K1055="404","404",IF(K1055="No change (same URL)","none",IF(M1055="","","301")))))</f>
        <v/>
      </c>
      <c r="O1055" s="22">
        <f>IF(A1055="","",IFERROR(MID(A1055,FIND("/",A1055,FIND("//",A1055)+2),2000),A1055))</f>
        <v/>
      </c>
      <c r="P1055" s="22">
        <f>IF(OR(O1055="",N1055="",N1055="none",N1055="404"),"",IF(N1055="410","Redirect gone "&amp;O1055,"Redirect "&amp;N1055&amp;" "&amp;O1055&amp;" "&amp;M1055))</f>
        <v/>
      </c>
      <c r="Q1055" s="22" t="n"/>
      <c r="R1055" s="22" t="n"/>
      <c r="S1055" s="22" t="n"/>
      <c r="T1055" s="4">
        <f>IF(A1055="","",TRIM(IF(K1055="","Needs decision; ","")&amp;IF(AND(K1055="Accept suggestion",F1055=""),"No suggestion to accept; ","")&amp;IF(AND(K1055="Override",L1055=""),"Override URL missing; ","")&amp;IF(AND(K1055="Accept suggestion",N(G1055)&lt;$G$2),"Below your threshold; ","")&amp;IF(AND(M1055&lt;&gt;"",M1055=A1055,K1055&lt;&gt;"No change (same URL)"),"Redirects to itself; ","")&amp;IF(AND(M1055&lt;&gt;"",OR(M1055="/",AND(LEFT(M1055,4)="http",OR((LEN(M1055)-LEN(SUBSTITUTE(M1055,"/","")))=2,AND((LEN(M1055)-LEN(SUBSTITUTE(M1055,"/","")))=3,RIGHT(M1055,1)="/"))))),"Home page redirect; ","")&amp;IF(N(R1055)&gt;1,"Chain; ","")&amp;IF(S1055="No","Destination not 200; ","")))</f>
        <v/>
      </c>
      <c r="U1055" s="22" t="n"/>
      <c r="V1055" s="22" t="n"/>
      <c r="W1055" s="4" t="n"/>
    </row>
    <row r="1056">
      <c r="A1056" s="22" t="n"/>
      <c r="B1056" s="22" t="n"/>
      <c r="C1056" s="22" t="n"/>
      <c r="D1056" s="22">
        <f>IF(A1056="","",IF(OR(N(B1056)&gt;=$C$2,N(C1056)&gt;=$E$2),"High",IF(OR(N(B1056)&gt;0,N(C1056)&gt;0),"Medium","Low")))</f>
        <v/>
      </c>
      <c r="E1056" s="22" t="n"/>
      <c r="F1056" s="22" t="n"/>
      <c r="G1056" s="22" t="n"/>
      <c r="H1056" s="22" t="n"/>
      <c r="I1056" s="22" t="n"/>
      <c r="J1056" s="22" t="n"/>
      <c r="K1056" s="22" t="n"/>
      <c r="L1056" s="22" t="n"/>
      <c r="M1056" s="22">
        <f>IF(K1056="Override",L1056,IF(K1056="Accept suggestion",F1056,IF(K1056="No change (same URL)",A1056,"")))</f>
        <v/>
      </c>
      <c r="N1056" s="22">
        <f>IF(A1056="","",IF(K1056="410 Gone","410",IF(K1056="404","404",IF(K1056="No change (same URL)","none",IF(M1056="","","301")))))</f>
        <v/>
      </c>
      <c r="O1056" s="22">
        <f>IF(A1056="","",IFERROR(MID(A1056,FIND("/",A1056,FIND("//",A1056)+2),2000),A1056))</f>
        <v/>
      </c>
      <c r="P1056" s="22">
        <f>IF(OR(O1056="",N1056="",N1056="none",N1056="404"),"",IF(N1056="410","Redirect gone "&amp;O1056,"Redirect "&amp;N1056&amp;" "&amp;O1056&amp;" "&amp;M1056))</f>
        <v/>
      </c>
      <c r="Q1056" s="22" t="n"/>
      <c r="R1056" s="22" t="n"/>
      <c r="S1056" s="22" t="n"/>
      <c r="T1056" s="4">
        <f>IF(A1056="","",TRIM(IF(K1056="","Needs decision; ","")&amp;IF(AND(K1056="Accept suggestion",F1056=""),"No suggestion to accept; ","")&amp;IF(AND(K1056="Override",L1056=""),"Override URL missing; ","")&amp;IF(AND(K1056="Accept suggestion",N(G1056)&lt;$G$2),"Below your threshold; ","")&amp;IF(AND(M1056&lt;&gt;"",M1056=A1056,K1056&lt;&gt;"No change (same URL)"),"Redirects to itself; ","")&amp;IF(AND(M1056&lt;&gt;"",OR(M1056="/",AND(LEFT(M1056,4)="http",OR((LEN(M1056)-LEN(SUBSTITUTE(M1056,"/","")))=2,AND((LEN(M1056)-LEN(SUBSTITUTE(M1056,"/","")))=3,RIGHT(M1056,1)="/"))))),"Home page redirect; ","")&amp;IF(N(R1056)&gt;1,"Chain; ","")&amp;IF(S1056="No","Destination not 200; ","")))</f>
        <v/>
      </c>
      <c r="U1056" s="22" t="n"/>
      <c r="V1056" s="22" t="n"/>
      <c r="W1056" s="4" t="n"/>
    </row>
    <row r="1057">
      <c r="A1057" s="22" t="n"/>
      <c r="B1057" s="22" t="n"/>
      <c r="C1057" s="22" t="n"/>
      <c r="D1057" s="22">
        <f>IF(A1057="","",IF(OR(N(B1057)&gt;=$C$2,N(C1057)&gt;=$E$2),"High",IF(OR(N(B1057)&gt;0,N(C1057)&gt;0),"Medium","Low")))</f>
        <v/>
      </c>
      <c r="E1057" s="22" t="n"/>
      <c r="F1057" s="22" t="n"/>
      <c r="G1057" s="22" t="n"/>
      <c r="H1057" s="22" t="n"/>
      <c r="I1057" s="22" t="n"/>
      <c r="J1057" s="22" t="n"/>
      <c r="K1057" s="22" t="n"/>
      <c r="L1057" s="22" t="n"/>
      <c r="M1057" s="22">
        <f>IF(K1057="Override",L1057,IF(K1057="Accept suggestion",F1057,IF(K1057="No change (same URL)",A1057,"")))</f>
        <v/>
      </c>
      <c r="N1057" s="22">
        <f>IF(A1057="","",IF(K1057="410 Gone","410",IF(K1057="404","404",IF(K1057="No change (same URL)","none",IF(M1057="","","301")))))</f>
        <v/>
      </c>
      <c r="O1057" s="22">
        <f>IF(A1057="","",IFERROR(MID(A1057,FIND("/",A1057,FIND("//",A1057)+2),2000),A1057))</f>
        <v/>
      </c>
      <c r="P1057" s="22">
        <f>IF(OR(O1057="",N1057="",N1057="none",N1057="404"),"",IF(N1057="410","Redirect gone "&amp;O1057,"Redirect "&amp;N1057&amp;" "&amp;O1057&amp;" "&amp;M1057))</f>
        <v/>
      </c>
      <c r="Q1057" s="22" t="n"/>
      <c r="R1057" s="22" t="n"/>
      <c r="S1057" s="22" t="n"/>
      <c r="T1057" s="4">
        <f>IF(A1057="","",TRIM(IF(K1057="","Needs decision; ","")&amp;IF(AND(K1057="Accept suggestion",F1057=""),"No suggestion to accept; ","")&amp;IF(AND(K1057="Override",L1057=""),"Override URL missing; ","")&amp;IF(AND(K1057="Accept suggestion",N(G1057)&lt;$G$2),"Below your threshold; ","")&amp;IF(AND(M1057&lt;&gt;"",M1057=A1057,K1057&lt;&gt;"No change (same URL)"),"Redirects to itself; ","")&amp;IF(AND(M1057&lt;&gt;"",OR(M1057="/",AND(LEFT(M1057,4)="http",OR((LEN(M1057)-LEN(SUBSTITUTE(M1057,"/","")))=2,AND((LEN(M1057)-LEN(SUBSTITUTE(M1057,"/","")))=3,RIGHT(M1057,1)="/"))))),"Home page redirect; ","")&amp;IF(N(R1057)&gt;1,"Chain; ","")&amp;IF(S1057="No","Destination not 200; ","")))</f>
        <v/>
      </c>
      <c r="U1057" s="22" t="n"/>
      <c r="V1057" s="22" t="n"/>
      <c r="W1057" s="4" t="n"/>
    </row>
    <row r="1058">
      <c r="A1058" s="22" t="n"/>
      <c r="B1058" s="22" t="n"/>
      <c r="C1058" s="22" t="n"/>
      <c r="D1058" s="22">
        <f>IF(A1058="","",IF(OR(N(B1058)&gt;=$C$2,N(C1058)&gt;=$E$2),"High",IF(OR(N(B1058)&gt;0,N(C1058)&gt;0),"Medium","Low")))</f>
        <v/>
      </c>
      <c r="E1058" s="22" t="n"/>
      <c r="F1058" s="22" t="n"/>
      <c r="G1058" s="22" t="n"/>
      <c r="H1058" s="22" t="n"/>
      <c r="I1058" s="22" t="n"/>
      <c r="J1058" s="22" t="n"/>
      <c r="K1058" s="22" t="n"/>
      <c r="L1058" s="22" t="n"/>
      <c r="M1058" s="22">
        <f>IF(K1058="Override",L1058,IF(K1058="Accept suggestion",F1058,IF(K1058="No change (same URL)",A1058,"")))</f>
        <v/>
      </c>
      <c r="N1058" s="22">
        <f>IF(A1058="","",IF(K1058="410 Gone","410",IF(K1058="404","404",IF(K1058="No change (same URL)","none",IF(M1058="","","301")))))</f>
        <v/>
      </c>
      <c r="O1058" s="22">
        <f>IF(A1058="","",IFERROR(MID(A1058,FIND("/",A1058,FIND("//",A1058)+2),2000),A1058))</f>
        <v/>
      </c>
      <c r="P1058" s="22">
        <f>IF(OR(O1058="",N1058="",N1058="none",N1058="404"),"",IF(N1058="410","Redirect gone "&amp;O1058,"Redirect "&amp;N1058&amp;" "&amp;O1058&amp;" "&amp;M1058))</f>
        <v/>
      </c>
      <c r="Q1058" s="22" t="n"/>
      <c r="R1058" s="22" t="n"/>
      <c r="S1058" s="22" t="n"/>
      <c r="T1058" s="4">
        <f>IF(A1058="","",TRIM(IF(K1058="","Needs decision; ","")&amp;IF(AND(K1058="Accept suggestion",F1058=""),"No suggestion to accept; ","")&amp;IF(AND(K1058="Override",L1058=""),"Override URL missing; ","")&amp;IF(AND(K1058="Accept suggestion",N(G1058)&lt;$G$2),"Below your threshold; ","")&amp;IF(AND(M1058&lt;&gt;"",M1058=A1058,K1058&lt;&gt;"No change (same URL)"),"Redirects to itself; ","")&amp;IF(AND(M1058&lt;&gt;"",OR(M1058="/",AND(LEFT(M1058,4)="http",OR((LEN(M1058)-LEN(SUBSTITUTE(M1058,"/","")))=2,AND((LEN(M1058)-LEN(SUBSTITUTE(M1058,"/","")))=3,RIGHT(M1058,1)="/"))))),"Home page redirect; ","")&amp;IF(N(R1058)&gt;1,"Chain; ","")&amp;IF(S1058="No","Destination not 200; ","")))</f>
        <v/>
      </c>
      <c r="U1058" s="22" t="n"/>
      <c r="V1058" s="22" t="n"/>
      <c r="W1058" s="4" t="n"/>
    </row>
    <row r="1059">
      <c r="A1059" s="22" t="n"/>
      <c r="B1059" s="22" t="n"/>
      <c r="C1059" s="22" t="n"/>
      <c r="D1059" s="22">
        <f>IF(A1059="","",IF(OR(N(B1059)&gt;=$C$2,N(C1059)&gt;=$E$2),"High",IF(OR(N(B1059)&gt;0,N(C1059)&gt;0),"Medium","Low")))</f>
        <v/>
      </c>
      <c r="E1059" s="22" t="n"/>
      <c r="F1059" s="22" t="n"/>
      <c r="G1059" s="22" t="n"/>
      <c r="H1059" s="22" t="n"/>
      <c r="I1059" s="22" t="n"/>
      <c r="J1059" s="22" t="n"/>
      <c r="K1059" s="22" t="n"/>
      <c r="L1059" s="22" t="n"/>
      <c r="M1059" s="22">
        <f>IF(K1059="Override",L1059,IF(K1059="Accept suggestion",F1059,IF(K1059="No change (same URL)",A1059,"")))</f>
        <v/>
      </c>
      <c r="N1059" s="22">
        <f>IF(A1059="","",IF(K1059="410 Gone","410",IF(K1059="404","404",IF(K1059="No change (same URL)","none",IF(M1059="","","301")))))</f>
        <v/>
      </c>
      <c r="O1059" s="22">
        <f>IF(A1059="","",IFERROR(MID(A1059,FIND("/",A1059,FIND("//",A1059)+2),2000),A1059))</f>
        <v/>
      </c>
      <c r="P1059" s="22">
        <f>IF(OR(O1059="",N1059="",N1059="none",N1059="404"),"",IF(N1059="410","Redirect gone "&amp;O1059,"Redirect "&amp;N1059&amp;" "&amp;O1059&amp;" "&amp;M1059))</f>
        <v/>
      </c>
      <c r="Q1059" s="22" t="n"/>
      <c r="R1059" s="22" t="n"/>
      <c r="S1059" s="22" t="n"/>
      <c r="T1059" s="4">
        <f>IF(A1059="","",TRIM(IF(K1059="","Needs decision; ","")&amp;IF(AND(K1059="Accept suggestion",F1059=""),"No suggestion to accept; ","")&amp;IF(AND(K1059="Override",L1059=""),"Override URL missing; ","")&amp;IF(AND(K1059="Accept suggestion",N(G1059)&lt;$G$2),"Below your threshold; ","")&amp;IF(AND(M1059&lt;&gt;"",M1059=A1059,K1059&lt;&gt;"No change (same URL)"),"Redirects to itself; ","")&amp;IF(AND(M1059&lt;&gt;"",OR(M1059="/",AND(LEFT(M1059,4)="http",OR((LEN(M1059)-LEN(SUBSTITUTE(M1059,"/","")))=2,AND((LEN(M1059)-LEN(SUBSTITUTE(M1059,"/","")))=3,RIGHT(M1059,1)="/"))))),"Home page redirect; ","")&amp;IF(N(R1059)&gt;1,"Chain; ","")&amp;IF(S1059="No","Destination not 200; ","")))</f>
        <v/>
      </c>
      <c r="U1059" s="22" t="n"/>
      <c r="V1059" s="22" t="n"/>
      <c r="W1059" s="4" t="n"/>
    </row>
    <row r="1060">
      <c r="A1060" s="22" t="n"/>
      <c r="B1060" s="22" t="n"/>
      <c r="C1060" s="22" t="n"/>
      <c r="D1060" s="22">
        <f>IF(A1060="","",IF(OR(N(B1060)&gt;=$C$2,N(C1060)&gt;=$E$2),"High",IF(OR(N(B1060)&gt;0,N(C1060)&gt;0),"Medium","Low")))</f>
        <v/>
      </c>
      <c r="E1060" s="22" t="n"/>
      <c r="F1060" s="22" t="n"/>
      <c r="G1060" s="22" t="n"/>
      <c r="H1060" s="22" t="n"/>
      <c r="I1060" s="22" t="n"/>
      <c r="J1060" s="22" t="n"/>
      <c r="K1060" s="22" t="n"/>
      <c r="L1060" s="22" t="n"/>
      <c r="M1060" s="22">
        <f>IF(K1060="Override",L1060,IF(K1060="Accept suggestion",F1060,IF(K1060="No change (same URL)",A1060,"")))</f>
        <v/>
      </c>
      <c r="N1060" s="22">
        <f>IF(A1060="","",IF(K1060="410 Gone","410",IF(K1060="404","404",IF(K1060="No change (same URL)","none",IF(M1060="","","301")))))</f>
        <v/>
      </c>
      <c r="O1060" s="22">
        <f>IF(A1060="","",IFERROR(MID(A1060,FIND("/",A1060,FIND("//",A1060)+2),2000),A1060))</f>
        <v/>
      </c>
      <c r="P1060" s="22">
        <f>IF(OR(O1060="",N1060="",N1060="none",N1060="404"),"",IF(N1060="410","Redirect gone "&amp;O1060,"Redirect "&amp;N1060&amp;" "&amp;O1060&amp;" "&amp;M1060))</f>
        <v/>
      </c>
      <c r="Q1060" s="22" t="n"/>
      <c r="R1060" s="22" t="n"/>
      <c r="S1060" s="22" t="n"/>
      <c r="T1060" s="4">
        <f>IF(A1060="","",TRIM(IF(K1060="","Needs decision; ","")&amp;IF(AND(K1060="Accept suggestion",F1060=""),"No suggestion to accept; ","")&amp;IF(AND(K1060="Override",L1060=""),"Override URL missing; ","")&amp;IF(AND(K1060="Accept suggestion",N(G1060)&lt;$G$2),"Below your threshold; ","")&amp;IF(AND(M1060&lt;&gt;"",M1060=A1060,K1060&lt;&gt;"No change (same URL)"),"Redirects to itself; ","")&amp;IF(AND(M1060&lt;&gt;"",OR(M1060="/",AND(LEFT(M1060,4)="http",OR((LEN(M1060)-LEN(SUBSTITUTE(M1060,"/","")))=2,AND((LEN(M1060)-LEN(SUBSTITUTE(M1060,"/","")))=3,RIGHT(M1060,1)="/"))))),"Home page redirect; ","")&amp;IF(N(R1060)&gt;1,"Chain; ","")&amp;IF(S1060="No","Destination not 200; ","")))</f>
        <v/>
      </c>
      <c r="U1060" s="22" t="n"/>
      <c r="V1060" s="22" t="n"/>
      <c r="W1060" s="4" t="n"/>
    </row>
    <row r="1061">
      <c r="A1061" s="22" t="n"/>
      <c r="B1061" s="22" t="n"/>
      <c r="C1061" s="22" t="n"/>
      <c r="D1061" s="22">
        <f>IF(A1061="","",IF(OR(N(B1061)&gt;=$C$2,N(C1061)&gt;=$E$2),"High",IF(OR(N(B1061)&gt;0,N(C1061)&gt;0),"Medium","Low")))</f>
        <v/>
      </c>
      <c r="E1061" s="22" t="n"/>
      <c r="F1061" s="22" t="n"/>
      <c r="G1061" s="22" t="n"/>
      <c r="H1061" s="22" t="n"/>
      <c r="I1061" s="22" t="n"/>
      <c r="J1061" s="22" t="n"/>
      <c r="K1061" s="22" t="n"/>
      <c r="L1061" s="22" t="n"/>
      <c r="M1061" s="22">
        <f>IF(K1061="Override",L1061,IF(K1061="Accept suggestion",F1061,IF(K1061="No change (same URL)",A1061,"")))</f>
        <v/>
      </c>
      <c r="N1061" s="22">
        <f>IF(A1061="","",IF(K1061="410 Gone","410",IF(K1061="404","404",IF(K1061="No change (same URL)","none",IF(M1061="","","301")))))</f>
        <v/>
      </c>
      <c r="O1061" s="22">
        <f>IF(A1061="","",IFERROR(MID(A1061,FIND("/",A1061,FIND("//",A1061)+2),2000),A1061))</f>
        <v/>
      </c>
      <c r="P1061" s="22">
        <f>IF(OR(O1061="",N1061="",N1061="none",N1061="404"),"",IF(N1061="410","Redirect gone "&amp;O1061,"Redirect "&amp;N1061&amp;" "&amp;O1061&amp;" "&amp;M1061))</f>
        <v/>
      </c>
      <c r="Q1061" s="22" t="n"/>
      <c r="R1061" s="22" t="n"/>
      <c r="S1061" s="22" t="n"/>
      <c r="T1061" s="4">
        <f>IF(A1061="","",TRIM(IF(K1061="","Needs decision; ","")&amp;IF(AND(K1061="Accept suggestion",F1061=""),"No suggestion to accept; ","")&amp;IF(AND(K1061="Override",L1061=""),"Override URL missing; ","")&amp;IF(AND(K1061="Accept suggestion",N(G1061)&lt;$G$2),"Below your threshold; ","")&amp;IF(AND(M1061&lt;&gt;"",M1061=A1061,K1061&lt;&gt;"No change (same URL)"),"Redirects to itself; ","")&amp;IF(AND(M1061&lt;&gt;"",OR(M1061="/",AND(LEFT(M1061,4)="http",OR((LEN(M1061)-LEN(SUBSTITUTE(M1061,"/","")))=2,AND((LEN(M1061)-LEN(SUBSTITUTE(M1061,"/","")))=3,RIGHT(M1061,1)="/"))))),"Home page redirect; ","")&amp;IF(N(R1061)&gt;1,"Chain; ","")&amp;IF(S1061="No","Destination not 200; ","")))</f>
        <v/>
      </c>
      <c r="U1061" s="22" t="n"/>
      <c r="V1061" s="22" t="n"/>
      <c r="W1061" s="4" t="n"/>
    </row>
    <row r="1062">
      <c r="A1062" s="22" t="n"/>
      <c r="B1062" s="22" t="n"/>
      <c r="C1062" s="22" t="n"/>
      <c r="D1062" s="22">
        <f>IF(A1062="","",IF(OR(N(B1062)&gt;=$C$2,N(C1062)&gt;=$E$2),"High",IF(OR(N(B1062)&gt;0,N(C1062)&gt;0),"Medium","Low")))</f>
        <v/>
      </c>
      <c r="E1062" s="22" t="n"/>
      <c r="F1062" s="22" t="n"/>
      <c r="G1062" s="22" t="n"/>
      <c r="H1062" s="22" t="n"/>
      <c r="I1062" s="22" t="n"/>
      <c r="J1062" s="22" t="n"/>
      <c r="K1062" s="22" t="n"/>
      <c r="L1062" s="22" t="n"/>
      <c r="M1062" s="22">
        <f>IF(K1062="Override",L1062,IF(K1062="Accept suggestion",F1062,IF(K1062="No change (same URL)",A1062,"")))</f>
        <v/>
      </c>
      <c r="N1062" s="22">
        <f>IF(A1062="","",IF(K1062="410 Gone","410",IF(K1062="404","404",IF(K1062="No change (same URL)","none",IF(M1062="","","301")))))</f>
        <v/>
      </c>
      <c r="O1062" s="22">
        <f>IF(A1062="","",IFERROR(MID(A1062,FIND("/",A1062,FIND("//",A1062)+2),2000),A1062))</f>
        <v/>
      </c>
      <c r="P1062" s="22">
        <f>IF(OR(O1062="",N1062="",N1062="none",N1062="404"),"",IF(N1062="410","Redirect gone "&amp;O1062,"Redirect "&amp;N1062&amp;" "&amp;O1062&amp;" "&amp;M1062))</f>
        <v/>
      </c>
      <c r="Q1062" s="22" t="n"/>
      <c r="R1062" s="22" t="n"/>
      <c r="S1062" s="22" t="n"/>
      <c r="T1062" s="4">
        <f>IF(A1062="","",TRIM(IF(K1062="","Needs decision; ","")&amp;IF(AND(K1062="Accept suggestion",F1062=""),"No suggestion to accept; ","")&amp;IF(AND(K1062="Override",L1062=""),"Override URL missing; ","")&amp;IF(AND(K1062="Accept suggestion",N(G1062)&lt;$G$2),"Below your threshold; ","")&amp;IF(AND(M1062&lt;&gt;"",M1062=A1062,K1062&lt;&gt;"No change (same URL)"),"Redirects to itself; ","")&amp;IF(AND(M1062&lt;&gt;"",OR(M1062="/",AND(LEFT(M1062,4)="http",OR((LEN(M1062)-LEN(SUBSTITUTE(M1062,"/","")))=2,AND((LEN(M1062)-LEN(SUBSTITUTE(M1062,"/","")))=3,RIGHT(M1062,1)="/"))))),"Home page redirect; ","")&amp;IF(N(R1062)&gt;1,"Chain; ","")&amp;IF(S1062="No","Destination not 200; ","")))</f>
        <v/>
      </c>
      <c r="U1062" s="22" t="n"/>
      <c r="V1062" s="22" t="n"/>
      <c r="W1062" s="4" t="n"/>
    </row>
    <row r="1063">
      <c r="A1063" s="22" t="n"/>
      <c r="B1063" s="22" t="n"/>
      <c r="C1063" s="22" t="n"/>
      <c r="D1063" s="22">
        <f>IF(A1063="","",IF(OR(N(B1063)&gt;=$C$2,N(C1063)&gt;=$E$2),"High",IF(OR(N(B1063)&gt;0,N(C1063)&gt;0),"Medium","Low")))</f>
        <v/>
      </c>
      <c r="E1063" s="22" t="n"/>
      <c r="F1063" s="22" t="n"/>
      <c r="G1063" s="22" t="n"/>
      <c r="H1063" s="22" t="n"/>
      <c r="I1063" s="22" t="n"/>
      <c r="J1063" s="22" t="n"/>
      <c r="K1063" s="22" t="n"/>
      <c r="L1063" s="22" t="n"/>
      <c r="M1063" s="22">
        <f>IF(K1063="Override",L1063,IF(K1063="Accept suggestion",F1063,IF(K1063="No change (same URL)",A1063,"")))</f>
        <v/>
      </c>
      <c r="N1063" s="22">
        <f>IF(A1063="","",IF(K1063="410 Gone","410",IF(K1063="404","404",IF(K1063="No change (same URL)","none",IF(M1063="","","301")))))</f>
        <v/>
      </c>
      <c r="O1063" s="22">
        <f>IF(A1063="","",IFERROR(MID(A1063,FIND("/",A1063,FIND("//",A1063)+2),2000),A1063))</f>
        <v/>
      </c>
      <c r="P1063" s="22">
        <f>IF(OR(O1063="",N1063="",N1063="none",N1063="404"),"",IF(N1063="410","Redirect gone "&amp;O1063,"Redirect "&amp;N1063&amp;" "&amp;O1063&amp;" "&amp;M1063))</f>
        <v/>
      </c>
      <c r="Q1063" s="22" t="n"/>
      <c r="R1063" s="22" t="n"/>
      <c r="S1063" s="22" t="n"/>
      <c r="T1063" s="4">
        <f>IF(A1063="","",TRIM(IF(K1063="","Needs decision; ","")&amp;IF(AND(K1063="Accept suggestion",F1063=""),"No suggestion to accept; ","")&amp;IF(AND(K1063="Override",L1063=""),"Override URL missing; ","")&amp;IF(AND(K1063="Accept suggestion",N(G1063)&lt;$G$2),"Below your threshold; ","")&amp;IF(AND(M1063&lt;&gt;"",M1063=A1063,K1063&lt;&gt;"No change (same URL)"),"Redirects to itself; ","")&amp;IF(AND(M1063&lt;&gt;"",OR(M1063="/",AND(LEFT(M1063,4)="http",OR((LEN(M1063)-LEN(SUBSTITUTE(M1063,"/","")))=2,AND((LEN(M1063)-LEN(SUBSTITUTE(M1063,"/","")))=3,RIGHT(M1063,1)="/"))))),"Home page redirect; ","")&amp;IF(N(R1063)&gt;1,"Chain; ","")&amp;IF(S1063="No","Destination not 200; ","")))</f>
        <v/>
      </c>
      <c r="U1063" s="22" t="n"/>
      <c r="V1063" s="22" t="n"/>
      <c r="W1063" s="4" t="n"/>
    </row>
    <row r="1064">
      <c r="A1064" s="22" t="n"/>
      <c r="B1064" s="22" t="n"/>
      <c r="C1064" s="22" t="n"/>
      <c r="D1064" s="22">
        <f>IF(A1064="","",IF(OR(N(B1064)&gt;=$C$2,N(C1064)&gt;=$E$2),"High",IF(OR(N(B1064)&gt;0,N(C1064)&gt;0),"Medium","Low")))</f>
        <v/>
      </c>
      <c r="E1064" s="22" t="n"/>
      <c r="F1064" s="22" t="n"/>
      <c r="G1064" s="22" t="n"/>
      <c r="H1064" s="22" t="n"/>
      <c r="I1064" s="22" t="n"/>
      <c r="J1064" s="22" t="n"/>
      <c r="K1064" s="22" t="n"/>
      <c r="L1064" s="22" t="n"/>
      <c r="M1064" s="22">
        <f>IF(K1064="Override",L1064,IF(K1064="Accept suggestion",F1064,IF(K1064="No change (same URL)",A1064,"")))</f>
        <v/>
      </c>
      <c r="N1064" s="22">
        <f>IF(A1064="","",IF(K1064="410 Gone","410",IF(K1064="404","404",IF(K1064="No change (same URL)","none",IF(M1064="","","301")))))</f>
        <v/>
      </c>
      <c r="O1064" s="22">
        <f>IF(A1064="","",IFERROR(MID(A1064,FIND("/",A1064,FIND("//",A1064)+2),2000),A1064))</f>
        <v/>
      </c>
      <c r="P1064" s="22">
        <f>IF(OR(O1064="",N1064="",N1064="none",N1064="404"),"",IF(N1064="410","Redirect gone "&amp;O1064,"Redirect "&amp;N1064&amp;" "&amp;O1064&amp;" "&amp;M1064))</f>
        <v/>
      </c>
      <c r="Q1064" s="22" t="n"/>
      <c r="R1064" s="22" t="n"/>
      <c r="S1064" s="22" t="n"/>
      <c r="T1064" s="4">
        <f>IF(A1064="","",TRIM(IF(K1064="","Needs decision; ","")&amp;IF(AND(K1064="Accept suggestion",F1064=""),"No suggestion to accept; ","")&amp;IF(AND(K1064="Override",L1064=""),"Override URL missing; ","")&amp;IF(AND(K1064="Accept suggestion",N(G1064)&lt;$G$2),"Below your threshold; ","")&amp;IF(AND(M1064&lt;&gt;"",M1064=A1064,K1064&lt;&gt;"No change (same URL)"),"Redirects to itself; ","")&amp;IF(AND(M1064&lt;&gt;"",OR(M1064="/",AND(LEFT(M1064,4)="http",OR((LEN(M1064)-LEN(SUBSTITUTE(M1064,"/","")))=2,AND((LEN(M1064)-LEN(SUBSTITUTE(M1064,"/","")))=3,RIGHT(M1064,1)="/"))))),"Home page redirect; ","")&amp;IF(N(R1064)&gt;1,"Chain; ","")&amp;IF(S1064="No","Destination not 200; ","")))</f>
        <v/>
      </c>
      <c r="U1064" s="22" t="n"/>
      <c r="V1064" s="22" t="n"/>
      <c r="W1064" s="4" t="n"/>
    </row>
    <row r="1065">
      <c r="A1065" s="22" t="n"/>
      <c r="B1065" s="22" t="n"/>
      <c r="C1065" s="22" t="n"/>
      <c r="D1065" s="22">
        <f>IF(A1065="","",IF(OR(N(B1065)&gt;=$C$2,N(C1065)&gt;=$E$2),"High",IF(OR(N(B1065)&gt;0,N(C1065)&gt;0),"Medium","Low")))</f>
        <v/>
      </c>
      <c r="E1065" s="22" t="n"/>
      <c r="F1065" s="22" t="n"/>
      <c r="G1065" s="22" t="n"/>
      <c r="H1065" s="22" t="n"/>
      <c r="I1065" s="22" t="n"/>
      <c r="J1065" s="22" t="n"/>
      <c r="K1065" s="22" t="n"/>
      <c r="L1065" s="22" t="n"/>
      <c r="M1065" s="22">
        <f>IF(K1065="Override",L1065,IF(K1065="Accept suggestion",F1065,IF(K1065="No change (same URL)",A1065,"")))</f>
        <v/>
      </c>
      <c r="N1065" s="22">
        <f>IF(A1065="","",IF(K1065="410 Gone","410",IF(K1065="404","404",IF(K1065="No change (same URL)","none",IF(M1065="","","301")))))</f>
        <v/>
      </c>
      <c r="O1065" s="22">
        <f>IF(A1065="","",IFERROR(MID(A1065,FIND("/",A1065,FIND("//",A1065)+2),2000),A1065))</f>
        <v/>
      </c>
      <c r="P1065" s="22">
        <f>IF(OR(O1065="",N1065="",N1065="none",N1065="404"),"",IF(N1065="410","Redirect gone "&amp;O1065,"Redirect "&amp;N1065&amp;" "&amp;O1065&amp;" "&amp;M1065))</f>
        <v/>
      </c>
      <c r="Q1065" s="22" t="n"/>
      <c r="R1065" s="22" t="n"/>
      <c r="S1065" s="22" t="n"/>
      <c r="T1065" s="4">
        <f>IF(A1065="","",TRIM(IF(K1065="","Needs decision; ","")&amp;IF(AND(K1065="Accept suggestion",F1065=""),"No suggestion to accept; ","")&amp;IF(AND(K1065="Override",L1065=""),"Override URL missing; ","")&amp;IF(AND(K1065="Accept suggestion",N(G1065)&lt;$G$2),"Below your threshold; ","")&amp;IF(AND(M1065&lt;&gt;"",M1065=A1065,K1065&lt;&gt;"No change (same URL)"),"Redirects to itself; ","")&amp;IF(AND(M1065&lt;&gt;"",OR(M1065="/",AND(LEFT(M1065,4)="http",OR((LEN(M1065)-LEN(SUBSTITUTE(M1065,"/","")))=2,AND((LEN(M1065)-LEN(SUBSTITUTE(M1065,"/","")))=3,RIGHT(M1065,1)="/"))))),"Home page redirect; ","")&amp;IF(N(R1065)&gt;1,"Chain; ","")&amp;IF(S1065="No","Destination not 200; ","")))</f>
        <v/>
      </c>
      <c r="U1065" s="22" t="n"/>
      <c r="V1065" s="22" t="n"/>
      <c r="W1065" s="4" t="n"/>
    </row>
    <row r="1066">
      <c r="A1066" s="22" t="n"/>
      <c r="B1066" s="22" t="n"/>
      <c r="C1066" s="22" t="n"/>
      <c r="D1066" s="22">
        <f>IF(A1066="","",IF(OR(N(B1066)&gt;=$C$2,N(C1066)&gt;=$E$2),"High",IF(OR(N(B1066)&gt;0,N(C1066)&gt;0),"Medium","Low")))</f>
        <v/>
      </c>
      <c r="E1066" s="22" t="n"/>
      <c r="F1066" s="22" t="n"/>
      <c r="G1066" s="22" t="n"/>
      <c r="H1066" s="22" t="n"/>
      <c r="I1066" s="22" t="n"/>
      <c r="J1066" s="22" t="n"/>
      <c r="K1066" s="22" t="n"/>
      <c r="L1066" s="22" t="n"/>
      <c r="M1066" s="22">
        <f>IF(K1066="Override",L1066,IF(K1066="Accept suggestion",F1066,IF(K1066="No change (same URL)",A1066,"")))</f>
        <v/>
      </c>
      <c r="N1066" s="22">
        <f>IF(A1066="","",IF(K1066="410 Gone","410",IF(K1066="404","404",IF(K1066="No change (same URL)","none",IF(M1066="","","301")))))</f>
        <v/>
      </c>
      <c r="O1066" s="22">
        <f>IF(A1066="","",IFERROR(MID(A1066,FIND("/",A1066,FIND("//",A1066)+2),2000),A1066))</f>
        <v/>
      </c>
      <c r="P1066" s="22">
        <f>IF(OR(O1066="",N1066="",N1066="none",N1066="404"),"",IF(N1066="410","Redirect gone "&amp;O1066,"Redirect "&amp;N1066&amp;" "&amp;O1066&amp;" "&amp;M1066))</f>
        <v/>
      </c>
      <c r="Q1066" s="22" t="n"/>
      <c r="R1066" s="22" t="n"/>
      <c r="S1066" s="22" t="n"/>
      <c r="T1066" s="4">
        <f>IF(A1066="","",TRIM(IF(K1066="","Needs decision; ","")&amp;IF(AND(K1066="Accept suggestion",F1066=""),"No suggestion to accept; ","")&amp;IF(AND(K1066="Override",L1066=""),"Override URL missing; ","")&amp;IF(AND(K1066="Accept suggestion",N(G1066)&lt;$G$2),"Below your threshold; ","")&amp;IF(AND(M1066&lt;&gt;"",M1066=A1066,K1066&lt;&gt;"No change (same URL)"),"Redirects to itself; ","")&amp;IF(AND(M1066&lt;&gt;"",OR(M1066="/",AND(LEFT(M1066,4)="http",OR((LEN(M1066)-LEN(SUBSTITUTE(M1066,"/","")))=2,AND((LEN(M1066)-LEN(SUBSTITUTE(M1066,"/","")))=3,RIGHT(M1066,1)="/"))))),"Home page redirect; ","")&amp;IF(N(R1066)&gt;1,"Chain; ","")&amp;IF(S1066="No","Destination not 200; ","")))</f>
        <v/>
      </c>
      <c r="U1066" s="22" t="n"/>
      <c r="V1066" s="22" t="n"/>
      <c r="W1066" s="4" t="n"/>
    </row>
    <row r="1067">
      <c r="A1067" s="22" t="n"/>
      <c r="B1067" s="22" t="n"/>
      <c r="C1067" s="22" t="n"/>
      <c r="D1067" s="22">
        <f>IF(A1067="","",IF(OR(N(B1067)&gt;=$C$2,N(C1067)&gt;=$E$2),"High",IF(OR(N(B1067)&gt;0,N(C1067)&gt;0),"Medium","Low")))</f>
        <v/>
      </c>
      <c r="E1067" s="22" t="n"/>
      <c r="F1067" s="22" t="n"/>
      <c r="G1067" s="22" t="n"/>
      <c r="H1067" s="22" t="n"/>
      <c r="I1067" s="22" t="n"/>
      <c r="J1067" s="22" t="n"/>
      <c r="K1067" s="22" t="n"/>
      <c r="L1067" s="22" t="n"/>
      <c r="M1067" s="22">
        <f>IF(K1067="Override",L1067,IF(K1067="Accept suggestion",F1067,IF(K1067="No change (same URL)",A1067,"")))</f>
        <v/>
      </c>
      <c r="N1067" s="22">
        <f>IF(A1067="","",IF(K1067="410 Gone","410",IF(K1067="404","404",IF(K1067="No change (same URL)","none",IF(M1067="","","301")))))</f>
        <v/>
      </c>
      <c r="O1067" s="22">
        <f>IF(A1067="","",IFERROR(MID(A1067,FIND("/",A1067,FIND("//",A1067)+2),2000),A1067))</f>
        <v/>
      </c>
      <c r="P1067" s="22">
        <f>IF(OR(O1067="",N1067="",N1067="none",N1067="404"),"",IF(N1067="410","Redirect gone "&amp;O1067,"Redirect "&amp;N1067&amp;" "&amp;O1067&amp;" "&amp;M1067))</f>
        <v/>
      </c>
      <c r="Q1067" s="22" t="n"/>
      <c r="R1067" s="22" t="n"/>
      <c r="S1067" s="22" t="n"/>
      <c r="T1067" s="4">
        <f>IF(A1067="","",TRIM(IF(K1067="","Needs decision; ","")&amp;IF(AND(K1067="Accept suggestion",F1067=""),"No suggestion to accept; ","")&amp;IF(AND(K1067="Override",L1067=""),"Override URL missing; ","")&amp;IF(AND(K1067="Accept suggestion",N(G1067)&lt;$G$2),"Below your threshold; ","")&amp;IF(AND(M1067&lt;&gt;"",M1067=A1067,K1067&lt;&gt;"No change (same URL)"),"Redirects to itself; ","")&amp;IF(AND(M1067&lt;&gt;"",OR(M1067="/",AND(LEFT(M1067,4)="http",OR((LEN(M1067)-LEN(SUBSTITUTE(M1067,"/","")))=2,AND((LEN(M1067)-LEN(SUBSTITUTE(M1067,"/","")))=3,RIGHT(M1067,1)="/"))))),"Home page redirect; ","")&amp;IF(N(R1067)&gt;1,"Chain; ","")&amp;IF(S1067="No","Destination not 200; ","")))</f>
        <v/>
      </c>
      <c r="U1067" s="22" t="n"/>
      <c r="V1067" s="22" t="n"/>
      <c r="W1067" s="4" t="n"/>
    </row>
    <row r="1068">
      <c r="A1068" s="22" t="n"/>
      <c r="B1068" s="22" t="n"/>
      <c r="C1068" s="22" t="n"/>
      <c r="D1068" s="22">
        <f>IF(A1068="","",IF(OR(N(B1068)&gt;=$C$2,N(C1068)&gt;=$E$2),"High",IF(OR(N(B1068)&gt;0,N(C1068)&gt;0),"Medium","Low")))</f>
        <v/>
      </c>
      <c r="E1068" s="22" t="n"/>
      <c r="F1068" s="22" t="n"/>
      <c r="G1068" s="22" t="n"/>
      <c r="H1068" s="22" t="n"/>
      <c r="I1068" s="22" t="n"/>
      <c r="J1068" s="22" t="n"/>
      <c r="K1068" s="22" t="n"/>
      <c r="L1068" s="22" t="n"/>
      <c r="M1068" s="22">
        <f>IF(K1068="Override",L1068,IF(K1068="Accept suggestion",F1068,IF(K1068="No change (same URL)",A1068,"")))</f>
        <v/>
      </c>
      <c r="N1068" s="22">
        <f>IF(A1068="","",IF(K1068="410 Gone","410",IF(K1068="404","404",IF(K1068="No change (same URL)","none",IF(M1068="","","301")))))</f>
        <v/>
      </c>
      <c r="O1068" s="22">
        <f>IF(A1068="","",IFERROR(MID(A1068,FIND("/",A1068,FIND("//",A1068)+2),2000),A1068))</f>
        <v/>
      </c>
      <c r="P1068" s="22">
        <f>IF(OR(O1068="",N1068="",N1068="none",N1068="404"),"",IF(N1068="410","Redirect gone "&amp;O1068,"Redirect "&amp;N1068&amp;" "&amp;O1068&amp;" "&amp;M1068))</f>
        <v/>
      </c>
      <c r="Q1068" s="22" t="n"/>
      <c r="R1068" s="22" t="n"/>
      <c r="S1068" s="22" t="n"/>
      <c r="T1068" s="4">
        <f>IF(A1068="","",TRIM(IF(K1068="","Needs decision; ","")&amp;IF(AND(K1068="Accept suggestion",F1068=""),"No suggestion to accept; ","")&amp;IF(AND(K1068="Override",L1068=""),"Override URL missing; ","")&amp;IF(AND(K1068="Accept suggestion",N(G1068)&lt;$G$2),"Below your threshold; ","")&amp;IF(AND(M1068&lt;&gt;"",M1068=A1068,K1068&lt;&gt;"No change (same URL)"),"Redirects to itself; ","")&amp;IF(AND(M1068&lt;&gt;"",OR(M1068="/",AND(LEFT(M1068,4)="http",OR((LEN(M1068)-LEN(SUBSTITUTE(M1068,"/","")))=2,AND((LEN(M1068)-LEN(SUBSTITUTE(M1068,"/","")))=3,RIGHT(M1068,1)="/"))))),"Home page redirect; ","")&amp;IF(N(R1068)&gt;1,"Chain; ","")&amp;IF(S1068="No","Destination not 200; ","")))</f>
        <v/>
      </c>
      <c r="U1068" s="22" t="n"/>
      <c r="V1068" s="22" t="n"/>
      <c r="W1068" s="4" t="n"/>
    </row>
    <row r="1069">
      <c r="A1069" s="22" t="n"/>
      <c r="B1069" s="22" t="n"/>
      <c r="C1069" s="22" t="n"/>
      <c r="D1069" s="22">
        <f>IF(A1069="","",IF(OR(N(B1069)&gt;=$C$2,N(C1069)&gt;=$E$2),"High",IF(OR(N(B1069)&gt;0,N(C1069)&gt;0),"Medium","Low")))</f>
        <v/>
      </c>
      <c r="E1069" s="22" t="n"/>
      <c r="F1069" s="22" t="n"/>
      <c r="G1069" s="22" t="n"/>
      <c r="H1069" s="22" t="n"/>
      <c r="I1069" s="22" t="n"/>
      <c r="J1069" s="22" t="n"/>
      <c r="K1069" s="22" t="n"/>
      <c r="L1069" s="22" t="n"/>
      <c r="M1069" s="22">
        <f>IF(K1069="Override",L1069,IF(K1069="Accept suggestion",F1069,IF(K1069="No change (same URL)",A1069,"")))</f>
        <v/>
      </c>
      <c r="N1069" s="22">
        <f>IF(A1069="","",IF(K1069="410 Gone","410",IF(K1069="404","404",IF(K1069="No change (same URL)","none",IF(M1069="","","301")))))</f>
        <v/>
      </c>
      <c r="O1069" s="22">
        <f>IF(A1069="","",IFERROR(MID(A1069,FIND("/",A1069,FIND("//",A1069)+2),2000),A1069))</f>
        <v/>
      </c>
      <c r="P1069" s="22">
        <f>IF(OR(O1069="",N1069="",N1069="none",N1069="404"),"",IF(N1069="410","Redirect gone "&amp;O1069,"Redirect "&amp;N1069&amp;" "&amp;O1069&amp;" "&amp;M1069))</f>
        <v/>
      </c>
      <c r="Q1069" s="22" t="n"/>
      <c r="R1069" s="22" t="n"/>
      <c r="S1069" s="22" t="n"/>
      <c r="T1069" s="4">
        <f>IF(A1069="","",TRIM(IF(K1069="","Needs decision; ","")&amp;IF(AND(K1069="Accept suggestion",F1069=""),"No suggestion to accept; ","")&amp;IF(AND(K1069="Override",L1069=""),"Override URL missing; ","")&amp;IF(AND(K1069="Accept suggestion",N(G1069)&lt;$G$2),"Below your threshold; ","")&amp;IF(AND(M1069&lt;&gt;"",M1069=A1069,K1069&lt;&gt;"No change (same URL)"),"Redirects to itself; ","")&amp;IF(AND(M1069&lt;&gt;"",OR(M1069="/",AND(LEFT(M1069,4)="http",OR((LEN(M1069)-LEN(SUBSTITUTE(M1069,"/","")))=2,AND((LEN(M1069)-LEN(SUBSTITUTE(M1069,"/","")))=3,RIGHT(M1069,1)="/"))))),"Home page redirect; ","")&amp;IF(N(R1069)&gt;1,"Chain; ","")&amp;IF(S1069="No","Destination not 200; ","")))</f>
        <v/>
      </c>
      <c r="U1069" s="22" t="n"/>
      <c r="V1069" s="22" t="n"/>
      <c r="W1069" s="4" t="n"/>
    </row>
    <row r="1070">
      <c r="A1070" s="22" t="n"/>
      <c r="B1070" s="22" t="n"/>
      <c r="C1070" s="22" t="n"/>
      <c r="D1070" s="22">
        <f>IF(A1070="","",IF(OR(N(B1070)&gt;=$C$2,N(C1070)&gt;=$E$2),"High",IF(OR(N(B1070)&gt;0,N(C1070)&gt;0),"Medium","Low")))</f>
        <v/>
      </c>
      <c r="E1070" s="22" t="n"/>
      <c r="F1070" s="22" t="n"/>
      <c r="G1070" s="22" t="n"/>
      <c r="H1070" s="22" t="n"/>
      <c r="I1070" s="22" t="n"/>
      <c r="J1070" s="22" t="n"/>
      <c r="K1070" s="22" t="n"/>
      <c r="L1070" s="22" t="n"/>
      <c r="M1070" s="22">
        <f>IF(K1070="Override",L1070,IF(K1070="Accept suggestion",F1070,IF(K1070="No change (same URL)",A1070,"")))</f>
        <v/>
      </c>
      <c r="N1070" s="22">
        <f>IF(A1070="","",IF(K1070="410 Gone","410",IF(K1070="404","404",IF(K1070="No change (same URL)","none",IF(M1070="","","301")))))</f>
        <v/>
      </c>
      <c r="O1070" s="22">
        <f>IF(A1070="","",IFERROR(MID(A1070,FIND("/",A1070,FIND("//",A1070)+2),2000),A1070))</f>
        <v/>
      </c>
      <c r="P1070" s="22">
        <f>IF(OR(O1070="",N1070="",N1070="none",N1070="404"),"",IF(N1070="410","Redirect gone "&amp;O1070,"Redirect "&amp;N1070&amp;" "&amp;O1070&amp;" "&amp;M1070))</f>
        <v/>
      </c>
      <c r="Q1070" s="22" t="n"/>
      <c r="R1070" s="22" t="n"/>
      <c r="S1070" s="22" t="n"/>
      <c r="T1070" s="4">
        <f>IF(A1070="","",TRIM(IF(K1070="","Needs decision; ","")&amp;IF(AND(K1070="Accept suggestion",F1070=""),"No suggestion to accept; ","")&amp;IF(AND(K1070="Override",L1070=""),"Override URL missing; ","")&amp;IF(AND(K1070="Accept suggestion",N(G1070)&lt;$G$2),"Below your threshold; ","")&amp;IF(AND(M1070&lt;&gt;"",M1070=A1070,K1070&lt;&gt;"No change (same URL)"),"Redirects to itself; ","")&amp;IF(AND(M1070&lt;&gt;"",OR(M1070="/",AND(LEFT(M1070,4)="http",OR((LEN(M1070)-LEN(SUBSTITUTE(M1070,"/","")))=2,AND((LEN(M1070)-LEN(SUBSTITUTE(M1070,"/","")))=3,RIGHT(M1070,1)="/"))))),"Home page redirect; ","")&amp;IF(N(R1070)&gt;1,"Chain; ","")&amp;IF(S1070="No","Destination not 200; ","")))</f>
        <v/>
      </c>
      <c r="U1070" s="22" t="n"/>
      <c r="V1070" s="22" t="n"/>
      <c r="W1070" s="4" t="n"/>
    </row>
    <row r="1071">
      <c r="A1071" s="22" t="n"/>
      <c r="B1071" s="22" t="n"/>
      <c r="C1071" s="22" t="n"/>
      <c r="D1071" s="22">
        <f>IF(A1071="","",IF(OR(N(B1071)&gt;=$C$2,N(C1071)&gt;=$E$2),"High",IF(OR(N(B1071)&gt;0,N(C1071)&gt;0),"Medium","Low")))</f>
        <v/>
      </c>
      <c r="E1071" s="22" t="n"/>
      <c r="F1071" s="22" t="n"/>
      <c r="G1071" s="22" t="n"/>
      <c r="H1071" s="22" t="n"/>
      <c r="I1071" s="22" t="n"/>
      <c r="J1071" s="22" t="n"/>
      <c r="K1071" s="22" t="n"/>
      <c r="L1071" s="22" t="n"/>
      <c r="M1071" s="22">
        <f>IF(K1071="Override",L1071,IF(K1071="Accept suggestion",F1071,IF(K1071="No change (same URL)",A1071,"")))</f>
        <v/>
      </c>
      <c r="N1071" s="22">
        <f>IF(A1071="","",IF(K1071="410 Gone","410",IF(K1071="404","404",IF(K1071="No change (same URL)","none",IF(M1071="","","301")))))</f>
        <v/>
      </c>
      <c r="O1071" s="22">
        <f>IF(A1071="","",IFERROR(MID(A1071,FIND("/",A1071,FIND("//",A1071)+2),2000),A1071))</f>
        <v/>
      </c>
      <c r="P1071" s="22">
        <f>IF(OR(O1071="",N1071="",N1071="none",N1071="404"),"",IF(N1071="410","Redirect gone "&amp;O1071,"Redirect "&amp;N1071&amp;" "&amp;O1071&amp;" "&amp;M1071))</f>
        <v/>
      </c>
      <c r="Q1071" s="22" t="n"/>
      <c r="R1071" s="22" t="n"/>
      <c r="S1071" s="22" t="n"/>
      <c r="T1071" s="4">
        <f>IF(A1071="","",TRIM(IF(K1071="","Needs decision; ","")&amp;IF(AND(K1071="Accept suggestion",F1071=""),"No suggestion to accept; ","")&amp;IF(AND(K1071="Override",L1071=""),"Override URL missing; ","")&amp;IF(AND(K1071="Accept suggestion",N(G1071)&lt;$G$2),"Below your threshold; ","")&amp;IF(AND(M1071&lt;&gt;"",M1071=A1071,K1071&lt;&gt;"No change (same URL)"),"Redirects to itself; ","")&amp;IF(AND(M1071&lt;&gt;"",OR(M1071="/",AND(LEFT(M1071,4)="http",OR((LEN(M1071)-LEN(SUBSTITUTE(M1071,"/","")))=2,AND((LEN(M1071)-LEN(SUBSTITUTE(M1071,"/","")))=3,RIGHT(M1071,1)="/"))))),"Home page redirect; ","")&amp;IF(N(R1071)&gt;1,"Chain; ","")&amp;IF(S1071="No","Destination not 200; ","")))</f>
        <v/>
      </c>
      <c r="U1071" s="22" t="n"/>
      <c r="V1071" s="22" t="n"/>
      <c r="W1071" s="4" t="n"/>
    </row>
    <row r="1072">
      <c r="A1072" s="22" t="n"/>
      <c r="B1072" s="22" t="n"/>
      <c r="C1072" s="22" t="n"/>
      <c r="D1072" s="22">
        <f>IF(A1072="","",IF(OR(N(B1072)&gt;=$C$2,N(C1072)&gt;=$E$2),"High",IF(OR(N(B1072)&gt;0,N(C1072)&gt;0),"Medium","Low")))</f>
        <v/>
      </c>
      <c r="E1072" s="22" t="n"/>
      <c r="F1072" s="22" t="n"/>
      <c r="G1072" s="22" t="n"/>
      <c r="H1072" s="22" t="n"/>
      <c r="I1072" s="22" t="n"/>
      <c r="J1072" s="22" t="n"/>
      <c r="K1072" s="22" t="n"/>
      <c r="L1072" s="22" t="n"/>
      <c r="M1072" s="22">
        <f>IF(K1072="Override",L1072,IF(K1072="Accept suggestion",F1072,IF(K1072="No change (same URL)",A1072,"")))</f>
        <v/>
      </c>
      <c r="N1072" s="22">
        <f>IF(A1072="","",IF(K1072="410 Gone","410",IF(K1072="404","404",IF(K1072="No change (same URL)","none",IF(M1072="","","301")))))</f>
        <v/>
      </c>
      <c r="O1072" s="22">
        <f>IF(A1072="","",IFERROR(MID(A1072,FIND("/",A1072,FIND("//",A1072)+2),2000),A1072))</f>
        <v/>
      </c>
      <c r="P1072" s="22">
        <f>IF(OR(O1072="",N1072="",N1072="none",N1072="404"),"",IF(N1072="410","Redirect gone "&amp;O1072,"Redirect "&amp;N1072&amp;" "&amp;O1072&amp;" "&amp;M1072))</f>
        <v/>
      </c>
      <c r="Q1072" s="22" t="n"/>
      <c r="R1072" s="22" t="n"/>
      <c r="S1072" s="22" t="n"/>
      <c r="T1072" s="4">
        <f>IF(A1072="","",TRIM(IF(K1072="","Needs decision; ","")&amp;IF(AND(K1072="Accept suggestion",F1072=""),"No suggestion to accept; ","")&amp;IF(AND(K1072="Override",L1072=""),"Override URL missing; ","")&amp;IF(AND(K1072="Accept suggestion",N(G1072)&lt;$G$2),"Below your threshold; ","")&amp;IF(AND(M1072&lt;&gt;"",M1072=A1072,K1072&lt;&gt;"No change (same URL)"),"Redirects to itself; ","")&amp;IF(AND(M1072&lt;&gt;"",OR(M1072="/",AND(LEFT(M1072,4)="http",OR((LEN(M1072)-LEN(SUBSTITUTE(M1072,"/","")))=2,AND((LEN(M1072)-LEN(SUBSTITUTE(M1072,"/","")))=3,RIGHT(M1072,1)="/"))))),"Home page redirect; ","")&amp;IF(N(R1072)&gt;1,"Chain; ","")&amp;IF(S1072="No","Destination not 200; ","")))</f>
        <v/>
      </c>
      <c r="U1072" s="22" t="n"/>
      <c r="V1072" s="22" t="n"/>
      <c r="W1072" s="4" t="n"/>
    </row>
    <row r="1073">
      <c r="A1073" s="22" t="n"/>
      <c r="B1073" s="22" t="n"/>
      <c r="C1073" s="22" t="n"/>
      <c r="D1073" s="22">
        <f>IF(A1073="","",IF(OR(N(B1073)&gt;=$C$2,N(C1073)&gt;=$E$2),"High",IF(OR(N(B1073)&gt;0,N(C1073)&gt;0),"Medium","Low")))</f>
        <v/>
      </c>
      <c r="E1073" s="22" t="n"/>
      <c r="F1073" s="22" t="n"/>
      <c r="G1073" s="22" t="n"/>
      <c r="H1073" s="22" t="n"/>
      <c r="I1073" s="22" t="n"/>
      <c r="J1073" s="22" t="n"/>
      <c r="K1073" s="22" t="n"/>
      <c r="L1073" s="22" t="n"/>
      <c r="M1073" s="22">
        <f>IF(K1073="Override",L1073,IF(K1073="Accept suggestion",F1073,IF(K1073="No change (same URL)",A1073,"")))</f>
        <v/>
      </c>
      <c r="N1073" s="22">
        <f>IF(A1073="","",IF(K1073="410 Gone","410",IF(K1073="404","404",IF(K1073="No change (same URL)","none",IF(M1073="","","301")))))</f>
        <v/>
      </c>
      <c r="O1073" s="22">
        <f>IF(A1073="","",IFERROR(MID(A1073,FIND("/",A1073,FIND("//",A1073)+2),2000),A1073))</f>
        <v/>
      </c>
      <c r="P1073" s="22">
        <f>IF(OR(O1073="",N1073="",N1073="none",N1073="404"),"",IF(N1073="410","Redirect gone "&amp;O1073,"Redirect "&amp;N1073&amp;" "&amp;O1073&amp;" "&amp;M1073))</f>
        <v/>
      </c>
      <c r="Q1073" s="22" t="n"/>
      <c r="R1073" s="22" t="n"/>
      <c r="S1073" s="22" t="n"/>
      <c r="T1073" s="4">
        <f>IF(A1073="","",TRIM(IF(K1073="","Needs decision; ","")&amp;IF(AND(K1073="Accept suggestion",F1073=""),"No suggestion to accept; ","")&amp;IF(AND(K1073="Override",L1073=""),"Override URL missing; ","")&amp;IF(AND(K1073="Accept suggestion",N(G1073)&lt;$G$2),"Below your threshold; ","")&amp;IF(AND(M1073&lt;&gt;"",M1073=A1073,K1073&lt;&gt;"No change (same URL)"),"Redirects to itself; ","")&amp;IF(AND(M1073&lt;&gt;"",OR(M1073="/",AND(LEFT(M1073,4)="http",OR((LEN(M1073)-LEN(SUBSTITUTE(M1073,"/","")))=2,AND((LEN(M1073)-LEN(SUBSTITUTE(M1073,"/","")))=3,RIGHT(M1073,1)="/"))))),"Home page redirect; ","")&amp;IF(N(R1073)&gt;1,"Chain; ","")&amp;IF(S1073="No","Destination not 200; ","")))</f>
        <v/>
      </c>
      <c r="U1073" s="22" t="n"/>
      <c r="V1073" s="22" t="n"/>
      <c r="W1073" s="4" t="n"/>
    </row>
    <row r="1074">
      <c r="A1074" s="22" t="n"/>
      <c r="B1074" s="22" t="n"/>
      <c r="C1074" s="22" t="n"/>
      <c r="D1074" s="22">
        <f>IF(A1074="","",IF(OR(N(B1074)&gt;=$C$2,N(C1074)&gt;=$E$2),"High",IF(OR(N(B1074)&gt;0,N(C1074)&gt;0),"Medium","Low")))</f>
        <v/>
      </c>
      <c r="E1074" s="22" t="n"/>
      <c r="F1074" s="22" t="n"/>
      <c r="G1074" s="22" t="n"/>
      <c r="H1074" s="22" t="n"/>
      <c r="I1074" s="22" t="n"/>
      <c r="J1074" s="22" t="n"/>
      <c r="K1074" s="22" t="n"/>
      <c r="L1074" s="22" t="n"/>
      <c r="M1074" s="22">
        <f>IF(K1074="Override",L1074,IF(K1074="Accept suggestion",F1074,IF(K1074="No change (same URL)",A1074,"")))</f>
        <v/>
      </c>
      <c r="N1074" s="22">
        <f>IF(A1074="","",IF(K1074="410 Gone","410",IF(K1074="404","404",IF(K1074="No change (same URL)","none",IF(M1074="","","301")))))</f>
        <v/>
      </c>
      <c r="O1074" s="22">
        <f>IF(A1074="","",IFERROR(MID(A1074,FIND("/",A1074,FIND("//",A1074)+2),2000),A1074))</f>
        <v/>
      </c>
      <c r="P1074" s="22">
        <f>IF(OR(O1074="",N1074="",N1074="none",N1074="404"),"",IF(N1074="410","Redirect gone "&amp;O1074,"Redirect "&amp;N1074&amp;" "&amp;O1074&amp;" "&amp;M1074))</f>
        <v/>
      </c>
      <c r="Q1074" s="22" t="n"/>
      <c r="R1074" s="22" t="n"/>
      <c r="S1074" s="22" t="n"/>
      <c r="T1074" s="4">
        <f>IF(A1074="","",TRIM(IF(K1074="","Needs decision; ","")&amp;IF(AND(K1074="Accept suggestion",F1074=""),"No suggestion to accept; ","")&amp;IF(AND(K1074="Override",L1074=""),"Override URL missing; ","")&amp;IF(AND(K1074="Accept suggestion",N(G1074)&lt;$G$2),"Below your threshold; ","")&amp;IF(AND(M1074&lt;&gt;"",M1074=A1074,K1074&lt;&gt;"No change (same URL)"),"Redirects to itself; ","")&amp;IF(AND(M1074&lt;&gt;"",OR(M1074="/",AND(LEFT(M1074,4)="http",OR((LEN(M1074)-LEN(SUBSTITUTE(M1074,"/","")))=2,AND((LEN(M1074)-LEN(SUBSTITUTE(M1074,"/","")))=3,RIGHT(M1074,1)="/"))))),"Home page redirect; ","")&amp;IF(N(R1074)&gt;1,"Chain; ","")&amp;IF(S1074="No","Destination not 200; ","")))</f>
        <v/>
      </c>
      <c r="U1074" s="22" t="n"/>
      <c r="V1074" s="22" t="n"/>
      <c r="W1074" s="4" t="n"/>
    </row>
    <row r="1075">
      <c r="A1075" s="22" t="n"/>
      <c r="B1075" s="22" t="n"/>
      <c r="C1075" s="22" t="n"/>
      <c r="D1075" s="22">
        <f>IF(A1075="","",IF(OR(N(B1075)&gt;=$C$2,N(C1075)&gt;=$E$2),"High",IF(OR(N(B1075)&gt;0,N(C1075)&gt;0),"Medium","Low")))</f>
        <v/>
      </c>
      <c r="E1075" s="22" t="n"/>
      <c r="F1075" s="22" t="n"/>
      <c r="G1075" s="22" t="n"/>
      <c r="H1075" s="22" t="n"/>
      <c r="I1075" s="22" t="n"/>
      <c r="J1075" s="22" t="n"/>
      <c r="K1075" s="22" t="n"/>
      <c r="L1075" s="22" t="n"/>
      <c r="M1075" s="22">
        <f>IF(K1075="Override",L1075,IF(K1075="Accept suggestion",F1075,IF(K1075="No change (same URL)",A1075,"")))</f>
        <v/>
      </c>
      <c r="N1075" s="22">
        <f>IF(A1075="","",IF(K1075="410 Gone","410",IF(K1075="404","404",IF(K1075="No change (same URL)","none",IF(M1075="","","301")))))</f>
        <v/>
      </c>
      <c r="O1075" s="22">
        <f>IF(A1075="","",IFERROR(MID(A1075,FIND("/",A1075,FIND("//",A1075)+2),2000),A1075))</f>
        <v/>
      </c>
      <c r="P1075" s="22">
        <f>IF(OR(O1075="",N1075="",N1075="none",N1075="404"),"",IF(N1075="410","Redirect gone "&amp;O1075,"Redirect "&amp;N1075&amp;" "&amp;O1075&amp;" "&amp;M1075))</f>
        <v/>
      </c>
      <c r="Q1075" s="22" t="n"/>
      <c r="R1075" s="22" t="n"/>
      <c r="S1075" s="22" t="n"/>
      <c r="T1075" s="4">
        <f>IF(A1075="","",TRIM(IF(K1075="","Needs decision; ","")&amp;IF(AND(K1075="Accept suggestion",F1075=""),"No suggestion to accept; ","")&amp;IF(AND(K1075="Override",L1075=""),"Override URL missing; ","")&amp;IF(AND(K1075="Accept suggestion",N(G1075)&lt;$G$2),"Below your threshold; ","")&amp;IF(AND(M1075&lt;&gt;"",M1075=A1075,K1075&lt;&gt;"No change (same URL)"),"Redirects to itself; ","")&amp;IF(AND(M1075&lt;&gt;"",OR(M1075="/",AND(LEFT(M1075,4)="http",OR((LEN(M1075)-LEN(SUBSTITUTE(M1075,"/","")))=2,AND((LEN(M1075)-LEN(SUBSTITUTE(M1075,"/","")))=3,RIGHT(M1075,1)="/"))))),"Home page redirect; ","")&amp;IF(N(R1075)&gt;1,"Chain; ","")&amp;IF(S1075="No","Destination not 200; ","")))</f>
        <v/>
      </c>
      <c r="U1075" s="22" t="n"/>
      <c r="V1075" s="22" t="n"/>
      <c r="W1075" s="4" t="n"/>
    </row>
    <row r="1076">
      <c r="A1076" s="22" t="n"/>
      <c r="B1076" s="22" t="n"/>
      <c r="C1076" s="22" t="n"/>
      <c r="D1076" s="22">
        <f>IF(A1076="","",IF(OR(N(B1076)&gt;=$C$2,N(C1076)&gt;=$E$2),"High",IF(OR(N(B1076)&gt;0,N(C1076)&gt;0),"Medium","Low")))</f>
        <v/>
      </c>
      <c r="E1076" s="22" t="n"/>
      <c r="F1076" s="22" t="n"/>
      <c r="G1076" s="22" t="n"/>
      <c r="H1076" s="22" t="n"/>
      <c r="I1076" s="22" t="n"/>
      <c r="J1076" s="22" t="n"/>
      <c r="K1076" s="22" t="n"/>
      <c r="L1076" s="22" t="n"/>
      <c r="M1076" s="22">
        <f>IF(K1076="Override",L1076,IF(K1076="Accept suggestion",F1076,IF(K1076="No change (same URL)",A1076,"")))</f>
        <v/>
      </c>
      <c r="N1076" s="22">
        <f>IF(A1076="","",IF(K1076="410 Gone","410",IF(K1076="404","404",IF(K1076="No change (same URL)","none",IF(M1076="","","301")))))</f>
        <v/>
      </c>
      <c r="O1076" s="22">
        <f>IF(A1076="","",IFERROR(MID(A1076,FIND("/",A1076,FIND("//",A1076)+2),2000),A1076))</f>
        <v/>
      </c>
      <c r="P1076" s="22">
        <f>IF(OR(O1076="",N1076="",N1076="none",N1076="404"),"",IF(N1076="410","Redirect gone "&amp;O1076,"Redirect "&amp;N1076&amp;" "&amp;O1076&amp;" "&amp;M1076))</f>
        <v/>
      </c>
      <c r="Q1076" s="22" t="n"/>
      <c r="R1076" s="22" t="n"/>
      <c r="S1076" s="22" t="n"/>
      <c r="T1076" s="4">
        <f>IF(A1076="","",TRIM(IF(K1076="","Needs decision; ","")&amp;IF(AND(K1076="Accept suggestion",F1076=""),"No suggestion to accept; ","")&amp;IF(AND(K1076="Override",L1076=""),"Override URL missing; ","")&amp;IF(AND(K1076="Accept suggestion",N(G1076)&lt;$G$2),"Below your threshold; ","")&amp;IF(AND(M1076&lt;&gt;"",M1076=A1076,K1076&lt;&gt;"No change (same URL)"),"Redirects to itself; ","")&amp;IF(AND(M1076&lt;&gt;"",OR(M1076="/",AND(LEFT(M1076,4)="http",OR((LEN(M1076)-LEN(SUBSTITUTE(M1076,"/","")))=2,AND((LEN(M1076)-LEN(SUBSTITUTE(M1076,"/","")))=3,RIGHT(M1076,1)="/"))))),"Home page redirect; ","")&amp;IF(N(R1076)&gt;1,"Chain; ","")&amp;IF(S1076="No","Destination not 200; ","")))</f>
        <v/>
      </c>
      <c r="U1076" s="22" t="n"/>
      <c r="V1076" s="22" t="n"/>
      <c r="W1076" s="4" t="n"/>
    </row>
    <row r="1077">
      <c r="A1077" s="22" t="n"/>
      <c r="B1077" s="22" t="n"/>
      <c r="C1077" s="22" t="n"/>
      <c r="D1077" s="22">
        <f>IF(A1077="","",IF(OR(N(B1077)&gt;=$C$2,N(C1077)&gt;=$E$2),"High",IF(OR(N(B1077)&gt;0,N(C1077)&gt;0),"Medium","Low")))</f>
        <v/>
      </c>
      <c r="E1077" s="22" t="n"/>
      <c r="F1077" s="22" t="n"/>
      <c r="G1077" s="22" t="n"/>
      <c r="H1077" s="22" t="n"/>
      <c r="I1077" s="22" t="n"/>
      <c r="J1077" s="22" t="n"/>
      <c r="K1077" s="22" t="n"/>
      <c r="L1077" s="22" t="n"/>
      <c r="M1077" s="22">
        <f>IF(K1077="Override",L1077,IF(K1077="Accept suggestion",F1077,IF(K1077="No change (same URL)",A1077,"")))</f>
        <v/>
      </c>
      <c r="N1077" s="22">
        <f>IF(A1077="","",IF(K1077="410 Gone","410",IF(K1077="404","404",IF(K1077="No change (same URL)","none",IF(M1077="","","301")))))</f>
        <v/>
      </c>
      <c r="O1077" s="22">
        <f>IF(A1077="","",IFERROR(MID(A1077,FIND("/",A1077,FIND("//",A1077)+2),2000),A1077))</f>
        <v/>
      </c>
      <c r="P1077" s="22">
        <f>IF(OR(O1077="",N1077="",N1077="none",N1077="404"),"",IF(N1077="410","Redirect gone "&amp;O1077,"Redirect "&amp;N1077&amp;" "&amp;O1077&amp;" "&amp;M1077))</f>
        <v/>
      </c>
      <c r="Q1077" s="22" t="n"/>
      <c r="R1077" s="22" t="n"/>
      <c r="S1077" s="22" t="n"/>
      <c r="T1077" s="4">
        <f>IF(A1077="","",TRIM(IF(K1077="","Needs decision; ","")&amp;IF(AND(K1077="Accept suggestion",F1077=""),"No suggestion to accept; ","")&amp;IF(AND(K1077="Override",L1077=""),"Override URL missing; ","")&amp;IF(AND(K1077="Accept suggestion",N(G1077)&lt;$G$2),"Below your threshold; ","")&amp;IF(AND(M1077&lt;&gt;"",M1077=A1077,K1077&lt;&gt;"No change (same URL)"),"Redirects to itself; ","")&amp;IF(AND(M1077&lt;&gt;"",OR(M1077="/",AND(LEFT(M1077,4)="http",OR((LEN(M1077)-LEN(SUBSTITUTE(M1077,"/","")))=2,AND((LEN(M1077)-LEN(SUBSTITUTE(M1077,"/","")))=3,RIGHT(M1077,1)="/"))))),"Home page redirect; ","")&amp;IF(N(R1077)&gt;1,"Chain; ","")&amp;IF(S1077="No","Destination not 200; ","")))</f>
        <v/>
      </c>
      <c r="U1077" s="22" t="n"/>
      <c r="V1077" s="22" t="n"/>
      <c r="W1077" s="4" t="n"/>
    </row>
    <row r="1078">
      <c r="A1078" s="22" t="n"/>
      <c r="B1078" s="22" t="n"/>
      <c r="C1078" s="22" t="n"/>
      <c r="D1078" s="22">
        <f>IF(A1078="","",IF(OR(N(B1078)&gt;=$C$2,N(C1078)&gt;=$E$2),"High",IF(OR(N(B1078)&gt;0,N(C1078)&gt;0),"Medium","Low")))</f>
        <v/>
      </c>
      <c r="E1078" s="22" t="n"/>
      <c r="F1078" s="22" t="n"/>
      <c r="G1078" s="22" t="n"/>
      <c r="H1078" s="22" t="n"/>
      <c r="I1078" s="22" t="n"/>
      <c r="J1078" s="22" t="n"/>
      <c r="K1078" s="22" t="n"/>
      <c r="L1078" s="22" t="n"/>
      <c r="M1078" s="22">
        <f>IF(K1078="Override",L1078,IF(K1078="Accept suggestion",F1078,IF(K1078="No change (same URL)",A1078,"")))</f>
        <v/>
      </c>
      <c r="N1078" s="22">
        <f>IF(A1078="","",IF(K1078="410 Gone","410",IF(K1078="404","404",IF(K1078="No change (same URL)","none",IF(M1078="","","301")))))</f>
        <v/>
      </c>
      <c r="O1078" s="22">
        <f>IF(A1078="","",IFERROR(MID(A1078,FIND("/",A1078,FIND("//",A1078)+2),2000),A1078))</f>
        <v/>
      </c>
      <c r="P1078" s="22">
        <f>IF(OR(O1078="",N1078="",N1078="none",N1078="404"),"",IF(N1078="410","Redirect gone "&amp;O1078,"Redirect "&amp;N1078&amp;" "&amp;O1078&amp;" "&amp;M1078))</f>
        <v/>
      </c>
      <c r="Q1078" s="22" t="n"/>
      <c r="R1078" s="22" t="n"/>
      <c r="S1078" s="22" t="n"/>
      <c r="T1078" s="4">
        <f>IF(A1078="","",TRIM(IF(K1078="","Needs decision; ","")&amp;IF(AND(K1078="Accept suggestion",F1078=""),"No suggestion to accept; ","")&amp;IF(AND(K1078="Override",L1078=""),"Override URL missing; ","")&amp;IF(AND(K1078="Accept suggestion",N(G1078)&lt;$G$2),"Below your threshold; ","")&amp;IF(AND(M1078&lt;&gt;"",M1078=A1078,K1078&lt;&gt;"No change (same URL)"),"Redirects to itself; ","")&amp;IF(AND(M1078&lt;&gt;"",OR(M1078="/",AND(LEFT(M1078,4)="http",OR((LEN(M1078)-LEN(SUBSTITUTE(M1078,"/","")))=2,AND((LEN(M1078)-LEN(SUBSTITUTE(M1078,"/","")))=3,RIGHT(M1078,1)="/"))))),"Home page redirect; ","")&amp;IF(N(R1078)&gt;1,"Chain; ","")&amp;IF(S1078="No","Destination not 200; ","")))</f>
        <v/>
      </c>
      <c r="U1078" s="22" t="n"/>
      <c r="V1078" s="22" t="n"/>
      <c r="W1078" s="4" t="n"/>
    </row>
    <row r="1079">
      <c r="A1079" s="22" t="n"/>
      <c r="B1079" s="22" t="n"/>
      <c r="C1079" s="22" t="n"/>
      <c r="D1079" s="22">
        <f>IF(A1079="","",IF(OR(N(B1079)&gt;=$C$2,N(C1079)&gt;=$E$2),"High",IF(OR(N(B1079)&gt;0,N(C1079)&gt;0),"Medium","Low")))</f>
        <v/>
      </c>
      <c r="E1079" s="22" t="n"/>
      <c r="F1079" s="22" t="n"/>
      <c r="G1079" s="22" t="n"/>
      <c r="H1079" s="22" t="n"/>
      <c r="I1079" s="22" t="n"/>
      <c r="J1079" s="22" t="n"/>
      <c r="K1079" s="22" t="n"/>
      <c r="L1079" s="22" t="n"/>
      <c r="M1079" s="22">
        <f>IF(K1079="Override",L1079,IF(K1079="Accept suggestion",F1079,IF(K1079="No change (same URL)",A1079,"")))</f>
        <v/>
      </c>
      <c r="N1079" s="22">
        <f>IF(A1079="","",IF(K1079="410 Gone","410",IF(K1079="404","404",IF(K1079="No change (same URL)","none",IF(M1079="","","301")))))</f>
        <v/>
      </c>
      <c r="O1079" s="22">
        <f>IF(A1079="","",IFERROR(MID(A1079,FIND("/",A1079,FIND("//",A1079)+2),2000),A1079))</f>
        <v/>
      </c>
      <c r="P1079" s="22">
        <f>IF(OR(O1079="",N1079="",N1079="none",N1079="404"),"",IF(N1079="410","Redirect gone "&amp;O1079,"Redirect "&amp;N1079&amp;" "&amp;O1079&amp;" "&amp;M1079))</f>
        <v/>
      </c>
      <c r="Q1079" s="22" t="n"/>
      <c r="R1079" s="22" t="n"/>
      <c r="S1079" s="22" t="n"/>
      <c r="T1079" s="4">
        <f>IF(A1079="","",TRIM(IF(K1079="","Needs decision; ","")&amp;IF(AND(K1079="Accept suggestion",F1079=""),"No suggestion to accept; ","")&amp;IF(AND(K1079="Override",L1079=""),"Override URL missing; ","")&amp;IF(AND(K1079="Accept suggestion",N(G1079)&lt;$G$2),"Below your threshold; ","")&amp;IF(AND(M1079&lt;&gt;"",M1079=A1079,K1079&lt;&gt;"No change (same URL)"),"Redirects to itself; ","")&amp;IF(AND(M1079&lt;&gt;"",OR(M1079="/",AND(LEFT(M1079,4)="http",OR((LEN(M1079)-LEN(SUBSTITUTE(M1079,"/","")))=2,AND((LEN(M1079)-LEN(SUBSTITUTE(M1079,"/","")))=3,RIGHT(M1079,1)="/"))))),"Home page redirect; ","")&amp;IF(N(R1079)&gt;1,"Chain; ","")&amp;IF(S1079="No","Destination not 200; ","")))</f>
        <v/>
      </c>
      <c r="U1079" s="22" t="n"/>
      <c r="V1079" s="22" t="n"/>
      <c r="W1079" s="4" t="n"/>
    </row>
    <row r="1080">
      <c r="A1080" s="22" t="n"/>
      <c r="B1080" s="22" t="n"/>
      <c r="C1080" s="22" t="n"/>
      <c r="D1080" s="22">
        <f>IF(A1080="","",IF(OR(N(B1080)&gt;=$C$2,N(C1080)&gt;=$E$2),"High",IF(OR(N(B1080)&gt;0,N(C1080)&gt;0),"Medium","Low")))</f>
        <v/>
      </c>
      <c r="E1080" s="22" t="n"/>
      <c r="F1080" s="22" t="n"/>
      <c r="G1080" s="22" t="n"/>
      <c r="H1080" s="22" t="n"/>
      <c r="I1080" s="22" t="n"/>
      <c r="J1080" s="22" t="n"/>
      <c r="K1080" s="22" t="n"/>
      <c r="L1080" s="22" t="n"/>
      <c r="M1080" s="22">
        <f>IF(K1080="Override",L1080,IF(K1080="Accept suggestion",F1080,IF(K1080="No change (same URL)",A1080,"")))</f>
        <v/>
      </c>
      <c r="N1080" s="22">
        <f>IF(A1080="","",IF(K1080="410 Gone","410",IF(K1080="404","404",IF(K1080="No change (same URL)","none",IF(M1080="","","301")))))</f>
        <v/>
      </c>
      <c r="O1080" s="22">
        <f>IF(A1080="","",IFERROR(MID(A1080,FIND("/",A1080,FIND("//",A1080)+2),2000),A1080))</f>
        <v/>
      </c>
      <c r="P1080" s="22">
        <f>IF(OR(O1080="",N1080="",N1080="none",N1080="404"),"",IF(N1080="410","Redirect gone "&amp;O1080,"Redirect "&amp;N1080&amp;" "&amp;O1080&amp;" "&amp;M1080))</f>
        <v/>
      </c>
      <c r="Q1080" s="22" t="n"/>
      <c r="R1080" s="22" t="n"/>
      <c r="S1080" s="22" t="n"/>
      <c r="T1080" s="4">
        <f>IF(A1080="","",TRIM(IF(K1080="","Needs decision; ","")&amp;IF(AND(K1080="Accept suggestion",F1080=""),"No suggestion to accept; ","")&amp;IF(AND(K1080="Override",L1080=""),"Override URL missing; ","")&amp;IF(AND(K1080="Accept suggestion",N(G1080)&lt;$G$2),"Below your threshold; ","")&amp;IF(AND(M1080&lt;&gt;"",M1080=A1080,K1080&lt;&gt;"No change (same URL)"),"Redirects to itself; ","")&amp;IF(AND(M1080&lt;&gt;"",OR(M1080="/",AND(LEFT(M1080,4)="http",OR((LEN(M1080)-LEN(SUBSTITUTE(M1080,"/","")))=2,AND((LEN(M1080)-LEN(SUBSTITUTE(M1080,"/","")))=3,RIGHT(M1080,1)="/"))))),"Home page redirect; ","")&amp;IF(N(R1080)&gt;1,"Chain; ","")&amp;IF(S1080="No","Destination not 200; ","")))</f>
        <v/>
      </c>
      <c r="U1080" s="22" t="n"/>
      <c r="V1080" s="22" t="n"/>
      <c r="W1080" s="4" t="n"/>
    </row>
    <row r="1081">
      <c r="A1081" s="22" t="n"/>
      <c r="B1081" s="22" t="n"/>
      <c r="C1081" s="22" t="n"/>
      <c r="D1081" s="22">
        <f>IF(A1081="","",IF(OR(N(B1081)&gt;=$C$2,N(C1081)&gt;=$E$2),"High",IF(OR(N(B1081)&gt;0,N(C1081)&gt;0),"Medium","Low")))</f>
        <v/>
      </c>
      <c r="E1081" s="22" t="n"/>
      <c r="F1081" s="22" t="n"/>
      <c r="G1081" s="22" t="n"/>
      <c r="H1081" s="22" t="n"/>
      <c r="I1081" s="22" t="n"/>
      <c r="J1081" s="22" t="n"/>
      <c r="K1081" s="22" t="n"/>
      <c r="L1081" s="22" t="n"/>
      <c r="M1081" s="22">
        <f>IF(K1081="Override",L1081,IF(K1081="Accept suggestion",F1081,IF(K1081="No change (same URL)",A1081,"")))</f>
        <v/>
      </c>
      <c r="N1081" s="22">
        <f>IF(A1081="","",IF(K1081="410 Gone","410",IF(K1081="404","404",IF(K1081="No change (same URL)","none",IF(M1081="","","301")))))</f>
        <v/>
      </c>
      <c r="O1081" s="22">
        <f>IF(A1081="","",IFERROR(MID(A1081,FIND("/",A1081,FIND("//",A1081)+2),2000),A1081))</f>
        <v/>
      </c>
      <c r="P1081" s="22">
        <f>IF(OR(O1081="",N1081="",N1081="none",N1081="404"),"",IF(N1081="410","Redirect gone "&amp;O1081,"Redirect "&amp;N1081&amp;" "&amp;O1081&amp;" "&amp;M1081))</f>
        <v/>
      </c>
      <c r="Q1081" s="22" t="n"/>
      <c r="R1081" s="22" t="n"/>
      <c r="S1081" s="22" t="n"/>
      <c r="T1081" s="4">
        <f>IF(A1081="","",TRIM(IF(K1081="","Needs decision; ","")&amp;IF(AND(K1081="Accept suggestion",F1081=""),"No suggestion to accept; ","")&amp;IF(AND(K1081="Override",L1081=""),"Override URL missing; ","")&amp;IF(AND(K1081="Accept suggestion",N(G1081)&lt;$G$2),"Below your threshold; ","")&amp;IF(AND(M1081&lt;&gt;"",M1081=A1081,K1081&lt;&gt;"No change (same URL)"),"Redirects to itself; ","")&amp;IF(AND(M1081&lt;&gt;"",OR(M1081="/",AND(LEFT(M1081,4)="http",OR((LEN(M1081)-LEN(SUBSTITUTE(M1081,"/","")))=2,AND((LEN(M1081)-LEN(SUBSTITUTE(M1081,"/","")))=3,RIGHT(M1081,1)="/"))))),"Home page redirect; ","")&amp;IF(N(R1081)&gt;1,"Chain; ","")&amp;IF(S1081="No","Destination not 200; ","")))</f>
        <v/>
      </c>
      <c r="U1081" s="22" t="n"/>
      <c r="V1081" s="22" t="n"/>
      <c r="W1081" s="4" t="n"/>
    </row>
    <row r="1082">
      <c r="A1082" s="22" t="n"/>
      <c r="B1082" s="22" t="n"/>
      <c r="C1082" s="22" t="n"/>
      <c r="D1082" s="22">
        <f>IF(A1082="","",IF(OR(N(B1082)&gt;=$C$2,N(C1082)&gt;=$E$2),"High",IF(OR(N(B1082)&gt;0,N(C1082)&gt;0),"Medium","Low")))</f>
        <v/>
      </c>
      <c r="E1082" s="22" t="n"/>
      <c r="F1082" s="22" t="n"/>
      <c r="G1082" s="22" t="n"/>
      <c r="H1082" s="22" t="n"/>
      <c r="I1082" s="22" t="n"/>
      <c r="J1082" s="22" t="n"/>
      <c r="K1082" s="22" t="n"/>
      <c r="L1082" s="22" t="n"/>
      <c r="M1082" s="22">
        <f>IF(K1082="Override",L1082,IF(K1082="Accept suggestion",F1082,IF(K1082="No change (same URL)",A1082,"")))</f>
        <v/>
      </c>
      <c r="N1082" s="22">
        <f>IF(A1082="","",IF(K1082="410 Gone","410",IF(K1082="404","404",IF(K1082="No change (same URL)","none",IF(M1082="","","301")))))</f>
        <v/>
      </c>
      <c r="O1082" s="22">
        <f>IF(A1082="","",IFERROR(MID(A1082,FIND("/",A1082,FIND("//",A1082)+2),2000),A1082))</f>
        <v/>
      </c>
      <c r="P1082" s="22">
        <f>IF(OR(O1082="",N1082="",N1082="none",N1082="404"),"",IF(N1082="410","Redirect gone "&amp;O1082,"Redirect "&amp;N1082&amp;" "&amp;O1082&amp;" "&amp;M1082))</f>
        <v/>
      </c>
      <c r="Q1082" s="22" t="n"/>
      <c r="R1082" s="22" t="n"/>
      <c r="S1082" s="22" t="n"/>
      <c r="T1082" s="4">
        <f>IF(A1082="","",TRIM(IF(K1082="","Needs decision; ","")&amp;IF(AND(K1082="Accept suggestion",F1082=""),"No suggestion to accept; ","")&amp;IF(AND(K1082="Override",L1082=""),"Override URL missing; ","")&amp;IF(AND(K1082="Accept suggestion",N(G1082)&lt;$G$2),"Below your threshold; ","")&amp;IF(AND(M1082&lt;&gt;"",M1082=A1082,K1082&lt;&gt;"No change (same URL)"),"Redirects to itself; ","")&amp;IF(AND(M1082&lt;&gt;"",OR(M1082="/",AND(LEFT(M1082,4)="http",OR((LEN(M1082)-LEN(SUBSTITUTE(M1082,"/","")))=2,AND((LEN(M1082)-LEN(SUBSTITUTE(M1082,"/","")))=3,RIGHT(M1082,1)="/"))))),"Home page redirect; ","")&amp;IF(N(R1082)&gt;1,"Chain; ","")&amp;IF(S1082="No","Destination not 200; ","")))</f>
        <v/>
      </c>
      <c r="U1082" s="22" t="n"/>
      <c r="V1082" s="22" t="n"/>
      <c r="W1082" s="4" t="n"/>
    </row>
    <row r="1083">
      <c r="A1083" s="22" t="n"/>
      <c r="B1083" s="22" t="n"/>
      <c r="C1083" s="22" t="n"/>
      <c r="D1083" s="22">
        <f>IF(A1083="","",IF(OR(N(B1083)&gt;=$C$2,N(C1083)&gt;=$E$2),"High",IF(OR(N(B1083)&gt;0,N(C1083)&gt;0),"Medium","Low")))</f>
        <v/>
      </c>
      <c r="E1083" s="22" t="n"/>
      <c r="F1083" s="22" t="n"/>
      <c r="G1083" s="22" t="n"/>
      <c r="H1083" s="22" t="n"/>
      <c r="I1083" s="22" t="n"/>
      <c r="J1083" s="22" t="n"/>
      <c r="K1083" s="22" t="n"/>
      <c r="L1083" s="22" t="n"/>
      <c r="M1083" s="22">
        <f>IF(K1083="Override",L1083,IF(K1083="Accept suggestion",F1083,IF(K1083="No change (same URL)",A1083,"")))</f>
        <v/>
      </c>
      <c r="N1083" s="22">
        <f>IF(A1083="","",IF(K1083="410 Gone","410",IF(K1083="404","404",IF(K1083="No change (same URL)","none",IF(M1083="","","301")))))</f>
        <v/>
      </c>
      <c r="O1083" s="22">
        <f>IF(A1083="","",IFERROR(MID(A1083,FIND("/",A1083,FIND("//",A1083)+2),2000),A1083))</f>
        <v/>
      </c>
      <c r="P1083" s="22">
        <f>IF(OR(O1083="",N1083="",N1083="none",N1083="404"),"",IF(N1083="410","Redirect gone "&amp;O1083,"Redirect "&amp;N1083&amp;" "&amp;O1083&amp;" "&amp;M1083))</f>
        <v/>
      </c>
      <c r="Q1083" s="22" t="n"/>
      <c r="R1083" s="22" t="n"/>
      <c r="S1083" s="22" t="n"/>
      <c r="T1083" s="4">
        <f>IF(A1083="","",TRIM(IF(K1083="","Needs decision; ","")&amp;IF(AND(K1083="Accept suggestion",F1083=""),"No suggestion to accept; ","")&amp;IF(AND(K1083="Override",L1083=""),"Override URL missing; ","")&amp;IF(AND(K1083="Accept suggestion",N(G1083)&lt;$G$2),"Below your threshold; ","")&amp;IF(AND(M1083&lt;&gt;"",M1083=A1083,K1083&lt;&gt;"No change (same URL)"),"Redirects to itself; ","")&amp;IF(AND(M1083&lt;&gt;"",OR(M1083="/",AND(LEFT(M1083,4)="http",OR((LEN(M1083)-LEN(SUBSTITUTE(M1083,"/","")))=2,AND((LEN(M1083)-LEN(SUBSTITUTE(M1083,"/","")))=3,RIGHT(M1083,1)="/"))))),"Home page redirect; ","")&amp;IF(N(R1083)&gt;1,"Chain; ","")&amp;IF(S1083="No","Destination not 200; ","")))</f>
        <v/>
      </c>
      <c r="U1083" s="22" t="n"/>
      <c r="V1083" s="22" t="n"/>
      <c r="W1083" s="4" t="n"/>
    </row>
    <row r="1084">
      <c r="A1084" s="22" t="n"/>
      <c r="B1084" s="22" t="n"/>
      <c r="C1084" s="22" t="n"/>
      <c r="D1084" s="22">
        <f>IF(A1084="","",IF(OR(N(B1084)&gt;=$C$2,N(C1084)&gt;=$E$2),"High",IF(OR(N(B1084)&gt;0,N(C1084)&gt;0),"Medium","Low")))</f>
        <v/>
      </c>
      <c r="E1084" s="22" t="n"/>
      <c r="F1084" s="22" t="n"/>
      <c r="G1084" s="22" t="n"/>
      <c r="H1084" s="22" t="n"/>
      <c r="I1084" s="22" t="n"/>
      <c r="J1084" s="22" t="n"/>
      <c r="K1084" s="22" t="n"/>
      <c r="L1084" s="22" t="n"/>
      <c r="M1084" s="22">
        <f>IF(K1084="Override",L1084,IF(K1084="Accept suggestion",F1084,IF(K1084="No change (same URL)",A1084,"")))</f>
        <v/>
      </c>
      <c r="N1084" s="22">
        <f>IF(A1084="","",IF(K1084="410 Gone","410",IF(K1084="404","404",IF(K1084="No change (same URL)","none",IF(M1084="","","301")))))</f>
        <v/>
      </c>
      <c r="O1084" s="22">
        <f>IF(A1084="","",IFERROR(MID(A1084,FIND("/",A1084,FIND("//",A1084)+2),2000),A1084))</f>
        <v/>
      </c>
      <c r="P1084" s="22">
        <f>IF(OR(O1084="",N1084="",N1084="none",N1084="404"),"",IF(N1084="410","Redirect gone "&amp;O1084,"Redirect "&amp;N1084&amp;" "&amp;O1084&amp;" "&amp;M1084))</f>
        <v/>
      </c>
      <c r="Q1084" s="22" t="n"/>
      <c r="R1084" s="22" t="n"/>
      <c r="S1084" s="22" t="n"/>
      <c r="T1084" s="4">
        <f>IF(A1084="","",TRIM(IF(K1084="","Needs decision; ","")&amp;IF(AND(K1084="Accept suggestion",F1084=""),"No suggestion to accept; ","")&amp;IF(AND(K1084="Override",L1084=""),"Override URL missing; ","")&amp;IF(AND(K1084="Accept suggestion",N(G1084)&lt;$G$2),"Below your threshold; ","")&amp;IF(AND(M1084&lt;&gt;"",M1084=A1084,K1084&lt;&gt;"No change (same URL)"),"Redirects to itself; ","")&amp;IF(AND(M1084&lt;&gt;"",OR(M1084="/",AND(LEFT(M1084,4)="http",OR((LEN(M1084)-LEN(SUBSTITUTE(M1084,"/","")))=2,AND((LEN(M1084)-LEN(SUBSTITUTE(M1084,"/","")))=3,RIGHT(M1084,1)="/"))))),"Home page redirect; ","")&amp;IF(N(R1084)&gt;1,"Chain; ","")&amp;IF(S1084="No","Destination not 200; ","")))</f>
        <v/>
      </c>
      <c r="U1084" s="22" t="n"/>
      <c r="V1084" s="22" t="n"/>
      <c r="W1084" s="4" t="n"/>
    </row>
    <row r="1085">
      <c r="A1085" s="22" t="n"/>
      <c r="B1085" s="22" t="n"/>
      <c r="C1085" s="22" t="n"/>
      <c r="D1085" s="22">
        <f>IF(A1085="","",IF(OR(N(B1085)&gt;=$C$2,N(C1085)&gt;=$E$2),"High",IF(OR(N(B1085)&gt;0,N(C1085)&gt;0),"Medium","Low")))</f>
        <v/>
      </c>
      <c r="E1085" s="22" t="n"/>
      <c r="F1085" s="22" t="n"/>
      <c r="G1085" s="22" t="n"/>
      <c r="H1085" s="22" t="n"/>
      <c r="I1085" s="22" t="n"/>
      <c r="J1085" s="22" t="n"/>
      <c r="K1085" s="22" t="n"/>
      <c r="L1085" s="22" t="n"/>
      <c r="M1085" s="22">
        <f>IF(K1085="Override",L1085,IF(K1085="Accept suggestion",F1085,IF(K1085="No change (same URL)",A1085,"")))</f>
        <v/>
      </c>
      <c r="N1085" s="22">
        <f>IF(A1085="","",IF(K1085="410 Gone","410",IF(K1085="404","404",IF(K1085="No change (same URL)","none",IF(M1085="","","301")))))</f>
        <v/>
      </c>
      <c r="O1085" s="22">
        <f>IF(A1085="","",IFERROR(MID(A1085,FIND("/",A1085,FIND("//",A1085)+2),2000),A1085))</f>
        <v/>
      </c>
      <c r="P1085" s="22">
        <f>IF(OR(O1085="",N1085="",N1085="none",N1085="404"),"",IF(N1085="410","Redirect gone "&amp;O1085,"Redirect "&amp;N1085&amp;" "&amp;O1085&amp;" "&amp;M1085))</f>
        <v/>
      </c>
      <c r="Q1085" s="22" t="n"/>
      <c r="R1085" s="22" t="n"/>
      <c r="S1085" s="22" t="n"/>
      <c r="T1085" s="4">
        <f>IF(A1085="","",TRIM(IF(K1085="","Needs decision; ","")&amp;IF(AND(K1085="Accept suggestion",F1085=""),"No suggestion to accept; ","")&amp;IF(AND(K1085="Override",L1085=""),"Override URL missing; ","")&amp;IF(AND(K1085="Accept suggestion",N(G1085)&lt;$G$2),"Below your threshold; ","")&amp;IF(AND(M1085&lt;&gt;"",M1085=A1085,K1085&lt;&gt;"No change (same URL)"),"Redirects to itself; ","")&amp;IF(AND(M1085&lt;&gt;"",OR(M1085="/",AND(LEFT(M1085,4)="http",OR((LEN(M1085)-LEN(SUBSTITUTE(M1085,"/","")))=2,AND((LEN(M1085)-LEN(SUBSTITUTE(M1085,"/","")))=3,RIGHT(M1085,1)="/"))))),"Home page redirect; ","")&amp;IF(N(R1085)&gt;1,"Chain; ","")&amp;IF(S1085="No","Destination not 200; ","")))</f>
        <v/>
      </c>
      <c r="U1085" s="22" t="n"/>
      <c r="V1085" s="22" t="n"/>
      <c r="W1085" s="4" t="n"/>
    </row>
    <row r="1086">
      <c r="A1086" s="22" t="n"/>
      <c r="B1086" s="22" t="n"/>
      <c r="C1086" s="22" t="n"/>
      <c r="D1086" s="22">
        <f>IF(A1086="","",IF(OR(N(B1086)&gt;=$C$2,N(C1086)&gt;=$E$2),"High",IF(OR(N(B1086)&gt;0,N(C1086)&gt;0),"Medium","Low")))</f>
        <v/>
      </c>
      <c r="E1086" s="22" t="n"/>
      <c r="F1086" s="22" t="n"/>
      <c r="G1086" s="22" t="n"/>
      <c r="H1086" s="22" t="n"/>
      <c r="I1086" s="22" t="n"/>
      <c r="J1086" s="22" t="n"/>
      <c r="K1086" s="22" t="n"/>
      <c r="L1086" s="22" t="n"/>
      <c r="M1086" s="22">
        <f>IF(K1086="Override",L1086,IF(K1086="Accept suggestion",F1086,IF(K1086="No change (same URL)",A1086,"")))</f>
        <v/>
      </c>
      <c r="N1086" s="22">
        <f>IF(A1086="","",IF(K1086="410 Gone","410",IF(K1086="404","404",IF(K1086="No change (same URL)","none",IF(M1086="","","301")))))</f>
        <v/>
      </c>
      <c r="O1086" s="22">
        <f>IF(A1086="","",IFERROR(MID(A1086,FIND("/",A1086,FIND("//",A1086)+2),2000),A1086))</f>
        <v/>
      </c>
      <c r="P1086" s="22">
        <f>IF(OR(O1086="",N1086="",N1086="none",N1086="404"),"",IF(N1086="410","Redirect gone "&amp;O1086,"Redirect "&amp;N1086&amp;" "&amp;O1086&amp;" "&amp;M1086))</f>
        <v/>
      </c>
      <c r="Q1086" s="22" t="n"/>
      <c r="R1086" s="22" t="n"/>
      <c r="S1086" s="22" t="n"/>
      <c r="T1086" s="4">
        <f>IF(A1086="","",TRIM(IF(K1086="","Needs decision; ","")&amp;IF(AND(K1086="Accept suggestion",F1086=""),"No suggestion to accept; ","")&amp;IF(AND(K1086="Override",L1086=""),"Override URL missing; ","")&amp;IF(AND(K1086="Accept suggestion",N(G1086)&lt;$G$2),"Below your threshold; ","")&amp;IF(AND(M1086&lt;&gt;"",M1086=A1086,K1086&lt;&gt;"No change (same URL)"),"Redirects to itself; ","")&amp;IF(AND(M1086&lt;&gt;"",OR(M1086="/",AND(LEFT(M1086,4)="http",OR((LEN(M1086)-LEN(SUBSTITUTE(M1086,"/","")))=2,AND((LEN(M1086)-LEN(SUBSTITUTE(M1086,"/","")))=3,RIGHT(M1086,1)="/"))))),"Home page redirect; ","")&amp;IF(N(R1086)&gt;1,"Chain; ","")&amp;IF(S1086="No","Destination not 200; ","")))</f>
        <v/>
      </c>
      <c r="U1086" s="22" t="n"/>
      <c r="V1086" s="22" t="n"/>
      <c r="W1086" s="4" t="n"/>
    </row>
    <row r="1087">
      <c r="A1087" s="22" t="n"/>
      <c r="B1087" s="22" t="n"/>
      <c r="C1087" s="22" t="n"/>
      <c r="D1087" s="22">
        <f>IF(A1087="","",IF(OR(N(B1087)&gt;=$C$2,N(C1087)&gt;=$E$2),"High",IF(OR(N(B1087)&gt;0,N(C1087)&gt;0),"Medium","Low")))</f>
        <v/>
      </c>
      <c r="E1087" s="22" t="n"/>
      <c r="F1087" s="22" t="n"/>
      <c r="G1087" s="22" t="n"/>
      <c r="H1087" s="22" t="n"/>
      <c r="I1087" s="22" t="n"/>
      <c r="J1087" s="22" t="n"/>
      <c r="K1087" s="22" t="n"/>
      <c r="L1087" s="22" t="n"/>
      <c r="M1087" s="22">
        <f>IF(K1087="Override",L1087,IF(K1087="Accept suggestion",F1087,IF(K1087="No change (same URL)",A1087,"")))</f>
        <v/>
      </c>
      <c r="N1087" s="22">
        <f>IF(A1087="","",IF(K1087="410 Gone","410",IF(K1087="404","404",IF(K1087="No change (same URL)","none",IF(M1087="","","301")))))</f>
        <v/>
      </c>
      <c r="O1087" s="22">
        <f>IF(A1087="","",IFERROR(MID(A1087,FIND("/",A1087,FIND("//",A1087)+2),2000),A1087))</f>
        <v/>
      </c>
      <c r="P1087" s="22">
        <f>IF(OR(O1087="",N1087="",N1087="none",N1087="404"),"",IF(N1087="410","Redirect gone "&amp;O1087,"Redirect "&amp;N1087&amp;" "&amp;O1087&amp;" "&amp;M1087))</f>
        <v/>
      </c>
      <c r="Q1087" s="22" t="n"/>
      <c r="R1087" s="22" t="n"/>
      <c r="S1087" s="22" t="n"/>
      <c r="T1087" s="4">
        <f>IF(A1087="","",TRIM(IF(K1087="","Needs decision; ","")&amp;IF(AND(K1087="Accept suggestion",F1087=""),"No suggestion to accept; ","")&amp;IF(AND(K1087="Override",L1087=""),"Override URL missing; ","")&amp;IF(AND(K1087="Accept suggestion",N(G1087)&lt;$G$2),"Below your threshold; ","")&amp;IF(AND(M1087&lt;&gt;"",M1087=A1087,K1087&lt;&gt;"No change (same URL)"),"Redirects to itself; ","")&amp;IF(AND(M1087&lt;&gt;"",OR(M1087="/",AND(LEFT(M1087,4)="http",OR((LEN(M1087)-LEN(SUBSTITUTE(M1087,"/","")))=2,AND((LEN(M1087)-LEN(SUBSTITUTE(M1087,"/","")))=3,RIGHT(M1087,1)="/"))))),"Home page redirect; ","")&amp;IF(N(R1087)&gt;1,"Chain; ","")&amp;IF(S1087="No","Destination not 200; ","")))</f>
        <v/>
      </c>
      <c r="U1087" s="22" t="n"/>
      <c r="V1087" s="22" t="n"/>
      <c r="W1087" s="4" t="n"/>
    </row>
    <row r="1088">
      <c r="A1088" s="22" t="n"/>
      <c r="B1088" s="22" t="n"/>
      <c r="C1088" s="22" t="n"/>
      <c r="D1088" s="22">
        <f>IF(A1088="","",IF(OR(N(B1088)&gt;=$C$2,N(C1088)&gt;=$E$2),"High",IF(OR(N(B1088)&gt;0,N(C1088)&gt;0),"Medium","Low")))</f>
        <v/>
      </c>
      <c r="E1088" s="22" t="n"/>
      <c r="F1088" s="22" t="n"/>
      <c r="G1088" s="22" t="n"/>
      <c r="H1088" s="22" t="n"/>
      <c r="I1088" s="22" t="n"/>
      <c r="J1088" s="22" t="n"/>
      <c r="K1088" s="22" t="n"/>
      <c r="L1088" s="22" t="n"/>
      <c r="M1088" s="22">
        <f>IF(K1088="Override",L1088,IF(K1088="Accept suggestion",F1088,IF(K1088="No change (same URL)",A1088,"")))</f>
        <v/>
      </c>
      <c r="N1088" s="22">
        <f>IF(A1088="","",IF(K1088="410 Gone","410",IF(K1088="404","404",IF(K1088="No change (same URL)","none",IF(M1088="","","301")))))</f>
        <v/>
      </c>
      <c r="O1088" s="22">
        <f>IF(A1088="","",IFERROR(MID(A1088,FIND("/",A1088,FIND("//",A1088)+2),2000),A1088))</f>
        <v/>
      </c>
      <c r="P1088" s="22">
        <f>IF(OR(O1088="",N1088="",N1088="none",N1088="404"),"",IF(N1088="410","Redirect gone "&amp;O1088,"Redirect "&amp;N1088&amp;" "&amp;O1088&amp;" "&amp;M1088))</f>
        <v/>
      </c>
      <c r="Q1088" s="22" t="n"/>
      <c r="R1088" s="22" t="n"/>
      <c r="S1088" s="22" t="n"/>
      <c r="T1088" s="4">
        <f>IF(A1088="","",TRIM(IF(K1088="","Needs decision; ","")&amp;IF(AND(K1088="Accept suggestion",F1088=""),"No suggestion to accept; ","")&amp;IF(AND(K1088="Override",L1088=""),"Override URL missing; ","")&amp;IF(AND(K1088="Accept suggestion",N(G1088)&lt;$G$2),"Below your threshold; ","")&amp;IF(AND(M1088&lt;&gt;"",M1088=A1088,K1088&lt;&gt;"No change (same URL)"),"Redirects to itself; ","")&amp;IF(AND(M1088&lt;&gt;"",OR(M1088="/",AND(LEFT(M1088,4)="http",OR((LEN(M1088)-LEN(SUBSTITUTE(M1088,"/","")))=2,AND((LEN(M1088)-LEN(SUBSTITUTE(M1088,"/","")))=3,RIGHT(M1088,1)="/"))))),"Home page redirect; ","")&amp;IF(N(R1088)&gt;1,"Chain; ","")&amp;IF(S1088="No","Destination not 200; ","")))</f>
        <v/>
      </c>
      <c r="U1088" s="22" t="n"/>
      <c r="V1088" s="22" t="n"/>
      <c r="W1088" s="4" t="n"/>
    </row>
    <row r="1089">
      <c r="A1089" s="22" t="n"/>
      <c r="B1089" s="22" t="n"/>
      <c r="C1089" s="22" t="n"/>
      <c r="D1089" s="22">
        <f>IF(A1089="","",IF(OR(N(B1089)&gt;=$C$2,N(C1089)&gt;=$E$2),"High",IF(OR(N(B1089)&gt;0,N(C1089)&gt;0),"Medium","Low")))</f>
        <v/>
      </c>
      <c r="E1089" s="22" t="n"/>
      <c r="F1089" s="22" t="n"/>
      <c r="G1089" s="22" t="n"/>
      <c r="H1089" s="22" t="n"/>
      <c r="I1089" s="22" t="n"/>
      <c r="J1089" s="22" t="n"/>
      <c r="K1089" s="22" t="n"/>
      <c r="L1089" s="22" t="n"/>
      <c r="M1089" s="22">
        <f>IF(K1089="Override",L1089,IF(K1089="Accept suggestion",F1089,IF(K1089="No change (same URL)",A1089,"")))</f>
        <v/>
      </c>
      <c r="N1089" s="22">
        <f>IF(A1089="","",IF(K1089="410 Gone","410",IF(K1089="404","404",IF(K1089="No change (same URL)","none",IF(M1089="","","301")))))</f>
        <v/>
      </c>
      <c r="O1089" s="22">
        <f>IF(A1089="","",IFERROR(MID(A1089,FIND("/",A1089,FIND("//",A1089)+2),2000),A1089))</f>
        <v/>
      </c>
      <c r="P1089" s="22">
        <f>IF(OR(O1089="",N1089="",N1089="none",N1089="404"),"",IF(N1089="410","Redirect gone "&amp;O1089,"Redirect "&amp;N1089&amp;" "&amp;O1089&amp;" "&amp;M1089))</f>
        <v/>
      </c>
      <c r="Q1089" s="22" t="n"/>
      <c r="R1089" s="22" t="n"/>
      <c r="S1089" s="22" t="n"/>
      <c r="T1089" s="4">
        <f>IF(A1089="","",TRIM(IF(K1089="","Needs decision; ","")&amp;IF(AND(K1089="Accept suggestion",F1089=""),"No suggestion to accept; ","")&amp;IF(AND(K1089="Override",L1089=""),"Override URL missing; ","")&amp;IF(AND(K1089="Accept suggestion",N(G1089)&lt;$G$2),"Below your threshold; ","")&amp;IF(AND(M1089&lt;&gt;"",M1089=A1089,K1089&lt;&gt;"No change (same URL)"),"Redirects to itself; ","")&amp;IF(AND(M1089&lt;&gt;"",OR(M1089="/",AND(LEFT(M1089,4)="http",OR((LEN(M1089)-LEN(SUBSTITUTE(M1089,"/","")))=2,AND((LEN(M1089)-LEN(SUBSTITUTE(M1089,"/","")))=3,RIGHT(M1089,1)="/"))))),"Home page redirect; ","")&amp;IF(N(R1089)&gt;1,"Chain; ","")&amp;IF(S1089="No","Destination not 200; ","")))</f>
        <v/>
      </c>
      <c r="U1089" s="22" t="n"/>
      <c r="V1089" s="22" t="n"/>
      <c r="W1089" s="4" t="n"/>
    </row>
    <row r="1090">
      <c r="A1090" s="22" t="n"/>
      <c r="B1090" s="22" t="n"/>
      <c r="C1090" s="22" t="n"/>
      <c r="D1090" s="22">
        <f>IF(A1090="","",IF(OR(N(B1090)&gt;=$C$2,N(C1090)&gt;=$E$2),"High",IF(OR(N(B1090)&gt;0,N(C1090)&gt;0),"Medium","Low")))</f>
        <v/>
      </c>
      <c r="E1090" s="22" t="n"/>
      <c r="F1090" s="22" t="n"/>
      <c r="G1090" s="22" t="n"/>
      <c r="H1090" s="22" t="n"/>
      <c r="I1090" s="22" t="n"/>
      <c r="J1090" s="22" t="n"/>
      <c r="K1090" s="22" t="n"/>
      <c r="L1090" s="22" t="n"/>
      <c r="M1090" s="22">
        <f>IF(K1090="Override",L1090,IF(K1090="Accept suggestion",F1090,IF(K1090="No change (same URL)",A1090,"")))</f>
        <v/>
      </c>
      <c r="N1090" s="22">
        <f>IF(A1090="","",IF(K1090="410 Gone","410",IF(K1090="404","404",IF(K1090="No change (same URL)","none",IF(M1090="","","301")))))</f>
        <v/>
      </c>
      <c r="O1090" s="22">
        <f>IF(A1090="","",IFERROR(MID(A1090,FIND("/",A1090,FIND("//",A1090)+2),2000),A1090))</f>
        <v/>
      </c>
      <c r="P1090" s="22">
        <f>IF(OR(O1090="",N1090="",N1090="none",N1090="404"),"",IF(N1090="410","Redirect gone "&amp;O1090,"Redirect "&amp;N1090&amp;" "&amp;O1090&amp;" "&amp;M1090))</f>
        <v/>
      </c>
      <c r="Q1090" s="22" t="n"/>
      <c r="R1090" s="22" t="n"/>
      <c r="S1090" s="22" t="n"/>
      <c r="T1090" s="4">
        <f>IF(A1090="","",TRIM(IF(K1090="","Needs decision; ","")&amp;IF(AND(K1090="Accept suggestion",F1090=""),"No suggestion to accept; ","")&amp;IF(AND(K1090="Override",L1090=""),"Override URL missing; ","")&amp;IF(AND(K1090="Accept suggestion",N(G1090)&lt;$G$2),"Below your threshold; ","")&amp;IF(AND(M1090&lt;&gt;"",M1090=A1090,K1090&lt;&gt;"No change (same URL)"),"Redirects to itself; ","")&amp;IF(AND(M1090&lt;&gt;"",OR(M1090="/",AND(LEFT(M1090,4)="http",OR((LEN(M1090)-LEN(SUBSTITUTE(M1090,"/","")))=2,AND((LEN(M1090)-LEN(SUBSTITUTE(M1090,"/","")))=3,RIGHT(M1090,1)="/"))))),"Home page redirect; ","")&amp;IF(N(R1090)&gt;1,"Chain; ","")&amp;IF(S1090="No","Destination not 200; ","")))</f>
        <v/>
      </c>
      <c r="U1090" s="22" t="n"/>
      <c r="V1090" s="22" t="n"/>
      <c r="W1090" s="4" t="n"/>
    </row>
    <row r="1091">
      <c r="A1091" s="22" t="n"/>
      <c r="B1091" s="22" t="n"/>
      <c r="C1091" s="22" t="n"/>
      <c r="D1091" s="22">
        <f>IF(A1091="","",IF(OR(N(B1091)&gt;=$C$2,N(C1091)&gt;=$E$2),"High",IF(OR(N(B1091)&gt;0,N(C1091)&gt;0),"Medium","Low")))</f>
        <v/>
      </c>
      <c r="E1091" s="22" t="n"/>
      <c r="F1091" s="22" t="n"/>
      <c r="G1091" s="22" t="n"/>
      <c r="H1091" s="22" t="n"/>
      <c r="I1091" s="22" t="n"/>
      <c r="J1091" s="22" t="n"/>
      <c r="K1091" s="22" t="n"/>
      <c r="L1091" s="22" t="n"/>
      <c r="M1091" s="22">
        <f>IF(K1091="Override",L1091,IF(K1091="Accept suggestion",F1091,IF(K1091="No change (same URL)",A1091,"")))</f>
        <v/>
      </c>
      <c r="N1091" s="22">
        <f>IF(A1091="","",IF(K1091="410 Gone","410",IF(K1091="404","404",IF(K1091="No change (same URL)","none",IF(M1091="","","301")))))</f>
        <v/>
      </c>
      <c r="O1091" s="22">
        <f>IF(A1091="","",IFERROR(MID(A1091,FIND("/",A1091,FIND("//",A1091)+2),2000),A1091))</f>
        <v/>
      </c>
      <c r="P1091" s="22">
        <f>IF(OR(O1091="",N1091="",N1091="none",N1091="404"),"",IF(N1091="410","Redirect gone "&amp;O1091,"Redirect "&amp;N1091&amp;" "&amp;O1091&amp;" "&amp;M1091))</f>
        <v/>
      </c>
      <c r="Q1091" s="22" t="n"/>
      <c r="R1091" s="22" t="n"/>
      <c r="S1091" s="22" t="n"/>
      <c r="T1091" s="4">
        <f>IF(A1091="","",TRIM(IF(K1091="","Needs decision; ","")&amp;IF(AND(K1091="Accept suggestion",F1091=""),"No suggestion to accept; ","")&amp;IF(AND(K1091="Override",L1091=""),"Override URL missing; ","")&amp;IF(AND(K1091="Accept suggestion",N(G1091)&lt;$G$2),"Below your threshold; ","")&amp;IF(AND(M1091&lt;&gt;"",M1091=A1091,K1091&lt;&gt;"No change (same URL)"),"Redirects to itself; ","")&amp;IF(AND(M1091&lt;&gt;"",OR(M1091="/",AND(LEFT(M1091,4)="http",OR((LEN(M1091)-LEN(SUBSTITUTE(M1091,"/","")))=2,AND((LEN(M1091)-LEN(SUBSTITUTE(M1091,"/","")))=3,RIGHT(M1091,1)="/"))))),"Home page redirect; ","")&amp;IF(N(R1091)&gt;1,"Chain; ","")&amp;IF(S1091="No","Destination not 200; ","")))</f>
        <v/>
      </c>
      <c r="U1091" s="22" t="n"/>
      <c r="V1091" s="22" t="n"/>
      <c r="W1091" s="4" t="n"/>
    </row>
    <row r="1092">
      <c r="A1092" s="22" t="n"/>
      <c r="B1092" s="22" t="n"/>
      <c r="C1092" s="22" t="n"/>
      <c r="D1092" s="22">
        <f>IF(A1092="","",IF(OR(N(B1092)&gt;=$C$2,N(C1092)&gt;=$E$2),"High",IF(OR(N(B1092)&gt;0,N(C1092)&gt;0),"Medium","Low")))</f>
        <v/>
      </c>
      <c r="E1092" s="22" t="n"/>
      <c r="F1092" s="22" t="n"/>
      <c r="G1092" s="22" t="n"/>
      <c r="H1092" s="22" t="n"/>
      <c r="I1092" s="22" t="n"/>
      <c r="J1092" s="22" t="n"/>
      <c r="K1092" s="22" t="n"/>
      <c r="L1092" s="22" t="n"/>
      <c r="M1092" s="22">
        <f>IF(K1092="Override",L1092,IF(K1092="Accept suggestion",F1092,IF(K1092="No change (same URL)",A1092,"")))</f>
        <v/>
      </c>
      <c r="N1092" s="22">
        <f>IF(A1092="","",IF(K1092="410 Gone","410",IF(K1092="404","404",IF(K1092="No change (same URL)","none",IF(M1092="","","301")))))</f>
        <v/>
      </c>
      <c r="O1092" s="22">
        <f>IF(A1092="","",IFERROR(MID(A1092,FIND("/",A1092,FIND("//",A1092)+2),2000),A1092))</f>
        <v/>
      </c>
      <c r="P1092" s="22">
        <f>IF(OR(O1092="",N1092="",N1092="none",N1092="404"),"",IF(N1092="410","Redirect gone "&amp;O1092,"Redirect "&amp;N1092&amp;" "&amp;O1092&amp;" "&amp;M1092))</f>
        <v/>
      </c>
      <c r="Q1092" s="22" t="n"/>
      <c r="R1092" s="22" t="n"/>
      <c r="S1092" s="22" t="n"/>
      <c r="T1092" s="4">
        <f>IF(A1092="","",TRIM(IF(K1092="","Needs decision; ","")&amp;IF(AND(K1092="Accept suggestion",F1092=""),"No suggestion to accept; ","")&amp;IF(AND(K1092="Override",L1092=""),"Override URL missing; ","")&amp;IF(AND(K1092="Accept suggestion",N(G1092)&lt;$G$2),"Below your threshold; ","")&amp;IF(AND(M1092&lt;&gt;"",M1092=A1092,K1092&lt;&gt;"No change (same URL)"),"Redirects to itself; ","")&amp;IF(AND(M1092&lt;&gt;"",OR(M1092="/",AND(LEFT(M1092,4)="http",OR((LEN(M1092)-LEN(SUBSTITUTE(M1092,"/","")))=2,AND((LEN(M1092)-LEN(SUBSTITUTE(M1092,"/","")))=3,RIGHT(M1092,1)="/"))))),"Home page redirect; ","")&amp;IF(N(R1092)&gt;1,"Chain; ","")&amp;IF(S1092="No","Destination not 200; ","")))</f>
        <v/>
      </c>
      <c r="U1092" s="22" t="n"/>
      <c r="V1092" s="22" t="n"/>
      <c r="W1092" s="4" t="n"/>
    </row>
    <row r="1093">
      <c r="A1093" s="22" t="n"/>
      <c r="B1093" s="22" t="n"/>
      <c r="C1093" s="22" t="n"/>
      <c r="D1093" s="22">
        <f>IF(A1093="","",IF(OR(N(B1093)&gt;=$C$2,N(C1093)&gt;=$E$2),"High",IF(OR(N(B1093)&gt;0,N(C1093)&gt;0),"Medium","Low")))</f>
        <v/>
      </c>
      <c r="E1093" s="22" t="n"/>
      <c r="F1093" s="22" t="n"/>
      <c r="G1093" s="22" t="n"/>
      <c r="H1093" s="22" t="n"/>
      <c r="I1093" s="22" t="n"/>
      <c r="J1093" s="22" t="n"/>
      <c r="K1093" s="22" t="n"/>
      <c r="L1093" s="22" t="n"/>
      <c r="M1093" s="22">
        <f>IF(K1093="Override",L1093,IF(K1093="Accept suggestion",F1093,IF(K1093="No change (same URL)",A1093,"")))</f>
        <v/>
      </c>
      <c r="N1093" s="22">
        <f>IF(A1093="","",IF(K1093="410 Gone","410",IF(K1093="404","404",IF(K1093="No change (same URL)","none",IF(M1093="","","301")))))</f>
        <v/>
      </c>
      <c r="O1093" s="22">
        <f>IF(A1093="","",IFERROR(MID(A1093,FIND("/",A1093,FIND("//",A1093)+2),2000),A1093))</f>
        <v/>
      </c>
      <c r="P1093" s="22">
        <f>IF(OR(O1093="",N1093="",N1093="none",N1093="404"),"",IF(N1093="410","Redirect gone "&amp;O1093,"Redirect "&amp;N1093&amp;" "&amp;O1093&amp;" "&amp;M1093))</f>
        <v/>
      </c>
      <c r="Q1093" s="22" t="n"/>
      <c r="R1093" s="22" t="n"/>
      <c r="S1093" s="22" t="n"/>
      <c r="T1093" s="4">
        <f>IF(A1093="","",TRIM(IF(K1093="","Needs decision; ","")&amp;IF(AND(K1093="Accept suggestion",F1093=""),"No suggestion to accept; ","")&amp;IF(AND(K1093="Override",L1093=""),"Override URL missing; ","")&amp;IF(AND(K1093="Accept suggestion",N(G1093)&lt;$G$2),"Below your threshold; ","")&amp;IF(AND(M1093&lt;&gt;"",M1093=A1093,K1093&lt;&gt;"No change (same URL)"),"Redirects to itself; ","")&amp;IF(AND(M1093&lt;&gt;"",OR(M1093="/",AND(LEFT(M1093,4)="http",OR((LEN(M1093)-LEN(SUBSTITUTE(M1093,"/","")))=2,AND((LEN(M1093)-LEN(SUBSTITUTE(M1093,"/","")))=3,RIGHT(M1093,1)="/"))))),"Home page redirect; ","")&amp;IF(N(R1093)&gt;1,"Chain; ","")&amp;IF(S1093="No","Destination not 200; ","")))</f>
        <v/>
      </c>
      <c r="U1093" s="22" t="n"/>
      <c r="V1093" s="22" t="n"/>
      <c r="W1093" s="4" t="n"/>
    </row>
    <row r="1094">
      <c r="A1094" s="22" t="n"/>
      <c r="B1094" s="22" t="n"/>
      <c r="C1094" s="22" t="n"/>
      <c r="D1094" s="22">
        <f>IF(A1094="","",IF(OR(N(B1094)&gt;=$C$2,N(C1094)&gt;=$E$2),"High",IF(OR(N(B1094)&gt;0,N(C1094)&gt;0),"Medium","Low")))</f>
        <v/>
      </c>
      <c r="E1094" s="22" t="n"/>
      <c r="F1094" s="22" t="n"/>
      <c r="G1094" s="22" t="n"/>
      <c r="H1094" s="22" t="n"/>
      <c r="I1094" s="22" t="n"/>
      <c r="J1094" s="22" t="n"/>
      <c r="K1094" s="22" t="n"/>
      <c r="L1094" s="22" t="n"/>
      <c r="M1094" s="22">
        <f>IF(K1094="Override",L1094,IF(K1094="Accept suggestion",F1094,IF(K1094="No change (same URL)",A1094,"")))</f>
        <v/>
      </c>
      <c r="N1094" s="22">
        <f>IF(A1094="","",IF(K1094="410 Gone","410",IF(K1094="404","404",IF(K1094="No change (same URL)","none",IF(M1094="","","301")))))</f>
        <v/>
      </c>
      <c r="O1094" s="22">
        <f>IF(A1094="","",IFERROR(MID(A1094,FIND("/",A1094,FIND("//",A1094)+2),2000),A1094))</f>
        <v/>
      </c>
      <c r="P1094" s="22">
        <f>IF(OR(O1094="",N1094="",N1094="none",N1094="404"),"",IF(N1094="410","Redirect gone "&amp;O1094,"Redirect "&amp;N1094&amp;" "&amp;O1094&amp;" "&amp;M1094))</f>
        <v/>
      </c>
      <c r="Q1094" s="22" t="n"/>
      <c r="R1094" s="22" t="n"/>
      <c r="S1094" s="22" t="n"/>
      <c r="T1094" s="4">
        <f>IF(A1094="","",TRIM(IF(K1094="","Needs decision; ","")&amp;IF(AND(K1094="Accept suggestion",F1094=""),"No suggestion to accept; ","")&amp;IF(AND(K1094="Override",L1094=""),"Override URL missing; ","")&amp;IF(AND(K1094="Accept suggestion",N(G1094)&lt;$G$2),"Below your threshold; ","")&amp;IF(AND(M1094&lt;&gt;"",M1094=A1094,K1094&lt;&gt;"No change (same URL)"),"Redirects to itself; ","")&amp;IF(AND(M1094&lt;&gt;"",OR(M1094="/",AND(LEFT(M1094,4)="http",OR((LEN(M1094)-LEN(SUBSTITUTE(M1094,"/","")))=2,AND((LEN(M1094)-LEN(SUBSTITUTE(M1094,"/","")))=3,RIGHT(M1094,1)="/"))))),"Home page redirect; ","")&amp;IF(N(R1094)&gt;1,"Chain; ","")&amp;IF(S1094="No","Destination not 200; ","")))</f>
        <v/>
      </c>
      <c r="U1094" s="22" t="n"/>
      <c r="V1094" s="22" t="n"/>
      <c r="W1094" s="4" t="n"/>
    </row>
    <row r="1095">
      <c r="A1095" s="22" t="n"/>
      <c r="B1095" s="22" t="n"/>
      <c r="C1095" s="22" t="n"/>
      <c r="D1095" s="22">
        <f>IF(A1095="","",IF(OR(N(B1095)&gt;=$C$2,N(C1095)&gt;=$E$2),"High",IF(OR(N(B1095)&gt;0,N(C1095)&gt;0),"Medium","Low")))</f>
        <v/>
      </c>
      <c r="E1095" s="22" t="n"/>
      <c r="F1095" s="22" t="n"/>
      <c r="G1095" s="22" t="n"/>
      <c r="H1095" s="22" t="n"/>
      <c r="I1095" s="22" t="n"/>
      <c r="J1095" s="22" t="n"/>
      <c r="K1095" s="22" t="n"/>
      <c r="L1095" s="22" t="n"/>
      <c r="M1095" s="22">
        <f>IF(K1095="Override",L1095,IF(K1095="Accept suggestion",F1095,IF(K1095="No change (same URL)",A1095,"")))</f>
        <v/>
      </c>
      <c r="N1095" s="22">
        <f>IF(A1095="","",IF(K1095="410 Gone","410",IF(K1095="404","404",IF(K1095="No change (same URL)","none",IF(M1095="","","301")))))</f>
        <v/>
      </c>
      <c r="O1095" s="22">
        <f>IF(A1095="","",IFERROR(MID(A1095,FIND("/",A1095,FIND("//",A1095)+2),2000),A1095))</f>
        <v/>
      </c>
      <c r="P1095" s="22">
        <f>IF(OR(O1095="",N1095="",N1095="none",N1095="404"),"",IF(N1095="410","Redirect gone "&amp;O1095,"Redirect "&amp;N1095&amp;" "&amp;O1095&amp;" "&amp;M1095))</f>
        <v/>
      </c>
      <c r="Q1095" s="22" t="n"/>
      <c r="R1095" s="22" t="n"/>
      <c r="S1095" s="22" t="n"/>
      <c r="T1095" s="4">
        <f>IF(A1095="","",TRIM(IF(K1095="","Needs decision; ","")&amp;IF(AND(K1095="Accept suggestion",F1095=""),"No suggestion to accept; ","")&amp;IF(AND(K1095="Override",L1095=""),"Override URL missing; ","")&amp;IF(AND(K1095="Accept suggestion",N(G1095)&lt;$G$2),"Below your threshold; ","")&amp;IF(AND(M1095&lt;&gt;"",M1095=A1095,K1095&lt;&gt;"No change (same URL)"),"Redirects to itself; ","")&amp;IF(AND(M1095&lt;&gt;"",OR(M1095="/",AND(LEFT(M1095,4)="http",OR((LEN(M1095)-LEN(SUBSTITUTE(M1095,"/","")))=2,AND((LEN(M1095)-LEN(SUBSTITUTE(M1095,"/","")))=3,RIGHT(M1095,1)="/"))))),"Home page redirect; ","")&amp;IF(N(R1095)&gt;1,"Chain; ","")&amp;IF(S1095="No","Destination not 200; ","")))</f>
        <v/>
      </c>
      <c r="U1095" s="22" t="n"/>
      <c r="V1095" s="22" t="n"/>
      <c r="W1095" s="4" t="n"/>
    </row>
    <row r="1096">
      <c r="A1096" s="22" t="n"/>
      <c r="B1096" s="22" t="n"/>
      <c r="C1096" s="22" t="n"/>
      <c r="D1096" s="22">
        <f>IF(A1096="","",IF(OR(N(B1096)&gt;=$C$2,N(C1096)&gt;=$E$2),"High",IF(OR(N(B1096)&gt;0,N(C1096)&gt;0),"Medium","Low")))</f>
        <v/>
      </c>
      <c r="E1096" s="22" t="n"/>
      <c r="F1096" s="22" t="n"/>
      <c r="G1096" s="22" t="n"/>
      <c r="H1096" s="22" t="n"/>
      <c r="I1096" s="22" t="n"/>
      <c r="J1096" s="22" t="n"/>
      <c r="K1096" s="22" t="n"/>
      <c r="L1096" s="22" t="n"/>
      <c r="M1096" s="22">
        <f>IF(K1096="Override",L1096,IF(K1096="Accept suggestion",F1096,IF(K1096="No change (same URL)",A1096,"")))</f>
        <v/>
      </c>
      <c r="N1096" s="22">
        <f>IF(A1096="","",IF(K1096="410 Gone","410",IF(K1096="404","404",IF(K1096="No change (same URL)","none",IF(M1096="","","301")))))</f>
        <v/>
      </c>
      <c r="O1096" s="22">
        <f>IF(A1096="","",IFERROR(MID(A1096,FIND("/",A1096,FIND("//",A1096)+2),2000),A1096))</f>
        <v/>
      </c>
      <c r="P1096" s="22">
        <f>IF(OR(O1096="",N1096="",N1096="none",N1096="404"),"",IF(N1096="410","Redirect gone "&amp;O1096,"Redirect "&amp;N1096&amp;" "&amp;O1096&amp;" "&amp;M1096))</f>
        <v/>
      </c>
      <c r="Q1096" s="22" t="n"/>
      <c r="R1096" s="22" t="n"/>
      <c r="S1096" s="22" t="n"/>
      <c r="T1096" s="4">
        <f>IF(A1096="","",TRIM(IF(K1096="","Needs decision; ","")&amp;IF(AND(K1096="Accept suggestion",F1096=""),"No suggestion to accept; ","")&amp;IF(AND(K1096="Override",L1096=""),"Override URL missing; ","")&amp;IF(AND(K1096="Accept suggestion",N(G1096)&lt;$G$2),"Below your threshold; ","")&amp;IF(AND(M1096&lt;&gt;"",M1096=A1096,K1096&lt;&gt;"No change (same URL)"),"Redirects to itself; ","")&amp;IF(AND(M1096&lt;&gt;"",OR(M1096="/",AND(LEFT(M1096,4)="http",OR((LEN(M1096)-LEN(SUBSTITUTE(M1096,"/","")))=2,AND((LEN(M1096)-LEN(SUBSTITUTE(M1096,"/","")))=3,RIGHT(M1096,1)="/"))))),"Home page redirect; ","")&amp;IF(N(R1096)&gt;1,"Chain; ","")&amp;IF(S1096="No","Destination not 200; ","")))</f>
        <v/>
      </c>
      <c r="U1096" s="22" t="n"/>
      <c r="V1096" s="22" t="n"/>
      <c r="W1096" s="4" t="n"/>
    </row>
    <row r="1097">
      <c r="A1097" s="22" t="n"/>
      <c r="B1097" s="22" t="n"/>
      <c r="C1097" s="22" t="n"/>
      <c r="D1097" s="22">
        <f>IF(A1097="","",IF(OR(N(B1097)&gt;=$C$2,N(C1097)&gt;=$E$2),"High",IF(OR(N(B1097)&gt;0,N(C1097)&gt;0),"Medium","Low")))</f>
        <v/>
      </c>
      <c r="E1097" s="22" t="n"/>
      <c r="F1097" s="22" t="n"/>
      <c r="G1097" s="22" t="n"/>
      <c r="H1097" s="22" t="n"/>
      <c r="I1097" s="22" t="n"/>
      <c r="J1097" s="22" t="n"/>
      <c r="K1097" s="22" t="n"/>
      <c r="L1097" s="22" t="n"/>
      <c r="M1097" s="22">
        <f>IF(K1097="Override",L1097,IF(K1097="Accept suggestion",F1097,IF(K1097="No change (same URL)",A1097,"")))</f>
        <v/>
      </c>
      <c r="N1097" s="22">
        <f>IF(A1097="","",IF(K1097="410 Gone","410",IF(K1097="404","404",IF(K1097="No change (same URL)","none",IF(M1097="","","301")))))</f>
        <v/>
      </c>
      <c r="O1097" s="22">
        <f>IF(A1097="","",IFERROR(MID(A1097,FIND("/",A1097,FIND("//",A1097)+2),2000),A1097))</f>
        <v/>
      </c>
      <c r="P1097" s="22">
        <f>IF(OR(O1097="",N1097="",N1097="none",N1097="404"),"",IF(N1097="410","Redirect gone "&amp;O1097,"Redirect "&amp;N1097&amp;" "&amp;O1097&amp;" "&amp;M1097))</f>
        <v/>
      </c>
      <c r="Q1097" s="22" t="n"/>
      <c r="R1097" s="22" t="n"/>
      <c r="S1097" s="22" t="n"/>
      <c r="T1097" s="4">
        <f>IF(A1097="","",TRIM(IF(K1097="","Needs decision; ","")&amp;IF(AND(K1097="Accept suggestion",F1097=""),"No suggestion to accept; ","")&amp;IF(AND(K1097="Override",L1097=""),"Override URL missing; ","")&amp;IF(AND(K1097="Accept suggestion",N(G1097)&lt;$G$2),"Below your threshold; ","")&amp;IF(AND(M1097&lt;&gt;"",M1097=A1097,K1097&lt;&gt;"No change (same URL)"),"Redirects to itself; ","")&amp;IF(AND(M1097&lt;&gt;"",OR(M1097="/",AND(LEFT(M1097,4)="http",OR((LEN(M1097)-LEN(SUBSTITUTE(M1097,"/","")))=2,AND((LEN(M1097)-LEN(SUBSTITUTE(M1097,"/","")))=3,RIGHT(M1097,1)="/"))))),"Home page redirect; ","")&amp;IF(N(R1097)&gt;1,"Chain; ","")&amp;IF(S1097="No","Destination not 200; ","")))</f>
        <v/>
      </c>
      <c r="U1097" s="22" t="n"/>
      <c r="V1097" s="22" t="n"/>
      <c r="W1097" s="4" t="n"/>
    </row>
    <row r="1098">
      <c r="A1098" s="22" t="n"/>
      <c r="B1098" s="22" t="n"/>
      <c r="C1098" s="22" t="n"/>
      <c r="D1098" s="22">
        <f>IF(A1098="","",IF(OR(N(B1098)&gt;=$C$2,N(C1098)&gt;=$E$2),"High",IF(OR(N(B1098)&gt;0,N(C1098)&gt;0),"Medium","Low")))</f>
        <v/>
      </c>
      <c r="E1098" s="22" t="n"/>
      <c r="F1098" s="22" t="n"/>
      <c r="G1098" s="22" t="n"/>
      <c r="H1098" s="22" t="n"/>
      <c r="I1098" s="22" t="n"/>
      <c r="J1098" s="22" t="n"/>
      <c r="K1098" s="22" t="n"/>
      <c r="L1098" s="22" t="n"/>
      <c r="M1098" s="22">
        <f>IF(K1098="Override",L1098,IF(K1098="Accept suggestion",F1098,IF(K1098="No change (same URL)",A1098,"")))</f>
        <v/>
      </c>
      <c r="N1098" s="22">
        <f>IF(A1098="","",IF(K1098="410 Gone","410",IF(K1098="404","404",IF(K1098="No change (same URL)","none",IF(M1098="","","301")))))</f>
        <v/>
      </c>
      <c r="O1098" s="22">
        <f>IF(A1098="","",IFERROR(MID(A1098,FIND("/",A1098,FIND("//",A1098)+2),2000),A1098))</f>
        <v/>
      </c>
      <c r="P1098" s="22">
        <f>IF(OR(O1098="",N1098="",N1098="none",N1098="404"),"",IF(N1098="410","Redirect gone "&amp;O1098,"Redirect "&amp;N1098&amp;" "&amp;O1098&amp;" "&amp;M1098))</f>
        <v/>
      </c>
      <c r="Q1098" s="22" t="n"/>
      <c r="R1098" s="22" t="n"/>
      <c r="S1098" s="22" t="n"/>
      <c r="T1098" s="4">
        <f>IF(A1098="","",TRIM(IF(K1098="","Needs decision; ","")&amp;IF(AND(K1098="Accept suggestion",F1098=""),"No suggestion to accept; ","")&amp;IF(AND(K1098="Override",L1098=""),"Override URL missing; ","")&amp;IF(AND(K1098="Accept suggestion",N(G1098)&lt;$G$2),"Below your threshold; ","")&amp;IF(AND(M1098&lt;&gt;"",M1098=A1098,K1098&lt;&gt;"No change (same URL)"),"Redirects to itself; ","")&amp;IF(AND(M1098&lt;&gt;"",OR(M1098="/",AND(LEFT(M1098,4)="http",OR((LEN(M1098)-LEN(SUBSTITUTE(M1098,"/","")))=2,AND((LEN(M1098)-LEN(SUBSTITUTE(M1098,"/","")))=3,RIGHT(M1098,1)="/"))))),"Home page redirect; ","")&amp;IF(N(R1098)&gt;1,"Chain; ","")&amp;IF(S1098="No","Destination not 200; ","")))</f>
        <v/>
      </c>
      <c r="U1098" s="22" t="n"/>
      <c r="V1098" s="22" t="n"/>
      <c r="W1098" s="4" t="n"/>
    </row>
    <row r="1099">
      <c r="A1099" s="22" t="n"/>
      <c r="B1099" s="22" t="n"/>
      <c r="C1099" s="22" t="n"/>
      <c r="D1099" s="22">
        <f>IF(A1099="","",IF(OR(N(B1099)&gt;=$C$2,N(C1099)&gt;=$E$2),"High",IF(OR(N(B1099)&gt;0,N(C1099)&gt;0),"Medium","Low")))</f>
        <v/>
      </c>
      <c r="E1099" s="22" t="n"/>
      <c r="F1099" s="22" t="n"/>
      <c r="G1099" s="22" t="n"/>
      <c r="H1099" s="22" t="n"/>
      <c r="I1099" s="22" t="n"/>
      <c r="J1099" s="22" t="n"/>
      <c r="K1099" s="22" t="n"/>
      <c r="L1099" s="22" t="n"/>
      <c r="M1099" s="22">
        <f>IF(K1099="Override",L1099,IF(K1099="Accept suggestion",F1099,IF(K1099="No change (same URL)",A1099,"")))</f>
        <v/>
      </c>
      <c r="N1099" s="22">
        <f>IF(A1099="","",IF(K1099="410 Gone","410",IF(K1099="404","404",IF(K1099="No change (same URL)","none",IF(M1099="","","301")))))</f>
        <v/>
      </c>
      <c r="O1099" s="22">
        <f>IF(A1099="","",IFERROR(MID(A1099,FIND("/",A1099,FIND("//",A1099)+2),2000),A1099))</f>
        <v/>
      </c>
      <c r="P1099" s="22">
        <f>IF(OR(O1099="",N1099="",N1099="none",N1099="404"),"",IF(N1099="410","Redirect gone "&amp;O1099,"Redirect "&amp;N1099&amp;" "&amp;O1099&amp;" "&amp;M1099))</f>
        <v/>
      </c>
      <c r="Q1099" s="22" t="n"/>
      <c r="R1099" s="22" t="n"/>
      <c r="S1099" s="22" t="n"/>
      <c r="T1099" s="4">
        <f>IF(A1099="","",TRIM(IF(K1099="","Needs decision; ","")&amp;IF(AND(K1099="Accept suggestion",F1099=""),"No suggestion to accept; ","")&amp;IF(AND(K1099="Override",L1099=""),"Override URL missing; ","")&amp;IF(AND(K1099="Accept suggestion",N(G1099)&lt;$G$2),"Below your threshold; ","")&amp;IF(AND(M1099&lt;&gt;"",M1099=A1099,K1099&lt;&gt;"No change (same URL)"),"Redirects to itself; ","")&amp;IF(AND(M1099&lt;&gt;"",OR(M1099="/",AND(LEFT(M1099,4)="http",OR((LEN(M1099)-LEN(SUBSTITUTE(M1099,"/","")))=2,AND((LEN(M1099)-LEN(SUBSTITUTE(M1099,"/","")))=3,RIGHT(M1099,1)="/"))))),"Home page redirect; ","")&amp;IF(N(R1099)&gt;1,"Chain; ","")&amp;IF(S1099="No","Destination not 200; ","")))</f>
        <v/>
      </c>
      <c r="U1099" s="22" t="n"/>
      <c r="V1099" s="22" t="n"/>
      <c r="W1099" s="4" t="n"/>
    </row>
    <row r="1100">
      <c r="A1100" s="22" t="n"/>
      <c r="B1100" s="22" t="n"/>
      <c r="C1100" s="22" t="n"/>
      <c r="D1100" s="22">
        <f>IF(A1100="","",IF(OR(N(B1100)&gt;=$C$2,N(C1100)&gt;=$E$2),"High",IF(OR(N(B1100)&gt;0,N(C1100)&gt;0),"Medium","Low")))</f>
        <v/>
      </c>
      <c r="E1100" s="22" t="n"/>
      <c r="F1100" s="22" t="n"/>
      <c r="G1100" s="22" t="n"/>
      <c r="H1100" s="22" t="n"/>
      <c r="I1100" s="22" t="n"/>
      <c r="J1100" s="22" t="n"/>
      <c r="K1100" s="22" t="n"/>
      <c r="L1100" s="22" t="n"/>
      <c r="M1100" s="22">
        <f>IF(K1100="Override",L1100,IF(K1100="Accept suggestion",F1100,IF(K1100="No change (same URL)",A1100,"")))</f>
        <v/>
      </c>
      <c r="N1100" s="22">
        <f>IF(A1100="","",IF(K1100="410 Gone","410",IF(K1100="404","404",IF(K1100="No change (same URL)","none",IF(M1100="","","301")))))</f>
        <v/>
      </c>
      <c r="O1100" s="22">
        <f>IF(A1100="","",IFERROR(MID(A1100,FIND("/",A1100,FIND("//",A1100)+2),2000),A1100))</f>
        <v/>
      </c>
      <c r="P1100" s="22">
        <f>IF(OR(O1100="",N1100="",N1100="none",N1100="404"),"",IF(N1100="410","Redirect gone "&amp;O1100,"Redirect "&amp;N1100&amp;" "&amp;O1100&amp;" "&amp;M1100))</f>
        <v/>
      </c>
      <c r="Q1100" s="22" t="n"/>
      <c r="R1100" s="22" t="n"/>
      <c r="S1100" s="22" t="n"/>
      <c r="T1100" s="4">
        <f>IF(A1100="","",TRIM(IF(K1100="","Needs decision; ","")&amp;IF(AND(K1100="Accept suggestion",F1100=""),"No suggestion to accept; ","")&amp;IF(AND(K1100="Override",L1100=""),"Override URL missing; ","")&amp;IF(AND(K1100="Accept suggestion",N(G1100)&lt;$G$2),"Below your threshold; ","")&amp;IF(AND(M1100&lt;&gt;"",M1100=A1100,K1100&lt;&gt;"No change (same URL)"),"Redirects to itself; ","")&amp;IF(AND(M1100&lt;&gt;"",OR(M1100="/",AND(LEFT(M1100,4)="http",OR((LEN(M1100)-LEN(SUBSTITUTE(M1100,"/","")))=2,AND((LEN(M1100)-LEN(SUBSTITUTE(M1100,"/","")))=3,RIGHT(M1100,1)="/"))))),"Home page redirect; ","")&amp;IF(N(R1100)&gt;1,"Chain; ","")&amp;IF(S1100="No","Destination not 200; ","")))</f>
        <v/>
      </c>
      <c r="U1100" s="22" t="n"/>
      <c r="V1100" s="22" t="n"/>
      <c r="W1100" s="4" t="n"/>
    </row>
    <row r="1101">
      <c r="A1101" s="22" t="n"/>
      <c r="B1101" s="22" t="n"/>
      <c r="C1101" s="22" t="n"/>
      <c r="D1101" s="22">
        <f>IF(A1101="","",IF(OR(N(B1101)&gt;=$C$2,N(C1101)&gt;=$E$2),"High",IF(OR(N(B1101)&gt;0,N(C1101)&gt;0),"Medium","Low")))</f>
        <v/>
      </c>
      <c r="E1101" s="22" t="n"/>
      <c r="F1101" s="22" t="n"/>
      <c r="G1101" s="22" t="n"/>
      <c r="H1101" s="22" t="n"/>
      <c r="I1101" s="22" t="n"/>
      <c r="J1101" s="22" t="n"/>
      <c r="K1101" s="22" t="n"/>
      <c r="L1101" s="22" t="n"/>
      <c r="M1101" s="22">
        <f>IF(K1101="Override",L1101,IF(K1101="Accept suggestion",F1101,IF(K1101="No change (same URL)",A1101,"")))</f>
        <v/>
      </c>
      <c r="N1101" s="22">
        <f>IF(A1101="","",IF(K1101="410 Gone","410",IF(K1101="404","404",IF(K1101="No change (same URL)","none",IF(M1101="","","301")))))</f>
        <v/>
      </c>
      <c r="O1101" s="22">
        <f>IF(A1101="","",IFERROR(MID(A1101,FIND("/",A1101,FIND("//",A1101)+2),2000),A1101))</f>
        <v/>
      </c>
      <c r="P1101" s="22">
        <f>IF(OR(O1101="",N1101="",N1101="none",N1101="404"),"",IF(N1101="410","Redirect gone "&amp;O1101,"Redirect "&amp;N1101&amp;" "&amp;O1101&amp;" "&amp;M1101))</f>
        <v/>
      </c>
      <c r="Q1101" s="22" t="n"/>
      <c r="R1101" s="22" t="n"/>
      <c r="S1101" s="22" t="n"/>
      <c r="T1101" s="4">
        <f>IF(A1101="","",TRIM(IF(K1101="","Needs decision; ","")&amp;IF(AND(K1101="Accept suggestion",F1101=""),"No suggestion to accept; ","")&amp;IF(AND(K1101="Override",L1101=""),"Override URL missing; ","")&amp;IF(AND(K1101="Accept suggestion",N(G1101)&lt;$G$2),"Below your threshold; ","")&amp;IF(AND(M1101&lt;&gt;"",M1101=A1101,K1101&lt;&gt;"No change (same URL)"),"Redirects to itself; ","")&amp;IF(AND(M1101&lt;&gt;"",OR(M1101="/",AND(LEFT(M1101,4)="http",OR((LEN(M1101)-LEN(SUBSTITUTE(M1101,"/","")))=2,AND((LEN(M1101)-LEN(SUBSTITUTE(M1101,"/","")))=3,RIGHT(M1101,1)="/"))))),"Home page redirect; ","")&amp;IF(N(R1101)&gt;1,"Chain; ","")&amp;IF(S1101="No","Destination not 200; ","")))</f>
        <v/>
      </c>
      <c r="U1101" s="22" t="n"/>
      <c r="V1101" s="22" t="n"/>
      <c r="W1101" s="4" t="n"/>
    </row>
    <row r="1102">
      <c r="A1102" s="22" t="n"/>
      <c r="B1102" s="22" t="n"/>
      <c r="C1102" s="22" t="n"/>
      <c r="D1102" s="22">
        <f>IF(A1102="","",IF(OR(N(B1102)&gt;=$C$2,N(C1102)&gt;=$E$2),"High",IF(OR(N(B1102)&gt;0,N(C1102)&gt;0),"Medium","Low")))</f>
        <v/>
      </c>
      <c r="E1102" s="22" t="n"/>
      <c r="F1102" s="22" t="n"/>
      <c r="G1102" s="22" t="n"/>
      <c r="H1102" s="22" t="n"/>
      <c r="I1102" s="22" t="n"/>
      <c r="J1102" s="22" t="n"/>
      <c r="K1102" s="22" t="n"/>
      <c r="L1102" s="22" t="n"/>
      <c r="M1102" s="22">
        <f>IF(K1102="Override",L1102,IF(K1102="Accept suggestion",F1102,IF(K1102="No change (same URL)",A1102,"")))</f>
        <v/>
      </c>
      <c r="N1102" s="22">
        <f>IF(A1102="","",IF(K1102="410 Gone","410",IF(K1102="404","404",IF(K1102="No change (same URL)","none",IF(M1102="","","301")))))</f>
        <v/>
      </c>
      <c r="O1102" s="22">
        <f>IF(A1102="","",IFERROR(MID(A1102,FIND("/",A1102,FIND("//",A1102)+2),2000),A1102))</f>
        <v/>
      </c>
      <c r="P1102" s="22">
        <f>IF(OR(O1102="",N1102="",N1102="none",N1102="404"),"",IF(N1102="410","Redirect gone "&amp;O1102,"Redirect "&amp;N1102&amp;" "&amp;O1102&amp;" "&amp;M1102))</f>
        <v/>
      </c>
      <c r="Q1102" s="22" t="n"/>
      <c r="R1102" s="22" t="n"/>
      <c r="S1102" s="22" t="n"/>
      <c r="T1102" s="4">
        <f>IF(A1102="","",TRIM(IF(K1102="","Needs decision; ","")&amp;IF(AND(K1102="Accept suggestion",F1102=""),"No suggestion to accept; ","")&amp;IF(AND(K1102="Override",L1102=""),"Override URL missing; ","")&amp;IF(AND(K1102="Accept suggestion",N(G1102)&lt;$G$2),"Below your threshold; ","")&amp;IF(AND(M1102&lt;&gt;"",M1102=A1102,K1102&lt;&gt;"No change (same URL)"),"Redirects to itself; ","")&amp;IF(AND(M1102&lt;&gt;"",OR(M1102="/",AND(LEFT(M1102,4)="http",OR((LEN(M1102)-LEN(SUBSTITUTE(M1102,"/","")))=2,AND((LEN(M1102)-LEN(SUBSTITUTE(M1102,"/","")))=3,RIGHT(M1102,1)="/"))))),"Home page redirect; ","")&amp;IF(N(R1102)&gt;1,"Chain; ","")&amp;IF(S1102="No","Destination not 200; ","")))</f>
        <v/>
      </c>
      <c r="U1102" s="22" t="n"/>
      <c r="V1102" s="22" t="n"/>
      <c r="W1102" s="4" t="n"/>
    </row>
    <row r="1103">
      <c r="A1103" s="22" t="n"/>
      <c r="B1103" s="22" t="n"/>
      <c r="C1103" s="22" t="n"/>
      <c r="D1103" s="22">
        <f>IF(A1103="","",IF(OR(N(B1103)&gt;=$C$2,N(C1103)&gt;=$E$2),"High",IF(OR(N(B1103)&gt;0,N(C1103)&gt;0),"Medium","Low")))</f>
        <v/>
      </c>
      <c r="E1103" s="22" t="n"/>
      <c r="F1103" s="22" t="n"/>
      <c r="G1103" s="22" t="n"/>
      <c r="H1103" s="22" t="n"/>
      <c r="I1103" s="22" t="n"/>
      <c r="J1103" s="22" t="n"/>
      <c r="K1103" s="22" t="n"/>
      <c r="L1103" s="22" t="n"/>
      <c r="M1103" s="22">
        <f>IF(K1103="Override",L1103,IF(K1103="Accept suggestion",F1103,IF(K1103="No change (same URL)",A1103,"")))</f>
        <v/>
      </c>
      <c r="N1103" s="22">
        <f>IF(A1103="","",IF(K1103="410 Gone","410",IF(K1103="404","404",IF(K1103="No change (same URL)","none",IF(M1103="","","301")))))</f>
        <v/>
      </c>
      <c r="O1103" s="22">
        <f>IF(A1103="","",IFERROR(MID(A1103,FIND("/",A1103,FIND("//",A1103)+2),2000),A1103))</f>
        <v/>
      </c>
      <c r="P1103" s="22">
        <f>IF(OR(O1103="",N1103="",N1103="none",N1103="404"),"",IF(N1103="410","Redirect gone "&amp;O1103,"Redirect "&amp;N1103&amp;" "&amp;O1103&amp;" "&amp;M1103))</f>
        <v/>
      </c>
      <c r="Q1103" s="22" t="n"/>
      <c r="R1103" s="22" t="n"/>
      <c r="S1103" s="22" t="n"/>
      <c r="T1103" s="4">
        <f>IF(A1103="","",TRIM(IF(K1103="","Needs decision; ","")&amp;IF(AND(K1103="Accept suggestion",F1103=""),"No suggestion to accept; ","")&amp;IF(AND(K1103="Override",L1103=""),"Override URL missing; ","")&amp;IF(AND(K1103="Accept suggestion",N(G1103)&lt;$G$2),"Below your threshold; ","")&amp;IF(AND(M1103&lt;&gt;"",M1103=A1103,K1103&lt;&gt;"No change (same URL)"),"Redirects to itself; ","")&amp;IF(AND(M1103&lt;&gt;"",OR(M1103="/",AND(LEFT(M1103,4)="http",OR((LEN(M1103)-LEN(SUBSTITUTE(M1103,"/","")))=2,AND((LEN(M1103)-LEN(SUBSTITUTE(M1103,"/","")))=3,RIGHT(M1103,1)="/"))))),"Home page redirect; ","")&amp;IF(N(R1103)&gt;1,"Chain; ","")&amp;IF(S1103="No","Destination not 200; ","")))</f>
        <v/>
      </c>
      <c r="U1103" s="22" t="n"/>
      <c r="V1103" s="22" t="n"/>
      <c r="W1103" s="4" t="n"/>
    </row>
    <row r="1104">
      <c r="A1104" s="22" t="n"/>
      <c r="B1104" s="22" t="n"/>
      <c r="C1104" s="22" t="n"/>
      <c r="D1104" s="22">
        <f>IF(A1104="","",IF(OR(N(B1104)&gt;=$C$2,N(C1104)&gt;=$E$2),"High",IF(OR(N(B1104)&gt;0,N(C1104)&gt;0),"Medium","Low")))</f>
        <v/>
      </c>
      <c r="E1104" s="22" t="n"/>
      <c r="F1104" s="22" t="n"/>
      <c r="G1104" s="22" t="n"/>
      <c r="H1104" s="22" t="n"/>
      <c r="I1104" s="22" t="n"/>
      <c r="J1104" s="22" t="n"/>
      <c r="K1104" s="22" t="n"/>
      <c r="L1104" s="22" t="n"/>
      <c r="M1104" s="22">
        <f>IF(K1104="Override",L1104,IF(K1104="Accept suggestion",F1104,IF(K1104="No change (same URL)",A1104,"")))</f>
        <v/>
      </c>
      <c r="N1104" s="22">
        <f>IF(A1104="","",IF(K1104="410 Gone","410",IF(K1104="404","404",IF(K1104="No change (same URL)","none",IF(M1104="","","301")))))</f>
        <v/>
      </c>
      <c r="O1104" s="22">
        <f>IF(A1104="","",IFERROR(MID(A1104,FIND("/",A1104,FIND("//",A1104)+2),2000),A1104))</f>
        <v/>
      </c>
      <c r="P1104" s="22">
        <f>IF(OR(O1104="",N1104="",N1104="none",N1104="404"),"",IF(N1104="410","Redirect gone "&amp;O1104,"Redirect "&amp;N1104&amp;" "&amp;O1104&amp;" "&amp;M1104))</f>
        <v/>
      </c>
      <c r="Q1104" s="22" t="n"/>
      <c r="R1104" s="22" t="n"/>
      <c r="S1104" s="22" t="n"/>
      <c r="T1104" s="4">
        <f>IF(A1104="","",TRIM(IF(K1104="","Needs decision; ","")&amp;IF(AND(K1104="Accept suggestion",F1104=""),"No suggestion to accept; ","")&amp;IF(AND(K1104="Override",L1104=""),"Override URL missing; ","")&amp;IF(AND(K1104="Accept suggestion",N(G1104)&lt;$G$2),"Below your threshold; ","")&amp;IF(AND(M1104&lt;&gt;"",M1104=A1104,K1104&lt;&gt;"No change (same URL)"),"Redirects to itself; ","")&amp;IF(AND(M1104&lt;&gt;"",OR(M1104="/",AND(LEFT(M1104,4)="http",OR((LEN(M1104)-LEN(SUBSTITUTE(M1104,"/","")))=2,AND((LEN(M1104)-LEN(SUBSTITUTE(M1104,"/","")))=3,RIGHT(M1104,1)="/"))))),"Home page redirect; ","")&amp;IF(N(R1104)&gt;1,"Chain; ","")&amp;IF(S1104="No","Destination not 200; ","")))</f>
        <v/>
      </c>
      <c r="U1104" s="22" t="n"/>
      <c r="V1104" s="22" t="n"/>
      <c r="W1104" s="4" t="n"/>
    </row>
    <row r="1105">
      <c r="A1105" s="22" t="n"/>
      <c r="B1105" s="22" t="n"/>
      <c r="C1105" s="22" t="n"/>
      <c r="D1105" s="22">
        <f>IF(A1105="","",IF(OR(N(B1105)&gt;=$C$2,N(C1105)&gt;=$E$2),"High",IF(OR(N(B1105)&gt;0,N(C1105)&gt;0),"Medium","Low")))</f>
        <v/>
      </c>
      <c r="E1105" s="22" t="n"/>
      <c r="F1105" s="22" t="n"/>
      <c r="G1105" s="22" t="n"/>
      <c r="H1105" s="22" t="n"/>
      <c r="I1105" s="22" t="n"/>
      <c r="J1105" s="22" t="n"/>
      <c r="K1105" s="22" t="n"/>
      <c r="L1105" s="22" t="n"/>
      <c r="M1105" s="22">
        <f>IF(K1105="Override",L1105,IF(K1105="Accept suggestion",F1105,IF(K1105="No change (same URL)",A1105,"")))</f>
        <v/>
      </c>
      <c r="N1105" s="22">
        <f>IF(A1105="","",IF(K1105="410 Gone","410",IF(K1105="404","404",IF(K1105="No change (same URL)","none",IF(M1105="","","301")))))</f>
        <v/>
      </c>
      <c r="O1105" s="22">
        <f>IF(A1105="","",IFERROR(MID(A1105,FIND("/",A1105,FIND("//",A1105)+2),2000),A1105))</f>
        <v/>
      </c>
      <c r="P1105" s="22">
        <f>IF(OR(O1105="",N1105="",N1105="none",N1105="404"),"",IF(N1105="410","Redirect gone "&amp;O1105,"Redirect "&amp;N1105&amp;" "&amp;O1105&amp;" "&amp;M1105))</f>
        <v/>
      </c>
      <c r="Q1105" s="22" t="n"/>
      <c r="R1105" s="22" t="n"/>
      <c r="S1105" s="22" t="n"/>
      <c r="T1105" s="4">
        <f>IF(A1105="","",TRIM(IF(K1105="","Needs decision; ","")&amp;IF(AND(K1105="Accept suggestion",F1105=""),"No suggestion to accept; ","")&amp;IF(AND(K1105="Override",L1105=""),"Override URL missing; ","")&amp;IF(AND(K1105="Accept suggestion",N(G1105)&lt;$G$2),"Below your threshold; ","")&amp;IF(AND(M1105&lt;&gt;"",M1105=A1105,K1105&lt;&gt;"No change (same URL)"),"Redirects to itself; ","")&amp;IF(AND(M1105&lt;&gt;"",OR(M1105="/",AND(LEFT(M1105,4)="http",OR((LEN(M1105)-LEN(SUBSTITUTE(M1105,"/","")))=2,AND((LEN(M1105)-LEN(SUBSTITUTE(M1105,"/","")))=3,RIGHT(M1105,1)="/"))))),"Home page redirect; ","")&amp;IF(N(R1105)&gt;1,"Chain; ","")&amp;IF(S1105="No","Destination not 200; ","")))</f>
        <v/>
      </c>
      <c r="U1105" s="22" t="n"/>
      <c r="V1105" s="22" t="n"/>
      <c r="W1105" s="4" t="n"/>
    </row>
    <row r="1106">
      <c r="A1106" s="22" t="n"/>
      <c r="B1106" s="22" t="n"/>
      <c r="C1106" s="22" t="n"/>
      <c r="D1106" s="22">
        <f>IF(A1106="","",IF(OR(N(B1106)&gt;=$C$2,N(C1106)&gt;=$E$2),"High",IF(OR(N(B1106)&gt;0,N(C1106)&gt;0),"Medium","Low")))</f>
        <v/>
      </c>
      <c r="E1106" s="22" t="n"/>
      <c r="F1106" s="22" t="n"/>
      <c r="G1106" s="22" t="n"/>
      <c r="H1106" s="22" t="n"/>
      <c r="I1106" s="22" t="n"/>
      <c r="J1106" s="22" t="n"/>
      <c r="K1106" s="22" t="n"/>
      <c r="L1106" s="22" t="n"/>
      <c r="M1106" s="22">
        <f>IF(K1106="Override",L1106,IF(K1106="Accept suggestion",F1106,IF(K1106="No change (same URL)",A1106,"")))</f>
        <v/>
      </c>
      <c r="N1106" s="22">
        <f>IF(A1106="","",IF(K1106="410 Gone","410",IF(K1106="404","404",IF(K1106="No change (same URL)","none",IF(M1106="","","301")))))</f>
        <v/>
      </c>
      <c r="O1106" s="22">
        <f>IF(A1106="","",IFERROR(MID(A1106,FIND("/",A1106,FIND("//",A1106)+2),2000),A1106))</f>
        <v/>
      </c>
      <c r="P1106" s="22">
        <f>IF(OR(O1106="",N1106="",N1106="none",N1106="404"),"",IF(N1106="410","Redirect gone "&amp;O1106,"Redirect "&amp;N1106&amp;" "&amp;O1106&amp;" "&amp;M1106))</f>
        <v/>
      </c>
      <c r="Q1106" s="22" t="n"/>
      <c r="R1106" s="22" t="n"/>
      <c r="S1106" s="22" t="n"/>
      <c r="T1106" s="4">
        <f>IF(A1106="","",TRIM(IF(K1106="","Needs decision; ","")&amp;IF(AND(K1106="Accept suggestion",F1106=""),"No suggestion to accept; ","")&amp;IF(AND(K1106="Override",L1106=""),"Override URL missing; ","")&amp;IF(AND(K1106="Accept suggestion",N(G1106)&lt;$G$2),"Below your threshold; ","")&amp;IF(AND(M1106&lt;&gt;"",M1106=A1106,K1106&lt;&gt;"No change (same URL)"),"Redirects to itself; ","")&amp;IF(AND(M1106&lt;&gt;"",OR(M1106="/",AND(LEFT(M1106,4)="http",OR((LEN(M1106)-LEN(SUBSTITUTE(M1106,"/","")))=2,AND((LEN(M1106)-LEN(SUBSTITUTE(M1106,"/","")))=3,RIGHT(M1106,1)="/"))))),"Home page redirect; ","")&amp;IF(N(R1106)&gt;1,"Chain; ","")&amp;IF(S1106="No","Destination not 200; ","")))</f>
        <v/>
      </c>
      <c r="U1106" s="22" t="n"/>
      <c r="V1106" s="22" t="n"/>
      <c r="W1106" s="4" t="n"/>
    </row>
    <row r="1107">
      <c r="A1107" s="22" t="n"/>
      <c r="B1107" s="22" t="n"/>
      <c r="C1107" s="22" t="n"/>
      <c r="D1107" s="22">
        <f>IF(A1107="","",IF(OR(N(B1107)&gt;=$C$2,N(C1107)&gt;=$E$2),"High",IF(OR(N(B1107)&gt;0,N(C1107)&gt;0),"Medium","Low")))</f>
        <v/>
      </c>
      <c r="E1107" s="22" t="n"/>
      <c r="F1107" s="22" t="n"/>
      <c r="G1107" s="22" t="n"/>
      <c r="H1107" s="22" t="n"/>
      <c r="I1107" s="22" t="n"/>
      <c r="J1107" s="22" t="n"/>
      <c r="K1107" s="22" t="n"/>
      <c r="L1107" s="22" t="n"/>
      <c r="M1107" s="22">
        <f>IF(K1107="Override",L1107,IF(K1107="Accept suggestion",F1107,IF(K1107="No change (same URL)",A1107,"")))</f>
        <v/>
      </c>
      <c r="N1107" s="22">
        <f>IF(A1107="","",IF(K1107="410 Gone","410",IF(K1107="404","404",IF(K1107="No change (same URL)","none",IF(M1107="","","301")))))</f>
        <v/>
      </c>
      <c r="O1107" s="22">
        <f>IF(A1107="","",IFERROR(MID(A1107,FIND("/",A1107,FIND("//",A1107)+2),2000),A1107))</f>
        <v/>
      </c>
      <c r="P1107" s="22">
        <f>IF(OR(O1107="",N1107="",N1107="none",N1107="404"),"",IF(N1107="410","Redirect gone "&amp;O1107,"Redirect "&amp;N1107&amp;" "&amp;O1107&amp;" "&amp;M1107))</f>
        <v/>
      </c>
      <c r="Q1107" s="22" t="n"/>
      <c r="R1107" s="22" t="n"/>
      <c r="S1107" s="22" t="n"/>
      <c r="T1107" s="4">
        <f>IF(A1107="","",TRIM(IF(K1107="","Needs decision; ","")&amp;IF(AND(K1107="Accept suggestion",F1107=""),"No suggestion to accept; ","")&amp;IF(AND(K1107="Override",L1107=""),"Override URL missing; ","")&amp;IF(AND(K1107="Accept suggestion",N(G1107)&lt;$G$2),"Below your threshold; ","")&amp;IF(AND(M1107&lt;&gt;"",M1107=A1107,K1107&lt;&gt;"No change (same URL)"),"Redirects to itself; ","")&amp;IF(AND(M1107&lt;&gt;"",OR(M1107="/",AND(LEFT(M1107,4)="http",OR((LEN(M1107)-LEN(SUBSTITUTE(M1107,"/","")))=2,AND((LEN(M1107)-LEN(SUBSTITUTE(M1107,"/","")))=3,RIGHT(M1107,1)="/"))))),"Home page redirect; ","")&amp;IF(N(R1107)&gt;1,"Chain; ","")&amp;IF(S1107="No","Destination not 200; ","")))</f>
        <v/>
      </c>
      <c r="U1107" s="22" t="n"/>
      <c r="V1107" s="22" t="n"/>
      <c r="W1107" s="4" t="n"/>
    </row>
    <row r="1108">
      <c r="A1108" s="22" t="n"/>
      <c r="B1108" s="22" t="n"/>
      <c r="C1108" s="22" t="n"/>
      <c r="D1108" s="22">
        <f>IF(A1108="","",IF(OR(N(B1108)&gt;=$C$2,N(C1108)&gt;=$E$2),"High",IF(OR(N(B1108)&gt;0,N(C1108)&gt;0),"Medium","Low")))</f>
        <v/>
      </c>
      <c r="E1108" s="22" t="n"/>
      <c r="F1108" s="22" t="n"/>
      <c r="G1108" s="22" t="n"/>
      <c r="H1108" s="22" t="n"/>
      <c r="I1108" s="22" t="n"/>
      <c r="J1108" s="22" t="n"/>
      <c r="K1108" s="22" t="n"/>
      <c r="L1108" s="22" t="n"/>
      <c r="M1108" s="22">
        <f>IF(K1108="Override",L1108,IF(K1108="Accept suggestion",F1108,IF(K1108="No change (same URL)",A1108,"")))</f>
        <v/>
      </c>
      <c r="N1108" s="22">
        <f>IF(A1108="","",IF(K1108="410 Gone","410",IF(K1108="404","404",IF(K1108="No change (same URL)","none",IF(M1108="","","301")))))</f>
        <v/>
      </c>
      <c r="O1108" s="22">
        <f>IF(A1108="","",IFERROR(MID(A1108,FIND("/",A1108,FIND("//",A1108)+2),2000),A1108))</f>
        <v/>
      </c>
      <c r="P1108" s="22">
        <f>IF(OR(O1108="",N1108="",N1108="none",N1108="404"),"",IF(N1108="410","Redirect gone "&amp;O1108,"Redirect "&amp;N1108&amp;" "&amp;O1108&amp;" "&amp;M1108))</f>
        <v/>
      </c>
      <c r="Q1108" s="22" t="n"/>
      <c r="R1108" s="22" t="n"/>
      <c r="S1108" s="22" t="n"/>
      <c r="T1108" s="4">
        <f>IF(A1108="","",TRIM(IF(K1108="","Needs decision; ","")&amp;IF(AND(K1108="Accept suggestion",F1108=""),"No suggestion to accept; ","")&amp;IF(AND(K1108="Override",L1108=""),"Override URL missing; ","")&amp;IF(AND(K1108="Accept suggestion",N(G1108)&lt;$G$2),"Below your threshold; ","")&amp;IF(AND(M1108&lt;&gt;"",M1108=A1108,K1108&lt;&gt;"No change (same URL)"),"Redirects to itself; ","")&amp;IF(AND(M1108&lt;&gt;"",OR(M1108="/",AND(LEFT(M1108,4)="http",OR((LEN(M1108)-LEN(SUBSTITUTE(M1108,"/","")))=2,AND((LEN(M1108)-LEN(SUBSTITUTE(M1108,"/","")))=3,RIGHT(M1108,1)="/"))))),"Home page redirect; ","")&amp;IF(N(R1108)&gt;1,"Chain; ","")&amp;IF(S1108="No","Destination not 200; ","")))</f>
        <v/>
      </c>
      <c r="U1108" s="22" t="n"/>
      <c r="V1108" s="22" t="n"/>
      <c r="W1108" s="4" t="n"/>
    </row>
    <row r="1109">
      <c r="A1109" s="22" t="n"/>
      <c r="B1109" s="22" t="n"/>
      <c r="C1109" s="22" t="n"/>
      <c r="D1109" s="22">
        <f>IF(A1109="","",IF(OR(N(B1109)&gt;=$C$2,N(C1109)&gt;=$E$2),"High",IF(OR(N(B1109)&gt;0,N(C1109)&gt;0),"Medium","Low")))</f>
        <v/>
      </c>
      <c r="E1109" s="22" t="n"/>
      <c r="F1109" s="22" t="n"/>
      <c r="G1109" s="22" t="n"/>
      <c r="H1109" s="22" t="n"/>
      <c r="I1109" s="22" t="n"/>
      <c r="J1109" s="22" t="n"/>
      <c r="K1109" s="22" t="n"/>
      <c r="L1109" s="22" t="n"/>
      <c r="M1109" s="22">
        <f>IF(K1109="Override",L1109,IF(K1109="Accept suggestion",F1109,IF(K1109="No change (same URL)",A1109,"")))</f>
        <v/>
      </c>
      <c r="N1109" s="22">
        <f>IF(A1109="","",IF(K1109="410 Gone","410",IF(K1109="404","404",IF(K1109="No change (same URL)","none",IF(M1109="","","301")))))</f>
        <v/>
      </c>
      <c r="O1109" s="22">
        <f>IF(A1109="","",IFERROR(MID(A1109,FIND("/",A1109,FIND("//",A1109)+2),2000),A1109))</f>
        <v/>
      </c>
      <c r="P1109" s="22">
        <f>IF(OR(O1109="",N1109="",N1109="none",N1109="404"),"",IF(N1109="410","Redirect gone "&amp;O1109,"Redirect "&amp;N1109&amp;" "&amp;O1109&amp;" "&amp;M1109))</f>
        <v/>
      </c>
      <c r="Q1109" s="22" t="n"/>
      <c r="R1109" s="22" t="n"/>
      <c r="S1109" s="22" t="n"/>
      <c r="T1109" s="4">
        <f>IF(A1109="","",TRIM(IF(K1109="","Needs decision; ","")&amp;IF(AND(K1109="Accept suggestion",F1109=""),"No suggestion to accept; ","")&amp;IF(AND(K1109="Override",L1109=""),"Override URL missing; ","")&amp;IF(AND(K1109="Accept suggestion",N(G1109)&lt;$G$2),"Below your threshold; ","")&amp;IF(AND(M1109&lt;&gt;"",M1109=A1109,K1109&lt;&gt;"No change (same URL)"),"Redirects to itself; ","")&amp;IF(AND(M1109&lt;&gt;"",OR(M1109="/",AND(LEFT(M1109,4)="http",OR((LEN(M1109)-LEN(SUBSTITUTE(M1109,"/","")))=2,AND((LEN(M1109)-LEN(SUBSTITUTE(M1109,"/","")))=3,RIGHT(M1109,1)="/"))))),"Home page redirect; ","")&amp;IF(N(R1109)&gt;1,"Chain; ","")&amp;IF(S1109="No","Destination not 200; ","")))</f>
        <v/>
      </c>
      <c r="U1109" s="22" t="n"/>
      <c r="V1109" s="22" t="n"/>
      <c r="W1109" s="4" t="n"/>
    </row>
    <row r="1110">
      <c r="A1110" s="22" t="n"/>
      <c r="B1110" s="22" t="n"/>
      <c r="C1110" s="22" t="n"/>
      <c r="D1110" s="22">
        <f>IF(A1110="","",IF(OR(N(B1110)&gt;=$C$2,N(C1110)&gt;=$E$2),"High",IF(OR(N(B1110)&gt;0,N(C1110)&gt;0),"Medium","Low")))</f>
        <v/>
      </c>
      <c r="E1110" s="22" t="n"/>
      <c r="F1110" s="22" t="n"/>
      <c r="G1110" s="22" t="n"/>
      <c r="H1110" s="22" t="n"/>
      <c r="I1110" s="22" t="n"/>
      <c r="J1110" s="22" t="n"/>
      <c r="K1110" s="22" t="n"/>
      <c r="L1110" s="22" t="n"/>
      <c r="M1110" s="22">
        <f>IF(K1110="Override",L1110,IF(K1110="Accept suggestion",F1110,IF(K1110="No change (same URL)",A1110,"")))</f>
        <v/>
      </c>
      <c r="N1110" s="22">
        <f>IF(A1110="","",IF(K1110="410 Gone","410",IF(K1110="404","404",IF(K1110="No change (same URL)","none",IF(M1110="","","301")))))</f>
        <v/>
      </c>
      <c r="O1110" s="22">
        <f>IF(A1110="","",IFERROR(MID(A1110,FIND("/",A1110,FIND("//",A1110)+2),2000),A1110))</f>
        <v/>
      </c>
      <c r="P1110" s="22">
        <f>IF(OR(O1110="",N1110="",N1110="none",N1110="404"),"",IF(N1110="410","Redirect gone "&amp;O1110,"Redirect "&amp;N1110&amp;" "&amp;O1110&amp;" "&amp;M1110))</f>
        <v/>
      </c>
      <c r="Q1110" s="22" t="n"/>
      <c r="R1110" s="22" t="n"/>
      <c r="S1110" s="22" t="n"/>
      <c r="T1110" s="4">
        <f>IF(A1110="","",TRIM(IF(K1110="","Needs decision; ","")&amp;IF(AND(K1110="Accept suggestion",F1110=""),"No suggestion to accept; ","")&amp;IF(AND(K1110="Override",L1110=""),"Override URL missing; ","")&amp;IF(AND(K1110="Accept suggestion",N(G1110)&lt;$G$2),"Below your threshold; ","")&amp;IF(AND(M1110&lt;&gt;"",M1110=A1110,K1110&lt;&gt;"No change (same URL)"),"Redirects to itself; ","")&amp;IF(AND(M1110&lt;&gt;"",OR(M1110="/",AND(LEFT(M1110,4)="http",OR((LEN(M1110)-LEN(SUBSTITUTE(M1110,"/","")))=2,AND((LEN(M1110)-LEN(SUBSTITUTE(M1110,"/","")))=3,RIGHT(M1110,1)="/"))))),"Home page redirect; ","")&amp;IF(N(R1110)&gt;1,"Chain; ","")&amp;IF(S1110="No","Destination not 200; ","")))</f>
        <v/>
      </c>
      <c r="U1110" s="22" t="n"/>
      <c r="V1110" s="22" t="n"/>
      <c r="W1110" s="4" t="n"/>
    </row>
    <row r="1111">
      <c r="A1111" s="22" t="n"/>
      <c r="B1111" s="22" t="n"/>
      <c r="C1111" s="22" t="n"/>
      <c r="D1111" s="22">
        <f>IF(A1111="","",IF(OR(N(B1111)&gt;=$C$2,N(C1111)&gt;=$E$2),"High",IF(OR(N(B1111)&gt;0,N(C1111)&gt;0),"Medium","Low")))</f>
        <v/>
      </c>
      <c r="E1111" s="22" t="n"/>
      <c r="F1111" s="22" t="n"/>
      <c r="G1111" s="22" t="n"/>
      <c r="H1111" s="22" t="n"/>
      <c r="I1111" s="22" t="n"/>
      <c r="J1111" s="22" t="n"/>
      <c r="K1111" s="22" t="n"/>
      <c r="L1111" s="22" t="n"/>
      <c r="M1111" s="22">
        <f>IF(K1111="Override",L1111,IF(K1111="Accept suggestion",F1111,IF(K1111="No change (same URL)",A1111,"")))</f>
        <v/>
      </c>
      <c r="N1111" s="22">
        <f>IF(A1111="","",IF(K1111="410 Gone","410",IF(K1111="404","404",IF(K1111="No change (same URL)","none",IF(M1111="","","301")))))</f>
        <v/>
      </c>
      <c r="O1111" s="22">
        <f>IF(A1111="","",IFERROR(MID(A1111,FIND("/",A1111,FIND("//",A1111)+2),2000),A1111))</f>
        <v/>
      </c>
      <c r="P1111" s="22">
        <f>IF(OR(O1111="",N1111="",N1111="none",N1111="404"),"",IF(N1111="410","Redirect gone "&amp;O1111,"Redirect "&amp;N1111&amp;" "&amp;O1111&amp;" "&amp;M1111))</f>
        <v/>
      </c>
      <c r="Q1111" s="22" t="n"/>
      <c r="R1111" s="22" t="n"/>
      <c r="S1111" s="22" t="n"/>
      <c r="T1111" s="4">
        <f>IF(A1111="","",TRIM(IF(K1111="","Needs decision; ","")&amp;IF(AND(K1111="Accept suggestion",F1111=""),"No suggestion to accept; ","")&amp;IF(AND(K1111="Override",L1111=""),"Override URL missing; ","")&amp;IF(AND(K1111="Accept suggestion",N(G1111)&lt;$G$2),"Below your threshold; ","")&amp;IF(AND(M1111&lt;&gt;"",M1111=A1111,K1111&lt;&gt;"No change (same URL)"),"Redirects to itself; ","")&amp;IF(AND(M1111&lt;&gt;"",OR(M1111="/",AND(LEFT(M1111,4)="http",OR((LEN(M1111)-LEN(SUBSTITUTE(M1111,"/","")))=2,AND((LEN(M1111)-LEN(SUBSTITUTE(M1111,"/","")))=3,RIGHT(M1111,1)="/"))))),"Home page redirect; ","")&amp;IF(N(R1111)&gt;1,"Chain; ","")&amp;IF(S1111="No","Destination not 200; ","")))</f>
        <v/>
      </c>
      <c r="U1111" s="22" t="n"/>
      <c r="V1111" s="22" t="n"/>
      <c r="W1111" s="4" t="n"/>
    </row>
    <row r="1112">
      <c r="A1112" s="22" t="n"/>
      <c r="B1112" s="22" t="n"/>
      <c r="C1112" s="22" t="n"/>
      <c r="D1112" s="22">
        <f>IF(A1112="","",IF(OR(N(B1112)&gt;=$C$2,N(C1112)&gt;=$E$2),"High",IF(OR(N(B1112)&gt;0,N(C1112)&gt;0),"Medium","Low")))</f>
        <v/>
      </c>
      <c r="E1112" s="22" t="n"/>
      <c r="F1112" s="22" t="n"/>
      <c r="G1112" s="22" t="n"/>
      <c r="H1112" s="22" t="n"/>
      <c r="I1112" s="22" t="n"/>
      <c r="J1112" s="22" t="n"/>
      <c r="K1112" s="22" t="n"/>
      <c r="L1112" s="22" t="n"/>
      <c r="M1112" s="22">
        <f>IF(K1112="Override",L1112,IF(K1112="Accept suggestion",F1112,IF(K1112="No change (same URL)",A1112,"")))</f>
        <v/>
      </c>
      <c r="N1112" s="22">
        <f>IF(A1112="","",IF(K1112="410 Gone","410",IF(K1112="404","404",IF(K1112="No change (same URL)","none",IF(M1112="","","301")))))</f>
        <v/>
      </c>
      <c r="O1112" s="22">
        <f>IF(A1112="","",IFERROR(MID(A1112,FIND("/",A1112,FIND("//",A1112)+2),2000),A1112))</f>
        <v/>
      </c>
      <c r="P1112" s="22">
        <f>IF(OR(O1112="",N1112="",N1112="none",N1112="404"),"",IF(N1112="410","Redirect gone "&amp;O1112,"Redirect "&amp;N1112&amp;" "&amp;O1112&amp;" "&amp;M1112))</f>
        <v/>
      </c>
      <c r="Q1112" s="22" t="n"/>
      <c r="R1112" s="22" t="n"/>
      <c r="S1112" s="22" t="n"/>
      <c r="T1112" s="4">
        <f>IF(A1112="","",TRIM(IF(K1112="","Needs decision; ","")&amp;IF(AND(K1112="Accept suggestion",F1112=""),"No suggestion to accept; ","")&amp;IF(AND(K1112="Override",L1112=""),"Override URL missing; ","")&amp;IF(AND(K1112="Accept suggestion",N(G1112)&lt;$G$2),"Below your threshold; ","")&amp;IF(AND(M1112&lt;&gt;"",M1112=A1112,K1112&lt;&gt;"No change (same URL)"),"Redirects to itself; ","")&amp;IF(AND(M1112&lt;&gt;"",OR(M1112="/",AND(LEFT(M1112,4)="http",OR((LEN(M1112)-LEN(SUBSTITUTE(M1112,"/","")))=2,AND((LEN(M1112)-LEN(SUBSTITUTE(M1112,"/","")))=3,RIGHT(M1112,1)="/"))))),"Home page redirect; ","")&amp;IF(N(R1112)&gt;1,"Chain; ","")&amp;IF(S1112="No","Destination not 200; ","")))</f>
        <v/>
      </c>
      <c r="U1112" s="22" t="n"/>
      <c r="V1112" s="22" t="n"/>
      <c r="W1112" s="4" t="n"/>
    </row>
    <row r="1113">
      <c r="A1113" s="22" t="n"/>
      <c r="B1113" s="22" t="n"/>
      <c r="C1113" s="22" t="n"/>
      <c r="D1113" s="22">
        <f>IF(A1113="","",IF(OR(N(B1113)&gt;=$C$2,N(C1113)&gt;=$E$2),"High",IF(OR(N(B1113)&gt;0,N(C1113)&gt;0),"Medium","Low")))</f>
        <v/>
      </c>
      <c r="E1113" s="22" t="n"/>
      <c r="F1113" s="22" t="n"/>
      <c r="G1113" s="22" t="n"/>
      <c r="H1113" s="22" t="n"/>
      <c r="I1113" s="22" t="n"/>
      <c r="J1113" s="22" t="n"/>
      <c r="K1113" s="22" t="n"/>
      <c r="L1113" s="22" t="n"/>
      <c r="M1113" s="22">
        <f>IF(K1113="Override",L1113,IF(K1113="Accept suggestion",F1113,IF(K1113="No change (same URL)",A1113,"")))</f>
        <v/>
      </c>
      <c r="N1113" s="22">
        <f>IF(A1113="","",IF(K1113="410 Gone","410",IF(K1113="404","404",IF(K1113="No change (same URL)","none",IF(M1113="","","301")))))</f>
        <v/>
      </c>
      <c r="O1113" s="22">
        <f>IF(A1113="","",IFERROR(MID(A1113,FIND("/",A1113,FIND("//",A1113)+2),2000),A1113))</f>
        <v/>
      </c>
      <c r="P1113" s="22">
        <f>IF(OR(O1113="",N1113="",N1113="none",N1113="404"),"",IF(N1113="410","Redirect gone "&amp;O1113,"Redirect "&amp;N1113&amp;" "&amp;O1113&amp;" "&amp;M1113))</f>
        <v/>
      </c>
      <c r="Q1113" s="22" t="n"/>
      <c r="R1113" s="22" t="n"/>
      <c r="S1113" s="22" t="n"/>
      <c r="T1113" s="4">
        <f>IF(A1113="","",TRIM(IF(K1113="","Needs decision; ","")&amp;IF(AND(K1113="Accept suggestion",F1113=""),"No suggestion to accept; ","")&amp;IF(AND(K1113="Override",L1113=""),"Override URL missing; ","")&amp;IF(AND(K1113="Accept suggestion",N(G1113)&lt;$G$2),"Below your threshold; ","")&amp;IF(AND(M1113&lt;&gt;"",M1113=A1113,K1113&lt;&gt;"No change (same URL)"),"Redirects to itself; ","")&amp;IF(AND(M1113&lt;&gt;"",OR(M1113="/",AND(LEFT(M1113,4)="http",OR((LEN(M1113)-LEN(SUBSTITUTE(M1113,"/","")))=2,AND((LEN(M1113)-LEN(SUBSTITUTE(M1113,"/","")))=3,RIGHT(M1113,1)="/"))))),"Home page redirect; ","")&amp;IF(N(R1113)&gt;1,"Chain; ","")&amp;IF(S1113="No","Destination not 200; ","")))</f>
        <v/>
      </c>
      <c r="U1113" s="22" t="n"/>
      <c r="V1113" s="22" t="n"/>
      <c r="W1113" s="4" t="n"/>
    </row>
    <row r="1114">
      <c r="A1114" s="22" t="n"/>
      <c r="B1114" s="22" t="n"/>
      <c r="C1114" s="22" t="n"/>
      <c r="D1114" s="22">
        <f>IF(A1114="","",IF(OR(N(B1114)&gt;=$C$2,N(C1114)&gt;=$E$2),"High",IF(OR(N(B1114)&gt;0,N(C1114)&gt;0),"Medium","Low")))</f>
        <v/>
      </c>
      <c r="E1114" s="22" t="n"/>
      <c r="F1114" s="22" t="n"/>
      <c r="G1114" s="22" t="n"/>
      <c r="H1114" s="22" t="n"/>
      <c r="I1114" s="22" t="n"/>
      <c r="J1114" s="22" t="n"/>
      <c r="K1114" s="22" t="n"/>
      <c r="L1114" s="22" t="n"/>
      <c r="M1114" s="22">
        <f>IF(K1114="Override",L1114,IF(K1114="Accept suggestion",F1114,IF(K1114="No change (same URL)",A1114,"")))</f>
        <v/>
      </c>
      <c r="N1114" s="22">
        <f>IF(A1114="","",IF(K1114="410 Gone","410",IF(K1114="404","404",IF(K1114="No change (same URL)","none",IF(M1114="","","301")))))</f>
        <v/>
      </c>
      <c r="O1114" s="22">
        <f>IF(A1114="","",IFERROR(MID(A1114,FIND("/",A1114,FIND("//",A1114)+2),2000),A1114))</f>
        <v/>
      </c>
      <c r="P1114" s="22">
        <f>IF(OR(O1114="",N1114="",N1114="none",N1114="404"),"",IF(N1114="410","Redirect gone "&amp;O1114,"Redirect "&amp;N1114&amp;" "&amp;O1114&amp;" "&amp;M1114))</f>
        <v/>
      </c>
      <c r="Q1114" s="22" t="n"/>
      <c r="R1114" s="22" t="n"/>
      <c r="S1114" s="22" t="n"/>
      <c r="T1114" s="4">
        <f>IF(A1114="","",TRIM(IF(K1114="","Needs decision; ","")&amp;IF(AND(K1114="Accept suggestion",F1114=""),"No suggestion to accept; ","")&amp;IF(AND(K1114="Override",L1114=""),"Override URL missing; ","")&amp;IF(AND(K1114="Accept suggestion",N(G1114)&lt;$G$2),"Below your threshold; ","")&amp;IF(AND(M1114&lt;&gt;"",M1114=A1114,K1114&lt;&gt;"No change (same URL)"),"Redirects to itself; ","")&amp;IF(AND(M1114&lt;&gt;"",OR(M1114="/",AND(LEFT(M1114,4)="http",OR((LEN(M1114)-LEN(SUBSTITUTE(M1114,"/","")))=2,AND((LEN(M1114)-LEN(SUBSTITUTE(M1114,"/","")))=3,RIGHT(M1114,1)="/"))))),"Home page redirect; ","")&amp;IF(N(R1114)&gt;1,"Chain; ","")&amp;IF(S1114="No","Destination not 200; ","")))</f>
        <v/>
      </c>
      <c r="U1114" s="22" t="n"/>
      <c r="V1114" s="22" t="n"/>
      <c r="W1114" s="4" t="n"/>
    </row>
    <row r="1115">
      <c r="A1115" s="22" t="n"/>
      <c r="B1115" s="22" t="n"/>
      <c r="C1115" s="22" t="n"/>
      <c r="D1115" s="22">
        <f>IF(A1115="","",IF(OR(N(B1115)&gt;=$C$2,N(C1115)&gt;=$E$2),"High",IF(OR(N(B1115)&gt;0,N(C1115)&gt;0),"Medium","Low")))</f>
        <v/>
      </c>
      <c r="E1115" s="22" t="n"/>
      <c r="F1115" s="22" t="n"/>
      <c r="G1115" s="22" t="n"/>
      <c r="H1115" s="22" t="n"/>
      <c r="I1115" s="22" t="n"/>
      <c r="J1115" s="22" t="n"/>
      <c r="K1115" s="22" t="n"/>
      <c r="L1115" s="22" t="n"/>
      <c r="M1115" s="22">
        <f>IF(K1115="Override",L1115,IF(K1115="Accept suggestion",F1115,IF(K1115="No change (same URL)",A1115,"")))</f>
        <v/>
      </c>
      <c r="N1115" s="22">
        <f>IF(A1115="","",IF(K1115="410 Gone","410",IF(K1115="404","404",IF(K1115="No change (same URL)","none",IF(M1115="","","301")))))</f>
        <v/>
      </c>
      <c r="O1115" s="22">
        <f>IF(A1115="","",IFERROR(MID(A1115,FIND("/",A1115,FIND("//",A1115)+2),2000),A1115))</f>
        <v/>
      </c>
      <c r="P1115" s="22">
        <f>IF(OR(O1115="",N1115="",N1115="none",N1115="404"),"",IF(N1115="410","Redirect gone "&amp;O1115,"Redirect "&amp;N1115&amp;" "&amp;O1115&amp;" "&amp;M1115))</f>
        <v/>
      </c>
      <c r="Q1115" s="22" t="n"/>
      <c r="R1115" s="22" t="n"/>
      <c r="S1115" s="22" t="n"/>
      <c r="T1115" s="4">
        <f>IF(A1115="","",TRIM(IF(K1115="","Needs decision; ","")&amp;IF(AND(K1115="Accept suggestion",F1115=""),"No suggestion to accept; ","")&amp;IF(AND(K1115="Override",L1115=""),"Override URL missing; ","")&amp;IF(AND(K1115="Accept suggestion",N(G1115)&lt;$G$2),"Below your threshold; ","")&amp;IF(AND(M1115&lt;&gt;"",M1115=A1115,K1115&lt;&gt;"No change (same URL)"),"Redirects to itself; ","")&amp;IF(AND(M1115&lt;&gt;"",OR(M1115="/",AND(LEFT(M1115,4)="http",OR((LEN(M1115)-LEN(SUBSTITUTE(M1115,"/","")))=2,AND((LEN(M1115)-LEN(SUBSTITUTE(M1115,"/","")))=3,RIGHT(M1115,1)="/"))))),"Home page redirect; ","")&amp;IF(N(R1115)&gt;1,"Chain; ","")&amp;IF(S1115="No","Destination not 200; ","")))</f>
        <v/>
      </c>
      <c r="U1115" s="22" t="n"/>
      <c r="V1115" s="22" t="n"/>
      <c r="W1115" s="4" t="n"/>
    </row>
    <row r="1116">
      <c r="A1116" s="22" t="n"/>
      <c r="B1116" s="22" t="n"/>
      <c r="C1116" s="22" t="n"/>
      <c r="D1116" s="22">
        <f>IF(A1116="","",IF(OR(N(B1116)&gt;=$C$2,N(C1116)&gt;=$E$2),"High",IF(OR(N(B1116)&gt;0,N(C1116)&gt;0),"Medium","Low")))</f>
        <v/>
      </c>
      <c r="E1116" s="22" t="n"/>
      <c r="F1116" s="22" t="n"/>
      <c r="G1116" s="22" t="n"/>
      <c r="H1116" s="22" t="n"/>
      <c r="I1116" s="22" t="n"/>
      <c r="J1116" s="22" t="n"/>
      <c r="K1116" s="22" t="n"/>
      <c r="L1116" s="22" t="n"/>
      <c r="M1116" s="22">
        <f>IF(K1116="Override",L1116,IF(K1116="Accept suggestion",F1116,IF(K1116="No change (same URL)",A1116,"")))</f>
        <v/>
      </c>
      <c r="N1116" s="22">
        <f>IF(A1116="","",IF(K1116="410 Gone","410",IF(K1116="404","404",IF(K1116="No change (same URL)","none",IF(M1116="","","301")))))</f>
        <v/>
      </c>
      <c r="O1116" s="22">
        <f>IF(A1116="","",IFERROR(MID(A1116,FIND("/",A1116,FIND("//",A1116)+2),2000),A1116))</f>
        <v/>
      </c>
      <c r="P1116" s="22">
        <f>IF(OR(O1116="",N1116="",N1116="none",N1116="404"),"",IF(N1116="410","Redirect gone "&amp;O1116,"Redirect "&amp;N1116&amp;" "&amp;O1116&amp;" "&amp;M1116))</f>
        <v/>
      </c>
      <c r="Q1116" s="22" t="n"/>
      <c r="R1116" s="22" t="n"/>
      <c r="S1116" s="22" t="n"/>
      <c r="T1116" s="4">
        <f>IF(A1116="","",TRIM(IF(K1116="","Needs decision; ","")&amp;IF(AND(K1116="Accept suggestion",F1116=""),"No suggestion to accept; ","")&amp;IF(AND(K1116="Override",L1116=""),"Override URL missing; ","")&amp;IF(AND(K1116="Accept suggestion",N(G1116)&lt;$G$2),"Below your threshold; ","")&amp;IF(AND(M1116&lt;&gt;"",M1116=A1116,K1116&lt;&gt;"No change (same URL)"),"Redirects to itself; ","")&amp;IF(AND(M1116&lt;&gt;"",OR(M1116="/",AND(LEFT(M1116,4)="http",OR((LEN(M1116)-LEN(SUBSTITUTE(M1116,"/","")))=2,AND((LEN(M1116)-LEN(SUBSTITUTE(M1116,"/","")))=3,RIGHT(M1116,1)="/"))))),"Home page redirect; ","")&amp;IF(N(R1116)&gt;1,"Chain; ","")&amp;IF(S1116="No","Destination not 200; ","")))</f>
        <v/>
      </c>
      <c r="U1116" s="22" t="n"/>
      <c r="V1116" s="22" t="n"/>
      <c r="W1116" s="4" t="n"/>
    </row>
    <row r="1117">
      <c r="A1117" s="22" t="n"/>
      <c r="B1117" s="22" t="n"/>
      <c r="C1117" s="22" t="n"/>
      <c r="D1117" s="22">
        <f>IF(A1117="","",IF(OR(N(B1117)&gt;=$C$2,N(C1117)&gt;=$E$2),"High",IF(OR(N(B1117)&gt;0,N(C1117)&gt;0),"Medium","Low")))</f>
        <v/>
      </c>
      <c r="E1117" s="22" t="n"/>
      <c r="F1117" s="22" t="n"/>
      <c r="G1117" s="22" t="n"/>
      <c r="H1117" s="22" t="n"/>
      <c r="I1117" s="22" t="n"/>
      <c r="J1117" s="22" t="n"/>
      <c r="K1117" s="22" t="n"/>
      <c r="L1117" s="22" t="n"/>
      <c r="M1117" s="22">
        <f>IF(K1117="Override",L1117,IF(K1117="Accept suggestion",F1117,IF(K1117="No change (same URL)",A1117,"")))</f>
        <v/>
      </c>
      <c r="N1117" s="22">
        <f>IF(A1117="","",IF(K1117="410 Gone","410",IF(K1117="404","404",IF(K1117="No change (same URL)","none",IF(M1117="","","301")))))</f>
        <v/>
      </c>
      <c r="O1117" s="22">
        <f>IF(A1117="","",IFERROR(MID(A1117,FIND("/",A1117,FIND("//",A1117)+2),2000),A1117))</f>
        <v/>
      </c>
      <c r="P1117" s="22">
        <f>IF(OR(O1117="",N1117="",N1117="none",N1117="404"),"",IF(N1117="410","Redirect gone "&amp;O1117,"Redirect "&amp;N1117&amp;" "&amp;O1117&amp;" "&amp;M1117))</f>
        <v/>
      </c>
      <c r="Q1117" s="22" t="n"/>
      <c r="R1117" s="22" t="n"/>
      <c r="S1117" s="22" t="n"/>
      <c r="T1117" s="4">
        <f>IF(A1117="","",TRIM(IF(K1117="","Needs decision; ","")&amp;IF(AND(K1117="Accept suggestion",F1117=""),"No suggestion to accept; ","")&amp;IF(AND(K1117="Override",L1117=""),"Override URL missing; ","")&amp;IF(AND(K1117="Accept suggestion",N(G1117)&lt;$G$2),"Below your threshold; ","")&amp;IF(AND(M1117&lt;&gt;"",M1117=A1117,K1117&lt;&gt;"No change (same URL)"),"Redirects to itself; ","")&amp;IF(AND(M1117&lt;&gt;"",OR(M1117="/",AND(LEFT(M1117,4)="http",OR((LEN(M1117)-LEN(SUBSTITUTE(M1117,"/","")))=2,AND((LEN(M1117)-LEN(SUBSTITUTE(M1117,"/","")))=3,RIGHT(M1117,1)="/"))))),"Home page redirect; ","")&amp;IF(N(R1117)&gt;1,"Chain; ","")&amp;IF(S1117="No","Destination not 200; ","")))</f>
        <v/>
      </c>
      <c r="U1117" s="22" t="n"/>
      <c r="V1117" s="22" t="n"/>
      <c r="W1117" s="4" t="n"/>
    </row>
    <row r="1118">
      <c r="A1118" s="22" t="n"/>
      <c r="B1118" s="22" t="n"/>
      <c r="C1118" s="22" t="n"/>
      <c r="D1118" s="22">
        <f>IF(A1118="","",IF(OR(N(B1118)&gt;=$C$2,N(C1118)&gt;=$E$2),"High",IF(OR(N(B1118)&gt;0,N(C1118)&gt;0),"Medium","Low")))</f>
        <v/>
      </c>
      <c r="E1118" s="22" t="n"/>
      <c r="F1118" s="22" t="n"/>
      <c r="G1118" s="22" t="n"/>
      <c r="H1118" s="22" t="n"/>
      <c r="I1118" s="22" t="n"/>
      <c r="J1118" s="22" t="n"/>
      <c r="K1118" s="22" t="n"/>
      <c r="L1118" s="22" t="n"/>
      <c r="M1118" s="22">
        <f>IF(K1118="Override",L1118,IF(K1118="Accept suggestion",F1118,IF(K1118="No change (same URL)",A1118,"")))</f>
        <v/>
      </c>
      <c r="N1118" s="22">
        <f>IF(A1118="","",IF(K1118="410 Gone","410",IF(K1118="404","404",IF(K1118="No change (same URL)","none",IF(M1118="","","301")))))</f>
        <v/>
      </c>
      <c r="O1118" s="22">
        <f>IF(A1118="","",IFERROR(MID(A1118,FIND("/",A1118,FIND("//",A1118)+2),2000),A1118))</f>
        <v/>
      </c>
      <c r="P1118" s="22">
        <f>IF(OR(O1118="",N1118="",N1118="none",N1118="404"),"",IF(N1118="410","Redirect gone "&amp;O1118,"Redirect "&amp;N1118&amp;" "&amp;O1118&amp;" "&amp;M1118))</f>
        <v/>
      </c>
      <c r="Q1118" s="22" t="n"/>
      <c r="R1118" s="22" t="n"/>
      <c r="S1118" s="22" t="n"/>
      <c r="T1118" s="4">
        <f>IF(A1118="","",TRIM(IF(K1118="","Needs decision; ","")&amp;IF(AND(K1118="Accept suggestion",F1118=""),"No suggestion to accept; ","")&amp;IF(AND(K1118="Override",L1118=""),"Override URL missing; ","")&amp;IF(AND(K1118="Accept suggestion",N(G1118)&lt;$G$2),"Below your threshold; ","")&amp;IF(AND(M1118&lt;&gt;"",M1118=A1118,K1118&lt;&gt;"No change (same URL)"),"Redirects to itself; ","")&amp;IF(AND(M1118&lt;&gt;"",OR(M1118="/",AND(LEFT(M1118,4)="http",OR((LEN(M1118)-LEN(SUBSTITUTE(M1118,"/","")))=2,AND((LEN(M1118)-LEN(SUBSTITUTE(M1118,"/","")))=3,RIGHT(M1118,1)="/"))))),"Home page redirect; ","")&amp;IF(N(R1118)&gt;1,"Chain; ","")&amp;IF(S1118="No","Destination not 200; ","")))</f>
        <v/>
      </c>
      <c r="U1118" s="22" t="n"/>
      <c r="V1118" s="22" t="n"/>
      <c r="W1118" s="4" t="n"/>
    </row>
    <row r="1119">
      <c r="A1119" s="22" t="n"/>
      <c r="B1119" s="22" t="n"/>
      <c r="C1119" s="22" t="n"/>
      <c r="D1119" s="22">
        <f>IF(A1119="","",IF(OR(N(B1119)&gt;=$C$2,N(C1119)&gt;=$E$2),"High",IF(OR(N(B1119)&gt;0,N(C1119)&gt;0),"Medium","Low")))</f>
        <v/>
      </c>
      <c r="E1119" s="22" t="n"/>
      <c r="F1119" s="22" t="n"/>
      <c r="G1119" s="22" t="n"/>
      <c r="H1119" s="22" t="n"/>
      <c r="I1119" s="22" t="n"/>
      <c r="J1119" s="22" t="n"/>
      <c r="K1119" s="22" t="n"/>
      <c r="L1119" s="22" t="n"/>
      <c r="M1119" s="22">
        <f>IF(K1119="Override",L1119,IF(K1119="Accept suggestion",F1119,IF(K1119="No change (same URL)",A1119,"")))</f>
        <v/>
      </c>
      <c r="N1119" s="22">
        <f>IF(A1119="","",IF(K1119="410 Gone","410",IF(K1119="404","404",IF(K1119="No change (same URL)","none",IF(M1119="","","301")))))</f>
        <v/>
      </c>
      <c r="O1119" s="22">
        <f>IF(A1119="","",IFERROR(MID(A1119,FIND("/",A1119,FIND("//",A1119)+2),2000),A1119))</f>
        <v/>
      </c>
      <c r="P1119" s="22">
        <f>IF(OR(O1119="",N1119="",N1119="none",N1119="404"),"",IF(N1119="410","Redirect gone "&amp;O1119,"Redirect "&amp;N1119&amp;" "&amp;O1119&amp;" "&amp;M1119))</f>
        <v/>
      </c>
      <c r="Q1119" s="22" t="n"/>
      <c r="R1119" s="22" t="n"/>
      <c r="S1119" s="22" t="n"/>
      <c r="T1119" s="4">
        <f>IF(A1119="","",TRIM(IF(K1119="","Needs decision; ","")&amp;IF(AND(K1119="Accept suggestion",F1119=""),"No suggestion to accept; ","")&amp;IF(AND(K1119="Override",L1119=""),"Override URL missing; ","")&amp;IF(AND(K1119="Accept suggestion",N(G1119)&lt;$G$2),"Below your threshold; ","")&amp;IF(AND(M1119&lt;&gt;"",M1119=A1119,K1119&lt;&gt;"No change (same URL)"),"Redirects to itself; ","")&amp;IF(AND(M1119&lt;&gt;"",OR(M1119="/",AND(LEFT(M1119,4)="http",OR((LEN(M1119)-LEN(SUBSTITUTE(M1119,"/","")))=2,AND((LEN(M1119)-LEN(SUBSTITUTE(M1119,"/","")))=3,RIGHT(M1119,1)="/"))))),"Home page redirect; ","")&amp;IF(N(R1119)&gt;1,"Chain; ","")&amp;IF(S1119="No","Destination not 200; ","")))</f>
        <v/>
      </c>
      <c r="U1119" s="22" t="n"/>
      <c r="V1119" s="22" t="n"/>
      <c r="W1119" s="4" t="n"/>
    </row>
    <row r="1120">
      <c r="A1120" s="22" t="n"/>
      <c r="B1120" s="22" t="n"/>
      <c r="C1120" s="22" t="n"/>
      <c r="D1120" s="22">
        <f>IF(A1120="","",IF(OR(N(B1120)&gt;=$C$2,N(C1120)&gt;=$E$2),"High",IF(OR(N(B1120)&gt;0,N(C1120)&gt;0),"Medium","Low")))</f>
        <v/>
      </c>
      <c r="E1120" s="22" t="n"/>
      <c r="F1120" s="22" t="n"/>
      <c r="G1120" s="22" t="n"/>
      <c r="H1120" s="22" t="n"/>
      <c r="I1120" s="22" t="n"/>
      <c r="J1120" s="22" t="n"/>
      <c r="K1120" s="22" t="n"/>
      <c r="L1120" s="22" t="n"/>
      <c r="M1120" s="22">
        <f>IF(K1120="Override",L1120,IF(K1120="Accept suggestion",F1120,IF(K1120="No change (same URL)",A1120,"")))</f>
        <v/>
      </c>
      <c r="N1120" s="22">
        <f>IF(A1120="","",IF(K1120="410 Gone","410",IF(K1120="404","404",IF(K1120="No change (same URL)","none",IF(M1120="","","301")))))</f>
        <v/>
      </c>
      <c r="O1120" s="22">
        <f>IF(A1120="","",IFERROR(MID(A1120,FIND("/",A1120,FIND("//",A1120)+2),2000),A1120))</f>
        <v/>
      </c>
      <c r="P1120" s="22">
        <f>IF(OR(O1120="",N1120="",N1120="none",N1120="404"),"",IF(N1120="410","Redirect gone "&amp;O1120,"Redirect "&amp;N1120&amp;" "&amp;O1120&amp;" "&amp;M1120))</f>
        <v/>
      </c>
      <c r="Q1120" s="22" t="n"/>
      <c r="R1120" s="22" t="n"/>
      <c r="S1120" s="22" t="n"/>
      <c r="T1120" s="4">
        <f>IF(A1120="","",TRIM(IF(K1120="","Needs decision; ","")&amp;IF(AND(K1120="Accept suggestion",F1120=""),"No suggestion to accept; ","")&amp;IF(AND(K1120="Override",L1120=""),"Override URL missing; ","")&amp;IF(AND(K1120="Accept suggestion",N(G1120)&lt;$G$2),"Below your threshold; ","")&amp;IF(AND(M1120&lt;&gt;"",M1120=A1120,K1120&lt;&gt;"No change (same URL)"),"Redirects to itself; ","")&amp;IF(AND(M1120&lt;&gt;"",OR(M1120="/",AND(LEFT(M1120,4)="http",OR((LEN(M1120)-LEN(SUBSTITUTE(M1120,"/","")))=2,AND((LEN(M1120)-LEN(SUBSTITUTE(M1120,"/","")))=3,RIGHT(M1120,1)="/"))))),"Home page redirect; ","")&amp;IF(N(R1120)&gt;1,"Chain; ","")&amp;IF(S1120="No","Destination not 200; ","")))</f>
        <v/>
      </c>
      <c r="U1120" s="22" t="n"/>
      <c r="V1120" s="22" t="n"/>
      <c r="W1120" s="4" t="n"/>
    </row>
    <row r="1121">
      <c r="A1121" s="22" t="n"/>
      <c r="B1121" s="22" t="n"/>
      <c r="C1121" s="22" t="n"/>
      <c r="D1121" s="22">
        <f>IF(A1121="","",IF(OR(N(B1121)&gt;=$C$2,N(C1121)&gt;=$E$2),"High",IF(OR(N(B1121)&gt;0,N(C1121)&gt;0),"Medium","Low")))</f>
        <v/>
      </c>
      <c r="E1121" s="22" t="n"/>
      <c r="F1121" s="22" t="n"/>
      <c r="G1121" s="22" t="n"/>
      <c r="H1121" s="22" t="n"/>
      <c r="I1121" s="22" t="n"/>
      <c r="J1121" s="22" t="n"/>
      <c r="K1121" s="22" t="n"/>
      <c r="L1121" s="22" t="n"/>
      <c r="M1121" s="22">
        <f>IF(K1121="Override",L1121,IF(K1121="Accept suggestion",F1121,IF(K1121="No change (same URL)",A1121,"")))</f>
        <v/>
      </c>
      <c r="N1121" s="22">
        <f>IF(A1121="","",IF(K1121="410 Gone","410",IF(K1121="404","404",IF(K1121="No change (same URL)","none",IF(M1121="","","301")))))</f>
        <v/>
      </c>
      <c r="O1121" s="22">
        <f>IF(A1121="","",IFERROR(MID(A1121,FIND("/",A1121,FIND("//",A1121)+2),2000),A1121))</f>
        <v/>
      </c>
      <c r="P1121" s="22">
        <f>IF(OR(O1121="",N1121="",N1121="none",N1121="404"),"",IF(N1121="410","Redirect gone "&amp;O1121,"Redirect "&amp;N1121&amp;" "&amp;O1121&amp;" "&amp;M1121))</f>
        <v/>
      </c>
      <c r="Q1121" s="22" t="n"/>
      <c r="R1121" s="22" t="n"/>
      <c r="S1121" s="22" t="n"/>
      <c r="T1121" s="4">
        <f>IF(A1121="","",TRIM(IF(K1121="","Needs decision; ","")&amp;IF(AND(K1121="Accept suggestion",F1121=""),"No suggestion to accept; ","")&amp;IF(AND(K1121="Override",L1121=""),"Override URL missing; ","")&amp;IF(AND(K1121="Accept suggestion",N(G1121)&lt;$G$2),"Below your threshold; ","")&amp;IF(AND(M1121&lt;&gt;"",M1121=A1121,K1121&lt;&gt;"No change (same URL)"),"Redirects to itself; ","")&amp;IF(AND(M1121&lt;&gt;"",OR(M1121="/",AND(LEFT(M1121,4)="http",OR((LEN(M1121)-LEN(SUBSTITUTE(M1121,"/","")))=2,AND((LEN(M1121)-LEN(SUBSTITUTE(M1121,"/","")))=3,RIGHT(M1121,1)="/"))))),"Home page redirect; ","")&amp;IF(N(R1121)&gt;1,"Chain; ","")&amp;IF(S1121="No","Destination not 200; ","")))</f>
        <v/>
      </c>
      <c r="U1121" s="22" t="n"/>
      <c r="V1121" s="22" t="n"/>
      <c r="W1121" s="4" t="n"/>
    </row>
    <row r="1122">
      <c r="A1122" s="22" t="n"/>
      <c r="B1122" s="22" t="n"/>
      <c r="C1122" s="22" t="n"/>
      <c r="D1122" s="22">
        <f>IF(A1122="","",IF(OR(N(B1122)&gt;=$C$2,N(C1122)&gt;=$E$2),"High",IF(OR(N(B1122)&gt;0,N(C1122)&gt;0),"Medium","Low")))</f>
        <v/>
      </c>
      <c r="E1122" s="22" t="n"/>
      <c r="F1122" s="22" t="n"/>
      <c r="G1122" s="22" t="n"/>
      <c r="H1122" s="22" t="n"/>
      <c r="I1122" s="22" t="n"/>
      <c r="J1122" s="22" t="n"/>
      <c r="K1122" s="22" t="n"/>
      <c r="L1122" s="22" t="n"/>
      <c r="M1122" s="22">
        <f>IF(K1122="Override",L1122,IF(K1122="Accept suggestion",F1122,IF(K1122="No change (same URL)",A1122,"")))</f>
        <v/>
      </c>
      <c r="N1122" s="22">
        <f>IF(A1122="","",IF(K1122="410 Gone","410",IF(K1122="404","404",IF(K1122="No change (same URL)","none",IF(M1122="","","301")))))</f>
        <v/>
      </c>
      <c r="O1122" s="22">
        <f>IF(A1122="","",IFERROR(MID(A1122,FIND("/",A1122,FIND("//",A1122)+2),2000),A1122))</f>
        <v/>
      </c>
      <c r="P1122" s="22">
        <f>IF(OR(O1122="",N1122="",N1122="none",N1122="404"),"",IF(N1122="410","Redirect gone "&amp;O1122,"Redirect "&amp;N1122&amp;" "&amp;O1122&amp;" "&amp;M1122))</f>
        <v/>
      </c>
      <c r="Q1122" s="22" t="n"/>
      <c r="R1122" s="22" t="n"/>
      <c r="S1122" s="22" t="n"/>
      <c r="T1122" s="4">
        <f>IF(A1122="","",TRIM(IF(K1122="","Needs decision; ","")&amp;IF(AND(K1122="Accept suggestion",F1122=""),"No suggestion to accept; ","")&amp;IF(AND(K1122="Override",L1122=""),"Override URL missing; ","")&amp;IF(AND(K1122="Accept suggestion",N(G1122)&lt;$G$2),"Below your threshold; ","")&amp;IF(AND(M1122&lt;&gt;"",M1122=A1122,K1122&lt;&gt;"No change (same URL)"),"Redirects to itself; ","")&amp;IF(AND(M1122&lt;&gt;"",OR(M1122="/",AND(LEFT(M1122,4)="http",OR((LEN(M1122)-LEN(SUBSTITUTE(M1122,"/","")))=2,AND((LEN(M1122)-LEN(SUBSTITUTE(M1122,"/","")))=3,RIGHT(M1122,1)="/"))))),"Home page redirect; ","")&amp;IF(N(R1122)&gt;1,"Chain; ","")&amp;IF(S1122="No","Destination not 200; ","")))</f>
        <v/>
      </c>
      <c r="U1122" s="22" t="n"/>
      <c r="V1122" s="22" t="n"/>
      <c r="W1122" s="4" t="n"/>
    </row>
    <row r="1123">
      <c r="A1123" s="22" t="n"/>
      <c r="B1123" s="22" t="n"/>
      <c r="C1123" s="22" t="n"/>
      <c r="D1123" s="22">
        <f>IF(A1123="","",IF(OR(N(B1123)&gt;=$C$2,N(C1123)&gt;=$E$2),"High",IF(OR(N(B1123)&gt;0,N(C1123)&gt;0),"Medium","Low")))</f>
        <v/>
      </c>
      <c r="E1123" s="22" t="n"/>
      <c r="F1123" s="22" t="n"/>
      <c r="G1123" s="22" t="n"/>
      <c r="H1123" s="22" t="n"/>
      <c r="I1123" s="22" t="n"/>
      <c r="J1123" s="22" t="n"/>
      <c r="K1123" s="22" t="n"/>
      <c r="L1123" s="22" t="n"/>
      <c r="M1123" s="22">
        <f>IF(K1123="Override",L1123,IF(K1123="Accept suggestion",F1123,IF(K1123="No change (same URL)",A1123,"")))</f>
        <v/>
      </c>
      <c r="N1123" s="22">
        <f>IF(A1123="","",IF(K1123="410 Gone","410",IF(K1123="404","404",IF(K1123="No change (same URL)","none",IF(M1123="","","301")))))</f>
        <v/>
      </c>
      <c r="O1123" s="22">
        <f>IF(A1123="","",IFERROR(MID(A1123,FIND("/",A1123,FIND("//",A1123)+2),2000),A1123))</f>
        <v/>
      </c>
      <c r="P1123" s="22">
        <f>IF(OR(O1123="",N1123="",N1123="none",N1123="404"),"",IF(N1123="410","Redirect gone "&amp;O1123,"Redirect "&amp;N1123&amp;" "&amp;O1123&amp;" "&amp;M1123))</f>
        <v/>
      </c>
      <c r="Q1123" s="22" t="n"/>
      <c r="R1123" s="22" t="n"/>
      <c r="S1123" s="22" t="n"/>
      <c r="T1123" s="4">
        <f>IF(A1123="","",TRIM(IF(K1123="","Needs decision; ","")&amp;IF(AND(K1123="Accept suggestion",F1123=""),"No suggestion to accept; ","")&amp;IF(AND(K1123="Override",L1123=""),"Override URL missing; ","")&amp;IF(AND(K1123="Accept suggestion",N(G1123)&lt;$G$2),"Below your threshold; ","")&amp;IF(AND(M1123&lt;&gt;"",M1123=A1123,K1123&lt;&gt;"No change (same URL)"),"Redirects to itself; ","")&amp;IF(AND(M1123&lt;&gt;"",OR(M1123="/",AND(LEFT(M1123,4)="http",OR((LEN(M1123)-LEN(SUBSTITUTE(M1123,"/","")))=2,AND((LEN(M1123)-LEN(SUBSTITUTE(M1123,"/","")))=3,RIGHT(M1123,1)="/"))))),"Home page redirect; ","")&amp;IF(N(R1123)&gt;1,"Chain; ","")&amp;IF(S1123="No","Destination not 200; ","")))</f>
        <v/>
      </c>
      <c r="U1123" s="22" t="n"/>
      <c r="V1123" s="22" t="n"/>
      <c r="W1123" s="4" t="n"/>
    </row>
    <row r="1124">
      <c r="A1124" s="22" t="n"/>
      <c r="B1124" s="22" t="n"/>
      <c r="C1124" s="22" t="n"/>
      <c r="D1124" s="22">
        <f>IF(A1124="","",IF(OR(N(B1124)&gt;=$C$2,N(C1124)&gt;=$E$2),"High",IF(OR(N(B1124)&gt;0,N(C1124)&gt;0),"Medium","Low")))</f>
        <v/>
      </c>
      <c r="E1124" s="22" t="n"/>
      <c r="F1124" s="22" t="n"/>
      <c r="G1124" s="22" t="n"/>
      <c r="H1124" s="22" t="n"/>
      <c r="I1124" s="22" t="n"/>
      <c r="J1124" s="22" t="n"/>
      <c r="K1124" s="22" t="n"/>
      <c r="L1124" s="22" t="n"/>
      <c r="M1124" s="22">
        <f>IF(K1124="Override",L1124,IF(K1124="Accept suggestion",F1124,IF(K1124="No change (same URL)",A1124,"")))</f>
        <v/>
      </c>
      <c r="N1124" s="22">
        <f>IF(A1124="","",IF(K1124="410 Gone","410",IF(K1124="404","404",IF(K1124="No change (same URL)","none",IF(M1124="","","301")))))</f>
        <v/>
      </c>
      <c r="O1124" s="22">
        <f>IF(A1124="","",IFERROR(MID(A1124,FIND("/",A1124,FIND("//",A1124)+2),2000),A1124))</f>
        <v/>
      </c>
      <c r="P1124" s="22">
        <f>IF(OR(O1124="",N1124="",N1124="none",N1124="404"),"",IF(N1124="410","Redirect gone "&amp;O1124,"Redirect "&amp;N1124&amp;" "&amp;O1124&amp;" "&amp;M1124))</f>
        <v/>
      </c>
      <c r="Q1124" s="22" t="n"/>
      <c r="R1124" s="22" t="n"/>
      <c r="S1124" s="22" t="n"/>
      <c r="T1124" s="4">
        <f>IF(A1124="","",TRIM(IF(K1124="","Needs decision; ","")&amp;IF(AND(K1124="Accept suggestion",F1124=""),"No suggestion to accept; ","")&amp;IF(AND(K1124="Override",L1124=""),"Override URL missing; ","")&amp;IF(AND(K1124="Accept suggestion",N(G1124)&lt;$G$2),"Below your threshold; ","")&amp;IF(AND(M1124&lt;&gt;"",M1124=A1124,K1124&lt;&gt;"No change (same URL)"),"Redirects to itself; ","")&amp;IF(AND(M1124&lt;&gt;"",OR(M1124="/",AND(LEFT(M1124,4)="http",OR((LEN(M1124)-LEN(SUBSTITUTE(M1124,"/","")))=2,AND((LEN(M1124)-LEN(SUBSTITUTE(M1124,"/","")))=3,RIGHT(M1124,1)="/"))))),"Home page redirect; ","")&amp;IF(N(R1124)&gt;1,"Chain; ","")&amp;IF(S1124="No","Destination not 200; ","")))</f>
        <v/>
      </c>
      <c r="U1124" s="22" t="n"/>
      <c r="V1124" s="22" t="n"/>
      <c r="W1124" s="4" t="n"/>
    </row>
    <row r="1125">
      <c r="A1125" s="22" t="n"/>
      <c r="B1125" s="22" t="n"/>
      <c r="C1125" s="22" t="n"/>
      <c r="D1125" s="22">
        <f>IF(A1125="","",IF(OR(N(B1125)&gt;=$C$2,N(C1125)&gt;=$E$2),"High",IF(OR(N(B1125)&gt;0,N(C1125)&gt;0),"Medium","Low")))</f>
        <v/>
      </c>
      <c r="E1125" s="22" t="n"/>
      <c r="F1125" s="22" t="n"/>
      <c r="G1125" s="22" t="n"/>
      <c r="H1125" s="22" t="n"/>
      <c r="I1125" s="22" t="n"/>
      <c r="J1125" s="22" t="n"/>
      <c r="K1125" s="22" t="n"/>
      <c r="L1125" s="22" t="n"/>
      <c r="M1125" s="22">
        <f>IF(K1125="Override",L1125,IF(K1125="Accept suggestion",F1125,IF(K1125="No change (same URL)",A1125,"")))</f>
        <v/>
      </c>
      <c r="N1125" s="22">
        <f>IF(A1125="","",IF(K1125="410 Gone","410",IF(K1125="404","404",IF(K1125="No change (same URL)","none",IF(M1125="","","301")))))</f>
        <v/>
      </c>
      <c r="O1125" s="22">
        <f>IF(A1125="","",IFERROR(MID(A1125,FIND("/",A1125,FIND("//",A1125)+2),2000),A1125))</f>
        <v/>
      </c>
      <c r="P1125" s="22">
        <f>IF(OR(O1125="",N1125="",N1125="none",N1125="404"),"",IF(N1125="410","Redirect gone "&amp;O1125,"Redirect "&amp;N1125&amp;" "&amp;O1125&amp;" "&amp;M1125))</f>
        <v/>
      </c>
      <c r="Q1125" s="22" t="n"/>
      <c r="R1125" s="22" t="n"/>
      <c r="S1125" s="22" t="n"/>
      <c r="T1125" s="4">
        <f>IF(A1125="","",TRIM(IF(K1125="","Needs decision; ","")&amp;IF(AND(K1125="Accept suggestion",F1125=""),"No suggestion to accept; ","")&amp;IF(AND(K1125="Override",L1125=""),"Override URL missing; ","")&amp;IF(AND(K1125="Accept suggestion",N(G1125)&lt;$G$2),"Below your threshold; ","")&amp;IF(AND(M1125&lt;&gt;"",M1125=A1125,K1125&lt;&gt;"No change (same URL)"),"Redirects to itself; ","")&amp;IF(AND(M1125&lt;&gt;"",OR(M1125="/",AND(LEFT(M1125,4)="http",OR((LEN(M1125)-LEN(SUBSTITUTE(M1125,"/","")))=2,AND((LEN(M1125)-LEN(SUBSTITUTE(M1125,"/","")))=3,RIGHT(M1125,1)="/"))))),"Home page redirect; ","")&amp;IF(N(R1125)&gt;1,"Chain; ","")&amp;IF(S1125="No","Destination not 200; ","")))</f>
        <v/>
      </c>
      <c r="U1125" s="22" t="n"/>
      <c r="V1125" s="22" t="n"/>
      <c r="W1125" s="4" t="n"/>
    </row>
    <row r="1126">
      <c r="A1126" s="22" t="n"/>
      <c r="B1126" s="22" t="n"/>
      <c r="C1126" s="22" t="n"/>
      <c r="D1126" s="22">
        <f>IF(A1126="","",IF(OR(N(B1126)&gt;=$C$2,N(C1126)&gt;=$E$2),"High",IF(OR(N(B1126)&gt;0,N(C1126)&gt;0),"Medium","Low")))</f>
        <v/>
      </c>
      <c r="E1126" s="22" t="n"/>
      <c r="F1126" s="22" t="n"/>
      <c r="G1126" s="22" t="n"/>
      <c r="H1126" s="22" t="n"/>
      <c r="I1126" s="22" t="n"/>
      <c r="J1126" s="22" t="n"/>
      <c r="K1126" s="22" t="n"/>
      <c r="L1126" s="22" t="n"/>
      <c r="M1126" s="22">
        <f>IF(K1126="Override",L1126,IF(K1126="Accept suggestion",F1126,IF(K1126="No change (same URL)",A1126,"")))</f>
        <v/>
      </c>
      <c r="N1126" s="22">
        <f>IF(A1126="","",IF(K1126="410 Gone","410",IF(K1126="404","404",IF(K1126="No change (same URL)","none",IF(M1126="","","301")))))</f>
        <v/>
      </c>
      <c r="O1126" s="22">
        <f>IF(A1126="","",IFERROR(MID(A1126,FIND("/",A1126,FIND("//",A1126)+2),2000),A1126))</f>
        <v/>
      </c>
      <c r="P1126" s="22">
        <f>IF(OR(O1126="",N1126="",N1126="none",N1126="404"),"",IF(N1126="410","Redirect gone "&amp;O1126,"Redirect "&amp;N1126&amp;" "&amp;O1126&amp;" "&amp;M1126))</f>
        <v/>
      </c>
      <c r="Q1126" s="22" t="n"/>
      <c r="R1126" s="22" t="n"/>
      <c r="S1126" s="22" t="n"/>
      <c r="T1126" s="4">
        <f>IF(A1126="","",TRIM(IF(K1126="","Needs decision; ","")&amp;IF(AND(K1126="Accept suggestion",F1126=""),"No suggestion to accept; ","")&amp;IF(AND(K1126="Override",L1126=""),"Override URL missing; ","")&amp;IF(AND(K1126="Accept suggestion",N(G1126)&lt;$G$2),"Below your threshold; ","")&amp;IF(AND(M1126&lt;&gt;"",M1126=A1126,K1126&lt;&gt;"No change (same URL)"),"Redirects to itself; ","")&amp;IF(AND(M1126&lt;&gt;"",OR(M1126="/",AND(LEFT(M1126,4)="http",OR((LEN(M1126)-LEN(SUBSTITUTE(M1126,"/","")))=2,AND((LEN(M1126)-LEN(SUBSTITUTE(M1126,"/","")))=3,RIGHT(M1126,1)="/"))))),"Home page redirect; ","")&amp;IF(N(R1126)&gt;1,"Chain; ","")&amp;IF(S1126="No","Destination not 200; ","")))</f>
        <v/>
      </c>
      <c r="U1126" s="22" t="n"/>
      <c r="V1126" s="22" t="n"/>
      <c r="W1126" s="4" t="n"/>
    </row>
    <row r="1127">
      <c r="A1127" s="22" t="n"/>
      <c r="B1127" s="22" t="n"/>
      <c r="C1127" s="22" t="n"/>
      <c r="D1127" s="22">
        <f>IF(A1127="","",IF(OR(N(B1127)&gt;=$C$2,N(C1127)&gt;=$E$2),"High",IF(OR(N(B1127)&gt;0,N(C1127)&gt;0),"Medium","Low")))</f>
        <v/>
      </c>
      <c r="E1127" s="22" t="n"/>
      <c r="F1127" s="22" t="n"/>
      <c r="G1127" s="22" t="n"/>
      <c r="H1127" s="22" t="n"/>
      <c r="I1127" s="22" t="n"/>
      <c r="J1127" s="22" t="n"/>
      <c r="K1127" s="22" t="n"/>
      <c r="L1127" s="22" t="n"/>
      <c r="M1127" s="22">
        <f>IF(K1127="Override",L1127,IF(K1127="Accept suggestion",F1127,IF(K1127="No change (same URL)",A1127,"")))</f>
        <v/>
      </c>
      <c r="N1127" s="22">
        <f>IF(A1127="","",IF(K1127="410 Gone","410",IF(K1127="404","404",IF(K1127="No change (same URL)","none",IF(M1127="","","301")))))</f>
        <v/>
      </c>
      <c r="O1127" s="22">
        <f>IF(A1127="","",IFERROR(MID(A1127,FIND("/",A1127,FIND("//",A1127)+2),2000),A1127))</f>
        <v/>
      </c>
      <c r="P1127" s="22">
        <f>IF(OR(O1127="",N1127="",N1127="none",N1127="404"),"",IF(N1127="410","Redirect gone "&amp;O1127,"Redirect "&amp;N1127&amp;" "&amp;O1127&amp;" "&amp;M1127))</f>
        <v/>
      </c>
      <c r="Q1127" s="22" t="n"/>
      <c r="R1127" s="22" t="n"/>
      <c r="S1127" s="22" t="n"/>
      <c r="T1127" s="4">
        <f>IF(A1127="","",TRIM(IF(K1127="","Needs decision; ","")&amp;IF(AND(K1127="Accept suggestion",F1127=""),"No suggestion to accept; ","")&amp;IF(AND(K1127="Override",L1127=""),"Override URL missing; ","")&amp;IF(AND(K1127="Accept suggestion",N(G1127)&lt;$G$2),"Below your threshold; ","")&amp;IF(AND(M1127&lt;&gt;"",M1127=A1127,K1127&lt;&gt;"No change (same URL)"),"Redirects to itself; ","")&amp;IF(AND(M1127&lt;&gt;"",OR(M1127="/",AND(LEFT(M1127,4)="http",OR((LEN(M1127)-LEN(SUBSTITUTE(M1127,"/","")))=2,AND((LEN(M1127)-LEN(SUBSTITUTE(M1127,"/","")))=3,RIGHT(M1127,1)="/"))))),"Home page redirect; ","")&amp;IF(N(R1127)&gt;1,"Chain; ","")&amp;IF(S1127="No","Destination not 200; ","")))</f>
        <v/>
      </c>
      <c r="U1127" s="22" t="n"/>
      <c r="V1127" s="22" t="n"/>
      <c r="W1127" s="4" t="n"/>
    </row>
    <row r="1128">
      <c r="A1128" s="22" t="n"/>
      <c r="B1128" s="22" t="n"/>
      <c r="C1128" s="22" t="n"/>
      <c r="D1128" s="22">
        <f>IF(A1128="","",IF(OR(N(B1128)&gt;=$C$2,N(C1128)&gt;=$E$2),"High",IF(OR(N(B1128)&gt;0,N(C1128)&gt;0),"Medium","Low")))</f>
        <v/>
      </c>
      <c r="E1128" s="22" t="n"/>
      <c r="F1128" s="22" t="n"/>
      <c r="G1128" s="22" t="n"/>
      <c r="H1128" s="22" t="n"/>
      <c r="I1128" s="22" t="n"/>
      <c r="J1128" s="22" t="n"/>
      <c r="K1128" s="22" t="n"/>
      <c r="L1128" s="22" t="n"/>
      <c r="M1128" s="22">
        <f>IF(K1128="Override",L1128,IF(K1128="Accept suggestion",F1128,IF(K1128="No change (same URL)",A1128,"")))</f>
        <v/>
      </c>
      <c r="N1128" s="22">
        <f>IF(A1128="","",IF(K1128="410 Gone","410",IF(K1128="404","404",IF(K1128="No change (same URL)","none",IF(M1128="","","301")))))</f>
        <v/>
      </c>
      <c r="O1128" s="22">
        <f>IF(A1128="","",IFERROR(MID(A1128,FIND("/",A1128,FIND("//",A1128)+2),2000),A1128))</f>
        <v/>
      </c>
      <c r="P1128" s="22">
        <f>IF(OR(O1128="",N1128="",N1128="none",N1128="404"),"",IF(N1128="410","Redirect gone "&amp;O1128,"Redirect "&amp;N1128&amp;" "&amp;O1128&amp;" "&amp;M1128))</f>
        <v/>
      </c>
      <c r="Q1128" s="22" t="n"/>
      <c r="R1128" s="22" t="n"/>
      <c r="S1128" s="22" t="n"/>
      <c r="T1128" s="4">
        <f>IF(A1128="","",TRIM(IF(K1128="","Needs decision; ","")&amp;IF(AND(K1128="Accept suggestion",F1128=""),"No suggestion to accept; ","")&amp;IF(AND(K1128="Override",L1128=""),"Override URL missing; ","")&amp;IF(AND(K1128="Accept suggestion",N(G1128)&lt;$G$2),"Below your threshold; ","")&amp;IF(AND(M1128&lt;&gt;"",M1128=A1128,K1128&lt;&gt;"No change (same URL)"),"Redirects to itself; ","")&amp;IF(AND(M1128&lt;&gt;"",OR(M1128="/",AND(LEFT(M1128,4)="http",OR((LEN(M1128)-LEN(SUBSTITUTE(M1128,"/","")))=2,AND((LEN(M1128)-LEN(SUBSTITUTE(M1128,"/","")))=3,RIGHT(M1128,1)="/"))))),"Home page redirect; ","")&amp;IF(N(R1128)&gt;1,"Chain; ","")&amp;IF(S1128="No","Destination not 200; ","")))</f>
        <v/>
      </c>
      <c r="U1128" s="22" t="n"/>
      <c r="V1128" s="22" t="n"/>
      <c r="W1128" s="4" t="n"/>
    </row>
    <row r="1129">
      <c r="A1129" s="22" t="n"/>
      <c r="B1129" s="22" t="n"/>
      <c r="C1129" s="22" t="n"/>
      <c r="D1129" s="22">
        <f>IF(A1129="","",IF(OR(N(B1129)&gt;=$C$2,N(C1129)&gt;=$E$2),"High",IF(OR(N(B1129)&gt;0,N(C1129)&gt;0),"Medium","Low")))</f>
        <v/>
      </c>
      <c r="E1129" s="22" t="n"/>
      <c r="F1129" s="22" t="n"/>
      <c r="G1129" s="22" t="n"/>
      <c r="H1129" s="22" t="n"/>
      <c r="I1129" s="22" t="n"/>
      <c r="J1129" s="22" t="n"/>
      <c r="K1129" s="22" t="n"/>
      <c r="L1129" s="22" t="n"/>
      <c r="M1129" s="22">
        <f>IF(K1129="Override",L1129,IF(K1129="Accept suggestion",F1129,IF(K1129="No change (same URL)",A1129,"")))</f>
        <v/>
      </c>
      <c r="N1129" s="22">
        <f>IF(A1129="","",IF(K1129="410 Gone","410",IF(K1129="404","404",IF(K1129="No change (same URL)","none",IF(M1129="","","301")))))</f>
        <v/>
      </c>
      <c r="O1129" s="22">
        <f>IF(A1129="","",IFERROR(MID(A1129,FIND("/",A1129,FIND("//",A1129)+2),2000),A1129))</f>
        <v/>
      </c>
      <c r="P1129" s="22">
        <f>IF(OR(O1129="",N1129="",N1129="none",N1129="404"),"",IF(N1129="410","Redirect gone "&amp;O1129,"Redirect "&amp;N1129&amp;" "&amp;O1129&amp;" "&amp;M1129))</f>
        <v/>
      </c>
      <c r="Q1129" s="22" t="n"/>
      <c r="R1129" s="22" t="n"/>
      <c r="S1129" s="22" t="n"/>
      <c r="T1129" s="4">
        <f>IF(A1129="","",TRIM(IF(K1129="","Needs decision; ","")&amp;IF(AND(K1129="Accept suggestion",F1129=""),"No suggestion to accept; ","")&amp;IF(AND(K1129="Override",L1129=""),"Override URL missing; ","")&amp;IF(AND(K1129="Accept suggestion",N(G1129)&lt;$G$2),"Below your threshold; ","")&amp;IF(AND(M1129&lt;&gt;"",M1129=A1129,K1129&lt;&gt;"No change (same URL)"),"Redirects to itself; ","")&amp;IF(AND(M1129&lt;&gt;"",OR(M1129="/",AND(LEFT(M1129,4)="http",OR((LEN(M1129)-LEN(SUBSTITUTE(M1129,"/","")))=2,AND((LEN(M1129)-LEN(SUBSTITUTE(M1129,"/","")))=3,RIGHT(M1129,1)="/"))))),"Home page redirect; ","")&amp;IF(N(R1129)&gt;1,"Chain; ","")&amp;IF(S1129="No","Destination not 200; ","")))</f>
        <v/>
      </c>
      <c r="U1129" s="22" t="n"/>
      <c r="V1129" s="22" t="n"/>
      <c r="W1129" s="4" t="n"/>
    </row>
    <row r="1130">
      <c r="A1130" s="22" t="n"/>
      <c r="B1130" s="22" t="n"/>
      <c r="C1130" s="22" t="n"/>
      <c r="D1130" s="22">
        <f>IF(A1130="","",IF(OR(N(B1130)&gt;=$C$2,N(C1130)&gt;=$E$2),"High",IF(OR(N(B1130)&gt;0,N(C1130)&gt;0),"Medium","Low")))</f>
        <v/>
      </c>
      <c r="E1130" s="22" t="n"/>
      <c r="F1130" s="22" t="n"/>
      <c r="G1130" s="22" t="n"/>
      <c r="H1130" s="22" t="n"/>
      <c r="I1130" s="22" t="n"/>
      <c r="J1130" s="22" t="n"/>
      <c r="K1130" s="22" t="n"/>
      <c r="L1130" s="22" t="n"/>
      <c r="M1130" s="22">
        <f>IF(K1130="Override",L1130,IF(K1130="Accept suggestion",F1130,IF(K1130="No change (same URL)",A1130,"")))</f>
        <v/>
      </c>
      <c r="N1130" s="22">
        <f>IF(A1130="","",IF(K1130="410 Gone","410",IF(K1130="404","404",IF(K1130="No change (same URL)","none",IF(M1130="","","301")))))</f>
        <v/>
      </c>
      <c r="O1130" s="22">
        <f>IF(A1130="","",IFERROR(MID(A1130,FIND("/",A1130,FIND("//",A1130)+2),2000),A1130))</f>
        <v/>
      </c>
      <c r="P1130" s="22">
        <f>IF(OR(O1130="",N1130="",N1130="none",N1130="404"),"",IF(N1130="410","Redirect gone "&amp;O1130,"Redirect "&amp;N1130&amp;" "&amp;O1130&amp;" "&amp;M1130))</f>
        <v/>
      </c>
      <c r="Q1130" s="22" t="n"/>
      <c r="R1130" s="22" t="n"/>
      <c r="S1130" s="22" t="n"/>
      <c r="T1130" s="4">
        <f>IF(A1130="","",TRIM(IF(K1130="","Needs decision; ","")&amp;IF(AND(K1130="Accept suggestion",F1130=""),"No suggestion to accept; ","")&amp;IF(AND(K1130="Override",L1130=""),"Override URL missing; ","")&amp;IF(AND(K1130="Accept suggestion",N(G1130)&lt;$G$2),"Below your threshold; ","")&amp;IF(AND(M1130&lt;&gt;"",M1130=A1130,K1130&lt;&gt;"No change (same URL)"),"Redirects to itself; ","")&amp;IF(AND(M1130&lt;&gt;"",OR(M1130="/",AND(LEFT(M1130,4)="http",OR((LEN(M1130)-LEN(SUBSTITUTE(M1130,"/","")))=2,AND((LEN(M1130)-LEN(SUBSTITUTE(M1130,"/","")))=3,RIGHT(M1130,1)="/"))))),"Home page redirect; ","")&amp;IF(N(R1130)&gt;1,"Chain; ","")&amp;IF(S1130="No","Destination not 200; ","")))</f>
        <v/>
      </c>
      <c r="U1130" s="22" t="n"/>
      <c r="V1130" s="22" t="n"/>
      <c r="W1130" s="4" t="n"/>
    </row>
    <row r="1131">
      <c r="A1131" s="22" t="n"/>
      <c r="B1131" s="22" t="n"/>
      <c r="C1131" s="22" t="n"/>
      <c r="D1131" s="22">
        <f>IF(A1131="","",IF(OR(N(B1131)&gt;=$C$2,N(C1131)&gt;=$E$2),"High",IF(OR(N(B1131)&gt;0,N(C1131)&gt;0),"Medium","Low")))</f>
        <v/>
      </c>
      <c r="E1131" s="22" t="n"/>
      <c r="F1131" s="22" t="n"/>
      <c r="G1131" s="22" t="n"/>
      <c r="H1131" s="22" t="n"/>
      <c r="I1131" s="22" t="n"/>
      <c r="J1131" s="22" t="n"/>
      <c r="K1131" s="22" t="n"/>
      <c r="L1131" s="22" t="n"/>
      <c r="M1131" s="22">
        <f>IF(K1131="Override",L1131,IF(K1131="Accept suggestion",F1131,IF(K1131="No change (same URL)",A1131,"")))</f>
        <v/>
      </c>
      <c r="N1131" s="22">
        <f>IF(A1131="","",IF(K1131="410 Gone","410",IF(K1131="404","404",IF(K1131="No change (same URL)","none",IF(M1131="","","301")))))</f>
        <v/>
      </c>
      <c r="O1131" s="22">
        <f>IF(A1131="","",IFERROR(MID(A1131,FIND("/",A1131,FIND("//",A1131)+2),2000),A1131))</f>
        <v/>
      </c>
      <c r="P1131" s="22">
        <f>IF(OR(O1131="",N1131="",N1131="none",N1131="404"),"",IF(N1131="410","Redirect gone "&amp;O1131,"Redirect "&amp;N1131&amp;" "&amp;O1131&amp;" "&amp;M1131))</f>
        <v/>
      </c>
      <c r="Q1131" s="22" t="n"/>
      <c r="R1131" s="22" t="n"/>
      <c r="S1131" s="22" t="n"/>
      <c r="T1131" s="4">
        <f>IF(A1131="","",TRIM(IF(K1131="","Needs decision; ","")&amp;IF(AND(K1131="Accept suggestion",F1131=""),"No suggestion to accept; ","")&amp;IF(AND(K1131="Override",L1131=""),"Override URL missing; ","")&amp;IF(AND(K1131="Accept suggestion",N(G1131)&lt;$G$2),"Below your threshold; ","")&amp;IF(AND(M1131&lt;&gt;"",M1131=A1131,K1131&lt;&gt;"No change (same URL)"),"Redirects to itself; ","")&amp;IF(AND(M1131&lt;&gt;"",OR(M1131="/",AND(LEFT(M1131,4)="http",OR((LEN(M1131)-LEN(SUBSTITUTE(M1131,"/","")))=2,AND((LEN(M1131)-LEN(SUBSTITUTE(M1131,"/","")))=3,RIGHT(M1131,1)="/"))))),"Home page redirect; ","")&amp;IF(N(R1131)&gt;1,"Chain; ","")&amp;IF(S1131="No","Destination not 200; ","")))</f>
        <v/>
      </c>
      <c r="U1131" s="22" t="n"/>
      <c r="V1131" s="22" t="n"/>
      <c r="W1131" s="4" t="n"/>
    </row>
    <row r="1132">
      <c r="A1132" s="22" t="n"/>
      <c r="B1132" s="22" t="n"/>
      <c r="C1132" s="22" t="n"/>
      <c r="D1132" s="22">
        <f>IF(A1132="","",IF(OR(N(B1132)&gt;=$C$2,N(C1132)&gt;=$E$2),"High",IF(OR(N(B1132)&gt;0,N(C1132)&gt;0),"Medium","Low")))</f>
        <v/>
      </c>
      <c r="E1132" s="22" t="n"/>
      <c r="F1132" s="22" t="n"/>
      <c r="G1132" s="22" t="n"/>
      <c r="H1132" s="22" t="n"/>
      <c r="I1132" s="22" t="n"/>
      <c r="J1132" s="22" t="n"/>
      <c r="K1132" s="22" t="n"/>
      <c r="L1132" s="22" t="n"/>
      <c r="M1132" s="22">
        <f>IF(K1132="Override",L1132,IF(K1132="Accept suggestion",F1132,IF(K1132="No change (same URL)",A1132,"")))</f>
        <v/>
      </c>
      <c r="N1132" s="22">
        <f>IF(A1132="","",IF(K1132="410 Gone","410",IF(K1132="404","404",IF(K1132="No change (same URL)","none",IF(M1132="","","301")))))</f>
        <v/>
      </c>
      <c r="O1132" s="22">
        <f>IF(A1132="","",IFERROR(MID(A1132,FIND("/",A1132,FIND("//",A1132)+2),2000),A1132))</f>
        <v/>
      </c>
      <c r="P1132" s="22">
        <f>IF(OR(O1132="",N1132="",N1132="none",N1132="404"),"",IF(N1132="410","Redirect gone "&amp;O1132,"Redirect "&amp;N1132&amp;" "&amp;O1132&amp;" "&amp;M1132))</f>
        <v/>
      </c>
      <c r="Q1132" s="22" t="n"/>
      <c r="R1132" s="22" t="n"/>
      <c r="S1132" s="22" t="n"/>
      <c r="T1132" s="4">
        <f>IF(A1132="","",TRIM(IF(K1132="","Needs decision; ","")&amp;IF(AND(K1132="Accept suggestion",F1132=""),"No suggestion to accept; ","")&amp;IF(AND(K1132="Override",L1132=""),"Override URL missing; ","")&amp;IF(AND(K1132="Accept suggestion",N(G1132)&lt;$G$2),"Below your threshold; ","")&amp;IF(AND(M1132&lt;&gt;"",M1132=A1132,K1132&lt;&gt;"No change (same URL)"),"Redirects to itself; ","")&amp;IF(AND(M1132&lt;&gt;"",OR(M1132="/",AND(LEFT(M1132,4)="http",OR((LEN(M1132)-LEN(SUBSTITUTE(M1132,"/","")))=2,AND((LEN(M1132)-LEN(SUBSTITUTE(M1132,"/","")))=3,RIGHT(M1132,1)="/"))))),"Home page redirect; ","")&amp;IF(N(R1132)&gt;1,"Chain; ","")&amp;IF(S1132="No","Destination not 200; ","")))</f>
        <v/>
      </c>
      <c r="U1132" s="22" t="n"/>
      <c r="V1132" s="22" t="n"/>
      <c r="W1132" s="4" t="n"/>
    </row>
    <row r="1133">
      <c r="A1133" s="22" t="n"/>
      <c r="B1133" s="22" t="n"/>
      <c r="C1133" s="22" t="n"/>
      <c r="D1133" s="22">
        <f>IF(A1133="","",IF(OR(N(B1133)&gt;=$C$2,N(C1133)&gt;=$E$2),"High",IF(OR(N(B1133)&gt;0,N(C1133)&gt;0),"Medium","Low")))</f>
        <v/>
      </c>
      <c r="E1133" s="22" t="n"/>
      <c r="F1133" s="22" t="n"/>
      <c r="G1133" s="22" t="n"/>
      <c r="H1133" s="22" t="n"/>
      <c r="I1133" s="22" t="n"/>
      <c r="J1133" s="22" t="n"/>
      <c r="K1133" s="22" t="n"/>
      <c r="L1133" s="22" t="n"/>
      <c r="M1133" s="22">
        <f>IF(K1133="Override",L1133,IF(K1133="Accept suggestion",F1133,IF(K1133="No change (same URL)",A1133,"")))</f>
        <v/>
      </c>
      <c r="N1133" s="22">
        <f>IF(A1133="","",IF(K1133="410 Gone","410",IF(K1133="404","404",IF(K1133="No change (same URL)","none",IF(M1133="","","301")))))</f>
        <v/>
      </c>
      <c r="O1133" s="22">
        <f>IF(A1133="","",IFERROR(MID(A1133,FIND("/",A1133,FIND("//",A1133)+2),2000),A1133))</f>
        <v/>
      </c>
      <c r="P1133" s="22">
        <f>IF(OR(O1133="",N1133="",N1133="none",N1133="404"),"",IF(N1133="410","Redirect gone "&amp;O1133,"Redirect "&amp;N1133&amp;" "&amp;O1133&amp;" "&amp;M1133))</f>
        <v/>
      </c>
      <c r="Q1133" s="22" t="n"/>
      <c r="R1133" s="22" t="n"/>
      <c r="S1133" s="22" t="n"/>
      <c r="T1133" s="4">
        <f>IF(A1133="","",TRIM(IF(K1133="","Needs decision; ","")&amp;IF(AND(K1133="Accept suggestion",F1133=""),"No suggestion to accept; ","")&amp;IF(AND(K1133="Override",L1133=""),"Override URL missing; ","")&amp;IF(AND(K1133="Accept suggestion",N(G1133)&lt;$G$2),"Below your threshold; ","")&amp;IF(AND(M1133&lt;&gt;"",M1133=A1133,K1133&lt;&gt;"No change (same URL)"),"Redirects to itself; ","")&amp;IF(AND(M1133&lt;&gt;"",OR(M1133="/",AND(LEFT(M1133,4)="http",OR((LEN(M1133)-LEN(SUBSTITUTE(M1133,"/","")))=2,AND((LEN(M1133)-LEN(SUBSTITUTE(M1133,"/","")))=3,RIGHT(M1133,1)="/"))))),"Home page redirect; ","")&amp;IF(N(R1133)&gt;1,"Chain; ","")&amp;IF(S1133="No","Destination not 200; ","")))</f>
        <v/>
      </c>
      <c r="U1133" s="22" t="n"/>
      <c r="V1133" s="22" t="n"/>
      <c r="W1133" s="4" t="n"/>
    </row>
    <row r="1134">
      <c r="A1134" s="22" t="n"/>
      <c r="B1134" s="22" t="n"/>
      <c r="C1134" s="22" t="n"/>
      <c r="D1134" s="22">
        <f>IF(A1134="","",IF(OR(N(B1134)&gt;=$C$2,N(C1134)&gt;=$E$2),"High",IF(OR(N(B1134)&gt;0,N(C1134)&gt;0),"Medium","Low")))</f>
        <v/>
      </c>
      <c r="E1134" s="22" t="n"/>
      <c r="F1134" s="22" t="n"/>
      <c r="G1134" s="22" t="n"/>
      <c r="H1134" s="22" t="n"/>
      <c r="I1134" s="22" t="n"/>
      <c r="J1134" s="22" t="n"/>
      <c r="K1134" s="22" t="n"/>
      <c r="L1134" s="22" t="n"/>
      <c r="M1134" s="22">
        <f>IF(K1134="Override",L1134,IF(K1134="Accept suggestion",F1134,IF(K1134="No change (same URL)",A1134,"")))</f>
        <v/>
      </c>
      <c r="N1134" s="22">
        <f>IF(A1134="","",IF(K1134="410 Gone","410",IF(K1134="404","404",IF(K1134="No change (same URL)","none",IF(M1134="","","301")))))</f>
        <v/>
      </c>
      <c r="O1134" s="22">
        <f>IF(A1134="","",IFERROR(MID(A1134,FIND("/",A1134,FIND("//",A1134)+2),2000),A1134))</f>
        <v/>
      </c>
      <c r="P1134" s="22">
        <f>IF(OR(O1134="",N1134="",N1134="none",N1134="404"),"",IF(N1134="410","Redirect gone "&amp;O1134,"Redirect "&amp;N1134&amp;" "&amp;O1134&amp;" "&amp;M1134))</f>
        <v/>
      </c>
      <c r="Q1134" s="22" t="n"/>
      <c r="R1134" s="22" t="n"/>
      <c r="S1134" s="22" t="n"/>
      <c r="T1134" s="4">
        <f>IF(A1134="","",TRIM(IF(K1134="","Needs decision; ","")&amp;IF(AND(K1134="Accept suggestion",F1134=""),"No suggestion to accept; ","")&amp;IF(AND(K1134="Override",L1134=""),"Override URL missing; ","")&amp;IF(AND(K1134="Accept suggestion",N(G1134)&lt;$G$2),"Below your threshold; ","")&amp;IF(AND(M1134&lt;&gt;"",M1134=A1134,K1134&lt;&gt;"No change (same URL)"),"Redirects to itself; ","")&amp;IF(AND(M1134&lt;&gt;"",OR(M1134="/",AND(LEFT(M1134,4)="http",OR((LEN(M1134)-LEN(SUBSTITUTE(M1134,"/","")))=2,AND((LEN(M1134)-LEN(SUBSTITUTE(M1134,"/","")))=3,RIGHT(M1134,1)="/"))))),"Home page redirect; ","")&amp;IF(N(R1134)&gt;1,"Chain; ","")&amp;IF(S1134="No","Destination not 200; ","")))</f>
        <v/>
      </c>
      <c r="U1134" s="22" t="n"/>
      <c r="V1134" s="22" t="n"/>
      <c r="W1134" s="4" t="n"/>
    </row>
    <row r="1135">
      <c r="A1135" s="22" t="n"/>
      <c r="B1135" s="22" t="n"/>
      <c r="C1135" s="22" t="n"/>
      <c r="D1135" s="22">
        <f>IF(A1135="","",IF(OR(N(B1135)&gt;=$C$2,N(C1135)&gt;=$E$2),"High",IF(OR(N(B1135)&gt;0,N(C1135)&gt;0),"Medium","Low")))</f>
        <v/>
      </c>
      <c r="E1135" s="22" t="n"/>
      <c r="F1135" s="22" t="n"/>
      <c r="G1135" s="22" t="n"/>
      <c r="H1135" s="22" t="n"/>
      <c r="I1135" s="22" t="n"/>
      <c r="J1135" s="22" t="n"/>
      <c r="K1135" s="22" t="n"/>
      <c r="L1135" s="22" t="n"/>
      <c r="M1135" s="22">
        <f>IF(K1135="Override",L1135,IF(K1135="Accept suggestion",F1135,IF(K1135="No change (same URL)",A1135,"")))</f>
        <v/>
      </c>
      <c r="N1135" s="22">
        <f>IF(A1135="","",IF(K1135="410 Gone","410",IF(K1135="404","404",IF(K1135="No change (same URL)","none",IF(M1135="","","301")))))</f>
        <v/>
      </c>
      <c r="O1135" s="22">
        <f>IF(A1135="","",IFERROR(MID(A1135,FIND("/",A1135,FIND("//",A1135)+2),2000),A1135))</f>
        <v/>
      </c>
      <c r="P1135" s="22">
        <f>IF(OR(O1135="",N1135="",N1135="none",N1135="404"),"",IF(N1135="410","Redirect gone "&amp;O1135,"Redirect "&amp;N1135&amp;" "&amp;O1135&amp;" "&amp;M1135))</f>
        <v/>
      </c>
      <c r="Q1135" s="22" t="n"/>
      <c r="R1135" s="22" t="n"/>
      <c r="S1135" s="22" t="n"/>
      <c r="T1135" s="4">
        <f>IF(A1135="","",TRIM(IF(K1135="","Needs decision; ","")&amp;IF(AND(K1135="Accept suggestion",F1135=""),"No suggestion to accept; ","")&amp;IF(AND(K1135="Override",L1135=""),"Override URL missing; ","")&amp;IF(AND(K1135="Accept suggestion",N(G1135)&lt;$G$2),"Below your threshold; ","")&amp;IF(AND(M1135&lt;&gt;"",M1135=A1135,K1135&lt;&gt;"No change (same URL)"),"Redirects to itself; ","")&amp;IF(AND(M1135&lt;&gt;"",OR(M1135="/",AND(LEFT(M1135,4)="http",OR((LEN(M1135)-LEN(SUBSTITUTE(M1135,"/","")))=2,AND((LEN(M1135)-LEN(SUBSTITUTE(M1135,"/","")))=3,RIGHT(M1135,1)="/"))))),"Home page redirect; ","")&amp;IF(N(R1135)&gt;1,"Chain; ","")&amp;IF(S1135="No","Destination not 200; ","")))</f>
        <v/>
      </c>
      <c r="U1135" s="22" t="n"/>
      <c r="V1135" s="22" t="n"/>
      <c r="W1135" s="4" t="n"/>
    </row>
    <row r="1136">
      <c r="A1136" s="22" t="n"/>
      <c r="B1136" s="22" t="n"/>
      <c r="C1136" s="22" t="n"/>
      <c r="D1136" s="22">
        <f>IF(A1136="","",IF(OR(N(B1136)&gt;=$C$2,N(C1136)&gt;=$E$2),"High",IF(OR(N(B1136)&gt;0,N(C1136)&gt;0),"Medium","Low")))</f>
        <v/>
      </c>
      <c r="E1136" s="22" t="n"/>
      <c r="F1136" s="22" t="n"/>
      <c r="G1136" s="22" t="n"/>
      <c r="H1136" s="22" t="n"/>
      <c r="I1136" s="22" t="n"/>
      <c r="J1136" s="22" t="n"/>
      <c r="K1136" s="22" t="n"/>
      <c r="L1136" s="22" t="n"/>
      <c r="M1136" s="22">
        <f>IF(K1136="Override",L1136,IF(K1136="Accept suggestion",F1136,IF(K1136="No change (same URL)",A1136,"")))</f>
        <v/>
      </c>
      <c r="N1136" s="22">
        <f>IF(A1136="","",IF(K1136="410 Gone","410",IF(K1136="404","404",IF(K1136="No change (same URL)","none",IF(M1136="","","301")))))</f>
        <v/>
      </c>
      <c r="O1136" s="22">
        <f>IF(A1136="","",IFERROR(MID(A1136,FIND("/",A1136,FIND("//",A1136)+2),2000),A1136))</f>
        <v/>
      </c>
      <c r="P1136" s="22">
        <f>IF(OR(O1136="",N1136="",N1136="none",N1136="404"),"",IF(N1136="410","Redirect gone "&amp;O1136,"Redirect "&amp;N1136&amp;" "&amp;O1136&amp;" "&amp;M1136))</f>
        <v/>
      </c>
      <c r="Q1136" s="22" t="n"/>
      <c r="R1136" s="22" t="n"/>
      <c r="S1136" s="22" t="n"/>
      <c r="T1136" s="4">
        <f>IF(A1136="","",TRIM(IF(K1136="","Needs decision; ","")&amp;IF(AND(K1136="Accept suggestion",F1136=""),"No suggestion to accept; ","")&amp;IF(AND(K1136="Override",L1136=""),"Override URL missing; ","")&amp;IF(AND(K1136="Accept suggestion",N(G1136)&lt;$G$2),"Below your threshold; ","")&amp;IF(AND(M1136&lt;&gt;"",M1136=A1136,K1136&lt;&gt;"No change (same URL)"),"Redirects to itself; ","")&amp;IF(AND(M1136&lt;&gt;"",OR(M1136="/",AND(LEFT(M1136,4)="http",OR((LEN(M1136)-LEN(SUBSTITUTE(M1136,"/","")))=2,AND((LEN(M1136)-LEN(SUBSTITUTE(M1136,"/","")))=3,RIGHT(M1136,1)="/"))))),"Home page redirect; ","")&amp;IF(N(R1136)&gt;1,"Chain; ","")&amp;IF(S1136="No","Destination not 200; ","")))</f>
        <v/>
      </c>
      <c r="U1136" s="22" t="n"/>
      <c r="V1136" s="22" t="n"/>
      <c r="W1136" s="4" t="n"/>
    </row>
    <row r="1137">
      <c r="A1137" s="22" t="n"/>
      <c r="B1137" s="22" t="n"/>
      <c r="C1137" s="22" t="n"/>
      <c r="D1137" s="22">
        <f>IF(A1137="","",IF(OR(N(B1137)&gt;=$C$2,N(C1137)&gt;=$E$2),"High",IF(OR(N(B1137)&gt;0,N(C1137)&gt;0),"Medium","Low")))</f>
        <v/>
      </c>
      <c r="E1137" s="22" t="n"/>
      <c r="F1137" s="22" t="n"/>
      <c r="G1137" s="22" t="n"/>
      <c r="H1137" s="22" t="n"/>
      <c r="I1137" s="22" t="n"/>
      <c r="J1137" s="22" t="n"/>
      <c r="K1137" s="22" t="n"/>
      <c r="L1137" s="22" t="n"/>
      <c r="M1137" s="22">
        <f>IF(K1137="Override",L1137,IF(K1137="Accept suggestion",F1137,IF(K1137="No change (same URL)",A1137,"")))</f>
        <v/>
      </c>
      <c r="N1137" s="22">
        <f>IF(A1137="","",IF(K1137="410 Gone","410",IF(K1137="404","404",IF(K1137="No change (same URL)","none",IF(M1137="","","301")))))</f>
        <v/>
      </c>
      <c r="O1137" s="22">
        <f>IF(A1137="","",IFERROR(MID(A1137,FIND("/",A1137,FIND("//",A1137)+2),2000),A1137))</f>
        <v/>
      </c>
      <c r="P1137" s="22">
        <f>IF(OR(O1137="",N1137="",N1137="none",N1137="404"),"",IF(N1137="410","Redirect gone "&amp;O1137,"Redirect "&amp;N1137&amp;" "&amp;O1137&amp;" "&amp;M1137))</f>
        <v/>
      </c>
      <c r="Q1137" s="22" t="n"/>
      <c r="R1137" s="22" t="n"/>
      <c r="S1137" s="22" t="n"/>
      <c r="T1137" s="4">
        <f>IF(A1137="","",TRIM(IF(K1137="","Needs decision; ","")&amp;IF(AND(K1137="Accept suggestion",F1137=""),"No suggestion to accept; ","")&amp;IF(AND(K1137="Override",L1137=""),"Override URL missing; ","")&amp;IF(AND(K1137="Accept suggestion",N(G1137)&lt;$G$2),"Below your threshold; ","")&amp;IF(AND(M1137&lt;&gt;"",M1137=A1137,K1137&lt;&gt;"No change (same URL)"),"Redirects to itself; ","")&amp;IF(AND(M1137&lt;&gt;"",OR(M1137="/",AND(LEFT(M1137,4)="http",OR((LEN(M1137)-LEN(SUBSTITUTE(M1137,"/","")))=2,AND((LEN(M1137)-LEN(SUBSTITUTE(M1137,"/","")))=3,RIGHT(M1137,1)="/"))))),"Home page redirect; ","")&amp;IF(N(R1137)&gt;1,"Chain; ","")&amp;IF(S1137="No","Destination not 200; ","")))</f>
        <v/>
      </c>
      <c r="U1137" s="22" t="n"/>
      <c r="V1137" s="22" t="n"/>
      <c r="W1137" s="4" t="n"/>
    </row>
    <row r="1138">
      <c r="A1138" s="22" t="n"/>
      <c r="B1138" s="22" t="n"/>
      <c r="C1138" s="22" t="n"/>
      <c r="D1138" s="22">
        <f>IF(A1138="","",IF(OR(N(B1138)&gt;=$C$2,N(C1138)&gt;=$E$2),"High",IF(OR(N(B1138)&gt;0,N(C1138)&gt;0),"Medium","Low")))</f>
        <v/>
      </c>
      <c r="E1138" s="22" t="n"/>
      <c r="F1138" s="22" t="n"/>
      <c r="G1138" s="22" t="n"/>
      <c r="H1138" s="22" t="n"/>
      <c r="I1138" s="22" t="n"/>
      <c r="J1138" s="22" t="n"/>
      <c r="K1138" s="22" t="n"/>
      <c r="L1138" s="22" t="n"/>
      <c r="M1138" s="22">
        <f>IF(K1138="Override",L1138,IF(K1138="Accept suggestion",F1138,IF(K1138="No change (same URL)",A1138,"")))</f>
        <v/>
      </c>
      <c r="N1138" s="22">
        <f>IF(A1138="","",IF(K1138="410 Gone","410",IF(K1138="404","404",IF(K1138="No change (same URL)","none",IF(M1138="","","301")))))</f>
        <v/>
      </c>
      <c r="O1138" s="22">
        <f>IF(A1138="","",IFERROR(MID(A1138,FIND("/",A1138,FIND("//",A1138)+2),2000),A1138))</f>
        <v/>
      </c>
      <c r="P1138" s="22">
        <f>IF(OR(O1138="",N1138="",N1138="none",N1138="404"),"",IF(N1138="410","Redirect gone "&amp;O1138,"Redirect "&amp;N1138&amp;" "&amp;O1138&amp;" "&amp;M1138))</f>
        <v/>
      </c>
      <c r="Q1138" s="22" t="n"/>
      <c r="R1138" s="22" t="n"/>
      <c r="S1138" s="22" t="n"/>
      <c r="T1138" s="4">
        <f>IF(A1138="","",TRIM(IF(K1138="","Needs decision; ","")&amp;IF(AND(K1138="Accept suggestion",F1138=""),"No suggestion to accept; ","")&amp;IF(AND(K1138="Override",L1138=""),"Override URL missing; ","")&amp;IF(AND(K1138="Accept suggestion",N(G1138)&lt;$G$2),"Below your threshold; ","")&amp;IF(AND(M1138&lt;&gt;"",M1138=A1138,K1138&lt;&gt;"No change (same URL)"),"Redirects to itself; ","")&amp;IF(AND(M1138&lt;&gt;"",OR(M1138="/",AND(LEFT(M1138,4)="http",OR((LEN(M1138)-LEN(SUBSTITUTE(M1138,"/","")))=2,AND((LEN(M1138)-LEN(SUBSTITUTE(M1138,"/","")))=3,RIGHT(M1138,1)="/"))))),"Home page redirect; ","")&amp;IF(N(R1138)&gt;1,"Chain; ","")&amp;IF(S1138="No","Destination not 200; ","")))</f>
        <v/>
      </c>
      <c r="U1138" s="22" t="n"/>
      <c r="V1138" s="22" t="n"/>
      <c r="W1138" s="4" t="n"/>
    </row>
    <row r="1139">
      <c r="A1139" s="22" t="n"/>
      <c r="B1139" s="22" t="n"/>
      <c r="C1139" s="22" t="n"/>
      <c r="D1139" s="22">
        <f>IF(A1139="","",IF(OR(N(B1139)&gt;=$C$2,N(C1139)&gt;=$E$2),"High",IF(OR(N(B1139)&gt;0,N(C1139)&gt;0),"Medium","Low")))</f>
        <v/>
      </c>
      <c r="E1139" s="22" t="n"/>
      <c r="F1139" s="22" t="n"/>
      <c r="G1139" s="22" t="n"/>
      <c r="H1139" s="22" t="n"/>
      <c r="I1139" s="22" t="n"/>
      <c r="J1139" s="22" t="n"/>
      <c r="K1139" s="22" t="n"/>
      <c r="L1139" s="22" t="n"/>
      <c r="M1139" s="22">
        <f>IF(K1139="Override",L1139,IF(K1139="Accept suggestion",F1139,IF(K1139="No change (same URL)",A1139,"")))</f>
        <v/>
      </c>
      <c r="N1139" s="22">
        <f>IF(A1139="","",IF(K1139="410 Gone","410",IF(K1139="404","404",IF(K1139="No change (same URL)","none",IF(M1139="","","301")))))</f>
        <v/>
      </c>
      <c r="O1139" s="22">
        <f>IF(A1139="","",IFERROR(MID(A1139,FIND("/",A1139,FIND("//",A1139)+2),2000),A1139))</f>
        <v/>
      </c>
      <c r="P1139" s="22">
        <f>IF(OR(O1139="",N1139="",N1139="none",N1139="404"),"",IF(N1139="410","Redirect gone "&amp;O1139,"Redirect "&amp;N1139&amp;" "&amp;O1139&amp;" "&amp;M1139))</f>
        <v/>
      </c>
      <c r="Q1139" s="22" t="n"/>
      <c r="R1139" s="22" t="n"/>
      <c r="S1139" s="22" t="n"/>
      <c r="T1139" s="4">
        <f>IF(A1139="","",TRIM(IF(K1139="","Needs decision; ","")&amp;IF(AND(K1139="Accept suggestion",F1139=""),"No suggestion to accept; ","")&amp;IF(AND(K1139="Override",L1139=""),"Override URL missing; ","")&amp;IF(AND(K1139="Accept suggestion",N(G1139)&lt;$G$2),"Below your threshold; ","")&amp;IF(AND(M1139&lt;&gt;"",M1139=A1139,K1139&lt;&gt;"No change (same URL)"),"Redirects to itself; ","")&amp;IF(AND(M1139&lt;&gt;"",OR(M1139="/",AND(LEFT(M1139,4)="http",OR((LEN(M1139)-LEN(SUBSTITUTE(M1139,"/","")))=2,AND((LEN(M1139)-LEN(SUBSTITUTE(M1139,"/","")))=3,RIGHT(M1139,1)="/"))))),"Home page redirect; ","")&amp;IF(N(R1139)&gt;1,"Chain; ","")&amp;IF(S1139="No","Destination not 200; ","")))</f>
        <v/>
      </c>
      <c r="U1139" s="22" t="n"/>
      <c r="V1139" s="22" t="n"/>
      <c r="W1139" s="4" t="n"/>
    </row>
    <row r="1140">
      <c r="A1140" s="22" t="n"/>
      <c r="B1140" s="22" t="n"/>
      <c r="C1140" s="22" t="n"/>
      <c r="D1140" s="22">
        <f>IF(A1140="","",IF(OR(N(B1140)&gt;=$C$2,N(C1140)&gt;=$E$2),"High",IF(OR(N(B1140)&gt;0,N(C1140)&gt;0),"Medium","Low")))</f>
        <v/>
      </c>
      <c r="E1140" s="22" t="n"/>
      <c r="F1140" s="22" t="n"/>
      <c r="G1140" s="22" t="n"/>
      <c r="H1140" s="22" t="n"/>
      <c r="I1140" s="22" t="n"/>
      <c r="J1140" s="22" t="n"/>
      <c r="K1140" s="22" t="n"/>
      <c r="L1140" s="22" t="n"/>
      <c r="M1140" s="22">
        <f>IF(K1140="Override",L1140,IF(K1140="Accept suggestion",F1140,IF(K1140="No change (same URL)",A1140,"")))</f>
        <v/>
      </c>
      <c r="N1140" s="22">
        <f>IF(A1140="","",IF(K1140="410 Gone","410",IF(K1140="404","404",IF(K1140="No change (same URL)","none",IF(M1140="","","301")))))</f>
        <v/>
      </c>
      <c r="O1140" s="22">
        <f>IF(A1140="","",IFERROR(MID(A1140,FIND("/",A1140,FIND("//",A1140)+2),2000),A1140))</f>
        <v/>
      </c>
      <c r="P1140" s="22">
        <f>IF(OR(O1140="",N1140="",N1140="none",N1140="404"),"",IF(N1140="410","Redirect gone "&amp;O1140,"Redirect "&amp;N1140&amp;" "&amp;O1140&amp;" "&amp;M1140))</f>
        <v/>
      </c>
      <c r="Q1140" s="22" t="n"/>
      <c r="R1140" s="22" t="n"/>
      <c r="S1140" s="22" t="n"/>
      <c r="T1140" s="4">
        <f>IF(A1140="","",TRIM(IF(K1140="","Needs decision; ","")&amp;IF(AND(K1140="Accept suggestion",F1140=""),"No suggestion to accept; ","")&amp;IF(AND(K1140="Override",L1140=""),"Override URL missing; ","")&amp;IF(AND(K1140="Accept suggestion",N(G1140)&lt;$G$2),"Below your threshold; ","")&amp;IF(AND(M1140&lt;&gt;"",M1140=A1140,K1140&lt;&gt;"No change (same URL)"),"Redirects to itself; ","")&amp;IF(AND(M1140&lt;&gt;"",OR(M1140="/",AND(LEFT(M1140,4)="http",OR((LEN(M1140)-LEN(SUBSTITUTE(M1140,"/","")))=2,AND((LEN(M1140)-LEN(SUBSTITUTE(M1140,"/","")))=3,RIGHT(M1140,1)="/"))))),"Home page redirect; ","")&amp;IF(N(R1140)&gt;1,"Chain; ","")&amp;IF(S1140="No","Destination not 200; ","")))</f>
        <v/>
      </c>
      <c r="U1140" s="22" t="n"/>
      <c r="V1140" s="22" t="n"/>
      <c r="W1140" s="4" t="n"/>
    </row>
    <row r="1141">
      <c r="A1141" s="22" t="n"/>
      <c r="B1141" s="22" t="n"/>
      <c r="C1141" s="22" t="n"/>
      <c r="D1141" s="22">
        <f>IF(A1141="","",IF(OR(N(B1141)&gt;=$C$2,N(C1141)&gt;=$E$2),"High",IF(OR(N(B1141)&gt;0,N(C1141)&gt;0),"Medium","Low")))</f>
        <v/>
      </c>
      <c r="E1141" s="22" t="n"/>
      <c r="F1141" s="22" t="n"/>
      <c r="G1141" s="22" t="n"/>
      <c r="H1141" s="22" t="n"/>
      <c r="I1141" s="22" t="n"/>
      <c r="J1141" s="22" t="n"/>
      <c r="K1141" s="22" t="n"/>
      <c r="L1141" s="22" t="n"/>
      <c r="M1141" s="22">
        <f>IF(K1141="Override",L1141,IF(K1141="Accept suggestion",F1141,IF(K1141="No change (same URL)",A1141,"")))</f>
        <v/>
      </c>
      <c r="N1141" s="22">
        <f>IF(A1141="","",IF(K1141="410 Gone","410",IF(K1141="404","404",IF(K1141="No change (same URL)","none",IF(M1141="","","301")))))</f>
        <v/>
      </c>
      <c r="O1141" s="22">
        <f>IF(A1141="","",IFERROR(MID(A1141,FIND("/",A1141,FIND("//",A1141)+2),2000),A1141))</f>
        <v/>
      </c>
      <c r="P1141" s="22">
        <f>IF(OR(O1141="",N1141="",N1141="none",N1141="404"),"",IF(N1141="410","Redirect gone "&amp;O1141,"Redirect "&amp;N1141&amp;" "&amp;O1141&amp;" "&amp;M1141))</f>
        <v/>
      </c>
      <c r="Q1141" s="22" t="n"/>
      <c r="R1141" s="22" t="n"/>
      <c r="S1141" s="22" t="n"/>
      <c r="T1141" s="4">
        <f>IF(A1141="","",TRIM(IF(K1141="","Needs decision; ","")&amp;IF(AND(K1141="Accept suggestion",F1141=""),"No suggestion to accept; ","")&amp;IF(AND(K1141="Override",L1141=""),"Override URL missing; ","")&amp;IF(AND(K1141="Accept suggestion",N(G1141)&lt;$G$2),"Below your threshold; ","")&amp;IF(AND(M1141&lt;&gt;"",M1141=A1141,K1141&lt;&gt;"No change (same URL)"),"Redirects to itself; ","")&amp;IF(AND(M1141&lt;&gt;"",OR(M1141="/",AND(LEFT(M1141,4)="http",OR((LEN(M1141)-LEN(SUBSTITUTE(M1141,"/","")))=2,AND((LEN(M1141)-LEN(SUBSTITUTE(M1141,"/","")))=3,RIGHT(M1141,1)="/"))))),"Home page redirect; ","")&amp;IF(N(R1141)&gt;1,"Chain; ","")&amp;IF(S1141="No","Destination not 200; ","")))</f>
        <v/>
      </c>
      <c r="U1141" s="22" t="n"/>
      <c r="V1141" s="22" t="n"/>
      <c r="W1141" s="4" t="n"/>
    </row>
    <row r="1142">
      <c r="A1142" s="22" t="n"/>
      <c r="B1142" s="22" t="n"/>
      <c r="C1142" s="22" t="n"/>
      <c r="D1142" s="22">
        <f>IF(A1142="","",IF(OR(N(B1142)&gt;=$C$2,N(C1142)&gt;=$E$2),"High",IF(OR(N(B1142)&gt;0,N(C1142)&gt;0),"Medium","Low")))</f>
        <v/>
      </c>
      <c r="E1142" s="22" t="n"/>
      <c r="F1142" s="22" t="n"/>
      <c r="G1142" s="22" t="n"/>
      <c r="H1142" s="22" t="n"/>
      <c r="I1142" s="22" t="n"/>
      <c r="J1142" s="22" t="n"/>
      <c r="K1142" s="22" t="n"/>
      <c r="L1142" s="22" t="n"/>
      <c r="M1142" s="22">
        <f>IF(K1142="Override",L1142,IF(K1142="Accept suggestion",F1142,IF(K1142="No change (same URL)",A1142,"")))</f>
        <v/>
      </c>
      <c r="N1142" s="22">
        <f>IF(A1142="","",IF(K1142="410 Gone","410",IF(K1142="404","404",IF(K1142="No change (same URL)","none",IF(M1142="","","301")))))</f>
        <v/>
      </c>
      <c r="O1142" s="22">
        <f>IF(A1142="","",IFERROR(MID(A1142,FIND("/",A1142,FIND("//",A1142)+2),2000),A1142))</f>
        <v/>
      </c>
      <c r="P1142" s="22">
        <f>IF(OR(O1142="",N1142="",N1142="none",N1142="404"),"",IF(N1142="410","Redirect gone "&amp;O1142,"Redirect "&amp;N1142&amp;" "&amp;O1142&amp;" "&amp;M1142))</f>
        <v/>
      </c>
      <c r="Q1142" s="22" t="n"/>
      <c r="R1142" s="22" t="n"/>
      <c r="S1142" s="22" t="n"/>
      <c r="T1142" s="4">
        <f>IF(A1142="","",TRIM(IF(K1142="","Needs decision; ","")&amp;IF(AND(K1142="Accept suggestion",F1142=""),"No suggestion to accept; ","")&amp;IF(AND(K1142="Override",L1142=""),"Override URL missing; ","")&amp;IF(AND(K1142="Accept suggestion",N(G1142)&lt;$G$2),"Below your threshold; ","")&amp;IF(AND(M1142&lt;&gt;"",M1142=A1142,K1142&lt;&gt;"No change (same URL)"),"Redirects to itself; ","")&amp;IF(AND(M1142&lt;&gt;"",OR(M1142="/",AND(LEFT(M1142,4)="http",OR((LEN(M1142)-LEN(SUBSTITUTE(M1142,"/","")))=2,AND((LEN(M1142)-LEN(SUBSTITUTE(M1142,"/","")))=3,RIGHT(M1142,1)="/"))))),"Home page redirect; ","")&amp;IF(N(R1142)&gt;1,"Chain; ","")&amp;IF(S1142="No","Destination not 200; ","")))</f>
        <v/>
      </c>
      <c r="U1142" s="22" t="n"/>
      <c r="V1142" s="22" t="n"/>
      <c r="W1142" s="4" t="n"/>
    </row>
    <row r="1143">
      <c r="A1143" s="22" t="n"/>
      <c r="B1143" s="22" t="n"/>
      <c r="C1143" s="22" t="n"/>
      <c r="D1143" s="22">
        <f>IF(A1143="","",IF(OR(N(B1143)&gt;=$C$2,N(C1143)&gt;=$E$2),"High",IF(OR(N(B1143)&gt;0,N(C1143)&gt;0),"Medium","Low")))</f>
        <v/>
      </c>
      <c r="E1143" s="22" t="n"/>
      <c r="F1143" s="22" t="n"/>
      <c r="G1143" s="22" t="n"/>
      <c r="H1143" s="22" t="n"/>
      <c r="I1143" s="22" t="n"/>
      <c r="J1143" s="22" t="n"/>
      <c r="K1143" s="22" t="n"/>
      <c r="L1143" s="22" t="n"/>
      <c r="M1143" s="22">
        <f>IF(K1143="Override",L1143,IF(K1143="Accept suggestion",F1143,IF(K1143="No change (same URL)",A1143,"")))</f>
        <v/>
      </c>
      <c r="N1143" s="22">
        <f>IF(A1143="","",IF(K1143="410 Gone","410",IF(K1143="404","404",IF(K1143="No change (same URL)","none",IF(M1143="","","301")))))</f>
        <v/>
      </c>
      <c r="O1143" s="22">
        <f>IF(A1143="","",IFERROR(MID(A1143,FIND("/",A1143,FIND("//",A1143)+2),2000),A1143))</f>
        <v/>
      </c>
      <c r="P1143" s="22">
        <f>IF(OR(O1143="",N1143="",N1143="none",N1143="404"),"",IF(N1143="410","Redirect gone "&amp;O1143,"Redirect "&amp;N1143&amp;" "&amp;O1143&amp;" "&amp;M1143))</f>
        <v/>
      </c>
      <c r="Q1143" s="22" t="n"/>
      <c r="R1143" s="22" t="n"/>
      <c r="S1143" s="22" t="n"/>
      <c r="T1143" s="4">
        <f>IF(A1143="","",TRIM(IF(K1143="","Needs decision; ","")&amp;IF(AND(K1143="Accept suggestion",F1143=""),"No suggestion to accept; ","")&amp;IF(AND(K1143="Override",L1143=""),"Override URL missing; ","")&amp;IF(AND(K1143="Accept suggestion",N(G1143)&lt;$G$2),"Below your threshold; ","")&amp;IF(AND(M1143&lt;&gt;"",M1143=A1143,K1143&lt;&gt;"No change (same URL)"),"Redirects to itself; ","")&amp;IF(AND(M1143&lt;&gt;"",OR(M1143="/",AND(LEFT(M1143,4)="http",OR((LEN(M1143)-LEN(SUBSTITUTE(M1143,"/","")))=2,AND((LEN(M1143)-LEN(SUBSTITUTE(M1143,"/","")))=3,RIGHT(M1143,1)="/"))))),"Home page redirect; ","")&amp;IF(N(R1143)&gt;1,"Chain; ","")&amp;IF(S1143="No","Destination not 200; ","")))</f>
        <v/>
      </c>
      <c r="U1143" s="22" t="n"/>
      <c r="V1143" s="22" t="n"/>
      <c r="W1143" s="4" t="n"/>
    </row>
    <row r="1144">
      <c r="A1144" s="22" t="n"/>
      <c r="B1144" s="22" t="n"/>
      <c r="C1144" s="22" t="n"/>
      <c r="D1144" s="22">
        <f>IF(A1144="","",IF(OR(N(B1144)&gt;=$C$2,N(C1144)&gt;=$E$2),"High",IF(OR(N(B1144)&gt;0,N(C1144)&gt;0),"Medium","Low")))</f>
        <v/>
      </c>
      <c r="E1144" s="22" t="n"/>
      <c r="F1144" s="22" t="n"/>
      <c r="G1144" s="22" t="n"/>
      <c r="H1144" s="22" t="n"/>
      <c r="I1144" s="22" t="n"/>
      <c r="J1144" s="22" t="n"/>
      <c r="K1144" s="22" t="n"/>
      <c r="L1144" s="22" t="n"/>
      <c r="M1144" s="22">
        <f>IF(K1144="Override",L1144,IF(K1144="Accept suggestion",F1144,IF(K1144="No change (same URL)",A1144,"")))</f>
        <v/>
      </c>
      <c r="N1144" s="22">
        <f>IF(A1144="","",IF(K1144="410 Gone","410",IF(K1144="404","404",IF(K1144="No change (same URL)","none",IF(M1144="","","301")))))</f>
        <v/>
      </c>
      <c r="O1144" s="22">
        <f>IF(A1144="","",IFERROR(MID(A1144,FIND("/",A1144,FIND("//",A1144)+2),2000),A1144))</f>
        <v/>
      </c>
      <c r="P1144" s="22">
        <f>IF(OR(O1144="",N1144="",N1144="none",N1144="404"),"",IF(N1144="410","Redirect gone "&amp;O1144,"Redirect "&amp;N1144&amp;" "&amp;O1144&amp;" "&amp;M1144))</f>
        <v/>
      </c>
      <c r="Q1144" s="22" t="n"/>
      <c r="R1144" s="22" t="n"/>
      <c r="S1144" s="22" t="n"/>
      <c r="T1144" s="4">
        <f>IF(A1144="","",TRIM(IF(K1144="","Needs decision; ","")&amp;IF(AND(K1144="Accept suggestion",F1144=""),"No suggestion to accept; ","")&amp;IF(AND(K1144="Override",L1144=""),"Override URL missing; ","")&amp;IF(AND(K1144="Accept suggestion",N(G1144)&lt;$G$2),"Below your threshold; ","")&amp;IF(AND(M1144&lt;&gt;"",M1144=A1144,K1144&lt;&gt;"No change (same URL)"),"Redirects to itself; ","")&amp;IF(AND(M1144&lt;&gt;"",OR(M1144="/",AND(LEFT(M1144,4)="http",OR((LEN(M1144)-LEN(SUBSTITUTE(M1144,"/","")))=2,AND((LEN(M1144)-LEN(SUBSTITUTE(M1144,"/","")))=3,RIGHT(M1144,1)="/"))))),"Home page redirect; ","")&amp;IF(N(R1144)&gt;1,"Chain; ","")&amp;IF(S1144="No","Destination not 200; ","")))</f>
        <v/>
      </c>
      <c r="U1144" s="22" t="n"/>
      <c r="V1144" s="22" t="n"/>
      <c r="W1144" s="4" t="n"/>
    </row>
    <row r="1145">
      <c r="A1145" s="22" t="n"/>
      <c r="B1145" s="22" t="n"/>
      <c r="C1145" s="22" t="n"/>
      <c r="D1145" s="22">
        <f>IF(A1145="","",IF(OR(N(B1145)&gt;=$C$2,N(C1145)&gt;=$E$2),"High",IF(OR(N(B1145)&gt;0,N(C1145)&gt;0),"Medium","Low")))</f>
        <v/>
      </c>
      <c r="E1145" s="22" t="n"/>
      <c r="F1145" s="22" t="n"/>
      <c r="G1145" s="22" t="n"/>
      <c r="H1145" s="22" t="n"/>
      <c r="I1145" s="22" t="n"/>
      <c r="J1145" s="22" t="n"/>
      <c r="K1145" s="22" t="n"/>
      <c r="L1145" s="22" t="n"/>
      <c r="M1145" s="22">
        <f>IF(K1145="Override",L1145,IF(K1145="Accept suggestion",F1145,IF(K1145="No change (same URL)",A1145,"")))</f>
        <v/>
      </c>
      <c r="N1145" s="22">
        <f>IF(A1145="","",IF(K1145="410 Gone","410",IF(K1145="404","404",IF(K1145="No change (same URL)","none",IF(M1145="","","301")))))</f>
        <v/>
      </c>
      <c r="O1145" s="22">
        <f>IF(A1145="","",IFERROR(MID(A1145,FIND("/",A1145,FIND("//",A1145)+2),2000),A1145))</f>
        <v/>
      </c>
      <c r="P1145" s="22">
        <f>IF(OR(O1145="",N1145="",N1145="none",N1145="404"),"",IF(N1145="410","Redirect gone "&amp;O1145,"Redirect "&amp;N1145&amp;" "&amp;O1145&amp;" "&amp;M1145))</f>
        <v/>
      </c>
      <c r="Q1145" s="22" t="n"/>
      <c r="R1145" s="22" t="n"/>
      <c r="S1145" s="22" t="n"/>
      <c r="T1145" s="4">
        <f>IF(A1145="","",TRIM(IF(K1145="","Needs decision; ","")&amp;IF(AND(K1145="Accept suggestion",F1145=""),"No suggestion to accept; ","")&amp;IF(AND(K1145="Override",L1145=""),"Override URL missing; ","")&amp;IF(AND(K1145="Accept suggestion",N(G1145)&lt;$G$2),"Below your threshold; ","")&amp;IF(AND(M1145&lt;&gt;"",M1145=A1145,K1145&lt;&gt;"No change (same URL)"),"Redirects to itself; ","")&amp;IF(AND(M1145&lt;&gt;"",OR(M1145="/",AND(LEFT(M1145,4)="http",OR((LEN(M1145)-LEN(SUBSTITUTE(M1145,"/","")))=2,AND((LEN(M1145)-LEN(SUBSTITUTE(M1145,"/","")))=3,RIGHT(M1145,1)="/"))))),"Home page redirect; ","")&amp;IF(N(R1145)&gt;1,"Chain; ","")&amp;IF(S1145="No","Destination not 200; ","")))</f>
        <v/>
      </c>
      <c r="U1145" s="22" t="n"/>
      <c r="V1145" s="22" t="n"/>
      <c r="W1145" s="4" t="n"/>
    </row>
    <row r="1146">
      <c r="A1146" s="22" t="n"/>
      <c r="B1146" s="22" t="n"/>
      <c r="C1146" s="22" t="n"/>
      <c r="D1146" s="22">
        <f>IF(A1146="","",IF(OR(N(B1146)&gt;=$C$2,N(C1146)&gt;=$E$2),"High",IF(OR(N(B1146)&gt;0,N(C1146)&gt;0),"Medium","Low")))</f>
        <v/>
      </c>
      <c r="E1146" s="22" t="n"/>
      <c r="F1146" s="22" t="n"/>
      <c r="G1146" s="22" t="n"/>
      <c r="H1146" s="22" t="n"/>
      <c r="I1146" s="22" t="n"/>
      <c r="J1146" s="22" t="n"/>
      <c r="K1146" s="22" t="n"/>
      <c r="L1146" s="22" t="n"/>
      <c r="M1146" s="22">
        <f>IF(K1146="Override",L1146,IF(K1146="Accept suggestion",F1146,IF(K1146="No change (same URL)",A1146,"")))</f>
        <v/>
      </c>
      <c r="N1146" s="22">
        <f>IF(A1146="","",IF(K1146="410 Gone","410",IF(K1146="404","404",IF(K1146="No change (same URL)","none",IF(M1146="","","301")))))</f>
        <v/>
      </c>
      <c r="O1146" s="22">
        <f>IF(A1146="","",IFERROR(MID(A1146,FIND("/",A1146,FIND("//",A1146)+2),2000),A1146))</f>
        <v/>
      </c>
      <c r="P1146" s="22">
        <f>IF(OR(O1146="",N1146="",N1146="none",N1146="404"),"",IF(N1146="410","Redirect gone "&amp;O1146,"Redirect "&amp;N1146&amp;" "&amp;O1146&amp;" "&amp;M1146))</f>
        <v/>
      </c>
      <c r="Q1146" s="22" t="n"/>
      <c r="R1146" s="22" t="n"/>
      <c r="S1146" s="22" t="n"/>
      <c r="T1146" s="4">
        <f>IF(A1146="","",TRIM(IF(K1146="","Needs decision; ","")&amp;IF(AND(K1146="Accept suggestion",F1146=""),"No suggestion to accept; ","")&amp;IF(AND(K1146="Override",L1146=""),"Override URL missing; ","")&amp;IF(AND(K1146="Accept suggestion",N(G1146)&lt;$G$2),"Below your threshold; ","")&amp;IF(AND(M1146&lt;&gt;"",M1146=A1146,K1146&lt;&gt;"No change (same URL)"),"Redirects to itself; ","")&amp;IF(AND(M1146&lt;&gt;"",OR(M1146="/",AND(LEFT(M1146,4)="http",OR((LEN(M1146)-LEN(SUBSTITUTE(M1146,"/","")))=2,AND((LEN(M1146)-LEN(SUBSTITUTE(M1146,"/","")))=3,RIGHT(M1146,1)="/"))))),"Home page redirect; ","")&amp;IF(N(R1146)&gt;1,"Chain; ","")&amp;IF(S1146="No","Destination not 200; ","")))</f>
        <v/>
      </c>
      <c r="U1146" s="22" t="n"/>
      <c r="V1146" s="22" t="n"/>
      <c r="W1146" s="4" t="n"/>
    </row>
    <row r="1147">
      <c r="A1147" s="22" t="n"/>
      <c r="B1147" s="22" t="n"/>
      <c r="C1147" s="22" t="n"/>
      <c r="D1147" s="22">
        <f>IF(A1147="","",IF(OR(N(B1147)&gt;=$C$2,N(C1147)&gt;=$E$2),"High",IF(OR(N(B1147)&gt;0,N(C1147)&gt;0),"Medium","Low")))</f>
        <v/>
      </c>
      <c r="E1147" s="22" t="n"/>
      <c r="F1147" s="22" t="n"/>
      <c r="G1147" s="22" t="n"/>
      <c r="H1147" s="22" t="n"/>
      <c r="I1147" s="22" t="n"/>
      <c r="J1147" s="22" t="n"/>
      <c r="K1147" s="22" t="n"/>
      <c r="L1147" s="22" t="n"/>
      <c r="M1147" s="22">
        <f>IF(K1147="Override",L1147,IF(K1147="Accept suggestion",F1147,IF(K1147="No change (same URL)",A1147,"")))</f>
        <v/>
      </c>
      <c r="N1147" s="22">
        <f>IF(A1147="","",IF(K1147="410 Gone","410",IF(K1147="404","404",IF(K1147="No change (same URL)","none",IF(M1147="","","301")))))</f>
        <v/>
      </c>
      <c r="O1147" s="22">
        <f>IF(A1147="","",IFERROR(MID(A1147,FIND("/",A1147,FIND("//",A1147)+2),2000),A1147))</f>
        <v/>
      </c>
      <c r="P1147" s="22">
        <f>IF(OR(O1147="",N1147="",N1147="none",N1147="404"),"",IF(N1147="410","Redirect gone "&amp;O1147,"Redirect "&amp;N1147&amp;" "&amp;O1147&amp;" "&amp;M1147))</f>
        <v/>
      </c>
      <c r="Q1147" s="22" t="n"/>
      <c r="R1147" s="22" t="n"/>
      <c r="S1147" s="22" t="n"/>
      <c r="T1147" s="4">
        <f>IF(A1147="","",TRIM(IF(K1147="","Needs decision; ","")&amp;IF(AND(K1147="Accept suggestion",F1147=""),"No suggestion to accept; ","")&amp;IF(AND(K1147="Override",L1147=""),"Override URL missing; ","")&amp;IF(AND(K1147="Accept suggestion",N(G1147)&lt;$G$2),"Below your threshold; ","")&amp;IF(AND(M1147&lt;&gt;"",M1147=A1147,K1147&lt;&gt;"No change (same URL)"),"Redirects to itself; ","")&amp;IF(AND(M1147&lt;&gt;"",OR(M1147="/",AND(LEFT(M1147,4)="http",OR((LEN(M1147)-LEN(SUBSTITUTE(M1147,"/","")))=2,AND((LEN(M1147)-LEN(SUBSTITUTE(M1147,"/","")))=3,RIGHT(M1147,1)="/"))))),"Home page redirect; ","")&amp;IF(N(R1147)&gt;1,"Chain; ","")&amp;IF(S1147="No","Destination not 200; ","")))</f>
        <v/>
      </c>
      <c r="U1147" s="22" t="n"/>
      <c r="V1147" s="22" t="n"/>
      <c r="W1147" s="4" t="n"/>
    </row>
    <row r="1148">
      <c r="A1148" s="22" t="n"/>
      <c r="B1148" s="22" t="n"/>
      <c r="C1148" s="22" t="n"/>
      <c r="D1148" s="22">
        <f>IF(A1148="","",IF(OR(N(B1148)&gt;=$C$2,N(C1148)&gt;=$E$2),"High",IF(OR(N(B1148)&gt;0,N(C1148)&gt;0),"Medium","Low")))</f>
        <v/>
      </c>
      <c r="E1148" s="22" t="n"/>
      <c r="F1148" s="22" t="n"/>
      <c r="G1148" s="22" t="n"/>
      <c r="H1148" s="22" t="n"/>
      <c r="I1148" s="22" t="n"/>
      <c r="J1148" s="22" t="n"/>
      <c r="K1148" s="22" t="n"/>
      <c r="L1148" s="22" t="n"/>
      <c r="M1148" s="22">
        <f>IF(K1148="Override",L1148,IF(K1148="Accept suggestion",F1148,IF(K1148="No change (same URL)",A1148,"")))</f>
        <v/>
      </c>
      <c r="N1148" s="22">
        <f>IF(A1148="","",IF(K1148="410 Gone","410",IF(K1148="404","404",IF(K1148="No change (same URL)","none",IF(M1148="","","301")))))</f>
        <v/>
      </c>
      <c r="O1148" s="22">
        <f>IF(A1148="","",IFERROR(MID(A1148,FIND("/",A1148,FIND("//",A1148)+2),2000),A1148))</f>
        <v/>
      </c>
      <c r="P1148" s="22">
        <f>IF(OR(O1148="",N1148="",N1148="none",N1148="404"),"",IF(N1148="410","Redirect gone "&amp;O1148,"Redirect "&amp;N1148&amp;" "&amp;O1148&amp;" "&amp;M1148))</f>
        <v/>
      </c>
      <c r="Q1148" s="22" t="n"/>
      <c r="R1148" s="22" t="n"/>
      <c r="S1148" s="22" t="n"/>
      <c r="T1148" s="4">
        <f>IF(A1148="","",TRIM(IF(K1148="","Needs decision; ","")&amp;IF(AND(K1148="Accept suggestion",F1148=""),"No suggestion to accept; ","")&amp;IF(AND(K1148="Override",L1148=""),"Override URL missing; ","")&amp;IF(AND(K1148="Accept suggestion",N(G1148)&lt;$G$2),"Below your threshold; ","")&amp;IF(AND(M1148&lt;&gt;"",M1148=A1148,K1148&lt;&gt;"No change (same URL)"),"Redirects to itself; ","")&amp;IF(AND(M1148&lt;&gt;"",OR(M1148="/",AND(LEFT(M1148,4)="http",OR((LEN(M1148)-LEN(SUBSTITUTE(M1148,"/","")))=2,AND((LEN(M1148)-LEN(SUBSTITUTE(M1148,"/","")))=3,RIGHT(M1148,1)="/"))))),"Home page redirect; ","")&amp;IF(N(R1148)&gt;1,"Chain; ","")&amp;IF(S1148="No","Destination not 200; ","")))</f>
        <v/>
      </c>
      <c r="U1148" s="22" t="n"/>
      <c r="V1148" s="22" t="n"/>
      <c r="W1148" s="4" t="n"/>
    </row>
    <row r="1149">
      <c r="A1149" s="22" t="n"/>
      <c r="B1149" s="22" t="n"/>
      <c r="C1149" s="22" t="n"/>
      <c r="D1149" s="22">
        <f>IF(A1149="","",IF(OR(N(B1149)&gt;=$C$2,N(C1149)&gt;=$E$2),"High",IF(OR(N(B1149)&gt;0,N(C1149)&gt;0),"Medium","Low")))</f>
        <v/>
      </c>
      <c r="E1149" s="22" t="n"/>
      <c r="F1149" s="22" t="n"/>
      <c r="G1149" s="22" t="n"/>
      <c r="H1149" s="22" t="n"/>
      <c r="I1149" s="22" t="n"/>
      <c r="J1149" s="22" t="n"/>
      <c r="K1149" s="22" t="n"/>
      <c r="L1149" s="22" t="n"/>
      <c r="M1149" s="22">
        <f>IF(K1149="Override",L1149,IF(K1149="Accept suggestion",F1149,IF(K1149="No change (same URL)",A1149,"")))</f>
        <v/>
      </c>
      <c r="N1149" s="22">
        <f>IF(A1149="","",IF(K1149="410 Gone","410",IF(K1149="404","404",IF(K1149="No change (same URL)","none",IF(M1149="","","301")))))</f>
        <v/>
      </c>
      <c r="O1149" s="22">
        <f>IF(A1149="","",IFERROR(MID(A1149,FIND("/",A1149,FIND("//",A1149)+2),2000),A1149))</f>
        <v/>
      </c>
      <c r="P1149" s="22">
        <f>IF(OR(O1149="",N1149="",N1149="none",N1149="404"),"",IF(N1149="410","Redirect gone "&amp;O1149,"Redirect "&amp;N1149&amp;" "&amp;O1149&amp;" "&amp;M1149))</f>
        <v/>
      </c>
      <c r="Q1149" s="22" t="n"/>
      <c r="R1149" s="22" t="n"/>
      <c r="S1149" s="22" t="n"/>
      <c r="T1149" s="4">
        <f>IF(A1149="","",TRIM(IF(K1149="","Needs decision; ","")&amp;IF(AND(K1149="Accept suggestion",F1149=""),"No suggestion to accept; ","")&amp;IF(AND(K1149="Override",L1149=""),"Override URL missing; ","")&amp;IF(AND(K1149="Accept suggestion",N(G1149)&lt;$G$2),"Below your threshold; ","")&amp;IF(AND(M1149&lt;&gt;"",M1149=A1149,K1149&lt;&gt;"No change (same URL)"),"Redirects to itself; ","")&amp;IF(AND(M1149&lt;&gt;"",OR(M1149="/",AND(LEFT(M1149,4)="http",OR((LEN(M1149)-LEN(SUBSTITUTE(M1149,"/","")))=2,AND((LEN(M1149)-LEN(SUBSTITUTE(M1149,"/","")))=3,RIGHT(M1149,1)="/"))))),"Home page redirect; ","")&amp;IF(N(R1149)&gt;1,"Chain; ","")&amp;IF(S1149="No","Destination not 200; ","")))</f>
        <v/>
      </c>
      <c r="U1149" s="22" t="n"/>
      <c r="V1149" s="22" t="n"/>
      <c r="W1149" s="4" t="n"/>
    </row>
    <row r="1150">
      <c r="A1150" s="22" t="n"/>
      <c r="B1150" s="22" t="n"/>
      <c r="C1150" s="22" t="n"/>
      <c r="D1150" s="22">
        <f>IF(A1150="","",IF(OR(N(B1150)&gt;=$C$2,N(C1150)&gt;=$E$2),"High",IF(OR(N(B1150)&gt;0,N(C1150)&gt;0),"Medium","Low")))</f>
        <v/>
      </c>
      <c r="E1150" s="22" t="n"/>
      <c r="F1150" s="22" t="n"/>
      <c r="G1150" s="22" t="n"/>
      <c r="H1150" s="22" t="n"/>
      <c r="I1150" s="22" t="n"/>
      <c r="J1150" s="22" t="n"/>
      <c r="K1150" s="22" t="n"/>
      <c r="L1150" s="22" t="n"/>
      <c r="M1150" s="22">
        <f>IF(K1150="Override",L1150,IF(K1150="Accept suggestion",F1150,IF(K1150="No change (same URL)",A1150,"")))</f>
        <v/>
      </c>
      <c r="N1150" s="22">
        <f>IF(A1150="","",IF(K1150="410 Gone","410",IF(K1150="404","404",IF(K1150="No change (same URL)","none",IF(M1150="","","301")))))</f>
        <v/>
      </c>
      <c r="O1150" s="22">
        <f>IF(A1150="","",IFERROR(MID(A1150,FIND("/",A1150,FIND("//",A1150)+2),2000),A1150))</f>
        <v/>
      </c>
      <c r="P1150" s="22">
        <f>IF(OR(O1150="",N1150="",N1150="none",N1150="404"),"",IF(N1150="410","Redirect gone "&amp;O1150,"Redirect "&amp;N1150&amp;" "&amp;O1150&amp;" "&amp;M1150))</f>
        <v/>
      </c>
      <c r="Q1150" s="22" t="n"/>
      <c r="R1150" s="22" t="n"/>
      <c r="S1150" s="22" t="n"/>
      <c r="T1150" s="4">
        <f>IF(A1150="","",TRIM(IF(K1150="","Needs decision; ","")&amp;IF(AND(K1150="Accept suggestion",F1150=""),"No suggestion to accept; ","")&amp;IF(AND(K1150="Override",L1150=""),"Override URL missing; ","")&amp;IF(AND(K1150="Accept suggestion",N(G1150)&lt;$G$2),"Below your threshold; ","")&amp;IF(AND(M1150&lt;&gt;"",M1150=A1150,K1150&lt;&gt;"No change (same URL)"),"Redirects to itself; ","")&amp;IF(AND(M1150&lt;&gt;"",OR(M1150="/",AND(LEFT(M1150,4)="http",OR((LEN(M1150)-LEN(SUBSTITUTE(M1150,"/","")))=2,AND((LEN(M1150)-LEN(SUBSTITUTE(M1150,"/","")))=3,RIGHT(M1150,1)="/"))))),"Home page redirect; ","")&amp;IF(N(R1150)&gt;1,"Chain; ","")&amp;IF(S1150="No","Destination not 200; ","")))</f>
        <v/>
      </c>
      <c r="U1150" s="22" t="n"/>
      <c r="V1150" s="22" t="n"/>
      <c r="W1150" s="4" t="n"/>
    </row>
    <row r="1151">
      <c r="A1151" s="22" t="n"/>
      <c r="B1151" s="22" t="n"/>
      <c r="C1151" s="22" t="n"/>
      <c r="D1151" s="22">
        <f>IF(A1151="","",IF(OR(N(B1151)&gt;=$C$2,N(C1151)&gt;=$E$2),"High",IF(OR(N(B1151)&gt;0,N(C1151)&gt;0),"Medium","Low")))</f>
        <v/>
      </c>
      <c r="E1151" s="22" t="n"/>
      <c r="F1151" s="22" t="n"/>
      <c r="G1151" s="22" t="n"/>
      <c r="H1151" s="22" t="n"/>
      <c r="I1151" s="22" t="n"/>
      <c r="J1151" s="22" t="n"/>
      <c r="K1151" s="22" t="n"/>
      <c r="L1151" s="22" t="n"/>
      <c r="M1151" s="22">
        <f>IF(K1151="Override",L1151,IF(K1151="Accept suggestion",F1151,IF(K1151="No change (same URL)",A1151,"")))</f>
        <v/>
      </c>
      <c r="N1151" s="22">
        <f>IF(A1151="","",IF(K1151="410 Gone","410",IF(K1151="404","404",IF(K1151="No change (same URL)","none",IF(M1151="","","301")))))</f>
        <v/>
      </c>
      <c r="O1151" s="22">
        <f>IF(A1151="","",IFERROR(MID(A1151,FIND("/",A1151,FIND("//",A1151)+2),2000),A1151))</f>
        <v/>
      </c>
      <c r="P1151" s="22">
        <f>IF(OR(O1151="",N1151="",N1151="none",N1151="404"),"",IF(N1151="410","Redirect gone "&amp;O1151,"Redirect "&amp;N1151&amp;" "&amp;O1151&amp;" "&amp;M1151))</f>
        <v/>
      </c>
      <c r="Q1151" s="22" t="n"/>
      <c r="R1151" s="22" t="n"/>
      <c r="S1151" s="22" t="n"/>
      <c r="T1151" s="4">
        <f>IF(A1151="","",TRIM(IF(K1151="","Needs decision; ","")&amp;IF(AND(K1151="Accept suggestion",F1151=""),"No suggestion to accept; ","")&amp;IF(AND(K1151="Override",L1151=""),"Override URL missing; ","")&amp;IF(AND(K1151="Accept suggestion",N(G1151)&lt;$G$2),"Below your threshold; ","")&amp;IF(AND(M1151&lt;&gt;"",M1151=A1151,K1151&lt;&gt;"No change (same URL)"),"Redirects to itself; ","")&amp;IF(AND(M1151&lt;&gt;"",OR(M1151="/",AND(LEFT(M1151,4)="http",OR((LEN(M1151)-LEN(SUBSTITUTE(M1151,"/","")))=2,AND((LEN(M1151)-LEN(SUBSTITUTE(M1151,"/","")))=3,RIGHT(M1151,1)="/"))))),"Home page redirect; ","")&amp;IF(N(R1151)&gt;1,"Chain; ","")&amp;IF(S1151="No","Destination not 200; ","")))</f>
        <v/>
      </c>
      <c r="U1151" s="22" t="n"/>
      <c r="V1151" s="22" t="n"/>
      <c r="W1151" s="4" t="n"/>
    </row>
    <row r="1152">
      <c r="A1152" s="22" t="n"/>
      <c r="B1152" s="22" t="n"/>
      <c r="C1152" s="22" t="n"/>
      <c r="D1152" s="22">
        <f>IF(A1152="","",IF(OR(N(B1152)&gt;=$C$2,N(C1152)&gt;=$E$2),"High",IF(OR(N(B1152)&gt;0,N(C1152)&gt;0),"Medium","Low")))</f>
        <v/>
      </c>
      <c r="E1152" s="22" t="n"/>
      <c r="F1152" s="22" t="n"/>
      <c r="G1152" s="22" t="n"/>
      <c r="H1152" s="22" t="n"/>
      <c r="I1152" s="22" t="n"/>
      <c r="J1152" s="22" t="n"/>
      <c r="K1152" s="22" t="n"/>
      <c r="L1152" s="22" t="n"/>
      <c r="M1152" s="22">
        <f>IF(K1152="Override",L1152,IF(K1152="Accept suggestion",F1152,IF(K1152="No change (same URL)",A1152,"")))</f>
        <v/>
      </c>
      <c r="N1152" s="22">
        <f>IF(A1152="","",IF(K1152="410 Gone","410",IF(K1152="404","404",IF(K1152="No change (same URL)","none",IF(M1152="","","301")))))</f>
        <v/>
      </c>
      <c r="O1152" s="22">
        <f>IF(A1152="","",IFERROR(MID(A1152,FIND("/",A1152,FIND("//",A1152)+2),2000),A1152))</f>
        <v/>
      </c>
      <c r="P1152" s="22">
        <f>IF(OR(O1152="",N1152="",N1152="none",N1152="404"),"",IF(N1152="410","Redirect gone "&amp;O1152,"Redirect "&amp;N1152&amp;" "&amp;O1152&amp;" "&amp;M1152))</f>
        <v/>
      </c>
      <c r="Q1152" s="22" t="n"/>
      <c r="R1152" s="22" t="n"/>
      <c r="S1152" s="22" t="n"/>
      <c r="T1152" s="4">
        <f>IF(A1152="","",TRIM(IF(K1152="","Needs decision; ","")&amp;IF(AND(K1152="Accept suggestion",F1152=""),"No suggestion to accept; ","")&amp;IF(AND(K1152="Override",L1152=""),"Override URL missing; ","")&amp;IF(AND(K1152="Accept suggestion",N(G1152)&lt;$G$2),"Below your threshold; ","")&amp;IF(AND(M1152&lt;&gt;"",M1152=A1152,K1152&lt;&gt;"No change (same URL)"),"Redirects to itself; ","")&amp;IF(AND(M1152&lt;&gt;"",OR(M1152="/",AND(LEFT(M1152,4)="http",OR((LEN(M1152)-LEN(SUBSTITUTE(M1152,"/","")))=2,AND((LEN(M1152)-LEN(SUBSTITUTE(M1152,"/","")))=3,RIGHT(M1152,1)="/"))))),"Home page redirect; ","")&amp;IF(N(R1152)&gt;1,"Chain; ","")&amp;IF(S1152="No","Destination not 200; ","")))</f>
        <v/>
      </c>
      <c r="U1152" s="22" t="n"/>
      <c r="V1152" s="22" t="n"/>
      <c r="W1152" s="4" t="n"/>
    </row>
    <row r="1153">
      <c r="A1153" s="22" t="n"/>
      <c r="B1153" s="22" t="n"/>
      <c r="C1153" s="22" t="n"/>
      <c r="D1153" s="22">
        <f>IF(A1153="","",IF(OR(N(B1153)&gt;=$C$2,N(C1153)&gt;=$E$2),"High",IF(OR(N(B1153)&gt;0,N(C1153)&gt;0),"Medium","Low")))</f>
        <v/>
      </c>
      <c r="E1153" s="22" t="n"/>
      <c r="F1153" s="22" t="n"/>
      <c r="G1153" s="22" t="n"/>
      <c r="H1153" s="22" t="n"/>
      <c r="I1153" s="22" t="n"/>
      <c r="J1153" s="22" t="n"/>
      <c r="K1153" s="22" t="n"/>
      <c r="L1153" s="22" t="n"/>
      <c r="M1153" s="22">
        <f>IF(K1153="Override",L1153,IF(K1153="Accept suggestion",F1153,IF(K1153="No change (same URL)",A1153,"")))</f>
        <v/>
      </c>
      <c r="N1153" s="22">
        <f>IF(A1153="","",IF(K1153="410 Gone","410",IF(K1153="404","404",IF(K1153="No change (same URL)","none",IF(M1153="","","301")))))</f>
        <v/>
      </c>
      <c r="O1153" s="22">
        <f>IF(A1153="","",IFERROR(MID(A1153,FIND("/",A1153,FIND("//",A1153)+2),2000),A1153))</f>
        <v/>
      </c>
      <c r="P1153" s="22">
        <f>IF(OR(O1153="",N1153="",N1153="none",N1153="404"),"",IF(N1153="410","Redirect gone "&amp;O1153,"Redirect "&amp;N1153&amp;" "&amp;O1153&amp;" "&amp;M1153))</f>
        <v/>
      </c>
      <c r="Q1153" s="22" t="n"/>
      <c r="R1153" s="22" t="n"/>
      <c r="S1153" s="22" t="n"/>
      <c r="T1153" s="4">
        <f>IF(A1153="","",TRIM(IF(K1153="","Needs decision; ","")&amp;IF(AND(K1153="Accept suggestion",F1153=""),"No suggestion to accept; ","")&amp;IF(AND(K1153="Override",L1153=""),"Override URL missing; ","")&amp;IF(AND(K1153="Accept suggestion",N(G1153)&lt;$G$2),"Below your threshold; ","")&amp;IF(AND(M1153&lt;&gt;"",M1153=A1153,K1153&lt;&gt;"No change (same URL)"),"Redirects to itself; ","")&amp;IF(AND(M1153&lt;&gt;"",OR(M1153="/",AND(LEFT(M1153,4)="http",OR((LEN(M1153)-LEN(SUBSTITUTE(M1153,"/","")))=2,AND((LEN(M1153)-LEN(SUBSTITUTE(M1153,"/","")))=3,RIGHT(M1153,1)="/"))))),"Home page redirect; ","")&amp;IF(N(R1153)&gt;1,"Chain; ","")&amp;IF(S1153="No","Destination not 200; ","")))</f>
        <v/>
      </c>
      <c r="U1153" s="22" t="n"/>
      <c r="V1153" s="22" t="n"/>
      <c r="W1153" s="4" t="n"/>
    </row>
    <row r="1154">
      <c r="A1154" s="22" t="n"/>
      <c r="B1154" s="22" t="n"/>
      <c r="C1154" s="22" t="n"/>
      <c r="D1154" s="22">
        <f>IF(A1154="","",IF(OR(N(B1154)&gt;=$C$2,N(C1154)&gt;=$E$2),"High",IF(OR(N(B1154)&gt;0,N(C1154)&gt;0),"Medium","Low")))</f>
        <v/>
      </c>
      <c r="E1154" s="22" t="n"/>
      <c r="F1154" s="22" t="n"/>
      <c r="G1154" s="22" t="n"/>
      <c r="H1154" s="22" t="n"/>
      <c r="I1154" s="22" t="n"/>
      <c r="J1154" s="22" t="n"/>
      <c r="K1154" s="22" t="n"/>
      <c r="L1154" s="22" t="n"/>
      <c r="M1154" s="22">
        <f>IF(K1154="Override",L1154,IF(K1154="Accept suggestion",F1154,IF(K1154="No change (same URL)",A1154,"")))</f>
        <v/>
      </c>
      <c r="N1154" s="22">
        <f>IF(A1154="","",IF(K1154="410 Gone","410",IF(K1154="404","404",IF(K1154="No change (same URL)","none",IF(M1154="","","301")))))</f>
        <v/>
      </c>
      <c r="O1154" s="22">
        <f>IF(A1154="","",IFERROR(MID(A1154,FIND("/",A1154,FIND("//",A1154)+2),2000),A1154))</f>
        <v/>
      </c>
      <c r="P1154" s="22">
        <f>IF(OR(O1154="",N1154="",N1154="none",N1154="404"),"",IF(N1154="410","Redirect gone "&amp;O1154,"Redirect "&amp;N1154&amp;" "&amp;O1154&amp;" "&amp;M1154))</f>
        <v/>
      </c>
      <c r="Q1154" s="22" t="n"/>
      <c r="R1154" s="22" t="n"/>
      <c r="S1154" s="22" t="n"/>
      <c r="T1154" s="4">
        <f>IF(A1154="","",TRIM(IF(K1154="","Needs decision; ","")&amp;IF(AND(K1154="Accept suggestion",F1154=""),"No suggestion to accept; ","")&amp;IF(AND(K1154="Override",L1154=""),"Override URL missing; ","")&amp;IF(AND(K1154="Accept suggestion",N(G1154)&lt;$G$2),"Below your threshold; ","")&amp;IF(AND(M1154&lt;&gt;"",M1154=A1154,K1154&lt;&gt;"No change (same URL)"),"Redirects to itself; ","")&amp;IF(AND(M1154&lt;&gt;"",OR(M1154="/",AND(LEFT(M1154,4)="http",OR((LEN(M1154)-LEN(SUBSTITUTE(M1154,"/","")))=2,AND((LEN(M1154)-LEN(SUBSTITUTE(M1154,"/","")))=3,RIGHT(M1154,1)="/"))))),"Home page redirect; ","")&amp;IF(N(R1154)&gt;1,"Chain; ","")&amp;IF(S1154="No","Destination not 200; ","")))</f>
        <v/>
      </c>
      <c r="U1154" s="22" t="n"/>
      <c r="V1154" s="22" t="n"/>
      <c r="W1154" s="4" t="n"/>
    </row>
    <row r="1155">
      <c r="A1155" s="22" t="n"/>
      <c r="B1155" s="22" t="n"/>
      <c r="C1155" s="22" t="n"/>
      <c r="D1155" s="22">
        <f>IF(A1155="","",IF(OR(N(B1155)&gt;=$C$2,N(C1155)&gt;=$E$2),"High",IF(OR(N(B1155)&gt;0,N(C1155)&gt;0),"Medium","Low")))</f>
        <v/>
      </c>
      <c r="E1155" s="22" t="n"/>
      <c r="F1155" s="22" t="n"/>
      <c r="G1155" s="22" t="n"/>
      <c r="H1155" s="22" t="n"/>
      <c r="I1155" s="22" t="n"/>
      <c r="J1155" s="22" t="n"/>
      <c r="K1155" s="22" t="n"/>
      <c r="L1155" s="22" t="n"/>
      <c r="M1155" s="22">
        <f>IF(K1155="Override",L1155,IF(K1155="Accept suggestion",F1155,IF(K1155="No change (same URL)",A1155,"")))</f>
        <v/>
      </c>
      <c r="N1155" s="22">
        <f>IF(A1155="","",IF(K1155="410 Gone","410",IF(K1155="404","404",IF(K1155="No change (same URL)","none",IF(M1155="","","301")))))</f>
        <v/>
      </c>
      <c r="O1155" s="22">
        <f>IF(A1155="","",IFERROR(MID(A1155,FIND("/",A1155,FIND("//",A1155)+2),2000),A1155))</f>
        <v/>
      </c>
      <c r="P1155" s="22">
        <f>IF(OR(O1155="",N1155="",N1155="none",N1155="404"),"",IF(N1155="410","Redirect gone "&amp;O1155,"Redirect "&amp;N1155&amp;" "&amp;O1155&amp;" "&amp;M1155))</f>
        <v/>
      </c>
      <c r="Q1155" s="22" t="n"/>
      <c r="R1155" s="22" t="n"/>
      <c r="S1155" s="22" t="n"/>
      <c r="T1155" s="4">
        <f>IF(A1155="","",TRIM(IF(K1155="","Needs decision; ","")&amp;IF(AND(K1155="Accept suggestion",F1155=""),"No suggestion to accept; ","")&amp;IF(AND(K1155="Override",L1155=""),"Override URL missing; ","")&amp;IF(AND(K1155="Accept suggestion",N(G1155)&lt;$G$2),"Below your threshold; ","")&amp;IF(AND(M1155&lt;&gt;"",M1155=A1155,K1155&lt;&gt;"No change (same URL)"),"Redirects to itself; ","")&amp;IF(AND(M1155&lt;&gt;"",OR(M1155="/",AND(LEFT(M1155,4)="http",OR((LEN(M1155)-LEN(SUBSTITUTE(M1155,"/","")))=2,AND((LEN(M1155)-LEN(SUBSTITUTE(M1155,"/","")))=3,RIGHT(M1155,1)="/"))))),"Home page redirect; ","")&amp;IF(N(R1155)&gt;1,"Chain; ","")&amp;IF(S1155="No","Destination not 200; ","")))</f>
        <v/>
      </c>
      <c r="U1155" s="22" t="n"/>
      <c r="V1155" s="22" t="n"/>
      <c r="W1155" s="4" t="n"/>
    </row>
    <row r="1156">
      <c r="A1156" s="22" t="n"/>
      <c r="B1156" s="22" t="n"/>
      <c r="C1156" s="22" t="n"/>
      <c r="D1156" s="22">
        <f>IF(A1156="","",IF(OR(N(B1156)&gt;=$C$2,N(C1156)&gt;=$E$2),"High",IF(OR(N(B1156)&gt;0,N(C1156)&gt;0),"Medium","Low")))</f>
        <v/>
      </c>
      <c r="E1156" s="22" t="n"/>
      <c r="F1156" s="22" t="n"/>
      <c r="G1156" s="22" t="n"/>
      <c r="H1156" s="22" t="n"/>
      <c r="I1156" s="22" t="n"/>
      <c r="J1156" s="22" t="n"/>
      <c r="K1156" s="22" t="n"/>
      <c r="L1156" s="22" t="n"/>
      <c r="M1156" s="22">
        <f>IF(K1156="Override",L1156,IF(K1156="Accept suggestion",F1156,IF(K1156="No change (same URL)",A1156,"")))</f>
        <v/>
      </c>
      <c r="N1156" s="22">
        <f>IF(A1156="","",IF(K1156="410 Gone","410",IF(K1156="404","404",IF(K1156="No change (same URL)","none",IF(M1156="","","301")))))</f>
        <v/>
      </c>
      <c r="O1156" s="22">
        <f>IF(A1156="","",IFERROR(MID(A1156,FIND("/",A1156,FIND("//",A1156)+2),2000),A1156))</f>
        <v/>
      </c>
      <c r="P1156" s="22">
        <f>IF(OR(O1156="",N1156="",N1156="none",N1156="404"),"",IF(N1156="410","Redirect gone "&amp;O1156,"Redirect "&amp;N1156&amp;" "&amp;O1156&amp;" "&amp;M1156))</f>
        <v/>
      </c>
      <c r="Q1156" s="22" t="n"/>
      <c r="R1156" s="22" t="n"/>
      <c r="S1156" s="22" t="n"/>
      <c r="T1156" s="4">
        <f>IF(A1156="","",TRIM(IF(K1156="","Needs decision; ","")&amp;IF(AND(K1156="Accept suggestion",F1156=""),"No suggestion to accept; ","")&amp;IF(AND(K1156="Override",L1156=""),"Override URL missing; ","")&amp;IF(AND(K1156="Accept suggestion",N(G1156)&lt;$G$2),"Below your threshold; ","")&amp;IF(AND(M1156&lt;&gt;"",M1156=A1156,K1156&lt;&gt;"No change (same URL)"),"Redirects to itself; ","")&amp;IF(AND(M1156&lt;&gt;"",OR(M1156="/",AND(LEFT(M1156,4)="http",OR((LEN(M1156)-LEN(SUBSTITUTE(M1156,"/","")))=2,AND((LEN(M1156)-LEN(SUBSTITUTE(M1156,"/","")))=3,RIGHT(M1156,1)="/"))))),"Home page redirect; ","")&amp;IF(N(R1156)&gt;1,"Chain; ","")&amp;IF(S1156="No","Destination not 200; ","")))</f>
        <v/>
      </c>
      <c r="U1156" s="22" t="n"/>
      <c r="V1156" s="22" t="n"/>
      <c r="W1156" s="4" t="n"/>
    </row>
    <row r="1157">
      <c r="A1157" s="22" t="n"/>
      <c r="B1157" s="22" t="n"/>
      <c r="C1157" s="22" t="n"/>
      <c r="D1157" s="22">
        <f>IF(A1157="","",IF(OR(N(B1157)&gt;=$C$2,N(C1157)&gt;=$E$2),"High",IF(OR(N(B1157)&gt;0,N(C1157)&gt;0),"Medium","Low")))</f>
        <v/>
      </c>
      <c r="E1157" s="22" t="n"/>
      <c r="F1157" s="22" t="n"/>
      <c r="G1157" s="22" t="n"/>
      <c r="H1157" s="22" t="n"/>
      <c r="I1157" s="22" t="n"/>
      <c r="J1157" s="22" t="n"/>
      <c r="K1157" s="22" t="n"/>
      <c r="L1157" s="22" t="n"/>
      <c r="M1157" s="22">
        <f>IF(K1157="Override",L1157,IF(K1157="Accept suggestion",F1157,IF(K1157="No change (same URL)",A1157,"")))</f>
        <v/>
      </c>
      <c r="N1157" s="22">
        <f>IF(A1157="","",IF(K1157="410 Gone","410",IF(K1157="404","404",IF(K1157="No change (same URL)","none",IF(M1157="","","301")))))</f>
        <v/>
      </c>
      <c r="O1157" s="22">
        <f>IF(A1157="","",IFERROR(MID(A1157,FIND("/",A1157,FIND("//",A1157)+2),2000),A1157))</f>
        <v/>
      </c>
      <c r="P1157" s="22">
        <f>IF(OR(O1157="",N1157="",N1157="none",N1157="404"),"",IF(N1157="410","Redirect gone "&amp;O1157,"Redirect "&amp;N1157&amp;" "&amp;O1157&amp;" "&amp;M1157))</f>
        <v/>
      </c>
      <c r="Q1157" s="22" t="n"/>
      <c r="R1157" s="22" t="n"/>
      <c r="S1157" s="22" t="n"/>
      <c r="T1157" s="4">
        <f>IF(A1157="","",TRIM(IF(K1157="","Needs decision; ","")&amp;IF(AND(K1157="Accept suggestion",F1157=""),"No suggestion to accept; ","")&amp;IF(AND(K1157="Override",L1157=""),"Override URL missing; ","")&amp;IF(AND(K1157="Accept suggestion",N(G1157)&lt;$G$2),"Below your threshold; ","")&amp;IF(AND(M1157&lt;&gt;"",M1157=A1157,K1157&lt;&gt;"No change (same URL)"),"Redirects to itself; ","")&amp;IF(AND(M1157&lt;&gt;"",OR(M1157="/",AND(LEFT(M1157,4)="http",OR((LEN(M1157)-LEN(SUBSTITUTE(M1157,"/","")))=2,AND((LEN(M1157)-LEN(SUBSTITUTE(M1157,"/","")))=3,RIGHT(M1157,1)="/"))))),"Home page redirect; ","")&amp;IF(N(R1157)&gt;1,"Chain; ","")&amp;IF(S1157="No","Destination not 200; ","")))</f>
        <v/>
      </c>
      <c r="U1157" s="22" t="n"/>
      <c r="V1157" s="22" t="n"/>
      <c r="W1157" s="4" t="n"/>
    </row>
    <row r="1158">
      <c r="A1158" s="22" t="n"/>
      <c r="B1158" s="22" t="n"/>
      <c r="C1158" s="22" t="n"/>
      <c r="D1158" s="22">
        <f>IF(A1158="","",IF(OR(N(B1158)&gt;=$C$2,N(C1158)&gt;=$E$2),"High",IF(OR(N(B1158)&gt;0,N(C1158)&gt;0),"Medium","Low")))</f>
        <v/>
      </c>
      <c r="E1158" s="22" t="n"/>
      <c r="F1158" s="22" t="n"/>
      <c r="G1158" s="22" t="n"/>
      <c r="H1158" s="22" t="n"/>
      <c r="I1158" s="22" t="n"/>
      <c r="J1158" s="22" t="n"/>
      <c r="K1158" s="22" t="n"/>
      <c r="L1158" s="22" t="n"/>
      <c r="M1158" s="22">
        <f>IF(K1158="Override",L1158,IF(K1158="Accept suggestion",F1158,IF(K1158="No change (same URL)",A1158,"")))</f>
        <v/>
      </c>
      <c r="N1158" s="22">
        <f>IF(A1158="","",IF(K1158="410 Gone","410",IF(K1158="404","404",IF(K1158="No change (same URL)","none",IF(M1158="","","301")))))</f>
        <v/>
      </c>
      <c r="O1158" s="22">
        <f>IF(A1158="","",IFERROR(MID(A1158,FIND("/",A1158,FIND("//",A1158)+2),2000),A1158))</f>
        <v/>
      </c>
      <c r="P1158" s="22">
        <f>IF(OR(O1158="",N1158="",N1158="none",N1158="404"),"",IF(N1158="410","Redirect gone "&amp;O1158,"Redirect "&amp;N1158&amp;" "&amp;O1158&amp;" "&amp;M1158))</f>
        <v/>
      </c>
      <c r="Q1158" s="22" t="n"/>
      <c r="R1158" s="22" t="n"/>
      <c r="S1158" s="22" t="n"/>
      <c r="T1158" s="4">
        <f>IF(A1158="","",TRIM(IF(K1158="","Needs decision; ","")&amp;IF(AND(K1158="Accept suggestion",F1158=""),"No suggestion to accept; ","")&amp;IF(AND(K1158="Override",L1158=""),"Override URL missing; ","")&amp;IF(AND(K1158="Accept suggestion",N(G1158)&lt;$G$2),"Below your threshold; ","")&amp;IF(AND(M1158&lt;&gt;"",M1158=A1158,K1158&lt;&gt;"No change (same URL)"),"Redirects to itself; ","")&amp;IF(AND(M1158&lt;&gt;"",OR(M1158="/",AND(LEFT(M1158,4)="http",OR((LEN(M1158)-LEN(SUBSTITUTE(M1158,"/","")))=2,AND((LEN(M1158)-LEN(SUBSTITUTE(M1158,"/","")))=3,RIGHT(M1158,1)="/"))))),"Home page redirect; ","")&amp;IF(N(R1158)&gt;1,"Chain; ","")&amp;IF(S1158="No","Destination not 200; ","")))</f>
        <v/>
      </c>
      <c r="U1158" s="22" t="n"/>
      <c r="V1158" s="22" t="n"/>
      <c r="W1158" s="4" t="n"/>
    </row>
    <row r="1159">
      <c r="A1159" s="22" t="n"/>
      <c r="B1159" s="22" t="n"/>
      <c r="C1159" s="22" t="n"/>
      <c r="D1159" s="22">
        <f>IF(A1159="","",IF(OR(N(B1159)&gt;=$C$2,N(C1159)&gt;=$E$2),"High",IF(OR(N(B1159)&gt;0,N(C1159)&gt;0),"Medium","Low")))</f>
        <v/>
      </c>
      <c r="E1159" s="22" t="n"/>
      <c r="F1159" s="22" t="n"/>
      <c r="G1159" s="22" t="n"/>
      <c r="H1159" s="22" t="n"/>
      <c r="I1159" s="22" t="n"/>
      <c r="J1159" s="22" t="n"/>
      <c r="K1159" s="22" t="n"/>
      <c r="L1159" s="22" t="n"/>
      <c r="M1159" s="22">
        <f>IF(K1159="Override",L1159,IF(K1159="Accept suggestion",F1159,IF(K1159="No change (same URL)",A1159,"")))</f>
        <v/>
      </c>
      <c r="N1159" s="22">
        <f>IF(A1159="","",IF(K1159="410 Gone","410",IF(K1159="404","404",IF(K1159="No change (same URL)","none",IF(M1159="","","301")))))</f>
        <v/>
      </c>
      <c r="O1159" s="22">
        <f>IF(A1159="","",IFERROR(MID(A1159,FIND("/",A1159,FIND("//",A1159)+2),2000),A1159))</f>
        <v/>
      </c>
      <c r="P1159" s="22">
        <f>IF(OR(O1159="",N1159="",N1159="none",N1159="404"),"",IF(N1159="410","Redirect gone "&amp;O1159,"Redirect "&amp;N1159&amp;" "&amp;O1159&amp;" "&amp;M1159))</f>
        <v/>
      </c>
      <c r="Q1159" s="22" t="n"/>
      <c r="R1159" s="22" t="n"/>
      <c r="S1159" s="22" t="n"/>
      <c r="T1159" s="4">
        <f>IF(A1159="","",TRIM(IF(K1159="","Needs decision; ","")&amp;IF(AND(K1159="Accept suggestion",F1159=""),"No suggestion to accept; ","")&amp;IF(AND(K1159="Override",L1159=""),"Override URL missing; ","")&amp;IF(AND(K1159="Accept suggestion",N(G1159)&lt;$G$2),"Below your threshold; ","")&amp;IF(AND(M1159&lt;&gt;"",M1159=A1159,K1159&lt;&gt;"No change (same URL)"),"Redirects to itself; ","")&amp;IF(AND(M1159&lt;&gt;"",OR(M1159="/",AND(LEFT(M1159,4)="http",OR((LEN(M1159)-LEN(SUBSTITUTE(M1159,"/","")))=2,AND((LEN(M1159)-LEN(SUBSTITUTE(M1159,"/","")))=3,RIGHT(M1159,1)="/"))))),"Home page redirect; ","")&amp;IF(N(R1159)&gt;1,"Chain; ","")&amp;IF(S1159="No","Destination not 200; ","")))</f>
        <v/>
      </c>
      <c r="U1159" s="22" t="n"/>
      <c r="V1159" s="22" t="n"/>
      <c r="W1159" s="4" t="n"/>
    </row>
    <row r="1160">
      <c r="A1160" s="22" t="n"/>
      <c r="B1160" s="22" t="n"/>
      <c r="C1160" s="22" t="n"/>
      <c r="D1160" s="22">
        <f>IF(A1160="","",IF(OR(N(B1160)&gt;=$C$2,N(C1160)&gt;=$E$2),"High",IF(OR(N(B1160)&gt;0,N(C1160)&gt;0),"Medium","Low")))</f>
        <v/>
      </c>
      <c r="E1160" s="22" t="n"/>
      <c r="F1160" s="22" t="n"/>
      <c r="G1160" s="22" t="n"/>
      <c r="H1160" s="22" t="n"/>
      <c r="I1160" s="22" t="n"/>
      <c r="J1160" s="22" t="n"/>
      <c r="K1160" s="22" t="n"/>
      <c r="L1160" s="22" t="n"/>
      <c r="M1160" s="22">
        <f>IF(K1160="Override",L1160,IF(K1160="Accept suggestion",F1160,IF(K1160="No change (same URL)",A1160,"")))</f>
        <v/>
      </c>
      <c r="N1160" s="22">
        <f>IF(A1160="","",IF(K1160="410 Gone","410",IF(K1160="404","404",IF(K1160="No change (same URL)","none",IF(M1160="","","301")))))</f>
        <v/>
      </c>
      <c r="O1160" s="22">
        <f>IF(A1160="","",IFERROR(MID(A1160,FIND("/",A1160,FIND("//",A1160)+2),2000),A1160))</f>
        <v/>
      </c>
      <c r="P1160" s="22">
        <f>IF(OR(O1160="",N1160="",N1160="none",N1160="404"),"",IF(N1160="410","Redirect gone "&amp;O1160,"Redirect "&amp;N1160&amp;" "&amp;O1160&amp;" "&amp;M1160))</f>
        <v/>
      </c>
      <c r="Q1160" s="22" t="n"/>
      <c r="R1160" s="22" t="n"/>
      <c r="S1160" s="22" t="n"/>
      <c r="T1160" s="4">
        <f>IF(A1160="","",TRIM(IF(K1160="","Needs decision; ","")&amp;IF(AND(K1160="Accept suggestion",F1160=""),"No suggestion to accept; ","")&amp;IF(AND(K1160="Override",L1160=""),"Override URL missing; ","")&amp;IF(AND(K1160="Accept suggestion",N(G1160)&lt;$G$2),"Below your threshold; ","")&amp;IF(AND(M1160&lt;&gt;"",M1160=A1160,K1160&lt;&gt;"No change (same URL)"),"Redirects to itself; ","")&amp;IF(AND(M1160&lt;&gt;"",OR(M1160="/",AND(LEFT(M1160,4)="http",OR((LEN(M1160)-LEN(SUBSTITUTE(M1160,"/","")))=2,AND((LEN(M1160)-LEN(SUBSTITUTE(M1160,"/","")))=3,RIGHT(M1160,1)="/"))))),"Home page redirect; ","")&amp;IF(N(R1160)&gt;1,"Chain; ","")&amp;IF(S1160="No","Destination not 200; ","")))</f>
        <v/>
      </c>
      <c r="U1160" s="22" t="n"/>
      <c r="V1160" s="22" t="n"/>
      <c r="W1160" s="4" t="n"/>
    </row>
    <row r="1161">
      <c r="A1161" s="22" t="n"/>
      <c r="B1161" s="22" t="n"/>
      <c r="C1161" s="22" t="n"/>
      <c r="D1161" s="22">
        <f>IF(A1161="","",IF(OR(N(B1161)&gt;=$C$2,N(C1161)&gt;=$E$2),"High",IF(OR(N(B1161)&gt;0,N(C1161)&gt;0),"Medium","Low")))</f>
        <v/>
      </c>
      <c r="E1161" s="22" t="n"/>
      <c r="F1161" s="22" t="n"/>
      <c r="G1161" s="22" t="n"/>
      <c r="H1161" s="22" t="n"/>
      <c r="I1161" s="22" t="n"/>
      <c r="J1161" s="22" t="n"/>
      <c r="K1161" s="22" t="n"/>
      <c r="L1161" s="22" t="n"/>
      <c r="M1161" s="22">
        <f>IF(K1161="Override",L1161,IF(K1161="Accept suggestion",F1161,IF(K1161="No change (same URL)",A1161,"")))</f>
        <v/>
      </c>
      <c r="N1161" s="22">
        <f>IF(A1161="","",IF(K1161="410 Gone","410",IF(K1161="404","404",IF(K1161="No change (same URL)","none",IF(M1161="","","301")))))</f>
        <v/>
      </c>
      <c r="O1161" s="22">
        <f>IF(A1161="","",IFERROR(MID(A1161,FIND("/",A1161,FIND("//",A1161)+2),2000),A1161))</f>
        <v/>
      </c>
      <c r="P1161" s="22">
        <f>IF(OR(O1161="",N1161="",N1161="none",N1161="404"),"",IF(N1161="410","Redirect gone "&amp;O1161,"Redirect "&amp;N1161&amp;" "&amp;O1161&amp;" "&amp;M1161))</f>
        <v/>
      </c>
      <c r="Q1161" s="22" t="n"/>
      <c r="R1161" s="22" t="n"/>
      <c r="S1161" s="22" t="n"/>
      <c r="T1161" s="4">
        <f>IF(A1161="","",TRIM(IF(K1161="","Needs decision; ","")&amp;IF(AND(K1161="Accept suggestion",F1161=""),"No suggestion to accept; ","")&amp;IF(AND(K1161="Override",L1161=""),"Override URL missing; ","")&amp;IF(AND(K1161="Accept suggestion",N(G1161)&lt;$G$2),"Below your threshold; ","")&amp;IF(AND(M1161&lt;&gt;"",M1161=A1161,K1161&lt;&gt;"No change (same URL)"),"Redirects to itself; ","")&amp;IF(AND(M1161&lt;&gt;"",OR(M1161="/",AND(LEFT(M1161,4)="http",OR((LEN(M1161)-LEN(SUBSTITUTE(M1161,"/","")))=2,AND((LEN(M1161)-LEN(SUBSTITUTE(M1161,"/","")))=3,RIGHT(M1161,1)="/"))))),"Home page redirect; ","")&amp;IF(N(R1161)&gt;1,"Chain; ","")&amp;IF(S1161="No","Destination not 200; ","")))</f>
        <v/>
      </c>
      <c r="U1161" s="22" t="n"/>
      <c r="V1161" s="22" t="n"/>
      <c r="W1161" s="4" t="n"/>
    </row>
    <row r="1162">
      <c r="A1162" s="22" t="n"/>
      <c r="B1162" s="22" t="n"/>
      <c r="C1162" s="22" t="n"/>
      <c r="D1162" s="22">
        <f>IF(A1162="","",IF(OR(N(B1162)&gt;=$C$2,N(C1162)&gt;=$E$2),"High",IF(OR(N(B1162)&gt;0,N(C1162)&gt;0),"Medium","Low")))</f>
        <v/>
      </c>
      <c r="E1162" s="22" t="n"/>
      <c r="F1162" s="22" t="n"/>
      <c r="G1162" s="22" t="n"/>
      <c r="H1162" s="22" t="n"/>
      <c r="I1162" s="22" t="n"/>
      <c r="J1162" s="22" t="n"/>
      <c r="K1162" s="22" t="n"/>
      <c r="L1162" s="22" t="n"/>
      <c r="M1162" s="22">
        <f>IF(K1162="Override",L1162,IF(K1162="Accept suggestion",F1162,IF(K1162="No change (same URL)",A1162,"")))</f>
        <v/>
      </c>
      <c r="N1162" s="22">
        <f>IF(A1162="","",IF(K1162="410 Gone","410",IF(K1162="404","404",IF(K1162="No change (same URL)","none",IF(M1162="","","301")))))</f>
        <v/>
      </c>
      <c r="O1162" s="22">
        <f>IF(A1162="","",IFERROR(MID(A1162,FIND("/",A1162,FIND("//",A1162)+2),2000),A1162))</f>
        <v/>
      </c>
      <c r="P1162" s="22">
        <f>IF(OR(O1162="",N1162="",N1162="none",N1162="404"),"",IF(N1162="410","Redirect gone "&amp;O1162,"Redirect "&amp;N1162&amp;" "&amp;O1162&amp;" "&amp;M1162))</f>
        <v/>
      </c>
      <c r="Q1162" s="22" t="n"/>
      <c r="R1162" s="22" t="n"/>
      <c r="S1162" s="22" t="n"/>
      <c r="T1162" s="4">
        <f>IF(A1162="","",TRIM(IF(K1162="","Needs decision; ","")&amp;IF(AND(K1162="Accept suggestion",F1162=""),"No suggestion to accept; ","")&amp;IF(AND(K1162="Override",L1162=""),"Override URL missing; ","")&amp;IF(AND(K1162="Accept suggestion",N(G1162)&lt;$G$2),"Below your threshold; ","")&amp;IF(AND(M1162&lt;&gt;"",M1162=A1162,K1162&lt;&gt;"No change (same URL)"),"Redirects to itself; ","")&amp;IF(AND(M1162&lt;&gt;"",OR(M1162="/",AND(LEFT(M1162,4)="http",OR((LEN(M1162)-LEN(SUBSTITUTE(M1162,"/","")))=2,AND((LEN(M1162)-LEN(SUBSTITUTE(M1162,"/","")))=3,RIGHT(M1162,1)="/"))))),"Home page redirect; ","")&amp;IF(N(R1162)&gt;1,"Chain; ","")&amp;IF(S1162="No","Destination not 200; ","")))</f>
        <v/>
      </c>
      <c r="U1162" s="22" t="n"/>
      <c r="V1162" s="22" t="n"/>
      <c r="W1162" s="4" t="n"/>
    </row>
    <row r="1163">
      <c r="A1163" s="22" t="n"/>
      <c r="B1163" s="22" t="n"/>
      <c r="C1163" s="22" t="n"/>
      <c r="D1163" s="22">
        <f>IF(A1163="","",IF(OR(N(B1163)&gt;=$C$2,N(C1163)&gt;=$E$2),"High",IF(OR(N(B1163)&gt;0,N(C1163)&gt;0),"Medium","Low")))</f>
        <v/>
      </c>
      <c r="E1163" s="22" t="n"/>
      <c r="F1163" s="22" t="n"/>
      <c r="G1163" s="22" t="n"/>
      <c r="H1163" s="22" t="n"/>
      <c r="I1163" s="22" t="n"/>
      <c r="J1163" s="22" t="n"/>
      <c r="K1163" s="22" t="n"/>
      <c r="L1163" s="22" t="n"/>
      <c r="M1163" s="22">
        <f>IF(K1163="Override",L1163,IF(K1163="Accept suggestion",F1163,IF(K1163="No change (same URL)",A1163,"")))</f>
        <v/>
      </c>
      <c r="N1163" s="22">
        <f>IF(A1163="","",IF(K1163="410 Gone","410",IF(K1163="404","404",IF(K1163="No change (same URL)","none",IF(M1163="","","301")))))</f>
        <v/>
      </c>
      <c r="O1163" s="22">
        <f>IF(A1163="","",IFERROR(MID(A1163,FIND("/",A1163,FIND("//",A1163)+2),2000),A1163))</f>
        <v/>
      </c>
      <c r="P1163" s="22">
        <f>IF(OR(O1163="",N1163="",N1163="none",N1163="404"),"",IF(N1163="410","Redirect gone "&amp;O1163,"Redirect "&amp;N1163&amp;" "&amp;O1163&amp;" "&amp;M1163))</f>
        <v/>
      </c>
      <c r="Q1163" s="22" t="n"/>
      <c r="R1163" s="22" t="n"/>
      <c r="S1163" s="22" t="n"/>
      <c r="T1163" s="4">
        <f>IF(A1163="","",TRIM(IF(K1163="","Needs decision; ","")&amp;IF(AND(K1163="Accept suggestion",F1163=""),"No suggestion to accept; ","")&amp;IF(AND(K1163="Override",L1163=""),"Override URL missing; ","")&amp;IF(AND(K1163="Accept suggestion",N(G1163)&lt;$G$2),"Below your threshold; ","")&amp;IF(AND(M1163&lt;&gt;"",M1163=A1163,K1163&lt;&gt;"No change (same URL)"),"Redirects to itself; ","")&amp;IF(AND(M1163&lt;&gt;"",OR(M1163="/",AND(LEFT(M1163,4)="http",OR((LEN(M1163)-LEN(SUBSTITUTE(M1163,"/","")))=2,AND((LEN(M1163)-LEN(SUBSTITUTE(M1163,"/","")))=3,RIGHT(M1163,1)="/"))))),"Home page redirect; ","")&amp;IF(N(R1163)&gt;1,"Chain; ","")&amp;IF(S1163="No","Destination not 200; ","")))</f>
        <v/>
      </c>
      <c r="U1163" s="22" t="n"/>
      <c r="V1163" s="22" t="n"/>
      <c r="W1163" s="4" t="n"/>
    </row>
    <row r="1164">
      <c r="A1164" s="22" t="n"/>
      <c r="B1164" s="22" t="n"/>
      <c r="C1164" s="22" t="n"/>
      <c r="D1164" s="22">
        <f>IF(A1164="","",IF(OR(N(B1164)&gt;=$C$2,N(C1164)&gt;=$E$2),"High",IF(OR(N(B1164)&gt;0,N(C1164)&gt;0),"Medium","Low")))</f>
        <v/>
      </c>
      <c r="E1164" s="22" t="n"/>
      <c r="F1164" s="22" t="n"/>
      <c r="G1164" s="22" t="n"/>
      <c r="H1164" s="22" t="n"/>
      <c r="I1164" s="22" t="n"/>
      <c r="J1164" s="22" t="n"/>
      <c r="K1164" s="22" t="n"/>
      <c r="L1164" s="22" t="n"/>
      <c r="M1164" s="22">
        <f>IF(K1164="Override",L1164,IF(K1164="Accept suggestion",F1164,IF(K1164="No change (same URL)",A1164,"")))</f>
        <v/>
      </c>
      <c r="N1164" s="22">
        <f>IF(A1164="","",IF(K1164="410 Gone","410",IF(K1164="404","404",IF(K1164="No change (same URL)","none",IF(M1164="","","301")))))</f>
        <v/>
      </c>
      <c r="O1164" s="22">
        <f>IF(A1164="","",IFERROR(MID(A1164,FIND("/",A1164,FIND("//",A1164)+2),2000),A1164))</f>
        <v/>
      </c>
      <c r="P1164" s="22">
        <f>IF(OR(O1164="",N1164="",N1164="none",N1164="404"),"",IF(N1164="410","Redirect gone "&amp;O1164,"Redirect "&amp;N1164&amp;" "&amp;O1164&amp;" "&amp;M1164))</f>
        <v/>
      </c>
      <c r="Q1164" s="22" t="n"/>
      <c r="R1164" s="22" t="n"/>
      <c r="S1164" s="22" t="n"/>
      <c r="T1164" s="4">
        <f>IF(A1164="","",TRIM(IF(K1164="","Needs decision; ","")&amp;IF(AND(K1164="Accept suggestion",F1164=""),"No suggestion to accept; ","")&amp;IF(AND(K1164="Override",L1164=""),"Override URL missing; ","")&amp;IF(AND(K1164="Accept suggestion",N(G1164)&lt;$G$2),"Below your threshold; ","")&amp;IF(AND(M1164&lt;&gt;"",M1164=A1164,K1164&lt;&gt;"No change (same URL)"),"Redirects to itself; ","")&amp;IF(AND(M1164&lt;&gt;"",OR(M1164="/",AND(LEFT(M1164,4)="http",OR((LEN(M1164)-LEN(SUBSTITUTE(M1164,"/","")))=2,AND((LEN(M1164)-LEN(SUBSTITUTE(M1164,"/","")))=3,RIGHT(M1164,1)="/"))))),"Home page redirect; ","")&amp;IF(N(R1164)&gt;1,"Chain; ","")&amp;IF(S1164="No","Destination not 200; ","")))</f>
        <v/>
      </c>
      <c r="U1164" s="22" t="n"/>
      <c r="V1164" s="22" t="n"/>
      <c r="W1164" s="4" t="n"/>
    </row>
    <row r="1165">
      <c r="A1165" s="22" t="n"/>
      <c r="B1165" s="22" t="n"/>
      <c r="C1165" s="22" t="n"/>
      <c r="D1165" s="22">
        <f>IF(A1165="","",IF(OR(N(B1165)&gt;=$C$2,N(C1165)&gt;=$E$2),"High",IF(OR(N(B1165)&gt;0,N(C1165)&gt;0),"Medium","Low")))</f>
        <v/>
      </c>
      <c r="E1165" s="22" t="n"/>
      <c r="F1165" s="22" t="n"/>
      <c r="G1165" s="22" t="n"/>
      <c r="H1165" s="22" t="n"/>
      <c r="I1165" s="22" t="n"/>
      <c r="J1165" s="22" t="n"/>
      <c r="K1165" s="22" t="n"/>
      <c r="L1165" s="22" t="n"/>
      <c r="M1165" s="22">
        <f>IF(K1165="Override",L1165,IF(K1165="Accept suggestion",F1165,IF(K1165="No change (same URL)",A1165,"")))</f>
        <v/>
      </c>
      <c r="N1165" s="22">
        <f>IF(A1165="","",IF(K1165="410 Gone","410",IF(K1165="404","404",IF(K1165="No change (same URL)","none",IF(M1165="","","301")))))</f>
        <v/>
      </c>
      <c r="O1165" s="22">
        <f>IF(A1165="","",IFERROR(MID(A1165,FIND("/",A1165,FIND("//",A1165)+2),2000),A1165))</f>
        <v/>
      </c>
      <c r="P1165" s="22">
        <f>IF(OR(O1165="",N1165="",N1165="none",N1165="404"),"",IF(N1165="410","Redirect gone "&amp;O1165,"Redirect "&amp;N1165&amp;" "&amp;O1165&amp;" "&amp;M1165))</f>
        <v/>
      </c>
      <c r="Q1165" s="22" t="n"/>
      <c r="R1165" s="22" t="n"/>
      <c r="S1165" s="22" t="n"/>
      <c r="T1165" s="4">
        <f>IF(A1165="","",TRIM(IF(K1165="","Needs decision; ","")&amp;IF(AND(K1165="Accept suggestion",F1165=""),"No suggestion to accept; ","")&amp;IF(AND(K1165="Override",L1165=""),"Override URL missing; ","")&amp;IF(AND(K1165="Accept suggestion",N(G1165)&lt;$G$2),"Below your threshold; ","")&amp;IF(AND(M1165&lt;&gt;"",M1165=A1165,K1165&lt;&gt;"No change (same URL)"),"Redirects to itself; ","")&amp;IF(AND(M1165&lt;&gt;"",OR(M1165="/",AND(LEFT(M1165,4)="http",OR((LEN(M1165)-LEN(SUBSTITUTE(M1165,"/","")))=2,AND((LEN(M1165)-LEN(SUBSTITUTE(M1165,"/","")))=3,RIGHT(M1165,1)="/"))))),"Home page redirect; ","")&amp;IF(N(R1165)&gt;1,"Chain; ","")&amp;IF(S1165="No","Destination not 200; ","")))</f>
        <v/>
      </c>
      <c r="U1165" s="22" t="n"/>
      <c r="V1165" s="22" t="n"/>
      <c r="W1165" s="4" t="n"/>
    </row>
    <row r="1166">
      <c r="A1166" s="22" t="n"/>
      <c r="B1166" s="22" t="n"/>
      <c r="C1166" s="22" t="n"/>
      <c r="D1166" s="22">
        <f>IF(A1166="","",IF(OR(N(B1166)&gt;=$C$2,N(C1166)&gt;=$E$2),"High",IF(OR(N(B1166)&gt;0,N(C1166)&gt;0),"Medium","Low")))</f>
        <v/>
      </c>
      <c r="E1166" s="22" t="n"/>
      <c r="F1166" s="22" t="n"/>
      <c r="G1166" s="22" t="n"/>
      <c r="H1166" s="22" t="n"/>
      <c r="I1166" s="22" t="n"/>
      <c r="J1166" s="22" t="n"/>
      <c r="K1166" s="22" t="n"/>
      <c r="L1166" s="22" t="n"/>
      <c r="M1166" s="22">
        <f>IF(K1166="Override",L1166,IF(K1166="Accept suggestion",F1166,IF(K1166="No change (same URL)",A1166,"")))</f>
        <v/>
      </c>
      <c r="N1166" s="22">
        <f>IF(A1166="","",IF(K1166="410 Gone","410",IF(K1166="404","404",IF(K1166="No change (same URL)","none",IF(M1166="","","301")))))</f>
        <v/>
      </c>
      <c r="O1166" s="22">
        <f>IF(A1166="","",IFERROR(MID(A1166,FIND("/",A1166,FIND("//",A1166)+2),2000),A1166))</f>
        <v/>
      </c>
      <c r="P1166" s="22">
        <f>IF(OR(O1166="",N1166="",N1166="none",N1166="404"),"",IF(N1166="410","Redirect gone "&amp;O1166,"Redirect "&amp;N1166&amp;" "&amp;O1166&amp;" "&amp;M1166))</f>
        <v/>
      </c>
      <c r="Q1166" s="22" t="n"/>
      <c r="R1166" s="22" t="n"/>
      <c r="S1166" s="22" t="n"/>
      <c r="T1166" s="4">
        <f>IF(A1166="","",TRIM(IF(K1166="","Needs decision; ","")&amp;IF(AND(K1166="Accept suggestion",F1166=""),"No suggestion to accept; ","")&amp;IF(AND(K1166="Override",L1166=""),"Override URL missing; ","")&amp;IF(AND(K1166="Accept suggestion",N(G1166)&lt;$G$2),"Below your threshold; ","")&amp;IF(AND(M1166&lt;&gt;"",M1166=A1166,K1166&lt;&gt;"No change (same URL)"),"Redirects to itself; ","")&amp;IF(AND(M1166&lt;&gt;"",OR(M1166="/",AND(LEFT(M1166,4)="http",OR((LEN(M1166)-LEN(SUBSTITUTE(M1166,"/","")))=2,AND((LEN(M1166)-LEN(SUBSTITUTE(M1166,"/","")))=3,RIGHT(M1166,1)="/"))))),"Home page redirect; ","")&amp;IF(N(R1166)&gt;1,"Chain; ","")&amp;IF(S1166="No","Destination not 200; ","")))</f>
        <v/>
      </c>
      <c r="U1166" s="22" t="n"/>
      <c r="V1166" s="22" t="n"/>
      <c r="W1166" s="4" t="n"/>
    </row>
    <row r="1167">
      <c r="A1167" s="22" t="n"/>
      <c r="B1167" s="22" t="n"/>
      <c r="C1167" s="22" t="n"/>
      <c r="D1167" s="22">
        <f>IF(A1167="","",IF(OR(N(B1167)&gt;=$C$2,N(C1167)&gt;=$E$2),"High",IF(OR(N(B1167)&gt;0,N(C1167)&gt;0),"Medium","Low")))</f>
        <v/>
      </c>
      <c r="E1167" s="22" t="n"/>
      <c r="F1167" s="22" t="n"/>
      <c r="G1167" s="22" t="n"/>
      <c r="H1167" s="22" t="n"/>
      <c r="I1167" s="22" t="n"/>
      <c r="J1167" s="22" t="n"/>
      <c r="K1167" s="22" t="n"/>
      <c r="L1167" s="22" t="n"/>
      <c r="M1167" s="22">
        <f>IF(K1167="Override",L1167,IF(K1167="Accept suggestion",F1167,IF(K1167="No change (same URL)",A1167,"")))</f>
        <v/>
      </c>
      <c r="N1167" s="22">
        <f>IF(A1167="","",IF(K1167="410 Gone","410",IF(K1167="404","404",IF(K1167="No change (same URL)","none",IF(M1167="","","301")))))</f>
        <v/>
      </c>
      <c r="O1167" s="22">
        <f>IF(A1167="","",IFERROR(MID(A1167,FIND("/",A1167,FIND("//",A1167)+2),2000),A1167))</f>
        <v/>
      </c>
      <c r="P1167" s="22">
        <f>IF(OR(O1167="",N1167="",N1167="none",N1167="404"),"",IF(N1167="410","Redirect gone "&amp;O1167,"Redirect "&amp;N1167&amp;" "&amp;O1167&amp;" "&amp;M1167))</f>
        <v/>
      </c>
      <c r="Q1167" s="22" t="n"/>
      <c r="R1167" s="22" t="n"/>
      <c r="S1167" s="22" t="n"/>
      <c r="T1167" s="4">
        <f>IF(A1167="","",TRIM(IF(K1167="","Needs decision; ","")&amp;IF(AND(K1167="Accept suggestion",F1167=""),"No suggestion to accept; ","")&amp;IF(AND(K1167="Override",L1167=""),"Override URL missing; ","")&amp;IF(AND(K1167="Accept suggestion",N(G1167)&lt;$G$2),"Below your threshold; ","")&amp;IF(AND(M1167&lt;&gt;"",M1167=A1167,K1167&lt;&gt;"No change (same URL)"),"Redirects to itself; ","")&amp;IF(AND(M1167&lt;&gt;"",OR(M1167="/",AND(LEFT(M1167,4)="http",OR((LEN(M1167)-LEN(SUBSTITUTE(M1167,"/","")))=2,AND((LEN(M1167)-LEN(SUBSTITUTE(M1167,"/","")))=3,RIGHT(M1167,1)="/"))))),"Home page redirect; ","")&amp;IF(N(R1167)&gt;1,"Chain; ","")&amp;IF(S1167="No","Destination not 200; ","")))</f>
        <v/>
      </c>
      <c r="U1167" s="22" t="n"/>
      <c r="V1167" s="22" t="n"/>
      <c r="W1167" s="4" t="n"/>
    </row>
    <row r="1168">
      <c r="A1168" s="22" t="n"/>
      <c r="B1168" s="22" t="n"/>
      <c r="C1168" s="22" t="n"/>
      <c r="D1168" s="22">
        <f>IF(A1168="","",IF(OR(N(B1168)&gt;=$C$2,N(C1168)&gt;=$E$2),"High",IF(OR(N(B1168)&gt;0,N(C1168)&gt;0),"Medium","Low")))</f>
        <v/>
      </c>
      <c r="E1168" s="22" t="n"/>
      <c r="F1168" s="22" t="n"/>
      <c r="G1168" s="22" t="n"/>
      <c r="H1168" s="22" t="n"/>
      <c r="I1168" s="22" t="n"/>
      <c r="J1168" s="22" t="n"/>
      <c r="K1168" s="22" t="n"/>
      <c r="L1168" s="22" t="n"/>
      <c r="M1168" s="22">
        <f>IF(K1168="Override",L1168,IF(K1168="Accept suggestion",F1168,IF(K1168="No change (same URL)",A1168,"")))</f>
        <v/>
      </c>
      <c r="N1168" s="22">
        <f>IF(A1168="","",IF(K1168="410 Gone","410",IF(K1168="404","404",IF(K1168="No change (same URL)","none",IF(M1168="","","301")))))</f>
        <v/>
      </c>
      <c r="O1168" s="22">
        <f>IF(A1168="","",IFERROR(MID(A1168,FIND("/",A1168,FIND("//",A1168)+2),2000),A1168))</f>
        <v/>
      </c>
      <c r="P1168" s="22">
        <f>IF(OR(O1168="",N1168="",N1168="none",N1168="404"),"",IF(N1168="410","Redirect gone "&amp;O1168,"Redirect "&amp;N1168&amp;" "&amp;O1168&amp;" "&amp;M1168))</f>
        <v/>
      </c>
      <c r="Q1168" s="22" t="n"/>
      <c r="R1168" s="22" t="n"/>
      <c r="S1168" s="22" t="n"/>
      <c r="T1168" s="4">
        <f>IF(A1168="","",TRIM(IF(K1168="","Needs decision; ","")&amp;IF(AND(K1168="Accept suggestion",F1168=""),"No suggestion to accept; ","")&amp;IF(AND(K1168="Override",L1168=""),"Override URL missing; ","")&amp;IF(AND(K1168="Accept suggestion",N(G1168)&lt;$G$2),"Below your threshold; ","")&amp;IF(AND(M1168&lt;&gt;"",M1168=A1168,K1168&lt;&gt;"No change (same URL)"),"Redirects to itself; ","")&amp;IF(AND(M1168&lt;&gt;"",OR(M1168="/",AND(LEFT(M1168,4)="http",OR((LEN(M1168)-LEN(SUBSTITUTE(M1168,"/","")))=2,AND((LEN(M1168)-LEN(SUBSTITUTE(M1168,"/","")))=3,RIGHT(M1168,1)="/"))))),"Home page redirect; ","")&amp;IF(N(R1168)&gt;1,"Chain; ","")&amp;IF(S1168="No","Destination not 200; ","")))</f>
        <v/>
      </c>
      <c r="U1168" s="22" t="n"/>
      <c r="V1168" s="22" t="n"/>
      <c r="W1168" s="4" t="n"/>
    </row>
    <row r="1169">
      <c r="A1169" s="22" t="n"/>
      <c r="B1169" s="22" t="n"/>
      <c r="C1169" s="22" t="n"/>
      <c r="D1169" s="22">
        <f>IF(A1169="","",IF(OR(N(B1169)&gt;=$C$2,N(C1169)&gt;=$E$2),"High",IF(OR(N(B1169)&gt;0,N(C1169)&gt;0),"Medium","Low")))</f>
        <v/>
      </c>
      <c r="E1169" s="22" t="n"/>
      <c r="F1169" s="22" t="n"/>
      <c r="G1169" s="22" t="n"/>
      <c r="H1169" s="22" t="n"/>
      <c r="I1169" s="22" t="n"/>
      <c r="J1169" s="22" t="n"/>
      <c r="K1169" s="22" t="n"/>
      <c r="L1169" s="22" t="n"/>
      <c r="M1169" s="22">
        <f>IF(K1169="Override",L1169,IF(K1169="Accept suggestion",F1169,IF(K1169="No change (same URL)",A1169,"")))</f>
        <v/>
      </c>
      <c r="N1169" s="22">
        <f>IF(A1169="","",IF(K1169="410 Gone","410",IF(K1169="404","404",IF(K1169="No change (same URL)","none",IF(M1169="","","301")))))</f>
        <v/>
      </c>
      <c r="O1169" s="22">
        <f>IF(A1169="","",IFERROR(MID(A1169,FIND("/",A1169,FIND("//",A1169)+2),2000),A1169))</f>
        <v/>
      </c>
      <c r="P1169" s="22">
        <f>IF(OR(O1169="",N1169="",N1169="none",N1169="404"),"",IF(N1169="410","Redirect gone "&amp;O1169,"Redirect "&amp;N1169&amp;" "&amp;O1169&amp;" "&amp;M1169))</f>
        <v/>
      </c>
      <c r="Q1169" s="22" t="n"/>
      <c r="R1169" s="22" t="n"/>
      <c r="S1169" s="22" t="n"/>
      <c r="T1169" s="4">
        <f>IF(A1169="","",TRIM(IF(K1169="","Needs decision; ","")&amp;IF(AND(K1169="Accept suggestion",F1169=""),"No suggestion to accept; ","")&amp;IF(AND(K1169="Override",L1169=""),"Override URL missing; ","")&amp;IF(AND(K1169="Accept suggestion",N(G1169)&lt;$G$2),"Below your threshold; ","")&amp;IF(AND(M1169&lt;&gt;"",M1169=A1169,K1169&lt;&gt;"No change (same URL)"),"Redirects to itself; ","")&amp;IF(AND(M1169&lt;&gt;"",OR(M1169="/",AND(LEFT(M1169,4)="http",OR((LEN(M1169)-LEN(SUBSTITUTE(M1169,"/","")))=2,AND((LEN(M1169)-LEN(SUBSTITUTE(M1169,"/","")))=3,RIGHT(M1169,1)="/"))))),"Home page redirect; ","")&amp;IF(N(R1169)&gt;1,"Chain; ","")&amp;IF(S1169="No","Destination not 200; ","")))</f>
        <v/>
      </c>
      <c r="U1169" s="22" t="n"/>
      <c r="V1169" s="22" t="n"/>
      <c r="W1169" s="4" t="n"/>
    </row>
    <row r="1170">
      <c r="A1170" s="22" t="n"/>
      <c r="B1170" s="22" t="n"/>
      <c r="C1170" s="22" t="n"/>
      <c r="D1170" s="22">
        <f>IF(A1170="","",IF(OR(N(B1170)&gt;=$C$2,N(C1170)&gt;=$E$2),"High",IF(OR(N(B1170)&gt;0,N(C1170)&gt;0),"Medium","Low")))</f>
        <v/>
      </c>
      <c r="E1170" s="22" t="n"/>
      <c r="F1170" s="22" t="n"/>
      <c r="G1170" s="22" t="n"/>
      <c r="H1170" s="22" t="n"/>
      <c r="I1170" s="22" t="n"/>
      <c r="J1170" s="22" t="n"/>
      <c r="K1170" s="22" t="n"/>
      <c r="L1170" s="22" t="n"/>
      <c r="M1170" s="22">
        <f>IF(K1170="Override",L1170,IF(K1170="Accept suggestion",F1170,IF(K1170="No change (same URL)",A1170,"")))</f>
        <v/>
      </c>
      <c r="N1170" s="22">
        <f>IF(A1170="","",IF(K1170="410 Gone","410",IF(K1170="404","404",IF(K1170="No change (same URL)","none",IF(M1170="","","301")))))</f>
        <v/>
      </c>
      <c r="O1170" s="22">
        <f>IF(A1170="","",IFERROR(MID(A1170,FIND("/",A1170,FIND("//",A1170)+2),2000),A1170))</f>
        <v/>
      </c>
      <c r="P1170" s="22">
        <f>IF(OR(O1170="",N1170="",N1170="none",N1170="404"),"",IF(N1170="410","Redirect gone "&amp;O1170,"Redirect "&amp;N1170&amp;" "&amp;O1170&amp;" "&amp;M1170))</f>
        <v/>
      </c>
      <c r="Q1170" s="22" t="n"/>
      <c r="R1170" s="22" t="n"/>
      <c r="S1170" s="22" t="n"/>
      <c r="T1170" s="4">
        <f>IF(A1170="","",TRIM(IF(K1170="","Needs decision; ","")&amp;IF(AND(K1170="Accept suggestion",F1170=""),"No suggestion to accept; ","")&amp;IF(AND(K1170="Override",L1170=""),"Override URL missing; ","")&amp;IF(AND(K1170="Accept suggestion",N(G1170)&lt;$G$2),"Below your threshold; ","")&amp;IF(AND(M1170&lt;&gt;"",M1170=A1170,K1170&lt;&gt;"No change (same URL)"),"Redirects to itself; ","")&amp;IF(AND(M1170&lt;&gt;"",OR(M1170="/",AND(LEFT(M1170,4)="http",OR((LEN(M1170)-LEN(SUBSTITUTE(M1170,"/","")))=2,AND((LEN(M1170)-LEN(SUBSTITUTE(M1170,"/","")))=3,RIGHT(M1170,1)="/"))))),"Home page redirect; ","")&amp;IF(N(R1170)&gt;1,"Chain; ","")&amp;IF(S1170="No","Destination not 200; ","")))</f>
        <v/>
      </c>
      <c r="U1170" s="22" t="n"/>
      <c r="V1170" s="22" t="n"/>
      <c r="W1170" s="4" t="n"/>
    </row>
    <row r="1171">
      <c r="A1171" s="22" t="n"/>
      <c r="B1171" s="22" t="n"/>
      <c r="C1171" s="22" t="n"/>
      <c r="D1171" s="22">
        <f>IF(A1171="","",IF(OR(N(B1171)&gt;=$C$2,N(C1171)&gt;=$E$2),"High",IF(OR(N(B1171)&gt;0,N(C1171)&gt;0),"Medium","Low")))</f>
        <v/>
      </c>
      <c r="E1171" s="22" t="n"/>
      <c r="F1171" s="22" t="n"/>
      <c r="G1171" s="22" t="n"/>
      <c r="H1171" s="22" t="n"/>
      <c r="I1171" s="22" t="n"/>
      <c r="J1171" s="22" t="n"/>
      <c r="K1171" s="22" t="n"/>
      <c r="L1171" s="22" t="n"/>
      <c r="M1171" s="22">
        <f>IF(K1171="Override",L1171,IF(K1171="Accept suggestion",F1171,IF(K1171="No change (same URL)",A1171,"")))</f>
        <v/>
      </c>
      <c r="N1171" s="22">
        <f>IF(A1171="","",IF(K1171="410 Gone","410",IF(K1171="404","404",IF(K1171="No change (same URL)","none",IF(M1171="","","301")))))</f>
        <v/>
      </c>
      <c r="O1171" s="22">
        <f>IF(A1171="","",IFERROR(MID(A1171,FIND("/",A1171,FIND("//",A1171)+2),2000),A1171))</f>
        <v/>
      </c>
      <c r="P1171" s="22">
        <f>IF(OR(O1171="",N1171="",N1171="none",N1171="404"),"",IF(N1171="410","Redirect gone "&amp;O1171,"Redirect "&amp;N1171&amp;" "&amp;O1171&amp;" "&amp;M1171))</f>
        <v/>
      </c>
      <c r="Q1171" s="22" t="n"/>
      <c r="R1171" s="22" t="n"/>
      <c r="S1171" s="22" t="n"/>
      <c r="T1171" s="4">
        <f>IF(A1171="","",TRIM(IF(K1171="","Needs decision; ","")&amp;IF(AND(K1171="Accept suggestion",F1171=""),"No suggestion to accept; ","")&amp;IF(AND(K1171="Override",L1171=""),"Override URL missing; ","")&amp;IF(AND(K1171="Accept suggestion",N(G1171)&lt;$G$2),"Below your threshold; ","")&amp;IF(AND(M1171&lt;&gt;"",M1171=A1171,K1171&lt;&gt;"No change (same URL)"),"Redirects to itself; ","")&amp;IF(AND(M1171&lt;&gt;"",OR(M1171="/",AND(LEFT(M1171,4)="http",OR((LEN(M1171)-LEN(SUBSTITUTE(M1171,"/","")))=2,AND((LEN(M1171)-LEN(SUBSTITUTE(M1171,"/","")))=3,RIGHT(M1171,1)="/"))))),"Home page redirect; ","")&amp;IF(N(R1171)&gt;1,"Chain; ","")&amp;IF(S1171="No","Destination not 200; ","")))</f>
        <v/>
      </c>
      <c r="U1171" s="22" t="n"/>
      <c r="V1171" s="22" t="n"/>
      <c r="W1171" s="4" t="n"/>
    </row>
    <row r="1172">
      <c r="A1172" s="22" t="n"/>
      <c r="B1172" s="22" t="n"/>
      <c r="C1172" s="22" t="n"/>
      <c r="D1172" s="22">
        <f>IF(A1172="","",IF(OR(N(B1172)&gt;=$C$2,N(C1172)&gt;=$E$2),"High",IF(OR(N(B1172)&gt;0,N(C1172)&gt;0),"Medium","Low")))</f>
        <v/>
      </c>
      <c r="E1172" s="22" t="n"/>
      <c r="F1172" s="22" t="n"/>
      <c r="G1172" s="22" t="n"/>
      <c r="H1172" s="22" t="n"/>
      <c r="I1172" s="22" t="n"/>
      <c r="J1172" s="22" t="n"/>
      <c r="K1172" s="22" t="n"/>
      <c r="L1172" s="22" t="n"/>
      <c r="M1172" s="22">
        <f>IF(K1172="Override",L1172,IF(K1172="Accept suggestion",F1172,IF(K1172="No change (same URL)",A1172,"")))</f>
        <v/>
      </c>
      <c r="N1172" s="22">
        <f>IF(A1172="","",IF(K1172="410 Gone","410",IF(K1172="404","404",IF(K1172="No change (same URL)","none",IF(M1172="","","301")))))</f>
        <v/>
      </c>
      <c r="O1172" s="22">
        <f>IF(A1172="","",IFERROR(MID(A1172,FIND("/",A1172,FIND("//",A1172)+2),2000),A1172))</f>
        <v/>
      </c>
      <c r="P1172" s="22">
        <f>IF(OR(O1172="",N1172="",N1172="none",N1172="404"),"",IF(N1172="410","Redirect gone "&amp;O1172,"Redirect "&amp;N1172&amp;" "&amp;O1172&amp;" "&amp;M1172))</f>
        <v/>
      </c>
      <c r="Q1172" s="22" t="n"/>
      <c r="R1172" s="22" t="n"/>
      <c r="S1172" s="22" t="n"/>
      <c r="T1172" s="4">
        <f>IF(A1172="","",TRIM(IF(K1172="","Needs decision; ","")&amp;IF(AND(K1172="Accept suggestion",F1172=""),"No suggestion to accept; ","")&amp;IF(AND(K1172="Override",L1172=""),"Override URL missing; ","")&amp;IF(AND(K1172="Accept suggestion",N(G1172)&lt;$G$2),"Below your threshold; ","")&amp;IF(AND(M1172&lt;&gt;"",M1172=A1172,K1172&lt;&gt;"No change (same URL)"),"Redirects to itself; ","")&amp;IF(AND(M1172&lt;&gt;"",OR(M1172="/",AND(LEFT(M1172,4)="http",OR((LEN(M1172)-LEN(SUBSTITUTE(M1172,"/","")))=2,AND((LEN(M1172)-LEN(SUBSTITUTE(M1172,"/","")))=3,RIGHT(M1172,1)="/"))))),"Home page redirect; ","")&amp;IF(N(R1172)&gt;1,"Chain; ","")&amp;IF(S1172="No","Destination not 200; ","")))</f>
        <v/>
      </c>
      <c r="U1172" s="22" t="n"/>
      <c r="V1172" s="22" t="n"/>
      <c r="W1172" s="4" t="n"/>
    </row>
    <row r="1173">
      <c r="A1173" s="22" t="n"/>
      <c r="B1173" s="22" t="n"/>
      <c r="C1173" s="22" t="n"/>
      <c r="D1173" s="22">
        <f>IF(A1173="","",IF(OR(N(B1173)&gt;=$C$2,N(C1173)&gt;=$E$2),"High",IF(OR(N(B1173)&gt;0,N(C1173)&gt;0),"Medium","Low")))</f>
        <v/>
      </c>
      <c r="E1173" s="22" t="n"/>
      <c r="F1173" s="22" t="n"/>
      <c r="G1173" s="22" t="n"/>
      <c r="H1173" s="22" t="n"/>
      <c r="I1173" s="22" t="n"/>
      <c r="J1173" s="22" t="n"/>
      <c r="K1173" s="22" t="n"/>
      <c r="L1173" s="22" t="n"/>
      <c r="M1173" s="22">
        <f>IF(K1173="Override",L1173,IF(K1173="Accept suggestion",F1173,IF(K1173="No change (same URL)",A1173,"")))</f>
        <v/>
      </c>
      <c r="N1173" s="22">
        <f>IF(A1173="","",IF(K1173="410 Gone","410",IF(K1173="404","404",IF(K1173="No change (same URL)","none",IF(M1173="","","301")))))</f>
        <v/>
      </c>
      <c r="O1173" s="22">
        <f>IF(A1173="","",IFERROR(MID(A1173,FIND("/",A1173,FIND("//",A1173)+2),2000),A1173))</f>
        <v/>
      </c>
      <c r="P1173" s="22">
        <f>IF(OR(O1173="",N1173="",N1173="none",N1173="404"),"",IF(N1173="410","Redirect gone "&amp;O1173,"Redirect "&amp;N1173&amp;" "&amp;O1173&amp;" "&amp;M1173))</f>
        <v/>
      </c>
      <c r="Q1173" s="22" t="n"/>
      <c r="R1173" s="22" t="n"/>
      <c r="S1173" s="22" t="n"/>
      <c r="T1173" s="4">
        <f>IF(A1173="","",TRIM(IF(K1173="","Needs decision; ","")&amp;IF(AND(K1173="Accept suggestion",F1173=""),"No suggestion to accept; ","")&amp;IF(AND(K1173="Override",L1173=""),"Override URL missing; ","")&amp;IF(AND(K1173="Accept suggestion",N(G1173)&lt;$G$2),"Below your threshold; ","")&amp;IF(AND(M1173&lt;&gt;"",M1173=A1173,K1173&lt;&gt;"No change (same URL)"),"Redirects to itself; ","")&amp;IF(AND(M1173&lt;&gt;"",OR(M1173="/",AND(LEFT(M1173,4)="http",OR((LEN(M1173)-LEN(SUBSTITUTE(M1173,"/","")))=2,AND((LEN(M1173)-LEN(SUBSTITUTE(M1173,"/","")))=3,RIGHT(M1173,1)="/"))))),"Home page redirect; ","")&amp;IF(N(R1173)&gt;1,"Chain; ","")&amp;IF(S1173="No","Destination not 200; ","")))</f>
        <v/>
      </c>
      <c r="U1173" s="22" t="n"/>
      <c r="V1173" s="22" t="n"/>
      <c r="W1173" s="4" t="n"/>
    </row>
    <row r="1174">
      <c r="A1174" s="22" t="n"/>
      <c r="B1174" s="22" t="n"/>
      <c r="C1174" s="22" t="n"/>
      <c r="D1174" s="22">
        <f>IF(A1174="","",IF(OR(N(B1174)&gt;=$C$2,N(C1174)&gt;=$E$2),"High",IF(OR(N(B1174)&gt;0,N(C1174)&gt;0),"Medium","Low")))</f>
        <v/>
      </c>
      <c r="E1174" s="22" t="n"/>
      <c r="F1174" s="22" t="n"/>
      <c r="G1174" s="22" t="n"/>
      <c r="H1174" s="22" t="n"/>
      <c r="I1174" s="22" t="n"/>
      <c r="J1174" s="22" t="n"/>
      <c r="K1174" s="22" t="n"/>
      <c r="L1174" s="22" t="n"/>
      <c r="M1174" s="22">
        <f>IF(K1174="Override",L1174,IF(K1174="Accept suggestion",F1174,IF(K1174="No change (same URL)",A1174,"")))</f>
        <v/>
      </c>
      <c r="N1174" s="22">
        <f>IF(A1174="","",IF(K1174="410 Gone","410",IF(K1174="404","404",IF(K1174="No change (same URL)","none",IF(M1174="","","301")))))</f>
        <v/>
      </c>
      <c r="O1174" s="22">
        <f>IF(A1174="","",IFERROR(MID(A1174,FIND("/",A1174,FIND("//",A1174)+2),2000),A1174))</f>
        <v/>
      </c>
      <c r="P1174" s="22">
        <f>IF(OR(O1174="",N1174="",N1174="none",N1174="404"),"",IF(N1174="410","Redirect gone "&amp;O1174,"Redirect "&amp;N1174&amp;" "&amp;O1174&amp;" "&amp;M1174))</f>
        <v/>
      </c>
      <c r="Q1174" s="22" t="n"/>
      <c r="R1174" s="22" t="n"/>
      <c r="S1174" s="22" t="n"/>
      <c r="T1174" s="4">
        <f>IF(A1174="","",TRIM(IF(K1174="","Needs decision; ","")&amp;IF(AND(K1174="Accept suggestion",F1174=""),"No suggestion to accept; ","")&amp;IF(AND(K1174="Override",L1174=""),"Override URL missing; ","")&amp;IF(AND(K1174="Accept suggestion",N(G1174)&lt;$G$2),"Below your threshold; ","")&amp;IF(AND(M1174&lt;&gt;"",M1174=A1174,K1174&lt;&gt;"No change (same URL)"),"Redirects to itself; ","")&amp;IF(AND(M1174&lt;&gt;"",OR(M1174="/",AND(LEFT(M1174,4)="http",OR((LEN(M1174)-LEN(SUBSTITUTE(M1174,"/","")))=2,AND((LEN(M1174)-LEN(SUBSTITUTE(M1174,"/","")))=3,RIGHT(M1174,1)="/"))))),"Home page redirect; ","")&amp;IF(N(R1174)&gt;1,"Chain; ","")&amp;IF(S1174="No","Destination not 200; ","")))</f>
        <v/>
      </c>
      <c r="U1174" s="22" t="n"/>
      <c r="V1174" s="22" t="n"/>
      <c r="W1174" s="4" t="n"/>
    </row>
    <row r="1175">
      <c r="A1175" s="22" t="n"/>
      <c r="B1175" s="22" t="n"/>
      <c r="C1175" s="22" t="n"/>
      <c r="D1175" s="22">
        <f>IF(A1175="","",IF(OR(N(B1175)&gt;=$C$2,N(C1175)&gt;=$E$2),"High",IF(OR(N(B1175)&gt;0,N(C1175)&gt;0),"Medium","Low")))</f>
        <v/>
      </c>
      <c r="E1175" s="22" t="n"/>
      <c r="F1175" s="22" t="n"/>
      <c r="G1175" s="22" t="n"/>
      <c r="H1175" s="22" t="n"/>
      <c r="I1175" s="22" t="n"/>
      <c r="J1175" s="22" t="n"/>
      <c r="K1175" s="22" t="n"/>
      <c r="L1175" s="22" t="n"/>
      <c r="M1175" s="22">
        <f>IF(K1175="Override",L1175,IF(K1175="Accept suggestion",F1175,IF(K1175="No change (same URL)",A1175,"")))</f>
        <v/>
      </c>
      <c r="N1175" s="22">
        <f>IF(A1175="","",IF(K1175="410 Gone","410",IF(K1175="404","404",IF(K1175="No change (same URL)","none",IF(M1175="","","301")))))</f>
        <v/>
      </c>
      <c r="O1175" s="22">
        <f>IF(A1175="","",IFERROR(MID(A1175,FIND("/",A1175,FIND("//",A1175)+2),2000),A1175))</f>
        <v/>
      </c>
      <c r="P1175" s="22">
        <f>IF(OR(O1175="",N1175="",N1175="none",N1175="404"),"",IF(N1175="410","Redirect gone "&amp;O1175,"Redirect "&amp;N1175&amp;" "&amp;O1175&amp;" "&amp;M1175))</f>
        <v/>
      </c>
      <c r="Q1175" s="22" t="n"/>
      <c r="R1175" s="22" t="n"/>
      <c r="S1175" s="22" t="n"/>
      <c r="T1175" s="4">
        <f>IF(A1175="","",TRIM(IF(K1175="","Needs decision; ","")&amp;IF(AND(K1175="Accept suggestion",F1175=""),"No suggestion to accept; ","")&amp;IF(AND(K1175="Override",L1175=""),"Override URL missing; ","")&amp;IF(AND(K1175="Accept suggestion",N(G1175)&lt;$G$2),"Below your threshold; ","")&amp;IF(AND(M1175&lt;&gt;"",M1175=A1175,K1175&lt;&gt;"No change (same URL)"),"Redirects to itself; ","")&amp;IF(AND(M1175&lt;&gt;"",OR(M1175="/",AND(LEFT(M1175,4)="http",OR((LEN(M1175)-LEN(SUBSTITUTE(M1175,"/","")))=2,AND((LEN(M1175)-LEN(SUBSTITUTE(M1175,"/","")))=3,RIGHT(M1175,1)="/"))))),"Home page redirect; ","")&amp;IF(N(R1175)&gt;1,"Chain; ","")&amp;IF(S1175="No","Destination not 200; ","")))</f>
        <v/>
      </c>
      <c r="U1175" s="22" t="n"/>
      <c r="V1175" s="22" t="n"/>
      <c r="W1175" s="4" t="n"/>
    </row>
    <row r="1176">
      <c r="A1176" s="22" t="n"/>
      <c r="B1176" s="22" t="n"/>
      <c r="C1176" s="22" t="n"/>
      <c r="D1176" s="22">
        <f>IF(A1176="","",IF(OR(N(B1176)&gt;=$C$2,N(C1176)&gt;=$E$2),"High",IF(OR(N(B1176)&gt;0,N(C1176)&gt;0),"Medium","Low")))</f>
        <v/>
      </c>
      <c r="E1176" s="22" t="n"/>
      <c r="F1176" s="22" t="n"/>
      <c r="G1176" s="22" t="n"/>
      <c r="H1176" s="22" t="n"/>
      <c r="I1176" s="22" t="n"/>
      <c r="J1176" s="22" t="n"/>
      <c r="K1176" s="22" t="n"/>
      <c r="L1176" s="22" t="n"/>
      <c r="M1176" s="22">
        <f>IF(K1176="Override",L1176,IF(K1176="Accept suggestion",F1176,IF(K1176="No change (same URL)",A1176,"")))</f>
        <v/>
      </c>
      <c r="N1176" s="22">
        <f>IF(A1176="","",IF(K1176="410 Gone","410",IF(K1176="404","404",IF(K1176="No change (same URL)","none",IF(M1176="","","301")))))</f>
        <v/>
      </c>
      <c r="O1176" s="22">
        <f>IF(A1176="","",IFERROR(MID(A1176,FIND("/",A1176,FIND("//",A1176)+2),2000),A1176))</f>
        <v/>
      </c>
      <c r="P1176" s="22">
        <f>IF(OR(O1176="",N1176="",N1176="none",N1176="404"),"",IF(N1176="410","Redirect gone "&amp;O1176,"Redirect "&amp;N1176&amp;" "&amp;O1176&amp;" "&amp;M1176))</f>
        <v/>
      </c>
      <c r="Q1176" s="22" t="n"/>
      <c r="R1176" s="22" t="n"/>
      <c r="S1176" s="22" t="n"/>
      <c r="T1176" s="4">
        <f>IF(A1176="","",TRIM(IF(K1176="","Needs decision; ","")&amp;IF(AND(K1176="Accept suggestion",F1176=""),"No suggestion to accept; ","")&amp;IF(AND(K1176="Override",L1176=""),"Override URL missing; ","")&amp;IF(AND(K1176="Accept suggestion",N(G1176)&lt;$G$2),"Below your threshold; ","")&amp;IF(AND(M1176&lt;&gt;"",M1176=A1176,K1176&lt;&gt;"No change (same URL)"),"Redirects to itself; ","")&amp;IF(AND(M1176&lt;&gt;"",OR(M1176="/",AND(LEFT(M1176,4)="http",OR((LEN(M1176)-LEN(SUBSTITUTE(M1176,"/","")))=2,AND((LEN(M1176)-LEN(SUBSTITUTE(M1176,"/","")))=3,RIGHT(M1176,1)="/"))))),"Home page redirect; ","")&amp;IF(N(R1176)&gt;1,"Chain; ","")&amp;IF(S1176="No","Destination not 200; ","")))</f>
        <v/>
      </c>
      <c r="U1176" s="22" t="n"/>
      <c r="V1176" s="22" t="n"/>
      <c r="W1176" s="4" t="n"/>
    </row>
    <row r="1177">
      <c r="A1177" s="22" t="n"/>
      <c r="B1177" s="22" t="n"/>
      <c r="C1177" s="22" t="n"/>
      <c r="D1177" s="22">
        <f>IF(A1177="","",IF(OR(N(B1177)&gt;=$C$2,N(C1177)&gt;=$E$2),"High",IF(OR(N(B1177)&gt;0,N(C1177)&gt;0),"Medium","Low")))</f>
        <v/>
      </c>
      <c r="E1177" s="22" t="n"/>
      <c r="F1177" s="22" t="n"/>
      <c r="G1177" s="22" t="n"/>
      <c r="H1177" s="22" t="n"/>
      <c r="I1177" s="22" t="n"/>
      <c r="J1177" s="22" t="n"/>
      <c r="K1177" s="22" t="n"/>
      <c r="L1177" s="22" t="n"/>
      <c r="M1177" s="22">
        <f>IF(K1177="Override",L1177,IF(K1177="Accept suggestion",F1177,IF(K1177="No change (same URL)",A1177,"")))</f>
        <v/>
      </c>
      <c r="N1177" s="22">
        <f>IF(A1177="","",IF(K1177="410 Gone","410",IF(K1177="404","404",IF(K1177="No change (same URL)","none",IF(M1177="","","301")))))</f>
        <v/>
      </c>
      <c r="O1177" s="22">
        <f>IF(A1177="","",IFERROR(MID(A1177,FIND("/",A1177,FIND("//",A1177)+2),2000),A1177))</f>
        <v/>
      </c>
      <c r="P1177" s="22">
        <f>IF(OR(O1177="",N1177="",N1177="none",N1177="404"),"",IF(N1177="410","Redirect gone "&amp;O1177,"Redirect "&amp;N1177&amp;" "&amp;O1177&amp;" "&amp;M1177))</f>
        <v/>
      </c>
      <c r="Q1177" s="22" t="n"/>
      <c r="R1177" s="22" t="n"/>
      <c r="S1177" s="22" t="n"/>
      <c r="T1177" s="4">
        <f>IF(A1177="","",TRIM(IF(K1177="","Needs decision; ","")&amp;IF(AND(K1177="Accept suggestion",F1177=""),"No suggestion to accept; ","")&amp;IF(AND(K1177="Override",L1177=""),"Override URL missing; ","")&amp;IF(AND(K1177="Accept suggestion",N(G1177)&lt;$G$2),"Below your threshold; ","")&amp;IF(AND(M1177&lt;&gt;"",M1177=A1177,K1177&lt;&gt;"No change (same URL)"),"Redirects to itself; ","")&amp;IF(AND(M1177&lt;&gt;"",OR(M1177="/",AND(LEFT(M1177,4)="http",OR((LEN(M1177)-LEN(SUBSTITUTE(M1177,"/","")))=2,AND((LEN(M1177)-LEN(SUBSTITUTE(M1177,"/","")))=3,RIGHT(M1177,1)="/"))))),"Home page redirect; ","")&amp;IF(N(R1177)&gt;1,"Chain; ","")&amp;IF(S1177="No","Destination not 200; ","")))</f>
        <v/>
      </c>
      <c r="U1177" s="22" t="n"/>
      <c r="V1177" s="22" t="n"/>
      <c r="W1177" s="4" t="n"/>
    </row>
    <row r="1178">
      <c r="A1178" s="22" t="n"/>
      <c r="B1178" s="22" t="n"/>
      <c r="C1178" s="22" t="n"/>
      <c r="D1178" s="22">
        <f>IF(A1178="","",IF(OR(N(B1178)&gt;=$C$2,N(C1178)&gt;=$E$2),"High",IF(OR(N(B1178)&gt;0,N(C1178)&gt;0),"Medium","Low")))</f>
        <v/>
      </c>
      <c r="E1178" s="22" t="n"/>
      <c r="F1178" s="22" t="n"/>
      <c r="G1178" s="22" t="n"/>
      <c r="H1178" s="22" t="n"/>
      <c r="I1178" s="22" t="n"/>
      <c r="J1178" s="22" t="n"/>
      <c r="K1178" s="22" t="n"/>
      <c r="L1178" s="22" t="n"/>
      <c r="M1178" s="22">
        <f>IF(K1178="Override",L1178,IF(K1178="Accept suggestion",F1178,IF(K1178="No change (same URL)",A1178,"")))</f>
        <v/>
      </c>
      <c r="N1178" s="22">
        <f>IF(A1178="","",IF(K1178="410 Gone","410",IF(K1178="404","404",IF(K1178="No change (same URL)","none",IF(M1178="","","301")))))</f>
        <v/>
      </c>
      <c r="O1178" s="22">
        <f>IF(A1178="","",IFERROR(MID(A1178,FIND("/",A1178,FIND("//",A1178)+2),2000),A1178))</f>
        <v/>
      </c>
      <c r="P1178" s="22">
        <f>IF(OR(O1178="",N1178="",N1178="none",N1178="404"),"",IF(N1178="410","Redirect gone "&amp;O1178,"Redirect "&amp;N1178&amp;" "&amp;O1178&amp;" "&amp;M1178))</f>
        <v/>
      </c>
      <c r="Q1178" s="22" t="n"/>
      <c r="R1178" s="22" t="n"/>
      <c r="S1178" s="22" t="n"/>
      <c r="T1178" s="4">
        <f>IF(A1178="","",TRIM(IF(K1178="","Needs decision; ","")&amp;IF(AND(K1178="Accept suggestion",F1178=""),"No suggestion to accept; ","")&amp;IF(AND(K1178="Override",L1178=""),"Override URL missing; ","")&amp;IF(AND(K1178="Accept suggestion",N(G1178)&lt;$G$2),"Below your threshold; ","")&amp;IF(AND(M1178&lt;&gt;"",M1178=A1178,K1178&lt;&gt;"No change (same URL)"),"Redirects to itself; ","")&amp;IF(AND(M1178&lt;&gt;"",OR(M1178="/",AND(LEFT(M1178,4)="http",OR((LEN(M1178)-LEN(SUBSTITUTE(M1178,"/","")))=2,AND((LEN(M1178)-LEN(SUBSTITUTE(M1178,"/","")))=3,RIGHT(M1178,1)="/"))))),"Home page redirect; ","")&amp;IF(N(R1178)&gt;1,"Chain; ","")&amp;IF(S1178="No","Destination not 200; ","")))</f>
        <v/>
      </c>
      <c r="U1178" s="22" t="n"/>
      <c r="V1178" s="22" t="n"/>
      <c r="W1178" s="4" t="n"/>
    </row>
    <row r="1179">
      <c r="A1179" s="22" t="n"/>
      <c r="B1179" s="22" t="n"/>
      <c r="C1179" s="22" t="n"/>
      <c r="D1179" s="22">
        <f>IF(A1179="","",IF(OR(N(B1179)&gt;=$C$2,N(C1179)&gt;=$E$2),"High",IF(OR(N(B1179)&gt;0,N(C1179)&gt;0),"Medium","Low")))</f>
        <v/>
      </c>
      <c r="E1179" s="22" t="n"/>
      <c r="F1179" s="22" t="n"/>
      <c r="G1179" s="22" t="n"/>
      <c r="H1179" s="22" t="n"/>
      <c r="I1179" s="22" t="n"/>
      <c r="J1179" s="22" t="n"/>
      <c r="K1179" s="22" t="n"/>
      <c r="L1179" s="22" t="n"/>
      <c r="M1179" s="22">
        <f>IF(K1179="Override",L1179,IF(K1179="Accept suggestion",F1179,IF(K1179="No change (same URL)",A1179,"")))</f>
        <v/>
      </c>
      <c r="N1179" s="22">
        <f>IF(A1179="","",IF(K1179="410 Gone","410",IF(K1179="404","404",IF(K1179="No change (same URL)","none",IF(M1179="","","301")))))</f>
        <v/>
      </c>
      <c r="O1179" s="22">
        <f>IF(A1179="","",IFERROR(MID(A1179,FIND("/",A1179,FIND("//",A1179)+2),2000),A1179))</f>
        <v/>
      </c>
      <c r="P1179" s="22">
        <f>IF(OR(O1179="",N1179="",N1179="none",N1179="404"),"",IF(N1179="410","Redirect gone "&amp;O1179,"Redirect "&amp;N1179&amp;" "&amp;O1179&amp;" "&amp;M1179))</f>
        <v/>
      </c>
      <c r="Q1179" s="22" t="n"/>
      <c r="R1179" s="22" t="n"/>
      <c r="S1179" s="22" t="n"/>
      <c r="T1179" s="4">
        <f>IF(A1179="","",TRIM(IF(K1179="","Needs decision; ","")&amp;IF(AND(K1179="Accept suggestion",F1179=""),"No suggestion to accept; ","")&amp;IF(AND(K1179="Override",L1179=""),"Override URL missing; ","")&amp;IF(AND(K1179="Accept suggestion",N(G1179)&lt;$G$2),"Below your threshold; ","")&amp;IF(AND(M1179&lt;&gt;"",M1179=A1179,K1179&lt;&gt;"No change (same URL)"),"Redirects to itself; ","")&amp;IF(AND(M1179&lt;&gt;"",OR(M1179="/",AND(LEFT(M1179,4)="http",OR((LEN(M1179)-LEN(SUBSTITUTE(M1179,"/","")))=2,AND((LEN(M1179)-LEN(SUBSTITUTE(M1179,"/","")))=3,RIGHT(M1179,1)="/"))))),"Home page redirect; ","")&amp;IF(N(R1179)&gt;1,"Chain; ","")&amp;IF(S1179="No","Destination not 200; ","")))</f>
        <v/>
      </c>
      <c r="U1179" s="22" t="n"/>
      <c r="V1179" s="22" t="n"/>
      <c r="W1179" s="4" t="n"/>
    </row>
    <row r="1180">
      <c r="A1180" s="22" t="n"/>
      <c r="B1180" s="22" t="n"/>
      <c r="C1180" s="22" t="n"/>
      <c r="D1180" s="22">
        <f>IF(A1180="","",IF(OR(N(B1180)&gt;=$C$2,N(C1180)&gt;=$E$2),"High",IF(OR(N(B1180)&gt;0,N(C1180)&gt;0),"Medium","Low")))</f>
        <v/>
      </c>
      <c r="E1180" s="22" t="n"/>
      <c r="F1180" s="22" t="n"/>
      <c r="G1180" s="22" t="n"/>
      <c r="H1180" s="22" t="n"/>
      <c r="I1180" s="22" t="n"/>
      <c r="J1180" s="22" t="n"/>
      <c r="K1180" s="22" t="n"/>
      <c r="L1180" s="22" t="n"/>
      <c r="M1180" s="22">
        <f>IF(K1180="Override",L1180,IF(K1180="Accept suggestion",F1180,IF(K1180="No change (same URL)",A1180,"")))</f>
        <v/>
      </c>
      <c r="N1180" s="22">
        <f>IF(A1180="","",IF(K1180="410 Gone","410",IF(K1180="404","404",IF(K1180="No change (same URL)","none",IF(M1180="","","301")))))</f>
        <v/>
      </c>
      <c r="O1180" s="22">
        <f>IF(A1180="","",IFERROR(MID(A1180,FIND("/",A1180,FIND("//",A1180)+2),2000),A1180))</f>
        <v/>
      </c>
      <c r="P1180" s="22">
        <f>IF(OR(O1180="",N1180="",N1180="none",N1180="404"),"",IF(N1180="410","Redirect gone "&amp;O1180,"Redirect "&amp;N1180&amp;" "&amp;O1180&amp;" "&amp;M1180))</f>
        <v/>
      </c>
      <c r="Q1180" s="22" t="n"/>
      <c r="R1180" s="22" t="n"/>
      <c r="S1180" s="22" t="n"/>
      <c r="T1180" s="4">
        <f>IF(A1180="","",TRIM(IF(K1180="","Needs decision; ","")&amp;IF(AND(K1180="Accept suggestion",F1180=""),"No suggestion to accept; ","")&amp;IF(AND(K1180="Override",L1180=""),"Override URL missing; ","")&amp;IF(AND(K1180="Accept suggestion",N(G1180)&lt;$G$2),"Below your threshold; ","")&amp;IF(AND(M1180&lt;&gt;"",M1180=A1180,K1180&lt;&gt;"No change (same URL)"),"Redirects to itself; ","")&amp;IF(AND(M1180&lt;&gt;"",OR(M1180="/",AND(LEFT(M1180,4)="http",OR((LEN(M1180)-LEN(SUBSTITUTE(M1180,"/","")))=2,AND((LEN(M1180)-LEN(SUBSTITUTE(M1180,"/","")))=3,RIGHT(M1180,1)="/"))))),"Home page redirect; ","")&amp;IF(N(R1180)&gt;1,"Chain; ","")&amp;IF(S1180="No","Destination not 200; ","")))</f>
        <v/>
      </c>
      <c r="U1180" s="22" t="n"/>
      <c r="V1180" s="22" t="n"/>
      <c r="W1180" s="4" t="n"/>
    </row>
    <row r="1181">
      <c r="A1181" s="22" t="n"/>
      <c r="B1181" s="22" t="n"/>
      <c r="C1181" s="22" t="n"/>
      <c r="D1181" s="22">
        <f>IF(A1181="","",IF(OR(N(B1181)&gt;=$C$2,N(C1181)&gt;=$E$2),"High",IF(OR(N(B1181)&gt;0,N(C1181)&gt;0),"Medium","Low")))</f>
        <v/>
      </c>
      <c r="E1181" s="22" t="n"/>
      <c r="F1181" s="22" t="n"/>
      <c r="G1181" s="22" t="n"/>
      <c r="H1181" s="22" t="n"/>
      <c r="I1181" s="22" t="n"/>
      <c r="J1181" s="22" t="n"/>
      <c r="K1181" s="22" t="n"/>
      <c r="L1181" s="22" t="n"/>
      <c r="M1181" s="22">
        <f>IF(K1181="Override",L1181,IF(K1181="Accept suggestion",F1181,IF(K1181="No change (same URL)",A1181,"")))</f>
        <v/>
      </c>
      <c r="N1181" s="22">
        <f>IF(A1181="","",IF(K1181="410 Gone","410",IF(K1181="404","404",IF(K1181="No change (same URL)","none",IF(M1181="","","301")))))</f>
        <v/>
      </c>
      <c r="O1181" s="22">
        <f>IF(A1181="","",IFERROR(MID(A1181,FIND("/",A1181,FIND("//",A1181)+2),2000),A1181))</f>
        <v/>
      </c>
      <c r="P1181" s="22">
        <f>IF(OR(O1181="",N1181="",N1181="none",N1181="404"),"",IF(N1181="410","Redirect gone "&amp;O1181,"Redirect "&amp;N1181&amp;" "&amp;O1181&amp;" "&amp;M1181))</f>
        <v/>
      </c>
      <c r="Q1181" s="22" t="n"/>
      <c r="R1181" s="22" t="n"/>
      <c r="S1181" s="22" t="n"/>
      <c r="T1181" s="4">
        <f>IF(A1181="","",TRIM(IF(K1181="","Needs decision; ","")&amp;IF(AND(K1181="Accept suggestion",F1181=""),"No suggestion to accept; ","")&amp;IF(AND(K1181="Override",L1181=""),"Override URL missing; ","")&amp;IF(AND(K1181="Accept suggestion",N(G1181)&lt;$G$2),"Below your threshold; ","")&amp;IF(AND(M1181&lt;&gt;"",M1181=A1181,K1181&lt;&gt;"No change (same URL)"),"Redirects to itself; ","")&amp;IF(AND(M1181&lt;&gt;"",OR(M1181="/",AND(LEFT(M1181,4)="http",OR((LEN(M1181)-LEN(SUBSTITUTE(M1181,"/","")))=2,AND((LEN(M1181)-LEN(SUBSTITUTE(M1181,"/","")))=3,RIGHT(M1181,1)="/"))))),"Home page redirect; ","")&amp;IF(N(R1181)&gt;1,"Chain; ","")&amp;IF(S1181="No","Destination not 200; ","")))</f>
        <v/>
      </c>
      <c r="U1181" s="22" t="n"/>
      <c r="V1181" s="22" t="n"/>
      <c r="W1181" s="4" t="n"/>
    </row>
    <row r="1182">
      <c r="A1182" s="22" t="n"/>
      <c r="B1182" s="22" t="n"/>
      <c r="C1182" s="22" t="n"/>
      <c r="D1182" s="22">
        <f>IF(A1182="","",IF(OR(N(B1182)&gt;=$C$2,N(C1182)&gt;=$E$2),"High",IF(OR(N(B1182)&gt;0,N(C1182)&gt;0),"Medium","Low")))</f>
        <v/>
      </c>
      <c r="E1182" s="22" t="n"/>
      <c r="F1182" s="22" t="n"/>
      <c r="G1182" s="22" t="n"/>
      <c r="H1182" s="22" t="n"/>
      <c r="I1182" s="22" t="n"/>
      <c r="J1182" s="22" t="n"/>
      <c r="K1182" s="22" t="n"/>
      <c r="L1182" s="22" t="n"/>
      <c r="M1182" s="22">
        <f>IF(K1182="Override",L1182,IF(K1182="Accept suggestion",F1182,IF(K1182="No change (same URL)",A1182,"")))</f>
        <v/>
      </c>
      <c r="N1182" s="22">
        <f>IF(A1182="","",IF(K1182="410 Gone","410",IF(K1182="404","404",IF(K1182="No change (same URL)","none",IF(M1182="","","301")))))</f>
        <v/>
      </c>
      <c r="O1182" s="22">
        <f>IF(A1182="","",IFERROR(MID(A1182,FIND("/",A1182,FIND("//",A1182)+2),2000),A1182))</f>
        <v/>
      </c>
      <c r="P1182" s="22">
        <f>IF(OR(O1182="",N1182="",N1182="none",N1182="404"),"",IF(N1182="410","Redirect gone "&amp;O1182,"Redirect "&amp;N1182&amp;" "&amp;O1182&amp;" "&amp;M1182))</f>
        <v/>
      </c>
      <c r="Q1182" s="22" t="n"/>
      <c r="R1182" s="22" t="n"/>
      <c r="S1182" s="22" t="n"/>
      <c r="T1182" s="4">
        <f>IF(A1182="","",TRIM(IF(K1182="","Needs decision; ","")&amp;IF(AND(K1182="Accept suggestion",F1182=""),"No suggestion to accept; ","")&amp;IF(AND(K1182="Override",L1182=""),"Override URL missing; ","")&amp;IF(AND(K1182="Accept suggestion",N(G1182)&lt;$G$2),"Below your threshold; ","")&amp;IF(AND(M1182&lt;&gt;"",M1182=A1182,K1182&lt;&gt;"No change (same URL)"),"Redirects to itself; ","")&amp;IF(AND(M1182&lt;&gt;"",OR(M1182="/",AND(LEFT(M1182,4)="http",OR((LEN(M1182)-LEN(SUBSTITUTE(M1182,"/","")))=2,AND((LEN(M1182)-LEN(SUBSTITUTE(M1182,"/","")))=3,RIGHT(M1182,1)="/"))))),"Home page redirect; ","")&amp;IF(N(R1182)&gt;1,"Chain; ","")&amp;IF(S1182="No","Destination not 200; ","")))</f>
        <v/>
      </c>
      <c r="U1182" s="22" t="n"/>
      <c r="V1182" s="22" t="n"/>
      <c r="W1182" s="4" t="n"/>
    </row>
    <row r="1183">
      <c r="A1183" s="22" t="n"/>
      <c r="B1183" s="22" t="n"/>
      <c r="C1183" s="22" t="n"/>
      <c r="D1183" s="22">
        <f>IF(A1183="","",IF(OR(N(B1183)&gt;=$C$2,N(C1183)&gt;=$E$2),"High",IF(OR(N(B1183)&gt;0,N(C1183)&gt;0),"Medium","Low")))</f>
        <v/>
      </c>
      <c r="E1183" s="22" t="n"/>
      <c r="F1183" s="22" t="n"/>
      <c r="G1183" s="22" t="n"/>
      <c r="H1183" s="22" t="n"/>
      <c r="I1183" s="22" t="n"/>
      <c r="J1183" s="22" t="n"/>
      <c r="K1183" s="22" t="n"/>
      <c r="L1183" s="22" t="n"/>
      <c r="M1183" s="22">
        <f>IF(K1183="Override",L1183,IF(K1183="Accept suggestion",F1183,IF(K1183="No change (same URL)",A1183,"")))</f>
        <v/>
      </c>
      <c r="N1183" s="22">
        <f>IF(A1183="","",IF(K1183="410 Gone","410",IF(K1183="404","404",IF(K1183="No change (same URL)","none",IF(M1183="","","301")))))</f>
        <v/>
      </c>
      <c r="O1183" s="22">
        <f>IF(A1183="","",IFERROR(MID(A1183,FIND("/",A1183,FIND("//",A1183)+2),2000),A1183))</f>
        <v/>
      </c>
      <c r="P1183" s="22">
        <f>IF(OR(O1183="",N1183="",N1183="none",N1183="404"),"",IF(N1183="410","Redirect gone "&amp;O1183,"Redirect "&amp;N1183&amp;" "&amp;O1183&amp;" "&amp;M1183))</f>
        <v/>
      </c>
      <c r="Q1183" s="22" t="n"/>
      <c r="R1183" s="22" t="n"/>
      <c r="S1183" s="22" t="n"/>
      <c r="T1183" s="4">
        <f>IF(A1183="","",TRIM(IF(K1183="","Needs decision; ","")&amp;IF(AND(K1183="Accept suggestion",F1183=""),"No suggestion to accept; ","")&amp;IF(AND(K1183="Override",L1183=""),"Override URL missing; ","")&amp;IF(AND(K1183="Accept suggestion",N(G1183)&lt;$G$2),"Below your threshold; ","")&amp;IF(AND(M1183&lt;&gt;"",M1183=A1183,K1183&lt;&gt;"No change (same URL)"),"Redirects to itself; ","")&amp;IF(AND(M1183&lt;&gt;"",OR(M1183="/",AND(LEFT(M1183,4)="http",OR((LEN(M1183)-LEN(SUBSTITUTE(M1183,"/","")))=2,AND((LEN(M1183)-LEN(SUBSTITUTE(M1183,"/","")))=3,RIGHT(M1183,1)="/"))))),"Home page redirect; ","")&amp;IF(N(R1183)&gt;1,"Chain; ","")&amp;IF(S1183="No","Destination not 200; ","")))</f>
        <v/>
      </c>
      <c r="U1183" s="22" t="n"/>
      <c r="V1183" s="22" t="n"/>
      <c r="W1183" s="4" t="n"/>
    </row>
    <row r="1184">
      <c r="A1184" s="22" t="n"/>
      <c r="B1184" s="22" t="n"/>
      <c r="C1184" s="22" t="n"/>
      <c r="D1184" s="22">
        <f>IF(A1184="","",IF(OR(N(B1184)&gt;=$C$2,N(C1184)&gt;=$E$2),"High",IF(OR(N(B1184)&gt;0,N(C1184)&gt;0),"Medium","Low")))</f>
        <v/>
      </c>
      <c r="E1184" s="22" t="n"/>
      <c r="F1184" s="22" t="n"/>
      <c r="G1184" s="22" t="n"/>
      <c r="H1184" s="22" t="n"/>
      <c r="I1184" s="22" t="n"/>
      <c r="J1184" s="22" t="n"/>
      <c r="K1184" s="22" t="n"/>
      <c r="L1184" s="22" t="n"/>
      <c r="M1184" s="22">
        <f>IF(K1184="Override",L1184,IF(K1184="Accept suggestion",F1184,IF(K1184="No change (same URL)",A1184,"")))</f>
        <v/>
      </c>
      <c r="N1184" s="22">
        <f>IF(A1184="","",IF(K1184="410 Gone","410",IF(K1184="404","404",IF(K1184="No change (same URL)","none",IF(M1184="","","301")))))</f>
        <v/>
      </c>
      <c r="O1184" s="22">
        <f>IF(A1184="","",IFERROR(MID(A1184,FIND("/",A1184,FIND("//",A1184)+2),2000),A1184))</f>
        <v/>
      </c>
      <c r="P1184" s="22">
        <f>IF(OR(O1184="",N1184="",N1184="none",N1184="404"),"",IF(N1184="410","Redirect gone "&amp;O1184,"Redirect "&amp;N1184&amp;" "&amp;O1184&amp;" "&amp;M1184))</f>
        <v/>
      </c>
      <c r="Q1184" s="22" t="n"/>
      <c r="R1184" s="22" t="n"/>
      <c r="S1184" s="22" t="n"/>
      <c r="T1184" s="4">
        <f>IF(A1184="","",TRIM(IF(K1184="","Needs decision; ","")&amp;IF(AND(K1184="Accept suggestion",F1184=""),"No suggestion to accept; ","")&amp;IF(AND(K1184="Override",L1184=""),"Override URL missing; ","")&amp;IF(AND(K1184="Accept suggestion",N(G1184)&lt;$G$2),"Below your threshold; ","")&amp;IF(AND(M1184&lt;&gt;"",M1184=A1184,K1184&lt;&gt;"No change (same URL)"),"Redirects to itself; ","")&amp;IF(AND(M1184&lt;&gt;"",OR(M1184="/",AND(LEFT(M1184,4)="http",OR((LEN(M1184)-LEN(SUBSTITUTE(M1184,"/","")))=2,AND((LEN(M1184)-LEN(SUBSTITUTE(M1184,"/","")))=3,RIGHT(M1184,1)="/"))))),"Home page redirect; ","")&amp;IF(N(R1184)&gt;1,"Chain; ","")&amp;IF(S1184="No","Destination not 200; ","")))</f>
        <v/>
      </c>
      <c r="U1184" s="22" t="n"/>
      <c r="V1184" s="22" t="n"/>
      <c r="W1184" s="4" t="n"/>
    </row>
    <row r="1185">
      <c r="A1185" s="22" t="n"/>
      <c r="B1185" s="22" t="n"/>
      <c r="C1185" s="22" t="n"/>
      <c r="D1185" s="22">
        <f>IF(A1185="","",IF(OR(N(B1185)&gt;=$C$2,N(C1185)&gt;=$E$2),"High",IF(OR(N(B1185)&gt;0,N(C1185)&gt;0),"Medium","Low")))</f>
        <v/>
      </c>
      <c r="E1185" s="22" t="n"/>
      <c r="F1185" s="22" t="n"/>
      <c r="G1185" s="22" t="n"/>
      <c r="H1185" s="22" t="n"/>
      <c r="I1185" s="22" t="n"/>
      <c r="J1185" s="22" t="n"/>
      <c r="K1185" s="22" t="n"/>
      <c r="L1185" s="22" t="n"/>
      <c r="M1185" s="22">
        <f>IF(K1185="Override",L1185,IF(K1185="Accept suggestion",F1185,IF(K1185="No change (same URL)",A1185,"")))</f>
        <v/>
      </c>
      <c r="N1185" s="22">
        <f>IF(A1185="","",IF(K1185="410 Gone","410",IF(K1185="404","404",IF(K1185="No change (same URL)","none",IF(M1185="","","301")))))</f>
        <v/>
      </c>
      <c r="O1185" s="22">
        <f>IF(A1185="","",IFERROR(MID(A1185,FIND("/",A1185,FIND("//",A1185)+2),2000),A1185))</f>
        <v/>
      </c>
      <c r="P1185" s="22">
        <f>IF(OR(O1185="",N1185="",N1185="none",N1185="404"),"",IF(N1185="410","Redirect gone "&amp;O1185,"Redirect "&amp;N1185&amp;" "&amp;O1185&amp;" "&amp;M1185))</f>
        <v/>
      </c>
      <c r="Q1185" s="22" t="n"/>
      <c r="R1185" s="22" t="n"/>
      <c r="S1185" s="22" t="n"/>
      <c r="T1185" s="4">
        <f>IF(A1185="","",TRIM(IF(K1185="","Needs decision; ","")&amp;IF(AND(K1185="Accept suggestion",F1185=""),"No suggestion to accept; ","")&amp;IF(AND(K1185="Override",L1185=""),"Override URL missing; ","")&amp;IF(AND(K1185="Accept suggestion",N(G1185)&lt;$G$2),"Below your threshold; ","")&amp;IF(AND(M1185&lt;&gt;"",M1185=A1185,K1185&lt;&gt;"No change (same URL)"),"Redirects to itself; ","")&amp;IF(AND(M1185&lt;&gt;"",OR(M1185="/",AND(LEFT(M1185,4)="http",OR((LEN(M1185)-LEN(SUBSTITUTE(M1185,"/","")))=2,AND((LEN(M1185)-LEN(SUBSTITUTE(M1185,"/","")))=3,RIGHT(M1185,1)="/"))))),"Home page redirect; ","")&amp;IF(N(R1185)&gt;1,"Chain; ","")&amp;IF(S1185="No","Destination not 200; ","")))</f>
        <v/>
      </c>
      <c r="U1185" s="22" t="n"/>
      <c r="V1185" s="22" t="n"/>
      <c r="W1185" s="4" t="n"/>
    </row>
    <row r="1186">
      <c r="A1186" s="22" t="n"/>
      <c r="B1186" s="22" t="n"/>
      <c r="C1186" s="22" t="n"/>
      <c r="D1186" s="22">
        <f>IF(A1186="","",IF(OR(N(B1186)&gt;=$C$2,N(C1186)&gt;=$E$2),"High",IF(OR(N(B1186)&gt;0,N(C1186)&gt;0),"Medium","Low")))</f>
        <v/>
      </c>
      <c r="E1186" s="22" t="n"/>
      <c r="F1186" s="22" t="n"/>
      <c r="G1186" s="22" t="n"/>
      <c r="H1186" s="22" t="n"/>
      <c r="I1186" s="22" t="n"/>
      <c r="J1186" s="22" t="n"/>
      <c r="K1186" s="22" t="n"/>
      <c r="L1186" s="22" t="n"/>
      <c r="M1186" s="22">
        <f>IF(K1186="Override",L1186,IF(K1186="Accept suggestion",F1186,IF(K1186="No change (same URL)",A1186,"")))</f>
        <v/>
      </c>
      <c r="N1186" s="22">
        <f>IF(A1186="","",IF(K1186="410 Gone","410",IF(K1186="404","404",IF(K1186="No change (same URL)","none",IF(M1186="","","301")))))</f>
        <v/>
      </c>
      <c r="O1186" s="22">
        <f>IF(A1186="","",IFERROR(MID(A1186,FIND("/",A1186,FIND("//",A1186)+2),2000),A1186))</f>
        <v/>
      </c>
      <c r="P1186" s="22">
        <f>IF(OR(O1186="",N1186="",N1186="none",N1186="404"),"",IF(N1186="410","Redirect gone "&amp;O1186,"Redirect "&amp;N1186&amp;" "&amp;O1186&amp;" "&amp;M1186))</f>
        <v/>
      </c>
      <c r="Q1186" s="22" t="n"/>
      <c r="R1186" s="22" t="n"/>
      <c r="S1186" s="22" t="n"/>
      <c r="T1186" s="4">
        <f>IF(A1186="","",TRIM(IF(K1186="","Needs decision; ","")&amp;IF(AND(K1186="Accept suggestion",F1186=""),"No suggestion to accept; ","")&amp;IF(AND(K1186="Override",L1186=""),"Override URL missing; ","")&amp;IF(AND(K1186="Accept suggestion",N(G1186)&lt;$G$2),"Below your threshold; ","")&amp;IF(AND(M1186&lt;&gt;"",M1186=A1186,K1186&lt;&gt;"No change (same URL)"),"Redirects to itself; ","")&amp;IF(AND(M1186&lt;&gt;"",OR(M1186="/",AND(LEFT(M1186,4)="http",OR((LEN(M1186)-LEN(SUBSTITUTE(M1186,"/","")))=2,AND((LEN(M1186)-LEN(SUBSTITUTE(M1186,"/","")))=3,RIGHT(M1186,1)="/"))))),"Home page redirect; ","")&amp;IF(N(R1186)&gt;1,"Chain; ","")&amp;IF(S1186="No","Destination not 200; ","")))</f>
        <v/>
      </c>
      <c r="U1186" s="22" t="n"/>
      <c r="V1186" s="22" t="n"/>
      <c r="W1186" s="4" t="n"/>
    </row>
    <row r="1187">
      <c r="A1187" s="22" t="n"/>
      <c r="B1187" s="22" t="n"/>
      <c r="C1187" s="22" t="n"/>
      <c r="D1187" s="22">
        <f>IF(A1187="","",IF(OR(N(B1187)&gt;=$C$2,N(C1187)&gt;=$E$2),"High",IF(OR(N(B1187)&gt;0,N(C1187)&gt;0),"Medium","Low")))</f>
        <v/>
      </c>
      <c r="E1187" s="22" t="n"/>
      <c r="F1187" s="22" t="n"/>
      <c r="G1187" s="22" t="n"/>
      <c r="H1187" s="22" t="n"/>
      <c r="I1187" s="22" t="n"/>
      <c r="J1187" s="22" t="n"/>
      <c r="K1187" s="22" t="n"/>
      <c r="L1187" s="22" t="n"/>
      <c r="M1187" s="22">
        <f>IF(K1187="Override",L1187,IF(K1187="Accept suggestion",F1187,IF(K1187="No change (same URL)",A1187,"")))</f>
        <v/>
      </c>
      <c r="N1187" s="22">
        <f>IF(A1187="","",IF(K1187="410 Gone","410",IF(K1187="404","404",IF(K1187="No change (same URL)","none",IF(M1187="","","301")))))</f>
        <v/>
      </c>
      <c r="O1187" s="22">
        <f>IF(A1187="","",IFERROR(MID(A1187,FIND("/",A1187,FIND("//",A1187)+2),2000),A1187))</f>
        <v/>
      </c>
      <c r="P1187" s="22">
        <f>IF(OR(O1187="",N1187="",N1187="none",N1187="404"),"",IF(N1187="410","Redirect gone "&amp;O1187,"Redirect "&amp;N1187&amp;" "&amp;O1187&amp;" "&amp;M1187))</f>
        <v/>
      </c>
      <c r="Q1187" s="22" t="n"/>
      <c r="R1187" s="22" t="n"/>
      <c r="S1187" s="22" t="n"/>
      <c r="T1187" s="4">
        <f>IF(A1187="","",TRIM(IF(K1187="","Needs decision; ","")&amp;IF(AND(K1187="Accept suggestion",F1187=""),"No suggestion to accept; ","")&amp;IF(AND(K1187="Override",L1187=""),"Override URL missing; ","")&amp;IF(AND(K1187="Accept suggestion",N(G1187)&lt;$G$2),"Below your threshold; ","")&amp;IF(AND(M1187&lt;&gt;"",M1187=A1187,K1187&lt;&gt;"No change (same URL)"),"Redirects to itself; ","")&amp;IF(AND(M1187&lt;&gt;"",OR(M1187="/",AND(LEFT(M1187,4)="http",OR((LEN(M1187)-LEN(SUBSTITUTE(M1187,"/","")))=2,AND((LEN(M1187)-LEN(SUBSTITUTE(M1187,"/","")))=3,RIGHT(M1187,1)="/"))))),"Home page redirect; ","")&amp;IF(N(R1187)&gt;1,"Chain; ","")&amp;IF(S1187="No","Destination not 200; ","")))</f>
        <v/>
      </c>
      <c r="U1187" s="22" t="n"/>
      <c r="V1187" s="22" t="n"/>
      <c r="W1187" s="4" t="n"/>
    </row>
    <row r="1188">
      <c r="A1188" s="22" t="n"/>
      <c r="B1188" s="22" t="n"/>
      <c r="C1188" s="22" t="n"/>
      <c r="D1188" s="22">
        <f>IF(A1188="","",IF(OR(N(B1188)&gt;=$C$2,N(C1188)&gt;=$E$2),"High",IF(OR(N(B1188)&gt;0,N(C1188)&gt;0),"Medium","Low")))</f>
        <v/>
      </c>
      <c r="E1188" s="22" t="n"/>
      <c r="F1188" s="22" t="n"/>
      <c r="G1188" s="22" t="n"/>
      <c r="H1188" s="22" t="n"/>
      <c r="I1188" s="22" t="n"/>
      <c r="J1188" s="22" t="n"/>
      <c r="K1188" s="22" t="n"/>
      <c r="L1188" s="22" t="n"/>
      <c r="M1188" s="22">
        <f>IF(K1188="Override",L1188,IF(K1188="Accept suggestion",F1188,IF(K1188="No change (same URL)",A1188,"")))</f>
        <v/>
      </c>
      <c r="N1188" s="22">
        <f>IF(A1188="","",IF(K1188="410 Gone","410",IF(K1188="404","404",IF(K1188="No change (same URL)","none",IF(M1188="","","301")))))</f>
        <v/>
      </c>
      <c r="O1188" s="22">
        <f>IF(A1188="","",IFERROR(MID(A1188,FIND("/",A1188,FIND("//",A1188)+2),2000),A1188))</f>
        <v/>
      </c>
      <c r="P1188" s="22">
        <f>IF(OR(O1188="",N1188="",N1188="none",N1188="404"),"",IF(N1188="410","Redirect gone "&amp;O1188,"Redirect "&amp;N1188&amp;" "&amp;O1188&amp;" "&amp;M1188))</f>
        <v/>
      </c>
      <c r="Q1188" s="22" t="n"/>
      <c r="R1188" s="22" t="n"/>
      <c r="S1188" s="22" t="n"/>
      <c r="T1188" s="4">
        <f>IF(A1188="","",TRIM(IF(K1188="","Needs decision; ","")&amp;IF(AND(K1188="Accept suggestion",F1188=""),"No suggestion to accept; ","")&amp;IF(AND(K1188="Override",L1188=""),"Override URL missing; ","")&amp;IF(AND(K1188="Accept suggestion",N(G1188)&lt;$G$2),"Below your threshold; ","")&amp;IF(AND(M1188&lt;&gt;"",M1188=A1188,K1188&lt;&gt;"No change (same URL)"),"Redirects to itself; ","")&amp;IF(AND(M1188&lt;&gt;"",OR(M1188="/",AND(LEFT(M1188,4)="http",OR((LEN(M1188)-LEN(SUBSTITUTE(M1188,"/","")))=2,AND((LEN(M1188)-LEN(SUBSTITUTE(M1188,"/","")))=3,RIGHT(M1188,1)="/"))))),"Home page redirect; ","")&amp;IF(N(R1188)&gt;1,"Chain; ","")&amp;IF(S1188="No","Destination not 200; ","")))</f>
        <v/>
      </c>
      <c r="U1188" s="22" t="n"/>
      <c r="V1188" s="22" t="n"/>
      <c r="W1188" s="4" t="n"/>
    </row>
    <row r="1189">
      <c r="A1189" s="22" t="n"/>
      <c r="B1189" s="22" t="n"/>
      <c r="C1189" s="22" t="n"/>
      <c r="D1189" s="22">
        <f>IF(A1189="","",IF(OR(N(B1189)&gt;=$C$2,N(C1189)&gt;=$E$2),"High",IF(OR(N(B1189)&gt;0,N(C1189)&gt;0),"Medium","Low")))</f>
        <v/>
      </c>
      <c r="E1189" s="22" t="n"/>
      <c r="F1189" s="22" t="n"/>
      <c r="G1189" s="22" t="n"/>
      <c r="H1189" s="22" t="n"/>
      <c r="I1189" s="22" t="n"/>
      <c r="J1189" s="22" t="n"/>
      <c r="K1189" s="22" t="n"/>
      <c r="L1189" s="22" t="n"/>
      <c r="M1189" s="22">
        <f>IF(K1189="Override",L1189,IF(K1189="Accept suggestion",F1189,IF(K1189="No change (same URL)",A1189,"")))</f>
        <v/>
      </c>
      <c r="N1189" s="22">
        <f>IF(A1189="","",IF(K1189="410 Gone","410",IF(K1189="404","404",IF(K1189="No change (same URL)","none",IF(M1189="","","301")))))</f>
        <v/>
      </c>
      <c r="O1189" s="22">
        <f>IF(A1189="","",IFERROR(MID(A1189,FIND("/",A1189,FIND("//",A1189)+2),2000),A1189))</f>
        <v/>
      </c>
      <c r="P1189" s="22">
        <f>IF(OR(O1189="",N1189="",N1189="none",N1189="404"),"",IF(N1189="410","Redirect gone "&amp;O1189,"Redirect "&amp;N1189&amp;" "&amp;O1189&amp;" "&amp;M1189))</f>
        <v/>
      </c>
      <c r="Q1189" s="22" t="n"/>
      <c r="R1189" s="22" t="n"/>
      <c r="S1189" s="22" t="n"/>
      <c r="T1189" s="4">
        <f>IF(A1189="","",TRIM(IF(K1189="","Needs decision; ","")&amp;IF(AND(K1189="Accept suggestion",F1189=""),"No suggestion to accept; ","")&amp;IF(AND(K1189="Override",L1189=""),"Override URL missing; ","")&amp;IF(AND(K1189="Accept suggestion",N(G1189)&lt;$G$2),"Below your threshold; ","")&amp;IF(AND(M1189&lt;&gt;"",M1189=A1189,K1189&lt;&gt;"No change (same URL)"),"Redirects to itself; ","")&amp;IF(AND(M1189&lt;&gt;"",OR(M1189="/",AND(LEFT(M1189,4)="http",OR((LEN(M1189)-LEN(SUBSTITUTE(M1189,"/","")))=2,AND((LEN(M1189)-LEN(SUBSTITUTE(M1189,"/","")))=3,RIGHT(M1189,1)="/"))))),"Home page redirect; ","")&amp;IF(N(R1189)&gt;1,"Chain; ","")&amp;IF(S1189="No","Destination not 200; ","")))</f>
        <v/>
      </c>
      <c r="U1189" s="22" t="n"/>
      <c r="V1189" s="22" t="n"/>
      <c r="W1189" s="4" t="n"/>
    </row>
    <row r="1190">
      <c r="A1190" s="22" t="n"/>
      <c r="B1190" s="22" t="n"/>
      <c r="C1190" s="22" t="n"/>
      <c r="D1190" s="22">
        <f>IF(A1190="","",IF(OR(N(B1190)&gt;=$C$2,N(C1190)&gt;=$E$2),"High",IF(OR(N(B1190)&gt;0,N(C1190)&gt;0),"Medium","Low")))</f>
        <v/>
      </c>
      <c r="E1190" s="22" t="n"/>
      <c r="F1190" s="22" t="n"/>
      <c r="G1190" s="22" t="n"/>
      <c r="H1190" s="22" t="n"/>
      <c r="I1190" s="22" t="n"/>
      <c r="J1190" s="22" t="n"/>
      <c r="K1190" s="22" t="n"/>
      <c r="L1190" s="22" t="n"/>
      <c r="M1190" s="22">
        <f>IF(K1190="Override",L1190,IF(K1190="Accept suggestion",F1190,IF(K1190="No change (same URL)",A1190,"")))</f>
        <v/>
      </c>
      <c r="N1190" s="22">
        <f>IF(A1190="","",IF(K1190="410 Gone","410",IF(K1190="404","404",IF(K1190="No change (same URL)","none",IF(M1190="","","301")))))</f>
        <v/>
      </c>
      <c r="O1190" s="22">
        <f>IF(A1190="","",IFERROR(MID(A1190,FIND("/",A1190,FIND("//",A1190)+2),2000),A1190))</f>
        <v/>
      </c>
      <c r="P1190" s="22">
        <f>IF(OR(O1190="",N1190="",N1190="none",N1190="404"),"",IF(N1190="410","Redirect gone "&amp;O1190,"Redirect "&amp;N1190&amp;" "&amp;O1190&amp;" "&amp;M1190))</f>
        <v/>
      </c>
      <c r="Q1190" s="22" t="n"/>
      <c r="R1190" s="22" t="n"/>
      <c r="S1190" s="22" t="n"/>
      <c r="T1190" s="4">
        <f>IF(A1190="","",TRIM(IF(K1190="","Needs decision; ","")&amp;IF(AND(K1190="Accept suggestion",F1190=""),"No suggestion to accept; ","")&amp;IF(AND(K1190="Override",L1190=""),"Override URL missing; ","")&amp;IF(AND(K1190="Accept suggestion",N(G1190)&lt;$G$2),"Below your threshold; ","")&amp;IF(AND(M1190&lt;&gt;"",M1190=A1190,K1190&lt;&gt;"No change (same URL)"),"Redirects to itself; ","")&amp;IF(AND(M1190&lt;&gt;"",OR(M1190="/",AND(LEFT(M1190,4)="http",OR((LEN(M1190)-LEN(SUBSTITUTE(M1190,"/","")))=2,AND((LEN(M1190)-LEN(SUBSTITUTE(M1190,"/","")))=3,RIGHT(M1190,1)="/"))))),"Home page redirect; ","")&amp;IF(N(R1190)&gt;1,"Chain; ","")&amp;IF(S1190="No","Destination not 200; ","")))</f>
        <v/>
      </c>
      <c r="U1190" s="22" t="n"/>
      <c r="V1190" s="22" t="n"/>
      <c r="W1190" s="4" t="n"/>
    </row>
    <row r="1191">
      <c r="A1191" s="22" t="n"/>
      <c r="B1191" s="22" t="n"/>
      <c r="C1191" s="22" t="n"/>
      <c r="D1191" s="22">
        <f>IF(A1191="","",IF(OR(N(B1191)&gt;=$C$2,N(C1191)&gt;=$E$2),"High",IF(OR(N(B1191)&gt;0,N(C1191)&gt;0),"Medium","Low")))</f>
        <v/>
      </c>
      <c r="E1191" s="22" t="n"/>
      <c r="F1191" s="22" t="n"/>
      <c r="G1191" s="22" t="n"/>
      <c r="H1191" s="22" t="n"/>
      <c r="I1191" s="22" t="n"/>
      <c r="J1191" s="22" t="n"/>
      <c r="K1191" s="22" t="n"/>
      <c r="L1191" s="22" t="n"/>
      <c r="M1191" s="22">
        <f>IF(K1191="Override",L1191,IF(K1191="Accept suggestion",F1191,IF(K1191="No change (same URL)",A1191,"")))</f>
        <v/>
      </c>
      <c r="N1191" s="22">
        <f>IF(A1191="","",IF(K1191="410 Gone","410",IF(K1191="404","404",IF(K1191="No change (same URL)","none",IF(M1191="","","301")))))</f>
        <v/>
      </c>
      <c r="O1191" s="22">
        <f>IF(A1191="","",IFERROR(MID(A1191,FIND("/",A1191,FIND("//",A1191)+2),2000),A1191))</f>
        <v/>
      </c>
      <c r="P1191" s="22">
        <f>IF(OR(O1191="",N1191="",N1191="none",N1191="404"),"",IF(N1191="410","Redirect gone "&amp;O1191,"Redirect "&amp;N1191&amp;" "&amp;O1191&amp;" "&amp;M1191))</f>
        <v/>
      </c>
      <c r="Q1191" s="22" t="n"/>
      <c r="R1191" s="22" t="n"/>
      <c r="S1191" s="22" t="n"/>
      <c r="T1191" s="4">
        <f>IF(A1191="","",TRIM(IF(K1191="","Needs decision; ","")&amp;IF(AND(K1191="Accept suggestion",F1191=""),"No suggestion to accept; ","")&amp;IF(AND(K1191="Override",L1191=""),"Override URL missing; ","")&amp;IF(AND(K1191="Accept suggestion",N(G1191)&lt;$G$2),"Below your threshold; ","")&amp;IF(AND(M1191&lt;&gt;"",M1191=A1191,K1191&lt;&gt;"No change (same URL)"),"Redirects to itself; ","")&amp;IF(AND(M1191&lt;&gt;"",OR(M1191="/",AND(LEFT(M1191,4)="http",OR((LEN(M1191)-LEN(SUBSTITUTE(M1191,"/","")))=2,AND((LEN(M1191)-LEN(SUBSTITUTE(M1191,"/","")))=3,RIGHT(M1191,1)="/"))))),"Home page redirect; ","")&amp;IF(N(R1191)&gt;1,"Chain; ","")&amp;IF(S1191="No","Destination not 200; ","")))</f>
        <v/>
      </c>
      <c r="U1191" s="22" t="n"/>
      <c r="V1191" s="22" t="n"/>
      <c r="W1191" s="4" t="n"/>
    </row>
    <row r="1192">
      <c r="A1192" s="22" t="n"/>
      <c r="B1192" s="22" t="n"/>
      <c r="C1192" s="22" t="n"/>
      <c r="D1192" s="22">
        <f>IF(A1192="","",IF(OR(N(B1192)&gt;=$C$2,N(C1192)&gt;=$E$2),"High",IF(OR(N(B1192)&gt;0,N(C1192)&gt;0),"Medium","Low")))</f>
        <v/>
      </c>
      <c r="E1192" s="22" t="n"/>
      <c r="F1192" s="22" t="n"/>
      <c r="G1192" s="22" t="n"/>
      <c r="H1192" s="22" t="n"/>
      <c r="I1192" s="22" t="n"/>
      <c r="J1192" s="22" t="n"/>
      <c r="K1192" s="22" t="n"/>
      <c r="L1192" s="22" t="n"/>
      <c r="M1192" s="22">
        <f>IF(K1192="Override",L1192,IF(K1192="Accept suggestion",F1192,IF(K1192="No change (same URL)",A1192,"")))</f>
        <v/>
      </c>
      <c r="N1192" s="22">
        <f>IF(A1192="","",IF(K1192="410 Gone","410",IF(K1192="404","404",IF(K1192="No change (same URL)","none",IF(M1192="","","301")))))</f>
        <v/>
      </c>
      <c r="O1192" s="22">
        <f>IF(A1192="","",IFERROR(MID(A1192,FIND("/",A1192,FIND("//",A1192)+2),2000),A1192))</f>
        <v/>
      </c>
      <c r="P1192" s="22">
        <f>IF(OR(O1192="",N1192="",N1192="none",N1192="404"),"",IF(N1192="410","Redirect gone "&amp;O1192,"Redirect "&amp;N1192&amp;" "&amp;O1192&amp;" "&amp;M1192))</f>
        <v/>
      </c>
      <c r="Q1192" s="22" t="n"/>
      <c r="R1192" s="22" t="n"/>
      <c r="S1192" s="22" t="n"/>
      <c r="T1192" s="4">
        <f>IF(A1192="","",TRIM(IF(K1192="","Needs decision; ","")&amp;IF(AND(K1192="Accept suggestion",F1192=""),"No suggestion to accept; ","")&amp;IF(AND(K1192="Override",L1192=""),"Override URL missing; ","")&amp;IF(AND(K1192="Accept suggestion",N(G1192)&lt;$G$2),"Below your threshold; ","")&amp;IF(AND(M1192&lt;&gt;"",M1192=A1192,K1192&lt;&gt;"No change (same URL)"),"Redirects to itself; ","")&amp;IF(AND(M1192&lt;&gt;"",OR(M1192="/",AND(LEFT(M1192,4)="http",OR((LEN(M1192)-LEN(SUBSTITUTE(M1192,"/","")))=2,AND((LEN(M1192)-LEN(SUBSTITUTE(M1192,"/","")))=3,RIGHT(M1192,1)="/"))))),"Home page redirect; ","")&amp;IF(N(R1192)&gt;1,"Chain; ","")&amp;IF(S1192="No","Destination not 200; ","")))</f>
        <v/>
      </c>
      <c r="U1192" s="22" t="n"/>
      <c r="V1192" s="22" t="n"/>
      <c r="W1192" s="4" t="n"/>
    </row>
    <row r="1193">
      <c r="A1193" s="22" t="n"/>
      <c r="B1193" s="22" t="n"/>
      <c r="C1193" s="22" t="n"/>
      <c r="D1193" s="22">
        <f>IF(A1193="","",IF(OR(N(B1193)&gt;=$C$2,N(C1193)&gt;=$E$2),"High",IF(OR(N(B1193)&gt;0,N(C1193)&gt;0),"Medium","Low")))</f>
        <v/>
      </c>
      <c r="E1193" s="22" t="n"/>
      <c r="F1193" s="22" t="n"/>
      <c r="G1193" s="22" t="n"/>
      <c r="H1193" s="22" t="n"/>
      <c r="I1193" s="22" t="n"/>
      <c r="J1193" s="22" t="n"/>
      <c r="K1193" s="22" t="n"/>
      <c r="L1193" s="22" t="n"/>
      <c r="M1193" s="22">
        <f>IF(K1193="Override",L1193,IF(K1193="Accept suggestion",F1193,IF(K1193="No change (same URL)",A1193,"")))</f>
        <v/>
      </c>
      <c r="N1193" s="22">
        <f>IF(A1193="","",IF(K1193="410 Gone","410",IF(K1193="404","404",IF(K1193="No change (same URL)","none",IF(M1193="","","301")))))</f>
        <v/>
      </c>
      <c r="O1193" s="22">
        <f>IF(A1193="","",IFERROR(MID(A1193,FIND("/",A1193,FIND("//",A1193)+2),2000),A1193))</f>
        <v/>
      </c>
      <c r="P1193" s="22">
        <f>IF(OR(O1193="",N1193="",N1193="none",N1193="404"),"",IF(N1193="410","Redirect gone "&amp;O1193,"Redirect "&amp;N1193&amp;" "&amp;O1193&amp;" "&amp;M1193))</f>
        <v/>
      </c>
      <c r="Q1193" s="22" t="n"/>
      <c r="R1193" s="22" t="n"/>
      <c r="S1193" s="22" t="n"/>
      <c r="T1193" s="4">
        <f>IF(A1193="","",TRIM(IF(K1193="","Needs decision; ","")&amp;IF(AND(K1193="Accept suggestion",F1193=""),"No suggestion to accept; ","")&amp;IF(AND(K1193="Override",L1193=""),"Override URL missing; ","")&amp;IF(AND(K1193="Accept suggestion",N(G1193)&lt;$G$2),"Below your threshold; ","")&amp;IF(AND(M1193&lt;&gt;"",M1193=A1193,K1193&lt;&gt;"No change (same URL)"),"Redirects to itself; ","")&amp;IF(AND(M1193&lt;&gt;"",OR(M1193="/",AND(LEFT(M1193,4)="http",OR((LEN(M1193)-LEN(SUBSTITUTE(M1193,"/","")))=2,AND((LEN(M1193)-LEN(SUBSTITUTE(M1193,"/","")))=3,RIGHT(M1193,1)="/"))))),"Home page redirect; ","")&amp;IF(N(R1193)&gt;1,"Chain; ","")&amp;IF(S1193="No","Destination not 200; ","")))</f>
        <v/>
      </c>
      <c r="U1193" s="22" t="n"/>
      <c r="V1193" s="22" t="n"/>
      <c r="W1193" s="4" t="n"/>
    </row>
    <row r="1194">
      <c r="A1194" s="22" t="n"/>
      <c r="B1194" s="22" t="n"/>
      <c r="C1194" s="22" t="n"/>
      <c r="D1194" s="22">
        <f>IF(A1194="","",IF(OR(N(B1194)&gt;=$C$2,N(C1194)&gt;=$E$2),"High",IF(OR(N(B1194)&gt;0,N(C1194)&gt;0),"Medium","Low")))</f>
        <v/>
      </c>
      <c r="E1194" s="22" t="n"/>
      <c r="F1194" s="22" t="n"/>
      <c r="G1194" s="22" t="n"/>
      <c r="H1194" s="22" t="n"/>
      <c r="I1194" s="22" t="n"/>
      <c r="J1194" s="22" t="n"/>
      <c r="K1194" s="22" t="n"/>
      <c r="L1194" s="22" t="n"/>
      <c r="M1194" s="22">
        <f>IF(K1194="Override",L1194,IF(K1194="Accept suggestion",F1194,IF(K1194="No change (same URL)",A1194,"")))</f>
        <v/>
      </c>
      <c r="N1194" s="22">
        <f>IF(A1194="","",IF(K1194="410 Gone","410",IF(K1194="404","404",IF(K1194="No change (same URL)","none",IF(M1194="","","301")))))</f>
        <v/>
      </c>
      <c r="O1194" s="22">
        <f>IF(A1194="","",IFERROR(MID(A1194,FIND("/",A1194,FIND("//",A1194)+2),2000),A1194))</f>
        <v/>
      </c>
      <c r="P1194" s="22">
        <f>IF(OR(O1194="",N1194="",N1194="none",N1194="404"),"",IF(N1194="410","Redirect gone "&amp;O1194,"Redirect "&amp;N1194&amp;" "&amp;O1194&amp;" "&amp;M1194))</f>
        <v/>
      </c>
      <c r="Q1194" s="22" t="n"/>
      <c r="R1194" s="22" t="n"/>
      <c r="S1194" s="22" t="n"/>
      <c r="T1194" s="4">
        <f>IF(A1194="","",TRIM(IF(K1194="","Needs decision; ","")&amp;IF(AND(K1194="Accept suggestion",F1194=""),"No suggestion to accept; ","")&amp;IF(AND(K1194="Override",L1194=""),"Override URL missing; ","")&amp;IF(AND(K1194="Accept suggestion",N(G1194)&lt;$G$2),"Below your threshold; ","")&amp;IF(AND(M1194&lt;&gt;"",M1194=A1194,K1194&lt;&gt;"No change (same URL)"),"Redirects to itself; ","")&amp;IF(AND(M1194&lt;&gt;"",OR(M1194="/",AND(LEFT(M1194,4)="http",OR((LEN(M1194)-LEN(SUBSTITUTE(M1194,"/","")))=2,AND((LEN(M1194)-LEN(SUBSTITUTE(M1194,"/","")))=3,RIGHT(M1194,1)="/"))))),"Home page redirect; ","")&amp;IF(N(R1194)&gt;1,"Chain; ","")&amp;IF(S1194="No","Destination not 200; ","")))</f>
        <v/>
      </c>
      <c r="U1194" s="22" t="n"/>
      <c r="V1194" s="22" t="n"/>
      <c r="W1194" s="4" t="n"/>
    </row>
    <row r="1195">
      <c r="A1195" s="22" t="n"/>
      <c r="B1195" s="22" t="n"/>
      <c r="C1195" s="22" t="n"/>
      <c r="D1195" s="22">
        <f>IF(A1195="","",IF(OR(N(B1195)&gt;=$C$2,N(C1195)&gt;=$E$2),"High",IF(OR(N(B1195)&gt;0,N(C1195)&gt;0),"Medium","Low")))</f>
        <v/>
      </c>
      <c r="E1195" s="22" t="n"/>
      <c r="F1195" s="22" t="n"/>
      <c r="G1195" s="22" t="n"/>
      <c r="H1195" s="22" t="n"/>
      <c r="I1195" s="22" t="n"/>
      <c r="J1195" s="22" t="n"/>
      <c r="K1195" s="22" t="n"/>
      <c r="L1195" s="22" t="n"/>
      <c r="M1195" s="22">
        <f>IF(K1195="Override",L1195,IF(K1195="Accept suggestion",F1195,IF(K1195="No change (same URL)",A1195,"")))</f>
        <v/>
      </c>
      <c r="N1195" s="22">
        <f>IF(A1195="","",IF(K1195="410 Gone","410",IF(K1195="404","404",IF(K1195="No change (same URL)","none",IF(M1195="","","301")))))</f>
        <v/>
      </c>
      <c r="O1195" s="22">
        <f>IF(A1195="","",IFERROR(MID(A1195,FIND("/",A1195,FIND("//",A1195)+2),2000),A1195))</f>
        <v/>
      </c>
      <c r="P1195" s="22">
        <f>IF(OR(O1195="",N1195="",N1195="none",N1195="404"),"",IF(N1195="410","Redirect gone "&amp;O1195,"Redirect "&amp;N1195&amp;" "&amp;O1195&amp;" "&amp;M1195))</f>
        <v/>
      </c>
      <c r="Q1195" s="22" t="n"/>
      <c r="R1195" s="22" t="n"/>
      <c r="S1195" s="22" t="n"/>
      <c r="T1195" s="4">
        <f>IF(A1195="","",TRIM(IF(K1195="","Needs decision; ","")&amp;IF(AND(K1195="Accept suggestion",F1195=""),"No suggestion to accept; ","")&amp;IF(AND(K1195="Override",L1195=""),"Override URL missing; ","")&amp;IF(AND(K1195="Accept suggestion",N(G1195)&lt;$G$2),"Below your threshold; ","")&amp;IF(AND(M1195&lt;&gt;"",M1195=A1195,K1195&lt;&gt;"No change (same URL)"),"Redirects to itself; ","")&amp;IF(AND(M1195&lt;&gt;"",OR(M1195="/",AND(LEFT(M1195,4)="http",OR((LEN(M1195)-LEN(SUBSTITUTE(M1195,"/","")))=2,AND((LEN(M1195)-LEN(SUBSTITUTE(M1195,"/","")))=3,RIGHT(M1195,1)="/"))))),"Home page redirect; ","")&amp;IF(N(R1195)&gt;1,"Chain; ","")&amp;IF(S1195="No","Destination not 200; ","")))</f>
        <v/>
      </c>
      <c r="U1195" s="22" t="n"/>
      <c r="V1195" s="22" t="n"/>
      <c r="W1195" s="4" t="n"/>
    </row>
    <row r="1196">
      <c r="A1196" s="22" t="n"/>
      <c r="B1196" s="22" t="n"/>
      <c r="C1196" s="22" t="n"/>
      <c r="D1196" s="22">
        <f>IF(A1196="","",IF(OR(N(B1196)&gt;=$C$2,N(C1196)&gt;=$E$2),"High",IF(OR(N(B1196)&gt;0,N(C1196)&gt;0),"Medium","Low")))</f>
        <v/>
      </c>
      <c r="E1196" s="22" t="n"/>
      <c r="F1196" s="22" t="n"/>
      <c r="G1196" s="22" t="n"/>
      <c r="H1196" s="22" t="n"/>
      <c r="I1196" s="22" t="n"/>
      <c r="J1196" s="22" t="n"/>
      <c r="K1196" s="22" t="n"/>
      <c r="L1196" s="22" t="n"/>
      <c r="M1196" s="22">
        <f>IF(K1196="Override",L1196,IF(K1196="Accept suggestion",F1196,IF(K1196="No change (same URL)",A1196,"")))</f>
        <v/>
      </c>
      <c r="N1196" s="22">
        <f>IF(A1196="","",IF(K1196="410 Gone","410",IF(K1196="404","404",IF(K1196="No change (same URL)","none",IF(M1196="","","301")))))</f>
        <v/>
      </c>
      <c r="O1196" s="22">
        <f>IF(A1196="","",IFERROR(MID(A1196,FIND("/",A1196,FIND("//",A1196)+2),2000),A1196))</f>
        <v/>
      </c>
      <c r="P1196" s="22">
        <f>IF(OR(O1196="",N1196="",N1196="none",N1196="404"),"",IF(N1196="410","Redirect gone "&amp;O1196,"Redirect "&amp;N1196&amp;" "&amp;O1196&amp;" "&amp;M1196))</f>
        <v/>
      </c>
      <c r="Q1196" s="22" t="n"/>
      <c r="R1196" s="22" t="n"/>
      <c r="S1196" s="22" t="n"/>
      <c r="T1196" s="4">
        <f>IF(A1196="","",TRIM(IF(K1196="","Needs decision; ","")&amp;IF(AND(K1196="Accept suggestion",F1196=""),"No suggestion to accept; ","")&amp;IF(AND(K1196="Override",L1196=""),"Override URL missing; ","")&amp;IF(AND(K1196="Accept suggestion",N(G1196)&lt;$G$2),"Below your threshold; ","")&amp;IF(AND(M1196&lt;&gt;"",M1196=A1196,K1196&lt;&gt;"No change (same URL)"),"Redirects to itself; ","")&amp;IF(AND(M1196&lt;&gt;"",OR(M1196="/",AND(LEFT(M1196,4)="http",OR((LEN(M1196)-LEN(SUBSTITUTE(M1196,"/","")))=2,AND((LEN(M1196)-LEN(SUBSTITUTE(M1196,"/","")))=3,RIGHT(M1196,1)="/"))))),"Home page redirect; ","")&amp;IF(N(R1196)&gt;1,"Chain; ","")&amp;IF(S1196="No","Destination not 200; ","")))</f>
        <v/>
      </c>
      <c r="U1196" s="22" t="n"/>
      <c r="V1196" s="22" t="n"/>
      <c r="W1196" s="4" t="n"/>
    </row>
    <row r="1197">
      <c r="A1197" s="22" t="n"/>
      <c r="B1197" s="22" t="n"/>
      <c r="C1197" s="22" t="n"/>
      <c r="D1197" s="22">
        <f>IF(A1197="","",IF(OR(N(B1197)&gt;=$C$2,N(C1197)&gt;=$E$2),"High",IF(OR(N(B1197)&gt;0,N(C1197)&gt;0),"Medium","Low")))</f>
        <v/>
      </c>
      <c r="E1197" s="22" t="n"/>
      <c r="F1197" s="22" t="n"/>
      <c r="G1197" s="22" t="n"/>
      <c r="H1197" s="22" t="n"/>
      <c r="I1197" s="22" t="n"/>
      <c r="J1197" s="22" t="n"/>
      <c r="K1197" s="22" t="n"/>
      <c r="L1197" s="22" t="n"/>
      <c r="M1197" s="22">
        <f>IF(K1197="Override",L1197,IF(K1197="Accept suggestion",F1197,IF(K1197="No change (same URL)",A1197,"")))</f>
        <v/>
      </c>
      <c r="N1197" s="22">
        <f>IF(A1197="","",IF(K1197="410 Gone","410",IF(K1197="404","404",IF(K1197="No change (same URL)","none",IF(M1197="","","301")))))</f>
        <v/>
      </c>
      <c r="O1197" s="22">
        <f>IF(A1197="","",IFERROR(MID(A1197,FIND("/",A1197,FIND("//",A1197)+2),2000),A1197))</f>
        <v/>
      </c>
      <c r="P1197" s="22">
        <f>IF(OR(O1197="",N1197="",N1197="none",N1197="404"),"",IF(N1197="410","Redirect gone "&amp;O1197,"Redirect "&amp;N1197&amp;" "&amp;O1197&amp;" "&amp;M1197))</f>
        <v/>
      </c>
      <c r="Q1197" s="22" t="n"/>
      <c r="R1197" s="22" t="n"/>
      <c r="S1197" s="22" t="n"/>
      <c r="T1197" s="4">
        <f>IF(A1197="","",TRIM(IF(K1197="","Needs decision; ","")&amp;IF(AND(K1197="Accept suggestion",F1197=""),"No suggestion to accept; ","")&amp;IF(AND(K1197="Override",L1197=""),"Override URL missing; ","")&amp;IF(AND(K1197="Accept suggestion",N(G1197)&lt;$G$2),"Below your threshold; ","")&amp;IF(AND(M1197&lt;&gt;"",M1197=A1197,K1197&lt;&gt;"No change (same URL)"),"Redirects to itself; ","")&amp;IF(AND(M1197&lt;&gt;"",OR(M1197="/",AND(LEFT(M1197,4)="http",OR((LEN(M1197)-LEN(SUBSTITUTE(M1197,"/","")))=2,AND((LEN(M1197)-LEN(SUBSTITUTE(M1197,"/","")))=3,RIGHT(M1197,1)="/"))))),"Home page redirect; ","")&amp;IF(N(R1197)&gt;1,"Chain; ","")&amp;IF(S1197="No","Destination not 200; ","")))</f>
        <v/>
      </c>
      <c r="U1197" s="22" t="n"/>
      <c r="V1197" s="22" t="n"/>
      <c r="W1197" s="4" t="n"/>
    </row>
    <row r="1198">
      <c r="A1198" s="22" t="n"/>
      <c r="B1198" s="22" t="n"/>
      <c r="C1198" s="22" t="n"/>
      <c r="D1198" s="22">
        <f>IF(A1198="","",IF(OR(N(B1198)&gt;=$C$2,N(C1198)&gt;=$E$2),"High",IF(OR(N(B1198)&gt;0,N(C1198)&gt;0),"Medium","Low")))</f>
        <v/>
      </c>
      <c r="E1198" s="22" t="n"/>
      <c r="F1198" s="22" t="n"/>
      <c r="G1198" s="22" t="n"/>
      <c r="H1198" s="22" t="n"/>
      <c r="I1198" s="22" t="n"/>
      <c r="J1198" s="22" t="n"/>
      <c r="K1198" s="22" t="n"/>
      <c r="L1198" s="22" t="n"/>
      <c r="M1198" s="22">
        <f>IF(K1198="Override",L1198,IF(K1198="Accept suggestion",F1198,IF(K1198="No change (same URL)",A1198,"")))</f>
        <v/>
      </c>
      <c r="N1198" s="22">
        <f>IF(A1198="","",IF(K1198="410 Gone","410",IF(K1198="404","404",IF(K1198="No change (same URL)","none",IF(M1198="","","301")))))</f>
        <v/>
      </c>
      <c r="O1198" s="22">
        <f>IF(A1198="","",IFERROR(MID(A1198,FIND("/",A1198,FIND("//",A1198)+2),2000),A1198))</f>
        <v/>
      </c>
      <c r="P1198" s="22">
        <f>IF(OR(O1198="",N1198="",N1198="none",N1198="404"),"",IF(N1198="410","Redirect gone "&amp;O1198,"Redirect "&amp;N1198&amp;" "&amp;O1198&amp;" "&amp;M1198))</f>
        <v/>
      </c>
      <c r="Q1198" s="22" t="n"/>
      <c r="R1198" s="22" t="n"/>
      <c r="S1198" s="22" t="n"/>
      <c r="T1198" s="4">
        <f>IF(A1198="","",TRIM(IF(K1198="","Needs decision; ","")&amp;IF(AND(K1198="Accept suggestion",F1198=""),"No suggestion to accept; ","")&amp;IF(AND(K1198="Override",L1198=""),"Override URL missing; ","")&amp;IF(AND(K1198="Accept suggestion",N(G1198)&lt;$G$2),"Below your threshold; ","")&amp;IF(AND(M1198&lt;&gt;"",M1198=A1198,K1198&lt;&gt;"No change (same URL)"),"Redirects to itself; ","")&amp;IF(AND(M1198&lt;&gt;"",OR(M1198="/",AND(LEFT(M1198,4)="http",OR((LEN(M1198)-LEN(SUBSTITUTE(M1198,"/","")))=2,AND((LEN(M1198)-LEN(SUBSTITUTE(M1198,"/","")))=3,RIGHT(M1198,1)="/"))))),"Home page redirect; ","")&amp;IF(N(R1198)&gt;1,"Chain; ","")&amp;IF(S1198="No","Destination not 200; ","")))</f>
        <v/>
      </c>
      <c r="U1198" s="22" t="n"/>
      <c r="V1198" s="22" t="n"/>
      <c r="W1198" s="4" t="n"/>
    </row>
    <row r="1199">
      <c r="A1199" s="22" t="n"/>
      <c r="B1199" s="22" t="n"/>
      <c r="C1199" s="22" t="n"/>
      <c r="D1199" s="22">
        <f>IF(A1199="","",IF(OR(N(B1199)&gt;=$C$2,N(C1199)&gt;=$E$2),"High",IF(OR(N(B1199)&gt;0,N(C1199)&gt;0),"Medium","Low")))</f>
        <v/>
      </c>
      <c r="E1199" s="22" t="n"/>
      <c r="F1199" s="22" t="n"/>
      <c r="G1199" s="22" t="n"/>
      <c r="H1199" s="22" t="n"/>
      <c r="I1199" s="22" t="n"/>
      <c r="J1199" s="22" t="n"/>
      <c r="K1199" s="22" t="n"/>
      <c r="L1199" s="22" t="n"/>
      <c r="M1199" s="22">
        <f>IF(K1199="Override",L1199,IF(K1199="Accept suggestion",F1199,IF(K1199="No change (same URL)",A1199,"")))</f>
        <v/>
      </c>
      <c r="N1199" s="22">
        <f>IF(A1199="","",IF(K1199="410 Gone","410",IF(K1199="404","404",IF(K1199="No change (same URL)","none",IF(M1199="","","301")))))</f>
        <v/>
      </c>
      <c r="O1199" s="22">
        <f>IF(A1199="","",IFERROR(MID(A1199,FIND("/",A1199,FIND("//",A1199)+2),2000),A1199))</f>
        <v/>
      </c>
      <c r="P1199" s="22">
        <f>IF(OR(O1199="",N1199="",N1199="none",N1199="404"),"",IF(N1199="410","Redirect gone "&amp;O1199,"Redirect "&amp;N1199&amp;" "&amp;O1199&amp;" "&amp;M1199))</f>
        <v/>
      </c>
      <c r="Q1199" s="22" t="n"/>
      <c r="R1199" s="22" t="n"/>
      <c r="S1199" s="22" t="n"/>
      <c r="T1199" s="4">
        <f>IF(A1199="","",TRIM(IF(K1199="","Needs decision; ","")&amp;IF(AND(K1199="Accept suggestion",F1199=""),"No suggestion to accept; ","")&amp;IF(AND(K1199="Override",L1199=""),"Override URL missing; ","")&amp;IF(AND(K1199="Accept suggestion",N(G1199)&lt;$G$2),"Below your threshold; ","")&amp;IF(AND(M1199&lt;&gt;"",M1199=A1199,K1199&lt;&gt;"No change (same URL)"),"Redirects to itself; ","")&amp;IF(AND(M1199&lt;&gt;"",OR(M1199="/",AND(LEFT(M1199,4)="http",OR((LEN(M1199)-LEN(SUBSTITUTE(M1199,"/","")))=2,AND((LEN(M1199)-LEN(SUBSTITUTE(M1199,"/","")))=3,RIGHT(M1199,1)="/"))))),"Home page redirect; ","")&amp;IF(N(R1199)&gt;1,"Chain; ","")&amp;IF(S1199="No","Destination not 200; ","")))</f>
        <v/>
      </c>
      <c r="U1199" s="22" t="n"/>
      <c r="V1199" s="22" t="n"/>
      <c r="W1199" s="4" t="n"/>
    </row>
    <row r="1200">
      <c r="A1200" s="22" t="n"/>
      <c r="B1200" s="22" t="n"/>
      <c r="C1200" s="22" t="n"/>
      <c r="D1200" s="22">
        <f>IF(A1200="","",IF(OR(N(B1200)&gt;=$C$2,N(C1200)&gt;=$E$2),"High",IF(OR(N(B1200)&gt;0,N(C1200)&gt;0),"Medium","Low")))</f>
        <v/>
      </c>
      <c r="E1200" s="22" t="n"/>
      <c r="F1200" s="22" t="n"/>
      <c r="G1200" s="22" t="n"/>
      <c r="H1200" s="22" t="n"/>
      <c r="I1200" s="22" t="n"/>
      <c r="J1200" s="22" t="n"/>
      <c r="K1200" s="22" t="n"/>
      <c r="L1200" s="22" t="n"/>
      <c r="M1200" s="22">
        <f>IF(K1200="Override",L1200,IF(K1200="Accept suggestion",F1200,IF(K1200="No change (same URL)",A1200,"")))</f>
        <v/>
      </c>
      <c r="N1200" s="22">
        <f>IF(A1200="","",IF(K1200="410 Gone","410",IF(K1200="404","404",IF(K1200="No change (same URL)","none",IF(M1200="","","301")))))</f>
        <v/>
      </c>
      <c r="O1200" s="22">
        <f>IF(A1200="","",IFERROR(MID(A1200,FIND("/",A1200,FIND("//",A1200)+2),2000),A1200))</f>
        <v/>
      </c>
      <c r="P1200" s="22">
        <f>IF(OR(O1200="",N1200="",N1200="none",N1200="404"),"",IF(N1200="410","Redirect gone "&amp;O1200,"Redirect "&amp;N1200&amp;" "&amp;O1200&amp;" "&amp;M1200))</f>
        <v/>
      </c>
      <c r="Q1200" s="22" t="n"/>
      <c r="R1200" s="22" t="n"/>
      <c r="S1200" s="22" t="n"/>
      <c r="T1200" s="4">
        <f>IF(A1200="","",TRIM(IF(K1200="","Needs decision; ","")&amp;IF(AND(K1200="Accept suggestion",F1200=""),"No suggestion to accept; ","")&amp;IF(AND(K1200="Override",L1200=""),"Override URL missing; ","")&amp;IF(AND(K1200="Accept suggestion",N(G1200)&lt;$G$2),"Below your threshold; ","")&amp;IF(AND(M1200&lt;&gt;"",M1200=A1200,K1200&lt;&gt;"No change (same URL)"),"Redirects to itself; ","")&amp;IF(AND(M1200&lt;&gt;"",OR(M1200="/",AND(LEFT(M1200,4)="http",OR((LEN(M1200)-LEN(SUBSTITUTE(M1200,"/","")))=2,AND((LEN(M1200)-LEN(SUBSTITUTE(M1200,"/","")))=3,RIGHT(M1200,1)="/"))))),"Home page redirect; ","")&amp;IF(N(R1200)&gt;1,"Chain; ","")&amp;IF(S1200="No","Destination not 200; ","")))</f>
        <v/>
      </c>
      <c r="U1200" s="22" t="n"/>
      <c r="V1200" s="22" t="n"/>
      <c r="W1200" s="4" t="n"/>
    </row>
    <row r="1201">
      <c r="A1201" s="22" t="n"/>
      <c r="B1201" s="22" t="n"/>
      <c r="C1201" s="22" t="n"/>
      <c r="D1201" s="22">
        <f>IF(A1201="","",IF(OR(N(B1201)&gt;=$C$2,N(C1201)&gt;=$E$2),"High",IF(OR(N(B1201)&gt;0,N(C1201)&gt;0),"Medium","Low")))</f>
        <v/>
      </c>
      <c r="E1201" s="22" t="n"/>
      <c r="F1201" s="22" t="n"/>
      <c r="G1201" s="22" t="n"/>
      <c r="H1201" s="22" t="n"/>
      <c r="I1201" s="22" t="n"/>
      <c r="J1201" s="22" t="n"/>
      <c r="K1201" s="22" t="n"/>
      <c r="L1201" s="22" t="n"/>
      <c r="M1201" s="22">
        <f>IF(K1201="Override",L1201,IF(K1201="Accept suggestion",F1201,IF(K1201="No change (same URL)",A1201,"")))</f>
        <v/>
      </c>
      <c r="N1201" s="22">
        <f>IF(A1201="","",IF(K1201="410 Gone","410",IF(K1201="404","404",IF(K1201="No change (same URL)","none",IF(M1201="","","301")))))</f>
        <v/>
      </c>
      <c r="O1201" s="22">
        <f>IF(A1201="","",IFERROR(MID(A1201,FIND("/",A1201,FIND("//",A1201)+2),2000),A1201))</f>
        <v/>
      </c>
      <c r="P1201" s="22">
        <f>IF(OR(O1201="",N1201="",N1201="none",N1201="404"),"",IF(N1201="410","Redirect gone "&amp;O1201,"Redirect "&amp;N1201&amp;" "&amp;O1201&amp;" "&amp;M1201))</f>
        <v/>
      </c>
      <c r="Q1201" s="22" t="n"/>
      <c r="R1201" s="22" t="n"/>
      <c r="S1201" s="22" t="n"/>
      <c r="T1201" s="4">
        <f>IF(A1201="","",TRIM(IF(K1201="","Needs decision; ","")&amp;IF(AND(K1201="Accept suggestion",F1201=""),"No suggestion to accept; ","")&amp;IF(AND(K1201="Override",L1201=""),"Override URL missing; ","")&amp;IF(AND(K1201="Accept suggestion",N(G1201)&lt;$G$2),"Below your threshold; ","")&amp;IF(AND(M1201&lt;&gt;"",M1201=A1201,K1201&lt;&gt;"No change (same URL)"),"Redirects to itself; ","")&amp;IF(AND(M1201&lt;&gt;"",OR(M1201="/",AND(LEFT(M1201,4)="http",OR((LEN(M1201)-LEN(SUBSTITUTE(M1201,"/","")))=2,AND((LEN(M1201)-LEN(SUBSTITUTE(M1201,"/","")))=3,RIGHT(M1201,1)="/"))))),"Home page redirect; ","")&amp;IF(N(R1201)&gt;1,"Chain; ","")&amp;IF(S1201="No","Destination not 200; ","")))</f>
        <v/>
      </c>
      <c r="U1201" s="22" t="n"/>
      <c r="V1201" s="22" t="n"/>
      <c r="W1201" s="4" t="n"/>
    </row>
    <row r="1202">
      <c r="A1202" s="22" t="n"/>
      <c r="B1202" s="22" t="n"/>
      <c r="C1202" s="22" t="n"/>
      <c r="D1202" s="22">
        <f>IF(A1202="","",IF(OR(N(B1202)&gt;=$C$2,N(C1202)&gt;=$E$2),"High",IF(OR(N(B1202)&gt;0,N(C1202)&gt;0),"Medium","Low")))</f>
        <v/>
      </c>
      <c r="E1202" s="22" t="n"/>
      <c r="F1202" s="22" t="n"/>
      <c r="G1202" s="22" t="n"/>
      <c r="H1202" s="22" t="n"/>
      <c r="I1202" s="22" t="n"/>
      <c r="J1202" s="22" t="n"/>
      <c r="K1202" s="22" t="n"/>
      <c r="L1202" s="22" t="n"/>
      <c r="M1202" s="22">
        <f>IF(K1202="Override",L1202,IF(K1202="Accept suggestion",F1202,IF(K1202="No change (same URL)",A1202,"")))</f>
        <v/>
      </c>
      <c r="N1202" s="22">
        <f>IF(A1202="","",IF(K1202="410 Gone","410",IF(K1202="404","404",IF(K1202="No change (same URL)","none",IF(M1202="","","301")))))</f>
        <v/>
      </c>
      <c r="O1202" s="22">
        <f>IF(A1202="","",IFERROR(MID(A1202,FIND("/",A1202,FIND("//",A1202)+2),2000),A1202))</f>
        <v/>
      </c>
      <c r="P1202" s="22">
        <f>IF(OR(O1202="",N1202="",N1202="none",N1202="404"),"",IF(N1202="410","Redirect gone "&amp;O1202,"Redirect "&amp;N1202&amp;" "&amp;O1202&amp;" "&amp;M1202))</f>
        <v/>
      </c>
      <c r="Q1202" s="22" t="n"/>
      <c r="R1202" s="22" t="n"/>
      <c r="S1202" s="22" t="n"/>
      <c r="T1202" s="4">
        <f>IF(A1202="","",TRIM(IF(K1202="","Needs decision; ","")&amp;IF(AND(K1202="Accept suggestion",F1202=""),"No suggestion to accept; ","")&amp;IF(AND(K1202="Override",L1202=""),"Override URL missing; ","")&amp;IF(AND(K1202="Accept suggestion",N(G1202)&lt;$G$2),"Below your threshold; ","")&amp;IF(AND(M1202&lt;&gt;"",M1202=A1202,K1202&lt;&gt;"No change (same URL)"),"Redirects to itself; ","")&amp;IF(AND(M1202&lt;&gt;"",OR(M1202="/",AND(LEFT(M1202,4)="http",OR((LEN(M1202)-LEN(SUBSTITUTE(M1202,"/","")))=2,AND((LEN(M1202)-LEN(SUBSTITUTE(M1202,"/","")))=3,RIGHT(M1202,1)="/"))))),"Home page redirect; ","")&amp;IF(N(R1202)&gt;1,"Chain; ","")&amp;IF(S1202="No","Destination not 200; ","")))</f>
        <v/>
      </c>
      <c r="U1202" s="22" t="n"/>
      <c r="V1202" s="22" t="n"/>
      <c r="W1202" s="4" t="n"/>
    </row>
    <row r="1203">
      <c r="A1203" s="22" t="n"/>
      <c r="B1203" s="22" t="n"/>
      <c r="C1203" s="22" t="n"/>
      <c r="D1203" s="22">
        <f>IF(A1203="","",IF(OR(N(B1203)&gt;=$C$2,N(C1203)&gt;=$E$2),"High",IF(OR(N(B1203)&gt;0,N(C1203)&gt;0),"Medium","Low")))</f>
        <v/>
      </c>
      <c r="E1203" s="22" t="n"/>
      <c r="F1203" s="22" t="n"/>
      <c r="G1203" s="22" t="n"/>
      <c r="H1203" s="22" t="n"/>
      <c r="I1203" s="22" t="n"/>
      <c r="J1203" s="22" t="n"/>
      <c r="K1203" s="22" t="n"/>
      <c r="L1203" s="22" t="n"/>
      <c r="M1203" s="22">
        <f>IF(K1203="Override",L1203,IF(K1203="Accept suggestion",F1203,IF(K1203="No change (same URL)",A1203,"")))</f>
        <v/>
      </c>
      <c r="N1203" s="22">
        <f>IF(A1203="","",IF(K1203="410 Gone","410",IF(K1203="404","404",IF(K1203="No change (same URL)","none",IF(M1203="","","301")))))</f>
        <v/>
      </c>
      <c r="O1203" s="22">
        <f>IF(A1203="","",IFERROR(MID(A1203,FIND("/",A1203,FIND("//",A1203)+2),2000),A1203))</f>
        <v/>
      </c>
      <c r="P1203" s="22">
        <f>IF(OR(O1203="",N1203="",N1203="none",N1203="404"),"",IF(N1203="410","Redirect gone "&amp;O1203,"Redirect "&amp;N1203&amp;" "&amp;O1203&amp;" "&amp;M1203))</f>
        <v/>
      </c>
      <c r="Q1203" s="22" t="n"/>
      <c r="R1203" s="22" t="n"/>
      <c r="S1203" s="22" t="n"/>
      <c r="T1203" s="4">
        <f>IF(A1203="","",TRIM(IF(K1203="","Needs decision; ","")&amp;IF(AND(K1203="Accept suggestion",F1203=""),"No suggestion to accept; ","")&amp;IF(AND(K1203="Override",L1203=""),"Override URL missing; ","")&amp;IF(AND(K1203="Accept suggestion",N(G1203)&lt;$G$2),"Below your threshold; ","")&amp;IF(AND(M1203&lt;&gt;"",M1203=A1203,K1203&lt;&gt;"No change (same URL)"),"Redirects to itself; ","")&amp;IF(AND(M1203&lt;&gt;"",OR(M1203="/",AND(LEFT(M1203,4)="http",OR((LEN(M1203)-LEN(SUBSTITUTE(M1203,"/","")))=2,AND((LEN(M1203)-LEN(SUBSTITUTE(M1203,"/","")))=3,RIGHT(M1203,1)="/"))))),"Home page redirect; ","")&amp;IF(N(R1203)&gt;1,"Chain; ","")&amp;IF(S1203="No","Destination not 200; ","")))</f>
        <v/>
      </c>
      <c r="U1203" s="22" t="n"/>
      <c r="V1203" s="22" t="n"/>
      <c r="W1203" s="4" t="n"/>
    </row>
    <row r="1204">
      <c r="A1204" s="22" t="n"/>
      <c r="B1204" s="22" t="n"/>
      <c r="C1204" s="22" t="n"/>
      <c r="D1204" s="22">
        <f>IF(A1204="","",IF(OR(N(B1204)&gt;=$C$2,N(C1204)&gt;=$E$2),"High",IF(OR(N(B1204)&gt;0,N(C1204)&gt;0),"Medium","Low")))</f>
        <v/>
      </c>
      <c r="E1204" s="22" t="n"/>
      <c r="F1204" s="22" t="n"/>
      <c r="G1204" s="22" t="n"/>
      <c r="H1204" s="22" t="n"/>
      <c r="I1204" s="22" t="n"/>
      <c r="J1204" s="22" t="n"/>
      <c r="K1204" s="22" t="n"/>
      <c r="L1204" s="22" t="n"/>
      <c r="M1204" s="22">
        <f>IF(K1204="Override",L1204,IF(K1204="Accept suggestion",F1204,IF(K1204="No change (same URL)",A1204,"")))</f>
        <v/>
      </c>
      <c r="N1204" s="22">
        <f>IF(A1204="","",IF(K1204="410 Gone","410",IF(K1204="404","404",IF(K1204="No change (same URL)","none",IF(M1204="","","301")))))</f>
        <v/>
      </c>
      <c r="O1204" s="22">
        <f>IF(A1204="","",IFERROR(MID(A1204,FIND("/",A1204,FIND("//",A1204)+2),2000),A1204))</f>
        <v/>
      </c>
      <c r="P1204" s="22">
        <f>IF(OR(O1204="",N1204="",N1204="none",N1204="404"),"",IF(N1204="410","Redirect gone "&amp;O1204,"Redirect "&amp;N1204&amp;" "&amp;O1204&amp;" "&amp;M1204))</f>
        <v/>
      </c>
      <c r="Q1204" s="22" t="n"/>
      <c r="R1204" s="22" t="n"/>
      <c r="S1204" s="22" t="n"/>
      <c r="T1204" s="4">
        <f>IF(A1204="","",TRIM(IF(K1204="","Needs decision; ","")&amp;IF(AND(K1204="Accept suggestion",F1204=""),"No suggestion to accept; ","")&amp;IF(AND(K1204="Override",L1204=""),"Override URL missing; ","")&amp;IF(AND(K1204="Accept suggestion",N(G1204)&lt;$G$2),"Below your threshold; ","")&amp;IF(AND(M1204&lt;&gt;"",M1204=A1204,K1204&lt;&gt;"No change (same URL)"),"Redirects to itself; ","")&amp;IF(AND(M1204&lt;&gt;"",OR(M1204="/",AND(LEFT(M1204,4)="http",OR((LEN(M1204)-LEN(SUBSTITUTE(M1204,"/","")))=2,AND((LEN(M1204)-LEN(SUBSTITUTE(M1204,"/","")))=3,RIGHT(M1204,1)="/"))))),"Home page redirect; ","")&amp;IF(N(R1204)&gt;1,"Chain; ","")&amp;IF(S1204="No","Destination not 200; ","")))</f>
        <v/>
      </c>
      <c r="U1204" s="22" t="n"/>
      <c r="V1204" s="22" t="n"/>
      <c r="W1204" s="4" t="n"/>
    </row>
    <row r="1205">
      <c r="A1205" s="22" t="n"/>
      <c r="B1205" s="22" t="n"/>
      <c r="C1205" s="22" t="n"/>
      <c r="D1205" s="22">
        <f>IF(A1205="","",IF(OR(N(B1205)&gt;=$C$2,N(C1205)&gt;=$E$2),"High",IF(OR(N(B1205)&gt;0,N(C1205)&gt;0),"Medium","Low")))</f>
        <v/>
      </c>
      <c r="E1205" s="22" t="n"/>
      <c r="F1205" s="22" t="n"/>
      <c r="G1205" s="22" t="n"/>
      <c r="H1205" s="22" t="n"/>
      <c r="I1205" s="22" t="n"/>
      <c r="J1205" s="22" t="n"/>
      <c r="K1205" s="22" t="n"/>
      <c r="L1205" s="22" t="n"/>
      <c r="M1205" s="22">
        <f>IF(K1205="Override",L1205,IF(K1205="Accept suggestion",F1205,IF(K1205="No change (same URL)",A1205,"")))</f>
        <v/>
      </c>
      <c r="N1205" s="22">
        <f>IF(A1205="","",IF(K1205="410 Gone","410",IF(K1205="404","404",IF(K1205="No change (same URL)","none",IF(M1205="","","301")))))</f>
        <v/>
      </c>
      <c r="O1205" s="22">
        <f>IF(A1205="","",IFERROR(MID(A1205,FIND("/",A1205,FIND("//",A1205)+2),2000),A1205))</f>
        <v/>
      </c>
      <c r="P1205" s="22">
        <f>IF(OR(O1205="",N1205="",N1205="none",N1205="404"),"",IF(N1205="410","Redirect gone "&amp;O1205,"Redirect "&amp;N1205&amp;" "&amp;O1205&amp;" "&amp;M1205))</f>
        <v/>
      </c>
      <c r="Q1205" s="22" t="n"/>
      <c r="R1205" s="22" t="n"/>
      <c r="S1205" s="22" t="n"/>
      <c r="T1205" s="4">
        <f>IF(A1205="","",TRIM(IF(K1205="","Needs decision; ","")&amp;IF(AND(K1205="Accept suggestion",F1205=""),"No suggestion to accept; ","")&amp;IF(AND(K1205="Override",L1205=""),"Override URL missing; ","")&amp;IF(AND(K1205="Accept suggestion",N(G1205)&lt;$G$2),"Below your threshold; ","")&amp;IF(AND(M1205&lt;&gt;"",M1205=A1205,K1205&lt;&gt;"No change (same URL)"),"Redirects to itself; ","")&amp;IF(AND(M1205&lt;&gt;"",OR(M1205="/",AND(LEFT(M1205,4)="http",OR((LEN(M1205)-LEN(SUBSTITUTE(M1205,"/","")))=2,AND((LEN(M1205)-LEN(SUBSTITUTE(M1205,"/","")))=3,RIGHT(M1205,1)="/"))))),"Home page redirect; ","")&amp;IF(N(R1205)&gt;1,"Chain; ","")&amp;IF(S1205="No","Destination not 200; ","")))</f>
        <v/>
      </c>
      <c r="U1205" s="22" t="n"/>
      <c r="V1205" s="22" t="n"/>
      <c r="W1205" s="4" t="n"/>
    </row>
    <row r="1206">
      <c r="A1206" s="22" t="n"/>
      <c r="B1206" s="22" t="n"/>
      <c r="C1206" s="22" t="n"/>
      <c r="D1206" s="22">
        <f>IF(A1206="","",IF(OR(N(B1206)&gt;=$C$2,N(C1206)&gt;=$E$2),"High",IF(OR(N(B1206)&gt;0,N(C1206)&gt;0),"Medium","Low")))</f>
        <v/>
      </c>
      <c r="E1206" s="22" t="n"/>
      <c r="F1206" s="22" t="n"/>
      <c r="G1206" s="22" t="n"/>
      <c r="H1206" s="22" t="n"/>
      <c r="I1206" s="22" t="n"/>
      <c r="J1206" s="22" t="n"/>
      <c r="K1206" s="22" t="n"/>
      <c r="L1206" s="22" t="n"/>
      <c r="M1206" s="22">
        <f>IF(K1206="Override",L1206,IF(K1206="Accept suggestion",F1206,IF(K1206="No change (same URL)",A1206,"")))</f>
        <v/>
      </c>
      <c r="N1206" s="22">
        <f>IF(A1206="","",IF(K1206="410 Gone","410",IF(K1206="404","404",IF(K1206="No change (same URL)","none",IF(M1206="","","301")))))</f>
        <v/>
      </c>
      <c r="O1206" s="22">
        <f>IF(A1206="","",IFERROR(MID(A1206,FIND("/",A1206,FIND("//",A1206)+2),2000),A1206))</f>
        <v/>
      </c>
      <c r="P1206" s="22">
        <f>IF(OR(O1206="",N1206="",N1206="none",N1206="404"),"",IF(N1206="410","Redirect gone "&amp;O1206,"Redirect "&amp;N1206&amp;" "&amp;O1206&amp;" "&amp;M1206))</f>
        <v/>
      </c>
      <c r="Q1206" s="22" t="n"/>
      <c r="R1206" s="22" t="n"/>
      <c r="S1206" s="22" t="n"/>
      <c r="T1206" s="4">
        <f>IF(A1206="","",TRIM(IF(K1206="","Needs decision; ","")&amp;IF(AND(K1206="Accept suggestion",F1206=""),"No suggestion to accept; ","")&amp;IF(AND(K1206="Override",L1206=""),"Override URL missing; ","")&amp;IF(AND(K1206="Accept suggestion",N(G1206)&lt;$G$2),"Below your threshold; ","")&amp;IF(AND(M1206&lt;&gt;"",M1206=A1206,K1206&lt;&gt;"No change (same URL)"),"Redirects to itself; ","")&amp;IF(AND(M1206&lt;&gt;"",OR(M1206="/",AND(LEFT(M1206,4)="http",OR((LEN(M1206)-LEN(SUBSTITUTE(M1206,"/","")))=2,AND((LEN(M1206)-LEN(SUBSTITUTE(M1206,"/","")))=3,RIGHT(M1206,1)="/"))))),"Home page redirect; ","")&amp;IF(N(R1206)&gt;1,"Chain; ","")&amp;IF(S1206="No","Destination not 200; ","")))</f>
        <v/>
      </c>
      <c r="U1206" s="22" t="n"/>
      <c r="V1206" s="22" t="n"/>
      <c r="W1206" s="4" t="n"/>
    </row>
    <row r="1207">
      <c r="A1207" s="22" t="n"/>
      <c r="B1207" s="22" t="n"/>
      <c r="C1207" s="22" t="n"/>
      <c r="D1207" s="22">
        <f>IF(A1207="","",IF(OR(N(B1207)&gt;=$C$2,N(C1207)&gt;=$E$2),"High",IF(OR(N(B1207)&gt;0,N(C1207)&gt;0),"Medium","Low")))</f>
        <v/>
      </c>
      <c r="E1207" s="22" t="n"/>
      <c r="F1207" s="22" t="n"/>
      <c r="G1207" s="22" t="n"/>
      <c r="H1207" s="22" t="n"/>
      <c r="I1207" s="22" t="n"/>
      <c r="J1207" s="22" t="n"/>
      <c r="K1207" s="22" t="n"/>
      <c r="L1207" s="22" t="n"/>
      <c r="M1207" s="22">
        <f>IF(K1207="Override",L1207,IF(K1207="Accept suggestion",F1207,IF(K1207="No change (same URL)",A1207,"")))</f>
        <v/>
      </c>
      <c r="N1207" s="22">
        <f>IF(A1207="","",IF(K1207="410 Gone","410",IF(K1207="404","404",IF(K1207="No change (same URL)","none",IF(M1207="","","301")))))</f>
        <v/>
      </c>
      <c r="O1207" s="22">
        <f>IF(A1207="","",IFERROR(MID(A1207,FIND("/",A1207,FIND("//",A1207)+2),2000),A1207))</f>
        <v/>
      </c>
      <c r="P1207" s="22">
        <f>IF(OR(O1207="",N1207="",N1207="none",N1207="404"),"",IF(N1207="410","Redirect gone "&amp;O1207,"Redirect "&amp;N1207&amp;" "&amp;O1207&amp;" "&amp;M1207))</f>
        <v/>
      </c>
      <c r="Q1207" s="22" t="n"/>
      <c r="R1207" s="22" t="n"/>
      <c r="S1207" s="22" t="n"/>
      <c r="T1207" s="4">
        <f>IF(A1207="","",TRIM(IF(K1207="","Needs decision; ","")&amp;IF(AND(K1207="Accept suggestion",F1207=""),"No suggestion to accept; ","")&amp;IF(AND(K1207="Override",L1207=""),"Override URL missing; ","")&amp;IF(AND(K1207="Accept suggestion",N(G1207)&lt;$G$2),"Below your threshold; ","")&amp;IF(AND(M1207&lt;&gt;"",M1207=A1207,K1207&lt;&gt;"No change (same URL)"),"Redirects to itself; ","")&amp;IF(AND(M1207&lt;&gt;"",OR(M1207="/",AND(LEFT(M1207,4)="http",OR((LEN(M1207)-LEN(SUBSTITUTE(M1207,"/","")))=2,AND((LEN(M1207)-LEN(SUBSTITUTE(M1207,"/","")))=3,RIGHT(M1207,1)="/"))))),"Home page redirect; ","")&amp;IF(N(R1207)&gt;1,"Chain; ","")&amp;IF(S1207="No","Destination not 200; ","")))</f>
        <v/>
      </c>
      <c r="U1207" s="22" t="n"/>
      <c r="V1207" s="22" t="n"/>
      <c r="W1207" s="4" t="n"/>
    </row>
    <row r="1208">
      <c r="A1208" s="22" t="n"/>
      <c r="B1208" s="22" t="n"/>
      <c r="C1208" s="22" t="n"/>
      <c r="D1208" s="22">
        <f>IF(A1208="","",IF(OR(N(B1208)&gt;=$C$2,N(C1208)&gt;=$E$2),"High",IF(OR(N(B1208)&gt;0,N(C1208)&gt;0),"Medium","Low")))</f>
        <v/>
      </c>
      <c r="E1208" s="22" t="n"/>
      <c r="F1208" s="22" t="n"/>
      <c r="G1208" s="22" t="n"/>
      <c r="H1208" s="22" t="n"/>
      <c r="I1208" s="22" t="n"/>
      <c r="J1208" s="22" t="n"/>
      <c r="K1208" s="22" t="n"/>
      <c r="L1208" s="22" t="n"/>
      <c r="M1208" s="22">
        <f>IF(K1208="Override",L1208,IF(K1208="Accept suggestion",F1208,IF(K1208="No change (same URL)",A1208,"")))</f>
        <v/>
      </c>
      <c r="N1208" s="22">
        <f>IF(A1208="","",IF(K1208="410 Gone","410",IF(K1208="404","404",IF(K1208="No change (same URL)","none",IF(M1208="","","301")))))</f>
        <v/>
      </c>
      <c r="O1208" s="22">
        <f>IF(A1208="","",IFERROR(MID(A1208,FIND("/",A1208,FIND("//",A1208)+2),2000),A1208))</f>
        <v/>
      </c>
      <c r="P1208" s="22">
        <f>IF(OR(O1208="",N1208="",N1208="none",N1208="404"),"",IF(N1208="410","Redirect gone "&amp;O1208,"Redirect "&amp;N1208&amp;" "&amp;O1208&amp;" "&amp;M1208))</f>
        <v/>
      </c>
      <c r="Q1208" s="22" t="n"/>
      <c r="R1208" s="22" t="n"/>
      <c r="S1208" s="22" t="n"/>
      <c r="T1208" s="4">
        <f>IF(A1208="","",TRIM(IF(K1208="","Needs decision; ","")&amp;IF(AND(K1208="Accept suggestion",F1208=""),"No suggestion to accept; ","")&amp;IF(AND(K1208="Override",L1208=""),"Override URL missing; ","")&amp;IF(AND(K1208="Accept suggestion",N(G1208)&lt;$G$2),"Below your threshold; ","")&amp;IF(AND(M1208&lt;&gt;"",M1208=A1208,K1208&lt;&gt;"No change (same URL)"),"Redirects to itself; ","")&amp;IF(AND(M1208&lt;&gt;"",OR(M1208="/",AND(LEFT(M1208,4)="http",OR((LEN(M1208)-LEN(SUBSTITUTE(M1208,"/","")))=2,AND((LEN(M1208)-LEN(SUBSTITUTE(M1208,"/","")))=3,RIGHT(M1208,1)="/"))))),"Home page redirect; ","")&amp;IF(N(R1208)&gt;1,"Chain; ","")&amp;IF(S1208="No","Destination not 200; ","")))</f>
        <v/>
      </c>
      <c r="U1208" s="22" t="n"/>
      <c r="V1208" s="22" t="n"/>
      <c r="W1208" s="4" t="n"/>
    </row>
    <row r="1209">
      <c r="A1209" s="22" t="n"/>
      <c r="B1209" s="22" t="n"/>
      <c r="C1209" s="22" t="n"/>
      <c r="D1209" s="22">
        <f>IF(A1209="","",IF(OR(N(B1209)&gt;=$C$2,N(C1209)&gt;=$E$2),"High",IF(OR(N(B1209)&gt;0,N(C1209)&gt;0),"Medium","Low")))</f>
        <v/>
      </c>
      <c r="E1209" s="22" t="n"/>
      <c r="F1209" s="22" t="n"/>
      <c r="G1209" s="22" t="n"/>
      <c r="H1209" s="22" t="n"/>
      <c r="I1209" s="22" t="n"/>
      <c r="J1209" s="22" t="n"/>
      <c r="K1209" s="22" t="n"/>
      <c r="L1209" s="22" t="n"/>
      <c r="M1209" s="22">
        <f>IF(K1209="Override",L1209,IF(K1209="Accept suggestion",F1209,IF(K1209="No change (same URL)",A1209,"")))</f>
        <v/>
      </c>
      <c r="N1209" s="22">
        <f>IF(A1209="","",IF(K1209="410 Gone","410",IF(K1209="404","404",IF(K1209="No change (same URL)","none",IF(M1209="","","301")))))</f>
        <v/>
      </c>
      <c r="O1209" s="22">
        <f>IF(A1209="","",IFERROR(MID(A1209,FIND("/",A1209,FIND("//",A1209)+2),2000),A1209))</f>
        <v/>
      </c>
      <c r="P1209" s="22">
        <f>IF(OR(O1209="",N1209="",N1209="none",N1209="404"),"",IF(N1209="410","Redirect gone "&amp;O1209,"Redirect "&amp;N1209&amp;" "&amp;O1209&amp;" "&amp;M1209))</f>
        <v/>
      </c>
      <c r="Q1209" s="22" t="n"/>
      <c r="R1209" s="22" t="n"/>
      <c r="S1209" s="22" t="n"/>
      <c r="T1209" s="4">
        <f>IF(A1209="","",TRIM(IF(K1209="","Needs decision; ","")&amp;IF(AND(K1209="Accept suggestion",F1209=""),"No suggestion to accept; ","")&amp;IF(AND(K1209="Override",L1209=""),"Override URL missing; ","")&amp;IF(AND(K1209="Accept suggestion",N(G1209)&lt;$G$2),"Below your threshold; ","")&amp;IF(AND(M1209&lt;&gt;"",M1209=A1209,K1209&lt;&gt;"No change (same URL)"),"Redirects to itself; ","")&amp;IF(AND(M1209&lt;&gt;"",OR(M1209="/",AND(LEFT(M1209,4)="http",OR((LEN(M1209)-LEN(SUBSTITUTE(M1209,"/","")))=2,AND((LEN(M1209)-LEN(SUBSTITUTE(M1209,"/","")))=3,RIGHT(M1209,1)="/"))))),"Home page redirect; ","")&amp;IF(N(R1209)&gt;1,"Chain; ","")&amp;IF(S1209="No","Destination not 200; ","")))</f>
        <v/>
      </c>
      <c r="U1209" s="22" t="n"/>
      <c r="V1209" s="22" t="n"/>
      <c r="W1209" s="4" t="n"/>
    </row>
    <row r="1210">
      <c r="A1210" s="22" t="n"/>
      <c r="B1210" s="22" t="n"/>
      <c r="C1210" s="22" t="n"/>
      <c r="D1210" s="22">
        <f>IF(A1210="","",IF(OR(N(B1210)&gt;=$C$2,N(C1210)&gt;=$E$2),"High",IF(OR(N(B1210)&gt;0,N(C1210)&gt;0),"Medium","Low")))</f>
        <v/>
      </c>
      <c r="E1210" s="22" t="n"/>
      <c r="F1210" s="22" t="n"/>
      <c r="G1210" s="22" t="n"/>
      <c r="H1210" s="22" t="n"/>
      <c r="I1210" s="22" t="n"/>
      <c r="J1210" s="22" t="n"/>
      <c r="K1210" s="22" t="n"/>
      <c r="L1210" s="22" t="n"/>
      <c r="M1210" s="22">
        <f>IF(K1210="Override",L1210,IF(K1210="Accept suggestion",F1210,IF(K1210="No change (same URL)",A1210,"")))</f>
        <v/>
      </c>
      <c r="N1210" s="22">
        <f>IF(A1210="","",IF(K1210="410 Gone","410",IF(K1210="404","404",IF(K1210="No change (same URL)","none",IF(M1210="","","301")))))</f>
        <v/>
      </c>
      <c r="O1210" s="22">
        <f>IF(A1210="","",IFERROR(MID(A1210,FIND("/",A1210,FIND("//",A1210)+2),2000),A1210))</f>
        <v/>
      </c>
      <c r="P1210" s="22">
        <f>IF(OR(O1210="",N1210="",N1210="none",N1210="404"),"",IF(N1210="410","Redirect gone "&amp;O1210,"Redirect "&amp;N1210&amp;" "&amp;O1210&amp;" "&amp;M1210))</f>
        <v/>
      </c>
      <c r="Q1210" s="22" t="n"/>
      <c r="R1210" s="22" t="n"/>
      <c r="S1210" s="22" t="n"/>
      <c r="T1210" s="4">
        <f>IF(A1210="","",TRIM(IF(K1210="","Needs decision; ","")&amp;IF(AND(K1210="Accept suggestion",F1210=""),"No suggestion to accept; ","")&amp;IF(AND(K1210="Override",L1210=""),"Override URL missing; ","")&amp;IF(AND(K1210="Accept suggestion",N(G1210)&lt;$G$2),"Below your threshold; ","")&amp;IF(AND(M1210&lt;&gt;"",M1210=A1210,K1210&lt;&gt;"No change (same URL)"),"Redirects to itself; ","")&amp;IF(AND(M1210&lt;&gt;"",OR(M1210="/",AND(LEFT(M1210,4)="http",OR((LEN(M1210)-LEN(SUBSTITUTE(M1210,"/","")))=2,AND((LEN(M1210)-LEN(SUBSTITUTE(M1210,"/","")))=3,RIGHT(M1210,1)="/"))))),"Home page redirect; ","")&amp;IF(N(R1210)&gt;1,"Chain; ","")&amp;IF(S1210="No","Destination not 200; ","")))</f>
        <v/>
      </c>
      <c r="U1210" s="22" t="n"/>
      <c r="V1210" s="22" t="n"/>
      <c r="W1210" s="4" t="n"/>
    </row>
    <row r="1211">
      <c r="A1211" s="22" t="n"/>
      <c r="B1211" s="22" t="n"/>
      <c r="C1211" s="22" t="n"/>
      <c r="D1211" s="22">
        <f>IF(A1211="","",IF(OR(N(B1211)&gt;=$C$2,N(C1211)&gt;=$E$2),"High",IF(OR(N(B1211)&gt;0,N(C1211)&gt;0),"Medium","Low")))</f>
        <v/>
      </c>
      <c r="E1211" s="22" t="n"/>
      <c r="F1211" s="22" t="n"/>
      <c r="G1211" s="22" t="n"/>
      <c r="H1211" s="22" t="n"/>
      <c r="I1211" s="22" t="n"/>
      <c r="J1211" s="22" t="n"/>
      <c r="K1211" s="22" t="n"/>
      <c r="L1211" s="22" t="n"/>
      <c r="M1211" s="22">
        <f>IF(K1211="Override",L1211,IF(K1211="Accept suggestion",F1211,IF(K1211="No change (same URL)",A1211,"")))</f>
        <v/>
      </c>
      <c r="N1211" s="22">
        <f>IF(A1211="","",IF(K1211="410 Gone","410",IF(K1211="404","404",IF(K1211="No change (same URL)","none",IF(M1211="","","301")))))</f>
        <v/>
      </c>
      <c r="O1211" s="22">
        <f>IF(A1211="","",IFERROR(MID(A1211,FIND("/",A1211,FIND("//",A1211)+2),2000),A1211))</f>
        <v/>
      </c>
      <c r="P1211" s="22">
        <f>IF(OR(O1211="",N1211="",N1211="none",N1211="404"),"",IF(N1211="410","Redirect gone "&amp;O1211,"Redirect "&amp;N1211&amp;" "&amp;O1211&amp;" "&amp;M1211))</f>
        <v/>
      </c>
      <c r="Q1211" s="22" t="n"/>
      <c r="R1211" s="22" t="n"/>
      <c r="S1211" s="22" t="n"/>
      <c r="T1211" s="4">
        <f>IF(A1211="","",TRIM(IF(K1211="","Needs decision; ","")&amp;IF(AND(K1211="Accept suggestion",F1211=""),"No suggestion to accept; ","")&amp;IF(AND(K1211="Override",L1211=""),"Override URL missing; ","")&amp;IF(AND(K1211="Accept suggestion",N(G1211)&lt;$G$2),"Below your threshold; ","")&amp;IF(AND(M1211&lt;&gt;"",M1211=A1211,K1211&lt;&gt;"No change (same URL)"),"Redirects to itself; ","")&amp;IF(AND(M1211&lt;&gt;"",OR(M1211="/",AND(LEFT(M1211,4)="http",OR((LEN(M1211)-LEN(SUBSTITUTE(M1211,"/","")))=2,AND((LEN(M1211)-LEN(SUBSTITUTE(M1211,"/","")))=3,RIGHT(M1211,1)="/"))))),"Home page redirect; ","")&amp;IF(N(R1211)&gt;1,"Chain; ","")&amp;IF(S1211="No","Destination not 200; ","")))</f>
        <v/>
      </c>
      <c r="U1211" s="22" t="n"/>
      <c r="V1211" s="22" t="n"/>
      <c r="W1211" s="4" t="n"/>
    </row>
    <row r="1212">
      <c r="A1212" s="22" t="n"/>
      <c r="B1212" s="22" t="n"/>
      <c r="C1212" s="22" t="n"/>
      <c r="D1212" s="22">
        <f>IF(A1212="","",IF(OR(N(B1212)&gt;=$C$2,N(C1212)&gt;=$E$2),"High",IF(OR(N(B1212)&gt;0,N(C1212)&gt;0),"Medium","Low")))</f>
        <v/>
      </c>
      <c r="E1212" s="22" t="n"/>
      <c r="F1212" s="22" t="n"/>
      <c r="G1212" s="22" t="n"/>
      <c r="H1212" s="22" t="n"/>
      <c r="I1212" s="22" t="n"/>
      <c r="J1212" s="22" t="n"/>
      <c r="K1212" s="22" t="n"/>
      <c r="L1212" s="22" t="n"/>
      <c r="M1212" s="22">
        <f>IF(K1212="Override",L1212,IF(K1212="Accept suggestion",F1212,IF(K1212="No change (same URL)",A1212,"")))</f>
        <v/>
      </c>
      <c r="N1212" s="22">
        <f>IF(A1212="","",IF(K1212="410 Gone","410",IF(K1212="404","404",IF(K1212="No change (same URL)","none",IF(M1212="","","301")))))</f>
        <v/>
      </c>
      <c r="O1212" s="22">
        <f>IF(A1212="","",IFERROR(MID(A1212,FIND("/",A1212,FIND("//",A1212)+2),2000),A1212))</f>
        <v/>
      </c>
      <c r="P1212" s="22">
        <f>IF(OR(O1212="",N1212="",N1212="none",N1212="404"),"",IF(N1212="410","Redirect gone "&amp;O1212,"Redirect "&amp;N1212&amp;" "&amp;O1212&amp;" "&amp;M1212))</f>
        <v/>
      </c>
      <c r="Q1212" s="22" t="n"/>
      <c r="R1212" s="22" t="n"/>
      <c r="S1212" s="22" t="n"/>
      <c r="T1212" s="4">
        <f>IF(A1212="","",TRIM(IF(K1212="","Needs decision; ","")&amp;IF(AND(K1212="Accept suggestion",F1212=""),"No suggestion to accept; ","")&amp;IF(AND(K1212="Override",L1212=""),"Override URL missing; ","")&amp;IF(AND(K1212="Accept suggestion",N(G1212)&lt;$G$2),"Below your threshold; ","")&amp;IF(AND(M1212&lt;&gt;"",M1212=A1212,K1212&lt;&gt;"No change (same URL)"),"Redirects to itself; ","")&amp;IF(AND(M1212&lt;&gt;"",OR(M1212="/",AND(LEFT(M1212,4)="http",OR((LEN(M1212)-LEN(SUBSTITUTE(M1212,"/","")))=2,AND((LEN(M1212)-LEN(SUBSTITUTE(M1212,"/","")))=3,RIGHT(M1212,1)="/"))))),"Home page redirect; ","")&amp;IF(N(R1212)&gt;1,"Chain; ","")&amp;IF(S1212="No","Destination not 200; ","")))</f>
        <v/>
      </c>
      <c r="U1212" s="22" t="n"/>
      <c r="V1212" s="22" t="n"/>
      <c r="W1212" s="4" t="n"/>
    </row>
    <row r="1213">
      <c r="A1213" s="22" t="n"/>
      <c r="B1213" s="22" t="n"/>
      <c r="C1213" s="22" t="n"/>
      <c r="D1213" s="22">
        <f>IF(A1213="","",IF(OR(N(B1213)&gt;=$C$2,N(C1213)&gt;=$E$2),"High",IF(OR(N(B1213)&gt;0,N(C1213)&gt;0),"Medium","Low")))</f>
        <v/>
      </c>
      <c r="E1213" s="22" t="n"/>
      <c r="F1213" s="22" t="n"/>
      <c r="G1213" s="22" t="n"/>
      <c r="H1213" s="22" t="n"/>
      <c r="I1213" s="22" t="n"/>
      <c r="J1213" s="22" t="n"/>
      <c r="K1213" s="22" t="n"/>
      <c r="L1213" s="22" t="n"/>
      <c r="M1213" s="22">
        <f>IF(K1213="Override",L1213,IF(K1213="Accept suggestion",F1213,IF(K1213="No change (same URL)",A1213,"")))</f>
        <v/>
      </c>
      <c r="N1213" s="22">
        <f>IF(A1213="","",IF(K1213="410 Gone","410",IF(K1213="404","404",IF(K1213="No change (same URL)","none",IF(M1213="","","301")))))</f>
        <v/>
      </c>
      <c r="O1213" s="22">
        <f>IF(A1213="","",IFERROR(MID(A1213,FIND("/",A1213,FIND("//",A1213)+2),2000),A1213))</f>
        <v/>
      </c>
      <c r="P1213" s="22">
        <f>IF(OR(O1213="",N1213="",N1213="none",N1213="404"),"",IF(N1213="410","Redirect gone "&amp;O1213,"Redirect "&amp;N1213&amp;" "&amp;O1213&amp;" "&amp;M1213))</f>
        <v/>
      </c>
      <c r="Q1213" s="22" t="n"/>
      <c r="R1213" s="22" t="n"/>
      <c r="S1213" s="22" t="n"/>
      <c r="T1213" s="4">
        <f>IF(A1213="","",TRIM(IF(K1213="","Needs decision; ","")&amp;IF(AND(K1213="Accept suggestion",F1213=""),"No suggestion to accept; ","")&amp;IF(AND(K1213="Override",L1213=""),"Override URL missing; ","")&amp;IF(AND(K1213="Accept suggestion",N(G1213)&lt;$G$2),"Below your threshold; ","")&amp;IF(AND(M1213&lt;&gt;"",M1213=A1213,K1213&lt;&gt;"No change (same URL)"),"Redirects to itself; ","")&amp;IF(AND(M1213&lt;&gt;"",OR(M1213="/",AND(LEFT(M1213,4)="http",OR((LEN(M1213)-LEN(SUBSTITUTE(M1213,"/","")))=2,AND((LEN(M1213)-LEN(SUBSTITUTE(M1213,"/","")))=3,RIGHT(M1213,1)="/"))))),"Home page redirect; ","")&amp;IF(N(R1213)&gt;1,"Chain; ","")&amp;IF(S1213="No","Destination not 200; ","")))</f>
        <v/>
      </c>
      <c r="U1213" s="22" t="n"/>
      <c r="V1213" s="22" t="n"/>
      <c r="W1213" s="4" t="n"/>
    </row>
    <row r="1214">
      <c r="A1214" s="22" t="n"/>
      <c r="B1214" s="22" t="n"/>
      <c r="C1214" s="22" t="n"/>
      <c r="D1214" s="22">
        <f>IF(A1214="","",IF(OR(N(B1214)&gt;=$C$2,N(C1214)&gt;=$E$2),"High",IF(OR(N(B1214)&gt;0,N(C1214)&gt;0),"Medium","Low")))</f>
        <v/>
      </c>
      <c r="E1214" s="22" t="n"/>
      <c r="F1214" s="22" t="n"/>
      <c r="G1214" s="22" t="n"/>
      <c r="H1214" s="22" t="n"/>
      <c r="I1214" s="22" t="n"/>
      <c r="J1214" s="22" t="n"/>
      <c r="K1214" s="22" t="n"/>
      <c r="L1214" s="22" t="n"/>
      <c r="M1214" s="22">
        <f>IF(K1214="Override",L1214,IF(K1214="Accept suggestion",F1214,IF(K1214="No change (same URL)",A1214,"")))</f>
        <v/>
      </c>
      <c r="N1214" s="22">
        <f>IF(A1214="","",IF(K1214="410 Gone","410",IF(K1214="404","404",IF(K1214="No change (same URL)","none",IF(M1214="","","301")))))</f>
        <v/>
      </c>
      <c r="O1214" s="22">
        <f>IF(A1214="","",IFERROR(MID(A1214,FIND("/",A1214,FIND("//",A1214)+2),2000),A1214))</f>
        <v/>
      </c>
      <c r="P1214" s="22">
        <f>IF(OR(O1214="",N1214="",N1214="none",N1214="404"),"",IF(N1214="410","Redirect gone "&amp;O1214,"Redirect "&amp;N1214&amp;" "&amp;O1214&amp;" "&amp;M1214))</f>
        <v/>
      </c>
      <c r="Q1214" s="22" t="n"/>
      <c r="R1214" s="22" t="n"/>
      <c r="S1214" s="22" t="n"/>
      <c r="T1214" s="4">
        <f>IF(A1214="","",TRIM(IF(K1214="","Needs decision; ","")&amp;IF(AND(K1214="Accept suggestion",F1214=""),"No suggestion to accept; ","")&amp;IF(AND(K1214="Override",L1214=""),"Override URL missing; ","")&amp;IF(AND(K1214="Accept suggestion",N(G1214)&lt;$G$2),"Below your threshold; ","")&amp;IF(AND(M1214&lt;&gt;"",M1214=A1214,K1214&lt;&gt;"No change (same URL)"),"Redirects to itself; ","")&amp;IF(AND(M1214&lt;&gt;"",OR(M1214="/",AND(LEFT(M1214,4)="http",OR((LEN(M1214)-LEN(SUBSTITUTE(M1214,"/","")))=2,AND((LEN(M1214)-LEN(SUBSTITUTE(M1214,"/","")))=3,RIGHT(M1214,1)="/"))))),"Home page redirect; ","")&amp;IF(N(R1214)&gt;1,"Chain; ","")&amp;IF(S1214="No","Destination not 200; ","")))</f>
        <v/>
      </c>
      <c r="U1214" s="22" t="n"/>
      <c r="V1214" s="22" t="n"/>
      <c r="W1214" s="4" t="n"/>
    </row>
    <row r="1215">
      <c r="A1215" s="22" t="n"/>
      <c r="B1215" s="22" t="n"/>
      <c r="C1215" s="22" t="n"/>
      <c r="D1215" s="22">
        <f>IF(A1215="","",IF(OR(N(B1215)&gt;=$C$2,N(C1215)&gt;=$E$2),"High",IF(OR(N(B1215)&gt;0,N(C1215)&gt;0),"Medium","Low")))</f>
        <v/>
      </c>
      <c r="E1215" s="22" t="n"/>
      <c r="F1215" s="22" t="n"/>
      <c r="G1215" s="22" t="n"/>
      <c r="H1215" s="22" t="n"/>
      <c r="I1215" s="22" t="n"/>
      <c r="J1215" s="22" t="n"/>
      <c r="K1215" s="22" t="n"/>
      <c r="L1215" s="22" t="n"/>
      <c r="M1215" s="22">
        <f>IF(K1215="Override",L1215,IF(K1215="Accept suggestion",F1215,IF(K1215="No change (same URL)",A1215,"")))</f>
        <v/>
      </c>
      <c r="N1215" s="22">
        <f>IF(A1215="","",IF(K1215="410 Gone","410",IF(K1215="404","404",IF(K1215="No change (same URL)","none",IF(M1215="","","301")))))</f>
        <v/>
      </c>
      <c r="O1215" s="22">
        <f>IF(A1215="","",IFERROR(MID(A1215,FIND("/",A1215,FIND("//",A1215)+2),2000),A1215))</f>
        <v/>
      </c>
      <c r="P1215" s="22">
        <f>IF(OR(O1215="",N1215="",N1215="none",N1215="404"),"",IF(N1215="410","Redirect gone "&amp;O1215,"Redirect "&amp;N1215&amp;" "&amp;O1215&amp;" "&amp;M1215))</f>
        <v/>
      </c>
      <c r="Q1215" s="22" t="n"/>
      <c r="R1215" s="22" t="n"/>
      <c r="S1215" s="22" t="n"/>
      <c r="T1215" s="4">
        <f>IF(A1215="","",TRIM(IF(K1215="","Needs decision; ","")&amp;IF(AND(K1215="Accept suggestion",F1215=""),"No suggestion to accept; ","")&amp;IF(AND(K1215="Override",L1215=""),"Override URL missing; ","")&amp;IF(AND(K1215="Accept suggestion",N(G1215)&lt;$G$2),"Below your threshold; ","")&amp;IF(AND(M1215&lt;&gt;"",M1215=A1215,K1215&lt;&gt;"No change (same URL)"),"Redirects to itself; ","")&amp;IF(AND(M1215&lt;&gt;"",OR(M1215="/",AND(LEFT(M1215,4)="http",OR((LEN(M1215)-LEN(SUBSTITUTE(M1215,"/","")))=2,AND((LEN(M1215)-LEN(SUBSTITUTE(M1215,"/","")))=3,RIGHT(M1215,1)="/"))))),"Home page redirect; ","")&amp;IF(N(R1215)&gt;1,"Chain; ","")&amp;IF(S1215="No","Destination not 200; ","")))</f>
        <v/>
      </c>
      <c r="U1215" s="22" t="n"/>
      <c r="V1215" s="22" t="n"/>
      <c r="W1215" s="4" t="n"/>
    </row>
    <row r="1216">
      <c r="A1216" s="22" t="n"/>
      <c r="B1216" s="22" t="n"/>
      <c r="C1216" s="22" t="n"/>
      <c r="D1216" s="22">
        <f>IF(A1216="","",IF(OR(N(B1216)&gt;=$C$2,N(C1216)&gt;=$E$2),"High",IF(OR(N(B1216)&gt;0,N(C1216)&gt;0),"Medium","Low")))</f>
        <v/>
      </c>
      <c r="E1216" s="22" t="n"/>
      <c r="F1216" s="22" t="n"/>
      <c r="G1216" s="22" t="n"/>
      <c r="H1216" s="22" t="n"/>
      <c r="I1216" s="22" t="n"/>
      <c r="J1216" s="22" t="n"/>
      <c r="K1216" s="22" t="n"/>
      <c r="L1216" s="22" t="n"/>
      <c r="M1216" s="22">
        <f>IF(K1216="Override",L1216,IF(K1216="Accept suggestion",F1216,IF(K1216="No change (same URL)",A1216,"")))</f>
        <v/>
      </c>
      <c r="N1216" s="22">
        <f>IF(A1216="","",IF(K1216="410 Gone","410",IF(K1216="404","404",IF(K1216="No change (same URL)","none",IF(M1216="","","301")))))</f>
        <v/>
      </c>
      <c r="O1216" s="22">
        <f>IF(A1216="","",IFERROR(MID(A1216,FIND("/",A1216,FIND("//",A1216)+2),2000),A1216))</f>
        <v/>
      </c>
      <c r="P1216" s="22">
        <f>IF(OR(O1216="",N1216="",N1216="none",N1216="404"),"",IF(N1216="410","Redirect gone "&amp;O1216,"Redirect "&amp;N1216&amp;" "&amp;O1216&amp;" "&amp;M1216))</f>
        <v/>
      </c>
      <c r="Q1216" s="22" t="n"/>
      <c r="R1216" s="22" t="n"/>
      <c r="S1216" s="22" t="n"/>
      <c r="T1216" s="4">
        <f>IF(A1216="","",TRIM(IF(K1216="","Needs decision; ","")&amp;IF(AND(K1216="Accept suggestion",F1216=""),"No suggestion to accept; ","")&amp;IF(AND(K1216="Override",L1216=""),"Override URL missing; ","")&amp;IF(AND(K1216="Accept suggestion",N(G1216)&lt;$G$2),"Below your threshold; ","")&amp;IF(AND(M1216&lt;&gt;"",M1216=A1216,K1216&lt;&gt;"No change (same URL)"),"Redirects to itself; ","")&amp;IF(AND(M1216&lt;&gt;"",OR(M1216="/",AND(LEFT(M1216,4)="http",OR((LEN(M1216)-LEN(SUBSTITUTE(M1216,"/","")))=2,AND((LEN(M1216)-LEN(SUBSTITUTE(M1216,"/","")))=3,RIGHT(M1216,1)="/"))))),"Home page redirect; ","")&amp;IF(N(R1216)&gt;1,"Chain; ","")&amp;IF(S1216="No","Destination not 200; ","")))</f>
        <v/>
      </c>
      <c r="U1216" s="22" t="n"/>
      <c r="V1216" s="22" t="n"/>
      <c r="W1216" s="4" t="n"/>
    </row>
    <row r="1217">
      <c r="A1217" s="22" t="n"/>
      <c r="B1217" s="22" t="n"/>
      <c r="C1217" s="22" t="n"/>
      <c r="D1217" s="22">
        <f>IF(A1217="","",IF(OR(N(B1217)&gt;=$C$2,N(C1217)&gt;=$E$2),"High",IF(OR(N(B1217)&gt;0,N(C1217)&gt;0),"Medium","Low")))</f>
        <v/>
      </c>
      <c r="E1217" s="22" t="n"/>
      <c r="F1217" s="22" t="n"/>
      <c r="G1217" s="22" t="n"/>
      <c r="H1217" s="22" t="n"/>
      <c r="I1217" s="22" t="n"/>
      <c r="J1217" s="22" t="n"/>
      <c r="K1217" s="22" t="n"/>
      <c r="L1217" s="22" t="n"/>
      <c r="M1217" s="22">
        <f>IF(K1217="Override",L1217,IF(K1217="Accept suggestion",F1217,IF(K1217="No change (same URL)",A1217,"")))</f>
        <v/>
      </c>
      <c r="N1217" s="22">
        <f>IF(A1217="","",IF(K1217="410 Gone","410",IF(K1217="404","404",IF(K1217="No change (same URL)","none",IF(M1217="","","301")))))</f>
        <v/>
      </c>
      <c r="O1217" s="22">
        <f>IF(A1217="","",IFERROR(MID(A1217,FIND("/",A1217,FIND("//",A1217)+2),2000),A1217))</f>
        <v/>
      </c>
      <c r="P1217" s="22">
        <f>IF(OR(O1217="",N1217="",N1217="none",N1217="404"),"",IF(N1217="410","Redirect gone "&amp;O1217,"Redirect "&amp;N1217&amp;" "&amp;O1217&amp;" "&amp;M1217))</f>
        <v/>
      </c>
      <c r="Q1217" s="22" t="n"/>
      <c r="R1217" s="22" t="n"/>
      <c r="S1217" s="22" t="n"/>
      <c r="T1217" s="4">
        <f>IF(A1217="","",TRIM(IF(K1217="","Needs decision; ","")&amp;IF(AND(K1217="Accept suggestion",F1217=""),"No suggestion to accept; ","")&amp;IF(AND(K1217="Override",L1217=""),"Override URL missing; ","")&amp;IF(AND(K1217="Accept suggestion",N(G1217)&lt;$G$2),"Below your threshold; ","")&amp;IF(AND(M1217&lt;&gt;"",M1217=A1217,K1217&lt;&gt;"No change (same URL)"),"Redirects to itself; ","")&amp;IF(AND(M1217&lt;&gt;"",OR(M1217="/",AND(LEFT(M1217,4)="http",OR((LEN(M1217)-LEN(SUBSTITUTE(M1217,"/","")))=2,AND((LEN(M1217)-LEN(SUBSTITUTE(M1217,"/","")))=3,RIGHT(M1217,1)="/"))))),"Home page redirect; ","")&amp;IF(N(R1217)&gt;1,"Chain; ","")&amp;IF(S1217="No","Destination not 200; ","")))</f>
        <v/>
      </c>
      <c r="U1217" s="22" t="n"/>
      <c r="V1217" s="22" t="n"/>
      <c r="W1217" s="4" t="n"/>
    </row>
    <row r="1218">
      <c r="A1218" s="22" t="n"/>
      <c r="B1218" s="22" t="n"/>
      <c r="C1218" s="22" t="n"/>
      <c r="D1218" s="22">
        <f>IF(A1218="","",IF(OR(N(B1218)&gt;=$C$2,N(C1218)&gt;=$E$2),"High",IF(OR(N(B1218)&gt;0,N(C1218)&gt;0),"Medium","Low")))</f>
        <v/>
      </c>
      <c r="E1218" s="22" t="n"/>
      <c r="F1218" s="22" t="n"/>
      <c r="G1218" s="22" t="n"/>
      <c r="H1218" s="22" t="n"/>
      <c r="I1218" s="22" t="n"/>
      <c r="J1218" s="22" t="n"/>
      <c r="K1218" s="22" t="n"/>
      <c r="L1218" s="22" t="n"/>
      <c r="M1218" s="22">
        <f>IF(K1218="Override",L1218,IF(K1218="Accept suggestion",F1218,IF(K1218="No change (same URL)",A1218,"")))</f>
        <v/>
      </c>
      <c r="N1218" s="22">
        <f>IF(A1218="","",IF(K1218="410 Gone","410",IF(K1218="404","404",IF(K1218="No change (same URL)","none",IF(M1218="","","301")))))</f>
        <v/>
      </c>
      <c r="O1218" s="22">
        <f>IF(A1218="","",IFERROR(MID(A1218,FIND("/",A1218,FIND("//",A1218)+2),2000),A1218))</f>
        <v/>
      </c>
      <c r="P1218" s="22">
        <f>IF(OR(O1218="",N1218="",N1218="none",N1218="404"),"",IF(N1218="410","Redirect gone "&amp;O1218,"Redirect "&amp;N1218&amp;" "&amp;O1218&amp;" "&amp;M1218))</f>
        <v/>
      </c>
      <c r="Q1218" s="22" t="n"/>
      <c r="R1218" s="22" t="n"/>
      <c r="S1218" s="22" t="n"/>
      <c r="T1218" s="4">
        <f>IF(A1218="","",TRIM(IF(K1218="","Needs decision; ","")&amp;IF(AND(K1218="Accept suggestion",F1218=""),"No suggestion to accept; ","")&amp;IF(AND(K1218="Override",L1218=""),"Override URL missing; ","")&amp;IF(AND(K1218="Accept suggestion",N(G1218)&lt;$G$2),"Below your threshold; ","")&amp;IF(AND(M1218&lt;&gt;"",M1218=A1218,K1218&lt;&gt;"No change (same URL)"),"Redirects to itself; ","")&amp;IF(AND(M1218&lt;&gt;"",OR(M1218="/",AND(LEFT(M1218,4)="http",OR((LEN(M1218)-LEN(SUBSTITUTE(M1218,"/","")))=2,AND((LEN(M1218)-LEN(SUBSTITUTE(M1218,"/","")))=3,RIGHT(M1218,1)="/"))))),"Home page redirect; ","")&amp;IF(N(R1218)&gt;1,"Chain; ","")&amp;IF(S1218="No","Destination not 200; ","")))</f>
        <v/>
      </c>
      <c r="U1218" s="22" t="n"/>
      <c r="V1218" s="22" t="n"/>
      <c r="W1218" s="4" t="n"/>
    </row>
    <row r="1219">
      <c r="A1219" s="22" t="n"/>
      <c r="B1219" s="22" t="n"/>
      <c r="C1219" s="22" t="n"/>
      <c r="D1219" s="22">
        <f>IF(A1219="","",IF(OR(N(B1219)&gt;=$C$2,N(C1219)&gt;=$E$2),"High",IF(OR(N(B1219)&gt;0,N(C1219)&gt;0),"Medium","Low")))</f>
        <v/>
      </c>
      <c r="E1219" s="22" t="n"/>
      <c r="F1219" s="22" t="n"/>
      <c r="G1219" s="22" t="n"/>
      <c r="H1219" s="22" t="n"/>
      <c r="I1219" s="22" t="n"/>
      <c r="J1219" s="22" t="n"/>
      <c r="K1219" s="22" t="n"/>
      <c r="L1219" s="22" t="n"/>
      <c r="M1219" s="22">
        <f>IF(K1219="Override",L1219,IF(K1219="Accept suggestion",F1219,IF(K1219="No change (same URL)",A1219,"")))</f>
        <v/>
      </c>
      <c r="N1219" s="22">
        <f>IF(A1219="","",IF(K1219="410 Gone","410",IF(K1219="404","404",IF(K1219="No change (same URL)","none",IF(M1219="","","301")))))</f>
        <v/>
      </c>
      <c r="O1219" s="22">
        <f>IF(A1219="","",IFERROR(MID(A1219,FIND("/",A1219,FIND("//",A1219)+2),2000),A1219))</f>
        <v/>
      </c>
      <c r="P1219" s="22">
        <f>IF(OR(O1219="",N1219="",N1219="none",N1219="404"),"",IF(N1219="410","Redirect gone "&amp;O1219,"Redirect "&amp;N1219&amp;" "&amp;O1219&amp;" "&amp;M1219))</f>
        <v/>
      </c>
      <c r="Q1219" s="22" t="n"/>
      <c r="R1219" s="22" t="n"/>
      <c r="S1219" s="22" t="n"/>
      <c r="T1219" s="4">
        <f>IF(A1219="","",TRIM(IF(K1219="","Needs decision; ","")&amp;IF(AND(K1219="Accept suggestion",F1219=""),"No suggestion to accept; ","")&amp;IF(AND(K1219="Override",L1219=""),"Override URL missing; ","")&amp;IF(AND(K1219="Accept suggestion",N(G1219)&lt;$G$2),"Below your threshold; ","")&amp;IF(AND(M1219&lt;&gt;"",M1219=A1219,K1219&lt;&gt;"No change (same URL)"),"Redirects to itself; ","")&amp;IF(AND(M1219&lt;&gt;"",OR(M1219="/",AND(LEFT(M1219,4)="http",OR((LEN(M1219)-LEN(SUBSTITUTE(M1219,"/","")))=2,AND((LEN(M1219)-LEN(SUBSTITUTE(M1219,"/","")))=3,RIGHT(M1219,1)="/"))))),"Home page redirect; ","")&amp;IF(N(R1219)&gt;1,"Chain; ","")&amp;IF(S1219="No","Destination not 200; ","")))</f>
        <v/>
      </c>
      <c r="U1219" s="22" t="n"/>
      <c r="V1219" s="22" t="n"/>
      <c r="W1219" s="4" t="n"/>
    </row>
    <row r="1220">
      <c r="A1220" s="22" t="n"/>
      <c r="B1220" s="22" t="n"/>
      <c r="C1220" s="22" t="n"/>
      <c r="D1220" s="22">
        <f>IF(A1220="","",IF(OR(N(B1220)&gt;=$C$2,N(C1220)&gt;=$E$2),"High",IF(OR(N(B1220)&gt;0,N(C1220)&gt;0),"Medium","Low")))</f>
        <v/>
      </c>
      <c r="E1220" s="22" t="n"/>
      <c r="F1220" s="22" t="n"/>
      <c r="G1220" s="22" t="n"/>
      <c r="H1220" s="22" t="n"/>
      <c r="I1220" s="22" t="n"/>
      <c r="J1220" s="22" t="n"/>
      <c r="K1220" s="22" t="n"/>
      <c r="L1220" s="22" t="n"/>
      <c r="M1220" s="22">
        <f>IF(K1220="Override",L1220,IF(K1220="Accept suggestion",F1220,IF(K1220="No change (same URL)",A1220,"")))</f>
        <v/>
      </c>
      <c r="N1220" s="22">
        <f>IF(A1220="","",IF(K1220="410 Gone","410",IF(K1220="404","404",IF(K1220="No change (same URL)","none",IF(M1220="","","301")))))</f>
        <v/>
      </c>
      <c r="O1220" s="22">
        <f>IF(A1220="","",IFERROR(MID(A1220,FIND("/",A1220,FIND("//",A1220)+2),2000),A1220))</f>
        <v/>
      </c>
      <c r="P1220" s="22">
        <f>IF(OR(O1220="",N1220="",N1220="none",N1220="404"),"",IF(N1220="410","Redirect gone "&amp;O1220,"Redirect "&amp;N1220&amp;" "&amp;O1220&amp;" "&amp;M1220))</f>
        <v/>
      </c>
      <c r="Q1220" s="22" t="n"/>
      <c r="R1220" s="22" t="n"/>
      <c r="S1220" s="22" t="n"/>
      <c r="T1220" s="4">
        <f>IF(A1220="","",TRIM(IF(K1220="","Needs decision; ","")&amp;IF(AND(K1220="Accept suggestion",F1220=""),"No suggestion to accept; ","")&amp;IF(AND(K1220="Override",L1220=""),"Override URL missing; ","")&amp;IF(AND(K1220="Accept suggestion",N(G1220)&lt;$G$2),"Below your threshold; ","")&amp;IF(AND(M1220&lt;&gt;"",M1220=A1220,K1220&lt;&gt;"No change (same URL)"),"Redirects to itself; ","")&amp;IF(AND(M1220&lt;&gt;"",OR(M1220="/",AND(LEFT(M1220,4)="http",OR((LEN(M1220)-LEN(SUBSTITUTE(M1220,"/","")))=2,AND((LEN(M1220)-LEN(SUBSTITUTE(M1220,"/","")))=3,RIGHT(M1220,1)="/"))))),"Home page redirect; ","")&amp;IF(N(R1220)&gt;1,"Chain; ","")&amp;IF(S1220="No","Destination not 200; ","")))</f>
        <v/>
      </c>
      <c r="U1220" s="22" t="n"/>
      <c r="V1220" s="22" t="n"/>
      <c r="W1220" s="4" t="n"/>
    </row>
    <row r="1221">
      <c r="A1221" s="22" t="n"/>
      <c r="B1221" s="22" t="n"/>
      <c r="C1221" s="22" t="n"/>
      <c r="D1221" s="22">
        <f>IF(A1221="","",IF(OR(N(B1221)&gt;=$C$2,N(C1221)&gt;=$E$2),"High",IF(OR(N(B1221)&gt;0,N(C1221)&gt;0),"Medium","Low")))</f>
        <v/>
      </c>
      <c r="E1221" s="22" t="n"/>
      <c r="F1221" s="22" t="n"/>
      <c r="G1221" s="22" t="n"/>
      <c r="H1221" s="22" t="n"/>
      <c r="I1221" s="22" t="n"/>
      <c r="J1221" s="22" t="n"/>
      <c r="K1221" s="22" t="n"/>
      <c r="L1221" s="22" t="n"/>
      <c r="M1221" s="22">
        <f>IF(K1221="Override",L1221,IF(K1221="Accept suggestion",F1221,IF(K1221="No change (same URL)",A1221,"")))</f>
        <v/>
      </c>
      <c r="N1221" s="22">
        <f>IF(A1221="","",IF(K1221="410 Gone","410",IF(K1221="404","404",IF(K1221="No change (same URL)","none",IF(M1221="","","301")))))</f>
        <v/>
      </c>
      <c r="O1221" s="22">
        <f>IF(A1221="","",IFERROR(MID(A1221,FIND("/",A1221,FIND("//",A1221)+2),2000),A1221))</f>
        <v/>
      </c>
      <c r="P1221" s="22">
        <f>IF(OR(O1221="",N1221="",N1221="none",N1221="404"),"",IF(N1221="410","Redirect gone "&amp;O1221,"Redirect "&amp;N1221&amp;" "&amp;O1221&amp;" "&amp;M1221))</f>
        <v/>
      </c>
      <c r="Q1221" s="22" t="n"/>
      <c r="R1221" s="22" t="n"/>
      <c r="S1221" s="22" t="n"/>
      <c r="T1221" s="4">
        <f>IF(A1221="","",TRIM(IF(K1221="","Needs decision; ","")&amp;IF(AND(K1221="Accept suggestion",F1221=""),"No suggestion to accept; ","")&amp;IF(AND(K1221="Override",L1221=""),"Override URL missing; ","")&amp;IF(AND(K1221="Accept suggestion",N(G1221)&lt;$G$2),"Below your threshold; ","")&amp;IF(AND(M1221&lt;&gt;"",M1221=A1221,K1221&lt;&gt;"No change (same URL)"),"Redirects to itself; ","")&amp;IF(AND(M1221&lt;&gt;"",OR(M1221="/",AND(LEFT(M1221,4)="http",OR((LEN(M1221)-LEN(SUBSTITUTE(M1221,"/","")))=2,AND((LEN(M1221)-LEN(SUBSTITUTE(M1221,"/","")))=3,RIGHT(M1221,1)="/"))))),"Home page redirect; ","")&amp;IF(N(R1221)&gt;1,"Chain; ","")&amp;IF(S1221="No","Destination not 200; ","")))</f>
        <v/>
      </c>
      <c r="U1221" s="22" t="n"/>
      <c r="V1221" s="22" t="n"/>
      <c r="W1221" s="4" t="n"/>
    </row>
    <row r="1222">
      <c r="A1222" s="22" t="n"/>
      <c r="B1222" s="22" t="n"/>
      <c r="C1222" s="22" t="n"/>
      <c r="D1222" s="22">
        <f>IF(A1222="","",IF(OR(N(B1222)&gt;=$C$2,N(C1222)&gt;=$E$2),"High",IF(OR(N(B1222)&gt;0,N(C1222)&gt;0),"Medium","Low")))</f>
        <v/>
      </c>
      <c r="E1222" s="22" t="n"/>
      <c r="F1222" s="22" t="n"/>
      <c r="G1222" s="22" t="n"/>
      <c r="H1222" s="22" t="n"/>
      <c r="I1222" s="22" t="n"/>
      <c r="J1222" s="22" t="n"/>
      <c r="K1222" s="22" t="n"/>
      <c r="L1222" s="22" t="n"/>
      <c r="M1222" s="22">
        <f>IF(K1222="Override",L1222,IF(K1222="Accept suggestion",F1222,IF(K1222="No change (same URL)",A1222,"")))</f>
        <v/>
      </c>
      <c r="N1222" s="22">
        <f>IF(A1222="","",IF(K1222="410 Gone","410",IF(K1222="404","404",IF(K1222="No change (same URL)","none",IF(M1222="","","301")))))</f>
        <v/>
      </c>
      <c r="O1222" s="22">
        <f>IF(A1222="","",IFERROR(MID(A1222,FIND("/",A1222,FIND("//",A1222)+2),2000),A1222))</f>
        <v/>
      </c>
      <c r="P1222" s="22">
        <f>IF(OR(O1222="",N1222="",N1222="none",N1222="404"),"",IF(N1222="410","Redirect gone "&amp;O1222,"Redirect "&amp;N1222&amp;" "&amp;O1222&amp;" "&amp;M1222))</f>
        <v/>
      </c>
      <c r="Q1222" s="22" t="n"/>
      <c r="R1222" s="22" t="n"/>
      <c r="S1222" s="22" t="n"/>
      <c r="T1222" s="4">
        <f>IF(A1222="","",TRIM(IF(K1222="","Needs decision; ","")&amp;IF(AND(K1222="Accept suggestion",F1222=""),"No suggestion to accept; ","")&amp;IF(AND(K1222="Override",L1222=""),"Override URL missing; ","")&amp;IF(AND(K1222="Accept suggestion",N(G1222)&lt;$G$2),"Below your threshold; ","")&amp;IF(AND(M1222&lt;&gt;"",M1222=A1222,K1222&lt;&gt;"No change (same URL)"),"Redirects to itself; ","")&amp;IF(AND(M1222&lt;&gt;"",OR(M1222="/",AND(LEFT(M1222,4)="http",OR((LEN(M1222)-LEN(SUBSTITUTE(M1222,"/","")))=2,AND((LEN(M1222)-LEN(SUBSTITUTE(M1222,"/","")))=3,RIGHT(M1222,1)="/"))))),"Home page redirect; ","")&amp;IF(N(R1222)&gt;1,"Chain; ","")&amp;IF(S1222="No","Destination not 200; ","")))</f>
        <v/>
      </c>
      <c r="U1222" s="22" t="n"/>
      <c r="V1222" s="22" t="n"/>
      <c r="W1222" s="4" t="n"/>
    </row>
    <row r="1223">
      <c r="A1223" s="22" t="n"/>
      <c r="B1223" s="22" t="n"/>
      <c r="C1223" s="22" t="n"/>
      <c r="D1223" s="22">
        <f>IF(A1223="","",IF(OR(N(B1223)&gt;=$C$2,N(C1223)&gt;=$E$2),"High",IF(OR(N(B1223)&gt;0,N(C1223)&gt;0),"Medium","Low")))</f>
        <v/>
      </c>
      <c r="E1223" s="22" t="n"/>
      <c r="F1223" s="22" t="n"/>
      <c r="G1223" s="22" t="n"/>
      <c r="H1223" s="22" t="n"/>
      <c r="I1223" s="22" t="n"/>
      <c r="J1223" s="22" t="n"/>
      <c r="K1223" s="22" t="n"/>
      <c r="L1223" s="22" t="n"/>
      <c r="M1223" s="22">
        <f>IF(K1223="Override",L1223,IF(K1223="Accept suggestion",F1223,IF(K1223="No change (same URL)",A1223,"")))</f>
        <v/>
      </c>
      <c r="N1223" s="22">
        <f>IF(A1223="","",IF(K1223="410 Gone","410",IF(K1223="404","404",IF(K1223="No change (same URL)","none",IF(M1223="","","301")))))</f>
        <v/>
      </c>
      <c r="O1223" s="22">
        <f>IF(A1223="","",IFERROR(MID(A1223,FIND("/",A1223,FIND("//",A1223)+2),2000),A1223))</f>
        <v/>
      </c>
      <c r="P1223" s="22">
        <f>IF(OR(O1223="",N1223="",N1223="none",N1223="404"),"",IF(N1223="410","Redirect gone "&amp;O1223,"Redirect "&amp;N1223&amp;" "&amp;O1223&amp;" "&amp;M1223))</f>
        <v/>
      </c>
      <c r="Q1223" s="22" t="n"/>
      <c r="R1223" s="22" t="n"/>
      <c r="S1223" s="22" t="n"/>
      <c r="T1223" s="4">
        <f>IF(A1223="","",TRIM(IF(K1223="","Needs decision; ","")&amp;IF(AND(K1223="Accept suggestion",F1223=""),"No suggestion to accept; ","")&amp;IF(AND(K1223="Override",L1223=""),"Override URL missing; ","")&amp;IF(AND(K1223="Accept suggestion",N(G1223)&lt;$G$2),"Below your threshold; ","")&amp;IF(AND(M1223&lt;&gt;"",M1223=A1223,K1223&lt;&gt;"No change (same URL)"),"Redirects to itself; ","")&amp;IF(AND(M1223&lt;&gt;"",OR(M1223="/",AND(LEFT(M1223,4)="http",OR((LEN(M1223)-LEN(SUBSTITUTE(M1223,"/","")))=2,AND((LEN(M1223)-LEN(SUBSTITUTE(M1223,"/","")))=3,RIGHT(M1223,1)="/"))))),"Home page redirect; ","")&amp;IF(N(R1223)&gt;1,"Chain; ","")&amp;IF(S1223="No","Destination not 200; ","")))</f>
        <v/>
      </c>
      <c r="U1223" s="22" t="n"/>
      <c r="V1223" s="22" t="n"/>
      <c r="W1223" s="4" t="n"/>
    </row>
    <row r="1224">
      <c r="A1224" s="22" t="n"/>
      <c r="B1224" s="22" t="n"/>
      <c r="C1224" s="22" t="n"/>
      <c r="D1224" s="22">
        <f>IF(A1224="","",IF(OR(N(B1224)&gt;=$C$2,N(C1224)&gt;=$E$2),"High",IF(OR(N(B1224)&gt;0,N(C1224)&gt;0),"Medium","Low")))</f>
        <v/>
      </c>
      <c r="E1224" s="22" t="n"/>
      <c r="F1224" s="22" t="n"/>
      <c r="G1224" s="22" t="n"/>
      <c r="H1224" s="22" t="n"/>
      <c r="I1224" s="22" t="n"/>
      <c r="J1224" s="22" t="n"/>
      <c r="K1224" s="22" t="n"/>
      <c r="L1224" s="22" t="n"/>
      <c r="M1224" s="22">
        <f>IF(K1224="Override",L1224,IF(K1224="Accept suggestion",F1224,IF(K1224="No change (same URL)",A1224,"")))</f>
        <v/>
      </c>
      <c r="N1224" s="22">
        <f>IF(A1224="","",IF(K1224="410 Gone","410",IF(K1224="404","404",IF(K1224="No change (same URL)","none",IF(M1224="","","301")))))</f>
        <v/>
      </c>
      <c r="O1224" s="22">
        <f>IF(A1224="","",IFERROR(MID(A1224,FIND("/",A1224,FIND("//",A1224)+2),2000),A1224))</f>
        <v/>
      </c>
      <c r="P1224" s="22">
        <f>IF(OR(O1224="",N1224="",N1224="none",N1224="404"),"",IF(N1224="410","Redirect gone "&amp;O1224,"Redirect "&amp;N1224&amp;" "&amp;O1224&amp;" "&amp;M1224))</f>
        <v/>
      </c>
      <c r="Q1224" s="22" t="n"/>
      <c r="R1224" s="22" t="n"/>
      <c r="S1224" s="22" t="n"/>
      <c r="T1224" s="4">
        <f>IF(A1224="","",TRIM(IF(K1224="","Needs decision; ","")&amp;IF(AND(K1224="Accept suggestion",F1224=""),"No suggestion to accept; ","")&amp;IF(AND(K1224="Override",L1224=""),"Override URL missing; ","")&amp;IF(AND(K1224="Accept suggestion",N(G1224)&lt;$G$2),"Below your threshold; ","")&amp;IF(AND(M1224&lt;&gt;"",M1224=A1224,K1224&lt;&gt;"No change (same URL)"),"Redirects to itself; ","")&amp;IF(AND(M1224&lt;&gt;"",OR(M1224="/",AND(LEFT(M1224,4)="http",OR((LEN(M1224)-LEN(SUBSTITUTE(M1224,"/","")))=2,AND((LEN(M1224)-LEN(SUBSTITUTE(M1224,"/","")))=3,RIGHT(M1224,1)="/"))))),"Home page redirect; ","")&amp;IF(N(R1224)&gt;1,"Chain; ","")&amp;IF(S1224="No","Destination not 200; ","")))</f>
        <v/>
      </c>
      <c r="U1224" s="22" t="n"/>
      <c r="V1224" s="22" t="n"/>
      <c r="W1224" s="4" t="n"/>
    </row>
    <row r="1225">
      <c r="A1225" s="22" t="n"/>
      <c r="B1225" s="22" t="n"/>
      <c r="C1225" s="22" t="n"/>
      <c r="D1225" s="22">
        <f>IF(A1225="","",IF(OR(N(B1225)&gt;=$C$2,N(C1225)&gt;=$E$2),"High",IF(OR(N(B1225)&gt;0,N(C1225)&gt;0),"Medium","Low")))</f>
        <v/>
      </c>
      <c r="E1225" s="22" t="n"/>
      <c r="F1225" s="22" t="n"/>
      <c r="G1225" s="22" t="n"/>
      <c r="H1225" s="22" t="n"/>
      <c r="I1225" s="22" t="n"/>
      <c r="J1225" s="22" t="n"/>
      <c r="K1225" s="22" t="n"/>
      <c r="L1225" s="22" t="n"/>
      <c r="M1225" s="22">
        <f>IF(K1225="Override",L1225,IF(K1225="Accept suggestion",F1225,IF(K1225="No change (same URL)",A1225,"")))</f>
        <v/>
      </c>
      <c r="N1225" s="22">
        <f>IF(A1225="","",IF(K1225="410 Gone","410",IF(K1225="404","404",IF(K1225="No change (same URL)","none",IF(M1225="","","301")))))</f>
        <v/>
      </c>
      <c r="O1225" s="22">
        <f>IF(A1225="","",IFERROR(MID(A1225,FIND("/",A1225,FIND("//",A1225)+2),2000),A1225))</f>
        <v/>
      </c>
      <c r="P1225" s="22">
        <f>IF(OR(O1225="",N1225="",N1225="none",N1225="404"),"",IF(N1225="410","Redirect gone "&amp;O1225,"Redirect "&amp;N1225&amp;" "&amp;O1225&amp;" "&amp;M1225))</f>
        <v/>
      </c>
      <c r="Q1225" s="22" t="n"/>
      <c r="R1225" s="22" t="n"/>
      <c r="S1225" s="22" t="n"/>
      <c r="T1225" s="4">
        <f>IF(A1225="","",TRIM(IF(K1225="","Needs decision; ","")&amp;IF(AND(K1225="Accept suggestion",F1225=""),"No suggestion to accept; ","")&amp;IF(AND(K1225="Override",L1225=""),"Override URL missing; ","")&amp;IF(AND(K1225="Accept suggestion",N(G1225)&lt;$G$2),"Below your threshold; ","")&amp;IF(AND(M1225&lt;&gt;"",M1225=A1225,K1225&lt;&gt;"No change (same URL)"),"Redirects to itself; ","")&amp;IF(AND(M1225&lt;&gt;"",OR(M1225="/",AND(LEFT(M1225,4)="http",OR((LEN(M1225)-LEN(SUBSTITUTE(M1225,"/","")))=2,AND((LEN(M1225)-LEN(SUBSTITUTE(M1225,"/","")))=3,RIGHT(M1225,1)="/"))))),"Home page redirect; ","")&amp;IF(N(R1225)&gt;1,"Chain; ","")&amp;IF(S1225="No","Destination not 200; ","")))</f>
        <v/>
      </c>
      <c r="U1225" s="22" t="n"/>
      <c r="V1225" s="22" t="n"/>
      <c r="W1225" s="4" t="n"/>
    </row>
    <row r="1226">
      <c r="A1226" s="22" t="n"/>
      <c r="B1226" s="22" t="n"/>
      <c r="C1226" s="22" t="n"/>
      <c r="D1226" s="22">
        <f>IF(A1226="","",IF(OR(N(B1226)&gt;=$C$2,N(C1226)&gt;=$E$2),"High",IF(OR(N(B1226)&gt;0,N(C1226)&gt;0),"Medium","Low")))</f>
        <v/>
      </c>
      <c r="E1226" s="22" t="n"/>
      <c r="F1226" s="22" t="n"/>
      <c r="G1226" s="22" t="n"/>
      <c r="H1226" s="22" t="n"/>
      <c r="I1226" s="22" t="n"/>
      <c r="J1226" s="22" t="n"/>
      <c r="K1226" s="22" t="n"/>
      <c r="L1226" s="22" t="n"/>
      <c r="M1226" s="22">
        <f>IF(K1226="Override",L1226,IF(K1226="Accept suggestion",F1226,IF(K1226="No change (same URL)",A1226,"")))</f>
        <v/>
      </c>
      <c r="N1226" s="22">
        <f>IF(A1226="","",IF(K1226="410 Gone","410",IF(K1226="404","404",IF(K1226="No change (same URL)","none",IF(M1226="","","301")))))</f>
        <v/>
      </c>
      <c r="O1226" s="22">
        <f>IF(A1226="","",IFERROR(MID(A1226,FIND("/",A1226,FIND("//",A1226)+2),2000),A1226))</f>
        <v/>
      </c>
      <c r="P1226" s="22">
        <f>IF(OR(O1226="",N1226="",N1226="none",N1226="404"),"",IF(N1226="410","Redirect gone "&amp;O1226,"Redirect "&amp;N1226&amp;" "&amp;O1226&amp;" "&amp;M1226))</f>
        <v/>
      </c>
      <c r="Q1226" s="22" t="n"/>
      <c r="R1226" s="22" t="n"/>
      <c r="S1226" s="22" t="n"/>
      <c r="T1226" s="4">
        <f>IF(A1226="","",TRIM(IF(K1226="","Needs decision; ","")&amp;IF(AND(K1226="Accept suggestion",F1226=""),"No suggestion to accept; ","")&amp;IF(AND(K1226="Override",L1226=""),"Override URL missing; ","")&amp;IF(AND(K1226="Accept suggestion",N(G1226)&lt;$G$2),"Below your threshold; ","")&amp;IF(AND(M1226&lt;&gt;"",M1226=A1226,K1226&lt;&gt;"No change (same URL)"),"Redirects to itself; ","")&amp;IF(AND(M1226&lt;&gt;"",OR(M1226="/",AND(LEFT(M1226,4)="http",OR((LEN(M1226)-LEN(SUBSTITUTE(M1226,"/","")))=2,AND((LEN(M1226)-LEN(SUBSTITUTE(M1226,"/","")))=3,RIGHT(M1226,1)="/"))))),"Home page redirect; ","")&amp;IF(N(R1226)&gt;1,"Chain; ","")&amp;IF(S1226="No","Destination not 200; ","")))</f>
        <v/>
      </c>
      <c r="U1226" s="22" t="n"/>
      <c r="V1226" s="22" t="n"/>
      <c r="W1226" s="4" t="n"/>
    </row>
    <row r="1227">
      <c r="A1227" s="22" t="n"/>
      <c r="B1227" s="22" t="n"/>
      <c r="C1227" s="22" t="n"/>
      <c r="D1227" s="22">
        <f>IF(A1227="","",IF(OR(N(B1227)&gt;=$C$2,N(C1227)&gt;=$E$2),"High",IF(OR(N(B1227)&gt;0,N(C1227)&gt;0),"Medium","Low")))</f>
        <v/>
      </c>
      <c r="E1227" s="22" t="n"/>
      <c r="F1227" s="22" t="n"/>
      <c r="G1227" s="22" t="n"/>
      <c r="H1227" s="22" t="n"/>
      <c r="I1227" s="22" t="n"/>
      <c r="J1227" s="22" t="n"/>
      <c r="K1227" s="22" t="n"/>
      <c r="L1227" s="22" t="n"/>
      <c r="M1227" s="22">
        <f>IF(K1227="Override",L1227,IF(K1227="Accept suggestion",F1227,IF(K1227="No change (same URL)",A1227,"")))</f>
        <v/>
      </c>
      <c r="N1227" s="22">
        <f>IF(A1227="","",IF(K1227="410 Gone","410",IF(K1227="404","404",IF(K1227="No change (same URL)","none",IF(M1227="","","301")))))</f>
        <v/>
      </c>
      <c r="O1227" s="22">
        <f>IF(A1227="","",IFERROR(MID(A1227,FIND("/",A1227,FIND("//",A1227)+2),2000),A1227))</f>
        <v/>
      </c>
      <c r="P1227" s="22">
        <f>IF(OR(O1227="",N1227="",N1227="none",N1227="404"),"",IF(N1227="410","Redirect gone "&amp;O1227,"Redirect "&amp;N1227&amp;" "&amp;O1227&amp;" "&amp;M1227))</f>
        <v/>
      </c>
      <c r="Q1227" s="22" t="n"/>
      <c r="R1227" s="22" t="n"/>
      <c r="S1227" s="22" t="n"/>
      <c r="T1227" s="4">
        <f>IF(A1227="","",TRIM(IF(K1227="","Needs decision; ","")&amp;IF(AND(K1227="Accept suggestion",F1227=""),"No suggestion to accept; ","")&amp;IF(AND(K1227="Override",L1227=""),"Override URL missing; ","")&amp;IF(AND(K1227="Accept suggestion",N(G1227)&lt;$G$2),"Below your threshold; ","")&amp;IF(AND(M1227&lt;&gt;"",M1227=A1227,K1227&lt;&gt;"No change (same URL)"),"Redirects to itself; ","")&amp;IF(AND(M1227&lt;&gt;"",OR(M1227="/",AND(LEFT(M1227,4)="http",OR((LEN(M1227)-LEN(SUBSTITUTE(M1227,"/","")))=2,AND((LEN(M1227)-LEN(SUBSTITUTE(M1227,"/","")))=3,RIGHT(M1227,1)="/"))))),"Home page redirect; ","")&amp;IF(N(R1227)&gt;1,"Chain; ","")&amp;IF(S1227="No","Destination not 200; ","")))</f>
        <v/>
      </c>
      <c r="U1227" s="22" t="n"/>
      <c r="V1227" s="22" t="n"/>
      <c r="W1227" s="4" t="n"/>
    </row>
    <row r="1228">
      <c r="A1228" s="22" t="n"/>
      <c r="B1228" s="22" t="n"/>
      <c r="C1228" s="22" t="n"/>
      <c r="D1228" s="22">
        <f>IF(A1228="","",IF(OR(N(B1228)&gt;=$C$2,N(C1228)&gt;=$E$2),"High",IF(OR(N(B1228)&gt;0,N(C1228)&gt;0),"Medium","Low")))</f>
        <v/>
      </c>
      <c r="E1228" s="22" t="n"/>
      <c r="F1228" s="22" t="n"/>
      <c r="G1228" s="22" t="n"/>
      <c r="H1228" s="22" t="n"/>
      <c r="I1228" s="22" t="n"/>
      <c r="J1228" s="22" t="n"/>
      <c r="K1228" s="22" t="n"/>
      <c r="L1228" s="22" t="n"/>
      <c r="M1228" s="22">
        <f>IF(K1228="Override",L1228,IF(K1228="Accept suggestion",F1228,IF(K1228="No change (same URL)",A1228,"")))</f>
        <v/>
      </c>
      <c r="N1228" s="22">
        <f>IF(A1228="","",IF(K1228="410 Gone","410",IF(K1228="404","404",IF(K1228="No change (same URL)","none",IF(M1228="","","301")))))</f>
        <v/>
      </c>
      <c r="O1228" s="22">
        <f>IF(A1228="","",IFERROR(MID(A1228,FIND("/",A1228,FIND("//",A1228)+2),2000),A1228))</f>
        <v/>
      </c>
      <c r="P1228" s="22">
        <f>IF(OR(O1228="",N1228="",N1228="none",N1228="404"),"",IF(N1228="410","Redirect gone "&amp;O1228,"Redirect "&amp;N1228&amp;" "&amp;O1228&amp;" "&amp;M1228))</f>
        <v/>
      </c>
      <c r="Q1228" s="22" t="n"/>
      <c r="R1228" s="22" t="n"/>
      <c r="S1228" s="22" t="n"/>
      <c r="T1228" s="4">
        <f>IF(A1228="","",TRIM(IF(K1228="","Needs decision; ","")&amp;IF(AND(K1228="Accept suggestion",F1228=""),"No suggestion to accept; ","")&amp;IF(AND(K1228="Override",L1228=""),"Override URL missing; ","")&amp;IF(AND(K1228="Accept suggestion",N(G1228)&lt;$G$2),"Below your threshold; ","")&amp;IF(AND(M1228&lt;&gt;"",M1228=A1228,K1228&lt;&gt;"No change (same URL)"),"Redirects to itself; ","")&amp;IF(AND(M1228&lt;&gt;"",OR(M1228="/",AND(LEFT(M1228,4)="http",OR((LEN(M1228)-LEN(SUBSTITUTE(M1228,"/","")))=2,AND((LEN(M1228)-LEN(SUBSTITUTE(M1228,"/","")))=3,RIGHT(M1228,1)="/"))))),"Home page redirect; ","")&amp;IF(N(R1228)&gt;1,"Chain; ","")&amp;IF(S1228="No","Destination not 200; ","")))</f>
        <v/>
      </c>
      <c r="U1228" s="22" t="n"/>
      <c r="V1228" s="22" t="n"/>
      <c r="W1228" s="4" t="n"/>
    </row>
    <row r="1229">
      <c r="A1229" s="22" t="n"/>
      <c r="B1229" s="22" t="n"/>
      <c r="C1229" s="22" t="n"/>
      <c r="D1229" s="22">
        <f>IF(A1229="","",IF(OR(N(B1229)&gt;=$C$2,N(C1229)&gt;=$E$2),"High",IF(OR(N(B1229)&gt;0,N(C1229)&gt;0),"Medium","Low")))</f>
        <v/>
      </c>
      <c r="E1229" s="22" t="n"/>
      <c r="F1229" s="22" t="n"/>
      <c r="G1229" s="22" t="n"/>
      <c r="H1229" s="22" t="n"/>
      <c r="I1229" s="22" t="n"/>
      <c r="J1229" s="22" t="n"/>
      <c r="K1229" s="22" t="n"/>
      <c r="L1229" s="22" t="n"/>
      <c r="M1229" s="22">
        <f>IF(K1229="Override",L1229,IF(K1229="Accept suggestion",F1229,IF(K1229="No change (same URL)",A1229,"")))</f>
        <v/>
      </c>
      <c r="N1229" s="22">
        <f>IF(A1229="","",IF(K1229="410 Gone","410",IF(K1229="404","404",IF(K1229="No change (same URL)","none",IF(M1229="","","301")))))</f>
        <v/>
      </c>
      <c r="O1229" s="22">
        <f>IF(A1229="","",IFERROR(MID(A1229,FIND("/",A1229,FIND("//",A1229)+2),2000),A1229))</f>
        <v/>
      </c>
      <c r="P1229" s="22">
        <f>IF(OR(O1229="",N1229="",N1229="none",N1229="404"),"",IF(N1229="410","Redirect gone "&amp;O1229,"Redirect "&amp;N1229&amp;" "&amp;O1229&amp;" "&amp;M1229))</f>
        <v/>
      </c>
      <c r="Q1229" s="22" t="n"/>
      <c r="R1229" s="22" t="n"/>
      <c r="S1229" s="22" t="n"/>
      <c r="T1229" s="4">
        <f>IF(A1229="","",TRIM(IF(K1229="","Needs decision; ","")&amp;IF(AND(K1229="Accept suggestion",F1229=""),"No suggestion to accept; ","")&amp;IF(AND(K1229="Override",L1229=""),"Override URL missing; ","")&amp;IF(AND(K1229="Accept suggestion",N(G1229)&lt;$G$2),"Below your threshold; ","")&amp;IF(AND(M1229&lt;&gt;"",M1229=A1229,K1229&lt;&gt;"No change (same URL)"),"Redirects to itself; ","")&amp;IF(AND(M1229&lt;&gt;"",OR(M1229="/",AND(LEFT(M1229,4)="http",OR((LEN(M1229)-LEN(SUBSTITUTE(M1229,"/","")))=2,AND((LEN(M1229)-LEN(SUBSTITUTE(M1229,"/","")))=3,RIGHT(M1229,1)="/"))))),"Home page redirect; ","")&amp;IF(N(R1229)&gt;1,"Chain; ","")&amp;IF(S1229="No","Destination not 200; ","")))</f>
        <v/>
      </c>
      <c r="U1229" s="22" t="n"/>
      <c r="V1229" s="22" t="n"/>
      <c r="W1229" s="4" t="n"/>
    </row>
    <row r="1230">
      <c r="A1230" s="22" t="n"/>
      <c r="B1230" s="22" t="n"/>
      <c r="C1230" s="22" t="n"/>
      <c r="D1230" s="22">
        <f>IF(A1230="","",IF(OR(N(B1230)&gt;=$C$2,N(C1230)&gt;=$E$2),"High",IF(OR(N(B1230)&gt;0,N(C1230)&gt;0),"Medium","Low")))</f>
        <v/>
      </c>
      <c r="E1230" s="22" t="n"/>
      <c r="F1230" s="22" t="n"/>
      <c r="G1230" s="22" t="n"/>
      <c r="H1230" s="22" t="n"/>
      <c r="I1230" s="22" t="n"/>
      <c r="J1230" s="22" t="n"/>
      <c r="K1230" s="22" t="n"/>
      <c r="L1230" s="22" t="n"/>
      <c r="M1230" s="22">
        <f>IF(K1230="Override",L1230,IF(K1230="Accept suggestion",F1230,IF(K1230="No change (same URL)",A1230,"")))</f>
        <v/>
      </c>
      <c r="N1230" s="22">
        <f>IF(A1230="","",IF(K1230="410 Gone","410",IF(K1230="404","404",IF(K1230="No change (same URL)","none",IF(M1230="","","301")))))</f>
        <v/>
      </c>
      <c r="O1230" s="22">
        <f>IF(A1230="","",IFERROR(MID(A1230,FIND("/",A1230,FIND("//",A1230)+2),2000),A1230))</f>
        <v/>
      </c>
      <c r="P1230" s="22">
        <f>IF(OR(O1230="",N1230="",N1230="none",N1230="404"),"",IF(N1230="410","Redirect gone "&amp;O1230,"Redirect "&amp;N1230&amp;" "&amp;O1230&amp;" "&amp;M1230))</f>
        <v/>
      </c>
      <c r="Q1230" s="22" t="n"/>
      <c r="R1230" s="22" t="n"/>
      <c r="S1230" s="22" t="n"/>
      <c r="T1230" s="4">
        <f>IF(A1230="","",TRIM(IF(K1230="","Needs decision; ","")&amp;IF(AND(K1230="Accept suggestion",F1230=""),"No suggestion to accept; ","")&amp;IF(AND(K1230="Override",L1230=""),"Override URL missing; ","")&amp;IF(AND(K1230="Accept suggestion",N(G1230)&lt;$G$2),"Below your threshold; ","")&amp;IF(AND(M1230&lt;&gt;"",M1230=A1230,K1230&lt;&gt;"No change (same URL)"),"Redirects to itself; ","")&amp;IF(AND(M1230&lt;&gt;"",OR(M1230="/",AND(LEFT(M1230,4)="http",OR((LEN(M1230)-LEN(SUBSTITUTE(M1230,"/","")))=2,AND((LEN(M1230)-LEN(SUBSTITUTE(M1230,"/","")))=3,RIGHT(M1230,1)="/"))))),"Home page redirect; ","")&amp;IF(N(R1230)&gt;1,"Chain; ","")&amp;IF(S1230="No","Destination not 200; ","")))</f>
        <v/>
      </c>
      <c r="U1230" s="22" t="n"/>
      <c r="V1230" s="22" t="n"/>
      <c r="W1230" s="4" t="n"/>
    </row>
    <row r="1231">
      <c r="A1231" s="22" t="n"/>
      <c r="B1231" s="22" t="n"/>
      <c r="C1231" s="22" t="n"/>
      <c r="D1231" s="22">
        <f>IF(A1231="","",IF(OR(N(B1231)&gt;=$C$2,N(C1231)&gt;=$E$2),"High",IF(OR(N(B1231)&gt;0,N(C1231)&gt;0),"Medium","Low")))</f>
        <v/>
      </c>
      <c r="E1231" s="22" t="n"/>
      <c r="F1231" s="22" t="n"/>
      <c r="G1231" s="22" t="n"/>
      <c r="H1231" s="22" t="n"/>
      <c r="I1231" s="22" t="n"/>
      <c r="J1231" s="22" t="n"/>
      <c r="K1231" s="22" t="n"/>
      <c r="L1231" s="22" t="n"/>
      <c r="M1231" s="22">
        <f>IF(K1231="Override",L1231,IF(K1231="Accept suggestion",F1231,IF(K1231="No change (same URL)",A1231,"")))</f>
        <v/>
      </c>
      <c r="N1231" s="22">
        <f>IF(A1231="","",IF(K1231="410 Gone","410",IF(K1231="404","404",IF(K1231="No change (same URL)","none",IF(M1231="","","301")))))</f>
        <v/>
      </c>
      <c r="O1231" s="22">
        <f>IF(A1231="","",IFERROR(MID(A1231,FIND("/",A1231,FIND("//",A1231)+2),2000),A1231))</f>
        <v/>
      </c>
      <c r="P1231" s="22">
        <f>IF(OR(O1231="",N1231="",N1231="none",N1231="404"),"",IF(N1231="410","Redirect gone "&amp;O1231,"Redirect "&amp;N1231&amp;" "&amp;O1231&amp;" "&amp;M1231))</f>
        <v/>
      </c>
      <c r="Q1231" s="22" t="n"/>
      <c r="R1231" s="22" t="n"/>
      <c r="S1231" s="22" t="n"/>
      <c r="T1231" s="4">
        <f>IF(A1231="","",TRIM(IF(K1231="","Needs decision; ","")&amp;IF(AND(K1231="Accept suggestion",F1231=""),"No suggestion to accept; ","")&amp;IF(AND(K1231="Override",L1231=""),"Override URL missing; ","")&amp;IF(AND(K1231="Accept suggestion",N(G1231)&lt;$G$2),"Below your threshold; ","")&amp;IF(AND(M1231&lt;&gt;"",M1231=A1231,K1231&lt;&gt;"No change (same URL)"),"Redirects to itself; ","")&amp;IF(AND(M1231&lt;&gt;"",OR(M1231="/",AND(LEFT(M1231,4)="http",OR((LEN(M1231)-LEN(SUBSTITUTE(M1231,"/","")))=2,AND((LEN(M1231)-LEN(SUBSTITUTE(M1231,"/","")))=3,RIGHT(M1231,1)="/"))))),"Home page redirect; ","")&amp;IF(N(R1231)&gt;1,"Chain; ","")&amp;IF(S1231="No","Destination not 200; ","")))</f>
        <v/>
      </c>
      <c r="U1231" s="22" t="n"/>
      <c r="V1231" s="22" t="n"/>
      <c r="W1231" s="4" t="n"/>
    </row>
    <row r="1232">
      <c r="A1232" s="22" t="n"/>
      <c r="B1232" s="22" t="n"/>
      <c r="C1232" s="22" t="n"/>
      <c r="D1232" s="22">
        <f>IF(A1232="","",IF(OR(N(B1232)&gt;=$C$2,N(C1232)&gt;=$E$2),"High",IF(OR(N(B1232)&gt;0,N(C1232)&gt;0),"Medium","Low")))</f>
        <v/>
      </c>
      <c r="E1232" s="22" t="n"/>
      <c r="F1232" s="22" t="n"/>
      <c r="G1232" s="22" t="n"/>
      <c r="H1232" s="22" t="n"/>
      <c r="I1232" s="22" t="n"/>
      <c r="J1232" s="22" t="n"/>
      <c r="K1232" s="22" t="n"/>
      <c r="L1232" s="22" t="n"/>
      <c r="M1232" s="22">
        <f>IF(K1232="Override",L1232,IF(K1232="Accept suggestion",F1232,IF(K1232="No change (same URL)",A1232,"")))</f>
        <v/>
      </c>
      <c r="N1232" s="22">
        <f>IF(A1232="","",IF(K1232="410 Gone","410",IF(K1232="404","404",IF(K1232="No change (same URL)","none",IF(M1232="","","301")))))</f>
        <v/>
      </c>
      <c r="O1232" s="22">
        <f>IF(A1232="","",IFERROR(MID(A1232,FIND("/",A1232,FIND("//",A1232)+2),2000),A1232))</f>
        <v/>
      </c>
      <c r="P1232" s="22">
        <f>IF(OR(O1232="",N1232="",N1232="none",N1232="404"),"",IF(N1232="410","Redirect gone "&amp;O1232,"Redirect "&amp;N1232&amp;" "&amp;O1232&amp;" "&amp;M1232))</f>
        <v/>
      </c>
      <c r="Q1232" s="22" t="n"/>
      <c r="R1232" s="22" t="n"/>
      <c r="S1232" s="22" t="n"/>
      <c r="T1232" s="4">
        <f>IF(A1232="","",TRIM(IF(K1232="","Needs decision; ","")&amp;IF(AND(K1232="Accept suggestion",F1232=""),"No suggestion to accept; ","")&amp;IF(AND(K1232="Override",L1232=""),"Override URL missing; ","")&amp;IF(AND(K1232="Accept suggestion",N(G1232)&lt;$G$2),"Below your threshold; ","")&amp;IF(AND(M1232&lt;&gt;"",M1232=A1232,K1232&lt;&gt;"No change (same URL)"),"Redirects to itself; ","")&amp;IF(AND(M1232&lt;&gt;"",OR(M1232="/",AND(LEFT(M1232,4)="http",OR((LEN(M1232)-LEN(SUBSTITUTE(M1232,"/","")))=2,AND((LEN(M1232)-LEN(SUBSTITUTE(M1232,"/","")))=3,RIGHT(M1232,1)="/"))))),"Home page redirect; ","")&amp;IF(N(R1232)&gt;1,"Chain; ","")&amp;IF(S1232="No","Destination not 200; ","")))</f>
        <v/>
      </c>
      <c r="U1232" s="22" t="n"/>
      <c r="V1232" s="22" t="n"/>
      <c r="W1232" s="4" t="n"/>
    </row>
    <row r="1233">
      <c r="A1233" s="22" t="n"/>
      <c r="B1233" s="22" t="n"/>
      <c r="C1233" s="22" t="n"/>
      <c r="D1233" s="22">
        <f>IF(A1233="","",IF(OR(N(B1233)&gt;=$C$2,N(C1233)&gt;=$E$2),"High",IF(OR(N(B1233)&gt;0,N(C1233)&gt;0),"Medium","Low")))</f>
        <v/>
      </c>
      <c r="E1233" s="22" t="n"/>
      <c r="F1233" s="22" t="n"/>
      <c r="G1233" s="22" t="n"/>
      <c r="H1233" s="22" t="n"/>
      <c r="I1233" s="22" t="n"/>
      <c r="J1233" s="22" t="n"/>
      <c r="K1233" s="22" t="n"/>
      <c r="L1233" s="22" t="n"/>
      <c r="M1233" s="22">
        <f>IF(K1233="Override",L1233,IF(K1233="Accept suggestion",F1233,IF(K1233="No change (same URL)",A1233,"")))</f>
        <v/>
      </c>
      <c r="N1233" s="22">
        <f>IF(A1233="","",IF(K1233="410 Gone","410",IF(K1233="404","404",IF(K1233="No change (same URL)","none",IF(M1233="","","301")))))</f>
        <v/>
      </c>
      <c r="O1233" s="22">
        <f>IF(A1233="","",IFERROR(MID(A1233,FIND("/",A1233,FIND("//",A1233)+2),2000),A1233))</f>
        <v/>
      </c>
      <c r="P1233" s="22">
        <f>IF(OR(O1233="",N1233="",N1233="none",N1233="404"),"",IF(N1233="410","Redirect gone "&amp;O1233,"Redirect "&amp;N1233&amp;" "&amp;O1233&amp;" "&amp;M1233))</f>
        <v/>
      </c>
      <c r="Q1233" s="22" t="n"/>
      <c r="R1233" s="22" t="n"/>
      <c r="S1233" s="22" t="n"/>
      <c r="T1233" s="4">
        <f>IF(A1233="","",TRIM(IF(K1233="","Needs decision; ","")&amp;IF(AND(K1233="Accept suggestion",F1233=""),"No suggestion to accept; ","")&amp;IF(AND(K1233="Override",L1233=""),"Override URL missing; ","")&amp;IF(AND(K1233="Accept suggestion",N(G1233)&lt;$G$2),"Below your threshold; ","")&amp;IF(AND(M1233&lt;&gt;"",M1233=A1233,K1233&lt;&gt;"No change (same URL)"),"Redirects to itself; ","")&amp;IF(AND(M1233&lt;&gt;"",OR(M1233="/",AND(LEFT(M1233,4)="http",OR((LEN(M1233)-LEN(SUBSTITUTE(M1233,"/","")))=2,AND((LEN(M1233)-LEN(SUBSTITUTE(M1233,"/","")))=3,RIGHT(M1233,1)="/"))))),"Home page redirect; ","")&amp;IF(N(R1233)&gt;1,"Chain; ","")&amp;IF(S1233="No","Destination not 200; ","")))</f>
        <v/>
      </c>
      <c r="U1233" s="22" t="n"/>
      <c r="V1233" s="22" t="n"/>
      <c r="W1233" s="4" t="n"/>
    </row>
    <row r="1234">
      <c r="A1234" s="22" t="n"/>
      <c r="B1234" s="22" t="n"/>
      <c r="C1234" s="22" t="n"/>
      <c r="D1234" s="22">
        <f>IF(A1234="","",IF(OR(N(B1234)&gt;=$C$2,N(C1234)&gt;=$E$2),"High",IF(OR(N(B1234)&gt;0,N(C1234)&gt;0),"Medium","Low")))</f>
        <v/>
      </c>
      <c r="E1234" s="22" t="n"/>
      <c r="F1234" s="22" t="n"/>
      <c r="G1234" s="22" t="n"/>
      <c r="H1234" s="22" t="n"/>
      <c r="I1234" s="22" t="n"/>
      <c r="J1234" s="22" t="n"/>
      <c r="K1234" s="22" t="n"/>
      <c r="L1234" s="22" t="n"/>
      <c r="M1234" s="22">
        <f>IF(K1234="Override",L1234,IF(K1234="Accept suggestion",F1234,IF(K1234="No change (same URL)",A1234,"")))</f>
        <v/>
      </c>
      <c r="N1234" s="22">
        <f>IF(A1234="","",IF(K1234="410 Gone","410",IF(K1234="404","404",IF(K1234="No change (same URL)","none",IF(M1234="","","301")))))</f>
        <v/>
      </c>
      <c r="O1234" s="22">
        <f>IF(A1234="","",IFERROR(MID(A1234,FIND("/",A1234,FIND("//",A1234)+2),2000),A1234))</f>
        <v/>
      </c>
      <c r="P1234" s="22">
        <f>IF(OR(O1234="",N1234="",N1234="none",N1234="404"),"",IF(N1234="410","Redirect gone "&amp;O1234,"Redirect "&amp;N1234&amp;" "&amp;O1234&amp;" "&amp;M1234))</f>
        <v/>
      </c>
      <c r="Q1234" s="22" t="n"/>
      <c r="R1234" s="22" t="n"/>
      <c r="S1234" s="22" t="n"/>
      <c r="T1234" s="4">
        <f>IF(A1234="","",TRIM(IF(K1234="","Needs decision; ","")&amp;IF(AND(K1234="Accept suggestion",F1234=""),"No suggestion to accept; ","")&amp;IF(AND(K1234="Override",L1234=""),"Override URL missing; ","")&amp;IF(AND(K1234="Accept suggestion",N(G1234)&lt;$G$2),"Below your threshold; ","")&amp;IF(AND(M1234&lt;&gt;"",M1234=A1234,K1234&lt;&gt;"No change (same URL)"),"Redirects to itself; ","")&amp;IF(AND(M1234&lt;&gt;"",OR(M1234="/",AND(LEFT(M1234,4)="http",OR((LEN(M1234)-LEN(SUBSTITUTE(M1234,"/","")))=2,AND((LEN(M1234)-LEN(SUBSTITUTE(M1234,"/","")))=3,RIGHT(M1234,1)="/"))))),"Home page redirect; ","")&amp;IF(N(R1234)&gt;1,"Chain; ","")&amp;IF(S1234="No","Destination not 200; ","")))</f>
        <v/>
      </c>
      <c r="U1234" s="22" t="n"/>
      <c r="V1234" s="22" t="n"/>
      <c r="W1234" s="4" t="n"/>
    </row>
    <row r="1235">
      <c r="A1235" s="22" t="n"/>
      <c r="B1235" s="22" t="n"/>
      <c r="C1235" s="22" t="n"/>
      <c r="D1235" s="22">
        <f>IF(A1235="","",IF(OR(N(B1235)&gt;=$C$2,N(C1235)&gt;=$E$2),"High",IF(OR(N(B1235)&gt;0,N(C1235)&gt;0),"Medium","Low")))</f>
        <v/>
      </c>
      <c r="E1235" s="22" t="n"/>
      <c r="F1235" s="22" t="n"/>
      <c r="G1235" s="22" t="n"/>
      <c r="H1235" s="22" t="n"/>
      <c r="I1235" s="22" t="n"/>
      <c r="J1235" s="22" t="n"/>
      <c r="K1235" s="22" t="n"/>
      <c r="L1235" s="22" t="n"/>
      <c r="M1235" s="22">
        <f>IF(K1235="Override",L1235,IF(K1235="Accept suggestion",F1235,IF(K1235="No change (same URL)",A1235,"")))</f>
        <v/>
      </c>
      <c r="N1235" s="22">
        <f>IF(A1235="","",IF(K1235="410 Gone","410",IF(K1235="404","404",IF(K1235="No change (same URL)","none",IF(M1235="","","301")))))</f>
        <v/>
      </c>
      <c r="O1235" s="22">
        <f>IF(A1235="","",IFERROR(MID(A1235,FIND("/",A1235,FIND("//",A1235)+2),2000),A1235))</f>
        <v/>
      </c>
      <c r="P1235" s="22">
        <f>IF(OR(O1235="",N1235="",N1235="none",N1235="404"),"",IF(N1235="410","Redirect gone "&amp;O1235,"Redirect "&amp;N1235&amp;" "&amp;O1235&amp;" "&amp;M1235))</f>
        <v/>
      </c>
      <c r="Q1235" s="22" t="n"/>
      <c r="R1235" s="22" t="n"/>
      <c r="S1235" s="22" t="n"/>
      <c r="T1235" s="4">
        <f>IF(A1235="","",TRIM(IF(K1235="","Needs decision; ","")&amp;IF(AND(K1235="Accept suggestion",F1235=""),"No suggestion to accept; ","")&amp;IF(AND(K1235="Override",L1235=""),"Override URL missing; ","")&amp;IF(AND(K1235="Accept suggestion",N(G1235)&lt;$G$2),"Below your threshold; ","")&amp;IF(AND(M1235&lt;&gt;"",M1235=A1235,K1235&lt;&gt;"No change (same URL)"),"Redirects to itself; ","")&amp;IF(AND(M1235&lt;&gt;"",OR(M1235="/",AND(LEFT(M1235,4)="http",OR((LEN(M1235)-LEN(SUBSTITUTE(M1235,"/","")))=2,AND((LEN(M1235)-LEN(SUBSTITUTE(M1235,"/","")))=3,RIGHT(M1235,1)="/"))))),"Home page redirect; ","")&amp;IF(N(R1235)&gt;1,"Chain; ","")&amp;IF(S1235="No","Destination not 200; ","")))</f>
        <v/>
      </c>
      <c r="U1235" s="22" t="n"/>
      <c r="V1235" s="22" t="n"/>
      <c r="W1235" s="4" t="n"/>
    </row>
    <row r="1236">
      <c r="A1236" s="22" t="n"/>
      <c r="B1236" s="22" t="n"/>
      <c r="C1236" s="22" t="n"/>
      <c r="D1236" s="22">
        <f>IF(A1236="","",IF(OR(N(B1236)&gt;=$C$2,N(C1236)&gt;=$E$2),"High",IF(OR(N(B1236)&gt;0,N(C1236)&gt;0),"Medium","Low")))</f>
        <v/>
      </c>
      <c r="E1236" s="22" t="n"/>
      <c r="F1236" s="22" t="n"/>
      <c r="G1236" s="22" t="n"/>
      <c r="H1236" s="22" t="n"/>
      <c r="I1236" s="22" t="n"/>
      <c r="J1236" s="22" t="n"/>
      <c r="K1236" s="22" t="n"/>
      <c r="L1236" s="22" t="n"/>
      <c r="M1236" s="22">
        <f>IF(K1236="Override",L1236,IF(K1236="Accept suggestion",F1236,IF(K1236="No change (same URL)",A1236,"")))</f>
        <v/>
      </c>
      <c r="N1236" s="22">
        <f>IF(A1236="","",IF(K1236="410 Gone","410",IF(K1236="404","404",IF(K1236="No change (same URL)","none",IF(M1236="","","301")))))</f>
        <v/>
      </c>
      <c r="O1236" s="22">
        <f>IF(A1236="","",IFERROR(MID(A1236,FIND("/",A1236,FIND("//",A1236)+2),2000),A1236))</f>
        <v/>
      </c>
      <c r="P1236" s="22">
        <f>IF(OR(O1236="",N1236="",N1236="none",N1236="404"),"",IF(N1236="410","Redirect gone "&amp;O1236,"Redirect "&amp;N1236&amp;" "&amp;O1236&amp;" "&amp;M1236))</f>
        <v/>
      </c>
      <c r="Q1236" s="22" t="n"/>
      <c r="R1236" s="22" t="n"/>
      <c r="S1236" s="22" t="n"/>
      <c r="T1236" s="4">
        <f>IF(A1236="","",TRIM(IF(K1236="","Needs decision; ","")&amp;IF(AND(K1236="Accept suggestion",F1236=""),"No suggestion to accept; ","")&amp;IF(AND(K1236="Override",L1236=""),"Override URL missing; ","")&amp;IF(AND(K1236="Accept suggestion",N(G1236)&lt;$G$2),"Below your threshold; ","")&amp;IF(AND(M1236&lt;&gt;"",M1236=A1236,K1236&lt;&gt;"No change (same URL)"),"Redirects to itself; ","")&amp;IF(AND(M1236&lt;&gt;"",OR(M1236="/",AND(LEFT(M1236,4)="http",OR((LEN(M1236)-LEN(SUBSTITUTE(M1236,"/","")))=2,AND((LEN(M1236)-LEN(SUBSTITUTE(M1236,"/","")))=3,RIGHT(M1236,1)="/"))))),"Home page redirect; ","")&amp;IF(N(R1236)&gt;1,"Chain; ","")&amp;IF(S1236="No","Destination not 200; ","")))</f>
        <v/>
      </c>
      <c r="U1236" s="22" t="n"/>
      <c r="V1236" s="22" t="n"/>
      <c r="W1236" s="4" t="n"/>
    </row>
    <row r="1237">
      <c r="A1237" s="22" t="n"/>
      <c r="B1237" s="22" t="n"/>
      <c r="C1237" s="22" t="n"/>
      <c r="D1237" s="22">
        <f>IF(A1237="","",IF(OR(N(B1237)&gt;=$C$2,N(C1237)&gt;=$E$2),"High",IF(OR(N(B1237)&gt;0,N(C1237)&gt;0),"Medium","Low")))</f>
        <v/>
      </c>
      <c r="E1237" s="22" t="n"/>
      <c r="F1237" s="22" t="n"/>
      <c r="G1237" s="22" t="n"/>
      <c r="H1237" s="22" t="n"/>
      <c r="I1237" s="22" t="n"/>
      <c r="J1237" s="22" t="n"/>
      <c r="K1237" s="22" t="n"/>
      <c r="L1237" s="22" t="n"/>
      <c r="M1237" s="22">
        <f>IF(K1237="Override",L1237,IF(K1237="Accept suggestion",F1237,IF(K1237="No change (same URL)",A1237,"")))</f>
        <v/>
      </c>
      <c r="N1237" s="22">
        <f>IF(A1237="","",IF(K1237="410 Gone","410",IF(K1237="404","404",IF(K1237="No change (same URL)","none",IF(M1237="","","301")))))</f>
        <v/>
      </c>
      <c r="O1237" s="22">
        <f>IF(A1237="","",IFERROR(MID(A1237,FIND("/",A1237,FIND("//",A1237)+2),2000),A1237))</f>
        <v/>
      </c>
      <c r="P1237" s="22">
        <f>IF(OR(O1237="",N1237="",N1237="none",N1237="404"),"",IF(N1237="410","Redirect gone "&amp;O1237,"Redirect "&amp;N1237&amp;" "&amp;O1237&amp;" "&amp;M1237))</f>
        <v/>
      </c>
      <c r="Q1237" s="22" t="n"/>
      <c r="R1237" s="22" t="n"/>
      <c r="S1237" s="22" t="n"/>
      <c r="T1237" s="4">
        <f>IF(A1237="","",TRIM(IF(K1237="","Needs decision; ","")&amp;IF(AND(K1237="Accept suggestion",F1237=""),"No suggestion to accept; ","")&amp;IF(AND(K1237="Override",L1237=""),"Override URL missing; ","")&amp;IF(AND(K1237="Accept suggestion",N(G1237)&lt;$G$2),"Below your threshold; ","")&amp;IF(AND(M1237&lt;&gt;"",M1237=A1237,K1237&lt;&gt;"No change (same URL)"),"Redirects to itself; ","")&amp;IF(AND(M1237&lt;&gt;"",OR(M1237="/",AND(LEFT(M1237,4)="http",OR((LEN(M1237)-LEN(SUBSTITUTE(M1237,"/","")))=2,AND((LEN(M1237)-LEN(SUBSTITUTE(M1237,"/","")))=3,RIGHT(M1237,1)="/"))))),"Home page redirect; ","")&amp;IF(N(R1237)&gt;1,"Chain; ","")&amp;IF(S1237="No","Destination not 200; ","")))</f>
        <v/>
      </c>
      <c r="U1237" s="22" t="n"/>
      <c r="V1237" s="22" t="n"/>
      <c r="W1237" s="4" t="n"/>
    </row>
    <row r="1238">
      <c r="A1238" s="22" t="n"/>
      <c r="B1238" s="22" t="n"/>
      <c r="C1238" s="22" t="n"/>
      <c r="D1238" s="22">
        <f>IF(A1238="","",IF(OR(N(B1238)&gt;=$C$2,N(C1238)&gt;=$E$2),"High",IF(OR(N(B1238)&gt;0,N(C1238)&gt;0),"Medium","Low")))</f>
        <v/>
      </c>
      <c r="E1238" s="22" t="n"/>
      <c r="F1238" s="22" t="n"/>
      <c r="G1238" s="22" t="n"/>
      <c r="H1238" s="22" t="n"/>
      <c r="I1238" s="22" t="n"/>
      <c r="J1238" s="22" t="n"/>
      <c r="K1238" s="22" t="n"/>
      <c r="L1238" s="22" t="n"/>
      <c r="M1238" s="22">
        <f>IF(K1238="Override",L1238,IF(K1238="Accept suggestion",F1238,IF(K1238="No change (same URL)",A1238,"")))</f>
        <v/>
      </c>
      <c r="N1238" s="22">
        <f>IF(A1238="","",IF(K1238="410 Gone","410",IF(K1238="404","404",IF(K1238="No change (same URL)","none",IF(M1238="","","301")))))</f>
        <v/>
      </c>
      <c r="O1238" s="22">
        <f>IF(A1238="","",IFERROR(MID(A1238,FIND("/",A1238,FIND("//",A1238)+2),2000),A1238))</f>
        <v/>
      </c>
      <c r="P1238" s="22">
        <f>IF(OR(O1238="",N1238="",N1238="none",N1238="404"),"",IF(N1238="410","Redirect gone "&amp;O1238,"Redirect "&amp;N1238&amp;" "&amp;O1238&amp;" "&amp;M1238))</f>
        <v/>
      </c>
      <c r="Q1238" s="22" t="n"/>
      <c r="R1238" s="22" t="n"/>
      <c r="S1238" s="22" t="n"/>
      <c r="T1238" s="4">
        <f>IF(A1238="","",TRIM(IF(K1238="","Needs decision; ","")&amp;IF(AND(K1238="Accept suggestion",F1238=""),"No suggestion to accept; ","")&amp;IF(AND(K1238="Override",L1238=""),"Override URL missing; ","")&amp;IF(AND(K1238="Accept suggestion",N(G1238)&lt;$G$2),"Below your threshold; ","")&amp;IF(AND(M1238&lt;&gt;"",M1238=A1238,K1238&lt;&gt;"No change (same URL)"),"Redirects to itself; ","")&amp;IF(AND(M1238&lt;&gt;"",OR(M1238="/",AND(LEFT(M1238,4)="http",OR((LEN(M1238)-LEN(SUBSTITUTE(M1238,"/","")))=2,AND((LEN(M1238)-LEN(SUBSTITUTE(M1238,"/","")))=3,RIGHT(M1238,1)="/"))))),"Home page redirect; ","")&amp;IF(N(R1238)&gt;1,"Chain; ","")&amp;IF(S1238="No","Destination not 200; ","")))</f>
        <v/>
      </c>
      <c r="U1238" s="22" t="n"/>
      <c r="V1238" s="22" t="n"/>
      <c r="W1238" s="4" t="n"/>
    </row>
    <row r="1239">
      <c r="A1239" s="22" t="n"/>
      <c r="B1239" s="22" t="n"/>
      <c r="C1239" s="22" t="n"/>
      <c r="D1239" s="22">
        <f>IF(A1239="","",IF(OR(N(B1239)&gt;=$C$2,N(C1239)&gt;=$E$2),"High",IF(OR(N(B1239)&gt;0,N(C1239)&gt;0),"Medium","Low")))</f>
        <v/>
      </c>
      <c r="E1239" s="22" t="n"/>
      <c r="F1239" s="22" t="n"/>
      <c r="G1239" s="22" t="n"/>
      <c r="H1239" s="22" t="n"/>
      <c r="I1239" s="22" t="n"/>
      <c r="J1239" s="22" t="n"/>
      <c r="K1239" s="22" t="n"/>
      <c r="L1239" s="22" t="n"/>
      <c r="M1239" s="22">
        <f>IF(K1239="Override",L1239,IF(K1239="Accept suggestion",F1239,IF(K1239="No change (same URL)",A1239,"")))</f>
        <v/>
      </c>
      <c r="N1239" s="22">
        <f>IF(A1239="","",IF(K1239="410 Gone","410",IF(K1239="404","404",IF(K1239="No change (same URL)","none",IF(M1239="","","301")))))</f>
        <v/>
      </c>
      <c r="O1239" s="22">
        <f>IF(A1239="","",IFERROR(MID(A1239,FIND("/",A1239,FIND("//",A1239)+2),2000),A1239))</f>
        <v/>
      </c>
      <c r="P1239" s="22">
        <f>IF(OR(O1239="",N1239="",N1239="none",N1239="404"),"",IF(N1239="410","Redirect gone "&amp;O1239,"Redirect "&amp;N1239&amp;" "&amp;O1239&amp;" "&amp;M1239))</f>
        <v/>
      </c>
      <c r="Q1239" s="22" t="n"/>
      <c r="R1239" s="22" t="n"/>
      <c r="S1239" s="22" t="n"/>
      <c r="T1239" s="4">
        <f>IF(A1239="","",TRIM(IF(K1239="","Needs decision; ","")&amp;IF(AND(K1239="Accept suggestion",F1239=""),"No suggestion to accept; ","")&amp;IF(AND(K1239="Override",L1239=""),"Override URL missing; ","")&amp;IF(AND(K1239="Accept suggestion",N(G1239)&lt;$G$2),"Below your threshold; ","")&amp;IF(AND(M1239&lt;&gt;"",M1239=A1239,K1239&lt;&gt;"No change (same URL)"),"Redirects to itself; ","")&amp;IF(AND(M1239&lt;&gt;"",OR(M1239="/",AND(LEFT(M1239,4)="http",OR((LEN(M1239)-LEN(SUBSTITUTE(M1239,"/","")))=2,AND((LEN(M1239)-LEN(SUBSTITUTE(M1239,"/","")))=3,RIGHT(M1239,1)="/"))))),"Home page redirect; ","")&amp;IF(N(R1239)&gt;1,"Chain; ","")&amp;IF(S1239="No","Destination not 200; ","")))</f>
        <v/>
      </c>
      <c r="U1239" s="22" t="n"/>
      <c r="V1239" s="22" t="n"/>
      <c r="W1239" s="4" t="n"/>
    </row>
    <row r="1240">
      <c r="A1240" s="22" t="n"/>
      <c r="B1240" s="22" t="n"/>
      <c r="C1240" s="22" t="n"/>
      <c r="D1240" s="22">
        <f>IF(A1240="","",IF(OR(N(B1240)&gt;=$C$2,N(C1240)&gt;=$E$2),"High",IF(OR(N(B1240)&gt;0,N(C1240)&gt;0),"Medium","Low")))</f>
        <v/>
      </c>
      <c r="E1240" s="22" t="n"/>
      <c r="F1240" s="22" t="n"/>
      <c r="G1240" s="22" t="n"/>
      <c r="H1240" s="22" t="n"/>
      <c r="I1240" s="22" t="n"/>
      <c r="J1240" s="22" t="n"/>
      <c r="K1240" s="22" t="n"/>
      <c r="L1240" s="22" t="n"/>
      <c r="M1240" s="22">
        <f>IF(K1240="Override",L1240,IF(K1240="Accept suggestion",F1240,IF(K1240="No change (same URL)",A1240,"")))</f>
        <v/>
      </c>
      <c r="N1240" s="22">
        <f>IF(A1240="","",IF(K1240="410 Gone","410",IF(K1240="404","404",IF(K1240="No change (same URL)","none",IF(M1240="","","301")))))</f>
        <v/>
      </c>
      <c r="O1240" s="22">
        <f>IF(A1240="","",IFERROR(MID(A1240,FIND("/",A1240,FIND("//",A1240)+2),2000),A1240))</f>
        <v/>
      </c>
      <c r="P1240" s="22">
        <f>IF(OR(O1240="",N1240="",N1240="none",N1240="404"),"",IF(N1240="410","Redirect gone "&amp;O1240,"Redirect "&amp;N1240&amp;" "&amp;O1240&amp;" "&amp;M1240))</f>
        <v/>
      </c>
      <c r="Q1240" s="22" t="n"/>
      <c r="R1240" s="22" t="n"/>
      <c r="S1240" s="22" t="n"/>
      <c r="T1240" s="4">
        <f>IF(A1240="","",TRIM(IF(K1240="","Needs decision; ","")&amp;IF(AND(K1240="Accept suggestion",F1240=""),"No suggestion to accept; ","")&amp;IF(AND(K1240="Override",L1240=""),"Override URL missing; ","")&amp;IF(AND(K1240="Accept suggestion",N(G1240)&lt;$G$2),"Below your threshold; ","")&amp;IF(AND(M1240&lt;&gt;"",M1240=A1240,K1240&lt;&gt;"No change (same URL)"),"Redirects to itself; ","")&amp;IF(AND(M1240&lt;&gt;"",OR(M1240="/",AND(LEFT(M1240,4)="http",OR((LEN(M1240)-LEN(SUBSTITUTE(M1240,"/","")))=2,AND((LEN(M1240)-LEN(SUBSTITUTE(M1240,"/","")))=3,RIGHT(M1240,1)="/"))))),"Home page redirect; ","")&amp;IF(N(R1240)&gt;1,"Chain; ","")&amp;IF(S1240="No","Destination not 200; ","")))</f>
        <v/>
      </c>
      <c r="U1240" s="22" t="n"/>
      <c r="V1240" s="22" t="n"/>
      <c r="W1240" s="4" t="n"/>
    </row>
    <row r="1241">
      <c r="A1241" s="22" t="n"/>
      <c r="B1241" s="22" t="n"/>
      <c r="C1241" s="22" t="n"/>
      <c r="D1241" s="22">
        <f>IF(A1241="","",IF(OR(N(B1241)&gt;=$C$2,N(C1241)&gt;=$E$2),"High",IF(OR(N(B1241)&gt;0,N(C1241)&gt;0),"Medium","Low")))</f>
        <v/>
      </c>
      <c r="E1241" s="22" t="n"/>
      <c r="F1241" s="22" t="n"/>
      <c r="G1241" s="22" t="n"/>
      <c r="H1241" s="22" t="n"/>
      <c r="I1241" s="22" t="n"/>
      <c r="J1241" s="22" t="n"/>
      <c r="K1241" s="22" t="n"/>
      <c r="L1241" s="22" t="n"/>
      <c r="M1241" s="22">
        <f>IF(K1241="Override",L1241,IF(K1241="Accept suggestion",F1241,IF(K1241="No change (same URL)",A1241,"")))</f>
        <v/>
      </c>
      <c r="N1241" s="22">
        <f>IF(A1241="","",IF(K1241="410 Gone","410",IF(K1241="404","404",IF(K1241="No change (same URL)","none",IF(M1241="","","301")))))</f>
        <v/>
      </c>
      <c r="O1241" s="22">
        <f>IF(A1241="","",IFERROR(MID(A1241,FIND("/",A1241,FIND("//",A1241)+2),2000),A1241))</f>
        <v/>
      </c>
      <c r="P1241" s="22">
        <f>IF(OR(O1241="",N1241="",N1241="none",N1241="404"),"",IF(N1241="410","Redirect gone "&amp;O1241,"Redirect "&amp;N1241&amp;" "&amp;O1241&amp;" "&amp;M1241))</f>
        <v/>
      </c>
      <c r="Q1241" s="22" t="n"/>
      <c r="R1241" s="22" t="n"/>
      <c r="S1241" s="22" t="n"/>
      <c r="T1241" s="4">
        <f>IF(A1241="","",TRIM(IF(K1241="","Needs decision; ","")&amp;IF(AND(K1241="Accept suggestion",F1241=""),"No suggestion to accept; ","")&amp;IF(AND(K1241="Override",L1241=""),"Override URL missing; ","")&amp;IF(AND(K1241="Accept suggestion",N(G1241)&lt;$G$2),"Below your threshold; ","")&amp;IF(AND(M1241&lt;&gt;"",M1241=A1241,K1241&lt;&gt;"No change (same URL)"),"Redirects to itself; ","")&amp;IF(AND(M1241&lt;&gt;"",OR(M1241="/",AND(LEFT(M1241,4)="http",OR((LEN(M1241)-LEN(SUBSTITUTE(M1241,"/","")))=2,AND((LEN(M1241)-LEN(SUBSTITUTE(M1241,"/","")))=3,RIGHT(M1241,1)="/"))))),"Home page redirect; ","")&amp;IF(N(R1241)&gt;1,"Chain; ","")&amp;IF(S1241="No","Destination not 200; ","")))</f>
        <v/>
      </c>
      <c r="U1241" s="22" t="n"/>
      <c r="V1241" s="22" t="n"/>
      <c r="W1241" s="4" t="n"/>
    </row>
    <row r="1242">
      <c r="A1242" s="22" t="n"/>
      <c r="B1242" s="22" t="n"/>
      <c r="C1242" s="22" t="n"/>
      <c r="D1242" s="22">
        <f>IF(A1242="","",IF(OR(N(B1242)&gt;=$C$2,N(C1242)&gt;=$E$2),"High",IF(OR(N(B1242)&gt;0,N(C1242)&gt;0),"Medium","Low")))</f>
        <v/>
      </c>
      <c r="E1242" s="22" t="n"/>
      <c r="F1242" s="22" t="n"/>
      <c r="G1242" s="22" t="n"/>
      <c r="H1242" s="22" t="n"/>
      <c r="I1242" s="22" t="n"/>
      <c r="J1242" s="22" t="n"/>
      <c r="K1242" s="22" t="n"/>
      <c r="L1242" s="22" t="n"/>
      <c r="M1242" s="22">
        <f>IF(K1242="Override",L1242,IF(K1242="Accept suggestion",F1242,IF(K1242="No change (same URL)",A1242,"")))</f>
        <v/>
      </c>
      <c r="N1242" s="22">
        <f>IF(A1242="","",IF(K1242="410 Gone","410",IF(K1242="404","404",IF(K1242="No change (same URL)","none",IF(M1242="","","301")))))</f>
        <v/>
      </c>
      <c r="O1242" s="22">
        <f>IF(A1242="","",IFERROR(MID(A1242,FIND("/",A1242,FIND("//",A1242)+2),2000),A1242))</f>
        <v/>
      </c>
      <c r="P1242" s="22">
        <f>IF(OR(O1242="",N1242="",N1242="none",N1242="404"),"",IF(N1242="410","Redirect gone "&amp;O1242,"Redirect "&amp;N1242&amp;" "&amp;O1242&amp;" "&amp;M1242))</f>
        <v/>
      </c>
      <c r="Q1242" s="22" t="n"/>
      <c r="R1242" s="22" t="n"/>
      <c r="S1242" s="22" t="n"/>
      <c r="T1242" s="4">
        <f>IF(A1242="","",TRIM(IF(K1242="","Needs decision; ","")&amp;IF(AND(K1242="Accept suggestion",F1242=""),"No suggestion to accept; ","")&amp;IF(AND(K1242="Override",L1242=""),"Override URL missing; ","")&amp;IF(AND(K1242="Accept suggestion",N(G1242)&lt;$G$2),"Below your threshold; ","")&amp;IF(AND(M1242&lt;&gt;"",M1242=A1242,K1242&lt;&gt;"No change (same URL)"),"Redirects to itself; ","")&amp;IF(AND(M1242&lt;&gt;"",OR(M1242="/",AND(LEFT(M1242,4)="http",OR((LEN(M1242)-LEN(SUBSTITUTE(M1242,"/","")))=2,AND((LEN(M1242)-LEN(SUBSTITUTE(M1242,"/","")))=3,RIGHT(M1242,1)="/"))))),"Home page redirect; ","")&amp;IF(N(R1242)&gt;1,"Chain; ","")&amp;IF(S1242="No","Destination not 200; ","")))</f>
        <v/>
      </c>
      <c r="U1242" s="22" t="n"/>
      <c r="V1242" s="22" t="n"/>
      <c r="W1242" s="4" t="n"/>
    </row>
    <row r="1243">
      <c r="A1243" s="22" t="n"/>
      <c r="B1243" s="22" t="n"/>
      <c r="C1243" s="22" t="n"/>
      <c r="D1243" s="22">
        <f>IF(A1243="","",IF(OR(N(B1243)&gt;=$C$2,N(C1243)&gt;=$E$2),"High",IF(OR(N(B1243)&gt;0,N(C1243)&gt;0),"Medium","Low")))</f>
        <v/>
      </c>
      <c r="E1243" s="22" t="n"/>
      <c r="F1243" s="22" t="n"/>
      <c r="G1243" s="22" t="n"/>
      <c r="H1243" s="22" t="n"/>
      <c r="I1243" s="22" t="n"/>
      <c r="J1243" s="22" t="n"/>
      <c r="K1243" s="22" t="n"/>
      <c r="L1243" s="22" t="n"/>
      <c r="M1243" s="22">
        <f>IF(K1243="Override",L1243,IF(K1243="Accept suggestion",F1243,IF(K1243="No change (same URL)",A1243,"")))</f>
        <v/>
      </c>
      <c r="N1243" s="22">
        <f>IF(A1243="","",IF(K1243="410 Gone","410",IF(K1243="404","404",IF(K1243="No change (same URL)","none",IF(M1243="","","301")))))</f>
        <v/>
      </c>
      <c r="O1243" s="22">
        <f>IF(A1243="","",IFERROR(MID(A1243,FIND("/",A1243,FIND("//",A1243)+2),2000),A1243))</f>
        <v/>
      </c>
      <c r="P1243" s="22">
        <f>IF(OR(O1243="",N1243="",N1243="none",N1243="404"),"",IF(N1243="410","Redirect gone "&amp;O1243,"Redirect "&amp;N1243&amp;" "&amp;O1243&amp;" "&amp;M1243))</f>
        <v/>
      </c>
      <c r="Q1243" s="22" t="n"/>
      <c r="R1243" s="22" t="n"/>
      <c r="S1243" s="22" t="n"/>
      <c r="T1243" s="4">
        <f>IF(A1243="","",TRIM(IF(K1243="","Needs decision; ","")&amp;IF(AND(K1243="Accept suggestion",F1243=""),"No suggestion to accept; ","")&amp;IF(AND(K1243="Override",L1243=""),"Override URL missing; ","")&amp;IF(AND(K1243="Accept suggestion",N(G1243)&lt;$G$2),"Below your threshold; ","")&amp;IF(AND(M1243&lt;&gt;"",M1243=A1243,K1243&lt;&gt;"No change (same URL)"),"Redirects to itself; ","")&amp;IF(AND(M1243&lt;&gt;"",OR(M1243="/",AND(LEFT(M1243,4)="http",OR((LEN(M1243)-LEN(SUBSTITUTE(M1243,"/","")))=2,AND((LEN(M1243)-LEN(SUBSTITUTE(M1243,"/","")))=3,RIGHT(M1243,1)="/"))))),"Home page redirect; ","")&amp;IF(N(R1243)&gt;1,"Chain; ","")&amp;IF(S1243="No","Destination not 200; ","")))</f>
        <v/>
      </c>
      <c r="U1243" s="22" t="n"/>
      <c r="V1243" s="22" t="n"/>
      <c r="W1243" s="4" t="n"/>
    </row>
    <row r="1244">
      <c r="A1244" s="22" t="n"/>
      <c r="B1244" s="22" t="n"/>
      <c r="C1244" s="22" t="n"/>
      <c r="D1244" s="22">
        <f>IF(A1244="","",IF(OR(N(B1244)&gt;=$C$2,N(C1244)&gt;=$E$2),"High",IF(OR(N(B1244)&gt;0,N(C1244)&gt;0),"Medium","Low")))</f>
        <v/>
      </c>
      <c r="E1244" s="22" t="n"/>
      <c r="F1244" s="22" t="n"/>
      <c r="G1244" s="22" t="n"/>
      <c r="H1244" s="22" t="n"/>
      <c r="I1244" s="22" t="n"/>
      <c r="J1244" s="22" t="n"/>
      <c r="K1244" s="22" t="n"/>
      <c r="L1244" s="22" t="n"/>
      <c r="M1244" s="22">
        <f>IF(K1244="Override",L1244,IF(K1244="Accept suggestion",F1244,IF(K1244="No change (same URL)",A1244,"")))</f>
        <v/>
      </c>
      <c r="N1244" s="22">
        <f>IF(A1244="","",IF(K1244="410 Gone","410",IF(K1244="404","404",IF(K1244="No change (same URL)","none",IF(M1244="","","301")))))</f>
        <v/>
      </c>
      <c r="O1244" s="22">
        <f>IF(A1244="","",IFERROR(MID(A1244,FIND("/",A1244,FIND("//",A1244)+2),2000),A1244))</f>
        <v/>
      </c>
      <c r="P1244" s="22">
        <f>IF(OR(O1244="",N1244="",N1244="none",N1244="404"),"",IF(N1244="410","Redirect gone "&amp;O1244,"Redirect "&amp;N1244&amp;" "&amp;O1244&amp;" "&amp;M1244))</f>
        <v/>
      </c>
      <c r="Q1244" s="22" t="n"/>
      <c r="R1244" s="22" t="n"/>
      <c r="S1244" s="22" t="n"/>
      <c r="T1244" s="4">
        <f>IF(A1244="","",TRIM(IF(K1244="","Needs decision; ","")&amp;IF(AND(K1244="Accept suggestion",F1244=""),"No suggestion to accept; ","")&amp;IF(AND(K1244="Override",L1244=""),"Override URL missing; ","")&amp;IF(AND(K1244="Accept suggestion",N(G1244)&lt;$G$2),"Below your threshold; ","")&amp;IF(AND(M1244&lt;&gt;"",M1244=A1244,K1244&lt;&gt;"No change (same URL)"),"Redirects to itself; ","")&amp;IF(AND(M1244&lt;&gt;"",OR(M1244="/",AND(LEFT(M1244,4)="http",OR((LEN(M1244)-LEN(SUBSTITUTE(M1244,"/","")))=2,AND((LEN(M1244)-LEN(SUBSTITUTE(M1244,"/","")))=3,RIGHT(M1244,1)="/"))))),"Home page redirect; ","")&amp;IF(N(R1244)&gt;1,"Chain; ","")&amp;IF(S1244="No","Destination not 200; ","")))</f>
        <v/>
      </c>
      <c r="U1244" s="22" t="n"/>
      <c r="V1244" s="22" t="n"/>
      <c r="W1244" s="4" t="n"/>
    </row>
    <row r="1245">
      <c r="A1245" s="22" t="n"/>
      <c r="B1245" s="22" t="n"/>
      <c r="C1245" s="22" t="n"/>
      <c r="D1245" s="22">
        <f>IF(A1245="","",IF(OR(N(B1245)&gt;=$C$2,N(C1245)&gt;=$E$2),"High",IF(OR(N(B1245)&gt;0,N(C1245)&gt;0),"Medium","Low")))</f>
        <v/>
      </c>
      <c r="E1245" s="22" t="n"/>
      <c r="F1245" s="22" t="n"/>
      <c r="G1245" s="22" t="n"/>
      <c r="H1245" s="22" t="n"/>
      <c r="I1245" s="22" t="n"/>
      <c r="J1245" s="22" t="n"/>
      <c r="K1245" s="22" t="n"/>
      <c r="L1245" s="22" t="n"/>
      <c r="M1245" s="22">
        <f>IF(K1245="Override",L1245,IF(K1245="Accept suggestion",F1245,IF(K1245="No change (same URL)",A1245,"")))</f>
        <v/>
      </c>
      <c r="N1245" s="22">
        <f>IF(A1245="","",IF(K1245="410 Gone","410",IF(K1245="404","404",IF(K1245="No change (same URL)","none",IF(M1245="","","301")))))</f>
        <v/>
      </c>
      <c r="O1245" s="22">
        <f>IF(A1245="","",IFERROR(MID(A1245,FIND("/",A1245,FIND("//",A1245)+2),2000),A1245))</f>
        <v/>
      </c>
      <c r="P1245" s="22">
        <f>IF(OR(O1245="",N1245="",N1245="none",N1245="404"),"",IF(N1245="410","Redirect gone "&amp;O1245,"Redirect "&amp;N1245&amp;" "&amp;O1245&amp;" "&amp;M1245))</f>
        <v/>
      </c>
      <c r="Q1245" s="22" t="n"/>
      <c r="R1245" s="22" t="n"/>
      <c r="S1245" s="22" t="n"/>
      <c r="T1245" s="4">
        <f>IF(A1245="","",TRIM(IF(K1245="","Needs decision; ","")&amp;IF(AND(K1245="Accept suggestion",F1245=""),"No suggestion to accept; ","")&amp;IF(AND(K1245="Override",L1245=""),"Override URL missing; ","")&amp;IF(AND(K1245="Accept suggestion",N(G1245)&lt;$G$2),"Below your threshold; ","")&amp;IF(AND(M1245&lt;&gt;"",M1245=A1245,K1245&lt;&gt;"No change (same URL)"),"Redirects to itself; ","")&amp;IF(AND(M1245&lt;&gt;"",OR(M1245="/",AND(LEFT(M1245,4)="http",OR((LEN(M1245)-LEN(SUBSTITUTE(M1245,"/","")))=2,AND((LEN(M1245)-LEN(SUBSTITUTE(M1245,"/","")))=3,RIGHT(M1245,1)="/"))))),"Home page redirect; ","")&amp;IF(N(R1245)&gt;1,"Chain; ","")&amp;IF(S1245="No","Destination not 200; ","")))</f>
        <v/>
      </c>
      <c r="U1245" s="22" t="n"/>
      <c r="V1245" s="22" t="n"/>
      <c r="W1245" s="4" t="n"/>
    </row>
    <row r="1246">
      <c r="A1246" s="22" t="n"/>
      <c r="B1246" s="22" t="n"/>
      <c r="C1246" s="22" t="n"/>
      <c r="D1246" s="22">
        <f>IF(A1246="","",IF(OR(N(B1246)&gt;=$C$2,N(C1246)&gt;=$E$2),"High",IF(OR(N(B1246)&gt;0,N(C1246)&gt;0),"Medium","Low")))</f>
        <v/>
      </c>
      <c r="E1246" s="22" t="n"/>
      <c r="F1246" s="22" t="n"/>
      <c r="G1246" s="22" t="n"/>
      <c r="H1246" s="22" t="n"/>
      <c r="I1246" s="22" t="n"/>
      <c r="J1246" s="22" t="n"/>
      <c r="K1246" s="22" t="n"/>
      <c r="L1246" s="22" t="n"/>
      <c r="M1246" s="22">
        <f>IF(K1246="Override",L1246,IF(K1246="Accept suggestion",F1246,IF(K1246="No change (same URL)",A1246,"")))</f>
        <v/>
      </c>
      <c r="N1246" s="22">
        <f>IF(A1246="","",IF(K1246="410 Gone","410",IF(K1246="404","404",IF(K1246="No change (same URL)","none",IF(M1246="","","301")))))</f>
        <v/>
      </c>
      <c r="O1246" s="22">
        <f>IF(A1246="","",IFERROR(MID(A1246,FIND("/",A1246,FIND("//",A1246)+2),2000),A1246))</f>
        <v/>
      </c>
      <c r="P1246" s="22">
        <f>IF(OR(O1246="",N1246="",N1246="none",N1246="404"),"",IF(N1246="410","Redirect gone "&amp;O1246,"Redirect "&amp;N1246&amp;" "&amp;O1246&amp;" "&amp;M1246))</f>
        <v/>
      </c>
      <c r="Q1246" s="22" t="n"/>
      <c r="R1246" s="22" t="n"/>
      <c r="S1246" s="22" t="n"/>
      <c r="T1246" s="4">
        <f>IF(A1246="","",TRIM(IF(K1246="","Needs decision; ","")&amp;IF(AND(K1246="Accept suggestion",F1246=""),"No suggestion to accept; ","")&amp;IF(AND(K1246="Override",L1246=""),"Override URL missing; ","")&amp;IF(AND(K1246="Accept suggestion",N(G1246)&lt;$G$2),"Below your threshold; ","")&amp;IF(AND(M1246&lt;&gt;"",M1246=A1246,K1246&lt;&gt;"No change (same URL)"),"Redirects to itself; ","")&amp;IF(AND(M1246&lt;&gt;"",OR(M1246="/",AND(LEFT(M1246,4)="http",OR((LEN(M1246)-LEN(SUBSTITUTE(M1246,"/","")))=2,AND((LEN(M1246)-LEN(SUBSTITUTE(M1246,"/","")))=3,RIGHT(M1246,1)="/"))))),"Home page redirect; ","")&amp;IF(N(R1246)&gt;1,"Chain; ","")&amp;IF(S1246="No","Destination not 200; ","")))</f>
        <v/>
      </c>
      <c r="U1246" s="22" t="n"/>
      <c r="V1246" s="22" t="n"/>
      <c r="W1246" s="4" t="n"/>
    </row>
    <row r="1247">
      <c r="A1247" s="22" t="n"/>
      <c r="B1247" s="22" t="n"/>
      <c r="C1247" s="22" t="n"/>
      <c r="D1247" s="22">
        <f>IF(A1247="","",IF(OR(N(B1247)&gt;=$C$2,N(C1247)&gt;=$E$2),"High",IF(OR(N(B1247)&gt;0,N(C1247)&gt;0),"Medium","Low")))</f>
        <v/>
      </c>
      <c r="E1247" s="22" t="n"/>
      <c r="F1247" s="22" t="n"/>
      <c r="G1247" s="22" t="n"/>
      <c r="H1247" s="22" t="n"/>
      <c r="I1247" s="22" t="n"/>
      <c r="J1247" s="22" t="n"/>
      <c r="K1247" s="22" t="n"/>
      <c r="L1247" s="22" t="n"/>
      <c r="M1247" s="22">
        <f>IF(K1247="Override",L1247,IF(K1247="Accept suggestion",F1247,IF(K1247="No change (same URL)",A1247,"")))</f>
        <v/>
      </c>
      <c r="N1247" s="22">
        <f>IF(A1247="","",IF(K1247="410 Gone","410",IF(K1247="404","404",IF(K1247="No change (same URL)","none",IF(M1247="","","301")))))</f>
        <v/>
      </c>
      <c r="O1247" s="22">
        <f>IF(A1247="","",IFERROR(MID(A1247,FIND("/",A1247,FIND("//",A1247)+2),2000),A1247))</f>
        <v/>
      </c>
      <c r="P1247" s="22">
        <f>IF(OR(O1247="",N1247="",N1247="none",N1247="404"),"",IF(N1247="410","Redirect gone "&amp;O1247,"Redirect "&amp;N1247&amp;" "&amp;O1247&amp;" "&amp;M1247))</f>
        <v/>
      </c>
      <c r="Q1247" s="22" t="n"/>
      <c r="R1247" s="22" t="n"/>
      <c r="S1247" s="22" t="n"/>
      <c r="T1247" s="4">
        <f>IF(A1247="","",TRIM(IF(K1247="","Needs decision; ","")&amp;IF(AND(K1247="Accept suggestion",F1247=""),"No suggestion to accept; ","")&amp;IF(AND(K1247="Override",L1247=""),"Override URL missing; ","")&amp;IF(AND(K1247="Accept suggestion",N(G1247)&lt;$G$2),"Below your threshold; ","")&amp;IF(AND(M1247&lt;&gt;"",M1247=A1247,K1247&lt;&gt;"No change (same URL)"),"Redirects to itself; ","")&amp;IF(AND(M1247&lt;&gt;"",OR(M1247="/",AND(LEFT(M1247,4)="http",OR((LEN(M1247)-LEN(SUBSTITUTE(M1247,"/","")))=2,AND((LEN(M1247)-LEN(SUBSTITUTE(M1247,"/","")))=3,RIGHT(M1247,1)="/"))))),"Home page redirect; ","")&amp;IF(N(R1247)&gt;1,"Chain; ","")&amp;IF(S1247="No","Destination not 200; ","")))</f>
        <v/>
      </c>
      <c r="U1247" s="22" t="n"/>
      <c r="V1247" s="22" t="n"/>
      <c r="W1247" s="4" t="n"/>
    </row>
    <row r="1248">
      <c r="A1248" s="22" t="n"/>
      <c r="B1248" s="22" t="n"/>
      <c r="C1248" s="22" t="n"/>
      <c r="D1248" s="22">
        <f>IF(A1248="","",IF(OR(N(B1248)&gt;=$C$2,N(C1248)&gt;=$E$2),"High",IF(OR(N(B1248)&gt;0,N(C1248)&gt;0),"Medium","Low")))</f>
        <v/>
      </c>
      <c r="E1248" s="22" t="n"/>
      <c r="F1248" s="22" t="n"/>
      <c r="G1248" s="22" t="n"/>
      <c r="H1248" s="22" t="n"/>
      <c r="I1248" s="22" t="n"/>
      <c r="J1248" s="22" t="n"/>
      <c r="K1248" s="22" t="n"/>
      <c r="L1248" s="22" t="n"/>
      <c r="M1248" s="22">
        <f>IF(K1248="Override",L1248,IF(K1248="Accept suggestion",F1248,IF(K1248="No change (same URL)",A1248,"")))</f>
        <v/>
      </c>
      <c r="N1248" s="22">
        <f>IF(A1248="","",IF(K1248="410 Gone","410",IF(K1248="404","404",IF(K1248="No change (same URL)","none",IF(M1248="","","301")))))</f>
        <v/>
      </c>
      <c r="O1248" s="22">
        <f>IF(A1248="","",IFERROR(MID(A1248,FIND("/",A1248,FIND("//",A1248)+2),2000),A1248))</f>
        <v/>
      </c>
      <c r="P1248" s="22">
        <f>IF(OR(O1248="",N1248="",N1248="none",N1248="404"),"",IF(N1248="410","Redirect gone "&amp;O1248,"Redirect "&amp;N1248&amp;" "&amp;O1248&amp;" "&amp;M1248))</f>
        <v/>
      </c>
      <c r="Q1248" s="22" t="n"/>
      <c r="R1248" s="22" t="n"/>
      <c r="S1248" s="22" t="n"/>
      <c r="T1248" s="4">
        <f>IF(A1248="","",TRIM(IF(K1248="","Needs decision; ","")&amp;IF(AND(K1248="Accept suggestion",F1248=""),"No suggestion to accept; ","")&amp;IF(AND(K1248="Override",L1248=""),"Override URL missing; ","")&amp;IF(AND(K1248="Accept suggestion",N(G1248)&lt;$G$2),"Below your threshold; ","")&amp;IF(AND(M1248&lt;&gt;"",M1248=A1248,K1248&lt;&gt;"No change (same URL)"),"Redirects to itself; ","")&amp;IF(AND(M1248&lt;&gt;"",OR(M1248="/",AND(LEFT(M1248,4)="http",OR((LEN(M1248)-LEN(SUBSTITUTE(M1248,"/","")))=2,AND((LEN(M1248)-LEN(SUBSTITUTE(M1248,"/","")))=3,RIGHT(M1248,1)="/"))))),"Home page redirect; ","")&amp;IF(N(R1248)&gt;1,"Chain; ","")&amp;IF(S1248="No","Destination not 200; ","")))</f>
        <v/>
      </c>
      <c r="U1248" s="22" t="n"/>
      <c r="V1248" s="22" t="n"/>
      <c r="W1248" s="4" t="n"/>
    </row>
    <row r="1249">
      <c r="A1249" s="22" t="n"/>
      <c r="B1249" s="22" t="n"/>
      <c r="C1249" s="22" t="n"/>
      <c r="D1249" s="22">
        <f>IF(A1249="","",IF(OR(N(B1249)&gt;=$C$2,N(C1249)&gt;=$E$2),"High",IF(OR(N(B1249)&gt;0,N(C1249)&gt;0),"Medium","Low")))</f>
        <v/>
      </c>
      <c r="E1249" s="22" t="n"/>
      <c r="F1249" s="22" t="n"/>
      <c r="G1249" s="22" t="n"/>
      <c r="H1249" s="22" t="n"/>
      <c r="I1249" s="22" t="n"/>
      <c r="J1249" s="22" t="n"/>
      <c r="K1249" s="22" t="n"/>
      <c r="L1249" s="22" t="n"/>
      <c r="M1249" s="22">
        <f>IF(K1249="Override",L1249,IF(K1249="Accept suggestion",F1249,IF(K1249="No change (same URL)",A1249,"")))</f>
        <v/>
      </c>
      <c r="N1249" s="22">
        <f>IF(A1249="","",IF(K1249="410 Gone","410",IF(K1249="404","404",IF(K1249="No change (same URL)","none",IF(M1249="","","301")))))</f>
        <v/>
      </c>
      <c r="O1249" s="22">
        <f>IF(A1249="","",IFERROR(MID(A1249,FIND("/",A1249,FIND("//",A1249)+2),2000),A1249))</f>
        <v/>
      </c>
      <c r="P1249" s="22">
        <f>IF(OR(O1249="",N1249="",N1249="none",N1249="404"),"",IF(N1249="410","Redirect gone "&amp;O1249,"Redirect "&amp;N1249&amp;" "&amp;O1249&amp;" "&amp;M1249))</f>
        <v/>
      </c>
      <c r="Q1249" s="22" t="n"/>
      <c r="R1249" s="22" t="n"/>
      <c r="S1249" s="22" t="n"/>
      <c r="T1249" s="4">
        <f>IF(A1249="","",TRIM(IF(K1249="","Needs decision; ","")&amp;IF(AND(K1249="Accept suggestion",F1249=""),"No suggestion to accept; ","")&amp;IF(AND(K1249="Override",L1249=""),"Override URL missing; ","")&amp;IF(AND(K1249="Accept suggestion",N(G1249)&lt;$G$2),"Below your threshold; ","")&amp;IF(AND(M1249&lt;&gt;"",M1249=A1249,K1249&lt;&gt;"No change (same URL)"),"Redirects to itself; ","")&amp;IF(AND(M1249&lt;&gt;"",OR(M1249="/",AND(LEFT(M1249,4)="http",OR((LEN(M1249)-LEN(SUBSTITUTE(M1249,"/","")))=2,AND((LEN(M1249)-LEN(SUBSTITUTE(M1249,"/","")))=3,RIGHT(M1249,1)="/"))))),"Home page redirect; ","")&amp;IF(N(R1249)&gt;1,"Chain; ","")&amp;IF(S1249="No","Destination not 200; ","")))</f>
        <v/>
      </c>
      <c r="U1249" s="22" t="n"/>
      <c r="V1249" s="22" t="n"/>
      <c r="W1249" s="4" t="n"/>
    </row>
    <row r="1250">
      <c r="A1250" s="22" t="n"/>
      <c r="B1250" s="22" t="n"/>
      <c r="C1250" s="22" t="n"/>
      <c r="D1250" s="22">
        <f>IF(A1250="","",IF(OR(N(B1250)&gt;=$C$2,N(C1250)&gt;=$E$2),"High",IF(OR(N(B1250)&gt;0,N(C1250)&gt;0),"Medium","Low")))</f>
        <v/>
      </c>
      <c r="E1250" s="22" t="n"/>
      <c r="F1250" s="22" t="n"/>
      <c r="G1250" s="22" t="n"/>
      <c r="H1250" s="22" t="n"/>
      <c r="I1250" s="22" t="n"/>
      <c r="J1250" s="22" t="n"/>
      <c r="K1250" s="22" t="n"/>
      <c r="L1250" s="22" t="n"/>
      <c r="M1250" s="22">
        <f>IF(K1250="Override",L1250,IF(K1250="Accept suggestion",F1250,IF(K1250="No change (same URL)",A1250,"")))</f>
        <v/>
      </c>
      <c r="N1250" s="22">
        <f>IF(A1250="","",IF(K1250="410 Gone","410",IF(K1250="404","404",IF(K1250="No change (same URL)","none",IF(M1250="","","301")))))</f>
        <v/>
      </c>
      <c r="O1250" s="22">
        <f>IF(A1250="","",IFERROR(MID(A1250,FIND("/",A1250,FIND("//",A1250)+2),2000),A1250))</f>
        <v/>
      </c>
      <c r="P1250" s="22">
        <f>IF(OR(O1250="",N1250="",N1250="none",N1250="404"),"",IF(N1250="410","Redirect gone "&amp;O1250,"Redirect "&amp;N1250&amp;" "&amp;O1250&amp;" "&amp;M1250))</f>
        <v/>
      </c>
      <c r="Q1250" s="22" t="n"/>
      <c r="R1250" s="22" t="n"/>
      <c r="S1250" s="22" t="n"/>
      <c r="T1250" s="4">
        <f>IF(A1250="","",TRIM(IF(K1250="","Needs decision; ","")&amp;IF(AND(K1250="Accept suggestion",F1250=""),"No suggestion to accept; ","")&amp;IF(AND(K1250="Override",L1250=""),"Override URL missing; ","")&amp;IF(AND(K1250="Accept suggestion",N(G1250)&lt;$G$2),"Below your threshold; ","")&amp;IF(AND(M1250&lt;&gt;"",M1250=A1250,K1250&lt;&gt;"No change (same URL)"),"Redirects to itself; ","")&amp;IF(AND(M1250&lt;&gt;"",OR(M1250="/",AND(LEFT(M1250,4)="http",OR((LEN(M1250)-LEN(SUBSTITUTE(M1250,"/","")))=2,AND((LEN(M1250)-LEN(SUBSTITUTE(M1250,"/","")))=3,RIGHT(M1250,1)="/"))))),"Home page redirect; ","")&amp;IF(N(R1250)&gt;1,"Chain; ","")&amp;IF(S1250="No","Destination not 200; ","")))</f>
        <v/>
      </c>
      <c r="U1250" s="22" t="n"/>
      <c r="V1250" s="22" t="n"/>
      <c r="W1250" s="4" t="n"/>
    </row>
    <row r="1251">
      <c r="A1251" s="22" t="n"/>
      <c r="B1251" s="22" t="n"/>
      <c r="C1251" s="22" t="n"/>
      <c r="D1251" s="22">
        <f>IF(A1251="","",IF(OR(N(B1251)&gt;=$C$2,N(C1251)&gt;=$E$2),"High",IF(OR(N(B1251)&gt;0,N(C1251)&gt;0),"Medium","Low")))</f>
        <v/>
      </c>
      <c r="E1251" s="22" t="n"/>
      <c r="F1251" s="22" t="n"/>
      <c r="G1251" s="22" t="n"/>
      <c r="H1251" s="22" t="n"/>
      <c r="I1251" s="22" t="n"/>
      <c r="J1251" s="22" t="n"/>
      <c r="K1251" s="22" t="n"/>
      <c r="L1251" s="22" t="n"/>
      <c r="M1251" s="22">
        <f>IF(K1251="Override",L1251,IF(K1251="Accept suggestion",F1251,IF(K1251="No change (same URL)",A1251,"")))</f>
        <v/>
      </c>
      <c r="N1251" s="22">
        <f>IF(A1251="","",IF(K1251="410 Gone","410",IF(K1251="404","404",IF(K1251="No change (same URL)","none",IF(M1251="","","301")))))</f>
        <v/>
      </c>
      <c r="O1251" s="22">
        <f>IF(A1251="","",IFERROR(MID(A1251,FIND("/",A1251,FIND("//",A1251)+2),2000),A1251))</f>
        <v/>
      </c>
      <c r="P1251" s="22">
        <f>IF(OR(O1251="",N1251="",N1251="none",N1251="404"),"",IF(N1251="410","Redirect gone "&amp;O1251,"Redirect "&amp;N1251&amp;" "&amp;O1251&amp;" "&amp;M1251))</f>
        <v/>
      </c>
      <c r="Q1251" s="22" t="n"/>
      <c r="R1251" s="22" t="n"/>
      <c r="S1251" s="22" t="n"/>
      <c r="T1251" s="4">
        <f>IF(A1251="","",TRIM(IF(K1251="","Needs decision; ","")&amp;IF(AND(K1251="Accept suggestion",F1251=""),"No suggestion to accept; ","")&amp;IF(AND(K1251="Override",L1251=""),"Override URL missing; ","")&amp;IF(AND(K1251="Accept suggestion",N(G1251)&lt;$G$2),"Below your threshold; ","")&amp;IF(AND(M1251&lt;&gt;"",M1251=A1251,K1251&lt;&gt;"No change (same URL)"),"Redirects to itself; ","")&amp;IF(AND(M1251&lt;&gt;"",OR(M1251="/",AND(LEFT(M1251,4)="http",OR((LEN(M1251)-LEN(SUBSTITUTE(M1251,"/","")))=2,AND((LEN(M1251)-LEN(SUBSTITUTE(M1251,"/","")))=3,RIGHT(M1251,1)="/"))))),"Home page redirect; ","")&amp;IF(N(R1251)&gt;1,"Chain; ","")&amp;IF(S1251="No","Destination not 200; ","")))</f>
        <v/>
      </c>
      <c r="U1251" s="22" t="n"/>
      <c r="V1251" s="22" t="n"/>
      <c r="W1251" s="4" t="n"/>
    </row>
    <row r="1252">
      <c r="A1252" s="22" t="n"/>
      <c r="B1252" s="22" t="n"/>
      <c r="C1252" s="22" t="n"/>
      <c r="D1252" s="22">
        <f>IF(A1252="","",IF(OR(N(B1252)&gt;=$C$2,N(C1252)&gt;=$E$2),"High",IF(OR(N(B1252)&gt;0,N(C1252)&gt;0),"Medium","Low")))</f>
        <v/>
      </c>
      <c r="E1252" s="22" t="n"/>
      <c r="F1252" s="22" t="n"/>
      <c r="G1252" s="22" t="n"/>
      <c r="H1252" s="22" t="n"/>
      <c r="I1252" s="22" t="n"/>
      <c r="J1252" s="22" t="n"/>
      <c r="K1252" s="22" t="n"/>
      <c r="L1252" s="22" t="n"/>
      <c r="M1252" s="22">
        <f>IF(K1252="Override",L1252,IF(K1252="Accept suggestion",F1252,IF(K1252="No change (same URL)",A1252,"")))</f>
        <v/>
      </c>
      <c r="N1252" s="22">
        <f>IF(A1252="","",IF(K1252="410 Gone","410",IF(K1252="404","404",IF(K1252="No change (same URL)","none",IF(M1252="","","301")))))</f>
        <v/>
      </c>
      <c r="O1252" s="22">
        <f>IF(A1252="","",IFERROR(MID(A1252,FIND("/",A1252,FIND("//",A1252)+2),2000),A1252))</f>
        <v/>
      </c>
      <c r="P1252" s="22">
        <f>IF(OR(O1252="",N1252="",N1252="none",N1252="404"),"",IF(N1252="410","Redirect gone "&amp;O1252,"Redirect "&amp;N1252&amp;" "&amp;O1252&amp;" "&amp;M1252))</f>
        <v/>
      </c>
      <c r="Q1252" s="22" t="n"/>
      <c r="R1252" s="22" t="n"/>
      <c r="S1252" s="22" t="n"/>
      <c r="T1252" s="4">
        <f>IF(A1252="","",TRIM(IF(K1252="","Needs decision; ","")&amp;IF(AND(K1252="Accept suggestion",F1252=""),"No suggestion to accept; ","")&amp;IF(AND(K1252="Override",L1252=""),"Override URL missing; ","")&amp;IF(AND(K1252="Accept suggestion",N(G1252)&lt;$G$2),"Below your threshold; ","")&amp;IF(AND(M1252&lt;&gt;"",M1252=A1252,K1252&lt;&gt;"No change (same URL)"),"Redirects to itself; ","")&amp;IF(AND(M1252&lt;&gt;"",OR(M1252="/",AND(LEFT(M1252,4)="http",OR((LEN(M1252)-LEN(SUBSTITUTE(M1252,"/","")))=2,AND((LEN(M1252)-LEN(SUBSTITUTE(M1252,"/","")))=3,RIGHT(M1252,1)="/"))))),"Home page redirect; ","")&amp;IF(N(R1252)&gt;1,"Chain; ","")&amp;IF(S1252="No","Destination not 200; ","")))</f>
        <v/>
      </c>
      <c r="U1252" s="22" t="n"/>
      <c r="V1252" s="22" t="n"/>
      <c r="W1252" s="4" t="n"/>
    </row>
    <row r="1253">
      <c r="A1253" s="22" t="n"/>
      <c r="B1253" s="22" t="n"/>
      <c r="C1253" s="22" t="n"/>
      <c r="D1253" s="22">
        <f>IF(A1253="","",IF(OR(N(B1253)&gt;=$C$2,N(C1253)&gt;=$E$2),"High",IF(OR(N(B1253)&gt;0,N(C1253)&gt;0),"Medium","Low")))</f>
        <v/>
      </c>
      <c r="E1253" s="22" t="n"/>
      <c r="F1253" s="22" t="n"/>
      <c r="G1253" s="22" t="n"/>
      <c r="H1253" s="22" t="n"/>
      <c r="I1253" s="22" t="n"/>
      <c r="J1253" s="22" t="n"/>
      <c r="K1253" s="22" t="n"/>
      <c r="L1253" s="22" t="n"/>
      <c r="M1253" s="22">
        <f>IF(K1253="Override",L1253,IF(K1253="Accept suggestion",F1253,IF(K1253="No change (same URL)",A1253,"")))</f>
        <v/>
      </c>
      <c r="N1253" s="22">
        <f>IF(A1253="","",IF(K1253="410 Gone","410",IF(K1253="404","404",IF(K1253="No change (same URL)","none",IF(M1253="","","301")))))</f>
        <v/>
      </c>
      <c r="O1253" s="22">
        <f>IF(A1253="","",IFERROR(MID(A1253,FIND("/",A1253,FIND("//",A1253)+2),2000),A1253))</f>
        <v/>
      </c>
      <c r="P1253" s="22">
        <f>IF(OR(O1253="",N1253="",N1253="none",N1253="404"),"",IF(N1253="410","Redirect gone "&amp;O1253,"Redirect "&amp;N1253&amp;" "&amp;O1253&amp;" "&amp;M1253))</f>
        <v/>
      </c>
      <c r="Q1253" s="22" t="n"/>
      <c r="R1253" s="22" t="n"/>
      <c r="S1253" s="22" t="n"/>
      <c r="T1253" s="4">
        <f>IF(A1253="","",TRIM(IF(K1253="","Needs decision; ","")&amp;IF(AND(K1253="Accept suggestion",F1253=""),"No suggestion to accept; ","")&amp;IF(AND(K1253="Override",L1253=""),"Override URL missing; ","")&amp;IF(AND(K1253="Accept suggestion",N(G1253)&lt;$G$2),"Below your threshold; ","")&amp;IF(AND(M1253&lt;&gt;"",M1253=A1253,K1253&lt;&gt;"No change (same URL)"),"Redirects to itself; ","")&amp;IF(AND(M1253&lt;&gt;"",OR(M1253="/",AND(LEFT(M1253,4)="http",OR((LEN(M1253)-LEN(SUBSTITUTE(M1253,"/","")))=2,AND((LEN(M1253)-LEN(SUBSTITUTE(M1253,"/","")))=3,RIGHT(M1253,1)="/"))))),"Home page redirect; ","")&amp;IF(N(R1253)&gt;1,"Chain; ","")&amp;IF(S1253="No","Destination not 200; ","")))</f>
        <v/>
      </c>
      <c r="U1253" s="22" t="n"/>
      <c r="V1253" s="22" t="n"/>
      <c r="W1253" s="4" t="n"/>
    </row>
    <row r="1254">
      <c r="A1254" s="22" t="n"/>
      <c r="B1254" s="22" t="n"/>
      <c r="C1254" s="22" t="n"/>
      <c r="D1254" s="22">
        <f>IF(A1254="","",IF(OR(N(B1254)&gt;=$C$2,N(C1254)&gt;=$E$2),"High",IF(OR(N(B1254)&gt;0,N(C1254)&gt;0),"Medium","Low")))</f>
        <v/>
      </c>
      <c r="E1254" s="22" t="n"/>
      <c r="F1254" s="22" t="n"/>
      <c r="G1254" s="22" t="n"/>
      <c r="H1254" s="22" t="n"/>
      <c r="I1254" s="22" t="n"/>
      <c r="J1254" s="22" t="n"/>
      <c r="K1254" s="22" t="n"/>
      <c r="L1254" s="22" t="n"/>
      <c r="M1254" s="22">
        <f>IF(K1254="Override",L1254,IF(K1254="Accept suggestion",F1254,IF(K1254="No change (same URL)",A1254,"")))</f>
        <v/>
      </c>
      <c r="N1254" s="22">
        <f>IF(A1254="","",IF(K1254="410 Gone","410",IF(K1254="404","404",IF(K1254="No change (same URL)","none",IF(M1254="","","301")))))</f>
        <v/>
      </c>
      <c r="O1254" s="22">
        <f>IF(A1254="","",IFERROR(MID(A1254,FIND("/",A1254,FIND("//",A1254)+2),2000),A1254))</f>
        <v/>
      </c>
      <c r="P1254" s="22">
        <f>IF(OR(O1254="",N1254="",N1254="none",N1254="404"),"",IF(N1254="410","Redirect gone "&amp;O1254,"Redirect "&amp;N1254&amp;" "&amp;O1254&amp;" "&amp;M1254))</f>
        <v/>
      </c>
      <c r="Q1254" s="22" t="n"/>
      <c r="R1254" s="22" t="n"/>
      <c r="S1254" s="22" t="n"/>
      <c r="T1254" s="4">
        <f>IF(A1254="","",TRIM(IF(K1254="","Needs decision; ","")&amp;IF(AND(K1254="Accept suggestion",F1254=""),"No suggestion to accept; ","")&amp;IF(AND(K1254="Override",L1254=""),"Override URL missing; ","")&amp;IF(AND(K1254="Accept suggestion",N(G1254)&lt;$G$2),"Below your threshold; ","")&amp;IF(AND(M1254&lt;&gt;"",M1254=A1254,K1254&lt;&gt;"No change (same URL)"),"Redirects to itself; ","")&amp;IF(AND(M1254&lt;&gt;"",OR(M1254="/",AND(LEFT(M1254,4)="http",OR((LEN(M1254)-LEN(SUBSTITUTE(M1254,"/","")))=2,AND((LEN(M1254)-LEN(SUBSTITUTE(M1254,"/","")))=3,RIGHT(M1254,1)="/"))))),"Home page redirect; ","")&amp;IF(N(R1254)&gt;1,"Chain; ","")&amp;IF(S1254="No","Destination not 200; ","")))</f>
        <v/>
      </c>
      <c r="U1254" s="22" t="n"/>
      <c r="V1254" s="22" t="n"/>
      <c r="W1254" s="4" t="n"/>
    </row>
    <row r="1255">
      <c r="A1255" s="22" t="n"/>
      <c r="B1255" s="22" t="n"/>
      <c r="C1255" s="22" t="n"/>
      <c r="D1255" s="22">
        <f>IF(A1255="","",IF(OR(N(B1255)&gt;=$C$2,N(C1255)&gt;=$E$2),"High",IF(OR(N(B1255)&gt;0,N(C1255)&gt;0),"Medium","Low")))</f>
        <v/>
      </c>
      <c r="E1255" s="22" t="n"/>
      <c r="F1255" s="22" t="n"/>
      <c r="G1255" s="22" t="n"/>
      <c r="H1255" s="22" t="n"/>
      <c r="I1255" s="22" t="n"/>
      <c r="J1255" s="22" t="n"/>
      <c r="K1255" s="22" t="n"/>
      <c r="L1255" s="22" t="n"/>
      <c r="M1255" s="22">
        <f>IF(K1255="Override",L1255,IF(K1255="Accept suggestion",F1255,IF(K1255="No change (same URL)",A1255,"")))</f>
        <v/>
      </c>
      <c r="N1255" s="22">
        <f>IF(A1255="","",IF(K1255="410 Gone","410",IF(K1255="404","404",IF(K1255="No change (same URL)","none",IF(M1255="","","301")))))</f>
        <v/>
      </c>
      <c r="O1255" s="22">
        <f>IF(A1255="","",IFERROR(MID(A1255,FIND("/",A1255,FIND("//",A1255)+2),2000),A1255))</f>
        <v/>
      </c>
      <c r="P1255" s="22">
        <f>IF(OR(O1255="",N1255="",N1255="none",N1255="404"),"",IF(N1255="410","Redirect gone "&amp;O1255,"Redirect "&amp;N1255&amp;" "&amp;O1255&amp;" "&amp;M1255))</f>
        <v/>
      </c>
      <c r="Q1255" s="22" t="n"/>
      <c r="R1255" s="22" t="n"/>
      <c r="S1255" s="22" t="n"/>
      <c r="T1255" s="4">
        <f>IF(A1255="","",TRIM(IF(K1255="","Needs decision; ","")&amp;IF(AND(K1255="Accept suggestion",F1255=""),"No suggestion to accept; ","")&amp;IF(AND(K1255="Override",L1255=""),"Override URL missing; ","")&amp;IF(AND(K1255="Accept suggestion",N(G1255)&lt;$G$2),"Below your threshold; ","")&amp;IF(AND(M1255&lt;&gt;"",M1255=A1255,K1255&lt;&gt;"No change (same URL)"),"Redirects to itself; ","")&amp;IF(AND(M1255&lt;&gt;"",OR(M1255="/",AND(LEFT(M1255,4)="http",OR((LEN(M1255)-LEN(SUBSTITUTE(M1255,"/","")))=2,AND((LEN(M1255)-LEN(SUBSTITUTE(M1255,"/","")))=3,RIGHT(M1255,1)="/"))))),"Home page redirect; ","")&amp;IF(N(R1255)&gt;1,"Chain; ","")&amp;IF(S1255="No","Destination not 200; ","")))</f>
        <v/>
      </c>
      <c r="U1255" s="22" t="n"/>
      <c r="V1255" s="22" t="n"/>
      <c r="W1255" s="4" t="n"/>
    </row>
    <row r="1256">
      <c r="A1256" s="22" t="n"/>
      <c r="B1256" s="22" t="n"/>
      <c r="C1256" s="22" t="n"/>
      <c r="D1256" s="22">
        <f>IF(A1256="","",IF(OR(N(B1256)&gt;=$C$2,N(C1256)&gt;=$E$2),"High",IF(OR(N(B1256)&gt;0,N(C1256)&gt;0),"Medium","Low")))</f>
        <v/>
      </c>
      <c r="E1256" s="22" t="n"/>
      <c r="F1256" s="22" t="n"/>
      <c r="G1256" s="22" t="n"/>
      <c r="H1256" s="22" t="n"/>
      <c r="I1256" s="22" t="n"/>
      <c r="J1256" s="22" t="n"/>
      <c r="K1256" s="22" t="n"/>
      <c r="L1256" s="22" t="n"/>
      <c r="M1256" s="22">
        <f>IF(K1256="Override",L1256,IF(K1256="Accept suggestion",F1256,IF(K1256="No change (same URL)",A1256,"")))</f>
        <v/>
      </c>
      <c r="N1256" s="22">
        <f>IF(A1256="","",IF(K1256="410 Gone","410",IF(K1256="404","404",IF(K1256="No change (same URL)","none",IF(M1256="","","301")))))</f>
        <v/>
      </c>
      <c r="O1256" s="22">
        <f>IF(A1256="","",IFERROR(MID(A1256,FIND("/",A1256,FIND("//",A1256)+2),2000),A1256))</f>
        <v/>
      </c>
      <c r="P1256" s="22">
        <f>IF(OR(O1256="",N1256="",N1256="none",N1256="404"),"",IF(N1256="410","Redirect gone "&amp;O1256,"Redirect "&amp;N1256&amp;" "&amp;O1256&amp;" "&amp;M1256))</f>
        <v/>
      </c>
      <c r="Q1256" s="22" t="n"/>
      <c r="R1256" s="22" t="n"/>
      <c r="S1256" s="22" t="n"/>
      <c r="T1256" s="4">
        <f>IF(A1256="","",TRIM(IF(K1256="","Needs decision; ","")&amp;IF(AND(K1256="Accept suggestion",F1256=""),"No suggestion to accept; ","")&amp;IF(AND(K1256="Override",L1256=""),"Override URL missing; ","")&amp;IF(AND(K1256="Accept suggestion",N(G1256)&lt;$G$2),"Below your threshold; ","")&amp;IF(AND(M1256&lt;&gt;"",M1256=A1256,K1256&lt;&gt;"No change (same URL)"),"Redirects to itself; ","")&amp;IF(AND(M1256&lt;&gt;"",OR(M1256="/",AND(LEFT(M1256,4)="http",OR((LEN(M1256)-LEN(SUBSTITUTE(M1256,"/","")))=2,AND((LEN(M1256)-LEN(SUBSTITUTE(M1256,"/","")))=3,RIGHT(M1256,1)="/"))))),"Home page redirect; ","")&amp;IF(N(R1256)&gt;1,"Chain; ","")&amp;IF(S1256="No","Destination not 200; ","")))</f>
        <v/>
      </c>
      <c r="U1256" s="22" t="n"/>
      <c r="V1256" s="22" t="n"/>
      <c r="W1256" s="4" t="n"/>
    </row>
    <row r="1257">
      <c r="A1257" s="22" t="n"/>
      <c r="B1257" s="22" t="n"/>
      <c r="C1257" s="22" t="n"/>
      <c r="D1257" s="22">
        <f>IF(A1257="","",IF(OR(N(B1257)&gt;=$C$2,N(C1257)&gt;=$E$2),"High",IF(OR(N(B1257)&gt;0,N(C1257)&gt;0),"Medium","Low")))</f>
        <v/>
      </c>
      <c r="E1257" s="22" t="n"/>
      <c r="F1257" s="22" t="n"/>
      <c r="G1257" s="22" t="n"/>
      <c r="H1257" s="22" t="n"/>
      <c r="I1257" s="22" t="n"/>
      <c r="J1257" s="22" t="n"/>
      <c r="K1257" s="22" t="n"/>
      <c r="L1257" s="22" t="n"/>
      <c r="M1257" s="22">
        <f>IF(K1257="Override",L1257,IF(K1257="Accept suggestion",F1257,IF(K1257="No change (same URL)",A1257,"")))</f>
        <v/>
      </c>
      <c r="N1257" s="22">
        <f>IF(A1257="","",IF(K1257="410 Gone","410",IF(K1257="404","404",IF(K1257="No change (same URL)","none",IF(M1257="","","301")))))</f>
        <v/>
      </c>
      <c r="O1257" s="22">
        <f>IF(A1257="","",IFERROR(MID(A1257,FIND("/",A1257,FIND("//",A1257)+2),2000),A1257))</f>
        <v/>
      </c>
      <c r="P1257" s="22">
        <f>IF(OR(O1257="",N1257="",N1257="none",N1257="404"),"",IF(N1257="410","Redirect gone "&amp;O1257,"Redirect "&amp;N1257&amp;" "&amp;O1257&amp;" "&amp;M1257))</f>
        <v/>
      </c>
      <c r="Q1257" s="22" t="n"/>
      <c r="R1257" s="22" t="n"/>
      <c r="S1257" s="22" t="n"/>
      <c r="T1257" s="4">
        <f>IF(A1257="","",TRIM(IF(K1257="","Needs decision; ","")&amp;IF(AND(K1257="Accept suggestion",F1257=""),"No suggestion to accept; ","")&amp;IF(AND(K1257="Override",L1257=""),"Override URL missing; ","")&amp;IF(AND(K1257="Accept suggestion",N(G1257)&lt;$G$2),"Below your threshold; ","")&amp;IF(AND(M1257&lt;&gt;"",M1257=A1257,K1257&lt;&gt;"No change (same URL)"),"Redirects to itself; ","")&amp;IF(AND(M1257&lt;&gt;"",OR(M1257="/",AND(LEFT(M1257,4)="http",OR((LEN(M1257)-LEN(SUBSTITUTE(M1257,"/","")))=2,AND((LEN(M1257)-LEN(SUBSTITUTE(M1257,"/","")))=3,RIGHT(M1257,1)="/"))))),"Home page redirect; ","")&amp;IF(N(R1257)&gt;1,"Chain; ","")&amp;IF(S1257="No","Destination not 200; ","")))</f>
        <v/>
      </c>
      <c r="U1257" s="22" t="n"/>
      <c r="V1257" s="22" t="n"/>
      <c r="W1257" s="4" t="n"/>
    </row>
    <row r="1258">
      <c r="A1258" s="22" t="n"/>
      <c r="B1258" s="22" t="n"/>
      <c r="C1258" s="22" t="n"/>
      <c r="D1258" s="22">
        <f>IF(A1258="","",IF(OR(N(B1258)&gt;=$C$2,N(C1258)&gt;=$E$2),"High",IF(OR(N(B1258)&gt;0,N(C1258)&gt;0),"Medium","Low")))</f>
        <v/>
      </c>
      <c r="E1258" s="22" t="n"/>
      <c r="F1258" s="22" t="n"/>
      <c r="G1258" s="22" t="n"/>
      <c r="H1258" s="22" t="n"/>
      <c r="I1258" s="22" t="n"/>
      <c r="J1258" s="22" t="n"/>
      <c r="K1258" s="22" t="n"/>
      <c r="L1258" s="22" t="n"/>
      <c r="M1258" s="22">
        <f>IF(K1258="Override",L1258,IF(K1258="Accept suggestion",F1258,IF(K1258="No change (same URL)",A1258,"")))</f>
        <v/>
      </c>
      <c r="N1258" s="22">
        <f>IF(A1258="","",IF(K1258="410 Gone","410",IF(K1258="404","404",IF(K1258="No change (same URL)","none",IF(M1258="","","301")))))</f>
        <v/>
      </c>
      <c r="O1258" s="22">
        <f>IF(A1258="","",IFERROR(MID(A1258,FIND("/",A1258,FIND("//",A1258)+2),2000),A1258))</f>
        <v/>
      </c>
      <c r="P1258" s="22">
        <f>IF(OR(O1258="",N1258="",N1258="none",N1258="404"),"",IF(N1258="410","Redirect gone "&amp;O1258,"Redirect "&amp;N1258&amp;" "&amp;O1258&amp;" "&amp;M1258))</f>
        <v/>
      </c>
      <c r="Q1258" s="22" t="n"/>
      <c r="R1258" s="22" t="n"/>
      <c r="S1258" s="22" t="n"/>
      <c r="T1258" s="4">
        <f>IF(A1258="","",TRIM(IF(K1258="","Needs decision; ","")&amp;IF(AND(K1258="Accept suggestion",F1258=""),"No suggestion to accept; ","")&amp;IF(AND(K1258="Override",L1258=""),"Override URL missing; ","")&amp;IF(AND(K1258="Accept suggestion",N(G1258)&lt;$G$2),"Below your threshold; ","")&amp;IF(AND(M1258&lt;&gt;"",M1258=A1258,K1258&lt;&gt;"No change (same URL)"),"Redirects to itself; ","")&amp;IF(AND(M1258&lt;&gt;"",OR(M1258="/",AND(LEFT(M1258,4)="http",OR((LEN(M1258)-LEN(SUBSTITUTE(M1258,"/","")))=2,AND((LEN(M1258)-LEN(SUBSTITUTE(M1258,"/","")))=3,RIGHT(M1258,1)="/"))))),"Home page redirect; ","")&amp;IF(N(R1258)&gt;1,"Chain; ","")&amp;IF(S1258="No","Destination not 200; ","")))</f>
        <v/>
      </c>
      <c r="U1258" s="22" t="n"/>
      <c r="V1258" s="22" t="n"/>
      <c r="W1258" s="4" t="n"/>
    </row>
    <row r="1259">
      <c r="A1259" s="22" t="n"/>
      <c r="B1259" s="22" t="n"/>
      <c r="C1259" s="22" t="n"/>
      <c r="D1259" s="22">
        <f>IF(A1259="","",IF(OR(N(B1259)&gt;=$C$2,N(C1259)&gt;=$E$2),"High",IF(OR(N(B1259)&gt;0,N(C1259)&gt;0),"Medium","Low")))</f>
        <v/>
      </c>
      <c r="E1259" s="22" t="n"/>
      <c r="F1259" s="22" t="n"/>
      <c r="G1259" s="22" t="n"/>
      <c r="H1259" s="22" t="n"/>
      <c r="I1259" s="22" t="n"/>
      <c r="J1259" s="22" t="n"/>
      <c r="K1259" s="22" t="n"/>
      <c r="L1259" s="22" t="n"/>
      <c r="M1259" s="22">
        <f>IF(K1259="Override",L1259,IF(K1259="Accept suggestion",F1259,IF(K1259="No change (same URL)",A1259,"")))</f>
        <v/>
      </c>
      <c r="N1259" s="22">
        <f>IF(A1259="","",IF(K1259="410 Gone","410",IF(K1259="404","404",IF(K1259="No change (same URL)","none",IF(M1259="","","301")))))</f>
        <v/>
      </c>
      <c r="O1259" s="22">
        <f>IF(A1259="","",IFERROR(MID(A1259,FIND("/",A1259,FIND("//",A1259)+2),2000),A1259))</f>
        <v/>
      </c>
      <c r="P1259" s="22">
        <f>IF(OR(O1259="",N1259="",N1259="none",N1259="404"),"",IF(N1259="410","Redirect gone "&amp;O1259,"Redirect "&amp;N1259&amp;" "&amp;O1259&amp;" "&amp;M1259))</f>
        <v/>
      </c>
      <c r="Q1259" s="22" t="n"/>
      <c r="R1259" s="22" t="n"/>
      <c r="S1259" s="22" t="n"/>
      <c r="T1259" s="4">
        <f>IF(A1259="","",TRIM(IF(K1259="","Needs decision; ","")&amp;IF(AND(K1259="Accept suggestion",F1259=""),"No suggestion to accept; ","")&amp;IF(AND(K1259="Override",L1259=""),"Override URL missing; ","")&amp;IF(AND(K1259="Accept suggestion",N(G1259)&lt;$G$2),"Below your threshold; ","")&amp;IF(AND(M1259&lt;&gt;"",M1259=A1259,K1259&lt;&gt;"No change (same URL)"),"Redirects to itself; ","")&amp;IF(AND(M1259&lt;&gt;"",OR(M1259="/",AND(LEFT(M1259,4)="http",OR((LEN(M1259)-LEN(SUBSTITUTE(M1259,"/","")))=2,AND((LEN(M1259)-LEN(SUBSTITUTE(M1259,"/","")))=3,RIGHT(M1259,1)="/"))))),"Home page redirect; ","")&amp;IF(N(R1259)&gt;1,"Chain; ","")&amp;IF(S1259="No","Destination not 200; ","")))</f>
        <v/>
      </c>
      <c r="U1259" s="22" t="n"/>
      <c r="V1259" s="22" t="n"/>
      <c r="W1259" s="4" t="n"/>
    </row>
    <row r="1260">
      <c r="A1260" s="22" t="n"/>
      <c r="B1260" s="22" t="n"/>
      <c r="C1260" s="22" t="n"/>
      <c r="D1260" s="22">
        <f>IF(A1260="","",IF(OR(N(B1260)&gt;=$C$2,N(C1260)&gt;=$E$2),"High",IF(OR(N(B1260)&gt;0,N(C1260)&gt;0),"Medium","Low")))</f>
        <v/>
      </c>
      <c r="E1260" s="22" t="n"/>
      <c r="F1260" s="22" t="n"/>
      <c r="G1260" s="22" t="n"/>
      <c r="H1260" s="22" t="n"/>
      <c r="I1260" s="22" t="n"/>
      <c r="J1260" s="22" t="n"/>
      <c r="K1260" s="22" t="n"/>
      <c r="L1260" s="22" t="n"/>
      <c r="M1260" s="22">
        <f>IF(K1260="Override",L1260,IF(K1260="Accept suggestion",F1260,IF(K1260="No change (same URL)",A1260,"")))</f>
        <v/>
      </c>
      <c r="N1260" s="22">
        <f>IF(A1260="","",IF(K1260="410 Gone","410",IF(K1260="404","404",IF(K1260="No change (same URL)","none",IF(M1260="","","301")))))</f>
        <v/>
      </c>
      <c r="O1260" s="22">
        <f>IF(A1260="","",IFERROR(MID(A1260,FIND("/",A1260,FIND("//",A1260)+2),2000),A1260))</f>
        <v/>
      </c>
      <c r="P1260" s="22">
        <f>IF(OR(O1260="",N1260="",N1260="none",N1260="404"),"",IF(N1260="410","Redirect gone "&amp;O1260,"Redirect "&amp;N1260&amp;" "&amp;O1260&amp;" "&amp;M1260))</f>
        <v/>
      </c>
      <c r="Q1260" s="22" t="n"/>
      <c r="R1260" s="22" t="n"/>
      <c r="S1260" s="22" t="n"/>
      <c r="T1260" s="4">
        <f>IF(A1260="","",TRIM(IF(K1260="","Needs decision; ","")&amp;IF(AND(K1260="Accept suggestion",F1260=""),"No suggestion to accept; ","")&amp;IF(AND(K1260="Override",L1260=""),"Override URL missing; ","")&amp;IF(AND(K1260="Accept suggestion",N(G1260)&lt;$G$2),"Below your threshold; ","")&amp;IF(AND(M1260&lt;&gt;"",M1260=A1260,K1260&lt;&gt;"No change (same URL)"),"Redirects to itself; ","")&amp;IF(AND(M1260&lt;&gt;"",OR(M1260="/",AND(LEFT(M1260,4)="http",OR((LEN(M1260)-LEN(SUBSTITUTE(M1260,"/","")))=2,AND((LEN(M1260)-LEN(SUBSTITUTE(M1260,"/","")))=3,RIGHT(M1260,1)="/"))))),"Home page redirect; ","")&amp;IF(N(R1260)&gt;1,"Chain; ","")&amp;IF(S1260="No","Destination not 200; ","")))</f>
        <v/>
      </c>
      <c r="U1260" s="22" t="n"/>
      <c r="V1260" s="22" t="n"/>
      <c r="W1260" s="4" t="n"/>
    </row>
    <row r="1261">
      <c r="A1261" s="22" t="n"/>
      <c r="B1261" s="22" t="n"/>
      <c r="C1261" s="22" t="n"/>
      <c r="D1261" s="22">
        <f>IF(A1261="","",IF(OR(N(B1261)&gt;=$C$2,N(C1261)&gt;=$E$2),"High",IF(OR(N(B1261)&gt;0,N(C1261)&gt;0),"Medium","Low")))</f>
        <v/>
      </c>
      <c r="E1261" s="22" t="n"/>
      <c r="F1261" s="22" t="n"/>
      <c r="G1261" s="22" t="n"/>
      <c r="H1261" s="22" t="n"/>
      <c r="I1261" s="22" t="n"/>
      <c r="J1261" s="22" t="n"/>
      <c r="K1261" s="22" t="n"/>
      <c r="L1261" s="22" t="n"/>
      <c r="M1261" s="22">
        <f>IF(K1261="Override",L1261,IF(K1261="Accept suggestion",F1261,IF(K1261="No change (same URL)",A1261,"")))</f>
        <v/>
      </c>
      <c r="N1261" s="22">
        <f>IF(A1261="","",IF(K1261="410 Gone","410",IF(K1261="404","404",IF(K1261="No change (same URL)","none",IF(M1261="","","301")))))</f>
        <v/>
      </c>
      <c r="O1261" s="22">
        <f>IF(A1261="","",IFERROR(MID(A1261,FIND("/",A1261,FIND("//",A1261)+2),2000),A1261))</f>
        <v/>
      </c>
      <c r="P1261" s="22">
        <f>IF(OR(O1261="",N1261="",N1261="none",N1261="404"),"",IF(N1261="410","Redirect gone "&amp;O1261,"Redirect "&amp;N1261&amp;" "&amp;O1261&amp;" "&amp;M1261))</f>
        <v/>
      </c>
      <c r="Q1261" s="22" t="n"/>
      <c r="R1261" s="22" t="n"/>
      <c r="S1261" s="22" t="n"/>
      <c r="T1261" s="4">
        <f>IF(A1261="","",TRIM(IF(K1261="","Needs decision; ","")&amp;IF(AND(K1261="Accept suggestion",F1261=""),"No suggestion to accept; ","")&amp;IF(AND(K1261="Override",L1261=""),"Override URL missing; ","")&amp;IF(AND(K1261="Accept suggestion",N(G1261)&lt;$G$2),"Below your threshold; ","")&amp;IF(AND(M1261&lt;&gt;"",M1261=A1261,K1261&lt;&gt;"No change (same URL)"),"Redirects to itself; ","")&amp;IF(AND(M1261&lt;&gt;"",OR(M1261="/",AND(LEFT(M1261,4)="http",OR((LEN(M1261)-LEN(SUBSTITUTE(M1261,"/","")))=2,AND((LEN(M1261)-LEN(SUBSTITUTE(M1261,"/","")))=3,RIGHT(M1261,1)="/"))))),"Home page redirect; ","")&amp;IF(N(R1261)&gt;1,"Chain; ","")&amp;IF(S1261="No","Destination not 200; ","")))</f>
        <v/>
      </c>
      <c r="U1261" s="22" t="n"/>
      <c r="V1261" s="22" t="n"/>
      <c r="W1261" s="4" t="n"/>
    </row>
    <row r="1262">
      <c r="A1262" s="22" t="n"/>
      <c r="B1262" s="22" t="n"/>
      <c r="C1262" s="22" t="n"/>
      <c r="D1262" s="22">
        <f>IF(A1262="","",IF(OR(N(B1262)&gt;=$C$2,N(C1262)&gt;=$E$2),"High",IF(OR(N(B1262)&gt;0,N(C1262)&gt;0),"Medium","Low")))</f>
        <v/>
      </c>
      <c r="E1262" s="22" t="n"/>
      <c r="F1262" s="22" t="n"/>
      <c r="G1262" s="22" t="n"/>
      <c r="H1262" s="22" t="n"/>
      <c r="I1262" s="22" t="n"/>
      <c r="J1262" s="22" t="n"/>
      <c r="K1262" s="22" t="n"/>
      <c r="L1262" s="22" t="n"/>
      <c r="M1262" s="22">
        <f>IF(K1262="Override",L1262,IF(K1262="Accept suggestion",F1262,IF(K1262="No change (same URL)",A1262,"")))</f>
        <v/>
      </c>
      <c r="N1262" s="22">
        <f>IF(A1262="","",IF(K1262="410 Gone","410",IF(K1262="404","404",IF(K1262="No change (same URL)","none",IF(M1262="","","301")))))</f>
        <v/>
      </c>
      <c r="O1262" s="22">
        <f>IF(A1262="","",IFERROR(MID(A1262,FIND("/",A1262,FIND("//",A1262)+2),2000),A1262))</f>
        <v/>
      </c>
      <c r="P1262" s="22">
        <f>IF(OR(O1262="",N1262="",N1262="none",N1262="404"),"",IF(N1262="410","Redirect gone "&amp;O1262,"Redirect "&amp;N1262&amp;" "&amp;O1262&amp;" "&amp;M1262))</f>
        <v/>
      </c>
      <c r="Q1262" s="22" t="n"/>
      <c r="R1262" s="22" t="n"/>
      <c r="S1262" s="22" t="n"/>
      <c r="T1262" s="4">
        <f>IF(A1262="","",TRIM(IF(K1262="","Needs decision; ","")&amp;IF(AND(K1262="Accept suggestion",F1262=""),"No suggestion to accept; ","")&amp;IF(AND(K1262="Override",L1262=""),"Override URL missing; ","")&amp;IF(AND(K1262="Accept suggestion",N(G1262)&lt;$G$2),"Below your threshold; ","")&amp;IF(AND(M1262&lt;&gt;"",M1262=A1262,K1262&lt;&gt;"No change (same URL)"),"Redirects to itself; ","")&amp;IF(AND(M1262&lt;&gt;"",OR(M1262="/",AND(LEFT(M1262,4)="http",OR((LEN(M1262)-LEN(SUBSTITUTE(M1262,"/","")))=2,AND((LEN(M1262)-LEN(SUBSTITUTE(M1262,"/","")))=3,RIGHT(M1262,1)="/"))))),"Home page redirect; ","")&amp;IF(N(R1262)&gt;1,"Chain; ","")&amp;IF(S1262="No","Destination not 200; ","")))</f>
        <v/>
      </c>
      <c r="U1262" s="22" t="n"/>
      <c r="V1262" s="22" t="n"/>
      <c r="W1262" s="4" t="n"/>
    </row>
    <row r="1263">
      <c r="A1263" s="22" t="n"/>
      <c r="B1263" s="22" t="n"/>
      <c r="C1263" s="22" t="n"/>
      <c r="D1263" s="22">
        <f>IF(A1263="","",IF(OR(N(B1263)&gt;=$C$2,N(C1263)&gt;=$E$2),"High",IF(OR(N(B1263)&gt;0,N(C1263)&gt;0),"Medium","Low")))</f>
        <v/>
      </c>
      <c r="E1263" s="22" t="n"/>
      <c r="F1263" s="22" t="n"/>
      <c r="G1263" s="22" t="n"/>
      <c r="H1263" s="22" t="n"/>
      <c r="I1263" s="22" t="n"/>
      <c r="J1263" s="22" t="n"/>
      <c r="K1263" s="22" t="n"/>
      <c r="L1263" s="22" t="n"/>
      <c r="M1263" s="22">
        <f>IF(K1263="Override",L1263,IF(K1263="Accept suggestion",F1263,IF(K1263="No change (same URL)",A1263,"")))</f>
        <v/>
      </c>
      <c r="N1263" s="22">
        <f>IF(A1263="","",IF(K1263="410 Gone","410",IF(K1263="404","404",IF(K1263="No change (same URL)","none",IF(M1263="","","301")))))</f>
        <v/>
      </c>
      <c r="O1263" s="22">
        <f>IF(A1263="","",IFERROR(MID(A1263,FIND("/",A1263,FIND("//",A1263)+2),2000),A1263))</f>
        <v/>
      </c>
      <c r="P1263" s="22">
        <f>IF(OR(O1263="",N1263="",N1263="none",N1263="404"),"",IF(N1263="410","Redirect gone "&amp;O1263,"Redirect "&amp;N1263&amp;" "&amp;O1263&amp;" "&amp;M1263))</f>
        <v/>
      </c>
      <c r="Q1263" s="22" t="n"/>
      <c r="R1263" s="22" t="n"/>
      <c r="S1263" s="22" t="n"/>
      <c r="T1263" s="4">
        <f>IF(A1263="","",TRIM(IF(K1263="","Needs decision; ","")&amp;IF(AND(K1263="Accept suggestion",F1263=""),"No suggestion to accept; ","")&amp;IF(AND(K1263="Override",L1263=""),"Override URL missing; ","")&amp;IF(AND(K1263="Accept suggestion",N(G1263)&lt;$G$2),"Below your threshold; ","")&amp;IF(AND(M1263&lt;&gt;"",M1263=A1263,K1263&lt;&gt;"No change (same URL)"),"Redirects to itself; ","")&amp;IF(AND(M1263&lt;&gt;"",OR(M1263="/",AND(LEFT(M1263,4)="http",OR((LEN(M1263)-LEN(SUBSTITUTE(M1263,"/","")))=2,AND((LEN(M1263)-LEN(SUBSTITUTE(M1263,"/","")))=3,RIGHT(M1263,1)="/"))))),"Home page redirect; ","")&amp;IF(N(R1263)&gt;1,"Chain; ","")&amp;IF(S1263="No","Destination not 200; ","")))</f>
        <v/>
      </c>
      <c r="U1263" s="22" t="n"/>
      <c r="V1263" s="22" t="n"/>
      <c r="W1263" s="4" t="n"/>
    </row>
    <row r="1264">
      <c r="A1264" s="22" t="n"/>
      <c r="B1264" s="22" t="n"/>
      <c r="C1264" s="22" t="n"/>
      <c r="D1264" s="22">
        <f>IF(A1264="","",IF(OR(N(B1264)&gt;=$C$2,N(C1264)&gt;=$E$2),"High",IF(OR(N(B1264)&gt;0,N(C1264)&gt;0),"Medium","Low")))</f>
        <v/>
      </c>
      <c r="E1264" s="22" t="n"/>
      <c r="F1264" s="22" t="n"/>
      <c r="G1264" s="22" t="n"/>
      <c r="H1264" s="22" t="n"/>
      <c r="I1264" s="22" t="n"/>
      <c r="J1264" s="22" t="n"/>
      <c r="K1264" s="22" t="n"/>
      <c r="L1264" s="22" t="n"/>
      <c r="M1264" s="22">
        <f>IF(K1264="Override",L1264,IF(K1264="Accept suggestion",F1264,IF(K1264="No change (same URL)",A1264,"")))</f>
        <v/>
      </c>
      <c r="N1264" s="22">
        <f>IF(A1264="","",IF(K1264="410 Gone","410",IF(K1264="404","404",IF(K1264="No change (same URL)","none",IF(M1264="","","301")))))</f>
        <v/>
      </c>
      <c r="O1264" s="22">
        <f>IF(A1264="","",IFERROR(MID(A1264,FIND("/",A1264,FIND("//",A1264)+2),2000),A1264))</f>
        <v/>
      </c>
      <c r="P1264" s="22">
        <f>IF(OR(O1264="",N1264="",N1264="none",N1264="404"),"",IF(N1264="410","Redirect gone "&amp;O1264,"Redirect "&amp;N1264&amp;" "&amp;O1264&amp;" "&amp;M1264))</f>
        <v/>
      </c>
      <c r="Q1264" s="22" t="n"/>
      <c r="R1264" s="22" t="n"/>
      <c r="S1264" s="22" t="n"/>
      <c r="T1264" s="4">
        <f>IF(A1264="","",TRIM(IF(K1264="","Needs decision; ","")&amp;IF(AND(K1264="Accept suggestion",F1264=""),"No suggestion to accept; ","")&amp;IF(AND(K1264="Override",L1264=""),"Override URL missing; ","")&amp;IF(AND(K1264="Accept suggestion",N(G1264)&lt;$G$2),"Below your threshold; ","")&amp;IF(AND(M1264&lt;&gt;"",M1264=A1264,K1264&lt;&gt;"No change (same URL)"),"Redirects to itself; ","")&amp;IF(AND(M1264&lt;&gt;"",OR(M1264="/",AND(LEFT(M1264,4)="http",OR((LEN(M1264)-LEN(SUBSTITUTE(M1264,"/","")))=2,AND((LEN(M1264)-LEN(SUBSTITUTE(M1264,"/","")))=3,RIGHT(M1264,1)="/"))))),"Home page redirect; ","")&amp;IF(N(R1264)&gt;1,"Chain; ","")&amp;IF(S1264="No","Destination not 200; ","")))</f>
        <v/>
      </c>
      <c r="U1264" s="22" t="n"/>
      <c r="V1264" s="22" t="n"/>
      <c r="W1264" s="4" t="n"/>
    </row>
    <row r="1265">
      <c r="A1265" s="22" t="n"/>
      <c r="B1265" s="22" t="n"/>
      <c r="C1265" s="22" t="n"/>
      <c r="D1265" s="22">
        <f>IF(A1265="","",IF(OR(N(B1265)&gt;=$C$2,N(C1265)&gt;=$E$2),"High",IF(OR(N(B1265)&gt;0,N(C1265)&gt;0),"Medium","Low")))</f>
        <v/>
      </c>
      <c r="E1265" s="22" t="n"/>
      <c r="F1265" s="22" t="n"/>
      <c r="G1265" s="22" t="n"/>
      <c r="H1265" s="22" t="n"/>
      <c r="I1265" s="22" t="n"/>
      <c r="J1265" s="22" t="n"/>
      <c r="K1265" s="22" t="n"/>
      <c r="L1265" s="22" t="n"/>
      <c r="M1265" s="22">
        <f>IF(K1265="Override",L1265,IF(K1265="Accept suggestion",F1265,IF(K1265="No change (same URL)",A1265,"")))</f>
        <v/>
      </c>
      <c r="N1265" s="22">
        <f>IF(A1265="","",IF(K1265="410 Gone","410",IF(K1265="404","404",IF(K1265="No change (same URL)","none",IF(M1265="","","301")))))</f>
        <v/>
      </c>
      <c r="O1265" s="22">
        <f>IF(A1265="","",IFERROR(MID(A1265,FIND("/",A1265,FIND("//",A1265)+2),2000),A1265))</f>
        <v/>
      </c>
      <c r="P1265" s="22">
        <f>IF(OR(O1265="",N1265="",N1265="none",N1265="404"),"",IF(N1265="410","Redirect gone "&amp;O1265,"Redirect "&amp;N1265&amp;" "&amp;O1265&amp;" "&amp;M1265))</f>
        <v/>
      </c>
      <c r="Q1265" s="22" t="n"/>
      <c r="R1265" s="22" t="n"/>
      <c r="S1265" s="22" t="n"/>
      <c r="T1265" s="4">
        <f>IF(A1265="","",TRIM(IF(K1265="","Needs decision; ","")&amp;IF(AND(K1265="Accept suggestion",F1265=""),"No suggestion to accept; ","")&amp;IF(AND(K1265="Override",L1265=""),"Override URL missing; ","")&amp;IF(AND(K1265="Accept suggestion",N(G1265)&lt;$G$2),"Below your threshold; ","")&amp;IF(AND(M1265&lt;&gt;"",M1265=A1265,K1265&lt;&gt;"No change (same URL)"),"Redirects to itself; ","")&amp;IF(AND(M1265&lt;&gt;"",OR(M1265="/",AND(LEFT(M1265,4)="http",OR((LEN(M1265)-LEN(SUBSTITUTE(M1265,"/","")))=2,AND((LEN(M1265)-LEN(SUBSTITUTE(M1265,"/","")))=3,RIGHT(M1265,1)="/"))))),"Home page redirect; ","")&amp;IF(N(R1265)&gt;1,"Chain; ","")&amp;IF(S1265="No","Destination not 200; ","")))</f>
        <v/>
      </c>
      <c r="U1265" s="22" t="n"/>
      <c r="V1265" s="22" t="n"/>
      <c r="W1265" s="4" t="n"/>
    </row>
    <row r="1266">
      <c r="A1266" s="22" t="n"/>
      <c r="B1266" s="22" t="n"/>
      <c r="C1266" s="22" t="n"/>
      <c r="D1266" s="22">
        <f>IF(A1266="","",IF(OR(N(B1266)&gt;=$C$2,N(C1266)&gt;=$E$2),"High",IF(OR(N(B1266)&gt;0,N(C1266)&gt;0),"Medium","Low")))</f>
        <v/>
      </c>
      <c r="E1266" s="22" t="n"/>
      <c r="F1266" s="22" t="n"/>
      <c r="G1266" s="22" t="n"/>
      <c r="H1266" s="22" t="n"/>
      <c r="I1266" s="22" t="n"/>
      <c r="J1266" s="22" t="n"/>
      <c r="K1266" s="22" t="n"/>
      <c r="L1266" s="22" t="n"/>
      <c r="M1266" s="22">
        <f>IF(K1266="Override",L1266,IF(K1266="Accept suggestion",F1266,IF(K1266="No change (same URL)",A1266,"")))</f>
        <v/>
      </c>
      <c r="N1266" s="22">
        <f>IF(A1266="","",IF(K1266="410 Gone","410",IF(K1266="404","404",IF(K1266="No change (same URL)","none",IF(M1266="","","301")))))</f>
        <v/>
      </c>
      <c r="O1266" s="22">
        <f>IF(A1266="","",IFERROR(MID(A1266,FIND("/",A1266,FIND("//",A1266)+2),2000),A1266))</f>
        <v/>
      </c>
      <c r="P1266" s="22">
        <f>IF(OR(O1266="",N1266="",N1266="none",N1266="404"),"",IF(N1266="410","Redirect gone "&amp;O1266,"Redirect "&amp;N1266&amp;" "&amp;O1266&amp;" "&amp;M1266))</f>
        <v/>
      </c>
      <c r="Q1266" s="22" t="n"/>
      <c r="R1266" s="22" t="n"/>
      <c r="S1266" s="22" t="n"/>
      <c r="T1266" s="4">
        <f>IF(A1266="","",TRIM(IF(K1266="","Needs decision; ","")&amp;IF(AND(K1266="Accept suggestion",F1266=""),"No suggestion to accept; ","")&amp;IF(AND(K1266="Override",L1266=""),"Override URL missing; ","")&amp;IF(AND(K1266="Accept suggestion",N(G1266)&lt;$G$2),"Below your threshold; ","")&amp;IF(AND(M1266&lt;&gt;"",M1266=A1266,K1266&lt;&gt;"No change (same URL)"),"Redirects to itself; ","")&amp;IF(AND(M1266&lt;&gt;"",OR(M1266="/",AND(LEFT(M1266,4)="http",OR((LEN(M1266)-LEN(SUBSTITUTE(M1266,"/","")))=2,AND((LEN(M1266)-LEN(SUBSTITUTE(M1266,"/","")))=3,RIGHT(M1266,1)="/"))))),"Home page redirect; ","")&amp;IF(N(R1266)&gt;1,"Chain; ","")&amp;IF(S1266="No","Destination not 200; ","")))</f>
        <v/>
      </c>
      <c r="U1266" s="22" t="n"/>
      <c r="V1266" s="22" t="n"/>
      <c r="W1266" s="4" t="n"/>
    </row>
    <row r="1267">
      <c r="A1267" s="22" t="n"/>
      <c r="B1267" s="22" t="n"/>
      <c r="C1267" s="22" t="n"/>
      <c r="D1267" s="22">
        <f>IF(A1267="","",IF(OR(N(B1267)&gt;=$C$2,N(C1267)&gt;=$E$2),"High",IF(OR(N(B1267)&gt;0,N(C1267)&gt;0),"Medium","Low")))</f>
        <v/>
      </c>
      <c r="E1267" s="22" t="n"/>
      <c r="F1267" s="22" t="n"/>
      <c r="G1267" s="22" t="n"/>
      <c r="H1267" s="22" t="n"/>
      <c r="I1267" s="22" t="n"/>
      <c r="J1267" s="22" t="n"/>
      <c r="K1267" s="22" t="n"/>
      <c r="L1267" s="22" t="n"/>
      <c r="M1267" s="22">
        <f>IF(K1267="Override",L1267,IF(K1267="Accept suggestion",F1267,IF(K1267="No change (same URL)",A1267,"")))</f>
        <v/>
      </c>
      <c r="N1267" s="22">
        <f>IF(A1267="","",IF(K1267="410 Gone","410",IF(K1267="404","404",IF(K1267="No change (same URL)","none",IF(M1267="","","301")))))</f>
        <v/>
      </c>
      <c r="O1267" s="22">
        <f>IF(A1267="","",IFERROR(MID(A1267,FIND("/",A1267,FIND("//",A1267)+2),2000),A1267))</f>
        <v/>
      </c>
      <c r="P1267" s="22">
        <f>IF(OR(O1267="",N1267="",N1267="none",N1267="404"),"",IF(N1267="410","Redirect gone "&amp;O1267,"Redirect "&amp;N1267&amp;" "&amp;O1267&amp;" "&amp;M1267))</f>
        <v/>
      </c>
      <c r="Q1267" s="22" t="n"/>
      <c r="R1267" s="22" t="n"/>
      <c r="S1267" s="22" t="n"/>
      <c r="T1267" s="4">
        <f>IF(A1267="","",TRIM(IF(K1267="","Needs decision; ","")&amp;IF(AND(K1267="Accept suggestion",F1267=""),"No suggestion to accept; ","")&amp;IF(AND(K1267="Override",L1267=""),"Override URL missing; ","")&amp;IF(AND(K1267="Accept suggestion",N(G1267)&lt;$G$2),"Below your threshold; ","")&amp;IF(AND(M1267&lt;&gt;"",M1267=A1267,K1267&lt;&gt;"No change (same URL)"),"Redirects to itself; ","")&amp;IF(AND(M1267&lt;&gt;"",OR(M1267="/",AND(LEFT(M1267,4)="http",OR((LEN(M1267)-LEN(SUBSTITUTE(M1267,"/","")))=2,AND((LEN(M1267)-LEN(SUBSTITUTE(M1267,"/","")))=3,RIGHT(M1267,1)="/"))))),"Home page redirect; ","")&amp;IF(N(R1267)&gt;1,"Chain; ","")&amp;IF(S1267="No","Destination not 200; ","")))</f>
        <v/>
      </c>
      <c r="U1267" s="22" t="n"/>
      <c r="V1267" s="22" t="n"/>
      <c r="W1267" s="4" t="n"/>
    </row>
    <row r="1268">
      <c r="A1268" s="22" t="n"/>
      <c r="B1268" s="22" t="n"/>
      <c r="C1268" s="22" t="n"/>
      <c r="D1268" s="22">
        <f>IF(A1268="","",IF(OR(N(B1268)&gt;=$C$2,N(C1268)&gt;=$E$2),"High",IF(OR(N(B1268)&gt;0,N(C1268)&gt;0),"Medium","Low")))</f>
        <v/>
      </c>
      <c r="E1268" s="22" t="n"/>
      <c r="F1268" s="22" t="n"/>
      <c r="G1268" s="22" t="n"/>
      <c r="H1268" s="22" t="n"/>
      <c r="I1268" s="22" t="n"/>
      <c r="J1268" s="22" t="n"/>
      <c r="K1268" s="22" t="n"/>
      <c r="L1268" s="22" t="n"/>
      <c r="M1268" s="22">
        <f>IF(K1268="Override",L1268,IF(K1268="Accept suggestion",F1268,IF(K1268="No change (same URL)",A1268,"")))</f>
        <v/>
      </c>
      <c r="N1268" s="22">
        <f>IF(A1268="","",IF(K1268="410 Gone","410",IF(K1268="404","404",IF(K1268="No change (same URL)","none",IF(M1268="","","301")))))</f>
        <v/>
      </c>
      <c r="O1268" s="22">
        <f>IF(A1268="","",IFERROR(MID(A1268,FIND("/",A1268,FIND("//",A1268)+2),2000),A1268))</f>
        <v/>
      </c>
      <c r="P1268" s="22">
        <f>IF(OR(O1268="",N1268="",N1268="none",N1268="404"),"",IF(N1268="410","Redirect gone "&amp;O1268,"Redirect "&amp;N1268&amp;" "&amp;O1268&amp;" "&amp;M1268))</f>
        <v/>
      </c>
      <c r="Q1268" s="22" t="n"/>
      <c r="R1268" s="22" t="n"/>
      <c r="S1268" s="22" t="n"/>
      <c r="T1268" s="4">
        <f>IF(A1268="","",TRIM(IF(K1268="","Needs decision; ","")&amp;IF(AND(K1268="Accept suggestion",F1268=""),"No suggestion to accept; ","")&amp;IF(AND(K1268="Override",L1268=""),"Override URL missing; ","")&amp;IF(AND(K1268="Accept suggestion",N(G1268)&lt;$G$2),"Below your threshold; ","")&amp;IF(AND(M1268&lt;&gt;"",M1268=A1268,K1268&lt;&gt;"No change (same URL)"),"Redirects to itself; ","")&amp;IF(AND(M1268&lt;&gt;"",OR(M1268="/",AND(LEFT(M1268,4)="http",OR((LEN(M1268)-LEN(SUBSTITUTE(M1268,"/","")))=2,AND((LEN(M1268)-LEN(SUBSTITUTE(M1268,"/","")))=3,RIGHT(M1268,1)="/"))))),"Home page redirect; ","")&amp;IF(N(R1268)&gt;1,"Chain; ","")&amp;IF(S1268="No","Destination not 200; ","")))</f>
        <v/>
      </c>
      <c r="U1268" s="22" t="n"/>
      <c r="V1268" s="22" t="n"/>
      <c r="W1268" s="4" t="n"/>
    </row>
    <row r="1269">
      <c r="A1269" s="22" t="n"/>
      <c r="B1269" s="22" t="n"/>
      <c r="C1269" s="22" t="n"/>
      <c r="D1269" s="22">
        <f>IF(A1269="","",IF(OR(N(B1269)&gt;=$C$2,N(C1269)&gt;=$E$2),"High",IF(OR(N(B1269)&gt;0,N(C1269)&gt;0),"Medium","Low")))</f>
        <v/>
      </c>
      <c r="E1269" s="22" t="n"/>
      <c r="F1269" s="22" t="n"/>
      <c r="G1269" s="22" t="n"/>
      <c r="H1269" s="22" t="n"/>
      <c r="I1269" s="22" t="n"/>
      <c r="J1269" s="22" t="n"/>
      <c r="K1269" s="22" t="n"/>
      <c r="L1269" s="22" t="n"/>
      <c r="M1269" s="22">
        <f>IF(K1269="Override",L1269,IF(K1269="Accept suggestion",F1269,IF(K1269="No change (same URL)",A1269,"")))</f>
        <v/>
      </c>
      <c r="N1269" s="22">
        <f>IF(A1269="","",IF(K1269="410 Gone","410",IF(K1269="404","404",IF(K1269="No change (same URL)","none",IF(M1269="","","301")))))</f>
        <v/>
      </c>
      <c r="O1269" s="22">
        <f>IF(A1269="","",IFERROR(MID(A1269,FIND("/",A1269,FIND("//",A1269)+2),2000),A1269))</f>
        <v/>
      </c>
      <c r="P1269" s="22">
        <f>IF(OR(O1269="",N1269="",N1269="none",N1269="404"),"",IF(N1269="410","Redirect gone "&amp;O1269,"Redirect "&amp;N1269&amp;" "&amp;O1269&amp;" "&amp;M1269))</f>
        <v/>
      </c>
      <c r="Q1269" s="22" t="n"/>
      <c r="R1269" s="22" t="n"/>
      <c r="S1269" s="22" t="n"/>
      <c r="T1269" s="4">
        <f>IF(A1269="","",TRIM(IF(K1269="","Needs decision; ","")&amp;IF(AND(K1269="Accept suggestion",F1269=""),"No suggestion to accept; ","")&amp;IF(AND(K1269="Override",L1269=""),"Override URL missing; ","")&amp;IF(AND(K1269="Accept suggestion",N(G1269)&lt;$G$2),"Below your threshold; ","")&amp;IF(AND(M1269&lt;&gt;"",M1269=A1269,K1269&lt;&gt;"No change (same URL)"),"Redirects to itself; ","")&amp;IF(AND(M1269&lt;&gt;"",OR(M1269="/",AND(LEFT(M1269,4)="http",OR((LEN(M1269)-LEN(SUBSTITUTE(M1269,"/","")))=2,AND((LEN(M1269)-LEN(SUBSTITUTE(M1269,"/","")))=3,RIGHT(M1269,1)="/"))))),"Home page redirect; ","")&amp;IF(N(R1269)&gt;1,"Chain; ","")&amp;IF(S1269="No","Destination not 200; ","")))</f>
        <v/>
      </c>
      <c r="U1269" s="22" t="n"/>
      <c r="V1269" s="22" t="n"/>
      <c r="W1269" s="4" t="n"/>
    </row>
    <row r="1270">
      <c r="A1270" s="22" t="n"/>
      <c r="B1270" s="22" t="n"/>
      <c r="C1270" s="22" t="n"/>
      <c r="D1270" s="22">
        <f>IF(A1270="","",IF(OR(N(B1270)&gt;=$C$2,N(C1270)&gt;=$E$2),"High",IF(OR(N(B1270)&gt;0,N(C1270)&gt;0),"Medium","Low")))</f>
        <v/>
      </c>
      <c r="E1270" s="22" t="n"/>
      <c r="F1270" s="22" t="n"/>
      <c r="G1270" s="22" t="n"/>
      <c r="H1270" s="22" t="n"/>
      <c r="I1270" s="22" t="n"/>
      <c r="J1270" s="22" t="n"/>
      <c r="K1270" s="22" t="n"/>
      <c r="L1270" s="22" t="n"/>
      <c r="M1270" s="22">
        <f>IF(K1270="Override",L1270,IF(K1270="Accept suggestion",F1270,IF(K1270="No change (same URL)",A1270,"")))</f>
        <v/>
      </c>
      <c r="N1270" s="22">
        <f>IF(A1270="","",IF(K1270="410 Gone","410",IF(K1270="404","404",IF(K1270="No change (same URL)","none",IF(M1270="","","301")))))</f>
        <v/>
      </c>
      <c r="O1270" s="22">
        <f>IF(A1270="","",IFERROR(MID(A1270,FIND("/",A1270,FIND("//",A1270)+2),2000),A1270))</f>
        <v/>
      </c>
      <c r="P1270" s="22">
        <f>IF(OR(O1270="",N1270="",N1270="none",N1270="404"),"",IF(N1270="410","Redirect gone "&amp;O1270,"Redirect "&amp;N1270&amp;" "&amp;O1270&amp;" "&amp;M1270))</f>
        <v/>
      </c>
      <c r="Q1270" s="22" t="n"/>
      <c r="R1270" s="22" t="n"/>
      <c r="S1270" s="22" t="n"/>
      <c r="T1270" s="4">
        <f>IF(A1270="","",TRIM(IF(K1270="","Needs decision; ","")&amp;IF(AND(K1270="Accept suggestion",F1270=""),"No suggestion to accept; ","")&amp;IF(AND(K1270="Override",L1270=""),"Override URL missing; ","")&amp;IF(AND(K1270="Accept suggestion",N(G1270)&lt;$G$2),"Below your threshold; ","")&amp;IF(AND(M1270&lt;&gt;"",M1270=A1270,K1270&lt;&gt;"No change (same URL)"),"Redirects to itself; ","")&amp;IF(AND(M1270&lt;&gt;"",OR(M1270="/",AND(LEFT(M1270,4)="http",OR((LEN(M1270)-LEN(SUBSTITUTE(M1270,"/","")))=2,AND((LEN(M1270)-LEN(SUBSTITUTE(M1270,"/","")))=3,RIGHT(M1270,1)="/"))))),"Home page redirect; ","")&amp;IF(N(R1270)&gt;1,"Chain; ","")&amp;IF(S1270="No","Destination not 200; ","")))</f>
        <v/>
      </c>
      <c r="U1270" s="22" t="n"/>
      <c r="V1270" s="22" t="n"/>
      <c r="W1270" s="4" t="n"/>
    </row>
    <row r="1271">
      <c r="A1271" s="22" t="n"/>
      <c r="B1271" s="22" t="n"/>
      <c r="C1271" s="22" t="n"/>
      <c r="D1271" s="22">
        <f>IF(A1271="","",IF(OR(N(B1271)&gt;=$C$2,N(C1271)&gt;=$E$2),"High",IF(OR(N(B1271)&gt;0,N(C1271)&gt;0),"Medium","Low")))</f>
        <v/>
      </c>
      <c r="E1271" s="22" t="n"/>
      <c r="F1271" s="22" t="n"/>
      <c r="G1271" s="22" t="n"/>
      <c r="H1271" s="22" t="n"/>
      <c r="I1271" s="22" t="n"/>
      <c r="J1271" s="22" t="n"/>
      <c r="K1271" s="22" t="n"/>
      <c r="L1271" s="22" t="n"/>
      <c r="M1271" s="22">
        <f>IF(K1271="Override",L1271,IF(K1271="Accept suggestion",F1271,IF(K1271="No change (same URL)",A1271,"")))</f>
        <v/>
      </c>
      <c r="N1271" s="22">
        <f>IF(A1271="","",IF(K1271="410 Gone","410",IF(K1271="404","404",IF(K1271="No change (same URL)","none",IF(M1271="","","301")))))</f>
        <v/>
      </c>
      <c r="O1271" s="22">
        <f>IF(A1271="","",IFERROR(MID(A1271,FIND("/",A1271,FIND("//",A1271)+2),2000),A1271))</f>
        <v/>
      </c>
      <c r="P1271" s="22">
        <f>IF(OR(O1271="",N1271="",N1271="none",N1271="404"),"",IF(N1271="410","Redirect gone "&amp;O1271,"Redirect "&amp;N1271&amp;" "&amp;O1271&amp;" "&amp;M1271))</f>
        <v/>
      </c>
      <c r="Q1271" s="22" t="n"/>
      <c r="R1271" s="22" t="n"/>
      <c r="S1271" s="22" t="n"/>
      <c r="T1271" s="4">
        <f>IF(A1271="","",TRIM(IF(K1271="","Needs decision; ","")&amp;IF(AND(K1271="Accept suggestion",F1271=""),"No suggestion to accept; ","")&amp;IF(AND(K1271="Override",L1271=""),"Override URL missing; ","")&amp;IF(AND(K1271="Accept suggestion",N(G1271)&lt;$G$2),"Below your threshold; ","")&amp;IF(AND(M1271&lt;&gt;"",M1271=A1271,K1271&lt;&gt;"No change (same URL)"),"Redirects to itself; ","")&amp;IF(AND(M1271&lt;&gt;"",OR(M1271="/",AND(LEFT(M1271,4)="http",OR((LEN(M1271)-LEN(SUBSTITUTE(M1271,"/","")))=2,AND((LEN(M1271)-LEN(SUBSTITUTE(M1271,"/","")))=3,RIGHT(M1271,1)="/"))))),"Home page redirect; ","")&amp;IF(N(R1271)&gt;1,"Chain; ","")&amp;IF(S1271="No","Destination not 200; ","")))</f>
        <v/>
      </c>
      <c r="U1271" s="22" t="n"/>
      <c r="V1271" s="22" t="n"/>
      <c r="W1271" s="4" t="n"/>
    </row>
    <row r="1272">
      <c r="A1272" s="22" t="n"/>
      <c r="B1272" s="22" t="n"/>
      <c r="C1272" s="22" t="n"/>
      <c r="D1272" s="22">
        <f>IF(A1272="","",IF(OR(N(B1272)&gt;=$C$2,N(C1272)&gt;=$E$2),"High",IF(OR(N(B1272)&gt;0,N(C1272)&gt;0),"Medium","Low")))</f>
        <v/>
      </c>
      <c r="E1272" s="22" t="n"/>
      <c r="F1272" s="22" t="n"/>
      <c r="G1272" s="22" t="n"/>
      <c r="H1272" s="22" t="n"/>
      <c r="I1272" s="22" t="n"/>
      <c r="J1272" s="22" t="n"/>
      <c r="K1272" s="22" t="n"/>
      <c r="L1272" s="22" t="n"/>
      <c r="M1272" s="22">
        <f>IF(K1272="Override",L1272,IF(K1272="Accept suggestion",F1272,IF(K1272="No change (same URL)",A1272,"")))</f>
        <v/>
      </c>
      <c r="N1272" s="22">
        <f>IF(A1272="","",IF(K1272="410 Gone","410",IF(K1272="404","404",IF(K1272="No change (same URL)","none",IF(M1272="","","301")))))</f>
        <v/>
      </c>
      <c r="O1272" s="22">
        <f>IF(A1272="","",IFERROR(MID(A1272,FIND("/",A1272,FIND("//",A1272)+2),2000),A1272))</f>
        <v/>
      </c>
      <c r="P1272" s="22">
        <f>IF(OR(O1272="",N1272="",N1272="none",N1272="404"),"",IF(N1272="410","Redirect gone "&amp;O1272,"Redirect "&amp;N1272&amp;" "&amp;O1272&amp;" "&amp;M1272))</f>
        <v/>
      </c>
      <c r="Q1272" s="22" t="n"/>
      <c r="R1272" s="22" t="n"/>
      <c r="S1272" s="22" t="n"/>
      <c r="T1272" s="4">
        <f>IF(A1272="","",TRIM(IF(K1272="","Needs decision; ","")&amp;IF(AND(K1272="Accept suggestion",F1272=""),"No suggestion to accept; ","")&amp;IF(AND(K1272="Override",L1272=""),"Override URL missing; ","")&amp;IF(AND(K1272="Accept suggestion",N(G1272)&lt;$G$2),"Below your threshold; ","")&amp;IF(AND(M1272&lt;&gt;"",M1272=A1272,K1272&lt;&gt;"No change (same URL)"),"Redirects to itself; ","")&amp;IF(AND(M1272&lt;&gt;"",OR(M1272="/",AND(LEFT(M1272,4)="http",OR((LEN(M1272)-LEN(SUBSTITUTE(M1272,"/","")))=2,AND((LEN(M1272)-LEN(SUBSTITUTE(M1272,"/","")))=3,RIGHT(M1272,1)="/"))))),"Home page redirect; ","")&amp;IF(N(R1272)&gt;1,"Chain; ","")&amp;IF(S1272="No","Destination not 200; ","")))</f>
        <v/>
      </c>
      <c r="U1272" s="22" t="n"/>
      <c r="V1272" s="22" t="n"/>
      <c r="W1272" s="4" t="n"/>
    </row>
    <row r="1273">
      <c r="A1273" s="22" t="n"/>
      <c r="B1273" s="22" t="n"/>
      <c r="C1273" s="22" t="n"/>
      <c r="D1273" s="22">
        <f>IF(A1273="","",IF(OR(N(B1273)&gt;=$C$2,N(C1273)&gt;=$E$2),"High",IF(OR(N(B1273)&gt;0,N(C1273)&gt;0),"Medium","Low")))</f>
        <v/>
      </c>
      <c r="E1273" s="22" t="n"/>
      <c r="F1273" s="22" t="n"/>
      <c r="G1273" s="22" t="n"/>
      <c r="H1273" s="22" t="n"/>
      <c r="I1273" s="22" t="n"/>
      <c r="J1273" s="22" t="n"/>
      <c r="K1273" s="22" t="n"/>
      <c r="L1273" s="22" t="n"/>
      <c r="M1273" s="22">
        <f>IF(K1273="Override",L1273,IF(K1273="Accept suggestion",F1273,IF(K1273="No change (same URL)",A1273,"")))</f>
        <v/>
      </c>
      <c r="N1273" s="22">
        <f>IF(A1273="","",IF(K1273="410 Gone","410",IF(K1273="404","404",IF(K1273="No change (same URL)","none",IF(M1273="","","301")))))</f>
        <v/>
      </c>
      <c r="O1273" s="22">
        <f>IF(A1273="","",IFERROR(MID(A1273,FIND("/",A1273,FIND("//",A1273)+2),2000),A1273))</f>
        <v/>
      </c>
      <c r="P1273" s="22">
        <f>IF(OR(O1273="",N1273="",N1273="none",N1273="404"),"",IF(N1273="410","Redirect gone "&amp;O1273,"Redirect "&amp;N1273&amp;" "&amp;O1273&amp;" "&amp;M1273))</f>
        <v/>
      </c>
      <c r="Q1273" s="22" t="n"/>
      <c r="R1273" s="22" t="n"/>
      <c r="S1273" s="22" t="n"/>
      <c r="T1273" s="4">
        <f>IF(A1273="","",TRIM(IF(K1273="","Needs decision; ","")&amp;IF(AND(K1273="Accept suggestion",F1273=""),"No suggestion to accept; ","")&amp;IF(AND(K1273="Override",L1273=""),"Override URL missing; ","")&amp;IF(AND(K1273="Accept suggestion",N(G1273)&lt;$G$2),"Below your threshold; ","")&amp;IF(AND(M1273&lt;&gt;"",M1273=A1273,K1273&lt;&gt;"No change (same URL)"),"Redirects to itself; ","")&amp;IF(AND(M1273&lt;&gt;"",OR(M1273="/",AND(LEFT(M1273,4)="http",OR((LEN(M1273)-LEN(SUBSTITUTE(M1273,"/","")))=2,AND((LEN(M1273)-LEN(SUBSTITUTE(M1273,"/","")))=3,RIGHT(M1273,1)="/"))))),"Home page redirect; ","")&amp;IF(N(R1273)&gt;1,"Chain; ","")&amp;IF(S1273="No","Destination not 200; ","")))</f>
        <v/>
      </c>
      <c r="U1273" s="22" t="n"/>
      <c r="V1273" s="22" t="n"/>
      <c r="W1273" s="4" t="n"/>
    </row>
    <row r="1274">
      <c r="A1274" s="22" t="n"/>
      <c r="B1274" s="22" t="n"/>
      <c r="C1274" s="22" t="n"/>
      <c r="D1274" s="22">
        <f>IF(A1274="","",IF(OR(N(B1274)&gt;=$C$2,N(C1274)&gt;=$E$2),"High",IF(OR(N(B1274)&gt;0,N(C1274)&gt;0),"Medium","Low")))</f>
        <v/>
      </c>
      <c r="E1274" s="22" t="n"/>
      <c r="F1274" s="22" t="n"/>
      <c r="G1274" s="22" t="n"/>
      <c r="H1274" s="22" t="n"/>
      <c r="I1274" s="22" t="n"/>
      <c r="J1274" s="22" t="n"/>
      <c r="K1274" s="22" t="n"/>
      <c r="L1274" s="22" t="n"/>
      <c r="M1274" s="22">
        <f>IF(K1274="Override",L1274,IF(K1274="Accept suggestion",F1274,IF(K1274="No change (same URL)",A1274,"")))</f>
        <v/>
      </c>
      <c r="N1274" s="22">
        <f>IF(A1274="","",IF(K1274="410 Gone","410",IF(K1274="404","404",IF(K1274="No change (same URL)","none",IF(M1274="","","301")))))</f>
        <v/>
      </c>
      <c r="O1274" s="22">
        <f>IF(A1274="","",IFERROR(MID(A1274,FIND("/",A1274,FIND("//",A1274)+2),2000),A1274))</f>
        <v/>
      </c>
      <c r="P1274" s="22">
        <f>IF(OR(O1274="",N1274="",N1274="none",N1274="404"),"",IF(N1274="410","Redirect gone "&amp;O1274,"Redirect "&amp;N1274&amp;" "&amp;O1274&amp;" "&amp;M1274))</f>
        <v/>
      </c>
      <c r="Q1274" s="22" t="n"/>
      <c r="R1274" s="22" t="n"/>
      <c r="S1274" s="22" t="n"/>
      <c r="T1274" s="4">
        <f>IF(A1274="","",TRIM(IF(K1274="","Needs decision; ","")&amp;IF(AND(K1274="Accept suggestion",F1274=""),"No suggestion to accept; ","")&amp;IF(AND(K1274="Override",L1274=""),"Override URL missing; ","")&amp;IF(AND(K1274="Accept suggestion",N(G1274)&lt;$G$2),"Below your threshold; ","")&amp;IF(AND(M1274&lt;&gt;"",M1274=A1274,K1274&lt;&gt;"No change (same URL)"),"Redirects to itself; ","")&amp;IF(AND(M1274&lt;&gt;"",OR(M1274="/",AND(LEFT(M1274,4)="http",OR((LEN(M1274)-LEN(SUBSTITUTE(M1274,"/","")))=2,AND((LEN(M1274)-LEN(SUBSTITUTE(M1274,"/","")))=3,RIGHT(M1274,1)="/"))))),"Home page redirect; ","")&amp;IF(N(R1274)&gt;1,"Chain; ","")&amp;IF(S1274="No","Destination not 200; ","")))</f>
        <v/>
      </c>
      <c r="U1274" s="22" t="n"/>
      <c r="V1274" s="22" t="n"/>
      <c r="W1274" s="4" t="n"/>
    </row>
    <row r="1275">
      <c r="A1275" s="22" t="n"/>
      <c r="B1275" s="22" t="n"/>
      <c r="C1275" s="22" t="n"/>
      <c r="D1275" s="22">
        <f>IF(A1275="","",IF(OR(N(B1275)&gt;=$C$2,N(C1275)&gt;=$E$2),"High",IF(OR(N(B1275)&gt;0,N(C1275)&gt;0),"Medium","Low")))</f>
        <v/>
      </c>
      <c r="E1275" s="22" t="n"/>
      <c r="F1275" s="22" t="n"/>
      <c r="G1275" s="22" t="n"/>
      <c r="H1275" s="22" t="n"/>
      <c r="I1275" s="22" t="n"/>
      <c r="J1275" s="22" t="n"/>
      <c r="K1275" s="22" t="n"/>
      <c r="L1275" s="22" t="n"/>
      <c r="M1275" s="22">
        <f>IF(K1275="Override",L1275,IF(K1275="Accept suggestion",F1275,IF(K1275="No change (same URL)",A1275,"")))</f>
        <v/>
      </c>
      <c r="N1275" s="22">
        <f>IF(A1275="","",IF(K1275="410 Gone","410",IF(K1275="404","404",IF(K1275="No change (same URL)","none",IF(M1275="","","301")))))</f>
        <v/>
      </c>
      <c r="O1275" s="22">
        <f>IF(A1275="","",IFERROR(MID(A1275,FIND("/",A1275,FIND("//",A1275)+2),2000),A1275))</f>
        <v/>
      </c>
      <c r="P1275" s="22">
        <f>IF(OR(O1275="",N1275="",N1275="none",N1275="404"),"",IF(N1275="410","Redirect gone "&amp;O1275,"Redirect "&amp;N1275&amp;" "&amp;O1275&amp;" "&amp;M1275))</f>
        <v/>
      </c>
      <c r="Q1275" s="22" t="n"/>
      <c r="R1275" s="22" t="n"/>
      <c r="S1275" s="22" t="n"/>
      <c r="T1275" s="4">
        <f>IF(A1275="","",TRIM(IF(K1275="","Needs decision; ","")&amp;IF(AND(K1275="Accept suggestion",F1275=""),"No suggestion to accept; ","")&amp;IF(AND(K1275="Override",L1275=""),"Override URL missing; ","")&amp;IF(AND(K1275="Accept suggestion",N(G1275)&lt;$G$2),"Below your threshold; ","")&amp;IF(AND(M1275&lt;&gt;"",M1275=A1275,K1275&lt;&gt;"No change (same URL)"),"Redirects to itself; ","")&amp;IF(AND(M1275&lt;&gt;"",OR(M1275="/",AND(LEFT(M1275,4)="http",OR((LEN(M1275)-LEN(SUBSTITUTE(M1275,"/","")))=2,AND((LEN(M1275)-LEN(SUBSTITUTE(M1275,"/","")))=3,RIGHT(M1275,1)="/"))))),"Home page redirect; ","")&amp;IF(N(R1275)&gt;1,"Chain; ","")&amp;IF(S1275="No","Destination not 200; ","")))</f>
        <v/>
      </c>
      <c r="U1275" s="22" t="n"/>
      <c r="V1275" s="22" t="n"/>
      <c r="W1275" s="4" t="n"/>
    </row>
    <row r="1276">
      <c r="A1276" s="22" t="n"/>
      <c r="B1276" s="22" t="n"/>
      <c r="C1276" s="22" t="n"/>
      <c r="D1276" s="22">
        <f>IF(A1276="","",IF(OR(N(B1276)&gt;=$C$2,N(C1276)&gt;=$E$2),"High",IF(OR(N(B1276)&gt;0,N(C1276)&gt;0),"Medium","Low")))</f>
        <v/>
      </c>
      <c r="E1276" s="22" t="n"/>
      <c r="F1276" s="22" t="n"/>
      <c r="G1276" s="22" t="n"/>
      <c r="H1276" s="22" t="n"/>
      <c r="I1276" s="22" t="n"/>
      <c r="J1276" s="22" t="n"/>
      <c r="K1276" s="22" t="n"/>
      <c r="L1276" s="22" t="n"/>
      <c r="M1276" s="22">
        <f>IF(K1276="Override",L1276,IF(K1276="Accept suggestion",F1276,IF(K1276="No change (same URL)",A1276,"")))</f>
        <v/>
      </c>
      <c r="N1276" s="22">
        <f>IF(A1276="","",IF(K1276="410 Gone","410",IF(K1276="404","404",IF(K1276="No change (same URL)","none",IF(M1276="","","301")))))</f>
        <v/>
      </c>
      <c r="O1276" s="22">
        <f>IF(A1276="","",IFERROR(MID(A1276,FIND("/",A1276,FIND("//",A1276)+2),2000),A1276))</f>
        <v/>
      </c>
      <c r="P1276" s="22">
        <f>IF(OR(O1276="",N1276="",N1276="none",N1276="404"),"",IF(N1276="410","Redirect gone "&amp;O1276,"Redirect "&amp;N1276&amp;" "&amp;O1276&amp;" "&amp;M1276))</f>
        <v/>
      </c>
      <c r="Q1276" s="22" t="n"/>
      <c r="R1276" s="22" t="n"/>
      <c r="S1276" s="22" t="n"/>
      <c r="T1276" s="4">
        <f>IF(A1276="","",TRIM(IF(K1276="","Needs decision; ","")&amp;IF(AND(K1276="Accept suggestion",F1276=""),"No suggestion to accept; ","")&amp;IF(AND(K1276="Override",L1276=""),"Override URL missing; ","")&amp;IF(AND(K1276="Accept suggestion",N(G1276)&lt;$G$2),"Below your threshold; ","")&amp;IF(AND(M1276&lt;&gt;"",M1276=A1276,K1276&lt;&gt;"No change (same URL)"),"Redirects to itself; ","")&amp;IF(AND(M1276&lt;&gt;"",OR(M1276="/",AND(LEFT(M1276,4)="http",OR((LEN(M1276)-LEN(SUBSTITUTE(M1276,"/","")))=2,AND((LEN(M1276)-LEN(SUBSTITUTE(M1276,"/","")))=3,RIGHT(M1276,1)="/"))))),"Home page redirect; ","")&amp;IF(N(R1276)&gt;1,"Chain; ","")&amp;IF(S1276="No","Destination not 200; ","")))</f>
        <v/>
      </c>
      <c r="U1276" s="22" t="n"/>
      <c r="V1276" s="22" t="n"/>
      <c r="W1276" s="4" t="n"/>
    </row>
    <row r="1277">
      <c r="A1277" s="22" t="n"/>
      <c r="B1277" s="22" t="n"/>
      <c r="C1277" s="22" t="n"/>
      <c r="D1277" s="22">
        <f>IF(A1277="","",IF(OR(N(B1277)&gt;=$C$2,N(C1277)&gt;=$E$2),"High",IF(OR(N(B1277)&gt;0,N(C1277)&gt;0),"Medium","Low")))</f>
        <v/>
      </c>
      <c r="E1277" s="22" t="n"/>
      <c r="F1277" s="22" t="n"/>
      <c r="G1277" s="22" t="n"/>
      <c r="H1277" s="22" t="n"/>
      <c r="I1277" s="22" t="n"/>
      <c r="J1277" s="22" t="n"/>
      <c r="K1277" s="22" t="n"/>
      <c r="L1277" s="22" t="n"/>
      <c r="M1277" s="22">
        <f>IF(K1277="Override",L1277,IF(K1277="Accept suggestion",F1277,IF(K1277="No change (same URL)",A1277,"")))</f>
        <v/>
      </c>
      <c r="N1277" s="22">
        <f>IF(A1277="","",IF(K1277="410 Gone","410",IF(K1277="404","404",IF(K1277="No change (same URL)","none",IF(M1277="","","301")))))</f>
        <v/>
      </c>
      <c r="O1277" s="22">
        <f>IF(A1277="","",IFERROR(MID(A1277,FIND("/",A1277,FIND("//",A1277)+2),2000),A1277))</f>
        <v/>
      </c>
      <c r="P1277" s="22">
        <f>IF(OR(O1277="",N1277="",N1277="none",N1277="404"),"",IF(N1277="410","Redirect gone "&amp;O1277,"Redirect "&amp;N1277&amp;" "&amp;O1277&amp;" "&amp;M1277))</f>
        <v/>
      </c>
      <c r="Q1277" s="22" t="n"/>
      <c r="R1277" s="22" t="n"/>
      <c r="S1277" s="22" t="n"/>
      <c r="T1277" s="4">
        <f>IF(A1277="","",TRIM(IF(K1277="","Needs decision; ","")&amp;IF(AND(K1277="Accept suggestion",F1277=""),"No suggestion to accept; ","")&amp;IF(AND(K1277="Override",L1277=""),"Override URL missing; ","")&amp;IF(AND(K1277="Accept suggestion",N(G1277)&lt;$G$2),"Below your threshold; ","")&amp;IF(AND(M1277&lt;&gt;"",M1277=A1277,K1277&lt;&gt;"No change (same URL)"),"Redirects to itself; ","")&amp;IF(AND(M1277&lt;&gt;"",OR(M1277="/",AND(LEFT(M1277,4)="http",OR((LEN(M1277)-LEN(SUBSTITUTE(M1277,"/","")))=2,AND((LEN(M1277)-LEN(SUBSTITUTE(M1277,"/","")))=3,RIGHT(M1277,1)="/"))))),"Home page redirect; ","")&amp;IF(N(R1277)&gt;1,"Chain; ","")&amp;IF(S1277="No","Destination not 200; ","")))</f>
        <v/>
      </c>
      <c r="U1277" s="22" t="n"/>
      <c r="V1277" s="22" t="n"/>
      <c r="W1277" s="4" t="n"/>
    </row>
    <row r="1278">
      <c r="A1278" s="22" t="n"/>
      <c r="B1278" s="22" t="n"/>
      <c r="C1278" s="22" t="n"/>
      <c r="D1278" s="22">
        <f>IF(A1278="","",IF(OR(N(B1278)&gt;=$C$2,N(C1278)&gt;=$E$2),"High",IF(OR(N(B1278)&gt;0,N(C1278)&gt;0),"Medium","Low")))</f>
        <v/>
      </c>
      <c r="E1278" s="22" t="n"/>
      <c r="F1278" s="22" t="n"/>
      <c r="G1278" s="22" t="n"/>
      <c r="H1278" s="22" t="n"/>
      <c r="I1278" s="22" t="n"/>
      <c r="J1278" s="22" t="n"/>
      <c r="K1278" s="22" t="n"/>
      <c r="L1278" s="22" t="n"/>
      <c r="M1278" s="22">
        <f>IF(K1278="Override",L1278,IF(K1278="Accept suggestion",F1278,IF(K1278="No change (same URL)",A1278,"")))</f>
        <v/>
      </c>
      <c r="N1278" s="22">
        <f>IF(A1278="","",IF(K1278="410 Gone","410",IF(K1278="404","404",IF(K1278="No change (same URL)","none",IF(M1278="","","301")))))</f>
        <v/>
      </c>
      <c r="O1278" s="22">
        <f>IF(A1278="","",IFERROR(MID(A1278,FIND("/",A1278,FIND("//",A1278)+2),2000),A1278))</f>
        <v/>
      </c>
      <c r="P1278" s="22">
        <f>IF(OR(O1278="",N1278="",N1278="none",N1278="404"),"",IF(N1278="410","Redirect gone "&amp;O1278,"Redirect "&amp;N1278&amp;" "&amp;O1278&amp;" "&amp;M1278))</f>
        <v/>
      </c>
      <c r="Q1278" s="22" t="n"/>
      <c r="R1278" s="22" t="n"/>
      <c r="S1278" s="22" t="n"/>
      <c r="T1278" s="4">
        <f>IF(A1278="","",TRIM(IF(K1278="","Needs decision; ","")&amp;IF(AND(K1278="Accept suggestion",F1278=""),"No suggestion to accept; ","")&amp;IF(AND(K1278="Override",L1278=""),"Override URL missing; ","")&amp;IF(AND(K1278="Accept suggestion",N(G1278)&lt;$G$2),"Below your threshold; ","")&amp;IF(AND(M1278&lt;&gt;"",M1278=A1278,K1278&lt;&gt;"No change (same URL)"),"Redirects to itself; ","")&amp;IF(AND(M1278&lt;&gt;"",OR(M1278="/",AND(LEFT(M1278,4)="http",OR((LEN(M1278)-LEN(SUBSTITUTE(M1278,"/","")))=2,AND((LEN(M1278)-LEN(SUBSTITUTE(M1278,"/","")))=3,RIGHT(M1278,1)="/"))))),"Home page redirect; ","")&amp;IF(N(R1278)&gt;1,"Chain; ","")&amp;IF(S1278="No","Destination not 200; ","")))</f>
        <v/>
      </c>
      <c r="U1278" s="22" t="n"/>
      <c r="V1278" s="22" t="n"/>
      <c r="W1278" s="4" t="n"/>
    </row>
    <row r="1279">
      <c r="A1279" s="22" t="n"/>
      <c r="B1279" s="22" t="n"/>
      <c r="C1279" s="22" t="n"/>
      <c r="D1279" s="22">
        <f>IF(A1279="","",IF(OR(N(B1279)&gt;=$C$2,N(C1279)&gt;=$E$2),"High",IF(OR(N(B1279)&gt;0,N(C1279)&gt;0),"Medium","Low")))</f>
        <v/>
      </c>
      <c r="E1279" s="22" t="n"/>
      <c r="F1279" s="22" t="n"/>
      <c r="G1279" s="22" t="n"/>
      <c r="H1279" s="22" t="n"/>
      <c r="I1279" s="22" t="n"/>
      <c r="J1279" s="22" t="n"/>
      <c r="K1279" s="22" t="n"/>
      <c r="L1279" s="22" t="n"/>
      <c r="M1279" s="22">
        <f>IF(K1279="Override",L1279,IF(K1279="Accept suggestion",F1279,IF(K1279="No change (same URL)",A1279,"")))</f>
        <v/>
      </c>
      <c r="N1279" s="22">
        <f>IF(A1279="","",IF(K1279="410 Gone","410",IF(K1279="404","404",IF(K1279="No change (same URL)","none",IF(M1279="","","301")))))</f>
        <v/>
      </c>
      <c r="O1279" s="22">
        <f>IF(A1279="","",IFERROR(MID(A1279,FIND("/",A1279,FIND("//",A1279)+2),2000),A1279))</f>
        <v/>
      </c>
      <c r="P1279" s="22">
        <f>IF(OR(O1279="",N1279="",N1279="none",N1279="404"),"",IF(N1279="410","Redirect gone "&amp;O1279,"Redirect "&amp;N1279&amp;" "&amp;O1279&amp;" "&amp;M1279))</f>
        <v/>
      </c>
      <c r="Q1279" s="22" t="n"/>
      <c r="R1279" s="22" t="n"/>
      <c r="S1279" s="22" t="n"/>
      <c r="T1279" s="4">
        <f>IF(A1279="","",TRIM(IF(K1279="","Needs decision; ","")&amp;IF(AND(K1279="Accept suggestion",F1279=""),"No suggestion to accept; ","")&amp;IF(AND(K1279="Override",L1279=""),"Override URL missing; ","")&amp;IF(AND(K1279="Accept suggestion",N(G1279)&lt;$G$2),"Below your threshold; ","")&amp;IF(AND(M1279&lt;&gt;"",M1279=A1279,K1279&lt;&gt;"No change (same URL)"),"Redirects to itself; ","")&amp;IF(AND(M1279&lt;&gt;"",OR(M1279="/",AND(LEFT(M1279,4)="http",OR((LEN(M1279)-LEN(SUBSTITUTE(M1279,"/","")))=2,AND((LEN(M1279)-LEN(SUBSTITUTE(M1279,"/","")))=3,RIGHT(M1279,1)="/"))))),"Home page redirect; ","")&amp;IF(N(R1279)&gt;1,"Chain; ","")&amp;IF(S1279="No","Destination not 200; ","")))</f>
        <v/>
      </c>
      <c r="U1279" s="22" t="n"/>
      <c r="V1279" s="22" t="n"/>
      <c r="W1279" s="4" t="n"/>
    </row>
    <row r="1280">
      <c r="A1280" s="22" t="n"/>
      <c r="B1280" s="22" t="n"/>
      <c r="C1280" s="22" t="n"/>
      <c r="D1280" s="22">
        <f>IF(A1280="","",IF(OR(N(B1280)&gt;=$C$2,N(C1280)&gt;=$E$2),"High",IF(OR(N(B1280)&gt;0,N(C1280)&gt;0),"Medium","Low")))</f>
        <v/>
      </c>
      <c r="E1280" s="22" t="n"/>
      <c r="F1280" s="22" t="n"/>
      <c r="G1280" s="22" t="n"/>
      <c r="H1280" s="22" t="n"/>
      <c r="I1280" s="22" t="n"/>
      <c r="J1280" s="22" t="n"/>
      <c r="K1280" s="22" t="n"/>
      <c r="L1280" s="22" t="n"/>
      <c r="M1280" s="22">
        <f>IF(K1280="Override",L1280,IF(K1280="Accept suggestion",F1280,IF(K1280="No change (same URL)",A1280,"")))</f>
        <v/>
      </c>
      <c r="N1280" s="22">
        <f>IF(A1280="","",IF(K1280="410 Gone","410",IF(K1280="404","404",IF(K1280="No change (same URL)","none",IF(M1280="","","301")))))</f>
        <v/>
      </c>
      <c r="O1280" s="22">
        <f>IF(A1280="","",IFERROR(MID(A1280,FIND("/",A1280,FIND("//",A1280)+2),2000),A1280))</f>
        <v/>
      </c>
      <c r="P1280" s="22">
        <f>IF(OR(O1280="",N1280="",N1280="none",N1280="404"),"",IF(N1280="410","Redirect gone "&amp;O1280,"Redirect "&amp;N1280&amp;" "&amp;O1280&amp;" "&amp;M1280))</f>
        <v/>
      </c>
      <c r="Q1280" s="22" t="n"/>
      <c r="R1280" s="22" t="n"/>
      <c r="S1280" s="22" t="n"/>
      <c r="T1280" s="4">
        <f>IF(A1280="","",TRIM(IF(K1280="","Needs decision; ","")&amp;IF(AND(K1280="Accept suggestion",F1280=""),"No suggestion to accept; ","")&amp;IF(AND(K1280="Override",L1280=""),"Override URL missing; ","")&amp;IF(AND(K1280="Accept suggestion",N(G1280)&lt;$G$2),"Below your threshold; ","")&amp;IF(AND(M1280&lt;&gt;"",M1280=A1280,K1280&lt;&gt;"No change (same URL)"),"Redirects to itself; ","")&amp;IF(AND(M1280&lt;&gt;"",OR(M1280="/",AND(LEFT(M1280,4)="http",OR((LEN(M1280)-LEN(SUBSTITUTE(M1280,"/","")))=2,AND((LEN(M1280)-LEN(SUBSTITUTE(M1280,"/","")))=3,RIGHT(M1280,1)="/"))))),"Home page redirect; ","")&amp;IF(N(R1280)&gt;1,"Chain; ","")&amp;IF(S1280="No","Destination not 200; ","")))</f>
        <v/>
      </c>
      <c r="U1280" s="22" t="n"/>
      <c r="V1280" s="22" t="n"/>
      <c r="W1280" s="4" t="n"/>
    </row>
    <row r="1281">
      <c r="A1281" s="22" t="n"/>
      <c r="B1281" s="22" t="n"/>
      <c r="C1281" s="22" t="n"/>
      <c r="D1281" s="22">
        <f>IF(A1281="","",IF(OR(N(B1281)&gt;=$C$2,N(C1281)&gt;=$E$2),"High",IF(OR(N(B1281)&gt;0,N(C1281)&gt;0),"Medium","Low")))</f>
        <v/>
      </c>
      <c r="E1281" s="22" t="n"/>
      <c r="F1281" s="22" t="n"/>
      <c r="G1281" s="22" t="n"/>
      <c r="H1281" s="22" t="n"/>
      <c r="I1281" s="22" t="n"/>
      <c r="J1281" s="22" t="n"/>
      <c r="K1281" s="22" t="n"/>
      <c r="L1281" s="22" t="n"/>
      <c r="M1281" s="22">
        <f>IF(K1281="Override",L1281,IF(K1281="Accept suggestion",F1281,IF(K1281="No change (same URL)",A1281,"")))</f>
        <v/>
      </c>
      <c r="N1281" s="22">
        <f>IF(A1281="","",IF(K1281="410 Gone","410",IF(K1281="404","404",IF(K1281="No change (same URL)","none",IF(M1281="","","301")))))</f>
        <v/>
      </c>
      <c r="O1281" s="22">
        <f>IF(A1281="","",IFERROR(MID(A1281,FIND("/",A1281,FIND("//",A1281)+2),2000),A1281))</f>
        <v/>
      </c>
      <c r="P1281" s="22">
        <f>IF(OR(O1281="",N1281="",N1281="none",N1281="404"),"",IF(N1281="410","Redirect gone "&amp;O1281,"Redirect "&amp;N1281&amp;" "&amp;O1281&amp;" "&amp;M1281))</f>
        <v/>
      </c>
      <c r="Q1281" s="22" t="n"/>
      <c r="R1281" s="22" t="n"/>
      <c r="S1281" s="22" t="n"/>
      <c r="T1281" s="4">
        <f>IF(A1281="","",TRIM(IF(K1281="","Needs decision; ","")&amp;IF(AND(K1281="Accept suggestion",F1281=""),"No suggestion to accept; ","")&amp;IF(AND(K1281="Override",L1281=""),"Override URL missing; ","")&amp;IF(AND(K1281="Accept suggestion",N(G1281)&lt;$G$2),"Below your threshold; ","")&amp;IF(AND(M1281&lt;&gt;"",M1281=A1281,K1281&lt;&gt;"No change (same URL)"),"Redirects to itself; ","")&amp;IF(AND(M1281&lt;&gt;"",OR(M1281="/",AND(LEFT(M1281,4)="http",OR((LEN(M1281)-LEN(SUBSTITUTE(M1281,"/","")))=2,AND((LEN(M1281)-LEN(SUBSTITUTE(M1281,"/","")))=3,RIGHT(M1281,1)="/"))))),"Home page redirect; ","")&amp;IF(N(R1281)&gt;1,"Chain; ","")&amp;IF(S1281="No","Destination not 200; ","")))</f>
        <v/>
      </c>
      <c r="U1281" s="22" t="n"/>
      <c r="V1281" s="22" t="n"/>
      <c r="W1281" s="4" t="n"/>
    </row>
    <row r="1282">
      <c r="A1282" s="22" t="n"/>
      <c r="B1282" s="22" t="n"/>
      <c r="C1282" s="22" t="n"/>
      <c r="D1282" s="22">
        <f>IF(A1282="","",IF(OR(N(B1282)&gt;=$C$2,N(C1282)&gt;=$E$2),"High",IF(OR(N(B1282)&gt;0,N(C1282)&gt;0),"Medium","Low")))</f>
        <v/>
      </c>
      <c r="E1282" s="22" t="n"/>
      <c r="F1282" s="22" t="n"/>
      <c r="G1282" s="22" t="n"/>
      <c r="H1282" s="22" t="n"/>
      <c r="I1282" s="22" t="n"/>
      <c r="J1282" s="22" t="n"/>
      <c r="K1282" s="22" t="n"/>
      <c r="L1282" s="22" t="n"/>
      <c r="M1282" s="22">
        <f>IF(K1282="Override",L1282,IF(K1282="Accept suggestion",F1282,IF(K1282="No change (same URL)",A1282,"")))</f>
        <v/>
      </c>
      <c r="N1282" s="22">
        <f>IF(A1282="","",IF(K1282="410 Gone","410",IF(K1282="404","404",IF(K1282="No change (same URL)","none",IF(M1282="","","301")))))</f>
        <v/>
      </c>
      <c r="O1282" s="22">
        <f>IF(A1282="","",IFERROR(MID(A1282,FIND("/",A1282,FIND("//",A1282)+2),2000),A1282))</f>
        <v/>
      </c>
      <c r="P1282" s="22">
        <f>IF(OR(O1282="",N1282="",N1282="none",N1282="404"),"",IF(N1282="410","Redirect gone "&amp;O1282,"Redirect "&amp;N1282&amp;" "&amp;O1282&amp;" "&amp;M1282))</f>
        <v/>
      </c>
      <c r="Q1282" s="22" t="n"/>
      <c r="R1282" s="22" t="n"/>
      <c r="S1282" s="22" t="n"/>
      <c r="T1282" s="4">
        <f>IF(A1282="","",TRIM(IF(K1282="","Needs decision; ","")&amp;IF(AND(K1282="Accept suggestion",F1282=""),"No suggestion to accept; ","")&amp;IF(AND(K1282="Override",L1282=""),"Override URL missing; ","")&amp;IF(AND(K1282="Accept suggestion",N(G1282)&lt;$G$2),"Below your threshold; ","")&amp;IF(AND(M1282&lt;&gt;"",M1282=A1282,K1282&lt;&gt;"No change (same URL)"),"Redirects to itself; ","")&amp;IF(AND(M1282&lt;&gt;"",OR(M1282="/",AND(LEFT(M1282,4)="http",OR((LEN(M1282)-LEN(SUBSTITUTE(M1282,"/","")))=2,AND((LEN(M1282)-LEN(SUBSTITUTE(M1282,"/","")))=3,RIGHT(M1282,1)="/"))))),"Home page redirect; ","")&amp;IF(N(R1282)&gt;1,"Chain; ","")&amp;IF(S1282="No","Destination not 200; ","")))</f>
        <v/>
      </c>
      <c r="U1282" s="22" t="n"/>
      <c r="V1282" s="22" t="n"/>
      <c r="W1282" s="4" t="n"/>
    </row>
    <row r="1283">
      <c r="A1283" s="22" t="n"/>
      <c r="B1283" s="22" t="n"/>
      <c r="C1283" s="22" t="n"/>
      <c r="D1283" s="22">
        <f>IF(A1283="","",IF(OR(N(B1283)&gt;=$C$2,N(C1283)&gt;=$E$2),"High",IF(OR(N(B1283)&gt;0,N(C1283)&gt;0),"Medium","Low")))</f>
        <v/>
      </c>
      <c r="E1283" s="22" t="n"/>
      <c r="F1283" s="22" t="n"/>
      <c r="G1283" s="22" t="n"/>
      <c r="H1283" s="22" t="n"/>
      <c r="I1283" s="22" t="n"/>
      <c r="J1283" s="22" t="n"/>
      <c r="K1283" s="22" t="n"/>
      <c r="L1283" s="22" t="n"/>
      <c r="M1283" s="22">
        <f>IF(K1283="Override",L1283,IF(K1283="Accept suggestion",F1283,IF(K1283="No change (same URL)",A1283,"")))</f>
        <v/>
      </c>
      <c r="N1283" s="22">
        <f>IF(A1283="","",IF(K1283="410 Gone","410",IF(K1283="404","404",IF(K1283="No change (same URL)","none",IF(M1283="","","301")))))</f>
        <v/>
      </c>
      <c r="O1283" s="22">
        <f>IF(A1283="","",IFERROR(MID(A1283,FIND("/",A1283,FIND("//",A1283)+2),2000),A1283))</f>
        <v/>
      </c>
      <c r="P1283" s="22">
        <f>IF(OR(O1283="",N1283="",N1283="none",N1283="404"),"",IF(N1283="410","Redirect gone "&amp;O1283,"Redirect "&amp;N1283&amp;" "&amp;O1283&amp;" "&amp;M1283))</f>
        <v/>
      </c>
      <c r="Q1283" s="22" t="n"/>
      <c r="R1283" s="22" t="n"/>
      <c r="S1283" s="22" t="n"/>
      <c r="T1283" s="4">
        <f>IF(A1283="","",TRIM(IF(K1283="","Needs decision; ","")&amp;IF(AND(K1283="Accept suggestion",F1283=""),"No suggestion to accept; ","")&amp;IF(AND(K1283="Override",L1283=""),"Override URL missing; ","")&amp;IF(AND(K1283="Accept suggestion",N(G1283)&lt;$G$2),"Below your threshold; ","")&amp;IF(AND(M1283&lt;&gt;"",M1283=A1283,K1283&lt;&gt;"No change (same URL)"),"Redirects to itself; ","")&amp;IF(AND(M1283&lt;&gt;"",OR(M1283="/",AND(LEFT(M1283,4)="http",OR((LEN(M1283)-LEN(SUBSTITUTE(M1283,"/","")))=2,AND((LEN(M1283)-LEN(SUBSTITUTE(M1283,"/","")))=3,RIGHT(M1283,1)="/"))))),"Home page redirect; ","")&amp;IF(N(R1283)&gt;1,"Chain; ","")&amp;IF(S1283="No","Destination not 200; ","")))</f>
        <v/>
      </c>
      <c r="U1283" s="22" t="n"/>
      <c r="V1283" s="22" t="n"/>
      <c r="W1283" s="4" t="n"/>
    </row>
    <row r="1284">
      <c r="A1284" s="22" t="n"/>
      <c r="B1284" s="22" t="n"/>
      <c r="C1284" s="22" t="n"/>
      <c r="D1284" s="22">
        <f>IF(A1284="","",IF(OR(N(B1284)&gt;=$C$2,N(C1284)&gt;=$E$2),"High",IF(OR(N(B1284)&gt;0,N(C1284)&gt;0),"Medium","Low")))</f>
        <v/>
      </c>
      <c r="E1284" s="22" t="n"/>
      <c r="F1284" s="22" t="n"/>
      <c r="G1284" s="22" t="n"/>
      <c r="H1284" s="22" t="n"/>
      <c r="I1284" s="22" t="n"/>
      <c r="J1284" s="22" t="n"/>
      <c r="K1284" s="22" t="n"/>
      <c r="L1284" s="22" t="n"/>
      <c r="M1284" s="22">
        <f>IF(K1284="Override",L1284,IF(K1284="Accept suggestion",F1284,IF(K1284="No change (same URL)",A1284,"")))</f>
        <v/>
      </c>
      <c r="N1284" s="22">
        <f>IF(A1284="","",IF(K1284="410 Gone","410",IF(K1284="404","404",IF(K1284="No change (same URL)","none",IF(M1284="","","301")))))</f>
        <v/>
      </c>
      <c r="O1284" s="22">
        <f>IF(A1284="","",IFERROR(MID(A1284,FIND("/",A1284,FIND("//",A1284)+2),2000),A1284))</f>
        <v/>
      </c>
      <c r="P1284" s="22">
        <f>IF(OR(O1284="",N1284="",N1284="none",N1284="404"),"",IF(N1284="410","Redirect gone "&amp;O1284,"Redirect "&amp;N1284&amp;" "&amp;O1284&amp;" "&amp;M1284))</f>
        <v/>
      </c>
      <c r="Q1284" s="22" t="n"/>
      <c r="R1284" s="22" t="n"/>
      <c r="S1284" s="22" t="n"/>
      <c r="T1284" s="4">
        <f>IF(A1284="","",TRIM(IF(K1284="","Needs decision; ","")&amp;IF(AND(K1284="Accept suggestion",F1284=""),"No suggestion to accept; ","")&amp;IF(AND(K1284="Override",L1284=""),"Override URL missing; ","")&amp;IF(AND(K1284="Accept suggestion",N(G1284)&lt;$G$2),"Below your threshold; ","")&amp;IF(AND(M1284&lt;&gt;"",M1284=A1284,K1284&lt;&gt;"No change (same URL)"),"Redirects to itself; ","")&amp;IF(AND(M1284&lt;&gt;"",OR(M1284="/",AND(LEFT(M1284,4)="http",OR((LEN(M1284)-LEN(SUBSTITUTE(M1284,"/","")))=2,AND((LEN(M1284)-LEN(SUBSTITUTE(M1284,"/","")))=3,RIGHT(M1284,1)="/"))))),"Home page redirect; ","")&amp;IF(N(R1284)&gt;1,"Chain; ","")&amp;IF(S1284="No","Destination not 200; ","")))</f>
        <v/>
      </c>
      <c r="U1284" s="22" t="n"/>
      <c r="V1284" s="22" t="n"/>
      <c r="W1284" s="4" t="n"/>
    </row>
    <row r="1285">
      <c r="A1285" s="22" t="n"/>
      <c r="B1285" s="22" t="n"/>
      <c r="C1285" s="22" t="n"/>
      <c r="D1285" s="22">
        <f>IF(A1285="","",IF(OR(N(B1285)&gt;=$C$2,N(C1285)&gt;=$E$2),"High",IF(OR(N(B1285)&gt;0,N(C1285)&gt;0),"Medium","Low")))</f>
        <v/>
      </c>
      <c r="E1285" s="22" t="n"/>
      <c r="F1285" s="22" t="n"/>
      <c r="G1285" s="22" t="n"/>
      <c r="H1285" s="22" t="n"/>
      <c r="I1285" s="22" t="n"/>
      <c r="J1285" s="22" t="n"/>
      <c r="K1285" s="22" t="n"/>
      <c r="L1285" s="22" t="n"/>
      <c r="M1285" s="22">
        <f>IF(K1285="Override",L1285,IF(K1285="Accept suggestion",F1285,IF(K1285="No change (same URL)",A1285,"")))</f>
        <v/>
      </c>
      <c r="N1285" s="22">
        <f>IF(A1285="","",IF(K1285="410 Gone","410",IF(K1285="404","404",IF(K1285="No change (same URL)","none",IF(M1285="","","301")))))</f>
        <v/>
      </c>
      <c r="O1285" s="22">
        <f>IF(A1285="","",IFERROR(MID(A1285,FIND("/",A1285,FIND("//",A1285)+2),2000),A1285))</f>
        <v/>
      </c>
      <c r="P1285" s="22">
        <f>IF(OR(O1285="",N1285="",N1285="none",N1285="404"),"",IF(N1285="410","Redirect gone "&amp;O1285,"Redirect "&amp;N1285&amp;" "&amp;O1285&amp;" "&amp;M1285))</f>
        <v/>
      </c>
      <c r="Q1285" s="22" t="n"/>
      <c r="R1285" s="22" t="n"/>
      <c r="S1285" s="22" t="n"/>
      <c r="T1285" s="4">
        <f>IF(A1285="","",TRIM(IF(K1285="","Needs decision; ","")&amp;IF(AND(K1285="Accept suggestion",F1285=""),"No suggestion to accept; ","")&amp;IF(AND(K1285="Override",L1285=""),"Override URL missing; ","")&amp;IF(AND(K1285="Accept suggestion",N(G1285)&lt;$G$2),"Below your threshold; ","")&amp;IF(AND(M1285&lt;&gt;"",M1285=A1285,K1285&lt;&gt;"No change (same URL)"),"Redirects to itself; ","")&amp;IF(AND(M1285&lt;&gt;"",OR(M1285="/",AND(LEFT(M1285,4)="http",OR((LEN(M1285)-LEN(SUBSTITUTE(M1285,"/","")))=2,AND((LEN(M1285)-LEN(SUBSTITUTE(M1285,"/","")))=3,RIGHT(M1285,1)="/"))))),"Home page redirect; ","")&amp;IF(N(R1285)&gt;1,"Chain; ","")&amp;IF(S1285="No","Destination not 200; ","")))</f>
        <v/>
      </c>
      <c r="U1285" s="22" t="n"/>
      <c r="V1285" s="22" t="n"/>
      <c r="W1285" s="4" t="n"/>
    </row>
    <row r="1286">
      <c r="A1286" s="22" t="n"/>
      <c r="B1286" s="22" t="n"/>
      <c r="C1286" s="22" t="n"/>
      <c r="D1286" s="22">
        <f>IF(A1286="","",IF(OR(N(B1286)&gt;=$C$2,N(C1286)&gt;=$E$2),"High",IF(OR(N(B1286)&gt;0,N(C1286)&gt;0),"Medium","Low")))</f>
        <v/>
      </c>
      <c r="E1286" s="22" t="n"/>
      <c r="F1286" s="22" t="n"/>
      <c r="G1286" s="22" t="n"/>
      <c r="H1286" s="22" t="n"/>
      <c r="I1286" s="22" t="n"/>
      <c r="J1286" s="22" t="n"/>
      <c r="K1286" s="22" t="n"/>
      <c r="L1286" s="22" t="n"/>
      <c r="M1286" s="22">
        <f>IF(K1286="Override",L1286,IF(K1286="Accept suggestion",F1286,IF(K1286="No change (same URL)",A1286,"")))</f>
        <v/>
      </c>
      <c r="N1286" s="22">
        <f>IF(A1286="","",IF(K1286="410 Gone","410",IF(K1286="404","404",IF(K1286="No change (same URL)","none",IF(M1286="","","301")))))</f>
        <v/>
      </c>
      <c r="O1286" s="22">
        <f>IF(A1286="","",IFERROR(MID(A1286,FIND("/",A1286,FIND("//",A1286)+2),2000),A1286))</f>
        <v/>
      </c>
      <c r="P1286" s="22">
        <f>IF(OR(O1286="",N1286="",N1286="none",N1286="404"),"",IF(N1286="410","Redirect gone "&amp;O1286,"Redirect "&amp;N1286&amp;" "&amp;O1286&amp;" "&amp;M1286))</f>
        <v/>
      </c>
      <c r="Q1286" s="22" t="n"/>
      <c r="R1286" s="22" t="n"/>
      <c r="S1286" s="22" t="n"/>
      <c r="T1286" s="4">
        <f>IF(A1286="","",TRIM(IF(K1286="","Needs decision; ","")&amp;IF(AND(K1286="Accept suggestion",F1286=""),"No suggestion to accept; ","")&amp;IF(AND(K1286="Override",L1286=""),"Override URL missing; ","")&amp;IF(AND(K1286="Accept suggestion",N(G1286)&lt;$G$2),"Below your threshold; ","")&amp;IF(AND(M1286&lt;&gt;"",M1286=A1286,K1286&lt;&gt;"No change (same URL)"),"Redirects to itself; ","")&amp;IF(AND(M1286&lt;&gt;"",OR(M1286="/",AND(LEFT(M1286,4)="http",OR((LEN(M1286)-LEN(SUBSTITUTE(M1286,"/","")))=2,AND((LEN(M1286)-LEN(SUBSTITUTE(M1286,"/","")))=3,RIGHT(M1286,1)="/"))))),"Home page redirect; ","")&amp;IF(N(R1286)&gt;1,"Chain; ","")&amp;IF(S1286="No","Destination not 200; ","")))</f>
        <v/>
      </c>
      <c r="U1286" s="22" t="n"/>
      <c r="V1286" s="22" t="n"/>
      <c r="W1286" s="4" t="n"/>
    </row>
    <row r="1287">
      <c r="A1287" s="22" t="n"/>
      <c r="B1287" s="22" t="n"/>
      <c r="C1287" s="22" t="n"/>
      <c r="D1287" s="22">
        <f>IF(A1287="","",IF(OR(N(B1287)&gt;=$C$2,N(C1287)&gt;=$E$2),"High",IF(OR(N(B1287)&gt;0,N(C1287)&gt;0),"Medium","Low")))</f>
        <v/>
      </c>
      <c r="E1287" s="22" t="n"/>
      <c r="F1287" s="22" t="n"/>
      <c r="G1287" s="22" t="n"/>
      <c r="H1287" s="22" t="n"/>
      <c r="I1287" s="22" t="n"/>
      <c r="J1287" s="22" t="n"/>
      <c r="K1287" s="22" t="n"/>
      <c r="L1287" s="22" t="n"/>
      <c r="M1287" s="22">
        <f>IF(K1287="Override",L1287,IF(K1287="Accept suggestion",F1287,IF(K1287="No change (same URL)",A1287,"")))</f>
        <v/>
      </c>
      <c r="N1287" s="22">
        <f>IF(A1287="","",IF(K1287="410 Gone","410",IF(K1287="404","404",IF(K1287="No change (same URL)","none",IF(M1287="","","301")))))</f>
        <v/>
      </c>
      <c r="O1287" s="22">
        <f>IF(A1287="","",IFERROR(MID(A1287,FIND("/",A1287,FIND("//",A1287)+2),2000),A1287))</f>
        <v/>
      </c>
      <c r="P1287" s="22">
        <f>IF(OR(O1287="",N1287="",N1287="none",N1287="404"),"",IF(N1287="410","Redirect gone "&amp;O1287,"Redirect "&amp;N1287&amp;" "&amp;O1287&amp;" "&amp;M1287))</f>
        <v/>
      </c>
      <c r="Q1287" s="22" t="n"/>
      <c r="R1287" s="22" t="n"/>
      <c r="S1287" s="22" t="n"/>
      <c r="T1287" s="4">
        <f>IF(A1287="","",TRIM(IF(K1287="","Needs decision; ","")&amp;IF(AND(K1287="Accept suggestion",F1287=""),"No suggestion to accept; ","")&amp;IF(AND(K1287="Override",L1287=""),"Override URL missing; ","")&amp;IF(AND(K1287="Accept suggestion",N(G1287)&lt;$G$2),"Below your threshold; ","")&amp;IF(AND(M1287&lt;&gt;"",M1287=A1287,K1287&lt;&gt;"No change (same URL)"),"Redirects to itself; ","")&amp;IF(AND(M1287&lt;&gt;"",OR(M1287="/",AND(LEFT(M1287,4)="http",OR((LEN(M1287)-LEN(SUBSTITUTE(M1287,"/","")))=2,AND((LEN(M1287)-LEN(SUBSTITUTE(M1287,"/","")))=3,RIGHT(M1287,1)="/"))))),"Home page redirect; ","")&amp;IF(N(R1287)&gt;1,"Chain; ","")&amp;IF(S1287="No","Destination not 200; ","")))</f>
        <v/>
      </c>
      <c r="U1287" s="22" t="n"/>
      <c r="V1287" s="22" t="n"/>
      <c r="W1287" s="4" t="n"/>
    </row>
    <row r="1288">
      <c r="A1288" s="22" t="n"/>
      <c r="B1288" s="22" t="n"/>
      <c r="C1288" s="22" t="n"/>
      <c r="D1288" s="22">
        <f>IF(A1288="","",IF(OR(N(B1288)&gt;=$C$2,N(C1288)&gt;=$E$2),"High",IF(OR(N(B1288)&gt;0,N(C1288)&gt;0),"Medium","Low")))</f>
        <v/>
      </c>
      <c r="E1288" s="22" t="n"/>
      <c r="F1288" s="22" t="n"/>
      <c r="G1288" s="22" t="n"/>
      <c r="H1288" s="22" t="n"/>
      <c r="I1288" s="22" t="n"/>
      <c r="J1288" s="22" t="n"/>
      <c r="K1288" s="22" t="n"/>
      <c r="L1288" s="22" t="n"/>
      <c r="M1288" s="22">
        <f>IF(K1288="Override",L1288,IF(K1288="Accept suggestion",F1288,IF(K1288="No change (same URL)",A1288,"")))</f>
        <v/>
      </c>
      <c r="N1288" s="22">
        <f>IF(A1288="","",IF(K1288="410 Gone","410",IF(K1288="404","404",IF(K1288="No change (same URL)","none",IF(M1288="","","301")))))</f>
        <v/>
      </c>
      <c r="O1288" s="22">
        <f>IF(A1288="","",IFERROR(MID(A1288,FIND("/",A1288,FIND("//",A1288)+2),2000),A1288))</f>
        <v/>
      </c>
      <c r="P1288" s="22">
        <f>IF(OR(O1288="",N1288="",N1288="none",N1288="404"),"",IF(N1288="410","Redirect gone "&amp;O1288,"Redirect "&amp;N1288&amp;" "&amp;O1288&amp;" "&amp;M1288))</f>
        <v/>
      </c>
      <c r="Q1288" s="22" t="n"/>
      <c r="R1288" s="22" t="n"/>
      <c r="S1288" s="22" t="n"/>
      <c r="T1288" s="4">
        <f>IF(A1288="","",TRIM(IF(K1288="","Needs decision; ","")&amp;IF(AND(K1288="Accept suggestion",F1288=""),"No suggestion to accept; ","")&amp;IF(AND(K1288="Override",L1288=""),"Override URL missing; ","")&amp;IF(AND(K1288="Accept suggestion",N(G1288)&lt;$G$2),"Below your threshold; ","")&amp;IF(AND(M1288&lt;&gt;"",M1288=A1288,K1288&lt;&gt;"No change (same URL)"),"Redirects to itself; ","")&amp;IF(AND(M1288&lt;&gt;"",OR(M1288="/",AND(LEFT(M1288,4)="http",OR((LEN(M1288)-LEN(SUBSTITUTE(M1288,"/","")))=2,AND((LEN(M1288)-LEN(SUBSTITUTE(M1288,"/","")))=3,RIGHT(M1288,1)="/"))))),"Home page redirect; ","")&amp;IF(N(R1288)&gt;1,"Chain; ","")&amp;IF(S1288="No","Destination not 200; ","")))</f>
        <v/>
      </c>
      <c r="U1288" s="22" t="n"/>
      <c r="V1288" s="22" t="n"/>
      <c r="W1288" s="4" t="n"/>
    </row>
    <row r="1289">
      <c r="A1289" s="22" t="n"/>
      <c r="B1289" s="22" t="n"/>
      <c r="C1289" s="22" t="n"/>
      <c r="D1289" s="22">
        <f>IF(A1289="","",IF(OR(N(B1289)&gt;=$C$2,N(C1289)&gt;=$E$2),"High",IF(OR(N(B1289)&gt;0,N(C1289)&gt;0),"Medium","Low")))</f>
        <v/>
      </c>
      <c r="E1289" s="22" t="n"/>
      <c r="F1289" s="22" t="n"/>
      <c r="G1289" s="22" t="n"/>
      <c r="H1289" s="22" t="n"/>
      <c r="I1289" s="22" t="n"/>
      <c r="J1289" s="22" t="n"/>
      <c r="K1289" s="22" t="n"/>
      <c r="L1289" s="22" t="n"/>
      <c r="M1289" s="22">
        <f>IF(K1289="Override",L1289,IF(K1289="Accept suggestion",F1289,IF(K1289="No change (same URL)",A1289,"")))</f>
        <v/>
      </c>
      <c r="N1289" s="22">
        <f>IF(A1289="","",IF(K1289="410 Gone","410",IF(K1289="404","404",IF(K1289="No change (same URL)","none",IF(M1289="","","301")))))</f>
        <v/>
      </c>
      <c r="O1289" s="22">
        <f>IF(A1289="","",IFERROR(MID(A1289,FIND("/",A1289,FIND("//",A1289)+2),2000),A1289))</f>
        <v/>
      </c>
      <c r="P1289" s="22">
        <f>IF(OR(O1289="",N1289="",N1289="none",N1289="404"),"",IF(N1289="410","Redirect gone "&amp;O1289,"Redirect "&amp;N1289&amp;" "&amp;O1289&amp;" "&amp;M1289))</f>
        <v/>
      </c>
      <c r="Q1289" s="22" t="n"/>
      <c r="R1289" s="22" t="n"/>
      <c r="S1289" s="22" t="n"/>
      <c r="T1289" s="4">
        <f>IF(A1289="","",TRIM(IF(K1289="","Needs decision; ","")&amp;IF(AND(K1289="Accept suggestion",F1289=""),"No suggestion to accept; ","")&amp;IF(AND(K1289="Override",L1289=""),"Override URL missing; ","")&amp;IF(AND(K1289="Accept suggestion",N(G1289)&lt;$G$2),"Below your threshold; ","")&amp;IF(AND(M1289&lt;&gt;"",M1289=A1289,K1289&lt;&gt;"No change (same URL)"),"Redirects to itself; ","")&amp;IF(AND(M1289&lt;&gt;"",OR(M1289="/",AND(LEFT(M1289,4)="http",OR((LEN(M1289)-LEN(SUBSTITUTE(M1289,"/","")))=2,AND((LEN(M1289)-LEN(SUBSTITUTE(M1289,"/","")))=3,RIGHT(M1289,1)="/"))))),"Home page redirect; ","")&amp;IF(N(R1289)&gt;1,"Chain; ","")&amp;IF(S1289="No","Destination not 200; ","")))</f>
        <v/>
      </c>
      <c r="U1289" s="22" t="n"/>
      <c r="V1289" s="22" t="n"/>
      <c r="W1289" s="4" t="n"/>
    </row>
    <row r="1290">
      <c r="A1290" s="22" t="n"/>
      <c r="B1290" s="22" t="n"/>
      <c r="C1290" s="22" t="n"/>
      <c r="D1290" s="22">
        <f>IF(A1290="","",IF(OR(N(B1290)&gt;=$C$2,N(C1290)&gt;=$E$2),"High",IF(OR(N(B1290)&gt;0,N(C1290)&gt;0),"Medium","Low")))</f>
        <v/>
      </c>
      <c r="E1290" s="22" t="n"/>
      <c r="F1290" s="22" t="n"/>
      <c r="G1290" s="22" t="n"/>
      <c r="H1290" s="22" t="n"/>
      <c r="I1290" s="22" t="n"/>
      <c r="J1290" s="22" t="n"/>
      <c r="K1290" s="22" t="n"/>
      <c r="L1290" s="22" t="n"/>
      <c r="M1290" s="22">
        <f>IF(K1290="Override",L1290,IF(K1290="Accept suggestion",F1290,IF(K1290="No change (same URL)",A1290,"")))</f>
        <v/>
      </c>
      <c r="N1290" s="22">
        <f>IF(A1290="","",IF(K1290="410 Gone","410",IF(K1290="404","404",IF(K1290="No change (same URL)","none",IF(M1290="","","301")))))</f>
        <v/>
      </c>
      <c r="O1290" s="22">
        <f>IF(A1290="","",IFERROR(MID(A1290,FIND("/",A1290,FIND("//",A1290)+2),2000),A1290))</f>
        <v/>
      </c>
      <c r="P1290" s="22">
        <f>IF(OR(O1290="",N1290="",N1290="none",N1290="404"),"",IF(N1290="410","Redirect gone "&amp;O1290,"Redirect "&amp;N1290&amp;" "&amp;O1290&amp;" "&amp;M1290))</f>
        <v/>
      </c>
      <c r="Q1290" s="22" t="n"/>
      <c r="R1290" s="22" t="n"/>
      <c r="S1290" s="22" t="n"/>
      <c r="T1290" s="4">
        <f>IF(A1290="","",TRIM(IF(K1290="","Needs decision; ","")&amp;IF(AND(K1290="Accept suggestion",F1290=""),"No suggestion to accept; ","")&amp;IF(AND(K1290="Override",L1290=""),"Override URL missing; ","")&amp;IF(AND(K1290="Accept suggestion",N(G1290)&lt;$G$2),"Below your threshold; ","")&amp;IF(AND(M1290&lt;&gt;"",M1290=A1290,K1290&lt;&gt;"No change (same URL)"),"Redirects to itself; ","")&amp;IF(AND(M1290&lt;&gt;"",OR(M1290="/",AND(LEFT(M1290,4)="http",OR((LEN(M1290)-LEN(SUBSTITUTE(M1290,"/","")))=2,AND((LEN(M1290)-LEN(SUBSTITUTE(M1290,"/","")))=3,RIGHT(M1290,1)="/"))))),"Home page redirect; ","")&amp;IF(N(R1290)&gt;1,"Chain; ","")&amp;IF(S1290="No","Destination not 200; ","")))</f>
        <v/>
      </c>
      <c r="U1290" s="22" t="n"/>
      <c r="V1290" s="22" t="n"/>
      <c r="W1290" s="4" t="n"/>
    </row>
    <row r="1291">
      <c r="A1291" s="22" t="n"/>
      <c r="B1291" s="22" t="n"/>
      <c r="C1291" s="22" t="n"/>
      <c r="D1291" s="22">
        <f>IF(A1291="","",IF(OR(N(B1291)&gt;=$C$2,N(C1291)&gt;=$E$2),"High",IF(OR(N(B1291)&gt;0,N(C1291)&gt;0),"Medium","Low")))</f>
        <v/>
      </c>
      <c r="E1291" s="22" t="n"/>
      <c r="F1291" s="22" t="n"/>
      <c r="G1291" s="22" t="n"/>
      <c r="H1291" s="22" t="n"/>
      <c r="I1291" s="22" t="n"/>
      <c r="J1291" s="22" t="n"/>
      <c r="K1291" s="22" t="n"/>
      <c r="L1291" s="22" t="n"/>
      <c r="M1291" s="22">
        <f>IF(K1291="Override",L1291,IF(K1291="Accept suggestion",F1291,IF(K1291="No change (same URL)",A1291,"")))</f>
        <v/>
      </c>
      <c r="N1291" s="22">
        <f>IF(A1291="","",IF(K1291="410 Gone","410",IF(K1291="404","404",IF(K1291="No change (same URL)","none",IF(M1291="","","301")))))</f>
        <v/>
      </c>
      <c r="O1291" s="22">
        <f>IF(A1291="","",IFERROR(MID(A1291,FIND("/",A1291,FIND("//",A1291)+2),2000),A1291))</f>
        <v/>
      </c>
      <c r="P1291" s="22">
        <f>IF(OR(O1291="",N1291="",N1291="none",N1291="404"),"",IF(N1291="410","Redirect gone "&amp;O1291,"Redirect "&amp;N1291&amp;" "&amp;O1291&amp;" "&amp;M1291))</f>
        <v/>
      </c>
      <c r="Q1291" s="22" t="n"/>
      <c r="R1291" s="22" t="n"/>
      <c r="S1291" s="22" t="n"/>
      <c r="T1291" s="4">
        <f>IF(A1291="","",TRIM(IF(K1291="","Needs decision; ","")&amp;IF(AND(K1291="Accept suggestion",F1291=""),"No suggestion to accept; ","")&amp;IF(AND(K1291="Override",L1291=""),"Override URL missing; ","")&amp;IF(AND(K1291="Accept suggestion",N(G1291)&lt;$G$2),"Below your threshold; ","")&amp;IF(AND(M1291&lt;&gt;"",M1291=A1291,K1291&lt;&gt;"No change (same URL)"),"Redirects to itself; ","")&amp;IF(AND(M1291&lt;&gt;"",OR(M1291="/",AND(LEFT(M1291,4)="http",OR((LEN(M1291)-LEN(SUBSTITUTE(M1291,"/","")))=2,AND((LEN(M1291)-LEN(SUBSTITUTE(M1291,"/","")))=3,RIGHT(M1291,1)="/"))))),"Home page redirect; ","")&amp;IF(N(R1291)&gt;1,"Chain; ","")&amp;IF(S1291="No","Destination not 200; ","")))</f>
        <v/>
      </c>
      <c r="U1291" s="22" t="n"/>
      <c r="V1291" s="22" t="n"/>
      <c r="W1291" s="4" t="n"/>
    </row>
    <row r="1292">
      <c r="A1292" s="22" t="n"/>
      <c r="B1292" s="22" t="n"/>
      <c r="C1292" s="22" t="n"/>
      <c r="D1292" s="22">
        <f>IF(A1292="","",IF(OR(N(B1292)&gt;=$C$2,N(C1292)&gt;=$E$2),"High",IF(OR(N(B1292)&gt;0,N(C1292)&gt;0),"Medium","Low")))</f>
        <v/>
      </c>
      <c r="E1292" s="22" t="n"/>
      <c r="F1292" s="22" t="n"/>
      <c r="G1292" s="22" t="n"/>
      <c r="H1292" s="22" t="n"/>
      <c r="I1292" s="22" t="n"/>
      <c r="J1292" s="22" t="n"/>
      <c r="K1292" s="22" t="n"/>
      <c r="L1292" s="22" t="n"/>
      <c r="M1292" s="22">
        <f>IF(K1292="Override",L1292,IF(K1292="Accept suggestion",F1292,IF(K1292="No change (same URL)",A1292,"")))</f>
        <v/>
      </c>
      <c r="N1292" s="22">
        <f>IF(A1292="","",IF(K1292="410 Gone","410",IF(K1292="404","404",IF(K1292="No change (same URL)","none",IF(M1292="","","301")))))</f>
        <v/>
      </c>
      <c r="O1292" s="22">
        <f>IF(A1292="","",IFERROR(MID(A1292,FIND("/",A1292,FIND("//",A1292)+2),2000),A1292))</f>
        <v/>
      </c>
      <c r="P1292" s="22">
        <f>IF(OR(O1292="",N1292="",N1292="none",N1292="404"),"",IF(N1292="410","Redirect gone "&amp;O1292,"Redirect "&amp;N1292&amp;" "&amp;O1292&amp;" "&amp;M1292))</f>
        <v/>
      </c>
      <c r="Q1292" s="22" t="n"/>
      <c r="R1292" s="22" t="n"/>
      <c r="S1292" s="22" t="n"/>
      <c r="T1292" s="4">
        <f>IF(A1292="","",TRIM(IF(K1292="","Needs decision; ","")&amp;IF(AND(K1292="Accept suggestion",F1292=""),"No suggestion to accept; ","")&amp;IF(AND(K1292="Override",L1292=""),"Override URL missing; ","")&amp;IF(AND(K1292="Accept suggestion",N(G1292)&lt;$G$2),"Below your threshold; ","")&amp;IF(AND(M1292&lt;&gt;"",M1292=A1292,K1292&lt;&gt;"No change (same URL)"),"Redirects to itself; ","")&amp;IF(AND(M1292&lt;&gt;"",OR(M1292="/",AND(LEFT(M1292,4)="http",OR((LEN(M1292)-LEN(SUBSTITUTE(M1292,"/","")))=2,AND((LEN(M1292)-LEN(SUBSTITUTE(M1292,"/","")))=3,RIGHT(M1292,1)="/"))))),"Home page redirect; ","")&amp;IF(N(R1292)&gt;1,"Chain; ","")&amp;IF(S1292="No","Destination not 200; ","")))</f>
        <v/>
      </c>
      <c r="U1292" s="22" t="n"/>
      <c r="V1292" s="22" t="n"/>
      <c r="W1292" s="4" t="n"/>
    </row>
    <row r="1293">
      <c r="A1293" s="22" t="n"/>
      <c r="B1293" s="22" t="n"/>
      <c r="C1293" s="22" t="n"/>
      <c r="D1293" s="22">
        <f>IF(A1293="","",IF(OR(N(B1293)&gt;=$C$2,N(C1293)&gt;=$E$2),"High",IF(OR(N(B1293)&gt;0,N(C1293)&gt;0),"Medium","Low")))</f>
        <v/>
      </c>
      <c r="E1293" s="22" t="n"/>
      <c r="F1293" s="22" t="n"/>
      <c r="G1293" s="22" t="n"/>
      <c r="H1293" s="22" t="n"/>
      <c r="I1293" s="22" t="n"/>
      <c r="J1293" s="22" t="n"/>
      <c r="K1293" s="22" t="n"/>
      <c r="L1293" s="22" t="n"/>
      <c r="M1293" s="22">
        <f>IF(K1293="Override",L1293,IF(K1293="Accept suggestion",F1293,IF(K1293="No change (same URL)",A1293,"")))</f>
        <v/>
      </c>
      <c r="N1293" s="22">
        <f>IF(A1293="","",IF(K1293="410 Gone","410",IF(K1293="404","404",IF(K1293="No change (same URL)","none",IF(M1293="","","301")))))</f>
        <v/>
      </c>
      <c r="O1293" s="22">
        <f>IF(A1293="","",IFERROR(MID(A1293,FIND("/",A1293,FIND("//",A1293)+2),2000),A1293))</f>
        <v/>
      </c>
      <c r="P1293" s="22">
        <f>IF(OR(O1293="",N1293="",N1293="none",N1293="404"),"",IF(N1293="410","Redirect gone "&amp;O1293,"Redirect "&amp;N1293&amp;" "&amp;O1293&amp;" "&amp;M1293))</f>
        <v/>
      </c>
      <c r="Q1293" s="22" t="n"/>
      <c r="R1293" s="22" t="n"/>
      <c r="S1293" s="22" t="n"/>
      <c r="T1293" s="4">
        <f>IF(A1293="","",TRIM(IF(K1293="","Needs decision; ","")&amp;IF(AND(K1293="Accept suggestion",F1293=""),"No suggestion to accept; ","")&amp;IF(AND(K1293="Override",L1293=""),"Override URL missing; ","")&amp;IF(AND(K1293="Accept suggestion",N(G1293)&lt;$G$2),"Below your threshold; ","")&amp;IF(AND(M1293&lt;&gt;"",M1293=A1293,K1293&lt;&gt;"No change (same URL)"),"Redirects to itself; ","")&amp;IF(AND(M1293&lt;&gt;"",OR(M1293="/",AND(LEFT(M1293,4)="http",OR((LEN(M1293)-LEN(SUBSTITUTE(M1293,"/","")))=2,AND((LEN(M1293)-LEN(SUBSTITUTE(M1293,"/","")))=3,RIGHT(M1293,1)="/"))))),"Home page redirect; ","")&amp;IF(N(R1293)&gt;1,"Chain; ","")&amp;IF(S1293="No","Destination not 200; ","")))</f>
        <v/>
      </c>
      <c r="U1293" s="22" t="n"/>
      <c r="V1293" s="22" t="n"/>
      <c r="W1293" s="4" t="n"/>
    </row>
    <row r="1294">
      <c r="A1294" s="22" t="n"/>
      <c r="B1294" s="22" t="n"/>
      <c r="C1294" s="22" t="n"/>
      <c r="D1294" s="22">
        <f>IF(A1294="","",IF(OR(N(B1294)&gt;=$C$2,N(C1294)&gt;=$E$2),"High",IF(OR(N(B1294)&gt;0,N(C1294)&gt;0),"Medium","Low")))</f>
        <v/>
      </c>
      <c r="E1294" s="22" t="n"/>
      <c r="F1294" s="22" t="n"/>
      <c r="G1294" s="22" t="n"/>
      <c r="H1294" s="22" t="n"/>
      <c r="I1294" s="22" t="n"/>
      <c r="J1294" s="22" t="n"/>
      <c r="K1294" s="22" t="n"/>
      <c r="L1294" s="22" t="n"/>
      <c r="M1294" s="22">
        <f>IF(K1294="Override",L1294,IF(K1294="Accept suggestion",F1294,IF(K1294="No change (same URL)",A1294,"")))</f>
        <v/>
      </c>
      <c r="N1294" s="22">
        <f>IF(A1294="","",IF(K1294="410 Gone","410",IF(K1294="404","404",IF(K1294="No change (same URL)","none",IF(M1294="","","301")))))</f>
        <v/>
      </c>
      <c r="O1294" s="22">
        <f>IF(A1294="","",IFERROR(MID(A1294,FIND("/",A1294,FIND("//",A1294)+2),2000),A1294))</f>
        <v/>
      </c>
      <c r="P1294" s="22">
        <f>IF(OR(O1294="",N1294="",N1294="none",N1294="404"),"",IF(N1294="410","Redirect gone "&amp;O1294,"Redirect "&amp;N1294&amp;" "&amp;O1294&amp;" "&amp;M1294))</f>
        <v/>
      </c>
      <c r="Q1294" s="22" t="n"/>
      <c r="R1294" s="22" t="n"/>
      <c r="S1294" s="22" t="n"/>
      <c r="T1294" s="4">
        <f>IF(A1294="","",TRIM(IF(K1294="","Needs decision; ","")&amp;IF(AND(K1294="Accept suggestion",F1294=""),"No suggestion to accept; ","")&amp;IF(AND(K1294="Override",L1294=""),"Override URL missing; ","")&amp;IF(AND(K1294="Accept suggestion",N(G1294)&lt;$G$2),"Below your threshold; ","")&amp;IF(AND(M1294&lt;&gt;"",M1294=A1294,K1294&lt;&gt;"No change (same URL)"),"Redirects to itself; ","")&amp;IF(AND(M1294&lt;&gt;"",OR(M1294="/",AND(LEFT(M1294,4)="http",OR((LEN(M1294)-LEN(SUBSTITUTE(M1294,"/","")))=2,AND((LEN(M1294)-LEN(SUBSTITUTE(M1294,"/","")))=3,RIGHT(M1294,1)="/"))))),"Home page redirect; ","")&amp;IF(N(R1294)&gt;1,"Chain; ","")&amp;IF(S1294="No","Destination not 200; ","")))</f>
        <v/>
      </c>
      <c r="U1294" s="22" t="n"/>
      <c r="V1294" s="22" t="n"/>
      <c r="W1294" s="4" t="n"/>
    </row>
    <row r="1295">
      <c r="A1295" s="22" t="n"/>
      <c r="B1295" s="22" t="n"/>
      <c r="C1295" s="22" t="n"/>
      <c r="D1295" s="22">
        <f>IF(A1295="","",IF(OR(N(B1295)&gt;=$C$2,N(C1295)&gt;=$E$2),"High",IF(OR(N(B1295)&gt;0,N(C1295)&gt;0),"Medium","Low")))</f>
        <v/>
      </c>
      <c r="E1295" s="22" t="n"/>
      <c r="F1295" s="22" t="n"/>
      <c r="G1295" s="22" t="n"/>
      <c r="H1295" s="22" t="n"/>
      <c r="I1295" s="22" t="n"/>
      <c r="J1295" s="22" t="n"/>
      <c r="K1295" s="22" t="n"/>
      <c r="L1295" s="22" t="n"/>
      <c r="M1295" s="22">
        <f>IF(K1295="Override",L1295,IF(K1295="Accept suggestion",F1295,IF(K1295="No change (same URL)",A1295,"")))</f>
        <v/>
      </c>
      <c r="N1295" s="22">
        <f>IF(A1295="","",IF(K1295="410 Gone","410",IF(K1295="404","404",IF(K1295="No change (same URL)","none",IF(M1295="","","301")))))</f>
        <v/>
      </c>
      <c r="O1295" s="22">
        <f>IF(A1295="","",IFERROR(MID(A1295,FIND("/",A1295,FIND("//",A1295)+2),2000),A1295))</f>
        <v/>
      </c>
      <c r="P1295" s="22">
        <f>IF(OR(O1295="",N1295="",N1295="none",N1295="404"),"",IF(N1295="410","Redirect gone "&amp;O1295,"Redirect "&amp;N1295&amp;" "&amp;O1295&amp;" "&amp;M1295))</f>
        <v/>
      </c>
      <c r="Q1295" s="22" t="n"/>
      <c r="R1295" s="22" t="n"/>
      <c r="S1295" s="22" t="n"/>
      <c r="T1295" s="4">
        <f>IF(A1295="","",TRIM(IF(K1295="","Needs decision; ","")&amp;IF(AND(K1295="Accept suggestion",F1295=""),"No suggestion to accept; ","")&amp;IF(AND(K1295="Override",L1295=""),"Override URL missing; ","")&amp;IF(AND(K1295="Accept suggestion",N(G1295)&lt;$G$2),"Below your threshold; ","")&amp;IF(AND(M1295&lt;&gt;"",M1295=A1295,K1295&lt;&gt;"No change (same URL)"),"Redirects to itself; ","")&amp;IF(AND(M1295&lt;&gt;"",OR(M1295="/",AND(LEFT(M1295,4)="http",OR((LEN(M1295)-LEN(SUBSTITUTE(M1295,"/","")))=2,AND((LEN(M1295)-LEN(SUBSTITUTE(M1295,"/","")))=3,RIGHT(M1295,1)="/"))))),"Home page redirect; ","")&amp;IF(N(R1295)&gt;1,"Chain; ","")&amp;IF(S1295="No","Destination not 200; ","")))</f>
        <v/>
      </c>
      <c r="U1295" s="22" t="n"/>
      <c r="V1295" s="22" t="n"/>
      <c r="W1295" s="4" t="n"/>
    </row>
    <row r="1296">
      <c r="A1296" s="22" t="n"/>
      <c r="B1296" s="22" t="n"/>
      <c r="C1296" s="22" t="n"/>
      <c r="D1296" s="22">
        <f>IF(A1296="","",IF(OR(N(B1296)&gt;=$C$2,N(C1296)&gt;=$E$2),"High",IF(OR(N(B1296)&gt;0,N(C1296)&gt;0),"Medium","Low")))</f>
        <v/>
      </c>
      <c r="E1296" s="22" t="n"/>
      <c r="F1296" s="22" t="n"/>
      <c r="G1296" s="22" t="n"/>
      <c r="H1296" s="22" t="n"/>
      <c r="I1296" s="22" t="n"/>
      <c r="J1296" s="22" t="n"/>
      <c r="K1296" s="22" t="n"/>
      <c r="L1296" s="22" t="n"/>
      <c r="M1296" s="22">
        <f>IF(K1296="Override",L1296,IF(K1296="Accept suggestion",F1296,IF(K1296="No change (same URL)",A1296,"")))</f>
        <v/>
      </c>
      <c r="N1296" s="22">
        <f>IF(A1296="","",IF(K1296="410 Gone","410",IF(K1296="404","404",IF(K1296="No change (same URL)","none",IF(M1296="","","301")))))</f>
        <v/>
      </c>
      <c r="O1296" s="22">
        <f>IF(A1296="","",IFERROR(MID(A1296,FIND("/",A1296,FIND("//",A1296)+2),2000),A1296))</f>
        <v/>
      </c>
      <c r="P1296" s="22">
        <f>IF(OR(O1296="",N1296="",N1296="none",N1296="404"),"",IF(N1296="410","Redirect gone "&amp;O1296,"Redirect "&amp;N1296&amp;" "&amp;O1296&amp;" "&amp;M1296))</f>
        <v/>
      </c>
      <c r="Q1296" s="22" t="n"/>
      <c r="R1296" s="22" t="n"/>
      <c r="S1296" s="22" t="n"/>
      <c r="T1296" s="4">
        <f>IF(A1296="","",TRIM(IF(K1296="","Needs decision; ","")&amp;IF(AND(K1296="Accept suggestion",F1296=""),"No suggestion to accept; ","")&amp;IF(AND(K1296="Override",L1296=""),"Override URL missing; ","")&amp;IF(AND(K1296="Accept suggestion",N(G1296)&lt;$G$2),"Below your threshold; ","")&amp;IF(AND(M1296&lt;&gt;"",M1296=A1296,K1296&lt;&gt;"No change (same URL)"),"Redirects to itself; ","")&amp;IF(AND(M1296&lt;&gt;"",OR(M1296="/",AND(LEFT(M1296,4)="http",OR((LEN(M1296)-LEN(SUBSTITUTE(M1296,"/","")))=2,AND((LEN(M1296)-LEN(SUBSTITUTE(M1296,"/","")))=3,RIGHT(M1296,1)="/"))))),"Home page redirect; ","")&amp;IF(N(R1296)&gt;1,"Chain; ","")&amp;IF(S1296="No","Destination not 200; ","")))</f>
        <v/>
      </c>
      <c r="U1296" s="22" t="n"/>
      <c r="V1296" s="22" t="n"/>
      <c r="W1296" s="4" t="n"/>
    </row>
    <row r="1297">
      <c r="A1297" s="22" t="n"/>
      <c r="B1297" s="22" t="n"/>
      <c r="C1297" s="22" t="n"/>
      <c r="D1297" s="22">
        <f>IF(A1297="","",IF(OR(N(B1297)&gt;=$C$2,N(C1297)&gt;=$E$2),"High",IF(OR(N(B1297)&gt;0,N(C1297)&gt;0),"Medium","Low")))</f>
        <v/>
      </c>
      <c r="E1297" s="22" t="n"/>
      <c r="F1297" s="22" t="n"/>
      <c r="G1297" s="22" t="n"/>
      <c r="H1297" s="22" t="n"/>
      <c r="I1297" s="22" t="n"/>
      <c r="J1297" s="22" t="n"/>
      <c r="K1297" s="22" t="n"/>
      <c r="L1297" s="22" t="n"/>
      <c r="M1297" s="22">
        <f>IF(K1297="Override",L1297,IF(K1297="Accept suggestion",F1297,IF(K1297="No change (same URL)",A1297,"")))</f>
        <v/>
      </c>
      <c r="N1297" s="22">
        <f>IF(A1297="","",IF(K1297="410 Gone","410",IF(K1297="404","404",IF(K1297="No change (same URL)","none",IF(M1297="","","301")))))</f>
        <v/>
      </c>
      <c r="O1297" s="22">
        <f>IF(A1297="","",IFERROR(MID(A1297,FIND("/",A1297,FIND("//",A1297)+2),2000),A1297))</f>
        <v/>
      </c>
      <c r="P1297" s="22">
        <f>IF(OR(O1297="",N1297="",N1297="none",N1297="404"),"",IF(N1297="410","Redirect gone "&amp;O1297,"Redirect "&amp;N1297&amp;" "&amp;O1297&amp;" "&amp;M1297))</f>
        <v/>
      </c>
      <c r="Q1297" s="22" t="n"/>
      <c r="R1297" s="22" t="n"/>
      <c r="S1297" s="22" t="n"/>
      <c r="T1297" s="4">
        <f>IF(A1297="","",TRIM(IF(K1297="","Needs decision; ","")&amp;IF(AND(K1297="Accept suggestion",F1297=""),"No suggestion to accept; ","")&amp;IF(AND(K1297="Override",L1297=""),"Override URL missing; ","")&amp;IF(AND(K1297="Accept suggestion",N(G1297)&lt;$G$2),"Below your threshold; ","")&amp;IF(AND(M1297&lt;&gt;"",M1297=A1297,K1297&lt;&gt;"No change (same URL)"),"Redirects to itself; ","")&amp;IF(AND(M1297&lt;&gt;"",OR(M1297="/",AND(LEFT(M1297,4)="http",OR((LEN(M1297)-LEN(SUBSTITUTE(M1297,"/","")))=2,AND((LEN(M1297)-LEN(SUBSTITUTE(M1297,"/","")))=3,RIGHT(M1297,1)="/"))))),"Home page redirect; ","")&amp;IF(N(R1297)&gt;1,"Chain; ","")&amp;IF(S1297="No","Destination not 200; ","")))</f>
        <v/>
      </c>
      <c r="U1297" s="22" t="n"/>
      <c r="V1297" s="22" t="n"/>
      <c r="W1297" s="4" t="n"/>
    </row>
    <row r="1298">
      <c r="A1298" s="22" t="n"/>
      <c r="B1298" s="22" t="n"/>
      <c r="C1298" s="22" t="n"/>
      <c r="D1298" s="22">
        <f>IF(A1298="","",IF(OR(N(B1298)&gt;=$C$2,N(C1298)&gt;=$E$2),"High",IF(OR(N(B1298)&gt;0,N(C1298)&gt;0),"Medium","Low")))</f>
        <v/>
      </c>
      <c r="E1298" s="22" t="n"/>
      <c r="F1298" s="22" t="n"/>
      <c r="G1298" s="22" t="n"/>
      <c r="H1298" s="22" t="n"/>
      <c r="I1298" s="22" t="n"/>
      <c r="J1298" s="22" t="n"/>
      <c r="K1298" s="22" t="n"/>
      <c r="L1298" s="22" t="n"/>
      <c r="M1298" s="22">
        <f>IF(K1298="Override",L1298,IF(K1298="Accept suggestion",F1298,IF(K1298="No change (same URL)",A1298,"")))</f>
        <v/>
      </c>
      <c r="N1298" s="22">
        <f>IF(A1298="","",IF(K1298="410 Gone","410",IF(K1298="404","404",IF(K1298="No change (same URL)","none",IF(M1298="","","301")))))</f>
        <v/>
      </c>
      <c r="O1298" s="22">
        <f>IF(A1298="","",IFERROR(MID(A1298,FIND("/",A1298,FIND("//",A1298)+2),2000),A1298))</f>
        <v/>
      </c>
      <c r="P1298" s="22">
        <f>IF(OR(O1298="",N1298="",N1298="none",N1298="404"),"",IF(N1298="410","Redirect gone "&amp;O1298,"Redirect "&amp;N1298&amp;" "&amp;O1298&amp;" "&amp;M1298))</f>
        <v/>
      </c>
      <c r="Q1298" s="22" t="n"/>
      <c r="R1298" s="22" t="n"/>
      <c r="S1298" s="22" t="n"/>
      <c r="T1298" s="4">
        <f>IF(A1298="","",TRIM(IF(K1298="","Needs decision; ","")&amp;IF(AND(K1298="Accept suggestion",F1298=""),"No suggestion to accept; ","")&amp;IF(AND(K1298="Override",L1298=""),"Override URL missing; ","")&amp;IF(AND(K1298="Accept suggestion",N(G1298)&lt;$G$2),"Below your threshold; ","")&amp;IF(AND(M1298&lt;&gt;"",M1298=A1298,K1298&lt;&gt;"No change (same URL)"),"Redirects to itself; ","")&amp;IF(AND(M1298&lt;&gt;"",OR(M1298="/",AND(LEFT(M1298,4)="http",OR((LEN(M1298)-LEN(SUBSTITUTE(M1298,"/","")))=2,AND((LEN(M1298)-LEN(SUBSTITUTE(M1298,"/","")))=3,RIGHT(M1298,1)="/"))))),"Home page redirect; ","")&amp;IF(N(R1298)&gt;1,"Chain; ","")&amp;IF(S1298="No","Destination not 200; ","")))</f>
        <v/>
      </c>
      <c r="U1298" s="22" t="n"/>
      <c r="V1298" s="22" t="n"/>
      <c r="W1298" s="4" t="n"/>
    </row>
    <row r="1299">
      <c r="A1299" s="22" t="n"/>
      <c r="B1299" s="22" t="n"/>
      <c r="C1299" s="22" t="n"/>
      <c r="D1299" s="22">
        <f>IF(A1299="","",IF(OR(N(B1299)&gt;=$C$2,N(C1299)&gt;=$E$2),"High",IF(OR(N(B1299)&gt;0,N(C1299)&gt;0),"Medium","Low")))</f>
        <v/>
      </c>
      <c r="E1299" s="22" t="n"/>
      <c r="F1299" s="22" t="n"/>
      <c r="G1299" s="22" t="n"/>
      <c r="H1299" s="22" t="n"/>
      <c r="I1299" s="22" t="n"/>
      <c r="J1299" s="22" t="n"/>
      <c r="K1299" s="22" t="n"/>
      <c r="L1299" s="22" t="n"/>
      <c r="M1299" s="22">
        <f>IF(K1299="Override",L1299,IF(K1299="Accept suggestion",F1299,IF(K1299="No change (same URL)",A1299,"")))</f>
        <v/>
      </c>
      <c r="N1299" s="22">
        <f>IF(A1299="","",IF(K1299="410 Gone","410",IF(K1299="404","404",IF(K1299="No change (same URL)","none",IF(M1299="","","301")))))</f>
        <v/>
      </c>
      <c r="O1299" s="22">
        <f>IF(A1299="","",IFERROR(MID(A1299,FIND("/",A1299,FIND("//",A1299)+2),2000),A1299))</f>
        <v/>
      </c>
      <c r="P1299" s="22">
        <f>IF(OR(O1299="",N1299="",N1299="none",N1299="404"),"",IF(N1299="410","Redirect gone "&amp;O1299,"Redirect "&amp;N1299&amp;" "&amp;O1299&amp;" "&amp;M1299))</f>
        <v/>
      </c>
      <c r="Q1299" s="22" t="n"/>
      <c r="R1299" s="22" t="n"/>
      <c r="S1299" s="22" t="n"/>
      <c r="T1299" s="4">
        <f>IF(A1299="","",TRIM(IF(K1299="","Needs decision; ","")&amp;IF(AND(K1299="Accept suggestion",F1299=""),"No suggestion to accept; ","")&amp;IF(AND(K1299="Override",L1299=""),"Override URL missing; ","")&amp;IF(AND(K1299="Accept suggestion",N(G1299)&lt;$G$2),"Below your threshold; ","")&amp;IF(AND(M1299&lt;&gt;"",M1299=A1299,K1299&lt;&gt;"No change (same URL)"),"Redirects to itself; ","")&amp;IF(AND(M1299&lt;&gt;"",OR(M1299="/",AND(LEFT(M1299,4)="http",OR((LEN(M1299)-LEN(SUBSTITUTE(M1299,"/","")))=2,AND((LEN(M1299)-LEN(SUBSTITUTE(M1299,"/","")))=3,RIGHT(M1299,1)="/"))))),"Home page redirect; ","")&amp;IF(N(R1299)&gt;1,"Chain; ","")&amp;IF(S1299="No","Destination not 200; ","")))</f>
        <v/>
      </c>
      <c r="U1299" s="22" t="n"/>
      <c r="V1299" s="22" t="n"/>
      <c r="W1299" s="4" t="n"/>
    </row>
    <row r="1300">
      <c r="A1300" s="22" t="n"/>
      <c r="B1300" s="22" t="n"/>
      <c r="C1300" s="22" t="n"/>
      <c r="D1300" s="22">
        <f>IF(A1300="","",IF(OR(N(B1300)&gt;=$C$2,N(C1300)&gt;=$E$2),"High",IF(OR(N(B1300)&gt;0,N(C1300)&gt;0),"Medium","Low")))</f>
        <v/>
      </c>
      <c r="E1300" s="22" t="n"/>
      <c r="F1300" s="22" t="n"/>
      <c r="G1300" s="22" t="n"/>
      <c r="H1300" s="22" t="n"/>
      <c r="I1300" s="22" t="n"/>
      <c r="J1300" s="22" t="n"/>
      <c r="K1300" s="22" t="n"/>
      <c r="L1300" s="22" t="n"/>
      <c r="M1300" s="22">
        <f>IF(K1300="Override",L1300,IF(K1300="Accept suggestion",F1300,IF(K1300="No change (same URL)",A1300,"")))</f>
        <v/>
      </c>
      <c r="N1300" s="22">
        <f>IF(A1300="","",IF(K1300="410 Gone","410",IF(K1300="404","404",IF(K1300="No change (same URL)","none",IF(M1300="","","301")))))</f>
        <v/>
      </c>
      <c r="O1300" s="22">
        <f>IF(A1300="","",IFERROR(MID(A1300,FIND("/",A1300,FIND("//",A1300)+2),2000),A1300))</f>
        <v/>
      </c>
      <c r="P1300" s="22">
        <f>IF(OR(O1300="",N1300="",N1300="none",N1300="404"),"",IF(N1300="410","Redirect gone "&amp;O1300,"Redirect "&amp;N1300&amp;" "&amp;O1300&amp;" "&amp;M1300))</f>
        <v/>
      </c>
      <c r="Q1300" s="22" t="n"/>
      <c r="R1300" s="22" t="n"/>
      <c r="S1300" s="22" t="n"/>
      <c r="T1300" s="4">
        <f>IF(A1300="","",TRIM(IF(K1300="","Needs decision; ","")&amp;IF(AND(K1300="Accept suggestion",F1300=""),"No suggestion to accept; ","")&amp;IF(AND(K1300="Override",L1300=""),"Override URL missing; ","")&amp;IF(AND(K1300="Accept suggestion",N(G1300)&lt;$G$2),"Below your threshold; ","")&amp;IF(AND(M1300&lt;&gt;"",M1300=A1300,K1300&lt;&gt;"No change (same URL)"),"Redirects to itself; ","")&amp;IF(AND(M1300&lt;&gt;"",OR(M1300="/",AND(LEFT(M1300,4)="http",OR((LEN(M1300)-LEN(SUBSTITUTE(M1300,"/","")))=2,AND((LEN(M1300)-LEN(SUBSTITUTE(M1300,"/","")))=3,RIGHT(M1300,1)="/"))))),"Home page redirect; ","")&amp;IF(N(R1300)&gt;1,"Chain; ","")&amp;IF(S1300="No","Destination not 200; ","")))</f>
        <v/>
      </c>
      <c r="U1300" s="22" t="n"/>
      <c r="V1300" s="22" t="n"/>
      <c r="W1300" s="4" t="n"/>
    </row>
    <row r="1301">
      <c r="A1301" s="22" t="n"/>
      <c r="B1301" s="22" t="n"/>
      <c r="C1301" s="22" t="n"/>
      <c r="D1301" s="22">
        <f>IF(A1301="","",IF(OR(N(B1301)&gt;=$C$2,N(C1301)&gt;=$E$2),"High",IF(OR(N(B1301)&gt;0,N(C1301)&gt;0),"Medium","Low")))</f>
        <v/>
      </c>
      <c r="E1301" s="22" t="n"/>
      <c r="F1301" s="22" t="n"/>
      <c r="G1301" s="22" t="n"/>
      <c r="H1301" s="22" t="n"/>
      <c r="I1301" s="22" t="n"/>
      <c r="J1301" s="22" t="n"/>
      <c r="K1301" s="22" t="n"/>
      <c r="L1301" s="22" t="n"/>
      <c r="M1301" s="22">
        <f>IF(K1301="Override",L1301,IF(K1301="Accept suggestion",F1301,IF(K1301="No change (same URL)",A1301,"")))</f>
        <v/>
      </c>
      <c r="N1301" s="22">
        <f>IF(A1301="","",IF(K1301="410 Gone","410",IF(K1301="404","404",IF(K1301="No change (same URL)","none",IF(M1301="","","301")))))</f>
        <v/>
      </c>
      <c r="O1301" s="22">
        <f>IF(A1301="","",IFERROR(MID(A1301,FIND("/",A1301,FIND("//",A1301)+2),2000),A1301))</f>
        <v/>
      </c>
      <c r="P1301" s="22">
        <f>IF(OR(O1301="",N1301="",N1301="none",N1301="404"),"",IF(N1301="410","Redirect gone "&amp;O1301,"Redirect "&amp;N1301&amp;" "&amp;O1301&amp;" "&amp;M1301))</f>
        <v/>
      </c>
      <c r="Q1301" s="22" t="n"/>
      <c r="R1301" s="22" t="n"/>
      <c r="S1301" s="22" t="n"/>
      <c r="T1301" s="4">
        <f>IF(A1301="","",TRIM(IF(K1301="","Needs decision; ","")&amp;IF(AND(K1301="Accept suggestion",F1301=""),"No suggestion to accept; ","")&amp;IF(AND(K1301="Override",L1301=""),"Override URL missing; ","")&amp;IF(AND(K1301="Accept suggestion",N(G1301)&lt;$G$2),"Below your threshold; ","")&amp;IF(AND(M1301&lt;&gt;"",M1301=A1301,K1301&lt;&gt;"No change (same URL)"),"Redirects to itself; ","")&amp;IF(AND(M1301&lt;&gt;"",OR(M1301="/",AND(LEFT(M1301,4)="http",OR((LEN(M1301)-LEN(SUBSTITUTE(M1301,"/","")))=2,AND((LEN(M1301)-LEN(SUBSTITUTE(M1301,"/","")))=3,RIGHT(M1301,1)="/"))))),"Home page redirect; ","")&amp;IF(N(R1301)&gt;1,"Chain; ","")&amp;IF(S1301="No","Destination not 200; ","")))</f>
        <v/>
      </c>
      <c r="U1301" s="22" t="n"/>
      <c r="V1301" s="22" t="n"/>
      <c r="W1301" s="4" t="n"/>
    </row>
    <row r="1302">
      <c r="A1302" s="22" t="n"/>
      <c r="B1302" s="22" t="n"/>
      <c r="C1302" s="22" t="n"/>
      <c r="D1302" s="22">
        <f>IF(A1302="","",IF(OR(N(B1302)&gt;=$C$2,N(C1302)&gt;=$E$2),"High",IF(OR(N(B1302)&gt;0,N(C1302)&gt;0),"Medium","Low")))</f>
        <v/>
      </c>
      <c r="E1302" s="22" t="n"/>
      <c r="F1302" s="22" t="n"/>
      <c r="G1302" s="22" t="n"/>
      <c r="H1302" s="22" t="n"/>
      <c r="I1302" s="22" t="n"/>
      <c r="J1302" s="22" t="n"/>
      <c r="K1302" s="22" t="n"/>
      <c r="L1302" s="22" t="n"/>
      <c r="M1302" s="22">
        <f>IF(K1302="Override",L1302,IF(K1302="Accept suggestion",F1302,IF(K1302="No change (same URL)",A1302,"")))</f>
        <v/>
      </c>
      <c r="N1302" s="22">
        <f>IF(A1302="","",IF(K1302="410 Gone","410",IF(K1302="404","404",IF(K1302="No change (same URL)","none",IF(M1302="","","301")))))</f>
        <v/>
      </c>
      <c r="O1302" s="22">
        <f>IF(A1302="","",IFERROR(MID(A1302,FIND("/",A1302,FIND("//",A1302)+2),2000),A1302))</f>
        <v/>
      </c>
      <c r="P1302" s="22">
        <f>IF(OR(O1302="",N1302="",N1302="none",N1302="404"),"",IF(N1302="410","Redirect gone "&amp;O1302,"Redirect "&amp;N1302&amp;" "&amp;O1302&amp;" "&amp;M1302))</f>
        <v/>
      </c>
      <c r="Q1302" s="22" t="n"/>
      <c r="R1302" s="22" t="n"/>
      <c r="S1302" s="22" t="n"/>
      <c r="T1302" s="4">
        <f>IF(A1302="","",TRIM(IF(K1302="","Needs decision; ","")&amp;IF(AND(K1302="Accept suggestion",F1302=""),"No suggestion to accept; ","")&amp;IF(AND(K1302="Override",L1302=""),"Override URL missing; ","")&amp;IF(AND(K1302="Accept suggestion",N(G1302)&lt;$G$2),"Below your threshold; ","")&amp;IF(AND(M1302&lt;&gt;"",M1302=A1302,K1302&lt;&gt;"No change (same URL)"),"Redirects to itself; ","")&amp;IF(AND(M1302&lt;&gt;"",OR(M1302="/",AND(LEFT(M1302,4)="http",OR((LEN(M1302)-LEN(SUBSTITUTE(M1302,"/","")))=2,AND((LEN(M1302)-LEN(SUBSTITUTE(M1302,"/","")))=3,RIGHT(M1302,1)="/"))))),"Home page redirect; ","")&amp;IF(N(R1302)&gt;1,"Chain; ","")&amp;IF(S1302="No","Destination not 200; ","")))</f>
        <v/>
      </c>
      <c r="U1302" s="22" t="n"/>
      <c r="V1302" s="22" t="n"/>
      <c r="W1302" s="4" t="n"/>
    </row>
    <row r="1303">
      <c r="A1303" s="22" t="n"/>
      <c r="B1303" s="22" t="n"/>
      <c r="C1303" s="22" t="n"/>
      <c r="D1303" s="22">
        <f>IF(A1303="","",IF(OR(N(B1303)&gt;=$C$2,N(C1303)&gt;=$E$2),"High",IF(OR(N(B1303)&gt;0,N(C1303)&gt;0),"Medium","Low")))</f>
        <v/>
      </c>
      <c r="E1303" s="22" t="n"/>
      <c r="F1303" s="22" t="n"/>
      <c r="G1303" s="22" t="n"/>
      <c r="H1303" s="22" t="n"/>
      <c r="I1303" s="22" t="n"/>
      <c r="J1303" s="22" t="n"/>
      <c r="K1303" s="22" t="n"/>
      <c r="L1303" s="22" t="n"/>
      <c r="M1303" s="22">
        <f>IF(K1303="Override",L1303,IF(K1303="Accept suggestion",F1303,IF(K1303="No change (same URL)",A1303,"")))</f>
        <v/>
      </c>
      <c r="N1303" s="22">
        <f>IF(A1303="","",IF(K1303="410 Gone","410",IF(K1303="404","404",IF(K1303="No change (same URL)","none",IF(M1303="","","301")))))</f>
        <v/>
      </c>
      <c r="O1303" s="22">
        <f>IF(A1303="","",IFERROR(MID(A1303,FIND("/",A1303,FIND("//",A1303)+2),2000),A1303))</f>
        <v/>
      </c>
      <c r="P1303" s="22">
        <f>IF(OR(O1303="",N1303="",N1303="none",N1303="404"),"",IF(N1303="410","Redirect gone "&amp;O1303,"Redirect "&amp;N1303&amp;" "&amp;O1303&amp;" "&amp;M1303))</f>
        <v/>
      </c>
      <c r="Q1303" s="22" t="n"/>
      <c r="R1303" s="22" t="n"/>
      <c r="S1303" s="22" t="n"/>
      <c r="T1303" s="4">
        <f>IF(A1303="","",TRIM(IF(K1303="","Needs decision; ","")&amp;IF(AND(K1303="Accept suggestion",F1303=""),"No suggestion to accept; ","")&amp;IF(AND(K1303="Override",L1303=""),"Override URL missing; ","")&amp;IF(AND(K1303="Accept suggestion",N(G1303)&lt;$G$2),"Below your threshold; ","")&amp;IF(AND(M1303&lt;&gt;"",M1303=A1303,K1303&lt;&gt;"No change (same URL)"),"Redirects to itself; ","")&amp;IF(AND(M1303&lt;&gt;"",OR(M1303="/",AND(LEFT(M1303,4)="http",OR((LEN(M1303)-LEN(SUBSTITUTE(M1303,"/","")))=2,AND((LEN(M1303)-LEN(SUBSTITUTE(M1303,"/","")))=3,RIGHT(M1303,1)="/"))))),"Home page redirect; ","")&amp;IF(N(R1303)&gt;1,"Chain; ","")&amp;IF(S1303="No","Destination not 200; ","")))</f>
        <v/>
      </c>
      <c r="U1303" s="22" t="n"/>
      <c r="V1303" s="22" t="n"/>
      <c r="W1303" s="4" t="n"/>
    </row>
    <row r="1304">
      <c r="A1304" s="22" t="n"/>
      <c r="B1304" s="22" t="n"/>
      <c r="C1304" s="22" t="n"/>
      <c r="D1304" s="22">
        <f>IF(A1304="","",IF(OR(N(B1304)&gt;=$C$2,N(C1304)&gt;=$E$2),"High",IF(OR(N(B1304)&gt;0,N(C1304)&gt;0),"Medium","Low")))</f>
        <v/>
      </c>
      <c r="E1304" s="22" t="n"/>
      <c r="F1304" s="22" t="n"/>
      <c r="G1304" s="22" t="n"/>
      <c r="H1304" s="22" t="n"/>
      <c r="I1304" s="22" t="n"/>
      <c r="J1304" s="22" t="n"/>
      <c r="K1304" s="22" t="n"/>
      <c r="L1304" s="22" t="n"/>
      <c r="M1304" s="22">
        <f>IF(K1304="Override",L1304,IF(K1304="Accept suggestion",F1304,IF(K1304="No change (same URL)",A1304,"")))</f>
        <v/>
      </c>
      <c r="N1304" s="22">
        <f>IF(A1304="","",IF(K1304="410 Gone","410",IF(K1304="404","404",IF(K1304="No change (same URL)","none",IF(M1304="","","301")))))</f>
        <v/>
      </c>
      <c r="O1304" s="22">
        <f>IF(A1304="","",IFERROR(MID(A1304,FIND("/",A1304,FIND("//",A1304)+2),2000),A1304))</f>
        <v/>
      </c>
      <c r="P1304" s="22">
        <f>IF(OR(O1304="",N1304="",N1304="none",N1304="404"),"",IF(N1304="410","Redirect gone "&amp;O1304,"Redirect "&amp;N1304&amp;" "&amp;O1304&amp;" "&amp;M1304))</f>
        <v/>
      </c>
      <c r="Q1304" s="22" t="n"/>
      <c r="R1304" s="22" t="n"/>
      <c r="S1304" s="22" t="n"/>
      <c r="T1304" s="4">
        <f>IF(A1304="","",TRIM(IF(K1304="","Needs decision; ","")&amp;IF(AND(K1304="Accept suggestion",F1304=""),"No suggestion to accept; ","")&amp;IF(AND(K1304="Override",L1304=""),"Override URL missing; ","")&amp;IF(AND(K1304="Accept suggestion",N(G1304)&lt;$G$2),"Below your threshold; ","")&amp;IF(AND(M1304&lt;&gt;"",M1304=A1304,K1304&lt;&gt;"No change (same URL)"),"Redirects to itself; ","")&amp;IF(AND(M1304&lt;&gt;"",OR(M1304="/",AND(LEFT(M1304,4)="http",OR((LEN(M1304)-LEN(SUBSTITUTE(M1304,"/","")))=2,AND((LEN(M1304)-LEN(SUBSTITUTE(M1304,"/","")))=3,RIGHT(M1304,1)="/"))))),"Home page redirect; ","")&amp;IF(N(R1304)&gt;1,"Chain; ","")&amp;IF(S1304="No","Destination not 200; ","")))</f>
        <v/>
      </c>
      <c r="U1304" s="22" t="n"/>
      <c r="V1304" s="22" t="n"/>
      <c r="W1304" s="4" t="n"/>
    </row>
    <row r="1305">
      <c r="A1305" s="22" t="n"/>
      <c r="B1305" s="22" t="n"/>
      <c r="C1305" s="22" t="n"/>
      <c r="D1305" s="22">
        <f>IF(A1305="","",IF(OR(N(B1305)&gt;=$C$2,N(C1305)&gt;=$E$2),"High",IF(OR(N(B1305)&gt;0,N(C1305)&gt;0),"Medium","Low")))</f>
        <v/>
      </c>
      <c r="E1305" s="22" t="n"/>
      <c r="F1305" s="22" t="n"/>
      <c r="G1305" s="22" t="n"/>
      <c r="H1305" s="22" t="n"/>
      <c r="I1305" s="22" t="n"/>
      <c r="J1305" s="22" t="n"/>
      <c r="K1305" s="22" t="n"/>
      <c r="L1305" s="22" t="n"/>
      <c r="M1305" s="22">
        <f>IF(K1305="Override",L1305,IF(K1305="Accept suggestion",F1305,IF(K1305="No change (same URL)",A1305,"")))</f>
        <v/>
      </c>
      <c r="N1305" s="22">
        <f>IF(A1305="","",IF(K1305="410 Gone","410",IF(K1305="404","404",IF(K1305="No change (same URL)","none",IF(M1305="","","301")))))</f>
        <v/>
      </c>
      <c r="O1305" s="22">
        <f>IF(A1305="","",IFERROR(MID(A1305,FIND("/",A1305,FIND("//",A1305)+2),2000),A1305))</f>
        <v/>
      </c>
      <c r="P1305" s="22">
        <f>IF(OR(O1305="",N1305="",N1305="none",N1305="404"),"",IF(N1305="410","Redirect gone "&amp;O1305,"Redirect "&amp;N1305&amp;" "&amp;O1305&amp;" "&amp;M1305))</f>
        <v/>
      </c>
      <c r="Q1305" s="22" t="n"/>
      <c r="R1305" s="22" t="n"/>
      <c r="S1305" s="22" t="n"/>
      <c r="T1305" s="4">
        <f>IF(A1305="","",TRIM(IF(K1305="","Needs decision; ","")&amp;IF(AND(K1305="Accept suggestion",F1305=""),"No suggestion to accept; ","")&amp;IF(AND(K1305="Override",L1305=""),"Override URL missing; ","")&amp;IF(AND(K1305="Accept suggestion",N(G1305)&lt;$G$2),"Below your threshold; ","")&amp;IF(AND(M1305&lt;&gt;"",M1305=A1305,K1305&lt;&gt;"No change (same URL)"),"Redirects to itself; ","")&amp;IF(AND(M1305&lt;&gt;"",OR(M1305="/",AND(LEFT(M1305,4)="http",OR((LEN(M1305)-LEN(SUBSTITUTE(M1305,"/","")))=2,AND((LEN(M1305)-LEN(SUBSTITUTE(M1305,"/","")))=3,RIGHT(M1305,1)="/"))))),"Home page redirect; ","")&amp;IF(N(R1305)&gt;1,"Chain; ","")&amp;IF(S1305="No","Destination not 200; ","")))</f>
        <v/>
      </c>
      <c r="U1305" s="22" t="n"/>
      <c r="V1305" s="22" t="n"/>
      <c r="W1305" s="4" t="n"/>
    </row>
    <row r="1306">
      <c r="A1306" s="22" t="n"/>
      <c r="B1306" s="22" t="n"/>
      <c r="C1306" s="22" t="n"/>
      <c r="D1306" s="22">
        <f>IF(A1306="","",IF(OR(N(B1306)&gt;=$C$2,N(C1306)&gt;=$E$2),"High",IF(OR(N(B1306)&gt;0,N(C1306)&gt;0),"Medium","Low")))</f>
        <v/>
      </c>
      <c r="E1306" s="22" t="n"/>
      <c r="F1306" s="22" t="n"/>
      <c r="G1306" s="22" t="n"/>
      <c r="H1306" s="22" t="n"/>
      <c r="I1306" s="22" t="n"/>
      <c r="J1306" s="22" t="n"/>
      <c r="K1306" s="22" t="n"/>
      <c r="L1306" s="22" t="n"/>
      <c r="M1306" s="22">
        <f>IF(K1306="Override",L1306,IF(K1306="Accept suggestion",F1306,IF(K1306="No change (same URL)",A1306,"")))</f>
        <v/>
      </c>
      <c r="N1306" s="22">
        <f>IF(A1306="","",IF(K1306="410 Gone","410",IF(K1306="404","404",IF(K1306="No change (same URL)","none",IF(M1306="","","301")))))</f>
        <v/>
      </c>
      <c r="O1306" s="22">
        <f>IF(A1306="","",IFERROR(MID(A1306,FIND("/",A1306,FIND("//",A1306)+2),2000),A1306))</f>
        <v/>
      </c>
      <c r="P1306" s="22">
        <f>IF(OR(O1306="",N1306="",N1306="none",N1306="404"),"",IF(N1306="410","Redirect gone "&amp;O1306,"Redirect "&amp;N1306&amp;" "&amp;O1306&amp;" "&amp;M1306))</f>
        <v/>
      </c>
      <c r="Q1306" s="22" t="n"/>
      <c r="R1306" s="22" t="n"/>
      <c r="S1306" s="22" t="n"/>
      <c r="T1306" s="4">
        <f>IF(A1306="","",TRIM(IF(K1306="","Needs decision; ","")&amp;IF(AND(K1306="Accept suggestion",F1306=""),"No suggestion to accept; ","")&amp;IF(AND(K1306="Override",L1306=""),"Override URL missing; ","")&amp;IF(AND(K1306="Accept suggestion",N(G1306)&lt;$G$2),"Below your threshold; ","")&amp;IF(AND(M1306&lt;&gt;"",M1306=A1306,K1306&lt;&gt;"No change (same URL)"),"Redirects to itself; ","")&amp;IF(AND(M1306&lt;&gt;"",OR(M1306="/",AND(LEFT(M1306,4)="http",OR((LEN(M1306)-LEN(SUBSTITUTE(M1306,"/","")))=2,AND((LEN(M1306)-LEN(SUBSTITUTE(M1306,"/","")))=3,RIGHT(M1306,1)="/"))))),"Home page redirect; ","")&amp;IF(N(R1306)&gt;1,"Chain; ","")&amp;IF(S1306="No","Destination not 200; ","")))</f>
        <v/>
      </c>
      <c r="U1306" s="22" t="n"/>
      <c r="V1306" s="22" t="n"/>
      <c r="W1306" s="4" t="n"/>
    </row>
    <row r="1307">
      <c r="A1307" s="22" t="n"/>
      <c r="B1307" s="22" t="n"/>
      <c r="C1307" s="22" t="n"/>
      <c r="D1307" s="22">
        <f>IF(A1307="","",IF(OR(N(B1307)&gt;=$C$2,N(C1307)&gt;=$E$2),"High",IF(OR(N(B1307)&gt;0,N(C1307)&gt;0),"Medium","Low")))</f>
        <v/>
      </c>
      <c r="E1307" s="22" t="n"/>
      <c r="F1307" s="22" t="n"/>
      <c r="G1307" s="22" t="n"/>
      <c r="H1307" s="22" t="n"/>
      <c r="I1307" s="22" t="n"/>
      <c r="J1307" s="22" t="n"/>
      <c r="K1307" s="22" t="n"/>
      <c r="L1307" s="22" t="n"/>
      <c r="M1307" s="22">
        <f>IF(K1307="Override",L1307,IF(K1307="Accept suggestion",F1307,IF(K1307="No change (same URL)",A1307,"")))</f>
        <v/>
      </c>
      <c r="N1307" s="22">
        <f>IF(A1307="","",IF(K1307="410 Gone","410",IF(K1307="404","404",IF(K1307="No change (same URL)","none",IF(M1307="","","301")))))</f>
        <v/>
      </c>
      <c r="O1307" s="22">
        <f>IF(A1307="","",IFERROR(MID(A1307,FIND("/",A1307,FIND("//",A1307)+2),2000),A1307))</f>
        <v/>
      </c>
      <c r="P1307" s="22">
        <f>IF(OR(O1307="",N1307="",N1307="none",N1307="404"),"",IF(N1307="410","Redirect gone "&amp;O1307,"Redirect "&amp;N1307&amp;" "&amp;O1307&amp;" "&amp;M1307))</f>
        <v/>
      </c>
      <c r="Q1307" s="22" t="n"/>
      <c r="R1307" s="22" t="n"/>
      <c r="S1307" s="22" t="n"/>
      <c r="T1307" s="4">
        <f>IF(A1307="","",TRIM(IF(K1307="","Needs decision; ","")&amp;IF(AND(K1307="Accept suggestion",F1307=""),"No suggestion to accept; ","")&amp;IF(AND(K1307="Override",L1307=""),"Override URL missing; ","")&amp;IF(AND(K1307="Accept suggestion",N(G1307)&lt;$G$2),"Below your threshold; ","")&amp;IF(AND(M1307&lt;&gt;"",M1307=A1307,K1307&lt;&gt;"No change (same URL)"),"Redirects to itself; ","")&amp;IF(AND(M1307&lt;&gt;"",OR(M1307="/",AND(LEFT(M1307,4)="http",OR((LEN(M1307)-LEN(SUBSTITUTE(M1307,"/","")))=2,AND((LEN(M1307)-LEN(SUBSTITUTE(M1307,"/","")))=3,RIGHT(M1307,1)="/"))))),"Home page redirect; ","")&amp;IF(N(R1307)&gt;1,"Chain; ","")&amp;IF(S1307="No","Destination not 200; ","")))</f>
        <v/>
      </c>
      <c r="U1307" s="22" t="n"/>
      <c r="V1307" s="22" t="n"/>
      <c r="W1307" s="4" t="n"/>
    </row>
    <row r="1308">
      <c r="A1308" s="22" t="n"/>
      <c r="B1308" s="22" t="n"/>
      <c r="C1308" s="22" t="n"/>
      <c r="D1308" s="22">
        <f>IF(A1308="","",IF(OR(N(B1308)&gt;=$C$2,N(C1308)&gt;=$E$2),"High",IF(OR(N(B1308)&gt;0,N(C1308)&gt;0),"Medium","Low")))</f>
        <v/>
      </c>
      <c r="E1308" s="22" t="n"/>
      <c r="F1308" s="22" t="n"/>
      <c r="G1308" s="22" t="n"/>
      <c r="H1308" s="22" t="n"/>
      <c r="I1308" s="22" t="n"/>
      <c r="J1308" s="22" t="n"/>
      <c r="K1308" s="22" t="n"/>
      <c r="L1308" s="22" t="n"/>
      <c r="M1308" s="22">
        <f>IF(K1308="Override",L1308,IF(K1308="Accept suggestion",F1308,IF(K1308="No change (same URL)",A1308,"")))</f>
        <v/>
      </c>
      <c r="N1308" s="22">
        <f>IF(A1308="","",IF(K1308="410 Gone","410",IF(K1308="404","404",IF(K1308="No change (same URL)","none",IF(M1308="","","301")))))</f>
        <v/>
      </c>
      <c r="O1308" s="22">
        <f>IF(A1308="","",IFERROR(MID(A1308,FIND("/",A1308,FIND("//",A1308)+2),2000),A1308))</f>
        <v/>
      </c>
      <c r="P1308" s="22">
        <f>IF(OR(O1308="",N1308="",N1308="none",N1308="404"),"",IF(N1308="410","Redirect gone "&amp;O1308,"Redirect "&amp;N1308&amp;" "&amp;O1308&amp;" "&amp;M1308))</f>
        <v/>
      </c>
      <c r="Q1308" s="22" t="n"/>
      <c r="R1308" s="22" t="n"/>
      <c r="S1308" s="22" t="n"/>
      <c r="T1308" s="4">
        <f>IF(A1308="","",TRIM(IF(K1308="","Needs decision; ","")&amp;IF(AND(K1308="Accept suggestion",F1308=""),"No suggestion to accept; ","")&amp;IF(AND(K1308="Override",L1308=""),"Override URL missing; ","")&amp;IF(AND(K1308="Accept suggestion",N(G1308)&lt;$G$2),"Below your threshold; ","")&amp;IF(AND(M1308&lt;&gt;"",M1308=A1308,K1308&lt;&gt;"No change (same URL)"),"Redirects to itself; ","")&amp;IF(AND(M1308&lt;&gt;"",OR(M1308="/",AND(LEFT(M1308,4)="http",OR((LEN(M1308)-LEN(SUBSTITUTE(M1308,"/","")))=2,AND((LEN(M1308)-LEN(SUBSTITUTE(M1308,"/","")))=3,RIGHT(M1308,1)="/"))))),"Home page redirect; ","")&amp;IF(N(R1308)&gt;1,"Chain; ","")&amp;IF(S1308="No","Destination not 200; ","")))</f>
        <v/>
      </c>
      <c r="U1308" s="22" t="n"/>
      <c r="V1308" s="22" t="n"/>
      <c r="W1308" s="4" t="n"/>
    </row>
    <row r="1309">
      <c r="A1309" s="22" t="n"/>
      <c r="B1309" s="22" t="n"/>
      <c r="C1309" s="22" t="n"/>
      <c r="D1309" s="22">
        <f>IF(A1309="","",IF(OR(N(B1309)&gt;=$C$2,N(C1309)&gt;=$E$2),"High",IF(OR(N(B1309)&gt;0,N(C1309)&gt;0),"Medium","Low")))</f>
        <v/>
      </c>
      <c r="E1309" s="22" t="n"/>
      <c r="F1309" s="22" t="n"/>
      <c r="G1309" s="22" t="n"/>
      <c r="H1309" s="22" t="n"/>
      <c r="I1309" s="22" t="n"/>
      <c r="J1309" s="22" t="n"/>
      <c r="K1309" s="22" t="n"/>
      <c r="L1309" s="22" t="n"/>
      <c r="M1309" s="22">
        <f>IF(K1309="Override",L1309,IF(K1309="Accept suggestion",F1309,IF(K1309="No change (same URL)",A1309,"")))</f>
        <v/>
      </c>
      <c r="N1309" s="22">
        <f>IF(A1309="","",IF(K1309="410 Gone","410",IF(K1309="404","404",IF(K1309="No change (same URL)","none",IF(M1309="","","301")))))</f>
        <v/>
      </c>
      <c r="O1309" s="22">
        <f>IF(A1309="","",IFERROR(MID(A1309,FIND("/",A1309,FIND("//",A1309)+2),2000),A1309))</f>
        <v/>
      </c>
      <c r="P1309" s="22">
        <f>IF(OR(O1309="",N1309="",N1309="none",N1309="404"),"",IF(N1309="410","Redirect gone "&amp;O1309,"Redirect "&amp;N1309&amp;" "&amp;O1309&amp;" "&amp;M1309))</f>
        <v/>
      </c>
      <c r="Q1309" s="22" t="n"/>
      <c r="R1309" s="22" t="n"/>
      <c r="S1309" s="22" t="n"/>
      <c r="T1309" s="4">
        <f>IF(A1309="","",TRIM(IF(K1309="","Needs decision; ","")&amp;IF(AND(K1309="Accept suggestion",F1309=""),"No suggestion to accept; ","")&amp;IF(AND(K1309="Override",L1309=""),"Override URL missing; ","")&amp;IF(AND(K1309="Accept suggestion",N(G1309)&lt;$G$2),"Below your threshold; ","")&amp;IF(AND(M1309&lt;&gt;"",M1309=A1309,K1309&lt;&gt;"No change (same URL)"),"Redirects to itself; ","")&amp;IF(AND(M1309&lt;&gt;"",OR(M1309="/",AND(LEFT(M1309,4)="http",OR((LEN(M1309)-LEN(SUBSTITUTE(M1309,"/","")))=2,AND((LEN(M1309)-LEN(SUBSTITUTE(M1309,"/","")))=3,RIGHT(M1309,1)="/"))))),"Home page redirect; ","")&amp;IF(N(R1309)&gt;1,"Chain; ","")&amp;IF(S1309="No","Destination not 200; ","")))</f>
        <v/>
      </c>
      <c r="U1309" s="22" t="n"/>
      <c r="V1309" s="22" t="n"/>
      <c r="W1309" s="4" t="n"/>
    </row>
    <row r="1310">
      <c r="A1310" s="22" t="n"/>
      <c r="B1310" s="22" t="n"/>
      <c r="C1310" s="22" t="n"/>
      <c r="D1310" s="22">
        <f>IF(A1310="","",IF(OR(N(B1310)&gt;=$C$2,N(C1310)&gt;=$E$2),"High",IF(OR(N(B1310)&gt;0,N(C1310)&gt;0),"Medium","Low")))</f>
        <v/>
      </c>
      <c r="E1310" s="22" t="n"/>
      <c r="F1310" s="22" t="n"/>
      <c r="G1310" s="22" t="n"/>
      <c r="H1310" s="22" t="n"/>
      <c r="I1310" s="22" t="n"/>
      <c r="J1310" s="22" t="n"/>
      <c r="K1310" s="22" t="n"/>
      <c r="L1310" s="22" t="n"/>
      <c r="M1310" s="22">
        <f>IF(K1310="Override",L1310,IF(K1310="Accept suggestion",F1310,IF(K1310="No change (same URL)",A1310,"")))</f>
        <v/>
      </c>
      <c r="N1310" s="22">
        <f>IF(A1310="","",IF(K1310="410 Gone","410",IF(K1310="404","404",IF(K1310="No change (same URL)","none",IF(M1310="","","301")))))</f>
        <v/>
      </c>
      <c r="O1310" s="22">
        <f>IF(A1310="","",IFERROR(MID(A1310,FIND("/",A1310,FIND("//",A1310)+2),2000),A1310))</f>
        <v/>
      </c>
      <c r="P1310" s="22">
        <f>IF(OR(O1310="",N1310="",N1310="none",N1310="404"),"",IF(N1310="410","Redirect gone "&amp;O1310,"Redirect "&amp;N1310&amp;" "&amp;O1310&amp;" "&amp;M1310))</f>
        <v/>
      </c>
      <c r="Q1310" s="22" t="n"/>
      <c r="R1310" s="22" t="n"/>
      <c r="S1310" s="22" t="n"/>
      <c r="T1310" s="4">
        <f>IF(A1310="","",TRIM(IF(K1310="","Needs decision; ","")&amp;IF(AND(K1310="Accept suggestion",F1310=""),"No suggestion to accept; ","")&amp;IF(AND(K1310="Override",L1310=""),"Override URL missing; ","")&amp;IF(AND(K1310="Accept suggestion",N(G1310)&lt;$G$2),"Below your threshold; ","")&amp;IF(AND(M1310&lt;&gt;"",M1310=A1310,K1310&lt;&gt;"No change (same URL)"),"Redirects to itself; ","")&amp;IF(AND(M1310&lt;&gt;"",OR(M1310="/",AND(LEFT(M1310,4)="http",OR((LEN(M1310)-LEN(SUBSTITUTE(M1310,"/","")))=2,AND((LEN(M1310)-LEN(SUBSTITUTE(M1310,"/","")))=3,RIGHT(M1310,1)="/"))))),"Home page redirect; ","")&amp;IF(N(R1310)&gt;1,"Chain; ","")&amp;IF(S1310="No","Destination not 200; ","")))</f>
        <v/>
      </c>
      <c r="U1310" s="22" t="n"/>
      <c r="V1310" s="22" t="n"/>
      <c r="W1310" s="4" t="n"/>
    </row>
    <row r="1311">
      <c r="A1311" s="22" t="n"/>
      <c r="B1311" s="22" t="n"/>
      <c r="C1311" s="22" t="n"/>
      <c r="D1311" s="22">
        <f>IF(A1311="","",IF(OR(N(B1311)&gt;=$C$2,N(C1311)&gt;=$E$2),"High",IF(OR(N(B1311)&gt;0,N(C1311)&gt;0),"Medium","Low")))</f>
        <v/>
      </c>
      <c r="E1311" s="22" t="n"/>
      <c r="F1311" s="22" t="n"/>
      <c r="G1311" s="22" t="n"/>
      <c r="H1311" s="22" t="n"/>
      <c r="I1311" s="22" t="n"/>
      <c r="J1311" s="22" t="n"/>
      <c r="K1311" s="22" t="n"/>
      <c r="L1311" s="22" t="n"/>
      <c r="M1311" s="22">
        <f>IF(K1311="Override",L1311,IF(K1311="Accept suggestion",F1311,IF(K1311="No change (same URL)",A1311,"")))</f>
        <v/>
      </c>
      <c r="N1311" s="22">
        <f>IF(A1311="","",IF(K1311="410 Gone","410",IF(K1311="404","404",IF(K1311="No change (same URL)","none",IF(M1311="","","301")))))</f>
        <v/>
      </c>
      <c r="O1311" s="22">
        <f>IF(A1311="","",IFERROR(MID(A1311,FIND("/",A1311,FIND("//",A1311)+2),2000),A1311))</f>
        <v/>
      </c>
      <c r="P1311" s="22">
        <f>IF(OR(O1311="",N1311="",N1311="none",N1311="404"),"",IF(N1311="410","Redirect gone "&amp;O1311,"Redirect "&amp;N1311&amp;" "&amp;O1311&amp;" "&amp;M1311))</f>
        <v/>
      </c>
      <c r="Q1311" s="22" t="n"/>
      <c r="R1311" s="22" t="n"/>
      <c r="S1311" s="22" t="n"/>
      <c r="T1311" s="4">
        <f>IF(A1311="","",TRIM(IF(K1311="","Needs decision; ","")&amp;IF(AND(K1311="Accept suggestion",F1311=""),"No suggestion to accept; ","")&amp;IF(AND(K1311="Override",L1311=""),"Override URL missing; ","")&amp;IF(AND(K1311="Accept suggestion",N(G1311)&lt;$G$2),"Below your threshold; ","")&amp;IF(AND(M1311&lt;&gt;"",M1311=A1311,K1311&lt;&gt;"No change (same URL)"),"Redirects to itself; ","")&amp;IF(AND(M1311&lt;&gt;"",OR(M1311="/",AND(LEFT(M1311,4)="http",OR((LEN(M1311)-LEN(SUBSTITUTE(M1311,"/","")))=2,AND((LEN(M1311)-LEN(SUBSTITUTE(M1311,"/","")))=3,RIGHT(M1311,1)="/"))))),"Home page redirect; ","")&amp;IF(N(R1311)&gt;1,"Chain; ","")&amp;IF(S1311="No","Destination not 200; ","")))</f>
        <v/>
      </c>
      <c r="U1311" s="22" t="n"/>
      <c r="V1311" s="22" t="n"/>
      <c r="W1311" s="4" t="n"/>
    </row>
    <row r="1312">
      <c r="A1312" s="22" t="n"/>
      <c r="B1312" s="22" t="n"/>
      <c r="C1312" s="22" t="n"/>
      <c r="D1312" s="22">
        <f>IF(A1312="","",IF(OR(N(B1312)&gt;=$C$2,N(C1312)&gt;=$E$2),"High",IF(OR(N(B1312)&gt;0,N(C1312)&gt;0),"Medium","Low")))</f>
        <v/>
      </c>
      <c r="E1312" s="22" t="n"/>
      <c r="F1312" s="22" t="n"/>
      <c r="G1312" s="22" t="n"/>
      <c r="H1312" s="22" t="n"/>
      <c r="I1312" s="22" t="n"/>
      <c r="J1312" s="22" t="n"/>
      <c r="K1312" s="22" t="n"/>
      <c r="L1312" s="22" t="n"/>
      <c r="M1312" s="22">
        <f>IF(K1312="Override",L1312,IF(K1312="Accept suggestion",F1312,IF(K1312="No change (same URL)",A1312,"")))</f>
        <v/>
      </c>
      <c r="N1312" s="22">
        <f>IF(A1312="","",IF(K1312="410 Gone","410",IF(K1312="404","404",IF(K1312="No change (same URL)","none",IF(M1312="","","301")))))</f>
        <v/>
      </c>
      <c r="O1312" s="22">
        <f>IF(A1312="","",IFERROR(MID(A1312,FIND("/",A1312,FIND("//",A1312)+2),2000),A1312))</f>
        <v/>
      </c>
      <c r="P1312" s="22">
        <f>IF(OR(O1312="",N1312="",N1312="none",N1312="404"),"",IF(N1312="410","Redirect gone "&amp;O1312,"Redirect "&amp;N1312&amp;" "&amp;O1312&amp;" "&amp;M1312))</f>
        <v/>
      </c>
      <c r="Q1312" s="22" t="n"/>
      <c r="R1312" s="22" t="n"/>
      <c r="S1312" s="22" t="n"/>
      <c r="T1312" s="4">
        <f>IF(A1312="","",TRIM(IF(K1312="","Needs decision; ","")&amp;IF(AND(K1312="Accept suggestion",F1312=""),"No suggestion to accept; ","")&amp;IF(AND(K1312="Override",L1312=""),"Override URL missing; ","")&amp;IF(AND(K1312="Accept suggestion",N(G1312)&lt;$G$2),"Below your threshold; ","")&amp;IF(AND(M1312&lt;&gt;"",M1312=A1312,K1312&lt;&gt;"No change (same URL)"),"Redirects to itself; ","")&amp;IF(AND(M1312&lt;&gt;"",OR(M1312="/",AND(LEFT(M1312,4)="http",OR((LEN(M1312)-LEN(SUBSTITUTE(M1312,"/","")))=2,AND((LEN(M1312)-LEN(SUBSTITUTE(M1312,"/","")))=3,RIGHT(M1312,1)="/"))))),"Home page redirect; ","")&amp;IF(N(R1312)&gt;1,"Chain; ","")&amp;IF(S1312="No","Destination not 200; ","")))</f>
        <v/>
      </c>
      <c r="U1312" s="22" t="n"/>
      <c r="V1312" s="22" t="n"/>
      <c r="W1312" s="4" t="n"/>
    </row>
    <row r="1313">
      <c r="A1313" s="22" t="n"/>
      <c r="B1313" s="22" t="n"/>
      <c r="C1313" s="22" t="n"/>
      <c r="D1313" s="22">
        <f>IF(A1313="","",IF(OR(N(B1313)&gt;=$C$2,N(C1313)&gt;=$E$2),"High",IF(OR(N(B1313)&gt;0,N(C1313)&gt;0),"Medium","Low")))</f>
        <v/>
      </c>
      <c r="E1313" s="22" t="n"/>
      <c r="F1313" s="22" t="n"/>
      <c r="G1313" s="22" t="n"/>
      <c r="H1313" s="22" t="n"/>
      <c r="I1313" s="22" t="n"/>
      <c r="J1313" s="22" t="n"/>
      <c r="K1313" s="22" t="n"/>
      <c r="L1313" s="22" t="n"/>
      <c r="M1313" s="22">
        <f>IF(K1313="Override",L1313,IF(K1313="Accept suggestion",F1313,IF(K1313="No change (same URL)",A1313,"")))</f>
        <v/>
      </c>
      <c r="N1313" s="22">
        <f>IF(A1313="","",IF(K1313="410 Gone","410",IF(K1313="404","404",IF(K1313="No change (same URL)","none",IF(M1313="","","301")))))</f>
        <v/>
      </c>
      <c r="O1313" s="22">
        <f>IF(A1313="","",IFERROR(MID(A1313,FIND("/",A1313,FIND("//",A1313)+2),2000),A1313))</f>
        <v/>
      </c>
      <c r="P1313" s="22">
        <f>IF(OR(O1313="",N1313="",N1313="none",N1313="404"),"",IF(N1313="410","Redirect gone "&amp;O1313,"Redirect "&amp;N1313&amp;" "&amp;O1313&amp;" "&amp;M1313))</f>
        <v/>
      </c>
      <c r="Q1313" s="22" t="n"/>
      <c r="R1313" s="22" t="n"/>
      <c r="S1313" s="22" t="n"/>
      <c r="T1313" s="4">
        <f>IF(A1313="","",TRIM(IF(K1313="","Needs decision; ","")&amp;IF(AND(K1313="Accept suggestion",F1313=""),"No suggestion to accept; ","")&amp;IF(AND(K1313="Override",L1313=""),"Override URL missing; ","")&amp;IF(AND(K1313="Accept suggestion",N(G1313)&lt;$G$2),"Below your threshold; ","")&amp;IF(AND(M1313&lt;&gt;"",M1313=A1313,K1313&lt;&gt;"No change (same URL)"),"Redirects to itself; ","")&amp;IF(AND(M1313&lt;&gt;"",OR(M1313="/",AND(LEFT(M1313,4)="http",OR((LEN(M1313)-LEN(SUBSTITUTE(M1313,"/","")))=2,AND((LEN(M1313)-LEN(SUBSTITUTE(M1313,"/","")))=3,RIGHT(M1313,1)="/"))))),"Home page redirect; ","")&amp;IF(N(R1313)&gt;1,"Chain; ","")&amp;IF(S1313="No","Destination not 200; ","")))</f>
        <v/>
      </c>
      <c r="U1313" s="22" t="n"/>
      <c r="V1313" s="22" t="n"/>
      <c r="W1313" s="4" t="n"/>
    </row>
    <row r="1314">
      <c r="A1314" s="22" t="n"/>
      <c r="B1314" s="22" t="n"/>
      <c r="C1314" s="22" t="n"/>
      <c r="D1314" s="22">
        <f>IF(A1314="","",IF(OR(N(B1314)&gt;=$C$2,N(C1314)&gt;=$E$2),"High",IF(OR(N(B1314)&gt;0,N(C1314)&gt;0),"Medium","Low")))</f>
        <v/>
      </c>
      <c r="E1314" s="22" t="n"/>
      <c r="F1314" s="22" t="n"/>
      <c r="G1314" s="22" t="n"/>
      <c r="H1314" s="22" t="n"/>
      <c r="I1314" s="22" t="n"/>
      <c r="J1314" s="22" t="n"/>
      <c r="K1314" s="22" t="n"/>
      <c r="L1314" s="22" t="n"/>
      <c r="M1314" s="22">
        <f>IF(K1314="Override",L1314,IF(K1314="Accept suggestion",F1314,IF(K1314="No change (same URL)",A1314,"")))</f>
        <v/>
      </c>
      <c r="N1314" s="22">
        <f>IF(A1314="","",IF(K1314="410 Gone","410",IF(K1314="404","404",IF(K1314="No change (same URL)","none",IF(M1314="","","301")))))</f>
        <v/>
      </c>
      <c r="O1314" s="22">
        <f>IF(A1314="","",IFERROR(MID(A1314,FIND("/",A1314,FIND("//",A1314)+2),2000),A1314))</f>
        <v/>
      </c>
      <c r="P1314" s="22">
        <f>IF(OR(O1314="",N1314="",N1314="none",N1314="404"),"",IF(N1314="410","Redirect gone "&amp;O1314,"Redirect "&amp;N1314&amp;" "&amp;O1314&amp;" "&amp;M1314))</f>
        <v/>
      </c>
      <c r="Q1314" s="22" t="n"/>
      <c r="R1314" s="22" t="n"/>
      <c r="S1314" s="22" t="n"/>
      <c r="T1314" s="4">
        <f>IF(A1314="","",TRIM(IF(K1314="","Needs decision; ","")&amp;IF(AND(K1314="Accept suggestion",F1314=""),"No suggestion to accept; ","")&amp;IF(AND(K1314="Override",L1314=""),"Override URL missing; ","")&amp;IF(AND(K1314="Accept suggestion",N(G1314)&lt;$G$2),"Below your threshold; ","")&amp;IF(AND(M1314&lt;&gt;"",M1314=A1314,K1314&lt;&gt;"No change (same URL)"),"Redirects to itself; ","")&amp;IF(AND(M1314&lt;&gt;"",OR(M1314="/",AND(LEFT(M1314,4)="http",OR((LEN(M1314)-LEN(SUBSTITUTE(M1314,"/","")))=2,AND((LEN(M1314)-LEN(SUBSTITUTE(M1314,"/","")))=3,RIGHT(M1314,1)="/"))))),"Home page redirect; ","")&amp;IF(N(R1314)&gt;1,"Chain; ","")&amp;IF(S1314="No","Destination not 200; ","")))</f>
        <v/>
      </c>
      <c r="U1314" s="22" t="n"/>
      <c r="V1314" s="22" t="n"/>
      <c r="W1314" s="4" t="n"/>
    </row>
    <row r="1315">
      <c r="A1315" s="22" t="n"/>
      <c r="B1315" s="22" t="n"/>
      <c r="C1315" s="22" t="n"/>
      <c r="D1315" s="22">
        <f>IF(A1315="","",IF(OR(N(B1315)&gt;=$C$2,N(C1315)&gt;=$E$2),"High",IF(OR(N(B1315)&gt;0,N(C1315)&gt;0),"Medium","Low")))</f>
        <v/>
      </c>
      <c r="E1315" s="22" t="n"/>
      <c r="F1315" s="22" t="n"/>
      <c r="G1315" s="22" t="n"/>
      <c r="H1315" s="22" t="n"/>
      <c r="I1315" s="22" t="n"/>
      <c r="J1315" s="22" t="n"/>
      <c r="K1315" s="22" t="n"/>
      <c r="L1315" s="22" t="n"/>
      <c r="M1315" s="22">
        <f>IF(K1315="Override",L1315,IF(K1315="Accept suggestion",F1315,IF(K1315="No change (same URL)",A1315,"")))</f>
        <v/>
      </c>
      <c r="N1315" s="22">
        <f>IF(A1315="","",IF(K1315="410 Gone","410",IF(K1315="404","404",IF(K1315="No change (same URL)","none",IF(M1315="","","301")))))</f>
        <v/>
      </c>
      <c r="O1315" s="22">
        <f>IF(A1315="","",IFERROR(MID(A1315,FIND("/",A1315,FIND("//",A1315)+2),2000),A1315))</f>
        <v/>
      </c>
      <c r="P1315" s="22">
        <f>IF(OR(O1315="",N1315="",N1315="none",N1315="404"),"",IF(N1315="410","Redirect gone "&amp;O1315,"Redirect "&amp;N1315&amp;" "&amp;O1315&amp;" "&amp;M1315))</f>
        <v/>
      </c>
      <c r="Q1315" s="22" t="n"/>
      <c r="R1315" s="22" t="n"/>
      <c r="S1315" s="22" t="n"/>
      <c r="T1315" s="4">
        <f>IF(A1315="","",TRIM(IF(K1315="","Needs decision; ","")&amp;IF(AND(K1315="Accept suggestion",F1315=""),"No suggestion to accept; ","")&amp;IF(AND(K1315="Override",L1315=""),"Override URL missing; ","")&amp;IF(AND(K1315="Accept suggestion",N(G1315)&lt;$G$2),"Below your threshold; ","")&amp;IF(AND(M1315&lt;&gt;"",M1315=A1315,K1315&lt;&gt;"No change (same URL)"),"Redirects to itself; ","")&amp;IF(AND(M1315&lt;&gt;"",OR(M1315="/",AND(LEFT(M1315,4)="http",OR((LEN(M1315)-LEN(SUBSTITUTE(M1315,"/","")))=2,AND((LEN(M1315)-LEN(SUBSTITUTE(M1315,"/","")))=3,RIGHT(M1315,1)="/"))))),"Home page redirect; ","")&amp;IF(N(R1315)&gt;1,"Chain; ","")&amp;IF(S1315="No","Destination not 200; ","")))</f>
        <v/>
      </c>
      <c r="U1315" s="22" t="n"/>
      <c r="V1315" s="22" t="n"/>
      <c r="W1315" s="4" t="n"/>
    </row>
    <row r="1316">
      <c r="A1316" s="22" t="n"/>
      <c r="B1316" s="22" t="n"/>
      <c r="C1316" s="22" t="n"/>
      <c r="D1316" s="22">
        <f>IF(A1316="","",IF(OR(N(B1316)&gt;=$C$2,N(C1316)&gt;=$E$2),"High",IF(OR(N(B1316)&gt;0,N(C1316)&gt;0),"Medium","Low")))</f>
        <v/>
      </c>
      <c r="E1316" s="22" t="n"/>
      <c r="F1316" s="22" t="n"/>
      <c r="G1316" s="22" t="n"/>
      <c r="H1316" s="22" t="n"/>
      <c r="I1316" s="22" t="n"/>
      <c r="J1316" s="22" t="n"/>
      <c r="K1316" s="22" t="n"/>
      <c r="L1316" s="22" t="n"/>
      <c r="M1316" s="22">
        <f>IF(K1316="Override",L1316,IF(K1316="Accept suggestion",F1316,IF(K1316="No change (same URL)",A1316,"")))</f>
        <v/>
      </c>
      <c r="N1316" s="22">
        <f>IF(A1316="","",IF(K1316="410 Gone","410",IF(K1316="404","404",IF(K1316="No change (same URL)","none",IF(M1316="","","301")))))</f>
        <v/>
      </c>
      <c r="O1316" s="22">
        <f>IF(A1316="","",IFERROR(MID(A1316,FIND("/",A1316,FIND("//",A1316)+2),2000),A1316))</f>
        <v/>
      </c>
      <c r="P1316" s="22">
        <f>IF(OR(O1316="",N1316="",N1316="none",N1316="404"),"",IF(N1316="410","Redirect gone "&amp;O1316,"Redirect "&amp;N1316&amp;" "&amp;O1316&amp;" "&amp;M1316))</f>
        <v/>
      </c>
      <c r="Q1316" s="22" t="n"/>
      <c r="R1316" s="22" t="n"/>
      <c r="S1316" s="22" t="n"/>
      <c r="T1316" s="4">
        <f>IF(A1316="","",TRIM(IF(K1316="","Needs decision; ","")&amp;IF(AND(K1316="Accept suggestion",F1316=""),"No suggestion to accept; ","")&amp;IF(AND(K1316="Override",L1316=""),"Override URL missing; ","")&amp;IF(AND(K1316="Accept suggestion",N(G1316)&lt;$G$2),"Below your threshold; ","")&amp;IF(AND(M1316&lt;&gt;"",M1316=A1316,K1316&lt;&gt;"No change (same URL)"),"Redirects to itself; ","")&amp;IF(AND(M1316&lt;&gt;"",OR(M1316="/",AND(LEFT(M1316,4)="http",OR((LEN(M1316)-LEN(SUBSTITUTE(M1316,"/","")))=2,AND((LEN(M1316)-LEN(SUBSTITUTE(M1316,"/","")))=3,RIGHT(M1316,1)="/"))))),"Home page redirect; ","")&amp;IF(N(R1316)&gt;1,"Chain; ","")&amp;IF(S1316="No","Destination not 200; ","")))</f>
        <v/>
      </c>
      <c r="U1316" s="22" t="n"/>
      <c r="V1316" s="22" t="n"/>
      <c r="W1316" s="4" t="n"/>
    </row>
    <row r="1317">
      <c r="A1317" s="22" t="n"/>
      <c r="B1317" s="22" t="n"/>
      <c r="C1317" s="22" t="n"/>
      <c r="D1317" s="22">
        <f>IF(A1317="","",IF(OR(N(B1317)&gt;=$C$2,N(C1317)&gt;=$E$2),"High",IF(OR(N(B1317)&gt;0,N(C1317)&gt;0),"Medium","Low")))</f>
        <v/>
      </c>
      <c r="E1317" s="22" t="n"/>
      <c r="F1317" s="22" t="n"/>
      <c r="G1317" s="22" t="n"/>
      <c r="H1317" s="22" t="n"/>
      <c r="I1317" s="22" t="n"/>
      <c r="J1317" s="22" t="n"/>
      <c r="K1317" s="22" t="n"/>
      <c r="L1317" s="22" t="n"/>
      <c r="M1317" s="22">
        <f>IF(K1317="Override",L1317,IF(K1317="Accept suggestion",F1317,IF(K1317="No change (same URL)",A1317,"")))</f>
        <v/>
      </c>
      <c r="N1317" s="22">
        <f>IF(A1317="","",IF(K1317="410 Gone","410",IF(K1317="404","404",IF(K1317="No change (same URL)","none",IF(M1317="","","301")))))</f>
        <v/>
      </c>
      <c r="O1317" s="22">
        <f>IF(A1317="","",IFERROR(MID(A1317,FIND("/",A1317,FIND("//",A1317)+2),2000),A1317))</f>
        <v/>
      </c>
      <c r="P1317" s="22">
        <f>IF(OR(O1317="",N1317="",N1317="none",N1317="404"),"",IF(N1317="410","Redirect gone "&amp;O1317,"Redirect "&amp;N1317&amp;" "&amp;O1317&amp;" "&amp;M1317))</f>
        <v/>
      </c>
      <c r="Q1317" s="22" t="n"/>
      <c r="R1317" s="22" t="n"/>
      <c r="S1317" s="22" t="n"/>
      <c r="T1317" s="4">
        <f>IF(A1317="","",TRIM(IF(K1317="","Needs decision; ","")&amp;IF(AND(K1317="Accept suggestion",F1317=""),"No suggestion to accept; ","")&amp;IF(AND(K1317="Override",L1317=""),"Override URL missing; ","")&amp;IF(AND(K1317="Accept suggestion",N(G1317)&lt;$G$2),"Below your threshold; ","")&amp;IF(AND(M1317&lt;&gt;"",M1317=A1317,K1317&lt;&gt;"No change (same URL)"),"Redirects to itself; ","")&amp;IF(AND(M1317&lt;&gt;"",OR(M1317="/",AND(LEFT(M1317,4)="http",OR((LEN(M1317)-LEN(SUBSTITUTE(M1317,"/","")))=2,AND((LEN(M1317)-LEN(SUBSTITUTE(M1317,"/","")))=3,RIGHT(M1317,1)="/"))))),"Home page redirect; ","")&amp;IF(N(R1317)&gt;1,"Chain; ","")&amp;IF(S1317="No","Destination not 200; ","")))</f>
        <v/>
      </c>
      <c r="U1317" s="22" t="n"/>
      <c r="V1317" s="22" t="n"/>
      <c r="W1317" s="4" t="n"/>
    </row>
    <row r="1318">
      <c r="A1318" s="22" t="n"/>
      <c r="B1318" s="22" t="n"/>
      <c r="C1318" s="22" t="n"/>
      <c r="D1318" s="22">
        <f>IF(A1318="","",IF(OR(N(B1318)&gt;=$C$2,N(C1318)&gt;=$E$2),"High",IF(OR(N(B1318)&gt;0,N(C1318)&gt;0),"Medium","Low")))</f>
        <v/>
      </c>
      <c r="E1318" s="22" t="n"/>
      <c r="F1318" s="22" t="n"/>
      <c r="G1318" s="22" t="n"/>
      <c r="H1318" s="22" t="n"/>
      <c r="I1318" s="22" t="n"/>
      <c r="J1318" s="22" t="n"/>
      <c r="K1318" s="22" t="n"/>
      <c r="L1318" s="22" t="n"/>
      <c r="M1318" s="22">
        <f>IF(K1318="Override",L1318,IF(K1318="Accept suggestion",F1318,IF(K1318="No change (same URL)",A1318,"")))</f>
        <v/>
      </c>
      <c r="N1318" s="22">
        <f>IF(A1318="","",IF(K1318="410 Gone","410",IF(K1318="404","404",IF(K1318="No change (same URL)","none",IF(M1318="","","301")))))</f>
        <v/>
      </c>
      <c r="O1318" s="22">
        <f>IF(A1318="","",IFERROR(MID(A1318,FIND("/",A1318,FIND("//",A1318)+2),2000),A1318))</f>
        <v/>
      </c>
      <c r="P1318" s="22">
        <f>IF(OR(O1318="",N1318="",N1318="none",N1318="404"),"",IF(N1318="410","Redirect gone "&amp;O1318,"Redirect "&amp;N1318&amp;" "&amp;O1318&amp;" "&amp;M1318))</f>
        <v/>
      </c>
      <c r="Q1318" s="22" t="n"/>
      <c r="R1318" s="22" t="n"/>
      <c r="S1318" s="22" t="n"/>
      <c r="T1318" s="4">
        <f>IF(A1318="","",TRIM(IF(K1318="","Needs decision; ","")&amp;IF(AND(K1318="Accept suggestion",F1318=""),"No suggestion to accept; ","")&amp;IF(AND(K1318="Override",L1318=""),"Override URL missing; ","")&amp;IF(AND(K1318="Accept suggestion",N(G1318)&lt;$G$2),"Below your threshold; ","")&amp;IF(AND(M1318&lt;&gt;"",M1318=A1318,K1318&lt;&gt;"No change (same URL)"),"Redirects to itself; ","")&amp;IF(AND(M1318&lt;&gt;"",OR(M1318="/",AND(LEFT(M1318,4)="http",OR((LEN(M1318)-LEN(SUBSTITUTE(M1318,"/","")))=2,AND((LEN(M1318)-LEN(SUBSTITUTE(M1318,"/","")))=3,RIGHT(M1318,1)="/"))))),"Home page redirect; ","")&amp;IF(N(R1318)&gt;1,"Chain; ","")&amp;IF(S1318="No","Destination not 200; ","")))</f>
        <v/>
      </c>
      <c r="U1318" s="22" t="n"/>
      <c r="V1318" s="22" t="n"/>
      <c r="W1318" s="4" t="n"/>
    </row>
    <row r="1319">
      <c r="A1319" s="22" t="n"/>
      <c r="B1319" s="22" t="n"/>
      <c r="C1319" s="22" t="n"/>
      <c r="D1319" s="22">
        <f>IF(A1319="","",IF(OR(N(B1319)&gt;=$C$2,N(C1319)&gt;=$E$2),"High",IF(OR(N(B1319)&gt;0,N(C1319)&gt;0),"Medium","Low")))</f>
        <v/>
      </c>
      <c r="E1319" s="22" t="n"/>
      <c r="F1319" s="22" t="n"/>
      <c r="G1319" s="22" t="n"/>
      <c r="H1319" s="22" t="n"/>
      <c r="I1319" s="22" t="n"/>
      <c r="J1319" s="22" t="n"/>
      <c r="K1319" s="22" t="n"/>
      <c r="L1319" s="22" t="n"/>
      <c r="M1319" s="22">
        <f>IF(K1319="Override",L1319,IF(K1319="Accept suggestion",F1319,IF(K1319="No change (same URL)",A1319,"")))</f>
        <v/>
      </c>
      <c r="N1319" s="22">
        <f>IF(A1319="","",IF(K1319="410 Gone","410",IF(K1319="404","404",IF(K1319="No change (same URL)","none",IF(M1319="","","301")))))</f>
        <v/>
      </c>
      <c r="O1319" s="22">
        <f>IF(A1319="","",IFERROR(MID(A1319,FIND("/",A1319,FIND("//",A1319)+2),2000),A1319))</f>
        <v/>
      </c>
      <c r="P1319" s="22">
        <f>IF(OR(O1319="",N1319="",N1319="none",N1319="404"),"",IF(N1319="410","Redirect gone "&amp;O1319,"Redirect "&amp;N1319&amp;" "&amp;O1319&amp;" "&amp;M1319))</f>
        <v/>
      </c>
      <c r="Q1319" s="22" t="n"/>
      <c r="R1319" s="22" t="n"/>
      <c r="S1319" s="22" t="n"/>
      <c r="T1319" s="4">
        <f>IF(A1319="","",TRIM(IF(K1319="","Needs decision; ","")&amp;IF(AND(K1319="Accept suggestion",F1319=""),"No suggestion to accept; ","")&amp;IF(AND(K1319="Override",L1319=""),"Override URL missing; ","")&amp;IF(AND(K1319="Accept suggestion",N(G1319)&lt;$G$2),"Below your threshold; ","")&amp;IF(AND(M1319&lt;&gt;"",M1319=A1319,K1319&lt;&gt;"No change (same URL)"),"Redirects to itself; ","")&amp;IF(AND(M1319&lt;&gt;"",OR(M1319="/",AND(LEFT(M1319,4)="http",OR((LEN(M1319)-LEN(SUBSTITUTE(M1319,"/","")))=2,AND((LEN(M1319)-LEN(SUBSTITUTE(M1319,"/","")))=3,RIGHT(M1319,1)="/"))))),"Home page redirect; ","")&amp;IF(N(R1319)&gt;1,"Chain; ","")&amp;IF(S1319="No","Destination not 200; ","")))</f>
        <v/>
      </c>
      <c r="U1319" s="22" t="n"/>
      <c r="V1319" s="22" t="n"/>
      <c r="W1319" s="4" t="n"/>
    </row>
    <row r="1320">
      <c r="A1320" s="22" t="n"/>
      <c r="B1320" s="22" t="n"/>
      <c r="C1320" s="22" t="n"/>
      <c r="D1320" s="22">
        <f>IF(A1320="","",IF(OR(N(B1320)&gt;=$C$2,N(C1320)&gt;=$E$2),"High",IF(OR(N(B1320)&gt;0,N(C1320)&gt;0),"Medium","Low")))</f>
        <v/>
      </c>
      <c r="E1320" s="22" t="n"/>
      <c r="F1320" s="22" t="n"/>
      <c r="G1320" s="22" t="n"/>
      <c r="H1320" s="22" t="n"/>
      <c r="I1320" s="22" t="n"/>
      <c r="J1320" s="22" t="n"/>
      <c r="K1320" s="22" t="n"/>
      <c r="L1320" s="22" t="n"/>
      <c r="M1320" s="22">
        <f>IF(K1320="Override",L1320,IF(K1320="Accept suggestion",F1320,IF(K1320="No change (same URL)",A1320,"")))</f>
        <v/>
      </c>
      <c r="N1320" s="22">
        <f>IF(A1320="","",IF(K1320="410 Gone","410",IF(K1320="404","404",IF(K1320="No change (same URL)","none",IF(M1320="","","301")))))</f>
        <v/>
      </c>
      <c r="O1320" s="22">
        <f>IF(A1320="","",IFERROR(MID(A1320,FIND("/",A1320,FIND("//",A1320)+2),2000),A1320))</f>
        <v/>
      </c>
      <c r="P1320" s="22">
        <f>IF(OR(O1320="",N1320="",N1320="none",N1320="404"),"",IF(N1320="410","Redirect gone "&amp;O1320,"Redirect "&amp;N1320&amp;" "&amp;O1320&amp;" "&amp;M1320))</f>
        <v/>
      </c>
      <c r="Q1320" s="22" t="n"/>
      <c r="R1320" s="22" t="n"/>
      <c r="S1320" s="22" t="n"/>
      <c r="T1320" s="4">
        <f>IF(A1320="","",TRIM(IF(K1320="","Needs decision; ","")&amp;IF(AND(K1320="Accept suggestion",F1320=""),"No suggestion to accept; ","")&amp;IF(AND(K1320="Override",L1320=""),"Override URL missing; ","")&amp;IF(AND(K1320="Accept suggestion",N(G1320)&lt;$G$2),"Below your threshold; ","")&amp;IF(AND(M1320&lt;&gt;"",M1320=A1320,K1320&lt;&gt;"No change (same URL)"),"Redirects to itself; ","")&amp;IF(AND(M1320&lt;&gt;"",OR(M1320="/",AND(LEFT(M1320,4)="http",OR((LEN(M1320)-LEN(SUBSTITUTE(M1320,"/","")))=2,AND((LEN(M1320)-LEN(SUBSTITUTE(M1320,"/","")))=3,RIGHT(M1320,1)="/"))))),"Home page redirect; ","")&amp;IF(N(R1320)&gt;1,"Chain; ","")&amp;IF(S1320="No","Destination not 200; ","")))</f>
        <v/>
      </c>
      <c r="U1320" s="22" t="n"/>
      <c r="V1320" s="22" t="n"/>
      <c r="W1320" s="4" t="n"/>
    </row>
    <row r="1321">
      <c r="A1321" s="22" t="n"/>
      <c r="B1321" s="22" t="n"/>
      <c r="C1321" s="22" t="n"/>
      <c r="D1321" s="22">
        <f>IF(A1321="","",IF(OR(N(B1321)&gt;=$C$2,N(C1321)&gt;=$E$2),"High",IF(OR(N(B1321)&gt;0,N(C1321)&gt;0),"Medium","Low")))</f>
        <v/>
      </c>
      <c r="E1321" s="22" t="n"/>
      <c r="F1321" s="22" t="n"/>
      <c r="G1321" s="22" t="n"/>
      <c r="H1321" s="22" t="n"/>
      <c r="I1321" s="22" t="n"/>
      <c r="J1321" s="22" t="n"/>
      <c r="K1321" s="22" t="n"/>
      <c r="L1321" s="22" t="n"/>
      <c r="M1321" s="22">
        <f>IF(K1321="Override",L1321,IF(K1321="Accept suggestion",F1321,IF(K1321="No change (same URL)",A1321,"")))</f>
        <v/>
      </c>
      <c r="N1321" s="22">
        <f>IF(A1321="","",IF(K1321="410 Gone","410",IF(K1321="404","404",IF(K1321="No change (same URL)","none",IF(M1321="","","301")))))</f>
        <v/>
      </c>
      <c r="O1321" s="22">
        <f>IF(A1321="","",IFERROR(MID(A1321,FIND("/",A1321,FIND("//",A1321)+2),2000),A1321))</f>
        <v/>
      </c>
      <c r="P1321" s="22">
        <f>IF(OR(O1321="",N1321="",N1321="none",N1321="404"),"",IF(N1321="410","Redirect gone "&amp;O1321,"Redirect "&amp;N1321&amp;" "&amp;O1321&amp;" "&amp;M1321))</f>
        <v/>
      </c>
      <c r="Q1321" s="22" t="n"/>
      <c r="R1321" s="22" t="n"/>
      <c r="S1321" s="22" t="n"/>
      <c r="T1321" s="4">
        <f>IF(A1321="","",TRIM(IF(K1321="","Needs decision; ","")&amp;IF(AND(K1321="Accept suggestion",F1321=""),"No suggestion to accept; ","")&amp;IF(AND(K1321="Override",L1321=""),"Override URL missing; ","")&amp;IF(AND(K1321="Accept suggestion",N(G1321)&lt;$G$2),"Below your threshold; ","")&amp;IF(AND(M1321&lt;&gt;"",M1321=A1321,K1321&lt;&gt;"No change (same URL)"),"Redirects to itself; ","")&amp;IF(AND(M1321&lt;&gt;"",OR(M1321="/",AND(LEFT(M1321,4)="http",OR((LEN(M1321)-LEN(SUBSTITUTE(M1321,"/","")))=2,AND((LEN(M1321)-LEN(SUBSTITUTE(M1321,"/","")))=3,RIGHT(M1321,1)="/"))))),"Home page redirect; ","")&amp;IF(N(R1321)&gt;1,"Chain; ","")&amp;IF(S1321="No","Destination not 200; ","")))</f>
        <v/>
      </c>
      <c r="U1321" s="22" t="n"/>
      <c r="V1321" s="22" t="n"/>
      <c r="W1321" s="4" t="n"/>
    </row>
    <row r="1322">
      <c r="A1322" s="22" t="n"/>
      <c r="B1322" s="22" t="n"/>
      <c r="C1322" s="22" t="n"/>
      <c r="D1322" s="22">
        <f>IF(A1322="","",IF(OR(N(B1322)&gt;=$C$2,N(C1322)&gt;=$E$2),"High",IF(OR(N(B1322)&gt;0,N(C1322)&gt;0),"Medium","Low")))</f>
        <v/>
      </c>
      <c r="E1322" s="22" t="n"/>
      <c r="F1322" s="22" t="n"/>
      <c r="G1322" s="22" t="n"/>
      <c r="H1322" s="22" t="n"/>
      <c r="I1322" s="22" t="n"/>
      <c r="J1322" s="22" t="n"/>
      <c r="K1322" s="22" t="n"/>
      <c r="L1322" s="22" t="n"/>
      <c r="M1322" s="22">
        <f>IF(K1322="Override",L1322,IF(K1322="Accept suggestion",F1322,IF(K1322="No change (same URL)",A1322,"")))</f>
        <v/>
      </c>
      <c r="N1322" s="22">
        <f>IF(A1322="","",IF(K1322="410 Gone","410",IF(K1322="404","404",IF(K1322="No change (same URL)","none",IF(M1322="","","301")))))</f>
        <v/>
      </c>
      <c r="O1322" s="22">
        <f>IF(A1322="","",IFERROR(MID(A1322,FIND("/",A1322,FIND("//",A1322)+2),2000),A1322))</f>
        <v/>
      </c>
      <c r="P1322" s="22">
        <f>IF(OR(O1322="",N1322="",N1322="none",N1322="404"),"",IF(N1322="410","Redirect gone "&amp;O1322,"Redirect "&amp;N1322&amp;" "&amp;O1322&amp;" "&amp;M1322))</f>
        <v/>
      </c>
      <c r="Q1322" s="22" t="n"/>
      <c r="R1322" s="22" t="n"/>
      <c r="S1322" s="22" t="n"/>
      <c r="T1322" s="4">
        <f>IF(A1322="","",TRIM(IF(K1322="","Needs decision; ","")&amp;IF(AND(K1322="Accept suggestion",F1322=""),"No suggestion to accept; ","")&amp;IF(AND(K1322="Override",L1322=""),"Override URL missing; ","")&amp;IF(AND(K1322="Accept suggestion",N(G1322)&lt;$G$2),"Below your threshold; ","")&amp;IF(AND(M1322&lt;&gt;"",M1322=A1322,K1322&lt;&gt;"No change (same URL)"),"Redirects to itself; ","")&amp;IF(AND(M1322&lt;&gt;"",OR(M1322="/",AND(LEFT(M1322,4)="http",OR((LEN(M1322)-LEN(SUBSTITUTE(M1322,"/","")))=2,AND((LEN(M1322)-LEN(SUBSTITUTE(M1322,"/","")))=3,RIGHT(M1322,1)="/"))))),"Home page redirect; ","")&amp;IF(N(R1322)&gt;1,"Chain; ","")&amp;IF(S1322="No","Destination not 200; ","")))</f>
        <v/>
      </c>
      <c r="U1322" s="22" t="n"/>
      <c r="V1322" s="22" t="n"/>
      <c r="W1322" s="4" t="n"/>
    </row>
    <row r="1323">
      <c r="A1323" s="22" t="n"/>
      <c r="B1323" s="22" t="n"/>
      <c r="C1323" s="22" t="n"/>
      <c r="D1323" s="22">
        <f>IF(A1323="","",IF(OR(N(B1323)&gt;=$C$2,N(C1323)&gt;=$E$2),"High",IF(OR(N(B1323)&gt;0,N(C1323)&gt;0),"Medium","Low")))</f>
        <v/>
      </c>
      <c r="E1323" s="22" t="n"/>
      <c r="F1323" s="22" t="n"/>
      <c r="G1323" s="22" t="n"/>
      <c r="H1323" s="22" t="n"/>
      <c r="I1323" s="22" t="n"/>
      <c r="J1323" s="22" t="n"/>
      <c r="K1323" s="22" t="n"/>
      <c r="L1323" s="22" t="n"/>
      <c r="M1323" s="22">
        <f>IF(K1323="Override",L1323,IF(K1323="Accept suggestion",F1323,IF(K1323="No change (same URL)",A1323,"")))</f>
        <v/>
      </c>
      <c r="N1323" s="22">
        <f>IF(A1323="","",IF(K1323="410 Gone","410",IF(K1323="404","404",IF(K1323="No change (same URL)","none",IF(M1323="","","301")))))</f>
        <v/>
      </c>
      <c r="O1323" s="22">
        <f>IF(A1323="","",IFERROR(MID(A1323,FIND("/",A1323,FIND("//",A1323)+2),2000),A1323))</f>
        <v/>
      </c>
      <c r="P1323" s="22">
        <f>IF(OR(O1323="",N1323="",N1323="none",N1323="404"),"",IF(N1323="410","Redirect gone "&amp;O1323,"Redirect "&amp;N1323&amp;" "&amp;O1323&amp;" "&amp;M1323))</f>
        <v/>
      </c>
      <c r="Q1323" s="22" t="n"/>
      <c r="R1323" s="22" t="n"/>
      <c r="S1323" s="22" t="n"/>
      <c r="T1323" s="4">
        <f>IF(A1323="","",TRIM(IF(K1323="","Needs decision; ","")&amp;IF(AND(K1323="Accept suggestion",F1323=""),"No suggestion to accept; ","")&amp;IF(AND(K1323="Override",L1323=""),"Override URL missing; ","")&amp;IF(AND(K1323="Accept suggestion",N(G1323)&lt;$G$2),"Below your threshold; ","")&amp;IF(AND(M1323&lt;&gt;"",M1323=A1323,K1323&lt;&gt;"No change (same URL)"),"Redirects to itself; ","")&amp;IF(AND(M1323&lt;&gt;"",OR(M1323="/",AND(LEFT(M1323,4)="http",OR((LEN(M1323)-LEN(SUBSTITUTE(M1323,"/","")))=2,AND((LEN(M1323)-LEN(SUBSTITUTE(M1323,"/","")))=3,RIGHT(M1323,1)="/"))))),"Home page redirect; ","")&amp;IF(N(R1323)&gt;1,"Chain; ","")&amp;IF(S1323="No","Destination not 200; ","")))</f>
        <v/>
      </c>
      <c r="U1323" s="22" t="n"/>
      <c r="V1323" s="22" t="n"/>
      <c r="W1323" s="4" t="n"/>
    </row>
    <row r="1324">
      <c r="A1324" s="22" t="n"/>
      <c r="B1324" s="22" t="n"/>
      <c r="C1324" s="22" t="n"/>
      <c r="D1324" s="22">
        <f>IF(A1324="","",IF(OR(N(B1324)&gt;=$C$2,N(C1324)&gt;=$E$2),"High",IF(OR(N(B1324)&gt;0,N(C1324)&gt;0),"Medium","Low")))</f>
        <v/>
      </c>
      <c r="E1324" s="22" t="n"/>
      <c r="F1324" s="22" t="n"/>
      <c r="G1324" s="22" t="n"/>
      <c r="H1324" s="22" t="n"/>
      <c r="I1324" s="22" t="n"/>
      <c r="J1324" s="22" t="n"/>
      <c r="K1324" s="22" t="n"/>
      <c r="L1324" s="22" t="n"/>
      <c r="M1324" s="22">
        <f>IF(K1324="Override",L1324,IF(K1324="Accept suggestion",F1324,IF(K1324="No change (same URL)",A1324,"")))</f>
        <v/>
      </c>
      <c r="N1324" s="22">
        <f>IF(A1324="","",IF(K1324="410 Gone","410",IF(K1324="404","404",IF(K1324="No change (same URL)","none",IF(M1324="","","301")))))</f>
        <v/>
      </c>
      <c r="O1324" s="22">
        <f>IF(A1324="","",IFERROR(MID(A1324,FIND("/",A1324,FIND("//",A1324)+2),2000),A1324))</f>
        <v/>
      </c>
      <c r="P1324" s="22">
        <f>IF(OR(O1324="",N1324="",N1324="none",N1324="404"),"",IF(N1324="410","Redirect gone "&amp;O1324,"Redirect "&amp;N1324&amp;" "&amp;O1324&amp;" "&amp;M1324))</f>
        <v/>
      </c>
      <c r="Q1324" s="22" t="n"/>
      <c r="R1324" s="22" t="n"/>
      <c r="S1324" s="22" t="n"/>
      <c r="T1324" s="4">
        <f>IF(A1324="","",TRIM(IF(K1324="","Needs decision; ","")&amp;IF(AND(K1324="Accept suggestion",F1324=""),"No suggestion to accept; ","")&amp;IF(AND(K1324="Override",L1324=""),"Override URL missing; ","")&amp;IF(AND(K1324="Accept suggestion",N(G1324)&lt;$G$2),"Below your threshold; ","")&amp;IF(AND(M1324&lt;&gt;"",M1324=A1324,K1324&lt;&gt;"No change (same URL)"),"Redirects to itself; ","")&amp;IF(AND(M1324&lt;&gt;"",OR(M1324="/",AND(LEFT(M1324,4)="http",OR((LEN(M1324)-LEN(SUBSTITUTE(M1324,"/","")))=2,AND((LEN(M1324)-LEN(SUBSTITUTE(M1324,"/","")))=3,RIGHT(M1324,1)="/"))))),"Home page redirect; ","")&amp;IF(N(R1324)&gt;1,"Chain; ","")&amp;IF(S1324="No","Destination not 200; ","")))</f>
        <v/>
      </c>
      <c r="U1324" s="22" t="n"/>
      <c r="V1324" s="22" t="n"/>
      <c r="W1324" s="4" t="n"/>
    </row>
    <row r="1325">
      <c r="A1325" s="22" t="n"/>
      <c r="B1325" s="22" t="n"/>
      <c r="C1325" s="22" t="n"/>
      <c r="D1325" s="22">
        <f>IF(A1325="","",IF(OR(N(B1325)&gt;=$C$2,N(C1325)&gt;=$E$2),"High",IF(OR(N(B1325)&gt;0,N(C1325)&gt;0),"Medium","Low")))</f>
        <v/>
      </c>
      <c r="E1325" s="22" t="n"/>
      <c r="F1325" s="22" t="n"/>
      <c r="G1325" s="22" t="n"/>
      <c r="H1325" s="22" t="n"/>
      <c r="I1325" s="22" t="n"/>
      <c r="J1325" s="22" t="n"/>
      <c r="K1325" s="22" t="n"/>
      <c r="L1325" s="22" t="n"/>
      <c r="M1325" s="22">
        <f>IF(K1325="Override",L1325,IF(K1325="Accept suggestion",F1325,IF(K1325="No change (same URL)",A1325,"")))</f>
        <v/>
      </c>
      <c r="N1325" s="22">
        <f>IF(A1325="","",IF(K1325="410 Gone","410",IF(K1325="404","404",IF(K1325="No change (same URL)","none",IF(M1325="","","301")))))</f>
        <v/>
      </c>
      <c r="O1325" s="22">
        <f>IF(A1325="","",IFERROR(MID(A1325,FIND("/",A1325,FIND("//",A1325)+2),2000),A1325))</f>
        <v/>
      </c>
      <c r="P1325" s="22">
        <f>IF(OR(O1325="",N1325="",N1325="none",N1325="404"),"",IF(N1325="410","Redirect gone "&amp;O1325,"Redirect "&amp;N1325&amp;" "&amp;O1325&amp;" "&amp;M1325))</f>
        <v/>
      </c>
      <c r="Q1325" s="22" t="n"/>
      <c r="R1325" s="22" t="n"/>
      <c r="S1325" s="22" t="n"/>
      <c r="T1325" s="4">
        <f>IF(A1325="","",TRIM(IF(K1325="","Needs decision; ","")&amp;IF(AND(K1325="Accept suggestion",F1325=""),"No suggestion to accept; ","")&amp;IF(AND(K1325="Override",L1325=""),"Override URL missing; ","")&amp;IF(AND(K1325="Accept suggestion",N(G1325)&lt;$G$2),"Below your threshold; ","")&amp;IF(AND(M1325&lt;&gt;"",M1325=A1325,K1325&lt;&gt;"No change (same URL)"),"Redirects to itself; ","")&amp;IF(AND(M1325&lt;&gt;"",OR(M1325="/",AND(LEFT(M1325,4)="http",OR((LEN(M1325)-LEN(SUBSTITUTE(M1325,"/","")))=2,AND((LEN(M1325)-LEN(SUBSTITUTE(M1325,"/","")))=3,RIGHT(M1325,1)="/"))))),"Home page redirect; ","")&amp;IF(N(R1325)&gt;1,"Chain; ","")&amp;IF(S1325="No","Destination not 200; ","")))</f>
        <v/>
      </c>
      <c r="U1325" s="22" t="n"/>
      <c r="V1325" s="22" t="n"/>
      <c r="W1325" s="4" t="n"/>
    </row>
    <row r="1326">
      <c r="A1326" s="22" t="n"/>
      <c r="B1326" s="22" t="n"/>
      <c r="C1326" s="22" t="n"/>
      <c r="D1326" s="22">
        <f>IF(A1326="","",IF(OR(N(B1326)&gt;=$C$2,N(C1326)&gt;=$E$2),"High",IF(OR(N(B1326)&gt;0,N(C1326)&gt;0),"Medium","Low")))</f>
        <v/>
      </c>
      <c r="E1326" s="22" t="n"/>
      <c r="F1326" s="22" t="n"/>
      <c r="G1326" s="22" t="n"/>
      <c r="H1326" s="22" t="n"/>
      <c r="I1326" s="22" t="n"/>
      <c r="J1326" s="22" t="n"/>
      <c r="K1326" s="22" t="n"/>
      <c r="L1326" s="22" t="n"/>
      <c r="M1326" s="22">
        <f>IF(K1326="Override",L1326,IF(K1326="Accept suggestion",F1326,IF(K1326="No change (same URL)",A1326,"")))</f>
        <v/>
      </c>
      <c r="N1326" s="22">
        <f>IF(A1326="","",IF(K1326="410 Gone","410",IF(K1326="404","404",IF(K1326="No change (same URL)","none",IF(M1326="","","301")))))</f>
        <v/>
      </c>
      <c r="O1326" s="22">
        <f>IF(A1326="","",IFERROR(MID(A1326,FIND("/",A1326,FIND("//",A1326)+2),2000),A1326))</f>
        <v/>
      </c>
      <c r="P1326" s="22">
        <f>IF(OR(O1326="",N1326="",N1326="none",N1326="404"),"",IF(N1326="410","Redirect gone "&amp;O1326,"Redirect "&amp;N1326&amp;" "&amp;O1326&amp;" "&amp;M1326))</f>
        <v/>
      </c>
      <c r="Q1326" s="22" t="n"/>
      <c r="R1326" s="22" t="n"/>
      <c r="S1326" s="22" t="n"/>
      <c r="T1326" s="4">
        <f>IF(A1326="","",TRIM(IF(K1326="","Needs decision; ","")&amp;IF(AND(K1326="Accept suggestion",F1326=""),"No suggestion to accept; ","")&amp;IF(AND(K1326="Override",L1326=""),"Override URL missing; ","")&amp;IF(AND(K1326="Accept suggestion",N(G1326)&lt;$G$2),"Below your threshold; ","")&amp;IF(AND(M1326&lt;&gt;"",M1326=A1326,K1326&lt;&gt;"No change (same URL)"),"Redirects to itself; ","")&amp;IF(AND(M1326&lt;&gt;"",OR(M1326="/",AND(LEFT(M1326,4)="http",OR((LEN(M1326)-LEN(SUBSTITUTE(M1326,"/","")))=2,AND((LEN(M1326)-LEN(SUBSTITUTE(M1326,"/","")))=3,RIGHT(M1326,1)="/"))))),"Home page redirect; ","")&amp;IF(N(R1326)&gt;1,"Chain; ","")&amp;IF(S1326="No","Destination not 200; ","")))</f>
        <v/>
      </c>
      <c r="U1326" s="22" t="n"/>
      <c r="V1326" s="22" t="n"/>
      <c r="W1326" s="4" t="n"/>
    </row>
    <row r="1327">
      <c r="A1327" s="22" t="n"/>
      <c r="B1327" s="22" t="n"/>
      <c r="C1327" s="22" t="n"/>
      <c r="D1327" s="22">
        <f>IF(A1327="","",IF(OR(N(B1327)&gt;=$C$2,N(C1327)&gt;=$E$2),"High",IF(OR(N(B1327)&gt;0,N(C1327)&gt;0),"Medium","Low")))</f>
        <v/>
      </c>
      <c r="E1327" s="22" t="n"/>
      <c r="F1327" s="22" t="n"/>
      <c r="G1327" s="22" t="n"/>
      <c r="H1327" s="22" t="n"/>
      <c r="I1327" s="22" t="n"/>
      <c r="J1327" s="22" t="n"/>
      <c r="K1327" s="22" t="n"/>
      <c r="L1327" s="22" t="n"/>
      <c r="M1327" s="22">
        <f>IF(K1327="Override",L1327,IF(K1327="Accept suggestion",F1327,IF(K1327="No change (same URL)",A1327,"")))</f>
        <v/>
      </c>
      <c r="N1327" s="22">
        <f>IF(A1327="","",IF(K1327="410 Gone","410",IF(K1327="404","404",IF(K1327="No change (same URL)","none",IF(M1327="","","301")))))</f>
        <v/>
      </c>
      <c r="O1327" s="22">
        <f>IF(A1327="","",IFERROR(MID(A1327,FIND("/",A1327,FIND("//",A1327)+2),2000),A1327))</f>
        <v/>
      </c>
      <c r="P1327" s="22">
        <f>IF(OR(O1327="",N1327="",N1327="none",N1327="404"),"",IF(N1327="410","Redirect gone "&amp;O1327,"Redirect "&amp;N1327&amp;" "&amp;O1327&amp;" "&amp;M1327))</f>
        <v/>
      </c>
      <c r="Q1327" s="22" t="n"/>
      <c r="R1327" s="22" t="n"/>
      <c r="S1327" s="22" t="n"/>
      <c r="T1327" s="4">
        <f>IF(A1327="","",TRIM(IF(K1327="","Needs decision; ","")&amp;IF(AND(K1327="Accept suggestion",F1327=""),"No suggestion to accept; ","")&amp;IF(AND(K1327="Override",L1327=""),"Override URL missing; ","")&amp;IF(AND(K1327="Accept suggestion",N(G1327)&lt;$G$2),"Below your threshold; ","")&amp;IF(AND(M1327&lt;&gt;"",M1327=A1327,K1327&lt;&gt;"No change (same URL)"),"Redirects to itself; ","")&amp;IF(AND(M1327&lt;&gt;"",OR(M1327="/",AND(LEFT(M1327,4)="http",OR((LEN(M1327)-LEN(SUBSTITUTE(M1327,"/","")))=2,AND((LEN(M1327)-LEN(SUBSTITUTE(M1327,"/","")))=3,RIGHT(M1327,1)="/"))))),"Home page redirect; ","")&amp;IF(N(R1327)&gt;1,"Chain; ","")&amp;IF(S1327="No","Destination not 200; ","")))</f>
        <v/>
      </c>
      <c r="U1327" s="22" t="n"/>
      <c r="V1327" s="22" t="n"/>
      <c r="W1327" s="4" t="n"/>
    </row>
    <row r="1328">
      <c r="A1328" s="22" t="n"/>
      <c r="B1328" s="22" t="n"/>
      <c r="C1328" s="22" t="n"/>
      <c r="D1328" s="22">
        <f>IF(A1328="","",IF(OR(N(B1328)&gt;=$C$2,N(C1328)&gt;=$E$2),"High",IF(OR(N(B1328)&gt;0,N(C1328)&gt;0),"Medium","Low")))</f>
        <v/>
      </c>
      <c r="E1328" s="22" t="n"/>
      <c r="F1328" s="22" t="n"/>
      <c r="G1328" s="22" t="n"/>
      <c r="H1328" s="22" t="n"/>
      <c r="I1328" s="22" t="n"/>
      <c r="J1328" s="22" t="n"/>
      <c r="K1328" s="22" t="n"/>
      <c r="L1328" s="22" t="n"/>
      <c r="M1328" s="22">
        <f>IF(K1328="Override",L1328,IF(K1328="Accept suggestion",F1328,IF(K1328="No change (same URL)",A1328,"")))</f>
        <v/>
      </c>
      <c r="N1328" s="22">
        <f>IF(A1328="","",IF(K1328="410 Gone","410",IF(K1328="404","404",IF(K1328="No change (same URL)","none",IF(M1328="","","301")))))</f>
        <v/>
      </c>
      <c r="O1328" s="22">
        <f>IF(A1328="","",IFERROR(MID(A1328,FIND("/",A1328,FIND("//",A1328)+2),2000),A1328))</f>
        <v/>
      </c>
      <c r="P1328" s="22">
        <f>IF(OR(O1328="",N1328="",N1328="none",N1328="404"),"",IF(N1328="410","Redirect gone "&amp;O1328,"Redirect "&amp;N1328&amp;" "&amp;O1328&amp;" "&amp;M1328))</f>
        <v/>
      </c>
      <c r="Q1328" s="22" t="n"/>
      <c r="R1328" s="22" t="n"/>
      <c r="S1328" s="22" t="n"/>
      <c r="T1328" s="4">
        <f>IF(A1328="","",TRIM(IF(K1328="","Needs decision; ","")&amp;IF(AND(K1328="Accept suggestion",F1328=""),"No suggestion to accept; ","")&amp;IF(AND(K1328="Override",L1328=""),"Override URL missing; ","")&amp;IF(AND(K1328="Accept suggestion",N(G1328)&lt;$G$2),"Below your threshold; ","")&amp;IF(AND(M1328&lt;&gt;"",M1328=A1328,K1328&lt;&gt;"No change (same URL)"),"Redirects to itself; ","")&amp;IF(AND(M1328&lt;&gt;"",OR(M1328="/",AND(LEFT(M1328,4)="http",OR((LEN(M1328)-LEN(SUBSTITUTE(M1328,"/","")))=2,AND((LEN(M1328)-LEN(SUBSTITUTE(M1328,"/","")))=3,RIGHT(M1328,1)="/"))))),"Home page redirect; ","")&amp;IF(N(R1328)&gt;1,"Chain; ","")&amp;IF(S1328="No","Destination not 200; ","")))</f>
        <v/>
      </c>
      <c r="U1328" s="22" t="n"/>
      <c r="V1328" s="22" t="n"/>
      <c r="W1328" s="4" t="n"/>
    </row>
    <row r="1329">
      <c r="A1329" s="22" t="n"/>
      <c r="B1329" s="22" t="n"/>
      <c r="C1329" s="22" t="n"/>
      <c r="D1329" s="22">
        <f>IF(A1329="","",IF(OR(N(B1329)&gt;=$C$2,N(C1329)&gt;=$E$2),"High",IF(OR(N(B1329)&gt;0,N(C1329)&gt;0),"Medium","Low")))</f>
        <v/>
      </c>
      <c r="E1329" s="22" t="n"/>
      <c r="F1329" s="22" t="n"/>
      <c r="G1329" s="22" t="n"/>
      <c r="H1329" s="22" t="n"/>
      <c r="I1329" s="22" t="n"/>
      <c r="J1329" s="22" t="n"/>
      <c r="K1329" s="22" t="n"/>
      <c r="L1329" s="22" t="n"/>
      <c r="M1329" s="22">
        <f>IF(K1329="Override",L1329,IF(K1329="Accept suggestion",F1329,IF(K1329="No change (same URL)",A1329,"")))</f>
        <v/>
      </c>
      <c r="N1329" s="22">
        <f>IF(A1329="","",IF(K1329="410 Gone","410",IF(K1329="404","404",IF(K1329="No change (same URL)","none",IF(M1329="","","301")))))</f>
        <v/>
      </c>
      <c r="O1329" s="22">
        <f>IF(A1329="","",IFERROR(MID(A1329,FIND("/",A1329,FIND("//",A1329)+2),2000),A1329))</f>
        <v/>
      </c>
      <c r="P1329" s="22">
        <f>IF(OR(O1329="",N1329="",N1329="none",N1329="404"),"",IF(N1329="410","Redirect gone "&amp;O1329,"Redirect "&amp;N1329&amp;" "&amp;O1329&amp;" "&amp;M1329))</f>
        <v/>
      </c>
      <c r="Q1329" s="22" t="n"/>
      <c r="R1329" s="22" t="n"/>
      <c r="S1329" s="22" t="n"/>
      <c r="T1329" s="4">
        <f>IF(A1329="","",TRIM(IF(K1329="","Needs decision; ","")&amp;IF(AND(K1329="Accept suggestion",F1329=""),"No suggestion to accept; ","")&amp;IF(AND(K1329="Override",L1329=""),"Override URL missing; ","")&amp;IF(AND(K1329="Accept suggestion",N(G1329)&lt;$G$2),"Below your threshold; ","")&amp;IF(AND(M1329&lt;&gt;"",M1329=A1329,K1329&lt;&gt;"No change (same URL)"),"Redirects to itself; ","")&amp;IF(AND(M1329&lt;&gt;"",OR(M1329="/",AND(LEFT(M1329,4)="http",OR((LEN(M1329)-LEN(SUBSTITUTE(M1329,"/","")))=2,AND((LEN(M1329)-LEN(SUBSTITUTE(M1329,"/","")))=3,RIGHT(M1329,1)="/"))))),"Home page redirect; ","")&amp;IF(N(R1329)&gt;1,"Chain; ","")&amp;IF(S1329="No","Destination not 200; ","")))</f>
        <v/>
      </c>
      <c r="U1329" s="22" t="n"/>
      <c r="V1329" s="22" t="n"/>
      <c r="W1329" s="4" t="n"/>
    </row>
    <row r="1330">
      <c r="A1330" s="22" t="n"/>
      <c r="B1330" s="22" t="n"/>
      <c r="C1330" s="22" t="n"/>
      <c r="D1330" s="22">
        <f>IF(A1330="","",IF(OR(N(B1330)&gt;=$C$2,N(C1330)&gt;=$E$2),"High",IF(OR(N(B1330)&gt;0,N(C1330)&gt;0),"Medium","Low")))</f>
        <v/>
      </c>
      <c r="E1330" s="22" t="n"/>
      <c r="F1330" s="22" t="n"/>
      <c r="G1330" s="22" t="n"/>
      <c r="H1330" s="22" t="n"/>
      <c r="I1330" s="22" t="n"/>
      <c r="J1330" s="22" t="n"/>
      <c r="K1330" s="22" t="n"/>
      <c r="L1330" s="22" t="n"/>
      <c r="M1330" s="22">
        <f>IF(K1330="Override",L1330,IF(K1330="Accept suggestion",F1330,IF(K1330="No change (same URL)",A1330,"")))</f>
        <v/>
      </c>
      <c r="N1330" s="22">
        <f>IF(A1330="","",IF(K1330="410 Gone","410",IF(K1330="404","404",IF(K1330="No change (same URL)","none",IF(M1330="","","301")))))</f>
        <v/>
      </c>
      <c r="O1330" s="22">
        <f>IF(A1330="","",IFERROR(MID(A1330,FIND("/",A1330,FIND("//",A1330)+2),2000),A1330))</f>
        <v/>
      </c>
      <c r="P1330" s="22">
        <f>IF(OR(O1330="",N1330="",N1330="none",N1330="404"),"",IF(N1330="410","Redirect gone "&amp;O1330,"Redirect "&amp;N1330&amp;" "&amp;O1330&amp;" "&amp;M1330))</f>
        <v/>
      </c>
      <c r="Q1330" s="22" t="n"/>
      <c r="R1330" s="22" t="n"/>
      <c r="S1330" s="22" t="n"/>
      <c r="T1330" s="4">
        <f>IF(A1330="","",TRIM(IF(K1330="","Needs decision; ","")&amp;IF(AND(K1330="Accept suggestion",F1330=""),"No suggestion to accept; ","")&amp;IF(AND(K1330="Override",L1330=""),"Override URL missing; ","")&amp;IF(AND(K1330="Accept suggestion",N(G1330)&lt;$G$2),"Below your threshold; ","")&amp;IF(AND(M1330&lt;&gt;"",M1330=A1330,K1330&lt;&gt;"No change (same URL)"),"Redirects to itself; ","")&amp;IF(AND(M1330&lt;&gt;"",OR(M1330="/",AND(LEFT(M1330,4)="http",OR((LEN(M1330)-LEN(SUBSTITUTE(M1330,"/","")))=2,AND((LEN(M1330)-LEN(SUBSTITUTE(M1330,"/","")))=3,RIGHT(M1330,1)="/"))))),"Home page redirect; ","")&amp;IF(N(R1330)&gt;1,"Chain; ","")&amp;IF(S1330="No","Destination not 200; ","")))</f>
        <v/>
      </c>
      <c r="U1330" s="22" t="n"/>
      <c r="V1330" s="22" t="n"/>
      <c r="W1330" s="4" t="n"/>
    </row>
    <row r="1331">
      <c r="A1331" s="22" t="n"/>
      <c r="B1331" s="22" t="n"/>
      <c r="C1331" s="22" t="n"/>
      <c r="D1331" s="22">
        <f>IF(A1331="","",IF(OR(N(B1331)&gt;=$C$2,N(C1331)&gt;=$E$2),"High",IF(OR(N(B1331)&gt;0,N(C1331)&gt;0),"Medium","Low")))</f>
        <v/>
      </c>
      <c r="E1331" s="22" t="n"/>
      <c r="F1331" s="22" t="n"/>
      <c r="G1331" s="22" t="n"/>
      <c r="H1331" s="22" t="n"/>
      <c r="I1331" s="22" t="n"/>
      <c r="J1331" s="22" t="n"/>
      <c r="K1331" s="22" t="n"/>
      <c r="L1331" s="22" t="n"/>
      <c r="M1331" s="22">
        <f>IF(K1331="Override",L1331,IF(K1331="Accept suggestion",F1331,IF(K1331="No change (same URL)",A1331,"")))</f>
        <v/>
      </c>
      <c r="N1331" s="22">
        <f>IF(A1331="","",IF(K1331="410 Gone","410",IF(K1331="404","404",IF(K1331="No change (same URL)","none",IF(M1331="","","301")))))</f>
        <v/>
      </c>
      <c r="O1331" s="22">
        <f>IF(A1331="","",IFERROR(MID(A1331,FIND("/",A1331,FIND("//",A1331)+2),2000),A1331))</f>
        <v/>
      </c>
      <c r="P1331" s="22">
        <f>IF(OR(O1331="",N1331="",N1331="none",N1331="404"),"",IF(N1331="410","Redirect gone "&amp;O1331,"Redirect "&amp;N1331&amp;" "&amp;O1331&amp;" "&amp;M1331))</f>
        <v/>
      </c>
      <c r="Q1331" s="22" t="n"/>
      <c r="R1331" s="22" t="n"/>
      <c r="S1331" s="22" t="n"/>
      <c r="T1331" s="4">
        <f>IF(A1331="","",TRIM(IF(K1331="","Needs decision; ","")&amp;IF(AND(K1331="Accept suggestion",F1331=""),"No suggestion to accept; ","")&amp;IF(AND(K1331="Override",L1331=""),"Override URL missing; ","")&amp;IF(AND(K1331="Accept suggestion",N(G1331)&lt;$G$2),"Below your threshold; ","")&amp;IF(AND(M1331&lt;&gt;"",M1331=A1331,K1331&lt;&gt;"No change (same URL)"),"Redirects to itself; ","")&amp;IF(AND(M1331&lt;&gt;"",OR(M1331="/",AND(LEFT(M1331,4)="http",OR((LEN(M1331)-LEN(SUBSTITUTE(M1331,"/","")))=2,AND((LEN(M1331)-LEN(SUBSTITUTE(M1331,"/","")))=3,RIGHT(M1331,1)="/"))))),"Home page redirect; ","")&amp;IF(N(R1331)&gt;1,"Chain; ","")&amp;IF(S1331="No","Destination not 200; ","")))</f>
        <v/>
      </c>
      <c r="U1331" s="22" t="n"/>
      <c r="V1331" s="22" t="n"/>
      <c r="W1331" s="4" t="n"/>
    </row>
    <row r="1332">
      <c r="A1332" s="22" t="n"/>
      <c r="B1332" s="22" t="n"/>
      <c r="C1332" s="22" t="n"/>
      <c r="D1332" s="22">
        <f>IF(A1332="","",IF(OR(N(B1332)&gt;=$C$2,N(C1332)&gt;=$E$2),"High",IF(OR(N(B1332)&gt;0,N(C1332)&gt;0),"Medium","Low")))</f>
        <v/>
      </c>
      <c r="E1332" s="22" t="n"/>
      <c r="F1332" s="22" t="n"/>
      <c r="G1332" s="22" t="n"/>
      <c r="H1332" s="22" t="n"/>
      <c r="I1332" s="22" t="n"/>
      <c r="J1332" s="22" t="n"/>
      <c r="K1332" s="22" t="n"/>
      <c r="L1332" s="22" t="n"/>
      <c r="M1332" s="22">
        <f>IF(K1332="Override",L1332,IF(K1332="Accept suggestion",F1332,IF(K1332="No change (same URL)",A1332,"")))</f>
        <v/>
      </c>
      <c r="N1332" s="22">
        <f>IF(A1332="","",IF(K1332="410 Gone","410",IF(K1332="404","404",IF(K1332="No change (same URL)","none",IF(M1332="","","301")))))</f>
        <v/>
      </c>
      <c r="O1332" s="22">
        <f>IF(A1332="","",IFERROR(MID(A1332,FIND("/",A1332,FIND("//",A1332)+2),2000),A1332))</f>
        <v/>
      </c>
      <c r="P1332" s="22">
        <f>IF(OR(O1332="",N1332="",N1332="none",N1332="404"),"",IF(N1332="410","Redirect gone "&amp;O1332,"Redirect "&amp;N1332&amp;" "&amp;O1332&amp;" "&amp;M1332))</f>
        <v/>
      </c>
      <c r="Q1332" s="22" t="n"/>
      <c r="R1332" s="22" t="n"/>
      <c r="S1332" s="22" t="n"/>
      <c r="T1332" s="4">
        <f>IF(A1332="","",TRIM(IF(K1332="","Needs decision; ","")&amp;IF(AND(K1332="Accept suggestion",F1332=""),"No suggestion to accept; ","")&amp;IF(AND(K1332="Override",L1332=""),"Override URL missing; ","")&amp;IF(AND(K1332="Accept suggestion",N(G1332)&lt;$G$2),"Below your threshold; ","")&amp;IF(AND(M1332&lt;&gt;"",M1332=A1332,K1332&lt;&gt;"No change (same URL)"),"Redirects to itself; ","")&amp;IF(AND(M1332&lt;&gt;"",OR(M1332="/",AND(LEFT(M1332,4)="http",OR((LEN(M1332)-LEN(SUBSTITUTE(M1332,"/","")))=2,AND((LEN(M1332)-LEN(SUBSTITUTE(M1332,"/","")))=3,RIGHT(M1332,1)="/"))))),"Home page redirect; ","")&amp;IF(N(R1332)&gt;1,"Chain; ","")&amp;IF(S1332="No","Destination not 200; ","")))</f>
        <v/>
      </c>
      <c r="U1332" s="22" t="n"/>
      <c r="V1332" s="22" t="n"/>
      <c r="W1332" s="4" t="n"/>
    </row>
    <row r="1333">
      <c r="A1333" s="22" t="n"/>
      <c r="B1333" s="22" t="n"/>
      <c r="C1333" s="22" t="n"/>
      <c r="D1333" s="22">
        <f>IF(A1333="","",IF(OR(N(B1333)&gt;=$C$2,N(C1333)&gt;=$E$2),"High",IF(OR(N(B1333)&gt;0,N(C1333)&gt;0),"Medium","Low")))</f>
        <v/>
      </c>
      <c r="E1333" s="22" t="n"/>
      <c r="F1333" s="22" t="n"/>
      <c r="G1333" s="22" t="n"/>
      <c r="H1333" s="22" t="n"/>
      <c r="I1333" s="22" t="n"/>
      <c r="J1333" s="22" t="n"/>
      <c r="K1333" s="22" t="n"/>
      <c r="L1333" s="22" t="n"/>
      <c r="M1333" s="22">
        <f>IF(K1333="Override",L1333,IF(K1333="Accept suggestion",F1333,IF(K1333="No change (same URL)",A1333,"")))</f>
        <v/>
      </c>
      <c r="N1333" s="22">
        <f>IF(A1333="","",IF(K1333="410 Gone","410",IF(K1333="404","404",IF(K1333="No change (same URL)","none",IF(M1333="","","301")))))</f>
        <v/>
      </c>
      <c r="O1333" s="22">
        <f>IF(A1333="","",IFERROR(MID(A1333,FIND("/",A1333,FIND("//",A1333)+2),2000),A1333))</f>
        <v/>
      </c>
      <c r="P1333" s="22">
        <f>IF(OR(O1333="",N1333="",N1333="none",N1333="404"),"",IF(N1333="410","Redirect gone "&amp;O1333,"Redirect "&amp;N1333&amp;" "&amp;O1333&amp;" "&amp;M1333))</f>
        <v/>
      </c>
      <c r="Q1333" s="22" t="n"/>
      <c r="R1333" s="22" t="n"/>
      <c r="S1333" s="22" t="n"/>
      <c r="T1333" s="4">
        <f>IF(A1333="","",TRIM(IF(K1333="","Needs decision; ","")&amp;IF(AND(K1333="Accept suggestion",F1333=""),"No suggestion to accept; ","")&amp;IF(AND(K1333="Override",L1333=""),"Override URL missing; ","")&amp;IF(AND(K1333="Accept suggestion",N(G1333)&lt;$G$2),"Below your threshold; ","")&amp;IF(AND(M1333&lt;&gt;"",M1333=A1333,K1333&lt;&gt;"No change (same URL)"),"Redirects to itself; ","")&amp;IF(AND(M1333&lt;&gt;"",OR(M1333="/",AND(LEFT(M1333,4)="http",OR((LEN(M1333)-LEN(SUBSTITUTE(M1333,"/","")))=2,AND((LEN(M1333)-LEN(SUBSTITUTE(M1333,"/","")))=3,RIGHT(M1333,1)="/"))))),"Home page redirect; ","")&amp;IF(N(R1333)&gt;1,"Chain; ","")&amp;IF(S1333="No","Destination not 200; ","")))</f>
        <v/>
      </c>
      <c r="U1333" s="22" t="n"/>
      <c r="V1333" s="22" t="n"/>
      <c r="W1333" s="4" t="n"/>
    </row>
    <row r="1334">
      <c r="A1334" s="22" t="n"/>
      <c r="B1334" s="22" t="n"/>
      <c r="C1334" s="22" t="n"/>
      <c r="D1334" s="22">
        <f>IF(A1334="","",IF(OR(N(B1334)&gt;=$C$2,N(C1334)&gt;=$E$2),"High",IF(OR(N(B1334)&gt;0,N(C1334)&gt;0),"Medium","Low")))</f>
        <v/>
      </c>
      <c r="E1334" s="22" t="n"/>
      <c r="F1334" s="22" t="n"/>
      <c r="G1334" s="22" t="n"/>
      <c r="H1334" s="22" t="n"/>
      <c r="I1334" s="22" t="n"/>
      <c r="J1334" s="22" t="n"/>
      <c r="K1334" s="22" t="n"/>
      <c r="L1334" s="22" t="n"/>
      <c r="M1334" s="22">
        <f>IF(K1334="Override",L1334,IF(K1334="Accept suggestion",F1334,IF(K1334="No change (same URL)",A1334,"")))</f>
        <v/>
      </c>
      <c r="N1334" s="22">
        <f>IF(A1334="","",IF(K1334="410 Gone","410",IF(K1334="404","404",IF(K1334="No change (same URL)","none",IF(M1334="","","301")))))</f>
        <v/>
      </c>
      <c r="O1334" s="22">
        <f>IF(A1334="","",IFERROR(MID(A1334,FIND("/",A1334,FIND("//",A1334)+2),2000),A1334))</f>
        <v/>
      </c>
      <c r="P1334" s="22">
        <f>IF(OR(O1334="",N1334="",N1334="none",N1334="404"),"",IF(N1334="410","Redirect gone "&amp;O1334,"Redirect "&amp;N1334&amp;" "&amp;O1334&amp;" "&amp;M1334))</f>
        <v/>
      </c>
      <c r="Q1334" s="22" t="n"/>
      <c r="R1334" s="22" t="n"/>
      <c r="S1334" s="22" t="n"/>
      <c r="T1334" s="4">
        <f>IF(A1334="","",TRIM(IF(K1334="","Needs decision; ","")&amp;IF(AND(K1334="Accept suggestion",F1334=""),"No suggestion to accept; ","")&amp;IF(AND(K1334="Override",L1334=""),"Override URL missing; ","")&amp;IF(AND(K1334="Accept suggestion",N(G1334)&lt;$G$2),"Below your threshold; ","")&amp;IF(AND(M1334&lt;&gt;"",M1334=A1334,K1334&lt;&gt;"No change (same URL)"),"Redirects to itself; ","")&amp;IF(AND(M1334&lt;&gt;"",OR(M1334="/",AND(LEFT(M1334,4)="http",OR((LEN(M1334)-LEN(SUBSTITUTE(M1334,"/","")))=2,AND((LEN(M1334)-LEN(SUBSTITUTE(M1334,"/","")))=3,RIGHT(M1334,1)="/"))))),"Home page redirect; ","")&amp;IF(N(R1334)&gt;1,"Chain; ","")&amp;IF(S1334="No","Destination not 200; ","")))</f>
        <v/>
      </c>
      <c r="U1334" s="22" t="n"/>
      <c r="V1334" s="22" t="n"/>
      <c r="W1334" s="4" t="n"/>
    </row>
    <row r="1335">
      <c r="A1335" s="22" t="n"/>
      <c r="B1335" s="22" t="n"/>
      <c r="C1335" s="22" t="n"/>
      <c r="D1335" s="22">
        <f>IF(A1335="","",IF(OR(N(B1335)&gt;=$C$2,N(C1335)&gt;=$E$2),"High",IF(OR(N(B1335)&gt;0,N(C1335)&gt;0),"Medium","Low")))</f>
        <v/>
      </c>
      <c r="E1335" s="22" t="n"/>
      <c r="F1335" s="22" t="n"/>
      <c r="G1335" s="22" t="n"/>
      <c r="H1335" s="22" t="n"/>
      <c r="I1335" s="22" t="n"/>
      <c r="J1335" s="22" t="n"/>
      <c r="K1335" s="22" t="n"/>
      <c r="L1335" s="22" t="n"/>
      <c r="M1335" s="22">
        <f>IF(K1335="Override",L1335,IF(K1335="Accept suggestion",F1335,IF(K1335="No change (same URL)",A1335,"")))</f>
        <v/>
      </c>
      <c r="N1335" s="22">
        <f>IF(A1335="","",IF(K1335="410 Gone","410",IF(K1335="404","404",IF(K1335="No change (same URL)","none",IF(M1335="","","301")))))</f>
        <v/>
      </c>
      <c r="O1335" s="22">
        <f>IF(A1335="","",IFERROR(MID(A1335,FIND("/",A1335,FIND("//",A1335)+2),2000),A1335))</f>
        <v/>
      </c>
      <c r="P1335" s="22">
        <f>IF(OR(O1335="",N1335="",N1335="none",N1335="404"),"",IF(N1335="410","Redirect gone "&amp;O1335,"Redirect "&amp;N1335&amp;" "&amp;O1335&amp;" "&amp;M1335))</f>
        <v/>
      </c>
      <c r="Q1335" s="22" t="n"/>
      <c r="R1335" s="22" t="n"/>
      <c r="S1335" s="22" t="n"/>
      <c r="T1335" s="4">
        <f>IF(A1335="","",TRIM(IF(K1335="","Needs decision; ","")&amp;IF(AND(K1335="Accept suggestion",F1335=""),"No suggestion to accept; ","")&amp;IF(AND(K1335="Override",L1335=""),"Override URL missing; ","")&amp;IF(AND(K1335="Accept suggestion",N(G1335)&lt;$G$2),"Below your threshold; ","")&amp;IF(AND(M1335&lt;&gt;"",M1335=A1335,K1335&lt;&gt;"No change (same URL)"),"Redirects to itself; ","")&amp;IF(AND(M1335&lt;&gt;"",OR(M1335="/",AND(LEFT(M1335,4)="http",OR((LEN(M1335)-LEN(SUBSTITUTE(M1335,"/","")))=2,AND((LEN(M1335)-LEN(SUBSTITUTE(M1335,"/","")))=3,RIGHT(M1335,1)="/"))))),"Home page redirect; ","")&amp;IF(N(R1335)&gt;1,"Chain; ","")&amp;IF(S1335="No","Destination not 200; ","")))</f>
        <v/>
      </c>
      <c r="U1335" s="22" t="n"/>
      <c r="V1335" s="22" t="n"/>
      <c r="W1335" s="4" t="n"/>
    </row>
    <row r="1336">
      <c r="A1336" s="22" t="n"/>
      <c r="B1336" s="22" t="n"/>
      <c r="C1336" s="22" t="n"/>
      <c r="D1336" s="22">
        <f>IF(A1336="","",IF(OR(N(B1336)&gt;=$C$2,N(C1336)&gt;=$E$2),"High",IF(OR(N(B1336)&gt;0,N(C1336)&gt;0),"Medium","Low")))</f>
        <v/>
      </c>
      <c r="E1336" s="22" t="n"/>
      <c r="F1336" s="22" t="n"/>
      <c r="G1336" s="22" t="n"/>
      <c r="H1336" s="22" t="n"/>
      <c r="I1336" s="22" t="n"/>
      <c r="J1336" s="22" t="n"/>
      <c r="K1336" s="22" t="n"/>
      <c r="L1336" s="22" t="n"/>
      <c r="M1336" s="22">
        <f>IF(K1336="Override",L1336,IF(K1336="Accept suggestion",F1336,IF(K1336="No change (same URL)",A1336,"")))</f>
        <v/>
      </c>
      <c r="N1336" s="22">
        <f>IF(A1336="","",IF(K1336="410 Gone","410",IF(K1336="404","404",IF(K1336="No change (same URL)","none",IF(M1336="","","301")))))</f>
        <v/>
      </c>
      <c r="O1336" s="22">
        <f>IF(A1336="","",IFERROR(MID(A1336,FIND("/",A1336,FIND("//",A1336)+2),2000),A1336))</f>
        <v/>
      </c>
      <c r="P1336" s="22">
        <f>IF(OR(O1336="",N1336="",N1336="none",N1336="404"),"",IF(N1336="410","Redirect gone "&amp;O1336,"Redirect "&amp;N1336&amp;" "&amp;O1336&amp;" "&amp;M1336))</f>
        <v/>
      </c>
      <c r="Q1336" s="22" t="n"/>
      <c r="R1336" s="22" t="n"/>
      <c r="S1336" s="22" t="n"/>
      <c r="T1336" s="4">
        <f>IF(A1336="","",TRIM(IF(K1336="","Needs decision; ","")&amp;IF(AND(K1336="Accept suggestion",F1336=""),"No suggestion to accept; ","")&amp;IF(AND(K1336="Override",L1336=""),"Override URL missing; ","")&amp;IF(AND(K1336="Accept suggestion",N(G1336)&lt;$G$2),"Below your threshold; ","")&amp;IF(AND(M1336&lt;&gt;"",M1336=A1336,K1336&lt;&gt;"No change (same URL)"),"Redirects to itself; ","")&amp;IF(AND(M1336&lt;&gt;"",OR(M1336="/",AND(LEFT(M1336,4)="http",OR((LEN(M1336)-LEN(SUBSTITUTE(M1336,"/","")))=2,AND((LEN(M1336)-LEN(SUBSTITUTE(M1336,"/","")))=3,RIGHT(M1336,1)="/"))))),"Home page redirect; ","")&amp;IF(N(R1336)&gt;1,"Chain; ","")&amp;IF(S1336="No","Destination not 200; ","")))</f>
        <v/>
      </c>
      <c r="U1336" s="22" t="n"/>
      <c r="V1336" s="22" t="n"/>
      <c r="W1336" s="4" t="n"/>
    </row>
    <row r="1337">
      <c r="A1337" s="22" t="n"/>
      <c r="B1337" s="22" t="n"/>
      <c r="C1337" s="22" t="n"/>
      <c r="D1337" s="22">
        <f>IF(A1337="","",IF(OR(N(B1337)&gt;=$C$2,N(C1337)&gt;=$E$2),"High",IF(OR(N(B1337)&gt;0,N(C1337)&gt;0),"Medium","Low")))</f>
        <v/>
      </c>
      <c r="E1337" s="22" t="n"/>
      <c r="F1337" s="22" t="n"/>
      <c r="G1337" s="22" t="n"/>
      <c r="H1337" s="22" t="n"/>
      <c r="I1337" s="22" t="n"/>
      <c r="J1337" s="22" t="n"/>
      <c r="K1337" s="22" t="n"/>
      <c r="L1337" s="22" t="n"/>
      <c r="M1337" s="22">
        <f>IF(K1337="Override",L1337,IF(K1337="Accept suggestion",F1337,IF(K1337="No change (same URL)",A1337,"")))</f>
        <v/>
      </c>
      <c r="N1337" s="22">
        <f>IF(A1337="","",IF(K1337="410 Gone","410",IF(K1337="404","404",IF(K1337="No change (same URL)","none",IF(M1337="","","301")))))</f>
        <v/>
      </c>
      <c r="O1337" s="22">
        <f>IF(A1337="","",IFERROR(MID(A1337,FIND("/",A1337,FIND("//",A1337)+2),2000),A1337))</f>
        <v/>
      </c>
      <c r="P1337" s="22">
        <f>IF(OR(O1337="",N1337="",N1337="none",N1337="404"),"",IF(N1337="410","Redirect gone "&amp;O1337,"Redirect "&amp;N1337&amp;" "&amp;O1337&amp;" "&amp;M1337))</f>
        <v/>
      </c>
      <c r="Q1337" s="22" t="n"/>
      <c r="R1337" s="22" t="n"/>
      <c r="S1337" s="22" t="n"/>
      <c r="T1337" s="4">
        <f>IF(A1337="","",TRIM(IF(K1337="","Needs decision; ","")&amp;IF(AND(K1337="Accept suggestion",F1337=""),"No suggestion to accept; ","")&amp;IF(AND(K1337="Override",L1337=""),"Override URL missing; ","")&amp;IF(AND(K1337="Accept suggestion",N(G1337)&lt;$G$2),"Below your threshold; ","")&amp;IF(AND(M1337&lt;&gt;"",M1337=A1337,K1337&lt;&gt;"No change (same URL)"),"Redirects to itself; ","")&amp;IF(AND(M1337&lt;&gt;"",OR(M1337="/",AND(LEFT(M1337,4)="http",OR((LEN(M1337)-LEN(SUBSTITUTE(M1337,"/","")))=2,AND((LEN(M1337)-LEN(SUBSTITUTE(M1337,"/","")))=3,RIGHT(M1337,1)="/"))))),"Home page redirect; ","")&amp;IF(N(R1337)&gt;1,"Chain; ","")&amp;IF(S1337="No","Destination not 200; ","")))</f>
        <v/>
      </c>
      <c r="U1337" s="22" t="n"/>
      <c r="V1337" s="22" t="n"/>
      <c r="W1337" s="4" t="n"/>
    </row>
    <row r="1338">
      <c r="A1338" s="22" t="n"/>
      <c r="B1338" s="22" t="n"/>
      <c r="C1338" s="22" t="n"/>
      <c r="D1338" s="22">
        <f>IF(A1338="","",IF(OR(N(B1338)&gt;=$C$2,N(C1338)&gt;=$E$2),"High",IF(OR(N(B1338)&gt;0,N(C1338)&gt;0),"Medium","Low")))</f>
        <v/>
      </c>
      <c r="E1338" s="22" t="n"/>
      <c r="F1338" s="22" t="n"/>
      <c r="G1338" s="22" t="n"/>
      <c r="H1338" s="22" t="n"/>
      <c r="I1338" s="22" t="n"/>
      <c r="J1338" s="22" t="n"/>
      <c r="K1338" s="22" t="n"/>
      <c r="L1338" s="22" t="n"/>
      <c r="M1338" s="22">
        <f>IF(K1338="Override",L1338,IF(K1338="Accept suggestion",F1338,IF(K1338="No change (same URL)",A1338,"")))</f>
        <v/>
      </c>
      <c r="N1338" s="22">
        <f>IF(A1338="","",IF(K1338="410 Gone","410",IF(K1338="404","404",IF(K1338="No change (same URL)","none",IF(M1338="","","301")))))</f>
        <v/>
      </c>
      <c r="O1338" s="22">
        <f>IF(A1338="","",IFERROR(MID(A1338,FIND("/",A1338,FIND("//",A1338)+2),2000),A1338))</f>
        <v/>
      </c>
      <c r="P1338" s="22">
        <f>IF(OR(O1338="",N1338="",N1338="none",N1338="404"),"",IF(N1338="410","Redirect gone "&amp;O1338,"Redirect "&amp;N1338&amp;" "&amp;O1338&amp;" "&amp;M1338))</f>
        <v/>
      </c>
      <c r="Q1338" s="22" t="n"/>
      <c r="R1338" s="22" t="n"/>
      <c r="S1338" s="22" t="n"/>
      <c r="T1338" s="4">
        <f>IF(A1338="","",TRIM(IF(K1338="","Needs decision; ","")&amp;IF(AND(K1338="Accept suggestion",F1338=""),"No suggestion to accept; ","")&amp;IF(AND(K1338="Override",L1338=""),"Override URL missing; ","")&amp;IF(AND(K1338="Accept suggestion",N(G1338)&lt;$G$2),"Below your threshold; ","")&amp;IF(AND(M1338&lt;&gt;"",M1338=A1338,K1338&lt;&gt;"No change (same URL)"),"Redirects to itself; ","")&amp;IF(AND(M1338&lt;&gt;"",OR(M1338="/",AND(LEFT(M1338,4)="http",OR((LEN(M1338)-LEN(SUBSTITUTE(M1338,"/","")))=2,AND((LEN(M1338)-LEN(SUBSTITUTE(M1338,"/","")))=3,RIGHT(M1338,1)="/"))))),"Home page redirect; ","")&amp;IF(N(R1338)&gt;1,"Chain; ","")&amp;IF(S1338="No","Destination not 200; ","")))</f>
        <v/>
      </c>
      <c r="U1338" s="22" t="n"/>
      <c r="V1338" s="22" t="n"/>
      <c r="W1338" s="4" t="n"/>
    </row>
    <row r="1339">
      <c r="A1339" s="22" t="n"/>
      <c r="B1339" s="22" t="n"/>
      <c r="C1339" s="22" t="n"/>
      <c r="D1339" s="22">
        <f>IF(A1339="","",IF(OR(N(B1339)&gt;=$C$2,N(C1339)&gt;=$E$2),"High",IF(OR(N(B1339)&gt;0,N(C1339)&gt;0),"Medium","Low")))</f>
        <v/>
      </c>
      <c r="E1339" s="22" t="n"/>
      <c r="F1339" s="22" t="n"/>
      <c r="G1339" s="22" t="n"/>
      <c r="H1339" s="22" t="n"/>
      <c r="I1339" s="22" t="n"/>
      <c r="J1339" s="22" t="n"/>
      <c r="K1339" s="22" t="n"/>
      <c r="L1339" s="22" t="n"/>
      <c r="M1339" s="22">
        <f>IF(K1339="Override",L1339,IF(K1339="Accept suggestion",F1339,IF(K1339="No change (same URL)",A1339,"")))</f>
        <v/>
      </c>
      <c r="N1339" s="22">
        <f>IF(A1339="","",IF(K1339="410 Gone","410",IF(K1339="404","404",IF(K1339="No change (same URL)","none",IF(M1339="","","301")))))</f>
        <v/>
      </c>
      <c r="O1339" s="22">
        <f>IF(A1339="","",IFERROR(MID(A1339,FIND("/",A1339,FIND("//",A1339)+2),2000),A1339))</f>
        <v/>
      </c>
      <c r="P1339" s="22">
        <f>IF(OR(O1339="",N1339="",N1339="none",N1339="404"),"",IF(N1339="410","Redirect gone "&amp;O1339,"Redirect "&amp;N1339&amp;" "&amp;O1339&amp;" "&amp;M1339))</f>
        <v/>
      </c>
      <c r="Q1339" s="22" t="n"/>
      <c r="R1339" s="22" t="n"/>
      <c r="S1339" s="22" t="n"/>
      <c r="T1339" s="4">
        <f>IF(A1339="","",TRIM(IF(K1339="","Needs decision; ","")&amp;IF(AND(K1339="Accept suggestion",F1339=""),"No suggestion to accept; ","")&amp;IF(AND(K1339="Override",L1339=""),"Override URL missing; ","")&amp;IF(AND(K1339="Accept suggestion",N(G1339)&lt;$G$2),"Below your threshold; ","")&amp;IF(AND(M1339&lt;&gt;"",M1339=A1339,K1339&lt;&gt;"No change (same URL)"),"Redirects to itself; ","")&amp;IF(AND(M1339&lt;&gt;"",OR(M1339="/",AND(LEFT(M1339,4)="http",OR((LEN(M1339)-LEN(SUBSTITUTE(M1339,"/","")))=2,AND((LEN(M1339)-LEN(SUBSTITUTE(M1339,"/","")))=3,RIGHT(M1339,1)="/"))))),"Home page redirect; ","")&amp;IF(N(R1339)&gt;1,"Chain; ","")&amp;IF(S1339="No","Destination not 200; ","")))</f>
        <v/>
      </c>
      <c r="U1339" s="22" t="n"/>
      <c r="V1339" s="22" t="n"/>
      <c r="W1339" s="4" t="n"/>
    </row>
    <row r="1340">
      <c r="A1340" s="22" t="n"/>
      <c r="B1340" s="22" t="n"/>
      <c r="C1340" s="22" t="n"/>
      <c r="D1340" s="22">
        <f>IF(A1340="","",IF(OR(N(B1340)&gt;=$C$2,N(C1340)&gt;=$E$2),"High",IF(OR(N(B1340)&gt;0,N(C1340)&gt;0),"Medium","Low")))</f>
        <v/>
      </c>
      <c r="E1340" s="22" t="n"/>
      <c r="F1340" s="22" t="n"/>
      <c r="G1340" s="22" t="n"/>
      <c r="H1340" s="22" t="n"/>
      <c r="I1340" s="22" t="n"/>
      <c r="J1340" s="22" t="n"/>
      <c r="K1340" s="22" t="n"/>
      <c r="L1340" s="22" t="n"/>
      <c r="M1340" s="22">
        <f>IF(K1340="Override",L1340,IF(K1340="Accept suggestion",F1340,IF(K1340="No change (same URL)",A1340,"")))</f>
        <v/>
      </c>
      <c r="N1340" s="22">
        <f>IF(A1340="","",IF(K1340="410 Gone","410",IF(K1340="404","404",IF(K1340="No change (same URL)","none",IF(M1340="","","301")))))</f>
        <v/>
      </c>
      <c r="O1340" s="22">
        <f>IF(A1340="","",IFERROR(MID(A1340,FIND("/",A1340,FIND("//",A1340)+2),2000),A1340))</f>
        <v/>
      </c>
      <c r="P1340" s="22">
        <f>IF(OR(O1340="",N1340="",N1340="none",N1340="404"),"",IF(N1340="410","Redirect gone "&amp;O1340,"Redirect "&amp;N1340&amp;" "&amp;O1340&amp;" "&amp;M1340))</f>
        <v/>
      </c>
      <c r="Q1340" s="22" t="n"/>
      <c r="R1340" s="22" t="n"/>
      <c r="S1340" s="22" t="n"/>
      <c r="T1340" s="4">
        <f>IF(A1340="","",TRIM(IF(K1340="","Needs decision; ","")&amp;IF(AND(K1340="Accept suggestion",F1340=""),"No suggestion to accept; ","")&amp;IF(AND(K1340="Override",L1340=""),"Override URL missing; ","")&amp;IF(AND(K1340="Accept suggestion",N(G1340)&lt;$G$2),"Below your threshold; ","")&amp;IF(AND(M1340&lt;&gt;"",M1340=A1340,K1340&lt;&gt;"No change (same URL)"),"Redirects to itself; ","")&amp;IF(AND(M1340&lt;&gt;"",OR(M1340="/",AND(LEFT(M1340,4)="http",OR((LEN(M1340)-LEN(SUBSTITUTE(M1340,"/","")))=2,AND((LEN(M1340)-LEN(SUBSTITUTE(M1340,"/","")))=3,RIGHT(M1340,1)="/"))))),"Home page redirect; ","")&amp;IF(N(R1340)&gt;1,"Chain; ","")&amp;IF(S1340="No","Destination not 200; ","")))</f>
        <v/>
      </c>
      <c r="U1340" s="22" t="n"/>
      <c r="V1340" s="22" t="n"/>
      <c r="W1340" s="4" t="n"/>
    </row>
    <row r="1341">
      <c r="A1341" s="22" t="n"/>
      <c r="B1341" s="22" t="n"/>
      <c r="C1341" s="22" t="n"/>
      <c r="D1341" s="22">
        <f>IF(A1341="","",IF(OR(N(B1341)&gt;=$C$2,N(C1341)&gt;=$E$2),"High",IF(OR(N(B1341)&gt;0,N(C1341)&gt;0),"Medium","Low")))</f>
        <v/>
      </c>
      <c r="E1341" s="22" t="n"/>
      <c r="F1341" s="22" t="n"/>
      <c r="G1341" s="22" t="n"/>
      <c r="H1341" s="22" t="n"/>
      <c r="I1341" s="22" t="n"/>
      <c r="J1341" s="22" t="n"/>
      <c r="K1341" s="22" t="n"/>
      <c r="L1341" s="22" t="n"/>
      <c r="M1341" s="22">
        <f>IF(K1341="Override",L1341,IF(K1341="Accept suggestion",F1341,IF(K1341="No change (same URL)",A1341,"")))</f>
        <v/>
      </c>
      <c r="N1341" s="22">
        <f>IF(A1341="","",IF(K1341="410 Gone","410",IF(K1341="404","404",IF(K1341="No change (same URL)","none",IF(M1341="","","301")))))</f>
        <v/>
      </c>
      <c r="O1341" s="22">
        <f>IF(A1341="","",IFERROR(MID(A1341,FIND("/",A1341,FIND("//",A1341)+2),2000),A1341))</f>
        <v/>
      </c>
      <c r="P1341" s="22">
        <f>IF(OR(O1341="",N1341="",N1341="none",N1341="404"),"",IF(N1341="410","Redirect gone "&amp;O1341,"Redirect "&amp;N1341&amp;" "&amp;O1341&amp;" "&amp;M1341))</f>
        <v/>
      </c>
      <c r="Q1341" s="22" t="n"/>
      <c r="R1341" s="22" t="n"/>
      <c r="S1341" s="22" t="n"/>
      <c r="T1341" s="4">
        <f>IF(A1341="","",TRIM(IF(K1341="","Needs decision; ","")&amp;IF(AND(K1341="Accept suggestion",F1341=""),"No suggestion to accept; ","")&amp;IF(AND(K1341="Override",L1341=""),"Override URL missing; ","")&amp;IF(AND(K1341="Accept suggestion",N(G1341)&lt;$G$2),"Below your threshold; ","")&amp;IF(AND(M1341&lt;&gt;"",M1341=A1341,K1341&lt;&gt;"No change (same URL)"),"Redirects to itself; ","")&amp;IF(AND(M1341&lt;&gt;"",OR(M1341="/",AND(LEFT(M1341,4)="http",OR((LEN(M1341)-LEN(SUBSTITUTE(M1341,"/","")))=2,AND((LEN(M1341)-LEN(SUBSTITUTE(M1341,"/","")))=3,RIGHT(M1341,1)="/"))))),"Home page redirect; ","")&amp;IF(N(R1341)&gt;1,"Chain; ","")&amp;IF(S1341="No","Destination not 200; ","")))</f>
        <v/>
      </c>
      <c r="U1341" s="22" t="n"/>
      <c r="V1341" s="22" t="n"/>
      <c r="W1341" s="4" t="n"/>
    </row>
    <row r="1342">
      <c r="A1342" s="22" t="n"/>
      <c r="B1342" s="22" t="n"/>
      <c r="C1342" s="22" t="n"/>
      <c r="D1342" s="22">
        <f>IF(A1342="","",IF(OR(N(B1342)&gt;=$C$2,N(C1342)&gt;=$E$2),"High",IF(OR(N(B1342)&gt;0,N(C1342)&gt;0),"Medium","Low")))</f>
        <v/>
      </c>
      <c r="E1342" s="22" t="n"/>
      <c r="F1342" s="22" t="n"/>
      <c r="G1342" s="22" t="n"/>
      <c r="H1342" s="22" t="n"/>
      <c r="I1342" s="22" t="n"/>
      <c r="J1342" s="22" t="n"/>
      <c r="K1342" s="22" t="n"/>
      <c r="L1342" s="22" t="n"/>
      <c r="M1342" s="22">
        <f>IF(K1342="Override",L1342,IF(K1342="Accept suggestion",F1342,IF(K1342="No change (same URL)",A1342,"")))</f>
        <v/>
      </c>
      <c r="N1342" s="22">
        <f>IF(A1342="","",IF(K1342="410 Gone","410",IF(K1342="404","404",IF(K1342="No change (same URL)","none",IF(M1342="","","301")))))</f>
        <v/>
      </c>
      <c r="O1342" s="22">
        <f>IF(A1342="","",IFERROR(MID(A1342,FIND("/",A1342,FIND("//",A1342)+2),2000),A1342))</f>
        <v/>
      </c>
      <c r="P1342" s="22">
        <f>IF(OR(O1342="",N1342="",N1342="none",N1342="404"),"",IF(N1342="410","Redirect gone "&amp;O1342,"Redirect "&amp;N1342&amp;" "&amp;O1342&amp;" "&amp;M1342))</f>
        <v/>
      </c>
      <c r="Q1342" s="22" t="n"/>
      <c r="R1342" s="22" t="n"/>
      <c r="S1342" s="22" t="n"/>
      <c r="T1342" s="4">
        <f>IF(A1342="","",TRIM(IF(K1342="","Needs decision; ","")&amp;IF(AND(K1342="Accept suggestion",F1342=""),"No suggestion to accept; ","")&amp;IF(AND(K1342="Override",L1342=""),"Override URL missing; ","")&amp;IF(AND(K1342="Accept suggestion",N(G1342)&lt;$G$2),"Below your threshold; ","")&amp;IF(AND(M1342&lt;&gt;"",M1342=A1342,K1342&lt;&gt;"No change (same URL)"),"Redirects to itself; ","")&amp;IF(AND(M1342&lt;&gt;"",OR(M1342="/",AND(LEFT(M1342,4)="http",OR((LEN(M1342)-LEN(SUBSTITUTE(M1342,"/","")))=2,AND((LEN(M1342)-LEN(SUBSTITUTE(M1342,"/","")))=3,RIGHT(M1342,1)="/"))))),"Home page redirect; ","")&amp;IF(N(R1342)&gt;1,"Chain; ","")&amp;IF(S1342="No","Destination not 200; ","")))</f>
        <v/>
      </c>
      <c r="U1342" s="22" t="n"/>
      <c r="V1342" s="22" t="n"/>
      <c r="W1342" s="4" t="n"/>
    </row>
    <row r="1343">
      <c r="A1343" s="22" t="n"/>
      <c r="B1343" s="22" t="n"/>
      <c r="C1343" s="22" t="n"/>
      <c r="D1343" s="22">
        <f>IF(A1343="","",IF(OR(N(B1343)&gt;=$C$2,N(C1343)&gt;=$E$2),"High",IF(OR(N(B1343)&gt;0,N(C1343)&gt;0),"Medium","Low")))</f>
        <v/>
      </c>
      <c r="E1343" s="22" t="n"/>
      <c r="F1343" s="22" t="n"/>
      <c r="G1343" s="22" t="n"/>
      <c r="H1343" s="22" t="n"/>
      <c r="I1343" s="22" t="n"/>
      <c r="J1343" s="22" t="n"/>
      <c r="K1343" s="22" t="n"/>
      <c r="L1343" s="22" t="n"/>
      <c r="M1343" s="22">
        <f>IF(K1343="Override",L1343,IF(K1343="Accept suggestion",F1343,IF(K1343="No change (same URL)",A1343,"")))</f>
        <v/>
      </c>
      <c r="N1343" s="22">
        <f>IF(A1343="","",IF(K1343="410 Gone","410",IF(K1343="404","404",IF(K1343="No change (same URL)","none",IF(M1343="","","301")))))</f>
        <v/>
      </c>
      <c r="O1343" s="22">
        <f>IF(A1343="","",IFERROR(MID(A1343,FIND("/",A1343,FIND("//",A1343)+2),2000),A1343))</f>
        <v/>
      </c>
      <c r="P1343" s="22">
        <f>IF(OR(O1343="",N1343="",N1343="none",N1343="404"),"",IF(N1343="410","Redirect gone "&amp;O1343,"Redirect "&amp;N1343&amp;" "&amp;O1343&amp;" "&amp;M1343))</f>
        <v/>
      </c>
      <c r="Q1343" s="22" t="n"/>
      <c r="R1343" s="22" t="n"/>
      <c r="S1343" s="22" t="n"/>
      <c r="T1343" s="4">
        <f>IF(A1343="","",TRIM(IF(K1343="","Needs decision; ","")&amp;IF(AND(K1343="Accept suggestion",F1343=""),"No suggestion to accept; ","")&amp;IF(AND(K1343="Override",L1343=""),"Override URL missing; ","")&amp;IF(AND(K1343="Accept suggestion",N(G1343)&lt;$G$2),"Below your threshold; ","")&amp;IF(AND(M1343&lt;&gt;"",M1343=A1343,K1343&lt;&gt;"No change (same URL)"),"Redirects to itself; ","")&amp;IF(AND(M1343&lt;&gt;"",OR(M1343="/",AND(LEFT(M1343,4)="http",OR((LEN(M1343)-LEN(SUBSTITUTE(M1343,"/","")))=2,AND((LEN(M1343)-LEN(SUBSTITUTE(M1343,"/","")))=3,RIGHT(M1343,1)="/"))))),"Home page redirect; ","")&amp;IF(N(R1343)&gt;1,"Chain; ","")&amp;IF(S1343="No","Destination not 200; ","")))</f>
        <v/>
      </c>
      <c r="U1343" s="22" t="n"/>
      <c r="V1343" s="22" t="n"/>
      <c r="W1343" s="4" t="n"/>
    </row>
    <row r="1344">
      <c r="A1344" s="22" t="n"/>
      <c r="B1344" s="22" t="n"/>
      <c r="C1344" s="22" t="n"/>
      <c r="D1344" s="22">
        <f>IF(A1344="","",IF(OR(N(B1344)&gt;=$C$2,N(C1344)&gt;=$E$2),"High",IF(OR(N(B1344)&gt;0,N(C1344)&gt;0),"Medium","Low")))</f>
        <v/>
      </c>
      <c r="E1344" s="22" t="n"/>
      <c r="F1344" s="22" t="n"/>
      <c r="G1344" s="22" t="n"/>
      <c r="H1344" s="22" t="n"/>
      <c r="I1344" s="22" t="n"/>
      <c r="J1344" s="22" t="n"/>
      <c r="K1344" s="22" t="n"/>
      <c r="L1344" s="22" t="n"/>
      <c r="M1344" s="22">
        <f>IF(K1344="Override",L1344,IF(K1344="Accept suggestion",F1344,IF(K1344="No change (same URL)",A1344,"")))</f>
        <v/>
      </c>
      <c r="N1344" s="22">
        <f>IF(A1344="","",IF(K1344="410 Gone","410",IF(K1344="404","404",IF(K1344="No change (same URL)","none",IF(M1344="","","301")))))</f>
        <v/>
      </c>
      <c r="O1344" s="22">
        <f>IF(A1344="","",IFERROR(MID(A1344,FIND("/",A1344,FIND("//",A1344)+2),2000),A1344))</f>
        <v/>
      </c>
      <c r="P1344" s="22">
        <f>IF(OR(O1344="",N1344="",N1344="none",N1344="404"),"",IF(N1344="410","Redirect gone "&amp;O1344,"Redirect "&amp;N1344&amp;" "&amp;O1344&amp;" "&amp;M1344))</f>
        <v/>
      </c>
      <c r="Q1344" s="22" t="n"/>
      <c r="R1344" s="22" t="n"/>
      <c r="S1344" s="22" t="n"/>
      <c r="T1344" s="4">
        <f>IF(A1344="","",TRIM(IF(K1344="","Needs decision; ","")&amp;IF(AND(K1344="Accept suggestion",F1344=""),"No suggestion to accept; ","")&amp;IF(AND(K1344="Override",L1344=""),"Override URL missing; ","")&amp;IF(AND(K1344="Accept suggestion",N(G1344)&lt;$G$2),"Below your threshold; ","")&amp;IF(AND(M1344&lt;&gt;"",M1344=A1344,K1344&lt;&gt;"No change (same URL)"),"Redirects to itself; ","")&amp;IF(AND(M1344&lt;&gt;"",OR(M1344="/",AND(LEFT(M1344,4)="http",OR((LEN(M1344)-LEN(SUBSTITUTE(M1344,"/","")))=2,AND((LEN(M1344)-LEN(SUBSTITUTE(M1344,"/","")))=3,RIGHT(M1344,1)="/"))))),"Home page redirect; ","")&amp;IF(N(R1344)&gt;1,"Chain; ","")&amp;IF(S1344="No","Destination not 200; ","")))</f>
        <v/>
      </c>
      <c r="U1344" s="22" t="n"/>
      <c r="V1344" s="22" t="n"/>
      <c r="W1344" s="4" t="n"/>
    </row>
    <row r="1345">
      <c r="A1345" s="22" t="n"/>
      <c r="B1345" s="22" t="n"/>
      <c r="C1345" s="22" t="n"/>
      <c r="D1345" s="22">
        <f>IF(A1345="","",IF(OR(N(B1345)&gt;=$C$2,N(C1345)&gt;=$E$2),"High",IF(OR(N(B1345)&gt;0,N(C1345)&gt;0),"Medium","Low")))</f>
        <v/>
      </c>
      <c r="E1345" s="22" t="n"/>
      <c r="F1345" s="22" t="n"/>
      <c r="G1345" s="22" t="n"/>
      <c r="H1345" s="22" t="n"/>
      <c r="I1345" s="22" t="n"/>
      <c r="J1345" s="22" t="n"/>
      <c r="K1345" s="22" t="n"/>
      <c r="L1345" s="22" t="n"/>
      <c r="M1345" s="22">
        <f>IF(K1345="Override",L1345,IF(K1345="Accept suggestion",F1345,IF(K1345="No change (same URL)",A1345,"")))</f>
        <v/>
      </c>
      <c r="N1345" s="22">
        <f>IF(A1345="","",IF(K1345="410 Gone","410",IF(K1345="404","404",IF(K1345="No change (same URL)","none",IF(M1345="","","301")))))</f>
        <v/>
      </c>
      <c r="O1345" s="22">
        <f>IF(A1345="","",IFERROR(MID(A1345,FIND("/",A1345,FIND("//",A1345)+2),2000),A1345))</f>
        <v/>
      </c>
      <c r="P1345" s="22">
        <f>IF(OR(O1345="",N1345="",N1345="none",N1345="404"),"",IF(N1345="410","Redirect gone "&amp;O1345,"Redirect "&amp;N1345&amp;" "&amp;O1345&amp;" "&amp;M1345))</f>
        <v/>
      </c>
      <c r="Q1345" s="22" t="n"/>
      <c r="R1345" s="22" t="n"/>
      <c r="S1345" s="22" t="n"/>
      <c r="T1345" s="4">
        <f>IF(A1345="","",TRIM(IF(K1345="","Needs decision; ","")&amp;IF(AND(K1345="Accept suggestion",F1345=""),"No suggestion to accept; ","")&amp;IF(AND(K1345="Override",L1345=""),"Override URL missing; ","")&amp;IF(AND(K1345="Accept suggestion",N(G1345)&lt;$G$2),"Below your threshold; ","")&amp;IF(AND(M1345&lt;&gt;"",M1345=A1345,K1345&lt;&gt;"No change (same URL)"),"Redirects to itself; ","")&amp;IF(AND(M1345&lt;&gt;"",OR(M1345="/",AND(LEFT(M1345,4)="http",OR((LEN(M1345)-LEN(SUBSTITUTE(M1345,"/","")))=2,AND((LEN(M1345)-LEN(SUBSTITUTE(M1345,"/","")))=3,RIGHT(M1345,1)="/"))))),"Home page redirect; ","")&amp;IF(N(R1345)&gt;1,"Chain; ","")&amp;IF(S1345="No","Destination not 200; ","")))</f>
        <v/>
      </c>
      <c r="U1345" s="22" t="n"/>
      <c r="V1345" s="22" t="n"/>
      <c r="W1345" s="4" t="n"/>
    </row>
    <row r="1346">
      <c r="A1346" s="22" t="n"/>
      <c r="B1346" s="22" t="n"/>
      <c r="C1346" s="22" t="n"/>
      <c r="D1346" s="22">
        <f>IF(A1346="","",IF(OR(N(B1346)&gt;=$C$2,N(C1346)&gt;=$E$2),"High",IF(OR(N(B1346)&gt;0,N(C1346)&gt;0),"Medium","Low")))</f>
        <v/>
      </c>
      <c r="E1346" s="22" t="n"/>
      <c r="F1346" s="22" t="n"/>
      <c r="G1346" s="22" t="n"/>
      <c r="H1346" s="22" t="n"/>
      <c r="I1346" s="22" t="n"/>
      <c r="J1346" s="22" t="n"/>
      <c r="K1346" s="22" t="n"/>
      <c r="L1346" s="22" t="n"/>
      <c r="M1346" s="22">
        <f>IF(K1346="Override",L1346,IF(K1346="Accept suggestion",F1346,IF(K1346="No change (same URL)",A1346,"")))</f>
        <v/>
      </c>
      <c r="N1346" s="22">
        <f>IF(A1346="","",IF(K1346="410 Gone","410",IF(K1346="404","404",IF(K1346="No change (same URL)","none",IF(M1346="","","301")))))</f>
        <v/>
      </c>
      <c r="O1346" s="22">
        <f>IF(A1346="","",IFERROR(MID(A1346,FIND("/",A1346,FIND("//",A1346)+2),2000),A1346))</f>
        <v/>
      </c>
      <c r="P1346" s="22">
        <f>IF(OR(O1346="",N1346="",N1346="none",N1346="404"),"",IF(N1346="410","Redirect gone "&amp;O1346,"Redirect "&amp;N1346&amp;" "&amp;O1346&amp;" "&amp;M1346))</f>
        <v/>
      </c>
      <c r="Q1346" s="22" t="n"/>
      <c r="R1346" s="22" t="n"/>
      <c r="S1346" s="22" t="n"/>
      <c r="T1346" s="4">
        <f>IF(A1346="","",TRIM(IF(K1346="","Needs decision; ","")&amp;IF(AND(K1346="Accept suggestion",F1346=""),"No suggestion to accept; ","")&amp;IF(AND(K1346="Override",L1346=""),"Override URL missing; ","")&amp;IF(AND(K1346="Accept suggestion",N(G1346)&lt;$G$2),"Below your threshold; ","")&amp;IF(AND(M1346&lt;&gt;"",M1346=A1346,K1346&lt;&gt;"No change (same URL)"),"Redirects to itself; ","")&amp;IF(AND(M1346&lt;&gt;"",OR(M1346="/",AND(LEFT(M1346,4)="http",OR((LEN(M1346)-LEN(SUBSTITUTE(M1346,"/","")))=2,AND((LEN(M1346)-LEN(SUBSTITUTE(M1346,"/","")))=3,RIGHT(M1346,1)="/"))))),"Home page redirect; ","")&amp;IF(N(R1346)&gt;1,"Chain; ","")&amp;IF(S1346="No","Destination not 200; ","")))</f>
        <v/>
      </c>
      <c r="U1346" s="22" t="n"/>
      <c r="V1346" s="22" t="n"/>
      <c r="W1346" s="4" t="n"/>
    </row>
    <row r="1347">
      <c r="A1347" s="22" t="n"/>
      <c r="B1347" s="22" t="n"/>
      <c r="C1347" s="22" t="n"/>
      <c r="D1347" s="22">
        <f>IF(A1347="","",IF(OR(N(B1347)&gt;=$C$2,N(C1347)&gt;=$E$2),"High",IF(OR(N(B1347)&gt;0,N(C1347)&gt;0),"Medium","Low")))</f>
        <v/>
      </c>
      <c r="E1347" s="22" t="n"/>
      <c r="F1347" s="22" t="n"/>
      <c r="G1347" s="22" t="n"/>
      <c r="H1347" s="22" t="n"/>
      <c r="I1347" s="22" t="n"/>
      <c r="J1347" s="22" t="n"/>
      <c r="K1347" s="22" t="n"/>
      <c r="L1347" s="22" t="n"/>
      <c r="M1347" s="22">
        <f>IF(K1347="Override",L1347,IF(K1347="Accept suggestion",F1347,IF(K1347="No change (same URL)",A1347,"")))</f>
        <v/>
      </c>
      <c r="N1347" s="22">
        <f>IF(A1347="","",IF(K1347="410 Gone","410",IF(K1347="404","404",IF(K1347="No change (same URL)","none",IF(M1347="","","301")))))</f>
        <v/>
      </c>
      <c r="O1347" s="22">
        <f>IF(A1347="","",IFERROR(MID(A1347,FIND("/",A1347,FIND("//",A1347)+2),2000),A1347))</f>
        <v/>
      </c>
      <c r="P1347" s="22">
        <f>IF(OR(O1347="",N1347="",N1347="none",N1347="404"),"",IF(N1347="410","Redirect gone "&amp;O1347,"Redirect "&amp;N1347&amp;" "&amp;O1347&amp;" "&amp;M1347))</f>
        <v/>
      </c>
      <c r="Q1347" s="22" t="n"/>
      <c r="R1347" s="22" t="n"/>
      <c r="S1347" s="22" t="n"/>
      <c r="T1347" s="4">
        <f>IF(A1347="","",TRIM(IF(K1347="","Needs decision; ","")&amp;IF(AND(K1347="Accept suggestion",F1347=""),"No suggestion to accept; ","")&amp;IF(AND(K1347="Override",L1347=""),"Override URL missing; ","")&amp;IF(AND(K1347="Accept suggestion",N(G1347)&lt;$G$2),"Below your threshold; ","")&amp;IF(AND(M1347&lt;&gt;"",M1347=A1347,K1347&lt;&gt;"No change (same URL)"),"Redirects to itself; ","")&amp;IF(AND(M1347&lt;&gt;"",OR(M1347="/",AND(LEFT(M1347,4)="http",OR((LEN(M1347)-LEN(SUBSTITUTE(M1347,"/","")))=2,AND((LEN(M1347)-LEN(SUBSTITUTE(M1347,"/","")))=3,RIGHT(M1347,1)="/"))))),"Home page redirect; ","")&amp;IF(N(R1347)&gt;1,"Chain; ","")&amp;IF(S1347="No","Destination not 200; ","")))</f>
        <v/>
      </c>
      <c r="U1347" s="22" t="n"/>
      <c r="V1347" s="22" t="n"/>
      <c r="W1347" s="4" t="n"/>
    </row>
    <row r="1348">
      <c r="A1348" s="22" t="n"/>
      <c r="B1348" s="22" t="n"/>
      <c r="C1348" s="22" t="n"/>
      <c r="D1348" s="22">
        <f>IF(A1348="","",IF(OR(N(B1348)&gt;=$C$2,N(C1348)&gt;=$E$2),"High",IF(OR(N(B1348)&gt;0,N(C1348)&gt;0),"Medium","Low")))</f>
        <v/>
      </c>
      <c r="E1348" s="22" t="n"/>
      <c r="F1348" s="22" t="n"/>
      <c r="G1348" s="22" t="n"/>
      <c r="H1348" s="22" t="n"/>
      <c r="I1348" s="22" t="n"/>
      <c r="J1348" s="22" t="n"/>
      <c r="K1348" s="22" t="n"/>
      <c r="L1348" s="22" t="n"/>
      <c r="M1348" s="22">
        <f>IF(K1348="Override",L1348,IF(K1348="Accept suggestion",F1348,IF(K1348="No change (same URL)",A1348,"")))</f>
        <v/>
      </c>
      <c r="N1348" s="22">
        <f>IF(A1348="","",IF(K1348="410 Gone","410",IF(K1348="404","404",IF(K1348="No change (same URL)","none",IF(M1348="","","301")))))</f>
        <v/>
      </c>
      <c r="O1348" s="22">
        <f>IF(A1348="","",IFERROR(MID(A1348,FIND("/",A1348,FIND("//",A1348)+2),2000),A1348))</f>
        <v/>
      </c>
      <c r="P1348" s="22">
        <f>IF(OR(O1348="",N1348="",N1348="none",N1348="404"),"",IF(N1348="410","Redirect gone "&amp;O1348,"Redirect "&amp;N1348&amp;" "&amp;O1348&amp;" "&amp;M1348))</f>
        <v/>
      </c>
      <c r="Q1348" s="22" t="n"/>
      <c r="R1348" s="22" t="n"/>
      <c r="S1348" s="22" t="n"/>
      <c r="T1348" s="4">
        <f>IF(A1348="","",TRIM(IF(K1348="","Needs decision; ","")&amp;IF(AND(K1348="Accept suggestion",F1348=""),"No suggestion to accept; ","")&amp;IF(AND(K1348="Override",L1348=""),"Override URL missing; ","")&amp;IF(AND(K1348="Accept suggestion",N(G1348)&lt;$G$2),"Below your threshold; ","")&amp;IF(AND(M1348&lt;&gt;"",M1348=A1348,K1348&lt;&gt;"No change (same URL)"),"Redirects to itself; ","")&amp;IF(AND(M1348&lt;&gt;"",OR(M1348="/",AND(LEFT(M1348,4)="http",OR((LEN(M1348)-LEN(SUBSTITUTE(M1348,"/","")))=2,AND((LEN(M1348)-LEN(SUBSTITUTE(M1348,"/","")))=3,RIGHT(M1348,1)="/"))))),"Home page redirect; ","")&amp;IF(N(R1348)&gt;1,"Chain; ","")&amp;IF(S1348="No","Destination not 200; ","")))</f>
        <v/>
      </c>
      <c r="U1348" s="22" t="n"/>
      <c r="V1348" s="22" t="n"/>
      <c r="W1348" s="4" t="n"/>
    </row>
    <row r="1349">
      <c r="A1349" s="22" t="n"/>
      <c r="B1349" s="22" t="n"/>
      <c r="C1349" s="22" t="n"/>
      <c r="D1349" s="22">
        <f>IF(A1349="","",IF(OR(N(B1349)&gt;=$C$2,N(C1349)&gt;=$E$2),"High",IF(OR(N(B1349)&gt;0,N(C1349)&gt;0),"Medium","Low")))</f>
        <v/>
      </c>
      <c r="E1349" s="22" t="n"/>
      <c r="F1349" s="22" t="n"/>
      <c r="G1349" s="22" t="n"/>
      <c r="H1349" s="22" t="n"/>
      <c r="I1349" s="22" t="n"/>
      <c r="J1349" s="22" t="n"/>
      <c r="K1349" s="22" t="n"/>
      <c r="L1349" s="22" t="n"/>
      <c r="M1349" s="22">
        <f>IF(K1349="Override",L1349,IF(K1349="Accept suggestion",F1349,IF(K1349="No change (same URL)",A1349,"")))</f>
        <v/>
      </c>
      <c r="N1349" s="22">
        <f>IF(A1349="","",IF(K1349="410 Gone","410",IF(K1349="404","404",IF(K1349="No change (same URL)","none",IF(M1349="","","301")))))</f>
        <v/>
      </c>
      <c r="O1349" s="22">
        <f>IF(A1349="","",IFERROR(MID(A1349,FIND("/",A1349,FIND("//",A1349)+2),2000),A1349))</f>
        <v/>
      </c>
      <c r="P1349" s="22">
        <f>IF(OR(O1349="",N1349="",N1349="none",N1349="404"),"",IF(N1349="410","Redirect gone "&amp;O1349,"Redirect "&amp;N1349&amp;" "&amp;O1349&amp;" "&amp;M1349))</f>
        <v/>
      </c>
      <c r="Q1349" s="22" t="n"/>
      <c r="R1349" s="22" t="n"/>
      <c r="S1349" s="22" t="n"/>
      <c r="T1349" s="4">
        <f>IF(A1349="","",TRIM(IF(K1349="","Needs decision; ","")&amp;IF(AND(K1349="Accept suggestion",F1349=""),"No suggestion to accept; ","")&amp;IF(AND(K1349="Override",L1349=""),"Override URL missing; ","")&amp;IF(AND(K1349="Accept suggestion",N(G1349)&lt;$G$2),"Below your threshold; ","")&amp;IF(AND(M1349&lt;&gt;"",M1349=A1349,K1349&lt;&gt;"No change (same URL)"),"Redirects to itself; ","")&amp;IF(AND(M1349&lt;&gt;"",OR(M1349="/",AND(LEFT(M1349,4)="http",OR((LEN(M1349)-LEN(SUBSTITUTE(M1349,"/","")))=2,AND((LEN(M1349)-LEN(SUBSTITUTE(M1349,"/","")))=3,RIGHT(M1349,1)="/"))))),"Home page redirect; ","")&amp;IF(N(R1349)&gt;1,"Chain; ","")&amp;IF(S1349="No","Destination not 200; ","")))</f>
        <v/>
      </c>
      <c r="U1349" s="22" t="n"/>
      <c r="V1349" s="22" t="n"/>
      <c r="W1349" s="4" t="n"/>
    </row>
    <row r="1350">
      <c r="A1350" s="22" t="n"/>
      <c r="B1350" s="22" t="n"/>
      <c r="C1350" s="22" t="n"/>
      <c r="D1350" s="22">
        <f>IF(A1350="","",IF(OR(N(B1350)&gt;=$C$2,N(C1350)&gt;=$E$2),"High",IF(OR(N(B1350)&gt;0,N(C1350)&gt;0),"Medium","Low")))</f>
        <v/>
      </c>
      <c r="E1350" s="22" t="n"/>
      <c r="F1350" s="22" t="n"/>
      <c r="G1350" s="22" t="n"/>
      <c r="H1350" s="22" t="n"/>
      <c r="I1350" s="22" t="n"/>
      <c r="J1350" s="22" t="n"/>
      <c r="K1350" s="22" t="n"/>
      <c r="L1350" s="22" t="n"/>
      <c r="M1350" s="22">
        <f>IF(K1350="Override",L1350,IF(K1350="Accept suggestion",F1350,IF(K1350="No change (same URL)",A1350,"")))</f>
        <v/>
      </c>
      <c r="N1350" s="22">
        <f>IF(A1350="","",IF(K1350="410 Gone","410",IF(K1350="404","404",IF(K1350="No change (same URL)","none",IF(M1350="","","301")))))</f>
        <v/>
      </c>
      <c r="O1350" s="22">
        <f>IF(A1350="","",IFERROR(MID(A1350,FIND("/",A1350,FIND("//",A1350)+2),2000),A1350))</f>
        <v/>
      </c>
      <c r="P1350" s="22">
        <f>IF(OR(O1350="",N1350="",N1350="none",N1350="404"),"",IF(N1350="410","Redirect gone "&amp;O1350,"Redirect "&amp;N1350&amp;" "&amp;O1350&amp;" "&amp;M1350))</f>
        <v/>
      </c>
      <c r="Q1350" s="22" t="n"/>
      <c r="R1350" s="22" t="n"/>
      <c r="S1350" s="22" t="n"/>
      <c r="T1350" s="4">
        <f>IF(A1350="","",TRIM(IF(K1350="","Needs decision; ","")&amp;IF(AND(K1350="Accept suggestion",F1350=""),"No suggestion to accept; ","")&amp;IF(AND(K1350="Override",L1350=""),"Override URL missing; ","")&amp;IF(AND(K1350="Accept suggestion",N(G1350)&lt;$G$2),"Below your threshold; ","")&amp;IF(AND(M1350&lt;&gt;"",M1350=A1350,K1350&lt;&gt;"No change (same URL)"),"Redirects to itself; ","")&amp;IF(AND(M1350&lt;&gt;"",OR(M1350="/",AND(LEFT(M1350,4)="http",OR((LEN(M1350)-LEN(SUBSTITUTE(M1350,"/","")))=2,AND((LEN(M1350)-LEN(SUBSTITUTE(M1350,"/","")))=3,RIGHT(M1350,1)="/"))))),"Home page redirect; ","")&amp;IF(N(R1350)&gt;1,"Chain; ","")&amp;IF(S1350="No","Destination not 200; ","")))</f>
        <v/>
      </c>
      <c r="U1350" s="22" t="n"/>
      <c r="V1350" s="22" t="n"/>
      <c r="W1350" s="4" t="n"/>
    </row>
    <row r="1351">
      <c r="A1351" s="22" t="n"/>
      <c r="B1351" s="22" t="n"/>
      <c r="C1351" s="22" t="n"/>
      <c r="D1351" s="22">
        <f>IF(A1351="","",IF(OR(N(B1351)&gt;=$C$2,N(C1351)&gt;=$E$2),"High",IF(OR(N(B1351)&gt;0,N(C1351)&gt;0),"Medium","Low")))</f>
        <v/>
      </c>
      <c r="E1351" s="22" t="n"/>
      <c r="F1351" s="22" t="n"/>
      <c r="G1351" s="22" t="n"/>
      <c r="H1351" s="22" t="n"/>
      <c r="I1351" s="22" t="n"/>
      <c r="J1351" s="22" t="n"/>
      <c r="K1351" s="22" t="n"/>
      <c r="L1351" s="22" t="n"/>
      <c r="M1351" s="22">
        <f>IF(K1351="Override",L1351,IF(K1351="Accept suggestion",F1351,IF(K1351="No change (same URL)",A1351,"")))</f>
        <v/>
      </c>
      <c r="N1351" s="22">
        <f>IF(A1351="","",IF(K1351="410 Gone","410",IF(K1351="404","404",IF(K1351="No change (same URL)","none",IF(M1351="","","301")))))</f>
        <v/>
      </c>
      <c r="O1351" s="22">
        <f>IF(A1351="","",IFERROR(MID(A1351,FIND("/",A1351,FIND("//",A1351)+2),2000),A1351))</f>
        <v/>
      </c>
      <c r="P1351" s="22">
        <f>IF(OR(O1351="",N1351="",N1351="none",N1351="404"),"",IF(N1351="410","Redirect gone "&amp;O1351,"Redirect "&amp;N1351&amp;" "&amp;O1351&amp;" "&amp;M1351))</f>
        <v/>
      </c>
      <c r="Q1351" s="22" t="n"/>
      <c r="R1351" s="22" t="n"/>
      <c r="S1351" s="22" t="n"/>
      <c r="T1351" s="4">
        <f>IF(A1351="","",TRIM(IF(K1351="","Needs decision; ","")&amp;IF(AND(K1351="Accept suggestion",F1351=""),"No suggestion to accept; ","")&amp;IF(AND(K1351="Override",L1351=""),"Override URL missing; ","")&amp;IF(AND(K1351="Accept suggestion",N(G1351)&lt;$G$2),"Below your threshold; ","")&amp;IF(AND(M1351&lt;&gt;"",M1351=A1351,K1351&lt;&gt;"No change (same URL)"),"Redirects to itself; ","")&amp;IF(AND(M1351&lt;&gt;"",OR(M1351="/",AND(LEFT(M1351,4)="http",OR((LEN(M1351)-LEN(SUBSTITUTE(M1351,"/","")))=2,AND((LEN(M1351)-LEN(SUBSTITUTE(M1351,"/","")))=3,RIGHT(M1351,1)="/"))))),"Home page redirect; ","")&amp;IF(N(R1351)&gt;1,"Chain; ","")&amp;IF(S1351="No","Destination not 200; ","")))</f>
        <v/>
      </c>
      <c r="U1351" s="22" t="n"/>
      <c r="V1351" s="22" t="n"/>
      <c r="W1351" s="4" t="n"/>
    </row>
    <row r="1352">
      <c r="A1352" s="22" t="n"/>
      <c r="B1352" s="22" t="n"/>
      <c r="C1352" s="22" t="n"/>
      <c r="D1352" s="22">
        <f>IF(A1352="","",IF(OR(N(B1352)&gt;=$C$2,N(C1352)&gt;=$E$2),"High",IF(OR(N(B1352)&gt;0,N(C1352)&gt;0),"Medium","Low")))</f>
        <v/>
      </c>
      <c r="E1352" s="22" t="n"/>
      <c r="F1352" s="22" t="n"/>
      <c r="G1352" s="22" t="n"/>
      <c r="H1352" s="22" t="n"/>
      <c r="I1352" s="22" t="n"/>
      <c r="J1352" s="22" t="n"/>
      <c r="K1352" s="22" t="n"/>
      <c r="L1352" s="22" t="n"/>
      <c r="M1352" s="22">
        <f>IF(K1352="Override",L1352,IF(K1352="Accept suggestion",F1352,IF(K1352="No change (same URL)",A1352,"")))</f>
        <v/>
      </c>
      <c r="N1352" s="22">
        <f>IF(A1352="","",IF(K1352="410 Gone","410",IF(K1352="404","404",IF(K1352="No change (same URL)","none",IF(M1352="","","301")))))</f>
        <v/>
      </c>
      <c r="O1352" s="22">
        <f>IF(A1352="","",IFERROR(MID(A1352,FIND("/",A1352,FIND("//",A1352)+2),2000),A1352))</f>
        <v/>
      </c>
      <c r="P1352" s="22">
        <f>IF(OR(O1352="",N1352="",N1352="none",N1352="404"),"",IF(N1352="410","Redirect gone "&amp;O1352,"Redirect "&amp;N1352&amp;" "&amp;O1352&amp;" "&amp;M1352))</f>
        <v/>
      </c>
      <c r="Q1352" s="22" t="n"/>
      <c r="R1352" s="22" t="n"/>
      <c r="S1352" s="22" t="n"/>
      <c r="T1352" s="4">
        <f>IF(A1352="","",TRIM(IF(K1352="","Needs decision; ","")&amp;IF(AND(K1352="Accept suggestion",F1352=""),"No suggestion to accept; ","")&amp;IF(AND(K1352="Override",L1352=""),"Override URL missing; ","")&amp;IF(AND(K1352="Accept suggestion",N(G1352)&lt;$G$2),"Below your threshold; ","")&amp;IF(AND(M1352&lt;&gt;"",M1352=A1352,K1352&lt;&gt;"No change (same URL)"),"Redirects to itself; ","")&amp;IF(AND(M1352&lt;&gt;"",OR(M1352="/",AND(LEFT(M1352,4)="http",OR((LEN(M1352)-LEN(SUBSTITUTE(M1352,"/","")))=2,AND((LEN(M1352)-LEN(SUBSTITUTE(M1352,"/","")))=3,RIGHT(M1352,1)="/"))))),"Home page redirect; ","")&amp;IF(N(R1352)&gt;1,"Chain; ","")&amp;IF(S1352="No","Destination not 200; ","")))</f>
        <v/>
      </c>
      <c r="U1352" s="22" t="n"/>
      <c r="V1352" s="22" t="n"/>
      <c r="W1352" s="4" t="n"/>
    </row>
    <row r="1353">
      <c r="A1353" s="22" t="n"/>
      <c r="B1353" s="22" t="n"/>
      <c r="C1353" s="22" t="n"/>
      <c r="D1353" s="22">
        <f>IF(A1353="","",IF(OR(N(B1353)&gt;=$C$2,N(C1353)&gt;=$E$2),"High",IF(OR(N(B1353)&gt;0,N(C1353)&gt;0),"Medium","Low")))</f>
        <v/>
      </c>
      <c r="E1353" s="22" t="n"/>
      <c r="F1353" s="22" t="n"/>
      <c r="G1353" s="22" t="n"/>
      <c r="H1353" s="22" t="n"/>
      <c r="I1353" s="22" t="n"/>
      <c r="J1353" s="22" t="n"/>
      <c r="K1353" s="22" t="n"/>
      <c r="L1353" s="22" t="n"/>
      <c r="M1353" s="22">
        <f>IF(K1353="Override",L1353,IF(K1353="Accept suggestion",F1353,IF(K1353="No change (same URL)",A1353,"")))</f>
        <v/>
      </c>
      <c r="N1353" s="22">
        <f>IF(A1353="","",IF(K1353="410 Gone","410",IF(K1353="404","404",IF(K1353="No change (same URL)","none",IF(M1353="","","301")))))</f>
        <v/>
      </c>
      <c r="O1353" s="22">
        <f>IF(A1353="","",IFERROR(MID(A1353,FIND("/",A1353,FIND("//",A1353)+2),2000),A1353))</f>
        <v/>
      </c>
      <c r="P1353" s="22">
        <f>IF(OR(O1353="",N1353="",N1353="none",N1353="404"),"",IF(N1353="410","Redirect gone "&amp;O1353,"Redirect "&amp;N1353&amp;" "&amp;O1353&amp;" "&amp;M1353))</f>
        <v/>
      </c>
      <c r="Q1353" s="22" t="n"/>
      <c r="R1353" s="22" t="n"/>
      <c r="S1353" s="22" t="n"/>
      <c r="T1353" s="4">
        <f>IF(A1353="","",TRIM(IF(K1353="","Needs decision; ","")&amp;IF(AND(K1353="Accept suggestion",F1353=""),"No suggestion to accept; ","")&amp;IF(AND(K1353="Override",L1353=""),"Override URL missing; ","")&amp;IF(AND(K1353="Accept suggestion",N(G1353)&lt;$G$2),"Below your threshold; ","")&amp;IF(AND(M1353&lt;&gt;"",M1353=A1353,K1353&lt;&gt;"No change (same URL)"),"Redirects to itself; ","")&amp;IF(AND(M1353&lt;&gt;"",OR(M1353="/",AND(LEFT(M1353,4)="http",OR((LEN(M1353)-LEN(SUBSTITUTE(M1353,"/","")))=2,AND((LEN(M1353)-LEN(SUBSTITUTE(M1353,"/","")))=3,RIGHT(M1353,1)="/"))))),"Home page redirect; ","")&amp;IF(N(R1353)&gt;1,"Chain; ","")&amp;IF(S1353="No","Destination not 200; ","")))</f>
        <v/>
      </c>
      <c r="U1353" s="22" t="n"/>
      <c r="V1353" s="22" t="n"/>
      <c r="W1353" s="4" t="n"/>
    </row>
    <row r="1354">
      <c r="A1354" s="22" t="n"/>
      <c r="B1354" s="22" t="n"/>
      <c r="C1354" s="22" t="n"/>
      <c r="D1354" s="22">
        <f>IF(A1354="","",IF(OR(N(B1354)&gt;=$C$2,N(C1354)&gt;=$E$2),"High",IF(OR(N(B1354)&gt;0,N(C1354)&gt;0),"Medium","Low")))</f>
        <v/>
      </c>
      <c r="E1354" s="22" t="n"/>
      <c r="F1354" s="22" t="n"/>
      <c r="G1354" s="22" t="n"/>
      <c r="H1354" s="22" t="n"/>
      <c r="I1354" s="22" t="n"/>
      <c r="J1354" s="22" t="n"/>
      <c r="K1354" s="22" t="n"/>
      <c r="L1354" s="22" t="n"/>
      <c r="M1354" s="22">
        <f>IF(K1354="Override",L1354,IF(K1354="Accept suggestion",F1354,IF(K1354="No change (same URL)",A1354,"")))</f>
        <v/>
      </c>
      <c r="N1354" s="22">
        <f>IF(A1354="","",IF(K1354="410 Gone","410",IF(K1354="404","404",IF(K1354="No change (same URL)","none",IF(M1354="","","301")))))</f>
        <v/>
      </c>
      <c r="O1354" s="22">
        <f>IF(A1354="","",IFERROR(MID(A1354,FIND("/",A1354,FIND("//",A1354)+2),2000),A1354))</f>
        <v/>
      </c>
      <c r="P1354" s="22">
        <f>IF(OR(O1354="",N1354="",N1354="none",N1354="404"),"",IF(N1354="410","Redirect gone "&amp;O1354,"Redirect "&amp;N1354&amp;" "&amp;O1354&amp;" "&amp;M1354))</f>
        <v/>
      </c>
      <c r="Q1354" s="22" t="n"/>
      <c r="R1354" s="22" t="n"/>
      <c r="S1354" s="22" t="n"/>
      <c r="T1354" s="4">
        <f>IF(A1354="","",TRIM(IF(K1354="","Needs decision; ","")&amp;IF(AND(K1354="Accept suggestion",F1354=""),"No suggestion to accept; ","")&amp;IF(AND(K1354="Override",L1354=""),"Override URL missing; ","")&amp;IF(AND(K1354="Accept suggestion",N(G1354)&lt;$G$2),"Below your threshold; ","")&amp;IF(AND(M1354&lt;&gt;"",M1354=A1354,K1354&lt;&gt;"No change (same URL)"),"Redirects to itself; ","")&amp;IF(AND(M1354&lt;&gt;"",OR(M1354="/",AND(LEFT(M1354,4)="http",OR((LEN(M1354)-LEN(SUBSTITUTE(M1354,"/","")))=2,AND((LEN(M1354)-LEN(SUBSTITUTE(M1354,"/","")))=3,RIGHT(M1354,1)="/"))))),"Home page redirect; ","")&amp;IF(N(R1354)&gt;1,"Chain; ","")&amp;IF(S1354="No","Destination not 200; ","")))</f>
        <v/>
      </c>
      <c r="U1354" s="22" t="n"/>
      <c r="V1354" s="22" t="n"/>
      <c r="W1354" s="4" t="n"/>
    </row>
    <row r="1355">
      <c r="A1355" s="22" t="n"/>
      <c r="B1355" s="22" t="n"/>
      <c r="C1355" s="22" t="n"/>
      <c r="D1355" s="22">
        <f>IF(A1355="","",IF(OR(N(B1355)&gt;=$C$2,N(C1355)&gt;=$E$2),"High",IF(OR(N(B1355)&gt;0,N(C1355)&gt;0),"Medium","Low")))</f>
        <v/>
      </c>
      <c r="E1355" s="22" t="n"/>
      <c r="F1355" s="22" t="n"/>
      <c r="G1355" s="22" t="n"/>
      <c r="H1355" s="22" t="n"/>
      <c r="I1355" s="22" t="n"/>
      <c r="J1355" s="22" t="n"/>
      <c r="K1355" s="22" t="n"/>
      <c r="L1355" s="22" t="n"/>
      <c r="M1355" s="22">
        <f>IF(K1355="Override",L1355,IF(K1355="Accept suggestion",F1355,IF(K1355="No change (same URL)",A1355,"")))</f>
        <v/>
      </c>
      <c r="N1355" s="22">
        <f>IF(A1355="","",IF(K1355="410 Gone","410",IF(K1355="404","404",IF(K1355="No change (same URL)","none",IF(M1355="","","301")))))</f>
        <v/>
      </c>
      <c r="O1355" s="22">
        <f>IF(A1355="","",IFERROR(MID(A1355,FIND("/",A1355,FIND("//",A1355)+2),2000),A1355))</f>
        <v/>
      </c>
      <c r="P1355" s="22">
        <f>IF(OR(O1355="",N1355="",N1355="none",N1355="404"),"",IF(N1355="410","Redirect gone "&amp;O1355,"Redirect "&amp;N1355&amp;" "&amp;O1355&amp;" "&amp;M1355))</f>
        <v/>
      </c>
      <c r="Q1355" s="22" t="n"/>
      <c r="R1355" s="22" t="n"/>
      <c r="S1355" s="22" t="n"/>
      <c r="T1355" s="4">
        <f>IF(A1355="","",TRIM(IF(K1355="","Needs decision; ","")&amp;IF(AND(K1355="Accept suggestion",F1355=""),"No suggestion to accept; ","")&amp;IF(AND(K1355="Override",L1355=""),"Override URL missing; ","")&amp;IF(AND(K1355="Accept suggestion",N(G1355)&lt;$G$2),"Below your threshold; ","")&amp;IF(AND(M1355&lt;&gt;"",M1355=A1355,K1355&lt;&gt;"No change (same URL)"),"Redirects to itself; ","")&amp;IF(AND(M1355&lt;&gt;"",OR(M1355="/",AND(LEFT(M1355,4)="http",OR((LEN(M1355)-LEN(SUBSTITUTE(M1355,"/","")))=2,AND((LEN(M1355)-LEN(SUBSTITUTE(M1355,"/","")))=3,RIGHT(M1355,1)="/"))))),"Home page redirect; ","")&amp;IF(N(R1355)&gt;1,"Chain; ","")&amp;IF(S1355="No","Destination not 200; ","")))</f>
        <v/>
      </c>
      <c r="U1355" s="22" t="n"/>
      <c r="V1355" s="22" t="n"/>
      <c r="W1355" s="4" t="n"/>
    </row>
    <row r="1356">
      <c r="A1356" s="22" t="n"/>
      <c r="B1356" s="22" t="n"/>
      <c r="C1356" s="22" t="n"/>
      <c r="D1356" s="22">
        <f>IF(A1356="","",IF(OR(N(B1356)&gt;=$C$2,N(C1356)&gt;=$E$2),"High",IF(OR(N(B1356)&gt;0,N(C1356)&gt;0),"Medium","Low")))</f>
        <v/>
      </c>
      <c r="E1356" s="22" t="n"/>
      <c r="F1356" s="22" t="n"/>
      <c r="G1356" s="22" t="n"/>
      <c r="H1356" s="22" t="n"/>
      <c r="I1356" s="22" t="n"/>
      <c r="J1356" s="22" t="n"/>
      <c r="K1356" s="22" t="n"/>
      <c r="L1356" s="22" t="n"/>
      <c r="M1356" s="22">
        <f>IF(K1356="Override",L1356,IF(K1356="Accept suggestion",F1356,IF(K1356="No change (same URL)",A1356,"")))</f>
        <v/>
      </c>
      <c r="N1356" s="22">
        <f>IF(A1356="","",IF(K1356="410 Gone","410",IF(K1356="404","404",IF(K1356="No change (same URL)","none",IF(M1356="","","301")))))</f>
        <v/>
      </c>
      <c r="O1356" s="22">
        <f>IF(A1356="","",IFERROR(MID(A1356,FIND("/",A1356,FIND("//",A1356)+2),2000),A1356))</f>
        <v/>
      </c>
      <c r="P1356" s="22">
        <f>IF(OR(O1356="",N1356="",N1356="none",N1356="404"),"",IF(N1356="410","Redirect gone "&amp;O1356,"Redirect "&amp;N1356&amp;" "&amp;O1356&amp;" "&amp;M1356))</f>
        <v/>
      </c>
      <c r="Q1356" s="22" t="n"/>
      <c r="R1356" s="22" t="n"/>
      <c r="S1356" s="22" t="n"/>
      <c r="T1356" s="4">
        <f>IF(A1356="","",TRIM(IF(K1356="","Needs decision; ","")&amp;IF(AND(K1356="Accept suggestion",F1356=""),"No suggestion to accept; ","")&amp;IF(AND(K1356="Override",L1356=""),"Override URL missing; ","")&amp;IF(AND(K1356="Accept suggestion",N(G1356)&lt;$G$2),"Below your threshold; ","")&amp;IF(AND(M1356&lt;&gt;"",M1356=A1356,K1356&lt;&gt;"No change (same URL)"),"Redirects to itself; ","")&amp;IF(AND(M1356&lt;&gt;"",OR(M1356="/",AND(LEFT(M1356,4)="http",OR((LEN(M1356)-LEN(SUBSTITUTE(M1356,"/","")))=2,AND((LEN(M1356)-LEN(SUBSTITUTE(M1356,"/","")))=3,RIGHT(M1356,1)="/"))))),"Home page redirect; ","")&amp;IF(N(R1356)&gt;1,"Chain; ","")&amp;IF(S1356="No","Destination not 200; ","")))</f>
        <v/>
      </c>
      <c r="U1356" s="22" t="n"/>
      <c r="V1356" s="22" t="n"/>
      <c r="W1356" s="4" t="n"/>
    </row>
    <row r="1357">
      <c r="A1357" s="22" t="n"/>
      <c r="B1357" s="22" t="n"/>
      <c r="C1357" s="22" t="n"/>
      <c r="D1357" s="22">
        <f>IF(A1357="","",IF(OR(N(B1357)&gt;=$C$2,N(C1357)&gt;=$E$2),"High",IF(OR(N(B1357)&gt;0,N(C1357)&gt;0),"Medium","Low")))</f>
        <v/>
      </c>
      <c r="E1357" s="22" t="n"/>
      <c r="F1357" s="22" t="n"/>
      <c r="G1357" s="22" t="n"/>
      <c r="H1357" s="22" t="n"/>
      <c r="I1357" s="22" t="n"/>
      <c r="J1357" s="22" t="n"/>
      <c r="K1357" s="22" t="n"/>
      <c r="L1357" s="22" t="n"/>
      <c r="M1357" s="22">
        <f>IF(K1357="Override",L1357,IF(K1357="Accept suggestion",F1357,IF(K1357="No change (same URL)",A1357,"")))</f>
        <v/>
      </c>
      <c r="N1357" s="22">
        <f>IF(A1357="","",IF(K1357="410 Gone","410",IF(K1357="404","404",IF(K1357="No change (same URL)","none",IF(M1357="","","301")))))</f>
        <v/>
      </c>
      <c r="O1357" s="22">
        <f>IF(A1357="","",IFERROR(MID(A1357,FIND("/",A1357,FIND("//",A1357)+2),2000),A1357))</f>
        <v/>
      </c>
      <c r="P1357" s="22">
        <f>IF(OR(O1357="",N1357="",N1357="none",N1357="404"),"",IF(N1357="410","Redirect gone "&amp;O1357,"Redirect "&amp;N1357&amp;" "&amp;O1357&amp;" "&amp;M1357))</f>
        <v/>
      </c>
      <c r="Q1357" s="22" t="n"/>
      <c r="R1357" s="22" t="n"/>
      <c r="S1357" s="22" t="n"/>
      <c r="T1357" s="4">
        <f>IF(A1357="","",TRIM(IF(K1357="","Needs decision; ","")&amp;IF(AND(K1357="Accept suggestion",F1357=""),"No suggestion to accept; ","")&amp;IF(AND(K1357="Override",L1357=""),"Override URL missing; ","")&amp;IF(AND(K1357="Accept suggestion",N(G1357)&lt;$G$2),"Below your threshold; ","")&amp;IF(AND(M1357&lt;&gt;"",M1357=A1357,K1357&lt;&gt;"No change (same URL)"),"Redirects to itself; ","")&amp;IF(AND(M1357&lt;&gt;"",OR(M1357="/",AND(LEFT(M1357,4)="http",OR((LEN(M1357)-LEN(SUBSTITUTE(M1357,"/","")))=2,AND((LEN(M1357)-LEN(SUBSTITUTE(M1357,"/","")))=3,RIGHT(M1357,1)="/"))))),"Home page redirect; ","")&amp;IF(N(R1357)&gt;1,"Chain; ","")&amp;IF(S1357="No","Destination not 200; ","")))</f>
        <v/>
      </c>
      <c r="U1357" s="22" t="n"/>
      <c r="V1357" s="22" t="n"/>
      <c r="W1357" s="4" t="n"/>
    </row>
    <row r="1358">
      <c r="A1358" s="22" t="n"/>
      <c r="B1358" s="22" t="n"/>
      <c r="C1358" s="22" t="n"/>
      <c r="D1358" s="22">
        <f>IF(A1358="","",IF(OR(N(B1358)&gt;=$C$2,N(C1358)&gt;=$E$2),"High",IF(OR(N(B1358)&gt;0,N(C1358)&gt;0),"Medium","Low")))</f>
        <v/>
      </c>
      <c r="E1358" s="22" t="n"/>
      <c r="F1358" s="22" t="n"/>
      <c r="G1358" s="22" t="n"/>
      <c r="H1358" s="22" t="n"/>
      <c r="I1358" s="22" t="n"/>
      <c r="J1358" s="22" t="n"/>
      <c r="K1358" s="22" t="n"/>
      <c r="L1358" s="22" t="n"/>
      <c r="M1358" s="22">
        <f>IF(K1358="Override",L1358,IF(K1358="Accept suggestion",F1358,IF(K1358="No change (same URL)",A1358,"")))</f>
        <v/>
      </c>
      <c r="N1358" s="22">
        <f>IF(A1358="","",IF(K1358="410 Gone","410",IF(K1358="404","404",IF(K1358="No change (same URL)","none",IF(M1358="","","301")))))</f>
        <v/>
      </c>
      <c r="O1358" s="22">
        <f>IF(A1358="","",IFERROR(MID(A1358,FIND("/",A1358,FIND("//",A1358)+2),2000),A1358))</f>
        <v/>
      </c>
      <c r="P1358" s="22">
        <f>IF(OR(O1358="",N1358="",N1358="none",N1358="404"),"",IF(N1358="410","Redirect gone "&amp;O1358,"Redirect "&amp;N1358&amp;" "&amp;O1358&amp;" "&amp;M1358))</f>
        <v/>
      </c>
      <c r="Q1358" s="22" t="n"/>
      <c r="R1358" s="22" t="n"/>
      <c r="S1358" s="22" t="n"/>
      <c r="T1358" s="4">
        <f>IF(A1358="","",TRIM(IF(K1358="","Needs decision; ","")&amp;IF(AND(K1358="Accept suggestion",F1358=""),"No suggestion to accept; ","")&amp;IF(AND(K1358="Override",L1358=""),"Override URL missing; ","")&amp;IF(AND(K1358="Accept suggestion",N(G1358)&lt;$G$2),"Below your threshold; ","")&amp;IF(AND(M1358&lt;&gt;"",M1358=A1358,K1358&lt;&gt;"No change (same URL)"),"Redirects to itself; ","")&amp;IF(AND(M1358&lt;&gt;"",OR(M1358="/",AND(LEFT(M1358,4)="http",OR((LEN(M1358)-LEN(SUBSTITUTE(M1358,"/","")))=2,AND((LEN(M1358)-LEN(SUBSTITUTE(M1358,"/","")))=3,RIGHT(M1358,1)="/"))))),"Home page redirect; ","")&amp;IF(N(R1358)&gt;1,"Chain; ","")&amp;IF(S1358="No","Destination not 200; ","")))</f>
        <v/>
      </c>
      <c r="U1358" s="22" t="n"/>
      <c r="V1358" s="22" t="n"/>
      <c r="W1358" s="4" t="n"/>
    </row>
    <row r="1359">
      <c r="A1359" s="22" t="n"/>
      <c r="B1359" s="22" t="n"/>
      <c r="C1359" s="22" t="n"/>
      <c r="D1359" s="22">
        <f>IF(A1359="","",IF(OR(N(B1359)&gt;=$C$2,N(C1359)&gt;=$E$2),"High",IF(OR(N(B1359)&gt;0,N(C1359)&gt;0),"Medium","Low")))</f>
        <v/>
      </c>
      <c r="E1359" s="22" t="n"/>
      <c r="F1359" s="22" t="n"/>
      <c r="G1359" s="22" t="n"/>
      <c r="H1359" s="22" t="n"/>
      <c r="I1359" s="22" t="n"/>
      <c r="J1359" s="22" t="n"/>
      <c r="K1359" s="22" t="n"/>
      <c r="L1359" s="22" t="n"/>
      <c r="M1359" s="22">
        <f>IF(K1359="Override",L1359,IF(K1359="Accept suggestion",F1359,IF(K1359="No change (same URL)",A1359,"")))</f>
        <v/>
      </c>
      <c r="N1359" s="22">
        <f>IF(A1359="","",IF(K1359="410 Gone","410",IF(K1359="404","404",IF(K1359="No change (same URL)","none",IF(M1359="","","301")))))</f>
        <v/>
      </c>
      <c r="O1359" s="22">
        <f>IF(A1359="","",IFERROR(MID(A1359,FIND("/",A1359,FIND("//",A1359)+2),2000),A1359))</f>
        <v/>
      </c>
      <c r="P1359" s="22">
        <f>IF(OR(O1359="",N1359="",N1359="none",N1359="404"),"",IF(N1359="410","Redirect gone "&amp;O1359,"Redirect "&amp;N1359&amp;" "&amp;O1359&amp;" "&amp;M1359))</f>
        <v/>
      </c>
      <c r="Q1359" s="22" t="n"/>
      <c r="R1359" s="22" t="n"/>
      <c r="S1359" s="22" t="n"/>
      <c r="T1359" s="4">
        <f>IF(A1359="","",TRIM(IF(K1359="","Needs decision; ","")&amp;IF(AND(K1359="Accept suggestion",F1359=""),"No suggestion to accept; ","")&amp;IF(AND(K1359="Override",L1359=""),"Override URL missing; ","")&amp;IF(AND(K1359="Accept suggestion",N(G1359)&lt;$G$2),"Below your threshold; ","")&amp;IF(AND(M1359&lt;&gt;"",M1359=A1359,K1359&lt;&gt;"No change (same URL)"),"Redirects to itself; ","")&amp;IF(AND(M1359&lt;&gt;"",OR(M1359="/",AND(LEFT(M1359,4)="http",OR((LEN(M1359)-LEN(SUBSTITUTE(M1359,"/","")))=2,AND((LEN(M1359)-LEN(SUBSTITUTE(M1359,"/","")))=3,RIGHT(M1359,1)="/"))))),"Home page redirect; ","")&amp;IF(N(R1359)&gt;1,"Chain; ","")&amp;IF(S1359="No","Destination not 200; ","")))</f>
        <v/>
      </c>
      <c r="U1359" s="22" t="n"/>
      <c r="V1359" s="22" t="n"/>
      <c r="W1359" s="4" t="n"/>
    </row>
    <row r="1360">
      <c r="A1360" s="22" t="n"/>
      <c r="B1360" s="22" t="n"/>
      <c r="C1360" s="22" t="n"/>
      <c r="D1360" s="22">
        <f>IF(A1360="","",IF(OR(N(B1360)&gt;=$C$2,N(C1360)&gt;=$E$2),"High",IF(OR(N(B1360)&gt;0,N(C1360)&gt;0),"Medium","Low")))</f>
        <v/>
      </c>
      <c r="E1360" s="22" t="n"/>
      <c r="F1360" s="22" t="n"/>
      <c r="G1360" s="22" t="n"/>
      <c r="H1360" s="22" t="n"/>
      <c r="I1360" s="22" t="n"/>
      <c r="J1360" s="22" t="n"/>
      <c r="K1360" s="22" t="n"/>
      <c r="L1360" s="22" t="n"/>
      <c r="M1360" s="22">
        <f>IF(K1360="Override",L1360,IF(K1360="Accept suggestion",F1360,IF(K1360="No change (same URL)",A1360,"")))</f>
        <v/>
      </c>
      <c r="N1360" s="22">
        <f>IF(A1360="","",IF(K1360="410 Gone","410",IF(K1360="404","404",IF(K1360="No change (same URL)","none",IF(M1360="","","301")))))</f>
        <v/>
      </c>
      <c r="O1360" s="22">
        <f>IF(A1360="","",IFERROR(MID(A1360,FIND("/",A1360,FIND("//",A1360)+2),2000),A1360))</f>
        <v/>
      </c>
      <c r="P1360" s="22">
        <f>IF(OR(O1360="",N1360="",N1360="none",N1360="404"),"",IF(N1360="410","Redirect gone "&amp;O1360,"Redirect "&amp;N1360&amp;" "&amp;O1360&amp;" "&amp;M1360))</f>
        <v/>
      </c>
      <c r="Q1360" s="22" t="n"/>
      <c r="R1360" s="22" t="n"/>
      <c r="S1360" s="22" t="n"/>
      <c r="T1360" s="4">
        <f>IF(A1360="","",TRIM(IF(K1360="","Needs decision; ","")&amp;IF(AND(K1360="Accept suggestion",F1360=""),"No suggestion to accept; ","")&amp;IF(AND(K1360="Override",L1360=""),"Override URL missing; ","")&amp;IF(AND(K1360="Accept suggestion",N(G1360)&lt;$G$2),"Below your threshold; ","")&amp;IF(AND(M1360&lt;&gt;"",M1360=A1360,K1360&lt;&gt;"No change (same URL)"),"Redirects to itself; ","")&amp;IF(AND(M1360&lt;&gt;"",OR(M1360="/",AND(LEFT(M1360,4)="http",OR((LEN(M1360)-LEN(SUBSTITUTE(M1360,"/","")))=2,AND((LEN(M1360)-LEN(SUBSTITUTE(M1360,"/","")))=3,RIGHT(M1360,1)="/"))))),"Home page redirect; ","")&amp;IF(N(R1360)&gt;1,"Chain; ","")&amp;IF(S1360="No","Destination not 200; ","")))</f>
        <v/>
      </c>
      <c r="U1360" s="22" t="n"/>
      <c r="V1360" s="22" t="n"/>
      <c r="W1360" s="4" t="n"/>
    </row>
    <row r="1361">
      <c r="A1361" s="22" t="n"/>
      <c r="B1361" s="22" t="n"/>
      <c r="C1361" s="22" t="n"/>
      <c r="D1361" s="22">
        <f>IF(A1361="","",IF(OR(N(B1361)&gt;=$C$2,N(C1361)&gt;=$E$2),"High",IF(OR(N(B1361)&gt;0,N(C1361)&gt;0),"Medium","Low")))</f>
        <v/>
      </c>
      <c r="E1361" s="22" t="n"/>
      <c r="F1361" s="22" t="n"/>
      <c r="G1361" s="22" t="n"/>
      <c r="H1361" s="22" t="n"/>
      <c r="I1361" s="22" t="n"/>
      <c r="J1361" s="22" t="n"/>
      <c r="K1361" s="22" t="n"/>
      <c r="L1361" s="22" t="n"/>
      <c r="M1361" s="22">
        <f>IF(K1361="Override",L1361,IF(K1361="Accept suggestion",F1361,IF(K1361="No change (same URL)",A1361,"")))</f>
        <v/>
      </c>
      <c r="N1361" s="22">
        <f>IF(A1361="","",IF(K1361="410 Gone","410",IF(K1361="404","404",IF(K1361="No change (same URL)","none",IF(M1361="","","301")))))</f>
        <v/>
      </c>
      <c r="O1361" s="22">
        <f>IF(A1361="","",IFERROR(MID(A1361,FIND("/",A1361,FIND("//",A1361)+2),2000),A1361))</f>
        <v/>
      </c>
      <c r="P1361" s="22">
        <f>IF(OR(O1361="",N1361="",N1361="none",N1361="404"),"",IF(N1361="410","Redirect gone "&amp;O1361,"Redirect "&amp;N1361&amp;" "&amp;O1361&amp;" "&amp;M1361))</f>
        <v/>
      </c>
      <c r="Q1361" s="22" t="n"/>
      <c r="R1361" s="22" t="n"/>
      <c r="S1361" s="22" t="n"/>
      <c r="T1361" s="4">
        <f>IF(A1361="","",TRIM(IF(K1361="","Needs decision; ","")&amp;IF(AND(K1361="Accept suggestion",F1361=""),"No suggestion to accept; ","")&amp;IF(AND(K1361="Override",L1361=""),"Override URL missing; ","")&amp;IF(AND(K1361="Accept suggestion",N(G1361)&lt;$G$2),"Below your threshold; ","")&amp;IF(AND(M1361&lt;&gt;"",M1361=A1361,K1361&lt;&gt;"No change (same URL)"),"Redirects to itself; ","")&amp;IF(AND(M1361&lt;&gt;"",OR(M1361="/",AND(LEFT(M1361,4)="http",OR((LEN(M1361)-LEN(SUBSTITUTE(M1361,"/","")))=2,AND((LEN(M1361)-LEN(SUBSTITUTE(M1361,"/","")))=3,RIGHT(M1361,1)="/"))))),"Home page redirect; ","")&amp;IF(N(R1361)&gt;1,"Chain; ","")&amp;IF(S1361="No","Destination not 200; ","")))</f>
        <v/>
      </c>
      <c r="U1361" s="22" t="n"/>
      <c r="V1361" s="22" t="n"/>
      <c r="W1361" s="4" t="n"/>
    </row>
    <row r="1362">
      <c r="A1362" s="22" t="n"/>
      <c r="B1362" s="22" t="n"/>
      <c r="C1362" s="22" t="n"/>
      <c r="D1362" s="22">
        <f>IF(A1362="","",IF(OR(N(B1362)&gt;=$C$2,N(C1362)&gt;=$E$2),"High",IF(OR(N(B1362)&gt;0,N(C1362)&gt;0),"Medium","Low")))</f>
        <v/>
      </c>
      <c r="E1362" s="22" t="n"/>
      <c r="F1362" s="22" t="n"/>
      <c r="G1362" s="22" t="n"/>
      <c r="H1362" s="22" t="n"/>
      <c r="I1362" s="22" t="n"/>
      <c r="J1362" s="22" t="n"/>
      <c r="K1362" s="22" t="n"/>
      <c r="L1362" s="22" t="n"/>
      <c r="M1362" s="22">
        <f>IF(K1362="Override",L1362,IF(K1362="Accept suggestion",F1362,IF(K1362="No change (same URL)",A1362,"")))</f>
        <v/>
      </c>
      <c r="N1362" s="22">
        <f>IF(A1362="","",IF(K1362="410 Gone","410",IF(K1362="404","404",IF(K1362="No change (same URL)","none",IF(M1362="","","301")))))</f>
        <v/>
      </c>
      <c r="O1362" s="22">
        <f>IF(A1362="","",IFERROR(MID(A1362,FIND("/",A1362,FIND("//",A1362)+2),2000),A1362))</f>
        <v/>
      </c>
      <c r="P1362" s="22">
        <f>IF(OR(O1362="",N1362="",N1362="none",N1362="404"),"",IF(N1362="410","Redirect gone "&amp;O1362,"Redirect "&amp;N1362&amp;" "&amp;O1362&amp;" "&amp;M1362))</f>
        <v/>
      </c>
      <c r="Q1362" s="22" t="n"/>
      <c r="R1362" s="22" t="n"/>
      <c r="S1362" s="22" t="n"/>
      <c r="T1362" s="4">
        <f>IF(A1362="","",TRIM(IF(K1362="","Needs decision; ","")&amp;IF(AND(K1362="Accept suggestion",F1362=""),"No suggestion to accept; ","")&amp;IF(AND(K1362="Override",L1362=""),"Override URL missing; ","")&amp;IF(AND(K1362="Accept suggestion",N(G1362)&lt;$G$2),"Below your threshold; ","")&amp;IF(AND(M1362&lt;&gt;"",M1362=A1362,K1362&lt;&gt;"No change (same URL)"),"Redirects to itself; ","")&amp;IF(AND(M1362&lt;&gt;"",OR(M1362="/",AND(LEFT(M1362,4)="http",OR((LEN(M1362)-LEN(SUBSTITUTE(M1362,"/","")))=2,AND((LEN(M1362)-LEN(SUBSTITUTE(M1362,"/","")))=3,RIGHT(M1362,1)="/"))))),"Home page redirect; ","")&amp;IF(N(R1362)&gt;1,"Chain; ","")&amp;IF(S1362="No","Destination not 200; ","")))</f>
        <v/>
      </c>
      <c r="U1362" s="22" t="n"/>
      <c r="V1362" s="22" t="n"/>
      <c r="W1362" s="4" t="n"/>
    </row>
    <row r="1363">
      <c r="A1363" s="22" t="n"/>
      <c r="B1363" s="22" t="n"/>
      <c r="C1363" s="22" t="n"/>
      <c r="D1363" s="22">
        <f>IF(A1363="","",IF(OR(N(B1363)&gt;=$C$2,N(C1363)&gt;=$E$2),"High",IF(OR(N(B1363)&gt;0,N(C1363)&gt;0),"Medium","Low")))</f>
        <v/>
      </c>
      <c r="E1363" s="22" t="n"/>
      <c r="F1363" s="22" t="n"/>
      <c r="G1363" s="22" t="n"/>
      <c r="H1363" s="22" t="n"/>
      <c r="I1363" s="22" t="n"/>
      <c r="J1363" s="22" t="n"/>
      <c r="K1363" s="22" t="n"/>
      <c r="L1363" s="22" t="n"/>
      <c r="M1363" s="22">
        <f>IF(K1363="Override",L1363,IF(K1363="Accept suggestion",F1363,IF(K1363="No change (same URL)",A1363,"")))</f>
        <v/>
      </c>
      <c r="N1363" s="22">
        <f>IF(A1363="","",IF(K1363="410 Gone","410",IF(K1363="404","404",IF(K1363="No change (same URL)","none",IF(M1363="","","301")))))</f>
        <v/>
      </c>
      <c r="O1363" s="22">
        <f>IF(A1363="","",IFERROR(MID(A1363,FIND("/",A1363,FIND("//",A1363)+2),2000),A1363))</f>
        <v/>
      </c>
      <c r="P1363" s="22">
        <f>IF(OR(O1363="",N1363="",N1363="none",N1363="404"),"",IF(N1363="410","Redirect gone "&amp;O1363,"Redirect "&amp;N1363&amp;" "&amp;O1363&amp;" "&amp;M1363))</f>
        <v/>
      </c>
      <c r="Q1363" s="22" t="n"/>
      <c r="R1363" s="22" t="n"/>
      <c r="S1363" s="22" t="n"/>
      <c r="T1363" s="4">
        <f>IF(A1363="","",TRIM(IF(K1363="","Needs decision; ","")&amp;IF(AND(K1363="Accept suggestion",F1363=""),"No suggestion to accept; ","")&amp;IF(AND(K1363="Override",L1363=""),"Override URL missing; ","")&amp;IF(AND(K1363="Accept suggestion",N(G1363)&lt;$G$2),"Below your threshold; ","")&amp;IF(AND(M1363&lt;&gt;"",M1363=A1363,K1363&lt;&gt;"No change (same URL)"),"Redirects to itself; ","")&amp;IF(AND(M1363&lt;&gt;"",OR(M1363="/",AND(LEFT(M1363,4)="http",OR((LEN(M1363)-LEN(SUBSTITUTE(M1363,"/","")))=2,AND((LEN(M1363)-LEN(SUBSTITUTE(M1363,"/","")))=3,RIGHT(M1363,1)="/"))))),"Home page redirect; ","")&amp;IF(N(R1363)&gt;1,"Chain; ","")&amp;IF(S1363="No","Destination not 200; ","")))</f>
        <v/>
      </c>
      <c r="U1363" s="22" t="n"/>
      <c r="V1363" s="22" t="n"/>
      <c r="W1363" s="4" t="n"/>
    </row>
    <row r="1364">
      <c r="A1364" s="22" t="n"/>
      <c r="B1364" s="22" t="n"/>
      <c r="C1364" s="22" t="n"/>
      <c r="D1364" s="22">
        <f>IF(A1364="","",IF(OR(N(B1364)&gt;=$C$2,N(C1364)&gt;=$E$2),"High",IF(OR(N(B1364)&gt;0,N(C1364)&gt;0),"Medium","Low")))</f>
        <v/>
      </c>
      <c r="E1364" s="22" t="n"/>
      <c r="F1364" s="22" t="n"/>
      <c r="G1364" s="22" t="n"/>
      <c r="H1364" s="22" t="n"/>
      <c r="I1364" s="22" t="n"/>
      <c r="J1364" s="22" t="n"/>
      <c r="K1364" s="22" t="n"/>
      <c r="L1364" s="22" t="n"/>
      <c r="M1364" s="22">
        <f>IF(K1364="Override",L1364,IF(K1364="Accept suggestion",F1364,IF(K1364="No change (same URL)",A1364,"")))</f>
        <v/>
      </c>
      <c r="N1364" s="22">
        <f>IF(A1364="","",IF(K1364="410 Gone","410",IF(K1364="404","404",IF(K1364="No change (same URL)","none",IF(M1364="","","301")))))</f>
        <v/>
      </c>
      <c r="O1364" s="22">
        <f>IF(A1364="","",IFERROR(MID(A1364,FIND("/",A1364,FIND("//",A1364)+2),2000),A1364))</f>
        <v/>
      </c>
      <c r="P1364" s="22">
        <f>IF(OR(O1364="",N1364="",N1364="none",N1364="404"),"",IF(N1364="410","Redirect gone "&amp;O1364,"Redirect "&amp;N1364&amp;" "&amp;O1364&amp;" "&amp;M1364))</f>
        <v/>
      </c>
      <c r="Q1364" s="22" t="n"/>
      <c r="R1364" s="22" t="n"/>
      <c r="S1364" s="22" t="n"/>
      <c r="T1364" s="4">
        <f>IF(A1364="","",TRIM(IF(K1364="","Needs decision; ","")&amp;IF(AND(K1364="Accept suggestion",F1364=""),"No suggestion to accept; ","")&amp;IF(AND(K1364="Override",L1364=""),"Override URL missing; ","")&amp;IF(AND(K1364="Accept suggestion",N(G1364)&lt;$G$2),"Below your threshold; ","")&amp;IF(AND(M1364&lt;&gt;"",M1364=A1364,K1364&lt;&gt;"No change (same URL)"),"Redirects to itself; ","")&amp;IF(AND(M1364&lt;&gt;"",OR(M1364="/",AND(LEFT(M1364,4)="http",OR((LEN(M1364)-LEN(SUBSTITUTE(M1364,"/","")))=2,AND((LEN(M1364)-LEN(SUBSTITUTE(M1364,"/","")))=3,RIGHT(M1364,1)="/"))))),"Home page redirect; ","")&amp;IF(N(R1364)&gt;1,"Chain; ","")&amp;IF(S1364="No","Destination not 200; ","")))</f>
        <v/>
      </c>
      <c r="U1364" s="22" t="n"/>
      <c r="V1364" s="22" t="n"/>
      <c r="W1364" s="4" t="n"/>
    </row>
    <row r="1365">
      <c r="A1365" s="22" t="n"/>
      <c r="B1365" s="22" t="n"/>
      <c r="C1365" s="22" t="n"/>
      <c r="D1365" s="22">
        <f>IF(A1365="","",IF(OR(N(B1365)&gt;=$C$2,N(C1365)&gt;=$E$2),"High",IF(OR(N(B1365)&gt;0,N(C1365)&gt;0),"Medium","Low")))</f>
        <v/>
      </c>
      <c r="E1365" s="22" t="n"/>
      <c r="F1365" s="22" t="n"/>
      <c r="G1365" s="22" t="n"/>
      <c r="H1365" s="22" t="n"/>
      <c r="I1365" s="22" t="n"/>
      <c r="J1365" s="22" t="n"/>
      <c r="K1365" s="22" t="n"/>
      <c r="L1365" s="22" t="n"/>
      <c r="M1365" s="22">
        <f>IF(K1365="Override",L1365,IF(K1365="Accept suggestion",F1365,IF(K1365="No change (same URL)",A1365,"")))</f>
        <v/>
      </c>
      <c r="N1365" s="22">
        <f>IF(A1365="","",IF(K1365="410 Gone","410",IF(K1365="404","404",IF(K1365="No change (same URL)","none",IF(M1365="","","301")))))</f>
        <v/>
      </c>
      <c r="O1365" s="22">
        <f>IF(A1365="","",IFERROR(MID(A1365,FIND("/",A1365,FIND("//",A1365)+2),2000),A1365))</f>
        <v/>
      </c>
      <c r="P1365" s="22">
        <f>IF(OR(O1365="",N1365="",N1365="none",N1365="404"),"",IF(N1365="410","Redirect gone "&amp;O1365,"Redirect "&amp;N1365&amp;" "&amp;O1365&amp;" "&amp;M1365))</f>
        <v/>
      </c>
      <c r="Q1365" s="22" t="n"/>
      <c r="R1365" s="22" t="n"/>
      <c r="S1365" s="22" t="n"/>
      <c r="T1365" s="4">
        <f>IF(A1365="","",TRIM(IF(K1365="","Needs decision; ","")&amp;IF(AND(K1365="Accept suggestion",F1365=""),"No suggestion to accept; ","")&amp;IF(AND(K1365="Override",L1365=""),"Override URL missing; ","")&amp;IF(AND(K1365="Accept suggestion",N(G1365)&lt;$G$2),"Below your threshold; ","")&amp;IF(AND(M1365&lt;&gt;"",M1365=A1365,K1365&lt;&gt;"No change (same URL)"),"Redirects to itself; ","")&amp;IF(AND(M1365&lt;&gt;"",OR(M1365="/",AND(LEFT(M1365,4)="http",OR((LEN(M1365)-LEN(SUBSTITUTE(M1365,"/","")))=2,AND((LEN(M1365)-LEN(SUBSTITUTE(M1365,"/","")))=3,RIGHT(M1365,1)="/"))))),"Home page redirect; ","")&amp;IF(N(R1365)&gt;1,"Chain; ","")&amp;IF(S1365="No","Destination not 200; ","")))</f>
        <v/>
      </c>
      <c r="U1365" s="22" t="n"/>
      <c r="V1365" s="22" t="n"/>
      <c r="W1365" s="4" t="n"/>
    </row>
    <row r="1366">
      <c r="A1366" s="22" t="n"/>
      <c r="B1366" s="22" t="n"/>
      <c r="C1366" s="22" t="n"/>
      <c r="D1366" s="22">
        <f>IF(A1366="","",IF(OR(N(B1366)&gt;=$C$2,N(C1366)&gt;=$E$2),"High",IF(OR(N(B1366)&gt;0,N(C1366)&gt;0),"Medium","Low")))</f>
        <v/>
      </c>
      <c r="E1366" s="22" t="n"/>
      <c r="F1366" s="22" t="n"/>
      <c r="G1366" s="22" t="n"/>
      <c r="H1366" s="22" t="n"/>
      <c r="I1366" s="22" t="n"/>
      <c r="J1366" s="22" t="n"/>
      <c r="K1366" s="22" t="n"/>
      <c r="L1366" s="22" t="n"/>
      <c r="M1366" s="22">
        <f>IF(K1366="Override",L1366,IF(K1366="Accept suggestion",F1366,IF(K1366="No change (same URL)",A1366,"")))</f>
        <v/>
      </c>
      <c r="N1366" s="22">
        <f>IF(A1366="","",IF(K1366="410 Gone","410",IF(K1366="404","404",IF(K1366="No change (same URL)","none",IF(M1366="","","301")))))</f>
        <v/>
      </c>
      <c r="O1366" s="22">
        <f>IF(A1366="","",IFERROR(MID(A1366,FIND("/",A1366,FIND("//",A1366)+2),2000),A1366))</f>
        <v/>
      </c>
      <c r="P1366" s="22">
        <f>IF(OR(O1366="",N1366="",N1366="none",N1366="404"),"",IF(N1366="410","Redirect gone "&amp;O1366,"Redirect "&amp;N1366&amp;" "&amp;O1366&amp;" "&amp;M1366))</f>
        <v/>
      </c>
      <c r="Q1366" s="22" t="n"/>
      <c r="R1366" s="22" t="n"/>
      <c r="S1366" s="22" t="n"/>
      <c r="T1366" s="4">
        <f>IF(A1366="","",TRIM(IF(K1366="","Needs decision; ","")&amp;IF(AND(K1366="Accept suggestion",F1366=""),"No suggestion to accept; ","")&amp;IF(AND(K1366="Override",L1366=""),"Override URL missing; ","")&amp;IF(AND(K1366="Accept suggestion",N(G1366)&lt;$G$2),"Below your threshold; ","")&amp;IF(AND(M1366&lt;&gt;"",M1366=A1366,K1366&lt;&gt;"No change (same URL)"),"Redirects to itself; ","")&amp;IF(AND(M1366&lt;&gt;"",OR(M1366="/",AND(LEFT(M1366,4)="http",OR((LEN(M1366)-LEN(SUBSTITUTE(M1366,"/","")))=2,AND((LEN(M1366)-LEN(SUBSTITUTE(M1366,"/","")))=3,RIGHT(M1366,1)="/"))))),"Home page redirect; ","")&amp;IF(N(R1366)&gt;1,"Chain; ","")&amp;IF(S1366="No","Destination not 200; ","")))</f>
        <v/>
      </c>
      <c r="U1366" s="22" t="n"/>
      <c r="V1366" s="22" t="n"/>
      <c r="W1366" s="4" t="n"/>
    </row>
    <row r="1367">
      <c r="A1367" s="22" t="n"/>
      <c r="B1367" s="22" t="n"/>
      <c r="C1367" s="22" t="n"/>
      <c r="D1367" s="22">
        <f>IF(A1367="","",IF(OR(N(B1367)&gt;=$C$2,N(C1367)&gt;=$E$2),"High",IF(OR(N(B1367)&gt;0,N(C1367)&gt;0),"Medium","Low")))</f>
        <v/>
      </c>
      <c r="E1367" s="22" t="n"/>
      <c r="F1367" s="22" t="n"/>
      <c r="G1367" s="22" t="n"/>
      <c r="H1367" s="22" t="n"/>
      <c r="I1367" s="22" t="n"/>
      <c r="J1367" s="22" t="n"/>
      <c r="K1367" s="22" t="n"/>
      <c r="L1367" s="22" t="n"/>
      <c r="M1367" s="22">
        <f>IF(K1367="Override",L1367,IF(K1367="Accept suggestion",F1367,IF(K1367="No change (same URL)",A1367,"")))</f>
        <v/>
      </c>
      <c r="N1367" s="22">
        <f>IF(A1367="","",IF(K1367="410 Gone","410",IF(K1367="404","404",IF(K1367="No change (same URL)","none",IF(M1367="","","301")))))</f>
        <v/>
      </c>
      <c r="O1367" s="22">
        <f>IF(A1367="","",IFERROR(MID(A1367,FIND("/",A1367,FIND("//",A1367)+2),2000),A1367))</f>
        <v/>
      </c>
      <c r="P1367" s="22">
        <f>IF(OR(O1367="",N1367="",N1367="none",N1367="404"),"",IF(N1367="410","Redirect gone "&amp;O1367,"Redirect "&amp;N1367&amp;" "&amp;O1367&amp;" "&amp;M1367))</f>
        <v/>
      </c>
      <c r="Q1367" s="22" t="n"/>
      <c r="R1367" s="22" t="n"/>
      <c r="S1367" s="22" t="n"/>
      <c r="T1367" s="4">
        <f>IF(A1367="","",TRIM(IF(K1367="","Needs decision; ","")&amp;IF(AND(K1367="Accept suggestion",F1367=""),"No suggestion to accept; ","")&amp;IF(AND(K1367="Override",L1367=""),"Override URL missing; ","")&amp;IF(AND(K1367="Accept suggestion",N(G1367)&lt;$G$2),"Below your threshold; ","")&amp;IF(AND(M1367&lt;&gt;"",M1367=A1367,K1367&lt;&gt;"No change (same URL)"),"Redirects to itself; ","")&amp;IF(AND(M1367&lt;&gt;"",OR(M1367="/",AND(LEFT(M1367,4)="http",OR((LEN(M1367)-LEN(SUBSTITUTE(M1367,"/","")))=2,AND((LEN(M1367)-LEN(SUBSTITUTE(M1367,"/","")))=3,RIGHT(M1367,1)="/"))))),"Home page redirect; ","")&amp;IF(N(R1367)&gt;1,"Chain; ","")&amp;IF(S1367="No","Destination not 200; ","")))</f>
        <v/>
      </c>
      <c r="U1367" s="22" t="n"/>
      <c r="V1367" s="22" t="n"/>
      <c r="W1367" s="4" t="n"/>
    </row>
    <row r="1368">
      <c r="A1368" s="22" t="n"/>
      <c r="B1368" s="22" t="n"/>
      <c r="C1368" s="22" t="n"/>
      <c r="D1368" s="22">
        <f>IF(A1368="","",IF(OR(N(B1368)&gt;=$C$2,N(C1368)&gt;=$E$2),"High",IF(OR(N(B1368)&gt;0,N(C1368)&gt;0),"Medium","Low")))</f>
        <v/>
      </c>
      <c r="E1368" s="22" t="n"/>
      <c r="F1368" s="22" t="n"/>
      <c r="G1368" s="22" t="n"/>
      <c r="H1368" s="22" t="n"/>
      <c r="I1368" s="22" t="n"/>
      <c r="J1368" s="22" t="n"/>
      <c r="K1368" s="22" t="n"/>
      <c r="L1368" s="22" t="n"/>
      <c r="M1368" s="22">
        <f>IF(K1368="Override",L1368,IF(K1368="Accept suggestion",F1368,IF(K1368="No change (same URL)",A1368,"")))</f>
        <v/>
      </c>
      <c r="N1368" s="22">
        <f>IF(A1368="","",IF(K1368="410 Gone","410",IF(K1368="404","404",IF(K1368="No change (same URL)","none",IF(M1368="","","301")))))</f>
        <v/>
      </c>
      <c r="O1368" s="22">
        <f>IF(A1368="","",IFERROR(MID(A1368,FIND("/",A1368,FIND("//",A1368)+2),2000),A1368))</f>
        <v/>
      </c>
      <c r="P1368" s="22">
        <f>IF(OR(O1368="",N1368="",N1368="none",N1368="404"),"",IF(N1368="410","Redirect gone "&amp;O1368,"Redirect "&amp;N1368&amp;" "&amp;O1368&amp;" "&amp;M1368))</f>
        <v/>
      </c>
      <c r="Q1368" s="22" t="n"/>
      <c r="R1368" s="22" t="n"/>
      <c r="S1368" s="22" t="n"/>
      <c r="T1368" s="4">
        <f>IF(A1368="","",TRIM(IF(K1368="","Needs decision; ","")&amp;IF(AND(K1368="Accept suggestion",F1368=""),"No suggestion to accept; ","")&amp;IF(AND(K1368="Override",L1368=""),"Override URL missing; ","")&amp;IF(AND(K1368="Accept suggestion",N(G1368)&lt;$G$2),"Below your threshold; ","")&amp;IF(AND(M1368&lt;&gt;"",M1368=A1368,K1368&lt;&gt;"No change (same URL)"),"Redirects to itself; ","")&amp;IF(AND(M1368&lt;&gt;"",OR(M1368="/",AND(LEFT(M1368,4)="http",OR((LEN(M1368)-LEN(SUBSTITUTE(M1368,"/","")))=2,AND((LEN(M1368)-LEN(SUBSTITUTE(M1368,"/","")))=3,RIGHT(M1368,1)="/"))))),"Home page redirect; ","")&amp;IF(N(R1368)&gt;1,"Chain; ","")&amp;IF(S1368="No","Destination not 200; ","")))</f>
        <v/>
      </c>
      <c r="U1368" s="22" t="n"/>
      <c r="V1368" s="22" t="n"/>
      <c r="W1368" s="4" t="n"/>
    </row>
    <row r="1369">
      <c r="A1369" s="22" t="n"/>
      <c r="B1369" s="22" t="n"/>
      <c r="C1369" s="22" t="n"/>
      <c r="D1369" s="22">
        <f>IF(A1369="","",IF(OR(N(B1369)&gt;=$C$2,N(C1369)&gt;=$E$2),"High",IF(OR(N(B1369)&gt;0,N(C1369)&gt;0),"Medium","Low")))</f>
        <v/>
      </c>
      <c r="E1369" s="22" t="n"/>
      <c r="F1369" s="22" t="n"/>
      <c r="G1369" s="22" t="n"/>
      <c r="H1369" s="22" t="n"/>
      <c r="I1369" s="22" t="n"/>
      <c r="J1369" s="22" t="n"/>
      <c r="K1369" s="22" t="n"/>
      <c r="L1369" s="22" t="n"/>
      <c r="M1369" s="22">
        <f>IF(K1369="Override",L1369,IF(K1369="Accept suggestion",F1369,IF(K1369="No change (same URL)",A1369,"")))</f>
        <v/>
      </c>
      <c r="N1369" s="22">
        <f>IF(A1369="","",IF(K1369="410 Gone","410",IF(K1369="404","404",IF(K1369="No change (same URL)","none",IF(M1369="","","301")))))</f>
        <v/>
      </c>
      <c r="O1369" s="22">
        <f>IF(A1369="","",IFERROR(MID(A1369,FIND("/",A1369,FIND("//",A1369)+2),2000),A1369))</f>
        <v/>
      </c>
      <c r="P1369" s="22">
        <f>IF(OR(O1369="",N1369="",N1369="none",N1369="404"),"",IF(N1369="410","Redirect gone "&amp;O1369,"Redirect "&amp;N1369&amp;" "&amp;O1369&amp;" "&amp;M1369))</f>
        <v/>
      </c>
      <c r="Q1369" s="22" t="n"/>
      <c r="R1369" s="22" t="n"/>
      <c r="S1369" s="22" t="n"/>
      <c r="T1369" s="4">
        <f>IF(A1369="","",TRIM(IF(K1369="","Needs decision; ","")&amp;IF(AND(K1369="Accept suggestion",F1369=""),"No suggestion to accept; ","")&amp;IF(AND(K1369="Override",L1369=""),"Override URL missing; ","")&amp;IF(AND(K1369="Accept suggestion",N(G1369)&lt;$G$2),"Below your threshold; ","")&amp;IF(AND(M1369&lt;&gt;"",M1369=A1369,K1369&lt;&gt;"No change (same URL)"),"Redirects to itself; ","")&amp;IF(AND(M1369&lt;&gt;"",OR(M1369="/",AND(LEFT(M1369,4)="http",OR((LEN(M1369)-LEN(SUBSTITUTE(M1369,"/","")))=2,AND((LEN(M1369)-LEN(SUBSTITUTE(M1369,"/","")))=3,RIGHT(M1369,1)="/"))))),"Home page redirect; ","")&amp;IF(N(R1369)&gt;1,"Chain; ","")&amp;IF(S1369="No","Destination not 200; ","")))</f>
        <v/>
      </c>
      <c r="U1369" s="22" t="n"/>
      <c r="V1369" s="22" t="n"/>
      <c r="W1369" s="4" t="n"/>
    </row>
    <row r="1370">
      <c r="A1370" s="22" t="n"/>
      <c r="B1370" s="22" t="n"/>
      <c r="C1370" s="22" t="n"/>
      <c r="D1370" s="22">
        <f>IF(A1370="","",IF(OR(N(B1370)&gt;=$C$2,N(C1370)&gt;=$E$2),"High",IF(OR(N(B1370)&gt;0,N(C1370)&gt;0),"Medium","Low")))</f>
        <v/>
      </c>
      <c r="E1370" s="22" t="n"/>
      <c r="F1370" s="22" t="n"/>
      <c r="G1370" s="22" t="n"/>
      <c r="H1370" s="22" t="n"/>
      <c r="I1370" s="22" t="n"/>
      <c r="J1370" s="22" t="n"/>
      <c r="K1370" s="22" t="n"/>
      <c r="L1370" s="22" t="n"/>
      <c r="M1370" s="22">
        <f>IF(K1370="Override",L1370,IF(K1370="Accept suggestion",F1370,IF(K1370="No change (same URL)",A1370,"")))</f>
        <v/>
      </c>
      <c r="N1370" s="22">
        <f>IF(A1370="","",IF(K1370="410 Gone","410",IF(K1370="404","404",IF(K1370="No change (same URL)","none",IF(M1370="","","301")))))</f>
        <v/>
      </c>
      <c r="O1370" s="22">
        <f>IF(A1370="","",IFERROR(MID(A1370,FIND("/",A1370,FIND("//",A1370)+2),2000),A1370))</f>
        <v/>
      </c>
      <c r="P1370" s="22">
        <f>IF(OR(O1370="",N1370="",N1370="none",N1370="404"),"",IF(N1370="410","Redirect gone "&amp;O1370,"Redirect "&amp;N1370&amp;" "&amp;O1370&amp;" "&amp;M1370))</f>
        <v/>
      </c>
      <c r="Q1370" s="22" t="n"/>
      <c r="R1370" s="22" t="n"/>
      <c r="S1370" s="22" t="n"/>
      <c r="T1370" s="4">
        <f>IF(A1370="","",TRIM(IF(K1370="","Needs decision; ","")&amp;IF(AND(K1370="Accept suggestion",F1370=""),"No suggestion to accept; ","")&amp;IF(AND(K1370="Override",L1370=""),"Override URL missing; ","")&amp;IF(AND(K1370="Accept suggestion",N(G1370)&lt;$G$2),"Below your threshold; ","")&amp;IF(AND(M1370&lt;&gt;"",M1370=A1370,K1370&lt;&gt;"No change (same URL)"),"Redirects to itself; ","")&amp;IF(AND(M1370&lt;&gt;"",OR(M1370="/",AND(LEFT(M1370,4)="http",OR((LEN(M1370)-LEN(SUBSTITUTE(M1370,"/","")))=2,AND((LEN(M1370)-LEN(SUBSTITUTE(M1370,"/","")))=3,RIGHT(M1370,1)="/"))))),"Home page redirect; ","")&amp;IF(N(R1370)&gt;1,"Chain; ","")&amp;IF(S1370="No","Destination not 200; ","")))</f>
        <v/>
      </c>
      <c r="U1370" s="22" t="n"/>
      <c r="V1370" s="22" t="n"/>
      <c r="W1370" s="4" t="n"/>
    </row>
    <row r="1371">
      <c r="A1371" s="22" t="n"/>
      <c r="B1371" s="22" t="n"/>
      <c r="C1371" s="22" t="n"/>
      <c r="D1371" s="22">
        <f>IF(A1371="","",IF(OR(N(B1371)&gt;=$C$2,N(C1371)&gt;=$E$2),"High",IF(OR(N(B1371)&gt;0,N(C1371)&gt;0),"Medium","Low")))</f>
        <v/>
      </c>
      <c r="E1371" s="22" t="n"/>
      <c r="F1371" s="22" t="n"/>
      <c r="G1371" s="22" t="n"/>
      <c r="H1371" s="22" t="n"/>
      <c r="I1371" s="22" t="n"/>
      <c r="J1371" s="22" t="n"/>
      <c r="K1371" s="22" t="n"/>
      <c r="L1371" s="22" t="n"/>
      <c r="M1371" s="22">
        <f>IF(K1371="Override",L1371,IF(K1371="Accept suggestion",F1371,IF(K1371="No change (same URL)",A1371,"")))</f>
        <v/>
      </c>
      <c r="N1371" s="22">
        <f>IF(A1371="","",IF(K1371="410 Gone","410",IF(K1371="404","404",IF(K1371="No change (same URL)","none",IF(M1371="","","301")))))</f>
        <v/>
      </c>
      <c r="O1371" s="22">
        <f>IF(A1371="","",IFERROR(MID(A1371,FIND("/",A1371,FIND("//",A1371)+2),2000),A1371))</f>
        <v/>
      </c>
      <c r="P1371" s="22">
        <f>IF(OR(O1371="",N1371="",N1371="none",N1371="404"),"",IF(N1371="410","Redirect gone "&amp;O1371,"Redirect "&amp;N1371&amp;" "&amp;O1371&amp;" "&amp;M1371))</f>
        <v/>
      </c>
      <c r="Q1371" s="22" t="n"/>
      <c r="R1371" s="22" t="n"/>
      <c r="S1371" s="22" t="n"/>
      <c r="T1371" s="4">
        <f>IF(A1371="","",TRIM(IF(K1371="","Needs decision; ","")&amp;IF(AND(K1371="Accept suggestion",F1371=""),"No suggestion to accept; ","")&amp;IF(AND(K1371="Override",L1371=""),"Override URL missing; ","")&amp;IF(AND(K1371="Accept suggestion",N(G1371)&lt;$G$2),"Below your threshold; ","")&amp;IF(AND(M1371&lt;&gt;"",M1371=A1371,K1371&lt;&gt;"No change (same URL)"),"Redirects to itself; ","")&amp;IF(AND(M1371&lt;&gt;"",OR(M1371="/",AND(LEFT(M1371,4)="http",OR((LEN(M1371)-LEN(SUBSTITUTE(M1371,"/","")))=2,AND((LEN(M1371)-LEN(SUBSTITUTE(M1371,"/","")))=3,RIGHT(M1371,1)="/"))))),"Home page redirect; ","")&amp;IF(N(R1371)&gt;1,"Chain; ","")&amp;IF(S1371="No","Destination not 200; ","")))</f>
        <v/>
      </c>
      <c r="U1371" s="22" t="n"/>
      <c r="V1371" s="22" t="n"/>
      <c r="W1371" s="4" t="n"/>
    </row>
    <row r="1372">
      <c r="A1372" s="22" t="n"/>
      <c r="B1372" s="22" t="n"/>
      <c r="C1372" s="22" t="n"/>
      <c r="D1372" s="22">
        <f>IF(A1372="","",IF(OR(N(B1372)&gt;=$C$2,N(C1372)&gt;=$E$2),"High",IF(OR(N(B1372)&gt;0,N(C1372)&gt;0),"Medium","Low")))</f>
        <v/>
      </c>
      <c r="E1372" s="22" t="n"/>
      <c r="F1372" s="22" t="n"/>
      <c r="G1372" s="22" t="n"/>
      <c r="H1372" s="22" t="n"/>
      <c r="I1372" s="22" t="n"/>
      <c r="J1372" s="22" t="n"/>
      <c r="K1372" s="22" t="n"/>
      <c r="L1372" s="22" t="n"/>
      <c r="M1372" s="22">
        <f>IF(K1372="Override",L1372,IF(K1372="Accept suggestion",F1372,IF(K1372="No change (same URL)",A1372,"")))</f>
        <v/>
      </c>
      <c r="N1372" s="22">
        <f>IF(A1372="","",IF(K1372="410 Gone","410",IF(K1372="404","404",IF(K1372="No change (same URL)","none",IF(M1372="","","301")))))</f>
        <v/>
      </c>
      <c r="O1372" s="22">
        <f>IF(A1372="","",IFERROR(MID(A1372,FIND("/",A1372,FIND("//",A1372)+2),2000),A1372))</f>
        <v/>
      </c>
      <c r="P1372" s="22">
        <f>IF(OR(O1372="",N1372="",N1372="none",N1372="404"),"",IF(N1372="410","Redirect gone "&amp;O1372,"Redirect "&amp;N1372&amp;" "&amp;O1372&amp;" "&amp;M1372))</f>
        <v/>
      </c>
      <c r="Q1372" s="22" t="n"/>
      <c r="R1372" s="22" t="n"/>
      <c r="S1372" s="22" t="n"/>
      <c r="T1372" s="4">
        <f>IF(A1372="","",TRIM(IF(K1372="","Needs decision; ","")&amp;IF(AND(K1372="Accept suggestion",F1372=""),"No suggestion to accept; ","")&amp;IF(AND(K1372="Override",L1372=""),"Override URL missing; ","")&amp;IF(AND(K1372="Accept suggestion",N(G1372)&lt;$G$2),"Below your threshold; ","")&amp;IF(AND(M1372&lt;&gt;"",M1372=A1372,K1372&lt;&gt;"No change (same URL)"),"Redirects to itself; ","")&amp;IF(AND(M1372&lt;&gt;"",OR(M1372="/",AND(LEFT(M1372,4)="http",OR((LEN(M1372)-LEN(SUBSTITUTE(M1372,"/","")))=2,AND((LEN(M1372)-LEN(SUBSTITUTE(M1372,"/","")))=3,RIGHT(M1372,1)="/"))))),"Home page redirect; ","")&amp;IF(N(R1372)&gt;1,"Chain; ","")&amp;IF(S1372="No","Destination not 200; ","")))</f>
        <v/>
      </c>
      <c r="U1372" s="22" t="n"/>
      <c r="V1372" s="22" t="n"/>
      <c r="W1372" s="4" t="n"/>
    </row>
    <row r="1373">
      <c r="A1373" s="22" t="n"/>
      <c r="B1373" s="22" t="n"/>
      <c r="C1373" s="22" t="n"/>
      <c r="D1373" s="22">
        <f>IF(A1373="","",IF(OR(N(B1373)&gt;=$C$2,N(C1373)&gt;=$E$2),"High",IF(OR(N(B1373)&gt;0,N(C1373)&gt;0),"Medium","Low")))</f>
        <v/>
      </c>
      <c r="E1373" s="22" t="n"/>
      <c r="F1373" s="22" t="n"/>
      <c r="G1373" s="22" t="n"/>
      <c r="H1373" s="22" t="n"/>
      <c r="I1373" s="22" t="n"/>
      <c r="J1373" s="22" t="n"/>
      <c r="K1373" s="22" t="n"/>
      <c r="L1373" s="22" t="n"/>
      <c r="M1373" s="22">
        <f>IF(K1373="Override",L1373,IF(K1373="Accept suggestion",F1373,IF(K1373="No change (same URL)",A1373,"")))</f>
        <v/>
      </c>
      <c r="N1373" s="22">
        <f>IF(A1373="","",IF(K1373="410 Gone","410",IF(K1373="404","404",IF(K1373="No change (same URL)","none",IF(M1373="","","301")))))</f>
        <v/>
      </c>
      <c r="O1373" s="22">
        <f>IF(A1373="","",IFERROR(MID(A1373,FIND("/",A1373,FIND("//",A1373)+2),2000),A1373))</f>
        <v/>
      </c>
      <c r="P1373" s="22">
        <f>IF(OR(O1373="",N1373="",N1373="none",N1373="404"),"",IF(N1373="410","Redirect gone "&amp;O1373,"Redirect "&amp;N1373&amp;" "&amp;O1373&amp;" "&amp;M1373))</f>
        <v/>
      </c>
      <c r="Q1373" s="22" t="n"/>
      <c r="R1373" s="22" t="n"/>
      <c r="S1373" s="22" t="n"/>
      <c r="T1373" s="4">
        <f>IF(A1373="","",TRIM(IF(K1373="","Needs decision; ","")&amp;IF(AND(K1373="Accept suggestion",F1373=""),"No suggestion to accept; ","")&amp;IF(AND(K1373="Override",L1373=""),"Override URL missing; ","")&amp;IF(AND(K1373="Accept suggestion",N(G1373)&lt;$G$2),"Below your threshold; ","")&amp;IF(AND(M1373&lt;&gt;"",M1373=A1373,K1373&lt;&gt;"No change (same URL)"),"Redirects to itself; ","")&amp;IF(AND(M1373&lt;&gt;"",OR(M1373="/",AND(LEFT(M1373,4)="http",OR((LEN(M1373)-LEN(SUBSTITUTE(M1373,"/","")))=2,AND((LEN(M1373)-LEN(SUBSTITUTE(M1373,"/","")))=3,RIGHT(M1373,1)="/"))))),"Home page redirect; ","")&amp;IF(N(R1373)&gt;1,"Chain; ","")&amp;IF(S1373="No","Destination not 200; ","")))</f>
        <v/>
      </c>
      <c r="U1373" s="22" t="n"/>
      <c r="V1373" s="22" t="n"/>
      <c r="W1373" s="4" t="n"/>
    </row>
    <row r="1374">
      <c r="A1374" s="22" t="n"/>
      <c r="B1374" s="22" t="n"/>
      <c r="C1374" s="22" t="n"/>
      <c r="D1374" s="22">
        <f>IF(A1374="","",IF(OR(N(B1374)&gt;=$C$2,N(C1374)&gt;=$E$2),"High",IF(OR(N(B1374)&gt;0,N(C1374)&gt;0),"Medium","Low")))</f>
        <v/>
      </c>
      <c r="E1374" s="22" t="n"/>
      <c r="F1374" s="22" t="n"/>
      <c r="G1374" s="22" t="n"/>
      <c r="H1374" s="22" t="n"/>
      <c r="I1374" s="22" t="n"/>
      <c r="J1374" s="22" t="n"/>
      <c r="K1374" s="22" t="n"/>
      <c r="L1374" s="22" t="n"/>
      <c r="M1374" s="22">
        <f>IF(K1374="Override",L1374,IF(K1374="Accept suggestion",F1374,IF(K1374="No change (same URL)",A1374,"")))</f>
        <v/>
      </c>
      <c r="N1374" s="22">
        <f>IF(A1374="","",IF(K1374="410 Gone","410",IF(K1374="404","404",IF(K1374="No change (same URL)","none",IF(M1374="","","301")))))</f>
        <v/>
      </c>
      <c r="O1374" s="22">
        <f>IF(A1374="","",IFERROR(MID(A1374,FIND("/",A1374,FIND("//",A1374)+2),2000),A1374))</f>
        <v/>
      </c>
      <c r="P1374" s="22">
        <f>IF(OR(O1374="",N1374="",N1374="none",N1374="404"),"",IF(N1374="410","Redirect gone "&amp;O1374,"Redirect "&amp;N1374&amp;" "&amp;O1374&amp;" "&amp;M1374))</f>
        <v/>
      </c>
      <c r="Q1374" s="22" t="n"/>
      <c r="R1374" s="22" t="n"/>
      <c r="S1374" s="22" t="n"/>
      <c r="T1374" s="4">
        <f>IF(A1374="","",TRIM(IF(K1374="","Needs decision; ","")&amp;IF(AND(K1374="Accept suggestion",F1374=""),"No suggestion to accept; ","")&amp;IF(AND(K1374="Override",L1374=""),"Override URL missing; ","")&amp;IF(AND(K1374="Accept suggestion",N(G1374)&lt;$G$2),"Below your threshold; ","")&amp;IF(AND(M1374&lt;&gt;"",M1374=A1374,K1374&lt;&gt;"No change (same URL)"),"Redirects to itself; ","")&amp;IF(AND(M1374&lt;&gt;"",OR(M1374="/",AND(LEFT(M1374,4)="http",OR((LEN(M1374)-LEN(SUBSTITUTE(M1374,"/","")))=2,AND((LEN(M1374)-LEN(SUBSTITUTE(M1374,"/","")))=3,RIGHT(M1374,1)="/"))))),"Home page redirect; ","")&amp;IF(N(R1374)&gt;1,"Chain; ","")&amp;IF(S1374="No","Destination not 200; ","")))</f>
        <v/>
      </c>
      <c r="U1374" s="22" t="n"/>
      <c r="V1374" s="22" t="n"/>
      <c r="W1374" s="4" t="n"/>
    </row>
    <row r="1375">
      <c r="A1375" s="22" t="n"/>
      <c r="B1375" s="22" t="n"/>
      <c r="C1375" s="22" t="n"/>
      <c r="D1375" s="22">
        <f>IF(A1375="","",IF(OR(N(B1375)&gt;=$C$2,N(C1375)&gt;=$E$2),"High",IF(OR(N(B1375)&gt;0,N(C1375)&gt;0),"Medium","Low")))</f>
        <v/>
      </c>
      <c r="E1375" s="22" t="n"/>
      <c r="F1375" s="22" t="n"/>
      <c r="G1375" s="22" t="n"/>
      <c r="H1375" s="22" t="n"/>
      <c r="I1375" s="22" t="n"/>
      <c r="J1375" s="22" t="n"/>
      <c r="K1375" s="22" t="n"/>
      <c r="L1375" s="22" t="n"/>
      <c r="M1375" s="22">
        <f>IF(K1375="Override",L1375,IF(K1375="Accept suggestion",F1375,IF(K1375="No change (same URL)",A1375,"")))</f>
        <v/>
      </c>
      <c r="N1375" s="22">
        <f>IF(A1375="","",IF(K1375="410 Gone","410",IF(K1375="404","404",IF(K1375="No change (same URL)","none",IF(M1375="","","301")))))</f>
        <v/>
      </c>
      <c r="O1375" s="22">
        <f>IF(A1375="","",IFERROR(MID(A1375,FIND("/",A1375,FIND("//",A1375)+2),2000),A1375))</f>
        <v/>
      </c>
      <c r="P1375" s="22">
        <f>IF(OR(O1375="",N1375="",N1375="none",N1375="404"),"",IF(N1375="410","Redirect gone "&amp;O1375,"Redirect "&amp;N1375&amp;" "&amp;O1375&amp;" "&amp;M1375))</f>
        <v/>
      </c>
      <c r="Q1375" s="22" t="n"/>
      <c r="R1375" s="22" t="n"/>
      <c r="S1375" s="22" t="n"/>
      <c r="T1375" s="4">
        <f>IF(A1375="","",TRIM(IF(K1375="","Needs decision; ","")&amp;IF(AND(K1375="Accept suggestion",F1375=""),"No suggestion to accept; ","")&amp;IF(AND(K1375="Override",L1375=""),"Override URL missing; ","")&amp;IF(AND(K1375="Accept suggestion",N(G1375)&lt;$G$2),"Below your threshold; ","")&amp;IF(AND(M1375&lt;&gt;"",M1375=A1375,K1375&lt;&gt;"No change (same URL)"),"Redirects to itself; ","")&amp;IF(AND(M1375&lt;&gt;"",OR(M1375="/",AND(LEFT(M1375,4)="http",OR((LEN(M1375)-LEN(SUBSTITUTE(M1375,"/","")))=2,AND((LEN(M1375)-LEN(SUBSTITUTE(M1375,"/","")))=3,RIGHT(M1375,1)="/"))))),"Home page redirect; ","")&amp;IF(N(R1375)&gt;1,"Chain; ","")&amp;IF(S1375="No","Destination not 200; ","")))</f>
        <v/>
      </c>
      <c r="U1375" s="22" t="n"/>
      <c r="V1375" s="22" t="n"/>
      <c r="W1375" s="4" t="n"/>
    </row>
    <row r="1376">
      <c r="A1376" s="22" t="n"/>
      <c r="B1376" s="22" t="n"/>
      <c r="C1376" s="22" t="n"/>
      <c r="D1376" s="22">
        <f>IF(A1376="","",IF(OR(N(B1376)&gt;=$C$2,N(C1376)&gt;=$E$2),"High",IF(OR(N(B1376)&gt;0,N(C1376)&gt;0),"Medium","Low")))</f>
        <v/>
      </c>
      <c r="E1376" s="22" t="n"/>
      <c r="F1376" s="22" t="n"/>
      <c r="G1376" s="22" t="n"/>
      <c r="H1376" s="22" t="n"/>
      <c r="I1376" s="22" t="n"/>
      <c r="J1376" s="22" t="n"/>
      <c r="K1376" s="22" t="n"/>
      <c r="L1376" s="22" t="n"/>
      <c r="M1376" s="22">
        <f>IF(K1376="Override",L1376,IF(K1376="Accept suggestion",F1376,IF(K1376="No change (same URL)",A1376,"")))</f>
        <v/>
      </c>
      <c r="N1376" s="22">
        <f>IF(A1376="","",IF(K1376="410 Gone","410",IF(K1376="404","404",IF(K1376="No change (same URL)","none",IF(M1376="","","301")))))</f>
        <v/>
      </c>
      <c r="O1376" s="22">
        <f>IF(A1376="","",IFERROR(MID(A1376,FIND("/",A1376,FIND("//",A1376)+2),2000),A1376))</f>
        <v/>
      </c>
      <c r="P1376" s="22">
        <f>IF(OR(O1376="",N1376="",N1376="none",N1376="404"),"",IF(N1376="410","Redirect gone "&amp;O1376,"Redirect "&amp;N1376&amp;" "&amp;O1376&amp;" "&amp;M1376))</f>
        <v/>
      </c>
      <c r="Q1376" s="22" t="n"/>
      <c r="R1376" s="22" t="n"/>
      <c r="S1376" s="22" t="n"/>
      <c r="T1376" s="4">
        <f>IF(A1376="","",TRIM(IF(K1376="","Needs decision; ","")&amp;IF(AND(K1376="Accept suggestion",F1376=""),"No suggestion to accept; ","")&amp;IF(AND(K1376="Override",L1376=""),"Override URL missing; ","")&amp;IF(AND(K1376="Accept suggestion",N(G1376)&lt;$G$2),"Below your threshold; ","")&amp;IF(AND(M1376&lt;&gt;"",M1376=A1376,K1376&lt;&gt;"No change (same URL)"),"Redirects to itself; ","")&amp;IF(AND(M1376&lt;&gt;"",OR(M1376="/",AND(LEFT(M1376,4)="http",OR((LEN(M1376)-LEN(SUBSTITUTE(M1376,"/","")))=2,AND((LEN(M1376)-LEN(SUBSTITUTE(M1376,"/","")))=3,RIGHT(M1376,1)="/"))))),"Home page redirect; ","")&amp;IF(N(R1376)&gt;1,"Chain; ","")&amp;IF(S1376="No","Destination not 200; ","")))</f>
        <v/>
      </c>
      <c r="U1376" s="22" t="n"/>
      <c r="V1376" s="22" t="n"/>
      <c r="W1376" s="4" t="n"/>
    </row>
    <row r="1377">
      <c r="A1377" s="22" t="n"/>
      <c r="B1377" s="22" t="n"/>
      <c r="C1377" s="22" t="n"/>
      <c r="D1377" s="22">
        <f>IF(A1377="","",IF(OR(N(B1377)&gt;=$C$2,N(C1377)&gt;=$E$2),"High",IF(OR(N(B1377)&gt;0,N(C1377)&gt;0),"Medium","Low")))</f>
        <v/>
      </c>
      <c r="E1377" s="22" t="n"/>
      <c r="F1377" s="22" t="n"/>
      <c r="G1377" s="22" t="n"/>
      <c r="H1377" s="22" t="n"/>
      <c r="I1377" s="22" t="n"/>
      <c r="J1377" s="22" t="n"/>
      <c r="K1377" s="22" t="n"/>
      <c r="L1377" s="22" t="n"/>
      <c r="M1377" s="22">
        <f>IF(K1377="Override",L1377,IF(K1377="Accept suggestion",F1377,IF(K1377="No change (same URL)",A1377,"")))</f>
        <v/>
      </c>
      <c r="N1377" s="22">
        <f>IF(A1377="","",IF(K1377="410 Gone","410",IF(K1377="404","404",IF(K1377="No change (same URL)","none",IF(M1377="","","301")))))</f>
        <v/>
      </c>
      <c r="O1377" s="22">
        <f>IF(A1377="","",IFERROR(MID(A1377,FIND("/",A1377,FIND("//",A1377)+2),2000),A1377))</f>
        <v/>
      </c>
      <c r="P1377" s="22">
        <f>IF(OR(O1377="",N1377="",N1377="none",N1377="404"),"",IF(N1377="410","Redirect gone "&amp;O1377,"Redirect "&amp;N1377&amp;" "&amp;O1377&amp;" "&amp;M1377))</f>
        <v/>
      </c>
      <c r="Q1377" s="22" t="n"/>
      <c r="R1377" s="22" t="n"/>
      <c r="S1377" s="22" t="n"/>
      <c r="T1377" s="4">
        <f>IF(A1377="","",TRIM(IF(K1377="","Needs decision; ","")&amp;IF(AND(K1377="Accept suggestion",F1377=""),"No suggestion to accept; ","")&amp;IF(AND(K1377="Override",L1377=""),"Override URL missing; ","")&amp;IF(AND(K1377="Accept suggestion",N(G1377)&lt;$G$2),"Below your threshold; ","")&amp;IF(AND(M1377&lt;&gt;"",M1377=A1377,K1377&lt;&gt;"No change (same URL)"),"Redirects to itself; ","")&amp;IF(AND(M1377&lt;&gt;"",OR(M1377="/",AND(LEFT(M1377,4)="http",OR((LEN(M1377)-LEN(SUBSTITUTE(M1377,"/","")))=2,AND((LEN(M1377)-LEN(SUBSTITUTE(M1377,"/","")))=3,RIGHT(M1377,1)="/"))))),"Home page redirect; ","")&amp;IF(N(R1377)&gt;1,"Chain; ","")&amp;IF(S1377="No","Destination not 200; ","")))</f>
        <v/>
      </c>
      <c r="U1377" s="22" t="n"/>
      <c r="V1377" s="22" t="n"/>
      <c r="W1377" s="4" t="n"/>
    </row>
    <row r="1378">
      <c r="A1378" s="22" t="n"/>
      <c r="B1378" s="22" t="n"/>
      <c r="C1378" s="22" t="n"/>
      <c r="D1378" s="22">
        <f>IF(A1378="","",IF(OR(N(B1378)&gt;=$C$2,N(C1378)&gt;=$E$2),"High",IF(OR(N(B1378)&gt;0,N(C1378)&gt;0),"Medium","Low")))</f>
        <v/>
      </c>
      <c r="E1378" s="22" t="n"/>
      <c r="F1378" s="22" t="n"/>
      <c r="G1378" s="22" t="n"/>
      <c r="H1378" s="22" t="n"/>
      <c r="I1378" s="22" t="n"/>
      <c r="J1378" s="22" t="n"/>
      <c r="K1378" s="22" t="n"/>
      <c r="L1378" s="22" t="n"/>
      <c r="M1378" s="22">
        <f>IF(K1378="Override",L1378,IF(K1378="Accept suggestion",F1378,IF(K1378="No change (same URL)",A1378,"")))</f>
        <v/>
      </c>
      <c r="N1378" s="22">
        <f>IF(A1378="","",IF(K1378="410 Gone","410",IF(K1378="404","404",IF(K1378="No change (same URL)","none",IF(M1378="","","301")))))</f>
        <v/>
      </c>
      <c r="O1378" s="22">
        <f>IF(A1378="","",IFERROR(MID(A1378,FIND("/",A1378,FIND("//",A1378)+2),2000),A1378))</f>
        <v/>
      </c>
      <c r="P1378" s="22">
        <f>IF(OR(O1378="",N1378="",N1378="none",N1378="404"),"",IF(N1378="410","Redirect gone "&amp;O1378,"Redirect "&amp;N1378&amp;" "&amp;O1378&amp;" "&amp;M1378))</f>
        <v/>
      </c>
      <c r="Q1378" s="22" t="n"/>
      <c r="R1378" s="22" t="n"/>
      <c r="S1378" s="22" t="n"/>
      <c r="T1378" s="4">
        <f>IF(A1378="","",TRIM(IF(K1378="","Needs decision; ","")&amp;IF(AND(K1378="Accept suggestion",F1378=""),"No suggestion to accept; ","")&amp;IF(AND(K1378="Override",L1378=""),"Override URL missing; ","")&amp;IF(AND(K1378="Accept suggestion",N(G1378)&lt;$G$2),"Below your threshold; ","")&amp;IF(AND(M1378&lt;&gt;"",M1378=A1378,K1378&lt;&gt;"No change (same URL)"),"Redirects to itself; ","")&amp;IF(AND(M1378&lt;&gt;"",OR(M1378="/",AND(LEFT(M1378,4)="http",OR((LEN(M1378)-LEN(SUBSTITUTE(M1378,"/","")))=2,AND((LEN(M1378)-LEN(SUBSTITUTE(M1378,"/","")))=3,RIGHT(M1378,1)="/"))))),"Home page redirect; ","")&amp;IF(N(R1378)&gt;1,"Chain; ","")&amp;IF(S1378="No","Destination not 200; ","")))</f>
        <v/>
      </c>
      <c r="U1378" s="22" t="n"/>
      <c r="V1378" s="22" t="n"/>
      <c r="W1378" s="4" t="n"/>
    </row>
    <row r="1379">
      <c r="A1379" s="22" t="n"/>
      <c r="B1379" s="22" t="n"/>
      <c r="C1379" s="22" t="n"/>
      <c r="D1379" s="22">
        <f>IF(A1379="","",IF(OR(N(B1379)&gt;=$C$2,N(C1379)&gt;=$E$2),"High",IF(OR(N(B1379)&gt;0,N(C1379)&gt;0),"Medium","Low")))</f>
        <v/>
      </c>
      <c r="E1379" s="22" t="n"/>
      <c r="F1379" s="22" t="n"/>
      <c r="G1379" s="22" t="n"/>
      <c r="H1379" s="22" t="n"/>
      <c r="I1379" s="22" t="n"/>
      <c r="J1379" s="22" t="n"/>
      <c r="K1379" s="22" t="n"/>
      <c r="L1379" s="22" t="n"/>
      <c r="M1379" s="22">
        <f>IF(K1379="Override",L1379,IF(K1379="Accept suggestion",F1379,IF(K1379="No change (same URL)",A1379,"")))</f>
        <v/>
      </c>
      <c r="N1379" s="22">
        <f>IF(A1379="","",IF(K1379="410 Gone","410",IF(K1379="404","404",IF(K1379="No change (same URL)","none",IF(M1379="","","301")))))</f>
        <v/>
      </c>
      <c r="O1379" s="22">
        <f>IF(A1379="","",IFERROR(MID(A1379,FIND("/",A1379,FIND("//",A1379)+2),2000),A1379))</f>
        <v/>
      </c>
      <c r="P1379" s="22">
        <f>IF(OR(O1379="",N1379="",N1379="none",N1379="404"),"",IF(N1379="410","Redirect gone "&amp;O1379,"Redirect "&amp;N1379&amp;" "&amp;O1379&amp;" "&amp;M1379))</f>
        <v/>
      </c>
      <c r="Q1379" s="22" t="n"/>
      <c r="R1379" s="22" t="n"/>
      <c r="S1379" s="22" t="n"/>
      <c r="T1379" s="4">
        <f>IF(A1379="","",TRIM(IF(K1379="","Needs decision; ","")&amp;IF(AND(K1379="Accept suggestion",F1379=""),"No suggestion to accept; ","")&amp;IF(AND(K1379="Override",L1379=""),"Override URL missing; ","")&amp;IF(AND(K1379="Accept suggestion",N(G1379)&lt;$G$2),"Below your threshold; ","")&amp;IF(AND(M1379&lt;&gt;"",M1379=A1379,K1379&lt;&gt;"No change (same URL)"),"Redirects to itself; ","")&amp;IF(AND(M1379&lt;&gt;"",OR(M1379="/",AND(LEFT(M1379,4)="http",OR((LEN(M1379)-LEN(SUBSTITUTE(M1379,"/","")))=2,AND((LEN(M1379)-LEN(SUBSTITUTE(M1379,"/","")))=3,RIGHT(M1379,1)="/"))))),"Home page redirect; ","")&amp;IF(N(R1379)&gt;1,"Chain; ","")&amp;IF(S1379="No","Destination not 200; ","")))</f>
        <v/>
      </c>
      <c r="U1379" s="22" t="n"/>
      <c r="V1379" s="22" t="n"/>
      <c r="W1379" s="4" t="n"/>
    </row>
    <row r="1380">
      <c r="A1380" s="22" t="n"/>
      <c r="B1380" s="22" t="n"/>
      <c r="C1380" s="22" t="n"/>
      <c r="D1380" s="22">
        <f>IF(A1380="","",IF(OR(N(B1380)&gt;=$C$2,N(C1380)&gt;=$E$2),"High",IF(OR(N(B1380)&gt;0,N(C1380)&gt;0),"Medium","Low")))</f>
        <v/>
      </c>
      <c r="E1380" s="22" t="n"/>
      <c r="F1380" s="22" t="n"/>
      <c r="G1380" s="22" t="n"/>
      <c r="H1380" s="22" t="n"/>
      <c r="I1380" s="22" t="n"/>
      <c r="J1380" s="22" t="n"/>
      <c r="K1380" s="22" t="n"/>
      <c r="L1380" s="22" t="n"/>
      <c r="M1380" s="22">
        <f>IF(K1380="Override",L1380,IF(K1380="Accept suggestion",F1380,IF(K1380="No change (same URL)",A1380,"")))</f>
        <v/>
      </c>
      <c r="N1380" s="22">
        <f>IF(A1380="","",IF(K1380="410 Gone","410",IF(K1380="404","404",IF(K1380="No change (same URL)","none",IF(M1380="","","301")))))</f>
        <v/>
      </c>
      <c r="O1380" s="22">
        <f>IF(A1380="","",IFERROR(MID(A1380,FIND("/",A1380,FIND("//",A1380)+2),2000),A1380))</f>
        <v/>
      </c>
      <c r="P1380" s="22">
        <f>IF(OR(O1380="",N1380="",N1380="none",N1380="404"),"",IF(N1380="410","Redirect gone "&amp;O1380,"Redirect "&amp;N1380&amp;" "&amp;O1380&amp;" "&amp;M1380))</f>
        <v/>
      </c>
      <c r="Q1380" s="22" t="n"/>
      <c r="R1380" s="22" t="n"/>
      <c r="S1380" s="22" t="n"/>
      <c r="T1380" s="4">
        <f>IF(A1380="","",TRIM(IF(K1380="","Needs decision; ","")&amp;IF(AND(K1380="Accept suggestion",F1380=""),"No suggestion to accept; ","")&amp;IF(AND(K1380="Override",L1380=""),"Override URL missing; ","")&amp;IF(AND(K1380="Accept suggestion",N(G1380)&lt;$G$2),"Below your threshold; ","")&amp;IF(AND(M1380&lt;&gt;"",M1380=A1380,K1380&lt;&gt;"No change (same URL)"),"Redirects to itself; ","")&amp;IF(AND(M1380&lt;&gt;"",OR(M1380="/",AND(LEFT(M1380,4)="http",OR((LEN(M1380)-LEN(SUBSTITUTE(M1380,"/","")))=2,AND((LEN(M1380)-LEN(SUBSTITUTE(M1380,"/","")))=3,RIGHT(M1380,1)="/"))))),"Home page redirect; ","")&amp;IF(N(R1380)&gt;1,"Chain; ","")&amp;IF(S1380="No","Destination not 200; ","")))</f>
        <v/>
      </c>
      <c r="U1380" s="22" t="n"/>
      <c r="V1380" s="22" t="n"/>
      <c r="W1380" s="4" t="n"/>
    </row>
    <row r="1381">
      <c r="A1381" s="22" t="n"/>
      <c r="B1381" s="22" t="n"/>
      <c r="C1381" s="22" t="n"/>
      <c r="D1381" s="22">
        <f>IF(A1381="","",IF(OR(N(B1381)&gt;=$C$2,N(C1381)&gt;=$E$2),"High",IF(OR(N(B1381)&gt;0,N(C1381)&gt;0),"Medium","Low")))</f>
        <v/>
      </c>
      <c r="E1381" s="22" t="n"/>
      <c r="F1381" s="22" t="n"/>
      <c r="G1381" s="22" t="n"/>
      <c r="H1381" s="22" t="n"/>
      <c r="I1381" s="22" t="n"/>
      <c r="J1381" s="22" t="n"/>
      <c r="K1381" s="22" t="n"/>
      <c r="L1381" s="22" t="n"/>
      <c r="M1381" s="22">
        <f>IF(K1381="Override",L1381,IF(K1381="Accept suggestion",F1381,IF(K1381="No change (same URL)",A1381,"")))</f>
        <v/>
      </c>
      <c r="N1381" s="22">
        <f>IF(A1381="","",IF(K1381="410 Gone","410",IF(K1381="404","404",IF(K1381="No change (same URL)","none",IF(M1381="","","301")))))</f>
        <v/>
      </c>
      <c r="O1381" s="22">
        <f>IF(A1381="","",IFERROR(MID(A1381,FIND("/",A1381,FIND("//",A1381)+2),2000),A1381))</f>
        <v/>
      </c>
      <c r="P1381" s="22">
        <f>IF(OR(O1381="",N1381="",N1381="none",N1381="404"),"",IF(N1381="410","Redirect gone "&amp;O1381,"Redirect "&amp;N1381&amp;" "&amp;O1381&amp;" "&amp;M1381))</f>
        <v/>
      </c>
      <c r="Q1381" s="22" t="n"/>
      <c r="R1381" s="22" t="n"/>
      <c r="S1381" s="22" t="n"/>
      <c r="T1381" s="4">
        <f>IF(A1381="","",TRIM(IF(K1381="","Needs decision; ","")&amp;IF(AND(K1381="Accept suggestion",F1381=""),"No suggestion to accept; ","")&amp;IF(AND(K1381="Override",L1381=""),"Override URL missing; ","")&amp;IF(AND(K1381="Accept suggestion",N(G1381)&lt;$G$2),"Below your threshold; ","")&amp;IF(AND(M1381&lt;&gt;"",M1381=A1381,K1381&lt;&gt;"No change (same URL)"),"Redirects to itself; ","")&amp;IF(AND(M1381&lt;&gt;"",OR(M1381="/",AND(LEFT(M1381,4)="http",OR((LEN(M1381)-LEN(SUBSTITUTE(M1381,"/","")))=2,AND((LEN(M1381)-LEN(SUBSTITUTE(M1381,"/","")))=3,RIGHT(M1381,1)="/"))))),"Home page redirect; ","")&amp;IF(N(R1381)&gt;1,"Chain; ","")&amp;IF(S1381="No","Destination not 200; ","")))</f>
        <v/>
      </c>
      <c r="U1381" s="22" t="n"/>
      <c r="V1381" s="22" t="n"/>
      <c r="W1381" s="4" t="n"/>
    </row>
    <row r="1382">
      <c r="A1382" s="22" t="n"/>
      <c r="B1382" s="22" t="n"/>
      <c r="C1382" s="22" t="n"/>
      <c r="D1382" s="22">
        <f>IF(A1382="","",IF(OR(N(B1382)&gt;=$C$2,N(C1382)&gt;=$E$2),"High",IF(OR(N(B1382)&gt;0,N(C1382)&gt;0),"Medium","Low")))</f>
        <v/>
      </c>
      <c r="E1382" s="22" t="n"/>
      <c r="F1382" s="22" t="n"/>
      <c r="G1382" s="22" t="n"/>
      <c r="H1382" s="22" t="n"/>
      <c r="I1382" s="22" t="n"/>
      <c r="J1382" s="22" t="n"/>
      <c r="K1382" s="22" t="n"/>
      <c r="L1382" s="22" t="n"/>
      <c r="M1382" s="22">
        <f>IF(K1382="Override",L1382,IF(K1382="Accept suggestion",F1382,IF(K1382="No change (same URL)",A1382,"")))</f>
        <v/>
      </c>
      <c r="N1382" s="22">
        <f>IF(A1382="","",IF(K1382="410 Gone","410",IF(K1382="404","404",IF(K1382="No change (same URL)","none",IF(M1382="","","301")))))</f>
        <v/>
      </c>
      <c r="O1382" s="22">
        <f>IF(A1382="","",IFERROR(MID(A1382,FIND("/",A1382,FIND("//",A1382)+2),2000),A1382))</f>
        <v/>
      </c>
      <c r="P1382" s="22">
        <f>IF(OR(O1382="",N1382="",N1382="none",N1382="404"),"",IF(N1382="410","Redirect gone "&amp;O1382,"Redirect "&amp;N1382&amp;" "&amp;O1382&amp;" "&amp;M1382))</f>
        <v/>
      </c>
      <c r="Q1382" s="22" t="n"/>
      <c r="R1382" s="22" t="n"/>
      <c r="S1382" s="22" t="n"/>
      <c r="T1382" s="4">
        <f>IF(A1382="","",TRIM(IF(K1382="","Needs decision; ","")&amp;IF(AND(K1382="Accept suggestion",F1382=""),"No suggestion to accept; ","")&amp;IF(AND(K1382="Override",L1382=""),"Override URL missing; ","")&amp;IF(AND(K1382="Accept suggestion",N(G1382)&lt;$G$2),"Below your threshold; ","")&amp;IF(AND(M1382&lt;&gt;"",M1382=A1382,K1382&lt;&gt;"No change (same URL)"),"Redirects to itself; ","")&amp;IF(AND(M1382&lt;&gt;"",OR(M1382="/",AND(LEFT(M1382,4)="http",OR((LEN(M1382)-LEN(SUBSTITUTE(M1382,"/","")))=2,AND((LEN(M1382)-LEN(SUBSTITUTE(M1382,"/","")))=3,RIGHT(M1382,1)="/"))))),"Home page redirect; ","")&amp;IF(N(R1382)&gt;1,"Chain; ","")&amp;IF(S1382="No","Destination not 200; ","")))</f>
        <v/>
      </c>
      <c r="U1382" s="22" t="n"/>
      <c r="V1382" s="22" t="n"/>
      <c r="W1382" s="4" t="n"/>
    </row>
    <row r="1383">
      <c r="A1383" s="22" t="n"/>
      <c r="B1383" s="22" t="n"/>
      <c r="C1383" s="22" t="n"/>
      <c r="D1383" s="22">
        <f>IF(A1383="","",IF(OR(N(B1383)&gt;=$C$2,N(C1383)&gt;=$E$2),"High",IF(OR(N(B1383)&gt;0,N(C1383)&gt;0),"Medium","Low")))</f>
        <v/>
      </c>
      <c r="E1383" s="22" t="n"/>
      <c r="F1383" s="22" t="n"/>
      <c r="G1383" s="22" t="n"/>
      <c r="H1383" s="22" t="n"/>
      <c r="I1383" s="22" t="n"/>
      <c r="J1383" s="22" t="n"/>
      <c r="K1383" s="22" t="n"/>
      <c r="L1383" s="22" t="n"/>
      <c r="M1383" s="22">
        <f>IF(K1383="Override",L1383,IF(K1383="Accept suggestion",F1383,IF(K1383="No change (same URL)",A1383,"")))</f>
        <v/>
      </c>
      <c r="N1383" s="22">
        <f>IF(A1383="","",IF(K1383="410 Gone","410",IF(K1383="404","404",IF(K1383="No change (same URL)","none",IF(M1383="","","301")))))</f>
        <v/>
      </c>
      <c r="O1383" s="22">
        <f>IF(A1383="","",IFERROR(MID(A1383,FIND("/",A1383,FIND("//",A1383)+2),2000),A1383))</f>
        <v/>
      </c>
      <c r="P1383" s="22">
        <f>IF(OR(O1383="",N1383="",N1383="none",N1383="404"),"",IF(N1383="410","Redirect gone "&amp;O1383,"Redirect "&amp;N1383&amp;" "&amp;O1383&amp;" "&amp;M1383))</f>
        <v/>
      </c>
      <c r="Q1383" s="22" t="n"/>
      <c r="R1383" s="22" t="n"/>
      <c r="S1383" s="22" t="n"/>
      <c r="T1383" s="4">
        <f>IF(A1383="","",TRIM(IF(K1383="","Needs decision; ","")&amp;IF(AND(K1383="Accept suggestion",F1383=""),"No suggestion to accept; ","")&amp;IF(AND(K1383="Override",L1383=""),"Override URL missing; ","")&amp;IF(AND(K1383="Accept suggestion",N(G1383)&lt;$G$2),"Below your threshold; ","")&amp;IF(AND(M1383&lt;&gt;"",M1383=A1383,K1383&lt;&gt;"No change (same URL)"),"Redirects to itself; ","")&amp;IF(AND(M1383&lt;&gt;"",OR(M1383="/",AND(LEFT(M1383,4)="http",OR((LEN(M1383)-LEN(SUBSTITUTE(M1383,"/","")))=2,AND((LEN(M1383)-LEN(SUBSTITUTE(M1383,"/","")))=3,RIGHT(M1383,1)="/"))))),"Home page redirect; ","")&amp;IF(N(R1383)&gt;1,"Chain; ","")&amp;IF(S1383="No","Destination not 200; ","")))</f>
        <v/>
      </c>
      <c r="U1383" s="22" t="n"/>
      <c r="V1383" s="22" t="n"/>
      <c r="W1383" s="4" t="n"/>
    </row>
    <row r="1384">
      <c r="A1384" s="22" t="n"/>
      <c r="B1384" s="22" t="n"/>
      <c r="C1384" s="22" t="n"/>
      <c r="D1384" s="22">
        <f>IF(A1384="","",IF(OR(N(B1384)&gt;=$C$2,N(C1384)&gt;=$E$2),"High",IF(OR(N(B1384)&gt;0,N(C1384)&gt;0),"Medium","Low")))</f>
        <v/>
      </c>
      <c r="E1384" s="22" t="n"/>
      <c r="F1384" s="22" t="n"/>
      <c r="G1384" s="22" t="n"/>
      <c r="H1384" s="22" t="n"/>
      <c r="I1384" s="22" t="n"/>
      <c r="J1384" s="22" t="n"/>
      <c r="K1384" s="22" t="n"/>
      <c r="L1384" s="22" t="n"/>
      <c r="M1384" s="22">
        <f>IF(K1384="Override",L1384,IF(K1384="Accept suggestion",F1384,IF(K1384="No change (same URL)",A1384,"")))</f>
        <v/>
      </c>
      <c r="N1384" s="22">
        <f>IF(A1384="","",IF(K1384="410 Gone","410",IF(K1384="404","404",IF(K1384="No change (same URL)","none",IF(M1384="","","301")))))</f>
        <v/>
      </c>
      <c r="O1384" s="22">
        <f>IF(A1384="","",IFERROR(MID(A1384,FIND("/",A1384,FIND("//",A1384)+2),2000),A1384))</f>
        <v/>
      </c>
      <c r="P1384" s="22">
        <f>IF(OR(O1384="",N1384="",N1384="none",N1384="404"),"",IF(N1384="410","Redirect gone "&amp;O1384,"Redirect "&amp;N1384&amp;" "&amp;O1384&amp;" "&amp;M1384))</f>
        <v/>
      </c>
      <c r="Q1384" s="22" t="n"/>
      <c r="R1384" s="22" t="n"/>
      <c r="S1384" s="22" t="n"/>
      <c r="T1384" s="4">
        <f>IF(A1384="","",TRIM(IF(K1384="","Needs decision; ","")&amp;IF(AND(K1384="Accept suggestion",F1384=""),"No suggestion to accept; ","")&amp;IF(AND(K1384="Override",L1384=""),"Override URL missing; ","")&amp;IF(AND(K1384="Accept suggestion",N(G1384)&lt;$G$2),"Below your threshold; ","")&amp;IF(AND(M1384&lt;&gt;"",M1384=A1384,K1384&lt;&gt;"No change (same URL)"),"Redirects to itself; ","")&amp;IF(AND(M1384&lt;&gt;"",OR(M1384="/",AND(LEFT(M1384,4)="http",OR((LEN(M1384)-LEN(SUBSTITUTE(M1384,"/","")))=2,AND((LEN(M1384)-LEN(SUBSTITUTE(M1384,"/","")))=3,RIGHT(M1384,1)="/"))))),"Home page redirect; ","")&amp;IF(N(R1384)&gt;1,"Chain; ","")&amp;IF(S1384="No","Destination not 200; ","")))</f>
        <v/>
      </c>
      <c r="U1384" s="22" t="n"/>
      <c r="V1384" s="22" t="n"/>
      <c r="W1384" s="4" t="n"/>
    </row>
    <row r="1385">
      <c r="A1385" s="22" t="n"/>
      <c r="B1385" s="22" t="n"/>
      <c r="C1385" s="22" t="n"/>
      <c r="D1385" s="22">
        <f>IF(A1385="","",IF(OR(N(B1385)&gt;=$C$2,N(C1385)&gt;=$E$2),"High",IF(OR(N(B1385)&gt;0,N(C1385)&gt;0),"Medium","Low")))</f>
        <v/>
      </c>
      <c r="E1385" s="22" t="n"/>
      <c r="F1385" s="22" t="n"/>
      <c r="G1385" s="22" t="n"/>
      <c r="H1385" s="22" t="n"/>
      <c r="I1385" s="22" t="n"/>
      <c r="J1385" s="22" t="n"/>
      <c r="K1385" s="22" t="n"/>
      <c r="L1385" s="22" t="n"/>
      <c r="M1385" s="22">
        <f>IF(K1385="Override",L1385,IF(K1385="Accept suggestion",F1385,IF(K1385="No change (same URL)",A1385,"")))</f>
        <v/>
      </c>
      <c r="N1385" s="22">
        <f>IF(A1385="","",IF(K1385="410 Gone","410",IF(K1385="404","404",IF(K1385="No change (same URL)","none",IF(M1385="","","301")))))</f>
        <v/>
      </c>
      <c r="O1385" s="22">
        <f>IF(A1385="","",IFERROR(MID(A1385,FIND("/",A1385,FIND("//",A1385)+2),2000),A1385))</f>
        <v/>
      </c>
      <c r="P1385" s="22">
        <f>IF(OR(O1385="",N1385="",N1385="none",N1385="404"),"",IF(N1385="410","Redirect gone "&amp;O1385,"Redirect "&amp;N1385&amp;" "&amp;O1385&amp;" "&amp;M1385))</f>
        <v/>
      </c>
      <c r="Q1385" s="22" t="n"/>
      <c r="R1385" s="22" t="n"/>
      <c r="S1385" s="22" t="n"/>
      <c r="T1385" s="4">
        <f>IF(A1385="","",TRIM(IF(K1385="","Needs decision; ","")&amp;IF(AND(K1385="Accept suggestion",F1385=""),"No suggestion to accept; ","")&amp;IF(AND(K1385="Override",L1385=""),"Override URL missing; ","")&amp;IF(AND(K1385="Accept suggestion",N(G1385)&lt;$G$2),"Below your threshold; ","")&amp;IF(AND(M1385&lt;&gt;"",M1385=A1385,K1385&lt;&gt;"No change (same URL)"),"Redirects to itself; ","")&amp;IF(AND(M1385&lt;&gt;"",OR(M1385="/",AND(LEFT(M1385,4)="http",OR((LEN(M1385)-LEN(SUBSTITUTE(M1385,"/","")))=2,AND((LEN(M1385)-LEN(SUBSTITUTE(M1385,"/","")))=3,RIGHT(M1385,1)="/"))))),"Home page redirect; ","")&amp;IF(N(R1385)&gt;1,"Chain; ","")&amp;IF(S1385="No","Destination not 200; ","")))</f>
        <v/>
      </c>
      <c r="U1385" s="22" t="n"/>
      <c r="V1385" s="22" t="n"/>
      <c r="W1385" s="4" t="n"/>
    </row>
    <row r="1386">
      <c r="A1386" s="22" t="n"/>
      <c r="B1386" s="22" t="n"/>
      <c r="C1386" s="22" t="n"/>
      <c r="D1386" s="22">
        <f>IF(A1386="","",IF(OR(N(B1386)&gt;=$C$2,N(C1386)&gt;=$E$2),"High",IF(OR(N(B1386)&gt;0,N(C1386)&gt;0),"Medium","Low")))</f>
        <v/>
      </c>
      <c r="E1386" s="22" t="n"/>
      <c r="F1386" s="22" t="n"/>
      <c r="G1386" s="22" t="n"/>
      <c r="H1386" s="22" t="n"/>
      <c r="I1386" s="22" t="n"/>
      <c r="J1386" s="22" t="n"/>
      <c r="K1386" s="22" t="n"/>
      <c r="L1386" s="22" t="n"/>
      <c r="M1386" s="22">
        <f>IF(K1386="Override",L1386,IF(K1386="Accept suggestion",F1386,IF(K1386="No change (same URL)",A1386,"")))</f>
        <v/>
      </c>
      <c r="N1386" s="22">
        <f>IF(A1386="","",IF(K1386="410 Gone","410",IF(K1386="404","404",IF(K1386="No change (same URL)","none",IF(M1386="","","301")))))</f>
        <v/>
      </c>
      <c r="O1386" s="22">
        <f>IF(A1386="","",IFERROR(MID(A1386,FIND("/",A1386,FIND("//",A1386)+2),2000),A1386))</f>
        <v/>
      </c>
      <c r="P1386" s="22">
        <f>IF(OR(O1386="",N1386="",N1386="none",N1386="404"),"",IF(N1386="410","Redirect gone "&amp;O1386,"Redirect "&amp;N1386&amp;" "&amp;O1386&amp;" "&amp;M1386))</f>
        <v/>
      </c>
      <c r="Q1386" s="22" t="n"/>
      <c r="R1386" s="22" t="n"/>
      <c r="S1386" s="22" t="n"/>
      <c r="T1386" s="4">
        <f>IF(A1386="","",TRIM(IF(K1386="","Needs decision; ","")&amp;IF(AND(K1386="Accept suggestion",F1386=""),"No suggestion to accept; ","")&amp;IF(AND(K1386="Override",L1386=""),"Override URL missing; ","")&amp;IF(AND(K1386="Accept suggestion",N(G1386)&lt;$G$2),"Below your threshold; ","")&amp;IF(AND(M1386&lt;&gt;"",M1386=A1386,K1386&lt;&gt;"No change (same URL)"),"Redirects to itself; ","")&amp;IF(AND(M1386&lt;&gt;"",OR(M1386="/",AND(LEFT(M1386,4)="http",OR((LEN(M1386)-LEN(SUBSTITUTE(M1386,"/","")))=2,AND((LEN(M1386)-LEN(SUBSTITUTE(M1386,"/","")))=3,RIGHT(M1386,1)="/"))))),"Home page redirect; ","")&amp;IF(N(R1386)&gt;1,"Chain; ","")&amp;IF(S1386="No","Destination not 200; ","")))</f>
        <v/>
      </c>
      <c r="U1386" s="22" t="n"/>
      <c r="V1386" s="22" t="n"/>
      <c r="W1386" s="4" t="n"/>
    </row>
    <row r="1387">
      <c r="A1387" s="22" t="n"/>
      <c r="B1387" s="22" t="n"/>
      <c r="C1387" s="22" t="n"/>
      <c r="D1387" s="22">
        <f>IF(A1387="","",IF(OR(N(B1387)&gt;=$C$2,N(C1387)&gt;=$E$2),"High",IF(OR(N(B1387)&gt;0,N(C1387)&gt;0),"Medium","Low")))</f>
        <v/>
      </c>
      <c r="E1387" s="22" t="n"/>
      <c r="F1387" s="22" t="n"/>
      <c r="G1387" s="22" t="n"/>
      <c r="H1387" s="22" t="n"/>
      <c r="I1387" s="22" t="n"/>
      <c r="J1387" s="22" t="n"/>
      <c r="K1387" s="22" t="n"/>
      <c r="L1387" s="22" t="n"/>
      <c r="M1387" s="22">
        <f>IF(K1387="Override",L1387,IF(K1387="Accept suggestion",F1387,IF(K1387="No change (same URL)",A1387,"")))</f>
        <v/>
      </c>
      <c r="N1387" s="22">
        <f>IF(A1387="","",IF(K1387="410 Gone","410",IF(K1387="404","404",IF(K1387="No change (same URL)","none",IF(M1387="","","301")))))</f>
        <v/>
      </c>
      <c r="O1387" s="22">
        <f>IF(A1387="","",IFERROR(MID(A1387,FIND("/",A1387,FIND("//",A1387)+2),2000),A1387))</f>
        <v/>
      </c>
      <c r="P1387" s="22">
        <f>IF(OR(O1387="",N1387="",N1387="none",N1387="404"),"",IF(N1387="410","Redirect gone "&amp;O1387,"Redirect "&amp;N1387&amp;" "&amp;O1387&amp;" "&amp;M1387))</f>
        <v/>
      </c>
      <c r="Q1387" s="22" t="n"/>
      <c r="R1387" s="22" t="n"/>
      <c r="S1387" s="22" t="n"/>
      <c r="T1387" s="4">
        <f>IF(A1387="","",TRIM(IF(K1387="","Needs decision; ","")&amp;IF(AND(K1387="Accept suggestion",F1387=""),"No suggestion to accept; ","")&amp;IF(AND(K1387="Override",L1387=""),"Override URL missing; ","")&amp;IF(AND(K1387="Accept suggestion",N(G1387)&lt;$G$2),"Below your threshold; ","")&amp;IF(AND(M1387&lt;&gt;"",M1387=A1387,K1387&lt;&gt;"No change (same URL)"),"Redirects to itself; ","")&amp;IF(AND(M1387&lt;&gt;"",OR(M1387="/",AND(LEFT(M1387,4)="http",OR((LEN(M1387)-LEN(SUBSTITUTE(M1387,"/","")))=2,AND((LEN(M1387)-LEN(SUBSTITUTE(M1387,"/","")))=3,RIGHT(M1387,1)="/"))))),"Home page redirect; ","")&amp;IF(N(R1387)&gt;1,"Chain; ","")&amp;IF(S1387="No","Destination not 200; ","")))</f>
        <v/>
      </c>
      <c r="U1387" s="22" t="n"/>
      <c r="V1387" s="22" t="n"/>
      <c r="W1387" s="4" t="n"/>
    </row>
    <row r="1388">
      <c r="A1388" s="22" t="n"/>
      <c r="B1388" s="22" t="n"/>
      <c r="C1388" s="22" t="n"/>
      <c r="D1388" s="22">
        <f>IF(A1388="","",IF(OR(N(B1388)&gt;=$C$2,N(C1388)&gt;=$E$2),"High",IF(OR(N(B1388)&gt;0,N(C1388)&gt;0),"Medium","Low")))</f>
        <v/>
      </c>
      <c r="E1388" s="22" t="n"/>
      <c r="F1388" s="22" t="n"/>
      <c r="G1388" s="22" t="n"/>
      <c r="H1388" s="22" t="n"/>
      <c r="I1388" s="22" t="n"/>
      <c r="J1388" s="22" t="n"/>
      <c r="K1388" s="22" t="n"/>
      <c r="L1388" s="22" t="n"/>
      <c r="M1388" s="22">
        <f>IF(K1388="Override",L1388,IF(K1388="Accept suggestion",F1388,IF(K1388="No change (same URL)",A1388,"")))</f>
        <v/>
      </c>
      <c r="N1388" s="22">
        <f>IF(A1388="","",IF(K1388="410 Gone","410",IF(K1388="404","404",IF(K1388="No change (same URL)","none",IF(M1388="","","301")))))</f>
        <v/>
      </c>
      <c r="O1388" s="22">
        <f>IF(A1388="","",IFERROR(MID(A1388,FIND("/",A1388,FIND("//",A1388)+2),2000),A1388))</f>
        <v/>
      </c>
      <c r="P1388" s="22">
        <f>IF(OR(O1388="",N1388="",N1388="none",N1388="404"),"",IF(N1388="410","Redirect gone "&amp;O1388,"Redirect "&amp;N1388&amp;" "&amp;O1388&amp;" "&amp;M1388))</f>
        <v/>
      </c>
      <c r="Q1388" s="22" t="n"/>
      <c r="R1388" s="22" t="n"/>
      <c r="S1388" s="22" t="n"/>
      <c r="T1388" s="4">
        <f>IF(A1388="","",TRIM(IF(K1388="","Needs decision; ","")&amp;IF(AND(K1388="Accept suggestion",F1388=""),"No suggestion to accept; ","")&amp;IF(AND(K1388="Override",L1388=""),"Override URL missing; ","")&amp;IF(AND(K1388="Accept suggestion",N(G1388)&lt;$G$2),"Below your threshold; ","")&amp;IF(AND(M1388&lt;&gt;"",M1388=A1388,K1388&lt;&gt;"No change (same URL)"),"Redirects to itself; ","")&amp;IF(AND(M1388&lt;&gt;"",OR(M1388="/",AND(LEFT(M1388,4)="http",OR((LEN(M1388)-LEN(SUBSTITUTE(M1388,"/","")))=2,AND((LEN(M1388)-LEN(SUBSTITUTE(M1388,"/","")))=3,RIGHT(M1388,1)="/"))))),"Home page redirect; ","")&amp;IF(N(R1388)&gt;1,"Chain; ","")&amp;IF(S1388="No","Destination not 200; ","")))</f>
        <v/>
      </c>
      <c r="U1388" s="22" t="n"/>
      <c r="V1388" s="22" t="n"/>
      <c r="W1388" s="4" t="n"/>
    </row>
    <row r="1389">
      <c r="A1389" s="22" t="n"/>
      <c r="B1389" s="22" t="n"/>
      <c r="C1389" s="22" t="n"/>
      <c r="D1389" s="22">
        <f>IF(A1389="","",IF(OR(N(B1389)&gt;=$C$2,N(C1389)&gt;=$E$2),"High",IF(OR(N(B1389)&gt;0,N(C1389)&gt;0),"Medium","Low")))</f>
        <v/>
      </c>
      <c r="E1389" s="22" t="n"/>
      <c r="F1389" s="22" t="n"/>
      <c r="G1389" s="22" t="n"/>
      <c r="H1389" s="22" t="n"/>
      <c r="I1389" s="22" t="n"/>
      <c r="J1389" s="22" t="n"/>
      <c r="K1389" s="22" t="n"/>
      <c r="L1389" s="22" t="n"/>
      <c r="M1389" s="22">
        <f>IF(K1389="Override",L1389,IF(K1389="Accept suggestion",F1389,IF(K1389="No change (same URL)",A1389,"")))</f>
        <v/>
      </c>
      <c r="N1389" s="22">
        <f>IF(A1389="","",IF(K1389="410 Gone","410",IF(K1389="404","404",IF(K1389="No change (same URL)","none",IF(M1389="","","301")))))</f>
        <v/>
      </c>
      <c r="O1389" s="22">
        <f>IF(A1389="","",IFERROR(MID(A1389,FIND("/",A1389,FIND("//",A1389)+2),2000),A1389))</f>
        <v/>
      </c>
      <c r="P1389" s="22">
        <f>IF(OR(O1389="",N1389="",N1389="none",N1389="404"),"",IF(N1389="410","Redirect gone "&amp;O1389,"Redirect "&amp;N1389&amp;" "&amp;O1389&amp;" "&amp;M1389))</f>
        <v/>
      </c>
      <c r="Q1389" s="22" t="n"/>
      <c r="R1389" s="22" t="n"/>
      <c r="S1389" s="22" t="n"/>
      <c r="T1389" s="4">
        <f>IF(A1389="","",TRIM(IF(K1389="","Needs decision; ","")&amp;IF(AND(K1389="Accept suggestion",F1389=""),"No suggestion to accept; ","")&amp;IF(AND(K1389="Override",L1389=""),"Override URL missing; ","")&amp;IF(AND(K1389="Accept suggestion",N(G1389)&lt;$G$2),"Below your threshold; ","")&amp;IF(AND(M1389&lt;&gt;"",M1389=A1389,K1389&lt;&gt;"No change (same URL)"),"Redirects to itself; ","")&amp;IF(AND(M1389&lt;&gt;"",OR(M1389="/",AND(LEFT(M1389,4)="http",OR((LEN(M1389)-LEN(SUBSTITUTE(M1389,"/","")))=2,AND((LEN(M1389)-LEN(SUBSTITUTE(M1389,"/","")))=3,RIGHT(M1389,1)="/"))))),"Home page redirect; ","")&amp;IF(N(R1389)&gt;1,"Chain; ","")&amp;IF(S1389="No","Destination not 200; ","")))</f>
        <v/>
      </c>
      <c r="U1389" s="22" t="n"/>
      <c r="V1389" s="22" t="n"/>
      <c r="W1389" s="4" t="n"/>
    </row>
    <row r="1390">
      <c r="A1390" s="22" t="n"/>
      <c r="B1390" s="22" t="n"/>
      <c r="C1390" s="22" t="n"/>
      <c r="D1390" s="22">
        <f>IF(A1390="","",IF(OR(N(B1390)&gt;=$C$2,N(C1390)&gt;=$E$2),"High",IF(OR(N(B1390)&gt;0,N(C1390)&gt;0),"Medium","Low")))</f>
        <v/>
      </c>
      <c r="E1390" s="22" t="n"/>
      <c r="F1390" s="22" t="n"/>
      <c r="G1390" s="22" t="n"/>
      <c r="H1390" s="22" t="n"/>
      <c r="I1390" s="22" t="n"/>
      <c r="J1390" s="22" t="n"/>
      <c r="K1390" s="22" t="n"/>
      <c r="L1390" s="22" t="n"/>
      <c r="M1390" s="22">
        <f>IF(K1390="Override",L1390,IF(K1390="Accept suggestion",F1390,IF(K1390="No change (same URL)",A1390,"")))</f>
        <v/>
      </c>
      <c r="N1390" s="22">
        <f>IF(A1390="","",IF(K1390="410 Gone","410",IF(K1390="404","404",IF(K1390="No change (same URL)","none",IF(M1390="","","301")))))</f>
        <v/>
      </c>
      <c r="O1390" s="22">
        <f>IF(A1390="","",IFERROR(MID(A1390,FIND("/",A1390,FIND("//",A1390)+2),2000),A1390))</f>
        <v/>
      </c>
      <c r="P1390" s="22">
        <f>IF(OR(O1390="",N1390="",N1390="none",N1390="404"),"",IF(N1390="410","Redirect gone "&amp;O1390,"Redirect "&amp;N1390&amp;" "&amp;O1390&amp;" "&amp;M1390))</f>
        <v/>
      </c>
      <c r="Q1390" s="22" t="n"/>
      <c r="R1390" s="22" t="n"/>
      <c r="S1390" s="22" t="n"/>
      <c r="T1390" s="4">
        <f>IF(A1390="","",TRIM(IF(K1390="","Needs decision; ","")&amp;IF(AND(K1390="Accept suggestion",F1390=""),"No suggestion to accept; ","")&amp;IF(AND(K1390="Override",L1390=""),"Override URL missing; ","")&amp;IF(AND(K1390="Accept suggestion",N(G1390)&lt;$G$2),"Below your threshold; ","")&amp;IF(AND(M1390&lt;&gt;"",M1390=A1390,K1390&lt;&gt;"No change (same URL)"),"Redirects to itself; ","")&amp;IF(AND(M1390&lt;&gt;"",OR(M1390="/",AND(LEFT(M1390,4)="http",OR((LEN(M1390)-LEN(SUBSTITUTE(M1390,"/","")))=2,AND((LEN(M1390)-LEN(SUBSTITUTE(M1390,"/","")))=3,RIGHT(M1390,1)="/"))))),"Home page redirect; ","")&amp;IF(N(R1390)&gt;1,"Chain; ","")&amp;IF(S1390="No","Destination not 200; ","")))</f>
        <v/>
      </c>
      <c r="U1390" s="22" t="n"/>
      <c r="V1390" s="22" t="n"/>
      <c r="W1390" s="4" t="n"/>
    </row>
    <row r="1391">
      <c r="A1391" s="22" t="n"/>
      <c r="B1391" s="22" t="n"/>
      <c r="C1391" s="22" t="n"/>
      <c r="D1391" s="22">
        <f>IF(A1391="","",IF(OR(N(B1391)&gt;=$C$2,N(C1391)&gt;=$E$2),"High",IF(OR(N(B1391)&gt;0,N(C1391)&gt;0),"Medium","Low")))</f>
        <v/>
      </c>
      <c r="E1391" s="22" t="n"/>
      <c r="F1391" s="22" t="n"/>
      <c r="G1391" s="22" t="n"/>
      <c r="H1391" s="22" t="n"/>
      <c r="I1391" s="22" t="n"/>
      <c r="J1391" s="22" t="n"/>
      <c r="K1391" s="22" t="n"/>
      <c r="L1391" s="22" t="n"/>
      <c r="M1391" s="22">
        <f>IF(K1391="Override",L1391,IF(K1391="Accept suggestion",F1391,IF(K1391="No change (same URL)",A1391,"")))</f>
        <v/>
      </c>
      <c r="N1391" s="22">
        <f>IF(A1391="","",IF(K1391="410 Gone","410",IF(K1391="404","404",IF(K1391="No change (same URL)","none",IF(M1391="","","301")))))</f>
        <v/>
      </c>
      <c r="O1391" s="22">
        <f>IF(A1391="","",IFERROR(MID(A1391,FIND("/",A1391,FIND("//",A1391)+2),2000),A1391))</f>
        <v/>
      </c>
      <c r="P1391" s="22">
        <f>IF(OR(O1391="",N1391="",N1391="none",N1391="404"),"",IF(N1391="410","Redirect gone "&amp;O1391,"Redirect "&amp;N1391&amp;" "&amp;O1391&amp;" "&amp;M1391))</f>
        <v/>
      </c>
      <c r="Q1391" s="22" t="n"/>
      <c r="R1391" s="22" t="n"/>
      <c r="S1391" s="22" t="n"/>
      <c r="T1391" s="4">
        <f>IF(A1391="","",TRIM(IF(K1391="","Needs decision; ","")&amp;IF(AND(K1391="Accept suggestion",F1391=""),"No suggestion to accept; ","")&amp;IF(AND(K1391="Override",L1391=""),"Override URL missing; ","")&amp;IF(AND(K1391="Accept suggestion",N(G1391)&lt;$G$2),"Below your threshold; ","")&amp;IF(AND(M1391&lt;&gt;"",M1391=A1391,K1391&lt;&gt;"No change (same URL)"),"Redirects to itself; ","")&amp;IF(AND(M1391&lt;&gt;"",OR(M1391="/",AND(LEFT(M1391,4)="http",OR((LEN(M1391)-LEN(SUBSTITUTE(M1391,"/","")))=2,AND((LEN(M1391)-LEN(SUBSTITUTE(M1391,"/","")))=3,RIGHT(M1391,1)="/"))))),"Home page redirect; ","")&amp;IF(N(R1391)&gt;1,"Chain; ","")&amp;IF(S1391="No","Destination not 200; ","")))</f>
        <v/>
      </c>
      <c r="U1391" s="22" t="n"/>
      <c r="V1391" s="22" t="n"/>
      <c r="W1391" s="4" t="n"/>
    </row>
    <row r="1392">
      <c r="A1392" s="22" t="n"/>
      <c r="B1392" s="22" t="n"/>
      <c r="C1392" s="22" t="n"/>
      <c r="D1392" s="22">
        <f>IF(A1392="","",IF(OR(N(B1392)&gt;=$C$2,N(C1392)&gt;=$E$2),"High",IF(OR(N(B1392)&gt;0,N(C1392)&gt;0),"Medium","Low")))</f>
        <v/>
      </c>
      <c r="E1392" s="22" t="n"/>
      <c r="F1392" s="22" t="n"/>
      <c r="G1392" s="22" t="n"/>
      <c r="H1392" s="22" t="n"/>
      <c r="I1392" s="22" t="n"/>
      <c r="J1392" s="22" t="n"/>
      <c r="K1392" s="22" t="n"/>
      <c r="L1392" s="22" t="n"/>
      <c r="M1392" s="22">
        <f>IF(K1392="Override",L1392,IF(K1392="Accept suggestion",F1392,IF(K1392="No change (same URL)",A1392,"")))</f>
        <v/>
      </c>
      <c r="N1392" s="22">
        <f>IF(A1392="","",IF(K1392="410 Gone","410",IF(K1392="404","404",IF(K1392="No change (same URL)","none",IF(M1392="","","301")))))</f>
        <v/>
      </c>
      <c r="O1392" s="22">
        <f>IF(A1392="","",IFERROR(MID(A1392,FIND("/",A1392,FIND("//",A1392)+2),2000),A1392))</f>
        <v/>
      </c>
      <c r="P1392" s="22">
        <f>IF(OR(O1392="",N1392="",N1392="none",N1392="404"),"",IF(N1392="410","Redirect gone "&amp;O1392,"Redirect "&amp;N1392&amp;" "&amp;O1392&amp;" "&amp;M1392))</f>
        <v/>
      </c>
      <c r="Q1392" s="22" t="n"/>
      <c r="R1392" s="22" t="n"/>
      <c r="S1392" s="22" t="n"/>
      <c r="T1392" s="4">
        <f>IF(A1392="","",TRIM(IF(K1392="","Needs decision; ","")&amp;IF(AND(K1392="Accept suggestion",F1392=""),"No suggestion to accept; ","")&amp;IF(AND(K1392="Override",L1392=""),"Override URL missing; ","")&amp;IF(AND(K1392="Accept suggestion",N(G1392)&lt;$G$2),"Below your threshold; ","")&amp;IF(AND(M1392&lt;&gt;"",M1392=A1392,K1392&lt;&gt;"No change (same URL)"),"Redirects to itself; ","")&amp;IF(AND(M1392&lt;&gt;"",OR(M1392="/",AND(LEFT(M1392,4)="http",OR((LEN(M1392)-LEN(SUBSTITUTE(M1392,"/","")))=2,AND((LEN(M1392)-LEN(SUBSTITUTE(M1392,"/","")))=3,RIGHT(M1392,1)="/"))))),"Home page redirect; ","")&amp;IF(N(R1392)&gt;1,"Chain; ","")&amp;IF(S1392="No","Destination not 200; ","")))</f>
        <v/>
      </c>
      <c r="U1392" s="22" t="n"/>
      <c r="V1392" s="22" t="n"/>
      <c r="W1392" s="4" t="n"/>
    </row>
    <row r="1393">
      <c r="A1393" s="22" t="n"/>
      <c r="B1393" s="22" t="n"/>
      <c r="C1393" s="22" t="n"/>
      <c r="D1393" s="22">
        <f>IF(A1393="","",IF(OR(N(B1393)&gt;=$C$2,N(C1393)&gt;=$E$2),"High",IF(OR(N(B1393)&gt;0,N(C1393)&gt;0),"Medium","Low")))</f>
        <v/>
      </c>
      <c r="E1393" s="22" t="n"/>
      <c r="F1393" s="22" t="n"/>
      <c r="G1393" s="22" t="n"/>
      <c r="H1393" s="22" t="n"/>
      <c r="I1393" s="22" t="n"/>
      <c r="J1393" s="22" t="n"/>
      <c r="K1393" s="22" t="n"/>
      <c r="L1393" s="22" t="n"/>
      <c r="M1393" s="22">
        <f>IF(K1393="Override",L1393,IF(K1393="Accept suggestion",F1393,IF(K1393="No change (same URL)",A1393,"")))</f>
        <v/>
      </c>
      <c r="N1393" s="22">
        <f>IF(A1393="","",IF(K1393="410 Gone","410",IF(K1393="404","404",IF(K1393="No change (same URL)","none",IF(M1393="","","301")))))</f>
        <v/>
      </c>
      <c r="O1393" s="22">
        <f>IF(A1393="","",IFERROR(MID(A1393,FIND("/",A1393,FIND("//",A1393)+2),2000),A1393))</f>
        <v/>
      </c>
      <c r="P1393" s="22">
        <f>IF(OR(O1393="",N1393="",N1393="none",N1393="404"),"",IF(N1393="410","Redirect gone "&amp;O1393,"Redirect "&amp;N1393&amp;" "&amp;O1393&amp;" "&amp;M1393))</f>
        <v/>
      </c>
      <c r="Q1393" s="22" t="n"/>
      <c r="R1393" s="22" t="n"/>
      <c r="S1393" s="22" t="n"/>
      <c r="T1393" s="4">
        <f>IF(A1393="","",TRIM(IF(K1393="","Needs decision; ","")&amp;IF(AND(K1393="Accept suggestion",F1393=""),"No suggestion to accept; ","")&amp;IF(AND(K1393="Override",L1393=""),"Override URL missing; ","")&amp;IF(AND(K1393="Accept suggestion",N(G1393)&lt;$G$2),"Below your threshold; ","")&amp;IF(AND(M1393&lt;&gt;"",M1393=A1393,K1393&lt;&gt;"No change (same URL)"),"Redirects to itself; ","")&amp;IF(AND(M1393&lt;&gt;"",OR(M1393="/",AND(LEFT(M1393,4)="http",OR((LEN(M1393)-LEN(SUBSTITUTE(M1393,"/","")))=2,AND((LEN(M1393)-LEN(SUBSTITUTE(M1393,"/","")))=3,RIGHT(M1393,1)="/"))))),"Home page redirect; ","")&amp;IF(N(R1393)&gt;1,"Chain; ","")&amp;IF(S1393="No","Destination not 200; ","")))</f>
        <v/>
      </c>
      <c r="U1393" s="22" t="n"/>
      <c r="V1393" s="22" t="n"/>
      <c r="W1393" s="4" t="n"/>
    </row>
    <row r="1394">
      <c r="A1394" s="22" t="n"/>
      <c r="B1394" s="22" t="n"/>
      <c r="C1394" s="22" t="n"/>
      <c r="D1394" s="22">
        <f>IF(A1394="","",IF(OR(N(B1394)&gt;=$C$2,N(C1394)&gt;=$E$2),"High",IF(OR(N(B1394)&gt;0,N(C1394)&gt;0),"Medium","Low")))</f>
        <v/>
      </c>
      <c r="E1394" s="22" t="n"/>
      <c r="F1394" s="22" t="n"/>
      <c r="G1394" s="22" t="n"/>
      <c r="H1394" s="22" t="n"/>
      <c r="I1394" s="22" t="n"/>
      <c r="J1394" s="22" t="n"/>
      <c r="K1394" s="22" t="n"/>
      <c r="L1394" s="22" t="n"/>
      <c r="M1394" s="22">
        <f>IF(K1394="Override",L1394,IF(K1394="Accept suggestion",F1394,IF(K1394="No change (same URL)",A1394,"")))</f>
        <v/>
      </c>
      <c r="N1394" s="22">
        <f>IF(A1394="","",IF(K1394="410 Gone","410",IF(K1394="404","404",IF(K1394="No change (same URL)","none",IF(M1394="","","301")))))</f>
        <v/>
      </c>
      <c r="O1394" s="22">
        <f>IF(A1394="","",IFERROR(MID(A1394,FIND("/",A1394,FIND("//",A1394)+2),2000),A1394))</f>
        <v/>
      </c>
      <c r="P1394" s="22">
        <f>IF(OR(O1394="",N1394="",N1394="none",N1394="404"),"",IF(N1394="410","Redirect gone "&amp;O1394,"Redirect "&amp;N1394&amp;" "&amp;O1394&amp;" "&amp;M1394))</f>
        <v/>
      </c>
      <c r="Q1394" s="22" t="n"/>
      <c r="R1394" s="22" t="n"/>
      <c r="S1394" s="22" t="n"/>
      <c r="T1394" s="4">
        <f>IF(A1394="","",TRIM(IF(K1394="","Needs decision; ","")&amp;IF(AND(K1394="Accept suggestion",F1394=""),"No suggestion to accept; ","")&amp;IF(AND(K1394="Override",L1394=""),"Override URL missing; ","")&amp;IF(AND(K1394="Accept suggestion",N(G1394)&lt;$G$2),"Below your threshold; ","")&amp;IF(AND(M1394&lt;&gt;"",M1394=A1394,K1394&lt;&gt;"No change (same URL)"),"Redirects to itself; ","")&amp;IF(AND(M1394&lt;&gt;"",OR(M1394="/",AND(LEFT(M1394,4)="http",OR((LEN(M1394)-LEN(SUBSTITUTE(M1394,"/","")))=2,AND((LEN(M1394)-LEN(SUBSTITUTE(M1394,"/","")))=3,RIGHT(M1394,1)="/"))))),"Home page redirect; ","")&amp;IF(N(R1394)&gt;1,"Chain; ","")&amp;IF(S1394="No","Destination not 200; ","")))</f>
        <v/>
      </c>
      <c r="U1394" s="22" t="n"/>
      <c r="V1394" s="22" t="n"/>
      <c r="W1394" s="4" t="n"/>
    </row>
    <row r="1395">
      <c r="A1395" s="22" t="n"/>
      <c r="B1395" s="22" t="n"/>
      <c r="C1395" s="22" t="n"/>
      <c r="D1395" s="22">
        <f>IF(A1395="","",IF(OR(N(B1395)&gt;=$C$2,N(C1395)&gt;=$E$2),"High",IF(OR(N(B1395)&gt;0,N(C1395)&gt;0),"Medium","Low")))</f>
        <v/>
      </c>
      <c r="E1395" s="22" t="n"/>
      <c r="F1395" s="22" t="n"/>
      <c r="G1395" s="22" t="n"/>
      <c r="H1395" s="22" t="n"/>
      <c r="I1395" s="22" t="n"/>
      <c r="J1395" s="22" t="n"/>
      <c r="K1395" s="22" t="n"/>
      <c r="L1395" s="22" t="n"/>
      <c r="M1395" s="22">
        <f>IF(K1395="Override",L1395,IF(K1395="Accept suggestion",F1395,IF(K1395="No change (same URL)",A1395,"")))</f>
        <v/>
      </c>
      <c r="N1395" s="22">
        <f>IF(A1395="","",IF(K1395="410 Gone","410",IF(K1395="404","404",IF(K1395="No change (same URL)","none",IF(M1395="","","301")))))</f>
        <v/>
      </c>
      <c r="O1395" s="22">
        <f>IF(A1395="","",IFERROR(MID(A1395,FIND("/",A1395,FIND("//",A1395)+2),2000),A1395))</f>
        <v/>
      </c>
      <c r="P1395" s="22">
        <f>IF(OR(O1395="",N1395="",N1395="none",N1395="404"),"",IF(N1395="410","Redirect gone "&amp;O1395,"Redirect "&amp;N1395&amp;" "&amp;O1395&amp;" "&amp;M1395))</f>
        <v/>
      </c>
      <c r="Q1395" s="22" t="n"/>
      <c r="R1395" s="22" t="n"/>
      <c r="S1395" s="22" t="n"/>
      <c r="T1395" s="4">
        <f>IF(A1395="","",TRIM(IF(K1395="","Needs decision; ","")&amp;IF(AND(K1395="Accept suggestion",F1395=""),"No suggestion to accept; ","")&amp;IF(AND(K1395="Override",L1395=""),"Override URL missing; ","")&amp;IF(AND(K1395="Accept suggestion",N(G1395)&lt;$G$2),"Below your threshold; ","")&amp;IF(AND(M1395&lt;&gt;"",M1395=A1395,K1395&lt;&gt;"No change (same URL)"),"Redirects to itself; ","")&amp;IF(AND(M1395&lt;&gt;"",OR(M1395="/",AND(LEFT(M1395,4)="http",OR((LEN(M1395)-LEN(SUBSTITUTE(M1395,"/","")))=2,AND((LEN(M1395)-LEN(SUBSTITUTE(M1395,"/","")))=3,RIGHT(M1395,1)="/"))))),"Home page redirect; ","")&amp;IF(N(R1395)&gt;1,"Chain; ","")&amp;IF(S1395="No","Destination not 200; ","")))</f>
        <v/>
      </c>
      <c r="U1395" s="22" t="n"/>
      <c r="V1395" s="22" t="n"/>
      <c r="W1395" s="4" t="n"/>
    </row>
    <row r="1396">
      <c r="A1396" s="22" t="n"/>
      <c r="B1396" s="22" t="n"/>
      <c r="C1396" s="22" t="n"/>
      <c r="D1396" s="22">
        <f>IF(A1396="","",IF(OR(N(B1396)&gt;=$C$2,N(C1396)&gt;=$E$2),"High",IF(OR(N(B1396)&gt;0,N(C1396)&gt;0),"Medium","Low")))</f>
        <v/>
      </c>
      <c r="E1396" s="22" t="n"/>
      <c r="F1396" s="22" t="n"/>
      <c r="G1396" s="22" t="n"/>
      <c r="H1396" s="22" t="n"/>
      <c r="I1396" s="22" t="n"/>
      <c r="J1396" s="22" t="n"/>
      <c r="K1396" s="22" t="n"/>
      <c r="L1396" s="22" t="n"/>
      <c r="M1396" s="22">
        <f>IF(K1396="Override",L1396,IF(K1396="Accept suggestion",F1396,IF(K1396="No change (same URL)",A1396,"")))</f>
        <v/>
      </c>
      <c r="N1396" s="22">
        <f>IF(A1396="","",IF(K1396="410 Gone","410",IF(K1396="404","404",IF(K1396="No change (same URL)","none",IF(M1396="","","301")))))</f>
        <v/>
      </c>
      <c r="O1396" s="22">
        <f>IF(A1396="","",IFERROR(MID(A1396,FIND("/",A1396,FIND("//",A1396)+2),2000),A1396))</f>
        <v/>
      </c>
      <c r="P1396" s="22">
        <f>IF(OR(O1396="",N1396="",N1396="none",N1396="404"),"",IF(N1396="410","Redirect gone "&amp;O1396,"Redirect "&amp;N1396&amp;" "&amp;O1396&amp;" "&amp;M1396))</f>
        <v/>
      </c>
      <c r="Q1396" s="22" t="n"/>
      <c r="R1396" s="22" t="n"/>
      <c r="S1396" s="22" t="n"/>
      <c r="T1396" s="4">
        <f>IF(A1396="","",TRIM(IF(K1396="","Needs decision; ","")&amp;IF(AND(K1396="Accept suggestion",F1396=""),"No suggestion to accept; ","")&amp;IF(AND(K1396="Override",L1396=""),"Override URL missing; ","")&amp;IF(AND(K1396="Accept suggestion",N(G1396)&lt;$G$2),"Below your threshold; ","")&amp;IF(AND(M1396&lt;&gt;"",M1396=A1396,K1396&lt;&gt;"No change (same URL)"),"Redirects to itself; ","")&amp;IF(AND(M1396&lt;&gt;"",OR(M1396="/",AND(LEFT(M1396,4)="http",OR((LEN(M1396)-LEN(SUBSTITUTE(M1396,"/","")))=2,AND((LEN(M1396)-LEN(SUBSTITUTE(M1396,"/","")))=3,RIGHT(M1396,1)="/"))))),"Home page redirect; ","")&amp;IF(N(R1396)&gt;1,"Chain; ","")&amp;IF(S1396="No","Destination not 200; ","")))</f>
        <v/>
      </c>
      <c r="U1396" s="22" t="n"/>
      <c r="V1396" s="22" t="n"/>
      <c r="W1396" s="4" t="n"/>
    </row>
    <row r="1397">
      <c r="A1397" s="22" t="n"/>
      <c r="B1397" s="22" t="n"/>
      <c r="C1397" s="22" t="n"/>
      <c r="D1397" s="22">
        <f>IF(A1397="","",IF(OR(N(B1397)&gt;=$C$2,N(C1397)&gt;=$E$2),"High",IF(OR(N(B1397)&gt;0,N(C1397)&gt;0),"Medium","Low")))</f>
        <v/>
      </c>
      <c r="E1397" s="22" t="n"/>
      <c r="F1397" s="22" t="n"/>
      <c r="G1397" s="22" t="n"/>
      <c r="H1397" s="22" t="n"/>
      <c r="I1397" s="22" t="n"/>
      <c r="J1397" s="22" t="n"/>
      <c r="K1397" s="22" t="n"/>
      <c r="L1397" s="22" t="n"/>
      <c r="M1397" s="22">
        <f>IF(K1397="Override",L1397,IF(K1397="Accept suggestion",F1397,IF(K1397="No change (same URL)",A1397,"")))</f>
        <v/>
      </c>
      <c r="N1397" s="22">
        <f>IF(A1397="","",IF(K1397="410 Gone","410",IF(K1397="404","404",IF(K1397="No change (same URL)","none",IF(M1397="","","301")))))</f>
        <v/>
      </c>
      <c r="O1397" s="22">
        <f>IF(A1397="","",IFERROR(MID(A1397,FIND("/",A1397,FIND("//",A1397)+2),2000),A1397))</f>
        <v/>
      </c>
      <c r="P1397" s="22">
        <f>IF(OR(O1397="",N1397="",N1397="none",N1397="404"),"",IF(N1397="410","Redirect gone "&amp;O1397,"Redirect "&amp;N1397&amp;" "&amp;O1397&amp;" "&amp;M1397))</f>
        <v/>
      </c>
      <c r="Q1397" s="22" t="n"/>
      <c r="R1397" s="22" t="n"/>
      <c r="S1397" s="22" t="n"/>
      <c r="T1397" s="4">
        <f>IF(A1397="","",TRIM(IF(K1397="","Needs decision; ","")&amp;IF(AND(K1397="Accept suggestion",F1397=""),"No suggestion to accept; ","")&amp;IF(AND(K1397="Override",L1397=""),"Override URL missing; ","")&amp;IF(AND(K1397="Accept suggestion",N(G1397)&lt;$G$2),"Below your threshold; ","")&amp;IF(AND(M1397&lt;&gt;"",M1397=A1397,K1397&lt;&gt;"No change (same URL)"),"Redirects to itself; ","")&amp;IF(AND(M1397&lt;&gt;"",OR(M1397="/",AND(LEFT(M1397,4)="http",OR((LEN(M1397)-LEN(SUBSTITUTE(M1397,"/","")))=2,AND((LEN(M1397)-LEN(SUBSTITUTE(M1397,"/","")))=3,RIGHT(M1397,1)="/"))))),"Home page redirect; ","")&amp;IF(N(R1397)&gt;1,"Chain; ","")&amp;IF(S1397="No","Destination not 200; ","")))</f>
        <v/>
      </c>
      <c r="U1397" s="22" t="n"/>
      <c r="V1397" s="22" t="n"/>
      <c r="W1397" s="4" t="n"/>
    </row>
    <row r="1398">
      <c r="A1398" s="22" t="n"/>
      <c r="B1398" s="22" t="n"/>
      <c r="C1398" s="22" t="n"/>
      <c r="D1398" s="22">
        <f>IF(A1398="","",IF(OR(N(B1398)&gt;=$C$2,N(C1398)&gt;=$E$2),"High",IF(OR(N(B1398)&gt;0,N(C1398)&gt;0),"Medium","Low")))</f>
        <v/>
      </c>
      <c r="E1398" s="22" t="n"/>
      <c r="F1398" s="22" t="n"/>
      <c r="G1398" s="22" t="n"/>
      <c r="H1398" s="22" t="n"/>
      <c r="I1398" s="22" t="n"/>
      <c r="J1398" s="22" t="n"/>
      <c r="K1398" s="22" t="n"/>
      <c r="L1398" s="22" t="n"/>
      <c r="M1398" s="22">
        <f>IF(K1398="Override",L1398,IF(K1398="Accept suggestion",F1398,IF(K1398="No change (same URL)",A1398,"")))</f>
        <v/>
      </c>
      <c r="N1398" s="22">
        <f>IF(A1398="","",IF(K1398="410 Gone","410",IF(K1398="404","404",IF(K1398="No change (same URL)","none",IF(M1398="","","301")))))</f>
        <v/>
      </c>
      <c r="O1398" s="22">
        <f>IF(A1398="","",IFERROR(MID(A1398,FIND("/",A1398,FIND("//",A1398)+2),2000),A1398))</f>
        <v/>
      </c>
      <c r="P1398" s="22">
        <f>IF(OR(O1398="",N1398="",N1398="none",N1398="404"),"",IF(N1398="410","Redirect gone "&amp;O1398,"Redirect "&amp;N1398&amp;" "&amp;O1398&amp;" "&amp;M1398))</f>
        <v/>
      </c>
      <c r="Q1398" s="22" t="n"/>
      <c r="R1398" s="22" t="n"/>
      <c r="S1398" s="22" t="n"/>
      <c r="T1398" s="4">
        <f>IF(A1398="","",TRIM(IF(K1398="","Needs decision; ","")&amp;IF(AND(K1398="Accept suggestion",F1398=""),"No suggestion to accept; ","")&amp;IF(AND(K1398="Override",L1398=""),"Override URL missing; ","")&amp;IF(AND(K1398="Accept suggestion",N(G1398)&lt;$G$2),"Below your threshold; ","")&amp;IF(AND(M1398&lt;&gt;"",M1398=A1398,K1398&lt;&gt;"No change (same URL)"),"Redirects to itself; ","")&amp;IF(AND(M1398&lt;&gt;"",OR(M1398="/",AND(LEFT(M1398,4)="http",OR((LEN(M1398)-LEN(SUBSTITUTE(M1398,"/","")))=2,AND((LEN(M1398)-LEN(SUBSTITUTE(M1398,"/","")))=3,RIGHT(M1398,1)="/"))))),"Home page redirect; ","")&amp;IF(N(R1398)&gt;1,"Chain; ","")&amp;IF(S1398="No","Destination not 200; ","")))</f>
        <v/>
      </c>
      <c r="U1398" s="22" t="n"/>
      <c r="V1398" s="22" t="n"/>
      <c r="W1398" s="4" t="n"/>
    </row>
    <row r="1399">
      <c r="A1399" s="22" t="n"/>
      <c r="B1399" s="22" t="n"/>
      <c r="C1399" s="22" t="n"/>
      <c r="D1399" s="22">
        <f>IF(A1399="","",IF(OR(N(B1399)&gt;=$C$2,N(C1399)&gt;=$E$2),"High",IF(OR(N(B1399)&gt;0,N(C1399)&gt;0),"Medium","Low")))</f>
        <v/>
      </c>
      <c r="E1399" s="22" t="n"/>
      <c r="F1399" s="22" t="n"/>
      <c r="G1399" s="22" t="n"/>
      <c r="H1399" s="22" t="n"/>
      <c r="I1399" s="22" t="n"/>
      <c r="J1399" s="22" t="n"/>
      <c r="K1399" s="22" t="n"/>
      <c r="L1399" s="22" t="n"/>
      <c r="M1399" s="22">
        <f>IF(K1399="Override",L1399,IF(K1399="Accept suggestion",F1399,IF(K1399="No change (same URL)",A1399,"")))</f>
        <v/>
      </c>
      <c r="N1399" s="22">
        <f>IF(A1399="","",IF(K1399="410 Gone","410",IF(K1399="404","404",IF(K1399="No change (same URL)","none",IF(M1399="","","301")))))</f>
        <v/>
      </c>
      <c r="O1399" s="22">
        <f>IF(A1399="","",IFERROR(MID(A1399,FIND("/",A1399,FIND("//",A1399)+2),2000),A1399))</f>
        <v/>
      </c>
      <c r="P1399" s="22">
        <f>IF(OR(O1399="",N1399="",N1399="none",N1399="404"),"",IF(N1399="410","Redirect gone "&amp;O1399,"Redirect "&amp;N1399&amp;" "&amp;O1399&amp;" "&amp;M1399))</f>
        <v/>
      </c>
      <c r="Q1399" s="22" t="n"/>
      <c r="R1399" s="22" t="n"/>
      <c r="S1399" s="22" t="n"/>
      <c r="T1399" s="4">
        <f>IF(A1399="","",TRIM(IF(K1399="","Needs decision; ","")&amp;IF(AND(K1399="Accept suggestion",F1399=""),"No suggestion to accept; ","")&amp;IF(AND(K1399="Override",L1399=""),"Override URL missing; ","")&amp;IF(AND(K1399="Accept suggestion",N(G1399)&lt;$G$2),"Below your threshold; ","")&amp;IF(AND(M1399&lt;&gt;"",M1399=A1399,K1399&lt;&gt;"No change (same URL)"),"Redirects to itself; ","")&amp;IF(AND(M1399&lt;&gt;"",OR(M1399="/",AND(LEFT(M1399,4)="http",OR((LEN(M1399)-LEN(SUBSTITUTE(M1399,"/","")))=2,AND((LEN(M1399)-LEN(SUBSTITUTE(M1399,"/","")))=3,RIGHT(M1399,1)="/"))))),"Home page redirect; ","")&amp;IF(N(R1399)&gt;1,"Chain; ","")&amp;IF(S1399="No","Destination not 200; ","")))</f>
        <v/>
      </c>
      <c r="U1399" s="22" t="n"/>
      <c r="V1399" s="22" t="n"/>
      <c r="W1399" s="4" t="n"/>
    </row>
    <row r="1400">
      <c r="A1400" s="22" t="n"/>
      <c r="B1400" s="22" t="n"/>
      <c r="C1400" s="22" t="n"/>
      <c r="D1400" s="22">
        <f>IF(A1400="","",IF(OR(N(B1400)&gt;=$C$2,N(C1400)&gt;=$E$2),"High",IF(OR(N(B1400)&gt;0,N(C1400)&gt;0),"Medium","Low")))</f>
        <v/>
      </c>
      <c r="E1400" s="22" t="n"/>
      <c r="F1400" s="22" t="n"/>
      <c r="G1400" s="22" t="n"/>
      <c r="H1400" s="22" t="n"/>
      <c r="I1400" s="22" t="n"/>
      <c r="J1400" s="22" t="n"/>
      <c r="K1400" s="22" t="n"/>
      <c r="L1400" s="22" t="n"/>
      <c r="M1400" s="22">
        <f>IF(K1400="Override",L1400,IF(K1400="Accept suggestion",F1400,IF(K1400="No change (same URL)",A1400,"")))</f>
        <v/>
      </c>
      <c r="N1400" s="22">
        <f>IF(A1400="","",IF(K1400="410 Gone","410",IF(K1400="404","404",IF(K1400="No change (same URL)","none",IF(M1400="","","301")))))</f>
        <v/>
      </c>
      <c r="O1400" s="22">
        <f>IF(A1400="","",IFERROR(MID(A1400,FIND("/",A1400,FIND("//",A1400)+2),2000),A1400))</f>
        <v/>
      </c>
      <c r="P1400" s="22">
        <f>IF(OR(O1400="",N1400="",N1400="none",N1400="404"),"",IF(N1400="410","Redirect gone "&amp;O1400,"Redirect "&amp;N1400&amp;" "&amp;O1400&amp;" "&amp;M1400))</f>
        <v/>
      </c>
      <c r="Q1400" s="22" t="n"/>
      <c r="R1400" s="22" t="n"/>
      <c r="S1400" s="22" t="n"/>
      <c r="T1400" s="4">
        <f>IF(A1400="","",TRIM(IF(K1400="","Needs decision; ","")&amp;IF(AND(K1400="Accept suggestion",F1400=""),"No suggestion to accept; ","")&amp;IF(AND(K1400="Override",L1400=""),"Override URL missing; ","")&amp;IF(AND(K1400="Accept suggestion",N(G1400)&lt;$G$2),"Below your threshold; ","")&amp;IF(AND(M1400&lt;&gt;"",M1400=A1400,K1400&lt;&gt;"No change (same URL)"),"Redirects to itself; ","")&amp;IF(AND(M1400&lt;&gt;"",OR(M1400="/",AND(LEFT(M1400,4)="http",OR((LEN(M1400)-LEN(SUBSTITUTE(M1400,"/","")))=2,AND((LEN(M1400)-LEN(SUBSTITUTE(M1400,"/","")))=3,RIGHT(M1400,1)="/"))))),"Home page redirect; ","")&amp;IF(N(R1400)&gt;1,"Chain; ","")&amp;IF(S1400="No","Destination not 200; ","")))</f>
        <v/>
      </c>
      <c r="U1400" s="22" t="n"/>
      <c r="V1400" s="22" t="n"/>
      <c r="W1400" s="4" t="n"/>
    </row>
    <row r="1401">
      <c r="A1401" s="22" t="n"/>
      <c r="B1401" s="22" t="n"/>
      <c r="C1401" s="22" t="n"/>
      <c r="D1401" s="22">
        <f>IF(A1401="","",IF(OR(N(B1401)&gt;=$C$2,N(C1401)&gt;=$E$2),"High",IF(OR(N(B1401)&gt;0,N(C1401)&gt;0),"Medium","Low")))</f>
        <v/>
      </c>
      <c r="E1401" s="22" t="n"/>
      <c r="F1401" s="22" t="n"/>
      <c r="G1401" s="22" t="n"/>
      <c r="H1401" s="22" t="n"/>
      <c r="I1401" s="22" t="n"/>
      <c r="J1401" s="22" t="n"/>
      <c r="K1401" s="22" t="n"/>
      <c r="L1401" s="22" t="n"/>
      <c r="M1401" s="22">
        <f>IF(K1401="Override",L1401,IF(K1401="Accept suggestion",F1401,IF(K1401="No change (same URL)",A1401,"")))</f>
        <v/>
      </c>
      <c r="N1401" s="22">
        <f>IF(A1401="","",IF(K1401="410 Gone","410",IF(K1401="404","404",IF(K1401="No change (same URL)","none",IF(M1401="","","301")))))</f>
        <v/>
      </c>
      <c r="O1401" s="22">
        <f>IF(A1401="","",IFERROR(MID(A1401,FIND("/",A1401,FIND("//",A1401)+2),2000),A1401))</f>
        <v/>
      </c>
      <c r="P1401" s="22">
        <f>IF(OR(O1401="",N1401="",N1401="none",N1401="404"),"",IF(N1401="410","Redirect gone "&amp;O1401,"Redirect "&amp;N1401&amp;" "&amp;O1401&amp;" "&amp;M1401))</f>
        <v/>
      </c>
      <c r="Q1401" s="22" t="n"/>
      <c r="R1401" s="22" t="n"/>
      <c r="S1401" s="22" t="n"/>
      <c r="T1401" s="4">
        <f>IF(A1401="","",TRIM(IF(K1401="","Needs decision; ","")&amp;IF(AND(K1401="Accept suggestion",F1401=""),"No suggestion to accept; ","")&amp;IF(AND(K1401="Override",L1401=""),"Override URL missing; ","")&amp;IF(AND(K1401="Accept suggestion",N(G1401)&lt;$G$2),"Below your threshold; ","")&amp;IF(AND(M1401&lt;&gt;"",M1401=A1401,K1401&lt;&gt;"No change (same URL)"),"Redirects to itself; ","")&amp;IF(AND(M1401&lt;&gt;"",OR(M1401="/",AND(LEFT(M1401,4)="http",OR((LEN(M1401)-LEN(SUBSTITUTE(M1401,"/","")))=2,AND((LEN(M1401)-LEN(SUBSTITUTE(M1401,"/","")))=3,RIGHT(M1401,1)="/"))))),"Home page redirect; ","")&amp;IF(N(R1401)&gt;1,"Chain; ","")&amp;IF(S1401="No","Destination not 200; ","")))</f>
        <v/>
      </c>
      <c r="U1401" s="22" t="n"/>
      <c r="V1401" s="22" t="n"/>
      <c r="W1401" s="4" t="n"/>
    </row>
    <row r="1402">
      <c r="A1402" s="22" t="n"/>
      <c r="B1402" s="22" t="n"/>
      <c r="C1402" s="22" t="n"/>
      <c r="D1402" s="22">
        <f>IF(A1402="","",IF(OR(N(B1402)&gt;=$C$2,N(C1402)&gt;=$E$2),"High",IF(OR(N(B1402)&gt;0,N(C1402)&gt;0),"Medium","Low")))</f>
        <v/>
      </c>
      <c r="E1402" s="22" t="n"/>
      <c r="F1402" s="22" t="n"/>
      <c r="G1402" s="22" t="n"/>
      <c r="H1402" s="22" t="n"/>
      <c r="I1402" s="22" t="n"/>
      <c r="J1402" s="22" t="n"/>
      <c r="K1402" s="22" t="n"/>
      <c r="L1402" s="22" t="n"/>
      <c r="M1402" s="22">
        <f>IF(K1402="Override",L1402,IF(K1402="Accept suggestion",F1402,IF(K1402="No change (same URL)",A1402,"")))</f>
        <v/>
      </c>
      <c r="N1402" s="22">
        <f>IF(A1402="","",IF(K1402="410 Gone","410",IF(K1402="404","404",IF(K1402="No change (same URL)","none",IF(M1402="","","301")))))</f>
        <v/>
      </c>
      <c r="O1402" s="22">
        <f>IF(A1402="","",IFERROR(MID(A1402,FIND("/",A1402,FIND("//",A1402)+2),2000),A1402))</f>
        <v/>
      </c>
      <c r="P1402" s="22">
        <f>IF(OR(O1402="",N1402="",N1402="none",N1402="404"),"",IF(N1402="410","Redirect gone "&amp;O1402,"Redirect "&amp;N1402&amp;" "&amp;O1402&amp;" "&amp;M1402))</f>
        <v/>
      </c>
      <c r="Q1402" s="22" t="n"/>
      <c r="R1402" s="22" t="n"/>
      <c r="S1402" s="22" t="n"/>
      <c r="T1402" s="4">
        <f>IF(A1402="","",TRIM(IF(K1402="","Needs decision; ","")&amp;IF(AND(K1402="Accept suggestion",F1402=""),"No suggestion to accept; ","")&amp;IF(AND(K1402="Override",L1402=""),"Override URL missing; ","")&amp;IF(AND(K1402="Accept suggestion",N(G1402)&lt;$G$2),"Below your threshold; ","")&amp;IF(AND(M1402&lt;&gt;"",M1402=A1402,K1402&lt;&gt;"No change (same URL)"),"Redirects to itself; ","")&amp;IF(AND(M1402&lt;&gt;"",OR(M1402="/",AND(LEFT(M1402,4)="http",OR((LEN(M1402)-LEN(SUBSTITUTE(M1402,"/","")))=2,AND((LEN(M1402)-LEN(SUBSTITUTE(M1402,"/","")))=3,RIGHT(M1402,1)="/"))))),"Home page redirect; ","")&amp;IF(N(R1402)&gt;1,"Chain; ","")&amp;IF(S1402="No","Destination not 200; ","")))</f>
        <v/>
      </c>
      <c r="U1402" s="22" t="n"/>
      <c r="V1402" s="22" t="n"/>
      <c r="W1402" s="4" t="n"/>
    </row>
    <row r="1403">
      <c r="A1403" s="22" t="n"/>
      <c r="B1403" s="22" t="n"/>
      <c r="C1403" s="22" t="n"/>
      <c r="D1403" s="22">
        <f>IF(A1403="","",IF(OR(N(B1403)&gt;=$C$2,N(C1403)&gt;=$E$2),"High",IF(OR(N(B1403)&gt;0,N(C1403)&gt;0),"Medium","Low")))</f>
        <v/>
      </c>
      <c r="E1403" s="22" t="n"/>
      <c r="F1403" s="22" t="n"/>
      <c r="G1403" s="22" t="n"/>
      <c r="H1403" s="22" t="n"/>
      <c r="I1403" s="22" t="n"/>
      <c r="J1403" s="22" t="n"/>
      <c r="K1403" s="22" t="n"/>
      <c r="L1403" s="22" t="n"/>
      <c r="M1403" s="22">
        <f>IF(K1403="Override",L1403,IF(K1403="Accept suggestion",F1403,IF(K1403="No change (same URL)",A1403,"")))</f>
        <v/>
      </c>
      <c r="N1403" s="22">
        <f>IF(A1403="","",IF(K1403="410 Gone","410",IF(K1403="404","404",IF(K1403="No change (same URL)","none",IF(M1403="","","301")))))</f>
        <v/>
      </c>
      <c r="O1403" s="22">
        <f>IF(A1403="","",IFERROR(MID(A1403,FIND("/",A1403,FIND("//",A1403)+2),2000),A1403))</f>
        <v/>
      </c>
      <c r="P1403" s="22">
        <f>IF(OR(O1403="",N1403="",N1403="none",N1403="404"),"",IF(N1403="410","Redirect gone "&amp;O1403,"Redirect "&amp;N1403&amp;" "&amp;O1403&amp;" "&amp;M1403))</f>
        <v/>
      </c>
      <c r="Q1403" s="22" t="n"/>
      <c r="R1403" s="22" t="n"/>
      <c r="S1403" s="22" t="n"/>
      <c r="T1403" s="4">
        <f>IF(A1403="","",TRIM(IF(K1403="","Needs decision; ","")&amp;IF(AND(K1403="Accept suggestion",F1403=""),"No suggestion to accept; ","")&amp;IF(AND(K1403="Override",L1403=""),"Override URL missing; ","")&amp;IF(AND(K1403="Accept suggestion",N(G1403)&lt;$G$2),"Below your threshold; ","")&amp;IF(AND(M1403&lt;&gt;"",M1403=A1403,K1403&lt;&gt;"No change (same URL)"),"Redirects to itself; ","")&amp;IF(AND(M1403&lt;&gt;"",OR(M1403="/",AND(LEFT(M1403,4)="http",OR((LEN(M1403)-LEN(SUBSTITUTE(M1403,"/","")))=2,AND((LEN(M1403)-LEN(SUBSTITUTE(M1403,"/","")))=3,RIGHT(M1403,1)="/"))))),"Home page redirect; ","")&amp;IF(N(R1403)&gt;1,"Chain; ","")&amp;IF(S1403="No","Destination not 200; ","")))</f>
        <v/>
      </c>
      <c r="U1403" s="22" t="n"/>
      <c r="V1403" s="22" t="n"/>
      <c r="W1403" s="4" t="n"/>
    </row>
    <row r="1404">
      <c r="A1404" s="22" t="n"/>
      <c r="B1404" s="22" t="n"/>
      <c r="C1404" s="22" t="n"/>
      <c r="D1404" s="22">
        <f>IF(A1404="","",IF(OR(N(B1404)&gt;=$C$2,N(C1404)&gt;=$E$2),"High",IF(OR(N(B1404)&gt;0,N(C1404)&gt;0),"Medium","Low")))</f>
        <v/>
      </c>
      <c r="E1404" s="22" t="n"/>
      <c r="F1404" s="22" t="n"/>
      <c r="G1404" s="22" t="n"/>
      <c r="H1404" s="22" t="n"/>
      <c r="I1404" s="22" t="n"/>
      <c r="J1404" s="22" t="n"/>
      <c r="K1404" s="22" t="n"/>
      <c r="L1404" s="22" t="n"/>
      <c r="M1404" s="22">
        <f>IF(K1404="Override",L1404,IF(K1404="Accept suggestion",F1404,IF(K1404="No change (same URL)",A1404,"")))</f>
        <v/>
      </c>
      <c r="N1404" s="22">
        <f>IF(A1404="","",IF(K1404="410 Gone","410",IF(K1404="404","404",IF(K1404="No change (same URL)","none",IF(M1404="","","301")))))</f>
        <v/>
      </c>
      <c r="O1404" s="22">
        <f>IF(A1404="","",IFERROR(MID(A1404,FIND("/",A1404,FIND("//",A1404)+2),2000),A1404))</f>
        <v/>
      </c>
      <c r="P1404" s="22">
        <f>IF(OR(O1404="",N1404="",N1404="none",N1404="404"),"",IF(N1404="410","Redirect gone "&amp;O1404,"Redirect "&amp;N1404&amp;" "&amp;O1404&amp;" "&amp;M1404))</f>
        <v/>
      </c>
      <c r="Q1404" s="22" t="n"/>
      <c r="R1404" s="22" t="n"/>
      <c r="S1404" s="22" t="n"/>
      <c r="T1404" s="4">
        <f>IF(A1404="","",TRIM(IF(K1404="","Needs decision; ","")&amp;IF(AND(K1404="Accept suggestion",F1404=""),"No suggestion to accept; ","")&amp;IF(AND(K1404="Override",L1404=""),"Override URL missing; ","")&amp;IF(AND(K1404="Accept suggestion",N(G1404)&lt;$G$2),"Below your threshold; ","")&amp;IF(AND(M1404&lt;&gt;"",M1404=A1404,K1404&lt;&gt;"No change (same URL)"),"Redirects to itself; ","")&amp;IF(AND(M1404&lt;&gt;"",OR(M1404="/",AND(LEFT(M1404,4)="http",OR((LEN(M1404)-LEN(SUBSTITUTE(M1404,"/","")))=2,AND((LEN(M1404)-LEN(SUBSTITUTE(M1404,"/","")))=3,RIGHT(M1404,1)="/"))))),"Home page redirect; ","")&amp;IF(N(R1404)&gt;1,"Chain; ","")&amp;IF(S1404="No","Destination not 200; ","")))</f>
        <v/>
      </c>
      <c r="U1404" s="22" t="n"/>
      <c r="V1404" s="22" t="n"/>
      <c r="W1404" s="4" t="n"/>
    </row>
    <row r="1405">
      <c r="A1405" s="22" t="n"/>
      <c r="B1405" s="22" t="n"/>
      <c r="C1405" s="22" t="n"/>
      <c r="D1405" s="22">
        <f>IF(A1405="","",IF(OR(N(B1405)&gt;=$C$2,N(C1405)&gt;=$E$2),"High",IF(OR(N(B1405)&gt;0,N(C1405)&gt;0),"Medium","Low")))</f>
        <v/>
      </c>
      <c r="E1405" s="22" t="n"/>
      <c r="F1405" s="22" t="n"/>
      <c r="G1405" s="22" t="n"/>
      <c r="H1405" s="22" t="n"/>
      <c r="I1405" s="22" t="n"/>
      <c r="J1405" s="22" t="n"/>
      <c r="K1405" s="22" t="n"/>
      <c r="L1405" s="22" t="n"/>
      <c r="M1405" s="22">
        <f>IF(K1405="Override",L1405,IF(K1405="Accept suggestion",F1405,IF(K1405="No change (same URL)",A1405,"")))</f>
        <v/>
      </c>
      <c r="N1405" s="22">
        <f>IF(A1405="","",IF(K1405="410 Gone","410",IF(K1405="404","404",IF(K1405="No change (same URL)","none",IF(M1405="","","301")))))</f>
        <v/>
      </c>
      <c r="O1405" s="22">
        <f>IF(A1405="","",IFERROR(MID(A1405,FIND("/",A1405,FIND("//",A1405)+2),2000),A1405))</f>
        <v/>
      </c>
      <c r="P1405" s="22">
        <f>IF(OR(O1405="",N1405="",N1405="none",N1405="404"),"",IF(N1405="410","Redirect gone "&amp;O1405,"Redirect "&amp;N1405&amp;" "&amp;O1405&amp;" "&amp;M1405))</f>
        <v/>
      </c>
      <c r="Q1405" s="22" t="n"/>
      <c r="R1405" s="22" t="n"/>
      <c r="S1405" s="22" t="n"/>
      <c r="T1405" s="4">
        <f>IF(A1405="","",TRIM(IF(K1405="","Needs decision; ","")&amp;IF(AND(K1405="Accept suggestion",F1405=""),"No suggestion to accept; ","")&amp;IF(AND(K1405="Override",L1405=""),"Override URL missing; ","")&amp;IF(AND(K1405="Accept suggestion",N(G1405)&lt;$G$2),"Below your threshold; ","")&amp;IF(AND(M1405&lt;&gt;"",M1405=A1405,K1405&lt;&gt;"No change (same URL)"),"Redirects to itself; ","")&amp;IF(AND(M1405&lt;&gt;"",OR(M1405="/",AND(LEFT(M1405,4)="http",OR((LEN(M1405)-LEN(SUBSTITUTE(M1405,"/","")))=2,AND((LEN(M1405)-LEN(SUBSTITUTE(M1405,"/","")))=3,RIGHT(M1405,1)="/"))))),"Home page redirect; ","")&amp;IF(N(R1405)&gt;1,"Chain; ","")&amp;IF(S1405="No","Destination not 200; ","")))</f>
        <v/>
      </c>
      <c r="U1405" s="22" t="n"/>
      <c r="V1405" s="22" t="n"/>
      <c r="W1405" s="4" t="n"/>
    </row>
    <row r="1406">
      <c r="A1406" s="22" t="n"/>
      <c r="B1406" s="22" t="n"/>
      <c r="C1406" s="22" t="n"/>
      <c r="D1406" s="22">
        <f>IF(A1406="","",IF(OR(N(B1406)&gt;=$C$2,N(C1406)&gt;=$E$2),"High",IF(OR(N(B1406)&gt;0,N(C1406)&gt;0),"Medium","Low")))</f>
        <v/>
      </c>
      <c r="E1406" s="22" t="n"/>
      <c r="F1406" s="22" t="n"/>
      <c r="G1406" s="22" t="n"/>
      <c r="H1406" s="22" t="n"/>
      <c r="I1406" s="22" t="n"/>
      <c r="J1406" s="22" t="n"/>
      <c r="K1406" s="22" t="n"/>
      <c r="L1406" s="22" t="n"/>
      <c r="M1406" s="22">
        <f>IF(K1406="Override",L1406,IF(K1406="Accept suggestion",F1406,IF(K1406="No change (same URL)",A1406,"")))</f>
        <v/>
      </c>
      <c r="N1406" s="22">
        <f>IF(A1406="","",IF(K1406="410 Gone","410",IF(K1406="404","404",IF(K1406="No change (same URL)","none",IF(M1406="","","301")))))</f>
        <v/>
      </c>
      <c r="O1406" s="22">
        <f>IF(A1406="","",IFERROR(MID(A1406,FIND("/",A1406,FIND("//",A1406)+2),2000),A1406))</f>
        <v/>
      </c>
      <c r="P1406" s="22">
        <f>IF(OR(O1406="",N1406="",N1406="none",N1406="404"),"",IF(N1406="410","Redirect gone "&amp;O1406,"Redirect "&amp;N1406&amp;" "&amp;O1406&amp;" "&amp;M1406))</f>
        <v/>
      </c>
      <c r="Q1406" s="22" t="n"/>
      <c r="R1406" s="22" t="n"/>
      <c r="S1406" s="22" t="n"/>
      <c r="T1406" s="4">
        <f>IF(A1406="","",TRIM(IF(K1406="","Needs decision; ","")&amp;IF(AND(K1406="Accept suggestion",F1406=""),"No suggestion to accept; ","")&amp;IF(AND(K1406="Override",L1406=""),"Override URL missing; ","")&amp;IF(AND(K1406="Accept suggestion",N(G1406)&lt;$G$2),"Below your threshold; ","")&amp;IF(AND(M1406&lt;&gt;"",M1406=A1406,K1406&lt;&gt;"No change (same URL)"),"Redirects to itself; ","")&amp;IF(AND(M1406&lt;&gt;"",OR(M1406="/",AND(LEFT(M1406,4)="http",OR((LEN(M1406)-LEN(SUBSTITUTE(M1406,"/","")))=2,AND((LEN(M1406)-LEN(SUBSTITUTE(M1406,"/","")))=3,RIGHT(M1406,1)="/"))))),"Home page redirect; ","")&amp;IF(N(R1406)&gt;1,"Chain; ","")&amp;IF(S1406="No","Destination not 200; ","")))</f>
        <v/>
      </c>
      <c r="U1406" s="22" t="n"/>
      <c r="V1406" s="22" t="n"/>
      <c r="W1406" s="4" t="n"/>
    </row>
    <row r="1407">
      <c r="A1407" s="22" t="n"/>
      <c r="B1407" s="22" t="n"/>
      <c r="C1407" s="22" t="n"/>
      <c r="D1407" s="22">
        <f>IF(A1407="","",IF(OR(N(B1407)&gt;=$C$2,N(C1407)&gt;=$E$2),"High",IF(OR(N(B1407)&gt;0,N(C1407)&gt;0),"Medium","Low")))</f>
        <v/>
      </c>
      <c r="E1407" s="22" t="n"/>
      <c r="F1407" s="22" t="n"/>
      <c r="G1407" s="22" t="n"/>
      <c r="H1407" s="22" t="n"/>
      <c r="I1407" s="22" t="n"/>
      <c r="J1407" s="22" t="n"/>
      <c r="K1407" s="22" t="n"/>
      <c r="L1407" s="22" t="n"/>
      <c r="M1407" s="22">
        <f>IF(K1407="Override",L1407,IF(K1407="Accept suggestion",F1407,IF(K1407="No change (same URL)",A1407,"")))</f>
        <v/>
      </c>
      <c r="N1407" s="22">
        <f>IF(A1407="","",IF(K1407="410 Gone","410",IF(K1407="404","404",IF(K1407="No change (same URL)","none",IF(M1407="","","301")))))</f>
        <v/>
      </c>
      <c r="O1407" s="22">
        <f>IF(A1407="","",IFERROR(MID(A1407,FIND("/",A1407,FIND("//",A1407)+2),2000),A1407))</f>
        <v/>
      </c>
      <c r="P1407" s="22">
        <f>IF(OR(O1407="",N1407="",N1407="none",N1407="404"),"",IF(N1407="410","Redirect gone "&amp;O1407,"Redirect "&amp;N1407&amp;" "&amp;O1407&amp;" "&amp;M1407))</f>
        <v/>
      </c>
      <c r="Q1407" s="22" t="n"/>
      <c r="R1407" s="22" t="n"/>
      <c r="S1407" s="22" t="n"/>
      <c r="T1407" s="4">
        <f>IF(A1407="","",TRIM(IF(K1407="","Needs decision; ","")&amp;IF(AND(K1407="Accept suggestion",F1407=""),"No suggestion to accept; ","")&amp;IF(AND(K1407="Override",L1407=""),"Override URL missing; ","")&amp;IF(AND(K1407="Accept suggestion",N(G1407)&lt;$G$2),"Below your threshold; ","")&amp;IF(AND(M1407&lt;&gt;"",M1407=A1407,K1407&lt;&gt;"No change (same URL)"),"Redirects to itself; ","")&amp;IF(AND(M1407&lt;&gt;"",OR(M1407="/",AND(LEFT(M1407,4)="http",OR((LEN(M1407)-LEN(SUBSTITUTE(M1407,"/","")))=2,AND((LEN(M1407)-LEN(SUBSTITUTE(M1407,"/","")))=3,RIGHT(M1407,1)="/"))))),"Home page redirect; ","")&amp;IF(N(R1407)&gt;1,"Chain; ","")&amp;IF(S1407="No","Destination not 200; ","")))</f>
        <v/>
      </c>
      <c r="U1407" s="22" t="n"/>
      <c r="V1407" s="22" t="n"/>
      <c r="W1407" s="4" t="n"/>
    </row>
    <row r="1408">
      <c r="A1408" s="22" t="n"/>
      <c r="B1408" s="22" t="n"/>
      <c r="C1408" s="22" t="n"/>
      <c r="D1408" s="22">
        <f>IF(A1408="","",IF(OR(N(B1408)&gt;=$C$2,N(C1408)&gt;=$E$2),"High",IF(OR(N(B1408)&gt;0,N(C1408)&gt;0),"Medium","Low")))</f>
        <v/>
      </c>
      <c r="E1408" s="22" t="n"/>
      <c r="F1408" s="22" t="n"/>
      <c r="G1408" s="22" t="n"/>
      <c r="H1408" s="22" t="n"/>
      <c r="I1408" s="22" t="n"/>
      <c r="J1408" s="22" t="n"/>
      <c r="K1408" s="22" t="n"/>
      <c r="L1408" s="22" t="n"/>
      <c r="M1408" s="22">
        <f>IF(K1408="Override",L1408,IF(K1408="Accept suggestion",F1408,IF(K1408="No change (same URL)",A1408,"")))</f>
        <v/>
      </c>
      <c r="N1408" s="22">
        <f>IF(A1408="","",IF(K1408="410 Gone","410",IF(K1408="404","404",IF(K1408="No change (same URL)","none",IF(M1408="","","301")))))</f>
        <v/>
      </c>
      <c r="O1408" s="22">
        <f>IF(A1408="","",IFERROR(MID(A1408,FIND("/",A1408,FIND("//",A1408)+2),2000),A1408))</f>
        <v/>
      </c>
      <c r="P1408" s="22">
        <f>IF(OR(O1408="",N1408="",N1408="none",N1408="404"),"",IF(N1408="410","Redirect gone "&amp;O1408,"Redirect "&amp;N1408&amp;" "&amp;O1408&amp;" "&amp;M1408))</f>
        <v/>
      </c>
      <c r="Q1408" s="22" t="n"/>
      <c r="R1408" s="22" t="n"/>
      <c r="S1408" s="22" t="n"/>
      <c r="T1408" s="4">
        <f>IF(A1408="","",TRIM(IF(K1408="","Needs decision; ","")&amp;IF(AND(K1408="Accept suggestion",F1408=""),"No suggestion to accept; ","")&amp;IF(AND(K1408="Override",L1408=""),"Override URL missing; ","")&amp;IF(AND(K1408="Accept suggestion",N(G1408)&lt;$G$2),"Below your threshold; ","")&amp;IF(AND(M1408&lt;&gt;"",M1408=A1408,K1408&lt;&gt;"No change (same URL)"),"Redirects to itself; ","")&amp;IF(AND(M1408&lt;&gt;"",OR(M1408="/",AND(LEFT(M1408,4)="http",OR((LEN(M1408)-LEN(SUBSTITUTE(M1408,"/","")))=2,AND((LEN(M1408)-LEN(SUBSTITUTE(M1408,"/","")))=3,RIGHT(M1408,1)="/"))))),"Home page redirect; ","")&amp;IF(N(R1408)&gt;1,"Chain; ","")&amp;IF(S1408="No","Destination not 200; ","")))</f>
        <v/>
      </c>
      <c r="U1408" s="22" t="n"/>
      <c r="V1408" s="22" t="n"/>
      <c r="W1408" s="4" t="n"/>
    </row>
    <row r="1409">
      <c r="A1409" s="22" t="n"/>
      <c r="B1409" s="22" t="n"/>
      <c r="C1409" s="22" t="n"/>
      <c r="D1409" s="22">
        <f>IF(A1409="","",IF(OR(N(B1409)&gt;=$C$2,N(C1409)&gt;=$E$2),"High",IF(OR(N(B1409)&gt;0,N(C1409)&gt;0),"Medium","Low")))</f>
        <v/>
      </c>
      <c r="E1409" s="22" t="n"/>
      <c r="F1409" s="22" t="n"/>
      <c r="G1409" s="22" t="n"/>
      <c r="H1409" s="22" t="n"/>
      <c r="I1409" s="22" t="n"/>
      <c r="J1409" s="22" t="n"/>
      <c r="K1409" s="22" t="n"/>
      <c r="L1409" s="22" t="n"/>
      <c r="M1409" s="22">
        <f>IF(K1409="Override",L1409,IF(K1409="Accept suggestion",F1409,IF(K1409="No change (same URL)",A1409,"")))</f>
        <v/>
      </c>
      <c r="N1409" s="22">
        <f>IF(A1409="","",IF(K1409="410 Gone","410",IF(K1409="404","404",IF(K1409="No change (same URL)","none",IF(M1409="","","301")))))</f>
        <v/>
      </c>
      <c r="O1409" s="22">
        <f>IF(A1409="","",IFERROR(MID(A1409,FIND("/",A1409,FIND("//",A1409)+2),2000),A1409))</f>
        <v/>
      </c>
      <c r="P1409" s="22">
        <f>IF(OR(O1409="",N1409="",N1409="none",N1409="404"),"",IF(N1409="410","Redirect gone "&amp;O1409,"Redirect "&amp;N1409&amp;" "&amp;O1409&amp;" "&amp;M1409))</f>
        <v/>
      </c>
      <c r="Q1409" s="22" t="n"/>
      <c r="R1409" s="22" t="n"/>
      <c r="S1409" s="22" t="n"/>
      <c r="T1409" s="4">
        <f>IF(A1409="","",TRIM(IF(K1409="","Needs decision; ","")&amp;IF(AND(K1409="Accept suggestion",F1409=""),"No suggestion to accept; ","")&amp;IF(AND(K1409="Override",L1409=""),"Override URL missing; ","")&amp;IF(AND(K1409="Accept suggestion",N(G1409)&lt;$G$2),"Below your threshold; ","")&amp;IF(AND(M1409&lt;&gt;"",M1409=A1409,K1409&lt;&gt;"No change (same URL)"),"Redirects to itself; ","")&amp;IF(AND(M1409&lt;&gt;"",OR(M1409="/",AND(LEFT(M1409,4)="http",OR((LEN(M1409)-LEN(SUBSTITUTE(M1409,"/","")))=2,AND((LEN(M1409)-LEN(SUBSTITUTE(M1409,"/","")))=3,RIGHT(M1409,1)="/"))))),"Home page redirect; ","")&amp;IF(N(R1409)&gt;1,"Chain; ","")&amp;IF(S1409="No","Destination not 200; ","")))</f>
        <v/>
      </c>
      <c r="U1409" s="22" t="n"/>
      <c r="V1409" s="22" t="n"/>
      <c r="W1409" s="4" t="n"/>
    </row>
    <row r="1410">
      <c r="A1410" s="22" t="n"/>
      <c r="B1410" s="22" t="n"/>
      <c r="C1410" s="22" t="n"/>
      <c r="D1410" s="22">
        <f>IF(A1410="","",IF(OR(N(B1410)&gt;=$C$2,N(C1410)&gt;=$E$2),"High",IF(OR(N(B1410)&gt;0,N(C1410)&gt;0),"Medium","Low")))</f>
        <v/>
      </c>
      <c r="E1410" s="22" t="n"/>
      <c r="F1410" s="22" t="n"/>
      <c r="G1410" s="22" t="n"/>
      <c r="H1410" s="22" t="n"/>
      <c r="I1410" s="22" t="n"/>
      <c r="J1410" s="22" t="n"/>
      <c r="K1410" s="22" t="n"/>
      <c r="L1410" s="22" t="n"/>
      <c r="M1410" s="22">
        <f>IF(K1410="Override",L1410,IF(K1410="Accept suggestion",F1410,IF(K1410="No change (same URL)",A1410,"")))</f>
        <v/>
      </c>
      <c r="N1410" s="22">
        <f>IF(A1410="","",IF(K1410="410 Gone","410",IF(K1410="404","404",IF(K1410="No change (same URL)","none",IF(M1410="","","301")))))</f>
        <v/>
      </c>
      <c r="O1410" s="22">
        <f>IF(A1410="","",IFERROR(MID(A1410,FIND("/",A1410,FIND("//",A1410)+2),2000),A1410))</f>
        <v/>
      </c>
      <c r="P1410" s="22">
        <f>IF(OR(O1410="",N1410="",N1410="none",N1410="404"),"",IF(N1410="410","Redirect gone "&amp;O1410,"Redirect "&amp;N1410&amp;" "&amp;O1410&amp;" "&amp;M1410))</f>
        <v/>
      </c>
      <c r="Q1410" s="22" t="n"/>
      <c r="R1410" s="22" t="n"/>
      <c r="S1410" s="22" t="n"/>
      <c r="T1410" s="4">
        <f>IF(A1410="","",TRIM(IF(K1410="","Needs decision; ","")&amp;IF(AND(K1410="Accept suggestion",F1410=""),"No suggestion to accept; ","")&amp;IF(AND(K1410="Override",L1410=""),"Override URL missing; ","")&amp;IF(AND(K1410="Accept suggestion",N(G1410)&lt;$G$2),"Below your threshold; ","")&amp;IF(AND(M1410&lt;&gt;"",M1410=A1410,K1410&lt;&gt;"No change (same URL)"),"Redirects to itself; ","")&amp;IF(AND(M1410&lt;&gt;"",OR(M1410="/",AND(LEFT(M1410,4)="http",OR((LEN(M1410)-LEN(SUBSTITUTE(M1410,"/","")))=2,AND((LEN(M1410)-LEN(SUBSTITUTE(M1410,"/","")))=3,RIGHT(M1410,1)="/"))))),"Home page redirect; ","")&amp;IF(N(R1410)&gt;1,"Chain; ","")&amp;IF(S1410="No","Destination not 200; ","")))</f>
        <v/>
      </c>
      <c r="U1410" s="22" t="n"/>
      <c r="V1410" s="22" t="n"/>
      <c r="W1410" s="4" t="n"/>
    </row>
    <row r="1411">
      <c r="A1411" s="22" t="n"/>
      <c r="B1411" s="22" t="n"/>
      <c r="C1411" s="22" t="n"/>
      <c r="D1411" s="22">
        <f>IF(A1411="","",IF(OR(N(B1411)&gt;=$C$2,N(C1411)&gt;=$E$2),"High",IF(OR(N(B1411)&gt;0,N(C1411)&gt;0),"Medium","Low")))</f>
        <v/>
      </c>
      <c r="E1411" s="22" t="n"/>
      <c r="F1411" s="22" t="n"/>
      <c r="G1411" s="22" t="n"/>
      <c r="H1411" s="22" t="n"/>
      <c r="I1411" s="22" t="n"/>
      <c r="J1411" s="22" t="n"/>
      <c r="K1411" s="22" t="n"/>
      <c r="L1411" s="22" t="n"/>
      <c r="M1411" s="22">
        <f>IF(K1411="Override",L1411,IF(K1411="Accept suggestion",F1411,IF(K1411="No change (same URL)",A1411,"")))</f>
        <v/>
      </c>
      <c r="N1411" s="22">
        <f>IF(A1411="","",IF(K1411="410 Gone","410",IF(K1411="404","404",IF(K1411="No change (same URL)","none",IF(M1411="","","301")))))</f>
        <v/>
      </c>
      <c r="O1411" s="22">
        <f>IF(A1411="","",IFERROR(MID(A1411,FIND("/",A1411,FIND("//",A1411)+2),2000),A1411))</f>
        <v/>
      </c>
      <c r="P1411" s="22">
        <f>IF(OR(O1411="",N1411="",N1411="none",N1411="404"),"",IF(N1411="410","Redirect gone "&amp;O1411,"Redirect "&amp;N1411&amp;" "&amp;O1411&amp;" "&amp;M1411))</f>
        <v/>
      </c>
      <c r="Q1411" s="22" t="n"/>
      <c r="R1411" s="22" t="n"/>
      <c r="S1411" s="22" t="n"/>
      <c r="T1411" s="4">
        <f>IF(A1411="","",TRIM(IF(K1411="","Needs decision; ","")&amp;IF(AND(K1411="Accept suggestion",F1411=""),"No suggestion to accept; ","")&amp;IF(AND(K1411="Override",L1411=""),"Override URL missing; ","")&amp;IF(AND(K1411="Accept suggestion",N(G1411)&lt;$G$2),"Below your threshold; ","")&amp;IF(AND(M1411&lt;&gt;"",M1411=A1411,K1411&lt;&gt;"No change (same URL)"),"Redirects to itself; ","")&amp;IF(AND(M1411&lt;&gt;"",OR(M1411="/",AND(LEFT(M1411,4)="http",OR((LEN(M1411)-LEN(SUBSTITUTE(M1411,"/","")))=2,AND((LEN(M1411)-LEN(SUBSTITUTE(M1411,"/","")))=3,RIGHT(M1411,1)="/"))))),"Home page redirect; ","")&amp;IF(N(R1411)&gt;1,"Chain; ","")&amp;IF(S1411="No","Destination not 200; ","")))</f>
        <v/>
      </c>
      <c r="U1411" s="22" t="n"/>
      <c r="V1411" s="22" t="n"/>
      <c r="W1411" s="4" t="n"/>
    </row>
    <row r="1412">
      <c r="A1412" s="22" t="n"/>
      <c r="B1412" s="22" t="n"/>
      <c r="C1412" s="22" t="n"/>
      <c r="D1412" s="22">
        <f>IF(A1412="","",IF(OR(N(B1412)&gt;=$C$2,N(C1412)&gt;=$E$2),"High",IF(OR(N(B1412)&gt;0,N(C1412)&gt;0),"Medium","Low")))</f>
        <v/>
      </c>
      <c r="E1412" s="22" t="n"/>
      <c r="F1412" s="22" t="n"/>
      <c r="G1412" s="22" t="n"/>
      <c r="H1412" s="22" t="n"/>
      <c r="I1412" s="22" t="n"/>
      <c r="J1412" s="22" t="n"/>
      <c r="K1412" s="22" t="n"/>
      <c r="L1412" s="22" t="n"/>
      <c r="M1412" s="22">
        <f>IF(K1412="Override",L1412,IF(K1412="Accept suggestion",F1412,IF(K1412="No change (same URL)",A1412,"")))</f>
        <v/>
      </c>
      <c r="N1412" s="22">
        <f>IF(A1412="","",IF(K1412="410 Gone","410",IF(K1412="404","404",IF(K1412="No change (same URL)","none",IF(M1412="","","301")))))</f>
        <v/>
      </c>
      <c r="O1412" s="22">
        <f>IF(A1412="","",IFERROR(MID(A1412,FIND("/",A1412,FIND("//",A1412)+2),2000),A1412))</f>
        <v/>
      </c>
      <c r="P1412" s="22">
        <f>IF(OR(O1412="",N1412="",N1412="none",N1412="404"),"",IF(N1412="410","Redirect gone "&amp;O1412,"Redirect "&amp;N1412&amp;" "&amp;O1412&amp;" "&amp;M1412))</f>
        <v/>
      </c>
      <c r="Q1412" s="22" t="n"/>
      <c r="R1412" s="22" t="n"/>
      <c r="S1412" s="22" t="n"/>
      <c r="T1412" s="4">
        <f>IF(A1412="","",TRIM(IF(K1412="","Needs decision; ","")&amp;IF(AND(K1412="Accept suggestion",F1412=""),"No suggestion to accept; ","")&amp;IF(AND(K1412="Override",L1412=""),"Override URL missing; ","")&amp;IF(AND(K1412="Accept suggestion",N(G1412)&lt;$G$2),"Below your threshold; ","")&amp;IF(AND(M1412&lt;&gt;"",M1412=A1412,K1412&lt;&gt;"No change (same URL)"),"Redirects to itself; ","")&amp;IF(AND(M1412&lt;&gt;"",OR(M1412="/",AND(LEFT(M1412,4)="http",OR((LEN(M1412)-LEN(SUBSTITUTE(M1412,"/","")))=2,AND((LEN(M1412)-LEN(SUBSTITUTE(M1412,"/","")))=3,RIGHT(M1412,1)="/"))))),"Home page redirect; ","")&amp;IF(N(R1412)&gt;1,"Chain; ","")&amp;IF(S1412="No","Destination not 200; ","")))</f>
        <v/>
      </c>
      <c r="U1412" s="22" t="n"/>
      <c r="V1412" s="22" t="n"/>
      <c r="W1412" s="4" t="n"/>
    </row>
    <row r="1413">
      <c r="A1413" s="22" t="n"/>
      <c r="B1413" s="22" t="n"/>
      <c r="C1413" s="22" t="n"/>
      <c r="D1413" s="22">
        <f>IF(A1413="","",IF(OR(N(B1413)&gt;=$C$2,N(C1413)&gt;=$E$2),"High",IF(OR(N(B1413)&gt;0,N(C1413)&gt;0),"Medium","Low")))</f>
        <v/>
      </c>
      <c r="E1413" s="22" t="n"/>
      <c r="F1413" s="22" t="n"/>
      <c r="G1413" s="22" t="n"/>
      <c r="H1413" s="22" t="n"/>
      <c r="I1413" s="22" t="n"/>
      <c r="J1413" s="22" t="n"/>
      <c r="K1413" s="22" t="n"/>
      <c r="L1413" s="22" t="n"/>
      <c r="M1413" s="22">
        <f>IF(K1413="Override",L1413,IF(K1413="Accept suggestion",F1413,IF(K1413="No change (same URL)",A1413,"")))</f>
        <v/>
      </c>
      <c r="N1413" s="22">
        <f>IF(A1413="","",IF(K1413="410 Gone","410",IF(K1413="404","404",IF(K1413="No change (same URL)","none",IF(M1413="","","301")))))</f>
        <v/>
      </c>
      <c r="O1413" s="22">
        <f>IF(A1413="","",IFERROR(MID(A1413,FIND("/",A1413,FIND("//",A1413)+2),2000),A1413))</f>
        <v/>
      </c>
      <c r="P1413" s="22">
        <f>IF(OR(O1413="",N1413="",N1413="none",N1413="404"),"",IF(N1413="410","Redirect gone "&amp;O1413,"Redirect "&amp;N1413&amp;" "&amp;O1413&amp;" "&amp;M1413))</f>
        <v/>
      </c>
      <c r="Q1413" s="22" t="n"/>
      <c r="R1413" s="22" t="n"/>
      <c r="S1413" s="22" t="n"/>
      <c r="T1413" s="4">
        <f>IF(A1413="","",TRIM(IF(K1413="","Needs decision; ","")&amp;IF(AND(K1413="Accept suggestion",F1413=""),"No suggestion to accept; ","")&amp;IF(AND(K1413="Override",L1413=""),"Override URL missing; ","")&amp;IF(AND(K1413="Accept suggestion",N(G1413)&lt;$G$2),"Below your threshold; ","")&amp;IF(AND(M1413&lt;&gt;"",M1413=A1413,K1413&lt;&gt;"No change (same URL)"),"Redirects to itself; ","")&amp;IF(AND(M1413&lt;&gt;"",OR(M1413="/",AND(LEFT(M1413,4)="http",OR((LEN(M1413)-LEN(SUBSTITUTE(M1413,"/","")))=2,AND((LEN(M1413)-LEN(SUBSTITUTE(M1413,"/","")))=3,RIGHT(M1413,1)="/"))))),"Home page redirect; ","")&amp;IF(N(R1413)&gt;1,"Chain; ","")&amp;IF(S1413="No","Destination not 200; ","")))</f>
        <v/>
      </c>
      <c r="U1413" s="22" t="n"/>
      <c r="V1413" s="22" t="n"/>
      <c r="W1413" s="4" t="n"/>
    </row>
    <row r="1414">
      <c r="A1414" s="22" t="n"/>
      <c r="B1414" s="22" t="n"/>
      <c r="C1414" s="22" t="n"/>
      <c r="D1414" s="22">
        <f>IF(A1414="","",IF(OR(N(B1414)&gt;=$C$2,N(C1414)&gt;=$E$2),"High",IF(OR(N(B1414)&gt;0,N(C1414)&gt;0),"Medium","Low")))</f>
        <v/>
      </c>
      <c r="E1414" s="22" t="n"/>
      <c r="F1414" s="22" t="n"/>
      <c r="G1414" s="22" t="n"/>
      <c r="H1414" s="22" t="n"/>
      <c r="I1414" s="22" t="n"/>
      <c r="J1414" s="22" t="n"/>
      <c r="K1414" s="22" t="n"/>
      <c r="L1414" s="22" t="n"/>
      <c r="M1414" s="22">
        <f>IF(K1414="Override",L1414,IF(K1414="Accept suggestion",F1414,IF(K1414="No change (same URL)",A1414,"")))</f>
        <v/>
      </c>
      <c r="N1414" s="22">
        <f>IF(A1414="","",IF(K1414="410 Gone","410",IF(K1414="404","404",IF(K1414="No change (same URL)","none",IF(M1414="","","301")))))</f>
        <v/>
      </c>
      <c r="O1414" s="22">
        <f>IF(A1414="","",IFERROR(MID(A1414,FIND("/",A1414,FIND("//",A1414)+2),2000),A1414))</f>
        <v/>
      </c>
      <c r="P1414" s="22">
        <f>IF(OR(O1414="",N1414="",N1414="none",N1414="404"),"",IF(N1414="410","Redirect gone "&amp;O1414,"Redirect "&amp;N1414&amp;" "&amp;O1414&amp;" "&amp;M1414))</f>
        <v/>
      </c>
      <c r="Q1414" s="22" t="n"/>
      <c r="R1414" s="22" t="n"/>
      <c r="S1414" s="22" t="n"/>
      <c r="T1414" s="4">
        <f>IF(A1414="","",TRIM(IF(K1414="","Needs decision; ","")&amp;IF(AND(K1414="Accept suggestion",F1414=""),"No suggestion to accept; ","")&amp;IF(AND(K1414="Override",L1414=""),"Override URL missing; ","")&amp;IF(AND(K1414="Accept suggestion",N(G1414)&lt;$G$2),"Below your threshold; ","")&amp;IF(AND(M1414&lt;&gt;"",M1414=A1414,K1414&lt;&gt;"No change (same URL)"),"Redirects to itself; ","")&amp;IF(AND(M1414&lt;&gt;"",OR(M1414="/",AND(LEFT(M1414,4)="http",OR((LEN(M1414)-LEN(SUBSTITUTE(M1414,"/","")))=2,AND((LEN(M1414)-LEN(SUBSTITUTE(M1414,"/","")))=3,RIGHT(M1414,1)="/"))))),"Home page redirect; ","")&amp;IF(N(R1414)&gt;1,"Chain; ","")&amp;IF(S1414="No","Destination not 200; ","")))</f>
        <v/>
      </c>
      <c r="U1414" s="22" t="n"/>
      <c r="V1414" s="22" t="n"/>
      <c r="W1414" s="4" t="n"/>
    </row>
    <row r="1415">
      <c r="A1415" s="22" t="n"/>
      <c r="B1415" s="22" t="n"/>
      <c r="C1415" s="22" t="n"/>
      <c r="D1415" s="22">
        <f>IF(A1415="","",IF(OR(N(B1415)&gt;=$C$2,N(C1415)&gt;=$E$2),"High",IF(OR(N(B1415)&gt;0,N(C1415)&gt;0),"Medium","Low")))</f>
        <v/>
      </c>
      <c r="E1415" s="22" t="n"/>
      <c r="F1415" s="22" t="n"/>
      <c r="G1415" s="22" t="n"/>
      <c r="H1415" s="22" t="n"/>
      <c r="I1415" s="22" t="n"/>
      <c r="J1415" s="22" t="n"/>
      <c r="K1415" s="22" t="n"/>
      <c r="L1415" s="22" t="n"/>
      <c r="M1415" s="22">
        <f>IF(K1415="Override",L1415,IF(K1415="Accept suggestion",F1415,IF(K1415="No change (same URL)",A1415,"")))</f>
        <v/>
      </c>
      <c r="N1415" s="22">
        <f>IF(A1415="","",IF(K1415="410 Gone","410",IF(K1415="404","404",IF(K1415="No change (same URL)","none",IF(M1415="","","301")))))</f>
        <v/>
      </c>
      <c r="O1415" s="22">
        <f>IF(A1415="","",IFERROR(MID(A1415,FIND("/",A1415,FIND("//",A1415)+2),2000),A1415))</f>
        <v/>
      </c>
      <c r="P1415" s="22">
        <f>IF(OR(O1415="",N1415="",N1415="none",N1415="404"),"",IF(N1415="410","Redirect gone "&amp;O1415,"Redirect "&amp;N1415&amp;" "&amp;O1415&amp;" "&amp;M1415))</f>
        <v/>
      </c>
      <c r="Q1415" s="22" t="n"/>
      <c r="R1415" s="22" t="n"/>
      <c r="S1415" s="22" t="n"/>
      <c r="T1415" s="4">
        <f>IF(A1415="","",TRIM(IF(K1415="","Needs decision; ","")&amp;IF(AND(K1415="Accept suggestion",F1415=""),"No suggestion to accept; ","")&amp;IF(AND(K1415="Override",L1415=""),"Override URL missing; ","")&amp;IF(AND(K1415="Accept suggestion",N(G1415)&lt;$G$2),"Below your threshold; ","")&amp;IF(AND(M1415&lt;&gt;"",M1415=A1415,K1415&lt;&gt;"No change (same URL)"),"Redirects to itself; ","")&amp;IF(AND(M1415&lt;&gt;"",OR(M1415="/",AND(LEFT(M1415,4)="http",OR((LEN(M1415)-LEN(SUBSTITUTE(M1415,"/","")))=2,AND((LEN(M1415)-LEN(SUBSTITUTE(M1415,"/","")))=3,RIGHT(M1415,1)="/"))))),"Home page redirect; ","")&amp;IF(N(R1415)&gt;1,"Chain; ","")&amp;IF(S1415="No","Destination not 200; ","")))</f>
        <v/>
      </c>
      <c r="U1415" s="22" t="n"/>
      <c r="V1415" s="22" t="n"/>
      <c r="W1415" s="4" t="n"/>
    </row>
    <row r="1416">
      <c r="A1416" s="22" t="n"/>
      <c r="B1416" s="22" t="n"/>
      <c r="C1416" s="22" t="n"/>
      <c r="D1416" s="22">
        <f>IF(A1416="","",IF(OR(N(B1416)&gt;=$C$2,N(C1416)&gt;=$E$2),"High",IF(OR(N(B1416)&gt;0,N(C1416)&gt;0),"Medium","Low")))</f>
        <v/>
      </c>
      <c r="E1416" s="22" t="n"/>
      <c r="F1416" s="22" t="n"/>
      <c r="G1416" s="22" t="n"/>
      <c r="H1416" s="22" t="n"/>
      <c r="I1416" s="22" t="n"/>
      <c r="J1416" s="22" t="n"/>
      <c r="K1416" s="22" t="n"/>
      <c r="L1416" s="22" t="n"/>
      <c r="M1416" s="22">
        <f>IF(K1416="Override",L1416,IF(K1416="Accept suggestion",F1416,IF(K1416="No change (same URL)",A1416,"")))</f>
        <v/>
      </c>
      <c r="N1416" s="22">
        <f>IF(A1416="","",IF(K1416="410 Gone","410",IF(K1416="404","404",IF(K1416="No change (same URL)","none",IF(M1416="","","301")))))</f>
        <v/>
      </c>
      <c r="O1416" s="22">
        <f>IF(A1416="","",IFERROR(MID(A1416,FIND("/",A1416,FIND("//",A1416)+2),2000),A1416))</f>
        <v/>
      </c>
      <c r="P1416" s="22">
        <f>IF(OR(O1416="",N1416="",N1416="none",N1416="404"),"",IF(N1416="410","Redirect gone "&amp;O1416,"Redirect "&amp;N1416&amp;" "&amp;O1416&amp;" "&amp;M1416))</f>
        <v/>
      </c>
      <c r="Q1416" s="22" t="n"/>
      <c r="R1416" s="22" t="n"/>
      <c r="S1416" s="22" t="n"/>
      <c r="T1416" s="4">
        <f>IF(A1416="","",TRIM(IF(K1416="","Needs decision; ","")&amp;IF(AND(K1416="Accept suggestion",F1416=""),"No suggestion to accept; ","")&amp;IF(AND(K1416="Override",L1416=""),"Override URL missing; ","")&amp;IF(AND(K1416="Accept suggestion",N(G1416)&lt;$G$2),"Below your threshold; ","")&amp;IF(AND(M1416&lt;&gt;"",M1416=A1416,K1416&lt;&gt;"No change (same URL)"),"Redirects to itself; ","")&amp;IF(AND(M1416&lt;&gt;"",OR(M1416="/",AND(LEFT(M1416,4)="http",OR((LEN(M1416)-LEN(SUBSTITUTE(M1416,"/","")))=2,AND((LEN(M1416)-LEN(SUBSTITUTE(M1416,"/","")))=3,RIGHT(M1416,1)="/"))))),"Home page redirect; ","")&amp;IF(N(R1416)&gt;1,"Chain; ","")&amp;IF(S1416="No","Destination not 200; ","")))</f>
        <v/>
      </c>
      <c r="U1416" s="22" t="n"/>
      <c r="V1416" s="22" t="n"/>
      <c r="W1416" s="4" t="n"/>
    </row>
    <row r="1417">
      <c r="A1417" s="22" t="n"/>
      <c r="B1417" s="22" t="n"/>
      <c r="C1417" s="22" t="n"/>
      <c r="D1417" s="22">
        <f>IF(A1417="","",IF(OR(N(B1417)&gt;=$C$2,N(C1417)&gt;=$E$2),"High",IF(OR(N(B1417)&gt;0,N(C1417)&gt;0),"Medium","Low")))</f>
        <v/>
      </c>
      <c r="E1417" s="22" t="n"/>
      <c r="F1417" s="22" t="n"/>
      <c r="G1417" s="22" t="n"/>
      <c r="H1417" s="22" t="n"/>
      <c r="I1417" s="22" t="n"/>
      <c r="J1417" s="22" t="n"/>
      <c r="K1417" s="22" t="n"/>
      <c r="L1417" s="22" t="n"/>
      <c r="M1417" s="22">
        <f>IF(K1417="Override",L1417,IF(K1417="Accept suggestion",F1417,IF(K1417="No change (same URL)",A1417,"")))</f>
        <v/>
      </c>
      <c r="N1417" s="22">
        <f>IF(A1417="","",IF(K1417="410 Gone","410",IF(K1417="404","404",IF(K1417="No change (same URL)","none",IF(M1417="","","301")))))</f>
        <v/>
      </c>
      <c r="O1417" s="22">
        <f>IF(A1417="","",IFERROR(MID(A1417,FIND("/",A1417,FIND("//",A1417)+2),2000),A1417))</f>
        <v/>
      </c>
      <c r="P1417" s="22">
        <f>IF(OR(O1417="",N1417="",N1417="none",N1417="404"),"",IF(N1417="410","Redirect gone "&amp;O1417,"Redirect "&amp;N1417&amp;" "&amp;O1417&amp;" "&amp;M1417))</f>
        <v/>
      </c>
      <c r="Q1417" s="22" t="n"/>
      <c r="R1417" s="22" t="n"/>
      <c r="S1417" s="22" t="n"/>
      <c r="T1417" s="4">
        <f>IF(A1417="","",TRIM(IF(K1417="","Needs decision; ","")&amp;IF(AND(K1417="Accept suggestion",F1417=""),"No suggestion to accept; ","")&amp;IF(AND(K1417="Override",L1417=""),"Override URL missing; ","")&amp;IF(AND(K1417="Accept suggestion",N(G1417)&lt;$G$2),"Below your threshold; ","")&amp;IF(AND(M1417&lt;&gt;"",M1417=A1417,K1417&lt;&gt;"No change (same URL)"),"Redirects to itself; ","")&amp;IF(AND(M1417&lt;&gt;"",OR(M1417="/",AND(LEFT(M1417,4)="http",OR((LEN(M1417)-LEN(SUBSTITUTE(M1417,"/","")))=2,AND((LEN(M1417)-LEN(SUBSTITUTE(M1417,"/","")))=3,RIGHT(M1417,1)="/"))))),"Home page redirect; ","")&amp;IF(N(R1417)&gt;1,"Chain; ","")&amp;IF(S1417="No","Destination not 200; ","")))</f>
        <v/>
      </c>
      <c r="U1417" s="22" t="n"/>
      <c r="V1417" s="22" t="n"/>
      <c r="W1417" s="4" t="n"/>
    </row>
    <row r="1418">
      <c r="A1418" s="22" t="n"/>
      <c r="B1418" s="22" t="n"/>
      <c r="C1418" s="22" t="n"/>
      <c r="D1418" s="22">
        <f>IF(A1418="","",IF(OR(N(B1418)&gt;=$C$2,N(C1418)&gt;=$E$2),"High",IF(OR(N(B1418)&gt;0,N(C1418)&gt;0),"Medium","Low")))</f>
        <v/>
      </c>
      <c r="E1418" s="22" t="n"/>
      <c r="F1418" s="22" t="n"/>
      <c r="G1418" s="22" t="n"/>
      <c r="H1418" s="22" t="n"/>
      <c r="I1418" s="22" t="n"/>
      <c r="J1418" s="22" t="n"/>
      <c r="K1418" s="22" t="n"/>
      <c r="L1418" s="22" t="n"/>
      <c r="M1418" s="22">
        <f>IF(K1418="Override",L1418,IF(K1418="Accept suggestion",F1418,IF(K1418="No change (same URL)",A1418,"")))</f>
        <v/>
      </c>
      <c r="N1418" s="22">
        <f>IF(A1418="","",IF(K1418="410 Gone","410",IF(K1418="404","404",IF(K1418="No change (same URL)","none",IF(M1418="","","301")))))</f>
        <v/>
      </c>
      <c r="O1418" s="22">
        <f>IF(A1418="","",IFERROR(MID(A1418,FIND("/",A1418,FIND("//",A1418)+2),2000),A1418))</f>
        <v/>
      </c>
      <c r="P1418" s="22">
        <f>IF(OR(O1418="",N1418="",N1418="none",N1418="404"),"",IF(N1418="410","Redirect gone "&amp;O1418,"Redirect "&amp;N1418&amp;" "&amp;O1418&amp;" "&amp;M1418))</f>
        <v/>
      </c>
      <c r="Q1418" s="22" t="n"/>
      <c r="R1418" s="22" t="n"/>
      <c r="S1418" s="22" t="n"/>
      <c r="T1418" s="4">
        <f>IF(A1418="","",TRIM(IF(K1418="","Needs decision; ","")&amp;IF(AND(K1418="Accept suggestion",F1418=""),"No suggestion to accept; ","")&amp;IF(AND(K1418="Override",L1418=""),"Override URL missing; ","")&amp;IF(AND(K1418="Accept suggestion",N(G1418)&lt;$G$2),"Below your threshold; ","")&amp;IF(AND(M1418&lt;&gt;"",M1418=A1418,K1418&lt;&gt;"No change (same URL)"),"Redirects to itself; ","")&amp;IF(AND(M1418&lt;&gt;"",OR(M1418="/",AND(LEFT(M1418,4)="http",OR((LEN(M1418)-LEN(SUBSTITUTE(M1418,"/","")))=2,AND((LEN(M1418)-LEN(SUBSTITUTE(M1418,"/","")))=3,RIGHT(M1418,1)="/"))))),"Home page redirect; ","")&amp;IF(N(R1418)&gt;1,"Chain; ","")&amp;IF(S1418="No","Destination not 200; ","")))</f>
        <v/>
      </c>
      <c r="U1418" s="22" t="n"/>
      <c r="V1418" s="22" t="n"/>
      <c r="W1418" s="4" t="n"/>
    </row>
    <row r="1419">
      <c r="A1419" s="22" t="n"/>
      <c r="B1419" s="22" t="n"/>
      <c r="C1419" s="22" t="n"/>
      <c r="D1419" s="22">
        <f>IF(A1419="","",IF(OR(N(B1419)&gt;=$C$2,N(C1419)&gt;=$E$2),"High",IF(OR(N(B1419)&gt;0,N(C1419)&gt;0),"Medium","Low")))</f>
        <v/>
      </c>
      <c r="E1419" s="22" t="n"/>
      <c r="F1419" s="22" t="n"/>
      <c r="G1419" s="22" t="n"/>
      <c r="H1419" s="22" t="n"/>
      <c r="I1419" s="22" t="n"/>
      <c r="J1419" s="22" t="n"/>
      <c r="K1419" s="22" t="n"/>
      <c r="L1419" s="22" t="n"/>
      <c r="M1419" s="22">
        <f>IF(K1419="Override",L1419,IF(K1419="Accept suggestion",F1419,IF(K1419="No change (same URL)",A1419,"")))</f>
        <v/>
      </c>
      <c r="N1419" s="22">
        <f>IF(A1419="","",IF(K1419="410 Gone","410",IF(K1419="404","404",IF(K1419="No change (same URL)","none",IF(M1419="","","301")))))</f>
        <v/>
      </c>
      <c r="O1419" s="22">
        <f>IF(A1419="","",IFERROR(MID(A1419,FIND("/",A1419,FIND("//",A1419)+2),2000),A1419))</f>
        <v/>
      </c>
      <c r="P1419" s="22">
        <f>IF(OR(O1419="",N1419="",N1419="none",N1419="404"),"",IF(N1419="410","Redirect gone "&amp;O1419,"Redirect "&amp;N1419&amp;" "&amp;O1419&amp;" "&amp;M1419))</f>
        <v/>
      </c>
      <c r="Q1419" s="22" t="n"/>
      <c r="R1419" s="22" t="n"/>
      <c r="S1419" s="22" t="n"/>
      <c r="T1419" s="4">
        <f>IF(A1419="","",TRIM(IF(K1419="","Needs decision; ","")&amp;IF(AND(K1419="Accept suggestion",F1419=""),"No suggestion to accept; ","")&amp;IF(AND(K1419="Override",L1419=""),"Override URL missing; ","")&amp;IF(AND(K1419="Accept suggestion",N(G1419)&lt;$G$2),"Below your threshold; ","")&amp;IF(AND(M1419&lt;&gt;"",M1419=A1419,K1419&lt;&gt;"No change (same URL)"),"Redirects to itself; ","")&amp;IF(AND(M1419&lt;&gt;"",OR(M1419="/",AND(LEFT(M1419,4)="http",OR((LEN(M1419)-LEN(SUBSTITUTE(M1419,"/","")))=2,AND((LEN(M1419)-LEN(SUBSTITUTE(M1419,"/","")))=3,RIGHT(M1419,1)="/"))))),"Home page redirect; ","")&amp;IF(N(R1419)&gt;1,"Chain; ","")&amp;IF(S1419="No","Destination not 200; ","")))</f>
        <v/>
      </c>
      <c r="U1419" s="22" t="n"/>
      <c r="V1419" s="22" t="n"/>
      <c r="W1419" s="4" t="n"/>
    </row>
    <row r="1420">
      <c r="A1420" s="22" t="n"/>
      <c r="B1420" s="22" t="n"/>
      <c r="C1420" s="22" t="n"/>
      <c r="D1420" s="22">
        <f>IF(A1420="","",IF(OR(N(B1420)&gt;=$C$2,N(C1420)&gt;=$E$2),"High",IF(OR(N(B1420)&gt;0,N(C1420)&gt;0),"Medium","Low")))</f>
        <v/>
      </c>
      <c r="E1420" s="22" t="n"/>
      <c r="F1420" s="22" t="n"/>
      <c r="G1420" s="22" t="n"/>
      <c r="H1420" s="22" t="n"/>
      <c r="I1420" s="22" t="n"/>
      <c r="J1420" s="22" t="n"/>
      <c r="K1420" s="22" t="n"/>
      <c r="L1420" s="22" t="n"/>
      <c r="M1420" s="22">
        <f>IF(K1420="Override",L1420,IF(K1420="Accept suggestion",F1420,IF(K1420="No change (same URL)",A1420,"")))</f>
        <v/>
      </c>
      <c r="N1420" s="22">
        <f>IF(A1420="","",IF(K1420="410 Gone","410",IF(K1420="404","404",IF(K1420="No change (same URL)","none",IF(M1420="","","301")))))</f>
        <v/>
      </c>
      <c r="O1420" s="22">
        <f>IF(A1420="","",IFERROR(MID(A1420,FIND("/",A1420,FIND("//",A1420)+2),2000),A1420))</f>
        <v/>
      </c>
      <c r="P1420" s="22">
        <f>IF(OR(O1420="",N1420="",N1420="none",N1420="404"),"",IF(N1420="410","Redirect gone "&amp;O1420,"Redirect "&amp;N1420&amp;" "&amp;O1420&amp;" "&amp;M1420))</f>
        <v/>
      </c>
      <c r="Q1420" s="22" t="n"/>
      <c r="R1420" s="22" t="n"/>
      <c r="S1420" s="22" t="n"/>
      <c r="T1420" s="4">
        <f>IF(A1420="","",TRIM(IF(K1420="","Needs decision; ","")&amp;IF(AND(K1420="Accept suggestion",F1420=""),"No suggestion to accept; ","")&amp;IF(AND(K1420="Override",L1420=""),"Override URL missing; ","")&amp;IF(AND(K1420="Accept suggestion",N(G1420)&lt;$G$2),"Below your threshold; ","")&amp;IF(AND(M1420&lt;&gt;"",M1420=A1420,K1420&lt;&gt;"No change (same URL)"),"Redirects to itself; ","")&amp;IF(AND(M1420&lt;&gt;"",OR(M1420="/",AND(LEFT(M1420,4)="http",OR((LEN(M1420)-LEN(SUBSTITUTE(M1420,"/","")))=2,AND((LEN(M1420)-LEN(SUBSTITUTE(M1420,"/","")))=3,RIGHT(M1420,1)="/"))))),"Home page redirect; ","")&amp;IF(N(R1420)&gt;1,"Chain; ","")&amp;IF(S1420="No","Destination not 200; ","")))</f>
        <v/>
      </c>
      <c r="U1420" s="22" t="n"/>
      <c r="V1420" s="22" t="n"/>
      <c r="W1420" s="4" t="n"/>
    </row>
    <row r="1421">
      <c r="A1421" s="22" t="n"/>
      <c r="B1421" s="22" t="n"/>
      <c r="C1421" s="22" t="n"/>
      <c r="D1421" s="22">
        <f>IF(A1421="","",IF(OR(N(B1421)&gt;=$C$2,N(C1421)&gt;=$E$2),"High",IF(OR(N(B1421)&gt;0,N(C1421)&gt;0),"Medium","Low")))</f>
        <v/>
      </c>
      <c r="E1421" s="22" t="n"/>
      <c r="F1421" s="22" t="n"/>
      <c r="G1421" s="22" t="n"/>
      <c r="H1421" s="22" t="n"/>
      <c r="I1421" s="22" t="n"/>
      <c r="J1421" s="22" t="n"/>
      <c r="K1421" s="22" t="n"/>
      <c r="L1421" s="22" t="n"/>
      <c r="M1421" s="22">
        <f>IF(K1421="Override",L1421,IF(K1421="Accept suggestion",F1421,IF(K1421="No change (same URL)",A1421,"")))</f>
        <v/>
      </c>
      <c r="N1421" s="22">
        <f>IF(A1421="","",IF(K1421="410 Gone","410",IF(K1421="404","404",IF(K1421="No change (same URL)","none",IF(M1421="","","301")))))</f>
        <v/>
      </c>
      <c r="O1421" s="22">
        <f>IF(A1421="","",IFERROR(MID(A1421,FIND("/",A1421,FIND("//",A1421)+2),2000),A1421))</f>
        <v/>
      </c>
      <c r="P1421" s="22">
        <f>IF(OR(O1421="",N1421="",N1421="none",N1421="404"),"",IF(N1421="410","Redirect gone "&amp;O1421,"Redirect "&amp;N1421&amp;" "&amp;O1421&amp;" "&amp;M1421))</f>
        <v/>
      </c>
      <c r="Q1421" s="22" t="n"/>
      <c r="R1421" s="22" t="n"/>
      <c r="S1421" s="22" t="n"/>
      <c r="T1421" s="4">
        <f>IF(A1421="","",TRIM(IF(K1421="","Needs decision; ","")&amp;IF(AND(K1421="Accept suggestion",F1421=""),"No suggestion to accept; ","")&amp;IF(AND(K1421="Override",L1421=""),"Override URL missing; ","")&amp;IF(AND(K1421="Accept suggestion",N(G1421)&lt;$G$2),"Below your threshold; ","")&amp;IF(AND(M1421&lt;&gt;"",M1421=A1421,K1421&lt;&gt;"No change (same URL)"),"Redirects to itself; ","")&amp;IF(AND(M1421&lt;&gt;"",OR(M1421="/",AND(LEFT(M1421,4)="http",OR((LEN(M1421)-LEN(SUBSTITUTE(M1421,"/","")))=2,AND((LEN(M1421)-LEN(SUBSTITUTE(M1421,"/","")))=3,RIGHT(M1421,1)="/"))))),"Home page redirect; ","")&amp;IF(N(R1421)&gt;1,"Chain; ","")&amp;IF(S1421="No","Destination not 200; ","")))</f>
        <v/>
      </c>
      <c r="U1421" s="22" t="n"/>
      <c r="V1421" s="22" t="n"/>
      <c r="W1421" s="4" t="n"/>
    </row>
    <row r="1422">
      <c r="A1422" s="22" t="n"/>
      <c r="B1422" s="22" t="n"/>
      <c r="C1422" s="22" t="n"/>
      <c r="D1422" s="22">
        <f>IF(A1422="","",IF(OR(N(B1422)&gt;=$C$2,N(C1422)&gt;=$E$2),"High",IF(OR(N(B1422)&gt;0,N(C1422)&gt;0),"Medium","Low")))</f>
        <v/>
      </c>
      <c r="E1422" s="22" t="n"/>
      <c r="F1422" s="22" t="n"/>
      <c r="G1422" s="22" t="n"/>
      <c r="H1422" s="22" t="n"/>
      <c r="I1422" s="22" t="n"/>
      <c r="J1422" s="22" t="n"/>
      <c r="K1422" s="22" t="n"/>
      <c r="L1422" s="22" t="n"/>
      <c r="M1422" s="22">
        <f>IF(K1422="Override",L1422,IF(K1422="Accept suggestion",F1422,IF(K1422="No change (same URL)",A1422,"")))</f>
        <v/>
      </c>
      <c r="N1422" s="22">
        <f>IF(A1422="","",IF(K1422="410 Gone","410",IF(K1422="404","404",IF(K1422="No change (same URL)","none",IF(M1422="","","301")))))</f>
        <v/>
      </c>
      <c r="O1422" s="22">
        <f>IF(A1422="","",IFERROR(MID(A1422,FIND("/",A1422,FIND("//",A1422)+2),2000),A1422))</f>
        <v/>
      </c>
      <c r="P1422" s="22">
        <f>IF(OR(O1422="",N1422="",N1422="none",N1422="404"),"",IF(N1422="410","Redirect gone "&amp;O1422,"Redirect "&amp;N1422&amp;" "&amp;O1422&amp;" "&amp;M1422))</f>
        <v/>
      </c>
      <c r="Q1422" s="22" t="n"/>
      <c r="R1422" s="22" t="n"/>
      <c r="S1422" s="22" t="n"/>
      <c r="T1422" s="4">
        <f>IF(A1422="","",TRIM(IF(K1422="","Needs decision; ","")&amp;IF(AND(K1422="Accept suggestion",F1422=""),"No suggestion to accept; ","")&amp;IF(AND(K1422="Override",L1422=""),"Override URL missing; ","")&amp;IF(AND(K1422="Accept suggestion",N(G1422)&lt;$G$2),"Below your threshold; ","")&amp;IF(AND(M1422&lt;&gt;"",M1422=A1422,K1422&lt;&gt;"No change (same URL)"),"Redirects to itself; ","")&amp;IF(AND(M1422&lt;&gt;"",OR(M1422="/",AND(LEFT(M1422,4)="http",OR((LEN(M1422)-LEN(SUBSTITUTE(M1422,"/","")))=2,AND((LEN(M1422)-LEN(SUBSTITUTE(M1422,"/","")))=3,RIGHT(M1422,1)="/"))))),"Home page redirect; ","")&amp;IF(N(R1422)&gt;1,"Chain; ","")&amp;IF(S1422="No","Destination not 200; ","")))</f>
        <v/>
      </c>
      <c r="U1422" s="22" t="n"/>
      <c r="V1422" s="22" t="n"/>
      <c r="W1422" s="4" t="n"/>
    </row>
    <row r="1423">
      <c r="A1423" s="22" t="n"/>
      <c r="B1423" s="22" t="n"/>
      <c r="C1423" s="22" t="n"/>
      <c r="D1423" s="22">
        <f>IF(A1423="","",IF(OR(N(B1423)&gt;=$C$2,N(C1423)&gt;=$E$2),"High",IF(OR(N(B1423)&gt;0,N(C1423)&gt;0),"Medium","Low")))</f>
        <v/>
      </c>
      <c r="E1423" s="22" t="n"/>
      <c r="F1423" s="22" t="n"/>
      <c r="G1423" s="22" t="n"/>
      <c r="H1423" s="22" t="n"/>
      <c r="I1423" s="22" t="n"/>
      <c r="J1423" s="22" t="n"/>
      <c r="K1423" s="22" t="n"/>
      <c r="L1423" s="22" t="n"/>
      <c r="M1423" s="22">
        <f>IF(K1423="Override",L1423,IF(K1423="Accept suggestion",F1423,IF(K1423="No change (same URL)",A1423,"")))</f>
        <v/>
      </c>
      <c r="N1423" s="22">
        <f>IF(A1423="","",IF(K1423="410 Gone","410",IF(K1423="404","404",IF(K1423="No change (same URL)","none",IF(M1423="","","301")))))</f>
        <v/>
      </c>
      <c r="O1423" s="22">
        <f>IF(A1423="","",IFERROR(MID(A1423,FIND("/",A1423,FIND("//",A1423)+2),2000),A1423))</f>
        <v/>
      </c>
      <c r="P1423" s="22">
        <f>IF(OR(O1423="",N1423="",N1423="none",N1423="404"),"",IF(N1423="410","Redirect gone "&amp;O1423,"Redirect "&amp;N1423&amp;" "&amp;O1423&amp;" "&amp;M1423))</f>
        <v/>
      </c>
      <c r="Q1423" s="22" t="n"/>
      <c r="R1423" s="22" t="n"/>
      <c r="S1423" s="22" t="n"/>
      <c r="T1423" s="4">
        <f>IF(A1423="","",TRIM(IF(K1423="","Needs decision; ","")&amp;IF(AND(K1423="Accept suggestion",F1423=""),"No suggestion to accept; ","")&amp;IF(AND(K1423="Override",L1423=""),"Override URL missing; ","")&amp;IF(AND(K1423="Accept suggestion",N(G1423)&lt;$G$2),"Below your threshold; ","")&amp;IF(AND(M1423&lt;&gt;"",M1423=A1423,K1423&lt;&gt;"No change (same URL)"),"Redirects to itself; ","")&amp;IF(AND(M1423&lt;&gt;"",OR(M1423="/",AND(LEFT(M1423,4)="http",OR((LEN(M1423)-LEN(SUBSTITUTE(M1423,"/","")))=2,AND((LEN(M1423)-LEN(SUBSTITUTE(M1423,"/","")))=3,RIGHT(M1423,1)="/"))))),"Home page redirect; ","")&amp;IF(N(R1423)&gt;1,"Chain; ","")&amp;IF(S1423="No","Destination not 200; ","")))</f>
        <v/>
      </c>
      <c r="U1423" s="22" t="n"/>
      <c r="V1423" s="22" t="n"/>
      <c r="W1423" s="4" t="n"/>
    </row>
    <row r="1424">
      <c r="A1424" s="22" t="n"/>
      <c r="B1424" s="22" t="n"/>
      <c r="C1424" s="22" t="n"/>
      <c r="D1424" s="22">
        <f>IF(A1424="","",IF(OR(N(B1424)&gt;=$C$2,N(C1424)&gt;=$E$2),"High",IF(OR(N(B1424)&gt;0,N(C1424)&gt;0),"Medium","Low")))</f>
        <v/>
      </c>
      <c r="E1424" s="22" t="n"/>
      <c r="F1424" s="22" t="n"/>
      <c r="G1424" s="22" t="n"/>
      <c r="H1424" s="22" t="n"/>
      <c r="I1424" s="22" t="n"/>
      <c r="J1424" s="22" t="n"/>
      <c r="K1424" s="22" t="n"/>
      <c r="L1424" s="22" t="n"/>
      <c r="M1424" s="22">
        <f>IF(K1424="Override",L1424,IF(K1424="Accept suggestion",F1424,IF(K1424="No change (same URL)",A1424,"")))</f>
        <v/>
      </c>
      <c r="N1424" s="22">
        <f>IF(A1424="","",IF(K1424="410 Gone","410",IF(K1424="404","404",IF(K1424="No change (same URL)","none",IF(M1424="","","301")))))</f>
        <v/>
      </c>
      <c r="O1424" s="22">
        <f>IF(A1424="","",IFERROR(MID(A1424,FIND("/",A1424,FIND("//",A1424)+2),2000),A1424))</f>
        <v/>
      </c>
      <c r="P1424" s="22">
        <f>IF(OR(O1424="",N1424="",N1424="none",N1424="404"),"",IF(N1424="410","Redirect gone "&amp;O1424,"Redirect "&amp;N1424&amp;" "&amp;O1424&amp;" "&amp;M1424))</f>
        <v/>
      </c>
      <c r="Q1424" s="22" t="n"/>
      <c r="R1424" s="22" t="n"/>
      <c r="S1424" s="22" t="n"/>
      <c r="T1424" s="4">
        <f>IF(A1424="","",TRIM(IF(K1424="","Needs decision; ","")&amp;IF(AND(K1424="Accept suggestion",F1424=""),"No suggestion to accept; ","")&amp;IF(AND(K1424="Override",L1424=""),"Override URL missing; ","")&amp;IF(AND(K1424="Accept suggestion",N(G1424)&lt;$G$2),"Below your threshold; ","")&amp;IF(AND(M1424&lt;&gt;"",M1424=A1424,K1424&lt;&gt;"No change (same URL)"),"Redirects to itself; ","")&amp;IF(AND(M1424&lt;&gt;"",OR(M1424="/",AND(LEFT(M1424,4)="http",OR((LEN(M1424)-LEN(SUBSTITUTE(M1424,"/","")))=2,AND((LEN(M1424)-LEN(SUBSTITUTE(M1424,"/","")))=3,RIGHT(M1424,1)="/"))))),"Home page redirect; ","")&amp;IF(N(R1424)&gt;1,"Chain; ","")&amp;IF(S1424="No","Destination not 200; ","")))</f>
        <v/>
      </c>
      <c r="U1424" s="22" t="n"/>
      <c r="V1424" s="22" t="n"/>
      <c r="W1424" s="4" t="n"/>
    </row>
    <row r="1425">
      <c r="A1425" s="22" t="n"/>
      <c r="B1425" s="22" t="n"/>
      <c r="C1425" s="22" t="n"/>
      <c r="D1425" s="22">
        <f>IF(A1425="","",IF(OR(N(B1425)&gt;=$C$2,N(C1425)&gt;=$E$2),"High",IF(OR(N(B1425)&gt;0,N(C1425)&gt;0),"Medium","Low")))</f>
        <v/>
      </c>
      <c r="E1425" s="22" t="n"/>
      <c r="F1425" s="22" t="n"/>
      <c r="G1425" s="22" t="n"/>
      <c r="H1425" s="22" t="n"/>
      <c r="I1425" s="22" t="n"/>
      <c r="J1425" s="22" t="n"/>
      <c r="K1425" s="22" t="n"/>
      <c r="L1425" s="22" t="n"/>
      <c r="M1425" s="22">
        <f>IF(K1425="Override",L1425,IF(K1425="Accept suggestion",F1425,IF(K1425="No change (same URL)",A1425,"")))</f>
        <v/>
      </c>
      <c r="N1425" s="22">
        <f>IF(A1425="","",IF(K1425="410 Gone","410",IF(K1425="404","404",IF(K1425="No change (same URL)","none",IF(M1425="","","301")))))</f>
        <v/>
      </c>
      <c r="O1425" s="22">
        <f>IF(A1425="","",IFERROR(MID(A1425,FIND("/",A1425,FIND("//",A1425)+2),2000),A1425))</f>
        <v/>
      </c>
      <c r="P1425" s="22">
        <f>IF(OR(O1425="",N1425="",N1425="none",N1425="404"),"",IF(N1425="410","Redirect gone "&amp;O1425,"Redirect "&amp;N1425&amp;" "&amp;O1425&amp;" "&amp;M1425))</f>
        <v/>
      </c>
      <c r="Q1425" s="22" t="n"/>
      <c r="R1425" s="22" t="n"/>
      <c r="S1425" s="22" t="n"/>
      <c r="T1425" s="4">
        <f>IF(A1425="","",TRIM(IF(K1425="","Needs decision; ","")&amp;IF(AND(K1425="Accept suggestion",F1425=""),"No suggestion to accept; ","")&amp;IF(AND(K1425="Override",L1425=""),"Override URL missing; ","")&amp;IF(AND(K1425="Accept suggestion",N(G1425)&lt;$G$2),"Below your threshold; ","")&amp;IF(AND(M1425&lt;&gt;"",M1425=A1425,K1425&lt;&gt;"No change (same URL)"),"Redirects to itself; ","")&amp;IF(AND(M1425&lt;&gt;"",OR(M1425="/",AND(LEFT(M1425,4)="http",OR((LEN(M1425)-LEN(SUBSTITUTE(M1425,"/","")))=2,AND((LEN(M1425)-LEN(SUBSTITUTE(M1425,"/","")))=3,RIGHT(M1425,1)="/"))))),"Home page redirect; ","")&amp;IF(N(R1425)&gt;1,"Chain; ","")&amp;IF(S1425="No","Destination not 200; ","")))</f>
        <v/>
      </c>
      <c r="U1425" s="22" t="n"/>
      <c r="V1425" s="22" t="n"/>
      <c r="W1425" s="4" t="n"/>
    </row>
    <row r="1426">
      <c r="A1426" s="22" t="n"/>
      <c r="B1426" s="22" t="n"/>
      <c r="C1426" s="22" t="n"/>
      <c r="D1426" s="22">
        <f>IF(A1426="","",IF(OR(N(B1426)&gt;=$C$2,N(C1426)&gt;=$E$2),"High",IF(OR(N(B1426)&gt;0,N(C1426)&gt;0),"Medium","Low")))</f>
        <v/>
      </c>
      <c r="E1426" s="22" t="n"/>
      <c r="F1426" s="22" t="n"/>
      <c r="G1426" s="22" t="n"/>
      <c r="H1426" s="22" t="n"/>
      <c r="I1426" s="22" t="n"/>
      <c r="J1426" s="22" t="n"/>
      <c r="K1426" s="22" t="n"/>
      <c r="L1426" s="22" t="n"/>
      <c r="M1426" s="22">
        <f>IF(K1426="Override",L1426,IF(K1426="Accept suggestion",F1426,IF(K1426="No change (same URL)",A1426,"")))</f>
        <v/>
      </c>
      <c r="N1426" s="22">
        <f>IF(A1426="","",IF(K1426="410 Gone","410",IF(K1426="404","404",IF(K1426="No change (same URL)","none",IF(M1426="","","301")))))</f>
        <v/>
      </c>
      <c r="O1426" s="22">
        <f>IF(A1426="","",IFERROR(MID(A1426,FIND("/",A1426,FIND("//",A1426)+2),2000),A1426))</f>
        <v/>
      </c>
      <c r="P1426" s="22">
        <f>IF(OR(O1426="",N1426="",N1426="none",N1426="404"),"",IF(N1426="410","Redirect gone "&amp;O1426,"Redirect "&amp;N1426&amp;" "&amp;O1426&amp;" "&amp;M1426))</f>
        <v/>
      </c>
      <c r="Q1426" s="22" t="n"/>
      <c r="R1426" s="22" t="n"/>
      <c r="S1426" s="22" t="n"/>
      <c r="T1426" s="4">
        <f>IF(A1426="","",TRIM(IF(K1426="","Needs decision; ","")&amp;IF(AND(K1426="Accept suggestion",F1426=""),"No suggestion to accept; ","")&amp;IF(AND(K1426="Override",L1426=""),"Override URL missing; ","")&amp;IF(AND(K1426="Accept suggestion",N(G1426)&lt;$G$2),"Below your threshold; ","")&amp;IF(AND(M1426&lt;&gt;"",M1426=A1426,K1426&lt;&gt;"No change (same URL)"),"Redirects to itself; ","")&amp;IF(AND(M1426&lt;&gt;"",OR(M1426="/",AND(LEFT(M1426,4)="http",OR((LEN(M1426)-LEN(SUBSTITUTE(M1426,"/","")))=2,AND((LEN(M1426)-LEN(SUBSTITUTE(M1426,"/","")))=3,RIGHT(M1426,1)="/"))))),"Home page redirect; ","")&amp;IF(N(R1426)&gt;1,"Chain; ","")&amp;IF(S1426="No","Destination not 200; ","")))</f>
        <v/>
      </c>
      <c r="U1426" s="22" t="n"/>
      <c r="V1426" s="22" t="n"/>
      <c r="W1426" s="4" t="n"/>
    </row>
    <row r="1427">
      <c r="A1427" s="22" t="n"/>
      <c r="B1427" s="22" t="n"/>
      <c r="C1427" s="22" t="n"/>
      <c r="D1427" s="22">
        <f>IF(A1427="","",IF(OR(N(B1427)&gt;=$C$2,N(C1427)&gt;=$E$2),"High",IF(OR(N(B1427)&gt;0,N(C1427)&gt;0),"Medium","Low")))</f>
        <v/>
      </c>
      <c r="E1427" s="22" t="n"/>
      <c r="F1427" s="22" t="n"/>
      <c r="G1427" s="22" t="n"/>
      <c r="H1427" s="22" t="n"/>
      <c r="I1427" s="22" t="n"/>
      <c r="J1427" s="22" t="n"/>
      <c r="K1427" s="22" t="n"/>
      <c r="L1427" s="22" t="n"/>
      <c r="M1427" s="22">
        <f>IF(K1427="Override",L1427,IF(K1427="Accept suggestion",F1427,IF(K1427="No change (same URL)",A1427,"")))</f>
        <v/>
      </c>
      <c r="N1427" s="22">
        <f>IF(A1427="","",IF(K1427="410 Gone","410",IF(K1427="404","404",IF(K1427="No change (same URL)","none",IF(M1427="","","301")))))</f>
        <v/>
      </c>
      <c r="O1427" s="22">
        <f>IF(A1427="","",IFERROR(MID(A1427,FIND("/",A1427,FIND("//",A1427)+2),2000),A1427))</f>
        <v/>
      </c>
      <c r="P1427" s="22">
        <f>IF(OR(O1427="",N1427="",N1427="none",N1427="404"),"",IF(N1427="410","Redirect gone "&amp;O1427,"Redirect "&amp;N1427&amp;" "&amp;O1427&amp;" "&amp;M1427))</f>
        <v/>
      </c>
      <c r="Q1427" s="22" t="n"/>
      <c r="R1427" s="22" t="n"/>
      <c r="S1427" s="22" t="n"/>
      <c r="T1427" s="4">
        <f>IF(A1427="","",TRIM(IF(K1427="","Needs decision; ","")&amp;IF(AND(K1427="Accept suggestion",F1427=""),"No suggestion to accept; ","")&amp;IF(AND(K1427="Override",L1427=""),"Override URL missing; ","")&amp;IF(AND(K1427="Accept suggestion",N(G1427)&lt;$G$2),"Below your threshold; ","")&amp;IF(AND(M1427&lt;&gt;"",M1427=A1427,K1427&lt;&gt;"No change (same URL)"),"Redirects to itself; ","")&amp;IF(AND(M1427&lt;&gt;"",OR(M1427="/",AND(LEFT(M1427,4)="http",OR((LEN(M1427)-LEN(SUBSTITUTE(M1427,"/","")))=2,AND((LEN(M1427)-LEN(SUBSTITUTE(M1427,"/","")))=3,RIGHT(M1427,1)="/"))))),"Home page redirect; ","")&amp;IF(N(R1427)&gt;1,"Chain; ","")&amp;IF(S1427="No","Destination not 200; ","")))</f>
        <v/>
      </c>
      <c r="U1427" s="22" t="n"/>
      <c r="V1427" s="22" t="n"/>
      <c r="W1427" s="4" t="n"/>
    </row>
    <row r="1428">
      <c r="A1428" s="22" t="n"/>
      <c r="B1428" s="22" t="n"/>
      <c r="C1428" s="22" t="n"/>
      <c r="D1428" s="22">
        <f>IF(A1428="","",IF(OR(N(B1428)&gt;=$C$2,N(C1428)&gt;=$E$2),"High",IF(OR(N(B1428)&gt;0,N(C1428)&gt;0),"Medium","Low")))</f>
        <v/>
      </c>
      <c r="E1428" s="22" t="n"/>
      <c r="F1428" s="22" t="n"/>
      <c r="G1428" s="22" t="n"/>
      <c r="H1428" s="22" t="n"/>
      <c r="I1428" s="22" t="n"/>
      <c r="J1428" s="22" t="n"/>
      <c r="K1428" s="22" t="n"/>
      <c r="L1428" s="22" t="n"/>
      <c r="M1428" s="22">
        <f>IF(K1428="Override",L1428,IF(K1428="Accept suggestion",F1428,IF(K1428="No change (same URL)",A1428,"")))</f>
        <v/>
      </c>
      <c r="N1428" s="22">
        <f>IF(A1428="","",IF(K1428="410 Gone","410",IF(K1428="404","404",IF(K1428="No change (same URL)","none",IF(M1428="","","301")))))</f>
        <v/>
      </c>
      <c r="O1428" s="22">
        <f>IF(A1428="","",IFERROR(MID(A1428,FIND("/",A1428,FIND("//",A1428)+2),2000),A1428))</f>
        <v/>
      </c>
      <c r="P1428" s="22">
        <f>IF(OR(O1428="",N1428="",N1428="none",N1428="404"),"",IF(N1428="410","Redirect gone "&amp;O1428,"Redirect "&amp;N1428&amp;" "&amp;O1428&amp;" "&amp;M1428))</f>
        <v/>
      </c>
      <c r="Q1428" s="22" t="n"/>
      <c r="R1428" s="22" t="n"/>
      <c r="S1428" s="22" t="n"/>
      <c r="T1428" s="4">
        <f>IF(A1428="","",TRIM(IF(K1428="","Needs decision; ","")&amp;IF(AND(K1428="Accept suggestion",F1428=""),"No suggestion to accept; ","")&amp;IF(AND(K1428="Override",L1428=""),"Override URL missing; ","")&amp;IF(AND(K1428="Accept suggestion",N(G1428)&lt;$G$2),"Below your threshold; ","")&amp;IF(AND(M1428&lt;&gt;"",M1428=A1428,K1428&lt;&gt;"No change (same URL)"),"Redirects to itself; ","")&amp;IF(AND(M1428&lt;&gt;"",OR(M1428="/",AND(LEFT(M1428,4)="http",OR((LEN(M1428)-LEN(SUBSTITUTE(M1428,"/","")))=2,AND((LEN(M1428)-LEN(SUBSTITUTE(M1428,"/","")))=3,RIGHT(M1428,1)="/"))))),"Home page redirect; ","")&amp;IF(N(R1428)&gt;1,"Chain; ","")&amp;IF(S1428="No","Destination not 200; ","")))</f>
        <v/>
      </c>
      <c r="U1428" s="22" t="n"/>
      <c r="V1428" s="22" t="n"/>
      <c r="W1428" s="4" t="n"/>
    </row>
    <row r="1429">
      <c r="A1429" s="22" t="n"/>
      <c r="B1429" s="22" t="n"/>
      <c r="C1429" s="22" t="n"/>
      <c r="D1429" s="22">
        <f>IF(A1429="","",IF(OR(N(B1429)&gt;=$C$2,N(C1429)&gt;=$E$2),"High",IF(OR(N(B1429)&gt;0,N(C1429)&gt;0),"Medium","Low")))</f>
        <v/>
      </c>
      <c r="E1429" s="22" t="n"/>
      <c r="F1429" s="22" t="n"/>
      <c r="G1429" s="22" t="n"/>
      <c r="H1429" s="22" t="n"/>
      <c r="I1429" s="22" t="n"/>
      <c r="J1429" s="22" t="n"/>
      <c r="K1429" s="22" t="n"/>
      <c r="L1429" s="22" t="n"/>
      <c r="M1429" s="22">
        <f>IF(K1429="Override",L1429,IF(K1429="Accept suggestion",F1429,IF(K1429="No change (same URL)",A1429,"")))</f>
        <v/>
      </c>
      <c r="N1429" s="22">
        <f>IF(A1429="","",IF(K1429="410 Gone","410",IF(K1429="404","404",IF(K1429="No change (same URL)","none",IF(M1429="","","301")))))</f>
        <v/>
      </c>
      <c r="O1429" s="22">
        <f>IF(A1429="","",IFERROR(MID(A1429,FIND("/",A1429,FIND("//",A1429)+2),2000),A1429))</f>
        <v/>
      </c>
      <c r="P1429" s="22">
        <f>IF(OR(O1429="",N1429="",N1429="none",N1429="404"),"",IF(N1429="410","Redirect gone "&amp;O1429,"Redirect "&amp;N1429&amp;" "&amp;O1429&amp;" "&amp;M1429))</f>
        <v/>
      </c>
      <c r="Q1429" s="22" t="n"/>
      <c r="R1429" s="22" t="n"/>
      <c r="S1429" s="22" t="n"/>
      <c r="T1429" s="4">
        <f>IF(A1429="","",TRIM(IF(K1429="","Needs decision; ","")&amp;IF(AND(K1429="Accept suggestion",F1429=""),"No suggestion to accept; ","")&amp;IF(AND(K1429="Override",L1429=""),"Override URL missing; ","")&amp;IF(AND(K1429="Accept suggestion",N(G1429)&lt;$G$2),"Below your threshold; ","")&amp;IF(AND(M1429&lt;&gt;"",M1429=A1429,K1429&lt;&gt;"No change (same URL)"),"Redirects to itself; ","")&amp;IF(AND(M1429&lt;&gt;"",OR(M1429="/",AND(LEFT(M1429,4)="http",OR((LEN(M1429)-LEN(SUBSTITUTE(M1429,"/","")))=2,AND((LEN(M1429)-LEN(SUBSTITUTE(M1429,"/","")))=3,RIGHT(M1429,1)="/"))))),"Home page redirect; ","")&amp;IF(N(R1429)&gt;1,"Chain; ","")&amp;IF(S1429="No","Destination not 200; ","")))</f>
        <v/>
      </c>
      <c r="U1429" s="22" t="n"/>
      <c r="V1429" s="22" t="n"/>
      <c r="W1429" s="4" t="n"/>
    </row>
    <row r="1430">
      <c r="A1430" s="22" t="n"/>
      <c r="B1430" s="22" t="n"/>
      <c r="C1430" s="22" t="n"/>
      <c r="D1430" s="22">
        <f>IF(A1430="","",IF(OR(N(B1430)&gt;=$C$2,N(C1430)&gt;=$E$2),"High",IF(OR(N(B1430)&gt;0,N(C1430)&gt;0),"Medium","Low")))</f>
        <v/>
      </c>
      <c r="E1430" s="22" t="n"/>
      <c r="F1430" s="22" t="n"/>
      <c r="G1430" s="22" t="n"/>
      <c r="H1430" s="22" t="n"/>
      <c r="I1430" s="22" t="n"/>
      <c r="J1430" s="22" t="n"/>
      <c r="K1430" s="22" t="n"/>
      <c r="L1430" s="22" t="n"/>
      <c r="M1430" s="22">
        <f>IF(K1430="Override",L1430,IF(K1430="Accept suggestion",F1430,IF(K1430="No change (same URL)",A1430,"")))</f>
        <v/>
      </c>
      <c r="N1430" s="22">
        <f>IF(A1430="","",IF(K1430="410 Gone","410",IF(K1430="404","404",IF(K1430="No change (same URL)","none",IF(M1430="","","301")))))</f>
        <v/>
      </c>
      <c r="O1430" s="22">
        <f>IF(A1430="","",IFERROR(MID(A1430,FIND("/",A1430,FIND("//",A1430)+2),2000),A1430))</f>
        <v/>
      </c>
      <c r="P1430" s="22">
        <f>IF(OR(O1430="",N1430="",N1430="none",N1430="404"),"",IF(N1430="410","Redirect gone "&amp;O1430,"Redirect "&amp;N1430&amp;" "&amp;O1430&amp;" "&amp;M1430))</f>
        <v/>
      </c>
      <c r="Q1430" s="22" t="n"/>
      <c r="R1430" s="22" t="n"/>
      <c r="S1430" s="22" t="n"/>
      <c r="T1430" s="4">
        <f>IF(A1430="","",TRIM(IF(K1430="","Needs decision; ","")&amp;IF(AND(K1430="Accept suggestion",F1430=""),"No suggestion to accept; ","")&amp;IF(AND(K1430="Override",L1430=""),"Override URL missing; ","")&amp;IF(AND(K1430="Accept suggestion",N(G1430)&lt;$G$2),"Below your threshold; ","")&amp;IF(AND(M1430&lt;&gt;"",M1430=A1430,K1430&lt;&gt;"No change (same URL)"),"Redirects to itself; ","")&amp;IF(AND(M1430&lt;&gt;"",OR(M1430="/",AND(LEFT(M1430,4)="http",OR((LEN(M1430)-LEN(SUBSTITUTE(M1430,"/","")))=2,AND((LEN(M1430)-LEN(SUBSTITUTE(M1430,"/","")))=3,RIGHT(M1430,1)="/"))))),"Home page redirect; ","")&amp;IF(N(R1430)&gt;1,"Chain; ","")&amp;IF(S1430="No","Destination not 200; ","")))</f>
        <v/>
      </c>
      <c r="U1430" s="22" t="n"/>
      <c r="V1430" s="22" t="n"/>
      <c r="W1430" s="4" t="n"/>
    </row>
    <row r="1431">
      <c r="A1431" s="22" t="n"/>
      <c r="B1431" s="22" t="n"/>
      <c r="C1431" s="22" t="n"/>
      <c r="D1431" s="22">
        <f>IF(A1431="","",IF(OR(N(B1431)&gt;=$C$2,N(C1431)&gt;=$E$2),"High",IF(OR(N(B1431)&gt;0,N(C1431)&gt;0),"Medium","Low")))</f>
        <v/>
      </c>
      <c r="E1431" s="22" t="n"/>
      <c r="F1431" s="22" t="n"/>
      <c r="G1431" s="22" t="n"/>
      <c r="H1431" s="22" t="n"/>
      <c r="I1431" s="22" t="n"/>
      <c r="J1431" s="22" t="n"/>
      <c r="K1431" s="22" t="n"/>
      <c r="L1431" s="22" t="n"/>
      <c r="M1431" s="22">
        <f>IF(K1431="Override",L1431,IF(K1431="Accept suggestion",F1431,IF(K1431="No change (same URL)",A1431,"")))</f>
        <v/>
      </c>
      <c r="N1431" s="22">
        <f>IF(A1431="","",IF(K1431="410 Gone","410",IF(K1431="404","404",IF(K1431="No change (same URL)","none",IF(M1431="","","301")))))</f>
        <v/>
      </c>
      <c r="O1431" s="22">
        <f>IF(A1431="","",IFERROR(MID(A1431,FIND("/",A1431,FIND("//",A1431)+2),2000),A1431))</f>
        <v/>
      </c>
      <c r="P1431" s="22">
        <f>IF(OR(O1431="",N1431="",N1431="none",N1431="404"),"",IF(N1431="410","Redirect gone "&amp;O1431,"Redirect "&amp;N1431&amp;" "&amp;O1431&amp;" "&amp;M1431))</f>
        <v/>
      </c>
      <c r="Q1431" s="22" t="n"/>
      <c r="R1431" s="22" t="n"/>
      <c r="S1431" s="22" t="n"/>
      <c r="T1431" s="4">
        <f>IF(A1431="","",TRIM(IF(K1431="","Needs decision; ","")&amp;IF(AND(K1431="Accept suggestion",F1431=""),"No suggestion to accept; ","")&amp;IF(AND(K1431="Override",L1431=""),"Override URL missing; ","")&amp;IF(AND(K1431="Accept suggestion",N(G1431)&lt;$G$2),"Below your threshold; ","")&amp;IF(AND(M1431&lt;&gt;"",M1431=A1431,K1431&lt;&gt;"No change (same URL)"),"Redirects to itself; ","")&amp;IF(AND(M1431&lt;&gt;"",OR(M1431="/",AND(LEFT(M1431,4)="http",OR((LEN(M1431)-LEN(SUBSTITUTE(M1431,"/","")))=2,AND((LEN(M1431)-LEN(SUBSTITUTE(M1431,"/","")))=3,RIGHT(M1431,1)="/"))))),"Home page redirect; ","")&amp;IF(N(R1431)&gt;1,"Chain; ","")&amp;IF(S1431="No","Destination not 200; ","")))</f>
        <v/>
      </c>
      <c r="U1431" s="22" t="n"/>
      <c r="V1431" s="22" t="n"/>
      <c r="W1431" s="4" t="n"/>
    </row>
    <row r="1432">
      <c r="A1432" s="22" t="n"/>
      <c r="B1432" s="22" t="n"/>
      <c r="C1432" s="22" t="n"/>
      <c r="D1432" s="22">
        <f>IF(A1432="","",IF(OR(N(B1432)&gt;=$C$2,N(C1432)&gt;=$E$2),"High",IF(OR(N(B1432)&gt;0,N(C1432)&gt;0),"Medium","Low")))</f>
        <v/>
      </c>
      <c r="E1432" s="22" t="n"/>
      <c r="F1432" s="22" t="n"/>
      <c r="G1432" s="22" t="n"/>
      <c r="H1432" s="22" t="n"/>
      <c r="I1432" s="22" t="n"/>
      <c r="J1432" s="22" t="n"/>
      <c r="K1432" s="22" t="n"/>
      <c r="L1432" s="22" t="n"/>
      <c r="M1432" s="22">
        <f>IF(K1432="Override",L1432,IF(K1432="Accept suggestion",F1432,IF(K1432="No change (same URL)",A1432,"")))</f>
        <v/>
      </c>
      <c r="N1432" s="22">
        <f>IF(A1432="","",IF(K1432="410 Gone","410",IF(K1432="404","404",IF(K1432="No change (same URL)","none",IF(M1432="","","301")))))</f>
        <v/>
      </c>
      <c r="O1432" s="22">
        <f>IF(A1432="","",IFERROR(MID(A1432,FIND("/",A1432,FIND("//",A1432)+2),2000),A1432))</f>
        <v/>
      </c>
      <c r="P1432" s="22">
        <f>IF(OR(O1432="",N1432="",N1432="none",N1432="404"),"",IF(N1432="410","Redirect gone "&amp;O1432,"Redirect "&amp;N1432&amp;" "&amp;O1432&amp;" "&amp;M1432))</f>
        <v/>
      </c>
      <c r="Q1432" s="22" t="n"/>
      <c r="R1432" s="22" t="n"/>
      <c r="S1432" s="22" t="n"/>
      <c r="T1432" s="4">
        <f>IF(A1432="","",TRIM(IF(K1432="","Needs decision; ","")&amp;IF(AND(K1432="Accept suggestion",F1432=""),"No suggestion to accept; ","")&amp;IF(AND(K1432="Override",L1432=""),"Override URL missing; ","")&amp;IF(AND(K1432="Accept suggestion",N(G1432)&lt;$G$2),"Below your threshold; ","")&amp;IF(AND(M1432&lt;&gt;"",M1432=A1432,K1432&lt;&gt;"No change (same URL)"),"Redirects to itself; ","")&amp;IF(AND(M1432&lt;&gt;"",OR(M1432="/",AND(LEFT(M1432,4)="http",OR((LEN(M1432)-LEN(SUBSTITUTE(M1432,"/","")))=2,AND((LEN(M1432)-LEN(SUBSTITUTE(M1432,"/","")))=3,RIGHT(M1432,1)="/"))))),"Home page redirect; ","")&amp;IF(N(R1432)&gt;1,"Chain; ","")&amp;IF(S1432="No","Destination not 200; ","")))</f>
        <v/>
      </c>
      <c r="U1432" s="22" t="n"/>
      <c r="V1432" s="22" t="n"/>
      <c r="W1432" s="4" t="n"/>
    </row>
    <row r="1433">
      <c r="A1433" s="22" t="n"/>
      <c r="B1433" s="22" t="n"/>
      <c r="C1433" s="22" t="n"/>
      <c r="D1433" s="22">
        <f>IF(A1433="","",IF(OR(N(B1433)&gt;=$C$2,N(C1433)&gt;=$E$2),"High",IF(OR(N(B1433)&gt;0,N(C1433)&gt;0),"Medium","Low")))</f>
        <v/>
      </c>
      <c r="E1433" s="22" t="n"/>
      <c r="F1433" s="22" t="n"/>
      <c r="G1433" s="22" t="n"/>
      <c r="H1433" s="22" t="n"/>
      <c r="I1433" s="22" t="n"/>
      <c r="J1433" s="22" t="n"/>
      <c r="K1433" s="22" t="n"/>
      <c r="L1433" s="22" t="n"/>
      <c r="M1433" s="22">
        <f>IF(K1433="Override",L1433,IF(K1433="Accept suggestion",F1433,IF(K1433="No change (same URL)",A1433,"")))</f>
        <v/>
      </c>
      <c r="N1433" s="22">
        <f>IF(A1433="","",IF(K1433="410 Gone","410",IF(K1433="404","404",IF(K1433="No change (same URL)","none",IF(M1433="","","301")))))</f>
        <v/>
      </c>
      <c r="O1433" s="22">
        <f>IF(A1433="","",IFERROR(MID(A1433,FIND("/",A1433,FIND("//",A1433)+2),2000),A1433))</f>
        <v/>
      </c>
      <c r="P1433" s="22">
        <f>IF(OR(O1433="",N1433="",N1433="none",N1433="404"),"",IF(N1433="410","Redirect gone "&amp;O1433,"Redirect "&amp;N1433&amp;" "&amp;O1433&amp;" "&amp;M1433))</f>
        <v/>
      </c>
      <c r="Q1433" s="22" t="n"/>
      <c r="R1433" s="22" t="n"/>
      <c r="S1433" s="22" t="n"/>
      <c r="T1433" s="4">
        <f>IF(A1433="","",TRIM(IF(K1433="","Needs decision; ","")&amp;IF(AND(K1433="Accept suggestion",F1433=""),"No suggestion to accept; ","")&amp;IF(AND(K1433="Override",L1433=""),"Override URL missing; ","")&amp;IF(AND(K1433="Accept suggestion",N(G1433)&lt;$G$2),"Below your threshold; ","")&amp;IF(AND(M1433&lt;&gt;"",M1433=A1433,K1433&lt;&gt;"No change (same URL)"),"Redirects to itself; ","")&amp;IF(AND(M1433&lt;&gt;"",OR(M1433="/",AND(LEFT(M1433,4)="http",OR((LEN(M1433)-LEN(SUBSTITUTE(M1433,"/","")))=2,AND((LEN(M1433)-LEN(SUBSTITUTE(M1433,"/","")))=3,RIGHT(M1433,1)="/"))))),"Home page redirect; ","")&amp;IF(N(R1433)&gt;1,"Chain; ","")&amp;IF(S1433="No","Destination not 200; ","")))</f>
        <v/>
      </c>
      <c r="U1433" s="22" t="n"/>
      <c r="V1433" s="22" t="n"/>
      <c r="W1433" s="4" t="n"/>
    </row>
    <row r="1434">
      <c r="A1434" s="22" t="n"/>
      <c r="B1434" s="22" t="n"/>
      <c r="C1434" s="22" t="n"/>
      <c r="D1434" s="22">
        <f>IF(A1434="","",IF(OR(N(B1434)&gt;=$C$2,N(C1434)&gt;=$E$2),"High",IF(OR(N(B1434)&gt;0,N(C1434)&gt;0),"Medium","Low")))</f>
        <v/>
      </c>
      <c r="E1434" s="22" t="n"/>
      <c r="F1434" s="22" t="n"/>
      <c r="G1434" s="22" t="n"/>
      <c r="H1434" s="22" t="n"/>
      <c r="I1434" s="22" t="n"/>
      <c r="J1434" s="22" t="n"/>
      <c r="K1434" s="22" t="n"/>
      <c r="L1434" s="22" t="n"/>
      <c r="M1434" s="22">
        <f>IF(K1434="Override",L1434,IF(K1434="Accept suggestion",F1434,IF(K1434="No change (same URL)",A1434,"")))</f>
        <v/>
      </c>
      <c r="N1434" s="22">
        <f>IF(A1434="","",IF(K1434="410 Gone","410",IF(K1434="404","404",IF(K1434="No change (same URL)","none",IF(M1434="","","301")))))</f>
        <v/>
      </c>
      <c r="O1434" s="22">
        <f>IF(A1434="","",IFERROR(MID(A1434,FIND("/",A1434,FIND("//",A1434)+2),2000),A1434))</f>
        <v/>
      </c>
      <c r="P1434" s="22">
        <f>IF(OR(O1434="",N1434="",N1434="none",N1434="404"),"",IF(N1434="410","Redirect gone "&amp;O1434,"Redirect "&amp;N1434&amp;" "&amp;O1434&amp;" "&amp;M1434))</f>
        <v/>
      </c>
      <c r="Q1434" s="22" t="n"/>
      <c r="R1434" s="22" t="n"/>
      <c r="S1434" s="22" t="n"/>
      <c r="T1434" s="4">
        <f>IF(A1434="","",TRIM(IF(K1434="","Needs decision; ","")&amp;IF(AND(K1434="Accept suggestion",F1434=""),"No suggestion to accept; ","")&amp;IF(AND(K1434="Override",L1434=""),"Override URL missing; ","")&amp;IF(AND(K1434="Accept suggestion",N(G1434)&lt;$G$2),"Below your threshold; ","")&amp;IF(AND(M1434&lt;&gt;"",M1434=A1434,K1434&lt;&gt;"No change (same URL)"),"Redirects to itself; ","")&amp;IF(AND(M1434&lt;&gt;"",OR(M1434="/",AND(LEFT(M1434,4)="http",OR((LEN(M1434)-LEN(SUBSTITUTE(M1434,"/","")))=2,AND((LEN(M1434)-LEN(SUBSTITUTE(M1434,"/","")))=3,RIGHT(M1434,1)="/"))))),"Home page redirect; ","")&amp;IF(N(R1434)&gt;1,"Chain; ","")&amp;IF(S1434="No","Destination not 200; ","")))</f>
        <v/>
      </c>
      <c r="U1434" s="22" t="n"/>
      <c r="V1434" s="22" t="n"/>
      <c r="W1434" s="4" t="n"/>
    </row>
    <row r="1435">
      <c r="A1435" s="22" t="n"/>
      <c r="B1435" s="22" t="n"/>
      <c r="C1435" s="22" t="n"/>
      <c r="D1435" s="22">
        <f>IF(A1435="","",IF(OR(N(B1435)&gt;=$C$2,N(C1435)&gt;=$E$2),"High",IF(OR(N(B1435)&gt;0,N(C1435)&gt;0),"Medium","Low")))</f>
        <v/>
      </c>
      <c r="E1435" s="22" t="n"/>
      <c r="F1435" s="22" t="n"/>
      <c r="G1435" s="22" t="n"/>
      <c r="H1435" s="22" t="n"/>
      <c r="I1435" s="22" t="n"/>
      <c r="J1435" s="22" t="n"/>
      <c r="K1435" s="22" t="n"/>
      <c r="L1435" s="22" t="n"/>
      <c r="M1435" s="22">
        <f>IF(K1435="Override",L1435,IF(K1435="Accept suggestion",F1435,IF(K1435="No change (same URL)",A1435,"")))</f>
        <v/>
      </c>
      <c r="N1435" s="22">
        <f>IF(A1435="","",IF(K1435="410 Gone","410",IF(K1435="404","404",IF(K1435="No change (same URL)","none",IF(M1435="","","301")))))</f>
        <v/>
      </c>
      <c r="O1435" s="22">
        <f>IF(A1435="","",IFERROR(MID(A1435,FIND("/",A1435,FIND("//",A1435)+2),2000),A1435))</f>
        <v/>
      </c>
      <c r="P1435" s="22">
        <f>IF(OR(O1435="",N1435="",N1435="none",N1435="404"),"",IF(N1435="410","Redirect gone "&amp;O1435,"Redirect "&amp;N1435&amp;" "&amp;O1435&amp;" "&amp;M1435))</f>
        <v/>
      </c>
      <c r="Q1435" s="22" t="n"/>
      <c r="R1435" s="22" t="n"/>
      <c r="S1435" s="22" t="n"/>
      <c r="T1435" s="4">
        <f>IF(A1435="","",TRIM(IF(K1435="","Needs decision; ","")&amp;IF(AND(K1435="Accept suggestion",F1435=""),"No suggestion to accept; ","")&amp;IF(AND(K1435="Override",L1435=""),"Override URL missing; ","")&amp;IF(AND(K1435="Accept suggestion",N(G1435)&lt;$G$2),"Below your threshold; ","")&amp;IF(AND(M1435&lt;&gt;"",M1435=A1435,K1435&lt;&gt;"No change (same URL)"),"Redirects to itself; ","")&amp;IF(AND(M1435&lt;&gt;"",OR(M1435="/",AND(LEFT(M1435,4)="http",OR((LEN(M1435)-LEN(SUBSTITUTE(M1435,"/","")))=2,AND((LEN(M1435)-LEN(SUBSTITUTE(M1435,"/","")))=3,RIGHT(M1435,1)="/"))))),"Home page redirect; ","")&amp;IF(N(R1435)&gt;1,"Chain; ","")&amp;IF(S1435="No","Destination not 200; ","")))</f>
        <v/>
      </c>
      <c r="U1435" s="22" t="n"/>
      <c r="V1435" s="22" t="n"/>
      <c r="W1435" s="4" t="n"/>
    </row>
    <row r="1436">
      <c r="A1436" s="22" t="n"/>
      <c r="B1436" s="22" t="n"/>
      <c r="C1436" s="22" t="n"/>
      <c r="D1436" s="22">
        <f>IF(A1436="","",IF(OR(N(B1436)&gt;=$C$2,N(C1436)&gt;=$E$2),"High",IF(OR(N(B1436)&gt;0,N(C1436)&gt;0),"Medium","Low")))</f>
        <v/>
      </c>
      <c r="E1436" s="22" t="n"/>
      <c r="F1436" s="22" t="n"/>
      <c r="G1436" s="22" t="n"/>
      <c r="H1436" s="22" t="n"/>
      <c r="I1436" s="22" t="n"/>
      <c r="J1436" s="22" t="n"/>
      <c r="K1436" s="22" t="n"/>
      <c r="L1436" s="22" t="n"/>
      <c r="M1436" s="22">
        <f>IF(K1436="Override",L1436,IF(K1436="Accept suggestion",F1436,IF(K1436="No change (same URL)",A1436,"")))</f>
        <v/>
      </c>
      <c r="N1436" s="22">
        <f>IF(A1436="","",IF(K1436="410 Gone","410",IF(K1436="404","404",IF(K1436="No change (same URL)","none",IF(M1436="","","301")))))</f>
        <v/>
      </c>
      <c r="O1436" s="22">
        <f>IF(A1436="","",IFERROR(MID(A1436,FIND("/",A1436,FIND("//",A1436)+2),2000),A1436))</f>
        <v/>
      </c>
      <c r="P1436" s="22">
        <f>IF(OR(O1436="",N1436="",N1436="none",N1436="404"),"",IF(N1436="410","Redirect gone "&amp;O1436,"Redirect "&amp;N1436&amp;" "&amp;O1436&amp;" "&amp;M1436))</f>
        <v/>
      </c>
      <c r="Q1436" s="22" t="n"/>
      <c r="R1436" s="22" t="n"/>
      <c r="S1436" s="22" t="n"/>
      <c r="T1436" s="4">
        <f>IF(A1436="","",TRIM(IF(K1436="","Needs decision; ","")&amp;IF(AND(K1436="Accept suggestion",F1436=""),"No suggestion to accept; ","")&amp;IF(AND(K1436="Override",L1436=""),"Override URL missing; ","")&amp;IF(AND(K1436="Accept suggestion",N(G1436)&lt;$G$2),"Below your threshold; ","")&amp;IF(AND(M1436&lt;&gt;"",M1436=A1436,K1436&lt;&gt;"No change (same URL)"),"Redirects to itself; ","")&amp;IF(AND(M1436&lt;&gt;"",OR(M1436="/",AND(LEFT(M1436,4)="http",OR((LEN(M1436)-LEN(SUBSTITUTE(M1436,"/","")))=2,AND((LEN(M1436)-LEN(SUBSTITUTE(M1436,"/","")))=3,RIGHT(M1436,1)="/"))))),"Home page redirect; ","")&amp;IF(N(R1436)&gt;1,"Chain; ","")&amp;IF(S1436="No","Destination not 200; ","")))</f>
        <v/>
      </c>
      <c r="U1436" s="22" t="n"/>
      <c r="V1436" s="22" t="n"/>
      <c r="W1436" s="4" t="n"/>
    </row>
    <row r="1437">
      <c r="A1437" s="22" t="n"/>
      <c r="B1437" s="22" t="n"/>
      <c r="C1437" s="22" t="n"/>
      <c r="D1437" s="22">
        <f>IF(A1437="","",IF(OR(N(B1437)&gt;=$C$2,N(C1437)&gt;=$E$2),"High",IF(OR(N(B1437)&gt;0,N(C1437)&gt;0),"Medium","Low")))</f>
        <v/>
      </c>
      <c r="E1437" s="22" t="n"/>
      <c r="F1437" s="22" t="n"/>
      <c r="G1437" s="22" t="n"/>
      <c r="H1437" s="22" t="n"/>
      <c r="I1437" s="22" t="n"/>
      <c r="J1437" s="22" t="n"/>
      <c r="K1437" s="22" t="n"/>
      <c r="L1437" s="22" t="n"/>
      <c r="M1437" s="22">
        <f>IF(K1437="Override",L1437,IF(K1437="Accept suggestion",F1437,IF(K1437="No change (same URL)",A1437,"")))</f>
        <v/>
      </c>
      <c r="N1437" s="22">
        <f>IF(A1437="","",IF(K1437="410 Gone","410",IF(K1437="404","404",IF(K1437="No change (same URL)","none",IF(M1437="","","301")))))</f>
        <v/>
      </c>
      <c r="O1437" s="22">
        <f>IF(A1437="","",IFERROR(MID(A1437,FIND("/",A1437,FIND("//",A1437)+2),2000),A1437))</f>
        <v/>
      </c>
      <c r="P1437" s="22">
        <f>IF(OR(O1437="",N1437="",N1437="none",N1437="404"),"",IF(N1437="410","Redirect gone "&amp;O1437,"Redirect "&amp;N1437&amp;" "&amp;O1437&amp;" "&amp;M1437))</f>
        <v/>
      </c>
      <c r="Q1437" s="22" t="n"/>
      <c r="R1437" s="22" t="n"/>
      <c r="S1437" s="22" t="n"/>
      <c r="T1437" s="4">
        <f>IF(A1437="","",TRIM(IF(K1437="","Needs decision; ","")&amp;IF(AND(K1437="Accept suggestion",F1437=""),"No suggestion to accept; ","")&amp;IF(AND(K1437="Override",L1437=""),"Override URL missing; ","")&amp;IF(AND(K1437="Accept suggestion",N(G1437)&lt;$G$2),"Below your threshold; ","")&amp;IF(AND(M1437&lt;&gt;"",M1437=A1437,K1437&lt;&gt;"No change (same URL)"),"Redirects to itself; ","")&amp;IF(AND(M1437&lt;&gt;"",OR(M1437="/",AND(LEFT(M1437,4)="http",OR((LEN(M1437)-LEN(SUBSTITUTE(M1437,"/","")))=2,AND((LEN(M1437)-LEN(SUBSTITUTE(M1437,"/","")))=3,RIGHT(M1437,1)="/"))))),"Home page redirect; ","")&amp;IF(N(R1437)&gt;1,"Chain; ","")&amp;IF(S1437="No","Destination not 200; ","")))</f>
        <v/>
      </c>
      <c r="U1437" s="22" t="n"/>
      <c r="V1437" s="22" t="n"/>
      <c r="W1437" s="4" t="n"/>
    </row>
    <row r="1438">
      <c r="A1438" s="22" t="n"/>
      <c r="B1438" s="22" t="n"/>
      <c r="C1438" s="22" t="n"/>
      <c r="D1438" s="22">
        <f>IF(A1438="","",IF(OR(N(B1438)&gt;=$C$2,N(C1438)&gt;=$E$2),"High",IF(OR(N(B1438)&gt;0,N(C1438)&gt;0),"Medium","Low")))</f>
        <v/>
      </c>
      <c r="E1438" s="22" t="n"/>
      <c r="F1438" s="22" t="n"/>
      <c r="G1438" s="22" t="n"/>
      <c r="H1438" s="22" t="n"/>
      <c r="I1438" s="22" t="n"/>
      <c r="J1438" s="22" t="n"/>
      <c r="K1438" s="22" t="n"/>
      <c r="L1438" s="22" t="n"/>
      <c r="M1438" s="22">
        <f>IF(K1438="Override",L1438,IF(K1438="Accept suggestion",F1438,IF(K1438="No change (same URL)",A1438,"")))</f>
        <v/>
      </c>
      <c r="N1438" s="22">
        <f>IF(A1438="","",IF(K1438="410 Gone","410",IF(K1438="404","404",IF(K1438="No change (same URL)","none",IF(M1438="","","301")))))</f>
        <v/>
      </c>
      <c r="O1438" s="22">
        <f>IF(A1438="","",IFERROR(MID(A1438,FIND("/",A1438,FIND("//",A1438)+2),2000),A1438))</f>
        <v/>
      </c>
      <c r="P1438" s="22">
        <f>IF(OR(O1438="",N1438="",N1438="none",N1438="404"),"",IF(N1438="410","Redirect gone "&amp;O1438,"Redirect "&amp;N1438&amp;" "&amp;O1438&amp;" "&amp;M1438))</f>
        <v/>
      </c>
      <c r="Q1438" s="22" t="n"/>
      <c r="R1438" s="22" t="n"/>
      <c r="S1438" s="22" t="n"/>
      <c r="T1438" s="4">
        <f>IF(A1438="","",TRIM(IF(K1438="","Needs decision; ","")&amp;IF(AND(K1438="Accept suggestion",F1438=""),"No suggestion to accept; ","")&amp;IF(AND(K1438="Override",L1438=""),"Override URL missing; ","")&amp;IF(AND(K1438="Accept suggestion",N(G1438)&lt;$G$2),"Below your threshold; ","")&amp;IF(AND(M1438&lt;&gt;"",M1438=A1438,K1438&lt;&gt;"No change (same URL)"),"Redirects to itself; ","")&amp;IF(AND(M1438&lt;&gt;"",OR(M1438="/",AND(LEFT(M1438,4)="http",OR((LEN(M1438)-LEN(SUBSTITUTE(M1438,"/","")))=2,AND((LEN(M1438)-LEN(SUBSTITUTE(M1438,"/","")))=3,RIGHT(M1438,1)="/"))))),"Home page redirect; ","")&amp;IF(N(R1438)&gt;1,"Chain; ","")&amp;IF(S1438="No","Destination not 200; ","")))</f>
        <v/>
      </c>
      <c r="U1438" s="22" t="n"/>
      <c r="V1438" s="22" t="n"/>
      <c r="W1438" s="4" t="n"/>
    </row>
    <row r="1439">
      <c r="A1439" s="22" t="n"/>
      <c r="B1439" s="22" t="n"/>
      <c r="C1439" s="22" t="n"/>
      <c r="D1439" s="22">
        <f>IF(A1439="","",IF(OR(N(B1439)&gt;=$C$2,N(C1439)&gt;=$E$2),"High",IF(OR(N(B1439)&gt;0,N(C1439)&gt;0),"Medium","Low")))</f>
        <v/>
      </c>
      <c r="E1439" s="22" t="n"/>
      <c r="F1439" s="22" t="n"/>
      <c r="G1439" s="22" t="n"/>
      <c r="H1439" s="22" t="n"/>
      <c r="I1439" s="22" t="n"/>
      <c r="J1439" s="22" t="n"/>
      <c r="K1439" s="22" t="n"/>
      <c r="L1439" s="22" t="n"/>
      <c r="M1439" s="22">
        <f>IF(K1439="Override",L1439,IF(K1439="Accept suggestion",F1439,IF(K1439="No change (same URL)",A1439,"")))</f>
        <v/>
      </c>
      <c r="N1439" s="22">
        <f>IF(A1439="","",IF(K1439="410 Gone","410",IF(K1439="404","404",IF(K1439="No change (same URL)","none",IF(M1439="","","301")))))</f>
        <v/>
      </c>
      <c r="O1439" s="22">
        <f>IF(A1439="","",IFERROR(MID(A1439,FIND("/",A1439,FIND("//",A1439)+2),2000),A1439))</f>
        <v/>
      </c>
      <c r="P1439" s="22">
        <f>IF(OR(O1439="",N1439="",N1439="none",N1439="404"),"",IF(N1439="410","Redirect gone "&amp;O1439,"Redirect "&amp;N1439&amp;" "&amp;O1439&amp;" "&amp;M1439))</f>
        <v/>
      </c>
      <c r="Q1439" s="22" t="n"/>
      <c r="R1439" s="22" t="n"/>
      <c r="S1439" s="22" t="n"/>
      <c r="T1439" s="4">
        <f>IF(A1439="","",TRIM(IF(K1439="","Needs decision; ","")&amp;IF(AND(K1439="Accept suggestion",F1439=""),"No suggestion to accept; ","")&amp;IF(AND(K1439="Override",L1439=""),"Override URL missing; ","")&amp;IF(AND(K1439="Accept suggestion",N(G1439)&lt;$G$2),"Below your threshold; ","")&amp;IF(AND(M1439&lt;&gt;"",M1439=A1439,K1439&lt;&gt;"No change (same URL)"),"Redirects to itself; ","")&amp;IF(AND(M1439&lt;&gt;"",OR(M1439="/",AND(LEFT(M1439,4)="http",OR((LEN(M1439)-LEN(SUBSTITUTE(M1439,"/","")))=2,AND((LEN(M1439)-LEN(SUBSTITUTE(M1439,"/","")))=3,RIGHT(M1439,1)="/"))))),"Home page redirect; ","")&amp;IF(N(R1439)&gt;1,"Chain; ","")&amp;IF(S1439="No","Destination not 200; ","")))</f>
        <v/>
      </c>
      <c r="U1439" s="22" t="n"/>
      <c r="V1439" s="22" t="n"/>
      <c r="W1439" s="4" t="n"/>
    </row>
    <row r="1440">
      <c r="A1440" s="22" t="n"/>
      <c r="B1440" s="22" t="n"/>
      <c r="C1440" s="22" t="n"/>
      <c r="D1440" s="22">
        <f>IF(A1440="","",IF(OR(N(B1440)&gt;=$C$2,N(C1440)&gt;=$E$2),"High",IF(OR(N(B1440)&gt;0,N(C1440)&gt;0),"Medium","Low")))</f>
        <v/>
      </c>
      <c r="E1440" s="22" t="n"/>
      <c r="F1440" s="22" t="n"/>
      <c r="G1440" s="22" t="n"/>
      <c r="H1440" s="22" t="n"/>
      <c r="I1440" s="22" t="n"/>
      <c r="J1440" s="22" t="n"/>
      <c r="K1440" s="22" t="n"/>
      <c r="L1440" s="22" t="n"/>
      <c r="M1440" s="22">
        <f>IF(K1440="Override",L1440,IF(K1440="Accept suggestion",F1440,IF(K1440="No change (same URL)",A1440,"")))</f>
        <v/>
      </c>
      <c r="N1440" s="22">
        <f>IF(A1440="","",IF(K1440="410 Gone","410",IF(K1440="404","404",IF(K1440="No change (same URL)","none",IF(M1440="","","301")))))</f>
        <v/>
      </c>
      <c r="O1440" s="22">
        <f>IF(A1440="","",IFERROR(MID(A1440,FIND("/",A1440,FIND("//",A1440)+2),2000),A1440))</f>
        <v/>
      </c>
      <c r="P1440" s="22">
        <f>IF(OR(O1440="",N1440="",N1440="none",N1440="404"),"",IF(N1440="410","Redirect gone "&amp;O1440,"Redirect "&amp;N1440&amp;" "&amp;O1440&amp;" "&amp;M1440))</f>
        <v/>
      </c>
      <c r="Q1440" s="22" t="n"/>
      <c r="R1440" s="22" t="n"/>
      <c r="S1440" s="22" t="n"/>
      <c r="T1440" s="4">
        <f>IF(A1440="","",TRIM(IF(K1440="","Needs decision; ","")&amp;IF(AND(K1440="Accept suggestion",F1440=""),"No suggestion to accept; ","")&amp;IF(AND(K1440="Override",L1440=""),"Override URL missing; ","")&amp;IF(AND(K1440="Accept suggestion",N(G1440)&lt;$G$2),"Below your threshold; ","")&amp;IF(AND(M1440&lt;&gt;"",M1440=A1440,K1440&lt;&gt;"No change (same URL)"),"Redirects to itself; ","")&amp;IF(AND(M1440&lt;&gt;"",OR(M1440="/",AND(LEFT(M1440,4)="http",OR((LEN(M1440)-LEN(SUBSTITUTE(M1440,"/","")))=2,AND((LEN(M1440)-LEN(SUBSTITUTE(M1440,"/","")))=3,RIGHT(M1440,1)="/"))))),"Home page redirect; ","")&amp;IF(N(R1440)&gt;1,"Chain; ","")&amp;IF(S1440="No","Destination not 200; ","")))</f>
        <v/>
      </c>
      <c r="U1440" s="22" t="n"/>
      <c r="V1440" s="22" t="n"/>
      <c r="W1440" s="4" t="n"/>
    </row>
    <row r="1441">
      <c r="A1441" s="22" t="n"/>
      <c r="B1441" s="22" t="n"/>
      <c r="C1441" s="22" t="n"/>
      <c r="D1441" s="22">
        <f>IF(A1441="","",IF(OR(N(B1441)&gt;=$C$2,N(C1441)&gt;=$E$2),"High",IF(OR(N(B1441)&gt;0,N(C1441)&gt;0),"Medium","Low")))</f>
        <v/>
      </c>
      <c r="E1441" s="22" t="n"/>
      <c r="F1441" s="22" t="n"/>
      <c r="G1441" s="22" t="n"/>
      <c r="H1441" s="22" t="n"/>
      <c r="I1441" s="22" t="n"/>
      <c r="J1441" s="22" t="n"/>
      <c r="K1441" s="22" t="n"/>
      <c r="L1441" s="22" t="n"/>
      <c r="M1441" s="22">
        <f>IF(K1441="Override",L1441,IF(K1441="Accept suggestion",F1441,IF(K1441="No change (same URL)",A1441,"")))</f>
        <v/>
      </c>
      <c r="N1441" s="22">
        <f>IF(A1441="","",IF(K1441="410 Gone","410",IF(K1441="404","404",IF(K1441="No change (same URL)","none",IF(M1441="","","301")))))</f>
        <v/>
      </c>
      <c r="O1441" s="22">
        <f>IF(A1441="","",IFERROR(MID(A1441,FIND("/",A1441,FIND("//",A1441)+2),2000),A1441))</f>
        <v/>
      </c>
      <c r="P1441" s="22">
        <f>IF(OR(O1441="",N1441="",N1441="none",N1441="404"),"",IF(N1441="410","Redirect gone "&amp;O1441,"Redirect "&amp;N1441&amp;" "&amp;O1441&amp;" "&amp;M1441))</f>
        <v/>
      </c>
      <c r="Q1441" s="22" t="n"/>
      <c r="R1441" s="22" t="n"/>
      <c r="S1441" s="22" t="n"/>
      <c r="T1441" s="4">
        <f>IF(A1441="","",TRIM(IF(K1441="","Needs decision; ","")&amp;IF(AND(K1441="Accept suggestion",F1441=""),"No suggestion to accept; ","")&amp;IF(AND(K1441="Override",L1441=""),"Override URL missing; ","")&amp;IF(AND(K1441="Accept suggestion",N(G1441)&lt;$G$2),"Below your threshold; ","")&amp;IF(AND(M1441&lt;&gt;"",M1441=A1441,K1441&lt;&gt;"No change (same URL)"),"Redirects to itself; ","")&amp;IF(AND(M1441&lt;&gt;"",OR(M1441="/",AND(LEFT(M1441,4)="http",OR((LEN(M1441)-LEN(SUBSTITUTE(M1441,"/","")))=2,AND((LEN(M1441)-LEN(SUBSTITUTE(M1441,"/","")))=3,RIGHT(M1441,1)="/"))))),"Home page redirect; ","")&amp;IF(N(R1441)&gt;1,"Chain; ","")&amp;IF(S1441="No","Destination not 200; ","")))</f>
        <v/>
      </c>
      <c r="U1441" s="22" t="n"/>
      <c r="V1441" s="22" t="n"/>
      <c r="W1441" s="4" t="n"/>
    </row>
    <row r="1442">
      <c r="A1442" s="22" t="n"/>
      <c r="B1442" s="22" t="n"/>
      <c r="C1442" s="22" t="n"/>
      <c r="D1442" s="22">
        <f>IF(A1442="","",IF(OR(N(B1442)&gt;=$C$2,N(C1442)&gt;=$E$2),"High",IF(OR(N(B1442)&gt;0,N(C1442)&gt;0),"Medium","Low")))</f>
        <v/>
      </c>
      <c r="E1442" s="22" t="n"/>
      <c r="F1442" s="22" t="n"/>
      <c r="G1442" s="22" t="n"/>
      <c r="H1442" s="22" t="n"/>
      <c r="I1442" s="22" t="n"/>
      <c r="J1442" s="22" t="n"/>
      <c r="K1442" s="22" t="n"/>
      <c r="L1442" s="22" t="n"/>
      <c r="M1442" s="22">
        <f>IF(K1442="Override",L1442,IF(K1442="Accept suggestion",F1442,IF(K1442="No change (same URL)",A1442,"")))</f>
        <v/>
      </c>
      <c r="N1442" s="22">
        <f>IF(A1442="","",IF(K1442="410 Gone","410",IF(K1442="404","404",IF(K1442="No change (same URL)","none",IF(M1442="","","301")))))</f>
        <v/>
      </c>
      <c r="O1442" s="22">
        <f>IF(A1442="","",IFERROR(MID(A1442,FIND("/",A1442,FIND("//",A1442)+2),2000),A1442))</f>
        <v/>
      </c>
      <c r="P1442" s="22">
        <f>IF(OR(O1442="",N1442="",N1442="none",N1442="404"),"",IF(N1442="410","Redirect gone "&amp;O1442,"Redirect "&amp;N1442&amp;" "&amp;O1442&amp;" "&amp;M1442))</f>
        <v/>
      </c>
      <c r="Q1442" s="22" t="n"/>
      <c r="R1442" s="22" t="n"/>
      <c r="S1442" s="22" t="n"/>
      <c r="T1442" s="4">
        <f>IF(A1442="","",TRIM(IF(K1442="","Needs decision; ","")&amp;IF(AND(K1442="Accept suggestion",F1442=""),"No suggestion to accept; ","")&amp;IF(AND(K1442="Override",L1442=""),"Override URL missing; ","")&amp;IF(AND(K1442="Accept suggestion",N(G1442)&lt;$G$2),"Below your threshold; ","")&amp;IF(AND(M1442&lt;&gt;"",M1442=A1442,K1442&lt;&gt;"No change (same URL)"),"Redirects to itself; ","")&amp;IF(AND(M1442&lt;&gt;"",OR(M1442="/",AND(LEFT(M1442,4)="http",OR((LEN(M1442)-LEN(SUBSTITUTE(M1442,"/","")))=2,AND((LEN(M1442)-LEN(SUBSTITUTE(M1442,"/","")))=3,RIGHT(M1442,1)="/"))))),"Home page redirect; ","")&amp;IF(N(R1442)&gt;1,"Chain; ","")&amp;IF(S1442="No","Destination not 200; ","")))</f>
        <v/>
      </c>
      <c r="U1442" s="22" t="n"/>
      <c r="V1442" s="22" t="n"/>
      <c r="W1442" s="4" t="n"/>
    </row>
    <row r="1443">
      <c r="A1443" s="22" t="n"/>
      <c r="B1443" s="22" t="n"/>
      <c r="C1443" s="22" t="n"/>
      <c r="D1443" s="22">
        <f>IF(A1443="","",IF(OR(N(B1443)&gt;=$C$2,N(C1443)&gt;=$E$2),"High",IF(OR(N(B1443)&gt;0,N(C1443)&gt;0),"Medium","Low")))</f>
        <v/>
      </c>
      <c r="E1443" s="22" t="n"/>
      <c r="F1443" s="22" t="n"/>
      <c r="G1443" s="22" t="n"/>
      <c r="H1443" s="22" t="n"/>
      <c r="I1443" s="22" t="n"/>
      <c r="J1443" s="22" t="n"/>
      <c r="K1443" s="22" t="n"/>
      <c r="L1443" s="22" t="n"/>
      <c r="M1443" s="22">
        <f>IF(K1443="Override",L1443,IF(K1443="Accept suggestion",F1443,IF(K1443="No change (same URL)",A1443,"")))</f>
        <v/>
      </c>
      <c r="N1443" s="22">
        <f>IF(A1443="","",IF(K1443="410 Gone","410",IF(K1443="404","404",IF(K1443="No change (same URL)","none",IF(M1443="","","301")))))</f>
        <v/>
      </c>
      <c r="O1443" s="22">
        <f>IF(A1443="","",IFERROR(MID(A1443,FIND("/",A1443,FIND("//",A1443)+2),2000),A1443))</f>
        <v/>
      </c>
      <c r="P1443" s="22">
        <f>IF(OR(O1443="",N1443="",N1443="none",N1443="404"),"",IF(N1443="410","Redirect gone "&amp;O1443,"Redirect "&amp;N1443&amp;" "&amp;O1443&amp;" "&amp;M1443))</f>
        <v/>
      </c>
      <c r="Q1443" s="22" t="n"/>
      <c r="R1443" s="22" t="n"/>
      <c r="S1443" s="22" t="n"/>
      <c r="T1443" s="4">
        <f>IF(A1443="","",TRIM(IF(K1443="","Needs decision; ","")&amp;IF(AND(K1443="Accept suggestion",F1443=""),"No suggestion to accept; ","")&amp;IF(AND(K1443="Override",L1443=""),"Override URL missing; ","")&amp;IF(AND(K1443="Accept suggestion",N(G1443)&lt;$G$2),"Below your threshold; ","")&amp;IF(AND(M1443&lt;&gt;"",M1443=A1443,K1443&lt;&gt;"No change (same URL)"),"Redirects to itself; ","")&amp;IF(AND(M1443&lt;&gt;"",OR(M1443="/",AND(LEFT(M1443,4)="http",OR((LEN(M1443)-LEN(SUBSTITUTE(M1443,"/","")))=2,AND((LEN(M1443)-LEN(SUBSTITUTE(M1443,"/","")))=3,RIGHT(M1443,1)="/"))))),"Home page redirect; ","")&amp;IF(N(R1443)&gt;1,"Chain; ","")&amp;IF(S1443="No","Destination not 200; ","")))</f>
        <v/>
      </c>
      <c r="U1443" s="22" t="n"/>
      <c r="V1443" s="22" t="n"/>
      <c r="W1443" s="4" t="n"/>
    </row>
    <row r="1444">
      <c r="A1444" s="22" t="n"/>
      <c r="B1444" s="22" t="n"/>
      <c r="C1444" s="22" t="n"/>
      <c r="D1444" s="22">
        <f>IF(A1444="","",IF(OR(N(B1444)&gt;=$C$2,N(C1444)&gt;=$E$2),"High",IF(OR(N(B1444)&gt;0,N(C1444)&gt;0),"Medium","Low")))</f>
        <v/>
      </c>
      <c r="E1444" s="22" t="n"/>
      <c r="F1444" s="22" t="n"/>
      <c r="G1444" s="22" t="n"/>
      <c r="H1444" s="22" t="n"/>
      <c r="I1444" s="22" t="n"/>
      <c r="J1444" s="22" t="n"/>
      <c r="K1444" s="22" t="n"/>
      <c r="L1444" s="22" t="n"/>
      <c r="M1444" s="22">
        <f>IF(K1444="Override",L1444,IF(K1444="Accept suggestion",F1444,IF(K1444="No change (same URL)",A1444,"")))</f>
        <v/>
      </c>
      <c r="N1444" s="22">
        <f>IF(A1444="","",IF(K1444="410 Gone","410",IF(K1444="404","404",IF(K1444="No change (same URL)","none",IF(M1444="","","301")))))</f>
        <v/>
      </c>
      <c r="O1444" s="22">
        <f>IF(A1444="","",IFERROR(MID(A1444,FIND("/",A1444,FIND("//",A1444)+2),2000),A1444))</f>
        <v/>
      </c>
      <c r="P1444" s="22">
        <f>IF(OR(O1444="",N1444="",N1444="none",N1444="404"),"",IF(N1444="410","Redirect gone "&amp;O1444,"Redirect "&amp;N1444&amp;" "&amp;O1444&amp;" "&amp;M1444))</f>
        <v/>
      </c>
      <c r="Q1444" s="22" t="n"/>
      <c r="R1444" s="22" t="n"/>
      <c r="S1444" s="22" t="n"/>
      <c r="T1444" s="4">
        <f>IF(A1444="","",TRIM(IF(K1444="","Needs decision; ","")&amp;IF(AND(K1444="Accept suggestion",F1444=""),"No suggestion to accept; ","")&amp;IF(AND(K1444="Override",L1444=""),"Override URL missing; ","")&amp;IF(AND(K1444="Accept suggestion",N(G1444)&lt;$G$2),"Below your threshold; ","")&amp;IF(AND(M1444&lt;&gt;"",M1444=A1444,K1444&lt;&gt;"No change (same URL)"),"Redirects to itself; ","")&amp;IF(AND(M1444&lt;&gt;"",OR(M1444="/",AND(LEFT(M1444,4)="http",OR((LEN(M1444)-LEN(SUBSTITUTE(M1444,"/","")))=2,AND((LEN(M1444)-LEN(SUBSTITUTE(M1444,"/","")))=3,RIGHT(M1444,1)="/"))))),"Home page redirect; ","")&amp;IF(N(R1444)&gt;1,"Chain; ","")&amp;IF(S1444="No","Destination not 200; ","")))</f>
        <v/>
      </c>
      <c r="U1444" s="22" t="n"/>
      <c r="V1444" s="22" t="n"/>
      <c r="W1444" s="4" t="n"/>
    </row>
    <row r="1445">
      <c r="A1445" s="22" t="n"/>
      <c r="B1445" s="22" t="n"/>
      <c r="C1445" s="22" t="n"/>
      <c r="D1445" s="22">
        <f>IF(A1445="","",IF(OR(N(B1445)&gt;=$C$2,N(C1445)&gt;=$E$2),"High",IF(OR(N(B1445)&gt;0,N(C1445)&gt;0),"Medium","Low")))</f>
        <v/>
      </c>
      <c r="E1445" s="22" t="n"/>
      <c r="F1445" s="22" t="n"/>
      <c r="G1445" s="22" t="n"/>
      <c r="H1445" s="22" t="n"/>
      <c r="I1445" s="22" t="n"/>
      <c r="J1445" s="22" t="n"/>
      <c r="K1445" s="22" t="n"/>
      <c r="L1445" s="22" t="n"/>
      <c r="M1445" s="22">
        <f>IF(K1445="Override",L1445,IF(K1445="Accept suggestion",F1445,IF(K1445="No change (same URL)",A1445,"")))</f>
        <v/>
      </c>
      <c r="N1445" s="22">
        <f>IF(A1445="","",IF(K1445="410 Gone","410",IF(K1445="404","404",IF(K1445="No change (same URL)","none",IF(M1445="","","301")))))</f>
        <v/>
      </c>
      <c r="O1445" s="22">
        <f>IF(A1445="","",IFERROR(MID(A1445,FIND("/",A1445,FIND("//",A1445)+2),2000),A1445))</f>
        <v/>
      </c>
      <c r="P1445" s="22">
        <f>IF(OR(O1445="",N1445="",N1445="none",N1445="404"),"",IF(N1445="410","Redirect gone "&amp;O1445,"Redirect "&amp;N1445&amp;" "&amp;O1445&amp;" "&amp;M1445))</f>
        <v/>
      </c>
      <c r="Q1445" s="22" t="n"/>
      <c r="R1445" s="22" t="n"/>
      <c r="S1445" s="22" t="n"/>
      <c r="T1445" s="4">
        <f>IF(A1445="","",TRIM(IF(K1445="","Needs decision; ","")&amp;IF(AND(K1445="Accept suggestion",F1445=""),"No suggestion to accept; ","")&amp;IF(AND(K1445="Override",L1445=""),"Override URL missing; ","")&amp;IF(AND(K1445="Accept suggestion",N(G1445)&lt;$G$2),"Below your threshold; ","")&amp;IF(AND(M1445&lt;&gt;"",M1445=A1445,K1445&lt;&gt;"No change (same URL)"),"Redirects to itself; ","")&amp;IF(AND(M1445&lt;&gt;"",OR(M1445="/",AND(LEFT(M1445,4)="http",OR((LEN(M1445)-LEN(SUBSTITUTE(M1445,"/","")))=2,AND((LEN(M1445)-LEN(SUBSTITUTE(M1445,"/","")))=3,RIGHT(M1445,1)="/"))))),"Home page redirect; ","")&amp;IF(N(R1445)&gt;1,"Chain; ","")&amp;IF(S1445="No","Destination not 200; ","")))</f>
        <v/>
      </c>
      <c r="U1445" s="22" t="n"/>
      <c r="V1445" s="22" t="n"/>
      <c r="W1445" s="4" t="n"/>
    </row>
    <row r="1446">
      <c r="A1446" s="22" t="n"/>
      <c r="B1446" s="22" t="n"/>
      <c r="C1446" s="22" t="n"/>
      <c r="D1446" s="22">
        <f>IF(A1446="","",IF(OR(N(B1446)&gt;=$C$2,N(C1446)&gt;=$E$2),"High",IF(OR(N(B1446)&gt;0,N(C1446)&gt;0),"Medium","Low")))</f>
        <v/>
      </c>
      <c r="E1446" s="22" t="n"/>
      <c r="F1446" s="22" t="n"/>
      <c r="G1446" s="22" t="n"/>
      <c r="H1446" s="22" t="n"/>
      <c r="I1446" s="22" t="n"/>
      <c r="J1446" s="22" t="n"/>
      <c r="K1446" s="22" t="n"/>
      <c r="L1446" s="22" t="n"/>
      <c r="M1446" s="22">
        <f>IF(K1446="Override",L1446,IF(K1446="Accept suggestion",F1446,IF(K1446="No change (same URL)",A1446,"")))</f>
        <v/>
      </c>
      <c r="N1446" s="22">
        <f>IF(A1446="","",IF(K1446="410 Gone","410",IF(K1446="404","404",IF(K1446="No change (same URL)","none",IF(M1446="","","301")))))</f>
        <v/>
      </c>
      <c r="O1446" s="22">
        <f>IF(A1446="","",IFERROR(MID(A1446,FIND("/",A1446,FIND("//",A1446)+2),2000),A1446))</f>
        <v/>
      </c>
      <c r="P1446" s="22">
        <f>IF(OR(O1446="",N1446="",N1446="none",N1446="404"),"",IF(N1446="410","Redirect gone "&amp;O1446,"Redirect "&amp;N1446&amp;" "&amp;O1446&amp;" "&amp;M1446))</f>
        <v/>
      </c>
      <c r="Q1446" s="22" t="n"/>
      <c r="R1446" s="22" t="n"/>
      <c r="S1446" s="22" t="n"/>
      <c r="T1446" s="4">
        <f>IF(A1446="","",TRIM(IF(K1446="","Needs decision; ","")&amp;IF(AND(K1446="Accept suggestion",F1446=""),"No suggestion to accept; ","")&amp;IF(AND(K1446="Override",L1446=""),"Override URL missing; ","")&amp;IF(AND(K1446="Accept suggestion",N(G1446)&lt;$G$2),"Below your threshold; ","")&amp;IF(AND(M1446&lt;&gt;"",M1446=A1446,K1446&lt;&gt;"No change (same URL)"),"Redirects to itself; ","")&amp;IF(AND(M1446&lt;&gt;"",OR(M1446="/",AND(LEFT(M1446,4)="http",OR((LEN(M1446)-LEN(SUBSTITUTE(M1446,"/","")))=2,AND((LEN(M1446)-LEN(SUBSTITUTE(M1446,"/","")))=3,RIGHT(M1446,1)="/"))))),"Home page redirect; ","")&amp;IF(N(R1446)&gt;1,"Chain; ","")&amp;IF(S1446="No","Destination not 200; ","")))</f>
        <v/>
      </c>
      <c r="U1446" s="22" t="n"/>
      <c r="V1446" s="22" t="n"/>
      <c r="W1446" s="4" t="n"/>
    </row>
    <row r="1447">
      <c r="A1447" s="22" t="n"/>
      <c r="B1447" s="22" t="n"/>
      <c r="C1447" s="22" t="n"/>
      <c r="D1447" s="22">
        <f>IF(A1447="","",IF(OR(N(B1447)&gt;=$C$2,N(C1447)&gt;=$E$2),"High",IF(OR(N(B1447)&gt;0,N(C1447)&gt;0),"Medium","Low")))</f>
        <v/>
      </c>
      <c r="E1447" s="22" t="n"/>
      <c r="F1447" s="22" t="n"/>
      <c r="G1447" s="22" t="n"/>
      <c r="H1447" s="22" t="n"/>
      <c r="I1447" s="22" t="n"/>
      <c r="J1447" s="22" t="n"/>
      <c r="K1447" s="22" t="n"/>
      <c r="L1447" s="22" t="n"/>
      <c r="M1447" s="22">
        <f>IF(K1447="Override",L1447,IF(K1447="Accept suggestion",F1447,IF(K1447="No change (same URL)",A1447,"")))</f>
        <v/>
      </c>
      <c r="N1447" s="22">
        <f>IF(A1447="","",IF(K1447="410 Gone","410",IF(K1447="404","404",IF(K1447="No change (same URL)","none",IF(M1447="","","301")))))</f>
        <v/>
      </c>
      <c r="O1447" s="22">
        <f>IF(A1447="","",IFERROR(MID(A1447,FIND("/",A1447,FIND("//",A1447)+2),2000),A1447))</f>
        <v/>
      </c>
      <c r="P1447" s="22">
        <f>IF(OR(O1447="",N1447="",N1447="none",N1447="404"),"",IF(N1447="410","Redirect gone "&amp;O1447,"Redirect "&amp;N1447&amp;" "&amp;O1447&amp;" "&amp;M1447))</f>
        <v/>
      </c>
      <c r="Q1447" s="22" t="n"/>
      <c r="R1447" s="22" t="n"/>
      <c r="S1447" s="22" t="n"/>
      <c r="T1447" s="4">
        <f>IF(A1447="","",TRIM(IF(K1447="","Needs decision; ","")&amp;IF(AND(K1447="Accept suggestion",F1447=""),"No suggestion to accept; ","")&amp;IF(AND(K1447="Override",L1447=""),"Override URL missing; ","")&amp;IF(AND(K1447="Accept suggestion",N(G1447)&lt;$G$2),"Below your threshold; ","")&amp;IF(AND(M1447&lt;&gt;"",M1447=A1447,K1447&lt;&gt;"No change (same URL)"),"Redirects to itself; ","")&amp;IF(AND(M1447&lt;&gt;"",OR(M1447="/",AND(LEFT(M1447,4)="http",OR((LEN(M1447)-LEN(SUBSTITUTE(M1447,"/","")))=2,AND((LEN(M1447)-LEN(SUBSTITUTE(M1447,"/","")))=3,RIGHT(M1447,1)="/"))))),"Home page redirect; ","")&amp;IF(N(R1447)&gt;1,"Chain; ","")&amp;IF(S1447="No","Destination not 200; ","")))</f>
        <v/>
      </c>
      <c r="U1447" s="22" t="n"/>
      <c r="V1447" s="22" t="n"/>
      <c r="W1447" s="4" t="n"/>
    </row>
    <row r="1448">
      <c r="A1448" s="22" t="n"/>
      <c r="B1448" s="22" t="n"/>
      <c r="C1448" s="22" t="n"/>
      <c r="D1448" s="22">
        <f>IF(A1448="","",IF(OR(N(B1448)&gt;=$C$2,N(C1448)&gt;=$E$2),"High",IF(OR(N(B1448)&gt;0,N(C1448)&gt;0),"Medium","Low")))</f>
        <v/>
      </c>
      <c r="E1448" s="22" t="n"/>
      <c r="F1448" s="22" t="n"/>
      <c r="G1448" s="22" t="n"/>
      <c r="H1448" s="22" t="n"/>
      <c r="I1448" s="22" t="n"/>
      <c r="J1448" s="22" t="n"/>
      <c r="K1448" s="22" t="n"/>
      <c r="L1448" s="22" t="n"/>
      <c r="M1448" s="22">
        <f>IF(K1448="Override",L1448,IF(K1448="Accept suggestion",F1448,IF(K1448="No change (same URL)",A1448,"")))</f>
        <v/>
      </c>
      <c r="N1448" s="22">
        <f>IF(A1448="","",IF(K1448="410 Gone","410",IF(K1448="404","404",IF(K1448="No change (same URL)","none",IF(M1448="","","301")))))</f>
        <v/>
      </c>
      <c r="O1448" s="22">
        <f>IF(A1448="","",IFERROR(MID(A1448,FIND("/",A1448,FIND("//",A1448)+2),2000),A1448))</f>
        <v/>
      </c>
      <c r="P1448" s="22">
        <f>IF(OR(O1448="",N1448="",N1448="none",N1448="404"),"",IF(N1448="410","Redirect gone "&amp;O1448,"Redirect "&amp;N1448&amp;" "&amp;O1448&amp;" "&amp;M1448))</f>
        <v/>
      </c>
      <c r="Q1448" s="22" t="n"/>
      <c r="R1448" s="22" t="n"/>
      <c r="S1448" s="22" t="n"/>
      <c r="T1448" s="4">
        <f>IF(A1448="","",TRIM(IF(K1448="","Needs decision; ","")&amp;IF(AND(K1448="Accept suggestion",F1448=""),"No suggestion to accept; ","")&amp;IF(AND(K1448="Override",L1448=""),"Override URL missing; ","")&amp;IF(AND(K1448="Accept suggestion",N(G1448)&lt;$G$2),"Below your threshold; ","")&amp;IF(AND(M1448&lt;&gt;"",M1448=A1448,K1448&lt;&gt;"No change (same URL)"),"Redirects to itself; ","")&amp;IF(AND(M1448&lt;&gt;"",OR(M1448="/",AND(LEFT(M1448,4)="http",OR((LEN(M1448)-LEN(SUBSTITUTE(M1448,"/","")))=2,AND((LEN(M1448)-LEN(SUBSTITUTE(M1448,"/","")))=3,RIGHT(M1448,1)="/"))))),"Home page redirect; ","")&amp;IF(N(R1448)&gt;1,"Chain; ","")&amp;IF(S1448="No","Destination not 200; ","")))</f>
        <v/>
      </c>
      <c r="U1448" s="22" t="n"/>
      <c r="V1448" s="22" t="n"/>
      <c r="W1448" s="4" t="n"/>
    </row>
    <row r="1449">
      <c r="A1449" s="22" t="n"/>
      <c r="B1449" s="22" t="n"/>
      <c r="C1449" s="22" t="n"/>
      <c r="D1449" s="22">
        <f>IF(A1449="","",IF(OR(N(B1449)&gt;=$C$2,N(C1449)&gt;=$E$2),"High",IF(OR(N(B1449)&gt;0,N(C1449)&gt;0),"Medium","Low")))</f>
        <v/>
      </c>
      <c r="E1449" s="22" t="n"/>
      <c r="F1449" s="22" t="n"/>
      <c r="G1449" s="22" t="n"/>
      <c r="H1449" s="22" t="n"/>
      <c r="I1449" s="22" t="n"/>
      <c r="J1449" s="22" t="n"/>
      <c r="K1449" s="22" t="n"/>
      <c r="L1449" s="22" t="n"/>
      <c r="M1449" s="22">
        <f>IF(K1449="Override",L1449,IF(K1449="Accept suggestion",F1449,IF(K1449="No change (same URL)",A1449,"")))</f>
        <v/>
      </c>
      <c r="N1449" s="22">
        <f>IF(A1449="","",IF(K1449="410 Gone","410",IF(K1449="404","404",IF(K1449="No change (same URL)","none",IF(M1449="","","301")))))</f>
        <v/>
      </c>
      <c r="O1449" s="22">
        <f>IF(A1449="","",IFERROR(MID(A1449,FIND("/",A1449,FIND("//",A1449)+2),2000),A1449))</f>
        <v/>
      </c>
      <c r="P1449" s="22">
        <f>IF(OR(O1449="",N1449="",N1449="none",N1449="404"),"",IF(N1449="410","Redirect gone "&amp;O1449,"Redirect "&amp;N1449&amp;" "&amp;O1449&amp;" "&amp;M1449))</f>
        <v/>
      </c>
      <c r="Q1449" s="22" t="n"/>
      <c r="R1449" s="22" t="n"/>
      <c r="S1449" s="22" t="n"/>
      <c r="T1449" s="4">
        <f>IF(A1449="","",TRIM(IF(K1449="","Needs decision; ","")&amp;IF(AND(K1449="Accept suggestion",F1449=""),"No suggestion to accept; ","")&amp;IF(AND(K1449="Override",L1449=""),"Override URL missing; ","")&amp;IF(AND(K1449="Accept suggestion",N(G1449)&lt;$G$2),"Below your threshold; ","")&amp;IF(AND(M1449&lt;&gt;"",M1449=A1449,K1449&lt;&gt;"No change (same URL)"),"Redirects to itself; ","")&amp;IF(AND(M1449&lt;&gt;"",OR(M1449="/",AND(LEFT(M1449,4)="http",OR((LEN(M1449)-LEN(SUBSTITUTE(M1449,"/","")))=2,AND((LEN(M1449)-LEN(SUBSTITUTE(M1449,"/","")))=3,RIGHT(M1449,1)="/"))))),"Home page redirect; ","")&amp;IF(N(R1449)&gt;1,"Chain; ","")&amp;IF(S1449="No","Destination not 200; ","")))</f>
        <v/>
      </c>
      <c r="U1449" s="22" t="n"/>
      <c r="V1449" s="22" t="n"/>
      <c r="W1449" s="4" t="n"/>
    </row>
    <row r="1450">
      <c r="A1450" s="22" t="n"/>
      <c r="B1450" s="22" t="n"/>
      <c r="C1450" s="22" t="n"/>
      <c r="D1450" s="22">
        <f>IF(A1450="","",IF(OR(N(B1450)&gt;=$C$2,N(C1450)&gt;=$E$2),"High",IF(OR(N(B1450)&gt;0,N(C1450)&gt;0),"Medium","Low")))</f>
        <v/>
      </c>
      <c r="E1450" s="22" t="n"/>
      <c r="F1450" s="22" t="n"/>
      <c r="G1450" s="22" t="n"/>
      <c r="H1450" s="22" t="n"/>
      <c r="I1450" s="22" t="n"/>
      <c r="J1450" s="22" t="n"/>
      <c r="K1450" s="22" t="n"/>
      <c r="L1450" s="22" t="n"/>
      <c r="M1450" s="22">
        <f>IF(K1450="Override",L1450,IF(K1450="Accept suggestion",F1450,IF(K1450="No change (same URL)",A1450,"")))</f>
        <v/>
      </c>
      <c r="N1450" s="22">
        <f>IF(A1450="","",IF(K1450="410 Gone","410",IF(K1450="404","404",IF(K1450="No change (same URL)","none",IF(M1450="","","301")))))</f>
        <v/>
      </c>
      <c r="O1450" s="22">
        <f>IF(A1450="","",IFERROR(MID(A1450,FIND("/",A1450,FIND("//",A1450)+2),2000),A1450))</f>
        <v/>
      </c>
      <c r="P1450" s="22">
        <f>IF(OR(O1450="",N1450="",N1450="none",N1450="404"),"",IF(N1450="410","Redirect gone "&amp;O1450,"Redirect "&amp;N1450&amp;" "&amp;O1450&amp;" "&amp;M1450))</f>
        <v/>
      </c>
      <c r="Q1450" s="22" t="n"/>
      <c r="R1450" s="22" t="n"/>
      <c r="S1450" s="22" t="n"/>
      <c r="T1450" s="4">
        <f>IF(A1450="","",TRIM(IF(K1450="","Needs decision; ","")&amp;IF(AND(K1450="Accept suggestion",F1450=""),"No suggestion to accept; ","")&amp;IF(AND(K1450="Override",L1450=""),"Override URL missing; ","")&amp;IF(AND(K1450="Accept suggestion",N(G1450)&lt;$G$2),"Below your threshold; ","")&amp;IF(AND(M1450&lt;&gt;"",M1450=A1450,K1450&lt;&gt;"No change (same URL)"),"Redirects to itself; ","")&amp;IF(AND(M1450&lt;&gt;"",OR(M1450="/",AND(LEFT(M1450,4)="http",OR((LEN(M1450)-LEN(SUBSTITUTE(M1450,"/","")))=2,AND((LEN(M1450)-LEN(SUBSTITUTE(M1450,"/","")))=3,RIGHT(M1450,1)="/"))))),"Home page redirect; ","")&amp;IF(N(R1450)&gt;1,"Chain; ","")&amp;IF(S1450="No","Destination not 200; ","")))</f>
        <v/>
      </c>
      <c r="U1450" s="22" t="n"/>
      <c r="V1450" s="22" t="n"/>
      <c r="W1450" s="4" t="n"/>
    </row>
    <row r="1451">
      <c r="A1451" s="22" t="n"/>
      <c r="B1451" s="22" t="n"/>
      <c r="C1451" s="22" t="n"/>
      <c r="D1451" s="22">
        <f>IF(A1451="","",IF(OR(N(B1451)&gt;=$C$2,N(C1451)&gt;=$E$2),"High",IF(OR(N(B1451)&gt;0,N(C1451)&gt;0),"Medium","Low")))</f>
        <v/>
      </c>
      <c r="E1451" s="22" t="n"/>
      <c r="F1451" s="22" t="n"/>
      <c r="G1451" s="22" t="n"/>
      <c r="H1451" s="22" t="n"/>
      <c r="I1451" s="22" t="n"/>
      <c r="J1451" s="22" t="n"/>
      <c r="K1451" s="22" t="n"/>
      <c r="L1451" s="22" t="n"/>
      <c r="M1451" s="22">
        <f>IF(K1451="Override",L1451,IF(K1451="Accept suggestion",F1451,IF(K1451="No change (same URL)",A1451,"")))</f>
        <v/>
      </c>
      <c r="N1451" s="22">
        <f>IF(A1451="","",IF(K1451="410 Gone","410",IF(K1451="404","404",IF(K1451="No change (same URL)","none",IF(M1451="","","301")))))</f>
        <v/>
      </c>
      <c r="O1451" s="22">
        <f>IF(A1451="","",IFERROR(MID(A1451,FIND("/",A1451,FIND("//",A1451)+2),2000),A1451))</f>
        <v/>
      </c>
      <c r="P1451" s="22">
        <f>IF(OR(O1451="",N1451="",N1451="none",N1451="404"),"",IF(N1451="410","Redirect gone "&amp;O1451,"Redirect "&amp;N1451&amp;" "&amp;O1451&amp;" "&amp;M1451))</f>
        <v/>
      </c>
      <c r="Q1451" s="22" t="n"/>
      <c r="R1451" s="22" t="n"/>
      <c r="S1451" s="22" t="n"/>
      <c r="T1451" s="4">
        <f>IF(A1451="","",TRIM(IF(K1451="","Needs decision; ","")&amp;IF(AND(K1451="Accept suggestion",F1451=""),"No suggestion to accept; ","")&amp;IF(AND(K1451="Override",L1451=""),"Override URL missing; ","")&amp;IF(AND(K1451="Accept suggestion",N(G1451)&lt;$G$2),"Below your threshold; ","")&amp;IF(AND(M1451&lt;&gt;"",M1451=A1451,K1451&lt;&gt;"No change (same URL)"),"Redirects to itself; ","")&amp;IF(AND(M1451&lt;&gt;"",OR(M1451="/",AND(LEFT(M1451,4)="http",OR((LEN(M1451)-LEN(SUBSTITUTE(M1451,"/","")))=2,AND((LEN(M1451)-LEN(SUBSTITUTE(M1451,"/","")))=3,RIGHT(M1451,1)="/"))))),"Home page redirect; ","")&amp;IF(N(R1451)&gt;1,"Chain; ","")&amp;IF(S1451="No","Destination not 200; ","")))</f>
        <v/>
      </c>
      <c r="U1451" s="22" t="n"/>
      <c r="V1451" s="22" t="n"/>
      <c r="W1451" s="4" t="n"/>
    </row>
    <row r="1452">
      <c r="A1452" s="22" t="n"/>
      <c r="B1452" s="22" t="n"/>
      <c r="C1452" s="22" t="n"/>
      <c r="D1452" s="22">
        <f>IF(A1452="","",IF(OR(N(B1452)&gt;=$C$2,N(C1452)&gt;=$E$2),"High",IF(OR(N(B1452)&gt;0,N(C1452)&gt;0),"Medium","Low")))</f>
        <v/>
      </c>
      <c r="E1452" s="22" t="n"/>
      <c r="F1452" s="22" t="n"/>
      <c r="G1452" s="22" t="n"/>
      <c r="H1452" s="22" t="n"/>
      <c r="I1452" s="22" t="n"/>
      <c r="J1452" s="22" t="n"/>
      <c r="K1452" s="22" t="n"/>
      <c r="L1452" s="22" t="n"/>
      <c r="M1452" s="22">
        <f>IF(K1452="Override",L1452,IF(K1452="Accept suggestion",F1452,IF(K1452="No change (same URL)",A1452,"")))</f>
        <v/>
      </c>
      <c r="N1452" s="22">
        <f>IF(A1452="","",IF(K1452="410 Gone","410",IF(K1452="404","404",IF(K1452="No change (same URL)","none",IF(M1452="","","301")))))</f>
        <v/>
      </c>
      <c r="O1452" s="22">
        <f>IF(A1452="","",IFERROR(MID(A1452,FIND("/",A1452,FIND("//",A1452)+2),2000),A1452))</f>
        <v/>
      </c>
      <c r="P1452" s="22">
        <f>IF(OR(O1452="",N1452="",N1452="none",N1452="404"),"",IF(N1452="410","Redirect gone "&amp;O1452,"Redirect "&amp;N1452&amp;" "&amp;O1452&amp;" "&amp;M1452))</f>
        <v/>
      </c>
      <c r="Q1452" s="22" t="n"/>
      <c r="R1452" s="22" t="n"/>
      <c r="S1452" s="22" t="n"/>
      <c r="T1452" s="4">
        <f>IF(A1452="","",TRIM(IF(K1452="","Needs decision; ","")&amp;IF(AND(K1452="Accept suggestion",F1452=""),"No suggestion to accept; ","")&amp;IF(AND(K1452="Override",L1452=""),"Override URL missing; ","")&amp;IF(AND(K1452="Accept suggestion",N(G1452)&lt;$G$2),"Below your threshold; ","")&amp;IF(AND(M1452&lt;&gt;"",M1452=A1452,K1452&lt;&gt;"No change (same URL)"),"Redirects to itself; ","")&amp;IF(AND(M1452&lt;&gt;"",OR(M1452="/",AND(LEFT(M1452,4)="http",OR((LEN(M1452)-LEN(SUBSTITUTE(M1452,"/","")))=2,AND((LEN(M1452)-LEN(SUBSTITUTE(M1452,"/","")))=3,RIGHT(M1452,1)="/"))))),"Home page redirect; ","")&amp;IF(N(R1452)&gt;1,"Chain; ","")&amp;IF(S1452="No","Destination not 200; ","")))</f>
        <v/>
      </c>
      <c r="U1452" s="22" t="n"/>
      <c r="V1452" s="22" t="n"/>
      <c r="W1452" s="4" t="n"/>
    </row>
    <row r="1453">
      <c r="A1453" s="22" t="n"/>
      <c r="B1453" s="22" t="n"/>
      <c r="C1453" s="22" t="n"/>
      <c r="D1453" s="22">
        <f>IF(A1453="","",IF(OR(N(B1453)&gt;=$C$2,N(C1453)&gt;=$E$2),"High",IF(OR(N(B1453)&gt;0,N(C1453)&gt;0),"Medium","Low")))</f>
        <v/>
      </c>
      <c r="E1453" s="22" t="n"/>
      <c r="F1453" s="22" t="n"/>
      <c r="G1453" s="22" t="n"/>
      <c r="H1453" s="22" t="n"/>
      <c r="I1453" s="22" t="n"/>
      <c r="J1453" s="22" t="n"/>
      <c r="K1453" s="22" t="n"/>
      <c r="L1453" s="22" t="n"/>
      <c r="M1453" s="22">
        <f>IF(K1453="Override",L1453,IF(K1453="Accept suggestion",F1453,IF(K1453="No change (same URL)",A1453,"")))</f>
        <v/>
      </c>
      <c r="N1453" s="22">
        <f>IF(A1453="","",IF(K1453="410 Gone","410",IF(K1453="404","404",IF(K1453="No change (same URL)","none",IF(M1453="","","301")))))</f>
        <v/>
      </c>
      <c r="O1453" s="22">
        <f>IF(A1453="","",IFERROR(MID(A1453,FIND("/",A1453,FIND("//",A1453)+2),2000),A1453))</f>
        <v/>
      </c>
      <c r="P1453" s="22">
        <f>IF(OR(O1453="",N1453="",N1453="none",N1453="404"),"",IF(N1453="410","Redirect gone "&amp;O1453,"Redirect "&amp;N1453&amp;" "&amp;O1453&amp;" "&amp;M1453))</f>
        <v/>
      </c>
      <c r="Q1453" s="22" t="n"/>
      <c r="R1453" s="22" t="n"/>
      <c r="S1453" s="22" t="n"/>
      <c r="T1453" s="4">
        <f>IF(A1453="","",TRIM(IF(K1453="","Needs decision; ","")&amp;IF(AND(K1453="Accept suggestion",F1453=""),"No suggestion to accept; ","")&amp;IF(AND(K1453="Override",L1453=""),"Override URL missing; ","")&amp;IF(AND(K1453="Accept suggestion",N(G1453)&lt;$G$2),"Below your threshold; ","")&amp;IF(AND(M1453&lt;&gt;"",M1453=A1453,K1453&lt;&gt;"No change (same URL)"),"Redirects to itself; ","")&amp;IF(AND(M1453&lt;&gt;"",OR(M1453="/",AND(LEFT(M1453,4)="http",OR((LEN(M1453)-LEN(SUBSTITUTE(M1453,"/","")))=2,AND((LEN(M1453)-LEN(SUBSTITUTE(M1453,"/","")))=3,RIGHT(M1453,1)="/"))))),"Home page redirect; ","")&amp;IF(N(R1453)&gt;1,"Chain; ","")&amp;IF(S1453="No","Destination not 200; ","")))</f>
        <v/>
      </c>
      <c r="U1453" s="22" t="n"/>
      <c r="V1453" s="22" t="n"/>
      <c r="W1453" s="4" t="n"/>
    </row>
    <row r="1454">
      <c r="A1454" s="22" t="n"/>
      <c r="B1454" s="22" t="n"/>
      <c r="C1454" s="22" t="n"/>
      <c r="D1454" s="22">
        <f>IF(A1454="","",IF(OR(N(B1454)&gt;=$C$2,N(C1454)&gt;=$E$2),"High",IF(OR(N(B1454)&gt;0,N(C1454)&gt;0),"Medium","Low")))</f>
        <v/>
      </c>
      <c r="E1454" s="22" t="n"/>
      <c r="F1454" s="22" t="n"/>
      <c r="G1454" s="22" t="n"/>
      <c r="H1454" s="22" t="n"/>
      <c r="I1454" s="22" t="n"/>
      <c r="J1454" s="22" t="n"/>
      <c r="K1454" s="22" t="n"/>
      <c r="L1454" s="22" t="n"/>
      <c r="M1454" s="22">
        <f>IF(K1454="Override",L1454,IF(K1454="Accept suggestion",F1454,IF(K1454="No change (same URL)",A1454,"")))</f>
        <v/>
      </c>
      <c r="N1454" s="22">
        <f>IF(A1454="","",IF(K1454="410 Gone","410",IF(K1454="404","404",IF(K1454="No change (same URL)","none",IF(M1454="","","301")))))</f>
        <v/>
      </c>
      <c r="O1454" s="22">
        <f>IF(A1454="","",IFERROR(MID(A1454,FIND("/",A1454,FIND("//",A1454)+2),2000),A1454))</f>
        <v/>
      </c>
      <c r="P1454" s="22">
        <f>IF(OR(O1454="",N1454="",N1454="none",N1454="404"),"",IF(N1454="410","Redirect gone "&amp;O1454,"Redirect "&amp;N1454&amp;" "&amp;O1454&amp;" "&amp;M1454))</f>
        <v/>
      </c>
      <c r="Q1454" s="22" t="n"/>
      <c r="R1454" s="22" t="n"/>
      <c r="S1454" s="22" t="n"/>
      <c r="T1454" s="4">
        <f>IF(A1454="","",TRIM(IF(K1454="","Needs decision; ","")&amp;IF(AND(K1454="Accept suggestion",F1454=""),"No suggestion to accept; ","")&amp;IF(AND(K1454="Override",L1454=""),"Override URL missing; ","")&amp;IF(AND(K1454="Accept suggestion",N(G1454)&lt;$G$2),"Below your threshold; ","")&amp;IF(AND(M1454&lt;&gt;"",M1454=A1454,K1454&lt;&gt;"No change (same URL)"),"Redirects to itself; ","")&amp;IF(AND(M1454&lt;&gt;"",OR(M1454="/",AND(LEFT(M1454,4)="http",OR((LEN(M1454)-LEN(SUBSTITUTE(M1454,"/","")))=2,AND((LEN(M1454)-LEN(SUBSTITUTE(M1454,"/","")))=3,RIGHT(M1454,1)="/"))))),"Home page redirect; ","")&amp;IF(N(R1454)&gt;1,"Chain; ","")&amp;IF(S1454="No","Destination not 200; ","")))</f>
        <v/>
      </c>
      <c r="U1454" s="22" t="n"/>
      <c r="V1454" s="22" t="n"/>
      <c r="W1454" s="4" t="n"/>
    </row>
    <row r="1455">
      <c r="A1455" s="22" t="n"/>
      <c r="B1455" s="22" t="n"/>
      <c r="C1455" s="22" t="n"/>
      <c r="D1455" s="22">
        <f>IF(A1455="","",IF(OR(N(B1455)&gt;=$C$2,N(C1455)&gt;=$E$2),"High",IF(OR(N(B1455)&gt;0,N(C1455)&gt;0),"Medium","Low")))</f>
        <v/>
      </c>
      <c r="E1455" s="22" t="n"/>
      <c r="F1455" s="22" t="n"/>
      <c r="G1455" s="22" t="n"/>
      <c r="H1455" s="22" t="n"/>
      <c r="I1455" s="22" t="n"/>
      <c r="J1455" s="22" t="n"/>
      <c r="K1455" s="22" t="n"/>
      <c r="L1455" s="22" t="n"/>
      <c r="M1455" s="22">
        <f>IF(K1455="Override",L1455,IF(K1455="Accept suggestion",F1455,IF(K1455="No change (same URL)",A1455,"")))</f>
        <v/>
      </c>
      <c r="N1455" s="22">
        <f>IF(A1455="","",IF(K1455="410 Gone","410",IF(K1455="404","404",IF(K1455="No change (same URL)","none",IF(M1455="","","301")))))</f>
        <v/>
      </c>
      <c r="O1455" s="22">
        <f>IF(A1455="","",IFERROR(MID(A1455,FIND("/",A1455,FIND("//",A1455)+2),2000),A1455))</f>
        <v/>
      </c>
      <c r="P1455" s="22">
        <f>IF(OR(O1455="",N1455="",N1455="none",N1455="404"),"",IF(N1455="410","Redirect gone "&amp;O1455,"Redirect "&amp;N1455&amp;" "&amp;O1455&amp;" "&amp;M1455))</f>
        <v/>
      </c>
      <c r="Q1455" s="22" t="n"/>
      <c r="R1455" s="22" t="n"/>
      <c r="S1455" s="22" t="n"/>
      <c r="T1455" s="4">
        <f>IF(A1455="","",TRIM(IF(K1455="","Needs decision; ","")&amp;IF(AND(K1455="Accept suggestion",F1455=""),"No suggestion to accept; ","")&amp;IF(AND(K1455="Override",L1455=""),"Override URL missing; ","")&amp;IF(AND(K1455="Accept suggestion",N(G1455)&lt;$G$2),"Below your threshold; ","")&amp;IF(AND(M1455&lt;&gt;"",M1455=A1455,K1455&lt;&gt;"No change (same URL)"),"Redirects to itself; ","")&amp;IF(AND(M1455&lt;&gt;"",OR(M1455="/",AND(LEFT(M1455,4)="http",OR((LEN(M1455)-LEN(SUBSTITUTE(M1455,"/","")))=2,AND((LEN(M1455)-LEN(SUBSTITUTE(M1455,"/","")))=3,RIGHT(M1455,1)="/"))))),"Home page redirect; ","")&amp;IF(N(R1455)&gt;1,"Chain; ","")&amp;IF(S1455="No","Destination not 200; ","")))</f>
        <v/>
      </c>
      <c r="U1455" s="22" t="n"/>
      <c r="V1455" s="22" t="n"/>
      <c r="W1455" s="4" t="n"/>
    </row>
    <row r="1456">
      <c r="A1456" s="22" t="n"/>
      <c r="B1456" s="22" t="n"/>
      <c r="C1456" s="22" t="n"/>
      <c r="D1456" s="22">
        <f>IF(A1456="","",IF(OR(N(B1456)&gt;=$C$2,N(C1456)&gt;=$E$2),"High",IF(OR(N(B1456)&gt;0,N(C1456)&gt;0),"Medium","Low")))</f>
        <v/>
      </c>
      <c r="E1456" s="22" t="n"/>
      <c r="F1456" s="22" t="n"/>
      <c r="G1456" s="22" t="n"/>
      <c r="H1456" s="22" t="n"/>
      <c r="I1456" s="22" t="n"/>
      <c r="J1456" s="22" t="n"/>
      <c r="K1456" s="22" t="n"/>
      <c r="L1456" s="22" t="n"/>
      <c r="M1456" s="22">
        <f>IF(K1456="Override",L1456,IF(K1456="Accept suggestion",F1456,IF(K1456="No change (same URL)",A1456,"")))</f>
        <v/>
      </c>
      <c r="N1456" s="22">
        <f>IF(A1456="","",IF(K1456="410 Gone","410",IF(K1456="404","404",IF(K1456="No change (same URL)","none",IF(M1456="","","301")))))</f>
        <v/>
      </c>
      <c r="O1456" s="22">
        <f>IF(A1456="","",IFERROR(MID(A1456,FIND("/",A1456,FIND("//",A1456)+2),2000),A1456))</f>
        <v/>
      </c>
      <c r="P1456" s="22">
        <f>IF(OR(O1456="",N1456="",N1456="none",N1456="404"),"",IF(N1456="410","Redirect gone "&amp;O1456,"Redirect "&amp;N1456&amp;" "&amp;O1456&amp;" "&amp;M1456))</f>
        <v/>
      </c>
      <c r="Q1456" s="22" t="n"/>
      <c r="R1456" s="22" t="n"/>
      <c r="S1456" s="22" t="n"/>
      <c r="T1456" s="4">
        <f>IF(A1456="","",TRIM(IF(K1456="","Needs decision; ","")&amp;IF(AND(K1456="Accept suggestion",F1456=""),"No suggestion to accept; ","")&amp;IF(AND(K1456="Override",L1456=""),"Override URL missing; ","")&amp;IF(AND(K1456="Accept suggestion",N(G1456)&lt;$G$2),"Below your threshold; ","")&amp;IF(AND(M1456&lt;&gt;"",M1456=A1456,K1456&lt;&gt;"No change (same URL)"),"Redirects to itself; ","")&amp;IF(AND(M1456&lt;&gt;"",OR(M1456="/",AND(LEFT(M1456,4)="http",OR((LEN(M1456)-LEN(SUBSTITUTE(M1456,"/","")))=2,AND((LEN(M1456)-LEN(SUBSTITUTE(M1456,"/","")))=3,RIGHT(M1456,1)="/"))))),"Home page redirect; ","")&amp;IF(N(R1456)&gt;1,"Chain; ","")&amp;IF(S1456="No","Destination not 200; ","")))</f>
        <v/>
      </c>
      <c r="U1456" s="22" t="n"/>
      <c r="V1456" s="22" t="n"/>
      <c r="W1456" s="4" t="n"/>
    </row>
    <row r="1457">
      <c r="A1457" s="22" t="n"/>
      <c r="B1457" s="22" t="n"/>
      <c r="C1457" s="22" t="n"/>
      <c r="D1457" s="22">
        <f>IF(A1457="","",IF(OR(N(B1457)&gt;=$C$2,N(C1457)&gt;=$E$2),"High",IF(OR(N(B1457)&gt;0,N(C1457)&gt;0),"Medium","Low")))</f>
        <v/>
      </c>
      <c r="E1457" s="22" t="n"/>
      <c r="F1457" s="22" t="n"/>
      <c r="G1457" s="22" t="n"/>
      <c r="H1457" s="22" t="n"/>
      <c r="I1457" s="22" t="n"/>
      <c r="J1457" s="22" t="n"/>
      <c r="K1457" s="22" t="n"/>
      <c r="L1457" s="22" t="n"/>
      <c r="M1457" s="22">
        <f>IF(K1457="Override",L1457,IF(K1457="Accept suggestion",F1457,IF(K1457="No change (same URL)",A1457,"")))</f>
        <v/>
      </c>
      <c r="N1457" s="22">
        <f>IF(A1457="","",IF(K1457="410 Gone","410",IF(K1457="404","404",IF(K1457="No change (same URL)","none",IF(M1457="","","301")))))</f>
        <v/>
      </c>
      <c r="O1457" s="22">
        <f>IF(A1457="","",IFERROR(MID(A1457,FIND("/",A1457,FIND("//",A1457)+2),2000),A1457))</f>
        <v/>
      </c>
      <c r="P1457" s="22">
        <f>IF(OR(O1457="",N1457="",N1457="none",N1457="404"),"",IF(N1457="410","Redirect gone "&amp;O1457,"Redirect "&amp;N1457&amp;" "&amp;O1457&amp;" "&amp;M1457))</f>
        <v/>
      </c>
      <c r="Q1457" s="22" t="n"/>
      <c r="R1457" s="22" t="n"/>
      <c r="S1457" s="22" t="n"/>
      <c r="T1457" s="4">
        <f>IF(A1457="","",TRIM(IF(K1457="","Needs decision; ","")&amp;IF(AND(K1457="Accept suggestion",F1457=""),"No suggestion to accept; ","")&amp;IF(AND(K1457="Override",L1457=""),"Override URL missing; ","")&amp;IF(AND(K1457="Accept suggestion",N(G1457)&lt;$G$2),"Below your threshold; ","")&amp;IF(AND(M1457&lt;&gt;"",M1457=A1457,K1457&lt;&gt;"No change (same URL)"),"Redirects to itself; ","")&amp;IF(AND(M1457&lt;&gt;"",OR(M1457="/",AND(LEFT(M1457,4)="http",OR((LEN(M1457)-LEN(SUBSTITUTE(M1457,"/","")))=2,AND((LEN(M1457)-LEN(SUBSTITUTE(M1457,"/","")))=3,RIGHT(M1457,1)="/"))))),"Home page redirect; ","")&amp;IF(N(R1457)&gt;1,"Chain; ","")&amp;IF(S1457="No","Destination not 200; ","")))</f>
        <v/>
      </c>
      <c r="U1457" s="22" t="n"/>
      <c r="V1457" s="22" t="n"/>
      <c r="W1457" s="4" t="n"/>
    </row>
    <row r="1458">
      <c r="A1458" s="22" t="n"/>
      <c r="B1458" s="22" t="n"/>
      <c r="C1458" s="22" t="n"/>
      <c r="D1458" s="22">
        <f>IF(A1458="","",IF(OR(N(B1458)&gt;=$C$2,N(C1458)&gt;=$E$2),"High",IF(OR(N(B1458)&gt;0,N(C1458)&gt;0),"Medium","Low")))</f>
        <v/>
      </c>
      <c r="E1458" s="22" t="n"/>
      <c r="F1458" s="22" t="n"/>
      <c r="G1458" s="22" t="n"/>
      <c r="H1458" s="22" t="n"/>
      <c r="I1458" s="22" t="n"/>
      <c r="J1458" s="22" t="n"/>
      <c r="K1458" s="22" t="n"/>
      <c r="L1458" s="22" t="n"/>
      <c r="M1458" s="22">
        <f>IF(K1458="Override",L1458,IF(K1458="Accept suggestion",F1458,IF(K1458="No change (same URL)",A1458,"")))</f>
        <v/>
      </c>
      <c r="N1458" s="22">
        <f>IF(A1458="","",IF(K1458="410 Gone","410",IF(K1458="404","404",IF(K1458="No change (same URL)","none",IF(M1458="","","301")))))</f>
        <v/>
      </c>
      <c r="O1458" s="22">
        <f>IF(A1458="","",IFERROR(MID(A1458,FIND("/",A1458,FIND("//",A1458)+2),2000),A1458))</f>
        <v/>
      </c>
      <c r="P1458" s="22">
        <f>IF(OR(O1458="",N1458="",N1458="none",N1458="404"),"",IF(N1458="410","Redirect gone "&amp;O1458,"Redirect "&amp;N1458&amp;" "&amp;O1458&amp;" "&amp;M1458))</f>
        <v/>
      </c>
      <c r="Q1458" s="22" t="n"/>
      <c r="R1458" s="22" t="n"/>
      <c r="S1458" s="22" t="n"/>
      <c r="T1458" s="4">
        <f>IF(A1458="","",TRIM(IF(K1458="","Needs decision; ","")&amp;IF(AND(K1458="Accept suggestion",F1458=""),"No suggestion to accept; ","")&amp;IF(AND(K1458="Override",L1458=""),"Override URL missing; ","")&amp;IF(AND(K1458="Accept suggestion",N(G1458)&lt;$G$2),"Below your threshold; ","")&amp;IF(AND(M1458&lt;&gt;"",M1458=A1458,K1458&lt;&gt;"No change (same URL)"),"Redirects to itself; ","")&amp;IF(AND(M1458&lt;&gt;"",OR(M1458="/",AND(LEFT(M1458,4)="http",OR((LEN(M1458)-LEN(SUBSTITUTE(M1458,"/","")))=2,AND((LEN(M1458)-LEN(SUBSTITUTE(M1458,"/","")))=3,RIGHT(M1458,1)="/"))))),"Home page redirect; ","")&amp;IF(N(R1458)&gt;1,"Chain; ","")&amp;IF(S1458="No","Destination not 200; ","")))</f>
        <v/>
      </c>
      <c r="U1458" s="22" t="n"/>
      <c r="V1458" s="22" t="n"/>
      <c r="W1458" s="4" t="n"/>
    </row>
    <row r="1459">
      <c r="A1459" s="22" t="n"/>
      <c r="B1459" s="22" t="n"/>
      <c r="C1459" s="22" t="n"/>
      <c r="D1459" s="22">
        <f>IF(A1459="","",IF(OR(N(B1459)&gt;=$C$2,N(C1459)&gt;=$E$2),"High",IF(OR(N(B1459)&gt;0,N(C1459)&gt;0),"Medium","Low")))</f>
        <v/>
      </c>
      <c r="E1459" s="22" t="n"/>
      <c r="F1459" s="22" t="n"/>
      <c r="G1459" s="22" t="n"/>
      <c r="H1459" s="22" t="n"/>
      <c r="I1459" s="22" t="n"/>
      <c r="J1459" s="22" t="n"/>
      <c r="K1459" s="22" t="n"/>
      <c r="L1459" s="22" t="n"/>
      <c r="M1459" s="22">
        <f>IF(K1459="Override",L1459,IF(K1459="Accept suggestion",F1459,IF(K1459="No change (same URL)",A1459,"")))</f>
        <v/>
      </c>
      <c r="N1459" s="22">
        <f>IF(A1459="","",IF(K1459="410 Gone","410",IF(K1459="404","404",IF(K1459="No change (same URL)","none",IF(M1459="","","301")))))</f>
        <v/>
      </c>
      <c r="O1459" s="22">
        <f>IF(A1459="","",IFERROR(MID(A1459,FIND("/",A1459,FIND("//",A1459)+2),2000),A1459))</f>
        <v/>
      </c>
      <c r="P1459" s="22">
        <f>IF(OR(O1459="",N1459="",N1459="none",N1459="404"),"",IF(N1459="410","Redirect gone "&amp;O1459,"Redirect "&amp;N1459&amp;" "&amp;O1459&amp;" "&amp;M1459))</f>
        <v/>
      </c>
      <c r="Q1459" s="22" t="n"/>
      <c r="R1459" s="22" t="n"/>
      <c r="S1459" s="22" t="n"/>
      <c r="T1459" s="4">
        <f>IF(A1459="","",TRIM(IF(K1459="","Needs decision; ","")&amp;IF(AND(K1459="Accept suggestion",F1459=""),"No suggestion to accept; ","")&amp;IF(AND(K1459="Override",L1459=""),"Override URL missing; ","")&amp;IF(AND(K1459="Accept suggestion",N(G1459)&lt;$G$2),"Below your threshold; ","")&amp;IF(AND(M1459&lt;&gt;"",M1459=A1459,K1459&lt;&gt;"No change (same URL)"),"Redirects to itself; ","")&amp;IF(AND(M1459&lt;&gt;"",OR(M1459="/",AND(LEFT(M1459,4)="http",OR((LEN(M1459)-LEN(SUBSTITUTE(M1459,"/","")))=2,AND((LEN(M1459)-LEN(SUBSTITUTE(M1459,"/","")))=3,RIGHT(M1459,1)="/"))))),"Home page redirect; ","")&amp;IF(N(R1459)&gt;1,"Chain; ","")&amp;IF(S1459="No","Destination not 200; ","")))</f>
        <v/>
      </c>
      <c r="U1459" s="22" t="n"/>
      <c r="V1459" s="22" t="n"/>
      <c r="W1459" s="4" t="n"/>
    </row>
    <row r="1460">
      <c r="A1460" s="22" t="n"/>
      <c r="B1460" s="22" t="n"/>
      <c r="C1460" s="22" t="n"/>
      <c r="D1460" s="22">
        <f>IF(A1460="","",IF(OR(N(B1460)&gt;=$C$2,N(C1460)&gt;=$E$2),"High",IF(OR(N(B1460)&gt;0,N(C1460)&gt;0),"Medium","Low")))</f>
        <v/>
      </c>
      <c r="E1460" s="22" t="n"/>
      <c r="F1460" s="22" t="n"/>
      <c r="G1460" s="22" t="n"/>
      <c r="H1460" s="22" t="n"/>
      <c r="I1460" s="22" t="n"/>
      <c r="J1460" s="22" t="n"/>
      <c r="K1460" s="22" t="n"/>
      <c r="L1460" s="22" t="n"/>
      <c r="M1460" s="22">
        <f>IF(K1460="Override",L1460,IF(K1460="Accept suggestion",F1460,IF(K1460="No change (same URL)",A1460,"")))</f>
        <v/>
      </c>
      <c r="N1460" s="22">
        <f>IF(A1460="","",IF(K1460="410 Gone","410",IF(K1460="404","404",IF(K1460="No change (same URL)","none",IF(M1460="","","301")))))</f>
        <v/>
      </c>
      <c r="O1460" s="22">
        <f>IF(A1460="","",IFERROR(MID(A1460,FIND("/",A1460,FIND("//",A1460)+2),2000),A1460))</f>
        <v/>
      </c>
      <c r="P1460" s="22">
        <f>IF(OR(O1460="",N1460="",N1460="none",N1460="404"),"",IF(N1460="410","Redirect gone "&amp;O1460,"Redirect "&amp;N1460&amp;" "&amp;O1460&amp;" "&amp;M1460))</f>
        <v/>
      </c>
      <c r="Q1460" s="22" t="n"/>
      <c r="R1460" s="22" t="n"/>
      <c r="S1460" s="22" t="n"/>
      <c r="T1460" s="4">
        <f>IF(A1460="","",TRIM(IF(K1460="","Needs decision; ","")&amp;IF(AND(K1460="Accept suggestion",F1460=""),"No suggestion to accept; ","")&amp;IF(AND(K1460="Override",L1460=""),"Override URL missing; ","")&amp;IF(AND(K1460="Accept suggestion",N(G1460)&lt;$G$2),"Below your threshold; ","")&amp;IF(AND(M1460&lt;&gt;"",M1460=A1460,K1460&lt;&gt;"No change (same URL)"),"Redirects to itself; ","")&amp;IF(AND(M1460&lt;&gt;"",OR(M1460="/",AND(LEFT(M1460,4)="http",OR((LEN(M1460)-LEN(SUBSTITUTE(M1460,"/","")))=2,AND((LEN(M1460)-LEN(SUBSTITUTE(M1460,"/","")))=3,RIGHT(M1460,1)="/"))))),"Home page redirect; ","")&amp;IF(N(R1460)&gt;1,"Chain; ","")&amp;IF(S1460="No","Destination not 200; ","")))</f>
        <v/>
      </c>
      <c r="U1460" s="22" t="n"/>
      <c r="V1460" s="22" t="n"/>
      <c r="W1460" s="4" t="n"/>
    </row>
    <row r="1461">
      <c r="A1461" s="22" t="n"/>
      <c r="B1461" s="22" t="n"/>
      <c r="C1461" s="22" t="n"/>
      <c r="D1461" s="22">
        <f>IF(A1461="","",IF(OR(N(B1461)&gt;=$C$2,N(C1461)&gt;=$E$2),"High",IF(OR(N(B1461)&gt;0,N(C1461)&gt;0),"Medium","Low")))</f>
        <v/>
      </c>
      <c r="E1461" s="22" t="n"/>
      <c r="F1461" s="22" t="n"/>
      <c r="G1461" s="22" t="n"/>
      <c r="H1461" s="22" t="n"/>
      <c r="I1461" s="22" t="n"/>
      <c r="J1461" s="22" t="n"/>
      <c r="K1461" s="22" t="n"/>
      <c r="L1461" s="22" t="n"/>
      <c r="M1461" s="22">
        <f>IF(K1461="Override",L1461,IF(K1461="Accept suggestion",F1461,IF(K1461="No change (same URL)",A1461,"")))</f>
        <v/>
      </c>
      <c r="N1461" s="22">
        <f>IF(A1461="","",IF(K1461="410 Gone","410",IF(K1461="404","404",IF(K1461="No change (same URL)","none",IF(M1461="","","301")))))</f>
        <v/>
      </c>
      <c r="O1461" s="22">
        <f>IF(A1461="","",IFERROR(MID(A1461,FIND("/",A1461,FIND("//",A1461)+2),2000),A1461))</f>
        <v/>
      </c>
      <c r="P1461" s="22">
        <f>IF(OR(O1461="",N1461="",N1461="none",N1461="404"),"",IF(N1461="410","Redirect gone "&amp;O1461,"Redirect "&amp;N1461&amp;" "&amp;O1461&amp;" "&amp;M1461))</f>
        <v/>
      </c>
      <c r="Q1461" s="22" t="n"/>
      <c r="R1461" s="22" t="n"/>
      <c r="S1461" s="22" t="n"/>
      <c r="T1461" s="4">
        <f>IF(A1461="","",TRIM(IF(K1461="","Needs decision; ","")&amp;IF(AND(K1461="Accept suggestion",F1461=""),"No suggestion to accept; ","")&amp;IF(AND(K1461="Override",L1461=""),"Override URL missing; ","")&amp;IF(AND(K1461="Accept suggestion",N(G1461)&lt;$G$2),"Below your threshold; ","")&amp;IF(AND(M1461&lt;&gt;"",M1461=A1461,K1461&lt;&gt;"No change (same URL)"),"Redirects to itself; ","")&amp;IF(AND(M1461&lt;&gt;"",OR(M1461="/",AND(LEFT(M1461,4)="http",OR((LEN(M1461)-LEN(SUBSTITUTE(M1461,"/","")))=2,AND((LEN(M1461)-LEN(SUBSTITUTE(M1461,"/","")))=3,RIGHT(M1461,1)="/"))))),"Home page redirect; ","")&amp;IF(N(R1461)&gt;1,"Chain; ","")&amp;IF(S1461="No","Destination not 200; ","")))</f>
        <v/>
      </c>
      <c r="U1461" s="22" t="n"/>
      <c r="V1461" s="22" t="n"/>
      <c r="W1461" s="4" t="n"/>
    </row>
    <row r="1462">
      <c r="A1462" s="22" t="n"/>
      <c r="B1462" s="22" t="n"/>
      <c r="C1462" s="22" t="n"/>
      <c r="D1462" s="22">
        <f>IF(A1462="","",IF(OR(N(B1462)&gt;=$C$2,N(C1462)&gt;=$E$2),"High",IF(OR(N(B1462)&gt;0,N(C1462)&gt;0),"Medium","Low")))</f>
        <v/>
      </c>
      <c r="E1462" s="22" t="n"/>
      <c r="F1462" s="22" t="n"/>
      <c r="G1462" s="22" t="n"/>
      <c r="H1462" s="22" t="n"/>
      <c r="I1462" s="22" t="n"/>
      <c r="J1462" s="22" t="n"/>
      <c r="K1462" s="22" t="n"/>
      <c r="L1462" s="22" t="n"/>
      <c r="M1462" s="22">
        <f>IF(K1462="Override",L1462,IF(K1462="Accept suggestion",F1462,IF(K1462="No change (same URL)",A1462,"")))</f>
        <v/>
      </c>
      <c r="N1462" s="22">
        <f>IF(A1462="","",IF(K1462="410 Gone","410",IF(K1462="404","404",IF(K1462="No change (same URL)","none",IF(M1462="","","301")))))</f>
        <v/>
      </c>
      <c r="O1462" s="22">
        <f>IF(A1462="","",IFERROR(MID(A1462,FIND("/",A1462,FIND("//",A1462)+2),2000),A1462))</f>
        <v/>
      </c>
      <c r="P1462" s="22">
        <f>IF(OR(O1462="",N1462="",N1462="none",N1462="404"),"",IF(N1462="410","Redirect gone "&amp;O1462,"Redirect "&amp;N1462&amp;" "&amp;O1462&amp;" "&amp;M1462))</f>
        <v/>
      </c>
      <c r="Q1462" s="22" t="n"/>
      <c r="R1462" s="22" t="n"/>
      <c r="S1462" s="22" t="n"/>
      <c r="T1462" s="4">
        <f>IF(A1462="","",TRIM(IF(K1462="","Needs decision; ","")&amp;IF(AND(K1462="Accept suggestion",F1462=""),"No suggestion to accept; ","")&amp;IF(AND(K1462="Override",L1462=""),"Override URL missing; ","")&amp;IF(AND(K1462="Accept suggestion",N(G1462)&lt;$G$2),"Below your threshold; ","")&amp;IF(AND(M1462&lt;&gt;"",M1462=A1462,K1462&lt;&gt;"No change (same URL)"),"Redirects to itself; ","")&amp;IF(AND(M1462&lt;&gt;"",OR(M1462="/",AND(LEFT(M1462,4)="http",OR((LEN(M1462)-LEN(SUBSTITUTE(M1462,"/","")))=2,AND((LEN(M1462)-LEN(SUBSTITUTE(M1462,"/","")))=3,RIGHT(M1462,1)="/"))))),"Home page redirect; ","")&amp;IF(N(R1462)&gt;1,"Chain; ","")&amp;IF(S1462="No","Destination not 200; ","")))</f>
        <v/>
      </c>
      <c r="U1462" s="22" t="n"/>
      <c r="V1462" s="22" t="n"/>
      <c r="W1462" s="4" t="n"/>
    </row>
    <row r="1463">
      <c r="A1463" s="22" t="n"/>
      <c r="B1463" s="22" t="n"/>
      <c r="C1463" s="22" t="n"/>
      <c r="D1463" s="22">
        <f>IF(A1463="","",IF(OR(N(B1463)&gt;=$C$2,N(C1463)&gt;=$E$2),"High",IF(OR(N(B1463)&gt;0,N(C1463)&gt;0),"Medium","Low")))</f>
        <v/>
      </c>
      <c r="E1463" s="22" t="n"/>
      <c r="F1463" s="22" t="n"/>
      <c r="G1463" s="22" t="n"/>
      <c r="H1463" s="22" t="n"/>
      <c r="I1463" s="22" t="n"/>
      <c r="J1463" s="22" t="n"/>
      <c r="K1463" s="22" t="n"/>
      <c r="L1463" s="22" t="n"/>
      <c r="M1463" s="22">
        <f>IF(K1463="Override",L1463,IF(K1463="Accept suggestion",F1463,IF(K1463="No change (same URL)",A1463,"")))</f>
        <v/>
      </c>
      <c r="N1463" s="22">
        <f>IF(A1463="","",IF(K1463="410 Gone","410",IF(K1463="404","404",IF(K1463="No change (same URL)","none",IF(M1463="","","301")))))</f>
        <v/>
      </c>
      <c r="O1463" s="22">
        <f>IF(A1463="","",IFERROR(MID(A1463,FIND("/",A1463,FIND("//",A1463)+2),2000),A1463))</f>
        <v/>
      </c>
      <c r="P1463" s="22">
        <f>IF(OR(O1463="",N1463="",N1463="none",N1463="404"),"",IF(N1463="410","Redirect gone "&amp;O1463,"Redirect "&amp;N1463&amp;" "&amp;O1463&amp;" "&amp;M1463))</f>
        <v/>
      </c>
      <c r="Q1463" s="22" t="n"/>
      <c r="R1463" s="22" t="n"/>
      <c r="S1463" s="22" t="n"/>
      <c r="T1463" s="4">
        <f>IF(A1463="","",TRIM(IF(K1463="","Needs decision; ","")&amp;IF(AND(K1463="Accept suggestion",F1463=""),"No suggestion to accept; ","")&amp;IF(AND(K1463="Override",L1463=""),"Override URL missing; ","")&amp;IF(AND(K1463="Accept suggestion",N(G1463)&lt;$G$2),"Below your threshold; ","")&amp;IF(AND(M1463&lt;&gt;"",M1463=A1463,K1463&lt;&gt;"No change (same URL)"),"Redirects to itself; ","")&amp;IF(AND(M1463&lt;&gt;"",OR(M1463="/",AND(LEFT(M1463,4)="http",OR((LEN(M1463)-LEN(SUBSTITUTE(M1463,"/","")))=2,AND((LEN(M1463)-LEN(SUBSTITUTE(M1463,"/","")))=3,RIGHT(M1463,1)="/"))))),"Home page redirect; ","")&amp;IF(N(R1463)&gt;1,"Chain; ","")&amp;IF(S1463="No","Destination not 200; ","")))</f>
        <v/>
      </c>
      <c r="U1463" s="22" t="n"/>
      <c r="V1463" s="22" t="n"/>
      <c r="W1463" s="4" t="n"/>
    </row>
    <row r="1464">
      <c r="A1464" s="22" t="n"/>
      <c r="B1464" s="22" t="n"/>
      <c r="C1464" s="22" t="n"/>
      <c r="D1464" s="22">
        <f>IF(A1464="","",IF(OR(N(B1464)&gt;=$C$2,N(C1464)&gt;=$E$2),"High",IF(OR(N(B1464)&gt;0,N(C1464)&gt;0),"Medium","Low")))</f>
        <v/>
      </c>
      <c r="E1464" s="22" t="n"/>
      <c r="F1464" s="22" t="n"/>
      <c r="G1464" s="22" t="n"/>
      <c r="H1464" s="22" t="n"/>
      <c r="I1464" s="22" t="n"/>
      <c r="J1464" s="22" t="n"/>
      <c r="K1464" s="22" t="n"/>
      <c r="L1464" s="22" t="n"/>
      <c r="M1464" s="22">
        <f>IF(K1464="Override",L1464,IF(K1464="Accept suggestion",F1464,IF(K1464="No change (same URL)",A1464,"")))</f>
        <v/>
      </c>
      <c r="N1464" s="22">
        <f>IF(A1464="","",IF(K1464="410 Gone","410",IF(K1464="404","404",IF(K1464="No change (same URL)","none",IF(M1464="","","301")))))</f>
        <v/>
      </c>
      <c r="O1464" s="22">
        <f>IF(A1464="","",IFERROR(MID(A1464,FIND("/",A1464,FIND("//",A1464)+2),2000),A1464))</f>
        <v/>
      </c>
      <c r="P1464" s="22">
        <f>IF(OR(O1464="",N1464="",N1464="none",N1464="404"),"",IF(N1464="410","Redirect gone "&amp;O1464,"Redirect "&amp;N1464&amp;" "&amp;O1464&amp;" "&amp;M1464))</f>
        <v/>
      </c>
      <c r="Q1464" s="22" t="n"/>
      <c r="R1464" s="22" t="n"/>
      <c r="S1464" s="22" t="n"/>
      <c r="T1464" s="4">
        <f>IF(A1464="","",TRIM(IF(K1464="","Needs decision; ","")&amp;IF(AND(K1464="Accept suggestion",F1464=""),"No suggestion to accept; ","")&amp;IF(AND(K1464="Override",L1464=""),"Override URL missing; ","")&amp;IF(AND(K1464="Accept suggestion",N(G1464)&lt;$G$2),"Below your threshold; ","")&amp;IF(AND(M1464&lt;&gt;"",M1464=A1464,K1464&lt;&gt;"No change (same URL)"),"Redirects to itself; ","")&amp;IF(AND(M1464&lt;&gt;"",OR(M1464="/",AND(LEFT(M1464,4)="http",OR((LEN(M1464)-LEN(SUBSTITUTE(M1464,"/","")))=2,AND((LEN(M1464)-LEN(SUBSTITUTE(M1464,"/","")))=3,RIGHT(M1464,1)="/"))))),"Home page redirect; ","")&amp;IF(N(R1464)&gt;1,"Chain; ","")&amp;IF(S1464="No","Destination not 200; ","")))</f>
        <v/>
      </c>
      <c r="U1464" s="22" t="n"/>
      <c r="V1464" s="22" t="n"/>
      <c r="W1464" s="4" t="n"/>
    </row>
    <row r="1465">
      <c r="A1465" s="22" t="n"/>
      <c r="B1465" s="22" t="n"/>
      <c r="C1465" s="22" t="n"/>
      <c r="D1465" s="22">
        <f>IF(A1465="","",IF(OR(N(B1465)&gt;=$C$2,N(C1465)&gt;=$E$2),"High",IF(OR(N(B1465)&gt;0,N(C1465)&gt;0),"Medium","Low")))</f>
        <v/>
      </c>
      <c r="E1465" s="22" t="n"/>
      <c r="F1465" s="22" t="n"/>
      <c r="G1465" s="22" t="n"/>
      <c r="H1465" s="22" t="n"/>
      <c r="I1465" s="22" t="n"/>
      <c r="J1465" s="22" t="n"/>
      <c r="K1465" s="22" t="n"/>
      <c r="L1465" s="22" t="n"/>
      <c r="M1465" s="22">
        <f>IF(K1465="Override",L1465,IF(K1465="Accept suggestion",F1465,IF(K1465="No change (same URL)",A1465,"")))</f>
        <v/>
      </c>
      <c r="N1465" s="22">
        <f>IF(A1465="","",IF(K1465="410 Gone","410",IF(K1465="404","404",IF(K1465="No change (same URL)","none",IF(M1465="","","301")))))</f>
        <v/>
      </c>
      <c r="O1465" s="22">
        <f>IF(A1465="","",IFERROR(MID(A1465,FIND("/",A1465,FIND("//",A1465)+2),2000),A1465))</f>
        <v/>
      </c>
      <c r="P1465" s="22">
        <f>IF(OR(O1465="",N1465="",N1465="none",N1465="404"),"",IF(N1465="410","Redirect gone "&amp;O1465,"Redirect "&amp;N1465&amp;" "&amp;O1465&amp;" "&amp;M1465))</f>
        <v/>
      </c>
      <c r="Q1465" s="22" t="n"/>
      <c r="R1465" s="22" t="n"/>
      <c r="S1465" s="22" t="n"/>
      <c r="T1465" s="4">
        <f>IF(A1465="","",TRIM(IF(K1465="","Needs decision; ","")&amp;IF(AND(K1465="Accept suggestion",F1465=""),"No suggestion to accept; ","")&amp;IF(AND(K1465="Override",L1465=""),"Override URL missing; ","")&amp;IF(AND(K1465="Accept suggestion",N(G1465)&lt;$G$2),"Below your threshold; ","")&amp;IF(AND(M1465&lt;&gt;"",M1465=A1465,K1465&lt;&gt;"No change (same URL)"),"Redirects to itself; ","")&amp;IF(AND(M1465&lt;&gt;"",OR(M1465="/",AND(LEFT(M1465,4)="http",OR((LEN(M1465)-LEN(SUBSTITUTE(M1465,"/","")))=2,AND((LEN(M1465)-LEN(SUBSTITUTE(M1465,"/","")))=3,RIGHT(M1465,1)="/"))))),"Home page redirect; ","")&amp;IF(N(R1465)&gt;1,"Chain; ","")&amp;IF(S1465="No","Destination not 200; ","")))</f>
        <v/>
      </c>
      <c r="U1465" s="22" t="n"/>
      <c r="V1465" s="22" t="n"/>
      <c r="W1465" s="4" t="n"/>
    </row>
    <row r="1466">
      <c r="A1466" s="22" t="n"/>
      <c r="B1466" s="22" t="n"/>
      <c r="C1466" s="22" t="n"/>
      <c r="D1466" s="22">
        <f>IF(A1466="","",IF(OR(N(B1466)&gt;=$C$2,N(C1466)&gt;=$E$2),"High",IF(OR(N(B1466)&gt;0,N(C1466)&gt;0),"Medium","Low")))</f>
        <v/>
      </c>
      <c r="E1466" s="22" t="n"/>
      <c r="F1466" s="22" t="n"/>
      <c r="G1466" s="22" t="n"/>
      <c r="H1466" s="22" t="n"/>
      <c r="I1466" s="22" t="n"/>
      <c r="J1466" s="22" t="n"/>
      <c r="K1466" s="22" t="n"/>
      <c r="L1466" s="22" t="n"/>
      <c r="M1466" s="22">
        <f>IF(K1466="Override",L1466,IF(K1466="Accept suggestion",F1466,IF(K1466="No change (same URL)",A1466,"")))</f>
        <v/>
      </c>
      <c r="N1466" s="22">
        <f>IF(A1466="","",IF(K1466="410 Gone","410",IF(K1466="404","404",IF(K1466="No change (same URL)","none",IF(M1466="","","301")))))</f>
        <v/>
      </c>
      <c r="O1466" s="22">
        <f>IF(A1466="","",IFERROR(MID(A1466,FIND("/",A1466,FIND("//",A1466)+2),2000),A1466))</f>
        <v/>
      </c>
      <c r="P1466" s="22">
        <f>IF(OR(O1466="",N1466="",N1466="none",N1466="404"),"",IF(N1466="410","Redirect gone "&amp;O1466,"Redirect "&amp;N1466&amp;" "&amp;O1466&amp;" "&amp;M1466))</f>
        <v/>
      </c>
      <c r="Q1466" s="22" t="n"/>
      <c r="R1466" s="22" t="n"/>
      <c r="S1466" s="22" t="n"/>
      <c r="T1466" s="4">
        <f>IF(A1466="","",TRIM(IF(K1466="","Needs decision; ","")&amp;IF(AND(K1466="Accept suggestion",F1466=""),"No suggestion to accept; ","")&amp;IF(AND(K1466="Override",L1466=""),"Override URL missing; ","")&amp;IF(AND(K1466="Accept suggestion",N(G1466)&lt;$G$2),"Below your threshold; ","")&amp;IF(AND(M1466&lt;&gt;"",M1466=A1466,K1466&lt;&gt;"No change (same URL)"),"Redirects to itself; ","")&amp;IF(AND(M1466&lt;&gt;"",OR(M1466="/",AND(LEFT(M1466,4)="http",OR((LEN(M1466)-LEN(SUBSTITUTE(M1466,"/","")))=2,AND((LEN(M1466)-LEN(SUBSTITUTE(M1466,"/","")))=3,RIGHT(M1466,1)="/"))))),"Home page redirect; ","")&amp;IF(N(R1466)&gt;1,"Chain; ","")&amp;IF(S1466="No","Destination not 200; ","")))</f>
        <v/>
      </c>
      <c r="U1466" s="22" t="n"/>
      <c r="V1466" s="22" t="n"/>
      <c r="W1466" s="4" t="n"/>
    </row>
    <row r="1467">
      <c r="A1467" s="22" t="n"/>
      <c r="B1467" s="22" t="n"/>
      <c r="C1467" s="22" t="n"/>
      <c r="D1467" s="22">
        <f>IF(A1467="","",IF(OR(N(B1467)&gt;=$C$2,N(C1467)&gt;=$E$2),"High",IF(OR(N(B1467)&gt;0,N(C1467)&gt;0),"Medium","Low")))</f>
        <v/>
      </c>
      <c r="E1467" s="22" t="n"/>
      <c r="F1467" s="22" t="n"/>
      <c r="G1467" s="22" t="n"/>
      <c r="H1467" s="22" t="n"/>
      <c r="I1467" s="22" t="n"/>
      <c r="J1467" s="22" t="n"/>
      <c r="K1467" s="22" t="n"/>
      <c r="L1467" s="22" t="n"/>
      <c r="M1467" s="22">
        <f>IF(K1467="Override",L1467,IF(K1467="Accept suggestion",F1467,IF(K1467="No change (same URL)",A1467,"")))</f>
        <v/>
      </c>
      <c r="N1467" s="22">
        <f>IF(A1467="","",IF(K1467="410 Gone","410",IF(K1467="404","404",IF(K1467="No change (same URL)","none",IF(M1467="","","301")))))</f>
        <v/>
      </c>
      <c r="O1467" s="22">
        <f>IF(A1467="","",IFERROR(MID(A1467,FIND("/",A1467,FIND("//",A1467)+2),2000),A1467))</f>
        <v/>
      </c>
      <c r="P1467" s="22">
        <f>IF(OR(O1467="",N1467="",N1467="none",N1467="404"),"",IF(N1467="410","Redirect gone "&amp;O1467,"Redirect "&amp;N1467&amp;" "&amp;O1467&amp;" "&amp;M1467))</f>
        <v/>
      </c>
      <c r="Q1467" s="22" t="n"/>
      <c r="R1467" s="22" t="n"/>
      <c r="S1467" s="22" t="n"/>
      <c r="T1467" s="4">
        <f>IF(A1467="","",TRIM(IF(K1467="","Needs decision; ","")&amp;IF(AND(K1467="Accept suggestion",F1467=""),"No suggestion to accept; ","")&amp;IF(AND(K1467="Override",L1467=""),"Override URL missing; ","")&amp;IF(AND(K1467="Accept suggestion",N(G1467)&lt;$G$2),"Below your threshold; ","")&amp;IF(AND(M1467&lt;&gt;"",M1467=A1467,K1467&lt;&gt;"No change (same URL)"),"Redirects to itself; ","")&amp;IF(AND(M1467&lt;&gt;"",OR(M1467="/",AND(LEFT(M1467,4)="http",OR((LEN(M1467)-LEN(SUBSTITUTE(M1467,"/","")))=2,AND((LEN(M1467)-LEN(SUBSTITUTE(M1467,"/","")))=3,RIGHT(M1467,1)="/"))))),"Home page redirect; ","")&amp;IF(N(R1467)&gt;1,"Chain; ","")&amp;IF(S1467="No","Destination not 200; ","")))</f>
        <v/>
      </c>
      <c r="U1467" s="22" t="n"/>
      <c r="V1467" s="22" t="n"/>
      <c r="W1467" s="4" t="n"/>
    </row>
    <row r="1468">
      <c r="A1468" s="22" t="n"/>
      <c r="B1468" s="22" t="n"/>
      <c r="C1468" s="22" t="n"/>
      <c r="D1468" s="22">
        <f>IF(A1468="","",IF(OR(N(B1468)&gt;=$C$2,N(C1468)&gt;=$E$2),"High",IF(OR(N(B1468)&gt;0,N(C1468)&gt;0),"Medium","Low")))</f>
        <v/>
      </c>
      <c r="E1468" s="22" t="n"/>
      <c r="F1468" s="22" t="n"/>
      <c r="G1468" s="22" t="n"/>
      <c r="H1468" s="22" t="n"/>
      <c r="I1468" s="22" t="n"/>
      <c r="J1468" s="22" t="n"/>
      <c r="K1468" s="22" t="n"/>
      <c r="L1468" s="22" t="n"/>
      <c r="M1468" s="22">
        <f>IF(K1468="Override",L1468,IF(K1468="Accept suggestion",F1468,IF(K1468="No change (same URL)",A1468,"")))</f>
        <v/>
      </c>
      <c r="N1468" s="22">
        <f>IF(A1468="","",IF(K1468="410 Gone","410",IF(K1468="404","404",IF(K1468="No change (same URL)","none",IF(M1468="","","301")))))</f>
        <v/>
      </c>
      <c r="O1468" s="22">
        <f>IF(A1468="","",IFERROR(MID(A1468,FIND("/",A1468,FIND("//",A1468)+2),2000),A1468))</f>
        <v/>
      </c>
      <c r="P1468" s="22">
        <f>IF(OR(O1468="",N1468="",N1468="none",N1468="404"),"",IF(N1468="410","Redirect gone "&amp;O1468,"Redirect "&amp;N1468&amp;" "&amp;O1468&amp;" "&amp;M1468))</f>
        <v/>
      </c>
      <c r="Q1468" s="22" t="n"/>
      <c r="R1468" s="22" t="n"/>
      <c r="S1468" s="22" t="n"/>
      <c r="T1468" s="4">
        <f>IF(A1468="","",TRIM(IF(K1468="","Needs decision; ","")&amp;IF(AND(K1468="Accept suggestion",F1468=""),"No suggestion to accept; ","")&amp;IF(AND(K1468="Override",L1468=""),"Override URL missing; ","")&amp;IF(AND(K1468="Accept suggestion",N(G1468)&lt;$G$2),"Below your threshold; ","")&amp;IF(AND(M1468&lt;&gt;"",M1468=A1468,K1468&lt;&gt;"No change (same URL)"),"Redirects to itself; ","")&amp;IF(AND(M1468&lt;&gt;"",OR(M1468="/",AND(LEFT(M1468,4)="http",OR((LEN(M1468)-LEN(SUBSTITUTE(M1468,"/","")))=2,AND((LEN(M1468)-LEN(SUBSTITUTE(M1468,"/","")))=3,RIGHT(M1468,1)="/"))))),"Home page redirect; ","")&amp;IF(N(R1468)&gt;1,"Chain; ","")&amp;IF(S1468="No","Destination not 200; ","")))</f>
        <v/>
      </c>
      <c r="U1468" s="22" t="n"/>
      <c r="V1468" s="22" t="n"/>
      <c r="W1468" s="4" t="n"/>
    </row>
    <row r="1469">
      <c r="A1469" s="22" t="n"/>
      <c r="B1469" s="22" t="n"/>
      <c r="C1469" s="22" t="n"/>
      <c r="D1469" s="22">
        <f>IF(A1469="","",IF(OR(N(B1469)&gt;=$C$2,N(C1469)&gt;=$E$2),"High",IF(OR(N(B1469)&gt;0,N(C1469)&gt;0),"Medium","Low")))</f>
        <v/>
      </c>
      <c r="E1469" s="22" t="n"/>
      <c r="F1469" s="22" t="n"/>
      <c r="G1469" s="22" t="n"/>
      <c r="H1469" s="22" t="n"/>
      <c r="I1469" s="22" t="n"/>
      <c r="J1469" s="22" t="n"/>
      <c r="K1469" s="22" t="n"/>
      <c r="L1469" s="22" t="n"/>
      <c r="M1469" s="22">
        <f>IF(K1469="Override",L1469,IF(K1469="Accept suggestion",F1469,IF(K1469="No change (same URL)",A1469,"")))</f>
        <v/>
      </c>
      <c r="N1469" s="22">
        <f>IF(A1469="","",IF(K1469="410 Gone","410",IF(K1469="404","404",IF(K1469="No change (same URL)","none",IF(M1469="","","301")))))</f>
        <v/>
      </c>
      <c r="O1469" s="22">
        <f>IF(A1469="","",IFERROR(MID(A1469,FIND("/",A1469,FIND("//",A1469)+2),2000),A1469))</f>
        <v/>
      </c>
      <c r="P1469" s="22">
        <f>IF(OR(O1469="",N1469="",N1469="none",N1469="404"),"",IF(N1469="410","Redirect gone "&amp;O1469,"Redirect "&amp;N1469&amp;" "&amp;O1469&amp;" "&amp;M1469))</f>
        <v/>
      </c>
      <c r="Q1469" s="22" t="n"/>
      <c r="R1469" s="22" t="n"/>
      <c r="S1469" s="22" t="n"/>
      <c r="T1469" s="4">
        <f>IF(A1469="","",TRIM(IF(K1469="","Needs decision; ","")&amp;IF(AND(K1469="Accept suggestion",F1469=""),"No suggestion to accept; ","")&amp;IF(AND(K1469="Override",L1469=""),"Override URL missing; ","")&amp;IF(AND(K1469="Accept suggestion",N(G1469)&lt;$G$2),"Below your threshold; ","")&amp;IF(AND(M1469&lt;&gt;"",M1469=A1469,K1469&lt;&gt;"No change (same URL)"),"Redirects to itself; ","")&amp;IF(AND(M1469&lt;&gt;"",OR(M1469="/",AND(LEFT(M1469,4)="http",OR((LEN(M1469)-LEN(SUBSTITUTE(M1469,"/","")))=2,AND((LEN(M1469)-LEN(SUBSTITUTE(M1469,"/","")))=3,RIGHT(M1469,1)="/"))))),"Home page redirect; ","")&amp;IF(N(R1469)&gt;1,"Chain; ","")&amp;IF(S1469="No","Destination not 200; ","")))</f>
        <v/>
      </c>
      <c r="U1469" s="22" t="n"/>
      <c r="V1469" s="22" t="n"/>
      <c r="W1469" s="4" t="n"/>
    </row>
    <row r="1470">
      <c r="A1470" s="22" t="n"/>
      <c r="B1470" s="22" t="n"/>
      <c r="C1470" s="22" t="n"/>
      <c r="D1470" s="22">
        <f>IF(A1470="","",IF(OR(N(B1470)&gt;=$C$2,N(C1470)&gt;=$E$2),"High",IF(OR(N(B1470)&gt;0,N(C1470)&gt;0),"Medium","Low")))</f>
        <v/>
      </c>
      <c r="E1470" s="22" t="n"/>
      <c r="F1470" s="22" t="n"/>
      <c r="G1470" s="22" t="n"/>
      <c r="H1470" s="22" t="n"/>
      <c r="I1470" s="22" t="n"/>
      <c r="J1470" s="22" t="n"/>
      <c r="K1470" s="22" t="n"/>
      <c r="L1470" s="22" t="n"/>
      <c r="M1470" s="22">
        <f>IF(K1470="Override",L1470,IF(K1470="Accept suggestion",F1470,IF(K1470="No change (same URL)",A1470,"")))</f>
        <v/>
      </c>
      <c r="N1470" s="22">
        <f>IF(A1470="","",IF(K1470="410 Gone","410",IF(K1470="404","404",IF(K1470="No change (same URL)","none",IF(M1470="","","301")))))</f>
        <v/>
      </c>
      <c r="O1470" s="22">
        <f>IF(A1470="","",IFERROR(MID(A1470,FIND("/",A1470,FIND("//",A1470)+2),2000),A1470))</f>
        <v/>
      </c>
      <c r="P1470" s="22">
        <f>IF(OR(O1470="",N1470="",N1470="none",N1470="404"),"",IF(N1470="410","Redirect gone "&amp;O1470,"Redirect "&amp;N1470&amp;" "&amp;O1470&amp;" "&amp;M1470))</f>
        <v/>
      </c>
      <c r="Q1470" s="22" t="n"/>
      <c r="R1470" s="22" t="n"/>
      <c r="S1470" s="22" t="n"/>
      <c r="T1470" s="4">
        <f>IF(A1470="","",TRIM(IF(K1470="","Needs decision; ","")&amp;IF(AND(K1470="Accept suggestion",F1470=""),"No suggestion to accept; ","")&amp;IF(AND(K1470="Override",L1470=""),"Override URL missing; ","")&amp;IF(AND(K1470="Accept suggestion",N(G1470)&lt;$G$2),"Below your threshold; ","")&amp;IF(AND(M1470&lt;&gt;"",M1470=A1470,K1470&lt;&gt;"No change (same URL)"),"Redirects to itself; ","")&amp;IF(AND(M1470&lt;&gt;"",OR(M1470="/",AND(LEFT(M1470,4)="http",OR((LEN(M1470)-LEN(SUBSTITUTE(M1470,"/","")))=2,AND((LEN(M1470)-LEN(SUBSTITUTE(M1470,"/","")))=3,RIGHT(M1470,1)="/"))))),"Home page redirect; ","")&amp;IF(N(R1470)&gt;1,"Chain; ","")&amp;IF(S1470="No","Destination not 200; ","")))</f>
        <v/>
      </c>
      <c r="U1470" s="22" t="n"/>
      <c r="V1470" s="22" t="n"/>
      <c r="W1470" s="4" t="n"/>
    </row>
    <row r="1471">
      <c r="A1471" s="22" t="n"/>
      <c r="B1471" s="22" t="n"/>
      <c r="C1471" s="22" t="n"/>
      <c r="D1471" s="22">
        <f>IF(A1471="","",IF(OR(N(B1471)&gt;=$C$2,N(C1471)&gt;=$E$2),"High",IF(OR(N(B1471)&gt;0,N(C1471)&gt;0),"Medium","Low")))</f>
        <v/>
      </c>
      <c r="E1471" s="22" t="n"/>
      <c r="F1471" s="22" t="n"/>
      <c r="G1471" s="22" t="n"/>
      <c r="H1471" s="22" t="n"/>
      <c r="I1471" s="22" t="n"/>
      <c r="J1471" s="22" t="n"/>
      <c r="K1471" s="22" t="n"/>
      <c r="L1471" s="22" t="n"/>
      <c r="M1471" s="22">
        <f>IF(K1471="Override",L1471,IF(K1471="Accept suggestion",F1471,IF(K1471="No change (same URL)",A1471,"")))</f>
        <v/>
      </c>
      <c r="N1471" s="22">
        <f>IF(A1471="","",IF(K1471="410 Gone","410",IF(K1471="404","404",IF(K1471="No change (same URL)","none",IF(M1471="","","301")))))</f>
        <v/>
      </c>
      <c r="O1471" s="22">
        <f>IF(A1471="","",IFERROR(MID(A1471,FIND("/",A1471,FIND("//",A1471)+2),2000),A1471))</f>
        <v/>
      </c>
      <c r="P1471" s="22">
        <f>IF(OR(O1471="",N1471="",N1471="none",N1471="404"),"",IF(N1471="410","Redirect gone "&amp;O1471,"Redirect "&amp;N1471&amp;" "&amp;O1471&amp;" "&amp;M1471))</f>
        <v/>
      </c>
      <c r="Q1471" s="22" t="n"/>
      <c r="R1471" s="22" t="n"/>
      <c r="S1471" s="22" t="n"/>
      <c r="T1471" s="4">
        <f>IF(A1471="","",TRIM(IF(K1471="","Needs decision; ","")&amp;IF(AND(K1471="Accept suggestion",F1471=""),"No suggestion to accept; ","")&amp;IF(AND(K1471="Override",L1471=""),"Override URL missing; ","")&amp;IF(AND(K1471="Accept suggestion",N(G1471)&lt;$G$2),"Below your threshold; ","")&amp;IF(AND(M1471&lt;&gt;"",M1471=A1471,K1471&lt;&gt;"No change (same URL)"),"Redirects to itself; ","")&amp;IF(AND(M1471&lt;&gt;"",OR(M1471="/",AND(LEFT(M1471,4)="http",OR((LEN(M1471)-LEN(SUBSTITUTE(M1471,"/","")))=2,AND((LEN(M1471)-LEN(SUBSTITUTE(M1471,"/","")))=3,RIGHT(M1471,1)="/"))))),"Home page redirect; ","")&amp;IF(N(R1471)&gt;1,"Chain; ","")&amp;IF(S1471="No","Destination not 200; ","")))</f>
        <v/>
      </c>
      <c r="U1471" s="22" t="n"/>
      <c r="V1471" s="22" t="n"/>
      <c r="W1471" s="4" t="n"/>
    </row>
    <row r="1472">
      <c r="A1472" s="22" t="n"/>
      <c r="B1472" s="22" t="n"/>
      <c r="C1472" s="22" t="n"/>
      <c r="D1472" s="22">
        <f>IF(A1472="","",IF(OR(N(B1472)&gt;=$C$2,N(C1472)&gt;=$E$2),"High",IF(OR(N(B1472)&gt;0,N(C1472)&gt;0),"Medium","Low")))</f>
        <v/>
      </c>
      <c r="E1472" s="22" t="n"/>
      <c r="F1472" s="22" t="n"/>
      <c r="G1472" s="22" t="n"/>
      <c r="H1472" s="22" t="n"/>
      <c r="I1472" s="22" t="n"/>
      <c r="J1472" s="22" t="n"/>
      <c r="K1472" s="22" t="n"/>
      <c r="L1472" s="22" t="n"/>
      <c r="M1472" s="22">
        <f>IF(K1472="Override",L1472,IF(K1472="Accept suggestion",F1472,IF(K1472="No change (same URL)",A1472,"")))</f>
        <v/>
      </c>
      <c r="N1472" s="22">
        <f>IF(A1472="","",IF(K1472="410 Gone","410",IF(K1472="404","404",IF(K1472="No change (same URL)","none",IF(M1472="","","301")))))</f>
        <v/>
      </c>
      <c r="O1472" s="22">
        <f>IF(A1472="","",IFERROR(MID(A1472,FIND("/",A1472,FIND("//",A1472)+2),2000),A1472))</f>
        <v/>
      </c>
      <c r="P1472" s="22">
        <f>IF(OR(O1472="",N1472="",N1472="none",N1472="404"),"",IF(N1472="410","Redirect gone "&amp;O1472,"Redirect "&amp;N1472&amp;" "&amp;O1472&amp;" "&amp;M1472))</f>
        <v/>
      </c>
      <c r="Q1472" s="22" t="n"/>
      <c r="R1472" s="22" t="n"/>
      <c r="S1472" s="22" t="n"/>
      <c r="T1472" s="4">
        <f>IF(A1472="","",TRIM(IF(K1472="","Needs decision; ","")&amp;IF(AND(K1472="Accept suggestion",F1472=""),"No suggestion to accept; ","")&amp;IF(AND(K1472="Override",L1472=""),"Override URL missing; ","")&amp;IF(AND(K1472="Accept suggestion",N(G1472)&lt;$G$2),"Below your threshold; ","")&amp;IF(AND(M1472&lt;&gt;"",M1472=A1472,K1472&lt;&gt;"No change (same URL)"),"Redirects to itself; ","")&amp;IF(AND(M1472&lt;&gt;"",OR(M1472="/",AND(LEFT(M1472,4)="http",OR((LEN(M1472)-LEN(SUBSTITUTE(M1472,"/","")))=2,AND((LEN(M1472)-LEN(SUBSTITUTE(M1472,"/","")))=3,RIGHT(M1472,1)="/"))))),"Home page redirect; ","")&amp;IF(N(R1472)&gt;1,"Chain; ","")&amp;IF(S1472="No","Destination not 200; ","")))</f>
        <v/>
      </c>
      <c r="U1472" s="22" t="n"/>
      <c r="V1472" s="22" t="n"/>
      <c r="W1472" s="4" t="n"/>
    </row>
    <row r="1473">
      <c r="A1473" s="22" t="n"/>
      <c r="B1473" s="22" t="n"/>
      <c r="C1473" s="22" t="n"/>
      <c r="D1473" s="22">
        <f>IF(A1473="","",IF(OR(N(B1473)&gt;=$C$2,N(C1473)&gt;=$E$2),"High",IF(OR(N(B1473)&gt;0,N(C1473)&gt;0),"Medium","Low")))</f>
        <v/>
      </c>
      <c r="E1473" s="22" t="n"/>
      <c r="F1473" s="22" t="n"/>
      <c r="G1473" s="22" t="n"/>
      <c r="H1473" s="22" t="n"/>
      <c r="I1473" s="22" t="n"/>
      <c r="J1473" s="22" t="n"/>
      <c r="K1473" s="22" t="n"/>
      <c r="L1473" s="22" t="n"/>
      <c r="M1473" s="22">
        <f>IF(K1473="Override",L1473,IF(K1473="Accept suggestion",F1473,IF(K1473="No change (same URL)",A1473,"")))</f>
        <v/>
      </c>
      <c r="N1473" s="22">
        <f>IF(A1473="","",IF(K1473="410 Gone","410",IF(K1473="404","404",IF(K1473="No change (same URL)","none",IF(M1473="","","301")))))</f>
        <v/>
      </c>
      <c r="O1473" s="22">
        <f>IF(A1473="","",IFERROR(MID(A1473,FIND("/",A1473,FIND("//",A1473)+2),2000),A1473))</f>
        <v/>
      </c>
      <c r="P1473" s="22">
        <f>IF(OR(O1473="",N1473="",N1473="none",N1473="404"),"",IF(N1473="410","Redirect gone "&amp;O1473,"Redirect "&amp;N1473&amp;" "&amp;O1473&amp;" "&amp;M1473))</f>
        <v/>
      </c>
      <c r="Q1473" s="22" t="n"/>
      <c r="R1473" s="22" t="n"/>
      <c r="S1473" s="22" t="n"/>
      <c r="T1473" s="4">
        <f>IF(A1473="","",TRIM(IF(K1473="","Needs decision; ","")&amp;IF(AND(K1473="Accept suggestion",F1473=""),"No suggestion to accept; ","")&amp;IF(AND(K1473="Override",L1473=""),"Override URL missing; ","")&amp;IF(AND(K1473="Accept suggestion",N(G1473)&lt;$G$2),"Below your threshold; ","")&amp;IF(AND(M1473&lt;&gt;"",M1473=A1473,K1473&lt;&gt;"No change (same URL)"),"Redirects to itself; ","")&amp;IF(AND(M1473&lt;&gt;"",OR(M1473="/",AND(LEFT(M1473,4)="http",OR((LEN(M1473)-LEN(SUBSTITUTE(M1473,"/","")))=2,AND((LEN(M1473)-LEN(SUBSTITUTE(M1473,"/","")))=3,RIGHT(M1473,1)="/"))))),"Home page redirect; ","")&amp;IF(N(R1473)&gt;1,"Chain; ","")&amp;IF(S1473="No","Destination not 200; ","")))</f>
        <v/>
      </c>
      <c r="U1473" s="22" t="n"/>
      <c r="V1473" s="22" t="n"/>
      <c r="W1473" s="4" t="n"/>
    </row>
    <row r="1474">
      <c r="A1474" s="22" t="n"/>
      <c r="B1474" s="22" t="n"/>
      <c r="C1474" s="22" t="n"/>
      <c r="D1474" s="22">
        <f>IF(A1474="","",IF(OR(N(B1474)&gt;=$C$2,N(C1474)&gt;=$E$2),"High",IF(OR(N(B1474)&gt;0,N(C1474)&gt;0),"Medium","Low")))</f>
        <v/>
      </c>
      <c r="E1474" s="22" t="n"/>
      <c r="F1474" s="22" t="n"/>
      <c r="G1474" s="22" t="n"/>
      <c r="H1474" s="22" t="n"/>
      <c r="I1474" s="22" t="n"/>
      <c r="J1474" s="22" t="n"/>
      <c r="K1474" s="22" t="n"/>
      <c r="L1474" s="22" t="n"/>
      <c r="M1474" s="22">
        <f>IF(K1474="Override",L1474,IF(K1474="Accept suggestion",F1474,IF(K1474="No change (same URL)",A1474,"")))</f>
        <v/>
      </c>
      <c r="N1474" s="22">
        <f>IF(A1474="","",IF(K1474="410 Gone","410",IF(K1474="404","404",IF(K1474="No change (same URL)","none",IF(M1474="","","301")))))</f>
        <v/>
      </c>
      <c r="O1474" s="22">
        <f>IF(A1474="","",IFERROR(MID(A1474,FIND("/",A1474,FIND("//",A1474)+2),2000),A1474))</f>
        <v/>
      </c>
      <c r="P1474" s="22">
        <f>IF(OR(O1474="",N1474="",N1474="none",N1474="404"),"",IF(N1474="410","Redirect gone "&amp;O1474,"Redirect "&amp;N1474&amp;" "&amp;O1474&amp;" "&amp;M1474))</f>
        <v/>
      </c>
      <c r="Q1474" s="22" t="n"/>
      <c r="R1474" s="22" t="n"/>
      <c r="S1474" s="22" t="n"/>
      <c r="T1474" s="4">
        <f>IF(A1474="","",TRIM(IF(K1474="","Needs decision; ","")&amp;IF(AND(K1474="Accept suggestion",F1474=""),"No suggestion to accept; ","")&amp;IF(AND(K1474="Override",L1474=""),"Override URL missing; ","")&amp;IF(AND(K1474="Accept suggestion",N(G1474)&lt;$G$2),"Below your threshold; ","")&amp;IF(AND(M1474&lt;&gt;"",M1474=A1474,K1474&lt;&gt;"No change (same URL)"),"Redirects to itself; ","")&amp;IF(AND(M1474&lt;&gt;"",OR(M1474="/",AND(LEFT(M1474,4)="http",OR((LEN(M1474)-LEN(SUBSTITUTE(M1474,"/","")))=2,AND((LEN(M1474)-LEN(SUBSTITUTE(M1474,"/","")))=3,RIGHT(M1474,1)="/"))))),"Home page redirect; ","")&amp;IF(N(R1474)&gt;1,"Chain; ","")&amp;IF(S1474="No","Destination not 200; ","")))</f>
        <v/>
      </c>
      <c r="U1474" s="22" t="n"/>
      <c r="V1474" s="22" t="n"/>
      <c r="W1474" s="4" t="n"/>
    </row>
    <row r="1475">
      <c r="A1475" s="22" t="n"/>
      <c r="B1475" s="22" t="n"/>
      <c r="C1475" s="22" t="n"/>
      <c r="D1475" s="22">
        <f>IF(A1475="","",IF(OR(N(B1475)&gt;=$C$2,N(C1475)&gt;=$E$2),"High",IF(OR(N(B1475)&gt;0,N(C1475)&gt;0),"Medium","Low")))</f>
        <v/>
      </c>
      <c r="E1475" s="22" t="n"/>
      <c r="F1475" s="22" t="n"/>
      <c r="G1475" s="22" t="n"/>
      <c r="H1475" s="22" t="n"/>
      <c r="I1475" s="22" t="n"/>
      <c r="J1475" s="22" t="n"/>
      <c r="K1475" s="22" t="n"/>
      <c r="L1475" s="22" t="n"/>
      <c r="M1475" s="22">
        <f>IF(K1475="Override",L1475,IF(K1475="Accept suggestion",F1475,IF(K1475="No change (same URL)",A1475,"")))</f>
        <v/>
      </c>
      <c r="N1475" s="22">
        <f>IF(A1475="","",IF(K1475="410 Gone","410",IF(K1475="404","404",IF(K1475="No change (same URL)","none",IF(M1475="","","301")))))</f>
        <v/>
      </c>
      <c r="O1475" s="22">
        <f>IF(A1475="","",IFERROR(MID(A1475,FIND("/",A1475,FIND("//",A1475)+2),2000),A1475))</f>
        <v/>
      </c>
      <c r="P1475" s="22">
        <f>IF(OR(O1475="",N1475="",N1475="none",N1475="404"),"",IF(N1475="410","Redirect gone "&amp;O1475,"Redirect "&amp;N1475&amp;" "&amp;O1475&amp;" "&amp;M1475))</f>
        <v/>
      </c>
      <c r="Q1475" s="22" t="n"/>
      <c r="R1475" s="22" t="n"/>
      <c r="S1475" s="22" t="n"/>
      <c r="T1475" s="4">
        <f>IF(A1475="","",TRIM(IF(K1475="","Needs decision; ","")&amp;IF(AND(K1475="Accept suggestion",F1475=""),"No suggestion to accept; ","")&amp;IF(AND(K1475="Override",L1475=""),"Override URL missing; ","")&amp;IF(AND(K1475="Accept suggestion",N(G1475)&lt;$G$2),"Below your threshold; ","")&amp;IF(AND(M1475&lt;&gt;"",M1475=A1475,K1475&lt;&gt;"No change (same URL)"),"Redirects to itself; ","")&amp;IF(AND(M1475&lt;&gt;"",OR(M1475="/",AND(LEFT(M1475,4)="http",OR((LEN(M1475)-LEN(SUBSTITUTE(M1475,"/","")))=2,AND((LEN(M1475)-LEN(SUBSTITUTE(M1475,"/","")))=3,RIGHT(M1475,1)="/"))))),"Home page redirect; ","")&amp;IF(N(R1475)&gt;1,"Chain; ","")&amp;IF(S1475="No","Destination not 200; ","")))</f>
        <v/>
      </c>
      <c r="U1475" s="22" t="n"/>
      <c r="V1475" s="22" t="n"/>
      <c r="W1475" s="4" t="n"/>
    </row>
    <row r="1476">
      <c r="A1476" s="22" t="n"/>
      <c r="B1476" s="22" t="n"/>
      <c r="C1476" s="22" t="n"/>
      <c r="D1476" s="22">
        <f>IF(A1476="","",IF(OR(N(B1476)&gt;=$C$2,N(C1476)&gt;=$E$2),"High",IF(OR(N(B1476)&gt;0,N(C1476)&gt;0),"Medium","Low")))</f>
        <v/>
      </c>
      <c r="E1476" s="22" t="n"/>
      <c r="F1476" s="22" t="n"/>
      <c r="G1476" s="22" t="n"/>
      <c r="H1476" s="22" t="n"/>
      <c r="I1476" s="22" t="n"/>
      <c r="J1476" s="22" t="n"/>
      <c r="K1476" s="22" t="n"/>
      <c r="L1476" s="22" t="n"/>
      <c r="M1476" s="22">
        <f>IF(K1476="Override",L1476,IF(K1476="Accept suggestion",F1476,IF(K1476="No change (same URL)",A1476,"")))</f>
        <v/>
      </c>
      <c r="N1476" s="22">
        <f>IF(A1476="","",IF(K1476="410 Gone","410",IF(K1476="404","404",IF(K1476="No change (same URL)","none",IF(M1476="","","301")))))</f>
        <v/>
      </c>
      <c r="O1476" s="22">
        <f>IF(A1476="","",IFERROR(MID(A1476,FIND("/",A1476,FIND("//",A1476)+2),2000),A1476))</f>
        <v/>
      </c>
      <c r="P1476" s="22">
        <f>IF(OR(O1476="",N1476="",N1476="none",N1476="404"),"",IF(N1476="410","Redirect gone "&amp;O1476,"Redirect "&amp;N1476&amp;" "&amp;O1476&amp;" "&amp;M1476))</f>
        <v/>
      </c>
      <c r="Q1476" s="22" t="n"/>
      <c r="R1476" s="22" t="n"/>
      <c r="S1476" s="22" t="n"/>
      <c r="T1476" s="4">
        <f>IF(A1476="","",TRIM(IF(K1476="","Needs decision; ","")&amp;IF(AND(K1476="Accept suggestion",F1476=""),"No suggestion to accept; ","")&amp;IF(AND(K1476="Override",L1476=""),"Override URL missing; ","")&amp;IF(AND(K1476="Accept suggestion",N(G1476)&lt;$G$2),"Below your threshold; ","")&amp;IF(AND(M1476&lt;&gt;"",M1476=A1476,K1476&lt;&gt;"No change (same URL)"),"Redirects to itself; ","")&amp;IF(AND(M1476&lt;&gt;"",OR(M1476="/",AND(LEFT(M1476,4)="http",OR((LEN(M1476)-LEN(SUBSTITUTE(M1476,"/","")))=2,AND((LEN(M1476)-LEN(SUBSTITUTE(M1476,"/","")))=3,RIGHT(M1476,1)="/"))))),"Home page redirect; ","")&amp;IF(N(R1476)&gt;1,"Chain; ","")&amp;IF(S1476="No","Destination not 200; ","")))</f>
        <v/>
      </c>
      <c r="U1476" s="22" t="n"/>
      <c r="V1476" s="22" t="n"/>
      <c r="W1476" s="4" t="n"/>
    </row>
    <row r="1477">
      <c r="A1477" s="22" t="n"/>
      <c r="B1477" s="22" t="n"/>
      <c r="C1477" s="22" t="n"/>
      <c r="D1477" s="22">
        <f>IF(A1477="","",IF(OR(N(B1477)&gt;=$C$2,N(C1477)&gt;=$E$2),"High",IF(OR(N(B1477)&gt;0,N(C1477)&gt;0),"Medium","Low")))</f>
        <v/>
      </c>
      <c r="E1477" s="22" t="n"/>
      <c r="F1477" s="22" t="n"/>
      <c r="G1477" s="22" t="n"/>
      <c r="H1477" s="22" t="n"/>
      <c r="I1477" s="22" t="n"/>
      <c r="J1477" s="22" t="n"/>
      <c r="K1477" s="22" t="n"/>
      <c r="L1477" s="22" t="n"/>
      <c r="M1477" s="22">
        <f>IF(K1477="Override",L1477,IF(K1477="Accept suggestion",F1477,IF(K1477="No change (same URL)",A1477,"")))</f>
        <v/>
      </c>
      <c r="N1477" s="22">
        <f>IF(A1477="","",IF(K1477="410 Gone","410",IF(K1477="404","404",IF(K1477="No change (same URL)","none",IF(M1477="","","301")))))</f>
        <v/>
      </c>
      <c r="O1477" s="22">
        <f>IF(A1477="","",IFERROR(MID(A1477,FIND("/",A1477,FIND("//",A1477)+2),2000),A1477))</f>
        <v/>
      </c>
      <c r="P1477" s="22">
        <f>IF(OR(O1477="",N1477="",N1477="none",N1477="404"),"",IF(N1477="410","Redirect gone "&amp;O1477,"Redirect "&amp;N1477&amp;" "&amp;O1477&amp;" "&amp;M1477))</f>
        <v/>
      </c>
      <c r="Q1477" s="22" t="n"/>
      <c r="R1477" s="22" t="n"/>
      <c r="S1477" s="22" t="n"/>
      <c r="T1477" s="4">
        <f>IF(A1477="","",TRIM(IF(K1477="","Needs decision; ","")&amp;IF(AND(K1477="Accept suggestion",F1477=""),"No suggestion to accept; ","")&amp;IF(AND(K1477="Override",L1477=""),"Override URL missing; ","")&amp;IF(AND(K1477="Accept suggestion",N(G1477)&lt;$G$2),"Below your threshold; ","")&amp;IF(AND(M1477&lt;&gt;"",M1477=A1477,K1477&lt;&gt;"No change (same URL)"),"Redirects to itself; ","")&amp;IF(AND(M1477&lt;&gt;"",OR(M1477="/",AND(LEFT(M1477,4)="http",OR((LEN(M1477)-LEN(SUBSTITUTE(M1477,"/","")))=2,AND((LEN(M1477)-LEN(SUBSTITUTE(M1477,"/","")))=3,RIGHT(M1477,1)="/"))))),"Home page redirect; ","")&amp;IF(N(R1477)&gt;1,"Chain; ","")&amp;IF(S1477="No","Destination not 200; ","")))</f>
        <v/>
      </c>
      <c r="U1477" s="22" t="n"/>
      <c r="V1477" s="22" t="n"/>
      <c r="W1477" s="4" t="n"/>
    </row>
    <row r="1478">
      <c r="A1478" s="22" t="n"/>
      <c r="B1478" s="22" t="n"/>
      <c r="C1478" s="22" t="n"/>
      <c r="D1478" s="22">
        <f>IF(A1478="","",IF(OR(N(B1478)&gt;=$C$2,N(C1478)&gt;=$E$2),"High",IF(OR(N(B1478)&gt;0,N(C1478)&gt;0),"Medium","Low")))</f>
        <v/>
      </c>
      <c r="E1478" s="22" t="n"/>
      <c r="F1478" s="22" t="n"/>
      <c r="G1478" s="22" t="n"/>
      <c r="H1478" s="22" t="n"/>
      <c r="I1478" s="22" t="n"/>
      <c r="J1478" s="22" t="n"/>
      <c r="K1478" s="22" t="n"/>
      <c r="L1478" s="22" t="n"/>
      <c r="M1478" s="22">
        <f>IF(K1478="Override",L1478,IF(K1478="Accept suggestion",F1478,IF(K1478="No change (same URL)",A1478,"")))</f>
        <v/>
      </c>
      <c r="N1478" s="22">
        <f>IF(A1478="","",IF(K1478="410 Gone","410",IF(K1478="404","404",IF(K1478="No change (same URL)","none",IF(M1478="","","301")))))</f>
        <v/>
      </c>
      <c r="O1478" s="22">
        <f>IF(A1478="","",IFERROR(MID(A1478,FIND("/",A1478,FIND("//",A1478)+2),2000),A1478))</f>
        <v/>
      </c>
      <c r="P1478" s="22">
        <f>IF(OR(O1478="",N1478="",N1478="none",N1478="404"),"",IF(N1478="410","Redirect gone "&amp;O1478,"Redirect "&amp;N1478&amp;" "&amp;O1478&amp;" "&amp;M1478))</f>
        <v/>
      </c>
      <c r="Q1478" s="22" t="n"/>
      <c r="R1478" s="22" t="n"/>
      <c r="S1478" s="22" t="n"/>
      <c r="T1478" s="4">
        <f>IF(A1478="","",TRIM(IF(K1478="","Needs decision; ","")&amp;IF(AND(K1478="Accept suggestion",F1478=""),"No suggestion to accept; ","")&amp;IF(AND(K1478="Override",L1478=""),"Override URL missing; ","")&amp;IF(AND(K1478="Accept suggestion",N(G1478)&lt;$G$2),"Below your threshold; ","")&amp;IF(AND(M1478&lt;&gt;"",M1478=A1478,K1478&lt;&gt;"No change (same URL)"),"Redirects to itself; ","")&amp;IF(AND(M1478&lt;&gt;"",OR(M1478="/",AND(LEFT(M1478,4)="http",OR((LEN(M1478)-LEN(SUBSTITUTE(M1478,"/","")))=2,AND((LEN(M1478)-LEN(SUBSTITUTE(M1478,"/","")))=3,RIGHT(M1478,1)="/"))))),"Home page redirect; ","")&amp;IF(N(R1478)&gt;1,"Chain; ","")&amp;IF(S1478="No","Destination not 200; ","")))</f>
        <v/>
      </c>
      <c r="U1478" s="22" t="n"/>
      <c r="V1478" s="22" t="n"/>
      <c r="W1478" s="4" t="n"/>
    </row>
    <row r="1479">
      <c r="A1479" s="22" t="n"/>
      <c r="B1479" s="22" t="n"/>
      <c r="C1479" s="22" t="n"/>
      <c r="D1479" s="22">
        <f>IF(A1479="","",IF(OR(N(B1479)&gt;=$C$2,N(C1479)&gt;=$E$2),"High",IF(OR(N(B1479)&gt;0,N(C1479)&gt;0),"Medium","Low")))</f>
        <v/>
      </c>
      <c r="E1479" s="22" t="n"/>
      <c r="F1479" s="22" t="n"/>
      <c r="G1479" s="22" t="n"/>
      <c r="H1479" s="22" t="n"/>
      <c r="I1479" s="22" t="n"/>
      <c r="J1479" s="22" t="n"/>
      <c r="K1479" s="22" t="n"/>
      <c r="L1479" s="22" t="n"/>
      <c r="M1479" s="22">
        <f>IF(K1479="Override",L1479,IF(K1479="Accept suggestion",F1479,IF(K1479="No change (same URL)",A1479,"")))</f>
        <v/>
      </c>
      <c r="N1479" s="22">
        <f>IF(A1479="","",IF(K1479="410 Gone","410",IF(K1479="404","404",IF(K1479="No change (same URL)","none",IF(M1479="","","301")))))</f>
        <v/>
      </c>
      <c r="O1479" s="22">
        <f>IF(A1479="","",IFERROR(MID(A1479,FIND("/",A1479,FIND("//",A1479)+2),2000),A1479))</f>
        <v/>
      </c>
      <c r="P1479" s="22">
        <f>IF(OR(O1479="",N1479="",N1479="none",N1479="404"),"",IF(N1479="410","Redirect gone "&amp;O1479,"Redirect "&amp;N1479&amp;" "&amp;O1479&amp;" "&amp;M1479))</f>
        <v/>
      </c>
      <c r="Q1479" s="22" t="n"/>
      <c r="R1479" s="22" t="n"/>
      <c r="S1479" s="22" t="n"/>
      <c r="T1479" s="4">
        <f>IF(A1479="","",TRIM(IF(K1479="","Needs decision; ","")&amp;IF(AND(K1479="Accept suggestion",F1479=""),"No suggestion to accept; ","")&amp;IF(AND(K1479="Override",L1479=""),"Override URL missing; ","")&amp;IF(AND(K1479="Accept suggestion",N(G1479)&lt;$G$2),"Below your threshold; ","")&amp;IF(AND(M1479&lt;&gt;"",M1479=A1479,K1479&lt;&gt;"No change (same URL)"),"Redirects to itself; ","")&amp;IF(AND(M1479&lt;&gt;"",OR(M1479="/",AND(LEFT(M1479,4)="http",OR((LEN(M1479)-LEN(SUBSTITUTE(M1479,"/","")))=2,AND((LEN(M1479)-LEN(SUBSTITUTE(M1479,"/","")))=3,RIGHT(M1479,1)="/"))))),"Home page redirect; ","")&amp;IF(N(R1479)&gt;1,"Chain; ","")&amp;IF(S1479="No","Destination not 200; ","")))</f>
        <v/>
      </c>
      <c r="U1479" s="22" t="n"/>
      <c r="V1479" s="22" t="n"/>
      <c r="W1479" s="4" t="n"/>
    </row>
    <row r="1480">
      <c r="A1480" s="22" t="n"/>
      <c r="B1480" s="22" t="n"/>
      <c r="C1480" s="22" t="n"/>
      <c r="D1480" s="22">
        <f>IF(A1480="","",IF(OR(N(B1480)&gt;=$C$2,N(C1480)&gt;=$E$2),"High",IF(OR(N(B1480)&gt;0,N(C1480)&gt;0),"Medium","Low")))</f>
        <v/>
      </c>
      <c r="E1480" s="22" t="n"/>
      <c r="F1480" s="22" t="n"/>
      <c r="G1480" s="22" t="n"/>
      <c r="H1480" s="22" t="n"/>
      <c r="I1480" s="22" t="n"/>
      <c r="J1480" s="22" t="n"/>
      <c r="K1480" s="22" t="n"/>
      <c r="L1480" s="22" t="n"/>
      <c r="M1480" s="22">
        <f>IF(K1480="Override",L1480,IF(K1480="Accept suggestion",F1480,IF(K1480="No change (same URL)",A1480,"")))</f>
        <v/>
      </c>
      <c r="N1480" s="22">
        <f>IF(A1480="","",IF(K1480="410 Gone","410",IF(K1480="404","404",IF(K1480="No change (same URL)","none",IF(M1480="","","301")))))</f>
        <v/>
      </c>
      <c r="O1480" s="22">
        <f>IF(A1480="","",IFERROR(MID(A1480,FIND("/",A1480,FIND("//",A1480)+2),2000),A1480))</f>
        <v/>
      </c>
      <c r="P1480" s="22">
        <f>IF(OR(O1480="",N1480="",N1480="none",N1480="404"),"",IF(N1480="410","Redirect gone "&amp;O1480,"Redirect "&amp;N1480&amp;" "&amp;O1480&amp;" "&amp;M1480))</f>
        <v/>
      </c>
      <c r="Q1480" s="22" t="n"/>
      <c r="R1480" s="22" t="n"/>
      <c r="S1480" s="22" t="n"/>
      <c r="T1480" s="4">
        <f>IF(A1480="","",TRIM(IF(K1480="","Needs decision; ","")&amp;IF(AND(K1480="Accept suggestion",F1480=""),"No suggestion to accept; ","")&amp;IF(AND(K1480="Override",L1480=""),"Override URL missing; ","")&amp;IF(AND(K1480="Accept suggestion",N(G1480)&lt;$G$2),"Below your threshold; ","")&amp;IF(AND(M1480&lt;&gt;"",M1480=A1480,K1480&lt;&gt;"No change (same URL)"),"Redirects to itself; ","")&amp;IF(AND(M1480&lt;&gt;"",OR(M1480="/",AND(LEFT(M1480,4)="http",OR((LEN(M1480)-LEN(SUBSTITUTE(M1480,"/","")))=2,AND((LEN(M1480)-LEN(SUBSTITUTE(M1480,"/","")))=3,RIGHT(M1480,1)="/"))))),"Home page redirect; ","")&amp;IF(N(R1480)&gt;1,"Chain; ","")&amp;IF(S1480="No","Destination not 200; ","")))</f>
        <v/>
      </c>
      <c r="U1480" s="22" t="n"/>
      <c r="V1480" s="22" t="n"/>
      <c r="W1480" s="4" t="n"/>
    </row>
    <row r="1481">
      <c r="A1481" s="22" t="n"/>
      <c r="B1481" s="22" t="n"/>
      <c r="C1481" s="22" t="n"/>
      <c r="D1481" s="22">
        <f>IF(A1481="","",IF(OR(N(B1481)&gt;=$C$2,N(C1481)&gt;=$E$2),"High",IF(OR(N(B1481)&gt;0,N(C1481)&gt;0),"Medium","Low")))</f>
        <v/>
      </c>
      <c r="E1481" s="22" t="n"/>
      <c r="F1481" s="22" t="n"/>
      <c r="G1481" s="22" t="n"/>
      <c r="H1481" s="22" t="n"/>
      <c r="I1481" s="22" t="n"/>
      <c r="J1481" s="22" t="n"/>
      <c r="K1481" s="22" t="n"/>
      <c r="L1481" s="22" t="n"/>
      <c r="M1481" s="22">
        <f>IF(K1481="Override",L1481,IF(K1481="Accept suggestion",F1481,IF(K1481="No change (same URL)",A1481,"")))</f>
        <v/>
      </c>
      <c r="N1481" s="22">
        <f>IF(A1481="","",IF(K1481="410 Gone","410",IF(K1481="404","404",IF(K1481="No change (same URL)","none",IF(M1481="","","301")))))</f>
        <v/>
      </c>
      <c r="O1481" s="22">
        <f>IF(A1481="","",IFERROR(MID(A1481,FIND("/",A1481,FIND("//",A1481)+2),2000),A1481))</f>
        <v/>
      </c>
      <c r="P1481" s="22">
        <f>IF(OR(O1481="",N1481="",N1481="none",N1481="404"),"",IF(N1481="410","Redirect gone "&amp;O1481,"Redirect "&amp;N1481&amp;" "&amp;O1481&amp;" "&amp;M1481))</f>
        <v/>
      </c>
      <c r="Q1481" s="22" t="n"/>
      <c r="R1481" s="22" t="n"/>
      <c r="S1481" s="22" t="n"/>
      <c r="T1481" s="4">
        <f>IF(A1481="","",TRIM(IF(K1481="","Needs decision; ","")&amp;IF(AND(K1481="Accept suggestion",F1481=""),"No suggestion to accept; ","")&amp;IF(AND(K1481="Override",L1481=""),"Override URL missing; ","")&amp;IF(AND(K1481="Accept suggestion",N(G1481)&lt;$G$2),"Below your threshold; ","")&amp;IF(AND(M1481&lt;&gt;"",M1481=A1481,K1481&lt;&gt;"No change (same URL)"),"Redirects to itself; ","")&amp;IF(AND(M1481&lt;&gt;"",OR(M1481="/",AND(LEFT(M1481,4)="http",OR((LEN(M1481)-LEN(SUBSTITUTE(M1481,"/","")))=2,AND((LEN(M1481)-LEN(SUBSTITUTE(M1481,"/","")))=3,RIGHT(M1481,1)="/"))))),"Home page redirect; ","")&amp;IF(N(R1481)&gt;1,"Chain; ","")&amp;IF(S1481="No","Destination not 200; ","")))</f>
        <v/>
      </c>
      <c r="U1481" s="22" t="n"/>
      <c r="V1481" s="22" t="n"/>
      <c r="W1481" s="4" t="n"/>
    </row>
    <row r="1482">
      <c r="A1482" s="22" t="n"/>
      <c r="B1482" s="22" t="n"/>
      <c r="C1482" s="22" t="n"/>
      <c r="D1482" s="22">
        <f>IF(A1482="","",IF(OR(N(B1482)&gt;=$C$2,N(C1482)&gt;=$E$2),"High",IF(OR(N(B1482)&gt;0,N(C1482)&gt;0),"Medium","Low")))</f>
        <v/>
      </c>
      <c r="E1482" s="22" t="n"/>
      <c r="F1482" s="22" t="n"/>
      <c r="G1482" s="22" t="n"/>
      <c r="H1482" s="22" t="n"/>
      <c r="I1482" s="22" t="n"/>
      <c r="J1482" s="22" t="n"/>
      <c r="K1482" s="22" t="n"/>
      <c r="L1482" s="22" t="n"/>
      <c r="M1482" s="22">
        <f>IF(K1482="Override",L1482,IF(K1482="Accept suggestion",F1482,IF(K1482="No change (same URL)",A1482,"")))</f>
        <v/>
      </c>
      <c r="N1482" s="22">
        <f>IF(A1482="","",IF(K1482="410 Gone","410",IF(K1482="404","404",IF(K1482="No change (same URL)","none",IF(M1482="","","301")))))</f>
        <v/>
      </c>
      <c r="O1482" s="22">
        <f>IF(A1482="","",IFERROR(MID(A1482,FIND("/",A1482,FIND("//",A1482)+2),2000),A1482))</f>
        <v/>
      </c>
      <c r="P1482" s="22">
        <f>IF(OR(O1482="",N1482="",N1482="none",N1482="404"),"",IF(N1482="410","Redirect gone "&amp;O1482,"Redirect "&amp;N1482&amp;" "&amp;O1482&amp;" "&amp;M1482))</f>
        <v/>
      </c>
      <c r="Q1482" s="22" t="n"/>
      <c r="R1482" s="22" t="n"/>
      <c r="S1482" s="22" t="n"/>
      <c r="T1482" s="4">
        <f>IF(A1482="","",TRIM(IF(K1482="","Needs decision; ","")&amp;IF(AND(K1482="Accept suggestion",F1482=""),"No suggestion to accept; ","")&amp;IF(AND(K1482="Override",L1482=""),"Override URL missing; ","")&amp;IF(AND(K1482="Accept suggestion",N(G1482)&lt;$G$2),"Below your threshold; ","")&amp;IF(AND(M1482&lt;&gt;"",M1482=A1482,K1482&lt;&gt;"No change (same URL)"),"Redirects to itself; ","")&amp;IF(AND(M1482&lt;&gt;"",OR(M1482="/",AND(LEFT(M1482,4)="http",OR((LEN(M1482)-LEN(SUBSTITUTE(M1482,"/","")))=2,AND((LEN(M1482)-LEN(SUBSTITUTE(M1482,"/","")))=3,RIGHT(M1482,1)="/"))))),"Home page redirect; ","")&amp;IF(N(R1482)&gt;1,"Chain; ","")&amp;IF(S1482="No","Destination not 200; ","")))</f>
        <v/>
      </c>
      <c r="U1482" s="22" t="n"/>
      <c r="V1482" s="22" t="n"/>
      <c r="W1482" s="4" t="n"/>
    </row>
    <row r="1483">
      <c r="A1483" s="22" t="n"/>
      <c r="B1483" s="22" t="n"/>
      <c r="C1483" s="22" t="n"/>
      <c r="D1483" s="22">
        <f>IF(A1483="","",IF(OR(N(B1483)&gt;=$C$2,N(C1483)&gt;=$E$2),"High",IF(OR(N(B1483)&gt;0,N(C1483)&gt;0),"Medium","Low")))</f>
        <v/>
      </c>
      <c r="E1483" s="22" t="n"/>
      <c r="F1483" s="22" t="n"/>
      <c r="G1483" s="22" t="n"/>
      <c r="H1483" s="22" t="n"/>
      <c r="I1483" s="22" t="n"/>
      <c r="J1483" s="22" t="n"/>
      <c r="K1483" s="22" t="n"/>
      <c r="L1483" s="22" t="n"/>
      <c r="M1483" s="22">
        <f>IF(K1483="Override",L1483,IF(K1483="Accept suggestion",F1483,IF(K1483="No change (same URL)",A1483,"")))</f>
        <v/>
      </c>
      <c r="N1483" s="22">
        <f>IF(A1483="","",IF(K1483="410 Gone","410",IF(K1483="404","404",IF(K1483="No change (same URL)","none",IF(M1483="","","301")))))</f>
        <v/>
      </c>
      <c r="O1483" s="22">
        <f>IF(A1483="","",IFERROR(MID(A1483,FIND("/",A1483,FIND("//",A1483)+2),2000),A1483))</f>
        <v/>
      </c>
      <c r="P1483" s="22">
        <f>IF(OR(O1483="",N1483="",N1483="none",N1483="404"),"",IF(N1483="410","Redirect gone "&amp;O1483,"Redirect "&amp;N1483&amp;" "&amp;O1483&amp;" "&amp;M1483))</f>
        <v/>
      </c>
      <c r="Q1483" s="22" t="n"/>
      <c r="R1483" s="22" t="n"/>
      <c r="S1483" s="22" t="n"/>
      <c r="T1483" s="4">
        <f>IF(A1483="","",TRIM(IF(K1483="","Needs decision; ","")&amp;IF(AND(K1483="Accept suggestion",F1483=""),"No suggestion to accept; ","")&amp;IF(AND(K1483="Override",L1483=""),"Override URL missing; ","")&amp;IF(AND(K1483="Accept suggestion",N(G1483)&lt;$G$2),"Below your threshold; ","")&amp;IF(AND(M1483&lt;&gt;"",M1483=A1483,K1483&lt;&gt;"No change (same URL)"),"Redirects to itself; ","")&amp;IF(AND(M1483&lt;&gt;"",OR(M1483="/",AND(LEFT(M1483,4)="http",OR((LEN(M1483)-LEN(SUBSTITUTE(M1483,"/","")))=2,AND((LEN(M1483)-LEN(SUBSTITUTE(M1483,"/","")))=3,RIGHT(M1483,1)="/"))))),"Home page redirect; ","")&amp;IF(N(R1483)&gt;1,"Chain; ","")&amp;IF(S1483="No","Destination not 200; ","")))</f>
        <v/>
      </c>
      <c r="U1483" s="22" t="n"/>
      <c r="V1483" s="22" t="n"/>
      <c r="W1483" s="4" t="n"/>
    </row>
    <row r="1484">
      <c r="A1484" s="22" t="n"/>
      <c r="B1484" s="22" t="n"/>
      <c r="C1484" s="22" t="n"/>
      <c r="D1484" s="22">
        <f>IF(A1484="","",IF(OR(N(B1484)&gt;=$C$2,N(C1484)&gt;=$E$2),"High",IF(OR(N(B1484)&gt;0,N(C1484)&gt;0),"Medium","Low")))</f>
        <v/>
      </c>
      <c r="E1484" s="22" t="n"/>
      <c r="F1484" s="22" t="n"/>
      <c r="G1484" s="22" t="n"/>
      <c r="H1484" s="22" t="n"/>
      <c r="I1484" s="22" t="n"/>
      <c r="J1484" s="22" t="n"/>
      <c r="K1484" s="22" t="n"/>
      <c r="L1484" s="22" t="n"/>
      <c r="M1484" s="22">
        <f>IF(K1484="Override",L1484,IF(K1484="Accept suggestion",F1484,IF(K1484="No change (same URL)",A1484,"")))</f>
        <v/>
      </c>
      <c r="N1484" s="22">
        <f>IF(A1484="","",IF(K1484="410 Gone","410",IF(K1484="404","404",IF(K1484="No change (same URL)","none",IF(M1484="","","301")))))</f>
        <v/>
      </c>
      <c r="O1484" s="22">
        <f>IF(A1484="","",IFERROR(MID(A1484,FIND("/",A1484,FIND("//",A1484)+2),2000),A1484))</f>
        <v/>
      </c>
      <c r="P1484" s="22">
        <f>IF(OR(O1484="",N1484="",N1484="none",N1484="404"),"",IF(N1484="410","Redirect gone "&amp;O1484,"Redirect "&amp;N1484&amp;" "&amp;O1484&amp;" "&amp;M1484))</f>
        <v/>
      </c>
      <c r="Q1484" s="22" t="n"/>
      <c r="R1484" s="22" t="n"/>
      <c r="S1484" s="22" t="n"/>
      <c r="T1484" s="4">
        <f>IF(A1484="","",TRIM(IF(K1484="","Needs decision; ","")&amp;IF(AND(K1484="Accept suggestion",F1484=""),"No suggestion to accept; ","")&amp;IF(AND(K1484="Override",L1484=""),"Override URL missing; ","")&amp;IF(AND(K1484="Accept suggestion",N(G1484)&lt;$G$2),"Below your threshold; ","")&amp;IF(AND(M1484&lt;&gt;"",M1484=A1484,K1484&lt;&gt;"No change (same URL)"),"Redirects to itself; ","")&amp;IF(AND(M1484&lt;&gt;"",OR(M1484="/",AND(LEFT(M1484,4)="http",OR((LEN(M1484)-LEN(SUBSTITUTE(M1484,"/","")))=2,AND((LEN(M1484)-LEN(SUBSTITUTE(M1484,"/","")))=3,RIGHT(M1484,1)="/"))))),"Home page redirect; ","")&amp;IF(N(R1484)&gt;1,"Chain; ","")&amp;IF(S1484="No","Destination not 200; ","")))</f>
        <v/>
      </c>
      <c r="U1484" s="22" t="n"/>
      <c r="V1484" s="22" t="n"/>
      <c r="W1484" s="4" t="n"/>
    </row>
    <row r="1485">
      <c r="A1485" s="22" t="n"/>
      <c r="B1485" s="22" t="n"/>
      <c r="C1485" s="22" t="n"/>
      <c r="D1485" s="22">
        <f>IF(A1485="","",IF(OR(N(B1485)&gt;=$C$2,N(C1485)&gt;=$E$2),"High",IF(OR(N(B1485)&gt;0,N(C1485)&gt;0),"Medium","Low")))</f>
        <v/>
      </c>
      <c r="E1485" s="22" t="n"/>
      <c r="F1485" s="22" t="n"/>
      <c r="G1485" s="22" t="n"/>
      <c r="H1485" s="22" t="n"/>
      <c r="I1485" s="22" t="n"/>
      <c r="J1485" s="22" t="n"/>
      <c r="K1485" s="22" t="n"/>
      <c r="L1485" s="22" t="n"/>
      <c r="M1485" s="22">
        <f>IF(K1485="Override",L1485,IF(K1485="Accept suggestion",F1485,IF(K1485="No change (same URL)",A1485,"")))</f>
        <v/>
      </c>
      <c r="N1485" s="22">
        <f>IF(A1485="","",IF(K1485="410 Gone","410",IF(K1485="404","404",IF(K1485="No change (same URL)","none",IF(M1485="","","301")))))</f>
        <v/>
      </c>
      <c r="O1485" s="22">
        <f>IF(A1485="","",IFERROR(MID(A1485,FIND("/",A1485,FIND("//",A1485)+2),2000),A1485))</f>
        <v/>
      </c>
      <c r="P1485" s="22">
        <f>IF(OR(O1485="",N1485="",N1485="none",N1485="404"),"",IF(N1485="410","Redirect gone "&amp;O1485,"Redirect "&amp;N1485&amp;" "&amp;O1485&amp;" "&amp;M1485))</f>
        <v/>
      </c>
      <c r="Q1485" s="22" t="n"/>
      <c r="R1485" s="22" t="n"/>
      <c r="S1485" s="22" t="n"/>
      <c r="T1485" s="4">
        <f>IF(A1485="","",TRIM(IF(K1485="","Needs decision; ","")&amp;IF(AND(K1485="Accept suggestion",F1485=""),"No suggestion to accept; ","")&amp;IF(AND(K1485="Override",L1485=""),"Override URL missing; ","")&amp;IF(AND(K1485="Accept suggestion",N(G1485)&lt;$G$2),"Below your threshold; ","")&amp;IF(AND(M1485&lt;&gt;"",M1485=A1485,K1485&lt;&gt;"No change (same URL)"),"Redirects to itself; ","")&amp;IF(AND(M1485&lt;&gt;"",OR(M1485="/",AND(LEFT(M1485,4)="http",OR((LEN(M1485)-LEN(SUBSTITUTE(M1485,"/","")))=2,AND((LEN(M1485)-LEN(SUBSTITUTE(M1485,"/","")))=3,RIGHT(M1485,1)="/"))))),"Home page redirect; ","")&amp;IF(N(R1485)&gt;1,"Chain; ","")&amp;IF(S1485="No","Destination not 200; ","")))</f>
        <v/>
      </c>
      <c r="U1485" s="22" t="n"/>
      <c r="V1485" s="22" t="n"/>
      <c r="W1485" s="4" t="n"/>
    </row>
    <row r="1486">
      <c r="A1486" s="22" t="n"/>
      <c r="B1486" s="22" t="n"/>
      <c r="C1486" s="22" t="n"/>
      <c r="D1486" s="22">
        <f>IF(A1486="","",IF(OR(N(B1486)&gt;=$C$2,N(C1486)&gt;=$E$2),"High",IF(OR(N(B1486)&gt;0,N(C1486)&gt;0),"Medium","Low")))</f>
        <v/>
      </c>
      <c r="E1486" s="22" t="n"/>
      <c r="F1486" s="22" t="n"/>
      <c r="G1486" s="22" t="n"/>
      <c r="H1486" s="22" t="n"/>
      <c r="I1486" s="22" t="n"/>
      <c r="J1486" s="22" t="n"/>
      <c r="K1486" s="22" t="n"/>
      <c r="L1486" s="22" t="n"/>
      <c r="M1486" s="22">
        <f>IF(K1486="Override",L1486,IF(K1486="Accept suggestion",F1486,IF(K1486="No change (same URL)",A1486,"")))</f>
        <v/>
      </c>
      <c r="N1486" s="22">
        <f>IF(A1486="","",IF(K1486="410 Gone","410",IF(K1486="404","404",IF(K1486="No change (same URL)","none",IF(M1486="","","301")))))</f>
        <v/>
      </c>
      <c r="O1486" s="22">
        <f>IF(A1486="","",IFERROR(MID(A1486,FIND("/",A1486,FIND("//",A1486)+2),2000),A1486))</f>
        <v/>
      </c>
      <c r="P1486" s="22">
        <f>IF(OR(O1486="",N1486="",N1486="none",N1486="404"),"",IF(N1486="410","Redirect gone "&amp;O1486,"Redirect "&amp;N1486&amp;" "&amp;O1486&amp;" "&amp;M1486))</f>
        <v/>
      </c>
      <c r="Q1486" s="22" t="n"/>
      <c r="R1486" s="22" t="n"/>
      <c r="S1486" s="22" t="n"/>
      <c r="T1486" s="4">
        <f>IF(A1486="","",TRIM(IF(K1486="","Needs decision; ","")&amp;IF(AND(K1486="Accept suggestion",F1486=""),"No suggestion to accept; ","")&amp;IF(AND(K1486="Override",L1486=""),"Override URL missing; ","")&amp;IF(AND(K1486="Accept suggestion",N(G1486)&lt;$G$2),"Below your threshold; ","")&amp;IF(AND(M1486&lt;&gt;"",M1486=A1486,K1486&lt;&gt;"No change (same URL)"),"Redirects to itself; ","")&amp;IF(AND(M1486&lt;&gt;"",OR(M1486="/",AND(LEFT(M1486,4)="http",OR((LEN(M1486)-LEN(SUBSTITUTE(M1486,"/","")))=2,AND((LEN(M1486)-LEN(SUBSTITUTE(M1486,"/","")))=3,RIGHT(M1486,1)="/"))))),"Home page redirect; ","")&amp;IF(N(R1486)&gt;1,"Chain; ","")&amp;IF(S1486="No","Destination not 200; ","")))</f>
        <v/>
      </c>
      <c r="U1486" s="22" t="n"/>
      <c r="V1486" s="22" t="n"/>
      <c r="W1486" s="4" t="n"/>
    </row>
    <row r="1487">
      <c r="A1487" s="22" t="n"/>
      <c r="B1487" s="22" t="n"/>
      <c r="C1487" s="22" t="n"/>
      <c r="D1487" s="22">
        <f>IF(A1487="","",IF(OR(N(B1487)&gt;=$C$2,N(C1487)&gt;=$E$2),"High",IF(OR(N(B1487)&gt;0,N(C1487)&gt;0),"Medium","Low")))</f>
        <v/>
      </c>
      <c r="E1487" s="22" t="n"/>
      <c r="F1487" s="22" t="n"/>
      <c r="G1487" s="22" t="n"/>
      <c r="H1487" s="22" t="n"/>
      <c r="I1487" s="22" t="n"/>
      <c r="J1487" s="22" t="n"/>
      <c r="K1487" s="22" t="n"/>
      <c r="L1487" s="22" t="n"/>
      <c r="M1487" s="22">
        <f>IF(K1487="Override",L1487,IF(K1487="Accept suggestion",F1487,IF(K1487="No change (same URL)",A1487,"")))</f>
        <v/>
      </c>
      <c r="N1487" s="22">
        <f>IF(A1487="","",IF(K1487="410 Gone","410",IF(K1487="404","404",IF(K1487="No change (same URL)","none",IF(M1487="","","301")))))</f>
        <v/>
      </c>
      <c r="O1487" s="22">
        <f>IF(A1487="","",IFERROR(MID(A1487,FIND("/",A1487,FIND("//",A1487)+2),2000),A1487))</f>
        <v/>
      </c>
      <c r="P1487" s="22">
        <f>IF(OR(O1487="",N1487="",N1487="none",N1487="404"),"",IF(N1487="410","Redirect gone "&amp;O1487,"Redirect "&amp;N1487&amp;" "&amp;O1487&amp;" "&amp;M1487))</f>
        <v/>
      </c>
      <c r="Q1487" s="22" t="n"/>
      <c r="R1487" s="22" t="n"/>
      <c r="S1487" s="22" t="n"/>
      <c r="T1487" s="4">
        <f>IF(A1487="","",TRIM(IF(K1487="","Needs decision; ","")&amp;IF(AND(K1487="Accept suggestion",F1487=""),"No suggestion to accept; ","")&amp;IF(AND(K1487="Override",L1487=""),"Override URL missing; ","")&amp;IF(AND(K1487="Accept suggestion",N(G1487)&lt;$G$2),"Below your threshold; ","")&amp;IF(AND(M1487&lt;&gt;"",M1487=A1487,K1487&lt;&gt;"No change (same URL)"),"Redirects to itself; ","")&amp;IF(AND(M1487&lt;&gt;"",OR(M1487="/",AND(LEFT(M1487,4)="http",OR((LEN(M1487)-LEN(SUBSTITUTE(M1487,"/","")))=2,AND((LEN(M1487)-LEN(SUBSTITUTE(M1487,"/","")))=3,RIGHT(M1487,1)="/"))))),"Home page redirect; ","")&amp;IF(N(R1487)&gt;1,"Chain; ","")&amp;IF(S1487="No","Destination not 200; ","")))</f>
        <v/>
      </c>
      <c r="U1487" s="22" t="n"/>
      <c r="V1487" s="22" t="n"/>
      <c r="W1487" s="4" t="n"/>
    </row>
    <row r="1488">
      <c r="A1488" s="22" t="n"/>
      <c r="B1488" s="22" t="n"/>
      <c r="C1488" s="22" t="n"/>
      <c r="D1488" s="22">
        <f>IF(A1488="","",IF(OR(N(B1488)&gt;=$C$2,N(C1488)&gt;=$E$2),"High",IF(OR(N(B1488)&gt;0,N(C1488)&gt;0),"Medium","Low")))</f>
        <v/>
      </c>
      <c r="E1488" s="22" t="n"/>
      <c r="F1488" s="22" t="n"/>
      <c r="G1488" s="22" t="n"/>
      <c r="H1488" s="22" t="n"/>
      <c r="I1488" s="22" t="n"/>
      <c r="J1488" s="22" t="n"/>
      <c r="K1488" s="22" t="n"/>
      <c r="L1488" s="22" t="n"/>
      <c r="M1488" s="22">
        <f>IF(K1488="Override",L1488,IF(K1488="Accept suggestion",F1488,IF(K1488="No change (same URL)",A1488,"")))</f>
        <v/>
      </c>
      <c r="N1488" s="22">
        <f>IF(A1488="","",IF(K1488="410 Gone","410",IF(K1488="404","404",IF(K1488="No change (same URL)","none",IF(M1488="","","301")))))</f>
        <v/>
      </c>
      <c r="O1488" s="22">
        <f>IF(A1488="","",IFERROR(MID(A1488,FIND("/",A1488,FIND("//",A1488)+2),2000),A1488))</f>
        <v/>
      </c>
      <c r="P1488" s="22">
        <f>IF(OR(O1488="",N1488="",N1488="none",N1488="404"),"",IF(N1488="410","Redirect gone "&amp;O1488,"Redirect "&amp;N1488&amp;" "&amp;O1488&amp;" "&amp;M1488))</f>
        <v/>
      </c>
      <c r="Q1488" s="22" t="n"/>
      <c r="R1488" s="22" t="n"/>
      <c r="S1488" s="22" t="n"/>
      <c r="T1488" s="4">
        <f>IF(A1488="","",TRIM(IF(K1488="","Needs decision; ","")&amp;IF(AND(K1488="Accept suggestion",F1488=""),"No suggestion to accept; ","")&amp;IF(AND(K1488="Override",L1488=""),"Override URL missing; ","")&amp;IF(AND(K1488="Accept suggestion",N(G1488)&lt;$G$2),"Below your threshold; ","")&amp;IF(AND(M1488&lt;&gt;"",M1488=A1488,K1488&lt;&gt;"No change (same URL)"),"Redirects to itself; ","")&amp;IF(AND(M1488&lt;&gt;"",OR(M1488="/",AND(LEFT(M1488,4)="http",OR((LEN(M1488)-LEN(SUBSTITUTE(M1488,"/","")))=2,AND((LEN(M1488)-LEN(SUBSTITUTE(M1488,"/","")))=3,RIGHT(M1488,1)="/"))))),"Home page redirect; ","")&amp;IF(N(R1488)&gt;1,"Chain; ","")&amp;IF(S1488="No","Destination not 200; ","")))</f>
        <v/>
      </c>
      <c r="U1488" s="22" t="n"/>
      <c r="V1488" s="22" t="n"/>
      <c r="W1488" s="4" t="n"/>
    </row>
    <row r="1489">
      <c r="A1489" s="22" t="n"/>
      <c r="B1489" s="22" t="n"/>
      <c r="C1489" s="22" t="n"/>
      <c r="D1489" s="22">
        <f>IF(A1489="","",IF(OR(N(B1489)&gt;=$C$2,N(C1489)&gt;=$E$2),"High",IF(OR(N(B1489)&gt;0,N(C1489)&gt;0),"Medium","Low")))</f>
        <v/>
      </c>
      <c r="E1489" s="22" t="n"/>
      <c r="F1489" s="22" t="n"/>
      <c r="G1489" s="22" t="n"/>
      <c r="H1489" s="22" t="n"/>
      <c r="I1489" s="22" t="n"/>
      <c r="J1489" s="22" t="n"/>
      <c r="K1489" s="22" t="n"/>
      <c r="L1489" s="22" t="n"/>
      <c r="M1489" s="22">
        <f>IF(K1489="Override",L1489,IF(K1489="Accept suggestion",F1489,IF(K1489="No change (same URL)",A1489,"")))</f>
        <v/>
      </c>
      <c r="N1489" s="22">
        <f>IF(A1489="","",IF(K1489="410 Gone","410",IF(K1489="404","404",IF(K1489="No change (same URL)","none",IF(M1489="","","301")))))</f>
        <v/>
      </c>
      <c r="O1489" s="22">
        <f>IF(A1489="","",IFERROR(MID(A1489,FIND("/",A1489,FIND("//",A1489)+2),2000),A1489))</f>
        <v/>
      </c>
      <c r="P1489" s="22">
        <f>IF(OR(O1489="",N1489="",N1489="none",N1489="404"),"",IF(N1489="410","Redirect gone "&amp;O1489,"Redirect "&amp;N1489&amp;" "&amp;O1489&amp;" "&amp;M1489))</f>
        <v/>
      </c>
      <c r="Q1489" s="22" t="n"/>
      <c r="R1489" s="22" t="n"/>
      <c r="S1489" s="22" t="n"/>
      <c r="T1489" s="4">
        <f>IF(A1489="","",TRIM(IF(K1489="","Needs decision; ","")&amp;IF(AND(K1489="Accept suggestion",F1489=""),"No suggestion to accept; ","")&amp;IF(AND(K1489="Override",L1489=""),"Override URL missing; ","")&amp;IF(AND(K1489="Accept suggestion",N(G1489)&lt;$G$2),"Below your threshold; ","")&amp;IF(AND(M1489&lt;&gt;"",M1489=A1489,K1489&lt;&gt;"No change (same URL)"),"Redirects to itself; ","")&amp;IF(AND(M1489&lt;&gt;"",OR(M1489="/",AND(LEFT(M1489,4)="http",OR((LEN(M1489)-LEN(SUBSTITUTE(M1489,"/","")))=2,AND((LEN(M1489)-LEN(SUBSTITUTE(M1489,"/","")))=3,RIGHT(M1489,1)="/"))))),"Home page redirect; ","")&amp;IF(N(R1489)&gt;1,"Chain; ","")&amp;IF(S1489="No","Destination not 200; ","")))</f>
        <v/>
      </c>
      <c r="U1489" s="22" t="n"/>
      <c r="V1489" s="22" t="n"/>
      <c r="W1489" s="4" t="n"/>
    </row>
    <row r="1490">
      <c r="A1490" s="22" t="n"/>
      <c r="B1490" s="22" t="n"/>
      <c r="C1490" s="22" t="n"/>
      <c r="D1490" s="22">
        <f>IF(A1490="","",IF(OR(N(B1490)&gt;=$C$2,N(C1490)&gt;=$E$2),"High",IF(OR(N(B1490)&gt;0,N(C1490)&gt;0),"Medium","Low")))</f>
        <v/>
      </c>
      <c r="E1490" s="22" t="n"/>
      <c r="F1490" s="22" t="n"/>
      <c r="G1490" s="22" t="n"/>
      <c r="H1490" s="22" t="n"/>
      <c r="I1490" s="22" t="n"/>
      <c r="J1490" s="22" t="n"/>
      <c r="K1490" s="22" t="n"/>
      <c r="L1490" s="22" t="n"/>
      <c r="M1490" s="22">
        <f>IF(K1490="Override",L1490,IF(K1490="Accept suggestion",F1490,IF(K1490="No change (same URL)",A1490,"")))</f>
        <v/>
      </c>
      <c r="N1490" s="22">
        <f>IF(A1490="","",IF(K1490="410 Gone","410",IF(K1490="404","404",IF(K1490="No change (same URL)","none",IF(M1490="","","301")))))</f>
        <v/>
      </c>
      <c r="O1490" s="22">
        <f>IF(A1490="","",IFERROR(MID(A1490,FIND("/",A1490,FIND("//",A1490)+2),2000),A1490))</f>
        <v/>
      </c>
      <c r="P1490" s="22">
        <f>IF(OR(O1490="",N1490="",N1490="none",N1490="404"),"",IF(N1490="410","Redirect gone "&amp;O1490,"Redirect "&amp;N1490&amp;" "&amp;O1490&amp;" "&amp;M1490))</f>
        <v/>
      </c>
      <c r="Q1490" s="22" t="n"/>
      <c r="R1490" s="22" t="n"/>
      <c r="S1490" s="22" t="n"/>
      <c r="T1490" s="4">
        <f>IF(A1490="","",TRIM(IF(K1490="","Needs decision; ","")&amp;IF(AND(K1490="Accept suggestion",F1490=""),"No suggestion to accept; ","")&amp;IF(AND(K1490="Override",L1490=""),"Override URL missing; ","")&amp;IF(AND(K1490="Accept suggestion",N(G1490)&lt;$G$2),"Below your threshold; ","")&amp;IF(AND(M1490&lt;&gt;"",M1490=A1490,K1490&lt;&gt;"No change (same URL)"),"Redirects to itself; ","")&amp;IF(AND(M1490&lt;&gt;"",OR(M1490="/",AND(LEFT(M1490,4)="http",OR((LEN(M1490)-LEN(SUBSTITUTE(M1490,"/","")))=2,AND((LEN(M1490)-LEN(SUBSTITUTE(M1490,"/","")))=3,RIGHT(M1490,1)="/"))))),"Home page redirect; ","")&amp;IF(N(R1490)&gt;1,"Chain; ","")&amp;IF(S1490="No","Destination not 200; ","")))</f>
        <v/>
      </c>
      <c r="U1490" s="22" t="n"/>
      <c r="V1490" s="22" t="n"/>
      <c r="W1490" s="4" t="n"/>
    </row>
    <row r="1491">
      <c r="A1491" s="22" t="n"/>
      <c r="B1491" s="22" t="n"/>
      <c r="C1491" s="22" t="n"/>
      <c r="D1491" s="22">
        <f>IF(A1491="","",IF(OR(N(B1491)&gt;=$C$2,N(C1491)&gt;=$E$2),"High",IF(OR(N(B1491)&gt;0,N(C1491)&gt;0),"Medium","Low")))</f>
        <v/>
      </c>
      <c r="E1491" s="22" t="n"/>
      <c r="F1491" s="22" t="n"/>
      <c r="G1491" s="22" t="n"/>
      <c r="H1491" s="22" t="n"/>
      <c r="I1491" s="22" t="n"/>
      <c r="J1491" s="22" t="n"/>
      <c r="K1491" s="22" t="n"/>
      <c r="L1491" s="22" t="n"/>
      <c r="M1491" s="22">
        <f>IF(K1491="Override",L1491,IF(K1491="Accept suggestion",F1491,IF(K1491="No change (same URL)",A1491,"")))</f>
        <v/>
      </c>
      <c r="N1491" s="22">
        <f>IF(A1491="","",IF(K1491="410 Gone","410",IF(K1491="404","404",IF(K1491="No change (same URL)","none",IF(M1491="","","301")))))</f>
        <v/>
      </c>
      <c r="O1491" s="22">
        <f>IF(A1491="","",IFERROR(MID(A1491,FIND("/",A1491,FIND("//",A1491)+2),2000),A1491))</f>
        <v/>
      </c>
      <c r="P1491" s="22">
        <f>IF(OR(O1491="",N1491="",N1491="none",N1491="404"),"",IF(N1491="410","Redirect gone "&amp;O1491,"Redirect "&amp;N1491&amp;" "&amp;O1491&amp;" "&amp;M1491))</f>
        <v/>
      </c>
      <c r="Q1491" s="22" t="n"/>
      <c r="R1491" s="22" t="n"/>
      <c r="S1491" s="22" t="n"/>
      <c r="T1491" s="4">
        <f>IF(A1491="","",TRIM(IF(K1491="","Needs decision; ","")&amp;IF(AND(K1491="Accept suggestion",F1491=""),"No suggestion to accept; ","")&amp;IF(AND(K1491="Override",L1491=""),"Override URL missing; ","")&amp;IF(AND(K1491="Accept suggestion",N(G1491)&lt;$G$2),"Below your threshold; ","")&amp;IF(AND(M1491&lt;&gt;"",M1491=A1491,K1491&lt;&gt;"No change (same URL)"),"Redirects to itself; ","")&amp;IF(AND(M1491&lt;&gt;"",OR(M1491="/",AND(LEFT(M1491,4)="http",OR((LEN(M1491)-LEN(SUBSTITUTE(M1491,"/","")))=2,AND((LEN(M1491)-LEN(SUBSTITUTE(M1491,"/","")))=3,RIGHT(M1491,1)="/"))))),"Home page redirect; ","")&amp;IF(N(R1491)&gt;1,"Chain; ","")&amp;IF(S1491="No","Destination not 200; ","")))</f>
        <v/>
      </c>
      <c r="U1491" s="22" t="n"/>
      <c r="V1491" s="22" t="n"/>
      <c r="W1491" s="4" t="n"/>
    </row>
    <row r="1492">
      <c r="A1492" s="22" t="n"/>
      <c r="B1492" s="22" t="n"/>
      <c r="C1492" s="22" t="n"/>
      <c r="D1492" s="22">
        <f>IF(A1492="","",IF(OR(N(B1492)&gt;=$C$2,N(C1492)&gt;=$E$2),"High",IF(OR(N(B1492)&gt;0,N(C1492)&gt;0),"Medium","Low")))</f>
        <v/>
      </c>
      <c r="E1492" s="22" t="n"/>
      <c r="F1492" s="22" t="n"/>
      <c r="G1492" s="22" t="n"/>
      <c r="H1492" s="22" t="n"/>
      <c r="I1492" s="22" t="n"/>
      <c r="J1492" s="22" t="n"/>
      <c r="K1492" s="22" t="n"/>
      <c r="L1492" s="22" t="n"/>
      <c r="M1492" s="22">
        <f>IF(K1492="Override",L1492,IF(K1492="Accept suggestion",F1492,IF(K1492="No change (same URL)",A1492,"")))</f>
        <v/>
      </c>
      <c r="N1492" s="22">
        <f>IF(A1492="","",IF(K1492="410 Gone","410",IF(K1492="404","404",IF(K1492="No change (same URL)","none",IF(M1492="","","301")))))</f>
        <v/>
      </c>
      <c r="O1492" s="22">
        <f>IF(A1492="","",IFERROR(MID(A1492,FIND("/",A1492,FIND("//",A1492)+2),2000),A1492))</f>
        <v/>
      </c>
      <c r="P1492" s="22">
        <f>IF(OR(O1492="",N1492="",N1492="none",N1492="404"),"",IF(N1492="410","Redirect gone "&amp;O1492,"Redirect "&amp;N1492&amp;" "&amp;O1492&amp;" "&amp;M1492))</f>
        <v/>
      </c>
      <c r="Q1492" s="22" t="n"/>
      <c r="R1492" s="22" t="n"/>
      <c r="S1492" s="22" t="n"/>
      <c r="T1492" s="4">
        <f>IF(A1492="","",TRIM(IF(K1492="","Needs decision; ","")&amp;IF(AND(K1492="Accept suggestion",F1492=""),"No suggestion to accept; ","")&amp;IF(AND(K1492="Override",L1492=""),"Override URL missing; ","")&amp;IF(AND(K1492="Accept suggestion",N(G1492)&lt;$G$2),"Below your threshold; ","")&amp;IF(AND(M1492&lt;&gt;"",M1492=A1492,K1492&lt;&gt;"No change (same URL)"),"Redirects to itself; ","")&amp;IF(AND(M1492&lt;&gt;"",OR(M1492="/",AND(LEFT(M1492,4)="http",OR((LEN(M1492)-LEN(SUBSTITUTE(M1492,"/","")))=2,AND((LEN(M1492)-LEN(SUBSTITUTE(M1492,"/","")))=3,RIGHT(M1492,1)="/"))))),"Home page redirect; ","")&amp;IF(N(R1492)&gt;1,"Chain; ","")&amp;IF(S1492="No","Destination not 200; ","")))</f>
        <v/>
      </c>
      <c r="U1492" s="22" t="n"/>
      <c r="V1492" s="22" t="n"/>
      <c r="W1492" s="4" t="n"/>
    </row>
    <row r="1493">
      <c r="A1493" s="22" t="n"/>
      <c r="B1493" s="22" t="n"/>
      <c r="C1493" s="22" t="n"/>
      <c r="D1493" s="22">
        <f>IF(A1493="","",IF(OR(N(B1493)&gt;=$C$2,N(C1493)&gt;=$E$2),"High",IF(OR(N(B1493)&gt;0,N(C1493)&gt;0),"Medium","Low")))</f>
        <v/>
      </c>
      <c r="E1493" s="22" t="n"/>
      <c r="F1493" s="22" t="n"/>
      <c r="G1493" s="22" t="n"/>
      <c r="H1493" s="22" t="n"/>
      <c r="I1493" s="22" t="n"/>
      <c r="J1493" s="22" t="n"/>
      <c r="K1493" s="22" t="n"/>
      <c r="L1493" s="22" t="n"/>
      <c r="M1493" s="22">
        <f>IF(K1493="Override",L1493,IF(K1493="Accept suggestion",F1493,IF(K1493="No change (same URL)",A1493,"")))</f>
        <v/>
      </c>
      <c r="N1493" s="22">
        <f>IF(A1493="","",IF(K1493="410 Gone","410",IF(K1493="404","404",IF(K1493="No change (same URL)","none",IF(M1493="","","301")))))</f>
        <v/>
      </c>
      <c r="O1493" s="22">
        <f>IF(A1493="","",IFERROR(MID(A1493,FIND("/",A1493,FIND("//",A1493)+2),2000),A1493))</f>
        <v/>
      </c>
      <c r="P1493" s="22">
        <f>IF(OR(O1493="",N1493="",N1493="none",N1493="404"),"",IF(N1493="410","Redirect gone "&amp;O1493,"Redirect "&amp;N1493&amp;" "&amp;O1493&amp;" "&amp;M1493))</f>
        <v/>
      </c>
      <c r="Q1493" s="22" t="n"/>
      <c r="R1493" s="22" t="n"/>
      <c r="S1493" s="22" t="n"/>
      <c r="T1493" s="4">
        <f>IF(A1493="","",TRIM(IF(K1493="","Needs decision; ","")&amp;IF(AND(K1493="Accept suggestion",F1493=""),"No suggestion to accept; ","")&amp;IF(AND(K1493="Override",L1493=""),"Override URL missing; ","")&amp;IF(AND(K1493="Accept suggestion",N(G1493)&lt;$G$2),"Below your threshold; ","")&amp;IF(AND(M1493&lt;&gt;"",M1493=A1493,K1493&lt;&gt;"No change (same URL)"),"Redirects to itself; ","")&amp;IF(AND(M1493&lt;&gt;"",OR(M1493="/",AND(LEFT(M1493,4)="http",OR((LEN(M1493)-LEN(SUBSTITUTE(M1493,"/","")))=2,AND((LEN(M1493)-LEN(SUBSTITUTE(M1493,"/","")))=3,RIGHT(M1493,1)="/"))))),"Home page redirect; ","")&amp;IF(N(R1493)&gt;1,"Chain; ","")&amp;IF(S1493="No","Destination not 200; ","")))</f>
        <v/>
      </c>
      <c r="U1493" s="22" t="n"/>
      <c r="V1493" s="22" t="n"/>
      <c r="W1493" s="4" t="n"/>
    </row>
    <row r="1494">
      <c r="A1494" s="22" t="n"/>
      <c r="B1494" s="22" t="n"/>
      <c r="C1494" s="22" t="n"/>
      <c r="D1494" s="22">
        <f>IF(A1494="","",IF(OR(N(B1494)&gt;=$C$2,N(C1494)&gt;=$E$2),"High",IF(OR(N(B1494)&gt;0,N(C1494)&gt;0),"Medium","Low")))</f>
        <v/>
      </c>
      <c r="E1494" s="22" t="n"/>
      <c r="F1494" s="22" t="n"/>
      <c r="G1494" s="22" t="n"/>
      <c r="H1494" s="22" t="n"/>
      <c r="I1494" s="22" t="n"/>
      <c r="J1494" s="22" t="n"/>
      <c r="K1494" s="22" t="n"/>
      <c r="L1494" s="22" t="n"/>
      <c r="M1494" s="22">
        <f>IF(K1494="Override",L1494,IF(K1494="Accept suggestion",F1494,IF(K1494="No change (same URL)",A1494,"")))</f>
        <v/>
      </c>
      <c r="N1494" s="22">
        <f>IF(A1494="","",IF(K1494="410 Gone","410",IF(K1494="404","404",IF(K1494="No change (same URL)","none",IF(M1494="","","301")))))</f>
        <v/>
      </c>
      <c r="O1494" s="22">
        <f>IF(A1494="","",IFERROR(MID(A1494,FIND("/",A1494,FIND("//",A1494)+2),2000),A1494))</f>
        <v/>
      </c>
      <c r="P1494" s="22">
        <f>IF(OR(O1494="",N1494="",N1494="none",N1494="404"),"",IF(N1494="410","Redirect gone "&amp;O1494,"Redirect "&amp;N1494&amp;" "&amp;O1494&amp;" "&amp;M1494))</f>
        <v/>
      </c>
      <c r="Q1494" s="22" t="n"/>
      <c r="R1494" s="22" t="n"/>
      <c r="S1494" s="22" t="n"/>
      <c r="T1494" s="4">
        <f>IF(A1494="","",TRIM(IF(K1494="","Needs decision; ","")&amp;IF(AND(K1494="Accept suggestion",F1494=""),"No suggestion to accept; ","")&amp;IF(AND(K1494="Override",L1494=""),"Override URL missing; ","")&amp;IF(AND(K1494="Accept suggestion",N(G1494)&lt;$G$2),"Below your threshold; ","")&amp;IF(AND(M1494&lt;&gt;"",M1494=A1494,K1494&lt;&gt;"No change (same URL)"),"Redirects to itself; ","")&amp;IF(AND(M1494&lt;&gt;"",OR(M1494="/",AND(LEFT(M1494,4)="http",OR((LEN(M1494)-LEN(SUBSTITUTE(M1494,"/","")))=2,AND((LEN(M1494)-LEN(SUBSTITUTE(M1494,"/","")))=3,RIGHT(M1494,1)="/"))))),"Home page redirect; ","")&amp;IF(N(R1494)&gt;1,"Chain; ","")&amp;IF(S1494="No","Destination not 200; ","")))</f>
        <v/>
      </c>
      <c r="U1494" s="22" t="n"/>
      <c r="V1494" s="22" t="n"/>
      <c r="W1494" s="4" t="n"/>
    </row>
    <row r="1495">
      <c r="A1495" s="22" t="n"/>
      <c r="B1495" s="22" t="n"/>
      <c r="C1495" s="22" t="n"/>
      <c r="D1495" s="22">
        <f>IF(A1495="","",IF(OR(N(B1495)&gt;=$C$2,N(C1495)&gt;=$E$2),"High",IF(OR(N(B1495)&gt;0,N(C1495)&gt;0),"Medium","Low")))</f>
        <v/>
      </c>
      <c r="E1495" s="22" t="n"/>
      <c r="F1495" s="22" t="n"/>
      <c r="G1495" s="22" t="n"/>
      <c r="H1495" s="22" t="n"/>
      <c r="I1495" s="22" t="n"/>
      <c r="J1495" s="22" t="n"/>
      <c r="K1495" s="22" t="n"/>
      <c r="L1495" s="22" t="n"/>
      <c r="M1495" s="22">
        <f>IF(K1495="Override",L1495,IF(K1495="Accept suggestion",F1495,IF(K1495="No change (same URL)",A1495,"")))</f>
        <v/>
      </c>
      <c r="N1495" s="22">
        <f>IF(A1495="","",IF(K1495="410 Gone","410",IF(K1495="404","404",IF(K1495="No change (same URL)","none",IF(M1495="","","301")))))</f>
        <v/>
      </c>
      <c r="O1495" s="22">
        <f>IF(A1495="","",IFERROR(MID(A1495,FIND("/",A1495,FIND("//",A1495)+2),2000),A1495))</f>
        <v/>
      </c>
      <c r="P1495" s="22">
        <f>IF(OR(O1495="",N1495="",N1495="none",N1495="404"),"",IF(N1495="410","Redirect gone "&amp;O1495,"Redirect "&amp;N1495&amp;" "&amp;O1495&amp;" "&amp;M1495))</f>
        <v/>
      </c>
      <c r="Q1495" s="22" t="n"/>
      <c r="R1495" s="22" t="n"/>
      <c r="S1495" s="22" t="n"/>
      <c r="T1495" s="4">
        <f>IF(A1495="","",TRIM(IF(K1495="","Needs decision; ","")&amp;IF(AND(K1495="Accept suggestion",F1495=""),"No suggestion to accept; ","")&amp;IF(AND(K1495="Override",L1495=""),"Override URL missing; ","")&amp;IF(AND(K1495="Accept suggestion",N(G1495)&lt;$G$2),"Below your threshold; ","")&amp;IF(AND(M1495&lt;&gt;"",M1495=A1495,K1495&lt;&gt;"No change (same URL)"),"Redirects to itself; ","")&amp;IF(AND(M1495&lt;&gt;"",OR(M1495="/",AND(LEFT(M1495,4)="http",OR((LEN(M1495)-LEN(SUBSTITUTE(M1495,"/","")))=2,AND((LEN(M1495)-LEN(SUBSTITUTE(M1495,"/","")))=3,RIGHT(M1495,1)="/"))))),"Home page redirect; ","")&amp;IF(N(R1495)&gt;1,"Chain; ","")&amp;IF(S1495="No","Destination not 200; ","")))</f>
        <v/>
      </c>
      <c r="U1495" s="22" t="n"/>
      <c r="V1495" s="22" t="n"/>
      <c r="W1495" s="4" t="n"/>
    </row>
    <row r="1496">
      <c r="A1496" s="22" t="n"/>
      <c r="B1496" s="22" t="n"/>
      <c r="C1496" s="22" t="n"/>
      <c r="D1496" s="22">
        <f>IF(A1496="","",IF(OR(N(B1496)&gt;=$C$2,N(C1496)&gt;=$E$2),"High",IF(OR(N(B1496)&gt;0,N(C1496)&gt;0),"Medium","Low")))</f>
        <v/>
      </c>
      <c r="E1496" s="22" t="n"/>
      <c r="F1496" s="22" t="n"/>
      <c r="G1496" s="22" t="n"/>
      <c r="H1496" s="22" t="n"/>
      <c r="I1496" s="22" t="n"/>
      <c r="J1496" s="22" t="n"/>
      <c r="K1496" s="22" t="n"/>
      <c r="L1496" s="22" t="n"/>
      <c r="M1496" s="22">
        <f>IF(K1496="Override",L1496,IF(K1496="Accept suggestion",F1496,IF(K1496="No change (same URL)",A1496,"")))</f>
        <v/>
      </c>
      <c r="N1496" s="22">
        <f>IF(A1496="","",IF(K1496="410 Gone","410",IF(K1496="404","404",IF(K1496="No change (same URL)","none",IF(M1496="","","301")))))</f>
        <v/>
      </c>
      <c r="O1496" s="22">
        <f>IF(A1496="","",IFERROR(MID(A1496,FIND("/",A1496,FIND("//",A1496)+2),2000),A1496))</f>
        <v/>
      </c>
      <c r="P1496" s="22">
        <f>IF(OR(O1496="",N1496="",N1496="none",N1496="404"),"",IF(N1496="410","Redirect gone "&amp;O1496,"Redirect "&amp;N1496&amp;" "&amp;O1496&amp;" "&amp;M1496))</f>
        <v/>
      </c>
      <c r="Q1496" s="22" t="n"/>
      <c r="R1496" s="22" t="n"/>
      <c r="S1496" s="22" t="n"/>
      <c r="T1496" s="4">
        <f>IF(A1496="","",TRIM(IF(K1496="","Needs decision; ","")&amp;IF(AND(K1496="Accept suggestion",F1496=""),"No suggestion to accept; ","")&amp;IF(AND(K1496="Override",L1496=""),"Override URL missing; ","")&amp;IF(AND(K1496="Accept suggestion",N(G1496)&lt;$G$2),"Below your threshold; ","")&amp;IF(AND(M1496&lt;&gt;"",M1496=A1496,K1496&lt;&gt;"No change (same URL)"),"Redirects to itself; ","")&amp;IF(AND(M1496&lt;&gt;"",OR(M1496="/",AND(LEFT(M1496,4)="http",OR((LEN(M1496)-LEN(SUBSTITUTE(M1496,"/","")))=2,AND((LEN(M1496)-LEN(SUBSTITUTE(M1496,"/","")))=3,RIGHT(M1496,1)="/"))))),"Home page redirect; ","")&amp;IF(N(R1496)&gt;1,"Chain; ","")&amp;IF(S1496="No","Destination not 200; ","")))</f>
        <v/>
      </c>
      <c r="U1496" s="22" t="n"/>
      <c r="V1496" s="22" t="n"/>
      <c r="W1496" s="4" t="n"/>
    </row>
    <row r="1497">
      <c r="A1497" s="22" t="n"/>
      <c r="B1497" s="22" t="n"/>
      <c r="C1497" s="22" t="n"/>
      <c r="D1497" s="22">
        <f>IF(A1497="","",IF(OR(N(B1497)&gt;=$C$2,N(C1497)&gt;=$E$2),"High",IF(OR(N(B1497)&gt;0,N(C1497)&gt;0),"Medium","Low")))</f>
        <v/>
      </c>
      <c r="E1497" s="22" t="n"/>
      <c r="F1497" s="22" t="n"/>
      <c r="G1497" s="22" t="n"/>
      <c r="H1497" s="22" t="n"/>
      <c r="I1497" s="22" t="n"/>
      <c r="J1497" s="22" t="n"/>
      <c r="K1497" s="22" t="n"/>
      <c r="L1497" s="22" t="n"/>
      <c r="M1497" s="22">
        <f>IF(K1497="Override",L1497,IF(K1497="Accept suggestion",F1497,IF(K1497="No change (same URL)",A1497,"")))</f>
        <v/>
      </c>
      <c r="N1497" s="22">
        <f>IF(A1497="","",IF(K1497="410 Gone","410",IF(K1497="404","404",IF(K1497="No change (same URL)","none",IF(M1497="","","301")))))</f>
        <v/>
      </c>
      <c r="O1497" s="22">
        <f>IF(A1497="","",IFERROR(MID(A1497,FIND("/",A1497,FIND("//",A1497)+2),2000),A1497))</f>
        <v/>
      </c>
      <c r="P1497" s="22">
        <f>IF(OR(O1497="",N1497="",N1497="none",N1497="404"),"",IF(N1497="410","Redirect gone "&amp;O1497,"Redirect "&amp;N1497&amp;" "&amp;O1497&amp;" "&amp;M1497))</f>
        <v/>
      </c>
      <c r="Q1497" s="22" t="n"/>
      <c r="R1497" s="22" t="n"/>
      <c r="S1497" s="22" t="n"/>
      <c r="T1497" s="4">
        <f>IF(A1497="","",TRIM(IF(K1497="","Needs decision; ","")&amp;IF(AND(K1497="Accept suggestion",F1497=""),"No suggestion to accept; ","")&amp;IF(AND(K1497="Override",L1497=""),"Override URL missing; ","")&amp;IF(AND(K1497="Accept suggestion",N(G1497)&lt;$G$2),"Below your threshold; ","")&amp;IF(AND(M1497&lt;&gt;"",M1497=A1497,K1497&lt;&gt;"No change (same URL)"),"Redirects to itself; ","")&amp;IF(AND(M1497&lt;&gt;"",OR(M1497="/",AND(LEFT(M1497,4)="http",OR((LEN(M1497)-LEN(SUBSTITUTE(M1497,"/","")))=2,AND((LEN(M1497)-LEN(SUBSTITUTE(M1497,"/","")))=3,RIGHT(M1497,1)="/"))))),"Home page redirect; ","")&amp;IF(N(R1497)&gt;1,"Chain; ","")&amp;IF(S1497="No","Destination not 200; ","")))</f>
        <v/>
      </c>
      <c r="U1497" s="22" t="n"/>
      <c r="V1497" s="22" t="n"/>
      <c r="W1497" s="4" t="n"/>
    </row>
    <row r="1498">
      <c r="A1498" s="22" t="n"/>
      <c r="B1498" s="22" t="n"/>
      <c r="C1498" s="22" t="n"/>
      <c r="D1498" s="22">
        <f>IF(A1498="","",IF(OR(N(B1498)&gt;=$C$2,N(C1498)&gt;=$E$2),"High",IF(OR(N(B1498)&gt;0,N(C1498)&gt;0),"Medium","Low")))</f>
        <v/>
      </c>
      <c r="E1498" s="22" t="n"/>
      <c r="F1498" s="22" t="n"/>
      <c r="G1498" s="22" t="n"/>
      <c r="H1498" s="22" t="n"/>
      <c r="I1498" s="22" t="n"/>
      <c r="J1498" s="22" t="n"/>
      <c r="K1498" s="22" t="n"/>
      <c r="L1498" s="22" t="n"/>
      <c r="M1498" s="22">
        <f>IF(K1498="Override",L1498,IF(K1498="Accept suggestion",F1498,IF(K1498="No change (same URL)",A1498,"")))</f>
        <v/>
      </c>
      <c r="N1498" s="22">
        <f>IF(A1498="","",IF(K1498="410 Gone","410",IF(K1498="404","404",IF(K1498="No change (same URL)","none",IF(M1498="","","301")))))</f>
        <v/>
      </c>
      <c r="O1498" s="22">
        <f>IF(A1498="","",IFERROR(MID(A1498,FIND("/",A1498,FIND("//",A1498)+2),2000),A1498))</f>
        <v/>
      </c>
      <c r="P1498" s="22">
        <f>IF(OR(O1498="",N1498="",N1498="none",N1498="404"),"",IF(N1498="410","Redirect gone "&amp;O1498,"Redirect "&amp;N1498&amp;" "&amp;O1498&amp;" "&amp;M1498))</f>
        <v/>
      </c>
      <c r="Q1498" s="22" t="n"/>
      <c r="R1498" s="22" t="n"/>
      <c r="S1498" s="22" t="n"/>
      <c r="T1498" s="4">
        <f>IF(A1498="","",TRIM(IF(K1498="","Needs decision; ","")&amp;IF(AND(K1498="Accept suggestion",F1498=""),"No suggestion to accept; ","")&amp;IF(AND(K1498="Override",L1498=""),"Override URL missing; ","")&amp;IF(AND(K1498="Accept suggestion",N(G1498)&lt;$G$2),"Below your threshold; ","")&amp;IF(AND(M1498&lt;&gt;"",M1498=A1498,K1498&lt;&gt;"No change (same URL)"),"Redirects to itself; ","")&amp;IF(AND(M1498&lt;&gt;"",OR(M1498="/",AND(LEFT(M1498,4)="http",OR((LEN(M1498)-LEN(SUBSTITUTE(M1498,"/","")))=2,AND((LEN(M1498)-LEN(SUBSTITUTE(M1498,"/","")))=3,RIGHT(M1498,1)="/"))))),"Home page redirect; ","")&amp;IF(N(R1498)&gt;1,"Chain; ","")&amp;IF(S1498="No","Destination not 200; ","")))</f>
        <v/>
      </c>
      <c r="U1498" s="22" t="n"/>
      <c r="V1498" s="22" t="n"/>
      <c r="W1498" s="4" t="n"/>
    </row>
    <row r="1499">
      <c r="A1499" s="22" t="n"/>
      <c r="B1499" s="22" t="n"/>
      <c r="C1499" s="22" t="n"/>
      <c r="D1499" s="22">
        <f>IF(A1499="","",IF(OR(N(B1499)&gt;=$C$2,N(C1499)&gt;=$E$2),"High",IF(OR(N(B1499)&gt;0,N(C1499)&gt;0),"Medium","Low")))</f>
        <v/>
      </c>
      <c r="E1499" s="22" t="n"/>
      <c r="F1499" s="22" t="n"/>
      <c r="G1499" s="22" t="n"/>
      <c r="H1499" s="22" t="n"/>
      <c r="I1499" s="22" t="n"/>
      <c r="J1499" s="22" t="n"/>
      <c r="K1499" s="22" t="n"/>
      <c r="L1499" s="22" t="n"/>
      <c r="M1499" s="22">
        <f>IF(K1499="Override",L1499,IF(K1499="Accept suggestion",F1499,IF(K1499="No change (same URL)",A1499,"")))</f>
        <v/>
      </c>
      <c r="N1499" s="22">
        <f>IF(A1499="","",IF(K1499="410 Gone","410",IF(K1499="404","404",IF(K1499="No change (same URL)","none",IF(M1499="","","301")))))</f>
        <v/>
      </c>
      <c r="O1499" s="22">
        <f>IF(A1499="","",IFERROR(MID(A1499,FIND("/",A1499,FIND("//",A1499)+2),2000),A1499))</f>
        <v/>
      </c>
      <c r="P1499" s="22">
        <f>IF(OR(O1499="",N1499="",N1499="none",N1499="404"),"",IF(N1499="410","Redirect gone "&amp;O1499,"Redirect "&amp;N1499&amp;" "&amp;O1499&amp;" "&amp;M1499))</f>
        <v/>
      </c>
      <c r="Q1499" s="22" t="n"/>
      <c r="R1499" s="22" t="n"/>
      <c r="S1499" s="22" t="n"/>
      <c r="T1499" s="4">
        <f>IF(A1499="","",TRIM(IF(K1499="","Needs decision; ","")&amp;IF(AND(K1499="Accept suggestion",F1499=""),"No suggestion to accept; ","")&amp;IF(AND(K1499="Override",L1499=""),"Override URL missing; ","")&amp;IF(AND(K1499="Accept suggestion",N(G1499)&lt;$G$2),"Below your threshold; ","")&amp;IF(AND(M1499&lt;&gt;"",M1499=A1499,K1499&lt;&gt;"No change (same URL)"),"Redirects to itself; ","")&amp;IF(AND(M1499&lt;&gt;"",OR(M1499="/",AND(LEFT(M1499,4)="http",OR((LEN(M1499)-LEN(SUBSTITUTE(M1499,"/","")))=2,AND((LEN(M1499)-LEN(SUBSTITUTE(M1499,"/","")))=3,RIGHT(M1499,1)="/"))))),"Home page redirect; ","")&amp;IF(N(R1499)&gt;1,"Chain; ","")&amp;IF(S1499="No","Destination not 200; ","")))</f>
        <v/>
      </c>
      <c r="U1499" s="22" t="n"/>
      <c r="V1499" s="22" t="n"/>
      <c r="W1499" s="4" t="n"/>
    </row>
    <row r="1500">
      <c r="A1500" s="22" t="n"/>
      <c r="B1500" s="22" t="n"/>
      <c r="C1500" s="22" t="n"/>
      <c r="D1500" s="22">
        <f>IF(A1500="","",IF(OR(N(B1500)&gt;=$C$2,N(C1500)&gt;=$E$2),"High",IF(OR(N(B1500)&gt;0,N(C1500)&gt;0),"Medium","Low")))</f>
        <v/>
      </c>
      <c r="E1500" s="22" t="n"/>
      <c r="F1500" s="22" t="n"/>
      <c r="G1500" s="22" t="n"/>
      <c r="H1500" s="22" t="n"/>
      <c r="I1500" s="22" t="n"/>
      <c r="J1500" s="22" t="n"/>
      <c r="K1500" s="22" t="n"/>
      <c r="L1500" s="22" t="n"/>
      <c r="M1500" s="22">
        <f>IF(K1500="Override",L1500,IF(K1500="Accept suggestion",F1500,IF(K1500="No change (same URL)",A1500,"")))</f>
        <v/>
      </c>
      <c r="N1500" s="22">
        <f>IF(A1500="","",IF(K1500="410 Gone","410",IF(K1500="404","404",IF(K1500="No change (same URL)","none",IF(M1500="","","301")))))</f>
        <v/>
      </c>
      <c r="O1500" s="22">
        <f>IF(A1500="","",IFERROR(MID(A1500,FIND("/",A1500,FIND("//",A1500)+2),2000),A1500))</f>
        <v/>
      </c>
      <c r="P1500" s="22">
        <f>IF(OR(O1500="",N1500="",N1500="none",N1500="404"),"",IF(N1500="410","Redirect gone "&amp;O1500,"Redirect "&amp;N1500&amp;" "&amp;O1500&amp;" "&amp;M1500))</f>
        <v/>
      </c>
      <c r="Q1500" s="22" t="n"/>
      <c r="R1500" s="22" t="n"/>
      <c r="S1500" s="22" t="n"/>
      <c r="T1500" s="4">
        <f>IF(A1500="","",TRIM(IF(K1500="","Needs decision; ","")&amp;IF(AND(K1500="Accept suggestion",F1500=""),"No suggestion to accept; ","")&amp;IF(AND(K1500="Override",L1500=""),"Override URL missing; ","")&amp;IF(AND(K1500="Accept suggestion",N(G1500)&lt;$G$2),"Below your threshold; ","")&amp;IF(AND(M1500&lt;&gt;"",M1500=A1500,K1500&lt;&gt;"No change (same URL)"),"Redirects to itself; ","")&amp;IF(AND(M1500&lt;&gt;"",OR(M1500="/",AND(LEFT(M1500,4)="http",OR((LEN(M1500)-LEN(SUBSTITUTE(M1500,"/","")))=2,AND((LEN(M1500)-LEN(SUBSTITUTE(M1500,"/","")))=3,RIGHT(M1500,1)="/"))))),"Home page redirect; ","")&amp;IF(N(R1500)&gt;1,"Chain; ","")&amp;IF(S1500="No","Destination not 200; ","")))</f>
        <v/>
      </c>
      <c r="U1500" s="22" t="n"/>
      <c r="V1500" s="22" t="n"/>
      <c r="W1500" s="4" t="n"/>
    </row>
    <row r="1501">
      <c r="A1501" s="22" t="n"/>
      <c r="B1501" s="22" t="n"/>
      <c r="C1501" s="22" t="n"/>
      <c r="D1501" s="22">
        <f>IF(A1501="","",IF(OR(N(B1501)&gt;=$C$2,N(C1501)&gt;=$E$2),"High",IF(OR(N(B1501)&gt;0,N(C1501)&gt;0),"Medium","Low")))</f>
        <v/>
      </c>
      <c r="E1501" s="22" t="n"/>
      <c r="F1501" s="22" t="n"/>
      <c r="G1501" s="22" t="n"/>
      <c r="H1501" s="22" t="n"/>
      <c r="I1501" s="22" t="n"/>
      <c r="J1501" s="22" t="n"/>
      <c r="K1501" s="22" t="n"/>
      <c r="L1501" s="22" t="n"/>
      <c r="M1501" s="22">
        <f>IF(K1501="Override",L1501,IF(K1501="Accept suggestion",F1501,IF(K1501="No change (same URL)",A1501,"")))</f>
        <v/>
      </c>
      <c r="N1501" s="22">
        <f>IF(A1501="","",IF(K1501="410 Gone","410",IF(K1501="404","404",IF(K1501="No change (same URL)","none",IF(M1501="","","301")))))</f>
        <v/>
      </c>
      <c r="O1501" s="22">
        <f>IF(A1501="","",IFERROR(MID(A1501,FIND("/",A1501,FIND("//",A1501)+2),2000),A1501))</f>
        <v/>
      </c>
      <c r="P1501" s="22">
        <f>IF(OR(O1501="",N1501="",N1501="none",N1501="404"),"",IF(N1501="410","Redirect gone "&amp;O1501,"Redirect "&amp;N1501&amp;" "&amp;O1501&amp;" "&amp;M1501))</f>
        <v/>
      </c>
      <c r="Q1501" s="22" t="n"/>
      <c r="R1501" s="22" t="n"/>
      <c r="S1501" s="22" t="n"/>
      <c r="T1501" s="4">
        <f>IF(A1501="","",TRIM(IF(K1501="","Needs decision; ","")&amp;IF(AND(K1501="Accept suggestion",F1501=""),"No suggestion to accept; ","")&amp;IF(AND(K1501="Override",L1501=""),"Override URL missing; ","")&amp;IF(AND(K1501="Accept suggestion",N(G1501)&lt;$G$2),"Below your threshold; ","")&amp;IF(AND(M1501&lt;&gt;"",M1501=A1501,K1501&lt;&gt;"No change (same URL)"),"Redirects to itself; ","")&amp;IF(AND(M1501&lt;&gt;"",OR(M1501="/",AND(LEFT(M1501,4)="http",OR((LEN(M1501)-LEN(SUBSTITUTE(M1501,"/","")))=2,AND((LEN(M1501)-LEN(SUBSTITUTE(M1501,"/","")))=3,RIGHT(M1501,1)="/"))))),"Home page redirect; ","")&amp;IF(N(R1501)&gt;1,"Chain; ","")&amp;IF(S1501="No","Destination not 200; ","")))</f>
        <v/>
      </c>
      <c r="U1501" s="22" t="n"/>
      <c r="V1501" s="22" t="n"/>
      <c r="W1501" s="4" t="n"/>
    </row>
    <row r="1502">
      <c r="A1502" s="22" t="n"/>
      <c r="B1502" s="22" t="n"/>
      <c r="C1502" s="22" t="n"/>
      <c r="D1502" s="22">
        <f>IF(A1502="","",IF(OR(N(B1502)&gt;=$C$2,N(C1502)&gt;=$E$2),"High",IF(OR(N(B1502)&gt;0,N(C1502)&gt;0),"Medium","Low")))</f>
        <v/>
      </c>
      <c r="E1502" s="22" t="n"/>
      <c r="F1502" s="22" t="n"/>
      <c r="G1502" s="22" t="n"/>
      <c r="H1502" s="22" t="n"/>
      <c r="I1502" s="22" t="n"/>
      <c r="J1502" s="22" t="n"/>
      <c r="K1502" s="22" t="n"/>
      <c r="L1502" s="22" t="n"/>
      <c r="M1502" s="22">
        <f>IF(K1502="Override",L1502,IF(K1502="Accept suggestion",F1502,IF(K1502="No change (same URL)",A1502,"")))</f>
        <v/>
      </c>
      <c r="N1502" s="22">
        <f>IF(A1502="","",IF(K1502="410 Gone","410",IF(K1502="404","404",IF(K1502="No change (same URL)","none",IF(M1502="","","301")))))</f>
        <v/>
      </c>
      <c r="O1502" s="22">
        <f>IF(A1502="","",IFERROR(MID(A1502,FIND("/",A1502,FIND("//",A1502)+2),2000),A1502))</f>
        <v/>
      </c>
      <c r="P1502" s="22">
        <f>IF(OR(O1502="",N1502="",N1502="none",N1502="404"),"",IF(N1502="410","Redirect gone "&amp;O1502,"Redirect "&amp;N1502&amp;" "&amp;O1502&amp;" "&amp;M1502))</f>
        <v/>
      </c>
      <c r="Q1502" s="22" t="n"/>
      <c r="R1502" s="22" t="n"/>
      <c r="S1502" s="22" t="n"/>
      <c r="T1502" s="4">
        <f>IF(A1502="","",TRIM(IF(K1502="","Needs decision; ","")&amp;IF(AND(K1502="Accept suggestion",F1502=""),"No suggestion to accept; ","")&amp;IF(AND(K1502="Override",L1502=""),"Override URL missing; ","")&amp;IF(AND(K1502="Accept suggestion",N(G1502)&lt;$G$2),"Below your threshold; ","")&amp;IF(AND(M1502&lt;&gt;"",M1502=A1502,K1502&lt;&gt;"No change (same URL)"),"Redirects to itself; ","")&amp;IF(AND(M1502&lt;&gt;"",OR(M1502="/",AND(LEFT(M1502,4)="http",OR((LEN(M1502)-LEN(SUBSTITUTE(M1502,"/","")))=2,AND((LEN(M1502)-LEN(SUBSTITUTE(M1502,"/","")))=3,RIGHT(M1502,1)="/"))))),"Home page redirect; ","")&amp;IF(N(R1502)&gt;1,"Chain; ","")&amp;IF(S1502="No","Destination not 200; ","")))</f>
        <v/>
      </c>
      <c r="U1502" s="22" t="n"/>
      <c r="V1502" s="22" t="n"/>
      <c r="W1502" s="4" t="n"/>
    </row>
    <row r="1503">
      <c r="A1503" s="22" t="n"/>
      <c r="B1503" s="22" t="n"/>
      <c r="C1503" s="22" t="n"/>
      <c r="D1503" s="22">
        <f>IF(A1503="","",IF(OR(N(B1503)&gt;=$C$2,N(C1503)&gt;=$E$2),"High",IF(OR(N(B1503)&gt;0,N(C1503)&gt;0),"Medium","Low")))</f>
        <v/>
      </c>
      <c r="E1503" s="22" t="n"/>
      <c r="F1503" s="22" t="n"/>
      <c r="G1503" s="22" t="n"/>
      <c r="H1503" s="22" t="n"/>
      <c r="I1503" s="22" t="n"/>
      <c r="J1503" s="22" t="n"/>
      <c r="K1503" s="22" t="n"/>
      <c r="L1503" s="22" t="n"/>
      <c r="M1503" s="22">
        <f>IF(K1503="Override",L1503,IF(K1503="Accept suggestion",F1503,IF(K1503="No change (same URL)",A1503,"")))</f>
        <v/>
      </c>
      <c r="N1503" s="22">
        <f>IF(A1503="","",IF(K1503="410 Gone","410",IF(K1503="404","404",IF(K1503="No change (same URL)","none",IF(M1503="","","301")))))</f>
        <v/>
      </c>
      <c r="O1503" s="22">
        <f>IF(A1503="","",IFERROR(MID(A1503,FIND("/",A1503,FIND("//",A1503)+2),2000),A1503))</f>
        <v/>
      </c>
      <c r="P1503" s="22">
        <f>IF(OR(O1503="",N1503="",N1503="none",N1503="404"),"",IF(N1503="410","Redirect gone "&amp;O1503,"Redirect "&amp;N1503&amp;" "&amp;O1503&amp;" "&amp;M1503))</f>
        <v/>
      </c>
      <c r="Q1503" s="22" t="n"/>
      <c r="R1503" s="22" t="n"/>
      <c r="S1503" s="22" t="n"/>
      <c r="T1503" s="4">
        <f>IF(A1503="","",TRIM(IF(K1503="","Needs decision; ","")&amp;IF(AND(K1503="Accept suggestion",F1503=""),"No suggestion to accept; ","")&amp;IF(AND(K1503="Override",L1503=""),"Override URL missing; ","")&amp;IF(AND(K1503="Accept suggestion",N(G1503)&lt;$G$2),"Below your threshold; ","")&amp;IF(AND(M1503&lt;&gt;"",M1503=A1503,K1503&lt;&gt;"No change (same URL)"),"Redirects to itself; ","")&amp;IF(AND(M1503&lt;&gt;"",OR(M1503="/",AND(LEFT(M1503,4)="http",OR((LEN(M1503)-LEN(SUBSTITUTE(M1503,"/","")))=2,AND((LEN(M1503)-LEN(SUBSTITUTE(M1503,"/","")))=3,RIGHT(M1503,1)="/"))))),"Home page redirect; ","")&amp;IF(N(R1503)&gt;1,"Chain; ","")&amp;IF(S1503="No","Destination not 200; ","")))</f>
        <v/>
      </c>
      <c r="U1503" s="22" t="n"/>
      <c r="V1503" s="22" t="n"/>
      <c r="W1503" s="4" t="n"/>
    </row>
    <row r="1504">
      <c r="A1504" s="22" t="n"/>
      <c r="B1504" s="22" t="n"/>
      <c r="C1504" s="22" t="n"/>
      <c r="D1504" s="22">
        <f>IF(A1504="","",IF(OR(N(B1504)&gt;=$C$2,N(C1504)&gt;=$E$2),"High",IF(OR(N(B1504)&gt;0,N(C1504)&gt;0),"Medium","Low")))</f>
        <v/>
      </c>
      <c r="E1504" s="22" t="n"/>
      <c r="F1504" s="22" t="n"/>
      <c r="G1504" s="22" t="n"/>
      <c r="H1504" s="22" t="n"/>
      <c r="I1504" s="22" t="n"/>
      <c r="J1504" s="22" t="n"/>
      <c r="K1504" s="22" t="n"/>
      <c r="L1504" s="22" t="n"/>
      <c r="M1504" s="22">
        <f>IF(K1504="Override",L1504,IF(K1504="Accept suggestion",F1504,IF(K1504="No change (same URL)",A1504,"")))</f>
        <v/>
      </c>
      <c r="N1504" s="22">
        <f>IF(A1504="","",IF(K1504="410 Gone","410",IF(K1504="404","404",IF(K1504="No change (same URL)","none",IF(M1504="","","301")))))</f>
        <v/>
      </c>
      <c r="O1504" s="22">
        <f>IF(A1504="","",IFERROR(MID(A1504,FIND("/",A1504,FIND("//",A1504)+2),2000),A1504))</f>
        <v/>
      </c>
      <c r="P1504" s="22">
        <f>IF(OR(O1504="",N1504="",N1504="none",N1504="404"),"",IF(N1504="410","Redirect gone "&amp;O1504,"Redirect "&amp;N1504&amp;" "&amp;O1504&amp;" "&amp;M1504))</f>
        <v/>
      </c>
      <c r="Q1504" s="22" t="n"/>
      <c r="R1504" s="22" t="n"/>
      <c r="S1504" s="22" t="n"/>
      <c r="T1504" s="4">
        <f>IF(A1504="","",TRIM(IF(K1504="","Needs decision; ","")&amp;IF(AND(K1504="Accept suggestion",F1504=""),"No suggestion to accept; ","")&amp;IF(AND(K1504="Override",L1504=""),"Override URL missing; ","")&amp;IF(AND(K1504="Accept suggestion",N(G1504)&lt;$G$2),"Below your threshold; ","")&amp;IF(AND(M1504&lt;&gt;"",M1504=A1504,K1504&lt;&gt;"No change (same URL)"),"Redirects to itself; ","")&amp;IF(AND(M1504&lt;&gt;"",OR(M1504="/",AND(LEFT(M1504,4)="http",OR((LEN(M1504)-LEN(SUBSTITUTE(M1504,"/","")))=2,AND((LEN(M1504)-LEN(SUBSTITUTE(M1504,"/","")))=3,RIGHT(M1504,1)="/"))))),"Home page redirect; ","")&amp;IF(N(R1504)&gt;1,"Chain; ","")&amp;IF(S1504="No","Destination not 200; ","")))</f>
        <v/>
      </c>
      <c r="U1504" s="22" t="n"/>
      <c r="V1504" s="22" t="n"/>
      <c r="W1504" s="4" t="n"/>
    </row>
    <row r="1505">
      <c r="A1505" s="22" t="n"/>
      <c r="B1505" s="22" t="n"/>
      <c r="C1505" s="22" t="n"/>
      <c r="D1505" s="22">
        <f>IF(A1505="","",IF(OR(N(B1505)&gt;=$C$2,N(C1505)&gt;=$E$2),"High",IF(OR(N(B1505)&gt;0,N(C1505)&gt;0),"Medium","Low")))</f>
        <v/>
      </c>
      <c r="E1505" s="22" t="n"/>
      <c r="F1505" s="22" t="n"/>
      <c r="G1505" s="22" t="n"/>
      <c r="H1505" s="22" t="n"/>
      <c r="I1505" s="22" t="n"/>
      <c r="J1505" s="22" t="n"/>
      <c r="K1505" s="22" t="n"/>
      <c r="L1505" s="22" t="n"/>
      <c r="M1505" s="22">
        <f>IF(K1505="Override",L1505,IF(K1505="Accept suggestion",F1505,IF(K1505="No change (same URL)",A1505,"")))</f>
        <v/>
      </c>
      <c r="N1505" s="22">
        <f>IF(A1505="","",IF(K1505="410 Gone","410",IF(K1505="404","404",IF(K1505="No change (same URL)","none",IF(M1505="","","301")))))</f>
        <v/>
      </c>
      <c r="O1505" s="22">
        <f>IF(A1505="","",IFERROR(MID(A1505,FIND("/",A1505,FIND("//",A1505)+2),2000),A1505))</f>
        <v/>
      </c>
      <c r="P1505" s="22">
        <f>IF(OR(O1505="",N1505="",N1505="none",N1505="404"),"",IF(N1505="410","Redirect gone "&amp;O1505,"Redirect "&amp;N1505&amp;" "&amp;O1505&amp;" "&amp;M1505))</f>
        <v/>
      </c>
      <c r="Q1505" s="22" t="n"/>
      <c r="R1505" s="22" t="n"/>
      <c r="S1505" s="22" t="n"/>
      <c r="T1505" s="4">
        <f>IF(A1505="","",TRIM(IF(K1505="","Needs decision; ","")&amp;IF(AND(K1505="Accept suggestion",F1505=""),"No suggestion to accept; ","")&amp;IF(AND(K1505="Override",L1505=""),"Override URL missing; ","")&amp;IF(AND(K1505="Accept suggestion",N(G1505)&lt;$G$2),"Below your threshold; ","")&amp;IF(AND(M1505&lt;&gt;"",M1505=A1505,K1505&lt;&gt;"No change (same URL)"),"Redirects to itself; ","")&amp;IF(AND(M1505&lt;&gt;"",OR(M1505="/",AND(LEFT(M1505,4)="http",OR((LEN(M1505)-LEN(SUBSTITUTE(M1505,"/","")))=2,AND((LEN(M1505)-LEN(SUBSTITUTE(M1505,"/","")))=3,RIGHT(M1505,1)="/"))))),"Home page redirect; ","")&amp;IF(N(R1505)&gt;1,"Chain; ","")&amp;IF(S1505="No","Destination not 200; ","")))</f>
        <v/>
      </c>
      <c r="U1505" s="22" t="n"/>
      <c r="V1505" s="22" t="n"/>
      <c r="W1505" s="4" t="n"/>
    </row>
    <row r="1506">
      <c r="A1506" s="22" t="n"/>
      <c r="B1506" s="22" t="n"/>
      <c r="C1506" s="22" t="n"/>
      <c r="D1506" s="22">
        <f>IF(A1506="","",IF(OR(N(B1506)&gt;=$C$2,N(C1506)&gt;=$E$2),"High",IF(OR(N(B1506)&gt;0,N(C1506)&gt;0),"Medium","Low")))</f>
        <v/>
      </c>
      <c r="E1506" s="22" t="n"/>
      <c r="F1506" s="22" t="n"/>
      <c r="G1506" s="22" t="n"/>
      <c r="H1506" s="22" t="n"/>
      <c r="I1506" s="22" t="n"/>
      <c r="J1506" s="22" t="n"/>
      <c r="K1506" s="22" t="n"/>
      <c r="L1506" s="22" t="n"/>
      <c r="M1506" s="22">
        <f>IF(K1506="Override",L1506,IF(K1506="Accept suggestion",F1506,IF(K1506="No change (same URL)",A1506,"")))</f>
        <v/>
      </c>
      <c r="N1506" s="22">
        <f>IF(A1506="","",IF(K1506="410 Gone","410",IF(K1506="404","404",IF(K1506="No change (same URL)","none",IF(M1506="","","301")))))</f>
        <v/>
      </c>
      <c r="O1506" s="22">
        <f>IF(A1506="","",IFERROR(MID(A1506,FIND("/",A1506,FIND("//",A1506)+2),2000),A1506))</f>
        <v/>
      </c>
      <c r="P1506" s="22">
        <f>IF(OR(O1506="",N1506="",N1506="none",N1506="404"),"",IF(N1506="410","Redirect gone "&amp;O1506,"Redirect "&amp;N1506&amp;" "&amp;O1506&amp;" "&amp;M1506))</f>
        <v/>
      </c>
      <c r="Q1506" s="22" t="n"/>
      <c r="R1506" s="22" t="n"/>
      <c r="S1506" s="22" t="n"/>
      <c r="T1506" s="4">
        <f>IF(A1506="","",TRIM(IF(K1506="","Needs decision; ","")&amp;IF(AND(K1506="Accept suggestion",F1506=""),"No suggestion to accept; ","")&amp;IF(AND(K1506="Override",L1506=""),"Override URL missing; ","")&amp;IF(AND(K1506="Accept suggestion",N(G1506)&lt;$G$2),"Below your threshold; ","")&amp;IF(AND(M1506&lt;&gt;"",M1506=A1506,K1506&lt;&gt;"No change (same URL)"),"Redirects to itself; ","")&amp;IF(AND(M1506&lt;&gt;"",OR(M1506="/",AND(LEFT(M1506,4)="http",OR((LEN(M1506)-LEN(SUBSTITUTE(M1506,"/","")))=2,AND((LEN(M1506)-LEN(SUBSTITUTE(M1506,"/","")))=3,RIGHT(M1506,1)="/"))))),"Home page redirect; ","")&amp;IF(N(R1506)&gt;1,"Chain; ","")&amp;IF(S1506="No","Destination not 200; ","")))</f>
        <v/>
      </c>
      <c r="U1506" s="22" t="n"/>
      <c r="V1506" s="22" t="n"/>
      <c r="W1506" s="4" t="n"/>
    </row>
    <row r="1507">
      <c r="A1507" s="22" t="n"/>
      <c r="B1507" s="22" t="n"/>
      <c r="C1507" s="22" t="n"/>
      <c r="D1507" s="22">
        <f>IF(A1507="","",IF(OR(N(B1507)&gt;=$C$2,N(C1507)&gt;=$E$2),"High",IF(OR(N(B1507)&gt;0,N(C1507)&gt;0),"Medium","Low")))</f>
        <v/>
      </c>
      <c r="E1507" s="22" t="n"/>
      <c r="F1507" s="22" t="n"/>
      <c r="G1507" s="22" t="n"/>
      <c r="H1507" s="22" t="n"/>
      <c r="I1507" s="22" t="n"/>
      <c r="J1507" s="22" t="n"/>
      <c r="K1507" s="22" t="n"/>
      <c r="L1507" s="22" t="n"/>
      <c r="M1507" s="22">
        <f>IF(K1507="Override",L1507,IF(K1507="Accept suggestion",F1507,IF(K1507="No change (same URL)",A1507,"")))</f>
        <v/>
      </c>
      <c r="N1507" s="22">
        <f>IF(A1507="","",IF(K1507="410 Gone","410",IF(K1507="404","404",IF(K1507="No change (same URL)","none",IF(M1507="","","301")))))</f>
        <v/>
      </c>
      <c r="O1507" s="22">
        <f>IF(A1507="","",IFERROR(MID(A1507,FIND("/",A1507,FIND("//",A1507)+2),2000),A1507))</f>
        <v/>
      </c>
      <c r="P1507" s="22">
        <f>IF(OR(O1507="",N1507="",N1507="none",N1507="404"),"",IF(N1507="410","Redirect gone "&amp;O1507,"Redirect "&amp;N1507&amp;" "&amp;O1507&amp;" "&amp;M1507))</f>
        <v/>
      </c>
      <c r="Q1507" s="22" t="n"/>
      <c r="R1507" s="22" t="n"/>
      <c r="S1507" s="22" t="n"/>
      <c r="T1507" s="4">
        <f>IF(A1507="","",TRIM(IF(K1507="","Needs decision; ","")&amp;IF(AND(K1507="Accept suggestion",F1507=""),"No suggestion to accept; ","")&amp;IF(AND(K1507="Override",L1507=""),"Override URL missing; ","")&amp;IF(AND(K1507="Accept suggestion",N(G1507)&lt;$G$2),"Below your threshold; ","")&amp;IF(AND(M1507&lt;&gt;"",M1507=A1507,K1507&lt;&gt;"No change (same URL)"),"Redirects to itself; ","")&amp;IF(AND(M1507&lt;&gt;"",OR(M1507="/",AND(LEFT(M1507,4)="http",OR((LEN(M1507)-LEN(SUBSTITUTE(M1507,"/","")))=2,AND((LEN(M1507)-LEN(SUBSTITUTE(M1507,"/","")))=3,RIGHT(M1507,1)="/"))))),"Home page redirect; ","")&amp;IF(N(R1507)&gt;1,"Chain; ","")&amp;IF(S1507="No","Destination not 200; ","")))</f>
        <v/>
      </c>
      <c r="U1507" s="22" t="n"/>
      <c r="V1507" s="22" t="n"/>
      <c r="W1507" s="4" t="n"/>
    </row>
    <row r="1508">
      <c r="A1508" s="22" t="n"/>
      <c r="B1508" s="22" t="n"/>
      <c r="C1508" s="22" t="n"/>
      <c r="D1508" s="22">
        <f>IF(A1508="","",IF(OR(N(B1508)&gt;=$C$2,N(C1508)&gt;=$E$2),"High",IF(OR(N(B1508)&gt;0,N(C1508)&gt;0),"Medium","Low")))</f>
        <v/>
      </c>
      <c r="E1508" s="22" t="n"/>
      <c r="F1508" s="22" t="n"/>
      <c r="G1508" s="22" t="n"/>
      <c r="H1508" s="22" t="n"/>
      <c r="I1508" s="22" t="n"/>
      <c r="J1508" s="22" t="n"/>
      <c r="K1508" s="22" t="n"/>
      <c r="L1508" s="22" t="n"/>
      <c r="M1508" s="22">
        <f>IF(K1508="Override",L1508,IF(K1508="Accept suggestion",F1508,IF(K1508="No change (same URL)",A1508,"")))</f>
        <v/>
      </c>
      <c r="N1508" s="22">
        <f>IF(A1508="","",IF(K1508="410 Gone","410",IF(K1508="404","404",IF(K1508="No change (same URL)","none",IF(M1508="","","301")))))</f>
        <v/>
      </c>
      <c r="O1508" s="22">
        <f>IF(A1508="","",IFERROR(MID(A1508,FIND("/",A1508,FIND("//",A1508)+2),2000),A1508))</f>
        <v/>
      </c>
      <c r="P1508" s="22">
        <f>IF(OR(O1508="",N1508="",N1508="none",N1508="404"),"",IF(N1508="410","Redirect gone "&amp;O1508,"Redirect "&amp;N1508&amp;" "&amp;O1508&amp;" "&amp;M1508))</f>
        <v/>
      </c>
      <c r="Q1508" s="22" t="n"/>
      <c r="R1508" s="22" t="n"/>
      <c r="S1508" s="22" t="n"/>
      <c r="T1508" s="4">
        <f>IF(A1508="","",TRIM(IF(K1508="","Needs decision; ","")&amp;IF(AND(K1508="Accept suggestion",F1508=""),"No suggestion to accept; ","")&amp;IF(AND(K1508="Override",L1508=""),"Override URL missing; ","")&amp;IF(AND(K1508="Accept suggestion",N(G1508)&lt;$G$2),"Below your threshold; ","")&amp;IF(AND(M1508&lt;&gt;"",M1508=A1508,K1508&lt;&gt;"No change (same URL)"),"Redirects to itself; ","")&amp;IF(AND(M1508&lt;&gt;"",OR(M1508="/",AND(LEFT(M1508,4)="http",OR((LEN(M1508)-LEN(SUBSTITUTE(M1508,"/","")))=2,AND((LEN(M1508)-LEN(SUBSTITUTE(M1508,"/","")))=3,RIGHT(M1508,1)="/"))))),"Home page redirect; ","")&amp;IF(N(R1508)&gt;1,"Chain; ","")&amp;IF(S1508="No","Destination not 200; ","")))</f>
        <v/>
      </c>
      <c r="U1508" s="22" t="n"/>
      <c r="V1508" s="22" t="n"/>
      <c r="W1508" s="4" t="n"/>
    </row>
    <row r="1509">
      <c r="A1509" s="22" t="n"/>
      <c r="B1509" s="22" t="n"/>
      <c r="C1509" s="22" t="n"/>
      <c r="D1509" s="22">
        <f>IF(A1509="","",IF(OR(N(B1509)&gt;=$C$2,N(C1509)&gt;=$E$2),"High",IF(OR(N(B1509)&gt;0,N(C1509)&gt;0),"Medium","Low")))</f>
        <v/>
      </c>
      <c r="E1509" s="22" t="n"/>
      <c r="F1509" s="22" t="n"/>
      <c r="G1509" s="22" t="n"/>
      <c r="H1509" s="22" t="n"/>
      <c r="I1509" s="22" t="n"/>
      <c r="J1509" s="22" t="n"/>
      <c r="K1509" s="22" t="n"/>
      <c r="L1509" s="22" t="n"/>
      <c r="M1509" s="22">
        <f>IF(K1509="Override",L1509,IF(K1509="Accept suggestion",F1509,IF(K1509="No change (same URL)",A1509,"")))</f>
        <v/>
      </c>
      <c r="N1509" s="22">
        <f>IF(A1509="","",IF(K1509="410 Gone","410",IF(K1509="404","404",IF(K1509="No change (same URL)","none",IF(M1509="","","301")))))</f>
        <v/>
      </c>
      <c r="O1509" s="22">
        <f>IF(A1509="","",IFERROR(MID(A1509,FIND("/",A1509,FIND("//",A1509)+2),2000),A1509))</f>
        <v/>
      </c>
      <c r="P1509" s="22">
        <f>IF(OR(O1509="",N1509="",N1509="none",N1509="404"),"",IF(N1509="410","Redirect gone "&amp;O1509,"Redirect "&amp;N1509&amp;" "&amp;O1509&amp;" "&amp;M1509))</f>
        <v/>
      </c>
      <c r="Q1509" s="22" t="n"/>
      <c r="R1509" s="22" t="n"/>
      <c r="S1509" s="22" t="n"/>
      <c r="T1509" s="4">
        <f>IF(A1509="","",TRIM(IF(K1509="","Needs decision; ","")&amp;IF(AND(K1509="Accept suggestion",F1509=""),"No suggestion to accept; ","")&amp;IF(AND(K1509="Override",L1509=""),"Override URL missing; ","")&amp;IF(AND(K1509="Accept suggestion",N(G1509)&lt;$G$2),"Below your threshold; ","")&amp;IF(AND(M1509&lt;&gt;"",M1509=A1509,K1509&lt;&gt;"No change (same URL)"),"Redirects to itself; ","")&amp;IF(AND(M1509&lt;&gt;"",OR(M1509="/",AND(LEFT(M1509,4)="http",OR((LEN(M1509)-LEN(SUBSTITUTE(M1509,"/","")))=2,AND((LEN(M1509)-LEN(SUBSTITUTE(M1509,"/","")))=3,RIGHT(M1509,1)="/"))))),"Home page redirect; ","")&amp;IF(N(R1509)&gt;1,"Chain; ","")&amp;IF(S1509="No","Destination not 200; ","")))</f>
        <v/>
      </c>
      <c r="U1509" s="22" t="n"/>
      <c r="V1509" s="22" t="n"/>
      <c r="W1509" s="4" t="n"/>
    </row>
    <row r="1510">
      <c r="A1510" s="22" t="n"/>
      <c r="B1510" s="22" t="n"/>
      <c r="C1510" s="22" t="n"/>
      <c r="D1510" s="22">
        <f>IF(A1510="","",IF(OR(N(B1510)&gt;=$C$2,N(C1510)&gt;=$E$2),"High",IF(OR(N(B1510)&gt;0,N(C1510)&gt;0),"Medium","Low")))</f>
        <v/>
      </c>
      <c r="E1510" s="22" t="n"/>
      <c r="F1510" s="22" t="n"/>
      <c r="G1510" s="22" t="n"/>
      <c r="H1510" s="22" t="n"/>
      <c r="I1510" s="22" t="n"/>
      <c r="J1510" s="22" t="n"/>
      <c r="K1510" s="22" t="n"/>
      <c r="L1510" s="22" t="n"/>
      <c r="M1510" s="22">
        <f>IF(K1510="Override",L1510,IF(K1510="Accept suggestion",F1510,IF(K1510="No change (same URL)",A1510,"")))</f>
        <v/>
      </c>
      <c r="N1510" s="22">
        <f>IF(A1510="","",IF(K1510="410 Gone","410",IF(K1510="404","404",IF(K1510="No change (same URL)","none",IF(M1510="","","301")))))</f>
        <v/>
      </c>
      <c r="O1510" s="22">
        <f>IF(A1510="","",IFERROR(MID(A1510,FIND("/",A1510,FIND("//",A1510)+2),2000),A1510))</f>
        <v/>
      </c>
      <c r="P1510" s="22">
        <f>IF(OR(O1510="",N1510="",N1510="none",N1510="404"),"",IF(N1510="410","Redirect gone "&amp;O1510,"Redirect "&amp;N1510&amp;" "&amp;O1510&amp;" "&amp;M1510))</f>
        <v/>
      </c>
      <c r="Q1510" s="22" t="n"/>
      <c r="R1510" s="22" t="n"/>
      <c r="S1510" s="22" t="n"/>
      <c r="T1510" s="4">
        <f>IF(A1510="","",TRIM(IF(K1510="","Needs decision; ","")&amp;IF(AND(K1510="Accept suggestion",F1510=""),"No suggestion to accept; ","")&amp;IF(AND(K1510="Override",L1510=""),"Override URL missing; ","")&amp;IF(AND(K1510="Accept suggestion",N(G1510)&lt;$G$2),"Below your threshold; ","")&amp;IF(AND(M1510&lt;&gt;"",M1510=A1510,K1510&lt;&gt;"No change (same URL)"),"Redirects to itself; ","")&amp;IF(AND(M1510&lt;&gt;"",OR(M1510="/",AND(LEFT(M1510,4)="http",OR((LEN(M1510)-LEN(SUBSTITUTE(M1510,"/","")))=2,AND((LEN(M1510)-LEN(SUBSTITUTE(M1510,"/","")))=3,RIGHT(M1510,1)="/"))))),"Home page redirect; ","")&amp;IF(N(R1510)&gt;1,"Chain; ","")&amp;IF(S1510="No","Destination not 200; ","")))</f>
        <v/>
      </c>
      <c r="U1510" s="22" t="n"/>
      <c r="V1510" s="22" t="n"/>
      <c r="W1510" s="4" t="n"/>
    </row>
    <row r="1511">
      <c r="A1511" s="22" t="n"/>
      <c r="B1511" s="22" t="n"/>
      <c r="C1511" s="22" t="n"/>
      <c r="D1511" s="22">
        <f>IF(A1511="","",IF(OR(N(B1511)&gt;=$C$2,N(C1511)&gt;=$E$2),"High",IF(OR(N(B1511)&gt;0,N(C1511)&gt;0),"Medium","Low")))</f>
        <v/>
      </c>
      <c r="E1511" s="22" t="n"/>
      <c r="F1511" s="22" t="n"/>
      <c r="G1511" s="22" t="n"/>
      <c r="H1511" s="22" t="n"/>
      <c r="I1511" s="22" t="n"/>
      <c r="J1511" s="22" t="n"/>
      <c r="K1511" s="22" t="n"/>
      <c r="L1511" s="22" t="n"/>
      <c r="M1511" s="22">
        <f>IF(K1511="Override",L1511,IF(K1511="Accept suggestion",F1511,IF(K1511="No change (same URL)",A1511,"")))</f>
        <v/>
      </c>
      <c r="N1511" s="22">
        <f>IF(A1511="","",IF(K1511="410 Gone","410",IF(K1511="404","404",IF(K1511="No change (same URL)","none",IF(M1511="","","301")))))</f>
        <v/>
      </c>
      <c r="O1511" s="22">
        <f>IF(A1511="","",IFERROR(MID(A1511,FIND("/",A1511,FIND("//",A1511)+2),2000),A1511))</f>
        <v/>
      </c>
      <c r="P1511" s="22">
        <f>IF(OR(O1511="",N1511="",N1511="none",N1511="404"),"",IF(N1511="410","Redirect gone "&amp;O1511,"Redirect "&amp;N1511&amp;" "&amp;O1511&amp;" "&amp;M1511))</f>
        <v/>
      </c>
      <c r="Q1511" s="22" t="n"/>
      <c r="R1511" s="22" t="n"/>
      <c r="S1511" s="22" t="n"/>
      <c r="T1511" s="4">
        <f>IF(A1511="","",TRIM(IF(K1511="","Needs decision; ","")&amp;IF(AND(K1511="Accept suggestion",F1511=""),"No suggestion to accept; ","")&amp;IF(AND(K1511="Override",L1511=""),"Override URL missing; ","")&amp;IF(AND(K1511="Accept suggestion",N(G1511)&lt;$G$2),"Below your threshold; ","")&amp;IF(AND(M1511&lt;&gt;"",M1511=A1511,K1511&lt;&gt;"No change (same URL)"),"Redirects to itself; ","")&amp;IF(AND(M1511&lt;&gt;"",OR(M1511="/",AND(LEFT(M1511,4)="http",OR((LEN(M1511)-LEN(SUBSTITUTE(M1511,"/","")))=2,AND((LEN(M1511)-LEN(SUBSTITUTE(M1511,"/","")))=3,RIGHT(M1511,1)="/"))))),"Home page redirect; ","")&amp;IF(N(R1511)&gt;1,"Chain; ","")&amp;IF(S1511="No","Destination not 200; ","")))</f>
        <v/>
      </c>
      <c r="U1511" s="22" t="n"/>
      <c r="V1511" s="22" t="n"/>
      <c r="W1511" s="4" t="n"/>
    </row>
    <row r="1512">
      <c r="A1512" s="22" t="n"/>
      <c r="B1512" s="22" t="n"/>
      <c r="C1512" s="22" t="n"/>
      <c r="D1512" s="22">
        <f>IF(A1512="","",IF(OR(N(B1512)&gt;=$C$2,N(C1512)&gt;=$E$2),"High",IF(OR(N(B1512)&gt;0,N(C1512)&gt;0),"Medium","Low")))</f>
        <v/>
      </c>
      <c r="E1512" s="22" t="n"/>
      <c r="F1512" s="22" t="n"/>
      <c r="G1512" s="22" t="n"/>
      <c r="H1512" s="22" t="n"/>
      <c r="I1512" s="22" t="n"/>
      <c r="J1512" s="22" t="n"/>
      <c r="K1512" s="22" t="n"/>
      <c r="L1512" s="22" t="n"/>
      <c r="M1512" s="22">
        <f>IF(K1512="Override",L1512,IF(K1512="Accept suggestion",F1512,IF(K1512="No change (same URL)",A1512,"")))</f>
        <v/>
      </c>
      <c r="N1512" s="22">
        <f>IF(A1512="","",IF(K1512="410 Gone","410",IF(K1512="404","404",IF(K1512="No change (same URL)","none",IF(M1512="","","301")))))</f>
        <v/>
      </c>
      <c r="O1512" s="22">
        <f>IF(A1512="","",IFERROR(MID(A1512,FIND("/",A1512,FIND("//",A1512)+2),2000),A1512))</f>
        <v/>
      </c>
      <c r="P1512" s="22">
        <f>IF(OR(O1512="",N1512="",N1512="none",N1512="404"),"",IF(N1512="410","Redirect gone "&amp;O1512,"Redirect "&amp;N1512&amp;" "&amp;O1512&amp;" "&amp;M1512))</f>
        <v/>
      </c>
      <c r="Q1512" s="22" t="n"/>
      <c r="R1512" s="22" t="n"/>
      <c r="S1512" s="22" t="n"/>
      <c r="T1512" s="4">
        <f>IF(A1512="","",TRIM(IF(K1512="","Needs decision; ","")&amp;IF(AND(K1512="Accept suggestion",F1512=""),"No suggestion to accept; ","")&amp;IF(AND(K1512="Override",L1512=""),"Override URL missing; ","")&amp;IF(AND(K1512="Accept suggestion",N(G1512)&lt;$G$2),"Below your threshold; ","")&amp;IF(AND(M1512&lt;&gt;"",M1512=A1512,K1512&lt;&gt;"No change (same URL)"),"Redirects to itself; ","")&amp;IF(AND(M1512&lt;&gt;"",OR(M1512="/",AND(LEFT(M1512,4)="http",OR((LEN(M1512)-LEN(SUBSTITUTE(M1512,"/","")))=2,AND((LEN(M1512)-LEN(SUBSTITUTE(M1512,"/","")))=3,RIGHT(M1512,1)="/"))))),"Home page redirect; ","")&amp;IF(N(R1512)&gt;1,"Chain; ","")&amp;IF(S1512="No","Destination not 200; ","")))</f>
        <v/>
      </c>
      <c r="U1512" s="22" t="n"/>
      <c r="V1512" s="22" t="n"/>
      <c r="W1512" s="4" t="n"/>
    </row>
    <row r="1513">
      <c r="A1513" s="22" t="n"/>
      <c r="B1513" s="22" t="n"/>
      <c r="C1513" s="22" t="n"/>
      <c r="D1513" s="22">
        <f>IF(A1513="","",IF(OR(N(B1513)&gt;=$C$2,N(C1513)&gt;=$E$2),"High",IF(OR(N(B1513)&gt;0,N(C1513)&gt;0),"Medium","Low")))</f>
        <v/>
      </c>
      <c r="E1513" s="22" t="n"/>
      <c r="F1513" s="22" t="n"/>
      <c r="G1513" s="22" t="n"/>
      <c r="H1513" s="22" t="n"/>
      <c r="I1513" s="22" t="n"/>
      <c r="J1513" s="22" t="n"/>
      <c r="K1513" s="22" t="n"/>
      <c r="L1513" s="22" t="n"/>
      <c r="M1513" s="22">
        <f>IF(K1513="Override",L1513,IF(K1513="Accept suggestion",F1513,IF(K1513="No change (same URL)",A1513,"")))</f>
        <v/>
      </c>
      <c r="N1513" s="22">
        <f>IF(A1513="","",IF(K1513="410 Gone","410",IF(K1513="404","404",IF(K1513="No change (same URL)","none",IF(M1513="","","301")))))</f>
        <v/>
      </c>
      <c r="O1513" s="22">
        <f>IF(A1513="","",IFERROR(MID(A1513,FIND("/",A1513,FIND("//",A1513)+2),2000),A1513))</f>
        <v/>
      </c>
      <c r="P1513" s="22">
        <f>IF(OR(O1513="",N1513="",N1513="none",N1513="404"),"",IF(N1513="410","Redirect gone "&amp;O1513,"Redirect "&amp;N1513&amp;" "&amp;O1513&amp;" "&amp;M1513))</f>
        <v/>
      </c>
      <c r="Q1513" s="22" t="n"/>
      <c r="R1513" s="22" t="n"/>
      <c r="S1513" s="22" t="n"/>
      <c r="T1513" s="4">
        <f>IF(A1513="","",TRIM(IF(K1513="","Needs decision; ","")&amp;IF(AND(K1513="Accept suggestion",F1513=""),"No suggestion to accept; ","")&amp;IF(AND(K1513="Override",L1513=""),"Override URL missing; ","")&amp;IF(AND(K1513="Accept suggestion",N(G1513)&lt;$G$2),"Below your threshold; ","")&amp;IF(AND(M1513&lt;&gt;"",M1513=A1513,K1513&lt;&gt;"No change (same URL)"),"Redirects to itself; ","")&amp;IF(AND(M1513&lt;&gt;"",OR(M1513="/",AND(LEFT(M1513,4)="http",OR((LEN(M1513)-LEN(SUBSTITUTE(M1513,"/","")))=2,AND((LEN(M1513)-LEN(SUBSTITUTE(M1513,"/","")))=3,RIGHT(M1513,1)="/"))))),"Home page redirect; ","")&amp;IF(N(R1513)&gt;1,"Chain; ","")&amp;IF(S1513="No","Destination not 200; ","")))</f>
        <v/>
      </c>
      <c r="U1513" s="22" t="n"/>
      <c r="V1513" s="22" t="n"/>
      <c r="W1513" s="4" t="n"/>
    </row>
    <row r="1514">
      <c r="A1514" s="22" t="n"/>
      <c r="B1514" s="22" t="n"/>
      <c r="C1514" s="22" t="n"/>
      <c r="D1514" s="22">
        <f>IF(A1514="","",IF(OR(N(B1514)&gt;=$C$2,N(C1514)&gt;=$E$2),"High",IF(OR(N(B1514)&gt;0,N(C1514)&gt;0),"Medium","Low")))</f>
        <v/>
      </c>
      <c r="E1514" s="22" t="n"/>
      <c r="F1514" s="22" t="n"/>
      <c r="G1514" s="22" t="n"/>
      <c r="H1514" s="22" t="n"/>
      <c r="I1514" s="22" t="n"/>
      <c r="J1514" s="22" t="n"/>
      <c r="K1514" s="22" t="n"/>
      <c r="L1514" s="22" t="n"/>
      <c r="M1514" s="22">
        <f>IF(K1514="Override",L1514,IF(K1514="Accept suggestion",F1514,IF(K1514="No change (same URL)",A1514,"")))</f>
        <v/>
      </c>
      <c r="N1514" s="22">
        <f>IF(A1514="","",IF(K1514="410 Gone","410",IF(K1514="404","404",IF(K1514="No change (same URL)","none",IF(M1514="","","301")))))</f>
        <v/>
      </c>
      <c r="O1514" s="22">
        <f>IF(A1514="","",IFERROR(MID(A1514,FIND("/",A1514,FIND("//",A1514)+2),2000),A1514))</f>
        <v/>
      </c>
      <c r="P1514" s="22">
        <f>IF(OR(O1514="",N1514="",N1514="none",N1514="404"),"",IF(N1514="410","Redirect gone "&amp;O1514,"Redirect "&amp;N1514&amp;" "&amp;O1514&amp;" "&amp;M1514))</f>
        <v/>
      </c>
      <c r="Q1514" s="22" t="n"/>
      <c r="R1514" s="22" t="n"/>
      <c r="S1514" s="22" t="n"/>
      <c r="T1514" s="4">
        <f>IF(A1514="","",TRIM(IF(K1514="","Needs decision; ","")&amp;IF(AND(K1514="Accept suggestion",F1514=""),"No suggestion to accept; ","")&amp;IF(AND(K1514="Override",L1514=""),"Override URL missing; ","")&amp;IF(AND(K1514="Accept suggestion",N(G1514)&lt;$G$2),"Below your threshold; ","")&amp;IF(AND(M1514&lt;&gt;"",M1514=A1514,K1514&lt;&gt;"No change (same URL)"),"Redirects to itself; ","")&amp;IF(AND(M1514&lt;&gt;"",OR(M1514="/",AND(LEFT(M1514,4)="http",OR((LEN(M1514)-LEN(SUBSTITUTE(M1514,"/","")))=2,AND((LEN(M1514)-LEN(SUBSTITUTE(M1514,"/","")))=3,RIGHT(M1514,1)="/"))))),"Home page redirect; ","")&amp;IF(N(R1514)&gt;1,"Chain; ","")&amp;IF(S1514="No","Destination not 200; ","")))</f>
        <v/>
      </c>
      <c r="U1514" s="22" t="n"/>
      <c r="V1514" s="22" t="n"/>
      <c r="W1514" s="4" t="n"/>
    </row>
    <row r="1515">
      <c r="A1515" s="22" t="n"/>
      <c r="B1515" s="22" t="n"/>
      <c r="C1515" s="22" t="n"/>
      <c r="D1515" s="22">
        <f>IF(A1515="","",IF(OR(N(B1515)&gt;=$C$2,N(C1515)&gt;=$E$2),"High",IF(OR(N(B1515)&gt;0,N(C1515)&gt;0),"Medium","Low")))</f>
        <v/>
      </c>
      <c r="E1515" s="22" t="n"/>
      <c r="F1515" s="22" t="n"/>
      <c r="G1515" s="22" t="n"/>
      <c r="H1515" s="22" t="n"/>
      <c r="I1515" s="22" t="n"/>
      <c r="J1515" s="22" t="n"/>
      <c r="K1515" s="22" t="n"/>
      <c r="L1515" s="22" t="n"/>
      <c r="M1515" s="22">
        <f>IF(K1515="Override",L1515,IF(K1515="Accept suggestion",F1515,IF(K1515="No change (same URL)",A1515,"")))</f>
        <v/>
      </c>
      <c r="N1515" s="22">
        <f>IF(A1515="","",IF(K1515="410 Gone","410",IF(K1515="404","404",IF(K1515="No change (same URL)","none",IF(M1515="","","301")))))</f>
        <v/>
      </c>
      <c r="O1515" s="22">
        <f>IF(A1515="","",IFERROR(MID(A1515,FIND("/",A1515,FIND("//",A1515)+2),2000),A1515))</f>
        <v/>
      </c>
      <c r="P1515" s="22">
        <f>IF(OR(O1515="",N1515="",N1515="none",N1515="404"),"",IF(N1515="410","Redirect gone "&amp;O1515,"Redirect "&amp;N1515&amp;" "&amp;O1515&amp;" "&amp;M1515))</f>
        <v/>
      </c>
      <c r="Q1515" s="22" t="n"/>
      <c r="R1515" s="22" t="n"/>
      <c r="S1515" s="22" t="n"/>
      <c r="T1515" s="4">
        <f>IF(A1515="","",TRIM(IF(K1515="","Needs decision; ","")&amp;IF(AND(K1515="Accept suggestion",F1515=""),"No suggestion to accept; ","")&amp;IF(AND(K1515="Override",L1515=""),"Override URL missing; ","")&amp;IF(AND(K1515="Accept suggestion",N(G1515)&lt;$G$2),"Below your threshold; ","")&amp;IF(AND(M1515&lt;&gt;"",M1515=A1515,K1515&lt;&gt;"No change (same URL)"),"Redirects to itself; ","")&amp;IF(AND(M1515&lt;&gt;"",OR(M1515="/",AND(LEFT(M1515,4)="http",OR((LEN(M1515)-LEN(SUBSTITUTE(M1515,"/","")))=2,AND((LEN(M1515)-LEN(SUBSTITUTE(M1515,"/","")))=3,RIGHT(M1515,1)="/"))))),"Home page redirect; ","")&amp;IF(N(R1515)&gt;1,"Chain; ","")&amp;IF(S1515="No","Destination not 200; ","")))</f>
        <v/>
      </c>
      <c r="U1515" s="22" t="n"/>
      <c r="V1515" s="22" t="n"/>
      <c r="W1515" s="4" t="n"/>
    </row>
    <row r="1516">
      <c r="A1516" s="22" t="n"/>
      <c r="B1516" s="22" t="n"/>
      <c r="C1516" s="22" t="n"/>
      <c r="D1516" s="22">
        <f>IF(A1516="","",IF(OR(N(B1516)&gt;=$C$2,N(C1516)&gt;=$E$2),"High",IF(OR(N(B1516)&gt;0,N(C1516)&gt;0),"Medium","Low")))</f>
        <v/>
      </c>
      <c r="E1516" s="22" t="n"/>
      <c r="F1516" s="22" t="n"/>
      <c r="G1516" s="22" t="n"/>
      <c r="H1516" s="22" t="n"/>
      <c r="I1516" s="22" t="n"/>
      <c r="J1516" s="22" t="n"/>
      <c r="K1516" s="22" t="n"/>
      <c r="L1516" s="22" t="n"/>
      <c r="M1516" s="22">
        <f>IF(K1516="Override",L1516,IF(K1516="Accept suggestion",F1516,IF(K1516="No change (same URL)",A1516,"")))</f>
        <v/>
      </c>
      <c r="N1516" s="22">
        <f>IF(A1516="","",IF(K1516="410 Gone","410",IF(K1516="404","404",IF(K1516="No change (same URL)","none",IF(M1516="","","301")))))</f>
        <v/>
      </c>
      <c r="O1516" s="22">
        <f>IF(A1516="","",IFERROR(MID(A1516,FIND("/",A1516,FIND("//",A1516)+2),2000),A1516))</f>
        <v/>
      </c>
      <c r="P1516" s="22">
        <f>IF(OR(O1516="",N1516="",N1516="none",N1516="404"),"",IF(N1516="410","Redirect gone "&amp;O1516,"Redirect "&amp;N1516&amp;" "&amp;O1516&amp;" "&amp;M1516))</f>
        <v/>
      </c>
      <c r="Q1516" s="22" t="n"/>
      <c r="R1516" s="22" t="n"/>
      <c r="S1516" s="22" t="n"/>
      <c r="T1516" s="4">
        <f>IF(A1516="","",TRIM(IF(K1516="","Needs decision; ","")&amp;IF(AND(K1516="Accept suggestion",F1516=""),"No suggestion to accept; ","")&amp;IF(AND(K1516="Override",L1516=""),"Override URL missing; ","")&amp;IF(AND(K1516="Accept suggestion",N(G1516)&lt;$G$2),"Below your threshold; ","")&amp;IF(AND(M1516&lt;&gt;"",M1516=A1516,K1516&lt;&gt;"No change (same URL)"),"Redirects to itself; ","")&amp;IF(AND(M1516&lt;&gt;"",OR(M1516="/",AND(LEFT(M1516,4)="http",OR((LEN(M1516)-LEN(SUBSTITUTE(M1516,"/","")))=2,AND((LEN(M1516)-LEN(SUBSTITUTE(M1516,"/","")))=3,RIGHT(M1516,1)="/"))))),"Home page redirect; ","")&amp;IF(N(R1516)&gt;1,"Chain; ","")&amp;IF(S1516="No","Destination not 200; ","")))</f>
        <v/>
      </c>
      <c r="U1516" s="22" t="n"/>
      <c r="V1516" s="22" t="n"/>
      <c r="W1516" s="4" t="n"/>
    </row>
    <row r="1517">
      <c r="A1517" s="22" t="n"/>
      <c r="B1517" s="22" t="n"/>
      <c r="C1517" s="22" t="n"/>
      <c r="D1517" s="22">
        <f>IF(A1517="","",IF(OR(N(B1517)&gt;=$C$2,N(C1517)&gt;=$E$2),"High",IF(OR(N(B1517)&gt;0,N(C1517)&gt;0),"Medium","Low")))</f>
        <v/>
      </c>
      <c r="E1517" s="22" t="n"/>
      <c r="F1517" s="22" t="n"/>
      <c r="G1517" s="22" t="n"/>
      <c r="H1517" s="22" t="n"/>
      <c r="I1517" s="22" t="n"/>
      <c r="J1517" s="22" t="n"/>
      <c r="K1517" s="22" t="n"/>
      <c r="L1517" s="22" t="n"/>
      <c r="M1517" s="22">
        <f>IF(K1517="Override",L1517,IF(K1517="Accept suggestion",F1517,IF(K1517="No change (same URL)",A1517,"")))</f>
        <v/>
      </c>
      <c r="N1517" s="22">
        <f>IF(A1517="","",IF(K1517="410 Gone","410",IF(K1517="404","404",IF(K1517="No change (same URL)","none",IF(M1517="","","301")))))</f>
        <v/>
      </c>
      <c r="O1517" s="22">
        <f>IF(A1517="","",IFERROR(MID(A1517,FIND("/",A1517,FIND("//",A1517)+2),2000),A1517))</f>
        <v/>
      </c>
      <c r="P1517" s="22">
        <f>IF(OR(O1517="",N1517="",N1517="none",N1517="404"),"",IF(N1517="410","Redirect gone "&amp;O1517,"Redirect "&amp;N1517&amp;" "&amp;O1517&amp;" "&amp;M1517))</f>
        <v/>
      </c>
      <c r="Q1517" s="22" t="n"/>
      <c r="R1517" s="22" t="n"/>
      <c r="S1517" s="22" t="n"/>
      <c r="T1517" s="4">
        <f>IF(A1517="","",TRIM(IF(K1517="","Needs decision; ","")&amp;IF(AND(K1517="Accept suggestion",F1517=""),"No suggestion to accept; ","")&amp;IF(AND(K1517="Override",L1517=""),"Override URL missing; ","")&amp;IF(AND(K1517="Accept suggestion",N(G1517)&lt;$G$2),"Below your threshold; ","")&amp;IF(AND(M1517&lt;&gt;"",M1517=A1517,K1517&lt;&gt;"No change (same URL)"),"Redirects to itself; ","")&amp;IF(AND(M1517&lt;&gt;"",OR(M1517="/",AND(LEFT(M1517,4)="http",OR((LEN(M1517)-LEN(SUBSTITUTE(M1517,"/","")))=2,AND((LEN(M1517)-LEN(SUBSTITUTE(M1517,"/","")))=3,RIGHT(M1517,1)="/"))))),"Home page redirect; ","")&amp;IF(N(R1517)&gt;1,"Chain; ","")&amp;IF(S1517="No","Destination not 200; ","")))</f>
        <v/>
      </c>
      <c r="U1517" s="22" t="n"/>
      <c r="V1517" s="22" t="n"/>
      <c r="W1517" s="4" t="n"/>
    </row>
    <row r="1518">
      <c r="A1518" s="22" t="n"/>
      <c r="B1518" s="22" t="n"/>
      <c r="C1518" s="22" t="n"/>
      <c r="D1518" s="22">
        <f>IF(A1518="","",IF(OR(N(B1518)&gt;=$C$2,N(C1518)&gt;=$E$2),"High",IF(OR(N(B1518)&gt;0,N(C1518)&gt;0),"Medium","Low")))</f>
        <v/>
      </c>
      <c r="E1518" s="22" t="n"/>
      <c r="F1518" s="22" t="n"/>
      <c r="G1518" s="22" t="n"/>
      <c r="H1518" s="22" t="n"/>
      <c r="I1518" s="22" t="n"/>
      <c r="J1518" s="22" t="n"/>
      <c r="K1518" s="22" t="n"/>
      <c r="L1518" s="22" t="n"/>
      <c r="M1518" s="22">
        <f>IF(K1518="Override",L1518,IF(K1518="Accept suggestion",F1518,IF(K1518="No change (same URL)",A1518,"")))</f>
        <v/>
      </c>
      <c r="N1518" s="22">
        <f>IF(A1518="","",IF(K1518="410 Gone","410",IF(K1518="404","404",IF(K1518="No change (same URL)","none",IF(M1518="","","301")))))</f>
        <v/>
      </c>
      <c r="O1518" s="22">
        <f>IF(A1518="","",IFERROR(MID(A1518,FIND("/",A1518,FIND("//",A1518)+2),2000),A1518))</f>
        <v/>
      </c>
      <c r="P1518" s="22">
        <f>IF(OR(O1518="",N1518="",N1518="none",N1518="404"),"",IF(N1518="410","Redirect gone "&amp;O1518,"Redirect "&amp;N1518&amp;" "&amp;O1518&amp;" "&amp;M1518))</f>
        <v/>
      </c>
      <c r="Q1518" s="22" t="n"/>
      <c r="R1518" s="22" t="n"/>
      <c r="S1518" s="22" t="n"/>
      <c r="T1518" s="4">
        <f>IF(A1518="","",TRIM(IF(K1518="","Needs decision; ","")&amp;IF(AND(K1518="Accept suggestion",F1518=""),"No suggestion to accept; ","")&amp;IF(AND(K1518="Override",L1518=""),"Override URL missing; ","")&amp;IF(AND(K1518="Accept suggestion",N(G1518)&lt;$G$2),"Below your threshold; ","")&amp;IF(AND(M1518&lt;&gt;"",M1518=A1518,K1518&lt;&gt;"No change (same URL)"),"Redirects to itself; ","")&amp;IF(AND(M1518&lt;&gt;"",OR(M1518="/",AND(LEFT(M1518,4)="http",OR((LEN(M1518)-LEN(SUBSTITUTE(M1518,"/","")))=2,AND((LEN(M1518)-LEN(SUBSTITUTE(M1518,"/","")))=3,RIGHT(M1518,1)="/"))))),"Home page redirect; ","")&amp;IF(N(R1518)&gt;1,"Chain; ","")&amp;IF(S1518="No","Destination not 200; ","")))</f>
        <v/>
      </c>
      <c r="U1518" s="22" t="n"/>
      <c r="V1518" s="22" t="n"/>
      <c r="W1518" s="4" t="n"/>
    </row>
    <row r="1519">
      <c r="A1519" s="22" t="n"/>
      <c r="B1519" s="22" t="n"/>
      <c r="C1519" s="22" t="n"/>
      <c r="D1519" s="22">
        <f>IF(A1519="","",IF(OR(N(B1519)&gt;=$C$2,N(C1519)&gt;=$E$2),"High",IF(OR(N(B1519)&gt;0,N(C1519)&gt;0),"Medium","Low")))</f>
        <v/>
      </c>
      <c r="E1519" s="22" t="n"/>
      <c r="F1519" s="22" t="n"/>
      <c r="G1519" s="22" t="n"/>
      <c r="H1519" s="22" t="n"/>
      <c r="I1519" s="22" t="n"/>
      <c r="J1519" s="22" t="n"/>
      <c r="K1519" s="22" t="n"/>
      <c r="L1519" s="22" t="n"/>
      <c r="M1519" s="22">
        <f>IF(K1519="Override",L1519,IF(K1519="Accept suggestion",F1519,IF(K1519="No change (same URL)",A1519,"")))</f>
        <v/>
      </c>
      <c r="N1519" s="22">
        <f>IF(A1519="","",IF(K1519="410 Gone","410",IF(K1519="404","404",IF(K1519="No change (same URL)","none",IF(M1519="","","301")))))</f>
        <v/>
      </c>
      <c r="O1519" s="22">
        <f>IF(A1519="","",IFERROR(MID(A1519,FIND("/",A1519,FIND("//",A1519)+2),2000),A1519))</f>
        <v/>
      </c>
      <c r="P1519" s="22">
        <f>IF(OR(O1519="",N1519="",N1519="none",N1519="404"),"",IF(N1519="410","Redirect gone "&amp;O1519,"Redirect "&amp;N1519&amp;" "&amp;O1519&amp;" "&amp;M1519))</f>
        <v/>
      </c>
      <c r="Q1519" s="22" t="n"/>
      <c r="R1519" s="22" t="n"/>
      <c r="S1519" s="22" t="n"/>
      <c r="T1519" s="4">
        <f>IF(A1519="","",TRIM(IF(K1519="","Needs decision; ","")&amp;IF(AND(K1519="Accept suggestion",F1519=""),"No suggestion to accept; ","")&amp;IF(AND(K1519="Override",L1519=""),"Override URL missing; ","")&amp;IF(AND(K1519="Accept suggestion",N(G1519)&lt;$G$2),"Below your threshold; ","")&amp;IF(AND(M1519&lt;&gt;"",M1519=A1519,K1519&lt;&gt;"No change (same URL)"),"Redirects to itself; ","")&amp;IF(AND(M1519&lt;&gt;"",OR(M1519="/",AND(LEFT(M1519,4)="http",OR((LEN(M1519)-LEN(SUBSTITUTE(M1519,"/","")))=2,AND((LEN(M1519)-LEN(SUBSTITUTE(M1519,"/","")))=3,RIGHT(M1519,1)="/"))))),"Home page redirect; ","")&amp;IF(N(R1519)&gt;1,"Chain; ","")&amp;IF(S1519="No","Destination not 200; ","")))</f>
        <v/>
      </c>
      <c r="U1519" s="22" t="n"/>
      <c r="V1519" s="22" t="n"/>
      <c r="W1519" s="4" t="n"/>
    </row>
    <row r="1520">
      <c r="A1520" s="22" t="n"/>
      <c r="B1520" s="22" t="n"/>
      <c r="C1520" s="22" t="n"/>
      <c r="D1520" s="22">
        <f>IF(A1520="","",IF(OR(N(B1520)&gt;=$C$2,N(C1520)&gt;=$E$2),"High",IF(OR(N(B1520)&gt;0,N(C1520)&gt;0),"Medium","Low")))</f>
        <v/>
      </c>
      <c r="E1520" s="22" t="n"/>
      <c r="F1520" s="22" t="n"/>
      <c r="G1520" s="22" t="n"/>
      <c r="H1520" s="22" t="n"/>
      <c r="I1520" s="22" t="n"/>
      <c r="J1520" s="22" t="n"/>
      <c r="K1520" s="22" t="n"/>
      <c r="L1520" s="22" t="n"/>
      <c r="M1520" s="22">
        <f>IF(K1520="Override",L1520,IF(K1520="Accept suggestion",F1520,IF(K1520="No change (same URL)",A1520,"")))</f>
        <v/>
      </c>
      <c r="N1520" s="22">
        <f>IF(A1520="","",IF(K1520="410 Gone","410",IF(K1520="404","404",IF(K1520="No change (same URL)","none",IF(M1520="","","301")))))</f>
        <v/>
      </c>
      <c r="O1520" s="22">
        <f>IF(A1520="","",IFERROR(MID(A1520,FIND("/",A1520,FIND("//",A1520)+2),2000),A1520))</f>
        <v/>
      </c>
      <c r="P1520" s="22">
        <f>IF(OR(O1520="",N1520="",N1520="none",N1520="404"),"",IF(N1520="410","Redirect gone "&amp;O1520,"Redirect "&amp;N1520&amp;" "&amp;O1520&amp;" "&amp;M1520))</f>
        <v/>
      </c>
      <c r="Q1520" s="22" t="n"/>
      <c r="R1520" s="22" t="n"/>
      <c r="S1520" s="22" t="n"/>
      <c r="T1520" s="4">
        <f>IF(A1520="","",TRIM(IF(K1520="","Needs decision; ","")&amp;IF(AND(K1520="Accept suggestion",F1520=""),"No suggestion to accept; ","")&amp;IF(AND(K1520="Override",L1520=""),"Override URL missing; ","")&amp;IF(AND(K1520="Accept suggestion",N(G1520)&lt;$G$2),"Below your threshold; ","")&amp;IF(AND(M1520&lt;&gt;"",M1520=A1520,K1520&lt;&gt;"No change (same URL)"),"Redirects to itself; ","")&amp;IF(AND(M1520&lt;&gt;"",OR(M1520="/",AND(LEFT(M1520,4)="http",OR((LEN(M1520)-LEN(SUBSTITUTE(M1520,"/","")))=2,AND((LEN(M1520)-LEN(SUBSTITUTE(M1520,"/","")))=3,RIGHT(M1520,1)="/"))))),"Home page redirect; ","")&amp;IF(N(R1520)&gt;1,"Chain; ","")&amp;IF(S1520="No","Destination not 200; ","")))</f>
        <v/>
      </c>
      <c r="U1520" s="22" t="n"/>
      <c r="V1520" s="22" t="n"/>
      <c r="W1520" s="4" t="n"/>
    </row>
    <row r="1521">
      <c r="A1521" s="22" t="n"/>
      <c r="B1521" s="22" t="n"/>
      <c r="C1521" s="22" t="n"/>
      <c r="D1521" s="22">
        <f>IF(A1521="","",IF(OR(N(B1521)&gt;=$C$2,N(C1521)&gt;=$E$2),"High",IF(OR(N(B1521)&gt;0,N(C1521)&gt;0),"Medium","Low")))</f>
        <v/>
      </c>
      <c r="E1521" s="22" t="n"/>
      <c r="F1521" s="22" t="n"/>
      <c r="G1521" s="22" t="n"/>
      <c r="H1521" s="22" t="n"/>
      <c r="I1521" s="22" t="n"/>
      <c r="J1521" s="22" t="n"/>
      <c r="K1521" s="22" t="n"/>
      <c r="L1521" s="22" t="n"/>
      <c r="M1521" s="22">
        <f>IF(K1521="Override",L1521,IF(K1521="Accept suggestion",F1521,IF(K1521="No change (same URL)",A1521,"")))</f>
        <v/>
      </c>
      <c r="N1521" s="22">
        <f>IF(A1521="","",IF(K1521="410 Gone","410",IF(K1521="404","404",IF(K1521="No change (same URL)","none",IF(M1521="","","301")))))</f>
        <v/>
      </c>
      <c r="O1521" s="22">
        <f>IF(A1521="","",IFERROR(MID(A1521,FIND("/",A1521,FIND("//",A1521)+2),2000),A1521))</f>
        <v/>
      </c>
      <c r="P1521" s="22">
        <f>IF(OR(O1521="",N1521="",N1521="none",N1521="404"),"",IF(N1521="410","Redirect gone "&amp;O1521,"Redirect "&amp;N1521&amp;" "&amp;O1521&amp;" "&amp;M1521))</f>
        <v/>
      </c>
      <c r="Q1521" s="22" t="n"/>
      <c r="R1521" s="22" t="n"/>
      <c r="S1521" s="22" t="n"/>
      <c r="T1521" s="4">
        <f>IF(A1521="","",TRIM(IF(K1521="","Needs decision; ","")&amp;IF(AND(K1521="Accept suggestion",F1521=""),"No suggestion to accept; ","")&amp;IF(AND(K1521="Override",L1521=""),"Override URL missing; ","")&amp;IF(AND(K1521="Accept suggestion",N(G1521)&lt;$G$2),"Below your threshold; ","")&amp;IF(AND(M1521&lt;&gt;"",M1521=A1521,K1521&lt;&gt;"No change (same URL)"),"Redirects to itself; ","")&amp;IF(AND(M1521&lt;&gt;"",OR(M1521="/",AND(LEFT(M1521,4)="http",OR((LEN(M1521)-LEN(SUBSTITUTE(M1521,"/","")))=2,AND((LEN(M1521)-LEN(SUBSTITUTE(M1521,"/","")))=3,RIGHT(M1521,1)="/"))))),"Home page redirect; ","")&amp;IF(N(R1521)&gt;1,"Chain; ","")&amp;IF(S1521="No","Destination not 200; ","")))</f>
        <v/>
      </c>
      <c r="U1521" s="22" t="n"/>
      <c r="V1521" s="22" t="n"/>
      <c r="W1521" s="4" t="n"/>
    </row>
    <row r="1522">
      <c r="A1522" s="22" t="n"/>
      <c r="B1522" s="22" t="n"/>
      <c r="C1522" s="22" t="n"/>
      <c r="D1522" s="22">
        <f>IF(A1522="","",IF(OR(N(B1522)&gt;=$C$2,N(C1522)&gt;=$E$2),"High",IF(OR(N(B1522)&gt;0,N(C1522)&gt;0),"Medium","Low")))</f>
        <v/>
      </c>
      <c r="E1522" s="22" t="n"/>
      <c r="F1522" s="22" t="n"/>
      <c r="G1522" s="22" t="n"/>
      <c r="H1522" s="22" t="n"/>
      <c r="I1522" s="22" t="n"/>
      <c r="J1522" s="22" t="n"/>
      <c r="K1522" s="22" t="n"/>
      <c r="L1522" s="22" t="n"/>
      <c r="M1522" s="22">
        <f>IF(K1522="Override",L1522,IF(K1522="Accept suggestion",F1522,IF(K1522="No change (same URL)",A1522,"")))</f>
        <v/>
      </c>
      <c r="N1522" s="22">
        <f>IF(A1522="","",IF(K1522="410 Gone","410",IF(K1522="404","404",IF(K1522="No change (same URL)","none",IF(M1522="","","301")))))</f>
        <v/>
      </c>
      <c r="O1522" s="22">
        <f>IF(A1522="","",IFERROR(MID(A1522,FIND("/",A1522,FIND("//",A1522)+2),2000),A1522))</f>
        <v/>
      </c>
      <c r="P1522" s="22">
        <f>IF(OR(O1522="",N1522="",N1522="none",N1522="404"),"",IF(N1522="410","Redirect gone "&amp;O1522,"Redirect "&amp;N1522&amp;" "&amp;O1522&amp;" "&amp;M1522))</f>
        <v/>
      </c>
      <c r="Q1522" s="22" t="n"/>
      <c r="R1522" s="22" t="n"/>
      <c r="S1522" s="22" t="n"/>
      <c r="T1522" s="4">
        <f>IF(A1522="","",TRIM(IF(K1522="","Needs decision; ","")&amp;IF(AND(K1522="Accept suggestion",F1522=""),"No suggestion to accept; ","")&amp;IF(AND(K1522="Override",L1522=""),"Override URL missing; ","")&amp;IF(AND(K1522="Accept suggestion",N(G1522)&lt;$G$2),"Below your threshold; ","")&amp;IF(AND(M1522&lt;&gt;"",M1522=A1522,K1522&lt;&gt;"No change (same URL)"),"Redirects to itself; ","")&amp;IF(AND(M1522&lt;&gt;"",OR(M1522="/",AND(LEFT(M1522,4)="http",OR((LEN(M1522)-LEN(SUBSTITUTE(M1522,"/","")))=2,AND((LEN(M1522)-LEN(SUBSTITUTE(M1522,"/","")))=3,RIGHT(M1522,1)="/"))))),"Home page redirect; ","")&amp;IF(N(R1522)&gt;1,"Chain; ","")&amp;IF(S1522="No","Destination not 200; ","")))</f>
        <v/>
      </c>
      <c r="U1522" s="22" t="n"/>
      <c r="V1522" s="22" t="n"/>
      <c r="W1522" s="4" t="n"/>
    </row>
    <row r="1523">
      <c r="A1523" s="22" t="n"/>
      <c r="B1523" s="22" t="n"/>
      <c r="C1523" s="22" t="n"/>
      <c r="D1523" s="22">
        <f>IF(A1523="","",IF(OR(N(B1523)&gt;=$C$2,N(C1523)&gt;=$E$2),"High",IF(OR(N(B1523)&gt;0,N(C1523)&gt;0),"Medium","Low")))</f>
        <v/>
      </c>
      <c r="E1523" s="22" t="n"/>
      <c r="F1523" s="22" t="n"/>
      <c r="G1523" s="22" t="n"/>
      <c r="H1523" s="22" t="n"/>
      <c r="I1523" s="22" t="n"/>
      <c r="J1523" s="22" t="n"/>
      <c r="K1523" s="22" t="n"/>
      <c r="L1523" s="22" t="n"/>
      <c r="M1523" s="22">
        <f>IF(K1523="Override",L1523,IF(K1523="Accept suggestion",F1523,IF(K1523="No change (same URL)",A1523,"")))</f>
        <v/>
      </c>
      <c r="N1523" s="22">
        <f>IF(A1523="","",IF(K1523="410 Gone","410",IF(K1523="404","404",IF(K1523="No change (same URL)","none",IF(M1523="","","301")))))</f>
        <v/>
      </c>
      <c r="O1523" s="22">
        <f>IF(A1523="","",IFERROR(MID(A1523,FIND("/",A1523,FIND("//",A1523)+2),2000),A1523))</f>
        <v/>
      </c>
      <c r="P1523" s="22">
        <f>IF(OR(O1523="",N1523="",N1523="none",N1523="404"),"",IF(N1523="410","Redirect gone "&amp;O1523,"Redirect "&amp;N1523&amp;" "&amp;O1523&amp;" "&amp;M1523))</f>
        <v/>
      </c>
      <c r="Q1523" s="22" t="n"/>
      <c r="R1523" s="22" t="n"/>
      <c r="S1523" s="22" t="n"/>
      <c r="T1523" s="4">
        <f>IF(A1523="","",TRIM(IF(K1523="","Needs decision; ","")&amp;IF(AND(K1523="Accept suggestion",F1523=""),"No suggestion to accept; ","")&amp;IF(AND(K1523="Override",L1523=""),"Override URL missing; ","")&amp;IF(AND(K1523="Accept suggestion",N(G1523)&lt;$G$2),"Below your threshold; ","")&amp;IF(AND(M1523&lt;&gt;"",M1523=A1523,K1523&lt;&gt;"No change (same URL)"),"Redirects to itself; ","")&amp;IF(AND(M1523&lt;&gt;"",OR(M1523="/",AND(LEFT(M1523,4)="http",OR((LEN(M1523)-LEN(SUBSTITUTE(M1523,"/","")))=2,AND((LEN(M1523)-LEN(SUBSTITUTE(M1523,"/","")))=3,RIGHT(M1523,1)="/"))))),"Home page redirect; ","")&amp;IF(N(R1523)&gt;1,"Chain; ","")&amp;IF(S1523="No","Destination not 200; ","")))</f>
        <v/>
      </c>
      <c r="U1523" s="22" t="n"/>
      <c r="V1523" s="22" t="n"/>
      <c r="W1523" s="4" t="n"/>
    </row>
    <row r="1524">
      <c r="A1524" s="22" t="n"/>
      <c r="B1524" s="22" t="n"/>
      <c r="C1524" s="22" t="n"/>
      <c r="D1524" s="22">
        <f>IF(A1524="","",IF(OR(N(B1524)&gt;=$C$2,N(C1524)&gt;=$E$2),"High",IF(OR(N(B1524)&gt;0,N(C1524)&gt;0),"Medium","Low")))</f>
        <v/>
      </c>
      <c r="E1524" s="22" t="n"/>
      <c r="F1524" s="22" t="n"/>
      <c r="G1524" s="22" t="n"/>
      <c r="H1524" s="22" t="n"/>
      <c r="I1524" s="22" t="n"/>
      <c r="J1524" s="22" t="n"/>
      <c r="K1524" s="22" t="n"/>
      <c r="L1524" s="22" t="n"/>
      <c r="M1524" s="22">
        <f>IF(K1524="Override",L1524,IF(K1524="Accept suggestion",F1524,IF(K1524="No change (same URL)",A1524,"")))</f>
        <v/>
      </c>
      <c r="N1524" s="22">
        <f>IF(A1524="","",IF(K1524="410 Gone","410",IF(K1524="404","404",IF(K1524="No change (same URL)","none",IF(M1524="","","301")))))</f>
        <v/>
      </c>
      <c r="O1524" s="22">
        <f>IF(A1524="","",IFERROR(MID(A1524,FIND("/",A1524,FIND("//",A1524)+2),2000),A1524))</f>
        <v/>
      </c>
      <c r="P1524" s="22">
        <f>IF(OR(O1524="",N1524="",N1524="none",N1524="404"),"",IF(N1524="410","Redirect gone "&amp;O1524,"Redirect "&amp;N1524&amp;" "&amp;O1524&amp;" "&amp;M1524))</f>
        <v/>
      </c>
      <c r="Q1524" s="22" t="n"/>
      <c r="R1524" s="22" t="n"/>
      <c r="S1524" s="22" t="n"/>
      <c r="T1524" s="4">
        <f>IF(A1524="","",TRIM(IF(K1524="","Needs decision; ","")&amp;IF(AND(K1524="Accept suggestion",F1524=""),"No suggestion to accept; ","")&amp;IF(AND(K1524="Override",L1524=""),"Override URL missing; ","")&amp;IF(AND(K1524="Accept suggestion",N(G1524)&lt;$G$2),"Below your threshold; ","")&amp;IF(AND(M1524&lt;&gt;"",M1524=A1524,K1524&lt;&gt;"No change (same URL)"),"Redirects to itself; ","")&amp;IF(AND(M1524&lt;&gt;"",OR(M1524="/",AND(LEFT(M1524,4)="http",OR((LEN(M1524)-LEN(SUBSTITUTE(M1524,"/","")))=2,AND((LEN(M1524)-LEN(SUBSTITUTE(M1524,"/","")))=3,RIGHT(M1524,1)="/"))))),"Home page redirect; ","")&amp;IF(N(R1524)&gt;1,"Chain; ","")&amp;IF(S1524="No","Destination not 200; ","")))</f>
        <v/>
      </c>
      <c r="U1524" s="22" t="n"/>
      <c r="V1524" s="22" t="n"/>
      <c r="W1524" s="4" t="n"/>
    </row>
    <row r="1525">
      <c r="A1525" s="22" t="n"/>
      <c r="B1525" s="22" t="n"/>
      <c r="C1525" s="22" t="n"/>
      <c r="D1525" s="22">
        <f>IF(A1525="","",IF(OR(N(B1525)&gt;=$C$2,N(C1525)&gt;=$E$2),"High",IF(OR(N(B1525)&gt;0,N(C1525)&gt;0),"Medium","Low")))</f>
        <v/>
      </c>
      <c r="E1525" s="22" t="n"/>
      <c r="F1525" s="22" t="n"/>
      <c r="G1525" s="22" t="n"/>
      <c r="H1525" s="22" t="n"/>
      <c r="I1525" s="22" t="n"/>
      <c r="J1525" s="22" t="n"/>
      <c r="K1525" s="22" t="n"/>
      <c r="L1525" s="22" t="n"/>
      <c r="M1525" s="22">
        <f>IF(K1525="Override",L1525,IF(K1525="Accept suggestion",F1525,IF(K1525="No change (same URL)",A1525,"")))</f>
        <v/>
      </c>
      <c r="N1525" s="22">
        <f>IF(A1525="","",IF(K1525="410 Gone","410",IF(K1525="404","404",IF(K1525="No change (same URL)","none",IF(M1525="","","301")))))</f>
        <v/>
      </c>
      <c r="O1525" s="22">
        <f>IF(A1525="","",IFERROR(MID(A1525,FIND("/",A1525,FIND("//",A1525)+2),2000),A1525))</f>
        <v/>
      </c>
      <c r="P1525" s="22">
        <f>IF(OR(O1525="",N1525="",N1525="none",N1525="404"),"",IF(N1525="410","Redirect gone "&amp;O1525,"Redirect "&amp;N1525&amp;" "&amp;O1525&amp;" "&amp;M1525))</f>
        <v/>
      </c>
      <c r="Q1525" s="22" t="n"/>
      <c r="R1525" s="22" t="n"/>
      <c r="S1525" s="22" t="n"/>
      <c r="T1525" s="4">
        <f>IF(A1525="","",TRIM(IF(K1525="","Needs decision; ","")&amp;IF(AND(K1525="Accept suggestion",F1525=""),"No suggestion to accept; ","")&amp;IF(AND(K1525="Override",L1525=""),"Override URL missing; ","")&amp;IF(AND(K1525="Accept suggestion",N(G1525)&lt;$G$2),"Below your threshold; ","")&amp;IF(AND(M1525&lt;&gt;"",M1525=A1525,K1525&lt;&gt;"No change (same URL)"),"Redirects to itself; ","")&amp;IF(AND(M1525&lt;&gt;"",OR(M1525="/",AND(LEFT(M1525,4)="http",OR((LEN(M1525)-LEN(SUBSTITUTE(M1525,"/","")))=2,AND((LEN(M1525)-LEN(SUBSTITUTE(M1525,"/","")))=3,RIGHT(M1525,1)="/"))))),"Home page redirect; ","")&amp;IF(N(R1525)&gt;1,"Chain; ","")&amp;IF(S1525="No","Destination not 200; ","")))</f>
        <v/>
      </c>
      <c r="U1525" s="22" t="n"/>
      <c r="V1525" s="22" t="n"/>
      <c r="W1525" s="4" t="n"/>
    </row>
    <row r="1526">
      <c r="A1526" s="22" t="n"/>
      <c r="B1526" s="22" t="n"/>
      <c r="C1526" s="22" t="n"/>
      <c r="D1526" s="22">
        <f>IF(A1526="","",IF(OR(N(B1526)&gt;=$C$2,N(C1526)&gt;=$E$2),"High",IF(OR(N(B1526)&gt;0,N(C1526)&gt;0),"Medium","Low")))</f>
        <v/>
      </c>
      <c r="E1526" s="22" t="n"/>
      <c r="F1526" s="22" t="n"/>
      <c r="G1526" s="22" t="n"/>
      <c r="H1526" s="22" t="n"/>
      <c r="I1526" s="22" t="n"/>
      <c r="J1526" s="22" t="n"/>
      <c r="K1526" s="22" t="n"/>
      <c r="L1526" s="22" t="n"/>
      <c r="M1526" s="22">
        <f>IF(K1526="Override",L1526,IF(K1526="Accept suggestion",F1526,IF(K1526="No change (same URL)",A1526,"")))</f>
        <v/>
      </c>
      <c r="N1526" s="22">
        <f>IF(A1526="","",IF(K1526="410 Gone","410",IF(K1526="404","404",IF(K1526="No change (same URL)","none",IF(M1526="","","301")))))</f>
        <v/>
      </c>
      <c r="O1526" s="22">
        <f>IF(A1526="","",IFERROR(MID(A1526,FIND("/",A1526,FIND("//",A1526)+2),2000),A1526))</f>
        <v/>
      </c>
      <c r="P1526" s="22">
        <f>IF(OR(O1526="",N1526="",N1526="none",N1526="404"),"",IF(N1526="410","Redirect gone "&amp;O1526,"Redirect "&amp;N1526&amp;" "&amp;O1526&amp;" "&amp;M1526))</f>
        <v/>
      </c>
      <c r="Q1526" s="22" t="n"/>
      <c r="R1526" s="22" t="n"/>
      <c r="S1526" s="22" t="n"/>
      <c r="T1526" s="4">
        <f>IF(A1526="","",TRIM(IF(K1526="","Needs decision; ","")&amp;IF(AND(K1526="Accept suggestion",F1526=""),"No suggestion to accept; ","")&amp;IF(AND(K1526="Override",L1526=""),"Override URL missing; ","")&amp;IF(AND(K1526="Accept suggestion",N(G1526)&lt;$G$2),"Below your threshold; ","")&amp;IF(AND(M1526&lt;&gt;"",M1526=A1526,K1526&lt;&gt;"No change (same URL)"),"Redirects to itself; ","")&amp;IF(AND(M1526&lt;&gt;"",OR(M1526="/",AND(LEFT(M1526,4)="http",OR((LEN(M1526)-LEN(SUBSTITUTE(M1526,"/","")))=2,AND((LEN(M1526)-LEN(SUBSTITUTE(M1526,"/","")))=3,RIGHT(M1526,1)="/"))))),"Home page redirect; ","")&amp;IF(N(R1526)&gt;1,"Chain; ","")&amp;IF(S1526="No","Destination not 200; ","")))</f>
        <v/>
      </c>
      <c r="U1526" s="22" t="n"/>
      <c r="V1526" s="22" t="n"/>
      <c r="W1526" s="4" t="n"/>
    </row>
    <row r="1527">
      <c r="A1527" s="22" t="n"/>
      <c r="B1527" s="22" t="n"/>
      <c r="C1527" s="22" t="n"/>
      <c r="D1527" s="22">
        <f>IF(A1527="","",IF(OR(N(B1527)&gt;=$C$2,N(C1527)&gt;=$E$2),"High",IF(OR(N(B1527)&gt;0,N(C1527)&gt;0),"Medium","Low")))</f>
        <v/>
      </c>
      <c r="E1527" s="22" t="n"/>
      <c r="F1527" s="22" t="n"/>
      <c r="G1527" s="22" t="n"/>
      <c r="H1527" s="22" t="n"/>
      <c r="I1527" s="22" t="n"/>
      <c r="J1527" s="22" t="n"/>
      <c r="K1527" s="22" t="n"/>
      <c r="L1527" s="22" t="n"/>
      <c r="M1527" s="22">
        <f>IF(K1527="Override",L1527,IF(K1527="Accept suggestion",F1527,IF(K1527="No change (same URL)",A1527,"")))</f>
        <v/>
      </c>
      <c r="N1527" s="22">
        <f>IF(A1527="","",IF(K1527="410 Gone","410",IF(K1527="404","404",IF(K1527="No change (same URL)","none",IF(M1527="","","301")))))</f>
        <v/>
      </c>
      <c r="O1527" s="22">
        <f>IF(A1527="","",IFERROR(MID(A1527,FIND("/",A1527,FIND("//",A1527)+2),2000),A1527))</f>
        <v/>
      </c>
      <c r="P1527" s="22">
        <f>IF(OR(O1527="",N1527="",N1527="none",N1527="404"),"",IF(N1527="410","Redirect gone "&amp;O1527,"Redirect "&amp;N1527&amp;" "&amp;O1527&amp;" "&amp;M1527))</f>
        <v/>
      </c>
      <c r="Q1527" s="22" t="n"/>
      <c r="R1527" s="22" t="n"/>
      <c r="S1527" s="22" t="n"/>
      <c r="T1527" s="4">
        <f>IF(A1527="","",TRIM(IF(K1527="","Needs decision; ","")&amp;IF(AND(K1527="Accept suggestion",F1527=""),"No suggestion to accept; ","")&amp;IF(AND(K1527="Override",L1527=""),"Override URL missing; ","")&amp;IF(AND(K1527="Accept suggestion",N(G1527)&lt;$G$2),"Below your threshold; ","")&amp;IF(AND(M1527&lt;&gt;"",M1527=A1527,K1527&lt;&gt;"No change (same URL)"),"Redirects to itself; ","")&amp;IF(AND(M1527&lt;&gt;"",OR(M1527="/",AND(LEFT(M1527,4)="http",OR((LEN(M1527)-LEN(SUBSTITUTE(M1527,"/","")))=2,AND((LEN(M1527)-LEN(SUBSTITUTE(M1527,"/","")))=3,RIGHT(M1527,1)="/"))))),"Home page redirect; ","")&amp;IF(N(R1527)&gt;1,"Chain; ","")&amp;IF(S1527="No","Destination not 200; ","")))</f>
        <v/>
      </c>
      <c r="U1527" s="22" t="n"/>
      <c r="V1527" s="22" t="n"/>
      <c r="W1527" s="4" t="n"/>
    </row>
    <row r="1528">
      <c r="A1528" s="22" t="n"/>
      <c r="B1528" s="22" t="n"/>
      <c r="C1528" s="22" t="n"/>
      <c r="D1528" s="22">
        <f>IF(A1528="","",IF(OR(N(B1528)&gt;=$C$2,N(C1528)&gt;=$E$2),"High",IF(OR(N(B1528)&gt;0,N(C1528)&gt;0),"Medium","Low")))</f>
        <v/>
      </c>
      <c r="E1528" s="22" t="n"/>
      <c r="F1528" s="22" t="n"/>
      <c r="G1528" s="22" t="n"/>
      <c r="H1528" s="22" t="n"/>
      <c r="I1528" s="22" t="n"/>
      <c r="J1528" s="22" t="n"/>
      <c r="K1528" s="22" t="n"/>
      <c r="L1528" s="22" t="n"/>
      <c r="M1528" s="22">
        <f>IF(K1528="Override",L1528,IF(K1528="Accept suggestion",F1528,IF(K1528="No change (same URL)",A1528,"")))</f>
        <v/>
      </c>
      <c r="N1528" s="22">
        <f>IF(A1528="","",IF(K1528="410 Gone","410",IF(K1528="404","404",IF(K1528="No change (same URL)","none",IF(M1528="","","301")))))</f>
        <v/>
      </c>
      <c r="O1528" s="22">
        <f>IF(A1528="","",IFERROR(MID(A1528,FIND("/",A1528,FIND("//",A1528)+2),2000),A1528))</f>
        <v/>
      </c>
      <c r="P1528" s="22">
        <f>IF(OR(O1528="",N1528="",N1528="none",N1528="404"),"",IF(N1528="410","Redirect gone "&amp;O1528,"Redirect "&amp;N1528&amp;" "&amp;O1528&amp;" "&amp;M1528))</f>
        <v/>
      </c>
      <c r="Q1528" s="22" t="n"/>
      <c r="R1528" s="22" t="n"/>
      <c r="S1528" s="22" t="n"/>
      <c r="T1528" s="4">
        <f>IF(A1528="","",TRIM(IF(K1528="","Needs decision; ","")&amp;IF(AND(K1528="Accept suggestion",F1528=""),"No suggestion to accept; ","")&amp;IF(AND(K1528="Override",L1528=""),"Override URL missing; ","")&amp;IF(AND(K1528="Accept suggestion",N(G1528)&lt;$G$2),"Below your threshold; ","")&amp;IF(AND(M1528&lt;&gt;"",M1528=A1528,K1528&lt;&gt;"No change (same URL)"),"Redirects to itself; ","")&amp;IF(AND(M1528&lt;&gt;"",OR(M1528="/",AND(LEFT(M1528,4)="http",OR((LEN(M1528)-LEN(SUBSTITUTE(M1528,"/","")))=2,AND((LEN(M1528)-LEN(SUBSTITUTE(M1528,"/","")))=3,RIGHT(M1528,1)="/"))))),"Home page redirect; ","")&amp;IF(N(R1528)&gt;1,"Chain; ","")&amp;IF(S1528="No","Destination not 200; ","")))</f>
        <v/>
      </c>
      <c r="U1528" s="22" t="n"/>
      <c r="V1528" s="22" t="n"/>
      <c r="W1528" s="4" t="n"/>
    </row>
    <row r="1529">
      <c r="A1529" s="22" t="n"/>
      <c r="B1529" s="22" t="n"/>
      <c r="C1529" s="22" t="n"/>
      <c r="D1529" s="22">
        <f>IF(A1529="","",IF(OR(N(B1529)&gt;=$C$2,N(C1529)&gt;=$E$2),"High",IF(OR(N(B1529)&gt;0,N(C1529)&gt;0),"Medium","Low")))</f>
        <v/>
      </c>
      <c r="E1529" s="22" t="n"/>
      <c r="F1529" s="22" t="n"/>
      <c r="G1529" s="22" t="n"/>
      <c r="H1529" s="22" t="n"/>
      <c r="I1529" s="22" t="n"/>
      <c r="J1529" s="22" t="n"/>
      <c r="K1529" s="22" t="n"/>
      <c r="L1529" s="22" t="n"/>
      <c r="M1529" s="22">
        <f>IF(K1529="Override",L1529,IF(K1529="Accept suggestion",F1529,IF(K1529="No change (same URL)",A1529,"")))</f>
        <v/>
      </c>
      <c r="N1529" s="22">
        <f>IF(A1529="","",IF(K1529="410 Gone","410",IF(K1529="404","404",IF(K1529="No change (same URL)","none",IF(M1529="","","301")))))</f>
        <v/>
      </c>
      <c r="O1529" s="22">
        <f>IF(A1529="","",IFERROR(MID(A1529,FIND("/",A1529,FIND("//",A1529)+2),2000),A1529))</f>
        <v/>
      </c>
      <c r="P1529" s="22">
        <f>IF(OR(O1529="",N1529="",N1529="none",N1529="404"),"",IF(N1529="410","Redirect gone "&amp;O1529,"Redirect "&amp;N1529&amp;" "&amp;O1529&amp;" "&amp;M1529))</f>
        <v/>
      </c>
      <c r="Q1529" s="22" t="n"/>
      <c r="R1529" s="22" t="n"/>
      <c r="S1529" s="22" t="n"/>
      <c r="T1529" s="4">
        <f>IF(A1529="","",TRIM(IF(K1529="","Needs decision; ","")&amp;IF(AND(K1529="Accept suggestion",F1529=""),"No suggestion to accept; ","")&amp;IF(AND(K1529="Override",L1529=""),"Override URL missing; ","")&amp;IF(AND(K1529="Accept suggestion",N(G1529)&lt;$G$2),"Below your threshold; ","")&amp;IF(AND(M1529&lt;&gt;"",M1529=A1529,K1529&lt;&gt;"No change (same URL)"),"Redirects to itself; ","")&amp;IF(AND(M1529&lt;&gt;"",OR(M1529="/",AND(LEFT(M1529,4)="http",OR((LEN(M1529)-LEN(SUBSTITUTE(M1529,"/","")))=2,AND((LEN(M1529)-LEN(SUBSTITUTE(M1529,"/","")))=3,RIGHT(M1529,1)="/"))))),"Home page redirect; ","")&amp;IF(N(R1529)&gt;1,"Chain; ","")&amp;IF(S1529="No","Destination not 200; ","")))</f>
        <v/>
      </c>
      <c r="U1529" s="22" t="n"/>
      <c r="V1529" s="22" t="n"/>
      <c r="W1529" s="4" t="n"/>
    </row>
    <row r="1530">
      <c r="A1530" s="22" t="n"/>
      <c r="B1530" s="22" t="n"/>
      <c r="C1530" s="22" t="n"/>
      <c r="D1530" s="22">
        <f>IF(A1530="","",IF(OR(N(B1530)&gt;=$C$2,N(C1530)&gt;=$E$2),"High",IF(OR(N(B1530)&gt;0,N(C1530)&gt;0),"Medium","Low")))</f>
        <v/>
      </c>
      <c r="E1530" s="22" t="n"/>
      <c r="F1530" s="22" t="n"/>
      <c r="G1530" s="22" t="n"/>
      <c r="H1530" s="22" t="n"/>
      <c r="I1530" s="22" t="n"/>
      <c r="J1530" s="22" t="n"/>
      <c r="K1530" s="22" t="n"/>
      <c r="L1530" s="22" t="n"/>
      <c r="M1530" s="22">
        <f>IF(K1530="Override",L1530,IF(K1530="Accept suggestion",F1530,IF(K1530="No change (same URL)",A1530,"")))</f>
        <v/>
      </c>
      <c r="N1530" s="22">
        <f>IF(A1530="","",IF(K1530="410 Gone","410",IF(K1530="404","404",IF(K1530="No change (same URL)","none",IF(M1530="","","301")))))</f>
        <v/>
      </c>
      <c r="O1530" s="22">
        <f>IF(A1530="","",IFERROR(MID(A1530,FIND("/",A1530,FIND("//",A1530)+2),2000),A1530))</f>
        <v/>
      </c>
      <c r="P1530" s="22">
        <f>IF(OR(O1530="",N1530="",N1530="none",N1530="404"),"",IF(N1530="410","Redirect gone "&amp;O1530,"Redirect "&amp;N1530&amp;" "&amp;O1530&amp;" "&amp;M1530))</f>
        <v/>
      </c>
      <c r="Q1530" s="22" t="n"/>
      <c r="R1530" s="22" t="n"/>
      <c r="S1530" s="22" t="n"/>
      <c r="T1530" s="4">
        <f>IF(A1530="","",TRIM(IF(K1530="","Needs decision; ","")&amp;IF(AND(K1530="Accept suggestion",F1530=""),"No suggestion to accept; ","")&amp;IF(AND(K1530="Override",L1530=""),"Override URL missing; ","")&amp;IF(AND(K1530="Accept suggestion",N(G1530)&lt;$G$2),"Below your threshold; ","")&amp;IF(AND(M1530&lt;&gt;"",M1530=A1530,K1530&lt;&gt;"No change (same URL)"),"Redirects to itself; ","")&amp;IF(AND(M1530&lt;&gt;"",OR(M1530="/",AND(LEFT(M1530,4)="http",OR((LEN(M1530)-LEN(SUBSTITUTE(M1530,"/","")))=2,AND((LEN(M1530)-LEN(SUBSTITUTE(M1530,"/","")))=3,RIGHT(M1530,1)="/"))))),"Home page redirect; ","")&amp;IF(N(R1530)&gt;1,"Chain; ","")&amp;IF(S1530="No","Destination not 200; ","")))</f>
        <v/>
      </c>
      <c r="U1530" s="22" t="n"/>
      <c r="V1530" s="22" t="n"/>
      <c r="W1530" s="4" t="n"/>
    </row>
    <row r="1531">
      <c r="A1531" s="22" t="n"/>
      <c r="B1531" s="22" t="n"/>
      <c r="C1531" s="22" t="n"/>
      <c r="D1531" s="22">
        <f>IF(A1531="","",IF(OR(N(B1531)&gt;=$C$2,N(C1531)&gt;=$E$2),"High",IF(OR(N(B1531)&gt;0,N(C1531)&gt;0),"Medium","Low")))</f>
        <v/>
      </c>
      <c r="E1531" s="22" t="n"/>
      <c r="F1531" s="22" t="n"/>
      <c r="G1531" s="22" t="n"/>
      <c r="H1531" s="22" t="n"/>
      <c r="I1531" s="22" t="n"/>
      <c r="J1531" s="22" t="n"/>
      <c r="K1531" s="22" t="n"/>
      <c r="L1531" s="22" t="n"/>
      <c r="M1531" s="22">
        <f>IF(K1531="Override",L1531,IF(K1531="Accept suggestion",F1531,IF(K1531="No change (same URL)",A1531,"")))</f>
        <v/>
      </c>
      <c r="N1531" s="22">
        <f>IF(A1531="","",IF(K1531="410 Gone","410",IF(K1531="404","404",IF(K1531="No change (same URL)","none",IF(M1531="","","301")))))</f>
        <v/>
      </c>
      <c r="O1531" s="22">
        <f>IF(A1531="","",IFERROR(MID(A1531,FIND("/",A1531,FIND("//",A1531)+2),2000),A1531))</f>
        <v/>
      </c>
      <c r="P1531" s="22">
        <f>IF(OR(O1531="",N1531="",N1531="none",N1531="404"),"",IF(N1531="410","Redirect gone "&amp;O1531,"Redirect "&amp;N1531&amp;" "&amp;O1531&amp;" "&amp;M1531))</f>
        <v/>
      </c>
      <c r="Q1531" s="22" t="n"/>
      <c r="R1531" s="22" t="n"/>
      <c r="S1531" s="22" t="n"/>
      <c r="T1531" s="4">
        <f>IF(A1531="","",TRIM(IF(K1531="","Needs decision; ","")&amp;IF(AND(K1531="Accept suggestion",F1531=""),"No suggestion to accept; ","")&amp;IF(AND(K1531="Override",L1531=""),"Override URL missing; ","")&amp;IF(AND(K1531="Accept suggestion",N(G1531)&lt;$G$2),"Below your threshold; ","")&amp;IF(AND(M1531&lt;&gt;"",M1531=A1531,K1531&lt;&gt;"No change (same URL)"),"Redirects to itself; ","")&amp;IF(AND(M1531&lt;&gt;"",OR(M1531="/",AND(LEFT(M1531,4)="http",OR((LEN(M1531)-LEN(SUBSTITUTE(M1531,"/","")))=2,AND((LEN(M1531)-LEN(SUBSTITUTE(M1531,"/","")))=3,RIGHT(M1531,1)="/"))))),"Home page redirect; ","")&amp;IF(N(R1531)&gt;1,"Chain; ","")&amp;IF(S1531="No","Destination not 200; ","")))</f>
        <v/>
      </c>
      <c r="U1531" s="22" t="n"/>
      <c r="V1531" s="22" t="n"/>
      <c r="W1531" s="4" t="n"/>
    </row>
    <row r="1532">
      <c r="A1532" s="22" t="n"/>
      <c r="B1532" s="22" t="n"/>
      <c r="C1532" s="22" t="n"/>
      <c r="D1532" s="22">
        <f>IF(A1532="","",IF(OR(N(B1532)&gt;=$C$2,N(C1532)&gt;=$E$2),"High",IF(OR(N(B1532)&gt;0,N(C1532)&gt;0),"Medium","Low")))</f>
        <v/>
      </c>
      <c r="E1532" s="22" t="n"/>
      <c r="F1532" s="22" t="n"/>
      <c r="G1532" s="22" t="n"/>
      <c r="H1532" s="22" t="n"/>
      <c r="I1532" s="22" t="n"/>
      <c r="J1532" s="22" t="n"/>
      <c r="K1532" s="22" t="n"/>
      <c r="L1532" s="22" t="n"/>
      <c r="M1532" s="22">
        <f>IF(K1532="Override",L1532,IF(K1532="Accept suggestion",F1532,IF(K1532="No change (same URL)",A1532,"")))</f>
        <v/>
      </c>
      <c r="N1532" s="22">
        <f>IF(A1532="","",IF(K1532="410 Gone","410",IF(K1532="404","404",IF(K1532="No change (same URL)","none",IF(M1532="","","301")))))</f>
        <v/>
      </c>
      <c r="O1532" s="22">
        <f>IF(A1532="","",IFERROR(MID(A1532,FIND("/",A1532,FIND("//",A1532)+2),2000),A1532))</f>
        <v/>
      </c>
      <c r="P1532" s="22">
        <f>IF(OR(O1532="",N1532="",N1532="none",N1532="404"),"",IF(N1532="410","Redirect gone "&amp;O1532,"Redirect "&amp;N1532&amp;" "&amp;O1532&amp;" "&amp;M1532))</f>
        <v/>
      </c>
      <c r="Q1532" s="22" t="n"/>
      <c r="R1532" s="22" t="n"/>
      <c r="S1532" s="22" t="n"/>
      <c r="T1532" s="4">
        <f>IF(A1532="","",TRIM(IF(K1532="","Needs decision; ","")&amp;IF(AND(K1532="Accept suggestion",F1532=""),"No suggestion to accept; ","")&amp;IF(AND(K1532="Override",L1532=""),"Override URL missing; ","")&amp;IF(AND(K1532="Accept suggestion",N(G1532)&lt;$G$2),"Below your threshold; ","")&amp;IF(AND(M1532&lt;&gt;"",M1532=A1532,K1532&lt;&gt;"No change (same URL)"),"Redirects to itself; ","")&amp;IF(AND(M1532&lt;&gt;"",OR(M1532="/",AND(LEFT(M1532,4)="http",OR((LEN(M1532)-LEN(SUBSTITUTE(M1532,"/","")))=2,AND((LEN(M1532)-LEN(SUBSTITUTE(M1532,"/","")))=3,RIGHT(M1532,1)="/"))))),"Home page redirect; ","")&amp;IF(N(R1532)&gt;1,"Chain; ","")&amp;IF(S1532="No","Destination not 200; ","")))</f>
        <v/>
      </c>
      <c r="U1532" s="22" t="n"/>
      <c r="V1532" s="22" t="n"/>
      <c r="W1532" s="4" t="n"/>
    </row>
    <row r="1533">
      <c r="A1533" s="22" t="n"/>
      <c r="B1533" s="22" t="n"/>
      <c r="C1533" s="22" t="n"/>
      <c r="D1533" s="22">
        <f>IF(A1533="","",IF(OR(N(B1533)&gt;=$C$2,N(C1533)&gt;=$E$2),"High",IF(OR(N(B1533)&gt;0,N(C1533)&gt;0),"Medium","Low")))</f>
        <v/>
      </c>
      <c r="E1533" s="22" t="n"/>
      <c r="F1533" s="22" t="n"/>
      <c r="G1533" s="22" t="n"/>
      <c r="H1533" s="22" t="n"/>
      <c r="I1533" s="22" t="n"/>
      <c r="J1533" s="22" t="n"/>
      <c r="K1533" s="22" t="n"/>
      <c r="L1533" s="22" t="n"/>
      <c r="M1533" s="22">
        <f>IF(K1533="Override",L1533,IF(K1533="Accept suggestion",F1533,IF(K1533="No change (same URL)",A1533,"")))</f>
        <v/>
      </c>
      <c r="N1533" s="22">
        <f>IF(A1533="","",IF(K1533="410 Gone","410",IF(K1533="404","404",IF(K1533="No change (same URL)","none",IF(M1533="","","301")))))</f>
        <v/>
      </c>
      <c r="O1533" s="22">
        <f>IF(A1533="","",IFERROR(MID(A1533,FIND("/",A1533,FIND("//",A1533)+2),2000),A1533))</f>
        <v/>
      </c>
      <c r="P1533" s="22">
        <f>IF(OR(O1533="",N1533="",N1533="none",N1533="404"),"",IF(N1533="410","Redirect gone "&amp;O1533,"Redirect "&amp;N1533&amp;" "&amp;O1533&amp;" "&amp;M1533))</f>
        <v/>
      </c>
      <c r="Q1533" s="22" t="n"/>
      <c r="R1533" s="22" t="n"/>
      <c r="S1533" s="22" t="n"/>
      <c r="T1533" s="4">
        <f>IF(A1533="","",TRIM(IF(K1533="","Needs decision; ","")&amp;IF(AND(K1533="Accept suggestion",F1533=""),"No suggestion to accept; ","")&amp;IF(AND(K1533="Override",L1533=""),"Override URL missing; ","")&amp;IF(AND(K1533="Accept suggestion",N(G1533)&lt;$G$2),"Below your threshold; ","")&amp;IF(AND(M1533&lt;&gt;"",M1533=A1533,K1533&lt;&gt;"No change (same URL)"),"Redirects to itself; ","")&amp;IF(AND(M1533&lt;&gt;"",OR(M1533="/",AND(LEFT(M1533,4)="http",OR((LEN(M1533)-LEN(SUBSTITUTE(M1533,"/","")))=2,AND((LEN(M1533)-LEN(SUBSTITUTE(M1533,"/","")))=3,RIGHT(M1533,1)="/"))))),"Home page redirect; ","")&amp;IF(N(R1533)&gt;1,"Chain; ","")&amp;IF(S1533="No","Destination not 200; ","")))</f>
        <v/>
      </c>
      <c r="U1533" s="22" t="n"/>
      <c r="V1533" s="22" t="n"/>
      <c r="W1533" s="4" t="n"/>
    </row>
    <row r="1534">
      <c r="A1534" s="22" t="n"/>
      <c r="B1534" s="22" t="n"/>
      <c r="C1534" s="22" t="n"/>
      <c r="D1534" s="22">
        <f>IF(A1534="","",IF(OR(N(B1534)&gt;=$C$2,N(C1534)&gt;=$E$2),"High",IF(OR(N(B1534)&gt;0,N(C1534)&gt;0),"Medium","Low")))</f>
        <v/>
      </c>
      <c r="E1534" s="22" t="n"/>
      <c r="F1534" s="22" t="n"/>
      <c r="G1534" s="22" t="n"/>
      <c r="H1534" s="22" t="n"/>
      <c r="I1534" s="22" t="n"/>
      <c r="J1534" s="22" t="n"/>
      <c r="K1534" s="22" t="n"/>
      <c r="L1534" s="22" t="n"/>
      <c r="M1534" s="22">
        <f>IF(K1534="Override",L1534,IF(K1534="Accept suggestion",F1534,IF(K1534="No change (same URL)",A1534,"")))</f>
        <v/>
      </c>
      <c r="N1534" s="22">
        <f>IF(A1534="","",IF(K1534="410 Gone","410",IF(K1534="404","404",IF(K1534="No change (same URL)","none",IF(M1534="","","301")))))</f>
        <v/>
      </c>
      <c r="O1534" s="22">
        <f>IF(A1534="","",IFERROR(MID(A1534,FIND("/",A1534,FIND("//",A1534)+2),2000),A1534))</f>
        <v/>
      </c>
      <c r="P1534" s="22">
        <f>IF(OR(O1534="",N1534="",N1534="none",N1534="404"),"",IF(N1534="410","Redirect gone "&amp;O1534,"Redirect "&amp;N1534&amp;" "&amp;O1534&amp;" "&amp;M1534))</f>
        <v/>
      </c>
      <c r="Q1534" s="22" t="n"/>
      <c r="R1534" s="22" t="n"/>
      <c r="S1534" s="22" t="n"/>
      <c r="T1534" s="4">
        <f>IF(A1534="","",TRIM(IF(K1534="","Needs decision; ","")&amp;IF(AND(K1534="Accept suggestion",F1534=""),"No suggestion to accept; ","")&amp;IF(AND(K1534="Override",L1534=""),"Override URL missing; ","")&amp;IF(AND(K1534="Accept suggestion",N(G1534)&lt;$G$2),"Below your threshold; ","")&amp;IF(AND(M1534&lt;&gt;"",M1534=A1534,K1534&lt;&gt;"No change (same URL)"),"Redirects to itself; ","")&amp;IF(AND(M1534&lt;&gt;"",OR(M1534="/",AND(LEFT(M1534,4)="http",OR((LEN(M1534)-LEN(SUBSTITUTE(M1534,"/","")))=2,AND((LEN(M1534)-LEN(SUBSTITUTE(M1534,"/","")))=3,RIGHT(M1534,1)="/"))))),"Home page redirect; ","")&amp;IF(N(R1534)&gt;1,"Chain; ","")&amp;IF(S1534="No","Destination not 200; ","")))</f>
        <v/>
      </c>
      <c r="U1534" s="22" t="n"/>
      <c r="V1534" s="22" t="n"/>
      <c r="W1534" s="4" t="n"/>
    </row>
    <row r="1535">
      <c r="A1535" s="22" t="n"/>
      <c r="B1535" s="22" t="n"/>
      <c r="C1535" s="22" t="n"/>
      <c r="D1535" s="22">
        <f>IF(A1535="","",IF(OR(N(B1535)&gt;=$C$2,N(C1535)&gt;=$E$2),"High",IF(OR(N(B1535)&gt;0,N(C1535)&gt;0),"Medium","Low")))</f>
        <v/>
      </c>
      <c r="E1535" s="22" t="n"/>
      <c r="F1535" s="22" t="n"/>
      <c r="G1535" s="22" t="n"/>
      <c r="H1535" s="22" t="n"/>
      <c r="I1535" s="22" t="n"/>
      <c r="J1535" s="22" t="n"/>
      <c r="K1535" s="22" t="n"/>
      <c r="L1535" s="22" t="n"/>
      <c r="M1535" s="22">
        <f>IF(K1535="Override",L1535,IF(K1535="Accept suggestion",F1535,IF(K1535="No change (same URL)",A1535,"")))</f>
        <v/>
      </c>
      <c r="N1535" s="22">
        <f>IF(A1535="","",IF(K1535="410 Gone","410",IF(K1535="404","404",IF(K1535="No change (same URL)","none",IF(M1535="","","301")))))</f>
        <v/>
      </c>
      <c r="O1535" s="22">
        <f>IF(A1535="","",IFERROR(MID(A1535,FIND("/",A1535,FIND("//",A1535)+2),2000),A1535))</f>
        <v/>
      </c>
      <c r="P1535" s="22">
        <f>IF(OR(O1535="",N1535="",N1535="none",N1535="404"),"",IF(N1535="410","Redirect gone "&amp;O1535,"Redirect "&amp;N1535&amp;" "&amp;O1535&amp;" "&amp;M1535))</f>
        <v/>
      </c>
      <c r="Q1535" s="22" t="n"/>
      <c r="R1535" s="22" t="n"/>
      <c r="S1535" s="22" t="n"/>
      <c r="T1535" s="4">
        <f>IF(A1535="","",TRIM(IF(K1535="","Needs decision; ","")&amp;IF(AND(K1535="Accept suggestion",F1535=""),"No suggestion to accept; ","")&amp;IF(AND(K1535="Override",L1535=""),"Override URL missing; ","")&amp;IF(AND(K1535="Accept suggestion",N(G1535)&lt;$G$2),"Below your threshold; ","")&amp;IF(AND(M1535&lt;&gt;"",M1535=A1535,K1535&lt;&gt;"No change (same URL)"),"Redirects to itself; ","")&amp;IF(AND(M1535&lt;&gt;"",OR(M1535="/",AND(LEFT(M1535,4)="http",OR((LEN(M1535)-LEN(SUBSTITUTE(M1535,"/","")))=2,AND((LEN(M1535)-LEN(SUBSTITUTE(M1535,"/","")))=3,RIGHT(M1535,1)="/"))))),"Home page redirect; ","")&amp;IF(N(R1535)&gt;1,"Chain; ","")&amp;IF(S1535="No","Destination not 200; ","")))</f>
        <v/>
      </c>
      <c r="U1535" s="22" t="n"/>
      <c r="V1535" s="22" t="n"/>
      <c r="W1535" s="4" t="n"/>
    </row>
    <row r="1536">
      <c r="A1536" s="22" t="n"/>
      <c r="B1536" s="22" t="n"/>
      <c r="C1536" s="22" t="n"/>
      <c r="D1536" s="22">
        <f>IF(A1536="","",IF(OR(N(B1536)&gt;=$C$2,N(C1536)&gt;=$E$2),"High",IF(OR(N(B1536)&gt;0,N(C1536)&gt;0),"Medium","Low")))</f>
        <v/>
      </c>
      <c r="E1536" s="22" t="n"/>
      <c r="F1536" s="22" t="n"/>
      <c r="G1536" s="22" t="n"/>
      <c r="H1536" s="22" t="n"/>
      <c r="I1536" s="22" t="n"/>
      <c r="J1536" s="22" t="n"/>
      <c r="K1536" s="22" t="n"/>
      <c r="L1536" s="22" t="n"/>
      <c r="M1536" s="22">
        <f>IF(K1536="Override",L1536,IF(K1536="Accept suggestion",F1536,IF(K1536="No change (same URL)",A1536,"")))</f>
        <v/>
      </c>
      <c r="N1536" s="22">
        <f>IF(A1536="","",IF(K1536="410 Gone","410",IF(K1536="404","404",IF(K1536="No change (same URL)","none",IF(M1536="","","301")))))</f>
        <v/>
      </c>
      <c r="O1536" s="22">
        <f>IF(A1536="","",IFERROR(MID(A1536,FIND("/",A1536,FIND("//",A1536)+2),2000),A1536))</f>
        <v/>
      </c>
      <c r="P1536" s="22">
        <f>IF(OR(O1536="",N1536="",N1536="none",N1536="404"),"",IF(N1536="410","Redirect gone "&amp;O1536,"Redirect "&amp;N1536&amp;" "&amp;O1536&amp;" "&amp;M1536))</f>
        <v/>
      </c>
      <c r="Q1536" s="22" t="n"/>
      <c r="R1536" s="22" t="n"/>
      <c r="S1536" s="22" t="n"/>
      <c r="T1536" s="4">
        <f>IF(A1536="","",TRIM(IF(K1536="","Needs decision; ","")&amp;IF(AND(K1536="Accept suggestion",F1536=""),"No suggestion to accept; ","")&amp;IF(AND(K1536="Override",L1536=""),"Override URL missing; ","")&amp;IF(AND(K1536="Accept suggestion",N(G1536)&lt;$G$2),"Below your threshold; ","")&amp;IF(AND(M1536&lt;&gt;"",M1536=A1536,K1536&lt;&gt;"No change (same URL)"),"Redirects to itself; ","")&amp;IF(AND(M1536&lt;&gt;"",OR(M1536="/",AND(LEFT(M1536,4)="http",OR((LEN(M1536)-LEN(SUBSTITUTE(M1536,"/","")))=2,AND((LEN(M1536)-LEN(SUBSTITUTE(M1536,"/","")))=3,RIGHT(M1536,1)="/"))))),"Home page redirect; ","")&amp;IF(N(R1536)&gt;1,"Chain; ","")&amp;IF(S1536="No","Destination not 200; ","")))</f>
        <v/>
      </c>
      <c r="U1536" s="22" t="n"/>
      <c r="V1536" s="22" t="n"/>
      <c r="W1536" s="4" t="n"/>
    </row>
    <row r="1537">
      <c r="A1537" s="22" t="n"/>
      <c r="B1537" s="22" t="n"/>
      <c r="C1537" s="22" t="n"/>
      <c r="D1537" s="22">
        <f>IF(A1537="","",IF(OR(N(B1537)&gt;=$C$2,N(C1537)&gt;=$E$2),"High",IF(OR(N(B1537)&gt;0,N(C1537)&gt;0),"Medium","Low")))</f>
        <v/>
      </c>
      <c r="E1537" s="22" t="n"/>
      <c r="F1537" s="22" t="n"/>
      <c r="G1537" s="22" t="n"/>
      <c r="H1537" s="22" t="n"/>
      <c r="I1537" s="22" t="n"/>
      <c r="J1537" s="22" t="n"/>
      <c r="K1537" s="22" t="n"/>
      <c r="L1537" s="22" t="n"/>
      <c r="M1537" s="22">
        <f>IF(K1537="Override",L1537,IF(K1537="Accept suggestion",F1537,IF(K1537="No change (same URL)",A1537,"")))</f>
        <v/>
      </c>
      <c r="N1537" s="22">
        <f>IF(A1537="","",IF(K1537="410 Gone","410",IF(K1537="404","404",IF(K1537="No change (same URL)","none",IF(M1537="","","301")))))</f>
        <v/>
      </c>
      <c r="O1537" s="22">
        <f>IF(A1537="","",IFERROR(MID(A1537,FIND("/",A1537,FIND("//",A1537)+2),2000),A1537))</f>
        <v/>
      </c>
      <c r="P1537" s="22">
        <f>IF(OR(O1537="",N1537="",N1537="none",N1537="404"),"",IF(N1537="410","Redirect gone "&amp;O1537,"Redirect "&amp;N1537&amp;" "&amp;O1537&amp;" "&amp;M1537))</f>
        <v/>
      </c>
      <c r="Q1537" s="22" t="n"/>
      <c r="R1537" s="22" t="n"/>
      <c r="S1537" s="22" t="n"/>
      <c r="T1537" s="4">
        <f>IF(A1537="","",TRIM(IF(K1537="","Needs decision; ","")&amp;IF(AND(K1537="Accept suggestion",F1537=""),"No suggestion to accept; ","")&amp;IF(AND(K1537="Override",L1537=""),"Override URL missing; ","")&amp;IF(AND(K1537="Accept suggestion",N(G1537)&lt;$G$2),"Below your threshold; ","")&amp;IF(AND(M1537&lt;&gt;"",M1537=A1537,K1537&lt;&gt;"No change (same URL)"),"Redirects to itself; ","")&amp;IF(AND(M1537&lt;&gt;"",OR(M1537="/",AND(LEFT(M1537,4)="http",OR((LEN(M1537)-LEN(SUBSTITUTE(M1537,"/","")))=2,AND((LEN(M1537)-LEN(SUBSTITUTE(M1537,"/","")))=3,RIGHT(M1537,1)="/"))))),"Home page redirect; ","")&amp;IF(N(R1537)&gt;1,"Chain; ","")&amp;IF(S1537="No","Destination not 200; ","")))</f>
        <v/>
      </c>
      <c r="U1537" s="22" t="n"/>
      <c r="V1537" s="22" t="n"/>
      <c r="W1537" s="4" t="n"/>
    </row>
    <row r="1538">
      <c r="A1538" s="22" t="n"/>
      <c r="B1538" s="22" t="n"/>
      <c r="C1538" s="22" t="n"/>
      <c r="D1538" s="22">
        <f>IF(A1538="","",IF(OR(N(B1538)&gt;=$C$2,N(C1538)&gt;=$E$2),"High",IF(OR(N(B1538)&gt;0,N(C1538)&gt;0),"Medium","Low")))</f>
        <v/>
      </c>
      <c r="E1538" s="22" t="n"/>
      <c r="F1538" s="22" t="n"/>
      <c r="G1538" s="22" t="n"/>
      <c r="H1538" s="22" t="n"/>
      <c r="I1538" s="22" t="n"/>
      <c r="J1538" s="22" t="n"/>
      <c r="K1538" s="22" t="n"/>
      <c r="L1538" s="22" t="n"/>
      <c r="M1538" s="22">
        <f>IF(K1538="Override",L1538,IF(K1538="Accept suggestion",F1538,IF(K1538="No change (same URL)",A1538,"")))</f>
        <v/>
      </c>
      <c r="N1538" s="22">
        <f>IF(A1538="","",IF(K1538="410 Gone","410",IF(K1538="404","404",IF(K1538="No change (same URL)","none",IF(M1538="","","301")))))</f>
        <v/>
      </c>
      <c r="O1538" s="22">
        <f>IF(A1538="","",IFERROR(MID(A1538,FIND("/",A1538,FIND("//",A1538)+2),2000),A1538))</f>
        <v/>
      </c>
      <c r="P1538" s="22">
        <f>IF(OR(O1538="",N1538="",N1538="none",N1538="404"),"",IF(N1538="410","Redirect gone "&amp;O1538,"Redirect "&amp;N1538&amp;" "&amp;O1538&amp;" "&amp;M1538))</f>
        <v/>
      </c>
      <c r="Q1538" s="22" t="n"/>
      <c r="R1538" s="22" t="n"/>
      <c r="S1538" s="22" t="n"/>
      <c r="T1538" s="4">
        <f>IF(A1538="","",TRIM(IF(K1538="","Needs decision; ","")&amp;IF(AND(K1538="Accept suggestion",F1538=""),"No suggestion to accept; ","")&amp;IF(AND(K1538="Override",L1538=""),"Override URL missing; ","")&amp;IF(AND(K1538="Accept suggestion",N(G1538)&lt;$G$2),"Below your threshold; ","")&amp;IF(AND(M1538&lt;&gt;"",M1538=A1538,K1538&lt;&gt;"No change (same URL)"),"Redirects to itself; ","")&amp;IF(AND(M1538&lt;&gt;"",OR(M1538="/",AND(LEFT(M1538,4)="http",OR((LEN(M1538)-LEN(SUBSTITUTE(M1538,"/","")))=2,AND((LEN(M1538)-LEN(SUBSTITUTE(M1538,"/","")))=3,RIGHT(M1538,1)="/"))))),"Home page redirect; ","")&amp;IF(N(R1538)&gt;1,"Chain; ","")&amp;IF(S1538="No","Destination not 200; ","")))</f>
        <v/>
      </c>
      <c r="U1538" s="22" t="n"/>
      <c r="V1538" s="22" t="n"/>
      <c r="W1538" s="4" t="n"/>
    </row>
    <row r="1539">
      <c r="A1539" s="22" t="n"/>
      <c r="B1539" s="22" t="n"/>
      <c r="C1539" s="22" t="n"/>
      <c r="D1539" s="22">
        <f>IF(A1539="","",IF(OR(N(B1539)&gt;=$C$2,N(C1539)&gt;=$E$2),"High",IF(OR(N(B1539)&gt;0,N(C1539)&gt;0),"Medium","Low")))</f>
        <v/>
      </c>
      <c r="E1539" s="22" t="n"/>
      <c r="F1539" s="22" t="n"/>
      <c r="G1539" s="22" t="n"/>
      <c r="H1539" s="22" t="n"/>
      <c r="I1539" s="22" t="n"/>
      <c r="J1539" s="22" t="n"/>
      <c r="K1539" s="22" t="n"/>
      <c r="L1539" s="22" t="n"/>
      <c r="M1539" s="22">
        <f>IF(K1539="Override",L1539,IF(K1539="Accept suggestion",F1539,IF(K1539="No change (same URL)",A1539,"")))</f>
        <v/>
      </c>
      <c r="N1539" s="22">
        <f>IF(A1539="","",IF(K1539="410 Gone","410",IF(K1539="404","404",IF(K1539="No change (same URL)","none",IF(M1539="","","301")))))</f>
        <v/>
      </c>
      <c r="O1539" s="22">
        <f>IF(A1539="","",IFERROR(MID(A1539,FIND("/",A1539,FIND("//",A1539)+2),2000),A1539))</f>
        <v/>
      </c>
      <c r="P1539" s="22">
        <f>IF(OR(O1539="",N1539="",N1539="none",N1539="404"),"",IF(N1539="410","Redirect gone "&amp;O1539,"Redirect "&amp;N1539&amp;" "&amp;O1539&amp;" "&amp;M1539))</f>
        <v/>
      </c>
      <c r="Q1539" s="22" t="n"/>
      <c r="R1539" s="22" t="n"/>
      <c r="S1539" s="22" t="n"/>
      <c r="T1539" s="4">
        <f>IF(A1539="","",TRIM(IF(K1539="","Needs decision; ","")&amp;IF(AND(K1539="Accept suggestion",F1539=""),"No suggestion to accept; ","")&amp;IF(AND(K1539="Override",L1539=""),"Override URL missing; ","")&amp;IF(AND(K1539="Accept suggestion",N(G1539)&lt;$G$2),"Below your threshold; ","")&amp;IF(AND(M1539&lt;&gt;"",M1539=A1539,K1539&lt;&gt;"No change (same URL)"),"Redirects to itself; ","")&amp;IF(AND(M1539&lt;&gt;"",OR(M1539="/",AND(LEFT(M1539,4)="http",OR((LEN(M1539)-LEN(SUBSTITUTE(M1539,"/","")))=2,AND((LEN(M1539)-LEN(SUBSTITUTE(M1539,"/","")))=3,RIGHT(M1539,1)="/"))))),"Home page redirect; ","")&amp;IF(N(R1539)&gt;1,"Chain; ","")&amp;IF(S1539="No","Destination not 200; ","")))</f>
        <v/>
      </c>
      <c r="U1539" s="22" t="n"/>
      <c r="V1539" s="22" t="n"/>
      <c r="W1539" s="4" t="n"/>
    </row>
    <row r="1540">
      <c r="A1540" s="22" t="n"/>
      <c r="B1540" s="22" t="n"/>
      <c r="C1540" s="22" t="n"/>
      <c r="D1540" s="22">
        <f>IF(A1540="","",IF(OR(N(B1540)&gt;=$C$2,N(C1540)&gt;=$E$2),"High",IF(OR(N(B1540)&gt;0,N(C1540)&gt;0),"Medium","Low")))</f>
        <v/>
      </c>
      <c r="E1540" s="22" t="n"/>
      <c r="F1540" s="22" t="n"/>
      <c r="G1540" s="22" t="n"/>
      <c r="H1540" s="22" t="n"/>
      <c r="I1540" s="22" t="n"/>
      <c r="J1540" s="22" t="n"/>
      <c r="K1540" s="22" t="n"/>
      <c r="L1540" s="22" t="n"/>
      <c r="M1540" s="22">
        <f>IF(K1540="Override",L1540,IF(K1540="Accept suggestion",F1540,IF(K1540="No change (same URL)",A1540,"")))</f>
        <v/>
      </c>
      <c r="N1540" s="22">
        <f>IF(A1540="","",IF(K1540="410 Gone","410",IF(K1540="404","404",IF(K1540="No change (same URL)","none",IF(M1540="","","301")))))</f>
        <v/>
      </c>
      <c r="O1540" s="22">
        <f>IF(A1540="","",IFERROR(MID(A1540,FIND("/",A1540,FIND("//",A1540)+2),2000),A1540))</f>
        <v/>
      </c>
      <c r="P1540" s="22">
        <f>IF(OR(O1540="",N1540="",N1540="none",N1540="404"),"",IF(N1540="410","Redirect gone "&amp;O1540,"Redirect "&amp;N1540&amp;" "&amp;O1540&amp;" "&amp;M1540))</f>
        <v/>
      </c>
      <c r="Q1540" s="22" t="n"/>
      <c r="R1540" s="22" t="n"/>
      <c r="S1540" s="22" t="n"/>
      <c r="T1540" s="4">
        <f>IF(A1540="","",TRIM(IF(K1540="","Needs decision; ","")&amp;IF(AND(K1540="Accept suggestion",F1540=""),"No suggestion to accept; ","")&amp;IF(AND(K1540="Override",L1540=""),"Override URL missing; ","")&amp;IF(AND(K1540="Accept suggestion",N(G1540)&lt;$G$2),"Below your threshold; ","")&amp;IF(AND(M1540&lt;&gt;"",M1540=A1540,K1540&lt;&gt;"No change (same URL)"),"Redirects to itself; ","")&amp;IF(AND(M1540&lt;&gt;"",OR(M1540="/",AND(LEFT(M1540,4)="http",OR((LEN(M1540)-LEN(SUBSTITUTE(M1540,"/","")))=2,AND((LEN(M1540)-LEN(SUBSTITUTE(M1540,"/","")))=3,RIGHT(M1540,1)="/"))))),"Home page redirect; ","")&amp;IF(N(R1540)&gt;1,"Chain; ","")&amp;IF(S1540="No","Destination not 200; ","")))</f>
        <v/>
      </c>
      <c r="U1540" s="22" t="n"/>
      <c r="V1540" s="22" t="n"/>
      <c r="W1540" s="4" t="n"/>
    </row>
    <row r="1541">
      <c r="A1541" s="22" t="n"/>
      <c r="B1541" s="22" t="n"/>
      <c r="C1541" s="22" t="n"/>
      <c r="D1541" s="22">
        <f>IF(A1541="","",IF(OR(N(B1541)&gt;=$C$2,N(C1541)&gt;=$E$2),"High",IF(OR(N(B1541)&gt;0,N(C1541)&gt;0),"Medium","Low")))</f>
        <v/>
      </c>
      <c r="E1541" s="22" t="n"/>
      <c r="F1541" s="22" t="n"/>
      <c r="G1541" s="22" t="n"/>
      <c r="H1541" s="22" t="n"/>
      <c r="I1541" s="22" t="n"/>
      <c r="J1541" s="22" t="n"/>
      <c r="K1541" s="22" t="n"/>
      <c r="L1541" s="22" t="n"/>
      <c r="M1541" s="22">
        <f>IF(K1541="Override",L1541,IF(K1541="Accept suggestion",F1541,IF(K1541="No change (same URL)",A1541,"")))</f>
        <v/>
      </c>
      <c r="N1541" s="22">
        <f>IF(A1541="","",IF(K1541="410 Gone","410",IF(K1541="404","404",IF(K1541="No change (same URL)","none",IF(M1541="","","301")))))</f>
        <v/>
      </c>
      <c r="O1541" s="22">
        <f>IF(A1541="","",IFERROR(MID(A1541,FIND("/",A1541,FIND("//",A1541)+2),2000),A1541))</f>
        <v/>
      </c>
      <c r="P1541" s="22">
        <f>IF(OR(O1541="",N1541="",N1541="none",N1541="404"),"",IF(N1541="410","Redirect gone "&amp;O1541,"Redirect "&amp;N1541&amp;" "&amp;O1541&amp;" "&amp;M1541))</f>
        <v/>
      </c>
      <c r="Q1541" s="22" t="n"/>
      <c r="R1541" s="22" t="n"/>
      <c r="S1541" s="22" t="n"/>
      <c r="T1541" s="4">
        <f>IF(A1541="","",TRIM(IF(K1541="","Needs decision; ","")&amp;IF(AND(K1541="Accept suggestion",F1541=""),"No suggestion to accept; ","")&amp;IF(AND(K1541="Override",L1541=""),"Override URL missing; ","")&amp;IF(AND(K1541="Accept suggestion",N(G1541)&lt;$G$2),"Below your threshold; ","")&amp;IF(AND(M1541&lt;&gt;"",M1541=A1541,K1541&lt;&gt;"No change (same URL)"),"Redirects to itself; ","")&amp;IF(AND(M1541&lt;&gt;"",OR(M1541="/",AND(LEFT(M1541,4)="http",OR((LEN(M1541)-LEN(SUBSTITUTE(M1541,"/","")))=2,AND((LEN(M1541)-LEN(SUBSTITUTE(M1541,"/","")))=3,RIGHT(M1541,1)="/"))))),"Home page redirect; ","")&amp;IF(N(R1541)&gt;1,"Chain; ","")&amp;IF(S1541="No","Destination not 200; ","")))</f>
        <v/>
      </c>
      <c r="U1541" s="22" t="n"/>
      <c r="V1541" s="22" t="n"/>
      <c r="W1541" s="4" t="n"/>
    </row>
    <row r="1542">
      <c r="A1542" s="22" t="n"/>
      <c r="B1542" s="22" t="n"/>
      <c r="C1542" s="22" t="n"/>
      <c r="D1542" s="22">
        <f>IF(A1542="","",IF(OR(N(B1542)&gt;=$C$2,N(C1542)&gt;=$E$2),"High",IF(OR(N(B1542)&gt;0,N(C1542)&gt;0),"Medium","Low")))</f>
        <v/>
      </c>
      <c r="E1542" s="22" t="n"/>
      <c r="F1542" s="22" t="n"/>
      <c r="G1542" s="22" t="n"/>
      <c r="H1542" s="22" t="n"/>
      <c r="I1542" s="22" t="n"/>
      <c r="J1542" s="22" t="n"/>
      <c r="K1542" s="22" t="n"/>
      <c r="L1542" s="22" t="n"/>
      <c r="M1542" s="22">
        <f>IF(K1542="Override",L1542,IF(K1542="Accept suggestion",F1542,IF(K1542="No change (same URL)",A1542,"")))</f>
        <v/>
      </c>
      <c r="N1542" s="22">
        <f>IF(A1542="","",IF(K1542="410 Gone","410",IF(K1542="404","404",IF(K1542="No change (same URL)","none",IF(M1542="","","301")))))</f>
        <v/>
      </c>
      <c r="O1542" s="22">
        <f>IF(A1542="","",IFERROR(MID(A1542,FIND("/",A1542,FIND("//",A1542)+2),2000),A1542))</f>
        <v/>
      </c>
      <c r="P1542" s="22">
        <f>IF(OR(O1542="",N1542="",N1542="none",N1542="404"),"",IF(N1542="410","Redirect gone "&amp;O1542,"Redirect "&amp;N1542&amp;" "&amp;O1542&amp;" "&amp;M1542))</f>
        <v/>
      </c>
      <c r="Q1542" s="22" t="n"/>
      <c r="R1542" s="22" t="n"/>
      <c r="S1542" s="22" t="n"/>
      <c r="T1542" s="4">
        <f>IF(A1542="","",TRIM(IF(K1542="","Needs decision; ","")&amp;IF(AND(K1542="Accept suggestion",F1542=""),"No suggestion to accept; ","")&amp;IF(AND(K1542="Override",L1542=""),"Override URL missing; ","")&amp;IF(AND(K1542="Accept suggestion",N(G1542)&lt;$G$2),"Below your threshold; ","")&amp;IF(AND(M1542&lt;&gt;"",M1542=A1542,K1542&lt;&gt;"No change (same URL)"),"Redirects to itself; ","")&amp;IF(AND(M1542&lt;&gt;"",OR(M1542="/",AND(LEFT(M1542,4)="http",OR((LEN(M1542)-LEN(SUBSTITUTE(M1542,"/","")))=2,AND((LEN(M1542)-LEN(SUBSTITUTE(M1542,"/","")))=3,RIGHT(M1542,1)="/"))))),"Home page redirect; ","")&amp;IF(N(R1542)&gt;1,"Chain; ","")&amp;IF(S1542="No","Destination not 200; ","")))</f>
        <v/>
      </c>
      <c r="U1542" s="22" t="n"/>
      <c r="V1542" s="22" t="n"/>
      <c r="W1542" s="4" t="n"/>
    </row>
    <row r="1543">
      <c r="A1543" s="22" t="n"/>
      <c r="B1543" s="22" t="n"/>
      <c r="C1543" s="22" t="n"/>
      <c r="D1543" s="22">
        <f>IF(A1543="","",IF(OR(N(B1543)&gt;=$C$2,N(C1543)&gt;=$E$2),"High",IF(OR(N(B1543)&gt;0,N(C1543)&gt;0),"Medium","Low")))</f>
        <v/>
      </c>
      <c r="E1543" s="22" t="n"/>
      <c r="F1543" s="22" t="n"/>
      <c r="G1543" s="22" t="n"/>
      <c r="H1543" s="22" t="n"/>
      <c r="I1543" s="22" t="n"/>
      <c r="J1543" s="22" t="n"/>
      <c r="K1543" s="22" t="n"/>
      <c r="L1543" s="22" t="n"/>
      <c r="M1543" s="22">
        <f>IF(K1543="Override",L1543,IF(K1543="Accept suggestion",F1543,IF(K1543="No change (same URL)",A1543,"")))</f>
        <v/>
      </c>
      <c r="N1543" s="22">
        <f>IF(A1543="","",IF(K1543="410 Gone","410",IF(K1543="404","404",IF(K1543="No change (same URL)","none",IF(M1543="","","301")))))</f>
        <v/>
      </c>
      <c r="O1543" s="22">
        <f>IF(A1543="","",IFERROR(MID(A1543,FIND("/",A1543,FIND("//",A1543)+2),2000),A1543))</f>
        <v/>
      </c>
      <c r="P1543" s="22">
        <f>IF(OR(O1543="",N1543="",N1543="none",N1543="404"),"",IF(N1543="410","Redirect gone "&amp;O1543,"Redirect "&amp;N1543&amp;" "&amp;O1543&amp;" "&amp;M1543))</f>
        <v/>
      </c>
      <c r="Q1543" s="22" t="n"/>
      <c r="R1543" s="22" t="n"/>
      <c r="S1543" s="22" t="n"/>
      <c r="T1543" s="4">
        <f>IF(A1543="","",TRIM(IF(K1543="","Needs decision; ","")&amp;IF(AND(K1543="Accept suggestion",F1543=""),"No suggestion to accept; ","")&amp;IF(AND(K1543="Override",L1543=""),"Override URL missing; ","")&amp;IF(AND(K1543="Accept suggestion",N(G1543)&lt;$G$2),"Below your threshold; ","")&amp;IF(AND(M1543&lt;&gt;"",M1543=A1543,K1543&lt;&gt;"No change (same URL)"),"Redirects to itself; ","")&amp;IF(AND(M1543&lt;&gt;"",OR(M1543="/",AND(LEFT(M1543,4)="http",OR((LEN(M1543)-LEN(SUBSTITUTE(M1543,"/","")))=2,AND((LEN(M1543)-LEN(SUBSTITUTE(M1543,"/","")))=3,RIGHT(M1543,1)="/"))))),"Home page redirect; ","")&amp;IF(N(R1543)&gt;1,"Chain; ","")&amp;IF(S1543="No","Destination not 200; ","")))</f>
        <v/>
      </c>
      <c r="U1543" s="22" t="n"/>
      <c r="V1543" s="22" t="n"/>
      <c r="W1543" s="4" t="n"/>
    </row>
    <row r="1544">
      <c r="A1544" s="22" t="n"/>
      <c r="B1544" s="22" t="n"/>
      <c r="C1544" s="22" t="n"/>
      <c r="D1544" s="22">
        <f>IF(A1544="","",IF(OR(N(B1544)&gt;=$C$2,N(C1544)&gt;=$E$2),"High",IF(OR(N(B1544)&gt;0,N(C1544)&gt;0),"Medium","Low")))</f>
        <v/>
      </c>
      <c r="E1544" s="22" t="n"/>
      <c r="F1544" s="22" t="n"/>
      <c r="G1544" s="22" t="n"/>
      <c r="H1544" s="22" t="n"/>
      <c r="I1544" s="22" t="n"/>
      <c r="J1544" s="22" t="n"/>
      <c r="K1544" s="22" t="n"/>
      <c r="L1544" s="22" t="n"/>
      <c r="M1544" s="22">
        <f>IF(K1544="Override",L1544,IF(K1544="Accept suggestion",F1544,IF(K1544="No change (same URL)",A1544,"")))</f>
        <v/>
      </c>
      <c r="N1544" s="22">
        <f>IF(A1544="","",IF(K1544="410 Gone","410",IF(K1544="404","404",IF(K1544="No change (same URL)","none",IF(M1544="","","301")))))</f>
        <v/>
      </c>
      <c r="O1544" s="22">
        <f>IF(A1544="","",IFERROR(MID(A1544,FIND("/",A1544,FIND("//",A1544)+2),2000),A1544))</f>
        <v/>
      </c>
      <c r="P1544" s="22">
        <f>IF(OR(O1544="",N1544="",N1544="none",N1544="404"),"",IF(N1544="410","Redirect gone "&amp;O1544,"Redirect "&amp;N1544&amp;" "&amp;O1544&amp;" "&amp;M1544))</f>
        <v/>
      </c>
      <c r="Q1544" s="22" t="n"/>
      <c r="R1544" s="22" t="n"/>
      <c r="S1544" s="22" t="n"/>
      <c r="T1544" s="4">
        <f>IF(A1544="","",TRIM(IF(K1544="","Needs decision; ","")&amp;IF(AND(K1544="Accept suggestion",F1544=""),"No suggestion to accept; ","")&amp;IF(AND(K1544="Override",L1544=""),"Override URL missing; ","")&amp;IF(AND(K1544="Accept suggestion",N(G1544)&lt;$G$2),"Below your threshold; ","")&amp;IF(AND(M1544&lt;&gt;"",M1544=A1544,K1544&lt;&gt;"No change (same URL)"),"Redirects to itself; ","")&amp;IF(AND(M1544&lt;&gt;"",OR(M1544="/",AND(LEFT(M1544,4)="http",OR((LEN(M1544)-LEN(SUBSTITUTE(M1544,"/","")))=2,AND((LEN(M1544)-LEN(SUBSTITUTE(M1544,"/","")))=3,RIGHT(M1544,1)="/"))))),"Home page redirect; ","")&amp;IF(N(R1544)&gt;1,"Chain; ","")&amp;IF(S1544="No","Destination not 200; ","")))</f>
        <v/>
      </c>
      <c r="U1544" s="22" t="n"/>
      <c r="V1544" s="22" t="n"/>
      <c r="W1544" s="4" t="n"/>
    </row>
    <row r="1545">
      <c r="A1545" s="22" t="n"/>
      <c r="B1545" s="22" t="n"/>
      <c r="C1545" s="22" t="n"/>
      <c r="D1545" s="22">
        <f>IF(A1545="","",IF(OR(N(B1545)&gt;=$C$2,N(C1545)&gt;=$E$2),"High",IF(OR(N(B1545)&gt;0,N(C1545)&gt;0),"Medium","Low")))</f>
        <v/>
      </c>
      <c r="E1545" s="22" t="n"/>
      <c r="F1545" s="22" t="n"/>
      <c r="G1545" s="22" t="n"/>
      <c r="H1545" s="22" t="n"/>
      <c r="I1545" s="22" t="n"/>
      <c r="J1545" s="22" t="n"/>
      <c r="K1545" s="22" t="n"/>
      <c r="L1545" s="22" t="n"/>
      <c r="M1545" s="22">
        <f>IF(K1545="Override",L1545,IF(K1545="Accept suggestion",F1545,IF(K1545="No change (same URL)",A1545,"")))</f>
        <v/>
      </c>
      <c r="N1545" s="22">
        <f>IF(A1545="","",IF(K1545="410 Gone","410",IF(K1545="404","404",IF(K1545="No change (same URL)","none",IF(M1545="","","301")))))</f>
        <v/>
      </c>
      <c r="O1545" s="22">
        <f>IF(A1545="","",IFERROR(MID(A1545,FIND("/",A1545,FIND("//",A1545)+2),2000),A1545))</f>
        <v/>
      </c>
      <c r="P1545" s="22">
        <f>IF(OR(O1545="",N1545="",N1545="none",N1545="404"),"",IF(N1545="410","Redirect gone "&amp;O1545,"Redirect "&amp;N1545&amp;" "&amp;O1545&amp;" "&amp;M1545))</f>
        <v/>
      </c>
      <c r="Q1545" s="22" t="n"/>
      <c r="R1545" s="22" t="n"/>
      <c r="S1545" s="22" t="n"/>
      <c r="T1545" s="4">
        <f>IF(A1545="","",TRIM(IF(K1545="","Needs decision; ","")&amp;IF(AND(K1545="Accept suggestion",F1545=""),"No suggestion to accept; ","")&amp;IF(AND(K1545="Override",L1545=""),"Override URL missing; ","")&amp;IF(AND(K1545="Accept suggestion",N(G1545)&lt;$G$2),"Below your threshold; ","")&amp;IF(AND(M1545&lt;&gt;"",M1545=A1545,K1545&lt;&gt;"No change (same URL)"),"Redirects to itself; ","")&amp;IF(AND(M1545&lt;&gt;"",OR(M1545="/",AND(LEFT(M1545,4)="http",OR((LEN(M1545)-LEN(SUBSTITUTE(M1545,"/","")))=2,AND((LEN(M1545)-LEN(SUBSTITUTE(M1545,"/","")))=3,RIGHT(M1545,1)="/"))))),"Home page redirect; ","")&amp;IF(N(R1545)&gt;1,"Chain; ","")&amp;IF(S1545="No","Destination not 200; ","")))</f>
        <v/>
      </c>
      <c r="U1545" s="22" t="n"/>
      <c r="V1545" s="22" t="n"/>
      <c r="W1545" s="4" t="n"/>
    </row>
    <row r="1546">
      <c r="A1546" s="22" t="n"/>
      <c r="B1546" s="22" t="n"/>
      <c r="C1546" s="22" t="n"/>
      <c r="D1546" s="22">
        <f>IF(A1546="","",IF(OR(N(B1546)&gt;=$C$2,N(C1546)&gt;=$E$2),"High",IF(OR(N(B1546)&gt;0,N(C1546)&gt;0),"Medium","Low")))</f>
        <v/>
      </c>
      <c r="E1546" s="22" t="n"/>
      <c r="F1546" s="22" t="n"/>
      <c r="G1546" s="22" t="n"/>
      <c r="H1546" s="22" t="n"/>
      <c r="I1546" s="22" t="n"/>
      <c r="J1546" s="22" t="n"/>
      <c r="K1546" s="22" t="n"/>
      <c r="L1546" s="22" t="n"/>
      <c r="M1546" s="22">
        <f>IF(K1546="Override",L1546,IF(K1546="Accept suggestion",F1546,IF(K1546="No change (same URL)",A1546,"")))</f>
        <v/>
      </c>
      <c r="N1546" s="22">
        <f>IF(A1546="","",IF(K1546="410 Gone","410",IF(K1546="404","404",IF(K1546="No change (same URL)","none",IF(M1546="","","301")))))</f>
        <v/>
      </c>
      <c r="O1546" s="22">
        <f>IF(A1546="","",IFERROR(MID(A1546,FIND("/",A1546,FIND("//",A1546)+2),2000),A1546))</f>
        <v/>
      </c>
      <c r="P1546" s="22">
        <f>IF(OR(O1546="",N1546="",N1546="none",N1546="404"),"",IF(N1546="410","Redirect gone "&amp;O1546,"Redirect "&amp;N1546&amp;" "&amp;O1546&amp;" "&amp;M1546))</f>
        <v/>
      </c>
      <c r="Q1546" s="22" t="n"/>
      <c r="R1546" s="22" t="n"/>
      <c r="S1546" s="22" t="n"/>
      <c r="T1546" s="4">
        <f>IF(A1546="","",TRIM(IF(K1546="","Needs decision; ","")&amp;IF(AND(K1546="Accept suggestion",F1546=""),"No suggestion to accept; ","")&amp;IF(AND(K1546="Override",L1546=""),"Override URL missing; ","")&amp;IF(AND(K1546="Accept suggestion",N(G1546)&lt;$G$2),"Below your threshold; ","")&amp;IF(AND(M1546&lt;&gt;"",M1546=A1546,K1546&lt;&gt;"No change (same URL)"),"Redirects to itself; ","")&amp;IF(AND(M1546&lt;&gt;"",OR(M1546="/",AND(LEFT(M1546,4)="http",OR((LEN(M1546)-LEN(SUBSTITUTE(M1546,"/","")))=2,AND((LEN(M1546)-LEN(SUBSTITUTE(M1546,"/","")))=3,RIGHT(M1546,1)="/"))))),"Home page redirect; ","")&amp;IF(N(R1546)&gt;1,"Chain; ","")&amp;IF(S1546="No","Destination not 200; ","")))</f>
        <v/>
      </c>
      <c r="U1546" s="22" t="n"/>
      <c r="V1546" s="22" t="n"/>
      <c r="W1546" s="4" t="n"/>
    </row>
    <row r="1547">
      <c r="A1547" s="22" t="n"/>
      <c r="B1547" s="22" t="n"/>
      <c r="C1547" s="22" t="n"/>
      <c r="D1547" s="22">
        <f>IF(A1547="","",IF(OR(N(B1547)&gt;=$C$2,N(C1547)&gt;=$E$2),"High",IF(OR(N(B1547)&gt;0,N(C1547)&gt;0),"Medium","Low")))</f>
        <v/>
      </c>
      <c r="E1547" s="22" t="n"/>
      <c r="F1547" s="22" t="n"/>
      <c r="G1547" s="22" t="n"/>
      <c r="H1547" s="22" t="n"/>
      <c r="I1547" s="22" t="n"/>
      <c r="J1547" s="22" t="n"/>
      <c r="K1547" s="22" t="n"/>
      <c r="L1547" s="22" t="n"/>
      <c r="M1547" s="22">
        <f>IF(K1547="Override",L1547,IF(K1547="Accept suggestion",F1547,IF(K1547="No change (same URL)",A1547,"")))</f>
        <v/>
      </c>
      <c r="N1547" s="22">
        <f>IF(A1547="","",IF(K1547="410 Gone","410",IF(K1547="404","404",IF(K1547="No change (same URL)","none",IF(M1547="","","301")))))</f>
        <v/>
      </c>
      <c r="O1547" s="22">
        <f>IF(A1547="","",IFERROR(MID(A1547,FIND("/",A1547,FIND("//",A1547)+2),2000),A1547))</f>
        <v/>
      </c>
      <c r="P1547" s="22">
        <f>IF(OR(O1547="",N1547="",N1547="none",N1547="404"),"",IF(N1547="410","Redirect gone "&amp;O1547,"Redirect "&amp;N1547&amp;" "&amp;O1547&amp;" "&amp;M1547))</f>
        <v/>
      </c>
      <c r="Q1547" s="22" t="n"/>
      <c r="R1547" s="22" t="n"/>
      <c r="S1547" s="22" t="n"/>
      <c r="T1547" s="4">
        <f>IF(A1547="","",TRIM(IF(K1547="","Needs decision; ","")&amp;IF(AND(K1547="Accept suggestion",F1547=""),"No suggestion to accept; ","")&amp;IF(AND(K1547="Override",L1547=""),"Override URL missing; ","")&amp;IF(AND(K1547="Accept suggestion",N(G1547)&lt;$G$2),"Below your threshold; ","")&amp;IF(AND(M1547&lt;&gt;"",M1547=A1547,K1547&lt;&gt;"No change (same URL)"),"Redirects to itself; ","")&amp;IF(AND(M1547&lt;&gt;"",OR(M1547="/",AND(LEFT(M1547,4)="http",OR((LEN(M1547)-LEN(SUBSTITUTE(M1547,"/","")))=2,AND((LEN(M1547)-LEN(SUBSTITUTE(M1547,"/","")))=3,RIGHT(M1547,1)="/"))))),"Home page redirect; ","")&amp;IF(N(R1547)&gt;1,"Chain; ","")&amp;IF(S1547="No","Destination not 200; ","")))</f>
        <v/>
      </c>
      <c r="U1547" s="22" t="n"/>
      <c r="V1547" s="22" t="n"/>
      <c r="W1547" s="4" t="n"/>
    </row>
    <row r="1548">
      <c r="A1548" s="22" t="n"/>
      <c r="B1548" s="22" t="n"/>
      <c r="C1548" s="22" t="n"/>
      <c r="D1548" s="22">
        <f>IF(A1548="","",IF(OR(N(B1548)&gt;=$C$2,N(C1548)&gt;=$E$2),"High",IF(OR(N(B1548)&gt;0,N(C1548)&gt;0),"Medium","Low")))</f>
        <v/>
      </c>
      <c r="E1548" s="22" t="n"/>
      <c r="F1548" s="22" t="n"/>
      <c r="G1548" s="22" t="n"/>
      <c r="H1548" s="22" t="n"/>
      <c r="I1548" s="22" t="n"/>
      <c r="J1548" s="22" t="n"/>
      <c r="K1548" s="22" t="n"/>
      <c r="L1548" s="22" t="n"/>
      <c r="M1548" s="22">
        <f>IF(K1548="Override",L1548,IF(K1548="Accept suggestion",F1548,IF(K1548="No change (same URL)",A1548,"")))</f>
        <v/>
      </c>
      <c r="N1548" s="22">
        <f>IF(A1548="","",IF(K1548="410 Gone","410",IF(K1548="404","404",IF(K1548="No change (same URL)","none",IF(M1548="","","301")))))</f>
        <v/>
      </c>
      <c r="O1548" s="22">
        <f>IF(A1548="","",IFERROR(MID(A1548,FIND("/",A1548,FIND("//",A1548)+2),2000),A1548))</f>
        <v/>
      </c>
      <c r="P1548" s="22">
        <f>IF(OR(O1548="",N1548="",N1548="none",N1548="404"),"",IF(N1548="410","Redirect gone "&amp;O1548,"Redirect "&amp;N1548&amp;" "&amp;O1548&amp;" "&amp;M1548))</f>
        <v/>
      </c>
      <c r="Q1548" s="22" t="n"/>
      <c r="R1548" s="22" t="n"/>
      <c r="S1548" s="22" t="n"/>
      <c r="T1548" s="4">
        <f>IF(A1548="","",TRIM(IF(K1548="","Needs decision; ","")&amp;IF(AND(K1548="Accept suggestion",F1548=""),"No suggestion to accept; ","")&amp;IF(AND(K1548="Override",L1548=""),"Override URL missing; ","")&amp;IF(AND(K1548="Accept suggestion",N(G1548)&lt;$G$2),"Below your threshold; ","")&amp;IF(AND(M1548&lt;&gt;"",M1548=A1548,K1548&lt;&gt;"No change (same URL)"),"Redirects to itself; ","")&amp;IF(AND(M1548&lt;&gt;"",OR(M1548="/",AND(LEFT(M1548,4)="http",OR((LEN(M1548)-LEN(SUBSTITUTE(M1548,"/","")))=2,AND((LEN(M1548)-LEN(SUBSTITUTE(M1548,"/","")))=3,RIGHT(M1548,1)="/"))))),"Home page redirect; ","")&amp;IF(N(R1548)&gt;1,"Chain; ","")&amp;IF(S1548="No","Destination not 200; ","")))</f>
        <v/>
      </c>
      <c r="U1548" s="22" t="n"/>
      <c r="V1548" s="22" t="n"/>
      <c r="W1548" s="4" t="n"/>
    </row>
    <row r="1549">
      <c r="A1549" s="22" t="n"/>
      <c r="B1549" s="22" t="n"/>
      <c r="C1549" s="22" t="n"/>
      <c r="D1549" s="22">
        <f>IF(A1549="","",IF(OR(N(B1549)&gt;=$C$2,N(C1549)&gt;=$E$2),"High",IF(OR(N(B1549)&gt;0,N(C1549)&gt;0),"Medium","Low")))</f>
        <v/>
      </c>
      <c r="E1549" s="22" t="n"/>
      <c r="F1549" s="22" t="n"/>
      <c r="G1549" s="22" t="n"/>
      <c r="H1549" s="22" t="n"/>
      <c r="I1549" s="22" t="n"/>
      <c r="J1549" s="22" t="n"/>
      <c r="K1549" s="22" t="n"/>
      <c r="L1549" s="22" t="n"/>
      <c r="M1549" s="22">
        <f>IF(K1549="Override",L1549,IF(K1549="Accept suggestion",F1549,IF(K1549="No change (same URL)",A1549,"")))</f>
        <v/>
      </c>
      <c r="N1549" s="22">
        <f>IF(A1549="","",IF(K1549="410 Gone","410",IF(K1549="404","404",IF(K1549="No change (same URL)","none",IF(M1549="","","301")))))</f>
        <v/>
      </c>
      <c r="O1549" s="22">
        <f>IF(A1549="","",IFERROR(MID(A1549,FIND("/",A1549,FIND("//",A1549)+2),2000),A1549))</f>
        <v/>
      </c>
      <c r="P1549" s="22">
        <f>IF(OR(O1549="",N1549="",N1549="none",N1549="404"),"",IF(N1549="410","Redirect gone "&amp;O1549,"Redirect "&amp;N1549&amp;" "&amp;O1549&amp;" "&amp;M1549))</f>
        <v/>
      </c>
      <c r="Q1549" s="22" t="n"/>
      <c r="R1549" s="22" t="n"/>
      <c r="S1549" s="22" t="n"/>
      <c r="T1549" s="4">
        <f>IF(A1549="","",TRIM(IF(K1549="","Needs decision; ","")&amp;IF(AND(K1549="Accept suggestion",F1549=""),"No suggestion to accept; ","")&amp;IF(AND(K1549="Override",L1549=""),"Override URL missing; ","")&amp;IF(AND(K1549="Accept suggestion",N(G1549)&lt;$G$2),"Below your threshold; ","")&amp;IF(AND(M1549&lt;&gt;"",M1549=A1549,K1549&lt;&gt;"No change (same URL)"),"Redirects to itself; ","")&amp;IF(AND(M1549&lt;&gt;"",OR(M1549="/",AND(LEFT(M1549,4)="http",OR((LEN(M1549)-LEN(SUBSTITUTE(M1549,"/","")))=2,AND((LEN(M1549)-LEN(SUBSTITUTE(M1549,"/","")))=3,RIGHT(M1549,1)="/"))))),"Home page redirect; ","")&amp;IF(N(R1549)&gt;1,"Chain; ","")&amp;IF(S1549="No","Destination not 200; ","")))</f>
        <v/>
      </c>
      <c r="U1549" s="22" t="n"/>
      <c r="V1549" s="22" t="n"/>
      <c r="W1549" s="4" t="n"/>
    </row>
    <row r="1550">
      <c r="A1550" s="22" t="n"/>
      <c r="B1550" s="22" t="n"/>
      <c r="C1550" s="22" t="n"/>
      <c r="D1550" s="22">
        <f>IF(A1550="","",IF(OR(N(B1550)&gt;=$C$2,N(C1550)&gt;=$E$2),"High",IF(OR(N(B1550)&gt;0,N(C1550)&gt;0),"Medium","Low")))</f>
        <v/>
      </c>
      <c r="E1550" s="22" t="n"/>
      <c r="F1550" s="22" t="n"/>
      <c r="G1550" s="22" t="n"/>
      <c r="H1550" s="22" t="n"/>
      <c r="I1550" s="22" t="n"/>
      <c r="J1550" s="22" t="n"/>
      <c r="K1550" s="22" t="n"/>
      <c r="L1550" s="22" t="n"/>
      <c r="M1550" s="22">
        <f>IF(K1550="Override",L1550,IF(K1550="Accept suggestion",F1550,IF(K1550="No change (same URL)",A1550,"")))</f>
        <v/>
      </c>
      <c r="N1550" s="22">
        <f>IF(A1550="","",IF(K1550="410 Gone","410",IF(K1550="404","404",IF(K1550="No change (same URL)","none",IF(M1550="","","301")))))</f>
        <v/>
      </c>
      <c r="O1550" s="22">
        <f>IF(A1550="","",IFERROR(MID(A1550,FIND("/",A1550,FIND("//",A1550)+2),2000),A1550))</f>
        <v/>
      </c>
      <c r="P1550" s="22">
        <f>IF(OR(O1550="",N1550="",N1550="none",N1550="404"),"",IF(N1550="410","Redirect gone "&amp;O1550,"Redirect "&amp;N1550&amp;" "&amp;O1550&amp;" "&amp;M1550))</f>
        <v/>
      </c>
      <c r="Q1550" s="22" t="n"/>
      <c r="R1550" s="22" t="n"/>
      <c r="S1550" s="22" t="n"/>
      <c r="T1550" s="4">
        <f>IF(A1550="","",TRIM(IF(K1550="","Needs decision; ","")&amp;IF(AND(K1550="Accept suggestion",F1550=""),"No suggestion to accept; ","")&amp;IF(AND(K1550="Override",L1550=""),"Override URL missing; ","")&amp;IF(AND(K1550="Accept suggestion",N(G1550)&lt;$G$2),"Below your threshold; ","")&amp;IF(AND(M1550&lt;&gt;"",M1550=A1550,K1550&lt;&gt;"No change (same URL)"),"Redirects to itself; ","")&amp;IF(AND(M1550&lt;&gt;"",OR(M1550="/",AND(LEFT(M1550,4)="http",OR((LEN(M1550)-LEN(SUBSTITUTE(M1550,"/","")))=2,AND((LEN(M1550)-LEN(SUBSTITUTE(M1550,"/","")))=3,RIGHT(M1550,1)="/"))))),"Home page redirect; ","")&amp;IF(N(R1550)&gt;1,"Chain; ","")&amp;IF(S1550="No","Destination not 200; ","")))</f>
        <v/>
      </c>
      <c r="U1550" s="22" t="n"/>
      <c r="V1550" s="22" t="n"/>
      <c r="W1550" s="4" t="n"/>
    </row>
    <row r="1551">
      <c r="A1551" s="22" t="n"/>
      <c r="B1551" s="22" t="n"/>
      <c r="C1551" s="22" t="n"/>
      <c r="D1551" s="22">
        <f>IF(A1551="","",IF(OR(N(B1551)&gt;=$C$2,N(C1551)&gt;=$E$2),"High",IF(OR(N(B1551)&gt;0,N(C1551)&gt;0),"Medium","Low")))</f>
        <v/>
      </c>
      <c r="E1551" s="22" t="n"/>
      <c r="F1551" s="22" t="n"/>
      <c r="G1551" s="22" t="n"/>
      <c r="H1551" s="22" t="n"/>
      <c r="I1551" s="22" t="n"/>
      <c r="J1551" s="22" t="n"/>
      <c r="K1551" s="22" t="n"/>
      <c r="L1551" s="22" t="n"/>
      <c r="M1551" s="22">
        <f>IF(K1551="Override",L1551,IF(K1551="Accept suggestion",F1551,IF(K1551="No change (same URL)",A1551,"")))</f>
        <v/>
      </c>
      <c r="N1551" s="22">
        <f>IF(A1551="","",IF(K1551="410 Gone","410",IF(K1551="404","404",IF(K1551="No change (same URL)","none",IF(M1551="","","301")))))</f>
        <v/>
      </c>
      <c r="O1551" s="22">
        <f>IF(A1551="","",IFERROR(MID(A1551,FIND("/",A1551,FIND("//",A1551)+2),2000),A1551))</f>
        <v/>
      </c>
      <c r="P1551" s="22">
        <f>IF(OR(O1551="",N1551="",N1551="none",N1551="404"),"",IF(N1551="410","Redirect gone "&amp;O1551,"Redirect "&amp;N1551&amp;" "&amp;O1551&amp;" "&amp;M1551))</f>
        <v/>
      </c>
      <c r="Q1551" s="22" t="n"/>
      <c r="R1551" s="22" t="n"/>
      <c r="S1551" s="22" t="n"/>
      <c r="T1551" s="4">
        <f>IF(A1551="","",TRIM(IF(K1551="","Needs decision; ","")&amp;IF(AND(K1551="Accept suggestion",F1551=""),"No suggestion to accept; ","")&amp;IF(AND(K1551="Override",L1551=""),"Override URL missing; ","")&amp;IF(AND(K1551="Accept suggestion",N(G1551)&lt;$G$2),"Below your threshold; ","")&amp;IF(AND(M1551&lt;&gt;"",M1551=A1551,K1551&lt;&gt;"No change (same URL)"),"Redirects to itself; ","")&amp;IF(AND(M1551&lt;&gt;"",OR(M1551="/",AND(LEFT(M1551,4)="http",OR((LEN(M1551)-LEN(SUBSTITUTE(M1551,"/","")))=2,AND((LEN(M1551)-LEN(SUBSTITUTE(M1551,"/","")))=3,RIGHT(M1551,1)="/"))))),"Home page redirect; ","")&amp;IF(N(R1551)&gt;1,"Chain; ","")&amp;IF(S1551="No","Destination not 200; ","")))</f>
        <v/>
      </c>
      <c r="U1551" s="22" t="n"/>
      <c r="V1551" s="22" t="n"/>
      <c r="W1551" s="4" t="n"/>
    </row>
    <row r="1552">
      <c r="A1552" s="22" t="n"/>
      <c r="B1552" s="22" t="n"/>
      <c r="C1552" s="22" t="n"/>
      <c r="D1552" s="22">
        <f>IF(A1552="","",IF(OR(N(B1552)&gt;=$C$2,N(C1552)&gt;=$E$2),"High",IF(OR(N(B1552)&gt;0,N(C1552)&gt;0),"Medium","Low")))</f>
        <v/>
      </c>
      <c r="E1552" s="22" t="n"/>
      <c r="F1552" s="22" t="n"/>
      <c r="G1552" s="22" t="n"/>
      <c r="H1552" s="22" t="n"/>
      <c r="I1552" s="22" t="n"/>
      <c r="J1552" s="22" t="n"/>
      <c r="K1552" s="22" t="n"/>
      <c r="L1552" s="22" t="n"/>
      <c r="M1552" s="22">
        <f>IF(K1552="Override",L1552,IF(K1552="Accept suggestion",F1552,IF(K1552="No change (same URL)",A1552,"")))</f>
        <v/>
      </c>
      <c r="N1552" s="22">
        <f>IF(A1552="","",IF(K1552="410 Gone","410",IF(K1552="404","404",IF(K1552="No change (same URL)","none",IF(M1552="","","301")))))</f>
        <v/>
      </c>
      <c r="O1552" s="22">
        <f>IF(A1552="","",IFERROR(MID(A1552,FIND("/",A1552,FIND("//",A1552)+2),2000),A1552))</f>
        <v/>
      </c>
      <c r="P1552" s="22">
        <f>IF(OR(O1552="",N1552="",N1552="none",N1552="404"),"",IF(N1552="410","Redirect gone "&amp;O1552,"Redirect "&amp;N1552&amp;" "&amp;O1552&amp;" "&amp;M1552))</f>
        <v/>
      </c>
      <c r="Q1552" s="22" t="n"/>
      <c r="R1552" s="22" t="n"/>
      <c r="S1552" s="22" t="n"/>
      <c r="T1552" s="4">
        <f>IF(A1552="","",TRIM(IF(K1552="","Needs decision; ","")&amp;IF(AND(K1552="Accept suggestion",F1552=""),"No suggestion to accept; ","")&amp;IF(AND(K1552="Override",L1552=""),"Override URL missing; ","")&amp;IF(AND(K1552="Accept suggestion",N(G1552)&lt;$G$2),"Below your threshold; ","")&amp;IF(AND(M1552&lt;&gt;"",M1552=A1552,K1552&lt;&gt;"No change (same URL)"),"Redirects to itself; ","")&amp;IF(AND(M1552&lt;&gt;"",OR(M1552="/",AND(LEFT(M1552,4)="http",OR((LEN(M1552)-LEN(SUBSTITUTE(M1552,"/","")))=2,AND((LEN(M1552)-LEN(SUBSTITUTE(M1552,"/","")))=3,RIGHT(M1552,1)="/"))))),"Home page redirect; ","")&amp;IF(N(R1552)&gt;1,"Chain; ","")&amp;IF(S1552="No","Destination not 200; ","")))</f>
        <v/>
      </c>
      <c r="U1552" s="22" t="n"/>
      <c r="V1552" s="22" t="n"/>
      <c r="W1552" s="4" t="n"/>
    </row>
    <row r="1553">
      <c r="A1553" s="22" t="n"/>
      <c r="B1553" s="22" t="n"/>
      <c r="C1553" s="22" t="n"/>
      <c r="D1553" s="22">
        <f>IF(A1553="","",IF(OR(N(B1553)&gt;=$C$2,N(C1553)&gt;=$E$2),"High",IF(OR(N(B1553)&gt;0,N(C1553)&gt;0),"Medium","Low")))</f>
        <v/>
      </c>
      <c r="E1553" s="22" t="n"/>
      <c r="F1553" s="22" t="n"/>
      <c r="G1553" s="22" t="n"/>
      <c r="H1553" s="22" t="n"/>
      <c r="I1553" s="22" t="n"/>
      <c r="J1553" s="22" t="n"/>
      <c r="K1553" s="22" t="n"/>
      <c r="L1553" s="22" t="n"/>
      <c r="M1553" s="22">
        <f>IF(K1553="Override",L1553,IF(K1553="Accept suggestion",F1553,IF(K1553="No change (same URL)",A1553,"")))</f>
        <v/>
      </c>
      <c r="N1553" s="22">
        <f>IF(A1553="","",IF(K1553="410 Gone","410",IF(K1553="404","404",IF(K1553="No change (same URL)","none",IF(M1553="","","301")))))</f>
        <v/>
      </c>
      <c r="O1553" s="22">
        <f>IF(A1553="","",IFERROR(MID(A1553,FIND("/",A1553,FIND("//",A1553)+2),2000),A1553))</f>
        <v/>
      </c>
      <c r="P1553" s="22">
        <f>IF(OR(O1553="",N1553="",N1553="none",N1553="404"),"",IF(N1553="410","Redirect gone "&amp;O1553,"Redirect "&amp;N1553&amp;" "&amp;O1553&amp;" "&amp;M1553))</f>
        <v/>
      </c>
      <c r="Q1553" s="22" t="n"/>
      <c r="R1553" s="22" t="n"/>
      <c r="S1553" s="22" t="n"/>
      <c r="T1553" s="4">
        <f>IF(A1553="","",TRIM(IF(K1553="","Needs decision; ","")&amp;IF(AND(K1553="Accept suggestion",F1553=""),"No suggestion to accept; ","")&amp;IF(AND(K1553="Override",L1553=""),"Override URL missing; ","")&amp;IF(AND(K1553="Accept suggestion",N(G1553)&lt;$G$2),"Below your threshold; ","")&amp;IF(AND(M1553&lt;&gt;"",M1553=A1553,K1553&lt;&gt;"No change (same URL)"),"Redirects to itself; ","")&amp;IF(AND(M1553&lt;&gt;"",OR(M1553="/",AND(LEFT(M1553,4)="http",OR((LEN(M1553)-LEN(SUBSTITUTE(M1553,"/","")))=2,AND((LEN(M1553)-LEN(SUBSTITUTE(M1553,"/","")))=3,RIGHT(M1553,1)="/"))))),"Home page redirect; ","")&amp;IF(N(R1553)&gt;1,"Chain; ","")&amp;IF(S1553="No","Destination not 200; ","")))</f>
        <v/>
      </c>
      <c r="U1553" s="22" t="n"/>
      <c r="V1553" s="22" t="n"/>
      <c r="W1553" s="4" t="n"/>
    </row>
    <row r="1554">
      <c r="A1554" s="22" t="n"/>
      <c r="B1554" s="22" t="n"/>
      <c r="C1554" s="22" t="n"/>
      <c r="D1554" s="22">
        <f>IF(A1554="","",IF(OR(N(B1554)&gt;=$C$2,N(C1554)&gt;=$E$2),"High",IF(OR(N(B1554)&gt;0,N(C1554)&gt;0),"Medium","Low")))</f>
        <v/>
      </c>
      <c r="E1554" s="22" t="n"/>
      <c r="F1554" s="22" t="n"/>
      <c r="G1554" s="22" t="n"/>
      <c r="H1554" s="22" t="n"/>
      <c r="I1554" s="22" t="n"/>
      <c r="J1554" s="22" t="n"/>
      <c r="K1554" s="22" t="n"/>
      <c r="L1554" s="22" t="n"/>
      <c r="M1554" s="22">
        <f>IF(K1554="Override",L1554,IF(K1554="Accept suggestion",F1554,IF(K1554="No change (same URL)",A1554,"")))</f>
        <v/>
      </c>
      <c r="N1554" s="22">
        <f>IF(A1554="","",IF(K1554="410 Gone","410",IF(K1554="404","404",IF(K1554="No change (same URL)","none",IF(M1554="","","301")))))</f>
        <v/>
      </c>
      <c r="O1554" s="22">
        <f>IF(A1554="","",IFERROR(MID(A1554,FIND("/",A1554,FIND("//",A1554)+2),2000),A1554))</f>
        <v/>
      </c>
      <c r="P1554" s="22">
        <f>IF(OR(O1554="",N1554="",N1554="none",N1554="404"),"",IF(N1554="410","Redirect gone "&amp;O1554,"Redirect "&amp;N1554&amp;" "&amp;O1554&amp;" "&amp;M1554))</f>
        <v/>
      </c>
      <c r="Q1554" s="22" t="n"/>
      <c r="R1554" s="22" t="n"/>
      <c r="S1554" s="22" t="n"/>
      <c r="T1554" s="4">
        <f>IF(A1554="","",TRIM(IF(K1554="","Needs decision; ","")&amp;IF(AND(K1554="Accept suggestion",F1554=""),"No suggestion to accept; ","")&amp;IF(AND(K1554="Override",L1554=""),"Override URL missing; ","")&amp;IF(AND(K1554="Accept suggestion",N(G1554)&lt;$G$2),"Below your threshold; ","")&amp;IF(AND(M1554&lt;&gt;"",M1554=A1554,K1554&lt;&gt;"No change (same URL)"),"Redirects to itself; ","")&amp;IF(AND(M1554&lt;&gt;"",OR(M1554="/",AND(LEFT(M1554,4)="http",OR((LEN(M1554)-LEN(SUBSTITUTE(M1554,"/","")))=2,AND((LEN(M1554)-LEN(SUBSTITUTE(M1554,"/","")))=3,RIGHT(M1554,1)="/"))))),"Home page redirect; ","")&amp;IF(N(R1554)&gt;1,"Chain; ","")&amp;IF(S1554="No","Destination not 200; ","")))</f>
        <v/>
      </c>
      <c r="U1554" s="22" t="n"/>
      <c r="V1554" s="22" t="n"/>
      <c r="W1554" s="4" t="n"/>
    </row>
    <row r="1555">
      <c r="A1555" s="22" t="n"/>
      <c r="B1555" s="22" t="n"/>
      <c r="C1555" s="22" t="n"/>
      <c r="D1555" s="22">
        <f>IF(A1555="","",IF(OR(N(B1555)&gt;=$C$2,N(C1555)&gt;=$E$2),"High",IF(OR(N(B1555)&gt;0,N(C1555)&gt;0),"Medium","Low")))</f>
        <v/>
      </c>
      <c r="E1555" s="22" t="n"/>
      <c r="F1555" s="22" t="n"/>
      <c r="G1555" s="22" t="n"/>
      <c r="H1555" s="22" t="n"/>
      <c r="I1555" s="22" t="n"/>
      <c r="J1555" s="22" t="n"/>
      <c r="K1555" s="22" t="n"/>
      <c r="L1555" s="22" t="n"/>
      <c r="M1555" s="22">
        <f>IF(K1555="Override",L1555,IF(K1555="Accept suggestion",F1555,IF(K1555="No change (same URL)",A1555,"")))</f>
        <v/>
      </c>
      <c r="N1555" s="22">
        <f>IF(A1555="","",IF(K1555="410 Gone","410",IF(K1555="404","404",IF(K1555="No change (same URL)","none",IF(M1555="","","301")))))</f>
        <v/>
      </c>
      <c r="O1555" s="22">
        <f>IF(A1555="","",IFERROR(MID(A1555,FIND("/",A1555,FIND("//",A1555)+2),2000),A1555))</f>
        <v/>
      </c>
      <c r="P1555" s="22">
        <f>IF(OR(O1555="",N1555="",N1555="none",N1555="404"),"",IF(N1555="410","Redirect gone "&amp;O1555,"Redirect "&amp;N1555&amp;" "&amp;O1555&amp;" "&amp;M1555))</f>
        <v/>
      </c>
      <c r="Q1555" s="22" t="n"/>
      <c r="R1555" s="22" t="n"/>
      <c r="S1555" s="22" t="n"/>
      <c r="T1555" s="4">
        <f>IF(A1555="","",TRIM(IF(K1555="","Needs decision; ","")&amp;IF(AND(K1555="Accept suggestion",F1555=""),"No suggestion to accept; ","")&amp;IF(AND(K1555="Override",L1555=""),"Override URL missing; ","")&amp;IF(AND(K1555="Accept suggestion",N(G1555)&lt;$G$2),"Below your threshold; ","")&amp;IF(AND(M1555&lt;&gt;"",M1555=A1555,K1555&lt;&gt;"No change (same URL)"),"Redirects to itself; ","")&amp;IF(AND(M1555&lt;&gt;"",OR(M1555="/",AND(LEFT(M1555,4)="http",OR((LEN(M1555)-LEN(SUBSTITUTE(M1555,"/","")))=2,AND((LEN(M1555)-LEN(SUBSTITUTE(M1555,"/","")))=3,RIGHT(M1555,1)="/"))))),"Home page redirect; ","")&amp;IF(N(R1555)&gt;1,"Chain; ","")&amp;IF(S1555="No","Destination not 200; ","")))</f>
        <v/>
      </c>
      <c r="U1555" s="22" t="n"/>
      <c r="V1555" s="22" t="n"/>
      <c r="W1555" s="4" t="n"/>
    </row>
    <row r="1556">
      <c r="A1556" s="22" t="n"/>
      <c r="B1556" s="22" t="n"/>
      <c r="C1556" s="22" t="n"/>
      <c r="D1556" s="22">
        <f>IF(A1556="","",IF(OR(N(B1556)&gt;=$C$2,N(C1556)&gt;=$E$2),"High",IF(OR(N(B1556)&gt;0,N(C1556)&gt;0),"Medium","Low")))</f>
        <v/>
      </c>
      <c r="E1556" s="22" t="n"/>
      <c r="F1556" s="22" t="n"/>
      <c r="G1556" s="22" t="n"/>
      <c r="H1556" s="22" t="n"/>
      <c r="I1556" s="22" t="n"/>
      <c r="J1556" s="22" t="n"/>
      <c r="K1556" s="22" t="n"/>
      <c r="L1556" s="22" t="n"/>
      <c r="M1556" s="22">
        <f>IF(K1556="Override",L1556,IF(K1556="Accept suggestion",F1556,IF(K1556="No change (same URL)",A1556,"")))</f>
        <v/>
      </c>
      <c r="N1556" s="22">
        <f>IF(A1556="","",IF(K1556="410 Gone","410",IF(K1556="404","404",IF(K1556="No change (same URL)","none",IF(M1556="","","301")))))</f>
        <v/>
      </c>
      <c r="O1556" s="22">
        <f>IF(A1556="","",IFERROR(MID(A1556,FIND("/",A1556,FIND("//",A1556)+2),2000),A1556))</f>
        <v/>
      </c>
      <c r="P1556" s="22">
        <f>IF(OR(O1556="",N1556="",N1556="none",N1556="404"),"",IF(N1556="410","Redirect gone "&amp;O1556,"Redirect "&amp;N1556&amp;" "&amp;O1556&amp;" "&amp;M1556))</f>
        <v/>
      </c>
      <c r="Q1556" s="22" t="n"/>
      <c r="R1556" s="22" t="n"/>
      <c r="S1556" s="22" t="n"/>
      <c r="T1556" s="4">
        <f>IF(A1556="","",TRIM(IF(K1556="","Needs decision; ","")&amp;IF(AND(K1556="Accept suggestion",F1556=""),"No suggestion to accept; ","")&amp;IF(AND(K1556="Override",L1556=""),"Override URL missing; ","")&amp;IF(AND(K1556="Accept suggestion",N(G1556)&lt;$G$2),"Below your threshold; ","")&amp;IF(AND(M1556&lt;&gt;"",M1556=A1556,K1556&lt;&gt;"No change (same URL)"),"Redirects to itself; ","")&amp;IF(AND(M1556&lt;&gt;"",OR(M1556="/",AND(LEFT(M1556,4)="http",OR((LEN(M1556)-LEN(SUBSTITUTE(M1556,"/","")))=2,AND((LEN(M1556)-LEN(SUBSTITUTE(M1556,"/","")))=3,RIGHT(M1556,1)="/"))))),"Home page redirect; ","")&amp;IF(N(R1556)&gt;1,"Chain; ","")&amp;IF(S1556="No","Destination not 200; ","")))</f>
        <v/>
      </c>
      <c r="U1556" s="22" t="n"/>
      <c r="V1556" s="22" t="n"/>
      <c r="W1556" s="4" t="n"/>
    </row>
    <row r="1557">
      <c r="A1557" s="22" t="n"/>
      <c r="B1557" s="22" t="n"/>
      <c r="C1557" s="22" t="n"/>
      <c r="D1557" s="22">
        <f>IF(A1557="","",IF(OR(N(B1557)&gt;=$C$2,N(C1557)&gt;=$E$2),"High",IF(OR(N(B1557)&gt;0,N(C1557)&gt;0),"Medium","Low")))</f>
        <v/>
      </c>
      <c r="E1557" s="22" t="n"/>
      <c r="F1557" s="22" t="n"/>
      <c r="G1557" s="22" t="n"/>
      <c r="H1557" s="22" t="n"/>
      <c r="I1557" s="22" t="n"/>
      <c r="J1557" s="22" t="n"/>
      <c r="K1557" s="22" t="n"/>
      <c r="L1557" s="22" t="n"/>
      <c r="M1557" s="22">
        <f>IF(K1557="Override",L1557,IF(K1557="Accept suggestion",F1557,IF(K1557="No change (same URL)",A1557,"")))</f>
        <v/>
      </c>
      <c r="N1557" s="22">
        <f>IF(A1557="","",IF(K1557="410 Gone","410",IF(K1557="404","404",IF(K1557="No change (same URL)","none",IF(M1557="","","301")))))</f>
        <v/>
      </c>
      <c r="O1557" s="22">
        <f>IF(A1557="","",IFERROR(MID(A1557,FIND("/",A1557,FIND("//",A1557)+2),2000),A1557))</f>
        <v/>
      </c>
      <c r="P1557" s="22">
        <f>IF(OR(O1557="",N1557="",N1557="none",N1557="404"),"",IF(N1557="410","Redirect gone "&amp;O1557,"Redirect "&amp;N1557&amp;" "&amp;O1557&amp;" "&amp;M1557))</f>
        <v/>
      </c>
      <c r="Q1557" s="22" t="n"/>
      <c r="R1557" s="22" t="n"/>
      <c r="S1557" s="22" t="n"/>
      <c r="T1557" s="4">
        <f>IF(A1557="","",TRIM(IF(K1557="","Needs decision; ","")&amp;IF(AND(K1557="Accept suggestion",F1557=""),"No suggestion to accept; ","")&amp;IF(AND(K1557="Override",L1557=""),"Override URL missing; ","")&amp;IF(AND(K1557="Accept suggestion",N(G1557)&lt;$G$2),"Below your threshold; ","")&amp;IF(AND(M1557&lt;&gt;"",M1557=A1557,K1557&lt;&gt;"No change (same URL)"),"Redirects to itself; ","")&amp;IF(AND(M1557&lt;&gt;"",OR(M1557="/",AND(LEFT(M1557,4)="http",OR((LEN(M1557)-LEN(SUBSTITUTE(M1557,"/","")))=2,AND((LEN(M1557)-LEN(SUBSTITUTE(M1557,"/","")))=3,RIGHT(M1557,1)="/"))))),"Home page redirect; ","")&amp;IF(N(R1557)&gt;1,"Chain; ","")&amp;IF(S1557="No","Destination not 200; ","")))</f>
        <v/>
      </c>
      <c r="U1557" s="22" t="n"/>
      <c r="V1557" s="22" t="n"/>
      <c r="W1557" s="4" t="n"/>
    </row>
    <row r="1558">
      <c r="A1558" s="22" t="n"/>
      <c r="B1558" s="22" t="n"/>
      <c r="C1558" s="22" t="n"/>
      <c r="D1558" s="22">
        <f>IF(A1558="","",IF(OR(N(B1558)&gt;=$C$2,N(C1558)&gt;=$E$2),"High",IF(OR(N(B1558)&gt;0,N(C1558)&gt;0),"Medium","Low")))</f>
        <v/>
      </c>
      <c r="E1558" s="22" t="n"/>
      <c r="F1558" s="22" t="n"/>
      <c r="G1558" s="22" t="n"/>
      <c r="H1558" s="22" t="n"/>
      <c r="I1558" s="22" t="n"/>
      <c r="J1558" s="22" t="n"/>
      <c r="K1558" s="22" t="n"/>
      <c r="L1558" s="22" t="n"/>
      <c r="M1558" s="22">
        <f>IF(K1558="Override",L1558,IF(K1558="Accept suggestion",F1558,IF(K1558="No change (same URL)",A1558,"")))</f>
        <v/>
      </c>
      <c r="N1558" s="22">
        <f>IF(A1558="","",IF(K1558="410 Gone","410",IF(K1558="404","404",IF(K1558="No change (same URL)","none",IF(M1558="","","301")))))</f>
        <v/>
      </c>
      <c r="O1558" s="22">
        <f>IF(A1558="","",IFERROR(MID(A1558,FIND("/",A1558,FIND("//",A1558)+2),2000),A1558))</f>
        <v/>
      </c>
      <c r="P1558" s="22">
        <f>IF(OR(O1558="",N1558="",N1558="none",N1558="404"),"",IF(N1558="410","Redirect gone "&amp;O1558,"Redirect "&amp;N1558&amp;" "&amp;O1558&amp;" "&amp;M1558))</f>
        <v/>
      </c>
      <c r="Q1558" s="22" t="n"/>
      <c r="R1558" s="22" t="n"/>
      <c r="S1558" s="22" t="n"/>
      <c r="T1558" s="4">
        <f>IF(A1558="","",TRIM(IF(K1558="","Needs decision; ","")&amp;IF(AND(K1558="Accept suggestion",F1558=""),"No suggestion to accept; ","")&amp;IF(AND(K1558="Override",L1558=""),"Override URL missing; ","")&amp;IF(AND(K1558="Accept suggestion",N(G1558)&lt;$G$2),"Below your threshold; ","")&amp;IF(AND(M1558&lt;&gt;"",M1558=A1558,K1558&lt;&gt;"No change (same URL)"),"Redirects to itself; ","")&amp;IF(AND(M1558&lt;&gt;"",OR(M1558="/",AND(LEFT(M1558,4)="http",OR((LEN(M1558)-LEN(SUBSTITUTE(M1558,"/","")))=2,AND((LEN(M1558)-LEN(SUBSTITUTE(M1558,"/","")))=3,RIGHT(M1558,1)="/"))))),"Home page redirect; ","")&amp;IF(N(R1558)&gt;1,"Chain; ","")&amp;IF(S1558="No","Destination not 200; ","")))</f>
        <v/>
      </c>
      <c r="U1558" s="22" t="n"/>
      <c r="V1558" s="22" t="n"/>
      <c r="W1558" s="4" t="n"/>
    </row>
    <row r="1559">
      <c r="A1559" s="22" t="n"/>
      <c r="B1559" s="22" t="n"/>
      <c r="C1559" s="22" t="n"/>
      <c r="D1559" s="22">
        <f>IF(A1559="","",IF(OR(N(B1559)&gt;=$C$2,N(C1559)&gt;=$E$2),"High",IF(OR(N(B1559)&gt;0,N(C1559)&gt;0),"Medium","Low")))</f>
        <v/>
      </c>
      <c r="E1559" s="22" t="n"/>
      <c r="F1559" s="22" t="n"/>
      <c r="G1559" s="22" t="n"/>
      <c r="H1559" s="22" t="n"/>
      <c r="I1559" s="22" t="n"/>
      <c r="J1559" s="22" t="n"/>
      <c r="K1559" s="22" t="n"/>
      <c r="L1559" s="22" t="n"/>
      <c r="M1559" s="22">
        <f>IF(K1559="Override",L1559,IF(K1559="Accept suggestion",F1559,IF(K1559="No change (same URL)",A1559,"")))</f>
        <v/>
      </c>
      <c r="N1559" s="22">
        <f>IF(A1559="","",IF(K1559="410 Gone","410",IF(K1559="404","404",IF(K1559="No change (same URL)","none",IF(M1559="","","301")))))</f>
        <v/>
      </c>
      <c r="O1559" s="22">
        <f>IF(A1559="","",IFERROR(MID(A1559,FIND("/",A1559,FIND("//",A1559)+2),2000),A1559))</f>
        <v/>
      </c>
      <c r="P1559" s="22">
        <f>IF(OR(O1559="",N1559="",N1559="none",N1559="404"),"",IF(N1559="410","Redirect gone "&amp;O1559,"Redirect "&amp;N1559&amp;" "&amp;O1559&amp;" "&amp;M1559))</f>
        <v/>
      </c>
      <c r="Q1559" s="22" t="n"/>
      <c r="R1559" s="22" t="n"/>
      <c r="S1559" s="22" t="n"/>
      <c r="T1559" s="4">
        <f>IF(A1559="","",TRIM(IF(K1559="","Needs decision; ","")&amp;IF(AND(K1559="Accept suggestion",F1559=""),"No suggestion to accept; ","")&amp;IF(AND(K1559="Override",L1559=""),"Override URL missing; ","")&amp;IF(AND(K1559="Accept suggestion",N(G1559)&lt;$G$2),"Below your threshold; ","")&amp;IF(AND(M1559&lt;&gt;"",M1559=A1559,K1559&lt;&gt;"No change (same URL)"),"Redirects to itself; ","")&amp;IF(AND(M1559&lt;&gt;"",OR(M1559="/",AND(LEFT(M1559,4)="http",OR((LEN(M1559)-LEN(SUBSTITUTE(M1559,"/","")))=2,AND((LEN(M1559)-LEN(SUBSTITUTE(M1559,"/","")))=3,RIGHT(M1559,1)="/"))))),"Home page redirect; ","")&amp;IF(N(R1559)&gt;1,"Chain; ","")&amp;IF(S1559="No","Destination not 200; ","")))</f>
        <v/>
      </c>
      <c r="U1559" s="22" t="n"/>
      <c r="V1559" s="22" t="n"/>
      <c r="W1559" s="4" t="n"/>
    </row>
    <row r="1560">
      <c r="A1560" s="22" t="n"/>
      <c r="B1560" s="22" t="n"/>
      <c r="C1560" s="22" t="n"/>
      <c r="D1560" s="22">
        <f>IF(A1560="","",IF(OR(N(B1560)&gt;=$C$2,N(C1560)&gt;=$E$2),"High",IF(OR(N(B1560)&gt;0,N(C1560)&gt;0),"Medium","Low")))</f>
        <v/>
      </c>
      <c r="E1560" s="22" t="n"/>
      <c r="F1560" s="22" t="n"/>
      <c r="G1560" s="22" t="n"/>
      <c r="H1560" s="22" t="n"/>
      <c r="I1560" s="22" t="n"/>
      <c r="J1560" s="22" t="n"/>
      <c r="K1560" s="22" t="n"/>
      <c r="L1560" s="22" t="n"/>
      <c r="M1560" s="22">
        <f>IF(K1560="Override",L1560,IF(K1560="Accept suggestion",F1560,IF(K1560="No change (same URL)",A1560,"")))</f>
        <v/>
      </c>
      <c r="N1560" s="22">
        <f>IF(A1560="","",IF(K1560="410 Gone","410",IF(K1560="404","404",IF(K1560="No change (same URL)","none",IF(M1560="","","301")))))</f>
        <v/>
      </c>
      <c r="O1560" s="22">
        <f>IF(A1560="","",IFERROR(MID(A1560,FIND("/",A1560,FIND("//",A1560)+2),2000),A1560))</f>
        <v/>
      </c>
      <c r="P1560" s="22">
        <f>IF(OR(O1560="",N1560="",N1560="none",N1560="404"),"",IF(N1560="410","Redirect gone "&amp;O1560,"Redirect "&amp;N1560&amp;" "&amp;O1560&amp;" "&amp;M1560))</f>
        <v/>
      </c>
      <c r="Q1560" s="22" t="n"/>
      <c r="R1560" s="22" t="n"/>
      <c r="S1560" s="22" t="n"/>
      <c r="T1560" s="4">
        <f>IF(A1560="","",TRIM(IF(K1560="","Needs decision; ","")&amp;IF(AND(K1560="Accept suggestion",F1560=""),"No suggestion to accept; ","")&amp;IF(AND(K1560="Override",L1560=""),"Override URL missing; ","")&amp;IF(AND(K1560="Accept suggestion",N(G1560)&lt;$G$2),"Below your threshold; ","")&amp;IF(AND(M1560&lt;&gt;"",M1560=A1560,K1560&lt;&gt;"No change (same URL)"),"Redirects to itself; ","")&amp;IF(AND(M1560&lt;&gt;"",OR(M1560="/",AND(LEFT(M1560,4)="http",OR((LEN(M1560)-LEN(SUBSTITUTE(M1560,"/","")))=2,AND((LEN(M1560)-LEN(SUBSTITUTE(M1560,"/","")))=3,RIGHT(M1560,1)="/"))))),"Home page redirect; ","")&amp;IF(N(R1560)&gt;1,"Chain; ","")&amp;IF(S1560="No","Destination not 200; ","")))</f>
        <v/>
      </c>
      <c r="U1560" s="22" t="n"/>
      <c r="V1560" s="22" t="n"/>
      <c r="W1560" s="4" t="n"/>
    </row>
    <row r="1561">
      <c r="A1561" s="22" t="n"/>
      <c r="B1561" s="22" t="n"/>
      <c r="C1561" s="22" t="n"/>
      <c r="D1561" s="22">
        <f>IF(A1561="","",IF(OR(N(B1561)&gt;=$C$2,N(C1561)&gt;=$E$2),"High",IF(OR(N(B1561)&gt;0,N(C1561)&gt;0),"Medium","Low")))</f>
        <v/>
      </c>
      <c r="E1561" s="22" t="n"/>
      <c r="F1561" s="22" t="n"/>
      <c r="G1561" s="22" t="n"/>
      <c r="H1561" s="22" t="n"/>
      <c r="I1561" s="22" t="n"/>
      <c r="J1561" s="22" t="n"/>
      <c r="K1561" s="22" t="n"/>
      <c r="L1561" s="22" t="n"/>
      <c r="M1561" s="22">
        <f>IF(K1561="Override",L1561,IF(K1561="Accept suggestion",F1561,IF(K1561="No change (same URL)",A1561,"")))</f>
        <v/>
      </c>
      <c r="N1561" s="22">
        <f>IF(A1561="","",IF(K1561="410 Gone","410",IF(K1561="404","404",IF(K1561="No change (same URL)","none",IF(M1561="","","301")))))</f>
        <v/>
      </c>
      <c r="O1561" s="22">
        <f>IF(A1561="","",IFERROR(MID(A1561,FIND("/",A1561,FIND("//",A1561)+2),2000),A1561))</f>
        <v/>
      </c>
      <c r="P1561" s="22">
        <f>IF(OR(O1561="",N1561="",N1561="none",N1561="404"),"",IF(N1561="410","Redirect gone "&amp;O1561,"Redirect "&amp;N1561&amp;" "&amp;O1561&amp;" "&amp;M1561))</f>
        <v/>
      </c>
      <c r="Q1561" s="22" t="n"/>
      <c r="R1561" s="22" t="n"/>
      <c r="S1561" s="22" t="n"/>
      <c r="T1561" s="4">
        <f>IF(A1561="","",TRIM(IF(K1561="","Needs decision; ","")&amp;IF(AND(K1561="Accept suggestion",F1561=""),"No suggestion to accept; ","")&amp;IF(AND(K1561="Override",L1561=""),"Override URL missing; ","")&amp;IF(AND(K1561="Accept suggestion",N(G1561)&lt;$G$2),"Below your threshold; ","")&amp;IF(AND(M1561&lt;&gt;"",M1561=A1561,K1561&lt;&gt;"No change (same URL)"),"Redirects to itself; ","")&amp;IF(AND(M1561&lt;&gt;"",OR(M1561="/",AND(LEFT(M1561,4)="http",OR((LEN(M1561)-LEN(SUBSTITUTE(M1561,"/","")))=2,AND((LEN(M1561)-LEN(SUBSTITUTE(M1561,"/","")))=3,RIGHT(M1561,1)="/"))))),"Home page redirect; ","")&amp;IF(N(R1561)&gt;1,"Chain; ","")&amp;IF(S1561="No","Destination not 200; ","")))</f>
        <v/>
      </c>
      <c r="U1561" s="22" t="n"/>
      <c r="V1561" s="22" t="n"/>
      <c r="W1561" s="4" t="n"/>
    </row>
    <row r="1562">
      <c r="A1562" s="22" t="n"/>
      <c r="B1562" s="22" t="n"/>
      <c r="C1562" s="22" t="n"/>
      <c r="D1562" s="22">
        <f>IF(A1562="","",IF(OR(N(B1562)&gt;=$C$2,N(C1562)&gt;=$E$2),"High",IF(OR(N(B1562)&gt;0,N(C1562)&gt;0),"Medium","Low")))</f>
        <v/>
      </c>
      <c r="E1562" s="22" t="n"/>
      <c r="F1562" s="22" t="n"/>
      <c r="G1562" s="22" t="n"/>
      <c r="H1562" s="22" t="n"/>
      <c r="I1562" s="22" t="n"/>
      <c r="J1562" s="22" t="n"/>
      <c r="K1562" s="22" t="n"/>
      <c r="L1562" s="22" t="n"/>
      <c r="M1562" s="22">
        <f>IF(K1562="Override",L1562,IF(K1562="Accept suggestion",F1562,IF(K1562="No change (same URL)",A1562,"")))</f>
        <v/>
      </c>
      <c r="N1562" s="22">
        <f>IF(A1562="","",IF(K1562="410 Gone","410",IF(K1562="404","404",IF(K1562="No change (same URL)","none",IF(M1562="","","301")))))</f>
        <v/>
      </c>
      <c r="O1562" s="22">
        <f>IF(A1562="","",IFERROR(MID(A1562,FIND("/",A1562,FIND("//",A1562)+2),2000),A1562))</f>
        <v/>
      </c>
      <c r="P1562" s="22">
        <f>IF(OR(O1562="",N1562="",N1562="none",N1562="404"),"",IF(N1562="410","Redirect gone "&amp;O1562,"Redirect "&amp;N1562&amp;" "&amp;O1562&amp;" "&amp;M1562))</f>
        <v/>
      </c>
      <c r="Q1562" s="22" t="n"/>
      <c r="R1562" s="22" t="n"/>
      <c r="S1562" s="22" t="n"/>
      <c r="T1562" s="4">
        <f>IF(A1562="","",TRIM(IF(K1562="","Needs decision; ","")&amp;IF(AND(K1562="Accept suggestion",F1562=""),"No suggestion to accept; ","")&amp;IF(AND(K1562="Override",L1562=""),"Override URL missing; ","")&amp;IF(AND(K1562="Accept suggestion",N(G1562)&lt;$G$2),"Below your threshold; ","")&amp;IF(AND(M1562&lt;&gt;"",M1562=A1562,K1562&lt;&gt;"No change (same URL)"),"Redirects to itself; ","")&amp;IF(AND(M1562&lt;&gt;"",OR(M1562="/",AND(LEFT(M1562,4)="http",OR((LEN(M1562)-LEN(SUBSTITUTE(M1562,"/","")))=2,AND((LEN(M1562)-LEN(SUBSTITUTE(M1562,"/","")))=3,RIGHT(M1562,1)="/"))))),"Home page redirect; ","")&amp;IF(N(R1562)&gt;1,"Chain; ","")&amp;IF(S1562="No","Destination not 200; ","")))</f>
        <v/>
      </c>
      <c r="U1562" s="22" t="n"/>
      <c r="V1562" s="22" t="n"/>
      <c r="W1562" s="4" t="n"/>
    </row>
    <row r="1563">
      <c r="A1563" s="22" t="n"/>
      <c r="B1563" s="22" t="n"/>
      <c r="C1563" s="22" t="n"/>
      <c r="D1563" s="22">
        <f>IF(A1563="","",IF(OR(N(B1563)&gt;=$C$2,N(C1563)&gt;=$E$2),"High",IF(OR(N(B1563)&gt;0,N(C1563)&gt;0),"Medium","Low")))</f>
        <v/>
      </c>
      <c r="E1563" s="22" t="n"/>
      <c r="F1563" s="22" t="n"/>
      <c r="G1563" s="22" t="n"/>
      <c r="H1563" s="22" t="n"/>
      <c r="I1563" s="22" t="n"/>
      <c r="J1563" s="22" t="n"/>
      <c r="K1563" s="22" t="n"/>
      <c r="L1563" s="22" t="n"/>
      <c r="M1563" s="22">
        <f>IF(K1563="Override",L1563,IF(K1563="Accept suggestion",F1563,IF(K1563="No change (same URL)",A1563,"")))</f>
        <v/>
      </c>
      <c r="N1563" s="22">
        <f>IF(A1563="","",IF(K1563="410 Gone","410",IF(K1563="404","404",IF(K1563="No change (same URL)","none",IF(M1563="","","301")))))</f>
        <v/>
      </c>
      <c r="O1563" s="22">
        <f>IF(A1563="","",IFERROR(MID(A1563,FIND("/",A1563,FIND("//",A1563)+2),2000),A1563))</f>
        <v/>
      </c>
      <c r="P1563" s="22">
        <f>IF(OR(O1563="",N1563="",N1563="none",N1563="404"),"",IF(N1563="410","Redirect gone "&amp;O1563,"Redirect "&amp;N1563&amp;" "&amp;O1563&amp;" "&amp;M1563))</f>
        <v/>
      </c>
      <c r="Q1563" s="22" t="n"/>
      <c r="R1563" s="22" t="n"/>
      <c r="S1563" s="22" t="n"/>
      <c r="T1563" s="4">
        <f>IF(A1563="","",TRIM(IF(K1563="","Needs decision; ","")&amp;IF(AND(K1563="Accept suggestion",F1563=""),"No suggestion to accept; ","")&amp;IF(AND(K1563="Override",L1563=""),"Override URL missing; ","")&amp;IF(AND(K1563="Accept suggestion",N(G1563)&lt;$G$2),"Below your threshold; ","")&amp;IF(AND(M1563&lt;&gt;"",M1563=A1563,K1563&lt;&gt;"No change (same URL)"),"Redirects to itself; ","")&amp;IF(AND(M1563&lt;&gt;"",OR(M1563="/",AND(LEFT(M1563,4)="http",OR((LEN(M1563)-LEN(SUBSTITUTE(M1563,"/","")))=2,AND((LEN(M1563)-LEN(SUBSTITUTE(M1563,"/","")))=3,RIGHT(M1563,1)="/"))))),"Home page redirect; ","")&amp;IF(N(R1563)&gt;1,"Chain; ","")&amp;IF(S1563="No","Destination not 200; ","")))</f>
        <v/>
      </c>
      <c r="U1563" s="22" t="n"/>
      <c r="V1563" s="22" t="n"/>
      <c r="W1563" s="4" t="n"/>
    </row>
    <row r="1564">
      <c r="A1564" s="22" t="n"/>
      <c r="B1564" s="22" t="n"/>
      <c r="C1564" s="22" t="n"/>
      <c r="D1564" s="22">
        <f>IF(A1564="","",IF(OR(N(B1564)&gt;=$C$2,N(C1564)&gt;=$E$2),"High",IF(OR(N(B1564)&gt;0,N(C1564)&gt;0),"Medium","Low")))</f>
        <v/>
      </c>
      <c r="E1564" s="22" t="n"/>
      <c r="F1564" s="22" t="n"/>
      <c r="G1564" s="22" t="n"/>
      <c r="H1564" s="22" t="n"/>
      <c r="I1564" s="22" t="n"/>
      <c r="J1564" s="22" t="n"/>
      <c r="K1564" s="22" t="n"/>
      <c r="L1564" s="22" t="n"/>
      <c r="M1564" s="22">
        <f>IF(K1564="Override",L1564,IF(K1564="Accept suggestion",F1564,IF(K1564="No change (same URL)",A1564,"")))</f>
        <v/>
      </c>
      <c r="N1564" s="22">
        <f>IF(A1564="","",IF(K1564="410 Gone","410",IF(K1564="404","404",IF(K1564="No change (same URL)","none",IF(M1564="","","301")))))</f>
        <v/>
      </c>
      <c r="O1564" s="22">
        <f>IF(A1564="","",IFERROR(MID(A1564,FIND("/",A1564,FIND("//",A1564)+2),2000),A1564))</f>
        <v/>
      </c>
      <c r="P1564" s="22">
        <f>IF(OR(O1564="",N1564="",N1564="none",N1564="404"),"",IF(N1564="410","Redirect gone "&amp;O1564,"Redirect "&amp;N1564&amp;" "&amp;O1564&amp;" "&amp;M1564))</f>
        <v/>
      </c>
      <c r="Q1564" s="22" t="n"/>
      <c r="R1564" s="22" t="n"/>
      <c r="S1564" s="22" t="n"/>
      <c r="T1564" s="4">
        <f>IF(A1564="","",TRIM(IF(K1564="","Needs decision; ","")&amp;IF(AND(K1564="Accept suggestion",F1564=""),"No suggestion to accept; ","")&amp;IF(AND(K1564="Override",L1564=""),"Override URL missing; ","")&amp;IF(AND(K1564="Accept suggestion",N(G1564)&lt;$G$2),"Below your threshold; ","")&amp;IF(AND(M1564&lt;&gt;"",M1564=A1564,K1564&lt;&gt;"No change (same URL)"),"Redirects to itself; ","")&amp;IF(AND(M1564&lt;&gt;"",OR(M1564="/",AND(LEFT(M1564,4)="http",OR((LEN(M1564)-LEN(SUBSTITUTE(M1564,"/","")))=2,AND((LEN(M1564)-LEN(SUBSTITUTE(M1564,"/","")))=3,RIGHT(M1564,1)="/"))))),"Home page redirect; ","")&amp;IF(N(R1564)&gt;1,"Chain; ","")&amp;IF(S1564="No","Destination not 200; ","")))</f>
        <v/>
      </c>
      <c r="U1564" s="22" t="n"/>
      <c r="V1564" s="22" t="n"/>
      <c r="W1564" s="4" t="n"/>
    </row>
    <row r="1565">
      <c r="A1565" s="22" t="n"/>
      <c r="B1565" s="22" t="n"/>
      <c r="C1565" s="22" t="n"/>
      <c r="D1565" s="22">
        <f>IF(A1565="","",IF(OR(N(B1565)&gt;=$C$2,N(C1565)&gt;=$E$2),"High",IF(OR(N(B1565)&gt;0,N(C1565)&gt;0),"Medium","Low")))</f>
        <v/>
      </c>
      <c r="E1565" s="22" t="n"/>
      <c r="F1565" s="22" t="n"/>
      <c r="G1565" s="22" t="n"/>
      <c r="H1565" s="22" t="n"/>
      <c r="I1565" s="22" t="n"/>
      <c r="J1565" s="22" t="n"/>
      <c r="K1565" s="22" t="n"/>
      <c r="L1565" s="22" t="n"/>
      <c r="M1565" s="22">
        <f>IF(K1565="Override",L1565,IF(K1565="Accept suggestion",F1565,IF(K1565="No change (same URL)",A1565,"")))</f>
        <v/>
      </c>
      <c r="N1565" s="22">
        <f>IF(A1565="","",IF(K1565="410 Gone","410",IF(K1565="404","404",IF(K1565="No change (same URL)","none",IF(M1565="","","301")))))</f>
        <v/>
      </c>
      <c r="O1565" s="22">
        <f>IF(A1565="","",IFERROR(MID(A1565,FIND("/",A1565,FIND("//",A1565)+2),2000),A1565))</f>
        <v/>
      </c>
      <c r="P1565" s="22">
        <f>IF(OR(O1565="",N1565="",N1565="none",N1565="404"),"",IF(N1565="410","Redirect gone "&amp;O1565,"Redirect "&amp;N1565&amp;" "&amp;O1565&amp;" "&amp;M1565))</f>
        <v/>
      </c>
      <c r="Q1565" s="22" t="n"/>
      <c r="R1565" s="22" t="n"/>
      <c r="S1565" s="22" t="n"/>
      <c r="T1565" s="4">
        <f>IF(A1565="","",TRIM(IF(K1565="","Needs decision; ","")&amp;IF(AND(K1565="Accept suggestion",F1565=""),"No suggestion to accept; ","")&amp;IF(AND(K1565="Override",L1565=""),"Override URL missing; ","")&amp;IF(AND(K1565="Accept suggestion",N(G1565)&lt;$G$2),"Below your threshold; ","")&amp;IF(AND(M1565&lt;&gt;"",M1565=A1565,K1565&lt;&gt;"No change (same URL)"),"Redirects to itself; ","")&amp;IF(AND(M1565&lt;&gt;"",OR(M1565="/",AND(LEFT(M1565,4)="http",OR((LEN(M1565)-LEN(SUBSTITUTE(M1565,"/","")))=2,AND((LEN(M1565)-LEN(SUBSTITUTE(M1565,"/","")))=3,RIGHT(M1565,1)="/"))))),"Home page redirect; ","")&amp;IF(N(R1565)&gt;1,"Chain; ","")&amp;IF(S1565="No","Destination not 200; ","")))</f>
        <v/>
      </c>
      <c r="U1565" s="22" t="n"/>
      <c r="V1565" s="22" t="n"/>
      <c r="W1565" s="4" t="n"/>
    </row>
    <row r="1566">
      <c r="A1566" s="22" t="n"/>
      <c r="B1566" s="22" t="n"/>
      <c r="C1566" s="22" t="n"/>
      <c r="D1566" s="22">
        <f>IF(A1566="","",IF(OR(N(B1566)&gt;=$C$2,N(C1566)&gt;=$E$2),"High",IF(OR(N(B1566)&gt;0,N(C1566)&gt;0),"Medium","Low")))</f>
        <v/>
      </c>
      <c r="E1566" s="22" t="n"/>
      <c r="F1566" s="22" t="n"/>
      <c r="G1566" s="22" t="n"/>
      <c r="H1566" s="22" t="n"/>
      <c r="I1566" s="22" t="n"/>
      <c r="J1566" s="22" t="n"/>
      <c r="K1566" s="22" t="n"/>
      <c r="L1566" s="22" t="n"/>
      <c r="M1566" s="22">
        <f>IF(K1566="Override",L1566,IF(K1566="Accept suggestion",F1566,IF(K1566="No change (same URL)",A1566,"")))</f>
        <v/>
      </c>
      <c r="N1566" s="22">
        <f>IF(A1566="","",IF(K1566="410 Gone","410",IF(K1566="404","404",IF(K1566="No change (same URL)","none",IF(M1566="","","301")))))</f>
        <v/>
      </c>
      <c r="O1566" s="22">
        <f>IF(A1566="","",IFERROR(MID(A1566,FIND("/",A1566,FIND("//",A1566)+2),2000),A1566))</f>
        <v/>
      </c>
      <c r="P1566" s="22">
        <f>IF(OR(O1566="",N1566="",N1566="none",N1566="404"),"",IF(N1566="410","Redirect gone "&amp;O1566,"Redirect "&amp;N1566&amp;" "&amp;O1566&amp;" "&amp;M1566))</f>
        <v/>
      </c>
      <c r="Q1566" s="22" t="n"/>
      <c r="R1566" s="22" t="n"/>
      <c r="S1566" s="22" t="n"/>
      <c r="T1566" s="4">
        <f>IF(A1566="","",TRIM(IF(K1566="","Needs decision; ","")&amp;IF(AND(K1566="Accept suggestion",F1566=""),"No suggestion to accept; ","")&amp;IF(AND(K1566="Override",L1566=""),"Override URL missing; ","")&amp;IF(AND(K1566="Accept suggestion",N(G1566)&lt;$G$2),"Below your threshold; ","")&amp;IF(AND(M1566&lt;&gt;"",M1566=A1566,K1566&lt;&gt;"No change (same URL)"),"Redirects to itself; ","")&amp;IF(AND(M1566&lt;&gt;"",OR(M1566="/",AND(LEFT(M1566,4)="http",OR((LEN(M1566)-LEN(SUBSTITUTE(M1566,"/","")))=2,AND((LEN(M1566)-LEN(SUBSTITUTE(M1566,"/","")))=3,RIGHT(M1566,1)="/"))))),"Home page redirect; ","")&amp;IF(N(R1566)&gt;1,"Chain; ","")&amp;IF(S1566="No","Destination not 200; ","")))</f>
        <v/>
      </c>
      <c r="U1566" s="22" t="n"/>
      <c r="V1566" s="22" t="n"/>
      <c r="W1566" s="4" t="n"/>
    </row>
    <row r="1567">
      <c r="A1567" s="22" t="n"/>
      <c r="B1567" s="22" t="n"/>
      <c r="C1567" s="22" t="n"/>
      <c r="D1567" s="22">
        <f>IF(A1567="","",IF(OR(N(B1567)&gt;=$C$2,N(C1567)&gt;=$E$2),"High",IF(OR(N(B1567)&gt;0,N(C1567)&gt;0),"Medium","Low")))</f>
        <v/>
      </c>
      <c r="E1567" s="22" t="n"/>
      <c r="F1567" s="22" t="n"/>
      <c r="G1567" s="22" t="n"/>
      <c r="H1567" s="22" t="n"/>
      <c r="I1567" s="22" t="n"/>
      <c r="J1567" s="22" t="n"/>
      <c r="K1567" s="22" t="n"/>
      <c r="L1567" s="22" t="n"/>
      <c r="M1567" s="22">
        <f>IF(K1567="Override",L1567,IF(K1567="Accept suggestion",F1567,IF(K1567="No change (same URL)",A1567,"")))</f>
        <v/>
      </c>
      <c r="N1567" s="22">
        <f>IF(A1567="","",IF(K1567="410 Gone","410",IF(K1567="404","404",IF(K1567="No change (same URL)","none",IF(M1567="","","301")))))</f>
        <v/>
      </c>
      <c r="O1567" s="22">
        <f>IF(A1567="","",IFERROR(MID(A1567,FIND("/",A1567,FIND("//",A1567)+2),2000),A1567))</f>
        <v/>
      </c>
      <c r="P1567" s="22">
        <f>IF(OR(O1567="",N1567="",N1567="none",N1567="404"),"",IF(N1567="410","Redirect gone "&amp;O1567,"Redirect "&amp;N1567&amp;" "&amp;O1567&amp;" "&amp;M1567))</f>
        <v/>
      </c>
      <c r="Q1567" s="22" t="n"/>
      <c r="R1567" s="22" t="n"/>
      <c r="S1567" s="22" t="n"/>
      <c r="T1567" s="4">
        <f>IF(A1567="","",TRIM(IF(K1567="","Needs decision; ","")&amp;IF(AND(K1567="Accept suggestion",F1567=""),"No suggestion to accept; ","")&amp;IF(AND(K1567="Override",L1567=""),"Override URL missing; ","")&amp;IF(AND(K1567="Accept suggestion",N(G1567)&lt;$G$2),"Below your threshold; ","")&amp;IF(AND(M1567&lt;&gt;"",M1567=A1567,K1567&lt;&gt;"No change (same URL)"),"Redirects to itself; ","")&amp;IF(AND(M1567&lt;&gt;"",OR(M1567="/",AND(LEFT(M1567,4)="http",OR((LEN(M1567)-LEN(SUBSTITUTE(M1567,"/","")))=2,AND((LEN(M1567)-LEN(SUBSTITUTE(M1567,"/","")))=3,RIGHT(M1567,1)="/"))))),"Home page redirect; ","")&amp;IF(N(R1567)&gt;1,"Chain; ","")&amp;IF(S1567="No","Destination not 200; ","")))</f>
        <v/>
      </c>
      <c r="U1567" s="22" t="n"/>
      <c r="V1567" s="22" t="n"/>
      <c r="W1567" s="4" t="n"/>
    </row>
    <row r="1568">
      <c r="A1568" s="22" t="n"/>
      <c r="B1568" s="22" t="n"/>
      <c r="C1568" s="22" t="n"/>
      <c r="D1568" s="22">
        <f>IF(A1568="","",IF(OR(N(B1568)&gt;=$C$2,N(C1568)&gt;=$E$2),"High",IF(OR(N(B1568)&gt;0,N(C1568)&gt;0),"Medium","Low")))</f>
        <v/>
      </c>
      <c r="E1568" s="22" t="n"/>
      <c r="F1568" s="22" t="n"/>
      <c r="G1568" s="22" t="n"/>
      <c r="H1568" s="22" t="n"/>
      <c r="I1568" s="22" t="n"/>
      <c r="J1568" s="22" t="n"/>
      <c r="K1568" s="22" t="n"/>
      <c r="L1568" s="22" t="n"/>
      <c r="M1568" s="22">
        <f>IF(K1568="Override",L1568,IF(K1568="Accept suggestion",F1568,IF(K1568="No change (same URL)",A1568,"")))</f>
        <v/>
      </c>
      <c r="N1568" s="22">
        <f>IF(A1568="","",IF(K1568="410 Gone","410",IF(K1568="404","404",IF(K1568="No change (same URL)","none",IF(M1568="","","301")))))</f>
        <v/>
      </c>
      <c r="O1568" s="22">
        <f>IF(A1568="","",IFERROR(MID(A1568,FIND("/",A1568,FIND("//",A1568)+2),2000),A1568))</f>
        <v/>
      </c>
      <c r="P1568" s="22">
        <f>IF(OR(O1568="",N1568="",N1568="none",N1568="404"),"",IF(N1568="410","Redirect gone "&amp;O1568,"Redirect "&amp;N1568&amp;" "&amp;O1568&amp;" "&amp;M1568))</f>
        <v/>
      </c>
      <c r="Q1568" s="22" t="n"/>
      <c r="R1568" s="22" t="n"/>
      <c r="S1568" s="22" t="n"/>
      <c r="T1568" s="4">
        <f>IF(A1568="","",TRIM(IF(K1568="","Needs decision; ","")&amp;IF(AND(K1568="Accept suggestion",F1568=""),"No suggestion to accept; ","")&amp;IF(AND(K1568="Override",L1568=""),"Override URL missing; ","")&amp;IF(AND(K1568="Accept suggestion",N(G1568)&lt;$G$2),"Below your threshold; ","")&amp;IF(AND(M1568&lt;&gt;"",M1568=A1568,K1568&lt;&gt;"No change (same URL)"),"Redirects to itself; ","")&amp;IF(AND(M1568&lt;&gt;"",OR(M1568="/",AND(LEFT(M1568,4)="http",OR((LEN(M1568)-LEN(SUBSTITUTE(M1568,"/","")))=2,AND((LEN(M1568)-LEN(SUBSTITUTE(M1568,"/","")))=3,RIGHT(M1568,1)="/"))))),"Home page redirect; ","")&amp;IF(N(R1568)&gt;1,"Chain; ","")&amp;IF(S1568="No","Destination not 200; ","")))</f>
        <v/>
      </c>
      <c r="U1568" s="22" t="n"/>
      <c r="V1568" s="22" t="n"/>
      <c r="W1568" s="4" t="n"/>
    </row>
    <row r="1569">
      <c r="A1569" s="22" t="n"/>
      <c r="B1569" s="22" t="n"/>
      <c r="C1569" s="22" t="n"/>
      <c r="D1569" s="22">
        <f>IF(A1569="","",IF(OR(N(B1569)&gt;=$C$2,N(C1569)&gt;=$E$2),"High",IF(OR(N(B1569)&gt;0,N(C1569)&gt;0),"Medium","Low")))</f>
        <v/>
      </c>
      <c r="E1569" s="22" t="n"/>
      <c r="F1569" s="22" t="n"/>
      <c r="G1569" s="22" t="n"/>
      <c r="H1569" s="22" t="n"/>
      <c r="I1569" s="22" t="n"/>
      <c r="J1569" s="22" t="n"/>
      <c r="K1569" s="22" t="n"/>
      <c r="L1569" s="22" t="n"/>
      <c r="M1569" s="22">
        <f>IF(K1569="Override",L1569,IF(K1569="Accept suggestion",F1569,IF(K1569="No change (same URL)",A1569,"")))</f>
        <v/>
      </c>
      <c r="N1569" s="22">
        <f>IF(A1569="","",IF(K1569="410 Gone","410",IF(K1569="404","404",IF(K1569="No change (same URL)","none",IF(M1569="","","301")))))</f>
        <v/>
      </c>
      <c r="O1569" s="22">
        <f>IF(A1569="","",IFERROR(MID(A1569,FIND("/",A1569,FIND("//",A1569)+2),2000),A1569))</f>
        <v/>
      </c>
      <c r="P1569" s="22">
        <f>IF(OR(O1569="",N1569="",N1569="none",N1569="404"),"",IF(N1569="410","Redirect gone "&amp;O1569,"Redirect "&amp;N1569&amp;" "&amp;O1569&amp;" "&amp;M1569))</f>
        <v/>
      </c>
      <c r="Q1569" s="22" t="n"/>
      <c r="R1569" s="22" t="n"/>
      <c r="S1569" s="22" t="n"/>
      <c r="T1569" s="4">
        <f>IF(A1569="","",TRIM(IF(K1569="","Needs decision; ","")&amp;IF(AND(K1569="Accept suggestion",F1569=""),"No suggestion to accept; ","")&amp;IF(AND(K1569="Override",L1569=""),"Override URL missing; ","")&amp;IF(AND(K1569="Accept suggestion",N(G1569)&lt;$G$2),"Below your threshold; ","")&amp;IF(AND(M1569&lt;&gt;"",M1569=A1569,K1569&lt;&gt;"No change (same URL)"),"Redirects to itself; ","")&amp;IF(AND(M1569&lt;&gt;"",OR(M1569="/",AND(LEFT(M1569,4)="http",OR((LEN(M1569)-LEN(SUBSTITUTE(M1569,"/","")))=2,AND((LEN(M1569)-LEN(SUBSTITUTE(M1569,"/","")))=3,RIGHT(M1569,1)="/"))))),"Home page redirect; ","")&amp;IF(N(R1569)&gt;1,"Chain; ","")&amp;IF(S1569="No","Destination not 200; ","")))</f>
        <v/>
      </c>
      <c r="U1569" s="22" t="n"/>
      <c r="V1569" s="22" t="n"/>
      <c r="W1569" s="4" t="n"/>
    </row>
    <row r="1570">
      <c r="A1570" s="22" t="n"/>
      <c r="B1570" s="22" t="n"/>
      <c r="C1570" s="22" t="n"/>
      <c r="D1570" s="22">
        <f>IF(A1570="","",IF(OR(N(B1570)&gt;=$C$2,N(C1570)&gt;=$E$2),"High",IF(OR(N(B1570)&gt;0,N(C1570)&gt;0),"Medium","Low")))</f>
        <v/>
      </c>
      <c r="E1570" s="22" t="n"/>
      <c r="F1570" s="22" t="n"/>
      <c r="G1570" s="22" t="n"/>
      <c r="H1570" s="22" t="n"/>
      <c r="I1570" s="22" t="n"/>
      <c r="J1570" s="22" t="n"/>
      <c r="K1570" s="22" t="n"/>
      <c r="L1570" s="22" t="n"/>
      <c r="M1570" s="22">
        <f>IF(K1570="Override",L1570,IF(K1570="Accept suggestion",F1570,IF(K1570="No change (same URL)",A1570,"")))</f>
        <v/>
      </c>
      <c r="N1570" s="22">
        <f>IF(A1570="","",IF(K1570="410 Gone","410",IF(K1570="404","404",IF(K1570="No change (same URL)","none",IF(M1570="","","301")))))</f>
        <v/>
      </c>
      <c r="O1570" s="22">
        <f>IF(A1570="","",IFERROR(MID(A1570,FIND("/",A1570,FIND("//",A1570)+2),2000),A1570))</f>
        <v/>
      </c>
      <c r="P1570" s="22">
        <f>IF(OR(O1570="",N1570="",N1570="none",N1570="404"),"",IF(N1570="410","Redirect gone "&amp;O1570,"Redirect "&amp;N1570&amp;" "&amp;O1570&amp;" "&amp;M1570))</f>
        <v/>
      </c>
      <c r="Q1570" s="22" t="n"/>
      <c r="R1570" s="22" t="n"/>
      <c r="S1570" s="22" t="n"/>
      <c r="T1570" s="4">
        <f>IF(A1570="","",TRIM(IF(K1570="","Needs decision; ","")&amp;IF(AND(K1570="Accept suggestion",F1570=""),"No suggestion to accept; ","")&amp;IF(AND(K1570="Override",L1570=""),"Override URL missing; ","")&amp;IF(AND(K1570="Accept suggestion",N(G1570)&lt;$G$2),"Below your threshold; ","")&amp;IF(AND(M1570&lt;&gt;"",M1570=A1570,K1570&lt;&gt;"No change (same URL)"),"Redirects to itself; ","")&amp;IF(AND(M1570&lt;&gt;"",OR(M1570="/",AND(LEFT(M1570,4)="http",OR((LEN(M1570)-LEN(SUBSTITUTE(M1570,"/","")))=2,AND((LEN(M1570)-LEN(SUBSTITUTE(M1570,"/","")))=3,RIGHT(M1570,1)="/"))))),"Home page redirect; ","")&amp;IF(N(R1570)&gt;1,"Chain; ","")&amp;IF(S1570="No","Destination not 200; ","")))</f>
        <v/>
      </c>
      <c r="U1570" s="22" t="n"/>
      <c r="V1570" s="22" t="n"/>
      <c r="W1570" s="4" t="n"/>
    </row>
    <row r="1571">
      <c r="A1571" s="22" t="n"/>
      <c r="B1571" s="22" t="n"/>
      <c r="C1571" s="22" t="n"/>
      <c r="D1571" s="22">
        <f>IF(A1571="","",IF(OR(N(B1571)&gt;=$C$2,N(C1571)&gt;=$E$2),"High",IF(OR(N(B1571)&gt;0,N(C1571)&gt;0),"Medium","Low")))</f>
        <v/>
      </c>
      <c r="E1571" s="22" t="n"/>
      <c r="F1571" s="22" t="n"/>
      <c r="G1571" s="22" t="n"/>
      <c r="H1571" s="22" t="n"/>
      <c r="I1571" s="22" t="n"/>
      <c r="J1571" s="22" t="n"/>
      <c r="K1571" s="22" t="n"/>
      <c r="L1571" s="22" t="n"/>
      <c r="M1571" s="22">
        <f>IF(K1571="Override",L1571,IF(K1571="Accept suggestion",F1571,IF(K1571="No change (same URL)",A1571,"")))</f>
        <v/>
      </c>
      <c r="N1571" s="22">
        <f>IF(A1571="","",IF(K1571="410 Gone","410",IF(K1571="404","404",IF(K1571="No change (same URL)","none",IF(M1571="","","301")))))</f>
        <v/>
      </c>
      <c r="O1571" s="22">
        <f>IF(A1571="","",IFERROR(MID(A1571,FIND("/",A1571,FIND("//",A1571)+2),2000),A1571))</f>
        <v/>
      </c>
      <c r="P1571" s="22">
        <f>IF(OR(O1571="",N1571="",N1571="none",N1571="404"),"",IF(N1571="410","Redirect gone "&amp;O1571,"Redirect "&amp;N1571&amp;" "&amp;O1571&amp;" "&amp;M1571))</f>
        <v/>
      </c>
      <c r="Q1571" s="22" t="n"/>
      <c r="R1571" s="22" t="n"/>
      <c r="S1571" s="22" t="n"/>
      <c r="T1571" s="4">
        <f>IF(A1571="","",TRIM(IF(K1571="","Needs decision; ","")&amp;IF(AND(K1571="Accept suggestion",F1571=""),"No suggestion to accept; ","")&amp;IF(AND(K1571="Override",L1571=""),"Override URL missing; ","")&amp;IF(AND(K1571="Accept suggestion",N(G1571)&lt;$G$2),"Below your threshold; ","")&amp;IF(AND(M1571&lt;&gt;"",M1571=A1571,K1571&lt;&gt;"No change (same URL)"),"Redirects to itself; ","")&amp;IF(AND(M1571&lt;&gt;"",OR(M1571="/",AND(LEFT(M1571,4)="http",OR((LEN(M1571)-LEN(SUBSTITUTE(M1571,"/","")))=2,AND((LEN(M1571)-LEN(SUBSTITUTE(M1571,"/","")))=3,RIGHT(M1571,1)="/"))))),"Home page redirect; ","")&amp;IF(N(R1571)&gt;1,"Chain; ","")&amp;IF(S1571="No","Destination not 200; ","")))</f>
        <v/>
      </c>
      <c r="U1571" s="22" t="n"/>
      <c r="V1571" s="22" t="n"/>
      <c r="W1571" s="4" t="n"/>
    </row>
    <row r="1572">
      <c r="A1572" s="22" t="n"/>
      <c r="B1572" s="22" t="n"/>
      <c r="C1572" s="22" t="n"/>
      <c r="D1572" s="22">
        <f>IF(A1572="","",IF(OR(N(B1572)&gt;=$C$2,N(C1572)&gt;=$E$2),"High",IF(OR(N(B1572)&gt;0,N(C1572)&gt;0),"Medium","Low")))</f>
        <v/>
      </c>
      <c r="E1572" s="22" t="n"/>
      <c r="F1572" s="22" t="n"/>
      <c r="G1572" s="22" t="n"/>
      <c r="H1572" s="22" t="n"/>
      <c r="I1572" s="22" t="n"/>
      <c r="J1572" s="22" t="n"/>
      <c r="K1572" s="22" t="n"/>
      <c r="L1572" s="22" t="n"/>
      <c r="M1572" s="22">
        <f>IF(K1572="Override",L1572,IF(K1572="Accept suggestion",F1572,IF(K1572="No change (same URL)",A1572,"")))</f>
        <v/>
      </c>
      <c r="N1572" s="22">
        <f>IF(A1572="","",IF(K1572="410 Gone","410",IF(K1572="404","404",IF(K1572="No change (same URL)","none",IF(M1572="","","301")))))</f>
        <v/>
      </c>
      <c r="O1572" s="22">
        <f>IF(A1572="","",IFERROR(MID(A1572,FIND("/",A1572,FIND("//",A1572)+2),2000),A1572))</f>
        <v/>
      </c>
      <c r="P1572" s="22">
        <f>IF(OR(O1572="",N1572="",N1572="none",N1572="404"),"",IF(N1572="410","Redirect gone "&amp;O1572,"Redirect "&amp;N1572&amp;" "&amp;O1572&amp;" "&amp;M1572))</f>
        <v/>
      </c>
      <c r="Q1572" s="22" t="n"/>
      <c r="R1572" s="22" t="n"/>
      <c r="S1572" s="22" t="n"/>
      <c r="T1572" s="4">
        <f>IF(A1572="","",TRIM(IF(K1572="","Needs decision; ","")&amp;IF(AND(K1572="Accept suggestion",F1572=""),"No suggestion to accept; ","")&amp;IF(AND(K1572="Override",L1572=""),"Override URL missing; ","")&amp;IF(AND(K1572="Accept suggestion",N(G1572)&lt;$G$2),"Below your threshold; ","")&amp;IF(AND(M1572&lt;&gt;"",M1572=A1572,K1572&lt;&gt;"No change (same URL)"),"Redirects to itself; ","")&amp;IF(AND(M1572&lt;&gt;"",OR(M1572="/",AND(LEFT(M1572,4)="http",OR((LEN(M1572)-LEN(SUBSTITUTE(M1572,"/","")))=2,AND((LEN(M1572)-LEN(SUBSTITUTE(M1572,"/","")))=3,RIGHT(M1572,1)="/"))))),"Home page redirect; ","")&amp;IF(N(R1572)&gt;1,"Chain; ","")&amp;IF(S1572="No","Destination not 200; ","")))</f>
        <v/>
      </c>
      <c r="U1572" s="22" t="n"/>
      <c r="V1572" s="22" t="n"/>
      <c r="W1572" s="4" t="n"/>
    </row>
    <row r="1573">
      <c r="A1573" s="22" t="n"/>
      <c r="B1573" s="22" t="n"/>
      <c r="C1573" s="22" t="n"/>
      <c r="D1573" s="22">
        <f>IF(A1573="","",IF(OR(N(B1573)&gt;=$C$2,N(C1573)&gt;=$E$2),"High",IF(OR(N(B1573)&gt;0,N(C1573)&gt;0),"Medium","Low")))</f>
        <v/>
      </c>
      <c r="E1573" s="22" t="n"/>
      <c r="F1573" s="22" t="n"/>
      <c r="G1573" s="22" t="n"/>
      <c r="H1573" s="22" t="n"/>
      <c r="I1573" s="22" t="n"/>
      <c r="J1573" s="22" t="n"/>
      <c r="K1573" s="22" t="n"/>
      <c r="L1573" s="22" t="n"/>
      <c r="M1573" s="22">
        <f>IF(K1573="Override",L1573,IF(K1573="Accept suggestion",F1573,IF(K1573="No change (same URL)",A1573,"")))</f>
        <v/>
      </c>
      <c r="N1573" s="22">
        <f>IF(A1573="","",IF(K1573="410 Gone","410",IF(K1573="404","404",IF(K1573="No change (same URL)","none",IF(M1573="","","301")))))</f>
        <v/>
      </c>
      <c r="O1573" s="22">
        <f>IF(A1573="","",IFERROR(MID(A1573,FIND("/",A1573,FIND("//",A1573)+2),2000),A1573))</f>
        <v/>
      </c>
      <c r="P1573" s="22">
        <f>IF(OR(O1573="",N1573="",N1573="none",N1573="404"),"",IF(N1573="410","Redirect gone "&amp;O1573,"Redirect "&amp;N1573&amp;" "&amp;O1573&amp;" "&amp;M1573))</f>
        <v/>
      </c>
      <c r="Q1573" s="22" t="n"/>
      <c r="R1573" s="22" t="n"/>
      <c r="S1573" s="22" t="n"/>
      <c r="T1573" s="4">
        <f>IF(A1573="","",TRIM(IF(K1573="","Needs decision; ","")&amp;IF(AND(K1573="Accept suggestion",F1573=""),"No suggestion to accept; ","")&amp;IF(AND(K1573="Override",L1573=""),"Override URL missing; ","")&amp;IF(AND(K1573="Accept suggestion",N(G1573)&lt;$G$2),"Below your threshold; ","")&amp;IF(AND(M1573&lt;&gt;"",M1573=A1573,K1573&lt;&gt;"No change (same URL)"),"Redirects to itself; ","")&amp;IF(AND(M1573&lt;&gt;"",OR(M1573="/",AND(LEFT(M1573,4)="http",OR((LEN(M1573)-LEN(SUBSTITUTE(M1573,"/","")))=2,AND((LEN(M1573)-LEN(SUBSTITUTE(M1573,"/","")))=3,RIGHT(M1573,1)="/"))))),"Home page redirect; ","")&amp;IF(N(R1573)&gt;1,"Chain; ","")&amp;IF(S1573="No","Destination not 200; ","")))</f>
        <v/>
      </c>
      <c r="U1573" s="22" t="n"/>
      <c r="V1573" s="22" t="n"/>
      <c r="W1573" s="4" t="n"/>
    </row>
    <row r="1574">
      <c r="A1574" s="22" t="n"/>
      <c r="B1574" s="22" t="n"/>
      <c r="C1574" s="22" t="n"/>
      <c r="D1574" s="22">
        <f>IF(A1574="","",IF(OR(N(B1574)&gt;=$C$2,N(C1574)&gt;=$E$2),"High",IF(OR(N(B1574)&gt;0,N(C1574)&gt;0),"Medium","Low")))</f>
        <v/>
      </c>
      <c r="E1574" s="22" t="n"/>
      <c r="F1574" s="22" t="n"/>
      <c r="G1574" s="22" t="n"/>
      <c r="H1574" s="22" t="n"/>
      <c r="I1574" s="22" t="n"/>
      <c r="J1574" s="22" t="n"/>
      <c r="K1574" s="22" t="n"/>
      <c r="L1574" s="22" t="n"/>
      <c r="M1574" s="22">
        <f>IF(K1574="Override",L1574,IF(K1574="Accept suggestion",F1574,IF(K1574="No change (same URL)",A1574,"")))</f>
        <v/>
      </c>
      <c r="N1574" s="22">
        <f>IF(A1574="","",IF(K1574="410 Gone","410",IF(K1574="404","404",IF(K1574="No change (same URL)","none",IF(M1574="","","301")))))</f>
        <v/>
      </c>
      <c r="O1574" s="22">
        <f>IF(A1574="","",IFERROR(MID(A1574,FIND("/",A1574,FIND("//",A1574)+2),2000),A1574))</f>
        <v/>
      </c>
      <c r="P1574" s="22">
        <f>IF(OR(O1574="",N1574="",N1574="none",N1574="404"),"",IF(N1574="410","Redirect gone "&amp;O1574,"Redirect "&amp;N1574&amp;" "&amp;O1574&amp;" "&amp;M1574))</f>
        <v/>
      </c>
      <c r="Q1574" s="22" t="n"/>
      <c r="R1574" s="22" t="n"/>
      <c r="S1574" s="22" t="n"/>
      <c r="T1574" s="4">
        <f>IF(A1574="","",TRIM(IF(K1574="","Needs decision; ","")&amp;IF(AND(K1574="Accept suggestion",F1574=""),"No suggestion to accept; ","")&amp;IF(AND(K1574="Override",L1574=""),"Override URL missing; ","")&amp;IF(AND(K1574="Accept suggestion",N(G1574)&lt;$G$2),"Below your threshold; ","")&amp;IF(AND(M1574&lt;&gt;"",M1574=A1574,K1574&lt;&gt;"No change (same URL)"),"Redirects to itself; ","")&amp;IF(AND(M1574&lt;&gt;"",OR(M1574="/",AND(LEFT(M1574,4)="http",OR((LEN(M1574)-LEN(SUBSTITUTE(M1574,"/","")))=2,AND((LEN(M1574)-LEN(SUBSTITUTE(M1574,"/","")))=3,RIGHT(M1574,1)="/"))))),"Home page redirect; ","")&amp;IF(N(R1574)&gt;1,"Chain; ","")&amp;IF(S1574="No","Destination not 200; ","")))</f>
        <v/>
      </c>
      <c r="U1574" s="22" t="n"/>
      <c r="V1574" s="22" t="n"/>
      <c r="W1574" s="4" t="n"/>
    </row>
    <row r="1575">
      <c r="A1575" s="22" t="n"/>
      <c r="B1575" s="22" t="n"/>
      <c r="C1575" s="22" t="n"/>
      <c r="D1575" s="22">
        <f>IF(A1575="","",IF(OR(N(B1575)&gt;=$C$2,N(C1575)&gt;=$E$2),"High",IF(OR(N(B1575)&gt;0,N(C1575)&gt;0),"Medium","Low")))</f>
        <v/>
      </c>
      <c r="E1575" s="22" t="n"/>
      <c r="F1575" s="22" t="n"/>
      <c r="G1575" s="22" t="n"/>
      <c r="H1575" s="22" t="n"/>
      <c r="I1575" s="22" t="n"/>
      <c r="J1575" s="22" t="n"/>
      <c r="K1575" s="22" t="n"/>
      <c r="L1575" s="22" t="n"/>
      <c r="M1575" s="22">
        <f>IF(K1575="Override",L1575,IF(K1575="Accept suggestion",F1575,IF(K1575="No change (same URL)",A1575,"")))</f>
        <v/>
      </c>
      <c r="N1575" s="22">
        <f>IF(A1575="","",IF(K1575="410 Gone","410",IF(K1575="404","404",IF(K1575="No change (same URL)","none",IF(M1575="","","301")))))</f>
        <v/>
      </c>
      <c r="O1575" s="22">
        <f>IF(A1575="","",IFERROR(MID(A1575,FIND("/",A1575,FIND("//",A1575)+2),2000),A1575))</f>
        <v/>
      </c>
      <c r="P1575" s="22">
        <f>IF(OR(O1575="",N1575="",N1575="none",N1575="404"),"",IF(N1575="410","Redirect gone "&amp;O1575,"Redirect "&amp;N1575&amp;" "&amp;O1575&amp;" "&amp;M1575))</f>
        <v/>
      </c>
      <c r="Q1575" s="22" t="n"/>
      <c r="R1575" s="22" t="n"/>
      <c r="S1575" s="22" t="n"/>
      <c r="T1575" s="4">
        <f>IF(A1575="","",TRIM(IF(K1575="","Needs decision; ","")&amp;IF(AND(K1575="Accept suggestion",F1575=""),"No suggestion to accept; ","")&amp;IF(AND(K1575="Override",L1575=""),"Override URL missing; ","")&amp;IF(AND(K1575="Accept suggestion",N(G1575)&lt;$G$2),"Below your threshold; ","")&amp;IF(AND(M1575&lt;&gt;"",M1575=A1575,K1575&lt;&gt;"No change (same URL)"),"Redirects to itself; ","")&amp;IF(AND(M1575&lt;&gt;"",OR(M1575="/",AND(LEFT(M1575,4)="http",OR((LEN(M1575)-LEN(SUBSTITUTE(M1575,"/","")))=2,AND((LEN(M1575)-LEN(SUBSTITUTE(M1575,"/","")))=3,RIGHT(M1575,1)="/"))))),"Home page redirect; ","")&amp;IF(N(R1575)&gt;1,"Chain; ","")&amp;IF(S1575="No","Destination not 200; ","")))</f>
        <v/>
      </c>
      <c r="U1575" s="22" t="n"/>
      <c r="V1575" s="22" t="n"/>
      <c r="W1575" s="4" t="n"/>
    </row>
    <row r="1576">
      <c r="A1576" s="22" t="n"/>
      <c r="B1576" s="22" t="n"/>
      <c r="C1576" s="22" t="n"/>
      <c r="D1576" s="22">
        <f>IF(A1576="","",IF(OR(N(B1576)&gt;=$C$2,N(C1576)&gt;=$E$2),"High",IF(OR(N(B1576)&gt;0,N(C1576)&gt;0),"Medium","Low")))</f>
        <v/>
      </c>
      <c r="E1576" s="22" t="n"/>
      <c r="F1576" s="22" t="n"/>
      <c r="G1576" s="22" t="n"/>
      <c r="H1576" s="22" t="n"/>
      <c r="I1576" s="22" t="n"/>
      <c r="J1576" s="22" t="n"/>
      <c r="K1576" s="22" t="n"/>
      <c r="L1576" s="22" t="n"/>
      <c r="M1576" s="22">
        <f>IF(K1576="Override",L1576,IF(K1576="Accept suggestion",F1576,IF(K1576="No change (same URL)",A1576,"")))</f>
        <v/>
      </c>
      <c r="N1576" s="22">
        <f>IF(A1576="","",IF(K1576="410 Gone","410",IF(K1576="404","404",IF(K1576="No change (same URL)","none",IF(M1576="","","301")))))</f>
        <v/>
      </c>
      <c r="O1576" s="22">
        <f>IF(A1576="","",IFERROR(MID(A1576,FIND("/",A1576,FIND("//",A1576)+2),2000),A1576))</f>
        <v/>
      </c>
      <c r="P1576" s="22">
        <f>IF(OR(O1576="",N1576="",N1576="none",N1576="404"),"",IF(N1576="410","Redirect gone "&amp;O1576,"Redirect "&amp;N1576&amp;" "&amp;O1576&amp;" "&amp;M1576))</f>
        <v/>
      </c>
      <c r="Q1576" s="22" t="n"/>
      <c r="R1576" s="22" t="n"/>
      <c r="S1576" s="22" t="n"/>
      <c r="T1576" s="4">
        <f>IF(A1576="","",TRIM(IF(K1576="","Needs decision; ","")&amp;IF(AND(K1576="Accept suggestion",F1576=""),"No suggestion to accept; ","")&amp;IF(AND(K1576="Override",L1576=""),"Override URL missing; ","")&amp;IF(AND(K1576="Accept suggestion",N(G1576)&lt;$G$2),"Below your threshold; ","")&amp;IF(AND(M1576&lt;&gt;"",M1576=A1576,K1576&lt;&gt;"No change (same URL)"),"Redirects to itself; ","")&amp;IF(AND(M1576&lt;&gt;"",OR(M1576="/",AND(LEFT(M1576,4)="http",OR((LEN(M1576)-LEN(SUBSTITUTE(M1576,"/","")))=2,AND((LEN(M1576)-LEN(SUBSTITUTE(M1576,"/","")))=3,RIGHT(M1576,1)="/"))))),"Home page redirect; ","")&amp;IF(N(R1576)&gt;1,"Chain; ","")&amp;IF(S1576="No","Destination not 200; ","")))</f>
        <v/>
      </c>
      <c r="U1576" s="22" t="n"/>
      <c r="V1576" s="22" t="n"/>
      <c r="W1576" s="4" t="n"/>
    </row>
    <row r="1577">
      <c r="A1577" s="22" t="n"/>
      <c r="B1577" s="22" t="n"/>
      <c r="C1577" s="22" t="n"/>
      <c r="D1577" s="22">
        <f>IF(A1577="","",IF(OR(N(B1577)&gt;=$C$2,N(C1577)&gt;=$E$2),"High",IF(OR(N(B1577)&gt;0,N(C1577)&gt;0),"Medium","Low")))</f>
        <v/>
      </c>
      <c r="E1577" s="22" t="n"/>
      <c r="F1577" s="22" t="n"/>
      <c r="G1577" s="22" t="n"/>
      <c r="H1577" s="22" t="n"/>
      <c r="I1577" s="22" t="n"/>
      <c r="J1577" s="22" t="n"/>
      <c r="K1577" s="22" t="n"/>
      <c r="L1577" s="22" t="n"/>
      <c r="M1577" s="22">
        <f>IF(K1577="Override",L1577,IF(K1577="Accept suggestion",F1577,IF(K1577="No change (same URL)",A1577,"")))</f>
        <v/>
      </c>
      <c r="N1577" s="22">
        <f>IF(A1577="","",IF(K1577="410 Gone","410",IF(K1577="404","404",IF(K1577="No change (same URL)","none",IF(M1577="","","301")))))</f>
        <v/>
      </c>
      <c r="O1577" s="22">
        <f>IF(A1577="","",IFERROR(MID(A1577,FIND("/",A1577,FIND("//",A1577)+2),2000),A1577))</f>
        <v/>
      </c>
      <c r="P1577" s="22">
        <f>IF(OR(O1577="",N1577="",N1577="none",N1577="404"),"",IF(N1577="410","Redirect gone "&amp;O1577,"Redirect "&amp;N1577&amp;" "&amp;O1577&amp;" "&amp;M1577))</f>
        <v/>
      </c>
      <c r="Q1577" s="22" t="n"/>
      <c r="R1577" s="22" t="n"/>
      <c r="S1577" s="22" t="n"/>
      <c r="T1577" s="4">
        <f>IF(A1577="","",TRIM(IF(K1577="","Needs decision; ","")&amp;IF(AND(K1577="Accept suggestion",F1577=""),"No suggestion to accept; ","")&amp;IF(AND(K1577="Override",L1577=""),"Override URL missing; ","")&amp;IF(AND(K1577="Accept suggestion",N(G1577)&lt;$G$2),"Below your threshold; ","")&amp;IF(AND(M1577&lt;&gt;"",M1577=A1577,K1577&lt;&gt;"No change (same URL)"),"Redirects to itself; ","")&amp;IF(AND(M1577&lt;&gt;"",OR(M1577="/",AND(LEFT(M1577,4)="http",OR((LEN(M1577)-LEN(SUBSTITUTE(M1577,"/","")))=2,AND((LEN(M1577)-LEN(SUBSTITUTE(M1577,"/","")))=3,RIGHT(M1577,1)="/"))))),"Home page redirect; ","")&amp;IF(N(R1577)&gt;1,"Chain; ","")&amp;IF(S1577="No","Destination not 200; ","")))</f>
        <v/>
      </c>
      <c r="U1577" s="22" t="n"/>
      <c r="V1577" s="22" t="n"/>
      <c r="W1577" s="4" t="n"/>
    </row>
    <row r="1578">
      <c r="A1578" s="22" t="n"/>
      <c r="B1578" s="22" t="n"/>
      <c r="C1578" s="22" t="n"/>
      <c r="D1578" s="22">
        <f>IF(A1578="","",IF(OR(N(B1578)&gt;=$C$2,N(C1578)&gt;=$E$2),"High",IF(OR(N(B1578)&gt;0,N(C1578)&gt;0),"Medium","Low")))</f>
        <v/>
      </c>
      <c r="E1578" s="22" t="n"/>
      <c r="F1578" s="22" t="n"/>
      <c r="G1578" s="22" t="n"/>
      <c r="H1578" s="22" t="n"/>
      <c r="I1578" s="22" t="n"/>
      <c r="J1578" s="22" t="n"/>
      <c r="K1578" s="22" t="n"/>
      <c r="L1578" s="22" t="n"/>
      <c r="M1578" s="22">
        <f>IF(K1578="Override",L1578,IF(K1578="Accept suggestion",F1578,IF(K1578="No change (same URL)",A1578,"")))</f>
        <v/>
      </c>
      <c r="N1578" s="22">
        <f>IF(A1578="","",IF(K1578="410 Gone","410",IF(K1578="404","404",IF(K1578="No change (same URL)","none",IF(M1578="","","301")))))</f>
        <v/>
      </c>
      <c r="O1578" s="22">
        <f>IF(A1578="","",IFERROR(MID(A1578,FIND("/",A1578,FIND("//",A1578)+2),2000),A1578))</f>
        <v/>
      </c>
      <c r="P1578" s="22">
        <f>IF(OR(O1578="",N1578="",N1578="none",N1578="404"),"",IF(N1578="410","Redirect gone "&amp;O1578,"Redirect "&amp;N1578&amp;" "&amp;O1578&amp;" "&amp;M1578))</f>
        <v/>
      </c>
      <c r="Q1578" s="22" t="n"/>
      <c r="R1578" s="22" t="n"/>
      <c r="S1578" s="22" t="n"/>
      <c r="T1578" s="4">
        <f>IF(A1578="","",TRIM(IF(K1578="","Needs decision; ","")&amp;IF(AND(K1578="Accept suggestion",F1578=""),"No suggestion to accept; ","")&amp;IF(AND(K1578="Override",L1578=""),"Override URL missing; ","")&amp;IF(AND(K1578="Accept suggestion",N(G1578)&lt;$G$2),"Below your threshold; ","")&amp;IF(AND(M1578&lt;&gt;"",M1578=A1578,K1578&lt;&gt;"No change (same URL)"),"Redirects to itself; ","")&amp;IF(AND(M1578&lt;&gt;"",OR(M1578="/",AND(LEFT(M1578,4)="http",OR((LEN(M1578)-LEN(SUBSTITUTE(M1578,"/","")))=2,AND((LEN(M1578)-LEN(SUBSTITUTE(M1578,"/","")))=3,RIGHT(M1578,1)="/"))))),"Home page redirect; ","")&amp;IF(N(R1578)&gt;1,"Chain; ","")&amp;IF(S1578="No","Destination not 200; ","")))</f>
        <v/>
      </c>
      <c r="U1578" s="22" t="n"/>
      <c r="V1578" s="22" t="n"/>
      <c r="W1578" s="4" t="n"/>
    </row>
    <row r="1579">
      <c r="A1579" s="22" t="n"/>
      <c r="B1579" s="22" t="n"/>
      <c r="C1579" s="22" t="n"/>
      <c r="D1579" s="22">
        <f>IF(A1579="","",IF(OR(N(B1579)&gt;=$C$2,N(C1579)&gt;=$E$2),"High",IF(OR(N(B1579)&gt;0,N(C1579)&gt;0),"Medium","Low")))</f>
        <v/>
      </c>
      <c r="E1579" s="22" t="n"/>
      <c r="F1579" s="22" t="n"/>
      <c r="G1579" s="22" t="n"/>
      <c r="H1579" s="22" t="n"/>
      <c r="I1579" s="22" t="n"/>
      <c r="J1579" s="22" t="n"/>
      <c r="K1579" s="22" t="n"/>
      <c r="L1579" s="22" t="n"/>
      <c r="M1579" s="22">
        <f>IF(K1579="Override",L1579,IF(K1579="Accept suggestion",F1579,IF(K1579="No change (same URL)",A1579,"")))</f>
        <v/>
      </c>
      <c r="N1579" s="22">
        <f>IF(A1579="","",IF(K1579="410 Gone","410",IF(K1579="404","404",IF(K1579="No change (same URL)","none",IF(M1579="","","301")))))</f>
        <v/>
      </c>
      <c r="O1579" s="22">
        <f>IF(A1579="","",IFERROR(MID(A1579,FIND("/",A1579,FIND("//",A1579)+2),2000),A1579))</f>
        <v/>
      </c>
      <c r="P1579" s="22">
        <f>IF(OR(O1579="",N1579="",N1579="none",N1579="404"),"",IF(N1579="410","Redirect gone "&amp;O1579,"Redirect "&amp;N1579&amp;" "&amp;O1579&amp;" "&amp;M1579))</f>
        <v/>
      </c>
      <c r="Q1579" s="22" t="n"/>
      <c r="R1579" s="22" t="n"/>
      <c r="S1579" s="22" t="n"/>
      <c r="T1579" s="4">
        <f>IF(A1579="","",TRIM(IF(K1579="","Needs decision; ","")&amp;IF(AND(K1579="Accept suggestion",F1579=""),"No suggestion to accept; ","")&amp;IF(AND(K1579="Override",L1579=""),"Override URL missing; ","")&amp;IF(AND(K1579="Accept suggestion",N(G1579)&lt;$G$2),"Below your threshold; ","")&amp;IF(AND(M1579&lt;&gt;"",M1579=A1579,K1579&lt;&gt;"No change (same URL)"),"Redirects to itself; ","")&amp;IF(AND(M1579&lt;&gt;"",OR(M1579="/",AND(LEFT(M1579,4)="http",OR((LEN(M1579)-LEN(SUBSTITUTE(M1579,"/","")))=2,AND((LEN(M1579)-LEN(SUBSTITUTE(M1579,"/","")))=3,RIGHT(M1579,1)="/"))))),"Home page redirect; ","")&amp;IF(N(R1579)&gt;1,"Chain; ","")&amp;IF(S1579="No","Destination not 200; ","")))</f>
        <v/>
      </c>
      <c r="U1579" s="22" t="n"/>
      <c r="V1579" s="22" t="n"/>
      <c r="W1579" s="4" t="n"/>
    </row>
    <row r="1580">
      <c r="A1580" s="22" t="n"/>
      <c r="B1580" s="22" t="n"/>
      <c r="C1580" s="22" t="n"/>
      <c r="D1580" s="22">
        <f>IF(A1580="","",IF(OR(N(B1580)&gt;=$C$2,N(C1580)&gt;=$E$2),"High",IF(OR(N(B1580)&gt;0,N(C1580)&gt;0),"Medium","Low")))</f>
        <v/>
      </c>
      <c r="E1580" s="22" t="n"/>
      <c r="F1580" s="22" t="n"/>
      <c r="G1580" s="22" t="n"/>
      <c r="H1580" s="22" t="n"/>
      <c r="I1580" s="22" t="n"/>
      <c r="J1580" s="22" t="n"/>
      <c r="K1580" s="22" t="n"/>
      <c r="L1580" s="22" t="n"/>
      <c r="M1580" s="22">
        <f>IF(K1580="Override",L1580,IF(K1580="Accept suggestion",F1580,IF(K1580="No change (same URL)",A1580,"")))</f>
        <v/>
      </c>
      <c r="N1580" s="22">
        <f>IF(A1580="","",IF(K1580="410 Gone","410",IF(K1580="404","404",IF(K1580="No change (same URL)","none",IF(M1580="","","301")))))</f>
        <v/>
      </c>
      <c r="O1580" s="22">
        <f>IF(A1580="","",IFERROR(MID(A1580,FIND("/",A1580,FIND("//",A1580)+2),2000),A1580))</f>
        <v/>
      </c>
      <c r="P1580" s="22">
        <f>IF(OR(O1580="",N1580="",N1580="none",N1580="404"),"",IF(N1580="410","Redirect gone "&amp;O1580,"Redirect "&amp;N1580&amp;" "&amp;O1580&amp;" "&amp;M1580))</f>
        <v/>
      </c>
      <c r="Q1580" s="22" t="n"/>
      <c r="R1580" s="22" t="n"/>
      <c r="S1580" s="22" t="n"/>
      <c r="T1580" s="4">
        <f>IF(A1580="","",TRIM(IF(K1580="","Needs decision; ","")&amp;IF(AND(K1580="Accept suggestion",F1580=""),"No suggestion to accept; ","")&amp;IF(AND(K1580="Override",L1580=""),"Override URL missing; ","")&amp;IF(AND(K1580="Accept suggestion",N(G1580)&lt;$G$2),"Below your threshold; ","")&amp;IF(AND(M1580&lt;&gt;"",M1580=A1580,K1580&lt;&gt;"No change (same URL)"),"Redirects to itself; ","")&amp;IF(AND(M1580&lt;&gt;"",OR(M1580="/",AND(LEFT(M1580,4)="http",OR((LEN(M1580)-LEN(SUBSTITUTE(M1580,"/","")))=2,AND((LEN(M1580)-LEN(SUBSTITUTE(M1580,"/","")))=3,RIGHT(M1580,1)="/"))))),"Home page redirect; ","")&amp;IF(N(R1580)&gt;1,"Chain; ","")&amp;IF(S1580="No","Destination not 200; ","")))</f>
        <v/>
      </c>
      <c r="U1580" s="22" t="n"/>
      <c r="V1580" s="22" t="n"/>
      <c r="W1580" s="4" t="n"/>
    </row>
    <row r="1581">
      <c r="A1581" s="22" t="n"/>
      <c r="B1581" s="22" t="n"/>
      <c r="C1581" s="22" t="n"/>
      <c r="D1581" s="22">
        <f>IF(A1581="","",IF(OR(N(B1581)&gt;=$C$2,N(C1581)&gt;=$E$2),"High",IF(OR(N(B1581)&gt;0,N(C1581)&gt;0),"Medium","Low")))</f>
        <v/>
      </c>
      <c r="E1581" s="22" t="n"/>
      <c r="F1581" s="22" t="n"/>
      <c r="G1581" s="22" t="n"/>
      <c r="H1581" s="22" t="n"/>
      <c r="I1581" s="22" t="n"/>
      <c r="J1581" s="22" t="n"/>
      <c r="K1581" s="22" t="n"/>
      <c r="L1581" s="22" t="n"/>
      <c r="M1581" s="22">
        <f>IF(K1581="Override",L1581,IF(K1581="Accept suggestion",F1581,IF(K1581="No change (same URL)",A1581,"")))</f>
        <v/>
      </c>
      <c r="N1581" s="22">
        <f>IF(A1581="","",IF(K1581="410 Gone","410",IF(K1581="404","404",IF(K1581="No change (same URL)","none",IF(M1581="","","301")))))</f>
        <v/>
      </c>
      <c r="O1581" s="22">
        <f>IF(A1581="","",IFERROR(MID(A1581,FIND("/",A1581,FIND("//",A1581)+2),2000),A1581))</f>
        <v/>
      </c>
      <c r="P1581" s="22">
        <f>IF(OR(O1581="",N1581="",N1581="none",N1581="404"),"",IF(N1581="410","Redirect gone "&amp;O1581,"Redirect "&amp;N1581&amp;" "&amp;O1581&amp;" "&amp;M1581))</f>
        <v/>
      </c>
      <c r="Q1581" s="22" t="n"/>
      <c r="R1581" s="22" t="n"/>
      <c r="S1581" s="22" t="n"/>
      <c r="T1581" s="4">
        <f>IF(A1581="","",TRIM(IF(K1581="","Needs decision; ","")&amp;IF(AND(K1581="Accept suggestion",F1581=""),"No suggestion to accept; ","")&amp;IF(AND(K1581="Override",L1581=""),"Override URL missing; ","")&amp;IF(AND(K1581="Accept suggestion",N(G1581)&lt;$G$2),"Below your threshold; ","")&amp;IF(AND(M1581&lt;&gt;"",M1581=A1581,K1581&lt;&gt;"No change (same URL)"),"Redirects to itself; ","")&amp;IF(AND(M1581&lt;&gt;"",OR(M1581="/",AND(LEFT(M1581,4)="http",OR((LEN(M1581)-LEN(SUBSTITUTE(M1581,"/","")))=2,AND((LEN(M1581)-LEN(SUBSTITUTE(M1581,"/","")))=3,RIGHT(M1581,1)="/"))))),"Home page redirect; ","")&amp;IF(N(R1581)&gt;1,"Chain; ","")&amp;IF(S1581="No","Destination not 200; ","")))</f>
        <v/>
      </c>
      <c r="U1581" s="22" t="n"/>
      <c r="V1581" s="22" t="n"/>
      <c r="W1581" s="4" t="n"/>
    </row>
    <row r="1582">
      <c r="A1582" s="22" t="n"/>
      <c r="B1582" s="22" t="n"/>
      <c r="C1582" s="22" t="n"/>
      <c r="D1582" s="22">
        <f>IF(A1582="","",IF(OR(N(B1582)&gt;=$C$2,N(C1582)&gt;=$E$2),"High",IF(OR(N(B1582)&gt;0,N(C1582)&gt;0),"Medium","Low")))</f>
        <v/>
      </c>
      <c r="E1582" s="22" t="n"/>
      <c r="F1582" s="22" t="n"/>
      <c r="G1582" s="22" t="n"/>
      <c r="H1582" s="22" t="n"/>
      <c r="I1582" s="22" t="n"/>
      <c r="J1582" s="22" t="n"/>
      <c r="K1582" s="22" t="n"/>
      <c r="L1582" s="22" t="n"/>
      <c r="M1582" s="22">
        <f>IF(K1582="Override",L1582,IF(K1582="Accept suggestion",F1582,IF(K1582="No change (same URL)",A1582,"")))</f>
        <v/>
      </c>
      <c r="N1582" s="22">
        <f>IF(A1582="","",IF(K1582="410 Gone","410",IF(K1582="404","404",IF(K1582="No change (same URL)","none",IF(M1582="","","301")))))</f>
        <v/>
      </c>
      <c r="O1582" s="22">
        <f>IF(A1582="","",IFERROR(MID(A1582,FIND("/",A1582,FIND("//",A1582)+2),2000),A1582))</f>
        <v/>
      </c>
      <c r="P1582" s="22">
        <f>IF(OR(O1582="",N1582="",N1582="none",N1582="404"),"",IF(N1582="410","Redirect gone "&amp;O1582,"Redirect "&amp;N1582&amp;" "&amp;O1582&amp;" "&amp;M1582))</f>
        <v/>
      </c>
      <c r="Q1582" s="22" t="n"/>
      <c r="R1582" s="22" t="n"/>
      <c r="S1582" s="22" t="n"/>
      <c r="T1582" s="4">
        <f>IF(A1582="","",TRIM(IF(K1582="","Needs decision; ","")&amp;IF(AND(K1582="Accept suggestion",F1582=""),"No suggestion to accept; ","")&amp;IF(AND(K1582="Override",L1582=""),"Override URL missing; ","")&amp;IF(AND(K1582="Accept suggestion",N(G1582)&lt;$G$2),"Below your threshold; ","")&amp;IF(AND(M1582&lt;&gt;"",M1582=A1582,K1582&lt;&gt;"No change (same URL)"),"Redirects to itself; ","")&amp;IF(AND(M1582&lt;&gt;"",OR(M1582="/",AND(LEFT(M1582,4)="http",OR((LEN(M1582)-LEN(SUBSTITUTE(M1582,"/","")))=2,AND((LEN(M1582)-LEN(SUBSTITUTE(M1582,"/","")))=3,RIGHT(M1582,1)="/"))))),"Home page redirect; ","")&amp;IF(N(R1582)&gt;1,"Chain; ","")&amp;IF(S1582="No","Destination not 200; ","")))</f>
        <v/>
      </c>
      <c r="U1582" s="22" t="n"/>
      <c r="V1582" s="22" t="n"/>
      <c r="W1582" s="4" t="n"/>
    </row>
    <row r="1583">
      <c r="A1583" s="22" t="n"/>
      <c r="B1583" s="22" t="n"/>
      <c r="C1583" s="22" t="n"/>
      <c r="D1583" s="22">
        <f>IF(A1583="","",IF(OR(N(B1583)&gt;=$C$2,N(C1583)&gt;=$E$2),"High",IF(OR(N(B1583)&gt;0,N(C1583)&gt;0),"Medium","Low")))</f>
        <v/>
      </c>
      <c r="E1583" s="22" t="n"/>
      <c r="F1583" s="22" t="n"/>
      <c r="G1583" s="22" t="n"/>
      <c r="H1583" s="22" t="n"/>
      <c r="I1583" s="22" t="n"/>
      <c r="J1583" s="22" t="n"/>
      <c r="K1583" s="22" t="n"/>
      <c r="L1583" s="22" t="n"/>
      <c r="M1583" s="22">
        <f>IF(K1583="Override",L1583,IF(K1583="Accept suggestion",F1583,IF(K1583="No change (same URL)",A1583,"")))</f>
        <v/>
      </c>
      <c r="N1583" s="22">
        <f>IF(A1583="","",IF(K1583="410 Gone","410",IF(K1583="404","404",IF(K1583="No change (same URL)","none",IF(M1583="","","301")))))</f>
        <v/>
      </c>
      <c r="O1583" s="22">
        <f>IF(A1583="","",IFERROR(MID(A1583,FIND("/",A1583,FIND("//",A1583)+2),2000),A1583))</f>
        <v/>
      </c>
      <c r="P1583" s="22">
        <f>IF(OR(O1583="",N1583="",N1583="none",N1583="404"),"",IF(N1583="410","Redirect gone "&amp;O1583,"Redirect "&amp;N1583&amp;" "&amp;O1583&amp;" "&amp;M1583))</f>
        <v/>
      </c>
      <c r="Q1583" s="22" t="n"/>
      <c r="R1583" s="22" t="n"/>
      <c r="S1583" s="22" t="n"/>
      <c r="T1583" s="4">
        <f>IF(A1583="","",TRIM(IF(K1583="","Needs decision; ","")&amp;IF(AND(K1583="Accept suggestion",F1583=""),"No suggestion to accept; ","")&amp;IF(AND(K1583="Override",L1583=""),"Override URL missing; ","")&amp;IF(AND(K1583="Accept suggestion",N(G1583)&lt;$G$2),"Below your threshold; ","")&amp;IF(AND(M1583&lt;&gt;"",M1583=A1583,K1583&lt;&gt;"No change (same URL)"),"Redirects to itself; ","")&amp;IF(AND(M1583&lt;&gt;"",OR(M1583="/",AND(LEFT(M1583,4)="http",OR((LEN(M1583)-LEN(SUBSTITUTE(M1583,"/","")))=2,AND((LEN(M1583)-LEN(SUBSTITUTE(M1583,"/","")))=3,RIGHT(M1583,1)="/"))))),"Home page redirect; ","")&amp;IF(N(R1583)&gt;1,"Chain; ","")&amp;IF(S1583="No","Destination not 200; ","")))</f>
        <v/>
      </c>
      <c r="U1583" s="22" t="n"/>
      <c r="V1583" s="22" t="n"/>
      <c r="W1583" s="4" t="n"/>
    </row>
    <row r="1584">
      <c r="A1584" s="22" t="n"/>
      <c r="B1584" s="22" t="n"/>
      <c r="C1584" s="22" t="n"/>
      <c r="D1584" s="22">
        <f>IF(A1584="","",IF(OR(N(B1584)&gt;=$C$2,N(C1584)&gt;=$E$2),"High",IF(OR(N(B1584)&gt;0,N(C1584)&gt;0),"Medium","Low")))</f>
        <v/>
      </c>
      <c r="E1584" s="22" t="n"/>
      <c r="F1584" s="22" t="n"/>
      <c r="G1584" s="22" t="n"/>
      <c r="H1584" s="22" t="n"/>
      <c r="I1584" s="22" t="n"/>
      <c r="J1584" s="22" t="n"/>
      <c r="K1584" s="22" t="n"/>
      <c r="L1584" s="22" t="n"/>
      <c r="M1584" s="22">
        <f>IF(K1584="Override",L1584,IF(K1584="Accept suggestion",F1584,IF(K1584="No change (same URL)",A1584,"")))</f>
        <v/>
      </c>
      <c r="N1584" s="22">
        <f>IF(A1584="","",IF(K1584="410 Gone","410",IF(K1584="404","404",IF(K1584="No change (same URL)","none",IF(M1584="","","301")))))</f>
        <v/>
      </c>
      <c r="O1584" s="22">
        <f>IF(A1584="","",IFERROR(MID(A1584,FIND("/",A1584,FIND("//",A1584)+2),2000),A1584))</f>
        <v/>
      </c>
      <c r="P1584" s="22">
        <f>IF(OR(O1584="",N1584="",N1584="none",N1584="404"),"",IF(N1584="410","Redirect gone "&amp;O1584,"Redirect "&amp;N1584&amp;" "&amp;O1584&amp;" "&amp;M1584))</f>
        <v/>
      </c>
      <c r="Q1584" s="22" t="n"/>
      <c r="R1584" s="22" t="n"/>
      <c r="S1584" s="22" t="n"/>
      <c r="T1584" s="4">
        <f>IF(A1584="","",TRIM(IF(K1584="","Needs decision; ","")&amp;IF(AND(K1584="Accept suggestion",F1584=""),"No suggestion to accept; ","")&amp;IF(AND(K1584="Override",L1584=""),"Override URL missing; ","")&amp;IF(AND(K1584="Accept suggestion",N(G1584)&lt;$G$2),"Below your threshold; ","")&amp;IF(AND(M1584&lt;&gt;"",M1584=A1584,K1584&lt;&gt;"No change (same URL)"),"Redirects to itself; ","")&amp;IF(AND(M1584&lt;&gt;"",OR(M1584="/",AND(LEFT(M1584,4)="http",OR((LEN(M1584)-LEN(SUBSTITUTE(M1584,"/","")))=2,AND((LEN(M1584)-LEN(SUBSTITUTE(M1584,"/","")))=3,RIGHT(M1584,1)="/"))))),"Home page redirect; ","")&amp;IF(N(R1584)&gt;1,"Chain; ","")&amp;IF(S1584="No","Destination not 200; ","")))</f>
        <v/>
      </c>
      <c r="U1584" s="22" t="n"/>
      <c r="V1584" s="22" t="n"/>
      <c r="W1584" s="4" t="n"/>
    </row>
    <row r="1585">
      <c r="A1585" s="22" t="n"/>
      <c r="B1585" s="22" t="n"/>
      <c r="C1585" s="22" t="n"/>
      <c r="D1585" s="22">
        <f>IF(A1585="","",IF(OR(N(B1585)&gt;=$C$2,N(C1585)&gt;=$E$2),"High",IF(OR(N(B1585)&gt;0,N(C1585)&gt;0),"Medium","Low")))</f>
        <v/>
      </c>
      <c r="E1585" s="22" t="n"/>
      <c r="F1585" s="22" t="n"/>
      <c r="G1585" s="22" t="n"/>
      <c r="H1585" s="22" t="n"/>
      <c r="I1585" s="22" t="n"/>
      <c r="J1585" s="22" t="n"/>
      <c r="K1585" s="22" t="n"/>
      <c r="L1585" s="22" t="n"/>
      <c r="M1585" s="22">
        <f>IF(K1585="Override",L1585,IF(K1585="Accept suggestion",F1585,IF(K1585="No change (same URL)",A1585,"")))</f>
        <v/>
      </c>
      <c r="N1585" s="22">
        <f>IF(A1585="","",IF(K1585="410 Gone","410",IF(K1585="404","404",IF(K1585="No change (same URL)","none",IF(M1585="","","301")))))</f>
        <v/>
      </c>
      <c r="O1585" s="22">
        <f>IF(A1585="","",IFERROR(MID(A1585,FIND("/",A1585,FIND("//",A1585)+2),2000),A1585))</f>
        <v/>
      </c>
      <c r="P1585" s="22">
        <f>IF(OR(O1585="",N1585="",N1585="none",N1585="404"),"",IF(N1585="410","Redirect gone "&amp;O1585,"Redirect "&amp;N1585&amp;" "&amp;O1585&amp;" "&amp;M1585))</f>
        <v/>
      </c>
      <c r="Q1585" s="22" t="n"/>
      <c r="R1585" s="22" t="n"/>
      <c r="S1585" s="22" t="n"/>
      <c r="T1585" s="4">
        <f>IF(A1585="","",TRIM(IF(K1585="","Needs decision; ","")&amp;IF(AND(K1585="Accept suggestion",F1585=""),"No suggestion to accept; ","")&amp;IF(AND(K1585="Override",L1585=""),"Override URL missing; ","")&amp;IF(AND(K1585="Accept suggestion",N(G1585)&lt;$G$2),"Below your threshold; ","")&amp;IF(AND(M1585&lt;&gt;"",M1585=A1585,K1585&lt;&gt;"No change (same URL)"),"Redirects to itself; ","")&amp;IF(AND(M1585&lt;&gt;"",OR(M1585="/",AND(LEFT(M1585,4)="http",OR((LEN(M1585)-LEN(SUBSTITUTE(M1585,"/","")))=2,AND((LEN(M1585)-LEN(SUBSTITUTE(M1585,"/","")))=3,RIGHT(M1585,1)="/"))))),"Home page redirect; ","")&amp;IF(N(R1585)&gt;1,"Chain; ","")&amp;IF(S1585="No","Destination not 200; ","")))</f>
        <v/>
      </c>
      <c r="U1585" s="22" t="n"/>
      <c r="V1585" s="22" t="n"/>
      <c r="W1585" s="4" t="n"/>
    </row>
    <row r="1586">
      <c r="A1586" s="22" t="n"/>
      <c r="B1586" s="22" t="n"/>
      <c r="C1586" s="22" t="n"/>
      <c r="D1586" s="22">
        <f>IF(A1586="","",IF(OR(N(B1586)&gt;=$C$2,N(C1586)&gt;=$E$2),"High",IF(OR(N(B1586)&gt;0,N(C1586)&gt;0),"Medium","Low")))</f>
        <v/>
      </c>
      <c r="E1586" s="22" t="n"/>
      <c r="F1586" s="22" t="n"/>
      <c r="G1586" s="22" t="n"/>
      <c r="H1586" s="22" t="n"/>
      <c r="I1586" s="22" t="n"/>
      <c r="J1586" s="22" t="n"/>
      <c r="K1586" s="22" t="n"/>
      <c r="L1586" s="22" t="n"/>
      <c r="M1586" s="22">
        <f>IF(K1586="Override",L1586,IF(K1586="Accept suggestion",F1586,IF(K1586="No change (same URL)",A1586,"")))</f>
        <v/>
      </c>
      <c r="N1586" s="22">
        <f>IF(A1586="","",IF(K1586="410 Gone","410",IF(K1586="404","404",IF(K1586="No change (same URL)","none",IF(M1586="","","301")))))</f>
        <v/>
      </c>
      <c r="O1586" s="22">
        <f>IF(A1586="","",IFERROR(MID(A1586,FIND("/",A1586,FIND("//",A1586)+2),2000),A1586))</f>
        <v/>
      </c>
      <c r="P1586" s="22">
        <f>IF(OR(O1586="",N1586="",N1586="none",N1586="404"),"",IF(N1586="410","Redirect gone "&amp;O1586,"Redirect "&amp;N1586&amp;" "&amp;O1586&amp;" "&amp;M1586))</f>
        <v/>
      </c>
      <c r="Q1586" s="22" t="n"/>
      <c r="R1586" s="22" t="n"/>
      <c r="S1586" s="22" t="n"/>
      <c r="T1586" s="4">
        <f>IF(A1586="","",TRIM(IF(K1586="","Needs decision; ","")&amp;IF(AND(K1586="Accept suggestion",F1586=""),"No suggestion to accept; ","")&amp;IF(AND(K1586="Override",L1586=""),"Override URL missing; ","")&amp;IF(AND(K1586="Accept suggestion",N(G1586)&lt;$G$2),"Below your threshold; ","")&amp;IF(AND(M1586&lt;&gt;"",M1586=A1586,K1586&lt;&gt;"No change (same URL)"),"Redirects to itself; ","")&amp;IF(AND(M1586&lt;&gt;"",OR(M1586="/",AND(LEFT(M1586,4)="http",OR((LEN(M1586)-LEN(SUBSTITUTE(M1586,"/","")))=2,AND((LEN(M1586)-LEN(SUBSTITUTE(M1586,"/","")))=3,RIGHT(M1586,1)="/"))))),"Home page redirect; ","")&amp;IF(N(R1586)&gt;1,"Chain; ","")&amp;IF(S1586="No","Destination not 200; ","")))</f>
        <v/>
      </c>
      <c r="U1586" s="22" t="n"/>
      <c r="V1586" s="22" t="n"/>
      <c r="W1586" s="4" t="n"/>
    </row>
    <row r="1587">
      <c r="A1587" s="22" t="n"/>
      <c r="B1587" s="22" t="n"/>
      <c r="C1587" s="22" t="n"/>
      <c r="D1587" s="22">
        <f>IF(A1587="","",IF(OR(N(B1587)&gt;=$C$2,N(C1587)&gt;=$E$2),"High",IF(OR(N(B1587)&gt;0,N(C1587)&gt;0),"Medium","Low")))</f>
        <v/>
      </c>
      <c r="E1587" s="22" t="n"/>
      <c r="F1587" s="22" t="n"/>
      <c r="G1587" s="22" t="n"/>
      <c r="H1587" s="22" t="n"/>
      <c r="I1587" s="22" t="n"/>
      <c r="J1587" s="22" t="n"/>
      <c r="K1587" s="22" t="n"/>
      <c r="L1587" s="22" t="n"/>
      <c r="M1587" s="22">
        <f>IF(K1587="Override",L1587,IF(K1587="Accept suggestion",F1587,IF(K1587="No change (same URL)",A1587,"")))</f>
        <v/>
      </c>
      <c r="N1587" s="22">
        <f>IF(A1587="","",IF(K1587="410 Gone","410",IF(K1587="404","404",IF(K1587="No change (same URL)","none",IF(M1587="","","301")))))</f>
        <v/>
      </c>
      <c r="O1587" s="22">
        <f>IF(A1587="","",IFERROR(MID(A1587,FIND("/",A1587,FIND("//",A1587)+2),2000),A1587))</f>
        <v/>
      </c>
      <c r="P1587" s="22">
        <f>IF(OR(O1587="",N1587="",N1587="none",N1587="404"),"",IF(N1587="410","Redirect gone "&amp;O1587,"Redirect "&amp;N1587&amp;" "&amp;O1587&amp;" "&amp;M1587))</f>
        <v/>
      </c>
      <c r="Q1587" s="22" t="n"/>
      <c r="R1587" s="22" t="n"/>
      <c r="S1587" s="22" t="n"/>
      <c r="T1587" s="4">
        <f>IF(A1587="","",TRIM(IF(K1587="","Needs decision; ","")&amp;IF(AND(K1587="Accept suggestion",F1587=""),"No suggestion to accept; ","")&amp;IF(AND(K1587="Override",L1587=""),"Override URL missing; ","")&amp;IF(AND(K1587="Accept suggestion",N(G1587)&lt;$G$2),"Below your threshold; ","")&amp;IF(AND(M1587&lt;&gt;"",M1587=A1587,K1587&lt;&gt;"No change (same URL)"),"Redirects to itself; ","")&amp;IF(AND(M1587&lt;&gt;"",OR(M1587="/",AND(LEFT(M1587,4)="http",OR((LEN(M1587)-LEN(SUBSTITUTE(M1587,"/","")))=2,AND((LEN(M1587)-LEN(SUBSTITUTE(M1587,"/","")))=3,RIGHT(M1587,1)="/"))))),"Home page redirect; ","")&amp;IF(N(R1587)&gt;1,"Chain; ","")&amp;IF(S1587="No","Destination not 200; ","")))</f>
        <v/>
      </c>
      <c r="U1587" s="22" t="n"/>
      <c r="V1587" s="22" t="n"/>
      <c r="W1587" s="4" t="n"/>
    </row>
    <row r="1588">
      <c r="A1588" s="22" t="n"/>
      <c r="B1588" s="22" t="n"/>
      <c r="C1588" s="22" t="n"/>
      <c r="D1588" s="22">
        <f>IF(A1588="","",IF(OR(N(B1588)&gt;=$C$2,N(C1588)&gt;=$E$2),"High",IF(OR(N(B1588)&gt;0,N(C1588)&gt;0),"Medium","Low")))</f>
        <v/>
      </c>
      <c r="E1588" s="22" t="n"/>
      <c r="F1588" s="22" t="n"/>
      <c r="G1588" s="22" t="n"/>
      <c r="H1588" s="22" t="n"/>
      <c r="I1588" s="22" t="n"/>
      <c r="J1588" s="22" t="n"/>
      <c r="K1588" s="22" t="n"/>
      <c r="L1588" s="22" t="n"/>
      <c r="M1588" s="22">
        <f>IF(K1588="Override",L1588,IF(K1588="Accept suggestion",F1588,IF(K1588="No change (same URL)",A1588,"")))</f>
        <v/>
      </c>
      <c r="N1588" s="22">
        <f>IF(A1588="","",IF(K1588="410 Gone","410",IF(K1588="404","404",IF(K1588="No change (same URL)","none",IF(M1588="","","301")))))</f>
        <v/>
      </c>
      <c r="O1588" s="22">
        <f>IF(A1588="","",IFERROR(MID(A1588,FIND("/",A1588,FIND("//",A1588)+2),2000),A1588))</f>
        <v/>
      </c>
      <c r="P1588" s="22">
        <f>IF(OR(O1588="",N1588="",N1588="none",N1588="404"),"",IF(N1588="410","Redirect gone "&amp;O1588,"Redirect "&amp;N1588&amp;" "&amp;O1588&amp;" "&amp;M1588))</f>
        <v/>
      </c>
      <c r="Q1588" s="22" t="n"/>
      <c r="R1588" s="22" t="n"/>
      <c r="S1588" s="22" t="n"/>
      <c r="T1588" s="4">
        <f>IF(A1588="","",TRIM(IF(K1588="","Needs decision; ","")&amp;IF(AND(K1588="Accept suggestion",F1588=""),"No suggestion to accept; ","")&amp;IF(AND(K1588="Override",L1588=""),"Override URL missing; ","")&amp;IF(AND(K1588="Accept suggestion",N(G1588)&lt;$G$2),"Below your threshold; ","")&amp;IF(AND(M1588&lt;&gt;"",M1588=A1588,K1588&lt;&gt;"No change (same URL)"),"Redirects to itself; ","")&amp;IF(AND(M1588&lt;&gt;"",OR(M1588="/",AND(LEFT(M1588,4)="http",OR((LEN(M1588)-LEN(SUBSTITUTE(M1588,"/","")))=2,AND((LEN(M1588)-LEN(SUBSTITUTE(M1588,"/","")))=3,RIGHT(M1588,1)="/"))))),"Home page redirect; ","")&amp;IF(N(R1588)&gt;1,"Chain; ","")&amp;IF(S1588="No","Destination not 200; ","")))</f>
        <v/>
      </c>
      <c r="U1588" s="22" t="n"/>
      <c r="V1588" s="22" t="n"/>
      <c r="W1588" s="4" t="n"/>
    </row>
    <row r="1589">
      <c r="A1589" s="22" t="n"/>
      <c r="B1589" s="22" t="n"/>
      <c r="C1589" s="22" t="n"/>
      <c r="D1589" s="22">
        <f>IF(A1589="","",IF(OR(N(B1589)&gt;=$C$2,N(C1589)&gt;=$E$2),"High",IF(OR(N(B1589)&gt;0,N(C1589)&gt;0),"Medium","Low")))</f>
        <v/>
      </c>
      <c r="E1589" s="22" t="n"/>
      <c r="F1589" s="22" t="n"/>
      <c r="G1589" s="22" t="n"/>
      <c r="H1589" s="22" t="n"/>
      <c r="I1589" s="22" t="n"/>
      <c r="J1589" s="22" t="n"/>
      <c r="K1589" s="22" t="n"/>
      <c r="L1589" s="22" t="n"/>
      <c r="M1589" s="22">
        <f>IF(K1589="Override",L1589,IF(K1589="Accept suggestion",F1589,IF(K1589="No change (same URL)",A1589,"")))</f>
        <v/>
      </c>
      <c r="N1589" s="22">
        <f>IF(A1589="","",IF(K1589="410 Gone","410",IF(K1589="404","404",IF(K1589="No change (same URL)","none",IF(M1589="","","301")))))</f>
        <v/>
      </c>
      <c r="O1589" s="22">
        <f>IF(A1589="","",IFERROR(MID(A1589,FIND("/",A1589,FIND("//",A1589)+2),2000),A1589))</f>
        <v/>
      </c>
      <c r="P1589" s="22">
        <f>IF(OR(O1589="",N1589="",N1589="none",N1589="404"),"",IF(N1589="410","Redirect gone "&amp;O1589,"Redirect "&amp;N1589&amp;" "&amp;O1589&amp;" "&amp;M1589))</f>
        <v/>
      </c>
      <c r="Q1589" s="22" t="n"/>
      <c r="R1589" s="22" t="n"/>
      <c r="S1589" s="22" t="n"/>
      <c r="T1589" s="4">
        <f>IF(A1589="","",TRIM(IF(K1589="","Needs decision; ","")&amp;IF(AND(K1589="Accept suggestion",F1589=""),"No suggestion to accept; ","")&amp;IF(AND(K1589="Override",L1589=""),"Override URL missing; ","")&amp;IF(AND(K1589="Accept suggestion",N(G1589)&lt;$G$2),"Below your threshold; ","")&amp;IF(AND(M1589&lt;&gt;"",M1589=A1589,K1589&lt;&gt;"No change (same URL)"),"Redirects to itself; ","")&amp;IF(AND(M1589&lt;&gt;"",OR(M1589="/",AND(LEFT(M1589,4)="http",OR((LEN(M1589)-LEN(SUBSTITUTE(M1589,"/","")))=2,AND((LEN(M1589)-LEN(SUBSTITUTE(M1589,"/","")))=3,RIGHT(M1589,1)="/"))))),"Home page redirect; ","")&amp;IF(N(R1589)&gt;1,"Chain; ","")&amp;IF(S1589="No","Destination not 200; ","")))</f>
        <v/>
      </c>
      <c r="U1589" s="22" t="n"/>
      <c r="V1589" s="22" t="n"/>
      <c r="W1589" s="4" t="n"/>
    </row>
    <row r="1590">
      <c r="A1590" s="22" t="n"/>
      <c r="B1590" s="22" t="n"/>
      <c r="C1590" s="22" t="n"/>
      <c r="D1590" s="22">
        <f>IF(A1590="","",IF(OR(N(B1590)&gt;=$C$2,N(C1590)&gt;=$E$2),"High",IF(OR(N(B1590)&gt;0,N(C1590)&gt;0),"Medium","Low")))</f>
        <v/>
      </c>
      <c r="E1590" s="22" t="n"/>
      <c r="F1590" s="22" t="n"/>
      <c r="G1590" s="22" t="n"/>
      <c r="H1590" s="22" t="n"/>
      <c r="I1590" s="22" t="n"/>
      <c r="J1590" s="22" t="n"/>
      <c r="K1590" s="22" t="n"/>
      <c r="L1590" s="22" t="n"/>
      <c r="M1590" s="22">
        <f>IF(K1590="Override",L1590,IF(K1590="Accept suggestion",F1590,IF(K1590="No change (same URL)",A1590,"")))</f>
        <v/>
      </c>
      <c r="N1590" s="22">
        <f>IF(A1590="","",IF(K1590="410 Gone","410",IF(K1590="404","404",IF(K1590="No change (same URL)","none",IF(M1590="","","301")))))</f>
        <v/>
      </c>
      <c r="O1590" s="22">
        <f>IF(A1590="","",IFERROR(MID(A1590,FIND("/",A1590,FIND("//",A1590)+2),2000),A1590))</f>
        <v/>
      </c>
      <c r="P1590" s="22">
        <f>IF(OR(O1590="",N1590="",N1590="none",N1590="404"),"",IF(N1590="410","Redirect gone "&amp;O1590,"Redirect "&amp;N1590&amp;" "&amp;O1590&amp;" "&amp;M1590))</f>
        <v/>
      </c>
      <c r="Q1590" s="22" t="n"/>
      <c r="R1590" s="22" t="n"/>
      <c r="S1590" s="22" t="n"/>
      <c r="T1590" s="4">
        <f>IF(A1590="","",TRIM(IF(K1590="","Needs decision; ","")&amp;IF(AND(K1590="Accept suggestion",F1590=""),"No suggestion to accept; ","")&amp;IF(AND(K1590="Override",L1590=""),"Override URL missing; ","")&amp;IF(AND(K1590="Accept suggestion",N(G1590)&lt;$G$2),"Below your threshold; ","")&amp;IF(AND(M1590&lt;&gt;"",M1590=A1590,K1590&lt;&gt;"No change (same URL)"),"Redirects to itself; ","")&amp;IF(AND(M1590&lt;&gt;"",OR(M1590="/",AND(LEFT(M1590,4)="http",OR((LEN(M1590)-LEN(SUBSTITUTE(M1590,"/","")))=2,AND((LEN(M1590)-LEN(SUBSTITUTE(M1590,"/","")))=3,RIGHT(M1590,1)="/"))))),"Home page redirect; ","")&amp;IF(N(R1590)&gt;1,"Chain; ","")&amp;IF(S1590="No","Destination not 200; ","")))</f>
        <v/>
      </c>
      <c r="U1590" s="22" t="n"/>
      <c r="V1590" s="22" t="n"/>
      <c r="W1590" s="4" t="n"/>
    </row>
    <row r="1591">
      <c r="A1591" s="22" t="n"/>
      <c r="B1591" s="22" t="n"/>
      <c r="C1591" s="22" t="n"/>
      <c r="D1591" s="22">
        <f>IF(A1591="","",IF(OR(N(B1591)&gt;=$C$2,N(C1591)&gt;=$E$2),"High",IF(OR(N(B1591)&gt;0,N(C1591)&gt;0),"Medium","Low")))</f>
        <v/>
      </c>
      <c r="E1591" s="22" t="n"/>
      <c r="F1591" s="22" t="n"/>
      <c r="G1591" s="22" t="n"/>
      <c r="H1591" s="22" t="n"/>
      <c r="I1591" s="22" t="n"/>
      <c r="J1591" s="22" t="n"/>
      <c r="K1591" s="22" t="n"/>
      <c r="L1591" s="22" t="n"/>
      <c r="M1591" s="22">
        <f>IF(K1591="Override",L1591,IF(K1591="Accept suggestion",F1591,IF(K1591="No change (same URL)",A1591,"")))</f>
        <v/>
      </c>
      <c r="N1591" s="22">
        <f>IF(A1591="","",IF(K1591="410 Gone","410",IF(K1591="404","404",IF(K1591="No change (same URL)","none",IF(M1591="","","301")))))</f>
        <v/>
      </c>
      <c r="O1591" s="22">
        <f>IF(A1591="","",IFERROR(MID(A1591,FIND("/",A1591,FIND("//",A1591)+2),2000),A1591))</f>
        <v/>
      </c>
      <c r="P1591" s="22">
        <f>IF(OR(O1591="",N1591="",N1591="none",N1591="404"),"",IF(N1591="410","Redirect gone "&amp;O1591,"Redirect "&amp;N1591&amp;" "&amp;O1591&amp;" "&amp;M1591))</f>
        <v/>
      </c>
      <c r="Q1591" s="22" t="n"/>
      <c r="R1591" s="22" t="n"/>
      <c r="S1591" s="22" t="n"/>
      <c r="T1591" s="4">
        <f>IF(A1591="","",TRIM(IF(K1591="","Needs decision; ","")&amp;IF(AND(K1591="Accept suggestion",F1591=""),"No suggestion to accept; ","")&amp;IF(AND(K1591="Override",L1591=""),"Override URL missing; ","")&amp;IF(AND(K1591="Accept suggestion",N(G1591)&lt;$G$2),"Below your threshold; ","")&amp;IF(AND(M1591&lt;&gt;"",M1591=A1591,K1591&lt;&gt;"No change (same URL)"),"Redirects to itself; ","")&amp;IF(AND(M1591&lt;&gt;"",OR(M1591="/",AND(LEFT(M1591,4)="http",OR((LEN(M1591)-LEN(SUBSTITUTE(M1591,"/","")))=2,AND((LEN(M1591)-LEN(SUBSTITUTE(M1591,"/","")))=3,RIGHT(M1591,1)="/"))))),"Home page redirect; ","")&amp;IF(N(R1591)&gt;1,"Chain; ","")&amp;IF(S1591="No","Destination not 200; ","")))</f>
        <v/>
      </c>
      <c r="U1591" s="22" t="n"/>
      <c r="V1591" s="22" t="n"/>
      <c r="W1591" s="4" t="n"/>
    </row>
    <row r="1592">
      <c r="A1592" s="22" t="n"/>
      <c r="B1592" s="22" t="n"/>
      <c r="C1592" s="22" t="n"/>
      <c r="D1592" s="22">
        <f>IF(A1592="","",IF(OR(N(B1592)&gt;=$C$2,N(C1592)&gt;=$E$2),"High",IF(OR(N(B1592)&gt;0,N(C1592)&gt;0),"Medium","Low")))</f>
        <v/>
      </c>
      <c r="E1592" s="22" t="n"/>
      <c r="F1592" s="22" t="n"/>
      <c r="G1592" s="22" t="n"/>
      <c r="H1592" s="22" t="n"/>
      <c r="I1592" s="22" t="n"/>
      <c r="J1592" s="22" t="n"/>
      <c r="K1592" s="22" t="n"/>
      <c r="L1592" s="22" t="n"/>
      <c r="M1592" s="22">
        <f>IF(K1592="Override",L1592,IF(K1592="Accept suggestion",F1592,IF(K1592="No change (same URL)",A1592,"")))</f>
        <v/>
      </c>
      <c r="N1592" s="22">
        <f>IF(A1592="","",IF(K1592="410 Gone","410",IF(K1592="404","404",IF(K1592="No change (same URL)","none",IF(M1592="","","301")))))</f>
        <v/>
      </c>
      <c r="O1592" s="22">
        <f>IF(A1592="","",IFERROR(MID(A1592,FIND("/",A1592,FIND("//",A1592)+2),2000),A1592))</f>
        <v/>
      </c>
      <c r="P1592" s="22">
        <f>IF(OR(O1592="",N1592="",N1592="none",N1592="404"),"",IF(N1592="410","Redirect gone "&amp;O1592,"Redirect "&amp;N1592&amp;" "&amp;O1592&amp;" "&amp;M1592))</f>
        <v/>
      </c>
      <c r="Q1592" s="22" t="n"/>
      <c r="R1592" s="22" t="n"/>
      <c r="S1592" s="22" t="n"/>
      <c r="T1592" s="4">
        <f>IF(A1592="","",TRIM(IF(K1592="","Needs decision; ","")&amp;IF(AND(K1592="Accept suggestion",F1592=""),"No suggestion to accept; ","")&amp;IF(AND(K1592="Override",L1592=""),"Override URL missing; ","")&amp;IF(AND(K1592="Accept suggestion",N(G1592)&lt;$G$2),"Below your threshold; ","")&amp;IF(AND(M1592&lt;&gt;"",M1592=A1592,K1592&lt;&gt;"No change (same URL)"),"Redirects to itself; ","")&amp;IF(AND(M1592&lt;&gt;"",OR(M1592="/",AND(LEFT(M1592,4)="http",OR((LEN(M1592)-LEN(SUBSTITUTE(M1592,"/","")))=2,AND((LEN(M1592)-LEN(SUBSTITUTE(M1592,"/","")))=3,RIGHT(M1592,1)="/"))))),"Home page redirect; ","")&amp;IF(N(R1592)&gt;1,"Chain; ","")&amp;IF(S1592="No","Destination not 200; ","")))</f>
        <v/>
      </c>
      <c r="U1592" s="22" t="n"/>
      <c r="V1592" s="22" t="n"/>
      <c r="W1592" s="4" t="n"/>
    </row>
    <row r="1593">
      <c r="A1593" s="22" t="n"/>
      <c r="B1593" s="22" t="n"/>
      <c r="C1593" s="22" t="n"/>
      <c r="D1593" s="22">
        <f>IF(A1593="","",IF(OR(N(B1593)&gt;=$C$2,N(C1593)&gt;=$E$2),"High",IF(OR(N(B1593)&gt;0,N(C1593)&gt;0),"Medium","Low")))</f>
        <v/>
      </c>
      <c r="E1593" s="22" t="n"/>
      <c r="F1593" s="22" t="n"/>
      <c r="G1593" s="22" t="n"/>
      <c r="H1593" s="22" t="n"/>
      <c r="I1593" s="22" t="n"/>
      <c r="J1593" s="22" t="n"/>
      <c r="K1593" s="22" t="n"/>
      <c r="L1593" s="22" t="n"/>
      <c r="M1593" s="22">
        <f>IF(K1593="Override",L1593,IF(K1593="Accept suggestion",F1593,IF(K1593="No change (same URL)",A1593,"")))</f>
        <v/>
      </c>
      <c r="N1593" s="22">
        <f>IF(A1593="","",IF(K1593="410 Gone","410",IF(K1593="404","404",IF(K1593="No change (same URL)","none",IF(M1593="","","301")))))</f>
        <v/>
      </c>
      <c r="O1593" s="22">
        <f>IF(A1593="","",IFERROR(MID(A1593,FIND("/",A1593,FIND("//",A1593)+2),2000),A1593))</f>
        <v/>
      </c>
      <c r="P1593" s="22">
        <f>IF(OR(O1593="",N1593="",N1593="none",N1593="404"),"",IF(N1593="410","Redirect gone "&amp;O1593,"Redirect "&amp;N1593&amp;" "&amp;O1593&amp;" "&amp;M1593))</f>
        <v/>
      </c>
      <c r="Q1593" s="22" t="n"/>
      <c r="R1593" s="22" t="n"/>
      <c r="S1593" s="22" t="n"/>
      <c r="T1593" s="4">
        <f>IF(A1593="","",TRIM(IF(K1593="","Needs decision; ","")&amp;IF(AND(K1593="Accept suggestion",F1593=""),"No suggestion to accept; ","")&amp;IF(AND(K1593="Override",L1593=""),"Override URL missing; ","")&amp;IF(AND(K1593="Accept suggestion",N(G1593)&lt;$G$2),"Below your threshold; ","")&amp;IF(AND(M1593&lt;&gt;"",M1593=A1593,K1593&lt;&gt;"No change (same URL)"),"Redirects to itself; ","")&amp;IF(AND(M1593&lt;&gt;"",OR(M1593="/",AND(LEFT(M1593,4)="http",OR((LEN(M1593)-LEN(SUBSTITUTE(M1593,"/","")))=2,AND((LEN(M1593)-LEN(SUBSTITUTE(M1593,"/","")))=3,RIGHT(M1593,1)="/"))))),"Home page redirect; ","")&amp;IF(N(R1593)&gt;1,"Chain; ","")&amp;IF(S1593="No","Destination not 200; ","")))</f>
        <v/>
      </c>
      <c r="U1593" s="22" t="n"/>
      <c r="V1593" s="22" t="n"/>
      <c r="W1593" s="4" t="n"/>
    </row>
    <row r="1594">
      <c r="A1594" s="22" t="n"/>
      <c r="B1594" s="22" t="n"/>
      <c r="C1594" s="22" t="n"/>
      <c r="D1594" s="22">
        <f>IF(A1594="","",IF(OR(N(B1594)&gt;=$C$2,N(C1594)&gt;=$E$2),"High",IF(OR(N(B1594)&gt;0,N(C1594)&gt;0),"Medium","Low")))</f>
        <v/>
      </c>
      <c r="E1594" s="22" t="n"/>
      <c r="F1594" s="22" t="n"/>
      <c r="G1594" s="22" t="n"/>
      <c r="H1594" s="22" t="n"/>
      <c r="I1594" s="22" t="n"/>
      <c r="J1594" s="22" t="n"/>
      <c r="K1594" s="22" t="n"/>
      <c r="L1594" s="22" t="n"/>
      <c r="M1594" s="22">
        <f>IF(K1594="Override",L1594,IF(K1594="Accept suggestion",F1594,IF(K1594="No change (same URL)",A1594,"")))</f>
        <v/>
      </c>
      <c r="N1594" s="22">
        <f>IF(A1594="","",IF(K1594="410 Gone","410",IF(K1594="404","404",IF(K1594="No change (same URL)","none",IF(M1594="","","301")))))</f>
        <v/>
      </c>
      <c r="O1594" s="22">
        <f>IF(A1594="","",IFERROR(MID(A1594,FIND("/",A1594,FIND("//",A1594)+2),2000),A1594))</f>
        <v/>
      </c>
      <c r="P1594" s="22">
        <f>IF(OR(O1594="",N1594="",N1594="none",N1594="404"),"",IF(N1594="410","Redirect gone "&amp;O1594,"Redirect "&amp;N1594&amp;" "&amp;O1594&amp;" "&amp;M1594))</f>
        <v/>
      </c>
      <c r="Q1594" s="22" t="n"/>
      <c r="R1594" s="22" t="n"/>
      <c r="S1594" s="22" t="n"/>
      <c r="T1594" s="4">
        <f>IF(A1594="","",TRIM(IF(K1594="","Needs decision; ","")&amp;IF(AND(K1594="Accept suggestion",F1594=""),"No suggestion to accept; ","")&amp;IF(AND(K1594="Override",L1594=""),"Override URL missing; ","")&amp;IF(AND(K1594="Accept suggestion",N(G1594)&lt;$G$2),"Below your threshold; ","")&amp;IF(AND(M1594&lt;&gt;"",M1594=A1594,K1594&lt;&gt;"No change (same URL)"),"Redirects to itself; ","")&amp;IF(AND(M1594&lt;&gt;"",OR(M1594="/",AND(LEFT(M1594,4)="http",OR((LEN(M1594)-LEN(SUBSTITUTE(M1594,"/","")))=2,AND((LEN(M1594)-LEN(SUBSTITUTE(M1594,"/","")))=3,RIGHT(M1594,1)="/"))))),"Home page redirect; ","")&amp;IF(N(R1594)&gt;1,"Chain; ","")&amp;IF(S1594="No","Destination not 200; ","")))</f>
        <v/>
      </c>
      <c r="U1594" s="22" t="n"/>
      <c r="V1594" s="22" t="n"/>
      <c r="W1594" s="4" t="n"/>
    </row>
    <row r="1595">
      <c r="A1595" s="22" t="n"/>
      <c r="B1595" s="22" t="n"/>
      <c r="C1595" s="22" t="n"/>
      <c r="D1595" s="22">
        <f>IF(A1595="","",IF(OR(N(B1595)&gt;=$C$2,N(C1595)&gt;=$E$2),"High",IF(OR(N(B1595)&gt;0,N(C1595)&gt;0),"Medium","Low")))</f>
        <v/>
      </c>
      <c r="E1595" s="22" t="n"/>
      <c r="F1595" s="22" t="n"/>
      <c r="G1595" s="22" t="n"/>
      <c r="H1595" s="22" t="n"/>
      <c r="I1595" s="22" t="n"/>
      <c r="J1595" s="22" t="n"/>
      <c r="K1595" s="22" t="n"/>
      <c r="L1595" s="22" t="n"/>
      <c r="M1595" s="22">
        <f>IF(K1595="Override",L1595,IF(K1595="Accept suggestion",F1595,IF(K1595="No change (same URL)",A1595,"")))</f>
        <v/>
      </c>
      <c r="N1595" s="22">
        <f>IF(A1595="","",IF(K1595="410 Gone","410",IF(K1595="404","404",IF(K1595="No change (same URL)","none",IF(M1595="","","301")))))</f>
        <v/>
      </c>
      <c r="O1595" s="22">
        <f>IF(A1595="","",IFERROR(MID(A1595,FIND("/",A1595,FIND("//",A1595)+2),2000),A1595))</f>
        <v/>
      </c>
      <c r="P1595" s="22">
        <f>IF(OR(O1595="",N1595="",N1595="none",N1595="404"),"",IF(N1595="410","Redirect gone "&amp;O1595,"Redirect "&amp;N1595&amp;" "&amp;O1595&amp;" "&amp;M1595))</f>
        <v/>
      </c>
      <c r="Q1595" s="22" t="n"/>
      <c r="R1595" s="22" t="n"/>
      <c r="S1595" s="22" t="n"/>
      <c r="T1595" s="4">
        <f>IF(A1595="","",TRIM(IF(K1595="","Needs decision; ","")&amp;IF(AND(K1595="Accept suggestion",F1595=""),"No suggestion to accept; ","")&amp;IF(AND(K1595="Override",L1595=""),"Override URL missing; ","")&amp;IF(AND(K1595="Accept suggestion",N(G1595)&lt;$G$2),"Below your threshold; ","")&amp;IF(AND(M1595&lt;&gt;"",M1595=A1595,K1595&lt;&gt;"No change (same URL)"),"Redirects to itself; ","")&amp;IF(AND(M1595&lt;&gt;"",OR(M1595="/",AND(LEFT(M1595,4)="http",OR((LEN(M1595)-LEN(SUBSTITUTE(M1595,"/","")))=2,AND((LEN(M1595)-LEN(SUBSTITUTE(M1595,"/","")))=3,RIGHT(M1595,1)="/"))))),"Home page redirect; ","")&amp;IF(N(R1595)&gt;1,"Chain; ","")&amp;IF(S1595="No","Destination not 200; ","")))</f>
        <v/>
      </c>
      <c r="U1595" s="22" t="n"/>
      <c r="V1595" s="22" t="n"/>
      <c r="W1595" s="4" t="n"/>
    </row>
    <row r="1596">
      <c r="A1596" s="22" t="n"/>
      <c r="B1596" s="22" t="n"/>
      <c r="C1596" s="22" t="n"/>
      <c r="D1596" s="22">
        <f>IF(A1596="","",IF(OR(N(B1596)&gt;=$C$2,N(C1596)&gt;=$E$2),"High",IF(OR(N(B1596)&gt;0,N(C1596)&gt;0),"Medium","Low")))</f>
        <v/>
      </c>
      <c r="E1596" s="22" t="n"/>
      <c r="F1596" s="22" t="n"/>
      <c r="G1596" s="22" t="n"/>
      <c r="H1596" s="22" t="n"/>
      <c r="I1596" s="22" t="n"/>
      <c r="J1596" s="22" t="n"/>
      <c r="K1596" s="22" t="n"/>
      <c r="L1596" s="22" t="n"/>
      <c r="M1596" s="22">
        <f>IF(K1596="Override",L1596,IF(K1596="Accept suggestion",F1596,IF(K1596="No change (same URL)",A1596,"")))</f>
        <v/>
      </c>
      <c r="N1596" s="22">
        <f>IF(A1596="","",IF(K1596="410 Gone","410",IF(K1596="404","404",IF(K1596="No change (same URL)","none",IF(M1596="","","301")))))</f>
        <v/>
      </c>
      <c r="O1596" s="22">
        <f>IF(A1596="","",IFERROR(MID(A1596,FIND("/",A1596,FIND("//",A1596)+2),2000),A1596))</f>
        <v/>
      </c>
      <c r="P1596" s="22">
        <f>IF(OR(O1596="",N1596="",N1596="none",N1596="404"),"",IF(N1596="410","Redirect gone "&amp;O1596,"Redirect "&amp;N1596&amp;" "&amp;O1596&amp;" "&amp;M1596))</f>
        <v/>
      </c>
      <c r="Q1596" s="22" t="n"/>
      <c r="R1596" s="22" t="n"/>
      <c r="S1596" s="22" t="n"/>
      <c r="T1596" s="4">
        <f>IF(A1596="","",TRIM(IF(K1596="","Needs decision; ","")&amp;IF(AND(K1596="Accept suggestion",F1596=""),"No suggestion to accept; ","")&amp;IF(AND(K1596="Override",L1596=""),"Override URL missing; ","")&amp;IF(AND(K1596="Accept suggestion",N(G1596)&lt;$G$2),"Below your threshold; ","")&amp;IF(AND(M1596&lt;&gt;"",M1596=A1596,K1596&lt;&gt;"No change (same URL)"),"Redirects to itself; ","")&amp;IF(AND(M1596&lt;&gt;"",OR(M1596="/",AND(LEFT(M1596,4)="http",OR((LEN(M1596)-LEN(SUBSTITUTE(M1596,"/","")))=2,AND((LEN(M1596)-LEN(SUBSTITUTE(M1596,"/","")))=3,RIGHT(M1596,1)="/"))))),"Home page redirect; ","")&amp;IF(N(R1596)&gt;1,"Chain; ","")&amp;IF(S1596="No","Destination not 200; ","")))</f>
        <v/>
      </c>
      <c r="U1596" s="22" t="n"/>
      <c r="V1596" s="22" t="n"/>
      <c r="W1596" s="4" t="n"/>
    </row>
    <row r="1597">
      <c r="A1597" s="22" t="n"/>
      <c r="B1597" s="22" t="n"/>
      <c r="C1597" s="22" t="n"/>
      <c r="D1597" s="22">
        <f>IF(A1597="","",IF(OR(N(B1597)&gt;=$C$2,N(C1597)&gt;=$E$2),"High",IF(OR(N(B1597)&gt;0,N(C1597)&gt;0),"Medium","Low")))</f>
        <v/>
      </c>
      <c r="E1597" s="22" t="n"/>
      <c r="F1597" s="22" t="n"/>
      <c r="G1597" s="22" t="n"/>
      <c r="H1597" s="22" t="n"/>
      <c r="I1597" s="22" t="n"/>
      <c r="J1597" s="22" t="n"/>
      <c r="K1597" s="22" t="n"/>
      <c r="L1597" s="22" t="n"/>
      <c r="M1597" s="22">
        <f>IF(K1597="Override",L1597,IF(K1597="Accept suggestion",F1597,IF(K1597="No change (same URL)",A1597,"")))</f>
        <v/>
      </c>
      <c r="N1597" s="22">
        <f>IF(A1597="","",IF(K1597="410 Gone","410",IF(K1597="404","404",IF(K1597="No change (same URL)","none",IF(M1597="","","301")))))</f>
        <v/>
      </c>
      <c r="O1597" s="22">
        <f>IF(A1597="","",IFERROR(MID(A1597,FIND("/",A1597,FIND("//",A1597)+2),2000),A1597))</f>
        <v/>
      </c>
      <c r="P1597" s="22">
        <f>IF(OR(O1597="",N1597="",N1597="none",N1597="404"),"",IF(N1597="410","Redirect gone "&amp;O1597,"Redirect "&amp;N1597&amp;" "&amp;O1597&amp;" "&amp;M1597))</f>
        <v/>
      </c>
      <c r="Q1597" s="22" t="n"/>
      <c r="R1597" s="22" t="n"/>
      <c r="S1597" s="22" t="n"/>
      <c r="T1597" s="4">
        <f>IF(A1597="","",TRIM(IF(K1597="","Needs decision; ","")&amp;IF(AND(K1597="Accept suggestion",F1597=""),"No suggestion to accept; ","")&amp;IF(AND(K1597="Override",L1597=""),"Override URL missing; ","")&amp;IF(AND(K1597="Accept suggestion",N(G1597)&lt;$G$2),"Below your threshold; ","")&amp;IF(AND(M1597&lt;&gt;"",M1597=A1597,K1597&lt;&gt;"No change (same URL)"),"Redirects to itself; ","")&amp;IF(AND(M1597&lt;&gt;"",OR(M1597="/",AND(LEFT(M1597,4)="http",OR((LEN(M1597)-LEN(SUBSTITUTE(M1597,"/","")))=2,AND((LEN(M1597)-LEN(SUBSTITUTE(M1597,"/","")))=3,RIGHT(M1597,1)="/"))))),"Home page redirect; ","")&amp;IF(N(R1597)&gt;1,"Chain; ","")&amp;IF(S1597="No","Destination not 200; ","")))</f>
        <v/>
      </c>
      <c r="U1597" s="22" t="n"/>
      <c r="V1597" s="22" t="n"/>
      <c r="W1597" s="4" t="n"/>
    </row>
    <row r="1598">
      <c r="A1598" s="22" t="n"/>
      <c r="B1598" s="22" t="n"/>
      <c r="C1598" s="22" t="n"/>
      <c r="D1598" s="22">
        <f>IF(A1598="","",IF(OR(N(B1598)&gt;=$C$2,N(C1598)&gt;=$E$2),"High",IF(OR(N(B1598)&gt;0,N(C1598)&gt;0),"Medium","Low")))</f>
        <v/>
      </c>
      <c r="E1598" s="22" t="n"/>
      <c r="F1598" s="22" t="n"/>
      <c r="G1598" s="22" t="n"/>
      <c r="H1598" s="22" t="n"/>
      <c r="I1598" s="22" t="n"/>
      <c r="J1598" s="22" t="n"/>
      <c r="K1598" s="22" t="n"/>
      <c r="L1598" s="22" t="n"/>
      <c r="M1598" s="22">
        <f>IF(K1598="Override",L1598,IF(K1598="Accept suggestion",F1598,IF(K1598="No change (same URL)",A1598,"")))</f>
        <v/>
      </c>
      <c r="N1598" s="22">
        <f>IF(A1598="","",IF(K1598="410 Gone","410",IF(K1598="404","404",IF(K1598="No change (same URL)","none",IF(M1598="","","301")))))</f>
        <v/>
      </c>
      <c r="O1598" s="22">
        <f>IF(A1598="","",IFERROR(MID(A1598,FIND("/",A1598,FIND("//",A1598)+2),2000),A1598))</f>
        <v/>
      </c>
      <c r="P1598" s="22">
        <f>IF(OR(O1598="",N1598="",N1598="none",N1598="404"),"",IF(N1598="410","Redirect gone "&amp;O1598,"Redirect "&amp;N1598&amp;" "&amp;O1598&amp;" "&amp;M1598))</f>
        <v/>
      </c>
      <c r="Q1598" s="22" t="n"/>
      <c r="R1598" s="22" t="n"/>
      <c r="S1598" s="22" t="n"/>
      <c r="T1598" s="4">
        <f>IF(A1598="","",TRIM(IF(K1598="","Needs decision; ","")&amp;IF(AND(K1598="Accept suggestion",F1598=""),"No suggestion to accept; ","")&amp;IF(AND(K1598="Override",L1598=""),"Override URL missing; ","")&amp;IF(AND(K1598="Accept suggestion",N(G1598)&lt;$G$2),"Below your threshold; ","")&amp;IF(AND(M1598&lt;&gt;"",M1598=A1598,K1598&lt;&gt;"No change (same URL)"),"Redirects to itself; ","")&amp;IF(AND(M1598&lt;&gt;"",OR(M1598="/",AND(LEFT(M1598,4)="http",OR((LEN(M1598)-LEN(SUBSTITUTE(M1598,"/","")))=2,AND((LEN(M1598)-LEN(SUBSTITUTE(M1598,"/","")))=3,RIGHT(M1598,1)="/"))))),"Home page redirect; ","")&amp;IF(N(R1598)&gt;1,"Chain; ","")&amp;IF(S1598="No","Destination not 200; ","")))</f>
        <v/>
      </c>
      <c r="U1598" s="22" t="n"/>
      <c r="V1598" s="22" t="n"/>
      <c r="W1598" s="4" t="n"/>
    </row>
    <row r="1599">
      <c r="A1599" s="22" t="n"/>
      <c r="B1599" s="22" t="n"/>
      <c r="C1599" s="22" t="n"/>
      <c r="D1599" s="22">
        <f>IF(A1599="","",IF(OR(N(B1599)&gt;=$C$2,N(C1599)&gt;=$E$2),"High",IF(OR(N(B1599)&gt;0,N(C1599)&gt;0),"Medium","Low")))</f>
        <v/>
      </c>
      <c r="E1599" s="22" t="n"/>
      <c r="F1599" s="22" t="n"/>
      <c r="G1599" s="22" t="n"/>
      <c r="H1599" s="22" t="n"/>
      <c r="I1599" s="22" t="n"/>
      <c r="J1599" s="22" t="n"/>
      <c r="K1599" s="22" t="n"/>
      <c r="L1599" s="22" t="n"/>
      <c r="M1599" s="22">
        <f>IF(K1599="Override",L1599,IF(K1599="Accept suggestion",F1599,IF(K1599="No change (same URL)",A1599,"")))</f>
        <v/>
      </c>
      <c r="N1599" s="22">
        <f>IF(A1599="","",IF(K1599="410 Gone","410",IF(K1599="404","404",IF(K1599="No change (same URL)","none",IF(M1599="","","301")))))</f>
        <v/>
      </c>
      <c r="O1599" s="22">
        <f>IF(A1599="","",IFERROR(MID(A1599,FIND("/",A1599,FIND("//",A1599)+2),2000),A1599))</f>
        <v/>
      </c>
      <c r="P1599" s="22">
        <f>IF(OR(O1599="",N1599="",N1599="none",N1599="404"),"",IF(N1599="410","Redirect gone "&amp;O1599,"Redirect "&amp;N1599&amp;" "&amp;O1599&amp;" "&amp;M1599))</f>
        <v/>
      </c>
      <c r="Q1599" s="22" t="n"/>
      <c r="R1599" s="22" t="n"/>
      <c r="S1599" s="22" t="n"/>
      <c r="T1599" s="4">
        <f>IF(A1599="","",TRIM(IF(K1599="","Needs decision; ","")&amp;IF(AND(K1599="Accept suggestion",F1599=""),"No suggestion to accept; ","")&amp;IF(AND(K1599="Override",L1599=""),"Override URL missing; ","")&amp;IF(AND(K1599="Accept suggestion",N(G1599)&lt;$G$2),"Below your threshold; ","")&amp;IF(AND(M1599&lt;&gt;"",M1599=A1599,K1599&lt;&gt;"No change (same URL)"),"Redirects to itself; ","")&amp;IF(AND(M1599&lt;&gt;"",OR(M1599="/",AND(LEFT(M1599,4)="http",OR((LEN(M1599)-LEN(SUBSTITUTE(M1599,"/","")))=2,AND((LEN(M1599)-LEN(SUBSTITUTE(M1599,"/","")))=3,RIGHT(M1599,1)="/"))))),"Home page redirect; ","")&amp;IF(N(R1599)&gt;1,"Chain; ","")&amp;IF(S1599="No","Destination not 200; ","")))</f>
        <v/>
      </c>
      <c r="U1599" s="22" t="n"/>
      <c r="V1599" s="22" t="n"/>
      <c r="W1599" s="4" t="n"/>
    </row>
    <row r="1600">
      <c r="A1600" s="22" t="n"/>
      <c r="B1600" s="22" t="n"/>
      <c r="C1600" s="22" t="n"/>
      <c r="D1600" s="22">
        <f>IF(A1600="","",IF(OR(N(B1600)&gt;=$C$2,N(C1600)&gt;=$E$2),"High",IF(OR(N(B1600)&gt;0,N(C1600)&gt;0),"Medium","Low")))</f>
        <v/>
      </c>
      <c r="E1600" s="22" t="n"/>
      <c r="F1600" s="22" t="n"/>
      <c r="G1600" s="22" t="n"/>
      <c r="H1600" s="22" t="n"/>
      <c r="I1600" s="22" t="n"/>
      <c r="J1600" s="22" t="n"/>
      <c r="K1600" s="22" t="n"/>
      <c r="L1600" s="22" t="n"/>
      <c r="M1600" s="22">
        <f>IF(K1600="Override",L1600,IF(K1600="Accept suggestion",F1600,IF(K1600="No change (same URL)",A1600,"")))</f>
        <v/>
      </c>
      <c r="N1600" s="22">
        <f>IF(A1600="","",IF(K1600="410 Gone","410",IF(K1600="404","404",IF(K1600="No change (same URL)","none",IF(M1600="","","301")))))</f>
        <v/>
      </c>
      <c r="O1600" s="22">
        <f>IF(A1600="","",IFERROR(MID(A1600,FIND("/",A1600,FIND("//",A1600)+2),2000),A1600))</f>
        <v/>
      </c>
      <c r="P1600" s="22">
        <f>IF(OR(O1600="",N1600="",N1600="none",N1600="404"),"",IF(N1600="410","Redirect gone "&amp;O1600,"Redirect "&amp;N1600&amp;" "&amp;O1600&amp;" "&amp;M1600))</f>
        <v/>
      </c>
      <c r="Q1600" s="22" t="n"/>
      <c r="R1600" s="22" t="n"/>
      <c r="S1600" s="22" t="n"/>
      <c r="T1600" s="4">
        <f>IF(A1600="","",TRIM(IF(K1600="","Needs decision; ","")&amp;IF(AND(K1600="Accept suggestion",F1600=""),"No suggestion to accept; ","")&amp;IF(AND(K1600="Override",L1600=""),"Override URL missing; ","")&amp;IF(AND(K1600="Accept suggestion",N(G1600)&lt;$G$2),"Below your threshold; ","")&amp;IF(AND(M1600&lt;&gt;"",M1600=A1600,K1600&lt;&gt;"No change (same URL)"),"Redirects to itself; ","")&amp;IF(AND(M1600&lt;&gt;"",OR(M1600="/",AND(LEFT(M1600,4)="http",OR((LEN(M1600)-LEN(SUBSTITUTE(M1600,"/","")))=2,AND((LEN(M1600)-LEN(SUBSTITUTE(M1600,"/","")))=3,RIGHT(M1600,1)="/"))))),"Home page redirect; ","")&amp;IF(N(R1600)&gt;1,"Chain; ","")&amp;IF(S1600="No","Destination not 200; ","")))</f>
        <v/>
      </c>
      <c r="U1600" s="22" t="n"/>
      <c r="V1600" s="22" t="n"/>
      <c r="W1600" s="4" t="n"/>
    </row>
    <row r="1601">
      <c r="A1601" s="22" t="n"/>
      <c r="B1601" s="22" t="n"/>
      <c r="C1601" s="22" t="n"/>
      <c r="D1601" s="22">
        <f>IF(A1601="","",IF(OR(N(B1601)&gt;=$C$2,N(C1601)&gt;=$E$2),"High",IF(OR(N(B1601)&gt;0,N(C1601)&gt;0),"Medium","Low")))</f>
        <v/>
      </c>
      <c r="E1601" s="22" t="n"/>
      <c r="F1601" s="22" t="n"/>
      <c r="G1601" s="22" t="n"/>
      <c r="H1601" s="22" t="n"/>
      <c r="I1601" s="22" t="n"/>
      <c r="J1601" s="22" t="n"/>
      <c r="K1601" s="22" t="n"/>
      <c r="L1601" s="22" t="n"/>
      <c r="M1601" s="22">
        <f>IF(K1601="Override",L1601,IF(K1601="Accept suggestion",F1601,IF(K1601="No change (same URL)",A1601,"")))</f>
        <v/>
      </c>
      <c r="N1601" s="22">
        <f>IF(A1601="","",IF(K1601="410 Gone","410",IF(K1601="404","404",IF(K1601="No change (same URL)","none",IF(M1601="","","301")))))</f>
        <v/>
      </c>
      <c r="O1601" s="22">
        <f>IF(A1601="","",IFERROR(MID(A1601,FIND("/",A1601,FIND("//",A1601)+2),2000),A1601))</f>
        <v/>
      </c>
      <c r="P1601" s="22">
        <f>IF(OR(O1601="",N1601="",N1601="none",N1601="404"),"",IF(N1601="410","Redirect gone "&amp;O1601,"Redirect "&amp;N1601&amp;" "&amp;O1601&amp;" "&amp;M1601))</f>
        <v/>
      </c>
      <c r="Q1601" s="22" t="n"/>
      <c r="R1601" s="22" t="n"/>
      <c r="S1601" s="22" t="n"/>
      <c r="T1601" s="4">
        <f>IF(A1601="","",TRIM(IF(K1601="","Needs decision; ","")&amp;IF(AND(K1601="Accept suggestion",F1601=""),"No suggestion to accept; ","")&amp;IF(AND(K1601="Override",L1601=""),"Override URL missing; ","")&amp;IF(AND(K1601="Accept suggestion",N(G1601)&lt;$G$2),"Below your threshold; ","")&amp;IF(AND(M1601&lt;&gt;"",M1601=A1601,K1601&lt;&gt;"No change (same URL)"),"Redirects to itself; ","")&amp;IF(AND(M1601&lt;&gt;"",OR(M1601="/",AND(LEFT(M1601,4)="http",OR((LEN(M1601)-LEN(SUBSTITUTE(M1601,"/","")))=2,AND((LEN(M1601)-LEN(SUBSTITUTE(M1601,"/","")))=3,RIGHT(M1601,1)="/"))))),"Home page redirect; ","")&amp;IF(N(R1601)&gt;1,"Chain; ","")&amp;IF(S1601="No","Destination not 200; ","")))</f>
        <v/>
      </c>
      <c r="U1601" s="22" t="n"/>
      <c r="V1601" s="22" t="n"/>
      <c r="W1601" s="4" t="n"/>
    </row>
    <row r="1602">
      <c r="A1602" s="22" t="n"/>
      <c r="B1602" s="22" t="n"/>
      <c r="C1602" s="22" t="n"/>
      <c r="D1602" s="22">
        <f>IF(A1602="","",IF(OR(N(B1602)&gt;=$C$2,N(C1602)&gt;=$E$2),"High",IF(OR(N(B1602)&gt;0,N(C1602)&gt;0),"Medium","Low")))</f>
        <v/>
      </c>
      <c r="E1602" s="22" t="n"/>
      <c r="F1602" s="22" t="n"/>
      <c r="G1602" s="22" t="n"/>
      <c r="H1602" s="22" t="n"/>
      <c r="I1602" s="22" t="n"/>
      <c r="J1602" s="22" t="n"/>
      <c r="K1602" s="22" t="n"/>
      <c r="L1602" s="22" t="n"/>
      <c r="M1602" s="22">
        <f>IF(K1602="Override",L1602,IF(K1602="Accept suggestion",F1602,IF(K1602="No change (same URL)",A1602,"")))</f>
        <v/>
      </c>
      <c r="N1602" s="22">
        <f>IF(A1602="","",IF(K1602="410 Gone","410",IF(K1602="404","404",IF(K1602="No change (same URL)","none",IF(M1602="","","301")))))</f>
        <v/>
      </c>
      <c r="O1602" s="22">
        <f>IF(A1602="","",IFERROR(MID(A1602,FIND("/",A1602,FIND("//",A1602)+2),2000),A1602))</f>
        <v/>
      </c>
      <c r="P1602" s="22">
        <f>IF(OR(O1602="",N1602="",N1602="none",N1602="404"),"",IF(N1602="410","Redirect gone "&amp;O1602,"Redirect "&amp;N1602&amp;" "&amp;O1602&amp;" "&amp;M1602))</f>
        <v/>
      </c>
      <c r="Q1602" s="22" t="n"/>
      <c r="R1602" s="22" t="n"/>
      <c r="S1602" s="22" t="n"/>
      <c r="T1602" s="4">
        <f>IF(A1602="","",TRIM(IF(K1602="","Needs decision; ","")&amp;IF(AND(K1602="Accept suggestion",F1602=""),"No suggestion to accept; ","")&amp;IF(AND(K1602="Override",L1602=""),"Override URL missing; ","")&amp;IF(AND(K1602="Accept suggestion",N(G1602)&lt;$G$2),"Below your threshold; ","")&amp;IF(AND(M1602&lt;&gt;"",M1602=A1602,K1602&lt;&gt;"No change (same URL)"),"Redirects to itself; ","")&amp;IF(AND(M1602&lt;&gt;"",OR(M1602="/",AND(LEFT(M1602,4)="http",OR((LEN(M1602)-LEN(SUBSTITUTE(M1602,"/","")))=2,AND((LEN(M1602)-LEN(SUBSTITUTE(M1602,"/","")))=3,RIGHT(M1602,1)="/"))))),"Home page redirect; ","")&amp;IF(N(R1602)&gt;1,"Chain; ","")&amp;IF(S1602="No","Destination not 200; ","")))</f>
        <v/>
      </c>
      <c r="U1602" s="22" t="n"/>
      <c r="V1602" s="22" t="n"/>
      <c r="W1602" s="4" t="n"/>
    </row>
    <row r="1603">
      <c r="A1603" s="22" t="n"/>
      <c r="B1603" s="22" t="n"/>
      <c r="C1603" s="22" t="n"/>
      <c r="D1603" s="22">
        <f>IF(A1603="","",IF(OR(N(B1603)&gt;=$C$2,N(C1603)&gt;=$E$2),"High",IF(OR(N(B1603)&gt;0,N(C1603)&gt;0),"Medium","Low")))</f>
        <v/>
      </c>
      <c r="E1603" s="22" t="n"/>
      <c r="F1603" s="22" t="n"/>
      <c r="G1603" s="22" t="n"/>
      <c r="H1603" s="22" t="n"/>
      <c r="I1603" s="22" t="n"/>
      <c r="J1603" s="22" t="n"/>
      <c r="K1603" s="22" t="n"/>
      <c r="L1603" s="22" t="n"/>
      <c r="M1603" s="22">
        <f>IF(K1603="Override",L1603,IF(K1603="Accept suggestion",F1603,IF(K1603="No change (same URL)",A1603,"")))</f>
        <v/>
      </c>
      <c r="N1603" s="22">
        <f>IF(A1603="","",IF(K1603="410 Gone","410",IF(K1603="404","404",IF(K1603="No change (same URL)","none",IF(M1603="","","301")))))</f>
        <v/>
      </c>
      <c r="O1603" s="22">
        <f>IF(A1603="","",IFERROR(MID(A1603,FIND("/",A1603,FIND("//",A1603)+2),2000),A1603))</f>
        <v/>
      </c>
      <c r="P1603" s="22">
        <f>IF(OR(O1603="",N1603="",N1603="none",N1603="404"),"",IF(N1603="410","Redirect gone "&amp;O1603,"Redirect "&amp;N1603&amp;" "&amp;O1603&amp;" "&amp;M1603))</f>
        <v/>
      </c>
      <c r="Q1603" s="22" t="n"/>
      <c r="R1603" s="22" t="n"/>
      <c r="S1603" s="22" t="n"/>
      <c r="T1603" s="4">
        <f>IF(A1603="","",TRIM(IF(K1603="","Needs decision; ","")&amp;IF(AND(K1603="Accept suggestion",F1603=""),"No suggestion to accept; ","")&amp;IF(AND(K1603="Override",L1603=""),"Override URL missing; ","")&amp;IF(AND(K1603="Accept suggestion",N(G1603)&lt;$G$2),"Below your threshold; ","")&amp;IF(AND(M1603&lt;&gt;"",M1603=A1603,K1603&lt;&gt;"No change (same URL)"),"Redirects to itself; ","")&amp;IF(AND(M1603&lt;&gt;"",OR(M1603="/",AND(LEFT(M1603,4)="http",OR((LEN(M1603)-LEN(SUBSTITUTE(M1603,"/","")))=2,AND((LEN(M1603)-LEN(SUBSTITUTE(M1603,"/","")))=3,RIGHT(M1603,1)="/"))))),"Home page redirect; ","")&amp;IF(N(R1603)&gt;1,"Chain; ","")&amp;IF(S1603="No","Destination not 200; ","")))</f>
        <v/>
      </c>
      <c r="U1603" s="22" t="n"/>
      <c r="V1603" s="22" t="n"/>
      <c r="W1603" s="4" t="n"/>
    </row>
    <row r="1604">
      <c r="A1604" s="22" t="n"/>
      <c r="B1604" s="22" t="n"/>
      <c r="C1604" s="22" t="n"/>
      <c r="D1604" s="22">
        <f>IF(A1604="","",IF(OR(N(B1604)&gt;=$C$2,N(C1604)&gt;=$E$2),"High",IF(OR(N(B1604)&gt;0,N(C1604)&gt;0),"Medium","Low")))</f>
        <v/>
      </c>
      <c r="E1604" s="22" t="n"/>
      <c r="F1604" s="22" t="n"/>
      <c r="G1604" s="22" t="n"/>
      <c r="H1604" s="22" t="n"/>
      <c r="I1604" s="22" t="n"/>
      <c r="J1604" s="22" t="n"/>
      <c r="K1604" s="22" t="n"/>
      <c r="L1604" s="22" t="n"/>
      <c r="M1604" s="22">
        <f>IF(K1604="Override",L1604,IF(K1604="Accept suggestion",F1604,IF(K1604="No change (same URL)",A1604,"")))</f>
        <v/>
      </c>
      <c r="N1604" s="22">
        <f>IF(A1604="","",IF(K1604="410 Gone","410",IF(K1604="404","404",IF(K1604="No change (same URL)","none",IF(M1604="","","301")))))</f>
        <v/>
      </c>
      <c r="O1604" s="22">
        <f>IF(A1604="","",IFERROR(MID(A1604,FIND("/",A1604,FIND("//",A1604)+2),2000),A1604))</f>
        <v/>
      </c>
      <c r="P1604" s="22">
        <f>IF(OR(O1604="",N1604="",N1604="none",N1604="404"),"",IF(N1604="410","Redirect gone "&amp;O1604,"Redirect "&amp;N1604&amp;" "&amp;O1604&amp;" "&amp;M1604))</f>
        <v/>
      </c>
      <c r="Q1604" s="22" t="n"/>
      <c r="R1604" s="22" t="n"/>
      <c r="S1604" s="22" t="n"/>
      <c r="T1604" s="4">
        <f>IF(A1604="","",TRIM(IF(K1604="","Needs decision; ","")&amp;IF(AND(K1604="Accept suggestion",F1604=""),"No suggestion to accept; ","")&amp;IF(AND(K1604="Override",L1604=""),"Override URL missing; ","")&amp;IF(AND(K1604="Accept suggestion",N(G1604)&lt;$G$2),"Below your threshold; ","")&amp;IF(AND(M1604&lt;&gt;"",M1604=A1604,K1604&lt;&gt;"No change (same URL)"),"Redirects to itself; ","")&amp;IF(AND(M1604&lt;&gt;"",OR(M1604="/",AND(LEFT(M1604,4)="http",OR((LEN(M1604)-LEN(SUBSTITUTE(M1604,"/","")))=2,AND((LEN(M1604)-LEN(SUBSTITUTE(M1604,"/","")))=3,RIGHT(M1604,1)="/"))))),"Home page redirect; ","")&amp;IF(N(R1604)&gt;1,"Chain; ","")&amp;IF(S1604="No","Destination not 200; ","")))</f>
        <v/>
      </c>
      <c r="U1604" s="22" t="n"/>
      <c r="V1604" s="22" t="n"/>
      <c r="W1604" s="4" t="n"/>
    </row>
    <row r="1605">
      <c r="A1605" s="22" t="n"/>
      <c r="B1605" s="22" t="n"/>
      <c r="C1605" s="22" t="n"/>
      <c r="D1605" s="22">
        <f>IF(A1605="","",IF(OR(N(B1605)&gt;=$C$2,N(C1605)&gt;=$E$2),"High",IF(OR(N(B1605)&gt;0,N(C1605)&gt;0),"Medium","Low")))</f>
        <v/>
      </c>
      <c r="E1605" s="22" t="n"/>
      <c r="F1605" s="22" t="n"/>
      <c r="G1605" s="22" t="n"/>
      <c r="H1605" s="22" t="n"/>
      <c r="I1605" s="22" t="n"/>
      <c r="J1605" s="22" t="n"/>
      <c r="K1605" s="22" t="n"/>
      <c r="L1605" s="22" t="n"/>
      <c r="M1605" s="22">
        <f>IF(K1605="Override",L1605,IF(K1605="Accept suggestion",F1605,IF(K1605="No change (same URL)",A1605,"")))</f>
        <v/>
      </c>
      <c r="N1605" s="22">
        <f>IF(A1605="","",IF(K1605="410 Gone","410",IF(K1605="404","404",IF(K1605="No change (same URL)","none",IF(M1605="","","301")))))</f>
        <v/>
      </c>
      <c r="O1605" s="22">
        <f>IF(A1605="","",IFERROR(MID(A1605,FIND("/",A1605,FIND("//",A1605)+2),2000),A1605))</f>
        <v/>
      </c>
      <c r="P1605" s="22">
        <f>IF(OR(O1605="",N1605="",N1605="none",N1605="404"),"",IF(N1605="410","Redirect gone "&amp;O1605,"Redirect "&amp;N1605&amp;" "&amp;O1605&amp;" "&amp;M1605))</f>
        <v/>
      </c>
      <c r="Q1605" s="22" t="n"/>
      <c r="R1605" s="22" t="n"/>
      <c r="S1605" s="22" t="n"/>
      <c r="T1605" s="4">
        <f>IF(A1605="","",TRIM(IF(K1605="","Needs decision; ","")&amp;IF(AND(K1605="Accept suggestion",F1605=""),"No suggestion to accept; ","")&amp;IF(AND(K1605="Override",L1605=""),"Override URL missing; ","")&amp;IF(AND(K1605="Accept suggestion",N(G1605)&lt;$G$2),"Below your threshold; ","")&amp;IF(AND(M1605&lt;&gt;"",M1605=A1605,K1605&lt;&gt;"No change (same URL)"),"Redirects to itself; ","")&amp;IF(AND(M1605&lt;&gt;"",OR(M1605="/",AND(LEFT(M1605,4)="http",OR((LEN(M1605)-LEN(SUBSTITUTE(M1605,"/","")))=2,AND((LEN(M1605)-LEN(SUBSTITUTE(M1605,"/","")))=3,RIGHT(M1605,1)="/"))))),"Home page redirect; ","")&amp;IF(N(R1605)&gt;1,"Chain; ","")&amp;IF(S1605="No","Destination not 200; ","")))</f>
        <v/>
      </c>
      <c r="U1605" s="22" t="n"/>
      <c r="V1605" s="22" t="n"/>
      <c r="W1605" s="4" t="n"/>
    </row>
    <row r="1606">
      <c r="A1606" s="22" t="n"/>
      <c r="B1606" s="22" t="n"/>
      <c r="C1606" s="22" t="n"/>
      <c r="D1606" s="22">
        <f>IF(A1606="","",IF(OR(N(B1606)&gt;=$C$2,N(C1606)&gt;=$E$2),"High",IF(OR(N(B1606)&gt;0,N(C1606)&gt;0),"Medium","Low")))</f>
        <v/>
      </c>
      <c r="E1606" s="22" t="n"/>
      <c r="F1606" s="22" t="n"/>
      <c r="G1606" s="22" t="n"/>
      <c r="H1606" s="22" t="n"/>
      <c r="I1606" s="22" t="n"/>
      <c r="J1606" s="22" t="n"/>
      <c r="K1606" s="22" t="n"/>
      <c r="L1606" s="22" t="n"/>
      <c r="M1606" s="22">
        <f>IF(K1606="Override",L1606,IF(K1606="Accept suggestion",F1606,IF(K1606="No change (same URL)",A1606,"")))</f>
        <v/>
      </c>
      <c r="N1606" s="22">
        <f>IF(A1606="","",IF(K1606="410 Gone","410",IF(K1606="404","404",IF(K1606="No change (same URL)","none",IF(M1606="","","301")))))</f>
        <v/>
      </c>
      <c r="O1606" s="22">
        <f>IF(A1606="","",IFERROR(MID(A1606,FIND("/",A1606,FIND("//",A1606)+2),2000),A1606))</f>
        <v/>
      </c>
      <c r="P1606" s="22">
        <f>IF(OR(O1606="",N1606="",N1606="none",N1606="404"),"",IF(N1606="410","Redirect gone "&amp;O1606,"Redirect "&amp;N1606&amp;" "&amp;O1606&amp;" "&amp;M1606))</f>
        <v/>
      </c>
      <c r="Q1606" s="22" t="n"/>
      <c r="R1606" s="22" t="n"/>
      <c r="S1606" s="22" t="n"/>
      <c r="T1606" s="4">
        <f>IF(A1606="","",TRIM(IF(K1606="","Needs decision; ","")&amp;IF(AND(K1606="Accept suggestion",F1606=""),"No suggestion to accept; ","")&amp;IF(AND(K1606="Override",L1606=""),"Override URL missing; ","")&amp;IF(AND(K1606="Accept suggestion",N(G1606)&lt;$G$2),"Below your threshold; ","")&amp;IF(AND(M1606&lt;&gt;"",M1606=A1606,K1606&lt;&gt;"No change (same URL)"),"Redirects to itself; ","")&amp;IF(AND(M1606&lt;&gt;"",OR(M1606="/",AND(LEFT(M1606,4)="http",OR((LEN(M1606)-LEN(SUBSTITUTE(M1606,"/","")))=2,AND((LEN(M1606)-LEN(SUBSTITUTE(M1606,"/","")))=3,RIGHT(M1606,1)="/"))))),"Home page redirect; ","")&amp;IF(N(R1606)&gt;1,"Chain; ","")&amp;IF(S1606="No","Destination not 200; ","")))</f>
        <v/>
      </c>
      <c r="U1606" s="22" t="n"/>
      <c r="V1606" s="22" t="n"/>
      <c r="W1606" s="4" t="n"/>
    </row>
    <row r="1607">
      <c r="A1607" s="22" t="n"/>
      <c r="B1607" s="22" t="n"/>
      <c r="C1607" s="22" t="n"/>
      <c r="D1607" s="22">
        <f>IF(A1607="","",IF(OR(N(B1607)&gt;=$C$2,N(C1607)&gt;=$E$2),"High",IF(OR(N(B1607)&gt;0,N(C1607)&gt;0),"Medium","Low")))</f>
        <v/>
      </c>
      <c r="E1607" s="22" t="n"/>
      <c r="F1607" s="22" t="n"/>
      <c r="G1607" s="22" t="n"/>
      <c r="H1607" s="22" t="n"/>
      <c r="I1607" s="22" t="n"/>
      <c r="J1607" s="22" t="n"/>
      <c r="K1607" s="22" t="n"/>
      <c r="L1607" s="22" t="n"/>
      <c r="M1607" s="22">
        <f>IF(K1607="Override",L1607,IF(K1607="Accept suggestion",F1607,IF(K1607="No change (same URL)",A1607,"")))</f>
        <v/>
      </c>
      <c r="N1607" s="22">
        <f>IF(A1607="","",IF(K1607="410 Gone","410",IF(K1607="404","404",IF(K1607="No change (same URL)","none",IF(M1607="","","301")))))</f>
        <v/>
      </c>
      <c r="O1607" s="22">
        <f>IF(A1607="","",IFERROR(MID(A1607,FIND("/",A1607,FIND("//",A1607)+2),2000),A1607))</f>
        <v/>
      </c>
      <c r="P1607" s="22">
        <f>IF(OR(O1607="",N1607="",N1607="none",N1607="404"),"",IF(N1607="410","Redirect gone "&amp;O1607,"Redirect "&amp;N1607&amp;" "&amp;O1607&amp;" "&amp;M1607))</f>
        <v/>
      </c>
      <c r="Q1607" s="22" t="n"/>
      <c r="R1607" s="22" t="n"/>
      <c r="S1607" s="22" t="n"/>
      <c r="T1607" s="4">
        <f>IF(A1607="","",TRIM(IF(K1607="","Needs decision; ","")&amp;IF(AND(K1607="Accept suggestion",F1607=""),"No suggestion to accept; ","")&amp;IF(AND(K1607="Override",L1607=""),"Override URL missing; ","")&amp;IF(AND(K1607="Accept suggestion",N(G1607)&lt;$G$2),"Below your threshold; ","")&amp;IF(AND(M1607&lt;&gt;"",M1607=A1607,K1607&lt;&gt;"No change (same URL)"),"Redirects to itself; ","")&amp;IF(AND(M1607&lt;&gt;"",OR(M1607="/",AND(LEFT(M1607,4)="http",OR((LEN(M1607)-LEN(SUBSTITUTE(M1607,"/","")))=2,AND((LEN(M1607)-LEN(SUBSTITUTE(M1607,"/","")))=3,RIGHT(M1607,1)="/"))))),"Home page redirect; ","")&amp;IF(N(R1607)&gt;1,"Chain; ","")&amp;IF(S1607="No","Destination not 200; ","")))</f>
        <v/>
      </c>
      <c r="U1607" s="22" t="n"/>
      <c r="V1607" s="22" t="n"/>
      <c r="W1607" s="4" t="n"/>
    </row>
    <row r="1608">
      <c r="A1608" s="22" t="n"/>
      <c r="B1608" s="22" t="n"/>
      <c r="C1608" s="22" t="n"/>
      <c r="D1608" s="22">
        <f>IF(A1608="","",IF(OR(N(B1608)&gt;=$C$2,N(C1608)&gt;=$E$2),"High",IF(OR(N(B1608)&gt;0,N(C1608)&gt;0),"Medium","Low")))</f>
        <v/>
      </c>
      <c r="E1608" s="22" t="n"/>
      <c r="F1608" s="22" t="n"/>
      <c r="G1608" s="22" t="n"/>
      <c r="H1608" s="22" t="n"/>
      <c r="I1608" s="22" t="n"/>
      <c r="J1608" s="22" t="n"/>
      <c r="K1608" s="22" t="n"/>
      <c r="L1608" s="22" t="n"/>
      <c r="M1608" s="22">
        <f>IF(K1608="Override",L1608,IF(K1608="Accept suggestion",F1608,IF(K1608="No change (same URL)",A1608,"")))</f>
        <v/>
      </c>
      <c r="N1608" s="22">
        <f>IF(A1608="","",IF(K1608="410 Gone","410",IF(K1608="404","404",IF(K1608="No change (same URL)","none",IF(M1608="","","301")))))</f>
        <v/>
      </c>
      <c r="O1608" s="22">
        <f>IF(A1608="","",IFERROR(MID(A1608,FIND("/",A1608,FIND("//",A1608)+2),2000),A1608))</f>
        <v/>
      </c>
      <c r="P1608" s="22">
        <f>IF(OR(O1608="",N1608="",N1608="none",N1608="404"),"",IF(N1608="410","Redirect gone "&amp;O1608,"Redirect "&amp;N1608&amp;" "&amp;O1608&amp;" "&amp;M1608))</f>
        <v/>
      </c>
      <c r="Q1608" s="22" t="n"/>
      <c r="R1608" s="22" t="n"/>
      <c r="S1608" s="22" t="n"/>
      <c r="T1608" s="4">
        <f>IF(A1608="","",TRIM(IF(K1608="","Needs decision; ","")&amp;IF(AND(K1608="Accept suggestion",F1608=""),"No suggestion to accept; ","")&amp;IF(AND(K1608="Override",L1608=""),"Override URL missing; ","")&amp;IF(AND(K1608="Accept suggestion",N(G1608)&lt;$G$2),"Below your threshold; ","")&amp;IF(AND(M1608&lt;&gt;"",M1608=A1608,K1608&lt;&gt;"No change (same URL)"),"Redirects to itself; ","")&amp;IF(AND(M1608&lt;&gt;"",OR(M1608="/",AND(LEFT(M1608,4)="http",OR((LEN(M1608)-LEN(SUBSTITUTE(M1608,"/","")))=2,AND((LEN(M1608)-LEN(SUBSTITUTE(M1608,"/","")))=3,RIGHT(M1608,1)="/"))))),"Home page redirect; ","")&amp;IF(N(R1608)&gt;1,"Chain; ","")&amp;IF(S1608="No","Destination not 200; ","")))</f>
        <v/>
      </c>
      <c r="U1608" s="22" t="n"/>
      <c r="V1608" s="22" t="n"/>
      <c r="W1608" s="4" t="n"/>
    </row>
    <row r="1609">
      <c r="A1609" s="22" t="n"/>
      <c r="B1609" s="22" t="n"/>
      <c r="C1609" s="22" t="n"/>
      <c r="D1609" s="22">
        <f>IF(A1609="","",IF(OR(N(B1609)&gt;=$C$2,N(C1609)&gt;=$E$2),"High",IF(OR(N(B1609)&gt;0,N(C1609)&gt;0),"Medium","Low")))</f>
        <v/>
      </c>
      <c r="E1609" s="22" t="n"/>
      <c r="F1609" s="22" t="n"/>
      <c r="G1609" s="22" t="n"/>
      <c r="H1609" s="22" t="n"/>
      <c r="I1609" s="22" t="n"/>
      <c r="J1609" s="22" t="n"/>
      <c r="K1609" s="22" t="n"/>
      <c r="L1609" s="22" t="n"/>
      <c r="M1609" s="22">
        <f>IF(K1609="Override",L1609,IF(K1609="Accept suggestion",F1609,IF(K1609="No change (same URL)",A1609,"")))</f>
        <v/>
      </c>
      <c r="N1609" s="22">
        <f>IF(A1609="","",IF(K1609="410 Gone","410",IF(K1609="404","404",IF(K1609="No change (same URL)","none",IF(M1609="","","301")))))</f>
        <v/>
      </c>
      <c r="O1609" s="22">
        <f>IF(A1609="","",IFERROR(MID(A1609,FIND("/",A1609,FIND("//",A1609)+2),2000),A1609))</f>
        <v/>
      </c>
      <c r="P1609" s="22">
        <f>IF(OR(O1609="",N1609="",N1609="none",N1609="404"),"",IF(N1609="410","Redirect gone "&amp;O1609,"Redirect "&amp;N1609&amp;" "&amp;O1609&amp;" "&amp;M1609))</f>
        <v/>
      </c>
      <c r="Q1609" s="22" t="n"/>
      <c r="R1609" s="22" t="n"/>
      <c r="S1609" s="22" t="n"/>
      <c r="T1609" s="4">
        <f>IF(A1609="","",TRIM(IF(K1609="","Needs decision; ","")&amp;IF(AND(K1609="Accept suggestion",F1609=""),"No suggestion to accept; ","")&amp;IF(AND(K1609="Override",L1609=""),"Override URL missing; ","")&amp;IF(AND(K1609="Accept suggestion",N(G1609)&lt;$G$2),"Below your threshold; ","")&amp;IF(AND(M1609&lt;&gt;"",M1609=A1609,K1609&lt;&gt;"No change (same URL)"),"Redirects to itself; ","")&amp;IF(AND(M1609&lt;&gt;"",OR(M1609="/",AND(LEFT(M1609,4)="http",OR((LEN(M1609)-LEN(SUBSTITUTE(M1609,"/","")))=2,AND((LEN(M1609)-LEN(SUBSTITUTE(M1609,"/","")))=3,RIGHT(M1609,1)="/"))))),"Home page redirect; ","")&amp;IF(N(R1609)&gt;1,"Chain; ","")&amp;IF(S1609="No","Destination not 200; ","")))</f>
        <v/>
      </c>
      <c r="U1609" s="22" t="n"/>
      <c r="V1609" s="22" t="n"/>
      <c r="W1609" s="4" t="n"/>
    </row>
    <row r="1610">
      <c r="A1610" s="22" t="n"/>
      <c r="B1610" s="22" t="n"/>
      <c r="C1610" s="22" t="n"/>
      <c r="D1610" s="22">
        <f>IF(A1610="","",IF(OR(N(B1610)&gt;=$C$2,N(C1610)&gt;=$E$2),"High",IF(OR(N(B1610)&gt;0,N(C1610)&gt;0),"Medium","Low")))</f>
        <v/>
      </c>
      <c r="E1610" s="22" t="n"/>
      <c r="F1610" s="22" t="n"/>
      <c r="G1610" s="22" t="n"/>
      <c r="H1610" s="22" t="n"/>
      <c r="I1610" s="22" t="n"/>
      <c r="J1610" s="22" t="n"/>
      <c r="K1610" s="22" t="n"/>
      <c r="L1610" s="22" t="n"/>
      <c r="M1610" s="22">
        <f>IF(K1610="Override",L1610,IF(K1610="Accept suggestion",F1610,IF(K1610="No change (same URL)",A1610,"")))</f>
        <v/>
      </c>
      <c r="N1610" s="22">
        <f>IF(A1610="","",IF(K1610="410 Gone","410",IF(K1610="404","404",IF(K1610="No change (same URL)","none",IF(M1610="","","301")))))</f>
        <v/>
      </c>
      <c r="O1610" s="22">
        <f>IF(A1610="","",IFERROR(MID(A1610,FIND("/",A1610,FIND("//",A1610)+2),2000),A1610))</f>
        <v/>
      </c>
      <c r="P1610" s="22">
        <f>IF(OR(O1610="",N1610="",N1610="none",N1610="404"),"",IF(N1610="410","Redirect gone "&amp;O1610,"Redirect "&amp;N1610&amp;" "&amp;O1610&amp;" "&amp;M1610))</f>
        <v/>
      </c>
      <c r="Q1610" s="22" t="n"/>
      <c r="R1610" s="22" t="n"/>
      <c r="S1610" s="22" t="n"/>
      <c r="T1610" s="4">
        <f>IF(A1610="","",TRIM(IF(K1610="","Needs decision; ","")&amp;IF(AND(K1610="Accept suggestion",F1610=""),"No suggestion to accept; ","")&amp;IF(AND(K1610="Override",L1610=""),"Override URL missing; ","")&amp;IF(AND(K1610="Accept suggestion",N(G1610)&lt;$G$2),"Below your threshold; ","")&amp;IF(AND(M1610&lt;&gt;"",M1610=A1610,K1610&lt;&gt;"No change (same URL)"),"Redirects to itself; ","")&amp;IF(AND(M1610&lt;&gt;"",OR(M1610="/",AND(LEFT(M1610,4)="http",OR((LEN(M1610)-LEN(SUBSTITUTE(M1610,"/","")))=2,AND((LEN(M1610)-LEN(SUBSTITUTE(M1610,"/","")))=3,RIGHT(M1610,1)="/"))))),"Home page redirect; ","")&amp;IF(N(R1610)&gt;1,"Chain; ","")&amp;IF(S1610="No","Destination not 200; ","")))</f>
        <v/>
      </c>
      <c r="U1610" s="22" t="n"/>
      <c r="V1610" s="22" t="n"/>
      <c r="W1610" s="4" t="n"/>
    </row>
    <row r="1611">
      <c r="A1611" s="22" t="n"/>
      <c r="B1611" s="22" t="n"/>
      <c r="C1611" s="22" t="n"/>
      <c r="D1611" s="22">
        <f>IF(A1611="","",IF(OR(N(B1611)&gt;=$C$2,N(C1611)&gt;=$E$2),"High",IF(OR(N(B1611)&gt;0,N(C1611)&gt;0),"Medium","Low")))</f>
        <v/>
      </c>
      <c r="E1611" s="22" t="n"/>
      <c r="F1611" s="22" t="n"/>
      <c r="G1611" s="22" t="n"/>
      <c r="H1611" s="22" t="n"/>
      <c r="I1611" s="22" t="n"/>
      <c r="J1611" s="22" t="n"/>
      <c r="K1611" s="22" t="n"/>
      <c r="L1611" s="22" t="n"/>
      <c r="M1611" s="22">
        <f>IF(K1611="Override",L1611,IF(K1611="Accept suggestion",F1611,IF(K1611="No change (same URL)",A1611,"")))</f>
        <v/>
      </c>
      <c r="N1611" s="22">
        <f>IF(A1611="","",IF(K1611="410 Gone","410",IF(K1611="404","404",IF(K1611="No change (same URL)","none",IF(M1611="","","301")))))</f>
        <v/>
      </c>
      <c r="O1611" s="22">
        <f>IF(A1611="","",IFERROR(MID(A1611,FIND("/",A1611,FIND("//",A1611)+2),2000),A1611))</f>
        <v/>
      </c>
      <c r="P1611" s="22">
        <f>IF(OR(O1611="",N1611="",N1611="none",N1611="404"),"",IF(N1611="410","Redirect gone "&amp;O1611,"Redirect "&amp;N1611&amp;" "&amp;O1611&amp;" "&amp;M1611))</f>
        <v/>
      </c>
      <c r="Q1611" s="22" t="n"/>
      <c r="R1611" s="22" t="n"/>
      <c r="S1611" s="22" t="n"/>
      <c r="T1611" s="4">
        <f>IF(A1611="","",TRIM(IF(K1611="","Needs decision; ","")&amp;IF(AND(K1611="Accept suggestion",F1611=""),"No suggestion to accept; ","")&amp;IF(AND(K1611="Override",L1611=""),"Override URL missing; ","")&amp;IF(AND(K1611="Accept suggestion",N(G1611)&lt;$G$2),"Below your threshold; ","")&amp;IF(AND(M1611&lt;&gt;"",M1611=A1611,K1611&lt;&gt;"No change (same URL)"),"Redirects to itself; ","")&amp;IF(AND(M1611&lt;&gt;"",OR(M1611="/",AND(LEFT(M1611,4)="http",OR((LEN(M1611)-LEN(SUBSTITUTE(M1611,"/","")))=2,AND((LEN(M1611)-LEN(SUBSTITUTE(M1611,"/","")))=3,RIGHT(M1611,1)="/"))))),"Home page redirect; ","")&amp;IF(N(R1611)&gt;1,"Chain; ","")&amp;IF(S1611="No","Destination not 200; ","")))</f>
        <v/>
      </c>
      <c r="U1611" s="22" t="n"/>
      <c r="V1611" s="22" t="n"/>
      <c r="W1611" s="4" t="n"/>
    </row>
    <row r="1612">
      <c r="A1612" s="22" t="n"/>
      <c r="B1612" s="22" t="n"/>
      <c r="C1612" s="22" t="n"/>
      <c r="D1612" s="22">
        <f>IF(A1612="","",IF(OR(N(B1612)&gt;=$C$2,N(C1612)&gt;=$E$2),"High",IF(OR(N(B1612)&gt;0,N(C1612)&gt;0),"Medium","Low")))</f>
        <v/>
      </c>
      <c r="E1612" s="22" t="n"/>
      <c r="F1612" s="22" t="n"/>
      <c r="G1612" s="22" t="n"/>
      <c r="H1612" s="22" t="n"/>
      <c r="I1612" s="22" t="n"/>
      <c r="J1612" s="22" t="n"/>
      <c r="K1612" s="22" t="n"/>
      <c r="L1612" s="22" t="n"/>
      <c r="M1612" s="22">
        <f>IF(K1612="Override",L1612,IF(K1612="Accept suggestion",F1612,IF(K1612="No change (same URL)",A1612,"")))</f>
        <v/>
      </c>
      <c r="N1612" s="22">
        <f>IF(A1612="","",IF(K1612="410 Gone","410",IF(K1612="404","404",IF(K1612="No change (same URL)","none",IF(M1612="","","301")))))</f>
        <v/>
      </c>
      <c r="O1612" s="22">
        <f>IF(A1612="","",IFERROR(MID(A1612,FIND("/",A1612,FIND("//",A1612)+2),2000),A1612))</f>
        <v/>
      </c>
      <c r="P1612" s="22">
        <f>IF(OR(O1612="",N1612="",N1612="none",N1612="404"),"",IF(N1612="410","Redirect gone "&amp;O1612,"Redirect "&amp;N1612&amp;" "&amp;O1612&amp;" "&amp;M1612))</f>
        <v/>
      </c>
      <c r="Q1612" s="22" t="n"/>
      <c r="R1612" s="22" t="n"/>
      <c r="S1612" s="22" t="n"/>
      <c r="T1612" s="4">
        <f>IF(A1612="","",TRIM(IF(K1612="","Needs decision; ","")&amp;IF(AND(K1612="Accept suggestion",F1612=""),"No suggestion to accept; ","")&amp;IF(AND(K1612="Override",L1612=""),"Override URL missing; ","")&amp;IF(AND(K1612="Accept suggestion",N(G1612)&lt;$G$2),"Below your threshold; ","")&amp;IF(AND(M1612&lt;&gt;"",M1612=A1612,K1612&lt;&gt;"No change (same URL)"),"Redirects to itself; ","")&amp;IF(AND(M1612&lt;&gt;"",OR(M1612="/",AND(LEFT(M1612,4)="http",OR((LEN(M1612)-LEN(SUBSTITUTE(M1612,"/","")))=2,AND((LEN(M1612)-LEN(SUBSTITUTE(M1612,"/","")))=3,RIGHT(M1612,1)="/"))))),"Home page redirect; ","")&amp;IF(N(R1612)&gt;1,"Chain; ","")&amp;IF(S1612="No","Destination not 200; ","")))</f>
        <v/>
      </c>
      <c r="U1612" s="22" t="n"/>
      <c r="V1612" s="22" t="n"/>
      <c r="W1612" s="4" t="n"/>
    </row>
    <row r="1613">
      <c r="A1613" s="22" t="n"/>
      <c r="B1613" s="22" t="n"/>
      <c r="C1613" s="22" t="n"/>
      <c r="D1613" s="22">
        <f>IF(A1613="","",IF(OR(N(B1613)&gt;=$C$2,N(C1613)&gt;=$E$2),"High",IF(OR(N(B1613)&gt;0,N(C1613)&gt;0),"Medium","Low")))</f>
        <v/>
      </c>
      <c r="E1613" s="22" t="n"/>
      <c r="F1613" s="22" t="n"/>
      <c r="G1613" s="22" t="n"/>
      <c r="H1613" s="22" t="n"/>
      <c r="I1613" s="22" t="n"/>
      <c r="J1613" s="22" t="n"/>
      <c r="K1613" s="22" t="n"/>
      <c r="L1613" s="22" t="n"/>
      <c r="M1613" s="22">
        <f>IF(K1613="Override",L1613,IF(K1613="Accept suggestion",F1613,IF(K1613="No change (same URL)",A1613,"")))</f>
        <v/>
      </c>
      <c r="N1613" s="22">
        <f>IF(A1613="","",IF(K1613="410 Gone","410",IF(K1613="404","404",IF(K1613="No change (same URL)","none",IF(M1613="","","301")))))</f>
        <v/>
      </c>
      <c r="O1613" s="22">
        <f>IF(A1613="","",IFERROR(MID(A1613,FIND("/",A1613,FIND("//",A1613)+2),2000),A1613))</f>
        <v/>
      </c>
      <c r="P1613" s="22">
        <f>IF(OR(O1613="",N1613="",N1613="none",N1613="404"),"",IF(N1613="410","Redirect gone "&amp;O1613,"Redirect "&amp;N1613&amp;" "&amp;O1613&amp;" "&amp;M1613))</f>
        <v/>
      </c>
      <c r="Q1613" s="22" t="n"/>
      <c r="R1613" s="22" t="n"/>
      <c r="S1613" s="22" t="n"/>
      <c r="T1613" s="4">
        <f>IF(A1613="","",TRIM(IF(K1613="","Needs decision; ","")&amp;IF(AND(K1613="Accept suggestion",F1613=""),"No suggestion to accept; ","")&amp;IF(AND(K1613="Override",L1613=""),"Override URL missing; ","")&amp;IF(AND(K1613="Accept suggestion",N(G1613)&lt;$G$2),"Below your threshold; ","")&amp;IF(AND(M1613&lt;&gt;"",M1613=A1613,K1613&lt;&gt;"No change (same URL)"),"Redirects to itself; ","")&amp;IF(AND(M1613&lt;&gt;"",OR(M1613="/",AND(LEFT(M1613,4)="http",OR((LEN(M1613)-LEN(SUBSTITUTE(M1613,"/","")))=2,AND((LEN(M1613)-LEN(SUBSTITUTE(M1613,"/","")))=3,RIGHT(M1613,1)="/"))))),"Home page redirect; ","")&amp;IF(N(R1613)&gt;1,"Chain; ","")&amp;IF(S1613="No","Destination not 200; ","")))</f>
        <v/>
      </c>
      <c r="U1613" s="22" t="n"/>
      <c r="V1613" s="22" t="n"/>
      <c r="W1613" s="4" t="n"/>
    </row>
    <row r="1614">
      <c r="A1614" s="22" t="n"/>
      <c r="B1614" s="22" t="n"/>
      <c r="C1614" s="22" t="n"/>
      <c r="D1614" s="22">
        <f>IF(A1614="","",IF(OR(N(B1614)&gt;=$C$2,N(C1614)&gt;=$E$2),"High",IF(OR(N(B1614)&gt;0,N(C1614)&gt;0),"Medium","Low")))</f>
        <v/>
      </c>
      <c r="E1614" s="22" t="n"/>
      <c r="F1614" s="22" t="n"/>
      <c r="G1614" s="22" t="n"/>
      <c r="H1614" s="22" t="n"/>
      <c r="I1614" s="22" t="n"/>
      <c r="J1614" s="22" t="n"/>
      <c r="K1614" s="22" t="n"/>
      <c r="L1614" s="22" t="n"/>
      <c r="M1614" s="22">
        <f>IF(K1614="Override",L1614,IF(K1614="Accept suggestion",F1614,IF(K1614="No change (same URL)",A1614,"")))</f>
        <v/>
      </c>
      <c r="N1614" s="22">
        <f>IF(A1614="","",IF(K1614="410 Gone","410",IF(K1614="404","404",IF(K1614="No change (same URL)","none",IF(M1614="","","301")))))</f>
        <v/>
      </c>
      <c r="O1614" s="22">
        <f>IF(A1614="","",IFERROR(MID(A1614,FIND("/",A1614,FIND("//",A1614)+2),2000),A1614))</f>
        <v/>
      </c>
      <c r="P1614" s="22">
        <f>IF(OR(O1614="",N1614="",N1614="none",N1614="404"),"",IF(N1614="410","Redirect gone "&amp;O1614,"Redirect "&amp;N1614&amp;" "&amp;O1614&amp;" "&amp;M1614))</f>
        <v/>
      </c>
      <c r="Q1614" s="22" t="n"/>
      <c r="R1614" s="22" t="n"/>
      <c r="S1614" s="22" t="n"/>
      <c r="T1614" s="4">
        <f>IF(A1614="","",TRIM(IF(K1614="","Needs decision; ","")&amp;IF(AND(K1614="Accept suggestion",F1614=""),"No suggestion to accept; ","")&amp;IF(AND(K1614="Override",L1614=""),"Override URL missing; ","")&amp;IF(AND(K1614="Accept suggestion",N(G1614)&lt;$G$2),"Below your threshold; ","")&amp;IF(AND(M1614&lt;&gt;"",M1614=A1614,K1614&lt;&gt;"No change (same URL)"),"Redirects to itself; ","")&amp;IF(AND(M1614&lt;&gt;"",OR(M1614="/",AND(LEFT(M1614,4)="http",OR((LEN(M1614)-LEN(SUBSTITUTE(M1614,"/","")))=2,AND((LEN(M1614)-LEN(SUBSTITUTE(M1614,"/","")))=3,RIGHT(M1614,1)="/"))))),"Home page redirect; ","")&amp;IF(N(R1614)&gt;1,"Chain; ","")&amp;IF(S1614="No","Destination not 200; ","")))</f>
        <v/>
      </c>
      <c r="U1614" s="22" t="n"/>
      <c r="V1614" s="22" t="n"/>
      <c r="W1614" s="4" t="n"/>
    </row>
    <row r="1615">
      <c r="A1615" s="22" t="n"/>
      <c r="B1615" s="22" t="n"/>
      <c r="C1615" s="22" t="n"/>
      <c r="D1615" s="22">
        <f>IF(A1615="","",IF(OR(N(B1615)&gt;=$C$2,N(C1615)&gt;=$E$2),"High",IF(OR(N(B1615)&gt;0,N(C1615)&gt;0),"Medium","Low")))</f>
        <v/>
      </c>
      <c r="E1615" s="22" t="n"/>
      <c r="F1615" s="22" t="n"/>
      <c r="G1615" s="22" t="n"/>
      <c r="H1615" s="22" t="n"/>
      <c r="I1615" s="22" t="n"/>
      <c r="J1615" s="22" t="n"/>
      <c r="K1615" s="22" t="n"/>
      <c r="L1615" s="22" t="n"/>
      <c r="M1615" s="22">
        <f>IF(K1615="Override",L1615,IF(K1615="Accept suggestion",F1615,IF(K1615="No change (same URL)",A1615,"")))</f>
        <v/>
      </c>
      <c r="N1615" s="22">
        <f>IF(A1615="","",IF(K1615="410 Gone","410",IF(K1615="404","404",IF(K1615="No change (same URL)","none",IF(M1615="","","301")))))</f>
        <v/>
      </c>
      <c r="O1615" s="22">
        <f>IF(A1615="","",IFERROR(MID(A1615,FIND("/",A1615,FIND("//",A1615)+2),2000),A1615))</f>
        <v/>
      </c>
      <c r="P1615" s="22">
        <f>IF(OR(O1615="",N1615="",N1615="none",N1615="404"),"",IF(N1615="410","Redirect gone "&amp;O1615,"Redirect "&amp;N1615&amp;" "&amp;O1615&amp;" "&amp;M1615))</f>
        <v/>
      </c>
      <c r="Q1615" s="22" t="n"/>
      <c r="R1615" s="22" t="n"/>
      <c r="S1615" s="22" t="n"/>
      <c r="T1615" s="4">
        <f>IF(A1615="","",TRIM(IF(K1615="","Needs decision; ","")&amp;IF(AND(K1615="Accept suggestion",F1615=""),"No suggestion to accept; ","")&amp;IF(AND(K1615="Override",L1615=""),"Override URL missing; ","")&amp;IF(AND(K1615="Accept suggestion",N(G1615)&lt;$G$2),"Below your threshold; ","")&amp;IF(AND(M1615&lt;&gt;"",M1615=A1615,K1615&lt;&gt;"No change (same URL)"),"Redirects to itself; ","")&amp;IF(AND(M1615&lt;&gt;"",OR(M1615="/",AND(LEFT(M1615,4)="http",OR((LEN(M1615)-LEN(SUBSTITUTE(M1615,"/","")))=2,AND((LEN(M1615)-LEN(SUBSTITUTE(M1615,"/","")))=3,RIGHT(M1615,1)="/"))))),"Home page redirect; ","")&amp;IF(N(R1615)&gt;1,"Chain; ","")&amp;IF(S1615="No","Destination not 200; ","")))</f>
        <v/>
      </c>
      <c r="U1615" s="22" t="n"/>
      <c r="V1615" s="22" t="n"/>
      <c r="W1615" s="4" t="n"/>
    </row>
    <row r="1616">
      <c r="A1616" s="22" t="n"/>
      <c r="B1616" s="22" t="n"/>
      <c r="C1616" s="22" t="n"/>
      <c r="D1616" s="22">
        <f>IF(A1616="","",IF(OR(N(B1616)&gt;=$C$2,N(C1616)&gt;=$E$2),"High",IF(OR(N(B1616)&gt;0,N(C1616)&gt;0),"Medium","Low")))</f>
        <v/>
      </c>
      <c r="E1616" s="22" t="n"/>
      <c r="F1616" s="22" t="n"/>
      <c r="G1616" s="22" t="n"/>
      <c r="H1616" s="22" t="n"/>
      <c r="I1616" s="22" t="n"/>
      <c r="J1616" s="22" t="n"/>
      <c r="K1616" s="22" t="n"/>
      <c r="L1616" s="22" t="n"/>
      <c r="M1616" s="22">
        <f>IF(K1616="Override",L1616,IF(K1616="Accept suggestion",F1616,IF(K1616="No change (same URL)",A1616,"")))</f>
        <v/>
      </c>
      <c r="N1616" s="22">
        <f>IF(A1616="","",IF(K1616="410 Gone","410",IF(K1616="404","404",IF(K1616="No change (same URL)","none",IF(M1616="","","301")))))</f>
        <v/>
      </c>
      <c r="O1616" s="22">
        <f>IF(A1616="","",IFERROR(MID(A1616,FIND("/",A1616,FIND("//",A1616)+2),2000),A1616))</f>
        <v/>
      </c>
      <c r="P1616" s="22">
        <f>IF(OR(O1616="",N1616="",N1616="none",N1616="404"),"",IF(N1616="410","Redirect gone "&amp;O1616,"Redirect "&amp;N1616&amp;" "&amp;O1616&amp;" "&amp;M1616))</f>
        <v/>
      </c>
      <c r="Q1616" s="22" t="n"/>
      <c r="R1616" s="22" t="n"/>
      <c r="S1616" s="22" t="n"/>
      <c r="T1616" s="4">
        <f>IF(A1616="","",TRIM(IF(K1616="","Needs decision; ","")&amp;IF(AND(K1616="Accept suggestion",F1616=""),"No suggestion to accept; ","")&amp;IF(AND(K1616="Override",L1616=""),"Override URL missing; ","")&amp;IF(AND(K1616="Accept suggestion",N(G1616)&lt;$G$2),"Below your threshold; ","")&amp;IF(AND(M1616&lt;&gt;"",M1616=A1616,K1616&lt;&gt;"No change (same URL)"),"Redirects to itself; ","")&amp;IF(AND(M1616&lt;&gt;"",OR(M1616="/",AND(LEFT(M1616,4)="http",OR((LEN(M1616)-LEN(SUBSTITUTE(M1616,"/","")))=2,AND((LEN(M1616)-LEN(SUBSTITUTE(M1616,"/","")))=3,RIGHT(M1616,1)="/"))))),"Home page redirect; ","")&amp;IF(N(R1616)&gt;1,"Chain; ","")&amp;IF(S1616="No","Destination not 200; ","")))</f>
        <v/>
      </c>
      <c r="U1616" s="22" t="n"/>
      <c r="V1616" s="22" t="n"/>
      <c r="W1616" s="4" t="n"/>
    </row>
    <row r="1617">
      <c r="A1617" s="22" t="n"/>
      <c r="B1617" s="22" t="n"/>
      <c r="C1617" s="22" t="n"/>
      <c r="D1617" s="22">
        <f>IF(A1617="","",IF(OR(N(B1617)&gt;=$C$2,N(C1617)&gt;=$E$2),"High",IF(OR(N(B1617)&gt;0,N(C1617)&gt;0),"Medium","Low")))</f>
        <v/>
      </c>
      <c r="E1617" s="22" t="n"/>
      <c r="F1617" s="22" t="n"/>
      <c r="G1617" s="22" t="n"/>
      <c r="H1617" s="22" t="n"/>
      <c r="I1617" s="22" t="n"/>
      <c r="J1617" s="22" t="n"/>
      <c r="K1617" s="22" t="n"/>
      <c r="L1617" s="22" t="n"/>
      <c r="M1617" s="22">
        <f>IF(K1617="Override",L1617,IF(K1617="Accept suggestion",F1617,IF(K1617="No change (same URL)",A1617,"")))</f>
        <v/>
      </c>
      <c r="N1617" s="22">
        <f>IF(A1617="","",IF(K1617="410 Gone","410",IF(K1617="404","404",IF(K1617="No change (same URL)","none",IF(M1617="","","301")))))</f>
        <v/>
      </c>
      <c r="O1617" s="22">
        <f>IF(A1617="","",IFERROR(MID(A1617,FIND("/",A1617,FIND("//",A1617)+2),2000),A1617))</f>
        <v/>
      </c>
      <c r="P1617" s="22">
        <f>IF(OR(O1617="",N1617="",N1617="none",N1617="404"),"",IF(N1617="410","Redirect gone "&amp;O1617,"Redirect "&amp;N1617&amp;" "&amp;O1617&amp;" "&amp;M1617))</f>
        <v/>
      </c>
      <c r="Q1617" s="22" t="n"/>
      <c r="R1617" s="22" t="n"/>
      <c r="S1617" s="22" t="n"/>
      <c r="T1617" s="4">
        <f>IF(A1617="","",TRIM(IF(K1617="","Needs decision; ","")&amp;IF(AND(K1617="Accept suggestion",F1617=""),"No suggestion to accept; ","")&amp;IF(AND(K1617="Override",L1617=""),"Override URL missing; ","")&amp;IF(AND(K1617="Accept suggestion",N(G1617)&lt;$G$2),"Below your threshold; ","")&amp;IF(AND(M1617&lt;&gt;"",M1617=A1617,K1617&lt;&gt;"No change (same URL)"),"Redirects to itself; ","")&amp;IF(AND(M1617&lt;&gt;"",OR(M1617="/",AND(LEFT(M1617,4)="http",OR((LEN(M1617)-LEN(SUBSTITUTE(M1617,"/","")))=2,AND((LEN(M1617)-LEN(SUBSTITUTE(M1617,"/","")))=3,RIGHT(M1617,1)="/"))))),"Home page redirect; ","")&amp;IF(N(R1617)&gt;1,"Chain; ","")&amp;IF(S1617="No","Destination not 200; ","")))</f>
        <v/>
      </c>
      <c r="U1617" s="22" t="n"/>
      <c r="V1617" s="22" t="n"/>
      <c r="W1617" s="4" t="n"/>
    </row>
    <row r="1618">
      <c r="A1618" s="22" t="n"/>
      <c r="B1618" s="22" t="n"/>
      <c r="C1618" s="22" t="n"/>
      <c r="D1618" s="22">
        <f>IF(A1618="","",IF(OR(N(B1618)&gt;=$C$2,N(C1618)&gt;=$E$2),"High",IF(OR(N(B1618)&gt;0,N(C1618)&gt;0),"Medium","Low")))</f>
        <v/>
      </c>
      <c r="E1618" s="22" t="n"/>
      <c r="F1618" s="22" t="n"/>
      <c r="G1618" s="22" t="n"/>
      <c r="H1618" s="22" t="n"/>
      <c r="I1618" s="22" t="n"/>
      <c r="J1618" s="22" t="n"/>
      <c r="K1618" s="22" t="n"/>
      <c r="L1618" s="22" t="n"/>
      <c r="M1618" s="22">
        <f>IF(K1618="Override",L1618,IF(K1618="Accept suggestion",F1618,IF(K1618="No change (same URL)",A1618,"")))</f>
        <v/>
      </c>
      <c r="N1618" s="22">
        <f>IF(A1618="","",IF(K1618="410 Gone","410",IF(K1618="404","404",IF(K1618="No change (same URL)","none",IF(M1618="","","301")))))</f>
        <v/>
      </c>
      <c r="O1618" s="22">
        <f>IF(A1618="","",IFERROR(MID(A1618,FIND("/",A1618,FIND("//",A1618)+2),2000),A1618))</f>
        <v/>
      </c>
      <c r="P1618" s="22">
        <f>IF(OR(O1618="",N1618="",N1618="none",N1618="404"),"",IF(N1618="410","Redirect gone "&amp;O1618,"Redirect "&amp;N1618&amp;" "&amp;O1618&amp;" "&amp;M1618))</f>
        <v/>
      </c>
      <c r="Q1618" s="22" t="n"/>
      <c r="R1618" s="22" t="n"/>
      <c r="S1618" s="22" t="n"/>
      <c r="T1618" s="4">
        <f>IF(A1618="","",TRIM(IF(K1618="","Needs decision; ","")&amp;IF(AND(K1618="Accept suggestion",F1618=""),"No suggestion to accept; ","")&amp;IF(AND(K1618="Override",L1618=""),"Override URL missing; ","")&amp;IF(AND(K1618="Accept suggestion",N(G1618)&lt;$G$2),"Below your threshold; ","")&amp;IF(AND(M1618&lt;&gt;"",M1618=A1618,K1618&lt;&gt;"No change (same URL)"),"Redirects to itself; ","")&amp;IF(AND(M1618&lt;&gt;"",OR(M1618="/",AND(LEFT(M1618,4)="http",OR((LEN(M1618)-LEN(SUBSTITUTE(M1618,"/","")))=2,AND((LEN(M1618)-LEN(SUBSTITUTE(M1618,"/","")))=3,RIGHT(M1618,1)="/"))))),"Home page redirect; ","")&amp;IF(N(R1618)&gt;1,"Chain; ","")&amp;IF(S1618="No","Destination not 200; ","")))</f>
        <v/>
      </c>
      <c r="U1618" s="22" t="n"/>
      <c r="V1618" s="22" t="n"/>
      <c r="W1618" s="4" t="n"/>
    </row>
    <row r="1619">
      <c r="A1619" s="22" t="n"/>
      <c r="B1619" s="22" t="n"/>
      <c r="C1619" s="22" t="n"/>
      <c r="D1619" s="22">
        <f>IF(A1619="","",IF(OR(N(B1619)&gt;=$C$2,N(C1619)&gt;=$E$2),"High",IF(OR(N(B1619)&gt;0,N(C1619)&gt;0),"Medium","Low")))</f>
        <v/>
      </c>
      <c r="E1619" s="22" t="n"/>
      <c r="F1619" s="22" t="n"/>
      <c r="G1619" s="22" t="n"/>
      <c r="H1619" s="22" t="n"/>
      <c r="I1619" s="22" t="n"/>
      <c r="J1619" s="22" t="n"/>
      <c r="K1619" s="22" t="n"/>
      <c r="L1619" s="22" t="n"/>
      <c r="M1619" s="22">
        <f>IF(K1619="Override",L1619,IF(K1619="Accept suggestion",F1619,IF(K1619="No change (same URL)",A1619,"")))</f>
        <v/>
      </c>
      <c r="N1619" s="22">
        <f>IF(A1619="","",IF(K1619="410 Gone","410",IF(K1619="404","404",IF(K1619="No change (same URL)","none",IF(M1619="","","301")))))</f>
        <v/>
      </c>
      <c r="O1619" s="22">
        <f>IF(A1619="","",IFERROR(MID(A1619,FIND("/",A1619,FIND("//",A1619)+2),2000),A1619))</f>
        <v/>
      </c>
      <c r="P1619" s="22">
        <f>IF(OR(O1619="",N1619="",N1619="none",N1619="404"),"",IF(N1619="410","Redirect gone "&amp;O1619,"Redirect "&amp;N1619&amp;" "&amp;O1619&amp;" "&amp;M1619))</f>
        <v/>
      </c>
      <c r="Q1619" s="22" t="n"/>
      <c r="R1619" s="22" t="n"/>
      <c r="S1619" s="22" t="n"/>
      <c r="T1619" s="4">
        <f>IF(A1619="","",TRIM(IF(K1619="","Needs decision; ","")&amp;IF(AND(K1619="Accept suggestion",F1619=""),"No suggestion to accept; ","")&amp;IF(AND(K1619="Override",L1619=""),"Override URL missing; ","")&amp;IF(AND(K1619="Accept suggestion",N(G1619)&lt;$G$2),"Below your threshold; ","")&amp;IF(AND(M1619&lt;&gt;"",M1619=A1619,K1619&lt;&gt;"No change (same URL)"),"Redirects to itself; ","")&amp;IF(AND(M1619&lt;&gt;"",OR(M1619="/",AND(LEFT(M1619,4)="http",OR((LEN(M1619)-LEN(SUBSTITUTE(M1619,"/","")))=2,AND((LEN(M1619)-LEN(SUBSTITUTE(M1619,"/","")))=3,RIGHT(M1619,1)="/"))))),"Home page redirect; ","")&amp;IF(N(R1619)&gt;1,"Chain; ","")&amp;IF(S1619="No","Destination not 200; ","")))</f>
        <v/>
      </c>
      <c r="U1619" s="22" t="n"/>
      <c r="V1619" s="22" t="n"/>
      <c r="W1619" s="4" t="n"/>
    </row>
    <row r="1620">
      <c r="A1620" s="22" t="n"/>
      <c r="B1620" s="22" t="n"/>
      <c r="C1620" s="22" t="n"/>
      <c r="D1620" s="22">
        <f>IF(A1620="","",IF(OR(N(B1620)&gt;=$C$2,N(C1620)&gt;=$E$2),"High",IF(OR(N(B1620)&gt;0,N(C1620)&gt;0),"Medium","Low")))</f>
        <v/>
      </c>
      <c r="E1620" s="22" t="n"/>
      <c r="F1620" s="22" t="n"/>
      <c r="G1620" s="22" t="n"/>
      <c r="H1620" s="22" t="n"/>
      <c r="I1620" s="22" t="n"/>
      <c r="J1620" s="22" t="n"/>
      <c r="K1620" s="22" t="n"/>
      <c r="L1620" s="22" t="n"/>
      <c r="M1620" s="22">
        <f>IF(K1620="Override",L1620,IF(K1620="Accept suggestion",F1620,IF(K1620="No change (same URL)",A1620,"")))</f>
        <v/>
      </c>
      <c r="N1620" s="22">
        <f>IF(A1620="","",IF(K1620="410 Gone","410",IF(K1620="404","404",IF(K1620="No change (same URL)","none",IF(M1620="","","301")))))</f>
        <v/>
      </c>
      <c r="O1620" s="22">
        <f>IF(A1620="","",IFERROR(MID(A1620,FIND("/",A1620,FIND("//",A1620)+2),2000),A1620))</f>
        <v/>
      </c>
      <c r="P1620" s="22">
        <f>IF(OR(O1620="",N1620="",N1620="none",N1620="404"),"",IF(N1620="410","Redirect gone "&amp;O1620,"Redirect "&amp;N1620&amp;" "&amp;O1620&amp;" "&amp;M1620))</f>
        <v/>
      </c>
      <c r="Q1620" s="22" t="n"/>
      <c r="R1620" s="22" t="n"/>
      <c r="S1620" s="22" t="n"/>
      <c r="T1620" s="4">
        <f>IF(A1620="","",TRIM(IF(K1620="","Needs decision; ","")&amp;IF(AND(K1620="Accept suggestion",F1620=""),"No suggestion to accept; ","")&amp;IF(AND(K1620="Override",L1620=""),"Override URL missing; ","")&amp;IF(AND(K1620="Accept suggestion",N(G1620)&lt;$G$2),"Below your threshold; ","")&amp;IF(AND(M1620&lt;&gt;"",M1620=A1620,K1620&lt;&gt;"No change (same URL)"),"Redirects to itself; ","")&amp;IF(AND(M1620&lt;&gt;"",OR(M1620="/",AND(LEFT(M1620,4)="http",OR((LEN(M1620)-LEN(SUBSTITUTE(M1620,"/","")))=2,AND((LEN(M1620)-LEN(SUBSTITUTE(M1620,"/","")))=3,RIGHT(M1620,1)="/"))))),"Home page redirect; ","")&amp;IF(N(R1620)&gt;1,"Chain; ","")&amp;IF(S1620="No","Destination not 200; ","")))</f>
        <v/>
      </c>
      <c r="U1620" s="22" t="n"/>
      <c r="V1620" s="22" t="n"/>
      <c r="W1620" s="4" t="n"/>
    </row>
    <row r="1621">
      <c r="A1621" s="22" t="n"/>
      <c r="B1621" s="22" t="n"/>
      <c r="C1621" s="22" t="n"/>
      <c r="D1621" s="22">
        <f>IF(A1621="","",IF(OR(N(B1621)&gt;=$C$2,N(C1621)&gt;=$E$2),"High",IF(OR(N(B1621)&gt;0,N(C1621)&gt;0),"Medium","Low")))</f>
        <v/>
      </c>
      <c r="E1621" s="22" t="n"/>
      <c r="F1621" s="22" t="n"/>
      <c r="G1621" s="22" t="n"/>
      <c r="H1621" s="22" t="n"/>
      <c r="I1621" s="22" t="n"/>
      <c r="J1621" s="22" t="n"/>
      <c r="K1621" s="22" t="n"/>
      <c r="L1621" s="22" t="n"/>
      <c r="M1621" s="22">
        <f>IF(K1621="Override",L1621,IF(K1621="Accept suggestion",F1621,IF(K1621="No change (same URL)",A1621,"")))</f>
        <v/>
      </c>
      <c r="N1621" s="22">
        <f>IF(A1621="","",IF(K1621="410 Gone","410",IF(K1621="404","404",IF(K1621="No change (same URL)","none",IF(M1621="","","301")))))</f>
        <v/>
      </c>
      <c r="O1621" s="22">
        <f>IF(A1621="","",IFERROR(MID(A1621,FIND("/",A1621,FIND("//",A1621)+2),2000),A1621))</f>
        <v/>
      </c>
      <c r="P1621" s="22">
        <f>IF(OR(O1621="",N1621="",N1621="none",N1621="404"),"",IF(N1621="410","Redirect gone "&amp;O1621,"Redirect "&amp;N1621&amp;" "&amp;O1621&amp;" "&amp;M1621))</f>
        <v/>
      </c>
      <c r="Q1621" s="22" t="n"/>
      <c r="R1621" s="22" t="n"/>
      <c r="S1621" s="22" t="n"/>
      <c r="T1621" s="4">
        <f>IF(A1621="","",TRIM(IF(K1621="","Needs decision; ","")&amp;IF(AND(K1621="Accept suggestion",F1621=""),"No suggestion to accept; ","")&amp;IF(AND(K1621="Override",L1621=""),"Override URL missing; ","")&amp;IF(AND(K1621="Accept suggestion",N(G1621)&lt;$G$2),"Below your threshold; ","")&amp;IF(AND(M1621&lt;&gt;"",M1621=A1621,K1621&lt;&gt;"No change (same URL)"),"Redirects to itself; ","")&amp;IF(AND(M1621&lt;&gt;"",OR(M1621="/",AND(LEFT(M1621,4)="http",OR((LEN(M1621)-LEN(SUBSTITUTE(M1621,"/","")))=2,AND((LEN(M1621)-LEN(SUBSTITUTE(M1621,"/","")))=3,RIGHT(M1621,1)="/"))))),"Home page redirect; ","")&amp;IF(N(R1621)&gt;1,"Chain; ","")&amp;IF(S1621="No","Destination not 200; ","")))</f>
        <v/>
      </c>
      <c r="U1621" s="22" t="n"/>
      <c r="V1621" s="22" t="n"/>
      <c r="W1621" s="4" t="n"/>
    </row>
    <row r="1622">
      <c r="A1622" s="22" t="n"/>
      <c r="B1622" s="22" t="n"/>
      <c r="C1622" s="22" t="n"/>
      <c r="D1622" s="22">
        <f>IF(A1622="","",IF(OR(N(B1622)&gt;=$C$2,N(C1622)&gt;=$E$2),"High",IF(OR(N(B1622)&gt;0,N(C1622)&gt;0),"Medium","Low")))</f>
        <v/>
      </c>
      <c r="E1622" s="22" t="n"/>
      <c r="F1622" s="22" t="n"/>
      <c r="G1622" s="22" t="n"/>
      <c r="H1622" s="22" t="n"/>
      <c r="I1622" s="22" t="n"/>
      <c r="J1622" s="22" t="n"/>
      <c r="K1622" s="22" t="n"/>
      <c r="L1622" s="22" t="n"/>
      <c r="M1622" s="22">
        <f>IF(K1622="Override",L1622,IF(K1622="Accept suggestion",F1622,IF(K1622="No change (same URL)",A1622,"")))</f>
        <v/>
      </c>
      <c r="N1622" s="22">
        <f>IF(A1622="","",IF(K1622="410 Gone","410",IF(K1622="404","404",IF(K1622="No change (same URL)","none",IF(M1622="","","301")))))</f>
        <v/>
      </c>
      <c r="O1622" s="22">
        <f>IF(A1622="","",IFERROR(MID(A1622,FIND("/",A1622,FIND("//",A1622)+2),2000),A1622))</f>
        <v/>
      </c>
      <c r="P1622" s="22">
        <f>IF(OR(O1622="",N1622="",N1622="none",N1622="404"),"",IF(N1622="410","Redirect gone "&amp;O1622,"Redirect "&amp;N1622&amp;" "&amp;O1622&amp;" "&amp;M1622))</f>
        <v/>
      </c>
      <c r="Q1622" s="22" t="n"/>
      <c r="R1622" s="22" t="n"/>
      <c r="S1622" s="22" t="n"/>
      <c r="T1622" s="4">
        <f>IF(A1622="","",TRIM(IF(K1622="","Needs decision; ","")&amp;IF(AND(K1622="Accept suggestion",F1622=""),"No suggestion to accept; ","")&amp;IF(AND(K1622="Override",L1622=""),"Override URL missing; ","")&amp;IF(AND(K1622="Accept suggestion",N(G1622)&lt;$G$2),"Below your threshold; ","")&amp;IF(AND(M1622&lt;&gt;"",M1622=A1622,K1622&lt;&gt;"No change (same URL)"),"Redirects to itself; ","")&amp;IF(AND(M1622&lt;&gt;"",OR(M1622="/",AND(LEFT(M1622,4)="http",OR((LEN(M1622)-LEN(SUBSTITUTE(M1622,"/","")))=2,AND((LEN(M1622)-LEN(SUBSTITUTE(M1622,"/","")))=3,RIGHT(M1622,1)="/"))))),"Home page redirect; ","")&amp;IF(N(R1622)&gt;1,"Chain; ","")&amp;IF(S1622="No","Destination not 200; ","")))</f>
        <v/>
      </c>
      <c r="U1622" s="22" t="n"/>
      <c r="V1622" s="22" t="n"/>
      <c r="W1622" s="4" t="n"/>
    </row>
    <row r="1623">
      <c r="A1623" s="22" t="n"/>
      <c r="B1623" s="22" t="n"/>
      <c r="C1623" s="22" t="n"/>
      <c r="D1623" s="22">
        <f>IF(A1623="","",IF(OR(N(B1623)&gt;=$C$2,N(C1623)&gt;=$E$2),"High",IF(OR(N(B1623)&gt;0,N(C1623)&gt;0),"Medium","Low")))</f>
        <v/>
      </c>
      <c r="E1623" s="22" t="n"/>
      <c r="F1623" s="22" t="n"/>
      <c r="G1623" s="22" t="n"/>
      <c r="H1623" s="22" t="n"/>
      <c r="I1623" s="22" t="n"/>
      <c r="J1623" s="22" t="n"/>
      <c r="K1623" s="22" t="n"/>
      <c r="L1623" s="22" t="n"/>
      <c r="M1623" s="22">
        <f>IF(K1623="Override",L1623,IF(K1623="Accept suggestion",F1623,IF(K1623="No change (same URL)",A1623,"")))</f>
        <v/>
      </c>
      <c r="N1623" s="22">
        <f>IF(A1623="","",IF(K1623="410 Gone","410",IF(K1623="404","404",IF(K1623="No change (same URL)","none",IF(M1623="","","301")))))</f>
        <v/>
      </c>
      <c r="O1623" s="22">
        <f>IF(A1623="","",IFERROR(MID(A1623,FIND("/",A1623,FIND("//",A1623)+2),2000),A1623))</f>
        <v/>
      </c>
      <c r="P1623" s="22">
        <f>IF(OR(O1623="",N1623="",N1623="none",N1623="404"),"",IF(N1623="410","Redirect gone "&amp;O1623,"Redirect "&amp;N1623&amp;" "&amp;O1623&amp;" "&amp;M1623))</f>
        <v/>
      </c>
      <c r="Q1623" s="22" t="n"/>
      <c r="R1623" s="22" t="n"/>
      <c r="S1623" s="22" t="n"/>
      <c r="T1623" s="4">
        <f>IF(A1623="","",TRIM(IF(K1623="","Needs decision; ","")&amp;IF(AND(K1623="Accept suggestion",F1623=""),"No suggestion to accept; ","")&amp;IF(AND(K1623="Override",L1623=""),"Override URL missing; ","")&amp;IF(AND(K1623="Accept suggestion",N(G1623)&lt;$G$2),"Below your threshold; ","")&amp;IF(AND(M1623&lt;&gt;"",M1623=A1623,K1623&lt;&gt;"No change (same URL)"),"Redirects to itself; ","")&amp;IF(AND(M1623&lt;&gt;"",OR(M1623="/",AND(LEFT(M1623,4)="http",OR((LEN(M1623)-LEN(SUBSTITUTE(M1623,"/","")))=2,AND((LEN(M1623)-LEN(SUBSTITUTE(M1623,"/","")))=3,RIGHT(M1623,1)="/"))))),"Home page redirect; ","")&amp;IF(N(R1623)&gt;1,"Chain; ","")&amp;IF(S1623="No","Destination not 200; ","")))</f>
        <v/>
      </c>
      <c r="U1623" s="22" t="n"/>
      <c r="V1623" s="22" t="n"/>
      <c r="W1623" s="4" t="n"/>
    </row>
    <row r="1624">
      <c r="A1624" s="22" t="n"/>
      <c r="B1624" s="22" t="n"/>
      <c r="C1624" s="22" t="n"/>
      <c r="D1624" s="22">
        <f>IF(A1624="","",IF(OR(N(B1624)&gt;=$C$2,N(C1624)&gt;=$E$2),"High",IF(OR(N(B1624)&gt;0,N(C1624)&gt;0),"Medium","Low")))</f>
        <v/>
      </c>
      <c r="E1624" s="22" t="n"/>
      <c r="F1624" s="22" t="n"/>
      <c r="G1624" s="22" t="n"/>
      <c r="H1624" s="22" t="n"/>
      <c r="I1624" s="22" t="n"/>
      <c r="J1624" s="22" t="n"/>
      <c r="K1624" s="22" t="n"/>
      <c r="L1624" s="22" t="n"/>
      <c r="M1624" s="22">
        <f>IF(K1624="Override",L1624,IF(K1624="Accept suggestion",F1624,IF(K1624="No change (same URL)",A1624,"")))</f>
        <v/>
      </c>
      <c r="N1624" s="22">
        <f>IF(A1624="","",IF(K1624="410 Gone","410",IF(K1624="404","404",IF(K1624="No change (same URL)","none",IF(M1624="","","301")))))</f>
        <v/>
      </c>
      <c r="O1624" s="22">
        <f>IF(A1624="","",IFERROR(MID(A1624,FIND("/",A1624,FIND("//",A1624)+2),2000),A1624))</f>
        <v/>
      </c>
      <c r="P1624" s="22">
        <f>IF(OR(O1624="",N1624="",N1624="none",N1624="404"),"",IF(N1624="410","Redirect gone "&amp;O1624,"Redirect "&amp;N1624&amp;" "&amp;O1624&amp;" "&amp;M1624))</f>
        <v/>
      </c>
      <c r="Q1624" s="22" t="n"/>
      <c r="R1624" s="22" t="n"/>
      <c r="S1624" s="22" t="n"/>
      <c r="T1624" s="4">
        <f>IF(A1624="","",TRIM(IF(K1624="","Needs decision; ","")&amp;IF(AND(K1624="Accept suggestion",F1624=""),"No suggestion to accept; ","")&amp;IF(AND(K1624="Override",L1624=""),"Override URL missing; ","")&amp;IF(AND(K1624="Accept suggestion",N(G1624)&lt;$G$2),"Below your threshold; ","")&amp;IF(AND(M1624&lt;&gt;"",M1624=A1624,K1624&lt;&gt;"No change (same URL)"),"Redirects to itself; ","")&amp;IF(AND(M1624&lt;&gt;"",OR(M1624="/",AND(LEFT(M1624,4)="http",OR((LEN(M1624)-LEN(SUBSTITUTE(M1624,"/","")))=2,AND((LEN(M1624)-LEN(SUBSTITUTE(M1624,"/","")))=3,RIGHT(M1624,1)="/"))))),"Home page redirect; ","")&amp;IF(N(R1624)&gt;1,"Chain; ","")&amp;IF(S1624="No","Destination not 200; ","")))</f>
        <v/>
      </c>
      <c r="U1624" s="22" t="n"/>
      <c r="V1624" s="22" t="n"/>
      <c r="W1624" s="4" t="n"/>
    </row>
    <row r="1625">
      <c r="A1625" s="22" t="n"/>
      <c r="B1625" s="22" t="n"/>
      <c r="C1625" s="22" t="n"/>
      <c r="D1625" s="22">
        <f>IF(A1625="","",IF(OR(N(B1625)&gt;=$C$2,N(C1625)&gt;=$E$2),"High",IF(OR(N(B1625)&gt;0,N(C1625)&gt;0),"Medium","Low")))</f>
        <v/>
      </c>
      <c r="E1625" s="22" t="n"/>
      <c r="F1625" s="22" t="n"/>
      <c r="G1625" s="22" t="n"/>
      <c r="H1625" s="22" t="n"/>
      <c r="I1625" s="22" t="n"/>
      <c r="J1625" s="22" t="n"/>
      <c r="K1625" s="22" t="n"/>
      <c r="L1625" s="22" t="n"/>
      <c r="M1625" s="22">
        <f>IF(K1625="Override",L1625,IF(K1625="Accept suggestion",F1625,IF(K1625="No change (same URL)",A1625,"")))</f>
        <v/>
      </c>
      <c r="N1625" s="22">
        <f>IF(A1625="","",IF(K1625="410 Gone","410",IF(K1625="404","404",IF(K1625="No change (same URL)","none",IF(M1625="","","301")))))</f>
        <v/>
      </c>
      <c r="O1625" s="22">
        <f>IF(A1625="","",IFERROR(MID(A1625,FIND("/",A1625,FIND("//",A1625)+2),2000),A1625))</f>
        <v/>
      </c>
      <c r="P1625" s="22">
        <f>IF(OR(O1625="",N1625="",N1625="none",N1625="404"),"",IF(N1625="410","Redirect gone "&amp;O1625,"Redirect "&amp;N1625&amp;" "&amp;O1625&amp;" "&amp;M1625))</f>
        <v/>
      </c>
      <c r="Q1625" s="22" t="n"/>
      <c r="R1625" s="22" t="n"/>
      <c r="S1625" s="22" t="n"/>
      <c r="T1625" s="4">
        <f>IF(A1625="","",TRIM(IF(K1625="","Needs decision; ","")&amp;IF(AND(K1625="Accept suggestion",F1625=""),"No suggestion to accept; ","")&amp;IF(AND(K1625="Override",L1625=""),"Override URL missing; ","")&amp;IF(AND(K1625="Accept suggestion",N(G1625)&lt;$G$2),"Below your threshold; ","")&amp;IF(AND(M1625&lt;&gt;"",M1625=A1625,K1625&lt;&gt;"No change (same URL)"),"Redirects to itself; ","")&amp;IF(AND(M1625&lt;&gt;"",OR(M1625="/",AND(LEFT(M1625,4)="http",OR((LEN(M1625)-LEN(SUBSTITUTE(M1625,"/","")))=2,AND((LEN(M1625)-LEN(SUBSTITUTE(M1625,"/","")))=3,RIGHT(M1625,1)="/"))))),"Home page redirect; ","")&amp;IF(N(R1625)&gt;1,"Chain; ","")&amp;IF(S1625="No","Destination not 200; ","")))</f>
        <v/>
      </c>
      <c r="U1625" s="22" t="n"/>
      <c r="V1625" s="22" t="n"/>
      <c r="W1625" s="4" t="n"/>
    </row>
    <row r="1626">
      <c r="A1626" s="22" t="n"/>
      <c r="B1626" s="22" t="n"/>
      <c r="C1626" s="22" t="n"/>
      <c r="D1626" s="22">
        <f>IF(A1626="","",IF(OR(N(B1626)&gt;=$C$2,N(C1626)&gt;=$E$2),"High",IF(OR(N(B1626)&gt;0,N(C1626)&gt;0),"Medium","Low")))</f>
        <v/>
      </c>
      <c r="E1626" s="22" t="n"/>
      <c r="F1626" s="22" t="n"/>
      <c r="G1626" s="22" t="n"/>
      <c r="H1626" s="22" t="n"/>
      <c r="I1626" s="22" t="n"/>
      <c r="J1626" s="22" t="n"/>
      <c r="K1626" s="22" t="n"/>
      <c r="L1626" s="22" t="n"/>
      <c r="M1626" s="22">
        <f>IF(K1626="Override",L1626,IF(K1626="Accept suggestion",F1626,IF(K1626="No change (same URL)",A1626,"")))</f>
        <v/>
      </c>
      <c r="N1626" s="22">
        <f>IF(A1626="","",IF(K1626="410 Gone","410",IF(K1626="404","404",IF(K1626="No change (same URL)","none",IF(M1626="","","301")))))</f>
        <v/>
      </c>
      <c r="O1626" s="22">
        <f>IF(A1626="","",IFERROR(MID(A1626,FIND("/",A1626,FIND("//",A1626)+2),2000),A1626))</f>
        <v/>
      </c>
      <c r="P1626" s="22">
        <f>IF(OR(O1626="",N1626="",N1626="none",N1626="404"),"",IF(N1626="410","Redirect gone "&amp;O1626,"Redirect "&amp;N1626&amp;" "&amp;O1626&amp;" "&amp;M1626))</f>
        <v/>
      </c>
      <c r="Q1626" s="22" t="n"/>
      <c r="R1626" s="22" t="n"/>
      <c r="S1626" s="22" t="n"/>
      <c r="T1626" s="4">
        <f>IF(A1626="","",TRIM(IF(K1626="","Needs decision; ","")&amp;IF(AND(K1626="Accept suggestion",F1626=""),"No suggestion to accept; ","")&amp;IF(AND(K1626="Override",L1626=""),"Override URL missing; ","")&amp;IF(AND(K1626="Accept suggestion",N(G1626)&lt;$G$2),"Below your threshold; ","")&amp;IF(AND(M1626&lt;&gt;"",M1626=A1626,K1626&lt;&gt;"No change (same URL)"),"Redirects to itself; ","")&amp;IF(AND(M1626&lt;&gt;"",OR(M1626="/",AND(LEFT(M1626,4)="http",OR((LEN(M1626)-LEN(SUBSTITUTE(M1626,"/","")))=2,AND((LEN(M1626)-LEN(SUBSTITUTE(M1626,"/","")))=3,RIGHT(M1626,1)="/"))))),"Home page redirect; ","")&amp;IF(N(R1626)&gt;1,"Chain; ","")&amp;IF(S1626="No","Destination not 200; ","")))</f>
        <v/>
      </c>
      <c r="U1626" s="22" t="n"/>
      <c r="V1626" s="22" t="n"/>
      <c r="W1626" s="4" t="n"/>
    </row>
    <row r="1627">
      <c r="A1627" s="22" t="n"/>
      <c r="B1627" s="22" t="n"/>
      <c r="C1627" s="22" t="n"/>
      <c r="D1627" s="22">
        <f>IF(A1627="","",IF(OR(N(B1627)&gt;=$C$2,N(C1627)&gt;=$E$2),"High",IF(OR(N(B1627)&gt;0,N(C1627)&gt;0),"Medium","Low")))</f>
        <v/>
      </c>
      <c r="E1627" s="22" t="n"/>
      <c r="F1627" s="22" t="n"/>
      <c r="G1627" s="22" t="n"/>
      <c r="H1627" s="22" t="n"/>
      <c r="I1627" s="22" t="n"/>
      <c r="J1627" s="22" t="n"/>
      <c r="K1627" s="22" t="n"/>
      <c r="L1627" s="22" t="n"/>
      <c r="M1627" s="22">
        <f>IF(K1627="Override",L1627,IF(K1627="Accept suggestion",F1627,IF(K1627="No change (same URL)",A1627,"")))</f>
        <v/>
      </c>
      <c r="N1627" s="22">
        <f>IF(A1627="","",IF(K1627="410 Gone","410",IF(K1627="404","404",IF(K1627="No change (same URL)","none",IF(M1627="","","301")))))</f>
        <v/>
      </c>
      <c r="O1627" s="22">
        <f>IF(A1627="","",IFERROR(MID(A1627,FIND("/",A1627,FIND("//",A1627)+2),2000),A1627))</f>
        <v/>
      </c>
      <c r="P1627" s="22">
        <f>IF(OR(O1627="",N1627="",N1627="none",N1627="404"),"",IF(N1627="410","Redirect gone "&amp;O1627,"Redirect "&amp;N1627&amp;" "&amp;O1627&amp;" "&amp;M1627))</f>
        <v/>
      </c>
      <c r="Q1627" s="22" t="n"/>
      <c r="R1627" s="22" t="n"/>
      <c r="S1627" s="22" t="n"/>
      <c r="T1627" s="4">
        <f>IF(A1627="","",TRIM(IF(K1627="","Needs decision; ","")&amp;IF(AND(K1627="Accept suggestion",F1627=""),"No suggestion to accept; ","")&amp;IF(AND(K1627="Override",L1627=""),"Override URL missing; ","")&amp;IF(AND(K1627="Accept suggestion",N(G1627)&lt;$G$2),"Below your threshold; ","")&amp;IF(AND(M1627&lt;&gt;"",M1627=A1627,K1627&lt;&gt;"No change (same URL)"),"Redirects to itself; ","")&amp;IF(AND(M1627&lt;&gt;"",OR(M1627="/",AND(LEFT(M1627,4)="http",OR((LEN(M1627)-LEN(SUBSTITUTE(M1627,"/","")))=2,AND((LEN(M1627)-LEN(SUBSTITUTE(M1627,"/","")))=3,RIGHT(M1627,1)="/"))))),"Home page redirect; ","")&amp;IF(N(R1627)&gt;1,"Chain; ","")&amp;IF(S1627="No","Destination not 200; ","")))</f>
        <v/>
      </c>
      <c r="U1627" s="22" t="n"/>
      <c r="V1627" s="22" t="n"/>
      <c r="W1627" s="4" t="n"/>
    </row>
    <row r="1628">
      <c r="A1628" s="22" t="n"/>
      <c r="B1628" s="22" t="n"/>
      <c r="C1628" s="22" t="n"/>
      <c r="D1628" s="22">
        <f>IF(A1628="","",IF(OR(N(B1628)&gt;=$C$2,N(C1628)&gt;=$E$2),"High",IF(OR(N(B1628)&gt;0,N(C1628)&gt;0),"Medium","Low")))</f>
        <v/>
      </c>
      <c r="E1628" s="22" t="n"/>
      <c r="F1628" s="22" t="n"/>
      <c r="G1628" s="22" t="n"/>
      <c r="H1628" s="22" t="n"/>
      <c r="I1628" s="22" t="n"/>
      <c r="J1628" s="22" t="n"/>
      <c r="K1628" s="22" t="n"/>
      <c r="L1628" s="22" t="n"/>
      <c r="M1628" s="22">
        <f>IF(K1628="Override",L1628,IF(K1628="Accept suggestion",F1628,IF(K1628="No change (same URL)",A1628,"")))</f>
        <v/>
      </c>
      <c r="N1628" s="22">
        <f>IF(A1628="","",IF(K1628="410 Gone","410",IF(K1628="404","404",IF(K1628="No change (same URL)","none",IF(M1628="","","301")))))</f>
        <v/>
      </c>
      <c r="O1628" s="22">
        <f>IF(A1628="","",IFERROR(MID(A1628,FIND("/",A1628,FIND("//",A1628)+2),2000),A1628))</f>
        <v/>
      </c>
      <c r="P1628" s="22">
        <f>IF(OR(O1628="",N1628="",N1628="none",N1628="404"),"",IF(N1628="410","Redirect gone "&amp;O1628,"Redirect "&amp;N1628&amp;" "&amp;O1628&amp;" "&amp;M1628))</f>
        <v/>
      </c>
      <c r="Q1628" s="22" t="n"/>
      <c r="R1628" s="22" t="n"/>
      <c r="S1628" s="22" t="n"/>
      <c r="T1628" s="4">
        <f>IF(A1628="","",TRIM(IF(K1628="","Needs decision; ","")&amp;IF(AND(K1628="Accept suggestion",F1628=""),"No suggestion to accept; ","")&amp;IF(AND(K1628="Override",L1628=""),"Override URL missing; ","")&amp;IF(AND(K1628="Accept suggestion",N(G1628)&lt;$G$2),"Below your threshold; ","")&amp;IF(AND(M1628&lt;&gt;"",M1628=A1628,K1628&lt;&gt;"No change (same URL)"),"Redirects to itself; ","")&amp;IF(AND(M1628&lt;&gt;"",OR(M1628="/",AND(LEFT(M1628,4)="http",OR((LEN(M1628)-LEN(SUBSTITUTE(M1628,"/","")))=2,AND((LEN(M1628)-LEN(SUBSTITUTE(M1628,"/","")))=3,RIGHT(M1628,1)="/"))))),"Home page redirect; ","")&amp;IF(N(R1628)&gt;1,"Chain; ","")&amp;IF(S1628="No","Destination not 200; ","")))</f>
        <v/>
      </c>
      <c r="U1628" s="22" t="n"/>
      <c r="V1628" s="22" t="n"/>
      <c r="W1628" s="4" t="n"/>
    </row>
    <row r="1629">
      <c r="A1629" s="22" t="n"/>
      <c r="B1629" s="22" t="n"/>
      <c r="C1629" s="22" t="n"/>
      <c r="D1629" s="22">
        <f>IF(A1629="","",IF(OR(N(B1629)&gt;=$C$2,N(C1629)&gt;=$E$2),"High",IF(OR(N(B1629)&gt;0,N(C1629)&gt;0),"Medium","Low")))</f>
        <v/>
      </c>
      <c r="E1629" s="22" t="n"/>
      <c r="F1629" s="22" t="n"/>
      <c r="G1629" s="22" t="n"/>
      <c r="H1629" s="22" t="n"/>
      <c r="I1629" s="22" t="n"/>
      <c r="J1629" s="22" t="n"/>
      <c r="K1629" s="22" t="n"/>
      <c r="L1629" s="22" t="n"/>
      <c r="M1629" s="22">
        <f>IF(K1629="Override",L1629,IF(K1629="Accept suggestion",F1629,IF(K1629="No change (same URL)",A1629,"")))</f>
        <v/>
      </c>
      <c r="N1629" s="22">
        <f>IF(A1629="","",IF(K1629="410 Gone","410",IF(K1629="404","404",IF(K1629="No change (same URL)","none",IF(M1629="","","301")))))</f>
        <v/>
      </c>
      <c r="O1629" s="22">
        <f>IF(A1629="","",IFERROR(MID(A1629,FIND("/",A1629,FIND("//",A1629)+2),2000),A1629))</f>
        <v/>
      </c>
      <c r="P1629" s="22">
        <f>IF(OR(O1629="",N1629="",N1629="none",N1629="404"),"",IF(N1629="410","Redirect gone "&amp;O1629,"Redirect "&amp;N1629&amp;" "&amp;O1629&amp;" "&amp;M1629))</f>
        <v/>
      </c>
      <c r="Q1629" s="22" t="n"/>
      <c r="R1629" s="22" t="n"/>
      <c r="S1629" s="22" t="n"/>
      <c r="T1629" s="4">
        <f>IF(A1629="","",TRIM(IF(K1629="","Needs decision; ","")&amp;IF(AND(K1629="Accept suggestion",F1629=""),"No suggestion to accept; ","")&amp;IF(AND(K1629="Override",L1629=""),"Override URL missing; ","")&amp;IF(AND(K1629="Accept suggestion",N(G1629)&lt;$G$2),"Below your threshold; ","")&amp;IF(AND(M1629&lt;&gt;"",M1629=A1629,K1629&lt;&gt;"No change (same URL)"),"Redirects to itself; ","")&amp;IF(AND(M1629&lt;&gt;"",OR(M1629="/",AND(LEFT(M1629,4)="http",OR((LEN(M1629)-LEN(SUBSTITUTE(M1629,"/","")))=2,AND((LEN(M1629)-LEN(SUBSTITUTE(M1629,"/","")))=3,RIGHT(M1629,1)="/"))))),"Home page redirect; ","")&amp;IF(N(R1629)&gt;1,"Chain; ","")&amp;IF(S1629="No","Destination not 200; ","")))</f>
        <v/>
      </c>
      <c r="U1629" s="22" t="n"/>
      <c r="V1629" s="22" t="n"/>
      <c r="W1629" s="4" t="n"/>
    </row>
    <row r="1630">
      <c r="A1630" s="22" t="n"/>
      <c r="B1630" s="22" t="n"/>
      <c r="C1630" s="22" t="n"/>
      <c r="D1630" s="22">
        <f>IF(A1630="","",IF(OR(N(B1630)&gt;=$C$2,N(C1630)&gt;=$E$2),"High",IF(OR(N(B1630)&gt;0,N(C1630)&gt;0),"Medium","Low")))</f>
        <v/>
      </c>
      <c r="E1630" s="22" t="n"/>
      <c r="F1630" s="22" t="n"/>
      <c r="G1630" s="22" t="n"/>
      <c r="H1630" s="22" t="n"/>
      <c r="I1630" s="22" t="n"/>
      <c r="J1630" s="22" t="n"/>
      <c r="K1630" s="22" t="n"/>
      <c r="L1630" s="22" t="n"/>
      <c r="M1630" s="22">
        <f>IF(K1630="Override",L1630,IF(K1630="Accept suggestion",F1630,IF(K1630="No change (same URL)",A1630,"")))</f>
        <v/>
      </c>
      <c r="N1630" s="22">
        <f>IF(A1630="","",IF(K1630="410 Gone","410",IF(K1630="404","404",IF(K1630="No change (same URL)","none",IF(M1630="","","301")))))</f>
        <v/>
      </c>
      <c r="O1630" s="22">
        <f>IF(A1630="","",IFERROR(MID(A1630,FIND("/",A1630,FIND("//",A1630)+2),2000),A1630))</f>
        <v/>
      </c>
      <c r="P1630" s="22">
        <f>IF(OR(O1630="",N1630="",N1630="none",N1630="404"),"",IF(N1630="410","Redirect gone "&amp;O1630,"Redirect "&amp;N1630&amp;" "&amp;O1630&amp;" "&amp;M1630))</f>
        <v/>
      </c>
      <c r="Q1630" s="22" t="n"/>
      <c r="R1630" s="22" t="n"/>
      <c r="S1630" s="22" t="n"/>
      <c r="T1630" s="4">
        <f>IF(A1630="","",TRIM(IF(K1630="","Needs decision; ","")&amp;IF(AND(K1630="Accept suggestion",F1630=""),"No suggestion to accept; ","")&amp;IF(AND(K1630="Override",L1630=""),"Override URL missing; ","")&amp;IF(AND(K1630="Accept suggestion",N(G1630)&lt;$G$2),"Below your threshold; ","")&amp;IF(AND(M1630&lt;&gt;"",M1630=A1630,K1630&lt;&gt;"No change (same URL)"),"Redirects to itself; ","")&amp;IF(AND(M1630&lt;&gt;"",OR(M1630="/",AND(LEFT(M1630,4)="http",OR((LEN(M1630)-LEN(SUBSTITUTE(M1630,"/","")))=2,AND((LEN(M1630)-LEN(SUBSTITUTE(M1630,"/","")))=3,RIGHT(M1630,1)="/"))))),"Home page redirect; ","")&amp;IF(N(R1630)&gt;1,"Chain; ","")&amp;IF(S1630="No","Destination not 200; ","")))</f>
        <v/>
      </c>
      <c r="U1630" s="22" t="n"/>
      <c r="V1630" s="22" t="n"/>
      <c r="W1630" s="4" t="n"/>
    </row>
    <row r="1631">
      <c r="A1631" s="22" t="n"/>
      <c r="B1631" s="22" t="n"/>
      <c r="C1631" s="22" t="n"/>
      <c r="D1631" s="22">
        <f>IF(A1631="","",IF(OR(N(B1631)&gt;=$C$2,N(C1631)&gt;=$E$2),"High",IF(OR(N(B1631)&gt;0,N(C1631)&gt;0),"Medium","Low")))</f>
        <v/>
      </c>
      <c r="E1631" s="22" t="n"/>
      <c r="F1631" s="22" t="n"/>
      <c r="G1631" s="22" t="n"/>
      <c r="H1631" s="22" t="n"/>
      <c r="I1631" s="22" t="n"/>
      <c r="J1631" s="22" t="n"/>
      <c r="K1631" s="22" t="n"/>
      <c r="L1631" s="22" t="n"/>
      <c r="M1631" s="22">
        <f>IF(K1631="Override",L1631,IF(K1631="Accept suggestion",F1631,IF(K1631="No change (same URL)",A1631,"")))</f>
        <v/>
      </c>
      <c r="N1631" s="22">
        <f>IF(A1631="","",IF(K1631="410 Gone","410",IF(K1631="404","404",IF(K1631="No change (same URL)","none",IF(M1631="","","301")))))</f>
        <v/>
      </c>
      <c r="O1631" s="22">
        <f>IF(A1631="","",IFERROR(MID(A1631,FIND("/",A1631,FIND("//",A1631)+2),2000),A1631))</f>
        <v/>
      </c>
      <c r="P1631" s="22">
        <f>IF(OR(O1631="",N1631="",N1631="none",N1631="404"),"",IF(N1631="410","Redirect gone "&amp;O1631,"Redirect "&amp;N1631&amp;" "&amp;O1631&amp;" "&amp;M1631))</f>
        <v/>
      </c>
      <c r="Q1631" s="22" t="n"/>
      <c r="R1631" s="22" t="n"/>
      <c r="S1631" s="22" t="n"/>
      <c r="T1631" s="4">
        <f>IF(A1631="","",TRIM(IF(K1631="","Needs decision; ","")&amp;IF(AND(K1631="Accept suggestion",F1631=""),"No suggestion to accept; ","")&amp;IF(AND(K1631="Override",L1631=""),"Override URL missing; ","")&amp;IF(AND(K1631="Accept suggestion",N(G1631)&lt;$G$2),"Below your threshold; ","")&amp;IF(AND(M1631&lt;&gt;"",M1631=A1631,K1631&lt;&gt;"No change (same URL)"),"Redirects to itself; ","")&amp;IF(AND(M1631&lt;&gt;"",OR(M1631="/",AND(LEFT(M1631,4)="http",OR((LEN(M1631)-LEN(SUBSTITUTE(M1631,"/","")))=2,AND((LEN(M1631)-LEN(SUBSTITUTE(M1631,"/","")))=3,RIGHT(M1631,1)="/"))))),"Home page redirect; ","")&amp;IF(N(R1631)&gt;1,"Chain; ","")&amp;IF(S1631="No","Destination not 200; ","")))</f>
        <v/>
      </c>
      <c r="U1631" s="22" t="n"/>
      <c r="V1631" s="22" t="n"/>
      <c r="W1631" s="4" t="n"/>
    </row>
    <row r="1632">
      <c r="A1632" s="22" t="n"/>
      <c r="B1632" s="22" t="n"/>
      <c r="C1632" s="22" t="n"/>
      <c r="D1632" s="22">
        <f>IF(A1632="","",IF(OR(N(B1632)&gt;=$C$2,N(C1632)&gt;=$E$2),"High",IF(OR(N(B1632)&gt;0,N(C1632)&gt;0),"Medium","Low")))</f>
        <v/>
      </c>
      <c r="E1632" s="22" t="n"/>
      <c r="F1632" s="22" t="n"/>
      <c r="G1632" s="22" t="n"/>
      <c r="H1632" s="22" t="n"/>
      <c r="I1632" s="22" t="n"/>
      <c r="J1632" s="22" t="n"/>
      <c r="K1632" s="22" t="n"/>
      <c r="L1632" s="22" t="n"/>
      <c r="M1632" s="22">
        <f>IF(K1632="Override",L1632,IF(K1632="Accept suggestion",F1632,IF(K1632="No change (same URL)",A1632,"")))</f>
        <v/>
      </c>
      <c r="N1632" s="22">
        <f>IF(A1632="","",IF(K1632="410 Gone","410",IF(K1632="404","404",IF(K1632="No change (same URL)","none",IF(M1632="","","301")))))</f>
        <v/>
      </c>
      <c r="O1632" s="22">
        <f>IF(A1632="","",IFERROR(MID(A1632,FIND("/",A1632,FIND("//",A1632)+2),2000),A1632))</f>
        <v/>
      </c>
      <c r="P1632" s="22">
        <f>IF(OR(O1632="",N1632="",N1632="none",N1632="404"),"",IF(N1632="410","Redirect gone "&amp;O1632,"Redirect "&amp;N1632&amp;" "&amp;O1632&amp;" "&amp;M1632))</f>
        <v/>
      </c>
      <c r="Q1632" s="22" t="n"/>
      <c r="R1632" s="22" t="n"/>
      <c r="S1632" s="22" t="n"/>
      <c r="T1632" s="4">
        <f>IF(A1632="","",TRIM(IF(K1632="","Needs decision; ","")&amp;IF(AND(K1632="Accept suggestion",F1632=""),"No suggestion to accept; ","")&amp;IF(AND(K1632="Override",L1632=""),"Override URL missing; ","")&amp;IF(AND(K1632="Accept suggestion",N(G1632)&lt;$G$2),"Below your threshold; ","")&amp;IF(AND(M1632&lt;&gt;"",M1632=A1632,K1632&lt;&gt;"No change (same URL)"),"Redirects to itself; ","")&amp;IF(AND(M1632&lt;&gt;"",OR(M1632="/",AND(LEFT(M1632,4)="http",OR((LEN(M1632)-LEN(SUBSTITUTE(M1632,"/","")))=2,AND((LEN(M1632)-LEN(SUBSTITUTE(M1632,"/","")))=3,RIGHT(M1632,1)="/"))))),"Home page redirect; ","")&amp;IF(N(R1632)&gt;1,"Chain; ","")&amp;IF(S1632="No","Destination not 200; ","")))</f>
        <v/>
      </c>
      <c r="U1632" s="22" t="n"/>
      <c r="V1632" s="22" t="n"/>
      <c r="W1632" s="4" t="n"/>
    </row>
    <row r="1633">
      <c r="A1633" s="22" t="n"/>
      <c r="B1633" s="22" t="n"/>
      <c r="C1633" s="22" t="n"/>
      <c r="D1633" s="22">
        <f>IF(A1633="","",IF(OR(N(B1633)&gt;=$C$2,N(C1633)&gt;=$E$2),"High",IF(OR(N(B1633)&gt;0,N(C1633)&gt;0),"Medium","Low")))</f>
        <v/>
      </c>
      <c r="E1633" s="22" t="n"/>
      <c r="F1633" s="22" t="n"/>
      <c r="G1633" s="22" t="n"/>
      <c r="H1633" s="22" t="n"/>
      <c r="I1633" s="22" t="n"/>
      <c r="J1633" s="22" t="n"/>
      <c r="K1633" s="22" t="n"/>
      <c r="L1633" s="22" t="n"/>
      <c r="M1633" s="22">
        <f>IF(K1633="Override",L1633,IF(K1633="Accept suggestion",F1633,IF(K1633="No change (same URL)",A1633,"")))</f>
        <v/>
      </c>
      <c r="N1633" s="22">
        <f>IF(A1633="","",IF(K1633="410 Gone","410",IF(K1633="404","404",IF(K1633="No change (same URL)","none",IF(M1633="","","301")))))</f>
        <v/>
      </c>
      <c r="O1633" s="22">
        <f>IF(A1633="","",IFERROR(MID(A1633,FIND("/",A1633,FIND("//",A1633)+2),2000),A1633))</f>
        <v/>
      </c>
      <c r="P1633" s="22">
        <f>IF(OR(O1633="",N1633="",N1633="none",N1633="404"),"",IF(N1633="410","Redirect gone "&amp;O1633,"Redirect "&amp;N1633&amp;" "&amp;O1633&amp;" "&amp;M1633))</f>
        <v/>
      </c>
      <c r="Q1633" s="22" t="n"/>
      <c r="R1633" s="22" t="n"/>
      <c r="S1633" s="22" t="n"/>
      <c r="T1633" s="4">
        <f>IF(A1633="","",TRIM(IF(K1633="","Needs decision; ","")&amp;IF(AND(K1633="Accept suggestion",F1633=""),"No suggestion to accept; ","")&amp;IF(AND(K1633="Override",L1633=""),"Override URL missing; ","")&amp;IF(AND(K1633="Accept suggestion",N(G1633)&lt;$G$2),"Below your threshold; ","")&amp;IF(AND(M1633&lt;&gt;"",M1633=A1633,K1633&lt;&gt;"No change (same URL)"),"Redirects to itself; ","")&amp;IF(AND(M1633&lt;&gt;"",OR(M1633="/",AND(LEFT(M1633,4)="http",OR((LEN(M1633)-LEN(SUBSTITUTE(M1633,"/","")))=2,AND((LEN(M1633)-LEN(SUBSTITUTE(M1633,"/","")))=3,RIGHT(M1633,1)="/"))))),"Home page redirect; ","")&amp;IF(N(R1633)&gt;1,"Chain; ","")&amp;IF(S1633="No","Destination not 200; ","")))</f>
        <v/>
      </c>
      <c r="U1633" s="22" t="n"/>
      <c r="V1633" s="22" t="n"/>
      <c r="W1633" s="4" t="n"/>
    </row>
    <row r="1634">
      <c r="A1634" s="22" t="n"/>
      <c r="B1634" s="22" t="n"/>
      <c r="C1634" s="22" t="n"/>
      <c r="D1634" s="22">
        <f>IF(A1634="","",IF(OR(N(B1634)&gt;=$C$2,N(C1634)&gt;=$E$2),"High",IF(OR(N(B1634)&gt;0,N(C1634)&gt;0),"Medium","Low")))</f>
        <v/>
      </c>
      <c r="E1634" s="22" t="n"/>
      <c r="F1634" s="22" t="n"/>
      <c r="G1634" s="22" t="n"/>
      <c r="H1634" s="22" t="n"/>
      <c r="I1634" s="22" t="n"/>
      <c r="J1634" s="22" t="n"/>
      <c r="K1634" s="22" t="n"/>
      <c r="L1634" s="22" t="n"/>
      <c r="M1634" s="22">
        <f>IF(K1634="Override",L1634,IF(K1634="Accept suggestion",F1634,IF(K1634="No change (same URL)",A1634,"")))</f>
        <v/>
      </c>
      <c r="N1634" s="22">
        <f>IF(A1634="","",IF(K1634="410 Gone","410",IF(K1634="404","404",IF(K1634="No change (same URL)","none",IF(M1634="","","301")))))</f>
        <v/>
      </c>
      <c r="O1634" s="22">
        <f>IF(A1634="","",IFERROR(MID(A1634,FIND("/",A1634,FIND("//",A1634)+2),2000),A1634))</f>
        <v/>
      </c>
      <c r="P1634" s="22">
        <f>IF(OR(O1634="",N1634="",N1634="none",N1634="404"),"",IF(N1634="410","Redirect gone "&amp;O1634,"Redirect "&amp;N1634&amp;" "&amp;O1634&amp;" "&amp;M1634))</f>
        <v/>
      </c>
      <c r="Q1634" s="22" t="n"/>
      <c r="R1634" s="22" t="n"/>
      <c r="S1634" s="22" t="n"/>
      <c r="T1634" s="4">
        <f>IF(A1634="","",TRIM(IF(K1634="","Needs decision; ","")&amp;IF(AND(K1634="Accept suggestion",F1634=""),"No suggestion to accept; ","")&amp;IF(AND(K1634="Override",L1634=""),"Override URL missing; ","")&amp;IF(AND(K1634="Accept suggestion",N(G1634)&lt;$G$2),"Below your threshold; ","")&amp;IF(AND(M1634&lt;&gt;"",M1634=A1634,K1634&lt;&gt;"No change (same URL)"),"Redirects to itself; ","")&amp;IF(AND(M1634&lt;&gt;"",OR(M1634="/",AND(LEFT(M1634,4)="http",OR((LEN(M1634)-LEN(SUBSTITUTE(M1634,"/","")))=2,AND((LEN(M1634)-LEN(SUBSTITUTE(M1634,"/","")))=3,RIGHT(M1634,1)="/"))))),"Home page redirect; ","")&amp;IF(N(R1634)&gt;1,"Chain; ","")&amp;IF(S1634="No","Destination not 200; ","")))</f>
        <v/>
      </c>
      <c r="U1634" s="22" t="n"/>
      <c r="V1634" s="22" t="n"/>
      <c r="W1634" s="4" t="n"/>
    </row>
    <row r="1635">
      <c r="A1635" s="22" t="n"/>
      <c r="B1635" s="22" t="n"/>
      <c r="C1635" s="22" t="n"/>
      <c r="D1635" s="22">
        <f>IF(A1635="","",IF(OR(N(B1635)&gt;=$C$2,N(C1635)&gt;=$E$2),"High",IF(OR(N(B1635)&gt;0,N(C1635)&gt;0),"Medium","Low")))</f>
        <v/>
      </c>
      <c r="E1635" s="22" t="n"/>
      <c r="F1635" s="22" t="n"/>
      <c r="G1635" s="22" t="n"/>
      <c r="H1635" s="22" t="n"/>
      <c r="I1635" s="22" t="n"/>
      <c r="J1635" s="22" t="n"/>
      <c r="K1635" s="22" t="n"/>
      <c r="L1635" s="22" t="n"/>
      <c r="M1635" s="22">
        <f>IF(K1635="Override",L1635,IF(K1635="Accept suggestion",F1635,IF(K1635="No change (same URL)",A1635,"")))</f>
        <v/>
      </c>
      <c r="N1635" s="22">
        <f>IF(A1635="","",IF(K1635="410 Gone","410",IF(K1635="404","404",IF(K1635="No change (same URL)","none",IF(M1635="","","301")))))</f>
        <v/>
      </c>
      <c r="O1635" s="22">
        <f>IF(A1635="","",IFERROR(MID(A1635,FIND("/",A1635,FIND("//",A1635)+2),2000),A1635))</f>
        <v/>
      </c>
      <c r="P1635" s="22">
        <f>IF(OR(O1635="",N1635="",N1635="none",N1635="404"),"",IF(N1635="410","Redirect gone "&amp;O1635,"Redirect "&amp;N1635&amp;" "&amp;O1635&amp;" "&amp;M1635))</f>
        <v/>
      </c>
      <c r="Q1635" s="22" t="n"/>
      <c r="R1635" s="22" t="n"/>
      <c r="S1635" s="22" t="n"/>
      <c r="T1635" s="4">
        <f>IF(A1635="","",TRIM(IF(K1635="","Needs decision; ","")&amp;IF(AND(K1635="Accept suggestion",F1635=""),"No suggestion to accept; ","")&amp;IF(AND(K1635="Override",L1635=""),"Override URL missing; ","")&amp;IF(AND(K1635="Accept suggestion",N(G1635)&lt;$G$2),"Below your threshold; ","")&amp;IF(AND(M1635&lt;&gt;"",M1635=A1635,K1635&lt;&gt;"No change (same URL)"),"Redirects to itself; ","")&amp;IF(AND(M1635&lt;&gt;"",OR(M1635="/",AND(LEFT(M1635,4)="http",OR((LEN(M1635)-LEN(SUBSTITUTE(M1635,"/","")))=2,AND((LEN(M1635)-LEN(SUBSTITUTE(M1635,"/","")))=3,RIGHT(M1635,1)="/"))))),"Home page redirect; ","")&amp;IF(N(R1635)&gt;1,"Chain; ","")&amp;IF(S1635="No","Destination not 200; ","")))</f>
        <v/>
      </c>
      <c r="U1635" s="22" t="n"/>
      <c r="V1635" s="22" t="n"/>
      <c r="W1635" s="4" t="n"/>
    </row>
    <row r="1636">
      <c r="A1636" s="22" t="n"/>
      <c r="B1636" s="22" t="n"/>
      <c r="C1636" s="22" t="n"/>
      <c r="D1636" s="22">
        <f>IF(A1636="","",IF(OR(N(B1636)&gt;=$C$2,N(C1636)&gt;=$E$2),"High",IF(OR(N(B1636)&gt;0,N(C1636)&gt;0),"Medium","Low")))</f>
        <v/>
      </c>
      <c r="E1636" s="22" t="n"/>
      <c r="F1636" s="22" t="n"/>
      <c r="G1636" s="22" t="n"/>
      <c r="H1636" s="22" t="n"/>
      <c r="I1636" s="22" t="n"/>
      <c r="J1636" s="22" t="n"/>
      <c r="K1636" s="22" t="n"/>
      <c r="L1636" s="22" t="n"/>
      <c r="M1636" s="22">
        <f>IF(K1636="Override",L1636,IF(K1636="Accept suggestion",F1636,IF(K1636="No change (same URL)",A1636,"")))</f>
        <v/>
      </c>
      <c r="N1636" s="22">
        <f>IF(A1636="","",IF(K1636="410 Gone","410",IF(K1636="404","404",IF(K1636="No change (same URL)","none",IF(M1636="","","301")))))</f>
        <v/>
      </c>
      <c r="O1636" s="22">
        <f>IF(A1636="","",IFERROR(MID(A1636,FIND("/",A1636,FIND("//",A1636)+2),2000),A1636))</f>
        <v/>
      </c>
      <c r="P1636" s="22">
        <f>IF(OR(O1636="",N1636="",N1636="none",N1636="404"),"",IF(N1636="410","Redirect gone "&amp;O1636,"Redirect "&amp;N1636&amp;" "&amp;O1636&amp;" "&amp;M1636))</f>
        <v/>
      </c>
      <c r="Q1636" s="22" t="n"/>
      <c r="R1636" s="22" t="n"/>
      <c r="S1636" s="22" t="n"/>
      <c r="T1636" s="4">
        <f>IF(A1636="","",TRIM(IF(K1636="","Needs decision; ","")&amp;IF(AND(K1636="Accept suggestion",F1636=""),"No suggestion to accept; ","")&amp;IF(AND(K1636="Override",L1636=""),"Override URL missing; ","")&amp;IF(AND(K1636="Accept suggestion",N(G1636)&lt;$G$2),"Below your threshold; ","")&amp;IF(AND(M1636&lt;&gt;"",M1636=A1636,K1636&lt;&gt;"No change (same URL)"),"Redirects to itself; ","")&amp;IF(AND(M1636&lt;&gt;"",OR(M1636="/",AND(LEFT(M1636,4)="http",OR((LEN(M1636)-LEN(SUBSTITUTE(M1636,"/","")))=2,AND((LEN(M1636)-LEN(SUBSTITUTE(M1636,"/","")))=3,RIGHT(M1636,1)="/"))))),"Home page redirect; ","")&amp;IF(N(R1636)&gt;1,"Chain; ","")&amp;IF(S1636="No","Destination not 200; ","")))</f>
        <v/>
      </c>
      <c r="U1636" s="22" t="n"/>
      <c r="V1636" s="22" t="n"/>
      <c r="W1636" s="4" t="n"/>
    </row>
    <row r="1637">
      <c r="A1637" s="22" t="n"/>
      <c r="B1637" s="22" t="n"/>
      <c r="C1637" s="22" t="n"/>
      <c r="D1637" s="22">
        <f>IF(A1637="","",IF(OR(N(B1637)&gt;=$C$2,N(C1637)&gt;=$E$2),"High",IF(OR(N(B1637)&gt;0,N(C1637)&gt;0),"Medium","Low")))</f>
        <v/>
      </c>
      <c r="E1637" s="22" t="n"/>
      <c r="F1637" s="22" t="n"/>
      <c r="G1637" s="22" t="n"/>
      <c r="H1637" s="22" t="n"/>
      <c r="I1637" s="22" t="n"/>
      <c r="J1637" s="22" t="n"/>
      <c r="K1637" s="22" t="n"/>
      <c r="L1637" s="22" t="n"/>
      <c r="M1637" s="22">
        <f>IF(K1637="Override",L1637,IF(K1637="Accept suggestion",F1637,IF(K1637="No change (same URL)",A1637,"")))</f>
        <v/>
      </c>
      <c r="N1637" s="22">
        <f>IF(A1637="","",IF(K1637="410 Gone","410",IF(K1637="404","404",IF(K1637="No change (same URL)","none",IF(M1637="","","301")))))</f>
        <v/>
      </c>
      <c r="O1637" s="22">
        <f>IF(A1637="","",IFERROR(MID(A1637,FIND("/",A1637,FIND("//",A1637)+2),2000),A1637))</f>
        <v/>
      </c>
      <c r="P1637" s="22">
        <f>IF(OR(O1637="",N1637="",N1637="none",N1637="404"),"",IF(N1637="410","Redirect gone "&amp;O1637,"Redirect "&amp;N1637&amp;" "&amp;O1637&amp;" "&amp;M1637))</f>
        <v/>
      </c>
      <c r="Q1637" s="22" t="n"/>
      <c r="R1637" s="22" t="n"/>
      <c r="S1637" s="22" t="n"/>
      <c r="T1637" s="4">
        <f>IF(A1637="","",TRIM(IF(K1637="","Needs decision; ","")&amp;IF(AND(K1637="Accept suggestion",F1637=""),"No suggestion to accept; ","")&amp;IF(AND(K1637="Override",L1637=""),"Override URL missing; ","")&amp;IF(AND(K1637="Accept suggestion",N(G1637)&lt;$G$2),"Below your threshold; ","")&amp;IF(AND(M1637&lt;&gt;"",M1637=A1637,K1637&lt;&gt;"No change (same URL)"),"Redirects to itself; ","")&amp;IF(AND(M1637&lt;&gt;"",OR(M1637="/",AND(LEFT(M1637,4)="http",OR((LEN(M1637)-LEN(SUBSTITUTE(M1637,"/","")))=2,AND((LEN(M1637)-LEN(SUBSTITUTE(M1637,"/","")))=3,RIGHT(M1637,1)="/"))))),"Home page redirect; ","")&amp;IF(N(R1637)&gt;1,"Chain; ","")&amp;IF(S1637="No","Destination not 200; ","")))</f>
        <v/>
      </c>
      <c r="U1637" s="22" t="n"/>
      <c r="V1637" s="22" t="n"/>
      <c r="W1637" s="4" t="n"/>
    </row>
    <row r="1638">
      <c r="A1638" s="22" t="n"/>
      <c r="B1638" s="22" t="n"/>
      <c r="C1638" s="22" t="n"/>
      <c r="D1638" s="22">
        <f>IF(A1638="","",IF(OR(N(B1638)&gt;=$C$2,N(C1638)&gt;=$E$2),"High",IF(OR(N(B1638)&gt;0,N(C1638)&gt;0),"Medium","Low")))</f>
        <v/>
      </c>
      <c r="E1638" s="22" t="n"/>
      <c r="F1638" s="22" t="n"/>
      <c r="G1638" s="22" t="n"/>
      <c r="H1638" s="22" t="n"/>
      <c r="I1638" s="22" t="n"/>
      <c r="J1638" s="22" t="n"/>
      <c r="K1638" s="22" t="n"/>
      <c r="L1638" s="22" t="n"/>
      <c r="M1638" s="22">
        <f>IF(K1638="Override",L1638,IF(K1638="Accept suggestion",F1638,IF(K1638="No change (same URL)",A1638,"")))</f>
        <v/>
      </c>
      <c r="N1638" s="22">
        <f>IF(A1638="","",IF(K1638="410 Gone","410",IF(K1638="404","404",IF(K1638="No change (same URL)","none",IF(M1638="","","301")))))</f>
        <v/>
      </c>
      <c r="O1638" s="22">
        <f>IF(A1638="","",IFERROR(MID(A1638,FIND("/",A1638,FIND("//",A1638)+2),2000),A1638))</f>
        <v/>
      </c>
      <c r="P1638" s="22">
        <f>IF(OR(O1638="",N1638="",N1638="none",N1638="404"),"",IF(N1638="410","Redirect gone "&amp;O1638,"Redirect "&amp;N1638&amp;" "&amp;O1638&amp;" "&amp;M1638))</f>
        <v/>
      </c>
      <c r="Q1638" s="22" t="n"/>
      <c r="R1638" s="22" t="n"/>
      <c r="S1638" s="22" t="n"/>
      <c r="T1638" s="4">
        <f>IF(A1638="","",TRIM(IF(K1638="","Needs decision; ","")&amp;IF(AND(K1638="Accept suggestion",F1638=""),"No suggestion to accept; ","")&amp;IF(AND(K1638="Override",L1638=""),"Override URL missing; ","")&amp;IF(AND(K1638="Accept suggestion",N(G1638)&lt;$G$2),"Below your threshold; ","")&amp;IF(AND(M1638&lt;&gt;"",M1638=A1638,K1638&lt;&gt;"No change (same URL)"),"Redirects to itself; ","")&amp;IF(AND(M1638&lt;&gt;"",OR(M1638="/",AND(LEFT(M1638,4)="http",OR((LEN(M1638)-LEN(SUBSTITUTE(M1638,"/","")))=2,AND((LEN(M1638)-LEN(SUBSTITUTE(M1638,"/","")))=3,RIGHT(M1638,1)="/"))))),"Home page redirect; ","")&amp;IF(N(R1638)&gt;1,"Chain; ","")&amp;IF(S1638="No","Destination not 200; ","")))</f>
        <v/>
      </c>
      <c r="U1638" s="22" t="n"/>
      <c r="V1638" s="22" t="n"/>
      <c r="W1638" s="4" t="n"/>
    </row>
    <row r="1639">
      <c r="A1639" s="22" t="n"/>
      <c r="B1639" s="22" t="n"/>
      <c r="C1639" s="22" t="n"/>
      <c r="D1639" s="22">
        <f>IF(A1639="","",IF(OR(N(B1639)&gt;=$C$2,N(C1639)&gt;=$E$2),"High",IF(OR(N(B1639)&gt;0,N(C1639)&gt;0),"Medium","Low")))</f>
        <v/>
      </c>
      <c r="E1639" s="22" t="n"/>
      <c r="F1639" s="22" t="n"/>
      <c r="G1639" s="22" t="n"/>
      <c r="H1639" s="22" t="n"/>
      <c r="I1639" s="22" t="n"/>
      <c r="J1639" s="22" t="n"/>
      <c r="K1639" s="22" t="n"/>
      <c r="L1639" s="22" t="n"/>
      <c r="M1639" s="22">
        <f>IF(K1639="Override",L1639,IF(K1639="Accept suggestion",F1639,IF(K1639="No change (same URL)",A1639,"")))</f>
        <v/>
      </c>
      <c r="N1639" s="22">
        <f>IF(A1639="","",IF(K1639="410 Gone","410",IF(K1639="404","404",IF(K1639="No change (same URL)","none",IF(M1639="","","301")))))</f>
        <v/>
      </c>
      <c r="O1639" s="22">
        <f>IF(A1639="","",IFERROR(MID(A1639,FIND("/",A1639,FIND("//",A1639)+2),2000),A1639))</f>
        <v/>
      </c>
      <c r="P1639" s="22">
        <f>IF(OR(O1639="",N1639="",N1639="none",N1639="404"),"",IF(N1639="410","Redirect gone "&amp;O1639,"Redirect "&amp;N1639&amp;" "&amp;O1639&amp;" "&amp;M1639))</f>
        <v/>
      </c>
      <c r="Q1639" s="22" t="n"/>
      <c r="R1639" s="22" t="n"/>
      <c r="S1639" s="22" t="n"/>
      <c r="T1639" s="4">
        <f>IF(A1639="","",TRIM(IF(K1639="","Needs decision; ","")&amp;IF(AND(K1639="Accept suggestion",F1639=""),"No suggestion to accept; ","")&amp;IF(AND(K1639="Override",L1639=""),"Override URL missing; ","")&amp;IF(AND(K1639="Accept suggestion",N(G1639)&lt;$G$2),"Below your threshold; ","")&amp;IF(AND(M1639&lt;&gt;"",M1639=A1639,K1639&lt;&gt;"No change (same URL)"),"Redirects to itself; ","")&amp;IF(AND(M1639&lt;&gt;"",OR(M1639="/",AND(LEFT(M1639,4)="http",OR((LEN(M1639)-LEN(SUBSTITUTE(M1639,"/","")))=2,AND((LEN(M1639)-LEN(SUBSTITUTE(M1639,"/","")))=3,RIGHT(M1639,1)="/"))))),"Home page redirect; ","")&amp;IF(N(R1639)&gt;1,"Chain; ","")&amp;IF(S1639="No","Destination not 200; ","")))</f>
        <v/>
      </c>
      <c r="U1639" s="22" t="n"/>
      <c r="V1639" s="22" t="n"/>
      <c r="W1639" s="4" t="n"/>
    </row>
    <row r="1640">
      <c r="A1640" s="22" t="n"/>
      <c r="B1640" s="22" t="n"/>
      <c r="C1640" s="22" t="n"/>
      <c r="D1640" s="22">
        <f>IF(A1640="","",IF(OR(N(B1640)&gt;=$C$2,N(C1640)&gt;=$E$2),"High",IF(OR(N(B1640)&gt;0,N(C1640)&gt;0),"Medium","Low")))</f>
        <v/>
      </c>
      <c r="E1640" s="22" t="n"/>
      <c r="F1640" s="22" t="n"/>
      <c r="G1640" s="22" t="n"/>
      <c r="H1640" s="22" t="n"/>
      <c r="I1640" s="22" t="n"/>
      <c r="J1640" s="22" t="n"/>
      <c r="K1640" s="22" t="n"/>
      <c r="L1640" s="22" t="n"/>
      <c r="M1640" s="22">
        <f>IF(K1640="Override",L1640,IF(K1640="Accept suggestion",F1640,IF(K1640="No change (same URL)",A1640,"")))</f>
        <v/>
      </c>
      <c r="N1640" s="22">
        <f>IF(A1640="","",IF(K1640="410 Gone","410",IF(K1640="404","404",IF(K1640="No change (same URL)","none",IF(M1640="","","301")))))</f>
        <v/>
      </c>
      <c r="O1640" s="22">
        <f>IF(A1640="","",IFERROR(MID(A1640,FIND("/",A1640,FIND("//",A1640)+2),2000),A1640))</f>
        <v/>
      </c>
      <c r="P1640" s="22">
        <f>IF(OR(O1640="",N1640="",N1640="none",N1640="404"),"",IF(N1640="410","Redirect gone "&amp;O1640,"Redirect "&amp;N1640&amp;" "&amp;O1640&amp;" "&amp;M1640))</f>
        <v/>
      </c>
      <c r="Q1640" s="22" t="n"/>
      <c r="R1640" s="22" t="n"/>
      <c r="S1640" s="22" t="n"/>
      <c r="T1640" s="4">
        <f>IF(A1640="","",TRIM(IF(K1640="","Needs decision; ","")&amp;IF(AND(K1640="Accept suggestion",F1640=""),"No suggestion to accept; ","")&amp;IF(AND(K1640="Override",L1640=""),"Override URL missing; ","")&amp;IF(AND(K1640="Accept suggestion",N(G1640)&lt;$G$2),"Below your threshold; ","")&amp;IF(AND(M1640&lt;&gt;"",M1640=A1640,K1640&lt;&gt;"No change (same URL)"),"Redirects to itself; ","")&amp;IF(AND(M1640&lt;&gt;"",OR(M1640="/",AND(LEFT(M1640,4)="http",OR((LEN(M1640)-LEN(SUBSTITUTE(M1640,"/","")))=2,AND((LEN(M1640)-LEN(SUBSTITUTE(M1640,"/","")))=3,RIGHT(M1640,1)="/"))))),"Home page redirect; ","")&amp;IF(N(R1640)&gt;1,"Chain; ","")&amp;IF(S1640="No","Destination not 200; ","")))</f>
        <v/>
      </c>
      <c r="U1640" s="22" t="n"/>
      <c r="V1640" s="22" t="n"/>
      <c r="W1640" s="4" t="n"/>
    </row>
    <row r="1641">
      <c r="A1641" s="22" t="n"/>
      <c r="B1641" s="22" t="n"/>
      <c r="C1641" s="22" t="n"/>
      <c r="D1641" s="22">
        <f>IF(A1641="","",IF(OR(N(B1641)&gt;=$C$2,N(C1641)&gt;=$E$2),"High",IF(OR(N(B1641)&gt;0,N(C1641)&gt;0),"Medium","Low")))</f>
        <v/>
      </c>
      <c r="E1641" s="22" t="n"/>
      <c r="F1641" s="22" t="n"/>
      <c r="G1641" s="22" t="n"/>
      <c r="H1641" s="22" t="n"/>
      <c r="I1641" s="22" t="n"/>
      <c r="J1641" s="22" t="n"/>
      <c r="K1641" s="22" t="n"/>
      <c r="L1641" s="22" t="n"/>
      <c r="M1641" s="22">
        <f>IF(K1641="Override",L1641,IF(K1641="Accept suggestion",F1641,IF(K1641="No change (same URL)",A1641,"")))</f>
        <v/>
      </c>
      <c r="N1641" s="22">
        <f>IF(A1641="","",IF(K1641="410 Gone","410",IF(K1641="404","404",IF(K1641="No change (same URL)","none",IF(M1641="","","301")))))</f>
        <v/>
      </c>
      <c r="O1641" s="22">
        <f>IF(A1641="","",IFERROR(MID(A1641,FIND("/",A1641,FIND("//",A1641)+2),2000),A1641))</f>
        <v/>
      </c>
      <c r="P1641" s="22">
        <f>IF(OR(O1641="",N1641="",N1641="none",N1641="404"),"",IF(N1641="410","Redirect gone "&amp;O1641,"Redirect "&amp;N1641&amp;" "&amp;O1641&amp;" "&amp;M1641))</f>
        <v/>
      </c>
      <c r="Q1641" s="22" t="n"/>
      <c r="R1641" s="22" t="n"/>
      <c r="S1641" s="22" t="n"/>
      <c r="T1641" s="4">
        <f>IF(A1641="","",TRIM(IF(K1641="","Needs decision; ","")&amp;IF(AND(K1641="Accept suggestion",F1641=""),"No suggestion to accept; ","")&amp;IF(AND(K1641="Override",L1641=""),"Override URL missing; ","")&amp;IF(AND(K1641="Accept suggestion",N(G1641)&lt;$G$2),"Below your threshold; ","")&amp;IF(AND(M1641&lt;&gt;"",M1641=A1641,K1641&lt;&gt;"No change (same URL)"),"Redirects to itself; ","")&amp;IF(AND(M1641&lt;&gt;"",OR(M1641="/",AND(LEFT(M1641,4)="http",OR((LEN(M1641)-LEN(SUBSTITUTE(M1641,"/","")))=2,AND((LEN(M1641)-LEN(SUBSTITUTE(M1641,"/","")))=3,RIGHT(M1641,1)="/"))))),"Home page redirect; ","")&amp;IF(N(R1641)&gt;1,"Chain; ","")&amp;IF(S1641="No","Destination not 200; ","")))</f>
        <v/>
      </c>
      <c r="U1641" s="22" t="n"/>
      <c r="V1641" s="22" t="n"/>
      <c r="W1641" s="4" t="n"/>
    </row>
    <row r="1642">
      <c r="A1642" s="22" t="n"/>
      <c r="B1642" s="22" t="n"/>
      <c r="C1642" s="22" t="n"/>
      <c r="D1642" s="22">
        <f>IF(A1642="","",IF(OR(N(B1642)&gt;=$C$2,N(C1642)&gt;=$E$2),"High",IF(OR(N(B1642)&gt;0,N(C1642)&gt;0),"Medium","Low")))</f>
        <v/>
      </c>
      <c r="E1642" s="22" t="n"/>
      <c r="F1642" s="22" t="n"/>
      <c r="G1642" s="22" t="n"/>
      <c r="H1642" s="22" t="n"/>
      <c r="I1642" s="22" t="n"/>
      <c r="J1642" s="22" t="n"/>
      <c r="K1642" s="22" t="n"/>
      <c r="L1642" s="22" t="n"/>
      <c r="M1642" s="22">
        <f>IF(K1642="Override",L1642,IF(K1642="Accept suggestion",F1642,IF(K1642="No change (same URL)",A1642,"")))</f>
        <v/>
      </c>
      <c r="N1642" s="22">
        <f>IF(A1642="","",IF(K1642="410 Gone","410",IF(K1642="404","404",IF(K1642="No change (same URL)","none",IF(M1642="","","301")))))</f>
        <v/>
      </c>
      <c r="O1642" s="22">
        <f>IF(A1642="","",IFERROR(MID(A1642,FIND("/",A1642,FIND("//",A1642)+2),2000),A1642))</f>
        <v/>
      </c>
      <c r="P1642" s="22">
        <f>IF(OR(O1642="",N1642="",N1642="none",N1642="404"),"",IF(N1642="410","Redirect gone "&amp;O1642,"Redirect "&amp;N1642&amp;" "&amp;O1642&amp;" "&amp;M1642))</f>
        <v/>
      </c>
      <c r="Q1642" s="22" t="n"/>
      <c r="R1642" s="22" t="n"/>
      <c r="S1642" s="22" t="n"/>
      <c r="T1642" s="4">
        <f>IF(A1642="","",TRIM(IF(K1642="","Needs decision; ","")&amp;IF(AND(K1642="Accept suggestion",F1642=""),"No suggestion to accept; ","")&amp;IF(AND(K1642="Override",L1642=""),"Override URL missing; ","")&amp;IF(AND(K1642="Accept suggestion",N(G1642)&lt;$G$2),"Below your threshold; ","")&amp;IF(AND(M1642&lt;&gt;"",M1642=A1642,K1642&lt;&gt;"No change (same URL)"),"Redirects to itself; ","")&amp;IF(AND(M1642&lt;&gt;"",OR(M1642="/",AND(LEFT(M1642,4)="http",OR((LEN(M1642)-LEN(SUBSTITUTE(M1642,"/","")))=2,AND((LEN(M1642)-LEN(SUBSTITUTE(M1642,"/","")))=3,RIGHT(M1642,1)="/"))))),"Home page redirect; ","")&amp;IF(N(R1642)&gt;1,"Chain; ","")&amp;IF(S1642="No","Destination not 200; ","")))</f>
        <v/>
      </c>
      <c r="U1642" s="22" t="n"/>
      <c r="V1642" s="22" t="n"/>
      <c r="W1642" s="4" t="n"/>
    </row>
    <row r="1643">
      <c r="A1643" s="22" t="n"/>
      <c r="B1643" s="22" t="n"/>
      <c r="C1643" s="22" t="n"/>
      <c r="D1643" s="22">
        <f>IF(A1643="","",IF(OR(N(B1643)&gt;=$C$2,N(C1643)&gt;=$E$2),"High",IF(OR(N(B1643)&gt;0,N(C1643)&gt;0),"Medium","Low")))</f>
        <v/>
      </c>
      <c r="E1643" s="22" t="n"/>
      <c r="F1643" s="22" t="n"/>
      <c r="G1643" s="22" t="n"/>
      <c r="H1643" s="22" t="n"/>
      <c r="I1643" s="22" t="n"/>
      <c r="J1643" s="22" t="n"/>
      <c r="K1643" s="22" t="n"/>
      <c r="L1643" s="22" t="n"/>
      <c r="M1643" s="22">
        <f>IF(K1643="Override",L1643,IF(K1643="Accept suggestion",F1643,IF(K1643="No change (same URL)",A1643,"")))</f>
        <v/>
      </c>
      <c r="N1643" s="22">
        <f>IF(A1643="","",IF(K1643="410 Gone","410",IF(K1643="404","404",IF(K1643="No change (same URL)","none",IF(M1643="","","301")))))</f>
        <v/>
      </c>
      <c r="O1643" s="22">
        <f>IF(A1643="","",IFERROR(MID(A1643,FIND("/",A1643,FIND("//",A1643)+2),2000),A1643))</f>
        <v/>
      </c>
      <c r="P1643" s="22">
        <f>IF(OR(O1643="",N1643="",N1643="none",N1643="404"),"",IF(N1643="410","Redirect gone "&amp;O1643,"Redirect "&amp;N1643&amp;" "&amp;O1643&amp;" "&amp;M1643))</f>
        <v/>
      </c>
      <c r="Q1643" s="22" t="n"/>
      <c r="R1643" s="22" t="n"/>
      <c r="S1643" s="22" t="n"/>
      <c r="T1643" s="4">
        <f>IF(A1643="","",TRIM(IF(K1643="","Needs decision; ","")&amp;IF(AND(K1643="Accept suggestion",F1643=""),"No suggestion to accept; ","")&amp;IF(AND(K1643="Override",L1643=""),"Override URL missing; ","")&amp;IF(AND(K1643="Accept suggestion",N(G1643)&lt;$G$2),"Below your threshold; ","")&amp;IF(AND(M1643&lt;&gt;"",M1643=A1643,K1643&lt;&gt;"No change (same URL)"),"Redirects to itself; ","")&amp;IF(AND(M1643&lt;&gt;"",OR(M1643="/",AND(LEFT(M1643,4)="http",OR((LEN(M1643)-LEN(SUBSTITUTE(M1643,"/","")))=2,AND((LEN(M1643)-LEN(SUBSTITUTE(M1643,"/","")))=3,RIGHT(M1643,1)="/"))))),"Home page redirect; ","")&amp;IF(N(R1643)&gt;1,"Chain; ","")&amp;IF(S1643="No","Destination not 200; ","")))</f>
        <v/>
      </c>
      <c r="U1643" s="22" t="n"/>
      <c r="V1643" s="22" t="n"/>
      <c r="W1643" s="4" t="n"/>
    </row>
    <row r="1644">
      <c r="A1644" s="22" t="n"/>
      <c r="B1644" s="22" t="n"/>
      <c r="C1644" s="22" t="n"/>
      <c r="D1644" s="22">
        <f>IF(A1644="","",IF(OR(N(B1644)&gt;=$C$2,N(C1644)&gt;=$E$2),"High",IF(OR(N(B1644)&gt;0,N(C1644)&gt;0),"Medium","Low")))</f>
        <v/>
      </c>
      <c r="E1644" s="22" t="n"/>
      <c r="F1644" s="22" t="n"/>
      <c r="G1644" s="22" t="n"/>
      <c r="H1644" s="22" t="n"/>
      <c r="I1644" s="22" t="n"/>
      <c r="J1644" s="22" t="n"/>
      <c r="K1644" s="22" t="n"/>
      <c r="L1644" s="22" t="n"/>
      <c r="M1644" s="22">
        <f>IF(K1644="Override",L1644,IF(K1644="Accept suggestion",F1644,IF(K1644="No change (same URL)",A1644,"")))</f>
        <v/>
      </c>
      <c r="N1644" s="22">
        <f>IF(A1644="","",IF(K1644="410 Gone","410",IF(K1644="404","404",IF(K1644="No change (same URL)","none",IF(M1644="","","301")))))</f>
        <v/>
      </c>
      <c r="O1644" s="22">
        <f>IF(A1644="","",IFERROR(MID(A1644,FIND("/",A1644,FIND("//",A1644)+2),2000),A1644))</f>
        <v/>
      </c>
      <c r="P1644" s="22">
        <f>IF(OR(O1644="",N1644="",N1644="none",N1644="404"),"",IF(N1644="410","Redirect gone "&amp;O1644,"Redirect "&amp;N1644&amp;" "&amp;O1644&amp;" "&amp;M1644))</f>
        <v/>
      </c>
      <c r="Q1644" s="22" t="n"/>
      <c r="R1644" s="22" t="n"/>
      <c r="S1644" s="22" t="n"/>
      <c r="T1644" s="4">
        <f>IF(A1644="","",TRIM(IF(K1644="","Needs decision; ","")&amp;IF(AND(K1644="Accept suggestion",F1644=""),"No suggestion to accept; ","")&amp;IF(AND(K1644="Override",L1644=""),"Override URL missing; ","")&amp;IF(AND(K1644="Accept suggestion",N(G1644)&lt;$G$2),"Below your threshold; ","")&amp;IF(AND(M1644&lt;&gt;"",M1644=A1644,K1644&lt;&gt;"No change (same URL)"),"Redirects to itself; ","")&amp;IF(AND(M1644&lt;&gt;"",OR(M1644="/",AND(LEFT(M1644,4)="http",OR((LEN(M1644)-LEN(SUBSTITUTE(M1644,"/","")))=2,AND((LEN(M1644)-LEN(SUBSTITUTE(M1644,"/","")))=3,RIGHT(M1644,1)="/"))))),"Home page redirect; ","")&amp;IF(N(R1644)&gt;1,"Chain; ","")&amp;IF(S1644="No","Destination not 200; ","")))</f>
        <v/>
      </c>
      <c r="U1644" s="22" t="n"/>
      <c r="V1644" s="22" t="n"/>
      <c r="W1644" s="4" t="n"/>
    </row>
    <row r="1645">
      <c r="A1645" s="22" t="n"/>
      <c r="B1645" s="22" t="n"/>
      <c r="C1645" s="22" t="n"/>
      <c r="D1645" s="22">
        <f>IF(A1645="","",IF(OR(N(B1645)&gt;=$C$2,N(C1645)&gt;=$E$2),"High",IF(OR(N(B1645)&gt;0,N(C1645)&gt;0),"Medium","Low")))</f>
        <v/>
      </c>
      <c r="E1645" s="22" t="n"/>
      <c r="F1645" s="22" t="n"/>
      <c r="G1645" s="22" t="n"/>
      <c r="H1645" s="22" t="n"/>
      <c r="I1645" s="22" t="n"/>
      <c r="J1645" s="22" t="n"/>
      <c r="K1645" s="22" t="n"/>
      <c r="L1645" s="22" t="n"/>
      <c r="M1645" s="22">
        <f>IF(K1645="Override",L1645,IF(K1645="Accept suggestion",F1645,IF(K1645="No change (same URL)",A1645,"")))</f>
        <v/>
      </c>
      <c r="N1645" s="22">
        <f>IF(A1645="","",IF(K1645="410 Gone","410",IF(K1645="404","404",IF(K1645="No change (same URL)","none",IF(M1645="","","301")))))</f>
        <v/>
      </c>
      <c r="O1645" s="22">
        <f>IF(A1645="","",IFERROR(MID(A1645,FIND("/",A1645,FIND("//",A1645)+2),2000),A1645))</f>
        <v/>
      </c>
      <c r="P1645" s="22">
        <f>IF(OR(O1645="",N1645="",N1645="none",N1645="404"),"",IF(N1645="410","Redirect gone "&amp;O1645,"Redirect "&amp;N1645&amp;" "&amp;O1645&amp;" "&amp;M1645))</f>
        <v/>
      </c>
      <c r="Q1645" s="22" t="n"/>
      <c r="R1645" s="22" t="n"/>
      <c r="S1645" s="22" t="n"/>
      <c r="T1645" s="4">
        <f>IF(A1645="","",TRIM(IF(K1645="","Needs decision; ","")&amp;IF(AND(K1645="Accept suggestion",F1645=""),"No suggestion to accept; ","")&amp;IF(AND(K1645="Override",L1645=""),"Override URL missing; ","")&amp;IF(AND(K1645="Accept suggestion",N(G1645)&lt;$G$2),"Below your threshold; ","")&amp;IF(AND(M1645&lt;&gt;"",M1645=A1645,K1645&lt;&gt;"No change (same URL)"),"Redirects to itself; ","")&amp;IF(AND(M1645&lt;&gt;"",OR(M1645="/",AND(LEFT(M1645,4)="http",OR((LEN(M1645)-LEN(SUBSTITUTE(M1645,"/","")))=2,AND((LEN(M1645)-LEN(SUBSTITUTE(M1645,"/","")))=3,RIGHT(M1645,1)="/"))))),"Home page redirect; ","")&amp;IF(N(R1645)&gt;1,"Chain; ","")&amp;IF(S1645="No","Destination not 200; ","")))</f>
        <v/>
      </c>
      <c r="U1645" s="22" t="n"/>
      <c r="V1645" s="22" t="n"/>
      <c r="W1645" s="4" t="n"/>
    </row>
    <row r="1646">
      <c r="A1646" s="22" t="n"/>
      <c r="B1646" s="22" t="n"/>
      <c r="C1646" s="22" t="n"/>
      <c r="D1646" s="22">
        <f>IF(A1646="","",IF(OR(N(B1646)&gt;=$C$2,N(C1646)&gt;=$E$2),"High",IF(OR(N(B1646)&gt;0,N(C1646)&gt;0),"Medium","Low")))</f>
        <v/>
      </c>
      <c r="E1646" s="22" t="n"/>
      <c r="F1646" s="22" t="n"/>
      <c r="G1646" s="22" t="n"/>
      <c r="H1646" s="22" t="n"/>
      <c r="I1646" s="22" t="n"/>
      <c r="J1646" s="22" t="n"/>
      <c r="K1646" s="22" t="n"/>
      <c r="L1646" s="22" t="n"/>
      <c r="M1646" s="22">
        <f>IF(K1646="Override",L1646,IF(K1646="Accept suggestion",F1646,IF(K1646="No change (same URL)",A1646,"")))</f>
        <v/>
      </c>
      <c r="N1646" s="22">
        <f>IF(A1646="","",IF(K1646="410 Gone","410",IF(K1646="404","404",IF(K1646="No change (same URL)","none",IF(M1646="","","301")))))</f>
        <v/>
      </c>
      <c r="O1646" s="22">
        <f>IF(A1646="","",IFERROR(MID(A1646,FIND("/",A1646,FIND("//",A1646)+2),2000),A1646))</f>
        <v/>
      </c>
      <c r="P1646" s="22">
        <f>IF(OR(O1646="",N1646="",N1646="none",N1646="404"),"",IF(N1646="410","Redirect gone "&amp;O1646,"Redirect "&amp;N1646&amp;" "&amp;O1646&amp;" "&amp;M1646))</f>
        <v/>
      </c>
      <c r="Q1646" s="22" t="n"/>
      <c r="R1646" s="22" t="n"/>
      <c r="S1646" s="22" t="n"/>
      <c r="T1646" s="4">
        <f>IF(A1646="","",TRIM(IF(K1646="","Needs decision; ","")&amp;IF(AND(K1646="Accept suggestion",F1646=""),"No suggestion to accept; ","")&amp;IF(AND(K1646="Override",L1646=""),"Override URL missing; ","")&amp;IF(AND(K1646="Accept suggestion",N(G1646)&lt;$G$2),"Below your threshold; ","")&amp;IF(AND(M1646&lt;&gt;"",M1646=A1646,K1646&lt;&gt;"No change (same URL)"),"Redirects to itself; ","")&amp;IF(AND(M1646&lt;&gt;"",OR(M1646="/",AND(LEFT(M1646,4)="http",OR((LEN(M1646)-LEN(SUBSTITUTE(M1646,"/","")))=2,AND((LEN(M1646)-LEN(SUBSTITUTE(M1646,"/","")))=3,RIGHT(M1646,1)="/"))))),"Home page redirect; ","")&amp;IF(N(R1646)&gt;1,"Chain; ","")&amp;IF(S1646="No","Destination not 200; ","")))</f>
        <v/>
      </c>
      <c r="U1646" s="22" t="n"/>
      <c r="V1646" s="22" t="n"/>
      <c r="W1646" s="4" t="n"/>
    </row>
    <row r="1647">
      <c r="A1647" s="22" t="n"/>
      <c r="B1647" s="22" t="n"/>
      <c r="C1647" s="22" t="n"/>
      <c r="D1647" s="22">
        <f>IF(A1647="","",IF(OR(N(B1647)&gt;=$C$2,N(C1647)&gt;=$E$2),"High",IF(OR(N(B1647)&gt;0,N(C1647)&gt;0),"Medium","Low")))</f>
        <v/>
      </c>
      <c r="E1647" s="22" t="n"/>
      <c r="F1647" s="22" t="n"/>
      <c r="G1647" s="22" t="n"/>
      <c r="H1647" s="22" t="n"/>
      <c r="I1647" s="22" t="n"/>
      <c r="J1647" s="22" t="n"/>
      <c r="K1647" s="22" t="n"/>
      <c r="L1647" s="22" t="n"/>
      <c r="M1647" s="22">
        <f>IF(K1647="Override",L1647,IF(K1647="Accept suggestion",F1647,IF(K1647="No change (same URL)",A1647,"")))</f>
        <v/>
      </c>
      <c r="N1647" s="22">
        <f>IF(A1647="","",IF(K1647="410 Gone","410",IF(K1647="404","404",IF(K1647="No change (same URL)","none",IF(M1647="","","301")))))</f>
        <v/>
      </c>
      <c r="O1647" s="22">
        <f>IF(A1647="","",IFERROR(MID(A1647,FIND("/",A1647,FIND("//",A1647)+2),2000),A1647))</f>
        <v/>
      </c>
      <c r="P1647" s="22">
        <f>IF(OR(O1647="",N1647="",N1647="none",N1647="404"),"",IF(N1647="410","Redirect gone "&amp;O1647,"Redirect "&amp;N1647&amp;" "&amp;O1647&amp;" "&amp;M1647))</f>
        <v/>
      </c>
      <c r="Q1647" s="22" t="n"/>
      <c r="R1647" s="22" t="n"/>
      <c r="S1647" s="22" t="n"/>
      <c r="T1647" s="4">
        <f>IF(A1647="","",TRIM(IF(K1647="","Needs decision; ","")&amp;IF(AND(K1647="Accept suggestion",F1647=""),"No suggestion to accept; ","")&amp;IF(AND(K1647="Override",L1647=""),"Override URL missing; ","")&amp;IF(AND(K1647="Accept suggestion",N(G1647)&lt;$G$2),"Below your threshold; ","")&amp;IF(AND(M1647&lt;&gt;"",M1647=A1647,K1647&lt;&gt;"No change (same URL)"),"Redirects to itself; ","")&amp;IF(AND(M1647&lt;&gt;"",OR(M1647="/",AND(LEFT(M1647,4)="http",OR((LEN(M1647)-LEN(SUBSTITUTE(M1647,"/","")))=2,AND((LEN(M1647)-LEN(SUBSTITUTE(M1647,"/","")))=3,RIGHT(M1647,1)="/"))))),"Home page redirect; ","")&amp;IF(N(R1647)&gt;1,"Chain; ","")&amp;IF(S1647="No","Destination not 200; ","")))</f>
        <v/>
      </c>
      <c r="U1647" s="22" t="n"/>
      <c r="V1647" s="22" t="n"/>
      <c r="W1647" s="4" t="n"/>
    </row>
    <row r="1648">
      <c r="A1648" s="22" t="n"/>
      <c r="B1648" s="22" t="n"/>
      <c r="C1648" s="22" t="n"/>
      <c r="D1648" s="22">
        <f>IF(A1648="","",IF(OR(N(B1648)&gt;=$C$2,N(C1648)&gt;=$E$2),"High",IF(OR(N(B1648)&gt;0,N(C1648)&gt;0),"Medium","Low")))</f>
        <v/>
      </c>
      <c r="E1648" s="22" t="n"/>
      <c r="F1648" s="22" t="n"/>
      <c r="G1648" s="22" t="n"/>
      <c r="H1648" s="22" t="n"/>
      <c r="I1648" s="22" t="n"/>
      <c r="J1648" s="22" t="n"/>
      <c r="K1648" s="22" t="n"/>
      <c r="L1648" s="22" t="n"/>
      <c r="M1648" s="22">
        <f>IF(K1648="Override",L1648,IF(K1648="Accept suggestion",F1648,IF(K1648="No change (same URL)",A1648,"")))</f>
        <v/>
      </c>
      <c r="N1648" s="22">
        <f>IF(A1648="","",IF(K1648="410 Gone","410",IF(K1648="404","404",IF(K1648="No change (same URL)","none",IF(M1648="","","301")))))</f>
        <v/>
      </c>
      <c r="O1648" s="22">
        <f>IF(A1648="","",IFERROR(MID(A1648,FIND("/",A1648,FIND("//",A1648)+2),2000),A1648))</f>
        <v/>
      </c>
      <c r="P1648" s="22">
        <f>IF(OR(O1648="",N1648="",N1648="none",N1648="404"),"",IF(N1648="410","Redirect gone "&amp;O1648,"Redirect "&amp;N1648&amp;" "&amp;O1648&amp;" "&amp;M1648))</f>
        <v/>
      </c>
      <c r="Q1648" s="22" t="n"/>
      <c r="R1648" s="22" t="n"/>
      <c r="S1648" s="22" t="n"/>
      <c r="T1648" s="4">
        <f>IF(A1648="","",TRIM(IF(K1648="","Needs decision; ","")&amp;IF(AND(K1648="Accept suggestion",F1648=""),"No suggestion to accept; ","")&amp;IF(AND(K1648="Override",L1648=""),"Override URL missing; ","")&amp;IF(AND(K1648="Accept suggestion",N(G1648)&lt;$G$2),"Below your threshold; ","")&amp;IF(AND(M1648&lt;&gt;"",M1648=A1648,K1648&lt;&gt;"No change (same URL)"),"Redirects to itself; ","")&amp;IF(AND(M1648&lt;&gt;"",OR(M1648="/",AND(LEFT(M1648,4)="http",OR((LEN(M1648)-LEN(SUBSTITUTE(M1648,"/","")))=2,AND((LEN(M1648)-LEN(SUBSTITUTE(M1648,"/","")))=3,RIGHT(M1648,1)="/"))))),"Home page redirect; ","")&amp;IF(N(R1648)&gt;1,"Chain; ","")&amp;IF(S1648="No","Destination not 200; ","")))</f>
        <v/>
      </c>
      <c r="U1648" s="22" t="n"/>
      <c r="V1648" s="22" t="n"/>
      <c r="W1648" s="4" t="n"/>
    </row>
    <row r="1649">
      <c r="A1649" s="22" t="n"/>
      <c r="B1649" s="22" t="n"/>
      <c r="C1649" s="22" t="n"/>
      <c r="D1649" s="22">
        <f>IF(A1649="","",IF(OR(N(B1649)&gt;=$C$2,N(C1649)&gt;=$E$2),"High",IF(OR(N(B1649)&gt;0,N(C1649)&gt;0),"Medium","Low")))</f>
        <v/>
      </c>
      <c r="E1649" s="22" t="n"/>
      <c r="F1649" s="22" t="n"/>
      <c r="G1649" s="22" t="n"/>
      <c r="H1649" s="22" t="n"/>
      <c r="I1649" s="22" t="n"/>
      <c r="J1649" s="22" t="n"/>
      <c r="K1649" s="22" t="n"/>
      <c r="L1649" s="22" t="n"/>
      <c r="M1649" s="22">
        <f>IF(K1649="Override",L1649,IF(K1649="Accept suggestion",F1649,IF(K1649="No change (same URL)",A1649,"")))</f>
        <v/>
      </c>
      <c r="N1649" s="22">
        <f>IF(A1649="","",IF(K1649="410 Gone","410",IF(K1649="404","404",IF(K1649="No change (same URL)","none",IF(M1649="","","301")))))</f>
        <v/>
      </c>
      <c r="O1649" s="22">
        <f>IF(A1649="","",IFERROR(MID(A1649,FIND("/",A1649,FIND("//",A1649)+2),2000),A1649))</f>
        <v/>
      </c>
      <c r="P1649" s="22">
        <f>IF(OR(O1649="",N1649="",N1649="none",N1649="404"),"",IF(N1649="410","Redirect gone "&amp;O1649,"Redirect "&amp;N1649&amp;" "&amp;O1649&amp;" "&amp;M1649))</f>
        <v/>
      </c>
      <c r="Q1649" s="22" t="n"/>
      <c r="R1649" s="22" t="n"/>
      <c r="S1649" s="22" t="n"/>
      <c r="T1649" s="4">
        <f>IF(A1649="","",TRIM(IF(K1649="","Needs decision; ","")&amp;IF(AND(K1649="Accept suggestion",F1649=""),"No suggestion to accept; ","")&amp;IF(AND(K1649="Override",L1649=""),"Override URL missing; ","")&amp;IF(AND(K1649="Accept suggestion",N(G1649)&lt;$G$2),"Below your threshold; ","")&amp;IF(AND(M1649&lt;&gt;"",M1649=A1649,K1649&lt;&gt;"No change (same URL)"),"Redirects to itself; ","")&amp;IF(AND(M1649&lt;&gt;"",OR(M1649="/",AND(LEFT(M1649,4)="http",OR((LEN(M1649)-LEN(SUBSTITUTE(M1649,"/","")))=2,AND((LEN(M1649)-LEN(SUBSTITUTE(M1649,"/","")))=3,RIGHT(M1649,1)="/"))))),"Home page redirect; ","")&amp;IF(N(R1649)&gt;1,"Chain; ","")&amp;IF(S1649="No","Destination not 200; ","")))</f>
        <v/>
      </c>
      <c r="U1649" s="22" t="n"/>
      <c r="V1649" s="22" t="n"/>
      <c r="W1649" s="4" t="n"/>
    </row>
    <row r="1650">
      <c r="A1650" s="22" t="n"/>
      <c r="B1650" s="22" t="n"/>
      <c r="C1650" s="22" t="n"/>
      <c r="D1650" s="22">
        <f>IF(A1650="","",IF(OR(N(B1650)&gt;=$C$2,N(C1650)&gt;=$E$2),"High",IF(OR(N(B1650)&gt;0,N(C1650)&gt;0),"Medium","Low")))</f>
        <v/>
      </c>
      <c r="E1650" s="22" t="n"/>
      <c r="F1650" s="22" t="n"/>
      <c r="G1650" s="22" t="n"/>
      <c r="H1650" s="22" t="n"/>
      <c r="I1650" s="22" t="n"/>
      <c r="J1650" s="22" t="n"/>
      <c r="K1650" s="22" t="n"/>
      <c r="L1650" s="22" t="n"/>
      <c r="M1650" s="22">
        <f>IF(K1650="Override",L1650,IF(K1650="Accept suggestion",F1650,IF(K1650="No change (same URL)",A1650,"")))</f>
        <v/>
      </c>
      <c r="N1650" s="22">
        <f>IF(A1650="","",IF(K1650="410 Gone","410",IF(K1650="404","404",IF(K1650="No change (same URL)","none",IF(M1650="","","301")))))</f>
        <v/>
      </c>
      <c r="O1650" s="22">
        <f>IF(A1650="","",IFERROR(MID(A1650,FIND("/",A1650,FIND("//",A1650)+2),2000),A1650))</f>
        <v/>
      </c>
      <c r="P1650" s="22">
        <f>IF(OR(O1650="",N1650="",N1650="none",N1650="404"),"",IF(N1650="410","Redirect gone "&amp;O1650,"Redirect "&amp;N1650&amp;" "&amp;O1650&amp;" "&amp;M1650))</f>
        <v/>
      </c>
      <c r="Q1650" s="22" t="n"/>
      <c r="R1650" s="22" t="n"/>
      <c r="S1650" s="22" t="n"/>
      <c r="T1650" s="4">
        <f>IF(A1650="","",TRIM(IF(K1650="","Needs decision; ","")&amp;IF(AND(K1650="Accept suggestion",F1650=""),"No suggestion to accept; ","")&amp;IF(AND(K1650="Override",L1650=""),"Override URL missing; ","")&amp;IF(AND(K1650="Accept suggestion",N(G1650)&lt;$G$2),"Below your threshold; ","")&amp;IF(AND(M1650&lt;&gt;"",M1650=A1650,K1650&lt;&gt;"No change (same URL)"),"Redirects to itself; ","")&amp;IF(AND(M1650&lt;&gt;"",OR(M1650="/",AND(LEFT(M1650,4)="http",OR((LEN(M1650)-LEN(SUBSTITUTE(M1650,"/","")))=2,AND((LEN(M1650)-LEN(SUBSTITUTE(M1650,"/","")))=3,RIGHT(M1650,1)="/"))))),"Home page redirect; ","")&amp;IF(N(R1650)&gt;1,"Chain; ","")&amp;IF(S1650="No","Destination not 200; ","")))</f>
        <v/>
      </c>
      <c r="U1650" s="22" t="n"/>
      <c r="V1650" s="22" t="n"/>
      <c r="W1650" s="4" t="n"/>
    </row>
    <row r="1651">
      <c r="A1651" s="22" t="n"/>
      <c r="B1651" s="22" t="n"/>
      <c r="C1651" s="22" t="n"/>
      <c r="D1651" s="22">
        <f>IF(A1651="","",IF(OR(N(B1651)&gt;=$C$2,N(C1651)&gt;=$E$2),"High",IF(OR(N(B1651)&gt;0,N(C1651)&gt;0),"Medium","Low")))</f>
        <v/>
      </c>
      <c r="E1651" s="22" t="n"/>
      <c r="F1651" s="22" t="n"/>
      <c r="G1651" s="22" t="n"/>
      <c r="H1651" s="22" t="n"/>
      <c r="I1651" s="22" t="n"/>
      <c r="J1651" s="22" t="n"/>
      <c r="K1651" s="22" t="n"/>
      <c r="L1651" s="22" t="n"/>
      <c r="M1651" s="22">
        <f>IF(K1651="Override",L1651,IF(K1651="Accept suggestion",F1651,IF(K1651="No change (same URL)",A1651,"")))</f>
        <v/>
      </c>
      <c r="N1651" s="22">
        <f>IF(A1651="","",IF(K1651="410 Gone","410",IF(K1651="404","404",IF(K1651="No change (same URL)","none",IF(M1651="","","301")))))</f>
        <v/>
      </c>
      <c r="O1651" s="22">
        <f>IF(A1651="","",IFERROR(MID(A1651,FIND("/",A1651,FIND("//",A1651)+2),2000),A1651))</f>
        <v/>
      </c>
      <c r="P1651" s="22">
        <f>IF(OR(O1651="",N1651="",N1651="none",N1651="404"),"",IF(N1651="410","Redirect gone "&amp;O1651,"Redirect "&amp;N1651&amp;" "&amp;O1651&amp;" "&amp;M1651))</f>
        <v/>
      </c>
      <c r="Q1651" s="22" t="n"/>
      <c r="R1651" s="22" t="n"/>
      <c r="S1651" s="22" t="n"/>
      <c r="T1651" s="4">
        <f>IF(A1651="","",TRIM(IF(K1651="","Needs decision; ","")&amp;IF(AND(K1651="Accept suggestion",F1651=""),"No suggestion to accept; ","")&amp;IF(AND(K1651="Override",L1651=""),"Override URL missing; ","")&amp;IF(AND(K1651="Accept suggestion",N(G1651)&lt;$G$2),"Below your threshold; ","")&amp;IF(AND(M1651&lt;&gt;"",M1651=A1651,K1651&lt;&gt;"No change (same URL)"),"Redirects to itself; ","")&amp;IF(AND(M1651&lt;&gt;"",OR(M1651="/",AND(LEFT(M1651,4)="http",OR((LEN(M1651)-LEN(SUBSTITUTE(M1651,"/","")))=2,AND((LEN(M1651)-LEN(SUBSTITUTE(M1651,"/","")))=3,RIGHT(M1651,1)="/"))))),"Home page redirect; ","")&amp;IF(N(R1651)&gt;1,"Chain; ","")&amp;IF(S1651="No","Destination not 200; ","")))</f>
        <v/>
      </c>
      <c r="U1651" s="22" t="n"/>
      <c r="V1651" s="22" t="n"/>
      <c r="W1651" s="4" t="n"/>
    </row>
    <row r="1652">
      <c r="A1652" s="22" t="n"/>
      <c r="B1652" s="22" t="n"/>
      <c r="C1652" s="22" t="n"/>
      <c r="D1652" s="22">
        <f>IF(A1652="","",IF(OR(N(B1652)&gt;=$C$2,N(C1652)&gt;=$E$2),"High",IF(OR(N(B1652)&gt;0,N(C1652)&gt;0),"Medium","Low")))</f>
        <v/>
      </c>
      <c r="E1652" s="22" t="n"/>
      <c r="F1652" s="22" t="n"/>
      <c r="G1652" s="22" t="n"/>
      <c r="H1652" s="22" t="n"/>
      <c r="I1652" s="22" t="n"/>
      <c r="J1652" s="22" t="n"/>
      <c r="K1652" s="22" t="n"/>
      <c r="L1652" s="22" t="n"/>
      <c r="M1652" s="22">
        <f>IF(K1652="Override",L1652,IF(K1652="Accept suggestion",F1652,IF(K1652="No change (same URL)",A1652,"")))</f>
        <v/>
      </c>
      <c r="N1652" s="22">
        <f>IF(A1652="","",IF(K1652="410 Gone","410",IF(K1652="404","404",IF(K1652="No change (same URL)","none",IF(M1652="","","301")))))</f>
        <v/>
      </c>
      <c r="O1652" s="22">
        <f>IF(A1652="","",IFERROR(MID(A1652,FIND("/",A1652,FIND("//",A1652)+2),2000),A1652))</f>
        <v/>
      </c>
      <c r="P1652" s="22">
        <f>IF(OR(O1652="",N1652="",N1652="none",N1652="404"),"",IF(N1652="410","Redirect gone "&amp;O1652,"Redirect "&amp;N1652&amp;" "&amp;O1652&amp;" "&amp;M1652))</f>
        <v/>
      </c>
      <c r="Q1652" s="22" t="n"/>
      <c r="R1652" s="22" t="n"/>
      <c r="S1652" s="22" t="n"/>
      <c r="T1652" s="4">
        <f>IF(A1652="","",TRIM(IF(K1652="","Needs decision; ","")&amp;IF(AND(K1652="Accept suggestion",F1652=""),"No suggestion to accept; ","")&amp;IF(AND(K1652="Override",L1652=""),"Override URL missing; ","")&amp;IF(AND(K1652="Accept suggestion",N(G1652)&lt;$G$2),"Below your threshold; ","")&amp;IF(AND(M1652&lt;&gt;"",M1652=A1652,K1652&lt;&gt;"No change (same URL)"),"Redirects to itself; ","")&amp;IF(AND(M1652&lt;&gt;"",OR(M1652="/",AND(LEFT(M1652,4)="http",OR((LEN(M1652)-LEN(SUBSTITUTE(M1652,"/","")))=2,AND((LEN(M1652)-LEN(SUBSTITUTE(M1652,"/","")))=3,RIGHT(M1652,1)="/"))))),"Home page redirect; ","")&amp;IF(N(R1652)&gt;1,"Chain; ","")&amp;IF(S1652="No","Destination not 200; ","")))</f>
        <v/>
      </c>
      <c r="U1652" s="22" t="n"/>
      <c r="V1652" s="22" t="n"/>
      <c r="W1652" s="4" t="n"/>
    </row>
    <row r="1653">
      <c r="A1653" s="22" t="n"/>
      <c r="B1653" s="22" t="n"/>
      <c r="C1653" s="22" t="n"/>
      <c r="D1653" s="22">
        <f>IF(A1653="","",IF(OR(N(B1653)&gt;=$C$2,N(C1653)&gt;=$E$2),"High",IF(OR(N(B1653)&gt;0,N(C1653)&gt;0),"Medium","Low")))</f>
        <v/>
      </c>
      <c r="E1653" s="22" t="n"/>
      <c r="F1653" s="22" t="n"/>
      <c r="G1653" s="22" t="n"/>
      <c r="H1653" s="22" t="n"/>
      <c r="I1653" s="22" t="n"/>
      <c r="J1653" s="22" t="n"/>
      <c r="K1653" s="22" t="n"/>
      <c r="L1653" s="22" t="n"/>
      <c r="M1653" s="22">
        <f>IF(K1653="Override",L1653,IF(K1653="Accept suggestion",F1653,IF(K1653="No change (same URL)",A1653,"")))</f>
        <v/>
      </c>
      <c r="N1653" s="22">
        <f>IF(A1653="","",IF(K1653="410 Gone","410",IF(K1653="404","404",IF(K1653="No change (same URL)","none",IF(M1653="","","301")))))</f>
        <v/>
      </c>
      <c r="O1653" s="22">
        <f>IF(A1653="","",IFERROR(MID(A1653,FIND("/",A1653,FIND("//",A1653)+2),2000),A1653))</f>
        <v/>
      </c>
      <c r="P1653" s="22">
        <f>IF(OR(O1653="",N1653="",N1653="none",N1653="404"),"",IF(N1653="410","Redirect gone "&amp;O1653,"Redirect "&amp;N1653&amp;" "&amp;O1653&amp;" "&amp;M1653))</f>
        <v/>
      </c>
      <c r="Q1653" s="22" t="n"/>
      <c r="R1653" s="22" t="n"/>
      <c r="S1653" s="22" t="n"/>
      <c r="T1653" s="4">
        <f>IF(A1653="","",TRIM(IF(K1653="","Needs decision; ","")&amp;IF(AND(K1653="Accept suggestion",F1653=""),"No suggestion to accept; ","")&amp;IF(AND(K1653="Override",L1653=""),"Override URL missing; ","")&amp;IF(AND(K1653="Accept suggestion",N(G1653)&lt;$G$2),"Below your threshold; ","")&amp;IF(AND(M1653&lt;&gt;"",M1653=A1653,K1653&lt;&gt;"No change (same URL)"),"Redirects to itself; ","")&amp;IF(AND(M1653&lt;&gt;"",OR(M1653="/",AND(LEFT(M1653,4)="http",OR((LEN(M1653)-LEN(SUBSTITUTE(M1653,"/","")))=2,AND((LEN(M1653)-LEN(SUBSTITUTE(M1653,"/","")))=3,RIGHT(M1653,1)="/"))))),"Home page redirect; ","")&amp;IF(N(R1653)&gt;1,"Chain; ","")&amp;IF(S1653="No","Destination not 200; ","")))</f>
        <v/>
      </c>
      <c r="U1653" s="22" t="n"/>
      <c r="V1653" s="22" t="n"/>
      <c r="W1653" s="4" t="n"/>
    </row>
    <row r="1654">
      <c r="A1654" s="22" t="n"/>
      <c r="B1654" s="22" t="n"/>
      <c r="C1654" s="22" t="n"/>
      <c r="D1654" s="22">
        <f>IF(A1654="","",IF(OR(N(B1654)&gt;=$C$2,N(C1654)&gt;=$E$2),"High",IF(OR(N(B1654)&gt;0,N(C1654)&gt;0),"Medium","Low")))</f>
        <v/>
      </c>
      <c r="E1654" s="22" t="n"/>
      <c r="F1654" s="22" t="n"/>
      <c r="G1654" s="22" t="n"/>
      <c r="H1654" s="22" t="n"/>
      <c r="I1654" s="22" t="n"/>
      <c r="J1654" s="22" t="n"/>
      <c r="K1654" s="22" t="n"/>
      <c r="L1654" s="22" t="n"/>
      <c r="M1654" s="22">
        <f>IF(K1654="Override",L1654,IF(K1654="Accept suggestion",F1654,IF(K1654="No change (same URL)",A1654,"")))</f>
        <v/>
      </c>
      <c r="N1654" s="22">
        <f>IF(A1654="","",IF(K1654="410 Gone","410",IF(K1654="404","404",IF(K1654="No change (same URL)","none",IF(M1654="","","301")))))</f>
        <v/>
      </c>
      <c r="O1654" s="22">
        <f>IF(A1654="","",IFERROR(MID(A1654,FIND("/",A1654,FIND("//",A1654)+2),2000),A1654))</f>
        <v/>
      </c>
      <c r="P1654" s="22">
        <f>IF(OR(O1654="",N1654="",N1654="none",N1654="404"),"",IF(N1654="410","Redirect gone "&amp;O1654,"Redirect "&amp;N1654&amp;" "&amp;O1654&amp;" "&amp;M1654))</f>
        <v/>
      </c>
      <c r="Q1654" s="22" t="n"/>
      <c r="R1654" s="22" t="n"/>
      <c r="S1654" s="22" t="n"/>
      <c r="T1654" s="4">
        <f>IF(A1654="","",TRIM(IF(K1654="","Needs decision; ","")&amp;IF(AND(K1654="Accept suggestion",F1654=""),"No suggestion to accept; ","")&amp;IF(AND(K1654="Override",L1654=""),"Override URL missing; ","")&amp;IF(AND(K1654="Accept suggestion",N(G1654)&lt;$G$2),"Below your threshold; ","")&amp;IF(AND(M1654&lt;&gt;"",M1654=A1654,K1654&lt;&gt;"No change (same URL)"),"Redirects to itself; ","")&amp;IF(AND(M1654&lt;&gt;"",OR(M1654="/",AND(LEFT(M1654,4)="http",OR((LEN(M1654)-LEN(SUBSTITUTE(M1654,"/","")))=2,AND((LEN(M1654)-LEN(SUBSTITUTE(M1654,"/","")))=3,RIGHT(M1654,1)="/"))))),"Home page redirect; ","")&amp;IF(N(R1654)&gt;1,"Chain; ","")&amp;IF(S1654="No","Destination not 200; ","")))</f>
        <v/>
      </c>
      <c r="U1654" s="22" t="n"/>
      <c r="V1654" s="22" t="n"/>
      <c r="W1654" s="4" t="n"/>
    </row>
    <row r="1655">
      <c r="A1655" s="22" t="n"/>
      <c r="B1655" s="22" t="n"/>
      <c r="C1655" s="22" t="n"/>
      <c r="D1655" s="22">
        <f>IF(A1655="","",IF(OR(N(B1655)&gt;=$C$2,N(C1655)&gt;=$E$2),"High",IF(OR(N(B1655)&gt;0,N(C1655)&gt;0),"Medium","Low")))</f>
        <v/>
      </c>
      <c r="E1655" s="22" t="n"/>
      <c r="F1655" s="22" t="n"/>
      <c r="G1655" s="22" t="n"/>
      <c r="H1655" s="22" t="n"/>
      <c r="I1655" s="22" t="n"/>
      <c r="J1655" s="22" t="n"/>
      <c r="K1655" s="22" t="n"/>
      <c r="L1655" s="22" t="n"/>
      <c r="M1655" s="22">
        <f>IF(K1655="Override",L1655,IF(K1655="Accept suggestion",F1655,IF(K1655="No change (same URL)",A1655,"")))</f>
        <v/>
      </c>
      <c r="N1655" s="22">
        <f>IF(A1655="","",IF(K1655="410 Gone","410",IF(K1655="404","404",IF(K1655="No change (same URL)","none",IF(M1655="","","301")))))</f>
        <v/>
      </c>
      <c r="O1655" s="22">
        <f>IF(A1655="","",IFERROR(MID(A1655,FIND("/",A1655,FIND("//",A1655)+2),2000),A1655))</f>
        <v/>
      </c>
      <c r="P1655" s="22">
        <f>IF(OR(O1655="",N1655="",N1655="none",N1655="404"),"",IF(N1655="410","Redirect gone "&amp;O1655,"Redirect "&amp;N1655&amp;" "&amp;O1655&amp;" "&amp;M1655))</f>
        <v/>
      </c>
      <c r="Q1655" s="22" t="n"/>
      <c r="R1655" s="22" t="n"/>
      <c r="S1655" s="22" t="n"/>
      <c r="T1655" s="4">
        <f>IF(A1655="","",TRIM(IF(K1655="","Needs decision; ","")&amp;IF(AND(K1655="Accept suggestion",F1655=""),"No suggestion to accept; ","")&amp;IF(AND(K1655="Override",L1655=""),"Override URL missing; ","")&amp;IF(AND(K1655="Accept suggestion",N(G1655)&lt;$G$2),"Below your threshold; ","")&amp;IF(AND(M1655&lt;&gt;"",M1655=A1655,K1655&lt;&gt;"No change (same URL)"),"Redirects to itself; ","")&amp;IF(AND(M1655&lt;&gt;"",OR(M1655="/",AND(LEFT(M1655,4)="http",OR((LEN(M1655)-LEN(SUBSTITUTE(M1655,"/","")))=2,AND((LEN(M1655)-LEN(SUBSTITUTE(M1655,"/","")))=3,RIGHT(M1655,1)="/"))))),"Home page redirect; ","")&amp;IF(N(R1655)&gt;1,"Chain; ","")&amp;IF(S1655="No","Destination not 200; ","")))</f>
        <v/>
      </c>
      <c r="U1655" s="22" t="n"/>
      <c r="V1655" s="22" t="n"/>
      <c r="W1655" s="4" t="n"/>
    </row>
    <row r="1656">
      <c r="A1656" s="22" t="n"/>
      <c r="B1656" s="22" t="n"/>
      <c r="C1656" s="22" t="n"/>
      <c r="D1656" s="22">
        <f>IF(A1656="","",IF(OR(N(B1656)&gt;=$C$2,N(C1656)&gt;=$E$2),"High",IF(OR(N(B1656)&gt;0,N(C1656)&gt;0),"Medium","Low")))</f>
        <v/>
      </c>
      <c r="E1656" s="22" t="n"/>
      <c r="F1656" s="22" t="n"/>
      <c r="G1656" s="22" t="n"/>
      <c r="H1656" s="22" t="n"/>
      <c r="I1656" s="22" t="n"/>
      <c r="J1656" s="22" t="n"/>
      <c r="K1656" s="22" t="n"/>
      <c r="L1656" s="22" t="n"/>
      <c r="M1656" s="22">
        <f>IF(K1656="Override",L1656,IF(K1656="Accept suggestion",F1656,IF(K1656="No change (same URL)",A1656,"")))</f>
        <v/>
      </c>
      <c r="N1656" s="22">
        <f>IF(A1656="","",IF(K1656="410 Gone","410",IF(K1656="404","404",IF(K1656="No change (same URL)","none",IF(M1656="","","301")))))</f>
        <v/>
      </c>
      <c r="O1656" s="22">
        <f>IF(A1656="","",IFERROR(MID(A1656,FIND("/",A1656,FIND("//",A1656)+2),2000),A1656))</f>
        <v/>
      </c>
      <c r="P1656" s="22">
        <f>IF(OR(O1656="",N1656="",N1656="none",N1656="404"),"",IF(N1656="410","Redirect gone "&amp;O1656,"Redirect "&amp;N1656&amp;" "&amp;O1656&amp;" "&amp;M1656))</f>
        <v/>
      </c>
      <c r="Q1656" s="22" t="n"/>
      <c r="R1656" s="22" t="n"/>
      <c r="S1656" s="22" t="n"/>
      <c r="T1656" s="4">
        <f>IF(A1656="","",TRIM(IF(K1656="","Needs decision; ","")&amp;IF(AND(K1656="Accept suggestion",F1656=""),"No suggestion to accept; ","")&amp;IF(AND(K1656="Override",L1656=""),"Override URL missing; ","")&amp;IF(AND(K1656="Accept suggestion",N(G1656)&lt;$G$2),"Below your threshold; ","")&amp;IF(AND(M1656&lt;&gt;"",M1656=A1656,K1656&lt;&gt;"No change (same URL)"),"Redirects to itself; ","")&amp;IF(AND(M1656&lt;&gt;"",OR(M1656="/",AND(LEFT(M1656,4)="http",OR((LEN(M1656)-LEN(SUBSTITUTE(M1656,"/","")))=2,AND((LEN(M1656)-LEN(SUBSTITUTE(M1656,"/","")))=3,RIGHT(M1656,1)="/"))))),"Home page redirect; ","")&amp;IF(N(R1656)&gt;1,"Chain; ","")&amp;IF(S1656="No","Destination not 200; ","")))</f>
        <v/>
      </c>
      <c r="U1656" s="22" t="n"/>
      <c r="V1656" s="22" t="n"/>
      <c r="W1656" s="4" t="n"/>
    </row>
    <row r="1657">
      <c r="A1657" s="22" t="n"/>
      <c r="B1657" s="22" t="n"/>
      <c r="C1657" s="22" t="n"/>
      <c r="D1657" s="22">
        <f>IF(A1657="","",IF(OR(N(B1657)&gt;=$C$2,N(C1657)&gt;=$E$2),"High",IF(OR(N(B1657)&gt;0,N(C1657)&gt;0),"Medium","Low")))</f>
        <v/>
      </c>
      <c r="E1657" s="22" t="n"/>
      <c r="F1657" s="22" t="n"/>
      <c r="G1657" s="22" t="n"/>
      <c r="H1657" s="22" t="n"/>
      <c r="I1657" s="22" t="n"/>
      <c r="J1657" s="22" t="n"/>
      <c r="K1657" s="22" t="n"/>
      <c r="L1657" s="22" t="n"/>
      <c r="M1657" s="22">
        <f>IF(K1657="Override",L1657,IF(K1657="Accept suggestion",F1657,IF(K1657="No change (same URL)",A1657,"")))</f>
        <v/>
      </c>
      <c r="N1657" s="22">
        <f>IF(A1657="","",IF(K1657="410 Gone","410",IF(K1657="404","404",IF(K1657="No change (same URL)","none",IF(M1657="","","301")))))</f>
        <v/>
      </c>
      <c r="O1657" s="22">
        <f>IF(A1657="","",IFERROR(MID(A1657,FIND("/",A1657,FIND("//",A1657)+2),2000),A1657))</f>
        <v/>
      </c>
      <c r="P1657" s="22">
        <f>IF(OR(O1657="",N1657="",N1657="none",N1657="404"),"",IF(N1657="410","Redirect gone "&amp;O1657,"Redirect "&amp;N1657&amp;" "&amp;O1657&amp;" "&amp;M1657))</f>
        <v/>
      </c>
      <c r="Q1657" s="22" t="n"/>
      <c r="R1657" s="22" t="n"/>
      <c r="S1657" s="22" t="n"/>
      <c r="T1657" s="4">
        <f>IF(A1657="","",TRIM(IF(K1657="","Needs decision; ","")&amp;IF(AND(K1657="Accept suggestion",F1657=""),"No suggestion to accept; ","")&amp;IF(AND(K1657="Override",L1657=""),"Override URL missing; ","")&amp;IF(AND(K1657="Accept suggestion",N(G1657)&lt;$G$2),"Below your threshold; ","")&amp;IF(AND(M1657&lt;&gt;"",M1657=A1657,K1657&lt;&gt;"No change (same URL)"),"Redirects to itself; ","")&amp;IF(AND(M1657&lt;&gt;"",OR(M1657="/",AND(LEFT(M1657,4)="http",OR((LEN(M1657)-LEN(SUBSTITUTE(M1657,"/","")))=2,AND((LEN(M1657)-LEN(SUBSTITUTE(M1657,"/","")))=3,RIGHT(M1657,1)="/"))))),"Home page redirect; ","")&amp;IF(N(R1657)&gt;1,"Chain; ","")&amp;IF(S1657="No","Destination not 200; ","")))</f>
        <v/>
      </c>
      <c r="U1657" s="22" t="n"/>
      <c r="V1657" s="22" t="n"/>
      <c r="W1657" s="4" t="n"/>
    </row>
    <row r="1658">
      <c r="A1658" s="22" t="n"/>
      <c r="B1658" s="22" t="n"/>
      <c r="C1658" s="22" t="n"/>
      <c r="D1658" s="22">
        <f>IF(A1658="","",IF(OR(N(B1658)&gt;=$C$2,N(C1658)&gt;=$E$2),"High",IF(OR(N(B1658)&gt;0,N(C1658)&gt;0),"Medium","Low")))</f>
        <v/>
      </c>
      <c r="E1658" s="22" t="n"/>
      <c r="F1658" s="22" t="n"/>
      <c r="G1658" s="22" t="n"/>
      <c r="H1658" s="22" t="n"/>
      <c r="I1658" s="22" t="n"/>
      <c r="J1658" s="22" t="n"/>
      <c r="K1658" s="22" t="n"/>
      <c r="L1658" s="22" t="n"/>
      <c r="M1658" s="22">
        <f>IF(K1658="Override",L1658,IF(K1658="Accept suggestion",F1658,IF(K1658="No change (same URL)",A1658,"")))</f>
        <v/>
      </c>
      <c r="N1658" s="22">
        <f>IF(A1658="","",IF(K1658="410 Gone","410",IF(K1658="404","404",IF(K1658="No change (same URL)","none",IF(M1658="","","301")))))</f>
        <v/>
      </c>
      <c r="O1658" s="22">
        <f>IF(A1658="","",IFERROR(MID(A1658,FIND("/",A1658,FIND("//",A1658)+2),2000),A1658))</f>
        <v/>
      </c>
      <c r="P1658" s="22">
        <f>IF(OR(O1658="",N1658="",N1658="none",N1658="404"),"",IF(N1658="410","Redirect gone "&amp;O1658,"Redirect "&amp;N1658&amp;" "&amp;O1658&amp;" "&amp;M1658))</f>
        <v/>
      </c>
      <c r="Q1658" s="22" t="n"/>
      <c r="R1658" s="22" t="n"/>
      <c r="S1658" s="22" t="n"/>
      <c r="T1658" s="4">
        <f>IF(A1658="","",TRIM(IF(K1658="","Needs decision; ","")&amp;IF(AND(K1658="Accept suggestion",F1658=""),"No suggestion to accept; ","")&amp;IF(AND(K1658="Override",L1658=""),"Override URL missing; ","")&amp;IF(AND(K1658="Accept suggestion",N(G1658)&lt;$G$2),"Below your threshold; ","")&amp;IF(AND(M1658&lt;&gt;"",M1658=A1658,K1658&lt;&gt;"No change (same URL)"),"Redirects to itself; ","")&amp;IF(AND(M1658&lt;&gt;"",OR(M1658="/",AND(LEFT(M1658,4)="http",OR((LEN(M1658)-LEN(SUBSTITUTE(M1658,"/","")))=2,AND((LEN(M1658)-LEN(SUBSTITUTE(M1658,"/","")))=3,RIGHT(M1658,1)="/"))))),"Home page redirect; ","")&amp;IF(N(R1658)&gt;1,"Chain; ","")&amp;IF(S1658="No","Destination not 200; ","")))</f>
        <v/>
      </c>
      <c r="U1658" s="22" t="n"/>
      <c r="V1658" s="22" t="n"/>
      <c r="W1658" s="4" t="n"/>
    </row>
    <row r="1659">
      <c r="A1659" s="22" t="n"/>
      <c r="B1659" s="22" t="n"/>
      <c r="C1659" s="22" t="n"/>
      <c r="D1659" s="22">
        <f>IF(A1659="","",IF(OR(N(B1659)&gt;=$C$2,N(C1659)&gt;=$E$2),"High",IF(OR(N(B1659)&gt;0,N(C1659)&gt;0),"Medium","Low")))</f>
        <v/>
      </c>
      <c r="E1659" s="22" t="n"/>
      <c r="F1659" s="22" t="n"/>
      <c r="G1659" s="22" t="n"/>
      <c r="H1659" s="22" t="n"/>
      <c r="I1659" s="22" t="n"/>
      <c r="J1659" s="22" t="n"/>
      <c r="K1659" s="22" t="n"/>
      <c r="L1659" s="22" t="n"/>
      <c r="M1659" s="22">
        <f>IF(K1659="Override",L1659,IF(K1659="Accept suggestion",F1659,IF(K1659="No change (same URL)",A1659,"")))</f>
        <v/>
      </c>
      <c r="N1659" s="22">
        <f>IF(A1659="","",IF(K1659="410 Gone","410",IF(K1659="404","404",IF(K1659="No change (same URL)","none",IF(M1659="","","301")))))</f>
        <v/>
      </c>
      <c r="O1659" s="22">
        <f>IF(A1659="","",IFERROR(MID(A1659,FIND("/",A1659,FIND("//",A1659)+2),2000),A1659))</f>
        <v/>
      </c>
      <c r="P1659" s="22">
        <f>IF(OR(O1659="",N1659="",N1659="none",N1659="404"),"",IF(N1659="410","Redirect gone "&amp;O1659,"Redirect "&amp;N1659&amp;" "&amp;O1659&amp;" "&amp;M1659))</f>
        <v/>
      </c>
      <c r="Q1659" s="22" t="n"/>
      <c r="R1659" s="22" t="n"/>
      <c r="S1659" s="22" t="n"/>
      <c r="T1659" s="4">
        <f>IF(A1659="","",TRIM(IF(K1659="","Needs decision; ","")&amp;IF(AND(K1659="Accept suggestion",F1659=""),"No suggestion to accept; ","")&amp;IF(AND(K1659="Override",L1659=""),"Override URL missing; ","")&amp;IF(AND(K1659="Accept suggestion",N(G1659)&lt;$G$2),"Below your threshold; ","")&amp;IF(AND(M1659&lt;&gt;"",M1659=A1659,K1659&lt;&gt;"No change (same URL)"),"Redirects to itself; ","")&amp;IF(AND(M1659&lt;&gt;"",OR(M1659="/",AND(LEFT(M1659,4)="http",OR((LEN(M1659)-LEN(SUBSTITUTE(M1659,"/","")))=2,AND((LEN(M1659)-LEN(SUBSTITUTE(M1659,"/","")))=3,RIGHT(M1659,1)="/"))))),"Home page redirect; ","")&amp;IF(N(R1659)&gt;1,"Chain; ","")&amp;IF(S1659="No","Destination not 200; ","")))</f>
        <v/>
      </c>
      <c r="U1659" s="22" t="n"/>
      <c r="V1659" s="22" t="n"/>
      <c r="W1659" s="4" t="n"/>
    </row>
    <row r="1660">
      <c r="A1660" s="22" t="n"/>
      <c r="B1660" s="22" t="n"/>
      <c r="C1660" s="22" t="n"/>
      <c r="D1660" s="22">
        <f>IF(A1660="","",IF(OR(N(B1660)&gt;=$C$2,N(C1660)&gt;=$E$2),"High",IF(OR(N(B1660)&gt;0,N(C1660)&gt;0),"Medium","Low")))</f>
        <v/>
      </c>
      <c r="E1660" s="22" t="n"/>
      <c r="F1660" s="22" t="n"/>
      <c r="G1660" s="22" t="n"/>
      <c r="H1660" s="22" t="n"/>
      <c r="I1660" s="22" t="n"/>
      <c r="J1660" s="22" t="n"/>
      <c r="K1660" s="22" t="n"/>
      <c r="L1660" s="22" t="n"/>
      <c r="M1660" s="22">
        <f>IF(K1660="Override",L1660,IF(K1660="Accept suggestion",F1660,IF(K1660="No change (same URL)",A1660,"")))</f>
        <v/>
      </c>
      <c r="N1660" s="22">
        <f>IF(A1660="","",IF(K1660="410 Gone","410",IF(K1660="404","404",IF(K1660="No change (same URL)","none",IF(M1660="","","301")))))</f>
        <v/>
      </c>
      <c r="O1660" s="22">
        <f>IF(A1660="","",IFERROR(MID(A1660,FIND("/",A1660,FIND("//",A1660)+2),2000),A1660))</f>
        <v/>
      </c>
      <c r="P1660" s="22">
        <f>IF(OR(O1660="",N1660="",N1660="none",N1660="404"),"",IF(N1660="410","Redirect gone "&amp;O1660,"Redirect "&amp;N1660&amp;" "&amp;O1660&amp;" "&amp;M1660))</f>
        <v/>
      </c>
      <c r="Q1660" s="22" t="n"/>
      <c r="R1660" s="22" t="n"/>
      <c r="S1660" s="22" t="n"/>
      <c r="T1660" s="4">
        <f>IF(A1660="","",TRIM(IF(K1660="","Needs decision; ","")&amp;IF(AND(K1660="Accept suggestion",F1660=""),"No suggestion to accept; ","")&amp;IF(AND(K1660="Override",L1660=""),"Override URL missing; ","")&amp;IF(AND(K1660="Accept suggestion",N(G1660)&lt;$G$2),"Below your threshold; ","")&amp;IF(AND(M1660&lt;&gt;"",M1660=A1660,K1660&lt;&gt;"No change (same URL)"),"Redirects to itself; ","")&amp;IF(AND(M1660&lt;&gt;"",OR(M1660="/",AND(LEFT(M1660,4)="http",OR((LEN(M1660)-LEN(SUBSTITUTE(M1660,"/","")))=2,AND((LEN(M1660)-LEN(SUBSTITUTE(M1660,"/","")))=3,RIGHT(M1660,1)="/"))))),"Home page redirect; ","")&amp;IF(N(R1660)&gt;1,"Chain; ","")&amp;IF(S1660="No","Destination not 200; ","")))</f>
        <v/>
      </c>
      <c r="U1660" s="22" t="n"/>
      <c r="V1660" s="22" t="n"/>
      <c r="W1660" s="4" t="n"/>
    </row>
    <row r="1661">
      <c r="A1661" s="22" t="n"/>
      <c r="B1661" s="22" t="n"/>
      <c r="C1661" s="22" t="n"/>
      <c r="D1661" s="22">
        <f>IF(A1661="","",IF(OR(N(B1661)&gt;=$C$2,N(C1661)&gt;=$E$2),"High",IF(OR(N(B1661)&gt;0,N(C1661)&gt;0),"Medium","Low")))</f>
        <v/>
      </c>
      <c r="E1661" s="22" t="n"/>
      <c r="F1661" s="22" t="n"/>
      <c r="G1661" s="22" t="n"/>
      <c r="H1661" s="22" t="n"/>
      <c r="I1661" s="22" t="n"/>
      <c r="J1661" s="22" t="n"/>
      <c r="K1661" s="22" t="n"/>
      <c r="L1661" s="22" t="n"/>
      <c r="M1661" s="22">
        <f>IF(K1661="Override",L1661,IF(K1661="Accept suggestion",F1661,IF(K1661="No change (same URL)",A1661,"")))</f>
        <v/>
      </c>
      <c r="N1661" s="22">
        <f>IF(A1661="","",IF(K1661="410 Gone","410",IF(K1661="404","404",IF(K1661="No change (same URL)","none",IF(M1661="","","301")))))</f>
        <v/>
      </c>
      <c r="O1661" s="22">
        <f>IF(A1661="","",IFERROR(MID(A1661,FIND("/",A1661,FIND("//",A1661)+2),2000),A1661))</f>
        <v/>
      </c>
      <c r="P1661" s="22">
        <f>IF(OR(O1661="",N1661="",N1661="none",N1661="404"),"",IF(N1661="410","Redirect gone "&amp;O1661,"Redirect "&amp;N1661&amp;" "&amp;O1661&amp;" "&amp;M1661))</f>
        <v/>
      </c>
      <c r="Q1661" s="22" t="n"/>
      <c r="R1661" s="22" t="n"/>
      <c r="S1661" s="22" t="n"/>
      <c r="T1661" s="4">
        <f>IF(A1661="","",TRIM(IF(K1661="","Needs decision; ","")&amp;IF(AND(K1661="Accept suggestion",F1661=""),"No suggestion to accept; ","")&amp;IF(AND(K1661="Override",L1661=""),"Override URL missing; ","")&amp;IF(AND(K1661="Accept suggestion",N(G1661)&lt;$G$2),"Below your threshold; ","")&amp;IF(AND(M1661&lt;&gt;"",M1661=A1661,K1661&lt;&gt;"No change (same URL)"),"Redirects to itself; ","")&amp;IF(AND(M1661&lt;&gt;"",OR(M1661="/",AND(LEFT(M1661,4)="http",OR((LEN(M1661)-LEN(SUBSTITUTE(M1661,"/","")))=2,AND((LEN(M1661)-LEN(SUBSTITUTE(M1661,"/","")))=3,RIGHT(M1661,1)="/"))))),"Home page redirect; ","")&amp;IF(N(R1661)&gt;1,"Chain; ","")&amp;IF(S1661="No","Destination not 200; ","")))</f>
        <v/>
      </c>
      <c r="U1661" s="22" t="n"/>
      <c r="V1661" s="22" t="n"/>
      <c r="W1661" s="4" t="n"/>
    </row>
    <row r="1662">
      <c r="A1662" s="22" t="n"/>
      <c r="B1662" s="22" t="n"/>
      <c r="C1662" s="22" t="n"/>
      <c r="D1662" s="22">
        <f>IF(A1662="","",IF(OR(N(B1662)&gt;=$C$2,N(C1662)&gt;=$E$2),"High",IF(OR(N(B1662)&gt;0,N(C1662)&gt;0),"Medium","Low")))</f>
        <v/>
      </c>
      <c r="E1662" s="22" t="n"/>
      <c r="F1662" s="22" t="n"/>
      <c r="G1662" s="22" t="n"/>
      <c r="H1662" s="22" t="n"/>
      <c r="I1662" s="22" t="n"/>
      <c r="J1662" s="22" t="n"/>
      <c r="K1662" s="22" t="n"/>
      <c r="L1662" s="22" t="n"/>
      <c r="M1662" s="22">
        <f>IF(K1662="Override",L1662,IF(K1662="Accept suggestion",F1662,IF(K1662="No change (same URL)",A1662,"")))</f>
        <v/>
      </c>
      <c r="N1662" s="22">
        <f>IF(A1662="","",IF(K1662="410 Gone","410",IF(K1662="404","404",IF(K1662="No change (same URL)","none",IF(M1662="","","301")))))</f>
        <v/>
      </c>
      <c r="O1662" s="22">
        <f>IF(A1662="","",IFERROR(MID(A1662,FIND("/",A1662,FIND("//",A1662)+2),2000),A1662))</f>
        <v/>
      </c>
      <c r="P1662" s="22">
        <f>IF(OR(O1662="",N1662="",N1662="none",N1662="404"),"",IF(N1662="410","Redirect gone "&amp;O1662,"Redirect "&amp;N1662&amp;" "&amp;O1662&amp;" "&amp;M1662))</f>
        <v/>
      </c>
      <c r="Q1662" s="22" t="n"/>
      <c r="R1662" s="22" t="n"/>
      <c r="S1662" s="22" t="n"/>
      <c r="T1662" s="4">
        <f>IF(A1662="","",TRIM(IF(K1662="","Needs decision; ","")&amp;IF(AND(K1662="Accept suggestion",F1662=""),"No suggestion to accept; ","")&amp;IF(AND(K1662="Override",L1662=""),"Override URL missing; ","")&amp;IF(AND(K1662="Accept suggestion",N(G1662)&lt;$G$2),"Below your threshold; ","")&amp;IF(AND(M1662&lt;&gt;"",M1662=A1662,K1662&lt;&gt;"No change (same URL)"),"Redirects to itself; ","")&amp;IF(AND(M1662&lt;&gt;"",OR(M1662="/",AND(LEFT(M1662,4)="http",OR((LEN(M1662)-LEN(SUBSTITUTE(M1662,"/","")))=2,AND((LEN(M1662)-LEN(SUBSTITUTE(M1662,"/","")))=3,RIGHT(M1662,1)="/"))))),"Home page redirect; ","")&amp;IF(N(R1662)&gt;1,"Chain; ","")&amp;IF(S1662="No","Destination not 200; ","")))</f>
        <v/>
      </c>
      <c r="U1662" s="22" t="n"/>
      <c r="V1662" s="22" t="n"/>
      <c r="W1662" s="4" t="n"/>
    </row>
    <row r="1663">
      <c r="A1663" s="22" t="n"/>
      <c r="B1663" s="22" t="n"/>
      <c r="C1663" s="22" t="n"/>
      <c r="D1663" s="22">
        <f>IF(A1663="","",IF(OR(N(B1663)&gt;=$C$2,N(C1663)&gt;=$E$2),"High",IF(OR(N(B1663)&gt;0,N(C1663)&gt;0),"Medium","Low")))</f>
        <v/>
      </c>
      <c r="E1663" s="22" t="n"/>
      <c r="F1663" s="22" t="n"/>
      <c r="G1663" s="22" t="n"/>
      <c r="H1663" s="22" t="n"/>
      <c r="I1663" s="22" t="n"/>
      <c r="J1663" s="22" t="n"/>
      <c r="K1663" s="22" t="n"/>
      <c r="L1663" s="22" t="n"/>
      <c r="M1663" s="22">
        <f>IF(K1663="Override",L1663,IF(K1663="Accept suggestion",F1663,IF(K1663="No change (same URL)",A1663,"")))</f>
        <v/>
      </c>
      <c r="N1663" s="22">
        <f>IF(A1663="","",IF(K1663="410 Gone","410",IF(K1663="404","404",IF(K1663="No change (same URL)","none",IF(M1663="","","301")))))</f>
        <v/>
      </c>
      <c r="O1663" s="22">
        <f>IF(A1663="","",IFERROR(MID(A1663,FIND("/",A1663,FIND("//",A1663)+2),2000),A1663))</f>
        <v/>
      </c>
      <c r="P1663" s="22">
        <f>IF(OR(O1663="",N1663="",N1663="none",N1663="404"),"",IF(N1663="410","Redirect gone "&amp;O1663,"Redirect "&amp;N1663&amp;" "&amp;O1663&amp;" "&amp;M1663))</f>
        <v/>
      </c>
      <c r="Q1663" s="22" t="n"/>
      <c r="R1663" s="22" t="n"/>
      <c r="S1663" s="22" t="n"/>
      <c r="T1663" s="4">
        <f>IF(A1663="","",TRIM(IF(K1663="","Needs decision; ","")&amp;IF(AND(K1663="Accept suggestion",F1663=""),"No suggestion to accept; ","")&amp;IF(AND(K1663="Override",L1663=""),"Override URL missing; ","")&amp;IF(AND(K1663="Accept suggestion",N(G1663)&lt;$G$2),"Below your threshold; ","")&amp;IF(AND(M1663&lt;&gt;"",M1663=A1663,K1663&lt;&gt;"No change (same URL)"),"Redirects to itself; ","")&amp;IF(AND(M1663&lt;&gt;"",OR(M1663="/",AND(LEFT(M1663,4)="http",OR((LEN(M1663)-LEN(SUBSTITUTE(M1663,"/","")))=2,AND((LEN(M1663)-LEN(SUBSTITUTE(M1663,"/","")))=3,RIGHT(M1663,1)="/"))))),"Home page redirect; ","")&amp;IF(N(R1663)&gt;1,"Chain; ","")&amp;IF(S1663="No","Destination not 200; ","")))</f>
        <v/>
      </c>
      <c r="U1663" s="22" t="n"/>
      <c r="V1663" s="22" t="n"/>
      <c r="W1663" s="4" t="n"/>
    </row>
    <row r="1664">
      <c r="A1664" s="22" t="n"/>
      <c r="B1664" s="22" t="n"/>
      <c r="C1664" s="22" t="n"/>
      <c r="D1664" s="22">
        <f>IF(A1664="","",IF(OR(N(B1664)&gt;=$C$2,N(C1664)&gt;=$E$2),"High",IF(OR(N(B1664)&gt;0,N(C1664)&gt;0),"Medium","Low")))</f>
        <v/>
      </c>
      <c r="E1664" s="22" t="n"/>
      <c r="F1664" s="22" t="n"/>
      <c r="G1664" s="22" t="n"/>
      <c r="H1664" s="22" t="n"/>
      <c r="I1664" s="22" t="n"/>
      <c r="J1664" s="22" t="n"/>
      <c r="K1664" s="22" t="n"/>
      <c r="L1664" s="22" t="n"/>
      <c r="M1664" s="22">
        <f>IF(K1664="Override",L1664,IF(K1664="Accept suggestion",F1664,IF(K1664="No change (same URL)",A1664,"")))</f>
        <v/>
      </c>
      <c r="N1664" s="22">
        <f>IF(A1664="","",IF(K1664="410 Gone","410",IF(K1664="404","404",IF(K1664="No change (same URL)","none",IF(M1664="","","301")))))</f>
        <v/>
      </c>
      <c r="O1664" s="22">
        <f>IF(A1664="","",IFERROR(MID(A1664,FIND("/",A1664,FIND("//",A1664)+2),2000),A1664))</f>
        <v/>
      </c>
      <c r="P1664" s="22">
        <f>IF(OR(O1664="",N1664="",N1664="none",N1664="404"),"",IF(N1664="410","Redirect gone "&amp;O1664,"Redirect "&amp;N1664&amp;" "&amp;O1664&amp;" "&amp;M1664))</f>
        <v/>
      </c>
      <c r="Q1664" s="22" t="n"/>
      <c r="R1664" s="22" t="n"/>
      <c r="S1664" s="22" t="n"/>
      <c r="T1664" s="4">
        <f>IF(A1664="","",TRIM(IF(K1664="","Needs decision; ","")&amp;IF(AND(K1664="Accept suggestion",F1664=""),"No suggestion to accept; ","")&amp;IF(AND(K1664="Override",L1664=""),"Override URL missing; ","")&amp;IF(AND(K1664="Accept suggestion",N(G1664)&lt;$G$2),"Below your threshold; ","")&amp;IF(AND(M1664&lt;&gt;"",M1664=A1664,K1664&lt;&gt;"No change (same URL)"),"Redirects to itself; ","")&amp;IF(AND(M1664&lt;&gt;"",OR(M1664="/",AND(LEFT(M1664,4)="http",OR((LEN(M1664)-LEN(SUBSTITUTE(M1664,"/","")))=2,AND((LEN(M1664)-LEN(SUBSTITUTE(M1664,"/","")))=3,RIGHT(M1664,1)="/"))))),"Home page redirect; ","")&amp;IF(N(R1664)&gt;1,"Chain; ","")&amp;IF(S1664="No","Destination not 200; ","")))</f>
        <v/>
      </c>
      <c r="U1664" s="22" t="n"/>
      <c r="V1664" s="22" t="n"/>
      <c r="W1664" s="4" t="n"/>
    </row>
    <row r="1665">
      <c r="A1665" s="22" t="n"/>
      <c r="B1665" s="22" t="n"/>
      <c r="C1665" s="22" t="n"/>
      <c r="D1665" s="22">
        <f>IF(A1665="","",IF(OR(N(B1665)&gt;=$C$2,N(C1665)&gt;=$E$2),"High",IF(OR(N(B1665)&gt;0,N(C1665)&gt;0),"Medium","Low")))</f>
        <v/>
      </c>
      <c r="E1665" s="22" t="n"/>
      <c r="F1665" s="22" t="n"/>
      <c r="G1665" s="22" t="n"/>
      <c r="H1665" s="22" t="n"/>
      <c r="I1665" s="22" t="n"/>
      <c r="J1665" s="22" t="n"/>
      <c r="K1665" s="22" t="n"/>
      <c r="L1665" s="22" t="n"/>
      <c r="M1665" s="22">
        <f>IF(K1665="Override",L1665,IF(K1665="Accept suggestion",F1665,IF(K1665="No change (same URL)",A1665,"")))</f>
        <v/>
      </c>
      <c r="N1665" s="22">
        <f>IF(A1665="","",IF(K1665="410 Gone","410",IF(K1665="404","404",IF(K1665="No change (same URL)","none",IF(M1665="","","301")))))</f>
        <v/>
      </c>
      <c r="O1665" s="22">
        <f>IF(A1665="","",IFERROR(MID(A1665,FIND("/",A1665,FIND("//",A1665)+2),2000),A1665))</f>
        <v/>
      </c>
      <c r="P1665" s="22">
        <f>IF(OR(O1665="",N1665="",N1665="none",N1665="404"),"",IF(N1665="410","Redirect gone "&amp;O1665,"Redirect "&amp;N1665&amp;" "&amp;O1665&amp;" "&amp;M1665))</f>
        <v/>
      </c>
      <c r="Q1665" s="22" t="n"/>
      <c r="R1665" s="22" t="n"/>
      <c r="S1665" s="22" t="n"/>
      <c r="T1665" s="4">
        <f>IF(A1665="","",TRIM(IF(K1665="","Needs decision; ","")&amp;IF(AND(K1665="Accept suggestion",F1665=""),"No suggestion to accept; ","")&amp;IF(AND(K1665="Override",L1665=""),"Override URL missing; ","")&amp;IF(AND(K1665="Accept suggestion",N(G1665)&lt;$G$2),"Below your threshold; ","")&amp;IF(AND(M1665&lt;&gt;"",M1665=A1665,K1665&lt;&gt;"No change (same URL)"),"Redirects to itself; ","")&amp;IF(AND(M1665&lt;&gt;"",OR(M1665="/",AND(LEFT(M1665,4)="http",OR((LEN(M1665)-LEN(SUBSTITUTE(M1665,"/","")))=2,AND((LEN(M1665)-LEN(SUBSTITUTE(M1665,"/","")))=3,RIGHT(M1665,1)="/"))))),"Home page redirect; ","")&amp;IF(N(R1665)&gt;1,"Chain; ","")&amp;IF(S1665="No","Destination not 200; ","")))</f>
        <v/>
      </c>
      <c r="U1665" s="22" t="n"/>
      <c r="V1665" s="22" t="n"/>
      <c r="W1665" s="4" t="n"/>
    </row>
    <row r="1666">
      <c r="A1666" s="22" t="n"/>
      <c r="B1666" s="22" t="n"/>
      <c r="C1666" s="22" t="n"/>
      <c r="D1666" s="22">
        <f>IF(A1666="","",IF(OR(N(B1666)&gt;=$C$2,N(C1666)&gt;=$E$2),"High",IF(OR(N(B1666)&gt;0,N(C1666)&gt;0),"Medium","Low")))</f>
        <v/>
      </c>
      <c r="E1666" s="22" t="n"/>
      <c r="F1666" s="22" t="n"/>
      <c r="G1666" s="22" t="n"/>
      <c r="H1666" s="22" t="n"/>
      <c r="I1666" s="22" t="n"/>
      <c r="J1666" s="22" t="n"/>
      <c r="K1666" s="22" t="n"/>
      <c r="L1666" s="22" t="n"/>
      <c r="M1666" s="22">
        <f>IF(K1666="Override",L1666,IF(K1666="Accept suggestion",F1666,IF(K1666="No change (same URL)",A1666,"")))</f>
        <v/>
      </c>
      <c r="N1666" s="22">
        <f>IF(A1666="","",IF(K1666="410 Gone","410",IF(K1666="404","404",IF(K1666="No change (same URL)","none",IF(M1666="","","301")))))</f>
        <v/>
      </c>
      <c r="O1666" s="22">
        <f>IF(A1666="","",IFERROR(MID(A1666,FIND("/",A1666,FIND("//",A1666)+2),2000),A1666))</f>
        <v/>
      </c>
      <c r="P1666" s="22">
        <f>IF(OR(O1666="",N1666="",N1666="none",N1666="404"),"",IF(N1666="410","Redirect gone "&amp;O1666,"Redirect "&amp;N1666&amp;" "&amp;O1666&amp;" "&amp;M1666))</f>
        <v/>
      </c>
      <c r="Q1666" s="22" t="n"/>
      <c r="R1666" s="22" t="n"/>
      <c r="S1666" s="22" t="n"/>
      <c r="T1666" s="4">
        <f>IF(A1666="","",TRIM(IF(K1666="","Needs decision; ","")&amp;IF(AND(K1666="Accept suggestion",F1666=""),"No suggestion to accept; ","")&amp;IF(AND(K1666="Override",L1666=""),"Override URL missing; ","")&amp;IF(AND(K1666="Accept suggestion",N(G1666)&lt;$G$2),"Below your threshold; ","")&amp;IF(AND(M1666&lt;&gt;"",M1666=A1666,K1666&lt;&gt;"No change (same URL)"),"Redirects to itself; ","")&amp;IF(AND(M1666&lt;&gt;"",OR(M1666="/",AND(LEFT(M1666,4)="http",OR((LEN(M1666)-LEN(SUBSTITUTE(M1666,"/","")))=2,AND((LEN(M1666)-LEN(SUBSTITUTE(M1666,"/","")))=3,RIGHT(M1666,1)="/"))))),"Home page redirect; ","")&amp;IF(N(R1666)&gt;1,"Chain; ","")&amp;IF(S1666="No","Destination not 200; ","")))</f>
        <v/>
      </c>
      <c r="U1666" s="22" t="n"/>
      <c r="V1666" s="22" t="n"/>
      <c r="W1666" s="4" t="n"/>
    </row>
    <row r="1667">
      <c r="A1667" s="22" t="n"/>
      <c r="B1667" s="22" t="n"/>
      <c r="C1667" s="22" t="n"/>
      <c r="D1667" s="22">
        <f>IF(A1667="","",IF(OR(N(B1667)&gt;=$C$2,N(C1667)&gt;=$E$2),"High",IF(OR(N(B1667)&gt;0,N(C1667)&gt;0),"Medium","Low")))</f>
        <v/>
      </c>
      <c r="E1667" s="22" t="n"/>
      <c r="F1667" s="22" t="n"/>
      <c r="G1667" s="22" t="n"/>
      <c r="H1667" s="22" t="n"/>
      <c r="I1667" s="22" t="n"/>
      <c r="J1667" s="22" t="n"/>
      <c r="K1667" s="22" t="n"/>
      <c r="L1667" s="22" t="n"/>
      <c r="M1667" s="22">
        <f>IF(K1667="Override",L1667,IF(K1667="Accept suggestion",F1667,IF(K1667="No change (same URL)",A1667,"")))</f>
        <v/>
      </c>
      <c r="N1667" s="22">
        <f>IF(A1667="","",IF(K1667="410 Gone","410",IF(K1667="404","404",IF(K1667="No change (same URL)","none",IF(M1667="","","301")))))</f>
        <v/>
      </c>
      <c r="O1667" s="22">
        <f>IF(A1667="","",IFERROR(MID(A1667,FIND("/",A1667,FIND("//",A1667)+2),2000),A1667))</f>
        <v/>
      </c>
      <c r="P1667" s="22">
        <f>IF(OR(O1667="",N1667="",N1667="none",N1667="404"),"",IF(N1667="410","Redirect gone "&amp;O1667,"Redirect "&amp;N1667&amp;" "&amp;O1667&amp;" "&amp;M1667))</f>
        <v/>
      </c>
      <c r="Q1667" s="22" t="n"/>
      <c r="R1667" s="22" t="n"/>
      <c r="S1667" s="22" t="n"/>
      <c r="T1667" s="4">
        <f>IF(A1667="","",TRIM(IF(K1667="","Needs decision; ","")&amp;IF(AND(K1667="Accept suggestion",F1667=""),"No suggestion to accept; ","")&amp;IF(AND(K1667="Override",L1667=""),"Override URL missing; ","")&amp;IF(AND(K1667="Accept suggestion",N(G1667)&lt;$G$2),"Below your threshold; ","")&amp;IF(AND(M1667&lt;&gt;"",M1667=A1667,K1667&lt;&gt;"No change (same URL)"),"Redirects to itself; ","")&amp;IF(AND(M1667&lt;&gt;"",OR(M1667="/",AND(LEFT(M1667,4)="http",OR((LEN(M1667)-LEN(SUBSTITUTE(M1667,"/","")))=2,AND((LEN(M1667)-LEN(SUBSTITUTE(M1667,"/","")))=3,RIGHT(M1667,1)="/"))))),"Home page redirect; ","")&amp;IF(N(R1667)&gt;1,"Chain; ","")&amp;IF(S1667="No","Destination not 200; ","")))</f>
        <v/>
      </c>
      <c r="U1667" s="22" t="n"/>
      <c r="V1667" s="22" t="n"/>
      <c r="W1667" s="4" t="n"/>
    </row>
    <row r="1668">
      <c r="A1668" s="22" t="n"/>
      <c r="B1668" s="22" t="n"/>
      <c r="C1668" s="22" t="n"/>
      <c r="D1668" s="22">
        <f>IF(A1668="","",IF(OR(N(B1668)&gt;=$C$2,N(C1668)&gt;=$E$2),"High",IF(OR(N(B1668)&gt;0,N(C1668)&gt;0),"Medium","Low")))</f>
        <v/>
      </c>
      <c r="E1668" s="22" t="n"/>
      <c r="F1668" s="22" t="n"/>
      <c r="G1668" s="22" t="n"/>
      <c r="H1668" s="22" t="n"/>
      <c r="I1668" s="22" t="n"/>
      <c r="J1668" s="22" t="n"/>
      <c r="K1668" s="22" t="n"/>
      <c r="L1668" s="22" t="n"/>
      <c r="M1668" s="22">
        <f>IF(K1668="Override",L1668,IF(K1668="Accept suggestion",F1668,IF(K1668="No change (same URL)",A1668,"")))</f>
        <v/>
      </c>
      <c r="N1668" s="22">
        <f>IF(A1668="","",IF(K1668="410 Gone","410",IF(K1668="404","404",IF(K1668="No change (same URL)","none",IF(M1668="","","301")))))</f>
        <v/>
      </c>
      <c r="O1668" s="22">
        <f>IF(A1668="","",IFERROR(MID(A1668,FIND("/",A1668,FIND("//",A1668)+2),2000),A1668))</f>
        <v/>
      </c>
      <c r="P1668" s="22">
        <f>IF(OR(O1668="",N1668="",N1668="none",N1668="404"),"",IF(N1668="410","Redirect gone "&amp;O1668,"Redirect "&amp;N1668&amp;" "&amp;O1668&amp;" "&amp;M1668))</f>
        <v/>
      </c>
      <c r="Q1668" s="22" t="n"/>
      <c r="R1668" s="22" t="n"/>
      <c r="S1668" s="22" t="n"/>
      <c r="T1668" s="4">
        <f>IF(A1668="","",TRIM(IF(K1668="","Needs decision; ","")&amp;IF(AND(K1668="Accept suggestion",F1668=""),"No suggestion to accept; ","")&amp;IF(AND(K1668="Override",L1668=""),"Override URL missing; ","")&amp;IF(AND(K1668="Accept suggestion",N(G1668)&lt;$G$2),"Below your threshold; ","")&amp;IF(AND(M1668&lt;&gt;"",M1668=A1668,K1668&lt;&gt;"No change (same URL)"),"Redirects to itself; ","")&amp;IF(AND(M1668&lt;&gt;"",OR(M1668="/",AND(LEFT(M1668,4)="http",OR((LEN(M1668)-LEN(SUBSTITUTE(M1668,"/","")))=2,AND((LEN(M1668)-LEN(SUBSTITUTE(M1668,"/","")))=3,RIGHT(M1668,1)="/"))))),"Home page redirect; ","")&amp;IF(N(R1668)&gt;1,"Chain; ","")&amp;IF(S1668="No","Destination not 200; ","")))</f>
        <v/>
      </c>
      <c r="U1668" s="22" t="n"/>
      <c r="V1668" s="22" t="n"/>
      <c r="W1668" s="4" t="n"/>
    </row>
    <row r="1669">
      <c r="A1669" s="22" t="n"/>
      <c r="B1669" s="22" t="n"/>
      <c r="C1669" s="22" t="n"/>
      <c r="D1669" s="22">
        <f>IF(A1669="","",IF(OR(N(B1669)&gt;=$C$2,N(C1669)&gt;=$E$2),"High",IF(OR(N(B1669)&gt;0,N(C1669)&gt;0),"Medium","Low")))</f>
        <v/>
      </c>
      <c r="E1669" s="22" t="n"/>
      <c r="F1669" s="22" t="n"/>
      <c r="G1669" s="22" t="n"/>
      <c r="H1669" s="22" t="n"/>
      <c r="I1669" s="22" t="n"/>
      <c r="J1669" s="22" t="n"/>
      <c r="K1669" s="22" t="n"/>
      <c r="L1669" s="22" t="n"/>
      <c r="M1669" s="22">
        <f>IF(K1669="Override",L1669,IF(K1669="Accept suggestion",F1669,IF(K1669="No change (same URL)",A1669,"")))</f>
        <v/>
      </c>
      <c r="N1669" s="22">
        <f>IF(A1669="","",IF(K1669="410 Gone","410",IF(K1669="404","404",IF(K1669="No change (same URL)","none",IF(M1669="","","301")))))</f>
        <v/>
      </c>
      <c r="O1669" s="22">
        <f>IF(A1669="","",IFERROR(MID(A1669,FIND("/",A1669,FIND("//",A1669)+2),2000),A1669))</f>
        <v/>
      </c>
      <c r="P1669" s="22">
        <f>IF(OR(O1669="",N1669="",N1669="none",N1669="404"),"",IF(N1669="410","Redirect gone "&amp;O1669,"Redirect "&amp;N1669&amp;" "&amp;O1669&amp;" "&amp;M1669))</f>
        <v/>
      </c>
      <c r="Q1669" s="22" t="n"/>
      <c r="R1669" s="22" t="n"/>
      <c r="S1669" s="22" t="n"/>
      <c r="T1669" s="4">
        <f>IF(A1669="","",TRIM(IF(K1669="","Needs decision; ","")&amp;IF(AND(K1669="Accept suggestion",F1669=""),"No suggestion to accept; ","")&amp;IF(AND(K1669="Override",L1669=""),"Override URL missing; ","")&amp;IF(AND(K1669="Accept suggestion",N(G1669)&lt;$G$2),"Below your threshold; ","")&amp;IF(AND(M1669&lt;&gt;"",M1669=A1669,K1669&lt;&gt;"No change (same URL)"),"Redirects to itself; ","")&amp;IF(AND(M1669&lt;&gt;"",OR(M1669="/",AND(LEFT(M1669,4)="http",OR((LEN(M1669)-LEN(SUBSTITUTE(M1669,"/","")))=2,AND((LEN(M1669)-LEN(SUBSTITUTE(M1669,"/","")))=3,RIGHT(M1669,1)="/"))))),"Home page redirect; ","")&amp;IF(N(R1669)&gt;1,"Chain; ","")&amp;IF(S1669="No","Destination not 200; ","")))</f>
        <v/>
      </c>
      <c r="U1669" s="22" t="n"/>
      <c r="V1669" s="22" t="n"/>
      <c r="W1669" s="4" t="n"/>
    </row>
    <row r="1670">
      <c r="A1670" s="22" t="n"/>
      <c r="B1670" s="22" t="n"/>
      <c r="C1670" s="22" t="n"/>
      <c r="D1670" s="22">
        <f>IF(A1670="","",IF(OR(N(B1670)&gt;=$C$2,N(C1670)&gt;=$E$2),"High",IF(OR(N(B1670)&gt;0,N(C1670)&gt;0),"Medium","Low")))</f>
        <v/>
      </c>
      <c r="E1670" s="22" t="n"/>
      <c r="F1670" s="22" t="n"/>
      <c r="G1670" s="22" t="n"/>
      <c r="H1670" s="22" t="n"/>
      <c r="I1670" s="22" t="n"/>
      <c r="J1670" s="22" t="n"/>
      <c r="K1670" s="22" t="n"/>
      <c r="L1670" s="22" t="n"/>
      <c r="M1670" s="22">
        <f>IF(K1670="Override",L1670,IF(K1670="Accept suggestion",F1670,IF(K1670="No change (same URL)",A1670,"")))</f>
        <v/>
      </c>
      <c r="N1670" s="22">
        <f>IF(A1670="","",IF(K1670="410 Gone","410",IF(K1670="404","404",IF(K1670="No change (same URL)","none",IF(M1670="","","301")))))</f>
        <v/>
      </c>
      <c r="O1670" s="22">
        <f>IF(A1670="","",IFERROR(MID(A1670,FIND("/",A1670,FIND("//",A1670)+2),2000),A1670))</f>
        <v/>
      </c>
      <c r="P1670" s="22">
        <f>IF(OR(O1670="",N1670="",N1670="none",N1670="404"),"",IF(N1670="410","Redirect gone "&amp;O1670,"Redirect "&amp;N1670&amp;" "&amp;O1670&amp;" "&amp;M1670))</f>
        <v/>
      </c>
      <c r="Q1670" s="22" t="n"/>
      <c r="R1670" s="22" t="n"/>
      <c r="S1670" s="22" t="n"/>
      <c r="T1670" s="4">
        <f>IF(A1670="","",TRIM(IF(K1670="","Needs decision; ","")&amp;IF(AND(K1670="Accept suggestion",F1670=""),"No suggestion to accept; ","")&amp;IF(AND(K1670="Override",L1670=""),"Override URL missing; ","")&amp;IF(AND(K1670="Accept suggestion",N(G1670)&lt;$G$2),"Below your threshold; ","")&amp;IF(AND(M1670&lt;&gt;"",M1670=A1670,K1670&lt;&gt;"No change (same URL)"),"Redirects to itself; ","")&amp;IF(AND(M1670&lt;&gt;"",OR(M1670="/",AND(LEFT(M1670,4)="http",OR((LEN(M1670)-LEN(SUBSTITUTE(M1670,"/","")))=2,AND((LEN(M1670)-LEN(SUBSTITUTE(M1670,"/","")))=3,RIGHT(M1670,1)="/"))))),"Home page redirect; ","")&amp;IF(N(R1670)&gt;1,"Chain; ","")&amp;IF(S1670="No","Destination not 200; ","")))</f>
        <v/>
      </c>
      <c r="U1670" s="22" t="n"/>
      <c r="V1670" s="22" t="n"/>
      <c r="W1670" s="4" t="n"/>
    </row>
    <row r="1671">
      <c r="A1671" s="22" t="n"/>
      <c r="B1671" s="22" t="n"/>
      <c r="C1671" s="22" t="n"/>
      <c r="D1671" s="22">
        <f>IF(A1671="","",IF(OR(N(B1671)&gt;=$C$2,N(C1671)&gt;=$E$2),"High",IF(OR(N(B1671)&gt;0,N(C1671)&gt;0),"Medium","Low")))</f>
        <v/>
      </c>
      <c r="E1671" s="22" t="n"/>
      <c r="F1671" s="22" t="n"/>
      <c r="G1671" s="22" t="n"/>
      <c r="H1671" s="22" t="n"/>
      <c r="I1671" s="22" t="n"/>
      <c r="J1671" s="22" t="n"/>
      <c r="K1671" s="22" t="n"/>
      <c r="L1671" s="22" t="n"/>
      <c r="M1671" s="22">
        <f>IF(K1671="Override",L1671,IF(K1671="Accept suggestion",F1671,IF(K1671="No change (same URL)",A1671,"")))</f>
        <v/>
      </c>
      <c r="N1671" s="22">
        <f>IF(A1671="","",IF(K1671="410 Gone","410",IF(K1671="404","404",IF(K1671="No change (same URL)","none",IF(M1671="","","301")))))</f>
        <v/>
      </c>
      <c r="O1671" s="22">
        <f>IF(A1671="","",IFERROR(MID(A1671,FIND("/",A1671,FIND("//",A1671)+2),2000),A1671))</f>
        <v/>
      </c>
      <c r="P1671" s="22">
        <f>IF(OR(O1671="",N1671="",N1671="none",N1671="404"),"",IF(N1671="410","Redirect gone "&amp;O1671,"Redirect "&amp;N1671&amp;" "&amp;O1671&amp;" "&amp;M1671))</f>
        <v/>
      </c>
      <c r="Q1671" s="22" t="n"/>
      <c r="R1671" s="22" t="n"/>
      <c r="S1671" s="22" t="n"/>
      <c r="T1671" s="4">
        <f>IF(A1671="","",TRIM(IF(K1671="","Needs decision; ","")&amp;IF(AND(K1671="Accept suggestion",F1671=""),"No suggestion to accept; ","")&amp;IF(AND(K1671="Override",L1671=""),"Override URL missing; ","")&amp;IF(AND(K1671="Accept suggestion",N(G1671)&lt;$G$2),"Below your threshold; ","")&amp;IF(AND(M1671&lt;&gt;"",M1671=A1671,K1671&lt;&gt;"No change (same URL)"),"Redirects to itself; ","")&amp;IF(AND(M1671&lt;&gt;"",OR(M1671="/",AND(LEFT(M1671,4)="http",OR((LEN(M1671)-LEN(SUBSTITUTE(M1671,"/","")))=2,AND((LEN(M1671)-LEN(SUBSTITUTE(M1671,"/","")))=3,RIGHT(M1671,1)="/"))))),"Home page redirect; ","")&amp;IF(N(R1671)&gt;1,"Chain; ","")&amp;IF(S1671="No","Destination not 200; ","")))</f>
        <v/>
      </c>
      <c r="U1671" s="22" t="n"/>
      <c r="V1671" s="22" t="n"/>
      <c r="W1671" s="4" t="n"/>
    </row>
    <row r="1672">
      <c r="A1672" s="22" t="n"/>
      <c r="B1672" s="22" t="n"/>
      <c r="C1672" s="22" t="n"/>
      <c r="D1672" s="22">
        <f>IF(A1672="","",IF(OR(N(B1672)&gt;=$C$2,N(C1672)&gt;=$E$2),"High",IF(OR(N(B1672)&gt;0,N(C1672)&gt;0),"Medium","Low")))</f>
        <v/>
      </c>
      <c r="E1672" s="22" t="n"/>
      <c r="F1672" s="22" t="n"/>
      <c r="G1672" s="22" t="n"/>
      <c r="H1672" s="22" t="n"/>
      <c r="I1672" s="22" t="n"/>
      <c r="J1672" s="22" t="n"/>
      <c r="K1672" s="22" t="n"/>
      <c r="L1672" s="22" t="n"/>
      <c r="M1672" s="22">
        <f>IF(K1672="Override",L1672,IF(K1672="Accept suggestion",F1672,IF(K1672="No change (same URL)",A1672,"")))</f>
        <v/>
      </c>
      <c r="N1672" s="22">
        <f>IF(A1672="","",IF(K1672="410 Gone","410",IF(K1672="404","404",IF(K1672="No change (same URL)","none",IF(M1672="","","301")))))</f>
        <v/>
      </c>
      <c r="O1672" s="22">
        <f>IF(A1672="","",IFERROR(MID(A1672,FIND("/",A1672,FIND("//",A1672)+2),2000),A1672))</f>
        <v/>
      </c>
      <c r="P1672" s="22">
        <f>IF(OR(O1672="",N1672="",N1672="none",N1672="404"),"",IF(N1672="410","Redirect gone "&amp;O1672,"Redirect "&amp;N1672&amp;" "&amp;O1672&amp;" "&amp;M1672))</f>
        <v/>
      </c>
      <c r="Q1672" s="22" t="n"/>
      <c r="R1672" s="22" t="n"/>
      <c r="S1672" s="22" t="n"/>
      <c r="T1672" s="4">
        <f>IF(A1672="","",TRIM(IF(K1672="","Needs decision; ","")&amp;IF(AND(K1672="Accept suggestion",F1672=""),"No suggestion to accept; ","")&amp;IF(AND(K1672="Override",L1672=""),"Override URL missing; ","")&amp;IF(AND(K1672="Accept suggestion",N(G1672)&lt;$G$2),"Below your threshold; ","")&amp;IF(AND(M1672&lt;&gt;"",M1672=A1672,K1672&lt;&gt;"No change (same URL)"),"Redirects to itself; ","")&amp;IF(AND(M1672&lt;&gt;"",OR(M1672="/",AND(LEFT(M1672,4)="http",OR((LEN(M1672)-LEN(SUBSTITUTE(M1672,"/","")))=2,AND((LEN(M1672)-LEN(SUBSTITUTE(M1672,"/","")))=3,RIGHT(M1672,1)="/"))))),"Home page redirect; ","")&amp;IF(N(R1672)&gt;1,"Chain; ","")&amp;IF(S1672="No","Destination not 200; ","")))</f>
        <v/>
      </c>
      <c r="U1672" s="22" t="n"/>
      <c r="V1672" s="22" t="n"/>
      <c r="W1672" s="4" t="n"/>
    </row>
    <row r="1673">
      <c r="A1673" s="22" t="n"/>
      <c r="B1673" s="22" t="n"/>
      <c r="C1673" s="22" t="n"/>
      <c r="D1673" s="22">
        <f>IF(A1673="","",IF(OR(N(B1673)&gt;=$C$2,N(C1673)&gt;=$E$2),"High",IF(OR(N(B1673)&gt;0,N(C1673)&gt;0),"Medium","Low")))</f>
        <v/>
      </c>
      <c r="E1673" s="22" t="n"/>
      <c r="F1673" s="22" t="n"/>
      <c r="G1673" s="22" t="n"/>
      <c r="H1673" s="22" t="n"/>
      <c r="I1673" s="22" t="n"/>
      <c r="J1673" s="22" t="n"/>
      <c r="K1673" s="22" t="n"/>
      <c r="L1673" s="22" t="n"/>
      <c r="M1673" s="22">
        <f>IF(K1673="Override",L1673,IF(K1673="Accept suggestion",F1673,IF(K1673="No change (same URL)",A1673,"")))</f>
        <v/>
      </c>
      <c r="N1673" s="22">
        <f>IF(A1673="","",IF(K1673="410 Gone","410",IF(K1673="404","404",IF(K1673="No change (same URL)","none",IF(M1673="","","301")))))</f>
        <v/>
      </c>
      <c r="O1673" s="22">
        <f>IF(A1673="","",IFERROR(MID(A1673,FIND("/",A1673,FIND("//",A1673)+2),2000),A1673))</f>
        <v/>
      </c>
      <c r="P1673" s="22">
        <f>IF(OR(O1673="",N1673="",N1673="none",N1673="404"),"",IF(N1673="410","Redirect gone "&amp;O1673,"Redirect "&amp;N1673&amp;" "&amp;O1673&amp;" "&amp;M1673))</f>
        <v/>
      </c>
      <c r="Q1673" s="22" t="n"/>
      <c r="R1673" s="22" t="n"/>
      <c r="S1673" s="22" t="n"/>
      <c r="T1673" s="4">
        <f>IF(A1673="","",TRIM(IF(K1673="","Needs decision; ","")&amp;IF(AND(K1673="Accept suggestion",F1673=""),"No suggestion to accept; ","")&amp;IF(AND(K1673="Override",L1673=""),"Override URL missing; ","")&amp;IF(AND(K1673="Accept suggestion",N(G1673)&lt;$G$2),"Below your threshold; ","")&amp;IF(AND(M1673&lt;&gt;"",M1673=A1673,K1673&lt;&gt;"No change (same URL)"),"Redirects to itself; ","")&amp;IF(AND(M1673&lt;&gt;"",OR(M1673="/",AND(LEFT(M1673,4)="http",OR((LEN(M1673)-LEN(SUBSTITUTE(M1673,"/","")))=2,AND((LEN(M1673)-LEN(SUBSTITUTE(M1673,"/","")))=3,RIGHT(M1673,1)="/"))))),"Home page redirect; ","")&amp;IF(N(R1673)&gt;1,"Chain; ","")&amp;IF(S1673="No","Destination not 200; ","")))</f>
        <v/>
      </c>
      <c r="U1673" s="22" t="n"/>
      <c r="V1673" s="22" t="n"/>
      <c r="W1673" s="4" t="n"/>
    </row>
    <row r="1674">
      <c r="A1674" s="22" t="n"/>
      <c r="B1674" s="22" t="n"/>
      <c r="C1674" s="22" t="n"/>
      <c r="D1674" s="22">
        <f>IF(A1674="","",IF(OR(N(B1674)&gt;=$C$2,N(C1674)&gt;=$E$2),"High",IF(OR(N(B1674)&gt;0,N(C1674)&gt;0),"Medium","Low")))</f>
        <v/>
      </c>
      <c r="E1674" s="22" t="n"/>
      <c r="F1674" s="22" t="n"/>
      <c r="G1674" s="22" t="n"/>
      <c r="H1674" s="22" t="n"/>
      <c r="I1674" s="22" t="n"/>
      <c r="J1674" s="22" t="n"/>
      <c r="K1674" s="22" t="n"/>
      <c r="L1674" s="22" t="n"/>
      <c r="M1674" s="22">
        <f>IF(K1674="Override",L1674,IF(K1674="Accept suggestion",F1674,IF(K1674="No change (same URL)",A1674,"")))</f>
        <v/>
      </c>
      <c r="N1674" s="22">
        <f>IF(A1674="","",IF(K1674="410 Gone","410",IF(K1674="404","404",IF(K1674="No change (same URL)","none",IF(M1674="","","301")))))</f>
        <v/>
      </c>
      <c r="O1674" s="22">
        <f>IF(A1674="","",IFERROR(MID(A1674,FIND("/",A1674,FIND("//",A1674)+2),2000),A1674))</f>
        <v/>
      </c>
      <c r="P1674" s="22">
        <f>IF(OR(O1674="",N1674="",N1674="none",N1674="404"),"",IF(N1674="410","Redirect gone "&amp;O1674,"Redirect "&amp;N1674&amp;" "&amp;O1674&amp;" "&amp;M1674))</f>
        <v/>
      </c>
      <c r="Q1674" s="22" t="n"/>
      <c r="R1674" s="22" t="n"/>
      <c r="S1674" s="22" t="n"/>
      <c r="T1674" s="4">
        <f>IF(A1674="","",TRIM(IF(K1674="","Needs decision; ","")&amp;IF(AND(K1674="Accept suggestion",F1674=""),"No suggestion to accept; ","")&amp;IF(AND(K1674="Override",L1674=""),"Override URL missing; ","")&amp;IF(AND(K1674="Accept suggestion",N(G1674)&lt;$G$2),"Below your threshold; ","")&amp;IF(AND(M1674&lt;&gt;"",M1674=A1674,K1674&lt;&gt;"No change (same URL)"),"Redirects to itself; ","")&amp;IF(AND(M1674&lt;&gt;"",OR(M1674="/",AND(LEFT(M1674,4)="http",OR((LEN(M1674)-LEN(SUBSTITUTE(M1674,"/","")))=2,AND((LEN(M1674)-LEN(SUBSTITUTE(M1674,"/","")))=3,RIGHT(M1674,1)="/"))))),"Home page redirect; ","")&amp;IF(N(R1674)&gt;1,"Chain; ","")&amp;IF(S1674="No","Destination not 200; ","")))</f>
        <v/>
      </c>
      <c r="U1674" s="22" t="n"/>
      <c r="V1674" s="22" t="n"/>
      <c r="W1674" s="4" t="n"/>
    </row>
    <row r="1675">
      <c r="A1675" s="22" t="n"/>
      <c r="B1675" s="22" t="n"/>
      <c r="C1675" s="22" t="n"/>
      <c r="D1675" s="22">
        <f>IF(A1675="","",IF(OR(N(B1675)&gt;=$C$2,N(C1675)&gt;=$E$2),"High",IF(OR(N(B1675)&gt;0,N(C1675)&gt;0),"Medium","Low")))</f>
        <v/>
      </c>
      <c r="E1675" s="22" t="n"/>
      <c r="F1675" s="22" t="n"/>
      <c r="G1675" s="22" t="n"/>
      <c r="H1675" s="22" t="n"/>
      <c r="I1675" s="22" t="n"/>
      <c r="J1675" s="22" t="n"/>
      <c r="K1675" s="22" t="n"/>
      <c r="L1675" s="22" t="n"/>
      <c r="M1675" s="22">
        <f>IF(K1675="Override",L1675,IF(K1675="Accept suggestion",F1675,IF(K1675="No change (same URL)",A1675,"")))</f>
        <v/>
      </c>
      <c r="N1675" s="22">
        <f>IF(A1675="","",IF(K1675="410 Gone","410",IF(K1675="404","404",IF(K1675="No change (same URL)","none",IF(M1675="","","301")))))</f>
        <v/>
      </c>
      <c r="O1675" s="22">
        <f>IF(A1675="","",IFERROR(MID(A1675,FIND("/",A1675,FIND("//",A1675)+2),2000),A1675))</f>
        <v/>
      </c>
      <c r="P1675" s="22">
        <f>IF(OR(O1675="",N1675="",N1675="none",N1675="404"),"",IF(N1675="410","Redirect gone "&amp;O1675,"Redirect "&amp;N1675&amp;" "&amp;O1675&amp;" "&amp;M1675))</f>
        <v/>
      </c>
      <c r="Q1675" s="22" t="n"/>
      <c r="R1675" s="22" t="n"/>
      <c r="S1675" s="22" t="n"/>
      <c r="T1675" s="4">
        <f>IF(A1675="","",TRIM(IF(K1675="","Needs decision; ","")&amp;IF(AND(K1675="Accept suggestion",F1675=""),"No suggestion to accept; ","")&amp;IF(AND(K1675="Override",L1675=""),"Override URL missing; ","")&amp;IF(AND(K1675="Accept suggestion",N(G1675)&lt;$G$2),"Below your threshold; ","")&amp;IF(AND(M1675&lt;&gt;"",M1675=A1675,K1675&lt;&gt;"No change (same URL)"),"Redirects to itself; ","")&amp;IF(AND(M1675&lt;&gt;"",OR(M1675="/",AND(LEFT(M1675,4)="http",OR((LEN(M1675)-LEN(SUBSTITUTE(M1675,"/","")))=2,AND((LEN(M1675)-LEN(SUBSTITUTE(M1675,"/","")))=3,RIGHT(M1675,1)="/"))))),"Home page redirect; ","")&amp;IF(N(R1675)&gt;1,"Chain; ","")&amp;IF(S1675="No","Destination not 200; ","")))</f>
        <v/>
      </c>
      <c r="U1675" s="22" t="n"/>
      <c r="V1675" s="22" t="n"/>
      <c r="W1675" s="4" t="n"/>
    </row>
    <row r="1676">
      <c r="A1676" s="22" t="n"/>
      <c r="B1676" s="22" t="n"/>
      <c r="C1676" s="22" t="n"/>
      <c r="D1676" s="22">
        <f>IF(A1676="","",IF(OR(N(B1676)&gt;=$C$2,N(C1676)&gt;=$E$2),"High",IF(OR(N(B1676)&gt;0,N(C1676)&gt;0),"Medium","Low")))</f>
        <v/>
      </c>
      <c r="E1676" s="22" t="n"/>
      <c r="F1676" s="22" t="n"/>
      <c r="G1676" s="22" t="n"/>
      <c r="H1676" s="22" t="n"/>
      <c r="I1676" s="22" t="n"/>
      <c r="J1676" s="22" t="n"/>
      <c r="K1676" s="22" t="n"/>
      <c r="L1676" s="22" t="n"/>
      <c r="M1676" s="22">
        <f>IF(K1676="Override",L1676,IF(K1676="Accept suggestion",F1676,IF(K1676="No change (same URL)",A1676,"")))</f>
        <v/>
      </c>
      <c r="N1676" s="22">
        <f>IF(A1676="","",IF(K1676="410 Gone","410",IF(K1676="404","404",IF(K1676="No change (same URL)","none",IF(M1676="","","301")))))</f>
        <v/>
      </c>
      <c r="O1676" s="22">
        <f>IF(A1676="","",IFERROR(MID(A1676,FIND("/",A1676,FIND("//",A1676)+2),2000),A1676))</f>
        <v/>
      </c>
      <c r="P1676" s="22">
        <f>IF(OR(O1676="",N1676="",N1676="none",N1676="404"),"",IF(N1676="410","Redirect gone "&amp;O1676,"Redirect "&amp;N1676&amp;" "&amp;O1676&amp;" "&amp;M1676))</f>
        <v/>
      </c>
      <c r="Q1676" s="22" t="n"/>
      <c r="R1676" s="22" t="n"/>
      <c r="S1676" s="22" t="n"/>
      <c r="T1676" s="4">
        <f>IF(A1676="","",TRIM(IF(K1676="","Needs decision; ","")&amp;IF(AND(K1676="Accept suggestion",F1676=""),"No suggestion to accept; ","")&amp;IF(AND(K1676="Override",L1676=""),"Override URL missing; ","")&amp;IF(AND(K1676="Accept suggestion",N(G1676)&lt;$G$2),"Below your threshold; ","")&amp;IF(AND(M1676&lt;&gt;"",M1676=A1676,K1676&lt;&gt;"No change (same URL)"),"Redirects to itself; ","")&amp;IF(AND(M1676&lt;&gt;"",OR(M1676="/",AND(LEFT(M1676,4)="http",OR((LEN(M1676)-LEN(SUBSTITUTE(M1676,"/","")))=2,AND((LEN(M1676)-LEN(SUBSTITUTE(M1676,"/","")))=3,RIGHT(M1676,1)="/"))))),"Home page redirect; ","")&amp;IF(N(R1676)&gt;1,"Chain; ","")&amp;IF(S1676="No","Destination not 200; ","")))</f>
        <v/>
      </c>
      <c r="U1676" s="22" t="n"/>
      <c r="V1676" s="22" t="n"/>
      <c r="W1676" s="4" t="n"/>
    </row>
    <row r="1677">
      <c r="A1677" s="22" t="n"/>
      <c r="B1677" s="22" t="n"/>
      <c r="C1677" s="22" t="n"/>
      <c r="D1677" s="22">
        <f>IF(A1677="","",IF(OR(N(B1677)&gt;=$C$2,N(C1677)&gt;=$E$2),"High",IF(OR(N(B1677)&gt;0,N(C1677)&gt;0),"Medium","Low")))</f>
        <v/>
      </c>
      <c r="E1677" s="22" t="n"/>
      <c r="F1677" s="22" t="n"/>
      <c r="G1677" s="22" t="n"/>
      <c r="H1677" s="22" t="n"/>
      <c r="I1677" s="22" t="n"/>
      <c r="J1677" s="22" t="n"/>
      <c r="K1677" s="22" t="n"/>
      <c r="L1677" s="22" t="n"/>
      <c r="M1677" s="22">
        <f>IF(K1677="Override",L1677,IF(K1677="Accept suggestion",F1677,IF(K1677="No change (same URL)",A1677,"")))</f>
        <v/>
      </c>
      <c r="N1677" s="22">
        <f>IF(A1677="","",IF(K1677="410 Gone","410",IF(K1677="404","404",IF(K1677="No change (same URL)","none",IF(M1677="","","301")))))</f>
        <v/>
      </c>
      <c r="O1677" s="22">
        <f>IF(A1677="","",IFERROR(MID(A1677,FIND("/",A1677,FIND("//",A1677)+2),2000),A1677))</f>
        <v/>
      </c>
      <c r="P1677" s="22">
        <f>IF(OR(O1677="",N1677="",N1677="none",N1677="404"),"",IF(N1677="410","Redirect gone "&amp;O1677,"Redirect "&amp;N1677&amp;" "&amp;O1677&amp;" "&amp;M1677))</f>
        <v/>
      </c>
      <c r="Q1677" s="22" t="n"/>
      <c r="R1677" s="22" t="n"/>
      <c r="S1677" s="22" t="n"/>
      <c r="T1677" s="4">
        <f>IF(A1677="","",TRIM(IF(K1677="","Needs decision; ","")&amp;IF(AND(K1677="Accept suggestion",F1677=""),"No suggestion to accept; ","")&amp;IF(AND(K1677="Override",L1677=""),"Override URL missing; ","")&amp;IF(AND(K1677="Accept suggestion",N(G1677)&lt;$G$2),"Below your threshold; ","")&amp;IF(AND(M1677&lt;&gt;"",M1677=A1677,K1677&lt;&gt;"No change (same URL)"),"Redirects to itself; ","")&amp;IF(AND(M1677&lt;&gt;"",OR(M1677="/",AND(LEFT(M1677,4)="http",OR((LEN(M1677)-LEN(SUBSTITUTE(M1677,"/","")))=2,AND((LEN(M1677)-LEN(SUBSTITUTE(M1677,"/","")))=3,RIGHT(M1677,1)="/"))))),"Home page redirect; ","")&amp;IF(N(R1677)&gt;1,"Chain; ","")&amp;IF(S1677="No","Destination not 200; ","")))</f>
        <v/>
      </c>
      <c r="U1677" s="22" t="n"/>
      <c r="V1677" s="22" t="n"/>
      <c r="W1677" s="4" t="n"/>
    </row>
    <row r="1678">
      <c r="A1678" s="22" t="n"/>
      <c r="B1678" s="22" t="n"/>
      <c r="C1678" s="22" t="n"/>
      <c r="D1678" s="22">
        <f>IF(A1678="","",IF(OR(N(B1678)&gt;=$C$2,N(C1678)&gt;=$E$2),"High",IF(OR(N(B1678)&gt;0,N(C1678)&gt;0),"Medium","Low")))</f>
        <v/>
      </c>
      <c r="E1678" s="22" t="n"/>
      <c r="F1678" s="22" t="n"/>
      <c r="G1678" s="22" t="n"/>
      <c r="H1678" s="22" t="n"/>
      <c r="I1678" s="22" t="n"/>
      <c r="J1678" s="22" t="n"/>
      <c r="K1678" s="22" t="n"/>
      <c r="L1678" s="22" t="n"/>
      <c r="M1678" s="22">
        <f>IF(K1678="Override",L1678,IF(K1678="Accept suggestion",F1678,IF(K1678="No change (same URL)",A1678,"")))</f>
        <v/>
      </c>
      <c r="N1678" s="22">
        <f>IF(A1678="","",IF(K1678="410 Gone","410",IF(K1678="404","404",IF(K1678="No change (same URL)","none",IF(M1678="","","301")))))</f>
        <v/>
      </c>
      <c r="O1678" s="22">
        <f>IF(A1678="","",IFERROR(MID(A1678,FIND("/",A1678,FIND("//",A1678)+2),2000),A1678))</f>
        <v/>
      </c>
      <c r="P1678" s="22">
        <f>IF(OR(O1678="",N1678="",N1678="none",N1678="404"),"",IF(N1678="410","Redirect gone "&amp;O1678,"Redirect "&amp;N1678&amp;" "&amp;O1678&amp;" "&amp;M1678))</f>
        <v/>
      </c>
      <c r="Q1678" s="22" t="n"/>
      <c r="R1678" s="22" t="n"/>
      <c r="S1678" s="22" t="n"/>
      <c r="T1678" s="4">
        <f>IF(A1678="","",TRIM(IF(K1678="","Needs decision; ","")&amp;IF(AND(K1678="Accept suggestion",F1678=""),"No suggestion to accept; ","")&amp;IF(AND(K1678="Override",L1678=""),"Override URL missing; ","")&amp;IF(AND(K1678="Accept suggestion",N(G1678)&lt;$G$2),"Below your threshold; ","")&amp;IF(AND(M1678&lt;&gt;"",M1678=A1678,K1678&lt;&gt;"No change (same URL)"),"Redirects to itself; ","")&amp;IF(AND(M1678&lt;&gt;"",OR(M1678="/",AND(LEFT(M1678,4)="http",OR((LEN(M1678)-LEN(SUBSTITUTE(M1678,"/","")))=2,AND((LEN(M1678)-LEN(SUBSTITUTE(M1678,"/","")))=3,RIGHT(M1678,1)="/"))))),"Home page redirect; ","")&amp;IF(N(R1678)&gt;1,"Chain; ","")&amp;IF(S1678="No","Destination not 200; ","")))</f>
        <v/>
      </c>
      <c r="U1678" s="22" t="n"/>
      <c r="V1678" s="22" t="n"/>
      <c r="W1678" s="4" t="n"/>
    </row>
    <row r="1679">
      <c r="A1679" s="22" t="n"/>
      <c r="B1679" s="22" t="n"/>
      <c r="C1679" s="22" t="n"/>
      <c r="D1679" s="22">
        <f>IF(A1679="","",IF(OR(N(B1679)&gt;=$C$2,N(C1679)&gt;=$E$2),"High",IF(OR(N(B1679)&gt;0,N(C1679)&gt;0),"Medium","Low")))</f>
        <v/>
      </c>
      <c r="E1679" s="22" t="n"/>
      <c r="F1679" s="22" t="n"/>
      <c r="G1679" s="22" t="n"/>
      <c r="H1679" s="22" t="n"/>
      <c r="I1679" s="22" t="n"/>
      <c r="J1679" s="22" t="n"/>
      <c r="K1679" s="22" t="n"/>
      <c r="L1679" s="22" t="n"/>
      <c r="M1679" s="22">
        <f>IF(K1679="Override",L1679,IF(K1679="Accept suggestion",F1679,IF(K1679="No change (same URL)",A1679,"")))</f>
        <v/>
      </c>
      <c r="N1679" s="22">
        <f>IF(A1679="","",IF(K1679="410 Gone","410",IF(K1679="404","404",IF(K1679="No change (same URL)","none",IF(M1679="","","301")))))</f>
        <v/>
      </c>
      <c r="O1679" s="22">
        <f>IF(A1679="","",IFERROR(MID(A1679,FIND("/",A1679,FIND("//",A1679)+2),2000),A1679))</f>
        <v/>
      </c>
      <c r="P1679" s="22">
        <f>IF(OR(O1679="",N1679="",N1679="none",N1679="404"),"",IF(N1679="410","Redirect gone "&amp;O1679,"Redirect "&amp;N1679&amp;" "&amp;O1679&amp;" "&amp;M1679))</f>
        <v/>
      </c>
      <c r="Q1679" s="22" t="n"/>
      <c r="R1679" s="22" t="n"/>
      <c r="S1679" s="22" t="n"/>
      <c r="T1679" s="4">
        <f>IF(A1679="","",TRIM(IF(K1679="","Needs decision; ","")&amp;IF(AND(K1679="Accept suggestion",F1679=""),"No suggestion to accept; ","")&amp;IF(AND(K1679="Override",L1679=""),"Override URL missing; ","")&amp;IF(AND(K1679="Accept suggestion",N(G1679)&lt;$G$2),"Below your threshold; ","")&amp;IF(AND(M1679&lt;&gt;"",M1679=A1679,K1679&lt;&gt;"No change (same URL)"),"Redirects to itself; ","")&amp;IF(AND(M1679&lt;&gt;"",OR(M1679="/",AND(LEFT(M1679,4)="http",OR((LEN(M1679)-LEN(SUBSTITUTE(M1679,"/","")))=2,AND((LEN(M1679)-LEN(SUBSTITUTE(M1679,"/","")))=3,RIGHT(M1679,1)="/"))))),"Home page redirect; ","")&amp;IF(N(R1679)&gt;1,"Chain; ","")&amp;IF(S1679="No","Destination not 200; ","")))</f>
        <v/>
      </c>
      <c r="U1679" s="22" t="n"/>
      <c r="V1679" s="22" t="n"/>
      <c r="W1679" s="4" t="n"/>
    </row>
    <row r="1680">
      <c r="A1680" s="22" t="n"/>
      <c r="B1680" s="22" t="n"/>
      <c r="C1680" s="22" t="n"/>
      <c r="D1680" s="22">
        <f>IF(A1680="","",IF(OR(N(B1680)&gt;=$C$2,N(C1680)&gt;=$E$2),"High",IF(OR(N(B1680)&gt;0,N(C1680)&gt;0),"Medium","Low")))</f>
        <v/>
      </c>
      <c r="E1680" s="22" t="n"/>
      <c r="F1680" s="22" t="n"/>
      <c r="G1680" s="22" t="n"/>
      <c r="H1680" s="22" t="n"/>
      <c r="I1680" s="22" t="n"/>
      <c r="J1680" s="22" t="n"/>
      <c r="K1680" s="22" t="n"/>
      <c r="L1680" s="22" t="n"/>
      <c r="M1680" s="22">
        <f>IF(K1680="Override",L1680,IF(K1680="Accept suggestion",F1680,IF(K1680="No change (same URL)",A1680,"")))</f>
        <v/>
      </c>
      <c r="N1680" s="22">
        <f>IF(A1680="","",IF(K1680="410 Gone","410",IF(K1680="404","404",IF(K1680="No change (same URL)","none",IF(M1680="","","301")))))</f>
        <v/>
      </c>
      <c r="O1680" s="22">
        <f>IF(A1680="","",IFERROR(MID(A1680,FIND("/",A1680,FIND("//",A1680)+2),2000),A1680))</f>
        <v/>
      </c>
      <c r="P1680" s="22">
        <f>IF(OR(O1680="",N1680="",N1680="none",N1680="404"),"",IF(N1680="410","Redirect gone "&amp;O1680,"Redirect "&amp;N1680&amp;" "&amp;O1680&amp;" "&amp;M1680))</f>
        <v/>
      </c>
      <c r="Q1680" s="22" t="n"/>
      <c r="R1680" s="22" t="n"/>
      <c r="S1680" s="22" t="n"/>
      <c r="T1680" s="4">
        <f>IF(A1680="","",TRIM(IF(K1680="","Needs decision; ","")&amp;IF(AND(K1680="Accept suggestion",F1680=""),"No suggestion to accept; ","")&amp;IF(AND(K1680="Override",L1680=""),"Override URL missing; ","")&amp;IF(AND(K1680="Accept suggestion",N(G1680)&lt;$G$2),"Below your threshold; ","")&amp;IF(AND(M1680&lt;&gt;"",M1680=A1680,K1680&lt;&gt;"No change (same URL)"),"Redirects to itself; ","")&amp;IF(AND(M1680&lt;&gt;"",OR(M1680="/",AND(LEFT(M1680,4)="http",OR((LEN(M1680)-LEN(SUBSTITUTE(M1680,"/","")))=2,AND((LEN(M1680)-LEN(SUBSTITUTE(M1680,"/","")))=3,RIGHT(M1680,1)="/"))))),"Home page redirect; ","")&amp;IF(N(R1680)&gt;1,"Chain; ","")&amp;IF(S1680="No","Destination not 200; ","")))</f>
        <v/>
      </c>
      <c r="U1680" s="22" t="n"/>
      <c r="V1680" s="22" t="n"/>
      <c r="W1680" s="4" t="n"/>
    </row>
    <row r="1681">
      <c r="A1681" s="22" t="n"/>
      <c r="B1681" s="22" t="n"/>
      <c r="C1681" s="22" t="n"/>
      <c r="D1681" s="22">
        <f>IF(A1681="","",IF(OR(N(B1681)&gt;=$C$2,N(C1681)&gt;=$E$2),"High",IF(OR(N(B1681)&gt;0,N(C1681)&gt;0),"Medium","Low")))</f>
        <v/>
      </c>
      <c r="E1681" s="22" t="n"/>
      <c r="F1681" s="22" t="n"/>
      <c r="G1681" s="22" t="n"/>
      <c r="H1681" s="22" t="n"/>
      <c r="I1681" s="22" t="n"/>
      <c r="J1681" s="22" t="n"/>
      <c r="K1681" s="22" t="n"/>
      <c r="L1681" s="22" t="n"/>
      <c r="M1681" s="22">
        <f>IF(K1681="Override",L1681,IF(K1681="Accept suggestion",F1681,IF(K1681="No change (same URL)",A1681,"")))</f>
        <v/>
      </c>
      <c r="N1681" s="22">
        <f>IF(A1681="","",IF(K1681="410 Gone","410",IF(K1681="404","404",IF(K1681="No change (same URL)","none",IF(M1681="","","301")))))</f>
        <v/>
      </c>
      <c r="O1681" s="22">
        <f>IF(A1681="","",IFERROR(MID(A1681,FIND("/",A1681,FIND("//",A1681)+2),2000),A1681))</f>
        <v/>
      </c>
      <c r="P1681" s="22">
        <f>IF(OR(O1681="",N1681="",N1681="none",N1681="404"),"",IF(N1681="410","Redirect gone "&amp;O1681,"Redirect "&amp;N1681&amp;" "&amp;O1681&amp;" "&amp;M1681))</f>
        <v/>
      </c>
      <c r="Q1681" s="22" t="n"/>
      <c r="R1681" s="22" t="n"/>
      <c r="S1681" s="22" t="n"/>
      <c r="T1681" s="4">
        <f>IF(A1681="","",TRIM(IF(K1681="","Needs decision; ","")&amp;IF(AND(K1681="Accept suggestion",F1681=""),"No suggestion to accept; ","")&amp;IF(AND(K1681="Override",L1681=""),"Override URL missing; ","")&amp;IF(AND(K1681="Accept suggestion",N(G1681)&lt;$G$2),"Below your threshold; ","")&amp;IF(AND(M1681&lt;&gt;"",M1681=A1681,K1681&lt;&gt;"No change (same URL)"),"Redirects to itself; ","")&amp;IF(AND(M1681&lt;&gt;"",OR(M1681="/",AND(LEFT(M1681,4)="http",OR((LEN(M1681)-LEN(SUBSTITUTE(M1681,"/","")))=2,AND((LEN(M1681)-LEN(SUBSTITUTE(M1681,"/","")))=3,RIGHT(M1681,1)="/"))))),"Home page redirect; ","")&amp;IF(N(R1681)&gt;1,"Chain; ","")&amp;IF(S1681="No","Destination not 200; ","")))</f>
        <v/>
      </c>
      <c r="U1681" s="22" t="n"/>
      <c r="V1681" s="22" t="n"/>
      <c r="W1681" s="4" t="n"/>
    </row>
    <row r="1682">
      <c r="A1682" s="22" t="n"/>
      <c r="B1682" s="22" t="n"/>
      <c r="C1682" s="22" t="n"/>
      <c r="D1682" s="22">
        <f>IF(A1682="","",IF(OR(N(B1682)&gt;=$C$2,N(C1682)&gt;=$E$2),"High",IF(OR(N(B1682)&gt;0,N(C1682)&gt;0),"Medium","Low")))</f>
        <v/>
      </c>
      <c r="E1682" s="22" t="n"/>
      <c r="F1682" s="22" t="n"/>
      <c r="G1682" s="22" t="n"/>
      <c r="H1682" s="22" t="n"/>
      <c r="I1682" s="22" t="n"/>
      <c r="J1682" s="22" t="n"/>
      <c r="K1682" s="22" t="n"/>
      <c r="L1682" s="22" t="n"/>
      <c r="M1682" s="22">
        <f>IF(K1682="Override",L1682,IF(K1682="Accept suggestion",F1682,IF(K1682="No change (same URL)",A1682,"")))</f>
        <v/>
      </c>
      <c r="N1682" s="22">
        <f>IF(A1682="","",IF(K1682="410 Gone","410",IF(K1682="404","404",IF(K1682="No change (same URL)","none",IF(M1682="","","301")))))</f>
        <v/>
      </c>
      <c r="O1682" s="22">
        <f>IF(A1682="","",IFERROR(MID(A1682,FIND("/",A1682,FIND("//",A1682)+2),2000),A1682))</f>
        <v/>
      </c>
      <c r="P1682" s="22">
        <f>IF(OR(O1682="",N1682="",N1682="none",N1682="404"),"",IF(N1682="410","Redirect gone "&amp;O1682,"Redirect "&amp;N1682&amp;" "&amp;O1682&amp;" "&amp;M1682))</f>
        <v/>
      </c>
      <c r="Q1682" s="22" t="n"/>
      <c r="R1682" s="22" t="n"/>
      <c r="S1682" s="22" t="n"/>
      <c r="T1682" s="4">
        <f>IF(A1682="","",TRIM(IF(K1682="","Needs decision; ","")&amp;IF(AND(K1682="Accept suggestion",F1682=""),"No suggestion to accept; ","")&amp;IF(AND(K1682="Override",L1682=""),"Override URL missing; ","")&amp;IF(AND(K1682="Accept suggestion",N(G1682)&lt;$G$2),"Below your threshold; ","")&amp;IF(AND(M1682&lt;&gt;"",M1682=A1682,K1682&lt;&gt;"No change (same URL)"),"Redirects to itself; ","")&amp;IF(AND(M1682&lt;&gt;"",OR(M1682="/",AND(LEFT(M1682,4)="http",OR((LEN(M1682)-LEN(SUBSTITUTE(M1682,"/","")))=2,AND((LEN(M1682)-LEN(SUBSTITUTE(M1682,"/","")))=3,RIGHT(M1682,1)="/"))))),"Home page redirect; ","")&amp;IF(N(R1682)&gt;1,"Chain; ","")&amp;IF(S1682="No","Destination not 200; ","")))</f>
        <v/>
      </c>
      <c r="U1682" s="22" t="n"/>
      <c r="V1682" s="22" t="n"/>
      <c r="W1682" s="4" t="n"/>
    </row>
    <row r="1683">
      <c r="A1683" s="22" t="n"/>
      <c r="B1683" s="22" t="n"/>
      <c r="C1683" s="22" t="n"/>
      <c r="D1683" s="22">
        <f>IF(A1683="","",IF(OR(N(B1683)&gt;=$C$2,N(C1683)&gt;=$E$2),"High",IF(OR(N(B1683)&gt;0,N(C1683)&gt;0),"Medium","Low")))</f>
        <v/>
      </c>
      <c r="E1683" s="22" t="n"/>
      <c r="F1683" s="22" t="n"/>
      <c r="G1683" s="22" t="n"/>
      <c r="H1683" s="22" t="n"/>
      <c r="I1683" s="22" t="n"/>
      <c r="J1683" s="22" t="n"/>
      <c r="K1683" s="22" t="n"/>
      <c r="L1683" s="22" t="n"/>
      <c r="M1683" s="22">
        <f>IF(K1683="Override",L1683,IF(K1683="Accept suggestion",F1683,IF(K1683="No change (same URL)",A1683,"")))</f>
        <v/>
      </c>
      <c r="N1683" s="22">
        <f>IF(A1683="","",IF(K1683="410 Gone","410",IF(K1683="404","404",IF(K1683="No change (same URL)","none",IF(M1683="","","301")))))</f>
        <v/>
      </c>
      <c r="O1683" s="22">
        <f>IF(A1683="","",IFERROR(MID(A1683,FIND("/",A1683,FIND("//",A1683)+2),2000),A1683))</f>
        <v/>
      </c>
      <c r="P1683" s="22">
        <f>IF(OR(O1683="",N1683="",N1683="none",N1683="404"),"",IF(N1683="410","Redirect gone "&amp;O1683,"Redirect "&amp;N1683&amp;" "&amp;O1683&amp;" "&amp;M1683))</f>
        <v/>
      </c>
      <c r="Q1683" s="22" t="n"/>
      <c r="R1683" s="22" t="n"/>
      <c r="S1683" s="22" t="n"/>
      <c r="T1683" s="4">
        <f>IF(A1683="","",TRIM(IF(K1683="","Needs decision; ","")&amp;IF(AND(K1683="Accept suggestion",F1683=""),"No suggestion to accept; ","")&amp;IF(AND(K1683="Override",L1683=""),"Override URL missing; ","")&amp;IF(AND(K1683="Accept suggestion",N(G1683)&lt;$G$2),"Below your threshold; ","")&amp;IF(AND(M1683&lt;&gt;"",M1683=A1683,K1683&lt;&gt;"No change (same URL)"),"Redirects to itself; ","")&amp;IF(AND(M1683&lt;&gt;"",OR(M1683="/",AND(LEFT(M1683,4)="http",OR((LEN(M1683)-LEN(SUBSTITUTE(M1683,"/","")))=2,AND((LEN(M1683)-LEN(SUBSTITUTE(M1683,"/","")))=3,RIGHT(M1683,1)="/"))))),"Home page redirect; ","")&amp;IF(N(R1683)&gt;1,"Chain; ","")&amp;IF(S1683="No","Destination not 200; ","")))</f>
        <v/>
      </c>
      <c r="U1683" s="22" t="n"/>
      <c r="V1683" s="22" t="n"/>
      <c r="W1683" s="4" t="n"/>
    </row>
    <row r="1684">
      <c r="A1684" s="22" t="n"/>
      <c r="B1684" s="22" t="n"/>
      <c r="C1684" s="22" t="n"/>
      <c r="D1684" s="22">
        <f>IF(A1684="","",IF(OR(N(B1684)&gt;=$C$2,N(C1684)&gt;=$E$2),"High",IF(OR(N(B1684)&gt;0,N(C1684)&gt;0),"Medium","Low")))</f>
        <v/>
      </c>
      <c r="E1684" s="22" t="n"/>
      <c r="F1684" s="22" t="n"/>
      <c r="G1684" s="22" t="n"/>
      <c r="H1684" s="22" t="n"/>
      <c r="I1684" s="22" t="n"/>
      <c r="J1684" s="22" t="n"/>
      <c r="K1684" s="22" t="n"/>
      <c r="L1684" s="22" t="n"/>
      <c r="M1684" s="22">
        <f>IF(K1684="Override",L1684,IF(K1684="Accept suggestion",F1684,IF(K1684="No change (same URL)",A1684,"")))</f>
        <v/>
      </c>
      <c r="N1684" s="22">
        <f>IF(A1684="","",IF(K1684="410 Gone","410",IF(K1684="404","404",IF(K1684="No change (same URL)","none",IF(M1684="","","301")))))</f>
        <v/>
      </c>
      <c r="O1684" s="22">
        <f>IF(A1684="","",IFERROR(MID(A1684,FIND("/",A1684,FIND("//",A1684)+2),2000),A1684))</f>
        <v/>
      </c>
      <c r="P1684" s="22">
        <f>IF(OR(O1684="",N1684="",N1684="none",N1684="404"),"",IF(N1684="410","Redirect gone "&amp;O1684,"Redirect "&amp;N1684&amp;" "&amp;O1684&amp;" "&amp;M1684))</f>
        <v/>
      </c>
      <c r="Q1684" s="22" t="n"/>
      <c r="R1684" s="22" t="n"/>
      <c r="S1684" s="22" t="n"/>
      <c r="T1684" s="4">
        <f>IF(A1684="","",TRIM(IF(K1684="","Needs decision; ","")&amp;IF(AND(K1684="Accept suggestion",F1684=""),"No suggestion to accept; ","")&amp;IF(AND(K1684="Override",L1684=""),"Override URL missing; ","")&amp;IF(AND(K1684="Accept suggestion",N(G1684)&lt;$G$2),"Below your threshold; ","")&amp;IF(AND(M1684&lt;&gt;"",M1684=A1684,K1684&lt;&gt;"No change (same URL)"),"Redirects to itself; ","")&amp;IF(AND(M1684&lt;&gt;"",OR(M1684="/",AND(LEFT(M1684,4)="http",OR((LEN(M1684)-LEN(SUBSTITUTE(M1684,"/","")))=2,AND((LEN(M1684)-LEN(SUBSTITUTE(M1684,"/","")))=3,RIGHT(M1684,1)="/"))))),"Home page redirect; ","")&amp;IF(N(R1684)&gt;1,"Chain; ","")&amp;IF(S1684="No","Destination not 200; ","")))</f>
        <v/>
      </c>
      <c r="U1684" s="22" t="n"/>
      <c r="V1684" s="22" t="n"/>
      <c r="W1684" s="4" t="n"/>
    </row>
    <row r="1685">
      <c r="A1685" s="22" t="n"/>
      <c r="B1685" s="22" t="n"/>
      <c r="C1685" s="22" t="n"/>
      <c r="D1685" s="22">
        <f>IF(A1685="","",IF(OR(N(B1685)&gt;=$C$2,N(C1685)&gt;=$E$2),"High",IF(OR(N(B1685)&gt;0,N(C1685)&gt;0),"Medium","Low")))</f>
        <v/>
      </c>
      <c r="E1685" s="22" t="n"/>
      <c r="F1685" s="22" t="n"/>
      <c r="G1685" s="22" t="n"/>
      <c r="H1685" s="22" t="n"/>
      <c r="I1685" s="22" t="n"/>
      <c r="J1685" s="22" t="n"/>
      <c r="K1685" s="22" t="n"/>
      <c r="L1685" s="22" t="n"/>
      <c r="M1685" s="22">
        <f>IF(K1685="Override",L1685,IF(K1685="Accept suggestion",F1685,IF(K1685="No change (same URL)",A1685,"")))</f>
        <v/>
      </c>
      <c r="N1685" s="22">
        <f>IF(A1685="","",IF(K1685="410 Gone","410",IF(K1685="404","404",IF(K1685="No change (same URL)","none",IF(M1685="","","301")))))</f>
        <v/>
      </c>
      <c r="O1685" s="22">
        <f>IF(A1685="","",IFERROR(MID(A1685,FIND("/",A1685,FIND("//",A1685)+2),2000),A1685))</f>
        <v/>
      </c>
      <c r="P1685" s="22">
        <f>IF(OR(O1685="",N1685="",N1685="none",N1685="404"),"",IF(N1685="410","Redirect gone "&amp;O1685,"Redirect "&amp;N1685&amp;" "&amp;O1685&amp;" "&amp;M1685))</f>
        <v/>
      </c>
      <c r="Q1685" s="22" t="n"/>
      <c r="R1685" s="22" t="n"/>
      <c r="S1685" s="22" t="n"/>
      <c r="T1685" s="4">
        <f>IF(A1685="","",TRIM(IF(K1685="","Needs decision; ","")&amp;IF(AND(K1685="Accept suggestion",F1685=""),"No suggestion to accept; ","")&amp;IF(AND(K1685="Override",L1685=""),"Override URL missing; ","")&amp;IF(AND(K1685="Accept suggestion",N(G1685)&lt;$G$2),"Below your threshold; ","")&amp;IF(AND(M1685&lt;&gt;"",M1685=A1685,K1685&lt;&gt;"No change (same URL)"),"Redirects to itself; ","")&amp;IF(AND(M1685&lt;&gt;"",OR(M1685="/",AND(LEFT(M1685,4)="http",OR((LEN(M1685)-LEN(SUBSTITUTE(M1685,"/","")))=2,AND((LEN(M1685)-LEN(SUBSTITUTE(M1685,"/","")))=3,RIGHT(M1685,1)="/"))))),"Home page redirect; ","")&amp;IF(N(R1685)&gt;1,"Chain; ","")&amp;IF(S1685="No","Destination not 200; ","")))</f>
        <v/>
      </c>
      <c r="U1685" s="22" t="n"/>
      <c r="V1685" s="22" t="n"/>
      <c r="W1685" s="4" t="n"/>
    </row>
    <row r="1686">
      <c r="A1686" s="22" t="n"/>
      <c r="B1686" s="22" t="n"/>
      <c r="C1686" s="22" t="n"/>
      <c r="D1686" s="22">
        <f>IF(A1686="","",IF(OR(N(B1686)&gt;=$C$2,N(C1686)&gt;=$E$2),"High",IF(OR(N(B1686)&gt;0,N(C1686)&gt;0),"Medium","Low")))</f>
        <v/>
      </c>
      <c r="E1686" s="22" t="n"/>
      <c r="F1686" s="22" t="n"/>
      <c r="G1686" s="22" t="n"/>
      <c r="H1686" s="22" t="n"/>
      <c r="I1686" s="22" t="n"/>
      <c r="J1686" s="22" t="n"/>
      <c r="K1686" s="22" t="n"/>
      <c r="L1686" s="22" t="n"/>
      <c r="M1686" s="22">
        <f>IF(K1686="Override",L1686,IF(K1686="Accept suggestion",F1686,IF(K1686="No change (same URL)",A1686,"")))</f>
        <v/>
      </c>
      <c r="N1686" s="22">
        <f>IF(A1686="","",IF(K1686="410 Gone","410",IF(K1686="404","404",IF(K1686="No change (same URL)","none",IF(M1686="","","301")))))</f>
        <v/>
      </c>
      <c r="O1686" s="22">
        <f>IF(A1686="","",IFERROR(MID(A1686,FIND("/",A1686,FIND("//",A1686)+2),2000),A1686))</f>
        <v/>
      </c>
      <c r="P1686" s="22">
        <f>IF(OR(O1686="",N1686="",N1686="none",N1686="404"),"",IF(N1686="410","Redirect gone "&amp;O1686,"Redirect "&amp;N1686&amp;" "&amp;O1686&amp;" "&amp;M1686))</f>
        <v/>
      </c>
      <c r="Q1686" s="22" t="n"/>
      <c r="R1686" s="22" t="n"/>
      <c r="S1686" s="22" t="n"/>
      <c r="T1686" s="4">
        <f>IF(A1686="","",TRIM(IF(K1686="","Needs decision; ","")&amp;IF(AND(K1686="Accept suggestion",F1686=""),"No suggestion to accept; ","")&amp;IF(AND(K1686="Override",L1686=""),"Override URL missing; ","")&amp;IF(AND(K1686="Accept suggestion",N(G1686)&lt;$G$2),"Below your threshold; ","")&amp;IF(AND(M1686&lt;&gt;"",M1686=A1686,K1686&lt;&gt;"No change (same URL)"),"Redirects to itself; ","")&amp;IF(AND(M1686&lt;&gt;"",OR(M1686="/",AND(LEFT(M1686,4)="http",OR((LEN(M1686)-LEN(SUBSTITUTE(M1686,"/","")))=2,AND((LEN(M1686)-LEN(SUBSTITUTE(M1686,"/","")))=3,RIGHT(M1686,1)="/"))))),"Home page redirect; ","")&amp;IF(N(R1686)&gt;1,"Chain; ","")&amp;IF(S1686="No","Destination not 200; ","")))</f>
        <v/>
      </c>
      <c r="U1686" s="22" t="n"/>
      <c r="V1686" s="22" t="n"/>
      <c r="W1686" s="4" t="n"/>
    </row>
    <row r="1687">
      <c r="A1687" s="22" t="n"/>
      <c r="B1687" s="22" t="n"/>
      <c r="C1687" s="22" t="n"/>
      <c r="D1687" s="22">
        <f>IF(A1687="","",IF(OR(N(B1687)&gt;=$C$2,N(C1687)&gt;=$E$2),"High",IF(OR(N(B1687)&gt;0,N(C1687)&gt;0),"Medium","Low")))</f>
        <v/>
      </c>
      <c r="E1687" s="22" t="n"/>
      <c r="F1687" s="22" t="n"/>
      <c r="G1687" s="22" t="n"/>
      <c r="H1687" s="22" t="n"/>
      <c r="I1687" s="22" t="n"/>
      <c r="J1687" s="22" t="n"/>
      <c r="K1687" s="22" t="n"/>
      <c r="L1687" s="22" t="n"/>
      <c r="M1687" s="22">
        <f>IF(K1687="Override",L1687,IF(K1687="Accept suggestion",F1687,IF(K1687="No change (same URL)",A1687,"")))</f>
        <v/>
      </c>
      <c r="N1687" s="22">
        <f>IF(A1687="","",IF(K1687="410 Gone","410",IF(K1687="404","404",IF(K1687="No change (same URL)","none",IF(M1687="","","301")))))</f>
        <v/>
      </c>
      <c r="O1687" s="22">
        <f>IF(A1687="","",IFERROR(MID(A1687,FIND("/",A1687,FIND("//",A1687)+2),2000),A1687))</f>
        <v/>
      </c>
      <c r="P1687" s="22">
        <f>IF(OR(O1687="",N1687="",N1687="none",N1687="404"),"",IF(N1687="410","Redirect gone "&amp;O1687,"Redirect "&amp;N1687&amp;" "&amp;O1687&amp;" "&amp;M1687))</f>
        <v/>
      </c>
      <c r="Q1687" s="22" t="n"/>
      <c r="R1687" s="22" t="n"/>
      <c r="S1687" s="22" t="n"/>
      <c r="T1687" s="4">
        <f>IF(A1687="","",TRIM(IF(K1687="","Needs decision; ","")&amp;IF(AND(K1687="Accept suggestion",F1687=""),"No suggestion to accept; ","")&amp;IF(AND(K1687="Override",L1687=""),"Override URL missing; ","")&amp;IF(AND(K1687="Accept suggestion",N(G1687)&lt;$G$2),"Below your threshold; ","")&amp;IF(AND(M1687&lt;&gt;"",M1687=A1687,K1687&lt;&gt;"No change (same URL)"),"Redirects to itself; ","")&amp;IF(AND(M1687&lt;&gt;"",OR(M1687="/",AND(LEFT(M1687,4)="http",OR((LEN(M1687)-LEN(SUBSTITUTE(M1687,"/","")))=2,AND((LEN(M1687)-LEN(SUBSTITUTE(M1687,"/","")))=3,RIGHT(M1687,1)="/"))))),"Home page redirect; ","")&amp;IF(N(R1687)&gt;1,"Chain; ","")&amp;IF(S1687="No","Destination not 200; ","")))</f>
        <v/>
      </c>
      <c r="U1687" s="22" t="n"/>
      <c r="V1687" s="22" t="n"/>
      <c r="W1687" s="4" t="n"/>
    </row>
    <row r="1688">
      <c r="A1688" s="22" t="n"/>
      <c r="B1688" s="22" t="n"/>
      <c r="C1688" s="22" t="n"/>
      <c r="D1688" s="22">
        <f>IF(A1688="","",IF(OR(N(B1688)&gt;=$C$2,N(C1688)&gt;=$E$2),"High",IF(OR(N(B1688)&gt;0,N(C1688)&gt;0),"Medium","Low")))</f>
        <v/>
      </c>
      <c r="E1688" s="22" t="n"/>
      <c r="F1688" s="22" t="n"/>
      <c r="G1688" s="22" t="n"/>
      <c r="H1688" s="22" t="n"/>
      <c r="I1688" s="22" t="n"/>
      <c r="J1688" s="22" t="n"/>
      <c r="K1688" s="22" t="n"/>
      <c r="L1688" s="22" t="n"/>
      <c r="M1688" s="22">
        <f>IF(K1688="Override",L1688,IF(K1688="Accept suggestion",F1688,IF(K1688="No change (same URL)",A1688,"")))</f>
        <v/>
      </c>
      <c r="N1688" s="22">
        <f>IF(A1688="","",IF(K1688="410 Gone","410",IF(K1688="404","404",IF(K1688="No change (same URL)","none",IF(M1688="","","301")))))</f>
        <v/>
      </c>
      <c r="O1688" s="22">
        <f>IF(A1688="","",IFERROR(MID(A1688,FIND("/",A1688,FIND("//",A1688)+2),2000),A1688))</f>
        <v/>
      </c>
      <c r="P1688" s="22">
        <f>IF(OR(O1688="",N1688="",N1688="none",N1688="404"),"",IF(N1688="410","Redirect gone "&amp;O1688,"Redirect "&amp;N1688&amp;" "&amp;O1688&amp;" "&amp;M1688))</f>
        <v/>
      </c>
      <c r="Q1688" s="22" t="n"/>
      <c r="R1688" s="22" t="n"/>
      <c r="S1688" s="22" t="n"/>
      <c r="T1688" s="4">
        <f>IF(A1688="","",TRIM(IF(K1688="","Needs decision; ","")&amp;IF(AND(K1688="Accept suggestion",F1688=""),"No suggestion to accept; ","")&amp;IF(AND(K1688="Override",L1688=""),"Override URL missing; ","")&amp;IF(AND(K1688="Accept suggestion",N(G1688)&lt;$G$2),"Below your threshold; ","")&amp;IF(AND(M1688&lt;&gt;"",M1688=A1688,K1688&lt;&gt;"No change (same URL)"),"Redirects to itself; ","")&amp;IF(AND(M1688&lt;&gt;"",OR(M1688="/",AND(LEFT(M1688,4)="http",OR((LEN(M1688)-LEN(SUBSTITUTE(M1688,"/","")))=2,AND((LEN(M1688)-LEN(SUBSTITUTE(M1688,"/","")))=3,RIGHT(M1688,1)="/"))))),"Home page redirect; ","")&amp;IF(N(R1688)&gt;1,"Chain; ","")&amp;IF(S1688="No","Destination not 200; ","")))</f>
        <v/>
      </c>
      <c r="U1688" s="22" t="n"/>
      <c r="V1688" s="22" t="n"/>
      <c r="W1688" s="4" t="n"/>
    </row>
    <row r="1689">
      <c r="A1689" s="22" t="n"/>
      <c r="B1689" s="22" t="n"/>
      <c r="C1689" s="22" t="n"/>
      <c r="D1689" s="22">
        <f>IF(A1689="","",IF(OR(N(B1689)&gt;=$C$2,N(C1689)&gt;=$E$2),"High",IF(OR(N(B1689)&gt;0,N(C1689)&gt;0),"Medium","Low")))</f>
        <v/>
      </c>
      <c r="E1689" s="22" t="n"/>
      <c r="F1689" s="22" t="n"/>
      <c r="G1689" s="22" t="n"/>
      <c r="H1689" s="22" t="n"/>
      <c r="I1689" s="22" t="n"/>
      <c r="J1689" s="22" t="n"/>
      <c r="K1689" s="22" t="n"/>
      <c r="L1689" s="22" t="n"/>
      <c r="M1689" s="22">
        <f>IF(K1689="Override",L1689,IF(K1689="Accept suggestion",F1689,IF(K1689="No change (same URL)",A1689,"")))</f>
        <v/>
      </c>
      <c r="N1689" s="22">
        <f>IF(A1689="","",IF(K1689="410 Gone","410",IF(K1689="404","404",IF(K1689="No change (same URL)","none",IF(M1689="","","301")))))</f>
        <v/>
      </c>
      <c r="O1689" s="22">
        <f>IF(A1689="","",IFERROR(MID(A1689,FIND("/",A1689,FIND("//",A1689)+2),2000),A1689))</f>
        <v/>
      </c>
      <c r="P1689" s="22">
        <f>IF(OR(O1689="",N1689="",N1689="none",N1689="404"),"",IF(N1689="410","Redirect gone "&amp;O1689,"Redirect "&amp;N1689&amp;" "&amp;O1689&amp;" "&amp;M1689))</f>
        <v/>
      </c>
      <c r="Q1689" s="22" t="n"/>
      <c r="R1689" s="22" t="n"/>
      <c r="S1689" s="22" t="n"/>
      <c r="T1689" s="4">
        <f>IF(A1689="","",TRIM(IF(K1689="","Needs decision; ","")&amp;IF(AND(K1689="Accept suggestion",F1689=""),"No suggestion to accept; ","")&amp;IF(AND(K1689="Override",L1689=""),"Override URL missing; ","")&amp;IF(AND(K1689="Accept suggestion",N(G1689)&lt;$G$2),"Below your threshold; ","")&amp;IF(AND(M1689&lt;&gt;"",M1689=A1689,K1689&lt;&gt;"No change (same URL)"),"Redirects to itself; ","")&amp;IF(AND(M1689&lt;&gt;"",OR(M1689="/",AND(LEFT(M1689,4)="http",OR((LEN(M1689)-LEN(SUBSTITUTE(M1689,"/","")))=2,AND((LEN(M1689)-LEN(SUBSTITUTE(M1689,"/","")))=3,RIGHT(M1689,1)="/"))))),"Home page redirect; ","")&amp;IF(N(R1689)&gt;1,"Chain; ","")&amp;IF(S1689="No","Destination not 200; ","")))</f>
        <v/>
      </c>
      <c r="U1689" s="22" t="n"/>
      <c r="V1689" s="22" t="n"/>
      <c r="W1689" s="4" t="n"/>
    </row>
    <row r="1690">
      <c r="A1690" s="22" t="n"/>
      <c r="B1690" s="22" t="n"/>
      <c r="C1690" s="22" t="n"/>
      <c r="D1690" s="22">
        <f>IF(A1690="","",IF(OR(N(B1690)&gt;=$C$2,N(C1690)&gt;=$E$2),"High",IF(OR(N(B1690)&gt;0,N(C1690)&gt;0),"Medium","Low")))</f>
        <v/>
      </c>
      <c r="E1690" s="22" t="n"/>
      <c r="F1690" s="22" t="n"/>
      <c r="G1690" s="22" t="n"/>
      <c r="H1690" s="22" t="n"/>
      <c r="I1690" s="22" t="n"/>
      <c r="J1690" s="22" t="n"/>
      <c r="K1690" s="22" t="n"/>
      <c r="L1690" s="22" t="n"/>
      <c r="M1690" s="22">
        <f>IF(K1690="Override",L1690,IF(K1690="Accept suggestion",F1690,IF(K1690="No change (same URL)",A1690,"")))</f>
        <v/>
      </c>
      <c r="N1690" s="22">
        <f>IF(A1690="","",IF(K1690="410 Gone","410",IF(K1690="404","404",IF(K1690="No change (same URL)","none",IF(M1690="","","301")))))</f>
        <v/>
      </c>
      <c r="O1690" s="22">
        <f>IF(A1690="","",IFERROR(MID(A1690,FIND("/",A1690,FIND("//",A1690)+2),2000),A1690))</f>
        <v/>
      </c>
      <c r="P1690" s="22">
        <f>IF(OR(O1690="",N1690="",N1690="none",N1690="404"),"",IF(N1690="410","Redirect gone "&amp;O1690,"Redirect "&amp;N1690&amp;" "&amp;O1690&amp;" "&amp;M1690))</f>
        <v/>
      </c>
      <c r="Q1690" s="22" t="n"/>
      <c r="R1690" s="22" t="n"/>
      <c r="S1690" s="22" t="n"/>
      <c r="T1690" s="4">
        <f>IF(A1690="","",TRIM(IF(K1690="","Needs decision; ","")&amp;IF(AND(K1690="Accept suggestion",F1690=""),"No suggestion to accept; ","")&amp;IF(AND(K1690="Override",L1690=""),"Override URL missing; ","")&amp;IF(AND(K1690="Accept suggestion",N(G1690)&lt;$G$2),"Below your threshold; ","")&amp;IF(AND(M1690&lt;&gt;"",M1690=A1690,K1690&lt;&gt;"No change (same URL)"),"Redirects to itself; ","")&amp;IF(AND(M1690&lt;&gt;"",OR(M1690="/",AND(LEFT(M1690,4)="http",OR((LEN(M1690)-LEN(SUBSTITUTE(M1690,"/","")))=2,AND((LEN(M1690)-LEN(SUBSTITUTE(M1690,"/","")))=3,RIGHT(M1690,1)="/"))))),"Home page redirect; ","")&amp;IF(N(R1690)&gt;1,"Chain; ","")&amp;IF(S1690="No","Destination not 200; ","")))</f>
        <v/>
      </c>
      <c r="U1690" s="22" t="n"/>
      <c r="V1690" s="22" t="n"/>
      <c r="W1690" s="4" t="n"/>
    </row>
    <row r="1691">
      <c r="A1691" s="22" t="n"/>
      <c r="B1691" s="22" t="n"/>
      <c r="C1691" s="22" t="n"/>
      <c r="D1691" s="22">
        <f>IF(A1691="","",IF(OR(N(B1691)&gt;=$C$2,N(C1691)&gt;=$E$2),"High",IF(OR(N(B1691)&gt;0,N(C1691)&gt;0),"Medium","Low")))</f>
        <v/>
      </c>
      <c r="E1691" s="22" t="n"/>
      <c r="F1691" s="22" t="n"/>
      <c r="G1691" s="22" t="n"/>
      <c r="H1691" s="22" t="n"/>
      <c r="I1691" s="22" t="n"/>
      <c r="J1691" s="22" t="n"/>
      <c r="K1691" s="22" t="n"/>
      <c r="L1691" s="22" t="n"/>
      <c r="M1691" s="22">
        <f>IF(K1691="Override",L1691,IF(K1691="Accept suggestion",F1691,IF(K1691="No change (same URL)",A1691,"")))</f>
        <v/>
      </c>
      <c r="N1691" s="22">
        <f>IF(A1691="","",IF(K1691="410 Gone","410",IF(K1691="404","404",IF(K1691="No change (same URL)","none",IF(M1691="","","301")))))</f>
        <v/>
      </c>
      <c r="O1691" s="22">
        <f>IF(A1691="","",IFERROR(MID(A1691,FIND("/",A1691,FIND("//",A1691)+2),2000),A1691))</f>
        <v/>
      </c>
      <c r="P1691" s="22">
        <f>IF(OR(O1691="",N1691="",N1691="none",N1691="404"),"",IF(N1691="410","Redirect gone "&amp;O1691,"Redirect "&amp;N1691&amp;" "&amp;O1691&amp;" "&amp;M1691))</f>
        <v/>
      </c>
      <c r="Q1691" s="22" t="n"/>
      <c r="R1691" s="22" t="n"/>
      <c r="S1691" s="22" t="n"/>
      <c r="T1691" s="4">
        <f>IF(A1691="","",TRIM(IF(K1691="","Needs decision; ","")&amp;IF(AND(K1691="Accept suggestion",F1691=""),"No suggestion to accept; ","")&amp;IF(AND(K1691="Override",L1691=""),"Override URL missing; ","")&amp;IF(AND(K1691="Accept suggestion",N(G1691)&lt;$G$2),"Below your threshold; ","")&amp;IF(AND(M1691&lt;&gt;"",M1691=A1691,K1691&lt;&gt;"No change (same URL)"),"Redirects to itself; ","")&amp;IF(AND(M1691&lt;&gt;"",OR(M1691="/",AND(LEFT(M1691,4)="http",OR((LEN(M1691)-LEN(SUBSTITUTE(M1691,"/","")))=2,AND((LEN(M1691)-LEN(SUBSTITUTE(M1691,"/","")))=3,RIGHT(M1691,1)="/"))))),"Home page redirect; ","")&amp;IF(N(R1691)&gt;1,"Chain; ","")&amp;IF(S1691="No","Destination not 200; ","")))</f>
        <v/>
      </c>
      <c r="U1691" s="22" t="n"/>
      <c r="V1691" s="22" t="n"/>
      <c r="W1691" s="4" t="n"/>
    </row>
    <row r="1692">
      <c r="A1692" s="22" t="n"/>
      <c r="B1692" s="22" t="n"/>
      <c r="C1692" s="22" t="n"/>
      <c r="D1692" s="22">
        <f>IF(A1692="","",IF(OR(N(B1692)&gt;=$C$2,N(C1692)&gt;=$E$2),"High",IF(OR(N(B1692)&gt;0,N(C1692)&gt;0),"Medium","Low")))</f>
        <v/>
      </c>
      <c r="E1692" s="22" t="n"/>
      <c r="F1692" s="22" t="n"/>
      <c r="G1692" s="22" t="n"/>
      <c r="H1692" s="22" t="n"/>
      <c r="I1692" s="22" t="n"/>
      <c r="J1692" s="22" t="n"/>
      <c r="K1692" s="22" t="n"/>
      <c r="L1692" s="22" t="n"/>
      <c r="M1692" s="22">
        <f>IF(K1692="Override",L1692,IF(K1692="Accept suggestion",F1692,IF(K1692="No change (same URL)",A1692,"")))</f>
        <v/>
      </c>
      <c r="N1692" s="22">
        <f>IF(A1692="","",IF(K1692="410 Gone","410",IF(K1692="404","404",IF(K1692="No change (same URL)","none",IF(M1692="","","301")))))</f>
        <v/>
      </c>
      <c r="O1692" s="22">
        <f>IF(A1692="","",IFERROR(MID(A1692,FIND("/",A1692,FIND("//",A1692)+2),2000),A1692))</f>
        <v/>
      </c>
      <c r="P1692" s="22">
        <f>IF(OR(O1692="",N1692="",N1692="none",N1692="404"),"",IF(N1692="410","Redirect gone "&amp;O1692,"Redirect "&amp;N1692&amp;" "&amp;O1692&amp;" "&amp;M1692))</f>
        <v/>
      </c>
      <c r="Q1692" s="22" t="n"/>
      <c r="R1692" s="22" t="n"/>
      <c r="S1692" s="22" t="n"/>
      <c r="T1692" s="4">
        <f>IF(A1692="","",TRIM(IF(K1692="","Needs decision; ","")&amp;IF(AND(K1692="Accept suggestion",F1692=""),"No suggestion to accept; ","")&amp;IF(AND(K1692="Override",L1692=""),"Override URL missing; ","")&amp;IF(AND(K1692="Accept suggestion",N(G1692)&lt;$G$2),"Below your threshold; ","")&amp;IF(AND(M1692&lt;&gt;"",M1692=A1692,K1692&lt;&gt;"No change (same URL)"),"Redirects to itself; ","")&amp;IF(AND(M1692&lt;&gt;"",OR(M1692="/",AND(LEFT(M1692,4)="http",OR((LEN(M1692)-LEN(SUBSTITUTE(M1692,"/","")))=2,AND((LEN(M1692)-LEN(SUBSTITUTE(M1692,"/","")))=3,RIGHT(M1692,1)="/"))))),"Home page redirect; ","")&amp;IF(N(R1692)&gt;1,"Chain; ","")&amp;IF(S1692="No","Destination not 200; ","")))</f>
        <v/>
      </c>
      <c r="U1692" s="22" t="n"/>
      <c r="V1692" s="22" t="n"/>
      <c r="W1692" s="4" t="n"/>
    </row>
    <row r="1693">
      <c r="A1693" s="22" t="n"/>
      <c r="B1693" s="22" t="n"/>
      <c r="C1693" s="22" t="n"/>
      <c r="D1693" s="22">
        <f>IF(A1693="","",IF(OR(N(B1693)&gt;=$C$2,N(C1693)&gt;=$E$2),"High",IF(OR(N(B1693)&gt;0,N(C1693)&gt;0),"Medium","Low")))</f>
        <v/>
      </c>
      <c r="E1693" s="22" t="n"/>
      <c r="F1693" s="22" t="n"/>
      <c r="G1693" s="22" t="n"/>
      <c r="H1693" s="22" t="n"/>
      <c r="I1693" s="22" t="n"/>
      <c r="J1693" s="22" t="n"/>
      <c r="K1693" s="22" t="n"/>
      <c r="L1693" s="22" t="n"/>
      <c r="M1693" s="22">
        <f>IF(K1693="Override",L1693,IF(K1693="Accept suggestion",F1693,IF(K1693="No change (same URL)",A1693,"")))</f>
        <v/>
      </c>
      <c r="N1693" s="22">
        <f>IF(A1693="","",IF(K1693="410 Gone","410",IF(K1693="404","404",IF(K1693="No change (same URL)","none",IF(M1693="","","301")))))</f>
        <v/>
      </c>
      <c r="O1693" s="22">
        <f>IF(A1693="","",IFERROR(MID(A1693,FIND("/",A1693,FIND("//",A1693)+2),2000),A1693))</f>
        <v/>
      </c>
      <c r="P1693" s="22">
        <f>IF(OR(O1693="",N1693="",N1693="none",N1693="404"),"",IF(N1693="410","Redirect gone "&amp;O1693,"Redirect "&amp;N1693&amp;" "&amp;O1693&amp;" "&amp;M1693))</f>
        <v/>
      </c>
      <c r="Q1693" s="22" t="n"/>
      <c r="R1693" s="22" t="n"/>
      <c r="S1693" s="22" t="n"/>
      <c r="T1693" s="4">
        <f>IF(A1693="","",TRIM(IF(K1693="","Needs decision; ","")&amp;IF(AND(K1693="Accept suggestion",F1693=""),"No suggestion to accept; ","")&amp;IF(AND(K1693="Override",L1693=""),"Override URL missing; ","")&amp;IF(AND(K1693="Accept suggestion",N(G1693)&lt;$G$2),"Below your threshold; ","")&amp;IF(AND(M1693&lt;&gt;"",M1693=A1693,K1693&lt;&gt;"No change (same URL)"),"Redirects to itself; ","")&amp;IF(AND(M1693&lt;&gt;"",OR(M1693="/",AND(LEFT(M1693,4)="http",OR((LEN(M1693)-LEN(SUBSTITUTE(M1693,"/","")))=2,AND((LEN(M1693)-LEN(SUBSTITUTE(M1693,"/","")))=3,RIGHT(M1693,1)="/"))))),"Home page redirect; ","")&amp;IF(N(R1693)&gt;1,"Chain; ","")&amp;IF(S1693="No","Destination not 200; ","")))</f>
        <v/>
      </c>
      <c r="U1693" s="22" t="n"/>
      <c r="V1693" s="22" t="n"/>
      <c r="W1693" s="4" t="n"/>
    </row>
    <row r="1694">
      <c r="A1694" s="22" t="n"/>
      <c r="B1694" s="22" t="n"/>
      <c r="C1694" s="22" t="n"/>
      <c r="D1694" s="22">
        <f>IF(A1694="","",IF(OR(N(B1694)&gt;=$C$2,N(C1694)&gt;=$E$2),"High",IF(OR(N(B1694)&gt;0,N(C1694)&gt;0),"Medium","Low")))</f>
        <v/>
      </c>
      <c r="E1694" s="22" t="n"/>
      <c r="F1694" s="22" t="n"/>
      <c r="G1694" s="22" t="n"/>
      <c r="H1694" s="22" t="n"/>
      <c r="I1694" s="22" t="n"/>
      <c r="J1694" s="22" t="n"/>
      <c r="K1694" s="22" t="n"/>
      <c r="L1694" s="22" t="n"/>
      <c r="M1694" s="22">
        <f>IF(K1694="Override",L1694,IF(K1694="Accept suggestion",F1694,IF(K1694="No change (same URL)",A1694,"")))</f>
        <v/>
      </c>
      <c r="N1694" s="22">
        <f>IF(A1694="","",IF(K1694="410 Gone","410",IF(K1694="404","404",IF(K1694="No change (same URL)","none",IF(M1694="","","301")))))</f>
        <v/>
      </c>
      <c r="O1694" s="22">
        <f>IF(A1694="","",IFERROR(MID(A1694,FIND("/",A1694,FIND("//",A1694)+2),2000),A1694))</f>
        <v/>
      </c>
      <c r="P1694" s="22">
        <f>IF(OR(O1694="",N1694="",N1694="none",N1694="404"),"",IF(N1694="410","Redirect gone "&amp;O1694,"Redirect "&amp;N1694&amp;" "&amp;O1694&amp;" "&amp;M1694))</f>
        <v/>
      </c>
      <c r="Q1694" s="22" t="n"/>
      <c r="R1694" s="22" t="n"/>
      <c r="S1694" s="22" t="n"/>
      <c r="T1694" s="4">
        <f>IF(A1694="","",TRIM(IF(K1694="","Needs decision; ","")&amp;IF(AND(K1694="Accept suggestion",F1694=""),"No suggestion to accept; ","")&amp;IF(AND(K1694="Override",L1694=""),"Override URL missing; ","")&amp;IF(AND(K1694="Accept suggestion",N(G1694)&lt;$G$2),"Below your threshold; ","")&amp;IF(AND(M1694&lt;&gt;"",M1694=A1694,K1694&lt;&gt;"No change (same URL)"),"Redirects to itself; ","")&amp;IF(AND(M1694&lt;&gt;"",OR(M1694="/",AND(LEFT(M1694,4)="http",OR((LEN(M1694)-LEN(SUBSTITUTE(M1694,"/","")))=2,AND((LEN(M1694)-LEN(SUBSTITUTE(M1694,"/","")))=3,RIGHT(M1694,1)="/"))))),"Home page redirect; ","")&amp;IF(N(R1694)&gt;1,"Chain; ","")&amp;IF(S1694="No","Destination not 200; ","")))</f>
        <v/>
      </c>
      <c r="U1694" s="22" t="n"/>
      <c r="V1694" s="22" t="n"/>
      <c r="W1694" s="4" t="n"/>
    </row>
    <row r="1695">
      <c r="A1695" s="22" t="n"/>
      <c r="B1695" s="22" t="n"/>
      <c r="C1695" s="22" t="n"/>
      <c r="D1695" s="22">
        <f>IF(A1695="","",IF(OR(N(B1695)&gt;=$C$2,N(C1695)&gt;=$E$2),"High",IF(OR(N(B1695)&gt;0,N(C1695)&gt;0),"Medium","Low")))</f>
        <v/>
      </c>
      <c r="E1695" s="22" t="n"/>
      <c r="F1695" s="22" t="n"/>
      <c r="G1695" s="22" t="n"/>
      <c r="H1695" s="22" t="n"/>
      <c r="I1695" s="22" t="n"/>
      <c r="J1695" s="22" t="n"/>
      <c r="K1695" s="22" t="n"/>
      <c r="L1695" s="22" t="n"/>
      <c r="M1695" s="22">
        <f>IF(K1695="Override",L1695,IF(K1695="Accept suggestion",F1695,IF(K1695="No change (same URL)",A1695,"")))</f>
        <v/>
      </c>
      <c r="N1695" s="22">
        <f>IF(A1695="","",IF(K1695="410 Gone","410",IF(K1695="404","404",IF(K1695="No change (same URL)","none",IF(M1695="","","301")))))</f>
        <v/>
      </c>
      <c r="O1695" s="22">
        <f>IF(A1695="","",IFERROR(MID(A1695,FIND("/",A1695,FIND("//",A1695)+2),2000),A1695))</f>
        <v/>
      </c>
      <c r="P1695" s="22">
        <f>IF(OR(O1695="",N1695="",N1695="none",N1695="404"),"",IF(N1695="410","Redirect gone "&amp;O1695,"Redirect "&amp;N1695&amp;" "&amp;O1695&amp;" "&amp;M1695))</f>
        <v/>
      </c>
      <c r="Q1695" s="22" t="n"/>
      <c r="R1695" s="22" t="n"/>
      <c r="S1695" s="22" t="n"/>
      <c r="T1695" s="4">
        <f>IF(A1695="","",TRIM(IF(K1695="","Needs decision; ","")&amp;IF(AND(K1695="Accept suggestion",F1695=""),"No suggestion to accept; ","")&amp;IF(AND(K1695="Override",L1695=""),"Override URL missing; ","")&amp;IF(AND(K1695="Accept suggestion",N(G1695)&lt;$G$2),"Below your threshold; ","")&amp;IF(AND(M1695&lt;&gt;"",M1695=A1695,K1695&lt;&gt;"No change (same URL)"),"Redirects to itself; ","")&amp;IF(AND(M1695&lt;&gt;"",OR(M1695="/",AND(LEFT(M1695,4)="http",OR((LEN(M1695)-LEN(SUBSTITUTE(M1695,"/","")))=2,AND((LEN(M1695)-LEN(SUBSTITUTE(M1695,"/","")))=3,RIGHT(M1695,1)="/"))))),"Home page redirect; ","")&amp;IF(N(R1695)&gt;1,"Chain; ","")&amp;IF(S1695="No","Destination not 200; ","")))</f>
        <v/>
      </c>
      <c r="U1695" s="22" t="n"/>
      <c r="V1695" s="22" t="n"/>
      <c r="W1695" s="4" t="n"/>
    </row>
    <row r="1696">
      <c r="A1696" s="22" t="n"/>
      <c r="B1696" s="22" t="n"/>
      <c r="C1696" s="22" t="n"/>
      <c r="D1696" s="22">
        <f>IF(A1696="","",IF(OR(N(B1696)&gt;=$C$2,N(C1696)&gt;=$E$2),"High",IF(OR(N(B1696)&gt;0,N(C1696)&gt;0),"Medium","Low")))</f>
        <v/>
      </c>
      <c r="E1696" s="22" t="n"/>
      <c r="F1696" s="22" t="n"/>
      <c r="G1696" s="22" t="n"/>
      <c r="H1696" s="22" t="n"/>
      <c r="I1696" s="22" t="n"/>
      <c r="J1696" s="22" t="n"/>
      <c r="K1696" s="22" t="n"/>
      <c r="L1696" s="22" t="n"/>
      <c r="M1696" s="22">
        <f>IF(K1696="Override",L1696,IF(K1696="Accept suggestion",F1696,IF(K1696="No change (same URL)",A1696,"")))</f>
        <v/>
      </c>
      <c r="N1696" s="22">
        <f>IF(A1696="","",IF(K1696="410 Gone","410",IF(K1696="404","404",IF(K1696="No change (same URL)","none",IF(M1696="","","301")))))</f>
        <v/>
      </c>
      <c r="O1696" s="22">
        <f>IF(A1696="","",IFERROR(MID(A1696,FIND("/",A1696,FIND("//",A1696)+2),2000),A1696))</f>
        <v/>
      </c>
      <c r="P1696" s="22">
        <f>IF(OR(O1696="",N1696="",N1696="none",N1696="404"),"",IF(N1696="410","Redirect gone "&amp;O1696,"Redirect "&amp;N1696&amp;" "&amp;O1696&amp;" "&amp;M1696))</f>
        <v/>
      </c>
      <c r="Q1696" s="22" t="n"/>
      <c r="R1696" s="22" t="n"/>
      <c r="S1696" s="22" t="n"/>
      <c r="T1696" s="4">
        <f>IF(A1696="","",TRIM(IF(K1696="","Needs decision; ","")&amp;IF(AND(K1696="Accept suggestion",F1696=""),"No suggestion to accept; ","")&amp;IF(AND(K1696="Override",L1696=""),"Override URL missing; ","")&amp;IF(AND(K1696="Accept suggestion",N(G1696)&lt;$G$2),"Below your threshold; ","")&amp;IF(AND(M1696&lt;&gt;"",M1696=A1696,K1696&lt;&gt;"No change (same URL)"),"Redirects to itself; ","")&amp;IF(AND(M1696&lt;&gt;"",OR(M1696="/",AND(LEFT(M1696,4)="http",OR((LEN(M1696)-LEN(SUBSTITUTE(M1696,"/","")))=2,AND((LEN(M1696)-LEN(SUBSTITUTE(M1696,"/","")))=3,RIGHT(M1696,1)="/"))))),"Home page redirect; ","")&amp;IF(N(R1696)&gt;1,"Chain; ","")&amp;IF(S1696="No","Destination not 200; ","")))</f>
        <v/>
      </c>
      <c r="U1696" s="22" t="n"/>
      <c r="V1696" s="22" t="n"/>
      <c r="W1696" s="4" t="n"/>
    </row>
    <row r="1697">
      <c r="A1697" s="22" t="n"/>
      <c r="B1697" s="22" t="n"/>
      <c r="C1697" s="22" t="n"/>
      <c r="D1697" s="22">
        <f>IF(A1697="","",IF(OR(N(B1697)&gt;=$C$2,N(C1697)&gt;=$E$2),"High",IF(OR(N(B1697)&gt;0,N(C1697)&gt;0),"Medium","Low")))</f>
        <v/>
      </c>
      <c r="E1697" s="22" t="n"/>
      <c r="F1697" s="22" t="n"/>
      <c r="G1697" s="22" t="n"/>
      <c r="H1697" s="22" t="n"/>
      <c r="I1697" s="22" t="n"/>
      <c r="J1697" s="22" t="n"/>
      <c r="K1697" s="22" t="n"/>
      <c r="L1697" s="22" t="n"/>
      <c r="M1697" s="22">
        <f>IF(K1697="Override",L1697,IF(K1697="Accept suggestion",F1697,IF(K1697="No change (same URL)",A1697,"")))</f>
        <v/>
      </c>
      <c r="N1697" s="22">
        <f>IF(A1697="","",IF(K1697="410 Gone","410",IF(K1697="404","404",IF(K1697="No change (same URL)","none",IF(M1697="","","301")))))</f>
        <v/>
      </c>
      <c r="O1697" s="22">
        <f>IF(A1697="","",IFERROR(MID(A1697,FIND("/",A1697,FIND("//",A1697)+2),2000),A1697))</f>
        <v/>
      </c>
      <c r="P1697" s="22">
        <f>IF(OR(O1697="",N1697="",N1697="none",N1697="404"),"",IF(N1697="410","Redirect gone "&amp;O1697,"Redirect "&amp;N1697&amp;" "&amp;O1697&amp;" "&amp;M1697))</f>
        <v/>
      </c>
      <c r="Q1697" s="22" t="n"/>
      <c r="R1697" s="22" t="n"/>
      <c r="S1697" s="22" t="n"/>
      <c r="T1697" s="4">
        <f>IF(A1697="","",TRIM(IF(K1697="","Needs decision; ","")&amp;IF(AND(K1697="Accept suggestion",F1697=""),"No suggestion to accept; ","")&amp;IF(AND(K1697="Override",L1697=""),"Override URL missing; ","")&amp;IF(AND(K1697="Accept suggestion",N(G1697)&lt;$G$2),"Below your threshold; ","")&amp;IF(AND(M1697&lt;&gt;"",M1697=A1697,K1697&lt;&gt;"No change (same URL)"),"Redirects to itself; ","")&amp;IF(AND(M1697&lt;&gt;"",OR(M1697="/",AND(LEFT(M1697,4)="http",OR((LEN(M1697)-LEN(SUBSTITUTE(M1697,"/","")))=2,AND((LEN(M1697)-LEN(SUBSTITUTE(M1697,"/","")))=3,RIGHT(M1697,1)="/"))))),"Home page redirect; ","")&amp;IF(N(R1697)&gt;1,"Chain; ","")&amp;IF(S1697="No","Destination not 200; ","")))</f>
        <v/>
      </c>
      <c r="U1697" s="22" t="n"/>
      <c r="V1697" s="22" t="n"/>
      <c r="W1697" s="4" t="n"/>
    </row>
    <row r="1698">
      <c r="A1698" s="22" t="n"/>
      <c r="B1698" s="22" t="n"/>
      <c r="C1698" s="22" t="n"/>
      <c r="D1698" s="22">
        <f>IF(A1698="","",IF(OR(N(B1698)&gt;=$C$2,N(C1698)&gt;=$E$2),"High",IF(OR(N(B1698)&gt;0,N(C1698)&gt;0),"Medium","Low")))</f>
        <v/>
      </c>
      <c r="E1698" s="22" t="n"/>
      <c r="F1698" s="22" t="n"/>
      <c r="G1698" s="22" t="n"/>
      <c r="H1698" s="22" t="n"/>
      <c r="I1698" s="22" t="n"/>
      <c r="J1698" s="22" t="n"/>
      <c r="K1698" s="22" t="n"/>
      <c r="L1698" s="22" t="n"/>
      <c r="M1698" s="22">
        <f>IF(K1698="Override",L1698,IF(K1698="Accept suggestion",F1698,IF(K1698="No change (same URL)",A1698,"")))</f>
        <v/>
      </c>
      <c r="N1698" s="22">
        <f>IF(A1698="","",IF(K1698="410 Gone","410",IF(K1698="404","404",IF(K1698="No change (same URL)","none",IF(M1698="","","301")))))</f>
        <v/>
      </c>
      <c r="O1698" s="22">
        <f>IF(A1698="","",IFERROR(MID(A1698,FIND("/",A1698,FIND("//",A1698)+2),2000),A1698))</f>
        <v/>
      </c>
      <c r="P1698" s="22">
        <f>IF(OR(O1698="",N1698="",N1698="none",N1698="404"),"",IF(N1698="410","Redirect gone "&amp;O1698,"Redirect "&amp;N1698&amp;" "&amp;O1698&amp;" "&amp;M1698))</f>
        <v/>
      </c>
      <c r="Q1698" s="22" t="n"/>
      <c r="R1698" s="22" t="n"/>
      <c r="S1698" s="22" t="n"/>
      <c r="T1698" s="4">
        <f>IF(A1698="","",TRIM(IF(K1698="","Needs decision; ","")&amp;IF(AND(K1698="Accept suggestion",F1698=""),"No suggestion to accept; ","")&amp;IF(AND(K1698="Override",L1698=""),"Override URL missing; ","")&amp;IF(AND(K1698="Accept suggestion",N(G1698)&lt;$G$2),"Below your threshold; ","")&amp;IF(AND(M1698&lt;&gt;"",M1698=A1698,K1698&lt;&gt;"No change (same URL)"),"Redirects to itself; ","")&amp;IF(AND(M1698&lt;&gt;"",OR(M1698="/",AND(LEFT(M1698,4)="http",OR((LEN(M1698)-LEN(SUBSTITUTE(M1698,"/","")))=2,AND((LEN(M1698)-LEN(SUBSTITUTE(M1698,"/","")))=3,RIGHT(M1698,1)="/"))))),"Home page redirect; ","")&amp;IF(N(R1698)&gt;1,"Chain; ","")&amp;IF(S1698="No","Destination not 200; ","")))</f>
        <v/>
      </c>
      <c r="U1698" s="22" t="n"/>
      <c r="V1698" s="22" t="n"/>
      <c r="W1698" s="4" t="n"/>
    </row>
    <row r="1699">
      <c r="A1699" s="22" t="n"/>
      <c r="B1699" s="22" t="n"/>
      <c r="C1699" s="22" t="n"/>
      <c r="D1699" s="22">
        <f>IF(A1699="","",IF(OR(N(B1699)&gt;=$C$2,N(C1699)&gt;=$E$2),"High",IF(OR(N(B1699)&gt;0,N(C1699)&gt;0),"Medium","Low")))</f>
        <v/>
      </c>
      <c r="E1699" s="22" t="n"/>
      <c r="F1699" s="22" t="n"/>
      <c r="G1699" s="22" t="n"/>
      <c r="H1699" s="22" t="n"/>
      <c r="I1699" s="22" t="n"/>
      <c r="J1699" s="22" t="n"/>
      <c r="K1699" s="22" t="n"/>
      <c r="L1699" s="22" t="n"/>
      <c r="M1699" s="22">
        <f>IF(K1699="Override",L1699,IF(K1699="Accept suggestion",F1699,IF(K1699="No change (same URL)",A1699,"")))</f>
        <v/>
      </c>
      <c r="N1699" s="22">
        <f>IF(A1699="","",IF(K1699="410 Gone","410",IF(K1699="404","404",IF(K1699="No change (same URL)","none",IF(M1699="","","301")))))</f>
        <v/>
      </c>
      <c r="O1699" s="22">
        <f>IF(A1699="","",IFERROR(MID(A1699,FIND("/",A1699,FIND("//",A1699)+2),2000),A1699))</f>
        <v/>
      </c>
      <c r="P1699" s="22">
        <f>IF(OR(O1699="",N1699="",N1699="none",N1699="404"),"",IF(N1699="410","Redirect gone "&amp;O1699,"Redirect "&amp;N1699&amp;" "&amp;O1699&amp;" "&amp;M1699))</f>
        <v/>
      </c>
      <c r="Q1699" s="22" t="n"/>
      <c r="R1699" s="22" t="n"/>
      <c r="S1699" s="22" t="n"/>
      <c r="T1699" s="4">
        <f>IF(A1699="","",TRIM(IF(K1699="","Needs decision; ","")&amp;IF(AND(K1699="Accept suggestion",F1699=""),"No suggestion to accept; ","")&amp;IF(AND(K1699="Override",L1699=""),"Override URL missing; ","")&amp;IF(AND(K1699="Accept suggestion",N(G1699)&lt;$G$2),"Below your threshold; ","")&amp;IF(AND(M1699&lt;&gt;"",M1699=A1699,K1699&lt;&gt;"No change (same URL)"),"Redirects to itself; ","")&amp;IF(AND(M1699&lt;&gt;"",OR(M1699="/",AND(LEFT(M1699,4)="http",OR((LEN(M1699)-LEN(SUBSTITUTE(M1699,"/","")))=2,AND((LEN(M1699)-LEN(SUBSTITUTE(M1699,"/","")))=3,RIGHT(M1699,1)="/"))))),"Home page redirect; ","")&amp;IF(N(R1699)&gt;1,"Chain; ","")&amp;IF(S1699="No","Destination not 200; ","")))</f>
        <v/>
      </c>
      <c r="U1699" s="22" t="n"/>
      <c r="V1699" s="22" t="n"/>
      <c r="W1699" s="4" t="n"/>
    </row>
    <row r="1700">
      <c r="A1700" s="22" t="n"/>
      <c r="B1700" s="22" t="n"/>
      <c r="C1700" s="22" t="n"/>
      <c r="D1700" s="22">
        <f>IF(A1700="","",IF(OR(N(B1700)&gt;=$C$2,N(C1700)&gt;=$E$2),"High",IF(OR(N(B1700)&gt;0,N(C1700)&gt;0),"Medium","Low")))</f>
        <v/>
      </c>
      <c r="E1700" s="22" t="n"/>
      <c r="F1700" s="22" t="n"/>
      <c r="G1700" s="22" t="n"/>
      <c r="H1700" s="22" t="n"/>
      <c r="I1700" s="22" t="n"/>
      <c r="J1700" s="22" t="n"/>
      <c r="K1700" s="22" t="n"/>
      <c r="L1700" s="22" t="n"/>
      <c r="M1700" s="22">
        <f>IF(K1700="Override",L1700,IF(K1700="Accept suggestion",F1700,IF(K1700="No change (same URL)",A1700,"")))</f>
        <v/>
      </c>
      <c r="N1700" s="22">
        <f>IF(A1700="","",IF(K1700="410 Gone","410",IF(K1700="404","404",IF(K1700="No change (same URL)","none",IF(M1700="","","301")))))</f>
        <v/>
      </c>
      <c r="O1700" s="22">
        <f>IF(A1700="","",IFERROR(MID(A1700,FIND("/",A1700,FIND("//",A1700)+2),2000),A1700))</f>
        <v/>
      </c>
      <c r="P1700" s="22">
        <f>IF(OR(O1700="",N1700="",N1700="none",N1700="404"),"",IF(N1700="410","Redirect gone "&amp;O1700,"Redirect "&amp;N1700&amp;" "&amp;O1700&amp;" "&amp;M1700))</f>
        <v/>
      </c>
      <c r="Q1700" s="22" t="n"/>
      <c r="R1700" s="22" t="n"/>
      <c r="S1700" s="22" t="n"/>
      <c r="T1700" s="4">
        <f>IF(A1700="","",TRIM(IF(K1700="","Needs decision; ","")&amp;IF(AND(K1700="Accept suggestion",F1700=""),"No suggestion to accept; ","")&amp;IF(AND(K1700="Override",L1700=""),"Override URL missing; ","")&amp;IF(AND(K1700="Accept suggestion",N(G1700)&lt;$G$2),"Below your threshold; ","")&amp;IF(AND(M1700&lt;&gt;"",M1700=A1700,K1700&lt;&gt;"No change (same URL)"),"Redirects to itself; ","")&amp;IF(AND(M1700&lt;&gt;"",OR(M1700="/",AND(LEFT(M1700,4)="http",OR((LEN(M1700)-LEN(SUBSTITUTE(M1700,"/","")))=2,AND((LEN(M1700)-LEN(SUBSTITUTE(M1700,"/","")))=3,RIGHT(M1700,1)="/"))))),"Home page redirect; ","")&amp;IF(N(R1700)&gt;1,"Chain; ","")&amp;IF(S1700="No","Destination not 200; ","")))</f>
        <v/>
      </c>
      <c r="U1700" s="22" t="n"/>
      <c r="V1700" s="22" t="n"/>
      <c r="W1700" s="4" t="n"/>
    </row>
    <row r="1701">
      <c r="A1701" s="22" t="n"/>
      <c r="B1701" s="22" t="n"/>
      <c r="C1701" s="22" t="n"/>
      <c r="D1701" s="22">
        <f>IF(A1701="","",IF(OR(N(B1701)&gt;=$C$2,N(C1701)&gt;=$E$2),"High",IF(OR(N(B1701)&gt;0,N(C1701)&gt;0),"Medium","Low")))</f>
        <v/>
      </c>
      <c r="E1701" s="22" t="n"/>
      <c r="F1701" s="22" t="n"/>
      <c r="G1701" s="22" t="n"/>
      <c r="H1701" s="22" t="n"/>
      <c r="I1701" s="22" t="n"/>
      <c r="J1701" s="22" t="n"/>
      <c r="K1701" s="22" t="n"/>
      <c r="L1701" s="22" t="n"/>
      <c r="M1701" s="22">
        <f>IF(K1701="Override",L1701,IF(K1701="Accept suggestion",F1701,IF(K1701="No change (same URL)",A1701,"")))</f>
        <v/>
      </c>
      <c r="N1701" s="22">
        <f>IF(A1701="","",IF(K1701="410 Gone","410",IF(K1701="404","404",IF(K1701="No change (same URL)","none",IF(M1701="","","301")))))</f>
        <v/>
      </c>
      <c r="O1701" s="22">
        <f>IF(A1701="","",IFERROR(MID(A1701,FIND("/",A1701,FIND("//",A1701)+2),2000),A1701))</f>
        <v/>
      </c>
      <c r="P1701" s="22">
        <f>IF(OR(O1701="",N1701="",N1701="none",N1701="404"),"",IF(N1701="410","Redirect gone "&amp;O1701,"Redirect "&amp;N1701&amp;" "&amp;O1701&amp;" "&amp;M1701))</f>
        <v/>
      </c>
      <c r="Q1701" s="22" t="n"/>
      <c r="R1701" s="22" t="n"/>
      <c r="S1701" s="22" t="n"/>
      <c r="T1701" s="4">
        <f>IF(A1701="","",TRIM(IF(K1701="","Needs decision; ","")&amp;IF(AND(K1701="Accept suggestion",F1701=""),"No suggestion to accept; ","")&amp;IF(AND(K1701="Override",L1701=""),"Override URL missing; ","")&amp;IF(AND(K1701="Accept suggestion",N(G1701)&lt;$G$2),"Below your threshold; ","")&amp;IF(AND(M1701&lt;&gt;"",M1701=A1701,K1701&lt;&gt;"No change (same URL)"),"Redirects to itself; ","")&amp;IF(AND(M1701&lt;&gt;"",OR(M1701="/",AND(LEFT(M1701,4)="http",OR((LEN(M1701)-LEN(SUBSTITUTE(M1701,"/","")))=2,AND((LEN(M1701)-LEN(SUBSTITUTE(M1701,"/","")))=3,RIGHT(M1701,1)="/"))))),"Home page redirect; ","")&amp;IF(N(R1701)&gt;1,"Chain; ","")&amp;IF(S1701="No","Destination not 200; ","")))</f>
        <v/>
      </c>
      <c r="U1701" s="22" t="n"/>
      <c r="V1701" s="22" t="n"/>
      <c r="W1701" s="4" t="n"/>
    </row>
    <row r="1702">
      <c r="A1702" s="22" t="n"/>
      <c r="B1702" s="22" t="n"/>
      <c r="C1702" s="22" t="n"/>
      <c r="D1702" s="22">
        <f>IF(A1702="","",IF(OR(N(B1702)&gt;=$C$2,N(C1702)&gt;=$E$2),"High",IF(OR(N(B1702)&gt;0,N(C1702)&gt;0),"Medium","Low")))</f>
        <v/>
      </c>
      <c r="E1702" s="22" t="n"/>
      <c r="F1702" s="22" t="n"/>
      <c r="G1702" s="22" t="n"/>
      <c r="H1702" s="22" t="n"/>
      <c r="I1702" s="22" t="n"/>
      <c r="J1702" s="22" t="n"/>
      <c r="K1702" s="22" t="n"/>
      <c r="L1702" s="22" t="n"/>
      <c r="M1702" s="22">
        <f>IF(K1702="Override",L1702,IF(K1702="Accept suggestion",F1702,IF(K1702="No change (same URL)",A1702,"")))</f>
        <v/>
      </c>
      <c r="N1702" s="22">
        <f>IF(A1702="","",IF(K1702="410 Gone","410",IF(K1702="404","404",IF(K1702="No change (same URL)","none",IF(M1702="","","301")))))</f>
        <v/>
      </c>
      <c r="O1702" s="22">
        <f>IF(A1702="","",IFERROR(MID(A1702,FIND("/",A1702,FIND("//",A1702)+2),2000),A1702))</f>
        <v/>
      </c>
      <c r="P1702" s="22">
        <f>IF(OR(O1702="",N1702="",N1702="none",N1702="404"),"",IF(N1702="410","Redirect gone "&amp;O1702,"Redirect "&amp;N1702&amp;" "&amp;O1702&amp;" "&amp;M1702))</f>
        <v/>
      </c>
      <c r="Q1702" s="22" t="n"/>
      <c r="R1702" s="22" t="n"/>
      <c r="S1702" s="22" t="n"/>
      <c r="T1702" s="4">
        <f>IF(A1702="","",TRIM(IF(K1702="","Needs decision; ","")&amp;IF(AND(K1702="Accept suggestion",F1702=""),"No suggestion to accept; ","")&amp;IF(AND(K1702="Override",L1702=""),"Override URL missing; ","")&amp;IF(AND(K1702="Accept suggestion",N(G1702)&lt;$G$2),"Below your threshold; ","")&amp;IF(AND(M1702&lt;&gt;"",M1702=A1702,K1702&lt;&gt;"No change (same URL)"),"Redirects to itself; ","")&amp;IF(AND(M1702&lt;&gt;"",OR(M1702="/",AND(LEFT(M1702,4)="http",OR((LEN(M1702)-LEN(SUBSTITUTE(M1702,"/","")))=2,AND((LEN(M1702)-LEN(SUBSTITUTE(M1702,"/","")))=3,RIGHT(M1702,1)="/"))))),"Home page redirect; ","")&amp;IF(N(R1702)&gt;1,"Chain; ","")&amp;IF(S1702="No","Destination not 200; ","")))</f>
        <v/>
      </c>
      <c r="U1702" s="22" t="n"/>
      <c r="V1702" s="22" t="n"/>
      <c r="W1702" s="4" t="n"/>
    </row>
    <row r="1703">
      <c r="A1703" s="22" t="n"/>
      <c r="B1703" s="22" t="n"/>
      <c r="C1703" s="22" t="n"/>
      <c r="D1703" s="22">
        <f>IF(A1703="","",IF(OR(N(B1703)&gt;=$C$2,N(C1703)&gt;=$E$2),"High",IF(OR(N(B1703)&gt;0,N(C1703)&gt;0),"Medium","Low")))</f>
        <v/>
      </c>
      <c r="E1703" s="22" t="n"/>
      <c r="F1703" s="22" t="n"/>
      <c r="G1703" s="22" t="n"/>
      <c r="H1703" s="22" t="n"/>
      <c r="I1703" s="22" t="n"/>
      <c r="J1703" s="22" t="n"/>
      <c r="K1703" s="22" t="n"/>
      <c r="L1703" s="22" t="n"/>
      <c r="M1703" s="22">
        <f>IF(K1703="Override",L1703,IF(K1703="Accept suggestion",F1703,IF(K1703="No change (same URL)",A1703,"")))</f>
        <v/>
      </c>
      <c r="N1703" s="22">
        <f>IF(A1703="","",IF(K1703="410 Gone","410",IF(K1703="404","404",IF(K1703="No change (same URL)","none",IF(M1703="","","301")))))</f>
        <v/>
      </c>
      <c r="O1703" s="22">
        <f>IF(A1703="","",IFERROR(MID(A1703,FIND("/",A1703,FIND("//",A1703)+2),2000),A1703))</f>
        <v/>
      </c>
      <c r="P1703" s="22">
        <f>IF(OR(O1703="",N1703="",N1703="none",N1703="404"),"",IF(N1703="410","Redirect gone "&amp;O1703,"Redirect "&amp;N1703&amp;" "&amp;O1703&amp;" "&amp;M1703))</f>
        <v/>
      </c>
      <c r="Q1703" s="22" t="n"/>
      <c r="R1703" s="22" t="n"/>
      <c r="S1703" s="22" t="n"/>
      <c r="T1703" s="4">
        <f>IF(A1703="","",TRIM(IF(K1703="","Needs decision; ","")&amp;IF(AND(K1703="Accept suggestion",F1703=""),"No suggestion to accept; ","")&amp;IF(AND(K1703="Override",L1703=""),"Override URL missing; ","")&amp;IF(AND(K1703="Accept suggestion",N(G1703)&lt;$G$2),"Below your threshold; ","")&amp;IF(AND(M1703&lt;&gt;"",M1703=A1703,K1703&lt;&gt;"No change (same URL)"),"Redirects to itself; ","")&amp;IF(AND(M1703&lt;&gt;"",OR(M1703="/",AND(LEFT(M1703,4)="http",OR((LEN(M1703)-LEN(SUBSTITUTE(M1703,"/","")))=2,AND((LEN(M1703)-LEN(SUBSTITUTE(M1703,"/","")))=3,RIGHT(M1703,1)="/"))))),"Home page redirect; ","")&amp;IF(N(R1703)&gt;1,"Chain; ","")&amp;IF(S1703="No","Destination not 200; ","")))</f>
        <v/>
      </c>
      <c r="U1703" s="22" t="n"/>
      <c r="V1703" s="22" t="n"/>
      <c r="W1703" s="4" t="n"/>
    </row>
    <row r="1704">
      <c r="A1704" s="22" t="n"/>
      <c r="B1704" s="22" t="n"/>
      <c r="C1704" s="22" t="n"/>
      <c r="D1704" s="22">
        <f>IF(A1704="","",IF(OR(N(B1704)&gt;=$C$2,N(C1704)&gt;=$E$2),"High",IF(OR(N(B1704)&gt;0,N(C1704)&gt;0),"Medium","Low")))</f>
        <v/>
      </c>
      <c r="E1704" s="22" t="n"/>
      <c r="F1704" s="22" t="n"/>
      <c r="G1704" s="22" t="n"/>
      <c r="H1704" s="22" t="n"/>
      <c r="I1704" s="22" t="n"/>
      <c r="J1704" s="22" t="n"/>
      <c r="K1704" s="22" t="n"/>
      <c r="L1704" s="22" t="n"/>
      <c r="M1704" s="22">
        <f>IF(K1704="Override",L1704,IF(K1704="Accept suggestion",F1704,IF(K1704="No change (same URL)",A1704,"")))</f>
        <v/>
      </c>
      <c r="N1704" s="22">
        <f>IF(A1704="","",IF(K1704="410 Gone","410",IF(K1704="404","404",IF(K1704="No change (same URL)","none",IF(M1704="","","301")))))</f>
        <v/>
      </c>
      <c r="O1704" s="22">
        <f>IF(A1704="","",IFERROR(MID(A1704,FIND("/",A1704,FIND("//",A1704)+2),2000),A1704))</f>
        <v/>
      </c>
      <c r="P1704" s="22">
        <f>IF(OR(O1704="",N1704="",N1704="none",N1704="404"),"",IF(N1704="410","Redirect gone "&amp;O1704,"Redirect "&amp;N1704&amp;" "&amp;O1704&amp;" "&amp;M1704))</f>
        <v/>
      </c>
      <c r="Q1704" s="22" t="n"/>
      <c r="R1704" s="22" t="n"/>
      <c r="S1704" s="22" t="n"/>
      <c r="T1704" s="4">
        <f>IF(A1704="","",TRIM(IF(K1704="","Needs decision; ","")&amp;IF(AND(K1704="Accept suggestion",F1704=""),"No suggestion to accept; ","")&amp;IF(AND(K1704="Override",L1704=""),"Override URL missing; ","")&amp;IF(AND(K1704="Accept suggestion",N(G1704)&lt;$G$2),"Below your threshold; ","")&amp;IF(AND(M1704&lt;&gt;"",M1704=A1704,K1704&lt;&gt;"No change (same URL)"),"Redirects to itself; ","")&amp;IF(AND(M1704&lt;&gt;"",OR(M1704="/",AND(LEFT(M1704,4)="http",OR((LEN(M1704)-LEN(SUBSTITUTE(M1704,"/","")))=2,AND((LEN(M1704)-LEN(SUBSTITUTE(M1704,"/","")))=3,RIGHT(M1704,1)="/"))))),"Home page redirect; ","")&amp;IF(N(R1704)&gt;1,"Chain; ","")&amp;IF(S1704="No","Destination not 200; ","")))</f>
        <v/>
      </c>
      <c r="U1704" s="22" t="n"/>
      <c r="V1704" s="22" t="n"/>
      <c r="W1704" s="4" t="n"/>
    </row>
    <row r="1705">
      <c r="A1705" s="22" t="n"/>
      <c r="B1705" s="22" t="n"/>
      <c r="C1705" s="22" t="n"/>
      <c r="D1705" s="22">
        <f>IF(A1705="","",IF(OR(N(B1705)&gt;=$C$2,N(C1705)&gt;=$E$2),"High",IF(OR(N(B1705)&gt;0,N(C1705)&gt;0),"Medium","Low")))</f>
        <v/>
      </c>
      <c r="E1705" s="22" t="n"/>
      <c r="F1705" s="22" t="n"/>
      <c r="G1705" s="22" t="n"/>
      <c r="H1705" s="22" t="n"/>
      <c r="I1705" s="22" t="n"/>
      <c r="J1705" s="22" t="n"/>
      <c r="K1705" s="22" t="n"/>
      <c r="L1705" s="22" t="n"/>
      <c r="M1705" s="22">
        <f>IF(K1705="Override",L1705,IF(K1705="Accept suggestion",F1705,IF(K1705="No change (same URL)",A1705,"")))</f>
        <v/>
      </c>
      <c r="N1705" s="22">
        <f>IF(A1705="","",IF(K1705="410 Gone","410",IF(K1705="404","404",IF(K1705="No change (same URL)","none",IF(M1705="","","301")))))</f>
        <v/>
      </c>
      <c r="O1705" s="22">
        <f>IF(A1705="","",IFERROR(MID(A1705,FIND("/",A1705,FIND("//",A1705)+2),2000),A1705))</f>
        <v/>
      </c>
      <c r="P1705" s="22">
        <f>IF(OR(O1705="",N1705="",N1705="none",N1705="404"),"",IF(N1705="410","Redirect gone "&amp;O1705,"Redirect "&amp;N1705&amp;" "&amp;O1705&amp;" "&amp;M1705))</f>
        <v/>
      </c>
      <c r="Q1705" s="22" t="n"/>
      <c r="R1705" s="22" t="n"/>
      <c r="S1705" s="22" t="n"/>
      <c r="T1705" s="4">
        <f>IF(A1705="","",TRIM(IF(K1705="","Needs decision; ","")&amp;IF(AND(K1705="Accept suggestion",F1705=""),"No suggestion to accept; ","")&amp;IF(AND(K1705="Override",L1705=""),"Override URL missing; ","")&amp;IF(AND(K1705="Accept suggestion",N(G1705)&lt;$G$2),"Below your threshold; ","")&amp;IF(AND(M1705&lt;&gt;"",M1705=A1705,K1705&lt;&gt;"No change (same URL)"),"Redirects to itself; ","")&amp;IF(AND(M1705&lt;&gt;"",OR(M1705="/",AND(LEFT(M1705,4)="http",OR((LEN(M1705)-LEN(SUBSTITUTE(M1705,"/","")))=2,AND((LEN(M1705)-LEN(SUBSTITUTE(M1705,"/","")))=3,RIGHT(M1705,1)="/"))))),"Home page redirect; ","")&amp;IF(N(R1705)&gt;1,"Chain; ","")&amp;IF(S1705="No","Destination not 200; ","")))</f>
        <v/>
      </c>
      <c r="U1705" s="22" t="n"/>
      <c r="V1705" s="22" t="n"/>
      <c r="W1705" s="4" t="n"/>
    </row>
    <row r="1706">
      <c r="A1706" s="22" t="n"/>
      <c r="B1706" s="22" t="n"/>
      <c r="C1706" s="22" t="n"/>
      <c r="D1706" s="22">
        <f>IF(A1706="","",IF(OR(N(B1706)&gt;=$C$2,N(C1706)&gt;=$E$2),"High",IF(OR(N(B1706)&gt;0,N(C1706)&gt;0),"Medium","Low")))</f>
        <v/>
      </c>
      <c r="E1706" s="22" t="n"/>
      <c r="F1706" s="22" t="n"/>
      <c r="G1706" s="22" t="n"/>
      <c r="H1706" s="22" t="n"/>
      <c r="I1706" s="22" t="n"/>
      <c r="J1706" s="22" t="n"/>
      <c r="K1706" s="22" t="n"/>
      <c r="L1706" s="22" t="n"/>
      <c r="M1706" s="22">
        <f>IF(K1706="Override",L1706,IF(K1706="Accept suggestion",F1706,IF(K1706="No change (same URL)",A1706,"")))</f>
        <v/>
      </c>
      <c r="N1706" s="22">
        <f>IF(A1706="","",IF(K1706="410 Gone","410",IF(K1706="404","404",IF(K1706="No change (same URL)","none",IF(M1706="","","301")))))</f>
        <v/>
      </c>
      <c r="O1706" s="22">
        <f>IF(A1706="","",IFERROR(MID(A1706,FIND("/",A1706,FIND("//",A1706)+2),2000),A1706))</f>
        <v/>
      </c>
      <c r="P1706" s="22">
        <f>IF(OR(O1706="",N1706="",N1706="none",N1706="404"),"",IF(N1706="410","Redirect gone "&amp;O1706,"Redirect "&amp;N1706&amp;" "&amp;O1706&amp;" "&amp;M1706))</f>
        <v/>
      </c>
      <c r="Q1706" s="22" t="n"/>
      <c r="R1706" s="22" t="n"/>
      <c r="S1706" s="22" t="n"/>
      <c r="T1706" s="4">
        <f>IF(A1706="","",TRIM(IF(K1706="","Needs decision; ","")&amp;IF(AND(K1706="Accept suggestion",F1706=""),"No suggestion to accept; ","")&amp;IF(AND(K1706="Override",L1706=""),"Override URL missing; ","")&amp;IF(AND(K1706="Accept suggestion",N(G1706)&lt;$G$2),"Below your threshold; ","")&amp;IF(AND(M1706&lt;&gt;"",M1706=A1706,K1706&lt;&gt;"No change (same URL)"),"Redirects to itself; ","")&amp;IF(AND(M1706&lt;&gt;"",OR(M1706="/",AND(LEFT(M1706,4)="http",OR((LEN(M1706)-LEN(SUBSTITUTE(M1706,"/","")))=2,AND((LEN(M1706)-LEN(SUBSTITUTE(M1706,"/","")))=3,RIGHT(M1706,1)="/"))))),"Home page redirect; ","")&amp;IF(N(R1706)&gt;1,"Chain; ","")&amp;IF(S1706="No","Destination not 200; ","")))</f>
        <v/>
      </c>
      <c r="U1706" s="22" t="n"/>
      <c r="V1706" s="22" t="n"/>
      <c r="W1706" s="4" t="n"/>
    </row>
    <row r="1707">
      <c r="A1707" s="22" t="n"/>
      <c r="B1707" s="22" t="n"/>
      <c r="C1707" s="22" t="n"/>
      <c r="D1707" s="22">
        <f>IF(A1707="","",IF(OR(N(B1707)&gt;=$C$2,N(C1707)&gt;=$E$2),"High",IF(OR(N(B1707)&gt;0,N(C1707)&gt;0),"Medium","Low")))</f>
        <v/>
      </c>
      <c r="E1707" s="22" t="n"/>
      <c r="F1707" s="22" t="n"/>
      <c r="G1707" s="22" t="n"/>
      <c r="H1707" s="22" t="n"/>
      <c r="I1707" s="22" t="n"/>
      <c r="J1707" s="22" t="n"/>
      <c r="K1707" s="22" t="n"/>
      <c r="L1707" s="22" t="n"/>
      <c r="M1707" s="22">
        <f>IF(K1707="Override",L1707,IF(K1707="Accept suggestion",F1707,IF(K1707="No change (same URL)",A1707,"")))</f>
        <v/>
      </c>
      <c r="N1707" s="22">
        <f>IF(A1707="","",IF(K1707="410 Gone","410",IF(K1707="404","404",IF(K1707="No change (same URL)","none",IF(M1707="","","301")))))</f>
        <v/>
      </c>
      <c r="O1707" s="22">
        <f>IF(A1707="","",IFERROR(MID(A1707,FIND("/",A1707,FIND("//",A1707)+2),2000),A1707))</f>
        <v/>
      </c>
      <c r="P1707" s="22">
        <f>IF(OR(O1707="",N1707="",N1707="none",N1707="404"),"",IF(N1707="410","Redirect gone "&amp;O1707,"Redirect "&amp;N1707&amp;" "&amp;O1707&amp;" "&amp;M1707))</f>
        <v/>
      </c>
      <c r="Q1707" s="22" t="n"/>
      <c r="R1707" s="22" t="n"/>
      <c r="S1707" s="22" t="n"/>
      <c r="T1707" s="4">
        <f>IF(A1707="","",TRIM(IF(K1707="","Needs decision; ","")&amp;IF(AND(K1707="Accept suggestion",F1707=""),"No suggestion to accept; ","")&amp;IF(AND(K1707="Override",L1707=""),"Override URL missing; ","")&amp;IF(AND(K1707="Accept suggestion",N(G1707)&lt;$G$2),"Below your threshold; ","")&amp;IF(AND(M1707&lt;&gt;"",M1707=A1707,K1707&lt;&gt;"No change (same URL)"),"Redirects to itself; ","")&amp;IF(AND(M1707&lt;&gt;"",OR(M1707="/",AND(LEFT(M1707,4)="http",OR((LEN(M1707)-LEN(SUBSTITUTE(M1707,"/","")))=2,AND((LEN(M1707)-LEN(SUBSTITUTE(M1707,"/","")))=3,RIGHT(M1707,1)="/"))))),"Home page redirect; ","")&amp;IF(N(R1707)&gt;1,"Chain; ","")&amp;IF(S1707="No","Destination not 200; ","")))</f>
        <v/>
      </c>
      <c r="U1707" s="22" t="n"/>
      <c r="V1707" s="22" t="n"/>
      <c r="W1707" s="4" t="n"/>
    </row>
    <row r="1708">
      <c r="A1708" s="22" t="n"/>
      <c r="B1708" s="22" t="n"/>
      <c r="C1708" s="22" t="n"/>
      <c r="D1708" s="22">
        <f>IF(A1708="","",IF(OR(N(B1708)&gt;=$C$2,N(C1708)&gt;=$E$2),"High",IF(OR(N(B1708)&gt;0,N(C1708)&gt;0),"Medium","Low")))</f>
        <v/>
      </c>
      <c r="E1708" s="22" t="n"/>
      <c r="F1708" s="22" t="n"/>
      <c r="G1708" s="22" t="n"/>
      <c r="H1708" s="22" t="n"/>
      <c r="I1708" s="22" t="n"/>
      <c r="J1708" s="22" t="n"/>
      <c r="K1708" s="22" t="n"/>
      <c r="L1708" s="22" t="n"/>
      <c r="M1708" s="22">
        <f>IF(K1708="Override",L1708,IF(K1708="Accept suggestion",F1708,IF(K1708="No change (same URL)",A1708,"")))</f>
        <v/>
      </c>
      <c r="N1708" s="22">
        <f>IF(A1708="","",IF(K1708="410 Gone","410",IF(K1708="404","404",IF(K1708="No change (same URL)","none",IF(M1708="","","301")))))</f>
        <v/>
      </c>
      <c r="O1708" s="22">
        <f>IF(A1708="","",IFERROR(MID(A1708,FIND("/",A1708,FIND("//",A1708)+2),2000),A1708))</f>
        <v/>
      </c>
      <c r="P1708" s="22">
        <f>IF(OR(O1708="",N1708="",N1708="none",N1708="404"),"",IF(N1708="410","Redirect gone "&amp;O1708,"Redirect "&amp;N1708&amp;" "&amp;O1708&amp;" "&amp;M1708))</f>
        <v/>
      </c>
      <c r="Q1708" s="22" t="n"/>
      <c r="R1708" s="22" t="n"/>
      <c r="S1708" s="22" t="n"/>
      <c r="T1708" s="4">
        <f>IF(A1708="","",TRIM(IF(K1708="","Needs decision; ","")&amp;IF(AND(K1708="Accept suggestion",F1708=""),"No suggestion to accept; ","")&amp;IF(AND(K1708="Override",L1708=""),"Override URL missing; ","")&amp;IF(AND(K1708="Accept suggestion",N(G1708)&lt;$G$2),"Below your threshold; ","")&amp;IF(AND(M1708&lt;&gt;"",M1708=A1708,K1708&lt;&gt;"No change (same URL)"),"Redirects to itself; ","")&amp;IF(AND(M1708&lt;&gt;"",OR(M1708="/",AND(LEFT(M1708,4)="http",OR((LEN(M1708)-LEN(SUBSTITUTE(M1708,"/","")))=2,AND((LEN(M1708)-LEN(SUBSTITUTE(M1708,"/","")))=3,RIGHT(M1708,1)="/"))))),"Home page redirect; ","")&amp;IF(N(R1708)&gt;1,"Chain; ","")&amp;IF(S1708="No","Destination not 200; ","")))</f>
        <v/>
      </c>
      <c r="U1708" s="22" t="n"/>
      <c r="V1708" s="22" t="n"/>
      <c r="W1708" s="4" t="n"/>
    </row>
    <row r="1709">
      <c r="A1709" s="22" t="n"/>
      <c r="B1709" s="22" t="n"/>
      <c r="C1709" s="22" t="n"/>
      <c r="D1709" s="22">
        <f>IF(A1709="","",IF(OR(N(B1709)&gt;=$C$2,N(C1709)&gt;=$E$2),"High",IF(OR(N(B1709)&gt;0,N(C1709)&gt;0),"Medium","Low")))</f>
        <v/>
      </c>
      <c r="E1709" s="22" t="n"/>
      <c r="F1709" s="22" t="n"/>
      <c r="G1709" s="22" t="n"/>
      <c r="H1709" s="22" t="n"/>
      <c r="I1709" s="22" t="n"/>
      <c r="J1709" s="22" t="n"/>
      <c r="K1709" s="22" t="n"/>
      <c r="L1709" s="22" t="n"/>
      <c r="M1709" s="22">
        <f>IF(K1709="Override",L1709,IF(K1709="Accept suggestion",F1709,IF(K1709="No change (same URL)",A1709,"")))</f>
        <v/>
      </c>
      <c r="N1709" s="22">
        <f>IF(A1709="","",IF(K1709="410 Gone","410",IF(K1709="404","404",IF(K1709="No change (same URL)","none",IF(M1709="","","301")))))</f>
        <v/>
      </c>
      <c r="O1709" s="22">
        <f>IF(A1709="","",IFERROR(MID(A1709,FIND("/",A1709,FIND("//",A1709)+2),2000),A1709))</f>
        <v/>
      </c>
      <c r="P1709" s="22">
        <f>IF(OR(O1709="",N1709="",N1709="none",N1709="404"),"",IF(N1709="410","Redirect gone "&amp;O1709,"Redirect "&amp;N1709&amp;" "&amp;O1709&amp;" "&amp;M1709))</f>
        <v/>
      </c>
      <c r="Q1709" s="22" t="n"/>
      <c r="R1709" s="22" t="n"/>
      <c r="S1709" s="22" t="n"/>
      <c r="T1709" s="4">
        <f>IF(A1709="","",TRIM(IF(K1709="","Needs decision; ","")&amp;IF(AND(K1709="Accept suggestion",F1709=""),"No suggestion to accept; ","")&amp;IF(AND(K1709="Override",L1709=""),"Override URL missing; ","")&amp;IF(AND(K1709="Accept suggestion",N(G1709)&lt;$G$2),"Below your threshold; ","")&amp;IF(AND(M1709&lt;&gt;"",M1709=A1709,K1709&lt;&gt;"No change (same URL)"),"Redirects to itself; ","")&amp;IF(AND(M1709&lt;&gt;"",OR(M1709="/",AND(LEFT(M1709,4)="http",OR((LEN(M1709)-LEN(SUBSTITUTE(M1709,"/","")))=2,AND((LEN(M1709)-LEN(SUBSTITUTE(M1709,"/","")))=3,RIGHT(M1709,1)="/"))))),"Home page redirect; ","")&amp;IF(N(R1709)&gt;1,"Chain; ","")&amp;IF(S1709="No","Destination not 200; ","")))</f>
        <v/>
      </c>
      <c r="U1709" s="22" t="n"/>
      <c r="V1709" s="22" t="n"/>
      <c r="W1709" s="4" t="n"/>
    </row>
    <row r="1710">
      <c r="A1710" s="22" t="n"/>
      <c r="B1710" s="22" t="n"/>
      <c r="C1710" s="22" t="n"/>
      <c r="D1710" s="22">
        <f>IF(A1710="","",IF(OR(N(B1710)&gt;=$C$2,N(C1710)&gt;=$E$2),"High",IF(OR(N(B1710)&gt;0,N(C1710)&gt;0),"Medium","Low")))</f>
        <v/>
      </c>
      <c r="E1710" s="22" t="n"/>
      <c r="F1710" s="22" t="n"/>
      <c r="G1710" s="22" t="n"/>
      <c r="H1710" s="22" t="n"/>
      <c r="I1710" s="22" t="n"/>
      <c r="J1710" s="22" t="n"/>
      <c r="K1710" s="22" t="n"/>
      <c r="L1710" s="22" t="n"/>
      <c r="M1710" s="22">
        <f>IF(K1710="Override",L1710,IF(K1710="Accept suggestion",F1710,IF(K1710="No change (same URL)",A1710,"")))</f>
        <v/>
      </c>
      <c r="N1710" s="22">
        <f>IF(A1710="","",IF(K1710="410 Gone","410",IF(K1710="404","404",IF(K1710="No change (same URL)","none",IF(M1710="","","301")))))</f>
        <v/>
      </c>
      <c r="O1710" s="22">
        <f>IF(A1710="","",IFERROR(MID(A1710,FIND("/",A1710,FIND("//",A1710)+2),2000),A1710))</f>
        <v/>
      </c>
      <c r="P1710" s="22">
        <f>IF(OR(O1710="",N1710="",N1710="none",N1710="404"),"",IF(N1710="410","Redirect gone "&amp;O1710,"Redirect "&amp;N1710&amp;" "&amp;O1710&amp;" "&amp;M1710))</f>
        <v/>
      </c>
      <c r="Q1710" s="22" t="n"/>
      <c r="R1710" s="22" t="n"/>
      <c r="S1710" s="22" t="n"/>
      <c r="T1710" s="4">
        <f>IF(A1710="","",TRIM(IF(K1710="","Needs decision; ","")&amp;IF(AND(K1710="Accept suggestion",F1710=""),"No suggestion to accept; ","")&amp;IF(AND(K1710="Override",L1710=""),"Override URL missing; ","")&amp;IF(AND(K1710="Accept suggestion",N(G1710)&lt;$G$2),"Below your threshold; ","")&amp;IF(AND(M1710&lt;&gt;"",M1710=A1710,K1710&lt;&gt;"No change (same URL)"),"Redirects to itself; ","")&amp;IF(AND(M1710&lt;&gt;"",OR(M1710="/",AND(LEFT(M1710,4)="http",OR((LEN(M1710)-LEN(SUBSTITUTE(M1710,"/","")))=2,AND((LEN(M1710)-LEN(SUBSTITUTE(M1710,"/","")))=3,RIGHT(M1710,1)="/"))))),"Home page redirect; ","")&amp;IF(N(R1710)&gt;1,"Chain; ","")&amp;IF(S1710="No","Destination not 200; ","")))</f>
        <v/>
      </c>
      <c r="U1710" s="22" t="n"/>
      <c r="V1710" s="22" t="n"/>
      <c r="W1710" s="4" t="n"/>
    </row>
    <row r="1711">
      <c r="A1711" s="22" t="n"/>
      <c r="B1711" s="22" t="n"/>
      <c r="C1711" s="22" t="n"/>
      <c r="D1711" s="22">
        <f>IF(A1711="","",IF(OR(N(B1711)&gt;=$C$2,N(C1711)&gt;=$E$2),"High",IF(OR(N(B1711)&gt;0,N(C1711)&gt;0),"Medium","Low")))</f>
        <v/>
      </c>
      <c r="E1711" s="22" t="n"/>
      <c r="F1711" s="22" t="n"/>
      <c r="G1711" s="22" t="n"/>
      <c r="H1711" s="22" t="n"/>
      <c r="I1711" s="22" t="n"/>
      <c r="J1711" s="22" t="n"/>
      <c r="K1711" s="22" t="n"/>
      <c r="L1711" s="22" t="n"/>
      <c r="M1711" s="22">
        <f>IF(K1711="Override",L1711,IF(K1711="Accept suggestion",F1711,IF(K1711="No change (same URL)",A1711,"")))</f>
        <v/>
      </c>
      <c r="N1711" s="22">
        <f>IF(A1711="","",IF(K1711="410 Gone","410",IF(K1711="404","404",IF(K1711="No change (same URL)","none",IF(M1711="","","301")))))</f>
        <v/>
      </c>
      <c r="O1711" s="22">
        <f>IF(A1711="","",IFERROR(MID(A1711,FIND("/",A1711,FIND("//",A1711)+2),2000),A1711))</f>
        <v/>
      </c>
      <c r="P1711" s="22">
        <f>IF(OR(O1711="",N1711="",N1711="none",N1711="404"),"",IF(N1711="410","Redirect gone "&amp;O1711,"Redirect "&amp;N1711&amp;" "&amp;O1711&amp;" "&amp;M1711))</f>
        <v/>
      </c>
      <c r="Q1711" s="22" t="n"/>
      <c r="R1711" s="22" t="n"/>
      <c r="S1711" s="22" t="n"/>
      <c r="T1711" s="4">
        <f>IF(A1711="","",TRIM(IF(K1711="","Needs decision; ","")&amp;IF(AND(K1711="Accept suggestion",F1711=""),"No suggestion to accept; ","")&amp;IF(AND(K1711="Override",L1711=""),"Override URL missing; ","")&amp;IF(AND(K1711="Accept suggestion",N(G1711)&lt;$G$2),"Below your threshold; ","")&amp;IF(AND(M1711&lt;&gt;"",M1711=A1711,K1711&lt;&gt;"No change (same URL)"),"Redirects to itself; ","")&amp;IF(AND(M1711&lt;&gt;"",OR(M1711="/",AND(LEFT(M1711,4)="http",OR((LEN(M1711)-LEN(SUBSTITUTE(M1711,"/","")))=2,AND((LEN(M1711)-LEN(SUBSTITUTE(M1711,"/","")))=3,RIGHT(M1711,1)="/"))))),"Home page redirect; ","")&amp;IF(N(R1711)&gt;1,"Chain; ","")&amp;IF(S1711="No","Destination not 200; ","")))</f>
        <v/>
      </c>
      <c r="U1711" s="22" t="n"/>
      <c r="V1711" s="22" t="n"/>
      <c r="W1711" s="4" t="n"/>
    </row>
    <row r="1712">
      <c r="A1712" s="22" t="n"/>
      <c r="B1712" s="22" t="n"/>
      <c r="C1712" s="22" t="n"/>
      <c r="D1712" s="22">
        <f>IF(A1712="","",IF(OR(N(B1712)&gt;=$C$2,N(C1712)&gt;=$E$2),"High",IF(OR(N(B1712)&gt;0,N(C1712)&gt;0),"Medium","Low")))</f>
        <v/>
      </c>
      <c r="E1712" s="22" t="n"/>
      <c r="F1712" s="22" t="n"/>
      <c r="G1712" s="22" t="n"/>
      <c r="H1712" s="22" t="n"/>
      <c r="I1712" s="22" t="n"/>
      <c r="J1712" s="22" t="n"/>
      <c r="K1712" s="22" t="n"/>
      <c r="L1712" s="22" t="n"/>
      <c r="M1712" s="22">
        <f>IF(K1712="Override",L1712,IF(K1712="Accept suggestion",F1712,IF(K1712="No change (same URL)",A1712,"")))</f>
        <v/>
      </c>
      <c r="N1712" s="22">
        <f>IF(A1712="","",IF(K1712="410 Gone","410",IF(K1712="404","404",IF(K1712="No change (same URL)","none",IF(M1712="","","301")))))</f>
        <v/>
      </c>
      <c r="O1712" s="22">
        <f>IF(A1712="","",IFERROR(MID(A1712,FIND("/",A1712,FIND("//",A1712)+2),2000),A1712))</f>
        <v/>
      </c>
      <c r="P1712" s="22">
        <f>IF(OR(O1712="",N1712="",N1712="none",N1712="404"),"",IF(N1712="410","Redirect gone "&amp;O1712,"Redirect "&amp;N1712&amp;" "&amp;O1712&amp;" "&amp;M1712))</f>
        <v/>
      </c>
      <c r="Q1712" s="22" t="n"/>
      <c r="R1712" s="22" t="n"/>
      <c r="S1712" s="22" t="n"/>
      <c r="T1712" s="4">
        <f>IF(A1712="","",TRIM(IF(K1712="","Needs decision; ","")&amp;IF(AND(K1712="Accept suggestion",F1712=""),"No suggestion to accept; ","")&amp;IF(AND(K1712="Override",L1712=""),"Override URL missing; ","")&amp;IF(AND(K1712="Accept suggestion",N(G1712)&lt;$G$2),"Below your threshold; ","")&amp;IF(AND(M1712&lt;&gt;"",M1712=A1712,K1712&lt;&gt;"No change (same URL)"),"Redirects to itself; ","")&amp;IF(AND(M1712&lt;&gt;"",OR(M1712="/",AND(LEFT(M1712,4)="http",OR((LEN(M1712)-LEN(SUBSTITUTE(M1712,"/","")))=2,AND((LEN(M1712)-LEN(SUBSTITUTE(M1712,"/","")))=3,RIGHT(M1712,1)="/"))))),"Home page redirect; ","")&amp;IF(N(R1712)&gt;1,"Chain; ","")&amp;IF(S1712="No","Destination not 200; ","")))</f>
        <v/>
      </c>
      <c r="U1712" s="22" t="n"/>
      <c r="V1712" s="22" t="n"/>
      <c r="W1712" s="4" t="n"/>
    </row>
    <row r="1713">
      <c r="A1713" s="22" t="n"/>
      <c r="B1713" s="22" t="n"/>
      <c r="C1713" s="22" t="n"/>
      <c r="D1713" s="22">
        <f>IF(A1713="","",IF(OR(N(B1713)&gt;=$C$2,N(C1713)&gt;=$E$2),"High",IF(OR(N(B1713)&gt;0,N(C1713)&gt;0),"Medium","Low")))</f>
        <v/>
      </c>
      <c r="E1713" s="22" t="n"/>
      <c r="F1713" s="22" t="n"/>
      <c r="G1713" s="22" t="n"/>
      <c r="H1713" s="22" t="n"/>
      <c r="I1713" s="22" t="n"/>
      <c r="J1713" s="22" t="n"/>
      <c r="K1713" s="22" t="n"/>
      <c r="L1713" s="22" t="n"/>
      <c r="M1713" s="22">
        <f>IF(K1713="Override",L1713,IF(K1713="Accept suggestion",F1713,IF(K1713="No change (same URL)",A1713,"")))</f>
        <v/>
      </c>
      <c r="N1713" s="22">
        <f>IF(A1713="","",IF(K1713="410 Gone","410",IF(K1713="404","404",IF(K1713="No change (same URL)","none",IF(M1713="","","301")))))</f>
        <v/>
      </c>
      <c r="O1713" s="22">
        <f>IF(A1713="","",IFERROR(MID(A1713,FIND("/",A1713,FIND("//",A1713)+2),2000),A1713))</f>
        <v/>
      </c>
      <c r="P1713" s="22">
        <f>IF(OR(O1713="",N1713="",N1713="none",N1713="404"),"",IF(N1713="410","Redirect gone "&amp;O1713,"Redirect "&amp;N1713&amp;" "&amp;O1713&amp;" "&amp;M1713))</f>
        <v/>
      </c>
      <c r="Q1713" s="22" t="n"/>
      <c r="R1713" s="22" t="n"/>
      <c r="S1713" s="22" t="n"/>
      <c r="T1713" s="4">
        <f>IF(A1713="","",TRIM(IF(K1713="","Needs decision; ","")&amp;IF(AND(K1713="Accept suggestion",F1713=""),"No suggestion to accept; ","")&amp;IF(AND(K1713="Override",L1713=""),"Override URL missing; ","")&amp;IF(AND(K1713="Accept suggestion",N(G1713)&lt;$G$2),"Below your threshold; ","")&amp;IF(AND(M1713&lt;&gt;"",M1713=A1713,K1713&lt;&gt;"No change (same URL)"),"Redirects to itself; ","")&amp;IF(AND(M1713&lt;&gt;"",OR(M1713="/",AND(LEFT(M1713,4)="http",OR((LEN(M1713)-LEN(SUBSTITUTE(M1713,"/","")))=2,AND((LEN(M1713)-LEN(SUBSTITUTE(M1713,"/","")))=3,RIGHT(M1713,1)="/"))))),"Home page redirect; ","")&amp;IF(N(R1713)&gt;1,"Chain; ","")&amp;IF(S1713="No","Destination not 200; ","")))</f>
        <v/>
      </c>
      <c r="U1713" s="22" t="n"/>
      <c r="V1713" s="22" t="n"/>
      <c r="W1713" s="4" t="n"/>
    </row>
    <row r="1714">
      <c r="A1714" s="22" t="n"/>
      <c r="B1714" s="22" t="n"/>
      <c r="C1714" s="22" t="n"/>
      <c r="D1714" s="22">
        <f>IF(A1714="","",IF(OR(N(B1714)&gt;=$C$2,N(C1714)&gt;=$E$2),"High",IF(OR(N(B1714)&gt;0,N(C1714)&gt;0),"Medium","Low")))</f>
        <v/>
      </c>
      <c r="E1714" s="22" t="n"/>
      <c r="F1714" s="22" t="n"/>
      <c r="G1714" s="22" t="n"/>
      <c r="H1714" s="22" t="n"/>
      <c r="I1714" s="22" t="n"/>
      <c r="J1714" s="22" t="n"/>
      <c r="K1714" s="22" t="n"/>
      <c r="L1714" s="22" t="n"/>
      <c r="M1714" s="22">
        <f>IF(K1714="Override",L1714,IF(K1714="Accept suggestion",F1714,IF(K1714="No change (same URL)",A1714,"")))</f>
        <v/>
      </c>
      <c r="N1714" s="22">
        <f>IF(A1714="","",IF(K1714="410 Gone","410",IF(K1714="404","404",IF(K1714="No change (same URL)","none",IF(M1714="","","301")))))</f>
        <v/>
      </c>
      <c r="O1714" s="22">
        <f>IF(A1714="","",IFERROR(MID(A1714,FIND("/",A1714,FIND("//",A1714)+2),2000),A1714))</f>
        <v/>
      </c>
      <c r="P1714" s="22">
        <f>IF(OR(O1714="",N1714="",N1714="none",N1714="404"),"",IF(N1714="410","Redirect gone "&amp;O1714,"Redirect "&amp;N1714&amp;" "&amp;O1714&amp;" "&amp;M1714))</f>
        <v/>
      </c>
      <c r="Q1714" s="22" t="n"/>
      <c r="R1714" s="22" t="n"/>
      <c r="S1714" s="22" t="n"/>
      <c r="T1714" s="4">
        <f>IF(A1714="","",TRIM(IF(K1714="","Needs decision; ","")&amp;IF(AND(K1714="Accept suggestion",F1714=""),"No suggestion to accept; ","")&amp;IF(AND(K1714="Override",L1714=""),"Override URL missing; ","")&amp;IF(AND(K1714="Accept suggestion",N(G1714)&lt;$G$2),"Below your threshold; ","")&amp;IF(AND(M1714&lt;&gt;"",M1714=A1714,K1714&lt;&gt;"No change (same URL)"),"Redirects to itself; ","")&amp;IF(AND(M1714&lt;&gt;"",OR(M1714="/",AND(LEFT(M1714,4)="http",OR((LEN(M1714)-LEN(SUBSTITUTE(M1714,"/","")))=2,AND((LEN(M1714)-LEN(SUBSTITUTE(M1714,"/","")))=3,RIGHT(M1714,1)="/"))))),"Home page redirect; ","")&amp;IF(N(R1714)&gt;1,"Chain; ","")&amp;IF(S1714="No","Destination not 200; ","")))</f>
        <v/>
      </c>
      <c r="U1714" s="22" t="n"/>
      <c r="V1714" s="22" t="n"/>
      <c r="W1714" s="4" t="n"/>
    </row>
    <row r="1715">
      <c r="A1715" s="22" t="n"/>
      <c r="B1715" s="22" t="n"/>
      <c r="C1715" s="22" t="n"/>
      <c r="D1715" s="22">
        <f>IF(A1715="","",IF(OR(N(B1715)&gt;=$C$2,N(C1715)&gt;=$E$2),"High",IF(OR(N(B1715)&gt;0,N(C1715)&gt;0),"Medium","Low")))</f>
        <v/>
      </c>
      <c r="E1715" s="22" t="n"/>
      <c r="F1715" s="22" t="n"/>
      <c r="G1715" s="22" t="n"/>
      <c r="H1715" s="22" t="n"/>
      <c r="I1715" s="22" t="n"/>
      <c r="J1715" s="22" t="n"/>
      <c r="K1715" s="22" t="n"/>
      <c r="L1715" s="22" t="n"/>
      <c r="M1715" s="22">
        <f>IF(K1715="Override",L1715,IF(K1715="Accept suggestion",F1715,IF(K1715="No change (same URL)",A1715,"")))</f>
        <v/>
      </c>
      <c r="N1715" s="22">
        <f>IF(A1715="","",IF(K1715="410 Gone","410",IF(K1715="404","404",IF(K1715="No change (same URL)","none",IF(M1715="","","301")))))</f>
        <v/>
      </c>
      <c r="O1715" s="22">
        <f>IF(A1715="","",IFERROR(MID(A1715,FIND("/",A1715,FIND("//",A1715)+2),2000),A1715))</f>
        <v/>
      </c>
      <c r="P1715" s="22">
        <f>IF(OR(O1715="",N1715="",N1715="none",N1715="404"),"",IF(N1715="410","Redirect gone "&amp;O1715,"Redirect "&amp;N1715&amp;" "&amp;O1715&amp;" "&amp;M1715))</f>
        <v/>
      </c>
      <c r="Q1715" s="22" t="n"/>
      <c r="R1715" s="22" t="n"/>
      <c r="S1715" s="22" t="n"/>
      <c r="T1715" s="4">
        <f>IF(A1715="","",TRIM(IF(K1715="","Needs decision; ","")&amp;IF(AND(K1715="Accept suggestion",F1715=""),"No suggestion to accept; ","")&amp;IF(AND(K1715="Override",L1715=""),"Override URL missing; ","")&amp;IF(AND(K1715="Accept suggestion",N(G1715)&lt;$G$2),"Below your threshold; ","")&amp;IF(AND(M1715&lt;&gt;"",M1715=A1715,K1715&lt;&gt;"No change (same URL)"),"Redirects to itself; ","")&amp;IF(AND(M1715&lt;&gt;"",OR(M1715="/",AND(LEFT(M1715,4)="http",OR((LEN(M1715)-LEN(SUBSTITUTE(M1715,"/","")))=2,AND((LEN(M1715)-LEN(SUBSTITUTE(M1715,"/","")))=3,RIGHT(M1715,1)="/"))))),"Home page redirect; ","")&amp;IF(N(R1715)&gt;1,"Chain; ","")&amp;IF(S1715="No","Destination not 200; ","")))</f>
        <v/>
      </c>
      <c r="U1715" s="22" t="n"/>
      <c r="V1715" s="22" t="n"/>
      <c r="W1715" s="4" t="n"/>
    </row>
    <row r="1716">
      <c r="A1716" s="22" t="n"/>
      <c r="B1716" s="22" t="n"/>
      <c r="C1716" s="22" t="n"/>
      <c r="D1716" s="22">
        <f>IF(A1716="","",IF(OR(N(B1716)&gt;=$C$2,N(C1716)&gt;=$E$2),"High",IF(OR(N(B1716)&gt;0,N(C1716)&gt;0),"Medium","Low")))</f>
        <v/>
      </c>
      <c r="E1716" s="22" t="n"/>
      <c r="F1716" s="22" t="n"/>
      <c r="G1716" s="22" t="n"/>
      <c r="H1716" s="22" t="n"/>
      <c r="I1716" s="22" t="n"/>
      <c r="J1716" s="22" t="n"/>
      <c r="K1716" s="22" t="n"/>
      <c r="L1716" s="22" t="n"/>
      <c r="M1716" s="22">
        <f>IF(K1716="Override",L1716,IF(K1716="Accept suggestion",F1716,IF(K1716="No change (same URL)",A1716,"")))</f>
        <v/>
      </c>
      <c r="N1716" s="22">
        <f>IF(A1716="","",IF(K1716="410 Gone","410",IF(K1716="404","404",IF(K1716="No change (same URL)","none",IF(M1716="","","301")))))</f>
        <v/>
      </c>
      <c r="O1716" s="22">
        <f>IF(A1716="","",IFERROR(MID(A1716,FIND("/",A1716,FIND("//",A1716)+2),2000),A1716))</f>
        <v/>
      </c>
      <c r="P1716" s="22">
        <f>IF(OR(O1716="",N1716="",N1716="none",N1716="404"),"",IF(N1716="410","Redirect gone "&amp;O1716,"Redirect "&amp;N1716&amp;" "&amp;O1716&amp;" "&amp;M1716))</f>
        <v/>
      </c>
      <c r="Q1716" s="22" t="n"/>
      <c r="R1716" s="22" t="n"/>
      <c r="S1716" s="22" t="n"/>
      <c r="T1716" s="4">
        <f>IF(A1716="","",TRIM(IF(K1716="","Needs decision; ","")&amp;IF(AND(K1716="Accept suggestion",F1716=""),"No suggestion to accept; ","")&amp;IF(AND(K1716="Override",L1716=""),"Override URL missing; ","")&amp;IF(AND(K1716="Accept suggestion",N(G1716)&lt;$G$2),"Below your threshold; ","")&amp;IF(AND(M1716&lt;&gt;"",M1716=A1716,K1716&lt;&gt;"No change (same URL)"),"Redirects to itself; ","")&amp;IF(AND(M1716&lt;&gt;"",OR(M1716="/",AND(LEFT(M1716,4)="http",OR((LEN(M1716)-LEN(SUBSTITUTE(M1716,"/","")))=2,AND((LEN(M1716)-LEN(SUBSTITUTE(M1716,"/","")))=3,RIGHT(M1716,1)="/"))))),"Home page redirect; ","")&amp;IF(N(R1716)&gt;1,"Chain; ","")&amp;IF(S1716="No","Destination not 200; ","")))</f>
        <v/>
      </c>
      <c r="U1716" s="22" t="n"/>
      <c r="V1716" s="22" t="n"/>
      <c r="W1716" s="4" t="n"/>
    </row>
    <row r="1717">
      <c r="A1717" s="22" t="n"/>
      <c r="B1717" s="22" t="n"/>
      <c r="C1717" s="22" t="n"/>
      <c r="D1717" s="22">
        <f>IF(A1717="","",IF(OR(N(B1717)&gt;=$C$2,N(C1717)&gt;=$E$2),"High",IF(OR(N(B1717)&gt;0,N(C1717)&gt;0),"Medium","Low")))</f>
        <v/>
      </c>
      <c r="E1717" s="22" t="n"/>
      <c r="F1717" s="22" t="n"/>
      <c r="G1717" s="22" t="n"/>
      <c r="H1717" s="22" t="n"/>
      <c r="I1717" s="22" t="n"/>
      <c r="J1717" s="22" t="n"/>
      <c r="K1717" s="22" t="n"/>
      <c r="L1717" s="22" t="n"/>
      <c r="M1717" s="22">
        <f>IF(K1717="Override",L1717,IF(K1717="Accept suggestion",F1717,IF(K1717="No change (same URL)",A1717,"")))</f>
        <v/>
      </c>
      <c r="N1717" s="22">
        <f>IF(A1717="","",IF(K1717="410 Gone","410",IF(K1717="404","404",IF(K1717="No change (same URL)","none",IF(M1717="","","301")))))</f>
        <v/>
      </c>
      <c r="O1717" s="22">
        <f>IF(A1717="","",IFERROR(MID(A1717,FIND("/",A1717,FIND("//",A1717)+2),2000),A1717))</f>
        <v/>
      </c>
      <c r="P1717" s="22">
        <f>IF(OR(O1717="",N1717="",N1717="none",N1717="404"),"",IF(N1717="410","Redirect gone "&amp;O1717,"Redirect "&amp;N1717&amp;" "&amp;O1717&amp;" "&amp;M1717))</f>
        <v/>
      </c>
      <c r="Q1717" s="22" t="n"/>
      <c r="R1717" s="22" t="n"/>
      <c r="S1717" s="22" t="n"/>
      <c r="T1717" s="4">
        <f>IF(A1717="","",TRIM(IF(K1717="","Needs decision; ","")&amp;IF(AND(K1717="Accept suggestion",F1717=""),"No suggestion to accept; ","")&amp;IF(AND(K1717="Override",L1717=""),"Override URL missing; ","")&amp;IF(AND(K1717="Accept suggestion",N(G1717)&lt;$G$2),"Below your threshold; ","")&amp;IF(AND(M1717&lt;&gt;"",M1717=A1717,K1717&lt;&gt;"No change (same URL)"),"Redirects to itself; ","")&amp;IF(AND(M1717&lt;&gt;"",OR(M1717="/",AND(LEFT(M1717,4)="http",OR((LEN(M1717)-LEN(SUBSTITUTE(M1717,"/","")))=2,AND((LEN(M1717)-LEN(SUBSTITUTE(M1717,"/","")))=3,RIGHT(M1717,1)="/"))))),"Home page redirect; ","")&amp;IF(N(R1717)&gt;1,"Chain; ","")&amp;IF(S1717="No","Destination not 200; ","")))</f>
        <v/>
      </c>
      <c r="U1717" s="22" t="n"/>
      <c r="V1717" s="22" t="n"/>
      <c r="W1717" s="4" t="n"/>
    </row>
    <row r="1718">
      <c r="A1718" s="22" t="n"/>
      <c r="B1718" s="22" t="n"/>
      <c r="C1718" s="22" t="n"/>
      <c r="D1718" s="22">
        <f>IF(A1718="","",IF(OR(N(B1718)&gt;=$C$2,N(C1718)&gt;=$E$2),"High",IF(OR(N(B1718)&gt;0,N(C1718)&gt;0),"Medium","Low")))</f>
        <v/>
      </c>
      <c r="E1718" s="22" t="n"/>
      <c r="F1718" s="22" t="n"/>
      <c r="G1718" s="22" t="n"/>
      <c r="H1718" s="22" t="n"/>
      <c r="I1718" s="22" t="n"/>
      <c r="J1718" s="22" t="n"/>
      <c r="K1718" s="22" t="n"/>
      <c r="L1718" s="22" t="n"/>
      <c r="M1718" s="22">
        <f>IF(K1718="Override",L1718,IF(K1718="Accept suggestion",F1718,IF(K1718="No change (same URL)",A1718,"")))</f>
        <v/>
      </c>
      <c r="N1718" s="22">
        <f>IF(A1718="","",IF(K1718="410 Gone","410",IF(K1718="404","404",IF(K1718="No change (same URL)","none",IF(M1718="","","301")))))</f>
        <v/>
      </c>
      <c r="O1718" s="22">
        <f>IF(A1718="","",IFERROR(MID(A1718,FIND("/",A1718,FIND("//",A1718)+2),2000),A1718))</f>
        <v/>
      </c>
      <c r="P1718" s="22">
        <f>IF(OR(O1718="",N1718="",N1718="none",N1718="404"),"",IF(N1718="410","Redirect gone "&amp;O1718,"Redirect "&amp;N1718&amp;" "&amp;O1718&amp;" "&amp;M1718))</f>
        <v/>
      </c>
      <c r="Q1718" s="22" t="n"/>
      <c r="R1718" s="22" t="n"/>
      <c r="S1718" s="22" t="n"/>
      <c r="T1718" s="4">
        <f>IF(A1718="","",TRIM(IF(K1718="","Needs decision; ","")&amp;IF(AND(K1718="Accept suggestion",F1718=""),"No suggestion to accept; ","")&amp;IF(AND(K1718="Override",L1718=""),"Override URL missing; ","")&amp;IF(AND(K1718="Accept suggestion",N(G1718)&lt;$G$2),"Below your threshold; ","")&amp;IF(AND(M1718&lt;&gt;"",M1718=A1718,K1718&lt;&gt;"No change (same URL)"),"Redirects to itself; ","")&amp;IF(AND(M1718&lt;&gt;"",OR(M1718="/",AND(LEFT(M1718,4)="http",OR((LEN(M1718)-LEN(SUBSTITUTE(M1718,"/","")))=2,AND((LEN(M1718)-LEN(SUBSTITUTE(M1718,"/","")))=3,RIGHT(M1718,1)="/"))))),"Home page redirect; ","")&amp;IF(N(R1718)&gt;1,"Chain; ","")&amp;IF(S1718="No","Destination not 200; ","")))</f>
        <v/>
      </c>
      <c r="U1718" s="22" t="n"/>
      <c r="V1718" s="22" t="n"/>
      <c r="W1718" s="4" t="n"/>
    </row>
    <row r="1719">
      <c r="A1719" s="22" t="n"/>
      <c r="B1719" s="22" t="n"/>
      <c r="C1719" s="22" t="n"/>
      <c r="D1719" s="22">
        <f>IF(A1719="","",IF(OR(N(B1719)&gt;=$C$2,N(C1719)&gt;=$E$2),"High",IF(OR(N(B1719)&gt;0,N(C1719)&gt;0),"Medium","Low")))</f>
        <v/>
      </c>
      <c r="E1719" s="22" t="n"/>
      <c r="F1719" s="22" t="n"/>
      <c r="G1719" s="22" t="n"/>
      <c r="H1719" s="22" t="n"/>
      <c r="I1719" s="22" t="n"/>
      <c r="J1719" s="22" t="n"/>
      <c r="K1719" s="22" t="n"/>
      <c r="L1719" s="22" t="n"/>
      <c r="M1719" s="22">
        <f>IF(K1719="Override",L1719,IF(K1719="Accept suggestion",F1719,IF(K1719="No change (same URL)",A1719,"")))</f>
        <v/>
      </c>
      <c r="N1719" s="22">
        <f>IF(A1719="","",IF(K1719="410 Gone","410",IF(K1719="404","404",IF(K1719="No change (same URL)","none",IF(M1719="","","301")))))</f>
        <v/>
      </c>
      <c r="O1719" s="22">
        <f>IF(A1719="","",IFERROR(MID(A1719,FIND("/",A1719,FIND("//",A1719)+2),2000),A1719))</f>
        <v/>
      </c>
      <c r="P1719" s="22">
        <f>IF(OR(O1719="",N1719="",N1719="none",N1719="404"),"",IF(N1719="410","Redirect gone "&amp;O1719,"Redirect "&amp;N1719&amp;" "&amp;O1719&amp;" "&amp;M1719))</f>
        <v/>
      </c>
      <c r="Q1719" s="22" t="n"/>
      <c r="R1719" s="22" t="n"/>
      <c r="S1719" s="22" t="n"/>
      <c r="T1719" s="4">
        <f>IF(A1719="","",TRIM(IF(K1719="","Needs decision; ","")&amp;IF(AND(K1719="Accept suggestion",F1719=""),"No suggestion to accept; ","")&amp;IF(AND(K1719="Override",L1719=""),"Override URL missing; ","")&amp;IF(AND(K1719="Accept suggestion",N(G1719)&lt;$G$2),"Below your threshold; ","")&amp;IF(AND(M1719&lt;&gt;"",M1719=A1719,K1719&lt;&gt;"No change (same URL)"),"Redirects to itself; ","")&amp;IF(AND(M1719&lt;&gt;"",OR(M1719="/",AND(LEFT(M1719,4)="http",OR((LEN(M1719)-LEN(SUBSTITUTE(M1719,"/","")))=2,AND((LEN(M1719)-LEN(SUBSTITUTE(M1719,"/","")))=3,RIGHT(M1719,1)="/"))))),"Home page redirect; ","")&amp;IF(N(R1719)&gt;1,"Chain; ","")&amp;IF(S1719="No","Destination not 200; ","")))</f>
        <v/>
      </c>
      <c r="U1719" s="22" t="n"/>
      <c r="V1719" s="22" t="n"/>
      <c r="W1719" s="4" t="n"/>
    </row>
    <row r="1720">
      <c r="A1720" s="22" t="n"/>
      <c r="B1720" s="22" t="n"/>
      <c r="C1720" s="22" t="n"/>
      <c r="D1720" s="22">
        <f>IF(A1720="","",IF(OR(N(B1720)&gt;=$C$2,N(C1720)&gt;=$E$2),"High",IF(OR(N(B1720)&gt;0,N(C1720)&gt;0),"Medium","Low")))</f>
        <v/>
      </c>
      <c r="E1720" s="22" t="n"/>
      <c r="F1720" s="22" t="n"/>
      <c r="G1720" s="22" t="n"/>
      <c r="H1720" s="22" t="n"/>
      <c r="I1720" s="22" t="n"/>
      <c r="J1720" s="22" t="n"/>
      <c r="K1720" s="22" t="n"/>
      <c r="L1720" s="22" t="n"/>
      <c r="M1720" s="22">
        <f>IF(K1720="Override",L1720,IF(K1720="Accept suggestion",F1720,IF(K1720="No change (same URL)",A1720,"")))</f>
        <v/>
      </c>
      <c r="N1720" s="22">
        <f>IF(A1720="","",IF(K1720="410 Gone","410",IF(K1720="404","404",IF(K1720="No change (same URL)","none",IF(M1720="","","301")))))</f>
        <v/>
      </c>
      <c r="O1720" s="22">
        <f>IF(A1720="","",IFERROR(MID(A1720,FIND("/",A1720,FIND("//",A1720)+2),2000),A1720))</f>
        <v/>
      </c>
      <c r="P1720" s="22">
        <f>IF(OR(O1720="",N1720="",N1720="none",N1720="404"),"",IF(N1720="410","Redirect gone "&amp;O1720,"Redirect "&amp;N1720&amp;" "&amp;O1720&amp;" "&amp;M1720))</f>
        <v/>
      </c>
      <c r="Q1720" s="22" t="n"/>
      <c r="R1720" s="22" t="n"/>
      <c r="S1720" s="22" t="n"/>
      <c r="T1720" s="4">
        <f>IF(A1720="","",TRIM(IF(K1720="","Needs decision; ","")&amp;IF(AND(K1720="Accept suggestion",F1720=""),"No suggestion to accept; ","")&amp;IF(AND(K1720="Override",L1720=""),"Override URL missing; ","")&amp;IF(AND(K1720="Accept suggestion",N(G1720)&lt;$G$2),"Below your threshold; ","")&amp;IF(AND(M1720&lt;&gt;"",M1720=A1720,K1720&lt;&gt;"No change (same URL)"),"Redirects to itself; ","")&amp;IF(AND(M1720&lt;&gt;"",OR(M1720="/",AND(LEFT(M1720,4)="http",OR((LEN(M1720)-LEN(SUBSTITUTE(M1720,"/","")))=2,AND((LEN(M1720)-LEN(SUBSTITUTE(M1720,"/","")))=3,RIGHT(M1720,1)="/"))))),"Home page redirect; ","")&amp;IF(N(R1720)&gt;1,"Chain; ","")&amp;IF(S1720="No","Destination not 200; ","")))</f>
        <v/>
      </c>
      <c r="U1720" s="22" t="n"/>
      <c r="V1720" s="22" t="n"/>
      <c r="W1720" s="4" t="n"/>
    </row>
    <row r="1721">
      <c r="A1721" s="22" t="n"/>
      <c r="B1721" s="22" t="n"/>
      <c r="C1721" s="22" t="n"/>
      <c r="D1721" s="22">
        <f>IF(A1721="","",IF(OR(N(B1721)&gt;=$C$2,N(C1721)&gt;=$E$2),"High",IF(OR(N(B1721)&gt;0,N(C1721)&gt;0),"Medium","Low")))</f>
        <v/>
      </c>
      <c r="E1721" s="22" t="n"/>
      <c r="F1721" s="22" t="n"/>
      <c r="G1721" s="22" t="n"/>
      <c r="H1721" s="22" t="n"/>
      <c r="I1721" s="22" t="n"/>
      <c r="J1721" s="22" t="n"/>
      <c r="K1721" s="22" t="n"/>
      <c r="L1721" s="22" t="n"/>
      <c r="M1721" s="22">
        <f>IF(K1721="Override",L1721,IF(K1721="Accept suggestion",F1721,IF(K1721="No change (same URL)",A1721,"")))</f>
        <v/>
      </c>
      <c r="N1721" s="22">
        <f>IF(A1721="","",IF(K1721="410 Gone","410",IF(K1721="404","404",IF(K1721="No change (same URL)","none",IF(M1721="","","301")))))</f>
        <v/>
      </c>
      <c r="O1721" s="22">
        <f>IF(A1721="","",IFERROR(MID(A1721,FIND("/",A1721,FIND("//",A1721)+2),2000),A1721))</f>
        <v/>
      </c>
      <c r="P1721" s="22">
        <f>IF(OR(O1721="",N1721="",N1721="none",N1721="404"),"",IF(N1721="410","Redirect gone "&amp;O1721,"Redirect "&amp;N1721&amp;" "&amp;O1721&amp;" "&amp;M1721))</f>
        <v/>
      </c>
      <c r="Q1721" s="22" t="n"/>
      <c r="R1721" s="22" t="n"/>
      <c r="S1721" s="22" t="n"/>
      <c r="T1721" s="4">
        <f>IF(A1721="","",TRIM(IF(K1721="","Needs decision; ","")&amp;IF(AND(K1721="Accept suggestion",F1721=""),"No suggestion to accept; ","")&amp;IF(AND(K1721="Override",L1721=""),"Override URL missing; ","")&amp;IF(AND(K1721="Accept suggestion",N(G1721)&lt;$G$2),"Below your threshold; ","")&amp;IF(AND(M1721&lt;&gt;"",M1721=A1721,K1721&lt;&gt;"No change (same URL)"),"Redirects to itself; ","")&amp;IF(AND(M1721&lt;&gt;"",OR(M1721="/",AND(LEFT(M1721,4)="http",OR((LEN(M1721)-LEN(SUBSTITUTE(M1721,"/","")))=2,AND((LEN(M1721)-LEN(SUBSTITUTE(M1721,"/","")))=3,RIGHT(M1721,1)="/"))))),"Home page redirect; ","")&amp;IF(N(R1721)&gt;1,"Chain; ","")&amp;IF(S1721="No","Destination not 200; ","")))</f>
        <v/>
      </c>
      <c r="U1721" s="22" t="n"/>
      <c r="V1721" s="22" t="n"/>
      <c r="W1721" s="4" t="n"/>
    </row>
    <row r="1722">
      <c r="A1722" s="22" t="n"/>
      <c r="B1722" s="22" t="n"/>
      <c r="C1722" s="22" t="n"/>
      <c r="D1722" s="22">
        <f>IF(A1722="","",IF(OR(N(B1722)&gt;=$C$2,N(C1722)&gt;=$E$2),"High",IF(OR(N(B1722)&gt;0,N(C1722)&gt;0),"Medium","Low")))</f>
        <v/>
      </c>
      <c r="E1722" s="22" t="n"/>
      <c r="F1722" s="22" t="n"/>
      <c r="G1722" s="22" t="n"/>
      <c r="H1722" s="22" t="n"/>
      <c r="I1722" s="22" t="n"/>
      <c r="J1722" s="22" t="n"/>
      <c r="K1722" s="22" t="n"/>
      <c r="L1722" s="22" t="n"/>
      <c r="M1722" s="22">
        <f>IF(K1722="Override",L1722,IF(K1722="Accept suggestion",F1722,IF(K1722="No change (same URL)",A1722,"")))</f>
        <v/>
      </c>
      <c r="N1722" s="22">
        <f>IF(A1722="","",IF(K1722="410 Gone","410",IF(K1722="404","404",IF(K1722="No change (same URL)","none",IF(M1722="","","301")))))</f>
        <v/>
      </c>
      <c r="O1722" s="22">
        <f>IF(A1722="","",IFERROR(MID(A1722,FIND("/",A1722,FIND("//",A1722)+2),2000),A1722))</f>
        <v/>
      </c>
      <c r="P1722" s="22">
        <f>IF(OR(O1722="",N1722="",N1722="none",N1722="404"),"",IF(N1722="410","Redirect gone "&amp;O1722,"Redirect "&amp;N1722&amp;" "&amp;O1722&amp;" "&amp;M1722))</f>
        <v/>
      </c>
      <c r="Q1722" s="22" t="n"/>
      <c r="R1722" s="22" t="n"/>
      <c r="S1722" s="22" t="n"/>
      <c r="T1722" s="4">
        <f>IF(A1722="","",TRIM(IF(K1722="","Needs decision; ","")&amp;IF(AND(K1722="Accept suggestion",F1722=""),"No suggestion to accept; ","")&amp;IF(AND(K1722="Override",L1722=""),"Override URL missing; ","")&amp;IF(AND(K1722="Accept suggestion",N(G1722)&lt;$G$2),"Below your threshold; ","")&amp;IF(AND(M1722&lt;&gt;"",M1722=A1722,K1722&lt;&gt;"No change (same URL)"),"Redirects to itself; ","")&amp;IF(AND(M1722&lt;&gt;"",OR(M1722="/",AND(LEFT(M1722,4)="http",OR((LEN(M1722)-LEN(SUBSTITUTE(M1722,"/","")))=2,AND((LEN(M1722)-LEN(SUBSTITUTE(M1722,"/","")))=3,RIGHT(M1722,1)="/"))))),"Home page redirect; ","")&amp;IF(N(R1722)&gt;1,"Chain; ","")&amp;IF(S1722="No","Destination not 200; ","")))</f>
        <v/>
      </c>
      <c r="U1722" s="22" t="n"/>
      <c r="V1722" s="22" t="n"/>
      <c r="W1722" s="4" t="n"/>
    </row>
    <row r="1723">
      <c r="A1723" s="22" t="n"/>
      <c r="B1723" s="22" t="n"/>
      <c r="C1723" s="22" t="n"/>
      <c r="D1723" s="22">
        <f>IF(A1723="","",IF(OR(N(B1723)&gt;=$C$2,N(C1723)&gt;=$E$2),"High",IF(OR(N(B1723)&gt;0,N(C1723)&gt;0),"Medium","Low")))</f>
        <v/>
      </c>
      <c r="E1723" s="22" t="n"/>
      <c r="F1723" s="22" t="n"/>
      <c r="G1723" s="22" t="n"/>
      <c r="H1723" s="22" t="n"/>
      <c r="I1723" s="22" t="n"/>
      <c r="J1723" s="22" t="n"/>
      <c r="K1723" s="22" t="n"/>
      <c r="L1723" s="22" t="n"/>
      <c r="M1723" s="22">
        <f>IF(K1723="Override",L1723,IF(K1723="Accept suggestion",F1723,IF(K1723="No change (same URL)",A1723,"")))</f>
        <v/>
      </c>
      <c r="N1723" s="22">
        <f>IF(A1723="","",IF(K1723="410 Gone","410",IF(K1723="404","404",IF(K1723="No change (same URL)","none",IF(M1723="","","301")))))</f>
        <v/>
      </c>
      <c r="O1723" s="22">
        <f>IF(A1723="","",IFERROR(MID(A1723,FIND("/",A1723,FIND("//",A1723)+2),2000),A1723))</f>
        <v/>
      </c>
      <c r="P1723" s="22">
        <f>IF(OR(O1723="",N1723="",N1723="none",N1723="404"),"",IF(N1723="410","Redirect gone "&amp;O1723,"Redirect "&amp;N1723&amp;" "&amp;O1723&amp;" "&amp;M1723))</f>
        <v/>
      </c>
      <c r="Q1723" s="22" t="n"/>
      <c r="R1723" s="22" t="n"/>
      <c r="S1723" s="22" t="n"/>
      <c r="T1723" s="4">
        <f>IF(A1723="","",TRIM(IF(K1723="","Needs decision; ","")&amp;IF(AND(K1723="Accept suggestion",F1723=""),"No suggestion to accept; ","")&amp;IF(AND(K1723="Override",L1723=""),"Override URL missing; ","")&amp;IF(AND(K1723="Accept suggestion",N(G1723)&lt;$G$2),"Below your threshold; ","")&amp;IF(AND(M1723&lt;&gt;"",M1723=A1723,K1723&lt;&gt;"No change (same URL)"),"Redirects to itself; ","")&amp;IF(AND(M1723&lt;&gt;"",OR(M1723="/",AND(LEFT(M1723,4)="http",OR((LEN(M1723)-LEN(SUBSTITUTE(M1723,"/","")))=2,AND((LEN(M1723)-LEN(SUBSTITUTE(M1723,"/","")))=3,RIGHT(M1723,1)="/"))))),"Home page redirect; ","")&amp;IF(N(R1723)&gt;1,"Chain; ","")&amp;IF(S1723="No","Destination not 200; ","")))</f>
        <v/>
      </c>
      <c r="U1723" s="22" t="n"/>
      <c r="V1723" s="22" t="n"/>
      <c r="W1723" s="4" t="n"/>
    </row>
    <row r="1724">
      <c r="A1724" s="22" t="n"/>
      <c r="B1724" s="22" t="n"/>
      <c r="C1724" s="22" t="n"/>
      <c r="D1724" s="22">
        <f>IF(A1724="","",IF(OR(N(B1724)&gt;=$C$2,N(C1724)&gt;=$E$2),"High",IF(OR(N(B1724)&gt;0,N(C1724)&gt;0),"Medium","Low")))</f>
        <v/>
      </c>
      <c r="E1724" s="22" t="n"/>
      <c r="F1724" s="22" t="n"/>
      <c r="G1724" s="22" t="n"/>
      <c r="H1724" s="22" t="n"/>
      <c r="I1724" s="22" t="n"/>
      <c r="J1724" s="22" t="n"/>
      <c r="K1724" s="22" t="n"/>
      <c r="L1724" s="22" t="n"/>
      <c r="M1724" s="22">
        <f>IF(K1724="Override",L1724,IF(K1724="Accept suggestion",F1724,IF(K1724="No change (same URL)",A1724,"")))</f>
        <v/>
      </c>
      <c r="N1724" s="22">
        <f>IF(A1724="","",IF(K1724="410 Gone","410",IF(K1724="404","404",IF(K1724="No change (same URL)","none",IF(M1724="","","301")))))</f>
        <v/>
      </c>
      <c r="O1724" s="22">
        <f>IF(A1724="","",IFERROR(MID(A1724,FIND("/",A1724,FIND("//",A1724)+2),2000),A1724))</f>
        <v/>
      </c>
      <c r="P1724" s="22">
        <f>IF(OR(O1724="",N1724="",N1724="none",N1724="404"),"",IF(N1724="410","Redirect gone "&amp;O1724,"Redirect "&amp;N1724&amp;" "&amp;O1724&amp;" "&amp;M1724))</f>
        <v/>
      </c>
      <c r="Q1724" s="22" t="n"/>
      <c r="R1724" s="22" t="n"/>
      <c r="S1724" s="22" t="n"/>
      <c r="T1724" s="4">
        <f>IF(A1724="","",TRIM(IF(K1724="","Needs decision; ","")&amp;IF(AND(K1724="Accept suggestion",F1724=""),"No suggestion to accept; ","")&amp;IF(AND(K1724="Override",L1724=""),"Override URL missing; ","")&amp;IF(AND(K1724="Accept suggestion",N(G1724)&lt;$G$2),"Below your threshold; ","")&amp;IF(AND(M1724&lt;&gt;"",M1724=A1724,K1724&lt;&gt;"No change (same URL)"),"Redirects to itself; ","")&amp;IF(AND(M1724&lt;&gt;"",OR(M1724="/",AND(LEFT(M1724,4)="http",OR((LEN(M1724)-LEN(SUBSTITUTE(M1724,"/","")))=2,AND((LEN(M1724)-LEN(SUBSTITUTE(M1724,"/","")))=3,RIGHT(M1724,1)="/"))))),"Home page redirect; ","")&amp;IF(N(R1724)&gt;1,"Chain; ","")&amp;IF(S1724="No","Destination not 200; ","")))</f>
        <v/>
      </c>
      <c r="U1724" s="22" t="n"/>
      <c r="V1724" s="22" t="n"/>
      <c r="W1724" s="4" t="n"/>
    </row>
    <row r="1725">
      <c r="A1725" s="22" t="n"/>
      <c r="B1725" s="22" t="n"/>
      <c r="C1725" s="22" t="n"/>
      <c r="D1725" s="22">
        <f>IF(A1725="","",IF(OR(N(B1725)&gt;=$C$2,N(C1725)&gt;=$E$2),"High",IF(OR(N(B1725)&gt;0,N(C1725)&gt;0),"Medium","Low")))</f>
        <v/>
      </c>
      <c r="E1725" s="22" t="n"/>
      <c r="F1725" s="22" t="n"/>
      <c r="G1725" s="22" t="n"/>
      <c r="H1725" s="22" t="n"/>
      <c r="I1725" s="22" t="n"/>
      <c r="J1725" s="22" t="n"/>
      <c r="K1725" s="22" t="n"/>
      <c r="L1725" s="22" t="n"/>
      <c r="M1725" s="22">
        <f>IF(K1725="Override",L1725,IF(K1725="Accept suggestion",F1725,IF(K1725="No change (same URL)",A1725,"")))</f>
        <v/>
      </c>
      <c r="N1725" s="22">
        <f>IF(A1725="","",IF(K1725="410 Gone","410",IF(K1725="404","404",IF(K1725="No change (same URL)","none",IF(M1725="","","301")))))</f>
        <v/>
      </c>
      <c r="O1725" s="22">
        <f>IF(A1725="","",IFERROR(MID(A1725,FIND("/",A1725,FIND("//",A1725)+2),2000),A1725))</f>
        <v/>
      </c>
      <c r="P1725" s="22">
        <f>IF(OR(O1725="",N1725="",N1725="none",N1725="404"),"",IF(N1725="410","Redirect gone "&amp;O1725,"Redirect "&amp;N1725&amp;" "&amp;O1725&amp;" "&amp;M1725))</f>
        <v/>
      </c>
      <c r="Q1725" s="22" t="n"/>
      <c r="R1725" s="22" t="n"/>
      <c r="S1725" s="22" t="n"/>
      <c r="T1725" s="4">
        <f>IF(A1725="","",TRIM(IF(K1725="","Needs decision; ","")&amp;IF(AND(K1725="Accept suggestion",F1725=""),"No suggestion to accept; ","")&amp;IF(AND(K1725="Override",L1725=""),"Override URL missing; ","")&amp;IF(AND(K1725="Accept suggestion",N(G1725)&lt;$G$2),"Below your threshold; ","")&amp;IF(AND(M1725&lt;&gt;"",M1725=A1725,K1725&lt;&gt;"No change (same URL)"),"Redirects to itself; ","")&amp;IF(AND(M1725&lt;&gt;"",OR(M1725="/",AND(LEFT(M1725,4)="http",OR((LEN(M1725)-LEN(SUBSTITUTE(M1725,"/","")))=2,AND((LEN(M1725)-LEN(SUBSTITUTE(M1725,"/","")))=3,RIGHT(M1725,1)="/"))))),"Home page redirect; ","")&amp;IF(N(R1725)&gt;1,"Chain; ","")&amp;IF(S1725="No","Destination not 200; ","")))</f>
        <v/>
      </c>
      <c r="U1725" s="22" t="n"/>
      <c r="V1725" s="22" t="n"/>
      <c r="W1725" s="4" t="n"/>
    </row>
    <row r="1726">
      <c r="A1726" s="22" t="n"/>
      <c r="B1726" s="22" t="n"/>
      <c r="C1726" s="22" t="n"/>
      <c r="D1726" s="22">
        <f>IF(A1726="","",IF(OR(N(B1726)&gt;=$C$2,N(C1726)&gt;=$E$2),"High",IF(OR(N(B1726)&gt;0,N(C1726)&gt;0),"Medium","Low")))</f>
        <v/>
      </c>
      <c r="E1726" s="22" t="n"/>
      <c r="F1726" s="22" t="n"/>
      <c r="G1726" s="22" t="n"/>
      <c r="H1726" s="22" t="n"/>
      <c r="I1726" s="22" t="n"/>
      <c r="J1726" s="22" t="n"/>
      <c r="K1726" s="22" t="n"/>
      <c r="L1726" s="22" t="n"/>
      <c r="M1726" s="22">
        <f>IF(K1726="Override",L1726,IF(K1726="Accept suggestion",F1726,IF(K1726="No change (same URL)",A1726,"")))</f>
        <v/>
      </c>
      <c r="N1726" s="22">
        <f>IF(A1726="","",IF(K1726="410 Gone","410",IF(K1726="404","404",IF(K1726="No change (same URL)","none",IF(M1726="","","301")))))</f>
        <v/>
      </c>
      <c r="O1726" s="22">
        <f>IF(A1726="","",IFERROR(MID(A1726,FIND("/",A1726,FIND("//",A1726)+2),2000),A1726))</f>
        <v/>
      </c>
      <c r="P1726" s="22">
        <f>IF(OR(O1726="",N1726="",N1726="none",N1726="404"),"",IF(N1726="410","Redirect gone "&amp;O1726,"Redirect "&amp;N1726&amp;" "&amp;O1726&amp;" "&amp;M1726))</f>
        <v/>
      </c>
      <c r="Q1726" s="22" t="n"/>
      <c r="R1726" s="22" t="n"/>
      <c r="S1726" s="22" t="n"/>
      <c r="T1726" s="4">
        <f>IF(A1726="","",TRIM(IF(K1726="","Needs decision; ","")&amp;IF(AND(K1726="Accept suggestion",F1726=""),"No suggestion to accept; ","")&amp;IF(AND(K1726="Override",L1726=""),"Override URL missing; ","")&amp;IF(AND(K1726="Accept suggestion",N(G1726)&lt;$G$2),"Below your threshold; ","")&amp;IF(AND(M1726&lt;&gt;"",M1726=A1726,K1726&lt;&gt;"No change (same URL)"),"Redirects to itself; ","")&amp;IF(AND(M1726&lt;&gt;"",OR(M1726="/",AND(LEFT(M1726,4)="http",OR((LEN(M1726)-LEN(SUBSTITUTE(M1726,"/","")))=2,AND((LEN(M1726)-LEN(SUBSTITUTE(M1726,"/","")))=3,RIGHT(M1726,1)="/"))))),"Home page redirect; ","")&amp;IF(N(R1726)&gt;1,"Chain; ","")&amp;IF(S1726="No","Destination not 200; ","")))</f>
        <v/>
      </c>
      <c r="U1726" s="22" t="n"/>
      <c r="V1726" s="22" t="n"/>
      <c r="W1726" s="4" t="n"/>
    </row>
    <row r="1727">
      <c r="A1727" s="22" t="n"/>
      <c r="B1727" s="22" t="n"/>
      <c r="C1727" s="22" t="n"/>
      <c r="D1727" s="22">
        <f>IF(A1727="","",IF(OR(N(B1727)&gt;=$C$2,N(C1727)&gt;=$E$2),"High",IF(OR(N(B1727)&gt;0,N(C1727)&gt;0),"Medium","Low")))</f>
        <v/>
      </c>
      <c r="E1727" s="22" t="n"/>
      <c r="F1727" s="22" t="n"/>
      <c r="G1727" s="22" t="n"/>
      <c r="H1727" s="22" t="n"/>
      <c r="I1727" s="22" t="n"/>
      <c r="J1727" s="22" t="n"/>
      <c r="K1727" s="22" t="n"/>
      <c r="L1727" s="22" t="n"/>
      <c r="M1727" s="22">
        <f>IF(K1727="Override",L1727,IF(K1727="Accept suggestion",F1727,IF(K1727="No change (same URL)",A1727,"")))</f>
        <v/>
      </c>
      <c r="N1727" s="22">
        <f>IF(A1727="","",IF(K1727="410 Gone","410",IF(K1727="404","404",IF(K1727="No change (same URL)","none",IF(M1727="","","301")))))</f>
        <v/>
      </c>
      <c r="O1727" s="22">
        <f>IF(A1727="","",IFERROR(MID(A1727,FIND("/",A1727,FIND("//",A1727)+2),2000),A1727))</f>
        <v/>
      </c>
      <c r="P1727" s="22">
        <f>IF(OR(O1727="",N1727="",N1727="none",N1727="404"),"",IF(N1727="410","Redirect gone "&amp;O1727,"Redirect "&amp;N1727&amp;" "&amp;O1727&amp;" "&amp;M1727))</f>
        <v/>
      </c>
      <c r="Q1727" s="22" t="n"/>
      <c r="R1727" s="22" t="n"/>
      <c r="S1727" s="22" t="n"/>
      <c r="T1727" s="4">
        <f>IF(A1727="","",TRIM(IF(K1727="","Needs decision; ","")&amp;IF(AND(K1727="Accept suggestion",F1727=""),"No suggestion to accept; ","")&amp;IF(AND(K1727="Override",L1727=""),"Override URL missing; ","")&amp;IF(AND(K1727="Accept suggestion",N(G1727)&lt;$G$2),"Below your threshold; ","")&amp;IF(AND(M1727&lt;&gt;"",M1727=A1727,K1727&lt;&gt;"No change (same URL)"),"Redirects to itself; ","")&amp;IF(AND(M1727&lt;&gt;"",OR(M1727="/",AND(LEFT(M1727,4)="http",OR((LEN(M1727)-LEN(SUBSTITUTE(M1727,"/","")))=2,AND((LEN(M1727)-LEN(SUBSTITUTE(M1727,"/","")))=3,RIGHT(M1727,1)="/"))))),"Home page redirect; ","")&amp;IF(N(R1727)&gt;1,"Chain; ","")&amp;IF(S1727="No","Destination not 200; ","")))</f>
        <v/>
      </c>
      <c r="U1727" s="22" t="n"/>
      <c r="V1727" s="22" t="n"/>
      <c r="W1727" s="4" t="n"/>
    </row>
    <row r="1728">
      <c r="A1728" s="22" t="n"/>
      <c r="B1728" s="22" t="n"/>
      <c r="C1728" s="22" t="n"/>
      <c r="D1728" s="22">
        <f>IF(A1728="","",IF(OR(N(B1728)&gt;=$C$2,N(C1728)&gt;=$E$2),"High",IF(OR(N(B1728)&gt;0,N(C1728)&gt;0),"Medium","Low")))</f>
        <v/>
      </c>
      <c r="E1728" s="22" t="n"/>
      <c r="F1728" s="22" t="n"/>
      <c r="G1728" s="22" t="n"/>
      <c r="H1728" s="22" t="n"/>
      <c r="I1728" s="22" t="n"/>
      <c r="J1728" s="22" t="n"/>
      <c r="K1728" s="22" t="n"/>
      <c r="L1728" s="22" t="n"/>
      <c r="M1728" s="22">
        <f>IF(K1728="Override",L1728,IF(K1728="Accept suggestion",F1728,IF(K1728="No change (same URL)",A1728,"")))</f>
        <v/>
      </c>
      <c r="N1728" s="22">
        <f>IF(A1728="","",IF(K1728="410 Gone","410",IF(K1728="404","404",IF(K1728="No change (same URL)","none",IF(M1728="","","301")))))</f>
        <v/>
      </c>
      <c r="O1728" s="22">
        <f>IF(A1728="","",IFERROR(MID(A1728,FIND("/",A1728,FIND("//",A1728)+2),2000),A1728))</f>
        <v/>
      </c>
      <c r="P1728" s="22">
        <f>IF(OR(O1728="",N1728="",N1728="none",N1728="404"),"",IF(N1728="410","Redirect gone "&amp;O1728,"Redirect "&amp;N1728&amp;" "&amp;O1728&amp;" "&amp;M1728))</f>
        <v/>
      </c>
      <c r="Q1728" s="22" t="n"/>
      <c r="R1728" s="22" t="n"/>
      <c r="S1728" s="22" t="n"/>
      <c r="T1728" s="4">
        <f>IF(A1728="","",TRIM(IF(K1728="","Needs decision; ","")&amp;IF(AND(K1728="Accept suggestion",F1728=""),"No suggestion to accept; ","")&amp;IF(AND(K1728="Override",L1728=""),"Override URL missing; ","")&amp;IF(AND(K1728="Accept suggestion",N(G1728)&lt;$G$2),"Below your threshold; ","")&amp;IF(AND(M1728&lt;&gt;"",M1728=A1728,K1728&lt;&gt;"No change (same URL)"),"Redirects to itself; ","")&amp;IF(AND(M1728&lt;&gt;"",OR(M1728="/",AND(LEFT(M1728,4)="http",OR((LEN(M1728)-LEN(SUBSTITUTE(M1728,"/","")))=2,AND((LEN(M1728)-LEN(SUBSTITUTE(M1728,"/","")))=3,RIGHT(M1728,1)="/"))))),"Home page redirect; ","")&amp;IF(N(R1728)&gt;1,"Chain; ","")&amp;IF(S1728="No","Destination not 200; ","")))</f>
        <v/>
      </c>
      <c r="U1728" s="22" t="n"/>
      <c r="V1728" s="22" t="n"/>
      <c r="W1728" s="4" t="n"/>
    </row>
    <row r="1729">
      <c r="A1729" s="22" t="n"/>
      <c r="B1729" s="22" t="n"/>
      <c r="C1729" s="22" t="n"/>
      <c r="D1729" s="22">
        <f>IF(A1729="","",IF(OR(N(B1729)&gt;=$C$2,N(C1729)&gt;=$E$2),"High",IF(OR(N(B1729)&gt;0,N(C1729)&gt;0),"Medium","Low")))</f>
        <v/>
      </c>
      <c r="E1729" s="22" t="n"/>
      <c r="F1729" s="22" t="n"/>
      <c r="G1729" s="22" t="n"/>
      <c r="H1729" s="22" t="n"/>
      <c r="I1729" s="22" t="n"/>
      <c r="J1729" s="22" t="n"/>
      <c r="K1729" s="22" t="n"/>
      <c r="L1729" s="22" t="n"/>
      <c r="M1729" s="22">
        <f>IF(K1729="Override",L1729,IF(K1729="Accept suggestion",F1729,IF(K1729="No change (same URL)",A1729,"")))</f>
        <v/>
      </c>
      <c r="N1729" s="22">
        <f>IF(A1729="","",IF(K1729="410 Gone","410",IF(K1729="404","404",IF(K1729="No change (same URL)","none",IF(M1729="","","301")))))</f>
        <v/>
      </c>
      <c r="O1729" s="22">
        <f>IF(A1729="","",IFERROR(MID(A1729,FIND("/",A1729,FIND("//",A1729)+2),2000),A1729))</f>
        <v/>
      </c>
      <c r="P1729" s="22">
        <f>IF(OR(O1729="",N1729="",N1729="none",N1729="404"),"",IF(N1729="410","Redirect gone "&amp;O1729,"Redirect "&amp;N1729&amp;" "&amp;O1729&amp;" "&amp;M1729))</f>
        <v/>
      </c>
      <c r="Q1729" s="22" t="n"/>
      <c r="R1729" s="22" t="n"/>
      <c r="S1729" s="22" t="n"/>
      <c r="T1729" s="4">
        <f>IF(A1729="","",TRIM(IF(K1729="","Needs decision; ","")&amp;IF(AND(K1729="Accept suggestion",F1729=""),"No suggestion to accept; ","")&amp;IF(AND(K1729="Override",L1729=""),"Override URL missing; ","")&amp;IF(AND(K1729="Accept suggestion",N(G1729)&lt;$G$2),"Below your threshold; ","")&amp;IF(AND(M1729&lt;&gt;"",M1729=A1729,K1729&lt;&gt;"No change (same URL)"),"Redirects to itself; ","")&amp;IF(AND(M1729&lt;&gt;"",OR(M1729="/",AND(LEFT(M1729,4)="http",OR((LEN(M1729)-LEN(SUBSTITUTE(M1729,"/","")))=2,AND((LEN(M1729)-LEN(SUBSTITUTE(M1729,"/","")))=3,RIGHT(M1729,1)="/"))))),"Home page redirect; ","")&amp;IF(N(R1729)&gt;1,"Chain; ","")&amp;IF(S1729="No","Destination not 200; ","")))</f>
        <v/>
      </c>
      <c r="U1729" s="22" t="n"/>
      <c r="V1729" s="22" t="n"/>
      <c r="W1729" s="4" t="n"/>
    </row>
    <row r="1730">
      <c r="A1730" s="22" t="n"/>
      <c r="B1730" s="22" t="n"/>
      <c r="C1730" s="22" t="n"/>
      <c r="D1730" s="22">
        <f>IF(A1730="","",IF(OR(N(B1730)&gt;=$C$2,N(C1730)&gt;=$E$2),"High",IF(OR(N(B1730)&gt;0,N(C1730)&gt;0),"Medium","Low")))</f>
        <v/>
      </c>
      <c r="E1730" s="22" t="n"/>
      <c r="F1730" s="22" t="n"/>
      <c r="G1730" s="22" t="n"/>
      <c r="H1730" s="22" t="n"/>
      <c r="I1730" s="22" t="n"/>
      <c r="J1730" s="22" t="n"/>
      <c r="K1730" s="22" t="n"/>
      <c r="L1730" s="22" t="n"/>
      <c r="M1730" s="22">
        <f>IF(K1730="Override",L1730,IF(K1730="Accept suggestion",F1730,IF(K1730="No change (same URL)",A1730,"")))</f>
        <v/>
      </c>
      <c r="N1730" s="22">
        <f>IF(A1730="","",IF(K1730="410 Gone","410",IF(K1730="404","404",IF(K1730="No change (same URL)","none",IF(M1730="","","301")))))</f>
        <v/>
      </c>
      <c r="O1730" s="22">
        <f>IF(A1730="","",IFERROR(MID(A1730,FIND("/",A1730,FIND("//",A1730)+2),2000),A1730))</f>
        <v/>
      </c>
      <c r="P1730" s="22">
        <f>IF(OR(O1730="",N1730="",N1730="none",N1730="404"),"",IF(N1730="410","Redirect gone "&amp;O1730,"Redirect "&amp;N1730&amp;" "&amp;O1730&amp;" "&amp;M1730))</f>
        <v/>
      </c>
      <c r="Q1730" s="22" t="n"/>
      <c r="R1730" s="22" t="n"/>
      <c r="S1730" s="22" t="n"/>
      <c r="T1730" s="4">
        <f>IF(A1730="","",TRIM(IF(K1730="","Needs decision; ","")&amp;IF(AND(K1730="Accept suggestion",F1730=""),"No suggestion to accept; ","")&amp;IF(AND(K1730="Override",L1730=""),"Override URL missing; ","")&amp;IF(AND(K1730="Accept suggestion",N(G1730)&lt;$G$2),"Below your threshold; ","")&amp;IF(AND(M1730&lt;&gt;"",M1730=A1730,K1730&lt;&gt;"No change (same URL)"),"Redirects to itself; ","")&amp;IF(AND(M1730&lt;&gt;"",OR(M1730="/",AND(LEFT(M1730,4)="http",OR((LEN(M1730)-LEN(SUBSTITUTE(M1730,"/","")))=2,AND((LEN(M1730)-LEN(SUBSTITUTE(M1730,"/","")))=3,RIGHT(M1730,1)="/"))))),"Home page redirect; ","")&amp;IF(N(R1730)&gt;1,"Chain; ","")&amp;IF(S1730="No","Destination not 200; ","")))</f>
        <v/>
      </c>
      <c r="U1730" s="22" t="n"/>
      <c r="V1730" s="22" t="n"/>
      <c r="W1730" s="4" t="n"/>
    </row>
    <row r="1731">
      <c r="A1731" s="22" t="n"/>
      <c r="B1731" s="22" t="n"/>
      <c r="C1731" s="22" t="n"/>
      <c r="D1731" s="22">
        <f>IF(A1731="","",IF(OR(N(B1731)&gt;=$C$2,N(C1731)&gt;=$E$2),"High",IF(OR(N(B1731)&gt;0,N(C1731)&gt;0),"Medium","Low")))</f>
        <v/>
      </c>
      <c r="E1731" s="22" t="n"/>
      <c r="F1731" s="22" t="n"/>
      <c r="G1731" s="22" t="n"/>
      <c r="H1731" s="22" t="n"/>
      <c r="I1731" s="22" t="n"/>
      <c r="J1731" s="22" t="n"/>
      <c r="K1731" s="22" t="n"/>
      <c r="L1731" s="22" t="n"/>
      <c r="M1731" s="22">
        <f>IF(K1731="Override",L1731,IF(K1731="Accept suggestion",F1731,IF(K1731="No change (same URL)",A1731,"")))</f>
        <v/>
      </c>
      <c r="N1731" s="22">
        <f>IF(A1731="","",IF(K1731="410 Gone","410",IF(K1731="404","404",IF(K1731="No change (same URL)","none",IF(M1731="","","301")))))</f>
        <v/>
      </c>
      <c r="O1731" s="22">
        <f>IF(A1731="","",IFERROR(MID(A1731,FIND("/",A1731,FIND("//",A1731)+2),2000),A1731))</f>
        <v/>
      </c>
      <c r="P1731" s="22">
        <f>IF(OR(O1731="",N1731="",N1731="none",N1731="404"),"",IF(N1731="410","Redirect gone "&amp;O1731,"Redirect "&amp;N1731&amp;" "&amp;O1731&amp;" "&amp;M1731))</f>
        <v/>
      </c>
      <c r="Q1731" s="22" t="n"/>
      <c r="R1731" s="22" t="n"/>
      <c r="S1731" s="22" t="n"/>
      <c r="T1731" s="4">
        <f>IF(A1731="","",TRIM(IF(K1731="","Needs decision; ","")&amp;IF(AND(K1731="Accept suggestion",F1731=""),"No suggestion to accept; ","")&amp;IF(AND(K1731="Override",L1731=""),"Override URL missing; ","")&amp;IF(AND(K1731="Accept suggestion",N(G1731)&lt;$G$2),"Below your threshold; ","")&amp;IF(AND(M1731&lt;&gt;"",M1731=A1731,K1731&lt;&gt;"No change (same URL)"),"Redirects to itself; ","")&amp;IF(AND(M1731&lt;&gt;"",OR(M1731="/",AND(LEFT(M1731,4)="http",OR((LEN(M1731)-LEN(SUBSTITUTE(M1731,"/","")))=2,AND((LEN(M1731)-LEN(SUBSTITUTE(M1731,"/","")))=3,RIGHT(M1731,1)="/"))))),"Home page redirect; ","")&amp;IF(N(R1731)&gt;1,"Chain; ","")&amp;IF(S1731="No","Destination not 200; ","")))</f>
        <v/>
      </c>
      <c r="U1731" s="22" t="n"/>
      <c r="V1731" s="22" t="n"/>
      <c r="W1731" s="4" t="n"/>
    </row>
    <row r="1732">
      <c r="A1732" s="22" t="n"/>
      <c r="B1732" s="22" t="n"/>
      <c r="C1732" s="22" t="n"/>
      <c r="D1732" s="22">
        <f>IF(A1732="","",IF(OR(N(B1732)&gt;=$C$2,N(C1732)&gt;=$E$2),"High",IF(OR(N(B1732)&gt;0,N(C1732)&gt;0),"Medium","Low")))</f>
        <v/>
      </c>
      <c r="E1732" s="22" t="n"/>
      <c r="F1732" s="22" t="n"/>
      <c r="G1732" s="22" t="n"/>
      <c r="H1732" s="22" t="n"/>
      <c r="I1732" s="22" t="n"/>
      <c r="J1732" s="22" t="n"/>
      <c r="K1732" s="22" t="n"/>
      <c r="L1732" s="22" t="n"/>
      <c r="M1732" s="22">
        <f>IF(K1732="Override",L1732,IF(K1732="Accept suggestion",F1732,IF(K1732="No change (same URL)",A1732,"")))</f>
        <v/>
      </c>
      <c r="N1732" s="22">
        <f>IF(A1732="","",IF(K1732="410 Gone","410",IF(K1732="404","404",IF(K1732="No change (same URL)","none",IF(M1732="","","301")))))</f>
        <v/>
      </c>
      <c r="O1732" s="22">
        <f>IF(A1732="","",IFERROR(MID(A1732,FIND("/",A1732,FIND("//",A1732)+2),2000),A1732))</f>
        <v/>
      </c>
      <c r="P1732" s="22">
        <f>IF(OR(O1732="",N1732="",N1732="none",N1732="404"),"",IF(N1732="410","Redirect gone "&amp;O1732,"Redirect "&amp;N1732&amp;" "&amp;O1732&amp;" "&amp;M1732))</f>
        <v/>
      </c>
      <c r="Q1732" s="22" t="n"/>
      <c r="R1732" s="22" t="n"/>
      <c r="S1732" s="22" t="n"/>
      <c r="T1732" s="4">
        <f>IF(A1732="","",TRIM(IF(K1732="","Needs decision; ","")&amp;IF(AND(K1732="Accept suggestion",F1732=""),"No suggestion to accept; ","")&amp;IF(AND(K1732="Override",L1732=""),"Override URL missing; ","")&amp;IF(AND(K1732="Accept suggestion",N(G1732)&lt;$G$2),"Below your threshold; ","")&amp;IF(AND(M1732&lt;&gt;"",M1732=A1732,K1732&lt;&gt;"No change (same URL)"),"Redirects to itself; ","")&amp;IF(AND(M1732&lt;&gt;"",OR(M1732="/",AND(LEFT(M1732,4)="http",OR((LEN(M1732)-LEN(SUBSTITUTE(M1732,"/","")))=2,AND((LEN(M1732)-LEN(SUBSTITUTE(M1732,"/","")))=3,RIGHT(M1732,1)="/"))))),"Home page redirect; ","")&amp;IF(N(R1732)&gt;1,"Chain; ","")&amp;IF(S1732="No","Destination not 200; ","")))</f>
        <v/>
      </c>
      <c r="U1732" s="22" t="n"/>
      <c r="V1732" s="22" t="n"/>
      <c r="W1732" s="4" t="n"/>
    </row>
    <row r="1733">
      <c r="A1733" s="22" t="n"/>
      <c r="B1733" s="22" t="n"/>
      <c r="C1733" s="22" t="n"/>
      <c r="D1733" s="22">
        <f>IF(A1733="","",IF(OR(N(B1733)&gt;=$C$2,N(C1733)&gt;=$E$2),"High",IF(OR(N(B1733)&gt;0,N(C1733)&gt;0),"Medium","Low")))</f>
        <v/>
      </c>
      <c r="E1733" s="22" t="n"/>
      <c r="F1733" s="22" t="n"/>
      <c r="G1733" s="22" t="n"/>
      <c r="H1733" s="22" t="n"/>
      <c r="I1733" s="22" t="n"/>
      <c r="J1733" s="22" t="n"/>
      <c r="K1733" s="22" t="n"/>
      <c r="L1733" s="22" t="n"/>
      <c r="M1733" s="22">
        <f>IF(K1733="Override",L1733,IF(K1733="Accept suggestion",F1733,IF(K1733="No change (same URL)",A1733,"")))</f>
        <v/>
      </c>
      <c r="N1733" s="22">
        <f>IF(A1733="","",IF(K1733="410 Gone","410",IF(K1733="404","404",IF(K1733="No change (same URL)","none",IF(M1733="","","301")))))</f>
        <v/>
      </c>
      <c r="O1733" s="22">
        <f>IF(A1733="","",IFERROR(MID(A1733,FIND("/",A1733,FIND("//",A1733)+2),2000),A1733))</f>
        <v/>
      </c>
      <c r="P1733" s="22">
        <f>IF(OR(O1733="",N1733="",N1733="none",N1733="404"),"",IF(N1733="410","Redirect gone "&amp;O1733,"Redirect "&amp;N1733&amp;" "&amp;O1733&amp;" "&amp;M1733))</f>
        <v/>
      </c>
      <c r="Q1733" s="22" t="n"/>
      <c r="R1733" s="22" t="n"/>
      <c r="S1733" s="22" t="n"/>
      <c r="T1733" s="4">
        <f>IF(A1733="","",TRIM(IF(K1733="","Needs decision; ","")&amp;IF(AND(K1733="Accept suggestion",F1733=""),"No suggestion to accept; ","")&amp;IF(AND(K1733="Override",L1733=""),"Override URL missing; ","")&amp;IF(AND(K1733="Accept suggestion",N(G1733)&lt;$G$2),"Below your threshold; ","")&amp;IF(AND(M1733&lt;&gt;"",M1733=A1733,K1733&lt;&gt;"No change (same URL)"),"Redirects to itself; ","")&amp;IF(AND(M1733&lt;&gt;"",OR(M1733="/",AND(LEFT(M1733,4)="http",OR((LEN(M1733)-LEN(SUBSTITUTE(M1733,"/","")))=2,AND((LEN(M1733)-LEN(SUBSTITUTE(M1733,"/","")))=3,RIGHT(M1733,1)="/"))))),"Home page redirect; ","")&amp;IF(N(R1733)&gt;1,"Chain; ","")&amp;IF(S1733="No","Destination not 200; ","")))</f>
        <v/>
      </c>
      <c r="U1733" s="22" t="n"/>
      <c r="V1733" s="22" t="n"/>
      <c r="W1733" s="4" t="n"/>
    </row>
    <row r="1734">
      <c r="A1734" s="22" t="n"/>
      <c r="B1734" s="22" t="n"/>
      <c r="C1734" s="22" t="n"/>
      <c r="D1734" s="22">
        <f>IF(A1734="","",IF(OR(N(B1734)&gt;=$C$2,N(C1734)&gt;=$E$2),"High",IF(OR(N(B1734)&gt;0,N(C1734)&gt;0),"Medium","Low")))</f>
        <v/>
      </c>
      <c r="E1734" s="22" t="n"/>
      <c r="F1734" s="22" t="n"/>
      <c r="G1734" s="22" t="n"/>
      <c r="H1734" s="22" t="n"/>
      <c r="I1734" s="22" t="n"/>
      <c r="J1734" s="22" t="n"/>
      <c r="K1734" s="22" t="n"/>
      <c r="L1734" s="22" t="n"/>
      <c r="M1734" s="22">
        <f>IF(K1734="Override",L1734,IF(K1734="Accept suggestion",F1734,IF(K1734="No change (same URL)",A1734,"")))</f>
        <v/>
      </c>
      <c r="N1734" s="22">
        <f>IF(A1734="","",IF(K1734="410 Gone","410",IF(K1734="404","404",IF(K1734="No change (same URL)","none",IF(M1734="","","301")))))</f>
        <v/>
      </c>
      <c r="O1734" s="22">
        <f>IF(A1734="","",IFERROR(MID(A1734,FIND("/",A1734,FIND("//",A1734)+2),2000),A1734))</f>
        <v/>
      </c>
      <c r="P1734" s="22">
        <f>IF(OR(O1734="",N1734="",N1734="none",N1734="404"),"",IF(N1734="410","Redirect gone "&amp;O1734,"Redirect "&amp;N1734&amp;" "&amp;O1734&amp;" "&amp;M1734))</f>
        <v/>
      </c>
      <c r="Q1734" s="22" t="n"/>
      <c r="R1734" s="22" t="n"/>
      <c r="S1734" s="22" t="n"/>
      <c r="T1734" s="4">
        <f>IF(A1734="","",TRIM(IF(K1734="","Needs decision; ","")&amp;IF(AND(K1734="Accept suggestion",F1734=""),"No suggestion to accept; ","")&amp;IF(AND(K1734="Override",L1734=""),"Override URL missing; ","")&amp;IF(AND(K1734="Accept suggestion",N(G1734)&lt;$G$2),"Below your threshold; ","")&amp;IF(AND(M1734&lt;&gt;"",M1734=A1734,K1734&lt;&gt;"No change (same URL)"),"Redirects to itself; ","")&amp;IF(AND(M1734&lt;&gt;"",OR(M1734="/",AND(LEFT(M1734,4)="http",OR((LEN(M1734)-LEN(SUBSTITUTE(M1734,"/","")))=2,AND((LEN(M1734)-LEN(SUBSTITUTE(M1734,"/","")))=3,RIGHT(M1734,1)="/"))))),"Home page redirect; ","")&amp;IF(N(R1734)&gt;1,"Chain; ","")&amp;IF(S1734="No","Destination not 200; ","")))</f>
        <v/>
      </c>
      <c r="U1734" s="22" t="n"/>
      <c r="V1734" s="22" t="n"/>
      <c r="W1734" s="4" t="n"/>
    </row>
    <row r="1735">
      <c r="A1735" s="22" t="n"/>
      <c r="B1735" s="22" t="n"/>
      <c r="C1735" s="22" t="n"/>
      <c r="D1735" s="22">
        <f>IF(A1735="","",IF(OR(N(B1735)&gt;=$C$2,N(C1735)&gt;=$E$2),"High",IF(OR(N(B1735)&gt;0,N(C1735)&gt;0),"Medium","Low")))</f>
        <v/>
      </c>
      <c r="E1735" s="22" t="n"/>
      <c r="F1735" s="22" t="n"/>
      <c r="G1735" s="22" t="n"/>
      <c r="H1735" s="22" t="n"/>
      <c r="I1735" s="22" t="n"/>
      <c r="J1735" s="22" t="n"/>
      <c r="K1735" s="22" t="n"/>
      <c r="L1735" s="22" t="n"/>
      <c r="M1735" s="22">
        <f>IF(K1735="Override",L1735,IF(K1735="Accept suggestion",F1735,IF(K1735="No change (same URL)",A1735,"")))</f>
        <v/>
      </c>
      <c r="N1735" s="22">
        <f>IF(A1735="","",IF(K1735="410 Gone","410",IF(K1735="404","404",IF(K1735="No change (same URL)","none",IF(M1735="","","301")))))</f>
        <v/>
      </c>
      <c r="O1735" s="22">
        <f>IF(A1735="","",IFERROR(MID(A1735,FIND("/",A1735,FIND("//",A1735)+2),2000),A1735))</f>
        <v/>
      </c>
      <c r="P1735" s="22">
        <f>IF(OR(O1735="",N1735="",N1735="none",N1735="404"),"",IF(N1735="410","Redirect gone "&amp;O1735,"Redirect "&amp;N1735&amp;" "&amp;O1735&amp;" "&amp;M1735))</f>
        <v/>
      </c>
      <c r="Q1735" s="22" t="n"/>
      <c r="R1735" s="22" t="n"/>
      <c r="S1735" s="22" t="n"/>
      <c r="T1735" s="4">
        <f>IF(A1735="","",TRIM(IF(K1735="","Needs decision; ","")&amp;IF(AND(K1735="Accept suggestion",F1735=""),"No suggestion to accept; ","")&amp;IF(AND(K1735="Override",L1735=""),"Override URL missing; ","")&amp;IF(AND(K1735="Accept suggestion",N(G1735)&lt;$G$2),"Below your threshold; ","")&amp;IF(AND(M1735&lt;&gt;"",M1735=A1735,K1735&lt;&gt;"No change (same URL)"),"Redirects to itself; ","")&amp;IF(AND(M1735&lt;&gt;"",OR(M1735="/",AND(LEFT(M1735,4)="http",OR((LEN(M1735)-LEN(SUBSTITUTE(M1735,"/","")))=2,AND((LEN(M1735)-LEN(SUBSTITUTE(M1735,"/","")))=3,RIGHT(M1735,1)="/"))))),"Home page redirect; ","")&amp;IF(N(R1735)&gt;1,"Chain; ","")&amp;IF(S1735="No","Destination not 200; ","")))</f>
        <v/>
      </c>
      <c r="U1735" s="22" t="n"/>
      <c r="V1735" s="22" t="n"/>
      <c r="W1735" s="4" t="n"/>
    </row>
    <row r="1736">
      <c r="A1736" s="22" t="n"/>
      <c r="B1736" s="22" t="n"/>
      <c r="C1736" s="22" t="n"/>
      <c r="D1736" s="22">
        <f>IF(A1736="","",IF(OR(N(B1736)&gt;=$C$2,N(C1736)&gt;=$E$2),"High",IF(OR(N(B1736)&gt;0,N(C1736)&gt;0),"Medium","Low")))</f>
        <v/>
      </c>
      <c r="E1736" s="22" t="n"/>
      <c r="F1736" s="22" t="n"/>
      <c r="G1736" s="22" t="n"/>
      <c r="H1736" s="22" t="n"/>
      <c r="I1736" s="22" t="n"/>
      <c r="J1736" s="22" t="n"/>
      <c r="K1736" s="22" t="n"/>
      <c r="L1736" s="22" t="n"/>
      <c r="M1736" s="22">
        <f>IF(K1736="Override",L1736,IF(K1736="Accept suggestion",F1736,IF(K1736="No change (same URL)",A1736,"")))</f>
        <v/>
      </c>
      <c r="N1736" s="22">
        <f>IF(A1736="","",IF(K1736="410 Gone","410",IF(K1736="404","404",IF(K1736="No change (same URL)","none",IF(M1736="","","301")))))</f>
        <v/>
      </c>
      <c r="O1736" s="22">
        <f>IF(A1736="","",IFERROR(MID(A1736,FIND("/",A1736,FIND("//",A1736)+2),2000),A1736))</f>
        <v/>
      </c>
      <c r="P1736" s="22">
        <f>IF(OR(O1736="",N1736="",N1736="none",N1736="404"),"",IF(N1736="410","Redirect gone "&amp;O1736,"Redirect "&amp;N1736&amp;" "&amp;O1736&amp;" "&amp;M1736))</f>
        <v/>
      </c>
      <c r="Q1736" s="22" t="n"/>
      <c r="R1736" s="22" t="n"/>
      <c r="S1736" s="22" t="n"/>
      <c r="T1736" s="4">
        <f>IF(A1736="","",TRIM(IF(K1736="","Needs decision; ","")&amp;IF(AND(K1736="Accept suggestion",F1736=""),"No suggestion to accept; ","")&amp;IF(AND(K1736="Override",L1736=""),"Override URL missing; ","")&amp;IF(AND(K1736="Accept suggestion",N(G1736)&lt;$G$2),"Below your threshold; ","")&amp;IF(AND(M1736&lt;&gt;"",M1736=A1736,K1736&lt;&gt;"No change (same URL)"),"Redirects to itself; ","")&amp;IF(AND(M1736&lt;&gt;"",OR(M1736="/",AND(LEFT(M1736,4)="http",OR((LEN(M1736)-LEN(SUBSTITUTE(M1736,"/","")))=2,AND((LEN(M1736)-LEN(SUBSTITUTE(M1736,"/","")))=3,RIGHT(M1736,1)="/"))))),"Home page redirect; ","")&amp;IF(N(R1736)&gt;1,"Chain; ","")&amp;IF(S1736="No","Destination not 200; ","")))</f>
        <v/>
      </c>
      <c r="U1736" s="22" t="n"/>
      <c r="V1736" s="22" t="n"/>
      <c r="W1736" s="4" t="n"/>
    </row>
    <row r="1737">
      <c r="A1737" s="22" t="n"/>
      <c r="B1737" s="22" t="n"/>
      <c r="C1737" s="22" t="n"/>
      <c r="D1737" s="22">
        <f>IF(A1737="","",IF(OR(N(B1737)&gt;=$C$2,N(C1737)&gt;=$E$2),"High",IF(OR(N(B1737)&gt;0,N(C1737)&gt;0),"Medium","Low")))</f>
        <v/>
      </c>
      <c r="E1737" s="22" t="n"/>
      <c r="F1737" s="22" t="n"/>
      <c r="G1737" s="22" t="n"/>
      <c r="H1737" s="22" t="n"/>
      <c r="I1737" s="22" t="n"/>
      <c r="J1737" s="22" t="n"/>
      <c r="K1737" s="22" t="n"/>
      <c r="L1737" s="22" t="n"/>
      <c r="M1737" s="22">
        <f>IF(K1737="Override",L1737,IF(K1737="Accept suggestion",F1737,IF(K1737="No change (same URL)",A1737,"")))</f>
        <v/>
      </c>
      <c r="N1737" s="22">
        <f>IF(A1737="","",IF(K1737="410 Gone","410",IF(K1737="404","404",IF(K1737="No change (same URL)","none",IF(M1737="","","301")))))</f>
        <v/>
      </c>
      <c r="O1737" s="22">
        <f>IF(A1737="","",IFERROR(MID(A1737,FIND("/",A1737,FIND("//",A1737)+2),2000),A1737))</f>
        <v/>
      </c>
      <c r="P1737" s="22">
        <f>IF(OR(O1737="",N1737="",N1737="none",N1737="404"),"",IF(N1737="410","Redirect gone "&amp;O1737,"Redirect "&amp;N1737&amp;" "&amp;O1737&amp;" "&amp;M1737))</f>
        <v/>
      </c>
      <c r="Q1737" s="22" t="n"/>
      <c r="R1737" s="22" t="n"/>
      <c r="S1737" s="22" t="n"/>
      <c r="T1737" s="4">
        <f>IF(A1737="","",TRIM(IF(K1737="","Needs decision; ","")&amp;IF(AND(K1737="Accept suggestion",F1737=""),"No suggestion to accept; ","")&amp;IF(AND(K1737="Override",L1737=""),"Override URL missing; ","")&amp;IF(AND(K1737="Accept suggestion",N(G1737)&lt;$G$2),"Below your threshold; ","")&amp;IF(AND(M1737&lt;&gt;"",M1737=A1737,K1737&lt;&gt;"No change (same URL)"),"Redirects to itself; ","")&amp;IF(AND(M1737&lt;&gt;"",OR(M1737="/",AND(LEFT(M1737,4)="http",OR((LEN(M1737)-LEN(SUBSTITUTE(M1737,"/","")))=2,AND((LEN(M1737)-LEN(SUBSTITUTE(M1737,"/","")))=3,RIGHT(M1737,1)="/"))))),"Home page redirect; ","")&amp;IF(N(R1737)&gt;1,"Chain; ","")&amp;IF(S1737="No","Destination not 200; ","")))</f>
        <v/>
      </c>
      <c r="U1737" s="22" t="n"/>
      <c r="V1737" s="22" t="n"/>
      <c r="W1737" s="4" t="n"/>
    </row>
    <row r="1738">
      <c r="A1738" s="22" t="n"/>
      <c r="B1738" s="22" t="n"/>
      <c r="C1738" s="22" t="n"/>
      <c r="D1738" s="22">
        <f>IF(A1738="","",IF(OR(N(B1738)&gt;=$C$2,N(C1738)&gt;=$E$2),"High",IF(OR(N(B1738)&gt;0,N(C1738)&gt;0),"Medium","Low")))</f>
        <v/>
      </c>
      <c r="E1738" s="22" t="n"/>
      <c r="F1738" s="22" t="n"/>
      <c r="G1738" s="22" t="n"/>
      <c r="H1738" s="22" t="n"/>
      <c r="I1738" s="22" t="n"/>
      <c r="J1738" s="22" t="n"/>
      <c r="K1738" s="22" t="n"/>
      <c r="L1738" s="22" t="n"/>
      <c r="M1738" s="22">
        <f>IF(K1738="Override",L1738,IF(K1738="Accept suggestion",F1738,IF(K1738="No change (same URL)",A1738,"")))</f>
        <v/>
      </c>
      <c r="N1738" s="22">
        <f>IF(A1738="","",IF(K1738="410 Gone","410",IF(K1738="404","404",IF(K1738="No change (same URL)","none",IF(M1738="","","301")))))</f>
        <v/>
      </c>
      <c r="O1738" s="22">
        <f>IF(A1738="","",IFERROR(MID(A1738,FIND("/",A1738,FIND("//",A1738)+2),2000),A1738))</f>
        <v/>
      </c>
      <c r="P1738" s="22">
        <f>IF(OR(O1738="",N1738="",N1738="none",N1738="404"),"",IF(N1738="410","Redirect gone "&amp;O1738,"Redirect "&amp;N1738&amp;" "&amp;O1738&amp;" "&amp;M1738))</f>
        <v/>
      </c>
      <c r="Q1738" s="22" t="n"/>
      <c r="R1738" s="22" t="n"/>
      <c r="S1738" s="22" t="n"/>
      <c r="T1738" s="4">
        <f>IF(A1738="","",TRIM(IF(K1738="","Needs decision; ","")&amp;IF(AND(K1738="Accept suggestion",F1738=""),"No suggestion to accept; ","")&amp;IF(AND(K1738="Override",L1738=""),"Override URL missing; ","")&amp;IF(AND(K1738="Accept suggestion",N(G1738)&lt;$G$2),"Below your threshold; ","")&amp;IF(AND(M1738&lt;&gt;"",M1738=A1738,K1738&lt;&gt;"No change (same URL)"),"Redirects to itself; ","")&amp;IF(AND(M1738&lt;&gt;"",OR(M1738="/",AND(LEFT(M1738,4)="http",OR((LEN(M1738)-LEN(SUBSTITUTE(M1738,"/","")))=2,AND((LEN(M1738)-LEN(SUBSTITUTE(M1738,"/","")))=3,RIGHT(M1738,1)="/"))))),"Home page redirect; ","")&amp;IF(N(R1738)&gt;1,"Chain; ","")&amp;IF(S1738="No","Destination not 200; ","")))</f>
        <v/>
      </c>
      <c r="U1738" s="22" t="n"/>
      <c r="V1738" s="22" t="n"/>
      <c r="W1738" s="4" t="n"/>
    </row>
    <row r="1739">
      <c r="A1739" s="22" t="n"/>
      <c r="B1739" s="22" t="n"/>
      <c r="C1739" s="22" t="n"/>
      <c r="D1739" s="22">
        <f>IF(A1739="","",IF(OR(N(B1739)&gt;=$C$2,N(C1739)&gt;=$E$2),"High",IF(OR(N(B1739)&gt;0,N(C1739)&gt;0),"Medium","Low")))</f>
        <v/>
      </c>
      <c r="E1739" s="22" t="n"/>
      <c r="F1739" s="22" t="n"/>
      <c r="G1739" s="22" t="n"/>
      <c r="H1739" s="22" t="n"/>
      <c r="I1739" s="22" t="n"/>
      <c r="J1739" s="22" t="n"/>
      <c r="K1739" s="22" t="n"/>
      <c r="L1739" s="22" t="n"/>
      <c r="M1739" s="22">
        <f>IF(K1739="Override",L1739,IF(K1739="Accept suggestion",F1739,IF(K1739="No change (same URL)",A1739,"")))</f>
        <v/>
      </c>
      <c r="N1739" s="22">
        <f>IF(A1739="","",IF(K1739="410 Gone","410",IF(K1739="404","404",IF(K1739="No change (same URL)","none",IF(M1739="","","301")))))</f>
        <v/>
      </c>
      <c r="O1739" s="22">
        <f>IF(A1739="","",IFERROR(MID(A1739,FIND("/",A1739,FIND("//",A1739)+2),2000),A1739))</f>
        <v/>
      </c>
      <c r="P1739" s="22">
        <f>IF(OR(O1739="",N1739="",N1739="none",N1739="404"),"",IF(N1739="410","Redirect gone "&amp;O1739,"Redirect "&amp;N1739&amp;" "&amp;O1739&amp;" "&amp;M1739))</f>
        <v/>
      </c>
      <c r="Q1739" s="22" t="n"/>
      <c r="R1739" s="22" t="n"/>
      <c r="S1739" s="22" t="n"/>
      <c r="T1739" s="4">
        <f>IF(A1739="","",TRIM(IF(K1739="","Needs decision; ","")&amp;IF(AND(K1739="Accept suggestion",F1739=""),"No suggestion to accept; ","")&amp;IF(AND(K1739="Override",L1739=""),"Override URL missing; ","")&amp;IF(AND(K1739="Accept suggestion",N(G1739)&lt;$G$2),"Below your threshold; ","")&amp;IF(AND(M1739&lt;&gt;"",M1739=A1739,K1739&lt;&gt;"No change (same URL)"),"Redirects to itself; ","")&amp;IF(AND(M1739&lt;&gt;"",OR(M1739="/",AND(LEFT(M1739,4)="http",OR((LEN(M1739)-LEN(SUBSTITUTE(M1739,"/","")))=2,AND((LEN(M1739)-LEN(SUBSTITUTE(M1739,"/","")))=3,RIGHT(M1739,1)="/"))))),"Home page redirect; ","")&amp;IF(N(R1739)&gt;1,"Chain; ","")&amp;IF(S1739="No","Destination not 200; ","")))</f>
        <v/>
      </c>
      <c r="U1739" s="22" t="n"/>
      <c r="V1739" s="22" t="n"/>
      <c r="W1739" s="4" t="n"/>
    </row>
    <row r="1740">
      <c r="A1740" s="22" t="n"/>
      <c r="B1740" s="22" t="n"/>
      <c r="C1740" s="22" t="n"/>
      <c r="D1740" s="22">
        <f>IF(A1740="","",IF(OR(N(B1740)&gt;=$C$2,N(C1740)&gt;=$E$2),"High",IF(OR(N(B1740)&gt;0,N(C1740)&gt;0),"Medium","Low")))</f>
        <v/>
      </c>
      <c r="E1740" s="22" t="n"/>
      <c r="F1740" s="22" t="n"/>
      <c r="G1740" s="22" t="n"/>
      <c r="H1740" s="22" t="n"/>
      <c r="I1740" s="22" t="n"/>
      <c r="J1740" s="22" t="n"/>
      <c r="K1740" s="22" t="n"/>
      <c r="L1740" s="22" t="n"/>
      <c r="M1740" s="22">
        <f>IF(K1740="Override",L1740,IF(K1740="Accept suggestion",F1740,IF(K1740="No change (same URL)",A1740,"")))</f>
        <v/>
      </c>
      <c r="N1740" s="22">
        <f>IF(A1740="","",IF(K1740="410 Gone","410",IF(K1740="404","404",IF(K1740="No change (same URL)","none",IF(M1740="","","301")))))</f>
        <v/>
      </c>
      <c r="O1740" s="22">
        <f>IF(A1740="","",IFERROR(MID(A1740,FIND("/",A1740,FIND("//",A1740)+2),2000),A1740))</f>
        <v/>
      </c>
      <c r="P1740" s="22">
        <f>IF(OR(O1740="",N1740="",N1740="none",N1740="404"),"",IF(N1740="410","Redirect gone "&amp;O1740,"Redirect "&amp;N1740&amp;" "&amp;O1740&amp;" "&amp;M1740))</f>
        <v/>
      </c>
      <c r="Q1740" s="22" t="n"/>
      <c r="R1740" s="22" t="n"/>
      <c r="S1740" s="22" t="n"/>
      <c r="T1740" s="4">
        <f>IF(A1740="","",TRIM(IF(K1740="","Needs decision; ","")&amp;IF(AND(K1740="Accept suggestion",F1740=""),"No suggestion to accept; ","")&amp;IF(AND(K1740="Override",L1740=""),"Override URL missing; ","")&amp;IF(AND(K1740="Accept suggestion",N(G1740)&lt;$G$2),"Below your threshold; ","")&amp;IF(AND(M1740&lt;&gt;"",M1740=A1740,K1740&lt;&gt;"No change (same URL)"),"Redirects to itself; ","")&amp;IF(AND(M1740&lt;&gt;"",OR(M1740="/",AND(LEFT(M1740,4)="http",OR((LEN(M1740)-LEN(SUBSTITUTE(M1740,"/","")))=2,AND((LEN(M1740)-LEN(SUBSTITUTE(M1740,"/","")))=3,RIGHT(M1740,1)="/"))))),"Home page redirect; ","")&amp;IF(N(R1740)&gt;1,"Chain; ","")&amp;IF(S1740="No","Destination not 200; ","")))</f>
        <v/>
      </c>
      <c r="U1740" s="22" t="n"/>
      <c r="V1740" s="22" t="n"/>
      <c r="W1740" s="4" t="n"/>
    </row>
    <row r="1741">
      <c r="A1741" s="22" t="n"/>
      <c r="B1741" s="22" t="n"/>
      <c r="C1741" s="22" t="n"/>
      <c r="D1741" s="22">
        <f>IF(A1741="","",IF(OR(N(B1741)&gt;=$C$2,N(C1741)&gt;=$E$2),"High",IF(OR(N(B1741)&gt;0,N(C1741)&gt;0),"Medium","Low")))</f>
        <v/>
      </c>
      <c r="E1741" s="22" t="n"/>
      <c r="F1741" s="22" t="n"/>
      <c r="G1741" s="22" t="n"/>
      <c r="H1741" s="22" t="n"/>
      <c r="I1741" s="22" t="n"/>
      <c r="J1741" s="22" t="n"/>
      <c r="K1741" s="22" t="n"/>
      <c r="L1741" s="22" t="n"/>
      <c r="M1741" s="22">
        <f>IF(K1741="Override",L1741,IF(K1741="Accept suggestion",F1741,IF(K1741="No change (same URL)",A1741,"")))</f>
        <v/>
      </c>
      <c r="N1741" s="22">
        <f>IF(A1741="","",IF(K1741="410 Gone","410",IF(K1741="404","404",IF(K1741="No change (same URL)","none",IF(M1741="","","301")))))</f>
        <v/>
      </c>
      <c r="O1741" s="22">
        <f>IF(A1741="","",IFERROR(MID(A1741,FIND("/",A1741,FIND("//",A1741)+2),2000),A1741))</f>
        <v/>
      </c>
      <c r="P1741" s="22">
        <f>IF(OR(O1741="",N1741="",N1741="none",N1741="404"),"",IF(N1741="410","Redirect gone "&amp;O1741,"Redirect "&amp;N1741&amp;" "&amp;O1741&amp;" "&amp;M1741))</f>
        <v/>
      </c>
      <c r="Q1741" s="22" t="n"/>
      <c r="R1741" s="22" t="n"/>
      <c r="S1741" s="22" t="n"/>
      <c r="T1741" s="4">
        <f>IF(A1741="","",TRIM(IF(K1741="","Needs decision; ","")&amp;IF(AND(K1741="Accept suggestion",F1741=""),"No suggestion to accept; ","")&amp;IF(AND(K1741="Override",L1741=""),"Override URL missing; ","")&amp;IF(AND(K1741="Accept suggestion",N(G1741)&lt;$G$2),"Below your threshold; ","")&amp;IF(AND(M1741&lt;&gt;"",M1741=A1741,K1741&lt;&gt;"No change (same URL)"),"Redirects to itself; ","")&amp;IF(AND(M1741&lt;&gt;"",OR(M1741="/",AND(LEFT(M1741,4)="http",OR((LEN(M1741)-LEN(SUBSTITUTE(M1741,"/","")))=2,AND((LEN(M1741)-LEN(SUBSTITUTE(M1741,"/","")))=3,RIGHT(M1741,1)="/"))))),"Home page redirect; ","")&amp;IF(N(R1741)&gt;1,"Chain; ","")&amp;IF(S1741="No","Destination not 200; ","")))</f>
        <v/>
      </c>
      <c r="U1741" s="22" t="n"/>
      <c r="V1741" s="22" t="n"/>
      <c r="W1741" s="4" t="n"/>
    </row>
    <row r="1742">
      <c r="A1742" s="22" t="n"/>
      <c r="B1742" s="22" t="n"/>
      <c r="C1742" s="22" t="n"/>
      <c r="D1742" s="22">
        <f>IF(A1742="","",IF(OR(N(B1742)&gt;=$C$2,N(C1742)&gt;=$E$2),"High",IF(OR(N(B1742)&gt;0,N(C1742)&gt;0),"Medium","Low")))</f>
        <v/>
      </c>
      <c r="E1742" s="22" t="n"/>
      <c r="F1742" s="22" t="n"/>
      <c r="G1742" s="22" t="n"/>
      <c r="H1742" s="22" t="n"/>
      <c r="I1742" s="22" t="n"/>
      <c r="J1742" s="22" t="n"/>
      <c r="K1742" s="22" t="n"/>
      <c r="L1742" s="22" t="n"/>
      <c r="M1742" s="22">
        <f>IF(K1742="Override",L1742,IF(K1742="Accept suggestion",F1742,IF(K1742="No change (same URL)",A1742,"")))</f>
        <v/>
      </c>
      <c r="N1742" s="22">
        <f>IF(A1742="","",IF(K1742="410 Gone","410",IF(K1742="404","404",IF(K1742="No change (same URL)","none",IF(M1742="","","301")))))</f>
        <v/>
      </c>
      <c r="O1742" s="22">
        <f>IF(A1742="","",IFERROR(MID(A1742,FIND("/",A1742,FIND("//",A1742)+2),2000),A1742))</f>
        <v/>
      </c>
      <c r="P1742" s="22">
        <f>IF(OR(O1742="",N1742="",N1742="none",N1742="404"),"",IF(N1742="410","Redirect gone "&amp;O1742,"Redirect "&amp;N1742&amp;" "&amp;O1742&amp;" "&amp;M1742))</f>
        <v/>
      </c>
      <c r="Q1742" s="22" t="n"/>
      <c r="R1742" s="22" t="n"/>
      <c r="S1742" s="22" t="n"/>
      <c r="T1742" s="4">
        <f>IF(A1742="","",TRIM(IF(K1742="","Needs decision; ","")&amp;IF(AND(K1742="Accept suggestion",F1742=""),"No suggestion to accept; ","")&amp;IF(AND(K1742="Override",L1742=""),"Override URL missing; ","")&amp;IF(AND(K1742="Accept suggestion",N(G1742)&lt;$G$2),"Below your threshold; ","")&amp;IF(AND(M1742&lt;&gt;"",M1742=A1742,K1742&lt;&gt;"No change (same URL)"),"Redirects to itself; ","")&amp;IF(AND(M1742&lt;&gt;"",OR(M1742="/",AND(LEFT(M1742,4)="http",OR((LEN(M1742)-LEN(SUBSTITUTE(M1742,"/","")))=2,AND((LEN(M1742)-LEN(SUBSTITUTE(M1742,"/","")))=3,RIGHT(M1742,1)="/"))))),"Home page redirect; ","")&amp;IF(N(R1742)&gt;1,"Chain; ","")&amp;IF(S1742="No","Destination not 200; ","")))</f>
        <v/>
      </c>
      <c r="U1742" s="22" t="n"/>
      <c r="V1742" s="22" t="n"/>
      <c r="W1742" s="4" t="n"/>
    </row>
    <row r="1743">
      <c r="A1743" s="22" t="n"/>
      <c r="B1743" s="22" t="n"/>
      <c r="C1743" s="22" t="n"/>
      <c r="D1743" s="22">
        <f>IF(A1743="","",IF(OR(N(B1743)&gt;=$C$2,N(C1743)&gt;=$E$2),"High",IF(OR(N(B1743)&gt;0,N(C1743)&gt;0),"Medium","Low")))</f>
        <v/>
      </c>
      <c r="E1743" s="22" t="n"/>
      <c r="F1743" s="22" t="n"/>
      <c r="G1743" s="22" t="n"/>
      <c r="H1743" s="22" t="n"/>
      <c r="I1743" s="22" t="n"/>
      <c r="J1743" s="22" t="n"/>
      <c r="K1743" s="22" t="n"/>
      <c r="L1743" s="22" t="n"/>
      <c r="M1743" s="22">
        <f>IF(K1743="Override",L1743,IF(K1743="Accept suggestion",F1743,IF(K1743="No change (same URL)",A1743,"")))</f>
        <v/>
      </c>
      <c r="N1743" s="22">
        <f>IF(A1743="","",IF(K1743="410 Gone","410",IF(K1743="404","404",IF(K1743="No change (same URL)","none",IF(M1743="","","301")))))</f>
        <v/>
      </c>
      <c r="O1743" s="22">
        <f>IF(A1743="","",IFERROR(MID(A1743,FIND("/",A1743,FIND("//",A1743)+2),2000),A1743))</f>
        <v/>
      </c>
      <c r="P1743" s="22">
        <f>IF(OR(O1743="",N1743="",N1743="none",N1743="404"),"",IF(N1743="410","Redirect gone "&amp;O1743,"Redirect "&amp;N1743&amp;" "&amp;O1743&amp;" "&amp;M1743))</f>
        <v/>
      </c>
      <c r="Q1743" s="22" t="n"/>
      <c r="R1743" s="22" t="n"/>
      <c r="S1743" s="22" t="n"/>
      <c r="T1743" s="4">
        <f>IF(A1743="","",TRIM(IF(K1743="","Needs decision; ","")&amp;IF(AND(K1743="Accept suggestion",F1743=""),"No suggestion to accept; ","")&amp;IF(AND(K1743="Override",L1743=""),"Override URL missing; ","")&amp;IF(AND(K1743="Accept suggestion",N(G1743)&lt;$G$2),"Below your threshold; ","")&amp;IF(AND(M1743&lt;&gt;"",M1743=A1743,K1743&lt;&gt;"No change (same URL)"),"Redirects to itself; ","")&amp;IF(AND(M1743&lt;&gt;"",OR(M1743="/",AND(LEFT(M1743,4)="http",OR((LEN(M1743)-LEN(SUBSTITUTE(M1743,"/","")))=2,AND((LEN(M1743)-LEN(SUBSTITUTE(M1743,"/","")))=3,RIGHT(M1743,1)="/"))))),"Home page redirect; ","")&amp;IF(N(R1743)&gt;1,"Chain; ","")&amp;IF(S1743="No","Destination not 200; ","")))</f>
        <v/>
      </c>
      <c r="U1743" s="22" t="n"/>
      <c r="V1743" s="22" t="n"/>
      <c r="W1743" s="4" t="n"/>
    </row>
    <row r="1744">
      <c r="A1744" s="22" t="n"/>
      <c r="B1744" s="22" t="n"/>
      <c r="C1744" s="22" t="n"/>
      <c r="D1744" s="22">
        <f>IF(A1744="","",IF(OR(N(B1744)&gt;=$C$2,N(C1744)&gt;=$E$2),"High",IF(OR(N(B1744)&gt;0,N(C1744)&gt;0),"Medium","Low")))</f>
        <v/>
      </c>
      <c r="E1744" s="22" t="n"/>
      <c r="F1744" s="22" t="n"/>
      <c r="G1744" s="22" t="n"/>
      <c r="H1744" s="22" t="n"/>
      <c r="I1744" s="22" t="n"/>
      <c r="J1744" s="22" t="n"/>
      <c r="K1744" s="22" t="n"/>
      <c r="L1744" s="22" t="n"/>
      <c r="M1744" s="22">
        <f>IF(K1744="Override",L1744,IF(K1744="Accept suggestion",F1744,IF(K1744="No change (same URL)",A1744,"")))</f>
        <v/>
      </c>
      <c r="N1744" s="22">
        <f>IF(A1744="","",IF(K1744="410 Gone","410",IF(K1744="404","404",IF(K1744="No change (same URL)","none",IF(M1744="","","301")))))</f>
        <v/>
      </c>
      <c r="O1744" s="22">
        <f>IF(A1744="","",IFERROR(MID(A1744,FIND("/",A1744,FIND("//",A1744)+2),2000),A1744))</f>
        <v/>
      </c>
      <c r="P1744" s="22">
        <f>IF(OR(O1744="",N1744="",N1744="none",N1744="404"),"",IF(N1744="410","Redirect gone "&amp;O1744,"Redirect "&amp;N1744&amp;" "&amp;O1744&amp;" "&amp;M1744))</f>
        <v/>
      </c>
      <c r="Q1744" s="22" t="n"/>
      <c r="R1744" s="22" t="n"/>
      <c r="S1744" s="22" t="n"/>
      <c r="T1744" s="4">
        <f>IF(A1744="","",TRIM(IF(K1744="","Needs decision; ","")&amp;IF(AND(K1744="Accept suggestion",F1744=""),"No suggestion to accept; ","")&amp;IF(AND(K1744="Override",L1744=""),"Override URL missing; ","")&amp;IF(AND(K1744="Accept suggestion",N(G1744)&lt;$G$2),"Below your threshold; ","")&amp;IF(AND(M1744&lt;&gt;"",M1744=A1744,K1744&lt;&gt;"No change (same URL)"),"Redirects to itself; ","")&amp;IF(AND(M1744&lt;&gt;"",OR(M1744="/",AND(LEFT(M1744,4)="http",OR((LEN(M1744)-LEN(SUBSTITUTE(M1744,"/","")))=2,AND((LEN(M1744)-LEN(SUBSTITUTE(M1744,"/","")))=3,RIGHT(M1744,1)="/"))))),"Home page redirect; ","")&amp;IF(N(R1744)&gt;1,"Chain; ","")&amp;IF(S1744="No","Destination not 200; ","")))</f>
        <v/>
      </c>
      <c r="U1744" s="22" t="n"/>
      <c r="V1744" s="22" t="n"/>
      <c r="W1744" s="4" t="n"/>
    </row>
    <row r="1745">
      <c r="A1745" s="22" t="n"/>
      <c r="B1745" s="22" t="n"/>
      <c r="C1745" s="22" t="n"/>
      <c r="D1745" s="22">
        <f>IF(A1745="","",IF(OR(N(B1745)&gt;=$C$2,N(C1745)&gt;=$E$2),"High",IF(OR(N(B1745)&gt;0,N(C1745)&gt;0),"Medium","Low")))</f>
        <v/>
      </c>
      <c r="E1745" s="22" t="n"/>
      <c r="F1745" s="22" t="n"/>
      <c r="G1745" s="22" t="n"/>
      <c r="H1745" s="22" t="n"/>
      <c r="I1745" s="22" t="n"/>
      <c r="J1745" s="22" t="n"/>
      <c r="K1745" s="22" t="n"/>
      <c r="L1745" s="22" t="n"/>
      <c r="M1745" s="22">
        <f>IF(K1745="Override",L1745,IF(K1745="Accept suggestion",F1745,IF(K1745="No change (same URL)",A1745,"")))</f>
        <v/>
      </c>
      <c r="N1745" s="22">
        <f>IF(A1745="","",IF(K1745="410 Gone","410",IF(K1745="404","404",IF(K1745="No change (same URL)","none",IF(M1745="","","301")))))</f>
        <v/>
      </c>
      <c r="O1745" s="22">
        <f>IF(A1745="","",IFERROR(MID(A1745,FIND("/",A1745,FIND("//",A1745)+2),2000),A1745))</f>
        <v/>
      </c>
      <c r="P1745" s="22">
        <f>IF(OR(O1745="",N1745="",N1745="none",N1745="404"),"",IF(N1745="410","Redirect gone "&amp;O1745,"Redirect "&amp;N1745&amp;" "&amp;O1745&amp;" "&amp;M1745))</f>
        <v/>
      </c>
      <c r="Q1745" s="22" t="n"/>
      <c r="R1745" s="22" t="n"/>
      <c r="S1745" s="22" t="n"/>
      <c r="T1745" s="4">
        <f>IF(A1745="","",TRIM(IF(K1745="","Needs decision; ","")&amp;IF(AND(K1745="Accept suggestion",F1745=""),"No suggestion to accept; ","")&amp;IF(AND(K1745="Override",L1745=""),"Override URL missing; ","")&amp;IF(AND(K1745="Accept suggestion",N(G1745)&lt;$G$2),"Below your threshold; ","")&amp;IF(AND(M1745&lt;&gt;"",M1745=A1745,K1745&lt;&gt;"No change (same URL)"),"Redirects to itself; ","")&amp;IF(AND(M1745&lt;&gt;"",OR(M1745="/",AND(LEFT(M1745,4)="http",OR((LEN(M1745)-LEN(SUBSTITUTE(M1745,"/","")))=2,AND((LEN(M1745)-LEN(SUBSTITUTE(M1745,"/","")))=3,RIGHT(M1745,1)="/"))))),"Home page redirect; ","")&amp;IF(N(R1745)&gt;1,"Chain; ","")&amp;IF(S1745="No","Destination not 200; ","")))</f>
        <v/>
      </c>
      <c r="U1745" s="22" t="n"/>
      <c r="V1745" s="22" t="n"/>
      <c r="W1745" s="4" t="n"/>
    </row>
    <row r="1746">
      <c r="A1746" s="22" t="n"/>
      <c r="B1746" s="22" t="n"/>
      <c r="C1746" s="22" t="n"/>
      <c r="D1746" s="22">
        <f>IF(A1746="","",IF(OR(N(B1746)&gt;=$C$2,N(C1746)&gt;=$E$2),"High",IF(OR(N(B1746)&gt;0,N(C1746)&gt;0),"Medium","Low")))</f>
        <v/>
      </c>
      <c r="E1746" s="22" t="n"/>
      <c r="F1746" s="22" t="n"/>
      <c r="G1746" s="22" t="n"/>
      <c r="H1746" s="22" t="n"/>
      <c r="I1746" s="22" t="n"/>
      <c r="J1746" s="22" t="n"/>
      <c r="K1746" s="22" t="n"/>
      <c r="L1746" s="22" t="n"/>
      <c r="M1746" s="22">
        <f>IF(K1746="Override",L1746,IF(K1746="Accept suggestion",F1746,IF(K1746="No change (same URL)",A1746,"")))</f>
        <v/>
      </c>
      <c r="N1746" s="22">
        <f>IF(A1746="","",IF(K1746="410 Gone","410",IF(K1746="404","404",IF(K1746="No change (same URL)","none",IF(M1746="","","301")))))</f>
        <v/>
      </c>
      <c r="O1746" s="22">
        <f>IF(A1746="","",IFERROR(MID(A1746,FIND("/",A1746,FIND("//",A1746)+2),2000),A1746))</f>
        <v/>
      </c>
      <c r="P1746" s="22">
        <f>IF(OR(O1746="",N1746="",N1746="none",N1746="404"),"",IF(N1746="410","Redirect gone "&amp;O1746,"Redirect "&amp;N1746&amp;" "&amp;O1746&amp;" "&amp;M1746))</f>
        <v/>
      </c>
      <c r="Q1746" s="22" t="n"/>
      <c r="R1746" s="22" t="n"/>
      <c r="S1746" s="22" t="n"/>
      <c r="T1746" s="4">
        <f>IF(A1746="","",TRIM(IF(K1746="","Needs decision; ","")&amp;IF(AND(K1746="Accept suggestion",F1746=""),"No suggestion to accept; ","")&amp;IF(AND(K1746="Override",L1746=""),"Override URL missing; ","")&amp;IF(AND(K1746="Accept suggestion",N(G1746)&lt;$G$2),"Below your threshold; ","")&amp;IF(AND(M1746&lt;&gt;"",M1746=A1746,K1746&lt;&gt;"No change (same URL)"),"Redirects to itself; ","")&amp;IF(AND(M1746&lt;&gt;"",OR(M1746="/",AND(LEFT(M1746,4)="http",OR((LEN(M1746)-LEN(SUBSTITUTE(M1746,"/","")))=2,AND((LEN(M1746)-LEN(SUBSTITUTE(M1746,"/","")))=3,RIGHT(M1746,1)="/"))))),"Home page redirect; ","")&amp;IF(N(R1746)&gt;1,"Chain; ","")&amp;IF(S1746="No","Destination not 200; ","")))</f>
        <v/>
      </c>
      <c r="U1746" s="22" t="n"/>
      <c r="V1746" s="22" t="n"/>
      <c r="W1746" s="4" t="n"/>
    </row>
    <row r="1747">
      <c r="A1747" s="22" t="n"/>
      <c r="B1747" s="22" t="n"/>
      <c r="C1747" s="22" t="n"/>
      <c r="D1747" s="22">
        <f>IF(A1747="","",IF(OR(N(B1747)&gt;=$C$2,N(C1747)&gt;=$E$2),"High",IF(OR(N(B1747)&gt;0,N(C1747)&gt;0),"Medium","Low")))</f>
        <v/>
      </c>
      <c r="E1747" s="22" t="n"/>
      <c r="F1747" s="22" t="n"/>
      <c r="G1747" s="22" t="n"/>
      <c r="H1747" s="22" t="n"/>
      <c r="I1747" s="22" t="n"/>
      <c r="J1747" s="22" t="n"/>
      <c r="K1747" s="22" t="n"/>
      <c r="L1747" s="22" t="n"/>
      <c r="M1747" s="22">
        <f>IF(K1747="Override",L1747,IF(K1747="Accept suggestion",F1747,IF(K1747="No change (same URL)",A1747,"")))</f>
        <v/>
      </c>
      <c r="N1747" s="22">
        <f>IF(A1747="","",IF(K1747="410 Gone","410",IF(K1747="404","404",IF(K1747="No change (same URL)","none",IF(M1747="","","301")))))</f>
        <v/>
      </c>
      <c r="O1747" s="22">
        <f>IF(A1747="","",IFERROR(MID(A1747,FIND("/",A1747,FIND("//",A1747)+2),2000),A1747))</f>
        <v/>
      </c>
      <c r="P1747" s="22">
        <f>IF(OR(O1747="",N1747="",N1747="none",N1747="404"),"",IF(N1747="410","Redirect gone "&amp;O1747,"Redirect "&amp;N1747&amp;" "&amp;O1747&amp;" "&amp;M1747))</f>
        <v/>
      </c>
      <c r="Q1747" s="22" t="n"/>
      <c r="R1747" s="22" t="n"/>
      <c r="S1747" s="22" t="n"/>
      <c r="T1747" s="4">
        <f>IF(A1747="","",TRIM(IF(K1747="","Needs decision; ","")&amp;IF(AND(K1747="Accept suggestion",F1747=""),"No suggestion to accept; ","")&amp;IF(AND(K1747="Override",L1747=""),"Override URL missing; ","")&amp;IF(AND(K1747="Accept suggestion",N(G1747)&lt;$G$2),"Below your threshold; ","")&amp;IF(AND(M1747&lt;&gt;"",M1747=A1747,K1747&lt;&gt;"No change (same URL)"),"Redirects to itself; ","")&amp;IF(AND(M1747&lt;&gt;"",OR(M1747="/",AND(LEFT(M1747,4)="http",OR((LEN(M1747)-LEN(SUBSTITUTE(M1747,"/","")))=2,AND((LEN(M1747)-LEN(SUBSTITUTE(M1747,"/","")))=3,RIGHT(M1747,1)="/"))))),"Home page redirect; ","")&amp;IF(N(R1747)&gt;1,"Chain; ","")&amp;IF(S1747="No","Destination not 200; ","")))</f>
        <v/>
      </c>
      <c r="U1747" s="22" t="n"/>
      <c r="V1747" s="22" t="n"/>
      <c r="W1747" s="4" t="n"/>
    </row>
    <row r="1748">
      <c r="A1748" s="22" t="n"/>
      <c r="B1748" s="22" t="n"/>
      <c r="C1748" s="22" t="n"/>
      <c r="D1748" s="22">
        <f>IF(A1748="","",IF(OR(N(B1748)&gt;=$C$2,N(C1748)&gt;=$E$2),"High",IF(OR(N(B1748)&gt;0,N(C1748)&gt;0),"Medium","Low")))</f>
        <v/>
      </c>
      <c r="E1748" s="22" t="n"/>
      <c r="F1748" s="22" t="n"/>
      <c r="G1748" s="22" t="n"/>
      <c r="H1748" s="22" t="n"/>
      <c r="I1748" s="22" t="n"/>
      <c r="J1748" s="22" t="n"/>
      <c r="K1748" s="22" t="n"/>
      <c r="L1748" s="22" t="n"/>
      <c r="M1748" s="22">
        <f>IF(K1748="Override",L1748,IF(K1748="Accept suggestion",F1748,IF(K1748="No change (same URL)",A1748,"")))</f>
        <v/>
      </c>
      <c r="N1748" s="22">
        <f>IF(A1748="","",IF(K1748="410 Gone","410",IF(K1748="404","404",IF(K1748="No change (same URL)","none",IF(M1748="","","301")))))</f>
        <v/>
      </c>
      <c r="O1748" s="22">
        <f>IF(A1748="","",IFERROR(MID(A1748,FIND("/",A1748,FIND("//",A1748)+2),2000),A1748))</f>
        <v/>
      </c>
      <c r="P1748" s="22">
        <f>IF(OR(O1748="",N1748="",N1748="none",N1748="404"),"",IF(N1748="410","Redirect gone "&amp;O1748,"Redirect "&amp;N1748&amp;" "&amp;O1748&amp;" "&amp;M1748))</f>
        <v/>
      </c>
      <c r="Q1748" s="22" t="n"/>
      <c r="R1748" s="22" t="n"/>
      <c r="S1748" s="22" t="n"/>
      <c r="T1748" s="4">
        <f>IF(A1748="","",TRIM(IF(K1748="","Needs decision; ","")&amp;IF(AND(K1748="Accept suggestion",F1748=""),"No suggestion to accept; ","")&amp;IF(AND(K1748="Override",L1748=""),"Override URL missing; ","")&amp;IF(AND(K1748="Accept suggestion",N(G1748)&lt;$G$2),"Below your threshold; ","")&amp;IF(AND(M1748&lt;&gt;"",M1748=A1748,K1748&lt;&gt;"No change (same URL)"),"Redirects to itself; ","")&amp;IF(AND(M1748&lt;&gt;"",OR(M1748="/",AND(LEFT(M1748,4)="http",OR((LEN(M1748)-LEN(SUBSTITUTE(M1748,"/","")))=2,AND((LEN(M1748)-LEN(SUBSTITUTE(M1748,"/","")))=3,RIGHT(M1748,1)="/"))))),"Home page redirect; ","")&amp;IF(N(R1748)&gt;1,"Chain; ","")&amp;IF(S1748="No","Destination not 200; ","")))</f>
        <v/>
      </c>
      <c r="U1748" s="22" t="n"/>
      <c r="V1748" s="22" t="n"/>
      <c r="W1748" s="4" t="n"/>
    </row>
    <row r="1749">
      <c r="A1749" s="22" t="n"/>
      <c r="B1749" s="22" t="n"/>
      <c r="C1749" s="22" t="n"/>
      <c r="D1749" s="22">
        <f>IF(A1749="","",IF(OR(N(B1749)&gt;=$C$2,N(C1749)&gt;=$E$2),"High",IF(OR(N(B1749)&gt;0,N(C1749)&gt;0),"Medium","Low")))</f>
        <v/>
      </c>
      <c r="E1749" s="22" t="n"/>
      <c r="F1749" s="22" t="n"/>
      <c r="G1749" s="22" t="n"/>
      <c r="H1749" s="22" t="n"/>
      <c r="I1749" s="22" t="n"/>
      <c r="J1749" s="22" t="n"/>
      <c r="K1749" s="22" t="n"/>
      <c r="L1749" s="22" t="n"/>
      <c r="M1749" s="22">
        <f>IF(K1749="Override",L1749,IF(K1749="Accept suggestion",F1749,IF(K1749="No change (same URL)",A1749,"")))</f>
        <v/>
      </c>
      <c r="N1749" s="22">
        <f>IF(A1749="","",IF(K1749="410 Gone","410",IF(K1749="404","404",IF(K1749="No change (same URL)","none",IF(M1749="","","301")))))</f>
        <v/>
      </c>
      <c r="O1749" s="22">
        <f>IF(A1749="","",IFERROR(MID(A1749,FIND("/",A1749,FIND("//",A1749)+2),2000),A1749))</f>
        <v/>
      </c>
      <c r="P1749" s="22">
        <f>IF(OR(O1749="",N1749="",N1749="none",N1749="404"),"",IF(N1749="410","Redirect gone "&amp;O1749,"Redirect "&amp;N1749&amp;" "&amp;O1749&amp;" "&amp;M1749))</f>
        <v/>
      </c>
      <c r="Q1749" s="22" t="n"/>
      <c r="R1749" s="22" t="n"/>
      <c r="S1749" s="22" t="n"/>
      <c r="T1749" s="4">
        <f>IF(A1749="","",TRIM(IF(K1749="","Needs decision; ","")&amp;IF(AND(K1749="Accept suggestion",F1749=""),"No suggestion to accept; ","")&amp;IF(AND(K1749="Override",L1749=""),"Override URL missing; ","")&amp;IF(AND(K1749="Accept suggestion",N(G1749)&lt;$G$2),"Below your threshold; ","")&amp;IF(AND(M1749&lt;&gt;"",M1749=A1749,K1749&lt;&gt;"No change (same URL)"),"Redirects to itself; ","")&amp;IF(AND(M1749&lt;&gt;"",OR(M1749="/",AND(LEFT(M1749,4)="http",OR((LEN(M1749)-LEN(SUBSTITUTE(M1749,"/","")))=2,AND((LEN(M1749)-LEN(SUBSTITUTE(M1749,"/","")))=3,RIGHT(M1749,1)="/"))))),"Home page redirect; ","")&amp;IF(N(R1749)&gt;1,"Chain; ","")&amp;IF(S1749="No","Destination not 200; ","")))</f>
        <v/>
      </c>
      <c r="U1749" s="22" t="n"/>
      <c r="V1749" s="22" t="n"/>
      <c r="W1749" s="4" t="n"/>
    </row>
    <row r="1750">
      <c r="A1750" s="22" t="n"/>
      <c r="B1750" s="22" t="n"/>
      <c r="C1750" s="22" t="n"/>
      <c r="D1750" s="22">
        <f>IF(A1750="","",IF(OR(N(B1750)&gt;=$C$2,N(C1750)&gt;=$E$2),"High",IF(OR(N(B1750)&gt;0,N(C1750)&gt;0),"Medium","Low")))</f>
        <v/>
      </c>
      <c r="E1750" s="22" t="n"/>
      <c r="F1750" s="22" t="n"/>
      <c r="G1750" s="22" t="n"/>
      <c r="H1750" s="22" t="n"/>
      <c r="I1750" s="22" t="n"/>
      <c r="J1750" s="22" t="n"/>
      <c r="K1750" s="22" t="n"/>
      <c r="L1750" s="22" t="n"/>
      <c r="M1750" s="22">
        <f>IF(K1750="Override",L1750,IF(K1750="Accept suggestion",F1750,IF(K1750="No change (same URL)",A1750,"")))</f>
        <v/>
      </c>
      <c r="N1750" s="22">
        <f>IF(A1750="","",IF(K1750="410 Gone","410",IF(K1750="404","404",IF(K1750="No change (same URL)","none",IF(M1750="","","301")))))</f>
        <v/>
      </c>
      <c r="O1750" s="22">
        <f>IF(A1750="","",IFERROR(MID(A1750,FIND("/",A1750,FIND("//",A1750)+2),2000),A1750))</f>
        <v/>
      </c>
      <c r="P1750" s="22">
        <f>IF(OR(O1750="",N1750="",N1750="none",N1750="404"),"",IF(N1750="410","Redirect gone "&amp;O1750,"Redirect "&amp;N1750&amp;" "&amp;O1750&amp;" "&amp;M1750))</f>
        <v/>
      </c>
      <c r="Q1750" s="22" t="n"/>
      <c r="R1750" s="22" t="n"/>
      <c r="S1750" s="22" t="n"/>
      <c r="T1750" s="4">
        <f>IF(A1750="","",TRIM(IF(K1750="","Needs decision; ","")&amp;IF(AND(K1750="Accept suggestion",F1750=""),"No suggestion to accept; ","")&amp;IF(AND(K1750="Override",L1750=""),"Override URL missing; ","")&amp;IF(AND(K1750="Accept suggestion",N(G1750)&lt;$G$2),"Below your threshold; ","")&amp;IF(AND(M1750&lt;&gt;"",M1750=A1750,K1750&lt;&gt;"No change (same URL)"),"Redirects to itself; ","")&amp;IF(AND(M1750&lt;&gt;"",OR(M1750="/",AND(LEFT(M1750,4)="http",OR((LEN(M1750)-LEN(SUBSTITUTE(M1750,"/","")))=2,AND((LEN(M1750)-LEN(SUBSTITUTE(M1750,"/","")))=3,RIGHT(M1750,1)="/"))))),"Home page redirect; ","")&amp;IF(N(R1750)&gt;1,"Chain; ","")&amp;IF(S1750="No","Destination not 200; ","")))</f>
        <v/>
      </c>
      <c r="U1750" s="22" t="n"/>
      <c r="V1750" s="22" t="n"/>
      <c r="W1750" s="4" t="n"/>
    </row>
    <row r="1751">
      <c r="A1751" s="22" t="n"/>
      <c r="B1751" s="22" t="n"/>
      <c r="C1751" s="22" t="n"/>
      <c r="D1751" s="22">
        <f>IF(A1751="","",IF(OR(N(B1751)&gt;=$C$2,N(C1751)&gt;=$E$2),"High",IF(OR(N(B1751)&gt;0,N(C1751)&gt;0),"Medium","Low")))</f>
        <v/>
      </c>
      <c r="E1751" s="22" t="n"/>
      <c r="F1751" s="22" t="n"/>
      <c r="G1751" s="22" t="n"/>
      <c r="H1751" s="22" t="n"/>
      <c r="I1751" s="22" t="n"/>
      <c r="J1751" s="22" t="n"/>
      <c r="K1751" s="22" t="n"/>
      <c r="L1751" s="22" t="n"/>
      <c r="M1751" s="22">
        <f>IF(K1751="Override",L1751,IF(K1751="Accept suggestion",F1751,IF(K1751="No change (same URL)",A1751,"")))</f>
        <v/>
      </c>
      <c r="N1751" s="22">
        <f>IF(A1751="","",IF(K1751="410 Gone","410",IF(K1751="404","404",IF(K1751="No change (same URL)","none",IF(M1751="","","301")))))</f>
        <v/>
      </c>
      <c r="O1751" s="22">
        <f>IF(A1751="","",IFERROR(MID(A1751,FIND("/",A1751,FIND("//",A1751)+2),2000),A1751))</f>
        <v/>
      </c>
      <c r="P1751" s="22">
        <f>IF(OR(O1751="",N1751="",N1751="none",N1751="404"),"",IF(N1751="410","Redirect gone "&amp;O1751,"Redirect "&amp;N1751&amp;" "&amp;O1751&amp;" "&amp;M1751))</f>
        <v/>
      </c>
      <c r="Q1751" s="22" t="n"/>
      <c r="R1751" s="22" t="n"/>
      <c r="S1751" s="22" t="n"/>
      <c r="T1751" s="4">
        <f>IF(A1751="","",TRIM(IF(K1751="","Needs decision; ","")&amp;IF(AND(K1751="Accept suggestion",F1751=""),"No suggestion to accept; ","")&amp;IF(AND(K1751="Override",L1751=""),"Override URL missing; ","")&amp;IF(AND(K1751="Accept suggestion",N(G1751)&lt;$G$2),"Below your threshold; ","")&amp;IF(AND(M1751&lt;&gt;"",M1751=A1751,K1751&lt;&gt;"No change (same URL)"),"Redirects to itself; ","")&amp;IF(AND(M1751&lt;&gt;"",OR(M1751="/",AND(LEFT(M1751,4)="http",OR((LEN(M1751)-LEN(SUBSTITUTE(M1751,"/","")))=2,AND((LEN(M1751)-LEN(SUBSTITUTE(M1751,"/","")))=3,RIGHT(M1751,1)="/"))))),"Home page redirect; ","")&amp;IF(N(R1751)&gt;1,"Chain; ","")&amp;IF(S1751="No","Destination not 200; ","")))</f>
        <v/>
      </c>
      <c r="U1751" s="22" t="n"/>
      <c r="V1751" s="22" t="n"/>
      <c r="W1751" s="4" t="n"/>
    </row>
    <row r="1752">
      <c r="A1752" s="22" t="n"/>
      <c r="B1752" s="22" t="n"/>
      <c r="C1752" s="22" t="n"/>
      <c r="D1752" s="22">
        <f>IF(A1752="","",IF(OR(N(B1752)&gt;=$C$2,N(C1752)&gt;=$E$2),"High",IF(OR(N(B1752)&gt;0,N(C1752)&gt;0),"Medium","Low")))</f>
        <v/>
      </c>
      <c r="E1752" s="22" t="n"/>
      <c r="F1752" s="22" t="n"/>
      <c r="G1752" s="22" t="n"/>
      <c r="H1752" s="22" t="n"/>
      <c r="I1752" s="22" t="n"/>
      <c r="J1752" s="22" t="n"/>
      <c r="K1752" s="22" t="n"/>
      <c r="L1752" s="22" t="n"/>
      <c r="M1752" s="22">
        <f>IF(K1752="Override",L1752,IF(K1752="Accept suggestion",F1752,IF(K1752="No change (same URL)",A1752,"")))</f>
        <v/>
      </c>
      <c r="N1752" s="22">
        <f>IF(A1752="","",IF(K1752="410 Gone","410",IF(K1752="404","404",IF(K1752="No change (same URL)","none",IF(M1752="","","301")))))</f>
        <v/>
      </c>
      <c r="O1752" s="22">
        <f>IF(A1752="","",IFERROR(MID(A1752,FIND("/",A1752,FIND("//",A1752)+2),2000),A1752))</f>
        <v/>
      </c>
      <c r="P1752" s="22">
        <f>IF(OR(O1752="",N1752="",N1752="none",N1752="404"),"",IF(N1752="410","Redirect gone "&amp;O1752,"Redirect "&amp;N1752&amp;" "&amp;O1752&amp;" "&amp;M1752))</f>
        <v/>
      </c>
      <c r="Q1752" s="22" t="n"/>
      <c r="R1752" s="22" t="n"/>
      <c r="S1752" s="22" t="n"/>
      <c r="T1752" s="4">
        <f>IF(A1752="","",TRIM(IF(K1752="","Needs decision; ","")&amp;IF(AND(K1752="Accept suggestion",F1752=""),"No suggestion to accept; ","")&amp;IF(AND(K1752="Override",L1752=""),"Override URL missing; ","")&amp;IF(AND(K1752="Accept suggestion",N(G1752)&lt;$G$2),"Below your threshold; ","")&amp;IF(AND(M1752&lt;&gt;"",M1752=A1752,K1752&lt;&gt;"No change (same URL)"),"Redirects to itself; ","")&amp;IF(AND(M1752&lt;&gt;"",OR(M1752="/",AND(LEFT(M1752,4)="http",OR((LEN(M1752)-LEN(SUBSTITUTE(M1752,"/","")))=2,AND((LEN(M1752)-LEN(SUBSTITUTE(M1752,"/","")))=3,RIGHT(M1752,1)="/"))))),"Home page redirect; ","")&amp;IF(N(R1752)&gt;1,"Chain; ","")&amp;IF(S1752="No","Destination not 200; ","")))</f>
        <v/>
      </c>
      <c r="U1752" s="22" t="n"/>
      <c r="V1752" s="22" t="n"/>
      <c r="W1752" s="4" t="n"/>
    </row>
    <row r="1753">
      <c r="A1753" s="22" t="n"/>
      <c r="B1753" s="22" t="n"/>
      <c r="C1753" s="22" t="n"/>
      <c r="D1753" s="22">
        <f>IF(A1753="","",IF(OR(N(B1753)&gt;=$C$2,N(C1753)&gt;=$E$2),"High",IF(OR(N(B1753)&gt;0,N(C1753)&gt;0),"Medium","Low")))</f>
        <v/>
      </c>
      <c r="E1753" s="22" t="n"/>
      <c r="F1753" s="22" t="n"/>
      <c r="G1753" s="22" t="n"/>
      <c r="H1753" s="22" t="n"/>
      <c r="I1753" s="22" t="n"/>
      <c r="J1753" s="22" t="n"/>
      <c r="K1753" s="22" t="n"/>
      <c r="L1753" s="22" t="n"/>
      <c r="M1753" s="22">
        <f>IF(K1753="Override",L1753,IF(K1753="Accept suggestion",F1753,IF(K1753="No change (same URL)",A1753,"")))</f>
        <v/>
      </c>
      <c r="N1753" s="22">
        <f>IF(A1753="","",IF(K1753="410 Gone","410",IF(K1753="404","404",IF(K1753="No change (same URL)","none",IF(M1753="","","301")))))</f>
        <v/>
      </c>
      <c r="O1753" s="22">
        <f>IF(A1753="","",IFERROR(MID(A1753,FIND("/",A1753,FIND("//",A1753)+2),2000),A1753))</f>
        <v/>
      </c>
      <c r="P1753" s="22">
        <f>IF(OR(O1753="",N1753="",N1753="none",N1753="404"),"",IF(N1753="410","Redirect gone "&amp;O1753,"Redirect "&amp;N1753&amp;" "&amp;O1753&amp;" "&amp;M1753))</f>
        <v/>
      </c>
      <c r="Q1753" s="22" t="n"/>
      <c r="R1753" s="22" t="n"/>
      <c r="S1753" s="22" t="n"/>
      <c r="T1753" s="4">
        <f>IF(A1753="","",TRIM(IF(K1753="","Needs decision; ","")&amp;IF(AND(K1753="Accept suggestion",F1753=""),"No suggestion to accept; ","")&amp;IF(AND(K1753="Override",L1753=""),"Override URL missing; ","")&amp;IF(AND(K1753="Accept suggestion",N(G1753)&lt;$G$2),"Below your threshold; ","")&amp;IF(AND(M1753&lt;&gt;"",M1753=A1753,K1753&lt;&gt;"No change (same URL)"),"Redirects to itself; ","")&amp;IF(AND(M1753&lt;&gt;"",OR(M1753="/",AND(LEFT(M1753,4)="http",OR((LEN(M1753)-LEN(SUBSTITUTE(M1753,"/","")))=2,AND((LEN(M1753)-LEN(SUBSTITUTE(M1753,"/","")))=3,RIGHT(M1753,1)="/"))))),"Home page redirect; ","")&amp;IF(N(R1753)&gt;1,"Chain; ","")&amp;IF(S1753="No","Destination not 200; ","")))</f>
        <v/>
      </c>
      <c r="U1753" s="22" t="n"/>
      <c r="V1753" s="22" t="n"/>
      <c r="W1753" s="4" t="n"/>
    </row>
    <row r="1754">
      <c r="A1754" s="22" t="n"/>
      <c r="B1754" s="22" t="n"/>
      <c r="C1754" s="22" t="n"/>
      <c r="D1754" s="22">
        <f>IF(A1754="","",IF(OR(N(B1754)&gt;=$C$2,N(C1754)&gt;=$E$2),"High",IF(OR(N(B1754)&gt;0,N(C1754)&gt;0),"Medium","Low")))</f>
        <v/>
      </c>
      <c r="E1754" s="22" t="n"/>
      <c r="F1754" s="22" t="n"/>
      <c r="G1754" s="22" t="n"/>
      <c r="H1754" s="22" t="n"/>
      <c r="I1754" s="22" t="n"/>
      <c r="J1754" s="22" t="n"/>
      <c r="K1754" s="22" t="n"/>
      <c r="L1754" s="22" t="n"/>
      <c r="M1754" s="22">
        <f>IF(K1754="Override",L1754,IF(K1754="Accept suggestion",F1754,IF(K1754="No change (same URL)",A1754,"")))</f>
        <v/>
      </c>
      <c r="N1754" s="22">
        <f>IF(A1754="","",IF(K1754="410 Gone","410",IF(K1754="404","404",IF(K1754="No change (same URL)","none",IF(M1754="","","301")))))</f>
        <v/>
      </c>
      <c r="O1754" s="22">
        <f>IF(A1754="","",IFERROR(MID(A1754,FIND("/",A1754,FIND("//",A1754)+2),2000),A1754))</f>
        <v/>
      </c>
      <c r="P1754" s="22">
        <f>IF(OR(O1754="",N1754="",N1754="none",N1754="404"),"",IF(N1754="410","Redirect gone "&amp;O1754,"Redirect "&amp;N1754&amp;" "&amp;O1754&amp;" "&amp;M1754))</f>
        <v/>
      </c>
      <c r="Q1754" s="22" t="n"/>
      <c r="R1754" s="22" t="n"/>
      <c r="S1754" s="22" t="n"/>
      <c r="T1754" s="4">
        <f>IF(A1754="","",TRIM(IF(K1754="","Needs decision; ","")&amp;IF(AND(K1754="Accept suggestion",F1754=""),"No suggestion to accept; ","")&amp;IF(AND(K1754="Override",L1754=""),"Override URL missing; ","")&amp;IF(AND(K1754="Accept suggestion",N(G1754)&lt;$G$2),"Below your threshold; ","")&amp;IF(AND(M1754&lt;&gt;"",M1754=A1754,K1754&lt;&gt;"No change (same URL)"),"Redirects to itself; ","")&amp;IF(AND(M1754&lt;&gt;"",OR(M1754="/",AND(LEFT(M1754,4)="http",OR((LEN(M1754)-LEN(SUBSTITUTE(M1754,"/","")))=2,AND((LEN(M1754)-LEN(SUBSTITUTE(M1754,"/","")))=3,RIGHT(M1754,1)="/"))))),"Home page redirect; ","")&amp;IF(N(R1754)&gt;1,"Chain; ","")&amp;IF(S1754="No","Destination not 200; ","")))</f>
        <v/>
      </c>
      <c r="U1754" s="22" t="n"/>
      <c r="V1754" s="22" t="n"/>
      <c r="W1754" s="4" t="n"/>
    </row>
    <row r="1755">
      <c r="A1755" s="22" t="n"/>
      <c r="B1755" s="22" t="n"/>
      <c r="C1755" s="22" t="n"/>
      <c r="D1755" s="22">
        <f>IF(A1755="","",IF(OR(N(B1755)&gt;=$C$2,N(C1755)&gt;=$E$2),"High",IF(OR(N(B1755)&gt;0,N(C1755)&gt;0),"Medium","Low")))</f>
        <v/>
      </c>
      <c r="E1755" s="22" t="n"/>
      <c r="F1755" s="22" t="n"/>
      <c r="G1755" s="22" t="n"/>
      <c r="H1755" s="22" t="n"/>
      <c r="I1755" s="22" t="n"/>
      <c r="J1755" s="22" t="n"/>
      <c r="K1755" s="22" t="n"/>
      <c r="L1755" s="22" t="n"/>
      <c r="M1755" s="22">
        <f>IF(K1755="Override",L1755,IF(K1755="Accept suggestion",F1755,IF(K1755="No change (same URL)",A1755,"")))</f>
        <v/>
      </c>
      <c r="N1755" s="22">
        <f>IF(A1755="","",IF(K1755="410 Gone","410",IF(K1755="404","404",IF(K1755="No change (same URL)","none",IF(M1755="","","301")))))</f>
        <v/>
      </c>
      <c r="O1755" s="22">
        <f>IF(A1755="","",IFERROR(MID(A1755,FIND("/",A1755,FIND("//",A1755)+2),2000),A1755))</f>
        <v/>
      </c>
      <c r="P1755" s="22">
        <f>IF(OR(O1755="",N1755="",N1755="none",N1755="404"),"",IF(N1755="410","Redirect gone "&amp;O1755,"Redirect "&amp;N1755&amp;" "&amp;O1755&amp;" "&amp;M1755))</f>
        <v/>
      </c>
      <c r="Q1755" s="22" t="n"/>
      <c r="R1755" s="22" t="n"/>
      <c r="S1755" s="22" t="n"/>
      <c r="T1755" s="4">
        <f>IF(A1755="","",TRIM(IF(K1755="","Needs decision; ","")&amp;IF(AND(K1755="Accept suggestion",F1755=""),"No suggestion to accept; ","")&amp;IF(AND(K1755="Override",L1755=""),"Override URL missing; ","")&amp;IF(AND(K1755="Accept suggestion",N(G1755)&lt;$G$2),"Below your threshold; ","")&amp;IF(AND(M1755&lt;&gt;"",M1755=A1755,K1755&lt;&gt;"No change (same URL)"),"Redirects to itself; ","")&amp;IF(AND(M1755&lt;&gt;"",OR(M1755="/",AND(LEFT(M1755,4)="http",OR((LEN(M1755)-LEN(SUBSTITUTE(M1755,"/","")))=2,AND((LEN(M1755)-LEN(SUBSTITUTE(M1755,"/","")))=3,RIGHT(M1755,1)="/"))))),"Home page redirect; ","")&amp;IF(N(R1755)&gt;1,"Chain; ","")&amp;IF(S1755="No","Destination not 200; ","")))</f>
        <v/>
      </c>
      <c r="U1755" s="22" t="n"/>
      <c r="V1755" s="22" t="n"/>
      <c r="W1755" s="4" t="n"/>
    </row>
    <row r="1756">
      <c r="A1756" s="22" t="n"/>
      <c r="B1756" s="22" t="n"/>
      <c r="C1756" s="22" t="n"/>
      <c r="D1756" s="22">
        <f>IF(A1756="","",IF(OR(N(B1756)&gt;=$C$2,N(C1756)&gt;=$E$2),"High",IF(OR(N(B1756)&gt;0,N(C1756)&gt;0),"Medium","Low")))</f>
        <v/>
      </c>
      <c r="E1756" s="22" t="n"/>
      <c r="F1756" s="22" t="n"/>
      <c r="G1756" s="22" t="n"/>
      <c r="H1756" s="22" t="n"/>
      <c r="I1756" s="22" t="n"/>
      <c r="J1756" s="22" t="n"/>
      <c r="K1756" s="22" t="n"/>
      <c r="L1756" s="22" t="n"/>
      <c r="M1756" s="22">
        <f>IF(K1756="Override",L1756,IF(K1756="Accept suggestion",F1756,IF(K1756="No change (same URL)",A1756,"")))</f>
        <v/>
      </c>
      <c r="N1756" s="22">
        <f>IF(A1756="","",IF(K1756="410 Gone","410",IF(K1756="404","404",IF(K1756="No change (same URL)","none",IF(M1756="","","301")))))</f>
        <v/>
      </c>
      <c r="O1756" s="22">
        <f>IF(A1756="","",IFERROR(MID(A1756,FIND("/",A1756,FIND("//",A1756)+2),2000),A1756))</f>
        <v/>
      </c>
      <c r="P1756" s="22">
        <f>IF(OR(O1756="",N1756="",N1756="none",N1756="404"),"",IF(N1756="410","Redirect gone "&amp;O1756,"Redirect "&amp;N1756&amp;" "&amp;O1756&amp;" "&amp;M1756))</f>
        <v/>
      </c>
      <c r="Q1756" s="22" t="n"/>
      <c r="R1756" s="22" t="n"/>
      <c r="S1756" s="22" t="n"/>
      <c r="T1756" s="4">
        <f>IF(A1756="","",TRIM(IF(K1756="","Needs decision; ","")&amp;IF(AND(K1756="Accept suggestion",F1756=""),"No suggestion to accept; ","")&amp;IF(AND(K1756="Override",L1756=""),"Override URL missing; ","")&amp;IF(AND(K1756="Accept suggestion",N(G1756)&lt;$G$2),"Below your threshold; ","")&amp;IF(AND(M1756&lt;&gt;"",M1756=A1756,K1756&lt;&gt;"No change (same URL)"),"Redirects to itself; ","")&amp;IF(AND(M1756&lt;&gt;"",OR(M1756="/",AND(LEFT(M1756,4)="http",OR((LEN(M1756)-LEN(SUBSTITUTE(M1756,"/","")))=2,AND((LEN(M1756)-LEN(SUBSTITUTE(M1756,"/","")))=3,RIGHT(M1756,1)="/"))))),"Home page redirect; ","")&amp;IF(N(R1756)&gt;1,"Chain; ","")&amp;IF(S1756="No","Destination not 200; ","")))</f>
        <v/>
      </c>
      <c r="U1756" s="22" t="n"/>
      <c r="V1756" s="22" t="n"/>
      <c r="W1756" s="4" t="n"/>
    </row>
    <row r="1757">
      <c r="A1757" s="22" t="n"/>
      <c r="B1757" s="22" t="n"/>
      <c r="C1757" s="22" t="n"/>
      <c r="D1757" s="22">
        <f>IF(A1757="","",IF(OR(N(B1757)&gt;=$C$2,N(C1757)&gt;=$E$2),"High",IF(OR(N(B1757)&gt;0,N(C1757)&gt;0),"Medium","Low")))</f>
        <v/>
      </c>
      <c r="E1757" s="22" t="n"/>
      <c r="F1757" s="22" t="n"/>
      <c r="G1757" s="22" t="n"/>
      <c r="H1757" s="22" t="n"/>
      <c r="I1757" s="22" t="n"/>
      <c r="J1757" s="22" t="n"/>
      <c r="K1757" s="22" t="n"/>
      <c r="L1757" s="22" t="n"/>
      <c r="M1757" s="22">
        <f>IF(K1757="Override",L1757,IF(K1757="Accept suggestion",F1757,IF(K1757="No change (same URL)",A1757,"")))</f>
        <v/>
      </c>
      <c r="N1757" s="22">
        <f>IF(A1757="","",IF(K1757="410 Gone","410",IF(K1757="404","404",IF(K1757="No change (same URL)","none",IF(M1757="","","301")))))</f>
        <v/>
      </c>
      <c r="O1757" s="22">
        <f>IF(A1757="","",IFERROR(MID(A1757,FIND("/",A1757,FIND("//",A1757)+2),2000),A1757))</f>
        <v/>
      </c>
      <c r="P1757" s="22">
        <f>IF(OR(O1757="",N1757="",N1757="none",N1757="404"),"",IF(N1757="410","Redirect gone "&amp;O1757,"Redirect "&amp;N1757&amp;" "&amp;O1757&amp;" "&amp;M1757))</f>
        <v/>
      </c>
      <c r="Q1757" s="22" t="n"/>
      <c r="R1757" s="22" t="n"/>
      <c r="S1757" s="22" t="n"/>
      <c r="T1757" s="4">
        <f>IF(A1757="","",TRIM(IF(K1757="","Needs decision; ","")&amp;IF(AND(K1757="Accept suggestion",F1757=""),"No suggestion to accept; ","")&amp;IF(AND(K1757="Override",L1757=""),"Override URL missing; ","")&amp;IF(AND(K1757="Accept suggestion",N(G1757)&lt;$G$2),"Below your threshold; ","")&amp;IF(AND(M1757&lt;&gt;"",M1757=A1757,K1757&lt;&gt;"No change (same URL)"),"Redirects to itself; ","")&amp;IF(AND(M1757&lt;&gt;"",OR(M1757="/",AND(LEFT(M1757,4)="http",OR((LEN(M1757)-LEN(SUBSTITUTE(M1757,"/","")))=2,AND((LEN(M1757)-LEN(SUBSTITUTE(M1757,"/","")))=3,RIGHT(M1757,1)="/"))))),"Home page redirect; ","")&amp;IF(N(R1757)&gt;1,"Chain; ","")&amp;IF(S1757="No","Destination not 200; ","")))</f>
        <v/>
      </c>
      <c r="U1757" s="22" t="n"/>
      <c r="V1757" s="22" t="n"/>
      <c r="W1757" s="4" t="n"/>
    </row>
    <row r="1758">
      <c r="A1758" s="22" t="n"/>
      <c r="B1758" s="22" t="n"/>
      <c r="C1758" s="22" t="n"/>
      <c r="D1758" s="22">
        <f>IF(A1758="","",IF(OR(N(B1758)&gt;=$C$2,N(C1758)&gt;=$E$2),"High",IF(OR(N(B1758)&gt;0,N(C1758)&gt;0),"Medium","Low")))</f>
        <v/>
      </c>
      <c r="E1758" s="22" t="n"/>
      <c r="F1758" s="22" t="n"/>
      <c r="G1758" s="22" t="n"/>
      <c r="H1758" s="22" t="n"/>
      <c r="I1758" s="22" t="n"/>
      <c r="J1758" s="22" t="n"/>
      <c r="K1758" s="22" t="n"/>
      <c r="L1758" s="22" t="n"/>
      <c r="M1758" s="22">
        <f>IF(K1758="Override",L1758,IF(K1758="Accept suggestion",F1758,IF(K1758="No change (same URL)",A1758,"")))</f>
        <v/>
      </c>
      <c r="N1758" s="22">
        <f>IF(A1758="","",IF(K1758="410 Gone","410",IF(K1758="404","404",IF(K1758="No change (same URL)","none",IF(M1758="","","301")))))</f>
        <v/>
      </c>
      <c r="O1758" s="22">
        <f>IF(A1758="","",IFERROR(MID(A1758,FIND("/",A1758,FIND("//",A1758)+2),2000),A1758))</f>
        <v/>
      </c>
      <c r="P1758" s="22">
        <f>IF(OR(O1758="",N1758="",N1758="none",N1758="404"),"",IF(N1758="410","Redirect gone "&amp;O1758,"Redirect "&amp;N1758&amp;" "&amp;O1758&amp;" "&amp;M1758))</f>
        <v/>
      </c>
      <c r="Q1758" s="22" t="n"/>
      <c r="R1758" s="22" t="n"/>
      <c r="S1758" s="22" t="n"/>
      <c r="T1758" s="4">
        <f>IF(A1758="","",TRIM(IF(K1758="","Needs decision; ","")&amp;IF(AND(K1758="Accept suggestion",F1758=""),"No suggestion to accept; ","")&amp;IF(AND(K1758="Override",L1758=""),"Override URL missing; ","")&amp;IF(AND(K1758="Accept suggestion",N(G1758)&lt;$G$2),"Below your threshold; ","")&amp;IF(AND(M1758&lt;&gt;"",M1758=A1758,K1758&lt;&gt;"No change (same URL)"),"Redirects to itself; ","")&amp;IF(AND(M1758&lt;&gt;"",OR(M1758="/",AND(LEFT(M1758,4)="http",OR((LEN(M1758)-LEN(SUBSTITUTE(M1758,"/","")))=2,AND((LEN(M1758)-LEN(SUBSTITUTE(M1758,"/","")))=3,RIGHT(M1758,1)="/"))))),"Home page redirect; ","")&amp;IF(N(R1758)&gt;1,"Chain; ","")&amp;IF(S1758="No","Destination not 200; ","")))</f>
        <v/>
      </c>
      <c r="U1758" s="22" t="n"/>
      <c r="V1758" s="22" t="n"/>
      <c r="W1758" s="4" t="n"/>
    </row>
    <row r="1759">
      <c r="A1759" s="22" t="n"/>
      <c r="B1759" s="22" t="n"/>
      <c r="C1759" s="22" t="n"/>
      <c r="D1759" s="22">
        <f>IF(A1759="","",IF(OR(N(B1759)&gt;=$C$2,N(C1759)&gt;=$E$2),"High",IF(OR(N(B1759)&gt;0,N(C1759)&gt;0),"Medium","Low")))</f>
        <v/>
      </c>
      <c r="E1759" s="22" t="n"/>
      <c r="F1759" s="22" t="n"/>
      <c r="G1759" s="22" t="n"/>
      <c r="H1759" s="22" t="n"/>
      <c r="I1759" s="22" t="n"/>
      <c r="J1759" s="22" t="n"/>
      <c r="K1759" s="22" t="n"/>
      <c r="L1759" s="22" t="n"/>
      <c r="M1759" s="22">
        <f>IF(K1759="Override",L1759,IF(K1759="Accept suggestion",F1759,IF(K1759="No change (same URL)",A1759,"")))</f>
        <v/>
      </c>
      <c r="N1759" s="22">
        <f>IF(A1759="","",IF(K1759="410 Gone","410",IF(K1759="404","404",IF(K1759="No change (same URL)","none",IF(M1759="","","301")))))</f>
        <v/>
      </c>
      <c r="O1759" s="22">
        <f>IF(A1759="","",IFERROR(MID(A1759,FIND("/",A1759,FIND("//",A1759)+2),2000),A1759))</f>
        <v/>
      </c>
      <c r="P1759" s="22">
        <f>IF(OR(O1759="",N1759="",N1759="none",N1759="404"),"",IF(N1759="410","Redirect gone "&amp;O1759,"Redirect "&amp;N1759&amp;" "&amp;O1759&amp;" "&amp;M1759))</f>
        <v/>
      </c>
      <c r="Q1759" s="22" t="n"/>
      <c r="R1759" s="22" t="n"/>
      <c r="S1759" s="22" t="n"/>
      <c r="T1759" s="4">
        <f>IF(A1759="","",TRIM(IF(K1759="","Needs decision; ","")&amp;IF(AND(K1759="Accept suggestion",F1759=""),"No suggestion to accept; ","")&amp;IF(AND(K1759="Override",L1759=""),"Override URL missing; ","")&amp;IF(AND(K1759="Accept suggestion",N(G1759)&lt;$G$2),"Below your threshold; ","")&amp;IF(AND(M1759&lt;&gt;"",M1759=A1759,K1759&lt;&gt;"No change (same URL)"),"Redirects to itself; ","")&amp;IF(AND(M1759&lt;&gt;"",OR(M1759="/",AND(LEFT(M1759,4)="http",OR((LEN(M1759)-LEN(SUBSTITUTE(M1759,"/","")))=2,AND((LEN(M1759)-LEN(SUBSTITUTE(M1759,"/","")))=3,RIGHT(M1759,1)="/"))))),"Home page redirect; ","")&amp;IF(N(R1759)&gt;1,"Chain; ","")&amp;IF(S1759="No","Destination not 200; ","")))</f>
        <v/>
      </c>
      <c r="U1759" s="22" t="n"/>
      <c r="V1759" s="22" t="n"/>
      <c r="W1759" s="4" t="n"/>
    </row>
    <row r="1760">
      <c r="A1760" s="22" t="n"/>
      <c r="B1760" s="22" t="n"/>
      <c r="C1760" s="22" t="n"/>
      <c r="D1760" s="22">
        <f>IF(A1760="","",IF(OR(N(B1760)&gt;=$C$2,N(C1760)&gt;=$E$2),"High",IF(OR(N(B1760)&gt;0,N(C1760)&gt;0),"Medium","Low")))</f>
        <v/>
      </c>
      <c r="E1760" s="22" t="n"/>
      <c r="F1760" s="22" t="n"/>
      <c r="G1760" s="22" t="n"/>
      <c r="H1760" s="22" t="n"/>
      <c r="I1760" s="22" t="n"/>
      <c r="J1760" s="22" t="n"/>
      <c r="K1760" s="22" t="n"/>
      <c r="L1760" s="22" t="n"/>
      <c r="M1760" s="22">
        <f>IF(K1760="Override",L1760,IF(K1760="Accept suggestion",F1760,IF(K1760="No change (same URL)",A1760,"")))</f>
        <v/>
      </c>
      <c r="N1760" s="22">
        <f>IF(A1760="","",IF(K1760="410 Gone","410",IF(K1760="404","404",IF(K1760="No change (same URL)","none",IF(M1760="","","301")))))</f>
        <v/>
      </c>
      <c r="O1760" s="22">
        <f>IF(A1760="","",IFERROR(MID(A1760,FIND("/",A1760,FIND("//",A1760)+2),2000),A1760))</f>
        <v/>
      </c>
      <c r="P1760" s="22">
        <f>IF(OR(O1760="",N1760="",N1760="none",N1760="404"),"",IF(N1760="410","Redirect gone "&amp;O1760,"Redirect "&amp;N1760&amp;" "&amp;O1760&amp;" "&amp;M1760))</f>
        <v/>
      </c>
      <c r="Q1760" s="22" t="n"/>
      <c r="R1760" s="22" t="n"/>
      <c r="S1760" s="22" t="n"/>
      <c r="T1760" s="4">
        <f>IF(A1760="","",TRIM(IF(K1760="","Needs decision; ","")&amp;IF(AND(K1760="Accept suggestion",F1760=""),"No suggestion to accept; ","")&amp;IF(AND(K1760="Override",L1760=""),"Override URL missing; ","")&amp;IF(AND(K1760="Accept suggestion",N(G1760)&lt;$G$2),"Below your threshold; ","")&amp;IF(AND(M1760&lt;&gt;"",M1760=A1760,K1760&lt;&gt;"No change (same URL)"),"Redirects to itself; ","")&amp;IF(AND(M1760&lt;&gt;"",OR(M1760="/",AND(LEFT(M1760,4)="http",OR((LEN(M1760)-LEN(SUBSTITUTE(M1760,"/","")))=2,AND((LEN(M1760)-LEN(SUBSTITUTE(M1760,"/","")))=3,RIGHT(M1760,1)="/"))))),"Home page redirect; ","")&amp;IF(N(R1760)&gt;1,"Chain; ","")&amp;IF(S1760="No","Destination not 200; ","")))</f>
        <v/>
      </c>
      <c r="U1760" s="22" t="n"/>
      <c r="V1760" s="22" t="n"/>
      <c r="W1760" s="4" t="n"/>
    </row>
    <row r="1761">
      <c r="A1761" s="22" t="n"/>
      <c r="B1761" s="22" t="n"/>
      <c r="C1761" s="22" t="n"/>
      <c r="D1761" s="22">
        <f>IF(A1761="","",IF(OR(N(B1761)&gt;=$C$2,N(C1761)&gt;=$E$2),"High",IF(OR(N(B1761)&gt;0,N(C1761)&gt;0),"Medium","Low")))</f>
        <v/>
      </c>
      <c r="E1761" s="22" t="n"/>
      <c r="F1761" s="22" t="n"/>
      <c r="G1761" s="22" t="n"/>
      <c r="H1761" s="22" t="n"/>
      <c r="I1761" s="22" t="n"/>
      <c r="J1761" s="22" t="n"/>
      <c r="K1761" s="22" t="n"/>
      <c r="L1761" s="22" t="n"/>
      <c r="M1761" s="22">
        <f>IF(K1761="Override",L1761,IF(K1761="Accept suggestion",F1761,IF(K1761="No change (same URL)",A1761,"")))</f>
        <v/>
      </c>
      <c r="N1761" s="22">
        <f>IF(A1761="","",IF(K1761="410 Gone","410",IF(K1761="404","404",IF(K1761="No change (same URL)","none",IF(M1761="","","301")))))</f>
        <v/>
      </c>
      <c r="O1761" s="22">
        <f>IF(A1761="","",IFERROR(MID(A1761,FIND("/",A1761,FIND("//",A1761)+2),2000),A1761))</f>
        <v/>
      </c>
      <c r="P1761" s="22">
        <f>IF(OR(O1761="",N1761="",N1761="none",N1761="404"),"",IF(N1761="410","Redirect gone "&amp;O1761,"Redirect "&amp;N1761&amp;" "&amp;O1761&amp;" "&amp;M1761))</f>
        <v/>
      </c>
      <c r="Q1761" s="22" t="n"/>
      <c r="R1761" s="22" t="n"/>
      <c r="S1761" s="22" t="n"/>
      <c r="T1761" s="4">
        <f>IF(A1761="","",TRIM(IF(K1761="","Needs decision; ","")&amp;IF(AND(K1761="Accept suggestion",F1761=""),"No suggestion to accept; ","")&amp;IF(AND(K1761="Override",L1761=""),"Override URL missing; ","")&amp;IF(AND(K1761="Accept suggestion",N(G1761)&lt;$G$2),"Below your threshold; ","")&amp;IF(AND(M1761&lt;&gt;"",M1761=A1761,K1761&lt;&gt;"No change (same URL)"),"Redirects to itself; ","")&amp;IF(AND(M1761&lt;&gt;"",OR(M1761="/",AND(LEFT(M1761,4)="http",OR((LEN(M1761)-LEN(SUBSTITUTE(M1761,"/","")))=2,AND((LEN(M1761)-LEN(SUBSTITUTE(M1761,"/","")))=3,RIGHT(M1761,1)="/"))))),"Home page redirect; ","")&amp;IF(N(R1761)&gt;1,"Chain; ","")&amp;IF(S1761="No","Destination not 200; ","")))</f>
        <v/>
      </c>
      <c r="U1761" s="22" t="n"/>
      <c r="V1761" s="22" t="n"/>
      <c r="W1761" s="4" t="n"/>
    </row>
    <row r="1762">
      <c r="A1762" s="22" t="n"/>
      <c r="B1762" s="22" t="n"/>
      <c r="C1762" s="22" t="n"/>
      <c r="D1762" s="22">
        <f>IF(A1762="","",IF(OR(N(B1762)&gt;=$C$2,N(C1762)&gt;=$E$2),"High",IF(OR(N(B1762)&gt;0,N(C1762)&gt;0),"Medium","Low")))</f>
        <v/>
      </c>
      <c r="E1762" s="22" t="n"/>
      <c r="F1762" s="22" t="n"/>
      <c r="G1762" s="22" t="n"/>
      <c r="H1762" s="22" t="n"/>
      <c r="I1762" s="22" t="n"/>
      <c r="J1762" s="22" t="n"/>
      <c r="K1762" s="22" t="n"/>
      <c r="L1762" s="22" t="n"/>
      <c r="M1762" s="22">
        <f>IF(K1762="Override",L1762,IF(K1762="Accept suggestion",F1762,IF(K1762="No change (same URL)",A1762,"")))</f>
        <v/>
      </c>
      <c r="N1762" s="22">
        <f>IF(A1762="","",IF(K1762="410 Gone","410",IF(K1762="404","404",IF(K1762="No change (same URL)","none",IF(M1762="","","301")))))</f>
        <v/>
      </c>
      <c r="O1762" s="22">
        <f>IF(A1762="","",IFERROR(MID(A1762,FIND("/",A1762,FIND("//",A1762)+2),2000),A1762))</f>
        <v/>
      </c>
      <c r="P1762" s="22">
        <f>IF(OR(O1762="",N1762="",N1762="none",N1762="404"),"",IF(N1762="410","Redirect gone "&amp;O1762,"Redirect "&amp;N1762&amp;" "&amp;O1762&amp;" "&amp;M1762))</f>
        <v/>
      </c>
      <c r="Q1762" s="22" t="n"/>
      <c r="R1762" s="22" t="n"/>
      <c r="S1762" s="22" t="n"/>
      <c r="T1762" s="4">
        <f>IF(A1762="","",TRIM(IF(K1762="","Needs decision; ","")&amp;IF(AND(K1762="Accept suggestion",F1762=""),"No suggestion to accept; ","")&amp;IF(AND(K1762="Override",L1762=""),"Override URL missing; ","")&amp;IF(AND(K1762="Accept suggestion",N(G1762)&lt;$G$2),"Below your threshold; ","")&amp;IF(AND(M1762&lt;&gt;"",M1762=A1762,K1762&lt;&gt;"No change (same URL)"),"Redirects to itself; ","")&amp;IF(AND(M1762&lt;&gt;"",OR(M1762="/",AND(LEFT(M1762,4)="http",OR((LEN(M1762)-LEN(SUBSTITUTE(M1762,"/","")))=2,AND((LEN(M1762)-LEN(SUBSTITUTE(M1762,"/","")))=3,RIGHT(M1762,1)="/"))))),"Home page redirect; ","")&amp;IF(N(R1762)&gt;1,"Chain; ","")&amp;IF(S1762="No","Destination not 200; ","")))</f>
        <v/>
      </c>
      <c r="U1762" s="22" t="n"/>
      <c r="V1762" s="22" t="n"/>
      <c r="W1762" s="4" t="n"/>
    </row>
    <row r="1763">
      <c r="A1763" s="22" t="n"/>
      <c r="B1763" s="22" t="n"/>
      <c r="C1763" s="22" t="n"/>
      <c r="D1763" s="22">
        <f>IF(A1763="","",IF(OR(N(B1763)&gt;=$C$2,N(C1763)&gt;=$E$2),"High",IF(OR(N(B1763)&gt;0,N(C1763)&gt;0),"Medium","Low")))</f>
        <v/>
      </c>
      <c r="E1763" s="22" t="n"/>
      <c r="F1763" s="22" t="n"/>
      <c r="G1763" s="22" t="n"/>
      <c r="H1763" s="22" t="n"/>
      <c r="I1763" s="22" t="n"/>
      <c r="J1763" s="22" t="n"/>
      <c r="K1763" s="22" t="n"/>
      <c r="L1763" s="22" t="n"/>
      <c r="M1763" s="22">
        <f>IF(K1763="Override",L1763,IF(K1763="Accept suggestion",F1763,IF(K1763="No change (same URL)",A1763,"")))</f>
        <v/>
      </c>
      <c r="N1763" s="22">
        <f>IF(A1763="","",IF(K1763="410 Gone","410",IF(K1763="404","404",IF(K1763="No change (same URL)","none",IF(M1763="","","301")))))</f>
        <v/>
      </c>
      <c r="O1763" s="22">
        <f>IF(A1763="","",IFERROR(MID(A1763,FIND("/",A1763,FIND("//",A1763)+2),2000),A1763))</f>
        <v/>
      </c>
      <c r="P1763" s="22">
        <f>IF(OR(O1763="",N1763="",N1763="none",N1763="404"),"",IF(N1763="410","Redirect gone "&amp;O1763,"Redirect "&amp;N1763&amp;" "&amp;O1763&amp;" "&amp;M1763))</f>
        <v/>
      </c>
      <c r="Q1763" s="22" t="n"/>
      <c r="R1763" s="22" t="n"/>
      <c r="S1763" s="22" t="n"/>
      <c r="T1763" s="4">
        <f>IF(A1763="","",TRIM(IF(K1763="","Needs decision; ","")&amp;IF(AND(K1763="Accept suggestion",F1763=""),"No suggestion to accept; ","")&amp;IF(AND(K1763="Override",L1763=""),"Override URL missing; ","")&amp;IF(AND(K1763="Accept suggestion",N(G1763)&lt;$G$2),"Below your threshold; ","")&amp;IF(AND(M1763&lt;&gt;"",M1763=A1763,K1763&lt;&gt;"No change (same URL)"),"Redirects to itself; ","")&amp;IF(AND(M1763&lt;&gt;"",OR(M1763="/",AND(LEFT(M1763,4)="http",OR((LEN(M1763)-LEN(SUBSTITUTE(M1763,"/","")))=2,AND((LEN(M1763)-LEN(SUBSTITUTE(M1763,"/","")))=3,RIGHT(M1763,1)="/"))))),"Home page redirect; ","")&amp;IF(N(R1763)&gt;1,"Chain; ","")&amp;IF(S1763="No","Destination not 200; ","")))</f>
        <v/>
      </c>
      <c r="U1763" s="22" t="n"/>
      <c r="V1763" s="22" t="n"/>
      <c r="W1763" s="4" t="n"/>
    </row>
    <row r="1764">
      <c r="A1764" s="22" t="n"/>
      <c r="B1764" s="22" t="n"/>
      <c r="C1764" s="22" t="n"/>
      <c r="D1764" s="22">
        <f>IF(A1764="","",IF(OR(N(B1764)&gt;=$C$2,N(C1764)&gt;=$E$2),"High",IF(OR(N(B1764)&gt;0,N(C1764)&gt;0),"Medium","Low")))</f>
        <v/>
      </c>
      <c r="E1764" s="22" t="n"/>
      <c r="F1764" s="22" t="n"/>
      <c r="G1764" s="22" t="n"/>
      <c r="H1764" s="22" t="n"/>
      <c r="I1764" s="22" t="n"/>
      <c r="J1764" s="22" t="n"/>
      <c r="K1764" s="22" t="n"/>
      <c r="L1764" s="22" t="n"/>
      <c r="M1764" s="22">
        <f>IF(K1764="Override",L1764,IF(K1764="Accept suggestion",F1764,IF(K1764="No change (same URL)",A1764,"")))</f>
        <v/>
      </c>
      <c r="N1764" s="22">
        <f>IF(A1764="","",IF(K1764="410 Gone","410",IF(K1764="404","404",IF(K1764="No change (same URL)","none",IF(M1764="","","301")))))</f>
        <v/>
      </c>
      <c r="O1764" s="22">
        <f>IF(A1764="","",IFERROR(MID(A1764,FIND("/",A1764,FIND("//",A1764)+2),2000),A1764))</f>
        <v/>
      </c>
      <c r="P1764" s="22">
        <f>IF(OR(O1764="",N1764="",N1764="none",N1764="404"),"",IF(N1764="410","Redirect gone "&amp;O1764,"Redirect "&amp;N1764&amp;" "&amp;O1764&amp;" "&amp;M1764))</f>
        <v/>
      </c>
      <c r="Q1764" s="22" t="n"/>
      <c r="R1764" s="22" t="n"/>
      <c r="S1764" s="22" t="n"/>
      <c r="T1764" s="4">
        <f>IF(A1764="","",TRIM(IF(K1764="","Needs decision; ","")&amp;IF(AND(K1764="Accept suggestion",F1764=""),"No suggestion to accept; ","")&amp;IF(AND(K1764="Override",L1764=""),"Override URL missing; ","")&amp;IF(AND(K1764="Accept suggestion",N(G1764)&lt;$G$2),"Below your threshold; ","")&amp;IF(AND(M1764&lt;&gt;"",M1764=A1764,K1764&lt;&gt;"No change (same URL)"),"Redirects to itself; ","")&amp;IF(AND(M1764&lt;&gt;"",OR(M1764="/",AND(LEFT(M1764,4)="http",OR((LEN(M1764)-LEN(SUBSTITUTE(M1764,"/","")))=2,AND((LEN(M1764)-LEN(SUBSTITUTE(M1764,"/","")))=3,RIGHT(M1764,1)="/"))))),"Home page redirect; ","")&amp;IF(N(R1764)&gt;1,"Chain; ","")&amp;IF(S1764="No","Destination not 200; ","")))</f>
        <v/>
      </c>
      <c r="U1764" s="22" t="n"/>
      <c r="V1764" s="22" t="n"/>
      <c r="W1764" s="4" t="n"/>
    </row>
    <row r="1765">
      <c r="A1765" s="22" t="n"/>
      <c r="B1765" s="22" t="n"/>
      <c r="C1765" s="22" t="n"/>
      <c r="D1765" s="22">
        <f>IF(A1765="","",IF(OR(N(B1765)&gt;=$C$2,N(C1765)&gt;=$E$2),"High",IF(OR(N(B1765)&gt;0,N(C1765)&gt;0),"Medium","Low")))</f>
        <v/>
      </c>
      <c r="E1765" s="22" t="n"/>
      <c r="F1765" s="22" t="n"/>
      <c r="G1765" s="22" t="n"/>
      <c r="H1765" s="22" t="n"/>
      <c r="I1765" s="22" t="n"/>
      <c r="J1765" s="22" t="n"/>
      <c r="K1765" s="22" t="n"/>
      <c r="L1765" s="22" t="n"/>
      <c r="M1765" s="22">
        <f>IF(K1765="Override",L1765,IF(K1765="Accept suggestion",F1765,IF(K1765="No change (same URL)",A1765,"")))</f>
        <v/>
      </c>
      <c r="N1765" s="22">
        <f>IF(A1765="","",IF(K1765="410 Gone","410",IF(K1765="404","404",IF(K1765="No change (same URL)","none",IF(M1765="","","301")))))</f>
        <v/>
      </c>
      <c r="O1765" s="22">
        <f>IF(A1765="","",IFERROR(MID(A1765,FIND("/",A1765,FIND("//",A1765)+2),2000),A1765))</f>
        <v/>
      </c>
      <c r="P1765" s="22">
        <f>IF(OR(O1765="",N1765="",N1765="none",N1765="404"),"",IF(N1765="410","Redirect gone "&amp;O1765,"Redirect "&amp;N1765&amp;" "&amp;O1765&amp;" "&amp;M1765))</f>
        <v/>
      </c>
      <c r="Q1765" s="22" t="n"/>
      <c r="R1765" s="22" t="n"/>
      <c r="S1765" s="22" t="n"/>
      <c r="T1765" s="4">
        <f>IF(A1765="","",TRIM(IF(K1765="","Needs decision; ","")&amp;IF(AND(K1765="Accept suggestion",F1765=""),"No suggestion to accept; ","")&amp;IF(AND(K1765="Override",L1765=""),"Override URL missing; ","")&amp;IF(AND(K1765="Accept suggestion",N(G1765)&lt;$G$2),"Below your threshold; ","")&amp;IF(AND(M1765&lt;&gt;"",M1765=A1765,K1765&lt;&gt;"No change (same URL)"),"Redirects to itself; ","")&amp;IF(AND(M1765&lt;&gt;"",OR(M1765="/",AND(LEFT(M1765,4)="http",OR((LEN(M1765)-LEN(SUBSTITUTE(M1765,"/","")))=2,AND((LEN(M1765)-LEN(SUBSTITUTE(M1765,"/","")))=3,RIGHT(M1765,1)="/"))))),"Home page redirect; ","")&amp;IF(N(R1765)&gt;1,"Chain; ","")&amp;IF(S1765="No","Destination not 200; ","")))</f>
        <v/>
      </c>
      <c r="U1765" s="22" t="n"/>
      <c r="V1765" s="22" t="n"/>
      <c r="W1765" s="4" t="n"/>
    </row>
    <row r="1766">
      <c r="A1766" s="22" t="n"/>
      <c r="B1766" s="22" t="n"/>
      <c r="C1766" s="22" t="n"/>
      <c r="D1766" s="22">
        <f>IF(A1766="","",IF(OR(N(B1766)&gt;=$C$2,N(C1766)&gt;=$E$2),"High",IF(OR(N(B1766)&gt;0,N(C1766)&gt;0),"Medium","Low")))</f>
        <v/>
      </c>
      <c r="E1766" s="22" t="n"/>
      <c r="F1766" s="22" t="n"/>
      <c r="G1766" s="22" t="n"/>
      <c r="H1766" s="22" t="n"/>
      <c r="I1766" s="22" t="n"/>
      <c r="J1766" s="22" t="n"/>
      <c r="K1766" s="22" t="n"/>
      <c r="L1766" s="22" t="n"/>
      <c r="M1766" s="22">
        <f>IF(K1766="Override",L1766,IF(K1766="Accept suggestion",F1766,IF(K1766="No change (same URL)",A1766,"")))</f>
        <v/>
      </c>
      <c r="N1766" s="22">
        <f>IF(A1766="","",IF(K1766="410 Gone","410",IF(K1766="404","404",IF(K1766="No change (same URL)","none",IF(M1766="","","301")))))</f>
        <v/>
      </c>
      <c r="O1766" s="22">
        <f>IF(A1766="","",IFERROR(MID(A1766,FIND("/",A1766,FIND("//",A1766)+2),2000),A1766))</f>
        <v/>
      </c>
      <c r="P1766" s="22">
        <f>IF(OR(O1766="",N1766="",N1766="none",N1766="404"),"",IF(N1766="410","Redirect gone "&amp;O1766,"Redirect "&amp;N1766&amp;" "&amp;O1766&amp;" "&amp;M1766))</f>
        <v/>
      </c>
      <c r="Q1766" s="22" t="n"/>
      <c r="R1766" s="22" t="n"/>
      <c r="S1766" s="22" t="n"/>
      <c r="T1766" s="4">
        <f>IF(A1766="","",TRIM(IF(K1766="","Needs decision; ","")&amp;IF(AND(K1766="Accept suggestion",F1766=""),"No suggestion to accept; ","")&amp;IF(AND(K1766="Override",L1766=""),"Override URL missing; ","")&amp;IF(AND(K1766="Accept suggestion",N(G1766)&lt;$G$2),"Below your threshold; ","")&amp;IF(AND(M1766&lt;&gt;"",M1766=A1766,K1766&lt;&gt;"No change (same URL)"),"Redirects to itself; ","")&amp;IF(AND(M1766&lt;&gt;"",OR(M1766="/",AND(LEFT(M1766,4)="http",OR((LEN(M1766)-LEN(SUBSTITUTE(M1766,"/","")))=2,AND((LEN(M1766)-LEN(SUBSTITUTE(M1766,"/","")))=3,RIGHT(M1766,1)="/"))))),"Home page redirect; ","")&amp;IF(N(R1766)&gt;1,"Chain; ","")&amp;IF(S1766="No","Destination not 200; ","")))</f>
        <v/>
      </c>
      <c r="U1766" s="22" t="n"/>
      <c r="V1766" s="22" t="n"/>
      <c r="W1766" s="4" t="n"/>
    </row>
    <row r="1767">
      <c r="A1767" s="22" t="n"/>
      <c r="B1767" s="22" t="n"/>
      <c r="C1767" s="22" t="n"/>
      <c r="D1767" s="22">
        <f>IF(A1767="","",IF(OR(N(B1767)&gt;=$C$2,N(C1767)&gt;=$E$2),"High",IF(OR(N(B1767)&gt;0,N(C1767)&gt;0),"Medium","Low")))</f>
        <v/>
      </c>
      <c r="E1767" s="22" t="n"/>
      <c r="F1767" s="22" t="n"/>
      <c r="G1767" s="22" t="n"/>
      <c r="H1767" s="22" t="n"/>
      <c r="I1767" s="22" t="n"/>
      <c r="J1767" s="22" t="n"/>
      <c r="K1767" s="22" t="n"/>
      <c r="L1767" s="22" t="n"/>
      <c r="M1767" s="22">
        <f>IF(K1767="Override",L1767,IF(K1767="Accept suggestion",F1767,IF(K1767="No change (same URL)",A1767,"")))</f>
        <v/>
      </c>
      <c r="N1767" s="22">
        <f>IF(A1767="","",IF(K1767="410 Gone","410",IF(K1767="404","404",IF(K1767="No change (same URL)","none",IF(M1767="","","301")))))</f>
        <v/>
      </c>
      <c r="O1767" s="22">
        <f>IF(A1767="","",IFERROR(MID(A1767,FIND("/",A1767,FIND("//",A1767)+2),2000),A1767))</f>
        <v/>
      </c>
      <c r="P1767" s="22">
        <f>IF(OR(O1767="",N1767="",N1767="none",N1767="404"),"",IF(N1767="410","Redirect gone "&amp;O1767,"Redirect "&amp;N1767&amp;" "&amp;O1767&amp;" "&amp;M1767))</f>
        <v/>
      </c>
      <c r="Q1767" s="22" t="n"/>
      <c r="R1767" s="22" t="n"/>
      <c r="S1767" s="22" t="n"/>
      <c r="T1767" s="4">
        <f>IF(A1767="","",TRIM(IF(K1767="","Needs decision; ","")&amp;IF(AND(K1767="Accept suggestion",F1767=""),"No suggestion to accept; ","")&amp;IF(AND(K1767="Override",L1767=""),"Override URL missing; ","")&amp;IF(AND(K1767="Accept suggestion",N(G1767)&lt;$G$2),"Below your threshold; ","")&amp;IF(AND(M1767&lt;&gt;"",M1767=A1767,K1767&lt;&gt;"No change (same URL)"),"Redirects to itself; ","")&amp;IF(AND(M1767&lt;&gt;"",OR(M1767="/",AND(LEFT(M1767,4)="http",OR((LEN(M1767)-LEN(SUBSTITUTE(M1767,"/","")))=2,AND((LEN(M1767)-LEN(SUBSTITUTE(M1767,"/","")))=3,RIGHT(M1767,1)="/"))))),"Home page redirect; ","")&amp;IF(N(R1767)&gt;1,"Chain; ","")&amp;IF(S1767="No","Destination not 200; ","")))</f>
        <v/>
      </c>
      <c r="U1767" s="22" t="n"/>
      <c r="V1767" s="22" t="n"/>
      <c r="W1767" s="4" t="n"/>
    </row>
    <row r="1768">
      <c r="A1768" s="22" t="n"/>
      <c r="B1768" s="22" t="n"/>
      <c r="C1768" s="22" t="n"/>
      <c r="D1768" s="22">
        <f>IF(A1768="","",IF(OR(N(B1768)&gt;=$C$2,N(C1768)&gt;=$E$2),"High",IF(OR(N(B1768)&gt;0,N(C1768)&gt;0),"Medium","Low")))</f>
        <v/>
      </c>
      <c r="E1768" s="22" t="n"/>
      <c r="F1768" s="22" t="n"/>
      <c r="G1768" s="22" t="n"/>
      <c r="H1768" s="22" t="n"/>
      <c r="I1768" s="22" t="n"/>
      <c r="J1768" s="22" t="n"/>
      <c r="K1768" s="22" t="n"/>
      <c r="L1768" s="22" t="n"/>
      <c r="M1768" s="22">
        <f>IF(K1768="Override",L1768,IF(K1768="Accept suggestion",F1768,IF(K1768="No change (same URL)",A1768,"")))</f>
        <v/>
      </c>
      <c r="N1768" s="22">
        <f>IF(A1768="","",IF(K1768="410 Gone","410",IF(K1768="404","404",IF(K1768="No change (same URL)","none",IF(M1768="","","301")))))</f>
        <v/>
      </c>
      <c r="O1768" s="22">
        <f>IF(A1768="","",IFERROR(MID(A1768,FIND("/",A1768,FIND("//",A1768)+2),2000),A1768))</f>
        <v/>
      </c>
      <c r="P1768" s="22">
        <f>IF(OR(O1768="",N1768="",N1768="none",N1768="404"),"",IF(N1768="410","Redirect gone "&amp;O1768,"Redirect "&amp;N1768&amp;" "&amp;O1768&amp;" "&amp;M1768))</f>
        <v/>
      </c>
      <c r="Q1768" s="22" t="n"/>
      <c r="R1768" s="22" t="n"/>
      <c r="S1768" s="22" t="n"/>
      <c r="T1768" s="4">
        <f>IF(A1768="","",TRIM(IF(K1768="","Needs decision; ","")&amp;IF(AND(K1768="Accept suggestion",F1768=""),"No suggestion to accept; ","")&amp;IF(AND(K1768="Override",L1768=""),"Override URL missing; ","")&amp;IF(AND(K1768="Accept suggestion",N(G1768)&lt;$G$2),"Below your threshold; ","")&amp;IF(AND(M1768&lt;&gt;"",M1768=A1768,K1768&lt;&gt;"No change (same URL)"),"Redirects to itself; ","")&amp;IF(AND(M1768&lt;&gt;"",OR(M1768="/",AND(LEFT(M1768,4)="http",OR((LEN(M1768)-LEN(SUBSTITUTE(M1768,"/","")))=2,AND((LEN(M1768)-LEN(SUBSTITUTE(M1768,"/","")))=3,RIGHT(M1768,1)="/"))))),"Home page redirect; ","")&amp;IF(N(R1768)&gt;1,"Chain; ","")&amp;IF(S1768="No","Destination not 200; ","")))</f>
        <v/>
      </c>
      <c r="U1768" s="22" t="n"/>
      <c r="V1768" s="22" t="n"/>
      <c r="W1768" s="4" t="n"/>
    </row>
    <row r="1769">
      <c r="A1769" s="22" t="n"/>
      <c r="B1769" s="22" t="n"/>
      <c r="C1769" s="22" t="n"/>
      <c r="D1769" s="22">
        <f>IF(A1769="","",IF(OR(N(B1769)&gt;=$C$2,N(C1769)&gt;=$E$2),"High",IF(OR(N(B1769)&gt;0,N(C1769)&gt;0),"Medium","Low")))</f>
        <v/>
      </c>
      <c r="E1769" s="22" t="n"/>
      <c r="F1769" s="22" t="n"/>
      <c r="G1769" s="22" t="n"/>
      <c r="H1769" s="22" t="n"/>
      <c r="I1769" s="22" t="n"/>
      <c r="J1769" s="22" t="n"/>
      <c r="K1769" s="22" t="n"/>
      <c r="L1769" s="22" t="n"/>
      <c r="M1769" s="22">
        <f>IF(K1769="Override",L1769,IF(K1769="Accept suggestion",F1769,IF(K1769="No change (same URL)",A1769,"")))</f>
        <v/>
      </c>
      <c r="N1769" s="22">
        <f>IF(A1769="","",IF(K1769="410 Gone","410",IF(K1769="404","404",IF(K1769="No change (same URL)","none",IF(M1769="","","301")))))</f>
        <v/>
      </c>
      <c r="O1769" s="22">
        <f>IF(A1769="","",IFERROR(MID(A1769,FIND("/",A1769,FIND("//",A1769)+2),2000),A1769))</f>
        <v/>
      </c>
      <c r="P1769" s="22">
        <f>IF(OR(O1769="",N1769="",N1769="none",N1769="404"),"",IF(N1769="410","Redirect gone "&amp;O1769,"Redirect "&amp;N1769&amp;" "&amp;O1769&amp;" "&amp;M1769))</f>
        <v/>
      </c>
      <c r="Q1769" s="22" t="n"/>
      <c r="R1769" s="22" t="n"/>
      <c r="S1769" s="22" t="n"/>
      <c r="T1769" s="4">
        <f>IF(A1769="","",TRIM(IF(K1769="","Needs decision; ","")&amp;IF(AND(K1769="Accept suggestion",F1769=""),"No suggestion to accept; ","")&amp;IF(AND(K1769="Override",L1769=""),"Override URL missing; ","")&amp;IF(AND(K1769="Accept suggestion",N(G1769)&lt;$G$2),"Below your threshold; ","")&amp;IF(AND(M1769&lt;&gt;"",M1769=A1769,K1769&lt;&gt;"No change (same URL)"),"Redirects to itself; ","")&amp;IF(AND(M1769&lt;&gt;"",OR(M1769="/",AND(LEFT(M1769,4)="http",OR((LEN(M1769)-LEN(SUBSTITUTE(M1769,"/","")))=2,AND((LEN(M1769)-LEN(SUBSTITUTE(M1769,"/","")))=3,RIGHT(M1769,1)="/"))))),"Home page redirect; ","")&amp;IF(N(R1769)&gt;1,"Chain; ","")&amp;IF(S1769="No","Destination not 200; ","")))</f>
        <v/>
      </c>
      <c r="U1769" s="22" t="n"/>
      <c r="V1769" s="22" t="n"/>
      <c r="W1769" s="4" t="n"/>
    </row>
    <row r="1770">
      <c r="A1770" s="22" t="n"/>
      <c r="B1770" s="22" t="n"/>
      <c r="C1770" s="22" t="n"/>
      <c r="D1770" s="22">
        <f>IF(A1770="","",IF(OR(N(B1770)&gt;=$C$2,N(C1770)&gt;=$E$2),"High",IF(OR(N(B1770)&gt;0,N(C1770)&gt;0),"Medium","Low")))</f>
        <v/>
      </c>
      <c r="E1770" s="22" t="n"/>
      <c r="F1770" s="22" t="n"/>
      <c r="G1770" s="22" t="n"/>
      <c r="H1770" s="22" t="n"/>
      <c r="I1770" s="22" t="n"/>
      <c r="J1770" s="22" t="n"/>
      <c r="K1770" s="22" t="n"/>
      <c r="L1770" s="22" t="n"/>
      <c r="M1770" s="22">
        <f>IF(K1770="Override",L1770,IF(K1770="Accept suggestion",F1770,IF(K1770="No change (same URL)",A1770,"")))</f>
        <v/>
      </c>
      <c r="N1770" s="22">
        <f>IF(A1770="","",IF(K1770="410 Gone","410",IF(K1770="404","404",IF(K1770="No change (same URL)","none",IF(M1770="","","301")))))</f>
        <v/>
      </c>
      <c r="O1770" s="22">
        <f>IF(A1770="","",IFERROR(MID(A1770,FIND("/",A1770,FIND("//",A1770)+2),2000),A1770))</f>
        <v/>
      </c>
      <c r="P1770" s="22">
        <f>IF(OR(O1770="",N1770="",N1770="none",N1770="404"),"",IF(N1770="410","Redirect gone "&amp;O1770,"Redirect "&amp;N1770&amp;" "&amp;O1770&amp;" "&amp;M1770))</f>
        <v/>
      </c>
      <c r="Q1770" s="22" t="n"/>
      <c r="R1770" s="22" t="n"/>
      <c r="S1770" s="22" t="n"/>
      <c r="T1770" s="4">
        <f>IF(A1770="","",TRIM(IF(K1770="","Needs decision; ","")&amp;IF(AND(K1770="Accept suggestion",F1770=""),"No suggestion to accept; ","")&amp;IF(AND(K1770="Override",L1770=""),"Override URL missing; ","")&amp;IF(AND(K1770="Accept suggestion",N(G1770)&lt;$G$2),"Below your threshold; ","")&amp;IF(AND(M1770&lt;&gt;"",M1770=A1770,K1770&lt;&gt;"No change (same URL)"),"Redirects to itself; ","")&amp;IF(AND(M1770&lt;&gt;"",OR(M1770="/",AND(LEFT(M1770,4)="http",OR((LEN(M1770)-LEN(SUBSTITUTE(M1770,"/","")))=2,AND((LEN(M1770)-LEN(SUBSTITUTE(M1770,"/","")))=3,RIGHT(M1770,1)="/"))))),"Home page redirect; ","")&amp;IF(N(R1770)&gt;1,"Chain; ","")&amp;IF(S1770="No","Destination not 200; ","")))</f>
        <v/>
      </c>
      <c r="U1770" s="22" t="n"/>
      <c r="V1770" s="22" t="n"/>
      <c r="W1770" s="4" t="n"/>
    </row>
    <row r="1771">
      <c r="A1771" s="22" t="n"/>
      <c r="B1771" s="22" t="n"/>
      <c r="C1771" s="22" t="n"/>
      <c r="D1771" s="22">
        <f>IF(A1771="","",IF(OR(N(B1771)&gt;=$C$2,N(C1771)&gt;=$E$2),"High",IF(OR(N(B1771)&gt;0,N(C1771)&gt;0),"Medium","Low")))</f>
        <v/>
      </c>
      <c r="E1771" s="22" t="n"/>
      <c r="F1771" s="22" t="n"/>
      <c r="G1771" s="22" t="n"/>
      <c r="H1771" s="22" t="n"/>
      <c r="I1771" s="22" t="n"/>
      <c r="J1771" s="22" t="n"/>
      <c r="K1771" s="22" t="n"/>
      <c r="L1771" s="22" t="n"/>
      <c r="M1771" s="22">
        <f>IF(K1771="Override",L1771,IF(K1771="Accept suggestion",F1771,IF(K1771="No change (same URL)",A1771,"")))</f>
        <v/>
      </c>
      <c r="N1771" s="22">
        <f>IF(A1771="","",IF(K1771="410 Gone","410",IF(K1771="404","404",IF(K1771="No change (same URL)","none",IF(M1771="","","301")))))</f>
        <v/>
      </c>
      <c r="O1771" s="22">
        <f>IF(A1771="","",IFERROR(MID(A1771,FIND("/",A1771,FIND("//",A1771)+2),2000),A1771))</f>
        <v/>
      </c>
      <c r="P1771" s="22">
        <f>IF(OR(O1771="",N1771="",N1771="none",N1771="404"),"",IF(N1771="410","Redirect gone "&amp;O1771,"Redirect "&amp;N1771&amp;" "&amp;O1771&amp;" "&amp;M1771))</f>
        <v/>
      </c>
      <c r="Q1771" s="22" t="n"/>
      <c r="R1771" s="22" t="n"/>
      <c r="S1771" s="22" t="n"/>
      <c r="T1771" s="4">
        <f>IF(A1771="","",TRIM(IF(K1771="","Needs decision; ","")&amp;IF(AND(K1771="Accept suggestion",F1771=""),"No suggestion to accept; ","")&amp;IF(AND(K1771="Override",L1771=""),"Override URL missing; ","")&amp;IF(AND(K1771="Accept suggestion",N(G1771)&lt;$G$2),"Below your threshold; ","")&amp;IF(AND(M1771&lt;&gt;"",M1771=A1771,K1771&lt;&gt;"No change (same URL)"),"Redirects to itself; ","")&amp;IF(AND(M1771&lt;&gt;"",OR(M1771="/",AND(LEFT(M1771,4)="http",OR((LEN(M1771)-LEN(SUBSTITUTE(M1771,"/","")))=2,AND((LEN(M1771)-LEN(SUBSTITUTE(M1771,"/","")))=3,RIGHT(M1771,1)="/"))))),"Home page redirect; ","")&amp;IF(N(R1771)&gt;1,"Chain; ","")&amp;IF(S1771="No","Destination not 200; ","")))</f>
        <v/>
      </c>
      <c r="U1771" s="22" t="n"/>
      <c r="V1771" s="22" t="n"/>
      <c r="W1771" s="4" t="n"/>
    </row>
    <row r="1772">
      <c r="A1772" s="22" t="n"/>
      <c r="B1772" s="22" t="n"/>
      <c r="C1772" s="22" t="n"/>
      <c r="D1772" s="22">
        <f>IF(A1772="","",IF(OR(N(B1772)&gt;=$C$2,N(C1772)&gt;=$E$2),"High",IF(OR(N(B1772)&gt;0,N(C1772)&gt;0),"Medium","Low")))</f>
        <v/>
      </c>
      <c r="E1772" s="22" t="n"/>
      <c r="F1772" s="22" t="n"/>
      <c r="G1772" s="22" t="n"/>
      <c r="H1772" s="22" t="n"/>
      <c r="I1772" s="22" t="n"/>
      <c r="J1772" s="22" t="n"/>
      <c r="K1772" s="22" t="n"/>
      <c r="L1772" s="22" t="n"/>
      <c r="M1772" s="22">
        <f>IF(K1772="Override",L1772,IF(K1772="Accept suggestion",F1772,IF(K1772="No change (same URL)",A1772,"")))</f>
        <v/>
      </c>
      <c r="N1772" s="22">
        <f>IF(A1772="","",IF(K1772="410 Gone","410",IF(K1772="404","404",IF(K1772="No change (same URL)","none",IF(M1772="","","301")))))</f>
        <v/>
      </c>
      <c r="O1772" s="22">
        <f>IF(A1772="","",IFERROR(MID(A1772,FIND("/",A1772,FIND("//",A1772)+2),2000),A1772))</f>
        <v/>
      </c>
      <c r="P1772" s="22">
        <f>IF(OR(O1772="",N1772="",N1772="none",N1772="404"),"",IF(N1772="410","Redirect gone "&amp;O1772,"Redirect "&amp;N1772&amp;" "&amp;O1772&amp;" "&amp;M1772))</f>
        <v/>
      </c>
      <c r="Q1772" s="22" t="n"/>
      <c r="R1772" s="22" t="n"/>
      <c r="S1772" s="22" t="n"/>
      <c r="T1772" s="4">
        <f>IF(A1772="","",TRIM(IF(K1772="","Needs decision; ","")&amp;IF(AND(K1772="Accept suggestion",F1772=""),"No suggestion to accept; ","")&amp;IF(AND(K1772="Override",L1772=""),"Override URL missing; ","")&amp;IF(AND(K1772="Accept suggestion",N(G1772)&lt;$G$2),"Below your threshold; ","")&amp;IF(AND(M1772&lt;&gt;"",M1772=A1772,K1772&lt;&gt;"No change (same URL)"),"Redirects to itself; ","")&amp;IF(AND(M1772&lt;&gt;"",OR(M1772="/",AND(LEFT(M1772,4)="http",OR((LEN(M1772)-LEN(SUBSTITUTE(M1772,"/","")))=2,AND((LEN(M1772)-LEN(SUBSTITUTE(M1772,"/","")))=3,RIGHT(M1772,1)="/"))))),"Home page redirect; ","")&amp;IF(N(R1772)&gt;1,"Chain; ","")&amp;IF(S1772="No","Destination not 200; ","")))</f>
        <v/>
      </c>
      <c r="U1772" s="22" t="n"/>
      <c r="V1772" s="22" t="n"/>
      <c r="W1772" s="4" t="n"/>
    </row>
    <row r="1773">
      <c r="A1773" s="22" t="n"/>
      <c r="B1773" s="22" t="n"/>
      <c r="C1773" s="22" t="n"/>
      <c r="D1773" s="22">
        <f>IF(A1773="","",IF(OR(N(B1773)&gt;=$C$2,N(C1773)&gt;=$E$2),"High",IF(OR(N(B1773)&gt;0,N(C1773)&gt;0),"Medium","Low")))</f>
        <v/>
      </c>
      <c r="E1773" s="22" t="n"/>
      <c r="F1773" s="22" t="n"/>
      <c r="G1773" s="22" t="n"/>
      <c r="H1773" s="22" t="n"/>
      <c r="I1773" s="22" t="n"/>
      <c r="J1773" s="22" t="n"/>
      <c r="K1773" s="22" t="n"/>
      <c r="L1773" s="22" t="n"/>
      <c r="M1773" s="22">
        <f>IF(K1773="Override",L1773,IF(K1773="Accept suggestion",F1773,IF(K1773="No change (same URL)",A1773,"")))</f>
        <v/>
      </c>
      <c r="N1773" s="22">
        <f>IF(A1773="","",IF(K1773="410 Gone","410",IF(K1773="404","404",IF(K1773="No change (same URL)","none",IF(M1773="","","301")))))</f>
        <v/>
      </c>
      <c r="O1773" s="22">
        <f>IF(A1773="","",IFERROR(MID(A1773,FIND("/",A1773,FIND("//",A1773)+2),2000),A1773))</f>
        <v/>
      </c>
      <c r="P1773" s="22">
        <f>IF(OR(O1773="",N1773="",N1773="none",N1773="404"),"",IF(N1773="410","Redirect gone "&amp;O1773,"Redirect "&amp;N1773&amp;" "&amp;O1773&amp;" "&amp;M1773))</f>
        <v/>
      </c>
      <c r="Q1773" s="22" t="n"/>
      <c r="R1773" s="22" t="n"/>
      <c r="S1773" s="22" t="n"/>
      <c r="T1773" s="4">
        <f>IF(A1773="","",TRIM(IF(K1773="","Needs decision; ","")&amp;IF(AND(K1773="Accept suggestion",F1773=""),"No suggestion to accept; ","")&amp;IF(AND(K1773="Override",L1773=""),"Override URL missing; ","")&amp;IF(AND(K1773="Accept suggestion",N(G1773)&lt;$G$2),"Below your threshold; ","")&amp;IF(AND(M1773&lt;&gt;"",M1773=A1773,K1773&lt;&gt;"No change (same URL)"),"Redirects to itself; ","")&amp;IF(AND(M1773&lt;&gt;"",OR(M1773="/",AND(LEFT(M1773,4)="http",OR((LEN(M1773)-LEN(SUBSTITUTE(M1773,"/","")))=2,AND((LEN(M1773)-LEN(SUBSTITUTE(M1773,"/","")))=3,RIGHT(M1773,1)="/"))))),"Home page redirect; ","")&amp;IF(N(R1773)&gt;1,"Chain; ","")&amp;IF(S1773="No","Destination not 200; ","")))</f>
        <v/>
      </c>
      <c r="U1773" s="22" t="n"/>
      <c r="V1773" s="22" t="n"/>
      <c r="W1773" s="4" t="n"/>
    </row>
    <row r="1774">
      <c r="A1774" s="22" t="n"/>
      <c r="B1774" s="22" t="n"/>
      <c r="C1774" s="22" t="n"/>
      <c r="D1774" s="22">
        <f>IF(A1774="","",IF(OR(N(B1774)&gt;=$C$2,N(C1774)&gt;=$E$2),"High",IF(OR(N(B1774)&gt;0,N(C1774)&gt;0),"Medium","Low")))</f>
        <v/>
      </c>
      <c r="E1774" s="22" t="n"/>
      <c r="F1774" s="22" t="n"/>
      <c r="G1774" s="22" t="n"/>
      <c r="H1774" s="22" t="n"/>
      <c r="I1774" s="22" t="n"/>
      <c r="J1774" s="22" t="n"/>
      <c r="K1774" s="22" t="n"/>
      <c r="L1774" s="22" t="n"/>
      <c r="M1774" s="22">
        <f>IF(K1774="Override",L1774,IF(K1774="Accept suggestion",F1774,IF(K1774="No change (same URL)",A1774,"")))</f>
        <v/>
      </c>
      <c r="N1774" s="22">
        <f>IF(A1774="","",IF(K1774="410 Gone","410",IF(K1774="404","404",IF(K1774="No change (same URL)","none",IF(M1774="","","301")))))</f>
        <v/>
      </c>
      <c r="O1774" s="22">
        <f>IF(A1774="","",IFERROR(MID(A1774,FIND("/",A1774,FIND("//",A1774)+2),2000),A1774))</f>
        <v/>
      </c>
      <c r="P1774" s="22">
        <f>IF(OR(O1774="",N1774="",N1774="none",N1774="404"),"",IF(N1774="410","Redirect gone "&amp;O1774,"Redirect "&amp;N1774&amp;" "&amp;O1774&amp;" "&amp;M1774))</f>
        <v/>
      </c>
      <c r="Q1774" s="22" t="n"/>
      <c r="R1774" s="22" t="n"/>
      <c r="S1774" s="22" t="n"/>
      <c r="T1774" s="4">
        <f>IF(A1774="","",TRIM(IF(K1774="","Needs decision; ","")&amp;IF(AND(K1774="Accept suggestion",F1774=""),"No suggestion to accept; ","")&amp;IF(AND(K1774="Override",L1774=""),"Override URL missing; ","")&amp;IF(AND(K1774="Accept suggestion",N(G1774)&lt;$G$2),"Below your threshold; ","")&amp;IF(AND(M1774&lt;&gt;"",M1774=A1774,K1774&lt;&gt;"No change (same URL)"),"Redirects to itself; ","")&amp;IF(AND(M1774&lt;&gt;"",OR(M1774="/",AND(LEFT(M1774,4)="http",OR((LEN(M1774)-LEN(SUBSTITUTE(M1774,"/","")))=2,AND((LEN(M1774)-LEN(SUBSTITUTE(M1774,"/","")))=3,RIGHT(M1774,1)="/"))))),"Home page redirect; ","")&amp;IF(N(R1774)&gt;1,"Chain; ","")&amp;IF(S1774="No","Destination not 200; ","")))</f>
        <v/>
      </c>
      <c r="U1774" s="22" t="n"/>
      <c r="V1774" s="22" t="n"/>
      <c r="W1774" s="4" t="n"/>
    </row>
    <row r="1775">
      <c r="A1775" s="22" t="n"/>
      <c r="B1775" s="22" t="n"/>
      <c r="C1775" s="22" t="n"/>
      <c r="D1775" s="22">
        <f>IF(A1775="","",IF(OR(N(B1775)&gt;=$C$2,N(C1775)&gt;=$E$2),"High",IF(OR(N(B1775)&gt;0,N(C1775)&gt;0),"Medium","Low")))</f>
        <v/>
      </c>
      <c r="E1775" s="22" t="n"/>
      <c r="F1775" s="22" t="n"/>
      <c r="G1775" s="22" t="n"/>
      <c r="H1775" s="22" t="n"/>
      <c r="I1775" s="22" t="n"/>
      <c r="J1775" s="22" t="n"/>
      <c r="K1775" s="22" t="n"/>
      <c r="L1775" s="22" t="n"/>
      <c r="M1775" s="22">
        <f>IF(K1775="Override",L1775,IF(K1775="Accept suggestion",F1775,IF(K1775="No change (same URL)",A1775,"")))</f>
        <v/>
      </c>
      <c r="N1775" s="22">
        <f>IF(A1775="","",IF(K1775="410 Gone","410",IF(K1775="404","404",IF(K1775="No change (same URL)","none",IF(M1775="","","301")))))</f>
        <v/>
      </c>
      <c r="O1775" s="22">
        <f>IF(A1775="","",IFERROR(MID(A1775,FIND("/",A1775,FIND("//",A1775)+2),2000),A1775))</f>
        <v/>
      </c>
      <c r="P1775" s="22">
        <f>IF(OR(O1775="",N1775="",N1775="none",N1775="404"),"",IF(N1775="410","Redirect gone "&amp;O1775,"Redirect "&amp;N1775&amp;" "&amp;O1775&amp;" "&amp;M1775))</f>
        <v/>
      </c>
      <c r="Q1775" s="22" t="n"/>
      <c r="R1775" s="22" t="n"/>
      <c r="S1775" s="22" t="n"/>
      <c r="T1775" s="4">
        <f>IF(A1775="","",TRIM(IF(K1775="","Needs decision; ","")&amp;IF(AND(K1775="Accept suggestion",F1775=""),"No suggestion to accept; ","")&amp;IF(AND(K1775="Override",L1775=""),"Override URL missing; ","")&amp;IF(AND(K1775="Accept suggestion",N(G1775)&lt;$G$2),"Below your threshold; ","")&amp;IF(AND(M1775&lt;&gt;"",M1775=A1775,K1775&lt;&gt;"No change (same URL)"),"Redirects to itself; ","")&amp;IF(AND(M1775&lt;&gt;"",OR(M1775="/",AND(LEFT(M1775,4)="http",OR((LEN(M1775)-LEN(SUBSTITUTE(M1775,"/","")))=2,AND((LEN(M1775)-LEN(SUBSTITUTE(M1775,"/","")))=3,RIGHT(M1775,1)="/"))))),"Home page redirect; ","")&amp;IF(N(R1775)&gt;1,"Chain; ","")&amp;IF(S1775="No","Destination not 200; ","")))</f>
        <v/>
      </c>
      <c r="U1775" s="22" t="n"/>
      <c r="V1775" s="22" t="n"/>
      <c r="W1775" s="4" t="n"/>
    </row>
    <row r="1776">
      <c r="A1776" s="22" t="n"/>
      <c r="B1776" s="22" t="n"/>
      <c r="C1776" s="22" t="n"/>
      <c r="D1776" s="22">
        <f>IF(A1776="","",IF(OR(N(B1776)&gt;=$C$2,N(C1776)&gt;=$E$2),"High",IF(OR(N(B1776)&gt;0,N(C1776)&gt;0),"Medium","Low")))</f>
        <v/>
      </c>
      <c r="E1776" s="22" t="n"/>
      <c r="F1776" s="22" t="n"/>
      <c r="G1776" s="22" t="n"/>
      <c r="H1776" s="22" t="n"/>
      <c r="I1776" s="22" t="n"/>
      <c r="J1776" s="22" t="n"/>
      <c r="K1776" s="22" t="n"/>
      <c r="L1776" s="22" t="n"/>
      <c r="M1776" s="22">
        <f>IF(K1776="Override",L1776,IF(K1776="Accept suggestion",F1776,IF(K1776="No change (same URL)",A1776,"")))</f>
        <v/>
      </c>
      <c r="N1776" s="22">
        <f>IF(A1776="","",IF(K1776="410 Gone","410",IF(K1776="404","404",IF(K1776="No change (same URL)","none",IF(M1776="","","301")))))</f>
        <v/>
      </c>
      <c r="O1776" s="22">
        <f>IF(A1776="","",IFERROR(MID(A1776,FIND("/",A1776,FIND("//",A1776)+2),2000),A1776))</f>
        <v/>
      </c>
      <c r="P1776" s="22">
        <f>IF(OR(O1776="",N1776="",N1776="none",N1776="404"),"",IF(N1776="410","Redirect gone "&amp;O1776,"Redirect "&amp;N1776&amp;" "&amp;O1776&amp;" "&amp;M1776))</f>
        <v/>
      </c>
      <c r="Q1776" s="22" t="n"/>
      <c r="R1776" s="22" t="n"/>
      <c r="S1776" s="22" t="n"/>
      <c r="T1776" s="4">
        <f>IF(A1776="","",TRIM(IF(K1776="","Needs decision; ","")&amp;IF(AND(K1776="Accept suggestion",F1776=""),"No suggestion to accept; ","")&amp;IF(AND(K1776="Override",L1776=""),"Override URL missing; ","")&amp;IF(AND(K1776="Accept suggestion",N(G1776)&lt;$G$2),"Below your threshold; ","")&amp;IF(AND(M1776&lt;&gt;"",M1776=A1776,K1776&lt;&gt;"No change (same URL)"),"Redirects to itself; ","")&amp;IF(AND(M1776&lt;&gt;"",OR(M1776="/",AND(LEFT(M1776,4)="http",OR((LEN(M1776)-LEN(SUBSTITUTE(M1776,"/","")))=2,AND((LEN(M1776)-LEN(SUBSTITUTE(M1776,"/","")))=3,RIGHT(M1776,1)="/"))))),"Home page redirect; ","")&amp;IF(N(R1776)&gt;1,"Chain; ","")&amp;IF(S1776="No","Destination not 200; ","")))</f>
        <v/>
      </c>
      <c r="U1776" s="22" t="n"/>
      <c r="V1776" s="22" t="n"/>
      <c r="W1776" s="4" t="n"/>
    </row>
    <row r="1777">
      <c r="A1777" s="22" t="n"/>
      <c r="B1777" s="22" t="n"/>
      <c r="C1777" s="22" t="n"/>
      <c r="D1777" s="22">
        <f>IF(A1777="","",IF(OR(N(B1777)&gt;=$C$2,N(C1777)&gt;=$E$2),"High",IF(OR(N(B1777)&gt;0,N(C1777)&gt;0),"Medium","Low")))</f>
        <v/>
      </c>
      <c r="E1777" s="22" t="n"/>
      <c r="F1777" s="22" t="n"/>
      <c r="G1777" s="22" t="n"/>
      <c r="H1777" s="22" t="n"/>
      <c r="I1777" s="22" t="n"/>
      <c r="J1777" s="22" t="n"/>
      <c r="K1777" s="22" t="n"/>
      <c r="L1777" s="22" t="n"/>
      <c r="M1777" s="22">
        <f>IF(K1777="Override",L1777,IF(K1777="Accept suggestion",F1777,IF(K1777="No change (same URL)",A1777,"")))</f>
        <v/>
      </c>
      <c r="N1777" s="22">
        <f>IF(A1777="","",IF(K1777="410 Gone","410",IF(K1777="404","404",IF(K1777="No change (same URL)","none",IF(M1777="","","301")))))</f>
        <v/>
      </c>
      <c r="O1777" s="22">
        <f>IF(A1777="","",IFERROR(MID(A1777,FIND("/",A1777,FIND("//",A1777)+2),2000),A1777))</f>
        <v/>
      </c>
      <c r="P1777" s="22">
        <f>IF(OR(O1777="",N1777="",N1777="none",N1777="404"),"",IF(N1777="410","Redirect gone "&amp;O1777,"Redirect "&amp;N1777&amp;" "&amp;O1777&amp;" "&amp;M1777))</f>
        <v/>
      </c>
      <c r="Q1777" s="22" t="n"/>
      <c r="R1777" s="22" t="n"/>
      <c r="S1777" s="22" t="n"/>
      <c r="T1777" s="4">
        <f>IF(A1777="","",TRIM(IF(K1777="","Needs decision; ","")&amp;IF(AND(K1777="Accept suggestion",F1777=""),"No suggestion to accept; ","")&amp;IF(AND(K1777="Override",L1777=""),"Override URL missing; ","")&amp;IF(AND(K1777="Accept suggestion",N(G1777)&lt;$G$2),"Below your threshold; ","")&amp;IF(AND(M1777&lt;&gt;"",M1777=A1777,K1777&lt;&gt;"No change (same URL)"),"Redirects to itself; ","")&amp;IF(AND(M1777&lt;&gt;"",OR(M1777="/",AND(LEFT(M1777,4)="http",OR((LEN(M1777)-LEN(SUBSTITUTE(M1777,"/","")))=2,AND((LEN(M1777)-LEN(SUBSTITUTE(M1777,"/","")))=3,RIGHT(M1777,1)="/"))))),"Home page redirect; ","")&amp;IF(N(R1777)&gt;1,"Chain; ","")&amp;IF(S1777="No","Destination not 200; ","")))</f>
        <v/>
      </c>
      <c r="U1777" s="22" t="n"/>
      <c r="V1777" s="22" t="n"/>
      <c r="W1777" s="4" t="n"/>
    </row>
    <row r="1778">
      <c r="A1778" s="22" t="n"/>
      <c r="B1778" s="22" t="n"/>
      <c r="C1778" s="22" t="n"/>
      <c r="D1778" s="22">
        <f>IF(A1778="","",IF(OR(N(B1778)&gt;=$C$2,N(C1778)&gt;=$E$2),"High",IF(OR(N(B1778)&gt;0,N(C1778)&gt;0),"Medium","Low")))</f>
        <v/>
      </c>
      <c r="E1778" s="22" t="n"/>
      <c r="F1778" s="22" t="n"/>
      <c r="G1778" s="22" t="n"/>
      <c r="H1778" s="22" t="n"/>
      <c r="I1778" s="22" t="n"/>
      <c r="J1778" s="22" t="n"/>
      <c r="K1778" s="22" t="n"/>
      <c r="L1778" s="22" t="n"/>
      <c r="M1778" s="22">
        <f>IF(K1778="Override",L1778,IF(K1778="Accept suggestion",F1778,IF(K1778="No change (same URL)",A1778,"")))</f>
        <v/>
      </c>
      <c r="N1778" s="22">
        <f>IF(A1778="","",IF(K1778="410 Gone","410",IF(K1778="404","404",IF(K1778="No change (same URL)","none",IF(M1778="","","301")))))</f>
        <v/>
      </c>
      <c r="O1778" s="22">
        <f>IF(A1778="","",IFERROR(MID(A1778,FIND("/",A1778,FIND("//",A1778)+2),2000),A1778))</f>
        <v/>
      </c>
      <c r="P1778" s="22">
        <f>IF(OR(O1778="",N1778="",N1778="none",N1778="404"),"",IF(N1778="410","Redirect gone "&amp;O1778,"Redirect "&amp;N1778&amp;" "&amp;O1778&amp;" "&amp;M1778))</f>
        <v/>
      </c>
      <c r="Q1778" s="22" t="n"/>
      <c r="R1778" s="22" t="n"/>
      <c r="S1778" s="22" t="n"/>
      <c r="T1778" s="4">
        <f>IF(A1778="","",TRIM(IF(K1778="","Needs decision; ","")&amp;IF(AND(K1778="Accept suggestion",F1778=""),"No suggestion to accept; ","")&amp;IF(AND(K1778="Override",L1778=""),"Override URL missing; ","")&amp;IF(AND(K1778="Accept suggestion",N(G1778)&lt;$G$2),"Below your threshold; ","")&amp;IF(AND(M1778&lt;&gt;"",M1778=A1778,K1778&lt;&gt;"No change (same URL)"),"Redirects to itself; ","")&amp;IF(AND(M1778&lt;&gt;"",OR(M1778="/",AND(LEFT(M1778,4)="http",OR((LEN(M1778)-LEN(SUBSTITUTE(M1778,"/","")))=2,AND((LEN(M1778)-LEN(SUBSTITUTE(M1778,"/","")))=3,RIGHT(M1778,1)="/"))))),"Home page redirect; ","")&amp;IF(N(R1778)&gt;1,"Chain; ","")&amp;IF(S1778="No","Destination not 200; ","")))</f>
        <v/>
      </c>
      <c r="U1778" s="22" t="n"/>
      <c r="V1778" s="22" t="n"/>
      <c r="W1778" s="4" t="n"/>
    </row>
    <row r="1779">
      <c r="A1779" s="22" t="n"/>
      <c r="B1779" s="22" t="n"/>
      <c r="C1779" s="22" t="n"/>
      <c r="D1779" s="22">
        <f>IF(A1779="","",IF(OR(N(B1779)&gt;=$C$2,N(C1779)&gt;=$E$2),"High",IF(OR(N(B1779)&gt;0,N(C1779)&gt;0),"Medium","Low")))</f>
        <v/>
      </c>
      <c r="E1779" s="22" t="n"/>
      <c r="F1779" s="22" t="n"/>
      <c r="G1779" s="22" t="n"/>
      <c r="H1779" s="22" t="n"/>
      <c r="I1779" s="22" t="n"/>
      <c r="J1779" s="22" t="n"/>
      <c r="K1779" s="22" t="n"/>
      <c r="L1779" s="22" t="n"/>
      <c r="M1779" s="22">
        <f>IF(K1779="Override",L1779,IF(K1779="Accept suggestion",F1779,IF(K1779="No change (same URL)",A1779,"")))</f>
        <v/>
      </c>
      <c r="N1779" s="22">
        <f>IF(A1779="","",IF(K1779="410 Gone","410",IF(K1779="404","404",IF(K1779="No change (same URL)","none",IF(M1779="","","301")))))</f>
        <v/>
      </c>
      <c r="O1779" s="22">
        <f>IF(A1779="","",IFERROR(MID(A1779,FIND("/",A1779,FIND("//",A1779)+2),2000),A1779))</f>
        <v/>
      </c>
      <c r="P1779" s="22">
        <f>IF(OR(O1779="",N1779="",N1779="none",N1779="404"),"",IF(N1779="410","Redirect gone "&amp;O1779,"Redirect "&amp;N1779&amp;" "&amp;O1779&amp;" "&amp;M1779))</f>
        <v/>
      </c>
      <c r="Q1779" s="22" t="n"/>
      <c r="R1779" s="22" t="n"/>
      <c r="S1779" s="22" t="n"/>
      <c r="T1779" s="4">
        <f>IF(A1779="","",TRIM(IF(K1779="","Needs decision; ","")&amp;IF(AND(K1779="Accept suggestion",F1779=""),"No suggestion to accept; ","")&amp;IF(AND(K1779="Override",L1779=""),"Override URL missing; ","")&amp;IF(AND(K1779="Accept suggestion",N(G1779)&lt;$G$2),"Below your threshold; ","")&amp;IF(AND(M1779&lt;&gt;"",M1779=A1779,K1779&lt;&gt;"No change (same URL)"),"Redirects to itself; ","")&amp;IF(AND(M1779&lt;&gt;"",OR(M1779="/",AND(LEFT(M1779,4)="http",OR((LEN(M1779)-LEN(SUBSTITUTE(M1779,"/","")))=2,AND((LEN(M1779)-LEN(SUBSTITUTE(M1779,"/","")))=3,RIGHT(M1779,1)="/"))))),"Home page redirect; ","")&amp;IF(N(R1779)&gt;1,"Chain; ","")&amp;IF(S1779="No","Destination not 200; ","")))</f>
        <v/>
      </c>
      <c r="U1779" s="22" t="n"/>
      <c r="V1779" s="22" t="n"/>
      <c r="W1779" s="4" t="n"/>
    </row>
    <row r="1780">
      <c r="A1780" s="22" t="n"/>
      <c r="B1780" s="22" t="n"/>
      <c r="C1780" s="22" t="n"/>
      <c r="D1780" s="22">
        <f>IF(A1780="","",IF(OR(N(B1780)&gt;=$C$2,N(C1780)&gt;=$E$2),"High",IF(OR(N(B1780)&gt;0,N(C1780)&gt;0),"Medium","Low")))</f>
        <v/>
      </c>
      <c r="E1780" s="22" t="n"/>
      <c r="F1780" s="22" t="n"/>
      <c r="G1780" s="22" t="n"/>
      <c r="H1780" s="22" t="n"/>
      <c r="I1780" s="22" t="n"/>
      <c r="J1780" s="22" t="n"/>
      <c r="K1780" s="22" t="n"/>
      <c r="L1780" s="22" t="n"/>
      <c r="M1780" s="22">
        <f>IF(K1780="Override",L1780,IF(K1780="Accept suggestion",F1780,IF(K1780="No change (same URL)",A1780,"")))</f>
        <v/>
      </c>
      <c r="N1780" s="22">
        <f>IF(A1780="","",IF(K1780="410 Gone","410",IF(K1780="404","404",IF(K1780="No change (same URL)","none",IF(M1780="","","301")))))</f>
        <v/>
      </c>
      <c r="O1780" s="22">
        <f>IF(A1780="","",IFERROR(MID(A1780,FIND("/",A1780,FIND("//",A1780)+2),2000),A1780))</f>
        <v/>
      </c>
      <c r="P1780" s="22">
        <f>IF(OR(O1780="",N1780="",N1780="none",N1780="404"),"",IF(N1780="410","Redirect gone "&amp;O1780,"Redirect "&amp;N1780&amp;" "&amp;O1780&amp;" "&amp;M1780))</f>
        <v/>
      </c>
      <c r="Q1780" s="22" t="n"/>
      <c r="R1780" s="22" t="n"/>
      <c r="S1780" s="22" t="n"/>
      <c r="T1780" s="4">
        <f>IF(A1780="","",TRIM(IF(K1780="","Needs decision; ","")&amp;IF(AND(K1780="Accept suggestion",F1780=""),"No suggestion to accept; ","")&amp;IF(AND(K1780="Override",L1780=""),"Override URL missing; ","")&amp;IF(AND(K1780="Accept suggestion",N(G1780)&lt;$G$2),"Below your threshold; ","")&amp;IF(AND(M1780&lt;&gt;"",M1780=A1780,K1780&lt;&gt;"No change (same URL)"),"Redirects to itself; ","")&amp;IF(AND(M1780&lt;&gt;"",OR(M1780="/",AND(LEFT(M1780,4)="http",OR((LEN(M1780)-LEN(SUBSTITUTE(M1780,"/","")))=2,AND((LEN(M1780)-LEN(SUBSTITUTE(M1780,"/","")))=3,RIGHT(M1780,1)="/"))))),"Home page redirect; ","")&amp;IF(N(R1780)&gt;1,"Chain; ","")&amp;IF(S1780="No","Destination not 200; ","")))</f>
        <v/>
      </c>
      <c r="U1780" s="22" t="n"/>
      <c r="V1780" s="22" t="n"/>
      <c r="W1780" s="4" t="n"/>
    </row>
    <row r="1781">
      <c r="A1781" s="22" t="n"/>
      <c r="B1781" s="22" t="n"/>
      <c r="C1781" s="22" t="n"/>
      <c r="D1781" s="22">
        <f>IF(A1781="","",IF(OR(N(B1781)&gt;=$C$2,N(C1781)&gt;=$E$2),"High",IF(OR(N(B1781)&gt;0,N(C1781)&gt;0),"Medium","Low")))</f>
        <v/>
      </c>
      <c r="E1781" s="22" t="n"/>
      <c r="F1781" s="22" t="n"/>
      <c r="G1781" s="22" t="n"/>
      <c r="H1781" s="22" t="n"/>
      <c r="I1781" s="22" t="n"/>
      <c r="J1781" s="22" t="n"/>
      <c r="K1781" s="22" t="n"/>
      <c r="L1781" s="22" t="n"/>
      <c r="M1781" s="22">
        <f>IF(K1781="Override",L1781,IF(K1781="Accept suggestion",F1781,IF(K1781="No change (same URL)",A1781,"")))</f>
        <v/>
      </c>
      <c r="N1781" s="22">
        <f>IF(A1781="","",IF(K1781="410 Gone","410",IF(K1781="404","404",IF(K1781="No change (same URL)","none",IF(M1781="","","301")))))</f>
        <v/>
      </c>
      <c r="O1781" s="22">
        <f>IF(A1781="","",IFERROR(MID(A1781,FIND("/",A1781,FIND("//",A1781)+2),2000),A1781))</f>
        <v/>
      </c>
      <c r="P1781" s="22">
        <f>IF(OR(O1781="",N1781="",N1781="none",N1781="404"),"",IF(N1781="410","Redirect gone "&amp;O1781,"Redirect "&amp;N1781&amp;" "&amp;O1781&amp;" "&amp;M1781))</f>
        <v/>
      </c>
      <c r="Q1781" s="22" t="n"/>
      <c r="R1781" s="22" t="n"/>
      <c r="S1781" s="22" t="n"/>
      <c r="T1781" s="4">
        <f>IF(A1781="","",TRIM(IF(K1781="","Needs decision; ","")&amp;IF(AND(K1781="Accept suggestion",F1781=""),"No suggestion to accept; ","")&amp;IF(AND(K1781="Override",L1781=""),"Override URL missing; ","")&amp;IF(AND(K1781="Accept suggestion",N(G1781)&lt;$G$2),"Below your threshold; ","")&amp;IF(AND(M1781&lt;&gt;"",M1781=A1781,K1781&lt;&gt;"No change (same URL)"),"Redirects to itself; ","")&amp;IF(AND(M1781&lt;&gt;"",OR(M1781="/",AND(LEFT(M1781,4)="http",OR((LEN(M1781)-LEN(SUBSTITUTE(M1781,"/","")))=2,AND((LEN(M1781)-LEN(SUBSTITUTE(M1781,"/","")))=3,RIGHT(M1781,1)="/"))))),"Home page redirect; ","")&amp;IF(N(R1781)&gt;1,"Chain; ","")&amp;IF(S1781="No","Destination not 200; ","")))</f>
        <v/>
      </c>
      <c r="U1781" s="22" t="n"/>
      <c r="V1781" s="22" t="n"/>
      <c r="W1781" s="4" t="n"/>
    </row>
    <row r="1782">
      <c r="A1782" s="22" t="n"/>
      <c r="B1782" s="22" t="n"/>
      <c r="C1782" s="22" t="n"/>
      <c r="D1782" s="22">
        <f>IF(A1782="","",IF(OR(N(B1782)&gt;=$C$2,N(C1782)&gt;=$E$2),"High",IF(OR(N(B1782)&gt;0,N(C1782)&gt;0),"Medium","Low")))</f>
        <v/>
      </c>
      <c r="E1782" s="22" t="n"/>
      <c r="F1782" s="22" t="n"/>
      <c r="G1782" s="22" t="n"/>
      <c r="H1782" s="22" t="n"/>
      <c r="I1782" s="22" t="n"/>
      <c r="J1782" s="22" t="n"/>
      <c r="K1782" s="22" t="n"/>
      <c r="L1782" s="22" t="n"/>
      <c r="M1782" s="22">
        <f>IF(K1782="Override",L1782,IF(K1782="Accept suggestion",F1782,IF(K1782="No change (same URL)",A1782,"")))</f>
        <v/>
      </c>
      <c r="N1782" s="22">
        <f>IF(A1782="","",IF(K1782="410 Gone","410",IF(K1782="404","404",IF(K1782="No change (same URL)","none",IF(M1782="","","301")))))</f>
        <v/>
      </c>
      <c r="O1782" s="22">
        <f>IF(A1782="","",IFERROR(MID(A1782,FIND("/",A1782,FIND("//",A1782)+2),2000),A1782))</f>
        <v/>
      </c>
      <c r="P1782" s="22">
        <f>IF(OR(O1782="",N1782="",N1782="none",N1782="404"),"",IF(N1782="410","Redirect gone "&amp;O1782,"Redirect "&amp;N1782&amp;" "&amp;O1782&amp;" "&amp;M1782))</f>
        <v/>
      </c>
      <c r="Q1782" s="22" t="n"/>
      <c r="R1782" s="22" t="n"/>
      <c r="S1782" s="22" t="n"/>
      <c r="T1782" s="4">
        <f>IF(A1782="","",TRIM(IF(K1782="","Needs decision; ","")&amp;IF(AND(K1782="Accept suggestion",F1782=""),"No suggestion to accept; ","")&amp;IF(AND(K1782="Override",L1782=""),"Override URL missing; ","")&amp;IF(AND(K1782="Accept suggestion",N(G1782)&lt;$G$2),"Below your threshold; ","")&amp;IF(AND(M1782&lt;&gt;"",M1782=A1782,K1782&lt;&gt;"No change (same URL)"),"Redirects to itself; ","")&amp;IF(AND(M1782&lt;&gt;"",OR(M1782="/",AND(LEFT(M1782,4)="http",OR((LEN(M1782)-LEN(SUBSTITUTE(M1782,"/","")))=2,AND((LEN(M1782)-LEN(SUBSTITUTE(M1782,"/","")))=3,RIGHT(M1782,1)="/"))))),"Home page redirect; ","")&amp;IF(N(R1782)&gt;1,"Chain; ","")&amp;IF(S1782="No","Destination not 200; ","")))</f>
        <v/>
      </c>
      <c r="U1782" s="22" t="n"/>
      <c r="V1782" s="22" t="n"/>
      <c r="W1782" s="4" t="n"/>
    </row>
    <row r="1783">
      <c r="A1783" s="22" t="n"/>
      <c r="B1783" s="22" t="n"/>
      <c r="C1783" s="22" t="n"/>
      <c r="D1783" s="22">
        <f>IF(A1783="","",IF(OR(N(B1783)&gt;=$C$2,N(C1783)&gt;=$E$2),"High",IF(OR(N(B1783)&gt;0,N(C1783)&gt;0),"Medium","Low")))</f>
        <v/>
      </c>
      <c r="E1783" s="22" t="n"/>
      <c r="F1783" s="22" t="n"/>
      <c r="G1783" s="22" t="n"/>
      <c r="H1783" s="22" t="n"/>
      <c r="I1783" s="22" t="n"/>
      <c r="J1783" s="22" t="n"/>
      <c r="K1783" s="22" t="n"/>
      <c r="L1783" s="22" t="n"/>
      <c r="M1783" s="22">
        <f>IF(K1783="Override",L1783,IF(K1783="Accept suggestion",F1783,IF(K1783="No change (same URL)",A1783,"")))</f>
        <v/>
      </c>
      <c r="N1783" s="22">
        <f>IF(A1783="","",IF(K1783="410 Gone","410",IF(K1783="404","404",IF(K1783="No change (same URL)","none",IF(M1783="","","301")))))</f>
        <v/>
      </c>
      <c r="O1783" s="22">
        <f>IF(A1783="","",IFERROR(MID(A1783,FIND("/",A1783,FIND("//",A1783)+2),2000),A1783))</f>
        <v/>
      </c>
      <c r="P1783" s="22">
        <f>IF(OR(O1783="",N1783="",N1783="none",N1783="404"),"",IF(N1783="410","Redirect gone "&amp;O1783,"Redirect "&amp;N1783&amp;" "&amp;O1783&amp;" "&amp;M1783))</f>
        <v/>
      </c>
      <c r="Q1783" s="22" t="n"/>
      <c r="R1783" s="22" t="n"/>
      <c r="S1783" s="22" t="n"/>
      <c r="T1783" s="4">
        <f>IF(A1783="","",TRIM(IF(K1783="","Needs decision; ","")&amp;IF(AND(K1783="Accept suggestion",F1783=""),"No suggestion to accept; ","")&amp;IF(AND(K1783="Override",L1783=""),"Override URL missing; ","")&amp;IF(AND(K1783="Accept suggestion",N(G1783)&lt;$G$2),"Below your threshold; ","")&amp;IF(AND(M1783&lt;&gt;"",M1783=A1783,K1783&lt;&gt;"No change (same URL)"),"Redirects to itself; ","")&amp;IF(AND(M1783&lt;&gt;"",OR(M1783="/",AND(LEFT(M1783,4)="http",OR((LEN(M1783)-LEN(SUBSTITUTE(M1783,"/","")))=2,AND((LEN(M1783)-LEN(SUBSTITUTE(M1783,"/","")))=3,RIGHT(M1783,1)="/"))))),"Home page redirect; ","")&amp;IF(N(R1783)&gt;1,"Chain; ","")&amp;IF(S1783="No","Destination not 200; ","")))</f>
        <v/>
      </c>
      <c r="U1783" s="22" t="n"/>
      <c r="V1783" s="22" t="n"/>
      <c r="W1783" s="4" t="n"/>
    </row>
    <row r="1784">
      <c r="A1784" s="22" t="n"/>
      <c r="B1784" s="22" t="n"/>
      <c r="C1784" s="22" t="n"/>
      <c r="D1784" s="22">
        <f>IF(A1784="","",IF(OR(N(B1784)&gt;=$C$2,N(C1784)&gt;=$E$2),"High",IF(OR(N(B1784)&gt;0,N(C1784)&gt;0),"Medium","Low")))</f>
        <v/>
      </c>
      <c r="E1784" s="22" t="n"/>
      <c r="F1784" s="22" t="n"/>
      <c r="G1784" s="22" t="n"/>
      <c r="H1784" s="22" t="n"/>
      <c r="I1784" s="22" t="n"/>
      <c r="J1784" s="22" t="n"/>
      <c r="K1784" s="22" t="n"/>
      <c r="L1784" s="22" t="n"/>
      <c r="M1784" s="22">
        <f>IF(K1784="Override",L1784,IF(K1784="Accept suggestion",F1784,IF(K1784="No change (same URL)",A1784,"")))</f>
        <v/>
      </c>
      <c r="N1784" s="22">
        <f>IF(A1784="","",IF(K1784="410 Gone","410",IF(K1784="404","404",IF(K1784="No change (same URL)","none",IF(M1784="","","301")))))</f>
        <v/>
      </c>
      <c r="O1784" s="22">
        <f>IF(A1784="","",IFERROR(MID(A1784,FIND("/",A1784,FIND("//",A1784)+2),2000),A1784))</f>
        <v/>
      </c>
      <c r="P1784" s="22">
        <f>IF(OR(O1784="",N1784="",N1784="none",N1784="404"),"",IF(N1784="410","Redirect gone "&amp;O1784,"Redirect "&amp;N1784&amp;" "&amp;O1784&amp;" "&amp;M1784))</f>
        <v/>
      </c>
      <c r="Q1784" s="22" t="n"/>
      <c r="R1784" s="22" t="n"/>
      <c r="S1784" s="22" t="n"/>
      <c r="T1784" s="4">
        <f>IF(A1784="","",TRIM(IF(K1784="","Needs decision; ","")&amp;IF(AND(K1784="Accept suggestion",F1784=""),"No suggestion to accept; ","")&amp;IF(AND(K1784="Override",L1784=""),"Override URL missing; ","")&amp;IF(AND(K1784="Accept suggestion",N(G1784)&lt;$G$2),"Below your threshold; ","")&amp;IF(AND(M1784&lt;&gt;"",M1784=A1784,K1784&lt;&gt;"No change (same URL)"),"Redirects to itself; ","")&amp;IF(AND(M1784&lt;&gt;"",OR(M1784="/",AND(LEFT(M1784,4)="http",OR((LEN(M1784)-LEN(SUBSTITUTE(M1784,"/","")))=2,AND((LEN(M1784)-LEN(SUBSTITUTE(M1784,"/","")))=3,RIGHT(M1784,1)="/"))))),"Home page redirect; ","")&amp;IF(N(R1784)&gt;1,"Chain; ","")&amp;IF(S1784="No","Destination not 200; ","")))</f>
        <v/>
      </c>
      <c r="U1784" s="22" t="n"/>
      <c r="V1784" s="22" t="n"/>
      <c r="W1784" s="4" t="n"/>
    </row>
    <row r="1785">
      <c r="A1785" s="22" t="n"/>
      <c r="B1785" s="22" t="n"/>
      <c r="C1785" s="22" t="n"/>
      <c r="D1785" s="22">
        <f>IF(A1785="","",IF(OR(N(B1785)&gt;=$C$2,N(C1785)&gt;=$E$2),"High",IF(OR(N(B1785)&gt;0,N(C1785)&gt;0),"Medium","Low")))</f>
        <v/>
      </c>
      <c r="E1785" s="22" t="n"/>
      <c r="F1785" s="22" t="n"/>
      <c r="G1785" s="22" t="n"/>
      <c r="H1785" s="22" t="n"/>
      <c r="I1785" s="22" t="n"/>
      <c r="J1785" s="22" t="n"/>
      <c r="K1785" s="22" t="n"/>
      <c r="L1785" s="22" t="n"/>
      <c r="M1785" s="22">
        <f>IF(K1785="Override",L1785,IF(K1785="Accept suggestion",F1785,IF(K1785="No change (same URL)",A1785,"")))</f>
        <v/>
      </c>
      <c r="N1785" s="22">
        <f>IF(A1785="","",IF(K1785="410 Gone","410",IF(K1785="404","404",IF(K1785="No change (same URL)","none",IF(M1785="","","301")))))</f>
        <v/>
      </c>
      <c r="O1785" s="22">
        <f>IF(A1785="","",IFERROR(MID(A1785,FIND("/",A1785,FIND("//",A1785)+2),2000),A1785))</f>
        <v/>
      </c>
      <c r="P1785" s="22">
        <f>IF(OR(O1785="",N1785="",N1785="none",N1785="404"),"",IF(N1785="410","Redirect gone "&amp;O1785,"Redirect "&amp;N1785&amp;" "&amp;O1785&amp;" "&amp;M1785))</f>
        <v/>
      </c>
      <c r="Q1785" s="22" t="n"/>
      <c r="R1785" s="22" t="n"/>
      <c r="S1785" s="22" t="n"/>
      <c r="T1785" s="4">
        <f>IF(A1785="","",TRIM(IF(K1785="","Needs decision; ","")&amp;IF(AND(K1785="Accept suggestion",F1785=""),"No suggestion to accept; ","")&amp;IF(AND(K1785="Override",L1785=""),"Override URL missing; ","")&amp;IF(AND(K1785="Accept suggestion",N(G1785)&lt;$G$2),"Below your threshold; ","")&amp;IF(AND(M1785&lt;&gt;"",M1785=A1785,K1785&lt;&gt;"No change (same URL)"),"Redirects to itself; ","")&amp;IF(AND(M1785&lt;&gt;"",OR(M1785="/",AND(LEFT(M1785,4)="http",OR((LEN(M1785)-LEN(SUBSTITUTE(M1785,"/","")))=2,AND((LEN(M1785)-LEN(SUBSTITUTE(M1785,"/","")))=3,RIGHT(M1785,1)="/"))))),"Home page redirect; ","")&amp;IF(N(R1785)&gt;1,"Chain; ","")&amp;IF(S1785="No","Destination not 200; ","")))</f>
        <v/>
      </c>
      <c r="U1785" s="22" t="n"/>
      <c r="V1785" s="22" t="n"/>
      <c r="W1785" s="4" t="n"/>
    </row>
    <row r="1786">
      <c r="A1786" s="22" t="n"/>
      <c r="B1786" s="22" t="n"/>
      <c r="C1786" s="22" t="n"/>
      <c r="D1786" s="22">
        <f>IF(A1786="","",IF(OR(N(B1786)&gt;=$C$2,N(C1786)&gt;=$E$2),"High",IF(OR(N(B1786)&gt;0,N(C1786)&gt;0),"Medium","Low")))</f>
        <v/>
      </c>
      <c r="E1786" s="22" t="n"/>
      <c r="F1786" s="22" t="n"/>
      <c r="G1786" s="22" t="n"/>
      <c r="H1786" s="22" t="n"/>
      <c r="I1786" s="22" t="n"/>
      <c r="J1786" s="22" t="n"/>
      <c r="K1786" s="22" t="n"/>
      <c r="L1786" s="22" t="n"/>
      <c r="M1786" s="22">
        <f>IF(K1786="Override",L1786,IF(K1786="Accept suggestion",F1786,IF(K1786="No change (same URL)",A1786,"")))</f>
        <v/>
      </c>
      <c r="N1786" s="22">
        <f>IF(A1786="","",IF(K1786="410 Gone","410",IF(K1786="404","404",IF(K1786="No change (same URL)","none",IF(M1786="","","301")))))</f>
        <v/>
      </c>
      <c r="O1786" s="22">
        <f>IF(A1786="","",IFERROR(MID(A1786,FIND("/",A1786,FIND("//",A1786)+2),2000),A1786))</f>
        <v/>
      </c>
      <c r="P1786" s="22">
        <f>IF(OR(O1786="",N1786="",N1786="none",N1786="404"),"",IF(N1786="410","Redirect gone "&amp;O1786,"Redirect "&amp;N1786&amp;" "&amp;O1786&amp;" "&amp;M1786))</f>
        <v/>
      </c>
      <c r="Q1786" s="22" t="n"/>
      <c r="R1786" s="22" t="n"/>
      <c r="S1786" s="22" t="n"/>
      <c r="T1786" s="4">
        <f>IF(A1786="","",TRIM(IF(K1786="","Needs decision; ","")&amp;IF(AND(K1786="Accept suggestion",F1786=""),"No suggestion to accept; ","")&amp;IF(AND(K1786="Override",L1786=""),"Override URL missing; ","")&amp;IF(AND(K1786="Accept suggestion",N(G1786)&lt;$G$2),"Below your threshold; ","")&amp;IF(AND(M1786&lt;&gt;"",M1786=A1786,K1786&lt;&gt;"No change (same URL)"),"Redirects to itself; ","")&amp;IF(AND(M1786&lt;&gt;"",OR(M1786="/",AND(LEFT(M1786,4)="http",OR((LEN(M1786)-LEN(SUBSTITUTE(M1786,"/","")))=2,AND((LEN(M1786)-LEN(SUBSTITUTE(M1786,"/","")))=3,RIGHT(M1786,1)="/"))))),"Home page redirect; ","")&amp;IF(N(R1786)&gt;1,"Chain; ","")&amp;IF(S1786="No","Destination not 200; ","")))</f>
        <v/>
      </c>
      <c r="U1786" s="22" t="n"/>
      <c r="V1786" s="22" t="n"/>
      <c r="W1786" s="4" t="n"/>
    </row>
    <row r="1787">
      <c r="A1787" s="22" t="n"/>
      <c r="B1787" s="22" t="n"/>
      <c r="C1787" s="22" t="n"/>
      <c r="D1787" s="22">
        <f>IF(A1787="","",IF(OR(N(B1787)&gt;=$C$2,N(C1787)&gt;=$E$2),"High",IF(OR(N(B1787)&gt;0,N(C1787)&gt;0),"Medium","Low")))</f>
        <v/>
      </c>
      <c r="E1787" s="22" t="n"/>
      <c r="F1787" s="22" t="n"/>
      <c r="G1787" s="22" t="n"/>
      <c r="H1787" s="22" t="n"/>
      <c r="I1787" s="22" t="n"/>
      <c r="J1787" s="22" t="n"/>
      <c r="K1787" s="22" t="n"/>
      <c r="L1787" s="22" t="n"/>
      <c r="M1787" s="22">
        <f>IF(K1787="Override",L1787,IF(K1787="Accept suggestion",F1787,IF(K1787="No change (same URL)",A1787,"")))</f>
        <v/>
      </c>
      <c r="N1787" s="22">
        <f>IF(A1787="","",IF(K1787="410 Gone","410",IF(K1787="404","404",IF(K1787="No change (same URL)","none",IF(M1787="","","301")))))</f>
        <v/>
      </c>
      <c r="O1787" s="22">
        <f>IF(A1787="","",IFERROR(MID(A1787,FIND("/",A1787,FIND("//",A1787)+2),2000),A1787))</f>
        <v/>
      </c>
      <c r="P1787" s="22">
        <f>IF(OR(O1787="",N1787="",N1787="none",N1787="404"),"",IF(N1787="410","Redirect gone "&amp;O1787,"Redirect "&amp;N1787&amp;" "&amp;O1787&amp;" "&amp;M1787))</f>
        <v/>
      </c>
      <c r="Q1787" s="22" t="n"/>
      <c r="R1787" s="22" t="n"/>
      <c r="S1787" s="22" t="n"/>
      <c r="T1787" s="4">
        <f>IF(A1787="","",TRIM(IF(K1787="","Needs decision; ","")&amp;IF(AND(K1787="Accept suggestion",F1787=""),"No suggestion to accept; ","")&amp;IF(AND(K1787="Override",L1787=""),"Override URL missing; ","")&amp;IF(AND(K1787="Accept suggestion",N(G1787)&lt;$G$2),"Below your threshold; ","")&amp;IF(AND(M1787&lt;&gt;"",M1787=A1787,K1787&lt;&gt;"No change (same URL)"),"Redirects to itself; ","")&amp;IF(AND(M1787&lt;&gt;"",OR(M1787="/",AND(LEFT(M1787,4)="http",OR((LEN(M1787)-LEN(SUBSTITUTE(M1787,"/","")))=2,AND((LEN(M1787)-LEN(SUBSTITUTE(M1787,"/","")))=3,RIGHT(M1787,1)="/"))))),"Home page redirect; ","")&amp;IF(N(R1787)&gt;1,"Chain; ","")&amp;IF(S1787="No","Destination not 200; ","")))</f>
        <v/>
      </c>
      <c r="U1787" s="22" t="n"/>
      <c r="V1787" s="22" t="n"/>
      <c r="W1787" s="4" t="n"/>
    </row>
    <row r="1788">
      <c r="A1788" s="22" t="n"/>
      <c r="B1788" s="22" t="n"/>
      <c r="C1788" s="22" t="n"/>
      <c r="D1788" s="22">
        <f>IF(A1788="","",IF(OR(N(B1788)&gt;=$C$2,N(C1788)&gt;=$E$2),"High",IF(OR(N(B1788)&gt;0,N(C1788)&gt;0),"Medium","Low")))</f>
        <v/>
      </c>
      <c r="E1788" s="22" t="n"/>
      <c r="F1788" s="22" t="n"/>
      <c r="G1788" s="22" t="n"/>
      <c r="H1788" s="22" t="n"/>
      <c r="I1788" s="22" t="n"/>
      <c r="J1788" s="22" t="n"/>
      <c r="K1788" s="22" t="n"/>
      <c r="L1788" s="22" t="n"/>
      <c r="M1788" s="22">
        <f>IF(K1788="Override",L1788,IF(K1788="Accept suggestion",F1788,IF(K1788="No change (same URL)",A1788,"")))</f>
        <v/>
      </c>
      <c r="N1788" s="22">
        <f>IF(A1788="","",IF(K1788="410 Gone","410",IF(K1788="404","404",IF(K1788="No change (same URL)","none",IF(M1788="","","301")))))</f>
        <v/>
      </c>
      <c r="O1788" s="22">
        <f>IF(A1788="","",IFERROR(MID(A1788,FIND("/",A1788,FIND("//",A1788)+2),2000),A1788))</f>
        <v/>
      </c>
      <c r="P1788" s="22">
        <f>IF(OR(O1788="",N1788="",N1788="none",N1788="404"),"",IF(N1788="410","Redirect gone "&amp;O1788,"Redirect "&amp;N1788&amp;" "&amp;O1788&amp;" "&amp;M1788))</f>
        <v/>
      </c>
      <c r="Q1788" s="22" t="n"/>
      <c r="R1788" s="22" t="n"/>
      <c r="S1788" s="22" t="n"/>
      <c r="T1788" s="4">
        <f>IF(A1788="","",TRIM(IF(K1788="","Needs decision; ","")&amp;IF(AND(K1788="Accept suggestion",F1788=""),"No suggestion to accept; ","")&amp;IF(AND(K1788="Override",L1788=""),"Override URL missing; ","")&amp;IF(AND(K1788="Accept suggestion",N(G1788)&lt;$G$2),"Below your threshold; ","")&amp;IF(AND(M1788&lt;&gt;"",M1788=A1788,K1788&lt;&gt;"No change (same URL)"),"Redirects to itself; ","")&amp;IF(AND(M1788&lt;&gt;"",OR(M1788="/",AND(LEFT(M1788,4)="http",OR((LEN(M1788)-LEN(SUBSTITUTE(M1788,"/","")))=2,AND((LEN(M1788)-LEN(SUBSTITUTE(M1788,"/","")))=3,RIGHT(M1788,1)="/"))))),"Home page redirect; ","")&amp;IF(N(R1788)&gt;1,"Chain; ","")&amp;IF(S1788="No","Destination not 200; ","")))</f>
        <v/>
      </c>
      <c r="U1788" s="22" t="n"/>
      <c r="V1788" s="22" t="n"/>
      <c r="W1788" s="4" t="n"/>
    </row>
    <row r="1789">
      <c r="A1789" s="22" t="n"/>
      <c r="B1789" s="22" t="n"/>
      <c r="C1789" s="22" t="n"/>
      <c r="D1789" s="22">
        <f>IF(A1789="","",IF(OR(N(B1789)&gt;=$C$2,N(C1789)&gt;=$E$2),"High",IF(OR(N(B1789)&gt;0,N(C1789)&gt;0),"Medium","Low")))</f>
        <v/>
      </c>
      <c r="E1789" s="22" t="n"/>
      <c r="F1789" s="22" t="n"/>
      <c r="G1789" s="22" t="n"/>
      <c r="H1789" s="22" t="n"/>
      <c r="I1789" s="22" t="n"/>
      <c r="J1789" s="22" t="n"/>
      <c r="K1789" s="22" t="n"/>
      <c r="L1789" s="22" t="n"/>
      <c r="M1789" s="22">
        <f>IF(K1789="Override",L1789,IF(K1789="Accept suggestion",F1789,IF(K1789="No change (same URL)",A1789,"")))</f>
        <v/>
      </c>
      <c r="N1789" s="22">
        <f>IF(A1789="","",IF(K1789="410 Gone","410",IF(K1789="404","404",IF(K1789="No change (same URL)","none",IF(M1789="","","301")))))</f>
        <v/>
      </c>
      <c r="O1789" s="22">
        <f>IF(A1789="","",IFERROR(MID(A1789,FIND("/",A1789,FIND("//",A1789)+2),2000),A1789))</f>
        <v/>
      </c>
      <c r="P1789" s="22">
        <f>IF(OR(O1789="",N1789="",N1789="none",N1789="404"),"",IF(N1789="410","Redirect gone "&amp;O1789,"Redirect "&amp;N1789&amp;" "&amp;O1789&amp;" "&amp;M1789))</f>
        <v/>
      </c>
      <c r="Q1789" s="22" t="n"/>
      <c r="R1789" s="22" t="n"/>
      <c r="S1789" s="22" t="n"/>
      <c r="T1789" s="4">
        <f>IF(A1789="","",TRIM(IF(K1789="","Needs decision; ","")&amp;IF(AND(K1789="Accept suggestion",F1789=""),"No suggestion to accept; ","")&amp;IF(AND(K1789="Override",L1789=""),"Override URL missing; ","")&amp;IF(AND(K1789="Accept suggestion",N(G1789)&lt;$G$2),"Below your threshold; ","")&amp;IF(AND(M1789&lt;&gt;"",M1789=A1789,K1789&lt;&gt;"No change (same URL)"),"Redirects to itself; ","")&amp;IF(AND(M1789&lt;&gt;"",OR(M1789="/",AND(LEFT(M1789,4)="http",OR((LEN(M1789)-LEN(SUBSTITUTE(M1789,"/","")))=2,AND((LEN(M1789)-LEN(SUBSTITUTE(M1789,"/","")))=3,RIGHT(M1789,1)="/"))))),"Home page redirect; ","")&amp;IF(N(R1789)&gt;1,"Chain; ","")&amp;IF(S1789="No","Destination not 200; ","")))</f>
        <v/>
      </c>
      <c r="U1789" s="22" t="n"/>
      <c r="V1789" s="22" t="n"/>
      <c r="W1789" s="4" t="n"/>
    </row>
    <row r="1790">
      <c r="A1790" s="22" t="n"/>
      <c r="B1790" s="22" t="n"/>
      <c r="C1790" s="22" t="n"/>
      <c r="D1790" s="22">
        <f>IF(A1790="","",IF(OR(N(B1790)&gt;=$C$2,N(C1790)&gt;=$E$2),"High",IF(OR(N(B1790)&gt;0,N(C1790)&gt;0),"Medium","Low")))</f>
        <v/>
      </c>
      <c r="E1790" s="22" t="n"/>
      <c r="F1790" s="22" t="n"/>
      <c r="G1790" s="22" t="n"/>
      <c r="H1790" s="22" t="n"/>
      <c r="I1790" s="22" t="n"/>
      <c r="J1790" s="22" t="n"/>
      <c r="K1790" s="22" t="n"/>
      <c r="L1790" s="22" t="n"/>
      <c r="M1790" s="22">
        <f>IF(K1790="Override",L1790,IF(K1790="Accept suggestion",F1790,IF(K1790="No change (same URL)",A1790,"")))</f>
        <v/>
      </c>
      <c r="N1790" s="22">
        <f>IF(A1790="","",IF(K1790="410 Gone","410",IF(K1790="404","404",IF(K1790="No change (same URL)","none",IF(M1790="","","301")))))</f>
        <v/>
      </c>
      <c r="O1790" s="22">
        <f>IF(A1790="","",IFERROR(MID(A1790,FIND("/",A1790,FIND("//",A1790)+2),2000),A1790))</f>
        <v/>
      </c>
      <c r="P1790" s="22">
        <f>IF(OR(O1790="",N1790="",N1790="none",N1790="404"),"",IF(N1790="410","Redirect gone "&amp;O1790,"Redirect "&amp;N1790&amp;" "&amp;O1790&amp;" "&amp;M1790))</f>
        <v/>
      </c>
      <c r="Q1790" s="22" t="n"/>
      <c r="R1790" s="22" t="n"/>
      <c r="S1790" s="22" t="n"/>
      <c r="T1790" s="4">
        <f>IF(A1790="","",TRIM(IF(K1790="","Needs decision; ","")&amp;IF(AND(K1790="Accept suggestion",F1790=""),"No suggestion to accept; ","")&amp;IF(AND(K1790="Override",L1790=""),"Override URL missing; ","")&amp;IF(AND(K1790="Accept suggestion",N(G1790)&lt;$G$2),"Below your threshold; ","")&amp;IF(AND(M1790&lt;&gt;"",M1790=A1790,K1790&lt;&gt;"No change (same URL)"),"Redirects to itself; ","")&amp;IF(AND(M1790&lt;&gt;"",OR(M1790="/",AND(LEFT(M1790,4)="http",OR((LEN(M1790)-LEN(SUBSTITUTE(M1790,"/","")))=2,AND((LEN(M1790)-LEN(SUBSTITUTE(M1790,"/","")))=3,RIGHT(M1790,1)="/"))))),"Home page redirect; ","")&amp;IF(N(R1790)&gt;1,"Chain; ","")&amp;IF(S1790="No","Destination not 200; ","")))</f>
        <v/>
      </c>
      <c r="U1790" s="22" t="n"/>
      <c r="V1790" s="22" t="n"/>
      <c r="W1790" s="4" t="n"/>
    </row>
    <row r="1791">
      <c r="A1791" s="22" t="n"/>
      <c r="B1791" s="22" t="n"/>
      <c r="C1791" s="22" t="n"/>
      <c r="D1791" s="22">
        <f>IF(A1791="","",IF(OR(N(B1791)&gt;=$C$2,N(C1791)&gt;=$E$2),"High",IF(OR(N(B1791)&gt;0,N(C1791)&gt;0),"Medium","Low")))</f>
        <v/>
      </c>
      <c r="E1791" s="22" t="n"/>
      <c r="F1791" s="22" t="n"/>
      <c r="G1791" s="22" t="n"/>
      <c r="H1791" s="22" t="n"/>
      <c r="I1791" s="22" t="n"/>
      <c r="J1791" s="22" t="n"/>
      <c r="K1791" s="22" t="n"/>
      <c r="L1791" s="22" t="n"/>
      <c r="M1791" s="22">
        <f>IF(K1791="Override",L1791,IF(K1791="Accept suggestion",F1791,IF(K1791="No change (same URL)",A1791,"")))</f>
        <v/>
      </c>
      <c r="N1791" s="22">
        <f>IF(A1791="","",IF(K1791="410 Gone","410",IF(K1791="404","404",IF(K1791="No change (same URL)","none",IF(M1791="","","301")))))</f>
        <v/>
      </c>
      <c r="O1791" s="22">
        <f>IF(A1791="","",IFERROR(MID(A1791,FIND("/",A1791,FIND("//",A1791)+2),2000),A1791))</f>
        <v/>
      </c>
      <c r="P1791" s="22">
        <f>IF(OR(O1791="",N1791="",N1791="none",N1791="404"),"",IF(N1791="410","Redirect gone "&amp;O1791,"Redirect "&amp;N1791&amp;" "&amp;O1791&amp;" "&amp;M1791))</f>
        <v/>
      </c>
      <c r="Q1791" s="22" t="n"/>
      <c r="R1791" s="22" t="n"/>
      <c r="S1791" s="22" t="n"/>
      <c r="T1791" s="4">
        <f>IF(A1791="","",TRIM(IF(K1791="","Needs decision; ","")&amp;IF(AND(K1791="Accept suggestion",F1791=""),"No suggestion to accept; ","")&amp;IF(AND(K1791="Override",L1791=""),"Override URL missing; ","")&amp;IF(AND(K1791="Accept suggestion",N(G1791)&lt;$G$2),"Below your threshold; ","")&amp;IF(AND(M1791&lt;&gt;"",M1791=A1791,K1791&lt;&gt;"No change (same URL)"),"Redirects to itself; ","")&amp;IF(AND(M1791&lt;&gt;"",OR(M1791="/",AND(LEFT(M1791,4)="http",OR((LEN(M1791)-LEN(SUBSTITUTE(M1791,"/","")))=2,AND((LEN(M1791)-LEN(SUBSTITUTE(M1791,"/","")))=3,RIGHT(M1791,1)="/"))))),"Home page redirect; ","")&amp;IF(N(R1791)&gt;1,"Chain; ","")&amp;IF(S1791="No","Destination not 200; ","")))</f>
        <v/>
      </c>
      <c r="U1791" s="22" t="n"/>
      <c r="V1791" s="22" t="n"/>
      <c r="W1791" s="4" t="n"/>
    </row>
    <row r="1792">
      <c r="A1792" s="22" t="n"/>
      <c r="B1792" s="22" t="n"/>
      <c r="C1792" s="22" t="n"/>
      <c r="D1792" s="22">
        <f>IF(A1792="","",IF(OR(N(B1792)&gt;=$C$2,N(C1792)&gt;=$E$2),"High",IF(OR(N(B1792)&gt;0,N(C1792)&gt;0),"Medium","Low")))</f>
        <v/>
      </c>
      <c r="E1792" s="22" t="n"/>
      <c r="F1792" s="22" t="n"/>
      <c r="G1792" s="22" t="n"/>
      <c r="H1792" s="22" t="n"/>
      <c r="I1792" s="22" t="n"/>
      <c r="J1792" s="22" t="n"/>
      <c r="K1792" s="22" t="n"/>
      <c r="L1792" s="22" t="n"/>
      <c r="M1792" s="22">
        <f>IF(K1792="Override",L1792,IF(K1792="Accept suggestion",F1792,IF(K1792="No change (same URL)",A1792,"")))</f>
        <v/>
      </c>
      <c r="N1792" s="22">
        <f>IF(A1792="","",IF(K1792="410 Gone","410",IF(K1792="404","404",IF(K1792="No change (same URL)","none",IF(M1792="","","301")))))</f>
        <v/>
      </c>
      <c r="O1792" s="22">
        <f>IF(A1792="","",IFERROR(MID(A1792,FIND("/",A1792,FIND("//",A1792)+2),2000),A1792))</f>
        <v/>
      </c>
      <c r="P1792" s="22">
        <f>IF(OR(O1792="",N1792="",N1792="none",N1792="404"),"",IF(N1792="410","Redirect gone "&amp;O1792,"Redirect "&amp;N1792&amp;" "&amp;O1792&amp;" "&amp;M1792))</f>
        <v/>
      </c>
      <c r="Q1792" s="22" t="n"/>
      <c r="R1792" s="22" t="n"/>
      <c r="S1792" s="22" t="n"/>
      <c r="T1792" s="4">
        <f>IF(A1792="","",TRIM(IF(K1792="","Needs decision; ","")&amp;IF(AND(K1792="Accept suggestion",F1792=""),"No suggestion to accept; ","")&amp;IF(AND(K1792="Override",L1792=""),"Override URL missing; ","")&amp;IF(AND(K1792="Accept suggestion",N(G1792)&lt;$G$2),"Below your threshold; ","")&amp;IF(AND(M1792&lt;&gt;"",M1792=A1792,K1792&lt;&gt;"No change (same URL)"),"Redirects to itself; ","")&amp;IF(AND(M1792&lt;&gt;"",OR(M1792="/",AND(LEFT(M1792,4)="http",OR((LEN(M1792)-LEN(SUBSTITUTE(M1792,"/","")))=2,AND((LEN(M1792)-LEN(SUBSTITUTE(M1792,"/","")))=3,RIGHT(M1792,1)="/"))))),"Home page redirect; ","")&amp;IF(N(R1792)&gt;1,"Chain; ","")&amp;IF(S1792="No","Destination not 200; ","")))</f>
        <v/>
      </c>
      <c r="U1792" s="22" t="n"/>
      <c r="V1792" s="22" t="n"/>
      <c r="W1792" s="4" t="n"/>
    </row>
    <row r="1793">
      <c r="A1793" s="22" t="n"/>
      <c r="B1793" s="22" t="n"/>
      <c r="C1793" s="22" t="n"/>
      <c r="D1793" s="22">
        <f>IF(A1793="","",IF(OR(N(B1793)&gt;=$C$2,N(C1793)&gt;=$E$2),"High",IF(OR(N(B1793)&gt;0,N(C1793)&gt;0),"Medium","Low")))</f>
        <v/>
      </c>
      <c r="E1793" s="22" t="n"/>
      <c r="F1793" s="22" t="n"/>
      <c r="G1793" s="22" t="n"/>
      <c r="H1793" s="22" t="n"/>
      <c r="I1793" s="22" t="n"/>
      <c r="J1793" s="22" t="n"/>
      <c r="K1793" s="22" t="n"/>
      <c r="L1793" s="22" t="n"/>
      <c r="M1793" s="22">
        <f>IF(K1793="Override",L1793,IF(K1793="Accept suggestion",F1793,IF(K1793="No change (same URL)",A1793,"")))</f>
        <v/>
      </c>
      <c r="N1793" s="22">
        <f>IF(A1793="","",IF(K1793="410 Gone","410",IF(K1793="404","404",IF(K1793="No change (same URL)","none",IF(M1793="","","301")))))</f>
        <v/>
      </c>
      <c r="O1793" s="22">
        <f>IF(A1793="","",IFERROR(MID(A1793,FIND("/",A1793,FIND("//",A1793)+2),2000),A1793))</f>
        <v/>
      </c>
      <c r="P1793" s="22">
        <f>IF(OR(O1793="",N1793="",N1793="none",N1793="404"),"",IF(N1793="410","Redirect gone "&amp;O1793,"Redirect "&amp;N1793&amp;" "&amp;O1793&amp;" "&amp;M1793))</f>
        <v/>
      </c>
      <c r="Q1793" s="22" t="n"/>
      <c r="R1793" s="22" t="n"/>
      <c r="S1793" s="22" t="n"/>
      <c r="T1793" s="4">
        <f>IF(A1793="","",TRIM(IF(K1793="","Needs decision; ","")&amp;IF(AND(K1793="Accept suggestion",F1793=""),"No suggestion to accept; ","")&amp;IF(AND(K1793="Override",L1793=""),"Override URL missing; ","")&amp;IF(AND(K1793="Accept suggestion",N(G1793)&lt;$G$2),"Below your threshold; ","")&amp;IF(AND(M1793&lt;&gt;"",M1793=A1793,K1793&lt;&gt;"No change (same URL)"),"Redirects to itself; ","")&amp;IF(AND(M1793&lt;&gt;"",OR(M1793="/",AND(LEFT(M1793,4)="http",OR((LEN(M1793)-LEN(SUBSTITUTE(M1793,"/","")))=2,AND((LEN(M1793)-LEN(SUBSTITUTE(M1793,"/","")))=3,RIGHT(M1793,1)="/"))))),"Home page redirect; ","")&amp;IF(N(R1793)&gt;1,"Chain; ","")&amp;IF(S1793="No","Destination not 200; ","")))</f>
        <v/>
      </c>
      <c r="U1793" s="22" t="n"/>
      <c r="V1793" s="22" t="n"/>
      <c r="W1793" s="4" t="n"/>
    </row>
    <row r="1794">
      <c r="A1794" s="22" t="n"/>
      <c r="B1794" s="22" t="n"/>
      <c r="C1794" s="22" t="n"/>
      <c r="D1794" s="22">
        <f>IF(A1794="","",IF(OR(N(B1794)&gt;=$C$2,N(C1794)&gt;=$E$2),"High",IF(OR(N(B1794)&gt;0,N(C1794)&gt;0),"Medium","Low")))</f>
        <v/>
      </c>
      <c r="E1794" s="22" t="n"/>
      <c r="F1794" s="22" t="n"/>
      <c r="G1794" s="22" t="n"/>
      <c r="H1794" s="22" t="n"/>
      <c r="I1794" s="22" t="n"/>
      <c r="J1794" s="22" t="n"/>
      <c r="K1794" s="22" t="n"/>
      <c r="L1794" s="22" t="n"/>
      <c r="M1794" s="22">
        <f>IF(K1794="Override",L1794,IF(K1794="Accept suggestion",F1794,IF(K1794="No change (same URL)",A1794,"")))</f>
        <v/>
      </c>
      <c r="N1794" s="22">
        <f>IF(A1794="","",IF(K1794="410 Gone","410",IF(K1794="404","404",IF(K1794="No change (same URL)","none",IF(M1794="","","301")))))</f>
        <v/>
      </c>
      <c r="O1794" s="22">
        <f>IF(A1794="","",IFERROR(MID(A1794,FIND("/",A1794,FIND("//",A1794)+2),2000),A1794))</f>
        <v/>
      </c>
      <c r="P1794" s="22">
        <f>IF(OR(O1794="",N1794="",N1794="none",N1794="404"),"",IF(N1794="410","Redirect gone "&amp;O1794,"Redirect "&amp;N1794&amp;" "&amp;O1794&amp;" "&amp;M1794))</f>
        <v/>
      </c>
      <c r="Q1794" s="22" t="n"/>
      <c r="R1794" s="22" t="n"/>
      <c r="S1794" s="22" t="n"/>
      <c r="T1794" s="4">
        <f>IF(A1794="","",TRIM(IF(K1794="","Needs decision; ","")&amp;IF(AND(K1794="Accept suggestion",F1794=""),"No suggestion to accept; ","")&amp;IF(AND(K1794="Override",L1794=""),"Override URL missing; ","")&amp;IF(AND(K1794="Accept suggestion",N(G1794)&lt;$G$2),"Below your threshold; ","")&amp;IF(AND(M1794&lt;&gt;"",M1794=A1794,K1794&lt;&gt;"No change (same URL)"),"Redirects to itself; ","")&amp;IF(AND(M1794&lt;&gt;"",OR(M1794="/",AND(LEFT(M1794,4)="http",OR((LEN(M1794)-LEN(SUBSTITUTE(M1794,"/","")))=2,AND((LEN(M1794)-LEN(SUBSTITUTE(M1794,"/","")))=3,RIGHT(M1794,1)="/"))))),"Home page redirect; ","")&amp;IF(N(R1794)&gt;1,"Chain; ","")&amp;IF(S1794="No","Destination not 200; ","")))</f>
        <v/>
      </c>
      <c r="U1794" s="22" t="n"/>
      <c r="V1794" s="22" t="n"/>
      <c r="W1794" s="4" t="n"/>
    </row>
    <row r="1795">
      <c r="A1795" s="22" t="n"/>
      <c r="B1795" s="22" t="n"/>
      <c r="C1795" s="22" t="n"/>
      <c r="D1795" s="22">
        <f>IF(A1795="","",IF(OR(N(B1795)&gt;=$C$2,N(C1795)&gt;=$E$2),"High",IF(OR(N(B1795)&gt;0,N(C1795)&gt;0),"Medium","Low")))</f>
        <v/>
      </c>
      <c r="E1795" s="22" t="n"/>
      <c r="F1795" s="22" t="n"/>
      <c r="G1795" s="22" t="n"/>
      <c r="H1795" s="22" t="n"/>
      <c r="I1795" s="22" t="n"/>
      <c r="J1795" s="22" t="n"/>
      <c r="K1795" s="22" t="n"/>
      <c r="L1795" s="22" t="n"/>
      <c r="M1795" s="22">
        <f>IF(K1795="Override",L1795,IF(K1795="Accept suggestion",F1795,IF(K1795="No change (same URL)",A1795,"")))</f>
        <v/>
      </c>
      <c r="N1795" s="22">
        <f>IF(A1795="","",IF(K1795="410 Gone","410",IF(K1795="404","404",IF(K1795="No change (same URL)","none",IF(M1795="","","301")))))</f>
        <v/>
      </c>
      <c r="O1795" s="22">
        <f>IF(A1795="","",IFERROR(MID(A1795,FIND("/",A1795,FIND("//",A1795)+2),2000),A1795))</f>
        <v/>
      </c>
      <c r="P1795" s="22">
        <f>IF(OR(O1795="",N1795="",N1795="none",N1795="404"),"",IF(N1795="410","Redirect gone "&amp;O1795,"Redirect "&amp;N1795&amp;" "&amp;O1795&amp;" "&amp;M1795))</f>
        <v/>
      </c>
      <c r="Q1795" s="22" t="n"/>
      <c r="R1795" s="22" t="n"/>
      <c r="S1795" s="22" t="n"/>
      <c r="T1795" s="4">
        <f>IF(A1795="","",TRIM(IF(K1795="","Needs decision; ","")&amp;IF(AND(K1795="Accept suggestion",F1795=""),"No suggestion to accept; ","")&amp;IF(AND(K1795="Override",L1795=""),"Override URL missing; ","")&amp;IF(AND(K1795="Accept suggestion",N(G1795)&lt;$G$2),"Below your threshold; ","")&amp;IF(AND(M1795&lt;&gt;"",M1795=A1795,K1795&lt;&gt;"No change (same URL)"),"Redirects to itself; ","")&amp;IF(AND(M1795&lt;&gt;"",OR(M1795="/",AND(LEFT(M1795,4)="http",OR((LEN(M1795)-LEN(SUBSTITUTE(M1795,"/","")))=2,AND((LEN(M1795)-LEN(SUBSTITUTE(M1795,"/","")))=3,RIGHT(M1795,1)="/"))))),"Home page redirect; ","")&amp;IF(N(R1795)&gt;1,"Chain; ","")&amp;IF(S1795="No","Destination not 200; ","")))</f>
        <v/>
      </c>
      <c r="U1795" s="22" t="n"/>
      <c r="V1795" s="22" t="n"/>
      <c r="W1795" s="4" t="n"/>
    </row>
    <row r="1796">
      <c r="A1796" s="22" t="n"/>
      <c r="B1796" s="22" t="n"/>
      <c r="C1796" s="22" t="n"/>
      <c r="D1796" s="22">
        <f>IF(A1796="","",IF(OR(N(B1796)&gt;=$C$2,N(C1796)&gt;=$E$2),"High",IF(OR(N(B1796)&gt;0,N(C1796)&gt;0),"Medium","Low")))</f>
        <v/>
      </c>
      <c r="E1796" s="22" t="n"/>
      <c r="F1796" s="22" t="n"/>
      <c r="G1796" s="22" t="n"/>
      <c r="H1796" s="22" t="n"/>
      <c r="I1796" s="22" t="n"/>
      <c r="J1796" s="22" t="n"/>
      <c r="K1796" s="22" t="n"/>
      <c r="L1796" s="22" t="n"/>
      <c r="M1796" s="22">
        <f>IF(K1796="Override",L1796,IF(K1796="Accept suggestion",F1796,IF(K1796="No change (same URL)",A1796,"")))</f>
        <v/>
      </c>
      <c r="N1796" s="22">
        <f>IF(A1796="","",IF(K1796="410 Gone","410",IF(K1796="404","404",IF(K1796="No change (same URL)","none",IF(M1796="","","301")))))</f>
        <v/>
      </c>
      <c r="O1796" s="22">
        <f>IF(A1796="","",IFERROR(MID(A1796,FIND("/",A1796,FIND("//",A1796)+2),2000),A1796))</f>
        <v/>
      </c>
      <c r="P1796" s="22">
        <f>IF(OR(O1796="",N1796="",N1796="none",N1796="404"),"",IF(N1796="410","Redirect gone "&amp;O1796,"Redirect "&amp;N1796&amp;" "&amp;O1796&amp;" "&amp;M1796))</f>
        <v/>
      </c>
      <c r="Q1796" s="22" t="n"/>
      <c r="R1796" s="22" t="n"/>
      <c r="S1796" s="22" t="n"/>
      <c r="T1796" s="4">
        <f>IF(A1796="","",TRIM(IF(K1796="","Needs decision; ","")&amp;IF(AND(K1796="Accept suggestion",F1796=""),"No suggestion to accept; ","")&amp;IF(AND(K1796="Override",L1796=""),"Override URL missing; ","")&amp;IF(AND(K1796="Accept suggestion",N(G1796)&lt;$G$2),"Below your threshold; ","")&amp;IF(AND(M1796&lt;&gt;"",M1796=A1796,K1796&lt;&gt;"No change (same URL)"),"Redirects to itself; ","")&amp;IF(AND(M1796&lt;&gt;"",OR(M1796="/",AND(LEFT(M1796,4)="http",OR((LEN(M1796)-LEN(SUBSTITUTE(M1796,"/","")))=2,AND((LEN(M1796)-LEN(SUBSTITUTE(M1796,"/","")))=3,RIGHT(M1796,1)="/"))))),"Home page redirect; ","")&amp;IF(N(R1796)&gt;1,"Chain; ","")&amp;IF(S1796="No","Destination not 200; ","")))</f>
        <v/>
      </c>
      <c r="U1796" s="22" t="n"/>
      <c r="V1796" s="22" t="n"/>
      <c r="W1796" s="4" t="n"/>
    </row>
    <row r="1797">
      <c r="A1797" s="22" t="n"/>
      <c r="B1797" s="22" t="n"/>
      <c r="C1797" s="22" t="n"/>
      <c r="D1797" s="22">
        <f>IF(A1797="","",IF(OR(N(B1797)&gt;=$C$2,N(C1797)&gt;=$E$2),"High",IF(OR(N(B1797)&gt;0,N(C1797)&gt;0),"Medium","Low")))</f>
        <v/>
      </c>
      <c r="E1797" s="22" t="n"/>
      <c r="F1797" s="22" t="n"/>
      <c r="G1797" s="22" t="n"/>
      <c r="H1797" s="22" t="n"/>
      <c r="I1797" s="22" t="n"/>
      <c r="J1797" s="22" t="n"/>
      <c r="K1797" s="22" t="n"/>
      <c r="L1797" s="22" t="n"/>
      <c r="M1797" s="22">
        <f>IF(K1797="Override",L1797,IF(K1797="Accept suggestion",F1797,IF(K1797="No change (same URL)",A1797,"")))</f>
        <v/>
      </c>
      <c r="N1797" s="22">
        <f>IF(A1797="","",IF(K1797="410 Gone","410",IF(K1797="404","404",IF(K1797="No change (same URL)","none",IF(M1797="","","301")))))</f>
        <v/>
      </c>
      <c r="O1797" s="22">
        <f>IF(A1797="","",IFERROR(MID(A1797,FIND("/",A1797,FIND("//",A1797)+2),2000),A1797))</f>
        <v/>
      </c>
      <c r="P1797" s="22">
        <f>IF(OR(O1797="",N1797="",N1797="none",N1797="404"),"",IF(N1797="410","Redirect gone "&amp;O1797,"Redirect "&amp;N1797&amp;" "&amp;O1797&amp;" "&amp;M1797))</f>
        <v/>
      </c>
      <c r="Q1797" s="22" t="n"/>
      <c r="R1797" s="22" t="n"/>
      <c r="S1797" s="22" t="n"/>
      <c r="T1797" s="4">
        <f>IF(A1797="","",TRIM(IF(K1797="","Needs decision; ","")&amp;IF(AND(K1797="Accept suggestion",F1797=""),"No suggestion to accept; ","")&amp;IF(AND(K1797="Override",L1797=""),"Override URL missing; ","")&amp;IF(AND(K1797="Accept suggestion",N(G1797)&lt;$G$2),"Below your threshold; ","")&amp;IF(AND(M1797&lt;&gt;"",M1797=A1797,K1797&lt;&gt;"No change (same URL)"),"Redirects to itself; ","")&amp;IF(AND(M1797&lt;&gt;"",OR(M1797="/",AND(LEFT(M1797,4)="http",OR((LEN(M1797)-LEN(SUBSTITUTE(M1797,"/","")))=2,AND((LEN(M1797)-LEN(SUBSTITUTE(M1797,"/","")))=3,RIGHT(M1797,1)="/"))))),"Home page redirect; ","")&amp;IF(N(R1797)&gt;1,"Chain; ","")&amp;IF(S1797="No","Destination not 200; ","")))</f>
        <v/>
      </c>
      <c r="U1797" s="22" t="n"/>
      <c r="V1797" s="22" t="n"/>
      <c r="W1797" s="4" t="n"/>
    </row>
    <row r="1798">
      <c r="A1798" s="22" t="n"/>
      <c r="B1798" s="22" t="n"/>
      <c r="C1798" s="22" t="n"/>
      <c r="D1798" s="22">
        <f>IF(A1798="","",IF(OR(N(B1798)&gt;=$C$2,N(C1798)&gt;=$E$2),"High",IF(OR(N(B1798)&gt;0,N(C1798)&gt;0),"Medium","Low")))</f>
        <v/>
      </c>
      <c r="E1798" s="22" t="n"/>
      <c r="F1798" s="22" t="n"/>
      <c r="G1798" s="22" t="n"/>
      <c r="H1798" s="22" t="n"/>
      <c r="I1798" s="22" t="n"/>
      <c r="J1798" s="22" t="n"/>
      <c r="K1798" s="22" t="n"/>
      <c r="L1798" s="22" t="n"/>
      <c r="M1798" s="22">
        <f>IF(K1798="Override",L1798,IF(K1798="Accept suggestion",F1798,IF(K1798="No change (same URL)",A1798,"")))</f>
        <v/>
      </c>
      <c r="N1798" s="22">
        <f>IF(A1798="","",IF(K1798="410 Gone","410",IF(K1798="404","404",IF(K1798="No change (same URL)","none",IF(M1798="","","301")))))</f>
        <v/>
      </c>
      <c r="O1798" s="22">
        <f>IF(A1798="","",IFERROR(MID(A1798,FIND("/",A1798,FIND("//",A1798)+2),2000),A1798))</f>
        <v/>
      </c>
      <c r="P1798" s="22">
        <f>IF(OR(O1798="",N1798="",N1798="none",N1798="404"),"",IF(N1798="410","Redirect gone "&amp;O1798,"Redirect "&amp;N1798&amp;" "&amp;O1798&amp;" "&amp;M1798))</f>
        <v/>
      </c>
      <c r="Q1798" s="22" t="n"/>
      <c r="R1798" s="22" t="n"/>
      <c r="S1798" s="22" t="n"/>
      <c r="T1798" s="4">
        <f>IF(A1798="","",TRIM(IF(K1798="","Needs decision; ","")&amp;IF(AND(K1798="Accept suggestion",F1798=""),"No suggestion to accept; ","")&amp;IF(AND(K1798="Override",L1798=""),"Override URL missing; ","")&amp;IF(AND(K1798="Accept suggestion",N(G1798)&lt;$G$2),"Below your threshold; ","")&amp;IF(AND(M1798&lt;&gt;"",M1798=A1798,K1798&lt;&gt;"No change (same URL)"),"Redirects to itself; ","")&amp;IF(AND(M1798&lt;&gt;"",OR(M1798="/",AND(LEFT(M1798,4)="http",OR((LEN(M1798)-LEN(SUBSTITUTE(M1798,"/","")))=2,AND((LEN(M1798)-LEN(SUBSTITUTE(M1798,"/","")))=3,RIGHT(M1798,1)="/"))))),"Home page redirect; ","")&amp;IF(N(R1798)&gt;1,"Chain; ","")&amp;IF(S1798="No","Destination not 200; ","")))</f>
        <v/>
      </c>
      <c r="U1798" s="22" t="n"/>
      <c r="V1798" s="22" t="n"/>
      <c r="W1798" s="4" t="n"/>
    </row>
    <row r="1799">
      <c r="A1799" s="22" t="n"/>
      <c r="B1799" s="22" t="n"/>
      <c r="C1799" s="22" t="n"/>
      <c r="D1799" s="22">
        <f>IF(A1799="","",IF(OR(N(B1799)&gt;=$C$2,N(C1799)&gt;=$E$2),"High",IF(OR(N(B1799)&gt;0,N(C1799)&gt;0),"Medium","Low")))</f>
        <v/>
      </c>
      <c r="E1799" s="22" t="n"/>
      <c r="F1799" s="22" t="n"/>
      <c r="G1799" s="22" t="n"/>
      <c r="H1799" s="22" t="n"/>
      <c r="I1799" s="22" t="n"/>
      <c r="J1799" s="22" t="n"/>
      <c r="K1799" s="22" t="n"/>
      <c r="L1799" s="22" t="n"/>
      <c r="M1799" s="22">
        <f>IF(K1799="Override",L1799,IF(K1799="Accept suggestion",F1799,IF(K1799="No change (same URL)",A1799,"")))</f>
        <v/>
      </c>
      <c r="N1799" s="22">
        <f>IF(A1799="","",IF(K1799="410 Gone","410",IF(K1799="404","404",IF(K1799="No change (same URL)","none",IF(M1799="","","301")))))</f>
        <v/>
      </c>
      <c r="O1799" s="22">
        <f>IF(A1799="","",IFERROR(MID(A1799,FIND("/",A1799,FIND("//",A1799)+2),2000),A1799))</f>
        <v/>
      </c>
      <c r="P1799" s="22">
        <f>IF(OR(O1799="",N1799="",N1799="none",N1799="404"),"",IF(N1799="410","Redirect gone "&amp;O1799,"Redirect "&amp;N1799&amp;" "&amp;O1799&amp;" "&amp;M1799))</f>
        <v/>
      </c>
      <c r="Q1799" s="22" t="n"/>
      <c r="R1799" s="22" t="n"/>
      <c r="S1799" s="22" t="n"/>
      <c r="T1799" s="4">
        <f>IF(A1799="","",TRIM(IF(K1799="","Needs decision; ","")&amp;IF(AND(K1799="Accept suggestion",F1799=""),"No suggestion to accept; ","")&amp;IF(AND(K1799="Override",L1799=""),"Override URL missing; ","")&amp;IF(AND(K1799="Accept suggestion",N(G1799)&lt;$G$2),"Below your threshold; ","")&amp;IF(AND(M1799&lt;&gt;"",M1799=A1799,K1799&lt;&gt;"No change (same URL)"),"Redirects to itself; ","")&amp;IF(AND(M1799&lt;&gt;"",OR(M1799="/",AND(LEFT(M1799,4)="http",OR((LEN(M1799)-LEN(SUBSTITUTE(M1799,"/","")))=2,AND((LEN(M1799)-LEN(SUBSTITUTE(M1799,"/","")))=3,RIGHT(M1799,1)="/"))))),"Home page redirect; ","")&amp;IF(N(R1799)&gt;1,"Chain; ","")&amp;IF(S1799="No","Destination not 200; ","")))</f>
        <v/>
      </c>
      <c r="U1799" s="22" t="n"/>
      <c r="V1799" s="22" t="n"/>
      <c r="W1799" s="4" t="n"/>
    </row>
    <row r="1800">
      <c r="A1800" s="22" t="n"/>
      <c r="B1800" s="22" t="n"/>
      <c r="C1800" s="22" t="n"/>
      <c r="D1800" s="22">
        <f>IF(A1800="","",IF(OR(N(B1800)&gt;=$C$2,N(C1800)&gt;=$E$2),"High",IF(OR(N(B1800)&gt;0,N(C1800)&gt;0),"Medium","Low")))</f>
        <v/>
      </c>
      <c r="E1800" s="22" t="n"/>
      <c r="F1800" s="22" t="n"/>
      <c r="G1800" s="22" t="n"/>
      <c r="H1800" s="22" t="n"/>
      <c r="I1800" s="22" t="n"/>
      <c r="J1800" s="22" t="n"/>
      <c r="K1800" s="22" t="n"/>
      <c r="L1800" s="22" t="n"/>
      <c r="M1800" s="22">
        <f>IF(K1800="Override",L1800,IF(K1800="Accept suggestion",F1800,IF(K1800="No change (same URL)",A1800,"")))</f>
        <v/>
      </c>
      <c r="N1800" s="22">
        <f>IF(A1800="","",IF(K1800="410 Gone","410",IF(K1800="404","404",IF(K1800="No change (same URL)","none",IF(M1800="","","301")))))</f>
        <v/>
      </c>
      <c r="O1800" s="22">
        <f>IF(A1800="","",IFERROR(MID(A1800,FIND("/",A1800,FIND("//",A1800)+2),2000),A1800))</f>
        <v/>
      </c>
      <c r="P1800" s="22">
        <f>IF(OR(O1800="",N1800="",N1800="none",N1800="404"),"",IF(N1800="410","Redirect gone "&amp;O1800,"Redirect "&amp;N1800&amp;" "&amp;O1800&amp;" "&amp;M1800))</f>
        <v/>
      </c>
      <c r="Q1800" s="22" t="n"/>
      <c r="R1800" s="22" t="n"/>
      <c r="S1800" s="22" t="n"/>
      <c r="T1800" s="4">
        <f>IF(A1800="","",TRIM(IF(K1800="","Needs decision; ","")&amp;IF(AND(K1800="Accept suggestion",F1800=""),"No suggestion to accept; ","")&amp;IF(AND(K1800="Override",L1800=""),"Override URL missing; ","")&amp;IF(AND(K1800="Accept suggestion",N(G1800)&lt;$G$2),"Below your threshold; ","")&amp;IF(AND(M1800&lt;&gt;"",M1800=A1800,K1800&lt;&gt;"No change (same URL)"),"Redirects to itself; ","")&amp;IF(AND(M1800&lt;&gt;"",OR(M1800="/",AND(LEFT(M1800,4)="http",OR((LEN(M1800)-LEN(SUBSTITUTE(M1800,"/","")))=2,AND((LEN(M1800)-LEN(SUBSTITUTE(M1800,"/","")))=3,RIGHT(M1800,1)="/"))))),"Home page redirect; ","")&amp;IF(N(R1800)&gt;1,"Chain; ","")&amp;IF(S1800="No","Destination not 200; ","")))</f>
        <v/>
      </c>
      <c r="U1800" s="22" t="n"/>
      <c r="V1800" s="22" t="n"/>
      <c r="W1800" s="4" t="n"/>
    </row>
    <row r="1801">
      <c r="A1801" s="22" t="n"/>
      <c r="B1801" s="22" t="n"/>
      <c r="C1801" s="22" t="n"/>
      <c r="D1801" s="22">
        <f>IF(A1801="","",IF(OR(N(B1801)&gt;=$C$2,N(C1801)&gt;=$E$2),"High",IF(OR(N(B1801)&gt;0,N(C1801)&gt;0),"Medium","Low")))</f>
        <v/>
      </c>
      <c r="E1801" s="22" t="n"/>
      <c r="F1801" s="22" t="n"/>
      <c r="G1801" s="22" t="n"/>
      <c r="H1801" s="22" t="n"/>
      <c r="I1801" s="22" t="n"/>
      <c r="J1801" s="22" t="n"/>
      <c r="K1801" s="22" t="n"/>
      <c r="L1801" s="22" t="n"/>
      <c r="M1801" s="22">
        <f>IF(K1801="Override",L1801,IF(K1801="Accept suggestion",F1801,IF(K1801="No change (same URL)",A1801,"")))</f>
        <v/>
      </c>
      <c r="N1801" s="22">
        <f>IF(A1801="","",IF(K1801="410 Gone","410",IF(K1801="404","404",IF(K1801="No change (same URL)","none",IF(M1801="","","301")))))</f>
        <v/>
      </c>
      <c r="O1801" s="22">
        <f>IF(A1801="","",IFERROR(MID(A1801,FIND("/",A1801,FIND("//",A1801)+2),2000),A1801))</f>
        <v/>
      </c>
      <c r="P1801" s="22">
        <f>IF(OR(O1801="",N1801="",N1801="none",N1801="404"),"",IF(N1801="410","Redirect gone "&amp;O1801,"Redirect "&amp;N1801&amp;" "&amp;O1801&amp;" "&amp;M1801))</f>
        <v/>
      </c>
      <c r="Q1801" s="22" t="n"/>
      <c r="R1801" s="22" t="n"/>
      <c r="S1801" s="22" t="n"/>
      <c r="T1801" s="4">
        <f>IF(A1801="","",TRIM(IF(K1801="","Needs decision; ","")&amp;IF(AND(K1801="Accept suggestion",F1801=""),"No suggestion to accept; ","")&amp;IF(AND(K1801="Override",L1801=""),"Override URL missing; ","")&amp;IF(AND(K1801="Accept suggestion",N(G1801)&lt;$G$2),"Below your threshold; ","")&amp;IF(AND(M1801&lt;&gt;"",M1801=A1801,K1801&lt;&gt;"No change (same URL)"),"Redirects to itself; ","")&amp;IF(AND(M1801&lt;&gt;"",OR(M1801="/",AND(LEFT(M1801,4)="http",OR((LEN(M1801)-LEN(SUBSTITUTE(M1801,"/","")))=2,AND((LEN(M1801)-LEN(SUBSTITUTE(M1801,"/","")))=3,RIGHT(M1801,1)="/"))))),"Home page redirect; ","")&amp;IF(N(R1801)&gt;1,"Chain; ","")&amp;IF(S1801="No","Destination not 200; ","")))</f>
        <v/>
      </c>
      <c r="U1801" s="22" t="n"/>
      <c r="V1801" s="22" t="n"/>
      <c r="W1801" s="4" t="n"/>
    </row>
    <row r="1802">
      <c r="A1802" s="22" t="n"/>
      <c r="B1802" s="22" t="n"/>
      <c r="C1802" s="22" t="n"/>
      <c r="D1802" s="22">
        <f>IF(A1802="","",IF(OR(N(B1802)&gt;=$C$2,N(C1802)&gt;=$E$2),"High",IF(OR(N(B1802)&gt;0,N(C1802)&gt;0),"Medium","Low")))</f>
        <v/>
      </c>
      <c r="E1802" s="22" t="n"/>
      <c r="F1802" s="22" t="n"/>
      <c r="G1802" s="22" t="n"/>
      <c r="H1802" s="22" t="n"/>
      <c r="I1802" s="22" t="n"/>
      <c r="J1802" s="22" t="n"/>
      <c r="K1802" s="22" t="n"/>
      <c r="L1802" s="22" t="n"/>
      <c r="M1802" s="22">
        <f>IF(K1802="Override",L1802,IF(K1802="Accept suggestion",F1802,IF(K1802="No change (same URL)",A1802,"")))</f>
        <v/>
      </c>
      <c r="N1802" s="22">
        <f>IF(A1802="","",IF(K1802="410 Gone","410",IF(K1802="404","404",IF(K1802="No change (same URL)","none",IF(M1802="","","301")))))</f>
        <v/>
      </c>
      <c r="O1802" s="22">
        <f>IF(A1802="","",IFERROR(MID(A1802,FIND("/",A1802,FIND("//",A1802)+2),2000),A1802))</f>
        <v/>
      </c>
      <c r="P1802" s="22">
        <f>IF(OR(O1802="",N1802="",N1802="none",N1802="404"),"",IF(N1802="410","Redirect gone "&amp;O1802,"Redirect "&amp;N1802&amp;" "&amp;O1802&amp;" "&amp;M1802))</f>
        <v/>
      </c>
      <c r="Q1802" s="22" t="n"/>
      <c r="R1802" s="22" t="n"/>
      <c r="S1802" s="22" t="n"/>
      <c r="T1802" s="4">
        <f>IF(A1802="","",TRIM(IF(K1802="","Needs decision; ","")&amp;IF(AND(K1802="Accept suggestion",F1802=""),"No suggestion to accept; ","")&amp;IF(AND(K1802="Override",L1802=""),"Override URL missing; ","")&amp;IF(AND(K1802="Accept suggestion",N(G1802)&lt;$G$2),"Below your threshold; ","")&amp;IF(AND(M1802&lt;&gt;"",M1802=A1802,K1802&lt;&gt;"No change (same URL)"),"Redirects to itself; ","")&amp;IF(AND(M1802&lt;&gt;"",OR(M1802="/",AND(LEFT(M1802,4)="http",OR((LEN(M1802)-LEN(SUBSTITUTE(M1802,"/","")))=2,AND((LEN(M1802)-LEN(SUBSTITUTE(M1802,"/","")))=3,RIGHT(M1802,1)="/"))))),"Home page redirect; ","")&amp;IF(N(R1802)&gt;1,"Chain; ","")&amp;IF(S1802="No","Destination not 200; ","")))</f>
        <v/>
      </c>
      <c r="U1802" s="22" t="n"/>
      <c r="V1802" s="22" t="n"/>
      <c r="W1802" s="4" t="n"/>
    </row>
    <row r="1803">
      <c r="A1803" s="22" t="n"/>
      <c r="B1803" s="22" t="n"/>
      <c r="C1803" s="22" t="n"/>
      <c r="D1803" s="22">
        <f>IF(A1803="","",IF(OR(N(B1803)&gt;=$C$2,N(C1803)&gt;=$E$2),"High",IF(OR(N(B1803)&gt;0,N(C1803)&gt;0),"Medium","Low")))</f>
        <v/>
      </c>
      <c r="E1803" s="22" t="n"/>
      <c r="F1803" s="22" t="n"/>
      <c r="G1803" s="22" t="n"/>
      <c r="H1803" s="22" t="n"/>
      <c r="I1803" s="22" t="n"/>
      <c r="J1803" s="22" t="n"/>
      <c r="K1803" s="22" t="n"/>
      <c r="L1803" s="22" t="n"/>
      <c r="M1803" s="22">
        <f>IF(K1803="Override",L1803,IF(K1803="Accept suggestion",F1803,IF(K1803="No change (same URL)",A1803,"")))</f>
        <v/>
      </c>
      <c r="N1803" s="22">
        <f>IF(A1803="","",IF(K1803="410 Gone","410",IF(K1803="404","404",IF(K1803="No change (same URL)","none",IF(M1803="","","301")))))</f>
        <v/>
      </c>
      <c r="O1803" s="22">
        <f>IF(A1803="","",IFERROR(MID(A1803,FIND("/",A1803,FIND("//",A1803)+2),2000),A1803))</f>
        <v/>
      </c>
      <c r="P1803" s="22">
        <f>IF(OR(O1803="",N1803="",N1803="none",N1803="404"),"",IF(N1803="410","Redirect gone "&amp;O1803,"Redirect "&amp;N1803&amp;" "&amp;O1803&amp;" "&amp;M1803))</f>
        <v/>
      </c>
      <c r="Q1803" s="22" t="n"/>
      <c r="R1803" s="22" t="n"/>
      <c r="S1803" s="22" t="n"/>
      <c r="T1803" s="4">
        <f>IF(A1803="","",TRIM(IF(K1803="","Needs decision; ","")&amp;IF(AND(K1803="Accept suggestion",F1803=""),"No suggestion to accept; ","")&amp;IF(AND(K1803="Override",L1803=""),"Override URL missing; ","")&amp;IF(AND(K1803="Accept suggestion",N(G1803)&lt;$G$2),"Below your threshold; ","")&amp;IF(AND(M1803&lt;&gt;"",M1803=A1803,K1803&lt;&gt;"No change (same URL)"),"Redirects to itself; ","")&amp;IF(AND(M1803&lt;&gt;"",OR(M1803="/",AND(LEFT(M1803,4)="http",OR((LEN(M1803)-LEN(SUBSTITUTE(M1803,"/","")))=2,AND((LEN(M1803)-LEN(SUBSTITUTE(M1803,"/","")))=3,RIGHT(M1803,1)="/"))))),"Home page redirect; ","")&amp;IF(N(R1803)&gt;1,"Chain; ","")&amp;IF(S1803="No","Destination not 200; ","")))</f>
        <v/>
      </c>
      <c r="U1803" s="22" t="n"/>
      <c r="V1803" s="22" t="n"/>
      <c r="W1803" s="4" t="n"/>
    </row>
    <row r="1804">
      <c r="A1804" s="22" t="n"/>
      <c r="B1804" s="22" t="n"/>
      <c r="C1804" s="22" t="n"/>
      <c r="D1804" s="22">
        <f>IF(A1804="","",IF(OR(N(B1804)&gt;=$C$2,N(C1804)&gt;=$E$2),"High",IF(OR(N(B1804)&gt;0,N(C1804)&gt;0),"Medium","Low")))</f>
        <v/>
      </c>
      <c r="E1804" s="22" t="n"/>
      <c r="F1804" s="22" t="n"/>
      <c r="G1804" s="22" t="n"/>
      <c r="H1804" s="22" t="n"/>
      <c r="I1804" s="22" t="n"/>
      <c r="J1804" s="22" t="n"/>
      <c r="K1804" s="22" t="n"/>
      <c r="L1804" s="22" t="n"/>
      <c r="M1804" s="22">
        <f>IF(K1804="Override",L1804,IF(K1804="Accept suggestion",F1804,IF(K1804="No change (same URL)",A1804,"")))</f>
        <v/>
      </c>
      <c r="N1804" s="22">
        <f>IF(A1804="","",IF(K1804="410 Gone","410",IF(K1804="404","404",IF(K1804="No change (same URL)","none",IF(M1804="","","301")))))</f>
        <v/>
      </c>
      <c r="O1804" s="22">
        <f>IF(A1804="","",IFERROR(MID(A1804,FIND("/",A1804,FIND("//",A1804)+2),2000),A1804))</f>
        <v/>
      </c>
      <c r="P1804" s="22">
        <f>IF(OR(O1804="",N1804="",N1804="none",N1804="404"),"",IF(N1804="410","Redirect gone "&amp;O1804,"Redirect "&amp;N1804&amp;" "&amp;O1804&amp;" "&amp;M1804))</f>
        <v/>
      </c>
      <c r="Q1804" s="22" t="n"/>
      <c r="R1804" s="22" t="n"/>
      <c r="S1804" s="22" t="n"/>
      <c r="T1804" s="4">
        <f>IF(A1804="","",TRIM(IF(K1804="","Needs decision; ","")&amp;IF(AND(K1804="Accept suggestion",F1804=""),"No suggestion to accept; ","")&amp;IF(AND(K1804="Override",L1804=""),"Override URL missing; ","")&amp;IF(AND(K1804="Accept suggestion",N(G1804)&lt;$G$2),"Below your threshold; ","")&amp;IF(AND(M1804&lt;&gt;"",M1804=A1804,K1804&lt;&gt;"No change (same URL)"),"Redirects to itself; ","")&amp;IF(AND(M1804&lt;&gt;"",OR(M1804="/",AND(LEFT(M1804,4)="http",OR((LEN(M1804)-LEN(SUBSTITUTE(M1804,"/","")))=2,AND((LEN(M1804)-LEN(SUBSTITUTE(M1804,"/","")))=3,RIGHT(M1804,1)="/"))))),"Home page redirect; ","")&amp;IF(N(R1804)&gt;1,"Chain; ","")&amp;IF(S1804="No","Destination not 200; ","")))</f>
        <v/>
      </c>
      <c r="U1804" s="22" t="n"/>
      <c r="V1804" s="22" t="n"/>
      <c r="W1804" s="4" t="n"/>
    </row>
    <row r="1805">
      <c r="A1805" s="22" t="n"/>
      <c r="B1805" s="22" t="n"/>
      <c r="C1805" s="22" t="n"/>
      <c r="D1805" s="22">
        <f>IF(A1805="","",IF(OR(N(B1805)&gt;=$C$2,N(C1805)&gt;=$E$2),"High",IF(OR(N(B1805)&gt;0,N(C1805)&gt;0),"Medium","Low")))</f>
        <v/>
      </c>
      <c r="E1805" s="22" t="n"/>
      <c r="F1805" s="22" t="n"/>
      <c r="G1805" s="22" t="n"/>
      <c r="H1805" s="22" t="n"/>
      <c r="I1805" s="22" t="n"/>
      <c r="J1805" s="22" t="n"/>
      <c r="K1805" s="22" t="n"/>
      <c r="L1805" s="22" t="n"/>
      <c r="M1805" s="22">
        <f>IF(K1805="Override",L1805,IF(K1805="Accept suggestion",F1805,IF(K1805="No change (same URL)",A1805,"")))</f>
        <v/>
      </c>
      <c r="N1805" s="22">
        <f>IF(A1805="","",IF(K1805="410 Gone","410",IF(K1805="404","404",IF(K1805="No change (same URL)","none",IF(M1805="","","301")))))</f>
        <v/>
      </c>
      <c r="O1805" s="22">
        <f>IF(A1805="","",IFERROR(MID(A1805,FIND("/",A1805,FIND("//",A1805)+2),2000),A1805))</f>
        <v/>
      </c>
      <c r="P1805" s="22">
        <f>IF(OR(O1805="",N1805="",N1805="none",N1805="404"),"",IF(N1805="410","Redirect gone "&amp;O1805,"Redirect "&amp;N1805&amp;" "&amp;O1805&amp;" "&amp;M1805))</f>
        <v/>
      </c>
      <c r="Q1805" s="22" t="n"/>
      <c r="R1805" s="22" t="n"/>
      <c r="S1805" s="22" t="n"/>
      <c r="T1805" s="4">
        <f>IF(A1805="","",TRIM(IF(K1805="","Needs decision; ","")&amp;IF(AND(K1805="Accept suggestion",F1805=""),"No suggestion to accept; ","")&amp;IF(AND(K1805="Override",L1805=""),"Override URL missing; ","")&amp;IF(AND(K1805="Accept suggestion",N(G1805)&lt;$G$2),"Below your threshold; ","")&amp;IF(AND(M1805&lt;&gt;"",M1805=A1805,K1805&lt;&gt;"No change (same URL)"),"Redirects to itself; ","")&amp;IF(AND(M1805&lt;&gt;"",OR(M1805="/",AND(LEFT(M1805,4)="http",OR((LEN(M1805)-LEN(SUBSTITUTE(M1805,"/","")))=2,AND((LEN(M1805)-LEN(SUBSTITUTE(M1805,"/","")))=3,RIGHT(M1805,1)="/"))))),"Home page redirect; ","")&amp;IF(N(R1805)&gt;1,"Chain; ","")&amp;IF(S1805="No","Destination not 200; ","")))</f>
        <v/>
      </c>
      <c r="U1805" s="22" t="n"/>
      <c r="V1805" s="22" t="n"/>
      <c r="W1805" s="4" t="n"/>
    </row>
    <row r="1806">
      <c r="A1806" s="22" t="n"/>
      <c r="B1806" s="22" t="n"/>
      <c r="C1806" s="22" t="n"/>
      <c r="D1806" s="22">
        <f>IF(A1806="","",IF(OR(N(B1806)&gt;=$C$2,N(C1806)&gt;=$E$2),"High",IF(OR(N(B1806)&gt;0,N(C1806)&gt;0),"Medium","Low")))</f>
        <v/>
      </c>
      <c r="E1806" s="22" t="n"/>
      <c r="F1806" s="22" t="n"/>
      <c r="G1806" s="22" t="n"/>
      <c r="H1806" s="22" t="n"/>
      <c r="I1806" s="22" t="n"/>
      <c r="J1806" s="22" t="n"/>
      <c r="K1806" s="22" t="n"/>
      <c r="L1806" s="22" t="n"/>
      <c r="M1806" s="22">
        <f>IF(K1806="Override",L1806,IF(K1806="Accept suggestion",F1806,IF(K1806="No change (same URL)",A1806,"")))</f>
        <v/>
      </c>
      <c r="N1806" s="22">
        <f>IF(A1806="","",IF(K1806="410 Gone","410",IF(K1806="404","404",IF(K1806="No change (same URL)","none",IF(M1806="","","301")))))</f>
        <v/>
      </c>
      <c r="O1806" s="22">
        <f>IF(A1806="","",IFERROR(MID(A1806,FIND("/",A1806,FIND("//",A1806)+2),2000),A1806))</f>
        <v/>
      </c>
      <c r="P1806" s="22">
        <f>IF(OR(O1806="",N1806="",N1806="none",N1806="404"),"",IF(N1806="410","Redirect gone "&amp;O1806,"Redirect "&amp;N1806&amp;" "&amp;O1806&amp;" "&amp;M1806))</f>
        <v/>
      </c>
      <c r="Q1806" s="22" t="n"/>
      <c r="R1806" s="22" t="n"/>
      <c r="S1806" s="22" t="n"/>
      <c r="T1806" s="4">
        <f>IF(A1806="","",TRIM(IF(K1806="","Needs decision; ","")&amp;IF(AND(K1806="Accept suggestion",F1806=""),"No suggestion to accept; ","")&amp;IF(AND(K1806="Override",L1806=""),"Override URL missing; ","")&amp;IF(AND(K1806="Accept suggestion",N(G1806)&lt;$G$2),"Below your threshold; ","")&amp;IF(AND(M1806&lt;&gt;"",M1806=A1806,K1806&lt;&gt;"No change (same URL)"),"Redirects to itself; ","")&amp;IF(AND(M1806&lt;&gt;"",OR(M1806="/",AND(LEFT(M1806,4)="http",OR((LEN(M1806)-LEN(SUBSTITUTE(M1806,"/","")))=2,AND((LEN(M1806)-LEN(SUBSTITUTE(M1806,"/","")))=3,RIGHT(M1806,1)="/"))))),"Home page redirect; ","")&amp;IF(N(R1806)&gt;1,"Chain; ","")&amp;IF(S1806="No","Destination not 200; ","")))</f>
        <v/>
      </c>
      <c r="U1806" s="22" t="n"/>
      <c r="V1806" s="22" t="n"/>
      <c r="W1806" s="4" t="n"/>
    </row>
    <row r="1807">
      <c r="A1807" s="22" t="n"/>
      <c r="B1807" s="22" t="n"/>
      <c r="C1807" s="22" t="n"/>
      <c r="D1807" s="22">
        <f>IF(A1807="","",IF(OR(N(B1807)&gt;=$C$2,N(C1807)&gt;=$E$2),"High",IF(OR(N(B1807)&gt;0,N(C1807)&gt;0),"Medium","Low")))</f>
        <v/>
      </c>
      <c r="E1807" s="22" t="n"/>
      <c r="F1807" s="22" t="n"/>
      <c r="G1807" s="22" t="n"/>
      <c r="H1807" s="22" t="n"/>
      <c r="I1807" s="22" t="n"/>
      <c r="J1807" s="22" t="n"/>
      <c r="K1807" s="22" t="n"/>
      <c r="L1807" s="22" t="n"/>
      <c r="M1807" s="22">
        <f>IF(K1807="Override",L1807,IF(K1807="Accept suggestion",F1807,IF(K1807="No change (same URL)",A1807,"")))</f>
        <v/>
      </c>
      <c r="N1807" s="22">
        <f>IF(A1807="","",IF(K1807="410 Gone","410",IF(K1807="404","404",IF(K1807="No change (same URL)","none",IF(M1807="","","301")))))</f>
        <v/>
      </c>
      <c r="O1807" s="22">
        <f>IF(A1807="","",IFERROR(MID(A1807,FIND("/",A1807,FIND("//",A1807)+2),2000),A1807))</f>
        <v/>
      </c>
      <c r="P1807" s="22">
        <f>IF(OR(O1807="",N1807="",N1807="none",N1807="404"),"",IF(N1807="410","Redirect gone "&amp;O1807,"Redirect "&amp;N1807&amp;" "&amp;O1807&amp;" "&amp;M1807))</f>
        <v/>
      </c>
      <c r="Q1807" s="22" t="n"/>
      <c r="R1807" s="22" t="n"/>
      <c r="S1807" s="22" t="n"/>
      <c r="T1807" s="4">
        <f>IF(A1807="","",TRIM(IF(K1807="","Needs decision; ","")&amp;IF(AND(K1807="Accept suggestion",F1807=""),"No suggestion to accept; ","")&amp;IF(AND(K1807="Override",L1807=""),"Override URL missing; ","")&amp;IF(AND(K1807="Accept suggestion",N(G1807)&lt;$G$2),"Below your threshold; ","")&amp;IF(AND(M1807&lt;&gt;"",M1807=A1807,K1807&lt;&gt;"No change (same URL)"),"Redirects to itself; ","")&amp;IF(AND(M1807&lt;&gt;"",OR(M1807="/",AND(LEFT(M1807,4)="http",OR((LEN(M1807)-LEN(SUBSTITUTE(M1807,"/","")))=2,AND((LEN(M1807)-LEN(SUBSTITUTE(M1807,"/","")))=3,RIGHT(M1807,1)="/"))))),"Home page redirect; ","")&amp;IF(N(R1807)&gt;1,"Chain; ","")&amp;IF(S1807="No","Destination not 200; ","")))</f>
        <v/>
      </c>
      <c r="U1807" s="22" t="n"/>
      <c r="V1807" s="22" t="n"/>
      <c r="W1807" s="4" t="n"/>
    </row>
    <row r="1808">
      <c r="A1808" s="22" t="n"/>
      <c r="B1808" s="22" t="n"/>
      <c r="C1808" s="22" t="n"/>
      <c r="D1808" s="22">
        <f>IF(A1808="","",IF(OR(N(B1808)&gt;=$C$2,N(C1808)&gt;=$E$2),"High",IF(OR(N(B1808)&gt;0,N(C1808)&gt;0),"Medium","Low")))</f>
        <v/>
      </c>
      <c r="E1808" s="22" t="n"/>
      <c r="F1808" s="22" t="n"/>
      <c r="G1808" s="22" t="n"/>
      <c r="H1808" s="22" t="n"/>
      <c r="I1808" s="22" t="n"/>
      <c r="J1808" s="22" t="n"/>
      <c r="K1808" s="22" t="n"/>
      <c r="L1808" s="22" t="n"/>
      <c r="M1808" s="22">
        <f>IF(K1808="Override",L1808,IF(K1808="Accept suggestion",F1808,IF(K1808="No change (same URL)",A1808,"")))</f>
        <v/>
      </c>
      <c r="N1808" s="22">
        <f>IF(A1808="","",IF(K1808="410 Gone","410",IF(K1808="404","404",IF(K1808="No change (same URL)","none",IF(M1808="","","301")))))</f>
        <v/>
      </c>
      <c r="O1808" s="22">
        <f>IF(A1808="","",IFERROR(MID(A1808,FIND("/",A1808,FIND("//",A1808)+2),2000),A1808))</f>
        <v/>
      </c>
      <c r="P1808" s="22">
        <f>IF(OR(O1808="",N1808="",N1808="none",N1808="404"),"",IF(N1808="410","Redirect gone "&amp;O1808,"Redirect "&amp;N1808&amp;" "&amp;O1808&amp;" "&amp;M1808))</f>
        <v/>
      </c>
      <c r="Q1808" s="22" t="n"/>
      <c r="R1808" s="22" t="n"/>
      <c r="S1808" s="22" t="n"/>
      <c r="T1808" s="4">
        <f>IF(A1808="","",TRIM(IF(K1808="","Needs decision; ","")&amp;IF(AND(K1808="Accept suggestion",F1808=""),"No suggestion to accept; ","")&amp;IF(AND(K1808="Override",L1808=""),"Override URL missing; ","")&amp;IF(AND(K1808="Accept suggestion",N(G1808)&lt;$G$2),"Below your threshold; ","")&amp;IF(AND(M1808&lt;&gt;"",M1808=A1808,K1808&lt;&gt;"No change (same URL)"),"Redirects to itself; ","")&amp;IF(AND(M1808&lt;&gt;"",OR(M1808="/",AND(LEFT(M1808,4)="http",OR((LEN(M1808)-LEN(SUBSTITUTE(M1808,"/","")))=2,AND((LEN(M1808)-LEN(SUBSTITUTE(M1808,"/","")))=3,RIGHT(M1808,1)="/"))))),"Home page redirect; ","")&amp;IF(N(R1808)&gt;1,"Chain; ","")&amp;IF(S1808="No","Destination not 200; ","")))</f>
        <v/>
      </c>
      <c r="U1808" s="22" t="n"/>
      <c r="V1808" s="22" t="n"/>
      <c r="W1808" s="4" t="n"/>
    </row>
    <row r="1809">
      <c r="A1809" s="22" t="n"/>
      <c r="B1809" s="22" t="n"/>
      <c r="C1809" s="22" t="n"/>
      <c r="D1809" s="22">
        <f>IF(A1809="","",IF(OR(N(B1809)&gt;=$C$2,N(C1809)&gt;=$E$2),"High",IF(OR(N(B1809)&gt;0,N(C1809)&gt;0),"Medium","Low")))</f>
        <v/>
      </c>
      <c r="E1809" s="22" t="n"/>
      <c r="F1809" s="22" t="n"/>
      <c r="G1809" s="22" t="n"/>
      <c r="H1809" s="22" t="n"/>
      <c r="I1809" s="22" t="n"/>
      <c r="J1809" s="22" t="n"/>
      <c r="K1809" s="22" t="n"/>
      <c r="L1809" s="22" t="n"/>
      <c r="M1809" s="22">
        <f>IF(K1809="Override",L1809,IF(K1809="Accept suggestion",F1809,IF(K1809="No change (same URL)",A1809,"")))</f>
        <v/>
      </c>
      <c r="N1809" s="22">
        <f>IF(A1809="","",IF(K1809="410 Gone","410",IF(K1809="404","404",IF(K1809="No change (same URL)","none",IF(M1809="","","301")))))</f>
        <v/>
      </c>
      <c r="O1809" s="22">
        <f>IF(A1809="","",IFERROR(MID(A1809,FIND("/",A1809,FIND("//",A1809)+2),2000),A1809))</f>
        <v/>
      </c>
      <c r="P1809" s="22">
        <f>IF(OR(O1809="",N1809="",N1809="none",N1809="404"),"",IF(N1809="410","Redirect gone "&amp;O1809,"Redirect "&amp;N1809&amp;" "&amp;O1809&amp;" "&amp;M1809))</f>
        <v/>
      </c>
      <c r="Q1809" s="22" t="n"/>
      <c r="R1809" s="22" t="n"/>
      <c r="S1809" s="22" t="n"/>
      <c r="T1809" s="4">
        <f>IF(A1809="","",TRIM(IF(K1809="","Needs decision; ","")&amp;IF(AND(K1809="Accept suggestion",F1809=""),"No suggestion to accept; ","")&amp;IF(AND(K1809="Override",L1809=""),"Override URL missing; ","")&amp;IF(AND(K1809="Accept suggestion",N(G1809)&lt;$G$2),"Below your threshold; ","")&amp;IF(AND(M1809&lt;&gt;"",M1809=A1809,K1809&lt;&gt;"No change (same URL)"),"Redirects to itself; ","")&amp;IF(AND(M1809&lt;&gt;"",OR(M1809="/",AND(LEFT(M1809,4)="http",OR((LEN(M1809)-LEN(SUBSTITUTE(M1809,"/","")))=2,AND((LEN(M1809)-LEN(SUBSTITUTE(M1809,"/","")))=3,RIGHT(M1809,1)="/"))))),"Home page redirect; ","")&amp;IF(N(R1809)&gt;1,"Chain; ","")&amp;IF(S1809="No","Destination not 200; ","")))</f>
        <v/>
      </c>
      <c r="U1809" s="22" t="n"/>
      <c r="V1809" s="22" t="n"/>
      <c r="W1809" s="4" t="n"/>
    </row>
    <row r="1810">
      <c r="A1810" s="22" t="n"/>
      <c r="B1810" s="22" t="n"/>
      <c r="C1810" s="22" t="n"/>
      <c r="D1810" s="22">
        <f>IF(A1810="","",IF(OR(N(B1810)&gt;=$C$2,N(C1810)&gt;=$E$2),"High",IF(OR(N(B1810)&gt;0,N(C1810)&gt;0),"Medium","Low")))</f>
        <v/>
      </c>
      <c r="E1810" s="22" t="n"/>
      <c r="F1810" s="22" t="n"/>
      <c r="G1810" s="22" t="n"/>
      <c r="H1810" s="22" t="n"/>
      <c r="I1810" s="22" t="n"/>
      <c r="J1810" s="22" t="n"/>
      <c r="K1810" s="22" t="n"/>
      <c r="L1810" s="22" t="n"/>
      <c r="M1810" s="22">
        <f>IF(K1810="Override",L1810,IF(K1810="Accept suggestion",F1810,IF(K1810="No change (same URL)",A1810,"")))</f>
        <v/>
      </c>
      <c r="N1810" s="22">
        <f>IF(A1810="","",IF(K1810="410 Gone","410",IF(K1810="404","404",IF(K1810="No change (same URL)","none",IF(M1810="","","301")))))</f>
        <v/>
      </c>
      <c r="O1810" s="22">
        <f>IF(A1810="","",IFERROR(MID(A1810,FIND("/",A1810,FIND("//",A1810)+2),2000),A1810))</f>
        <v/>
      </c>
      <c r="P1810" s="22">
        <f>IF(OR(O1810="",N1810="",N1810="none",N1810="404"),"",IF(N1810="410","Redirect gone "&amp;O1810,"Redirect "&amp;N1810&amp;" "&amp;O1810&amp;" "&amp;M1810))</f>
        <v/>
      </c>
      <c r="Q1810" s="22" t="n"/>
      <c r="R1810" s="22" t="n"/>
      <c r="S1810" s="22" t="n"/>
      <c r="T1810" s="4">
        <f>IF(A1810="","",TRIM(IF(K1810="","Needs decision; ","")&amp;IF(AND(K1810="Accept suggestion",F1810=""),"No suggestion to accept; ","")&amp;IF(AND(K1810="Override",L1810=""),"Override URL missing; ","")&amp;IF(AND(K1810="Accept suggestion",N(G1810)&lt;$G$2),"Below your threshold; ","")&amp;IF(AND(M1810&lt;&gt;"",M1810=A1810,K1810&lt;&gt;"No change (same URL)"),"Redirects to itself; ","")&amp;IF(AND(M1810&lt;&gt;"",OR(M1810="/",AND(LEFT(M1810,4)="http",OR((LEN(M1810)-LEN(SUBSTITUTE(M1810,"/","")))=2,AND((LEN(M1810)-LEN(SUBSTITUTE(M1810,"/","")))=3,RIGHT(M1810,1)="/"))))),"Home page redirect; ","")&amp;IF(N(R1810)&gt;1,"Chain; ","")&amp;IF(S1810="No","Destination not 200; ","")))</f>
        <v/>
      </c>
      <c r="U1810" s="22" t="n"/>
      <c r="V1810" s="22" t="n"/>
      <c r="W1810" s="4" t="n"/>
    </row>
    <row r="1811">
      <c r="A1811" s="22" t="n"/>
      <c r="B1811" s="22" t="n"/>
      <c r="C1811" s="22" t="n"/>
      <c r="D1811" s="22">
        <f>IF(A1811="","",IF(OR(N(B1811)&gt;=$C$2,N(C1811)&gt;=$E$2),"High",IF(OR(N(B1811)&gt;0,N(C1811)&gt;0),"Medium","Low")))</f>
        <v/>
      </c>
      <c r="E1811" s="22" t="n"/>
      <c r="F1811" s="22" t="n"/>
      <c r="G1811" s="22" t="n"/>
      <c r="H1811" s="22" t="n"/>
      <c r="I1811" s="22" t="n"/>
      <c r="J1811" s="22" t="n"/>
      <c r="K1811" s="22" t="n"/>
      <c r="L1811" s="22" t="n"/>
      <c r="M1811" s="22">
        <f>IF(K1811="Override",L1811,IF(K1811="Accept suggestion",F1811,IF(K1811="No change (same URL)",A1811,"")))</f>
        <v/>
      </c>
      <c r="N1811" s="22">
        <f>IF(A1811="","",IF(K1811="410 Gone","410",IF(K1811="404","404",IF(K1811="No change (same URL)","none",IF(M1811="","","301")))))</f>
        <v/>
      </c>
      <c r="O1811" s="22">
        <f>IF(A1811="","",IFERROR(MID(A1811,FIND("/",A1811,FIND("//",A1811)+2),2000),A1811))</f>
        <v/>
      </c>
      <c r="P1811" s="22">
        <f>IF(OR(O1811="",N1811="",N1811="none",N1811="404"),"",IF(N1811="410","Redirect gone "&amp;O1811,"Redirect "&amp;N1811&amp;" "&amp;O1811&amp;" "&amp;M1811))</f>
        <v/>
      </c>
      <c r="Q1811" s="22" t="n"/>
      <c r="R1811" s="22" t="n"/>
      <c r="S1811" s="22" t="n"/>
      <c r="T1811" s="4">
        <f>IF(A1811="","",TRIM(IF(K1811="","Needs decision; ","")&amp;IF(AND(K1811="Accept suggestion",F1811=""),"No suggestion to accept; ","")&amp;IF(AND(K1811="Override",L1811=""),"Override URL missing; ","")&amp;IF(AND(K1811="Accept suggestion",N(G1811)&lt;$G$2),"Below your threshold; ","")&amp;IF(AND(M1811&lt;&gt;"",M1811=A1811,K1811&lt;&gt;"No change (same URL)"),"Redirects to itself; ","")&amp;IF(AND(M1811&lt;&gt;"",OR(M1811="/",AND(LEFT(M1811,4)="http",OR((LEN(M1811)-LEN(SUBSTITUTE(M1811,"/","")))=2,AND((LEN(M1811)-LEN(SUBSTITUTE(M1811,"/","")))=3,RIGHT(M1811,1)="/"))))),"Home page redirect; ","")&amp;IF(N(R1811)&gt;1,"Chain; ","")&amp;IF(S1811="No","Destination not 200; ","")))</f>
        <v/>
      </c>
      <c r="U1811" s="22" t="n"/>
      <c r="V1811" s="22" t="n"/>
      <c r="W1811" s="4" t="n"/>
    </row>
    <row r="1812">
      <c r="A1812" s="22" t="n"/>
      <c r="B1812" s="22" t="n"/>
      <c r="C1812" s="22" t="n"/>
      <c r="D1812" s="22">
        <f>IF(A1812="","",IF(OR(N(B1812)&gt;=$C$2,N(C1812)&gt;=$E$2),"High",IF(OR(N(B1812)&gt;0,N(C1812)&gt;0),"Medium","Low")))</f>
        <v/>
      </c>
      <c r="E1812" s="22" t="n"/>
      <c r="F1812" s="22" t="n"/>
      <c r="G1812" s="22" t="n"/>
      <c r="H1812" s="22" t="n"/>
      <c r="I1812" s="22" t="n"/>
      <c r="J1812" s="22" t="n"/>
      <c r="K1812" s="22" t="n"/>
      <c r="L1812" s="22" t="n"/>
      <c r="M1812" s="22">
        <f>IF(K1812="Override",L1812,IF(K1812="Accept suggestion",F1812,IF(K1812="No change (same URL)",A1812,"")))</f>
        <v/>
      </c>
      <c r="N1812" s="22">
        <f>IF(A1812="","",IF(K1812="410 Gone","410",IF(K1812="404","404",IF(K1812="No change (same URL)","none",IF(M1812="","","301")))))</f>
        <v/>
      </c>
      <c r="O1812" s="22">
        <f>IF(A1812="","",IFERROR(MID(A1812,FIND("/",A1812,FIND("//",A1812)+2),2000),A1812))</f>
        <v/>
      </c>
      <c r="P1812" s="22">
        <f>IF(OR(O1812="",N1812="",N1812="none",N1812="404"),"",IF(N1812="410","Redirect gone "&amp;O1812,"Redirect "&amp;N1812&amp;" "&amp;O1812&amp;" "&amp;M1812))</f>
        <v/>
      </c>
      <c r="Q1812" s="22" t="n"/>
      <c r="R1812" s="22" t="n"/>
      <c r="S1812" s="22" t="n"/>
      <c r="T1812" s="4">
        <f>IF(A1812="","",TRIM(IF(K1812="","Needs decision; ","")&amp;IF(AND(K1812="Accept suggestion",F1812=""),"No suggestion to accept; ","")&amp;IF(AND(K1812="Override",L1812=""),"Override URL missing; ","")&amp;IF(AND(K1812="Accept suggestion",N(G1812)&lt;$G$2),"Below your threshold; ","")&amp;IF(AND(M1812&lt;&gt;"",M1812=A1812,K1812&lt;&gt;"No change (same URL)"),"Redirects to itself; ","")&amp;IF(AND(M1812&lt;&gt;"",OR(M1812="/",AND(LEFT(M1812,4)="http",OR((LEN(M1812)-LEN(SUBSTITUTE(M1812,"/","")))=2,AND((LEN(M1812)-LEN(SUBSTITUTE(M1812,"/","")))=3,RIGHT(M1812,1)="/"))))),"Home page redirect; ","")&amp;IF(N(R1812)&gt;1,"Chain; ","")&amp;IF(S1812="No","Destination not 200; ","")))</f>
        <v/>
      </c>
      <c r="U1812" s="22" t="n"/>
      <c r="V1812" s="22" t="n"/>
      <c r="W1812" s="4" t="n"/>
    </row>
    <row r="1813">
      <c r="A1813" s="22" t="n"/>
      <c r="B1813" s="22" t="n"/>
      <c r="C1813" s="22" t="n"/>
      <c r="D1813" s="22">
        <f>IF(A1813="","",IF(OR(N(B1813)&gt;=$C$2,N(C1813)&gt;=$E$2),"High",IF(OR(N(B1813)&gt;0,N(C1813)&gt;0),"Medium","Low")))</f>
        <v/>
      </c>
      <c r="E1813" s="22" t="n"/>
      <c r="F1813" s="22" t="n"/>
      <c r="G1813" s="22" t="n"/>
      <c r="H1813" s="22" t="n"/>
      <c r="I1813" s="22" t="n"/>
      <c r="J1813" s="22" t="n"/>
      <c r="K1813" s="22" t="n"/>
      <c r="L1813" s="22" t="n"/>
      <c r="M1813" s="22">
        <f>IF(K1813="Override",L1813,IF(K1813="Accept suggestion",F1813,IF(K1813="No change (same URL)",A1813,"")))</f>
        <v/>
      </c>
      <c r="N1813" s="22">
        <f>IF(A1813="","",IF(K1813="410 Gone","410",IF(K1813="404","404",IF(K1813="No change (same URL)","none",IF(M1813="","","301")))))</f>
        <v/>
      </c>
      <c r="O1813" s="22">
        <f>IF(A1813="","",IFERROR(MID(A1813,FIND("/",A1813,FIND("//",A1813)+2),2000),A1813))</f>
        <v/>
      </c>
      <c r="P1813" s="22">
        <f>IF(OR(O1813="",N1813="",N1813="none",N1813="404"),"",IF(N1813="410","Redirect gone "&amp;O1813,"Redirect "&amp;N1813&amp;" "&amp;O1813&amp;" "&amp;M1813))</f>
        <v/>
      </c>
      <c r="Q1813" s="22" t="n"/>
      <c r="R1813" s="22" t="n"/>
      <c r="S1813" s="22" t="n"/>
      <c r="T1813" s="4">
        <f>IF(A1813="","",TRIM(IF(K1813="","Needs decision; ","")&amp;IF(AND(K1813="Accept suggestion",F1813=""),"No suggestion to accept; ","")&amp;IF(AND(K1813="Override",L1813=""),"Override URL missing; ","")&amp;IF(AND(K1813="Accept suggestion",N(G1813)&lt;$G$2),"Below your threshold; ","")&amp;IF(AND(M1813&lt;&gt;"",M1813=A1813,K1813&lt;&gt;"No change (same URL)"),"Redirects to itself; ","")&amp;IF(AND(M1813&lt;&gt;"",OR(M1813="/",AND(LEFT(M1813,4)="http",OR((LEN(M1813)-LEN(SUBSTITUTE(M1813,"/","")))=2,AND((LEN(M1813)-LEN(SUBSTITUTE(M1813,"/","")))=3,RIGHT(M1813,1)="/"))))),"Home page redirect; ","")&amp;IF(N(R1813)&gt;1,"Chain; ","")&amp;IF(S1813="No","Destination not 200; ","")))</f>
        <v/>
      </c>
      <c r="U1813" s="22" t="n"/>
      <c r="V1813" s="22" t="n"/>
      <c r="W1813" s="4" t="n"/>
    </row>
    <row r="1814">
      <c r="A1814" s="22" t="n"/>
      <c r="B1814" s="22" t="n"/>
      <c r="C1814" s="22" t="n"/>
      <c r="D1814" s="22">
        <f>IF(A1814="","",IF(OR(N(B1814)&gt;=$C$2,N(C1814)&gt;=$E$2),"High",IF(OR(N(B1814)&gt;0,N(C1814)&gt;0),"Medium","Low")))</f>
        <v/>
      </c>
      <c r="E1814" s="22" t="n"/>
      <c r="F1814" s="22" t="n"/>
      <c r="G1814" s="22" t="n"/>
      <c r="H1814" s="22" t="n"/>
      <c r="I1814" s="22" t="n"/>
      <c r="J1814" s="22" t="n"/>
      <c r="K1814" s="22" t="n"/>
      <c r="L1814" s="22" t="n"/>
      <c r="M1814" s="22">
        <f>IF(K1814="Override",L1814,IF(K1814="Accept suggestion",F1814,IF(K1814="No change (same URL)",A1814,"")))</f>
        <v/>
      </c>
      <c r="N1814" s="22">
        <f>IF(A1814="","",IF(K1814="410 Gone","410",IF(K1814="404","404",IF(K1814="No change (same URL)","none",IF(M1814="","","301")))))</f>
        <v/>
      </c>
      <c r="O1814" s="22">
        <f>IF(A1814="","",IFERROR(MID(A1814,FIND("/",A1814,FIND("//",A1814)+2),2000),A1814))</f>
        <v/>
      </c>
      <c r="P1814" s="22">
        <f>IF(OR(O1814="",N1814="",N1814="none",N1814="404"),"",IF(N1814="410","Redirect gone "&amp;O1814,"Redirect "&amp;N1814&amp;" "&amp;O1814&amp;" "&amp;M1814))</f>
        <v/>
      </c>
      <c r="Q1814" s="22" t="n"/>
      <c r="R1814" s="22" t="n"/>
      <c r="S1814" s="22" t="n"/>
      <c r="T1814" s="4">
        <f>IF(A1814="","",TRIM(IF(K1814="","Needs decision; ","")&amp;IF(AND(K1814="Accept suggestion",F1814=""),"No suggestion to accept; ","")&amp;IF(AND(K1814="Override",L1814=""),"Override URL missing; ","")&amp;IF(AND(K1814="Accept suggestion",N(G1814)&lt;$G$2),"Below your threshold; ","")&amp;IF(AND(M1814&lt;&gt;"",M1814=A1814,K1814&lt;&gt;"No change (same URL)"),"Redirects to itself; ","")&amp;IF(AND(M1814&lt;&gt;"",OR(M1814="/",AND(LEFT(M1814,4)="http",OR((LEN(M1814)-LEN(SUBSTITUTE(M1814,"/","")))=2,AND((LEN(M1814)-LEN(SUBSTITUTE(M1814,"/","")))=3,RIGHT(M1814,1)="/"))))),"Home page redirect; ","")&amp;IF(N(R1814)&gt;1,"Chain; ","")&amp;IF(S1814="No","Destination not 200; ","")))</f>
        <v/>
      </c>
      <c r="U1814" s="22" t="n"/>
      <c r="V1814" s="22" t="n"/>
      <c r="W1814" s="4" t="n"/>
    </row>
    <row r="1815">
      <c r="A1815" s="22" t="n"/>
      <c r="B1815" s="22" t="n"/>
      <c r="C1815" s="22" t="n"/>
      <c r="D1815" s="22">
        <f>IF(A1815="","",IF(OR(N(B1815)&gt;=$C$2,N(C1815)&gt;=$E$2),"High",IF(OR(N(B1815)&gt;0,N(C1815)&gt;0),"Medium","Low")))</f>
        <v/>
      </c>
      <c r="E1815" s="22" t="n"/>
      <c r="F1815" s="22" t="n"/>
      <c r="G1815" s="22" t="n"/>
      <c r="H1815" s="22" t="n"/>
      <c r="I1815" s="22" t="n"/>
      <c r="J1815" s="22" t="n"/>
      <c r="K1815" s="22" t="n"/>
      <c r="L1815" s="22" t="n"/>
      <c r="M1815" s="22">
        <f>IF(K1815="Override",L1815,IF(K1815="Accept suggestion",F1815,IF(K1815="No change (same URL)",A1815,"")))</f>
        <v/>
      </c>
      <c r="N1815" s="22">
        <f>IF(A1815="","",IF(K1815="410 Gone","410",IF(K1815="404","404",IF(K1815="No change (same URL)","none",IF(M1815="","","301")))))</f>
        <v/>
      </c>
      <c r="O1815" s="22">
        <f>IF(A1815="","",IFERROR(MID(A1815,FIND("/",A1815,FIND("//",A1815)+2),2000),A1815))</f>
        <v/>
      </c>
      <c r="P1815" s="22">
        <f>IF(OR(O1815="",N1815="",N1815="none",N1815="404"),"",IF(N1815="410","Redirect gone "&amp;O1815,"Redirect "&amp;N1815&amp;" "&amp;O1815&amp;" "&amp;M1815))</f>
        <v/>
      </c>
      <c r="Q1815" s="22" t="n"/>
      <c r="R1815" s="22" t="n"/>
      <c r="S1815" s="22" t="n"/>
      <c r="T1815" s="4">
        <f>IF(A1815="","",TRIM(IF(K1815="","Needs decision; ","")&amp;IF(AND(K1815="Accept suggestion",F1815=""),"No suggestion to accept; ","")&amp;IF(AND(K1815="Override",L1815=""),"Override URL missing; ","")&amp;IF(AND(K1815="Accept suggestion",N(G1815)&lt;$G$2),"Below your threshold; ","")&amp;IF(AND(M1815&lt;&gt;"",M1815=A1815,K1815&lt;&gt;"No change (same URL)"),"Redirects to itself; ","")&amp;IF(AND(M1815&lt;&gt;"",OR(M1815="/",AND(LEFT(M1815,4)="http",OR((LEN(M1815)-LEN(SUBSTITUTE(M1815,"/","")))=2,AND((LEN(M1815)-LEN(SUBSTITUTE(M1815,"/","")))=3,RIGHT(M1815,1)="/"))))),"Home page redirect; ","")&amp;IF(N(R1815)&gt;1,"Chain; ","")&amp;IF(S1815="No","Destination not 200; ","")))</f>
        <v/>
      </c>
      <c r="U1815" s="22" t="n"/>
      <c r="V1815" s="22" t="n"/>
      <c r="W1815" s="4" t="n"/>
    </row>
    <row r="1816">
      <c r="A1816" s="22" t="n"/>
      <c r="B1816" s="22" t="n"/>
      <c r="C1816" s="22" t="n"/>
      <c r="D1816" s="22">
        <f>IF(A1816="","",IF(OR(N(B1816)&gt;=$C$2,N(C1816)&gt;=$E$2),"High",IF(OR(N(B1816)&gt;0,N(C1816)&gt;0),"Medium","Low")))</f>
        <v/>
      </c>
      <c r="E1816" s="22" t="n"/>
      <c r="F1816" s="22" t="n"/>
      <c r="G1816" s="22" t="n"/>
      <c r="H1816" s="22" t="n"/>
      <c r="I1816" s="22" t="n"/>
      <c r="J1816" s="22" t="n"/>
      <c r="K1816" s="22" t="n"/>
      <c r="L1816" s="22" t="n"/>
      <c r="M1816" s="22">
        <f>IF(K1816="Override",L1816,IF(K1816="Accept suggestion",F1816,IF(K1816="No change (same URL)",A1816,"")))</f>
        <v/>
      </c>
      <c r="N1816" s="22">
        <f>IF(A1816="","",IF(K1816="410 Gone","410",IF(K1816="404","404",IF(K1816="No change (same URL)","none",IF(M1816="","","301")))))</f>
        <v/>
      </c>
      <c r="O1816" s="22">
        <f>IF(A1816="","",IFERROR(MID(A1816,FIND("/",A1816,FIND("//",A1816)+2),2000),A1816))</f>
        <v/>
      </c>
      <c r="P1816" s="22">
        <f>IF(OR(O1816="",N1816="",N1816="none",N1816="404"),"",IF(N1816="410","Redirect gone "&amp;O1816,"Redirect "&amp;N1816&amp;" "&amp;O1816&amp;" "&amp;M1816))</f>
        <v/>
      </c>
      <c r="Q1816" s="22" t="n"/>
      <c r="R1816" s="22" t="n"/>
      <c r="S1816" s="22" t="n"/>
      <c r="T1816" s="4">
        <f>IF(A1816="","",TRIM(IF(K1816="","Needs decision; ","")&amp;IF(AND(K1816="Accept suggestion",F1816=""),"No suggestion to accept; ","")&amp;IF(AND(K1816="Override",L1816=""),"Override URL missing; ","")&amp;IF(AND(K1816="Accept suggestion",N(G1816)&lt;$G$2),"Below your threshold; ","")&amp;IF(AND(M1816&lt;&gt;"",M1816=A1816,K1816&lt;&gt;"No change (same URL)"),"Redirects to itself; ","")&amp;IF(AND(M1816&lt;&gt;"",OR(M1816="/",AND(LEFT(M1816,4)="http",OR((LEN(M1816)-LEN(SUBSTITUTE(M1816,"/","")))=2,AND((LEN(M1816)-LEN(SUBSTITUTE(M1816,"/","")))=3,RIGHT(M1816,1)="/"))))),"Home page redirect; ","")&amp;IF(N(R1816)&gt;1,"Chain; ","")&amp;IF(S1816="No","Destination not 200; ","")))</f>
        <v/>
      </c>
      <c r="U1816" s="22" t="n"/>
      <c r="V1816" s="22" t="n"/>
      <c r="W1816" s="4" t="n"/>
    </row>
    <row r="1817">
      <c r="A1817" s="22" t="n"/>
      <c r="B1817" s="22" t="n"/>
      <c r="C1817" s="22" t="n"/>
      <c r="D1817" s="22">
        <f>IF(A1817="","",IF(OR(N(B1817)&gt;=$C$2,N(C1817)&gt;=$E$2),"High",IF(OR(N(B1817)&gt;0,N(C1817)&gt;0),"Medium","Low")))</f>
        <v/>
      </c>
      <c r="E1817" s="22" t="n"/>
      <c r="F1817" s="22" t="n"/>
      <c r="G1817" s="22" t="n"/>
      <c r="H1817" s="22" t="n"/>
      <c r="I1817" s="22" t="n"/>
      <c r="J1817" s="22" t="n"/>
      <c r="K1817" s="22" t="n"/>
      <c r="L1817" s="22" t="n"/>
      <c r="M1817" s="22">
        <f>IF(K1817="Override",L1817,IF(K1817="Accept suggestion",F1817,IF(K1817="No change (same URL)",A1817,"")))</f>
        <v/>
      </c>
      <c r="N1817" s="22">
        <f>IF(A1817="","",IF(K1817="410 Gone","410",IF(K1817="404","404",IF(K1817="No change (same URL)","none",IF(M1817="","","301")))))</f>
        <v/>
      </c>
      <c r="O1817" s="22">
        <f>IF(A1817="","",IFERROR(MID(A1817,FIND("/",A1817,FIND("//",A1817)+2),2000),A1817))</f>
        <v/>
      </c>
      <c r="P1817" s="22">
        <f>IF(OR(O1817="",N1817="",N1817="none",N1817="404"),"",IF(N1817="410","Redirect gone "&amp;O1817,"Redirect "&amp;N1817&amp;" "&amp;O1817&amp;" "&amp;M1817))</f>
        <v/>
      </c>
      <c r="Q1817" s="22" t="n"/>
      <c r="R1817" s="22" t="n"/>
      <c r="S1817" s="22" t="n"/>
      <c r="T1817" s="4">
        <f>IF(A1817="","",TRIM(IF(K1817="","Needs decision; ","")&amp;IF(AND(K1817="Accept suggestion",F1817=""),"No suggestion to accept; ","")&amp;IF(AND(K1817="Override",L1817=""),"Override URL missing; ","")&amp;IF(AND(K1817="Accept suggestion",N(G1817)&lt;$G$2),"Below your threshold; ","")&amp;IF(AND(M1817&lt;&gt;"",M1817=A1817,K1817&lt;&gt;"No change (same URL)"),"Redirects to itself; ","")&amp;IF(AND(M1817&lt;&gt;"",OR(M1817="/",AND(LEFT(M1817,4)="http",OR((LEN(M1817)-LEN(SUBSTITUTE(M1817,"/","")))=2,AND((LEN(M1817)-LEN(SUBSTITUTE(M1817,"/","")))=3,RIGHT(M1817,1)="/"))))),"Home page redirect; ","")&amp;IF(N(R1817)&gt;1,"Chain; ","")&amp;IF(S1817="No","Destination not 200; ","")))</f>
        <v/>
      </c>
      <c r="U1817" s="22" t="n"/>
      <c r="V1817" s="22" t="n"/>
      <c r="W1817" s="4" t="n"/>
    </row>
    <row r="1818">
      <c r="A1818" s="22" t="n"/>
      <c r="B1818" s="22" t="n"/>
      <c r="C1818" s="22" t="n"/>
      <c r="D1818" s="22">
        <f>IF(A1818="","",IF(OR(N(B1818)&gt;=$C$2,N(C1818)&gt;=$E$2),"High",IF(OR(N(B1818)&gt;0,N(C1818)&gt;0),"Medium","Low")))</f>
        <v/>
      </c>
      <c r="E1818" s="22" t="n"/>
      <c r="F1818" s="22" t="n"/>
      <c r="G1818" s="22" t="n"/>
      <c r="H1818" s="22" t="n"/>
      <c r="I1818" s="22" t="n"/>
      <c r="J1818" s="22" t="n"/>
      <c r="K1818" s="22" t="n"/>
      <c r="L1818" s="22" t="n"/>
      <c r="M1818" s="22">
        <f>IF(K1818="Override",L1818,IF(K1818="Accept suggestion",F1818,IF(K1818="No change (same URL)",A1818,"")))</f>
        <v/>
      </c>
      <c r="N1818" s="22">
        <f>IF(A1818="","",IF(K1818="410 Gone","410",IF(K1818="404","404",IF(K1818="No change (same URL)","none",IF(M1818="","","301")))))</f>
        <v/>
      </c>
      <c r="O1818" s="22">
        <f>IF(A1818="","",IFERROR(MID(A1818,FIND("/",A1818,FIND("//",A1818)+2),2000),A1818))</f>
        <v/>
      </c>
      <c r="P1818" s="22">
        <f>IF(OR(O1818="",N1818="",N1818="none",N1818="404"),"",IF(N1818="410","Redirect gone "&amp;O1818,"Redirect "&amp;N1818&amp;" "&amp;O1818&amp;" "&amp;M1818))</f>
        <v/>
      </c>
      <c r="Q1818" s="22" t="n"/>
      <c r="R1818" s="22" t="n"/>
      <c r="S1818" s="22" t="n"/>
      <c r="T1818" s="4">
        <f>IF(A1818="","",TRIM(IF(K1818="","Needs decision; ","")&amp;IF(AND(K1818="Accept suggestion",F1818=""),"No suggestion to accept; ","")&amp;IF(AND(K1818="Override",L1818=""),"Override URL missing; ","")&amp;IF(AND(K1818="Accept suggestion",N(G1818)&lt;$G$2),"Below your threshold; ","")&amp;IF(AND(M1818&lt;&gt;"",M1818=A1818,K1818&lt;&gt;"No change (same URL)"),"Redirects to itself; ","")&amp;IF(AND(M1818&lt;&gt;"",OR(M1818="/",AND(LEFT(M1818,4)="http",OR((LEN(M1818)-LEN(SUBSTITUTE(M1818,"/","")))=2,AND((LEN(M1818)-LEN(SUBSTITUTE(M1818,"/","")))=3,RIGHT(M1818,1)="/"))))),"Home page redirect; ","")&amp;IF(N(R1818)&gt;1,"Chain; ","")&amp;IF(S1818="No","Destination not 200; ","")))</f>
        <v/>
      </c>
      <c r="U1818" s="22" t="n"/>
      <c r="V1818" s="22" t="n"/>
      <c r="W1818" s="4" t="n"/>
    </row>
    <row r="1819">
      <c r="A1819" s="22" t="n"/>
      <c r="B1819" s="22" t="n"/>
      <c r="C1819" s="22" t="n"/>
      <c r="D1819" s="22">
        <f>IF(A1819="","",IF(OR(N(B1819)&gt;=$C$2,N(C1819)&gt;=$E$2),"High",IF(OR(N(B1819)&gt;0,N(C1819)&gt;0),"Medium","Low")))</f>
        <v/>
      </c>
      <c r="E1819" s="22" t="n"/>
      <c r="F1819" s="22" t="n"/>
      <c r="G1819" s="22" t="n"/>
      <c r="H1819" s="22" t="n"/>
      <c r="I1819" s="22" t="n"/>
      <c r="J1819" s="22" t="n"/>
      <c r="K1819" s="22" t="n"/>
      <c r="L1819" s="22" t="n"/>
      <c r="M1819" s="22">
        <f>IF(K1819="Override",L1819,IF(K1819="Accept suggestion",F1819,IF(K1819="No change (same URL)",A1819,"")))</f>
        <v/>
      </c>
      <c r="N1819" s="22">
        <f>IF(A1819="","",IF(K1819="410 Gone","410",IF(K1819="404","404",IF(K1819="No change (same URL)","none",IF(M1819="","","301")))))</f>
        <v/>
      </c>
      <c r="O1819" s="22">
        <f>IF(A1819="","",IFERROR(MID(A1819,FIND("/",A1819,FIND("//",A1819)+2),2000),A1819))</f>
        <v/>
      </c>
      <c r="P1819" s="22">
        <f>IF(OR(O1819="",N1819="",N1819="none",N1819="404"),"",IF(N1819="410","Redirect gone "&amp;O1819,"Redirect "&amp;N1819&amp;" "&amp;O1819&amp;" "&amp;M1819))</f>
        <v/>
      </c>
      <c r="Q1819" s="22" t="n"/>
      <c r="R1819" s="22" t="n"/>
      <c r="S1819" s="22" t="n"/>
      <c r="T1819" s="4">
        <f>IF(A1819="","",TRIM(IF(K1819="","Needs decision; ","")&amp;IF(AND(K1819="Accept suggestion",F1819=""),"No suggestion to accept; ","")&amp;IF(AND(K1819="Override",L1819=""),"Override URL missing; ","")&amp;IF(AND(K1819="Accept suggestion",N(G1819)&lt;$G$2),"Below your threshold; ","")&amp;IF(AND(M1819&lt;&gt;"",M1819=A1819,K1819&lt;&gt;"No change (same URL)"),"Redirects to itself; ","")&amp;IF(AND(M1819&lt;&gt;"",OR(M1819="/",AND(LEFT(M1819,4)="http",OR((LEN(M1819)-LEN(SUBSTITUTE(M1819,"/","")))=2,AND((LEN(M1819)-LEN(SUBSTITUTE(M1819,"/","")))=3,RIGHT(M1819,1)="/"))))),"Home page redirect; ","")&amp;IF(N(R1819)&gt;1,"Chain; ","")&amp;IF(S1819="No","Destination not 200; ","")))</f>
        <v/>
      </c>
      <c r="U1819" s="22" t="n"/>
      <c r="V1819" s="22" t="n"/>
      <c r="W1819" s="4" t="n"/>
    </row>
    <row r="1820">
      <c r="A1820" s="22" t="n"/>
      <c r="B1820" s="22" t="n"/>
      <c r="C1820" s="22" t="n"/>
      <c r="D1820" s="22">
        <f>IF(A1820="","",IF(OR(N(B1820)&gt;=$C$2,N(C1820)&gt;=$E$2),"High",IF(OR(N(B1820)&gt;0,N(C1820)&gt;0),"Medium","Low")))</f>
        <v/>
      </c>
      <c r="E1820" s="22" t="n"/>
      <c r="F1820" s="22" t="n"/>
      <c r="G1820" s="22" t="n"/>
      <c r="H1820" s="22" t="n"/>
      <c r="I1820" s="22" t="n"/>
      <c r="J1820" s="22" t="n"/>
      <c r="K1820" s="22" t="n"/>
      <c r="L1820" s="22" t="n"/>
      <c r="M1820" s="22">
        <f>IF(K1820="Override",L1820,IF(K1820="Accept suggestion",F1820,IF(K1820="No change (same URL)",A1820,"")))</f>
        <v/>
      </c>
      <c r="N1820" s="22">
        <f>IF(A1820="","",IF(K1820="410 Gone","410",IF(K1820="404","404",IF(K1820="No change (same URL)","none",IF(M1820="","","301")))))</f>
        <v/>
      </c>
      <c r="O1820" s="22">
        <f>IF(A1820="","",IFERROR(MID(A1820,FIND("/",A1820,FIND("//",A1820)+2),2000),A1820))</f>
        <v/>
      </c>
      <c r="P1820" s="22">
        <f>IF(OR(O1820="",N1820="",N1820="none",N1820="404"),"",IF(N1820="410","Redirect gone "&amp;O1820,"Redirect "&amp;N1820&amp;" "&amp;O1820&amp;" "&amp;M1820))</f>
        <v/>
      </c>
      <c r="Q1820" s="22" t="n"/>
      <c r="R1820" s="22" t="n"/>
      <c r="S1820" s="22" t="n"/>
      <c r="T1820" s="4">
        <f>IF(A1820="","",TRIM(IF(K1820="","Needs decision; ","")&amp;IF(AND(K1820="Accept suggestion",F1820=""),"No suggestion to accept; ","")&amp;IF(AND(K1820="Override",L1820=""),"Override URL missing; ","")&amp;IF(AND(K1820="Accept suggestion",N(G1820)&lt;$G$2),"Below your threshold; ","")&amp;IF(AND(M1820&lt;&gt;"",M1820=A1820,K1820&lt;&gt;"No change (same URL)"),"Redirects to itself; ","")&amp;IF(AND(M1820&lt;&gt;"",OR(M1820="/",AND(LEFT(M1820,4)="http",OR((LEN(M1820)-LEN(SUBSTITUTE(M1820,"/","")))=2,AND((LEN(M1820)-LEN(SUBSTITUTE(M1820,"/","")))=3,RIGHT(M1820,1)="/"))))),"Home page redirect; ","")&amp;IF(N(R1820)&gt;1,"Chain; ","")&amp;IF(S1820="No","Destination not 200; ","")))</f>
        <v/>
      </c>
      <c r="U1820" s="22" t="n"/>
      <c r="V1820" s="22" t="n"/>
      <c r="W1820" s="4" t="n"/>
    </row>
    <row r="1821">
      <c r="A1821" s="22" t="n"/>
      <c r="B1821" s="22" t="n"/>
      <c r="C1821" s="22" t="n"/>
      <c r="D1821" s="22">
        <f>IF(A1821="","",IF(OR(N(B1821)&gt;=$C$2,N(C1821)&gt;=$E$2),"High",IF(OR(N(B1821)&gt;0,N(C1821)&gt;0),"Medium","Low")))</f>
        <v/>
      </c>
      <c r="E1821" s="22" t="n"/>
      <c r="F1821" s="22" t="n"/>
      <c r="G1821" s="22" t="n"/>
      <c r="H1821" s="22" t="n"/>
      <c r="I1821" s="22" t="n"/>
      <c r="J1821" s="22" t="n"/>
      <c r="K1821" s="22" t="n"/>
      <c r="L1821" s="22" t="n"/>
      <c r="M1821" s="22">
        <f>IF(K1821="Override",L1821,IF(K1821="Accept suggestion",F1821,IF(K1821="No change (same URL)",A1821,"")))</f>
        <v/>
      </c>
      <c r="N1821" s="22">
        <f>IF(A1821="","",IF(K1821="410 Gone","410",IF(K1821="404","404",IF(K1821="No change (same URL)","none",IF(M1821="","","301")))))</f>
        <v/>
      </c>
      <c r="O1821" s="22">
        <f>IF(A1821="","",IFERROR(MID(A1821,FIND("/",A1821,FIND("//",A1821)+2),2000),A1821))</f>
        <v/>
      </c>
      <c r="P1821" s="22">
        <f>IF(OR(O1821="",N1821="",N1821="none",N1821="404"),"",IF(N1821="410","Redirect gone "&amp;O1821,"Redirect "&amp;N1821&amp;" "&amp;O1821&amp;" "&amp;M1821))</f>
        <v/>
      </c>
      <c r="Q1821" s="22" t="n"/>
      <c r="R1821" s="22" t="n"/>
      <c r="S1821" s="22" t="n"/>
      <c r="T1821" s="4">
        <f>IF(A1821="","",TRIM(IF(K1821="","Needs decision; ","")&amp;IF(AND(K1821="Accept suggestion",F1821=""),"No suggestion to accept; ","")&amp;IF(AND(K1821="Override",L1821=""),"Override URL missing; ","")&amp;IF(AND(K1821="Accept suggestion",N(G1821)&lt;$G$2),"Below your threshold; ","")&amp;IF(AND(M1821&lt;&gt;"",M1821=A1821,K1821&lt;&gt;"No change (same URL)"),"Redirects to itself; ","")&amp;IF(AND(M1821&lt;&gt;"",OR(M1821="/",AND(LEFT(M1821,4)="http",OR((LEN(M1821)-LEN(SUBSTITUTE(M1821,"/","")))=2,AND((LEN(M1821)-LEN(SUBSTITUTE(M1821,"/","")))=3,RIGHT(M1821,1)="/"))))),"Home page redirect; ","")&amp;IF(N(R1821)&gt;1,"Chain; ","")&amp;IF(S1821="No","Destination not 200; ","")))</f>
        <v/>
      </c>
      <c r="U1821" s="22" t="n"/>
      <c r="V1821" s="22" t="n"/>
      <c r="W1821" s="4" t="n"/>
    </row>
    <row r="1822">
      <c r="A1822" s="22" t="n"/>
      <c r="B1822" s="22" t="n"/>
      <c r="C1822" s="22" t="n"/>
      <c r="D1822" s="22">
        <f>IF(A1822="","",IF(OR(N(B1822)&gt;=$C$2,N(C1822)&gt;=$E$2),"High",IF(OR(N(B1822)&gt;0,N(C1822)&gt;0),"Medium","Low")))</f>
        <v/>
      </c>
      <c r="E1822" s="22" t="n"/>
      <c r="F1822" s="22" t="n"/>
      <c r="G1822" s="22" t="n"/>
      <c r="H1822" s="22" t="n"/>
      <c r="I1822" s="22" t="n"/>
      <c r="J1822" s="22" t="n"/>
      <c r="K1822" s="22" t="n"/>
      <c r="L1822" s="22" t="n"/>
      <c r="M1822" s="22">
        <f>IF(K1822="Override",L1822,IF(K1822="Accept suggestion",F1822,IF(K1822="No change (same URL)",A1822,"")))</f>
        <v/>
      </c>
      <c r="N1822" s="22">
        <f>IF(A1822="","",IF(K1822="410 Gone","410",IF(K1822="404","404",IF(K1822="No change (same URL)","none",IF(M1822="","","301")))))</f>
        <v/>
      </c>
      <c r="O1822" s="22">
        <f>IF(A1822="","",IFERROR(MID(A1822,FIND("/",A1822,FIND("//",A1822)+2),2000),A1822))</f>
        <v/>
      </c>
      <c r="P1822" s="22">
        <f>IF(OR(O1822="",N1822="",N1822="none",N1822="404"),"",IF(N1822="410","Redirect gone "&amp;O1822,"Redirect "&amp;N1822&amp;" "&amp;O1822&amp;" "&amp;M1822))</f>
        <v/>
      </c>
      <c r="Q1822" s="22" t="n"/>
      <c r="R1822" s="22" t="n"/>
      <c r="S1822" s="22" t="n"/>
      <c r="T1822" s="4">
        <f>IF(A1822="","",TRIM(IF(K1822="","Needs decision; ","")&amp;IF(AND(K1822="Accept suggestion",F1822=""),"No suggestion to accept; ","")&amp;IF(AND(K1822="Override",L1822=""),"Override URL missing; ","")&amp;IF(AND(K1822="Accept suggestion",N(G1822)&lt;$G$2),"Below your threshold; ","")&amp;IF(AND(M1822&lt;&gt;"",M1822=A1822,K1822&lt;&gt;"No change (same URL)"),"Redirects to itself; ","")&amp;IF(AND(M1822&lt;&gt;"",OR(M1822="/",AND(LEFT(M1822,4)="http",OR((LEN(M1822)-LEN(SUBSTITUTE(M1822,"/","")))=2,AND((LEN(M1822)-LEN(SUBSTITUTE(M1822,"/","")))=3,RIGHT(M1822,1)="/"))))),"Home page redirect; ","")&amp;IF(N(R1822)&gt;1,"Chain; ","")&amp;IF(S1822="No","Destination not 200; ","")))</f>
        <v/>
      </c>
      <c r="U1822" s="22" t="n"/>
      <c r="V1822" s="22" t="n"/>
      <c r="W1822" s="4" t="n"/>
    </row>
    <row r="1823">
      <c r="A1823" s="22" t="n"/>
      <c r="B1823" s="22" t="n"/>
      <c r="C1823" s="22" t="n"/>
      <c r="D1823" s="22">
        <f>IF(A1823="","",IF(OR(N(B1823)&gt;=$C$2,N(C1823)&gt;=$E$2),"High",IF(OR(N(B1823)&gt;0,N(C1823)&gt;0),"Medium","Low")))</f>
        <v/>
      </c>
      <c r="E1823" s="22" t="n"/>
      <c r="F1823" s="22" t="n"/>
      <c r="G1823" s="22" t="n"/>
      <c r="H1823" s="22" t="n"/>
      <c r="I1823" s="22" t="n"/>
      <c r="J1823" s="22" t="n"/>
      <c r="K1823" s="22" t="n"/>
      <c r="L1823" s="22" t="n"/>
      <c r="M1823" s="22">
        <f>IF(K1823="Override",L1823,IF(K1823="Accept suggestion",F1823,IF(K1823="No change (same URL)",A1823,"")))</f>
        <v/>
      </c>
      <c r="N1823" s="22">
        <f>IF(A1823="","",IF(K1823="410 Gone","410",IF(K1823="404","404",IF(K1823="No change (same URL)","none",IF(M1823="","","301")))))</f>
        <v/>
      </c>
      <c r="O1823" s="22">
        <f>IF(A1823="","",IFERROR(MID(A1823,FIND("/",A1823,FIND("//",A1823)+2),2000),A1823))</f>
        <v/>
      </c>
      <c r="P1823" s="22">
        <f>IF(OR(O1823="",N1823="",N1823="none",N1823="404"),"",IF(N1823="410","Redirect gone "&amp;O1823,"Redirect "&amp;N1823&amp;" "&amp;O1823&amp;" "&amp;M1823))</f>
        <v/>
      </c>
      <c r="Q1823" s="22" t="n"/>
      <c r="R1823" s="22" t="n"/>
      <c r="S1823" s="22" t="n"/>
      <c r="T1823" s="4">
        <f>IF(A1823="","",TRIM(IF(K1823="","Needs decision; ","")&amp;IF(AND(K1823="Accept suggestion",F1823=""),"No suggestion to accept; ","")&amp;IF(AND(K1823="Override",L1823=""),"Override URL missing; ","")&amp;IF(AND(K1823="Accept suggestion",N(G1823)&lt;$G$2),"Below your threshold; ","")&amp;IF(AND(M1823&lt;&gt;"",M1823=A1823,K1823&lt;&gt;"No change (same URL)"),"Redirects to itself; ","")&amp;IF(AND(M1823&lt;&gt;"",OR(M1823="/",AND(LEFT(M1823,4)="http",OR((LEN(M1823)-LEN(SUBSTITUTE(M1823,"/","")))=2,AND((LEN(M1823)-LEN(SUBSTITUTE(M1823,"/","")))=3,RIGHT(M1823,1)="/"))))),"Home page redirect; ","")&amp;IF(N(R1823)&gt;1,"Chain; ","")&amp;IF(S1823="No","Destination not 200; ","")))</f>
        <v/>
      </c>
      <c r="U1823" s="22" t="n"/>
      <c r="V1823" s="22" t="n"/>
      <c r="W1823" s="4" t="n"/>
    </row>
    <row r="1824">
      <c r="A1824" s="22" t="n"/>
      <c r="B1824" s="22" t="n"/>
      <c r="C1824" s="22" t="n"/>
      <c r="D1824" s="22">
        <f>IF(A1824="","",IF(OR(N(B1824)&gt;=$C$2,N(C1824)&gt;=$E$2),"High",IF(OR(N(B1824)&gt;0,N(C1824)&gt;0),"Medium","Low")))</f>
        <v/>
      </c>
      <c r="E1824" s="22" t="n"/>
      <c r="F1824" s="22" t="n"/>
      <c r="G1824" s="22" t="n"/>
      <c r="H1824" s="22" t="n"/>
      <c r="I1824" s="22" t="n"/>
      <c r="J1824" s="22" t="n"/>
      <c r="K1824" s="22" t="n"/>
      <c r="L1824" s="22" t="n"/>
      <c r="M1824" s="22">
        <f>IF(K1824="Override",L1824,IF(K1824="Accept suggestion",F1824,IF(K1824="No change (same URL)",A1824,"")))</f>
        <v/>
      </c>
      <c r="N1824" s="22">
        <f>IF(A1824="","",IF(K1824="410 Gone","410",IF(K1824="404","404",IF(K1824="No change (same URL)","none",IF(M1824="","","301")))))</f>
        <v/>
      </c>
      <c r="O1824" s="22">
        <f>IF(A1824="","",IFERROR(MID(A1824,FIND("/",A1824,FIND("//",A1824)+2),2000),A1824))</f>
        <v/>
      </c>
      <c r="P1824" s="22">
        <f>IF(OR(O1824="",N1824="",N1824="none",N1824="404"),"",IF(N1824="410","Redirect gone "&amp;O1824,"Redirect "&amp;N1824&amp;" "&amp;O1824&amp;" "&amp;M1824))</f>
        <v/>
      </c>
      <c r="Q1824" s="22" t="n"/>
      <c r="R1824" s="22" t="n"/>
      <c r="S1824" s="22" t="n"/>
      <c r="T1824" s="4">
        <f>IF(A1824="","",TRIM(IF(K1824="","Needs decision; ","")&amp;IF(AND(K1824="Accept suggestion",F1824=""),"No suggestion to accept; ","")&amp;IF(AND(K1824="Override",L1824=""),"Override URL missing; ","")&amp;IF(AND(K1824="Accept suggestion",N(G1824)&lt;$G$2),"Below your threshold; ","")&amp;IF(AND(M1824&lt;&gt;"",M1824=A1824,K1824&lt;&gt;"No change (same URL)"),"Redirects to itself; ","")&amp;IF(AND(M1824&lt;&gt;"",OR(M1824="/",AND(LEFT(M1824,4)="http",OR((LEN(M1824)-LEN(SUBSTITUTE(M1824,"/","")))=2,AND((LEN(M1824)-LEN(SUBSTITUTE(M1824,"/","")))=3,RIGHT(M1824,1)="/"))))),"Home page redirect; ","")&amp;IF(N(R1824)&gt;1,"Chain; ","")&amp;IF(S1824="No","Destination not 200; ","")))</f>
        <v/>
      </c>
      <c r="U1824" s="22" t="n"/>
      <c r="V1824" s="22" t="n"/>
      <c r="W1824" s="4" t="n"/>
    </row>
    <row r="1825">
      <c r="A1825" s="22" t="n"/>
      <c r="B1825" s="22" t="n"/>
      <c r="C1825" s="22" t="n"/>
      <c r="D1825" s="22">
        <f>IF(A1825="","",IF(OR(N(B1825)&gt;=$C$2,N(C1825)&gt;=$E$2),"High",IF(OR(N(B1825)&gt;0,N(C1825)&gt;0),"Medium","Low")))</f>
        <v/>
      </c>
      <c r="E1825" s="22" t="n"/>
      <c r="F1825" s="22" t="n"/>
      <c r="G1825" s="22" t="n"/>
      <c r="H1825" s="22" t="n"/>
      <c r="I1825" s="22" t="n"/>
      <c r="J1825" s="22" t="n"/>
      <c r="K1825" s="22" t="n"/>
      <c r="L1825" s="22" t="n"/>
      <c r="M1825" s="22">
        <f>IF(K1825="Override",L1825,IF(K1825="Accept suggestion",F1825,IF(K1825="No change (same URL)",A1825,"")))</f>
        <v/>
      </c>
      <c r="N1825" s="22">
        <f>IF(A1825="","",IF(K1825="410 Gone","410",IF(K1825="404","404",IF(K1825="No change (same URL)","none",IF(M1825="","","301")))))</f>
        <v/>
      </c>
      <c r="O1825" s="22">
        <f>IF(A1825="","",IFERROR(MID(A1825,FIND("/",A1825,FIND("//",A1825)+2),2000),A1825))</f>
        <v/>
      </c>
      <c r="P1825" s="22">
        <f>IF(OR(O1825="",N1825="",N1825="none",N1825="404"),"",IF(N1825="410","Redirect gone "&amp;O1825,"Redirect "&amp;N1825&amp;" "&amp;O1825&amp;" "&amp;M1825))</f>
        <v/>
      </c>
      <c r="Q1825" s="22" t="n"/>
      <c r="R1825" s="22" t="n"/>
      <c r="S1825" s="22" t="n"/>
      <c r="T1825" s="4">
        <f>IF(A1825="","",TRIM(IF(K1825="","Needs decision; ","")&amp;IF(AND(K1825="Accept suggestion",F1825=""),"No suggestion to accept; ","")&amp;IF(AND(K1825="Override",L1825=""),"Override URL missing; ","")&amp;IF(AND(K1825="Accept suggestion",N(G1825)&lt;$G$2),"Below your threshold; ","")&amp;IF(AND(M1825&lt;&gt;"",M1825=A1825,K1825&lt;&gt;"No change (same URL)"),"Redirects to itself; ","")&amp;IF(AND(M1825&lt;&gt;"",OR(M1825="/",AND(LEFT(M1825,4)="http",OR((LEN(M1825)-LEN(SUBSTITUTE(M1825,"/","")))=2,AND((LEN(M1825)-LEN(SUBSTITUTE(M1825,"/","")))=3,RIGHT(M1825,1)="/"))))),"Home page redirect; ","")&amp;IF(N(R1825)&gt;1,"Chain; ","")&amp;IF(S1825="No","Destination not 200; ","")))</f>
        <v/>
      </c>
      <c r="U1825" s="22" t="n"/>
      <c r="V1825" s="22" t="n"/>
      <c r="W1825" s="4" t="n"/>
    </row>
    <row r="1826">
      <c r="A1826" s="22" t="n"/>
      <c r="B1826" s="22" t="n"/>
      <c r="C1826" s="22" t="n"/>
      <c r="D1826" s="22">
        <f>IF(A1826="","",IF(OR(N(B1826)&gt;=$C$2,N(C1826)&gt;=$E$2),"High",IF(OR(N(B1826)&gt;0,N(C1826)&gt;0),"Medium","Low")))</f>
        <v/>
      </c>
      <c r="E1826" s="22" t="n"/>
      <c r="F1826" s="22" t="n"/>
      <c r="G1826" s="22" t="n"/>
      <c r="H1826" s="22" t="n"/>
      <c r="I1826" s="22" t="n"/>
      <c r="J1826" s="22" t="n"/>
      <c r="K1826" s="22" t="n"/>
      <c r="L1826" s="22" t="n"/>
      <c r="M1826" s="22">
        <f>IF(K1826="Override",L1826,IF(K1826="Accept suggestion",F1826,IF(K1826="No change (same URL)",A1826,"")))</f>
        <v/>
      </c>
      <c r="N1826" s="22">
        <f>IF(A1826="","",IF(K1826="410 Gone","410",IF(K1826="404","404",IF(K1826="No change (same URL)","none",IF(M1826="","","301")))))</f>
        <v/>
      </c>
      <c r="O1826" s="22">
        <f>IF(A1826="","",IFERROR(MID(A1826,FIND("/",A1826,FIND("//",A1826)+2),2000),A1826))</f>
        <v/>
      </c>
      <c r="P1826" s="22">
        <f>IF(OR(O1826="",N1826="",N1826="none",N1826="404"),"",IF(N1826="410","Redirect gone "&amp;O1826,"Redirect "&amp;N1826&amp;" "&amp;O1826&amp;" "&amp;M1826))</f>
        <v/>
      </c>
      <c r="Q1826" s="22" t="n"/>
      <c r="R1826" s="22" t="n"/>
      <c r="S1826" s="22" t="n"/>
      <c r="T1826" s="4">
        <f>IF(A1826="","",TRIM(IF(K1826="","Needs decision; ","")&amp;IF(AND(K1826="Accept suggestion",F1826=""),"No suggestion to accept; ","")&amp;IF(AND(K1826="Override",L1826=""),"Override URL missing; ","")&amp;IF(AND(K1826="Accept suggestion",N(G1826)&lt;$G$2),"Below your threshold; ","")&amp;IF(AND(M1826&lt;&gt;"",M1826=A1826,K1826&lt;&gt;"No change (same URL)"),"Redirects to itself; ","")&amp;IF(AND(M1826&lt;&gt;"",OR(M1826="/",AND(LEFT(M1826,4)="http",OR((LEN(M1826)-LEN(SUBSTITUTE(M1826,"/","")))=2,AND((LEN(M1826)-LEN(SUBSTITUTE(M1826,"/","")))=3,RIGHT(M1826,1)="/"))))),"Home page redirect; ","")&amp;IF(N(R1826)&gt;1,"Chain; ","")&amp;IF(S1826="No","Destination not 200; ","")))</f>
        <v/>
      </c>
      <c r="U1826" s="22" t="n"/>
      <c r="V1826" s="22" t="n"/>
      <c r="W1826" s="4" t="n"/>
    </row>
    <row r="1827">
      <c r="A1827" s="22" t="n"/>
      <c r="B1827" s="22" t="n"/>
      <c r="C1827" s="22" t="n"/>
      <c r="D1827" s="22">
        <f>IF(A1827="","",IF(OR(N(B1827)&gt;=$C$2,N(C1827)&gt;=$E$2),"High",IF(OR(N(B1827)&gt;0,N(C1827)&gt;0),"Medium","Low")))</f>
        <v/>
      </c>
      <c r="E1827" s="22" t="n"/>
      <c r="F1827" s="22" t="n"/>
      <c r="G1827" s="22" t="n"/>
      <c r="H1827" s="22" t="n"/>
      <c r="I1827" s="22" t="n"/>
      <c r="J1827" s="22" t="n"/>
      <c r="K1827" s="22" t="n"/>
      <c r="L1827" s="22" t="n"/>
      <c r="M1827" s="22">
        <f>IF(K1827="Override",L1827,IF(K1827="Accept suggestion",F1827,IF(K1827="No change (same URL)",A1827,"")))</f>
        <v/>
      </c>
      <c r="N1827" s="22">
        <f>IF(A1827="","",IF(K1827="410 Gone","410",IF(K1827="404","404",IF(K1827="No change (same URL)","none",IF(M1827="","","301")))))</f>
        <v/>
      </c>
      <c r="O1827" s="22">
        <f>IF(A1827="","",IFERROR(MID(A1827,FIND("/",A1827,FIND("//",A1827)+2),2000),A1827))</f>
        <v/>
      </c>
      <c r="P1827" s="22">
        <f>IF(OR(O1827="",N1827="",N1827="none",N1827="404"),"",IF(N1827="410","Redirect gone "&amp;O1827,"Redirect "&amp;N1827&amp;" "&amp;O1827&amp;" "&amp;M1827))</f>
        <v/>
      </c>
      <c r="Q1827" s="22" t="n"/>
      <c r="R1827" s="22" t="n"/>
      <c r="S1827" s="22" t="n"/>
      <c r="T1827" s="4">
        <f>IF(A1827="","",TRIM(IF(K1827="","Needs decision; ","")&amp;IF(AND(K1827="Accept suggestion",F1827=""),"No suggestion to accept; ","")&amp;IF(AND(K1827="Override",L1827=""),"Override URL missing; ","")&amp;IF(AND(K1827="Accept suggestion",N(G1827)&lt;$G$2),"Below your threshold; ","")&amp;IF(AND(M1827&lt;&gt;"",M1827=A1827,K1827&lt;&gt;"No change (same URL)"),"Redirects to itself; ","")&amp;IF(AND(M1827&lt;&gt;"",OR(M1827="/",AND(LEFT(M1827,4)="http",OR((LEN(M1827)-LEN(SUBSTITUTE(M1827,"/","")))=2,AND((LEN(M1827)-LEN(SUBSTITUTE(M1827,"/","")))=3,RIGHT(M1827,1)="/"))))),"Home page redirect; ","")&amp;IF(N(R1827)&gt;1,"Chain; ","")&amp;IF(S1827="No","Destination not 200; ","")))</f>
        <v/>
      </c>
      <c r="U1827" s="22" t="n"/>
      <c r="V1827" s="22" t="n"/>
      <c r="W1827" s="4" t="n"/>
    </row>
    <row r="1828">
      <c r="A1828" s="22" t="n"/>
      <c r="B1828" s="22" t="n"/>
      <c r="C1828" s="22" t="n"/>
      <c r="D1828" s="22">
        <f>IF(A1828="","",IF(OR(N(B1828)&gt;=$C$2,N(C1828)&gt;=$E$2),"High",IF(OR(N(B1828)&gt;0,N(C1828)&gt;0),"Medium","Low")))</f>
        <v/>
      </c>
      <c r="E1828" s="22" t="n"/>
      <c r="F1828" s="22" t="n"/>
      <c r="G1828" s="22" t="n"/>
      <c r="H1828" s="22" t="n"/>
      <c r="I1828" s="22" t="n"/>
      <c r="J1828" s="22" t="n"/>
      <c r="K1828" s="22" t="n"/>
      <c r="L1828" s="22" t="n"/>
      <c r="M1828" s="22">
        <f>IF(K1828="Override",L1828,IF(K1828="Accept suggestion",F1828,IF(K1828="No change (same URL)",A1828,"")))</f>
        <v/>
      </c>
      <c r="N1828" s="22">
        <f>IF(A1828="","",IF(K1828="410 Gone","410",IF(K1828="404","404",IF(K1828="No change (same URL)","none",IF(M1828="","","301")))))</f>
        <v/>
      </c>
      <c r="O1828" s="22">
        <f>IF(A1828="","",IFERROR(MID(A1828,FIND("/",A1828,FIND("//",A1828)+2),2000),A1828))</f>
        <v/>
      </c>
      <c r="P1828" s="22">
        <f>IF(OR(O1828="",N1828="",N1828="none",N1828="404"),"",IF(N1828="410","Redirect gone "&amp;O1828,"Redirect "&amp;N1828&amp;" "&amp;O1828&amp;" "&amp;M1828))</f>
        <v/>
      </c>
      <c r="Q1828" s="22" t="n"/>
      <c r="R1828" s="22" t="n"/>
      <c r="S1828" s="22" t="n"/>
      <c r="T1828" s="4">
        <f>IF(A1828="","",TRIM(IF(K1828="","Needs decision; ","")&amp;IF(AND(K1828="Accept suggestion",F1828=""),"No suggestion to accept; ","")&amp;IF(AND(K1828="Override",L1828=""),"Override URL missing; ","")&amp;IF(AND(K1828="Accept suggestion",N(G1828)&lt;$G$2),"Below your threshold; ","")&amp;IF(AND(M1828&lt;&gt;"",M1828=A1828,K1828&lt;&gt;"No change (same URL)"),"Redirects to itself; ","")&amp;IF(AND(M1828&lt;&gt;"",OR(M1828="/",AND(LEFT(M1828,4)="http",OR((LEN(M1828)-LEN(SUBSTITUTE(M1828,"/","")))=2,AND((LEN(M1828)-LEN(SUBSTITUTE(M1828,"/","")))=3,RIGHT(M1828,1)="/"))))),"Home page redirect; ","")&amp;IF(N(R1828)&gt;1,"Chain; ","")&amp;IF(S1828="No","Destination not 200; ","")))</f>
        <v/>
      </c>
      <c r="U1828" s="22" t="n"/>
      <c r="V1828" s="22" t="n"/>
      <c r="W1828" s="4" t="n"/>
    </row>
    <row r="1829">
      <c r="A1829" s="22" t="n"/>
      <c r="B1829" s="22" t="n"/>
      <c r="C1829" s="22" t="n"/>
      <c r="D1829" s="22">
        <f>IF(A1829="","",IF(OR(N(B1829)&gt;=$C$2,N(C1829)&gt;=$E$2),"High",IF(OR(N(B1829)&gt;0,N(C1829)&gt;0),"Medium","Low")))</f>
        <v/>
      </c>
      <c r="E1829" s="22" t="n"/>
      <c r="F1829" s="22" t="n"/>
      <c r="G1829" s="22" t="n"/>
      <c r="H1829" s="22" t="n"/>
      <c r="I1829" s="22" t="n"/>
      <c r="J1829" s="22" t="n"/>
      <c r="K1829" s="22" t="n"/>
      <c r="L1829" s="22" t="n"/>
      <c r="M1829" s="22">
        <f>IF(K1829="Override",L1829,IF(K1829="Accept suggestion",F1829,IF(K1829="No change (same URL)",A1829,"")))</f>
        <v/>
      </c>
      <c r="N1829" s="22">
        <f>IF(A1829="","",IF(K1829="410 Gone","410",IF(K1829="404","404",IF(K1829="No change (same URL)","none",IF(M1829="","","301")))))</f>
        <v/>
      </c>
      <c r="O1829" s="22">
        <f>IF(A1829="","",IFERROR(MID(A1829,FIND("/",A1829,FIND("//",A1829)+2),2000),A1829))</f>
        <v/>
      </c>
      <c r="P1829" s="22">
        <f>IF(OR(O1829="",N1829="",N1829="none",N1829="404"),"",IF(N1829="410","Redirect gone "&amp;O1829,"Redirect "&amp;N1829&amp;" "&amp;O1829&amp;" "&amp;M1829))</f>
        <v/>
      </c>
      <c r="Q1829" s="22" t="n"/>
      <c r="R1829" s="22" t="n"/>
      <c r="S1829" s="22" t="n"/>
      <c r="T1829" s="4">
        <f>IF(A1829="","",TRIM(IF(K1829="","Needs decision; ","")&amp;IF(AND(K1829="Accept suggestion",F1829=""),"No suggestion to accept; ","")&amp;IF(AND(K1829="Override",L1829=""),"Override URL missing; ","")&amp;IF(AND(K1829="Accept suggestion",N(G1829)&lt;$G$2),"Below your threshold; ","")&amp;IF(AND(M1829&lt;&gt;"",M1829=A1829,K1829&lt;&gt;"No change (same URL)"),"Redirects to itself; ","")&amp;IF(AND(M1829&lt;&gt;"",OR(M1829="/",AND(LEFT(M1829,4)="http",OR((LEN(M1829)-LEN(SUBSTITUTE(M1829,"/","")))=2,AND((LEN(M1829)-LEN(SUBSTITUTE(M1829,"/","")))=3,RIGHT(M1829,1)="/"))))),"Home page redirect; ","")&amp;IF(N(R1829)&gt;1,"Chain; ","")&amp;IF(S1829="No","Destination not 200; ","")))</f>
        <v/>
      </c>
      <c r="U1829" s="22" t="n"/>
      <c r="V1829" s="22" t="n"/>
      <c r="W1829" s="4" t="n"/>
    </row>
    <row r="1830">
      <c r="A1830" s="22" t="n"/>
      <c r="B1830" s="22" t="n"/>
      <c r="C1830" s="22" t="n"/>
      <c r="D1830" s="22">
        <f>IF(A1830="","",IF(OR(N(B1830)&gt;=$C$2,N(C1830)&gt;=$E$2),"High",IF(OR(N(B1830)&gt;0,N(C1830)&gt;0),"Medium","Low")))</f>
        <v/>
      </c>
      <c r="E1830" s="22" t="n"/>
      <c r="F1830" s="22" t="n"/>
      <c r="G1830" s="22" t="n"/>
      <c r="H1830" s="22" t="n"/>
      <c r="I1830" s="22" t="n"/>
      <c r="J1830" s="22" t="n"/>
      <c r="K1830" s="22" t="n"/>
      <c r="L1830" s="22" t="n"/>
      <c r="M1830" s="22">
        <f>IF(K1830="Override",L1830,IF(K1830="Accept suggestion",F1830,IF(K1830="No change (same URL)",A1830,"")))</f>
        <v/>
      </c>
      <c r="N1830" s="22">
        <f>IF(A1830="","",IF(K1830="410 Gone","410",IF(K1830="404","404",IF(K1830="No change (same URL)","none",IF(M1830="","","301")))))</f>
        <v/>
      </c>
      <c r="O1830" s="22">
        <f>IF(A1830="","",IFERROR(MID(A1830,FIND("/",A1830,FIND("//",A1830)+2),2000),A1830))</f>
        <v/>
      </c>
      <c r="P1830" s="22">
        <f>IF(OR(O1830="",N1830="",N1830="none",N1830="404"),"",IF(N1830="410","Redirect gone "&amp;O1830,"Redirect "&amp;N1830&amp;" "&amp;O1830&amp;" "&amp;M1830))</f>
        <v/>
      </c>
      <c r="Q1830" s="22" t="n"/>
      <c r="R1830" s="22" t="n"/>
      <c r="S1830" s="22" t="n"/>
      <c r="T1830" s="4">
        <f>IF(A1830="","",TRIM(IF(K1830="","Needs decision; ","")&amp;IF(AND(K1830="Accept suggestion",F1830=""),"No suggestion to accept; ","")&amp;IF(AND(K1830="Override",L1830=""),"Override URL missing; ","")&amp;IF(AND(K1830="Accept suggestion",N(G1830)&lt;$G$2),"Below your threshold; ","")&amp;IF(AND(M1830&lt;&gt;"",M1830=A1830,K1830&lt;&gt;"No change (same URL)"),"Redirects to itself; ","")&amp;IF(AND(M1830&lt;&gt;"",OR(M1830="/",AND(LEFT(M1830,4)="http",OR((LEN(M1830)-LEN(SUBSTITUTE(M1830,"/","")))=2,AND((LEN(M1830)-LEN(SUBSTITUTE(M1830,"/","")))=3,RIGHT(M1830,1)="/"))))),"Home page redirect; ","")&amp;IF(N(R1830)&gt;1,"Chain; ","")&amp;IF(S1830="No","Destination not 200; ","")))</f>
        <v/>
      </c>
      <c r="U1830" s="22" t="n"/>
      <c r="V1830" s="22" t="n"/>
      <c r="W1830" s="4" t="n"/>
    </row>
    <row r="1831">
      <c r="A1831" s="22" t="n"/>
      <c r="B1831" s="22" t="n"/>
      <c r="C1831" s="22" t="n"/>
      <c r="D1831" s="22">
        <f>IF(A1831="","",IF(OR(N(B1831)&gt;=$C$2,N(C1831)&gt;=$E$2),"High",IF(OR(N(B1831)&gt;0,N(C1831)&gt;0),"Medium","Low")))</f>
        <v/>
      </c>
      <c r="E1831" s="22" t="n"/>
      <c r="F1831" s="22" t="n"/>
      <c r="G1831" s="22" t="n"/>
      <c r="H1831" s="22" t="n"/>
      <c r="I1831" s="22" t="n"/>
      <c r="J1831" s="22" t="n"/>
      <c r="K1831" s="22" t="n"/>
      <c r="L1831" s="22" t="n"/>
      <c r="M1831" s="22">
        <f>IF(K1831="Override",L1831,IF(K1831="Accept suggestion",F1831,IF(K1831="No change (same URL)",A1831,"")))</f>
        <v/>
      </c>
      <c r="N1831" s="22">
        <f>IF(A1831="","",IF(K1831="410 Gone","410",IF(K1831="404","404",IF(K1831="No change (same URL)","none",IF(M1831="","","301")))))</f>
        <v/>
      </c>
      <c r="O1831" s="22">
        <f>IF(A1831="","",IFERROR(MID(A1831,FIND("/",A1831,FIND("//",A1831)+2),2000),A1831))</f>
        <v/>
      </c>
      <c r="P1831" s="22">
        <f>IF(OR(O1831="",N1831="",N1831="none",N1831="404"),"",IF(N1831="410","Redirect gone "&amp;O1831,"Redirect "&amp;N1831&amp;" "&amp;O1831&amp;" "&amp;M1831))</f>
        <v/>
      </c>
      <c r="Q1831" s="22" t="n"/>
      <c r="R1831" s="22" t="n"/>
      <c r="S1831" s="22" t="n"/>
      <c r="T1831" s="4">
        <f>IF(A1831="","",TRIM(IF(K1831="","Needs decision; ","")&amp;IF(AND(K1831="Accept suggestion",F1831=""),"No suggestion to accept; ","")&amp;IF(AND(K1831="Override",L1831=""),"Override URL missing; ","")&amp;IF(AND(K1831="Accept suggestion",N(G1831)&lt;$G$2),"Below your threshold; ","")&amp;IF(AND(M1831&lt;&gt;"",M1831=A1831,K1831&lt;&gt;"No change (same URL)"),"Redirects to itself; ","")&amp;IF(AND(M1831&lt;&gt;"",OR(M1831="/",AND(LEFT(M1831,4)="http",OR((LEN(M1831)-LEN(SUBSTITUTE(M1831,"/","")))=2,AND((LEN(M1831)-LEN(SUBSTITUTE(M1831,"/","")))=3,RIGHT(M1831,1)="/"))))),"Home page redirect; ","")&amp;IF(N(R1831)&gt;1,"Chain; ","")&amp;IF(S1831="No","Destination not 200; ","")))</f>
        <v/>
      </c>
      <c r="U1831" s="22" t="n"/>
      <c r="V1831" s="22" t="n"/>
      <c r="W1831" s="4" t="n"/>
    </row>
    <row r="1832">
      <c r="A1832" s="22" t="n"/>
      <c r="B1832" s="22" t="n"/>
      <c r="C1832" s="22" t="n"/>
      <c r="D1832" s="22">
        <f>IF(A1832="","",IF(OR(N(B1832)&gt;=$C$2,N(C1832)&gt;=$E$2),"High",IF(OR(N(B1832)&gt;0,N(C1832)&gt;0),"Medium","Low")))</f>
        <v/>
      </c>
      <c r="E1832" s="22" t="n"/>
      <c r="F1832" s="22" t="n"/>
      <c r="G1832" s="22" t="n"/>
      <c r="H1832" s="22" t="n"/>
      <c r="I1832" s="22" t="n"/>
      <c r="J1832" s="22" t="n"/>
      <c r="K1832" s="22" t="n"/>
      <c r="L1832" s="22" t="n"/>
      <c r="M1832" s="22">
        <f>IF(K1832="Override",L1832,IF(K1832="Accept suggestion",F1832,IF(K1832="No change (same URL)",A1832,"")))</f>
        <v/>
      </c>
      <c r="N1832" s="22">
        <f>IF(A1832="","",IF(K1832="410 Gone","410",IF(K1832="404","404",IF(K1832="No change (same URL)","none",IF(M1832="","","301")))))</f>
        <v/>
      </c>
      <c r="O1832" s="22">
        <f>IF(A1832="","",IFERROR(MID(A1832,FIND("/",A1832,FIND("//",A1832)+2),2000),A1832))</f>
        <v/>
      </c>
      <c r="P1832" s="22">
        <f>IF(OR(O1832="",N1832="",N1832="none",N1832="404"),"",IF(N1832="410","Redirect gone "&amp;O1832,"Redirect "&amp;N1832&amp;" "&amp;O1832&amp;" "&amp;M1832))</f>
        <v/>
      </c>
      <c r="Q1832" s="22" t="n"/>
      <c r="R1832" s="22" t="n"/>
      <c r="S1832" s="22" t="n"/>
      <c r="T1832" s="4">
        <f>IF(A1832="","",TRIM(IF(K1832="","Needs decision; ","")&amp;IF(AND(K1832="Accept suggestion",F1832=""),"No suggestion to accept; ","")&amp;IF(AND(K1832="Override",L1832=""),"Override URL missing; ","")&amp;IF(AND(K1832="Accept suggestion",N(G1832)&lt;$G$2),"Below your threshold; ","")&amp;IF(AND(M1832&lt;&gt;"",M1832=A1832,K1832&lt;&gt;"No change (same URL)"),"Redirects to itself; ","")&amp;IF(AND(M1832&lt;&gt;"",OR(M1832="/",AND(LEFT(M1832,4)="http",OR((LEN(M1832)-LEN(SUBSTITUTE(M1832,"/","")))=2,AND((LEN(M1832)-LEN(SUBSTITUTE(M1832,"/","")))=3,RIGHT(M1832,1)="/"))))),"Home page redirect; ","")&amp;IF(N(R1832)&gt;1,"Chain; ","")&amp;IF(S1832="No","Destination not 200; ","")))</f>
        <v/>
      </c>
      <c r="U1832" s="22" t="n"/>
      <c r="V1832" s="22" t="n"/>
      <c r="W1832" s="4" t="n"/>
    </row>
    <row r="1833">
      <c r="A1833" s="22" t="n"/>
      <c r="B1833" s="22" t="n"/>
      <c r="C1833" s="22" t="n"/>
      <c r="D1833" s="22">
        <f>IF(A1833="","",IF(OR(N(B1833)&gt;=$C$2,N(C1833)&gt;=$E$2),"High",IF(OR(N(B1833)&gt;0,N(C1833)&gt;0),"Medium","Low")))</f>
        <v/>
      </c>
      <c r="E1833" s="22" t="n"/>
      <c r="F1833" s="22" t="n"/>
      <c r="G1833" s="22" t="n"/>
      <c r="H1833" s="22" t="n"/>
      <c r="I1833" s="22" t="n"/>
      <c r="J1833" s="22" t="n"/>
      <c r="K1833" s="22" t="n"/>
      <c r="L1833" s="22" t="n"/>
      <c r="M1833" s="22">
        <f>IF(K1833="Override",L1833,IF(K1833="Accept suggestion",F1833,IF(K1833="No change (same URL)",A1833,"")))</f>
        <v/>
      </c>
      <c r="N1833" s="22">
        <f>IF(A1833="","",IF(K1833="410 Gone","410",IF(K1833="404","404",IF(K1833="No change (same URL)","none",IF(M1833="","","301")))))</f>
        <v/>
      </c>
      <c r="O1833" s="22">
        <f>IF(A1833="","",IFERROR(MID(A1833,FIND("/",A1833,FIND("//",A1833)+2),2000),A1833))</f>
        <v/>
      </c>
      <c r="P1833" s="22">
        <f>IF(OR(O1833="",N1833="",N1833="none",N1833="404"),"",IF(N1833="410","Redirect gone "&amp;O1833,"Redirect "&amp;N1833&amp;" "&amp;O1833&amp;" "&amp;M1833))</f>
        <v/>
      </c>
      <c r="Q1833" s="22" t="n"/>
      <c r="R1833" s="22" t="n"/>
      <c r="S1833" s="22" t="n"/>
      <c r="T1833" s="4">
        <f>IF(A1833="","",TRIM(IF(K1833="","Needs decision; ","")&amp;IF(AND(K1833="Accept suggestion",F1833=""),"No suggestion to accept; ","")&amp;IF(AND(K1833="Override",L1833=""),"Override URL missing; ","")&amp;IF(AND(K1833="Accept suggestion",N(G1833)&lt;$G$2),"Below your threshold; ","")&amp;IF(AND(M1833&lt;&gt;"",M1833=A1833,K1833&lt;&gt;"No change (same URL)"),"Redirects to itself; ","")&amp;IF(AND(M1833&lt;&gt;"",OR(M1833="/",AND(LEFT(M1833,4)="http",OR((LEN(M1833)-LEN(SUBSTITUTE(M1833,"/","")))=2,AND((LEN(M1833)-LEN(SUBSTITUTE(M1833,"/","")))=3,RIGHT(M1833,1)="/"))))),"Home page redirect; ","")&amp;IF(N(R1833)&gt;1,"Chain; ","")&amp;IF(S1833="No","Destination not 200; ","")))</f>
        <v/>
      </c>
      <c r="U1833" s="22" t="n"/>
      <c r="V1833" s="22" t="n"/>
      <c r="W1833" s="4" t="n"/>
    </row>
    <row r="1834">
      <c r="A1834" s="22" t="n"/>
      <c r="B1834" s="22" t="n"/>
      <c r="C1834" s="22" t="n"/>
      <c r="D1834" s="22">
        <f>IF(A1834="","",IF(OR(N(B1834)&gt;=$C$2,N(C1834)&gt;=$E$2),"High",IF(OR(N(B1834)&gt;0,N(C1834)&gt;0),"Medium","Low")))</f>
        <v/>
      </c>
      <c r="E1834" s="22" t="n"/>
      <c r="F1834" s="22" t="n"/>
      <c r="G1834" s="22" t="n"/>
      <c r="H1834" s="22" t="n"/>
      <c r="I1834" s="22" t="n"/>
      <c r="J1834" s="22" t="n"/>
      <c r="K1834" s="22" t="n"/>
      <c r="L1834" s="22" t="n"/>
      <c r="M1834" s="22">
        <f>IF(K1834="Override",L1834,IF(K1834="Accept suggestion",F1834,IF(K1834="No change (same URL)",A1834,"")))</f>
        <v/>
      </c>
      <c r="N1834" s="22">
        <f>IF(A1834="","",IF(K1834="410 Gone","410",IF(K1834="404","404",IF(K1834="No change (same URL)","none",IF(M1834="","","301")))))</f>
        <v/>
      </c>
      <c r="O1834" s="22">
        <f>IF(A1834="","",IFERROR(MID(A1834,FIND("/",A1834,FIND("//",A1834)+2),2000),A1834))</f>
        <v/>
      </c>
      <c r="P1834" s="22">
        <f>IF(OR(O1834="",N1834="",N1834="none",N1834="404"),"",IF(N1834="410","Redirect gone "&amp;O1834,"Redirect "&amp;N1834&amp;" "&amp;O1834&amp;" "&amp;M1834))</f>
        <v/>
      </c>
      <c r="Q1834" s="22" t="n"/>
      <c r="R1834" s="22" t="n"/>
      <c r="S1834" s="22" t="n"/>
      <c r="T1834" s="4">
        <f>IF(A1834="","",TRIM(IF(K1834="","Needs decision; ","")&amp;IF(AND(K1834="Accept suggestion",F1834=""),"No suggestion to accept; ","")&amp;IF(AND(K1834="Override",L1834=""),"Override URL missing; ","")&amp;IF(AND(K1834="Accept suggestion",N(G1834)&lt;$G$2),"Below your threshold; ","")&amp;IF(AND(M1834&lt;&gt;"",M1834=A1834,K1834&lt;&gt;"No change (same URL)"),"Redirects to itself; ","")&amp;IF(AND(M1834&lt;&gt;"",OR(M1834="/",AND(LEFT(M1834,4)="http",OR((LEN(M1834)-LEN(SUBSTITUTE(M1834,"/","")))=2,AND((LEN(M1834)-LEN(SUBSTITUTE(M1834,"/","")))=3,RIGHT(M1834,1)="/"))))),"Home page redirect; ","")&amp;IF(N(R1834)&gt;1,"Chain; ","")&amp;IF(S1834="No","Destination not 200; ","")))</f>
        <v/>
      </c>
      <c r="U1834" s="22" t="n"/>
      <c r="V1834" s="22" t="n"/>
      <c r="W1834" s="4" t="n"/>
    </row>
    <row r="1835">
      <c r="A1835" s="22" t="n"/>
      <c r="B1835" s="22" t="n"/>
      <c r="C1835" s="22" t="n"/>
      <c r="D1835" s="22">
        <f>IF(A1835="","",IF(OR(N(B1835)&gt;=$C$2,N(C1835)&gt;=$E$2),"High",IF(OR(N(B1835)&gt;0,N(C1835)&gt;0),"Medium","Low")))</f>
        <v/>
      </c>
      <c r="E1835" s="22" t="n"/>
      <c r="F1835" s="22" t="n"/>
      <c r="G1835" s="22" t="n"/>
      <c r="H1835" s="22" t="n"/>
      <c r="I1835" s="22" t="n"/>
      <c r="J1835" s="22" t="n"/>
      <c r="K1835" s="22" t="n"/>
      <c r="L1835" s="22" t="n"/>
      <c r="M1835" s="22">
        <f>IF(K1835="Override",L1835,IF(K1835="Accept suggestion",F1835,IF(K1835="No change (same URL)",A1835,"")))</f>
        <v/>
      </c>
      <c r="N1835" s="22">
        <f>IF(A1835="","",IF(K1835="410 Gone","410",IF(K1835="404","404",IF(K1835="No change (same URL)","none",IF(M1835="","","301")))))</f>
        <v/>
      </c>
      <c r="O1835" s="22">
        <f>IF(A1835="","",IFERROR(MID(A1835,FIND("/",A1835,FIND("//",A1835)+2),2000),A1835))</f>
        <v/>
      </c>
      <c r="P1835" s="22">
        <f>IF(OR(O1835="",N1835="",N1835="none",N1835="404"),"",IF(N1835="410","Redirect gone "&amp;O1835,"Redirect "&amp;N1835&amp;" "&amp;O1835&amp;" "&amp;M1835))</f>
        <v/>
      </c>
      <c r="Q1835" s="22" t="n"/>
      <c r="R1835" s="22" t="n"/>
      <c r="S1835" s="22" t="n"/>
      <c r="T1835" s="4">
        <f>IF(A1835="","",TRIM(IF(K1835="","Needs decision; ","")&amp;IF(AND(K1835="Accept suggestion",F1835=""),"No suggestion to accept; ","")&amp;IF(AND(K1835="Override",L1835=""),"Override URL missing; ","")&amp;IF(AND(K1835="Accept suggestion",N(G1835)&lt;$G$2),"Below your threshold; ","")&amp;IF(AND(M1835&lt;&gt;"",M1835=A1835,K1835&lt;&gt;"No change (same URL)"),"Redirects to itself; ","")&amp;IF(AND(M1835&lt;&gt;"",OR(M1835="/",AND(LEFT(M1835,4)="http",OR((LEN(M1835)-LEN(SUBSTITUTE(M1835,"/","")))=2,AND((LEN(M1835)-LEN(SUBSTITUTE(M1835,"/","")))=3,RIGHT(M1835,1)="/"))))),"Home page redirect; ","")&amp;IF(N(R1835)&gt;1,"Chain; ","")&amp;IF(S1835="No","Destination not 200; ","")))</f>
        <v/>
      </c>
      <c r="U1835" s="22" t="n"/>
      <c r="V1835" s="22" t="n"/>
      <c r="W1835" s="4" t="n"/>
    </row>
    <row r="1836">
      <c r="A1836" s="22" t="n"/>
      <c r="B1836" s="22" t="n"/>
      <c r="C1836" s="22" t="n"/>
      <c r="D1836" s="22">
        <f>IF(A1836="","",IF(OR(N(B1836)&gt;=$C$2,N(C1836)&gt;=$E$2),"High",IF(OR(N(B1836)&gt;0,N(C1836)&gt;0),"Medium","Low")))</f>
        <v/>
      </c>
      <c r="E1836" s="22" t="n"/>
      <c r="F1836" s="22" t="n"/>
      <c r="G1836" s="22" t="n"/>
      <c r="H1836" s="22" t="n"/>
      <c r="I1836" s="22" t="n"/>
      <c r="J1836" s="22" t="n"/>
      <c r="K1836" s="22" t="n"/>
      <c r="L1836" s="22" t="n"/>
      <c r="M1836" s="22">
        <f>IF(K1836="Override",L1836,IF(K1836="Accept suggestion",F1836,IF(K1836="No change (same URL)",A1836,"")))</f>
        <v/>
      </c>
      <c r="N1836" s="22">
        <f>IF(A1836="","",IF(K1836="410 Gone","410",IF(K1836="404","404",IF(K1836="No change (same URL)","none",IF(M1836="","","301")))))</f>
        <v/>
      </c>
      <c r="O1836" s="22">
        <f>IF(A1836="","",IFERROR(MID(A1836,FIND("/",A1836,FIND("//",A1836)+2),2000),A1836))</f>
        <v/>
      </c>
      <c r="P1836" s="22">
        <f>IF(OR(O1836="",N1836="",N1836="none",N1836="404"),"",IF(N1836="410","Redirect gone "&amp;O1836,"Redirect "&amp;N1836&amp;" "&amp;O1836&amp;" "&amp;M1836))</f>
        <v/>
      </c>
      <c r="Q1836" s="22" t="n"/>
      <c r="R1836" s="22" t="n"/>
      <c r="S1836" s="22" t="n"/>
      <c r="T1836" s="4">
        <f>IF(A1836="","",TRIM(IF(K1836="","Needs decision; ","")&amp;IF(AND(K1836="Accept suggestion",F1836=""),"No suggestion to accept; ","")&amp;IF(AND(K1836="Override",L1836=""),"Override URL missing; ","")&amp;IF(AND(K1836="Accept suggestion",N(G1836)&lt;$G$2),"Below your threshold; ","")&amp;IF(AND(M1836&lt;&gt;"",M1836=A1836,K1836&lt;&gt;"No change (same URL)"),"Redirects to itself; ","")&amp;IF(AND(M1836&lt;&gt;"",OR(M1836="/",AND(LEFT(M1836,4)="http",OR((LEN(M1836)-LEN(SUBSTITUTE(M1836,"/","")))=2,AND((LEN(M1836)-LEN(SUBSTITUTE(M1836,"/","")))=3,RIGHT(M1836,1)="/"))))),"Home page redirect; ","")&amp;IF(N(R1836)&gt;1,"Chain; ","")&amp;IF(S1836="No","Destination not 200; ","")))</f>
        <v/>
      </c>
      <c r="U1836" s="22" t="n"/>
      <c r="V1836" s="22" t="n"/>
      <c r="W1836" s="4" t="n"/>
    </row>
    <row r="1837">
      <c r="A1837" s="22" t="n"/>
      <c r="B1837" s="22" t="n"/>
      <c r="C1837" s="22" t="n"/>
      <c r="D1837" s="22">
        <f>IF(A1837="","",IF(OR(N(B1837)&gt;=$C$2,N(C1837)&gt;=$E$2),"High",IF(OR(N(B1837)&gt;0,N(C1837)&gt;0),"Medium","Low")))</f>
        <v/>
      </c>
      <c r="E1837" s="22" t="n"/>
      <c r="F1837" s="22" t="n"/>
      <c r="G1837" s="22" t="n"/>
      <c r="H1837" s="22" t="n"/>
      <c r="I1837" s="22" t="n"/>
      <c r="J1837" s="22" t="n"/>
      <c r="K1837" s="22" t="n"/>
      <c r="L1837" s="22" t="n"/>
      <c r="M1837" s="22">
        <f>IF(K1837="Override",L1837,IF(K1837="Accept suggestion",F1837,IF(K1837="No change (same URL)",A1837,"")))</f>
        <v/>
      </c>
      <c r="N1837" s="22">
        <f>IF(A1837="","",IF(K1837="410 Gone","410",IF(K1837="404","404",IF(K1837="No change (same URL)","none",IF(M1837="","","301")))))</f>
        <v/>
      </c>
      <c r="O1837" s="22">
        <f>IF(A1837="","",IFERROR(MID(A1837,FIND("/",A1837,FIND("//",A1837)+2),2000),A1837))</f>
        <v/>
      </c>
      <c r="P1837" s="22">
        <f>IF(OR(O1837="",N1837="",N1837="none",N1837="404"),"",IF(N1837="410","Redirect gone "&amp;O1837,"Redirect "&amp;N1837&amp;" "&amp;O1837&amp;" "&amp;M1837))</f>
        <v/>
      </c>
      <c r="Q1837" s="22" t="n"/>
      <c r="R1837" s="22" t="n"/>
      <c r="S1837" s="22" t="n"/>
      <c r="T1837" s="4">
        <f>IF(A1837="","",TRIM(IF(K1837="","Needs decision; ","")&amp;IF(AND(K1837="Accept suggestion",F1837=""),"No suggestion to accept; ","")&amp;IF(AND(K1837="Override",L1837=""),"Override URL missing; ","")&amp;IF(AND(K1837="Accept suggestion",N(G1837)&lt;$G$2),"Below your threshold; ","")&amp;IF(AND(M1837&lt;&gt;"",M1837=A1837,K1837&lt;&gt;"No change (same URL)"),"Redirects to itself; ","")&amp;IF(AND(M1837&lt;&gt;"",OR(M1837="/",AND(LEFT(M1837,4)="http",OR((LEN(M1837)-LEN(SUBSTITUTE(M1837,"/","")))=2,AND((LEN(M1837)-LEN(SUBSTITUTE(M1837,"/","")))=3,RIGHT(M1837,1)="/"))))),"Home page redirect; ","")&amp;IF(N(R1837)&gt;1,"Chain; ","")&amp;IF(S1837="No","Destination not 200; ","")))</f>
        <v/>
      </c>
      <c r="U1837" s="22" t="n"/>
      <c r="V1837" s="22" t="n"/>
      <c r="W1837" s="4" t="n"/>
    </row>
    <row r="1838">
      <c r="A1838" s="22" t="n"/>
      <c r="B1838" s="22" t="n"/>
      <c r="C1838" s="22" t="n"/>
      <c r="D1838" s="22">
        <f>IF(A1838="","",IF(OR(N(B1838)&gt;=$C$2,N(C1838)&gt;=$E$2),"High",IF(OR(N(B1838)&gt;0,N(C1838)&gt;0),"Medium","Low")))</f>
        <v/>
      </c>
      <c r="E1838" s="22" t="n"/>
      <c r="F1838" s="22" t="n"/>
      <c r="G1838" s="22" t="n"/>
      <c r="H1838" s="22" t="n"/>
      <c r="I1838" s="22" t="n"/>
      <c r="J1838" s="22" t="n"/>
      <c r="K1838" s="22" t="n"/>
      <c r="L1838" s="22" t="n"/>
      <c r="M1838" s="22">
        <f>IF(K1838="Override",L1838,IF(K1838="Accept suggestion",F1838,IF(K1838="No change (same URL)",A1838,"")))</f>
        <v/>
      </c>
      <c r="N1838" s="22">
        <f>IF(A1838="","",IF(K1838="410 Gone","410",IF(K1838="404","404",IF(K1838="No change (same URL)","none",IF(M1838="","","301")))))</f>
        <v/>
      </c>
      <c r="O1838" s="22">
        <f>IF(A1838="","",IFERROR(MID(A1838,FIND("/",A1838,FIND("//",A1838)+2),2000),A1838))</f>
        <v/>
      </c>
      <c r="P1838" s="22">
        <f>IF(OR(O1838="",N1838="",N1838="none",N1838="404"),"",IF(N1838="410","Redirect gone "&amp;O1838,"Redirect "&amp;N1838&amp;" "&amp;O1838&amp;" "&amp;M1838))</f>
        <v/>
      </c>
      <c r="Q1838" s="22" t="n"/>
      <c r="R1838" s="22" t="n"/>
      <c r="S1838" s="22" t="n"/>
      <c r="T1838" s="4">
        <f>IF(A1838="","",TRIM(IF(K1838="","Needs decision; ","")&amp;IF(AND(K1838="Accept suggestion",F1838=""),"No suggestion to accept; ","")&amp;IF(AND(K1838="Override",L1838=""),"Override URL missing; ","")&amp;IF(AND(K1838="Accept suggestion",N(G1838)&lt;$G$2),"Below your threshold; ","")&amp;IF(AND(M1838&lt;&gt;"",M1838=A1838,K1838&lt;&gt;"No change (same URL)"),"Redirects to itself; ","")&amp;IF(AND(M1838&lt;&gt;"",OR(M1838="/",AND(LEFT(M1838,4)="http",OR((LEN(M1838)-LEN(SUBSTITUTE(M1838,"/","")))=2,AND((LEN(M1838)-LEN(SUBSTITUTE(M1838,"/","")))=3,RIGHT(M1838,1)="/"))))),"Home page redirect; ","")&amp;IF(N(R1838)&gt;1,"Chain; ","")&amp;IF(S1838="No","Destination not 200; ","")))</f>
        <v/>
      </c>
      <c r="U1838" s="22" t="n"/>
      <c r="V1838" s="22" t="n"/>
      <c r="W1838" s="4" t="n"/>
    </row>
    <row r="1839">
      <c r="A1839" s="22" t="n"/>
      <c r="B1839" s="22" t="n"/>
      <c r="C1839" s="22" t="n"/>
      <c r="D1839" s="22">
        <f>IF(A1839="","",IF(OR(N(B1839)&gt;=$C$2,N(C1839)&gt;=$E$2),"High",IF(OR(N(B1839)&gt;0,N(C1839)&gt;0),"Medium","Low")))</f>
        <v/>
      </c>
      <c r="E1839" s="22" t="n"/>
      <c r="F1839" s="22" t="n"/>
      <c r="G1839" s="22" t="n"/>
      <c r="H1839" s="22" t="n"/>
      <c r="I1839" s="22" t="n"/>
      <c r="J1839" s="22" t="n"/>
      <c r="K1839" s="22" t="n"/>
      <c r="L1839" s="22" t="n"/>
      <c r="M1839" s="22">
        <f>IF(K1839="Override",L1839,IF(K1839="Accept suggestion",F1839,IF(K1839="No change (same URL)",A1839,"")))</f>
        <v/>
      </c>
      <c r="N1839" s="22">
        <f>IF(A1839="","",IF(K1839="410 Gone","410",IF(K1839="404","404",IF(K1839="No change (same URL)","none",IF(M1839="","","301")))))</f>
        <v/>
      </c>
      <c r="O1839" s="22">
        <f>IF(A1839="","",IFERROR(MID(A1839,FIND("/",A1839,FIND("//",A1839)+2),2000),A1839))</f>
        <v/>
      </c>
      <c r="P1839" s="22">
        <f>IF(OR(O1839="",N1839="",N1839="none",N1839="404"),"",IF(N1839="410","Redirect gone "&amp;O1839,"Redirect "&amp;N1839&amp;" "&amp;O1839&amp;" "&amp;M1839))</f>
        <v/>
      </c>
      <c r="Q1839" s="22" t="n"/>
      <c r="R1839" s="22" t="n"/>
      <c r="S1839" s="22" t="n"/>
      <c r="T1839" s="4">
        <f>IF(A1839="","",TRIM(IF(K1839="","Needs decision; ","")&amp;IF(AND(K1839="Accept suggestion",F1839=""),"No suggestion to accept; ","")&amp;IF(AND(K1839="Override",L1839=""),"Override URL missing; ","")&amp;IF(AND(K1839="Accept suggestion",N(G1839)&lt;$G$2),"Below your threshold; ","")&amp;IF(AND(M1839&lt;&gt;"",M1839=A1839,K1839&lt;&gt;"No change (same URL)"),"Redirects to itself; ","")&amp;IF(AND(M1839&lt;&gt;"",OR(M1839="/",AND(LEFT(M1839,4)="http",OR((LEN(M1839)-LEN(SUBSTITUTE(M1839,"/","")))=2,AND((LEN(M1839)-LEN(SUBSTITUTE(M1839,"/","")))=3,RIGHT(M1839,1)="/"))))),"Home page redirect; ","")&amp;IF(N(R1839)&gt;1,"Chain; ","")&amp;IF(S1839="No","Destination not 200; ","")))</f>
        <v/>
      </c>
      <c r="U1839" s="22" t="n"/>
      <c r="V1839" s="22" t="n"/>
      <c r="W1839" s="4" t="n"/>
    </row>
    <row r="1840">
      <c r="A1840" s="22" t="n"/>
      <c r="B1840" s="22" t="n"/>
      <c r="C1840" s="22" t="n"/>
      <c r="D1840" s="22">
        <f>IF(A1840="","",IF(OR(N(B1840)&gt;=$C$2,N(C1840)&gt;=$E$2),"High",IF(OR(N(B1840)&gt;0,N(C1840)&gt;0),"Medium","Low")))</f>
        <v/>
      </c>
      <c r="E1840" s="22" t="n"/>
      <c r="F1840" s="22" t="n"/>
      <c r="G1840" s="22" t="n"/>
      <c r="H1840" s="22" t="n"/>
      <c r="I1840" s="22" t="n"/>
      <c r="J1840" s="22" t="n"/>
      <c r="K1840" s="22" t="n"/>
      <c r="L1840" s="22" t="n"/>
      <c r="M1840" s="22">
        <f>IF(K1840="Override",L1840,IF(K1840="Accept suggestion",F1840,IF(K1840="No change (same URL)",A1840,"")))</f>
        <v/>
      </c>
      <c r="N1840" s="22">
        <f>IF(A1840="","",IF(K1840="410 Gone","410",IF(K1840="404","404",IF(K1840="No change (same URL)","none",IF(M1840="","","301")))))</f>
        <v/>
      </c>
      <c r="O1840" s="22">
        <f>IF(A1840="","",IFERROR(MID(A1840,FIND("/",A1840,FIND("//",A1840)+2),2000),A1840))</f>
        <v/>
      </c>
      <c r="P1840" s="22">
        <f>IF(OR(O1840="",N1840="",N1840="none",N1840="404"),"",IF(N1840="410","Redirect gone "&amp;O1840,"Redirect "&amp;N1840&amp;" "&amp;O1840&amp;" "&amp;M1840))</f>
        <v/>
      </c>
      <c r="Q1840" s="22" t="n"/>
      <c r="R1840" s="22" t="n"/>
      <c r="S1840" s="22" t="n"/>
      <c r="T1840" s="4">
        <f>IF(A1840="","",TRIM(IF(K1840="","Needs decision; ","")&amp;IF(AND(K1840="Accept suggestion",F1840=""),"No suggestion to accept; ","")&amp;IF(AND(K1840="Override",L1840=""),"Override URL missing; ","")&amp;IF(AND(K1840="Accept suggestion",N(G1840)&lt;$G$2),"Below your threshold; ","")&amp;IF(AND(M1840&lt;&gt;"",M1840=A1840,K1840&lt;&gt;"No change (same URL)"),"Redirects to itself; ","")&amp;IF(AND(M1840&lt;&gt;"",OR(M1840="/",AND(LEFT(M1840,4)="http",OR((LEN(M1840)-LEN(SUBSTITUTE(M1840,"/","")))=2,AND((LEN(M1840)-LEN(SUBSTITUTE(M1840,"/","")))=3,RIGHT(M1840,1)="/"))))),"Home page redirect; ","")&amp;IF(N(R1840)&gt;1,"Chain; ","")&amp;IF(S1840="No","Destination not 200; ","")))</f>
        <v/>
      </c>
      <c r="U1840" s="22" t="n"/>
      <c r="V1840" s="22" t="n"/>
      <c r="W1840" s="4" t="n"/>
    </row>
    <row r="1841">
      <c r="A1841" s="22" t="n"/>
      <c r="B1841" s="22" t="n"/>
      <c r="C1841" s="22" t="n"/>
      <c r="D1841" s="22">
        <f>IF(A1841="","",IF(OR(N(B1841)&gt;=$C$2,N(C1841)&gt;=$E$2),"High",IF(OR(N(B1841)&gt;0,N(C1841)&gt;0),"Medium","Low")))</f>
        <v/>
      </c>
      <c r="E1841" s="22" t="n"/>
      <c r="F1841" s="22" t="n"/>
      <c r="G1841" s="22" t="n"/>
      <c r="H1841" s="22" t="n"/>
      <c r="I1841" s="22" t="n"/>
      <c r="J1841" s="22" t="n"/>
      <c r="K1841" s="22" t="n"/>
      <c r="L1841" s="22" t="n"/>
      <c r="M1841" s="22">
        <f>IF(K1841="Override",L1841,IF(K1841="Accept suggestion",F1841,IF(K1841="No change (same URL)",A1841,"")))</f>
        <v/>
      </c>
      <c r="N1841" s="22">
        <f>IF(A1841="","",IF(K1841="410 Gone","410",IF(K1841="404","404",IF(K1841="No change (same URL)","none",IF(M1841="","","301")))))</f>
        <v/>
      </c>
      <c r="O1841" s="22">
        <f>IF(A1841="","",IFERROR(MID(A1841,FIND("/",A1841,FIND("//",A1841)+2),2000),A1841))</f>
        <v/>
      </c>
      <c r="P1841" s="22">
        <f>IF(OR(O1841="",N1841="",N1841="none",N1841="404"),"",IF(N1841="410","Redirect gone "&amp;O1841,"Redirect "&amp;N1841&amp;" "&amp;O1841&amp;" "&amp;M1841))</f>
        <v/>
      </c>
      <c r="Q1841" s="22" t="n"/>
      <c r="R1841" s="22" t="n"/>
      <c r="S1841" s="22" t="n"/>
      <c r="T1841" s="4">
        <f>IF(A1841="","",TRIM(IF(K1841="","Needs decision; ","")&amp;IF(AND(K1841="Accept suggestion",F1841=""),"No suggestion to accept; ","")&amp;IF(AND(K1841="Override",L1841=""),"Override URL missing; ","")&amp;IF(AND(K1841="Accept suggestion",N(G1841)&lt;$G$2),"Below your threshold; ","")&amp;IF(AND(M1841&lt;&gt;"",M1841=A1841,K1841&lt;&gt;"No change (same URL)"),"Redirects to itself; ","")&amp;IF(AND(M1841&lt;&gt;"",OR(M1841="/",AND(LEFT(M1841,4)="http",OR((LEN(M1841)-LEN(SUBSTITUTE(M1841,"/","")))=2,AND((LEN(M1841)-LEN(SUBSTITUTE(M1841,"/","")))=3,RIGHT(M1841,1)="/"))))),"Home page redirect; ","")&amp;IF(N(R1841)&gt;1,"Chain; ","")&amp;IF(S1841="No","Destination not 200; ","")))</f>
        <v/>
      </c>
      <c r="U1841" s="22" t="n"/>
      <c r="V1841" s="22" t="n"/>
      <c r="W1841" s="4" t="n"/>
    </row>
    <row r="1842">
      <c r="A1842" s="22" t="n"/>
      <c r="B1842" s="22" t="n"/>
      <c r="C1842" s="22" t="n"/>
      <c r="D1842" s="22">
        <f>IF(A1842="","",IF(OR(N(B1842)&gt;=$C$2,N(C1842)&gt;=$E$2),"High",IF(OR(N(B1842)&gt;0,N(C1842)&gt;0),"Medium","Low")))</f>
        <v/>
      </c>
      <c r="E1842" s="22" t="n"/>
      <c r="F1842" s="22" t="n"/>
      <c r="G1842" s="22" t="n"/>
      <c r="H1842" s="22" t="n"/>
      <c r="I1842" s="22" t="n"/>
      <c r="J1842" s="22" t="n"/>
      <c r="K1842" s="22" t="n"/>
      <c r="L1842" s="22" t="n"/>
      <c r="M1842" s="22">
        <f>IF(K1842="Override",L1842,IF(K1842="Accept suggestion",F1842,IF(K1842="No change (same URL)",A1842,"")))</f>
        <v/>
      </c>
      <c r="N1842" s="22">
        <f>IF(A1842="","",IF(K1842="410 Gone","410",IF(K1842="404","404",IF(K1842="No change (same URL)","none",IF(M1842="","","301")))))</f>
        <v/>
      </c>
      <c r="O1842" s="22">
        <f>IF(A1842="","",IFERROR(MID(A1842,FIND("/",A1842,FIND("//",A1842)+2),2000),A1842))</f>
        <v/>
      </c>
      <c r="P1842" s="22">
        <f>IF(OR(O1842="",N1842="",N1842="none",N1842="404"),"",IF(N1842="410","Redirect gone "&amp;O1842,"Redirect "&amp;N1842&amp;" "&amp;O1842&amp;" "&amp;M1842))</f>
        <v/>
      </c>
      <c r="Q1842" s="22" t="n"/>
      <c r="R1842" s="22" t="n"/>
      <c r="S1842" s="22" t="n"/>
      <c r="T1842" s="4">
        <f>IF(A1842="","",TRIM(IF(K1842="","Needs decision; ","")&amp;IF(AND(K1842="Accept suggestion",F1842=""),"No suggestion to accept; ","")&amp;IF(AND(K1842="Override",L1842=""),"Override URL missing; ","")&amp;IF(AND(K1842="Accept suggestion",N(G1842)&lt;$G$2),"Below your threshold; ","")&amp;IF(AND(M1842&lt;&gt;"",M1842=A1842,K1842&lt;&gt;"No change (same URL)"),"Redirects to itself; ","")&amp;IF(AND(M1842&lt;&gt;"",OR(M1842="/",AND(LEFT(M1842,4)="http",OR((LEN(M1842)-LEN(SUBSTITUTE(M1842,"/","")))=2,AND((LEN(M1842)-LEN(SUBSTITUTE(M1842,"/","")))=3,RIGHT(M1842,1)="/"))))),"Home page redirect; ","")&amp;IF(N(R1842)&gt;1,"Chain; ","")&amp;IF(S1842="No","Destination not 200; ","")))</f>
        <v/>
      </c>
      <c r="U1842" s="22" t="n"/>
      <c r="V1842" s="22" t="n"/>
      <c r="W1842" s="4" t="n"/>
    </row>
    <row r="1843">
      <c r="A1843" s="22" t="n"/>
      <c r="B1843" s="22" t="n"/>
      <c r="C1843" s="22" t="n"/>
      <c r="D1843" s="22">
        <f>IF(A1843="","",IF(OR(N(B1843)&gt;=$C$2,N(C1843)&gt;=$E$2),"High",IF(OR(N(B1843)&gt;0,N(C1843)&gt;0),"Medium","Low")))</f>
        <v/>
      </c>
      <c r="E1843" s="22" t="n"/>
      <c r="F1843" s="22" t="n"/>
      <c r="G1843" s="22" t="n"/>
      <c r="H1843" s="22" t="n"/>
      <c r="I1843" s="22" t="n"/>
      <c r="J1843" s="22" t="n"/>
      <c r="K1843" s="22" t="n"/>
      <c r="L1843" s="22" t="n"/>
      <c r="M1843" s="22">
        <f>IF(K1843="Override",L1843,IF(K1843="Accept suggestion",F1843,IF(K1843="No change (same URL)",A1843,"")))</f>
        <v/>
      </c>
      <c r="N1843" s="22">
        <f>IF(A1843="","",IF(K1843="410 Gone","410",IF(K1843="404","404",IF(K1843="No change (same URL)","none",IF(M1843="","","301")))))</f>
        <v/>
      </c>
      <c r="O1843" s="22">
        <f>IF(A1843="","",IFERROR(MID(A1843,FIND("/",A1843,FIND("//",A1843)+2),2000),A1843))</f>
        <v/>
      </c>
      <c r="P1843" s="22">
        <f>IF(OR(O1843="",N1843="",N1843="none",N1843="404"),"",IF(N1843="410","Redirect gone "&amp;O1843,"Redirect "&amp;N1843&amp;" "&amp;O1843&amp;" "&amp;M1843))</f>
        <v/>
      </c>
      <c r="Q1843" s="22" t="n"/>
      <c r="R1843" s="22" t="n"/>
      <c r="S1843" s="22" t="n"/>
      <c r="T1843" s="4">
        <f>IF(A1843="","",TRIM(IF(K1843="","Needs decision; ","")&amp;IF(AND(K1843="Accept suggestion",F1843=""),"No suggestion to accept; ","")&amp;IF(AND(K1843="Override",L1843=""),"Override URL missing; ","")&amp;IF(AND(K1843="Accept suggestion",N(G1843)&lt;$G$2),"Below your threshold; ","")&amp;IF(AND(M1843&lt;&gt;"",M1843=A1843,K1843&lt;&gt;"No change (same URL)"),"Redirects to itself; ","")&amp;IF(AND(M1843&lt;&gt;"",OR(M1843="/",AND(LEFT(M1843,4)="http",OR((LEN(M1843)-LEN(SUBSTITUTE(M1843,"/","")))=2,AND((LEN(M1843)-LEN(SUBSTITUTE(M1843,"/","")))=3,RIGHT(M1843,1)="/"))))),"Home page redirect; ","")&amp;IF(N(R1843)&gt;1,"Chain; ","")&amp;IF(S1843="No","Destination not 200; ","")))</f>
        <v/>
      </c>
      <c r="U1843" s="22" t="n"/>
      <c r="V1843" s="22" t="n"/>
      <c r="W1843" s="4" t="n"/>
    </row>
    <row r="1844">
      <c r="A1844" s="22" t="n"/>
      <c r="B1844" s="22" t="n"/>
      <c r="C1844" s="22" t="n"/>
      <c r="D1844" s="22">
        <f>IF(A1844="","",IF(OR(N(B1844)&gt;=$C$2,N(C1844)&gt;=$E$2),"High",IF(OR(N(B1844)&gt;0,N(C1844)&gt;0),"Medium","Low")))</f>
        <v/>
      </c>
      <c r="E1844" s="22" t="n"/>
      <c r="F1844" s="22" t="n"/>
      <c r="G1844" s="22" t="n"/>
      <c r="H1844" s="22" t="n"/>
      <c r="I1844" s="22" t="n"/>
      <c r="J1844" s="22" t="n"/>
      <c r="K1844" s="22" t="n"/>
      <c r="L1844" s="22" t="n"/>
      <c r="M1844" s="22">
        <f>IF(K1844="Override",L1844,IF(K1844="Accept suggestion",F1844,IF(K1844="No change (same URL)",A1844,"")))</f>
        <v/>
      </c>
      <c r="N1844" s="22">
        <f>IF(A1844="","",IF(K1844="410 Gone","410",IF(K1844="404","404",IF(K1844="No change (same URL)","none",IF(M1844="","","301")))))</f>
        <v/>
      </c>
      <c r="O1844" s="22">
        <f>IF(A1844="","",IFERROR(MID(A1844,FIND("/",A1844,FIND("//",A1844)+2),2000),A1844))</f>
        <v/>
      </c>
      <c r="P1844" s="22">
        <f>IF(OR(O1844="",N1844="",N1844="none",N1844="404"),"",IF(N1844="410","Redirect gone "&amp;O1844,"Redirect "&amp;N1844&amp;" "&amp;O1844&amp;" "&amp;M1844))</f>
        <v/>
      </c>
      <c r="Q1844" s="22" t="n"/>
      <c r="R1844" s="22" t="n"/>
      <c r="S1844" s="22" t="n"/>
      <c r="T1844" s="4">
        <f>IF(A1844="","",TRIM(IF(K1844="","Needs decision; ","")&amp;IF(AND(K1844="Accept suggestion",F1844=""),"No suggestion to accept; ","")&amp;IF(AND(K1844="Override",L1844=""),"Override URL missing; ","")&amp;IF(AND(K1844="Accept suggestion",N(G1844)&lt;$G$2),"Below your threshold; ","")&amp;IF(AND(M1844&lt;&gt;"",M1844=A1844,K1844&lt;&gt;"No change (same URL)"),"Redirects to itself; ","")&amp;IF(AND(M1844&lt;&gt;"",OR(M1844="/",AND(LEFT(M1844,4)="http",OR((LEN(M1844)-LEN(SUBSTITUTE(M1844,"/","")))=2,AND((LEN(M1844)-LEN(SUBSTITUTE(M1844,"/","")))=3,RIGHT(M1844,1)="/"))))),"Home page redirect; ","")&amp;IF(N(R1844)&gt;1,"Chain; ","")&amp;IF(S1844="No","Destination not 200; ","")))</f>
        <v/>
      </c>
      <c r="U1844" s="22" t="n"/>
      <c r="V1844" s="22" t="n"/>
      <c r="W1844" s="4" t="n"/>
    </row>
    <row r="1845">
      <c r="A1845" s="22" t="n"/>
      <c r="B1845" s="22" t="n"/>
      <c r="C1845" s="22" t="n"/>
      <c r="D1845" s="22">
        <f>IF(A1845="","",IF(OR(N(B1845)&gt;=$C$2,N(C1845)&gt;=$E$2),"High",IF(OR(N(B1845)&gt;0,N(C1845)&gt;0),"Medium","Low")))</f>
        <v/>
      </c>
      <c r="E1845" s="22" t="n"/>
      <c r="F1845" s="22" t="n"/>
      <c r="G1845" s="22" t="n"/>
      <c r="H1845" s="22" t="n"/>
      <c r="I1845" s="22" t="n"/>
      <c r="J1845" s="22" t="n"/>
      <c r="K1845" s="22" t="n"/>
      <c r="L1845" s="22" t="n"/>
      <c r="M1845" s="22">
        <f>IF(K1845="Override",L1845,IF(K1845="Accept suggestion",F1845,IF(K1845="No change (same URL)",A1845,"")))</f>
        <v/>
      </c>
      <c r="N1845" s="22">
        <f>IF(A1845="","",IF(K1845="410 Gone","410",IF(K1845="404","404",IF(K1845="No change (same URL)","none",IF(M1845="","","301")))))</f>
        <v/>
      </c>
      <c r="O1845" s="22">
        <f>IF(A1845="","",IFERROR(MID(A1845,FIND("/",A1845,FIND("//",A1845)+2),2000),A1845))</f>
        <v/>
      </c>
      <c r="P1845" s="22">
        <f>IF(OR(O1845="",N1845="",N1845="none",N1845="404"),"",IF(N1845="410","Redirect gone "&amp;O1845,"Redirect "&amp;N1845&amp;" "&amp;O1845&amp;" "&amp;M1845))</f>
        <v/>
      </c>
      <c r="Q1845" s="22" t="n"/>
      <c r="R1845" s="22" t="n"/>
      <c r="S1845" s="22" t="n"/>
      <c r="T1845" s="4">
        <f>IF(A1845="","",TRIM(IF(K1845="","Needs decision; ","")&amp;IF(AND(K1845="Accept suggestion",F1845=""),"No suggestion to accept; ","")&amp;IF(AND(K1845="Override",L1845=""),"Override URL missing; ","")&amp;IF(AND(K1845="Accept suggestion",N(G1845)&lt;$G$2),"Below your threshold; ","")&amp;IF(AND(M1845&lt;&gt;"",M1845=A1845,K1845&lt;&gt;"No change (same URL)"),"Redirects to itself; ","")&amp;IF(AND(M1845&lt;&gt;"",OR(M1845="/",AND(LEFT(M1845,4)="http",OR((LEN(M1845)-LEN(SUBSTITUTE(M1845,"/","")))=2,AND((LEN(M1845)-LEN(SUBSTITUTE(M1845,"/","")))=3,RIGHT(M1845,1)="/"))))),"Home page redirect; ","")&amp;IF(N(R1845)&gt;1,"Chain; ","")&amp;IF(S1845="No","Destination not 200; ","")))</f>
        <v/>
      </c>
      <c r="U1845" s="22" t="n"/>
      <c r="V1845" s="22" t="n"/>
      <c r="W1845" s="4" t="n"/>
    </row>
    <row r="1846">
      <c r="A1846" s="22" t="n"/>
      <c r="B1846" s="22" t="n"/>
      <c r="C1846" s="22" t="n"/>
      <c r="D1846" s="22">
        <f>IF(A1846="","",IF(OR(N(B1846)&gt;=$C$2,N(C1846)&gt;=$E$2),"High",IF(OR(N(B1846)&gt;0,N(C1846)&gt;0),"Medium","Low")))</f>
        <v/>
      </c>
      <c r="E1846" s="22" t="n"/>
      <c r="F1846" s="22" t="n"/>
      <c r="G1846" s="22" t="n"/>
      <c r="H1846" s="22" t="n"/>
      <c r="I1846" s="22" t="n"/>
      <c r="J1846" s="22" t="n"/>
      <c r="K1846" s="22" t="n"/>
      <c r="L1846" s="22" t="n"/>
      <c r="M1846" s="22">
        <f>IF(K1846="Override",L1846,IF(K1846="Accept suggestion",F1846,IF(K1846="No change (same URL)",A1846,"")))</f>
        <v/>
      </c>
      <c r="N1846" s="22">
        <f>IF(A1846="","",IF(K1846="410 Gone","410",IF(K1846="404","404",IF(K1846="No change (same URL)","none",IF(M1846="","","301")))))</f>
        <v/>
      </c>
      <c r="O1846" s="22">
        <f>IF(A1846="","",IFERROR(MID(A1846,FIND("/",A1846,FIND("//",A1846)+2),2000),A1846))</f>
        <v/>
      </c>
      <c r="P1846" s="22">
        <f>IF(OR(O1846="",N1846="",N1846="none",N1846="404"),"",IF(N1846="410","Redirect gone "&amp;O1846,"Redirect "&amp;N1846&amp;" "&amp;O1846&amp;" "&amp;M1846))</f>
        <v/>
      </c>
      <c r="Q1846" s="22" t="n"/>
      <c r="R1846" s="22" t="n"/>
      <c r="S1846" s="22" t="n"/>
      <c r="T1846" s="4">
        <f>IF(A1846="","",TRIM(IF(K1846="","Needs decision; ","")&amp;IF(AND(K1846="Accept suggestion",F1846=""),"No suggestion to accept; ","")&amp;IF(AND(K1846="Override",L1846=""),"Override URL missing; ","")&amp;IF(AND(K1846="Accept suggestion",N(G1846)&lt;$G$2),"Below your threshold; ","")&amp;IF(AND(M1846&lt;&gt;"",M1846=A1846,K1846&lt;&gt;"No change (same URL)"),"Redirects to itself; ","")&amp;IF(AND(M1846&lt;&gt;"",OR(M1846="/",AND(LEFT(M1846,4)="http",OR((LEN(M1846)-LEN(SUBSTITUTE(M1846,"/","")))=2,AND((LEN(M1846)-LEN(SUBSTITUTE(M1846,"/","")))=3,RIGHT(M1846,1)="/"))))),"Home page redirect; ","")&amp;IF(N(R1846)&gt;1,"Chain; ","")&amp;IF(S1846="No","Destination not 200; ","")))</f>
        <v/>
      </c>
      <c r="U1846" s="22" t="n"/>
      <c r="V1846" s="22" t="n"/>
      <c r="W1846" s="4" t="n"/>
    </row>
    <row r="1847">
      <c r="A1847" s="22" t="n"/>
      <c r="B1847" s="22" t="n"/>
      <c r="C1847" s="22" t="n"/>
      <c r="D1847" s="22">
        <f>IF(A1847="","",IF(OR(N(B1847)&gt;=$C$2,N(C1847)&gt;=$E$2),"High",IF(OR(N(B1847)&gt;0,N(C1847)&gt;0),"Medium","Low")))</f>
        <v/>
      </c>
      <c r="E1847" s="22" t="n"/>
      <c r="F1847" s="22" t="n"/>
      <c r="G1847" s="22" t="n"/>
      <c r="H1847" s="22" t="n"/>
      <c r="I1847" s="22" t="n"/>
      <c r="J1847" s="22" t="n"/>
      <c r="K1847" s="22" t="n"/>
      <c r="L1847" s="22" t="n"/>
      <c r="M1847" s="22">
        <f>IF(K1847="Override",L1847,IF(K1847="Accept suggestion",F1847,IF(K1847="No change (same URL)",A1847,"")))</f>
        <v/>
      </c>
      <c r="N1847" s="22">
        <f>IF(A1847="","",IF(K1847="410 Gone","410",IF(K1847="404","404",IF(K1847="No change (same URL)","none",IF(M1847="","","301")))))</f>
        <v/>
      </c>
      <c r="O1847" s="22">
        <f>IF(A1847="","",IFERROR(MID(A1847,FIND("/",A1847,FIND("//",A1847)+2),2000),A1847))</f>
        <v/>
      </c>
      <c r="P1847" s="22">
        <f>IF(OR(O1847="",N1847="",N1847="none",N1847="404"),"",IF(N1847="410","Redirect gone "&amp;O1847,"Redirect "&amp;N1847&amp;" "&amp;O1847&amp;" "&amp;M1847))</f>
        <v/>
      </c>
      <c r="Q1847" s="22" t="n"/>
      <c r="R1847" s="22" t="n"/>
      <c r="S1847" s="22" t="n"/>
      <c r="T1847" s="4">
        <f>IF(A1847="","",TRIM(IF(K1847="","Needs decision; ","")&amp;IF(AND(K1847="Accept suggestion",F1847=""),"No suggestion to accept; ","")&amp;IF(AND(K1847="Override",L1847=""),"Override URL missing; ","")&amp;IF(AND(K1847="Accept suggestion",N(G1847)&lt;$G$2),"Below your threshold; ","")&amp;IF(AND(M1847&lt;&gt;"",M1847=A1847,K1847&lt;&gt;"No change (same URL)"),"Redirects to itself; ","")&amp;IF(AND(M1847&lt;&gt;"",OR(M1847="/",AND(LEFT(M1847,4)="http",OR((LEN(M1847)-LEN(SUBSTITUTE(M1847,"/","")))=2,AND((LEN(M1847)-LEN(SUBSTITUTE(M1847,"/","")))=3,RIGHT(M1847,1)="/"))))),"Home page redirect; ","")&amp;IF(N(R1847)&gt;1,"Chain; ","")&amp;IF(S1847="No","Destination not 200; ","")))</f>
        <v/>
      </c>
      <c r="U1847" s="22" t="n"/>
      <c r="V1847" s="22" t="n"/>
      <c r="W1847" s="4" t="n"/>
    </row>
    <row r="1848">
      <c r="A1848" s="22" t="n"/>
      <c r="B1848" s="22" t="n"/>
      <c r="C1848" s="22" t="n"/>
      <c r="D1848" s="22">
        <f>IF(A1848="","",IF(OR(N(B1848)&gt;=$C$2,N(C1848)&gt;=$E$2),"High",IF(OR(N(B1848)&gt;0,N(C1848)&gt;0),"Medium","Low")))</f>
        <v/>
      </c>
      <c r="E1848" s="22" t="n"/>
      <c r="F1848" s="22" t="n"/>
      <c r="G1848" s="22" t="n"/>
      <c r="H1848" s="22" t="n"/>
      <c r="I1848" s="22" t="n"/>
      <c r="J1848" s="22" t="n"/>
      <c r="K1848" s="22" t="n"/>
      <c r="L1848" s="22" t="n"/>
      <c r="M1848" s="22">
        <f>IF(K1848="Override",L1848,IF(K1848="Accept suggestion",F1848,IF(K1848="No change (same URL)",A1848,"")))</f>
        <v/>
      </c>
      <c r="N1848" s="22">
        <f>IF(A1848="","",IF(K1848="410 Gone","410",IF(K1848="404","404",IF(K1848="No change (same URL)","none",IF(M1848="","","301")))))</f>
        <v/>
      </c>
      <c r="O1848" s="22">
        <f>IF(A1848="","",IFERROR(MID(A1848,FIND("/",A1848,FIND("//",A1848)+2),2000),A1848))</f>
        <v/>
      </c>
      <c r="P1848" s="22">
        <f>IF(OR(O1848="",N1848="",N1848="none",N1848="404"),"",IF(N1848="410","Redirect gone "&amp;O1848,"Redirect "&amp;N1848&amp;" "&amp;O1848&amp;" "&amp;M1848))</f>
        <v/>
      </c>
      <c r="Q1848" s="22" t="n"/>
      <c r="R1848" s="22" t="n"/>
      <c r="S1848" s="22" t="n"/>
      <c r="T1848" s="4">
        <f>IF(A1848="","",TRIM(IF(K1848="","Needs decision; ","")&amp;IF(AND(K1848="Accept suggestion",F1848=""),"No suggestion to accept; ","")&amp;IF(AND(K1848="Override",L1848=""),"Override URL missing; ","")&amp;IF(AND(K1848="Accept suggestion",N(G1848)&lt;$G$2),"Below your threshold; ","")&amp;IF(AND(M1848&lt;&gt;"",M1848=A1848,K1848&lt;&gt;"No change (same URL)"),"Redirects to itself; ","")&amp;IF(AND(M1848&lt;&gt;"",OR(M1848="/",AND(LEFT(M1848,4)="http",OR((LEN(M1848)-LEN(SUBSTITUTE(M1848,"/","")))=2,AND((LEN(M1848)-LEN(SUBSTITUTE(M1848,"/","")))=3,RIGHT(M1848,1)="/"))))),"Home page redirect; ","")&amp;IF(N(R1848)&gt;1,"Chain; ","")&amp;IF(S1848="No","Destination not 200; ","")))</f>
        <v/>
      </c>
      <c r="U1848" s="22" t="n"/>
      <c r="V1848" s="22" t="n"/>
      <c r="W1848" s="4" t="n"/>
    </row>
    <row r="1849">
      <c r="A1849" s="22" t="n"/>
      <c r="B1849" s="22" t="n"/>
      <c r="C1849" s="22" t="n"/>
      <c r="D1849" s="22">
        <f>IF(A1849="","",IF(OR(N(B1849)&gt;=$C$2,N(C1849)&gt;=$E$2),"High",IF(OR(N(B1849)&gt;0,N(C1849)&gt;0),"Medium","Low")))</f>
        <v/>
      </c>
      <c r="E1849" s="22" t="n"/>
      <c r="F1849" s="22" t="n"/>
      <c r="G1849" s="22" t="n"/>
      <c r="H1849" s="22" t="n"/>
      <c r="I1849" s="22" t="n"/>
      <c r="J1849" s="22" t="n"/>
      <c r="K1849" s="22" t="n"/>
      <c r="L1849" s="22" t="n"/>
      <c r="M1849" s="22">
        <f>IF(K1849="Override",L1849,IF(K1849="Accept suggestion",F1849,IF(K1849="No change (same URL)",A1849,"")))</f>
        <v/>
      </c>
      <c r="N1849" s="22">
        <f>IF(A1849="","",IF(K1849="410 Gone","410",IF(K1849="404","404",IF(K1849="No change (same URL)","none",IF(M1849="","","301")))))</f>
        <v/>
      </c>
      <c r="O1849" s="22">
        <f>IF(A1849="","",IFERROR(MID(A1849,FIND("/",A1849,FIND("//",A1849)+2),2000),A1849))</f>
        <v/>
      </c>
      <c r="P1849" s="22">
        <f>IF(OR(O1849="",N1849="",N1849="none",N1849="404"),"",IF(N1849="410","Redirect gone "&amp;O1849,"Redirect "&amp;N1849&amp;" "&amp;O1849&amp;" "&amp;M1849))</f>
        <v/>
      </c>
      <c r="Q1849" s="22" t="n"/>
      <c r="R1849" s="22" t="n"/>
      <c r="S1849" s="22" t="n"/>
      <c r="T1849" s="4">
        <f>IF(A1849="","",TRIM(IF(K1849="","Needs decision; ","")&amp;IF(AND(K1849="Accept suggestion",F1849=""),"No suggestion to accept; ","")&amp;IF(AND(K1849="Override",L1849=""),"Override URL missing; ","")&amp;IF(AND(K1849="Accept suggestion",N(G1849)&lt;$G$2),"Below your threshold; ","")&amp;IF(AND(M1849&lt;&gt;"",M1849=A1849,K1849&lt;&gt;"No change (same URL)"),"Redirects to itself; ","")&amp;IF(AND(M1849&lt;&gt;"",OR(M1849="/",AND(LEFT(M1849,4)="http",OR((LEN(M1849)-LEN(SUBSTITUTE(M1849,"/","")))=2,AND((LEN(M1849)-LEN(SUBSTITUTE(M1849,"/","")))=3,RIGHT(M1849,1)="/"))))),"Home page redirect; ","")&amp;IF(N(R1849)&gt;1,"Chain; ","")&amp;IF(S1849="No","Destination not 200; ","")))</f>
        <v/>
      </c>
      <c r="U1849" s="22" t="n"/>
      <c r="V1849" s="22" t="n"/>
      <c r="W1849" s="4" t="n"/>
    </row>
    <row r="1850">
      <c r="A1850" s="22" t="n"/>
      <c r="B1850" s="22" t="n"/>
      <c r="C1850" s="22" t="n"/>
      <c r="D1850" s="22">
        <f>IF(A1850="","",IF(OR(N(B1850)&gt;=$C$2,N(C1850)&gt;=$E$2),"High",IF(OR(N(B1850)&gt;0,N(C1850)&gt;0),"Medium","Low")))</f>
        <v/>
      </c>
      <c r="E1850" s="22" t="n"/>
      <c r="F1850" s="22" t="n"/>
      <c r="G1850" s="22" t="n"/>
      <c r="H1850" s="22" t="n"/>
      <c r="I1850" s="22" t="n"/>
      <c r="J1850" s="22" t="n"/>
      <c r="K1850" s="22" t="n"/>
      <c r="L1850" s="22" t="n"/>
      <c r="M1850" s="22">
        <f>IF(K1850="Override",L1850,IF(K1850="Accept suggestion",F1850,IF(K1850="No change (same URL)",A1850,"")))</f>
        <v/>
      </c>
      <c r="N1850" s="22">
        <f>IF(A1850="","",IF(K1850="410 Gone","410",IF(K1850="404","404",IF(K1850="No change (same URL)","none",IF(M1850="","","301")))))</f>
        <v/>
      </c>
      <c r="O1850" s="22">
        <f>IF(A1850="","",IFERROR(MID(A1850,FIND("/",A1850,FIND("//",A1850)+2),2000),A1850))</f>
        <v/>
      </c>
      <c r="P1850" s="22">
        <f>IF(OR(O1850="",N1850="",N1850="none",N1850="404"),"",IF(N1850="410","Redirect gone "&amp;O1850,"Redirect "&amp;N1850&amp;" "&amp;O1850&amp;" "&amp;M1850))</f>
        <v/>
      </c>
      <c r="Q1850" s="22" t="n"/>
      <c r="R1850" s="22" t="n"/>
      <c r="S1850" s="22" t="n"/>
      <c r="T1850" s="4">
        <f>IF(A1850="","",TRIM(IF(K1850="","Needs decision; ","")&amp;IF(AND(K1850="Accept suggestion",F1850=""),"No suggestion to accept; ","")&amp;IF(AND(K1850="Override",L1850=""),"Override URL missing; ","")&amp;IF(AND(K1850="Accept suggestion",N(G1850)&lt;$G$2),"Below your threshold; ","")&amp;IF(AND(M1850&lt;&gt;"",M1850=A1850,K1850&lt;&gt;"No change (same URL)"),"Redirects to itself; ","")&amp;IF(AND(M1850&lt;&gt;"",OR(M1850="/",AND(LEFT(M1850,4)="http",OR((LEN(M1850)-LEN(SUBSTITUTE(M1850,"/","")))=2,AND((LEN(M1850)-LEN(SUBSTITUTE(M1850,"/","")))=3,RIGHT(M1850,1)="/"))))),"Home page redirect; ","")&amp;IF(N(R1850)&gt;1,"Chain; ","")&amp;IF(S1850="No","Destination not 200; ","")))</f>
        <v/>
      </c>
      <c r="U1850" s="22" t="n"/>
      <c r="V1850" s="22" t="n"/>
      <c r="W1850" s="4" t="n"/>
    </row>
    <row r="1851">
      <c r="A1851" s="22" t="n"/>
      <c r="B1851" s="22" t="n"/>
      <c r="C1851" s="22" t="n"/>
      <c r="D1851" s="22">
        <f>IF(A1851="","",IF(OR(N(B1851)&gt;=$C$2,N(C1851)&gt;=$E$2),"High",IF(OR(N(B1851)&gt;0,N(C1851)&gt;0),"Medium","Low")))</f>
        <v/>
      </c>
      <c r="E1851" s="22" t="n"/>
      <c r="F1851" s="22" t="n"/>
      <c r="G1851" s="22" t="n"/>
      <c r="H1851" s="22" t="n"/>
      <c r="I1851" s="22" t="n"/>
      <c r="J1851" s="22" t="n"/>
      <c r="K1851" s="22" t="n"/>
      <c r="L1851" s="22" t="n"/>
      <c r="M1851" s="22">
        <f>IF(K1851="Override",L1851,IF(K1851="Accept suggestion",F1851,IF(K1851="No change (same URL)",A1851,"")))</f>
        <v/>
      </c>
      <c r="N1851" s="22">
        <f>IF(A1851="","",IF(K1851="410 Gone","410",IF(K1851="404","404",IF(K1851="No change (same URL)","none",IF(M1851="","","301")))))</f>
        <v/>
      </c>
      <c r="O1851" s="22">
        <f>IF(A1851="","",IFERROR(MID(A1851,FIND("/",A1851,FIND("//",A1851)+2),2000),A1851))</f>
        <v/>
      </c>
      <c r="P1851" s="22">
        <f>IF(OR(O1851="",N1851="",N1851="none",N1851="404"),"",IF(N1851="410","Redirect gone "&amp;O1851,"Redirect "&amp;N1851&amp;" "&amp;O1851&amp;" "&amp;M1851))</f>
        <v/>
      </c>
      <c r="Q1851" s="22" t="n"/>
      <c r="R1851" s="22" t="n"/>
      <c r="S1851" s="22" t="n"/>
      <c r="T1851" s="4">
        <f>IF(A1851="","",TRIM(IF(K1851="","Needs decision; ","")&amp;IF(AND(K1851="Accept suggestion",F1851=""),"No suggestion to accept; ","")&amp;IF(AND(K1851="Override",L1851=""),"Override URL missing; ","")&amp;IF(AND(K1851="Accept suggestion",N(G1851)&lt;$G$2),"Below your threshold; ","")&amp;IF(AND(M1851&lt;&gt;"",M1851=A1851,K1851&lt;&gt;"No change (same URL)"),"Redirects to itself; ","")&amp;IF(AND(M1851&lt;&gt;"",OR(M1851="/",AND(LEFT(M1851,4)="http",OR((LEN(M1851)-LEN(SUBSTITUTE(M1851,"/","")))=2,AND((LEN(M1851)-LEN(SUBSTITUTE(M1851,"/","")))=3,RIGHT(M1851,1)="/"))))),"Home page redirect; ","")&amp;IF(N(R1851)&gt;1,"Chain; ","")&amp;IF(S1851="No","Destination not 200; ","")))</f>
        <v/>
      </c>
      <c r="U1851" s="22" t="n"/>
      <c r="V1851" s="22" t="n"/>
      <c r="W1851" s="4" t="n"/>
    </row>
    <row r="1852">
      <c r="A1852" s="22" t="n"/>
      <c r="B1852" s="22" t="n"/>
      <c r="C1852" s="22" t="n"/>
      <c r="D1852" s="22">
        <f>IF(A1852="","",IF(OR(N(B1852)&gt;=$C$2,N(C1852)&gt;=$E$2),"High",IF(OR(N(B1852)&gt;0,N(C1852)&gt;0),"Medium","Low")))</f>
        <v/>
      </c>
      <c r="E1852" s="22" t="n"/>
      <c r="F1852" s="22" t="n"/>
      <c r="G1852" s="22" t="n"/>
      <c r="H1852" s="22" t="n"/>
      <c r="I1852" s="22" t="n"/>
      <c r="J1852" s="22" t="n"/>
      <c r="K1852" s="22" t="n"/>
      <c r="L1852" s="22" t="n"/>
      <c r="M1852" s="22">
        <f>IF(K1852="Override",L1852,IF(K1852="Accept suggestion",F1852,IF(K1852="No change (same URL)",A1852,"")))</f>
        <v/>
      </c>
      <c r="N1852" s="22">
        <f>IF(A1852="","",IF(K1852="410 Gone","410",IF(K1852="404","404",IF(K1852="No change (same URL)","none",IF(M1852="","","301")))))</f>
        <v/>
      </c>
      <c r="O1852" s="22">
        <f>IF(A1852="","",IFERROR(MID(A1852,FIND("/",A1852,FIND("//",A1852)+2),2000),A1852))</f>
        <v/>
      </c>
      <c r="P1852" s="22">
        <f>IF(OR(O1852="",N1852="",N1852="none",N1852="404"),"",IF(N1852="410","Redirect gone "&amp;O1852,"Redirect "&amp;N1852&amp;" "&amp;O1852&amp;" "&amp;M1852))</f>
        <v/>
      </c>
      <c r="Q1852" s="22" t="n"/>
      <c r="R1852" s="22" t="n"/>
      <c r="S1852" s="22" t="n"/>
      <c r="T1852" s="4">
        <f>IF(A1852="","",TRIM(IF(K1852="","Needs decision; ","")&amp;IF(AND(K1852="Accept suggestion",F1852=""),"No suggestion to accept; ","")&amp;IF(AND(K1852="Override",L1852=""),"Override URL missing; ","")&amp;IF(AND(K1852="Accept suggestion",N(G1852)&lt;$G$2),"Below your threshold; ","")&amp;IF(AND(M1852&lt;&gt;"",M1852=A1852,K1852&lt;&gt;"No change (same URL)"),"Redirects to itself; ","")&amp;IF(AND(M1852&lt;&gt;"",OR(M1852="/",AND(LEFT(M1852,4)="http",OR((LEN(M1852)-LEN(SUBSTITUTE(M1852,"/","")))=2,AND((LEN(M1852)-LEN(SUBSTITUTE(M1852,"/","")))=3,RIGHT(M1852,1)="/"))))),"Home page redirect; ","")&amp;IF(N(R1852)&gt;1,"Chain; ","")&amp;IF(S1852="No","Destination not 200; ","")))</f>
        <v/>
      </c>
      <c r="U1852" s="22" t="n"/>
      <c r="V1852" s="22" t="n"/>
      <c r="W1852" s="4" t="n"/>
    </row>
    <row r="1853">
      <c r="A1853" s="22" t="n"/>
      <c r="B1853" s="22" t="n"/>
      <c r="C1853" s="22" t="n"/>
      <c r="D1853" s="22">
        <f>IF(A1853="","",IF(OR(N(B1853)&gt;=$C$2,N(C1853)&gt;=$E$2),"High",IF(OR(N(B1853)&gt;0,N(C1853)&gt;0),"Medium","Low")))</f>
        <v/>
      </c>
      <c r="E1853" s="22" t="n"/>
      <c r="F1853" s="22" t="n"/>
      <c r="G1853" s="22" t="n"/>
      <c r="H1853" s="22" t="n"/>
      <c r="I1853" s="22" t="n"/>
      <c r="J1853" s="22" t="n"/>
      <c r="K1853" s="22" t="n"/>
      <c r="L1853" s="22" t="n"/>
      <c r="M1853" s="22">
        <f>IF(K1853="Override",L1853,IF(K1853="Accept suggestion",F1853,IF(K1853="No change (same URL)",A1853,"")))</f>
        <v/>
      </c>
      <c r="N1853" s="22">
        <f>IF(A1853="","",IF(K1853="410 Gone","410",IF(K1853="404","404",IF(K1853="No change (same URL)","none",IF(M1853="","","301")))))</f>
        <v/>
      </c>
      <c r="O1853" s="22">
        <f>IF(A1853="","",IFERROR(MID(A1853,FIND("/",A1853,FIND("//",A1853)+2),2000),A1853))</f>
        <v/>
      </c>
      <c r="P1853" s="22">
        <f>IF(OR(O1853="",N1853="",N1853="none",N1853="404"),"",IF(N1853="410","Redirect gone "&amp;O1853,"Redirect "&amp;N1853&amp;" "&amp;O1853&amp;" "&amp;M1853))</f>
        <v/>
      </c>
      <c r="Q1853" s="22" t="n"/>
      <c r="R1853" s="22" t="n"/>
      <c r="S1853" s="22" t="n"/>
      <c r="T1853" s="4">
        <f>IF(A1853="","",TRIM(IF(K1853="","Needs decision; ","")&amp;IF(AND(K1853="Accept suggestion",F1853=""),"No suggestion to accept; ","")&amp;IF(AND(K1853="Override",L1853=""),"Override URL missing; ","")&amp;IF(AND(K1853="Accept suggestion",N(G1853)&lt;$G$2),"Below your threshold; ","")&amp;IF(AND(M1853&lt;&gt;"",M1853=A1853,K1853&lt;&gt;"No change (same URL)"),"Redirects to itself; ","")&amp;IF(AND(M1853&lt;&gt;"",OR(M1853="/",AND(LEFT(M1853,4)="http",OR((LEN(M1853)-LEN(SUBSTITUTE(M1853,"/","")))=2,AND((LEN(M1853)-LEN(SUBSTITUTE(M1853,"/","")))=3,RIGHT(M1853,1)="/"))))),"Home page redirect; ","")&amp;IF(N(R1853)&gt;1,"Chain; ","")&amp;IF(S1853="No","Destination not 200; ","")))</f>
        <v/>
      </c>
      <c r="U1853" s="22" t="n"/>
      <c r="V1853" s="22" t="n"/>
      <c r="W1853" s="4" t="n"/>
    </row>
    <row r="1854">
      <c r="A1854" s="22" t="n"/>
      <c r="B1854" s="22" t="n"/>
      <c r="C1854" s="22" t="n"/>
      <c r="D1854" s="22">
        <f>IF(A1854="","",IF(OR(N(B1854)&gt;=$C$2,N(C1854)&gt;=$E$2),"High",IF(OR(N(B1854)&gt;0,N(C1854)&gt;0),"Medium","Low")))</f>
        <v/>
      </c>
      <c r="E1854" s="22" t="n"/>
      <c r="F1854" s="22" t="n"/>
      <c r="G1854" s="22" t="n"/>
      <c r="H1854" s="22" t="n"/>
      <c r="I1854" s="22" t="n"/>
      <c r="J1854" s="22" t="n"/>
      <c r="K1854" s="22" t="n"/>
      <c r="L1854" s="22" t="n"/>
      <c r="M1854" s="22">
        <f>IF(K1854="Override",L1854,IF(K1854="Accept suggestion",F1854,IF(K1854="No change (same URL)",A1854,"")))</f>
        <v/>
      </c>
      <c r="N1854" s="22">
        <f>IF(A1854="","",IF(K1854="410 Gone","410",IF(K1854="404","404",IF(K1854="No change (same URL)","none",IF(M1854="","","301")))))</f>
        <v/>
      </c>
      <c r="O1854" s="22">
        <f>IF(A1854="","",IFERROR(MID(A1854,FIND("/",A1854,FIND("//",A1854)+2),2000),A1854))</f>
        <v/>
      </c>
      <c r="P1854" s="22">
        <f>IF(OR(O1854="",N1854="",N1854="none",N1854="404"),"",IF(N1854="410","Redirect gone "&amp;O1854,"Redirect "&amp;N1854&amp;" "&amp;O1854&amp;" "&amp;M1854))</f>
        <v/>
      </c>
      <c r="Q1854" s="22" t="n"/>
      <c r="R1854" s="22" t="n"/>
      <c r="S1854" s="22" t="n"/>
      <c r="T1854" s="4">
        <f>IF(A1854="","",TRIM(IF(K1854="","Needs decision; ","")&amp;IF(AND(K1854="Accept suggestion",F1854=""),"No suggestion to accept; ","")&amp;IF(AND(K1854="Override",L1854=""),"Override URL missing; ","")&amp;IF(AND(K1854="Accept suggestion",N(G1854)&lt;$G$2),"Below your threshold; ","")&amp;IF(AND(M1854&lt;&gt;"",M1854=A1854,K1854&lt;&gt;"No change (same URL)"),"Redirects to itself; ","")&amp;IF(AND(M1854&lt;&gt;"",OR(M1854="/",AND(LEFT(M1854,4)="http",OR((LEN(M1854)-LEN(SUBSTITUTE(M1854,"/","")))=2,AND((LEN(M1854)-LEN(SUBSTITUTE(M1854,"/","")))=3,RIGHT(M1854,1)="/"))))),"Home page redirect; ","")&amp;IF(N(R1854)&gt;1,"Chain; ","")&amp;IF(S1854="No","Destination not 200; ","")))</f>
        <v/>
      </c>
      <c r="U1854" s="22" t="n"/>
      <c r="V1854" s="22" t="n"/>
      <c r="W1854" s="4" t="n"/>
    </row>
    <row r="1855">
      <c r="A1855" s="22" t="n"/>
      <c r="B1855" s="22" t="n"/>
      <c r="C1855" s="22" t="n"/>
      <c r="D1855" s="22">
        <f>IF(A1855="","",IF(OR(N(B1855)&gt;=$C$2,N(C1855)&gt;=$E$2),"High",IF(OR(N(B1855)&gt;0,N(C1855)&gt;0),"Medium","Low")))</f>
        <v/>
      </c>
      <c r="E1855" s="22" t="n"/>
      <c r="F1855" s="22" t="n"/>
      <c r="G1855" s="22" t="n"/>
      <c r="H1855" s="22" t="n"/>
      <c r="I1855" s="22" t="n"/>
      <c r="J1855" s="22" t="n"/>
      <c r="K1855" s="22" t="n"/>
      <c r="L1855" s="22" t="n"/>
      <c r="M1855" s="22">
        <f>IF(K1855="Override",L1855,IF(K1855="Accept suggestion",F1855,IF(K1855="No change (same URL)",A1855,"")))</f>
        <v/>
      </c>
      <c r="N1855" s="22">
        <f>IF(A1855="","",IF(K1855="410 Gone","410",IF(K1855="404","404",IF(K1855="No change (same URL)","none",IF(M1855="","","301")))))</f>
        <v/>
      </c>
      <c r="O1855" s="22">
        <f>IF(A1855="","",IFERROR(MID(A1855,FIND("/",A1855,FIND("//",A1855)+2),2000),A1855))</f>
        <v/>
      </c>
      <c r="P1855" s="22">
        <f>IF(OR(O1855="",N1855="",N1855="none",N1855="404"),"",IF(N1855="410","Redirect gone "&amp;O1855,"Redirect "&amp;N1855&amp;" "&amp;O1855&amp;" "&amp;M1855))</f>
        <v/>
      </c>
      <c r="Q1855" s="22" t="n"/>
      <c r="R1855" s="22" t="n"/>
      <c r="S1855" s="22" t="n"/>
      <c r="T1855" s="4">
        <f>IF(A1855="","",TRIM(IF(K1855="","Needs decision; ","")&amp;IF(AND(K1855="Accept suggestion",F1855=""),"No suggestion to accept; ","")&amp;IF(AND(K1855="Override",L1855=""),"Override URL missing; ","")&amp;IF(AND(K1855="Accept suggestion",N(G1855)&lt;$G$2),"Below your threshold; ","")&amp;IF(AND(M1855&lt;&gt;"",M1855=A1855,K1855&lt;&gt;"No change (same URL)"),"Redirects to itself; ","")&amp;IF(AND(M1855&lt;&gt;"",OR(M1855="/",AND(LEFT(M1855,4)="http",OR((LEN(M1855)-LEN(SUBSTITUTE(M1855,"/","")))=2,AND((LEN(M1855)-LEN(SUBSTITUTE(M1855,"/","")))=3,RIGHT(M1855,1)="/"))))),"Home page redirect; ","")&amp;IF(N(R1855)&gt;1,"Chain; ","")&amp;IF(S1855="No","Destination not 200; ","")))</f>
        <v/>
      </c>
      <c r="U1855" s="22" t="n"/>
      <c r="V1855" s="22" t="n"/>
      <c r="W1855" s="4" t="n"/>
    </row>
    <row r="1856">
      <c r="A1856" s="22" t="n"/>
      <c r="B1856" s="22" t="n"/>
      <c r="C1856" s="22" t="n"/>
      <c r="D1856" s="22">
        <f>IF(A1856="","",IF(OR(N(B1856)&gt;=$C$2,N(C1856)&gt;=$E$2),"High",IF(OR(N(B1856)&gt;0,N(C1856)&gt;0),"Medium","Low")))</f>
        <v/>
      </c>
      <c r="E1856" s="22" t="n"/>
      <c r="F1856" s="22" t="n"/>
      <c r="G1856" s="22" t="n"/>
      <c r="H1856" s="22" t="n"/>
      <c r="I1856" s="22" t="n"/>
      <c r="J1856" s="22" t="n"/>
      <c r="K1856" s="22" t="n"/>
      <c r="L1856" s="22" t="n"/>
      <c r="M1856" s="22">
        <f>IF(K1856="Override",L1856,IF(K1856="Accept suggestion",F1856,IF(K1856="No change (same URL)",A1856,"")))</f>
        <v/>
      </c>
      <c r="N1856" s="22">
        <f>IF(A1856="","",IF(K1856="410 Gone","410",IF(K1856="404","404",IF(K1856="No change (same URL)","none",IF(M1856="","","301")))))</f>
        <v/>
      </c>
      <c r="O1856" s="22">
        <f>IF(A1856="","",IFERROR(MID(A1856,FIND("/",A1856,FIND("//",A1856)+2),2000),A1856))</f>
        <v/>
      </c>
      <c r="P1856" s="22">
        <f>IF(OR(O1856="",N1856="",N1856="none",N1856="404"),"",IF(N1856="410","Redirect gone "&amp;O1856,"Redirect "&amp;N1856&amp;" "&amp;O1856&amp;" "&amp;M1856))</f>
        <v/>
      </c>
      <c r="Q1856" s="22" t="n"/>
      <c r="R1856" s="22" t="n"/>
      <c r="S1856" s="22" t="n"/>
      <c r="T1856" s="4">
        <f>IF(A1856="","",TRIM(IF(K1856="","Needs decision; ","")&amp;IF(AND(K1856="Accept suggestion",F1856=""),"No suggestion to accept; ","")&amp;IF(AND(K1856="Override",L1856=""),"Override URL missing; ","")&amp;IF(AND(K1856="Accept suggestion",N(G1856)&lt;$G$2),"Below your threshold; ","")&amp;IF(AND(M1856&lt;&gt;"",M1856=A1856,K1856&lt;&gt;"No change (same URL)"),"Redirects to itself; ","")&amp;IF(AND(M1856&lt;&gt;"",OR(M1856="/",AND(LEFT(M1856,4)="http",OR((LEN(M1856)-LEN(SUBSTITUTE(M1856,"/","")))=2,AND((LEN(M1856)-LEN(SUBSTITUTE(M1856,"/","")))=3,RIGHT(M1856,1)="/"))))),"Home page redirect; ","")&amp;IF(N(R1856)&gt;1,"Chain; ","")&amp;IF(S1856="No","Destination not 200; ","")))</f>
        <v/>
      </c>
      <c r="U1856" s="22" t="n"/>
      <c r="V1856" s="22" t="n"/>
      <c r="W1856" s="4" t="n"/>
    </row>
    <row r="1857">
      <c r="A1857" s="22" t="n"/>
      <c r="B1857" s="22" t="n"/>
      <c r="C1857" s="22" t="n"/>
      <c r="D1857" s="22">
        <f>IF(A1857="","",IF(OR(N(B1857)&gt;=$C$2,N(C1857)&gt;=$E$2),"High",IF(OR(N(B1857)&gt;0,N(C1857)&gt;0),"Medium","Low")))</f>
        <v/>
      </c>
      <c r="E1857" s="22" t="n"/>
      <c r="F1857" s="22" t="n"/>
      <c r="G1857" s="22" t="n"/>
      <c r="H1857" s="22" t="n"/>
      <c r="I1857" s="22" t="n"/>
      <c r="J1857" s="22" t="n"/>
      <c r="K1857" s="22" t="n"/>
      <c r="L1857" s="22" t="n"/>
      <c r="M1857" s="22">
        <f>IF(K1857="Override",L1857,IF(K1857="Accept suggestion",F1857,IF(K1857="No change (same URL)",A1857,"")))</f>
        <v/>
      </c>
      <c r="N1857" s="22">
        <f>IF(A1857="","",IF(K1857="410 Gone","410",IF(K1857="404","404",IF(K1857="No change (same URL)","none",IF(M1857="","","301")))))</f>
        <v/>
      </c>
      <c r="O1857" s="22">
        <f>IF(A1857="","",IFERROR(MID(A1857,FIND("/",A1857,FIND("//",A1857)+2),2000),A1857))</f>
        <v/>
      </c>
      <c r="P1857" s="22">
        <f>IF(OR(O1857="",N1857="",N1857="none",N1857="404"),"",IF(N1857="410","Redirect gone "&amp;O1857,"Redirect "&amp;N1857&amp;" "&amp;O1857&amp;" "&amp;M1857))</f>
        <v/>
      </c>
      <c r="Q1857" s="22" t="n"/>
      <c r="R1857" s="22" t="n"/>
      <c r="S1857" s="22" t="n"/>
      <c r="T1857" s="4">
        <f>IF(A1857="","",TRIM(IF(K1857="","Needs decision; ","")&amp;IF(AND(K1857="Accept suggestion",F1857=""),"No suggestion to accept; ","")&amp;IF(AND(K1857="Override",L1857=""),"Override URL missing; ","")&amp;IF(AND(K1857="Accept suggestion",N(G1857)&lt;$G$2),"Below your threshold; ","")&amp;IF(AND(M1857&lt;&gt;"",M1857=A1857,K1857&lt;&gt;"No change (same URL)"),"Redirects to itself; ","")&amp;IF(AND(M1857&lt;&gt;"",OR(M1857="/",AND(LEFT(M1857,4)="http",OR((LEN(M1857)-LEN(SUBSTITUTE(M1857,"/","")))=2,AND((LEN(M1857)-LEN(SUBSTITUTE(M1857,"/","")))=3,RIGHT(M1857,1)="/"))))),"Home page redirect; ","")&amp;IF(N(R1857)&gt;1,"Chain; ","")&amp;IF(S1857="No","Destination not 200; ","")))</f>
        <v/>
      </c>
      <c r="U1857" s="22" t="n"/>
      <c r="V1857" s="22" t="n"/>
      <c r="W1857" s="4" t="n"/>
    </row>
    <row r="1858">
      <c r="A1858" s="22" t="n"/>
      <c r="B1858" s="22" t="n"/>
      <c r="C1858" s="22" t="n"/>
      <c r="D1858" s="22">
        <f>IF(A1858="","",IF(OR(N(B1858)&gt;=$C$2,N(C1858)&gt;=$E$2),"High",IF(OR(N(B1858)&gt;0,N(C1858)&gt;0),"Medium","Low")))</f>
        <v/>
      </c>
      <c r="E1858" s="22" t="n"/>
      <c r="F1858" s="22" t="n"/>
      <c r="G1858" s="22" t="n"/>
      <c r="H1858" s="22" t="n"/>
      <c r="I1858" s="22" t="n"/>
      <c r="J1858" s="22" t="n"/>
      <c r="K1858" s="22" t="n"/>
      <c r="L1858" s="22" t="n"/>
      <c r="M1858" s="22">
        <f>IF(K1858="Override",L1858,IF(K1858="Accept suggestion",F1858,IF(K1858="No change (same URL)",A1858,"")))</f>
        <v/>
      </c>
      <c r="N1858" s="22">
        <f>IF(A1858="","",IF(K1858="410 Gone","410",IF(K1858="404","404",IF(K1858="No change (same URL)","none",IF(M1858="","","301")))))</f>
        <v/>
      </c>
      <c r="O1858" s="22">
        <f>IF(A1858="","",IFERROR(MID(A1858,FIND("/",A1858,FIND("//",A1858)+2),2000),A1858))</f>
        <v/>
      </c>
      <c r="P1858" s="22">
        <f>IF(OR(O1858="",N1858="",N1858="none",N1858="404"),"",IF(N1858="410","Redirect gone "&amp;O1858,"Redirect "&amp;N1858&amp;" "&amp;O1858&amp;" "&amp;M1858))</f>
        <v/>
      </c>
      <c r="Q1858" s="22" t="n"/>
      <c r="R1858" s="22" t="n"/>
      <c r="S1858" s="22" t="n"/>
      <c r="T1858" s="4">
        <f>IF(A1858="","",TRIM(IF(K1858="","Needs decision; ","")&amp;IF(AND(K1858="Accept suggestion",F1858=""),"No suggestion to accept; ","")&amp;IF(AND(K1858="Override",L1858=""),"Override URL missing; ","")&amp;IF(AND(K1858="Accept suggestion",N(G1858)&lt;$G$2),"Below your threshold; ","")&amp;IF(AND(M1858&lt;&gt;"",M1858=A1858,K1858&lt;&gt;"No change (same URL)"),"Redirects to itself; ","")&amp;IF(AND(M1858&lt;&gt;"",OR(M1858="/",AND(LEFT(M1858,4)="http",OR((LEN(M1858)-LEN(SUBSTITUTE(M1858,"/","")))=2,AND((LEN(M1858)-LEN(SUBSTITUTE(M1858,"/","")))=3,RIGHT(M1858,1)="/"))))),"Home page redirect; ","")&amp;IF(N(R1858)&gt;1,"Chain; ","")&amp;IF(S1858="No","Destination not 200; ","")))</f>
        <v/>
      </c>
      <c r="U1858" s="22" t="n"/>
      <c r="V1858" s="22" t="n"/>
      <c r="W1858" s="4" t="n"/>
    </row>
    <row r="1859">
      <c r="A1859" s="22" t="n"/>
      <c r="B1859" s="22" t="n"/>
      <c r="C1859" s="22" t="n"/>
      <c r="D1859" s="22">
        <f>IF(A1859="","",IF(OR(N(B1859)&gt;=$C$2,N(C1859)&gt;=$E$2),"High",IF(OR(N(B1859)&gt;0,N(C1859)&gt;0),"Medium","Low")))</f>
        <v/>
      </c>
      <c r="E1859" s="22" t="n"/>
      <c r="F1859" s="22" t="n"/>
      <c r="G1859" s="22" t="n"/>
      <c r="H1859" s="22" t="n"/>
      <c r="I1859" s="22" t="n"/>
      <c r="J1859" s="22" t="n"/>
      <c r="K1859" s="22" t="n"/>
      <c r="L1859" s="22" t="n"/>
      <c r="M1859" s="22">
        <f>IF(K1859="Override",L1859,IF(K1859="Accept suggestion",F1859,IF(K1859="No change (same URL)",A1859,"")))</f>
        <v/>
      </c>
      <c r="N1859" s="22">
        <f>IF(A1859="","",IF(K1859="410 Gone","410",IF(K1859="404","404",IF(K1859="No change (same URL)","none",IF(M1859="","","301")))))</f>
        <v/>
      </c>
      <c r="O1859" s="22">
        <f>IF(A1859="","",IFERROR(MID(A1859,FIND("/",A1859,FIND("//",A1859)+2),2000),A1859))</f>
        <v/>
      </c>
      <c r="P1859" s="22">
        <f>IF(OR(O1859="",N1859="",N1859="none",N1859="404"),"",IF(N1859="410","Redirect gone "&amp;O1859,"Redirect "&amp;N1859&amp;" "&amp;O1859&amp;" "&amp;M1859))</f>
        <v/>
      </c>
      <c r="Q1859" s="22" t="n"/>
      <c r="R1859" s="22" t="n"/>
      <c r="S1859" s="22" t="n"/>
      <c r="T1859" s="4">
        <f>IF(A1859="","",TRIM(IF(K1859="","Needs decision; ","")&amp;IF(AND(K1859="Accept suggestion",F1859=""),"No suggestion to accept; ","")&amp;IF(AND(K1859="Override",L1859=""),"Override URL missing; ","")&amp;IF(AND(K1859="Accept suggestion",N(G1859)&lt;$G$2),"Below your threshold; ","")&amp;IF(AND(M1859&lt;&gt;"",M1859=A1859,K1859&lt;&gt;"No change (same URL)"),"Redirects to itself; ","")&amp;IF(AND(M1859&lt;&gt;"",OR(M1859="/",AND(LEFT(M1859,4)="http",OR((LEN(M1859)-LEN(SUBSTITUTE(M1859,"/","")))=2,AND((LEN(M1859)-LEN(SUBSTITUTE(M1859,"/","")))=3,RIGHT(M1859,1)="/"))))),"Home page redirect; ","")&amp;IF(N(R1859)&gt;1,"Chain; ","")&amp;IF(S1859="No","Destination not 200; ","")))</f>
        <v/>
      </c>
      <c r="U1859" s="22" t="n"/>
      <c r="V1859" s="22" t="n"/>
      <c r="W1859" s="4" t="n"/>
    </row>
    <row r="1860">
      <c r="A1860" s="22" t="n"/>
      <c r="B1860" s="22" t="n"/>
      <c r="C1860" s="22" t="n"/>
      <c r="D1860" s="22">
        <f>IF(A1860="","",IF(OR(N(B1860)&gt;=$C$2,N(C1860)&gt;=$E$2),"High",IF(OR(N(B1860)&gt;0,N(C1860)&gt;0),"Medium","Low")))</f>
        <v/>
      </c>
      <c r="E1860" s="22" t="n"/>
      <c r="F1860" s="22" t="n"/>
      <c r="G1860" s="22" t="n"/>
      <c r="H1860" s="22" t="n"/>
      <c r="I1860" s="22" t="n"/>
      <c r="J1860" s="22" t="n"/>
      <c r="K1860" s="22" t="n"/>
      <c r="L1860" s="22" t="n"/>
      <c r="M1860" s="22">
        <f>IF(K1860="Override",L1860,IF(K1860="Accept suggestion",F1860,IF(K1860="No change (same URL)",A1860,"")))</f>
        <v/>
      </c>
      <c r="N1860" s="22">
        <f>IF(A1860="","",IF(K1860="410 Gone","410",IF(K1860="404","404",IF(K1860="No change (same URL)","none",IF(M1860="","","301")))))</f>
        <v/>
      </c>
      <c r="O1860" s="22">
        <f>IF(A1860="","",IFERROR(MID(A1860,FIND("/",A1860,FIND("//",A1860)+2),2000),A1860))</f>
        <v/>
      </c>
      <c r="P1860" s="22">
        <f>IF(OR(O1860="",N1860="",N1860="none",N1860="404"),"",IF(N1860="410","Redirect gone "&amp;O1860,"Redirect "&amp;N1860&amp;" "&amp;O1860&amp;" "&amp;M1860))</f>
        <v/>
      </c>
      <c r="Q1860" s="22" t="n"/>
      <c r="R1860" s="22" t="n"/>
      <c r="S1860" s="22" t="n"/>
      <c r="T1860" s="4">
        <f>IF(A1860="","",TRIM(IF(K1860="","Needs decision; ","")&amp;IF(AND(K1860="Accept suggestion",F1860=""),"No suggestion to accept; ","")&amp;IF(AND(K1860="Override",L1860=""),"Override URL missing; ","")&amp;IF(AND(K1860="Accept suggestion",N(G1860)&lt;$G$2),"Below your threshold; ","")&amp;IF(AND(M1860&lt;&gt;"",M1860=A1860,K1860&lt;&gt;"No change (same URL)"),"Redirects to itself; ","")&amp;IF(AND(M1860&lt;&gt;"",OR(M1860="/",AND(LEFT(M1860,4)="http",OR((LEN(M1860)-LEN(SUBSTITUTE(M1860,"/","")))=2,AND((LEN(M1860)-LEN(SUBSTITUTE(M1860,"/","")))=3,RIGHT(M1860,1)="/"))))),"Home page redirect; ","")&amp;IF(N(R1860)&gt;1,"Chain; ","")&amp;IF(S1860="No","Destination not 200; ","")))</f>
        <v/>
      </c>
      <c r="U1860" s="22" t="n"/>
      <c r="V1860" s="22" t="n"/>
      <c r="W1860" s="4" t="n"/>
    </row>
    <row r="1861">
      <c r="A1861" s="22" t="n"/>
      <c r="B1861" s="22" t="n"/>
      <c r="C1861" s="22" t="n"/>
      <c r="D1861" s="22">
        <f>IF(A1861="","",IF(OR(N(B1861)&gt;=$C$2,N(C1861)&gt;=$E$2),"High",IF(OR(N(B1861)&gt;0,N(C1861)&gt;0),"Medium","Low")))</f>
        <v/>
      </c>
      <c r="E1861" s="22" t="n"/>
      <c r="F1861" s="22" t="n"/>
      <c r="G1861" s="22" t="n"/>
      <c r="H1861" s="22" t="n"/>
      <c r="I1861" s="22" t="n"/>
      <c r="J1861" s="22" t="n"/>
      <c r="K1861" s="22" t="n"/>
      <c r="L1861" s="22" t="n"/>
      <c r="M1861" s="22">
        <f>IF(K1861="Override",L1861,IF(K1861="Accept suggestion",F1861,IF(K1861="No change (same URL)",A1861,"")))</f>
        <v/>
      </c>
      <c r="N1861" s="22">
        <f>IF(A1861="","",IF(K1861="410 Gone","410",IF(K1861="404","404",IF(K1861="No change (same URL)","none",IF(M1861="","","301")))))</f>
        <v/>
      </c>
      <c r="O1861" s="22">
        <f>IF(A1861="","",IFERROR(MID(A1861,FIND("/",A1861,FIND("//",A1861)+2),2000),A1861))</f>
        <v/>
      </c>
      <c r="P1861" s="22">
        <f>IF(OR(O1861="",N1861="",N1861="none",N1861="404"),"",IF(N1861="410","Redirect gone "&amp;O1861,"Redirect "&amp;N1861&amp;" "&amp;O1861&amp;" "&amp;M1861))</f>
        <v/>
      </c>
      <c r="Q1861" s="22" t="n"/>
      <c r="R1861" s="22" t="n"/>
      <c r="S1861" s="22" t="n"/>
      <c r="T1861" s="4">
        <f>IF(A1861="","",TRIM(IF(K1861="","Needs decision; ","")&amp;IF(AND(K1861="Accept suggestion",F1861=""),"No suggestion to accept; ","")&amp;IF(AND(K1861="Override",L1861=""),"Override URL missing; ","")&amp;IF(AND(K1861="Accept suggestion",N(G1861)&lt;$G$2),"Below your threshold; ","")&amp;IF(AND(M1861&lt;&gt;"",M1861=A1861,K1861&lt;&gt;"No change (same URL)"),"Redirects to itself; ","")&amp;IF(AND(M1861&lt;&gt;"",OR(M1861="/",AND(LEFT(M1861,4)="http",OR((LEN(M1861)-LEN(SUBSTITUTE(M1861,"/","")))=2,AND((LEN(M1861)-LEN(SUBSTITUTE(M1861,"/","")))=3,RIGHT(M1861,1)="/"))))),"Home page redirect; ","")&amp;IF(N(R1861)&gt;1,"Chain; ","")&amp;IF(S1861="No","Destination not 200; ","")))</f>
        <v/>
      </c>
      <c r="U1861" s="22" t="n"/>
      <c r="V1861" s="22" t="n"/>
      <c r="W1861" s="4" t="n"/>
    </row>
    <row r="1862">
      <c r="A1862" s="22" t="n"/>
      <c r="B1862" s="22" t="n"/>
      <c r="C1862" s="22" t="n"/>
      <c r="D1862" s="22">
        <f>IF(A1862="","",IF(OR(N(B1862)&gt;=$C$2,N(C1862)&gt;=$E$2),"High",IF(OR(N(B1862)&gt;0,N(C1862)&gt;0),"Medium","Low")))</f>
        <v/>
      </c>
      <c r="E1862" s="22" t="n"/>
      <c r="F1862" s="22" t="n"/>
      <c r="G1862" s="22" t="n"/>
      <c r="H1862" s="22" t="n"/>
      <c r="I1862" s="22" t="n"/>
      <c r="J1862" s="22" t="n"/>
      <c r="K1862" s="22" t="n"/>
      <c r="L1862" s="22" t="n"/>
      <c r="M1862" s="22">
        <f>IF(K1862="Override",L1862,IF(K1862="Accept suggestion",F1862,IF(K1862="No change (same URL)",A1862,"")))</f>
        <v/>
      </c>
      <c r="N1862" s="22">
        <f>IF(A1862="","",IF(K1862="410 Gone","410",IF(K1862="404","404",IF(K1862="No change (same URL)","none",IF(M1862="","","301")))))</f>
        <v/>
      </c>
      <c r="O1862" s="22">
        <f>IF(A1862="","",IFERROR(MID(A1862,FIND("/",A1862,FIND("//",A1862)+2),2000),A1862))</f>
        <v/>
      </c>
      <c r="P1862" s="22">
        <f>IF(OR(O1862="",N1862="",N1862="none",N1862="404"),"",IF(N1862="410","Redirect gone "&amp;O1862,"Redirect "&amp;N1862&amp;" "&amp;O1862&amp;" "&amp;M1862))</f>
        <v/>
      </c>
      <c r="Q1862" s="22" t="n"/>
      <c r="R1862" s="22" t="n"/>
      <c r="S1862" s="22" t="n"/>
      <c r="T1862" s="4">
        <f>IF(A1862="","",TRIM(IF(K1862="","Needs decision; ","")&amp;IF(AND(K1862="Accept suggestion",F1862=""),"No suggestion to accept; ","")&amp;IF(AND(K1862="Override",L1862=""),"Override URL missing; ","")&amp;IF(AND(K1862="Accept suggestion",N(G1862)&lt;$G$2),"Below your threshold; ","")&amp;IF(AND(M1862&lt;&gt;"",M1862=A1862,K1862&lt;&gt;"No change (same URL)"),"Redirects to itself; ","")&amp;IF(AND(M1862&lt;&gt;"",OR(M1862="/",AND(LEFT(M1862,4)="http",OR((LEN(M1862)-LEN(SUBSTITUTE(M1862,"/","")))=2,AND((LEN(M1862)-LEN(SUBSTITUTE(M1862,"/","")))=3,RIGHT(M1862,1)="/"))))),"Home page redirect; ","")&amp;IF(N(R1862)&gt;1,"Chain; ","")&amp;IF(S1862="No","Destination not 200; ","")))</f>
        <v/>
      </c>
      <c r="U1862" s="22" t="n"/>
      <c r="V1862" s="22" t="n"/>
      <c r="W1862" s="4" t="n"/>
    </row>
    <row r="1863">
      <c r="A1863" s="22" t="n"/>
      <c r="B1863" s="22" t="n"/>
      <c r="C1863" s="22" t="n"/>
      <c r="D1863" s="22">
        <f>IF(A1863="","",IF(OR(N(B1863)&gt;=$C$2,N(C1863)&gt;=$E$2),"High",IF(OR(N(B1863)&gt;0,N(C1863)&gt;0),"Medium","Low")))</f>
        <v/>
      </c>
      <c r="E1863" s="22" t="n"/>
      <c r="F1863" s="22" t="n"/>
      <c r="G1863" s="22" t="n"/>
      <c r="H1863" s="22" t="n"/>
      <c r="I1863" s="22" t="n"/>
      <c r="J1863" s="22" t="n"/>
      <c r="K1863" s="22" t="n"/>
      <c r="L1863" s="22" t="n"/>
      <c r="M1863" s="22">
        <f>IF(K1863="Override",L1863,IF(K1863="Accept suggestion",F1863,IF(K1863="No change (same URL)",A1863,"")))</f>
        <v/>
      </c>
      <c r="N1863" s="22">
        <f>IF(A1863="","",IF(K1863="410 Gone","410",IF(K1863="404","404",IF(K1863="No change (same URL)","none",IF(M1863="","","301")))))</f>
        <v/>
      </c>
      <c r="O1863" s="22">
        <f>IF(A1863="","",IFERROR(MID(A1863,FIND("/",A1863,FIND("//",A1863)+2),2000),A1863))</f>
        <v/>
      </c>
      <c r="P1863" s="22">
        <f>IF(OR(O1863="",N1863="",N1863="none",N1863="404"),"",IF(N1863="410","Redirect gone "&amp;O1863,"Redirect "&amp;N1863&amp;" "&amp;O1863&amp;" "&amp;M1863))</f>
        <v/>
      </c>
      <c r="Q1863" s="22" t="n"/>
      <c r="R1863" s="22" t="n"/>
      <c r="S1863" s="22" t="n"/>
      <c r="T1863" s="4">
        <f>IF(A1863="","",TRIM(IF(K1863="","Needs decision; ","")&amp;IF(AND(K1863="Accept suggestion",F1863=""),"No suggestion to accept; ","")&amp;IF(AND(K1863="Override",L1863=""),"Override URL missing; ","")&amp;IF(AND(K1863="Accept suggestion",N(G1863)&lt;$G$2),"Below your threshold; ","")&amp;IF(AND(M1863&lt;&gt;"",M1863=A1863,K1863&lt;&gt;"No change (same URL)"),"Redirects to itself; ","")&amp;IF(AND(M1863&lt;&gt;"",OR(M1863="/",AND(LEFT(M1863,4)="http",OR((LEN(M1863)-LEN(SUBSTITUTE(M1863,"/","")))=2,AND((LEN(M1863)-LEN(SUBSTITUTE(M1863,"/","")))=3,RIGHT(M1863,1)="/"))))),"Home page redirect; ","")&amp;IF(N(R1863)&gt;1,"Chain; ","")&amp;IF(S1863="No","Destination not 200; ","")))</f>
        <v/>
      </c>
      <c r="U1863" s="22" t="n"/>
      <c r="V1863" s="22" t="n"/>
      <c r="W1863" s="4" t="n"/>
    </row>
    <row r="1864">
      <c r="A1864" s="22" t="n"/>
      <c r="B1864" s="22" t="n"/>
      <c r="C1864" s="22" t="n"/>
      <c r="D1864" s="22">
        <f>IF(A1864="","",IF(OR(N(B1864)&gt;=$C$2,N(C1864)&gt;=$E$2),"High",IF(OR(N(B1864)&gt;0,N(C1864)&gt;0),"Medium","Low")))</f>
        <v/>
      </c>
      <c r="E1864" s="22" t="n"/>
      <c r="F1864" s="22" t="n"/>
      <c r="G1864" s="22" t="n"/>
      <c r="H1864" s="22" t="n"/>
      <c r="I1864" s="22" t="n"/>
      <c r="J1864" s="22" t="n"/>
      <c r="K1864" s="22" t="n"/>
      <c r="L1864" s="22" t="n"/>
      <c r="M1864" s="22">
        <f>IF(K1864="Override",L1864,IF(K1864="Accept suggestion",F1864,IF(K1864="No change (same URL)",A1864,"")))</f>
        <v/>
      </c>
      <c r="N1864" s="22">
        <f>IF(A1864="","",IF(K1864="410 Gone","410",IF(K1864="404","404",IF(K1864="No change (same URL)","none",IF(M1864="","","301")))))</f>
        <v/>
      </c>
      <c r="O1864" s="22">
        <f>IF(A1864="","",IFERROR(MID(A1864,FIND("/",A1864,FIND("//",A1864)+2),2000),A1864))</f>
        <v/>
      </c>
      <c r="P1864" s="22">
        <f>IF(OR(O1864="",N1864="",N1864="none",N1864="404"),"",IF(N1864="410","Redirect gone "&amp;O1864,"Redirect "&amp;N1864&amp;" "&amp;O1864&amp;" "&amp;M1864))</f>
        <v/>
      </c>
      <c r="Q1864" s="22" t="n"/>
      <c r="R1864" s="22" t="n"/>
      <c r="S1864" s="22" t="n"/>
      <c r="T1864" s="4">
        <f>IF(A1864="","",TRIM(IF(K1864="","Needs decision; ","")&amp;IF(AND(K1864="Accept suggestion",F1864=""),"No suggestion to accept; ","")&amp;IF(AND(K1864="Override",L1864=""),"Override URL missing; ","")&amp;IF(AND(K1864="Accept suggestion",N(G1864)&lt;$G$2),"Below your threshold; ","")&amp;IF(AND(M1864&lt;&gt;"",M1864=A1864,K1864&lt;&gt;"No change (same URL)"),"Redirects to itself; ","")&amp;IF(AND(M1864&lt;&gt;"",OR(M1864="/",AND(LEFT(M1864,4)="http",OR((LEN(M1864)-LEN(SUBSTITUTE(M1864,"/","")))=2,AND((LEN(M1864)-LEN(SUBSTITUTE(M1864,"/","")))=3,RIGHT(M1864,1)="/"))))),"Home page redirect; ","")&amp;IF(N(R1864)&gt;1,"Chain; ","")&amp;IF(S1864="No","Destination not 200; ","")))</f>
        <v/>
      </c>
      <c r="U1864" s="22" t="n"/>
      <c r="V1864" s="22" t="n"/>
      <c r="W1864" s="4" t="n"/>
    </row>
    <row r="1865">
      <c r="A1865" s="22" t="n"/>
      <c r="B1865" s="22" t="n"/>
      <c r="C1865" s="22" t="n"/>
      <c r="D1865" s="22">
        <f>IF(A1865="","",IF(OR(N(B1865)&gt;=$C$2,N(C1865)&gt;=$E$2),"High",IF(OR(N(B1865)&gt;0,N(C1865)&gt;0),"Medium","Low")))</f>
        <v/>
      </c>
      <c r="E1865" s="22" t="n"/>
      <c r="F1865" s="22" t="n"/>
      <c r="G1865" s="22" t="n"/>
      <c r="H1865" s="22" t="n"/>
      <c r="I1865" s="22" t="n"/>
      <c r="J1865" s="22" t="n"/>
      <c r="K1865" s="22" t="n"/>
      <c r="L1865" s="22" t="n"/>
      <c r="M1865" s="22">
        <f>IF(K1865="Override",L1865,IF(K1865="Accept suggestion",F1865,IF(K1865="No change (same URL)",A1865,"")))</f>
        <v/>
      </c>
      <c r="N1865" s="22">
        <f>IF(A1865="","",IF(K1865="410 Gone","410",IF(K1865="404","404",IF(K1865="No change (same URL)","none",IF(M1865="","","301")))))</f>
        <v/>
      </c>
      <c r="O1865" s="22">
        <f>IF(A1865="","",IFERROR(MID(A1865,FIND("/",A1865,FIND("//",A1865)+2),2000),A1865))</f>
        <v/>
      </c>
      <c r="P1865" s="22">
        <f>IF(OR(O1865="",N1865="",N1865="none",N1865="404"),"",IF(N1865="410","Redirect gone "&amp;O1865,"Redirect "&amp;N1865&amp;" "&amp;O1865&amp;" "&amp;M1865))</f>
        <v/>
      </c>
      <c r="Q1865" s="22" t="n"/>
      <c r="R1865" s="22" t="n"/>
      <c r="S1865" s="22" t="n"/>
      <c r="T1865" s="4">
        <f>IF(A1865="","",TRIM(IF(K1865="","Needs decision; ","")&amp;IF(AND(K1865="Accept suggestion",F1865=""),"No suggestion to accept; ","")&amp;IF(AND(K1865="Override",L1865=""),"Override URL missing; ","")&amp;IF(AND(K1865="Accept suggestion",N(G1865)&lt;$G$2),"Below your threshold; ","")&amp;IF(AND(M1865&lt;&gt;"",M1865=A1865,K1865&lt;&gt;"No change (same URL)"),"Redirects to itself; ","")&amp;IF(AND(M1865&lt;&gt;"",OR(M1865="/",AND(LEFT(M1865,4)="http",OR((LEN(M1865)-LEN(SUBSTITUTE(M1865,"/","")))=2,AND((LEN(M1865)-LEN(SUBSTITUTE(M1865,"/","")))=3,RIGHT(M1865,1)="/"))))),"Home page redirect; ","")&amp;IF(N(R1865)&gt;1,"Chain; ","")&amp;IF(S1865="No","Destination not 200; ","")))</f>
        <v/>
      </c>
      <c r="U1865" s="22" t="n"/>
      <c r="V1865" s="22" t="n"/>
      <c r="W1865" s="4" t="n"/>
    </row>
    <row r="1866">
      <c r="A1866" s="22" t="n"/>
      <c r="B1866" s="22" t="n"/>
      <c r="C1866" s="22" t="n"/>
      <c r="D1866" s="22">
        <f>IF(A1866="","",IF(OR(N(B1866)&gt;=$C$2,N(C1866)&gt;=$E$2),"High",IF(OR(N(B1866)&gt;0,N(C1866)&gt;0),"Medium","Low")))</f>
        <v/>
      </c>
      <c r="E1866" s="22" t="n"/>
      <c r="F1866" s="22" t="n"/>
      <c r="G1866" s="22" t="n"/>
      <c r="H1866" s="22" t="n"/>
      <c r="I1866" s="22" t="n"/>
      <c r="J1866" s="22" t="n"/>
      <c r="K1866" s="22" t="n"/>
      <c r="L1866" s="22" t="n"/>
      <c r="M1866" s="22">
        <f>IF(K1866="Override",L1866,IF(K1866="Accept suggestion",F1866,IF(K1866="No change (same URL)",A1866,"")))</f>
        <v/>
      </c>
      <c r="N1866" s="22">
        <f>IF(A1866="","",IF(K1866="410 Gone","410",IF(K1866="404","404",IF(K1866="No change (same URL)","none",IF(M1866="","","301")))))</f>
        <v/>
      </c>
      <c r="O1866" s="22">
        <f>IF(A1866="","",IFERROR(MID(A1866,FIND("/",A1866,FIND("//",A1866)+2),2000),A1866))</f>
        <v/>
      </c>
      <c r="P1866" s="22">
        <f>IF(OR(O1866="",N1866="",N1866="none",N1866="404"),"",IF(N1866="410","Redirect gone "&amp;O1866,"Redirect "&amp;N1866&amp;" "&amp;O1866&amp;" "&amp;M1866))</f>
        <v/>
      </c>
      <c r="Q1866" s="22" t="n"/>
      <c r="R1866" s="22" t="n"/>
      <c r="S1866" s="22" t="n"/>
      <c r="T1866" s="4">
        <f>IF(A1866="","",TRIM(IF(K1866="","Needs decision; ","")&amp;IF(AND(K1866="Accept suggestion",F1866=""),"No suggestion to accept; ","")&amp;IF(AND(K1866="Override",L1866=""),"Override URL missing; ","")&amp;IF(AND(K1866="Accept suggestion",N(G1866)&lt;$G$2),"Below your threshold; ","")&amp;IF(AND(M1866&lt;&gt;"",M1866=A1866,K1866&lt;&gt;"No change (same URL)"),"Redirects to itself; ","")&amp;IF(AND(M1866&lt;&gt;"",OR(M1866="/",AND(LEFT(M1866,4)="http",OR((LEN(M1866)-LEN(SUBSTITUTE(M1866,"/","")))=2,AND((LEN(M1866)-LEN(SUBSTITUTE(M1866,"/","")))=3,RIGHT(M1866,1)="/"))))),"Home page redirect; ","")&amp;IF(N(R1866)&gt;1,"Chain; ","")&amp;IF(S1866="No","Destination not 200; ","")))</f>
        <v/>
      </c>
      <c r="U1866" s="22" t="n"/>
      <c r="V1866" s="22" t="n"/>
      <c r="W1866" s="4" t="n"/>
    </row>
    <row r="1867">
      <c r="A1867" s="22" t="n"/>
      <c r="B1867" s="22" t="n"/>
      <c r="C1867" s="22" t="n"/>
      <c r="D1867" s="22">
        <f>IF(A1867="","",IF(OR(N(B1867)&gt;=$C$2,N(C1867)&gt;=$E$2),"High",IF(OR(N(B1867)&gt;0,N(C1867)&gt;0),"Medium","Low")))</f>
        <v/>
      </c>
      <c r="E1867" s="22" t="n"/>
      <c r="F1867" s="22" t="n"/>
      <c r="G1867" s="22" t="n"/>
      <c r="H1867" s="22" t="n"/>
      <c r="I1867" s="22" t="n"/>
      <c r="J1867" s="22" t="n"/>
      <c r="K1867" s="22" t="n"/>
      <c r="L1867" s="22" t="n"/>
      <c r="M1867" s="22">
        <f>IF(K1867="Override",L1867,IF(K1867="Accept suggestion",F1867,IF(K1867="No change (same URL)",A1867,"")))</f>
        <v/>
      </c>
      <c r="N1867" s="22">
        <f>IF(A1867="","",IF(K1867="410 Gone","410",IF(K1867="404","404",IF(K1867="No change (same URL)","none",IF(M1867="","","301")))))</f>
        <v/>
      </c>
      <c r="O1867" s="22">
        <f>IF(A1867="","",IFERROR(MID(A1867,FIND("/",A1867,FIND("//",A1867)+2),2000),A1867))</f>
        <v/>
      </c>
      <c r="P1867" s="22">
        <f>IF(OR(O1867="",N1867="",N1867="none",N1867="404"),"",IF(N1867="410","Redirect gone "&amp;O1867,"Redirect "&amp;N1867&amp;" "&amp;O1867&amp;" "&amp;M1867))</f>
        <v/>
      </c>
      <c r="Q1867" s="22" t="n"/>
      <c r="R1867" s="22" t="n"/>
      <c r="S1867" s="22" t="n"/>
      <c r="T1867" s="4">
        <f>IF(A1867="","",TRIM(IF(K1867="","Needs decision; ","")&amp;IF(AND(K1867="Accept suggestion",F1867=""),"No suggestion to accept; ","")&amp;IF(AND(K1867="Override",L1867=""),"Override URL missing; ","")&amp;IF(AND(K1867="Accept suggestion",N(G1867)&lt;$G$2),"Below your threshold; ","")&amp;IF(AND(M1867&lt;&gt;"",M1867=A1867,K1867&lt;&gt;"No change (same URL)"),"Redirects to itself; ","")&amp;IF(AND(M1867&lt;&gt;"",OR(M1867="/",AND(LEFT(M1867,4)="http",OR((LEN(M1867)-LEN(SUBSTITUTE(M1867,"/","")))=2,AND((LEN(M1867)-LEN(SUBSTITUTE(M1867,"/","")))=3,RIGHT(M1867,1)="/"))))),"Home page redirect; ","")&amp;IF(N(R1867)&gt;1,"Chain; ","")&amp;IF(S1867="No","Destination not 200; ","")))</f>
        <v/>
      </c>
      <c r="U1867" s="22" t="n"/>
      <c r="V1867" s="22" t="n"/>
      <c r="W1867" s="4" t="n"/>
    </row>
    <row r="1868">
      <c r="A1868" s="22" t="n"/>
      <c r="B1868" s="22" t="n"/>
      <c r="C1868" s="22" t="n"/>
      <c r="D1868" s="22">
        <f>IF(A1868="","",IF(OR(N(B1868)&gt;=$C$2,N(C1868)&gt;=$E$2),"High",IF(OR(N(B1868)&gt;0,N(C1868)&gt;0),"Medium","Low")))</f>
        <v/>
      </c>
      <c r="E1868" s="22" t="n"/>
      <c r="F1868" s="22" t="n"/>
      <c r="G1868" s="22" t="n"/>
      <c r="H1868" s="22" t="n"/>
      <c r="I1868" s="22" t="n"/>
      <c r="J1868" s="22" t="n"/>
      <c r="K1868" s="22" t="n"/>
      <c r="L1868" s="22" t="n"/>
      <c r="M1868" s="22">
        <f>IF(K1868="Override",L1868,IF(K1868="Accept suggestion",F1868,IF(K1868="No change (same URL)",A1868,"")))</f>
        <v/>
      </c>
      <c r="N1868" s="22">
        <f>IF(A1868="","",IF(K1868="410 Gone","410",IF(K1868="404","404",IF(K1868="No change (same URL)","none",IF(M1868="","","301")))))</f>
        <v/>
      </c>
      <c r="O1868" s="22">
        <f>IF(A1868="","",IFERROR(MID(A1868,FIND("/",A1868,FIND("//",A1868)+2),2000),A1868))</f>
        <v/>
      </c>
      <c r="P1868" s="22">
        <f>IF(OR(O1868="",N1868="",N1868="none",N1868="404"),"",IF(N1868="410","Redirect gone "&amp;O1868,"Redirect "&amp;N1868&amp;" "&amp;O1868&amp;" "&amp;M1868))</f>
        <v/>
      </c>
      <c r="Q1868" s="22" t="n"/>
      <c r="R1868" s="22" t="n"/>
      <c r="S1868" s="22" t="n"/>
      <c r="T1868" s="4">
        <f>IF(A1868="","",TRIM(IF(K1868="","Needs decision; ","")&amp;IF(AND(K1868="Accept suggestion",F1868=""),"No suggestion to accept; ","")&amp;IF(AND(K1868="Override",L1868=""),"Override URL missing; ","")&amp;IF(AND(K1868="Accept suggestion",N(G1868)&lt;$G$2),"Below your threshold; ","")&amp;IF(AND(M1868&lt;&gt;"",M1868=A1868,K1868&lt;&gt;"No change (same URL)"),"Redirects to itself; ","")&amp;IF(AND(M1868&lt;&gt;"",OR(M1868="/",AND(LEFT(M1868,4)="http",OR((LEN(M1868)-LEN(SUBSTITUTE(M1868,"/","")))=2,AND((LEN(M1868)-LEN(SUBSTITUTE(M1868,"/","")))=3,RIGHT(M1868,1)="/"))))),"Home page redirect; ","")&amp;IF(N(R1868)&gt;1,"Chain; ","")&amp;IF(S1868="No","Destination not 200; ","")))</f>
        <v/>
      </c>
      <c r="U1868" s="22" t="n"/>
      <c r="V1868" s="22" t="n"/>
      <c r="W1868" s="4" t="n"/>
    </row>
    <row r="1869">
      <c r="A1869" s="22" t="n"/>
      <c r="B1869" s="22" t="n"/>
      <c r="C1869" s="22" t="n"/>
      <c r="D1869" s="22">
        <f>IF(A1869="","",IF(OR(N(B1869)&gt;=$C$2,N(C1869)&gt;=$E$2),"High",IF(OR(N(B1869)&gt;0,N(C1869)&gt;0),"Medium","Low")))</f>
        <v/>
      </c>
      <c r="E1869" s="22" t="n"/>
      <c r="F1869" s="22" t="n"/>
      <c r="G1869" s="22" t="n"/>
      <c r="H1869" s="22" t="n"/>
      <c r="I1869" s="22" t="n"/>
      <c r="J1869" s="22" t="n"/>
      <c r="K1869" s="22" t="n"/>
      <c r="L1869" s="22" t="n"/>
      <c r="M1869" s="22">
        <f>IF(K1869="Override",L1869,IF(K1869="Accept suggestion",F1869,IF(K1869="No change (same URL)",A1869,"")))</f>
        <v/>
      </c>
      <c r="N1869" s="22">
        <f>IF(A1869="","",IF(K1869="410 Gone","410",IF(K1869="404","404",IF(K1869="No change (same URL)","none",IF(M1869="","","301")))))</f>
        <v/>
      </c>
      <c r="O1869" s="22">
        <f>IF(A1869="","",IFERROR(MID(A1869,FIND("/",A1869,FIND("//",A1869)+2),2000),A1869))</f>
        <v/>
      </c>
      <c r="P1869" s="22">
        <f>IF(OR(O1869="",N1869="",N1869="none",N1869="404"),"",IF(N1869="410","Redirect gone "&amp;O1869,"Redirect "&amp;N1869&amp;" "&amp;O1869&amp;" "&amp;M1869))</f>
        <v/>
      </c>
      <c r="Q1869" s="22" t="n"/>
      <c r="R1869" s="22" t="n"/>
      <c r="S1869" s="22" t="n"/>
      <c r="T1869" s="4">
        <f>IF(A1869="","",TRIM(IF(K1869="","Needs decision; ","")&amp;IF(AND(K1869="Accept suggestion",F1869=""),"No suggestion to accept; ","")&amp;IF(AND(K1869="Override",L1869=""),"Override URL missing; ","")&amp;IF(AND(K1869="Accept suggestion",N(G1869)&lt;$G$2),"Below your threshold; ","")&amp;IF(AND(M1869&lt;&gt;"",M1869=A1869,K1869&lt;&gt;"No change (same URL)"),"Redirects to itself; ","")&amp;IF(AND(M1869&lt;&gt;"",OR(M1869="/",AND(LEFT(M1869,4)="http",OR((LEN(M1869)-LEN(SUBSTITUTE(M1869,"/","")))=2,AND((LEN(M1869)-LEN(SUBSTITUTE(M1869,"/","")))=3,RIGHT(M1869,1)="/"))))),"Home page redirect; ","")&amp;IF(N(R1869)&gt;1,"Chain; ","")&amp;IF(S1869="No","Destination not 200; ","")))</f>
        <v/>
      </c>
      <c r="U1869" s="22" t="n"/>
      <c r="V1869" s="22" t="n"/>
      <c r="W1869" s="4" t="n"/>
    </row>
    <row r="1870">
      <c r="A1870" s="22" t="n"/>
      <c r="B1870" s="22" t="n"/>
      <c r="C1870" s="22" t="n"/>
      <c r="D1870" s="22">
        <f>IF(A1870="","",IF(OR(N(B1870)&gt;=$C$2,N(C1870)&gt;=$E$2),"High",IF(OR(N(B1870)&gt;0,N(C1870)&gt;0),"Medium","Low")))</f>
        <v/>
      </c>
      <c r="E1870" s="22" t="n"/>
      <c r="F1870" s="22" t="n"/>
      <c r="G1870" s="22" t="n"/>
      <c r="H1870" s="22" t="n"/>
      <c r="I1870" s="22" t="n"/>
      <c r="J1870" s="22" t="n"/>
      <c r="K1870" s="22" t="n"/>
      <c r="L1870" s="22" t="n"/>
      <c r="M1870" s="22">
        <f>IF(K1870="Override",L1870,IF(K1870="Accept suggestion",F1870,IF(K1870="No change (same URL)",A1870,"")))</f>
        <v/>
      </c>
      <c r="N1870" s="22">
        <f>IF(A1870="","",IF(K1870="410 Gone","410",IF(K1870="404","404",IF(K1870="No change (same URL)","none",IF(M1870="","","301")))))</f>
        <v/>
      </c>
      <c r="O1870" s="22">
        <f>IF(A1870="","",IFERROR(MID(A1870,FIND("/",A1870,FIND("//",A1870)+2),2000),A1870))</f>
        <v/>
      </c>
      <c r="P1870" s="22">
        <f>IF(OR(O1870="",N1870="",N1870="none",N1870="404"),"",IF(N1870="410","Redirect gone "&amp;O1870,"Redirect "&amp;N1870&amp;" "&amp;O1870&amp;" "&amp;M1870))</f>
        <v/>
      </c>
      <c r="Q1870" s="22" t="n"/>
      <c r="R1870" s="22" t="n"/>
      <c r="S1870" s="22" t="n"/>
      <c r="T1870" s="4">
        <f>IF(A1870="","",TRIM(IF(K1870="","Needs decision; ","")&amp;IF(AND(K1870="Accept suggestion",F1870=""),"No suggestion to accept; ","")&amp;IF(AND(K1870="Override",L1870=""),"Override URL missing; ","")&amp;IF(AND(K1870="Accept suggestion",N(G1870)&lt;$G$2),"Below your threshold; ","")&amp;IF(AND(M1870&lt;&gt;"",M1870=A1870,K1870&lt;&gt;"No change (same URL)"),"Redirects to itself; ","")&amp;IF(AND(M1870&lt;&gt;"",OR(M1870="/",AND(LEFT(M1870,4)="http",OR((LEN(M1870)-LEN(SUBSTITUTE(M1870,"/","")))=2,AND((LEN(M1870)-LEN(SUBSTITUTE(M1870,"/","")))=3,RIGHT(M1870,1)="/"))))),"Home page redirect; ","")&amp;IF(N(R1870)&gt;1,"Chain; ","")&amp;IF(S1870="No","Destination not 200; ","")))</f>
        <v/>
      </c>
      <c r="U1870" s="22" t="n"/>
      <c r="V1870" s="22" t="n"/>
      <c r="W1870" s="4" t="n"/>
    </row>
    <row r="1871">
      <c r="A1871" s="22" t="n"/>
      <c r="B1871" s="22" t="n"/>
      <c r="C1871" s="22" t="n"/>
      <c r="D1871" s="22">
        <f>IF(A1871="","",IF(OR(N(B1871)&gt;=$C$2,N(C1871)&gt;=$E$2),"High",IF(OR(N(B1871)&gt;0,N(C1871)&gt;0),"Medium","Low")))</f>
        <v/>
      </c>
      <c r="E1871" s="22" t="n"/>
      <c r="F1871" s="22" t="n"/>
      <c r="G1871" s="22" t="n"/>
      <c r="H1871" s="22" t="n"/>
      <c r="I1871" s="22" t="n"/>
      <c r="J1871" s="22" t="n"/>
      <c r="K1871" s="22" t="n"/>
      <c r="L1871" s="22" t="n"/>
      <c r="M1871" s="22">
        <f>IF(K1871="Override",L1871,IF(K1871="Accept suggestion",F1871,IF(K1871="No change (same URL)",A1871,"")))</f>
        <v/>
      </c>
      <c r="N1871" s="22">
        <f>IF(A1871="","",IF(K1871="410 Gone","410",IF(K1871="404","404",IF(K1871="No change (same URL)","none",IF(M1871="","","301")))))</f>
        <v/>
      </c>
      <c r="O1871" s="22">
        <f>IF(A1871="","",IFERROR(MID(A1871,FIND("/",A1871,FIND("//",A1871)+2),2000),A1871))</f>
        <v/>
      </c>
      <c r="P1871" s="22">
        <f>IF(OR(O1871="",N1871="",N1871="none",N1871="404"),"",IF(N1871="410","Redirect gone "&amp;O1871,"Redirect "&amp;N1871&amp;" "&amp;O1871&amp;" "&amp;M1871))</f>
        <v/>
      </c>
      <c r="Q1871" s="22" t="n"/>
      <c r="R1871" s="22" t="n"/>
      <c r="S1871" s="22" t="n"/>
      <c r="T1871" s="4">
        <f>IF(A1871="","",TRIM(IF(K1871="","Needs decision; ","")&amp;IF(AND(K1871="Accept suggestion",F1871=""),"No suggestion to accept; ","")&amp;IF(AND(K1871="Override",L1871=""),"Override URL missing; ","")&amp;IF(AND(K1871="Accept suggestion",N(G1871)&lt;$G$2),"Below your threshold; ","")&amp;IF(AND(M1871&lt;&gt;"",M1871=A1871,K1871&lt;&gt;"No change (same URL)"),"Redirects to itself; ","")&amp;IF(AND(M1871&lt;&gt;"",OR(M1871="/",AND(LEFT(M1871,4)="http",OR((LEN(M1871)-LEN(SUBSTITUTE(M1871,"/","")))=2,AND((LEN(M1871)-LEN(SUBSTITUTE(M1871,"/","")))=3,RIGHT(M1871,1)="/"))))),"Home page redirect; ","")&amp;IF(N(R1871)&gt;1,"Chain; ","")&amp;IF(S1871="No","Destination not 200; ","")))</f>
        <v/>
      </c>
      <c r="U1871" s="22" t="n"/>
      <c r="V1871" s="22" t="n"/>
      <c r="W1871" s="4" t="n"/>
    </row>
    <row r="1872">
      <c r="A1872" s="22" t="n"/>
      <c r="B1872" s="22" t="n"/>
      <c r="C1872" s="22" t="n"/>
      <c r="D1872" s="22">
        <f>IF(A1872="","",IF(OR(N(B1872)&gt;=$C$2,N(C1872)&gt;=$E$2),"High",IF(OR(N(B1872)&gt;0,N(C1872)&gt;0),"Medium","Low")))</f>
        <v/>
      </c>
      <c r="E1872" s="22" t="n"/>
      <c r="F1872" s="22" t="n"/>
      <c r="G1872" s="22" t="n"/>
      <c r="H1872" s="22" t="n"/>
      <c r="I1872" s="22" t="n"/>
      <c r="J1872" s="22" t="n"/>
      <c r="K1872" s="22" t="n"/>
      <c r="L1872" s="22" t="n"/>
      <c r="M1872" s="22">
        <f>IF(K1872="Override",L1872,IF(K1872="Accept suggestion",F1872,IF(K1872="No change (same URL)",A1872,"")))</f>
        <v/>
      </c>
      <c r="N1872" s="22">
        <f>IF(A1872="","",IF(K1872="410 Gone","410",IF(K1872="404","404",IF(K1872="No change (same URL)","none",IF(M1872="","","301")))))</f>
        <v/>
      </c>
      <c r="O1872" s="22">
        <f>IF(A1872="","",IFERROR(MID(A1872,FIND("/",A1872,FIND("//",A1872)+2),2000),A1872))</f>
        <v/>
      </c>
      <c r="P1872" s="22">
        <f>IF(OR(O1872="",N1872="",N1872="none",N1872="404"),"",IF(N1872="410","Redirect gone "&amp;O1872,"Redirect "&amp;N1872&amp;" "&amp;O1872&amp;" "&amp;M1872))</f>
        <v/>
      </c>
      <c r="Q1872" s="22" t="n"/>
      <c r="R1872" s="22" t="n"/>
      <c r="S1872" s="22" t="n"/>
      <c r="T1872" s="4">
        <f>IF(A1872="","",TRIM(IF(K1872="","Needs decision; ","")&amp;IF(AND(K1872="Accept suggestion",F1872=""),"No suggestion to accept; ","")&amp;IF(AND(K1872="Override",L1872=""),"Override URL missing; ","")&amp;IF(AND(K1872="Accept suggestion",N(G1872)&lt;$G$2),"Below your threshold; ","")&amp;IF(AND(M1872&lt;&gt;"",M1872=A1872,K1872&lt;&gt;"No change (same URL)"),"Redirects to itself; ","")&amp;IF(AND(M1872&lt;&gt;"",OR(M1872="/",AND(LEFT(M1872,4)="http",OR((LEN(M1872)-LEN(SUBSTITUTE(M1872,"/","")))=2,AND((LEN(M1872)-LEN(SUBSTITUTE(M1872,"/","")))=3,RIGHT(M1872,1)="/"))))),"Home page redirect; ","")&amp;IF(N(R1872)&gt;1,"Chain; ","")&amp;IF(S1872="No","Destination not 200; ","")))</f>
        <v/>
      </c>
      <c r="U1872" s="22" t="n"/>
      <c r="V1872" s="22" t="n"/>
      <c r="W1872" s="4" t="n"/>
    </row>
    <row r="1873">
      <c r="A1873" s="22" t="n"/>
      <c r="B1873" s="22" t="n"/>
      <c r="C1873" s="22" t="n"/>
      <c r="D1873" s="22">
        <f>IF(A1873="","",IF(OR(N(B1873)&gt;=$C$2,N(C1873)&gt;=$E$2),"High",IF(OR(N(B1873)&gt;0,N(C1873)&gt;0),"Medium","Low")))</f>
        <v/>
      </c>
      <c r="E1873" s="22" t="n"/>
      <c r="F1873" s="22" t="n"/>
      <c r="G1873" s="22" t="n"/>
      <c r="H1873" s="22" t="n"/>
      <c r="I1873" s="22" t="n"/>
      <c r="J1873" s="22" t="n"/>
      <c r="K1873" s="22" t="n"/>
      <c r="L1873" s="22" t="n"/>
      <c r="M1873" s="22">
        <f>IF(K1873="Override",L1873,IF(K1873="Accept suggestion",F1873,IF(K1873="No change (same URL)",A1873,"")))</f>
        <v/>
      </c>
      <c r="N1873" s="22">
        <f>IF(A1873="","",IF(K1873="410 Gone","410",IF(K1873="404","404",IF(K1873="No change (same URL)","none",IF(M1873="","","301")))))</f>
        <v/>
      </c>
      <c r="O1873" s="22">
        <f>IF(A1873="","",IFERROR(MID(A1873,FIND("/",A1873,FIND("//",A1873)+2),2000),A1873))</f>
        <v/>
      </c>
      <c r="P1873" s="22">
        <f>IF(OR(O1873="",N1873="",N1873="none",N1873="404"),"",IF(N1873="410","Redirect gone "&amp;O1873,"Redirect "&amp;N1873&amp;" "&amp;O1873&amp;" "&amp;M1873))</f>
        <v/>
      </c>
      <c r="Q1873" s="22" t="n"/>
      <c r="R1873" s="22" t="n"/>
      <c r="S1873" s="22" t="n"/>
      <c r="T1873" s="4">
        <f>IF(A1873="","",TRIM(IF(K1873="","Needs decision; ","")&amp;IF(AND(K1873="Accept suggestion",F1873=""),"No suggestion to accept; ","")&amp;IF(AND(K1873="Override",L1873=""),"Override URL missing; ","")&amp;IF(AND(K1873="Accept suggestion",N(G1873)&lt;$G$2),"Below your threshold; ","")&amp;IF(AND(M1873&lt;&gt;"",M1873=A1873,K1873&lt;&gt;"No change (same URL)"),"Redirects to itself; ","")&amp;IF(AND(M1873&lt;&gt;"",OR(M1873="/",AND(LEFT(M1873,4)="http",OR((LEN(M1873)-LEN(SUBSTITUTE(M1873,"/","")))=2,AND((LEN(M1873)-LEN(SUBSTITUTE(M1873,"/","")))=3,RIGHT(M1873,1)="/"))))),"Home page redirect; ","")&amp;IF(N(R1873)&gt;1,"Chain; ","")&amp;IF(S1873="No","Destination not 200; ","")))</f>
        <v/>
      </c>
      <c r="U1873" s="22" t="n"/>
      <c r="V1873" s="22" t="n"/>
      <c r="W1873" s="4" t="n"/>
    </row>
    <row r="1874">
      <c r="A1874" s="22" t="n"/>
      <c r="B1874" s="22" t="n"/>
      <c r="C1874" s="22" t="n"/>
      <c r="D1874" s="22">
        <f>IF(A1874="","",IF(OR(N(B1874)&gt;=$C$2,N(C1874)&gt;=$E$2),"High",IF(OR(N(B1874)&gt;0,N(C1874)&gt;0),"Medium","Low")))</f>
        <v/>
      </c>
      <c r="E1874" s="22" t="n"/>
      <c r="F1874" s="22" t="n"/>
      <c r="G1874" s="22" t="n"/>
      <c r="H1874" s="22" t="n"/>
      <c r="I1874" s="22" t="n"/>
      <c r="J1874" s="22" t="n"/>
      <c r="K1874" s="22" t="n"/>
      <c r="L1874" s="22" t="n"/>
      <c r="M1874" s="22">
        <f>IF(K1874="Override",L1874,IF(K1874="Accept suggestion",F1874,IF(K1874="No change (same URL)",A1874,"")))</f>
        <v/>
      </c>
      <c r="N1874" s="22">
        <f>IF(A1874="","",IF(K1874="410 Gone","410",IF(K1874="404","404",IF(K1874="No change (same URL)","none",IF(M1874="","","301")))))</f>
        <v/>
      </c>
      <c r="O1874" s="22">
        <f>IF(A1874="","",IFERROR(MID(A1874,FIND("/",A1874,FIND("//",A1874)+2),2000),A1874))</f>
        <v/>
      </c>
      <c r="P1874" s="22">
        <f>IF(OR(O1874="",N1874="",N1874="none",N1874="404"),"",IF(N1874="410","Redirect gone "&amp;O1874,"Redirect "&amp;N1874&amp;" "&amp;O1874&amp;" "&amp;M1874))</f>
        <v/>
      </c>
      <c r="Q1874" s="22" t="n"/>
      <c r="R1874" s="22" t="n"/>
      <c r="S1874" s="22" t="n"/>
      <c r="T1874" s="4">
        <f>IF(A1874="","",TRIM(IF(K1874="","Needs decision; ","")&amp;IF(AND(K1874="Accept suggestion",F1874=""),"No suggestion to accept; ","")&amp;IF(AND(K1874="Override",L1874=""),"Override URL missing; ","")&amp;IF(AND(K1874="Accept suggestion",N(G1874)&lt;$G$2),"Below your threshold; ","")&amp;IF(AND(M1874&lt;&gt;"",M1874=A1874,K1874&lt;&gt;"No change (same URL)"),"Redirects to itself; ","")&amp;IF(AND(M1874&lt;&gt;"",OR(M1874="/",AND(LEFT(M1874,4)="http",OR((LEN(M1874)-LEN(SUBSTITUTE(M1874,"/","")))=2,AND((LEN(M1874)-LEN(SUBSTITUTE(M1874,"/","")))=3,RIGHT(M1874,1)="/"))))),"Home page redirect; ","")&amp;IF(N(R1874)&gt;1,"Chain; ","")&amp;IF(S1874="No","Destination not 200; ","")))</f>
        <v/>
      </c>
      <c r="U1874" s="22" t="n"/>
      <c r="V1874" s="22" t="n"/>
      <c r="W1874" s="4" t="n"/>
    </row>
    <row r="1875">
      <c r="A1875" s="22" t="n"/>
      <c r="B1875" s="22" t="n"/>
      <c r="C1875" s="22" t="n"/>
      <c r="D1875" s="22">
        <f>IF(A1875="","",IF(OR(N(B1875)&gt;=$C$2,N(C1875)&gt;=$E$2),"High",IF(OR(N(B1875)&gt;0,N(C1875)&gt;0),"Medium","Low")))</f>
        <v/>
      </c>
      <c r="E1875" s="22" t="n"/>
      <c r="F1875" s="22" t="n"/>
      <c r="G1875" s="22" t="n"/>
      <c r="H1875" s="22" t="n"/>
      <c r="I1875" s="22" t="n"/>
      <c r="J1875" s="22" t="n"/>
      <c r="K1875" s="22" t="n"/>
      <c r="L1875" s="22" t="n"/>
      <c r="M1875" s="22">
        <f>IF(K1875="Override",L1875,IF(K1875="Accept suggestion",F1875,IF(K1875="No change (same URL)",A1875,"")))</f>
        <v/>
      </c>
      <c r="N1875" s="22">
        <f>IF(A1875="","",IF(K1875="410 Gone","410",IF(K1875="404","404",IF(K1875="No change (same URL)","none",IF(M1875="","","301")))))</f>
        <v/>
      </c>
      <c r="O1875" s="22">
        <f>IF(A1875="","",IFERROR(MID(A1875,FIND("/",A1875,FIND("//",A1875)+2),2000),A1875))</f>
        <v/>
      </c>
      <c r="P1875" s="22">
        <f>IF(OR(O1875="",N1875="",N1875="none",N1875="404"),"",IF(N1875="410","Redirect gone "&amp;O1875,"Redirect "&amp;N1875&amp;" "&amp;O1875&amp;" "&amp;M1875))</f>
        <v/>
      </c>
      <c r="Q1875" s="22" t="n"/>
      <c r="R1875" s="22" t="n"/>
      <c r="S1875" s="22" t="n"/>
      <c r="T1875" s="4">
        <f>IF(A1875="","",TRIM(IF(K1875="","Needs decision; ","")&amp;IF(AND(K1875="Accept suggestion",F1875=""),"No suggestion to accept; ","")&amp;IF(AND(K1875="Override",L1875=""),"Override URL missing; ","")&amp;IF(AND(K1875="Accept suggestion",N(G1875)&lt;$G$2),"Below your threshold; ","")&amp;IF(AND(M1875&lt;&gt;"",M1875=A1875,K1875&lt;&gt;"No change (same URL)"),"Redirects to itself; ","")&amp;IF(AND(M1875&lt;&gt;"",OR(M1875="/",AND(LEFT(M1875,4)="http",OR((LEN(M1875)-LEN(SUBSTITUTE(M1875,"/","")))=2,AND((LEN(M1875)-LEN(SUBSTITUTE(M1875,"/","")))=3,RIGHT(M1875,1)="/"))))),"Home page redirect; ","")&amp;IF(N(R1875)&gt;1,"Chain; ","")&amp;IF(S1875="No","Destination not 200; ","")))</f>
        <v/>
      </c>
      <c r="U1875" s="22" t="n"/>
      <c r="V1875" s="22" t="n"/>
      <c r="W1875" s="4" t="n"/>
    </row>
    <row r="1876">
      <c r="A1876" s="22" t="n"/>
      <c r="B1876" s="22" t="n"/>
      <c r="C1876" s="22" t="n"/>
      <c r="D1876" s="22">
        <f>IF(A1876="","",IF(OR(N(B1876)&gt;=$C$2,N(C1876)&gt;=$E$2),"High",IF(OR(N(B1876)&gt;0,N(C1876)&gt;0),"Medium","Low")))</f>
        <v/>
      </c>
      <c r="E1876" s="22" t="n"/>
      <c r="F1876" s="22" t="n"/>
      <c r="G1876" s="22" t="n"/>
      <c r="H1876" s="22" t="n"/>
      <c r="I1876" s="22" t="n"/>
      <c r="J1876" s="22" t="n"/>
      <c r="K1876" s="22" t="n"/>
      <c r="L1876" s="22" t="n"/>
      <c r="M1876" s="22">
        <f>IF(K1876="Override",L1876,IF(K1876="Accept suggestion",F1876,IF(K1876="No change (same URL)",A1876,"")))</f>
        <v/>
      </c>
      <c r="N1876" s="22">
        <f>IF(A1876="","",IF(K1876="410 Gone","410",IF(K1876="404","404",IF(K1876="No change (same URL)","none",IF(M1876="","","301")))))</f>
        <v/>
      </c>
      <c r="O1876" s="22">
        <f>IF(A1876="","",IFERROR(MID(A1876,FIND("/",A1876,FIND("//",A1876)+2),2000),A1876))</f>
        <v/>
      </c>
      <c r="P1876" s="22">
        <f>IF(OR(O1876="",N1876="",N1876="none",N1876="404"),"",IF(N1876="410","Redirect gone "&amp;O1876,"Redirect "&amp;N1876&amp;" "&amp;O1876&amp;" "&amp;M1876))</f>
        <v/>
      </c>
      <c r="Q1876" s="22" t="n"/>
      <c r="R1876" s="22" t="n"/>
      <c r="S1876" s="22" t="n"/>
      <c r="T1876" s="4">
        <f>IF(A1876="","",TRIM(IF(K1876="","Needs decision; ","")&amp;IF(AND(K1876="Accept suggestion",F1876=""),"No suggestion to accept; ","")&amp;IF(AND(K1876="Override",L1876=""),"Override URL missing; ","")&amp;IF(AND(K1876="Accept suggestion",N(G1876)&lt;$G$2),"Below your threshold; ","")&amp;IF(AND(M1876&lt;&gt;"",M1876=A1876,K1876&lt;&gt;"No change (same URL)"),"Redirects to itself; ","")&amp;IF(AND(M1876&lt;&gt;"",OR(M1876="/",AND(LEFT(M1876,4)="http",OR((LEN(M1876)-LEN(SUBSTITUTE(M1876,"/","")))=2,AND((LEN(M1876)-LEN(SUBSTITUTE(M1876,"/","")))=3,RIGHT(M1876,1)="/"))))),"Home page redirect; ","")&amp;IF(N(R1876)&gt;1,"Chain; ","")&amp;IF(S1876="No","Destination not 200; ","")))</f>
        <v/>
      </c>
      <c r="U1876" s="22" t="n"/>
      <c r="V1876" s="22" t="n"/>
      <c r="W1876" s="4" t="n"/>
    </row>
    <row r="1877">
      <c r="A1877" s="22" t="n"/>
      <c r="B1877" s="22" t="n"/>
      <c r="C1877" s="22" t="n"/>
      <c r="D1877" s="22">
        <f>IF(A1877="","",IF(OR(N(B1877)&gt;=$C$2,N(C1877)&gt;=$E$2),"High",IF(OR(N(B1877)&gt;0,N(C1877)&gt;0),"Medium","Low")))</f>
        <v/>
      </c>
      <c r="E1877" s="22" t="n"/>
      <c r="F1877" s="22" t="n"/>
      <c r="G1877" s="22" t="n"/>
      <c r="H1877" s="22" t="n"/>
      <c r="I1877" s="22" t="n"/>
      <c r="J1877" s="22" t="n"/>
      <c r="K1877" s="22" t="n"/>
      <c r="L1877" s="22" t="n"/>
      <c r="M1877" s="22">
        <f>IF(K1877="Override",L1877,IF(K1877="Accept suggestion",F1877,IF(K1877="No change (same URL)",A1877,"")))</f>
        <v/>
      </c>
      <c r="N1877" s="22">
        <f>IF(A1877="","",IF(K1877="410 Gone","410",IF(K1877="404","404",IF(K1877="No change (same URL)","none",IF(M1877="","","301")))))</f>
        <v/>
      </c>
      <c r="O1877" s="22">
        <f>IF(A1877="","",IFERROR(MID(A1877,FIND("/",A1877,FIND("//",A1877)+2),2000),A1877))</f>
        <v/>
      </c>
      <c r="P1877" s="22">
        <f>IF(OR(O1877="",N1877="",N1877="none",N1877="404"),"",IF(N1877="410","Redirect gone "&amp;O1877,"Redirect "&amp;N1877&amp;" "&amp;O1877&amp;" "&amp;M1877))</f>
        <v/>
      </c>
      <c r="Q1877" s="22" t="n"/>
      <c r="R1877" s="22" t="n"/>
      <c r="S1877" s="22" t="n"/>
      <c r="T1877" s="4">
        <f>IF(A1877="","",TRIM(IF(K1877="","Needs decision; ","")&amp;IF(AND(K1877="Accept suggestion",F1877=""),"No suggestion to accept; ","")&amp;IF(AND(K1877="Override",L1877=""),"Override URL missing; ","")&amp;IF(AND(K1877="Accept suggestion",N(G1877)&lt;$G$2),"Below your threshold; ","")&amp;IF(AND(M1877&lt;&gt;"",M1877=A1877,K1877&lt;&gt;"No change (same URL)"),"Redirects to itself; ","")&amp;IF(AND(M1877&lt;&gt;"",OR(M1877="/",AND(LEFT(M1877,4)="http",OR((LEN(M1877)-LEN(SUBSTITUTE(M1877,"/","")))=2,AND((LEN(M1877)-LEN(SUBSTITUTE(M1877,"/","")))=3,RIGHT(M1877,1)="/"))))),"Home page redirect; ","")&amp;IF(N(R1877)&gt;1,"Chain; ","")&amp;IF(S1877="No","Destination not 200; ","")))</f>
        <v/>
      </c>
      <c r="U1877" s="22" t="n"/>
      <c r="V1877" s="22" t="n"/>
      <c r="W1877" s="4" t="n"/>
    </row>
    <row r="1878">
      <c r="A1878" s="22" t="n"/>
      <c r="B1878" s="22" t="n"/>
      <c r="C1878" s="22" t="n"/>
      <c r="D1878" s="22">
        <f>IF(A1878="","",IF(OR(N(B1878)&gt;=$C$2,N(C1878)&gt;=$E$2),"High",IF(OR(N(B1878)&gt;0,N(C1878)&gt;0),"Medium","Low")))</f>
        <v/>
      </c>
      <c r="E1878" s="22" t="n"/>
      <c r="F1878" s="22" t="n"/>
      <c r="G1878" s="22" t="n"/>
      <c r="H1878" s="22" t="n"/>
      <c r="I1878" s="22" t="n"/>
      <c r="J1878" s="22" t="n"/>
      <c r="K1878" s="22" t="n"/>
      <c r="L1878" s="22" t="n"/>
      <c r="M1878" s="22">
        <f>IF(K1878="Override",L1878,IF(K1878="Accept suggestion",F1878,IF(K1878="No change (same URL)",A1878,"")))</f>
        <v/>
      </c>
      <c r="N1878" s="22">
        <f>IF(A1878="","",IF(K1878="410 Gone","410",IF(K1878="404","404",IF(K1878="No change (same URL)","none",IF(M1878="","","301")))))</f>
        <v/>
      </c>
      <c r="O1878" s="22">
        <f>IF(A1878="","",IFERROR(MID(A1878,FIND("/",A1878,FIND("//",A1878)+2),2000),A1878))</f>
        <v/>
      </c>
      <c r="P1878" s="22">
        <f>IF(OR(O1878="",N1878="",N1878="none",N1878="404"),"",IF(N1878="410","Redirect gone "&amp;O1878,"Redirect "&amp;N1878&amp;" "&amp;O1878&amp;" "&amp;M1878))</f>
        <v/>
      </c>
      <c r="Q1878" s="22" t="n"/>
      <c r="R1878" s="22" t="n"/>
      <c r="S1878" s="22" t="n"/>
      <c r="T1878" s="4">
        <f>IF(A1878="","",TRIM(IF(K1878="","Needs decision; ","")&amp;IF(AND(K1878="Accept suggestion",F1878=""),"No suggestion to accept; ","")&amp;IF(AND(K1878="Override",L1878=""),"Override URL missing; ","")&amp;IF(AND(K1878="Accept suggestion",N(G1878)&lt;$G$2),"Below your threshold; ","")&amp;IF(AND(M1878&lt;&gt;"",M1878=A1878,K1878&lt;&gt;"No change (same URL)"),"Redirects to itself; ","")&amp;IF(AND(M1878&lt;&gt;"",OR(M1878="/",AND(LEFT(M1878,4)="http",OR((LEN(M1878)-LEN(SUBSTITUTE(M1878,"/","")))=2,AND((LEN(M1878)-LEN(SUBSTITUTE(M1878,"/","")))=3,RIGHT(M1878,1)="/"))))),"Home page redirect; ","")&amp;IF(N(R1878)&gt;1,"Chain; ","")&amp;IF(S1878="No","Destination not 200; ","")))</f>
        <v/>
      </c>
      <c r="U1878" s="22" t="n"/>
      <c r="V1878" s="22" t="n"/>
      <c r="W1878" s="4" t="n"/>
    </row>
    <row r="1879">
      <c r="A1879" s="22" t="n"/>
      <c r="B1879" s="22" t="n"/>
      <c r="C1879" s="22" t="n"/>
      <c r="D1879" s="22">
        <f>IF(A1879="","",IF(OR(N(B1879)&gt;=$C$2,N(C1879)&gt;=$E$2),"High",IF(OR(N(B1879)&gt;0,N(C1879)&gt;0),"Medium","Low")))</f>
        <v/>
      </c>
      <c r="E1879" s="22" t="n"/>
      <c r="F1879" s="22" t="n"/>
      <c r="G1879" s="22" t="n"/>
      <c r="H1879" s="22" t="n"/>
      <c r="I1879" s="22" t="n"/>
      <c r="J1879" s="22" t="n"/>
      <c r="K1879" s="22" t="n"/>
      <c r="L1879" s="22" t="n"/>
      <c r="M1879" s="22">
        <f>IF(K1879="Override",L1879,IF(K1879="Accept suggestion",F1879,IF(K1879="No change (same URL)",A1879,"")))</f>
        <v/>
      </c>
      <c r="N1879" s="22">
        <f>IF(A1879="","",IF(K1879="410 Gone","410",IF(K1879="404","404",IF(K1879="No change (same URL)","none",IF(M1879="","","301")))))</f>
        <v/>
      </c>
      <c r="O1879" s="22">
        <f>IF(A1879="","",IFERROR(MID(A1879,FIND("/",A1879,FIND("//",A1879)+2),2000),A1879))</f>
        <v/>
      </c>
      <c r="P1879" s="22">
        <f>IF(OR(O1879="",N1879="",N1879="none",N1879="404"),"",IF(N1879="410","Redirect gone "&amp;O1879,"Redirect "&amp;N1879&amp;" "&amp;O1879&amp;" "&amp;M1879))</f>
        <v/>
      </c>
      <c r="Q1879" s="22" t="n"/>
      <c r="R1879" s="22" t="n"/>
      <c r="S1879" s="22" t="n"/>
      <c r="T1879" s="4">
        <f>IF(A1879="","",TRIM(IF(K1879="","Needs decision; ","")&amp;IF(AND(K1879="Accept suggestion",F1879=""),"No suggestion to accept; ","")&amp;IF(AND(K1879="Override",L1879=""),"Override URL missing; ","")&amp;IF(AND(K1879="Accept suggestion",N(G1879)&lt;$G$2),"Below your threshold; ","")&amp;IF(AND(M1879&lt;&gt;"",M1879=A1879,K1879&lt;&gt;"No change (same URL)"),"Redirects to itself; ","")&amp;IF(AND(M1879&lt;&gt;"",OR(M1879="/",AND(LEFT(M1879,4)="http",OR((LEN(M1879)-LEN(SUBSTITUTE(M1879,"/","")))=2,AND((LEN(M1879)-LEN(SUBSTITUTE(M1879,"/","")))=3,RIGHT(M1879,1)="/"))))),"Home page redirect; ","")&amp;IF(N(R1879)&gt;1,"Chain; ","")&amp;IF(S1879="No","Destination not 200; ","")))</f>
        <v/>
      </c>
      <c r="U1879" s="22" t="n"/>
      <c r="V1879" s="22" t="n"/>
      <c r="W1879" s="4" t="n"/>
    </row>
    <row r="1880">
      <c r="A1880" s="22" t="n"/>
      <c r="B1880" s="22" t="n"/>
      <c r="C1880" s="22" t="n"/>
      <c r="D1880" s="22">
        <f>IF(A1880="","",IF(OR(N(B1880)&gt;=$C$2,N(C1880)&gt;=$E$2),"High",IF(OR(N(B1880)&gt;0,N(C1880)&gt;0),"Medium","Low")))</f>
        <v/>
      </c>
      <c r="E1880" s="22" t="n"/>
      <c r="F1880" s="22" t="n"/>
      <c r="G1880" s="22" t="n"/>
      <c r="H1880" s="22" t="n"/>
      <c r="I1880" s="22" t="n"/>
      <c r="J1880" s="22" t="n"/>
      <c r="K1880" s="22" t="n"/>
      <c r="L1880" s="22" t="n"/>
      <c r="M1880" s="22">
        <f>IF(K1880="Override",L1880,IF(K1880="Accept suggestion",F1880,IF(K1880="No change (same URL)",A1880,"")))</f>
        <v/>
      </c>
      <c r="N1880" s="22">
        <f>IF(A1880="","",IF(K1880="410 Gone","410",IF(K1880="404","404",IF(K1880="No change (same URL)","none",IF(M1880="","","301")))))</f>
        <v/>
      </c>
      <c r="O1880" s="22">
        <f>IF(A1880="","",IFERROR(MID(A1880,FIND("/",A1880,FIND("//",A1880)+2),2000),A1880))</f>
        <v/>
      </c>
      <c r="P1880" s="22">
        <f>IF(OR(O1880="",N1880="",N1880="none",N1880="404"),"",IF(N1880="410","Redirect gone "&amp;O1880,"Redirect "&amp;N1880&amp;" "&amp;O1880&amp;" "&amp;M1880))</f>
        <v/>
      </c>
      <c r="Q1880" s="22" t="n"/>
      <c r="R1880" s="22" t="n"/>
      <c r="S1880" s="22" t="n"/>
      <c r="T1880" s="4">
        <f>IF(A1880="","",TRIM(IF(K1880="","Needs decision; ","")&amp;IF(AND(K1880="Accept suggestion",F1880=""),"No suggestion to accept; ","")&amp;IF(AND(K1880="Override",L1880=""),"Override URL missing; ","")&amp;IF(AND(K1880="Accept suggestion",N(G1880)&lt;$G$2),"Below your threshold; ","")&amp;IF(AND(M1880&lt;&gt;"",M1880=A1880,K1880&lt;&gt;"No change (same URL)"),"Redirects to itself; ","")&amp;IF(AND(M1880&lt;&gt;"",OR(M1880="/",AND(LEFT(M1880,4)="http",OR((LEN(M1880)-LEN(SUBSTITUTE(M1880,"/","")))=2,AND((LEN(M1880)-LEN(SUBSTITUTE(M1880,"/","")))=3,RIGHT(M1880,1)="/"))))),"Home page redirect; ","")&amp;IF(N(R1880)&gt;1,"Chain; ","")&amp;IF(S1880="No","Destination not 200; ","")))</f>
        <v/>
      </c>
      <c r="U1880" s="22" t="n"/>
      <c r="V1880" s="22" t="n"/>
      <c r="W1880" s="4" t="n"/>
    </row>
    <row r="1881">
      <c r="A1881" s="22" t="n"/>
      <c r="B1881" s="22" t="n"/>
      <c r="C1881" s="22" t="n"/>
      <c r="D1881" s="22">
        <f>IF(A1881="","",IF(OR(N(B1881)&gt;=$C$2,N(C1881)&gt;=$E$2),"High",IF(OR(N(B1881)&gt;0,N(C1881)&gt;0),"Medium","Low")))</f>
        <v/>
      </c>
      <c r="E1881" s="22" t="n"/>
      <c r="F1881" s="22" t="n"/>
      <c r="G1881" s="22" t="n"/>
      <c r="H1881" s="22" t="n"/>
      <c r="I1881" s="22" t="n"/>
      <c r="J1881" s="22" t="n"/>
      <c r="K1881" s="22" t="n"/>
      <c r="L1881" s="22" t="n"/>
      <c r="M1881" s="22">
        <f>IF(K1881="Override",L1881,IF(K1881="Accept suggestion",F1881,IF(K1881="No change (same URL)",A1881,"")))</f>
        <v/>
      </c>
      <c r="N1881" s="22">
        <f>IF(A1881="","",IF(K1881="410 Gone","410",IF(K1881="404","404",IF(K1881="No change (same URL)","none",IF(M1881="","","301")))))</f>
        <v/>
      </c>
      <c r="O1881" s="22">
        <f>IF(A1881="","",IFERROR(MID(A1881,FIND("/",A1881,FIND("//",A1881)+2),2000),A1881))</f>
        <v/>
      </c>
      <c r="P1881" s="22">
        <f>IF(OR(O1881="",N1881="",N1881="none",N1881="404"),"",IF(N1881="410","Redirect gone "&amp;O1881,"Redirect "&amp;N1881&amp;" "&amp;O1881&amp;" "&amp;M1881))</f>
        <v/>
      </c>
      <c r="Q1881" s="22" t="n"/>
      <c r="R1881" s="22" t="n"/>
      <c r="S1881" s="22" t="n"/>
      <c r="T1881" s="4">
        <f>IF(A1881="","",TRIM(IF(K1881="","Needs decision; ","")&amp;IF(AND(K1881="Accept suggestion",F1881=""),"No suggestion to accept; ","")&amp;IF(AND(K1881="Override",L1881=""),"Override URL missing; ","")&amp;IF(AND(K1881="Accept suggestion",N(G1881)&lt;$G$2),"Below your threshold; ","")&amp;IF(AND(M1881&lt;&gt;"",M1881=A1881,K1881&lt;&gt;"No change (same URL)"),"Redirects to itself; ","")&amp;IF(AND(M1881&lt;&gt;"",OR(M1881="/",AND(LEFT(M1881,4)="http",OR((LEN(M1881)-LEN(SUBSTITUTE(M1881,"/","")))=2,AND((LEN(M1881)-LEN(SUBSTITUTE(M1881,"/","")))=3,RIGHT(M1881,1)="/"))))),"Home page redirect; ","")&amp;IF(N(R1881)&gt;1,"Chain; ","")&amp;IF(S1881="No","Destination not 200; ","")))</f>
        <v/>
      </c>
      <c r="U1881" s="22" t="n"/>
      <c r="V1881" s="22" t="n"/>
      <c r="W1881" s="4" t="n"/>
    </row>
    <row r="1882">
      <c r="A1882" s="22" t="n"/>
      <c r="B1882" s="22" t="n"/>
      <c r="C1882" s="22" t="n"/>
      <c r="D1882" s="22">
        <f>IF(A1882="","",IF(OR(N(B1882)&gt;=$C$2,N(C1882)&gt;=$E$2),"High",IF(OR(N(B1882)&gt;0,N(C1882)&gt;0),"Medium","Low")))</f>
        <v/>
      </c>
      <c r="E1882" s="22" t="n"/>
      <c r="F1882" s="22" t="n"/>
      <c r="G1882" s="22" t="n"/>
      <c r="H1882" s="22" t="n"/>
      <c r="I1882" s="22" t="n"/>
      <c r="J1882" s="22" t="n"/>
      <c r="K1882" s="22" t="n"/>
      <c r="L1882" s="22" t="n"/>
      <c r="M1882" s="22">
        <f>IF(K1882="Override",L1882,IF(K1882="Accept suggestion",F1882,IF(K1882="No change (same URL)",A1882,"")))</f>
        <v/>
      </c>
      <c r="N1882" s="22">
        <f>IF(A1882="","",IF(K1882="410 Gone","410",IF(K1882="404","404",IF(K1882="No change (same URL)","none",IF(M1882="","","301")))))</f>
        <v/>
      </c>
      <c r="O1882" s="22">
        <f>IF(A1882="","",IFERROR(MID(A1882,FIND("/",A1882,FIND("//",A1882)+2),2000),A1882))</f>
        <v/>
      </c>
      <c r="P1882" s="22">
        <f>IF(OR(O1882="",N1882="",N1882="none",N1882="404"),"",IF(N1882="410","Redirect gone "&amp;O1882,"Redirect "&amp;N1882&amp;" "&amp;O1882&amp;" "&amp;M1882))</f>
        <v/>
      </c>
      <c r="Q1882" s="22" t="n"/>
      <c r="R1882" s="22" t="n"/>
      <c r="S1882" s="22" t="n"/>
      <c r="T1882" s="4">
        <f>IF(A1882="","",TRIM(IF(K1882="","Needs decision; ","")&amp;IF(AND(K1882="Accept suggestion",F1882=""),"No suggestion to accept; ","")&amp;IF(AND(K1882="Override",L1882=""),"Override URL missing; ","")&amp;IF(AND(K1882="Accept suggestion",N(G1882)&lt;$G$2),"Below your threshold; ","")&amp;IF(AND(M1882&lt;&gt;"",M1882=A1882,K1882&lt;&gt;"No change (same URL)"),"Redirects to itself; ","")&amp;IF(AND(M1882&lt;&gt;"",OR(M1882="/",AND(LEFT(M1882,4)="http",OR((LEN(M1882)-LEN(SUBSTITUTE(M1882,"/","")))=2,AND((LEN(M1882)-LEN(SUBSTITUTE(M1882,"/","")))=3,RIGHT(M1882,1)="/"))))),"Home page redirect; ","")&amp;IF(N(R1882)&gt;1,"Chain; ","")&amp;IF(S1882="No","Destination not 200; ","")))</f>
        <v/>
      </c>
      <c r="U1882" s="22" t="n"/>
      <c r="V1882" s="22" t="n"/>
      <c r="W1882" s="4" t="n"/>
    </row>
    <row r="1883">
      <c r="A1883" s="22" t="n"/>
      <c r="B1883" s="22" t="n"/>
      <c r="C1883" s="22" t="n"/>
      <c r="D1883" s="22">
        <f>IF(A1883="","",IF(OR(N(B1883)&gt;=$C$2,N(C1883)&gt;=$E$2),"High",IF(OR(N(B1883)&gt;0,N(C1883)&gt;0),"Medium","Low")))</f>
        <v/>
      </c>
      <c r="E1883" s="22" t="n"/>
      <c r="F1883" s="22" t="n"/>
      <c r="G1883" s="22" t="n"/>
      <c r="H1883" s="22" t="n"/>
      <c r="I1883" s="22" t="n"/>
      <c r="J1883" s="22" t="n"/>
      <c r="K1883" s="22" t="n"/>
      <c r="L1883" s="22" t="n"/>
      <c r="M1883" s="22">
        <f>IF(K1883="Override",L1883,IF(K1883="Accept suggestion",F1883,IF(K1883="No change (same URL)",A1883,"")))</f>
        <v/>
      </c>
      <c r="N1883" s="22">
        <f>IF(A1883="","",IF(K1883="410 Gone","410",IF(K1883="404","404",IF(K1883="No change (same URL)","none",IF(M1883="","","301")))))</f>
        <v/>
      </c>
      <c r="O1883" s="22">
        <f>IF(A1883="","",IFERROR(MID(A1883,FIND("/",A1883,FIND("//",A1883)+2),2000),A1883))</f>
        <v/>
      </c>
      <c r="P1883" s="22">
        <f>IF(OR(O1883="",N1883="",N1883="none",N1883="404"),"",IF(N1883="410","Redirect gone "&amp;O1883,"Redirect "&amp;N1883&amp;" "&amp;O1883&amp;" "&amp;M1883))</f>
        <v/>
      </c>
      <c r="Q1883" s="22" t="n"/>
      <c r="R1883" s="22" t="n"/>
      <c r="S1883" s="22" t="n"/>
      <c r="T1883" s="4">
        <f>IF(A1883="","",TRIM(IF(K1883="","Needs decision; ","")&amp;IF(AND(K1883="Accept suggestion",F1883=""),"No suggestion to accept; ","")&amp;IF(AND(K1883="Override",L1883=""),"Override URL missing; ","")&amp;IF(AND(K1883="Accept suggestion",N(G1883)&lt;$G$2),"Below your threshold; ","")&amp;IF(AND(M1883&lt;&gt;"",M1883=A1883,K1883&lt;&gt;"No change (same URL)"),"Redirects to itself; ","")&amp;IF(AND(M1883&lt;&gt;"",OR(M1883="/",AND(LEFT(M1883,4)="http",OR((LEN(M1883)-LEN(SUBSTITUTE(M1883,"/","")))=2,AND((LEN(M1883)-LEN(SUBSTITUTE(M1883,"/","")))=3,RIGHT(M1883,1)="/"))))),"Home page redirect; ","")&amp;IF(N(R1883)&gt;1,"Chain; ","")&amp;IF(S1883="No","Destination not 200; ","")))</f>
        <v/>
      </c>
      <c r="U1883" s="22" t="n"/>
      <c r="V1883" s="22" t="n"/>
      <c r="W1883" s="4" t="n"/>
    </row>
    <row r="1884">
      <c r="A1884" s="22" t="n"/>
      <c r="B1884" s="22" t="n"/>
      <c r="C1884" s="22" t="n"/>
      <c r="D1884" s="22">
        <f>IF(A1884="","",IF(OR(N(B1884)&gt;=$C$2,N(C1884)&gt;=$E$2),"High",IF(OR(N(B1884)&gt;0,N(C1884)&gt;0),"Medium","Low")))</f>
        <v/>
      </c>
      <c r="E1884" s="22" t="n"/>
      <c r="F1884" s="22" t="n"/>
      <c r="G1884" s="22" t="n"/>
      <c r="H1884" s="22" t="n"/>
      <c r="I1884" s="22" t="n"/>
      <c r="J1884" s="22" t="n"/>
      <c r="K1884" s="22" t="n"/>
      <c r="L1884" s="22" t="n"/>
      <c r="M1884" s="22">
        <f>IF(K1884="Override",L1884,IF(K1884="Accept suggestion",F1884,IF(K1884="No change (same URL)",A1884,"")))</f>
        <v/>
      </c>
      <c r="N1884" s="22">
        <f>IF(A1884="","",IF(K1884="410 Gone","410",IF(K1884="404","404",IF(K1884="No change (same URL)","none",IF(M1884="","","301")))))</f>
        <v/>
      </c>
      <c r="O1884" s="22">
        <f>IF(A1884="","",IFERROR(MID(A1884,FIND("/",A1884,FIND("//",A1884)+2),2000),A1884))</f>
        <v/>
      </c>
      <c r="P1884" s="22">
        <f>IF(OR(O1884="",N1884="",N1884="none",N1884="404"),"",IF(N1884="410","Redirect gone "&amp;O1884,"Redirect "&amp;N1884&amp;" "&amp;O1884&amp;" "&amp;M1884))</f>
        <v/>
      </c>
      <c r="Q1884" s="22" t="n"/>
      <c r="R1884" s="22" t="n"/>
      <c r="S1884" s="22" t="n"/>
      <c r="T1884" s="4">
        <f>IF(A1884="","",TRIM(IF(K1884="","Needs decision; ","")&amp;IF(AND(K1884="Accept suggestion",F1884=""),"No suggestion to accept; ","")&amp;IF(AND(K1884="Override",L1884=""),"Override URL missing; ","")&amp;IF(AND(K1884="Accept suggestion",N(G1884)&lt;$G$2),"Below your threshold; ","")&amp;IF(AND(M1884&lt;&gt;"",M1884=A1884,K1884&lt;&gt;"No change (same URL)"),"Redirects to itself; ","")&amp;IF(AND(M1884&lt;&gt;"",OR(M1884="/",AND(LEFT(M1884,4)="http",OR((LEN(M1884)-LEN(SUBSTITUTE(M1884,"/","")))=2,AND((LEN(M1884)-LEN(SUBSTITUTE(M1884,"/","")))=3,RIGHT(M1884,1)="/"))))),"Home page redirect; ","")&amp;IF(N(R1884)&gt;1,"Chain; ","")&amp;IF(S1884="No","Destination not 200; ","")))</f>
        <v/>
      </c>
      <c r="U1884" s="22" t="n"/>
      <c r="V1884" s="22" t="n"/>
      <c r="W1884" s="4" t="n"/>
    </row>
    <row r="1885">
      <c r="A1885" s="22" t="n"/>
      <c r="B1885" s="22" t="n"/>
      <c r="C1885" s="22" t="n"/>
      <c r="D1885" s="22">
        <f>IF(A1885="","",IF(OR(N(B1885)&gt;=$C$2,N(C1885)&gt;=$E$2),"High",IF(OR(N(B1885)&gt;0,N(C1885)&gt;0),"Medium","Low")))</f>
        <v/>
      </c>
      <c r="E1885" s="22" t="n"/>
      <c r="F1885" s="22" t="n"/>
      <c r="G1885" s="22" t="n"/>
      <c r="H1885" s="22" t="n"/>
      <c r="I1885" s="22" t="n"/>
      <c r="J1885" s="22" t="n"/>
      <c r="K1885" s="22" t="n"/>
      <c r="L1885" s="22" t="n"/>
      <c r="M1885" s="22">
        <f>IF(K1885="Override",L1885,IF(K1885="Accept suggestion",F1885,IF(K1885="No change (same URL)",A1885,"")))</f>
        <v/>
      </c>
      <c r="N1885" s="22">
        <f>IF(A1885="","",IF(K1885="410 Gone","410",IF(K1885="404","404",IF(K1885="No change (same URL)","none",IF(M1885="","","301")))))</f>
        <v/>
      </c>
      <c r="O1885" s="22">
        <f>IF(A1885="","",IFERROR(MID(A1885,FIND("/",A1885,FIND("//",A1885)+2),2000),A1885))</f>
        <v/>
      </c>
      <c r="P1885" s="22">
        <f>IF(OR(O1885="",N1885="",N1885="none",N1885="404"),"",IF(N1885="410","Redirect gone "&amp;O1885,"Redirect "&amp;N1885&amp;" "&amp;O1885&amp;" "&amp;M1885))</f>
        <v/>
      </c>
      <c r="Q1885" s="22" t="n"/>
      <c r="R1885" s="22" t="n"/>
      <c r="S1885" s="22" t="n"/>
      <c r="T1885" s="4">
        <f>IF(A1885="","",TRIM(IF(K1885="","Needs decision; ","")&amp;IF(AND(K1885="Accept suggestion",F1885=""),"No suggestion to accept; ","")&amp;IF(AND(K1885="Override",L1885=""),"Override URL missing; ","")&amp;IF(AND(K1885="Accept suggestion",N(G1885)&lt;$G$2),"Below your threshold; ","")&amp;IF(AND(M1885&lt;&gt;"",M1885=A1885,K1885&lt;&gt;"No change (same URL)"),"Redirects to itself; ","")&amp;IF(AND(M1885&lt;&gt;"",OR(M1885="/",AND(LEFT(M1885,4)="http",OR((LEN(M1885)-LEN(SUBSTITUTE(M1885,"/","")))=2,AND((LEN(M1885)-LEN(SUBSTITUTE(M1885,"/","")))=3,RIGHT(M1885,1)="/"))))),"Home page redirect; ","")&amp;IF(N(R1885)&gt;1,"Chain; ","")&amp;IF(S1885="No","Destination not 200; ","")))</f>
        <v/>
      </c>
      <c r="U1885" s="22" t="n"/>
      <c r="V1885" s="22" t="n"/>
      <c r="W1885" s="4" t="n"/>
    </row>
    <row r="1886">
      <c r="A1886" s="22" t="n"/>
      <c r="B1886" s="22" t="n"/>
      <c r="C1886" s="22" t="n"/>
      <c r="D1886" s="22">
        <f>IF(A1886="","",IF(OR(N(B1886)&gt;=$C$2,N(C1886)&gt;=$E$2),"High",IF(OR(N(B1886)&gt;0,N(C1886)&gt;0),"Medium","Low")))</f>
        <v/>
      </c>
      <c r="E1886" s="22" t="n"/>
      <c r="F1886" s="22" t="n"/>
      <c r="G1886" s="22" t="n"/>
      <c r="H1886" s="22" t="n"/>
      <c r="I1886" s="22" t="n"/>
      <c r="J1886" s="22" t="n"/>
      <c r="K1886" s="22" t="n"/>
      <c r="L1886" s="22" t="n"/>
      <c r="M1886" s="22">
        <f>IF(K1886="Override",L1886,IF(K1886="Accept suggestion",F1886,IF(K1886="No change (same URL)",A1886,"")))</f>
        <v/>
      </c>
      <c r="N1886" s="22">
        <f>IF(A1886="","",IF(K1886="410 Gone","410",IF(K1886="404","404",IF(K1886="No change (same URL)","none",IF(M1886="","","301")))))</f>
        <v/>
      </c>
      <c r="O1886" s="22">
        <f>IF(A1886="","",IFERROR(MID(A1886,FIND("/",A1886,FIND("//",A1886)+2),2000),A1886))</f>
        <v/>
      </c>
      <c r="P1886" s="22">
        <f>IF(OR(O1886="",N1886="",N1886="none",N1886="404"),"",IF(N1886="410","Redirect gone "&amp;O1886,"Redirect "&amp;N1886&amp;" "&amp;O1886&amp;" "&amp;M1886))</f>
        <v/>
      </c>
      <c r="Q1886" s="22" t="n"/>
      <c r="R1886" s="22" t="n"/>
      <c r="S1886" s="22" t="n"/>
      <c r="T1886" s="4">
        <f>IF(A1886="","",TRIM(IF(K1886="","Needs decision; ","")&amp;IF(AND(K1886="Accept suggestion",F1886=""),"No suggestion to accept; ","")&amp;IF(AND(K1886="Override",L1886=""),"Override URL missing; ","")&amp;IF(AND(K1886="Accept suggestion",N(G1886)&lt;$G$2),"Below your threshold; ","")&amp;IF(AND(M1886&lt;&gt;"",M1886=A1886,K1886&lt;&gt;"No change (same URL)"),"Redirects to itself; ","")&amp;IF(AND(M1886&lt;&gt;"",OR(M1886="/",AND(LEFT(M1886,4)="http",OR((LEN(M1886)-LEN(SUBSTITUTE(M1886,"/","")))=2,AND((LEN(M1886)-LEN(SUBSTITUTE(M1886,"/","")))=3,RIGHT(M1886,1)="/"))))),"Home page redirect; ","")&amp;IF(N(R1886)&gt;1,"Chain; ","")&amp;IF(S1886="No","Destination not 200; ","")))</f>
        <v/>
      </c>
      <c r="U1886" s="22" t="n"/>
      <c r="V1886" s="22" t="n"/>
      <c r="W1886" s="4" t="n"/>
    </row>
    <row r="1887">
      <c r="A1887" s="22" t="n"/>
      <c r="B1887" s="22" t="n"/>
      <c r="C1887" s="22" t="n"/>
      <c r="D1887" s="22">
        <f>IF(A1887="","",IF(OR(N(B1887)&gt;=$C$2,N(C1887)&gt;=$E$2),"High",IF(OR(N(B1887)&gt;0,N(C1887)&gt;0),"Medium","Low")))</f>
        <v/>
      </c>
      <c r="E1887" s="22" t="n"/>
      <c r="F1887" s="22" t="n"/>
      <c r="G1887" s="22" t="n"/>
      <c r="H1887" s="22" t="n"/>
      <c r="I1887" s="22" t="n"/>
      <c r="J1887" s="22" t="n"/>
      <c r="K1887" s="22" t="n"/>
      <c r="L1887" s="22" t="n"/>
      <c r="M1887" s="22">
        <f>IF(K1887="Override",L1887,IF(K1887="Accept suggestion",F1887,IF(K1887="No change (same URL)",A1887,"")))</f>
        <v/>
      </c>
      <c r="N1887" s="22">
        <f>IF(A1887="","",IF(K1887="410 Gone","410",IF(K1887="404","404",IF(K1887="No change (same URL)","none",IF(M1887="","","301")))))</f>
        <v/>
      </c>
      <c r="O1887" s="22">
        <f>IF(A1887="","",IFERROR(MID(A1887,FIND("/",A1887,FIND("//",A1887)+2),2000),A1887))</f>
        <v/>
      </c>
      <c r="P1887" s="22">
        <f>IF(OR(O1887="",N1887="",N1887="none",N1887="404"),"",IF(N1887="410","Redirect gone "&amp;O1887,"Redirect "&amp;N1887&amp;" "&amp;O1887&amp;" "&amp;M1887))</f>
        <v/>
      </c>
      <c r="Q1887" s="22" t="n"/>
      <c r="R1887" s="22" t="n"/>
      <c r="S1887" s="22" t="n"/>
      <c r="T1887" s="4">
        <f>IF(A1887="","",TRIM(IF(K1887="","Needs decision; ","")&amp;IF(AND(K1887="Accept suggestion",F1887=""),"No suggestion to accept; ","")&amp;IF(AND(K1887="Override",L1887=""),"Override URL missing; ","")&amp;IF(AND(K1887="Accept suggestion",N(G1887)&lt;$G$2),"Below your threshold; ","")&amp;IF(AND(M1887&lt;&gt;"",M1887=A1887,K1887&lt;&gt;"No change (same URL)"),"Redirects to itself; ","")&amp;IF(AND(M1887&lt;&gt;"",OR(M1887="/",AND(LEFT(M1887,4)="http",OR((LEN(M1887)-LEN(SUBSTITUTE(M1887,"/","")))=2,AND((LEN(M1887)-LEN(SUBSTITUTE(M1887,"/","")))=3,RIGHT(M1887,1)="/"))))),"Home page redirect; ","")&amp;IF(N(R1887)&gt;1,"Chain; ","")&amp;IF(S1887="No","Destination not 200; ","")))</f>
        <v/>
      </c>
      <c r="U1887" s="22" t="n"/>
      <c r="V1887" s="22" t="n"/>
      <c r="W1887" s="4" t="n"/>
    </row>
    <row r="1888">
      <c r="A1888" s="22" t="n"/>
      <c r="B1888" s="22" t="n"/>
      <c r="C1888" s="22" t="n"/>
      <c r="D1888" s="22">
        <f>IF(A1888="","",IF(OR(N(B1888)&gt;=$C$2,N(C1888)&gt;=$E$2),"High",IF(OR(N(B1888)&gt;0,N(C1888)&gt;0),"Medium","Low")))</f>
        <v/>
      </c>
      <c r="E1888" s="22" t="n"/>
      <c r="F1888" s="22" t="n"/>
      <c r="G1888" s="22" t="n"/>
      <c r="H1888" s="22" t="n"/>
      <c r="I1888" s="22" t="n"/>
      <c r="J1888" s="22" t="n"/>
      <c r="K1888" s="22" t="n"/>
      <c r="L1888" s="22" t="n"/>
      <c r="M1888" s="22">
        <f>IF(K1888="Override",L1888,IF(K1888="Accept suggestion",F1888,IF(K1888="No change (same URL)",A1888,"")))</f>
        <v/>
      </c>
      <c r="N1888" s="22">
        <f>IF(A1888="","",IF(K1888="410 Gone","410",IF(K1888="404","404",IF(K1888="No change (same URL)","none",IF(M1888="","","301")))))</f>
        <v/>
      </c>
      <c r="O1888" s="22">
        <f>IF(A1888="","",IFERROR(MID(A1888,FIND("/",A1888,FIND("//",A1888)+2),2000),A1888))</f>
        <v/>
      </c>
      <c r="P1888" s="22">
        <f>IF(OR(O1888="",N1888="",N1888="none",N1888="404"),"",IF(N1888="410","Redirect gone "&amp;O1888,"Redirect "&amp;N1888&amp;" "&amp;O1888&amp;" "&amp;M1888))</f>
        <v/>
      </c>
      <c r="Q1888" s="22" t="n"/>
      <c r="R1888" s="22" t="n"/>
      <c r="S1888" s="22" t="n"/>
      <c r="T1888" s="4">
        <f>IF(A1888="","",TRIM(IF(K1888="","Needs decision; ","")&amp;IF(AND(K1888="Accept suggestion",F1888=""),"No suggestion to accept; ","")&amp;IF(AND(K1888="Override",L1888=""),"Override URL missing; ","")&amp;IF(AND(K1888="Accept suggestion",N(G1888)&lt;$G$2),"Below your threshold; ","")&amp;IF(AND(M1888&lt;&gt;"",M1888=A1888,K1888&lt;&gt;"No change (same URL)"),"Redirects to itself; ","")&amp;IF(AND(M1888&lt;&gt;"",OR(M1888="/",AND(LEFT(M1888,4)="http",OR((LEN(M1888)-LEN(SUBSTITUTE(M1888,"/","")))=2,AND((LEN(M1888)-LEN(SUBSTITUTE(M1888,"/","")))=3,RIGHT(M1888,1)="/"))))),"Home page redirect; ","")&amp;IF(N(R1888)&gt;1,"Chain; ","")&amp;IF(S1888="No","Destination not 200; ","")))</f>
        <v/>
      </c>
      <c r="U1888" s="22" t="n"/>
      <c r="V1888" s="22" t="n"/>
      <c r="W1888" s="4" t="n"/>
    </row>
    <row r="1889">
      <c r="A1889" s="22" t="n"/>
      <c r="B1889" s="22" t="n"/>
      <c r="C1889" s="22" t="n"/>
      <c r="D1889" s="22">
        <f>IF(A1889="","",IF(OR(N(B1889)&gt;=$C$2,N(C1889)&gt;=$E$2),"High",IF(OR(N(B1889)&gt;0,N(C1889)&gt;0),"Medium","Low")))</f>
        <v/>
      </c>
      <c r="E1889" s="22" t="n"/>
      <c r="F1889" s="22" t="n"/>
      <c r="G1889" s="22" t="n"/>
      <c r="H1889" s="22" t="n"/>
      <c r="I1889" s="22" t="n"/>
      <c r="J1889" s="22" t="n"/>
      <c r="K1889" s="22" t="n"/>
      <c r="L1889" s="22" t="n"/>
      <c r="M1889" s="22">
        <f>IF(K1889="Override",L1889,IF(K1889="Accept suggestion",F1889,IF(K1889="No change (same URL)",A1889,"")))</f>
        <v/>
      </c>
      <c r="N1889" s="22">
        <f>IF(A1889="","",IF(K1889="410 Gone","410",IF(K1889="404","404",IF(K1889="No change (same URL)","none",IF(M1889="","","301")))))</f>
        <v/>
      </c>
      <c r="O1889" s="22">
        <f>IF(A1889="","",IFERROR(MID(A1889,FIND("/",A1889,FIND("//",A1889)+2),2000),A1889))</f>
        <v/>
      </c>
      <c r="P1889" s="22">
        <f>IF(OR(O1889="",N1889="",N1889="none",N1889="404"),"",IF(N1889="410","Redirect gone "&amp;O1889,"Redirect "&amp;N1889&amp;" "&amp;O1889&amp;" "&amp;M1889))</f>
        <v/>
      </c>
      <c r="Q1889" s="22" t="n"/>
      <c r="R1889" s="22" t="n"/>
      <c r="S1889" s="22" t="n"/>
      <c r="T1889" s="4">
        <f>IF(A1889="","",TRIM(IF(K1889="","Needs decision; ","")&amp;IF(AND(K1889="Accept suggestion",F1889=""),"No suggestion to accept; ","")&amp;IF(AND(K1889="Override",L1889=""),"Override URL missing; ","")&amp;IF(AND(K1889="Accept suggestion",N(G1889)&lt;$G$2),"Below your threshold; ","")&amp;IF(AND(M1889&lt;&gt;"",M1889=A1889,K1889&lt;&gt;"No change (same URL)"),"Redirects to itself; ","")&amp;IF(AND(M1889&lt;&gt;"",OR(M1889="/",AND(LEFT(M1889,4)="http",OR((LEN(M1889)-LEN(SUBSTITUTE(M1889,"/","")))=2,AND((LEN(M1889)-LEN(SUBSTITUTE(M1889,"/","")))=3,RIGHT(M1889,1)="/"))))),"Home page redirect; ","")&amp;IF(N(R1889)&gt;1,"Chain; ","")&amp;IF(S1889="No","Destination not 200; ","")))</f>
        <v/>
      </c>
      <c r="U1889" s="22" t="n"/>
      <c r="V1889" s="22" t="n"/>
      <c r="W1889" s="4" t="n"/>
    </row>
    <row r="1890">
      <c r="A1890" s="22" t="n"/>
      <c r="B1890" s="22" t="n"/>
      <c r="C1890" s="22" t="n"/>
      <c r="D1890" s="22">
        <f>IF(A1890="","",IF(OR(N(B1890)&gt;=$C$2,N(C1890)&gt;=$E$2),"High",IF(OR(N(B1890)&gt;0,N(C1890)&gt;0),"Medium","Low")))</f>
        <v/>
      </c>
      <c r="E1890" s="22" t="n"/>
      <c r="F1890" s="22" t="n"/>
      <c r="G1890" s="22" t="n"/>
      <c r="H1890" s="22" t="n"/>
      <c r="I1890" s="22" t="n"/>
      <c r="J1890" s="22" t="n"/>
      <c r="K1890" s="22" t="n"/>
      <c r="L1890" s="22" t="n"/>
      <c r="M1890" s="22">
        <f>IF(K1890="Override",L1890,IF(K1890="Accept suggestion",F1890,IF(K1890="No change (same URL)",A1890,"")))</f>
        <v/>
      </c>
      <c r="N1890" s="22">
        <f>IF(A1890="","",IF(K1890="410 Gone","410",IF(K1890="404","404",IF(K1890="No change (same URL)","none",IF(M1890="","","301")))))</f>
        <v/>
      </c>
      <c r="O1890" s="22">
        <f>IF(A1890="","",IFERROR(MID(A1890,FIND("/",A1890,FIND("//",A1890)+2),2000),A1890))</f>
        <v/>
      </c>
      <c r="P1890" s="22">
        <f>IF(OR(O1890="",N1890="",N1890="none",N1890="404"),"",IF(N1890="410","Redirect gone "&amp;O1890,"Redirect "&amp;N1890&amp;" "&amp;O1890&amp;" "&amp;M1890))</f>
        <v/>
      </c>
      <c r="Q1890" s="22" t="n"/>
      <c r="R1890" s="22" t="n"/>
      <c r="S1890" s="22" t="n"/>
      <c r="T1890" s="4">
        <f>IF(A1890="","",TRIM(IF(K1890="","Needs decision; ","")&amp;IF(AND(K1890="Accept suggestion",F1890=""),"No suggestion to accept; ","")&amp;IF(AND(K1890="Override",L1890=""),"Override URL missing; ","")&amp;IF(AND(K1890="Accept suggestion",N(G1890)&lt;$G$2),"Below your threshold; ","")&amp;IF(AND(M1890&lt;&gt;"",M1890=A1890,K1890&lt;&gt;"No change (same URL)"),"Redirects to itself; ","")&amp;IF(AND(M1890&lt;&gt;"",OR(M1890="/",AND(LEFT(M1890,4)="http",OR((LEN(M1890)-LEN(SUBSTITUTE(M1890,"/","")))=2,AND((LEN(M1890)-LEN(SUBSTITUTE(M1890,"/","")))=3,RIGHT(M1890,1)="/"))))),"Home page redirect; ","")&amp;IF(N(R1890)&gt;1,"Chain; ","")&amp;IF(S1890="No","Destination not 200; ","")))</f>
        <v/>
      </c>
      <c r="U1890" s="22" t="n"/>
      <c r="V1890" s="22" t="n"/>
      <c r="W1890" s="4" t="n"/>
    </row>
    <row r="1891">
      <c r="A1891" s="22" t="n"/>
      <c r="B1891" s="22" t="n"/>
      <c r="C1891" s="22" t="n"/>
      <c r="D1891" s="22">
        <f>IF(A1891="","",IF(OR(N(B1891)&gt;=$C$2,N(C1891)&gt;=$E$2),"High",IF(OR(N(B1891)&gt;0,N(C1891)&gt;0),"Medium","Low")))</f>
        <v/>
      </c>
      <c r="E1891" s="22" t="n"/>
      <c r="F1891" s="22" t="n"/>
      <c r="G1891" s="22" t="n"/>
      <c r="H1891" s="22" t="n"/>
      <c r="I1891" s="22" t="n"/>
      <c r="J1891" s="22" t="n"/>
      <c r="K1891" s="22" t="n"/>
      <c r="L1891" s="22" t="n"/>
      <c r="M1891" s="22">
        <f>IF(K1891="Override",L1891,IF(K1891="Accept suggestion",F1891,IF(K1891="No change (same URL)",A1891,"")))</f>
        <v/>
      </c>
      <c r="N1891" s="22">
        <f>IF(A1891="","",IF(K1891="410 Gone","410",IF(K1891="404","404",IF(K1891="No change (same URL)","none",IF(M1891="","","301")))))</f>
        <v/>
      </c>
      <c r="O1891" s="22">
        <f>IF(A1891="","",IFERROR(MID(A1891,FIND("/",A1891,FIND("//",A1891)+2),2000),A1891))</f>
        <v/>
      </c>
      <c r="P1891" s="22">
        <f>IF(OR(O1891="",N1891="",N1891="none",N1891="404"),"",IF(N1891="410","Redirect gone "&amp;O1891,"Redirect "&amp;N1891&amp;" "&amp;O1891&amp;" "&amp;M1891))</f>
        <v/>
      </c>
      <c r="Q1891" s="22" t="n"/>
      <c r="R1891" s="22" t="n"/>
      <c r="S1891" s="22" t="n"/>
      <c r="T1891" s="4">
        <f>IF(A1891="","",TRIM(IF(K1891="","Needs decision; ","")&amp;IF(AND(K1891="Accept suggestion",F1891=""),"No suggestion to accept; ","")&amp;IF(AND(K1891="Override",L1891=""),"Override URL missing; ","")&amp;IF(AND(K1891="Accept suggestion",N(G1891)&lt;$G$2),"Below your threshold; ","")&amp;IF(AND(M1891&lt;&gt;"",M1891=A1891,K1891&lt;&gt;"No change (same URL)"),"Redirects to itself; ","")&amp;IF(AND(M1891&lt;&gt;"",OR(M1891="/",AND(LEFT(M1891,4)="http",OR((LEN(M1891)-LEN(SUBSTITUTE(M1891,"/","")))=2,AND((LEN(M1891)-LEN(SUBSTITUTE(M1891,"/","")))=3,RIGHT(M1891,1)="/"))))),"Home page redirect; ","")&amp;IF(N(R1891)&gt;1,"Chain; ","")&amp;IF(S1891="No","Destination not 200; ","")))</f>
        <v/>
      </c>
      <c r="U1891" s="22" t="n"/>
      <c r="V1891" s="22" t="n"/>
      <c r="W1891" s="4" t="n"/>
    </row>
    <row r="1892">
      <c r="A1892" s="22" t="n"/>
      <c r="B1892" s="22" t="n"/>
      <c r="C1892" s="22" t="n"/>
      <c r="D1892" s="22">
        <f>IF(A1892="","",IF(OR(N(B1892)&gt;=$C$2,N(C1892)&gt;=$E$2),"High",IF(OR(N(B1892)&gt;0,N(C1892)&gt;0),"Medium","Low")))</f>
        <v/>
      </c>
      <c r="E1892" s="22" t="n"/>
      <c r="F1892" s="22" t="n"/>
      <c r="G1892" s="22" t="n"/>
      <c r="H1892" s="22" t="n"/>
      <c r="I1892" s="22" t="n"/>
      <c r="J1892" s="22" t="n"/>
      <c r="K1892" s="22" t="n"/>
      <c r="L1892" s="22" t="n"/>
      <c r="M1892" s="22">
        <f>IF(K1892="Override",L1892,IF(K1892="Accept suggestion",F1892,IF(K1892="No change (same URL)",A1892,"")))</f>
        <v/>
      </c>
      <c r="N1892" s="22">
        <f>IF(A1892="","",IF(K1892="410 Gone","410",IF(K1892="404","404",IF(K1892="No change (same URL)","none",IF(M1892="","","301")))))</f>
        <v/>
      </c>
      <c r="O1892" s="22">
        <f>IF(A1892="","",IFERROR(MID(A1892,FIND("/",A1892,FIND("//",A1892)+2),2000),A1892))</f>
        <v/>
      </c>
      <c r="P1892" s="22">
        <f>IF(OR(O1892="",N1892="",N1892="none",N1892="404"),"",IF(N1892="410","Redirect gone "&amp;O1892,"Redirect "&amp;N1892&amp;" "&amp;O1892&amp;" "&amp;M1892))</f>
        <v/>
      </c>
      <c r="Q1892" s="22" t="n"/>
      <c r="R1892" s="22" t="n"/>
      <c r="S1892" s="22" t="n"/>
      <c r="T1892" s="4">
        <f>IF(A1892="","",TRIM(IF(K1892="","Needs decision; ","")&amp;IF(AND(K1892="Accept suggestion",F1892=""),"No suggestion to accept; ","")&amp;IF(AND(K1892="Override",L1892=""),"Override URL missing; ","")&amp;IF(AND(K1892="Accept suggestion",N(G1892)&lt;$G$2),"Below your threshold; ","")&amp;IF(AND(M1892&lt;&gt;"",M1892=A1892,K1892&lt;&gt;"No change (same URL)"),"Redirects to itself; ","")&amp;IF(AND(M1892&lt;&gt;"",OR(M1892="/",AND(LEFT(M1892,4)="http",OR((LEN(M1892)-LEN(SUBSTITUTE(M1892,"/","")))=2,AND((LEN(M1892)-LEN(SUBSTITUTE(M1892,"/","")))=3,RIGHT(M1892,1)="/"))))),"Home page redirect; ","")&amp;IF(N(R1892)&gt;1,"Chain; ","")&amp;IF(S1892="No","Destination not 200; ","")))</f>
        <v/>
      </c>
      <c r="U1892" s="22" t="n"/>
      <c r="V1892" s="22" t="n"/>
      <c r="W1892" s="4" t="n"/>
    </row>
    <row r="1893">
      <c r="A1893" s="22" t="n"/>
      <c r="B1893" s="22" t="n"/>
      <c r="C1893" s="22" t="n"/>
      <c r="D1893" s="22">
        <f>IF(A1893="","",IF(OR(N(B1893)&gt;=$C$2,N(C1893)&gt;=$E$2),"High",IF(OR(N(B1893)&gt;0,N(C1893)&gt;0),"Medium","Low")))</f>
        <v/>
      </c>
      <c r="E1893" s="22" t="n"/>
      <c r="F1893" s="22" t="n"/>
      <c r="G1893" s="22" t="n"/>
      <c r="H1893" s="22" t="n"/>
      <c r="I1893" s="22" t="n"/>
      <c r="J1893" s="22" t="n"/>
      <c r="K1893" s="22" t="n"/>
      <c r="L1893" s="22" t="n"/>
      <c r="M1893" s="22">
        <f>IF(K1893="Override",L1893,IF(K1893="Accept suggestion",F1893,IF(K1893="No change (same URL)",A1893,"")))</f>
        <v/>
      </c>
      <c r="N1893" s="22">
        <f>IF(A1893="","",IF(K1893="410 Gone","410",IF(K1893="404","404",IF(K1893="No change (same URL)","none",IF(M1893="","","301")))))</f>
        <v/>
      </c>
      <c r="O1893" s="22">
        <f>IF(A1893="","",IFERROR(MID(A1893,FIND("/",A1893,FIND("//",A1893)+2),2000),A1893))</f>
        <v/>
      </c>
      <c r="P1893" s="22">
        <f>IF(OR(O1893="",N1893="",N1893="none",N1893="404"),"",IF(N1893="410","Redirect gone "&amp;O1893,"Redirect "&amp;N1893&amp;" "&amp;O1893&amp;" "&amp;M1893))</f>
        <v/>
      </c>
      <c r="Q1893" s="22" t="n"/>
      <c r="R1893" s="22" t="n"/>
      <c r="S1893" s="22" t="n"/>
      <c r="T1893" s="4">
        <f>IF(A1893="","",TRIM(IF(K1893="","Needs decision; ","")&amp;IF(AND(K1893="Accept suggestion",F1893=""),"No suggestion to accept; ","")&amp;IF(AND(K1893="Override",L1893=""),"Override URL missing; ","")&amp;IF(AND(K1893="Accept suggestion",N(G1893)&lt;$G$2),"Below your threshold; ","")&amp;IF(AND(M1893&lt;&gt;"",M1893=A1893,K1893&lt;&gt;"No change (same URL)"),"Redirects to itself; ","")&amp;IF(AND(M1893&lt;&gt;"",OR(M1893="/",AND(LEFT(M1893,4)="http",OR((LEN(M1893)-LEN(SUBSTITUTE(M1893,"/","")))=2,AND((LEN(M1893)-LEN(SUBSTITUTE(M1893,"/","")))=3,RIGHT(M1893,1)="/"))))),"Home page redirect; ","")&amp;IF(N(R1893)&gt;1,"Chain; ","")&amp;IF(S1893="No","Destination not 200; ","")))</f>
        <v/>
      </c>
      <c r="U1893" s="22" t="n"/>
      <c r="V1893" s="22" t="n"/>
      <c r="W1893" s="4" t="n"/>
    </row>
    <row r="1894">
      <c r="A1894" s="22" t="n"/>
      <c r="B1894" s="22" t="n"/>
      <c r="C1894" s="22" t="n"/>
      <c r="D1894" s="22">
        <f>IF(A1894="","",IF(OR(N(B1894)&gt;=$C$2,N(C1894)&gt;=$E$2),"High",IF(OR(N(B1894)&gt;0,N(C1894)&gt;0),"Medium","Low")))</f>
        <v/>
      </c>
      <c r="E1894" s="22" t="n"/>
      <c r="F1894" s="22" t="n"/>
      <c r="G1894" s="22" t="n"/>
      <c r="H1894" s="22" t="n"/>
      <c r="I1894" s="22" t="n"/>
      <c r="J1894" s="22" t="n"/>
      <c r="K1894" s="22" t="n"/>
      <c r="L1894" s="22" t="n"/>
      <c r="M1894" s="22">
        <f>IF(K1894="Override",L1894,IF(K1894="Accept suggestion",F1894,IF(K1894="No change (same URL)",A1894,"")))</f>
        <v/>
      </c>
      <c r="N1894" s="22">
        <f>IF(A1894="","",IF(K1894="410 Gone","410",IF(K1894="404","404",IF(K1894="No change (same URL)","none",IF(M1894="","","301")))))</f>
        <v/>
      </c>
      <c r="O1894" s="22">
        <f>IF(A1894="","",IFERROR(MID(A1894,FIND("/",A1894,FIND("//",A1894)+2),2000),A1894))</f>
        <v/>
      </c>
      <c r="P1894" s="22">
        <f>IF(OR(O1894="",N1894="",N1894="none",N1894="404"),"",IF(N1894="410","Redirect gone "&amp;O1894,"Redirect "&amp;N1894&amp;" "&amp;O1894&amp;" "&amp;M1894))</f>
        <v/>
      </c>
      <c r="Q1894" s="22" t="n"/>
      <c r="R1894" s="22" t="n"/>
      <c r="S1894" s="22" t="n"/>
      <c r="T1894" s="4">
        <f>IF(A1894="","",TRIM(IF(K1894="","Needs decision; ","")&amp;IF(AND(K1894="Accept suggestion",F1894=""),"No suggestion to accept; ","")&amp;IF(AND(K1894="Override",L1894=""),"Override URL missing; ","")&amp;IF(AND(K1894="Accept suggestion",N(G1894)&lt;$G$2),"Below your threshold; ","")&amp;IF(AND(M1894&lt;&gt;"",M1894=A1894,K1894&lt;&gt;"No change (same URL)"),"Redirects to itself; ","")&amp;IF(AND(M1894&lt;&gt;"",OR(M1894="/",AND(LEFT(M1894,4)="http",OR((LEN(M1894)-LEN(SUBSTITUTE(M1894,"/","")))=2,AND((LEN(M1894)-LEN(SUBSTITUTE(M1894,"/","")))=3,RIGHT(M1894,1)="/"))))),"Home page redirect; ","")&amp;IF(N(R1894)&gt;1,"Chain; ","")&amp;IF(S1894="No","Destination not 200; ","")))</f>
        <v/>
      </c>
      <c r="U1894" s="22" t="n"/>
      <c r="V1894" s="22" t="n"/>
      <c r="W1894" s="4" t="n"/>
    </row>
    <row r="1895">
      <c r="A1895" s="22" t="n"/>
      <c r="B1895" s="22" t="n"/>
      <c r="C1895" s="22" t="n"/>
      <c r="D1895" s="22">
        <f>IF(A1895="","",IF(OR(N(B1895)&gt;=$C$2,N(C1895)&gt;=$E$2),"High",IF(OR(N(B1895)&gt;0,N(C1895)&gt;0),"Medium","Low")))</f>
        <v/>
      </c>
      <c r="E1895" s="22" t="n"/>
      <c r="F1895" s="22" t="n"/>
      <c r="G1895" s="22" t="n"/>
      <c r="H1895" s="22" t="n"/>
      <c r="I1895" s="22" t="n"/>
      <c r="J1895" s="22" t="n"/>
      <c r="K1895" s="22" t="n"/>
      <c r="L1895" s="22" t="n"/>
      <c r="M1895" s="22">
        <f>IF(K1895="Override",L1895,IF(K1895="Accept suggestion",F1895,IF(K1895="No change (same URL)",A1895,"")))</f>
        <v/>
      </c>
      <c r="N1895" s="22">
        <f>IF(A1895="","",IF(K1895="410 Gone","410",IF(K1895="404","404",IF(K1895="No change (same URL)","none",IF(M1895="","","301")))))</f>
        <v/>
      </c>
      <c r="O1895" s="22">
        <f>IF(A1895="","",IFERROR(MID(A1895,FIND("/",A1895,FIND("//",A1895)+2),2000),A1895))</f>
        <v/>
      </c>
      <c r="P1895" s="22">
        <f>IF(OR(O1895="",N1895="",N1895="none",N1895="404"),"",IF(N1895="410","Redirect gone "&amp;O1895,"Redirect "&amp;N1895&amp;" "&amp;O1895&amp;" "&amp;M1895))</f>
        <v/>
      </c>
      <c r="Q1895" s="22" t="n"/>
      <c r="R1895" s="22" t="n"/>
      <c r="S1895" s="22" t="n"/>
      <c r="T1895" s="4">
        <f>IF(A1895="","",TRIM(IF(K1895="","Needs decision; ","")&amp;IF(AND(K1895="Accept suggestion",F1895=""),"No suggestion to accept; ","")&amp;IF(AND(K1895="Override",L1895=""),"Override URL missing; ","")&amp;IF(AND(K1895="Accept suggestion",N(G1895)&lt;$G$2),"Below your threshold; ","")&amp;IF(AND(M1895&lt;&gt;"",M1895=A1895,K1895&lt;&gt;"No change (same URL)"),"Redirects to itself; ","")&amp;IF(AND(M1895&lt;&gt;"",OR(M1895="/",AND(LEFT(M1895,4)="http",OR((LEN(M1895)-LEN(SUBSTITUTE(M1895,"/","")))=2,AND((LEN(M1895)-LEN(SUBSTITUTE(M1895,"/","")))=3,RIGHT(M1895,1)="/"))))),"Home page redirect; ","")&amp;IF(N(R1895)&gt;1,"Chain; ","")&amp;IF(S1895="No","Destination not 200; ","")))</f>
        <v/>
      </c>
      <c r="U1895" s="22" t="n"/>
      <c r="V1895" s="22" t="n"/>
      <c r="W1895" s="4" t="n"/>
    </row>
    <row r="1896">
      <c r="A1896" s="22" t="n"/>
      <c r="B1896" s="22" t="n"/>
      <c r="C1896" s="22" t="n"/>
      <c r="D1896" s="22">
        <f>IF(A1896="","",IF(OR(N(B1896)&gt;=$C$2,N(C1896)&gt;=$E$2),"High",IF(OR(N(B1896)&gt;0,N(C1896)&gt;0),"Medium","Low")))</f>
        <v/>
      </c>
      <c r="E1896" s="22" t="n"/>
      <c r="F1896" s="22" t="n"/>
      <c r="G1896" s="22" t="n"/>
      <c r="H1896" s="22" t="n"/>
      <c r="I1896" s="22" t="n"/>
      <c r="J1896" s="22" t="n"/>
      <c r="K1896" s="22" t="n"/>
      <c r="L1896" s="22" t="n"/>
      <c r="M1896" s="22">
        <f>IF(K1896="Override",L1896,IF(K1896="Accept suggestion",F1896,IF(K1896="No change (same URL)",A1896,"")))</f>
        <v/>
      </c>
      <c r="N1896" s="22">
        <f>IF(A1896="","",IF(K1896="410 Gone","410",IF(K1896="404","404",IF(K1896="No change (same URL)","none",IF(M1896="","","301")))))</f>
        <v/>
      </c>
      <c r="O1896" s="22">
        <f>IF(A1896="","",IFERROR(MID(A1896,FIND("/",A1896,FIND("//",A1896)+2),2000),A1896))</f>
        <v/>
      </c>
      <c r="P1896" s="22">
        <f>IF(OR(O1896="",N1896="",N1896="none",N1896="404"),"",IF(N1896="410","Redirect gone "&amp;O1896,"Redirect "&amp;N1896&amp;" "&amp;O1896&amp;" "&amp;M1896))</f>
        <v/>
      </c>
      <c r="Q1896" s="22" t="n"/>
      <c r="R1896" s="22" t="n"/>
      <c r="S1896" s="22" t="n"/>
      <c r="T1896" s="4">
        <f>IF(A1896="","",TRIM(IF(K1896="","Needs decision; ","")&amp;IF(AND(K1896="Accept suggestion",F1896=""),"No suggestion to accept; ","")&amp;IF(AND(K1896="Override",L1896=""),"Override URL missing; ","")&amp;IF(AND(K1896="Accept suggestion",N(G1896)&lt;$G$2),"Below your threshold; ","")&amp;IF(AND(M1896&lt;&gt;"",M1896=A1896,K1896&lt;&gt;"No change (same URL)"),"Redirects to itself; ","")&amp;IF(AND(M1896&lt;&gt;"",OR(M1896="/",AND(LEFT(M1896,4)="http",OR((LEN(M1896)-LEN(SUBSTITUTE(M1896,"/","")))=2,AND((LEN(M1896)-LEN(SUBSTITUTE(M1896,"/","")))=3,RIGHT(M1896,1)="/"))))),"Home page redirect; ","")&amp;IF(N(R1896)&gt;1,"Chain; ","")&amp;IF(S1896="No","Destination not 200; ","")))</f>
        <v/>
      </c>
      <c r="U1896" s="22" t="n"/>
      <c r="V1896" s="22" t="n"/>
      <c r="W1896" s="4" t="n"/>
    </row>
    <row r="1897">
      <c r="A1897" s="22" t="n"/>
      <c r="B1897" s="22" t="n"/>
      <c r="C1897" s="22" t="n"/>
      <c r="D1897" s="22">
        <f>IF(A1897="","",IF(OR(N(B1897)&gt;=$C$2,N(C1897)&gt;=$E$2),"High",IF(OR(N(B1897)&gt;0,N(C1897)&gt;0),"Medium","Low")))</f>
        <v/>
      </c>
      <c r="E1897" s="22" t="n"/>
      <c r="F1897" s="22" t="n"/>
      <c r="G1897" s="22" t="n"/>
      <c r="H1897" s="22" t="n"/>
      <c r="I1897" s="22" t="n"/>
      <c r="J1897" s="22" t="n"/>
      <c r="K1897" s="22" t="n"/>
      <c r="L1897" s="22" t="n"/>
      <c r="M1897" s="22">
        <f>IF(K1897="Override",L1897,IF(K1897="Accept suggestion",F1897,IF(K1897="No change (same URL)",A1897,"")))</f>
        <v/>
      </c>
      <c r="N1897" s="22">
        <f>IF(A1897="","",IF(K1897="410 Gone","410",IF(K1897="404","404",IF(K1897="No change (same URL)","none",IF(M1897="","","301")))))</f>
        <v/>
      </c>
      <c r="O1897" s="22">
        <f>IF(A1897="","",IFERROR(MID(A1897,FIND("/",A1897,FIND("//",A1897)+2),2000),A1897))</f>
        <v/>
      </c>
      <c r="P1897" s="22">
        <f>IF(OR(O1897="",N1897="",N1897="none",N1897="404"),"",IF(N1897="410","Redirect gone "&amp;O1897,"Redirect "&amp;N1897&amp;" "&amp;O1897&amp;" "&amp;M1897))</f>
        <v/>
      </c>
      <c r="Q1897" s="22" t="n"/>
      <c r="R1897" s="22" t="n"/>
      <c r="S1897" s="22" t="n"/>
      <c r="T1897" s="4">
        <f>IF(A1897="","",TRIM(IF(K1897="","Needs decision; ","")&amp;IF(AND(K1897="Accept suggestion",F1897=""),"No suggestion to accept; ","")&amp;IF(AND(K1897="Override",L1897=""),"Override URL missing; ","")&amp;IF(AND(K1897="Accept suggestion",N(G1897)&lt;$G$2),"Below your threshold; ","")&amp;IF(AND(M1897&lt;&gt;"",M1897=A1897,K1897&lt;&gt;"No change (same URL)"),"Redirects to itself; ","")&amp;IF(AND(M1897&lt;&gt;"",OR(M1897="/",AND(LEFT(M1897,4)="http",OR((LEN(M1897)-LEN(SUBSTITUTE(M1897,"/","")))=2,AND((LEN(M1897)-LEN(SUBSTITUTE(M1897,"/","")))=3,RIGHT(M1897,1)="/"))))),"Home page redirect; ","")&amp;IF(N(R1897)&gt;1,"Chain; ","")&amp;IF(S1897="No","Destination not 200; ","")))</f>
        <v/>
      </c>
      <c r="U1897" s="22" t="n"/>
      <c r="V1897" s="22" t="n"/>
      <c r="W1897" s="4" t="n"/>
    </row>
    <row r="1898">
      <c r="A1898" s="22" t="n"/>
      <c r="B1898" s="22" t="n"/>
      <c r="C1898" s="22" t="n"/>
      <c r="D1898" s="22">
        <f>IF(A1898="","",IF(OR(N(B1898)&gt;=$C$2,N(C1898)&gt;=$E$2),"High",IF(OR(N(B1898)&gt;0,N(C1898)&gt;0),"Medium","Low")))</f>
        <v/>
      </c>
      <c r="E1898" s="22" t="n"/>
      <c r="F1898" s="22" t="n"/>
      <c r="G1898" s="22" t="n"/>
      <c r="H1898" s="22" t="n"/>
      <c r="I1898" s="22" t="n"/>
      <c r="J1898" s="22" t="n"/>
      <c r="K1898" s="22" t="n"/>
      <c r="L1898" s="22" t="n"/>
      <c r="M1898" s="22">
        <f>IF(K1898="Override",L1898,IF(K1898="Accept suggestion",F1898,IF(K1898="No change (same URL)",A1898,"")))</f>
        <v/>
      </c>
      <c r="N1898" s="22">
        <f>IF(A1898="","",IF(K1898="410 Gone","410",IF(K1898="404","404",IF(K1898="No change (same URL)","none",IF(M1898="","","301")))))</f>
        <v/>
      </c>
      <c r="O1898" s="22">
        <f>IF(A1898="","",IFERROR(MID(A1898,FIND("/",A1898,FIND("//",A1898)+2),2000),A1898))</f>
        <v/>
      </c>
      <c r="P1898" s="22">
        <f>IF(OR(O1898="",N1898="",N1898="none",N1898="404"),"",IF(N1898="410","Redirect gone "&amp;O1898,"Redirect "&amp;N1898&amp;" "&amp;O1898&amp;" "&amp;M1898))</f>
        <v/>
      </c>
      <c r="Q1898" s="22" t="n"/>
      <c r="R1898" s="22" t="n"/>
      <c r="S1898" s="22" t="n"/>
      <c r="T1898" s="4">
        <f>IF(A1898="","",TRIM(IF(K1898="","Needs decision; ","")&amp;IF(AND(K1898="Accept suggestion",F1898=""),"No suggestion to accept; ","")&amp;IF(AND(K1898="Override",L1898=""),"Override URL missing; ","")&amp;IF(AND(K1898="Accept suggestion",N(G1898)&lt;$G$2),"Below your threshold; ","")&amp;IF(AND(M1898&lt;&gt;"",M1898=A1898,K1898&lt;&gt;"No change (same URL)"),"Redirects to itself; ","")&amp;IF(AND(M1898&lt;&gt;"",OR(M1898="/",AND(LEFT(M1898,4)="http",OR((LEN(M1898)-LEN(SUBSTITUTE(M1898,"/","")))=2,AND((LEN(M1898)-LEN(SUBSTITUTE(M1898,"/","")))=3,RIGHT(M1898,1)="/"))))),"Home page redirect; ","")&amp;IF(N(R1898)&gt;1,"Chain; ","")&amp;IF(S1898="No","Destination not 200; ","")))</f>
        <v/>
      </c>
      <c r="U1898" s="22" t="n"/>
      <c r="V1898" s="22" t="n"/>
      <c r="W1898" s="4" t="n"/>
    </row>
    <row r="1899">
      <c r="A1899" s="22" t="n"/>
      <c r="B1899" s="22" t="n"/>
      <c r="C1899" s="22" t="n"/>
      <c r="D1899" s="22">
        <f>IF(A1899="","",IF(OR(N(B1899)&gt;=$C$2,N(C1899)&gt;=$E$2),"High",IF(OR(N(B1899)&gt;0,N(C1899)&gt;0),"Medium","Low")))</f>
        <v/>
      </c>
      <c r="E1899" s="22" t="n"/>
      <c r="F1899" s="22" t="n"/>
      <c r="G1899" s="22" t="n"/>
      <c r="H1899" s="22" t="n"/>
      <c r="I1899" s="22" t="n"/>
      <c r="J1899" s="22" t="n"/>
      <c r="K1899" s="22" t="n"/>
      <c r="L1899" s="22" t="n"/>
      <c r="M1899" s="22">
        <f>IF(K1899="Override",L1899,IF(K1899="Accept suggestion",F1899,IF(K1899="No change (same URL)",A1899,"")))</f>
        <v/>
      </c>
      <c r="N1899" s="22">
        <f>IF(A1899="","",IF(K1899="410 Gone","410",IF(K1899="404","404",IF(K1899="No change (same URL)","none",IF(M1899="","","301")))))</f>
        <v/>
      </c>
      <c r="O1899" s="22">
        <f>IF(A1899="","",IFERROR(MID(A1899,FIND("/",A1899,FIND("//",A1899)+2),2000),A1899))</f>
        <v/>
      </c>
      <c r="P1899" s="22">
        <f>IF(OR(O1899="",N1899="",N1899="none",N1899="404"),"",IF(N1899="410","Redirect gone "&amp;O1899,"Redirect "&amp;N1899&amp;" "&amp;O1899&amp;" "&amp;M1899))</f>
        <v/>
      </c>
      <c r="Q1899" s="22" t="n"/>
      <c r="R1899" s="22" t="n"/>
      <c r="S1899" s="22" t="n"/>
      <c r="T1899" s="4">
        <f>IF(A1899="","",TRIM(IF(K1899="","Needs decision; ","")&amp;IF(AND(K1899="Accept suggestion",F1899=""),"No suggestion to accept; ","")&amp;IF(AND(K1899="Override",L1899=""),"Override URL missing; ","")&amp;IF(AND(K1899="Accept suggestion",N(G1899)&lt;$G$2),"Below your threshold; ","")&amp;IF(AND(M1899&lt;&gt;"",M1899=A1899,K1899&lt;&gt;"No change (same URL)"),"Redirects to itself; ","")&amp;IF(AND(M1899&lt;&gt;"",OR(M1899="/",AND(LEFT(M1899,4)="http",OR((LEN(M1899)-LEN(SUBSTITUTE(M1899,"/","")))=2,AND((LEN(M1899)-LEN(SUBSTITUTE(M1899,"/","")))=3,RIGHT(M1899,1)="/"))))),"Home page redirect; ","")&amp;IF(N(R1899)&gt;1,"Chain; ","")&amp;IF(S1899="No","Destination not 200; ","")))</f>
        <v/>
      </c>
      <c r="U1899" s="22" t="n"/>
      <c r="V1899" s="22" t="n"/>
      <c r="W1899" s="4" t="n"/>
    </row>
    <row r="1900">
      <c r="A1900" s="22" t="n"/>
      <c r="B1900" s="22" t="n"/>
      <c r="C1900" s="22" t="n"/>
      <c r="D1900" s="22">
        <f>IF(A1900="","",IF(OR(N(B1900)&gt;=$C$2,N(C1900)&gt;=$E$2),"High",IF(OR(N(B1900)&gt;0,N(C1900)&gt;0),"Medium","Low")))</f>
        <v/>
      </c>
      <c r="E1900" s="22" t="n"/>
      <c r="F1900" s="22" t="n"/>
      <c r="G1900" s="22" t="n"/>
      <c r="H1900" s="22" t="n"/>
      <c r="I1900" s="22" t="n"/>
      <c r="J1900" s="22" t="n"/>
      <c r="K1900" s="22" t="n"/>
      <c r="L1900" s="22" t="n"/>
      <c r="M1900" s="22">
        <f>IF(K1900="Override",L1900,IF(K1900="Accept suggestion",F1900,IF(K1900="No change (same URL)",A1900,"")))</f>
        <v/>
      </c>
      <c r="N1900" s="22">
        <f>IF(A1900="","",IF(K1900="410 Gone","410",IF(K1900="404","404",IF(K1900="No change (same URL)","none",IF(M1900="","","301")))))</f>
        <v/>
      </c>
      <c r="O1900" s="22">
        <f>IF(A1900="","",IFERROR(MID(A1900,FIND("/",A1900,FIND("//",A1900)+2),2000),A1900))</f>
        <v/>
      </c>
      <c r="P1900" s="22">
        <f>IF(OR(O1900="",N1900="",N1900="none",N1900="404"),"",IF(N1900="410","Redirect gone "&amp;O1900,"Redirect "&amp;N1900&amp;" "&amp;O1900&amp;" "&amp;M1900))</f>
        <v/>
      </c>
      <c r="Q1900" s="22" t="n"/>
      <c r="R1900" s="22" t="n"/>
      <c r="S1900" s="22" t="n"/>
      <c r="T1900" s="4">
        <f>IF(A1900="","",TRIM(IF(K1900="","Needs decision; ","")&amp;IF(AND(K1900="Accept suggestion",F1900=""),"No suggestion to accept; ","")&amp;IF(AND(K1900="Override",L1900=""),"Override URL missing; ","")&amp;IF(AND(K1900="Accept suggestion",N(G1900)&lt;$G$2),"Below your threshold; ","")&amp;IF(AND(M1900&lt;&gt;"",M1900=A1900,K1900&lt;&gt;"No change (same URL)"),"Redirects to itself; ","")&amp;IF(AND(M1900&lt;&gt;"",OR(M1900="/",AND(LEFT(M1900,4)="http",OR((LEN(M1900)-LEN(SUBSTITUTE(M1900,"/","")))=2,AND((LEN(M1900)-LEN(SUBSTITUTE(M1900,"/","")))=3,RIGHT(M1900,1)="/"))))),"Home page redirect; ","")&amp;IF(N(R1900)&gt;1,"Chain; ","")&amp;IF(S1900="No","Destination not 200; ","")))</f>
        <v/>
      </c>
      <c r="U1900" s="22" t="n"/>
      <c r="V1900" s="22" t="n"/>
      <c r="W1900" s="4" t="n"/>
    </row>
    <row r="1901">
      <c r="A1901" s="22" t="n"/>
      <c r="B1901" s="22" t="n"/>
      <c r="C1901" s="22" t="n"/>
      <c r="D1901" s="22">
        <f>IF(A1901="","",IF(OR(N(B1901)&gt;=$C$2,N(C1901)&gt;=$E$2),"High",IF(OR(N(B1901)&gt;0,N(C1901)&gt;0),"Medium","Low")))</f>
        <v/>
      </c>
      <c r="E1901" s="22" t="n"/>
      <c r="F1901" s="22" t="n"/>
      <c r="G1901" s="22" t="n"/>
      <c r="H1901" s="22" t="n"/>
      <c r="I1901" s="22" t="n"/>
      <c r="J1901" s="22" t="n"/>
      <c r="K1901" s="22" t="n"/>
      <c r="L1901" s="22" t="n"/>
      <c r="M1901" s="22">
        <f>IF(K1901="Override",L1901,IF(K1901="Accept suggestion",F1901,IF(K1901="No change (same URL)",A1901,"")))</f>
        <v/>
      </c>
      <c r="N1901" s="22">
        <f>IF(A1901="","",IF(K1901="410 Gone","410",IF(K1901="404","404",IF(K1901="No change (same URL)","none",IF(M1901="","","301")))))</f>
        <v/>
      </c>
      <c r="O1901" s="22">
        <f>IF(A1901="","",IFERROR(MID(A1901,FIND("/",A1901,FIND("//",A1901)+2),2000),A1901))</f>
        <v/>
      </c>
      <c r="P1901" s="22">
        <f>IF(OR(O1901="",N1901="",N1901="none",N1901="404"),"",IF(N1901="410","Redirect gone "&amp;O1901,"Redirect "&amp;N1901&amp;" "&amp;O1901&amp;" "&amp;M1901))</f>
        <v/>
      </c>
      <c r="Q1901" s="22" t="n"/>
      <c r="R1901" s="22" t="n"/>
      <c r="S1901" s="22" t="n"/>
      <c r="T1901" s="4">
        <f>IF(A1901="","",TRIM(IF(K1901="","Needs decision; ","")&amp;IF(AND(K1901="Accept suggestion",F1901=""),"No suggestion to accept; ","")&amp;IF(AND(K1901="Override",L1901=""),"Override URL missing; ","")&amp;IF(AND(K1901="Accept suggestion",N(G1901)&lt;$G$2),"Below your threshold; ","")&amp;IF(AND(M1901&lt;&gt;"",M1901=A1901,K1901&lt;&gt;"No change (same URL)"),"Redirects to itself; ","")&amp;IF(AND(M1901&lt;&gt;"",OR(M1901="/",AND(LEFT(M1901,4)="http",OR((LEN(M1901)-LEN(SUBSTITUTE(M1901,"/","")))=2,AND((LEN(M1901)-LEN(SUBSTITUTE(M1901,"/","")))=3,RIGHT(M1901,1)="/"))))),"Home page redirect; ","")&amp;IF(N(R1901)&gt;1,"Chain; ","")&amp;IF(S1901="No","Destination not 200; ","")))</f>
        <v/>
      </c>
      <c r="U1901" s="22" t="n"/>
      <c r="V1901" s="22" t="n"/>
      <c r="W1901" s="4" t="n"/>
    </row>
    <row r="1902">
      <c r="A1902" s="22" t="n"/>
      <c r="B1902" s="22" t="n"/>
      <c r="C1902" s="22" t="n"/>
      <c r="D1902" s="22">
        <f>IF(A1902="","",IF(OR(N(B1902)&gt;=$C$2,N(C1902)&gt;=$E$2),"High",IF(OR(N(B1902)&gt;0,N(C1902)&gt;0),"Medium","Low")))</f>
        <v/>
      </c>
      <c r="E1902" s="22" t="n"/>
      <c r="F1902" s="22" t="n"/>
      <c r="G1902" s="22" t="n"/>
      <c r="H1902" s="22" t="n"/>
      <c r="I1902" s="22" t="n"/>
      <c r="J1902" s="22" t="n"/>
      <c r="K1902" s="22" t="n"/>
      <c r="L1902" s="22" t="n"/>
      <c r="M1902" s="22">
        <f>IF(K1902="Override",L1902,IF(K1902="Accept suggestion",F1902,IF(K1902="No change (same URL)",A1902,"")))</f>
        <v/>
      </c>
      <c r="N1902" s="22">
        <f>IF(A1902="","",IF(K1902="410 Gone","410",IF(K1902="404","404",IF(K1902="No change (same URL)","none",IF(M1902="","","301")))))</f>
        <v/>
      </c>
      <c r="O1902" s="22">
        <f>IF(A1902="","",IFERROR(MID(A1902,FIND("/",A1902,FIND("//",A1902)+2),2000),A1902))</f>
        <v/>
      </c>
      <c r="P1902" s="22">
        <f>IF(OR(O1902="",N1902="",N1902="none",N1902="404"),"",IF(N1902="410","Redirect gone "&amp;O1902,"Redirect "&amp;N1902&amp;" "&amp;O1902&amp;" "&amp;M1902))</f>
        <v/>
      </c>
      <c r="Q1902" s="22" t="n"/>
      <c r="R1902" s="22" t="n"/>
      <c r="S1902" s="22" t="n"/>
      <c r="T1902" s="4">
        <f>IF(A1902="","",TRIM(IF(K1902="","Needs decision; ","")&amp;IF(AND(K1902="Accept suggestion",F1902=""),"No suggestion to accept; ","")&amp;IF(AND(K1902="Override",L1902=""),"Override URL missing; ","")&amp;IF(AND(K1902="Accept suggestion",N(G1902)&lt;$G$2),"Below your threshold; ","")&amp;IF(AND(M1902&lt;&gt;"",M1902=A1902,K1902&lt;&gt;"No change (same URL)"),"Redirects to itself; ","")&amp;IF(AND(M1902&lt;&gt;"",OR(M1902="/",AND(LEFT(M1902,4)="http",OR((LEN(M1902)-LEN(SUBSTITUTE(M1902,"/","")))=2,AND((LEN(M1902)-LEN(SUBSTITUTE(M1902,"/","")))=3,RIGHT(M1902,1)="/"))))),"Home page redirect; ","")&amp;IF(N(R1902)&gt;1,"Chain; ","")&amp;IF(S1902="No","Destination not 200; ","")))</f>
        <v/>
      </c>
      <c r="U1902" s="22" t="n"/>
      <c r="V1902" s="22" t="n"/>
      <c r="W1902" s="4" t="n"/>
    </row>
    <row r="1903">
      <c r="A1903" s="22" t="n"/>
      <c r="B1903" s="22" t="n"/>
      <c r="C1903" s="22" t="n"/>
      <c r="D1903" s="22">
        <f>IF(A1903="","",IF(OR(N(B1903)&gt;=$C$2,N(C1903)&gt;=$E$2),"High",IF(OR(N(B1903)&gt;0,N(C1903)&gt;0),"Medium","Low")))</f>
        <v/>
      </c>
      <c r="E1903" s="22" t="n"/>
      <c r="F1903" s="22" t="n"/>
      <c r="G1903" s="22" t="n"/>
      <c r="H1903" s="22" t="n"/>
      <c r="I1903" s="22" t="n"/>
      <c r="J1903" s="22" t="n"/>
      <c r="K1903" s="22" t="n"/>
      <c r="L1903" s="22" t="n"/>
      <c r="M1903" s="22">
        <f>IF(K1903="Override",L1903,IF(K1903="Accept suggestion",F1903,IF(K1903="No change (same URL)",A1903,"")))</f>
        <v/>
      </c>
      <c r="N1903" s="22">
        <f>IF(A1903="","",IF(K1903="410 Gone","410",IF(K1903="404","404",IF(K1903="No change (same URL)","none",IF(M1903="","","301")))))</f>
        <v/>
      </c>
      <c r="O1903" s="22">
        <f>IF(A1903="","",IFERROR(MID(A1903,FIND("/",A1903,FIND("//",A1903)+2),2000),A1903))</f>
        <v/>
      </c>
      <c r="P1903" s="22">
        <f>IF(OR(O1903="",N1903="",N1903="none",N1903="404"),"",IF(N1903="410","Redirect gone "&amp;O1903,"Redirect "&amp;N1903&amp;" "&amp;O1903&amp;" "&amp;M1903))</f>
        <v/>
      </c>
      <c r="Q1903" s="22" t="n"/>
      <c r="R1903" s="22" t="n"/>
      <c r="S1903" s="22" t="n"/>
      <c r="T1903" s="4">
        <f>IF(A1903="","",TRIM(IF(K1903="","Needs decision; ","")&amp;IF(AND(K1903="Accept suggestion",F1903=""),"No suggestion to accept; ","")&amp;IF(AND(K1903="Override",L1903=""),"Override URL missing; ","")&amp;IF(AND(K1903="Accept suggestion",N(G1903)&lt;$G$2),"Below your threshold; ","")&amp;IF(AND(M1903&lt;&gt;"",M1903=A1903,K1903&lt;&gt;"No change (same URL)"),"Redirects to itself; ","")&amp;IF(AND(M1903&lt;&gt;"",OR(M1903="/",AND(LEFT(M1903,4)="http",OR((LEN(M1903)-LEN(SUBSTITUTE(M1903,"/","")))=2,AND((LEN(M1903)-LEN(SUBSTITUTE(M1903,"/","")))=3,RIGHT(M1903,1)="/"))))),"Home page redirect; ","")&amp;IF(N(R1903)&gt;1,"Chain; ","")&amp;IF(S1903="No","Destination not 200; ","")))</f>
        <v/>
      </c>
      <c r="U1903" s="22" t="n"/>
      <c r="V1903" s="22" t="n"/>
      <c r="W1903" s="4" t="n"/>
    </row>
    <row r="1904">
      <c r="A1904" s="22" t="n"/>
      <c r="B1904" s="22" t="n"/>
      <c r="C1904" s="22" t="n"/>
      <c r="D1904" s="22">
        <f>IF(A1904="","",IF(OR(N(B1904)&gt;=$C$2,N(C1904)&gt;=$E$2),"High",IF(OR(N(B1904)&gt;0,N(C1904)&gt;0),"Medium","Low")))</f>
        <v/>
      </c>
      <c r="E1904" s="22" t="n"/>
      <c r="F1904" s="22" t="n"/>
      <c r="G1904" s="22" t="n"/>
      <c r="H1904" s="22" t="n"/>
      <c r="I1904" s="22" t="n"/>
      <c r="J1904" s="22" t="n"/>
      <c r="K1904" s="22" t="n"/>
      <c r="L1904" s="22" t="n"/>
      <c r="M1904" s="22">
        <f>IF(K1904="Override",L1904,IF(K1904="Accept suggestion",F1904,IF(K1904="No change (same URL)",A1904,"")))</f>
        <v/>
      </c>
      <c r="N1904" s="22">
        <f>IF(A1904="","",IF(K1904="410 Gone","410",IF(K1904="404","404",IF(K1904="No change (same URL)","none",IF(M1904="","","301")))))</f>
        <v/>
      </c>
      <c r="O1904" s="22">
        <f>IF(A1904="","",IFERROR(MID(A1904,FIND("/",A1904,FIND("//",A1904)+2),2000),A1904))</f>
        <v/>
      </c>
      <c r="P1904" s="22">
        <f>IF(OR(O1904="",N1904="",N1904="none",N1904="404"),"",IF(N1904="410","Redirect gone "&amp;O1904,"Redirect "&amp;N1904&amp;" "&amp;O1904&amp;" "&amp;M1904))</f>
        <v/>
      </c>
      <c r="Q1904" s="22" t="n"/>
      <c r="R1904" s="22" t="n"/>
      <c r="S1904" s="22" t="n"/>
      <c r="T1904" s="4">
        <f>IF(A1904="","",TRIM(IF(K1904="","Needs decision; ","")&amp;IF(AND(K1904="Accept suggestion",F1904=""),"No suggestion to accept; ","")&amp;IF(AND(K1904="Override",L1904=""),"Override URL missing; ","")&amp;IF(AND(K1904="Accept suggestion",N(G1904)&lt;$G$2),"Below your threshold; ","")&amp;IF(AND(M1904&lt;&gt;"",M1904=A1904,K1904&lt;&gt;"No change (same URL)"),"Redirects to itself; ","")&amp;IF(AND(M1904&lt;&gt;"",OR(M1904="/",AND(LEFT(M1904,4)="http",OR((LEN(M1904)-LEN(SUBSTITUTE(M1904,"/","")))=2,AND((LEN(M1904)-LEN(SUBSTITUTE(M1904,"/","")))=3,RIGHT(M1904,1)="/"))))),"Home page redirect; ","")&amp;IF(N(R1904)&gt;1,"Chain; ","")&amp;IF(S1904="No","Destination not 200; ","")))</f>
        <v/>
      </c>
      <c r="U1904" s="22" t="n"/>
      <c r="V1904" s="22" t="n"/>
      <c r="W1904" s="4" t="n"/>
    </row>
    <row r="1905">
      <c r="A1905" s="22" t="n"/>
      <c r="B1905" s="22" t="n"/>
      <c r="C1905" s="22" t="n"/>
      <c r="D1905" s="22">
        <f>IF(A1905="","",IF(OR(N(B1905)&gt;=$C$2,N(C1905)&gt;=$E$2),"High",IF(OR(N(B1905)&gt;0,N(C1905)&gt;0),"Medium","Low")))</f>
        <v/>
      </c>
      <c r="E1905" s="22" t="n"/>
      <c r="F1905" s="22" t="n"/>
      <c r="G1905" s="22" t="n"/>
      <c r="H1905" s="22" t="n"/>
      <c r="I1905" s="22" t="n"/>
      <c r="J1905" s="22" t="n"/>
      <c r="K1905" s="22" t="n"/>
      <c r="L1905" s="22" t="n"/>
      <c r="M1905" s="22">
        <f>IF(K1905="Override",L1905,IF(K1905="Accept suggestion",F1905,IF(K1905="No change (same URL)",A1905,"")))</f>
        <v/>
      </c>
      <c r="N1905" s="22">
        <f>IF(A1905="","",IF(K1905="410 Gone","410",IF(K1905="404","404",IF(K1905="No change (same URL)","none",IF(M1905="","","301")))))</f>
        <v/>
      </c>
      <c r="O1905" s="22">
        <f>IF(A1905="","",IFERROR(MID(A1905,FIND("/",A1905,FIND("//",A1905)+2),2000),A1905))</f>
        <v/>
      </c>
      <c r="P1905" s="22">
        <f>IF(OR(O1905="",N1905="",N1905="none",N1905="404"),"",IF(N1905="410","Redirect gone "&amp;O1905,"Redirect "&amp;N1905&amp;" "&amp;O1905&amp;" "&amp;M1905))</f>
        <v/>
      </c>
      <c r="Q1905" s="22" t="n"/>
      <c r="R1905" s="22" t="n"/>
      <c r="S1905" s="22" t="n"/>
      <c r="T1905" s="4">
        <f>IF(A1905="","",TRIM(IF(K1905="","Needs decision; ","")&amp;IF(AND(K1905="Accept suggestion",F1905=""),"No suggestion to accept; ","")&amp;IF(AND(K1905="Override",L1905=""),"Override URL missing; ","")&amp;IF(AND(K1905="Accept suggestion",N(G1905)&lt;$G$2),"Below your threshold; ","")&amp;IF(AND(M1905&lt;&gt;"",M1905=A1905,K1905&lt;&gt;"No change (same URL)"),"Redirects to itself; ","")&amp;IF(AND(M1905&lt;&gt;"",OR(M1905="/",AND(LEFT(M1905,4)="http",OR((LEN(M1905)-LEN(SUBSTITUTE(M1905,"/","")))=2,AND((LEN(M1905)-LEN(SUBSTITUTE(M1905,"/","")))=3,RIGHT(M1905,1)="/"))))),"Home page redirect; ","")&amp;IF(N(R1905)&gt;1,"Chain; ","")&amp;IF(S1905="No","Destination not 200; ","")))</f>
        <v/>
      </c>
      <c r="U1905" s="22" t="n"/>
      <c r="V1905" s="22" t="n"/>
      <c r="W1905" s="4" t="n"/>
    </row>
    <row r="1906">
      <c r="A1906" s="22" t="n"/>
      <c r="B1906" s="22" t="n"/>
      <c r="C1906" s="22" t="n"/>
      <c r="D1906" s="22">
        <f>IF(A1906="","",IF(OR(N(B1906)&gt;=$C$2,N(C1906)&gt;=$E$2),"High",IF(OR(N(B1906)&gt;0,N(C1906)&gt;0),"Medium","Low")))</f>
        <v/>
      </c>
      <c r="E1906" s="22" t="n"/>
      <c r="F1906" s="22" t="n"/>
      <c r="G1906" s="22" t="n"/>
      <c r="H1906" s="22" t="n"/>
      <c r="I1906" s="22" t="n"/>
      <c r="J1906" s="22" t="n"/>
      <c r="K1906" s="22" t="n"/>
      <c r="L1906" s="22" t="n"/>
      <c r="M1906" s="22">
        <f>IF(K1906="Override",L1906,IF(K1906="Accept suggestion",F1906,IF(K1906="No change (same URL)",A1906,"")))</f>
        <v/>
      </c>
      <c r="N1906" s="22">
        <f>IF(A1906="","",IF(K1906="410 Gone","410",IF(K1906="404","404",IF(K1906="No change (same URL)","none",IF(M1906="","","301")))))</f>
        <v/>
      </c>
      <c r="O1906" s="22">
        <f>IF(A1906="","",IFERROR(MID(A1906,FIND("/",A1906,FIND("//",A1906)+2),2000),A1906))</f>
        <v/>
      </c>
      <c r="P1906" s="22">
        <f>IF(OR(O1906="",N1906="",N1906="none",N1906="404"),"",IF(N1906="410","Redirect gone "&amp;O1906,"Redirect "&amp;N1906&amp;" "&amp;O1906&amp;" "&amp;M1906))</f>
        <v/>
      </c>
      <c r="Q1906" s="22" t="n"/>
      <c r="R1906" s="22" t="n"/>
      <c r="S1906" s="22" t="n"/>
      <c r="T1906" s="4">
        <f>IF(A1906="","",TRIM(IF(K1906="","Needs decision; ","")&amp;IF(AND(K1906="Accept suggestion",F1906=""),"No suggestion to accept; ","")&amp;IF(AND(K1906="Override",L1906=""),"Override URL missing; ","")&amp;IF(AND(K1906="Accept suggestion",N(G1906)&lt;$G$2),"Below your threshold; ","")&amp;IF(AND(M1906&lt;&gt;"",M1906=A1906,K1906&lt;&gt;"No change (same URL)"),"Redirects to itself; ","")&amp;IF(AND(M1906&lt;&gt;"",OR(M1906="/",AND(LEFT(M1906,4)="http",OR((LEN(M1906)-LEN(SUBSTITUTE(M1906,"/","")))=2,AND((LEN(M1906)-LEN(SUBSTITUTE(M1906,"/","")))=3,RIGHT(M1906,1)="/"))))),"Home page redirect; ","")&amp;IF(N(R1906)&gt;1,"Chain; ","")&amp;IF(S1906="No","Destination not 200; ","")))</f>
        <v/>
      </c>
      <c r="U1906" s="22" t="n"/>
      <c r="V1906" s="22" t="n"/>
      <c r="W1906" s="4" t="n"/>
    </row>
    <row r="1907">
      <c r="A1907" s="22" t="n"/>
      <c r="B1907" s="22" t="n"/>
      <c r="C1907" s="22" t="n"/>
      <c r="D1907" s="22">
        <f>IF(A1907="","",IF(OR(N(B1907)&gt;=$C$2,N(C1907)&gt;=$E$2),"High",IF(OR(N(B1907)&gt;0,N(C1907)&gt;0),"Medium","Low")))</f>
        <v/>
      </c>
      <c r="E1907" s="22" t="n"/>
      <c r="F1907" s="22" t="n"/>
      <c r="G1907" s="22" t="n"/>
      <c r="H1907" s="22" t="n"/>
      <c r="I1907" s="22" t="n"/>
      <c r="J1907" s="22" t="n"/>
      <c r="K1907" s="22" t="n"/>
      <c r="L1907" s="22" t="n"/>
      <c r="M1907" s="22">
        <f>IF(K1907="Override",L1907,IF(K1907="Accept suggestion",F1907,IF(K1907="No change (same URL)",A1907,"")))</f>
        <v/>
      </c>
      <c r="N1907" s="22">
        <f>IF(A1907="","",IF(K1907="410 Gone","410",IF(K1907="404","404",IF(K1907="No change (same URL)","none",IF(M1907="","","301")))))</f>
        <v/>
      </c>
      <c r="O1907" s="22">
        <f>IF(A1907="","",IFERROR(MID(A1907,FIND("/",A1907,FIND("//",A1907)+2),2000),A1907))</f>
        <v/>
      </c>
      <c r="P1907" s="22">
        <f>IF(OR(O1907="",N1907="",N1907="none",N1907="404"),"",IF(N1907="410","Redirect gone "&amp;O1907,"Redirect "&amp;N1907&amp;" "&amp;O1907&amp;" "&amp;M1907))</f>
        <v/>
      </c>
      <c r="Q1907" s="22" t="n"/>
      <c r="R1907" s="22" t="n"/>
      <c r="S1907" s="22" t="n"/>
      <c r="T1907" s="4">
        <f>IF(A1907="","",TRIM(IF(K1907="","Needs decision; ","")&amp;IF(AND(K1907="Accept suggestion",F1907=""),"No suggestion to accept; ","")&amp;IF(AND(K1907="Override",L1907=""),"Override URL missing; ","")&amp;IF(AND(K1907="Accept suggestion",N(G1907)&lt;$G$2),"Below your threshold; ","")&amp;IF(AND(M1907&lt;&gt;"",M1907=A1907,K1907&lt;&gt;"No change (same URL)"),"Redirects to itself; ","")&amp;IF(AND(M1907&lt;&gt;"",OR(M1907="/",AND(LEFT(M1907,4)="http",OR((LEN(M1907)-LEN(SUBSTITUTE(M1907,"/","")))=2,AND((LEN(M1907)-LEN(SUBSTITUTE(M1907,"/","")))=3,RIGHT(M1907,1)="/"))))),"Home page redirect; ","")&amp;IF(N(R1907)&gt;1,"Chain; ","")&amp;IF(S1907="No","Destination not 200; ","")))</f>
        <v/>
      </c>
      <c r="U1907" s="22" t="n"/>
      <c r="V1907" s="22" t="n"/>
      <c r="W1907" s="4" t="n"/>
    </row>
    <row r="1908">
      <c r="A1908" s="22" t="n"/>
      <c r="B1908" s="22" t="n"/>
      <c r="C1908" s="22" t="n"/>
      <c r="D1908" s="22">
        <f>IF(A1908="","",IF(OR(N(B1908)&gt;=$C$2,N(C1908)&gt;=$E$2),"High",IF(OR(N(B1908)&gt;0,N(C1908)&gt;0),"Medium","Low")))</f>
        <v/>
      </c>
      <c r="E1908" s="22" t="n"/>
      <c r="F1908" s="22" t="n"/>
      <c r="G1908" s="22" t="n"/>
      <c r="H1908" s="22" t="n"/>
      <c r="I1908" s="22" t="n"/>
      <c r="J1908" s="22" t="n"/>
      <c r="K1908" s="22" t="n"/>
      <c r="L1908" s="22" t="n"/>
      <c r="M1908" s="22">
        <f>IF(K1908="Override",L1908,IF(K1908="Accept suggestion",F1908,IF(K1908="No change (same URL)",A1908,"")))</f>
        <v/>
      </c>
      <c r="N1908" s="22">
        <f>IF(A1908="","",IF(K1908="410 Gone","410",IF(K1908="404","404",IF(K1908="No change (same URL)","none",IF(M1908="","","301")))))</f>
        <v/>
      </c>
      <c r="O1908" s="22">
        <f>IF(A1908="","",IFERROR(MID(A1908,FIND("/",A1908,FIND("//",A1908)+2),2000),A1908))</f>
        <v/>
      </c>
      <c r="P1908" s="22">
        <f>IF(OR(O1908="",N1908="",N1908="none",N1908="404"),"",IF(N1908="410","Redirect gone "&amp;O1908,"Redirect "&amp;N1908&amp;" "&amp;O1908&amp;" "&amp;M1908))</f>
        <v/>
      </c>
      <c r="Q1908" s="22" t="n"/>
      <c r="R1908" s="22" t="n"/>
      <c r="S1908" s="22" t="n"/>
      <c r="T1908" s="4">
        <f>IF(A1908="","",TRIM(IF(K1908="","Needs decision; ","")&amp;IF(AND(K1908="Accept suggestion",F1908=""),"No suggestion to accept; ","")&amp;IF(AND(K1908="Override",L1908=""),"Override URL missing; ","")&amp;IF(AND(K1908="Accept suggestion",N(G1908)&lt;$G$2),"Below your threshold; ","")&amp;IF(AND(M1908&lt;&gt;"",M1908=A1908,K1908&lt;&gt;"No change (same URL)"),"Redirects to itself; ","")&amp;IF(AND(M1908&lt;&gt;"",OR(M1908="/",AND(LEFT(M1908,4)="http",OR((LEN(M1908)-LEN(SUBSTITUTE(M1908,"/","")))=2,AND((LEN(M1908)-LEN(SUBSTITUTE(M1908,"/","")))=3,RIGHT(M1908,1)="/"))))),"Home page redirect; ","")&amp;IF(N(R1908)&gt;1,"Chain; ","")&amp;IF(S1908="No","Destination not 200; ","")))</f>
        <v/>
      </c>
      <c r="U1908" s="22" t="n"/>
      <c r="V1908" s="22" t="n"/>
      <c r="W1908" s="4" t="n"/>
    </row>
    <row r="1909">
      <c r="A1909" s="22" t="n"/>
      <c r="B1909" s="22" t="n"/>
      <c r="C1909" s="22" t="n"/>
      <c r="D1909" s="22">
        <f>IF(A1909="","",IF(OR(N(B1909)&gt;=$C$2,N(C1909)&gt;=$E$2),"High",IF(OR(N(B1909)&gt;0,N(C1909)&gt;0),"Medium","Low")))</f>
        <v/>
      </c>
      <c r="E1909" s="22" t="n"/>
      <c r="F1909" s="22" t="n"/>
      <c r="G1909" s="22" t="n"/>
      <c r="H1909" s="22" t="n"/>
      <c r="I1909" s="22" t="n"/>
      <c r="J1909" s="22" t="n"/>
      <c r="K1909" s="22" t="n"/>
      <c r="L1909" s="22" t="n"/>
      <c r="M1909" s="22">
        <f>IF(K1909="Override",L1909,IF(K1909="Accept suggestion",F1909,IF(K1909="No change (same URL)",A1909,"")))</f>
        <v/>
      </c>
      <c r="N1909" s="22">
        <f>IF(A1909="","",IF(K1909="410 Gone","410",IF(K1909="404","404",IF(K1909="No change (same URL)","none",IF(M1909="","","301")))))</f>
        <v/>
      </c>
      <c r="O1909" s="22">
        <f>IF(A1909="","",IFERROR(MID(A1909,FIND("/",A1909,FIND("//",A1909)+2),2000),A1909))</f>
        <v/>
      </c>
      <c r="P1909" s="22">
        <f>IF(OR(O1909="",N1909="",N1909="none",N1909="404"),"",IF(N1909="410","Redirect gone "&amp;O1909,"Redirect "&amp;N1909&amp;" "&amp;O1909&amp;" "&amp;M1909))</f>
        <v/>
      </c>
      <c r="Q1909" s="22" t="n"/>
      <c r="R1909" s="22" t="n"/>
      <c r="S1909" s="22" t="n"/>
      <c r="T1909" s="4">
        <f>IF(A1909="","",TRIM(IF(K1909="","Needs decision; ","")&amp;IF(AND(K1909="Accept suggestion",F1909=""),"No suggestion to accept; ","")&amp;IF(AND(K1909="Override",L1909=""),"Override URL missing; ","")&amp;IF(AND(K1909="Accept suggestion",N(G1909)&lt;$G$2),"Below your threshold; ","")&amp;IF(AND(M1909&lt;&gt;"",M1909=A1909,K1909&lt;&gt;"No change (same URL)"),"Redirects to itself; ","")&amp;IF(AND(M1909&lt;&gt;"",OR(M1909="/",AND(LEFT(M1909,4)="http",OR((LEN(M1909)-LEN(SUBSTITUTE(M1909,"/","")))=2,AND((LEN(M1909)-LEN(SUBSTITUTE(M1909,"/","")))=3,RIGHT(M1909,1)="/"))))),"Home page redirect; ","")&amp;IF(N(R1909)&gt;1,"Chain; ","")&amp;IF(S1909="No","Destination not 200; ","")))</f>
        <v/>
      </c>
      <c r="U1909" s="22" t="n"/>
      <c r="V1909" s="22" t="n"/>
      <c r="W1909" s="4" t="n"/>
    </row>
    <row r="1910">
      <c r="A1910" s="22" t="n"/>
      <c r="B1910" s="22" t="n"/>
      <c r="C1910" s="22" t="n"/>
      <c r="D1910" s="22">
        <f>IF(A1910="","",IF(OR(N(B1910)&gt;=$C$2,N(C1910)&gt;=$E$2),"High",IF(OR(N(B1910)&gt;0,N(C1910)&gt;0),"Medium","Low")))</f>
        <v/>
      </c>
      <c r="E1910" s="22" t="n"/>
      <c r="F1910" s="22" t="n"/>
      <c r="G1910" s="22" t="n"/>
      <c r="H1910" s="22" t="n"/>
      <c r="I1910" s="22" t="n"/>
      <c r="J1910" s="22" t="n"/>
      <c r="K1910" s="22" t="n"/>
      <c r="L1910" s="22" t="n"/>
      <c r="M1910" s="22">
        <f>IF(K1910="Override",L1910,IF(K1910="Accept suggestion",F1910,IF(K1910="No change (same URL)",A1910,"")))</f>
        <v/>
      </c>
      <c r="N1910" s="22">
        <f>IF(A1910="","",IF(K1910="410 Gone","410",IF(K1910="404","404",IF(K1910="No change (same URL)","none",IF(M1910="","","301")))))</f>
        <v/>
      </c>
      <c r="O1910" s="22">
        <f>IF(A1910="","",IFERROR(MID(A1910,FIND("/",A1910,FIND("//",A1910)+2),2000),A1910))</f>
        <v/>
      </c>
      <c r="P1910" s="22">
        <f>IF(OR(O1910="",N1910="",N1910="none",N1910="404"),"",IF(N1910="410","Redirect gone "&amp;O1910,"Redirect "&amp;N1910&amp;" "&amp;O1910&amp;" "&amp;M1910))</f>
        <v/>
      </c>
      <c r="Q1910" s="22" t="n"/>
      <c r="R1910" s="22" t="n"/>
      <c r="S1910" s="22" t="n"/>
      <c r="T1910" s="4">
        <f>IF(A1910="","",TRIM(IF(K1910="","Needs decision; ","")&amp;IF(AND(K1910="Accept suggestion",F1910=""),"No suggestion to accept; ","")&amp;IF(AND(K1910="Override",L1910=""),"Override URL missing; ","")&amp;IF(AND(K1910="Accept suggestion",N(G1910)&lt;$G$2),"Below your threshold; ","")&amp;IF(AND(M1910&lt;&gt;"",M1910=A1910,K1910&lt;&gt;"No change (same URL)"),"Redirects to itself; ","")&amp;IF(AND(M1910&lt;&gt;"",OR(M1910="/",AND(LEFT(M1910,4)="http",OR((LEN(M1910)-LEN(SUBSTITUTE(M1910,"/","")))=2,AND((LEN(M1910)-LEN(SUBSTITUTE(M1910,"/","")))=3,RIGHT(M1910,1)="/"))))),"Home page redirect; ","")&amp;IF(N(R1910)&gt;1,"Chain; ","")&amp;IF(S1910="No","Destination not 200; ","")))</f>
        <v/>
      </c>
      <c r="U1910" s="22" t="n"/>
      <c r="V1910" s="22" t="n"/>
      <c r="W1910" s="4" t="n"/>
    </row>
    <row r="1911">
      <c r="A1911" s="22" t="n"/>
      <c r="B1911" s="22" t="n"/>
      <c r="C1911" s="22" t="n"/>
      <c r="D1911" s="22">
        <f>IF(A1911="","",IF(OR(N(B1911)&gt;=$C$2,N(C1911)&gt;=$E$2),"High",IF(OR(N(B1911)&gt;0,N(C1911)&gt;0),"Medium","Low")))</f>
        <v/>
      </c>
      <c r="E1911" s="22" t="n"/>
      <c r="F1911" s="22" t="n"/>
      <c r="G1911" s="22" t="n"/>
      <c r="H1911" s="22" t="n"/>
      <c r="I1911" s="22" t="n"/>
      <c r="J1911" s="22" t="n"/>
      <c r="K1911" s="22" t="n"/>
      <c r="L1911" s="22" t="n"/>
      <c r="M1911" s="22">
        <f>IF(K1911="Override",L1911,IF(K1911="Accept suggestion",F1911,IF(K1911="No change (same URL)",A1911,"")))</f>
        <v/>
      </c>
      <c r="N1911" s="22">
        <f>IF(A1911="","",IF(K1911="410 Gone","410",IF(K1911="404","404",IF(K1911="No change (same URL)","none",IF(M1911="","","301")))))</f>
        <v/>
      </c>
      <c r="O1911" s="22">
        <f>IF(A1911="","",IFERROR(MID(A1911,FIND("/",A1911,FIND("//",A1911)+2),2000),A1911))</f>
        <v/>
      </c>
      <c r="P1911" s="22">
        <f>IF(OR(O1911="",N1911="",N1911="none",N1911="404"),"",IF(N1911="410","Redirect gone "&amp;O1911,"Redirect "&amp;N1911&amp;" "&amp;O1911&amp;" "&amp;M1911))</f>
        <v/>
      </c>
      <c r="Q1911" s="22" t="n"/>
      <c r="R1911" s="22" t="n"/>
      <c r="S1911" s="22" t="n"/>
      <c r="T1911" s="4">
        <f>IF(A1911="","",TRIM(IF(K1911="","Needs decision; ","")&amp;IF(AND(K1911="Accept suggestion",F1911=""),"No suggestion to accept; ","")&amp;IF(AND(K1911="Override",L1911=""),"Override URL missing; ","")&amp;IF(AND(K1911="Accept suggestion",N(G1911)&lt;$G$2),"Below your threshold; ","")&amp;IF(AND(M1911&lt;&gt;"",M1911=A1911,K1911&lt;&gt;"No change (same URL)"),"Redirects to itself; ","")&amp;IF(AND(M1911&lt;&gt;"",OR(M1911="/",AND(LEFT(M1911,4)="http",OR((LEN(M1911)-LEN(SUBSTITUTE(M1911,"/","")))=2,AND((LEN(M1911)-LEN(SUBSTITUTE(M1911,"/","")))=3,RIGHT(M1911,1)="/"))))),"Home page redirect; ","")&amp;IF(N(R1911)&gt;1,"Chain; ","")&amp;IF(S1911="No","Destination not 200; ","")))</f>
        <v/>
      </c>
      <c r="U1911" s="22" t="n"/>
      <c r="V1911" s="22" t="n"/>
      <c r="W1911" s="4" t="n"/>
    </row>
    <row r="1912">
      <c r="A1912" s="22" t="n"/>
      <c r="B1912" s="22" t="n"/>
      <c r="C1912" s="22" t="n"/>
      <c r="D1912" s="22">
        <f>IF(A1912="","",IF(OR(N(B1912)&gt;=$C$2,N(C1912)&gt;=$E$2),"High",IF(OR(N(B1912)&gt;0,N(C1912)&gt;0),"Medium","Low")))</f>
        <v/>
      </c>
      <c r="E1912" s="22" t="n"/>
      <c r="F1912" s="22" t="n"/>
      <c r="G1912" s="22" t="n"/>
      <c r="H1912" s="22" t="n"/>
      <c r="I1912" s="22" t="n"/>
      <c r="J1912" s="22" t="n"/>
      <c r="K1912" s="22" t="n"/>
      <c r="L1912" s="22" t="n"/>
      <c r="M1912" s="22">
        <f>IF(K1912="Override",L1912,IF(K1912="Accept suggestion",F1912,IF(K1912="No change (same URL)",A1912,"")))</f>
        <v/>
      </c>
      <c r="N1912" s="22">
        <f>IF(A1912="","",IF(K1912="410 Gone","410",IF(K1912="404","404",IF(K1912="No change (same URL)","none",IF(M1912="","","301")))))</f>
        <v/>
      </c>
      <c r="O1912" s="22">
        <f>IF(A1912="","",IFERROR(MID(A1912,FIND("/",A1912,FIND("//",A1912)+2),2000),A1912))</f>
        <v/>
      </c>
      <c r="P1912" s="22">
        <f>IF(OR(O1912="",N1912="",N1912="none",N1912="404"),"",IF(N1912="410","Redirect gone "&amp;O1912,"Redirect "&amp;N1912&amp;" "&amp;O1912&amp;" "&amp;M1912))</f>
        <v/>
      </c>
      <c r="Q1912" s="22" t="n"/>
      <c r="R1912" s="22" t="n"/>
      <c r="S1912" s="22" t="n"/>
      <c r="T1912" s="4">
        <f>IF(A1912="","",TRIM(IF(K1912="","Needs decision; ","")&amp;IF(AND(K1912="Accept suggestion",F1912=""),"No suggestion to accept; ","")&amp;IF(AND(K1912="Override",L1912=""),"Override URL missing; ","")&amp;IF(AND(K1912="Accept suggestion",N(G1912)&lt;$G$2),"Below your threshold; ","")&amp;IF(AND(M1912&lt;&gt;"",M1912=A1912,K1912&lt;&gt;"No change (same URL)"),"Redirects to itself; ","")&amp;IF(AND(M1912&lt;&gt;"",OR(M1912="/",AND(LEFT(M1912,4)="http",OR((LEN(M1912)-LEN(SUBSTITUTE(M1912,"/","")))=2,AND((LEN(M1912)-LEN(SUBSTITUTE(M1912,"/","")))=3,RIGHT(M1912,1)="/"))))),"Home page redirect; ","")&amp;IF(N(R1912)&gt;1,"Chain; ","")&amp;IF(S1912="No","Destination not 200; ","")))</f>
        <v/>
      </c>
      <c r="U1912" s="22" t="n"/>
      <c r="V1912" s="22" t="n"/>
      <c r="W1912" s="4" t="n"/>
    </row>
    <row r="1913">
      <c r="A1913" s="22" t="n"/>
      <c r="B1913" s="22" t="n"/>
      <c r="C1913" s="22" t="n"/>
      <c r="D1913" s="22">
        <f>IF(A1913="","",IF(OR(N(B1913)&gt;=$C$2,N(C1913)&gt;=$E$2),"High",IF(OR(N(B1913)&gt;0,N(C1913)&gt;0),"Medium","Low")))</f>
        <v/>
      </c>
      <c r="E1913" s="22" t="n"/>
      <c r="F1913" s="22" t="n"/>
      <c r="G1913" s="22" t="n"/>
      <c r="H1913" s="22" t="n"/>
      <c r="I1913" s="22" t="n"/>
      <c r="J1913" s="22" t="n"/>
      <c r="K1913" s="22" t="n"/>
      <c r="L1913" s="22" t="n"/>
      <c r="M1913" s="22">
        <f>IF(K1913="Override",L1913,IF(K1913="Accept suggestion",F1913,IF(K1913="No change (same URL)",A1913,"")))</f>
        <v/>
      </c>
      <c r="N1913" s="22">
        <f>IF(A1913="","",IF(K1913="410 Gone","410",IF(K1913="404","404",IF(K1913="No change (same URL)","none",IF(M1913="","","301")))))</f>
        <v/>
      </c>
      <c r="O1913" s="22">
        <f>IF(A1913="","",IFERROR(MID(A1913,FIND("/",A1913,FIND("//",A1913)+2),2000),A1913))</f>
        <v/>
      </c>
      <c r="P1913" s="22">
        <f>IF(OR(O1913="",N1913="",N1913="none",N1913="404"),"",IF(N1913="410","Redirect gone "&amp;O1913,"Redirect "&amp;N1913&amp;" "&amp;O1913&amp;" "&amp;M1913))</f>
        <v/>
      </c>
      <c r="Q1913" s="22" t="n"/>
      <c r="R1913" s="22" t="n"/>
      <c r="S1913" s="22" t="n"/>
      <c r="T1913" s="4">
        <f>IF(A1913="","",TRIM(IF(K1913="","Needs decision; ","")&amp;IF(AND(K1913="Accept suggestion",F1913=""),"No suggestion to accept; ","")&amp;IF(AND(K1913="Override",L1913=""),"Override URL missing; ","")&amp;IF(AND(K1913="Accept suggestion",N(G1913)&lt;$G$2),"Below your threshold; ","")&amp;IF(AND(M1913&lt;&gt;"",M1913=A1913,K1913&lt;&gt;"No change (same URL)"),"Redirects to itself; ","")&amp;IF(AND(M1913&lt;&gt;"",OR(M1913="/",AND(LEFT(M1913,4)="http",OR((LEN(M1913)-LEN(SUBSTITUTE(M1913,"/","")))=2,AND((LEN(M1913)-LEN(SUBSTITUTE(M1913,"/","")))=3,RIGHT(M1913,1)="/"))))),"Home page redirect; ","")&amp;IF(N(R1913)&gt;1,"Chain; ","")&amp;IF(S1913="No","Destination not 200; ","")))</f>
        <v/>
      </c>
      <c r="U1913" s="22" t="n"/>
      <c r="V1913" s="22" t="n"/>
      <c r="W1913" s="4" t="n"/>
    </row>
    <row r="1914">
      <c r="A1914" s="22" t="n"/>
      <c r="B1914" s="22" t="n"/>
      <c r="C1914" s="22" t="n"/>
      <c r="D1914" s="22">
        <f>IF(A1914="","",IF(OR(N(B1914)&gt;=$C$2,N(C1914)&gt;=$E$2),"High",IF(OR(N(B1914)&gt;0,N(C1914)&gt;0),"Medium","Low")))</f>
        <v/>
      </c>
      <c r="E1914" s="22" t="n"/>
      <c r="F1914" s="22" t="n"/>
      <c r="G1914" s="22" t="n"/>
      <c r="H1914" s="22" t="n"/>
      <c r="I1914" s="22" t="n"/>
      <c r="J1914" s="22" t="n"/>
      <c r="K1914" s="22" t="n"/>
      <c r="L1914" s="22" t="n"/>
      <c r="M1914" s="22">
        <f>IF(K1914="Override",L1914,IF(K1914="Accept suggestion",F1914,IF(K1914="No change (same URL)",A1914,"")))</f>
        <v/>
      </c>
      <c r="N1914" s="22">
        <f>IF(A1914="","",IF(K1914="410 Gone","410",IF(K1914="404","404",IF(K1914="No change (same URL)","none",IF(M1914="","","301")))))</f>
        <v/>
      </c>
      <c r="O1914" s="22">
        <f>IF(A1914="","",IFERROR(MID(A1914,FIND("/",A1914,FIND("//",A1914)+2),2000),A1914))</f>
        <v/>
      </c>
      <c r="P1914" s="22">
        <f>IF(OR(O1914="",N1914="",N1914="none",N1914="404"),"",IF(N1914="410","Redirect gone "&amp;O1914,"Redirect "&amp;N1914&amp;" "&amp;O1914&amp;" "&amp;M1914))</f>
        <v/>
      </c>
      <c r="Q1914" s="22" t="n"/>
      <c r="R1914" s="22" t="n"/>
      <c r="S1914" s="22" t="n"/>
      <c r="T1914" s="4">
        <f>IF(A1914="","",TRIM(IF(K1914="","Needs decision; ","")&amp;IF(AND(K1914="Accept suggestion",F1914=""),"No suggestion to accept; ","")&amp;IF(AND(K1914="Override",L1914=""),"Override URL missing; ","")&amp;IF(AND(K1914="Accept suggestion",N(G1914)&lt;$G$2),"Below your threshold; ","")&amp;IF(AND(M1914&lt;&gt;"",M1914=A1914,K1914&lt;&gt;"No change (same URL)"),"Redirects to itself; ","")&amp;IF(AND(M1914&lt;&gt;"",OR(M1914="/",AND(LEFT(M1914,4)="http",OR((LEN(M1914)-LEN(SUBSTITUTE(M1914,"/","")))=2,AND((LEN(M1914)-LEN(SUBSTITUTE(M1914,"/","")))=3,RIGHT(M1914,1)="/"))))),"Home page redirect; ","")&amp;IF(N(R1914)&gt;1,"Chain; ","")&amp;IF(S1914="No","Destination not 200; ","")))</f>
        <v/>
      </c>
      <c r="U1914" s="22" t="n"/>
      <c r="V1914" s="22" t="n"/>
      <c r="W1914" s="4" t="n"/>
    </row>
    <row r="1915">
      <c r="A1915" s="22" t="n"/>
      <c r="B1915" s="22" t="n"/>
      <c r="C1915" s="22" t="n"/>
      <c r="D1915" s="22">
        <f>IF(A1915="","",IF(OR(N(B1915)&gt;=$C$2,N(C1915)&gt;=$E$2),"High",IF(OR(N(B1915)&gt;0,N(C1915)&gt;0),"Medium","Low")))</f>
        <v/>
      </c>
      <c r="E1915" s="22" t="n"/>
      <c r="F1915" s="22" t="n"/>
      <c r="G1915" s="22" t="n"/>
      <c r="H1915" s="22" t="n"/>
      <c r="I1915" s="22" t="n"/>
      <c r="J1915" s="22" t="n"/>
      <c r="K1915" s="22" t="n"/>
      <c r="L1915" s="22" t="n"/>
      <c r="M1915" s="22">
        <f>IF(K1915="Override",L1915,IF(K1915="Accept suggestion",F1915,IF(K1915="No change (same URL)",A1915,"")))</f>
        <v/>
      </c>
      <c r="N1915" s="22">
        <f>IF(A1915="","",IF(K1915="410 Gone","410",IF(K1915="404","404",IF(K1915="No change (same URL)","none",IF(M1915="","","301")))))</f>
        <v/>
      </c>
      <c r="O1915" s="22">
        <f>IF(A1915="","",IFERROR(MID(A1915,FIND("/",A1915,FIND("//",A1915)+2),2000),A1915))</f>
        <v/>
      </c>
      <c r="P1915" s="22">
        <f>IF(OR(O1915="",N1915="",N1915="none",N1915="404"),"",IF(N1915="410","Redirect gone "&amp;O1915,"Redirect "&amp;N1915&amp;" "&amp;O1915&amp;" "&amp;M1915))</f>
        <v/>
      </c>
      <c r="Q1915" s="22" t="n"/>
      <c r="R1915" s="22" t="n"/>
      <c r="S1915" s="22" t="n"/>
      <c r="T1915" s="4">
        <f>IF(A1915="","",TRIM(IF(K1915="","Needs decision; ","")&amp;IF(AND(K1915="Accept suggestion",F1915=""),"No suggestion to accept; ","")&amp;IF(AND(K1915="Override",L1915=""),"Override URL missing; ","")&amp;IF(AND(K1915="Accept suggestion",N(G1915)&lt;$G$2),"Below your threshold; ","")&amp;IF(AND(M1915&lt;&gt;"",M1915=A1915,K1915&lt;&gt;"No change (same URL)"),"Redirects to itself; ","")&amp;IF(AND(M1915&lt;&gt;"",OR(M1915="/",AND(LEFT(M1915,4)="http",OR((LEN(M1915)-LEN(SUBSTITUTE(M1915,"/","")))=2,AND((LEN(M1915)-LEN(SUBSTITUTE(M1915,"/","")))=3,RIGHT(M1915,1)="/"))))),"Home page redirect; ","")&amp;IF(N(R1915)&gt;1,"Chain; ","")&amp;IF(S1915="No","Destination not 200; ","")))</f>
        <v/>
      </c>
      <c r="U1915" s="22" t="n"/>
      <c r="V1915" s="22" t="n"/>
      <c r="W1915" s="4" t="n"/>
    </row>
    <row r="1916">
      <c r="A1916" s="22" t="n"/>
      <c r="B1916" s="22" t="n"/>
      <c r="C1916" s="22" t="n"/>
      <c r="D1916" s="22">
        <f>IF(A1916="","",IF(OR(N(B1916)&gt;=$C$2,N(C1916)&gt;=$E$2),"High",IF(OR(N(B1916)&gt;0,N(C1916)&gt;0),"Medium","Low")))</f>
        <v/>
      </c>
      <c r="E1916" s="22" t="n"/>
      <c r="F1916" s="22" t="n"/>
      <c r="G1916" s="22" t="n"/>
      <c r="H1916" s="22" t="n"/>
      <c r="I1916" s="22" t="n"/>
      <c r="J1916" s="22" t="n"/>
      <c r="K1916" s="22" t="n"/>
      <c r="L1916" s="22" t="n"/>
      <c r="M1916" s="22">
        <f>IF(K1916="Override",L1916,IF(K1916="Accept suggestion",F1916,IF(K1916="No change (same URL)",A1916,"")))</f>
        <v/>
      </c>
      <c r="N1916" s="22">
        <f>IF(A1916="","",IF(K1916="410 Gone","410",IF(K1916="404","404",IF(K1916="No change (same URL)","none",IF(M1916="","","301")))))</f>
        <v/>
      </c>
      <c r="O1916" s="22">
        <f>IF(A1916="","",IFERROR(MID(A1916,FIND("/",A1916,FIND("//",A1916)+2),2000),A1916))</f>
        <v/>
      </c>
      <c r="P1916" s="22">
        <f>IF(OR(O1916="",N1916="",N1916="none",N1916="404"),"",IF(N1916="410","Redirect gone "&amp;O1916,"Redirect "&amp;N1916&amp;" "&amp;O1916&amp;" "&amp;M1916))</f>
        <v/>
      </c>
      <c r="Q1916" s="22" t="n"/>
      <c r="R1916" s="22" t="n"/>
      <c r="S1916" s="22" t="n"/>
      <c r="T1916" s="4">
        <f>IF(A1916="","",TRIM(IF(K1916="","Needs decision; ","")&amp;IF(AND(K1916="Accept suggestion",F1916=""),"No suggestion to accept; ","")&amp;IF(AND(K1916="Override",L1916=""),"Override URL missing; ","")&amp;IF(AND(K1916="Accept suggestion",N(G1916)&lt;$G$2),"Below your threshold; ","")&amp;IF(AND(M1916&lt;&gt;"",M1916=A1916,K1916&lt;&gt;"No change (same URL)"),"Redirects to itself; ","")&amp;IF(AND(M1916&lt;&gt;"",OR(M1916="/",AND(LEFT(M1916,4)="http",OR((LEN(M1916)-LEN(SUBSTITUTE(M1916,"/","")))=2,AND((LEN(M1916)-LEN(SUBSTITUTE(M1916,"/","")))=3,RIGHT(M1916,1)="/"))))),"Home page redirect; ","")&amp;IF(N(R1916)&gt;1,"Chain; ","")&amp;IF(S1916="No","Destination not 200; ","")))</f>
        <v/>
      </c>
      <c r="U1916" s="22" t="n"/>
      <c r="V1916" s="22" t="n"/>
      <c r="W1916" s="4" t="n"/>
    </row>
    <row r="1917">
      <c r="A1917" s="22" t="n"/>
      <c r="B1917" s="22" t="n"/>
      <c r="C1917" s="22" t="n"/>
      <c r="D1917" s="22">
        <f>IF(A1917="","",IF(OR(N(B1917)&gt;=$C$2,N(C1917)&gt;=$E$2),"High",IF(OR(N(B1917)&gt;0,N(C1917)&gt;0),"Medium","Low")))</f>
        <v/>
      </c>
      <c r="E1917" s="22" t="n"/>
      <c r="F1917" s="22" t="n"/>
      <c r="G1917" s="22" t="n"/>
      <c r="H1917" s="22" t="n"/>
      <c r="I1917" s="22" t="n"/>
      <c r="J1917" s="22" t="n"/>
      <c r="K1917" s="22" t="n"/>
      <c r="L1917" s="22" t="n"/>
      <c r="M1917" s="22">
        <f>IF(K1917="Override",L1917,IF(K1917="Accept suggestion",F1917,IF(K1917="No change (same URL)",A1917,"")))</f>
        <v/>
      </c>
      <c r="N1917" s="22">
        <f>IF(A1917="","",IF(K1917="410 Gone","410",IF(K1917="404","404",IF(K1917="No change (same URL)","none",IF(M1917="","","301")))))</f>
        <v/>
      </c>
      <c r="O1917" s="22">
        <f>IF(A1917="","",IFERROR(MID(A1917,FIND("/",A1917,FIND("//",A1917)+2),2000),A1917))</f>
        <v/>
      </c>
      <c r="P1917" s="22">
        <f>IF(OR(O1917="",N1917="",N1917="none",N1917="404"),"",IF(N1917="410","Redirect gone "&amp;O1917,"Redirect "&amp;N1917&amp;" "&amp;O1917&amp;" "&amp;M1917))</f>
        <v/>
      </c>
      <c r="Q1917" s="22" t="n"/>
      <c r="R1917" s="22" t="n"/>
      <c r="S1917" s="22" t="n"/>
      <c r="T1917" s="4">
        <f>IF(A1917="","",TRIM(IF(K1917="","Needs decision; ","")&amp;IF(AND(K1917="Accept suggestion",F1917=""),"No suggestion to accept; ","")&amp;IF(AND(K1917="Override",L1917=""),"Override URL missing; ","")&amp;IF(AND(K1917="Accept suggestion",N(G1917)&lt;$G$2),"Below your threshold; ","")&amp;IF(AND(M1917&lt;&gt;"",M1917=A1917,K1917&lt;&gt;"No change (same URL)"),"Redirects to itself; ","")&amp;IF(AND(M1917&lt;&gt;"",OR(M1917="/",AND(LEFT(M1917,4)="http",OR((LEN(M1917)-LEN(SUBSTITUTE(M1917,"/","")))=2,AND((LEN(M1917)-LEN(SUBSTITUTE(M1917,"/","")))=3,RIGHT(M1917,1)="/"))))),"Home page redirect; ","")&amp;IF(N(R1917)&gt;1,"Chain; ","")&amp;IF(S1917="No","Destination not 200; ","")))</f>
        <v/>
      </c>
      <c r="U1917" s="22" t="n"/>
      <c r="V1917" s="22" t="n"/>
      <c r="W1917" s="4" t="n"/>
    </row>
    <row r="1918">
      <c r="A1918" s="22" t="n"/>
      <c r="B1918" s="22" t="n"/>
      <c r="C1918" s="22" t="n"/>
      <c r="D1918" s="22">
        <f>IF(A1918="","",IF(OR(N(B1918)&gt;=$C$2,N(C1918)&gt;=$E$2),"High",IF(OR(N(B1918)&gt;0,N(C1918)&gt;0),"Medium","Low")))</f>
        <v/>
      </c>
      <c r="E1918" s="22" t="n"/>
      <c r="F1918" s="22" t="n"/>
      <c r="G1918" s="22" t="n"/>
      <c r="H1918" s="22" t="n"/>
      <c r="I1918" s="22" t="n"/>
      <c r="J1918" s="22" t="n"/>
      <c r="K1918" s="22" t="n"/>
      <c r="L1918" s="22" t="n"/>
      <c r="M1918" s="22">
        <f>IF(K1918="Override",L1918,IF(K1918="Accept suggestion",F1918,IF(K1918="No change (same URL)",A1918,"")))</f>
        <v/>
      </c>
      <c r="N1918" s="22">
        <f>IF(A1918="","",IF(K1918="410 Gone","410",IF(K1918="404","404",IF(K1918="No change (same URL)","none",IF(M1918="","","301")))))</f>
        <v/>
      </c>
      <c r="O1918" s="22">
        <f>IF(A1918="","",IFERROR(MID(A1918,FIND("/",A1918,FIND("//",A1918)+2),2000),A1918))</f>
        <v/>
      </c>
      <c r="P1918" s="22">
        <f>IF(OR(O1918="",N1918="",N1918="none",N1918="404"),"",IF(N1918="410","Redirect gone "&amp;O1918,"Redirect "&amp;N1918&amp;" "&amp;O1918&amp;" "&amp;M1918))</f>
        <v/>
      </c>
      <c r="Q1918" s="22" t="n"/>
      <c r="R1918" s="22" t="n"/>
      <c r="S1918" s="22" t="n"/>
      <c r="T1918" s="4">
        <f>IF(A1918="","",TRIM(IF(K1918="","Needs decision; ","")&amp;IF(AND(K1918="Accept suggestion",F1918=""),"No suggestion to accept; ","")&amp;IF(AND(K1918="Override",L1918=""),"Override URL missing; ","")&amp;IF(AND(K1918="Accept suggestion",N(G1918)&lt;$G$2),"Below your threshold; ","")&amp;IF(AND(M1918&lt;&gt;"",M1918=A1918,K1918&lt;&gt;"No change (same URL)"),"Redirects to itself; ","")&amp;IF(AND(M1918&lt;&gt;"",OR(M1918="/",AND(LEFT(M1918,4)="http",OR((LEN(M1918)-LEN(SUBSTITUTE(M1918,"/","")))=2,AND((LEN(M1918)-LEN(SUBSTITUTE(M1918,"/","")))=3,RIGHT(M1918,1)="/"))))),"Home page redirect; ","")&amp;IF(N(R1918)&gt;1,"Chain; ","")&amp;IF(S1918="No","Destination not 200; ","")))</f>
        <v/>
      </c>
      <c r="U1918" s="22" t="n"/>
      <c r="V1918" s="22" t="n"/>
      <c r="W1918" s="4" t="n"/>
    </row>
    <row r="1919">
      <c r="A1919" s="22" t="n"/>
      <c r="B1919" s="22" t="n"/>
      <c r="C1919" s="22" t="n"/>
      <c r="D1919" s="22">
        <f>IF(A1919="","",IF(OR(N(B1919)&gt;=$C$2,N(C1919)&gt;=$E$2),"High",IF(OR(N(B1919)&gt;0,N(C1919)&gt;0),"Medium","Low")))</f>
        <v/>
      </c>
      <c r="E1919" s="22" t="n"/>
      <c r="F1919" s="22" t="n"/>
      <c r="G1919" s="22" t="n"/>
      <c r="H1919" s="22" t="n"/>
      <c r="I1919" s="22" t="n"/>
      <c r="J1919" s="22" t="n"/>
      <c r="K1919" s="22" t="n"/>
      <c r="L1919" s="22" t="n"/>
      <c r="M1919" s="22">
        <f>IF(K1919="Override",L1919,IF(K1919="Accept suggestion",F1919,IF(K1919="No change (same URL)",A1919,"")))</f>
        <v/>
      </c>
      <c r="N1919" s="22">
        <f>IF(A1919="","",IF(K1919="410 Gone","410",IF(K1919="404","404",IF(K1919="No change (same URL)","none",IF(M1919="","","301")))))</f>
        <v/>
      </c>
      <c r="O1919" s="22">
        <f>IF(A1919="","",IFERROR(MID(A1919,FIND("/",A1919,FIND("//",A1919)+2),2000),A1919))</f>
        <v/>
      </c>
      <c r="P1919" s="22">
        <f>IF(OR(O1919="",N1919="",N1919="none",N1919="404"),"",IF(N1919="410","Redirect gone "&amp;O1919,"Redirect "&amp;N1919&amp;" "&amp;O1919&amp;" "&amp;M1919))</f>
        <v/>
      </c>
      <c r="Q1919" s="22" t="n"/>
      <c r="R1919" s="22" t="n"/>
      <c r="S1919" s="22" t="n"/>
      <c r="T1919" s="4">
        <f>IF(A1919="","",TRIM(IF(K1919="","Needs decision; ","")&amp;IF(AND(K1919="Accept suggestion",F1919=""),"No suggestion to accept; ","")&amp;IF(AND(K1919="Override",L1919=""),"Override URL missing; ","")&amp;IF(AND(K1919="Accept suggestion",N(G1919)&lt;$G$2),"Below your threshold; ","")&amp;IF(AND(M1919&lt;&gt;"",M1919=A1919,K1919&lt;&gt;"No change (same URL)"),"Redirects to itself; ","")&amp;IF(AND(M1919&lt;&gt;"",OR(M1919="/",AND(LEFT(M1919,4)="http",OR((LEN(M1919)-LEN(SUBSTITUTE(M1919,"/","")))=2,AND((LEN(M1919)-LEN(SUBSTITUTE(M1919,"/","")))=3,RIGHT(M1919,1)="/"))))),"Home page redirect; ","")&amp;IF(N(R1919)&gt;1,"Chain; ","")&amp;IF(S1919="No","Destination not 200; ","")))</f>
        <v/>
      </c>
      <c r="U1919" s="22" t="n"/>
      <c r="V1919" s="22" t="n"/>
      <c r="W1919" s="4" t="n"/>
    </row>
    <row r="1920">
      <c r="A1920" s="22" t="n"/>
      <c r="B1920" s="22" t="n"/>
      <c r="C1920" s="22" t="n"/>
      <c r="D1920" s="22">
        <f>IF(A1920="","",IF(OR(N(B1920)&gt;=$C$2,N(C1920)&gt;=$E$2),"High",IF(OR(N(B1920)&gt;0,N(C1920)&gt;0),"Medium","Low")))</f>
        <v/>
      </c>
      <c r="E1920" s="22" t="n"/>
      <c r="F1920" s="22" t="n"/>
      <c r="G1920" s="22" t="n"/>
      <c r="H1920" s="22" t="n"/>
      <c r="I1920" s="22" t="n"/>
      <c r="J1920" s="22" t="n"/>
      <c r="K1920" s="22" t="n"/>
      <c r="L1920" s="22" t="n"/>
      <c r="M1920" s="22">
        <f>IF(K1920="Override",L1920,IF(K1920="Accept suggestion",F1920,IF(K1920="No change (same URL)",A1920,"")))</f>
        <v/>
      </c>
      <c r="N1920" s="22">
        <f>IF(A1920="","",IF(K1920="410 Gone","410",IF(K1920="404","404",IF(K1920="No change (same URL)","none",IF(M1920="","","301")))))</f>
        <v/>
      </c>
      <c r="O1920" s="22">
        <f>IF(A1920="","",IFERROR(MID(A1920,FIND("/",A1920,FIND("//",A1920)+2),2000),A1920))</f>
        <v/>
      </c>
      <c r="P1920" s="22">
        <f>IF(OR(O1920="",N1920="",N1920="none",N1920="404"),"",IF(N1920="410","Redirect gone "&amp;O1920,"Redirect "&amp;N1920&amp;" "&amp;O1920&amp;" "&amp;M1920))</f>
        <v/>
      </c>
      <c r="Q1920" s="22" t="n"/>
      <c r="R1920" s="22" t="n"/>
      <c r="S1920" s="22" t="n"/>
      <c r="T1920" s="4">
        <f>IF(A1920="","",TRIM(IF(K1920="","Needs decision; ","")&amp;IF(AND(K1920="Accept suggestion",F1920=""),"No suggestion to accept; ","")&amp;IF(AND(K1920="Override",L1920=""),"Override URL missing; ","")&amp;IF(AND(K1920="Accept suggestion",N(G1920)&lt;$G$2),"Below your threshold; ","")&amp;IF(AND(M1920&lt;&gt;"",M1920=A1920,K1920&lt;&gt;"No change (same URL)"),"Redirects to itself; ","")&amp;IF(AND(M1920&lt;&gt;"",OR(M1920="/",AND(LEFT(M1920,4)="http",OR((LEN(M1920)-LEN(SUBSTITUTE(M1920,"/","")))=2,AND((LEN(M1920)-LEN(SUBSTITUTE(M1920,"/","")))=3,RIGHT(M1920,1)="/"))))),"Home page redirect; ","")&amp;IF(N(R1920)&gt;1,"Chain; ","")&amp;IF(S1920="No","Destination not 200; ","")))</f>
        <v/>
      </c>
      <c r="U1920" s="22" t="n"/>
      <c r="V1920" s="22" t="n"/>
      <c r="W1920" s="4" t="n"/>
    </row>
    <row r="1921">
      <c r="A1921" s="22" t="n"/>
      <c r="B1921" s="22" t="n"/>
      <c r="C1921" s="22" t="n"/>
      <c r="D1921" s="22">
        <f>IF(A1921="","",IF(OR(N(B1921)&gt;=$C$2,N(C1921)&gt;=$E$2),"High",IF(OR(N(B1921)&gt;0,N(C1921)&gt;0),"Medium","Low")))</f>
        <v/>
      </c>
      <c r="E1921" s="22" t="n"/>
      <c r="F1921" s="22" t="n"/>
      <c r="G1921" s="22" t="n"/>
      <c r="H1921" s="22" t="n"/>
      <c r="I1921" s="22" t="n"/>
      <c r="J1921" s="22" t="n"/>
      <c r="K1921" s="22" t="n"/>
      <c r="L1921" s="22" t="n"/>
      <c r="M1921" s="22">
        <f>IF(K1921="Override",L1921,IF(K1921="Accept suggestion",F1921,IF(K1921="No change (same URL)",A1921,"")))</f>
        <v/>
      </c>
      <c r="N1921" s="22">
        <f>IF(A1921="","",IF(K1921="410 Gone","410",IF(K1921="404","404",IF(K1921="No change (same URL)","none",IF(M1921="","","301")))))</f>
        <v/>
      </c>
      <c r="O1921" s="22">
        <f>IF(A1921="","",IFERROR(MID(A1921,FIND("/",A1921,FIND("//",A1921)+2),2000),A1921))</f>
        <v/>
      </c>
      <c r="P1921" s="22">
        <f>IF(OR(O1921="",N1921="",N1921="none",N1921="404"),"",IF(N1921="410","Redirect gone "&amp;O1921,"Redirect "&amp;N1921&amp;" "&amp;O1921&amp;" "&amp;M1921))</f>
        <v/>
      </c>
      <c r="Q1921" s="22" t="n"/>
      <c r="R1921" s="22" t="n"/>
      <c r="S1921" s="22" t="n"/>
      <c r="T1921" s="4">
        <f>IF(A1921="","",TRIM(IF(K1921="","Needs decision; ","")&amp;IF(AND(K1921="Accept suggestion",F1921=""),"No suggestion to accept; ","")&amp;IF(AND(K1921="Override",L1921=""),"Override URL missing; ","")&amp;IF(AND(K1921="Accept suggestion",N(G1921)&lt;$G$2),"Below your threshold; ","")&amp;IF(AND(M1921&lt;&gt;"",M1921=A1921,K1921&lt;&gt;"No change (same URL)"),"Redirects to itself; ","")&amp;IF(AND(M1921&lt;&gt;"",OR(M1921="/",AND(LEFT(M1921,4)="http",OR((LEN(M1921)-LEN(SUBSTITUTE(M1921,"/","")))=2,AND((LEN(M1921)-LEN(SUBSTITUTE(M1921,"/","")))=3,RIGHT(M1921,1)="/"))))),"Home page redirect; ","")&amp;IF(N(R1921)&gt;1,"Chain; ","")&amp;IF(S1921="No","Destination not 200; ","")))</f>
        <v/>
      </c>
      <c r="U1921" s="22" t="n"/>
      <c r="V1921" s="22" t="n"/>
      <c r="W1921" s="4" t="n"/>
    </row>
    <row r="1922">
      <c r="A1922" s="22" t="n"/>
      <c r="B1922" s="22" t="n"/>
      <c r="C1922" s="22" t="n"/>
      <c r="D1922" s="22">
        <f>IF(A1922="","",IF(OR(N(B1922)&gt;=$C$2,N(C1922)&gt;=$E$2),"High",IF(OR(N(B1922)&gt;0,N(C1922)&gt;0),"Medium","Low")))</f>
        <v/>
      </c>
      <c r="E1922" s="22" t="n"/>
      <c r="F1922" s="22" t="n"/>
      <c r="G1922" s="22" t="n"/>
      <c r="H1922" s="22" t="n"/>
      <c r="I1922" s="22" t="n"/>
      <c r="J1922" s="22" t="n"/>
      <c r="K1922" s="22" t="n"/>
      <c r="L1922" s="22" t="n"/>
      <c r="M1922" s="22">
        <f>IF(K1922="Override",L1922,IF(K1922="Accept suggestion",F1922,IF(K1922="No change (same URL)",A1922,"")))</f>
        <v/>
      </c>
      <c r="N1922" s="22">
        <f>IF(A1922="","",IF(K1922="410 Gone","410",IF(K1922="404","404",IF(K1922="No change (same URL)","none",IF(M1922="","","301")))))</f>
        <v/>
      </c>
      <c r="O1922" s="22">
        <f>IF(A1922="","",IFERROR(MID(A1922,FIND("/",A1922,FIND("//",A1922)+2),2000),A1922))</f>
        <v/>
      </c>
      <c r="P1922" s="22">
        <f>IF(OR(O1922="",N1922="",N1922="none",N1922="404"),"",IF(N1922="410","Redirect gone "&amp;O1922,"Redirect "&amp;N1922&amp;" "&amp;O1922&amp;" "&amp;M1922))</f>
        <v/>
      </c>
      <c r="Q1922" s="22" t="n"/>
      <c r="R1922" s="22" t="n"/>
      <c r="S1922" s="22" t="n"/>
      <c r="T1922" s="4">
        <f>IF(A1922="","",TRIM(IF(K1922="","Needs decision; ","")&amp;IF(AND(K1922="Accept suggestion",F1922=""),"No suggestion to accept; ","")&amp;IF(AND(K1922="Override",L1922=""),"Override URL missing; ","")&amp;IF(AND(K1922="Accept suggestion",N(G1922)&lt;$G$2),"Below your threshold; ","")&amp;IF(AND(M1922&lt;&gt;"",M1922=A1922,K1922&lt;&gt;"No change (same URL)"),"Redirects to itself; ","")&amp;IF(AND(M1922&lt;&gt;"",OR(M1922="/",AND(LEFT(M1922,4)="http",OR((LEN(M1922)-LEN(SUBSTITUTE(M1922,"/","")))=2,AND((LEN(M1922)-LEN(SUBSTITUTE(M1922,"/","")))=3,RIGHT(M1922,1)="/"))))),"Home page redirect; ","")&amp;IF(N(R1922)&gt;1,"Chain; ","")&amp;IF(S1922="No","Destination not 200; ","")))</f>
        <v/>
      </c>
      <c r="U1922" s="22" t="n"/>
      <c r="V1922" s="22" t="n"/>
      <c r="W1922" s="4" t="n"/>
    </row>
    <row r="1923">
      <c r="A1923" s="22" t="n"/>
      <c r="B1923" s="22" t="n"/>
      <c r="C1923" s="22" t="n"/>
      <c r="D1923" s="22">
        <f>IF(A1923="","",IF(OR(N(B1923)&gt;=$C$2,N(C1923)&gt;=$E$2),"High",IF(OR(N(B1923)&gt;0,N(C1923)&gt;0),"Medium","Low")))</f>
        <v/>
      </c>
      <c r="E1923" s="22" t="n"/>
      <c r="F1923" s="22" t="n"/>
      <c r="G1923" s="22" t="n"/>
      <c r="H1923" s="22" t="n"/>
      <c r="I1923" s="22" t="n"/>
      <c r="J1923" s="22" t="n"/>
      <c r="K1923" s="22" t="n"/>
      <c r="L1923" s="22" t="n"/>
      <c r="M1923" s="22">
        <f>IF(K1923="Override",L1923,IF(K1923="Accept suggestion",F1923,IF(K1923="No change (same URL)",A1923,"")))</f>
        <v/>
      </c>
      <c r="N1923" s="22">
        <f>IF(A1923="","",IF(K1923="410 Gone","410",IF(K1923="404","404",IF(K1923="No change (same URL)","none",IF(M1923="","","301")))))</f>
        <v/>
      </c>
      <c r="O1923" s="22">
        <f>IF(A1923="","",IFERROR(MID(A1923,FIND("/",A1923,FIND("//",A1923)+2),2000),A1923))</f>
        <v/>
      </c>
      <c r="P1923" s="22">
        <f>IF(OR(O1923="",N1923="",N1923="none",N1923="404"),"",IF(N1923="410","Redirect gone "&amp;O1923,"Redirect "&amp;N1923&amp;" "&amp;O1923&amp;" "&amp;M1923))</f>
        <v/>
      </c>
      <c r="Q1923" s="22" t="n"/>
      <c r="R1923" s="22" t="n"/>
      <c r="S1923" s="22" t="n"/>
      <c r="T1923" s="4">
        <f>IF(A1923="","",TRIM(IF(K1923="","Needs decision; ","")&amp;IF(AND(K1923="Accept suggestion",F1923=""),"No suggestion to accept; ","")&amp;IF(AND(K1923="Override",L1923=""),"Override URL missing; ","")&amp;IF(AND(K1923="Accept suggestion",N(G1923)&lt;$G$2),"Below your threshold; ","")&amp;IF(AND(M1923&lt;&gt;"",M1923=A1923,K1923&lt;&gt;"No change (same URL)"),"Redirects to itself; ","")&amp;IF(AND(M1923&lt;&gt;"",OR(M1923="/",AND(LEFT(M1923,4)="http",OR((LEN(M1923)-LEN(SUBSTITUTE(M1923,"/","")))=2,AND((LEN(M1923)-LEN(SUBSTITUTE(M1923,"/","")))=3,RIGHT(M1923,1)="/"))))),"Home page redirect; ","")&amp;IF(N(R1923)&gt;1,"Chain; ","")&amp;IF(S1923="No","Destination not 200; ","")))</f>
        <v/>
      </c>
      <c r="U1923" s="22" t="n"/>
      <c r="V1923" s="22" t="n"/>
      <c r="W1923" s="4" t="n"/>
    </row>
    <row r="1924">
      <c r="A1924" s="22" t="n"/>
      <c r="B1924" s="22" t="n"/>
      <c r="C1924" s="22" t="n"/>
      <c r="D1924" s="22">
        <f>IF(A1924="","",IF(OR(N(B1924)&gt;=$C$2,N(C1924)&gt;=$E$2),"High",IF(OR(N(B1924)&gt;0,N(C1924)&gt;0),"Medium","Low")))</f>
        <v/>
      </c>
      <c r="E1924" s="22" t="n"/>
      <c r="F1924" s="22" t="n"/>
      <c r="G1924" s="22" t="n"/>
      <c r="H1924" s="22" t="n"/>
      <c r="I1924" s="22" t="n"/>
      <c r="J1924" s="22" t="n"/>
      <c r="K1924" s="22" t="n"/>
      <c r="L1924" s="22" t="n"/>
      <c r="M1924" s="22">
        <f>IF(K1924="Override",L1924,IF(K1924="Accept suggestion",F1924,IF(K1924="No change (same URL)",A1924,"")))</f>
        <v/>
      </c>
      <c r="N1924" s="22">
        <f>IF(A1924="","",IF(K1924="410 Gone","410",IF(K1924="404","404",IF(K1924="No change (same URL)","none",IF(M1924="","","301")))))</f>
        <v/>
      </c>
      <c r="O1924" s="22">
        <f>IF(A1924="","",IFERROR(MID(A1924,FIND("/",A1924,FIND("//",A1924)+2),2000),A1924))</f>
        <v/>
      </c>
      <c r="P1924" s="22">
        <f>IF(OR(O1924="",N1924="",N1924="none",N1924="404"),"",IF(N1924="410","Redirect gone "&amp;O1924,"Redirect "&amp;N1924&amp;" "&amp;O1924&amp;" "&amp;M1924))</f>
        <v/>
      </c>
      <c r="Q1924" s="22" t="n"/>
      <c r="R1924" s="22" t="n"/>
      <c r="S1924" s="22" t="n"/>
      <c r="T1924" s="4">
        <f>IF(A1924="","",TRIM(IF(K1924="","Needs decision; ","")&amp;IF(AND(K1924="Accept suggestion",F1924=""),"No suggestion to accept; ","")&amp;IF(AND(K1924="Override",L1924=""),"Override URL missing; ","")&amp;IF(AND(K1924="Accept suggestion",N(G1924)&lt;$G$2),"Below your threshold; ","")&amp;IF(AND(M1924&lt;&gt;"",M1924=A1924,K1924&lt;&gt;"No change (same URL)"),"Redirects to itself; ","")&amp;IF(AND(M1924&lt;&gt;"",OR(M1924="/",AND(LEFT(M1924,4)="http",OR((LEN(M1924)-LEN(SUBSTITUTE(M1924,"/","")))=2,AND((LEN(M1924)-LEN(SUBSTITUTE(M1924,"/","")))=3,RIGHT(M1924,1)="/"))))),"Home page redirect; ","")&amp;IF(N(R1924)&gt;1,"Chain; ","")&amp;IF(S1924="No","Destination not 200; ","")))</f>
        <v/>
      </c>
      <c r="U1924" s="22" t="n"/>
      <c r="V1924" s="22" t="n"/>
      <c r="W1924" s="4" t="n"/>
    </row>
    <row r="1925">
      <c r="A1925" s="22" t="n"/>
      <c r="B1925" s="22" t="n"/>
      <c r="C1925" s="22" t="n"/>
      <c r="D1925" s="22">
        <f>IF(A1925="","",IF(OR(N(B1925)&gt;=$C$2,N(C1925)&gt;=$E$2),"High",IF(OR(N(B1925)&gt;0,N(C1925)&gt;0),"Medium","Low")))</f>
        <v/>
      </c>
      <c r="E1925" s="22" t="n"/>
      <c r="F1925" s="22" t="n"/>
      <c r="G1925" s="22" t="n"/>
      <c r="H1925" s="22" t="n"/>
      <c r="I1925" s="22" t="n"/>
      <c r="J1925" s="22" t="n"/>
      <c r="K1925" s="22" t="n"/>
      <c r="L1925" s="22" t="n"/>
      <c r="M1925" s="22">
        <f>IF(K1925="Override",L1925,IF(K1925="Accept suggestion",F1925,IF(K1925="No change (same URL)",A1925,"")))</f>
        <v/>
      </c>
      <c r="N1925" s="22">
        <f>IF(A1925="","",IF(K1925="410 Gone","410",IF(K1925="404","404",IF(K1925="No change (same URL)","none",IF(M1925="","","301")))))</f>
        <v/>
      </c>
      <c r="O1925" s="22">
        <f>IF(A1925="","",IFERROR(MID(A1925,FIND("/",A1925,FIND("//",A1925)+2),2000),A1925))</f>
        <v/>
      </c>
      <c r="P1925" s="22">
        <f>IF(OR(O1925="",N1925="",N1925="none",N1925="404"),"",IF(N1925="410","Redirect gone "&amp;O1925,"Redirect "&amp;N1925&amp;" "&amp;O1925&amp;" "&amp;M1925))</f>
        <v/>
      </c>
      <c r="Q1925" s="22" t="n"/>
      <c r="R1925" s="22" t="n"/>
      <c r="S1925" s="22" t="n"/>
      <c r="T1925" s="4">
        <f>IF(A1925="","",TRIM(IF(K1925="","Needs decision; ","")&amp;IF(AND(K1925="Accept suggestion",F1925=""),"No suggestion to accept; ","")&amp;IF(AND(K1925="Override",L1925=""),"Override URL missing; ","")&amp;IF(AND(K1925="Accept suggestion",N(G1925)&lt;$G$2),"Below your threshold; ","")&amp;IF(AND(M1925&lt;&gt;"",M1925=A1925,K1925&lt;&gt;"No change (same URL)"),"Redirects to itself; ","")&amp;IF(AND(M1925&lt;&gt;"",OR(M1925="/",AND(LEFT(M1925,4)="http",OR((LEN(M1925)-LEN(SUBSTITUTE(M1925,"/","")))=2,AND((LEN(M1925)-LEN(SUBSTITUTE(M1925,"/","")))=3,RIGHT(M1925,1)="/"))))),"Home page redirect; ","")&amp;IF(N(R1925)&gt;1,"Chain; ","")&amp;IF(S1925="No","Destination not 200; ","")))</f>
        <v/>
      </c>
      <c r="U1925" s="22" t="n"/>
      <c r="V1925" s="22" t="n"/>
      <c r="W1925" s="4" t="n"/>
    </row>
    <row r="1926">
      <c r="A1926" s="22" t="n"/>
      <c r="B1926" s="22" t="n"/>
      <c r="C1926" s="22" t="n"/>
      <c r="D1926" s="22">
        <f>IF(A1926="","",IF(OR(N(B1926)&gt;=$C$2,N(C1926)&gt;=$E$2),"High",IF(OR(N(B1926)&gt;0,N(C1926)&gt;0),"Medium","Low")))</f>
        <v/>
      </c>
      <c r="E1926" s="22" t="n"/>
      <c r="F1926" s="22" t="n"/>
      <c r="G1926" s="22" t="n"/>
      <c r="H1926" s="22" t="n"/>
      <c r="I1926" s="22" t="n"/>
      <c r="J1926" s="22" t="n"/>
      <c r="K1926" s="22" t="n"/>
      <c r="L1926" s="22" t="n"/>
      <c r="M1926" s="22">
        <f>IF(K1926="Override",L1926,IF(K1926="Accept suggestion",F1926,IF(K1926="No change (same URL)",A1926,"")))</f>
        <v/>
      </c>
      <c r="N1926" s="22">
        <f>IF(A1926="","",IF(K1926="410 Gone","410",IF(K1926="404","404",IF(K1926="No change (same URL)","none",IF(M1926="","","301")))))</f>
        <v/>
      </c>
      <c r="O1926" s="22">
        <f>IF(A1926="","",IFERROR(MID(A1926,FIND("/",A1926,FIND("//",A1926)+2),2000),A1926))</f>
        <v/>
      </c>
      <c r="P1926" s="22">
        <f>IF(OR(O1926="",N1926="",N1926="none",N1926="404"),"",IF(N1926="410","Redirect gone "&amp;O1926,"Redirect "&amp;N1926&amp;" "&amp;O1926&amp;" "&amp;M1926))</f>
        <v/>
      </c>
      <c r="Q1926" s="22" t="n"/>
      <c r="R1926" s="22" t="n"/>
      <c r="S1926" s="22" t="n"/>
      <c r="T1926" s="4">
        <f>IF(A1926="","",TRIM(IF(K1926="","Needs decision; ","")&amp;IF(AND(K1926="Accept suggestion",F1926=""),"No suggestion to accept; ","")&amp;IF(AND(K1926="Override",L1926=""),"Override URL missing; ","")&amp;IF(AND(K1926="Accept suggestion",N(G1926)&lt;$G$2),"Below your threshold; ","")&amp;IF(AND(M1926&lt;&gt;"",M1926=A1926,K1926&lt;&gt;"No change (same URL)"),"Redirects to itself; ","")&amp;IF(AND(M1926&lt;&gt;"",OR(M1926="/",AND(LEFT(M1926,4)="http",OR((LEN(M1926)-LEN(SUBSTITUTE(M1926,"/","")))=2,AND((LEN(M1926)-LEN(SUBSTITUTE(M1926,"/","")))=3,RIGHT(M1926,1)="/"))))),"Home page redirect; ","")&amp;IF(N(R1926)&gt;1,"Chain; ","")&amp;IF(S1926="No","Destination not 200; ","")))</f>
        <v/>
      </c>
      <c r="U1926" s="22" t="n"/>
      <c r="V1926" s="22" t="n"/>
      <c r="W1926" s="4" t="n"/>
    </row>
    <row r="1927">
      <c r="A1927" s="22" t="n"/>
      <c r="B1927" s="22" t="n"/>
      <c r="C1927" s="22" t="n"/>
      <c r="D1927" s="22">
        <f>IF(A1927="","",IF(OR(N(B1927)&gt;=$C$2,N(C1927)&gt;=$E$2),"High",IF(OR(N(B1927)&gt;0,N(C1927)&gt;0),"Medium","Low")))</f>
        <v/>
      </c>
      <c r="E1927" s="22" t="n"/>
      <c r="F1927" s="22" t="n"/>
      <c r="G1927" s="22" t="n"/>
      <c r="H1927" s="22" t="n"/>
      <c r="I1927" s="22" t="n"/>
      <c r="J1927" s="22" t="n"/>
      <c r="K1927" s="22" t="n"/>
      <c r="L1927" s="22" t="n"/>
      <c r="M1927" s="22">
        <f>IF(K1927="Override",L1927,IF(K1927="Accept suggestion",F1927,IF(K1927="No change (same URL)",A1927,"")))</f>
        <v/>
      </c>
      <c r="N1927" s="22">
        <f>IF(A1927="","",IF(K1927="410 Gone","410",IF(K1927="404","404",IF(K1927="No change (same URL)","none",IF(M1927="","","301")))))</f>
        <v/>
      </c>
      <c r="O1927" s="22">
        <f>IF(A1927="","",IFERROR(MID(A1927,FIND("/",A1927,FIND("//",A1927)+2),2000),A1927))</f>
        <v/>
      </c>
      <c r="P1927" s="22">
        <f>IF(OR(O1927="",N1927="",N1927="none",N1927="404"),"",IF(N1927="410","Redirect gone "&amp;O1927,"Redirect "&amp;N1927&amp;" "&amp;O1927&amp;" "&amp;M1927))</f>
        <v/>
      </c>
      <c r="Q1927" s="22" t="n"/>
      <c r="R1927" s="22" t="n"/>
      <c r="S1927" s="22" t="n"/>
      <c r="T1927" s="4">
        <f>IF(A1927="","",TRIM(IF(K1927="","Needs decision; ","")&amp;IF(AND(K1927="Accept suggestion",F1927=""),"No suggestion to accept; ","")&amp;IF(AND(K1927="Override",L1927=""),"Override URL missing; ","")&amp;IF(AND(K1927="Accept suggestion",N(G1927)&lt;$G$2),"Below your threshold; ","")&amp;IF(AND(M1927&lt;&gt;"",M1927=A1927,K1927&lt;&gt;"No change (same URL)"),"Redirects to itself; ","")&amp;IF(AND(M1927&lt;&gt;"",OR(M1927="/",AND(LEFT(M1927,4)="http",OR((LEN(M1927)-LEN(SUBSTITUTE(M1927,"/","")))=2,AND((LEN(M1927)-LEN(SUBSTITUTE(M1927,"/","")))=3,RIGHT(M1927,1)="/"))))),"Home page redirect; ","")&amp;IF(N(R1927)&gt;1,"Chain; ","")&amp;IF(S1927="No","Destination not 200; ","")))</f>
        <v/>
      </c>
      <c r="U1927" s="22" t="n"/>
      <c r="V1927" s="22" t="n"/>
      <c r="W1927" s="4" t="n"/>
    </row>
    <row r="1928">
      <c r="A1928" s="22" t="n"/>
      <c r="B1928" s="22" t="n"/>
      <c r="C1928" s="22" t="n"/>
      <c r="D1928" s="22">
        <f>IF(A1928="","",IF(OR(N(B1928)&gt;=$C$2,N(C1928)&gt;=$E$2),"High",IF(OR(N(B1928)&gt;0,N(C1928)&gt;0),"Medium","Low")))</f>
        <v/>
      </c>
      <c r="E1928" s="22" t="n"/>
      <c r="F1928" s="22" t="n"/>
      <c r="G1928" s="22" t="n"/>
      <c r="H1928" s="22" t="n"/>
      <c r="I1928" s="22" t="n"/>
      <c r="J1928" s="22" t="n"/>
      <c r="K1928" s="22" t="n"/>
      <c r="L1928" s="22" t="n"/>
      <c r="M1928" s="22">
        <f>IF(K1928="Override",L1928,IF(K1928="Accept suggestion",F1928,IF(K1928="No change (same URL)",A1928,"")))</f>
        <v/>
      </c>
      <c r="N1928" s="22">
        <f>IF(A1928="","",IF(K1928="410 Gone","410",IF(K1928="404","404",IF(K1928="No change (same URL)","none",IF(M1928="","","301")))))</f>
        <v/>
      </c>
      <c r="O1928" s="22">
        <f>IF(A1928="","",IFERROR(MID(A1928,FIND("/",A1928,FIND("//",A1928)+2),2000),A1928))</f>
        <v/>
      </c>
      <c r="P1928" s="22">
        <f>IF(OR(O1928="",N1928="",N1928="none",N1928="404"),"",IF(N1928="410","Redirect gone "&amp;O1928,"Redirect "&amp;N1928&amp;" "&amp;O1928&amp;" "&amp;M1928))</f>
        <v/>
      </c>
      <c r="Q1928" s="22" t="n"/>
      <c r="R1928" s="22" t="n"/>
      <c r="S1928" s="22" t="n"/>
      <c r="T1928" s="4">
        <f>IF(A1928="","",TRIM(IF(K1928="","Needs decision; ","")&amp;IF(AND(K1928="Accept suggestion",F1928=""),"No suggestion to accept; ","")&amp;IF(AND(K1928="Override",L1928=""),"Override URL missing; ","")&amp;IF(AND(K1928="Accept suggestion",N(G1928)&lt;$G$2),"Below your threshold; ","")&amp;IF(AND(M1928&lt;&gt;"",M1928=A1928,K1928&lt;&gt;"No change (same URL)"),"Redirects to itself; ","")&amp;IF(AND(M1928&lt;&gt;"",OR(M1928="/",AND(LEFT(M1928,4)="http",OR((LEN(M1928)-LEN(SUBSTITUTE(M1928,"/","")))=2,AND((LEN(M1928)-LEN(SUBSTITUTE(M1928,"/","")))=3,RIGHT(M1928,1)="/"))))),"Home page redirect; ","")&amp;IF(N(R1928)&gt;1,"Chain; ","")&amp;IF(S1928="No","Destination not 200; ","")))</f>
        <v/>
      </c>
      <c r="U1928" s="22" t="n"/>
      <c r="V1928" s="22" t="n"/>
      <c r="W1928" s="4" t="n"/>
    </row>
    <row r="1929">
      <c r="A1929" s="22" t="n"/>
      <c r="B1929" s="22" t="n"/>
      <c r="C1929" s="22" t="n"/>
      <c r="D1929" s="22">
        <f>IF(A1929="","",IF(OR(N(B1929)&gt;=$C$2,N(C1929)&gt;=$E$2),"High",IF(OR(N(B1929)&gt;0,N(C1929)&gt;0),"Medium","Low")))</f>
        <v/>
      </c>
      <c r="E1929" s="22" t="n"/>
      <c r="F1929" s="22" t="n"/>
      <c r="G1929" s="22" t="n"/>
      <c r="H1929" s="22" t="n"/>
      <c r="I1929" s="22" t="n"/>
      <c r="J1929" s="22" t="n"/>
      <c r="K1929" s="22" t="n"/>
      <c r="L1929" s="22" t="n"/>
      <c r="M1929" s="22">
        <f>IF(K1929="Override",L1929,IF(K1929="Accept suggestion",F1929,IF(K1929="No change (same URL)",A1929,"")))</f>
        <v/>
      </c>
      <c r="N1929" s="22">
        <f>IF(A1929="","",IF(K1929="410 Gone","410",IF(K1929="404","404",IF(K1929="No change (same URL)","none",IF(M1929="","","301")))))</f>
        <v/>
      </c>
      <c r="O1929" s="22">
        <f>IF(A1929="","",IFERROR(MID(A1929,FIND("/",A1929,FIND("//",A1929)+2),2000),A1929))</f>
        <v/>
      </c>
      <c r="P1929" s="22">
        <f>IF(OR(O1929="",N1929="",N1929="none",N1929="404"),"",IF(N1929="410","Redirect gone "&amp;O1929,"Redirect "&amp;N1929&amp;" "&amp;O1929&amp;" "&amp;M1929))</f>
        <v/>
      </c>
      <c r="Q1929" s="22" t="n"/>
      <c r="R1929" s="22" t="n"/>
      <c r="S1929" s="22" t="n"/>
      <c r="T1929" s="4">
        <f>IF(A1929="","",TRIM(IF(K1929="","Needs decision; ","")&amp;IF(AND(K1929="Accept suggestion",F1929=""),"No suggestion to accept; ","")&amp;IF(AND(K1929="Override",L1929=""),"Override URL missing; ","")&amp;IF(AND(K1929="Accept suggestion",N(G1929)&lt;$G$2),"Below your threshold; ","")&amp;IF(AND(M1929&lt;&gt;"",M1929=A1929,K1929&lt;&gt;"No change (same URL)"),"Redirects to itself; ","")&amp;IF(AND(M1929&lt;&gt;"",OR(M1929="/",AND(LEFT(M1929,4)="http",OR((LEN(M1929)-LEN(SUBSTITUTE(M1929,"/","")))=2,AND((LEN(M1929)-LEN(SUBSTITUTE(M1929,"/","")))=3,RIGHT(M1929,1)="/"))))),"Home page redirect; ","")&amp;IF(N(R1929)&gt;1,"Chain; ","")&amp;IF(S1929="No","Destination not 200; ","")))</f>
        <v/>
      </c>
      <c r="U1929" s="22" t="n"/>
      <c r="V1929" s="22" t="n"/>
      <c r="W1929" s="4" t="n"/>
    </row>
    <row r="1930">
      <c r="A1930" s="22" t="n"/>
      <c r="B1930" s="22" t="n"/>
      <c r="C1930" s="22" t="n"/>
      <c r="D1930" s="22">
        <f>IF(A1930="","",IF(OR(N(B1930)&gt;=$C$2,N(C1930)&gt;=$E$2),"High",IF(OR(N(B1930)&gt;0,N(C1930)&gt;0),"Medium","Low")))</f>
        <v/>
      </c>
      <c r="E1930" s="22" t="n"/>
      <c r="F1930" s="22" t="n"/>
      <c r="G1930" s="22" t="n"/>
      <c r="H1930" s="22" t="n"/>
      <c r="I1930" s="22" t="n"/>
      <c r="J1930" s="22" t="n"/>
      <c r="K1930" s="22" t="n"/>
      <c r="L1930" s="22" t="n"/>
      <c r="M1930" s="22">
        <f>IF(K1930="Override",L1930,IF(K1930="Accept suggestion",F1930,IF(K1930="No change (same URL)",A1930,"")))</f>
        <v/>
      </c>
      <c r="N1930" s="22">
        <f>IF(A1930="","",IF(K1930="410 Gone","410",IF(K1930="404","404",IF(K1930="No change (same URL)","none",IF(M1930="","","301")))))</f>
        <v/>
      </c>
      <c r="O1930" s="22">
        <f>IF(A1930="","",IFERROR(MID(A1930,FIND("/",A1930,FIND("//",A1930)+2),2000),A1930))</f>
        <v/>
      </c>
      <c r="P1930" s="22">
        <f>IF(OR(O1930="",N1930="",N1930="none",N1930="404"),"",IF(N1930="410","Redirect gone "&amp;O1930,"Redirect "&amp;N1930&amp;" "&amp;O1930&amp;" "&amp;M1930))</f>
        <v/>
      </c>
      <c r="Q1930" s="22" t="n"/>
      <c r="R1930" s="22" t="n"/>
      <c r="S1930" s="22" t="n"/>
      <c r="T1930" s="4">
        <f>IF(A1930="","",TRIM(IF(K1930="","Needs decision; ","")&amp;IF(AND(K1930="Accept suggestion",F1930=""),"No suggestion to accept; ","")&amp;IF(AND(K1930="Override",L1930=""),"Override URL missing; ","")&amp;IF(AND(K1930="Accept suggestion",N(G1930)&lt;$G$2),"Below your threshold; ","")&amp;IF(AND(M1930&lt;&gt;"",M1930=A1930,K1930&lt;&gt;"No change (same URL)"),"Redirects to itself; ","")&amp;IF(AND(M1930&lt;&gt;"",OR(M1930="/",AND(LEFT(M1930,4)="http",OR((LEN(M1930)-LEN(SUBSTITUTE(M1930,"/","")))=2,AND((LEN(M1930)-LEN(SUBSTITUTE(M1930,"/","")))=3,RIGHT(M1930,1)="/"))))),"Home page redirect; ","")&amp;IF(N(R1930)&gt;1,"Chain; ","")&amp;IF(S1930="No","Destination not 200; ","")))</f>
        <v/>
      </c>
      <c r="U1930" s="22" t="n"/>
      <c r="V1930" s="22" t="n"/>
      <c r="W1930" s="4" t="n"/>
    </row>
    <row r="1931">
      <c r="A1931" s="22" t="n"/>
      <c r="B1931" s="22" t="n"/>
      <c r="C1931" s="22" t="n"/>
      <c r="D1931" s="22">
        <f>IF(A1931="","",IF(OR(N(B1931)&gt;=$C$2,N(C1931)&gt;=$E$2),"High",IF(OR(N(B1931)&gt;0,N(C1931)&gt;0),"Medium","Low")))</f>
        <v/>
      </c>
      <c r="E1931" s="22" t="n"/>
      <c r="F1931" s="22" t="n"/>
      <c r="G1931" s="22" t="n"/>
      <c r="H1931" s="22" t="n"/>
      <c r="I1931" s="22" t="n"/>
      <c r="J1931" s="22" t="n"/>
      <c r="K1931" s="22" t="n"/>
      <c r="L1931" s="22" t="n"/>
      <c r="M1931" s="22">
        <f>IF(K1931="Override",L1931,IF(K1931="Accept suggestion",F1931,IF(K1931="No change (same URL)",A1931,"")))</f>
        <v/>
      </c>
      <c r="N1931" s="22">
        <f>IF(A1931="","",IF(K1931="410 Gone","410",IF(K1931="404","404",IF(K1931="No change (same URL)","none",IF(M1931="","","301")))))</f>
        <v/>
      </c>
      <c r="O1931" s="22">
        <f>IF(A1931="","",IFERROR(MID(A1931,FIND("/",A1931,FIND("//",A1931)+2),2000),A1931))</f>
        <v/>
      </c>
      <c r="P1931" s="22">
        <f>IF(OR(O1931="",N1931="",N1931="none",N1931="404"),"",IF(N1931="410","Redirect gone "&amp;O1931,"Redirect "&amp;N1931&amp;" "&amp;O1931&amp;" "&amp;M1931))</f>
        <v/>
      </c>
      <c r="Q1931" s="22" t="n"/>
      <c r="R1931" s="22" t="n"/>
      <c r="S1931" s="22" t="n"/>
      <c r="T1931" s="4">
        <f>IF(A1931="","",TRIM(IF(K1931="","Needs decision; ","")&amp;IF(AND(K1931="Accept suggestion",F1931=""),"No suggestion to accept; ","")&amp;IF(AND(K1931="Override",L1931=""),"Override URL missing; ","")&amp;IF(AND(K1931="Accept suggestion",N(G1931)&lt;$G$2),"Below your threshold; ","")&amp;IF(AND(M1931&lt;&gt;"",M1931=A1931,K1931&lt;&gt;"No change (same URL)"),"Redirects to itself; ","")&amp;IF(AND(M1931&lt;&gt;"",OR(M1931="/",AND(LEFT(M1931,4)="http",OR((LEN(M1931)-LEN(SUBSTITUTE(M1931,"/","")))=2,AND((LEN(M1931)-LEN(SUBSTITUTE(M1931,"/","")))=3,RIGHT(M1931,1)="/"))))),"Home page redirect; ","")&amp;IF(N(R1931)&gt;1,"Chain; ","")&amp;IF(S1931="No","Destination not 200; ","")))</f>
        <v/>
      </c>
      <c r="U1931" s="22" t="n"/>
      <c r="V1931" s="22" t="n"/>
      <c r="W1931" s="4" t="n"/>
    </row>
    <row r="1932">
      <c r="A1932" s="22" t="n"/>
      <c r="B1932" s="22" t="n"/>
      <c r="C1932" s="22" t="n"/>
      <c r="D1932" s="22">
        <f>IF(A1932="","",IF(OR(N(B1932)&gt;=$C$2,N(C1932)&gt;=$E$2),"High",IF(OR(N(B1932)&gt;0,N(C1932)&gt;0),"Medium","Low")))</f>
        <v/>
      </c>
      <c r="E1932" s="22" t="n"/>
      <c r="F1932" s="22" t="n"/>
      <c r="G1932" s="22" t="n"/>
      <c r="H1932" s="22" t="n"/>
      <c r="I1932" s="22" t="n"/>
      <c r="J1932" s="22" t="n"/>
      <c r="K1932" s="22" t="n"/>
      <c r="L1932" s="22" t="n"/>
      <c r="M1932" s="22">
        <f>IF(K1932="Override",L1932,IF(K1932="Accept suggestion",F1932,IF(K1932="No change (same URL)",A1932,"")))</f>
        <v/>
      </c>
      <c r="N1932" s="22">
        <f>IF(A1932="","",IF(K1932="410 Gone","410",IF(K1932="404","404",IF(K1932="No change (same URL)","none",IF(M1932="","","301")))))</f>
        <v/>
      </c>
      <c r="O1932" s="22">
        <f>IF(A1932="","",IFERROR(MID(A1932,FIND("/",A1932,FIND("//",A1932)+2),2000),A1932))</f>
        <v/>
      </c>
      <c r="P1932" s="22">
        <f>IF(OR(O1932="",N1932="",N1932="none",N1932="404"),"",IF(N1932="410","Redirect gone "&amp;O1932,"Redirect "&amp;N1932&amp;" "&amp;O1932&amp;" "&amp;M1932))</f>
        <v/>
      </c>
      <c r="Q1932" s="22" t="n"/>
      <c r="R1932" s="22" t="n"/>
      <c r="S1932" s="22" t="n"/>
      <c r="T1932" s="4">
        <f>IF(A1932="","",TRIM(IF(K1932="","Needs decision; ","")&amp;IF(AND(K1932="Accept suggestion",F1932=""),"No suggestion to accept; ","")&amp;IF(AND(K1932="Override",L1932=""),"Override URL missing; ","")&amp;IF(AND(K1932="Accept suggestion",N(G1932)&lt;$G$2),"Below your threshold; ","")&amp;IF(AND(M1932&lt;&gt;"",M1932=A1932,K1932&lt;&gt;"No change (same URL)"),"Redirects to itself; ","")&amp;IF(AND(M1932&lt;&gt;"",OR(M1932="/",AND(LEFT(M1932,4)="http",OR((LEN(M1932)-LEN(SUBSTITUTE(M1932,"/","")))=2,AND((LEN(M1932)-LEN(SUBSTITUTE(M1932,"/","")))=3,RIGHT(M1932,1)="/"))))),"Home page redirect; ","")&amp;IF(N(R1932)&gt;1,"Chain; ","")&amp;IF(S1932="No","Destination not 200; ","")))</f>
        <v/>
      </c>
      <c r="U1932" s="22" t="n"/>
      <c r="V1932" s="22" t="n"/>
      <c r="W1932" s="4" t="n"/>
    </row>
    <row r="1933">
      <c r="A1933" s="22" t="n"/>
      <c r="B1933" s="22" t="n"/>
      <c r="C1933" s="22" t="n"/>
      <c r="D1933" s="22">
        <f>IF(A1933="","",IF(OR(N(B1933)&gt;=$C$2,N(C1933)&gt;=$E$2),"High",IF(OR(N(B1933)&gt;0,N(C1933)&gt;0),"Medium","Low")))</f>
        <v/>
      </c>
      <c r="E1933" s="22" t="n"/>
      <c r="F1933" s="22" t="n"/>
      <c r="G1933" s="22" t="n"/>
      <c r="H1933" s="22" t="n"/>
      <c r="I1933" s="22" t="n"/>
      <c r="J1933" s="22" t="n"/>
      <c r="K1933" s="22" t="n"/>
      <c r="L1933" s="22" t="n"/>
      <c r="M1933" s="22">
        <f>IF(K1933="Override",L1933,IF(K1933="Accept suggestion",F1933,IF(K1933="No change (same URL)",A1933,"")))</f>
        <v/>
      </c>
      <c r="N1933" s="22">
        <f>IF(A1933="","",IF(K1933="410 Gone","410",IF(K1933="404","404",IF(K1933="No change (same URL)","none",IF(M1933="","","301")))))</f>
        <v/>
      </c>
      <c r="O1933" s="22">
        <f>IF(A1933="","",IFERROR(MID(A1933,FIND("/",A1933,FIND("//",A1933)+2),2000),A1933))</f>
        <v/>
      </c>
      <c r="P1933" s="22">
        <f>IF(OR(O1933="",N1933="",N1933="none",N1933="404"),"",IF(N1933="410","Redirect gone "&amp;O1933,"Redirect "&amp;N1933&amp;" "&amp;O1933&amp;" "&amp;M1933))</f>
        <v/>
      </c>
      <c r="Q1933" s="22" t="n"/>
      <c r="R1933" s="22" t="n"/>
      <c r="S1933" s="22" t="n"/>
      <c r="T1933" s="4">
        <f>IF(A1933="","",TRIM(IF(K1933="","Needs decision; ","")&amp;IF(AND(K1933="Accept suggestion",F1933=""),"No suggestion to accept; ","")&amp;IF(AND(K1933="Override",L1933=""),"Override URL missing; ","")&amp;IF(AND(K1933="Accept suggestion",N(G1933)&lt;$G$2),"Below your threshold; ","")&amp;IF(AND(M1933&lt;&gt;"",M1933=A1933,K1933&lt;&gt;"No change (same URL)"),"Redirects to itself; ","")&amp;IF(AND(M1933&lt;&gt;"",OR(M1933="/",AND(LEFT(M1933,4)="http",OR((LEN(M1933)-LEN(SUBSTITUTE(M1933,"/","")))=2,AND((LEN(M1933)-LEN(SUBSTITUTE(M1933,"/","")))=3,RIGHT(M1933,1)="/"))))),"Home page redirect; ","")&amp;IF(N(R1933)&gt;1,"Chain; ","")&amp;IF(S1933="No","Destination not 200; ","")))</f>
        <v/>
      </c>
      <c r="U1933" s="22" t="n"/>
      <c r="V1933" s="22" t="n"/>
      <c r="W1933" s="4" t="n"/>
    </row>
    <row r="1934">
      <c r="A1934" s="22" t="n"/>
      <c r="B1934" s="22" t="n"/>
      <c r="C1934" s="22" t="n"/>
      <c r="D1934" s="22">
        <f>IF(A1934="","",IF(OR(N(B1934)&gt;=$C$2,N(C1934)&gt;=$E$2),"High",IF(OR(N(B1934)&gt;0,N(C1934)&gt;0),"Medium","Low")))</f>
        <v/>
      </c>
      <c r="E1934" s="22" t="n"/>
      <c r="F1934" s="22" t="n"/>
      <c r="G1934" s="22" t="n"/>
      <c r="H1934" s="22" t="n"/>
      <c r="I1934" s="22" t="n"/>
      <c r="J1934" s="22" t="n"/>
      <c r="K1934" s="22" t="n"/>
      <c r="L1934" s="22" t="n"/>
      <c r="M1934" s="22">
        <f>IF(K1934="Override",L1934,IF(K1934="Accept suggestion",F1934,IF(K1934="No change (same URL)",A1934,"")))</f>
        <v/>
      </c>
      <c r="N1934" s="22">
        <f>IF(A1934="","",IF(K1934="410 Gone","410",IF(K1934="404","404",IF(K1934="No change (same URL)","none",IF(M1934="","","301")))))</f>
        <v/>
      </c>
      <c r="O1934" s="22">
        <f>IF(A1934="","",IFERROR(MID(A1934,FIND("/",A1934,FIND("//",A1934)+2),2000),A1934))</f>
        <v/>
      </c>
      <c r="P1934" s="22">
        <f>IF(OR(O1934="",N1934="",N1934="none",N1934="404"),"",IF(N1934="410","Redirect gone "&amp;O1934,"Redirect "&amp;N1934&amp;" "&amp;O1934&amp;" "&amp;M1934))</f>
        <v/>
      </c>
      <c r="Q1934" s="22" t="n"/>
      <c r="R1934" s="22" t="n"/>
      <c r="S1934" s="22" t="n"/>
      <c r="T1934" s="4">
        <f>IF(A1934="","",TRIM(IF(K1934="","Needs decision; ","")&amp;IF(AND(K1934="Accept suggestion",F1934=""),"No suggestion to accept; ","")&amp;IF(AND(K1934="Override",L1934=""),"Override URL missing; ","")&amp;IF(AND(K1934="Accept suggestion",N(G1934)&lt;$G$2),"Below your threshold; ","")&amp;IF(AND(M1934&lt;&gt;"",M1934=A1934,K1934&lt;&gt;"No change (same URL)"),"Redirects to itself; ","")&amp;IF(AND(M1934&lt;&gt;"",OR(M1934="/",AND(LEFT(M1934,4)="http",OR((LEN(M1934)-LEN(SUBSTITUTE(M1934,"/","")))=2,AND((LEN(M1934)-LEN(SUBSTITUTE(M1934,"/","")))=3,RIGHT(M1934,1)="/"))))),"Home page redirect; ","")&amp;IF(N(R1934)&gt;1,"Chain; ","")&amp;IF(S1934="No","Destination not 200; ","")))</f>
        <v/>
      </c>
      <c r="U1934" s="22" t="n"/>
      <c r="V1934" s="22" t="n"/>
      <c r="W1934" s="4" t="n"/>
    </row>
    <row r="1935">
      <c r="A1935" s="22" t="n"/>
      <c r="B1935" s="22" t="n"/>
      <c r="C1935" s="22" t="n"/>
      <c r="D1935" s="22">
        <f>IF(A1935="","",IF(OR(N(B1935)&gt;=$C$2,N(C1935)&gt;=$E$2),"High",IF(OR(N(B1935)&gt;0,N(C1935)&gt;0),"Medium","Low")))</f>
        <v/>
      </c>
      <c r="E1935" s="22" t="n"/>
      <c r="F1935" s="22" t="n"/>
      <c r="G1935" s="22" t="n"/>
      <c r="H1935" s="22" t="n"/>
      <c r="I1935" s="22" t="n"/>
      <c r="J1935" s="22" t="n"/>
      <c r="K1935" s="22" t="n"/>
      <c r="L1935" s="22" t="n"/>
      <c r="M1935" s="22">
        <f>IF(K1935="Override",L1935,IF(K1935="Accept suggestion",F1935,IF(K1935="No change (same URL)",A1935,"")))</f>
        <v/>
      </c>
      <c r="N1935" s="22">
        <f>IF(A1935="","",IF(K1935="410 Gone","410",IF(K1935="404","404",IF(K1935="No change (same URL)","none",IF(M1935="","","301")))))</f>
        <v/>
      </c>
      <c r="O1935" s="22">
        <f>IF(A1935="","",IFERROR(MID(A1935,FIND("/",A1935,FIND("//",A1935)+2),2000),A1935))</f>
        <v/>
      </c>
      <c r="P1935" s="22">
        <f>IF(OR(O1935="",N1935="",N1935="none",N1935="404"),"",IF(N1935="410","Redirect gone "&amp;O1935,"Redirect "&amp;N1935&amp;" "&amp;O1935&amp;" "&amp;M1935))</f>
        <v/>
      </c>
      <c r="Q1935" s="22" t="n"/>
      <c r="R1935" s="22" t="n"/>
      <c r="S1935" s="22" t="n"/>
      <c r="T1935" s="4">
        <f>IF(A1935="","",TRIM(IF(K1935="","Needs decision; ","")&amp;IF(AND(K1935="Accept suggestion",F1935=""),"No suggestion to accept; ","")&amp;IF(AND(K1935="Override",L1935=""),"Override URL missing; ","")&amp;IF(AND(K1935="Accept suggestion",N(G1935)&lt;$G$2),"Below your threshold; ","")&amp;IF(AND(M1935&lt;&gt;"",M1935=A1935,K1935&lt;&gt;"No change (same URL)"),"Redirects to itself; ","")&amp;IF(AND(M1935&lt;&gt;"",OR(M1935="/",AND(LEFT(M1935,4)="http",OR((LEN(M1935)-LEN(SUBSTITUTE(M1935,"/","")))=2,AND((LEN(M1935)-LEN(SUBSTITUTE(M1935,"/","")))=3,RIGHT(M1935,1)="/"))))),"Home page redirect; ","")&amp;IF(N(R1935)&gt;1,"Chain; ","")&amp;IF(S1935="No","Destination not 200; ","")))</f>
        <v/>
      </c>
      <c r="U1935" s="22" t="n"/>
      <c r="V1935" s="22" t="n"/>
      <c r="W1935" s="4" t="n"/>
    </row>
    <row r="1936">
      <c r="A1936" s="22" t="n"/>
      <c r="B1936" s="22" t="n"/>
      <c r="C1936" s="22" t="n"/>
      <c r="D1936" s="22">
        <f>IF(A1936="","",IF(OR(N(B1936)&gt;=$C$2,N(C1936)&gt;=$E$2),"High",IF(OR(N(B1936)&gt;0,N(C1936)&gt;0),"Medium","Low")))</f>
        <v/>
      </c>
      <c r="E1936" s="22" t="n"/>
      <c r="F1936" s="22" t="n"/>
      <c r="G1936" s="22" t="n"/>
      <c r="H1936" s="22" t="n"/>
      <c r="I1936" s="22" t="n"/>
      <c r="J1936" s="22" t="n"/>
      <c r="K1936" s="22" t="n"/>
      <c r="L1936" s="22" t="n"/>
      <c r="M1936" s="22">
        <f>IF(K1936="Override",L1936,IF(K1936="Accept suggestion",F1936,IF(K1936="No change (same URL)",A1936,"")))</f>
        <v/>
      </c>
      <c r="N1936" s="22">
        <f>IF(A1936="","",IF(K1936="410 Gone","410",IF(K1936="404","404",IF(K1936="No change (same URL)","none",IF(M1936="","","301")))))</f>
        <v/>
      </c>
      <c r="O1936" s="22">
        <f>IF(A1936="","",IFERROR(MID(A1936,FIND("/",A1936,FIND("//",A1936)+2),2000),A1936))</f>
        <v/>
      </c>
      <c r="P1936" s="22">
        <f>IF(OR(O1936="",N1936="",N1936="none",N1936="404"),"",IF(N1936="410","Redirect gone "&amp;O1936,"Redirect "&amp;N1936&amp;" "&amp;O1936&amp;" "&amp;M1936))</f>
        <v/>
      </c>
      <c r="Q1936" s="22" t="n"/>
      <c r="R1936" s="22" t="n"/>
      <c r="S1936" s="22" t="n"/>
      <c r="T1936" s="4">
        <f>IF(A1936="","",TRIM(IF(K1936="","Needs decision; ","")&amp;IF(AND(K1936="Accept suggestion",F1936=""),"No suggestion to accept; ","")&amp;IF(AND(K1936="Override",L1936=""),"Override URL missing; ","")&amp;IF(AND(K1936="Accept suggestion",N(G1936)&lt;$G$2),"Below your threshold; ","")&amp;IF(AND(M1936&lt;&gt;"",M1936=A1936,K1936&lt;&gt;"No change (same URL)"),"Redirects to itself; ","")&amp;IF(AND(M1936&lt;&gt;"",OR(M1936="/",AND(LEFT(M1936,4)="http",OR((LEN(M1936)-LEN(SUBSTITUTE(M1936,"/","")))=2,AND((LEN(M1936)-LEN(SUBSTITUTE(M1936,"/","")))=3,RIGHT(M1936,1)="/"))))),"Home page redirect; ","")&amp;IF(N(R1936)&gt;1,"Chain; ","")&amp;IF(S1936="No","Destination not 200; ","")))</f>
        <v/>
      </c>
      <c r="U1936" s="22" t="n"/>
      <c r="V1936" s="22" t="n"/>
      <c r="W1936" s="4" t="n"/>
    </row>
    <row r="1937">
      <c r="A1937" s="22" t="n"/>
      <c r="B1937" s="22" t="n"/>
      <c r="C1937" s="22" t="n"/>
      <c r="D1937" s="22">
        <f>IF(A1937="","",IF(OR(N(B1937)&gt;=$C$2,N(C1937)&gt;=$E$2),"High",IF(OR(N(B1937)&gt;0,N(C1937)&gt;0),"Medium","Low")))</f>
        <v/>
      </c>
      <c r="E1937" s="22" t="n"/>
      <c r="F1937" s="22" t="n"/>
      <c r="G1937" s="22" t="n"/>
      <c r="H1937" s="22" t="n"/>
      <c r="I1937" s="22" t="n"/>
      <c r="J1937" s="22" t="n"/>
      <c r="K1937" s="22" t="n"/>
      <c r="L1937" s="22" t="n"/>
      <c r="M1937" s="22">
        <f>IF(K1937="Override",L1937,IF(K1937="Accept suggestion",F1937,IF(K1937="No change (same URL)",A1937,"")))</f>
        <v/>
      </c>
      <c r="N1937" s="22">
        <f>IF(A1937="","",IF(K1937="410 Gone","410",IF(K1937="404","404",IF(K1937="No change (same URL)","none",IF(M1937="","","301")))))</f>
        <v/>
      </c>
      <c r="O1937" s="22">
        <f>IF(A1937="","",IFERROR(MID(A1937,FIND("/",A1937,FIND("//",A1937)+2),2000),A1937))</f>
        <v/>
      </c>
      <c r="P1937" s="22">
        <f>IF(OR(O1937="",N1937="",N1937="none",N1937="404"),"",IF(N1937="410","Redirect gone "&amp;O1937,"Redirect "&amp;N1937&amp;" "&amp;O1937&amp;" "&amp;M1937))</f>
        <v/>
      </c>
      <c r="Q1937" s="22" t="n"/>
      <c r="R1937" s="22" t="n"/>
      <c r="S1937" s="22" t="n"/>
      <c r="T1937" s="4">
        <f>IF(A1937="","",TRIM(IF(K1937="","Needs decision; ","")&amp;IF(AND(K1937="Accept suggestion",F1937=""),"No suggestion to accept; ","")&amp;IF(AND(K1937="Override",L1937=""),"Override URL missing; ","")&amp;IF(AND(K1937="Accept suggestion",N(G1937)&lt;$G$2),"Below your threshold; ","")&amp;IF(AND(M1937&lt;&gt;"",M1937=A1937,K1937&lt;&gt;"No change (same URL)"),"Redirects to itself; ","")&amp;IF(AND(M1937&lt;&gt;"",OR(M1937="/",AND(LEFT(M1937,4)="http",OR((LEN(M1937)-LEN(SUBSTITUTE(M1937,"/","")))=2,AND((LEN(M1937)-LEN(SUBSTITUTE(M1937,"/","")))=3,RIGHT(M1937,1)="/"))))),"Home page redirect; ","")&amp;IF(N(R1937)&gt;1,"Chain; ","")&amp;IF(S1937="No","Destination not 200; ","")))</f>
        <v/>
      </c>
      <c r="U1937" s="22" t="n"/>
      <c r="V1937" s="22" t="n"/>
      <c r="W1937" s="4" t="n"/>
    </row>
    <row r="1938">
      <c r="A1938" s="22" t="n"/>
      <c r="B1938" s="22" t="n"/>
      <c r="C1938" s="22" t="n"/>
      <c r="D1938" s="22">
        <f>IF(A1938="","",IF(OR(N(B1938)&gt;=$C$2,N(C1938)&gt;=$E$2),"High",IF(OR(N(B1938)&gt;0,N(C1938)&gt;0),"Medium","Low")))</f>
        <v/>
      </c>
      <c r="E1938" s="22" t="n"/>
      <c r="F1938" s="22" t="n"/>
      <c r="G1938" s="22" t="n"/>
      <c r="H1938" s="22" t="n"/>
      <c r="I1938" s="22" t="n"/>
      <c r="J1938" s="22" t="n"/>
      <c r="K1938" s="22" t="n"/>
      <c r="L1938" s="22" t="n"/>
      <c r="M1938" s="22">
        <f>IF(K1938="Override",L1938,IF(K1938="Accept suggestion",F1938,IF(K1938="No change (same URL)",A1938,"")))</f>
        <v/>
      </c>
      <c r="N1938" s="22">
        <f>IF(A1938="","",IF(K1938="410 Gone","410",IF(K1938="404","404",IF(K1938="No change (same URL)","none",IF(M1938="","","301")))))</f>
        <v/>
      </c>
      <c r="O1938" s="22">
        <f>IF(A1938="","",IFERROR(MID(A1938,FIND("/",A1938,FIND("//",A1938)+2),2000),A1938))</f>
        <v/>
      </c>
      <c r="P1938" s="22">
        <f>IF(OR(O1938="",N1938="",N1938="none",N1938="404"),"",IF(N1938="410","Redirect gone "&amp;O1938,"Redirect "&amp;N1938&amp;" "&amp;O1938&amp;" "&amp;M1938))</f>
        <v/>
      </c>
      <c r="Q1938" s="22" t="n"/>
      <c r="R1938" s="22" t="n"/>
      <c r="S1938" s="22" t="n"/>
      <c r="T1938" s="4">
        <f>IF(A1938="","",TRIM(IF(K1938="","Needs decision; ","")&amp;IF(AND(K1938="Accept suggestion",F1938=""),"No suggestion to accept; ","")&amp;IF(AND(K1938="Override",L1938=""),"Override URL missing; ","")&amp;IF(AND(K1938="Accept suggestion",N(G1938)&lt;$G$2),"Below your threshold; ","")&amp;IF(AND(M1938&lt;&gt;"",M1938=A1938,K1938&lt;&gt;"No change (same URL)"),"Redirects to itself; ","")&amp;IF(AND(M1938&lt;&gt;"",OR(M1938="/",AND(LEFT(M1938,4)="http",OR((LEN(M1938)-LEN(SUBSTITUTE(M1938,"/","")))=2,AND((LEN(M1938)-LEN(SUBSTITUTE(M1938,"/","")))=3,RIGHT(M1938,1)="/"))))),"Home page redirect; ","")&amp;IF(N(R1938)&gt;1,"Chain; ","")&amp;IF(S1938="No","Destination not 200; ","")))</f>
        <v/>
      </c>
      <c r="U1938" s="22" t="n"/>
      <c r="V1938" s="22" t="n"/>
      <c r="W1938" s="4" t="n"/>
    </row>
    <row r="1939">
      <c r="A1939" s="22" t="n"/>
      <c r="B1939" s="22" t="n"/>
      <c r="C1939" s="22" t="n"/>
      <c r="D1939" s="22">
        <f>IF(A1939="","",IF(OR(N(B1939)&gt;=$C$2,N(C1939)&gt;=$E$2),"High",IF(OR(N(B1939)&gt;0,N(C1939)&gt;0),"Medium","Low")))</f>
        <v/>
      </c>
      <c r="E1939" s="22" t="n"/>
      <c r="F1939" s="22" t="n"/>
      <c r="G1939" s="22" t="n"/>
      <c r="H1939" s="22" t="n"/>
      <c r="I1939" s="22" t="n"/>
      <c r="J1939" s="22" t="n"/>
      <c r="K1939" s="22" t="n"/>
      <c r="L1939" s="22" t="n"/>
      <c r="M1939" s="22">
        <f>IF(K1939="Override",L1939,IF(K1939="Accept suggestion",F1939,IF(K1939="No change (same URL)",A1939,"")))</f>
        <v/>
      </c>
      <c r="N1939" s="22">
        <f>IF(A1939="","",IF(K1939="410 Gone","410",IF(K1939="404","404",IF(K1939="No change (same URL)","none",IF(M1939="","","301")))))</f>
        <v/>
      </c>
      <c r="O1939" s="22">
        <f>IF(A1939="","",IFERROR(MID(A1939,FIND("/",A1939,FIND("//",A1939)+2),2000),A1939))</f>
        <v/>
      </c>
      <c r="P1939" s="22">
        <f>IF(OR(O1939="",N1939="",N1939="none",N1939="404"),"",IF(N1939="410","Redirect gone "&amp;O1939,"Redirect "&amp;N1939&amp;" "&amp;O1939&amp;" "&amp;M1939))</f>
        <v/>
      </c>
      <c r="Q1939" s="22" t="n"/>
      <c r="R1939" s="22" t="n"/>
      <c r="S1939" s="22" t="n"/>
      <c r="T1939" s="4">
        <f>IF(A1939="","",TRIM(IF(K1939="","Needs decision; ","")&amp;IF(AND(K1939="Accept suggestion",F1939=""),"No suggestion to accept; ","")&amp;IF(AND(K1939="Override",L1939=""),"Override URL missing; ","")&amp;IF(AND(K1939="Accept suggestion",N(G1939)&lt;$G$2),"Below your threshold; ","")&amp;IF(AND(M1939&lt;&gt;"",M1939=A1939,K1939&lt;&gt;"No change (same URL)"),"Redirects to itself; ","")&amp;IF(AND(M1939&lt;&gt;"",OR(M1939="/",AND(LEFT(M1939,4)="http",OR((LEN(M1939)-LEN(SUBSTITUTE(M1939,"/","")))=2,AND((LEN(M1939)-LEN(SUBSTITUTE(M1939,"/","")))=3,RIGHT(M1939,1)="/"))))),"Home page redirect; ","")&amp;IF(N(R1939)&gt;1,"Chain; ","")&amp;IF(S1939="No","Destination not 200; ","")))</f>
        <v/>
      </c>
      <c r="U1939" s="22" t="n"/>
      <c r="V1939" s="22" t="n"/>
      <c r="W1939" s="4" t="n"/>
    </row>
    <row r="1940">
      <c r="A1940" s="22" t="n"/>
      <c r="B1940" s="22" t="n"/>
      <c r="C1940" s="22" t="n"/>
      <c r="D1940" s="22">
        <f>IF(A1940="","",IF(OR(N(B1940)&gt;=$C$2,N(C1940)&gt;=$E$2),"High",IF(OR(N(B1940)&gt;0,N(C1940)&gt;0),"Medium","Low")))</f>
        <v/>
      </c>
      <c r="E1940" s="22" t="n"/>
      <c r="F1940" s="22" t="n"/>
      <c r="G1940" s="22" t="n"/>
      <c r="H1940" s="22" t="n"/>
      <c r="I1940" s="22" t="n"/>
      <c r="J1940" s="22" t="n"/>
      <c r="K1940" s="22" t="n"/>
      <c r="L1940" s="22" t="n"/>
      <c r="M1940" s="22">
        <f>IF(K1940="Override",L1940,IF(K1940="Accept suggestion",F1940,IF(K1940="No change (same URL)",A1940,"")))</f>
        <v/>
      </c>
      <c r="N1940" s="22">
        <f>IF(A1940="","",IF(K1940="410 Gone","410",IF(K1940="404","404",IF(K1940="No change (same URL)","none",IF(M1940="","","301")))))</f>
        <v/>
      </c>
      <c r="O1940" s="22">
        <f>IF(A1940="","",IFERROR(MID(A1940,FIND("/",A1940,FIND("//",A1940)+2),2000),A1940))</f>
        <v/>
      </c>
      <c r="P1940" s="22">
        <f>IF(OR(O1940="",N1940="",N1940="none",N1940="404"),"",IF(N1940="410","Redirect gone "&amp;O1940,"Redirect "&amp;N1940&amp;" "&amp;O1940&amp;" "&amp;M1940))</f>
        <v/>
      </c>
      <c r="Q1940" s="22" t="n"/>
      <c r="R1940" s="22" t="n"/>
      <c r="S1940" s="22" t="n"/>
      <c r="T1940" s="4">
        <f>IF(A1940="","",TRIM(IF(K1940="","Needs decision; ","")&amp;IF(AND(K1940="Accept suggestion",F1940=""),"No suggestion to accept; ","")&amp;IF(AND(K1940="Override",L1940=""),"Override URL missing; ","")&amp;IF(AND(K1940="Accept suggestion",N(G1940)&lt;$G$2),"Below your threshold; ","")&amp;IF(AND(M1940&lt;&gt;"",M1940=A1940,K1940&lt;&gt;"No change (same URL)"),"Redirects to itself; ","")&amp;IF(AND(M1940&lt;&gt;"",OR(M1940="/",AND(LEFT(M1940,4)="http",OR((LEN(M1940)-LEN(SUBSTITUTE(M1940,"/","")))=2,AND((LEN(M1940)-LEN(SUBSTITUTE(M1940,"/","")))=3,RIGHT(M1940,1)="/"))))),"Home page redirect; ","")&amp;IF(N(R1940)&gt;1,"Chain; ","")&amp;IF(S1940="No","Destination not 200; ","")))</f>
        <v/>
      </c>
      <c r="U1940" s="22" t="n"/>
      <c r="V1940" s="22" t="n"/>
      <c r="W1940" s="4" t="n"/>
    </row>
    <row r="1941">
      <c r="A1941" s="22" t="n"/>
      <c r="B1941" s="22" t="n"/>
      <c r="C1941" s="22" t="n"/>
      <c r="D1941" s="22">
        <f>IF(A1941="","",IF(OR(N(B1941)&gt;=$C$2,N(C1941)&gt;=$E$2),"High",IF(OR(N(B1941)&gt;0,N(C1941)&gt;0),"Medium","Low")))</f>
        <v/>
      </c>
      <c r="E1941" s="22" t="n"/>
      <c r="F1941" s="22" t="n"/>
      <c r="G1941" s="22" t="n"/>
      <c r="H1941" s="22" t="n"/>
      <c r="I1941" s="22" t="n"/>
      <c r="J1941" s="22" t="n"/>
      <c r="K1941" s="22" t="n"/>
      <c r="L1941" s="22" t="n"/>
      <c r="M1941" s="22">
        <f>IF(K1941="Override",L1941,IF(K1941="Accept suggestion",F1941,IF(K1941="No change (same URL)",A1941,"")))</f>
        <v/>
      </c>
      <c r="N1941" s="22">
        <f>IF(A1941="","",IF(K1941="410 Gone","410",IF(K1941="404","404",IF(K1941="No change (same URL)","none",IF(M1941="","","301")))))</f>
        <v/>
      </c>
      <c r="O1941" s="22">
        <f>IF(A1941="","",IFERROR(MID(A1941,FIND("/",A1941,FIND("//",A1941)+2),2000),A1941))</f>
        <v/>
      </c>
      <c r="P1941" s="22">
        <f>IF(OR(O1941="",N1941="",N1941="none",N1941="404"),"",IF(N1941="410","Redirect gone "&amp;O1941,"Redirect "&amp;N1941&amp;" "&amp;O1941&amp;" "&amp;M1941))</f>
        <v/>
      </c>
      <c r="Q1941" s="22" t="n"/>
      <c r="R1941" s="22" t="n"/>
      <c r="S1941" s="22" t="n"/>
      <c r="T1941" s="4">
        <f>IF(A1941="","",TRIM(IF(K1941="","Needs decision; ","")&amp;IF(AND(K1941="Accept suggestion",F1941=""),"No suggestion to accept; ","")&amp;IF(AND(K1941="Override",L1941=""),"Override URL missing; ","")&amp;IF(AND(K1941="Accept suggestion",N(G1941)&lt;$G$2),"Below your threshold; ","")&amp;IF(AND(M1941&lt;&gt;"",M1941=A1941,K1941&lt;&gt;"No change (same URL)"),"Redirects to itself; ","")&amp;IF(AND(M1941&lt;&gt;"",OR(M1941="/",AND(LEFT(M1941,4)="http",OR((LEN(M1941)-LEN(SUBSTITUTE(M1941,"/","")))=2,AND((LEN(M1941)-LEN(SUBSTITUTE(M1941,"/","")))=3,RIGHT(M1941,1)="/"))))),"Home page redirect; ","")&amp;IF(N(R1941)&gt;1,"Chain; ","")&amp;IF(S1941="No","Destination not 200; ","")))</f>
        <v/>
      </c>
      <c r="U1941" s="22" t="n"/>
      <c r="V1941" s="22" t="n"/>
      <c r="W1941" s="4" t="n"/>
    </row>
    <row r="1942">
      <c r="A1942" s="22" t="n"/>
      <c r="B1942" s="22" t="n"/>
      <c r="C1942" s="22" t="n"/>
      <c r="D1942" s="22">
        <f>IF(A1942="","",IF(OR(N(B1942)&gt;=$C$2,N(C1942)&gt;=$E$2),"High",IF(OR(N(B1942)&gt;0,N(C1942)&gt;0),"Medium","Low")))</f>
        <v/>
      </c>
      <c r="E1942" s="22" t="n"/>
      <c r="F1942" s="22" t="n"/>
      <c r="G1942" s="22" t="n"/>
      <c r="H1942" s="22" t="n"/>
      <c r="I1942" s="22" t="n"/>
      <c r="J1942" s="22" t="n"/>
      <c r="K1942" s="22" t="n"/>
      <c r="L1942" s="22" t="n"/>
      <c r="M1942" s="22">
        <f>IF(K1942="Override",L1942,IF(K1942="Accept suggestion",F1942,IF(K1942="No change (same URL)",A1942,"")))</f>
        <v/>
      </c>
      <c r="N1942" s="22">
        <f>IF(A1942="","",IF(K1942="410 Gone","410",IF(K1942="404","404",IF(K1942="No change (same URL)","none",IF(M1942="","","301")))))</f>
        <v/>
      </c>
      <c r="O1942" s="22">
        <f>IF(A1942="","",IFERROR(MID(A1942,FIND("/",A1942,FIND("//",A1942)+2),2000),A1942))</f>
        <v/>
      </c>
      <c r="P1942" s="22">
        <f>IF(OR(O1942="",N1942="",N1942="none",N1942="404"),"",IF(N1942="410","Redirect gone "&amp;O1942,"Redirect "&amp;N1942&amp;" "&amp;O1942&amp;" "&amp;M1942))</f>
        <v/>
      </c>
      <c r="Q1942" s="22" t="n"/>
      <c r="R1942" s="22" t="n"/>
      <c r="S1942" s="22" t="n"/>
      <c r="T1942" s="4">
        <f>IF(A1942="","",TRIM(IF(K1942="","Needs decision; ","")&amp;IF(AND(K1942="Accept suggestion",F1942=""),"No suggestion to accept; ","")&amp;IF(AND(K1942="Override",L1942=""),"Override URL missing; ","")&amp;IF(AND(K1942="Accept suggestion",N(G1942)&lt;$G$2),"Below your threshold; ","")&amp;IF(AND(M1942&lt;&gt;"",M1942=A1942,K1942&lt;&gt;"No change (same URL)"),"Redirects to itself; ","")&amp;IF(AND(M1942&lt;&gt;"",OR(M1942="/",AND(LEFT(M1942,4)="http",OR((LEN(M1942)-LEN(SUBSTITUTE(M1942,"/","")))=2,AND((LEN(M1942)-LEN(SUBSTITUTE(M1942,"/","")))=3,RIGHT(M1942,1)="/"))))),"Home page redirect; ","")&amp;IF(N(R1942)&gt;1,"Chain; ","")&amp;IF(S1942="No","Destination not 200; ","")))</f>
        <v/>
      </c>
      <c r="U1942" s="22" t="n"/>
      <c r="V1942" s="22" t="n"/>
      <c r="W1942" s="4" t="n"/>
    </row>
    <row r="1943">
      <c r="A1943" s="22" t="n"/>
      <c r="B1943" s="22" t="n"/>
      <c r="C1943" s="22" t="n"/>
      <c r="D1943" s="22">
        <f>IF(A1943="","",IF(OR(N(B1943)&gt;=$C$2,N(C1943)&gt;=$E$2),"High",IF(OR(N(B1943)&gt;0,N(C1943)&gt;0),"Medium","Low")))</f>
        <v/>
      </c>
      <c r="E1943" s="22" t="n"/>
      <c r="F1943" s="22" t="n"/>
      <c r="G1943" s="22" t="n"/>
      <c r="H1943" s="22" t="n"/>
      <c r="I1943" s="22" t="n"/>
      <c r="J1943" s="22" t="n"/>
      <c r="K1943" s="22" t="n"/>
      <c r="L1943" s="22" t="n"/>
      <c r="M1943" s="22">
        <f>IF(K1943="Override",L1943,IF(K1943="Accept suggestion",F1943,IF(K1943="No change (same URL)",A1943,"")))</f>
        <v/>
      </c>
      <c r="N1943" s="22">
        <f>IF(A1943="","",IF(K1943="410 Gone","410",IF(K1943="404","404",IF(K1943="No change (same URL)","none",IF(M1943="","","301")))))</f>
        <v/>
      </c>
      <c r="O1943" s="22">
        <f>IF(A1943="","",IFERROR(MID(A1943,FIND("/",A1943,FIND("//",A1943)+2),2000),A1943))</f>
        <v/>
      </c>
      <c r="P1943" s="22">
        <f>IF(OR(O1943="",N1943="",N1943="none",N1943="404"),"",IF(N1943="410","Redirect gone "&amp;O1943,"Redirect "&amp;N1943&amp;" "&amp;O1943&amp;" "&amp;M1943))</f>
        <v/>
      </c>
      <c r="Q1943" s="22" t="n"/>
      <c r="R1943" s="22" t="n"/>
      <c r="S1943" s="22" t="n"/>
      <c r="T1943" s="4">
        <f>IF(A1943="","",TRIM(IF(K1943="","Needs decision; ","")&amp;IF(AND(K1943="Accept suggestion",F1943=""),"No suggestion to accept; ","")&amp;IF(AND(K1943="Override",L1943=""),"Override URL missing; ","")&amp;IF(AND(K1943="Accept suggestion",N(G1943)&lt;$G$2),"Below your threshold; ","")&amp;IF(AND(M1943&lt;&gt;"",M1943=A1943,K1943&lt;&gt;"No change (same URL)"),"Redirects to itself; ","")&amp;IF(AND(M1943&lt;&gt;"",OR(M1943="/",AND(LEFT(M1943,4)="http",OR((LEN(M1943)-LEN(SUBSTITUTE(M1943,"/","")))=2,AND((LEN(M1943)-LEN(SUBSTITUTE(M1943,"/","")))=3,RIGHT(M1943,1)="/"))))),"Home page redirect; ","")&amp;IF(N(R1943)&gt;1,"Chain; ","")&amp;IF(S1943="No","Destination not 200; ","")))</f>
        <v/>
      </c>
      <c r="U1943" s="22" t="n"/>
      <c r="V1943" s="22" t="n"/>
      <c r="W1943" s="4" t="n"/>
    </row>
    <row r="1944">
      <c r="A1944" s="22" t="n"/>
      <c r="B1944" s="22" t="n"/>
      <c r="C1944" s="22" t="n"/>
      <c r="D1944" s="22">
        <f>IF(A1944="","",IF(OR(N(B1944)&gt;=$C$2,N(C1944)&gt;=$E$2),"High",IF(OR(N(B1944)&gt;0,N(C1944)&gt;0),"Medium","Low")))</f>
        <v/>
      </c>
      <c r="E1944" s="22" t="n"/>
      <c r="F1944" s="22" t="n"/>
      <c r="G1944" s="22" t="n"/>
      <c r="H1944" s="22" t="n"/>
      <c r="I1944" s="22" t="n"/>
      <c r="J1944" s="22" t="n"/>
      <c r="K1944" s="22" t="n"/>
      <c r="L1944" s="22" t="n"/>
      <c r="M1944" s="22">
        <f>IF(K1944="Override",L1944,IF(K1944="Accept suggestion",F1944,IF(K1944="No change (same URL)",A1944,"")))</f>
        <v/>
      </c>
      <c r="N1944" s="22">
        <f>IF(A1944="","",IF(K1944="410 Gone","410",IF(K1944="404","404",IF(K1944="No change (same URL)","none",IF(M1944="","","301")))))</f>
        <v/>
      </c>
      <c r="O1944" s="22">
        <f>IF(A1944="","",IFERROR(MID(A1944,FIND("/",A1944,FIND("//",A1944)+2),2000),A1944))</f>
        <v/>
      </c>
      <c r="P1944" s="22">
        <f>IF(OR(O1944="",N1944="",N1944="none",N1944="404"),"",IF(N1944="410","Redirect gone "&amp;O1944,"Redirect "&amp;N1944&amp;" "&amp;O1944&amp;" "&amp;M1944))</f>
        <v/>
      </c>
      <c r="Q1944" s="22" t="n"/>
      <c r="R1944" s="22" t="n"/>
      <c r="S1944" s="22" t="n"/>
      <c r="T1944" s="4">
        <f>IF(A1944="","",TRIM(IF(K1944="","Needs decision; ","")&amp;IF(AND(K1944="Accept suggestion",F1944=""),"No suggestion to accept; ","")&amp;IF(AND(K1944="Override",L1944=""),"Override URL missing; ","")&amp;IF(AND(K1944="Accept suggestion",N(G1944)&lt;$G$2),"Below your threshold; ","")&amp;IF(AND(M1944&lt;&gt;"",M1944=A1944,K1944&lt;&gt;"No change (same URL)"),"Redirects to itself; ","")&amp;IF(AND(M1944&lt;&gt;"",OR(M1944="/",AND(LEFT(M1944,4)="http",OR((LEN(M1944)-LEN(SUBSTITUTE(M1944,"/","")))=2,AND((LEN(M1944)-LEN(SUBSTITUTE(M1944,"/","")))=3,RIGHT(M1944,1)="/"))))),"Home page redirect; ","")&amp;IF(N(R1944)&gt;1,"Chain; ","")&amp;IF(S1944="No","Destination not 200; ","")))</f>
        <v/>
      </c>
      <c r="U1944" s="22" t="n"/>
      <c r="V1944" s="22" t="n"/>
      <c r="W1944" s="4" t="n"/>
    </row>
    <row r="1945">
      <c r="A1945" s="22" t="n"/>
      <c r="B1945" s="22" t="n"/>
      <c r="C1945" s="22" t="n"/>
      <c r="D1945" s="22">
        <f>IF(A1945="","",IF(OR(N(B1945)&gt;=$C$2,N(C1945)&gt;=$E$2),"High",IF(OR(N(B1945)&gt;0,N(C1945)&gt;0),"Medium","Low")))</f>
        <v/>
      </c>
      <c r="E1945" s="22" t="n"/>
      <c r="F1945" s="22" t="n"/>
      <c r="G1945" s="22" t="n"/>
      <c r="H1945" s="22" t="n"/>
      <c r="I1945" s="22" t="n"/>
      <c r="J1945" s="22" t="n"/>
      <c r="K1945" s="22" t="n"/>
      <c r="L1945" s="22" t="n"/>
      <c r="M1945" s="22">
        <f>IF(K1945="Override",L1945,IF(K1945="Accept suggestion",F1945,IF(K1945="No change (same URL)",A1945,"")))</f>
        <v/>
      </c>
      <c r="N1945" s="22">
        <f>IF(A1945="","",IF(K1945="410 Gone","410",IF(K1945="404","404",IF(K1945="No change (same URL)","none",IF(M1945="","","301")))))</f>
        <v/>
      </c>
      <c r="O1945" s="22">
        <f>IF(A1945="","",IFERROR(MID(A1945,FIND("/",A1945,FIND("//",A1945)+2),2000),A1945))</f>
        <v/>
      </c>
      <c r="P1945" s="22">
        <f>IF(OR(O1945="",N1945="",N1945="none",N1945="404"),"",IF(N1945="410","Redirect gone "&amp;O1945,"Redirect "&amp;N1945&amp;" "&amp;O1945&amp;" "&amp;M1945))</f>
        <v/>
      </c>
      <c r="Q1945" s="22" t="n"/>
      <c r="R1945" s="22" t="n"/>
      <c r="S1945" s="22" t="n"/>
      <c r="T1945" s="4">
        <f>IF(A1945="","",TRIM(IF(K1945="","Needs decision; ","")&amp;IF(AND(K1945="Accept suggestion",F1945=""),"No suggestion to accept; ","")&amp;IF(AND(K1945="Override",L1945=""),"Override URL missing; ","")&amp;IF(AND(K1945="Accept suggestion",N(G1945)&lt;$G$2),"Below your threshold; ","")&amp;IF(AND(M1945&lt;&gt;"",M1945=A1945,K1945&lt;&gt;"No change (same URL)"),"Redirects to itself; ","")&amp;IF(AND(M1945&lt;&gt;"",OR(M1945="/",AND(LEFT(M1945,4)="http",OR((LEN(M1945)-LEN(SUBSTITUTE(M1945,"/","")))=2,AND((LEN(M1945)-LEN(SUBSTITUTE(M1945,"/","")))=3,RIGHT(M1945,1)="/"))))),"Home page redirect; ","")&amp;IF(N(R1945)&gt;1,"Chain; ","")&amp;IF(S1945="No","Destination not 200; ","")))</f>
        <v/>
      </c>
      <c r="U1945" s="22" t="n"/>
      <c r="V1945" s="22" t="n"/>
      <c r="W1945" s="4" t="n"/>
    </row>
    <row r="1946">
      <c r="A1946" s="22" t="n"/>
      <c r="B1946" s="22" t="n"/>
      <c r="C1946" s="22" t="n"/>
      <c r="D1946" s="22">
        <f>IF(A1946="","",IF(OR(N(B1946)&gt;=$C$2,N(C1946)&gt;=$E$2),"High",IF(OR(N(B1946)&gt;0,N(C1946)&gt;0),"Medium","Low")))</f>
        <v/>
      </c>
      <c r="E1946" s="22" t="n"/>
      <c r="F1946" s="22" t="n"/>
      <c r="G1946" s="22" t="n"/>
      <c r="H1946" s="22" t="n"/>
      <c r="I1946" s="22" t="n"/>
      <c r="J1946" s="22" t="n"/>
      <c r="K1946" s="22" t="n"/>
      <c r="L1946" s="22" t="n"/>
      <c r="M1946" s="22">
        <f>IF(K1946="Override",L1946,IF(K1946="Accept suggestion",F1946,IF(K1946="No change (same URL)",A1946,"")))</f>
        <v/>
      </c>
      <c r="N1946" s="22">
        <f>IF(A1946="","",IF(K1946="410 Gone","410",IF(K1946="404","404",IF(K1946="No change (same URL)","none",IF(M1946="","","301")))))</f>
        <v/>
      </c>
      <c r="O1946" s="22">
        <f>IF(A1946="","",IFERROR(MID(A1946,FIND("/",A1946,FIND("//",A1946)+2),2000),A1946))</f>
        <v/>
      </c>
      <c r="P1946" s="22">
        <f>IF(OR(O1946="",N1946="",N1946="none",N1946="404"),"",IF(N1946="410","Redirect gone "&amp;O1946,"Redirect "&amp;N1946&amp;" "&amp;O1946&amp;" "&amp;M1946))</f>
        <v/>
      </c>
      <c r="Q1946" s="22" t="n"/>
      <c r="R1946" s="22" t="n"/>
      <c r="S1946" s="22" t="n"/>
      <c r="T1946" s="4">
        <f>IF(A1946="","",TRIM(IF(K1946="","Needs decision; ","")&amp;IF(AND(K1946="Accept suggestion",F1946=""),"No suggestion to accept; ","")&amp;IF(AND(K1946="Override",L1946=""),"Override URL missing; ","")&amp;IF(AND(K1946="Accept suggestion",N(G1946)&lt;$G$2),"Below your threshold; ","")&amp;IF(AND(M1946&lt;&gt;"",M1946=A1946,K1946&lt;&gt;"No change (same URL)"),"Redirects to itself; ","")&amp;IF(AND(M1946&lt;&gt;"",OR(M1946="/",AND(LEFT(M1946,4)="http",OR((LEN(M1946)-LEN(SUBSTITUTE(M1946,"/","")))=2,AND((LEN(M1946)-LEN(SUBSTITUTE(M1946,"/","")))=3,RIGHT(M1946,1)="/"))))),"Home page redirect; ","")&amp;IF(N(R1946)&gt;1,"Chain; ","")&amp;IF(S1946="No","Destination not 200; ","")))</f>
        <v/>
      </c>
      <c r="U1946" s="22" t="n"/>
      <c r="V1946" s="22" t="n"/>
      <c r="W1946" s="4" t="n"/>
    </row>
    <row r="1947">
      <c r="A1947" s="22" t="n"/>
      <c r="B1947" s="22" t="n"/>
      <c r="C1947" s="22" t="n"/>
      <c r="D1947" s="22">
        <f>IF(A1947="","",IF(OR(N(B1947)&gt;=$C$2,N(C1947)&gt;=$E$2),"High",IF(OR(N(B1947)&gt;0,N(C1947)&gt;0),"Medium","Low")))</f>
        <v/>
      </c>
      <c r="E1947" s="22" t="n"/>
      <c r="F1947" s="22" t="n"/>
      <c r="G1947" s="22" t="n"/>
      <c r="H1947" s="22" t="n"/>
      <c r="I1947" s="22" t="n"/>
      <c r="J1947" s="22" t="n"/>
      <c r="K1947" s="22" t="n"/>
      <c r="L1947" s="22" t="n"/>
      <c r="M1947" s="22">
        <f>IF(K1947="Override",L1947,IF(K1947="Accept suggestion",F1947,IF(K1947="No change (same URL)",A1947,"")))</f>
        <v/>
      </c>
      <c r="N1947" s="22">
        <f>IF(A1947="","",IF(K1947="410 Gone","410",IF(K1947="404","404",IF(K1947="No change (same URL)","none",IF(M1947="","","301")))))</f>
        <v/>
      </c>
      <c r="O1947" s="22">
        <f>IF(A1947="","",IFERROR(MID(A1947,FIND("/",A1947,FIND("//",A1947)+2),2000),A1947))</f>
        <v/>
      </c>
      <c r="P1947" s="22">
        <f>IF(OR(O1947="",N1947="",N1947="none",N1947="404"),"",IF(N1947="410","Redirect gone "&amp;O1947,"Redirect "&amp;N1947&amp;" "&amp;O1947&amp;" "&amp;M1947))</f>
        <v/>
      </c>
      <c r="Q1947" s="22" t="n"/>
      <c r="R1947" s="22" t="n"/>
      <c r="S1947" s="22" t="n"/>
      <c r="T1947" s="4">
        <f>IF(A1947="","",TRIM(IF(K1947="","Needs decision; ","")&amp;IF(AND(K1947="Accept suggestion",F1947=""),"No suggestion to accept; ","")&amp;IF(AND(K1947="Override",L1947=""),"Override URL missing; ","")&amp;IF(AND(K1947="Accept suggestion",N(G1947)&lt;$G$2),"Below your threshold; ","")&amp;IF(AND(M1947&lt;&gt;"",M1947=A1947,K1947&lt;&gt;"No change (same URL)"),"Redirects to itself; ","")&amp;IF(AND(M1947&lt;&gt;"",OR(M1947="/",AND(LEFT(M1947,4)="http",OR((LEN(M1947)-LEN(SUBSTITUTE(M1947,"/","")))=2,AND((LEN(M1947)-LEN(SUBSTITUTE(M1947,"/","")))=3,RIGHT(M1947,1)="/"))))),"Home page redirect; ","")&amp;IF(N(R1947)&gt;1,"Chain; ","")&amp;IF(S1947="No","Destination not 200; ","")))</f>
        <v/>
      </c>
      <c r="U1947" s="22" t="n"/>
      <c r="V1947" s="22" t="n"/>
      <c r="W1947" s="4" t="n"/>
    </row>
    <row r="1948">
      <c r="A1948" s="22" t="n"/>
      <c r="B1948" s="22" t="n"/>
      <c r="C1948" s="22" t="n"/>
      <c r="D1948" s="22">
        <f>IF(A1948="","",IF(OR(N(B1948)&gt;=$C$2,N(C1948)&gt;=$E$2),"High",IF(OR(N(B1948)&gt;0,N(C1948)&gt;0),"Medium","Low")))</f>
        <v/>
      </c>
      <c r="E1948" s="22" t="n"/>
      <c r="F1948" s="22" t="n"/>
      <c r="G1948" s="22" t="n"/>
      <c r="H1948" s="22" t="n"/>
      <c r="I1948" s="22" t="n"/>
      <c r="J1948" s="22" t="n"/>
      <c r="K1948" s="22" t="n"/>
      <c r="L1948" s="22" t="n"/>
      <c r="M1948" s="22">
        <f>IF(K1948="Override",L1948,IF(K1948="Accept suggestion",F1948,IF(K1948="No change (same URL)",A1948,"")))</f>
        <v/>
      </c>
      <c r="N1948" s="22">
        <f>IF(A1948="","",IF(K1948="410 Gone","410",IF(K1948="404","404",IF(K1948="No change (same URL)","none",IF(M1948="","","301")))))</f>
        <v/>
      </c>
      <c r="O1948" s="22">
        <f>IF(A1948="","",IFERROR(MID(A1948,FIND("/",A1948,FIND("//",A1948)+2),2000),A1948))</f>
        <v/>
      </c>
      <c r="P1948" s="22">
        <f>IF(OR(O1948="",N1948="",N1948="none",N1948="404"),"",IF(N1948="410","Redirect gone "&amp;O1948,"Redirect "&amp;N1948&amp;" "&amp;O1948&amp;" "&amp;M1948))</f>
        <v/>
      </c>
      <c r="Q1948" s="22" t="n"/>
      <c r="R1948" s="22" t="n"/>
      <c r="S1948" s="22" t="n"/>
      <c r="T1948" s="4">
        <f>IF(A1948="","",TRIM(IF(K1948="","Needs decision; ","")&amp;IF(AND(K1948="Accept suggestion",F1948=""),"No suggestion to accept; ","")&amp;IF(AND(K1948="Override",L1948=""),"Override URL missing; ","")&amp;IF(AND(K1948="Accept suggestion",N(G1948)&lt;$G$2),"Below your threshold; ","")&amp;IF(AND(M1948&lt;&gt;"",M1948=A1948,K1948&lt;&gt;"No change (same URL)"),"Redirects to itself; ","")&amp;IF(AND(M1948&lt;&gt;"",OR(M1948="/",AND(LEFT(M1948,4)="http",OR((LEN(M1948)-LEN(SUBSTITUTE(M1948,"/","")))=2,AND((LEN(M1948)-LEN(SUBSTITUTE(M1948,"/","")))=3,RIGHT(M1948,1)="/"))))),"Home page redirect; ","")&amp;IF(N(R1948)&gt;1,"Chain; ","")&amp;IF(S1948="No","Destination not 200; ","")))</f>
        <v/>
      </c>
      <c r="U1948" s="22" t="n"/>
      <c r="V1948" s="22" t="n"/>
      <c r="W1948" s="4" t="n"/>
    </row>
    <row r="1949">
      <c r="A1949" s="22" t="n"/>
      <c r="B1949" s="22" t="n"/>
      <c r="C1949" s="22" t="n"/>
      <c r="D1949" s="22">
        <f>IF(A1949="","",IF(OR(N(B1949)&gt;=$C$2,N(C1949)&gt;=$E$2),"High",IF(OR(N(B1949)&gt;0,N(C1949)&gt;0),"Medium","Low")))</f>
        <v/>
      </c>
      <c r="E1949" s="22" t="n"/>
      <c r="F1949" s="22" t="n"/>
      <c r="G1949" s="22" t="n"/>
      <c r="H1949" s="22" t="n"/>
      <c r="I1949" s="22" t="n"/>
      <c r="J1949" s="22" t="n"/>
      <c r="K1949" s="22" t="n"/>
      <c r="L1949" s="22" t="n"/>
      <c r="M1949" s="22">
        <f>IF(K1949="Override",L1949,IF(K1949="Accept suggestion",F1949,IF(K1949="No change (same URL)",A1949,"")))</f>
        <v/>
      </c>
      <c r="N1949" s="22">
        <f>IF(A1949="","",IF(K1949="410 Gone","410",IF(K1949="404","404",IF(K1949="No change (same URL)","none",IF(M1949="","","301")))))</f>
        <v/>
      </c>
      <c r="O1949" s="22">
        <f>IF(A1949="","",IFERROR(MID(A1949,FIND("/",A1949,FIND("//",A1949)+2),2000),A1949))</f>
        <v/>
      </c>
      <c r="P1949" s="22">
        <f>IF(OR(O1949="",N1949="",N1949="none",N1949="404"),"",IF(N1949="410","Redirect gone "&amp;O1949,"Redirect "&amp;N1949&amp;" "&amp;O1949&amp;" "&amp;M1949))</f>
        <v/>
      </c>
      <c r="Q1949" s="22" t="n"/>
      <c r="R1949" s="22" t="n"/>
      <c r="S1949" s="22" t="n"/>
      <c r="T1949" s="4">
        <f>IF(A1949="","",TRIM(IF(K1949="","Needs decision; ","")&amp;IF(AND(K1949="Accept suggestion",F1949=""),"No suggestion to accept; ","")&amp;IF(AND(K1949="Override",L1949=""),"Override URL missing; ","")&amp;IF(AND(K1949="Accept suggestion",N(G1949)&lt;$G$2),"Below your threshold; ","")&amp;IF(AND(M1949&lt;&gt;"",M1949=A1949,K1949&lt;&gt;"No change (same URL)"),"Redirects to itself; ","")&amp;IF(AND(M1949&lt;&gt;"",OR(M1949="/",AND(LEFT(M1949,4)="http",OR((LEN(M1949)-LEN(SUBSTITUTE(M1949,"/","")))=2,AND((LEN(M1949)-LEN(SUBSTITUTE(M1949,"/","")))=3,RIGHT(M1949,1)="/"))))),"Home page redirect; ","")&amp;IF(N(R1949)&gt;1,"Chain; ","")&amp;IF(S1949="No","Destination not 200; ","")))</f>
        <v/>
      </c>
      <c r="U1949" s="22" t="n"/>
      <c r="V1949" s="22" t="n"/>
      <c r="W1949" s="4" t="n"/>
    </row>
    <row r="1950">
      <c r="A1950" s="22" t="n"/>
      <c r="B1950" s="22" t="n"/>
      <c r="C1950" s="22" t="n"/>
      <c r="D1950" s="22">
        <f>IF(A1950="","",IF(OR(N(B1950)&gt;=$C$2,N(C1950)&gt;=$E$2),"High",IF(OR(N(B1950)&gt;0,N(C1950)&gt;0),"Medium","Low")))</f>
        <v/>
      </c>
      <c r="E1950" s="22" t="n"/>
      <c r="F1950" s="22" t="n"/>
      <c r="G1950" s="22" t="n"/>
      <c r="H1950" s="22" t="n"/>
      <c r="I1950" s="22" t="n"/>
      <c r="J1950" s="22" t="n"/>
      <c r="K1950" s="22" t="n"/>
      <c r="L1950" s="22" t="n"/>
      <c r="M1950" s="22">
        <f>IF(K1950="Override",L1950,IF(K1950="Accept suggestion",F1950,IF(K1950="No change (same URL)",A1950,"")))</f>
        <v/>
      </c>
      <c r="N1950" s="22">
        <f>IF(A1950="","",IF(K1950="410 Gone","410",IF(K1950="404","404",IF(K1950="No change (same URL)","none",IF(M1950="","","301")))))</f>
        <v/>
      </c>
      <c r="O1950" s="22">
        <f>IF(A1950="","",IFERROR(MID(A1950,FIND("/",A1950,FIND("//",A1950)+2),2000),A1950))</f>
        <v/>
      </c>
      <c r="P1950" s="22">
        <f>IF(OR(O1950="",N1950="",N1950="none",N1950="404"),"",IF(N1950="410","Redirect gone "&amp;O1950,"Redirect "&amp;N1950&amp;" "&amp;O1950&amp;" "&amp;M1950))</f>
        <v/>
      </c>
      <c r="Q1950" s="22" t="n"/>
      <c r="R1950" s="22" t="n"/>
      <c r="S1950" s="22" t="n"/>
      <c r="T1950" s="4">
        <f>IF(A1950="","",TRIM(IF(K1950="","Needs decision; ","")&amp;IF(AND(K1950="Accept suggestion",F1950=""),"No suggestion to accept; ","")&amp;IF(AND(K1950="Override",L1950=""),"Override URL missing; ","")&amp;IF(AND(K1950="Accept suggestion",N(G1950)&lt;$G$2),"Below your threshold; ","")&amp;IF(AND(M1950&lt;&gt;"",M1950=A1950,K1950&lt;&gt;"No change (same URL)"),"Redirects to itself; ","")&amp;IF(AND(M1950&lt;&gt;"",OR(M1950="/",AND(LEFT(M1950,4)="http",OR((LEN(M1950)-LEN(SUBSTITUTE(M1950,"/","")))=2,AND((LEN(M1950)-LEN(SUBSTITUTE(M1950,"/","")))=3,RIGHT(M1950,1)="/"))))),"Home page redirect; ","")&amp;IF(N(R1950)&gt;1,"Chain; ","")&amp;IF(S1950="No","Destination not 200; ","")))</f>
        <v/>
      </c>
      <c r="U1950" s="22" t="n"/>
      <c r="V1950" s="22" t="n"/>
      <c r="W1950" s="4" t="n"/>
    </row>
    <row r="1951">
      <c r="A1951" s="22" t="n"/>
      <c r="B1951" s="22" t="n"/>
      <c r="C1951" s="22" t="n"/>
      <c r="D1951" s="22">
        <f>IF(A1951="","",IF(OR(N(B1951)&gt;=$C$2,N(C1951)&gt;=$E$2),"High",IF(OR(N(B1951)&gt;0,N(C1951)&gt;0),"Medium","Low")))</f>
        <v/>
      </c>
      <c r="E1951" s="22" t="n"/>
      <c r="F1951" s="22" t="n"/>
      <c r="G1951" s="22" t="n"/>
      <c r="H1951" s="22" t="n"/>
      <c r="I1951" s="22" t="n"/>
      <c r="J1951" s="22" t="n"/>
      <c r="K1951" s="22" t="n"/>
      <c r="L1951" s="22" t="n"/>
      <c r="M1951" s="22">
        <f>IF(K1951="Override",L1951,IF(K1951="Accept suggestion",F1951,IF(K1951="No change (same URL)",A1951,"")))</f>
        <v/>
      </c>
      <c r="N1951" s="22">
        <f>IF(A1951="","",IF(K1951="410 Gone","410",IF(K1951="404","404",IF(K1951="No change (same URL)","none",IF(M1951="","","301")))))</f>
        <v/>
      </c>
      <c r="O1951" s="22">
        <f>IF(A1951="","",IFERROR(MID(A1951,FIND("/",A1951,FIND("//",A1951)+2),2000),A1951))</f>
        <v/>
      </c>
      <c r="P1951" s="22">
        <f>IF(OR(O1951="",N1951="",N1951="none",N1951="404"),"",IF(N1951="410","Redirect gone "&amp;O1951,"Redirect "&amp;N1951&amp;" "&amp;O1951&amp;" "&amp;M1951))</f>
        <v/>
      </c>
      <c r="Q1951" s="22" t="n"/>
      <c r="R1951" s="22" t="n"/>
      <c r="S1951" s="22" t="n"/>
      <c r="T1951" s="4">
        <f>IF(A1951="","",TRIM(IF(K1951="","Needs decision; ","")&amp;IF(AND(K1951="Accept suggestion",F1951=""),"No suggestion to accept; ","")&amp;IF(AND(K1951="Override",L1951=""),"Override URL missing; ","")&amp;IF(AND(K1951="Accept suggestion",N(G1951)&lt;$G$2),"Below your threshold; ","")&amp;IF(AND(M1951&lt;&gt;"",M1951=A1951,K1951&lt;&gt;"No change (same URL)"),"Redirects to itself; ","")&amp;IF(AND(M1951&lt;&gt;"",OR(M1951="/",AND(LEFT(M1951,4)="http",OR((LEN(M1951)-LEN(SUBSTITUTE(M1951,"/","")))=2,AND((LEN(M1951)-LEN(SUBSTITUTE(M1951,"/","")))=3,RIGHT(M1951,1)="/"))))),"Home page redirect; ","")&amp;IF(N(R1951)&gt;1,"Chain; ","")&amp;IF(S1951="No","Destination not 200; ","")))</f>
        <v/>
      </c>
      <c r="U1951" s="22" t="n"/>
      <c r="V1951" s="22" t="n"/>
      <c r="W1951" s="4" t="n"/>
    </row>
    <row r="1952">
      <c r="A1952" s="22" t="n"/>
      <c r="B1952" s="22" t="n"/>
      <c r="C1952" s="22" t="n"/>
      <c r="D1952" s="22">
        <f>IF(A1952="","",IF(OR(N(B1952)&gt;=$C$2,N(C1952)&gt;=$E$2),"High",IF(OR(N(B1952)&gt;0,N(C1952)&gt;0),"Medium","Low")))</f>
        <v/>
      </c>
      <c r="E1952" s="22" t="n"/>
      <c r="F1952" s="22" t="n"/>
      <c r="G1952" s="22" t="n"/>
      <c r="H1952" s="22" t="n"/>
      <c r="I1952" s="22" t="n"/>
      <c r="J1952" s="22" t="n"/>
      <c r="K1952" s="22" t="n"/>
      <c r="L1952" s="22" t="n"/>
      <c r="M1952" s="22">
        <f>IF(K1952="Override",L1952,IF(K1952="Accept suggestion",F1952,IF(K1952="No change (same URL)",A1952,"")))</f>
        <v/>
      </c>
      <c r="N1952" s="22">
        <f>IF(A1952="","",IF(K1952="410 Gone","410",IF(K1952="404","404",IF(K1952="No change (same URL)","none",IF(M1952="","","301")))))</f>
        <v/>
      </c>
      <c r="O1952" s="22">
        <f>IF(A1952="","",IFERROR(MID(A1952,FIND("/",A1952,FIND("//",A1952)+2),2000),A1952))</f>
        <v/>
      </c>
      <c r="P1952" s="22">
        <f>IF(OR(O1952="",N1952="",N1952="none",N1952="404"),"",IF(N1952="410","Redirect gone "&amp;O1952,"Redirect "&amp;N1952&amp;" "&amp;O1952&amp;" "&amp;M1952))</f>
        <v/>
      </c>
      <c r="Q1952" s="22" t="n"/>
      <c r="R1952" s="22" t="n"/>
      <c r="S1952" s="22" t="n"/>
      <c r="T1952" s="4">
        <f>IF(A1952="","",TRIM(IF(K1952="","Needs decision; ","")&amp;IF(AND(K1952="Accept suggestion",F1952=""),"No suggestion to accept; ","")&amp;IF(AND(K1952="Override",L1952=""),"Override URL missing; ","")&amp;IF(AND(K1952="Accept suggestion",N(G1952)&lt;$G$2),"Below your threshold; ","")&amp;IF(AND(M1952&lt;&gt;"",M1952=A1952,K1952&lt;&gt;"No change (same URL)"),"Redirects to itself; ","")&amp;IF(AND(M1952&lt;&gt;"",OR(M1952="/",AND(LEFT(M1952,4)="http",OR((LEN(M1952)-LEN(SUBSTITUTE(M1952,"/","")))=2,AND((LEN(M1952)-LEN(SUBSTITUTE(M1952,"/","")))=3,RIGHT(M1952,1)="/"))))),"Home page redirect; ","")&amp;IF(N(R1952)&gt;1,"Chain; ","")&amp;IF(S1952="No","Destination not 200; ","")))</f>
        <v/>
      </c>
      <c r="U1952" s="22" t="n"/>
      <c r="V1952" s="22" t="n"/>
      <c r="W1952" s="4" t="n"/>
    </row>
    <row r="1953">
      <c r="A1953" s="22" t="n"/>
      <c r="B1953" s="22" t="n"/>
      <c r="C1953" s="22" t="n"/>
      <c r="D1953" s="22">
        <f>IF(A1953="","",IF(OR(N(B1953)&gt;=$C$2,N(C1953)&gt;=$E$2),"High",IF(OR(N(B1953)&gt;0,N(C1953)&gt;0),"Medium","Low")))</f>
        <v/>
      </c>
      <c r="E1953" s="22" t="n"/>
      <c r="F1953" s="22" t="n"/>
      <c r="G1953" s="22" t="n"/>
      <c r="H1953" s="22" t="n"/>
      <c r="I1953" s="22" t="n"/>
      <c r="J1953" s="22" t="n"/>
      <c r="K1953" s="22" t="n"/>
      <c r="L1953" s="22" t="n"/>
      <c r="M1953" s="22">
        <f>IF(K1953="Override",L1953,IF(K1953="Accept suggestion",F1953,IF(K1953="No change (same URL)",A1953,"")))</f>
        <v/>
      </c>
      <c r="N1953" s="22">
        <f>IF(A1953="","",IF(K1953="410 Gone","410",IF(K1953="404","404",IF(K1953="No change (same URL)","none",IF(M1953="","","301")))))</f>
        <v/>
      </c>
      <c r="O1953" s="22">
        <f>IF(A1953="","",IFERROR(MID(A1953,FIND("/",A1953,FIND("//",A1953)+2),2000),A1953))</f>
        <v/>
      </c>
      <c r="P1953" s="22">
        <f>IF(OR(O1953="",N1953="",N1953="none",N1953="404"),"",IF(N1953="410","Redirect gone "&amp;O1953,"Redirect "&amp;N1953&amp;" "&amp;O1953&amp;" "&amp;M1953))</f>
        <v/>
      </c>
      <c r="Q1953" s="22" t="n"/>
      <c r="R1953" s="22" t="n"/>
      <c r="S1953" s="22" t="n"/>
      <c r="T1953" s="4">
        <f>IF(A1953="","",TRIM(IF(K1953="","Needs decision; ","")&amp;IF(AND(K1953="Accept suggestion",F1953=""),"No suggestion to accept; ","")&amp;IF(AND(K1953="Override",L1953=""),"Override URL missing; ","")&amp;IF(AND(K1953="Accept suggestion",N(G1953)&lt;$G$2),"Below your threshold; ","")&amp;IF(AND(M1953&lt;&gt;"",M1953=A1953,K1953&lt;&gt;"No change (same URL)"),"Redirects to itself; ","")&amp;IF(AND(M1953&lt;&gt;"",OR(M1953="/",AND(LEFT(M1953,4)="http",OR((LEN(M1953)-LEN(SUBSTITUTE(M1953,"/","")))=2,AND((LEN(M1953)-LEN(SUBSTITUTE(M1953,"/","")))=3,RIGHT(M1953,1)="/"))))),"Home page redirect; ","")&amp;IF(N(R1953)&gt;1,"Chain; ","")&amp;IF(S1953="No","Destination not 200; ","")))</f>
        <v/>
      </c>
      <c r="U1953" s="22" t="n"/>
      <c r="V1953" s="22" t="n"/>
      <c r="W1953" s="4" t="n"/>
    </row>
    <row r="1954">
      <c r="A1954" s="22" t="n"/>
      <c r="B1954" s="22" t="n"/>
      <c r="C1954" s="22" t="n"/>
      <c r="D1954" s="22">
        <f>IF(A1954="","",IF(OR(N(B1954)&gt;=$C$2,N(C1954)&gt;=$E$2),"High",IF(OR(N(B1954)&gt;0,N(C1954)&gt;0),"Medium","Low")))</f>
        <v/>
      </c>
      <c r="E1954" s="22" t="n"/>
      <c r="F1954" s="22" t="n"/>
      <c r="G1954" s="22" t="n"/>
      <c r="H1954" s="22" t="n"/>
      <c r="I1954" s="22" t="n"/>
      <c r="J1954" s="22" t="n"/>
      <c r="K1954" s="22" t="n"/>
      <c r="L1954" s="22" t="n"/>
      <c r="M1954" s="22">
        <f>IF(K1954="Override",L1954,IF(K1954="Accept suggestion",F1954,IF(K1954="No change (same URL)",A1954,"")))</f>
        <v/>
      </c>
      <c r="N1954" s="22">
        <f>IF(A1954="","",IF(K1954="410 Gone","410",IF(K1954="404","404",IF(K1954="No change (same URL)","none",IF(M1954="","","301")))))</f>
        <v/>
      </c>
      <c r="O1954" s="22">
        <f>IF(A1954="","",IFERROR(MID(A1954,FIND("/",A1954,FIND("//",A1954)+2),2000),A1954))</f>
        <v/>
      </c>
      <c r="P1954" s="22">
        <f>IF(OR(O1954="",N1954="",N1954="none",N1954="404"),"",IF(N1954="410","Redirect gone "&amp;O1954,"Redirect "&amp;N1954&amp;" "&amp;O1954&amp;" "&amp;M1954))</f>
        <v/>
      </c>
      <c r="Q1954" s="22" t="n"/>
      <c r="R1954" s="22" t="n"/>
      <c r="S1954" s="22" t="n"/>
      <c r="T1954" s="4">
        <f>IF(A1954="","",TRIM(IF(K1954="","Needs decision; ","")&amp;IF(AND(K1954="Accept suggestion",F1954=""),"No suggestion to accept; ","")&amp;IF(AND(K1954="Override",L1954=""),"Override URL missing; ","")&amp;IF(AND(K1954="Accept suggestion",N(G1954)&lt;$G$2),"Below your threshold; ","")&amp;IF(AND(M1954&lt;&gt;"",M1954=A1954,K1954&lt;&gt;"No change (same URL)"),"Redirects to itself; ","")&amp;IF(AND(M1954&lt;&gt;"",OR(M1954="/",AND(LEFT(M1954,4)="http",OR((LEN(M1954)-LEN(SUBSTITUTE(M1954,"/","")))=2,AND((LEN(M1954)-LEN(SUBSTITUTE(M1954,"/","")))=3,RIGHT(M1954,1)="/"))))),"Home page redirect; ","")&amp;IF(N(R1954)&gt;1,"Chain; ","")&amp;IF(S1954="No","Destination not 200; ","")))</f>
        <v/>
      </c>
      <c r="U1954" s="22" t="n"/>
      <c r="V1954" s="22" t="n"/>
      <c r="W1954" s="4" t="n"/>
    </row>
    <row r="1955">
      <c r="A1955" s="22" t="n"/>
      <c r="B1955" s="22" t="n"/>
      <c r="C1955" s="22" t="n"/>
      <c r="D1955" s="22">
        <f>IF(A1955="","",IF(OR(N(B1955)&gt;=$C$2,N(C1955)&gt;=$E$2),"High",IF(OR(N(B1955)&gt;0,N(C1955)&gt;0),"Medium","Low")))</f>
        <v/>
      </c>
      <c r="E1955" s="22" t="n"/>
      <c r="F1955" s="22" t="n"/>
      <c r="G1955" s="22" t="n"/>
      <c r="H1955" s="22" t="n"/>
      <c r="I1955" s="22" t="n"/>
      <c r="J1955" s="22" t="n"/>
      <c r="K1955" s="22" t="n"/>
      <c r="L1955" s="22" t="n"/>
      <c r="M1955" s="22">
        <f>IF(K1955="Override",L1955,IF(K1955="Accept suggestion",F1955,IF(K1955="No change (same URL)",A1955,"")))</f>
        <v/>
      </c>
      <c r="N1955" s="22">
        <f>IF(A1955="","",IF(K1955="410 Gone","410",IF(K1955="404","404",IF(K1955="No change (same URL)","none",IF(M1955="","","301")))))</f>
        <v/>
      </c>
      <c r="O1955" s="22">
        <f>IF(A1955="","",IFERROR(MID(A1955,FIND("/",A1955,FIND("//",A1955)+2),2000),A1955))</f>
        <v/>
      </c>
      <c r="P1955" s="22">
        <f>IF(OR(O1955="",N1955="",N1955="none",N1955="404"),"",IF(N1955="410","Redirect gone "&amp;O1955,"Redirect "&amp;N1955&amp;" "&amp;O1955&amp;" "&amp;M1955))</f>
        <v/>
      </c>
      <c r="Q1955" s="22" t="n"/>
      <c r="R1955" s="22" t="n"/>
      <c r="S1955" s="22" t="n"/>
      <c r="T1955" s="4">
        <f>IF(A1955="","",TRIM(IF(K1955="","Needs decision; ","")&amp;IF(AND(K1955="Accept suggestion",F1955=""),"No suggestion to accept; ","")&amp;IF(AND(K1955="Override",L1955=""),"Override URL missing; ","")&amp;IF(AND(K1955="Accept suggestion",N(G1955)&lt;$G$2),"Below your threshold; ","")&amp;IF(AND(M1955&lt;&gt;"",M1955=A1955,K1955&lt;&gt;"No change (same URL)"),"Redirects to itself; ","")&amp;IF(AND(M1955&lt;&gt;"",OR(M1955="/",AND(LEFT(M1955,4)="http",OR((LEN(M1955)-LEN(SUBSTITUTE(M1955,"/","")))=2,AND((LEN(M1955)-LEN(SUBSTITUTE(M1955,"/","")))=3,RIGHT(M1955,1)="/"))))),"Home page redirect; ","")&amp;IF(N(R1955)&gt;1,"Chain; ","")&amp;IF(S1955="No","Destination not 200; ","")))</f>
        <v/>
      </c>
      <c r="U1955" s="22" t="n"/>
      <c r="V1955" s="22" t="n"/>
      <c r="W1955" s="4" t="n"/>
    </row>
    <row r="1956">
      <c r="A1956" s="22" t="n"/>
      <c r="B1956" s="22" t="n"/>
      <c r="C1956" s="22" t="n"/>
      <c r="D1956" s="22">
        <f>IF(A1956="","",IF(OR(N(B1956)&gt;=$C$2,N(C1956)&gt;=$E$2),"High",IF(OR(N(B1956)&gt;0,N(C1956)&gt;0),"Medium","Low")))</f>
        <v/>
      </c>
      <c r="E1956" s="22" t="n"/>
      <c r="F1956" s="22" t="n"/>
      <c r="G1956" s="22" t="n"/>
      <c r="H1956" s="22" t="n"/>
      <c r="I1956" s="22" t="n"/>
      <c r="J1956" s="22" t="n"/>
      <c r="K1956" s="22" t="n"/>
      <c r="L1956" s="22" t="n"/>
      <c r="M1956" s="22">
        <f>IF(K1956="Override",L1956,IF(K1956="Accept suggestion",F1956,IF(K1956="No change (same URL)",A1956,"")))</f>
        <v/>
      </c>
      <c r="N1956" s="22">
        <f>IF(A1956="","",IF(K1956="410 Gone","410",IF(K1956="404","404",IF(K1956="No change (same URL)","none",IF(M1956="","","301")))))</f>
        <v/>
      </c>
      <c r="O1956" s="22">
        <f>IF(A1956="","",IFERROR(MID(A1956,FIND("/",A1956,FIND("//",A1956)+2),2000),A1956))</f>
        <v/>
      </c>
      <c r="P1956" s="22">
        <f>IF(OR(O1956="",N1956="",N1956="none",N1956="404"),"",IF(N1956="410","Redirect gone "&amp;O1956,"Redirect "&amp;N1956&amp;" "&amp;O1956&amp;" "&amp;M1956))</f>
        <v/>
      </c>
      <c r="Q1956" s="22" t="n"/>
      <c r="R1956" s="22" t="n"/>
      <c r="S1956" s="22" t="n"/>
      <c r="T1956" s="4">
        <f>IF(A1956="","",TRIM(IF(K1956="","Needs decision; ","")&amp;IF(AND(K1956="Accept suggestion",F1956=""),"No suggestion to accept; ","")&amp;IF(AND(K1956="Override",L1956=""),"Override URL missing; ","")&amp;IF(AND(K1956="Accept suggestion",N(G1956)&lt;$G$2),"Below your threshold; ","")&amp;IF(AND(M1956&lt;&gt;"",M1956=A1956,K1956&lt;&gt;"No change (same URL)"),"Redirects to itself; ","")&amp;IF(AND(M1956&lt;&gt;"",OR(M1956="/",AND(LEFT(M1956,4)="http",OR((LEN(M1956)-LEN(SUBSTITUTE(M1956,"/","")))=2,AND((LEN(M1956)-LEN(SUBSTITUTE(M1956,"/","")))=3,RIGHT(M1956,1)="/"))))),"Home page redirect; ","")&amp;IF(N(R1956)&gt;1,"Chain; ","")&amp;IF(S1956="No","Destination not 200; ","")))</f>
        <v/>
      </c>
      <c r="U1956" s="22" t="n"/>
      <c r="V1956" s="22" t="n"/>
      <c r="W1956" s="4" t="n"/>
    </row>
    <row r="1957">
      <c r="A1957" s="22" t="n"/>
      <c r="B1957" s="22" t="n"/>
      <c r="C1957" s="22" t="n"/>
      <c r="D1957" s="22">
        <f>IF(A1957="","",IF(OR(N(B1957)&gt;=$C$2,N(C1957)&gt;=$E$2),"High",IF(OR(N(B1957)&gt;0,N(C1957)&gt;0),"Medium","Low")))</f>
        <v/>
      </c>
      <c r="E1957" s="22" t="n"/>
      <c r="F1957" s="22" t="n"/>
      <c r="G1957" s="22" t="n"/>
      <c r="H1957" s="22" t="n"/>
      <c r="I1957" s="22" t="n"/>
      <c r="J1957" s="22" t="n"/>
      <c r="K1957" s="22" t="n"/>
      <c r="L1957" s="22" t="n"/>
      <c r="M1957" s="22">
        <f>IF(K1957="Override",L1957,IF(K1957="Accept suggestion",F1957,IF(K1957="No change (same URL)",A1957,"")))</f>
        <v/>
      </c>
      <c r="N1957" s="22">
        <f>IF(A1957="","",IF(K1957="410 Gone","410",IF(K1957="404","404",IF(K1957="No change (same URL)","none",IF(M1957="","","301")))))</f>
        <v/>
      </c>
      <c r="O1957" s="22">
        <f>IF(A1957="","",IFERROR(MID(A1957,FIND("/",A1957,FIND("//",A1957)+2),2000),A1957))</f>
        <v/>
      </c>
      <c r="P1957" s="22">
        <f>IF(OR(O1957="",N1957="",N1957="none",N1957="404"),"",IF(N1957="410","Redirect gone "&amp;O1957,"Redirect "&amp;N1957&amp;" "&amp;O1957&amp;" "&amp;M1957))</f>
        <v/>
      </c>
      <c r="Q1957" s="22" t="n"/>
      <c r="R1957" s="22" t="n"/>
      <c r="S1957" s="22" t="n"/>
      <c r="T1957" s="4">
        <f>IF(A1957="","",TRIM(IF(K1957="","Needs decision; ","")&amp;IF(AND(K1957="Accept suggestion",F1957=""),"No suggestion to accept; ","")&amp;IF(AND(K1957="Override",L1957=""),"Override URL missing; ","")&amp;IF(AND(K1957="Accept suggestion",N(G1957)&lt;$G$2),"Below your threshold; ","")&amp;IF(AND(M1957&lt;&gt;"",M1957=A1957,K1957&lt;&gt;"No change (same URL)"),"Redirects to itself; ","")&amp;IF(AND(M1957&lt;&gt;"",OR(M1957="/",AND(LEFT(M1957,4)="http",OR((LEN(M1957)-LEN(SUBSTITUTE(M1957,"/","")))=2,AND((LEN(M1957)-LEN(SUBSTITUTE(M1957,"/","")))=3,RIGHT(M1957,1)="/"))))),"Home page redirect; ","")&amp;IF(N(R1957)&gt;1,"Chain; ","")&amp;IF(S1957="No","Destination not 200; ","")))</f>
        <v/>
      </c>
      <c r="U1957" s="22" t="n"/>
      <c r="V1957" s="22" t="n"/>
      <c r="W1957" s="4" t="n"/>
    </row>
    <row r="1958">
      <c r="A1958" s="22" t="n"/>
      <c r="B1958" s="22" t="n"/>
      <c r="C1958" s="22" t="n"/>
      <c r="D1958" s="22">
        <f>IF(A1958="","",IF(OR(N(B1958)&gt;=$C$2,N(C1958)&gt;=$E$2),"High",IF(OR(N(B1958)&gt;0,N(C1958)&gt;0),"Medium","Low")))</f>
        <v/>
      </c>
      <c r="E1958" s="22" t="n"/>
      <c r="F1958" s="22" t="n"/>
      <c r="G1958" s="22" t="n"/>
      <c r="H1958" s="22" t="n"/>
      <c r="I1958" s="22" t="n"/>
      <c r="J1958" s="22" t="n"/>
      <c r="K1958" s="22" t="n"/>
      <c r="L1958" s="22" t="n"/>
      <c r="M1958" s="22">
        <f>IF(K1958="Override",L1958,IF(K1958="Accept suggestion",F1958,IF(K1958="No change (same URL)",A1958,"")))</f>
        <v/>
      </c>
      <c r="N1958" s="22">
        <f>IF(A1958="","",IF(K1958="410 Gone","410",IF(K1958="404","404",IF(K1958="No change (same URL)","none",IF(M1958="","","301")))))</f>
        <v/>
      </c>
      <c r="O1958" s="22">
        <f>IF(A1958="","",IFERROR(MID(A1958,FIND("/",A1958,FIND("//",A1958)+2),2000),A1958))</f>
        <v/>
      </c>
      <c r="P1958" s="22">
        <f>IF(OR(O1958="",N1958="",N1958="none",N1958="404"),"",IF(N1958="410","Redirect gone "&amp;O1958,"Redirect "&amp;N1958&amp;" "&amp;O1958&amp;" "&amp;M1958))</f>
        <v/>
      </c>
      <c r="Q1958" s="22" t="n"/>
      <c r="R1958" s="22" t="n"/>
      <c r="S1958" s="22" t="n"/>
      <c r="T1958" s="4">
        <f>IF(A1958="","",TRIM(IF(K1958="","Needs decision; ","")&amp;IF(AND(K1958="Accept suggestion",F1958=""),"No suggestion to accept; ","")&amp;IF(AND(K1958="Override",L1958=""),"Override URL missing; ","")&amp;IF(AND(K1958="Accept suggestion",N(G1958)&lt;$G$2),"Below your threshold; ","")&amp;IF(AND(M1958&lt;&gt;"",M1958=A1958,K1958&lt;&gt;"No change (same URL)"),"Redirects to itself; ","")&amp;IF(AND(M1958&lt;&gt;"",OR(M1958="/",AND(LEFT(M1958,4)="http",OR((LEN(M1958)-LEN(SUBSTITUTE(M1958,"/","")))=2,AND((LEN(M1958)-LEN(SUBSTITUTE(M1958,"/","")))=3,RIGHT(M1958,1)="/"))))),"Home page redirect; ","")&amp;IF(N(R1958)&gt;1,"Chain; ","")&amp;IF(S1958="No","Destination not 200; ","")))</f>
        <v/>
      </c>
      <c r="U1958" s="22" t="n"/>
      <c r="V1958" s="22" t="n"/>
      <c r="W1958" s="4" t="n"/>
    </row>
    <row r="1959">
      <c r="A1959" s="22" t="n"/>
      <c r="B1959" s="22" t="n"/>
      <c r="C1959" s="22" t="n"/>
      <c r="D1959" s="22">
        <f>IF(A1959="","",IF(OR(N(B1959)&gt;=$C$2,N(C1959)&gt;=$E$2),"High",IF(OR(N(B1959)&gt;0,N(C1959)&gt;0),"Medium","Low")))</f>
        <v/>
      </c>
      <c r="E1959" s="22" t="n"/>
      <c r="F1959" s="22" t="n"/>
      <c r="G1959" s="22" t="n"/>
      <c r="H1959" s="22" t="n"/>
      <c r="I1959" s="22" t="n"/>
      <c r="J1959" s="22" t="n"/>
      <c r="K1959" s="22" t="n"/>
      <c r="L1959" s="22" t="n"/>
      <c r="M1959" s="22">
        <f>IF(K1959="Override",L1959,IF(K1959="Accept suggestion",F1959,IF(K1959="No change (same URL)",A1959,"")))</f>
        <v/>
      </c>
      <c r="N1959" s="22">
        <f>IF(A1959="","",IF(K1959="410 Gone","410",IF(K1959="404","404",IF(K1959="No change (same URL)","none",IF(M1959="","","301")))))</f>
        <v/>
      </c>
      <c r="O1959" s="22">
        <f>IF(A1959="","",IFERROR(MID(A1959,FIND("/",A1959,FIND("//",A1959)+2),2000),A1959))</f>
        <v/>
      </c>
      <c r="P1959" s="22">
        <f>IF(OR(O1959="",N1959="",N1959="none",N1959="404"),"",IF(N1959="410","Redirect gone "&amp;O1959,"Redirect "&amp;N1959&amp;" "&amp;O1959&amp;" "&amp;M1959))</f>
        <v/>
      </c>
      <c r="Q1959" s="22" t="n"/>
      <c r="R1959" s="22" t="n"/>
      <c r="S1959" s="22" t="n"/>
      <c r="T1959" s="4">
        <f>IF(A1959="","",TRIM(IF(K1959="","Needs decision; ","")&amp;IF(AND(K1959="Accept suggestion",F1959=""),"No suggestion to accept; ","")&amp;IF(AND(K1959="Override",L1959=""),"Override URL missing; ","")&amp;IF(AND(K1959="Accept suggestion",N(G1959)&lt;$G$2),"Below your threshold; ","")&amp;IF(AND(M1959&lt;&gt;"",M1959=A1959,K1959&lt;&gt;"No change (same URL)"),"Redirects to itself; ","")&amp;IF(AND(M1959&lt;&gt;"",OR(M1959="/",AND(LEFT(M1959,4)="http",OR((LEN(M1959)-LEN(SUBSTITUTE(M1959,"/","")))=2,AND((LEN(M1959)-LEN(SUBSTITUTE(M1959,"/","")))=3,RIGHT(M1959,1)="/"))))),"Home page redirect; ","")&amp;IF(N(R1959)&gt;1,"Chain; ","")&amp;IF(S1959="No","Destination not 200; ","")))</f>
        <v/>
      </c>
      <c r="U1959" s="22" t="n"/>
      <c r="V1959" s="22" t="n"/>
      <c r="W1959" s="4" t="n"/>
    </row>
    <row r="1960">
      <c r="A1960" s="22" t="n"/>
      <c r="B1960" s="22" t="n"/>
      <c r="C1960" s="22" t="n"/>
      <c r="D1960" s="22">
        <f>IF(A1960="","",IF(OR(N(B1960)&gt;=$C$2,N(C1960)&gt;=$E$2),"High",IF(OR(N(B1960)&gt;0,N(C1960)&gt;0),"Medium","Low")))</f>
        <v/>
      </c>
      <c r="E1960" s="22" t="n"/>
      <c r="F1960" s="22" t="n"/>
      <c r="G1960" s="22" t="n"/>
      <c r="H1960" s="22" t="n"/>
      <c r="I1960" s="22" t="n"/>
      <c r="J1960" s="22" t="n"/>
      <c r="K1960" s="22" t="n"/>
      <c r="L1960" s="22" t="n"/>
      <c r="M1960" s="22">
        <f>IF(K1960="Override",L1960,IF(K1960="Accept suggestion",F1960,IF(K1960="No change (same URL)",A1960,"")))</f>
        <v/>
      </c>
      <c r="N1960" s="22">
        <f>IF(A1960="","",IF(K1960="410 Gone","410",IF(K1960="404","404",IF(K1960="No change (same URL)","none",IF(M1960="","","301")))))</f>
        <v/>
      </c>
      <c r="O1960" s="22">
        <f>IF(A1960="","",IFERROR(MID(A1960,FIND("/",A1960,FIND("//",A1960)+2),2000),A1960))</f>
        <v/>
      </c>
      <c r="P1960" s="22">
        <f>IF(OR(O1960="",N1960="",N1960="none",N1960="404"),"",IF(N1960="410","Redirect gone "&amp;O1960,"Redirect "&amp;N1960&amp;" "&amp;O1960&amp;" "&amp;M1960))</f>
        <v/>
      </c>
      <c r="Q1960" s="22" t="n"/>
      <c r="R1960" s="22" t="n"/>
      <c r="S1960" s="22" t="n"/>
      <c r="T1960" s="4">
        <f>IF(A1960="","",TRIM(IF(K1960="","Needs decision; ","")&amp;IF(AND(K1960="Accept suggestion",F1960=""),"No suggestion to accept; ","")&amp;IF(AND(K1960="Override",L1960=""),"Override URL missing; ","")&amp;IF(AND(K1960="Accept suggestion",N(G1960)&lt;$G$2),"Below your threshold; ","")&amp;IF(AND(M1960&lt;&gt;"",M1960=A1960,K1960&lt;&gt;"No change (same URL)"),"Redirects to itself; ","")&amp;IF(AND(M1960&lt;&gt;"",OR(M1960="/",AND(LEFT(M1960,4)="http",OR((LEN(M1960)-LEN(SUBSTITUTE(M1960,"/","")))=2,AND((LEN(M1960)-LEN(SUBSTITUTE(M1960,"/","")))=3,RIGHT(M1960,1)="/"))))),"Home page redirect; ","")&amp;IF(N(R1960)&gt;1,"Chain; ","")&amp;IF(S1960="No","Destination not 200; ","")))</f>
        <v/>
      </c>
      <c r="U1960" s="22" t="n"/>
      <c r="V1960" s="22" t="n"/>
      <c r="W1960" s="4" t="n"/>
    </row>
    <row r="1961">
      <c r="A1961" s="22" t="n"/>
      <c r="B1961" s="22" t="n"/>
      <c r="C1961" s="22" t="n"/>
      <c r="D1961" s="22">
        <f>IF(A1961="","",IF(OR(N(B1961)&gt;=$C$2,N(C1961)&gt;=$E$2),"High",IF(OR(N(B1961)&gt;0,N(C1961)&gt;0),"Medium","Low")))</f>
        <v/>
      </c>
      <c r="E1961" s="22" t="n"/>
      <c r="F1961" s="22" t="n"/>
      <c r="G1961" s="22" t="n"/>
      <c r="H1961" s="22" t="n"/>
      <c r="I1961" s="22" t="n"/>
      <c r="J1961" s="22" t="n"/>
      <c r="K1961" s="22" t="n"/>
      <c r="L1961" s="22" t="n"/>
      <c r="M1961" s="22">
        <f>IF(K1961="Override",L1961,IF(K1961="Accept suggestion",F1961,IF(K1961="No change (same URL)",A1961,"")))</f>
        <v/>
      </c>
      <c r="N1961" s="22">
        <f>IF(A1961="","",IF(K1961="410 Gone","410",IF(K1961="404","404",IF(K1961="No change (same URL)","none",IF(M1961="","","301")))))</f>
        <v/>
      </c>
      <c r="O1961" s="22">
        <f>IF(A1961="","",IFERROR(MID(A1961,FIND("/",A1961,FIND("//",A1961)+2),2000),A1961))</f>
        <v/>
      </c>
      <c r="P1961" s="22">
        <f>IF(OR(O1961="",N1961="",N1961="none",N1961="404"),"",IF(N1961="410","Redirect gone "&amp;O1961,"Redirect "&amp;N1961&amp;" "&amp;O1961&amp;" "&amp;M1961))</f>
        <v/>
      </c>
      <c r="Q1961" s="22" t="n"/>
      <c r="R1961" s="22" t="n"/>
      <c r="S1961" s="22" t="n"/>
      <c r="T1961" s="4">
        <f>IF(A1961="","",TRIM(IF(K1961="","Needs decision; ","")&amp;IF(AND(K1961="Accept suggestion",F1961=""),"No suggestion to accept; ","")&amp;IF(AND(K1961="Override",L1961=""),"Override URL missing; ","")&amp;IF(AND(K1961="Accept suggestion",N(G1961)&lt;$G$2),"Below your threshold; ","")&amp;IF(AND(M1961&lt;&gt;"",M1961=A1961,K1961&lt;&gt;"No change (same URL)"),"Redirects to itself; ","")&amp;IF(AND(M1961&lt;&gt;"",OR(M1961="/",AND(LEFT(M1961,4)="http",OR((LEN(M1961)-LEN(SUBSTITUTE(M1961,"/","")))=2,AND((LEN(M1961)-LEN(SUBSTITUTE(M1961,"/","")))=3,RIGHT(M1961,1)="/"))))),"Home page redirect; ","")&amp;IF(N(R1961)&gt;1,"Chain; ","")&amp;IF(S1961="No","Destination not 200; ","")))</f>
        <v/>
      </c>
      <c r="U1961" s="22" t="n"/>
      <c r="V1961" s="22" t="n"/>
      <c r="W1961" s="4" t="n"/>
    </row>
    <row r="1962">
      <c r="A1962" s="22" t="n"/>
      <c r="B1962" s="22" t="n"/>
      <c r="C1962" s="22" t="n"/>
      <c r="D1962" s="22">
        <f>IF(A1962="","",IF(OR(N(B1962)&gt;=$C$2,N(C1962)&gt;=$E$2),"High",IF(OR(N(B1962)&gt;0,N(C1962)&gt;0),"Medium","Low")))</f>
        <v/>
      </c>
      <c r="E1962" s="22" t="n"/>
      <c r="F1962" s="22" t="n"/>
      <c r="G1962" s="22" t="n"/>
      <c r="H1962" s="22" t="n"/>
      <c r="I1962" s="22" t="n"/>
      <c r="J1962" s="22" t="n"/>
      <c r="K1962" s="22" t="n"/>
      <c r="L1962" s="22" t="n"/>
      <c r="M1962" s="22">
        <f>IF(K1962="Override",L1962,IF(K1962="Accept suggestion",F1962,IF(K1962="No change (same URL)",A1962,"")))</f>
        <v/>
      </c>
      <c r="N1962" s="22">
        <f>IF(A1962="","",IF(K1962="410 Gone","410",IF(K1962="404","404",IF(K1962="No change (same URL)","none",IF(M1962="","","301")))))</f>
        <v/>
      </c>
      <c r="O1962" s="22">
        <f>IF(A1962="","",IFERROR(MID(A1962,FIND("/",A1962,FIND("//",A1962)+2),2000),A1962))</f>
        <v/>
      </c>
      <c r="P1962" s="22">
        <f>IF(OR(O1962="",N1962="",N1962="none",N1962="404"),"",IF(N1962="410","Redirect gone "&amp;O1962,"Redirect "&amp;N1962&amp;" "&amp;O1962&amp;" "&amp;M1962))</f>
        <v/>
      </c>
      <c r="Q1962" s="22" t="n"/>
      <c r="R1962" s="22" t="n"/>
      <c r="S1962" s="22" t="n"/>
      <c r="T1962" s="4">
        <f>IF(A1962="","",TRIM(IF(K1962="","Needs decision; ","")&amp;IF(AND(K1962="Accept suggestion",F1962=""),"No suggestion to accept; ","")&amp;IF(AND(K1962="Override",L1962=""),"Override URL missing; ","")&amp;IF(AND(K1962="Accept suggestion",N(G1962)&lt;$G$2),"Below your threshold; ","")&amp;IF(AND(M1962&lt;&gt;"",M1962=A1962,K1962&lt;&gt;"No change (same URL)"),"Redirects to itself; ","")&amp;IF(AND(M1962&lt;&gt;"",OR(M1962="/",AND(LEFT(M1962,4)="http",OR((LEN(M1962)-LEN(SUBSTITUTE(M1962,"/","")))=2,AND((LEN(M1962)-LEN(SUBSTITUTE(M1962,"/","")))=3,RIGHT(M1962,1)="/"))))),"Home page redirect; ","")&amp;IF(N(R1962)&gt;1,"Chain; ","")&amp;IF(S1962="No","Destination not 200; ","")))</f>
        <v/>
      </c>
      <c r="U1962" s="22" t="n"/>
      <c r="V1962" s="22" t="n"/>
      <c r="W1962" s="4" t="n"/>
    </row>
    <row r="1963">
      <c r="A1963" s="22" t="n"/>
      <c r="B1963" s="22" t="n"/>
      <c r="C1963" s="22" t="n"/>
      <c r="D1963" s="22">
        <f>IF(A1963="","",IF(OR(N(B1963)&gt;=$C$2,N(C1963)&gt;=$E$2),"High",IF(OR(N(B1963)&gt;0,N(C1963)&gt;0),"Medium","Low")))</f>
        <v/>
      </c>
      <c r="E1963" s="22" t="n"/>
      <c r="F1963" s="22" t="n"/>
      <c r="G1963" s="22" t="n"/>
      <c r="H1963" s="22" t="n"/>
      <c r="I1963" s="22" t="n"/>
      <c r="J1963" s="22" t="n"/>
      <c r="K1963" s="22" t="n"/>
      <c r="L1963" s="22" t="n"/>
      <c r="M1963" s="22">
        <f>IF(K1963="Override",L1963,IF(K1963="Accept suggestion",F1963,IF(K1963="No change (same URL)",A1963,"")))</f>
        <v/>
      </c>
      <c r="N1963" s="22">
        <f>IF(A1963="","",IF(K1963="410 Gone","410",IF(K1963="404","404",IF(K1963="No change (same URL)","none",IF(M1963="","","301")))))</f>
        <v/>
      </c>
      <c r="O1963" s="22">
        <f>IF(A1963="","",IFERROR(MID(A1963,FIND("/",A1963,FIND("//",A1963)+2),2000),A1963))</f>
        <v/>
      </c>
      <c r="P1963" s="22">
        <f>IF(OR(O1963="",N1963="",N1963="none",N1963="404"),"",IF(N1963="410","Redirect gone "&amp;O1963,"Redirect "&amp;N1963&amp;" "&amp;O1963&amp;" "&amp;M1963))</f>
        <v/>
      </c>
      <c r="Q1963" s="22" t="n"/>
      <c r="R1963" s="22" t="n"/>
      <c r="S1963" s="22" t="n"/>
      <c r="T1963" s="4">
        <f>IF(A1963="","",TRIM(IF(K1963="","Needs decision; ","")&amp;IF(AND(K1963="Accept suggestion",F1963=""),"No suggestion to accept; ","")&amp;IF(AND(K1963="Override",L1963=""),"Override URL missing; ","")&amp;IF(AND(K1963="Accept suggestion",N(G1963)&lt;$G$2),"Below your threshold; ","")&amp;IF(AND(M1963&lt;&gt;"",M1963=A1963,K1963&lt;&gt;"No change (same URL)"),"Redirects to itself; ","")&amp;IF(AND(M1963&lt;&gt;"",OR(M1963="/",AND(LEFT(M1963,4)="http",OR((LEN(M1963)-LEN(SUBSTITUTE(M1963,"/","")))=2,AND((LEN(M1963)-LEN(SUBSTITUTE(M1963,"/","")))=3,RIGHT(M1963,1)="/"))))),"Home page redirect; ","")&amp;IF(N(R1963)&gt;1,"Chain; ","")&amp;IF(S1963="No","Destination not 200; ","")))</f>
        <v/>
      </c>
      <c r="U1963" s="22" t="n"/>
      <c r="V1963" s="22" t="n"/>
      <c r="W1963" s="4" t="n"/>
    </row>
    <row r="1964">
      <c r="A1964" s="22" t="n"/>
      <c r="B1964" s="22" t="n"/>
      <c r="C1964" s="22" t="n"/>
      <c r="D1964" s="22">
        <f>IF(A1964="","",IF(OR(N(B1964)&gt;=$C$2,N(C1964)&gt;=$E$2),"High",IF(OR(N(B1964)&gt;0,N(C1964)&gt;0),"Medium","Low")))</f>
        <v/>
      </c>
      <c r="E1964" s="22" t="n"/>
      <c r="F1964" s="22" t="n"/>
      <c r="G1964" s="22" t="n"/>
      <c r="H1964" s="22" t="n"/>
      <c r="I1964" s="22" t="n"/>
      <c r="J1964" s="22" t="n"/>
      <c r="K1964" s="22" t="n"/>
      <c r="L1964" s="22" t="n"/>
      <c r="M1964" s="22">
        <f>IF(K1964="Override",L1964,IF(K1964="Accept suggestion",F1964,IF(K1964="No change (same URL)",A1964,"")))</f>
        <v/>
      </c>
      <c r="N1964" s="22">
        <f>IF(A1964="","",IF(K1964="410 Gone","410",IF(K1964="404","404",IF(K1964="No change (same URL)","none",IF(M1964="","","301")))))</f>
        <v/>
      </c>
      <c r="O1964" s="22">
        <f>IF(A1964="","",IFERROR(MID(A1964,FIND("/",A1964,FIND("//",A1964)+2),2000),A1964))</f>
        <v/>
      </c>
      <c r="P1964" s="22">
        <f>IF(OR(O1964="",N1964="",N1964="none",N1964="404"),"",IF(N1964="410","Redirect gone "&amp;O1964,"Redirect "&amp;N1964&amp;" "&amp;O1964&amp;" "&amp;M1964))</f>
        <v/>
      </c>
      <c r="Q1964" s="22" t="n"/>
      <c r="R1964" s="22" t="n"/>
      <c r="S1964" s="22" t="n"/>
      <c r="T1964" s="4">
        <f>IF(A1964="","",TRIM(IF(K1964="","Needs decision; ","")&amp;IF(AND(K1964="Accept suggestion",F1964=""),"No suggestion to accept; ","")&amp;IF(AND(K1964="Override",L1964=""),"Override URL missing; ","")&amp;IF(AND(K1964="Accept suggestion",N(G1964)&lt;$G$2),"Below your threshold; ","")&amp;IF(AND(M1964&lt;&gt;"",M1964=A1964,K1964&lt;&gt;"No change (same URL)"),"Redirects to itself; ","")&amp;IF(AND(M1964&lt;&gt;"",OR(M1964="/",AND(LEFT(M1964,4)="http",OR((LEN(M1964)-LEN(SUBSTITUTE(M1964,"/","")))=2,AND((LEN(M1964)-LEN(SUBSTITUTE(M1964,"/","")))=3,RIGHT(M1964,1)="/"))))),"Home page redirect; ","")&amp;IF(N(R1964)&gt;1,"Chain; ","")&amp;IF(S1964="No","Destination not 200; ","")))</f>
        <v/>
      </c>
      <c r="U1964" s="22" t="n"/>
      <c r="V1964" s="22" t="n"/>
      <c r="W1964" s="4" t="n"/>
    </row>
    <row r="1965">
      <c r="A1965" s="22" t="n"/>
      <c r="B1965" s="22" t="n"/>
      <c r="C1965" s="22" t="n"/>
      <c r="D1965" s="22">
        <f>IF(A1965="","",IF(OR(N(B1965)&gt;=$C$2,N(C1965)&gt;=$E$2),"High",IF(OR(N(B1965)&gt;0,N(C1965)&gt;0),"Medium","Low")))</f>
        <v/>
      </c>
      <c r="E1965" s="22" t="n"/>
      <c r="F1965" s="22" t="n"/>
      <c r="G1965" s="22" t="n"/>
      <c r="H1965" s="22" t="n"/>
      <c r="I1965" s="22" t="n"/>
      <c r="J1965" s="22" t="n"/>
      <c r="K1965" s="22" t="n"/>
      <c r="L1965" s="22" t="n"/>
      <c r="M1965" s="22">
        <f>IF(K1965="Override",L1965,IF(K1965="Accept suggestion",F1965,IF(K1965="No change (same URL)",A1965,"")))</f>
        <v/>
      </c>
      <c r="N1965" s="22">
        <f>IF(A1965="","",IF(K1965="410 Gone","410",IF(K1965="404","404",IF(K1965="No change (same URL)","none",IF(M1965="","","301")))))</f>
        <v/>
      </c>
      <c r="O1965" s="22">
        <f>IF(A1965="","",IFERROR(MID(A1965,FIND("/",A1965,FIND("//",A1965)+2),2000),A1965))</f>
        <v/>
      </c>
      <c r="P1965" s="22">
        <f>IF(OR(O1965="",N1965="",N1965="none",N1965="404"),"",IF(N1965="410","Redirect gone "&amp;O1965,"Redirect "&amp;N1965&amp;" "&amp;O1965&amp;" "&amp;M1965))</f>
        <v/>
      </c>
      <c r="Q1965" s="22" t="n"/>
      <c r="R1965" s="22" t="n"/>
      <c r="S1965" s="22" t="n"/>
      <c r="T1965" s="4">
        <f>IF(A1965="","",TRIM(IF(K1965="","Needs decision; ","")&amp;IF(AND(K1965="Accept suggestion",F1965=""),"No suggestion to accept; ","")&amp;IF(AND(K1965="Override",L1965=""),"Override URL missing; ","")&amp;IF(AND(K1965="Accept suggestion",N(G1965)&lt;$G$2),"Below your threshold; ","")&amp;IF(AND(M1965&lt;&gt;"",M1965=A1965,K1965&lt;&gt;"No change (same URL)"),"Redirects to itself; ","")&amp;IF(AND(M1965&lt;&gt;"",OR(M1965="/",AND(LEFT(M1965,4)="http",OR((LEN(M1965)-LEN(SUBSTITUTE(M1965,"/","")))=2,AND((LEN(M1965)-LEN(SUBSTITUTE(M1965,"/","")))=3,RIGHT(M1965,1)="/"))))),"Home page redirect; ","")&amp;IF(N(R1965)&gt;1,"Chain; ","")&amp;IF(S1965="No","Destination not 200; ","")))</f>
        <v/>
      </c>
      <c r="U1965" s="22" t="n"/>
      <c r="V1965" s="22" t="n"/>
      <c r="W1965" s="4" t="n"/>
    </row>
    <row r="1966">
      <c r="A1966" s="22" t="n"/>
      <c r="B1966" s="22" t="n"/>
      <c r="C1966" s="22" t="n"/>
      <c r="D1966" s="22">
        <f>IF(A1966="","",IF(OR(N(B1966)&gt;=$C$2,N(C1966)&gt;=$E$2),"High",IF(OR(N(B1966)&gt;0,N(C1966)&gt;0),"Medium","Low")))</f>
        <v/>
      </c>
      <c r="E1966" s="22" t="n"/>
      <c r="F1966" s="22" t="n"/>
      <c r="G1966" s="22" t="n"/>
      <c r="H1966" s="22" t="n"/>
      <c r="I1966" s="22" t="n"/>
      <c r="J1966" s="22" t="n"/>
      <c r="K1966" s="22" t="n"/>
      <c r="L1966" s="22" t="n"/>
      <c r="M1966" s="22">
        <f>IF(K1966="Override",L1966,IF(K1966="Accept suggestion",F1966,IF(K1966="No change (same URL)",A1966,"")))</f>
        <v/>
      </c>
      <c r="N1966" s="22">
        <f>IF(A1966="","",IF(K1966="410 Gone","410",IF(K1966="404","404",IF(K1966="No change (same URL)","none",IF(M1966="","","301")))))</f>
        <v/>
      </c>
      <c r="O1966" s="22">
        <f>IF(A1966="","",IFERROR(MID(A1966,FIND("/",A1966,FIND("//",A1966)+2),2000),A1966))</f>
        <v/>
      </c>
      <c r="P1966" s="22">
        <f>IF(OR(O1966="",N1966="",N1966="none",N1966="404"),"",IF(N1966="410","Redirect gone "&amp;O1966,"Redirect "&amp;N1966&amp;" "&amp;O1966&amp;" "&amp;M1966))</f>
        <v/>
      </c>
      <c r="Q1966" s="22" t="n"/>
      <c r="R1966" s="22" t="n"/>
      <c r="S1966" s="22" t="n"/>
      <c r="T1966" s="4">
        <f>IF(A1966="","",TRIM(IF(K1966="","Needs decision; ","")&amp;IF(AND(K1966="Accept suggestion",F1966=""),"No suggestion to accept; ","")&amp;IF(AND(K1966="Override",L1966=""),"Override URL missing; ","")&amp;IF(AND(K1966="Accept suggestion",N(G1966)&lt;$G$2),"Below your threshold; ","")&amp;IF(AND(M1966&lt;&gt;"",M1966=A1966,K1966&lt;&gt;"No change (same URL)"),"Redirects to itself; ","")&amp;IF(AND(M1966&lt;&gt;"",OR(M1966="/",AND(LEFT(M1966,4)="http",OR((LEN(M1966)-LEN(SUBSTITUTE(M1966,"/","")))=2,AND((LEN(M1966)-LEN(SUBSTITUTE(M1966,"/","")))=3,RIGHT(M1966,1)="/"))))),"Home page redirect; ","")&amp;IF(N(R1966)&gt;1,"Chain; ","")&amp;IF(S1966="No","Destination not 200; ","")))</f>
        <v/>
      </c>
      <c r="U1966" s="22" t="n"/>
      <c r="V1966" s="22" t="n"/>
      <c r="W1966" s="4" t="n"/>
    </row>
    <row r="1967">
      <c r="A1967" s="22" t="n"/>
      <c r="B1967" s="22" t="n"/>
      <c r="C1967" s="22" t="n"/>
      <c r="D1967" s="22">
        <f>IF(A1967="","",IF(OR(N(B1967)&gt;=$C$2,N(C1967)&gt;=$E$2),"High",IF(OR(N(B1967)&gt;0,N(C1967)&gt;0),"Medium","Low")))</f>
        <v/>
      </c>
      <c r="E1967" s="22" t="n"/>
      <c r="F1967" s="22" t="n"/>
      <c r="G1967" s="22" t="n"/>
      <c r="H1967" s="22" t="n"/>
      <c r="I1967" s="22" t="n"/>
      <c r="J1967" s="22" t="n"/>
      <c r="K1967" s="22" t="n"/>
      <c r="L1967" s="22" t="n"/>
      <c r="M1967" s="22">
        <f>IF(K1967="Override",L1967,IF(K1967="Accept suggestion",F1967,IF(K1967="No change (same URL)",A1967,"")))</f>
        <v/>
      </c>
      <c r="N1967" s="22">
        <f>IF(A1967="","",IF(K1967="410 Gone","410",IF(K1967="404","404",IF(K1967="No change (same URL)","none",IF(M1967="","","301")))))</f>
        <v/>
      </c>
      <c r="O1967" s="22">
        <f>IF(A1967="","",IFERROR(MID(A1967,FIND("/",A1967,FIND("//",A1967)+2),2000),A1967))</f>
        <v/>
      </c>
      <c r="P1967" s="22">
        <f>IF(OR(O1967="",N1967="",N1967="none",N1967="404"),"",IF(N1967="410","Redirect gone "&amp;O1967,"Redirect "&amp;N1967&amp;" "&amp;O1967&amp;" "&amp;M1967))</f>
        <v/>
      </c>
      <c r="Q1967" s="22" t="n"/>
      <c r="R1967" s="22" t="n"/>
      <c r="S1967" s="22" t="n"/>
      <c r="T1967" s="4">
        <f>IF(A1967="","",TRIM(IF(K1967="","Needs decision; ","")&amp;IF(AND(K1967="Accept suggestion",F1967=""),"No suggestion to accept; ","")&amp;IF(AND(K1967="Override",L1967=""),"Override URL missing; ","")&amp;IF(AND(K1967="Accept suggestion",N(G1967)&lt;$G$2),"Below your threshold; ","")&amp;IF(AND(M1967&lt;&gt;"",M1967=A1967,K1967&lt;&gt;"No change (same URL)"),"Redirects to itself; ","")&amp;IF(AND(M1967&lt;&gt;"",OR(M1967="/",AND(LEFT(M1967,4)="http",OR((LEN(M1967)-LEN(SUBSTITUTE(M1967,"/","")))=2,AND((LEN(M1967)-LEN(SUBSTITUTE(M1967,"/","")))=3,RIGHT(M1967,1)="/"))))),"Home page redirect; ","")&amp;IF(N(R1967)&gt;1,"Chain; ","")&amp;IF(S1967="No","Destination not 200; ","")))</f>
        <v/>
      </c>
      <c r="U1967" s="22" t="n"/>
      <c r="V1967" s="22" t="n"/>
      <c r="W1967" s="4" t="n"/>
    </row>
    <row r="1968">
      <c r="A1968" s="22" t="n"/>
      <c r="B1968" s="22" t="n"/>
      <c r="C1968" s="22" t="n"/>
      <c r="D1968" s="22">
        <f>IF(A1968="","",IF(OR(N(B1968)&gt;=$C$2,N(C1968)&gt;=$E$2),"High",IF(OR(N(B1968)&gt;0,N(C1968)&gt;0),"Medium","Low")))</f>
        <v/>
      </c>
      <c r="E1968" s="22" t="n"/>
      <c r="F1968" s="22" t="n"/>
      <c r="G1968" s="22" t="n"/>
      <c r="H1968" s="22" t="n"/>
      <c r="I1968" s="22" t="n"/>
      <c r="J1968" s="22" t="n"/>
      <c r="K1968" s="22" t="n"/>
      <c r="L1968" s="22" t="n"/>
      <c r="M1968" s="22">
        <f>IF(K1968="Override",L1968,IF(K1968="Accept suggestion",F1968,IF(K1968="No change (same URL)",A1968,"")))</f>
        <v/>
      </c>
      <c r="N1968" s="22">
        <f>IF(A1968="","",IF(K1968="410 Gone","410",IF(K1968="404","404",IF(K1968="No change (same URL)","none",IF(M1968="","","301")))))</f>
        <v/>
      </c>
      <c r="O1968" s="22">
        <f>IF(A1968="","",IFERROR(MID(A1968,FIND("/",A1968,FIND("//",A1968)+2),2000),A1968))</f>
        <v/>
      </c>
      <c r="P1968" s="22">
        <f>IF(OR(O1968="",N1968="",N1968="none",N1968="404"),"",IF(N1968="410","Redirect gone "&amp;O1968,"Redirect "&amp;N1968&amp;" "&amp;O1968&amp;" "&amp;M1968))</f>
        <v/>
      </c>
      <c r="Q1968" s="22" t="n"/>
      <c r="R1968" s="22" t="n"/>
      <c r="S1968" s="22" t="n"/>
      <c r="T1968" s="4">
        <f>IF(A1968="","",TRIM(IF(K1968="","Needs decision; ","")&amp;IF(AND(K1968="Accept suggestion",F1968=""),"No suggestion to accept; ","")&amp;IF(AND(K1968="Override",L1968=""),"Override URL missing; ","")&amp;IF(AND(K1968="Accept suggestion",N(G1968)&lt;$G$2),"Below your threshold; ","")&amp;IF(AND(M1968&lt;&gt;"",M1968=A1968,K1968&lt;&gt;"No change (same URL)"),"Redirects to itself; ","")&amp;IF(AND(M1968&lt;&gt;"",OR(M1968="/",AND(LEFT(M1968,4)="http",OR((LEN(M1968)-LEN(SUBSTITUTE(M1968,"/","")))=2,AND((LEN(M1968)-LEN(SUBSTITUTE(M1968,"/","")))=3,RIGHT(M1968,1)="/"))))),"Home page redirect; ","")&amp;IF(N(R1968)&gt;1,"Chain; ","")&amp;IF(S1968="No","Destination not 200; ","")))</f>
        <v/>
      </c>
      <c r="U1968" s="22" t="n"/>
      <c r="V1968" s="22" t="n"/>
      <c r="W1968" s="4" t="n"/>
    </row>
    <row r="1969">
      <c r="A1969" s="22" t="n"/>
      <c r="B1969" s="22" t="n"/>
      <c r="C1969" s="22" t="n"/>
      <c r="D1969" s="22">
        <f>IF(A1969="","",IF(OR(N(B1969)&gt;=$C$2,N(C1969)&gt;=$E$2),"High",IF(OR(N(B1969)&gt;0,N(C1969)&gt;0),"Medium","Low")))</f>
        <v/>
      </c>
      <c r="E1969" s="22" t="n"/>
      <c r="F1969" s="22" t="n"/>
      <c r="G1969" s="22" t="n"/>
      <c r="H1969" s="22" t="n"/>
      <c r="I1969" s="22" t="n"/>
      <c r="J1969" s="22" t="n"/>
      <c r="K1969" s="22" t="n"/>
      <c r="L1969" s="22" t="n"/>
      <c r="M1969" s="22">
        <f>IF(K1969="Override",L1969,IF(K1969="Accept suggestion",F1969,IF(K1969="No change (same URL)",A1969,"")))</f>
        <v/>
      </c>
      <c r="N1969" s="22">
        <f>IF(A1969="","",IF(K1969="410 Gone","410",IF(K1969="404","404",IF(K1969="No change (same URL)","none",IF(M1969="","","301")))))</f>
        <v/>
      </c>
      <c r="O1969" s="22">
        <f>IF(A1969="","",IFERROR(MID(A1969,FIND("/",A1969,FIND("//",A1969)+2),2000),A1969))</f>
        <v/>
      </c>
      <c r="P1969" s="22">
        <f>IF(OR(O1969="",N1969="",N1969="none",N1969="404"),"",IF(N1969="410","Redirect gone "&amp;O1969,"Redirect "&amp;N1969&amp;" "&amp;O1969&amp;" "&amp;M1969))</f>
        <v/>
      </c>
      <c r="Q1969" s="22" t="n"/>
      <c r="R1969" s="22" t="n"/>
      <c r="S1969" s="22" t="n"/>
      <c r="T1969" s="4">
        <f>IF(A1969="","",TRIM(IF(K1969="","Needs decision; ","")&amp;IF(AND(K1969="Accept suggestion",F1969=""),"No suggestion to accept; ","")&amp;IF(AND(K1969="Override",L1969=""),"Override URL missing; ","")&amp;IF(AND(K1969="Accept suggestion",N(G1969)&lt;$G$2),"Below your threshold; ","")&amp;IF(AND(M1969&lt;&gt;"",M1969=A1969,K1969&lt;&gt;"No change (same URL)"),"Redirects to itself; ","")&amp;IF(AND(M1969&lt;&gt;"",OR(M1969="/",AND(LEFT(M1969,4)="http",OR((LEN(M1969)-LEN(SUBSTITUTE(M1969,"/","")))=2,AND((LEN(M1969)-LEN(SUBSTITUTE(M1969,"/","")))=3,RIGHT(M1969,1)="/"))))),"Home page redirect; ","")&amp;IF(N(R1969)&gt;1,"Chain; ","")&amp;IF(S1969="No","Destination not 200; ","")))</f>
        <v/>
      </c>
      <c r="U1969" s="22" t="n"/>
      <c r="V1969" s="22" t="n"/>
      <c r="W1969" s="4" t="n"/>
    </row>
    <row r="1970">
      <c r="A1970" s="22" t="n"/>
      <c r="B1970" s="22" t="n"/>
      <c r="C1970" s="22" t="n"/>
      <c r="D1970" s="22">
        <f>IF(A1970="","",IF(OR(N(B1970)&gt;=$C$2,N(C1970)&gt;=$E$2),"High",IF(OR(N(B1970)&gt;0,N(C1970)&gt;0),"Medium","Low")))</f>
        <v/>
      </c>
      <c r="E1970" s="22" t="n"/>
      <c r="F1970" s="22" t="n"/>
      <c r="G1970" s="22" t="n"/>
      <c r="H1970" s="22" t="n"/>
      <c r="I1970" s="22" t="n"/>
      <c r="J1970" s="22" t="n"/>
      <c r="K1970" s="22" t="n"/>
      <c r="L1970" s="22" t="n"/>
      <c r="M1970" s="22">
        <f>IF(K1970="Override",L1970,IF(K1970="Accept suggestion",F1970,IF(K1970="No change (same URL)",A1970,"")))</f>
        <v/>
      </c>
      <c r="N1970" s="22">
        <f>IF(A1970="","",IF(K1970="410 Gone","410",IF(K1970="404","404",IF(K1970="No change (same URL)","none",IF(M1970="","","301")))))</f>
        <v/>
      </c>
      <c r="O1970" s="22">
        <f>IF(A1970="","",IFERROR(MID(A1970,FIND("/",A1970,FIND("//",A1970)+2),2000),A1970))</f>
        <v/>
      </c>
      <c r="P1970" s="22">
        <f>IF(OR(O1970="",N1970="",N1970="none",N1970="404"),"",IF(N1970="410","Redirect gone "&amp;O1970,"Redirect "&amp;N1970&amp;" "&amp;O1970&amp;" "&amp;M1970))</f>
        <v/>
      </c>
      <c r="Q1970" s="22" t="n"/>
      <c r="R1970" s="22" t="n"/>
      <c r="S1970" s="22" t="n"/>
      <c r="T1970" s="4">
        <f>IF(A1970="","",TRIM(IF(K1970="","Needs decision; ","")&amp;IF(AND(K1970="Accept suggestion",F1970=""),"No suggestion to accept; ","")&amp;IF(AND(K1970="Override",L1970=""),"Override URL missing; ","")&amp;IF(AND(K1970="Accept suggestion",N(G1970)&lt;$G$2),"Below your threshold; ","")&amp;IF(AND(M1970&lt;&gt;"",M1970=A1970,K1970&lt;&gt;"No change (same URL)"),"Redirects to itself; ","")&amp;IF(AND(M1970&lt;&gt;"",OR(M1970="/",AND(LEFT(M1970,4)="http",OR((LEN(M1970)-LEN(SUBSTITUTE(M1970,"/","")))=2,AND((LEN(M1970)-LEN(SUBSTITUTE(M1970,"/","")))=3,RIGHT(M1970,1)="/"))))),"Home page redirect; ","")&amp;IF(N(R1970)&gt;1,"Chain; ","")&amp;IF(S1970="No","Destination not 200; ","")))</f>
        <v/>
      </c>
      <c r="U1970" s="22" t="n"/>
      <c r="V1970" s="22" t="n"/>
      <c r="W1970" s="4" t="n"/>
    </row>
    <row r="1971">
      <c r="A1971" s="22" t="n"/>
      <c r="B1971" s="22" t="n"/>
      <c r="C1971" s="22" t="n"/>
      <c r="D1971" s="22">
        <f>IF(A1971="","",IF(OR(N(B1971)&gt;=$C$2,N(C1971)&gt;=$E$2),"High",IF(OR(N(B1971)&gt;0,N(C1971)&gt;0),"Medium","Low")))</f>
        <v/>
      </c>
      <c r="E1971" s="22" t="n"/>
      <c r="F1971" s="22" t="n"/>
      <c r="G1971" s="22" t="n"/>
      <c r="H1971" s="22" t="n"/>
      <c r="I1971" s="22" t="n"/>
      <c r="J1971" s="22" t="n"/>
      <c r="K1971" s="22" t="n"/>
      <c r="L1971" s="22" t="n"/>
      <c r="M1971" s="22">
        <f>IF(K1971="Override",L1971,IF(K1971="Accept suggestion",F1971,IF(K1971="No change (same URL)",A1971,"")))</f>
        <v/>
      </c>
      <c r="N1971" s="22">
        <f>IF(A1971="","",IF(K1971="410 Gone","410",IF(K1971="404","404",IF(K1971="No change (same URL)","none",IF(M1971="","","301")))))</f>
        <v/>
      </c>
      <c r="O1971" s="22">
        <f>IF(A1971="","",IFERROR(MID(A1971,FIND("/",A1971,FIND("//",A1971)+2),2000),A1971))</f>
        <v/>
      </c>
      <c r="P1971" s="22">
        <f>IF(OR(O1971="",N1971="",N1971="none",N1971="404"),"",IF(N1971="410","Redirect gone "&amp;O1971,"Redirect "&amp;N1971&amp;" "&amp;O1971&amp;" "&amp;M1971))</f>
        <v/>
      </c>
      <c r="Q1971" s="22" t="n"/>
      <c r="R1971" s="22" t="n"/>
      <c r="S1971" s="22" t="n"/>
      <c r="T1971" s="4">
        <f>IF(A1971="","",TRIM(IF(K1971="","Needs decision; ","")&amp;IF(AND(K1971="Accept suggestion",F1971=""),"No suggestion to accept; ","")&amp;IF(AND(K1971="Override",L1971=""),"Override URL missing; ","")&amp;IF(AND(K1971="Accept suggestion",N(G1971)&lt;$G$2),"Below your threshold; ","")&amp;IF(AND(M1971&lt;&gt;"",M1971=A1971,K1971&lt;&gt;"No change (same URL)"),"Redirects to itself; ","")&amp;IF(AND(M1971&lt;&gt;"",OR(M1971="/",AND(LEFT(M1971,4)="http",OR((LEN(M1971)-LEN(SUBSTITUTE(M1971,"/","")))=2,AND((LEN(M1971)-LEN(SUBSTITUTE(M1971,"/","")))=3,RIGHT(M1971,1)="/"))))),"Home page redirect; ","")&amp;IF(N(R1971)&gt;1,"Chain; ","")&amp;IF(S1971="No","Destination not 200; ","")))</f>
        <v/>
      </c>
      <c r="U1971" s="22" t="n"/>
      <c r="V1971" s="22" t="n"/>
      <c r="W1971" s="4" t="n"/>
    </row>
    <row r="1972">
      <c r="A1972" s="22" t="n"/>
      <c r="B1972" s="22" t="n"/>
      <c r="C1972" s="22" t="n"/>
      <c r="D1972" s="22">
        <f>IF(A1972="","",IF(OR(N(B1972)&gt;=$C$2,N(C1972)&gt;=$E$2),"High",IF(OR(N(B1972)&gt;0,N(C1972)&gt;0),"Medium","Low")))</f>
        <v/>
      </c>
      <c r="E1972" s="22" t="n"/>
      <c r="F1972" s="22" t="n"/>
      <c r="G1972" s="22" t="n"/>
      <c r="H1972" s="22" t="n"/>
      <c r="I1972" s="22" t="n"/>
      <c r="J1972" s="22" t="n"/>
      <c r="K1972" s="22" t="n"/>
      <c r="L1972" s="22" t="n"/>
      <c r="M1972" s="22">
        <f>IF(K1972="Override",L1972,IF(K1972="Accept suggestion",F1972,IF(K1972="No change (same URL)",A1972,"")))</f>
        <v/>
      </c>
      <c r="N1972" s="22">
        <f>IF(A1972="","",IF(K1972="410 Gone","410",IF(K1972="404","404",IF(K1972="No change (same URL)","none",IF(M1972="","","301")))))</f>
        <v/>
      </c>
      <c r="O1972" s="22">
        <f>IF(A1972="","",IFERROR(MID(A1972,FIND("/",A1972,FIND("//",A1972)+2),2000),A1972))</f>
        <v/>
      </c>
      <c r="P1972" s="22">
        <f>IF(OR(O1972="",N1972="",N1972="none",N1972="404"),"",IF(N1972="410","Redirect gone "&amp;O1972,"Redirect "&amp;N1972&amp;" "&amp;O1972&amp;" "&amp;M1972))</f>
        <v/>
      </c>
      <c r="Q1972" s="22" t="n"/>
      <c r="R1972" s="22" t="n"/>
      <c r="S1972" s="22" t="n"/>
      <c r="T1972" s="4">
        <f>IF(A1972="","",TRIM(IF(K1972="","Needs decision; ","")&amp;IF(AND(K1972="Accept suggestion",F1972=""),"No suggestion to accept; ","")&amp;IF(AND(K1972="Override",L1972=""),"Override URL missing; ","")&amp;IF(AND(K1972="Accept suggestion",N(G1972)&lt;$G$2),"Below your threshold; ","")&amp;IF(AND(M1972&lt;&gt;"",M1972=A1972,K1972&lt;&gt;"No change (same URL)"),"Redirects to itself; ","")&amp;IF(AND(M1972&lt;&gt;"",OR(M1972="/",AND(LEFT(M1972,4)="http",OR((LEN(M1972)-LEN(SUBSTITUTE(M1972,"/","")))=2,AND((LEN(M1972)-LEN(SUBSTITUTE(M1972,"/","")))=3,RIGHT(M1972,1)="/"))))),"Home page redirect; ","")&amp;IF(N(R1972)&gt;1,"Chain; ","")&amp;IF(S1972="No","Destination not 200; ","")))</f>
        <v/>
      </c>
      <c r="U1972" s="22" t="n"/>
      <c r="V1972" s="22" t="n"/>
      <c r="W1972" s="4" t="n"/>
    </row>
    <row r="1973">
      <c r="A1973" s="22" t="n"/>
      <c r="B1973" s="22" t="n"/>
      <c r="C1973" s="22" t="n"/>
      <c r="D1973" s="22">
        <f>IF(A1973="","",IF(OR(N(B1973)&gt;=$C$2,N(C1973)&gt;=$E$2),"High",IF(OR(N(B1973)&gt;0,N(C1973)&gt;0),"Medium","Low")))</f>
        <v/>
      </c>
      <c r="E1973" s="22" t="n"/>
      <c r="F1973" s="22" t="n"/>
      <c r="G1973" s="22" t="n"/>
      <c r="H1973" s="22" t="n"/>
      <c r="I1973" s="22" t="n"/>
      <c r="J1973" s="22" t="n"/>
      <c r="K1973" s="22" t="n"/>
      <c r="L1973" s="22" t="n"/>
      <c r="M1973" s="22">
        <f>IF(K1973="Override",L1973,IF(K1973="Accept suggestion",F1973,IF(K1973="No change (same URL)",A1973,"")))</f>
        <v/>
      </c>
      <c r="N1973" s="22">
        <f>IF(A1973="","",IF(K1973="410 Gone","410",IF(K1973="404","404",IF(K1973="No change (same URL)","none",IF(M1973="","","301")))))</f>
        <v/>
      </c>
      <c r="O1973" s="22">
        <f>IF(A1973="","",IFERROR(MID(A1973,FIND("/",A1973,FIND("//",A1973)+2),2000),A1973))</f>
        <v/>
      </c>
      <c r="P1973" s="22">
        <f>IF(OR(O1973="",N1973="",N1973="none",N1973="404"),"",IF(N1973="410","Redirect gone "&amp;O1973,"Redirect "&amp;N1973&amp;" "&amp;O1973&amp;" "&amp;M1973))</f>
        <v/>
      </c>
      <c r="Q1973" s="22" t="n"/>
      <c r="R1973" s="22" t="n"/>
      <c r="S1973" s="22" t="n"/>
      <c r="T1973" s="4">
        <f>IF(A1973="","",TRIM(IF(K1973="","Needs decision; ","")&amp;IF(AND(K1973="Accept suggestion",F1973=""),"No suggestion to accept; ","")&amp;IF(AND(K1973="Override",L1973=""),"Override URL missing; ","")&amp;IF(AND(K1973="Accept suggestion",N(G1973)&lt;$G$2),"Below your threshold; ","")&amp;IF(AND(M1973&lt;&gt;"",M1973=A1973,K1973&lt;&gt;"No change (same URL)"),"Redirects to itself; ","")&amp;IF(AND(M1973&lt;&gt;"",OR(M1973="/",AND(LEFT(M1973,4)="http",OR((LEN(M1973)-LEN(SUBSTITUTE(M1973,"/","")))=2,AND((LEN(M1973)-LEN(SUBSTITUTE(M1973,"/","")))=3,RIGHT(M1973,1)="/"))))),"Home page redirect; ","")&amp;IF(N(R1973)&gt;1,"Chain; ","")&amp;IF(S1973="No","Destination not 200; ","")))</f>
        <v/>
      </c>
      <c r="U1973" s="22" t="n"/>
      <c r="V1973" s="22" t="n"/>
      <c r="W1973" s="4" t="n"/>
    </row>
    <row r="1974">
      <c r="A1974" s="22" t="n"/>
      <c r="B1974" s="22" t="n"/>
      <c r="C1974" s="22" t="n"/>
      <c r="D1974" s="22">
        <f>IF(A1974="","",IF(OR(N(B1974)&gt;=$C$2,N(C1974)&gt;=$E$2),"High",IF(OR(N(B1974)&gt;0,N(C1974)&gt;0),"Medium","Low")))</f>
        <v/>
      </c>
      <c r="E1974" s="22" t="n"/>
      <c r="F1974" s="22" t="n"/>
      <c r="G1974" s="22" t="n"/>
      <c r="H1974" s="22" t="n"/>
      <c r="I1974" s="22" t="n"/>
      <c r="J1974" s="22" t="n"/>
      <c r="K1974" s="22" t="n"/>
      <c r="L1974" s="22" t="n"/>
      <c r="M1974" s="22">
        <f>IF(K1974="Override",L1974,IF(K1974="Accept suggestion",F1974,IF(K1974="No change (same URL)",A1974,"")))</f>
        <v/>
      </c>
      <c r="N1974" s="22">
        <f>IF(A1974="","",IF(K1974="410 Gone","410",IF(K1974="404","404",IF(K1974="No change (same URL)","none",IF(M1974="","","301")))))</f>
        <v/>
      </c>
      <c r="O1974" s="22">
        <f>IF(A1974="","",IFERROR(MID(A1974,FIND("/",A1974,FIND("//",A1974)+2),2000),A1974))</f>
        <v/>
      </c>
      <c r="P1974" s="22">
        <f>IF(OR(O1974="",N1974="",N1974="none",N1974="404"),"",IF(N1974="410","Redirect gone "&amp;O1974,"Redirect "&amp;N1974&amp;" "&amp;O1974&amp;" "&amp;M1974))</f>
        <v/>
      </c>
      <c r="Q1974" s="22" t="n"/>
      <c r="R1974" s="22" t="n"/>
      <c r="S1974" s="22" t="n"/>
      <c r="T1974" s="4">
        <f>IF(A1974="","",TRIM(IF(K1974="","Needs decision; ","")&amp;IF(AND(K1974="Accept suggestion",F1974=""),"No suggestion to accept; ","")&amp;IF(AND(K1974="Override",L1974=""),"Override URL missing; ","")&amp;IF(AND(K1974="Accept suggestion",N(G1974)&lt;$G$2),"Below your threshold; ","")&amp;IF(AND(M1974&lt;&gt;"",M1974=A1974,K1974&lt;&gt;"No change (same URL)"),"Redirects to itself; ","")&amp;IF(AND(M1974&lt;&gt;"",OR(M1974="/",AND(LEFT(M1974,4)="http",OR((LEN(M1974)-LEN(SUBSTITUTE(M1974,"/","")))=2,AND((LEN(M1974)-LEN(SUBSTITUTE(M1974,"/","")))=3,RIGHT(M1974,1)="/"))))),"Home page redirect; ","")&amp;IF(N(R1974)&gt;1,"Chain; ","")&amp;IF(S1974="No","Destination not 200; ","")))</f>
        <v/>
      </c>
      <c r="U1974" s="22" t="n"/>
      <c r="V1974" s="22" t="n"/>
      <c r="W1974" s="4" t="n"/>
    </row>
    <row r="1975">
      <c r="A1975" s="22" t="n"/>
      <c r="B1975" s="22" t="n"/>
      <c r="C1975" s="22" t="n"/>
      <c r="D1975" s="22">
        <f>IF(A1975="","",IF(OR(N(B1975)&gt;=$C$2,N(C1975)&gt;=$E$2),"High",IF(OR(N(B1975)&gt;0,N(C1975)&gt;0),"Medium","Low")))</f>
        <v/>
      </c>
      <c r="E1975" s="22" t="n"/>
      <c r="F1975" s="22" t="n"/>
      <c r="G1975" s="22" t="n"/>
      <c r="H1975" s="22" t="n"/>
      <c r="I1975" s="22" t="n"/>
      <c r="J1975" s="22" t="n"/>
      <c r="K1975" s="22" t="n"/>
      <c r="L1975" s="22" t="n"/>
      <c r="M1975" s="22">
        <f>IF(K1975="Override",L1975,IF(K1975="Accept suggestion",F1975,IF(K1975="No change (same URL)",A1975,"")))</f>
        <v/>
      </c>
      <c r="N1975" s="22">
        <f>IF(A1975="","",IF(K1975="410 Gone","410",IF(K1975="404","404",IF(K1975="No change (same URL)","none",IF(M1975="","","301")))))</f>
        <v/>
      </c>
      <c r="O1975" s="22">
        <f>IF(A1975="","",IFERROR(MID(A1975,FIND("/",A1975,FIND("//",A1975)+2),2000),A1975))</f>
        <v/>
      </c>
      <c r="P1975" s="22">
        <f>IF(OR(O1975="",N1975="",N1975="none",N1975="404"),"",IF(N1975="410","Redirect gone "&amp;O1975,"Redirect "&amp;N1975&amp;" "&amp;O1975&amp;" "&amp;M1975))</f>
        <v/>
      </c>
      <c r="Q1975" s="22" t="n"/>
      <c r="R1975" s="22" t="n"/>
      <c r="S1975" s="22" t="n"/>
      <c r="T1975" s="4">
        <f>IF(A1975="","",TRIM(IF(K1975="","Needs decision; ","")&amp;IF(AND(K1975="Accept suggestion",F1975=""),"No suggestion to accept; ","")&amp;IF(AND(K1975="Override",L1975=""),"Override URL missing; ","")&amp;IF(AND(K1975="Accept suggestion",N(G1975)&lt;$G$2),"Below your threshold; ","")&amp;IF(AND(M1975&lt;&gt;"",M1975=A1975,K1975&lt;&gt;"No change (same URL)"),"Redirects to itself; ","")&amp;IF(AND(M1975&lt;&gt;"",OR(M1975="/",AND(LEFT(M1975,4)="http",OR((LEN(M1975)-LEN(SUBSTITUTE(M1975,"/","")))=2,AND((LEN(M1975)-LEN(SUBSTITUTE(M1975,"/","")))=3,RIGHT(M1975,1)="/"))))),"Home page redirect; ","")&amp;IF(N(R1975)&gt;1,"Chain; ","")&amp;IF(S1975="No","Destination not 200; ","")))</f>
        <v/>
      </c>
      <c r="U1975" s="22" t="n"/>
      <c r="V1975" s="22" t="n"/>
      <c r="W1975" s="4" t="n"/>
    </row>
    <row r="1976">
      <c r="A1976" s="22" t="n"/>
      <c r="B1976" s="22" t="n"/>
      <c r="C1976" s="22" t="n"/>
      <c r="D1976" s="22">
        <f>IF(A1976="","",IF(OR(N(B1976)&gt;=$C$2,N(C1976)&gt;=$E$2),"High",IF(OR(N(B1976)&gt;0,N(C1976)&gt;0),"Medium","Low")))</f>
        <v/>
      </c>
      <c r="E1976" s="22" t="n"/>
      <c r="F1976" s="22" t="n"/>
      <c r="G1976" s="22" t="n"/>
      <c r="H1976" s="22" t="n"/>
      <c r="I1976" s="22" t="n"/>
      <c r="J1976" s="22" t="n"/>
      <c r="K1976" s="22" t="n"/>
      <c r="L1976" s="22" t="n"/>
      <c r="M1976" s="22">
        <f>IF(K1976="Override",L1976,IF(K1976="Accept suggestion",F1976,IF(K1976="No change (same URL)",A1976,"")))</f>
        <v/>
      </c>
      <c r="N1976" s="22">
        <f>IF(A1976="","",IF(K1976="410 Gone","410",IF(K1976="404","404",IF(K1976="No change (same URL)","none",IF(M1976="","","301")))))</f>
        <v/>
      </c>
      <c r="O1976" s="22">
        <f>IF(A1976="","",IFERROR(MID(A1976,FIND("/",A1976,FIND("//",A1976)+2),2000),A1976))</f>
        <v/>
      </c>
      <c r="P1976" s="22">
        <f>IF(OR(O1976="",N1976="",N1976="none",N1976="404"),"",IF(N1976="410","Redirect gone "&amp;O1976,"Redirect "&amp;N1976&amp;" "&amp;O1976&amp;" "&amp;M1976))</f>
        <v/>
      </c>
      <c r="Q1976" s="22" t="n"/>
      <c r="R1976" s="22" t="n"/>
      <c r="S1976" s="22" t="n"/>
      <c r="T1976" s="4">
        <f>IF(A1976="","",TRIM(IF(K1976="","Needs decision; ","")&amp;IF(AND(K1976="Accept suggestion",F1976=""),"No suggestion to accept; ","")&amp;IF(AND(K1976="Override",L1976=""),"Override URL missing; ","")&amp;IF(AND(K1976="Accept suggestion",N(G1976)&lt;$G$2),"Below your threshold; ","")&amp;IF(AND(M1976&lt;&gt;"",M1976=A1976,K1976&lt;&gt;"No change (same URL)"),"Redirects to itself; ","")&amp;IF(AND(M1976&lt;&gt;"",OR(M1976="/",AND(LEFT(M1976,4)="http",OR((LEN(M1976)-LEN(SUBSTITUTE(M1976,"/","")))=2,AND((LEN(M1976)-LEN(SUBSTITUTE(M1976,"/","")))=3,RIGHT(M1976,1)="/"))))),"Home page redirect; ","")&amp;IF(N(R1976)&gt;1,"Chain; ","")&amp;IF(S1976="No","Destination not 200; ","")))</f>
        <v/>
      </c>
      <c r="U1976" s="22" t="n"/>
      <c r="V1976" s="22" t="n"/>
      <c r="W1976" s="4" t="n"/>
    </row>
    <row r="1977">
      <c r="A1977" s="22" t="n"/>
      <c r="B1977" s="22" t="n"/>
      <c r="C1977" s="22" t="n"/>
      <c r="D1977" s="22">
        <f>IF(A1977="","",IF(OR(N(B1977)&gt;=$C$2,N(C1977)&gt;=$E$2),"High",IF(OR(N(B1977)&gt;0,N(C1977)&gt;0),"Medium","Low")))</f>
        <v/>
      </c>
      <c r="E1977" s="22" t="n"/>
      <c r="F1977" s="22" t="n"/>
      <c r="G1977" s="22" t="n"/>
      <c r="H1977" s="22" t="n"/>
      <c r="I1977" s="22" t="n"/>
      <c r="J1977" s="22" t="n"/>
      <c r="K1977" s="22" t="n"/>
      <c r="L1977" s="22" t="n"/>
      <c r="M1977" s="22">
        <f>IF(K1977="Override",L1977,IF(K1977="Accept suggestion",F1977,IF(K1977="No change (same URL)",A1977,"")))</f>
        <v/>
      </c>
      <c r="N1977" s="22">
        <f>IF(A1977="","",IF(K1977="410 Gone","410",IF(K1977="404","404",IF(K1977="No change (same URL)","none",IF(M1977="","","301")))))</f>
        <v/>
      </c>
      <c r="O1977" s="22">
        <f>IF(A1977="","",IFERROR(MID(A1977,FIND("/",A1977,FIND("//",A1977)+2),2000),A1977))</f>
        <v/>
      </c>
      <c r="P1977" s="22">
        <f>IF(OR(O1977="",N1977="",N1977="none",N1977="404"),"",IF(N1977="410","Redirect gone "&amp;O1977,"Redirect "&amp;N1977&amp;" "&amp;O1977&amp;" "&amp;M1977))</f>
        <v/>
      </c>
      <c r="Q1977" s="22" t="n"/>
      <c r="R1977" s="22" t="n"/>
      <c r="S1977" s="22" t="n"/>
      <c r="T1977" s="4">
        <f>IF(A1977="","",TRIM(IF(K1977="","Needs decision; ","")&amp;IF(AND(K1977="Accept suggestion",F1977=""),"No suggestion to accept; ","")&amp;IF(AND(K1977="Override",L1977=""),"Override URL missing; ","")&amp;IF(AND(K1977="Accept suggestion",N(G1977)&lt;$G$2),"Below your threshold; ","")&amp;IF(AND(M1977&lt;&gt;"",M1977=A1977,K1977&lt;&gt;"No change (same URL)"),"Redirects to itself; ","")&amp;IF(AND(M1977&lt;&gt;"",OR(M1977="/",AND(LEFT(M1977,4)="http",OR((LEN(M1977)-LEN(SUBSTITUTE(M1977,"/","")))=2,AND((LEN(M1977)-LEN(SUBSTITUTE(M1977,"/","")))=3,RIGHT(M1977,1)="/"))))),"Home page redirect; ","")&amp;IF(N(R1977)&gt;1,"Chain; ","")&amp;IF(S1977="No","Destination not 200; ","")))</f>
        <v/>
      </c>
      <c r="U1977" s="22" t="n"/>
      <c r="V1977" s="22" t="n"/>
      <c r="W1977" s="4" t="n"/>
    </row>
    <row r="1978">
      <c r="A1978" s="22" t="n"/>
      <c r="B1978" s="22" t="n"/>
      <c r="C1978" s="22" t="n"/>
      <c r="D1978" s="22">
        <f>IF(A1978="","",IF(OR(N(B1978)&gt;=$C$2,N(C1978)&gt;=$E$2),"High",IF(OR(N(B1978)&gt;0,N(C1978)&gt;0),"Medium","Low")))</f>
        <v/>
      </c>
      <c r="E1978" s="22" t="n"/>
      <c r="F1978" s="22" t="n"/>
      <c r="G1978" s="22" t="n"/>
      <c r="H1978" s="22" t="n"/>
      <c r="I1978" s="22" t="n"/>
      <c r="J1978" s="22" t="n"/>
      <c r="K1978" s="22" t="n"/>
      <c r="L1978" s="22" t="n"/>
      <c r="M1978" s="22">
        <f>IF(K1978="Override",L1978,IF(K1978="Accept suggestion",F1978,IF(K1978="No change (same URL)",A1978,"")))</f>
        <v/>
      </c>
      <c r="N1978" s="22">
        <f>IF(A1978="","",IF(K1978="410 Gone","410",IF(K1978="404","404",IF(K1978="No change (same URL)","none",IF(M1978="","","301")))))</f>
        <v/>
      </c>
      <c r="O1978" s="22">
        <f>IF(A1978="","",IFERROR(MID(A1978,FIND("/",A1978,FIND("//",A1978)+2),2000),A1978))</f>
        <v/>
      </c>
      <c r="P1978" s="22">
        <f>IF(OR(O1978="",N1978="",N1978="none",N1978="404"),"",IF(N1978="410","Redirect gone "&amp;O1978,"Redirect "&amp;N1978&amp;" "&amp;O1978&amp;" "&amp;M1978))</f>
        <v/>
      </c>
      <c r="Q1978" s="22" t="n"/>
      <c r="R1978" s="22" t="n"/>
      <c r="S1978" s="22" t="n"/>
      <c r="T1978" s="4">
        <f>IF(A1978="","",TRIM(IF(K1978="","Needs decision; ","")&amp;IF(AND(K1978="Accept suggestion",F1978=""),"No suggestion to accept; ","")&amp;IF(AND(K1978="Override",L1978=""),"Override URL missing; ","")&amp;IF(AND(K1978="Accept suggestion",N(G1978)&lt;$G$2),"Below your threshold; ","")&amp;IF(AND(M1978&lt;&gt;"",M1978=A1978,K1978&lt;&gt;"No change (same URL)"),"Redirects to itself; ","")&amp;IF(AND(M1978&lt;&gt;"",OR(M1978="/",AND(LEFT(M1978,4)="http",OR((LEN(M1978)-LEN(SUBSTITUTE(M1978,"/","")))=2,AND((LEN(M1978)-LEN(SUBSTITUTE(M1978,"/","")))=3,RIGHT(M1978,1)="/"))))),"Home page redirect; ","")&amp;IF(N(R1978)&gt;1,"Chain; ","")&amp;IF(S1978="No","Destination not 200; ","")))</f>
        <v/>
      </c>
      <c r="U1978" s="22" t="n"/>
      <c r="V1978" s="22" t="n"/>
      <c r="W1978" s="4" t="n"/>
    </row>
    <row r="1979">
      <c r="A1979" s="22" t="n"/>
      <c r="B1979" s="22" t="n"/>
      <c r="C1979" s="22" t="n"/>
      <c r="D1979" s="22">
        <f>IF(A1979="","",IF(OR(N(B1979)&gt;=$C$2,N(C1979)&gt;=$E$2),"High",IF(OR(N(B1979)&gt;0,N(C1979)&gt;0),"Medium","Low")))</f>
        <v/>
      </c>
      <c r="E1979" s="22" t="n"/>
      <c r="F1979" s="22" t="n"/>
      <c r="G1979" s="22" t="n"/>
      <c r="H1979" s="22" t="n"/>
      <c r="I1979" s="22" t="n"/>
      <c r="J1979" s="22" t="n"/>
      <c r="K1979" s="22" t="n"/>
      <c r="L1979" s="22" t="n"/>
      <c r="M1979" s="22">
        <f>IF(K1979="Override",L1979,IF(K1979="Accept suggestion",F1979,IF(K1979="No change (same URL)",A1979,"")))</f>
        <v/>
      </c>
      <c r="N1979" s="22">
        <f>IF(A1979="","",IF(K1979="410 Gone","410",IF(K1979="404","404",IF(K1979="No change (same URL)","none",IF(M1979="","","301")))))</f>
        <v/>
      </c>
      <c r="O1979" s="22">
        <f>IF(A1979="","",IFERROR(MID(A1979,FIND("/",A1979,FIND("//",A1979)+2),2000),A1979))</f>
        <v/>
      </c>
      <c r="P1979" s="22">
        <f>IF(OR(O1979="",N1979="",N1979="none",N1979="404"),"",IF(N1979="410","Redirect gone "&amp;O1979,"Redirect "&amp;N1979&amp;" "&amp;O1979&amp;" "&amp;M1979))</f>
        <v/>
      </c>
      <c r="Q1979" s="22" t="n"/>
      <c r="R1979" s="22" t="n"/>
      <c r="S1979" s="22" t="n"/>
      <c r="T1979" s="4">
        <f>IF(A1979="","",TRIM(IF(K1979="","Needs decision; ","")&amp;IF(AND(K1979="Accept suggestion",F1979=""),"No suggestion to accept; ","")&amp;IF(AND(K1979="Override",L1979=""),"Override URL missing; ","")&amp;IF(AND(K1979="Accept suggestion",N(G1979)&lt;$G$2),"Below your threshold; ","")&amp;IF(AND(M1979&lt;&gt;"",M1979=A1979,K1979&lt;&gt;"No change (same URL)"),"Redirects to itself; ","")&amp;IF(AND(M1979&lt;&gt;"",OR(M1979="/",AND(LEFT(M1979,4)="http",OR((LEN(M1979)-LEN(SUBSTITUTE(M1979,"/","")))=2,AND((LEN(M1979)-LEN(SUBSTITUTE(M1979,"/","")))=3,RIGHT(M1979,1)="/"))))),"Home page redirect; ","")&amp;IF(N(R1979)&gt;1,"Chain; ","")&amp;IF(S1979="No","Destination not 200; ","")))</f>
        <v/>
      </c>
      <c r="U1979" s="22" t="n"/>
      <c r="V1979" s="22" t="n"/>
      <c r="W1979" s="4" t="n"/>
    </row>
    <row r="1980">
      <c r="A1980" s="22" t="n"/>
      <c r="B1980" s="22" t="n"/>
      <c r="C1980" s="22" t="n"/>
      <c r="D1980" s="22">
        <f>IF(A1980="","",IF(OR(N(B1980)&gt;=$C$2,N(C1980)&gt;=$E$2),"High",IF(OR(N(B1980)&gt;0,N(C1980)&gt;0),"Medium","Low")))</f>
        <v/>
      </c>
      <c r="E1980" s="22" t="n"/>
      <c r="F1980" s="22" t="n"/>
      <c r="G1980" s="22" t="n"/>
      <c r="H1980" s="22" t="n"/>
      <c r="I1980" s="22" t="n"/>
      <c r="J1980" s="22" t="n"/>
      <c r="K1980" s="22" t="n"/>
      <c r="L1980" s="22" t="n"/>
      <c r="M1980" s="22">
        <f>IF(K1980="Override",L1980,IF(K1980="Accept suggestion",F1980,IF(K1980="No change (same URL)",A1980,"")))</f>
        <v/>
      </c>
      <c r="N1980" s="22">
        <f>IF(A1980="","",IF(K1980="410 Gone","410",IF(K1980="404","404",IF(K1980="No change (same URL)","none",IF(M1980="","","301")))))</f>
        <v/>
      </c>
      <c r="O1980" s="22">
        <f>IF(A1980="","",IFERROR(MID(A1980,FIND("/",A1980,FIND("//",A1980)+2),2000),A1980))</f>
        <v/>
      </c>
      <c r="P1980" s="22">
        <f>IF(OR(O1980="",N1980="",N1980="none",N1980="404"),"",IF(N1980="410","Redirect gone "&amp;O1980,"Redirect "&amp;N1980&amp;" "&amp;O1980&amp;" "&amp;M1980))</f>
        <v/>
      </c>
      <c r="Q1980" s="22" t="n"/>
      <c r="R1980" s="22" t="n"/>
      <c r="S1980" s="22" t="n"/>
      <c r="T1980" s="4">
        <f>IF(A1980="","",TRIM(IF(K1980="","Needs decision; ","")&amp;IF(AND(K1980="Accept suggestion",F1980=""),"No suggestion to accept; ","")&amp;IF(AND(K1980="Override",L1980=""),"Override URL missing; ","")&amp;IF(AND(K1980="Accept suggestion",N(G1980)&lt;$G$2),"Below your threshold; ","")&amp;IF(AND(M1980&lt;&gt;"",M1980=A1980,K1980&lt;&gt;"No change (same URL)"),"Redirects to itself; ","")&amp;IF(AND(M1980&lt;&gt;"",OR(M1980="/",AND(LEFT(M1980,4)="http",OR((LEN(M1980)-LEN(SUBSTITUTE(M1980,"/","")))=2,AND((LEN(M1980)-LEN(SUBSTITUTE(M1980,"/","")))=3,RIGHT(M1980,1)="/"))))),"Home page redirect; ","")&amp;IF(N(R1980)&gt;1,"Chain; ","")&amp;IF(S1980="No","Destination not 200; ","")))</f>
        <v/>
      </c>
      <c r="U1980" s="22" t="n"/>
      <c r="V1980" s="22" t="n"/>
      <c r="W1980" s="4" t="n"/>
    </row>
    <row r="1981">
      <c r="A1981" s="22" t="n"/>
      <c r="B1981" s="22" t="n"/>
      <c r="C1981" s="22" t="n"/>
      <c r="D1981" s="22">
        <f>IF(A1981="","",IF(OR(N(B1981)&gt;=$C$2,N(C1981)&gt;=$E$2),"High",IF(OR(N(B1981)&gt;0,N(C1981)&gt;0),"Medium","Low")))</f>
        <v/>
      </c>
      <c r="E1981" s="22" t="n"/>
      <c r="F1981" s="22" t="n"/>
      <c r="G1981" s="22" t="n"/>
      <c r="H1981" s="22" t="n"/>
      <c r="I1981" s="22" t="n"/>
      <c r="J1981" s="22" t="n"/>
      <c r="K1981" s="22" t="n"/>
      <c r="L1981" s="22" t="n"/>
      <c r="M1981" s="22">
        <f>IF(K1981="Override",L1981,IF(K1981="Accept suggestion",F1981,IF(K1981="No change (same URL)",A1981,"")))</f>
        <v/>
      </c>
      <c r="N1981" s="22">
        <f>IF(A1981="","",IF(K1981="410 Gone","410",IF(K1981="404","404",IF(K1981="No change (same URL)","none",IF(M1981="","","301")))))</f>
        <v/>
      </c>
      <c r="O1981" s="22">
        <f>IF(A1981="","",IFERROR(MID(A1981,FIND("/",A1981,FIND("//",A1981)+2),2000),A1981))</f>
        <v/>
      </c>
      <c r="P1981" s="22">
        <f>IF(OR(O1981="",N1981="",N1981="none",N1981="404"),"",IF(N1981="410","Redirect gone "&amp;O1981,"Redirect "&amp;N1981&amp;" "&amp;O1981&amp;" "&amp;M1981))</f>
        <v/>
      </c>
      <c r="Q1981" s="22" t="n"/>
      <c r="R1981" s="22" t="n"/>
      <c r="S1981" s="22" t="n"/>
      <c r="T1981" s="4">
        <f>IF(A1981="","",TRIM(IF(K1981="","Needs decision; ","")&amp;IF(AND(K1981="Accept suggestion",F1981=""),"No suggestion to accept; ","")&amp;IF(AND(K1981="Override",L1981=""),"Override URL missing; ","")&amp;IF(AND(K1981="Accept suggestion",N(G1981)&lt;$G$2),"Below your threshold; ","")&amp;IF(AND(M1981&lt;&gt;"",M1981=A1981,K1981&lt;&gt;"No change (same URL)"),"Redirects to itself; ","")&amp;IF(AND(M1981&lt;&gt;"",OR(M1981="/",AND(LEFT(M1981,4)="http",OR((LEN(M1981)-LEN(SUBSTITUTE(M1981,"/","")))=2,AND((LEN(M1981)-LEN(SUBSTITUTE(M1981,"/","")))=3,RIGHT(M1981,1)="/"))))),"Home page redirect; ","")&amp;IF(N(R1981)&gt;1,"Chain; ","")&amp;IF(S1981="No","Destination not 200; ","")))</f>
        <v/>
      </c>
      <c r="U1981" s="22" t="n"/>
      <c r="V1981" s="22" t="n"/>
      <c r="W1981" s="4" t="n"/>
    </row>
    <row r="1982">
      <c r="A1982" s="22" t="n"/>
      <c r="B1982" s="22" t="n"/>
      <c r="C1982" s="22" t="n"/>
      <c r="D1982" s="22">
        <f>IF(A1982="","",IF(OR(N(B1982)&gt;=$C$2,N(C1982)&gt;=$E$2),"High",IF(OR(N(B1982)&gt;0,N(C1982)&gt;0),"Medium","Low")))</f>
        <v/>
      </c>
      <c r="E1982" s="22" t="n"/>
      <c r="F1982" s="22" t="n"/>
      <c r="G1982" s="22" t="n"/>
      <c r="H1982" s="22" t="n"/>
      <c r="I1982" s="22" t="n"/>
      <c r="J1982" s="22" t="n"/>
      <c r="K1982" s="22" t="n"/>
      <c r="L1982" s="22" t="n"/>
      <c r="M1982" s="22">
        <f>IF(K1982="Override",L1982,IF(K1982="Accept suggestion",F1982,IF(K1982="No change (same URL)",A1982,"")))</f>
        <v/>
      </c>
      <c r="N1982" s="22">
        <f>IF(A1982="","",IF(K1982="410 Gone","410",IF(K1982="404","404",IF(K1982="No change (same URL)","none",IF(M1982="","","301")))))</f>
        <v/>
      </c>
      <c r="O1982" s="22">
        <f>IF(A1982="","",IFERROR(MID(A1982,FIND("/",A1982,FIND("//",A1982)+2),2000),A1982))</f>
        <v/>
      </c>
      <c r="P1982" s="22">
        <f>IF(OR(O1982="",N1982="",N1982="none",N1982="404"),"",IF(N1982="410","Redirect gone "&amp;O1982,"Redirect "&amp;N1982&amp;" "&amp;O1982&amp;" "&amp;M1982))</f>
        <v/>
      </c>
      <c r="Q1982" s="22" t="n"/>
      <c r="R1982" s="22" t="n"/>
      <c r="S1982" s="22" t="n"/>
      <c r="T1982" s="4">
        <f>IF(A1982="","",TRIM(IF(K1982="","Needs decision; ","")&amp;IF(AND(K1982="Accept suggestion",F1982=""),"No suggestion to accept; ","")&amp;IF(AND(K1982="Override",L1982=""),"Override URL missing; ","")&amp;IF(AND(K1982="Accept suggestion",N(G1982)&lt;$G$2),"Below your threshold; ","")&amp;IF(AND(M1982&lt;&gt;"",M1982=A1982,K1982&lt;&gt;"No change (same URL)"),"Redirects to itself; ","")&amp;IF(AND(M1982&lt;&gt;"",OR(M1982="/",AND(LEFT(M1982,4)="http",OR((LEN(M1982)-LEN(SUBSTITUTE(M1982,"/","")))=2,AND((LEN(M1982)-LEN(SUBSTITUTE(M1982,"/","")))=3,RIGHT(M1982,1)="/"))))),"Home page redirect; ","")&amp;IF(N(R1982)&gt;1,"Chain; ","")&amp;IF(S1982="No","Destination not 200; ","")))</f>
        <v/>
      </c>
      <c r="U1982" s="22" t="n"/>
      <c r="V1982" s="22" t="n"/>
      <c r="W1982" s="4" t="n"/>
    </row>
    <row r="1983">
      <c r="A1983" s="22" t="n"/>
      <c r="B1983" s="22" t="n"/>
      <c r="C1983" s="22" t="n"/>
      <c r="D1983" s="22">
        <f>IF(A1983="","",IF(OR(N(B1983)&gt;=$C$2,N(C1983)&gt;=$E$2),"High",IF(OR(N(B1983)&gt;0,N(C1983)&gt;0),"Medium","Low")))</f>
        <v/>
      </c>
      <c r="E1983" s="22" t="n"/>
      <c r="F1983" s="22" t="n"/>
      <c r="G1983" s="22" t="n"/>
      <c r="H1983" s="22" t="n"/>
      <c r="I1983" s="22" t="n"/>
      <c r="J1983" s="22" t="n"/>
      <c r="K1983" s="22" t="n"/>
      <c r="L1983" s="22" t="n"/>
      <c r="M1983" s="22">
        <f>IF(K1983="Override",L1983,IF(K1983="Accept suggestion",F1983,IF(K1983="No change (same URL)",A1983,"")))</f>
        <v/>
      </c>
      <c r="N1983" s="22">
        <f>IF(A1983="","",IF(K1983="410 Gone","410",IF(K1983="404","404",IF(K1983="No change (same URL)","none",IF(M1983="","","301")))))</f>
        <v/>
      </c>
      <c r="O1983" s="22">
        <f>IF(A1983="","",IFERROR(MID(A1983,FIND("/",A1983,FIND("//",A1983)+2),2000),A1983))</f>
        <v/>
      </c>
      <c r="P1983" s="22">
        <f>IF(OR(O1983="",N1983="",N1983="none",N1983="404"),"",IF(N1983="410","Redirect gone "&amp;O1983,"Redirect "&amp;N1983&amp;" "&amp;O1983&amp;" "&amp;M1983))</f>
        <v/>
      </c>
      <c r="Q1983" s="22" t="n"/>
      <c r="R1983" s="22" t="n"/>
      <c r="S1983" s="22" t="n"/>
      <c r="T1983" s="4">
        <f>IF(A1983="","",TRIM(IF(K1983="","Needs decision; ","")&amp;IF(AND(K1983="Accept suggestion",F1983=""),"No suggestion to accept; ","")&amp;IF(AND(K1983="Override",L1983=""),"Override URL missing; ","")&amp;IF(AND(K1983="Accept suggestion",N(G1983)&lt;$G$2),"Below your threshold; ","")&amp;IF(AND(M1983&lt;&gt;"",M1983=A1983,K1983&lt;&gt;"No change (same URL)"),"Redirects to itself; ","")&amp;IF(AND(M1983&lt;&gt;"",OR(M1983="/",AND(LEFT(M1983,4)="http",OR((LEN(M1983)-LEN(SUBSTITUTE(M1983,"/","")))=2,AND((LEN(M1983)-LEN(SUBSTITUTE(M1983,"/","")))=3,RIGHT(M1983,1)="/"))))),"Home page redirect; ","")&amp;IF(N(R1983)&gt;1,"Chain; ","")&amp;IF(S1983="No","Destination not 200; ","")))</f>
        <v/>
      </c>
      <c r="U1983" s="22" t="n"/>
      <c r="V1983" s="22" t="n"/>
      <c r="W1983" s="4" t="n"/>
    </row>
    <row r="1984">
      <c r="A1984" s="22" t="n"/>
      <c r="B1984" s="22" t="n"/>
      <c r="C1984" s="22" t="n"/>
      <c r="D1984" s="22">
        <f>IF(A1984="","",IF(OR(N(B1984)&gt;=$C$2,N(C1984)&gt;=$E$2),"High",IF(OR(N(B1984)&gt;0,N(C1984)&gt;0),"Medium","Low")))</f>
        <v/>
      </c>
      <c r="E1984" s="22" t="n"/>
      <c r="F1984" s="22" t="n"/>
      <c r="G1984" s="22" t="n"/>
      <c r="H1984" s="22" t="n"/>
      <c r="I1984" s="22" t="n"/>
      <c r="J1984" s="22" t="n"/>
      <c r="K1984" s="22" t="n"/>
      <c r="L1984" s="22" t="n"/>
      <c r="M1984" s="22">
        <f>IF(K1984="Override",L1984,IF(K1984="Accept suggestion",F1984,IF(K1984="No change (same URL)",A1984,"")))</f>
        <v/>
      </c>
      <c r="N1984" s="22">
        <f>IF(A1984="","",IF(K1984="410 Gone","410",IF(K1984="404","404",IF(K1984="No change (same URL)","none",IF(M1984="","","301")))))</f>
        <v/>
      </c>
      <c r="O1984" s="22">
        <f>IF(A1984="","",IFERROR(MID(A1984,FIND("/",A1984,FIND("//",A1984)+2),2000),A1984))</f>
        <v/>
      </c>
      <c r="P1984" s="22">
        <f>IF(OR(O1984="",N1984="",N1984="none",N1984="404"),"",IF(N1984="410","Redirect gone "&amp;O1984,"Redirect "&amp;N1984&amp;" "&amp;O1984&amp;" "&amp;M1984))</f>
        <v/>
      </c>
      <c r="Q1984" s="22" t="n"/>
      <c r="R1984" s="22" t="n"/>
      <c r="S1984" s="22" t="n"/>
      <c r="T1984" s="4">
        <f>IF(A1984="","",TRIM(IF(K1984="","Needs decision; ","")&amp;IF(AND(K1984="Accept suggestion",F1984=""),"No suggestion to accept; ","")&amp;IF(AND(K1984="Override",L1984=""),"Override URL missing; ","")&amp;IF(AND(K1984="Accept suggestion",N(G1984)&lt;$G$2),"Below your threshold; ","")&amp;IF(AND(M1984&lt;&gt;"",M1984=A1984,K1984&lt;&gt;"No change (same URL)"),"Redirects to itself; ","")&amp;IF(AND(M1984&lt;&gt;"",OR(M1984="/",AND(LEFT(M1984,4)="http",OR((LEN(M1984)-LEN(SUBSTITUTE(M1984,"/","")))=2,AND((LEN(M1984)-LEN(SUBSTITUTE(M1984,"/","")))=3,RIGHT(M1984,1)="/"))))),"Home page redirect; ","")&amp;IF(N(R1984)&gt;1,"Chain; ","")&amp;IF(S1984="No","Destination not 200; ","")))</f>
        <v/>
      </c>
      <c r="U1984" s="22" t="n"/>
      <c r="V1984" s="22" t="n"/>
      <c r="W1984" s="4" t="n"/>
    </row>
    <row r="1985">
      <c r="A1985" s="22" t="n"/>
      <c r="B1985" s="22" t="n"/>
      <c r="C1985" s="22" t="n"/>
      <c r="D1985" s="22">
        <f>IF(A1985="","",IF(OR(N(B1985)&gt;=$C$2,N(C1985)&gt;=$E$2),"High",IF(OR(N(B1985)&gt;0,N(C1985)&gt;0),"Medium","Low")))</f>
        <v/>
      </c>
      <c r="E1985" s="22" t="n"/>
      <c r="F1985" s="22" t="n"/>
      <c r="G1985" s="22" t="n"/>
      <c r="H1985" s="22" t="n"/>
      <c r="I1985" s="22" t="n"/>
      <c r="J1985" s="22" t="n"/>
      <c r="K1985" s="22" t="n"/>
      <c r="L1985" s="22" t="n"/>
      <c r="M1985" s="22">
        <f>IF(K1985="Override",L1985,IF(K1985="Accept suggestion",F1985,IF(K1985="No change (same URL)",A1985,"")))</f>
        <v/>
      </c>
      <c r="N1985" s="22">
        <f>IF(A1985="","",IF(K1985="410 Gone","410",IF(K1985="404","404",IF(K1985="No change (same URL)","none",IF(M1985="","","301")))))</f>
        <v/>
      </c>
      <c r="O1985" s="22">
        <f>IF(A1985="","",IFERROR(MID(A1985,FIND("/",A1985,FIND("//",A1985)+2),2000),A1985))</f>
        <v/>
      </c>
      <c r="P1985" s="22">
        <f>IF(OR(O1985="",N1985="",N1985="none",N1985="404"),"",IF(N1985="410","Redirect gone "&amp;O1985,"Redirect "&amp;N1985&amp;" "&amp;O1985&amp;" "&amp;M1985))</f>
        <v/>
      </c>
      <c r="Q1985" s="22" t="n"/>
      <c r="R1985" s="22" t="n"/>
      <c r="S1985" s="22" t="n"/>
      <c r="T1985" s="4">
        <f>IF(A1985="","",TRIM(IF(K1985="","Needs decision; ","")&amp;IF(AND(K1985="Accept suggestion",F1985=""),"No suggestion to accept; ","")&amp;IF(AND(K1985="Override",L1985=""),"Override URL missing; ","")&amp;IF(AND(K1985="Accept suggestion",N(G1985)&lt;$G$2),"Below your threshold; ","")&amp;IF(AND(M1985&lt;&gt;"",M1985=A1985,K1985&lt;&gt;"No change (same URL)"),"Redirects to itself; ","")&amp;IF(AND(M1985&lt;&gt;"",OR(M1985="/",AND(LEFT(M1985,4)="http",OR((LEN(M1985)-LEN(SUBSTITUTE(M1985,"/","")))=2,AND((LEN(M1985)-LEN(SUBSTITUTE(M1985,"/","")))=3,RIGHT(M1985,1)="/"))))),"Home page redirect; ","")&amp;IF(N(R1985)&gt;1,"Chain; ","")&amp;IF(S1985="No","Destination not 200; ","")))</f>
        <v/>
      </c>
      <c r="U1985" s="22" t="n"/>
      <c r="V1985" s="22" t="n"/>
      <c r="W1985" s="4" t="n"/>
    </row>
    <row r="1986">
      <c r="A1986" s="22" t="n"/>
      <c r="B1986" s="22" t="n"/>
      <c r="C1986" s="22" t="n"/>
      <c r="D1986" s="22">
        <f>IF(A1986="","",IF(OR(N(B1986)&gt;=$C$2,N(C1986)&gt;=$E$2),"High",IF(OR(N(B1986)&gt;0,N(C1986)&gt;0),"Medium","Low")))</f>
        <v/>
      </c>
      <c r="E1986" s="22" t="n"/>
      <c r="F1986" s="22" t="n"/>
      <c r="G1986" s="22" t="n"/>
      <c r="H1986" s="22" t="n"/>
      <c r="I1986" s="22" t="n"/>
      <c r="J1986" s="22" t="n"/>
      <c r="K1986" s="22" t="n"/>
      <c r="L1986" s="22" t="n"/>
      <c r="M1986" s="22">
        <f>IF(K1986="Override",L1986,IF(K1986="Accept suggestion",F1986,IF(K1986="No change (same URL)",A1986,"")))</f>
        <v/>
      </c>
      <c r="N1986" s="22">
        <f>IF(A1986="","",IF(K1986="410 Gone","410",IF(K1986="404","404",IF(K1986="No change (same URL)","none",IF(M1986="","","301")))))</f>
        <v/>
      </c>
      <c r="O1986" s="22">
        <f>IF(A1986="","",IFERROR(MID(A1986,FIND("/",A1986,FIND("//",A1986)+2),2000),A1986))</f>
        <v/>
      </c>
      <c r="P1986" s="22">
        <f>IF(OR(O1986="",N1986="",N1986="none",N1986="404"),"",IF(N1986="410","Redirect gone "&amp;O1986,"Redirect "&amp;N1986&amp;" "&amp;O1986&amp;" "&amp;M1986))</f>
        <v/>
      </c>
      <c r="Q1986" s="22" t="n"/>
      <c r="R1986" s="22" t="n"/>
      <c r="S1986" s="22" t="n"/>
      <c r="T1986" s="4">
        <f>IF(A1986="","",TRIM(IF(K1986="","Needs decision; ","")&amp;IF(AND(K1986="Accept suggestion",F1986=""),"No suggestion to accept; ","")&amp;IF(AND(K1986="Override",L1986=""),"Override URL missing; ","")&amp;IF(AND(K1986="Accept suggestion",N(G1986)&lt;$G$2),"Below your threshold; ","")&amp;IF(AND(M1986&lt;&gt;"",M1986=A1986,K1986&lt;&gt;"No change (same URL)"),"Redirects to itself; ","")&amp;IF(AND(M1986&lt;&gt;"",OR(M1986="/",AND(LEFT(M1986,4)="http",OR((LEN(M1986)-LEN(SUBSTITUTE(M1986,"/","")))=2,AND((LEN(M1986)-LEN(SUBSTITUTE(M1986,"/","")))=3,RIGHT(M1986,1)="/"))))),"Home page redirect; ","")&amp;IF(N(R1986)&gt;1,"Chain; ","")&amp;IF(S1986="No","Destination not 200; ","")))</f>
        <v/>
      </c>
      <c r="U1986" s="22" t="n"/>
      <c r="V1986" s="22" t="n"/>
      <c r="W1986" s="4" t="n"/>
    </row>
    <row r="1987">
      <c r="A1987" s="22" t="n"/>
      <c r="B1987" s="22" t="n"/>
      <c r="C1987" s="22" t="n"/>
      <c r="D1987" s="22">
        <f>IF(A1987="","",IF(OR(N(B1987)&gt;=$C$2,N(C1987)&gt;=$E$2),"High",IF(OR(N(B1987)&gt;0,N(C1987)&gt;0),"Medium","Low")))</f>
        <v/>
      </c>
      <c r="E1987" s="22" t="n"/>
      <c r="F1987" s="22" t="n"/>
      <c r="G1987" s="22" t="n"/>
      <c r="H1987" s="22" t="n"/>
      <c r="I1987" s="22" t="n"/>
      <c r="J1987" s="22" t="n"/>
      <c r="K1987" s="22" t="n"/>
      <c r="L1987" s="22" t="n"/>
      <c r="M1987" s="22">
        <f>IF(K1987="Override",L1987,IF(K1987="Accept suggestion",F1987,IF(K1987="No change (same URL)",A1987,"")))</f>
        <v/>
      </c>
      <c r="N1987" s="22">
        <f>IF(A1987="","",IF(K1987="410 Gone","410",IF(K1987="404","404",IF(K1987="No change (same URL)","none",IF(M1987="","","301")))))</f>
        <v/>
      </c>
      <c r="O1987" s="22">
        <f>IF(A1987="","",IFERROR(MID(A1987,FIND("/",A1987,FIND("//",A1987)+2),2000),A1987))</f>
        <v/>
      </c>
      <c r="P1987" s="22">
        <f>IF(OR(O1987="",N1987="",N1987="none",N1987="404"),"",IF(N1987="410","Redirect gone "&amp;O1987,"Redirect "&amp;N1987&amp;" "&amp;O1987&amp;" "&amp;M1987))</f>
        <v/>
      </c>
      <c r="Q1987" s="22" t="n"/>
      <c r="R1987" s="22" t="n"/>
      <c r="S1987" s="22" t="n"/>
      <c r="T1987" s="4">
        <f>IF(A1987="","",TRIM(IF(K1987="","Needs decision; ","")&amp;IF(AND(K1987="Accept suggestion",F1987=""),"No suggestion to accept; ","")&amp;IF(AND(K1987="Override",L1987=""),"Override URL missing; ","")&amp;IF(AND(K1987="Accept suggestion",N(G1987)&lt;$G$2),"Below your threshold; ","")&amp;IF(AND(M1987&lt;&gt;"",M1987=A1987,K1987&lt;&gt;"No change (same URL)"),"Redirects to itself; ","")&amp;IF(AND(M1987&lt;&gt;"",OR(M1987="/",AND(LEFT(M1987,4)="http",OR((LEN(M1987)-LEN(SUBSTITUTE(M1987,"/","")))=2,AND((LEN(M1987)-LEN(SUBSTITUTE(M1987,"/","")))=3,RIGHT(M1987,1)="/"))))),"Home page redirect; ","")&amp;IF(N(R1987)&gt;1,"Chain; ","")&amp;IF(S1987="No","Destination not 200; ","")))</f>
        <v/>
      </c>
      <c r="U1987" s="22" t="n"/>
      <c r="V1987" s="22" t="n"/>
      <c r="W1987" s="4" t="n"/>
    </row>
    <row r="1988">
      <c r="A1988" s="22" t="n"/>
      <c r="B1988" s="22" t="n"/>
      <c r="C1988" s="22" t="n"/>
      <c r="D1988" s="22">
        <f>IF(A1988="","",IF(OR(N(B1988)&gt;=$C$2,N(C1988)&gt;=$E$2),"High",IF(OR(N(B1988)&gt;0,N(C1988)&gt;0),"Medium","Low")))</f>
        <v/>
      </c>
      <c r="E1988" s="22" t="n"/>
      <c r="F1988" s="22" t="n"/>
      <c r="G1988" s="22" t="n"/>
      <c r="H1988" s="22" t="n"/>
      <c r="I1988" s="22" t="n"/>
      <c r="J1988" s="22" t="n"/>
      <c r="K1988" s="22" t="n"/>
      <c r="L1988" s="22" t="n"/>
      <c r="M1988" s="22">
        <f>IF(K1988="Override",L1988,IF(K1988="Accept suggestion",F1988,IF(K1988="No change (same URL)",A1988,"")))</f>
        <v/>
      </c>
      <c r="N1988" s="22">
        <f>IF(A1988="","",IF(K1988="410 Gone","410",IF(K1988="404","404",IF(K1988="No change (same URL)","none",IF(M1988="","","301")))))</f>
        <v/>
      </c>
      <c r="O1988" s="22">
        <f>IF(A1988="","",IFERROR(MID(A1988,FIND("/",A1988,FIND("//",A1988)+2),2000),A1988))</f>
        <v/>
      </c>
      <c r="P1988" s="22">
        <f>IF(OR(O1988="",N1988="",N1988="none",N1988="404"),"",IF(N1988="410","Redirect gone "&amp;O1988,"Redirect "&amp;N1988&amp;" "&amp;O1988&amp;" "&amp;M1988))</f>
        <v/>
      </c>
      <c r="Q1988" s="22" t="n"/>
      <c r="R1988" s="22" t="n"/>
      <c r="S1988" s="22" t="n"/>
      <c r="T1988" s="4">
        <f>IF(A1988="","",TRIM(IF(K1988="","Needs decision; ","")&amp;IF(AND(K1988="Accept suggestion",F1988=""),"No suggestion to accept; ","")&amp;IF(AND(K1988="Override",L1988=""),"Override URL missing; ","")&amp;IF(AND(K1988="Accept suggestion",N(G1988)&lt;$G$2),"Below your threshold; ","")&amp;IF(AND(M1988&lt;&gt;"",M1988=A1988,K1988&lt;&gt;"No change (same URL)"),"Redirects to itself; ","")&amp;IF(AND(M1988&lt;&gt;"",OR(M1988="/",AND(LEFT(M1988,4)="http",OR((LEN(M1988)-LEN(SUBSTITUTE(M1988,"/","")))=2,AND((LEN(M1988)-LEN(SUBSTITUTE(M1988,"/","")))=3,RIGHT(M1988,1)="/"))))),"Home page redirect; ","")&amp;IF(N(R1988)&gt;1,"Chain; ","")&amp;IF(S1988="No","Destination not 200; ","")))</f>
        <v/>
      </c>
      <c r="U1988" s="22" t="n"/>
      <c r="V1988" s="22" t="n"/>
      <c r="W1988" s="4" t="n"/>
    </row>
    <row r="1989">
      <c r="A1989" s="22" t="n"/>
      <c r="B1989" s="22" t="n"/>
      <c r="C1989" s="22" t="n"/>
      <c r="D1989" s="22">
        <f>IF(A1989="","",IF(OR(N(B1989)&gt;=$C$2,N(C1989)&gt;=$E$2),"High",IF(OR(N(B1989)&gt;0,N(C1989)&gt;0),"Medium","Low")))</f>
        <v/>
      </c>
      <c r="E1989" s="22" t="n"/>
      <c r="F1989" s="22" t="n"/>
      <c r="G1989" s="22" t="n"/>
      <c r="H1989" s="22" t="n"/>
      <c r="I1989" s="22" t="n"/>
      <c r="J1989" s="22" t="n"/>
      <c r="K1989" s="22" t="n"/>
      <c r="L1989" s="22" t="n"/>
      <c r="M1989" s="22">
        <f>IF(K1989="Override",L1989,IF(K1989="Accept suggestion",F1989,IF(K1989="No change (same URL)",A1989,"")))</f>
        <v/>
      </c>
      <c r="N1989" s="22">
        <f>IF(A1989="","",IF(K1989="410 Gone","410",IF(K1989="404","404",IF(K1989="No change (same URL)","none",IF(M1989="","","301")))))</f>
        <v/>
      </c>
      <c r="O1989" s="22">
        <f>IF(A1989="","",IFERROR(MID(A1989,FIND("/",A1989,FIND("//",A1989)+2),2000),A1989))</f>
        <v/>
      </c>
      <c r="P1989" s="22">
        <f>IF(OR(O1989="",N1989="",N1989="none",N1989="404"),"",IF(N1989="410","Redirect gone "&amp;O1989,"Redirect "&amp;N1989&amp;" "&amp;O1989&amp;" "&amp;M1989))</f>
        <v/>
      </c>
      <c r="Q1989" s="22" t="n"/>
      <c r="R1989" s="22" t="n"/>
      <c r="S1989" s="22" t="n"/>
      <c r="T1989" s="4">
        <f>IF(A1989="","",TRIM(IF(K1989="","Needs decision; ","")&amp;IF(AND(K1989="Accept suggestion",F1989=""),"No suggestion to accept; ","")&amp;IF(AND(K1989="Override",L1989=""),"Override URL missing; ","")&amp;IF(AND(K1989="Accept suggestion",N(G1989)&lt;$G$2),"Below your threshold; ","")&amp;IF(AND(M1989&lt;&gt;"",M1989=A1989,K1989&lt;&gt;"No change (same URL)"),"Redirects to itself; ","")&amp;IF(AND(M1989&lt;&gt;"",OR(M1989="/",AND(LEFT(M1989,4)="http",OR((LEN(M1989)-LEN(SUBSTITUTE(M1989,"/","")))=2,AND((LEN(M1989)-LEN(SUBSTITUTE(M1989,"/","")))=3,RIGHT(M1989,1)="/"))))),"Home page redirect; ","")&amp;IF(N(R1989)&gt;1,"Chain; ","")&amp;IF(S1989="No","Destination not 200; ","")))</f>
        <v/>
      </c>
      <c r="U1989" s="22" t="n"/>
      <c r="V1989" s="22" t="n"/>
      <c r="W1989" s="4" t="n"/>
    </row>
    <row r="1990">
      <c r="A1990" s="22" t="n"/>
      <c r="B1990" s="22" t="n"/>
      <c r="C1990" s="22" t="n"/>
      <c r="D1990" s="22">
        <f>IF(A1990="","",IF(OR(N(B1990)&gt;=$C$2,N(C1990)&gt;=$E$2),"High",IF(OR(N(B1990)&gt;0,N(C1990)&gt;0),"Medium","Low")))</f>
        <v/>
      </c>
      <c r="E1990" s="22" t="n"/>
      <c r="F1990" s="22" t="n"/>
      <c r="G1990" s="22" t="n"/>
      <c r="H1990" s="22" t="n"/>
      <c r="I1990" s="22" t="n"/>
      <c r="J1990" s="22" t="n"/>
      <c r="K1990" s="22" t="n"/>
      <c r="L1990" s="22" t="n"/>
      <c r="M1990" s="22">
        <f>IF(K1990="Override",L1990,IF(K1990="Accept suggestion",F1990,IF(K1990="No change (same URL)",A1990,"")))</f>
        <v/>
      </c>
      <c r="N1990" s="22">
        <f>IF(A1990="","",IF(K1990="410 Gone","410",IF(K1990="404","404",IF(K1990="No change (same URL)","none",IF(M1990="","","301")))))</f>
        <v/>
      </c>
      <c r="O1990" s="22">
        <f>IF(A1990="","",IFERROR(MID(A1990,FIND("/",A1990,FIND("//",A1990)+2),2000),A1990))</f>
        <v/>
      </c>
      <c r="P1990" s="22">
        <f>IF(OR(O1990="",N1990="",N1990="none",N1990="404"),"",IF(N1990="410","Redirect gone "&amp;O1990,"Redirect "&amp;N1990&amp;" "&amp;O1990&amp;" "&amp;M1990))</f>
        <v/>
      </c>
      <c r="Q1990" s="22" t="n"/>
      <c r="R1990" s="22" t="n"/>
      <c r="S1990" s="22" t="n"/>
      <c r="T1990" s="4">
        <f>IF(A1990="","",TRIM(IF(K1990="","Needs decision; ","")&amp;IF(AND(K1990="Accept suggestion",F1990=""),"No suggestion to accept; ","")&amp;IF(AND(K1990="Override",L1990=""),"Override URL missing; ","")&amp;IF(AND(K1990="Accept suggestion",N(G1990)&lt;$G$2),"Below your threshold; ","")&amp;IF(AND(M1990&lt;&gt;"",M1990=A1990,K1990&lt;&gt;"No change (same URL)"),"Redirects to itself; ","")&amp;IF(AND(M1990&lt;&gt;"",OR(M1990="/",AND(LEFT(M1990,4)="http",OR((LEN(M1990)-LEN(SUBSTITUTE(M1990,"/","")))=2,AND((LEN(M1990)-LEN(SUBSTITUTE(M1990,"/","")))=3,RIGHT(M1990,1)="/"))))),"Home page redirect; ","")&amp;IF(N(R1990)&gt;1,"Chain; ","")&amp;IF(S1990="No","Destination not 200; ","")))</f>
        <v/>
      </c>
      <c r="U1990" s="22" t="n"/>
      <c r="V1990" s="22" t="n"/>
      <c r="W1990" s="4" t="n"/>
    </row>
    <row r="1991">
      <c r="A1991" s="22" t="n"/>
      <c r="B1991" s="22" t="n"/>
      <c r="C1991" s="22" t="n"/>
      <c r="D1991" s="22">
        <f>IF(A1991="","",IF(OR(N(B1991)&gt;=$C$2,N(C1991)&gt;=$E$2),"High",IF(OR(N(B1991)&gt;0,N(C1991)&gt;0),"Medium","Low")))</f>
        <v/>
      </c>
      <c r="E1991" s="22" t="n"/>
      <c r="F1991" s="22" t="n"/>
      <c r="G1991" s="22" t="n"/>
      <c r="H1991" s="22" t="n"/>
      <c r="I1991" s="22" t="n"/>
      <c r="J1991" s="22" t="n"/>
      <c r="K1991" s="22" t="n"/>
      <c r="L1991" s="22" t="n"/>
      <c r="M1991" s="22">
        <f>IF(K1991="Override",L1991,IF(K1991="Accept suggestion",F1991,IF(K1991="No change (same URL)",A1991,"")))</f>
        <v/>
      </c>
      <c r="N1991" s="22">
        <f>IF(A1991="","",IF(K1991="410 Gone","410",IF(K1991="404","404",IF(K1991="No change (same URL)","none",IF(M1991="","","301")))))</f>
        <v/>
      </c>
      <c r="O1991" s="22">
        <f>IF(A1991="","",IFERROR(MID(A1991,FIND("/",A1991,FIND("//",A1991)+2),2000),A1991))</f>
        <v/>
      </c>
      <c r="P1991" s="22">
        <f>IF(OR(O1991="",N1991="",N1991="none",N1991="404"),"",IF(N1991="410","Redirect gone "&amp;O1991,"Redirect "&amp;N1991&amp;" "&amp;O1991&amp;" "&amp;M1991))</f>
        <v/>
      </c>
      <c r="Q1991" s="22" t="n"/>
      <c r="R1991" s="22" t="n"/>
      <c r="S1991" s="22" t="n"/>
      <c r="T1991" s="4">
        <f>IF(A1991="","",TRIM(IF(K1991="","Needs decision; ","")&amp;IF(AND(K1991="Accept suggestion",F1991=""),"No suggestion to accept; ","")&amp;IF(AND(K1991="Override",L1991=""),"Override URL missing; ","")&amp;IF(AND(K1991="Accept suggestion",N(G1991)&lt;$G$2),"Below your threshold; ","")&amp;IF(AND(M1991&lt;&gt;"",M1991=A1991,K1991&lt;&gt;"No change (same URL)"),"Redirects to itself; ","")&amp;IF(AND(M1991&lt;&gt;"",OR(M1991="/",AND(LEFT(M1991,4)="http",OR((LEN(M1991)-LEN(SUBSTITUTE(M1991,"/","")))=2,AND((LEN(M1991)-LEN(SUBSTITUTE(M1991,"/","")))=3,RIGHT(M1991,1)="/"))))),"Home page redirect; ","")&amp;IF(N(R1991)&gt;1,"Chain; ","")&amp;IF(S1991="No","Destination not 200; ","")))</f>
        <v/>
      </c>
      <c r="U1991" s="22" t="n"/>
      <c r="V1991" s="22" t="n"/>
      <c r="W1991" s="4" t="n"/>
    </row>
    <row r="1992">
      <c r="A1992" s="22" t="n"/>
      <c r="B1992" s="22" t="n"/>
      <c r="C1992" s="22" t="n"/>
      <c r="D1992" s="22">
        <f>IF(A1992="","",IF(OR(N(B1992)&gt;=$C$2,N(C1992)&gt;=$E$2),"High",IF(OR(N(B1992)&gt;0,N(C1992)&gt;0),"Medium","Low")))</f>
        <v/>
      </c>
      <c r="E1992" s="22" t="n"/>
      <c r="F1992" s="22" t="n"/>
      <c r="G1992" s="22" t="n"/>
      <c r="H1992" s="22" t="n"/>
      <c r="I1992" s="22" t="n"/>
      <c r="J1992" s="22" t="n"/>
      <c r="K1992" s="22" t="n"/>
      <c r="L1992" s="22" t="n"/>
      <c r="M1992" s="22">
        <f>IF(K1992="Override",L1992,IF(K1992="Accept suggestion",F1992,IF(K1992="No change (same URL)",A1992,"")))</f>
        <v/>
      </c>
      <c r="N1992" s="22">
        <f>IF(A1992="","",IF(K1992="410 Gone","410",IF(K1992="404","404",IF(K1992="No change (same URL)","none",IF(M1992="","","301")))))</f>
        <v/>
      </c>
      <c r="O1992" s="22">
        <f>IF(A1992="","",IFERROR(MID(A1992,FIND("/",A1992,FIND("//",A1992)+2),2000),A1992))</f>
        <v/>
      </c>
      <c r="P1992" s="22">
        <f>IF(OR(O1992="",N1992="",N1992="none",N1992="404"),"",IF(N1992="410","Redirect gone "&amp;O1992,"Redirect "&amp;N1992&amp;" "&amp;O1992&amp;" "&amp;M1992))</f>
        <v/>
      </c>
      <c r="Q1992" s="22" t="n"/>
      <c r="R1992" s="22" t="n"/>
      <c r="S1992" s="22" t="n"/>
      <c r="T1992" s="4">
        <f>IF(A1992="","",TRIM(IF(K1992="","Needs decision; ","")&amp;IF(AND(K1992="Accept suggestion",F1992=""),"No suggestion to accept; ","")&amp;IF(AND(K1992="Override",L1992=""),"Override URL missing; ","")&amp;IF(AND(K1992="Accept suggestion",N(G1992)&lt;$G$2),"Below your threshold; ","")&amp;IF(AND(M1992&lt;&gt;"",M1992=A1992,K1992&lt;&gt;"No change (same URL)"),"Redirects to itself; ","")&amp;IF(AND(M1992&lt;&gt;"",OR(M1992="/",AND(LEFT(M1992,4)="http",OR((LEN(M1992)-LEN(SUBSTITUTE(M1992,"/","")))=2,AND((LEN(M1992)-LEN(SUBSTITUTE(M1992,"/","")))=3,RIGHT(M1992,1)="/"))))),"Home page redirect; ","")&amp;IF(N(R1992)&gt;1,"Chain; ","")&amp;IF(S1992="No","Destination not 200; ","")))</f>
        <v/>
      </c>
      <c r="U1992" s="22" t="n"/>
      <c r="V1992" s="22" t="n"/>
      <c r="W1992" s="4" t="n"/>
    </row>
    <row r="1993">
      <c r="A1993" s="22" t="n"/>
      <c r="B1993" s="22" t="n"/>
      <c r="C1993" s="22" t="n"/>
      <c r="D1993" s="22">
        <f>IF(A1993="","",IF(OR(N(B1993)&gt;=$C$2,N(C1993)&gt;=$E$2),"High",IF(OR(N(B1993)&gt;0,N(C1993)&gt;0),"Medium","Low")))</f>
        <v/>
      </c>
      <c r="E1993" s="22" t="n"/>
      <c r="F1993" s="22" t="n"/>
      <c r="G1993" s="22" t="n"/>
      <c r="H1993" s="22" t="n"/>
      <c r="I1993" s="22" t="n"/>
      <c r="J1993" s="22" t="n"/>
      <c r="K1993" s="22" t="n"/>
      <c r="L1993" s="22" t="n"/>
      <c r="M1993" s="22">
        <f>IF(K1993="Override",L1993,IF(K1993="Accept suggestion",F1993,IF(K1993="No change (same URL)",A1993,"")))</f>
        <v/>
      </c>
      <c r="N1993" s="22">
        <f>IF(A1993="","",IF(K1993="410 Gone","410",IF(K1993="404","404",IF(K1993="No change (same URL)","none",IF(M1993="","","301")))))</f>
        <v/>
      </c>
      <c r="O1993" s="22">
        <f>IF(A1993="","",IFERROR(MID(A1993,FIND("/",A1993,FIND("//",A1993)+2),2000),A1993))</f>
        <v/>
      </c>
      <c r="P1993" s="22">
        <f>IF(OR(O1993="",N1993="",N1993="none",N1993="404"),"",IF(N1993="410","Redirect gone "&amp;O1993,"Redirect "&amp;N1993&amp;" "&amp;O1993&amp;" "&amp;M1993))</f>
        <v/>
      </c>
      <c r="Q1993" s="22" t="n"/>
      <c r="R1993" s="22" t="n"/>
      <c r="S1993" s="22" t="n"/>
      <c r="T1993" s="4">
        <f>IF(A1993="","",TRIM(IF(K1993="","Needs decision; ","")&amp;IF(AND(K1993="Accept suggestion",F1993=""),"No suggestion to accept; ","")&amp;IF(AND(K1993="Override",L1993=""),"Override URL missing; ","")&amp;IF(AND(K1993="Accept suggestion",N(G1993)&lt;$G$2),"Below your threshold; ","")&amp;IF(AND(M1993&lt;&gt;"",M1993=A1993,K1993&lt;&gt;"No change (same URL)"),"Redirects to itself; ","")&amp;IF(AND(M1993&lt;&gt;"",OR(M1993="/",AND(LEFT(M1993,4)="http",OR((LEN(M1993)-LEN(SUBSTITUTE(M1993,"/","")))=2,AND((LEN(M1993)-LEN(SUBSTITUTE(M1993,"/","")))=3,RIGHT(M1993,1)="/"))))),"Home page redirect; ","")&amp;IF(N(R1993)&gt;1,"Chain; ","")&amp;IF(S1993="No","Destination not 200; ","")))</f>
        <v/>
      </c>
      <c r="U1993" s="22" t="n"/>
      <c r="V1993" s="22" t="n"/>
      <c r="W1993" s="4" t="n"/>
    </row>
    <row r="1994">
      <c r="A1994" s="22" t="n"/>
      <c r="B1994" s="22" t="n"/>
      <c r="C1994" s="22" t="n"/>
      <c r="D1994" s="22">
        <f>IF(A1994="","",IF(OR(N(B1994)&gt;=$C$2,N(C1994)&gt;=$E$2),"High",IF(OR(N(B1994)&gt;0,N(C1994)&gt;0),"Medium","Low")))</f>
        <v/>
      </c>
      <c r="E1994" s="22" t="n"/>
      <c r="F1994" s="22" t="n"/>
      <c r="G1994" s="22" t="n"/>
      <c r="H1994" s="22" t="n"/>
      <c r="I1994" s="22" t="n"/>
      <c r="J1994" s="22" t="n"/>
      <c r="K1994" s="22" t="n"/>
      <c r="L1994" s="22" t="n"/>
      <c r="M1994" s="22">
        <f>IF(K1994="Override",L1994,IF(K1994="Accept suggestion",F1994,IF(K1994="No change (same URL)",A1994,"")))</f>
        <v/>
      </c>
      <c r="N1994" s="22">
        <f>IF(A1994="","",IF(K1994="410 Gone","410",IF(K1994="404","404",IF(K1994="No change (same URL)","none",IF(M1994="","","301")))))</f>
        <v/>
      </c>
      <c r="O1994" s="22">
        <f>IF(A1994="","",IFERROR(MID(A1994,FIND("/",A1994,FIND("//",A1994)+2),2000),A1994))</f>
        <v/>
      </c>
      <c r="P1994" s="22">
        <f>IF(OR(O1994="",N1994="",N1994="none",N1994="404"),"",IF(N1994="410","Redirect gone "&amp;O1994,"Redirect "&amp;N1994&amp;" "&amp;O1994&amp;" "&amp;M1994))</f>
        <v/>
      </c>
      <c r="Q1994" s="22" t="n"/>
      <c r="R1994" s="22" t="n"/>
      <c r="S1994" s="22" t="n"/>
      <c r="T1994" s="4">
        <f>IF(A1994="","",TRIM(IF(K1994="","Needs decision; ","")&amp;IF(AND(K1994="Accept suggestion",F1994=""),"No suggestion to accept; ","")&amp;IF(AND(K1994="Override",L1994=""),"Override URL missing; ","")&amp;IF(AND(K1994="Accept suggestion",N(G1994)&lt;$G$2),"Below your threshold; ","")&amp;IF(AND(M1994&lt;&gt;"",M1994=A1994,K1994&lt;&gt;"No change (same URL)"),"Redirects to itself; ","")&amp;IF(AND(M1994&lt;&gt;"",OR(M1994="/",AND(LEFT(M1994,4)="http",OR((LEN(M1994)-LEN(SUBSTITUTE(M1994,"/","")))=2,AND((LEN(M1994)-LEN(SUBSTITUTE(M1994,"/","")))=3,RIGHT(M1994,1)="/"))))),"Home page redirect; ","")&amp;IF(N(R1994)&gt;1,"Chain; ","")&amp;IF(S1994="No","Destination not 200; ","")))</f>
        <v/>
      </c>
      <c r="U1994" s="22" t="n"/>
      <c r="V1994" s="22" t="n"/>
      <c r="W1994" s="4" t="n"/>
    </row>
    <row r="1995">
      <c r="A1995" s="22" t="n"/>
      <c r="B1995" s="22" t="n"/>
      <c r="C1995" s="22" t="n"/>
      <c r="D1995" s="22">
        <f>IF(A1995="","",IF(OR(N(B1995)&gt;=$C$2,N(C1995)&gt;=$E$2),"High",IF(OR(N(B1995)&gt;0,N(C1995)&gt;0),"Medium","Low")))</f>
        <v/>
      </c>
      <c r="E1995" s="22" t="n"/>
      <c r="F1995" s="22" t="n"/>
      <c r="G1995" s="22" t="n"/>
      <c r="H1995" s="22" t="n"/>
      <c r="I1995" s="22" t="n"/>
      <c r="J1995" s="22" t="n"/>
      <c r="K1995" s="22" t="n"/>
      <c r="L1995" s="22" t="n"/>
      <c r="M1995" s="22">
        <f>IF(K1995="Override",L1995,IF(K1995="Accept suggestion",F1995,IF(K1995="No change (same URL)",A1995,"")))</f>
        <v/>
      </c>
      <c r="N1995" s="22">
        <f>IF(A1995="","",IF(K1995="410 Gone","410",IF(K1995="404","404",IF(K1995="No change (same URL)","none",IF(M1995="","","301")))))</f>
        <v/>
      </c>
      <c r="O1995" s="22">
        <f>IF(A1995="","",IFERROR(MID(A1995,FIND("/",A1995,FIND("//",A1995)+2),2000),A1995))</f>
        <v/>
      </c>
      <c r="P1995" s="22">
        <f>IF(OR(O1995="",N1995="",N1995="none",N1995="404"),"",IF(N1995="410","Redirect gone "&amp;O1995,"Redirect "&amp;N1995&amp;" "&amp;O1995&amp;" "&amp;M1995))</f>
        <v/>
      </c>
      <c r="Q1995" s="22" t="n"/>
      <c r="R1995" s="22" t="n"/>
      <c r="S1995" s="22" t="n"/>
      <c r="T1995" s="4">
        <f>IF(A1995="","",TRIM(IF(K1995="","Needs decision; ","")&amp;IF(AND(K1995="Accept suggestion",F1995=""),"No suggestion to accept; ","")&amp;IF(AND(K1995="Override",L1995=""),"Override URL missing; ","")&amp;IF(AND(K1995="Accept suggestion",N(G1995)&lt;$G$2),"Below your threshold; ","")&amp;IF(AND(M1995&lt;&gt;"",M1995=A1995,K1995&lt;&gt;"No change (same URL)"),"Redirects to itself; ","")&amp;IF(AND(M1995&lt;&gt;"",OR(M1995="/",AND(LEFT(M1995,4)="http",OR((LEN(M1995)-LEN(SUBSTITUTE(M1995,"/","")))=2,AND((LEN(M1995)-LEN(SUBSTITUTE(M1995,"/","")))=3,RIGHT(M1995,1)="/"))))),"Home page redirect; ","")&amp;IF(N(R1995)&gt;1,"Chain; ","")&amp;IF(S1995="No","Destination not 200; ","")))</f>
        <v/>
      </c>
      <c r="U1995" s="22" t="n"/>
      <c r="V1995" s="22" t="n"/>
      <c r="W1995" s="4" t="n"/>
    </row>
    <row r="1996">
      <c r="A1996" s="22" t="n"/>
      <c r="B1996" s="22" t="n"/>
      <c r="C1996" s="22" t="n"/>
      <c r="D1996" s="22">
        <f>IF(A1996="","",IF(OR(N(B1996)&gt;=$C$2,N(C1996)&gt;=$E$2),"High",IF(OR(N(B1996)&gt;0,N(C1996)&gt;0),"Medium","Low")))</f>
        <v/>
      </c>
      <c r="E1996" s="22" t="n"/>
      <c r="F1996" s="22" t="n"/>
      <c r="G1996" s="22" t="n"/>
      <c r="H1996" s="22" t="n"/>
      <c r="I1996" s="22" t="n"/>
      <c r="J1996" s="22" t="n"/>
      <c r="K1996" s="22" t="n"/>
      <c r="L1996" s="22" t="n"/>
      <c r="M1996" s="22">
        <f>IF(K1996="Override",L1996,IF(K1996="Accept suggestion",F1996,IF(K1996="No change (same URL)",A1996,"")))</f>
        <v/>
      </c>
      <c r="N1996" s="22">
        <f>IF(A1996="","",IF(K1996="410 Gone","410",IF(K1996="404","404",IF(K1996="No change (same URL)","none",IF(M1996="","","301")))))</f>
        <v/>
      </c>
      <c r="O1996" s="22">
        <f>IF(A1996="","",IFERROR(MID(A1996,FIND("/",A1996,FIND("//",A1996)+2),2000),A1996))</f>
        <v/>
      </c>
      <c r="P1996" s="22">
        <f>IF(OR(O1996="",N1996="",N1996="none",N1996="404"),"",IF(N1996="410","Redirect gone "&amp;O1996,"Redirect "&amp;N1996&amp;" "&amp;O1996&amp;" "&amp;M1996))</f>
        <v/>
      </c>
      <c r="Q1996" s="22" t="n"/>
      <c r="R1996" s="22" t="n"/>
      <c r="S1996" s="22" t="n"/>
      <c r="T1996" s="4">
        <f>IF(A1996="","",TRIM(IF(K1996="","Needs decision; ","")&amp;IF(AND(K1996="Accept suggestion",F1996=""),"No suggestion to accept; ","")&amp;IF(AND(K1996="Override",L1996=""),"Override URL missing; ","")&amp;IF(AND(K1996="Accept suggestion",N(G1996)&lt;$G$2),"Below your threshold; ","")&amp;IF(AND(M1996&lt;&gt;"",M1996=A1996,K1996&lt;&gt;"No change (same URL)"),"Redirects to itself; ","")&amp;IF(AND(M1996&lt;&gt;"",OR(M1996="/",AND(LEFT(M1996,4)="http",OR((LEN(M1996)-LEN(SUBSTITUTE(M1996,"/","")))=2,AND((LEN(M1996)-LEN(SUBSTITUTE(M1996,"/","")))=3,RIGHT(M1996,1)="/"))))),"Home page redirect; ","")&amp;IF(N(R1996)&gt;1,"Chain; ","")&amp;IF(S1996="No","Destination not 200; ","")))</f>
        <v/>
      </c>
      <c r="U1996" s="22" t="n"/>
      <c r="V1996" s="22" t="n"/>
      <c r="W1996" s="4" t="n"/>
    </row>
    <row r="1997">
      <c r="A1997" s="22" t="n"/>
      <c r="B1997" s="22" t="n"/>
      <c r="C1997" s="22" t="n"/>
      <c r="D1997" s="22">
        <f>IF(A1997="","",IF(OR(N(B1997)&gt;=$C$2,N(C1997)&gt;=$E$2),"High",IF(OR(N(B1997)&gt;0,N(C1997)&gt;0),"Medium","Low")))</f>
        <v/>
      </c>
      <c r="E1997" s="22" t="n"/>
      <c r="F1997" s="22" t="n"/>
      <c r="G1997" s="22" t="n"/>
      <c r="H1997" s="22" t="n"/>
      <c r="I1997" s="22" t="n"/>
      <c r="J1997" s="22" t="n"/>
      <c r="K1997" s="22" t="n"/>
      <c r="L1997" s="22" t="n"/>
      <c r="M1997" s="22">
        <f>IF(K1997="Override",L1997,IF(K1997="Accept suggestion",F1997,IF(K1997="No change (same URL)",A1997,"")))</f>
        <v/>
      </c>
      <c r="N1997" s="22">
        <f>IF(A1997="","",IF(K1997="410 Gone","410",IF(K1997="404","404",IF(K1997="No change (same URL)","none",IF(M1997="","","301")))))</f>
        <v/>
      </c>
      <c r="O1997" s="22">
        <f>IF(A1997="","",IFERROR(MID(A1997,FIND("/",A1997,FIND("//",A1997)+2),2000),A1997))</f>
        <v/>
      </c>
      <c r="P1997" s="22">
        <f>IF(OR(O1997="",N1997="",N1997="none",N1997="404"),"",IF(N1997="410","Redirect gone "&amp;O1997,"Redirect "&amp;N1997&amp;" "&amp;O1997&amp;" "&amp;M1997))</f>
        <v/>
      </c>
      <c r="Q1997" s="22" t="n"/>
      <c r="R1997" s="22" t="n"/>
      <c r="S1997" s="22" t="n"/>
      <c r="T1997" s="4">
        <f>IF(A1997="","",TRIM(IF(K1997="","Needs decision; ","")&amp;IF(AND(K1997="Accept suggestion",F1997=""),"No suggestion to accept; ","")&amp;IF(AND(K1997="Override",L1997=""),"Override URL missing; ","")&amp;IF(AND(K1997="Accept suggestion",N(G1997)&lt;$G$2),"Below your threshold; ","")&amp;IF(AND(M1997&lt;&gt;"",M1997=A1997,K1997&lt;&gt;"No change (same URL)"),"Redirects to itself; ","")&amp;IF(AND(M1997&lt;&gt;"",OR(M1997="/",AND(LEFT(M1997,4)="http",OR((LEN(M1997)-LEN(SUBSTITUTE(M1997,"/","")))=2,AND((LEN(M1997)-LEN(SUBSTITUTE(M1997,"/","")))=3,RIGHT(M1997,1)="/"))))),"Home page redirect; ","")&amp;IF(N(R1997)&gt;1,"Chain; ","")&amp;IF(S1997="No","Destination not 200; ","")))</f>
        <v/>
      </c>
      <c r="U1997" s="22" t="n"/>
      <c r="V1997" s="22" t="n"/>
      <c r="W1997" s="4" t="n"/>
    </row>
    <row r="1998">
      <c r="A1998" s="22" t="n"/>
      <c r="B1998" s="22" t="n"/>
      <c r="C1998" s="22" t="n"/>
      <c r="D1998" s="22">
        <f>IF(A1998="","",IF(OR(N(B1998)&gt;=$C$2,N(C1998)&gt;=$E$2),"High",IF(OR(N(B1998)&gt;0,N(C1998)&gt;0),"Medium","Low")))</f>
        <v/>
      </c>
      <c r="E1998" s="22" t="n"/>
      <c r="F1998" s="22" t="n"/>
      <c r="G1998" s="22" t="n"/>
      <c r="H1998" s="22" t="n"/>
      <c r="I1998" s="22" t="n"/>
      <c r="J1998" s="22" t="n"/>
      <c r="K1998" s="22" t="n"/>
      <c r="L1998" s="22" t="n"/>
      <c r="M1998" s="22">
        <f>IF(K1998="Override",L1998,IF(K1998="Accept suggestion",F1998,IF(K1998="No change (same URL)",A1998,"")))</f>
        <v/>
      </c>
      <c r="N1998" s="22">
        <f>IF(A1998="","",IF(K1998="410 Gone","410",IF(K1998="404","404",IF(K1998="No change (same URL)","none",IF(M1998="","","301")))))</f>
        <v/>
      </c>
      <c r="O1998" s="22">
        <f>IF(A1998="","",IFERROR(MID(A1998,FIND("/",A1998,FIND("//",A1998)+2),2000),A1998))</f>
        <v/>
      </c>
      <c r="P1998" s="22">
        <f>IF(OR(O1998="",N1998="",N1998="none",N1998="404"),"",IF(N1998="410","Redirect gone "&amp;O1998,"Redirect "&amp;N1998&amp;" "&amp;O1998&amp;" "&amp;M1998))</f>
        <v/>
      </c>
      <c r="Q1998" s="22" t="n"/>
      <c r="R1998" s="22" t="n"/>
      <c r="S1998" s="22" t="n"/>
      <c r="T1998" s="4">
        <f>IF(A1998="","",TRIM(IF(K1998="","Needs decision; ","")&amp;IF(AND(K1998="Accept suggestion",F1998=""),"No suggestion to accept; ","")&amp;IF(AND(K1998="Override",L1998=""),"Override URL missing; ","")&amp;IF(AND(K1998="Accept suggestion",N(G1998)&lt;$G$2),"Below your threshold; ","")&amp;IF(AND(M1998&lt;&gt;"",M1998=A1998,K1998&lt;&gt;"No change (same URL)"),"Redirects to itself; ","")&amp;IF(AND(M1998&lt;&gt;"",OR(M1998="/",AND(LEFT(M1998,4)="http",OR((LEN(M1998)-LEN(SUBSTITUTE(M1998,"/","")))=2,AND((LEN(M1998)-LEN(SUBSTITUTE(M1998,"/","")))=3,RIGHT(M1998,1)="/"))))),"Home page redirect; ","")&amp;IF(N(R1998)&gt;1,"Chain; ","")&amp;IF(S1998="No","Destination not 200; ","")))</f>
        <v/>
      </c>
      <c r="U1998" s="22" t="n"/>
      <c r="V1998" s="22" t="n"/>
      <c r="W1998" s="4" t="n"/>
    </row>
    <row r="1999">
      <c r="A1999" s="22" t="n"/>
      <c r="B1999" s="22" t="n"/>
      <c r="C1999" s="22" t="n"/>
      <c r="D1999" s="22">
        <f>IF(A1999="","",IF(OR(N(B1999)&gt;=$C$2,N(C1999)&gt;=$E$2),"High",IF(OR(N(B1999)&gt;0,N(C1999)&gt;0),"Medium","Low")))</f>
        <v/>
      </c>
      <c r="E1999" s="22" t="n"/>
      <c r="F1999" s="22" t="n"/>
      <c r="G1999" s="22" t="n"/>
      <c r="H1999" s="22" t="n"/>
      <c r="I1999" s="22" t="n"/>
      <c r="J1999" s="22" t="n"/>
      <c r="K1999" s="22" t="n"/>
      <c r="L1999" s="22" t="n"/>
      <c r="M1999" s="22">
        <f>IF(K1999="Override",L1999,IF(K1999="Accept suggestion",F1999,IF(K1999="No change (same URL)",A1999,"")))</f>
        <v/>
      </c>
      <c r="N1999" s="22">
        <f>IF(A1999="","",IF(K1999="410 Gone","410",IF(K1999="404","404",IF(K1999="No change (same URL)","none",IF(M1999="","","301")))))</f>
        <v/>
      </c>
      <c r="O1999" s="22">
        <f>IF(A1999="","",IFERROR(MID(A1999,FIND("/",A1999,FIND("//",A1999)+2),2000),A1999))</f>
        <v/>
      </c>
      <c r="P1999" s="22">
        <f>IF(OR(O1999="",N1999="",N1999="none",N1999="404"),"",IF(N1999="410","Redirect gone "&amp;O1999,"Redirect "&amp;N1999&amp;" "&amp;O1999&amp;" "&amp;M1999))</f>
        <v/>
      </c>
      <c r="Q1999" s="22" t="n"/>
      <c r="R1999" s="22" t="n"/>
      <c r="S1999" s="22" t="n"/>
      <c r="T1999" s="4">
        <f>IF(A1999="","",TRIM(IF(K1999="","Needs decision; ","")&amp;IF(AND(K1999="Accept suggestion",F1999=""),"No suggestion to accept; ","")&amp;IF(AND(K1999="Override",L1999=""),"Override URL missing; ","")&amp;IF(AND(K1999="Accept suggestion",N(G1999)&lt;$G$2),"Below your threshold; ","")&amp;IF(AND(M1999&lt;&gt;"",M1999=A1999,K1999&lt;&gt;"No change (same URL)"),"Redirects to itself; ","")&amp;IF(AND(M1999&lt;&gt;"",OR(M1999="/",AND(LEFT(M1999,4)="http",OR((LEN(M1999)-LEN(SUBSTITUTE(M1999,"/","")))=2,AND((LEN(M1999)-LEN(SUBSTITUTE(M1999,"/","")))=3,RIGHT(M1999,1)="/"))))),"Home page redirect; ","")&amp;IF(N(R1999)&gt;1,"Chain; ","")&amp;IF(S1999="No","Destination not 200; ","")))</f>
        <v/>
      </c>
      <c r="U1999" s="22" t="n"/>
      <c r="V1999" s="22" t="n"/>
      <c r="W1999" s="4" t="n"/>
    </row>
    <row r="2000">
      <c r="A2000" s="22" t="n"/>
      <c r="B2000" s="22" t="n"/>
      <c r="C2000" s="22" t="n"/>
      <c r="D2000" s="22">
        <f>IF(A2000="","",IF(OR(N(B2000)&gt;=$C$2,N(C2000)&gt;=$E$2),"High",IF(OR(N(B2000)&gt;0,N(C2000)&gt;0),"Medium","Low")))</f>
        <v/>
      </c>
      <c r="E2000" s="22" t="n"/>
      <c r="F2000" s="22" t="n"/>
      <c r="G2000" s="22" t="n"/>
      <c r="H2000" s="22" t="n"/>
      <c r="I2000" s="22" t="n"/>
      <c r="J2000" s="22" t="n"/>
      <c r="K2000" s="22" t="n"/>
      <c r="L2000" s="22" t="n"/>
      <c r="M2000" s="22">
        <f>IF(K2000="Override",L2000,IF(K2000="Accept suggestion",F2000,IF(K2000="No change (same URL)",A2000,"")))</f>
        <v/>
      </c>
      <c r="N2000" s="22">
        <f>IF(A2000="","",IF(K2000="410 Gone","410",IF(K2000="404","404",IF(K2000="No change (same URL)","none",IF(M2000="","","301")))))</f>
        <v/>
      </c>
      <c r="O2000" s="22">
        <f>IF(A2000="","",IFERROR(MID(A2000,FIND("/",A2000,FIND("//",A2000)+2),2000),A2000))</f>
        <v/>
      </c>
      <c r="P2000" s="22">
        <f>IF(OR(O2000="",N2000="",N2000="none",N2000="404"),"",IF(N2000="410","Redirect gone "&amp;O2000,"Redirect "&amp;N2000&amp;" "&amp;O2000&amp;" "&amp;M2000))</f>
        <v/>
      </c>
      <c r="Q2000" s="22" t="n"/>
      <c r="R2000" s="22" t="n"/>
      <c r="S2000" s="22" t="n"/>
      <c r="T2000" s="4">
        <f>IF(A2000="","",TRIM(IF(K2000="","Needs decision; ","")&amp;IF(AND(K2000="Accept suggestion",F2000=""),"No suggestion to accept; ","")&amp;IF(AND(K2000="Override",L2000=""),"Override URL missing; ","")&amp;IF(AND(K2000="Accept suggestion",N(G2000)&lt;$G$2),"Below your threshold; ","")&amp;IF(AND(M2000&lt;&gt;"",M2000=A2000,K2000&lt;&gt;"No change (same URL)"),"Redirects to itself; ","")&amp;IF(AND(M2000&lt;&gt;"",OR(M2000="/",AND(LEFT(M2000,4)="http",OR((LEN(M2000)-LEN(SUBSTITUTE(M2000,"/","")))=2,AND((LEN(M2000)-LEN(SUBSTITUTE(M2000,"/","")))=3,RIGHT(M2000,1)="/"))))),"Home page redirect; ","")&amp;IF(N(R2000)&gt;1,"Chain; ","")&amp;IF(S2000="No","Destination not 200; ","")))</f>
        <v/>
      </c>
      <c r="U2000" s="22" t="n"/>
      <c r="V2000" s="22" t="n"/>
      <c r="W2000" s="4" t="n"/>
    </row>
    <row r="2001">
      <c r="A2001" s="22" t="n"/>
      <c r="B2001" s="22" t="n"/>
      <c r="C2001" s="22" t="n"/>
      <c r="D2001" s="22">
        <f>IF(A2001="","",IF(OR(N(B2001)&gt;=$C$2,N(C2001)&gt;=$E$2),"High",IF(OR(N(B2001)&gt;0,N(C2001)&gt;0),"Medium","Low")))</f>
        <v/>
      </c>
      <c r="E2001" s="22" t="n"/>
      <c r="F2001" s="22" t="n"/>
      <c r="G2001" s="22" t="n"/>
      <c r="H2001" s="22" t="n"/>
      <c r="I2001" s="22" t="n"/>
      <c r="J2001" s="22" t="n"/>
      <c r="K2001" s="22" t="n"/>
      <c r="L2001" s="22" t="n"/>
      <c r="M2001" s="22">
        <f>IF(K2001="Override",L2001,IF(K2001="Accept suggestion",F2001,IF(K2001="No change (same URL)",A2001,"")))</f>
        <v/>
      </c>
      <c r="N2001" s="22">
        <f>IF(A2001="","",IF(K2001="410 Gone","410",IF(K2001="404","404",IF(K2001="No change (same URL)","none",IF(M2001="","","301")))))</f>
        <v/>
      </c>
      <c r="O2001" s="22">
        <f>IF(A2001="","",IFERROR(MID(A2001,FIND("/",A2001,FIND("//",A2001)+2),2000),A2001))</f>
        <v/>
      </c>
      <c r="P2001" s="22">
        <f>IF(OR(O2001="",N2001="",N2001="none",N2001="404"),"",IF(N2001="410","Redirect gone "&amp;O2001,"Redirect "&amp;N2001&amp;" "&amp;O2001&amp;" "&amp;M2001))</f>
        <v/>
      </c>
      <c r="Q2001" s="22" t="n"/>
      <c r="R2001" s="22" t="n"/>
      <c r="S2001" s="22" t="n"/>
      <c r="T2001" s="4">
        <f>IF(A2001="","",TRIM(IF(K2001="","Needs decision; ","")&amp;IF(AND(K2001="Accept suggestion",F2001=""),"No suggestion to accept; ","")&amp;IF(AND(K2001="Override",L2001=""),"Override URL missing; ","")&amp;IF(AND(K2001="Accept suggestion",N(G2001)&lt;$G$2),"Below your threshold; ","")&amp;IF(AND(M2001&lt;&gt;"",M2001=A2001,K2001&lt;&gt;"No change (same URL)"),"Redirects to itself; ","")&amp;IF(AND(M2001&lt;&gt;"",OR(M2001="/",AND(LEFT(M2001,4)="http",OR((LEN(M2001)-LEN(SUBSTITUTE(M2001,"/","")))=2,AND((LEN(M2001)-LEN(SUBSTITUTE(M2001,"/","")))=3,RIGHT(M2001,1)="/"))))),"Home page redirect; ","")&amp;IF(N(R2001)&gt;1,"Chain; ","")&amp;IF(S2001="No","Destination not 200; ","")))</f>
        <v/>
      </c>
      <c r="U2001" s="22" t="n"/>
      <c r="V2001" s="22" t="n"/>
      <c r="W2001" s="4" t="n"/>
    </row>
    <row r="2002">
      <c r="A2002" s="22" t="n"/>
      <c r="B2002" s="22" t="n"/>
      <c r="C2002" s="22" t="n"/>
      <c r="D2002" s="22">
        <f>IF(A2002="","",IF(OR(N(B2002)&gt;=$C$2,N(C2002)&gt;=$E$2),"High",IF(OR(N(B2002)&gt;0,N(C2002)&gt;0),"Medium","Low")))</f>
        <v/>
      </c>
      <c r="E2002" s="22" t="n"/>
      <c r="F2002" s="22" t="n"/>
      <c r="G2002" s="22" t="n"/>
      <c r="H2002" s="22" t="n"/>
      <c r="I2002" s="22" t="n"/>
      <c r="J2002" s="22" t="n"/>
      <c r="K2002" s="22" t="n"/>
      <c r="L2002" s="22" t="n"/>
      <c r="M2002" s="22">
        <f>IF(K2002="Override",L2002,IF(K2002="Accept suggestion",F2002,IF(K2002="No change (same URL)",A2002,"")))</f>
        <v/>
      </c>
      <c r="N2002" s="22">
        <f>IF(A2002="","",IF(K2002="410 Gone","410",IF(K2002="404","404",IF(K2002="No change (same URL)","none",IF(M2002="","","301")))))</f>
        <v/>
      </c>
      <c r="O2002" s="22">
        <f>IF(A2002="","",IFERROR(MID(A2002,FIND("/",A2002,FIND("//",A2002)+2),2000),A2002))</f>
        <v/>
      </c>
      <c r="P2002" s="22">
        <f>IF(OR(O2002="",N2002="",N2002="none",N2002="404"),"",IF(N2002="410","Redirect gone "&amp;O2002,"Redirect "&amp;N2002&amp;" "&amp;O2002&amp;" "&amp;M2002))</f>
        <v/>
      </c>
      <c r="Q2002" s="22" t="n"/>
      <c r="R2002" s="22" t="n"/>
      <c r="S2002" s="22" t="n"/>
      <c r="T2002" s="4">
        <f>IF(A2002="","",TRIM(IF(K2002="","Needs decision; ","")&amp;IF(AND(K2002="Accept suggestion",F2002=""),"No suggestion to accept; ","")&amp;IF(AND(K2002="Override",L2002=""),"Override URL missing; ","")&amp;IF(AND(K2002="Accept suggestion",N(G2002)&lt;$G$2),"Below your threshold; ","")&amp;IF(AND(M2002&lt;&gt;"",M2002=A2002,K2002&lt;&gt;"No change (same URL)"),"Redirects to itself; ","")&amp;IF(AND(M2002&lt;&gt;"",OR(M2002="/",AND(LEFT(M2002,4)="http",OR((LEN(M2002)-LEN(SUBSTITUTE(M2002,"/","")))=2,AND((LEN(M2002)-LEN(SUBSTITUTE(M2002,"/","")))=3,RIGHT(M2002,1)="/"))))),"Home page redirect; ","")&amp;IF(N(R2002)&gt;1,"Chain; ","")&amp;IF(S2002="No","Destination not 200; ","")))</f>
        <v/>
      </c>
      <c r="U2002" s="22" t="n"/>
      <c r="V2002" s="22" t="n"/>
      <c r="W2002" s="4" t="n"/>
    </row>
    <row r="2003">
      <c r="A2003" s="22" t="n"/>
      <c r="B2003" s="22" t="n"/>
      <c r="C2003" s="22" t="n"/>
      <c r="D2003" s="22">
        <f>IF(A2003="","",IF(OR(N(B2003)&gt;=$C$2,N(C2003)&gt;=$E$2),"High",IF(OR(N(B2003)&gt;0,N(C2003)&gt;0),"Medium","Low")))</f>
        <v/>
      </c>
      <c r="E2003" s="22" t="n"/>
      <c r="F2003" s="22" t="n"/>
      <c r="G2003" s="22" t="n"/>
      <c r="H2003" s="22" t="n"/>
      <c r="I2003" s="22" t="n"/>
      <c r="J2003" s="22" t="n"/>
      <c r="K2003" s="22" t="n"/>
      <c r="L2003" s="22" t="n"/>
      <c r="M2003" s="22">
        <f>IF(K2003="Override",L2003,IF(K2003="Accept suggestion",F2003,IF(K2003="No change (same URL)",A2003,"")))</f>
        <v/>
      </c>
      <c r="N2003" s="22">
        <f>IF(A2003="","",IF(K2003="410 Gone","410",IF(K2003="404","404",IF(K2003="No change (same URL)","none",IF(M2003="","","301")))))</f>
        <v/>
      </c>
      <c r="O2003" s="22">
        <f>IF(A2003="","",IFERROR(MID(A2003,FIND("/",A2003,FIND("//",A2003)+2),2000),A2003))</f>
        <v/>
      </c>
      <c r="P2003" s="22">
        <f>IF(OR(O2003="",N2003="",N2003="none",N2003="404"),"",IF(N2003="410","Redirect gone "&amp;O2003,"Redirect "&amp;N2003&amp;" "&amp;O2003&amp;" "&amp;M2003))</f>
        <v/>
      </c>
      <c r="Q2003" s="22" t="n"/>
      <c r="R2003" s="22" t="n"/>
      <c r="S2003" s="22" t="n"/>
      <c r="T2003" s="4">
        <f>IF(A2003="","",TRIM(IF(K2003="","Needs decision; ","")&amp;IF(AND(K2003="Accept suggestion",F2003=""),"No suggestion to accept; ","")&amp;IF(AND(K2003="Override",L2003=""),"Override URL missing; ","")&amp;IF(AND(K2003="Accept suggestion",N(G2003)&lt;$G$2),"Below your threshold; ","")&amp;IF(AND(M2003&lt;&gt;"",M2003=A2003,K2003&lt;&gt;"No change (same URL)"),"Redirects to itself; ","")&amp;IF(AND(M2003&lt;&gt;"",OR(M2003="/",AND(LEFT(M2003,4)="http",OR((LEN(M2003)-LEN(SUBSTITUTE(M2003,"/","")))=2,AND((LEN(M2003)-LEN(SUBSTITUTE(M2003,"/","")))=3,RIGHT(M2003,1)="/"))))),"Home page redirect; ","")&amp;IF(N(R2003)&gt;1,"Chain; ","")&amp;IF(S2003="No","Destination not 200; ","")))</f>
        <v/>
      </c>
      <c r="U2003" s="22" t="n"/>
      <c r="V2003" s="22" t="n"/>
      <c r="W2003" s="4" t="n"/>
    </row>
    <row r="2004">
      <c r="A2004" s="22" t="n"/>
      <c r="B2004" s="22" t="n"/>
      <c r="C2004" s="22" t="n"/>
      <c r="D2004" s="22">
        <f>IF(A2004="","",IF(OR(N(B2004)&gt;=$C$2,N(C2004)&gt;=$E$2),"High",IF(OR(N(B2004)&gt;0,N(C2004)&gt;0),"Medium","Low")))</f>
        <v/>
      </c>
      <c r="E2004" s="22" t="n"/>
      <c r="F2004" s="22" t="n"/>
      <c r="G2004" s="22" t="n"/>
      <c r="H2004" s="22" t="n"/>
      <c r="I2004" s="22" t="n"/>
      <c r="J2004" s="22" t="n"/>
      <c r="K2004" s="22" t="n"/>
      <c r="L2004" s="22" t="n"/>
      <c r="M2004" s="22">
        <f>IF(K2004="Override",L2004,IF(K2004="Accept suggestion",F2004,IF(K2004="No change (same URL)",A2004,"")))</f>
        <v/>
      </c>
      <c r="N2004" s="22">
        <f>IF(A2004="","",IF(K2004="410 Gone","410",IF(K2004="404","404",IF(K2004="No change (same URL)","none",IF(M2004="","","301")))))</f>
        <v/>
      </c>
      <c r="O2004" s="22">
        <f>IF(A2004="","",IFERROR(MID(A2004,FIND("/",A2004,FIND("//",A2004)+2),2000),A2004))</f>
        <v/>
      </c>
      <c r="P2004" s="22">
        <f>IF(OR(O2004="",N2004="",N2004="none",N2004="404"),"",IF(N2004="410","Redirect gone "&amp;O2004,"Redirect "&amp;N2004&amp;" "&amp;O2004&amp;" "&amp;M2004))</f>
        <v/>
      </c>
      <c r="Q2004" s="22" t="n"/>
      <c r="R2004" s="22" t="n"/>
      <c r="S2004" s="22" t="n"/>
      <c r="T2004" s="4">
        <f>IF(A2004="","",TRIM(IF(K2004="","Needs decision; ","")&amp;IF(AND(K2004="Accept suggestion",F2004=""),"No suggestion to accept; ","")&amp;IF(AND(K2004="Override",L2004=""),"Override URL missing; ","")&amp;IF(AND(K2004="Accept suggestion",N(G2004)&lt;$G$2),"Below your threshold; ","")&amp;IF(AND(M2004&lt;&gt;"",M2004=A2004,K2004&lt;&gt;"No change (same URL)"),"Redirects to itself; ","")&amp;IF(AND(M2004&lt;&gt;"",OR(M2004="/",AND(LEFT(M2004,4)="http",OR((LEN(M2004)-LEN(SUBSTITUTE(M2004,"/","")))=2,AND((LEN(M2004)-LEN(SUBSTITUTE(M2004,"/","")))=3,RIGHT(M2004,1)="/"))))),"Home page redirect; ","")&amp;IF(N(R2004)&gt;1,"Chain; ","")&amp;IF(S2004="No","Destination not 200; ","")))</f>
        <v/>
      </c>
      <c r="U2004" s="22" t="n"/>
      <c r="V2004" s="22" t="n"/>
      <c r="W2004" s="4" t="n"/>
    </row>
  </sheetData>
  <autoFilter ref="A4:W2004"/>
  <mergeCells count="1">
    <mergeCell ref="A1:W1"/>
  </mergeCells>
  <conditionalFormatting sqref="T5:T2004">
    <cfRule type="expression" priority="1" dxfId="6" stopIfTrue="1">
      <formula>LEN(T5)&gt;0</formula>
    </cfRule>
  </conditionalFormatting>
  <conditionalFormatting sqref="D5:D2004">
    <cfRule type="cellIs" priority="2" operator="equal" dxfId="4" stopIfTrue="1">
      <formula>"High"</formula>
    </cfRule>
  </conditionalFormatting>
  <conditionalFormatting sqref="G5:G2004">
    <cfRule type="expression" priority="3" dxfId="7" stopIfTrue="1">
      <formula>AND(G5&lt;&gt;"",G5&lt;$G$2)</formula>
    </cfRule>
  </conditionalFormatting>
  <conditionalFormatting sqref="U5:U2004">
    <cfRule type="cellIs" priority="4" operator="equal" dxfId="0" stopIfTrue="1">
      <formula>"Live and verified"</formula>
    </cfRule>
    <cfRule type="cellIs" priority="5" operator="equal" dxfId="1" stopIfTrue="1">
      <formula>"Approved"</formula>
    </cfRule>
    <cfRule type="cellIs" priority="6" operator="equal" dxfId="6" stopIfTrue="1">
      <formula>"Problem"</formula>
    </cfRule>
  </conditionalFormatting>
  <conditionalFormatting sqref="S5:S2004">
    <cfRule type="cellIs" priority="7" operator="equal" dxfId="6" stopIfTrue="1">
      <formula>"No"</formula>
    </cfRule>
  </conditionalFormatting>
  <conditionalFormatting sqref="A5:W2004">
    <cfRule type="expression" priority="8" dxfId="5">
      <formula>MOD(ROW(),2)=0</formula>
    </cfRule>
  </conditionalFormatting>
  <dataValidations count="4">
    <dataValidation sqref="K5:K2004" showDropDown="0" showInputMessage="0" showErrorMessage="0" allowBlank="1" errorTitle="Not in list" error="Pick a value from the list." type="list">
      <formula1>"Accept suggestion,Override,410 Gone,404,No change (same URL)"</formula1>
    </dataValidation>
    <dataValidation sqref="U5:U2004" showDropDown="0" showInputMessage="0" showErrorMessage="0" allowBlank="1" errorTitle="Not in list" error="Pick a value from the list." type="list">
      <formula1>"To review,Approved,Live and verified,Problem"</formula1>
    </dataValidation>
    <dataValidation sqref="S5:S2004" showDropDown="0" showInputMessage="0" showErrorMessage="0" allowBlank="1" errorTitle="Not in list" error="Pick a value from the list." type="list">
      <formula1>"Yes,No"</formula1>
    </dataValidation>
    <dataValidation sqref="E5:E2004" showDropDown="0" showInputMessage="0" showErrorMessage="0" allowBlank="1" errorTitle="Not in list" error="Pick a value from the list." type="list">
      <formula1>"Address,Title 1,H1-1,H2-1,H2-2,Meta Description 1,URL path"</formula1>
    </dataValidation>
  </dataValidations>
  <printOptions gridLines="0"/>
  <pageMargins left="0.75" right="0.75" top="1" bottom="1" header="0.5" footer="0.5"/>
  <pageSetup orientation="landscape" fitToHeight="0" fitToWidth="1"/>
</worksheet>
</file>

<file path=xl/worksheets/sheet4.xml><?xml version="1.0" encoding="utf-8"?>
<worksheet xmlns="http://schemas.openxmlformats.org/spreadsheetml/2006/main">
  <sheetPr>
    <tabColor rgb="00FFDE59"/>
    <outlinePr summaryBelow="1" summaryRight="1"/>
    <pageSetUpPr fitToPage="1"/>
  </sheetPr>
  <dimension ref="B2:J44"/>
  <sheetViews>
    <sheetView showGridLines="0" workbookViewId="0">
      <selection activeCell="A1" sqref="A1"/>
    </sheetView>
  </sheetViews>
  <sheetFormatPr baseColWidth="8" defaultRowHeight="15"/>
  <cols>
    <col width="3" customWidth="1" min="1" max="1"/>
    <col width="30" customWidth="1" min="2" max="2"/>
    <col width="10" customWidth="1" min="3" max="3"/>
    <col width="10" customWidth="1" min="4" max="4"/>
    <col width="13" customWidth="1" min="5" max="5"/>
    <col width="13" customWidth="1" min="6" max="6"/>
    <col width="10" customWidth="1" min="7" max="7"/>
    <col width="12" customWidth="1" min="8" max="8"/>
    <col width="28" customWidth="1" min="9" max="9"/>
    <col width="16" customWidth="1" min="10" max="10"/>
  </cols>
  <sheetData>
    <row r="2">
      <c r="B2" s="24" t="inlineStr">
        <is>
          <t>Progress</t>
        </is>
      </c>
    </row>
    <row r="3">
      <c r="B3" s="25" t="inlineStr">
        <is>
          <t>Updates automatically as you change the Status column. Formulas use COUNTIF / COUNTIFS, so they work in Google Sheets and Excel.</t>
        </is>
      </c>
    </row>
    <row r="5">
      <c r="B5" s="26" t="inlineStr">
        <is>
          <t>Checks</t>
        </is>
      </c>
      <c r="C5" s="27">
        <f>COUNTA('Checklist'!$C$2:$C$59)</f>
        <v/>
      </c>
    </row>
    <row r="6">
      <c r="B6" s="26" t="inlineStr">
        <is>
          <t>Done</t>
        </is>
      </c>
      <c r="C6" s="27">
        <f>COUNTIF('Checklist'!$H$2:$H$59,"Done")</f>
        <v/>
      </c>
    </row>
    <row r="7">
      <c r="B7" s="26" t="inlineStr">
        <is>
          <t>In progress</t>
        </is>
      </c>
      <c r="C7" s="27">
        <f>COUNTIF('Checklist'!$H$2:$H$59,"In progress")</f>
        <v/>
      </c>
    </row>
    <row r="8">
      <c r="B8" s="26" t="inlineStr">
        <is>
          <t>Not started</t>
        </is>
      </c>
      <c r="C8" s="27">
        <f>COUNTIF('Checklist'!$H$2:$H$59,"Not started")</f>
        <v/>
      </c>
    </row>
    <row r="9">
      <c r="B9" s="26" t="inlineStr">
        <is>
          <t>N/A</t>
        </is>
      </c>
      <c r="C9" s="27">
        <f>COUNTIF('Checklist'!$H$2:$H$59,"N/A")</f>
        <v/>
      </c>
    </row>
    <row r="10">
      <c r="B10" s="26" t="inlineStr">
        <is>
          <t>% complete (Done / applicable)</t>
        </is>
      </c>
      <c r="C10" s="28">
        <f>IFERROR(C6/(C5-C9),0)</f>
        <v/>
      </c>
      <c r="D10" s="29">
        <f>REPT("█",ROUND(C10*20,0))&amp;REPT("░",20-ROUND(C10*20,0))</f>
        <v/>
      </c>
    </row>
    <row r="11">
      <c r="B11" s="26" t="inlineStr">
        <is>
          <t>Open High-priority checks</t>
        </is>
      </c>
      <c r="C11" s="30">
        <f>COUNTIFS('Checklist'!$F$2:$F$59,"High",'Checklist'!$H$2:$H$59,"&lt;&gt;Done",'Checklist'!$H$2:$H$59,"&lt;&gt;N/A")</f>
        <v/>
      </c>
    </row>
    <row r="13" ht="28" customHeight="1">
      <c r="B13" s="13" t="inlineStr">
        <is>
          <t>Phase</t>
        </is>
      </c>
      <c r="C13" s="13" t="inlineStr">
        <is>
          <t>Checks</t>
        </is>
      </c>
      <c r="D13" s="13" t="inlineStr">
        <is>
          <t>Done</t>
        </is>
      </c>
      <c r="E13" s="13" t="inlineStr">
        <is>
          <t>In progress</t>
        </is>
      </c>
      <c r="F13" s="13" t="inlineStr">
        <is>
          <t>Not started</t>
        </is>
      </c>
      <c r="G13" s="13" t="inlineStr">
        <is>
          <t>N/A</t>
        </is>
      </c>
      <c r="H13" s="13" t="inlineStr">
        <is>
          <t>% done</t>
        </is>
      </c>
      <c r="I13" s="13" t="inlineStr">
        <is>
          <t>Open High</t>
        </is>
      </c>
    </row>
    <row r="14">
      <c r="B14" s="26" t="inlineStr">
        <is>
          <t>1. Scope &amp; plan</t>
        </is>
      </c>
      <c r="C14" s="27">
        <f>COUNTIF('Checklist'!$B$2:$B$59,$B14)</f>
        <v/>
      </c>
      <c r="D14" s="27">
        <f>COUNTIFS('Checklist'!$B$2:$B$59,$B14,'Checklist'!$H$2:$H$59,"Done")</f>
        <v/>
      </c>
      <c r="E14" s="27">
        <f>COUNTIFS('Checklist'!$B$2:$B$59,$B14,'Checklist'!$H$2:$H$59,"In progress")</f>
        <v/>
      </c>
      <c r="F14" s="27">
        <f>COUNTIFS('Checklist'!$B$2:$B$59,$B14,'Checklist'!$H$2:$H$59,"Not started")</f>
        <v/>
      </c>
      <c r="G14" s="27">
        <f>COUNTIFS('Checklist'!$B$2:$B$59,$B14,'Checklist'!$H$2:$H$59,"N/A")</f>
        <v/>
      </c>
      <c r="H14" s="31">
        <f>IFERROR(D14/(C14-G14),0)</f>
        <v/>
      </c>
      <c r="I14" s="27">
        <f>COUNTIFS('Checklist'!$B$2:$B$59,$B14,'Checklist'!$F$2:$F$59,"High",'Checklist'!$H$2:$H$59,"&lt;&gt;Done",'Checklist'!$H$2:$H$59,"&lt;&gt;N/A")</f>
        <v/>
      </c>
      <c r="J14" s="32">
        <f>REPT("█",ROUND(H14*10,0))&amp;REPT("░",10-ROUND(H14*10,0))</f>
        <v/>
      </c>
    </row>
    <row r="15">
      <c r="B15" s="26" t="inlineStr">
        <is>
          <t>2. Benchmark</t>
        </is>
      </c>
      <c r="C15" s="27">
        <f>COUNTIF('Checklist'!$B$2:$B$59,$B15)</f>
        <v/>
      </c>
      <c r="D15" s="27">
        <f>COUNTIFS('Checklist'!$B$2:$B$59,$B15,'Checklist'!$H$2:$H$59,"Done")</f>
        <v/>
      </c>
      <c r="E15" s="27">
        <f>COUNTIFS('Checklist'!$B$2:$B$59,$B15,'Checklist'!$H$2:$H$59,"In progress")</f>
        <v/>
      </c>
      <c r="F15" s="27">
        <f>COUNTIFS('Checklist'!$B$2:$B$59,$B15,'Checklist'!$H$2:$H$59,"Not started")</f>
        <v/>
      </c>
      <c r="G15" s="27">
        <f>COUNTIFS('Checklist'!$B$2:$B$59,$B15,'Checklist'!$H$2:$H$59,"N/A")</f>
        <v/>
      </c>
      <c r="H15" s="31">
        <f>IFERROR(D15/(C15-G15),0)</f>
        <v/>
      </c>
      <c r="I15" s="27">
        <f>COUNTIFS('Checklist'!$B$2:$B$59,$B15,'Checklist'!$F$2:$F$59,"High",'Checklist'!$H$2:$H$59,"&lt;&gt;Done",'Checklist'!$H$2:$H$59,"&lt;&gt;N/A")</f>
        <v/>
      </c>
      <c r="J15" s="32">
        <f>REPT("█",ROUND(H15*10,0))&amp;REPT("░",10-ROUND(H15*10,0))</f>
        <v/>
      </c>
    </row>
    <row r="16">
      <c r="B16" s="26" t="inlineStr">
        <is>
          <t>3. Redirect mapping</t>
        </is>
      </c>
      <c r="C16" s="27">
        <f>COUNTIF('Checklist'!$B$2:$B$59,$B16)</f>
        <v/>
      </c>
      <c r="D16" s="27">
        <f>COUNTIFS('Checklist'!$B$2:$B$59,$B16,'Checklist'!$H$2:$H$59,"Done")</f>
        <v/>
      </c>
      <c r="E16" s="27">
        <f>COUNTIFS('Checklist'!$B$2:$B$59,$B16,'Checklist'!$H$2:$H$59,"In progress")</f>
        <v/>
      </c>
      <c r="F16" s="27">
        <f>COUNTIFS('Checklist'!$B$2:$B$59,$B16,'Checklist'!$H$2:$H$59,"Not started")</f>
        <v/>
      </c>
      <c r="G16" s="27">
        <f>COUNTIFS('Checklist'!$B$2:$B$59,$B16,'Checklist'!$H$2:$H$59,"N/A")</f>
        <v/>
      </c>
      <c r="H16" s="31">
        <f>IFERROR(D16/(C16-G16),0)</f>
        <v/>
      </c>
      <c r="I16" s="27">
        <f>COUNTIFS('Checklist'!$B$2:$B$59,$B16,'Checklist'!$F$2:$F$59,"High",'Checklist'!$H$2:$H$59,"&lt;&gt;Done",'Checklist'!$H$2:$H$59,"&lt;&gt;N/A")</f>
        <v/>
      </c>
      <c r="J16" s="32">
        <f>REPT("█",ROUND(H16*10,0))&amp;REPT("░",10-ROUND(H16*10,0))</f>
        <v/>
      </c>
    </row>
    <row r="17">
      <c r="B17" s="26" t="inlineStr">
        <is>
          <t>4. Pre-launch (staging)</t>
        </is>
      </c>
      <c r="C17" s="27">
        <f>COUNTIF('Checklist'!$B$2:$B$59,$B17)</f>
        <v/>
      </c>
      <c r="D17" s="27">
        <f>COUNTIFS('Checklist'!$B$2:$B$59,$B17,'Checklist'!$H$2:$H$59,"Done")</f>
        <v/>
      </c>
      <c r="E17" s="27">
        <f>COUNTIFS('Checklist'!$B$2:$B$59,$B17,'Checklist'!$H$2:$H$59,"In progress")</f>
        <v/>
      </c>
      <c r="F17" s="27">
        <f>COUNTIFS('Checklist'!$B$2:$B$59,$B17,'Checklist'!$H$2:$H$59,"Not started")</f>
        <v/>
      </c>
      <c r="G17" s="27">
        <f>COUNTIFS('Checklist'!$B$2:$B$59,$B17,'Checklist'!$H$2:$H$59,"N/A")</f>
        <v/>
      </c>
      <c r="H17" s="31">
        <f>IFERROR(D17/(C17-G17),0)</f>
        <v/>
      </c>
      <c r="I17" s="27">
        <f>COUNTIFS('Checklist'!$B$2:$B$59,$B17,'Checklist'!$F$2:$F$59,"High",'Checklist'!$H$2:$H$59,"&lt;&gt;Done",'Checklist'!$H$2:$H$59,"&lt;&gt;N/A")</f>
        <v/>
      </c>
      <c r="J17" s="32">
        <f>REPT("█",ROUND(H17*10,0))&amp;REPT("░",10-ROUND(H17*10,0))</f>
        <v/>
      </c>
    </row>
    <row r="18">
      <c r="B18" s="26" t="inlineStr">
        <is>
          <t>5. Launch day</t>
        </is>
      </c>
      <c r="C18" s="27">
        <f>COUNTIF('Checklist'!$B$2:$B$59,$B18)</f>
        <v/>
      </c>
      <c r="D18" s="27">
        <f>COUNTIFS('Checklist'!$B$2:$B$59,$B18,'Checklist'!$H$2:$H$59,"Done")</f>
        <v/>
      </c>
      <c r="E18" s="27">
        <f>COUNTIFS('Checklist'!$B$2:$B$59,$B18,'Checklist'!$H$2:$H$59,"In progress")</f>
        <v/>
      </c>
      <c r="F18" s="27">
        <f>COUNTIFS('Checklist'!$B$2:$B$59,$B18,'Checklist'!$H$2:$H$59,"Not started")</f>
        <v/>
      </c>
      <c r="G18" s="27">
        <f>COUNTIFS('Checklist'!$B$2:$B$59,$B18,'Checklist'!$H$2:$H$59,"N/A")</f>
        <v/>
      </c>
      <c r="H18" s="31">
        <f>IFERROR(D18/(C18-G18),0)</f>
        <v/>
      </c>
      <c r="I18" s="27">
        <f>COUNTIFS('Checklist'!$B$2:$B$59,$B18,'Checklist'!$F$2:$F$59,"High",'Checklist'!$H$2:$H$59,"&lt;&gt;Done",'Checklist'!$H$2:$H$59,"&lt;&gt;N/A")</f>
        <v/>
      </c>
      <c r="J18" s="32">
        <f>REPT("█",ROUND(H18*10,0))&amp;REPT("░",10-ROUND(H18*10,0))</f>
        <v/>
      </c>
    </row>
    <row r="19">
      <c r="B19" s="26" t="inlineStr">
        <is>
          <t>6. First weeks</t>
        </is>
      </c>
      <c r="C19" s="27">
        <f>COUNTIF('Checklist'!$B$2:$B$59,$B19)</f>
        <v/>
      </c>
      <c r="D19" s="27">
        <f>COUNTIFS('Checklist'!$B$2:$B$59,$B19,'Checklist'!$H$2:$H$59,"Done")</f>
        <v/>
      </c>
      <c r="E19" s="27">
        <f>COUNTIFS('Checklist'!$B$2:$B$59,$B19,'Checklist'!$H$2:$H$59,"In progress")</f>
        <v/>
      </c>
      <c r="F19" s="27">
        <f>COUNTIFS('Checklist'!$B$2:$B$59,$B19,'Checklist'!$H$2:$H$59,"Not started")</f>
        <v/>
      </c>
      <c r="G19" s="27">
        <f>COUNTIFS('Checklist'!$B$2:$B$59,$B19,'Checklist'!$H$2:$H$59,"N/A")</f>
        <v/>
      </c>
      <c r="H19" s="31">
        <f>IFERROR(D19/(C19-G19),0)</f>
        <v/>
      </c>
      <c r="I19" s="27">
        <f>COUNTIFS('Checklist'!$B$2:$B$59,$B19,'Checklist'!$F$2:$F$59,"High",'Checklist'!$H$2:$H$59,"&lt;&gt;Done",'Checklist'!$H$2:$H$59,"&lt;&gt;N/A")</f>
        <v/>
      </c>
      <c r="J19" s="32">
        <f>REPT("█",ROUND(H19*10,0))&amp;REPT("░",10-ROUND(H19*10,0))</f>
        <v/>
      </c>
    </row>
    <row r="20">
      <c r="B20" s="26" t="inlineStr">
        <is>
          <t>7. Months 1 to 12</t>
        </is>
      </c>
      <c r="C20" s="27">
        <f>COUNTIF('Checklist'!$B$2:$B$59,$B20)</f>
        <v/>
      </c>
      <c r="D20" s="27">
        <f>COUNTIFS('Checklist'!$B$2:$B$59,$B20,'Checklist'!$H$2:$H$59,"Done")</f>
        <v/>
      </c>
      <c r="E20" s="27">
        <f>COUNTIFS('Checklist'!$B$2:$B$59,$B20,'Checklist'!$H$2:$H$59,"In progress")</f>
        <v/>
      </c>
      <c r="F20" s="27">
        <f>COUNTIFS('Checklist'!$B$2:$B$59,$B20,'Checklist'!$H$2:$H$59,"Not started")</f>
        <v/>
      </c>
      <c r="G20" s="27">
        <f>COUNTIFS('Checklist'!$B$2:$B$59,$B20,'Checklist'!$H$2:$H$59,"N/A")</f>
        <v/>
      </c>
      <c r="H20" s="31">
        <f>IFERROR(D20/(C20-G20),0)</f>
        <v/>
      </c>
      <c r="I20" s="27">
        <f>COUNTIFS('Checklist'!$B$2:$B$59,$B20,'Checklist'!$F$2:$F$59,"High",'Checklist'!$H$2:$H$59,"&lt;&gt;Done",'Checklist'!$H$2:$H$59,"&lt;&gt;N/A")</f>
        <v/>
      </c>
      <c r="J20" s="32">
        <f>REPT("█",ROUND(H20*10,0))&amp;REPT("░",10-ROUND(H20*10,0))</f>
        <v/>
      </c>
    </row>
    <row r="22">
      <c r="B22" s="33" t="inlineStr">
        <is>
          <t>Priority</t>
        </is>
      </c>
      <c r="C22" s="33" t="inlineStr">
        <is>
          <t>Checks</t>
        </is>
      </c>
      <c r="D22" s="33" t="inlineStr">
        <is>
          <t>Done</t>
        </is>
      </c>
      <c r="E22" s="33" t="inlineStr">
        <is>
          <t>Open</t>
        </is>
      </c>
      <c r="F22" s="33" t="inlineStr">
        <is>
          <t>% done</t>
        </is>
      </c>
    </row>
    <row r="23">
      <c r="B23" s="26" t="inlineStr">
        <is>
          <t>High</t>
        </is>
      </c>
      <c r="C23" s="27">
        <f>COUNTIF('Checklist'!$F$2:$F$59,$B23)</f>
        <v/>
      </c>
      <c r="D23" s="27">
        <f>COUNTIFS('Checklist'!$F$2:$F$59,$B23,'Checklist'!$H$2:$H$59,"Done")</f>
        <v/>
      </c>
      <c r="E23" s="27">
        <f>COUNTIFS('Checklist'!$F$2:$F$59,$B23,'Checklist'!$H$2:$H$59,"&lt;&gt;Done",'Checklist'!$H$2:$H$59,"&lt;&gt;N/A")</f>
        <v/>
      </c>
      <c r="F23" s="31">
        <f>IFERROR(D23/(C23-COUNTIFS('Checklist'!$F$2:$F$59,$B23,'Checklist'!$H$2:$H$59,"N/A")),0)</f>
        <v/>
      </c>
    </row>
    <row r="24">
      <c r="B24" s="26" t="inlineStr">
        <is>
          <t>Medium</t>
        </is>
      </c>
      <c r="C24" s="27">
        <f>COUNTIF('Checklist'!$F$2:$F$59,$B24)</f>
        <v/>
      </c>
      <c r="D24" s="27">
        <f>COUNTIFS('Checklist'!$F$2:$F$59,$B24,'Checklist'!$H$2:$H$59,"Done")</f>
        <v/>
      </c>
      <c r="E24" s="27">
        <f>COUNTIFS('Checklist'!$F$2:$F$59,$B24,'Checklist'!$H$2:$H$59,"&lt;&gt;Done",'Checklist'!$H$2:$H$59,"&lt;&gt;N/A")</f>
        <v/>
      </c>
      <c r="F24" s="31">
        <f>IFERROR(D24/(C24-COUNTIFS('Checklist'!$F$2:$F$59,$B24,'Checklist'!$H$2:$H$59,"N/A")),0)</f>
        <v/>
      </c>
    </row>
    <row r="25">
      <c r="B25" s="26" t="inlineStr">
        <is>
          <t>Low</t>
        </is>
      </c>
      <c r="C25" s="27">
        <f>COUNTIF('Checklist'!$F$2:$F$59,$B25)</f>
        <v/>
      </c>
      <c r="D25" s="27">
        <f>COUNTIFS('Checklist'!$F$2:$F$59,$B25,'Checklist'!$H$2:$H$59,"Done")</f>
        <v/>
      </c>
      <c r="E25" s="27">
        <f>COUNTIFS('Checklist'!$F$2:$F$59,$B25,'Checklist'!$H$2:$H$59,"&lt;&gt;Done",'Checklist'!$H$2:$H$59,"&lt;&gt;N/A")</f>
        <v/>
      </c>
      <c r="F25" s="31">
        <f>IFERROR(D25/(C25-COUNTIFS('Checklist'!$F$2:$F$59,$B25,'Checklist'!$H$2:$H$59,"N/A")),0)</f>
        <v/>
      </c>
    </row>
    <row r="27">
      <c r="B27" s="34" t="inlineStr">
        <is>
          <t>Redirect map</t>
        </is>
      </c>
    </row>
    <row r="28">
      <c r="B28" s="26" t="inlineStr">
        <is>
          <t>Old URLs listed</t>
        </is>
      </c>
      <c r="C28" s="27">
        <f>COUNTA('Redirect map'!$A$5:$A$2004)</f>
        <v/>
      </c>
    </row>
    <row r="29">
      <c r="B29" s="26" t="inlineStr">
        <is>
          <t>High-priority old URLs</t>
        </is>
      </c>
      <c r="C29" s="27">
        <f>COUNTIF('Redirect map'!$D$5:$D$2004,"High")</f>
        <v/>
      </c>
    </row>
    <row r="30">
      <c r="B30" s="26" t="inlineStr">
        <is>
          <t>Decision made</t>
        </is>
      </c>
      <c r="C30" s="27">
        <f>COUNTA('Redirect map'!$K$5:$K$2004)</f>
        <v/>
      </c>
    </row>
    <row r="31">
      <c r="B31" s="26" t="inlineStr">
        <is>
          <t>Needs decision</t>
        </is>
      </c>
      <c r="C31" s="27">
        <f>COUNTIF('Redirect map'!$T$5:$T$2004,"*Needs decision*")</f>
        <v/>
      </c>
    </row>
    <row r="32">
      <c r="B32" s="26" t="inlineStr">
        <is>
          <t>High-priority URLs still undecided</t>
        </is>
      </c>
      <c r="C32" s="27">
        <f>COUNTIFS('Redirect map'!$D$5:$D$2004,"High",'Redirect map'!$K$5:$K$2004,"")</f>
        <v/>
      </c>
    </row>
    <row r="33">
      <c r="B33" s="26" t="inlineStr">
        <is>
          <t>Accepted suggestion</t>
        </is>
      </c>
      <c r="C33" s="27">
        <f>COUNTIF('Redirect map'!$K$5:$K$2004,"Accept suggestion")</f>
        <v/>
      </c>
    </row>
    <row r="34">
      <c r="B34" s="26" t="inlineStr">
        <is>
          <t>Overridden</t>
        </is>
      </c>
      <c r="C34" s="27">
        <f>COUNTIF('Redirect map'!$K$5:$K$2004,"Override")</f>
        <v/>
      </c>
    </row>
    <row r="35">
      <c r="B35" s="26" t="inlineStr">
        <is>
          <t>410 or 404</t>
        </is>
      </c>
      <c r="C35" s="27">
        <f>COUNTIF('Redirect map'!$K$5:$K$2004,"410 Gone")+COUNTIF('Redirect map'!$K$5:$K$2004,"404")</f>
        <v/>
      </c>
    </row>
    <row r="36">
      <c r="B36" s="26" t="inlineStr">
        <is>
          <t>Flag: home page redirect</t>
        </is>
      </c>
      <c r="C36" s="27">
        <f>COUNTIF('Redirect map'!$T$5:$T$2004,"*Home page*")</f>
        <v/>
      </c>
    </row>
    <row r="37">
      <c r="B37" s="26" t="inlineStr">
        <is>
          <t>Flag: below your similarity threshold</t>
        </is>
      </c>
      <c r="C37" s="27">
        <f>COUNTIF('Redirect map'!$T$5:$T$2004,"*Below your threshold*")</f>
        <v/>
      </c>
    </row>
    <row r="38">
      <c r="B38" s="26" t="inlineStr">
        <is>
          <t>Flag: chain (more than one hop)</t>
        </is>
      </c>
      <c r="C38" s="27">
        <f>COUNTIF('Redirect map'!$T$5:$T$2004,"*Chain*")</f>
        <v/>
      </c>
    </row>
    <row r="39">
      <c r="B39" s="26" t="inlineStr">
        <is>
          <t>Flag: destination not 200</t>
        </is>
      </c>
      <c r="C39" s="27">
        <f>COUNTIF('Redirect map'!$T$5:$T$2004,"*not 200*")</f>
        <v/>
      </c>
    </row>
    <row r="40">
      <c r="B40" s="26" t="inlineStr">
        <is>
          <t>Flag: redirects to itself</t>
        </is>
      </c>
      <c r="C40" s="27">
        <f>COUNTIF('Redirect map'!$T$5:$T$2004,"*to itself*")</f>
        <v/>
      </c>
    </row>
    <row r="41">
      <c r="B41" s="26" t="inlineStr">
        <is>
          <t>QA: approved</t>
        </is>
      </c>
      <c r="C41" s="27">
        <f>COUNTIF('Redirect map'!$U$5:$U$2004,"Approved")</f>
        <v/>
      </c>
    </row>
    <row r="42">
      <c r="B42" s="26" t="inlineStr">
        <is>
          <t>QA: live and verified</t>
        </is>
      </c>
      <c r="C42" s="27">
        <f>COUNTIF('Redirect map'!$U$5:$U$2004,"Live and verified")</f>
        <v/>
      </c>
    </row>
    <row r="43">
      <c r="B43" s="26" t="inlineStr">
        <is>
          <t>QA: problem</t>
        </is>
      </c>
      <c r="C43" s="27">
        <f>COUNTIF('Redirect map'!$U$5:$U$2004,"Problem")</f>
        <v/>
      </c>
    </row>
    <row r="44">
      <c r="B44" s="26" t="inlineStr">
        <is>
          <t>% of old URLs live and verified</t>
        </is>
      </c>
      <c r="C44" s="28">
        <f>IFERROR(C42/C28,0)</f>
        <v/>
      </c>
      <c r="D44" s="29">
        <f>REPT("█",ROUND(C44*20,0))&amp;REPT("░",20-ROUND(C44*20,0))</f>
        <v/>
      </c>
    </row>
  </sheetData>
  <mergeCells count="2">
    <mergeCell ref="D10:H10"/>
    <mergeCell ref="D44:H44"/>
  </mergeCells>
  <conditionalFormatting sqref="B14:J20">
    <cfRule type="expression" priority="1" dxfId="5">
      <formula>MOD(ROW(),2)=0</formula>
    </cfRule>
  </conditionalFormatting>
  <conditionalFormatting sqref="I14:I20">
    <cfRule type="cellIs" priority="2" operator="greaterThan" dxfId="4">
      <formula>0</formula>
    </cfRule>
  </conditionalFormatting>
  <conditionalFormatting sqref="B23:B25">
    <cfRule type="cellIs" priority="3" operator="equal" dxfId="4" stopIfTrue="1">
      <formula>"High"</formula>
    </cfRule>
    <cfRule type="cellIs" priority="4" operator="equal" dxfId="3" stopIfTrue="1">
      <formula>"Low"</formula>
    </cfRule>
  </conditionalFormatting>
  <conditionalFormatting sqref="C31">
    <cfRule type="cellIs" priority="5" operator="greaterThan" dxfId="6">
      <formula>0</formula>
    </cfRule>
  </conditionalFormatting>
  <conditionalFormatting sqref="C32">
    <cfRule type="cellIs" priority="6" operator="greaterThan" dxfId="6">
      <formula>0</formula>
    </cfRule>
  </conditionalFormatting>
  <conditionalFormatting sqref="C36">
    <cfRule type="cellIs" priority="7" operator="greaterThan" dxfId="6">
      <formula>0</formula>
    </cfRule>
  </conditionalFormatting>
  <conditionalFormatting sqref="C37">
    <cfRule type="cellIs" priority="8" operator="greaterThan" dxfId="6">
      <formula>0</formula>
    </cfRule>
  </conditionalFormatting>
  <conditionalFormatting sqref="C38">
    <cfRule type="cellIs" priority="9" operator="greaterThan" dxfId="6">
      <formula>0</formula>
    </cfRule>
  </conditionalFormatting>
  <conditionalFormatting sqref="C39">
    <cfRule type="cellIs" priority="10" operator="greaterThan" dxfId="6">
      <formula>0</formula>
    </cfRule>
  </conditionalFormatting>
  <conditionalFormatting sqref="C40">
    <cfRule type="cellIs" priority="11" operator="greaterThan" dxfId="6">
      <formula>0</formula>
    </cfRule>
  </conditionalFormatting>
  <conditionalFormatting sqref="C43">
    <cfRule type="cellIs" priority="12" operator="greaterThan" dxfId="6">
      <formula>0</formula>
    </cfRule>
  </conditionalFormatting>
  <conditionalFormatting sqref="B28:C44">
    <cfRule type="expression" priority="13" dxfId="5">
      <formula>MOD(ROW(),2)=0</formula>
    </cfRule>
  </conditionalFormatting>
  <printOptions gridLines="0"/>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2026-10-24T10:47:58Z</dcterms:created>
  <dcterms:modified xmlns:dcterms="http://purl.org/dc/terms/" xmlns:xsi="http://www.w3.org/2001/XMLSchema-instance" xsi:type="dcterms:W3CDTF">2026-10-24T10:48:01Z</dcterms:modified>
</cp:coreProperties>
</file>