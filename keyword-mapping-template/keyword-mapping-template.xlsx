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Keyword Map" sheetId="2" state="visible" r:id="rId2"/>
    <sheet name="URL Summary" sheetId="3" state="visible" r:id="rId3"/>
    <sheet name="Cluster Summary" sheetId="4" state="visible" r:id="rId4"/>
    <sheet name="Dashboard" sheetId="5" state="visible" r:id="rId5"/>
    <sheet name="Settings" sheetId="6" state="visible" r:id="rId6"/>
  </sheets>
  <definedNames>
    <definedName name="_xlnm._FilterDatabase" localSheetId="1" hidden="1">'Keyword Map'!$A$2:$AB$1002</definedName>
    <definedName name="_xlnm._FilterDatabase" localSheetId="2" hidden="1">'URL Summary'!$A$2:$K$502</definedName>
    <definedName name="_xlnm._FilterDatabase" localSheetId="3" hidden="1">'Cluster Summary'!$A$2:$I$302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251046"/>
      <sz val="18"/>
    </font>
    <font>
      <name val="Inter"/>
      <i val="1"/>
      <color rgb="006B6880"/>
      <sz val="9"/>
    </font>
    <font>
      <name val="Inter"/>
      <b val="1"/>
      <color rgb="00251046"/>
      <sz val="11"/>
    </font>
    <font>
      <name val="Inter"/>
      <color rgb="001A0B32"/>
      <sz val="10"/>
    </font>
    <font>
      <name val="Inter"/>
      <b val="1"/>
      <color rgb="001A0B32"/>
      <sz val="10"/>
    </font>
    <font>
      <name val="Inter"/>
      <b val="1"/>
      <color rgb="00FFFFFF"/>
      <sz val="10"/>
    </font>
    <font>
      <name val="Inter"/>
      <b val="1"/>
      <color rgb="00251046"/>
      <sz val="9"/>
    </font>
    <font>
      <name val="Inter"/>
      <b val="1"/>
      <color rgb="008448EF"/>
      <sz val="9"/>
    </font>
    <font>
      <name val="Inter"/>
      <b val="1"/>
      <color rgb="00251046"/>
      <sz val="12"/>
    </font>
    <font>
      <name val="Inter"/>
      <i val="1"/>
      <color rgb="008448EF"/>
      <sz val="11"/>
    </font>
    <font>
      <name val="Inter"/>
      <b val="1"/>
      <color rgb="00251046"/>
      <sz val="10"/>
    </font>
    <font>
      <name val="Inter"/>
      <color rgb="008448EF"/>
      <sz val="10"/>
      <u val="single"/>
    </font>
  </fonts>
  <fills count="8">
    <fill>
      <patternFill/>
    </fill>
    <fill>
      <patternFill patternType="gray125"/>
    </fill>
    <fill>
      <patternFill patternType="solid">
        <fgColor rgb="00FFDE59"/>
      </patternFill>
    </fill>
    <fill>
      <patternFill patternType="solid">
        <fgColor rgb="00251046"/>
      </patternFill>
    </fill>
    <fill>
      <patternFill patternType="solid">
        <fgColor rgb="00F4F0FD"/>
      </patternFill>
    </fill>
    <fill>
      <patternFill patternType="solid">
        <fgColor rgb="00E7DDFD"/>
      </patternFill>
    </fill>
    <fill>
      <patternFill patternType="solid">
        <fgColor rgb="008448EF"/>
      </patternFill>
    </fill>
    <fill>
      <patternFill patternType="solid">
        <fgColor rgb="00FBE3E4"/>
      </patternFill>
    </fill>
  </fills>
  <borders count="2">
    <border>
      <left/>
      <right/>
      <top/>
      <bottom/>
      <diagonal/>
    </border>
    <border>
      <left style="thin">
        <color rgb="00D9D2EE"/>
      </left>
      <right style="thin">
        <color rgb="00D9D2EE"/>
      </right>
      <top style="thin">
        <color rgb="00D9D2EE"/>
      </top>
      <bottom style="thin">
        <color rgb="00D9D2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9" fillId="0" borderId="0" pivotButton="0" quotePrefix="0" xfId="0"/>
    <xf numFmtId="0" fontId="6" fillId="3" borderId="0" pivotButton="0" quotePrefix="0" xfId="0"/>
    <xf numFmtId="0" fontId="4" fillId="0" borderId="0" pivotButton="0" quotePrefix="0" xfId="0"/>
    <xf numFmtId="0" fontId="6" fillId="6" borderId="0" pivotButton="0" quotePrefix="0" xfId="0"/>
    <xf numFmtId="0" fontId="11" fillId="4" borderId="0" pivotButton="0" quotePrefix="0" xfId="0"/>
    <xf numFmtId="0" fontId="11" fillId="2" borderId="0" pivotButton="0" quotePrefix="0" xfId="0"/>
    <xf numFmtId="0" fontId="11" fillId="7" borderId="0" pivotButton="0" quotePrefix="0" xfId="0"/>
    <xf numFmtId="0" fontId="12" fillId="0" borderId="0" pivotButton="0" quotePrefix="0" xfId="0"/>
    <xf numFmtId="0" fontId="7" fillId="4" borderId="0" pivotButton="0" quotePrefix="0" xfId="0"/>
    <xf numFmtId="0" fontId="0" fillId="4" borderId="0" pivotButton="0" quotePrefix="0" xfId="0"/>
    <xf numFmtId="0" fontId="7" fillId="2" borderId="0" pivotButton="0" quotePrefix="0" xfId="0"/>
    <xf numFmtId="0" fontId="0" fillId="5" borderId="0" pivotButton="0" quotePrefix="0" xfId="0"/>
    <xf numFmtId="0" fontId="6" fillId="3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9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F0FD"/>
        </patternFill>
      </fill>
    </dxf>
    <dxf>
      <font>
        <b val="1"/>
      </font>
      <fill>
        <patternFill patternType="solid">
          <fgColor rgb="00FBE3E4"/>
        </patternFill>
      </fill>
    </dxf>
    <dxf>
      <fill>
        <patternFill patternType="solid">
          <fgColor rgb="00FFDE59"/>
        </patternFill>
      </fill>
    </dxf>
    <dxf>
      <font>
        <b val="1"/>
      </font>
      <fill>
        <patternFill patternType="solid">
          <fgColor rgb="00FFDE5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lforseo.com/machine-learning-implementation-guides/keyword-research/how-to-turn-semantic-keyword-research-into-an-actionable-seo-workflow/" TargetMode="External" Id="rId1" /><Relationship Type="http://schemas.openxmlformats.org/officeDocument/2006/relationships/hyperlink" Target="https://www.mlforseo.com/courses/semantic-ml-enabled-keyword-research/" TargetMode="External" Id="rId2" /><Relationship Type="http://schemas.openxmlformats.org/officeDocument/2006/relationships/hyperlink" Target="https://github.com/lazarinastoy/mlforseo-code/tree/main/search-intent-regex-classifier" TargetMode="External" Id="rId3" /></Relationships>
</file>

<file path=xl/worksheets/sheet1.xml><?xml version="1.0" encoding="utf-8"?>
<worksheet xmlns="http://schemas.openxmlformats.org/spreadsheetml/2006/main">
  <sheetPr>
    <tabColor rgb="00251046"/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Keyword Mapping Template</t>
        </is>
      </c>
    </row>
    <row r="2">
      <c r="A2" s="2" t="inlineStr">
        <is>
          <t>Keyword → URL with intent, priority and cannibalisation flags · by Lazarina Stoy · MLforSEO</t>
        </is>
      </c>
    </row>
    <row r="4">
      <c r="A4" s="3" t="inlineStr">
        <is>
          <t>What it does</t>
        </is>
      </c>
    </row>
    <row r="5">
      <c r="A5" s="4" t="inlineStr">
        <is>
          <t>Maps every keyword (or cluster) to one existing or planned URL, labels its search intent, scores priority, and flags</t>
        </is>
      </c>
    </row>
    <row r="6">
      <c r="A6" s="4" t="inlineStr">
        <is>
          <t>the problems that cause cannibalisation: a keyword mapped to two pages, a page with too many primary keywords, a page</t>
        </is>
      </c>
    </row>
    <row r="7">
      <c r="A7" s="4" t="inlineStr">
        <is>
          <t>spanning several clusters, a keyword whose intent doesn't fit the page type, and a ranking URL that isn't the one you chose.</t>
        </is>
      </c>
    </row>
    <row r="8">
      <c r="A8" s="4" t="inlineStr">
        <is>
          <t>It is the step between keyword clustering and content briefs.</t>
        </is>
      </c>
    </row>
    <row r="10">
      <c r="A10" s="3" t="inlineStr">
        <is>
          <t>How to use it</t>
        </is>
      </c>
    </row>
    <row r="11">
      <c r="A11" s="4" t="inlineStr">
        <is>
          <t>1. Settings: replace the Navigational words with your brand and product names. Check the page types and the intent-fit grid.</t>
        </is>
      </c>
    </row>
    <row r="12">
      <c r="A12" s="4" t="inlineStr">
        <is>
          <t>2. Keyword Map: delete the sample rows (columns A-L only), then paste your clustered keywords: keyword, cluster, volume, KD.</t>
        </is>
      </c>
    </row>
    <row r="13">
      <c r="A13" s="4" t="inlineStr">
        <is>
          <t xml:space="preserve">   Optional: current ranking URL and position from Search Console or your rank tracker, and an intent label from a classifier.</t>
        </is>
      </c>
    </row>
    <row r="14">
      <c r="A14" s="4" t="inlineStr">
        <is>
          <t>3. For each keyword pick a Target URL, Page status, Page type and Keyword role (one Primary per URL, the rest Secondary).</t>
        </is>
      </c>
    </row>
    <row r="15">
      <c r="A15" s="4" t="inlineStr">
        <is>
          <t>4. Read the Flags column. Fix cannibalisation first (choose one URL per keyword), then overloaded URLs, then intent mismatches.</t>
        </is>
      </c>
    </row>
    <row r="16">
      <c r="A16" s="4" t="inlineStr">
        <is>
          <t>5. URL Summary and Cluster Summary list every target URL and cluster with counts. Dashboard shows the totals.</t>
        </is>
      </c>
    </row>
    <row r="17">
      <c r="A17" s="4" t="inlineStr">
        <is>
          <t>6. Planned URLs with a Primary keyword are your content briefs: take them into the MLforSEO content brief template.</t>
        </is>
      </c>
    </row>
    <row r="19">
      <c r="A19" s="3" t="inlineStr">
        <is>
          <t>How the flags work</t>
        </is>
      </c>
    </row>
    <row r="20">
      <c r="A20" s="4" t="inlineStr">
        <is>
          <t>Cannibalisation: the same keyword (case and spaces ignored) appears on another row with a different target URL.</t>
        </is>
      </c>
    </row>
    <row r="21">
      <c r="A21" s="4" t="inlineStr">
        <is>
          <t>Too many primaries on URL: the target URL has more Primary keywords than the limit on Settings (default 1).</t>
        </is>
      </c>
    </row>
    <row r="22">
      <c r="A22" s="4" t="inlineStr">
        <is>
          <t>URL spans 2+ clusters: the same target URL also holds keywords from another cluster.</t>
        </is>
      </c>
    </row>
    <row r="23">
      <c r="A23" s="4" t="inlineStr">
        <is>
          <t>Intent mismatch: the keyword's final intent is marked 'No' for that page type in the Settings grid.</t>
        </is>
      </c>
    </row>
    <row r="24">
      <c r="A24" s="4" t="inlineStr">
        <is>
          <t>Ranking URL is not the target: Search Console or your tracker shows a different page ranking (trailing slash and case ignored).</t>
        </is>
      </c>
    </row>
    <row r="25">
      <c r="A25" s="4" t="inlineStr">
        <is>
          <t xml:space="preserve">   On a Planned page this is expected: it tells you which existing page will compete until you relink or redirect it.</t>
        </is>
      </c>
    </row>
    <row r="26">
      <c r="A26" s="4" t="inlineStr">
        <is>
          <t>Intent: a pasted label wins; otherwise whole-word rules from Settings (Navigational &gt; Transactional &gt; Commercial &gt; Informational).</t>
        </is>
      </c>
    </row>
    <row r="27">
      <c r="A27" s="4" t="inlineStr">
        <is>
          <t>Priority score (0-100): volume points (log scale) + ease points (100 - KD) + intent points. All weights live on Settings.</t>
        </is>
      </c>
    </row>
    <row r="29">
      <c r="A29" s="5" t="inlineStr">
        <is>
          <t>Legend</t>
        </is>
      </c>
    </row>
    <row r="30">
      <c r="A30" s="6" t="inlineStr">
        <is>
          <t>Dark header</t>
        </is>
      </c>
      <c r="B30" s="7" t="inlineStr">
        <is>
          <t>Input column: paste or type here.</t>
        </is>
      </c>
    </row>
    <row r="31">
      <c r="A31" s="8" t="inlineStr">
        <is>
          <t>Purple header</t>
        </is>
      </c>
      <c r="B31" s="7" t="inlineStr">
        <is>
          <t>Calculated column: formulas, please don't type over them.</t>
        </is>
      </c>
    </row>
    <row r="32">
      <c r="A32" s="9" t="inlineStr">
        <is>
          <t>Lavender band</t>
        </is>
      </c>
      <c r="B32" s="7" t="inlineStr">
        <is>
          <t>Readability banding and paste zones.</t>
        </is>
      </c>
    </row>
    <row r="33">
      <c r="A33" s="10" t="inlineStr">
        <is>
          <t>Yellow cell</t>
        </is>
      </c>
      <c r="B33" s="7" t="inlineStr">
        <is>
          <t>A flag that needs a human look, or an editable setting.</t>
        </is>
      </c>
    </row>
    <row r="34">
      <c r="A34" s="11" t="inlineStr">
        <is>
          <t>Soft red</t>
        </is>
      </c>
      <c r="B34" s="7" t="inlineStr">
        <is>
          <t>A stronger warning (for example cannibalisation or a prune decision).</t>
        </is>
      </c>
    </row>
    <row r="35">
      <c r="A35" s="3" t="inlineStr">
        <is>
          <t>Good to know</t>
        </is>
      </c>
    </row>
    <row r="36">
      <c r="A36" s="4" t="inlineStr">
        <is>
          <t>Works in Google Sheets and Excel: formulas are INDEX/MATCH, COUNTIFS, SUMIFS, SUMPRODUCT and IF. Room for 1,000 keywords</t>
        </is>
      </c>
    </row>
    <row r="37">
      <c r="A37" s="4" t="inlineStr">
        <is>
          <t>(copy the last formula row down for more). Rule-based intent is a first pass, not ground truth. COUNTIFS ignores case.</t>
        </is>
      </c>
    </row>
    <row r="39">
      <c r="A39" s="5" t="inlineStr">
        <is>
          <t>Credits</t>
        </is>
      </c>
    </row>
    <row r="40">
      <c r="A40" s="7" t="inlineStr">
        <is>
          <t>Template by Lazarina Stoy · MLforSEO (mlforseo.com). Free to use and adapt; please keep this credit.</t>
        </is>
      </c>
    </row>
    <row r="41">
      <c r="A41" s="12" t="inlineStr">
        <is>
          <t>Read: How to turn semantic keyword research into an actionable SEO workflow (MLforSEO)</t>
        </is>
      </c>
    </row>
    <row r="42">
      <c r="A42" s="12" t="inlineStr">
        <is>
          <t>Course: Semantic ML-enabled Keyword Research (MLforSEO Academy)</t>
        </is>
      </c>
    </row>
    <row r="43">
      <c r="A43" s="12" t="inlineStr">
        <is>
          <t>Free intent classifier (code): github.com/lazarinastoy/mlforseo-code/search-intent-regex-classifier</t>
        </is>
      </c>
    </row>
  </sheetData>
  <hyperlinks>
    <hyperlink xmlns:r="http://schemas.openxmlformats.org/officeDocument/2006/relationships" ref="A41" r:id="rId1"/>
    <hyperlink xmlns:r="http://schemas.openxmlformats.org/officeDocument/2006/relationships" ref="A42" r:id="rId2"/>
    <hyperlink xmlns:r="http://schemas.openxmlformats.org/officeDocument/2006/relationships" ref="A43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448EF"/>
    <outlinePr summaryBelow="1" summaryRight="1"/>
    <pageSetUpPr/>
  </sheetPr>
  <dimension ref="A1:AB10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1" customWidth="1" min="3" max="3"/>
    <col width="11" customWidth="1" min="4" max="4"/>
    <col width="40" customWidth="1" min="5" max="5"/>
    <col width="10" customWidth="1" min="6" max="6"/>
    <col width="44" customWidth="1" min="7" max="7"/>
    <col width="14" customWidth="1" min="8" max="8"/>
    <col width="22" customWidth="1" min="9" max="9"/>
    <col width="11" customWidth="1" min="10" max="10"/>
    <col width="15" customWidth="1" min="11" max="11"/>
    <col width="30" customWidth="1" min="12" max="12"/>
    <col width="30" customWidth="1" min="13" max="13"/>
    <col width="15" customWidth="1" min="14" max="14"/>
    <col width="14" customWidth="1" min="15" max="15"/>
    <col width="10" customWidth="1" min="16" max="16"/>
    <col width="11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1" customWidth="1" min="23" max="23"/>
    <col width="13" customWidth="1" min="24" max="24"/>
    <col width="8" customWidth="1" min="25" max="25"/>
    <col width="46" customWidth="1" min="26" max="26"/>
    <col width="9" customWidth="1" min="27" max="27"/>
    <col width="9" customWidth="1" min="28" max="28"/>
  </cols>
  <sheetData>
    <row r="1">
      <c r="A1" s="13" t="inlineStr">
        <is>
          <t>PASTE OR TYPE HERE (keyword research export + your mapping decisions)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5" t="inlineStr">
        <is>
          <t>SAMPLE DATA rows 3-29 (synthetic site stride-example.com). Clear columns A-L and paste your own.</t>
        </is>
      </c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</row>
    <row r="2" ht="34" customHeight="1">
      <c r="A2" s="17" t="inlineStr">
        <is>
          <t>Keyword</t>
        </is>
      </c>
      <c r="B2" s="17" t="inlineStr">
        <is>
          <t>Cluster</t>
        </is>
      </c>
      <c r="C2" s="17" t="inlineStr">
        <is>
          <t>Search volume</t>
        </is>
      </c>
      <c r="D2" s="17" t="inlineStr">
        <is>
          <t>Keyword difficulty</t>
        </is>
      </c>
      <c r="E2" s="17" t="inlineStr">
        <is>
          <t>Current ranking URL</t>
        </is>
      </c>
      <c r="F2" s="17" t="inlineStr">
        <is>
          <t>Current position</t>
        </is>
      </c>
      <c r="G2" s="17" t="inlineStr">
        <is>
          <t>Target URL</t>
        </is>
      </c>
      <c r="H2" s="17" t="inlineStr">
        <is>
          <t>Page status</t>
        </is>
      </c>
      <c r="I2" s="17" t="inlineStr">
        <is>
          <t>Page type</t>
        </is>
      </c>
      <c r="J2" s="17" t="inlineStr">
        <is>
          <t>Keyword role</t>
        </is>
      </c>
      <c r="K2" s="17" t="inlineStr">
        <is>
          <t>Intent (pasted, optional)</t>
        </is>
      </c>
      <c r="L2" s="17" t="inlineStr">
        <is>
          <t>Notes</t>
        </is>
      </c>
      <c r="M2" s="18" t="inlineStr">
        <is>
          <t>Keyword (clean)</t>
        </is>
      </c>
      <c r="N2" s="18" t="inlineStr">
        <is>
          <t>Rule-based intent</t>
        </is>
      </c>
      <c r="O2" s="18" t="inlineStr">
        <is>
          <t>Final intent</t>
        </is>
      </c>
      <c r="P2" s="18" t="inlineStr">
        <is>
          <t>Priority score</t>
        </is>
      </c>
      <c r="Q2" s="18" t="inlineStr">
        <is>
          <t>Other URLs for this keyword</t>
        </is>
      </c>
      <c r="R2" s="18" t="inlineStr">
        <is>
          <t>Cannibalisation</t>
        </is>
      </c>
      <c r="S2" s="18" t="inlineStr">
        <is>
          <t>Primary keywords on target URL</t>
        </is>
      </c>
      <c r="T2" s="18" t="inlineStr">
        <is>
          <t>Too many primaries on URL</t>
        </is>
      </c>
      <c r="U2" s="18" t="inlineStr">
        <is>
          <t>URL spans 2+ clusters</t>
        </is>
      </c>
      <c r="V2" s="18" t="inlineStr">
        <is>
          <t>Intent fit (page type)</t>
        </is>
      </c>
      <c r="W2" s="18" t="inlineStr">
        <is>
          <t>Intent mismatch</t>
        </is>
      </c>
      <c r="X2" s="18" t="inlineStr">
        <is>
          <t>Ranking URL is not the target</t>
        </is>
      </c>
      <c r="Y2" s="18" t="inlineStr">
        <is>
          <t>Flag count</t>
        </is>
      </c>
      <c r="Z2" s="18" t="inlineStr">
        <is>
          <t>Flags</t>
        </is>
      </c>
      <c r="AA2" s="18" t="inlineStr">
        <is>
          <t>URL index (helper)</t>
        </is>
      </c>
      <c r="AB2" s="18" t="inlineStr">
        <is>
          <t>Cluster index (helper)</t>
        </is>
      </c>
    </row>
    <row r="3">
      <c r="A3" t="inlineStr">
        <is>
          <t>trail running shoes</t>
        </is>
      </c>
      <c r="B3" t="inlineStr">
        <is>
          <t>Trail shoes</t>
        </is>
      </c>
      <c r="C3" t="n">
        <v>9900</v>
      </c>
      <c r="D3" t="n">
        <v>54</v>
      </c>
      <c r="E3" t="inlineStr">
        <is>
          <t>https://www.stride-example.com/trail-running-shoes/</t>
        </is>
      </c>
      <c r="F3" t="n">
        <v>14</v>
      </c>
      <c r="G3" t="inlineStr">
        <is>
          <t>https://www.stride-example.com/trail-running-shoes/</t>
        </is>
      </c>
      <c r="H3" t="inlineStr">
        <is>
          <t>Existing</t>
        </is>
      </c>
      <c r="I3" t="inlineStr">
        <is>
          <t>Category / collection</t>
        </is>
      </c>
      <c r="J3" t="inlineStr">
        <is>
          <t>Primary</t>
        </is>
      </c>
      <c r="K3" t="inlineStr">
        <is>
          <t>Commercial</t>
        </is>
      </c>
      <c r="L3" t="inlineStr">
        <is>
          <t>Intent pasted from a SERP-based classifier</t>
        </is>
      </c>
      <c r="M3">
        <f>IF(A3="","",LOWER(TRIM(SUBSTITUTE(SUBSTITUTE(A3,"?",""),"*",""))))</f>
        <v/>
      </c>
      <c r="N3">
        <f>IF(M3="","",IF(SUMPRODUCT(ISNUMBER(SEARCH(" "&amp;Settings!$L$5:$L$124&amp;" "," "&amp;M3&amp;" "))*(Settings!$K$5:$K$124="Navigational")*(Settings!$L$5:$L$124&lt;&gt;""))&gt;0,"Navigational",IF(SUMPRODUCT(ISNUMBER(SEARCH(" "&amp;Settings!$L$5:$L$124&amp;" "," "&amp;M3&amp;" "))*(Settings!$K$5:$K$124="Transactional")*(Settings!$L$5:$L$124&lt;&gt;""))&gt;0,"Transactional",IF(SUMPRODUCT(ISNUMBER(SEARCH(" "&amp;Settings!$L$5:$L$124&amp;" "," "&amp;M3&amp;" "))*(Settings!$K$5:$K$124="Commercial")*(Settings!$L$5:$L$124&lt;&gt;""))&gt;0,"Commercial",IF(SUMPRODUCT(ISNUMBER(SEARCH(" "&amp;Settings!$L$5:$L$124&amp;" "," "&amp;M3&amp;" "))*(Settings!$K$5:$K$124="Informational")*(Settings!$L$5:$L$124&lt;&gt;""))&gt;0,"Informational","Unclassified")))))</f>
        <v/>
      </c>
      <c r="O3">
        <f>IF(A3="","",IF(K3&lt;&gt;"",PROPER(K3),N3))</f>
        <v/>
      </c>
      <c r="P3">
        <f>IF(A3="","",ROUND(Settings!$B$5*MIN(1,LOG10(N(C3)+1)/LOG10(Settings!$B$7+1))+Settings!$B$6*(1-MIN(100,IF(D3="",50,N(D3)))/100)+IFERROR(INDEX(Settings!$B$10:$B$14,MATCH(O3,Settings!$A$10:$A$14,0)),0),0))</f>
        <v/>
      </c>
      <c r="Q3">
        <f>IF(OR(A3="",G3=""),"",COUNTIFS($M$3:$M$1002,M3,$G$3:$G$1002,"&lt;&gt;"&amp;SUBSTITUTE(SUBSTITUTE(G3,"?","~?"),"*","~*"),$G$3:$G$1002,"?*"))</f>
        <v/>
      </c>
      <c r="R3">
        <f>IF(Q3="","",IF(Q3&gt;0,"Yes","No"))</f>
        <v/>
      </c>
      <c r="S3">
        <f>IF(G3="","",COUNTIFS($G$3:$G$1002,SUBSTITUTE(SUBSTITUTE(G3,"?","~?"),"*","~*"),$J$3:$J$1002,"Primary"))</f>
        <v/>
      </c>
      <c r="T3">
        <f>IF(S3="","",IF(S3&gt;Settings!$B$4,"Yes","No"))</f>
        <v/>
      </c>
      <c r="U3">
        <f>IF(OR(G3="",B3=""),"",IF(COUNTIFS($G$3:$G$1002,SUBSTITUTE(SUBSTITUTE(G3,"?","~?"),"*","~*"),$B$3:$B$1002,"&lt;&gt;"&amp;SUBSTITUTE(SUBSTITUTE(B3,"?","~?"),"*","~*"),$B$3:$B$1002,"?*")&gt;0,"Yes","No"))</f>
        <v/>
      </c>
      <c r="V3">
        <f>IF(OR(G3="",I3="",O3="",O3="Unclassified"),"",IFERROR(INDEX(Settings!$E$5:$H$16,MATCH(I3,Settings!$D$5:$D$16,0),MATCH(O3,Settings!$E$4:$H$4,0)),"Check"))</f>
        <v/>
      </c>
      <c r="W3">
        <f>IF(V3="","",IF(V3="No","Yes","No"))</f>
        <v/>
      </c>
      <c r="X3">
        <f>IF(OR(E3="",G3=""),"",IF(LOWER(IF(RIGHT(TRIM(E3),1)="/",LEFT(TRIM(E3),LEN(TRIM(E3))-1),TRIM(E3)))&lt;&gt;LOWER(IF(RIGHT(TRIM(G3),1)="/",LEFT(TRIM(G3),LEN(TRIM(G3))-1),TRIM(G3))),"Yes","No"))</f>
        <v/>
      </c>
      <c r="Y3">
        <f>IF(A3="","",(N(Q3)&gt;0)+(T3="Yes")+(U3="Yes")+(W3="Yes")+(X3="Yes"))</f>
        <v/>
      </c>
      <c r="Z3">
        <f>IF(A3="","",IF(G3="","Not mapped",IF(Y3=0,"OK",MID(IF(N(Q3)&gt;0,"; Cannibalisation","")&amp;IF(T3="Yes","; Too many primary keywords on URL","")&amp;IF(U3="Yes","; URL spans 2+ clusters","")&amp;IF(W3="Yes","; Intent mismatch","")&amp;IF(X3="Yes","; Ranking URL is not the target",""),3,300))))</f>
        <v/>
      </c>
      <c r="AA3">
        <f>IF(G3="","",IF(COUNTIF($G$3:G3,SUBSTITUTE(SUBSTITUTE(G3,"?","~?"),"*","~*"))=1,MAX($AA$2:AA2)+1,""))</f>
        <v/>
      </c>
      <c r="AB3">
        <f>IF(B3="","",IF(COUNTIF($B$3:B3,SUBSTITUTE(SUBSTITUTE(B3,"?","~?"),"*","~*"))=1,MAX($AB$2:AB2)+1,""))</f>
        <v/>
      </c>
    </row>
    <row r="4">
      <c r="A4" t="inlineStr">
        <is>
          <t>best trail running shoes</t>
        </is>
      </c>
      <c r="B4" t="inlineStr">
        <is>
          <t>Trail shoes</t>
        </is>
      </c>
      <c r="C4" t="n">
        <v>4400</v>
      </c>
      <c r="D4" t="n">
        <v>61</v>
      </c>
      <c r="E4" t="inlineStr">
        <is>
          <t>https://www.stride-example.com/blog/best-trail-running-shoes/</t>
        </is>
      </c>
      <c r="F4" t="n">
        <v>9</v>
      </c>
      <c r="G4" t="inlineStr">
        <is>
          <t>https://www.stride-example.com/blog/best-trail-running-shoes/</t>
        </is>
      </c>
      <c r="H4" t="inlineStr">
        <is>
          <t>Existing</t>
        </is>
      </c>
      <c r="I4" t="inlineStr">
        <is>
          <t>Comparison / review</t>
        </is>
      </c>
      <c r="J4" t="inlineStr">
        <is>
          <t>Primary</t>
        </is>
      </c>
      <c r="M4">
        <f>IF(A4="","",LOWER(TRIM(SUBSTITUTE(SUBSTITUTE(A4,"?",""),"*",""))))</f>
        <v/>
      </c>
      <c r="N4">
        <f>IF(M4="","",IF(SUMPRODUCT(ISNUMBER(SEARCH(" "&amp;Settings!$L$5:$L$124&amp;" "," "&amp;M4&amp;" "))*(Settings!$K$5:$K$124="Navigational")*(Settings!$L$5:$L$124&lt;&gt;""))&gt;0,"Navigational",IF(SUMPRODUCT(ISNUMBER(SEARCH(" "&amp;Settings!$L$5:$L$124&amp;" "," "&amp;M4&amp;" "))*(Settings!$K$5:$K$124="Transactional")*(Settings!$L$5:$L$124&lt;&gt;""))&gt;0,"Transactional",IF(SUMPRODUCT(ISNUMBER(SEARCH(" "&amp;Settings!$L$5:$L$124&amp;" "," "&amp;M4&amp;" "))*(Settings!$K$5:$K$124="Commercial")*(Settings!$L$5:$L$124&lt;&gt;""))&gt;0,"Commercial",IF(SUMPRODUCT(ISNUMBER(SEARCH(" "&amp;Settings!$L$5:$L$124&amp;" "," "&amp;M4&amp;" "))*(Settings!$K$5:$K$124="Informational")*(Settings!$L$5:$L$124&lt;&gt;""))&gt;0,"Informational","Unclassified")))))</f>
        <v/>
      </c>
      <c r="O4">
        <f>IF(A4="","",IF(K4&lt;&gt;"",PROPER(K4),N4))</f>
        <v/>
      </c>
      <c r="P4">
        <f>IF(A4="","",ROUND(Settings!$B$5*MIN(1,LOG10(N(C4)+1)/LOG10(Settings!$B$7+1))+Settings!$B$6*(1-MIN(100,IF(D4="",50,N(D4)))/100)+IFERROR(INDEX(Settings!$B$10:$B$14,MATCH(O4,Settings!$A$10:$A$14,0)),0),0))</f>
        <v/>
      </c>
      <c r="Q4">
        <f>IF(OR(A4="",G4=""),"",COUNTIFS($M$3:$M$1002,M4,$G$3:$G$1002,"&lt;&gt;"&amp;SUBSTITUTE(SUBSTITUTE(G4,"?","~?"),"*","~*"),$G$3:$G$1002,"?*"))</f>
        <v/>
      </c>
      <c r="R4">
        <f>IF(Q4="","",IF(Q4&gt;0,"Yes","No"))</f>
        <v/>
      </c>
      <c r="S4">
        <f>IF(G4="","",COUNTIFS($G$3:$G$1002,SUBSTITUTE(SUBSTITUTE(G4,"?","~?"),"*","~*"),$J$3:$J$1002,"Primary"))</f>
        <v/>
      </c>
      <c r="T4">
        <f>IF(S4="","",IF(S4&gt;Settings!$B$4,"Yes","No"))</f>
        <v/>
      </c>
      <c r="U4">
        <f>IF(OR(G4="",B4=""),"",IF(COUNTIFS($G$3:$G$1002,SUBSTITUTE(SUBSTITUTE(G4,"?","~?"),"*","~*"),$B$3:$B$1002,"&lt;&gt;"&amp;SUBSTITUTE(SUBSTITUTE(B4,"?","~?"),"*","~*"),$B$3:$B$1002,"?*")&gt;0,"Yes","No"))</f>
        <v/>
      </c>
      <c r="V4">
        <f>IF(OR(G4="",I4="",O4="",O4="Unclassified"),"",IFERROR(INDEX(Settings!$E$5:$H$16,MATCH(I4,Settings!$D$5:$D$16,0),MATCH(O4,Settings!$E$4:$H$4,0)),"Check"))</f>
        <v/>
      </c>
      <c r="W4">
        <f>IF(V4="","",IF(V4="No","Yes","No"))</f>
        <v/>
      </c>
      <c r="X4">
        <f>IF(OR(E4="",G4=""),"",IF(LOWER(IF(RIGHT(TRIM(E4),1)="/",LEFT(TRIM(E4),LEN(TRIM(E4))-1),TRIM(E4)))&lt;&gt;LOWER(IF(RIGHT(TRIM(G4),1)="/",LEFT(TRIM(G4),LEN(TRIM(G4))-1),TRIM(G4))),"Yes","No"))</f>
        <v/>
      </c>
      <c r="Y4">
        <f>IF(A4="","",(N(Q4)&gt;0)+(T4="Yes")+(U4="Yes")+(W4="Yes")+(X4="Yes"))</f>
        <v/>
      </c>
      <c r="Z4">
        <f>IF(A4="","",IF(G4="","Not mapped",IF(Y4=0,"OK",MID(IF(N(Q4)&gt;0,"; Cannibalisation","")&amp;IF(T4="Yes","; Too many primary keywords on URL","")&amp;IF(U4="Yes","; URL spans 2+ clusters","")&amp;IF(W4="Yes","; Intent mismatch","")&amp;IF(X4="Yes","; Ranking URL is not the target",""),3,300))))</f>
        <v/>
      </c>
      <c r="AA4">
        <f>IF(G4="","",IF(COUNTIF($G$3:G4,SUBSTITUTE(SUBSTITUTE(G4,"?","~?"),"*","~*"))=1,MAX($AA$2:AA3)+1,""))</f>
        <v/>
      </c>
      <c r="AB4">
        <f>IF(B4="","",IF(COUNTIF($B$3:B4,SUBSTITUTE(SUBSTITUTE(B4,"?","~?"),"*","~*"))=1,MAX($AB$2:AB3)+1,""))</f>
        <v/>
      </c>
    </row>
    <row r="5">
      <c r="A5" t="inlineStr">
        <is>
          <t>trail running shoes for beginners</t>
        </is>
      </c>
      <c r="B5" t="inlineStr">
        <is>
          <t>Trail shoes</t>
        </is>
      </c>
      <c r="C5" t="n">
        <v>590</v>
      </c>
      <c r="D5" t="n">
        <v>22</v>
      </c>
      <c r="E5" t="inlineStr">
        <is>
          <t>https://www.stride-example.com/blog/best-trail-running-shoes/</t>
        </is>
      </c>
      <c r="F5" t="n">
        <v>18</v>
      </c>
      <c r="G5" t="inlineStr">
        <is>
          <t>https://www.stride-example.com/blog/trail-running-for-beginners/</t>
        </is>
      </c>
      <c r="H5" t="inlineStr">
        <is>
          <t>Planned</t>
        </is>
      </c>
      <c r="I5" t="inlineStr">
        <is>
          <t>Blog post / guide</t>
        </is>
      </c>
      <c r="J5" t="inlineStr">
        <is>
          <t>Primary</t>
        </is>
      </c>
      <c r="L5" t="inlineStr">
        <is>
          <t>New guide planned</t>
        </is>
      </c>
      <c r="M5">
        <f>IF(A5="","",LOWER(TRIM(SUBSTITUTE(SUBSTITUTE(A5,"?",""),"*",""))))</f>
        <v/>
      </c>
      <c r="N5">
        <f>IF(M5="","",IF(SUMPRODUCT(ISNUMBER(SEARCH(" "&amp;Settings!$L$5:$L$124&amp;" "," "&amp;M5&amp;" "))*(Settings!$K$5:$K$124="Navigational")*(Settings!$L$5:$L$124&lt;&gt;""))&gt;0,"Navigational",IF(SUMPRODUCT(ISNUMBER(SEARCH(" "&amp;Settings!$L$5:$L$124&amp;" "," "&amp;M5&amp;" "))*(Settings!$K$5:$K$124="Transactional")*(Settings!$L$5:$L$124&lt;&gt;""))&gt;0,"Transactional",IF(SUMPRODUCT(ISNUMBER(SEARCH(" "&amp;Settings!$L$5:$L$124&amp;" "," "&amp;M5&amp;" "))*(Settings!$K$5:$K$124="Commercial")*(Settings!$L$5:$L$124&lt;&gt;""))&gt;0,"Commercial",IF(SUMPRODUCT(ISNUMBER(SEARCH(" "&amp;Settings!$L$5:$L$124&amp;" "," "&amp;M5&amp;" "))*(Settings!$K$5:$K$124="Informational")*(Settings!$L$5:$L$124&lt;&gt;""))&gt;0,"Informational","Unclassified")))))</f>
        <v/>
      </c>
      <c r="O5">
        <f>IF(A5="","",IF(K5&lt;&gt;"",PROPER(K5),N5))</f>
        <v/>
      </c>
      <c r="P5">
        <f>IF(A5="","",ROUND(Settings!$B$5*MIN(1,LOG10(N(C5)+1)/LOG10(Settings!$B$7+1))+Settings!$B$6*(1-MIN(100,IF(D5="",50,N(D5)))/100)+IFERROR(INDEX(Settings!$B$10:$B$14,MATCH(O5,Settings!$A$10:$A$14,0)),0),0))</f>
        <v/>
      </c>
      <c r="Q5">
        <f>IF(OR(A5="",G5=""),"",COUNTIFS($M$3:$M$1002,M5,$G$3:$G$1002,"&lt;&gt;"&amp;SUBSTITUTE(SUBSTITUTE(G5,"?","~?"),"*","~*"),$G$3:$G$1002,"?*"))</f>
        <v/>
      </c>
      <c r="R5">
        <f>IF(Q5="","",IF(Q5&gt;0,"Yes","No"))</f>
        <v/>
      </c>
      <c r="S5">
        <f>IF(G5="","",COUNTIFS($G$3:$G$1002,SUBSTITUTE(SUBSTITUTE(G5,"?","~?"),"*","~*"),$J$3:$J$1002,"Primary"))</f>
        <v/>
      </c>
      <c r="T5">
        <f>IF(S5="","",IF(S5&gt;Settings!$B$4,"Yes","No"))</f>
        <v/>
      </c>
      <c r="U5">
        <f>IF(OR(G5="",B5=""),"",IF(COUNTIFS($G$3:$G$1002,SUBSTITUTE(SUBSTITUTE(G5,"?","~?"),"*","~*"),$B$3:$B$1002,"&lt;&gt;"&amp;SUBSTITUTE(SUBSTITUTE(B5,"?","~?"),"*","~*"),$B$3:$B$1002,"?*")&gt;0,"Yes","No"))</f>
        <v/>
      </c>
      <c r="V5">
        <f>IF(OR(G5="",I5="",O5="",O5="Unclassified"),"",IFERROR(INDEX(Settings!$E$5:$H$16,MATCH(I5,Settings!$D$5:$D$16,0),MATCH(O5,Settings!$E$4:$H$4,0)),"Check"))</f>
        <v/>
      </c>
      <c r="W5">
        <f>IF(V5="","",IF(V5="No","Yes","No"))</f>
        <v/>
      </c>
      <c r="X5">
        <f>IF(OR(E5="",G5=""),"",IF(LOWER(IF(RIGHT(TRIM(E5),1)="/",LEFT(TRIM(E5),LEN(TRIM(E5))-1),TRIM(E5)))&lt;&gt;LOWER(IF(RIGHT(TRIM(G5),1)="/",LEFT(TRIM(G5),LEN(TRIM(G5))-1),TRIM(G5))),"Yes","No"))</f>
        <v/>
      </c>
      <c r="Y5">
        <f>IF(A5="","",(N(Q5)&gt;0)+(T5="Yes")+(U5="Yes")+(W5="Yes")+(X5="Yes"))</f>
        <v/>
      </c>
      <c r="Z5">
        <f>IF(A5="","",IF(G5="","Not mapped",IF(Y5=0,"OK",MID(IF(N(Q5)&gt;0,"; Cannibalisation","")&amp;IF(T5="Yes","; Too many primary keywords on URL","")&amp;IF(U5="Yes","; URL spans 2+ clusters","")&amp;IF(W5="Yes","; Intent mismatch","")&amp;IF(X5="Yes","; Ranking URL is not the target",""),3,300))))</f>
        <v/>
      </c>
      <c r="AA5">
        <f>IF(G5="","",IF(COUNTIF($G$3:G5,SUBSTITUTE(SUBSTITUTE(G5,"?","~?"),"*","~*"))=1,MAX($AA$2:AA4)+1,""))</f>
        <v/>
      </c>
      <c r="AB5">
        <f>IF(B5="","",IF(COUNTIF($B$3:B5,SUBSTITUTE(SUBSTITUTE(B5,"?","~?"),"*","~*"))=1,MAX($AB$2:AB4)+1,""))</f>
        <v/>
      </c>
    </row>
    <row r="6">
      <c r="A6" t="inlineStr">
        <is>
          <t>waterproof trail running shoes</t>
        </is>
      </c>
      <c r="B6" t="inlineStr">
        <is>
          <t>Trail shoes</t>
        </is>
      </c>
      <c r="C6" t="n">
        <v>1300</v>
      </c>
      <c r="D6" t="n">
        <v>35</v>
      </c>
      <c r="E6" t="inlineStr">
        <is>
          <t>https://www.stride-example.com/trail-running-shoes/</t>
        </is>
      </c>
      <c r="F6" t="n">
        <v>21</v>
      </c>
      <c r="G6" t="inlineStr">
        <is>
          <t>https://www.stride-example.com/trail-running-shoes/waterproof/</t>
        </is>
      </c>
      <c r="H6" t="inlineStr">
        <is>
          <t>Planned</t>
        </is>
      </c>
      <c r="I6" t="inlineStr">
        <is>
          <t>Category / collection</t>
        </is>
      </c>
      <c r="J6" t="inlineStr">
        <is>
          <t>Primary</t>
        </is>
      </c>
      <c r="M6">
        <f>IF(A6="","",LOWER(TRIM(SUBSTITUTE(SUBSTITUTE(A6,"?",""),"*",""))))</f>
        <v/>
      </c>
      <c r="N6">
        <f>IF(M6="","",IF(SUMPRODUCT(ISNUMBER(SEARCH(" "&amp;Settings!$L$5:$L$124&amp;" "," "&amp;M6&amp;" "))*(Settings!$K$5:$K$124="Navigational")*(Settings!$L$5:$L$124&lt;&gt;""))&gt;0,"Navigational",IF(SUMPRODUCT(ISNUMBER(SEARCH(" "&amp;Settings!$L$5:$L$124&amp;" "," "&amp;M6&amp;" "))*(Settings!$K$5:$K$124="Transactional")*(Settings!$L$5:$L$124&lt;&gt;""))&gt;0,"Transactional",IF(SUMPRODUCT(ISNUMBER(SEARCH(" "&amp;Settings!$L$5:$L$124&amp;" "," "&amp;M6&amp;" "))*(Settings!$K$5:$K$124="Commercial")*(Settings!$L$5:$L$124&lt;&gt;""))&gt;0,"Commercial",IF(SUMPRODUCT(ISNUMBER(SEARCH(" "&amp;Settings!$L$5:$L$124&amp;" "," "&amp;M6&amp;" "))*(Settings!$K$5:$K$124="Informational")*(Settings!$L$5:$L$124&lt;&gt;""))&gt;0,"Informational","Unclassified")))))</f>
        <v/>
      </c>
      <c r="O6">
        <f>IF(A6="","",IF(K6&lt;&gt;"",PROPER(K6),N6))</f>
        <v/>
      </c>
      <c r="P6">
        <f>IF(A6="","",ROUND(Settings!$B$5*MIN(1,LOG10(N(C6)+1)/LOG10(Settings!$B$7+1))+Settings!$B$6*(1-MIN(100,IF(D6="",50,N(D6)))/100)+IFERROR(INDEX(Settings!$B$10:$B$14,MATCH(O6,Settings!$A$10:$A$14,0)),0),0))</f>
        <v/>
      </c>
      <c r="Q6">
        <f>IF(OR(A6="",G6=""),"",COUNTIFS($M$3:$M$1002,M6,$G$3:$G$1002,"&lt;&gt;"&amp;SUBSTITUTE(SUBSTITUTE(G6,"?","~?"),"*","~*"),$G$3:$G$1002,"?*"))</f>
        <v/>
      </c>
      <c r="R6">
        <f>IF(Q6="","",IF(Q6&gt;0,"Yes","No"))</f>
        <v/>
      </c>
      <c r="S6">
        <f>IF(G6="","",COUNTIFS($G$3:$G$1002,SUBSTITUTE(SUBSTITUTE(G6,"?","~?"),"*","~*"),$J$3:$J$1002,"Primary"))</f>
        <v/>
      </c>
      <c r="T6">
        <f>IF(S6="","",IF(S6&gt;Settings!$B$4,"Yes","No"))</f>
        <v/>
      </c>
      <c r="U6">
        <f>IF(OR(G6="",B6=""),"",IF(COUNTIFS($G$3:$G$1002,SUBSTITUTE(SUBSTITUTE(G6,"?","~?"),"*","~*"),$B$3:$B$1002,"&lt;&gt;"&amp;SUBSTITUTE(SUBSTITUTE(B6,"?","~?"),"*","~*"),$B$3:$B$1002,"?*")&gt;0,"Yes","No"))</f>
        <v/>
      </c>
      <c r="V6">
        <f>IF(OR(G6="",I6="",O6="",O6="Unclassified"),"",IFERROR(INDEX(Settings!$E$5:$H$16,MATCH(I6,Settings!$D$5:$D$16,0),MATCH(O6,Settings!$E$4:$H$4,0)),"Check"))</f>
        <v/>
      </c>
      <c r="W6">
        <f>IF(V6="","",IF(V6="No","Yes","No"))</f>
        <v/>
      </c>
      <c r="X6">
        <f>IF(OR(E6="",G6=""),"",IF(LOWER(IF(RIGHT(TRIM(E6),1)="/",LEFT(TRIM(E6),LEN(TRIM(E6))-1),TRIM(E6)))&lt;&gt;LOWER(IF(RIGHT(TRIM(G6),1)="/",LEFT(TRIM(G6),LEN(TRIM(G6))-1),TRIM(G6))),"Yes","No"))</f>
        <v/>
      </c>
      <c r="Y6">
        <f>IF(A6="","",(N(Q6)&gt;0)+(T6="Yes")+(U6="Yes")+(W6="Yes")+(X6="Yes"))</f>
        <v/>
      </c>
      <c r="Z6">
        <f>IF(A6="","",IF(G6="","Not mapped",IF(Y6=0,"OK",MID(IF(N(Q6)&gt;0,"; Cannibalisation","")&amp;IF(T6="Yes","; Too many primary keywords on URL","")&amp;IF(U6="Yes","; URL spans 2+ clusters","")&amp;IF(W6="Yes","; Intent mismatch","")&amp;IF(X6="Yes","; Ranking URL is not the target",""),3,300))))</f>
        <v/>
      </c>
      <c r="AA6">
        <f>IF(G6="","",IF(COUNTIF($G$3:G6,SUBSTITUTE(SUBSTITUTE(G6,"?","~?"),"*","~*"))=1,MAX($AA$2:AA5)+1,""))</f>
        <v/>
      </c>
      <c r="AB6">
        <f>IF(B6="","",IF(COUNTIF($B$3:B6,SUBSTITUTE(SUBSTITUTE(B6,"?","~?"),"*","~*"))=1,MAX($AB$2:AB5)+1,""))</f>
        <v/>
      </c>
    </row>
    <row r="7">
      <c r="A7" t="inlineStr">
        <is>
          <t>buy trail running shoes</t>
        </is>
      </c>
      <c r="B7" t="inlineStr">
        <is>
          <t>Trail shoes</t>
        </is>
      </c>
      <c r="C7" t="n">
        <v>210</v>
      </c>
      <c r="D7" t="n">
        <v>40</v>
      </c>
      <c r="G7" t="inlineStr">
        <is>
          <t>https://www.stride-example.com/blog/trail-running-for-beginners/</t>
        </is>
      </c>
      <c r="H7" t="inlineStr">
        <is>
          <t>Planned</t>
        </is>
      </c>
      <c r="I7" t="inlineStr">
        <is>
          <t>Blog post / guide</t>
        </is>
      </c>
      <c r="J7" t="inlineStr">
        <is>
          <t>Secondary</t>
        </is>
      </c>
      <c r="M7">
        <f>IF(A7="","",LOWER(TRIM(SUBSTITUTE(SUBSTITUTE(A7,"?",""),"*",""))))</f>
        <v/>
      </c>
      <c r="N7">
        <f>IF(M7="","",IF(SUMPRODUCT(ISNUMBER(SEARCH(" "&amp;Settings!$L$5:$L$124&amp;" "," "&amp;M7&amp;" "))*(Settings!$K$5:$K$124="Navigational")*(Settings!$L$5:$L$124&lt;&gt;""))&gt;0,"Navigational",IF(SUMPRODUCT(ISNUMBER(SEARCH(" "&amp;Settings!$L$5:$L$124&amp;" "," "&amp;M7&amp;" "))*(Settings!$K$5:$K$124="Transactional")*(Settings!$L$5:$L$124&lt;&gt;""))&gt;0,"Transactional",IF(SUMPRODUCT(ISNUMBER(SEARCH(" "&amp;Settings!$L$5:$L$124&amp;" "," "&amp;M7&amp;" "))*(Settings!$K$5:$K$124="Commercial")*(Settings!$L$5:$L$124&lt;&gt;""))&gt;0,"Commercial",IF(SUMPRODUCT(ISNUMBER(SEARCH(" "&amp;Settings!$L$5:$L$124&amp;" "," "&amp;M7&amp;" "))*(Settings!$K$5:$K$124="Informational")*(Settings!$L$5:$L$124&lt;&gt;""))&gt;0,"Informational","Unclassified")))))</f>
        <v/>
      </c>
      <c r="O7">
        <f>IF(A7="","",IF(K7&lt;&gt;"",PROPER(K7),N7))</f>
        <v/>
      </c>
      <c r="P7">
        <f>IF(A7="","",ROUND(Settings!$B$5*MIN(1,LOG10(N(C7)+1)/LOG10(Settings!$B$7+1))+Settings!$B$6*(1-MIN(100,IF(D7="",50,N(D7)))/100)+IFERROR(INDEX(Settings!$B$10:$B$14,MATCH(O7,Settings!$A$10:$A$14,0)),0),0))</f>
        <v/>
      </c>
      <c r="Q7">
        <f>IF(OR(A7="",G7=""),"",COUNTIFS($M$3:$M$1002,M7,$G$3:$G$1002,"&lt;&gt;"&amp;SUBSTITUTE(SUBSTITUTE(G7,"?","~?"),"*","~*"),$G$3:$G$1002,"?*"))</f>
        <v/>
      </c>
      <c r="R7">
        <f>IF(Q7="","",IF(Q7&gt;0,"Yes","No"))</f>
        <v/>
      </c>
      <c r="S7">
        <f>IF(G7="","",COUNTIFS($G$3:$G$1002,SUBSTITUTE(SUBSTITUTE(G7,"?","~?"),"*","~*"),$J$3:$J$1002,"Primary"))</f>
        <v/>
      </c>
      <c r="T7">
        <f>IF(S7="","",IF(S7&gt;Settings!$B$4,"Yes","No"))</f>
        <v/>
      </c>
      <c r="U7">
        <f>IF(OR(G7="",B7=""),"",IF(COUNTIFS($G$3:$G$1002,SUBSTITUTE(SUBSTITUTE(G7,"?","~?"),"*","~*"),$B$3:$B$1002,"&lt;&gt;"&amp;SUBSTITUTE(SUBSTITUTE(B7,"?","~?"),"*","~*"),$B$3:$B$1002,"?*")&gt;0,"Yes","No"))</f>
        <v/>
      </c>
      <c r="V7">
        <f>IF(OR(G7="",I7="",O7="",O7="Unclassified"),"",IFERROR(INDEX(Settings!$E$5:$H$16,MATCH(I7,Settings!$D$5:$D$16,0),MATCH(O7,Settings!$E$4:$H$4,0)),"Check"))</f>
        <v/>
      </c>
      <c r="W7">
        <f>IF(V7="","",IF(V7="No","Yes","No"))</f>
        <v/>
      </c>
      <c r="X7">
        <f>IF(OR(E7="",G7=""),"",IF(LOWER(IF(RIGHT(TRIM(E7),1)="/",LEFT(TRIM(E7),LEN(TRIM(E7))-1),TRIM(E7)))&lt;&gt;LOWER(IF(RIGHT(TRIM(G7),1)="/",LEFT(TRIM(G7),LEN(TRIM(G7))-1),TRIM(G7))),"Yes","No"))</f>
        <v/>
      </c>
      <c r="Y7">
        <f>IF(A7="","",(N(Q7)&gt;0)+(T7="Yes")+(U7="Yes")+(W7="Yes")+(X7="Yes"))</f>
        <v/>
      </c>
      <c r="Z7">
        <f>IF(A7="","",IF(G7="","Not mapped",IF(Y7=0,"OK",MID(IF(N(Q7)&gt;0,"; Cannibalisation","")&amp;IF(T7="Yes","; Too many primary keywords on URL","")&amp;IF(U7="Yes","; URL spans 2+ clusters","")&amp;IF(W7="Yes","; Intent mismatch","")&amp;IF(X7="Yes","; Ranking URL is not the target",""),3,300))))</f>
        <v/>
      </c>
      <c r="AA7">
        <f>IF(G7="","",IF(COUNTIF($G$3:G7,SUBSTITUTE(SUBSTITUTE(G7,"?","~?"),"*","~*"))=1,MAX($AA$2:AA6)+1,""))</f>
        <v/>
      </c>
      <c r="AB7">
        <f>IF(B7="","",IF(COUNTIF($B$3:B7,SUBSTITUTE(SUBSTITUTE(B7,"?","~?"),"*","~*"))=1,MAX($AB$2:AB6)+1,""))</f>
        <v/>
      </c>
    </row>
    <row r="8">
      <c r="A8" t="inlineStr">
        <is>
          <t>wide running shoes</t>
        </is>
      </c>
      <c r="B8" t="inlineStr">
        <is>
          <t>Wide fit</t>
        </is>
      </c>
      <c r="C8" t="n">
        <v>2900</v>
      </c>
      <c r="D8" t="n">
        <v>30</v>
      </c>
      <c r="E8" t="inlineStr">
        <is>
          <t>https://www.stride-example.com/wide-fit-running-shoes/</t>
        </is>
      </c>
      <c r="F8" t="n">
        <v>7</v>
      </c>
      <c r="G8" t="inlineStr">
        <is>
          <t>https://www.stride-example.com/wide-fit-running-shoes/</t>
        </is>
      </c>
      <c r="H8" t="inlineStr">
        <is>
          <t>Existing</t>
        </is>
      </c>
      <c r="I8" t="inlineStr">
        <is>
          <t>Category / collection</t>
        </is>
      </c>
      <c r="J8" t="inlineStr">
        <is>
          <t>Primary</t>
        </is>
      </c>
      <c r="K8" t="inlineStr">
        <is>
          <t>Commercial</t>
        </is>
      </c>
      <c r="M8">
        <f>IF(A8="","",LOWER(TRIM(SUBSTITUTE(SUBSTITUTE(A8,"?",""),"*",""))))</f>
        <v/>
      </c>
      <c r="N8">
        <f>IF(M8="","",IF(SUMPRODUCT(ISNUMBER(SEARCH(" "&amp;Settings!$L$5:$L$124&amp;" "," "&amp;M8&amp;" "))*(Settings!$K$5:$K$124="Navigational")*(Settings!$L$5:$L$124&lt;&gt;""))&gt;0,"Navigational",IF(SUMPRODUCT(ISNUMBER(SEARCH(" "&amp;Settings!$L$5:$L$124&amp;" "," "&amp;M8&amp;" "))*(Settings!$K$5:$K$124="Transactional")*(Settings!$L$5:$L$124&lt;&gt;""))&gt;0,"Transactional",IF(SUMPRODUCT(ISNUMBER(SEARCH(" "&amp;Settings!$L$5:$L$124&amp;" "," "&amp;M8&amp;" "))*(Settings!$K$5:$K$124="Commercial")*(Settings!$L$5:$L$124&lt;&gt;""))&gt;0,"Commercial",IF(SUMPRODUCT(ISNUMBER(SEARCH(" "&amp;Settings!$L$5:$L$124&amp;" "," "&amp;M8&amp;" "))*(Settings!$K$5:$K$124="Informational")*(Settings!$L$5:$L$124&lt;&gt;""))&gt;0,"Informational","Unclassified")))))</f>
        <v/>
      </c>
      <c r="O8">
        <f>IF(A8="","",IF(K8&lt;&gt;"",PROPER(K8),N8))</f>
        <v/>
      </c>
      <c r="P8">
        <f>IF(A8="","",ROUND(Settings!$B$5*MIN(1,LOG10(N(C8)+1)/LOG10(Settings!$B$7+1))+Settings!$B$6*(1-MIN(100,IF(D8="",50,N(D8)))/100)+IFERROR(INDEX(Settings!$B$10:$B$14,MATCH(O8,Settings!$A$10:$A$14,0)),0),0))</f>
        <v/>
      </c>
      <c r="Q8">
        <f>IF(OR(A8="",G8=""),"",COUNTIFS($M$3:$M$1002,M8,$G$3:$G$1002,"&lt;&gt;"&amp;SUBSTITUTE(SUBSTITUTE(G8,"?","~?"),"*","~*"),$G$3:$G$1002,"?*"))</f>
        <v/>
      </c>
      <c r="R8">
        <f>IF(Q8="","",IF(Q8&gt;0,"Yes","No"))</f>
        <v/>
      </c>
      <c r="S8">
        <f>IF(G8="","",COUNTIFS($G$3:$G$1002,SUBSTITUTE(SUBSTITUTE(G8,"?","~?"),"*","~*"),$J$3:$J$1002,"Primary"))</f>
        <v/>
      </c>
      <c r="T8">
        <f>IF(S8="","",IF(S8&gt;Settings!$B$4,"Yes","No"))</f>
        <v/>
      </c>
      <c r="U8">
        <f>IF(OR(G8="",B8=""),"",IF(COUNTIFS($G$3:$G$1002,SUBSTITUTE(SUBSTITUTE(G8,"?","~?"),"*","~*"),$B$3:$B$1002,"&lt;&gt;"&amp;SUBSTITUTE(SUBSTITUTE(B8,"?","~?"),"*","~*"),$B$3:$B$1002,"?*")&gt;0,"Yes","No"))</f>
        <v/>
      </c>
      <c r="V8">
        <f>IF(OR(G8="",I8="",O8="",O8="Unclassified"),"",IFERROR(INDEX(Settings!$E$5:$H$16,MATCH(I8,Settings!$D$5:$D$16,0),MATCH(O8,Settings!$E$4:$H$4,0)),"Check"))</f>
        <v/>
      </c>
      <c r="W8">
        <f>IF(V8="","",IF(V8="No","Yes","No"))</f>
        <v/>
      </c>
      <c r="X8">
        <f>IF(OR(E8="",G8=""),"",IF(LOWER(IF(RIGHT(TRIM(E8),1)="/",LEFT(TRIM(E8),LEN(TRIM(E8))-1),TRIM(E8)))&lt;&gt;LOWER(IF(RIGHT(TRIM(G8),1)="/",LEFT(TRIM(G8),LEN(TRIM(G8))-1),TRIM(G8))),"Yes","No"))</f>
        <v/>
      </c>
      <c r="Y8">
        <f>IF(A8="","",(N(Q8)&gt;0)+(T8="Yes")+(U8="Yes")+(W8="Yes")+(X8="Yes"))</f>
        <v/>
      </c>
      <c r="Z8">
        <f>IF(A8="","",IF(G8="","Not mapped",IF(Y8=0,"OK",MID(IF(N(Q8)&gt;0,"; Cannibalisation","")&amp;IF(T8="Yes","; Too many primary keywords on URL","")&amp;IF(U8="Yes","; URL spans 2+ clusters","")&amp;IF(W8="Yes","; Intent mismatch","")&amp;IF(X8="Yes","; Ranking URL is not the target",""),3,300))))</f>
        <v/>
      </c>
      <c r="AA8">
        <f>IF(G8="","",IF(COUNTIF($G$3:G8,SUBSTITUTE(SUBSTITUTE(G8,"?","~?"),"*","~*"))=1,MAX($AA$2:AA7)+1,""))</f>
        <v/>
      </c>
      <c r="AB8">
        <f>IF(B8="","",IF(COUNTIF($B$3:B8,SUBSTITUTE(SUBSTITUTE(B8,"?","~?"),"*","~*"))=1,MAX($AB$2:AB7)+1,""))</f>
        <v/>
      </c>
    </row>
    <row r="9">
      <c r="A9" t="inlineStr">
        <is>
          <t>running shoes for wide feet</t>
        </is>
      </c>
      <c r="B9" t="inlineStr">
        <is>
          <t>Wide fit</t>
        </is>
      </c>
      <c r="C9" t="n">
        <v>1900</v>
      </c>
      <c r="D9" t="n">
        <v>28</v>
      </c>
      <c r="E9" t="inlineStr">
        <is>
          <t>https://www.stride-example.com/blog/wide-feet-guide/</t>
        </is>
      </c>
      <c r="F9" t="n">
        <v>11</v>
      </c>
      <c r="G9" t="inlineStr">
        <is>
          <t>https://www.stride-example.com/wide-fit-running-shoes/</t>
        </is>
      </c>
      <c r="H9" t="inlineStr">
        <is>
          <t>Existing</t>
        </is>
      </c>
      <c r="I9" t="inlineStr">
        <is>
          <t>Category / collection</t>
        </is>
      </c>
      <c r="J9" t="inlineStr">
        <is>
          <t>Secondary</t>
        </is>
      </c>
      <c r="M9">
        <f>IF(A9="","",LOWER(TRIM(SUBSTITUTE(SUBSTITUTE(A9,"?",""),"*",""))))</f>
        <v/>
      </c>
      <c r="N9">
        <f>IF(M9="","",IF(SUMPRODUCT(ISNUMBER(SEARCH(" "&amp;Settings!$L$5:$L$124&amp;" "," "&amp;M9&amp;" "))*(Settings!$K$5:$K$124="Navigational")*(Settings!$L$5:$L$124&lt;&gt;""))&gt;0,"Navigational",IF(SUMPRODUCT(ISNUMBER(SEARCH(" "&amp;Settings!$L$5:$L$124&amp;" "," "&amp;M9&amp;" "))*(Settings!$K$5:$K$124="Transactional")*(Settings!$L$5:$L$124&lt;&gt;""))&gt;0,"Transactional",IF(SUMPRODUCT(ISNUMBER(SEARCH(" "&amp;Settings!$L$5:$L$124&amp;" "," "&amp;M9&amp;" "))*(Settings!$K$5:$K$124="Commercial")*(Settings!$L$5:$L$124&lt;&gt;""))&gt;0,"Commercial",IF(SUMPRODUCT(ISNUMBER(SEARCH(" "&amp;Settings!$L$5:$L$124&amp;" "," "&amp;M9&amp;" "))*(Settings!$K$5:$K$124="Informational")*(Settings!$L$5:$L$124&lt;&gt;""))&gt;0,"Informational","Unclassified")))))</f>
        <v/>
      </c>
      <c r="O9">
        <f>IF(A9="","",IF(K9&lt;&gt;"",PROPER(K9),N9))</f>
        <v/>
      </c>
      <c r="P9">
        <f>IF(A9="","",ROUND(Settings!$B$5*MIN(1,LOG10(N(C9)+1)/LOG10(Settings!$B$7+1))+Settings!$B$6*(1-MIN(100,IF(D9="",50,N(D9)))/100)+IFERROR(INDEX(Settings!$B$10:$B$14,MATCH(O9,Settings!$A$10:$A$14,0)),0),0))</f>
        <v/>
      </c>
      <c r="Q9">
        <f>IF(OR(A9="",G9=""),"",COUNTIFS($M$3:$M$1002,M9,$G$3:$G$1002,"&lt;&gt;"&amp;SUBSTITUTE(SUBSTITUTE(G9,"?","~?"),"*","~*"),$G$3:$G$1002,"?*"))</f>
        <v/>
      </c>
      <c r="R9">
        <f>IF(Q9="","",IF(Q9&gt;0,"Yes","No"))</f>
        <v/>
      </c>
      <c r="S9">
        <f>IF(G9="","",COUNTIFS($G$3:$G$1002,SUBSTITUTE(SUBSTITUTE(G9,"?","~?"),"*","~*"),$J$3:$J$1002,"Primary"))</f>
        <v/>
      </c>
      <c r="T9">
        <f>IF(S9="","",IF(S9&gt;Settings!$B$4,"Yes","No"))</f>
        <v/>
      </c>
      <c r="U9">
        <f>IF(OR(G9="",B9=""),"",IF(COUNTIFS($G$3:$G$1002,SUBSTITUTE(SUBSTITUTE(G9,"?","~?"),"*","~*"),$B$3:$B$1002,"&lt;&gt;"&amp;SUBSTITUTE(SUBSTITUTE(B9,"?","~?"),"*","~*"),$B$3:$B$1002,"?*")&gt;0,"Yes","No"))</f>
        <v/>
      </c>
      <c r="V9">
        <f>IF(OR(G9="",I9="",O9="",O9="Unclassified"),"",IFERROR(INDEX(Settings!$E$5:$H$16,MATCH(I9,Settings!$D$5:$D$16,0),MATCH(O9,Settings!$E$4:$H$4,0)),"Check"))</f>
        <v/>
      </c>
      <c r="W9">
        <f>IF(V9="","",IF(V9="No","Yes","No"))</f>
        <v/>
      </c>
      <c r="X9">
        <f>IF(OR(E9="",G9=""),"",IF(LOWER(IF(RIGHT(TRIM(E9),1)="/",LEFT(TRIM(E9),LEN(TRIM(E9))-1),TRIM(E9)))&lt;&gt;LOWER(IF(RIGHT(TRIM(G9),1)="/",LEFT(TRIM(G9),LEN(TRIM(G9))-1),TRIM(G9))),"Yes","No"))</f>
        <v/>
      </c>
      <c r="Y9">
        <f>IF(A9="","",(N(Q9)&gt;0)+(T9="Yes")+(U9="Yes")+(W9="Yes")+(X9="Yes"))</f>
        <v/>
      </c>
      <c r="Z9">
        <f>IF(A9="","",IF(G9="","Not mapped",IF(Y9=0,"OK",MID(IF(N(Q9)&gt;0,"; Cannibalisation","")&amp;IF(T9="Yes","; Too many primary keywords on URL","")&amp;IF(U9="Yes","; URL spans 2+ clusters","")&amp;IF(W9="Yes","; Intent mismatch","")&amp;IF(X9="Yes","; Ranking URL is not the target",""),3,300))))</f>
        <v/>
      </c>
      <c r="AA9">
        <f>IF(G9="","",IF(COUNTIF($G$3:G9,SUBSTITUTE(SUBSTITUTE(G9,"?","~?"),"*","~*"))=1,MAX($AA$2:AA8)+1,""))</f>
        <v/>
      </c>
      <c r="AB9">
        <f>IF(B9="","",IF(COUNTIF($B$3:B9,SUBSTITUTE(SUBSTITUTE(B9,"?","~?"),"*","~*"))=1,MAX($AB$2:AB8)+1,""))</f>
        <v/>
      </c>
    </row>
    <row r="10">
      <c r="A10" t="inlineStr">
        <is>
          <t>running shoes for wide feet</t>
        </is>
      </c>
      <c r="B10" t="inlineStr">
        <is>
          <t>Wide fit</t>
        </is>
      </c>
      <c r="C10" t="n">
        <v>1900</v>
      </c>
      <c r="D10" t="n">
        <v>28</v>
      </c>
      <c r="E10" t="inlineStr">
        <is>
          <t>https://www.stride-example.com/blog/wide-feet-guide/</t>
        </is>
      </c>
      <c r="F10" t="n">
        <v>11</v>
      </c>
      <c r="G10" t="inlineStr">
        <is>
          <t>https://www.stride-example.com/blog/wide-feet-guide/</t>
        </is>
      </c>
      <c r="H10" t="inlineStr">
        <is>
          <t>Existing</t>
        </is>
      </c>
      <c r="I10" t="inlineStr">
        <is>
          <t>Blog post / guide</t>
        </is>
      </c>
      <c r="J10" t="inlineStr">
        <is>
          <t>Primary</t>
        </is>
      </c>
      <c r="L10" t="inlineStr">
        <is>
          <t>Also mapped to the category page</t>
        </is>
      </c>
      <c r="M10">
        <f>IF(A10="","",LOWER(TRIM(SUBSTITUTE(SUBSTITUTE(A10,"?",""),"*",""))))</f>
        <v/>
      </c>
      <c r="N10">
        <f>IF(M10="","",IF(SUMPRODUCT(ISNUMBER(SEARCH(" "&amp;Settings!$L$5:$L$124&amp;" "," "&amp;M10&amp;" "))*(Settings!$K$5:$K$124="Navigational")*(Settings!$L$5:$L$124&lt;&gt;""))&gt;0,"Navigational",IF(SUMPRODUCT(ISNUMBER(SEARCH(" "&amp;Settings!$L$5:$L$124&amp;" "," "&amp;M10&amp;" "))*(Settings!$K$5:$K$124="Transactional")*(Settings!$L$5:$L$124&lt;&gt;""))&gt;0,"Transactional",IF(SUMPRODUCT(ISNUMBER(SEARCH(" "&amp;Settings!$L$5:$L$124&amp;" "," "&amp;M10&amp;" "))*(Settings!$K$5:$K$124="Commercial")*(Settings!$L$5:$L$124&lt;&gt;""))&gt;0,"Commercial",IF(SUMPRODUCT(ISNUMBER(SEARCH(" "&amp;Settings!$L$5:$L$124&amp;" "," "&amp;M10&amp;" "))*(Settings!$K$5:$K$124="Informational")*(Settings!$L$5:$L$124&lt;&gt;""))&gt;0,"Informational","Unclassified")))))</f>
        <v/>
      </c>
      <c r="O10">
        <f>IF(A10="","",IF(K10&lt;&gt;"",PROPER(K10),N10))</f>
        <v/>
      </c>
      <c r="P10">
        <f>IF(A10="","",ROUND(Settings!$B$5*MIN(1,LOG10(N(C10)+1)/LOG10(Settings!$B$7+1))+Settings!$B$6*(1-MIN(100,IF(D10="",50,N(D10)))/100)+IFERROR(INDEX(Settings!$B$10:$B$14,MATCH(O10,Settings!$A$10:$A$14,0)),0),0))</f>
        <v/>
      </c>
      <c r="Q10">
        <f>IF(OR(A10="",G10=""),"",COUNTIFS($M$3:$M$1002,M10,$G$3:$G$1002,"&lt;&gt;"&amp;SUBSTITUTE(SUBSTITUTE(G10,"?","~?"),"*","~*"),$G$3:$G$1002,"?*"))</f>
        <v/>
      </c>
      <c r="R10">
        <f>IF(Q10="","",IF(Q10&gt;0,"Yes","No"))</f>
        <v/>
      </c>
      <c r="S10">
        <f>IF(G10="","",COUNTIFS($G$3:$G$1002,SUBSTITUTE(SUBSTITUTE(G10,"?","~?"),"*","~*"),$J$3:$J$1002,"Primary"))</f>
        <v/>
      </c>
      <c r="T10">
        <f>IF(S10="","",IF(S10&gt;Settings!$B$4,"Yes","No"))</f>
        <v/>
      </c>
      <c r="U10">
        <f>IF(OR(G10="",B10=""),"",IF(COUNTIFS($G$3:$G$1002,SUBSTITUTE(SUBSTITUTE(G10,"?","~?"),"*","~*"),$B$3:$B$1002,"&lt;&gt;"&amp;SUBSTITUTE(SUBSTITUTE(B10,"?","~?"),"*","~*"),$B$3:$B$1002,"?*")&gt;0,"Yes","No"))</f>
        <v/>
      </c>
      <c r="V10">
        <f>IF(OR(G10="",I10="",O10="",O10="Unclassified"),"",IFERROR(INDEX(Settings!$E$5:$H$16,MATCH(I10,Settings!$D$5:$D$16,0),MATCH(O10,Settings!$E$4:$H$4,0)),"Check"))</f>
        <v/>
      </c>
      <c r="W10">
        <f>IF(V10="","",IF(V10="No","Yes","No"))</f>
        <v/>
      </c>
      <c r="X10">
        <f>IF(OR(E10="",G10=""),"",IF(LOWER(IF(RIGHT(TRIM(E10),1)="/",LEFT(TRIM(E10),LEN(TRIM(E10))-1),TRIM(E10)))&lt;&gt;LOWER(IF(RIGHT(TRIM(G10),1)="/",LEFT(TRIM(G10),LEN(TRIM(G10))-1),TRIM(G10))),"Yes","No"))</f>
        <v/>
      </c>
      <c r="Y10">
        <f>IF(A10="","",(N(Q10)&gt;0)+(T10="Yes")+(U10="Yes")+(W10="Yes")+(X10="Yes"))</f>
        <v/>
      </c>
      <c r="Z10">
        <f>IF(A10="","",IF(G10="","Not mapped",IF(Y10=0,"OK",MID(IF(N(Q10)&gt;0,"; Cannibalisation","")&amp;IF(T10="Yes","; Too many primary keywords on URL","")&amp;IF(U10="Yes","; URL spans 2+ clusters","")&amp;IF(W10="Yes","; Intent mismatch","")&amp;IF(X10="Yes","; Ranking URL is not the target",""),3,300))))</f>
        <v/>
      </c>
      <c r="AA10">
        <f>IF(G10="","",IF(COUNTIF($G$3:G10,SUBSTITUTE(SUBSTITUTE(G10,"?","~?"),"*","~*"))=1,MAX($AA$2:AA9)+1,""))</f>
        <v/>
      </c>
      <c r="AB10">
        <f>IF(B10="","",IF(COUNTIF($B$3:B10,SUBSTITUTE(SUBSTITUTE(B10,"?","~?"),"*","~*"))=1,MAX($AB$2:AB9)+1,""))</f>
        <v/>
      </c>
    </row>
    <row r="11">
      <c r="A11" t="inlineStr">
        <is>
          <t>how to choose running shoes for wide feet</t>
        </is>
      </c>
      <c r="B11" t="inlineStr">
        <is>
          <t>Wide fit</t>
        </is>
      </c>
      <c r="C11" t="n">
        <v>320</v>
      </c>
      <c r="D11" t="n">
        <v>12</v>
      </c>
      <c r="E11" t="inlineStr">
        <is>
          <t>https://www.stride-example.com/blog/wide-feet-guide/</t>
        </is>
      </c>
      <c r="F11" t="n">
        <v>4</v>
      </c>
      <c r="G11" t="inlineStr">
        <is>
          <t>https://www.stride-example.com/blog/wide-feet-guide/</t>
        </is>
      </c>
      <c r="H11" t="inlineStr">
        <is>
          <t>Existing</t>
        </is>
      </c>
      <c r="I11" t="inlineStr">
        <is>
          <t>Blog post / guide</t>
        </is>
      </c>
      <c r="J11" t="inlineStr">
        <is>
          <t>Secondary</t>
        </is>
      </c>
      <c r="M11">
        <f>IF(A11="","",LOWER(TRIM(SUBSTITUTE(SUBSTITUTE(A11,"?",""),"*",""))))</f>
        <v/>
      </c>
      <c r="N11">
        <f>IF(M11="","",IF(SUMPRODUCT(ISNUMBER(SEARCH(" "&amp;Settings!$L$5:$L$124&amp;" "," "&amp;M11&amp;" "))*(Settings!$K$5:$K$124="Navigational")*(Settings!$L$5:$L$124&lt;&gt;""))&gt;0,"Navigational",IF(SUMPRODUCT(ISNUMBER(SEARCH(" "&amp;Settings!$L$5:$L$124&amp;" "," "&amp;M11&amp;" "))*(Settings!$K$5:$K$124="Transactional")*(Settings!$L$5:$L$124&lt;&gt;""))&gt;0,"Transactional",IF(SUMPRODUCT(ISNUMBER(SEARCH(" "&amp;Settings!$L$5:$L$124&amp;" "," "&amp;M11&amp;" "))*(Settings!$K$5:$K$124="Commercial")*(Settings!$L$5:$L$124&lt;&gt;""))&gt;0,"Commercial",IF(SUMPRODUCT(ISNUMBER(SEARCH(" "&amp;Settings!$L$5:$L$124&amp;" "," "&amp;M11&amp;" "))*(Settings!$K$5:$K$124="Informational")*(Settings!$L$5:$L$124&lt;&gt;""))&gt;0,"Informational","Unclassified")))))</f>
        <v/>
      </c>
      <c r="O11">
        <f>IF(A11="","",IF(K11&lt;&gt;"",PROPER(K11),N11))</f>
        <v/>
      </c>
      <c r="P11">
        <f>IF(A11="","",ROUND(Settings!$B$5*MIN(1,LOG10(N(C11)+1)/LOG10(Settings!$B$7+1))+Settings!$B$6*(1-MIN(100,IF(D11="",50,N(D11)))/100)+IFERROR(INDEX(Settings!$B$10:$B$14,MATCH(O11,Settings!$A$10:$A$14,0)),0),0))</f>
        <v/>
      </c>
      <c r="Q11">
        <f>IF(OR(A11="",G11=""),"",COUNTIFS($M$3:$M$1002,M11,$G$3:$G$1002,"&lt;&gt;"&amp;SUBSTITUTE(SUBSTITUTE(G11,"?","~?"),"*","~*"),$G$3:$G$1002,"?*"))</f>
        <v/>
      </c>
      <c r="R11">
        <f>IF(Q11="","",IF(Q11&gt;0,"Yes","No"))</f>
        <v/>
      </c>
      <c r="S11">
        <f>IF(G11="","",COUNTIFS($G$3:$G$1002,SUBSTITUTE(SUBSTITUTE(G11,"?","~?"),"*","~*"),$J$3:$J$1002,"Primary"))</f>
        <v/>
      </c>
      <c r="T11">
        <f>IF(S11="","",IF(S11&gt;Settings!$B$4,"Yes","No"))</f>
        <v/>
      </c>
      <c r="U11">
        <f>IF(OR(G11="",B11=""),"",IF(COUNTIFS($G$3:$G$1002,SUBSTITUTE(SUBSTITUTE(G11,"?","~?"),"*","~*"),$B$3:$B$1002,"&lt;&gt;"&amp;SUBSTITUTE(SUBSTITUTE(B11,"?","~?"),"*","~*"),$B$3:$B$1002,"?*")&gt;0,"Yes","No"))</f>
        <v/>
      </c>
      <c r="V11">
        <f>IF(OR(G11="",I11="",O11="",O11="Unclassified"),"",IFERROR(INDEX(Settings!$E$5:$H$16,MATCH(I11,Settings!$D$5:$D$16,0),MATCH(O11,Settings!$E$4:$H$4,0)),"Check"))</f>
        <v/>
      </c>
      <c r="W11">
        <f>IF(V11="","",IF(V11="No","Yes","No"))</f>
        <v/>
      </c>
      <c r="X11">
        <f>IF(OR(E11="",G11=""),"",IF(LOWER(IF(RIGHT(TRIM(E11),1)="/",LEFT(TRIM(E11),LEN(TRIM(E11))-1),TRIM(E11)))&lt;&gt;LOWER(IF(RIGHT(TRIM(G11),1)="/",LEFT(TRIM(G11),LEN(TRIM(G11))-1),TRIM(G11))),"Yes","No"))</f>
        <v/>
      </c>
      <c r="Y11">
        <f>IF(A11="","",(N(Q11)&gt;0)+(T11="Yes")+(U11="Yes")+(W11="Yes")+(X11="Yes"))</f>
        <v/>
      </c>
      <c r="Z11">
        <f>IF(A11="","",IF(G11="","Not mapped",IF(Y11=0,"OK",MID(IF(N(Q11)&gt;0,"; Cannibalisation","")&amp;IF(T11="Yes","; Too many primary keywords on URL","")&amp;IF(U11="Yes","; URL spans 2+ clusters","")&amp;IF(W11="Yes","; Intent mismatch","")&amp;IF(X11="Yes","; Ranking URL is not the target",""),3,300))))</f>
        <v/>
      </c>
      <c r="AA11">
        <f>IF(G11="","",IF(COUNTIF($G$3:G11,SUBSTITUTE(SUBSTITUTE(G11,"?","~?"),"*","~*"))=1,MAX($AA$2:AA10)+1,""))</f>
        <v/>
      </c>
      <c r="AB11">
        <f>IF(B11="","",IF(COUNTIF($B$3:B11,SUBSTITUTE(SUBSTITUTE(B11,"?","~?"),"*","~*"))=1,MAX($AB$2:AB10)+1,""))</f>
        <v/>
      </c>
    </row>
    <row r="12">
      <c r="A12" t="inlineStr">
        <is>
          <t>marathon running shoes</t>
        </is>
      </c>
      <c r="B12" t="inlineStr">
        <is>
          <t>Marathon</t>
        </is>
      </c>
      <c r="C12" t="n">
        <v>2400</v>
      </c>
      <c r="D12" t="n">
        <v>48</v>
      </c>
      <c r="E12" t="inlineStr">
        <is>
          <t>https://www.stride-example.com/marathon-running-shoes/</t>
        </is>
      </c>
      <c r="F12" t="n">
        <v>16</v>
      </c>
      <c r="G12" t="inlineStr">
        <is>
          <t>https://www.stride-example.com/marathon-running-shoes/</t>
        </is>
      </c>
      <c r="H12" t="inlineStr">
        <is>
          <t>Existing</t>
        </is>
      </c>
      <c r="I12" t="inlineStr">
        <is>
          <t>Category / collection</t>
        </is>
      </c>
      <c r="J12" t="inlineStr">
        <is>
          <t>Primary</t>
        </is>
      </c>
      <c r="K12" t="inlineStr">
        <is>
          <t>Commercial</t>
        </is>
      </c>
      <c r="M12">
        <f>IF(A12="","",LOWER(TRIM(SUBSTITUTE(SUBSTITUTE(A12,"?",""),"*",""))))</f>
        <v/>
      </c>
      <c r="N12">
        <f>IF(M12="","",IF(SUMPRODUCT(ISNUMBER(SEARCH(" "&amp;Settings!$L$5:$L$124&amp;" "," "&amp;M12&amp;" "))*(Settings!$K$5:$K$124="Navigational")*(Settings!$L$5:$L$124&lt;&gt;""))&gt;0,"Navigational",IF(SUMPRODUCT(ISNUMBER(SEARCH(" "&amp;Settings!$L$5:$L$124&amp;" "," "&amp;M12&amp;" "))*(Settings!$K$5:$K$124="Transactional")*(Settings!$L$5:$L$124&lt;&gt;""))&gt;0,"Transactional",IF(SUMPRODUCT(ISNUMBER(SEARCH(" "&amp;Settings!$L$5:$L$124&amp;" "," "&amp;M12&amp;" "))*(Settings!$K$5:$K$124="Commercial")*(Settings!$L$5:$L$124&lt;&gt;""))&gt;0,"Commercial",IF(SUMPRODUCT(ISNUMBER(SEARCH(" "&amp;Settings!$L$5:$L$124&amp;" "," "&amp;M12&amp;" "))*(Settings!$K$5:$K$124="Informational")*(Settings!$L$5:$L$124&lt;&gt;""))&gt;0,"Informational","Unclassified")))))</f>
        <v/>
      </c>
      <c r="O12">
        <f>IF(A12="","",IF(K12&lt;&gt;"",PROPER(K12),N12))</f>
        <v/>
      </c>
      <c r="P12">
        <f>IF(A12="","",ROUND(Settings!$B$5*MIN(1,LOG10(N(C12)+1)/LOG10(Settings!$B$7+1))+Settings!$B$6*(1-MIN(100,IF(D12="",50,N(D12)))/100)+IFERROR(INDEX(Settings!$B$10:$B$14,MATCH(O12,Settings!$A$10:$A$14,0)),0),0))</f>
        <v/>
      </c>
      <c r="Q12">
        <f>IF(OR(A12="",G12=""),"",COUNTIFS($M$3:$M$1002,M12,$G$3:$G$1002,"&lt;&gt;"&amp;SUBSTITUTE(SUBSTITUTE(G12,"?","~?"),"*","~*"),$G$3:$G$1002,"?*"))</f>
        <v/>
      </c>
      <c r="R12">
        <f>IF(Q12="","",IF(Q12&gt;0,"Yes","No"))</f>
        <v/>
      </c>
      <c r="S12">
        <f>IF(G12="","",COUNTIFS($G$3:$G$1002,SUBSTITUTE(SUBSTITUTE(G12,"?","~?"),"*","~*"),$J$3:$J$1002,"Primary"))</f>
        <v/>
      </c>
      <c r="T12">
        <f>IF(S12="","",IF(S12&gt;Settings!$B$4,"Yes","No"))</f>
        <v/>
      </c>
      <c r="U12">
        <f>IF(OR(G12="",B12=""),"",IF(COUNTIFS($G$3:$G$1002,SUBSTITUTE(SUBSTITUTE(G12,"?","~?"),"*","~*"),$B$3:$B$1002,"&lt;&gt;"&amp;SUBSTITUTE(SUBSTITUTE(B12,"?","~?"),"*","~*"),$B$3:$B$1002,"?*")&gt;0,"Yes","No"))</f>
        <v/>
      </c>
      <c r="V12">
        <f>IF(OR(G12="",I12="",O12="",O12="Unclassified"),"",IFERROR(INDEX(Settings!$E$5:$H$16,MATCH(I12,Settings!$D$5:$D$16,0),MATCH(O12,Settings!$E$4:$H$4,0)),"Check"))</f>
        <v/>
      </c>
      <c r="W12">
        <f>IF(V12="","",IF(V12="No","Yes","No"))</f>
        <v/>
      </c>
      <c r="X12">
        <f>IF(OR(E12="",G12=""),"",IF(LOWER(IF(RIGHT(TRIM(E12),1)="/",LEFT(TRIM(E12),LEN(TRIM(E12))-1),TRIM(E12)))&lt;&gt;LOWER(IF(RIGHT(TRIM(G12),1)="/",LEFT(TRIM(G12),LEN(TRIM(G12))-1),TRIM(G12))),"Yes","No"))</f>
        <v/>
      </c>
      <c r="Y12">
        <f>IF(A12="","",(N(Q12)&gt;0)+(T12="Yes")+(U12="Yes")+(W12="Yes")+(X12="Yes"))</f>
        <v/>
      </c>
      <c r="Z12">
        <f>IF(A12="","",IF(G12="","Not mapped",IF(Y12=0,"OK",MID(IF(N(Q12)&gt;0,"; Cannibalisation","")&amp;IF(T12="Yes","; Too many primary keywords on URL","")&amp;IF(U12="Yes","; URL spans 2+ clusters","")&amp;IF(W12="Yes","; Intent mismatch","")&amp;IF(X12="Yes","; Ranking URL is not the target",""),3,300))))</f>
        <v/>
      </c>
      <c r="AA12">
        <f>IF(G12="","",IF(COUNTIF($G$3:G12,SUBSTITUTE(SUBSTITUTE(G12,"?","~?"),"*","~*"))=1,MAX($AA$2:AA11)+1,""))</f>
        <v/>
      </c>
      <c r="AB12">
        <f>IF(B12="","",IF(COUNTIF($B$3:B12,SUBSTITUTE(SUBSTITUTE(B12,"?","~?"),"*","~*"))=1,MAX($AB$2:AB11)+1,""))</f>
        <v/>
      </c>
    </row>
    <row r="13">
      <c r="A13" t="inlineStr">
        <is>
          <t>best marathon shoes</t>
        </is>
      </c>
      <c r="B13" t="inlineStr">
        <is>
          <t>Marathon</t>
        </is>
      </c>
      <c r="C13" t="n">
        <v>1600</v>
      </c>
      <c r="D13" t="n">
        <v>52</v>
      </c>
      <c r="E13" t="inlineStr">
        <is>
          <t>https://www.stride-example.com/marathon-running-shoes/</t>
        </is>
      </c>
      <c r="F13" t="n">
        <v>19</v>
      </c>
      <c r="G13" t="inlineStr">
        <is>
          <t>https://www.stride-example.com/marathon-running-shoes/</t>
        </is>
      </c>
      <c r="H13" t="inlineStr">
        <is>
          <t>Existing</t>
        </is>
      </c>
      <c r="I13" t="inlineStr">
        <is>
          <t>Category / collection</t>
        </is>
      </c>
      <c r="J13" t="inlineStr">
        <is>
          <t>Primary</t>
        </is>
      </c>
      <c r="M13">
        <f>IF(A13="","",LOWER(TRIM(SUBSTITUTE(SUBSTITUTE(A13,"?",""),"*",""))))</f>
        <v/>
      </c>
      <c r="N13">
        <f>IF(M13="","",IF(SUMPRODUCT(ISNUMBER(SEARCH(" "&amp;Settings!$L$5:$L$124&amp;" "," "&amp;M13&amp;" "))*(Settings!$K$5:$K$124="Navigational")*(Settings!$L$5:$L$124&lt;&gt;""))&gt;0,"Navigational",IF(SUMPRODUCT(ISNUMBER(SEARCH(" "&amp;Settings!$L$5:$L$124&amp;" "," "&amp;M13&amp;" "))*(Settings!$K$5:$K$124="Transactional")*(Settings!$L$5:$L$124&lt;&gt;""))&gt;0,"Transactional",IF(SUMPRODUCT(ISNUMBER(SEARCH(" "&amp;Settings!$L$5:$L$124&amp;" "," "&amp;M13&amp;" "))*(Settings!$K$5:$K$124="Commercial")*(Settings!$L$5:$L$124&lt;&gt;""))&gt;0,"Commercial",IF(SUMPRODUCT(ISNUMBER(SEARCH(" "&amp;Settings!$L$5:$L$124&amp;" "," "&amp;M13&amp;" "))*(Settings!$K$5:$K$124="Informational")*(Settings!$L$5:$L$124&lt;&gt;""))&gt;0,"Informational","Unclassified")))))</f>
        <v/>
      </c>
      <c r="O13">
        <f>IF(A13="","",IF(K13&lt;&gt;"",PROPER(K13),N13))</f>
        <v/>
      </c>
      <c r="P13">
        <f>IF(A13="","",ROUND(Settings!$B$5*MIN(1,LOG10(N(C13)+1)/LOG10(Settings!$B$7+1))+Settings!$B$6*(1-MIN(100,IF(D13="",50,N(D13)))/100)+IFERROR(INDEX(Settings!$B$10:$B$14,MATCH(O13,Settings!$A$10:$A$14,0)),0),0))</f>
        <v/>
      </c>
      <c r="Q13">
        <f>IF(OR(A13="",G13=""),"",COUNTIFS($M$3:$M$1002,M13,$G$3:$G$1002,"&lt;&gt;"&amp;SUBSTITUTE(SUBSTITUTE(G13,"?","~?"),"*","~*"),$G$3:$G$1002,"?*"))</f>
        <v/>
      </c>
      <c r="R13">
        <f>IF(Q13="","",IF(Q13&gt;0,"Yes","No"))</f>
        <v/>
      </c>
      <c r="S13">
        <f>IF(G13="","",COUNTIFS($G$3:$G$1002,SUBSTITUTE(SUBSTITUTE(G13,"?","~?"),"*","~*"),$J$3:$J$1002,"Primary"))</f>
        <v/>
      </c>
      <c r="T13">
        <f>IF(S13="","",IF(S13&gt;Settings!$B$4,"Yes","No"))</f>
        <v/>
      </c>
      <c r="U13">
        <f>IF(OR(G13="",B13=""),"",IF(COUNTIFS($G$3:$G$1002,SUBSTITUTE(SUBSTITUTE(G13,"?","~?"),"*","~*"),$B$3:$B$1002,"&lt;&gt;"&amp;SUBSTITUTE(SUBSTITUTE(B13,"?","~?"),"*","~*"),$B$3:$B$1002,"?*")&gt;0,"Yes","No"))</f>
        <v/>
      </c>
      <c r="V13">
        <f>IF(OR(G13="",I13="",O13="",O13="Unclassified"),"",IFERROR(INDEX(Settings!$E$5:$H$16,MATCH(I13,Settings!$D$5:$D$16,0),MATCH(O13,Settings!$E$4:$H$4,0)),"Check"))</f>
        <v/>
      </c>
      <c r="W13">
        <f>IF(V13="","",IF(V13="No","Yes","No"))</f>
        <v/>
      </c>
      <c r="X13">
        <f>IF(OR(E13="",G13=""),"",IF(LOWER(IF(RIGHT(TRIM(E13),1)="/",LEFT(TRIM(E13),LEN(TRIM(E13))-1),TRIM(E13)))&lt;&gt;LOWER(IF(RIGHT(TRIM(G13),1)="/",LEFT(TRIM(G13),LEN(TRIM(G13))-1),TRIM(G13))),"Yes","No"))</f>
        <v/>
      </c>
      <c r="Y13">
        <f>IF(A13="","",(N(Q13)&gt;0)+(T13="Yes")+(U13="Yes")+(W13="Yes")+(X13="Yes"))</f>
        <v/>
      </c>
      <c r="Z13">
        <f>IF(A13="","",IF(G13="","Not mapped",IF(Y13=0,"OK",MID(IF(N(Q13)&gt;0,"; Cannibalisation","")&amp;IF(T13="Yes","; Too many primary keywords on URL","")&amp;IF(U13="Yes","; URL spans 2+ clusters","")&amp;IF(W13="Yes","; Intent mismatch","")&amp;IF(X13="Yes","; Ranking URL is not the target",""),3,300))))</f>
        <v/>
      </c>
      <c r="AA13">
        <f>IF(G13="","",IF(COUNTIF($G$3:G13,SUBSTITUTE(SUBSTITUTE(G13,"?","~?"),"*","~*"))=1,MAX($AA$2:AA12)+1,""))</f>
        <v/>
      </c>
      <c r="AB13">
        <f>IF(B13="","",IF(COUNTIF($B$3:B13,SUBSTITUTE(SUBSTITUTE(B13,"?","~?"),"*","~*"))=1,MAX($AB$2:AB12)+1,""))</f>
        <v/>
      </c>
    </row>
    <row r="14">
      <c r="A14" t="inlineStr">
        <is>
          <t>carbon plate running shoes</t>
        </is>
      </c>
      <c r="B14" t="inlineStr">
        <is>
          <t>Marathon</t>
        </is>
      </c>
      <c r="C14" t="n">
        <v>1000</v>
      </c>
      <c r="D14" t="n">
        <v>44</v>
      </c>
      <c r="G14" t="inlineStr">
        <is>
          <t>https://www.stride-example.com/marathon-running-shoes/carbon-plate/</t>
        </is>
      </c>
      <c r="H14" t="inlineStr">
        <is>
          <t>Planned</t>
        </is>
      </c>
      <c r="I14" t="inlineStr">
        <is>
          <t>Category / collection</t>
        </is>
      </c>
      <c r="J14" t="inlineStr">
        <is>
          <t>Primary</t>
        </is>
      </c>
      <c r="M14">
        <f>IF(A14="","",LOWER(TRIM(SUBSTITUTE(SUBSTITUTE(A14,"?",""),"*",""))))</f>
        <v/>
      </c>
      <c r="N14">
        <f>IF(M14="","",IF(SUMPRODUCT(ISNUMBER(SEARCH(" "&amp;Settings!$L$5:$L$124&amp;" "," "&amp;M14&amp;" "))*(Settings!$K$5:$K$124="Navigational")*(Settings!$L$5:$L$124&lt;&gt;""))&gt;0,"Navigational",IF(SUMPRODUCT(ISNUMBER(SEARCH(" "&amp;Settings!$L$5:$L$124&amp;" "," "&amp;M14&amp;" "))*(Settings!$K$5:$K$124="Transactional")*(Settings!$L$5:$L$124&lt;&gt;""))&gt;0,"Transactional",IF(SUMPRODUCT(ISNUMBER(SEARCH(" "&amp;Settings!$L$5:$L$124&amp;" "," "&amp;M14&amp;" "))*(Settings!$K$5:$K$124="Commercial")*(Settings!$L$5:$L$124&lt;&gt;""))&gt;0,"Commercial",IF(SUMPRODUCT(ISNUMBER(SEARCH(" "&amp;Settings!$L$5:$L$124&amp;" "," "&amp;M14&amp;" "))*(Settings!$K$5:$K$124="Informational")*(Settings!$L$5:$L$124&lt;&gt;""))&gt;0,"Informational","Unclassified")))))</f>
        <v/>
      </c>
      <c r="O14">
        <f>IF(A14="","",IF(K14&lt;&gt;"",PROPER(K14),N14))</f>
        <v/>
      </c>
      <c r="P14">
        <f>IF(A14="","",ROUND(Settings!$B$5*MIN(1,LOG10(N(C14)+1)/LOG10(Settings!$B$7+1))+Settings!$B$6*(1-MIN(100,IF(D14="",50,N(D14)))/100)+IFERROR(INDEX(Settings!$B$10:$B$14,MATCH(O14,Settings!$A$10:$A$14,0)),0),0))</f>
        <v/>
      </c>
      <c r="Q14">
        <f>IF(OR(A14="",G14=""),"",COUNTIFS($M$3:$M$1002,M14,$G$3:$G$1002,"&lt;&gt;"&amp;SUBSTITUTE(SUBSTITUTE(G14,"?","~?"),"*","~*"),$G$3:$G$1002,"?*"))</f>
        <v/>
      </c>
      <c r="R14">
        <f>IF(Q14="","",IF(Q14&gt;0,"Yes","No"))</f>
        <v/>
      </c>
      <c r="S14">
        <f>IF(G14="","",COUNTIFS($G$3:$G$1002,SUBSTITUTE(SUBSTITUTE(G14,"?","~?"),"*","~*"),$J$3:$J$1002,"Primary"))</f>
        <v/>
      </c>
      <c r="T14">
        <f>IF(S14="","",IF(S14&gt;Settings!$B$4,"Yes","No"))</f>
        <v/>
      </c>
      <c r="U14">
        <f>IF(OR(G14="",B14=""),"",IF(COUNTIFS($G$3:$G$1002,SUBSTITUTE(SUBSTITUTE(G14,"?","~?"),"*","~*"),$B$3:$B$1002,"&lt;&gt;"&amp;SUBSTITUTE(SUBSTITUTE(B14,"?","~?"),"*","~*"),$B$3:$B$1002,"?*")&gt;0,"Yes","No"))</f>
        <v/>
      </c>
      <c r="V14">
        <f>IF(OR(G14="",I14="",O14="",O14="Unclassified"),"",IFERROR(INDEX(Settings!$E$5:$H$16,MATCH(I14,Settings!$D$5:$D$16,0),MATCH(O14,Settings!$E$4:$H$4,0)),"Check"))</f>
        <v/>
      </c>
      <c r="W14">
        <f>IF(V14="","",IF(V14="No","Yes","No"))</f>
        <v/>
      </c>
      <c r="X14">
        <f>IF(OR(E14="",G14=""),"",IF(LOWER(IF(RIGHT(TRIM(E14),1)="/",LEFT(TRIM(E14),LEN(TRIM(E14))-1),TRIM(E14)))&lt;&gt;LOWER(IF(RIGHT(TRIM(G14),1)="/",LEFT(TRIM(G14),LEN(TRIM(G14))-1),TRIM(G14))),"Yes","No"))</f>
        <v/>
      </c>
      <c r="Y14">
        <f>IF(A14="","",(N(Q14)&gt;0)+(T14="Yes")+(U14="Yes")+(W14="Yes")+(X14="Yes"))</f>
        <v/>
      </c>
      <c r="Z14">
        <f>IF(A14="","",IF(G14="","Not mapped",IF(Y14=0,"OK",MID(IF(N(Q14)&gt;0,"; Cannibalisation","")&amp;IF(T14="Yes","; Too many primary keywords on URL","")&amp;IF(U14="Yes","; URL spans 2+ clusters","")&amp;IF(W14="Yes","; Intent mismatch","")&amp;IF(X14="Yes","; Ranking URL is not the target",""),3,300))))</f>
        <v/>
      </c>
      <c r="AA14">
        <f>IF(G14="","",IF(COUNTIF($G$3:G14,SUBSTITUTE(SUBSTITUTE(G14,"?","~?"),"*","~*"))=1,MAX($AA$2:AA13)+1,""))</f>
        <v/>
      </c>
      <c r="AB14">
        <f>IF(B14="","",IF(COUNTIF($B$3:B14,SUBSTITUTE(SUBSTITUTE(B14,"?","~?"),"*","~*"))=1,MAX($AB$2:AB13)+1,""))</f>
        <v/>
      </c>
    </row>
    <row r="15">
      <c r="A15" t="inlineStr">
        <is>
          <t>what are carbon plate shoes</t>
        </is>
      </c>
      <c r="B15" t="inlineStr">
        <is>
          <t>Marathon</t>
        </is>
      </c>
      <c r="C15" t="n">
        <v>480</v>
      </c>
      <c r="D15" t="n">
        <v>18</v>
      </c>
      <c r="G15" t="inlineStr">
        <is>
          <t>https://www.stride-example.com/glossary/carbon-plate/</t>
        </is>
      </c>
      <c r="H15" t="inlineStr">
        <is>
          <t>Planned</t>
        </is>
      </c>
      <c r="I15" t="inlineStr">
        <is>
          <t>Glossary / definition</t>
        </is>
      </c>
      <c r="J15" t="inlineStr">
        <is>
          <t>Primary</t>
        </is>
      </c>
      <c r="M15">
        <f>IF(A15="","",LOWER(TRIM(SUBSTITUTE(SUBSTITUTE(A15,"?",""),"*",""))))</f>
        <v/>
      </c>
      <c r="N15">
        <f>IF(M15="","",IF(SUMPRODUCT(ISNUMBER(SEARCH(" "&amp;Settings!$L$5:$L$124&amp;" "," "&amp;M15&amp;" "))*(Settings!$K$5:$K$124="Navigational")*(Settings!$L$5:$L$124&lt;&gt;""))&gt;0,"Navigational",IF(SUMPRODUCT(ISNUMBER(SEARCH(" "&amp;Settings!$L$5:$L$124&amp;" "," "&amp;M15&amp;" "))*(Settings!$K$5:$K$124="Transactional")*(Settings!$L$5:$L$124&lt;&gt;""))&gt;0,"Transactional",IF(SUMPRODUCT(ISNUMBER(SEARCH(" "&amp;Settings!$L$5:$L$124&amp;" "," "&amp;M15&amp;" "))*(Settings!$K$5:$K$124="Commercial")*(Settings!$L$5:$L$124&lt;&gt;""))&gt;0,"Commercial",IF(SUMPRODUCT(ISNUMBER(SEARCH(" "&amp;Settings!$L$5:$L$124&amp;" "," "&amp;M15&amp;" "))*(Settings!$K$5:$K$124="Informational")*(Settings!$L$5:$L$124&lt;&gt;""))&gt;0,"Informational","Unclassified")))))</f>
        <v/>
      </c>
      <c r="O15">
        <f>IF(A15="","",IF(K15&lt;&gt;"",PROPER(K15),N15))</f>
        <v/>
      </c>
      <c r="P15">
        <f>IF(A15="","",ROUND(Settings!$B$5*MIN(1,LOG10(N(C15)+1)/LOG10(Settings!$B$7+1))+Settings!$B$6*(1-MIN(100,IF(D15="",50,N(D15)))/100)+IFERROR(INDEX(Settings!$B$10:$B$14,MATCH(O15,Settings!$A$10:$A$14,0)),0),0))</f>
        <v/>
      </c>
      <c r="Q15">
        <f>IF(OR(A15="",G15=""),"",COUNTIFS($M$3:$M$1002,M15,$G$3:$G$1002,"&lt;&gt;"&amp;SUBSTITUTE(SUBSTITUTE(G15,"?","~?"),"*","~*"),$G$3:$G$1002,"?*"))</f>
        <v/>
      </c>
      <c r="R15">
        <f>IF(Q15="","",IF(Q15&gt;0,"Yes","No"))</f>
        <v/>
      </c>
      <c r="S15">
        <f>IF(G15="","",COUNTIFS($G$3:$G$1002,SUBSTITUTE(SUBSTITUTE(G15,"?","~?"),"*","~*"),$J$3:$J$1002,"Primary"))</f>
        <v/>
      </c>
      <c r="T15">
        <f>IF(S15="","",IF(S15&gt;Settings!$B$4,"Yes","No"))</f>
        <v/>
      </c>
      <c r="U15">
        <f>IF(OR(G15="",B15=""),"",IF(COUNTIFS($G$3:$G$1002,SUBSTITUTE(SUBSTITUTE(G15,"?","~?"),"*","~*"),$B$3:$B$1002,"&lt;&gt;"&amp;SUBSTITUTE(SUBSTITUTE(B15,"?","~?"),"*","~*"),$B$3:$B$1002,"?*")&gt;0,"Yes","No"))</f>
        <v/>
      </c>
      <c r="V15">
        <f>IF(OR(G15="",I15="",O15="",O15="Unclassified"),"",IFERROR(INDEX(Settings!$E$5:$H$16,MATCH(I15,Settings!$D$5:$D$16,0),MATCH(O15,Settings!$E$4:$H$4,0)),"Check"))</f>
        <v/>
      </c>
      <c r="W15">
        <f>IF(V15="","",IF(V15="No","Yes","No"))</f>
        <v/>
      </c>
      <c r="X15">
        <f>IF(OR(E15="",G15=""),"",IF(LOWER(IF(RIGHT(TRIM(E15),1)="/",LEFT(TRIM(E15),LEN(TRIM(E15))-1),TRIM(E15)))&lt;&gt;LOWER(IF(RIGHT(TRIM(G15),1)="/",LEFT(TRIM(G15),LEN(TRIM(G15))-1),TRIM(G15))),"Yes","No"))</f>
        <v/>
      </c>
      <c r="Y15">
        <f>IF(A15="","",(N(Q15)&gt;0)+(T15="Yes")+(U15="Yes")+(W15="Yes")+(X15="Yes"))</f>
        <v/>
      </c>
      <c r="Z15">
        <f>IF(A15="","",IF(G15="","Not mapped",IF(Y15=0,"OK",MID(IF(N(Q15)&gt;0,"; Cannibalisation","")&amp;IF(T15="Yes","; Too many primary keywords on URL","")&amp;IF(U15="Yes","; URL spans 2+ clusters","")&amp;IF(W15="Yes","; Intent mismatch","")&amp;IF(X15="Yes","; Ranking URL is not the target",""),3,300))))</f>
        <v/>
      </c>
      <c r="AA15">
        <f>IF(G15="","",IF(COUNTIF($G$3:G15,SUBSTITUTE(SUBSTITUTE(G15,"?","~?"),"*","~*"))=1,MAX($AA$2:AA14)+1,""))</f>
        <v/>
      </c>
      <c r="AB15">
        <f>IF(B15="","",IF(COUNTIF($B$3:B15,SUBSTITUTE(SUBSTITUTE(B15,"?","~?"),"*","~*"))=1,MAX($AB$2:AB14)+1,""))</f>
        <v/>
      </c>
    </row>
    <row r="16">
      <c r="A16" t="inlineStr">
        <is>
          <t>hoka vs brooks</t>
        </is>
      </c>
      <c r="B16" t="inlineStr">
        <is>
          <t>Brand comparisons</t>
        </is>
      </c>
      <c r="C16" t="n">
        <v>880</v>
      </c>
      <c r="D16" t="n">
        <v>26</v>
      </c>
      <c r="E16" t="inlineStr">
        <is>
          <t>https://www.stride-example.com/blog/hoka-vs-brooks/</t>
        </is>
      </c>
      <c r="F16" t="n">
        <v>6</v>
      </c>
      <c r="G16" t="inlineStr">
        <is>
          <t>https://www.stride-example.com/blog/hoka-vs-brooks/</t>
        </is>
      </c>
      <c r="H16" t="inlineStr">
        <is>
          <t>Existing</t>
        </is>
      </c>
      <c r="I16" t="inlineStr">
        <is>
          <t>Comparison / review</t>
        </is>
      </c>
      <c r="J16" t="inlineStr">
        <is>
          <t>Primary</t>
        </is>
      </c>
      <c r="M16">
        <f>IF(A16="","",LOWER(TRIM(SUBSTITUTE(SUBSTITUTE(A16,"?",""),"*",""))))</f>
        <v/>
      </c>
      <c r="N16">
        <f>IF(M16="","",IF(SUMPRODUCT(ISNUMBER(SEARCH(" "&amp;Settings!$L$5:$L$124&amp;" "," "&amp;M16&amp;" "))*(Settings!$K$5:$K$124="Navigational")*(Settings!$L$5:$L$124&lt;&gt;""))&gt;0,"Navigational",IF(SUMPRODUCT(ISNUMBER(SEARCH(" "&amp;Settings!$L$5:$L$124&amp;" "," "&amp;M16&amp;" "))*(Settings!$K$5:$K$124="Transactional")*(Settings!$L$5:$L$124&lt;&gt;""))&gt;0,"Transactional",IF(SUMPRODUCT(ISNUMBER(SEARCH(" "&amp;Settings!$L$5:$L$124&amp;" "," "&amp;M16&amp;" "))*(Settings!$K$5:$K$124="Commercial")*(Settings!$L$5:$L$124&lt;&gt;""))&gt;0,"Commercial",IF(SUMPRODUCT(ISNUMBER(SEARCH(" "&amp;Settings!$L$5:$L$124&amp;" "," "&amp;M16&amp;" "))*(Settings!$K$5:$K$124="Informational")*(Settings!$L$5:$L$124&lt;&gt;""))&gt;0,"Informational","Unclassified")))))</f>
        <v/>
      </c>
      <c r="O16">
        <f>IF(A16="","",IF(K16&lt;&gt;"",PROPER(K16),N16))</f>
        <v/>
      </c>
      <c r="P16">
        <f>IF(A16="","",ROUND(Settings!$B$5*MIN(1,LOG10(N(C16)+1)/LOG10(Settings!$B$7+1))+Settings!$B$6*(1-MIN(100,IF(D16="",50,N(D16)))/100)+IFERROR(INDEX(Settings!$B$10:$B$14,MATCH(O16,Settings!$A$10:$A$14,0)),0),0))</f>
        <v/>
      </c>
      <c r="Q16">
        <f>IF(OR(A16="",G16=""),"",COUNTIFS($M$3:$M$1002,M16,$G$3:$G$1002,"&lt;&gt;"&amp;SUBSTITUTE(SUBSTITUTE(G16,"?","~?"),"*","~*"),$G$3:$G$1002,"?*"))</f>
        <v/>
      </c>
      <c r="R16">
        <f>IF(Q16="","",IF(Q16&gt;0,"Yes","No"))</f>
        <v/>
      </c>
      <c r="S16">
        <f>IF(G16="","",COUNTIFS($G$3:$G$1002,SUBSTITUTE(SUBSTITUTE(G16,"?","~?"),"*","~*"),$J$3:$J$1002,"Primary"))</f>
        <v/>
      </c>
      <c r="T16">
        <f>IF(S16="","",IF(S16&gt;Settings!$B$4,"Yes","No"))</f>
        <v/>
      </c>
      <c r="U16">
        <f>IF(OR(G16="",B16=""),"",IF(COUNTIFS($G$3:$G$1002,SUBSTITUTE(SUBSTITUTE(G16,"?","~?"),"*","~*"),$B$3:$B$1002,"&lt;&gt;"&amp;SUBSTITUTE(SUBSTITUTE(B16,"?","~?"),"*","~*"),$B$3:$B$1002,"?*")&gt;0,"Yes","No"))</f>
        <v/>
      </c>
      <c r="V16">
        <f>IF(OR(G16="",I16="",O16="",O16="Unclassified"),"",IFERROR(INDEX(Settings!$E$5:$H$16,MATCH(I16,Settings!$D$5:$D$16,0),MATCH(O16,Settings!$E$4:$H$4,0)),"Check"))</f>
        <v/>
      </c>
      <c r="W16">
        <f>IF(V16="","",IF(V16="No","Yes","No"))</f>
        <v/>
      </c>
      <c r="X16">
        <f>IF(OR(E16="",G16=""),"",IF(LOWER(IF(RIGHT(TRIM(E16),1)="/",LEFT(TRIM(E16),LEN(TRIM(E16))-1),TRIM(E16)))&lt;&gt;LOWER(IF(RIGHT(TRIM(G16),1)="/",LEFT(TRIM(G16),LEN(TRIM(G16))-1),TRIM(G16))),"Yes","No"))</f>
        <v/>
      </c>
      <c r="Y16">
        <f>IF(A16="","",(N(Q16)&gt;0)+(T16="Yes")+(U16="Yes")+(W16="Yes")+(X16="Yes"))</f>
        <v/>
      </c>
      <c r="Z16">
        <f>IF(A16="","",IF(G16="","Not mapped",IF(Y16=0,"OK",MID(IF(N(Q16)&gt;0,"; Cannibalisation","")&amp;IF(T16="Yes","; Too many primary keywords on URL","")&amp;IF(U16="Yes","; URL spans 2+ clusters","")&amp;IF(W16="Yes","; Intent mismatch","")&amp;IF(X16="Yes","; Ranking URL is not the target",""),3,300))))</f>
        <v/>
      </c>
      <c r="AA16">
        <f>IF(G16="","",IF(COUNTIF($G$3:G16,SUBSTITUTE(SUBSTITUTE(G16,"?","~?"),"*","~*"))=1,MAX($AA$2:AA15)+1,""))</f>
        <v/>
      </c>
      <c r="AB16">
        <f>IF(B16="","",IF(COUNTIF($B$3:B16,SUBSTITUTE(SUBSTITUTE(B16,"?","~?"),"*","~*"))=1,MAX($AB$2:AB15)+1,""))</f>
        <v/>
      </c>
    </row>
    <row r="17">
      <c r="A17" t="inlineStr">
        <is>
          <t>hoka clifton vs brooks ghost</t>
        </is>
      </c>
      <c r="B17" t="inlineStr">
        <is>
          <t>Brand comparisons</t>
        </is>
      </c>
      <c r="C17" t="n">
        <v>720</v>
      </c>
      <c r="D17" t="n">
        <v>21</v>
      </c>
      <c r="E17" t="inlineStr">
        <is>
          <t>https://www.stride-example.com/blog/hoka-vs-brooks/</t>
        </is>
      </c>
      <c r="F17" t="n">
        <v>8</v>
      </c>
      <c r="G17" t="inlineStr">
        <is>
          <t>https://www.stride-example.com/blog/hoka-vs-brooks/</t>
        </is>
      </c>
      <c r="H17" t="inlineStr">
        <is>
          <t>Existing</t>
        </is>
      </c>
      <c r="I17" t="inlineStr">
        <is>
          <t>Comparison / review</t>
        </is>
      </c>
      <c r="J17" t="inlineStr">
        <is>
          <t>Secondary</t>
        </is>
      </c>
      <c r="M17">
        <f>IF(A17="","",LOWER(TRIM(SUBSTITUTE(SUBSTITUTE(A17,"?",""),"*",""))))</f>
        <v/>
      </c>
      <c r="N17">
        <f>IF(M17="","",IF(SUMPRODUCT(ISNUMBER(SEARCH(" "&amp;Settings!$L$5:$L$124&amp;" "," "&amp;M17&amp;" "))*(Settings!$K$5:$K$124="Navigational")*(Settings!$L$5:$L$124&lt;&gt;""))&gt;0,"Navigational",IF(SUMPRODUCT(ISNUMBER(SEARCH(" "&amp;Settings!$L$5:$L$124&amp;" "," "&amp;M17&amp;" "))*(Settings!$K$5:$K$124="Transactional")*(Settings!$L$5:$L$124&lt;&gt;""))&gt;0,"Transactional",IF(SUMPRODUCT(ISNUMBER(SEARCH(" "&amp;Settings!$L$5:$L$124&amp;" "," "&amp;M17&amp;" "))*(Settings!$K$5:$K$124="Commercial")*(Settings!$L$5:$L$124&lt;&gt;""))&gt;0,"Commercial",IF(SUMPRODUCT(ISNUMBER(SEARCH(" "&amp;Settings!$L$5:$L$124&amp;" "," "&amp;M17&amp;" "))*(Settings!$K$5:$K$124="Informational")*(Settings!$L$5:$L$124&lt;&gt;""))&gt;0,"Informational","Unclassified")))))</f>
        <v/>
      </c>
      <c r="O17">
        <f>IF(A17="","",IF(K17&lt;&gt;"",PROPER(K17),N17))</f>
        <v/>
      </c>
      <c r="P17">
        <f>IF(A17="","",ROUND(Settings!$B$5*MIN(1,LOG10(N(C17)+1)/LOG10(Settings!$B$7+1))+Settings!$B$6*(1-MIN(100,IF(D17="",50,N(D17)))/100)+IFERROR(INDEX(Settings!$B$10:$B$14,MATCH(O17,Settings!$A$10:$A$14,0)),0),0))</f>
        <v/>
      </c>
      <c r="Q17">
        <f>IF(OR(A17="",G17=""),"",COUNTIFS($M$3:$M$1002,M17,$G$3:$G$1002,"&lt;&gt;"&amp;SUBSTITUTE(SUBSTITUTE(G17,"?","~?"),"*","~*"),$G$3:$G$1002,"?*"))</f>
        <v/>
      </c>
      <c r="R17">
        <f>IF(Q17="","",IF(Q17&gt;0,"Yes","No"))</f>
        <v/>
      </c>
      <c r="S17">
        <f>IF(G17="","",COUNTIFS($G$3:$G$1002,SUBSTITUTE(SUBSTITUTE(G17,"?","~?"),"*","~*"),$J$3:$J$1002,"Primary"))</f>
        <v/>
      </c>
      <c r="T17">
        <f>IF(S17="","",IF(S17&gt;Settings!$B$4,"Yes","No"))</f>
        <v/>
      </c>
      <c r="U17">
        <f>IF(OR(G17="",B17=""),"",IF(COUNTIFS($G$3:$G$1002,SUBSTITUTE(SUBSTITUTE(G17,"?","~?"),"*","~*"),$B$3:$B$1002,"&lt;&gt;"&amp;SUBSTITUTE(SUBSTITUTE(B17,"?","~?"),"*","~*"),$B$3:$B$1002,"?*")&gt;0,"Yes","No"))</f>
        <v/>
      </c>
      <c r="V17">
        <f>IF(OR(G17="",I17="",O17="",O17="Unclassified"),"",IFERROR(INDEX(Settings!$E$5:$H$16,MATCH(I17,Settings!$D$5:$D$16,0),MATCH(O17,Settings!$E$4:$H$4,0)),"Check"))</f>
        <v/>
      </c>
      <c r="W17">
        <f>IF(V17="","",IF(V17="No","Yes","No"))</f>
        <v/>
      </c>
      <c r="X17">
        <f>IF(OR(E17="",G17=""),"",IF(LOWER(IF(RIGHT(TRIM(E17),1)="/",LEFT(TRIM(E17),LEN(TRIM(E17))-1),TRIM(E17)))&lt;&gt;LOWER(IF(RIGHT(TRIM(G17),1)="/",LEFT(TRIM(G17),LEN(TRIM(G17))-1),TRIM(G17))),"Yes","No"))</f>
        <v/>
      </c>
      <c r="Y17">
        <f>IF(A17="","",(N(Q17)&gt;0)+(T17="Yes")+(U17="Yes")+(W17="Yes")+(X17="Yes"))</f>
        <v/>
      </c>
      <c r="Z17">
        <f>IF(A17="","",IF(G17="","Not mapped",IF(Y17=0,"OK",MID(IF(N(Q17)&gt;0,"; Cannibalisation","")&amp;IF(T17="Yes","; Too many primary keywords on URL","")&amp;IF(U17="Yes","; URL spans 2+ clusters","")&amp;IF(W17="Yes","; Intent mismatch","")&amp;IF(X17="Yes","; Ranking URL is not the target",""),3,300))))</f>
        <v/>
      </c>
      <c r="AA17">
        <f>IF(G17="","",IF(COUNTIF($G$3:G17,SUBSTITUTE(SUBSTITUTE(G17,"?","~?"),"*","~*"))=1,MAX($AA$2:AA16)+1,""))</f>
        <v/>
      </c>
      <c r="AB17">
        <f>IF(B17="","",IF(COUNTIF($B$3:B17,SUBSTITUTE(SUBSTITUTE(B17,"?","~?"),"*","~*"))=1,MAX($AB$2:AB16)+1,""))</f>
        <v/>
      </c>
    </row>
    <row r="18">
      <c r="A18" t="inlineStr">
        <is>
          <t>asics gel nimbus review</t>
        </is>
      </c>
      <c r="B18" t="inlineStr">
        <is>
          <t>Brand comparisons</t>
        </is>
      </c>
      <c r="C18" t="n">
        <v>1300</v>
      </c>
      <c r="D18" t="n">
        <v>33</v>
      </c>
      <c r="G18" t="inlineStr">
        <is>
          <t>https://www.stride-example.com/reviews/asics-gel-nimbus/</t>
        </is>
      </c>
      <c r="H18" t="inlineStr">
        <is>
          <t>Planned</t>
        </is>
      </c>
      <c r="I18" t="inlineStr">
        <is>
          <t>Comparison / review</t>
        </is>
      </c>
      <c r="J18" t="inlineStr">
        <is>
          <t>Primary</t>
        </is>
      </c>
      <c r="M18">
        <f>IF(A18="","",LOWER(TRIM(SUBSTITUTE(SUBSTITUTE(A18,"?",""),"*",""))))</f>
        <v/>
      </c>
      <c r="N18">
        <f>IF(M18="","",IF(SUMPRODUCT(ISNUMBER(SEARCH(" "&amp;Settings!$L$5:$L$124&amp;" "," "&amp;M18&amp;" "))*(Settings!$K$5:$K$124="Navigational")*(Settings!$L$5:$L$124&lt;&gt;""))&gt;0,"Navigational",IF(SUMPRODUCT(ISNUMBER(SEARCH(" "&amp;Settings!$L$5:$L$124&amp;" "," "&amp;M18&amp;" "))*(Settings!$K$5:$K$124="Transactional")*(Settings!$L$5:$L$124&lt;&gt;""))&gt;0,"Transactional",IF(SUMPRODUCT(ISNUMBER(SEARCH(" "&amp;Settings!$L$5:$L$124&amp;" "," "&amp;M18&amp;" "))*(Settings!$K$5:$K$124="Commercial")*(Settings!$L$5:$L$124&lt;&gt;""))&gt;0,"Commercial",IF(SUMPRODUCT(ISNUMBER(SEARCH(" "&amp;Settings!$L$5:$L$124&amp;" "," "&amp;M18&amp;" "))*(Settings!$K$5:$K$124="Informational")*(Settings!$L$5:$L$124&lt;&gt;""))&gt;0,"Informational","Unclassified")))))</f>
        <v/>
      </c>
      <c r="O18">
        <f>IF(A18="","",IF(K18&lt;&gt;"",PROPER(K18),N18))</f>
        <v/>
      </c>
      <c r="P18">
        <f>IF(A18="","",ROUND(Settings!$B$5*MIN(1,LOG10(N(C18)+1)/LOG10(Settings!$B$7+1))+Settings!$B$6*(1-MIN(100,IF(D18="",50,N(D18)))/100)+IFERROR(INDEX(Settings!$B$10:$B$14,MATCH(O18,Settings!$A$10:$A$14,0)),0),0))</f>
        <v/>
      </c>
      <c r="Q18">
        <f>IF(OR(A18="",G18=""),"",COUNTIFS($M$3:$M$1002,M18,$G$3:$G$1002,"&lt;&gt;"&amp;SUBSTITUTE(SUBSTITUTE(G18,"?","~?"),"*","~*"),$G$3:$G$1002,"?*"))</f>
        <v/>
      </c>
      <c r="R18">
        <f>IF(Q18="","",IF(Q18&gt;0,"Yes","No"))</f>
        <v/>
      </c>
      <c r="S18">
        <f>IF(G18="","",COUNTIFS($G$3:$G$1002,SUBSTITUTE(SUBSTITUTE(G18,"?","~?"),"*","~*"),$J$3:$J$1002,"Primary"))</f>
        <v/>
      </c>
      <c r="T18">
        <f>IF(S18="","",IF(S18&gt;Settings!$B$4,"Yes","No"))</f>
        <v/>
      </c>
      <c r="U18">
        <f>IF(OR(G18="",B18=""),"",IF(COUNTIFS($G$3:$G$1002,SUBSTITUTE(SUBSTITUTE(G18,"?","~?"),"*","~*"),$B$3:$B$1002,"&lt;&gt;"&amp;SUBSTITUTE(SUBSTITUTE(B18,"?","~?"),"*","~*"),$B$3:$B$1002,"?*")&gt;0,"Yes","No"))</f>
        <v/>
      </c>
      <c r="V18">
        <f>IF(OR(G18="",I18="",O18="",O18="Unclassified"),"",IFERROR(INDEX(Settings!$E$5:$H$16,MATCH(I18,Settings!$D$5:$D$16,0),MATCH(O18,Settings!$E$4:$H$4,0)),"Check"))</f>
        <v/>
      </c>
      <c r="W18">
        <f>IF(V18="","",IF(V18="No","Yes","No"))</f>
        <v/>
      </c>
      <c r="X18">
        <f>IF(OR(E18="",G18=""),"",IF(LOWER(IF(RIGHT(TRIM(E18),1)="/",LEFT(TRIM(E18),LEN(TRIM(E18))-1),TRIM(E18)))&lt;&gt;LOWER(IF(RIGHT(TRIM(G18),1)="/",LEFT(TRIM(G18),LEN(TRIM(G18))-1),TRIM(G18))),"Yes","No"))</f>
        <v/>
      </c>
      <c r="Y18">
        <f>IF(A18="","",(N(Q18)&gt;0)+(T18="Yes")+(U18="Yes")+(W18="Yes")+(X18="Yes"))</f>
        <v/>
      </c>
      <c r="Z18">
        <f>IF(A18="","",IF(G18="","Not mapped",IF(Y18=0,"OK",MID(IF(N(Q18)&gt;0,"; Cannibalisation","")&amp;IF(T18="Yes","; Too many primary keywords on URL","")&amp;IF(U18="Yes","; URL spans 2+ clusters","")&amp;IF(W18="Yes","; Intent mismatch","")&amp;IF(X18="Yes","; Ranking URL is not the target",""),3,300))))</f>
        <v/>
      </c>
      <c r="AA18">
        <f>IF(G18="","",IF(COUNTIF($G$3:G18,SUBSTITUTE(SUBSTITUTE(G18,"?","~?"),"*","~*"))=1,MAX($AA$2:AA17)+1,""))</f>
        <v/>
      </c>
      <c r="AB18">
        <f>IF(B18="","",IF(COUNTIF($B$3:B18,SUBSTITUTE(SUBSTITUTE(B18,"?","~?"),"*","~*"))=1,MAX($AB$2:AB17)+1,""))</f>
        <v/>
      </c>
    </row>
    <row r="19">
      <c r="A19" t="inlineStr">
        <is>
          <t>stride and co discount code</t>
        </is>
      </c>
      <c r="B19" t="inlineStr">
        <is>
          <t>Brand &amp; store</t>
        </is>
      </c>
      <c r="C19" t="n">
        <v>390</v>
      </c>
      <c r="D19" t="n">
        <v>5</v>
      </c>
      <c r="E19" t="inlineStr">
        <is>
          <t>https://www.stride-example.com/offers/</t>
        </is>
      </c>
      <c r="F19" t="n">
        <v>2</v>
      </c>
      <c r="G19" t="inlineStr">
        <is>
          <t>https://www.stride-example.com/offers/</t>
        </is>
      </c>
      <c r="H19" t="inlineStr">
        <is>
          <t>Existing</t>
        </is>
      </c>
      <c r="I19" t="inlineStr">
        <is>
          <t>Landing page</t>
        </is>
      </c>
      <c r="J19" t="inlineStr">
        <is>
          <t>Primary</t>
        </is>
      </c>
      <c r="M19">
        <f>IF(A19="","",LOWER(TRIM(SUBSTITUTE(SUBSTITUTE(A19,"?",""),"*",""))))</f>
        <v/>
      </c>
      <c r="N19">
        <f>IF(M19="","",IF(SUMPRODUCT(ISNUMBER(SEARCH(" "&amp;Settings!$L$5:$L$124&amp;" "," "&amp;M19&amp;" "))*(Settings!$K$5:$K$124="Navigational")*(Settings!$L$5:$L$124&lt;&gt;""))&gt;0,"Navigational",IF(SUMPRODUCT(ISNUMBER(SEARCH(" "&amp;Settings!$L$5:$L$124&amp;" "," "&amp;M19&amp;" "))*(Settings!$K$5:$K$124="Transactional")*(Settings!$L$5:$L$124&lt;&gt;""))&gt;0,"Transactional",IF(SUMPRODUCT(ISNUMBER(SEARCH(" "&amp;Settings!$L$5:$L$124&amp;" "," "&amp;M19&amp;" "))*(Settings!$K$5:$K$124="Commercial")*(Settings!$L$5:$L$124&lt;&gt;""))&gt;0,"Commercial",IF(SUMPRODUCT(ISNUMBER(SEARCH(" "&amp;Settings!$L$5:$L$124&amp;" "," "&amp;M19&amp;" "))*(Settings!$K$5:$K$124="Informational")*(Settings!$L$5:$L$124&lt;&gt;""))&gt;0,"Informational","Unclassified")))))</f>
        <v/>
      </c>
      <c r="O19">
        <f>IF(A19="","",IF(K19&lt;&gt;"",PROPER(K19),N19))</f>
        <v/>
      </c>
      <c r="P19">
        <f>IF(A19="","",ROUND(Settings!$B$5*MIN(1,LOG10(N(C19)+1)/LOG10(Settings!$B$7+1))+Settings!$B$6*(1-MIN(100,IF(D19="",50,N(D19)))/100)+IFERROR(INDEX(Settings!$B$10:$B$14,MATCH(O19,Settings!$A$10:$A$14,0)),0),0))</f>
        <v/>
      </c>
      <c r="Q19">
        <f>IF(OR(A19="",G19=""),"",COUNTIFS($M$3:$M$1002,M19,$G$3:$G$1002,"&lt;&gt;"&amp;SUBSTITUTE(SUBSTITUTE(G19,"?","~?"),"*","~*"),$G$3:$G$1002,"?*"))</f>
        <v/>
      </c>
      <c r="R19">
        <f>IF(Q19="","",IF(Q19&gt;0,"Yes","No"))</f>
        <v/>
      </c>
      <c r="S19">
        <f>IF(G19="","",COUNTIFS($G$3:$G$1002,SUBSTITUTE(SUBSTITUTE(G19,"?","~?"),"*","~*"),$J$3:$J$1002,"Primary"))</f>
        <v/>
      </c>
      <c r="T19">
        <f>IF(S19="","",IF(S19&gt;Settings!$B$4,"Yes","No"))</f>
        <v/>
      </c>
      <c r="U19">
        <f>IF(OR(G19="",B19=""),"",IF(COUNTIFS($G$3:$G$1002,SUBSTITUTE(SUBSTITUTE(G19,"?","~?"),"*","~*"),$B$3:$B$1002,"&lt;&gt;"&amp;SUBSTITUTE(SUBSTITUTE(B19,"?","~?"),"*","~*"),$B$3:$B$1002,"?*")&gt;0,"Yes","No"))</f>
        <v/>
      </c>
      <c r="V19">
        <f>IF(OR(G19="",I19="",O19="",O19="Unclassified"),"",IFERROR(INDEX(Settings!$E$5:$H$16,MATCH(I19,Settings!$D$5:$D$16,0),MATCH(O19,Settings!$E$4:$H$4,0)),"Check"))</f>
        <v/>
      </c>
      <c r="W19">
        <f>IF(V19="","",IF(V19="No","Yes","No"))</f>
        <v/>
      </c>
      <c r="X19">
        <f>IF(OR(E19="",G19=""),"",IF(LOWER(IF(RIGHT(TRIM(E19),1)="/",LEFT(TRIM(E19),LEN(TRIM(E19))-1),TRIM(E19)))&lt;&gt;LOWER(IF(RIGHT(TRIM(G19),1)="/",LEFT(TRIM(G19),LEN(TRIM(G19))-1),TRIM(G19))),"Yes","No"))</f>
        <v/>
      </c>
      <c r="Y19">
        <f>IF(A19="","",(N(Q19)&gt;0)+(T19="Yes")+(U19="Yes")+(W19="Yes")+(X19="Yes"))</f>
        <v/>
      </c>
      <c r="Z19">
        <f>IF(A19="","",IF(G19="","Not mapped",IF(Y19=0,"OK",MID(IF(N(Q19)&gt;0,"; Cannibalisation","")&amp;IF(T19="Yes","; Too many primary keywords on URL","")&amp;IF(U19="Yes","; URL spans 2+ clusters","")&amp;IF(W19="Yes","; Intent mismatch","")&amp;IF(X19="Yes","; Ranking URL is not the target",""),3,300))))</f>
        <v/>
      </c>
      <c r="AA19">
        <f>IF(G19="","",IF(COUNTIF($G$3:G19,SUBSTITUTE(SUBSTITUTE(G19,"?","~?"),"*","~*"))=1,MAX($AA$2:AA18)+1,""))</f>
        <v/>
      </c>
      <c r="AB19">
        <f>IF(B19="","",IF(COUNTIF($B$3:B19,SUBSTITUTE(SUBSTITUTE(B19,"?","~?"),"*","~*"))=1,MAX($AB$2:AB18)+1,""))</f>
        <v/>
      </c>
    </row>
    <row r="20">
      <c r="A20" t="inlineStr">
        <is>
          <t>stride and co returns</t>
        </is>
      </c>
      <c r="B20" t="inlineStr">
        <is>
          <t>Brand &amp; store</t>
        </is>
      </c>
      <c r="C20" t="n">
        <v>170</v>
      </c>
      <c r="D20" t="n">
        <v>3</v>
      </c>
      <c r="E20" t="inlineStr">
        <is>
          <t>https://www.stride-example.com/help/returns/</t>
        </is>
      </c>
      <c r="F20" t="n">
        <v>1</v>
      </c>
      <c r="G20" t="inlineStr">
        <is>
          <t>https://www.stride-example.com/help/returns/</t>
        </is>
      </c>
      <c r="H20" t="inlineStr">
        <is>
          <t>Existing</t>
        </is>
      </c>
      <c r="I20" t="inlineStr">
        <is>
          <t>Support / docs</t>
        </is>
      </c>
      <c r="J20" t="inlineStr">
        <is>
          <t>Primary</t>
        </is>
      </c>
      <c r="M20">
        <f>IF(A20="","",LOWER(TRIM(SUBSTITUTE(SUBSTITUTE(A20,"?",""),"*",""))))</f>
        <v/>
      </c>
      <c r="N20">
        <f>IF(M20="","",IF(SUMPRODUCT(ISNUMBER(SEARCH(" "&amp;Settings!$L$5:$L$124&amp;" "," "&amp;M20&amp;" "))*(Settings!$K$5:$K$124="Navigational")*(Settings!$L$5:$L$124&lt;&gt;""))&gt;0,"Navigational",IF(SUMPRODUCT(ISNUMBER(SEARCH(" "&amp;Settings!$L$5:$L$124&amp;" "," "&amp;M20&amp;" "))*(Settings!$K$5:$K$124="Transactional")*(Settings!$L$5:$L$124&lt;&gt;""))&gt;0,"Transactional",IF(SUMPRODUCT(ISNUMBER(SEARCH(" "&amp;Settings!$L$5:$L$124&amp;" "," "&amp;M20&amp;" "))*(Settings!$K$5:$K$124="Commercial")*(Settings!$L$5:$L$124&lt;&gt;""))&gt;0,"Commercial",IF(SUMPRODUCT(ISNUMBER(SEARCH(" "&amp;Settings!$L$5:$L$124&amp;" "," "&amp;M20&amp;" "))*(Settings!$K$5:$K$124="Informational")*(Settings!$L$5:$L$124&lt;&gt;""))&gt;0,"Informational","Unclassified")))))</f>
        <v/>
      </c>
      <c r="O20">
        <f>IF(A20="","",IF(K20&lt;&gt;"",PROPER(K20),N20))</f>
        <v/>
      </c>
      <c r="P20">
        <f>IF(A20="","",ROUND(Settings!$B$5*MIN(1,LOG10(N(C20)+1)/LOG10(Settings!$B$7+1))+Settings!$B$6*(1-MIN(100,IF(D20="",50,N(D20)))/100)+IFERROR(INDEX(Settings!$B$10:$B$14,MATCH(O20,Settings!$A$10:$A$14,0)),0),0))</f>
        <v/>
      </c>
      <c r="Q20">
        <f>IF(OR(A20="",G20=""),"",COUNTIFS($M$3:$M$1002,M20,$G$3:$G$1002,"&lt;&gt;"&amp;SUBSTITUTE(SUBSTITUTE(G20,"?","~?"),"*","~*"),$G$3:$G$1002,"?*"))</f>
        <v/>
      </c>
      <c r="R20">
        <f>IF(Q20="","",IF(Q20&gt;0,"Yes","No"))</f>
        <v/>
      </c>
      <c r="S20">
        <f>IF(G20="","",COUNTIFS($G$3:$G$1002,SUBSTITUTE(SUBSTITUTE(G20,"?","~?"),"*","~*"),$J$3:$J$1002,"Primary"))</f>
        <v/>
      </c>
      <c r="T20">
        <f>IF(S20="","",IF(S20&gt;Settings!$B$4,"Yes","No"))</f>
        <v/>
      </c>
      <c r="U20">
        <f>IF(OR(G20="",B20=""),"",IF(COUNTIFS($G$3:$G$1002,SUBSTITUTE(SUBSTITUTE(G20,"?","~?"),"*","~*"),$B$3:$B$1002,"&lt;&gt;"&amp;SUBSTITUTE(SUBSTITUTE(B20,"?","~?"),"*","~*"),$B$3:$B$1002,"?*")&gt;0,"Yes","No"))</f>
        <v/>
      </c>
      <c r="V20">
        <f>IF(OR(G20="",I20="",O20="",O20="Unclassified"),"",IFERROR(INDEX(Settings!$E$5:$H$16,MATCH(I20,Settings!$D$5:$D$16,0),MATCH(O20,Settings!$E$4:$H$4,0)),"Check"))</f>
        <v/>
      </c>
      <c r="W20">
        <f>IF(V20="","",IF(V20="No","Yes","No"))</f>
        <v/>
      </c>
      <c r="X20">
        <f>IF(OR(E20="",G20=""),"",IF(LOWER(IF(RIGHT(TRIM(E20),1)="/",LEFT(TRIM(E20),LEN(TRIM(E20))-1),TRIM(E20)))&lt;&gt;LOWER(IF(RIGHT(TRIM(G20),1)="/",LEFT(TRIM(G20),LEN(TRIM(G20))-1),TRIM(G20))),"Yes","No"))</f>
        <v/>
      </c>
      <c r="Y20">
        <f>IF(A20="","",(N(Q20)&gt;0)+(T20="Yes")+(U20="Yes")+(W20="Yes")+(X20="Yes"))</f>
        <v/>
      </c>
      <c r="Z20">
        <f>IF(A20="","",IF(G20="","Not mapped",IF(Y20=0,"OK",MID(IF(N(Q20)&gt;0,"; Cannibalisation","")&amp;IF(T20="Yes","; Too many primary keywords on URL","")&amp;IF(U20="Yes","; URL spans 2+ clusters","")&amp;IF(W20="Yes","; Intent mismatch","")&amp;IF(X20="Yes","; Ranking URL is not the target",""),3,300))))</f>
        <v/>
      </c>
      <c r="AA20">
        <f>IF(G20="","",IF(COUNTIF($G$3:G20,SUBSTITUTE(SUBSTITUTE(G20,"?","~?"),"*","~*"))=1,MAX($AA$2:AA19)+1,""))</f>
        <v/>
      </c>
      <c r="AB20">
        <f>IF(B20="","",IF(COUNTIF($B$3:B20,SUBSTITUTE(SUBSTITUTE(B20,"?","~?"),"*","~*"))=1,MAX($AB$2:AB19)+1,""))</f>
        <v/>
      </c>
    </row>
    <row r="21">
      <c r="A21" t="inlineStr">
        <is>
          <t>running shoe shop london</t>
        </is>
      </c>
      <c r="B21" t="inlineStr">
        <is>
          <t>Brand &amp; store</t>
        </is>
      </c>
      <c r="C21" t="n">
        <v>880</v>
      </c>
      <c r="D21" t="n">
        <v>38</v>
      </c>
      <c r="E21" t="inlineStr">
        <is>
          <t>https://www.stride-example.com/stores/london/</t>
        </is>
      </c>
      <c r="F21" t="n">
        <v>5</v>
      </c>
      <c r="G21" t="inlineStr">
        <is>
          <t>https://www.stride-example.com/stores/london/</t>
        </is>
      </c>
      <c r="H21" t="inlineStr">
        <is>
          <t>Existing</t>
        </is>
      </c>
      <c r="I21" t="inlineStr">
        <is>
          <t>Store / location page</t>
        </is>
      </c>
      <c r="J21" t="inlineStr">
        <is>
          <t>Primary</t>
        </is>
      </c>
      <c r="M21">
        <f>IF(A21="","",LOWER(TRIM(SUBSTITUTE(SUBSTITUTE(A21,"?",""),"*",""))))</f>
        <v/>
      </c>
      <c r="N21">
        <f>IF(M21="","",IF(SUMPRODUCT(ISNUMBER(SEARCH(" "&amp;Settings!$L$5:$L$124&amp;" "," "&amp;M21&amp;" "))*(Settings!$K$5:$K$124="Navigational")*(Settings!$L$5:$L$124&lt;&gt;""))&gt;0,"Navigational",IF(SUMPRODUCT(ISNUMBER(SEARCH(" "&amp;Settings!$L$5:$L$124&amp;" "," "&amp;M21&amp;" "))*(Settings!$K$5:$K$124="Transactional")*(Settings!$L$5:$L$124&lt;&gt;""))&gt;0,"Transactional",IF(SUMPRODUCT(ISNUMBER(SEARCH(" "&amp;Settings!$L$5:$L$124&amp;" "," "&amp;M21&amp;" "))*(Settings!$K$5:$K$124="Commercial")*(Settings!$L$5:$L$124&lt;&gt;""))&gt;0,"Commercial",IF(SUMPRODUCT(ISNUMBER(SEARCH(" "&amp;Settings!$L$5:$L$124&amp;" "," "&amp;M21&amp;" "))*(Settings!$K$5:$K$124="Informational")*(Settings!$L$5:$L$124&lt;&gt;""))&gt;0,"Informational","Unclassified")))))</f>
        <v/>
      </c>
      <c r="O21">
        <f>IF(A21="","",IF(K21&lt;&gt;"",PROPER(K21),N21))</f>
        <v/>
      </c>
      <c r="P21">
        <f>IF(A21="","",ROUND(Settings!$B$5*MIN(1,LOG10(N(C21)+1)/LOG10(Settings!$B$7+1))+Settings!$B$6*(1-MIN(100,IF(D21="",50,N(D21)))/100)+IFERROR(INDEX(Settings!$B$10:$B$14,MATCH(O21,Settings!$A$10:$A$14,0)),0),0))</f>
        <v/>
      </c>
      <c r="Q21">
        <f>IF(OR(A21="",G21=""),"",COUNTIFS($M$3:$M$1002,M21,$G$3:$G$1002,"&lt;&gt;"&amp;SUBSTITUTE(SUBSTITUTE(G21,"?","~?"),"*","~*"),$G$3:$G$1002,"?*"))</f>
        <v/>
      </c>
      <c r="R21">
        <f>IF(Q21="","",IF(Q21&gt;0,"Yes","No"))</f>
        <v/>
      </c>
      <c r="S21">
        <f>IF(G21="","",COUNTIFS($G$3:$G$1002,SUBSTITUTE(SUBSTITUTE(G21,"?","~?"),"*","~*"),$J$3:$J$1002,"Primary"))</f>
        <v/>
      </c>
      <c r="T21">
        <f>IF(S21="","",IF(S21&gt;Settings!$B$4,"Yes","No"))</f>
        <v/>
      </c>
      <c r="U21">
        <f>IF(OR(G21="",B21=""),"",IF(COUNTIFS($G$3:$G$1002,SUBSTITUTE(SUBSTITUTE(G21,"?","~?"),"*","~*"),$B$3:$B$1002,"&lt;&gt;"&amp;SUBSTITUTE(SUBSTITUTE(B21,"?","~?"),"*","~*"),$B$3:$B$1002,"?*")&gt;0,"Yes","No"))</f>
        <v/>
      </c>
      <c r="V21">
        <f>IF(OR(G21="",I21="",O21="",O21="Unclassified"),"",IFERROR(INDEX(Settings!$E$5:$H$16,MATCH(I21,Settings!$D$5:$D$16,0),MATCH(O21,Settings!$E$4:$H$4,0)),"Check"))</f>
        <v/>
      </c>
      <c r="W21">
        <f>IF(V21="","",IF(V21="No","Yes","No"))</f>
        <v/>
      </c>
      <c r="X21">
        <f>IF(OR(E21="",G21=""),"",IF(LOWER(IF(RIGHT(TRIM(E21),1)="/",LEFT(TRIM(E21),LEN(TRIM(E21))-1),TRIM(E21)))&lt;&gt;LOWER(IF(RIGHT(TRIM(G21),1)="/",LEFT(TRIM(G21),LEN(TRIM(G21))-1),TRIM(G21))),"Yes","No"))</f>
        <v/>
      </c>
      <c r="Y21">
        <f>IF(A21="","",(N(Q21)&gt;0)+(T21="Yes")+(U21="Yes")+(W21="Yes")+(X21="Yes"))</f>
        <v/>
      </c>
      <c r="Z21">
        <f>IF(A21="","",IF(G21="","Not mapped",IF(Y21=0,"OK",MID(IF(N(Q21)&gt;0,"; Cannibalisation","")&amp;IF(T21="Yes","; Too many primary keywords on URL","")&amp;IF(U21="Yes","; URL spans 2+ clusters","")&amp;IF(W21="Yes","; Intent mismatch","")&amp;IF(X21="Yes","; Ranking URL is not the target",""),3,300))))</f>
        <v/>
      </c>
      <c r="AA21">
        <f>IF(G21="","",IF(COUNTIF($G$3:G21,SUBSTITUTE(SUBSTITUTE(G21,"?","~?"),"*","~*"))=1,MAX($AA$2:AA20)+1,""))</f>
        <v/>
      </c>
      <c r="AB21">
        <f>IF(B21="","",IF(COUNTIF($B$3:B21,SUBSTITUTE(SUBSTITUTE(B21,"?","~?"),"*","~*"))=1,MAX($AB$2:AB20)+1,""))</f>
        <v/>
      </c>
    </row>
    <row r="22">
      <c r="A22" t="inlineStr">
        <is>
          <t>gait analysis near me</t>
        </is>
      </c>
      <c r="B22" t="inlineStr">
        <is>
          <t>Gait analysis</t>
        </is>
      </c>
      <c r="C22" t="n">
        <v>1000</v>
      </c>
      <c r="D22" t="n">
        <v>30</v>
      </c>
      <c r="E22" t="inlineStr">
        <is>
          <t>https://www.stride-example.com/stores/london/</t>
        </is>
      </c>
      <c r="F22" t="n">
        <v>7</v>
      </c>
      <c r="G22" t="inlineStr">
        <is>
          <t>https://www.stride-example.com/stores/london/</t>
        </is>
      </c>
      <c r="H22" t="inlineStr">
        <is>
          <t>Existing</t>
        </is>
      </c>
      <c r="I22" t="inlineStr">
        <is>
          <t>Store / location page</t>
        </is>
      </c>
      <c r="J22" t="inlineStr">
        <is>
          <t>Secondary</t>
        </is>
      </c>
      <c r="M22">
        <f>IF(A22="","",LOWER(TRIM(SUBSTITUTE(SUBSTITUTE(A22,"?",""),"*",""))))</f>
        <v/>
      </c>
      <c r="N22">
        <f>IF(M22="","",IF(SUMPRODUCT(ISNUMBER(SEARCH(" "&amp;Settings!$L$5:$L$124&amp;" "," "&amp;M22&amp;" "))*(Settings!$K$5:$K$124="Navigational")*(Settings!$L$5:$L$124&lt;&gt;""))&gt;0,"Navigational",IF(SUMPRODUCT(ISNUMBER(SEARCH(" "&amp;Settings!$L$5:$L$124&amp;" "," "&amp;M22&amp;" "))*(Settings!$K$5:$K$124="Transactional")*(Settings!$L$5:$L$124&lt;&gt;""))&gt;0,"Transactional",IF(SUMPRODUCT(ISNUMBER(SEARCH(" "&amp;Settings!$L$5:$L$124&amp;" "," "&amp;M22&amp;" "))*(Settings!$K$5:$K$124="Commercial")*(Settings!$L$5:$L$124&lt;&gt;""))&gt;0,"Commercial",IF(SUMPRODUCT(ISNUMBER(SEARCH(" "&amp;Settings!$L$5:$L$124&amp;" "," "&amp;M22&amp;" "))*(Settings!$K$5:$K$124="Informational")*(Settings!$L$5:$L$124&lt;&gt;""))&gt;0,"Informational","Unclassified")))))</f>
        <v/>
      </c>
      <c r="O22">
        <f>IF(A22="","",IF(K22&lt;&gt;"",PROPER(K22),N22))</f>
        <v/>
      </c>
      <c r="P22">
        <f>IF(A22="","",ROUND(Settings!$B$5*MIN(1,LOG10(N(C22)+1)/LOG10(Settings!$B$7+1))+Settings!$B$6*(1-MIN(100,IF(D22="",50,N(D22)))/100)+IFERROR(INDEX(Settings!$B$10:$B$14,MATCH(O22,Settings!$A$10:$A$14,0)),0),0))</f>
        <v/>
      </c>
      <c r="Q22">
        <f>IF(OR(A22="",G22=""),"",COUNTIFS($M$3:$M$1002,M22,$G$3:$G$1002,"&lt;&gt;"&amp;SUBSTITUTE(SUBSTITUTE(G22,"?","~?"),"*","~*"),$G$3:$G$1002,"?*"))</f>
        <v/>
      </c>
      <c r="R22">
        <f>IF(Q22="","",IF(Q22&gt;0,"Yes","No"))</f>
        <v/>
      </c>
      <c r="S22">
        <f>IF(G22="","",COUNTIFS($G$3:$G$1002,SUBSTITUTE(SUBSTITUTE(G22,"?","~?"),"*","~*"),$J$3:$J$1002,"Primary"))</f>
        <v/>
      </c>
      <c r="T22">
        <f>IF(S22="","",IF(S22&gt;Settings!$B$4,"Yes","No"))</f>
        <v/>
      </c>
      <c r="U22">
        <f>IF(OR(G22="",B22=""),"",IF(COUNTIFS($G$3:$G$1002,SUBSTITUTE(SUBSTITUTE(G22,"?","~?"),"*","~*"),$B$3:$B$1002,"&lt;&gt;"&amp;SUBSTITUTE(SUBSTITUTE(B22,"?","~?"),"*","~*"),$B$3:$B$1002,"?*")&gt;0,"Yes","No"))</f>
        <v/>
      </c>
      <c r="V22">
        <f>IF(OR(G22="",I22="",O22="",O22="Unclassified"),"",IFERROR(INDEX(Settings!$E$5:$H$16,MATCH(I22,Settings!$D$5:$D$16,0),MATCH(O22,Settings!$E$4:$H$4,0)),"Check"))</f>
        <v/>
      </c>
      <c r="W22">
        <f>IF(V22="","",IF(V22="No","Yes","No"))</f>
        <v/>
      </c>
      <c r="X22">
        <f>IF(OR(E22="",G22=""),"",IF(LOWER(IF(RIGHT(TRIM(E22),1)="/",LEFT(TRIM(E22),LEN(TRIM(E22))-1),TRIM(E22)))&lt;&gt;LOWER(IF(RIGHT(TRIM(G22),1)="/",LEFT(TRIM(G22),LEN(TRIM(G22))-1),TRIM(G22))),"Yes","No"))</f>
        <v/>
      </c>
      <c r="Y22">
        <f>IF(A22="","",(N(Q22)&gt;0)+(T22="Yes")+(U22="Yes")+(W22="Yes")+(X22="Yes"))</f>
        <v/>
      </c>
      <c r="Z22">
        <f>IF(A22="","",IF(G22="","Not mapped",IF(Y22=0,"OK",MID(IF(N(Q22)&gt;0,"; Cannibalisation","")&amp;IF(T22="Yes","; Too many primary keywords on URL","")&amp;IF(U22="Yes","; URL spans 2+ clusters","")&amp;IF(W22="Yes","; Intent mismatch","")&amp;IF(X22="Yes","; Ranking URL is not the target",""),3,300))))</f>
        <v/>
      </c>
      <c r="AA22">
        <f>IF(G22="","",IF(COUNTIF($G$3:G22,SUBSTITUTE(SUBSTITUTE(G22,"?","~?"),"*","~*"))=1,MAX($AA$2:AA21)+1,""))</f>
        <v/>
      </c>
      <c r="AB22">
        <f>IF(B22="","",IF(COUNTIF($B$3:B22,SUBSTITUTE(SUBSTITUTE(B22,"?","~?"),"*","~*"))=1,MAX($AB$2:AB21)+1,""))</f>
        <v/>
      </c>
    </row>
    <row r="23">
      <c r="A23" t="inlineStr">
        <is>
          <t>gait analysis</t>
        </is>
      </c>
      <c r="B23" t="inlineStr">
        <is>
          <t>Gait analysis</t>
        </is>
      </c>
      <c r="C23" t="n">
        <v>2400</v>
      </c>
      <c r="D23" t="n">
        <v>36</v>
      </c>
      <c r="E23" t="inlineStr">
        <is>
          <t>https://www.stride-example.com/services/gait-analysis/</t>
        </is>
      </c>
      <c r="F23" t="n">
        <v>9</v>
      </c>
      <c r="G23" t="inlineStr">
        <is>
          <t>https://www.stride-example.com/services/gait-analysis/</t>
        </is>
      </c>
      <c r="H23" t="inlineStr">
        <is>
          <t>Existing</t>
        </is>
      </c>
      <c r="I23" t="inlineStr">
        <is>
          <t>Product / service page</t>
        </is>
      </c>
      <c r="J23" t="inlineStr">
        <is>
          <t>Primary</t>
        </is>
      </c>
      <c r="M23">
        <f>IF(A23="","",LOWER(TRIM(SUBSTITUTE(SUBSTITUTE(A23,"?",""),"*",""))))</f>
        <v/>
      </c>
      <c r="N23">
        <f>IF(M23="","",IF(SUMPRODUCT(ISNUMBER(SEARCH(" "&amp;Settings!$L$5:$L$124&amp;" "," "&amp;M23&amp;" "))*(Settings!$K$5:$K$124="Navigational")*(Settings!$L$5:$L$124&lt;&gt;""))&gt;0,"Navigational",IF(SUMPRODUCT(ISNUMBER(SEARCH(" "&amp;Settings!$L$5:$L$124&amp;" "," "&amp;M23&amp;" "))*(Settings!$K$5:$K$124="Transactional")*(Settings!$L$5:$L$124&lt;&gt;""))&gt;0,"Transactional",IF(SUMPRODUCT(ISNUMBER(SEARCH(" "&amp;Settings!$L$5:$L$124&amp;" "," "&amp;M23&amp;" "))*(Settings!$K$5:$K$124="Commercial")*(Settings!$L$5:$L$124&lt;&gt;""))&gt;0,"Commercial",IF(SUMPRODUCT(ISNUMBER(SEARCH(" "&amp;Settings!$L$5:$L$124&amp;" "," "&amp;M23&amp;" "))*(Settings!$K$5:$K$124="Informational")*(Settings!$L$5:$L$124&lt;&gt;""))&gt;0,"Informational","Unclassified")))))</f>
        <v/>
      </c>
      <c r="O23">
        <f>IF(A23="","",IF(K23&lt;&gt;"",PROPER(K23),N23))</f>
        <v/>
      </c>
      <c r="P23">
        <f>IF(A23="","",ROUND(Settings!$B$5*MIN(1,LOG10(N(C23)+1)/LOG10(Settings!$B$7+1))+Settings!$B$6*(1-MIN(100,IF(D23="",50,N(D23)))/100)+IFERROR(INDEX(Settings!$B$10:$B$14,MATCH(O23,Settings!$A$10:$A$14,0)),0),0))</f>
        <v/>
      </c>
      <c r="Q23">
        <f>IF(OR(A23="",G23=""),"",COUNTIFS($M$3:$M$1002,M23,$G$3:$G$1002,"&lt;&gt;"&amp;SUBSTITUTE(SUBSTITUTE(G23,"?","~?"),"*","~*"),$G$3:$G$1002,"?*"))</f>
        <v/>
      </c>
      <c r="R23">
        <f>IF(Q23="","",IF(Q23&gt;0,"Yes","No"))</f>
        <v/>
      </c>
      <c r="S23">
        <f>IF(G23="","",COUNTIFS($G$3:$G$1002,SUBSTITUTE(SUBSTITUTE(G23,"?","~?"),"*","~*"),$J$3:$J$1002,"Primary"))</f>
        <v/>
      </c>
      <c r="T23">
        <f>IF(S23="","",IF(S23&gt;Settings!$B$4,"Yes","No"))</f>
        <v/>
      </c>
      <c r="U23">
        <f>IF(OR(G23="",B23=""),"",IF(COUNTIFS($G$3:$G$1002,SUBSTITUTE(SUBSTITUTE(G23,"?","~?"),"*","~*"),$B$3:$B$1002,"&lt;&gt;"&amp;SUBSTITUTE(SUBSTITUTE(B23,"?","~?"),"*","~*"),$B$3:$B$1002,"?*")&gt;0,"Yes","No"))</f>
        <v/>
      </c>
      <c r="V23">
        <f>IF(OR(G23="",I23="",O23="",O23="Unclassified"),"",IFERROR(INDEX(Settings!$E$5:$H$16,MATCH(I23,Settings!$D$5:$D$16,0),MATCH(O23,Settings!$E$4:$H$4,0)),"Check"))</f>
        <v/>
      </c>
      <c r="W23">
        <f>IF(V23="","",IF(V23="No","Yes","No"))</f>
        <v/>
      </c>
      <c r="X23">
        <f>IF(OR(E23="",G23=""),"",IF(LOWER(IF(RIGHT(TRIM(E23),1)="/",LEFT(TRIM(E23),LEN(TRIM(E23))-1),TRIM(E23)))&lt;&gt;LOWER(IF(RIGHT(TRIM(G23),1)="/",LEFT(TRIM(G23),LEN(TRIM(G23))-1),TRIM(G23))),"Yes","No"))</f>
        <v/>
      </c>
      <c r="Y23">
        <f>IF(A23="","",(N(Q23)&gt;0)+(T23="Yes")+(U23="Yes")+(W23="Yes")+(X23="Yes"))</f>
        <v/>
      </c>
      <c r="Z23">
        <f>IF(A23="","",IF(G23="","Not mapped",IF(Y23=0,"OK",MID(IF(N(Q23)&gt;0,"; Cannibalisation","")&amp;IF(T23="Yes","; Too many primary keywords on URL","")&amp;IF(U23="Yes","; URL spans 2+ clusters","")&amp;IF(W23="Yes","; Intent mismatch","")&amp;IF(X23="Yes","; Ranking URL is not the target",""),3,300))))</f>
        <v/>
      </c>
      <c r="AA23">
        <f>IF(G23="","",IF(COUNTIF($G$3:G23,SUBSTITUTE(SUBSTITUTE(G23,"?","~?"),"*","~*"))=1,MAX($AA$2:AA22)+1,""))</f>
        <v/>
      </c>
      <c r="AB23">
        <f>IF(B23="","",IF(COUNTIF($B$3:B23,SUBSTITUTE(SUBSTITUTE(B23,"?","~?"),"*","~*"))=1,MAX($AB$2:AB22)+1,""))</f>
        <v/>
      </c>
    </row>
    <row r="24">
      <c r="A24" t="inlineStr">
        <is>
          <t>running shoes sale</t>
        </is>
      </c>
      <c r="B24" t="inlineStr">
        <is>
          <t>Deals</t>
        </is>
      </c>
      <c r="C24" t="n">
        <v>1600</v>
      </c>
      <c r="D24" t="n">
        <v>41</v>
      </c>
      <c r="E24" t="inlineStr">
        <is>
          <t>https://www.stride-example.com/sale/</t>
        </is>
      </c>
      <c r="F24" t="n">
        <v>3</v>
      </c>
      <c r="G24" t="inlineStr">
        <is>
          <t>https://www.stride-example.com/sale/</t>
        </is>
      </c>
      <c r="H24" t="inlineStr">
        <is>
          <t>Existing</t>
        </is>
      </c>
      <c r="I24" t="inlineStr">
        <is>
          <t>Category / collection</t>
        </is>
      </c>
      <c r="J24" t="inlineStr">
        <is>
          <t>Primary</t>
        </is>
      </c>
      <c r="M24">
        <f>IF(A24="","",LOWER(TRIM(SUBSTITUTE(SUBSTITUTE(A24,"?",""),"*",""))))</f>
        <v/>
      </c>
      <c r="N24">
        <f>IF(M24="","",IF(SUMPRODUCT(ISNUMBER(SEARCH(" "&amp;Settings!$L$5:$L$124&amp;" "," "&amp;M24&amp;" "))*(Settings!$K$5:$K$124="Navigational")*(Settings!$L$5:$L$124&lt;&gt;""))&gt;0,"Navigational",IF(SUMPRODUCT(ISNUMBER(SEARCH(" "&amp;Settings!$L$5:$L$124&amp;" "," "&amp;M24&amp;" "))*(Settings!$K$5:$K$124="Transactional")*(Settings!$L$5:$L$124&lt;&gt;""))&gt;0,"Transactional",IF(SUMPRODUCT(ISNUMBER(SEARCH(" "&amp;Settings!$L$5:$L$124&amp;" "," "&amp;M24&amp;" "))*(Settings!$K$5:$K$124="Commercial")*(Settings!$L$5:$L$124&lt;&gt;""))&gt;0,"Commercial",IF(SUMPRODUCT(ISNUMBER(SEARCH(" "&amp;Settings!$L$5:$L$124&amp;" "," "&amp;M24&amp;" "))*(Settings!$K$5:$K$124="Informational")*(Settings!$L$5:$L$124&lt;&gt;""))&gt;0,"Informational","Unclassified")))))</f>
        <v/>
      </c>
      <c r="O24">
        <f>IF(A24="","",IF(K24&lt;&gt;"",PROPER(K24),N24))</f>
        <v/>
      </c>
      <c r="P24">
        <f>IF(A24="","",ROUND(Settings!$B$5*MIN(1,LOG10(N(C24)+1)/LOG10(Settings!$B$7+1))+Settings!$B$6*(1-MIN(100,IF(D24="",50,N(D24)))/100)+IFERROR(INDEX(Settings!$B$10:$B$14,MATCH(O24,Settings!$A$10:$A$14,0)),0),0))</f>
        <v/>
      </c>
      <c r="Q24">
        <f>IF(OR(A24="",G24=""),"",COUNTIFS($M$3:$M$1002,M24,$G$3:$G$1002,"&lt;&gt;"&amp;SUBSTITUTE(SUBSTITUTE(G24,"?","~?"),"*","~*"),$G$3:$G$1002,"?*"))</f>
        <v/>
      </c>
      <c r="R24">
        <f>IF(Q24="","",IF(Q24&gt;0,"Yes","No"))</f>
        <v/>
      </c>
      <c r="S24">
        <f>IF(G24="","",COUNTIFS($G$3:$G$1002,SUBSTITUTE(SUBSTITUTE(G24,"?","~?"),"*","~*"),$J$3:$J$1002,"Primary"))</f>
        <v/>
      </c>
      <c r="T24">
        <f>IF(S24="","",IF(S24&gt;Settings!$B$4,"Yes","No"))</f>
        <v/>
      </c>
      <c r="U24">
        <f>IF(OR(G24="",B24=""),"",IF(COUNTIFS($G$3:$G$1002,SUBSTITUTE(SUBSTITUTE(G24,"?","~?"),"*","~*"),$B$3:$B$1002,"&lt;&gt;"&amp;SUBSTITUTE(SUBSTITUTE(B24,"?","~?"),"*","~*"),$B$3:$B$1002,"?*")&gt;0,"Yes","No"))</f>
        <v/>
      </c>
      <c r="V24">
        <f>IF(OR(G24="",I24="",O24="",O24="Unclassified"),"",IFERROR(INDEX(Settings!$E$5:$H$16,MATCH(I24,Settings!$D$5:$D$16,0),MATCH(O24,Settings!$E$4:$H$4,0)),"Check"))</f>
        <v/>
      </c>
      <c r="W24">
        <f>IF(V24="","",IF(V24="No","Yes","No"))</f>
        <v/>
      </c>
      <c r="X24">
        <f>IF(OR(E24="",G24=""),"",IF(LOWER(IF(RIGHT(TRIM(E24),1)="/",LEFT(TRIM(E24),LEN(TRIM(E24))-1),TRIM(E24)))&lt;&gt;LOWER(IF(RIGHT(TRIM(G24),1)="/",LEFT(TRIM(G24),LEN(TRIM(G24))-1),TRIM(G24))),"Yes","No"))</f>
        <v/>
      </c>
      <c r="Y24">
        <f>IF(A24="","",(N(Q24)&gt;0)+(T24="Yes")+(U24="Yes")+(W24="Yes")+(X24="Yes"))</f>
        <v/>
      </c>
      <c r="Z24">
        <f>IF(A24="","",IF(G24="","Not mapped",IF(Y24=0,"OK",MID(IF(N(Q24)&gt;0,"; Cannibalisation","")&amp;IF(T24="Yes","; Too many primary keywords on URL","")&amp;IF(U24="Yes","; URL spans 2+ clusters","")&amp;IF(W24="Yes","; Intent mismatch","")&amp;IF(X24="Yes","; Ranking URL is not the target",""),3,300))))</f>
        <v/>
      </c>
      <c r="AA24">
        <f>IF(G24="","",IF(COUNTIF($G$3:G24,SUBSTITUTE(SUBSTITUTE(G24,"?","~?"),"*","~*"))=1,MAX($AA$2:AA23)+1,""))</f>
        <v/>
      </c>
      <c r="AB24">
        <f>IF(B24="","",IF(COUNTIF($B$3:B24,SUBSTITUTE(SUBSTITUTE(B24,"?","~?"),"*","~*"))=1,MAX($AB$2:AB23)+1,""))</f>
        <v/>
      </c>
    </row>
    <row r="25">
      <c r="A25" t="inlineStr">
        <is>
          <t>cheap running shoes</t>
        </is>
      </c>
      <c r="B25" t="inlineStr">
        <is>
          <t>Deals</t>
        </is>
      </c>
      <c r="C25" t="n">
        <v>2900</v>
      </c>
      <c r="D25" t="n">
        <v>45</v>
      </c>
      <c r="E25" t="inlineStr">
        <is>
          <t>https://www.stride-example.com/sale/</t>
        </is>
      </c>
      <c r="F25" t="n">
        <v>12</v>
      </c>
      <c r="G25" t="inlineStr">
        <is>
          <t>https://www.stride-example.com/sale/</t>
        </is>
      </c>
      <c r="H25" t="inlineStr">
        <is>
          <t>Existing</t>
        </is>
      </c>
      <c r="I25" t="inlineStr">
        <is>
          <t>Category / collection</t>
        </is>
      </c>
      <c r="J25" t="inlineStr">
        <is>
          <t>Secondary</t>
        </is>
      </c>
      <c r="M25">
        <f>IF(A25="","",LOWER(TRIM(SUBSTITUTE(SUBSTITUTE(A25,"?",""),"*",""))))</f>
        <v/>
      </c>
      <c r="N25">
        <f>IF(M25="","",IF(SUMPRODUCT(ISNUMBER(SEARCH(" "&amp;Settings!$L$5:$L$124&amp;" "," "&amp;M25&amp;" "))*(Settings!$K$5:$K$124="Navigational")*(Settings!$L$5:$L$124&lt;&gt;""))&gt;0,"Navigational",IF(SUMPRODUCT(ISNUMBER(SEARCH(" "&amp;Settings!$L$5:$L$124&amp;" "," "&amp;M25&amp;" "))*(Settings!$K$5:$K$124="Transactional")*(Settings!$L$5:$L$124&lt;&gt;""))&gt;0,"Transactional",IF(SUMPRODUCT(ISNUMBER(SEARCH(" "&amp;Settings!$L$5:$L$124&amp;" "," "&amp;M25&amp;" "))*(Settings!$K$5:$K$124="Commercial")*(Settings!$L$5:$L$124&lt;&gt;""))&gt;0,"Commercial",IF(SUMPRODUCT(ISNUMBER(SEARCH(" "&amp;Settings!$L$5:$L$124&amp;" "," "&amp;M25&amp;" "))*(Settings!$K$5:$K$124="Informational")*(Settings!$L$5:$L$124&lt;&gt;""))&gt;0,"Informational","Unclassified")))))</f>
        <v/>
      </c>
      <c r="O25">
        <f>IF(A25="","",IF(K25&lt;&gt;"",PROPER(K25),N25))</f>
        <v/>
      </c>
      <c r="P25">
        <f>IF(A25="","",ROUND(Settings!$B$5*MIN(1,LOG10(N(C25)+1)/LOG10(Settings!$B$7+1))+Settings!$B$6*(1-MIN(100,IF(D25="",50,N(D25)))/100)+IFERROR(INDEX(Settings!$B$10:$B$14,MATCH(O25,Settings!$A$10:$A$14,0)),0),0))</f>
        <v/>
      </c>
      <c r="Q25">
        <f>IF(OR(A25="",G25=""),"",COUNTIFS($M$3:$M$1002,M25,$G$3:$G$1002,"&lt;&gt;"&amp;SUBSTITUTE(SUBSTITUTE(G25,"?","~?"),"*","~*"),$G$3:$G$1002,"?*"))</f>
        <v/>
      </c>
      <c r="R25">
        <f>IF(Q25="","",IF(Q25&gt;0,"Yes","No"))</f>
        <v/>
      </c>
      <c r="S25">
        <f>IF(G25="","",COUNTIFS($G$3:$G$1002,SUBSTITUTE(SUBSTITUTE(G25,"?","~?"),"*","~*"),$J$3:$J$1002,"Primary"))</f>
        <v/>
      </c>
      <c r="T25">
        <f>IF(S25="","",IF(S25&gt;Settings!$B$4,"Yes","No"))</f>
        <v/>
      </c>
      <c r="U25">
        <f>IF(OR(G25="",B25=""),"",IF(COUNTIFS($G$3:$G$1002,SUBSTITUTE(SUBSTITUTE(G25,"?","~?"),"*","~*"),$B$3:$B$1002,"&lt;&gt;"&amp;SUBSTITUTE(SUBSTITUTE(B25,"?","~?"),"*","~*"),$B$3:$B$1002,"?*")&gt;0,"Yes","No"))</f>
        <v/>
      </c>
      <c r="V25">
        <f>IF(OR(G25="",I25="",O25="",O25="Unclassified"),"",IFERROR(INDEX(Settings!$E$5:$H$16,MATCH(I25,Settings!$D$5:$D$16,0),MATCH(O25,Settings!$E$4:$H$4,0)),"Check"))</f>
        <v/>
      </c>
      <c r="W25">
        <f>IF(V25="","",IF(V25="No","Yes","No"))</f>
        <v/>
      </c>
      <c r="X25">
        <f>IF(OR(E25="",G25=""),"",IF(LOWER(IF(RIGHT(TRIM(E25),1)="/",LEFT(TRIM(E25),LEN(TRIM(E25))-1),TRIM(E25)))&lt;&gt;LOWER(IF(RIGHT(TRIM(G25),1)="/",LEFT(TRIM(G25),LEN(TRIM(G25))-1),TRIM(G25))),"Yes","No"))</f>
        <v/>
      </c>
      <c r="Y25">
        <f>IF(A25="","",(N(Q25)&gt;0)+(T25="Yes")+(U25="Yes")+(W25="Yes")+(X25="Yes"))</f>
        <v/>
      </c>
      <c r="Z25">
        <f>IF(A25="","",IF(G25="","Not mapped",IF(Y25=0,"OK",MID(IF(N(Q25)&gt;0,"; Cannibalisation","")&amp;IF(T25="Yes","; Too many primary keywords on URL","")&amp;IF(U25="Yes","; URL spans 2+ clusters","")&amp;IF(W25="Yes","; Intent mismatch","")&amp;IF(X25="Yes","; Ranking URL is not the target",""),3,300))))</f>
        <v/>
      </c>
      <c r="AA25">
        <f>IF(G25="","",IF(COUNTIF($G$3:G25,SUBSTITUTE(SUBSTITUTE(G25,"?","~?"),"*","~*"))=1,MAX($AA$2:AA24)+1,""))</f>
        <v/>
      </c>
      <c r="AB25">
        <f>IF(B25="","",IF(COUNTIF($B$3:B25,SUBSTITUTE(SUBSTITUTE(B25,"?","~?"),"*","~*"))=1,MAX($AB$2:AB24)+1,""))</f>
        <v/>
      </c>
    </row>
    <row r="26">
      <c r="A26" t="inlineStr">
        <is>
          <t>how often should you replace running shoes</t>
        </is>
      </c>
      <c r="B26" t="inlineStr">
        <is>
          <t>Shoe care</t>
        </is>
      </c>
      <c r="C26" t="n">
        <v>1900</v>
      </c>
      <c r="D26" t="n">
        <v>15</v>
      </c>
      <c r="E26" t="inlineStr">
        <is>
          <t>https://www.stride-example.com/blog/replace-running-shoes/</t>
        </is>
      </c>
      <c r="F26" t="n">
        <v>3</v>
      </c>
      <c r="G26" t="inlineStr">
        <is>
          <t>https://www.stride-example.com/blog/replace-running-shoes/</t>
        </is>
      </c>
      <c r="H26" t="inlineStr">
        <is>
          <t>Existing</t>
        </is>
      </c>
      <c r="I26" t="inlineStr">
        <is>
          <t>Blog post / guide</t>
        </is>
      </c>
      <c r="J26" t="inlineStr">
        <is>
          <t>Primary</t>
        </is>
      </c>
      <c r="M26">
        <f>IF(A26="","",LOWER(TRIM(SUBSTITUTE(SUBSTITUTE(A26,"?",""),"*",""))))</f>
        <v/>
      </c>
      <c r="N26">
        <f>IF(M26="","",IF(SUMPRODUCT(ISNUMBER(SEARCH(" "&amp;Settings!$L$5:$L$124&amp;" "," "&amp;M26&amp;" "))*(Settings!$K$5:$K$124="Navigational")*(Settings!$L$5:$L$124&lt;&gt;""))&gt;0,"Navigational",IF(SUMPRODUCT(ISNUMBER(SEARCH(" "&amp;Settings!$L$5:$L$124&amp;" "," "&amp;M26&amp;" "))*(Settings!$K$5:$K$124="Transactional")*(Settings!$L$5:$L$124&lt;&gt;""))&gt;0,"Transactional",IF(SUMPRODUCT(ISNUMBER(SEARCH(" "&amp;Settings!$L$5:$L$124&amp;" "," "&amp;M26&amp;" "))*(Settings!$K$5:$K$124="Commercial")*(Settings!$L$5:$L$124&lt;&gt;""))&gt;0,"Commercial",IF(SUMPRODUCT(ISNUMBER(SEARCH(" "&amp;Settings!$L$5:$L$124&amp;" "," "&amp;M26&amp;" "))*(Settings!$K$5:$K$124="Informational")*(Settings!$L$5:$L$124&lt;&gt;""))&gt;0,"Informational","Unclassified")))))</f>
        <v/>
      </c>
      <c r="O26">
        <f>IF(A26="","",IF(K26&lt;&gt;"",PROPER(K26),N26))</f>
        <v/>
      </c>
      <c r="P26">
        <f>IF(A26="","",ROUND(Settings!$B$5*MIN(1,LOG10(N(C26)+1)/LOG10(Settings!$B$7+1))+Settings!$B$6*(1-MIN(100,IF(D26="",50,N(D26)))/100)+IFERROR(INDEX(Settings!$B$10:$B$14,MATCH(O26,Settings!$A$10:$A$14,0)),0),0))</f>
        <v/>
      </c>
      <c r="Q26">
        <f>IF(OR(A26="",G26=""),"",COUNTIFS($M$3:$M$1002,M26,$G$3:$G$1002,"&lt;&gt;"&amp;SUBSTITUTE(SUBSTITUTE(G26,"?","~?"),"*","~*"),$G$3:$G$1002,"?*"))</f>
        <v/>
      </c>
      <c r="R26">
        <f>IF(Q26="","",IF(Q26&gt;0,"Yes","No"))</f>
        <v/>
      </c>
      <c r="S26">
        <f>IF(G26="","",COUNTIFS($G$3:$G$1002,SUBSTITUTE(SUBSTITUTE(G26,"?","~?"),"*","~*"),$J$3:$J$1002,"Primary"))</f>
        <v/>
      </c>
      <c r="T26">
        <f>IF(S26="","",IF(S26&gt;Settings!$B$4,"Yes","No"))</f>
        <v/>
      </c>
      <c r="U26">
        <f>IF(OR(G26="",B26=""),"",IF(COUNTIFS($G$3:$G$1002,SUBSTITUTE(SUBSTITUTE(G26,"?","~?"),"*","~*"),$B$3:$B$1002,"&lt;&gt;"&amp;SUBSTITUTE(SUBSTITUTE(B26,"?","~?"),"*","~*"),$B$3:$B$1002,"?*")&gt;0,"Yes","No"))</f>
        <v/>
      </c>
      <c r="V26">
        <f>IF(OR(G26="",I26="",O26="",O26="Unclassified"),"",IFERROR(INDEX(Settings!$E$5:$H$16,MATCH(I26,Settings!$D$5:$D$16,0),MATCH(O26,Settings!$E$4:$H$4,0)),"Check"))</f>
        <v/>
      </c>
      <c r="W26">
        <f>IF(V26="","",IF(V26="No","Yes","No"))</f>
        <v/>
      </c>
      <c r="X26">
        <f>IF(OR(E26="",G26=""),"",IF(LOWER(IF(RIGHT(TRIM(E26),1)="/",LEFT(TRIM(E26),LEN(TRIM(E26))-1),TRIM(E26)))&lt;&gt;LOWER(IF(RIGHT(TRIM(G26),1)="/",LEFT(TRIM(G26),LEN(TRIM(G26))-1),TRIM(G26))),"Yes","No"))</f>
        <v/>
      </c>
      <c r="Y26">
        <f>IF(A26="","",(N(Q26)&gt;0)+(T26="Yes")+(U26="Yes")+(W26="Yes")+(X26="Yes"))</f>
        <v/>
      </c>
      <c r="Z26">
        <f>IF(A26="","",IF(G26="","Not mapped",IF(Y26=0,"OK",MID(IF(N(Q26)&gt;0,"; Cannibalisation","")&amp;IF(T26="Yes","; Too many primary keywords on URL","")&amp;IF(U26="Yes","; URL spans 2+ clusters","")&amp;IF(W26="Yes","; Intent mismatch","")&amp;IF(X26="Yes","; Ranking URL is not the target",""),3,300))))</f>
        <v/>
      </c>
      <c r="AA26">
        <f>IF(G26="","",IF(COUNTIF($G$3:G26,SUBSTITUTE(SUBSTITUTE(G26,"?","~?"),"*","~*"))=1,MAX($AA$2:AA25)+1,""))</f>
        <v/>
      </c>
      <c r="AB26">
        <f>IF(B26="","",IF(COUNTIF($B$3:B26,SUBSTITUTE(SUBSTITUTE(B26,"?","~?"),"*","~*"))=1,MAX($AB$2:AB25)+1,""))</f>
        <v/>
      </c>
    </row>
    <row r="27">
      <c r="A27" t="inlineStr">
        <is>
          <t>how to clean running shoes</t>
        </is>
      </c>
      <c r="B27" t="inlineStr">
        <is>
          <t>Shoe care</t>
        </is>
      </c>
      <c r="C27" t="n">
        <v>1600</v>
      </c>
      <c r="D27" t="n">
        <v>19</v>
      </c>
      <c r="G27" t="inlineStr">
        <is>
          <t>https://www.stride-example.com/blog/clean-running-shoes/</t>
        </is>
      </c>
      <c r="H27" t="inlineStr">
        <is>
          <t>Planned</t>
        </is>
      </c>
      <c r="I27" t="inlineStr">
        <is>
          <t>Blog post / guide</t>
        </is>
      </c>
      <c r="J27" t="inlineStr">
        <is>
          <t>Primary</t>
        </is>
      </c>
      <c r="M27">
        <f>IF(A27="","",LOWER(TRIM(SUBSTITUTE(SUBSTITUTE(A27,"?",""),"*",""))))</f>
        <v/>
      </c>
      <c r="N27">
        <f>IF(M27="","",IF(SUMPRODUCT(ISNUMBER(SEARCH(" "&amp;Settings!$L$5:$L$124&amp;" "," "&amp;M27&amp;" "))*(Settings!$K$5:$K$124="Navigational")*(Settings!$L$5:$L$124&lt;&gt;""))&gt;0,"Navigational",IF(SUMPRODUCT(ISNUMBER(SEARCH(" "&amp;Settings!$L$5:$L$124&amp;" "," "&amp;M27&amp;" "))*(Settings!$K$5:$K$124="Transactional")*(Settings!$L$5:$L$124&lt;&gt;""))&gt;0,"Transactional",IF(SUMPRODUCT(ISNUMBER(SEARCH(" "&amp;Settings!$L$5:$L$124&amp;" "," "&amp;M27&amp;" "))*(Settings!$K$5:$K$124="Commercial")*(Settings!$L$5:$L$124&lt;&gt;""))&gt;0,"Commercial",IF(SUMPRODUCT(ISNUMBER(SEARCH(" "&amp;Settings!$L$5:$L$124&amp;" "," "&amp;M27&amp;" "))*(Settings!$K$5:$K$124="Informational")*(Settings!$L$5:$L$124&lt;&gt;""))&gt;0,"Informational","Unclassified")))))</f>
        <v/>
      </c>
      <c r="O27">
        <f>IF(A27="","",IF(K27&lt;&gt;"",PROPER(K27),N27))</f>
        <v/>
      </c>
      <c r="P27">
        <f>IF(A27="","",ROUND(Settings!$B$5*MIN(1,LOG10(N(C27)+1)/LOG10(Settings!$B$7+1))+Settings!$B$6*(1-MIN(100,IF(D27="",50,N(D27)))/100)+IFERROR(INDEX(Settings!$B$10:$B$14,MATCH(O27,Settings!$A$10:$A$14,0)),0),0))</f>
        <v/>
      </c>
      <c r="Q27">
        <f>IF(OR(A27="",G27=""),"",COUNTIFS($M$3:$M$1002,M27,$G$3:$G$1002,"&lt;&gt;"&amp;SUBSTITUTE(SUBSTITUTE(G27,"?","~?"),"*","~*"),$G$3:$G$1002,"?*"))</f>
        <v/>
      </c>
      <c r="R27">
        <f>IF(Q27="","",IF(Q27&gt;0,"Yes","No"))</f>
        <v/>
      </c>
      <c r="S27">
        <f>IF(G27="","",COUNTIFS($G$3:$G$1002,SUBSTITUTE(SUBSTITUTE(G27,"?","~?"),"*","~*"),$J$3:$J$1002,"Primary"))</f>
        <v/>
      </c>
      <c r="T27">
        <f>IF(S27="","",IF(S27&gt;Settings!$B$4,"Yes","No"))</f>
        <v/>
      </c>
      <c r="U27">
        <f>IF(OR(G27="",B27=""),"",IF(COUNTIFS($G$3:$G$1002,SUBSTITUTE(SUBSTITUTE(G27,"?","~?"),"*","~*"),$B$3:$B$1002,"&lt;&gt;"&amp;SUBSTITUTE(SUBSTITUTE(B27,"?","~?"),"*","~*"),$B$3:$B$1002,"?*")&gt;0,"Yes","No"))</f>
        <v/>
      </c>
      <c r="V27">
        <f>IF(OR(G27="",I27="",O27="",O27="Unclassified"),"",IFERROR(INDEX(Settings!$E$5:$H$16,MATCH(I27,Settings!$D$5:$D$16,0),MATCH(O27,Settings!$E$4:$H$4,0)),"Check"))</f>
        <v/>
      </c>
      <c r="W27">
        <f>IF(V27="","",IF(V27="No","Yes","No"))</f>
        <v/>
      </c>
      <c r="X27">
        <f>IF(OR(E27="",G27=""),"",IF(LOWER(IF(RIGHT(TRIM(E27),1)="/",LEFT(TRIM(E27),LEN(TRIM(E27))-1),TRIM(E27)))&lt;&gt;LOWER(IF(RIGHT(TRIM(G27),1)="/",LEFT(TRIM(G27),LEN(TRIM(G27))-1),TRIM(G27))),"Yes","No"))</f>
        <v/>
      </c>
      <c r="Y27">
        <f>IF(A27="","",(N(Q27)&gt;0)+(T27="Yes")+(U27="Yes")+(W27="Yes")+(X27="Yes"))</f>
        <v/>
      </c>
      <c r="Z27">
        <f>IF(A27="","",IF(G27="","Not mapped",IF(Y27=0,"OK",MID(IF(N(Q27)&gt;0,"; Cannibalisation","")&amp;IF(T27="Yes","; Too many primary keywords on URL","")&amp;IF(U27="Yes","; URL spans 2+ clusters","")&amp;IF(W27="Yes","; Intent mismatch","")&amp;IF(X27="Yes","; Ranking URL is not the target",""),3,300))))</f>
        <v/>
      </c>
      <c r="AA27">
        <f>IF(G27="","",IF(COUNTIF($G$3:G27,SUBSTITUTE(SUBSTITUTE(G27,"?","~?"),"*","~*"))=1,MAX($AA$2:AA26)+1,""))</f>
        <v/>
      </c>
      <c r="AB27">
        <f>IF(B27="","",IF(COUNTIF($B$3:B27,SUBSTITUTE(SUBSTITUTE(B27,"?","~?"),"*","~*"))=1,MAX($AB$2:AB26)+1,""))</f>
        <v/>
      </c>
    </row>
    <row r="28">
      <c r="A28" t="inlineStr">
        <is>
          <t>running shoe lifespan</t>
        </is>
      </c>
      <c r="B28" t="inlineStr">
        <is>
          <t>Shoe care</t>
        </is>
      </c>
      <c r="C28" t="n">
        <v>260</v>
      </c>
      <c r="D28" t="n">
        <v>10</v>
      </c>
      <c r="E28" t="inlineStr">
        <is>
          <t>https://www.stride-example.com/blog/replace-running-shoes/</t>
        </is>
      </c>
      <c r="F28" t="n">
        <v>5</v>
      </c>
      <c r="G28" t="inlineStr">
        <is>
          <t>https://www.stride-example.com/blog/replace-running-shoes/</t>
        </is>
      </c>
      <c r="H28" t="inlineStr">
        <is>
          <t>Existing</t>
        </is>
      </c>
      <c r="I28" t="inlineStr">
        <is>
          <t>Blog post / guide</t>
        </is>
      </c>
      <c r="J28" t="inlineStr">
        <is>
          <t>Secondary</t>
        </is>
      </c>
      <c r="K28" t="inlineStr">
        <is>
          <t>informational</t>
        </is>
      </c>
      <c r="L28" t="inlineStr">
        <is>
          <t>Intent pasted from the regex classifier</t>
        </is>
      </c>
      <c r="M28">
        <f>IF(A28="","",LOWER(TRIM(SUBSTITUTE(SUBSTITUTE(A28,"?",""),"*",""))))</f>
        <v/>
      </c>
      <c r="N28">
        <f>IF(M28="","",IF(SUMPRODUCT(ISNUMBER(SEARCH(" "&amp;Settings!$L$5:$L$124&amp;" "," "&amp;M28&amp;" "))*(Settings!$K$5:$K$124="Navigational")*(Settings!$L$5:$L$124&lt;&gt;""))&gt;0,"Navigational",IF(SUMPRODUCT(ISNUMBER(SEARCH(" "&amp;Settings!$L$5:$L$124&amp;" "," "&amp;M28&amp;" "))*(Settings!$K$5:$K$124="Transactional")*(Settings!$L$5:$L$124&lt;&gt;""))&gt;0,"Transactional",IF(SUMPRODUCT(ISNUMBER(SEARCH(" "&amp;Settings!$L$5:$L$124&amp;" "," "&amp;M28&amp;" "))*(Settings!$K$5:$K$124="Commercial")*(Settings!$L$5:$L$124&lt;&gt;""))&gt;0,"Commercial",IF(SUMPRODUCT(ISNUMBER(SEARCH(" "&amp;Settings!$L$5:$L$124&amp;" "," "&amp;M28&amp;" "))*(Settings!$K$5:$K$124="Informational")*(Settings!$L$5:$L$124&lt;&gt;""))&gt;0,"Informational","Unclassified")))))</f>
        <v/>
      </c>
      <c r="O28">
        <f>IF(A28="","",IF(K28&lt;&gt;"",PROPER(K28),N28))</f>
        <v/>
      </c>
      <c r="P28">
        <f>IF(A28="","",ROUND(Settings!$B$5*MIN(1,LOG10(N(C28)+1)/LOG10(Settings!$B$7+1))+Settings!$B$6*(1-MIN(100,IF(D28="",50,N(D28)))/100)+IFERROR(INDEX(Settings!$B$10:$B$14,MATCH(O28,Settings!$A$10:$A$14,0)),0),0))</f>
        <v/>
      </c>
      <c r="Q28">
        <f>IF(OR(A28="",G28=""),"",COUNTIFS($M$3:$M$1002,M28,$G$3:$G$1002,"&lt;&gt;"&amp;SUBSTITUTE(SUBSTITUTE(G28,"?","~?"),"*","~*"),$G$3:$G$1002,"?*"))</f>
        <v/>
      </c>
      <c r="R28">
        <f>IF(Q28="","",IF(Q28&gt;0,"Yes","No"))</f>
        <v/>
      </c>
      <c r="S28">
        <f>IF(G28="","",COUNTIFS($G$3:$G$1002,SUBSTITUTE(SUBSTITUTE(G28,"?","~?"),"*","~*"),$J$3:$J$1002,"Primary"))</f>
        <v/>
      </c>
      <c r="T28">
        <f>IF(S28="","",IF(S28&gt;Settings!$B$4,"Yes","No"))</f>
        <v/>
      </c>
      <c r="U28">
        <f>IF(OR(G28="",B28=""),"",IF(COUNTIFS($G$3:$G$1002,SUBSTITUTE(SUBSTITUTE(G28,"?","~?"),"*","~*"),$B$3:$B$1002,"&lt;&gt;"&amp;SUBSTITUTE(SUBSTITUTE(B28,"?","~?"),"*","~*"),$B$3:$B$1002,"?*")&gt;0,"Yes","No"))</f>
        <v/>
      </c>
      <c r="V28">
        <f>IF(OR(G28="",I28="",O28="",O28="Unclassified"),"",IFERROR(INDEX(Settings!$E$5:$H$16,MATCH(I28,Settings!$D$5:$D$16,0),MATCH(O28,Settings!$E$4:$H$4,0)),"Check"))</f>
        <v/>
      </c>
      <c r="W28">
        <f>IF(V28="","",IF(V28="No","Yes","No"))</f>
        <v/>
      </c>
      <c r="X28">
        <f>IF(OR(E28="",G28=""),"",IF(LOWER(IF(RIGHT(TRIM(E28),1)="/",LEFT(TRIM(E28),LEN(TRIM(E28))-1),TRIM(E28)))&lt;&gt;LOWER(IF(RIGHT(TRIM(G28),1)="/",LEFT(TRIM(G28),LEN(TRIM(G28))-1),TRIM(G28))),"Yes","No"))</f>
        <v/>
      </c>
      <c r="Y28">
        <f>IF(A28="","",(N(Q28)&gt;0)+(T28="Yes")+(U28="Yes")+(W28="Yes")+(X28="Yes"))</f>
        <v/>
      </c>
      <c r="Z28">
        <f>IF(A28="","",IF(G28="","Not mapped",IF(Y28=0,"OK",MID(IF(N(Q28)&gt;0,"; Cannibalisation","")&amp;IF(T28="Yes","; Too many primary keywords on URL","")&amp;IF(U28="Yes","; URL spans 2+ clusters","")&amp;IF(W28="Yes","; Intent mismatch","")&amp;IF(X28="Yes","; Ranking URL is not the target",""),3,300))))</f>
        <v/>
      </c>
      <c r="AA28">
        <f>IF(G28="","",IF(COUNTIF($G$3:G28,SUBSTITUTE(SUBSTITUTE(G28,"?","~?"),"*","~*"))=1,MAX($AA$2:AA27)+1,""))</f>
        <v/>
      </c>
      <c r="AB28">
        <f>IF(B28="","",IF(COUNTIF($B$3:B28,SUBSTITUTE(SUBSTITUTE(B28,"?","~?"),"*","~*"))=1,MAX($AB$2:AB27)+1,""))</f>
        <v/>
      </c>
    </row>
    <row r="29">
      <c r="A29" t="inlineStr">
        <is>
          <t>zero drop running shoes</t>
        </is>
      </c>
      <c r="B29" t="inlineStr">
        <is>
          <t>Shoe types</t>
        </is>
      </c>
      <c r="C29" t="n">
        <v>880</v>
      </c>
      <c r="D29" t="n">
        <v>27</v>
      </c>
      <c r="H29" t="inlineStr">
        <is>
          <t>Not mapped yet</t>
        </is>
      </c>
      <c r="L29" t="inlineStr">
        <is>
          <t>Decide: new category or blog post?</t>
        </is>
      </c>
      <c r="M29">
        <f>IF(A29="","",LOWER(TRIM(SUBSTITUTE(SUBSTITUTE(A29,"?",""),"*",""))))</f>
        <v/>
      </c>
      <c r="N29">
        <f>IF(M29="","",IF(SUMPRODUCT(ISNUMBER(SEARCH(" "&amp;Settings!$L$5:$L$124&amp;" "," "&amp;M29&amp;" "))*(Settings!$K$5:$K$124="Navigational")*(Settings!$L$5:$L$124&lt;&gt;""))&gt;0,"Navigational",IF(SUMPRODUCT(ISNUMBER(SEARCH(" "&amp;Settings!$L$5:$L$124&amp;" "," "&amp;M29&amp;" "))*(Settings!$K$5:$K$124="Transactional")*(Settings!$L$5:$L$124&lt;&gt;""))&gt;0,"Transactional",IF(SUMPRODUCT(ISNUMBER(SEARCH(" "&amp;Settings!$L$5:$L$124&amp;" "," "&amp;M29&amp;" "))*(Settings!$K$5:$K$124="Commercial")*(Settings!$L$5:$L$124&lt;&gt;""))&gt;0,"Commercial",IF(SUMPRODUCT(ISNUMBER(SEARCH(" "&amp;Settings!$L$5:$L$124&amp;" "," "&amp;M29&amp;" "))*(Settings!$K$5:$K$124="Informational")*(Settings!$L$5:$L$124&lt;&gt;""))&gt;0,"Informational","Unclassified")))))</f>
        <v/>
      </c>
      <c r="O29">
        <f>IF(A29="","",IF(K29&lt;&gt;"",PROPER(K29),N29))</f>
        <v/>
      </c>
      <c r="P29">
        <f>IF(A29="","",ROUND(Settings!$B$5*MIN(1,LOG10(N(C29)+1)/LOG10(Settings!$B$7+1))+Settings!$B$6*(1-MIN(100,IF(D29="",50,N(D29)))/100)+IFERROR(INDEX(Settings!$B$10:$B$14,MATCH(O29,Settings!$A$10:$A$14,0)),0),0))</f>
        <v/>
      </c>
      <c r="Q29">
        <f>IF(OR(A29="",G29=""),"",COUNTIFS($M$3:$M$1002,M29,$G$3:$G$1002,"&lt;&gt;"&amp;SUBSTITUTE(SUBSTITUTE(G29,"?","~?"),"*","~*"),$G$3:$G$1002,"?*"))</f>
        <v/>
      </c>
      <c r="R29">
        <f>IF(Q29="","",IF(Q29&gt;0,"Yes","No"))</f>
        <v/>
      </c>
      <c r="S29">
        <f>IF(G29="","",COUNTIFS($G$3:$G$1002,SUBSTITUTE(SUBSTITUTE(G29,"?","~?"),"*","~*"),$J$3:$J$1002,"Primary"))</f>
        <v/>
      </c>
      <c r="T29">
        <f>IF(S29="","",IF(S29&gt;Settings!$B$4,"Yes","No"))</f>
        <v/>
      </c>
      <c r="U29">
        <f>IF(OR(G29="",B29=""),"",IF(COUNTIFS($G$3:$G$1002,SUBSTITUTE(SUBSTITUTE(G29,"?","~?"),"*","~*"),$B$3:$B$1002,"&lt;&gt;"&amp;SUBSTITUTE(SUBSTITUTE(B29,"?","~?"),"*","~*"),$B$3:$B$1002,"?*")&gt;0,"Yes","No"))</f>
        <v/>
      </c>
      <c r="V29">
        <f>IF(OR(G29="",I29="",O29="",O29="Unclassified"),"",IFERROR(INDEX(Settings!$E$5:$H$16,MATCH(I29,Settings!$D$5:$D$16,0),MATCH(O29,Settings!$E$4:$H$4,0)),"Check"))</f>
        <v/>
      </c>
      <c r="W29">
        <f>IF(V29="","",IF(V29="No","Yes","No"))</f>
        <v/>
      </c>
      <c r="X29">
        <f>IF(OR(E29="",G29=""),"",IF(LOWER(IF(RIGHT(TRIM(E29),1)="/",LEFT(TRIM(E29),LEN(TRIM(E29))-1),TRIM(E29)))&lt;&gt;LOWER(IF(RIGHT(TRIM(G29),1)="/",LEFT(TRIM(G29),LEN(TRIM(G29))-1),TRIM(G29))),"Yes","No"))</f>
        <v/>
      </c>
      <c r="Y29">
        <f>IF(A29="","",(N(Q29)&gt;0)+(T29="Yes")+(U29="Yes")+(W29="Yes")+(X29="Yes"))</f>
        <v/>
      </c>
      <c r="Z29">
        <f>IF(A29="","",IF(G29="","Not mapped",IF(Y29=0,"OK",MID(IF(N(Q29)&gt;0,"; Cannibalisation","")&amp;IF(T29="Yes","; Too many primary keywords on URL","")&amp;IF(U29="Yes","; URL spans 2+ clusters","")&amp;IF(W29="Yes","; Intent mismatch","")&amp;IF(X29="Yes","; Ranking URL is not the target",""),3,300))))</f>
        <v/>
      </c>
      <c r="AA29">
        <f>IF(G29="","",IF(COUNTIF($G$3:G29,SUBSTITUTE(SUBSTITUTE(G29,"?","~?"),"*","~*"))=1,MAX($AA$2:AA28)+1,""))</f>
        <v/>
      </c>
      <c r="AB29">
        <f>IF(B29="","",IF(COUNTIF($B$3:B29,SUBSTITUTE(SUBSTITUTE(B29,"?","~?"),"*","~*"))=1,MAX($AB$2:AB28)+1,""))</f>
        <v/>
      </c>
    </row>
    <row r="30">
      <c r="M30">
        <f>IF(A30="","",LOWER(TRIM(SUBSTITUTE(SUBSTITUTE(A30,"?",""),"*",""))))</f>
        <v/>
      </c>
      <c r="N30">
        <f>IF(M30="","",IF(SUMPRODUCT(ISNUMBER(SEARCH(" "&amp;Settings!$L$5:$L$124&amp;" "," "&amp;M30&amp;" "))*(Settings!$K$5:$K$124="Navigational")*(Settings!$L$5:$L$124&lt;&gt;""))&gt;0,"Navigational",IF(SUMPRODUCT(ISNUMBER(SEARCH(" "&amp;Settings!$L$5:$L$124&amp;" "," "&amp;M30&amp;" "))*(Settings!$K$5:$K$124="Transactional")*(Settings!$L$5:$L$124&lt;&gt;""))&gt;0,"Transactional",IF(SUMPRODUCT(ISNUMBER(SEARCH(" "&amp;Settings!$L$5:$L$124&amp;" "," "&amp;M30&amp;" "))*(Settings!$K$5:$K$124="Commercial")*(Settings!$L$5:$L$124&lt;&gt;""))&gt;0,"Commercial",IF(SUMPRODUCT(ISNUMBER(SEARCH(" "&amp;Settings!$L$5:$L$124&amp;" "," "&amp;M30&amp;" "))*(Settings!$K$5:$K$124="Informational")*(Settings!$L$5:$L$124&lt;&gt;""))&gt;0,"Informational","Unclassified")))))</f>
        <v/>
      </c>
      <c r="O30">
        <f>IF(A30="","",IF(K30&lt;&gt;"",PROPER(K30),N30))</f>
        <v/>
      </c>
      <c r="P30">
        <f>IF(A30="","",ROUND(Settings!$B$5*MIN(1,LOG10(N(C30)+1)/LOG10(Settings!$B$7+1))+Settings!$B$6*(1-MIN(100,IF(D30="",50,N(D30)))/100)+IFERROR(INDEX(Settings!$B$10:$B$14,MATCH(O30,Settings!$A$10:$A$14,0)),0),0))</f>
        <v/>
      </c>
      <c r="Q30">
        <f>IF(OR(A30="",G30=""),"",COUNTIFS($M$3:$M$1002,M30,$G$3:$G$1002,"&lt;&gt;"&amp;SUBSTITUTE(SUBSTITUTE(G30,"?","~?"),"*","~*"),$G$3:$G$1002,"?*"))</f>
        <v/>
      </c>
      <c r="R30">
        <f>IF(Q30="","",IF(Q30&gt;0,"Yes","No"))</f>
        <v/>
      </c>
      <c r="S30">
        <f>IF(G30="","",COUNTIFS($G$3:$G$1002,SUBSTITUTE(SUBSTITUTE(G30,"?","~?"),"*","~*"),$J$3:$J$1002,"Primary"))</f>
        <v/>
      </c>
      <c r="T30">
        <f>IF(S30="","",IF(S30&gt;Settings!$B$4,"Yes","No"))</f>
        <v/>
      </c>
      <c r="U30">
        <f>IF(OR(G30="",B30=""),"",IF(COUNTIFS($G$3:$G$1002,SUBSTITUTE(SUBSTITUTE(G30,"?","~?"),"*","~*"),$B$3:$B$1002,"&lt;&gt;"&amp;SUBSTITUTE(SUBSTITUTE(B30,"?","~?"),"*","~*"),$B$3:$B$1002,"?*")&gt;0,"Yes","No"))</f>
        <v/>
      </c>
      <c r="V30">
        <f>IF(OR(G30="",I30="",O30="",O30="Unclassified"),"",IFERROR(INDEX(Settings!$E$5:$H$16,MATCH(I30,Settings!$D$5:$D$16,0),MATCH(O30,Settings!$E$4:$H$4,0)),"Check"))</f>
        <v/>
      </c>
      <c r="W30">
        <f>IF(V30="","",IF(V30="No","Yes","No"))</f>
        <v/>
      </c>
      <c r="X30">
        <f>IF(OR(E30="",G30=""),"",IF(LOWER(IF(RIGHT(TRIM(E30),1)="/",LEFT(TRIM(E30),LEN(TRIM(E30))-1),TRIM(E30)))&lt;&gt;LOWER(IF(RIGHT(TRIM(G30),1)="/",LEFT(TRIM(G30),LEN(TRIM(G30))-1),TRIM(G30))),"Yes","No"))</f>
        <v/>
      </c>
      <c r="Y30">
        <f>IF(A30="","",(N(Q30)&gt;0)+(T30="Yes")+(U30="Yes")+(W30="Yes")+(X30="Yes"))</f>
        <v/>
      </c>
      <c r="Z30">
        <f>IF(A30="","",IF(G30="","Not mapped",IF(Y30=0,"OK",MID(IF(N(Q30)&gt;0,"; Cannibalisation","")&amp;IF(T30="Yes","; Too many primary keywords on URL","")&amp;IF(U30="Yes","; URL spans 2+ clusters","")&amp;IF(W30="Yes","; Intent mismatch","")&amp;IF(X30="Yes","; Ranking URL is not the target",""),3,300))))</f>
        <v/>
      </c>
      <c r="AA30">
        <f>IF(G30="","",IF(COUNTIF($G$3:G30,SUBSTITUTE(SUBSTITUTE(G30,"?","~?"),"*","~*"))=1,MAX($AA$2:AA29)+1,""))</f>
        <v/>
      </c>
      <c r="AB30">
        <f>IF(B30="","",IF(COUNTIF($B$3:B30,SUBSTITUTE(SUBSTITUTE(B30,"?","~?"),"*","~*"))=1,MAX($AB$2:AB29)+1,""))</f>
        <v/>
      </c>
    </row>
    <row r="31">
      <c r="M31">
        <f>IF(A31="","",LOWER(TRIM(SUBSTITUTE(SUBSTITUTE(A31,"?",""),"*",""))))</f>
        <v/>
      </c>
      <c r="N31">
        <f>IF(M31="","",IF(SUMPRODUCT(ISNUMBER(SEARCH(" "&amp;Settings!$L$5:$L$124&amp;" "," "&amp;M31&amp;" "))*(Settings!$K$5:$K$124="Navigational")*(Settings!$L$5:$L$124&lt;&gt;""))&gt;0,"Navigational",IF(SUMPRODUCT(ISNUMBER(SEARCH(" "&amp;Settings!$L$5:$L$124&amp;" "," "&amp;M31&amp;" "))*(Settings!$K$5:$K$124="Transactional")*(Settings!$L$5:$L$124&lt;&gt;""))&gt;0,"Transactional",IF(SUMPRODUCT(ISNUMBER(SEARCH(" "&amp;Settings!$L$5:$L$124&amp;" "," "&amp;M31&amp;" "))*(Settings!$K$5:$K$124="Commercial")*(Settings!$L$5:$L$124&lt;&gt;""))&gt;0,"Commercial",IF(SUMPRODUCT(ISNUMBER(SEARCH(" "&amp;Settings!$L$5:$L$124&amp;" "," "&amp;M31&amp;" "))*(Settings!$K$5:$K$124="Informational")*(Settings!$L$5:$L$124&lt;&gt;""))&gt;0,"Informational","Unclassified")))))</f>
        <v/>
      </c>
      <c r="O31">
        <f>IF(A31="","",IF(K31&lt;&gt;"",PROPER(K31),N31))</f>
        <v/>
      </c>
      <c r="P31">
        <f>IF(A31="","",ROUND(Settings!$B$5*MIN(1,LOG10(N(C31)+1)/LOG10(Settings!$B$7+1))+Settings!$B$6*(1-MIN(100,IF(D31="",50,N(D31)))/100)+IFERROR(INDEX(Settings!$B$10:$B$14,MATCH(O31,Settings!$A$10:$A$14,0)),0),0))</f>
        <v/>
      </c>
      <c r="Q31">
        <f>IF(OR(A31="",G31=""),"",COUNTIFS($M$3:$M$1002,M31,$G$3:$G$1002,"&lt;&gt;"&amp;SUBSTITUTE(SUBSTITUTE(G31,"?","~?"),"*","~*"),$G$3:$G$1002,"?*"))</f>
        <v/>
      </c>
      <c r="R31">
        <f>IF(Q31="","",IF(Q31&gt;0,"Yes","No"))</f>
        <v/>
      </c>
      <c r="S31">
        <f>IF(G31="","",COUNTIFS($G$3:$G$1002,SUBSTITUTE(SUBSTITUTE(G31,"?","~?"),"*","~*"),$J$3:$J$1002,"Primary"))</f>
        <v/>
      </c>
      <c r="T31">
        <f>IF(S31="","",IF(S31&gt;Settings!$B$4,"Yes","No"))</f>
        <v/>
      </c>
      <c r="U31">
        <f>IF(OR(G31="",B31=""),"",IF(COUNTIFS($G$3:$G$1002,SUBSTITUTE(SUBSTITUTE(G31,"?","~?"),"*","~*"),$B$3:$B$1002,"&lt;&gt;"&amp;SUBSTITUTE(SUBSTITUTE(B31,"?","~?"),"*","~*"),$B$3:$B$1002,"?*")&gt;0,"Yes","No"))</f>
        <v/>
      </c>
      <c r="V31">
        <f>IF(OR(G31="",I31="",O31="",O31="Unclassified"),"",IFERROR(INDEX(Settings!$E$5:$H$16,MATCH(I31,Settings!$D$5:$D$16,0),MATCH(O31,Settings!$E$4:$H$4,0)),"Check"))</f>
        <v/>
      </c>
      <c r="W31">
        <f>IF(V31="","",IF(V31="No","Yes","No"))</f>
        <v/>
      </c>
      <c r="X31">
        <f>IF(OR(E31="",G31=""),"",IF(LOWER(IF(RIGHT(TRIM(E31),1)="/",LEFT(TRIM(E31),LEN(TRIM(E31))-1),TRIM(E31)))&lt;&gt;LOWER(IF(RIGHT(TRIM(G31),1)="/",LEFT(TRIM(G31),LEN(TRIM(G31))-1),TRIM(G31))),"Yes","No"))</f>
        <v/>
      </c>
      <c r="Y31">
        <f>IF(A31="","",(N(Q31)&gt;0)+(T31="Yes")+(U31="Yes")+(W31="Yes")+(X31="Yes"))</f>
        <v/>
      </c>
      <c r="Z31">
        <f>IF(A31="","",IF(G31="","Not mapped",IF(Y31=0,"OK",MID(IF(N(Q31)&gt;0,"; Cannibalisation","")&amp;IF(T31="Yes","; Too many primary keywords on URL","")&amp;IF(U31="Yes","; URL spans 2+ clusters","")&amp;IF(W31="Yes","; Intent mismatch","")&amp;IF(X31="Yes","; Ranking URL is not the target",""),3,300))))</f>
        <v/>
      </c>
      <c r="AA31">
        <f>IF(G31="","",IF(COUNTIF($G$3:G31,SUBSTITUTE(SUBSTITUTE(G31,"?","~?"),"*","~*"))=1,MAX($AA$2:AA30)+1,""))</f>
        <v/>
      </c>
      <c r="AB31">
        <f>IF(B31="","",IF(COUNTIF($B$3:B31,SUBSTITUTE(SUBSTITUTE(B31,"?","~?"),"*","~*"))=1,MAX($AB$2:AB30)+1,""))</f>
        <v/>
      </c>
    </row>
    <row r="32">
      <c r="M32">
        <f>IF(A32="","",LOWER(TRIM(SUBSTITUTE(SUBSTITUTE(A32,"?",""),"*",""))))</f>
        <v/>
      </c>
      <c r="N32">
        <f>IF(M32="","",IF(SUMPRODUCT(ISNUMBER(SEARCH(" "&amp;Settings!$L$5:$L$124&amp;" "," "&amp;M32&amp;" "))*(Settings!$K$5:$K$124="Navigational")*(Settings!$L$5:$L$124&lt;&gt;""))&gt;0,"Navigational",IF(SUMPRODUCT(ISNUMBER(SEARCH(" "&amp;Settings!$L$5:$L$124&amp;" "," "&amp;M32&amp;" "))*(Settings!$K$5:$K$124="Transactional")*(Settings!$L$5:$L$124&lt;&gt;""))&gt;0,"Transactional",IF(SUMPRODUCT(ISNUMBER(SEARCH(" "&amp;Settings!$L$5:$L$124&amp;" "," "&amp;M32&amp;" "))*(Settings!$K$5:$K$124="Commercial")*(Settings!$L$5:$L$124&lt;&gt;""))&gt;0,"Commercial",IF(SUMPRODUCT(ISNUMBER(SEARCH(" "&amp;Settings!$L$5:$L$124&amp;" "," "&amp;M32&amp;" "))*(Settings!$K$5:$K$124="Informational")*(Settings!$L$5:$L$124&lt;&gt;""))&gt;0,"Informational","Unclassified")))))</f>
        <v/>
      </c>
      <c r="O32">
        <f>IF(A32="","",IF(K32&lt;&gt;"",PROPER(K32),N32))</f>
        <v/>
      </c>
      <c r="P32">
        <f>IF(A32="","",ROUND(Settings!$B$5*MIN(1,LOG10(N(C32)+1)/LOG10(Settings!$B$7+1))+Settings!$B$6*(1-MIN(100,IF(D32="",50,N(D32)))/100)+IFERROR(INDEX(Settings!$B$10:$B$14,MATCH(O32,Settings!$A$10:$A$14,0)),0),0))</f>
        <v/>
      </c>
      <c r="Q32">
        <f>IF(OR(A32="",G32=""),"",COUNTIFS($M$3:$M$1002,M32,$G$3:$G$1002,"&lt;&gt;"&amp;SUBSTITUTE(SUBSTITUTE(G32,"?","~?"),"*","~*"),$G$3:$G$1002,"?*"))</f>
        <v/>
      </c>
      <c r="R32">
        <f>IF(Q32="","",IF(Q32&gt;0,"Yes","No"))</f>
        <v/>
      </c>
      <c r="S32">
        <f>IF(G32="","",COUNTIFS($G$3:$G$1002,SUBSTITUTE(SUBSTITUTE(G32,"?","~?"),"*","~*"),$J$3:$J$1002,"Primary"))</f>
        <v/>
      </c>
      <c r="T32">
        <f>IF(S32="","",IF(S32&gt;Settings!$B$4,"Yes","No"))</f>
        <v/>
      </c>
      <c r="U32">
        <f>IF(OR(G32="",B32=""),"",IF(COUNTIFS($G$3:$G$1002,SUBSTITUTE(SUBSTITUTE(G32,"?","~?"),"*","~*"),$B$3:$B$1002,"&lt;&gt;"&amp;SUBSTITUTE(SUBSTITUTE(B32,"?","~?"),"*","~*"),$B$3:$B$1002,"?*")&gt;0,"Yes","No"))</f>
        <v/>
      </c>
      <c r="V32">
        <f>IF(OR(G32="",I32="",O32="",O32="Unclassified"),"",IFERROR(INDEX(Settings!$E$5:$H$16,MATCH(I32,Settings!$D$5:$D$16,0),MATCH(O32,Settings!$E$4:$H$4,0)),"Check"))</f>
        <v/>
      </c>
      <c r="W32">
        <f>IF(V32="","",IF(V32="No","Yes","No"))</f>
        <v/>
      </c>
      <c r="X32">
        <f>IF(OR(E32="",G32=""),"",IF(LOWER(IF(RIGHT(TRIM(E32),1)="/",LEFT(TRIM(E32),LEN(TRIM(E32))-1),TRIM(E32)))&lt;&gt;LOWER(IF(RIGHT(TRIM(G32),1)="/",LEFT(TRIM(G32),LEN(TRIM(G32))-1),TRIM(G32))),"Yes","No"))</f>
        <v/>
      </c>
      <c r="Y32">
        <f>IF(A32="","",(N(Q32)&gt;0)+(T32="Yes")+(U32="Yes")+(W32="Yes")+(X32="Yes"))</f>
        <v/>
      </c>
      <c r="Z32">
        <f>IF(A32="","",IF(G32="","Not mapped",IF(Y32=0,"OK",MID(IF(N(Q32)&gt;0,"; Cannibalisation","")&amp;IF(T32="Yes","; Too many primary keywords on URL","")&amp;IF(U32="Yes","; URL spans 2+ clusters","")&amp;IF(W32="Yes","; Intent mismatch","")&amp;IF(X32="Yes","; Ranking URL is not the target",""),3,300))))</f>
        <v/>
      </c>
      <c r="AA32">
        <f>IF(G32="","",IF(COUNTIF($G$3:G32,SUBSTITUTE(SUBSTITUTE(G32,"?","~?"),"*","~*"))=1,MAX($AA$2:AA31)+1,""))</f>
        <v/>
      </c>
      <c r="AB32">
        <f>IF(B32="","",IF(COUNTIF($B$3:B32,SUBSTITUTE(SUBSTITUTE(B32,"?","~?"),"*","~*"))=1,MAX($AB$2:AB31)+1,""))</f>
        <v/>
      </c>
    </row>
    <row r="33">
      <c r="M33">
        <f>IF(A33="","",LOWER(TRIM(SUBSTITUTE(SUBSTITUTE(A33,"?",""),"*",""))))</f>
        <v/>
      </c>
      <c r="N33">
        <f>IF(M33="","",IF(SUMPRODUCT(ISNUMBER(SEARCH(" "&amp;Settings!$L$5:$L$124&amp;" "," "&amp;M33&amp;" "))*(Settings!$K$5:$K$124="Navigational")*(Settings!$L$5:$L$124&lt;&gt;""))&gt;0,"Navigational",IF(SUMPRODUCT(ISNUMBER(SEARCH(" "&amp;Settings!$L$5:$L$124&amp;" "," "&amp;M33&amp;" "))*(Settings!$K$5:$K$124="Transactional")*(Settings!$L$5:$L$124&lt;&gt;""))&gt;0,"Transactional",IF(SUMPRODUCT(ISNUMBER(SEARCH(" "&amp;Settings!$L$5:$L$124&amp;" "," "&amp;M33&amp;" "))*(Settings!$K$5:$K$124="Commercial")*(Settings!$L$5:$L$124&lt;&gt;""))&gt;0,"Commercial",IF(SUMPRODUCT(ISNUMBER(SEARCH(" "&amp;Settings!$L$5:$L$124&amp;" "," "&amp;M33&amp;" "))*(Settings!$K$5:$K$124="Informational")*(Settings!$L$5:$L$124&lt;&gt;""))&gt;0,"Informational","Unclassified")))))</f>
        <v/>
      </c>
      <c r="O33">
        <f>IF(A33="","",IF(K33&lt;&gt;"",PROPER(K33),N33))</f>
        <v/>
      </c>
      <c r="P33">
        <f>IF(A33="","",ROUND(Settings!$B$5*MIN(1,LOG10(N(C33)+1)/LOG10(Settings!$B$7+1))+Settings!$B$6*(1-MIN(100,IF(D33="",50,N(D33)))/100)+IFERROR(INDEX(Settings!$B$10:$B$14,MATCH(O33,Settings!$A$10:$A$14,0)),0),0))</f>
        <v/>
      </c>
      <c r="Q33">
        <f>IF(OR(A33="",G33=""),"",COUNTIFS($M$3:$M$1002,M33,$G$3:$G$1002,"&lt;&gt;"&amp;SUBSTITUTE(SUBSTITUTE(G33,"?","~?"),"*","~*"),$G$3:$G$1002,"?*"))</f>
        <v/>
      </c>
      <c r="R33">
        <f>IF(Q33="","",IF(Q33&gt;0,"Yes","No"))</f>
        <v/>
      </c>
      <c r="S33">
        <f>IF(G33="","",COUNTIFS($G$3:$G$1002,SUBSTITUTE(SUBSTITUTE(G33,"?","~?"),"*","~*"),$J$3:$J$1002,"Primary"))</f>
        <v/>
      </c>
      <c r="T33">
        <f>IF(S33="","",IF(S33&gt;Settings!$B$4,"Yes","No"))</f>
        <v/>
      </c>
      <c r="U33">
        <f>IF(OR(G33="",B33=""),"",IF(COUNTIFS($G$3:$G$1002,SUBSTITUTE(SUBSTITUTE(G33,"?","~?"),"*","~*"),$B$3:$B$1002,"&lt;&gt;"&amp;SUBSTITUTE(SUBSTITUTE(B33,"?","~?"),"*","~*"),$B$3:$B$1002,"?*")&gt;0,"Yes","No"))</f>
        <v/>
      </c>
      <c r="V33">
        <f>IF(OR(G33="",I33="",O33="",O33="Unclassified"),"",IFERROR(INDEX(Settings!$E$5:$H$16,MATCH(I33,Settings!$D$5:$D$16,0),MATCH(O33,Settings!$E$4:$H$4,0)),"Check"))</f>
        <v/>
      </c>
      <c r="W33">
        <f>IF(V33="","",IF(V33="No","Yes","No"))</f>
        <v/>
      </c>
      <c r="X33">
        <f>IF(OR(E33="",G33=""),"",IF(LOWER(IF(RIGHT(TRIM(E33),1)="/",LEFT(TRIM(E33),LEN(TRIM(E33))-1),TRIM(E33)))&lt;&gt;LOWER(IF(RIGHT(TRIM(G33),1)="/",LEFT(TRIM(G33),LEN(TRIM(G33))-1),TRIM(G33))),"Yes","No"))</f>
        <v/>
      </c>
      <c r="Y33">
        <f>IF(A33="","",(N(Q33)&gt;0)+(T33="Yes")+(U33="Yes")+(W33="Yes")+(X33="Yes"))</f>
        <v/>
      </c>
      <c r="Z33">
        <f>IF(A33="","",IF(G33="","Not mapped",IF(Y33=0,"OK",MID(IF(N(Q33)&gt;0,"; Cannibalisation","")&amp;IF(T33="Yes","; Too many primary keywords on URL","")&amp;IF(U33="Yes","; URL spans 2+ clusters","")&amp;IF(W33="Yes","; Intent mismatch","")&amp;IF(X33="Yes","; Ranking URL is not the target",""),3,300))))</f>
        <v/>
      </c>
      <c r="AA33">
        <f>IF(G33="","",IF(COUNTIF($G$3:G33,SUBSTITUTE(SUBSTITUTE(G33,"?","~?"),"*","~*"))=1,MAX($AA$2:AA32)+1,""))</f>
        <v/>
      </c>
      <c r="AB33">
        <f>IF(B33="","",IF(COUNTIF($B$3:B33,SUBSTITUTE(SUBSTITUTE(B33,"?","~?"),"*","~*"))=1,MAX($AB$2:AB32)+1,""))</f>
        <v/>
      </c>
    </row>
    <row r="34">
      <c r="M34">
        <f>IF(A34="","",LOWER(TRIM(SUBSTITUTE(SUBSTITUTE(A34,"?",""),"*",""))))</f>
        <v/>
      </c>
      <c r="N34">
        <f>IF(M34="","",IF(SUMPRODUCT(ISNUMBER(SEARCH(" "&amp;Settings!$L$5:$L$124&amp;" "," "&amp;M34&amp;" "))*(Settings!$K$5:$K$124="Navigational")*(Settings!$L$5:$L$124&lt;&gt;""))&gt;0,"Navigational",IF(SUMPRODUCT(ISNUMBER(SEARCH(" "&amp;Settings!$L$5:$L$124&amp;" "," "&amp;M34&amp;" "))*(Settings!$K$5:$K$124="Transactional")*(Settings!$L$5:$L$124&lt;&gt;""))&gt;0,"Transactional",IF(SUMPRODUCT(ISNUMBER(SEARCH(" "&amp;Settings!$L$5:$L$124&amp;" "," "&amp;M34&amp;" "))*(Settings!$K$5:$K$124="Commercial")*(Settings!$L$5:$L$124&lt;&gt;""))&gt;0,"Commercial",IF(SUMPRODUCT(ISNUMBER(SEARCH(" "&amp;Settings!$L$5:$L$124&amp;" "," "&amp;M34&amp;" "))*(Settings!$K$5:$K$124="Informational")*(Settings!$L$5:$L$124&lt;&gt;""))&gt;0,"Informational","Unclassified")))))</f>
        <v/>
      </c>
      <c r="O34">
        <f>IF(A34="","",IF(K34&lt;&gt;"",PROPER(K34),N34))</f>
        <v/>
      </c>
      <c r="P34">
        <f>IF(A34="","",ROUND(Settings!$B$5*MIN(1,LOG10(N(C34)+1)/LOG10(Settings!$B$7+1))+Settings!$B$6*(1-MIN(100,IF(D34="",50,N(D34)))/100)+IFERROR(INDEX(Settings!$B$10:$B$14,MATCH(O34,Settings!$A$10:$A$14,0)),0),0))</f>
        <v/>
      </c>
      <c r="Q34">
        <f>IF(OR(A34="",G34=""),"",COUNTIFS($M$3:$M$1002,M34,$G$3:$G$1002,"&lt;&gt;"&amp;SUBSTITUTE(SUBSTITUTE(G34,"?","~?"),"*","~*"),$G$3:$G$1002,"?*"))</f>
        <v/>
      </c>
      <c r="R34">
        <f>IF(Q34="","",IF(Q34&gt;0,"Yes","No"))</f>
        <v/>
      </c>
      <c r="S34">
        <f>IF(G34="","",COUNTIFS($G$3:$G$1002,SUBSTITUTE(SUBSTITUTE(G34,"?","~?"),"*","~*"),$J$3:$J$1002,"Primary"))</f>
        <v/>
      </c>
      <c r="T34">
        <f>IF(S34="","",IF(S34&gt;Settings!$B$4,"Yes","No"))</f>
        <v/>
      </c>
      <c r="U34">
        <f>IF(OR(G34="",B34=""),"",IF(COUNTIFS($G$3:$G$1002,SUBSTITUTE(SUBSTITUTE(G34,"?","~?"),"*","~*"),$B$3:$B$1002,"&lt;&gt;"&amp;SUBSTITUTE(SUBSTITUTE(B34,"?","~?"),"*","~*"),$B$3:$B$1002,"?*")&gt;0,"Yes","No"))</f>
        <v/>
      </c>
      <c r="V34">
        <f>IF(OR(G34="",I34="",O34="",O34="Unclassified"),"",IFERROR(INDEX(Settings!$E$5:$H$16,MATCH(I34,Settings!$D$5:$D$16,0),MATCH(O34,Settings!$E$4:$H$4,0)),"Check"))</f>
        <v/>
      </c>
      <c r="W34">
        <f>IF(V34="","",IF(V34="No","Yes","No"))</f>
        <v/>
      </c>
      <c r="X34">
        <f>IF(OR(E34="",G34=""),"",IF(LOWER(IF(RIGHT(TRIM(E34),1)="/",LEFT(TRIM(E34),LEN(TRIM(E34))-1),TRIM(E34)))&lt;&gt;LOWER(IF(RIGHT(TRIM(G34),1)="/",LEFT(TRIM(G34),LEN(TRIM(G34))-1),TRIM(G34))),"Yes","No"))</f>
        <v/>
      </c>
      <c r="Y34">
        <f>IF(A34="","",(N(Q34)&gt;0)+(T34="Yes")+(U34="Yes")+(W34="Yes")+(X34="Yes"))</f>
        <v/>
      </c>
      <c r="Z34">
        <f>IF(A34="","",IF(G34="","Not mapped",IF(Y34=0,"OK",MID(IF(N(Q34)&gt;0,"; Cannibalisation","")&amp;IF(T34="Yes","; Too many primary keywords on URL","")&amp;IF(U34="Yes","; URL spans 2+ clusters","")&amp;IF(W34="Yes","; Intent mismatch","")&amp;IF(X34="Yes","; Ranking URL is not the target",""),3,300))))</f>
        <v/>
      </c>
      <c r="AA34">
        <f>IF(G34="","",IF(COUNTIF($G$3:G34,SUBSTITUTE(SUBSTITUTE(G34,"?","~?"),"*","~*"))=1,MAX($AA$2:AA33)+1,""))</f>
        <v/>
      </c>
      <c r="AB34">
        <f>IF(B34="","",IF(COUNTIF($B$3:B34,SUBSTITUTE(SUBSTITUTE(B34,"?","~?"),"*","~*"))=1,MAX($AB$2:AB33)+1,""))</f>
        <v/>
      </c>
    </row>
    <row r="35">
      <c r="M35">
        <f>IF(A35="","",LOWER(TRIM(SUBSTITUTE(SUBSTITUTE(A35,"?",""),"*",""))))</f>
        <v/>
      </c>
      <c r="N35">
        <f>IF(M35="","",IF(SUMPRODUCT(ISNUMBER(SEARCH(" "&amp;Settings!$L$5:$L$124&amp;" "," "&amp;M35&amp;" "))*(Settings!$K$5:$K$124="Navigational")*(Settings!$L$5:$L$124&lt;&gt;""))&gt;0,"Navigational",IF(SUMPRODUCT(ISNUMBER(SEARCH(" "&amp;Settings!$L$5:$L$124&amp;" "," "&amp;M35&amp;" "))*(Settings!$K$5:$K$124="Transactional")*(Settings!$L$5:$L$124&lt;&gt;""))&gt;0,"Transactional",IF(SUMPRODUCT(ISNUMBER(SEARCH(" "&amp;Settings!$L$5:$L$124&amp;" "," "&amp;M35&amp;" "))*(Settings!$K$5:$K$124="Commercial")*(Settings!$L$5:$L$124&lt;&gt;""))&gt;0,"Commercial",IF(SUMPRODUCT(ISNUMBER(SEARCH(" "&amp;Settings!$L$5:$L$124&amp;" "," "&amp;M35&amp;" "))*(Settings!$K$5:$K$124="Informational")*(Settings!$L$5:$L$124&lt;&gt;""))&gt;0,"Informational","Unclassified")))))</f>
        <v/>
      </c>
      <c r="O35">
        <f>IF(A35="","",IF(K35&lt;&gt;"",PROPER(K35),N35))</f>
        <v/>
      </c>
      <c r="P35">
        <f>IF(A35="","",ROUND(Settings!$B$5*MIN(1,LOG10(N(C35)+1)/LOG10(Settings!$B$7+1))+Settings!$B$6*(1-MIN(100,IF(D35="",50,N(D35)))/100)+IFERROR(INDEX(Settings!$B$10:$B$14,MATCH(O35,Settings!$A$10:$A$14,0)),0),0))</f>
        <v/>
      </c>
      <c r="Q35">
        <f>IF(OR(A35="",G35=""),"",COUNTIFS($M$3:$M$1002,M35,$G$3:$G$1002,"&lt;&gt;"&amp;SUBSTITUTE(SUBSTITUTE(G35,"?","~?"),"*","~*"),$G$3:$G$1002,"?*"))</f>
        <v/>
      </c>
      <c r="R35">
        <f>IF(Q35="","",IF(Q35&gt;0,"Yes","No"))</f>
        <v/>
      </c>
      <c r="S35">
        <f>IF(G35="","",COUNTIFS($G$3:$G$1002,SUBSTITUTE(SUBSTITUTE(G35,"?","~?"),"*","~*"),$J$3:$J$1002,"Primary"))</f>
        <v/>
      </c>
      <c r="T35">
        <f>IF(S35="","",IF(S35&gt;Settings!$B$4,"Yes","No"))</f>
        <v/>
      </c>
      <c r="U35">
        <f>IF(OR(G35="",B35=""),"",IF(COUNTIFS($G$3:$G$1002,SUBSTITUTE(SUBSTITUTE(G35,"?","~?"),"*","~*"),$B$3:$B$1002,"&lt;&gt;"&amp;SUBSTITUTE(SUBSTITUTE(B35,"?","~?"),"*","~*"),$B$3:$B$1002,"?*")&gt;0,"Yes","No"))</f>
        <v/>
      </c>
      <c r="V35">
        <f>IF(OR(G35="",I35="",O35="",O35="Unclassified"),"",IFERROR(INDEX(Settings!$E$5:$H$16,MATCH(I35,Settings!$D$5:$D$16,0),MATCH(O35,Settings!$E$4:$H$4,0)),"Check"))</f>
        <v/>
      </c>
      <c r="W35">
        <f>IF(V35="","",IF(V35="No","Yes","No"))</f>
        <v/>
      </c>
      <c r="X35">
        <f>IF(OR(E35="",G35=""),"",IF(LOWER(IF(RIGHT(TRIM(E35),1)="/",LEFT(TRIM(E35),LEN(TRIM(E35))-1),TRIM(E35)))&lt;&gt;LOWER(IF(RIGHT(TRIM(G35),1)="/",LEFT(TRIM(G35),LEN(TRIM(G35))-1),TRIM(G35))),"Yes","No"))</f>
        <v/>
      </c>
      <c r="Y35">
        <f>IF(A35="","",(N(Q35)&gt;0)+(T35="Yes")+(U35="Yes")+(W35="Yes")+(X35="Yes"))</f>
        <v/>
      </c>
      <c r="Z35">
        <f>IF(A35="","",IF(G35="","Not mapped",IF(Y35=0,"OK",MID(IF(N(Q35)&gt;0,"; Cannibalisation","")&amp;IF(T35="Yes","; Too many primary keywords on URL","")&amp;IF(U35="Yes","; URL spans 2+ clusters","")&amp;IF(W35="Yes","; Intent mismatch","")&amp;IF(X35="Yes","; Ranking URL is not the target",""),3,300))))</f>
        <v/>
      </c>
      <c r="AA35">
        <f>IF(G35="","",IF(COUNTIF($G$3:G35,SUBSTITUTE(SUBSTITUTE(G35,"?","~?"),"*","~*"))=1,MAX($AA$2:AA34)+1,""))</f>
        <v/>
      </c>
      <c r="AB35">
        <f>IF(B35="","",IF(COUNTIF($B$3:B35,SUBSTITUTE(SUBSTITUTE(B35,"?","~?"),"*","~*"))=1,MAX($AB$2:AB34)+1,""))</f>
        <v/>
      </c>
    </row>
    <row r="36">
      <c r="M36">
        <f>IF(A36="","",LOWER(TRIM(SUBSTITUTE(SUBSTITUTE(A36,"?",""),"*",""))))</f>
        <v/>
      </c>
      <c r="N36">
        <f>IF(M36="","",IF(SUMPRODUCT(ISNUMBER(SEARCH(" "&amp;Settings!$L$5:$L$124&amp;" "," "&amp;M36&amp;" "))*(Settings!$K$5:$K$124="Navigational")*(Settings!$L$5:$L$124&lt;&gt;""))&gt;0,"Navigational",IF(SUMPRODUCT(ISNUMBER(SEARCH(" "&amp;Settings!$L$5:$L$124&amp;" "," "&amp;M36&amp;" "))*(Settings!$K$5:$K$124="Transactional")*(Settings!$L$5:$L$124&lt;&gt;""))&gt;0,"Transactional",IF(SUMPRODUCT(ISNUMBER(SEARCH(" "&amp;Settings!$L$5:$L$124&amp;" "," "&amp;M36&amp;" "))*(Settings!$K$5:$K$124="Commercial")*(Settings!$L$5:$L$124&lt;&gt;""))&gt;0,"Commercial",IF(SUMPRODUCT(ISNUMBER(SEARCH(" "&amp;Settings!$L$5:$L$124&amp;" "," "&amp;M36&amp;" "))*(Settings!$K$5:$K$124="Informational")*(Settings!$L$5:$L$124&lt;&gt;""))&gt;0,"Informational","Unclassified")))))</f>
        <v/>
      </c>
      <c r="O36">
        <f>IF(A36="","",IF(K36&lt;&gt;"",PROPER(K36),N36))</f>
        <v/>
      </c>
      <c r="P36">
        <f>IF(A36="","",ROUND(Settings!$B$5*MIN(1,LOG10(N(C36)+1)/LOG10(Settings!$B$7+1))+Settings!$B$6*(1-MIN(100,IF(D36="",50,N(D36)))/100)+IFERROR(INDEX(Settings!$B$10:$B$14,MATCH(O36,Settings!$A$10:$A$14,0)),0),0))</f>
        <v/>
      </c>
      <c r="Q36">
        <f>IF(OR(A36="",G36=""),"",COUNTIFS($M$3:$M$1002,M36,$G$3:$G$1002,"&lt;&gt;"&amp;SUBSTITUTE(SUBSTITUTE(G36,"?","~?"),"*","~*"),$G$3:$G$1002,"?*"))</f>
        <v/>
      </c>
      <c r="R36">
        <f>IF(Q36="","",IF(Q36&gt;0,"Yes","No"))</f>
        <v/>
      </c>
      <c r="S36">
        <f>IF(G36="","",COUNTIFS($G$3:$G$1002,SUBSTITUTE(SUBSTITUTE(G36,"?","~?"),"*","~*"),$J$3:$J$1002,"Primary"))</f>
        <v/>
      </c>
      <c r="T36">
        <f>IF(S36="","",IF(S36&gt;Settings!$B$4,"Yes","No"))</f>
        <v/>
      </c>
      <c r="U36">
        <f>IF(OR(G36="",B36=""),"",IF(COUNTIFS($G$3:$G$1002,SUBSTITUTE(SUBSTITUTE(G36,"?","~?"),"*","~*"),$B$3:$B$1002,"&lt;&gt;"&amp;SUBSTITUTE(SUBSTITUTE(B36,"?","~?"),"*","~*"),$B$3:$B$1002,"?*")&gt;0,"Yes","No"))</f>
        <v/>
      </c>
      <c r="V36">
        <f>IF(OR(G36="",I36="",O36="",O36="Unclassified"),"",IFERROR(INDEX(Settings!$E$5:$H$16,MATCH(I36,Settings!$D$5:$D$16,0),MATCH(O36,Settings!$E$4:$H$4,0)),"Check"))</f>
        <v/>
      </c>
      <c r="W36">
        <f>IF(V36="","",IF(V36="No","Yes","No"))</f>
        <v/>
      </c>
      <c r="X36">
        <f>IF(OR(E36="",G36=""),"",IF(LOWER(IF(RIGHT(TRIM(E36),1)="/",LEFT(TRIM(E36),LEN(TRIM(E36))-1),TRIM(E36)))&lt;&gt;LOWER(IF(RIGHT(TRIM(G36),1)="/",LEFT(TRIM(G36),LEN(TRIM(G36))-1),TRIM(G36))),"Yes","No"))</f>
        <v/>
      </c>
      <c r="Y36">
        <f>IF(A36="","",(N(Q36)&gt;0)+(T36="Yes")+(U36="Yes")+(W36="Yes")+(X36="Yes"))</f>
        <v/>
      </c>
      <c r="Z36">
        <f>IF(A36="","",IF(G36="","Not mapped",IF(Y36=0,"OK",MID(IF(N(Q36)&gt;0,"; Cannibalisation","")&amp;IF(T36="Yes","; Too many primary keywords on URL","")&amp;IF(U36="Yes","; URL spans 2+ clusters","")&amp;IF(W36="Yes","; Intent mismatch","")&amp;IF(X36="Yes","; Ranking URL is not the target",""),3,300))))</f>
        <v/>
      </c>
      <c r="AA36">
        <f>IF(G36="","",IF(COUNTIF($G$3:G36,SUBSTITUTE(SUBSTITUTE(G36,"?","~?"),"*","~*"))=1,MAX($AA$2:AA35)+1,""))</f>
        <v/>
      </c>
      <c r="AB36">
        <f>IF(B36="","",IF(COUNTIF($B$3:B36,SUBSTITUTE(SUBSTITUTE(B36,"?","~?"),"*","~*"))=1,MAX($AB$2:AB35)+1,""))</f>
        <v/>
      </c>
    </row>
    <row r="37">
      <c r="M37">
        <f>IF(A37="","",LOWER(TRIM(SUBSTITUTE(SUBSTITUTE(A37,"?",""),"*",""))))</f>
        <v/>
      </c>
      <c r="N37">
        <f>IF(M37="","",IF(SUMPRODUCT(ISNUMBER(SEARCH(" "&amp;Settings!$L$5:$L$124&amp;" "," "&amp;M37&amp;" "))*(Settings!$K$5:$K$124="Navigational")*(Settings!$L$5:$L$124&lt;&gt;""))&gt;0,"Navigational",IF(SUMPRODUCT(ISNUMBER(SEARCH(" "&amp;Settings!$L$5:$L$124&amp;" "," "&amp;M37&amp;" "))*(Settings!$K$5:$K$124="Transactional")*(Settings!$L$5:$L$124&lt;&gt;""))&gt;0,"Transactional",IF(SUMPRODUCT(ISNUMBER(SEARCH(" "&amp;Settings!$L$5:$L$124&amp;" "," "&amp;M37&amp;" "))*(Settings!$K$5:$K$124="Commercial")*(Settings!$L$5:$L$124&lt;&gt;""))&gt;0,"Commercial",IF(SUMPRODUCT(ISNUMBER(SEARCH(" "&amp;Settings!$L$5:$L$124&amp;" "," "&amp;M37&amp;" "))*(Settings!$K$5:$K$124="Informational")*(Settings!$L$5:$L$124&lt;&gt;""))&gt;0,"Informational","Unclassified")))))</f>
        <v/>
      </c>
      <c r="O37">
        <f>IF(A37="","",IF(K37&lt;&gt;"",PROPER(K37),N37))</f>
        <v/>
      </c>
      <c r="P37">
        <f>IF(A37="","",ROUND(Settings!$B$5*MIN(1,LOG10(N(C37)+1)/LOG10(Settings!$B$7+1))+Settings!$B$6*(1-MIN(100,IF(D37="",50,N(D37)))/100)+IFERROR(INDEX(Settings!$B$10:$B$14,MATCH(O37,Settings!$A$10:$A$14,0)),0),0))</f>
        <v/>
      </c>
      <c r="Q37">
        <f>IF(OR(A37="",G37=""),"",COUNTIFS($M$3:$M$1002,M37,$G$3:$G$1002,"&lt;&gt;"&amp;SUBSTITUTE(SUBSTITUTE(G37,"?","~?"),"*","~*"),$G$3:$G$1002,"?*"))</f>
        <v/>
      </c>
      <c r="R37">
        <f>IF(Q37="","",IF(Q37&gt;0,"Yes","No"))</f>
        <v/>
      </c>
      <c r="S37">
        <f>IF(G37="","",COUNTIFS($G$3:$G$1002,SUBSTITUTE(SUBSTITUTE(G37,"?","~?"),"*","~*"),$J$3:$J$1002,"Primary"))</f>
        <v/>
      </c>
      <c r="T37">
        <f>IF(S37="","",IF(S37&gt;Settings!$B$4,"Yes","No"))</f>
        <v/>
      </c>
      <c r="U37">
        <f>IF(OR(G37="",B37=""),"",IF(COUNTIFS($G$3:$G$1002,SUBSTITUTE(SUBSTITUTE(G37,"?","~?"),"*","~*"),$B$3:$B$1002,"&lt;&gt;"&amp;SUBSTITUTE(SUBSTITUTE(B37,"?","~?"),"*","~*"),$B$3:$B$1002,"?*")&gt;0,"Yes","No"))</f>
        <v/>
      </c>
      <c r="V37">
        <f>IF(OR(G37="",I37="",O37="",O37="Unclassified"),"",IFERROR(INDEX(Settings!$E$5:$H$16,MATCH(I37,Settings!$D$5:$D$16,0),MATCH(O37,Settings!$E$4:$H$4,0)),"Check"))</f>
        <v/>
      </c>
      <c r="W37">
        <f>IF(V37="","",IF(V37="No","Yes","No"))</f>
        <v/>
      </c>
      <c r="X37">
        <f>IF(OR(E37="",G37=""),"",IF(LOWER(IF(RIGHT(TRIM(E37),1)="/",LEFT(TRIM(E37),LEN(TRIM(E37))-1),TRIM(E37)))&lt;&gt;LOWER(IF(RIGHT(TRIM(G37),1)="/",LEFT(TRIM(G37),LEN(TRIM(G37))-1),TRIM(G37))),"Yes","No"))</f>
        <v/>
      </c>
      <c r="Y37">
        <f>IF(A37="","",(N(Q37)&gt;0)+(T37="Yes")+(U37="Yes")+(W37="Yes")+(X37="Yes"))</f>
        <v/>
      </c>
      <c r="Z37">
        <f>IF(A37="","",IF(G37="","Not mapped",IF(Y37=0,"OK",MID(IF(N(Q37)&gt;0,"; Cannibalisation","")&amp;IF(T37="Yes","; Too many primary keywords on URL","")&amp;IF(U37="Yes","; URL spans 2+ clusters","")&amp;IF(W37="Yes","; Intent mismatch","")&amp;IF(X37="Yes","; Ranking URL is not the target",""),3,300))))</f>
        <v/>
      </c>
      <c r="AA37">
        <f>IF(G37="","",IF(COUNTIF($G$3:G37,SUBSTITUTE(SUBSTITUTE(G37,"?","~?"),"*","~*"))=1,MAX($AA$2:AA36)+1,""))</f>
        <v/>
      </c>
      <c r="AB37">
        <f>IF(B37="","",IF(COUNTIF($B$3:B37,SUBSTITUTE(SUBSTITUTE(B37,"?","~?"),"*","~*"))=1,MAX($AB$2:AB36)+1,""))</f>
        <v/>
      </c>
    </row>
    <row r="38">
      <c r="M38">
        <f>IF(A38="","",LOWER(TRIM(SUBSTITUTE(SUBSTITUTE(A38,"?",""),"*",""))))</f>
        <v/>
      </c>
      <c r="N38">
        <f>IF(M38="","",IF(SUMPRODUCT(ISNUMBER(SEARCH(" "&amp;Settings!$L$5:$L$124&amp;" "," "&amp;M38&amp;" "))*(Settings!$K$5:$K$124="Navigational")*(Settings!$L$5:$L$124&lt;&gt;""))&gt;0,"Navigational",IF(SUMPRODUCT(ISNUMBER(SEARCH(" "&amp;Settings!$L$5:$L$124&amp;" "," "&amp;M38&amp;" "))*(Settings!$K$5:$K$124="Transactional")*(Settings!$L$5:$L$124&lt;&gt;""))&gt;0,"Transactional",IF(SUMPRODUCT(ISNUMBER(SEARCH(" "&amp;Settings!$L$5:$L$124&amp;" "," "&amp;M38&amp;" "))*(Settings!$K$5:$K$124="Commercial")*(Settings!$L$5:$L$124&lt;&gt;""))&gt;0,"Commercial",IF(SUMPRODUCT(ISNUMBER(SEARCH(" "&amp;Settings!$L$5:$L$124&amp;" "," "&amp;M38&amp;" "))*(Settings!$K$5:$K$124="Informational")*(Settings!$L$5:$L$124&lt;&gt;""))&gt;0,"Informational","Unclassified")))))</f>
        <v/>
      </c>
      <c r="O38">
        <f>IF(A38="","",IF(K38&lt;&gt;"",PROPER(K38),N38))</f>
        <v/>
      </c>
      <c r="P38">
        <f>IF(A38="","",ROUND(Settings!$B$5*MIN(1,LOG10(N(C38)+1)/LOG10(Settings!$B$7+1))+Settings!$B$6*(1-MIN(100,IF(D38="",50,N(D38)))/100)+IFERROR(INDEX(Settings!$B$10:$B$14,MATCH(O38,Settings!$A$10:$A$14,0)),0),0))</f>
        <v/>
      </c>
      <c r="Q38">
        <f>IF(OR(A38="",G38=""),"",COUNTIFS($M$3:$M$1002,M38,$G$3:$G$1002,"&lt;&gt;"&amp;SUBSTITUTE(SUBSTITUTE(G38,"?","~?"),"*","~*"),$G$3:$G$1002,"?*"))</f>
        <v/>
      </c>
      <c r="R38">
        <f>IF(Q38="","",IF(Q38&gt;0,"Yes","No"))</f>
        <v/>
      </c>
      <c r="S38">
        <f>IF(G38="","",COUNTIFS($G$3:$G$1002,SUBSTITUTE(SUBSTITUTE(G38,"?","~?"),"*","~*"),$J$3:$J$1002,"Primary"))</f>
        <v/>
      </c>
      <c r="T38">
        <f>IF(S38="","",IF(S38&gt;Settings!$B$4,"Yes","No"))</f>
        <v/>
      </c>
      <c r="U38">
        <f>IF(OR(G38="",B38=""),"",IF(COUNTIFS($G$3:$G$1002,SUBSTITUTE(SUBSTITUTE(G38,"?","~?"),"*","~*"),$B$3:$B$1002,"&lt;&gt;"&amp;SUBSTITUTE(SUBSTITUTE(B38,"?","~?"),"*","~*"),$B$3:$B$1002,"?*")&gt;0,"Yes","No"))</f>
        <v/>
      </c>
      <c r="V38">
        <f>IF(OR(G38="",I38="",O38="",O38="Unclassified"),"",IFERROR(INDEX(Settings!$E$5:$H$16,MATCH(I38,Settings!$D$5:$D$16,0),MATCH(O38,Settings!$E$4:$H$4,0)),"Check"))</f>
        <v/>
      </c>
      <c r="W38">
        <f>IF(V38="","",IF(V38="No","Yes","No"))</f>
        <v/>
      </c>
      <c r="X38">
        <f>IF(OR(E38="",G38=""),"",IF(LOWER(IF(RIGHT(TRIM(E38),1)="/",LEFT(TRIM(E38),LEN(TRIM(E38))-1),TRIM(E38)))&lt;&gt;LOWER(IF(RIGHT(TRIM(G38),1)="/",LEFT(TRIM(G38),LEN(TRIM(G38))-1),TRIM(G38))),"Yes","No"))</f>
        <v/>
      </c>
      <c r="Y38">
        <f>IF(A38="","",(N(Q38)&gt;0)+(T38="Yes")+(U38="Yes")+(W38="Yes")+(X38="Yes"))</f>
        <v/>
      </c>
      <c r="Z38">
        <f>IF(A38="","",IF(G38="","Not mapped",IF(Y38=0,"OK",MID(IF(N(Q38)&gt;0,"; Cannibalisation","")&amp;IF(T38="Yes","; Too many primary keywords on URL","")&amp;IF(U38="Yes","; URL spans 2+ clusters","")&amp;IF(W38="Yes","; Intent mismatch","")&amp;IF(X38="Yes","; Ranking URL is not the target",""),3,300))))</f>
        <v/>
      </c>
      <c r="AA38">
        <f>IF(G38="","",IF(COUNTIF($G$3:G38,SUBSTITUTE(SUBSTITUTE(G38,"?","~?"),"*","~*"))=1,MAX($AA$2:AA37)+1,""))</f>
        <v/>
      </c>
      <c r="AB38">
        <f>IF(B38="","",IF(COUNTIF($B$3:B38,SUBSTITUTE(SUBSTITUTE(B38,"?","~?"),"*","~*"))=1,MAX($AB$2:AB37)+1,""))</f>
        <v/>
      </c>
    </row>
    <row r="39">
      <c r="M39">
        <f>IF(A39="","",LOWER(TRIM(SUBSTITUTE(SUBSTITUTE(A39,"?",""),"*",""))))</f>
        <v/>
      </c>
      <c r="N39">
        <f>IF(M39="","",IF(SUMPRODUCT(ISNUMBER(SEARCH(" "&amp;Settings!$L$5:$L$124&amp;" "," "&amp;M39&amp;" "))*(Settings!$K$5:$K$124="Navigational")*(Settings!$L$5:$L$124&lt;&gt;""))&gt;0,"Navigational",IF(SUMPRODUCT(ISNUMBER(SEARCH(" "&amp;Settings!$L$5:$L$124&amp;" "," "&amp;M39&amp;" "))*(Settings!$K$5:$K$124="Transactional")*(Settings!$L$5:$L$124&lt;&gt;""))&gt;0,"Transactional",IF(SUMPRODUCT(ISNUMBER(SEARCH(" "&amp;Settings!$L$5:$L$124&amp;" "," "&amp;M39&amp;" "))*(Settings!$K$5:$K$124="Commercial")*(Settings!$L$5:$L$124&lt;&gt;""))&gt;0,"Commercial",IF(SUMPRODUCT(ISNUMBER(SEARCH(" "&amp;Settings!$L$5:$L$124&amp;" "," "&amp;M39&amp;" "))*(Settings!$K$5:$K$124="Informational")*(Settings!$L$5:$L$124&lt;&gt;""))&gt;0,"Informational","Unclassified")))))</f>
        <v/>
      </c>
      <c r="O39">
        <f>IF(A39="","",IF(K39&lt;&gt;"",PROPER(K39),N39))</f>
        <v/>
      </c>
      <c r="P39">
        <f>IF(A39="","",ROUND(Settings!$B$5*MIN(1,LOG10(N(C39)+1)/LOG10(Settings!$B$7+1))+Settings!$B$6*(1-MIN(100,IF(D39="",50,N(D39)))/100)+IFERROR(INDEX(Settings!$B$10:$B$14,MATCH(O39,Settings!$A$10:$A$14,0)),0),0))</f>
        <v/>
      </c>
      <c r="Q39">
        <f>IF(OR(A39="",G39=""),"",COUNTIFS($M$3:$M$1002,M39,$G$3:$G$1002,"&lt;&gt;"&amp;SUBSTITUTE(SUBSTITUTE(G39,"?","~?"),"*","~*"),$G$3:$G$1002,"?*"))</f>
        <v/>
      </c>
      <c r="R39">
        <f>IF(Q39="","",IF(Q39&gt;0,"Yes","No"))</f>
        <v/>
      </c>
      <c r="S39">
        <f>IF(G39="","",COUNTIFS($G$3:$G$1002,SUBSTITUTE(SUBSTITUTE(G39,"?","~?"),"*","~*"),$J$3:$J$1002,"Primary"))</f>
        <v/>
      </c>
      <c r="T39">
        <f>IF(S39="","",IF(S39&gt;Settings!$B$4,"Yes","No"))</f>
        <v/>
      </c>
      <c r="U39">
        <f>IF(OR(G39="",B39=""),"",IF(COUNTIFS($G$3:$G$1002,SUBSTITUTE(SUBSTITUTE(G39,"?","~?"),"*","~*"),$B$3:$B$1002,"&lt;&gt;"&amp;SUBSTITUTE(SUBSTITUTE(B39,"?","~?"),"*","~*"),$B$3:$B$1002,"?*")&gt;0,"Yes","No"))</f>
        <v/>
      </c>
      <c r="V39">
        <f>IF(OR(G39="",I39="",O39="",O39="Unclassified"),"",IFERROR(INDEX(Settings!$E$5:$H$16,MATCH(I39,Settings!$D$5:$D$16,0),MATCH(O39,Settings!$E$4:$H$4,0)),"Check"))</f>
        <v/>
      </c>
      <c r="W39">
        <f>IF(V39="","",IF(V39="No","Yes","No"))</f>
        <v/>
      </c>
      <c r="X39">
        <f>IF(OR(E39="",G39=""),"",IF(LOWER(IF(RIGHT(TRIM(E39),1)="/",LEFT(TRIM(E39),LEN(TRIM(E39))-1),TRIM(E39)))&lt;&gt;LOWER(IF(RIGHT(TRIM(G39),1)="/",LEFT(TRIM(G39),LEN(TRIM(G39))-1),TRIM(G39))),"Yes","No"))</f>
        <v/>
      </c>
      <c r="Y39">
        <f>IF(A39="","",(N(Q39)&gt;0)+(T39="Yes")+(U39="Yes")+(W39="Yes")+(X39="Yes"))</f>
        <v/>
      </c>
      <c r="Z39">
        <f>IF(A39="","",IF(G39="","Not mapped",IF(Y39=0,"OK",MID(IF(N(Q39)&gt;0,"; Cannibalisation","")&amp;IF(T39="Yes","; Too many primary keywords on URL","")&amp;IF(U39="Yes","; URL spans 2+ clusters","")&amp;IF(W39="Yes","; Intent mismatch","")&amp;IF(X39="Yes","; Ranking URL is not the target",""),3,300))))</f>
        <v/>
      </c>
      <c r="AA39">
        <f>IF(G39="","",IF(COUNTIF($G$3:G39,SUBSTITUTE(SUBSTITUTE(G39,"?","~?"),"*","~*"))=1,MAX($AA$2:AA38)+1,""))</f>
        <v/>
      </c>
      <c r="AB39">
        <f>IF(B39="","",IF(COUNTIF($B$3:B39,SUBSTITUTE(SUBSTITUTE(B39,"?","~?"),"*","~*"))=1,MAX($AB$2:AB38)+1,""))</f>
        <v/>
      </c>
    </row>
    <row r="40">
      <c r="M40">
        <f>IF(A40="","",LOWER(TRIM(SUBSTITUTE(SUBSTITUTE(A40,"?",""),"*",""))))</f>
        <v/>
      </c>
      <c r="N40">
        <f>IF(M40="","",IF(SUMPRODUCT(ISNUMBER(SEARCH(" "&amp;Settings!$L$5:$L$124&amp;" "," "&amp;M40&amp;" "))*(Settings!$K$5:$K$124="Navigational")*(Settings!$L$5:$L$124&lt;&gt;""))&gt;0,"Navigational",IF(SUMPRODUCT(ISNUMBER(SEARCH(" "&amp;Settings!$L$5:$L$124&amp;" "," "&amp;M40&amp;" "))*(Settings!$K$5:$K$124="Transactional")*(Settings!$L$5:$L$124&lt;&gt;""))&gt;0,"Transactional",IF(SUMPRODUCT(ISNUMBER(SEARCH(" "&amp;Settings!$L$5:$L$124&amp;" "," "&amp;M40&amp;" "))*(Settings!$K$5:$K$124="Commercial")*(Settings!$L$5:$L$124&lt;&gt;""))&gt;0,"Commercial",IF(SUMPRODUCT(ISNUMBER(SEARCH(" "&amp;Settings!$L$5:$L$124&amp;" "," "&amp;M40&amp;" "))*(Settings!$K$5:$K$124="Informational")*(Settings!$L$5:$L$124&lt;&gt;""))&gt;0,"Informational","Unclassified")))))</f>
        <v/>
      </c>
      <c r="O40">
        <f>IF(A40="","",IF(K40&lt;&gt;"",PROPER(K40),N40))</f>
        <v/>
      </c>
      <c r="P40">
        <f>IF(A40="","",ROUND(Settings!$B$5*MIN(1,LOG10(N(C40)+1)/LOG10(Settings!$B$7+1))+Settings!$B$6*(1-MIN(100,IF(D40="",50,N(D40)))/100)+IFERROR(INDEX(Settings!$B$10:$B$14,MATCH(O40,Settings!$A$10:$A$14,0)),0),0))</f>
        <v/>
      </c>
      <c r="Q40">
        <f>IF(OR(A40="",G40=""),"",COUNTIFS($M$3:$M$1002,M40,$G$3:$G$1002,"&lt;&gt;"&amp;SUBSTITUTE(SUBSTITUTE(G40,"?","~?"),"*","~*"),$G$3:$G$1002,"?*"))</f>
        <v/>
      </c>
      <c r="R40">
        <f>IF(Q40="","",IF(Q40&gt;0,"Yes","No"))</f>
        <v/>
      </c>
      <c r="S40">
        <f>IF(G40="","",COUNTIFS($G$3:$G$1002,SUBSTITUTE(SUBSTITUTE(G40,"?","~?"),"*","~*"),$J$3:$J$1002,"Primary"))</f>
        <v/>
      </c>
      <c r="T40">
        <f>IF(S40="","",IF(S40&gt;Settings!$B$4,"Yes","No"))</f>
        <v/>
      </c>
      <c r="U40">
        <f>IF(OR(G40="",B40=""),"",IF(COUNTIFS($G$3:$G$1002,SUBSTITUTE(SUBSTITUTE(G40,"?","~?"),"*","~*"),$B$3:$B$1002,"&lt;&gt;"&amp;SUBSTITUTE(SUBSTITUTE(B40,"?","~?"),"*","~*"),$B$3:$B$1002,"?*")&gt;0,"Yes","No"))</f>
        <v/>
      </c>
      <c r="V40">
        <f>IF(OR(G40="",I40="",O40="",O40="Unclassified"),"",IFERROR(INDEX(Settings!$E$5:$H$16,MATCH(I40,Settings!$D$5:$D$16,0),MATCH(O40,Settings!$E$4:$H$4,0)),"Check"))</f>
        <v/>
      </c>
      <c r="W40">
        <f>IF(V40="","",IF(V40="No","Yes","No"))</f>
        <v/>
      </c>
      <c r="X40">
        <f>IF(OR(E40="",G40=""),"",IF(LOWER(IF(RIGHT(TRIM(E40),1)="/",LEFT(TRIM(E40),LEN(TRIM(E40))-1),TRIM(E40)))&lt;&gt;LOWER(IF(RIGHT(TRIM(G40),1)="/",LEFT(TRIM(G40),LEN(TRIM(G40))-1),TRIM(G40))),"Yes","No"))</f>
        <v/>
      </c>
      <c r="Y40">
        <f>IF(A40="","",(N(Q40)&gt;0)+(T40="Yes")+(U40="Yes")+(W40="Yes")+(X40="Yes"))</f>
        <v/>
      </c>
      <c r="Z40">
        <f>IF(A40="","",IF(G40="","Not mapped",IF(Y40=0,"OK",MID(IF(N(Q40)&gt;0,"; Cannibalisation","")&amp;IF(T40="Yes","; Too many primary keywords on URL","")&amp;IF(U40="Yes","; URL spans 2+ clusters","")&amp;IF(W40="Yes","; Intent mismatch","")&amp;IF(X40="Yes","; Ranking URL is not the target",""),3,300))))</f>
        <v/>
      </c>
      <c r="AA40">
        <f>IF(G40="","",IF(COUNTIF($G$3:G40,SUBSTITUTE(SUBSTITUTE(G40,"?","~?"),"*","~*"))=1,MAX($AA$2:AA39)+1,""))</f>
        <v/>
      </c>
      <c r="AB40">
        <f>IF(B40="","",IF(COUNTIF($B$3:B40,SUBSTITUTE(SUBSTITUTE(B40,"?","~?"),"*","~*"))=1,MAX($AB$2:AB39)+1,""))</f>
        <v/>
      </c>
    </row>
    <row r="41">
      <c r="M41">
        <f>IF(A41="","",LOWER(TRIM(SUBSTITUTE(SUBSTITUTE(A41,"?",""),"*",""))))</f>
        <v/>
      </c>
      <c r="N41">
        <f>IF(M41="","",IF(SUMPRODUCT(ISNUMBER(SEARCH(" "&amp;Settings!$L$5:$L$124&amp;" "," "&amp;M41&amp;" "))*(Settings!$K$5:$K$124="Navigational")*(Settings!$L$5:$L$124&lt;&gt;""))&gt;0,"Navigational",IF(SUMPRODUCT(ISNUMBER(SEARCH(" "&amp;Settings!$L$5:$L$124&amp;" "," "&amp;M41&amp;" "))*(Settings!$K$5:$K$124="Transactional")*(Settings!$L$5:$L$124&lt;&gt;""))&gt;0,"Transactional",IF(SUMPRODUCT(ISNUMBER(SEARCH(" "&amp;Settings!$L$5:$L$124&amp;" "," "&amp;M41&amp;" "))*(Settings!$K$5:$K$124="Commercial")*(Settings!$L$5:$L$124&lt;&gt;""))&gt;0,"Commercial",IF(SUMPRODUCT(ISNUMBER(SEARCH(" "&amp;Settings!$L$5:$L$124&amp;" "," "&amp;M41&amp;" "))*(Settings!$K$5:$K$124="Informational")*(Settings!$L$5:$L$124&lt;&gt;""))&gt;0,"Informational","Unclassified")))))</f>
        <v/>
      </c>
      <c r="O41">
        <f>IF(A41="","",IF(K41&lt;&gt;"",PROPER(K41),N41))</f>
        <v/>
      </c>
      <c r="P41">
        <f>IF(A41="","",ROUND(Settings!$B$5*MIN(1,LOG10(N(C41)+1)/LOG10(Settings!$B$7+1))+Settings!$B$6*(1-MIN(100,IF(D41="",50,N(D41)))/100)+IFERROR(INDEX(Settings!$B$10:$B$14,MATCH(O41,Settings!$A$10:$A$14,0)),0),0))</f>
        <v/>
      </c>
      <c r="Q41">
        <f>IF(OR(A41="",G41=""),"",COUNTIFS($M$3:$M$1002,M41,$G$3:$G$1002,"&lt;&gt;"&amp;SUBSTITUTE(SUBSTITUTE(G41,"?","~?"),"*","~*"),$G$3:$G$1002,"?*"))</f>
        <v/>
      </c>
      <c r="R41">
        <f>IF(Q41="","",IF(Q41&gt;0,"Yes","No"))</f>
        <v/>
      </c>
      <c r="S41">
        <f>IF(G41="","",COUNTIFS($G$3:$G$1002,SUBSTITUTE(SUBSTITUTE(G41,"?","~?"),"*","~*"),$J$3:$J$1002,"Primary"))</f>
        <v/>
      </c>
      <c r="T41">
        <f>IF(S41="","",IF(S41&gt;Settings!$B$4,"Yes","No"))</f>
        <v/>
      </c>
      <c r="U41">
        <f>IF(OR(G41="",B41=""),"",IF(COUNTIFS($G$3:$G$1002,SUBSTITUTE(SUBSTITUTE(G41,"?","~?"),"*","~*"),$B$3:$B$1002,"&lt;&gt;"&amp;SUBSTITUTE(SUBSTITUTE(B41,"?","~?"),"*","~*"),$B$3:$B$1002,"?*")&gt;0,"Yes","No"))</f>
        <v/>
      </c>
      <c r="V41">
        <f>IF(OR(G41="",I41="",O41="",O41="Unclassified"),"",IFERROR(INDEX(Settings!$E$5:$H$16,MATCH(I41,Settings!$D$5:$D$16,0),MATCH(O41,Settings!$E$4:$H$4,0)),"Check"))</f>
        <v/>
      </c>
      <c r="W41">
        <f>IF(V41="","",IF(V41="No","Yes","No"))</f>
        <v/>
      </c>
      <c r="X41">
        <f>IF(OR(E41="",G41=""),"",IF(LOWER(IF(RIGHT(TRIM(E41),1)="/",LEFT(TRIM(E41),LEN(TRIM(E41))-1),TRIM(E41)))&lt;&gt;LOWER(IF(RIGHT(TRIM(G41),1)="/",LEFT(TRIM(G41),LEN(TRIM(G41))-1),TRIM(G41))),"Yes","No"))</f>
        <v/>
      </c>
      <c r="Y41">
        <f>IF(A41="","",(N(Q41)&gt;0)+(T41="Yes")+(U41="Yes")+(W41="Yes")+(X41="Yes"))</f>
        <v/>
      </c>
      <c r="Z41">
        <f>IF(A41="","",IF(G41="","Not mapped",IF(Y41=0,"OK",MID(IF(N(Q41)&gt;0,"; Cannibalisation","")&amp;IF(T41="Yes","; Too many primary keywords on URL","")&amp;IF(U41="Yes","; URL spans 2+ clusters","")&amp;IF(W41="Yes","; Intent mismatch","")&amp;IF(X41="Yes","; Ranking URL is not the target",""),3,300))))</f>
        <v/>
      </c>
      <c r="AA41">
        <f>IF(G41="","",IF(COUNTIF($G$3:G41,SUBSTITUTE(SUBSTITUTE(G41,"?","~?"),"*","~*"))=1,MAX($AA$2:AA40)+1,""))</f>
        <v/>
      </c>
      <c r="AB41">
        <f>IF(B41="","",IF(COUNTIF($B$3:B41,SUBSTITUTE(SUBSTITUTE(B41,"?","~?"),"*","~*"))=1,MAX($AB$2:AB40)+1,""))</f>
        <v/>
      </c>
    </row>
    <row r="42">
      <c r="M42">
        <f>IF(A42="","",LOWER(TRIM(SUBSTITUTE(SUBSTITUTE(A42,"?",""),"*",""))))</f>
        <v/>
      </c>
      <c r="N42">
        <f>IF(M42="","",IF(SUMPRODUCT(ISNUMBER(SEARCH(" "&amp;Settings!$L$5:$L$124&amp;" "," "&amp;M42&amp;" "))*(Settings!$K$5:$K$124="Navigational")*(Settings!$L$5:$L$124&lt;&gt;""))&gt;0,"Navigational",IF(SUMPRODUCT(ISNUMBER(SEARCH(" "&amp;Settings!$L$5:$L$124&amp;" "," "&amp;M42&amp;" "))*(Settings!$K$5:$K$124="Transactional")*(Settings!$L$5:$L$124&lt;&gt;""))&gt;0,"Transactional",IF(SUMPRODUCT(ISNUMBER(SEARCH(" "&amp;Settings!$L$5:$L$124&amp;" "," "&amp;M42&amp;" "))*(Settings!$K$5:$K$124="Commercial")*(Settings!$L$5:$L$124&lt;&gt;""))&gt;0,"Commercial",IF(SUMPRODUCT(ISNUMBER(SEARCH(" "&amp;Settings!$L$5:$L$124&amp;" "," "&amp;M42&amp;" "))*(Settings!$K$5:$K$124="Informational")*(Settings!$L$5:$L$124&lt;&gt;""))&gt;0,"Informational","Unclassified")))))</f>
        <v/>
      </c>
      <c r="O42">
        <f>IF(A42="","",IF(K42&lt;&gt;"",PROPER(K42),N42))</f>
        <v/>
      </c>
      <c r="P42">
        <f>IF(A42="","",ROUND(Settings!$B$5*MIN(1,LOG10(N(C42)+1)/LOG10(Settings!$B$7+1))+Settings!$B$6*(1-MIN(100,IF(D42="",50,N(D42)))/100)+IFERROR(INDEX(Settings!$B$10:$B$14,MATCH(O42,Settings!$A$10:$A$14,0)),0),0))</f>
        <v/>
      </c>
      <c r="Q42">
        <f>IF(OR(A42="",G42=""),"",COUNTIFS($M$3:$M$1002,M42,$G$3:$G$1002,"&lt;&gt;"&amp;SUBSTITUTE(SUBSTITUTE(G42,"?","~?"),"*","~*"),$G$3:$G$1002,"?*"))</f>
        <v/>
      </c>
      <c r="R42">
        <f>IF(Q42="","",IF(Q42&gt;0,"Yes","No"))</f>
        <v/>
      </c>
      <c r="S42">
        <f>IF(G42="","",COUNTIFS($G$3:$G$1002,SUBSTITUTE(SUBSTITUTE(G42,"?","~?"),"*","~*"),$J$3:$J$1002,"Primary"))</f>
        <v/>
      </c>
      <c r="T42">
        <f>IF(S42="","",IF(S42&gt;Settings!$B$4,"Yes","No"))</f>
        <v/>
      </c>
      <c r="U42">
        <f>IF(OR(G42="",B42=""),"",IF(COUNTIFS($G$3:$G$1002,SUBSTITUTE(SUBSTITUTE(G42,"?","~?"),"*","~*"),$B$3:$B$1002,"&lt;&gt;"&amp;SUBSTITUTE(SUBSTITUTE(B42,"?","~?"),"*","~*"),$B$3:$B$1002,"?*")&gt;0,"Yes","No"))</f>
        <v/>
      </c>
      <c r="V42">
        <f>IF(OR(G42="",I42="",O42="",O42="Unclassified"),"",IFERROR(INDEX(Settings!$E$5:$H$16,MATCH(I42,Settings!$D$5:$D$16,0),MATCH(O42,Settings!$E$4:$H$4,0)),"Check"))</f>
        <v/>
      </c>
      <c r="W42">
        <f>IF(V42="","",IF(V42="No","Yes","No"))</f>
        <v/>
      </c>
      <c r="X42">
        <f>IF(OR(E42="",G42=""),"",IF(LOWER(IF(RIGHT(TRIM(E42),1)="/",LEFT(TRIM(E42),LEN(TRIM(E42))-1),TRIM(E42)))&lt;&gt;LOWER(IF(RIGHT(TRIM(G42),1)="/",LEFT(TRIM(G42),LEN(TRIM(G42))-1),TRIM(G42))),"Yes","No"))</f>
        <v/>
      </c>
      <c r="Y42">
        <f>IF(A42="","",(N(Q42)&gt;0)+(T42="Yes")+(U42="Yes")+(W42="Yes")+(X42="Yes"))</f>
        <v/>
      </c>
      <c r="Z42">
        <f>IF(A42="","",IF(G42="","Not mapped",IF(Y42=0,"OK",MID(IF(N(Q42)&gt;0,"; Cannibalisation","")&amp;IF(T42="Yes","; Too many primary keywords on URL","")&amp;IF(U42="Yes","; URL spans 2+ clusters","")&amp;IF(W42="Yes","; Intent mismatch","")&amp;IF(X42="Yes","; Ranking URL is not the target",""),3,300))))</f>
        <v/>
      </c>
      <c r="AA42">
        <f>IF(G42="","",IF(COUNTIF($G$3:G42,SUBSTITUTE(SUBSTITUTE(G42,"?","~?"),"*","~*"))=1,MAX($AA$2:AA41)+1,""))</f>
        <v/>
      </c>
      <c r="AB42">
        <f>IF(B42="","",IF(COUNTIF($B$3:B42,SUBSTITUTE(SUBSTITUTE(B42,"?","~?"),"*","~*"))=1,MAX($AB$2:AB41)+1,""))</f>
        <v/>
      </c>
    </row>
    <row r="43">
      <c r="M43">
        <f>IF(A43="","",LOWER(TRIM(SUBSTITUTE(SUBSTITUTE(A43,"?",""),"*",""))))</f>
        <v/>
      </c>
      <c r="N43">
        <f>IF(M43="","",IF(SUMPRODUCT(ISNUMBER(SEARCH(" "&amp;Settings!$L$5:$L$124&amp;" "," "&amp;M43&amp;" "))*(Settings!$K$5:$K$124="Navigational")*(Settings!$L$5:$L$124&lt;&gt;""))&gt;0,"Navigational",IF(SUMPRODUCT(ISNUMBER(SEARCH(" "&amp;Settings!$L$5:$L$124&amp;" "," "&amp;M43&amp;" "))*(Settings!$K$5:$K$124="Transactional")*(Settings!$L$5:$L$124&lt;&gt;""))&gt;0,"Transactional",IF(SUMPRODUCT(ISNUMBER(SEARCH(" "&amp;Settings!$L$5:$L$124&amp;" "," "&amp;M43&amp;" "))*(Settings!$K$5:$K$124="Commercial")*(Settings!$L$5:$L$124&lt;&gt;""))&gt;0,"Commercial",IF(SUMPRODUCT(ISNUMBER(SEARCH(" "&amp;Settings!$L$5:$L$124&amp;" "," "&amp;M43&amp;" "))*(Settings!$K$5:$K$124="Informational")*(Settings!$L$5:$L$124&lt;&gt;""))&gt;0,"Informational","Unclassified")))))</f>
        <v/>
      </c>
      <c r="O43">
        <f>IF(A43="","",IF(K43&lt;&gt;"",PROPER(K43),N43))</f>
        <v/>
      </c>
      <c r="P43">
        <f>IF(A43="","",ROUND(Settings!$B$5*MIN(1,LOG10(N(C43)+1)/LOG10(Settings!$B$7+1))+Settings!$B$6*(1-MIN(100,IF(D43="",50,N(D43)))/100)+IFERROR(INDEX(Settings!$B$10:$B$14,MATCH(O43,Settings!$A$10:$A$14,0)),0),0))</f>
        <v/>
      </c>
      <c r="Q43">
        <f>IF(OR(A43="",G43=""),"",COUNTIFS($M$3:$M$1002,M43,$G$3:$G$1002,"&lt;&gt;"&amp;SUBSTITUTE(SUBSTITUTE(G43,"?","~?"),"*","~*"),$G$3:$G$1002,"?*"))</f>
        <v/>
      </c>
      <c r="R43">
        <f>IF(Q43="","",IF(Q43&gt;0,"Yes","No"))</f>
        <v/>
      </c>
      <c r="S43">
        <f>IF(G43="","",COUNTIFS($G$3:$G$1002,SUBSTITUTE(SUBSTITUTE(G43,"?","~?"),"*","~*"),$J$3:$J$1002,"Primary"))</f>
        <v/>
      </c>
      <c r="T43">
        <f>IF(S43="","",IF(S43&gt;Settings!$B$4,"Yes","No"))</f>
        <v/>
      </c>
      <c r="U43">
        <f>IF(OR(G43="",B43=""),"",IF(COUNTIFS($G$3:$G$1002,SUBSTITUTE(SUBSTITUTE(G43,"?","~?"),"*","~*"),$B$3:$B$1002,"&lt;&gt;"&amp;SUBSTITUTE(SUBSTITUTE(B43,"?","~?"),"*","~*"),$B$3:$B$1002,"?*")&gt;0,"Yes","No"))</f>
        <v/>
      </c>
      <c r="V43">
        <f>IF(OR(G43="",I43="",O43="",O43="Unclassified"),"",IFERROR(INDEX(Settings!$E$5:$H$16,MATCH(I43,Settings!$D$5:$D$16,0),MATCH(O43,Settings!$E$4:$H$4,0)),"Check"))</f>
        <v/>
      </c>
      <c r="W43">
        <f>IF(V43="","",IF(V43="No","Yes","No"))</f>
        <v/>
      </c>
      <c r="X43">
        <f>IF(OR(E43="",G43=""),"",IF(LOWER(IF(RIGHT(TRIM(E43),1)="/",LEFT(TRIM(E43),LEN(TRIM(E43))-1),TRIM(E43)))&lt;&gt;LOWER(IF(RIGHT(TRIM(G43),1)="/",LEFT(TRIM(G43),LEN(TRIM(G43))-1),TRIM(G43))),"Yes","No"))</f>
        <v/>
      </c>
      <c r="Y43">
        <f>IF(A43="","",(N(Q43)&gt;0)+(T43="Yes")+(U43="Yes")+(W43="Yes")+(X43="Yes"))</f>
        <v/>
      </c>
      <c r="Z43">
        <f>IF(A43="","",IF(G43="","Not mapped",IF(Y43=0,"OK",MID(IF(N(Q43)&gt;0,"; Cannibalisation","")&amp;IF(T43="Yes","; Too many primary keywords on URL","")&amp;IF(U43="Yes","; URL spans 2+ clusters","")&amp;IF(W43="Yes","; Intent mismatch","")&amp;IF(X43="Yes","; Ranking URL is not the target",""),3,300))))</f>
        <v/>
      </c>
      <c r="AA43">
        <f>IF(G43="","",IF(COUNTIF($G$3:G43,SUBSTITUTE(SUBSTITUTE(G43,"?","~?"),"*","~*"))=1,MAX($AA$2:AA42)+1,""))</f>
        <v/>
      </c>
      <c r="AB43">
        <f>IF(B43="","",IF(COUNTIF($B$3:B43,SUBSTITUTE(SUBSTITUTE(B43,"?","~?"),"*","~*"))=1,MAX($AB$2:AB42)+1,""))</f>
        <v/>
      </c>
    </row>
    <row r="44">
      <c r="M44">
        <f>IF(A44="","",LOWER(TRIM(SUBSTITUTE(SUBSTITUTE(A44,"?",""),"*",""))))</f>
        <v/>
      </c>
      <c r="N44">
        <f>IF(M44="","",IF(SUMPRODUCT(ISNUMBER(SEARCH(" "&amp;Settings!$L$5:$L$124&amp;" "," "&amp;M44&amp;" "))*(Settings!$K$5:$K$124="Navigational")*(Settings!$L$5:$L$124&lt;&gt;""))&gt;0,"Navigational",IF(SUMPRODUCT(ISNUMBER(SEARCH(" "&amp;Settings!$L$5:$L$124&amp;" "," "&amp;M44&amp;" "))*(Settings!$K$5:$K$124="Transactional")*(Settings!$L$5:$L$124&lt;&gt;""))&gt;0,"Transactional",IF(SUMPRODUCT(ISNUMBER(SEARCH(" "&amp;Settings!$L$5:$L$124&amp;" "," "&amp;M44&amp;" "))*(Settings!$K$5:$K$124="Commercial")*(Settings!$L$5:$L$124&lt;&gt;""))&gt;0,"Commercial",IF(SUMPRODUCT(ISNUMBER(SEARCH(" "&amp;Settings!$L$5:$L$124&amp;" "," "&amp;M44&amp;" "))*(Settings!$K$5:$K$124="Informational")*(Settings!$L$5:$L$124&lt;&gt;""))&gt;0,"Informational","Unclassified")))))</f>
        <v/>
      </c>
      <c r="O44">
        <f>IF(A44="","",IF(K44&lt;&gt;"",PROPER(K44),N44))</f>
        <v/>
      </c>
      <c r="P44">
        <f>IF(A44="","",ROUND(Settings!$B$5*MIN(1,LOG10(N(C44)+1)/LOG10(Settings!$B$7+1))+Settings!$B$6*(1-MIN(100,IF(D44="",50,N(D44)))/100)+IFERROR(INDEX(Settings!$B$10:$B$14,MATCH(O44,Settings!$A$10:$A$14,0)),0),0))</f>
        <v/>
      </c>
      <c r="Q44">
        <f>IF(OR(A44="",G44=""),"",COUNTIFS($M$3:$M$1002,M44,$G$3:$G$1002,"&lt;&gt;"&amp;SUBSTITUTE(SUBSTITUTE(G44,"?","~?"),"*","~*"),$G$3:$G$1002,"?*"))</f>
        <v/>
      </c>
      <c r="R44">
        <f>IF(Q44="","",IF(Q44&gt;0,"Yes","No"))</f>
        <v/>
      </c>
      <c r="S44">
        <f>IF(G44="","",COUNTIFS($G$3:$G$1002,SUBSTITUTE(SUBSTITUTE(G44,"?","~?"),"*","~*"),$J$3:$J$1002,"Primary"))</f>
        <v/>
      </c>
      <c r="T44">
        <f>IF(S44="","",IF(S44&gt;Settings!$B$4,"Yes","No"))</f>
        <v/>
      </c>
      <c r="U44">
        <f>IF(OR(G44="",B44=""),"",IF(COUNTIFS($G$3:$G$1002,SUBSTITUTE(SUBSTITUTE(G44,"?","~?"),"*","~*"),$B$3:$B$1002,"&lt;&gt;"&amp;SUBSTITUTE(SUBSTITUTE(B44,"?","~?"),"*","~*"),$B$3:$B$1002,"?*")&gt;0,"Yes","No"))</f>
        <v/>
      </c>
      <c r="V44">
        <f>IF(OR(G44="",I44="",O44="",O44="Unclassified"),"",IFERROR(INDEX(Settings!$E$5:$H$16,MATCH(I44,Settings!$D$5:$D$16,0),MATCH(O44,Settings!$E$4:$H$4,0)),"Check"))</f>
        <v/>
      </c>
      <c r="W44">
        <f>IF(V44="","",IF(V44="No","Yes","No"))</f>
        <v/>
      </c>
      <c r="X44">
        <f>IF(OR(E44="",G44=""),"",IF(LOWER(IF(RIGHT(TRIM(E44),1)="/",LEFT(TRIM(E44),LEN(TRIM(E44))-1),TRIM(E44)))&lt;&gt;LOWER(IF(RIGHT(TRIM(G44),1)="/",LEFT(TRIM(G44),LEN(TRIM(G44))-1),TRIM(G44))),"Yes","No"))</f>
        <v/>
      </c>
      <c r="Y44">
        <f>IF(A44="","",(N(Q44)&gt;0)+(T44="Yes")+(U44="Yes")+(W44="Yes")+(X44="Yes"))</f>
        <v/>
      </c>
      <c r="Z44">
        <f>IF(A44="","",IF(G44="","Not mapped",IF(Y44=0,"OK",MID(IF(N(Q44)&gt;0,"; Cannibalisation","")&amp;IF(T44="Yes","; Too many primary keywords on URL","")&amp;IF(U44="Yes","; URL spans 2+ clusters","")&amp;IF(W44="Yes","; Intent mismatch","")&amp;IF(X44="Yes","; Ranking URL is not the target",""),3,300))))</f>
        <v/>
      </c>
      <c r="AA44">
        <f>IF(G44="","",IF(COUNTIF($G$3:G44,SUBSTITUTE(SUBSTITUTE(G44,"?","~?"),"*","~*"))=1,MAX($AA$2:AA43)+1,""))</f>
        <v/>
      </c>
      <c r="AB44">
        <f>IF(B44="","",IF(COUNTIF($B$3:B44,SUBSTITUTE(SUBSTITUTE(B44,"?","~?"),"*","~*"))=1,MAX($AB$2:AB43)+1,""))</f>
        <v/>
      </c>
    </row>
    <row r="45">
      <c r="M45">
        <f>IF(A45="","",LOWER(TRIM(SUBSTITUTE(SUBSTITUTE(A45,"?",""),"*",""))))</f>
        <v/>
      </c>
      <c r="N45">
        <f>IF(M45="","",IF(SUMPRODUCT(ISNUMBER(SEARCH(" "&amp;Settings!$L$5:$L$124&amp;" "," "&amp;M45&amp;" "))*(Settings!$K$5:$K$124="Navigational")*(Settings!$L$5:$L$124&lt;&gt;""))&gt;0,"Navigational",IF(SUMPRODUCT(ISNUMBER(SEARCH(" "&amp;Settings!$L$5:$L$124&amp;" "," "&amp;M45&amp;" "))*(Settings!$K$5:$K$124="Transactional")*(Settings!$L$5:$L$124&lt;&gt;""))&gt;0,"Transactional",IF(SUMPRODUCT(ISNUMBER(SEARCH(" "&amp;Settings!$L$5:$L$124&amp;" "," "&amp;M45&amp;" "))*(Settings!$K$5:$K$124="Commercial")*(Settings!$L$5:$L$124&lt;&gt;""))&gt;0,"Commercial",IF(SUMPRODUCT(ISNUMBER(SEARCH(" "&amp;Settings!$L$5:$L$124&amp;" "," "&amp;M45&amp;" "))*(Settings!$K$5:$K$124="Informational")*(Settings!$L$5:$L$124&lt;&gt;""))&gt;0,"Informational","Unclassified")))))</f>
        <v/>
      </c>
      <c r="O45">
        <f>IF(A45="","",IF(K45&lt;&gt;"",PROPER(K45),N45))</f>
        <v/>
      </c>
      <c r="P45">
        <f>IF(A45="","",ROUND(Settings!$B$5*MIN(1,LOG10(N(C45)+1)/LOG10(Settings!$B$7+1))+Settings!$B$6*(1-MIN(100,IF(D45="",50,N(D45)))/100)+IFERROR(INDEX(Settings!$B$10:$B$14,MATCH(O45,Settings!$A$10:$A$14,0)),0),0))</f>
        <v/>
      </c>
      <c r="Q45">
        <f>IF(OR(A45="",G45=""),"",COUNTIFS($M$3:$M$1002,M45,$G$3:$G$1002,"&lt;&gt;"&amp;SUBSTITUTE(SUBSTITUTE(G45,"?","~?"),"*","~*"),$G$3:$G$1002,"?*"))</f>
        <v/>
      </c>
      <c r="R45">
        <f>IF(Q45="","",IF(Q45&gt;0,"Yes","No"))</f>
        <v/>
      </c>
      <c r="S45">
        <f>IF(G45="","",COUNTIFS($G$3:$G$1002,SUBSTITUTE(SUBSTITUTE(G45,"?","~?"),"*","~*"),$J$3:$J$1002,"Primary"))</f>
        <v/>
      </c>
      <c r="T45">
        <f>IF(S45="","",IF(S45&gt;Settings!$B$4,"Yes","No"))</f>
        <v/>
      </c>
      <c r="U45">
        <f>IF(OR(G45="",B45=""),"",IF(COUNTIFS($G$3:$G$1002,SUBSTITUTE(SUBSTITUTE(G45,"?","~?"),"*","~*"),$B$3:$B$1002,"&lt;&gt;"&amp;SUBSTITUTE(SUBSTITUTE(B45,"?","~?"),"*","~*"),$B$3:$B$1002,"?*")&gt;0,"Yes","No"))</f>
        <v/>
      </c>
      <c r="V45">
        <f>IF(OR(G45="",I45="",O45="",O45="Unclassified"),"",IFERROR(INDEX(Settings!$E$5:$H$16,MATCH(I45,Settings!$D$5:$D$16,0),MATCH(O45,Settings!$E$4:$H$4,0)),"Check"))</f>
        <v/>
      </c>
      <c r="W45">
        <f>IF(V45="","",IF(V45="No","Yes","No"))</f>
        <v/>
      </c>
      <c r="X45">
        <f>IF(OR(E45="",G45=""),"",IF(LOWER(IF(RIGHT(TRIM(E45),1)="/",LEFT(TRIM(E45),LEN(TRIM(E45))-1),TRIM(E45)))&lt;&gt;LOWER(IF(RIGHT(TRIM(G45),1)="/",LEFT(TRIM(G45),LEN(TRIM(G45))-1),TRIM(G45))),"Yes","No"))</f>
        <v/>
      </c>
      <c r="Y45">
        <f>IF(A45="","",(N(Q45)&gt;0)+(T45="Yes")+(U45="Yes")+(W45="Yes")+(X45="Yes"))</f>
        <v/>
      </c>
      <c r="Z45">
        <f>IF(A45="","",IF(G45="","Not mapped",IF(Y45=0,"OK",MID(IF(N(Q45)&gt;0,"; Cannibalisation","")&amp;IF(T45="Yes","; Too many primary keywords on URL","")&amp;IF(U45="Yes","; URL spans 2+ clusters","")&amp;IF(W45="Yes","; Intent mismatch","")&amp;IF(X45="Yes","; Ranking URL is not the target",""),3,300))))</f>
        <v/>
      </c>
      <c r="AA45">
        <f>IF(G45="","",IF(COUNTIF($G$3:G45,SUBSTITUTE(SUBSTITUTE(G45,"?","~?"),"*","~*"))=1,MAX($AA$2:AA44)+1,""))</f>
        <v/>
      </c>
      <c r="AB45">
        <f>IF(B45="","",IF(COUNTIF($B$3:B45,SUBSTITUTE(SUBSTITUTE(B45,"?","~?"),"*","~*"))=1,MAX($AB$2:AB44)+1,""))</f>
        <v/>
      </c>
    </row>
    <row r="46">
      <c r="M46">
        <f>IF(A46="","",LOWER(TRIM(SUBSTITUTE(SUBSTITUTE(A46,"?",""),"*",""))))</f>
        <v/>
      </c>
      <c r="N46">
        <f>IF(M46="","",IF(SUMPRODUCT(ISNUMBER(SEARCH(" "&amp;Settings!$L$5:$L$124&amp;" "," "&amp;M46&amp;" "))*(Settings!$K$5:$K$124="Navigational")*(Settings!$L$5:$L$124&lt;&gt;""))&gt;0,"Navigational",IF(SUMPRODUCT(ISNUMBER(SEARCH(" "&amp;Settings!$L$5:$L$124&amp;" "," "&amp;M46&amp;" "))*(Settings!$K$5:$K$124="Transactional")*(Settings!$L$5:$L$124&lt;&gt;""))&gt;0,"Transactional",IF(SUMPRODUCT(ISNUMBER(SEARCH(" "&amp;Settings!$L$5:$L$124&amp;" "," "&amp;M46&amp;" "))*(Settings!$K$5:$K$124="Commercial")*(Settings!$L$5:$L$124&lt;&gt;""))&gt;0,"Commercial",IF(SUMPRODUCT(ISNUMBER(SEARCH(" "&amp;Settings!$L$5:$L$124&amp;" "," "&amp;M46&amp;" "))*(Settings!$K$5:$K$124="Informational")*(Settings!$L$5:$L$124&lt;&gt;""))&gt;0,"Informational","Unclassified")))))</f>
        <v/>
      </c>
      <c r="O46">
        <f>IF(A46="","",IF(K46&lt;&gt;"",PROPER(K46),N46))</f>
        <v/>
      </c>
      <c r="P46">
        <f>IF(A46="","",ROUND(Settings!$B$5*MIN(1,LOG10(N(C46)+1)/LOG10(Settings!$B$7+1))+Settings!$B$6*(1-MIN(100,IF(D46="",50,N(D46)))/100)+IFERROR(INDEX(Settings!$B$10:$B$14,MATCH(O46,Settings!$A$10:$A$14,0)),0),0))</f>
        <v/>
      </c>
      <c r="Q46">
        <f>IF(OR(A46="",G46=""),"",COUNTIFS($M$3:$M$1002,M46,$G$3:$G$1002,"&lt;&gt;"&amp;SUBSTITUTE(SUBSTITUTE(G46,"?","~?"),"*","~*"),$G$3:$G$1002,"?*"))</f>
        <v/>
      </c>
      <c r="R46">
        <f>IF(Q46="","",IF(Q46&gt;0,"Yes","No"))</f>
        <v/>
      </c>
      <c r="S46">
        <f>IF(G46="","",COUNTIFS($G$3:$G$1002,SUBSTITUTE(SUBSTITUTE(G46,"?","~?"),"*","~*"),$J$3:$J$1002,"Primary"))</f>
        <v/>
      </c>
      <c r="T46">
        <f>IF(S46="","",IF(S46&gt;Settings!$B$4,"Yes","No"))</f>
        <v/>
      </c>
      <c r="U46">
        <f>IF(OR(G46="",B46=""),"",IF(COUNTIFS($G$3:$G$1002,SUBSTITUTE(SUBSTITUTE(G46,"?","~?"),"*","~*"),$B$3:$B$1002,"&lt;&gt;"&amp;SUBSTITUTE(SUBSTITUTE(B46,"?","~?"),"*","~*"),$B$3:$B$1002,"?*")&gt;0,"Yes","No"))</f>
        <v/>
      </c>
      <c r="V46">
        <f>IF(OR(G46="",I46="",O46="",O46="Unclassified"),"",IFERROR(INDEX(Settings!$E$5:$H$16,MATCH(I46,Settings!$D$5:$D$16,0),MATCH(O46,Settings!$E$4:$H$4,0)),"Check"))</f>
        <v/>
      </c>
      <c r="W46">
        <f>IF(V46="","",IF(V46="No","Yes","No"))</f>
        <v/>
      </c>
      <c r="X46">
        <f>IF(OR(E46="",G46=""),"",IF(LOWER(IF(RIGHT(TRIM(E46),1)="/",LEFT(TRIM(E46),LEN(TRIM(E46))-1),TRIM(E46)))&lt;&gt;LOWER(IF(RIGHT(TRIM(G46),1)="/",LEFT(TRIM(G46),LEN(TRIM(G46))-1),TRIM(G46))),"Yes","No"))</f>
        <v/>
      </c>
      <c r="Y46">
        <f>IF(A46="","",(N(Q46)&gt;0)+(T46="Yes")+(U46="Yes")+(W46="Yes")+(X46="Yes"))</f>
        <v/>
      </c>
      <c r="Z46">
        <f>IF(A46="","",IF(G46="","Not mapped",IF(Y46=0,"OK",MID(IF(N(Q46)&gt;0,"; Cannibalisation","")&amp;IF(T46="Yes","; Too many primary keywords on URL","")&amp;IF(U46="Yes","; URL spans 2+ clusters","")&amp;IF(W46="Yes","; Intent mismatch","")&amp;IF(X46="Yes","; Ranking URL is not the target",""),3,300))))</f>
        <v/>
      </c>
      <c r="AA46">
        <f>IF(G46="","",IF(COUNTIF($G$3:G46,SUBSTITUTE(SUBSTITUTE(G46,"?","~?"),"*","~*"))=1,MAX($AA$2:AA45)+1,""))</f>
        <v/>
      </c>
      <c r="AB46">
        <f>IF(B46="","",IF(COUNTIF($B$3:B46,SUBSTITUTE(SUBSTITUTE(B46,"?","~?"),"*","~*"))=1,MAX($AB$2:AB45)+1,""))</f>
        <v/>
      </c>
    </row>
    <row r="47">
      <c r="M47">
        <f>IF(A47="","",LOWER(TRIM(SUBSTITUTE(SUBSTITUTE(A47,"?",""),"*",""))))</f>
        <v/>
      </c>
      <c r="N47">
        <f>IF(M47="","",IF(SUMPRODUCT(ISNUMBER(SEARCH(" "&amp;Settings!$L$5:$L$124&amp;" "," "&amp;M47&amp;" "))*(Settings!$K$5:$K$124="Navigational")*(Settings!$L$5:$L$124&lt;&gt;""))&gt;0,"Navigational",IF(SUMPRODUCT(ISNUMBER(SEARCH(" "&amp;Settings!$L$5:$L$124&amp;" "," "&amp;M47&amp;" "))*(Settings!$K$5:$K$124="Transactional")*(Settings!$L$5:$L$124&lt;&gt;""))&gt;0,"Transactional",IF(SUMPRODUCT(ISNUMBER(SEARCH(" "&amp;Settings!$L$5:$L$124&amp;" "," "&amp;M47&amp;" "))*(Settings!$K$5:$K$124="Commercial")*(Settings!$L$5:$L$124&lt;&gt;""))&gt;0,"Commercial",IF(SUMPRODUCT(ISNUMBER(SEARCH(" "&amp;Settings!$L$5:$L$124&amp;" "," "&amp;M47&amp;" "))*(Settings!$K$5:$K$124="Informational")*(Settings!$L$5:$L$124&lt;&gt;""))&gt;0,"Informational","Unclassified")))))</f>
        <v/>
      </c>
      <c r="O47">
        <f>IF(A47="","",IF(K47&lt;&gt;"",PROPER(K47),N47))</f>
        <v/>
      </c>
      <c r="P47">
        <f>IF(A47="","",ROUND(Settings!$B$5*MIN(1,LOG10(N(C47)+1)/LOG10(Settings!$B$7+1))+Settings!$B$6*(1-MIN(100,IF(D47="",50,N(D47)))/100)+IFERROR(INDEX(Settings!$B$10:$B$14,MATCH(O47,Settings!$A$10:$A$14,0)),0),0))</f>
        <v/>
      </c>
      <c r="Q47">
        <f>IF(OR(A47="",G47=""),"",COUNTIFS($M$3:$M$1002,M47,$G$3:$G$1002,"&lt;&gt;"&amp;SUBSTITUTE(SUBSTITUTE(G47,"?","~?"),"*","~*"),$G$3:$G$1002,"?*"))</f>
        <v/>
      </c>
      <c r="R47">
        <f>IF(Q47="","",IF(Q47&gt;0,"Yes","No"))</f>
        <v/>
      </c>
      <c r="S47">
        <f>IF(G47="","",COUNTIFS($G$3:$G$1002,SUBSTITUTE(SUBSTITUTE(G47,"?","~?"),"*","~*"),$J$3:$J$1002,"Primary"))</f>
        <v/>
      </c>
      <c r="T47">
        <f>IF(S47="","",IF(S47&gt;Settings!$B$4,"Yes","No"))</f>
        <v/>
      </c>
      <c r="U47">
        <f>IF(OR(G47="",B47=""),"",IF(COUNTIFS($G$3:$G$1002,SUBSTITUTE(SUBSTITUTE(G47,"?","~?"),"*","~*"),$B$3:$B$1002,"&lt;&gt;"&amp;SUBSTITUTE(SUBSTITUTE(B47,"?","~?"),"*","~*"),$B$3:$B$1002,"?*")&gt;0,"Yes","No"))</f>
        <v/>
      </c>
      <c r="V47">
        <f>IF(OR(G47="",I47="",O47="",O47="Unclassified"),"",IFERROR(INDEX(Settings!$E$5:$H$16,MATCH(I47,Settings!$D$5:$D$16,0),MATCH(O47,Settings!$E$4:$H$4,0)),"Check"))</f>
        <v/>
      </c>
      <c r="W47">
        <f>IF(V47="","",IF(V47="No","Yes","No"))</f>
        <v/>
      </c>
      <c r="X47">
        <f>IF(OR(E47="",G47=""),"",IF(LOWER(IF(RIGHT(TRIM(E47),1)="/",LEFT(TRIM(E47),LEN(TRIM(E47))-1),TRIM(E47)))&lt;&gt;LOWER(IF(RIGHT(TRIM(G47),1)="/",LEFT(TRIM(G47),LEN(TRIM(G47))-1),TRIM(G47))),"Yes","No"))</f>
        <v/>
      </c>
      <c r="Y47">
        <f>IF(A47="","",(N(Q47)&gt;0)+(T47="Yes")+(U47="Yes")+(W47="Yes")+(X47="Yes"))</f>
        <v/>
      </c>
      <c r="Z47">
        <f>IF(A47="","",IF(G47="","Not mapped",IF(Y47=0,"OK",MID(IF(N(Q47)&gt;0,"; Cannibalisation","")&amp;IF(T47="Yes","; Too many primary keywords on URL","")&amp;IF(U47="Yes","; URL spans 2+ clusters","")&amp;IF(W47="Yes","; Intent mismatch","")&amp;IF(X47="Yes","; Ranking URL is not the target",""),3,300))))</f>
        <v/>
      </c>
      <c r="AA47">
        <f>IF(G47="","",IF(COUNTIF($G$3:G47,SUBSTITUTE(SUBSTITUTE(G47,"?","~?"),"*","~*"))=1,MAX($AA$2:AA46)+1,""))</f>
        <v/>
      </c>
      <c r="AB47">
        <f>IF(B47="","",IF(COUNTIF($B$3:B47,SUBSTITUTE(SUBSTITUTE(B47,"?","~?"),"*","~*"))=1,MAX($AB$2:AB46)+1,""))</f>
        <v/>
      </c>
    </row>
    <row r="48">
      <c r="M48">
        <f>IF(A48="","",LOWER(TRIM(SUBSTITUTE(SUBSTITUTE(A48,"?",""),"*",""))))</f>
        <v/>
      </c>
      <c r="N48">
        <f>IF(M48="","",IF(SUMPRODUCT(ISNUMBER(SEARCH(" "&amp;Settings!$L$5:$L$124&amp;" "," "&amp;M48&amp;" "))*(Settings!$K$5:$K$124="Navigational")*(Settings!$L$5:$L$124&lt;&gt;""))&gt;0,"Navigational",IF(SUMPRODUCT(ISNUMBER(SEARCH(" "&amp;Settings!$L$5:$L$124&amp;" "," "&amp;M48&amp;" "))*(Settings!$K$5:$K$124="Transactional")*(Settings!$L$5:$L$124&lt;&gt;""))&gt;0,"Transactional",IF(SUMPRODUCT(ISNUMBER(SEARCH(" "&amp;Settings!$L$5:$L$124&amp;" "," "&amp;M48&amp;" "))*(Settings!$K$5:$K$124="Commercial")*(Settings!$L$5:$L$124&lt;&gt;""))&gt;0,"Commercial",IF(SUMPRODUCT(ISNUMBER(SEARCH(" "&amp;Settings!$L$5:$L$124&amp;" "," "&amp;M48&amp;" "))*(Settings!$K$5:$K$124="Informational")*(Settings!$L$5:$L$124&lt;&gt;""))&gt;0,"Informational","Unclassified")))))</f>
        <v/>
      </c>
      <c r="O48">
        <f>IF(A48="","",IF(K48&lt;&gt;"",PROPER(K48),N48))</f>
        <v/>
      </c>
      <c r="P48">
        <f>IF(A48="","",ROUND(Settings!$B$5*MIN(1,LOG10(N(C48)+1)/LOG10(Settings!$B$7+1))+Settings!$B$6*(1-MIN(100,IF(D48="",50,N(D48)))/100)+IFERROR(INDEX(Settings!$B$10:$B$14,MATCH(O48,Settings!$A$10:$A$14,0)),0),0))</f>
        <v/>
      </c>
      <c r="Q48">
        <f>IF(OR(A48="",G48=""),"",COUNTIFS($M$3:$M$1002,M48,$G$3:$G$1002,"&lt;&gt;"&amp;SUBSTITUTE(SUBSTITUTE(G48,"?","~?"),"*","~*"),$G$3:$G$1002,"?*"))</f>
        <v/>
      </c>
      <c r="R48">
        <f>IF(Q48="","",IF(Q48&gt;0,"Yes","No"))</f>
        <v/>
      </c>
      <c r="S48">
        <f>IF(G48="","",COUNTIFS($G$3:$G$1002,SUBSTITUTE(SUBSTITUTE(G48,"?","~?"),"*","~*"),$J$3:$J$1002,"Primary"))</f>
        <v/>
      </c>
      <c r="T48">
        <f>IF(S48="","",IF(S48&gt;Settings!$B$4,"Yes","No"))</f>
        <v/>
      </c>
      <c r="U48">
        <f>IF(OR(G48="",B48=""),"",IF(COUNTIFS($G$3:$G$1002,SUBSTITUTE(SUBSTITUTE(G48,"?","~?"),"*","~*"),$B$3:$B$1002,"&lt;&gt;"&amp;SUBSTITUTE(SUBSTITUTE(B48,"?","~?"),"*","~*"),$B$3:$B$1002,"?*")&gt;0,"Yes","No"))</f>
        <v/>
      </c>
      <c r="V48">
        <f>IF(OR(G48="",I48="",O48="",O48="Unclassified"),"",IFERROR(INDEX(Settings!$E$5:$H$16,MATCH(I48,Settings!$D$5:$D$16,0),MATCH(O48,Settings!$E$4:$H$4,0)),"Check"))</f>
        <v/>
      </c>
      <c r="W48">
        <f>IF(V48="","",IF(V48="No","Yes","No"))</f>
        <v/>
      </c>
      <c r="X48">
        <f>IF(OR(E48="",G48=""),"",IF(LOWER(IF(RIGHT(TRIM(E48),1)="/",LEFT(TRIM(E48),LEN(TRIM(E48))-1),TRIM(E48)))&lt;&gt;LOWER(IF(RIGHT(TRIM(G48),1)="/",LEFT(TRIM(G48),LEN(TRIM(G48))-1),TRIM(G48))),"Yes","No"))</f>
        <v/>
      </c>
      <c r="Y48">
        <f>IF(A48="","",(N(Q48)&gt;0)+(T48="Yes")+(U48="Yes")+(W48="Yes")+(X48="Yes"))</f>
        <v/>
      </c>
      <c r="Z48">
        <f>IF(A48="","",IF(G48="","Not mapped",IF(Y48=0,"OK",MID(IF(N(Q48)&gt;0,"; Cannibalisation","")&amp;IF(T48="Yes","; Too many primary keywords on URL","")&amp;IF(U48="Yes","; URL spans 2+ clusters","")&amp;IF(W48="Yes","; Intent mismatch","")&amp;IF(X48="Yes","; Ranking URL is not the target",""),3,300))))</f>
        <v/>
      </c>
      <c r="AA48">
        <f>IF(G48="","",IF(COUNTIF($G$3:G48,SUBSTITUTE(SUBSTITUTE(G48,"?","~?"),"*","~*"))=1,MAX($AA$2:AA47)+1,""))</f>
        <v/>
      </c>
      <c r="AB48">
        <f>IF(B48="","",IF(COUNTIF($B$3:B48,SUBSTITUTE(SUBSTITUTE(B48,"?","~?"),"*","~*"))=1,MAX($AB$2:AB47)+1,""))</f>
        <v/>
      </c>
    </row>
    <row r="49">
      <c r="M49">
        <f>IF(A49="","",LOWER(TRIM(SUBSTITUTE(SUBSTITUTE(A49,"?",""),"*",""))))</f>
        <v/>
      </c>
      <c r="N49">
        <f>IF(M49="","",IF(SUMPRODUCT(ISNUMBER(SEARCH(" "&amp;Settings!$L$5:$L$124&amp;" "," "&amp;M49&amp;" "))*(Settings!$K$5:$K$124="Navigational")*(Settings!$L$5:$L$124&lt;&gt;""))&gt;0,"Navigational",IF(SUMPRODUCT(ISNUMBER(SEARCH(" "&amp;Settings!$L$5:$L$124&amp;" "," "&amp;M49&amp;" "))*(Settings!$K$5:$K$124="Transactional")*(Settings!$L$5:$L$124&lt;&gt;""))&gt;0,"Transactional",IF(SUMPRODUCT(ISNUMBER(SEARCH(" "&amp;Settings!$L$5:$L$124&amp;" "," "&amp;M49&amp;" "))*(Settings!$K$5:$K$124="Commercial")*(Settings!$L$5:$L$124&lt;&gt;""))&gt;0,"Commercial",IF(SUMPRODUCT(ISNUMBER(SEARCH(" "&amp;Settings!$L$5:$L$124&amp;" "," "&amp;M49&amp;" "))*(Settings!$K$5:$K$124="Informational")*(Settings!$L$5:$L$124&lt;&gt;""))&gt;0,"Informational","Unclassified")))))</f>
        <v/>
      </c>
      <c r="O49">
        <f>IF(A49="","",IF(K49&lt;&gt;"",PROPER(K49),N49))</f>
        <v/>
      </c>
      <c r="P49">
        <f>IF(A49="","",ROUND(Settings!$B$5*MIN(1,LOG10(N(C49)+1)/LOG10(Settings!$B$7+1))+Settings!$B$6*(1-MIN(100,IF(D49="",50,N(D49)))/100)+IFERROR(INDEX(Settings!$B$10:$B$14,MATCH(O49,Settings!$A$10:$A$14,0)),0),0))</f>
        <v/>
      </c>
      <c r="Q49">
        <f>IF(OR(A49="",G49=""),"",COUNTIFS($M$3:$M$1002,M49,$G$3:$G$1002,"&lt;&gt;"&amp;SUBSTITUTE(SUBSTITUTE(G49,"?","~?"),"*","~*"),$G$3:$G$1002,"?*"))</f>
        <v/>
      </c>
      <c r="R49">
        <f>IF(Q49="","",IF(Q49&gt;0,"Yes","No"))</f>
        <v/>
      </c>
      <c r="S49">
        <f>IF(G49="","",COUNTIFS($G$3:$G$1002,SUBSTITUTE(SUBSTITUTE(G49,"?","~?"),"*","~*"),$J$3:$J$1002,"Primary"))</f>
        <v/>
      </c>
      <c r="T49">
        <f>IF(S49="","",IF(S49&gt;Settings!$B$4,"Yes","No"))</f>
        <v/>
      </c>
      <c r="U49">
        <f>IF(OR(G49="",B49=""),"",IF(COUNTIFS($G$3:$G$1002,SUBSTITUTE(SUBSTITUTE(G49,"?","~?"),"*","~*"),$B$3:$B$1002,"&lt;&gt;"&amp;SUBSTITUTE(SUBSTITUTE(B49,"?","~?"),"*","~*"),$B$3:$B$1002,"?*")&gt;0,"Yes","No"))</f>
        <v/>
      </c>
      <c r="V49">
        <f>IF(OR(G49="",I49="",O49="",O49="Unclassified"),"",IFERROR(INDEX(Settings!$E$5:$H$16,MATCH(I49,Settings!$D$5:$D$16,0),MATCH(O49,Settings!$E$4:$H$4,0)),"Check"))</f>
        <v/>
      </c>
      <c r="W49">
        <f>IF(V49="","",IF(V49="No","Yes","No"))</f>
        <v/>
      </c>
      <c r="X49">
        <f>IF(OR(E49="",G49=""),"",IF(LOWER(IF(RIGHT(TRIM(E49),1)="/",LEFT(TRIM(E49),LEN(TRIM(E49))-1),TRIM(E49)))&lt;&gt;LOWER(IF(RIGHT(TRIM(G49),1)="/",LEFT(TRIM(G49),LEN(TRIM(G49))-1),TRIM(G49))),"Yes","No"))</f>
        <v/>
      </c>
      <c r="Y49">
        <f>IF(A49="","",(N(Q49)&gt;0)+(T49="Yes")+(U49="Yes")+(W49="Yes")+(X49="Yes"))</f>
        <v/>
      </c>
      <c r="Z49">
        <f>IF(A49="","",IF(G49="","Not mapped",IF(Y49=0,"OK",MID(IF(N(Q49)&gt;0,"; Cannibalisation","")&amp;IF(T49="Yes","; Too many primary keywords on URL","")&amp;IF(U49="Yes","; URL spans 2+ clusters","")&amp;IF(W49="Yes","; Intent mismatch","")&amp;IF(X49="Yes","; Ranking URL is not the target",""),3,300))))</f>
        <v/>
      </c>
      <c r="AA49">
        <f>IF(G49="","",IF(COUNTIF($G$3:G49,SUBSTITUTE(SUBSTITUTE(G49,"?","~?"),"*","~*"))=1,MAX($AA$2:AA48)+1,""))</f>
        <v/>
      </c>
      <c r="AB49">
        <f>IF(B49="","",IF(COUNTIF($B$3:B49,SUBSTITUTE(SUBSTITUTE(B49,"?","~?"),"*","~*"))=1,MAX($AB$2:AB48)+1,""))</f>
        <v/>
      </c>
    </row>
    <row r="50">
      <c r="M50">
        <f>IF(A50="","",LOWER(TRIM(SUBSTITUTE(SUBSTITUTE(A50,"?",""),"*",""))))</f>
        <v/>
      </c>
      <c r="N50">
        <f>IF(M50="","",IF(SUMPRODUCT(ISNUMBER(SEARCH(" "&amp;Settings!$L$5:$L$124&amp;" "," "&amp;M50&amp;" "))*(Settings!$K$5:$K$124="Navigational")*(Settings!$L$5:$L$124&lt;&gt;""))&gt;0,"Navigational",IF(SUMPRODUCT(ISNUMBER(SEARCH(" "&amp;Settings!$L$5:$L$124&amp;" "," "&amp;M50&amp;" "))*(Settings!$K$5:$K$124="Transactional")*(Settings!$L$5:$L$124&lt;&gt;""))&gt;0,"Transactional",IF(SUMPRODUCT(ISNUMBER(SEARCH(" "&amp;Settings!$L$5:$L$124&amp;" "," "&amp;M50&amp;" "))*(Settings!$K$5:$K$124="Commercial")*(Settings!$L$5:$L$124&lt;&gt;""))&gt;0,"Commercial",IF(SUMPRODUCT(ISNUMBER(SEARCH(" "&amp;Settings!$L$5:$L$124&amp;" "," "&amp;M50&amp;" "))*(Settings!$K$5:$K$124="Informational")*(Settings!$L$5:$L$124&lt;&gt;""))&gt;0,"Informational","Unclassified")))))</f>
        <v/>
      </c>
      <c r="O50">
        <f>IF(A50="","",IF(K50&lt;&gt;"",PROPER(K50),N50))</f>
        <v/>
      </c>
      <c r="P50">
        <f>IF(A50="","",ROUND(Settings!$B$5*MIN(1,LOG10(N(C50)+1)/LOG10(Settings!$B$7+1))+Settings!$B$6*(1-MIN(100,IF(D50="",50,N(D50)))/100)+IFERROR(INDEX(Settings!$B$10:$B$14,MATCH(O50,Settings!$A$10:$A$14,0)),0),0))</f>
        <v/>
      </c>
      <c r="Q50">
        <f>IF(OR(A50="",G50=""),"",COUNTIFS($M$3:$M$1002,M50,$G$3:$G$1002,"&lt;&gt;"&amp;SUBSTITUTE(SUBSTITUTE(G50,"?","~?"),"*","~*"),$G$3:$G$1002,"?*"))</f>
        <v/>
      </c>
      <c r="R50">
        <f>IF(Q50="","",IF(Q50&gt;0,"Yes","No"))</f>
        <v/>
      </c>
      <c r="S50">
        <f>IF(G50="","",COUNTIFS($G$3:$G$1002,SUBSTITUTE(SUBSTITUTE(G50,"?","~?"),"*","~*"),$J$3:$J$1002,"Primary"))</f>
        <v/>
      </c>
      <c r="T50">
        <f>IF(S50="","",IF(S50&gt;Settings!$B$4,"Yes","No"))</f>
        <v/>
      </c>
      <c r="U50">
        <f>IF(OR(G50="",B50=""),"",IF(COUNTIFS($G$3:$G$1002,SUBSTITUTE(SUBSTITUTE(G50,"?","~?"),"*","~*"),$B$3:$B$1002,"&lt;&gt;"&amp;SUBSTITUTE(SUBSTITUTE(B50,"?","~?"),"*","~*"),$B$3:$B$1002,"?*")&gt;0,"Yes","No"))</f>
        <v/>
      </c>
      <c r="V50">
        <f>IF(OR(G50="",I50="",O50="",O50="Unclassified"),"",IFERROR(INDEX(Settings!$E$5:$H$16,MATCH(I50,Settings!$D$5:$D$16,0),MATCH(O50,Settings!$E$4:$H$4,0)),"Check"))</f>
        <v/>
      </c>
      <c r="W50">
        <f>IF(V50="","",IF(V50="No","Yes","No"))</f>
        <v/>
      </c>
      <c r="X50">
        <f>IF(OR(E50="",G50=""),"",IF(LOWER(IF(RIGHT(TRIM(E50),1)="/",LEFT(TRIM(E50),LEN(TRIM(E50))-1),TRIM(E50)))&lt;&gt;LOWER(IF(RIGHT(TRIM(G50),1)="/",LEFT(TRIM(G50),LEN(TRIM(G50))-1),TRIM(G50))),"Yes","No"))</f>
        <v/>
      </c>
      <c r="Y50">
        <f>IF(A50="","",(N(Q50)&gt;0)+(T50="Yes")+(U50="Yes")+(W50="Yes")+(X50="Yes"))</f>
        <v/>
      </c>
      <c r="Z50">
        <f>IF(A50="","",IF(G50="","Not mapped",IF(Y50=0,"OK",MID(IF(N(Q50)&gt;0,"; Cannibalisation","")&amp;IF(T50="Yes","; Too many primary keywords on URL","")&amp;IF(U50="Yes","; URL spans 2+ clusters","")&amp;IF(W50="Yes","; Intent mismatch","")&amp;IF(X50="Yes","; Ranking URL is not the target",""),3,300))))</f>
        <v/>
      </c>
      <c r="AA50">
        <f>IF(G50="","",IF(COUNTIF($G$3:G50,SUBSTITUTE(SUBSTITUTE(G50,"?","~?"),"*","~*"))=1,MAX($AA$2:AA49)+1,""))</f>
        <v/>
      </c>
      <c r="AB50">
        <f>IF(B50="","",IF(COUNTIF($B$3:B50,SUBSTITUTE(SUBSTITUTE(B50,"?","~?"),"*","~*"))=1,MAX($AB$2:AB49)+1,""))</f>
        <v/>
      </c>
    </row>
    <row r="51">
      <c r="M51">
        <f>IF(A51="","",LOWER(TRIM(SUBSTITUTE(SUBSTITUTE(A51,"?",""),"*",""))))</f>
        <v/>
      </c>
      <c r="N51">
        <f>IF(M51="","",IF(SUMPRODUCT(ISNUMBER(SEARCH(" "&amp;Settings!$L$5:$L$124&amp;" "," "&amp;M51&amp;" "))*(Settings!$K$5:$K$124="Navigational")*(Settings!$L$5:$L$124&lt;&gt;""))&gt;0,"Navigational",IF(SUMPRODUCT(ISNUMBER(SEARCH(" "&amp;Settings!$L$5:$L$124&amp;" "," "&amp;M51&amp;" "))*(Settings!$K$5:$K$124="Transactional")*(Settings!$L$5:$L$124&lt;&gt;""))&gt;0,"Transactional",IF(SUMPRODUCT(ISNUMBER(SEARCH(" "&amp;Settings!$L$5:$L$124&amp;" "," "&amp;M51&amp;" "))*(Settings!$K$5:$K$124="Commercial")*(Settings!$L$5:$L$124&lt;&gt;""))&gt;0,"Commercial",IF(SUMPRODUCT(ISNUMBER(SEARCH(" "&amp;Settings!$L$5:$L$124&amp;" "," "&amp;M51&amp;" "))*(Settings!$K$5:$K$124="Informational")*(Settings!$L$5:$L$124&lt;&gt;""))&gt;0,"Informational","Unclassified")))))</f>
        <v/>
      </c>
      <c r="O51">
        <f>IF(A51="","",IF(K51&lt;&gt;"",PROPER(K51),N51))</f>
        <v/>
      </c>
      <c r="P51">
        <f>IF(A51="","",ROUND(Settings!$B$5*MIN(1,LOG10(N(C51)+1)/LOG10(Settings!$B$7+1))+Settings!$B$6*(1-MIN(100,IF(D51="",50,N(D51)))/100)+IFERROR(INDEX(Settings!$B$10:$B$14,MATCH(O51,Settings!$A$10:$A$14,0)),0),0))</f>
        <v/>
      </c>
      <c r="Q51">
        <f>IF(OR(A51="",G51=""),"",COUNTIFS($M$3:$M$1002,M51,$G$3:$G$1002,"&lt;&gt;"&amp;SUBSTITUTE(SUBSTITUTE(G51,"?","~?"),"*","~*"),$G$3:$G$1002,"?*"))</f>
        <v/>
      </c>
      <c r="R51">
        <f>IF(Q51="","",IF(Q51&gt;0,"Yes","No"))</f>
        <v/>
      </c>
      <c r="S51">
        <f>IF(G51="","",COUNTIFS($G$3:$G$1002,SUBSTITUTE(SUBSTITUTE(G51,"?","~?"),"*","~*"),$J$3:$J$1002,"Primary"))</f>
        <v/>
      </c>
      <c r="T51">
        <f>IF(S51="","",IF(S51&gt;Settings!$B$4,"Yes","No"))</f>
        <v/>
      </c>
      <c r="U51">
        <f>IF(OR(G51="",B51=""),"",IF(COUNTIFS($G$3:$G$1002,SUBSTITUTE(SUBSTITUTE(G51,"?","~?"),"*","~*"),$B$3:$B$1002,"&lt;&gt;"&amp;SUBSTITUTE(SUBSTITUTE(B51,"?","~?"),"*","~*"),$B$3:$B$1002,"?*")&gt;0,"Yes","No"))</f>
        <v/>
      </c>
      <c r="V51">
        <f>IF(OR(G51="",I51="",O51="",O51="Unclassified"),"",IFERROR(INDEX(Settings!$E$5:$H$16,MATCH(I51,Settings!$D$5:$D$16,0),MATCH(O51,Settings!$E$4:$H$4,0)),"Check"))</f>
        <v/>
      </c>
      <c r="W51">
        <f>IF(V51="","",IF(V51="No","Yes","No"))</f>
        <v/>
      </c>
      <c r="X51">
        <f>IF(OR(E51="",G51=""),"",IF(LOWER(IF(RIGHT(TRIM(E51),1)="/",LEFT(TRIM(E51),LEN(TRIM(E51))-1),TRIM(E51)))&lt;&gt;LOWER(IF(RIGHT(TRIM(G51),1)="/",LEFT(TRIM(G51),LEN(TRIM(G51))-1),TRIM(G51))),"Yes","No"))</f>
        <v/>
      </c>
      <c r="Y51">
        <f>IF(A51="","",(N(Q51)&gt;0)+(T51="Yes")+(U51="Yes")+(W51="Yes")+(X51="Yes"))</f>
        <v/>
      </c>
      <c r="Z51">
        <f>IF(A51="","",IF(G51="","Not mapped",IF(Y51=0,"OK",MID(IF(N(Q51)&gt;0,"; Cannibalisation","")&amp;IF(T51="Yes","; Too many primary keywords on URL","")&amp;IF(U51="Yes","; URL spans 2+ clusters","")&amp;IF(W51="Yes","; Intent mismatch","")&amp;IF(X51="Yes","; Ranking URL is not the target",""),3,300))))</f>
        <v/>
      </c>
      <c r="AA51">
        <f>IF(G51="","",IF(COUNTIF($G$3:G51,SUBSTITUTE(SUBSTITUTE(G51,"?","~?"),"*","~*"))=1,MAX($AA$2:AA50)+1,""))</f>
        <v/>
      </c>
      <c r="AB51">
        <f>IF(B51="","",IF(COUNTIF($B$3:B51,SUBSTITUTE(SUBSTITUTE(B51,"?","~?"),"*","~*"))=1,MAX($AB$2:AB50)+1,""))</f>
        <v/>
      </c>
    </row>
    <row r="52">
      <c r="M52">
        <f>IF(A52="","",LOWER(TRIM(SUBSTITUTE(SUBSTITUTE(A52,"?",""),"*",""))))</f>
        <v/>
      </c>
      <c r="N52">
        <f>IF(M52="","",IF(SUMPRODUCT(ISNUMBER(SEARCH(" "&amp;Settings!$L$5:$L$124&amp;" "," "&amp;M52&amp;" "))*(Settings!$K$5:$K$124="Navigational")*(Settings!$L$5:$L$124&lt;&gt;""))&gt;0,"Navigational",IF(SUMPRODUCT(ISNUMBER(SEARCH(" "&amp;Settings!$L$5:$L$124&amp;" "," "&amp;M52&amp;" "))*(Settings!$K$5:$K$124="Transactional")*(Settings!$L$5:$L$124&lt;&gt;""))&gt;0,"Transactional",IF(SUMPRODUCT(ISNUMBER(SEARCH(" "&amp;Settings!$L$5:$L$124&amp;" "," "&amp;M52&amp;" "))*(Settings!$K$5:$K$124="Commercial")*(Settings!$L$5:$L$124&lt;&gt;""))&gt;0,"Commercial",IF(SUMPRODUCT(ISNUMBER(SEARCH(" "&amp;Settings!$L$5:$L$124&amp;" "," "&amp;M52&amp;" "))*(Settings!$K$5:$K$124="Informational")*(Settings!$L$5:$L$124&lt;&gt;""))&gt;0,"Informational","Unclassified")))))</f>
        <v/>
      </c>
      <c r="O52">
        <f>IF(A52="","",IF(K52&lt;&gt;"",PROPER(K52),N52))</f>
        <v/>
      </c>
      <c r="P52">
        <f>IF(A52="","",ROUND(Settings!$B$5*MIN(1,LOG10(N(C52)+1)/LOG10(Settings!$B$7+1))+Settings!$B$6*(1-MIN(100,IF(D52="",50,N(D52)))/100)+IFERROR(INDEX(Settings!$B$10:$B$14,MATCH(O52,Settings!$A$10:$A$14,0)),0),0))</f>
        <v/>
      </c>
      <c r="Q52">
        <f>IF(OR(A52="",G52=""),"",COUNTIFS($M$3:$M$1002,M52,$G$3:$G$1002,"&lt;&gt;"&amp;SUBSTITUTE(SUBSTITUTE(G52,"?","~?"),"*","~*"),$G$3:$G$1002,"?*"))</f>
        <v/>
      </c>
      <c r="R52">
        <f>IF(Q52="","",IF(Q52&gt;0,"Yes","No"))</f>
        <v/>
      </c>
      <c r="S52">
        <f>IF(G52="","",COUNTIFS($G$3:$G$1002,SUBSTITUTE(SUBSTITUTE(G52,"?","~?"),"*","~*"),$J$3:$J$1002,"Primary"))</f>
        <v/>
      </c>
      <c r="T52">
        <f>IF(S52="","",IF(S52&gt;Settings!$B$4,"Yes","No"))</f>
        <v/>
      </c>
      <c r="U52">
        <f>IF(OR(G52="",B52=""),"",IF(COUNTIFS($G$3:$G$1002,SUBSTITUTE(SUBSTITUTE(G52,"?","~?"),"*","~*"),$B$3:$B$1002,"&lt;&gt;"&amp;SUBSTITUTE(SUBSTITUTE(B52,"?","~?"),"*","~*"),$B$3:$B$1002,"?*")&gt;0,"Yes","No"))</f>
        <v/>
      </c>
      <c r="V52">
        <f>IF(OR(G52="",I52="",O52="",O52="Unclassified"),"",IFERROR(INDEX(Settings!$E$5:$H$16,MATCH(I52,Settings!$D$5:$D$16,0),MATCH(O52,Settings!$E$4:$H$4,0)),"Check"))</f>
        <v/>
      </c>
      <c r="W52">
        <f>IF(V52="","",IF(V52="No","Yes","No"))</f>
        <v/>
      </c>
      <c r="X52">
        <f>IF(OR(E52="",G52=""),"",IF(LOWER(IF(RIGHT(TRIM(E52),1)="/",LEFT(TRIM(E52),LEN(TRIM(E52))-1),TRIM(E52)))&lt;&gt;LOWER(IF(RIGHT(TRIM(G52),1)="/",LEFT(TRIM(G52),LEN(TRIM(G52))-1),TRIM(G52))),"Yes","No"))</f>
        <v/>
      </c>
      <c r="Y52">
        <f>IF(A52="","",(N(Q52)&gt;0)+(T52="Yes")+(U52="Yes")+(W52="Yes")+(X52="Yes"))</f>
        <v/>
      </c>
      <c r="Z52">
        <f>IF(A52="","",IF(G52="","Not mapped",IF(Y52=0,"OK",MID(IF(N(Q52)&gt;0,"; Cannibalisation","")&amp;IF(T52="Yes","; Too many primary keywords on URL","")&amp;IF(U52="Yes","; URL spans 2+ clusters","")&amp;IF(W52="Yes","; Intent mismatch","")&amp;IF(X52="Yes","; Ranking URL is not the target",""),3,300))))</f>
        <v/>
      </c>
      <c r="AA52">
        <f>IF(G52="","",IF(COUNTIF($G$3:G52,SUBSTITUTE(SUBSTITUTE(G52,"?","~?"),"*","~*"))=1,MAX($AA$2:AA51)+1,""))</f>
        <v/>
      </c>
      <c r="AB52">
        <f>IF(B52="","",IF(COUNTIF($B$3:B52,SUBSTITUTE(SUBSTITUTE(B52,"?","~?"),"*","~*"))=1,MAX($AB$2:AB51)+1,""))</f>
        <v/>
      </c>
    </row>
    <row r="53">
      <c r="M53">
        <f>IF(A53="","",LOWER(TRIM(SUBSTITUTE(SUBSTITUTE(A53,"?",""),"*",""))))</f>
        <v/>
      </c>
      <c r="N53">
        <f>IF(M53="","",IF(SUMPRODUCT(ISNUMBER(SEARCH(" "&amp;Settings!$L$5:$L$124&amp;" "," "&amp;M53&amp;" "))*(Settings!$K$5:$K$124="Navigational")*(Settings!$L$5:$L$124&lt;&gt;""))&gt;0,"Navigational",IF(SUMPRODUCT(ISNUMBER(SEARCH(" "&amp;Settings!$L$5:$L$124&amp;" "," "&amp;M53&amp;" "))*(Settings!$K$5:$K$124="Transactional")*(Settings!$L$5:$L$124&lt;&gt;""))&gt;0,"Transactional",IF(SUMPRODUCT(ISNUMBER(SEARCH(" "&amp;Settings!$L$5:$L$124&amp;" "," "&amp;M53&amp;" "))*(Settings!$K$5:$K$124="Commercial")*(Settings!$L$5:$L$124&lt;&gt;""))&gt;0,"Commercial",IF(SUMPRODUCT(ISNUMBER(SEARCH(" "&amp;Settings!$L$5:$L$124&amp;" "," "&amp;M53&amp;" "))*(Settings!$K$5:$K$124="Informational")*(Settings!$L$5:$L$124&lt;&gt;""))&gt;0,"Informational","Unclassified")))))</f>
        <v/>
      </c>
      <c r="O53">
        <f>IF(A53="","",IF(K53&lt;&gt;"",PROPER(K53),N53))</f>
        <v/>
      </c>
      <c r="P53">
        <f>IF(A53="","",ROUND(Settings!$B$5*MIN(1,LOG10(N(C53)+1)/LOG10(Settings!$B$7+1))+Settings!$B$6*(1-MIN(100,IF(D53="",50,N(D53)))/100)+IFERROR(INDEX(Settings!$B$10:$B$14,MATCH(O53,Settings!$A$10:$A$14,0)),0),0))</f>
        <v/>
      </c>
      <c r="Q53">
        <f>IF(OR(A53="",G53=""),"",COUNTIFS($M$3:$M$1002,M53,$G$3:$G$1002,"&lt;&gt;"&amp;SUBSTITUTE(SUBSTITUTE(G53,"?","~?"),"*","~*"),$G$3:$G$1002,"?*"))</f>
        <v/>
      </c>
      <c r="R53">
        <f>IF(Q53="","",IF(Q53&gt;0,"Yes","No"))</f>
        <v/>
      </c>
      <c r="S53">
        <f>IF(G53="","",COUNTIFS($G$3:$G$1002,SUBSTITUTE(SUBSTITUTE(G53,"?","~?"),"*","~*"),$J$3:$J$1002,"Primary"))</f>
        <v/>
      </c>
      <c r="T53">
        <f>IF(S53="","",IF(S53&gt;Settings!$B$4,"Yes","No"))</f>
        <v/>
      </c>
      <c r="U53">
        <f>IF(OR(G53="",B53=""),"",IF(COUNTIFS($G$3:$G$1002,SUBSTITUTE(SUBSTITUTE(G53,"?","~?"),"*","~*"),$B$3:$B$1002,"&lt;&gt;"&amp;SUBSTITUTE(SUBSTITUTE(B53,"?","~?"),"*","~*"),$B$3:$B$1002,"?*")&gt;0,"Yes","No"))</f>
        <v/>
      </c>
      <c r="V53">
        <f>IF(OR(G53="",I53="",O53="",O53="Unclassified"),"",IFERROR(INDEX(Settings!$E$5:$H$16,MATCH(I53,Settings!$D$5:$D$16,0),MATCH(O53,Settings!$E$4:$H$4,0)),"Check"))</f>
        <v/>
      </c>
      <c r="W53">
        <f>IF(V53="","",IF(V53="No","Yes","No"))</f>
        <v/>
      </c>
      <c r="X53">
        <f>IF(OR(E53="",G53=""),"",IF(LOWER(IF(RIGHT(TRIM(E53),1)="/",LEFT(TRIM(E53),LEN(TRIM(E53))-1),TRIM(E53)))&lt;&gt;LOWER(IF(RIGHT(TRIM(G53),1)="/",LEFT(TRIM(G53),LEN(TRIM(G53))-1),TRIM(G53))),"Yes","No"))</f>
        <v/>
      </c>
      <c r="Y53">
        <f>IF(A53="","",(N(Q53)&gt;0)+(T53="Yes")+(U53="Yes")+(W53="Yes")+(X53="Yes"))</f>
        <v/>
      </c>
      <c r="Z53">
        <f>IF(A53="","",IF(G53="","Not mapped",IF(Y53=0,"OK",MID(IF(N(Q53)&gt;0,"; Cannibalisation","")&amp;IF(T53="Yes","; Too many primary keywords on URL","")&amp;IF(U53="Yes","; URL spans 2+ clusters","")&amp;IF(W53="Yes","; Intent mismatch","")&amp;IF(X53="Yes","; Ranking URL is not the target",""),3,300))))</f>
        <v/>
      </c>
      <c r="AA53">
        <f>IF(G53="","",IF(COUNTIF($G$3:G53,SUBSTITUTE(SUBSTITUTE(G53,"?","~?"),"*","~*"))=1,MAX($AA$2:AA52)+1,""))</f>
        <v/>
      </c>
      <c r="AB53">
        <f>IF(B53="","",IF(COUNTIF($B$3:B53,SUBSTITUTE(SUBSTITUTE(B53,"?","~?"),"*","~*"))=1,MAX($AB$2:AB52)+1,""))</f>
        <v/>
      </c>
    </row>
    <row r="54">
      <c r="M54">
        <f>IF(A54="","",LOWER(TRIM(SUBSTITUTE(SUBSTITUTE(A54,"?",""),"*",""))))</f>
        <v/>
      </c>
      <c r="N54">
        <f>IF(M54="","",IF(SUMPRODUCT(ISNUMBER(SEARCH(" "&amp;Settings!$L$5:$L$124&amp;" "," "&amp;M54&amp;" "))*(Settings!$K$5:$K$124="Navigational")*(Settings!$L$5:$L$124&lt;&gt;""))&gt;0,"Navigational",IF(SUMPRODUCT(ISNUMBER(SEARCH(" "&amp;Settings!$L$5:$L$124&amp;" "," "&amp;M54&amp;" "))*(Settings!$K$5:$K$124="Transactional")*(Settings!$L$5:$L$124&lt;&gt;""))&gt;0,"Transactional",IF(SUMPRODUCT(ISNUMBER(SEARCH(" "&amp;Settings!$L$5:$L$124&amp;" "," "&amp;M54&amp;" "))*(Settings!$K$5:$K$124="Commercial")*(Settings!$L$5:$L$124&lt;&gt;""))&gt;0,"Commercial",IF(SUMPRODUCT(ISNUMBER(SEARCH(" "&amp;Settings!$L$5:$L$124&amp;" "," "&amp;M54&amp;" "))*(Settings!$K$5:$K$124="Informational")*(Settings!$L$5:$L$124&lt;&gt;""))&gt;0,"Informational","Unclassified")))))</f>
        <v/>
      </c>
      <c r="O54">
        <f>IF(A54="","",IF(K54&lt;&gt;"",PROPER(K54),N54))</f>
        <v/>
      </c>
      <c r="P54">
        <f>IF(A54="","",ROUND(Settings!$B$5*MIN(1,LOG10(N(C54)+1)/LOG10(Settings!$B$7+1))+Settings!$B$6*(1-MIN(100,IF(D54="",50,N(D54)))/100)+IFERROR(INDEX(Settings!$B$10:$B$14,MATCH(O54,Settings!$A$10:$A$14,0)),0),0))</f>
        <v/>
      </c>
      <c r="Q54">
        <f>IF(OR(A54="",G54=""),"",COUNTIFS($M$3:$M$1002,M54,$G$3:$G$1002,"&lt;&gt;"&amp;SUBSTITUTE(SUBSTITUTE(G54,"?","~?"),"*","~*"),$G$3:$G$1002,"?*"))</f>
        <v/>
      </c>
      <c r="R54">
        <f>IF(Q54="","",IF(Q54&gt;0,"Yes","No"))</f>
        <v/>
      </c>
      <c r="S54">
        <f>IF(G54="","",COUNTIFS($G$3:$G$1002,SUBSTITUTE(SUBSTITUTE(G54,"?","~?"),"*","~*"),$J$3:$J$1002,"Primary"))</f>
        <v/>
      </c>
      <c r="T54">
        <f>IF(S54="","",IF(S54&gt;Settings!$B$4,"Yes","No"))</f>
        <v/>
      </c>
      <c r="U54">
        <f>IF(OR(G54="",B54=""),"",IF(COUNTIFS($G$3:$G$1002,SUBSTITUTE(SUBSTITUTE(G54,"?","~?"),"*","~*"),$B$3:$B$1002,"&lt;&gt;"&amp;SUBSTITUTE(SUBSTITUTE(B54,"?","~?"),"*","~*"),$B$3:$B$1002,"?*")&gt;0,"Yes","No"))</f>
        <v/>
      </c>
      <c r="V54">
        <f>IF(OR(G54="",I54="",O54="",O54="Unclassified"),"",IFERROR(INDEX(Settings!$E$5:$H$16,MATCH(I54,Settings!$D$5:$D$16,0),MATCH(O54,Settings!$E$4:$H$4,0)),"Check"))</f>
        <v/>
      </c>
      <c r="W54">
        <f>IF(V54="","",IF(V54="No","Yes","No"))</f>
        <v/>
      </c>
      <c r="X54">
        <f>IF(OR(E54="",G54=""),"",IF(LOWER(IF(RIGHT(TRIM(E54),1)="/",LEFT(TRIM(E54),LEN(TRIM(E54))-1),TRIM(E54)))&lt;&gt;LOWER(IF(RIGHT(TRIM(G54),1)="/",LEFT(TRIM(G54),LEN(TRIM(G54))-1),TRIM(G54))),"Yes","No"))</f>
        <v/>
      </c>
      <c r="Y54">
        <f>IF(A54="","",(N(Q54)&gt;0)+(T54="Yes")+(U54="Yes")+(W54="Yes")+(X54="Yes"))</f>
        <v/>
      </c>
      <c r="Z54">
        <f>IF(A54="","",IF(G54="","Not mapped",IF(Y54=0,"OK",MID(IF(N(Q54)&gt;0,"; Cannibalisation","")&amp;IF(T54="Yes","; Too many primary keywords on URL","")&amp;IF(U54="Yes","; URL spans 2+ clusters","")&amp;IF(W54="Yes","; Intent mismatch","")&amp;IF(X54="Yes","; Ranking URL is not the target",""),3,300))))</f>
        <v/>
      </c>
      <c r="AA54">
        <f>IF(G54="","",IF(COUNTIF($G$3:G54,SUBSTITUTE(SUBSTITUTE(G54,"?","~?"),"*","~*"))=1,MAX($AA$2:AA53)+1,""))</f>
        <v/>
      </c>
      <c r="AB54">
        <f>IF(B54="","",IF(COUNTIF($B$3:B54,SUBSTITUTE(SUBSTITUTE(B54,"?","~?"),"*","~*"))=1,MAX($AB$2:AB53)+1,""))</f>
        <v/>
      </c>
    </row>
    <row r="55">
      <c r="M55">
        <f>IF(A55="","",LOWER(TRIM(SUBSTITUTE(SUBSTITUTE(A55,"?",""),"*",""))))</f>
        <v/>
      </c>
      <c r="N55">
        <f>IF(M55="","",IF(SUMPRODUCT(ISNUMBER(SEARCH(" "&amp;Settings!$L$5:$L$124&amp;" "," "&amp;M55&amp;" "))*(Settings!$K$5:$K$124="Navigational")*(Settings!$L$5:$L$124&lt;&gt;""))&gt;0,"Navigational",IF(SUMPRODUCT(ISNUMBER(SEARCH(" "&amp;Settings!$L$5:$L$124&amp;" "," "&amp;M55&amp;" "))*(Settings!$K$5:$K$124="Transactional")*(Settings!$L$5:$L$124&lt;&gt;""))&gt;0,"Transactional",IF(SUMPRODUCT(ISNUMBER(SEARCH(" "&amp;Settings!$L$5:$L$124&amp;" "," "&amp;M55&amp;" "))*(Settings!$K$5:$K$124="Commercial")*(Settings!$L$5:$L$124&lt;&gt;""))&gt;0,"Commercial",IF(SUMPRODUCT(ISNUMBER(SEARCH(" "&amp;Settings!$L$5:$L$124&amp;" "," "&amp;M55&amp;" "))*(Settings!$K$5:$K$124="Informational")*(Settings!$L$5:$L$124&lt;&gt;""))&gt;0,"Informational","Unclassified")))))</f>
        <v/>
      </c>
      <c r="O55">
        <f>IF(A55="","",IF(K55&lt;&gt;"",PROPER(K55),N55))</f>
        <v/>
      </c>
      <c r="P55">
        <f>IF(A55="","",ROUND(Settings!$B$5*MIN(1,LOG10(N(C55)+1)/LOG10(Settings!$B$7+1))+Settings!$B$6*(1-MIN(100,IF(D55="",50,N(D55)))/100)+IFERROR(INDEX(Settings!$B$10:$B$14,MATCH(O55,Settings!$A$10:$A$14,0)),0),0))</f>
        <v/>
      </c>
      <c r="Q55">
        <f>IF(OR(A55="",G55=""),"",COUNTIFS($M$3:$M$1002,M55,$G$3:$G$1002,"&lt;&gt;"&amp;SUBSTITUTE(SUBSTITUTE(G55,"?","~?"),"*","~*"),$G$3:$G$1002,"?*"))</f>
        <v/>
      </c>
      <c r="R55">
        <f>IF(Q55="","",IF(Q55&gt;0,"Yes","No"))</f>
        <v/>
      </c>
      <c r="S55">
        <f>IF(G55="","",COUNTIFS($G$3:$G$1002,SUBSTITUTE(SUBSTITUTE(G55,"?","~?"),"*","~*"),$J$3:$J$1002,"Primary"))</f>
        <v/>
      </c>
      <c r="T55">
        <f>IF(S55="","",IF(S55&gt;Settings!$B$4,"Yes","No"))</f>
        <v/>
      </c>
      <c r="U55">
        <f>IF(OR(G55="",B55=""),"",IF(COUNTIFS($G$3:$G$1002,SUBSTITUTE(SUBSTITUTE(G55,"?","~?"),"*","~*"),$B$3:$B$1002,"&lt;&gt;"&amp;SUBSTITUTE(SUBSTITUTE(B55,"?","~?"),"*","~*"),$B$3:$B$1002,"?*")&gt;0,"Yes","No"))</f>
        <v/>
      </c>
      <c r="V55">
        <f>IF(OR(G55="",I55="",O55="",O55="Unclassified"),"",IFERROR(INDEX(Settings!$E$5:$H$16,MATCH(I55,Settings!$D$5:$D$16,0),MATCH(O55,Settings!$E$4:$H$4,0)),"Check"))</f>
        <v/>
      </c>
      <c r="W55">
        <f>IF(V55="","",IF(V55="No","Yes","No"))</f>
        <v/>
      </c>
      <c r="X55">
        <f>IF(OR(E55="",G55=""),"",IF(LOWER(IF(RIGHT(TRIM(E55),1)="/",LEFT(TRIM(E55),LEN(TRIM(E55))-1),TRIM(E55)))&lt;&gt;LOWER(IF(RIGHT(TRIM(G55),1)="/",LEFT(TRIM(G55),LEN(TRIM(G55))-1),TRIM(G55))),"Yes","No"))</f>
        <v/>
      </c>
      <c r="Y55">
        <f>IF(A55="","",(N(Q55)&gt;0)+(T55="Yes")+(U55="Yes")+(W55="Yes")+(X55="Yes"))</f>
        <v/>
      </c>
      <c r="Z55">
        <f>IF(A55="","",IF(G55="","Not mapped",IF(Y55=0,"OK",MID(IF(N(Q55)&gt;0,"; Cannibalisation","")&amp;IF(T55="Yes","; Too many primary keywords on URL","")&amp;IF(U55="Yes","; URL spans 2+ clusters","")&amp;IF(W55="Yes","; Intent mismatch","")&amp;IF(X55="Yes","; Ranking URL is not the target",""),3,300))))</f>
        <v/>
      </c>
      <c r="AA55">
        <f>IF(G55="","",IF(COUNTIF($G$3:G55,SUBSTITUTE(SUBSTITUTE(G55,"?","~?"),"*","~*"))=1,MAX($AA$2:AA54)+1,""))</f>
        <v/>
      </c>
      <c r="AB55">
        <f>IF(B55="","",IF(COUNTIF($B$3:B55,SUBSTITUTE(SUBSTITUTE(B55,"?","~?"),"*","~*"))=1,MAX($AB$2:AB54)+1,""))</f>
        <v/>
      </c>
    </row>
    <row r="56">
      <c r="M56">
        <f>IF(A56="","",LOWER(TRIM(SUBSTITUTE(SUBSTITUTE(A56,"?",""),"*",""))))</f>
        <v/>
      </c>
      <c r="N56">
        <f>IF(M56="","",IF(SUMPRODUCT(ISNUMBER(SEARCH(" "&amp;Settings!$L$5:$L$124&amp;" "," "&amp;M56&amp;" "))*(Settings!$K$5:$K$124="Navigational")*(Settings!$L$5:$L$124&lt;&gt;""))&gt;0,"Navigational",IF(SUMPRODUCT(ISNUMBER(SEARCH(" "&amp;Settings!$L$5:$L$124&amp;" "," "&amp;M56&amp;" "))*(Settings!$K$5:$K$124="Transactional")*(Settings!$L$5:$L$124&lt;&gt;""))&gt;0,"Transactional",IF(SUMPRODUCT(ISNUMBER(SEARCH(" "&amp;Settings!$L$5:$L$124&amp;" "," "&amp;M56&amp;" "))*(Settings!$K$5:$K$124="Commercial")*(Settings!$L$5:$L$124&lt;&gt;""))&gt;0,"Commercial",IF(SUMPRODUCT(ISNUMBER(SEARCH(" "&amp;Settings!$L$5:$L$124&amp;" "," "&amp;M56&amp;" "))*(Settings!$K$5:$K$124="Informational")*(Settings!$L$5:$L$124&lt;&gt;""))&gt;0,"Informational","Unclassified")))))</f>
        <v/>
      </c>
      <c r="O56">
        <f>IF(A56="","",IF(K56&lt;&gt;"",PROPER(K56),N56))</f>
        <v/>
      </c>
      <c r="P56">
        <f>IF(A56="","",ROUND(Settings!$B$5*MIN(1,LOG10(N(C56)+1)/LOG10(Settings!$B$7+1))+Settings!$B$6*(1-MIN(100,IF(D56="",50,N(D56)))/100)+IFERROR(INDEX(Settings!$B$10:$B$14,MATCH(O56,Settings!$A$10:$A$14,0)),0),0))</f>
        <v/>
      </c>
      <c r="Q56">
        <f>IF(OR(A56="",G56=""),"",COUNTIFS($M$3:$M$1002,M56,$G$3:$G$1002,"&lt;&gt;"&amp;SUBSTITUTE(SUBSTITUTE(G56,"?","~?"),"*","~*"),$G$3:$G$1002,"?*"))</f>
        <v/>
      </c>
      <c r="R56">
        <f>IF(Q56="","",IF(Q56&gt;0,"Yes","No"))</f>
        <v/>
      </c>
      <c r="S56">
        <f>IF(G56="","",COUNTIFS($G$3:$G$1002,SUBSTITUTE(SUBSTITUTE(G56,"?","~?"),"*","~*"),$J$3:$J$1002,"Primary"))</f>
        <v/>
      </c>
      <c r="T56">
        <f>IF(S56="","",IF(S56&gt;Settings!$B$4,"Yes","No"))</f>
        <v/>
      </c>
      <c r="U56">
        <f>IF(OR(G56="",B56=""),"",IF(COUNTIFS($G$3:$G$1002,SUBSTITUTE(SUBSTITUTE(G56,"?","~?"),"*","~*"),$B$3:$B$1002,"&lt;&gt;"&amp;SUBSTITUTE(SUBSTITUTE(B56,"?","~?"),"*","~*"),$B$3:$B$1002,"?*")&gt;0,"Yes","No"))</f>
        <v/>
      </c>
      <c r="V56">
        <f>IF(OR(G56="",I56="",O56="",O56="Unclassified"),"",IFERROR(INDEX(Settings!$E$5:$H$16,MATCH(I56,Settings!$D$5:$D$16,0),MATCH(O56,Settings!$E$4:$H$4,0)),"Check"))</f>
        <v/>
      </c>
      <c r="W56">
        <f>IF(V56="","",IF(V56="No","Yes","No"))</f>
        <v/>
      </c>
      <c r="X56">
        <f>IF(OR(E56="",G56=""),"",IF(LOWER(IF(RIGHT(TRIM(E56),1)="/",LEFT(TRIM(E56),LEN(TRIM(E56))-1),TRIM(E56)))&lt;&gt;LOWER(IF(RIGHT(TRIM(G56),1)="/",LEFT(TRIM(G56),LEN(TRIM(G56))-1),TRIM(G56))),"Yes","No"))</f>
        <v/>
      </c>
      <c r="Y56">
        <f>IF(A56="","",(N(Q56)&gt;0)+(T56="Yes")+(U56="Yes")+(W56="Yes")+(X56="Yes"))</f>
        <v/>
      </c>
      <c r="Z56">
        <f>IF(A56="","",IF(G56="","Not mapped",IF(Y56=0,"OK",MID(IF(N(Q56)&gt;0,"; Cannibalisation","")&amp;IF(T56="Yes","; Too many primary keywords on URL","")&amp;IF(U56="Yes","; URL spans 2+ clusters","")&amp;IF(W56="Yes","; Intent mismatch","")&amp;IF(X56="Yes","; Ranking URL is not the target",""),3,300))))</f>
        <v/>
      </c>
      <c r="AA56">
        <f>IF(G56="","",IF(COUNTIF($G$3:G56,SUBSTITUTE(SUBSTITUTE(G56,"?","~?"),"*","~*"))=1,MAX($AA$2:AA55)+1,""))</f>
        <v/>
      </c>
      <c r="AB56">
        <f>IF(B56="","",IF(COUNTIF($B$3:B56,SUBSTITUTE(SUBSTITUTE(B56,"?","~?"),"*","~*"))=1,MAX($AB$2:AB55)+1,""))</f>
        <v/>
      </c>
    </row>
    <row r="57">
      <c r="M57">
        <f>IF(A57="","",LOWER(TRIM(SUBSTITUTE(SUBSTITUTE(A57,"?",""),"*",""))))</f>
        <v/>
      </c>
      <c r="N57">
        <f>IF(M57="","",IF(SUMPRODUCT(ISNUMBER(SEARCH(" "&amp;Settings!$L$5:$L$124&amp;" "," "&amp;M57&amp;" "))*(Settings!$K$5:$K$124="Navigational")*(Settings!$L$5:$L$124&lt;&gt;""))&gt;0,"Navigational",IF(SUMPRODUCT(ISNUMBER(SEARCH(" "&amp;Settings!$L$5:$L$124&amp;" "," "&amp;M57&amp;" "))*(Settings!$K$5:$K$124="Transactional")*(Settings!$L$5:$L$124&lt;&gt;""))&gt;0,"Transactional",IF(SUMPRODUCT(ISNUMBER(SEARCH(" "&amp;Settings!$L$5:$L$124&amp;" "," "&amp;M57&amp;" "))*(Settings!$K$5:$K$124="Commercial")*(Settings!$L$5:$L$124&lt;&gt;""))&gt;0,"Commercial",IF(SUMPRODUCT(ISNUMBER(SEARCH(" "&amp;Settings!$L$5:$L$124&amp;" "," "&amp;M57&amp;" "))*(Settings!$K$5:$K$124="Informational")*(Settings!$L$5:$L$124&lt;&gt;""))&gt;0,"Informational","Unclassified")))))</f>
        <v/>
      </c>
      <c r="O57">
        <f>IF(A57="","",IF(K57&lt;&gt;"",PROPER(K57),N57))</f>
        <v/>
      </c>
      <c r="P57">
        <f>IF(A57="","",ROUND(Settings!$B$5*MIN(1,LOG10(N(C57)+1)/LOG10(Settings!$B$7+1))+Settings!$B$6*(1-MIN(100,IF(D57="",50,N(D57)))/100)+IFERROR(INDEX(Settings!$B$10:$B$14,MATCH(O57,Settings!$A$10:$A$14,0)),0),0))</f>
        <v/>
      </c>
      <c r="Q57">
        <f>IF(OR(A57="",G57=""),"",COUNTIFS($M$3:$M$1002,M57,$G$3:$G$1002,"&lt;&gt;"&amp;SUBSTITUTE(SUBSTITUTE(G57,"?","~?"),"*","~*"),$G$3:$G$1002,"?*"))</f>
        <v/>
      </c>
      <c r="R57">
        <f>IF(Q57="","",IF(Q57&gt;0,"Yes","No"))</f>
        <v/>
      </c>
      <c r="S57">
        <f>IF(G57="","",COUNTIFS($G$3:$G$1002,SUBSTITUTE(SUBSTITUTE(G57,"?","~?"),"*","~*"),$J$3:$J$1002,"Primary"))</f>
        <v/>
      </c>
      <c r="T57">
        <f>IF(S57="","",IF(S57&gt;Settings!$B$4,"Yes","No"))</f>
        <v/>
      </c>
      <c r="U57">
        <f>IF(OR(G57="",B57=""),"",IF(COUNTIFS($G$3:$G$1002,SUBSTITUTE(SUBSTITUTE(G57,"?","~?"),"*","~*"),$B$3:$B$1002,"&lt;&gt;"&amp;SUBSTITUTE(SUBSTITUTE(B57,"?","~?"),"*","~*"),$B$3:$B$1002,"?*")&gt;0,"Yes","No"))</f>
        <v/>
      </c>
      <c r="V57">
        <f>IF(OR(G57="",I57="",O57="",O57="Unclassified"),"",IFERROR(INDEX(Settings!$E$5:$H$16,MATCH(I57,Settings!$D$5:$D$16,0),MATCH(O57,Settings!$E$4:$H$4,0)),"Check"))</f>
        <v/>
      </c>
      <c r="W57">
        <f>IF(V57="","",IF(V57="No","Yes","No"))</f>
        <v/>
      </c>
      <c r="X57">
        <f>IF(OR(E57="",G57=""),"",IF(LOWER(IF(RIGHT(TRIM(E57),1)="/",LEFT(TRIM(E57),LEN(TRIM(E57))-1),TRIM(E57)))&lt;&gt;LOWER(IF(RIGHT(TRIM(G57),1)="/",LEFT(TRIM(G57),LEN(TRIM(G57))-1),TRIM(G57))),"Yes","No"))</f>
        <v/>
      </c>
      <c r="Y57">
        <f>IF(A57="","",(N(Q57)&gt;0)+(T57="Yes")+(U57="Yes")+(W57="Yes")+(X57="Yes"))</f>
        <v/>
      </c>
      <c r="Z57">
        <f>IF(A57="","",IF(G57="","Not mapped",IF(Y57=0,"OK",MID(IF(N(Q57)&gt;0,"; Cannibalisation","")&amp;IF(T57="Yes","; Too many primary keywords on URL","")&amp;IF(U57="Yes","; URL spans 2+ clusters","")&amp;IF(W57="Yes","; Intent mismatch","")&amp;IF(X57="Yes","; Ranking URL is not the target",""),3,300))))</f>
        <v/>
      </c>
      <c r="AA57">
        <f>IF(G57="","",IF(COUNTIF($G$3:G57,SUBSTITUTE(SUBSTITUTE(G57,"?","~?"),"*","~*"))=1,MAX($AA$2:AA56)+1,""))</f>
        <v/>
      </c>
      <c r="AB57">
        <f>IF(B57="","",IF(COUNTIF($B$3:B57,SUBSTITUTE(SUBSTITUTE(B57,"?","~?"),"*","~*"))=1,MAX($AB$2:AB56)+1,""))</f>
        <v/>
      </c>
    </row>
    <row r="58">
      <c r="M58">
        <f>IF(A58="","",LOWER(TRIM(SUBSTITUTE(SUBSTITUTE(A58,"?",""),"*",""))))</f>
        <v/>
      </c>
      <c r="N58">
        <f>IF(M58="","",IF(SUMPRODUCT(ISNUMBER(SEARCH(" "&amp;Settings!$L$5:$L$124&amp;" "," "&amp;M58&amp;" "))*(Settings!$K$5:$K$124="Navigational")*(Settings!$L$5:$L$124&lt;&gt;""))&gt;0,"Navigational",IF(SUMPRODUCT(ISNUMBER(SEARCH(" "&amp;Settings!$L$5:$L$124&amp;" "," "&amp;M58&amp;" "))*(Settings!$K$5:$K$124="Transactional")*(Settings!$L$5:$L$124&lt;&gt;""))&gt;0,"Transactional",IF(SUMPRODUCT(ISNUMBER(SEARCH(" "&amp;Settings!$L$5:$L$124&amp;" "," "&amp;M58&amp;" "))*(Settings!$K$5:$K$124="Commercial")*(Settings!$L$5:$L$124&lt;&gt;""))&gt;0,"Commercial",IF(SUMPRODUCT(ISNUMBER(SEARCH(" "&amp;Settings!$L$5:$L$124&amp;" "," "&amp;M58&amp;" "))*(Settings!$K$5:$K$124="Informational")*(Settings!$L$5:$L$124&lt;&gt;""))&gt;0,"Informational","Unclassified")))))</f>
        <v/>
      </c>
      <c r="O58">
        <f>IF(A58="","",IF(K58&lt;&gt;"",PROPER(K58),N58))</f>
        <v/>
      </c>
      <c r="P58">
        <f>IF(A58="","",ROUND(Settings!$B$5*MIN(1,LOG10(N(C58)+1)/LOG10(Settings!$B$7+1))+Settings!$B$6*(1-MIN(100,IF(D58="",50,N(D58)))/100)+IFERROR(INDEX(Settings!$B$10:$B$14,MATCH(O58,Settings!$A$10:$A$14,0)),0),0))</f>
        <v/>
      </c>
      <c r="Q58">
        <f>IF(OR(A58="",G58=""),"",COUNTIFS($M$3:$M$1002,M58,$G$3:$G$1002,"&lt;&gt;"&amp;SUBSTITUTE(SUBSTITUTE(G58,"?","~?"),"*","~*"),$G$3:$G$1002,"?*"))</f>
        <v/>
      </c>
      <c r="R58">
        <f>IF(Q58="","",IF(Q58&gt;0,"Yes","No"))</f>
        <v/>
      </c>
      <c r="S58">
        <f>IF(G58="","",COUNTIFS($G$3:$G$1002,SUBSTITUTE(SUBSTITUTE(G58,"?","~?"),"*","~*"),$J$3:$J$1002,"Primary"))</f>
        <v/>
      </c>
      <c r="T58">
        <f>IF(S58="","",IF(S58&gt;Settings!$B$4,"Yes","No"))</f>
        <v/>
      </c>
      <c r="U58">
        <f>IF(OR(G58="",B58=""),"",IF(COUNTIFS($G$3:$G$1002,SUBSTITUTE(SUBSTITUTE(G58,"?","~?"),"*","~*"),$B$3:$B$1002,"&lt;&gt;"&amp;SUBSTITUTE(SUBSTITUTE(B58,"?","~?"),"*","~*"),$B$3:$B$1002,"?*")&gt;0,"Yes","No"))</f>
        <v/>
      </c>
      <c r="V58">
        <f>IF(OR(G58="",I58="",O58="",O58="Unclassified"),"",IFERROR(INDEX(Settings!$E$5:$H$16,MATCH(I58,Settings!$D$5:$D$16,0),MATCH(O58,Settings!$E$4:$H$4,0)),"Check"))</f>
        <v/>
      </c>
      <c r="W58">
        <f>IF(V58="","",IF(V58="No","Yes","No"))</f>
        <v/>
      </c>
      <c r="X58">
        <f>IF(OR(E58="",G58=""),"",IF(LOWER(IF(RIGHT(TRIM(E58),1)="/",LEFT(TRIM(E58),LEN(TRIM(E58))-1),TRIM(E58)))&lt;&gt;LOWER(IF(RIGHT(TRIM(G58),1)="/",LEFT(TRIM(G58),LEN(TRIM(G58))-1),TRIM(G58))),"Yes","No"))</f>
        <v/>
      </c>
      <c r="Y58">
        <f>IF(A58="","",(N(Q58)&gt;0)+(T58="Yes")+(U58="Yes")+(W58="Yes")+(X58="Yes"))</f>
        <v/>
      </c>
      <c r="Z58">
        <f>IF(A58="","",IF(G58="","Not mapped",IF(Y58=0,"OK",MID(IF(N(Q58)&gt;0,"; Cannibalisation","")&amp;IF(T58="Yes","; Too many primary keywords on URL","")&amp;IF(U58="Yes","; URL spans 2+ clusters","")&amp;IF(W58="Yes","; Intent mismatch","")&amp;IF(X58="Yes","; Ranking URL is not the target",""),3,300))))</f>
        <v/>
      </c>
      <c r="AA58">
        <f>IF(G58="","",IF(COUNTIF($G$3:G58,SUBSTITUTE(SUBSTITUTE(G58,"?","~?"),"*","~*"))=1,MAX($AA$2:AA57)+1,""))</f>
        <v/>
      </c>
      <c r="AB58">
        <f>IF(B58="","",IF(COUNTIF($B$3:B58,SUBSTITUTE(SUBSTITUTE(B58,"?","~?"),"*","~*"))=1,MAX($AB$2:AB57)+1,""))</f>
        <v/>
      </c>
    </row>
    <row r="59">
      <c r="M59">
        <f>IF(A59="","",LOWER(TRIM(SUBSTITUTE(SUBSTITUTE(A59,"?",""),"*",""))))</f>
        <v/>
      </c>
      <c r="N59">
        <f>IF(M59="","",IF(SUMPRODUCT(ISNUMBER(SEARCH(" "&amp;Settings!$L$5:$L$124&amp;" "," "&amp;M59&amp;" "))*(Settings!$K$5:$K$124="Navigational")*(Settings!$L$5:$L$124&lt;&gt;""))&gt;0,"Navigational",IF(SUMPRODUCT(ISNUMBER(SEARCH(" "&amp;Settings!$L$5:$L$124&amp;" "," "&amp;M59&amp;" "))*(Settings!$K$5:$K$124="Transactional")*(Settings!$L$5:$L$124&lt;&gt;""))&gt;0,"Transactional",IF(SUMPRODUCT(ISNUMBER(SEARCH(" "&amp;Settings!$L$5:$L$124&amp;" "," "&amp;M59&amp;" "))*(Settings!$K$5:$K$124="Commercial")*(Settings!$L$5:$L$124&lt;&gt;""))&gt;0,"Commercial",IF(SUMPRODUCT(ISNUMBER(SEARCH(" "&amp;Settings!$L$5:$L$124&amp;" "," "&amp;M59&amp;" "))*(Settings!$K$5:$K$124="Informational")*(Settings!$L$5:$L$124&lt;&gt;""))&gt;0,"Informational","Unclassified")))))</f>
        <v/>
      </c>
      <c r="O59">
        <f>IF(A59="","",IF(K59&lt;&gt;"",PROPER(K59),N59))</f>
        <v/>
      </c>
      <c r="P59">
        <f>IF(A59="","",ROUND(Settings!$B$5*MIN(1,LOG10(N(C59)+1)/LOG10(Settings!$B$7+1))+Settings!$B$6*(1-MIN(100,IF(D59="",50,N(D59)))/100)+IFERROR(INDEX(Settings!$B$10:$B$14,MATCH(O59,Settings!$A$10:$A$14,0)),0),0))</f>
        <v/>
      </c>
      <c r="Q59">
        <f>IF(OR(A59="",G59=""),"",COUNTIFS($M$3:$M$1002,M59,$G$3:$G$1002,"&lt;&gt;"&amp;SUBSTITUTE(SUBSTITUTE(G59,"?","~?"),"*","~*"),$G$3:$G$1002,"?*"))</f>
        <v/>
      </c>
      <c r="R59">
        <f>IF(Q59="","",IF(Q59&gt;0,"Yes","No"))</f>
        <v/>
      </c>
      <c r="S59">
        <f>IF(G59="","",COUNTIFS($G$3:$G$1002,SUBSTITUTE(SUBSTITUTE(G59,"?","~?"),"*","~*"),$J$3:$J$1002,"Primary"))</f>
        <v/>
      </c>
      <c r="T59">
        <f>IF(S59="","",IF(S59&gt;Settings!$B$4,"Yes","No"))</f>
        <v/>
      </c>
      <c r="U59">
        <f>IF(OR(G59="",B59=""),"",IF(COUNTIFS($G$3:$G$1002,SUBSTITUTE(SUBSTITUTE(G59,"?","~?"),"*","~*"),$B$3:$B$1002,"&lt;&gt;"&amp;SUBSTITUTE(SUBSTITUTE(B59,"?","~?"),"*","~*"),$B$3:$B$1002,"?*")&gt;0,"Yes","No"))</f>
        <v/>
      </c>
      <c r="V59">
        <f>IF(OR(G59="",I59="",O59="",O59="Unclassified"),"",IFERROR(INDEX(Settings!$E$5:$H$16,MATCH(I59,Settings!$D$5:$D$16,0),MATCH(O59,Settings!$E$4:$H$4,0)),"Check"))</f>
        <v/>
      </c>
      <c r="W59">
        <f>IF(V59="","",IF(V59="No","Yes","No"))</f>
        <v/>
      </c>
      <c r="X59">
        <f>IF(OR(E59="",G59=""),"",IF(LOWER(IF(RIGHT(TRIM(E59),1)="/",LEFT(TRIM(E59),LEN(TRIM(E59))-1),TRIM(E59)))&lt;&gt;LOWER(IF(RIGHT(TRIM(G59),1)="/",LEFT(TRIM(G59),LEN(TRIM(G59))-1),TRIM(G59))),"Yes","No"))</f>
        <v/>
      </c>
      <c r="Y59">
        <f>IF(A59="","",(N(Q59)&gt;0)+(T59="Yes")+(U59="Yes")+(W59="Yes")+(X59="Yes"))</f>
        <v/>
      </c>
      <c r="Z59">
        <f>IF(A59="","",IF(G59="","Not mapped",IF(Y59=0,"OK",MID(IF(N(Q59)&gt;0,"; Cannibalisation","")&amp;IF(T59="Yes","; Too many primary keywords on URL","")&amp;IF(U59="Yes","; URL spans 2+ clusters","")&amp;IF(W59="Yes","; Intent mismatch","")&amp;IF(X59="Yes","; Ranking URL is not the target",""),3,300))))</f>
        <v/>
      </c>
      <c r="AA59">
        <f>IF(G59="","",IF(COUNTIF($G$3:G59,SUBSTITUTE(SUBSTITUTE(G59,"?","~?"),"*","~*"))=1,MAX($AA$2:AA58)+1,""))</f>
        <v/>
      </c>
      <c r="AB59">
        <f>IF(B59="","",IF(COUNTIF($B$3:B59,SUBSTITUTE(SUBSTITUTE(B59,"?","~?"),"*","~*"))=1,MAX($AB$2:AB58)+1,""))</f>
        <v/>
      </c>
    </row>
    <row r="60">
      <c r="M60">
        <f>IF(A60="","",LOWER(TRIM(SUBSTITUTE(SUBSTITUTE(A60,"?",""),"*",""))))</f>
        <v/>
      </c>
      <c r="N60">
        <f>IF(M60="","",IF(SUMPRODUCT(ISNUMBER(SEARCH(" "&amp;Settings!$L$5:$L$124&amp;" "," "&amp;M60&amp;" "))*(Settings!$K$5:$K$124="Navigational")*(Settings!$L$5:$L$124&lt;&gt;""))&gt;0,"Navigational",IF(SUMPRODUCT(ISNUMBER(SEARCH(" "&amp;Settings!$L$5:$L$124&amp;" "," "&amp;M60&amp;" "))*(Settings!$K$5:$K$124="Transactional")*(Settings!$L$5:$L$124&lt;&gt;""))&gt;0,"Transactional",IF(SUMPRODUCT(ISNUMBER(SEARCH(" "&amp;Settings!$L$5:$L$124&amp;" "," "&amp;M60&amp;" "))*(Settings!$K$5:$K$124="Commercial")*(Settings!$L$5:$L$124&lt;&gt;""))&gt;0,"Commercial",IF(SUMPRODUCT(ISNUMBER(SEARCH(" "&amp;Settings!$L$5:$L$124&amp;" "," "&amp;M60&amp;" "))*(Settings!$K$5:$K$124="Informational")*(Settings!$L$5:$L$124&lt;&gt;""))&gt;0,"Informational","Unclassified")))))</f>
        <v/>
      </c>
      <c r="O60">
        <f>IF(A60="","",IF(K60&lt;&gt;"",PROPER(K60),N60))</f>
        <v/>
      </c>
      <c r="P60">
        <f>IF(A60="","",ROUND(Settings!$B$5*MIN(1,LOG10(N(C60)+1)/LOG10(Settings!$B$7+1))+Settings!$B$6*(1-MIN(100,IF(D60="",50,N(D60)))/100)+IFERROR(INDEX(Settings!$B$10:$B$14,MATCH(O60,Settings!$A$10:$A$14,0)),0),0))</f>
        <v/>
      </c>
      <c r="Q60">
        <f>IF(OR(A60="",G60=""),"",COUNTIFS($M$3:$M$1002,M60,$G$3:$G$1002,"&lt;&gt;"&amp;SUBSTITUTE(SUBSTITUTE(G60,"?","~?"),"*","~*"),$G$3:$G$1002,"?*"))</f>
        <v/>
      </c>
      <c r="R60">
        <f>IF(Q60="","",IF(Q60&gt;0,"Yes","No"))</f>
        <v/>
      </c>
      <c r="S60">
        <f>IF(G60="","",COUNTIFS($G$3:$G$1002,SUBSTITUTE(SUBSTITUTE(G60,"?","~?"),"*","~*"),$J$3:$J$1002,"Primary"))</f>
        <v/>
      </c>
      <c r="T60">
        <f>IF(S60="","",IF(S60&gt;Settings!$B$4,"Yes","No"))</f>
        <v/>
      </c>
      <c r="U60">
        <f>IF(OR(G60="",B60=""),"",IF(COUNTIFS($G$3:$G$1002,SUBSTITUTE(SUBSTITUTE(G60,"?","~?"),"*","~*"),$B$3:$B$1002,"&lt;&gt;"&amp;SUBSTITUTE(SUBSTITUTE(B60,"?","~?"),"*","~*"),$B$3:$B$1002,"?*")&gt;0,"Yes","No"))</f>
        <v/>
      </c>
      <c r="V60">
        <f>IF(OR(G60="",I60="",O60="",O60="Unclassified"),"",IFERROR(INDEX(Settings!$E$5:$H$16,MATCH(I60,Settings!$D$5:$D$16,0),MATCH(O60,Settings!$E$4:$H$4,0)),"Check"))</f>
        <v/>
      </c>
      <c r="W60">
        <f>IF(V60="","",IF(V60="No","Yes","No"))</f>
        <v/>
      </c>
      <c r="X60">
        <f>IF(OR(E60="",G60=""),"",IF(LOWER(IF(RIGHT(TRIM(E60),1)="/",LEFT(TRIM(E60),LEN(TRIM(E60))-1),TRIM(E60)))&lt;&gt;LOWER(IF(RIGHT(TRIM(G60),1)="/",LEFT(TRIM(G60),LEN(TRIM(G60))-1),TRIM(G60))),"Yes","No"))</f>
        <v/>
      </c>
      <c r="Y60">
        <f>IF(A60="","",(N(Q60)&gt;0)+(T60="Yes")+(U60="Yes")+(W60="Yes")+(X60="Yes"))</f>
        <v/>
      </c>
      <c r="Z60">
        <f>IF(A60="","",IF(G60="","Not mapped",IF(Y60=0,"OK",MID(IF(N(Q60)&gt;0,"; Cannibalisation","")&amp;IF(T60="Yes","; Too many primary keywords on URL","")&amp;IF(U60="Yes","; URL spans 2+ clusters","")&amp;IF(W60="Yes","; Intent mismatch","")&amp;IF(X60="Yes","; Ranking URL is not the target",""),3,300))))</f>
        <v/>
      </c>
      <c r="AA60">
        <f>IF(G60="","",IF(COUNTIF($G$3:G60,SUBSTITUTE(SUBSTITUTE(G60,"?","~?"),"*","~*"))=1,MAX($AA$2:AA59)+1,""))</f>
        <v/>
      </c>
      <c r="AB60">
        <f>IF(B60="","",IF(COUNTIF($B$3:B60,SUBSTITUTE(SUBSTITUTE(B60,"?","~?"),"*","~*"))=1,MAX($AB$2:AB59)+1,""))</f>
        <v/>
      </c>
    </row>
    <row r="61">
      <c r="M61">
        <f>IF(A61="","",LOWER(TRIM(SUBSTITUTE(SUBSTITUTE(A61,"?",""),"*",""))))</f>
        <v/>
      </c>
      <c r="N61">
        <f>IF(M61="","",IF(SUMPRODUCT(ISNUMBER(SEARCH(" "&amp;Settings!$L$5:$L$124&amp;" "," "&amp;M61&amp;" "))*(Settings!$K$5:$K$124="Navigational")*(Settings!$L$5:$L$124&lt;&gt;""))&gt;0,"Navigational",IF(SUMPRODUCT(ISNUMBER(SEARCH(" "&amp;Settings!$L$5:$L$124&amp;" "," "&amp;M61&amp;" "))*(Settings!$K$5:$K$124="Transactional")*(Settings!$L$5:$L$124&lt;&gt;""))&gt;0,"Transactional",IF(SUMPRODUCT(ISNUMBER(SEARCH(" "&amp;Settings!$L$5:$L$124&amp;" "," "&amp;M61&amp;" "))*(Settings!$K$5:$K$124="Commercial")*(Settings!$L$5:$L$124&lt;&gt;""))&gt;0,"Commercial",IF(SUMPRODUCT(ISNUMBER(SEARCH(" "&amp;Settings!$L$5:$L$124&amp;" "," "&amp;M61&amp;" "))*(Settings!$K$5:$K$124="Informational")*(Settings!$L$5:$L$124&lt;&gt;""))&gt;0,"Informational","Unclassified")))))</f>
        <v/>
      </c>
      <c r="O61">
        <f>IF(A61="","",IF(K61&lt;&gt;"",PROPER(K61),N61))</f>
        <v/>
      </c>
      <c r="P61">
        <f>IF(A61="","",ROUND(Settings!$B$5*MIN(1,LOG10(N(C61)+1)/LOG10(Settings!$B$7+1))+Settings!$B$6*(1-MIN(100,IF(D61="",50,N(D61)))/100)+IFERROR(INDEX(Settings!$B$10:$B$14,MATCH(O61,Settings!$A$10:$A$14,0)),0),0))</f>
        <v/>
      </c>
      <c r="Q61">
        <f>IF(OR(A61="",G61=""),"",COUNTIFS($M$3:$M$1002,M61,$G$3:$G$1002,"&lt;&gt;"&amp;SUBSTITUTE(SUBSTITUTE(G61,"?","~?"),"*","~*"),$G$3:$G$1002,"?*"))</f>
        <v/>
      </c>
      <c r="R61">
        <f>IF(Q61="","",IF(Q61&gt;0,"Yes","No"))</f>
        <v/>
      </c>
      <c r="S61">
        <f>IF(G61="","",COUNTIFS($G$3:$G$1002,SUBSTITUTE(SUBSTITUTE(G61,"?","~?"),"*","~*"),$J$3:$J$1002,"Primary"))</f>
        <v/>
      </c>
      <c r="T61">
        <f>IF(S61="","",IF(S61&gt;Settings!$B$4,"Yes","No"))</f>
        <v/>
      </c>
      <c r="U61">
        <f>IF(OR(G61="",B61=""),"",IF(COUNTIFS($G$3:$G$1002,SUBSTITUTE(SUBSTITUTE(G61,"?","~?"),"*","~*"),$B$3:$B$1002,"&lt;&gt;"&amp;SUBSTITUTE(SUBSTITUTE(B61,"?","~?"),"*","~*"),$B$3:$B$1002,"?*")&gt;0,"Yes","No"))</f>
        <v/>
      </c>
      <c r="V61">
        <f>IF(OR(G61="",I61="",O61="",O61="Unclassified"),"",IFERROR(INDEX(Settings!$E$5:$H$16,MATCH(I61,Settings!$D$5:$D$16,0),MATCH(O61,Settings!$E$4:$H$4,0)),"Check"))</f>
        <v/>
      </c>
      <c r="W61">
        <f>IF(V61="","",IF(V61="No","Yes","No"))</f>
        <v/>
      </c>
      <c r="X61">
        <f>IF(OR(E61="",G61=""),"",IF(LOWER(IF(RIGHT(TRIM(E61),1)="/",LEFT(TRIM(E61),LEN(TRIM(E61))-1),TRIM(E61)))&lt;&gt;LOWER(IF(RIGHT(TRIM(G61),1)="/",LEFT(TRIM(G61),LEN(TRIM(G61))-1),TRIM(G61))),"Yes","No"))</f>
        <v/>
      </c>
      <c r="Y61">
        <f>IF(A61="","",(N(Q61)&gt;0)+(T61="Yes")+(U61="Yes")+(W61="Yes")+(X61="Yes"))</f>
        <v/>
      </c>
      <c r="Z61">
        <f>IF(A61="","",IF(G61="","Not mapped",IF(Y61=0,"OK",MID(IF(N(Q61)&gt;0,"; Cannibalisation","")&amp;IF(T61="Yes","; Too many primary keywords on URL","")&amp;IF(U61="Yes","; URL spans 2+ clusters","")&amp;IF(W61="Yes","; Intent mismatch","")&amp;IF(X61="Yes","; Ranking URL is not the target",""),3,300))))</f>
        <v/>
      </c>
      <c r="AA61">
        <f>IF(G61="","",IF(COUNTIF($G$3:G61,SUBSTITUTE(SUBSTITUTE(G61,"?","~?"),"*","~*"))=1,MAX($AA$2:AA60)+1,""))</f>
        <v/>
      </c>
      <c r="AB61">
        <f>IF(B61="","",IF(COUNTIF($B$3:B61,SUBSTITUTE(SUBSTITUTE(B61,"?","~?"),"*","~*"))=1,MAX($AB$2:AB60)+1,""))</f>
        <v/>
      </c>
    </row>
    <row r="62">
      <c r="M62">
        <f>IF(A62="","",LOWER(TRIM(SUBSTITUTE(SUBSTITUTE(A62,"?",""),"*",""))))</f>
        <v/>
      </c>
      <c r="N62">
        <f>IF(M62="","",IF(SUMPRODUCT(ISNUMBER(SEARCH(" "&amp;Settings!$L$5:$L$124&amp;" "," "&amp;M62&amp;" "))*(Settings!$K$5:$K$124="Navigational")*(Settings!$L$5:$L$124&lt;&gt;""))&gt;0,"Navigational",IF(SUMPRODUCT(ISNUMBER(SEARCH(" "&amp;Settings!$L$5:$L$124&amp;" "," "&amp;M62&amp;" "))*(Settings!$K$5:$K$124="Transactional")*(Settings!$L$5:$L$124&lt;&gt;""))&gt;0,"Transactional",IF(SUMPRODUCT(ISNUMBER(SEARCH(" "&amp;Settings!$L$5:$L$124&amp;" "," "&amp;M62&amp;" "))*(Settings!$K$5:$K$124="Commercial")*(Settings!$L$5:$L$124&lt;&gt;""))&gt;0,"Commercial",IF(SUMPRODUCT(ISNUMBER(SEARCH(" "&amp;Settings!$L$5:$L$124&amp;" "," "&amp;M62&amp;" "))*(Settings!$K$5:$K$124="Informational")*(Settings!$L$5:$L$124&lt;&gt;""))&gt;0,"Informational","Unclassified")))))</f>
        <v/>
      </c>
      <c r="O62">
        <f>IF(A62="","",IF(K62&lt;&gt;"",PROPER(K62),N62))</f>
        <v/>
      </c>
      <c r="P62">
        <f>IF(A62="","",ROUND(Settings!$B$5*MIN(1,LOG10(N(C62)+1)/LOG10(Settings!$B$7+1))+Settings!$B$6*(1-MIN(100,IF(D62="",50,N(D62)))/100)+IFERROR(INDEX(Settings!$B$10:$B$14,MATCH(O62,Settings!$A$10:$A$14,0)),0),0))</f>
        <v/>
      </c>
      <c r="Q62">
        <f>IF(OR(A62="",G62=""),"",COUNTIFS($M$3:$M$1002,M62,$G$3:$G$1002,"&lt;&gt;"&amp;SUBSTITUTE(SUBSTITUTE(G62,"?","~?"),"*","~*"),$G$3:$G$1002,"?*"))</f>
        <v/>
      </c>
      <c r="R62">
        <f>IF(Q62="","",IF(Q62&gt;0,"Yes","No"))</f>
        <v/>
      </c>
      <c r="S62">
        <f>IF(G62="","",COUNTIFS($G$3:$G$1002,SUBSTITUTE(SUBSTITUTE(G62,"?","~?"),"*","~*"),$J$3:$J$1002,"Primary"))</f>
        <v/>
      </c>
      <c r="T62">
        <f>IF(S62="","",IF(S62&gt;Settings!$B$4,"Yes","No"))</f>
        <v/>
      </c>
      <c r="U62">
        <f>IF(OR(G62="",B62=""),"",IF(COUNTIFS($G$3:$G$1002,SUBSTITUTE(SUBSTITUTE(G62,"?","~?"),"*","~*"),$B$3:$B$1002,"&lt;&gt;"&amp;SUBSTITUTE(SUBSTITUTE(B62,"?","~?"),"*","~*"),$B$3:$B$1002,"?*")&gt;0,"Yes","No"))</f>
        <v/>
      </c>
      <c r="V62">
        <f>IF(OR(G62="",I62="",O62="",O62="Unclassified"),"",IFERROR(INDEX(Settings!$E$5:$H$16,MATCH(I62,Settings!$D$5:$D$16,0),MATCH(O62,Settings!$E$4:$H$4,0)),"Check"))</f>
        <v/>
      </c>
      <c r="W62">
        <f>IF(V62="","",IF(V62="No","Yes","No"))</f>
        <v/>
      </c>
      <c r="X62">
        <f>IF(OR(E62="",G62=""),"",IF(LOWER(IF(RIGHT(TRIM(E62),1)="/",LEFT(TRIM(E62),LEN(TRIM(E62))-1),TRIM(E62)))&lt;&gt;LOWER(IF(RIGHT(TRIM(G62),1)="/",LEFT(TRIM(G62),LEN(TRIM(G62))-1),TRIM(G62))),"Yes","No"))</f>
        <v/>
      </c>
      <c r="Y62">
        <f>IF(A62="","",(N(Q62)&gt;0)+(T62="Yes")+(U62="Yes")+(W62="Yes")+(X62="Yes"))</f>
        <v/>
      </c>
      <c r="Z62">
        <f>IF(A62="","",IF(G62="","Not mapped",IF(Y62=0,"OK",MID(IF(N(Q62)&gt;0,"; Cannibalisation","")&amp;IF(T62="Yes","; Too many primary keywords on URL","")&amp;IF(U62="Yes","; URL spans 2+ clusters","")&amp;IF(W62="Yes","; Intent mismatch","")&amp;IF(X62="Yes","; Ranking URL is not the target",""),3,300))))</f>
        <v/>
      </c>
      <c r="AA62">
        <f>IF(G62="","",IF(COUNTIF($G$3:G62,SUBSTITUTE(SUBSTITUTE(G62,"?","~?"),"*","~*"))=1,MAX($AA$2:AA61)+1,""))</f>
        <v/>
      </c>
      <c r="AB62">
        <f>IF(B62="","",IF(COUNTIF($B$3:B62,SUBSTITUTE(SUBSTITUTE(B62,"?","~?"),"*","~*"))=1,MAX($AB$2:AB61)+1,""))</f>
        <v/>
      </c>
    </row>
    <row r="63">
      <c r="M63">
        <f>IF(A63="","",LOWER(TRIM(SUBSTITUTE(SUBSTITUTE(A63,"?",""),"*",""))))</f>
        <v/>
      </c>
      <c r="N63">
        <f>IF(M63="","",IF(SUMPRODUCT(ISNUMBER(SEARCH(" "&amp;Settings!$L$5:$L$124&amp;" "," "&amp;M63&amp;" "))*(Settings!$K$5:$K$124="Navigational")*(Settings!$L$5:$L$124&lt;&gt;""))&gt;0,"Navigational",IF(SUMPRODUCT(ISNUMBER(SEARCH(" "&amp;Settings!$L$5:$L$124&amp;" "," "&amp;M63&amp;" "))*(Settings!$K$5:$K$124="Transactional")*(Settings!$L$5:$L$124&lt;&gt;""))&gt;0,"Transactional",IF(SUMPRODUCT(ISNUMBER(SEARCH(" "&amp;Settings!$L$5:$L$124&amp;" "," "&amp;M63&amp;" "))*(Settings!$K$5:$K$124="Commercial")*(Settings!$L$5:$L$124&lt;&gt;""))&gt;0,"Commercial",IF(SUMPRODUCT(ISNUMBER(SEARCH(" "&amp;Settings!$L$5:$L$124&amp;" "," "&amp;M63&amp;" "))*(Settings!$K$5:$K$124="Informational")*(Settings!$L$5:$L$124&lt;&gt;""))&gt;0,"Informational","Unclassified")))))</f>
        <v/>
      </c>
      <c r="O63">
        <f>IF(A63="","",IF(K63&lt;&gt;"",PROPER(K63),N63))</f>
        <v/>
      </c>
      <c r="P63">
        <f>IF(A63="","",ROUND(Settings!$B$5*MIN(1,LOG10(N(C63)+1)/LOG10(Settings!$B$7+1))+Settings!$B$6*(1-MIN(100,IF(D63="",50,N(D63)))/100)+IFERROR(INDEX(Settings!$B$10:$B$14,MATCH(O63,Settings!$A$10:$A$14,0)),0),0))</f>
        <v/>
      </c>
      <c r="Q63">
        <f>IF(OR(A63="",G63=""),"",COUNTIFS($M$3:$M$1002,M63,$G$3:$G$1002,"&lt;&gt;"&amp;SUBSTITUTE(SUBSTITUTE(G63,"?","~?"),"*","~*"),$G$3:$G$1002,"?*"))</f>
        <v/>
      </c>
      <c r="R63">
        <f>IF(Q63="","",IF(Q63&gt;0,"Yes","No"))</f>
        <v/>
      </c>
      <c r="S63">
        <f>IF(G63="","",COUNTIFS($G$3:$G$1002,SUBSTITUTE(SUBSTITUTE(G63,"?","~?"),"*","~*"),$J$3:$J$1002,"Primary"))</f>
        <v/>
      </c>
      <c r="T63">
        <f>IF(S63="","",IF(S63&gt;Settings!$B$4,"Yes","No"))</f>
        <v/>
      </c>
      <c r="U63">
        <f>IF(OR(G63="",B63=""),"",IF(COUNTIFS($G$3:$G$1002,SUBSTITUTE(SUBSTITUTE(G63,"?","~?"),"*","~*"),$B$3:$B$1002,"&lt;&gt;"&amp;SUBSTITUTE(SUBSTITUTE(B63,"?","~?"),"*","~*"),$B$3:$B$1002,"?*")&gt;0,"Yes","No"))</f>
        <v/>
      </c>
      <c r="V63">
        <f>IF(OR(G63="",I63="",O63="",O63="Unclassified"),"",IFERROR(INDEX(Settings!$E$5:$H$16,MATCH(I63,Settings!$D$5:$D$16,0),MATCH(O63,Settings!$E$4:$H$4,0)),"Check"))</f>
        <v/>
      </c>
      <c r="W63">
        <f>IF(V63="","",IF(V63="No","Yes","No"))</f>
        <v/>
      </c>
      <c r="X63">
        <f>IF(OR(E63="",G63=""),"",IF(LOWER(IF(RIGHT(TRIM(E63),1)="/",LEFT(TRIM(E63),LEN(TRIM(E63))-1),TRIM(E63)))&lt;&gt;LOWER(IF(RIGHT(TRIM(G63),1)="/",LEFT(TRIM(G63),LEN(TRIM(G63))-1),TRIM(G63))),"Yes","No"))</f>
        <v/>
      </c>
      <c r="Y63">
        <f>IF(A63="","",(N(Q63)&gt;0)+(T63="Yes")+(U63="Yes")+(W63="Yes")+(X63="Yes"))</f>
        <v/>
      </c>
      <c r="Z63">
        <f>IF(A63="","",IF(G63="","Not mapped",IF(Y63=0,"OK",MID(IF(N(Q63)&gt;0,"; Cannibalisation","")&amp;IF(T63="Yes","; Too many primary keywords on URL","")&amp;IF(U63="Yes","; URL spans 2+ clusters","")&amp;IF(W63="Yes","; Intent mismatch","")&amp;IF(X63="Yes","; Ranking URL is not the target",""),3,300))))</f>
        <v/>
      </c>
      <c r="AA63">
        <f>IF(G63="","",IF(COUNTIF($G$3:G63,SUBSTITUTE(SUBSTITUTE(G63,"?","~?"),"*","~*"))=1,MAX($AA$2:AA62)+1,""))</f>
        <v/>
      </c>
      <c r="AB63">
        <f>IF(B63="","",IF(COUNTIF($B$3:B63,SUBSTITUTE(SUBSTITUTE(B63,"?","~?"),"*","~*"))=1,MAX($AB$2:AB62)+1,""))</f>
        <v/>
      </c>
    </row>
    <row r="64">
      <c r="M64">
        <f>IF(A64="","",LOWER(TRIM(SUBSTITUTE(SUBSTITUTE(A64,"?",""),"*",""))))</f>
        <v/>
      </c>
      <c r="N64">
        <f>IF(M64="","",IF(SUMPRODUCT(ISNUMBER(SEARCH(" "&amp;Settings!$L$5:$L$124&amp;" "," "&amp;M64&amp;" "))*(Settings!$K$5:$K$124="Navigational")*(Settings!$L$5:$L$124&lt;&gt;""))&gt;0,"Navigational",IF(SUMPRODUCT(ISNUMBER(SEARCH(" "&amp;Settings!$L$5:$L$124&amp;" "," "&amp;M64&amp;" "))*(Settings!$K$5:$K$124="Transactional")*(Settings!$L$5:$L$124&lt;&gt;""))&gt;0,"Transactional",IF(SUMPRODUCT(ISNUMBER(SEARCH(" "&amp;Settings!$L$5:$L$124&amp;" "," "&amp;M64&amp;" "))*(Settings!$K$5:$K$124="Commercial")*(Settings!$L$5:$L$124&lt;&gt;""))&gt;0,"Commercial",IF(SUMPRODUCT(ISNUMBER(SEARCH(" "&amp;Settings!$L$5:$L$124&amp;" "," "&amp;M64&amp;" "))*(Settings!$K$5:$K$124="Informational")*(Settings!$L$5:$L$124&lt;&gt;""))&gt;0,"Informational","Unclassified")))))</f>
        <v/>
      </c>
      <c r="O64">
        <f>IF(A64="","",IF(K64&lt;&gt;"",PROPER(K64),N64))</f>
        <v/>
      </c>
      <c r="P64">
        <f>IF(A64="","",ROUND(Settings!$B$5*MIN(1,LOG10(N(C64)+1)/LOG10(Settings!$B$7+1))+Settings!$B$6*(1-MIN(100,IF(D64="",50,N(D64)))/100)+IFERROR(INDEX(Settings!$B$10:$B$14,MATCH(O64,Settings!$A$10:$A$14,0)),0),0))</f>
        <v/>
      </c>
      <c r="Q64">
        <f>IF(OR(A64="",G64=""),"",COUNTIFS($M$3:$M$1002,M64,$G$3:$G$1002,"&lt;&gt;"&amp;SUBSTITUTE(SUBSTITUTE(G64,"?","~?"),"*","~*"),$G$3:$G$1002,"?*"))</f>
        <v/>
      </c>
      <c r="R64">
        <f>IF(Q64="","",IF(Q64&gt;0,"Yes","No"))</f>
        <v/>
      </c>
      <c r="S64">
        <f>IF(G64="","",COUNTIFS($G$3:$G$1002,SUBSTITUTE(SUBSTITUTE(G64,"?","~?"),"*","~*"),$J$3:$J$1002,"Primary"))</f>
        <v/>
      </c>
      <c r="T64">
        <f>IF(S64="","",IF(S64&gt;Settings!$B$4,"Yes","No"))</f>
        <v/>
      </c>
      <c r="U64">
        <f>IF(OR(G64="",B64=""),"",IF(COUNTIFS($G$3:$G$1002,SUBSTITUTE(SUBSTITUTE(G64,"?","~?"),"*","~*"),$B$3:$B$1002,"&lt;&gt;"&amp;SUBSTITUTE(SUBSTITUTE(B64,"?","~?"),"*","~*"),$B$3:$B$1002,"?*")&gt;0,"Yes","No"))</f>
        <v/>
      </c>
      <c r="V64">
        <f>IF(OR(G64="",I64="",O64="",O64="Unclassified"),"",IFERROR(INDEX(Settings!$E$5:$H$16,MATCH(I64,Settings!$D$5:$D$16,0),MATCH(O64,Settings!$E$4:$H$4,0)),"Check"))</f>
        <v/>
      </c>
      <c r="W64">
        <f>IF(V64="","",IF(V64="No","Yes","No"))</f>
        <v/>
      </c>
      <c r="X64">
        <f>IF(OR(E64="",G64=""),"",IF(LOWER(IF(RIGHT(TRIM(E64),1)="/",LEFT(TRIM(E64),LEN(TRIM(E64))-1),TRIM(E64)))&lt;&gt;LOWER(IF(RIGHT(TRIM(G64),1)="/",LEFT(TRIM(G64),LEN(TRIM(G64))-1),TRIM(G64))),"Yes","No"))</f>
        <v/>
      </c>
      <c r="Y64">
        <f>IF(A64="","",(N(Q64)&gt;0)+(T64="Yes")+(U64="Yes")+(W64="Yes")+(X64="Yes"))</f>
        <v/>
      </c>
      <c r="Z64">
        <f>IF(A64="","",IF(G64="","Not mapped",IF(Y64=0,"OK",MID(IF(N(Q64)&gt;0,"; Cannibalisation","")&amp;IF(T64="Yes","; Too many primary keywords on URL","")&amp;IF(U64="Yes","; URL spans 2+ clusters","")&amp;IF(W64="Yes","; Intent mismatch","")&amp;IF(X64="Yes","; Ranking URL is not the target",""),3,300))))</f>
        <v/>
      </c>
      <c r="AA64">
        <f>IF(G64="","",IF(COUNTIF($G$3:G64,SUBSTITUTE(SUBSTITUTE(G64,"?","~?"),"*","~*"))=1,MAX($AA$2:AA63)+1,""))</f>
        <v/>
      </c>
      <c r="AB64">
        <f>IF(B64="","",IF(COUNTIF($B$3:B64,SUBSTITUTE(SUBSTITUTE(B64,"?","~?"),"*","~*"))=1,MAX($AB$2:AB63)+1,""))</f>
        <v/>
      </c>
    </row>
    <row r="65">
      <c r="M65">
        <f>IF(A65="","",LOWER(TRIM(SUBSTITUTE(SUBSTITUTE(A65,"?",""),"*",""))))</f>
        <v/>
      </c>
      <c r="N65">
        <f>IF(M65="","",IF(SUMPRODUCT(ISNUMBER(SEARCH(" "&amp;Settings!$L$5:$L$124&amp;" "," "&amp;M65&amp;" "))*(Settings!$K$5:$K$124="Navigational")*(Settings!$L$5:$L$124&lt;&gt;""))&gt;0,"Navigational",IF(SUMPRODUCT(ISNUMBER(SEARCH(" "&amp;Settings!$L$5:$L$124&amp;" "," "&amp;M65&amp;" "))*(Settings!$K$5:$K$124="Transactional")*(Settings!$L$5:$L$124&lt;&gt;""))&gt;0,"Transactional",IF(SUMPRODUCT(ISNUMBER(SEARCH(" "&amp;Settings!$L$5:$L$124&amp;" "," "&amp;M65&amp;" "))*(Settings!$K$5:$K$124="Commercial")*(Settings!$L$5:$L$124&lt;&gt;""))&gt;0,"Commercial",IF(SUMPRODUCT(ISNUMBER(SEARCH(" "&amp;Settings!$L$5:$L$124&amp;" "," "&amp;M65&amp;" "))*(Settings!$K$5:$K$124="Informational")*(Settings!$L$5:$L$124&lt;&gt;""))&gt;0,"Informational","Unclassified")))))</f>
        <v/>
      </c>
      <c r="O65">
        <f>IF(A65="","",IF(K65&lt;&gt;"",PROPER(K65),N65))</f>
        <v/>
      </c>
      <c r="P65">
        <f>IF(A65="","",ROUND(Settings!$B$5*MIN(1,LOG10(N(C65)+1)/LOG10(Settings!$B$7+1))+Settings!$B$6*(1-MIN(100,IF(D65="",50,N(D65)))/100)+IFERROR(INDEX(Settings!$B$10:$B$14,MATCH(O65,Settings!$A$10:$A$14,0)),0),0))</f>
        <v/>
      </c>
      <c r="Q65">
        <f>IF(OR(A65="",G65=""),"",COUNTIFS($M$3:$M$1002,M65,$G$3:$G$1002,"&lt;&gt;"&amp;SUBSTITUTE(SUBSTITUTE(G65,"?","~?"),"*","~*"),$G$3:$G$1002,"?*"))</f>
        <v/>
      </c>
      <c r="R65">
        <f>IF(Q65="","",IF(Q65&gt;0,"Yes","No"))</f>
        <v/>
      </c>
      <c r="S65">
        <f>IF(G65="","",COUNTIFS($G$3:$G$1002,SUBSTITUTE(SUBSTITUTE(G65,"?","~?"),"*","~*"),$J$3:$J$1002,"Primary"))</f>
        <v/>
      </c>
      <c r="T65">
        <f>IF(S65="","",IF(S65&gt;Settings!$B$4,"Yes","No"))</f>
        <v/>
      </c>
      <c r="U65">
        <f>IF(OR(G65="",B65=""),"",IF(COUNTIFS($G$3:$G$1002,SUBSTITUTE(SUBSTITUTE(G65,"?","~?"),"*","~*"),$B$3:$B$1002,"&lt;&gt;"&amp;SUBSTITUTE(SUBSTITUTE(B65,"?","~?"),"*","~*"),$B$3:$B$1002,"?*")&gt;0,"Yes","No"))</f>
        <v/>
      </c>
      <c r="V65">
        <f>IF(OR(G65="",I65="",O65="",O65="Unclassified"),"",IFERROR(INDEX(Settings!$E$5:$H$16,MATCH(I65,Settings!$D$5:$D$16,0),MATCH(O65,Settings!$E$4:$H$4,0)),"Check"))</f>
        <v/>
      </c>
      <c r="W65">
        <f>IF(V65="","",IF(V65="No","Yes","No"))</f>
        <v/>
      </c>
      <c r="X65">
        <f>IF(OR(E65="",G65=""),"",IF(LOWER(IF(RIGHT(TRIM(E65),1)="/",LEFT(TRIM(E65),LEN(TRIM(E65))-1),TRIM(E65)))&lt;&gt;LOWER(IF(RIGHT(TRIM(G65),1)="/",LEFT(TRIM(G65),LEN(TRIM(G65))-1),TRIM(G65))),"Yes","No"))</f>
        <v/>
      </c>
      <c r="Y65">
        <f>IF(A65="","",(N(Q65)&gt;0)+(T65="Yes")+(U65="Yes")+(W65="Yes")+(X65="Yes"))</f>
        <v/>
      </c>
      <c r="Z65">
        <f>IF(A65="","",IF(G65="","Not mapped",IF(Y65=0,"OK",MID(IF(N(Q65)&gt;0,"; Cannibalisation","")&amp;IF(T65="Yes","; Too many primary keywords on URL","")&amp;IF(U65="Yes","; URL spans 2+ clusters","")&amp;IF(W65="Yes","; Intent mismatch","")&amp;IF(X65="Yes","; Ranking URL is not the target",""),3,300))))</f>
        <v/>
      </c>
      <c r="AA65">
        <f>IF(G65="","",IF(COUNTIF($G$3:G65,SUBSTITUTE(SUBSTITUTE(G65,"?","~?"),"*","~*"))=1,MAX($AA$2:AA64)+1,""))</f>
        <v/>
      </c>
      <c r="AB65">
        <f>IF(B65="","",IF(COUNTIF($B$3:B65,SUBSTITUTE(SUBSTITUTE(B65,"?","~?"),"*","~*"))=1,MAX($AB$2:AB64)+1,""))</f>
        <v/>
      </c>
    </row>
    <row r="66">
      <c r="M66">
        <f>IF(A66="","",LOWER(TRIM(SUBSTITUTE(SUBSTITUTE(A66,"?",""),"*",""))))</f>
        <v/>
      </c>
      <c r="N66">
        <f>IF(M66="","",IF(SUMPRODUCT(ISNUMBER(SEARCH(" "&amp;Settings!$L$5:$L$124&amp;" "," "&amp;M66&amp;" "))*(Settings!$K$5:$K$124="Navigational")*(Settings!$L$5:$L$124&lt;&gt;""))&gt;0,"Navigational",IF(SUMPRODUCT(ISNUMBER(SEARCH(" "&amp;Settings!$L$5:$L$124&amp;" "," "&amp;M66&amp;" "))*(Settings!$K$5:$K$124="Transactional")*(Settings!$L$5:$L$124&lt;&gt;""))&gt;0,"Transactional",IF(SUMPRODUCT(ISNUMBER(SEARCH(" "&amp;Settings!$L$5:$L$124&amp;" "," "&amp;M66&amp;" "))*(Settings!$K$5:$K$124="Commercial")*(Settings!$L$5:$L$124&lt;&gt;""))&gt;0,"Commercial",IF(SUMPRODUCT(ISNUMBER(SEARCH(" "&amp;Settings!$L$5:$L$124&amp;" "," "&amp;M66&amp;" "))*(Settings!$K$5:$K$124="Informational")*(Settings!$L$5:$L$124&lt;&gt;""))&gt;0,"Informational","Unclassified")))))</f>
        <v/>
      </c>
      <c r="O66">
        <f>IF(A66="","",IF(K66&lt;&gt;"",PROPER(K66),N66))</f>
        <v/>
      </c>
      <c r="P66">
        <f>IF(A66="","",ROUND(Settings!$B$5*MIN(1,LOG10(N(C66)+1)/LOG10(Settings!$B$7+1))+Settings!$B$6*(1-MIN(100,IF(D66="",50,N(D66)))/100)+IFERROR(INDEX(Settings!$B$10:$B$14,MATCH(O66,Settings!$A$10:$A$14,0)),0),0))</f>
        <v/>
      </c>
      <c r="Q66">
        <f>IF(OR(A66="",G66=""),"",COUNTIFS($M$3:$M$1002,M66,$G$3:$G$1002,"&lt;&gt;"&amp;SUBSTITUTE(SUBSTITUTE(G66,"?","~?"),"*","~*"),$G$3:$G$1002,"?*"))</f>
        <v/>
      </c>
      <c r="R66">
        <f>IF(Q66="","",IF(Q66&gt;0,"Yes","No"))</f>
        <v/>
      </c>
      <c r="S66">
        <f>IF(G66="","",COUNTIFS($G$3:$G$1002,SUBSTITUTE(SUBSTITUTE(G66,"?","~?"),"*","~*"),$J$3:$J$1002,"Primary"))</f>
        <v/>
      </c>
      <c r="T66">
        <f>IF(S66="","",IF(S66&gt;Settings!$B$4,"Yes","No"))</f>
        <v/>
      </c>
      <c r="U66">
        <f>IF(OR(G66="",B66=""),"",IF(COUNTIFS($G$3:$G$1002,SUBSTITUTE(SUBSTITUTE(G66,"?","~?"),"*","~*"),$B$3:$B$1002,"&lt;&gt;"&amp;SUBSTITUTE(SUBSTITUTE(B66,"?","~?"),"*","~*"),$B$3:$B$1002,"?*")&gt;0,"Yes","No"))</f>
        <v/>
      </c>
      <c r="V66">
        <f>IF(OR(G66="",I66="",O66="",O66="Unclassified"),"",IFERROR(INDEX(Settings!$E$5:$H$16,MATCH(I66,Settings!$D$5:$D$16,0),MATCH(O66,Settings!$E$4:$H$4,0)),"Check"))</f>
        <v/>
      </c>
      <c r="W66">
        <f>IF(V66="","",IF(V66="No","Yes","No"))</f>
        <v/>
      </c>
      <c r="X66">
        <f>IF(OR(E66="",G66=""),"",IF(LOWER(IF(RIGHT(TRIM(E66),1)="/",LEFT(TRIM(E66),LEN(TRIM(E66))-1),TRIM(E66)))&lt;&gt;LOWER(IF(RIGHT(TRIM(G66),1)="/",LEFT(TRIM(G66),LEN(TRIM(G66))-1),TRIM(G66))),"Yes","No"))</f>
        <v/>
      </c>
      <c r="Y66">
        <f>IF(A66="","",(N(Q66)&gt;0)+(T66="Yes")+(U66="Yes")+(W66="Yes")+(X66="Yes"))</f>
        <v/>
      </c>
      <c r="Z66">
        <f>IF(A66="","",IF(G66="","Not mapped",IF(Y66=0,"OK",MID(IF(N(Q66)&gt;0,"; Cannibalisation","")&amp;IF(T66="Yes","; Too many primary keywords on URL","")&amp;IF(U66="Yes","; URL spans 2+ clusters","")&amp;IF(W66="Yes","; Intent mismatch","")&amp;IF(X66="Yes","; Ranking URL is not the target",""),3,300))))</f>
        <v/>
      </c>
      <c r="AA66">
        <f>IF(G66="","",IF(COUNTIF($G$3:G66,SUBSTITUTE(SUBSTITUTE(G66,"?","~?"),"*","~*"))=1,MAX($AA$2:AA65)+1,""))</f>
        <v/>
      </c>
      <c r="AB66">
        <f>IF(B66="","",IF(COUNTIF($B$3:B66,SUBSTITUTE(SUBSTITUTE(B66,"?","~?"),"*","~*"))=1,MAX($AB$2:AB65)+1,""))</f>
        <v/>
      </c>
    </row>
    <row r="67">
      <c r="M67">
        <f>IF(A67="","",LOWER(TRIM(SUBSTITUTE(SUBSTITUTE(A67,"?",""),"*",""))))</f>
        <v/>
      </c>
      <c r="N67">
        <f>IF(M67="","",IF(SUMPRODUCT(ISNUMBER(SEARCH(" "&amp;Settings!$L$5:$L$124&amp;" "," "&amp;M67&amp;" "))*(Settings!$K$5:$K$124="Navigational")*(Settings!$L$5:$L$124&lt;&gt;""))&gt;0,"Navigational",IF(SUMPRODUCT(ISNUMBER(SEARCH(" "&amp;Settings!$L$5:$L$124&amp;" "," "&amp;M67&amp;" "))*(Settings!$K$5:$K$124="Transactional")*(Settings!$L$5:$L$124&lt;&gt;""))&gt;0,"Transactional",IF(SUMPRODUCT(ISNUMBER(SEARCH(" "&amp;Settings!$L$5:$L$124&amp;" "," "&amp;M67&amp;" "))*(Settings!$K$5:$K$124="Commercial")*(Settings!$L$5:$L$124&lt;&gt;""))&gt;0,"Commercial",IF(SUMPRODUCT(ISNUMBER(SEARCH(" "&amp;Settings!$L$5:$L$124&amp;" "," "&amp;M67&amp;" "))*(Settings!$K$5:$K$124="Informational")*(Settings!$L$5:$L$124&lt;&gt;""))&gt;0,"Informational","Unclassified")))))</f>
        <v/>
      </c>
      <c r="O67">
        <f>IF(A67="","",IF(K67&lt;&gt;"",PROPER(K67),N67))</f>
        <v/>
      </c>
      <c r="P67">
        <f>IF(A67="","",ROUND(Settings!$B$5*MIN(1,LOG10(N(C67)+1)/LOG10(Settings!$B$7+1))+Settings!$B$6*(1-MIN(100,IF(D67="",50,N(D67)))/100)+IFERROR(INDEX(Settings!$B$10:$B$14,MATCH(O67,Settings!$A$10:$A$14,0)),0),0))</f>
        <v/>
      </c>
      <c r="Q67">
        <f>IF(OR(A67="",G67=""),"",COUNTIFS($M$3:$M$1002,M67,$G$3:$G$1002,"&lt;&gt;"&amp;SUBSTITUTE(SUBSTITUTE(G67,"?","~?"),"*","~*"),$G$3:$G$1002,"?*"))</f>
        <v/>
      </c>
      <c r="R67">
        <f>IF(Q67="","",IF(Q67&gt;0,"Yes","No"))</f>
        <v/>
      </c>
      <c r="S67">
        <f>IF(G67="","",COUNTIFS($G$3:$G$1002,SUBSTITUTE(SUBSTITUTE(G67,"?","~?"),"*","~*"),$J$3:$J$1002,"Primary"))</f>
        <v/>
      </c>
      <c r="T67">
        <f>IF(S67="","",IF(S67&gt;Settings!$B$4,"Yes","No"))</f>
        <v/>
      </c>
      <c r="U67">
        <f>IF(OR(G67="",B67=""),"",IF(COUNTIFS($G$3:$G$1002,SUBSTITUTE(SUBSTITUTE(G67,"?","~?"),"*","~*"),$B$3:$B$1002,"&lt;&gt;"&amp;SUBSTITUTE(SUBSTITUTE(B67,"?","~?"),"*","~*"),$B$3:$B$1002,"?*")&gt;0,"Yes","No"))</f>
        <v/>
      </c>
      <c r="V67">
        <f>IF(OR(G67="",I67="",O67="",O67="Unclassified"),"",IFERROR(INDEX(Settings!$E$5:$H$16,MATCH(I67,Settings!$D$5:$D$16,0),MATCH(O67,Settings!$E$4:$H$4,0)),"Check"))</f>
        <v/>
      </c>
      <c r="W67">
        <f>IF(V67="","",IF(V67="No","Yes","No"))</f>
        <v/>
      </c>
      <c r="X67">
        <f>IF(OR(E67="",G67=""),"",IF(LOWER(IF(RIGHT(TRIM(E67),1)="/",LEFT(TRIM(E67),LEN(TRIM(E67))-1),TRIM(E67)))&lt;&gt;LOWER(IF(RIGHT(TRIM(G67),1)="/",LEFT(TRIM(G67),LEN(TRIM(G67))-1),TRIM(G67))),"Yes","No"))</f>
        <v/>
      </c>
      <c r="Y67">
        <f>IF(A67="","",(N(Q67)&gt;0)+(T67="Yes")+(U67="Yes")+(W67="Yes")+(X67="Yes"))</f>
        <v/>
      </c>
      <c r="Z67">
        <f>IF(A67="","",IF(G67="","Not mapped",IF(Y67=0,"OK",MID(IF(N(Q67)&gt;0,"; Cannibalisation","")&amp;IF(T67="Yes","; Too many primary keywords on URL","")&amp;IF(U67="Yes","; URL spans 2+ clusters","")&amp;IF(W67="Yes","; Intent mismatch","")&amp;IF(X67="Yes","; Ranking URL is not the target",""),3,300))))</f>
        <v/>
      </c>
      <c r="AA67">
        <f>IF(G67="","",IF(COUNTIF($G$3:G67,SUBSTITUTE(SUBSTITUTE(G67,"?","~?"),"*","~*"))=1,MAX($AA$2:AA66)+1,""))</f>
        <v/>
      </c>
      <c r="AB67">
        <f>IF(B67="","",IF(COUNTIF($B$3:B67,SUBSTITUTE(SUBSTITUTE(B67,"?","~?"),"*","~*"))=1,MAX($AB$2:AB66)+1,""))</f>
        <v/>
      </c>
    </row>
    <row r="68">
      <c r="M68">
        <f>IF(A68="","",LOWER(TRIM(SUBSTITUTE(SUBSTITUTE(A68,"?",""),"*",""))))</f>
        <v/>
      </c>
      <c r="N68">
        <f>IF(M68="","",IF(SUMPRODUCT(ISNUMBER(SEARCH(" "&amp;Settings!$L$5:$L$124&amp;" "," "&amp;M68&amp;" "))*(Settings!$K$5:$K$124="Navigational")*(Settings!$L$5:$L$124&lt;&gt;""))&gt;0,"Navigational",IF(SUMPRODUCT(ISNUMBER(SEARCH(" "&amp;Settings!$L$5:$L$124&amp;" "," "&amp;M68&amp;" "))*(Settings!$K$5:$K$124="Transactional")*(Settings!$L$5:$L$124&lt;&gt;""))&gt;0,"Transactional",IF(SUMPRODUCT(ISNUMBER(SEARCH(" "&amp;Settings!$L$5:$L$124&amp;" "," "&amp;M68&amp;" "))*(Settings!$K$5:$K$124="Commercial")*(Settings!$L$5:$L$124&lt;&gt;""))&gt;0,"Commercial",IF(SUMPRODUCT(ISNUMBER(SEARCH(" "&amp;Settings!$L$5:$L$124&amp;" "," "&amp;M68&amp;" "))*(Settings!$K$5:$K$124="Informational")*(Settings!$L$5:$L$124&lt;&gt;""))&gt;0,"Informational","Unclassified")))))</f>
        <v/>
      </c>
      <c r="O68">
        <f>IF(A68="","",IF(K68&lt;&gt;"",PROPER(K68),N68))</f>
        <v/>
      </c>
      <c r="P68">
        <f>IF(A68="","",ROUND(Settings!$B$5*MIN(1,LOG10(N(C68)+1)/LOG10(Settings!$B$7+1))+Settings!$B$6*(1-MIN(100,IF(D68="",50,N(D68)))/100)+IFERROR(INDEX(Settings!$B$10:$B$14,MATCH(O68,Settings!$A$10:$A$14,0)),0),0))</f>
        <v/>
      </c>
      <c r="Q68">
        <f>IF(OR(A68="",G68=""),"",COUNTIFS($M$3:$M$1002,M68,$G$3:$G$1002,"&lt;&gt;"&amp;SUBSTITUTE(SUBSTITUTE(G68,"?","~?"),"*","~*"),$G$3:$G$1002,"?*"))</f>
        <v/>
      </c>
      <c r="R68">
        <f>IF(Q68="","",IF(Q68&gt;0,"Yes","No"))</f>
        <v/>
      </c>
      <c r="S68">
        <f>IF(G68="","",COUNTIFS($G$3:$G$1002,SUBSTITUTE(SUBSTITUTE(G68,"?","~?"),"*","~*"),$J$3:$J$1002,"Primary"))</f>
        <v/>
      </c>
      <c r="T68">
        <f>IF(S68="","",IF(S68&gt;Settings!$B$4,"Yes","No"))</f>
        <v/>
      </c>
      <c r="U68">
        <f>IF(OR(G68="",B68=""),"",IF(COUNTIFS($G$3:$G$1002,SUBSTITUTE(SUBSTITUTE(G68,"?","~?"),"*","~*"),$B$3:$B$1002,"&lt;&gt;"&amp;SUBSTITUTE(SUBSTITUTE(B68,"?","~?"),"*","~*"),$B$3:$B$1002,"?*")&gt;0,"Yes","No"))</f>
        <v/>
      </c>
      <c r="V68">
        <f>IF(OR(G68="",I68="",O68="",O68="Unclassified"),"",IFERROR(INDEX(Settings!$E$5:$H$16,MATCH(I68,Settings!$D$5:$D$16,0),MATCH(O68,Settings!$E$4:$H$4,0)),"Check"))</f>
        <v/>
      </c>
      <c r="W68">
        <f>IF(V68="","",IF(V68="No","Yes","No"))</f>
        <v/>
      </c>
      <c r="X68">
        <f>IF(OR(E68="",G68=""),"",IF(LOWER(IF(RIGHT(TRIM(E68),1)="/",LEFT(TRIM(E68),LEN(TRIM(E68))-1),TRIM(E68)))&lt;&gt;LOWER(IF(RIGHT(TRIM(G68),1)="/",LEFT(TRIM(G68),LEN(TRIM(G68))-1),TRIM(G68))),"Yes","No"))</f>
        <v/>
      </c>
      <c r="Y68">
        <f>IF(A68="","",(N(Q68)&gt;0)+(T68="Yes")+(U68="Yes")+(W68="Yes")+(X68="Yes"))</f>
        <v/>
      </c>
      <c r="Z68">
        <f>IF(A68="","",IF(G68="","Not mapped",IF(Y68=0,"OK",MID(IF(N(Q68)&gt;0,"; Cannibalisation","")&amp;IF(T68="Yes","; Too many primary keywords on URL","")&amp;IF(U68="Yes","; URL spans 2+ clusters","")&amp;IF(W68="Yes","; Intent mismatch","")&amp;IF(X68="Yes","; Ranking URL is not the target",""),3,300))))</f>
        <v/>
      </c>
      <c r="AA68">
        <f>IF(G68="","",IF(COUNTIF($G$3:G68,SUBSTITUTE(SUBSTITUTE(G68,"?","~?"),"*","~*"))=1,MAX($AA$2:AA67)+1,""))</f>
        <v/>
      </c>
      <c r="AB68">
        <f>IF(B68="","",IF(COUNTIF($B$3:B68,SUBSTITUTE(SUBSTITUTE(B68,"?","~?"),"*","~*"))=1,MAX($AB$2:AB67)+1,""))</f>
        <v/>
      </c>
    </row>
    <row r="69">
      <c r="M69">
        <f>IF(A69="","",LOWER(TRIM(SUBSTITUTE(SUBSTITUTE(A69,"?",""),"*",""))))</f>
        <v/>
      </c>
      <c r="N69">
        <f>IF(M69="","",IF(SUMPRODUCT(ISNUMBER(SEARCH(" "&amp;Settings!$L$5:$L$124&amp;" "," "&amp;M69&amp;" "))*(Settings!$K$5:$K$124="Navigational")*(Settings!$L$5:$L$124&lt;&gt;""))&gt;0,"Navigational",IF(SUMPRODUCT(ISNUMBER(SEARCH(" "&amp;Settings!$L$5:$L$124&amp;" "," "&amp;M69&amp;" "))*(Settings!$K$5:$K$124="Transactional")*(Settings!$L$5:$L$124&lt;&gt;""))&gt;0,"Transactional",IF(SUMPRODUCT(ISNUMBER(SEARCH(" "&amp;Settings!$L$5:$L$124&amp;" "," "&amp;M69&amp;" "))*(Settings!$K$5:$K$124="Commercial")*(Settings!$L$5:$L$124&lt;&gt;""))&gt;0,"Commercial",IF(SUMPRODUCT(ISNUMBER(SEARCH(" "&amp;Settings!$L$5:$L$124&amp;" "," "&amp;M69&amp;" "))*(Settings!$K$5:$K$124="Informational")*(Settings!$L$5:$L$124&lt;&gt;""))&gt;0,"Informational","Unclassified")))))</f>
        <v/>
      </c>
      <c r="O69">
        <f>IF(A69="","",IF(K69&lt;&gt;"",PROPER(K69),N69))</f>
        <v/>
      </c>
      <c r="P69">
        <f>IF(A69="","",ROUND(Settings!$B$5*MIN(1,LOG10(N(C69)+1)/LOG10(Settings!$B$7+1))+Settings!$B$6*(1-MIN(100,IF(D69="",50,N(D69)))/100)+IFERROR(INDEX(Settings!$B$10:$B$14,MATCH(O69,Settings!$A$10:$A$14,0)),0),0))</f>
        <v/>
      </c>
      <c r="Q69">
        <f>IF(OR(A69="",G69=""),"",COUNTIFS($M$3:$M$1002,M69,$G$3:$G$1002,"&lt;&gt;"&amp;SUBSTITUTE(SUBSTITUTE(G69,"?","~?"),"*","~*"),$G$3:$G$1002,"?*"))</f>
        <v/>
      </c>
      <c r="R69">
        <f>IF(Q69="","",IF(Q69&gt;0,"Yes","No"))</f>
        <v/>
      </c>
      <c r="S69">
        <f>IF(G69="","",COUNTIFS($G$3:$G$1002,SUBSTITUTE(SUBSTITUTE(G69,"?","~?"),"*","~*"),$J$3:$J$1002,"Primary"))</f>
        <v/>
      </c>
      <c r="T69">
        <f>IF(S69="","",IF(S69&gt;Settings!$B$4,"Yes","No"))</f>
        <v/>
      </c>
      <c r="U69">
        <f>IF(OR(G69="",B69=""),"",IF(COUNTIFS($G$3:$G$1002,SUBSTITUTE(SUBSTITUTE(G69,"?","~?"),"*","~*"),$B$3:$B$1002,"&lt;&gt;"&amp;SUBSTITUTE(SUBSTITUTE(B69,"?","~?"),"*","~*"),$B$3:$B$1002,"?*")&gt;0,"Yes","No"))</f>
        <v/>
      </c>
      <c r="V69">
        <f>IF(OR(G69="",I69="",O69="",O69="Unclassified"),"",IFERROR(INDEX(Settings!$E$5:$H$16,MATCH(I69,Settings!$D$5:$D$16,0),MATCH(O69,Settings!$E$4:$H$4,0)),"Check"))</f>
        <v/>
      </c>
      <c r="W69">
        <f>IF(V69="","",IF(V69="No","Yes","No"))</f>
        <v/>
      </c>
      <c r="X69">
        <f>IF(OR(E69="",G69=""),"",IF(LOWER(IF(RIGHT(TRIM(E69),1)="/",LEFT(TRIM(E69),LEN(TRIM(E69))-1),TRIM(E69)))&lt;&gt;LOWER(IF(RIGHT(TRIM(G69),1)="/",LEFT(TRIM(G69),LEN(TRIM(G69))-1),TRIM(G69))),"Yes","No"))</f>
        <v/>
      </c>
      <c r="Y69">
        <f>IF(A69="","",(N(Q69)&gt;0)+(T69="Yes")+(U69="Yes")+(W69="Yes")+(X69="Yes"))</f>
        <v/>
      </c>
      <c r="Z69">
        <f>IF(A69="","",IF(G69="","Not mapped",IF(Y69=0,"OK",MID(IF(N(Q69)&gt;0,"; Cannibalisation","")&amp;IF(T69="Yes","; Too many primary keywords on URL","")&amp;IF(U69="Yes","; URL spans 2+ clusters","")&amp;IF(W69="Yes","; Intent mismatch","")&amp;IF(X69="Yes","; Ranking URL is not the target",""),3,300))))</f>
        <v/>
      </c>
      <c r="AA69">
        <f>IF(G69="","",IF(COUNTIF($G$3:G69,SUBSTITUTE(SUBSTITUTE(G69,"?","~?"),"*","~*"))=1,MAX($AA$2:AA68)+1,""))</f>
        <v/>
      </c>
      <c r="AB69">
        <f>IF(B69="","",IF(COUNTIF($B$3:B69,SUBSTITUTE(SUBSTITUTE(B69,"?","~?"),"*","~*"))=1,MAX($AB$2:AB68)+1,""))</f>
        <v/>
      </c>
    </row>
    <row r="70">
      <c r="M70">
        <f>IF(A70="","",LOWER(TRIM(SUBSTITUTE(SUBSTITUTE(A70,"?",""),"*",""))))</f>
        <v/>
      </c>
      <c r="N70">
        <f>IF(M70="","",IF(SUMPRODUCT(ISNUMBER(SEARCH(" "&amp;Settings!$L$5:$L$124&amp;" "," "&amp;M70&amp;" "))*(Settings!$K$5:$K$124="Navigational")*(Settings!$L$5:$L$124&lt;&gt;""))&gt;0,"Navigational",IF(SUMPRODUCT(ISNUMBER(SEARCH(" "&amp;Settings!$L$5:$L$124&amp;" "," "&amp;M70&amp;" "))*(Settings!$K$5:$K$124="Transactional")*(Settings!$L$5:$L$124&lt;&gt;""))&gt;0,"Transactional",IF(SUMPRODUCT(ISNUMBER(SEARCH(" "&amp;Settings!$L$5:$L$124&amp;" "," "&amp;M70&amp;" "))*(Settings!$K$5:$K$124="Commercial")*(Settings!$L$5:$L$124&lt;&gt;""))&gt;0,"Commercial",IF(SUMPRODUCT(ISNUMBER(SEARCH(" "&amp;Settings!$L$5:$L$124&amp;" "," "&amp;M70&amp;" "))*(Settings!$K$5:$K$124="Informational")*(Settings!$L$5:$L$124&lt;&gt;""))&gt;0,"Informational","Unclassified")))))</f>
        <v/>
      </c>
      <c r="O70">
        <f>IF(A70="","",IF(K70&lt;&gt;"",PROPER(K70),N70))</f>
        <v/>
      </c>
      <c r="P70">
        <f>IF(A70="","",ROUND(Settings!$B$5*MIN(1,LOG10(N(C70)+1)/LOG10(Settings!$B$7+1))+Settings!$B$6*(1-MIN(100,IF(D70="",50,N(D70)))/100)+IFERROR(INDEX(Settings!$B$10:$B$14,MATCH(O70,Settings!$A$10:$A$14,0)),0),0))</f>
        <v/>
      </c>
      <c r="Q70">
        <f>IF(OR(A70="",G70=""),"",COUNTIFS($M$3:$M$1002,M70,$G$3:$G$1002,"&lt;&gt;"&amp;SUBSTITUTE(SUBSTITUTE(G70,"?","~?"),"*","~*"),$G$3:$G$1002,"?*"))</f>
        <v/>
      </c>
      <c r="R70">
        <f>IF(Q70="","",IF(Q70&gt;0,"Yes","No"))</f>
        <v/>
      </c>
      <c r="S70">
        <f>IF(G70="","",COUNTIFS($G$3:$G$1002,SUBSTITUTE(SUBSTITUTE(G70,"?","~?"),"*","~*"),$J$3:$J$1002,"Primary"))</f>
        <v/>
      </c>
      <c r="T70">
        <f>IF(S70="","",IF(S70&gt;Settings!$B$4,"Yes","No"))</f>
        <v/>
      </c>
      <c r="U70">
        <f>IF(OR(G70="",B70=""),"",IF(COUNTIFS($G$3:$G$1002,SUBSTITUTE(SUBSTITUTE(G70,"?","~?"),"*","~*"),$B$3:$B$1002,"&lt;&gt;"&amp;SUBSTITUTE(SUBSTITUTE(B70,"?","~?"),"*","~*"),$B$3:$B$1002,"?*")&gt;0,"Yes","No"))</f>
        <v/>
      </c>
      <c r="V70">
        <f>IF(OR(G70="",I70="",O70="",O70="Unclassified"),"",IFERROR(INDEX(Settings!$E$5:$H$16,MATCH(I70,Settings!$D$5:$D$16,0),MATCH(O70,Settings!$E$4:$H$4,0)),"Check"))</f>
        <v/>
      </c>
      <c r="W70">
        <f>IF(V70="","",IF(V70="No","Yes","No"))</f>
        <v/>
      </c>
      <c r="X70">
        <f>IF(OR(E70="",G70=""),"",IF(LOWER(IF(RIGHT(TRIM(E70),1)="/",LEFT(TRIM(E70),LEN(TRIM(E70))-1),TRIM(E70)))&lt;&gt;LOWER(IF(RIGHT(TRIM(G70),1)="/",LEFT(TRIM(G70),LEN(TRIM(G70))-1),TRIM(G70))),"Yes","No"))</f>
        <v/>
      </c>
      <c r="Y70">
        <f>IF(A70="","",(N(Q70)&gt;0)+(T70="Yes")+(U70="Yes")+(W70="Yes")+(X70="Yes"))</f>
        <v/>
      </c>
      <c r="Z70">
        <f>IF(A70="","",IF(G70="","Not mapped",IF(Y70=0,"OK",MID(IF(N(Q70)&gt;0,"; Cannibalisation","")&amp;IF(T70="Yes","; Too many primary keywords on URL","")&amp;IF(U70="Yes","; URL spans 2+ clusters","")&amp;IF(W70="Yes","; Intent mismatch","")&amp;IF(X70="Yes","; Ranking URL is not the target",""),3,300))))</f>
        <v/>
      </c>
      <c r="AA70">
        <f>IF(G70="","",IF(COUNTIF($G$3:G70,SUBSTITUTE(SUBSTITUTE(G70,"?","~?"),"*","~*"))=1,MAX($AA$2:AA69)+1,""))</f>
        <v/>
      </c>
      <c r="AB70">
        <f>IF(B70="","",IF(COUNTIF($B$3:B70,SUBSTITUTE(SUBSTITUTE(B70,"?","~?"),"*","~*"))=1,MAX($AB$2:AB69)+1,""))</f>
        <v/>
      </c>
    </row>
    <row r="71">
      <c r="M71">
        <f>IF(A71="","",LOWER(TRIM(SUBSTITUTE(SUBSTITUTE(A71,"?",""),"*",""))))</f>
        <v/>
      </c>
      <c r="N71">
        <f>IF(M71="","",IF(SUMPRODUCT(ISNUMBER(SEARCH(" "&amp;Settings!$L$5:$L$124&amp;" "," "&amp;M71&amp;" "))*(Settings!$K$5:$K$124="Navigational")*(Settings!$L$5:$L$124&lt;&gt;""))&gt;0,"Navigational",IF(SUMPRODUCT(ISNUMBER(SEARCH(" "&amp;Settings!$L$5:$L$124&amp;" "," "&amp;M71&amp;" "))*(Settings!$K$5:$K$124="Transactional")*(Settings!$L$5:$L$124&lt;&gt;""))&gt;0,"Transactional",IF(SUMPRODUCT(ISNUMBER(SEARCH(" "&amp;Settings!$L$5:$L$124&amp;" "," "&amp;M71&amp;" "))*(Settings!$K$5:$K$124="Commercial")*(Settings!$L$5:$L$124&lt;&gt;""))&gt;0,"Commercial",IF(SUMPRODUCT(ISNUMBER(SEARCH(" "&amp;Settings!$L$5:$L$124&amp;" "," "&amp;M71&amp;" "))*(Settings!$K$5:$K$124="Informational")*(Settings!$L$5:$L$124&lt;&gt;""))&gt;0,"Informational","Unclassified")))))</f>
        <v/>
      </c>
      <c r="O71">
        <f>IF(A71="","",IF(K71&lt;&gt;"",PROPER(K71),N71))</f>
        <v/>
      </c>
      <c r="P71">
        <f>IF(A71="","",ROUND(Settings!$B$5*MIN(1,LOG10(N(C71)+1)/LOG10(Settings!$B$7+1))+Settings!$B$6*(1-MIN(100,IF(D71="",50,N(D71)))/100)+IFERROR(INDEX(Settings!$B$10:$B$14,MATCH(O71,Settings!$A$10:$A$14,0)),0),0))</f>
        <v/>
      </c>
      <c r="Q71">
        <f>IF(OR(A71="",G71=""),"",COUNTIFS($M$3:$M$1002,M71,$G$3:$G$1002,"&lt;&gt;"&amp;SUBSTITUTE(SUBSTITUTE(G71,"?","~?"),"*","~*"),$G$3:$G$1002,"?*"))</f>
        <v/>
      </c>
      <c r="R71">
        <f>IF(Q71="","",IF(Q71&gt;0,"Yes","No"))</f>
        <v/>
      </c>
      <c r="S71">
        <f>IF(G71="","",COUNTIFS($G$3:$G$1002,SUBSTITUTE(SUBSTITUTE(G71,"?","~?"),"*","~*"),$J$3:$J$1002,"Primary"))</f>
        <v/>
      </c>
      <c r="T71">
        <f>IF(S71="","",IF(S71&gt;Settings!$B$4,"Yes","No"))</f>
        <v/>
      </c>
      <c r="U71">
        <f>IF(OR(G71="",B71=""),"",IF(COUNTIFS($G$3:$G$1002,SUBSTITUTE(SUBSTITUTE(G71,"?","~?"),"*","~*"),$B$3:$B$1002,"&lt;&gt;"&amp;SUBSTITUTE(SUBSTITUTE(B71,"?","~?"),"*","~*"),$B$3:$B$1002,"?*")&gt;0,"Yes","No"))</f>
        <v/>
      </c>
      <c r="V71">
        <f>IF(OR(G71="",I71="",O71="",O71="Unclassified"),"",IFERROR(INDEX(Settings!$E$5:$H$16,MATCH(I71,Settings!$D$5:$D$16,0),MATCH(O71,Settings!$E$4:$H$4,0)),"Check"))</f>
        <v/>
      </c>
      <c r="W71">
        <f>IF(V71="","",IF(V71="No","Yes","No"))</f>
        <v/>
      </c>
      <c r="X71">
        <f>IF(OR(E71="",G71=""),"",IF(LOWER(IF(RIGHT(TRIM(E71),1)="/",LEFT(TRIM(E71),LEN(TRIM(E71))-1),TRIM(E71)))&lt;&gt;LOWER(IF(RIGHT(TRIM(G71),1)="/",LEFT(TRIM(G71),LEN(TRIM(G71))-1),TRIM(G71))),"Yes","No"))</f>
        <v/>
      </c>
      <c r="Y71">
        <f>IF(A71="","",(N(Q71)&gt;0)+(T71="Yes")+(U71="Yes")+(W71="Yes")+(X71="Yes"))</f>
        <v/>
      </c>
      <c r="Z71">
        <f>IF(A71="","",IF(G71="","Not mapped",IF(Y71=0,"OK",MID(IF(N(Q71)&gt;0,"; Cannibalisation","")&amp;IF(T71="Yes","; Too many primary keywords on URL","")&amp;IF(U71="Yes","; URL spans 2+ clusters","")&amp;IF(W71="Yes","; Intent mismatch","")&amp;IF(X71="Yes","; Ranking URL is not the target",""),3,300))))</f>
        <v/>
      </c>
      <c r="AA71">
        <f>IF(G71="","",IF(COUNTIF($G$3:G71,SUBSTITUTE(SUBSTITUTE(G71,"?","~?"),"*","~*"))=1,MAX($AA$2:AA70)+1,""))</f>
        <v/>
      </c>
      <c r="AB71">
        <f>IF(B71="","",IF(COUNTIF($B$3:B71,SUBSTITUTE(SUBSTITUTE(B71,"?","~?"),"*","~*"))=1,MAX($AB$2:AB70)+1,""))</f>
        <v/>
      </c>
    </row>
    <row r="72">
      <c r="M72">
        <f>IF(A72="","",LOWER(TRIM(SUBSTITUTE(SUBSTITUTE(A72,"?",""),"*",""))))</f>
        <v/>
      </c>
      <c r="N72">
        <f>IF(M72="","",IF(SUMPRODUCT(ISNUMBER(SEARCH(" "&amp;Settings!$L$5:$L$124&amp;" "," "&amp;M72&amp;" "))*(Settings!$K$5:$K$124="Navigational")*(Settings!$L$5:$L$124&lt;&gt;""))&gt;0,"Navigational",IF(SUMPRODUCT(ISNUMBER(SEARCH(" "&amp;Settings!$L$5:$L$124&amp;" "," "&amp;M72&amp;" "))*(Settings!$K$5:$K$124="Transactional")*(Settings!$L$5:$L$124&lt;&gt;""))&gt;0,"Transactional",IF(SUMPRODUCT(ISNUMBER(SEARCH(" "&amp;Settings!$L$5:$L$124&amp;" "," "&amp;M72&amp;" "))*(Settings!$K$5:$K$124="Commercial")*(Settings!$L$5:$L$124&lt;&gt;""))&gt;0,"Commercial",IF(SUMPRODUCT(ISNUMBER(SEARCH(" "&amp;Settings!$L$5:$L$124&amp;" "," "&amp;M72&amp;" "))*(Settings!$K$5:$K$124="Informational")*(Settings!$L$5:$L$124&lt;&gt;""))&gt;0,"Informational","Unclassified")))))</f>
        <v/>
      </c>
      <c r="O72">
        <f>IF(A72="","",IF(K72&lt;&gt;"",PROPER(K72),N72))</f>
        <v/>
      </c>
      <c r="P72">
        <f>IF(A72="","",ROUND(Settings!$B$5*MIN(1,LOG10(N(C72)+1)/LOG10(Settings!$B$7+1))+Settings!$B$6*(1-MIN(100,IF(D72="",50,N(D72)))/100)+IFERROR(INDEX(Settings!$B$10:$B$14,MATCH(O72,Settings!$A$10:$A$14,0)),0),0))</f>
        <v/>
      </c>
      <c r="Q72">
        <f>IF(OR(A72="",G72=""),"",COUNTIFS($M$3:$M$1002,M72,$G$3:$G$1002,"&lt;&gt;"&amp;SUBSTITUTE(SUBSTITUTE(G72,"?","~?"),"*","~*"),$G$3:$G$1002,"?*"))</f>
        <v/>
      </c>
      <c r="R72">
        <f>IF(Q72="","",IF(Q72&gt;0,"Yes","No"))</f>
        <v/>
      </c>
      <c r="S72">
        <f>IF(G72="","",COUNTIFS($G$3:$G$1002,SUBSTITUTE(SUBSTITUTE(G72,"?","~?"),"*","~*"),$J$3:$J$1002,"Primary"))</f>
        <v/>
      </c>
      <c r="T72">
        <f>IF(S72="","",IF(S72&gt;Settings!$B$4,"Yes","No"))</f>
        <v/>
      </c>
      <c r="U72">
        <f>IF(OR(G72="",B72=""),"",IF(COUNTIFS($G$3:$G$1002,SUBSTITUTE(SUBSTITUTE(G72,"?","~?"),"*","~*"),$B$3:$B$1002,"&lt;&gt;"&amp;SUBSTITUTE(SUBSTITUTE(B72,"?","~?"),"*","~*"),$B$3:$B$1002,"?*")&gt;0,"Yes","No"))</f>
        <v/>
      </c>
      <c r="V72">
        <f>IF(OR(G72="",I72="",O72="",O72="Unclassified"),"",IFERROR(INDEX(Settings!$E$5:$H$16,MATCH(I72,Settings!$D$5:$D$16,0),MATCH(O72,Settings!$E$4:$H$4,0)),"Check"))</f>
        <v/>
      </c>
      <c r="W72">
        <f>IF(V72="","",IF(V72="No","Yes","No"))</f>
        <v/>
      </c>
      <c r="X72">
        <f>IF(OR(E72="",G72=""),"",IF(LOWER(IF(RIGHT(TRIM(E72),1)="/",LEFT(TRIM(E72),LEN(TRIM(E72))-1),TRIM(E72)))&lt;&gt;LOWER(IF(RIGHT(TRIM(G72),1)="/",LEFT(TRIM(G72),LEN(TRIM(G72))-1),TRIM(G72))),"Yes","No"))</f>
        <v/>
      </c>
      <c r="Y72">
        <f>IF(A72="","",(N(Q72)&gt;0)+(T72="Yes")+(U72="Yes")+(W72="Yes")+(X72="Yes"))</f>
        <v/>
      </c>
      <c r="Z72">
        <f>IF(A72="","",IF(G72="","Not mapped",IF(Y72=0,"OK",MID(IF(N(Q72)&gt;0,"; Cannibalisation","")&amp;IF(T72="Yes","; Too many primary keywords on URL","")&amp;IF(U72="Yes","; URL spans 2+ clusters","")&amp;IF(W72="Yes","; Intent mismatch","")&amp;IF(X72="Yes","; Ranking URL is not the target",""),3,300))))</f>
        <v/>
      </c>
      <c r="AA72">
        <f>IF(G72="","",IF(COUNTIF($G$3:G72,SUBSTITUTE(SUBSTITUTE(G72,"?","~?"),"*","~*"))=1,MAX($AA$2:AA71)+1,""))</f>
        <v/>
      </c>
      <c r="AB72">
        <f>IF(B72="","",IF(COUNTIF($B$3:B72,SUBSTITUTE(SUBSTITUTE(B72,"?","~?"),"*","~*"))=1,MAX($AB$2:AB71)+1,""))</f>
        <v/>
      </c>
    </row>
    <row r="73">
      <c r="M73">
        <f>IF(A73="","",LOWER(TRIM(SUBSTITUTE(SUBSTITUTE(A73,"?",""),"*",""))))</f>
        <v/>
      </c>
      <c r="N73">
        <f>IF(M73="","",IF(SUMPRODUCT(ISNUMBER(SEARCH(" "&amp;Settings!$L$5:$L$124&amp;" "," "&amp;M73&amp;" "))*(Settings!$K$5:$K$124="Navigational")*(Settings!$L$5:$L$124&lt;&gt;""))&gt;0,"Navigational",IF(SUMPRODUCT(ISNUMBER(SEARCH(" "&amp;Settings!$L$5:$L$124&amp;" "," "&amp;M73&amp;" "))*(Settings!$K$5:$K$124="Transactional")*(Settings!$L$5:$L$124&lt;&gt;""))&gt;0,"Transactional",IF(SUMPRODUCT(ISNUMBER(SEARCH(" "&amp;Settings!$L$5:$L$124&amp;" "," "&amp;M73&amp;" "))*(Settings!$K$5:$K$124="Commercial")*(Settings!$L$5:$L$124&lt;&gt;""))&gt;0,"Commercial",IF(SUMPRODUCT(ISNUMBER(SEARCH(" "&amp;Settings!$L$5:$L$124&amp;" "," "&amp;M73&amp;" "))*(Settings!$K$5:$K$124="Informational")*(Settings!$L$5:$L$124&lt;&gt;""))&gt;0,"Informational","Unclassified")))))</f>
        <v/>
      </c>
      <c r="O73">
        <f>IF(A73="","",IF(K73&lt;&gt;"",PROPER(K73),N73))</f>
        <v/>
      </c>
      <c r="P73">
        <f>IF(A73="","",ROUND(Settings!$B$5*MIN(1,LOG10(N(C73)+1)/LOG10(Settings!$B$7+1))+Settings!$B$6*(1-MIN(100,IF(D73="",50,N(D73)))/100)+IFERROR(INDEX(Settings!$B$10:$B$14,MATCH(O73,Settings!$A$10:$A$14,0)),0),0))</f>
        <v/>
      </c>
      <c r="Q73">
        <f>IF(OR(A73="",G73=""),"",COUNTIFS($M$3:$M$1002,M73,$G$3:$G$1002,"&lt;&gt;"&amp;SUBSTITUTE(SUBSTITUTE(G73,"?","~?"),"*","~*"),$G$3:$G$1002,"?*"))</f>
        <v/>
      </c>
      <c r="R73">
        <f>IF(Q73="","",IF(Q73&gt;0,"Yes","No"))</f>
        <v/>
      </c>
      <c r="S73">
        <f>IF(G73="","",COUNTIFS($G$3:$G$1002,SUBSTITUTE(SUBSTITUTE(G73,"?","~?"),"*","~*"),$J$3:$J$1002,"Primary"))</f>
        <v/>
      </c>
      <c r="T73">
        <f>IF(S73="","",IF(S73&gt;Settings!$B$4,"Yes","No"))</f>
        <v/>
      </c>
      <c r="U73">
        <f>IF(OR(G73="",B73=""),"",IF(COUNTIFS($G$3:$G$1002,SUBSTITUTE(SUBSTITUTE(G73,"?","~?"),"*","~*"),$B$3:$B$1002,"&lt;&gt;"&amp;SUBSTITUTE(SUBSTITUTE(B73,"?","~?"),"*","~*"),$B$3:$B$1002,"?*")&gt;0,"Yes","No"))</f>
        <v/>
      </c>
      <c r="V73">
        <f>IF(OR(G73="",I73="",O73="",O73="Unclassified"),"",IFERROR(INDEX(Settings!$E$5:$H$16,MATCH(I73,Settings!$D$5:$D$16,0),MATCH(O73,Settings!$E$4:$H$4,0)),"Check"))</f>
        <v/>
      </c>
      <c r="W73">
        <f>IF(V73="","",IF(V73="No","Yes","No"))</f>
        <v/>
      </c>
      <c r="X73">
        <f>IF(OR(E73="",G73=""),"",IF(LOWER(IF(RIGHT(TRIM(E73),1)="/",LEFT(TRIM(E73),LEN(TRIM(E73))-1),TRIM(E73)))&lt;&gt;LOWER(IF(RIGHT(TRIM(G73),1)="/",LEFT(TRIM(G73),LEN(TRIM(G73))-1),TRIM(G73))),"Yes","No"))</f>
        <v/>
      </c>
      <c r="Y73">
        <f>IF(A73="","",(N(Q73)&gt;0)+(T73="Yes")+(U73="Yes")+(W73="Yes")+(X73="Yes"))</f>
        <v/>
      </c>
      <c r="Z73">
        <f>IF(A73="","",IF(G73="","Not mapped",IF(Y73=0,"OK",MID(IF(N(Q73)&gt;0,"; Cannibalisation","")&amp;IF(T73="Yes","; Too many primary keywords on URL","")&amp;IF(U73="Yes","; URL spans 2+ clusters","")&amp;IF(W73="Yes","; Intent mismatch","")&amp;IF(X73="Yes","; Ranking URL is not the target",""),3,300))))</f>
        <v/>
      </c>
      <c r="AA73">
        <f>IF(G73="","",IF(COUNTIF($G$3:G73,SUBSTITUTE(SUBSTITUTE(G73,"?","~?"),"*","~*"))=1,MAX($AA$2:AA72)+1,""))</f>
        <v/>
      </c>
      <c r="AB73">
        <f>IF(B73="","",IF(COUNTIF($B$3:B73,SUBSTITUTE(SUBSTITUTE(B73,"?","~?"),"*","~*"))=1,MAX($AB$2:AB72)+1,""))</f>
        <v/>
      </c>
    </row>
    <row r="74">
      <c r="M74">
        <f>IF(A74="","",LOWER(TRIM(SUBSTITUTE(SUBSTITUTE(A74,"?",""),"*",""))))</f>
        <v/>
      </c>
      <c r="N74">
        <f>IF(M74="","",IF(SUMPRODUCT(ISNUMBER(SEARCH(" "&amp;Settings!$L$5:$L$124&amp;" "," "&amp;M74&amp;" "))*(Settings!$K$5:$K$124="Navigational")*(Settings!$L$5:$L$124&lt;&gt;""))&gt;0,"Navigational",IF(SUMPRODUCT(ISNUMBER(SEARCH(" "&amp;Settings!$L$5:$L$124&amp;" "," "&amp;M74&amp;" "))*(Settings!$K$5:$K$124="Transactional")*(Settings!$L$5:$L$124&lt;&gt;""))&gt;0,"Transactional",IF(SUMPRODUCT(ISNUMBER(SEARCH(" "&amp;Settings!$L$5:$L$124&amp;" "," "&amp;M74&amp;" "))*(Settings!$K$5:$K$124="Commercial")*(Settings!$L$5:$L$124&lt;&gt;""))&gt;0,"Commercial",IF(SUMPRODUCT(ISNUMBER(SEARCH(" "&amp;Settings!$L$5:$L$124&amp;" "," "&amp;M74&amp;" "))*(Settings!$K$5:$K$124="Informational")*(Settings!$L$5:$L$124&lt;&gt;""))&gt;0,"Informational","Unclassified")))))</f>
        <v/>
      </c>
      <c r="O74">
        <f>IF(A74="","",IF(K74&lt;&gt;"",PROPER(K74),N74))</f>
        <v/>
      </c>
      <c r="P74">
        <f>IF(A74="","",ROUND(Settings!$B$5*MIN(1,LOG10(N(C74)+1)/LOG10(Settings!$B$7+1))+Settings!$B$6*(1-MIN(100,IF(D74="",50,N(D74)))/100)+IFERROR(INDEX(Settings!$B$10:$B$14,MATCH(O74,Settings!$A$10:$A$14,0)),0),0))</f>
        <v/>
      </c>
      <c r="Q74">
        <f>IF(OR(A74="",G74=""),"",COUNTIFS($M$3:$M$1002,M74,$G$3:$G$1002,"&lt;&gt;"&amp;SUBSTITUTE(SUBSTITUTE(G74,"?","~?"),"*","~*"),$G$3:$G$1002,"?*"))</f>
        <v/>
      </c>
      <c r="R74">
        <f>IF(Q74="","",IF(Q74&gt;0,"Yes","No"))</f>
        <v/>
      </c>
      <c r="S74">
        <f>IF(G74="","",COUNTIFS($G$3:$G$1002,SUBSTITUTE(SUBSTITUTE(G74,"?","~?"),"*","~*"),$J$3:$J$1002,"Primary"))</f>
        <v/>
      </c>
      <c r="T74">
        <f>IF(S74="","",IF(S74&gt;Settings!$B$4,"Yes","No"))</f>
        <v/>
      </c>
      <c r="U74">
        <f>IF(OR(G74="",B74=""),"",IF(COUNTIFS($G$3:$G$1002,SUBSTITUTE(SUBSTITUTE(G74,"?","~?"),"*","~*"),$B$3:$B$1002,"&lt;&gt;"&amp;SUBSTITUTE(SUBSTITUTE(B74,"?","~?"),"*","~*"),$B$3:$B$1002,"?*")&gt;0,"Yes","No"))</f>
        <v/>
      </c>
      <c r="V74">
        <f>IF(OR(G74="",I74="",O74="",O74="Unclassified"),"",IFERROR(INDEX(Settings!$E$5:$H$16,MATCH(I74,Settings!$D$5:$D$16,0),MATCH(O74,Settings!$E$4:$H$4,0)),"Check"))</f>
        <v/>
      </c>
      <c r="W74">
        <f>IF(V74="","",IF(V74="No","Yes","No"))</f>
        <v/>
      </c>
      <c r="X74">
        <f>IF(OR(E74="",G74=""),"",IF(LOWER(IF(RIGHT(TRIM(E74),1)="/",LEFT(TRIM(E74),LEN(TRIM(E74))-1),TRIM(E74)))&lt;&gt;LOWER(IF(RIGHT(TRIM(G74),1)="/",LEFT(TRIM(G74),LEN(TRIM(G74))-1),TRIM(G74))),"Yes","No"))</f>
        <v/>
      </c>
      <c r="Y74">
        <f>IF(A74="","",(N(Q74)&gt;0)+(T74="Yes")+(U74="Yes")+(W74="Yes")+(X74="Yes"))</f>
        <v/>
      </c>
      <c r="Z74">
        <f>IF(A74="","",IF(G74="","Not mapped",IF(Y74=0,"OK",MID(IF(N(Q74)&gt;0,"; Cannibalisation","")&amp;IF(T74="Yes","; Too many primary keywords on URL","")&amp;IF(U74="Yes","; URL spans 2+ clusters","")&amp;IF(W74="Yes","; Intent mismatch","")&amp;IF(X74="Yes","; Ranking URL is not the target",""),3,300))))</f>
        <v/>
      </c>
      <c r="AA74">
        <f>IF(G74="","",IF(COUNTIF($G$3:G74,SUBSTITUTE(SUBSTITUTE(G74,"?","~?"),"*","~*"))=1,MAX($AA$2:AA73)+1,""))</f>
        <v/>
      </c>
      <c r="AB74">
        <f>IF(B74="","",IF(COUNTIF($B$3:B74,SUBSTITUTE(SUBSTITUTE(B74,"?","~?"),"*","~*"))=1,MAX($AB$2:AB73)+1,""))</f>
        <v/>
      </c>
    </row>
    <row r="75">
      <c r="M75">
        <f>IF(A75="","",LOWER(TRIM(SUBSTITUTE(SUBSTITUTE(A75,"?",""),"*",""))))</f>
        <v/>
      </c>
      <c r="N75">
        <f>IF(M75="","",IF(SUMPRODUCT(ISNUMBER(SEARCH(" "&amp;Settings!$L$5:$L$124&amp;" "," "&amp;M75&amp;" "))*(Settings!$K$5:$K$124="Navigational")*(Settings!$L$5:$L$124&lt;&gt;""))&gt;0,"Navigational",IF(SUMPRODUCT(ISNUMBER(SEARCH(" "&amp;Settings!$L$5:$L$124&amp;" "," "&amp;M75&amp;" "))*(Settings!$K$5:$K$124="Transactional")*(Settings!$L$5:$L$124&lt;&gt;""))&gt;0,"Transactional",IF(SUMPRODUCT(ISNUMBER(SEARCH(" "&amp;Settings!$L$5:$L$124&amp;" "," "&amp;M75&amp;" "))*(Settings!$K$5:$K$124="Commercial")*(Settings!$L$5:$L$124&lt;&gt;""))&gt;0,"Commercial",IF(SUMPRODUCT(ISNUMBER(SEARCH(" "&amp;Settings!$L$5:$L$124&amp;" "," "&amp;M75&amp;" "))*(Settings!$K$5:$K$124="Informational")*(Settings!$L$5:$L$124&lt;&gt;""))&gt;0,"Informational","Unclassified")))))</f>
        <v/>
      </c>
      <c r="O75">
        <f>IF(A75="","",IF(K75&lt;&gt;"",PROPER(K75),N75))</f>
        <v/>
      </c>
      <c r="P75">
        <f>IF(A75="","",ROUND(Settings!$B$5*MIN(1,LOG10(N(C75)+1)/LOG10(Settings!$B$7+1))+Settings!$B$6*(1-MIN(100,IF(D75="",50,N(D75)))/100)+IFERROR(INDEX(Settings!$B$10:$B$14,MATCH(O75,Settings!$A$10:$A$14,0)),0),0))</f>
        <v/>
      </c>
      <c r="Q75">
        <f>IF(OR(A75="",G75=""),"",COUNTIFS($M$3:$M$1002,M75,$G$3:$G$1002,"&lt;&gt;"&amp;SUBSTITUTE(SUBSTITUTE(G75,"?","~?"),"*","~*"),$G$3:$G$1002,"?*"))</f>
        <v/>
      </c>
      <c r="R75">
        <f>IF(Q75="","",IF(Q75&gt;0,"Yes","No"))</f>
        <v/>
      </c>
      <c r="S75">
        <f>IF(G75="","",COUNTIFS($G$3:$G$1002,SUBSTITUTE(SUBSTITUTE(G75,"?","~?"),"*","~*"),$J$3:$J$1002,"Primary"))</f>
        <v/>
      </c>
      <c r="T75">
        <f>IF(S75="","",IF(S75&gt;Settings!$B$4,"Yes","No"))</f>
        <v/>
      </c>
      <c r="U75">
        <f>IF(OR(G75="",B75=""),"",IF(COUNTIFS($G$3:$G$1002,SUBSTITUTE(SUBSTITUTE(G75,"?","~?"),"*","~*"),$B$3:$B$1002,"&lt;&gt;"&amp;SUBSTITUTE(SUBSTITUTE(B75,"?","~?"),"*","~*"),$B$3:$B$1002,"?*")&gt;0,"Yes","No"))</f>
        <v/>
      </c>
      <c r="V75">
        <f>IF(OR(G75="",I75="",O75="",O75="Unclassified"),"",IFERROR(INDEX(Settings!$E$5:$H$16,MATCH(I75,Settings!$D$5:$D$16,0),MATCH(O75,Settings!$E$4:$H$4,0)),"Check"))</f>
        <v/>
      </c>
      <c r="W75">
        <f>IF(V75="","",IF(V75="No","Yes","No"))</f>
        <v/>
      </c>
      <c r="X75">
        <f>IF(OR(E75="",G75=""),"",IF(LOWER(IF(RIGHT(TRIM(E75),1)="/",LEFT(TRIM(E75),LEN(TRIM(E75))-1),TRIM(E75)))&lt;&gt;LOWER(IF(RIGHT(TRIM(G75),1)="/",LEFT(TRIM(G75),LEN(TRIM(G75))-1),TRIM(G75))),"Yes","No"))</f>
        <v/>
      </c>
      <c r="Y75">
        <f>IF(A75="","",(N(Q75)&gt;0)+(T75="Yes")+(U75="Yes")+(W75="Yes")+(X75="Yes"))</f>
        <v/>
      </c>
      <c r="Z75">
        <f>IF(A75="","",IF(G75="","Not mapped",IF(Y75=0,"OK",MID(IF(N(Q75)&gt;0,"; Cannibalisation","")&amp;IF(T75="Yes","; Too many primary keywords on URL","")&amp;IF(U75="Yes","; URL spans 2+ clusters","")&amp;IF(W75="Yes","; Intent mismatch","")&amp;IF(X75="Yes","; Ranking URL is not the target",""),3,300))))</f>
        <v/>
      </c>
      <c r="AA75">
        <f>IF(G75="","",IF(COUNTIF($G$3:G75,SUBSTITUTE(SUBSTITUTE(G75,"?","~?"),"*","~*"))=1,MAX($AA$2:AA74)+1,""))</f>
        <v/>
      </c>
      <c r="AB75">
        <f>IF(B75="","",IF(COUNTIF($B$3:B75,SUBSTITUTE(SUBSTITUTE(B75,"?","~?"),"*","~*"))=1,MAX($AB$2:AB74)+1,""))</f>
        <v/>
      </c>
    </row>
    <row r="76">
      <c r="M76">
        <f>IF(A76="","",LOWER(TRIM(SUBSTITUTE(SUBSTITUTE(A76,"?",""),"*",""))))</f>
        <v/>
      </c>
      <c r="N76">
        <f>IF(M76="","",IF(SUMPRODUCT(ISNUMBER(SEARCH(" "&amp;Settings!$L$5:$L$124&amp;" "," "&amp;M76&amp;" "))*(Settings!$K$5:$K$124="Navigational")*(Settings!$L$5:$L$124&lt;&gt;""))&gt;0,"Navigational",IF(SUMPRODUCT(ISNUMBER(SEARCH(" "&amp;Settings!$L$5:$L$124&amp;" "," "&amp;M76&amp;" "))*(Settings!$K$5:$K$124="Transactional")*(Settings!$L$5:$L$124&lt;&gt;""))&gt;0,"Transactional",IF(SUMPRODUCT(ISNUMBER(SEARCH(" "&amp;Settings!$L$5:$L$124&amp;" "," "&amp;M76&amp;" "))*(Settings!$K$5:$K$124="Commercial")*(Settings!$L$5:$L$124&lt;&gt;""))&gt;0,"Commercial",IF(SUMPRODUCT(ISNUMBER(SEARCH(" "&amp;Settings!$L$5:$L$124&amp;" "," "&amp;M76&amp;" "))*(Settings!$K$5:$K$124="Informational")*(Settings!$L$5:$L$124&lt;&gt;""))&gt;0,"Informational","Unclassified")))))</f>
        <v/>
      </c>
      <c r="O76">
        <f>IF(A76="","",IF(K76&lt;&gt;"",PROPER(K76),N76))</f>
        <v/>
      </c>
      <c r="P76">
        <f>IF(A76="","",ROUND(Settings!$B$5*MIN(1,LOG10(N(C76)+1)/LOG10(Settings!$B$7+1))+Settings!$B$6*(1-MIN(100,IF(D76="",50,N(D76)))/100)+IFERROR(INDEX(Settings!$B$10:$B$14,MATCH(O76,Settings!$A$10:$A$14,0)),0),0))</f>
        <v/>
      </c>
      <c r="Q76">
        <f>IF(OR(A76="",G76=""),"",COUNTIFS($M$3:$M$1002,M76,$G$3:$G$1002,"&lt;&gt;"&amp;SUBSTITUTE(SUBSTITUTE(G76,"?","~?"),"*","~*"),$G$3:$G$1002,"?*"))</f>
        <v/>
      </c>
      <c r="R76">
        <f>IF(Q76="","",IF(Q76&gt;0,"Yes","No"))</f>
        <v/>
      </c>
      <c r="S76">
        <f>IF(G76="","",COUNTIFS($G$3:$G$1002,SUBSTITUTE(SUBSTITUTE(G76,"?","~?"),"*","~*"),$J$3:$J$1002,"Primary"))</f>
        <v/>
      </c>
      <c r="T76">
        <f>IF(S76="","",IF(S76&gt;Settings!$B$4,"Yes","No"))</f>
        <v/>
      </c>
      <c r="U76">
        <f>IF(OR(G76="",B76=""),"",IF(COUNTIFS($G$3:$G$1002,SUBSTITUTE(SUBSTITUTE(G76,"?","~?"),"*","~*"),$B$3:$B$1002,"&lt;&gt;"&amp;SUBSTITUTE(SUBSTITUTE(B76,"?","~?"),"*","~*"),$B$3:$B$1002,"?*")&gt;0,"Yes","No"))</f>
        <v/>
      </c>
      <c r="V76">
        <f>IF(OR(G76="",I76="",O76="",O76="Unclassified"),"",IFERROR(INDEX(Settings!$E$5:$H$16,MATCH(I76,Settings!$D$5:$D$16,0),MATCH(O76,Settings!$E$4:$H$4,0)),"Check"))</f>
        <v/>
      </c>
      <c r="W76">
        <f>IF(V76="","",IF(V76="No","Yes","No"))</f>
        <v/>
      </c>
      <c r="X76">
        <f>IF(OR(E76="",G76=""),"",IF(LOWER(IF(RIGHT(TRIM(E76),1)="/",LEFT(TRIM(E76),LEN(TRIM(E76))-1),TRIM(E76)))&lt;&gt;LOWER(IF(RIGHT(TRIM(G76),1)="/",LEFT(TRIM(G76),LEN(TRIM(G76))-1),TRIM(G76))),"Yes","No"))</f>
        <v/>
      </c>
      <c r="Y76">
        <f>IF(A76="","",(N(Q76)&gt;0)+(T76="Yes")+(U76="Yes")+(W76="Yes")+(X76="Yes"))</f>
        <v/>
      </c>
      <c r="Z76">
        <f>IF(A76="","",IF(G76="","Not mapped",IF(Y76=0,"OK",MID(IF(N(Q76)&gt;0,"; Cannibalisation","")&amp;IF(T76="Yes","; Too many primary keywords on URL","")&amp;IF(U76="Yes","; URL spans 2+ clusters","")&amp;IF(W76="Yes","; Intent mismatch","")&amp;IF(X76="Yes","; Ranking URL is not the target",""),3,300))))</f>
        <v/>
      </c>
      <c r="AA76">
        <f>IF(G76="","",IF(COUNTIF($G$3:G76,SUBSTITUTE(SUBSTITUTE(G76,"?","~?"),"*","~*"))=1,MAX($AA$2:AA75)+1,""))</f>
        <v/>
      </c>
      <c r="AB76">
        <f>IF(B76="","",IF(COUNTIF($B$3:B76,SUBSTITUTE(SUBSTITUTE(B76,"?","~?"),"*","~*"))=1,MAX($AB$2:AB75)+1,""))</f>
        <v/>
      </c>
    </row>
    <row r="77">
      <c r="M77">
        <f>IF(A77="","",LOWER(TRIM(SUBSTITUTE(SUBSTITUTE(A77,"?",""),"*",""))))</f>
        <v/>
      </c>
      <c r="N77">
        <f>IF(M77="","",IF(SUMPRODUCT(ISNUMBER(SEARCH(" "&amp;Settings!$L$5:$L$124&amp;" "," "&amp;M77&amp;" "))*(Settings!$K$5:$K$124="Navigational")*(Settings!$L$5:$L$124&lt;&gt;""))&gt;0,"Navigational",IF(SUMPRODUCT(ISNUMBER(SEARCH(" "&amp;Settings!$L$5:$L$124&amp;" "," "&amp;M77&amp;" "))*(Settings!$K$5:$K$124="Transactional")*(Settings!$L$5:$L$124&lt;&gt;""))&gt;0,"Transactional",IF(SUMPRODUCT(ISNUMBER(SEARCH(" "&amp;Settings!$L$5:$L$124&amp;" "," "&amp;M77&amp;" "))*(Settings!$K$5:$K$124="Commercial")*(Settings!$L$5:$L$124&lt;&gt;""))&gt;0,"Commercial",IF(SUMPRODUCT(ISNUMBER(SEARCH(" "&amp;Settings!$L$5:$L$124&amp;" "," "&amp;M77&amp;" "))*(Settings!$K$5:$K$124="Informational")*(Settings!$L$5:$L$124&lt;&gt;""))&gt;0,"Informational","Unclassified")))))</f>
        <v/>
      </c>
      <c r="O77">
        <f>IF(A77="","",IF(K77&lt;&gt;"",PROPER(K77),N77))</f>
        <v/>
      </c>
      <c r="P77">
        <f>IF(A77="","",ROUND(Settings!$B$5*MIN(1,LOG10(N(C77)+1)/LOG10(Settings!$B$7+1))+Settings!$B$6*(1-MIN(100,IF(D77="",50,N(D77)))/100)+IFERROR(INDEX(Settings!$B$10:$B$14,MATCH(O77,Settings!$A$10:$A$14,0)),0),0))</f>
        <v/>
      </c>
      <c r="Q77">
        <f>IF(OR(A77="",G77=""),"",COUNTIFS($M$3:$M$1002,M77,$G$3:$G$1002,"&lt;&gt;"&amp;SUBSTITUTE(SUBSTITUTE(G77,"?","~?"),"*","~*"),$G$3:$G$1002,"?*"))</f>
        <v/>
      </c>
      <c r="R77">
        <f>IF(Q77="","",IF(Q77&gt;0,"Yes","No"))</f>
        <v/>
      </c>
      <c r="S77">
        <f>IF(G77="","",COUNTIFS($G$3:$G$1002,SUBSTITUTE(SUBSTITUTE(G77,"?","~?"),"*","~*"),$J$3:$J$1002,"Primary"))</f>
        <v/>
      </c>
      <c r="T77">
        <f>IF(S77="","",IF(S77&gt;Settings!$B$4,"Yes","No"))</f>
        <v/>
      </c>
      <c r="U77">
        <f>IF(OR(G77="",B77=""),"",IF(COUNTIFS($G$3:$G$1002,SUBSTITUTE(SUBSTITUTE(G77,"?","~?"),"*","~*"),$B$3:$B$1002,"&lt;&gt;"&amp;SUBSTITUTE(SUBSTITUTE(B77,"?","~?"),"*","~*"),$B$3:$B$1002,"?*")&gt;0,"Yes","No"))</f>
        <v/>
      </c>
      <c r="V77">
        <f>IF(OR(G77="",I77="",O77="",O77="Unclassified"),"",IFERROR(INDEX(Settings!$E$5:$H$16,MATCH(I77,Settings!$D$5:$D$16,0),MATCH(O77,Settings!$E$4:$H$4,0)),"Check"))</f>
        <v/>
      </c>
      <c r="W77">
        <f>IF(V77="","",IF(V77="No","Yes","No"))</f>
        <v/>
      </c>
      <c r="X77">
        <f>IF(OR(E77="",G77=""),"",IF(LOWER(IF(RIGHT(TRIM(E77),1)="/",LEFT(TRIM(E77),LEN(TRIM(E77))-1),TRIM(E77)))&lt;&gt;LOWER(IF(RIGHT(TRIM(G77),1)="/",LEFT(TRIM(G77),LEN(TRIM(G77))-1),TRIM(G77))),"Yes","No"))</f>
        <v/>
      </c>
      <c r="Y77">
        <f>IF(A77="","",(N(Q77)&gt;0)+(T77="Yes")+(U77="Yes")+(W77="Yes")+(X77="Yes"))</f>
        <v/>
      </c>
      <c r="Z77">
        <f>IF(A77="","",IF(G77="","Not mapped",IF(Y77=0,"OK",MID(IF(N(Q77)&gt;0,"; Cannibalisation","")&amp;IF(T77="Yes","; Too many primary keywords on URL","")&amp;IF(U77="Yes","; URL spans 2+ clusters","")&amp;IF(W77="Yes","; Intent mismatch","")&amp;IF(X77="Yes","; Ranking URL is not the target",""),3,300))))</f>
        <v/>
      </c>
      <c r="AA77">
        <f>IF(G77="","",IF(COUNTIF($G$3:G77,SUBSTITUTE(SUBSTITUTE(G77,"?","~?"),"*","~*"))=1,MAX($AA$2:AA76)+1,""))</f>
        <v/>
      </c>
      <c r="AB77">
        <f>IF(B77="","",IF(COUNTIF($B$3:B77,SUBSTITUTE(SUBSTITUTE(B77,"?","~?"),"*","~*"))=1,MAX($AB$2:AB76)+1,""))</f>
        <v/>
      </c>
    </row>
    <row r="78">
      <c r="M78">
        <f>IF(A78="","",LOWER(TRIM(SUBSTITUTE(SUBSTITUTE(A78,"?",""),"*",""))))</f>
        <v/>
      </c>
      <c r="N78">
        <f>IF(M78="","",IF(SUMPRODUCT(ISNUMBER(SEARCH(" "&amp;Settings!$L$5:$L$124&amp;" "," "&amp;M78&amp;" "))*(Settings!$K$5:$K$124="Navigational")*(Settings!$L$5:$L$124&lt;&gt;""))&gt;0,"Navigational",IF(SUMPRODUCT(ISNUMBER(SEARCH(" "&amp;Settings!$L$5:$L$124&amp;" "," "&amp;M78&amp;" "))*(Settings!$K$5:$K$124="Transactional")*(Settings!$L$5:$L$124&lt;&gt;""))&gt;0,"Transactional",IF(SUMPRODUCT(ISNUMBER(SEARCH(" "&amp;Settings!$L$5:$L$124&amp;" "," "&amp;M78&amp;" "))*(Settings!$K$5:$K$124="Commercial")*(Settings!$L$5:$L$124&lt;&gt;""))&gt;0,"Commercial",IF(SUMPRODUCT(ISNUMBER(SEARCH(" "&amp;Settings!$L$5:$L$124&amp;" "," "&amp;M78&amp;" "))*(Settings!$K$5:$K$124="Informational")*(Settings!$L$5:$L$124&lt;&gt;""))&gt;0,"Informational","Unclassified")))))</f>
        <v/>
      </c>
      <c r="O78">
        <f>IF(A78="","",IF(K78&lt;&gt;"",PROPER(K78),N78))</f>
        <v/>
      </c>
      <c r="P78">
        <f>IF(A78="","",ROUND(Settings!$B$5*MIN(1,LOG10(N(C78)+1)/LOG10(Settings!$B$7+1))+Settings!$B$6*(1-MIN(100,IF(D78="",50,N(D78)))/100)+IFERROR(INDEX(Settings!$B$10:$B$14,MATCH(O78,Settings!$A$10:$A$14,0)),0),0))</f>
        <v/>
      </c>
      <c r="Q78">
        <f>IF(OR(A78="",G78=""),"",COUNTIFS($M$3:$M$1002,M78,$G$3:$G$1002,"&lt;&gt;"&amp;SUBSTITUTE(SUBSTITUTE(G78,"?","~?"),"*","~*"),$G$3:$G$1002,"?*"))</f>
        <v/>
      </c>
      <c r="R78">
        <f>IF(Q78="","",IF(Q78&gt;0,"Yes","No"))</f>
        <v/>
      </c>
      <c r="S78">
        <f>IF(G78="","",COUNTIFS($G$3:$G$1002,SUBSTITUTE(SUBSTITUTE(G78,"?","~?"),"*","~*"),$J$3:$J$1002,"Primary"))</f>
        <v/>
      </c>
      <c r="T78">
        <f>IF(S78="","",IF(S78&gt;Settings!$B$4,"Yes","No"))</f>
        <v/>
      </c>
      <c r="U78">
        <f>IF(OR(G78="",B78=""),"",IF(COUNTIFS($G$3:$G$1002,SUBSTITUTE(SUBSTITUTE(G78,"?","~?"),"*","~*"),$B$3:$B$1002,"&lt;&gt;"&amp;SUBSTITUTE(SUBSTITUTE(B78,"?","~?"),"*","~*"),$B$3:$B$1002,"?*")&gt;0,"Yes","No"))</f>
        <v/>
      </c>
      <c r="V78">
        <f>IF(OR(G78="",I78="",O78="",O78="Unclassified"),"",IFERROR(INDEX(Settings!$E$5:$H$16,MATCH(I78,Settings!$D$5:$D$16,0),MATCH(O78,Settings!$E$4:$H$4,0)),"Check"))</f>
        <v/>
      </c>
      <c r="W78">
        <f>IF(V78="","",IF(V78="No","Yes","No"))</f>
        <v/>
      </c>
      <c r="X78">
        <f>IF(OR(E78="",G78=""),"",IF(LOWER(IF(RIGHT(TRIM(E78),1)="/",LEFT(TRIM(E78),LEN(TRIM(E78))-1),TRIM(E78)))&lt;&gt;LOWER(IF(RIGHT(TRIM(G78),1)="/",LEFT(TRIM(G78),LEN(TRIM(G78))-1),TRIM(G78))),"Yes","No"))</f>
        <v/>
      </c>
      <c r="Y78">
        <f>IF(A78="","",(N(Q78)&gt;0)+(T78="Yes")+(U78="Yes")+(W78="Yes")+(X78="Yes"))</f>
        <v/>
      </c>
      <c r="Z78">
        <f>IF(A78="","",IF(G78="","Not mapped",IF(Y78=0,"OK",MID(IF(N(Q78)&gt;0,"; Cannibalisation","")&amp;IF(T78="Yes","; Too many primary keywords on URL","")&amp;IF(U78="Yes","; URL spans 2+ clusters","")&amp;IF(W78="Yes","; Intent mismatch","")&amp;IF(X78="Yes","; Ranking URL is not the target",""),3,300))))</f>
        <v/>
      </c>
      <c r="AA78">
        <f>IF(G78="","",IF(COUNTIF($G$3:G78,SUBSTITUTE(SUBSTITUTE(G78,"?","~?"),"*","~*"))=1,MAX($AA$2:AA77)+1,""))</f>
        <v/>
      </c>
      <c r="AB78">
        <f>IF(B78="","",IF(COUNTIF($B$3:B78,SUBSTITUTE(SUBSTITUTE(B78,"?","~?"),"*","~*"))=1,MAX($AB$2:AB77)+1,""))</f>
        <v/>
      </c>
    </row>
    <row r="79">
      <c r="M79">
        <f>IF(A79="","",LOWER(TRIM(SUBSTITUTE(SUBSTITUTE(A79,"?",""),"*",""))))</f>
        <v/>
      </c>
      <c r="N79">
        <f>IF(M79="","",IF(SUMPRODUCT(ISNUMBER(SEARCH(" "&amp;Settings!$L$5:$L$124&amp;" "," "&amp;M79&amp;" "))*(Settings!$K$5:$K$124="Navigational")*(Settings!$L$5:$L$124&lt;&gt;""))&gt;0,"Navigational",IF(SUMPRODUCT(ISNUMBER(SEARCH(" "&amp;Settings!$L$5:$L$124&amp;" "," "&amp;M79&amp;" "))*(Settings!$K$5:$K$124="Transactional")*(Settings!$L$5:$L$124&lt;&gt;""))&gt;0,"Transactional",IF(SUMPRODUCT(ISNUMBER(SEARCH(" "&amp;Settings!$L$5:$L$124&amp;" "," "&amp;M79&amp;" "))*(Settings!$K$5:$K$124="Commercial")*(Settings!$L$5:$L$124&lt;&gt;""))&gt;0,"Commercial",IF(SUMPRODUCT(ISNUMBER(SEARCH(" "&amp;Settings!$L$5:$L$124&amp;" "," "&amp;M79&amp;" "))*(Settings!$K$5:$K$124="Informational")*(Settings!$L$5:$L$124&lt;&gt;""))&gt;0,"Informational","Unclassified")))))</f>
        <v/>
      </c>
      <c r="O79">
        <f>IF(A79="","",IF(K79&lt;&gt;"",PROPER(K79),N79))</f>
        <v/>
      </c>
      <c r="P79">
        <f>IF(A79="","",ROUND(Settings!$B$5*MIN(1,LOG10(N(C79)+1)/LOG10(Settings!$B$7+1))+Settings!$B$6*(1-MIN(100,IF(D79="",50,N(D79)))/100)+IFERROR(INDEX(Settings!$B$10:$B$14,MATCH(O79,Settings!$A$10:$A$14,0)),0),0))</f>
        <v/>
      </c>
      <c r="Q79">
        <f>IF(OR(A79="",G79=""),"",COUNTIFS($M$3:$M$1002,M79,$G$3:$G$1002,"&lt;&gt;"&amp;SUBSTITUTE(SUBSTITUTE(G79,"?","~?"),"*","~*"),$G$3:$G$1002,"?*"))</f>
        <v/>
      </c>
      <c r="R79">
        <f>IF(Q79="","",IF(Q79&gt;0,"Yes","No"))</f>
        <v/>
      </c>
      <c r="S79">
        <f>IF(G79="","",COUNTIFS($G$3:$G$1002,SUBSTITUTE(SUBSTITUTE(G79,"?","~?"),"*","~*"),$J$3:$J$1002,"Primary"))</f>
        <v/>
      </c>
      <c r="T79">
        <f>IF(S79="","",IF(S79&gt;Settings!$B$4,"Yes","No"))</f>
        <v/>
      </c>
      <c r="U79">
        <f>IF(OR(G79="",B79=""),"",IF(COUNTIFS($G$3:$G$1002,SUBSTITUTE(SUBSTITUTE(G79,"?","~?"),"*","~*"),$B$3:$B$1002,"&lt;&gt;"&amp;SUBSTITUTE(SUBSTITUTE(B79,"?","~?"),"*","~*"),$B$3:$B$1002,"?*")&gt;0,"Yes","No"))</f>
        <v/>
      </c>
      <c r="V79">
        <f>IF(OR(G79="",I79="",O79="",O79="Unclassified"),"",IFERROR(INDEX(Settings!$E$5:$H$16,MATCH(I79,Settings!$D$5:$D$16,0),MATCH(O79,Settings!$E$4:$H$4,0)),"Check"))</f>
        <v/>
      </c>
      <c r="W79">
        <f>IF(V79="","",IF(V79="No","Yes","No"))</f>
        <v/>
      </c>
      <c r="X79">
        <f>IF(OR(E79="",G79=""),"",IF(LOWER(IF(RIGHT(TRIM(E79),1)="/",LEFT(TRIM(E79),LEN(TRIM(E79))-1),TRIM(E79)))&lt;&gt;LOWER(IF(RIGHT(TRIM(G79),1)="/",LEFT(TRIM(G79),LEN(TRIM(G79))-1),TRIM(G79))),"Yes","No"))</f>
        <v/>
      </c>
      <c r="Y79">
        <f>IF(A79="","",(N(Q79)&gt;0)+(T79="Yes")+(U79="Yes")+(W79="Yes")+(X79="Yes"))</f>
        <v/>
      </c>
      <c r="Z79">
        <f>IF(A79="","",IF(G79="","Not mapped",IF(Y79=0,"OK",MID(IF(N(Q79)&gt;0,"; Cannibalisation","")&amp;IF(T79="Yes","; Too many primary keywords on URL","")&amp;IF(U79="Yes","; URL spans 2+ clusters","")&amp;IF(W79="Yes","; Intent mismatch","")&amp;IF(X79="Yes","; Ranking URL is not the target",""),3,300))))</f>
        <v/>
      </c>
      <c r="AA79">
        <f>IF(G79="","",IF(COUNTIF($G$3:G79,SUBSTITUTE(SUBSTITUTE(G79,"?","~?"),"*","~*"))=1,MAX($AA$2:AA78)+1,""))</f>
        <v/>
      </c>
      <c r="AB79">
        <f>IF(B79="","",IF(COUNTIF($B$3:B79,SUBSTITUTE(SUBSTITUTE(B79,"?","~?"),"*","~*"))=1,MAX($AB$2:AB78)+1,""))</f>
        <v/>
      </c>
    </row>
    <row r="80">
      <c r="M80">
        <f>IF(A80="","",LOWER(TRIM(SUBSTITUTE(SUBSTITUTE(A80,"?",""),"*",""))))</f>
        <v/>
      </c>
      <c r="N80">
        <f>IF(M80="","",IF(SUMPRODUCT(ISNUMBER(SEARCH(" "&amp;Settings!$L$5:$L$124&amp;" "," "&amp;M80&amp;" "))*(Settings!$K$5:$K$124="Navigational")*(Settings!$L$5:$L$124&lt;&gt;""))&gt;0,"Navigational",IF(SUMPRODUCT(ISNUMBER(SEARCH(" "&amp;Settings!$L$5:$L$124&amp;" "," "&amp;M80&amp;" "))*(Settings!$K$5:$K$124="Transactional")*(Settings!$L$5:$L$124&lt;&gt;""))&gt;0,"Transactional",IF(SUMPRODUCT(ISNUMBER(SEARCH(" "&amp;Settings!$L$5:$L$124&amp;" "," "&amp;M80&amp;" "))*(Settings!$K$5:$K$124="Commercial")*(Settings!$L$5:$L$124&lt;&gt;""))&gt;0,"Commercial",IF(SUMPRODUCT(ISNUMBER(SEARCH(" "&amp;Settings!$L$5:$L$124&amp;" "," "&amp;M80&amp;" "))*(Settings!$K$5:$K$124="Informational")*(Settings!$L$5:$L$124&lt;&gt;""))&gt;0,"Informational","Unclassified")))))</f>
        <v/>
      </c>
      <c r="O80">
        <f>IF(A80="","",IF(K80&lt;&gt;"",PROPER(K80),N80))</f>
        <v/>
      </c>
      <c r="P80">
        <f>IF(A80="","",ROUND(Settings!$B$5*MIN(1,LOG10(N(C80)+1)/LOG10(Settings!$B$7+1))+Settings!$B$6*(1-MIN(100,IF(D80="",50,N(D80)))/100)+IFERROR(INDEX(Settings!$B$10:$B$14,MATCH(O80,Settings!$A$10:$A$14,0)),0),0))</f>
        <v/>
      </c>
      <c r="Q80">
        <f>IF(OR(A80="",G80=""),"",COUNTIFS($M$3:$M$1002,M80,$G$3:$G$1002,"&lt;&gt;"&amp;SUBSTITUTE(SUBSTITUTE(G80,"?","~?"),"*","~*"),$G$3:$G$1002,"?*"))</f>
        <v/>
      </c>
      <c r="R80">
        <f>IF(Q80="","",IF(Q80&gt;0,"Yes","No"))</f>
        <v/>
      </c>
      <c r="S80">
        <f>IF(G80="","",COUNTIFS($G$3:$G$1002,SUBSTITUTE(SUBSTITUTE(G80,"?","~?"),"*","~*"),$J$3:$J$1002,"Primary"))</f>
        <v/>
      </c>
      <c r="T80">
        <f>IF(S80="","",IF(S80&gt;Settings!$B$4,"Yes","No"))</f>
        <v/>
      </c>
      <c r="U80">
        <f>IF(OR(G80="",B80=""),"",IF(COUNTIFS($G$3:$G$1002,SUBSTITUTE(SUBSTITUTE(G80,"?","~?"),"*","~*"),$B$3:$B$1002,"&lt;&gt;"&amp;SUBSTITUTE(SUBSTITUTE(B80,"?","~?"),"*","~*"),$B$3:$B$1002,"?*")&gt;0,"Yes","No"))</f>
        <v/>
      </c>
      <c r="V80">
        <f>IF(OR(G80="",I80="",O80="",O80="Unclassified"),"",IFERROR(INDEX(Settings!$E$5:$H$16,MATCH(I80,Settings!$D$5:$D$16,0),MATCH(O80,Settings!$E$4:$H$4,0)),"Check"))</f>
        <v/>
      </c>
      <c r="W80">
        <f>IF(V80="","",IF(V80="No","Yes","No"))</f>
        <v/>
      </c>
      <c r="X80">
        <f>IF(OR(E80="",G80=""),"",IF(LOWER(IF(RIGHT(TRIM(E80),1)="/",LEFT(TRIM(E80),LEN(TRIM(E80))-1),TRIM(E80)))&lt;&gt;LOWER(IF(RIGHT(TRIM(G80),1)="/",LEFT(TRIM(G80),LEN(TRIM(G80))-1),TRIM(G80))),"Yes","No"))</f>
        <v/>
      </c>
      <c r="Y80">
        <f>IF(A80="","",(N(Q80)&gt;0)+(T80="Yes")+(U80="Yes")+(W80="Yes")+(X80="Yes"))</f>
        <v/>
      </c>
      <c r="Z80">
        <f>IF(A80="","",IF(G80="","Not mapped",IF(Y80=0,"OK",MID(IF(N(Q80)&gt;0,"; Cannibalisation","")&amp;IF(T80="Yes","; Too many primary keywords on URL","")&amp;IF(U80="Yes","; URL spans 2+ clusters","")&amp;IF(W80="Yes","; Intent mismatch","")&amp;IF(X80="Yes","; Ranking URL is not the target",""),3,300))))</f>
        <v/>
      </c>
      <c r="AA80">
        <f>IF(G80="","",IF(COUNTIF($G$3:G80,SUBSTITUTE(SUBSTITUTE(G80,"?","~?"),"*","~*"))=1,MAX($AA$2:AA79)+1,""))</f>
        <v/>
      </c>
      <c r="AB80">
        <f>IF(B80="","",IF(COUNTIF($B$3:B80,SUBSTITUTE(SUBSTITUTE(B80,"?","~?"),"*","~*"))=1,MAX($AB$2:AB79)+1,""))</f>
        <v/>
      </c>
    </row>
    <row r="81">
      <c r="M81">
        <f>IF(A81="","",LOWER(TRIM(SUBSTITUTE(SUBSTITUTE(A81,"?",""),"*",""))))</f>
        <v/>
      </c>
      <c r="N81">
        <f>IF(M81="","",IF(SUMPRODUCT(ISNUMBER(SEARCH(" "&amp;Settings!$L$5:$L$124&amp;" "," "&amp;M81&amp;" "))*(Settings!$K$5:$K$124="Navigational")*(Settings!$L$5:$L$124&lt;&gt;""))&gt;0,"Navigational",IF(SUMPRODUCT(ISNUMBER(SEARCH(" "&amp;Settings!$L$5:$L$124&amp;" "," "&amp;M81&amp;" "))*(Settings!$K$5:$K$124="Transactional")*(Settings!$L$5:$L$124&lt;&gt;""))&gt;0,"Transactional",IF(SUMPRODUCT(ISNUMBER(SEARCH(" "&amp;Settings!$L$5:$L$124&amp;" "," "&amp;M81&amp;" "))*(Settings!$K$5:$K$124="Commercial")*(Settings!$L$5:$L$124&lt;&gt;""))&gt;0,"Commercial",IF(SUMPRODUCT(ISNUMBER(SEARCH(" "&amp;Settings!$L$5:$L$124&amp;" "," "&amp;M81&amp;" "))*(Settings!$K$5:$K$124="Informational")*(Settings!$L$5:$L$124&lt;&gt;""))&gt;0,"Informational","Unclassified")))))</f>
        <v/>
      </c>
      <c r="O81">
        <f>IF(A81="","",IF(K81&lt;&gt;"",PROPER(K81),N81))</f>
        <v/>
      </c>
      <c r="P81">
        <f>IF(A81="","",ROUND(Settings!$B$5*MIN(1,LOG10(N(C81)+1)/LOG10(Settings!$B$7+1))+Settings!$B$6*(1-MIN(100,IF(D81="",50,N(D81)))/100)+IFERROR(INDEX(Settings!$B$10:$B$14,MATCH(O81,Settings!$A$10:$A$14,0)),0),0))</f>
        <v/>
      </c>
      <c r="Q81">
        <f>IF(OR(A81="",G81=""),"",COUNTIFS($M$3:$M$1002,M81,$G$3:$G$1002,"&lt;&gt;"&amp;SUBSTITUTE(SUBSTITUTE(G81,"?","~?"),"*","~*"),$G$3:$G$1002,"?*"))</f>
        <v/>
      </c>
      <c r="R81">
        <f>IF(Q81="","",IF(Q81&gt;0,"Yes","No"))</f>
        <v/>
      </c>
      <c r="S81">
        <f>IF(G81="","",COUNTIFS($G$3:$G$1002,SUBSTITUTE(SUBSTITUTE(G81,"?","~?"),"*","~*"),$J$3:$J$1002,"Primary"))</f>
        <v/>
      </c>
      <c r="T81">
        <f>IF(S81="","",IF(S81&gt;Settings!$B$4,"Yes","No"))</f>
        <v/>
      </c>
      <c r="U81">
        <f>IF(OR(G81="",B81=""),"",IF(COUNTIFS($G$3:$G$1002,SUBSTITUTE(SUBSTITUTE(G81,"?","~?"),"*","~*"),$B$3:$B$1002,"&lt;&gt;"&amp;SUBSTITUTE(SUBSTITUTE(B81,"?","~?"),"*","~*"),$B$3:$B$1002,"?*")&gt;0,"Yes","No"))</f>
        <v/>
      </c>
      <c r="V81">
        <f>IF(OR(G81="",I81="",O81="",O81="Unclassified"),"",IFERROR(INDEX(Settings!$E$5:$H$16,MATCH(I81,Settings!$D$5:$D$16,0),MATCH(O81,Settings!$E$4:$H$4,0)),"Check"))</f>
        <v/>
      </c>
      <c r="W81">
        <f>IF(V81="","",IF(V81="No","Yes","No"))</f>
        <v/>
      </c>
      <c r="X81">
        <f>IF(OR(E81="",G81=""),"",IF(LOWER(IF(RIGHT(TRIM(E81),1)="/",LEFT(TRIM(E81),LEN(TRIM(E81))-1),TRIM(E81)))&lt;&gt;LOWER(IF(RIGHT(TRIM(G81),1)="/",LEFT(TRIM(G81),LEN(TRIM(G81))-1),TRIM(G81))),"Yes","No"))</f>
        <v/>
      </c>
      <c r="Y81">
        <f>IF(A81="","",(N(Q81)&gt;0)+(T81="Yes")+(U81="Yes")+(W81="Yes")+(X81="Yes"))</f>
        <v/>
      </c>
      <c r="Z81">
        <f>IF(A81="","",IF(G81="","Not mapped",IF(Y81=0,"OK",MID(IF(N(Q81)&gt;0,"; Cannibalisation","")&amp;IF(T81="Yes","; Too many primary keywords on URL","")&amp;IF(U81="Yes","; URL spans 2+ clusters","")&amp;IF(W81="Yes","; Intent mismatch","")&amp;IF(X81="Yes","; Ranking URL is not the target",""),3,300))))</f>
        <v/>
      </c>
      <c r="AA81">
        <f>IF(G81="","",IF(COUNTIF($G$3:G81,SUBSTITUTE(SUBSTITUTE(G81,"?","~?"),"*","~*"))=1,MAX($AA$2:AA80)+1,""))</f>
        <v/>
      </c>
      <c r="AB81">
        <f>IF(B81="","",IF(COUNTIF($B$3:B81,SUBSTITUTE(SUBSTITUTE(B81,"?","~?"),"*","~*"))=1,MAX($AB$2:AB80)+1,""))</f>
        <v/>
      </c>
    </row>
    <row r="82">
      <c r="M82">
        <f>IF(A82="","",LOWER(TRIM(SUBSTITUTE(SUBSTITUTE(A82,"?",""),"*",""))))</f>
        <v/>
      </c>
      <c r="N82">
        <f>IF(M82="","",IF(SUMPRODUCT(ISNUMBER(SEARCH(" "&amp;Settings!$L$5:$L$124&amp;" "," "&amp;M82&amp;" "))*(Settings!$K$5:$K$124="Navigational")*(Settings!$L$5:$L$124&lt;&gt;""))&gt;0,"Navigational",IF(SUMPRODUCT(ISNUMBER(SEARCH(" "&amp;Settings!$L$5:$L$124&amp;" "," "&amp;M82&amp;" "))*(Settings!$K$5:$K$124="Transactional")*(Settings!$L$5:$L$124&lt;&gt;""))&gt;0,"Transactional",IF(SUMPRODUCT(ISNUMBER(SEARCH(" "&amp;Settings!$L$5:$L$124&amp;" "," "&amp;M82&amp;" "))*(Settings!$K$5:$K$124="Commercial")*(Settings!$L$5:$L$124&lt;&gt;""))&gt;0,"Commercial",IF(SUMPRODUCT(ISNUMBER(SEARCH(" "&amp;Settings!$L$5:$L$124&amp;" "," "&amp;M82&amp;" "))*(Settings!$K$5:$K$124="Informational")*(Settings!$L$5:$L$124&lt;&gt;""))&gt;0,"Informational","Unclassified")))))</f>
        <v/>
      </c>
      <c r="O82">
        <f>IF(A82="","",IF(K82&lt;&gt;"",PROPER(K82),N82))</f>
        <v/>
      </c>
      <c r="P82">
        <f>IF(A82="","",ROUND(Settings!$B$5*MIN(1,LOG10(N(C82)+1)/LOG10(Settings!$B$7+1))+Settings!$B$6*(1-MIN(100,IF(D82="",50,N(D82)))/100)+IFERROR(INDEX(Settings!$B$10:$B$14,MATCH(O82,Settings!$A$10:$A$14,0)),0),0))</f>
        <v/>
      </c>
      <c r="Q82">
        <f>IF(OR(A82="",G82=""),"",COUNTIFS($M$3:$M$1002,M82,$G$3:$G$1002,"&lt;&gt;"&amp;SUBSTITUTE(SUBSTITUTE(G82,"?","~?"),"*","~*"),$G$3:$G$1002,"?*"))</f>
        <v/>
      </c>
      <c r="R82">
        <f>IF(Q82="","",IF(Q82&gt;0,"Yes","No"))</f>
        <v/>
      </c>
      <c r="S82">
        <f>IF(G82="","",COUNTIFS($G$3:$G$1002,SUBSTITUTE(SUBSTITUTE(G82,"?","~?"),"*","~*"),$J$3:$J$1002,"Primary"))</f>
        <v/>
      </c>
      <c r="T82">
        <f>IF(S82="","",IF(S82&gt;Settings!$B$4,"Yes","No"))</f>
        <v/>
      </c>
      <c r="U82">
        <f>IF(OR(G82="",B82=""),"",IF(COUNTIFS($G$3:$G$1002,SUBSTITUTE(SUBSTITUTE(G82,"?","~?"),"*","~*"),$B$3:$B$1002,"&lt;&gt;"&amp;SUBSTITUTE(SUBSTITUTE(B82,"?","~?"),"*","~*"),$B$3:$B$1002,"?*")&gt;0,"Yes","No"))</f>
        <v/>
      </c>
      <c r="V82">
        <f>IF(OR(G82="",I82="",O82="",O82="Unclassified"),"",IFERROR(INDEX(Settings!$E$5:$H$16,MATCH(I82,Settings!$D$5:$D$16,0),MATCH(O82,Settings!$E$4:$H$4,0)),"Check"))</f>
        <v/>
      </c>
      <c r="W82">
        <f>IF(V82="","",IF(V82="No","Yes","No"))</f>
        <v/>
      </c>
      <c r="X82">
        <f>IF(OR(E82="",G82=""),"",IF(LOWER(IF(RIGHT(TRIM(E82),1)="/",LEFT(TRIM(E82),LEN(TRIM(E82))-1),TRIM(E82)))&lt;&gt;LOWER(IF(RIGHT(TRIM(G82),1)="/",LEFT(TRIM(G82),LEN(TRIM(G82))-1),TRIM(G82))),"Yes","No"))</f>
        <v/>
      </c>
      <c r="Y82">
        <f>IF(A82="","",(N(Q82)&gt;0)+(T82="Yes")+(U82="Yes")+(W82="Yes")+(X82="Yes"))</f>
        <v/>
      </c>
      <c r="Z82">
        <f>IF(A82="","",IF(G82="","Not mapped",IF(Y82=0,"OK",MID(IF(N(Q82)&gt;0,"; Cannibalisation","")&amp;IF(T82="Yes","; Too many primary keywords on URL","")&amp;IF(U82="Yes","; URL spans 2+ clusters","")&amp;IF(W82="Yes","; Intent mismatch","")&amp;IF(X82="Yes","; Ranking URL is not the target",""),3,300))))</f>
        <v/>
      </c>
      <c r="AA82">
        <f>IF(G82="","",IF(COUNTIF($G$3:G82,SUBSTITUTE(SUBSTITUTE(G82,"?","~?"),"*","~*"))=1,MAX($AA$2:AA81)+1,""))</f>
        <v/>
      </c>
      <c r="AB82">
        <f>IF(B82="","",IF(COUNTIF($B$3:B82,SUBSTITUTE(SUBSTITUTE(B82,"?","~?"),"*","~*"))=1,MAX($AB$2:AB81)+1,""))</f>
        <v/>
      </c>
    </row>
    <row r="83">
      <c r="M83">
        <f>IF(A83="","",LOWER(TRIM(SUBSTITUTE(SUBSTITUTE(A83,"?",""),"*",""))))</f>
        <v/>
      </c>
      <c r="N83">
        <f>IF(M83="","",IF(SUMPRODUCT(ISNUMBER(SEARCH(" "&amp;Settings!$L$5:$L$124&amp;" "," "&amp;M83&amp;" "))*(Settings!$K$5:$K$124="Navigational")*(Settings!$L$5:$L$124&lt;&gt;""))&gt;0,"Navigational",IF(SUMPRODUCT(ISNUMBER(SEARCH(" "&amp;Settings!$L$5:$L$124&amp;" "," "&amp;M83&amp;" "))*(Settings!$K$5:$K$124="Transactional")*(Settings!$L$5:$L$124&lt;&gt;""))&gt;0,"Transactional",IF(SUMPRODUCT(ISNUMBER(SEARCH(" "&amp;Settings!$L$5:$L$124&amp;" "," "&amp;M83&amp;" "))*(Settings!$K$5:$K$124="Commercial")*(Settings!$L$5:$L$124&lt;&gt;""))&gt;0,"Commercial",IF(SUMPRODUCT(ISNUMBER(SEARCH(" "&amp;Settings!$L$5:$L$124&amp;" "," "&amp;M83&amp;" "))*(Settings!$K$5:$K$124="Informational")*(Settings!$L$5:$L$124&lt;&gt;""))&gt;0,"Informational","Unclassified")))))</f>
        <v/>
      </c>
      <c r="O83">
        <f>IF(A83="","",IF(K83&lt;&gt;"",PROPER(K83),N83))</f>
        <v/>
      </c>
      <c r="P83">
        <f>IF(A83="","",ROUND(Settings!$B$5*MIN(1,LOG10(N(C83)+1)/LOG10(Settings!$B$7+1))+Settings!$B$6*(1-MIN(100,IF(D83="",50,N(D83)))/100)+IFERROR(INDEX(Settings!$B$10:$B$14,MATCH(O83,Settings!$A$10:$A$14,0)),0),0))</f>
        <v/>
      </c>
      <c r="Q83">
        <f>IF(OR(A83="",G83=""),"",COUNTIFS($M$3:$M$1002,M83,$G$3:$G$1002,"&lt;&gt;"&amp;SUBSTITUTE(SUBSTITUTE(G83,"?","~?"),"*","~*"),$G$3:$G$1002,"?*"))</f>
        <v/>
      </c>
      <c r="R83">
        <f>IF(Q83="","",IF(Q83&gt;0,"Yes","No"))</f>
        <v/>
      </c>
      <c r="S83">
        <f>IF(G83="","",COUNTIFS($G$3:$G$1002,SUBSTITUTE(SUBSTITUTE(G83,"?","~?"),"*","~*"),$J$3:$J$1002,"Primary"))</f>
        <v/>
      </c>
      <c r="T83">
        <f>IF(S83="","",IF(S83&gt;Settings!$B$4,"Yes","No"))</f>
        <v/>
      </c>
      <c r="U83">
        <f>IF(OR(G83="",B83=""),"",IF(COUNTIFS($G$3:$G$1002,SUBSTITUTE(SUBSTITUTE(G83,"?","~?"),"*","~*"),$B$3:$B$1002,"&lt;&gt;"&amp;SUBSTITUTE(SUBSTITUTE(B83,"?","~?"),"*","~*"),$B$3:$B$1002,"?*")&gt;0,"Yes","No"))</f>
        <v/>
      </c>
      <c r="V83">
        <f>IF(OR(G83="",I83="",O83="",O83="Unclassified"),"",IFERROR(INDEX(Settings!$E$5:$H$16,MATCH(I83,Settings!$D$5:$D$16,0),MATCH(O83,Settings!$E$4:$H$4,0)),"Check"))</f>
        <v/>
      </c>
      <c r="W83">
        <f>IF(V83="","",IF(V83="No","Yes","No"))</f>
        <v/>
      </c>
      <c r="X83">
        <f>IF(OR(E83="",G83=""),"",IF(LOWER(IF(RIGHT(TRIM(E83),1)="/",LEFT(TRIM(E83),LEN(TRIM(E83))-1),TRIM(E83)))&lt;&gt;LOWER(IF(RIGHT(TRIM(G83),1)="/",LEFT(TRIM(G83),LEN(TRIM(G83))-1),TRIM(G83))),"Yes","No"))</f>
        <v/>
      </c>
      <c r="Y83">
        <f>IF(A83="","",(N(Q83)&gt;0)+(T83="Yes")+(U83="Yes")+(W83="Yes")+(X83="Yes"))</f>
        <v/>
      </c>
      <c r="Z83">
        <f>IF(A83="","",IF(G83="","Not mapped",IF(Y83=0,"OK",MID(IF(N(Q83)&gt;0,"; Cannibalisation","")&amp;IF(T83="Yes","; Too many primary keywords on URL","")&amp;IF(U83="Yes","; URL spans 2+ clusters","")&amp;IF(W83="Yes","; Intent mismatch","")&amp;IF(X83="Yes","; Ranking URL is not the target",""),3,300))))</f>
        <v/>
      </c>
      <c r="AA83">
        <f>IF(G83="","",IF(COUNTIF($G$3:G83,SUBSTITUTE(SUBSTITUTE(G83,"?","~?"),"*","~*"))=1,MAX($AA$2:AA82)+1,""))</f>
        <v/>
      </c>
      <c r="AB83">
        <f>IF(B83="","",IF(COUNTIF($B$3:B83,SUBSTITUTE(SUBSTITUTE(B83,"?","~?"),"*","~*"))=1,MAX($AB$2:AB82)+1,""))</f>
        <v/>
      </c>
    </row>
    <row r="84">
      <c r="M84">
        <f>IF(A84="","",LOWER(TRIM(SUBSTITUTE(SUBSTITUTE(A84,"?",""),"*",""))))</f>
        <v/>
      </c>
      <c r="N84">
        <f>IF(M84="","",IF(SUMPRODUCT(ISNUMBER(SEARCH(" "&amp;Settings!$L$5:$L$124&amp;" "," "&amp;M84&amp;" "))*(Settings!$K$5:$K$124="Navigational")*(Settings!$L$5:$L$124&lt;&gt;""))&gt;0,"Navigational",IF(SUMPRODUCT(ISNUMBER(SEARCH(" "&amp;Settings!$L$5:$L$124&amp;" "," "&amp;M84&amp;" "))*(Settings!$K$5:$K$124="Transactional")*(Settings!$L$5:$L$124&lt;&gt;""))&gt;0,"Transactional",IF(SUMPRODUCT(ISNUMBER(SEARCH(" "&amp;Settings!$L$5:$L$124&amp;" "," "&amp;M84&amp;" "))*(Settings!$K$5:$K$124="Commercial")*(Settings!$L$5:$L$124&lt;&gt;""))&gt;0,"Commercial",IF(SUMPRODUCT(ISNUMBER(SEARCH(" "&amp;Settings!$L$5:$L$124&amp;" "," "&amp;M84&amp;" "))*(Settings!$K$5:$K$124="Informational")*(Settings!$L$5:$L$124&lt;&gt;""))&gt;0,"Informational","Unclassified")))))</f>
        <v/>
      </c>
      <c r="O84">
        <f>IF(A84="","",IF(K84&lt;&gt;"",PROPER(K84),N84))</f>
        <v/>
      </c>
      <c r="P84">
        <f>IF(A84="","",ROUND(Settings!$B$5*MIN(1,LOG10(N(C84)+1)/LOG10(Settings!$B$7+1))+Settings!$B$6*(1-MIN(100,IF(D84="",50,N(D84)))/100)+IFERROR(INDEX(Settings!$B$10:$B$14,MATCH(O84,Settings!$A$10:$A$14,0)),0),0))</f>
        <v/>
      </c>
      <c r="Q84">
        <f>IF(OR(A84="",G84=""),"",COUNTIFS($M$3:$M$1002,M84,$G$3:$G$1002,"&lt;&gt;"&amp;SUBSTITUTE(SUBSTITUTE(G84,"?","~?"),"*","~*"),$G$3:$G$1002,"?*"))</f>
        <v/>
      </c>
      <c r="R84">
        <f>IF(Q84="","",IF(Q84&gt;0,"Yes","No"))</f>
        <v/>
      </c>
      <c r="S84">
        <f>IF(G84="","",COUNTIFS($G$3:$G$1002,SUBSTITUTE(SUBSTITUTE(G84,"?","~?"),"*","~*"),$J$3:$J$1002,"Primary"))</f>
        <v/>
      </c>
      <c r="T84">
        <f>IF(S84="","",IF(S84&gt;Settings!$B$4,"Yes","No"))</f>
        <v/>
      </c>
      <c r="U84">
        <f>IF(OR(G84="",B84=""),"",IF(COUNTIFS($G$3:$G$1002,SUBSTITUTE(SUBSTITUTE(G84,"?","~?"),"*","~*"),$B$3:$B$1002,"&lt;&gt;"&amp;SUBSTITUTE(SUBSTITUTE(B84,"?","~?"),"*","~*"),$B$3:$B$1002,"?*")&gt;0,"Yes","No"))</f>
        <v/>
      </c>
      <c r="V84">
        <f>IF(OR(G84="",I84="",O84="",O84="Unclassified"),"",IFERROR(INDEX(Settings!$E$5:$H$16,MATCH(I84,Settings!$D$5:$D$16,0),MATCH(O84,Settings!$E$4:$H$4,0)),"Check"))</f>
        <v/>
      </c>
      <c r="W84">
        <f>IF(V84="","",IF(V84="No","Yes","No"))</f>
        <v/>
      </c>
      <c r="X84">
        <f>IF(OR(E84="",G84=""),"",IF(LOWER(IF(RIGHT(TRIM(E84),1)="/",LEFT(TRIM(E84),LEN(TRIM(E84))-1),TRIM(E84)))&lt;&gt;LOWER(IF(RIGHT(TRIM(G84),1)="/",LEFT(TRIM(G84),LEN(TRIM(G84))-1),TRIM(G84))),"Yes","No"))</f>
        <v/>
      </c>
      <c r="Y84">
        <f>IF(A84="","",(N(Q84)&gt;0)+(T84="Yes")+(U84="Yes")+(W84="Yes")+(X84="Yes"))</f>
        <v/>
      </c>
      <c r="Z84">
        <f>IF(A84="","",IF(G84="","Not mapped",IF(Y84=0,"OK",MID(IF(N(Q84)&gt;0,"; Cannibalisation","")&amp;IF(T84="Yes","; Too many primary keywords on URL","")&amp;IF(U84="Yes","; URL spans 2+ clusters","")&amp;IF(W84="Yes","; Intent mismatch","")&amp;IF(X84="Yes","; Ranking URL is not the target",""),3,300))))</f>
        <v/>
      </c>
      <c r="AA84">
        <f>IF(G84="","",IF(COUNTIF($G$3:G84,SUBSTITUTE(SUBSTITUTE(G84,"?","~?"),"*","~*"))=1,MAX($AA$2:AA83)+1,""))</f>
        <v/>
      </c>
      <c r="AB84">
        <f>IF(B84="","",IF(COUNTIF($B$3:B84,SUBSTITUTE(SUBSTITUTE(B84,"?","~?"),"*","~*"))=1,MAX($AB$2:AB83)+1,""))</f>
        <v/>
      </c>
    </row>
    <row r="85">
      <c r="M85">
        <f>IF(A85="","",LOWER(TRIM(SUBSTITUTE(SUBSTITUTE(A85,"?",""),"*",""))))</f>
        <v/>
      </c>
      <c r="N85">
        <f>IF(M85="","",IF(SUMPRODUCT(ISNUMBER(SEARCH(" "&amp;Settings!$L$5:$L$124&amp;" "," "&amp;M85&amp;" "))*(Settings!$K$5:$K$124="Navigational")*(Settings!$L$5:$L$124&lt;&gt;""))&gt;0,"Navigational",IF(SUMPRODUCT(ISNUMBER(SEARCH(" "&amp;Settings!$L$5:$L$124&amp;" "," "&amp;M85&amp;" "))*(Settings!$K$5:$K$124="Transactional")*(Settings!$L$5:$L$124&lt;&gt;""))&gt;0,"Transactional",IF(SUMPRODUCT(ISNUMBER(SEARCH(" "&amp;Settings!$L$5:$L$124&amp;" "," "&amp;M85&amp;" "))*(Settings!$K$5:$K$124="Commercial")*(Settings!$L$5:$L$124&lt;&gt;""))&gt;0,"Commercial",IF(SUMPRODUCT(ISNUMBER(SEARCH(" "&amp;Settings!$L$5:$L$124&amp;" "," "&amp;M85&amp;" "))*(Settings!$K$5:$K$124="Informational")*(Settings!$L$5:$L$124&lt;&gt;""))&gt;0,"Informational","Unclassified")))))</f>
        <v/>
      </c>
      <c r="O85">
        <f>IF(A85="","",IF(K85&lt;&gt;"",PROPER(K85),N85))</f>
        <v/>
      </c>
      <c r="P85">
        <f>IF(A85="","",ROUND(Settings!$B$5*MIN(1,LOG10(N(C85)+1)/LOG10(Settings!$B$7+1))+Settings!$B$6*(1-MIN(100,IF(D85="",50,N(D85)))/100)+IFERROR(INDEX(Settings!$B$10:$B$14,MATCH(O85,Settings!$A$10:$A$14,0)),0),0))</f>
        <v/>
      </c>
      <c r="Q85">
        <f>IF(OR(A85="",G85=""),"",COUNTIFS($M$3:$M$1002,M85,$G$3:$G$1002,"&lt;&gt;"&amp;SUBSTITUTE(SUBSTITUTE(G85,"?","~?"),"*","~*"),$G$3:$G$1002,"?*"))</f>
        <v/>
      </c>
      <c r="R85">
        <f>IF(Q85="","",IF(Q85&gt;0,"Yes","No"))</f>
        <v/>
      </c>
      <c r="S85">
        <f>IF(G85="","",COUNTIFS($G$3:$G$1002,SUBSTITUTE(SUBSTITUTE(G85,"?","~?"),"*","~*"),$J$3:$J$1002,"Primary"))</f>
        <v/>
      </c>
      <c r="T85">
        <f>IF(S85="","",IF(S85&gt;Settings!$B$4,"Yes","No"))</f>
        <v/>
      </c>
      <c r="U85">
        <f>IF(OR(G85="",B85=""),"",IF(COUNTIFS($G$3:$G$1002,SUBSTITUTE(SUBSTITUTE(G85,"?","~?"),"*","~*"),$B$3:$B$1002,"&lt;&gt;"&amp;SUBSTITUTE(SUBSTITUTE(B85,"?","~?"),"*","~*"),$B$3:$B$1002,"?*")&gt;0,"Yes","No"))</f>
        <v/>
      </c>
      <c r="V85">
        <f>IF(OR(G85="",I85="",O85="",O85="Unclassified"),"",IFERROR(INDEX(Settings!$E$5:$H$16,MATCH(I85,Settings!$D$5:$D$16,0),MATCH(O85,Settings!$E$4:$H$4,0)),"Check"))</f>
        <v/>
      </c>
      <c r="W85">
        <f>IF(V85="","",IF(V85="No","Yes","No"))</f>
        <v/>
      </c>
      <c r="X85">
        <f>IF(OR(E85="",G85=""),"",IF(LOWER(IF(RIGHT(TRIM(E85),1)="/",LEFT(TRIM(E85),LEN(TRIM(E85))-1),TRIM(E85)))&lt;&gt;LOWER(IF(RIGHT(TRIM(G85),1)="/",LEFT(TRIM(G85),LEN(TRIM(G85))-1),TRIM(G85))),"Yes","No"))</f>
        <v/>
      </c>
      <c r="Y85">
        <f>IF(A85="","",(N(Q85)&gt;0)+(T85="Yes")+(U85="Yes")+(W85="Yes")+(X85="Yes"))</f>
        <v/>
      </c>
      <c r="Z85">
        <f>IF(A85="","",IF(G85="","Not mapped",IF(Y85=0,"OK",MID(IF(N(Q85)&gt;0,"; Cannibalisation","")&amp;IF(T85="Yes","; Too many primary keywords on URL","")&amp;IF(U85="Yes","; URL spans 2+ clusters","")&amp;IF(W85="Yes","; Intent mismatch","")&amp;IF(X85="Yes","; Ranking URL is not the target",""),3,300))))</f>
        <v/>
      </c>
      <c r="AA85">
        <f>IF(G85="","",IF(COUNTIF($G$3:G85,SUBSTITUTE(SUBSTITUTE(G85,"?","~?"),"*","~*"))=1,MAX($AA$2:AA84)+1,""))</f>
        <v/>
      </c>
      <c r="AB85">
        <f>IF(B85="","",IF(COUNTIF($B$3:B85,SUBSTITUTE(SUBSTITUTE(B85,"?","~?"),"*","~*"))=1,MAX($AB$2:AB84)+1,""))</f>
        <v/>
      </c>
    </row>
    <row r="86">
      <c r="M86">
        <f>IF(A86="","",LOWER(TRIM(SUBSTITUTE(SUBSTITUTE(A86,"?",""),"*",""))))</f>
        <v/>
      </c>
      <c r="N86">
        <f>IF(M86="","",IF(SUMPRODUCT(ISNUMBER(SEARCH(" "&amp;Settings!$L$5:$L$124&amp;" "," "&amp;M86&amp;" "))*(Settings!$K$5:$K$124="Navigational")*(Settings!$L$5:$L$124&lt;&gt;""))&gt;0,"Navigational",IF(SUMPRODUCT(ISNUMBER(SEARCH(" "&amp;Settings!$L$5:$L$124&amp;" "," "&amp;M86&amp;" "))*(Settings!$K$5:$K$124="Transactional")*(Settings!$L$5:$L$124&lt;&gt;""))&gt;0,"Transactional",IF(SUMPRODUCT(ISNUMBER(SEARCH(" "&amp;Settings!$L$5:$L$124&amp;" "," "&amp;M86&amp;" "))*(Settings!$K$5:$K$124="Commercial")*(Settings!$L$5:$L$124&lt;&gt;""))&gt;0,"Commercial",IF(SUMPRODUCT(ISNUMBER(SEARCH(" "&amp;Settings!$L$5:$L$124&amp;" "," "&amp;M86&amp;" "))*(Settings!$K$5:$K$124="Informational")*(Settings!$L$5:$L$124&lt;&gt;""))&gt;0,"Informational","Unclassified")))))</f>
        <v/>
      </c>
      <c r="O86">
        <f>IF(A86="","",IF(K86&lt;&gt;"",PROPER(K86),N86))</f>
        <v/>
      </c>
      <c r="P86">
        <f>IF(A86="","",ROUND(Settings!$B$5*MIN(1,LOG10(N(C86)+1)/LOG10(Settings!$B$7+1))+Settings!$B$6*(1-MIN(100,IF(D86="",50,N(D86)))/100)+IFERROR(INDEX(Settings!$B$10:$B$14,MATCH(O86,Settings!$A$10:$A$14,0)),0),0))</f>
        <v/>
      </c>
      <c r="Q86">
        <f>IF(OR(A86="",G86=""),"",COUNTIFS($M$3:$M$1002,M86,$G$3:$G$1002,"&lt;&gt;"&amp;SUBSTITUTE(SUBSTITUTE(G86,"?","~?"),"*","~*"),$G$3:$G$1002,"?*"))</f>
        <v/>
      </c>
      <c r="R86">
        <f>IF(Q86="","",IF(Q86&gt;0,"Yes","No"))</f>
        <v/>
      </c>
      <c r="S86">
        <f>IF(G86="","",COUNTIFS($G$3:$G$1002,SUBSTITUTE(SUBSTITUTE(G86,"?","~?"),"*","~*"),$J$3:$J$1002,"Primary"))</f>
        <v/>
      </c>
      <c r="T86">
        <f>IF(S86="","",IF(S86&gt;Settings!$B$4,"Yes","No"))</f>
        <v/>
      </c>
      <c r="U86">
        <f>IF(OR(G86="",B86=""),"",IF(COUNTIFS($G$3:$G$1002,SUBSTITUTE(SUBSTITUTE(G86,"?","~?"),"*","~*"),$B$3:$B$1002,"&lt;&gt;"&amp;SUBSTITUTE(SUBSTITUTE(B86,"?","~?"),"*","~*"),$B$3:$B$1002,"?*")&gt;0,"Yes","No"))</f>
        <v/>
      </c>
      <c r="V86">
        <f>IF(OR(G86="",I86="",O86="",O86="Unclassified"),"",IFERROR(INDEX(Settings!$E$5:$H$16,MATCH(I86,Settings!$D$5:$D$16,0),MATCH(O86,Settings!$E$4:$H$4,0)),"Check"))</f>
        <v/>
      </c>
      <c r="W86">
        <f>IF(V86="","",IF(V86="No","Yes","No"))</f>
        <v/>
      </c>
      <c r="X86">
        <f>IF(OR(E86="",G86=""),"",IF(LOWER(IF(RIGHT(TRIM(E86),1)="/",LEFT(TRIM(E86),LEN(TRIM(E86))-1),TRIM(E86)))&lt;&gt;LOWER(IF(RIGHT(TRIM(G86),1)="/",LEFT(TRIM(G86),LEN(TRIM(G86))-1),TRIM(G86))),"Yes","No"))</f>
        <v/>
      </c>
      <c r="Y86">
        <f>IF(A86="","",(N(Q86)&gt;0)+(T86="Yes")+(U86="Yes")+(W86="Yes")+(X86="Yes"))</f>
        <v/>
      </c>
      <c r="Z86">
        <f>IF(A86="","",IF(G86="","Not mapped",IF(Y86=0,"OK",MID(IF(N(Q86)&gt;0,"; Cannibalisation","")&amp;IF(T86="Yes","; Too many primary keywords on URL","")&amp;IF(U86="Yes","; URL spans 2+ clusters","")&amp;IF(W86="Yes","; Intent mismatch","")&amp;IF(X86="Yes","; Ranking URL is not the target",""),3,300))))</f>
        <v/>
      </c>
      <c r="AA86">
        <f>IF(G86="","",IF(COUNTIF($G$3:G86,SUBSTITUTE(SUBSTITUTE(G86,"?","~?"),"*","~*"))=1,MAX($AA$2:AA85)+1,""))</f>
        <v/>
      </c>
      <c r="AB86">
        <f>IF(B86="","",IF(COUNTIF($B$3:B86,SUBSTITUTE(SUBSTITUTE(B86,"?","~?"),"*","~*"))=1,MAX($AB$2:AB85)+1,""))</f>
        <v/>
      </c>
    </row>
    <row r="87">
      <c r="M87">
        <f>IF(A87="","",LOWER(TRIM(SUBSTITUTE(SUBSTITUTE(A87,"?",""),"*",""))))</f>
        <v/>
      </c>
      <c r="N87">
        <f>IF(M87="","",IF(SUMPRODUCT(ISNUMBER(SEARCH(" "&amp;Settings!$L$5:$L$124&amp;" "," "&amp;M87&amp;" "))*(Settings!$K$5:$K$124="Navigational")*(Settings!$L$5:$L$124&lt;&gt;""))&gt;0,"Navigational",IF(SUMPRODUCT(ISNUMBER(SEARCH(" "&amp;Settings!$L$5:$L$124&amp;" "," "&amp;M87&amp;" "))*(Settings!$K$5:$K$124="Transactional")*(Settings!$L$5:$L$124&lt;&gt;""))&gt;0,"Transactional",IF(SUMPRODUCT(ISNUMBER(SEARCH(" "&amp;Settings!$L$5:$L$124&amp;" "," "&amp;M87&amp;" "))*(Settings!$K$5:$K$124="Commercial")*(Settings!$L$5:$L$124&lt;&gt;""))&gt;0,"Commercial",IF(SUMPRODUCT(ISNUMBER(SEARCH(" "&amp;Settings!$L$5:$L$124&amp;" "," "&amp;M87&amp;" "))*(Settings!$K$5:$K$124="Informational")*(Settings!$L$5:$L$124&lt;&gt;""))&gt;0,"Informational","Unclassified")))))</f>
        <v/>
      </c>
      <c r="O87">
        <f>IF(A87="","",IF(K87&lt;&gt;"",PROPER(K87),N87))</f>
        <v/>
      </c>
      <c r="P87">
        <f>IF(A87="","",ROUND(Settings!$B$5*MIN(1,LOG10(N(C87)+1)/LOG10(Settings!$B$7+1))+Settings!$B$6*(1-MIN(100,IF(D87="",50,N(D87)))/100)+IFERROR(INDEX(Settings!$B$10:$B$14,MATCH(O87,Settings!$A$10:$A$14,0)),0),0))</f>
        <v/>
      </c>
      <c r="Q87">
        <f>IF(OR(A87="",G87=""),"",COUNTIFS($M$3:$M$1002,M87,$G$3:$G$1002,"&lt;&gt;"&amp;SUBSTITUTE(SUBSTITUTE(G87,"?","~?"),"*","~*"),$G$3:$G$1002,"?*"))</f>
        <v/>
      </c>
      <c r="R87">
        <f>IF(Q87="","",IF(Q87&gt;0,"Yes","No"))</f>
        <v/>
      </c>
      <c r="S87">
        <f>IF(G87="","",COUNTIFS($G$3:$G$1002,SUBSTITUTE(SUBSTITUTE(G87,"?","~?"),"*","~*"),$J$3:$J$1002,"Primary"))</f>
        <v/>
      </c>
      <c r="T87">
        <f>IF(S87="","",IF(S87&gt;Settings!$B$4,"Yes","No"))</f>
        <v/>
      </c>
      <c r="U87">
        <f>IF(OR(G87="",B87=""),"",IF(COUNTIFS($G$3:$G$1002,SUBSTITUTE(SUBSTITUTE(G87,"?","~?"),"*","~*"),$B$3:$B$1002,"&lt;&gt;"&amp;SUBSTITUTE(SUBSTITUTE(B87,"?","~?"),"*","~*"),$B$3:$B$1002,"?*")&gt;0,"Yes","No"))</f>
        <v/>
      </c>
      <c r="V87">
        <f>IF(OR(G87="",I87="",O87="",O87="Unclassified"),"",IFERROR(INDEX(Settings!$E$5:$H$16,MATCH(I87,Settings!$D$5:$D$16,0),MATCH(O87,Settings!$E$4:$H$4,0)),"Check"))</f>
        <v/>
      </c>
      <c r="W87">
        <f>IF(V87="","",IF(V87="No","Yes","No"))</f>
        <v/>
      </c>
      <c r="X87">
        <f>IF(OR(E87="",G87=""),"",IF(LOWER(IF(RIGHT(TRIM(E87),1)="/",LEFT(TRIM(E87),LEN(TRIM(E87))-1),TRIM(E87)))&lt;&gt;LOWER(IF(RIGHT(TRIM(G87),1)="/",LEFT(TRIM(G87),LEN(TRIM(G87))-1),TRIM(G87))),"Yes","No"))</f>
        <v/>
      </c>
      <c r="Y87">
        <f>IF(A87="","",(N(Q87)&gt;0)+(T87="Yes")+(U87="Yes")+(W87="Yes")+(X87="Yes"))</f>
        <v/>
      </c>
      <c r="Z87">
        <f>IF(A87="","",IF(G87="","Not mapped",IF(Y87=0,"OK",MID(IF(N(Q87)&gt;0,"; Cannibalisation","")&amp;IF(T87="Yes","; Too many primary keywords on URL","")&amp;IF(U87="Yes","; URL spans 2+ clusters","")&amp;IF(W87="Yes","; Intent mismatch","")&amp;IF(X87="Yes","; Ranking URL is not the target",""),3,300))))</f>
        <v/>
      </c>
      <c r="AA87">
        <f>IF(G87="","",IF(COUNTIF($G$3:G87,SUBSTITUTE(SUBSTITUTE(G87,"?","~?"),"*","~*"))=1,MAX($AA$2:AA86)+1,""))</f>
        <v/>
      </c>
      <c r="AB87">
        <f>IF(B87="","",IF(COUNTIF($B$3:B87,SUBSTITUTE(SUBSTITUTE(B87,"?","~?"),"*","~*"))=1,MAX($AB$2:AB86)+1,""))</f>
        <v/>
      </c>
    </row>
    <row r="88">
      <c r="M88">
        <f>IF(A88="","",LOWER(TRIM(SUBSTITUTE(SUBSTITUTE(A88,"?",""),"*",""))))</f>
        <v/>
      </c>
      <c r="N88">
        <f>IF(M88="","",IF(SUMPRODUCT(ISNUMBER(SEARCH(" "&amp;Settings!$L$5:$L$124&amp;" "," "&amp;M88&amp;" "))*(Settings!$K$5:$K$124="Navigational")*(Settings!$L$5:$L$124&lt;&gt;""))&gt;0,"Navigational",IF(SUMPRODUCT(ISNUMBER(SEARCH(" "&amp;Settings!$L$5:$L$124&amp;" "," "&amp;M88&amp;" "))*(Settings!$K$5:$K$124="Transactional")*(Settings!$L$5:$L$124&lt;&gt;""))&gt;0,"Transactional",IF(SUMPRODUCT(ISNUMBER(SEARCH(" "&amp;Settings!$L$5:$L$124&amp;" "," "&amp;M88&amp;" "))*(Settings!$K$5:$K$124="Commercial")*(Settings!$L$5:$L$124&lt;&gt;""))&gt;0,"Commercial",IF(SUMPRODUCT(ISNUMBER(SEARCH(" "&amp;Settings!$L$5:$L$124&amp;" "," "&amp;M88&amp;" "))*(Settings!$K$5:$K$124="Informational")*(Settings!$L$5:$L$124&lt;&gt;""))&gt;0,"Informational","Unclassified")))))</f>
        <v/>
      </c>
      <c r="O88">
        <f>IF(A88="","",IF(K88&lt;&gt;"",PROPER(K88),N88))</f>
        <v/>
      </c>
      <c r="P88">
        <f>IF(A88="","",ROUND(Settings!$B$5*MIN(1,LOG10(N(C88)+1)/LOG10(Settings!$B$7+1))+Settings!$B$6*(1-MIN(100,IF(D88="",50,N(D88)))/100)+IFERROR(INDEX(Settings!$B$10:$B$14,MATCH(O88,Settings!$A$10:$A$14,0)),0),0))</f>
        <v/>
      </c>
      <c r="Q88">
        <f>IF(OR(A88="",G88=""),"",COUNTIFS($M$3:$M$1002,M88,$G$3:$G$1002,"&lt;&gt;"&amp;SUBSTITUTE(SUBSTITUTE(G88,"?","~?"),"*","~*"),$G$3:$G$1002,"?*"))</f>
        <v/>
      </c>
      <c r="R88">
        <f>IF(Q88="","",IF(Q88&gt;0,"Yes","No"))</f>
        <v/>
      </c>
      <c r="S88">
        <f>IF(G88="","",COUNTIFS($G$3:$G$1002,SUBSTITUTE(SUBSTITUTE(G88,"?","~?"),"*","~*"),$J$3:$J$1002,"Primary"))</f>
        <v/>
      </c>
      <c r="T88">
        <f>IF(S88="","",IF(S88&gt;Settings!$B$4,"Yes","No"))</f>
        <v/>
      </c>
      <c r="U88">
        <f>IF(OR(G88="",B88=""),"",IF(COUNTIFS($G$3:$G$1002,SUBSTITUTE(SUBSTITUTE(G88,"?","~?"),"*","~*"),$B$3:$B$1002,"&lt;&gt;"&amp;SUBSTITUTE(SUBSTITUTE(B88,"?","~?"),"*","~*"),$B$3:$B$1002,"?*")&gt;0,"Yes","No"))</f>
        <v/>
      </c>
      <c r="V88">
        <f>IF(OR(G88="",I88="",O88="",O88="Unclassified"),"",IFERROR(INDEX(Settings!$E$5:$H$16,MATCH(I88,Settings!$D$5:$D$16,0),MATCH(O88,Settings!$E$4:$H$4,0)),"Check"))</f>
        <v/>
      </c>
      <c r="W88">
        <f>IF(V88="","",IF(V88="No","Yes","No"))</f>
        <v/>
      </c>
      <c r="X88">
        <f>IF(OR(E88="",G88=""),"",IF(LOWER(IF(RIGHT(TRIM(E88),1)="/",LEFT(TRIM(E88),LEN(TRIM(E88))-1),TRIM(E88)))&lt;&gt;LOWER(IF(RIGHT(TRIM(G88),1)="/",LEFT(TRIM(G88),LEN(TRIM(G88))-1),TRIM(G88))),"Yes","No"))</f>
        <v/>
      </c>
      <c r="Y88">
        <f>IF(A88="","",(N(Q88)&gt;0)+(T88="Yes")+(U88="Yes")+(W88="Yes")+(X88="Yes"))</f>
        <v/>
      </c>
      <c r="Z88">
        <f>IF(A88="","",IF(G88="","Not mapped",IF(Y88=0,"OK",MID(IF(N(Q88)&gt;0,"; Cannibalisation","")&amp;IF(T88="Yes","; Too many primary keywords on URL","")&amp;IF(U88="Yes","; URL spans 2+ clusters","")&amp;IF(W88="Yes","; Intent mismatch","")&amp;IF(X88="Yes","; Ranking URL is not the target",""),3,300))))</f>
        <v/>
      </c>
      <c r="AA88">
        <f>IF(G88="","",IF(COUNTIF($G$3:G88,SUBSTITUTE(SUBSTITUTE(G88,"?","~?"),"*","~*"))=1,MAX($AA$2:AA87)+1,""))</f>
        <v/>
      </c>
      <c r="AB88">
        <f>IF(B88="","",IF(COUNTIF($B$3:B88,SUBSTITUTE(SUBSTITUTE(B88,"?","~?"),"*","~*"))=1,MAX($AB$2:AB87)+1,""))</f>
        <v/>
      </c>
    </row>
    <row r="89">
      <c r="M89">
        <f>IF(A89="","",LOWER(TRIM(SUBSTITUTE(SUBSTITUTE(A89,"?",""),"*",""))))</f>
        <v/>
      </c>
      <c r="N89">
        <f>IF(M89="","",IF(SUMPRODUCT(ISNUMBER(SEARCH(" "&amp;Settings!$L$5:$L$124&amp;" "," "&amp;M89&amp;" "))*(Settings!$K$5:$K$124="Navigational")*(Settings!$L$5:$L$124&lt;&gt;""))&gt;0,"Navigational",IF(SUMPRODUCT(ISNUMBER(SEARCH(" "&amp;Settings!$L$5:$L$124&amp;" "," "&amp;M89&amp;" "))*(Settings!$K$5:$K$124="Transactional")*(Settings!$L$5:$L$124&lt;&gt;""))&gt;0,"Transactional",IF(SUMPRODUCT(ISNUMBER(SEARCH(" "&amp;Settings!$L$5:$L$124&amp;" "," "&amp;M89&amp;" "))*(Settings!$K$5:$K$124="Commercial")*(Settings!$L$5:$L$124&lt;&gt;""))&gt;0,"Commercial",IF(SUMPRODUCT(ISNUMBER(SEARCH(" "&amp;Settings!$L$5:$L$124&amp;" "," "&amp;M89&amp;" "))*(Settings!$K$5:$K$124="Informational")*(Settings!$L$5:$L$124&lt;&gt;""))&gt;0,"Informational","Unclassified")))))</f>
        <v/>
      </c>
      <c r="O89">
        <f>IF(A89="","",IF(K89&lt;&gt;"",PROPER(K89),N89))</f>
        <v/>
      </c>
      <c r="P89">
        <f>IF(A89="","",ROUND(Settings!$B$5*MIN(1,LOG10(N(C89)+1)/LOG10(Settings!$B$7+1))+Settings!$B$6*(1-MIN(100,IF(D89="",50,N(D89)))/100)+IFERROR(INDEX(Settings!$B$10:$B$14,MATCH(O89,Settings!$A$10:$A$14,0)),0),0))</f>
        <v/>
      </c>
      <c r="Q89">
        <f>IF(OR(A89="",G89=""),"",COUNTIFS($M$3:$M$1002,M89,$G$3:$G$1002,"&lt;&gt;"&amp;SUBSTITUTE(SUBSTITUTE(G89,"?","~?"),"*","~*"),$G$3:$G$1002,"?*"))</f>
        <v/>
      </c>
      <c r="R89">
        <f>IF(Q89="","",IF(Q89&gt;0,"Yes","No"))</f>
        <v/>
      </c>
      <c r="S89">
        <f>IF(G89="","",COUNTIFS($G$3:$G$1002,SUBSTITUTE(SUBSTITUTE(G89,"?","~?"),"*","~*"),$J$3:$J$1002,"Primary"))</f>
        <v/>
      </c>
      <c r="T89">
        <f>IF(S89="","",IF(S89&gt;Settings!$B$4,"Yes","No"))</f>
        <v/>
      </c>
      <c r="U89">
        <f>IF(OR(G89="",B89=""),"",IF(COUNTIFS($G$3:$G$1002,SUBSTITUTE(SUBSTITUTE(G89,"?","~?"),"*","~*"),$B$3:$B$1002,"&lt;&gt;"&amp;SUBSTITUTE(SUBSTITUTE(B89,"?","~?"),"*","~*"),$B$3:$B$1002,"?*")&gt;0,"Yes","No"))</f>
        <v/>
      </c>
      <c r="V89">
        <f>IF(OR(G89="",I89="",O89="",O89="Unclassified"),"",IFERROR(INDEX(Settings!$E$5:$H$16,MATCH(I89,Settings!$D$5:$D$16,0),MATCH(O89,Settings!$E$4:$H$4,0)),"Check"))</f>
        <v/>
      </c>
      <c r="W89">
        <f>IF(V89="","",IF(V89="No","Yes","No"))</f>
        <v/>
      </c>
      <c r="X89">
        <f>IF(OR(E89="",G89=""),"",IF(LOWER(IF(RIGHT(TRIM(E89),1)="/",LEFT(TRIM(E89),LEN(TRIM(E89))-1),TRIM(E89)))&lt;&gt;LOWER(IF(RIGHT(TRIM(G89),1)="/",LEFT(TRIM(G89),LEN(TRIM(G89))-1),TRIM(G89))),"Yes","No"))</f>
        <v/>
      </c>
      <c r="Y89">
        <f>IF(A89="","",(N(Q89)&gt;0)+(T89="Yes")+(U89="Yes")+(W89="Yes")+(X89="Yes"))</f>
        <v/>
      </c>
      <c r="Z89">
        <f>IF(A89="","",IF(G89="","Not mapped",IF(Y89=0,"OK",MID(IF(N(Q89)&gt;0,"; Cannibalisation","")&amp;IF(T89="Yes","; Too many primary keywords on URL","")&amp;IF(U89="Yes","; URL spans 2+ clusters","")&amp;IF(W89="Yes","; Intent mismatch","")&amp;IF(X89="Yes","; Ranking URL is not the target",""),3,300))))</f>
        <v/>
      </c>
      <c r="AA89">
        <f>IF(G89="","",IF(COUNTIF($G$3:G89,SUBSTITUTE(SUBSTITUTE(G89,"?","~?"),"*","~*"))=1,MAX($AA$2:AA88)+1,""))</f>
        <v/>
      </c>
      <c r="AB89">
        <f>IF(B89="","",IF(COUNTIF($B$3:B89,SUBSTITUTE(SUBSTITUTE(B89,"?","~?"),"*","~*"))=1,MAX($AB$2:AB88)+1,""))</f>
        <v/>
      </c>
    </row>
    <row r="90">
      <c r="M90">
        <f>IF(A90="","",LOWER(TRIM(SUBSTITUTE(SUBSTITUTE(A90,"?",""),"*",""))))</f>
        <v/>
      </c>
      <c r="N90">
        <f>IF(M90="","",IF(SUMPRODUCT(ISNUMBER(SEARCH(" "&amp;Settings!$L$5:$L$124&amp;" "," "&amp;M90&amp;" "))*(Settings!$K$5:$K$124="Navigational")*(Settings!$L$5:$L$124&lt;&gt;""))&gt;0,"Navigational",IF(SUMPRODUCT(ISNUMBER(SEARCH(" "&amp;Settings!$L$5:$L$124&amp;" "," "&amp;M90&amp;" "))*(Settings!$K$5:$K$124="Transactional")*(Settings!$L$5:$L$124&lt;&gt;""))&gt;0,"Transactional",IF(SUMPRODUCT(ISNUMBER(SEARCH(" "&amp;Settings!$L$5:$L$124&amp;" "," "&amp;M90&amp;" "))*(Settings!$K$5:$K$124="Commercial")*(Settings!$L$5:$L$124&lt;&gt;""))&gt;0,"Commercial",IF(SUMPRODUCT(ISNUMBER(SEARCH(" "&amp;Settings!$L$5:$L$124&amp;" "," "&amp;M90&amp;" "))*(Settings!$K$5:$K$124="Informational")*(Settings!$L$5:$L$124&lt;&gt;""))&gt;0,"Informational","Unclassified")))))</f>
        <v/>
      </c>
      <c r="O90">
        <f>IF(A90="","",IF(K90&lt;&gt;"",PROPER(K90),N90))</f>
        <v/>
      </c>
      <c r="P90">
        <f>IF(A90="","",ROUND(Settings!$B$5*MIN(1,LOG10(N(C90)+1)/LOG10(Settings!$B$7+1))+Settings!$B$6*(1-MIN(100,IF(D90="",50,N(D90)))/100)+IFERROR(INDEX(Settings!$B$10:$B$14,MATCH(O90,Settings!$A$10:$A$14,0)),0),0))</f>
        <v/>
      </c>
      <c r="Q90">
        <f>IF(OR(A90="",G90=""),"",COUNTIFS($M$3:$M$1002,M90,$G$3:$G$1002,"&lt;&gt;"&amp;SUBSTITUTE(SUBSTITUTE(G90,"?","~?"),"*","~*"),$G$3:$G$1002,"?*"))</f>
        <v/>
      </c>
      <c r="R90">
        <f>IF(Q90="","",IF(Q90&gt;0,"Yes","No"))</f>
        <v/>
      </c>
      <c r="S90">
        <f>IF(G90="","",COUNTIFS($G$3:$G$1002,SUBSTITUTE(SUBSTITUTE(G90,"?","~?"),"*","~*"),$J$3:$J$1002,"Primary"))</f>
        <v/>
      </c>
      <c r="T90">
        <f>IF(S90="","",IF(S90&gt;Settings!$B$4,"Yes","No"))</f>
        <v/>
      </c>
      <c r="U90">
        <f>IF(OR(G90="",B90=""),"",IF(COUNTIFS($G$3:$G$1002,SUBSTITUTE(SUBSTITUTE(G90,"?","~?"),"*","~*"),$B$3:$B$1002,"&lt;&gt;"&amp;SUBSTITUTE(SUBSTITUTE(B90,"?","~?"),"*","~*"),$B$3:$B$1002,"?*")&gt;0,"Yes","No"))</f>
        <v/>
      </c>
      <c r="V90">
        <f>IF(OR(G90="",I90="",O90="",O90="Unclassified"),"",IFERROR(INDEX(Settings!$E$5:$H$16,MATCH(I90,Settings!$D$5:$D$16,0),MATCH(O90,Settings!$E$4:$H$4,0)),"Check"))</f>
        <v/>
      </c>
      <c r="W90">
        <f>IF(V90="","",IF(V90="No","Yes","No"))</f>
        <v/>
      </c>
      <c r="X90">
        <f>IF(OR(E90="",G90=""),"",IF(LOWER(IF(RIGHT(TRIM(E90),1)="/",LEFT(TRIM(E90),LEN(TRIM(E90))-1),TRIM(E90)))&lt;&gt;LOWER(IF(RIGHT(TRIM(G90),1)="/",LEFT(TRIM(G90),LEN(TRIM(G90))-1),TRIM(G90))),"Yes","No"))</f>
        <v/>
      </c>
      <c r="Y90">
        <f>IF(A90="","",(N(Q90)&gt;0)+(T90="Yes")+(U90="Yes")+(W90="Yes")+(X90="Yes"))</f>
        <v/>
      </c>
      <c r="Z90">
        <f>IF(A90="","",IF(G90="","Not mapped",IF(Y90=0,"OK",MID(IF(N(Q90)&gt;0,"; Cannibalisation","")&amp;IF(T90="Yes","; Too many primary keywords on URL","")&amp;IF(U90="Yes","; URL spans 2+ clusters","")&amp;IF(W90="Yes","; Intent mismatch","")&amp;IF(X90="Yes","; Ranking URL is not the target",""),3,300))))</f>
        <v/>
      </c>
      <c r="AA90">
        <f>IF(G90="","",IF(COUNTIF($G$3:G90,SUBSTITUTE(SUBSTITUTE(G90,"?","~?"),"*","~*"))=1,MAX($AA$2:AA89)+1,""))</f>
        <v/>
      </c>
      <c r="AB90">
        <f>IF(B90="","",IF(COUNTIF($B$3:B90,SUBSTITUTE(SUBSTITUTE(B90,"?","~?"),"*","~*"))=1,MAX($AB$2:AB89)+1,""))</f>
        <v/>
      </c>
    </row>
    <row r="91">
      <c r="M91">
        <f>IF(A91="","",LOWER(TRIM(SUBSTITUTE(SUBSTITUTE(A91,"?",""),"*",""))))</f>
        <v/>
      </c>
      <c r="N91">
        <f>IF(M91="","",IF(SUMPRODUCT(ISNUMBER(SEARCH(" "&amp;Settings!$L$5:$L$124&amp;" "," "&amp;M91&amp;" "))*(Settings!$K$5:$K$124="Navigational")*(Settings!$L$5:$L$124&lt;&gt;""))&gt;0,"Navigational",IF(SUMPRODUCT(ISNUMBER(SEARCH(" "&amp;Settings!$L$5:$L$124&amp;" "," "&amp;M91&amp;" "))*(Settings!$K$5:$K$124="Transactional")*(Settings!$L$5:$L$124&lt;&gt;""))&gt;0,"Transactional",IF(SUMPRODUCT(ISNUMBER(SEARCH(" "&amp;Settings!$L$5:$L$124&amp;" "," "&amp;M91&amp;" "))*(Settings!$K$5:$K$124="Commercial")*(Settings!$L$5:$L$124&lt;&gt;""))&gt;0,"Commercial",IF(SUMPRODUCT(ISNUMBER(SEARCH(" "&amp;Settings!$L$5:$L$124&amp;" "," "&amp;M91&amp;" "))*(Settings!$K$5:$K$124="Informational")*(Settings!$L$5:$L$124&lt;&gt;""))&gt;0,"Informational","Unclassified")))))</f>
        <v/>
      </c>
      <c r="O91">
        <f>IF(A91="","",IF(K91&lt;&gt;"",PROPER(K91),N91))</f>
        <v/>
      </c>
      <c r="P91">
        <f>IF(A91="","",ROUND(Settings!$B$5*MIN(1,LOG10(N(C91)+1)/LOG10(Settings!$B$7+1))+Settings!$B$6*(1-MIN(100,IF(D91="",50,N(D91)))/100)+IFERROR(INDEX(Settings!$B$10:$B$14,MATCH(O91,Settings!$A$10:$A$14,0)),0),0))</f>
        <v/>
      </c>
      <c r="Q91">
        <f>IF(OR(A91="",G91=""),"",COUNTIFS($M$3:$M$1002,M91,$G$3:$G$1002,"&lt;&gt;"&amp;SUBSTITUTE(SUBSTITUTE(G91,"?","~?"),"*","~*"),$G$3:$G$1002,"?*"))</f>
        <v/>
      </c>
      <c r="R91">
        <f>IF(Q91="","",IF(Q91&gt;0,"Yes","No"))</f>
        <v/>
      </c>
      <c r="S91">
        <f>IF(G91="","",COUNTIFS($G$3:$G$1002,SUBSTITUTE(SUBSTITUTE(G91,"?","~?"),"*","~*"),$J$3:$J$1002,"Primary"))</f>
        <v/>
      </c>
      <c r="T91">
        <f>IF(S91="","",IF(S91&gt;Settings!$B$4,"Yes","No"))</f>
        <v/>
      </c>
      <c r="U91">
        <f>IF(OR(G91="",B91=""),"",IF(COUNTIFS($G$3:$G$1002,SUBSTITUTE(SUBSTITUTE(G91,"?","~?"),"*","~*"),$B$3:$B$1002,"&lt;&gt;"&amp;SUBSTITUTE(SUBSTITUTE(B91,"?","~?"),"*","~*"),$B$3:$B$1002,"?*")&gt;0,"Yes","No"))</f>
        <v/>
      </c>
      <c r="V91">
        <f>IF(OR(G91="",I91="",O91="",O91="Unclassified"),"",IFERROR(INDEX(Settings!$E$5:$H$16,MATCH(I91,Settings!$D$5:$D$16,0),MATCH(O91,Settings!$E$4:$H$4,0)),"Check"))</f>
        <v/>
      </c>
      <c r="W91">
        <f>IF(V91="","",IF(V91="No","Yes","No"))</f>
        <v/>
      </c>
      <c r="X91">
        <f>IF(OR(E91="",G91=""),"",IF(LOWER(IF(RIGHT(TRIM(E91),1)="/",LEFT(TRIM(E91),LEN(TRIM(E91))-1),TRIM(E91)))&lt;&gt;LOWER(IF(RIGHT(TRIM(G91),1)="/",LEFT(TRIM(G91),LEN(TRIM(G91))-1),TRIM(G91))),"Yes","No"))</f>
        <v/>
      </c>
      <c r="Y91">
        <f>IF(A91="","",(N(Q91)&gt;0)+(T91="Yes")+(U91="Yes")+(W91="Yes")+(X91="Yes"))</f>
        <v/>
      </c>
      <c r="Z91">
        <f>IF(A91="","",IF(G91="","Not mapped",IF(Y91=0,"OK",MID(IF(N(Q91)&gt;0,"; Cannibalisation","")&amp;IF(T91="Yes","; Too many primary keywords on URL","")&amp;IF(U91="Yes","; URL spans 2+ clusters","")&amp;IF(W91="Yes","; Intent mismatch","")&amp;IF(X91="Yes","; Ranking URL is not the target",""),3,300))))</f>
        <v/>
      </c>
      <c r="AA91">
        <f>IF(G91="","",IF(COUNTIF($G$3:G91,SUBSTITUTE(SUBSTITUTE(G91,"?","~?"),"*","~*"))=1,MAX($AA$2:AA90)+1,""))</f>
        <v/>
      </c>
      <c r="AB91">
        <f>IF(B91="","",IF(COUNTIF($B$3:B91,SUBSTITUTE(SUBSTITUTE(B91,"?","~?"),"*","~*"))=1,MAX($AB$2:AB90)+1,""))</f>
        <v/>
      </c>
    </row>
    <row r="92">
      <c r="M92">
        <f>IF(A92="","",LOWER(TRIM(SUBSTITUTE(SUBSTITUTE(A92,"?",""),"*",""))))</f>
        <v/>
      </c>
      <c r="N92">
        <f>IF(M92="","",IF(SUMPRODUCT(ISNUMBER(SEARCH(" "&amp;Settings!$L$5:$L$124&amp;" "," "&amp;M92&amp;" "))*(Settings!$K$5:$K$124="Navigational")*(Settings!$L$5:$L$124&lt;&gt;""))&gt;0,"Navigational",IF(SUMPRODUCT(ISNUMBER(SEARCH(" "&amp;Settings!$L$5:$L$124&amp;" "," "&amp;M92&amp;" "))*(Settings!$K$5:$K$124="Transactional")*(Settings!$L$5:$L$124&lt;&gt;""))&gt;0,"Transactional",IF(SUMPRODUCT(ISNUMBER(SEARCH(" "&amp;Settings!$L$5:$L$124&amp;" "," "&amp;M92&amp;" "))*(Settings!$K$5:$K$124="Commercial")*(Settings!$L$5:$L$124&lt;&gt;""))&gt;0,"Commercial",IF(SUMPRODUCT(ISNUMBER(SEARCH(" "&amp;Settings!$L$5:$L$124&amp;" "," "&amp;M92&amp;" "))*(Settings!$K$5:$K$124="Informational")*(Settings!$L$5:$L$124&lt;&gt;""))&gt;0,"Informational","Unclassified")))))</f>
        <v/>
      </c>
      <c r="O92">
        <f>IF(A92="","",IF(K92&lt;&gt;"",PROPER(K92),N92))</f>
        <v/>
      </c>
      <c r="P92">
        <f>IF(A92="","",ROUND(Settings!$B$5*MIN(1,LOG10(N(C92)+1)/LOG10(Settings!$B$7+1))+Settings!$B$6*(1-MIN(100,IF(D92="",50,N(D92)))/100)+IFERROR(INDEX(Settings!$B$10:$B$14,MATCH(O92,Settings!$A$10:$A$14,0)),0),0))</f>
        <v/>
      </c>
      <c r="Q92">
        <f>IF(OR(A92="",G92=""),"",COUNTIFS($M$3:$M$1002,M92,$G$3:$G$1002,"&lt;&gt;"&amp;SUBSTITUTE(SUBSTITUTE(G92,"?","~?"),"*","~*"),$G$3:$G$1002,"?*"))</f>
        <v/>
      </c>
      <c r="R92">
        <f>IF(Q92="","",IF(Q92&gt;0,"Yes","No"))</f>
        <v/>
      </c>
      <c r="S92">
        <f>IF(G92="","",COUNTIFS($G$3:$G$1002,SUBSTITUTE(SUBSTITUTE(G92,"?","~?"),"*","~*"),$J$3:$J$1002,"Primary"))</f>
        <v/>
      </c>
      <c r="T92">
        <f>IF(S92="","",IF(S92&gt;Settings!$B$4,"Yes","No"))</f>
        <v/>
      </c>
      <c r="U92">
        <f>IF(OR(G92="",B92=""),"",IF(COUNTIFS($G$3:$G$1002,SUBSTITUTE(SUBSTITUTE(G92,"?","~?"),"*","~*"),$B$3:$B$1002,"&lt;&gt;"&amp;SUBSTITUTE(SUBSTITUTE(B92,"?","~?"),"*","~*"),$B$3:$B$1002,"?*")&gt;0,"Yes","No"))</f>
        <v/>
      </c>
      <c r="V92">
        <f>IF(OR(G92="",I92="",O92="",O92="Unclassified"),"",IFERROR(INDEX(Settings!$E$5:$H$16,MATCH(I92,Settings!$D$5:$D$16,0),MATCH(O92,Settings!$E$4:$H$4,0)),"Check"))</f>
        <v/>
      </c>
      <c r="W92">
        <f>IF(V92="","",IF(V92="No","Yes","No"))</f>
        <v/>
      </c>
      <c r="X92">
        <f>IF(OR(E92="",G92=""),"",IF(LOWER(IF(RIGHT(TRIM(E92),1)="/",LEFT(TRIM(E92),LEN(TRIM(E92))-1),TRIM(E92)))&lt;&gt;LOWER(IF(RIGHT(TRIM(G92),1)="/",LEFT(TRIM(G92),LEN(TRIM(G92))-1),TRIM(G92))),"Yes","No"))</f>
        <v/>
      </c>
      <c r="Y92">
        <f>IF(A92="","",(N(Q92)&gt;0)+(T92="Yes")+(U92="Yes")+(W92="Yes")+(X92="Yes"))</f>
        <v/>
      </c>
      <c r="Z92">
        <f>IF(A92="","",IF(G92="","Not mapped",IF(Y92=0,"OK",MID(IF(N(Q92)&gt;0,"; Cannibalisation","")&amp;IF(T92="Yes","; Too many primary keywords on URL","")&amp;IF(U92="Yes","; URL spans 2+ clusters","")&amp;IF(W92="Yes","; Intent mismatch","")&amp;IF(X92="Yes","; Ranking URL is not the target",""),3,300))))</f>
        <v/>
      </c>
      <c r="AA92">
        <f>IF(G92="","",IF(COUNTIF($G$3:G92,SUBSTITUTE(SUBSTITUTE(G92,"?","~?"),"*","~*"))=1,MAX($AA$2:AA91)+1,""))</f>
        <v/>
      </c>
      <c r="AB92">
        <f>IF(B92="","",IF(COUNTIF($B$3:B92,SUBSTITUTE(SUBSTITUTE(B92,"?","~?"),"*","~*"))=1,MAX($AB$2:AB91)+1,""))</f>
        <v/>
      </c>
    </row>
    <row r="93">
      <c r="M93">
        <f>IF(A93="","",LOWER(TRIM(SUBSTITUTE(SUBSTITUTE(A93,"?",""),"*",""))))</f>
        <v/>
      </c>
      <c r="N93">
        <f>IF(M93="","",IF(SUMPRODUCT(ISNUMBER(SEARCH(" "&amp;Settings!$L$5:$L$124&amp;" "," "&amp;M93&amp;" "))*(Settings!$K$5:$K$124="Navigational")*(Settings!$L$5:$L$124&lt;&gt;""))&gt;0,"Navigational",IF(SUMPRODUCT(ISNUMBER(SEARCH(" "&amp;Settings!$L$5:$L$124&amp;" "," "&amp;M93&amp;" "))*(Settings!$K$5:$K$124="Transactional")*(Settings!$L$5:$L$124&lt;&gt;""))&gt;0,"Transactional",IF(SUMPRODUCT(ISNUMBER(SEARCH(" "&amp;Settings!$L$5:$L$124&amp;" "," "&amp;M93&amp;" "))*(Settings!$K$5:$K$124="Commercial")*(Settings!$L$5:$L$124&lt;&gt;""))&gt;0,"Commercial",IF(SUMPRODUCT(ISNUMBER(SEARCH(" "&amp;Settings!$L$5:$L$124&amp;" "," "&amp;M93&amp;" "))*(Settings!$K$5:$K$124="Informational")*(Settings!$L$5:$L$124&lt;&gt;""))&gt;0,"Informational","Unclassified")))))</f>
        <v/>
      </c>
      <c r="O93">
        <f>IF(A93="","",IF(K93&lt;&gt;"",PROPER(K93),N93))</f>
        <v/>
      </c>
      <c r="P93">
        <f>IF(A93="","",ROUND(Settings!$B$5*MIN(1,LOG10(N(C93)+1)/LOG10(Settings!$B$7+1))+Settings!$B$6*(1-MIN(100,IF(D93="",50,N(D93)))/100)+IFERROR(INDEX(Settings!$B$10:$B$14,MATCH(O93,Settings!$A$10:$A$14,0)),0),0))</f>
        <v/>
      </c>
      <c r="Q93">
        <f>IF(OR(A93="",G93=""),"",COUNTIFS($M$3:$M$1002,M93,$G$3:$G$1002,"&lt;&gt;"&amp;SUBSTITUTE(SUBSTITUTE(G93,"?","~?"),"*","~*"),$G$3:$G$1002,"?*"))</f>
        <v/>
      </c>
      <c r="R93">
        <f>IF(Q93="","",IF(Q93&gt;0,"Yes","No"))</f>
        <v/>
      </c>
      <c r="S93">
        <f>IF(G93="","",COUNTIFS($G$3:$G$1002,SUBSTITUTE(SUBSTITUTE(G93,"?","~?"),"*","~*"),$J$3:$J$1002,"Primary"))</f>
        <v/>
      </c>
      <c r="T93">
        <f>IF(S93="","",IF(S93&gt;Settings!$B$4,"Yes","No"))</f>
        <v/>
      </c>
      <c r="U93">
        <f>IF(OR(G93="",B93=""),"",IF(COUNTIFS($G$3:$G$1002,SUBSTITUTE(SUBSTITUTE(G93,"?","~?"),"*","~*"),$B$3:$B$1002,"&lt;&gt;"&amp;SUBSTITUTE(SUBSTITUTE(B93,"?","~?"),"*","~*"),$B$3:$B$1002,"?*")&gt;0,"Yes","No"))</f>
        <v/>
      </c>
      <c r="V93">
        <f>IF(OR(G93="",I93="",O93="",O93="Unclassified"),"",IFERROR(INDEX(Settings!$E$5:$H$16,MATCH(I93,Settings!$D$5:$D$16,0),MATCH(O93,Settings!$E$4:$H$4,0)),"Check"))</f>
        <v/>
      </c>
      <c r="W93">
        <f>IF(V93="","",IF(V93="No","Yes","No"))</f>
        <v/>
      </c>
      <c r="X93">
        <f>IF(OR(E93="",G93=""),"",IF(LOWER(IF(RIGHT(TRIM(E93),1)="/",LEFT(TRIM(E93),LEN(TRIM(E93))-1),TRIM(E93)))&lt;&gt;LOWER(IF(RIGHT(TRIM(G93),1)="/",LEFT(TRIM(G93),LEN(TRIM(G93))-1),TRIM(G93))),"Yes","No"))</f>
        <v/>
      </c>
      <c r="Y93">
        <f>IF(A93="","",(N(Q93)&gt;0)+(T93="Yes")+(U93="Yes")+(W93="Yes")+(X93="Yes"))</f>
        <v/>
      </c>
      <c r="Z93">
        <f>IF(A93="","",IF(G93="","Not mapped",IF(Y93=0,"OK",MID(IF(N(Q93)&gt;0,"; Cannibalisation","")&amp;IF(T93="Yes","; Too many primary keywords on URL","")&amp;IF(U93="Yes","; URL spans 2+ clusters","")&amp;IF(W93="Yes","; Intent mismatch","")&amp;IF(X93="Yes","; Ranking URL is not the target",""),3,300))))</f>
        <v/>
      </c>
      <c r="AA93">
        <f>IF(G93="","",IF(COUNTIF($G$3:G93,SUBSTITUTE(SUBSTITUTE(G93,"?","~?"),"*","~*"))=1,MAX($AA$2:AA92)+1,""))</f>
        <v/>
      </c>
      <c r="AB93">
        <f>IF(B93="","",IF(COUNTIF($B$3:B93,SUBSTITUTE(SUBSTITUTE(B93,"?","~?"),"*","~*"))=1,MAX($AB$2:AB92)+1,""))</f>
        <v/>
      </c>
    </row>
    <row r="94">
      <c r="M94">
        <f>IF(A94="","",LOWER(TRIM(SUBSTITUTE(SUBSTITUTE(A94,"?",""),"*",""))))</f>
        <v/>
      </c>
      <c r="N94">
        <f>IF(M94="","",IF(SUMPRODUCT(ISNUMBER(SEARCH(" "&amp;Settings!$L$5:$L$124&amp;" "," "&amp;M94&amp;" "))*(Settings!$K$5:$K$124="Navigational")*(Settings!$L$5:$L$124&lt;&gt;""))&gt;0,"Navigational",IF(SUMPRODUCT(ISNUMBER(SEARCH(" "&amp;Settings!$L$5:$L$124&amp;" "," "&amp;M94&amp;" "))*(Settings!$K$5:$K$124="Transactional")*(Settings!$L$5:$L$124&lt;&gt;""))&gt;0,"Transactional",IF(SUMPRODUCT(ISNUMBER(SEARCH(" "&amp;Settings!$L$5:$L$124&amp;" "," "&amp;M94&amp;" "))*(Settings!$K$5:$K$124="Commercial")*(Settings!$L$5:$L$124&lt;&gt;""))&gt;0,"Commercial",IF(SUMPRODUCT(ISNUMBER(SEARCH(" "&amp;Settings!$L$5:$L$124&amp;" "," "&amp;M94&amp;" "))*(Settings!$K$5:$K$124="Informational")*(Settings!$L$5:$L$124&lt;&gt;""))&gt;0,"Informational","Unclassified")))))</f>
        <v/>
      </c>
      <c r="O94">
        <f>IF(A94="","",IF(K94&lt;&gt;"",PROPER(K94),N94))</f>
        <v/>
      </c>
      <c r="P94">
        <f>IF(A94="","",ROUND(Settings!$B$5*MIN(1,LOG10(N(C94)+1)/LOG10(Settings!$B$7+1))+Settings!$B$6*(1-MIN(100,IF(D94="",50,N(D94)))/100)+IFERROR(INDEX(Settings!$B$10:$B$14,MATCH(O94,Settings!$A$10:$A$14,0)),0),0))</f>
        <v/>
      </c>
      <c r="Q94">
        <f>IF(OR(A94="",G94=""),"",COUNTIFS($M$3:$M$1002,M94,$G$3:$G$1002,"&lt;&gt;"&amp;SUBSTITUTE(SUBSTITUTE(G94,"?","~?"),"*","~*"),$G$3:$G$1002,"?*"))</f>
        <v/>
      </c>
      <c r="R94">
        <f>IF(Q94="","",IF(Q94&gt;0,"Yes","No"))</f>
        <v/>
      </c>
      <c r="S94">
        <f>IF(G94="","",COUNTIFS($G$3:$G$1002,SUBSTITUTE(SUBSTITUTE(G94,"?","~?"),"*","~*"),$J$3:$J$1002,"Primary"))</f>
        <v/>
      </c>
      <c r="T94">
        <f>IF(S94="","",IF(S94&gt;Settings!$B$4,"Yes","No"))</f>
        <v/>
      </c>
      <c r="U94">
        <f>IF(OR(G94="",B94=""),"",IF(COUNTIFS($G$3:$G$1002,SUBSTITUTE(SUBSTITUTE(G94,"?","~?"),"*","~*"),$B$3:$B$1002,"&lt;&gt;"&amp;SUBSTITUTE(SUBSTITUTE(B94,"?","~?"),"*","~*"),$B$3:$B$1002,"?*")&gt;0,"Yes","No"))</f>
        <v/>
      </c>
      <c r="V94">
        <f>IF(OR(G94="",I94="",O94="",O94="Unclassified"),"",IFERROR(INDEX(Settings!$E$5:$H$16,MATCH(I94,Settings!$D$5:$D$16,0),MATCH(O94,Settings!$E$4:$H$4,0)),"Check"))</f>
        <v/>
      </c>
      <c r="W94">
        <f>IF(V94="","",IF(V94="No","Yes","No"))</f>
        <v/>
      </c>
      <c r="X94">
        <f>IF(OR(E94="",G94=""),"",IF(LOWER(IF(RIGHT(TRIM(E94),1)="/",LEFT(TRIM(E94),LEN(TRIM(E94))-1),TRIM(E94)))&lt;&gt;LOWER(IF(RIGHT(TRIM(G94),1)="/",LEFT(TRIM(G94),LEN(TRIM(G94))-1),TRIM(G94))),"Yes","No"))</f>
        <v/>
      </c>
      <c r="Y94">
        <f>IF(A94="","",(N(Q94)&gt;0)+(T94="Yes")+(U94="Yes")+(W94="Yes")+(X94="Yes"))</f>
        <v/>
      </c>
      <c r="Z94">
        <f>IF(A94="","",IF(G94="","Not mapped",IF(Y94=0,"OK",MID(IF(N(Q94)&gt;0,"; Cannibalisation","")&amp;IF(T94="Yes","; Too many primary keywords on URL","")&amp;IF(U94="Yes","; URL spans 2+ clusters","")&amp;IF(W94="Yes","; Intent mismatch","")&amp;IF(X94="Yes","; Ranking URL is not the target",""),3,300))))</f>
        <v/>
      </c>
      <c r="AA94">
        <f>IF(G94="","",IF(COUNTIF($G$3:G94,SUBSTITUTE(SUBSTITUTE(G94,"?","~?"),"*","~*"))=1,MAX($AA$2:AA93)+1,""))</f>
        <v/>
      </c>
      <c r="AB94">
        <f>IF(B94="","",IF(COUNTIF($B$3:B94,SUBSTITUTE(SUBSTITUTE(B94,"?","~?"),"*","~*"))=1,MAX($AB$2:AB93)+1,""))</f>
        <v/>
      </c>
    </row>
    <row r="95">
      <c r="M95">
        <f>IF(A95="","",LOWER(TRIM(SUBSTITUTE(SUBSTITUTE(A95,"?",""),"*",""))))</f>
        <v/>
      </c>
      <c r="N95">
        <f>IF(M95="","",IF(SUMPRODUCT(ISNUMBER(SEARCH(" "&amp;Settings!$L$5:$L$124&amp;" "," "&amp;M95&amp;" "))*(Settings!$K$5:$K$124="Navigational")*(Settings!$L$5:$L$124&lt;&gt;""))&gt;0,"Navigational",IF(SUMPRODUCT(ISNUMBER(SEARCH(" "&amp;Settings!$L$5:$L$124&amp;" "," "&amp;M95&amp;" "))*(Settings!$K$5:$K$124="Transactional")*(Settings!$L$5:$L$124&lt;&gt;""))&gt;0,"Transactional",IF(SUMPRODUCT(ISNUMBER(SEARCH(" "&amp;Settings!$L$5:$L$124&amp;" "," "&amp;M95&amp;" "))*(Settings!$K$5:$K$124="Commercial")*(Settings!$L$5:$L$124&lt;&gt;""))&gt;0,"Commercial",IF(SUMPRODUCT(ISNUMBER(SEARCH(" "&amp;Settings!$L$5:$L$124&amp;" "," "&amp;M95&amp;" "))*(Settings!$K$5:$K$124="Informational")*(Settings!$L$5:$L$124&lt;&gt;""))&gt;0,"Informational","Unclassified")))))</f>
        <v/>
      </c>
      <c r="O95">
        <f>IF(A95="","",IF(K95&lt;&gt;"",PROPER(K95),N95))</f>
        <v/>
      </c>
      <c r="P95">
        <f>IF(A95="","",ROUND(Settings!$B$5*MIN(1,LOG10(N(C95)+1)/LOG10(Settings!$B$7+1))+Settings!$B$6*(1-MIN(100,IF(D95="",50,N(D95)))/100)+IFERROR(INDEX(Settings!$B$10:$B$14,MATCH(O95,Settings!$A$10:$A$14,0)),0),0))</f>
        <v/>
      </c>
      <c r="Q95">
        <f>IF(OR(A95="",G95=""),"",COUNTIFS($M$3:$M$1002,M95,$G$3:$G$1002,"&lt;&gt;"&amp;SUBSTITUTE(SUBSTITUTE(G95,"?","~?"),"*","~*"),$G$3:$G$1002,"?*"))</f>
        <v/>
      </c>
      <c r="R95">
        <f>IF(Q95="","",IF(Q95&gt;0,"Yes","No"))</f>
        <v/>
      </c>
      <c r="S95">
        <f>IF(G95="","",COUNTIFS($G$3:$G$1002,SUBSTITUTE(SUBSTITUTE(G95,"?","~?"),"*","~*"),$J$3:$J$1002,"Primary"))</f>
        <v/>
      </c>
      <c r="T95">
        <f>IF(S95="","",IF(S95&gt;Settings!$B$4,"Yes","No"))</f>
        <v/>
      </c>
      <c r="U95">
        <f>IF(OR(G95="",B95=""),"",IF(COUNTIFS($G$3:$G$1002,SUBSTITUTE(SUBSTITUTE(G95,"?","~?"),"*","~*"),$B$3:$B$1002,"&lt;&gt;"&amp;SUBSTITUTE(SUBSTITUTE(B95,"?","~?"),"*","~*"),$B$3:$B$1002,"?*")&gt;0,"Yes","No"))</f>
        <v/>
      </c>
      <c r="V95">
        <f>IF(OR(G95="",I95="",O95="",O95="Unclassified"),"",IFERROR(INDEX(Settings!$E$5:$H$16,MATCH(I95,Settings!$D$5:$D$16,0),MATCH(O95,Settings!$E$4:$H$4,0)),"Check"))</f>
        <v/>
      </c>
      <c r="W95">
        <f>IF(V95="","",IF(V95="No","Yes","No"))</f>
        <v/>
      </c>
      <c r="X95">
        <f>IF(OR(E95="",G95=""),"",IF(LOWER(IF(RIGHT(TRIM(E95),1)="/",LEFT(TRIM(E95),LEN(TRIM(E95))-1),TRIM(E95)))&lt;&gt;LOWER(IF(RIGHT(TRIM(G95),1)="/",LEFT(TRIM(G95),LEN(TRIM(G95))-1),TRIM(G95))),"Yes","No"))</f>
        <v/>
      </c>
      <c r="Y95">
        <f>IF(A95="","",(N(Q95)&gt;0)+(T95="Yes")+(U95="Yes")+(W95="Yes")+(X95="Yes"))</f>
        <v/>
      </c>
      <c r="Z95">
        <f>IF(A95="","",IF(G95="","Not mapped",IF(Y95=0,"OK",MID(IF(N(Q95)&gt;0,"; Cannibalisation","")&amp;IF(T95="Yes","; Too many primary keywords on URL","")&amp;IF(U95="Yes","; URL spans 2+ clusters","")&amp;IF(W95="Yes","; Intent mismatch","")&amp;IF(X95="Yes","; Ranking URL is not the target",""),3,300))))</f>
        <v/>
      </c>
      <c r="AA95">
        <f>IF(G95="","",IF(COUNTIF($G$3:G95,SUBSTITUTE(SUBSTITUTE(G95,"?","~?"),"*","~*"))=1,MAX($AA$2:AA94)+1,""))</f>
        <v/>
      </c>
      <c r="AB95">
        <f>IF(B95="","",IF(COUNTIF($B$3:B95,SUBSTITUTE(SUBSTITUTE(B95,"?","~?"),"*","~*"))=1,MAX($AB$2:AB94)+1,""))</f>
        <v/>
      </c>
    </row>
    <row r="96">
      <c r="M96">
        <f>IF(A96="","",LOWER(TRIM(SUBSTITUTE(SUBSTITUTE(A96,"?",""),"*",""))))</f>
        <v/>
      </c>
      <c r="N96">
        <f>IF(M96="","",IF(SUMPRODUCT(ISNUMBER(SEARCH(" "&amp;Settings!$L$5:$L$124&amp;" "," "&amp;M96&amp;" "))*(Settings!$K$5:$K$124="Navigational")*(Settings!$L$5:$L$124&lt;&gt;""))&gt;0,"Navigational",IF(SUMPRODUCT(ISNUMBER(SEARCH(" "&amp;Settings!$L$5:$L$124&amp;" "," "&amp;M96&amp;" "))*(Settings!$K$5:$K$124="Transactional")*(Settings!$L$5:$L$124&lt;&gt;""))&gt;0,"Transactional",IF(SUMPRODUCT(ISNUMBER(SEARCH(" "&amp;Settings!$L$5:$L$124&amp;" "," "&amp;M96&amp;" "))*(Settings!$K$5:$K$124="Commercial")*(Settings!$L$5:$L$124&lt;&gt;""))&gt;0,"Commercial",IF(SUMPRODUCT(ISNUMBER(SEARCH(" "&amp;Settings!$L$5:$L$124&amp;" "," "&amp;M96&amp;" "))*(Settings!$K$5:$K$124="Informational")*(Settings!$L$5:$L$124&lt;&gt;""))&gt;0,"Informational","Unclassified")))))</f>
        <v/>
      </c>
      <c r="O96">
        <f>IF(A96="","",IF(K96&lt;&gt;"",PROPER(K96),N96))</f>
        <v/>
      </c>
      <c r="P96">
        <f>IF(A96="","",ROUND(Settings!$B$5*MIN(1,LOG10(N(C96)+1)/LOG10(Settings!$B$7+1))+Settings!$B$6*(1-MIN(100,IF(D96="",50,N(D96)))/100)+IFERROR(INDEX(Settings!$B$10:$B$14,MATCH(O96,Settings!$A$10:$A$14,0)),0),0))</f>
        <v/>
      </c>
      <c r="Q96">
        <f>IF(OR(A96="",G96=""),"",COUNTIFS($M$3:$M$1002,M96,$G$3:$G$1002,"&lt;&gt;"&amp;SUBSTITUTE(SUBSTITUTE(G96,"?","~?"),"*","~*"),$G$3:$G$1002,"?*"))</f>
        <v/>
      </c>
      <c r="R96">
        <f>IF(Q96="","",IF(Q96&gt;0,"Yes","No"))</f>
        <v/>
      </c>
      <c r="S96">
        <f>IF(G96="","",COUNTIFS($G$3:$G$1002,SUBSTITUTE(SUBSTITUTE(G96,"?","~?"),"*","~*"),$J$3:$J$1002,"Primary"))</f>
        <v/>
      </c>
      <c r="T96">
        <f>IF(S96="","",IF(S96&gt;Settings!$B$4,"Yes","No"))</f>
        <v/>
      </c>
      <c r="U96">
        <f>IF(OR(G96="",B96=""),"",IF(COUNTIFS($G$3:$G$1002,SUBSTITUTE(SUBSTITUTE(G96,"?","~?"),"*","~*"),$B$3:$B$1002,"&lt;&gt;"&amp;SUBSTITUTE(SUBSTITUTE(B96,"?","~?"),"*","~*"),$B$3:$B$1002,"?*")&gt;0,"Yes","No"))</f>
        <v/>
      </c>
      <c r="V96">
        <f>IF(OR(G96="",I96="",O96="",O96="Unclassified"),"",IFERROR(INDEX(Settings!$E$5:$H$16,MATCH(I96,Settings!$D$5:$D$16,0),MATCH(O96,Settings!$E$4:$H$4,0)),"Check"))</f>
        <v/>
      </c>
      <c r="W96">
        <f>IF(V96="","",IF(V96="No","Yes","No"))</f>
        <v/>
      </c>
      <c r="X96">
        <f>IF(OR(E96="",G96=""),"",IF(LOWER(IF(RIGHT(TRIM(E96),1)="/",LEFT(TRIM(E96),LEN(TRIM(E96))-1),TRIM(E96)))&lt;&gt;LOWER(IF(RIGHT(TRIM(G96),1)="/",LEFT(TRIM(G96),LEN(TRIM(G96))-1),TRIM(G96))),"Yes","No"))</f>
        <v/>
      </c>
      <c r="Y96">
        <f>IF(A96="","",(N(Q96)&gt;0)+(T96="Yes")+(U96="Yes")+(W96="Yes")+(X96="Yes"))</f>
        <v/>
      </c>
      <c r="Z96">
        <f>IF(A96="","",IF(G96="","Not mapped",IF(Y96=0,"OK",MID(IF(N(Q96)&gt;0,"; Cannibalisation","")&amp;IF(T96="Yes","; Too many primary keywords on URL","")&amp;IF(U96="Yes","; URL spans 2+ clusters","")&amp;IF(W96="Yes","; Intent mismatch","")&amp;IF(X96="Yes","; Ranking URL is not the target",""),3,300))))</f>
        <v/>
      </c>
      <c r="AA96">
        <f>IF(G96="","",IF(COUNTIF($G$3:G96,SUBSTITUTE(SUBSTITUTE(G96,"?","~?"),"*","~*"))=1,MAX($AA$2:AA95)+1,""))</f>
        <v/>
      </c>
      <c r="AB96">
        <f>IF(B96="","",IF(COUNTIF($B$3:B96,SUBSTITUTE(SUBSTITUTE(B96,"?","~?"),"*","~*"))=1,MAX($AB$2:AB95)+1,""))</f>
        <v/>
      </c>
    </row>
    <row r="97">
      <c r="M97">
        <f>IF(A97="","",LOWER(TRIM(SUBSTITUTE(SUBSTITUTE(A97,"?",""),"*",""))))</f>
        <v/>
      </c>
      <c r="N97">
        <f>IF(M97="","",IF(SUMPRODUCT(ISNUMBER(SEARCH(" "&amp;Settings!$L$5:$L$124&amp;" "," "&amp;M97&amp;" "))*(Settings!$K$5:$K$124="Navigational")*(Settings!$L$5:$L$124&lt;&gt;""))&gt;0,"Navigational",IF(SUMPRODUCT(ISNUMBER(SEARCH(" "&amp;Settings!$L$5:$L$124&amp;" "," "&amp;M97&amp;" "))*(Settings!$K$5:$K$124="Transactional")*(Settings!$L$5:$L$124&lt;&gt;""))&gt;0,"Transactional",IF(SUMPRODUCT(ISNUMBER(SEARCH(" "&amp;Settings!$L$5:$L$124&amp;" "," "&amp;M97&amp;" "))*(Settings!$K$5:$K$124="Commercial")*(Settings!$L$5:$L$124&lt;&gt;""))&gt;0,"Commercial",IF(SUMPRODUCT(ISNUMBER(SEARCH(" "&amp;Settings!$L$5:$L$124&amp;" "," "&amp;M97&amp;" "))*(Settings!$K$5:$K$124="Informational")*(Settings!$L$5:$L$124&lt;&gt;""))&gt;0,"Informational","Unclassified")))))</f>
        <v/>
      </c>
      <c r="O97">
        <f>IF(A97="","",IF(K97&lt;&gt;"",PROPER(K97),N97))</f>
        <v/>
      </c>
      <c r="P97">
        <f>IF(A97="","",ROUND(Settings!$B$5*MIN(1,LOG10(N(C97)+1)/LOG10(Settings!$B$7+1))+Settings!$B$6*(1-MIN(100,IF(D97="",50,N(D97)))/100)+IFERROR(INDEX(Settings!$B$10:$B$14,MATCH(O97,Settings!$A$10:$A$14,0)),0),0))</f>
        <v/>
      </c>
      <c r="Q97">
        <f>IF(OR(A97="",G97=""),"",COUNTIFS($M$3:$M$1002,M97,$G$3:$G$1002,"&lt;&gt;"&amp;SUBSTITUTE(SUBSTITUTE(G97,"?","~?"),"*","~*"),$G$3:$G$1002,"?*"))</f>
        <v/>
      </c>
      <c r="R97">
        <f>IF(Q97="","",IF(Q97&gt;0,"Yes","No"))</f>
        <v/>
      </c>
      <c r="S97">
        <f>IF(G97="","",COUNTIFS($G$3:$G$1002,SUBSTITUTE(SUBSTITUTE(G97,"?","~?"),"*","~*"),$J$3:$J$1002,"Primary"))</f>
        <v/>
      </c>
      <c r="T97">
        <f>IF(S97="","",IF(S97&gt;Settings!$B$4,"Yes","No"))</f>
        <v/>
      </c>
      <c r="U97">
        <f>IF(OR(G97="",B97=""),"",IF(COUNTIFS($G$3:$G$1002,SUBSTITUTE(SUBSTITUTE(G97,"?","~?"),"*","~*"),$B$3:$B$1002,"&lt;&gt;"&amp;SUBSTITUTE(SUBSTITUTE(B97,"?","~?"),"*","~*"),$B$3:$B$1002,"?*")&gt;0,"Yes","No"))</f>
        <v/>
      </c>
      <c r="V97">
        <f>IF(OR(G97="",I97="",O97="",O97="Unclassified"),"",IFERROR(INDEX(Settings!$E$5:$H$16,MATCH(I97,Settings!$D$5:$D$16,0),MATCH(O97,Settings!$E$4:$H$4,0)),"Check"))</f>
        <v/>
      </c>
      <c r="W97">
        <f>IF(V97="","",IF(V97="No","Yes","No"))</f>
        <v/>
      </c>
      <c r="X97">
        <f>IF(OR(E97="",G97=""),"",IF(LOWER(IF(RIGHT(TRIM(E97),1)="/",LEFT(TRIM(E97),LEN(TRIM(E97))-1),TRIM(E97)))&lt;&gt;LOWER(IF(RIGHT(TRIM(G97),1)="/",LEFT(TRIM(G97),LEN(TRIM(G97))-1),TRIM(G97))),"Yes","No"))</f>
        <v/>
      </c>
      <c r="Y97">
        <f>IF(A97="","",(N(Q97)&gt;0)+(T97="Yes")+(U97="Yes")+(W97="Yes")+(X97="Yes"))</f>
        <v/>
      </c>
      <c r="Z97">
        <f>IF(A97="","",IF(G97="","Not mapped",IF(Y97=0,"OK",MID(IF(N(Q97)&gt;0,"; Cannibalisation","")&amp;IF(T97="Yes","; Too many primary keywords on URL","")&amp;IF(U97="Yes","; URL spans 2+ clusters","")&amp;IF(W97="Yes","; Intent mismatch","")&amp;IF(X97="Yes","; Ranking URL is not the target",""),3,300))))</f>
        <v/>
      </c>
      <c r="AA97">
        <f>IF(G97="","",IF(COUNTIF($G$3:G97,SUBSTITUTE(SUBSTITUTE(G97,"?","~?"),"*","~*"))=1,MAX($AA$2:AA96)+1,""))</f>
        <v/>
      </c>
      <c r="AB97">
        <f>IF(B97="","",IF(COUNTIF($B$3:B97,SUBSTITUTE(SUBSTITUTE(B97,"?","~?"),"*","~*"))=1,MAX($AB$2:AB96)+1,""))</f>
        <v/>
      </c>
    </row>
    <row r="98">
      <c r="M98">
        <f>IF(A98="","",LOWER(TRIM(SUBSTITUTE(SUBSTITUTE(A98,"?",""),"*",""))))</f>
        <v/>
      </c>
      <c r="N98">
        <f>IF(M98="","",IF(SUMPRODUCT(ISNUMBER(SEARCH(" "&amp;Settings!$L$5:$L$124&amp;" "," "&amp;M98&amp;" "))*(Settings!$K$5:$K$124="Navigational")*(Settings!$L$5:$L$124&lt;&gt;""))&gt;0,"Navigational",IF(SUMPRODUCT(ISNUMBER(SEARCH(" "&amp;Settings!$L$5:$L$124&amp;" "," "&amp;M98&amp;" "))*(Settings!$K$5:$K$124="Transactional")*(Settings!$L$5:$L$124&lt;&gt;""))&gt;0,"Transactional",IF(SUMPRODUCT(ISNUMBER(SEARCH(" "&amp;Settings!$L$5:$L$124&amp;" "," "&amp;M98&amp;" "))*(Settings!$K$5:$K$124="Commercial")*(Settings!$L$5:$L$124&lt;&gt;""))&gt;0,"Commercial",IF(SUMPRODUCT(ISNUMBER(SEARCH(" "&amp;Settings!$L$5:$L$124&amp;" "," "&amp;M98&amp;" "))*(Settings!$K$5:$K$124="Informational")*(Settings!$L$5:$L$124&lt;&gt;""))&gt;0,"Informational","Unclassified")))))</f>
        <v/>
      </c>
      <c r="O98">
        <f>IF(A98="","",IF(K98&lt;&gt;"",PROPER(K98),N98))</f>
        <v/>
      </c>
      <c r="P98">
        <f>IF(A98="","",ROUND(Settings!$B$5*MIN(1,LOG10(N(C98)+1)/LOG10(Settings!$B$7+1))+Settings!$B$6*(1-MIN(100,IF(D98="",50,N(D98)))/100)+IFERROR(INDEX(Settings!$B$10:$B$14,MATCH(O98,Settings!$A$10:$A$14,0)),0),0))</f>
        <v/>
      </c>
      <c r="Q98">
        <f>IF(OR(A98="",G98=""),"",COUNTIFS($M$3:$M$1002,M98,$G$3:$G$1002,"&lt;&gt;"&amp;SUBSTITUTE(SUBSTITUTE(G98,"?","~?"),"*","~*"),$G$3:$G$1002,"?*"))</f>
        <v/>
      </c>
      <c r="R98">
        <f>IF(Q98="","",IF(Q98&gt;0,"Yes","No"))</f>
        <v/>
      </c>
      <c r="S98">
        <f>IF(G98="","",COUNTIFS($G$3:$G$1002,SUBSTITUTE(SUBSTITUTE(G98,"?","~?"),"*","~*"),$J$3:$J$1002,"Primary"))</f>
        <v/>
      </c>
      <c r="T98">
        <f>IF(S98="","",IF(S98&gt;Settings!$B$4,"Yes","No"))</f>
        <v/>
      </c>
      <c r="U98">
        <f>IF(OR(G98="",B98=""),"",IF(COUNTIFS($G$3:$G$1002,SUBSTITUTE(SUBSTITUTE(G98,"?","~?"),"*","~*"),$B$3:$B$1002,"&lt;&gt;"&amp;SUBSTITUTE(SUBSTITUTE(B98,"?","~?"),"*","~*"),$B$3:$B$1002,"?*")&gt;0,"Yes","No"))</f>
        <v/>
      </c>
      <c r="V98">
        <f>IF(OR(G98="",I98="",O98="",O98="Unclassified"),"",IFERROR(INDEX(Settings!$E$5:$H$16,MATCH(I98,Settings!$D$5:$D$16,0),MATCH(O98,Settings!$E$4:$H$4,0)),"Check"))</f>
        <v/>
      </c>
      <c r="W98">
        <f>IF(V98="","",IF(V98="No","Yes","No"))</f>
        <v/>
      </c>
      <c r="X98">
        <f>IF(OR(E98="",G98=""),"",IF(LOWER(IF(RIGHT(TRIM(E98),1)="/",LEFT(TRIM(E98),LEN(TRIM(E98))-1),TRIM(E98)))&lt;&gt;LOWER(IF(RIGHT(TRIM(G98),1)="/",LEFT(TRIM(G98),LEN(TRIM(G98))-1),TRIM(G98))),"Yes","No"))</f>
        <v/>
      </c>
      <c r="Y98">
        <f>IF(A98="","",(N(Q98)&gt;0)+(T98="Yes")+(U98="Yes")+(W98="Yes")+(X98="Yes"))</f>
        <v/>
      </c>
      <c r="Z98">
        <f>IF(A98="","",IF(G98="","Not mapped",IF(Y98=0,"OK",MID(IF(N(Q98)&gt;0,"; Cannibalisation","")&amp;IF(T98="Yes","; Too many primary keywords on URL","")&amp;IF(U98="Yes","; URL spans 2+ clusters","")&amp;IF(W98="Yes","; Intent mismatch","")&amp;IF(X98="Yes","; Ranking URL is not the target",""),3,300))))</f>
        <v/>
      </c>
      <c r="AA98">
        <f>IF(G98="","",IF(COUNTIF($G$3:G98,SUBSTITUTE(SUBSTITUTE(G98,"?","~?"),"*","~*"))=1,MAX($AA$2:AA97)+1,""))</f>
        <v/>
      </c>
      <c r="AB98">
        <f>IF(B98="","",IF(COUNTIF($B$3:B98,SUBSTITUTE(SUBSTITUTE(B98,"?","~?"),"*","~*"))=1,MAX($AB$2:AB97)+1,""))</f>
        <v/>
      </c>
    </row>
    <row r="99">
      <c r="M99">
        <f>IF(A99="","",LOWER(TRIM(SUBSTITUTE(SUBSTITUTE(A99,"?",""),"*",""))))</f>
        <v/>
      </c>
      <c r="N99">
        <f>IF(M99="","",IF(SUMPRODUCT(ISNUMBER(SEARCH(" "&amp;Settings!$L$5:$L$124&amp;" "," "&amp;M99&amp;" "))*(Settings!$K$5:$K$124="Navigational")*(Settings!$L$5:$L$124&lt;&gt;""))&gt;0,"Navigational",IF(SUMPRODUCT(ISNUMBER(SEARCH(" "&amp;Settings!$L$5:$L$124&amp;" "," "&amp;M99&amp;" "))*(Settings!$K$5:$K$124="Transactional")*(Settings!$L$5:$L$124&lt;&gt;""))&gt;0,"Transactional",IF(SUMPRODUCT(ISNUMBER(SEARCH(" "&amp;Settings!$L$5:$L$124&amp;" "," "&amp;M99&amp;" "))*(Settings!$K$5:$K$124="Commercial")*(Settings!$L$5:$L$124&lt;&gt;""))&gt;0,"Commercial",IF(SUMPRODUCT(ISNUMBER(SEARCH(" "&amp;Settings!$L$5:$L$124&amp;" "," "&amp;M99&amp;" "))*(Settings!$K$5:$K$124="Informational")*(Settings!$L$5:$L$124&lt;&gt;""))&gt;0,"Informational","Unclassified")))))</f>
        <v/>
      </c>
      <c r="O99">
        <f>IF(A99="","",IF(K99&lt;&gt;"",PROPER(K99),N99))</f>
        <v/>
      </c>
      <c r="P99">
        <f>IF(A99="","",ROUND(Settings!$B$5*MIN(1,LOG10(N(C99)+1)/LOG10(Settings!$B$7+1))+Settings!$B$6*(1-MIN(100,IF(D99="",50,N(D99)))/100)+IFERROR(INDEX(Settings!$B$10:$B$14,MATCH(O99,Settings!$A$10:$A$14,0)),0),0))</f>
        <v/>
      </c>
      <c r="Q99">
        <f>IF(OR(A99="",G99=""),"",COUNTIFS($M$3:$M$1002,M99,$G$3:$G$1002,"&lt;&gt;"&amp;SUBSTITUTE(SUBSTITUTE(G99,"?","~?"),"*","~*"),$G$3:$G$1002,"?*"))</f>
        <v/>
      </c>
      <c r="R99">
        <f>IF(Q99="","",IF(Q99&gt;0,"Yes","No"))</f>
        <v/>
      </c>
      <c r="S99">
        <f>IF(G99="","",COUNTIFS($G$3:$G$1002,SUBSTITUTE(SUBSTITUTE(G99,"?","~?"),"*","~*"),$J$3:$J$1002,"Primary"))</f>
        <v/>
      </c>
      <c r="T99">
        <f>IF(S99="","",IF(S99&gt;Settings!$B$4,"Yes","No"))</f>
        <v/>
      </c>
      <c r="U99">
        <f>IF(OR(G99="",B99=""),"",IF(COUNTIFS($G$3:$G$1002,SUBSTITUTE(SUBSTITUTE(G99,"?","~?"),"*","~*"),$B$3:$B$1002,"&lt;&gt;"&amp;SUBSTITUTE(SUBSTITUTE(B99,"?","~?"),"*","~*"),$B$3:$B$1002,"?*")&gt;0,"Yes","No"))</f>
        <v/>
      </c>
      <c r="V99">
        <f>IF(OR(G99="",I99="",O99="",O99="Unclassified"),"",IFERROR(INDEX(Settings!$E$5:$H$16,MATCH(I99,Settings!$D$5:$D$16,0),MATCH(O99,Settings!$E$4:$H$4,0)),"Check"))</f>
        <v/>
      </c>
      <c r="W99">
        <f>IF(V99="","",IF(V99="No","Yes","No"))</f>
        <v/>
      </c>
      <c r="X99">
        <f>IF(OR(E99="",G99=""),"",IF(LOWER(IF(RIGHT(TRIM(E99),1)="/",LEFT(TRIM(E99),LEN(TRIM(E99))-1),TRIM(E99)))&lt;&gt;LOWER(IF(RIGHT(TRIM(G99),1)="/",LEFT(TRIM(G99),LEN(TRIM(G99))-1),TRIM(G99))),"Yes","No"))</f>
        <v/>
      </c>
      <c r="Y99">
        <f>IF(A99="","",(N(Q99)&gt;0)+(T99="Yes")+(U99="Yes")+(W99="Yes")+(X99="Yes"))</f>
        <v/>
      </c>
      <c r="Z99">
        <f>IF(A99="","",IF(G99="","Not mapped",IF(Y99=0,"OK",MID(IF(N(Q99)&gt;0,"; Cannibalisation","")&amp;IF(T99="Yes","; Too many primary keywords on URL","")&amp;IF(U99="Yes","; URL spans 2+ clusters","")&amp;IF(W99="Yes","; Intent mismatch","")&amp;IF(X99="Yes","; Ranking URL is not the target",""),3,300))))</f>
        <v/>
      </c>
      <c r="AA99">
        <f>IF(G99="","",IF(COUNTIF($G$3:G99,SUBSTITUTE(SUBSTITUTE(G99,"?","~?"),"*","~*"))=1,MAX($AA$2:AA98)+1,""))</f>
        <v/>
      </c>
      <c r="AB99">
        <f>IF(B99="","",IF(COUNTIF($B$3:B99,SUBSTITUTE(SUBSTITUTE(B99,"?","~?"),"*","~*"))=1,MAX($AB$2:AB98)+1,""))</f>
        <v/>
      </c>
    </row>
    <row r="100">
      <c r="M100">
        <f>IF(A100="","",LOWER(TRIM(SUBSTITUTE(SUBSTITUTE(A100,"?",""),"*",""))))</f>
        <v/>
      </c>
      <c r="N100">
        <f>IF(M100="","",IF(SUMPRODUCT(ISNUMBER(SEARCH(" "&amp;Settings!$L$5:$L$124&amp;" "," "&amp;M100&amp;" "))*(Settings!$K$5:$K$124="Navigational")*(Settings!$L$5:$L$124&lt;&gt;""))&gt;0,"Navigational",IF(SUMPRODUCT(ISNUMBER(SEARCH(" "&amp;Settings!$L$5:$L$124&amp;" "," "&amp;M100&amp;" "))*(Settings!$K$5:$K$124="Transactional")*(Settings!$L$5:$L$124&lt;&gt;""))&gt;0,"Transactional",IF(SUMPRODUCT(ISNUMBER(SEARCH(" "&amp;Settings!$L$5:$L$124&amp;" "," "&amp;M100&amp;" "))*(Settings!$K$5:$K$124="Commercial")*(Settings!$L$5:$L$124&lt;&gt;""))&gt;0,"Commercial",IF(SUMPRODUCT(ISNUMBER(SEARCH(" "&amp;Settings!$L$5:$L$124&amp;" "," "&amp;M100&amp;" "))*(Settings!$K$5:$K$124="Informational")*(Settings!$L$5:$L$124&lt;&gt;""))&gt;0,"Informational","Unclassified")))))</f>
        <v/>
      </c>
      <c r="O100">
        <f>IF(A100="","",IF(K100&lt;&gt;"",PROPER(K100),N100))</f>
        <v/>
      </c>
      <c r="P100">
        <f>IF(A100="","",ROUND(Settings!$B$5*MIN(1,LOG10(N(C100)+1)/LOG10(Settings!$B$7+1))+Settings!$B$6*(1-MIN(100,IF(D100="",50,N(D100)))/100)+IFERROR(INDEX(Settings!$B$10:$B$14,MATCH(O100,Settings!$A$10:$A$14,0)),0),0))</f>
        <v/>
      </c>
      <c r="Q100">
        <f>IF(OR(A100="",G100=""),"",COUNTIFS($M$3:$M$1002,M100,$G$3:$G$1002,"&lt;&gt;"&amp;SUBSTITUTE(SUBSTITUTE(G100,"?","~?"),"*","~*"),$G$3:$G$1002,"?*"))</f>
        <v/>
      </c>
      <c r="R100">
        <f>IF(Q100="","",IF(Q100&gt;0,"Yes","No"))</f>
        <v/>
      </c>
      <c r="S100">
        <f>IF(G100="","",COUNTIFS($G$3:$G$1002,SUBSTITUTE(SUBSTITUTE(G100,"?","~?"),"*","~*"),$J$3:$J$1002,"Primary"))</f>
        <v/>
      </c>
      <c r="T100">
        <f>IF(S100="","",IF(S100&gt;Settings!$B$4,"Yes","No"))</f>
        <v/>
      </c>
      <c r="U100">
        <f>IF(OR(G100="",B100=""),"",IF(COUNTIFS($G$3:$G$1002,SUBSTITUTE(SUBSTITUTE(G100,"?","~?"),"*","~*"),$B$3:$B$1002,"&lt;&gt;"&amp;SUBSTITUTE(SUBSTITUTE(B100,"?","~?"),"*","~*"),$B$3:$B$1002,"?*")&gt;0,"Yes","No"))</f>
        <v/>
      </c>
      <c r="V100">
        <f>IF(OR(G100="",I100="",O100="",O100="Unclassified"),"",IFERROR(INDEX(Settings!$E$5:$H$16,MATCH(I100,Settings!$D$5:$D$16,0),MATCH(O100,Settings!$E$4:$H$4,0)),"Check"))</f>
        <v/>
      </c>
      <c r="W100">
        <f>IF(V100="","",IF(V100="No","Yes","No"))</f>
        <v/>
      </c>
      <c r="X100">
        <f>IF(OR(E100="",G100=""),"",IF(LOWER(IF(RIGHT(TRIM(E100),1)="/",LEFT(TRIM(E100),LEN(TRIM(E100))-1),TRIM(E100)))&lt;&gt;LOWER(IF(RIGHT(TRIM(G100),1)="/",LEFT(TRIM(G100),LEN(TRIM(G100))-1),TRIM(G100))),"Yes","No"))</f>
        <v/>
      </c>
      <c r="Y100">
        <f>IF(A100="","",(N(Q100)&gt;0)+(T100="Yes")+(U100="Yes")+(W100="Yes")+(X100="Yes"))</f>
        <v/>
      </c>
      <c r="Z100">
        <f>IF(A100="","",IF(G100="","Not mapped",IF(Y100=0,"OK",MID(IF(N(Q100)&gt;0,"; Cannibalisation","")&amp;IF(T100="Yes","; Too many primary keywords on URL","")&amp;IF(U100="Yes","; URL spans 2+ clusters","")&amp;IF(W100="Yes","; Intent mismatch","")&amp;IF(X100="Yes","; Ranking URL is not the target",""),3,300))))</f>
        <v/>
      </c>
      <c r="AA100">
        <f>IF(G100="","",IF(COUNTIF($G$3:G100,SUBSTITUTE(SUBSTITUTE(G100,"?","~?"),"*","~*"))=1,MAX($AA$2:AA99)+1,""))</f>
        <v/>
      </c>
      <c r="AB100">
        <f>IF(B100="","",IF(COUNTIF($B$3:B100,SUBSTITUTE(SUBSTITUTE(B100,"?","~?"),"*","~*"))=1,MAX($AB$2:AB99)+1,""))</f>
        <v/>
      </c>
    </row>
    <row r="101">
      <c r="M101">
        <f>IF(A101="","",LOWER(TRIM(SUBSTITUTE(SUBSTITUTE(A101,"?",""),"*",""))))</f>
        <v/>
      </c>
      <c r="N101">
        <f>IF(M101="","",IF(SUMPRODUCT(ISNUMBER(SEARCH(" "&amp;Settings!$L$5:$L$124&amp;" "," "&amp;M101&amp;" "))*(Settings!$K$5:$K$124="Navigational")*(Settings!$L$5:$L$124&lt;&gt;""))&gt;0,"Navigational",IF(SUMPRODUCT(ISNUMBER(SEARCH(" "&amp;Settings!$L$5:$L$124&amp;" "," "&amp;M101&amp;" "))*(Settings!$K$5:$K$124="Transactional")*(Settings!$L$5:$L$124&lt;&gt;""))&gt;0,"Transactional",IF(SUMPRODUCT(ISNUMBER(SEARCH(" "&amp;Settings!$L$5:$L$124&amp;" "," "&amp;M101&amp;" "))*(Settings!$K$5:$K$124="Commercial")*(Settings!$L$5:$L$124&lt;&gt;""))&gt;0,"Commercial",IF(SUMPRODUCT(ISNUMBER(SEARCH(" "&amp;Settings!$L$5:$L$124&amp;" "," "&amp;M101&amp;" "))*(Settings!$K$5:$K$124="Informational")*(Settings!$L$5:$L$124&lt;&gt;""))&gt;0,"Informational","Unclassified")))))</f>
        <v/>
      </c>
      <c r="O101">
        <f>IF(A101="","",IF(K101&lt;&gt;"",PROPER(K101),N101))</f>
        <v/>
      </c>
      <c r="P101">
        <f>IF(A101="","",ROUND(Settings!$B$5*MIN(1,LOG10(N(C101)+1)/LOG10(Settings!$B$7+1))+Settings!$B$6*(1-MIN(100,IF(D101="",50,N(D101)))/100)+IFERROR(INDEX(Settings!$B$10:$B$14,MATCH(O101,Settings!$A$10:$A$14,0)),0),0))</f>
        <v/>
      </c>
      <c r="Q101">
        <f>IF(OR(A101="",G101=""),"",COUNTIFS($M$3:$M$1002,M101,$G$3:$G$1002,"&lt;&gt;"&amp;SUBSTITUTE(SUBSTITUTE(G101,"?","~?"),"*","~*"),$G$3:$G$1002,"?*"))</f>
        <v/>
      </c>
      <c r="R101">
        <f>IF(Q101="","",IF(Q101&gt;0,"Yes","No"))</f>
        <v/>
      </c>
      <c r="S101">
        <f>IF(G101="","",COUNTIFS($G$3:$G$1002,SUBSTITUTE(SUBSTITUTE(G101,"?","~?"),"*","~*"),$J$3:$J$1002,"Primary"))</f>
        <v/>
      </c>
      <c r="T101">
        <f>IF(S101="","",IF(S101&gt;Settings!$B$4,"Yes","No"))</f>
        <v/>
      </c>
      <c r="U101">
        <f>IF(OR(G101="",B101=""),"",IF(COUNTIFS($G$3:$G$1002,SUBSTITUTE(SUBSTITUTE(G101,"?","~?"),"*","~*"),$B$3:$B$1002,"&lt;&gt;"&amp;SUBSTITUTE(SUBSTITUTE(B101,"?","~?"),"*","~*"),$B$3:$B$1002,"?*")&gt;0,"Yes","No"))</f>
        <v/>
      </c>
      <c r="V101">
        <f>IF(OR(G101="",I101="",O101="",O101="Unclassified"),"",IFERROR(INDEX(Settings!$E$5:$H$16,MATCH(I101,Settings!$D$5:$D$16,0),MATCH(O101,Settings!$E$4:$H$4,0)),"Check"))</f>
        <v/>
      </c>
      <c r="W101">
        <f>IF(V101="","",IF(V101="No","Yes","No"))</f>
        <v/>
      </c>
      <c r="X101">
        <f>IF(OR(E101="",G101=""),"",IF(LOWER(IF(RIGHT(TRIM(E101),1)="/",LEFT(TRIM(E101),LEN(TRIM(E101))-1),TRIM(E101)))&lt;&gt;LOWER(IF(RIGHT(TRIM(G101),1)="/",LEFT(TRIM(G101),LEN(TRIM(G101))-1),TRIM(G101))),"Yes","No"))</f>
        <v/>
      </c>
      <c r="Y101">
        <f>IF(A101="","",(N(Q101)&gt;0)+(T101="Yes")+(U101="Yes")+(W101="Yes")+(X101="Yes"))</f>
        <v/>
      </c>
      <c r="Z101">
        <f>IF(A101="","",IF(G101="","Not mapped",IF(Y101=0,"OK",MID(IF(N(Q101)&gt;0,"; Cannibalisation","")&amp;IF(T101="Yes","; Too many primary keywords on URL","")&amp;IF(U101="Yes","; URL spans 2+ clusters","")&amp;IF(W101="Yes","; Intent mismatch","")&amp;IF(X101="Yes","; Ranking URL is not the target",""),3,300))))</f>
        <v/>
      </c>
      <c r="AA101">
        <f>IF(G101="","",IF(COUNTIF($G$3:G101,SUBSTITUTE(SUBSTITUTE(G101,"?","~?"),"*","~*"))=1,MAX($AA$2:AA100)+1,""))</f>
        <v/>
      </c>
      <c r="AB101">
        <f>IF(B101="","",IF(COUNTIF($B$3:B101,SUBSTITUTE(SUBSTITUTE(B101,"?","~?"),"*","~*"))=1,MAX($AB$2:AB100)+1,""))</f>
        <v/>
      </c>
    </row>
    <row r="102">
      <c r="M102">
        <f>IF(A102="","",LOWER(TRIM(SUBSTITUTE(SUBSTITUTE(A102,"?",""),"*",""))))</f>
        <v/>
      </c>
      <c r="N102">
        <f>IF(M102="","",IF(SUMPRODUCT(ISNUMBER(SEARCH(" "&amp;Settings!$L$5:$L$124&amp;" "," "&amp;M102&amp;" "))*(Settings!$K$5:$K$124="Navigational")*(Settings!$L$5:$L$124&lt;&gt;""))&gt;0,"Navigational",IF(SUMPRODUCT(ISNUMBER(SEARCH(" "&amp;Settings!$L$5:$L$124&amp;" "," "&amp;M102&amp;" "))*(Settings!$K$5:$K$124="Transactional")*(Settings!$L$5:$L$124&lt;&gt;""))&gt;0,"Transactional",IF(SUMPRODUCT(ISNUMBER(SEARCH(" "&amp;Settings!$L$5:$L$124&amp;" "," "&amp;M102&amp;" "))*(Settings!$K$5:$K$124="Commercial")*(Settings!$L$5:$L$124&lt;&gt;""))&gt;0,"Commercial",IF(SUMPRODUCT(ISNUMBER(SEARCH(" "&amp;Settings!$L$5:$L$124&amp;" "," "&amp;M102&amp;" "))*(Settings!$K$5:$K$124="Informational")*(Settings!$L$5:$L$124&lt;&gt;""))&gt;0,"Informational","Unclassified")))))</f>
        <v/>
      </c>
      <c r="O102">
        <f>IF(A102="","",IF(K102&lt;&gt;"",PROPER(K102),N102))</f>
        <v/>
      </c>
      <c r="P102">
        <f>IF(A102="","",ROUND(Settings!$B$5*MIN(1,LOG10(N(C102)+1)/LOG10(Settings!$B$7+1))+Settings!$B$6*(1-MIN(100,IF(D102="",50,N(D102)))/100)+IFERROR(INDEX(Settings!$B$10:$B$14,MATCH(O102,Settings!$A$10:$A$14,0)),0),0))</f>
        <v/>
      </c>
      <c r="Q102">
        <f>IF(OR(A102="",G102=""),"",COUNTIFS($M$3:$M$1002,M102,$G$3:$G$1002,"&lt;&gt;"&amp;SUBSTITUTE(SUBSTITUTE(G102,"?","~?"),"*","~*"),$G$3:$G$1002,"?*"))</f>
        <v/>
      </c>
      <c r="R102">
        <f>IF(Q102="","",IF(Q102&gt;0,"Yes","No"))</f>
        <v/>
      </c>
      <c r="S102">
        <f>IF(G102="","",COUNTIFS($G$3:$G$1002,SUBSTITUTE(SUBSTITUTE(G102,"?","~?"),"*","~*"),$J$3:$J$1002,"Primary"))</f>
        <v/>
      </c>
      <c r="T102">
        <f>IF(S102="","",IF(S102&gt;Settings!$B$4,"Yes","No"))</f>
        <v/>
      </c>
      <c r="U102">
        <f>IF(OR(G102="",B102=""),"",IF(COUNTIFS($G$3:$G$1002,SUBSTITUTE(SUBSTITUTE(G102,"?","~?"),"*","~*"),$B$3:$B$1002,"&lt;&gt;"&amp;SUBSTITUTE(SUBSTITUTE(B102,"?","~?"),"*","~*"),$B$3:$B$1002,"?*")&gt;0,"Yes","No"))</f>
        <v/>
      </c>
      <c r="V102">
        <f>IF(OR(G102="",I102="",O102="",O102="Unclassified"),"",IFERROR(INDEX(Settings!$E$5:$H$16,MATCH(I102,Settings!$D$5:$D$16,0),MATCH(O102,Settings!$E$4:$H$4,0)),"Check"))</f>
        <v/>
      </c>
      <c r="W102">
        <f>IF(V102="","",IF(V102="No","Yes","No"))</f>
        <v/>
      </c>
      <c r="X102">
        <f>IF(OR(E102="",G102=""),"",IF(LOWER(IF(RIGHT(TRIM(E102),1)="/",LEFT(TRIM(E102),LEN(TRIM(E102))-1),TRIM(E102)))&lt;&gt;LOWER(IF(RIGHT(TRIM(G102),1)="/",LEFT(TRIM(G102),LEN(TRIM(G102))-1),TRIM(G102))),"Yes","No"))</f>
        <v/>
      </c>
      <c r="Y102">
        <f>IF(A102="","",(N(Q102)&gt;0)+(T102="Yes")+(U102="Yes")+(W102="Yes")+(X102="Yes"))</f>
        <v/>
      </c>
      <c r="Z102">
        <f>IF(A102="","",IF(G102="","Not mapped",IF(Y102=0,"OK",MID(IF(N(Q102)&gt;0,"; Cannibalisation","")&amp;IF(T102="Yes","; Too many primary keywords on URL","")&amp;IF(U102="Yes","; URL spans 2+ clusters","")&amp;IF(W102="Yes","; Intent mismatch","")&amp;IF(X102="Yes","; Ranking URL is not the target",""),3,300))))</f>
        <v/>
      </c>
      <c r="AA102">
        <f>IF(G102="","",IF(COUNTIF($G$3:G102,SUBSTITUTE(SUBSTITUTE(G102,"?","~?"),"*","~*"))=1,MAX($AA$2:AA101)+1,""))</f>
        <v/>
      </c>
      <c r="AB102">
        <f>IF(B102="","",IF(COUNTIF($B$3:B102,SUBSTITUTE(SUBSTITUTE(B102,"?","~?"),"*","~*"))=1,MAX($AB$2:AB101)+1,""))</f>
        <v/>
      </c>
    </row>
    <row r="103">
      <c r="M103">
        <f>IF(A103="","",LOWER(TRIM(SUBSTITUTE(SUBSTITUTE(A103,"?",""),"*",""))))</f>
        <v/>
      </c>
      <c r="N103">
        <f>IF(M103="","",IF(SUMPRODUCT(ISNUMBER(SEARCH(" "&amp;Settings!$L$5:$L$124&amp;" "," "&amp;M103&amp;" "))*(Settings!$K$5:$K$124="Navigational")*(Settings!$L$5:$L$124&lt;&gt;""))&gt;0,"Navigational",IF(SUMPRODUCT(ISNUMBER(SEARCH(" "&amp;Settings!$L$5:$L$124&amp;" "," "&amp;M103&amp;" "))*(Settings!$K$5:$K$124="Transactional")*(Settings!$L$5:$L$124&lt;&gt;""))&gt;0,"Transactional",IF(SUMPRODUCT(ISNUMBER(SEARCH(" "&amp;Settings!$L$5:$L$124&amp;" "," "&amp;M103&amp;" "))*(Settings!$K$5:$K$124="Commercial")*(Settings!$L$5:$L$124&lt;&gt;""))&gt;0,"Commercial",IF(SUMPRODUCT(ISNUMBER(SEARCH(" "&amp;Settings!$L$5:$L$124&amp;" "," "&amp;M103&amp;" "))*(Settings!$K$5:$K$124="Informational")*(Settings!$L$5:$L$124&lt;&gt;""))&gt;0,"Informational","Unclassified")))))</f>
        <v/>
      </c>
      <c r="O103">
        <f>IF(A103="","",IF(K103&lt;&gt;"",PROPER(K103),N103))</f>
        <v/>
      </c>
      <c r="P103">
        <f>IF(A103="","",ROUND(Settings!$B$5*MIN(1,LOG10(N(C103)+1)/LOG10(Settings!$B$7+1))+Settings!$B$6*(1-MIN(100,IF(D103="",50,N(D103)))/100)+IFERROR(INDEX(Settings!$B$10:$B$14,MATCH(O103,Settings!$A$10:$A$14,0)),0),0))</f>
        <v/>
      </c>
      <c r="Q103">
        <f>IF(OR(A103="",G103=""),"",COUNTIFS($M$3:$M$1002,M103,$G$3:$G$1002,"&lt;&gt;"&amp;SUBSTITUTE(SUBSTITUTE(G103,"?","~?"),"*","~*"),$G$3:$G$1002,"?*"))</f>
        <v/>
      </c>
      <c r="R103">
        <f>IF(Q103="","",IF(Q103&gt;0,"Yes","No"))</f>
        <v/>
      </c>
      <c r="S103">
        <f>IF(G103="","",COUNTIFS($G$3:$G$1002,SUBSTITUTE(SUBSTITUTE(G103,"?","~?"),"*","~*"),$J$3:$J$1002,"Primary"))</f>
        <v/>
      </c>
      <c r="T103">
        <f>IF(S103="","",IF(S103&gt;Settings!$B$4,"Yes","No"))</f>
        <v/>
      </c>
      <c r="U103">
        <f>IF(OR(G103="",B103=""),"",IF(COUNTIFS($G$3:$G$1002,SUBSTITUTE(SUBSTITUTE(G103,"?","~?"),"*","~*"),$B$3:$B$1002,"&lt;&gt;"&amp;SUBSTITUTE(SUBSTITUTE(B103,"?","~?"),"*","~*"),$B$3:$B$1002,"?*")&gt;0,"Yes","No"))</f>
        <v/>
      </c>
      <c r="V103">
        <f>IF(OR(G103="",I103="",O103="",O103="Unclassified"),"",IFERROR(INDEX(Settings!$E$5:$H$16,MATCH(I103,Settings!$D$5:$D$16,0),MATCH(O103,Settings!$E$4:$H$4,0)),"Check"))</f>
        <v/>
      </c>
      <c r="W103">
        <f>IF(V103="","",IF(V103="No","Yes","No"))</f>
        <v/>
      </c>
      <c r="X103">
        <f>IF(OR(E103="",G103=""),"",IF(LOWER(IF(RIGHT(TRIM(E103),1)="/",LEFT(TRIM(E103),LEN(TRIM(E103))-1),TRIM(E103)))&lt;&gt;LOWER(IF(RIGHT(TRIM(G103),1)="/",LEFT(TRIM(G103),LEN(TRIM(G103))-1),TRIM(G103))),"Yes","No"))</f>
        <v/>
      </c>
      <c r="Y103">
        <f>IF(A103="","",(N(Q103)&gt;0)+(T103="Yes")+(U103="Yes")+(W103="Yes")+(X103="Yes"))</f>
        <v/>
      </c>
      <c r="Z103">
        <f>IF(A103="","",IF(G103="","Not mapped",IF(Y103=0,"OK",MID(IF(N(Q103)&gt;0,"; Cannibalisation","")&amp;IF(T103="Yes","; Too many primary keywords on URL","")&amp;IF(U103="Yes","; URL spans 2+ clusters","")&amp;IF(W103="Yes","; Intent mismatch","")&amp;IF(X103="Yes","; Ranking URL is not the target",""),3,300))))</f>
        <v/>
      </c>
      <c r="AA103">
        <f>IF(G103="","",IF(COUNTIF($G$3:G103,SUBSTITUTE(SUBSTITUTE(G103,"?","~?"),"*","~*"))=1,MAX($AA$2:AA102)+1,""))</f>
        <v/>
      </c>
      <c r="AB103">
        <f>IF(B103="","",IF(COUNTIF($B$3:B103,SUBSTITUTE(SUBSTITUTE(B103,"?","~?"),"*","~*"))=1,MAX($AB$2:AB102)+1,""))</f>
        <v/>
      </c>
    </row>
    <row r="104">
      <c r="M104">
        <f>IF(A104="","",LOWER(TRIM(SUBSTITUTE(SUBSTITUTE(A104,"?",""),"*",""))))</f>
        <v/>
      </c>
      <c r="N104">
        <f>IF(M104="","",IF(SUMPRODUCT(ISNUMBER(SEARCH(" "&amp;Settings!$L$5:$L$124&amp;" "," "&amp;M104&amp;" "))*(Settings!$K$5:$K$124="Navigational")*(Settings!$L$5:$L$124&lt;&gt;""))&gt;0,"Navigational",IF(SUMPRODUCT(ISNUMBER(SEARCH(" "&amp;Settings!$L$5:$L$124&amp;" "," "&amp;M104&amp;" "))*(Settings!$K$5:$K$124="Transactional")*(Settings!$L$5:$L$124&lt;&gt;""))&gt;0,"Transactional",IF(SUMPRODUCT(ISNUMBER(SEARCH(" "&amp;Settings!$L$5:$L$124&amp;" "," "&amp;M104&amp;" "))*(Settings!$K$5:$K$124="Commercial")*(Settings!$L$5:$L$124&lt;&gt;""))&gt;0,"Commercial",IF(SUMPRODUCT(ISNUMBER(SEARCH(" "&amp;Settings!$L$5:$L$124&amp;" "," "&amp;M104&amp;" "))*(Settings!$K$5:$K$124="Informational")*(Settings!$L$5:$L$124&lt;&gt;""))&gt;0,"Informational","Unclassified")))))</f>
        <v/>
      </c>
      <c r="O104">
        <f>IF(A104="","",IF(K104&lt;&gt;"",PROPER(K104),N104))</f>
        <v/>
      </c>
      <c r="P104">
        <f>IF(A104="","",ROUND(Settings!$B$5*MIN(1,LOG10(N(C104)+1)/LOG10(Settings!$B$7+1))+Settings!$B$6*(1-MIN(100,IF(D104="",50,N(D104)))/100)+IFERROR(INDEX(Settings!$B$10:$B$14,MATCH(O104,Settings!$A$10:$A$14,0)),0),0))</f>
        <v/>
      </c>
      <c r="Q104">
        <f>IF(OR(A104="",G104=""),"",COUNTIFS($M$3:$M$1002,M104,$G$3:$G$1002,"&lt;&gt;"&amp;SUBSTITUTE(SUBSTITUTE(G104,"?","~?"),"*","~*"),$G$3:$G$1002,"?*"))</f>
        <v/>
      </c>
      <c r="R104">
        <f>IF(Q104="","",IF(Q104&gt;0,"Yes","No"))</f>
        <v/>
      </c>
      <c r="S104">
        <f>IF(G104="","",COUNTIFS($G$3:$G$1002,SUBSTITUTE(SUBSTITUTE(G104,"?","~?"),"*","~*"),$J$3:$J$1002,"Primary"))</f>
        <v/>
      </c>
      <c r="T104">
        <f>IF(S104="","",IF(S104&gt;Settings!$B$4,"Yes","No"))</f>
        <v/>
      </c>
      <c r="U104">
        <f>IF(OR(G104="",B104=""),"",IF(COUNTIFS($G$3:$G$1002,SUBSTITUTE(SUBSTITUTE(G104,"?","~?"),"*","~*"),$B$3:$B$1002,"&lt;&gt;"&amp;SUBSTITUTE(SUBSTITUTE(B104,"?","~?"),"*","~*"),$B$3:$B$1002,"?*")&gt;0,"Yes","No"))</f>
        <v/>
      </c>
      <c r="V104">
        <f>IF(OR(G104="",I104="",O104="",O104="Unclassified"),"",IFERROR(INDEX(Settings!$E$5:$H$16,MATCH(I104,Settings!$D$5:$D$16,0),MATCH(O104,Settings!$E$4:$H$4,0)),"Check"))</f>
        <v/>
      </c>
      <c r="W104">
        <f>IF(V104="","",IF(V104="No","Yes","No"))</f>
        <v/>
      </c>
      <c r="X104">
        <f>IF(OR(E104="",G104=""),"",IF(LOWER(IF(RIGHT(TRIM(E104),1)="/",LEFT(TRIM(E104),LEN(TRIM(E104))-1),TRIM(E104)))&lt;&gt;LOWER(IF(RIGHT(TRIM(G104),1)="/",LEFT(TRIM(G104),LEN(TRIM(G104))-1),TRIM(G104))),"Yes","No"))</f>
        <v/>
      </c>
      <c r="Y104">
        <f>IF(A104="","",(N(Q104)&gt;0)+(T104="Yes")+(U104="Yes")+(W104="Yes")+(X104="Yes"))</f>
        <v/>
      </c>
      <c r="Z104">
        <f>IF(A104="","",IF(G104="","Not mapped",IF(Y104=0,"OK",MID(IF(N(Q104)&gt;0,"; Cannibalisation","")&amp;IF(T104="Yes","; Too many primary keywords on URL","")&amp;IF(U104="Yes","; URL spans 2+ clusters","")&amp;IF(W104="Yes","; Intent mismatch","")&amp;IF(X104="Yes","; Ranking URL is not the target",""),3,300))))</f>
        <v/>
      </c>
      <c r="AA104">
        <f>IF(G104="","",IF(COUNTIF($G$3:G104,SUBSTITUTE(SUBSTITUTE(G104,"?","~?"),"*","~*"))=1,MAX($AA$2:AA103)+1,""))</f>
        <v/>
      </c>
      <c r="AB104">
        <f>IF(B104="","",IF(COUNTIF($B$3:B104,SUBSTITUTE(SUBSTITUTE(B104,"?","~?"),"*","~*"))=1,MAX($AB$2:AB103)+1,""))</f>
        <v/>
      </c>
    </row>
    <row r="105">
      <c r="M105">
        <f>IF(A105="","",LOWER(TRIM(SUBSTITUTE(SUBSTITUTE(A105,"?",""),"*",""))))</f>
        <v/>
      </c>
      <c r="N105">
        <f>IF(M105="","",IF(SUMPRODUCT(ISNUMBER(SEARCH(" "&amp;Settings!$L$5:$L$124&amp;" "," "&amp;M105&amp;" "))*(Settings!$K$5:$K$124="Navigational")*(Settings!$L$5:$L$124&lt;&gt;""))&gt;0,"Navigational",IF(SUMPRODUCT(ISNUMBER(SEARCH(" "&amp;Settings!$L$5:$L$124&amp;" "," "&amp;M105&amp;" "))*(Settings!$K$5:$K$124="Transactional")*(Settings!$L$5:$L$124&lt;&gt;""))&gt;0,"Transactional",IF(SUMPRODUCT(ISNUMBER(SEARCH(" "&amp;Settings!$L$5:$L$124&amp;" "," "&amp;M105&amp;" "))*(Settings!$K$5:$K$124="Commercial")*(Settings!$L$5:$L$124&lt;&gt;""))&gt;0,"Commercial",IF(SUMPRODUCT(ISNUMBER(SEARCH(" "&amp;Settings!$L$5:$L$124&amp;" "," "&amp;M105&amp;" "))*(Settings!$K$5:$K$124="Informational")*(Settings!$L$5:$L$124&lt;&gt;""))&gt;0,"Informational","Unclassified")))))</f>
        <v/>
      </c>
      <c r="O105">
        <f>IF(A105="","",IF(K105&lt;&gt;"",PROPER(K105),N105))</f>
        <v/>
      </c>
      <c r="P105">
        <f>IF(A105="","",ROUND(Settings!$B$5*MIN(1,LOG10(N(C105)+1)/LOG10(Settings!$B$7+1))+Settings!$B$6*(1-MIN(100,IF(D105="",50,N(D105)))/100)+IFERROR(INDEX(Settings!$B$10:$B$14,MATCH(O105,Settings!$A$10:$A$14,0)),0),0))</f>
        <v/>
      </c>
      <c r="Q105">
        <f>IF(OR(A105="",G105=""),"",COUNTIFS($M$3:$M$1002,M105,$G$3:$G$1002,"&lt;&gt;"&amp;SUBSTITUTE(SUBSTITUTE(G105,"?","~?"),"*","~*"),$G$3:$G$1002,"?*"))</f>
        <v/>
      </c>
      <c r="R105">
        <f>IF(Q105="","",IF(Q105&gt;0,"Yes","No"))</f>
        <v/>
      </c>
      <c r="S105">
        <f>IF(G105="","",COUNTIFS($G$3:$G$1002,SUBSTITUTE(SUBSTITUTE(G105,"?","~?"),"*","~*"),$J$3:$J$1002,"Primary"))</f>
        <v/>
      </c>
      <c r="T105">
        <f>IF(S105="","",IF(S105&gt;Settings!$B$4,"Yes","No"))</f>
        <v/>
      </c>
      <c r="U105">
        <f>IF(OR(G105="",B105=""),"",IF(COUNTIFS($G$3:$G$1002,SUBSTITUTE(SUBSTITUTE(G105,"?","~?"),"*","~*"),$B$3:$B$1002,"&lt;&gt;"&amp;SUBSTITUTE(SUBSTITUTE(B105,"?","~?"),"*","~*"),$B$3:$B$1002,"?*")&gt;0,"Yes","No"))</f>
        <v/>
      </c>
      <c r="V105">
        <f>IF(OR(G105="",I105="",O105="",O105="Unclassified"),"",IFERROR(INDEX(Settings!$E$5:$H$16,MATCH(I105,Settings!$D$5:$D$16,0),MATCH(O105,Settings!$E$4:$H$4,0)),"Check"))</f>
        <v/>
      </c>
      <c r="W105">
        <f>IF(V105="","",IF(V105="No","Yes","No"))</f>
        <v/>
      </c>
      <c r="X105">
        <f>IF(OR(E105="",G105=""),"",IF(LOWER(IF(RIGHT(TRIM(E105),1)="/",LEFT(TRIM(E105),LEN(TRIM(E105))-1),TRIM(E105)))&lt;&gt;LOWER(IF(RIGHT(TRIM(G105),1)="/",LEFT(TRIM(G105),LEN(TRIM(G105))-1),TRIM(G105))),"Yes","No"))</f>
        <v/>
      </c>
      <c r="Y105">
        <f>IF(A105="","",(N(Q105)&gt;0)+(T105="Yes")+(U105="Yes")+(W105="Yes")+(X105="Yes"))</f>
        <v/>
      </c>
      <c r="Z105">
        <f>IF(A105="","",IF(G105="","Not mapped",IF(Y105=0,"OK",MID(IF(N(Q105)&gt;0,"; Cannibalisation","")&amp;IF(T105="Yes","; Too many primary keywords on URL","")&amp;IF(U105="Yes","; URL spans 2+ clusters","")&amp;IF(W105="Yes","; Intent mismatch","")&amp;IF(X105="Yes","; Ranking URL is not the target",""),3,300))))</f>
        <v/>
      </c>
      <c r="AA105">
        <f>IF(G105="","",IF(COUNTIF($G$3:G105,SUBSTITUTE(SUBSTITUTE(G105,"?","~?"),"*","~*"))=1,MAX($AA$2:AA104)+1,""))</f>
        <v/>
      </c>
      <c r="AB105">
        <f>IF(B105="","",IF(COUNTIF($B$3:B105,SUBSTITUTE(SUBSTITUTE(B105,"?","~?"),"*","~*"))=1,MAX($AB$2:AB104)+1,""))</f>
        <v/>
      </c>
    </row>
    <row r="106">
      <c r="M106">
        <f>IF(A106="","",LOWER(TRIM(SUBSTITUTE(SUBSTITUTE(A106,"?",""),"*",""))))</f>
        <v/>
      </c>
      <c r="N106">
        <f>IF(M106="","",IF(SUMPRODUCT(ISNUMBER(SEARCH(" "&amp;Settings!$L$5:$L$124&amp;" "," "&amp;M106&amp;" "))*(Settings!$K$5:$K$124="Navigational")*(Settings!$L$5:$L$124&lt;&gt;""))&gt;0,"Navigational",IF(SUMPRODUCT(ISNUMBER(SEARCH(" "&amp;Settings!$L$5:$L$124&amp;" "," "&amp;M106&amp;" "))*(Settings!$K$5:$K$124="Transactional")*(Settings!$L$5:$L$124&lt;&gt;""))&gt;0,"Transactional",IF(SUMPRODUCT(ISNUMBER(SEARCH(" "&amp;Settings!$L$5:$L$124&amp;" "," "&amp;M106&amp;" "))*(Settings!$K$5:$K$124="Commercial")*(Settings!$L$5:$L$124&lt;&gt;""))&gt;0,"Commercial",IF(SUMPRODUCT(ISNUMBER(SEARCH(" "&amp;Settings!$L$5:$L$124&amp;" "," "&amp;M106&amp;" "))*(Settings!$K$5:$K$124="Informational")*(Settings!$L$5:$L$124&lt;&gt;""))&gt;0,"Informational","Unclassified")))))</f>
        <v/>
      </c>
      <c r="O106">
        <f>IF(A106="","",IF(K106&lt;&gt;"",PROPER(K106),N106))</f>
        <v/>
      </c>
      <c r="P106">
        <f>IF(A106="","",ROUND(Settings!$B$5*MIN(1,LOG10(N(C106)+1)/LOG10(Settings!$B$7+1))+Settings!$B$6*(1-MIN(100,IF(D106="",50,N(D106)))/100)+IFERROR(INDEX(Settings!$B$10:$B$14,MATCH(O106,Settings!$A$10:$A$14,0)),0),0))</f>
        <v/>
      </c>
      <c r="Q106">
        <f>IF(OR(A106="",G106=""),"",COUNTIFS($M$3:$M$1002,M106,$G$3:$G$1002,"&lt;&gt;"&amp;SUBSTITUTE(SUBSTITUTE(G106,"?","~?"),"*","~*"),$G$3:$G$1002,"?*"))</f>
        <v/>
      </c>
      <c r="R106">
        <f>IF(Q106="","",IF(Q106&gt;0,"Yes","No"))</f>
        <v/>
      </c>
      <c r="S106">
        <f>IF(G106="","",COUNTIFS($G$3:$G$1002,SUBSTITUTE(SUBSTITUTE(G106,"?","~?"),"*","~*"),$J$3:$J$1002,"Primary"))</f>
        <v/>
      </c>
      <c r="T106">
        <f>IF(S106="","",IF(S106&gt;Settings!$B$4,"Yes","No"))</f>
        <v/>
      </c>
      <c r="U106">
        <f>IF(OR(G106="",B106=""),"",IF(COUNTIFS($G$3:$G$1002,SUBSTITUTE(SUBSTITUTE(G106,"?","~?"),"*","~*"),$B$3:$B$1002,"&lt;&gt;"&amp;SUBSTITUTE(SUBSTITUTE(B106,"?","~?"),"*","~*"),$B$3:$B$1002,"?*")&gt;0,"Yes","No"))</f>
        <v/>
      </c>
      <c r="V106">
        <f>IF(OR(G106="",I106="",O106="",O106="Unclassified"),"",IFERROR(INDEX(Settings!$E$5:$H$16,MATCH(I106,Settings!$D$5:$D$16,0),MATCH(O106,Settings!$E$4:$H$4,0)),"Check"))</f>
        <v/>
      </c>
      <c r="W106">
        <f>IF(V106="","",IF(V106="No","Yes","No"))</f>
        <v/>
      </c>
      <c r="X106">
        <f>IF(OR(E106="",G106=""),"",IF(LOWER(IF(RIGHT(TRIM(E106),1)="/",LEFT(TRIM(E106),LEN(TRIM(E106))-1),TRIM(E106)))&lt;&gt;LOWER(IF(RIGHT(TRIM(G106),1)="/",LEFT(TRIM(G106),LEN(TRIM(G106))-1),TRIM(G106))),"Yes","No"))</f>
        <v/>
      </c>
      <c r="Y106">
        <f>IF(A106="","",(N(Q106)&gt;0)+(T106="Yes")+(U106="Yes")+(W106="Yes")+(X106="Yes"))</f>
        <v/>
      </c>
      <c r="Z106">
        <f>IF(A106="","",IF(G106="","Not mapped",IF(Y106=0,"OK",MID(IF(N(Q106)&gt;0,"; Cannibalisation","")&amp;IF(T106="Yes","; Too many primary keywords on URL","")&amp;IF(U106="Yes","; URL spans 2+ clusters","")&amp;IF(W106="Yes","; Intent mismatch","")&amp;IF(X106="Yes","; Ranking URL is not the target",""),3,300))))</f>
        <v/>
      </c>
      <c r="AA106">
        <f>IF(G106="","",IF(COUNTIF($G$3:G106,SUBSTITUTE(SUBSTITUTE(G106,"?","~?"),"*","~*"))=1,MAX($AA$2:AA105)+1,""))</f>
        <v/>
      </c>
      <c r="AB106">
        <f>IF(B106="","",IF(COUNTIF($B$3:B106,SUBSTITUTE(SUBSTITUTE(B106,"?","~?"),"*","~*"))=1,MAX($AB$2:AB105)+1,""))</f>
        <v/>
      </c>
    </row>
    <row r="107">
      <c r="M107">
        <f>IF(A107="","",LOWER(TRIM(SUBSTITUTE(SUBSTITUTE(A107,"?",""),"*",""))))</f>
        <v/>
      </c>
      <c r="N107">
        <f>IF(M107="","",IF(SUMPRODUCT(ISNUMBER(SEARCH(" "&amp;Settings!$L$5:$L$124&amp;" "," "&amp;M107&amp;" "))*(Settings!$K$5:$K$124="Navigational")*(Settings!$L$5:$L$124&lt;&gt;""))&gt;0,"Navigational",IF(SUMPRODUCT(ISNUMBER(SEARCH(" "&amp;Settings!$L$5:$L$124&amp;" "," "&amp;M107&amp;" "))*(Settings!$K$5:$K$124="Transactional")*(Settings!$L$5:$L$124&lt;&gt;""))&gt;0,"Transactional",IF(SUMPRODUCT(ISNUMBER(SEARCH(" "&amp;Settings!$L$5:$L$124&amp;" "," "&amp;M107&amp;" "))*(Settings!$K$5:$K$124="Commercial")*(Settings!$L$5:$L$124&lt;&gt;""))&gt;0,"Commercial",IF(SUMPRODUCT(ISNUMBER(SEARCH(" "&amp;Settings!$L$5:$L$124&amp;" "," "&amp;M107&amp;" "))*(Settings!$K$5:$K$124="Informational")*(Settings!$L$5:$L$124&lt;&gt;""))&gt;0,"Informational","Unclassified")))))</f>
        <v/>
      </c>
      <c r="O107">
        <f>IF(A107="","",IF(K107&lt;&gt;"",PROPER(K107),N107))</f>
        <v/>
      </c>
      <c r="P107">
        <f>IF(A107="","",ROUND(Settings!$B$5*MIN(1,LOG10(N(C107)+1)/LOG10(Settings!$B$7+1))+Settings!$B$6*(1-MIN(100,IF(D107="",50,N(D107)))/100)+IFERROR(INDEX(Settings!$B$10:$B$14,MATCH(O107,Settings!$A$10:$A$14,0)),0),0))</f>
        <v/>
      </c>
      <c r="Q107">
        <f>IF(OR(A107="",G107=""),"",COUNTIFS($M$3:$M$1002,M107,$G$3:$G$1002,"&lt;&gt;"&amp;SUBSTITUTE(SUBSTITUTE(G107,"?","~?"),"*","~*"),$G$3:$G$1002,"?*"))</f>
        <v/>
      </c>
      <c r="R107">
        <f>IF(Q107="","",IF(Q107&gt;0,"Yes","No"))</f>
        <v/>
      </c>
      <c r="S107">
        <f>IF(G107="","",COUNTIFS($G$3:$G$1002,SUBSTITUTE(SUBSTITUTE(G107,"?","~?"),"*","~*"),$J$3:$J$1002,"Primary"))</f>
        <v/>
      </c>
      <c r="T107">
        <f>IF(S107="","",IF(S107&gt;Settings!$B$4,"Yes","No"))</f>
        <v/>
      </c>
      <c r="U107">
        <f>IF(OR(G107="",B107=""),"",IF(COUNTIFS($G$3:$G$1002,SUBSTITUTE(SUBSTITUTE(G107,"?","~?"),"*","~*"),$B$3:$B$1002,"&lt;&gt;"&amp;SUBSTITUTE(SUBSTITUTE(B107,"?","~?"),"*","~*"),$B$3:$B$1002,"?*")&gt;0,"Yes","No"))</f>
        <v/>
      </c>
      <c r="V107">
        <f>IF(OR(G107="",I107="",O107="",O107="Unclassified"),"",IFERROR(INDEX(Settings!$E$5:$H$16,MATCH(I107,Settings!$D$5:$D$16,0),MATCH(O107,Settings!$E$4:$H$4,0)),"Check"))</f>
        <v/>
      </c>
      <c r="W107">
        <f>IF(V107="","",IF(V107="No","Yes","No"))</f>
        <v/>
      </c>
      <c r="X107">
        <f>IF(OR(E107="",G107=""),"",IF(LOWER(IF(RIGHT(TRIM(E107),1)="/",LEFT(TRIM(E107),LEN(TRIM(E107))-1),TRIM(E107)))&lt;&gt;LOWER(IF(RIGHT(TRIM(G107),1)="/",LEFT(TRIM(G107),LEN(TRIM(G107))-1),TRIM(G107))),"Yes","No"))</f>
        <v/>
      </c>
      <c r="Y107">
        <f>IF(A107="","",(N(Q107)&gt;0)+(T107="Yes")+(U107="Yes")+(W107="Yes")+(X107="Yes"))</f>
        <v/>
      </c>
      <c r="Z107">
        <f>IF(A107="","",IF(G107="","Not mapped",IF(Y107=0,"OK",MID(IF(N(Q107)&gt;0,"; Cannibalisation","")&amp;IF(T107="Yes","; Too many primary keywords on URL","")&amp;IF(U107="Yes","; URL spans 2+ clusters","")&amp;IF(W107="Yes","; Intent mismatch","")&amp;IF(X107="Yes","; Ranking URL is not the target",""),3,300))))</f>
        <v/>
      </c>
      <c r="AA107">
        <f>IF(G107="","",IF(COUNTIF($G$3:G107,SUBSTITUTE(SUBSTITUTE(G107,"?","~?"),"*","~*"))=1,MAX($AA$2:AA106)+1,""))</f>
        <v/>
      </c>
      <c r="AB107">
        <f>IF(B107="","",IF(COUNTIF($B$3:B107,SUBSTITUTE(SUBSTITUTE(B107,"?","~?"),"*","~*"))=1,MAX($AB$2:AB106)+1,""))</f>
        <v/>
      </c>
    </row>
    <row r="108">
      <c r="M108">
        <f>IF(A108="","",LOWER(TRIM(SUBSTITUTE(SUBSTITUTE(A108,"?",""),"*",""))))</f>
        <v/>
      </c>
      <c r="N108">
        <f>IF(M108="","",IF(SUMPRODUCT(ISNUMBER(SEARCH(" "&amp;Settings!$L$5:$L$124&amp;" "," "&amp;M108&amp;" "))*(Settings!$K$5:$K$124="Navigational")*(Settings!$L$5:$L$124&lt;&gt;""))&gt;0,"Navigational",IF(SUMPRODUCT(ISNUMBER(SEARCH(" "&amp;Settings!$L$5:$L$124&amp;" "," "&amp;M108&amp;" "))*(Settings!$K$5:$K$124="Transactional")*(Settings!$L$5:$L$124&lt;&gt;""))&gt;0,"Transactional",IF(SUMPRODUCT(ISNUMBER(SEARCH(" "&amp;Settings!$L$5:$L$124&amp;" "," "&amp;M108&amp;" "))*(Settings!$K$5:$K$124="Commercial")*(Settings!$L$5:$L$124&lt;&gt;""))&gt;0,"Commercial",IF(SUMPRODUCT(ISNUMBER(SEARCH(" "&amp;Settings!$L$5:$L$124&amp;" "," "&amp;M108&amp;" "))*(Settings!$K$5:$K$124="Informational")*(Settings!$L$5:$L$124&lt;&gt;""))&gt;0,"Informational","Unclassified")))))</f>
        <v/>
      </c>
      <c r="O108">
        <f>IF(A108="","",IF(K108&lt;&gt;"",PROPER(K108),N108))</f>
        <v/>
      </c>
      <c r="P108">
        <f>IF(A108="","",ROUND(Settings!$B$5*MIN(1,LOG10(N(C108)+1)/LOG10(Settings!$B$7+1))+Settings!$B$6*(1-MIN(100,IF(D108="",50,N(D108)))/100)+IFERROR(INDEX(Settings!$B$10:$B$14,MATCH(O108,Settings!$A$10:$A$14,0)),0),0))</f>
        <v/>
      </c>
      <c r="Q108">
        <f>IF(OR(A108="",G108=""),"",COUNTIFS($M$3:$M$1002,M108,$G$3:$G$1002,"&lt;&gt;"&amp;SUBSTITUTE(SUBSTITUTE(G108,"?","~?"),"*","~*"),$G$3:$G$1002,"?*"))</f>
        <v/>
      </c>
      <c r="R108">
        <f>IF(Q108="","",IF(Q108&gt;0,"Yes","No"))</f>
        <v/>
      </c>
      <c r="S108">
        <f>IF(G108="","",COUNTIFS($G$3:$G$1002,SUBSTITUTE(SUBSTITUTE(G108,"?","~?"),"*","~*"),$J$3:$J$1002,"Primary"))</f>
        <v/>
      </c>
      <c r="T108">
        <f>IF(S108="","",IF(S108&gt;Settings!$B$4,"Yes","No"))</f>
        <v/>
      </c>
      <c r="U108">
        <f>IF(OR(G108="",B108=""),"",IF(COUNTIFS($G$3:$G$1002,SUBSTITUTE(SUBSTITUTE(G108,"?","~?"),"*","~*"),$B$3:$B$1002,"&lt;&gt;"&amp;SUBSTITUTE(SUBSTITUTE(B108,"?","~?"),"*","~*"),$B$3:$B$1002,"?*")&gt;0,"Yes","No"))</f>
        <v/>
      </c>
      <c r="V108">
        <f>IF(OR(G108="",I108="",O108="",O108="Unclassified"),"",IFERROR(INDEX(Settings!$E$5:$H$16,MATCH(I108,Settings!$D$5:$D$16,0),MATCH(O108,Settings!$E$4:$H$4,0)),"Check"))</f>
        <v/>
      </c>
      <c r="W108">
        <f>IF(V108="","",IF(V108="No","Yes","No"))</f>
        <v/>
      </c>
      <c r="X108">
        <f>IF(OR(E108="",G108=""),"",IF(LOWER(IF(RIGHT(TRIM(E108),1)="/",LEFT(TRIM(E108),LEN(TRIM(E108))-1),TRIM(E108)))&lt;&gt;LOWER(IF(RIGHT(TRIM(G108),1)="/",LEFT(TRIM(G108),LEN(TRIM(G108))-1),TRIM(G108))),"Yes","No"))</f>
        <v/>
      </c>
      <c r="Y108">
        <f>IF(A108="","",(N(Q108)&gt;0)+(T108="Yes")+(U108="Yes")+(W108="Yes")+(X108="Yes"))</f>
        <v/>
      </c>
      <c r="Z108">
        <f>IF(A108="","",IF(G108="","Not mapped",IF(Y108=0,"OK",MID(IF(N(Q108)&gt;0,"; Cannibalisation","")&amp;IF(T108="Yes","; Too many primary keywords on URL","")&amp;IF(U108="Yes","; URL spans 2+ clusters","")&amp;IF(W108="Yes","; Intent mismatch","")&amp;IF(X108="Yes","; Ranking URL is not the target",""),3,300))))</f>
        <v/>
      </c>
      <c r="AA108">
        <f>IF(G108="","",IF(COUNTIF($G$3:G108,SUBSTITUTE(SUBSTITUTE(G108,"?","~?"),"*","~*"))=1,MAX($AA$2:AA107)+1,""))</f>
        <v/>
      </c>
      <c r="AB108">
        <f>IF(B108="","",IF(COUNTIF($B$3:B108,SUBSTITUTE(SUBSTITUTE(B108,"?","~?"),"*","~*"))=1,MAX($AB$2:AB107)+1,""))</f>
        <v/>
      </c>
    </row>
    <row r="109">
      <c r="M109">
        <f>IF(A109="","",LOWER(TRIM(SUBSTITUTE(SUBSTITUTE(A109,"?",""),"*",""))))</f>
        <v/>
      </c>
      <c r="N109">
        <f>IF(M109="","",IF(SUMPRODUCT(ISNUMBER(SEARCH(" "&amp;Settings!$L$5:$L$124&amp;" "," "&amp;M109&amp;" "))*(Settings!$K$5:$K$124="Navigational")*(Settings!$L$5:$L$124&lt;&gt;""))&gt;0,"Navigational",IF(SUMPRODUCT(ISNUMBER(SEARCH(" "&amp;Settings!$L$5:$L$124&amp;" "," "&amp;M109&amp;" "))*(Settings!$K$5:$K$124="Transactional")*(Settings!$L$5:$L$124&lt;&gt;""))&gt;0,"Transactional",IF(SUMPRODUCT(ISNUMBER(SEARCH(" "&amp;Settings!$L$5:$L$124&amp;" "," "&amp;M109&amp;" "))*(Settings!$K$5:$K$124="Commercial")*(Settings!$L$5:$L$124&lt;&gt;""))&gt;0,"Commercial",IF(SUMPRODUCT(ISNUMBER(SEARCH(" "&amp;Settings!$L$5:$L$124&amp;" "," "&amp;M109&amp;" "))*(Settings!$K$5:$K$124="Informational")*(Settings!$L$5:$L$124&lt;&gt;""))&gt;0,"Informational","Unclassified")))))</f>
        <v/>
      </c>
      <c r="O109">
        <f>IF(A109="","",IF(K109&lt;&gt;"",PROPER(K109),N109))</f>
        <v/>
      </c>
      <c r="P109">
        <f>IF(A109="","",ROUND(Settings!$B$5*MIN(1,LOG10(N(C109)+1)/LOG10(Settings!$B$7+1))+Settings!$B$6*(1-MIN(100,IF(D109="",50,N(D109)))/100)+IFERROR(INDEX(Settings!$B$10:$B$14,MATCH(O109,Settings!$A$10:$A$14,0)),0),0))</f>
        <v/>
      </c>
      <c r="Q109">
        <f>IF(OR(A109="",G109=""),"",COUNTIFS($M$3:$M$1002,M109,$G$3:$G$1002,"&lt;&gt;"&amp;SUBSTITUTE(SUBSTITUTE(G109,"?","~?"),"*","~*"),$G$3:$G$1002,"?*"))</f>
        <v/>
      </c>
      <c r="R109">
        <f>IF(Q109="","",IF(Q109&gt;0,"Yes","No"))</f>
        <v/>
      </c>
      <c r="S109">
        <f>IF(G109="","",COUNTIFS($G$3:$G$1002,SUBSTITUTE(SUBSTITUTE(G109,"?","~?"),"*","~*"),$J$3:$J$1002,"Primary"))</f>
        <v/>
      </c>
      <c r="T109">
        <f>IF(S109="","",IF(S109&gt;Settings!$B$4,"Yes","No"))</f>
        <v/>
      </c>
      <c r="U109">
        <f>IF(OR(G109="",B109=""),"",IF(COUNTIFS($G$3:$G$1002,SUBSTITUTE(SUBSTITUTE(G109,"?","~?"),"*","~*"),$B$3:$B$1002,"&lt;&gt;"&amp;SUBSTITUTE(SUBSTITUTE(B109,"?","~?"),"*","~*"),$B$3:$B$1002,"?*")&gt;0,"Yes","No"))</f>
        <v/>
      </c>
      <c r="V109">
        <f>IF(OR(G109="",I109="",O109="",O109="Unclassified"),"",IFERROR(INDEX(Settings!$E$5:$H$16,MATCH(I109,Settings!$D$5:$D$16,0),MATCH(O109,Settings!$E$4:$H$4,0)),"Check"))</f>
        <v/>
      </c>
      <c r="W109">
        <f>IF(V109="","",IF(V109="No","Yes","No"))</f>
        <v/>
      </c>
      <c r="X109">
        <f>IF(OR(E109="",G109=""),"",IF(LOWER(IF(RIGHT(TRIM(E109),1)="/",LEFT(TRIM(E109),LEN(TRIM(E109))-1),TRIM(E109)))&lt;&gt;LOWER(IF(RIGHT(TRIM(G109),1)="/",LEFT(TRIM(G109),LEN(TRIM(G109))-1),TRIM(G109))),"Yes","No"))</f>
        <v/>
      </c>
      <c r="Y109">
        <f>IF(A109="","",(N(Q109)&gt;0)+(T109="Yes")+(U109="Yes")+(W109="Yes")+(X109="Yes"))</f>
        <v/>
      </c>
      <c r="Z109">
        <f>IF(A109="","",IF(G109="","Not mapped",IF(Y109=0,"OK",MID(IF(N(Q109)&gt;0,"; Cannibalisation","")&amp;IF(T109="Yes","; Too many primary keywords on URL","")&amp;IF(U109="Yes","; URL spans 2+ clusters","")&amp;IF(W109="Yes","; Intent mismatch","")&amp;IF(X109="Yes","; Ranking URL is not the target",""),3,300))))</f>
        <v/>
      </c>
      <c r="AA109">
        <f>IF(G109="","",IF(COUNTIF($G$3:G109,SUBSTITUTE(SUBSTITUTE(G109,"?","~?"),"*","~*"))=1,MAX($AA$2:AA108)+1,""))</f>
        <v/>
      </c>
      <c r="AB109">
        <f>IF(B109="","",IF(COUNTIF($B$3:B109,SUBSTITUTE(SUBSTITUTE(B109,"?","~?"),"*","~*"))=1,MAX($AB$2:AB108)+1,""))</f>
        <v/>
      </c>
    </row>
    <row r="110">
      <c r="M110">
        <f>IF(A110="","",LOWER(TRIM(SUBSTITUTE(SUBSTITUTE(A110,"?",""),"*",""))))</f>
        <v/>
      </c>
      <c r="N110">
        <f>IF(M110="","",IF(SUMPRODUCT(ISNUMBER(SEARCH(" "&amp;Settings!$L$5:$L$124&amp;" "," "&amp;M110&amp;" "))*(Settings!$K$5:$K$124="Navigational")*(Settings!$L$5:$L$124&lt;&gt;""))&gt;0,"Navigational",IF(SUMPRODUCT(ISNUMBER(SEARCH(" "&amp;Settings!$L$5:$L$124&amp;" "," "&amp;M110&amp;" "))*(Settings!$K$5:$K$124="Transactional")*(Settings!$L$5:$L$124&lt;&gt;""))&gt;0,"Transactional",IF(SUMPRODUCT(ISNUMBER(SEARCH(" "&amp;Settings!$L$5:$L$124&amp;" "," "&amp;M110&amp;" "))*(Settings!$K$5:$K$124="Commercial")*(Settings!$L$5:$L$124&lt;&gt;""))&gt;0,"Commercial",IF(SUMPRODUCT(ISNUMBER(SEARCH(" "&amp;Settings!$L$5:$L$124&amp;" "," "&amp;M110&amp;" "))*(Settings!$K$5:$K$124="Informational")*(Settings!$L$5:$L$124&lt;&gt;""))&gt;0,"Informational","Unclassified")))))</f>
        <v/>
      </c>
      <c r="O110">
        <f>IF(A110="","",IF(K110&lt;&gt;"",PROPER(K110),N110))</f>
        <v/>
      </c>
      <c r="P110">
        <f>IF(A110="","",ROUND(Settings!$B$5*MIN(1,LOG10(N(C110)+1)/LOG10(Settings!$B$7+1))+Settings!$B$6*(1-MIN(100,IF(D110="",50,N(D110)))/100)+IFERROR(INDEX(Settings!$B$10:$B$14,MATCH(O110,Settings!$A$10:$A$14,0)),0),0))</f>
        <v/>
      </c>
      <c r="Q110">
        <f>IF(OR(A110="",G110=""),"",COUNTIFS($M$3:$M$1002,M110,$G$3:$G$1002,"&lt;&gt;"&amp;SUBSTITUTE(SUBSTITUTE(G110,"?","~?"),"*","~*"),$G$3:$G$1002,"?*"))</f>
        <v/>
      </c>
      <c r="R110">
        <f>IF(Q110="","",IF(Q110&gt;0,"Yes","No"))</f>
        <v/>
      </c>
      <c r="S110">
        <f>IF(G110="","",COUNTIFS($G$3:$G$1002,SUBSTITUTE(SUBSTITUTE(G110,"?","~?"),"*","~*"),$J$3:$J$1002,"Primary"))</f>
        <v/>
      </c>
      <c r="T110">
        <f>IF(S110="","",IF(S110&gt;Settings!$B$4,"Yes","No"))</f>
        <v/>
      </c>
      <c r="U110">
        <f>IF(OR(G110="",B110=""),"",IF(COUNTIFS($G$3:$G$1002,SUBSTITUTE(SUBSTITUTE(G110,"?","~?"),"*","~*"),$B$3:$B$1002,"&lt;&gt;"&amp;SUBSTITUTE(SUBSTITUTE(B110,"?","~?"),"*","~*"),$B$3:$B$1002,"?*")&gt;0,"Yes","No"))</f>
        <v/>
      </c>
      <c r="V110">
        <f>IF(OR(G110="",I110="",O110="",O110="Unclassified"),"",IFERROR(INDEX(Settings!$E$5:$H$16,MATCH(I110,Settings!$D$5:$D$16,0),MATCH(O110,Settings!$E$4:$H$4,0)),"Check"))</f>
        <v/>
      </c>
      <c r="W110">
        <f>IF(V110="","",IF(V110="No","Yes","No"))</f>
        <v/>
      </c>
      <c r="X110">
        <f>IF(OR(E110="",G110=""),"",IF(LOWER(IF(RIGHT(TRIM(E110),1)="/",LEFT(TRIM(E110),LEN(TRIM(E110))-1),TRIM(E110)))&lt;&gt;LOWER(IF(RIGHT(TRIM(G110),1)="/",LEFT(TRIM(G110),LEN(TRIM(G110))-1),TRIM(G110))),"Yes","No"))</f>
        <v/>
      </c>
      <c r="Y110">
        <f>IF(A110="","",(N(Q110)&gt;0)+(T110="Yes")+(U110="Yes")+(W110="Yes")+(X110="Yes"))</f>
        <v/>
      </c>
      <c r="Z110">
        <f>IF(A110="","",IF(G110="","Not mapped",IF(Y110=0,"OK",MID(IF(N(Q110)&gt;0,"; Cannibalisation","")&amp;IF(T110="Yes","; Too many primary keywords on URL","")&amp;IF(U110="Yes","; URL spans 2+ clusters","")&amp;IF(W110="Yes","; Intent mismatch","")&amp;IF(X110="Yes","; Ranking URL is not the target",""),3,300))))</f>
        <v/>
      </c>
      <c r="AA110">
        <f>IF(G110="","",IF(COUNTIF($G$3:G110,SUBSTITUTE(SUBSTITUTE(G110,"?","~?"),"*","~*"))=1,MAX($AA$2:AA109)+1,""))</f>
        <v/>
      </c>
      <c r="AB110">
        <f>IF(B110="","",IF(COUNTIF($B$3:B110,SUBSTITUTE(SUBSTITUTE(B110,"?","~?"),"*","~*"))=1,MAX($AB$2:AB109)+1,""))</f>
        <v/>
      </c>
    </row>
    <row r="111">
      <c r="M111">
        <f>IF(A111="","",LOWER(TRIM(SUBSTITUTE(SUBSTITUTE(A111,"?",""),"*",""))))</f>
        <v/>
      </c>
      <c r="N111">
        <f>IF(M111="","",IF(SUMPRODUCT(ISNUMBER(SEARCH(" "&amp;Settings!$L$5:$L$124&amp;" "," "&amp;M111&amp;" "))*(Settings!$K$5:$K$124="Navigational")*(Settings!$L$5:$L$124&lt;&gt;""))&gt;0,"Navigational",IF(SUMPRODUCT(ISNUMBER(SEARCH(" "&amp;Settings!$L$5:$L$124&amp;" "," "&amp;M111&amp;" "))*(Settings!$K$5:$K$124="Transactional")*(Settings!$L$5:$L$124&lt;&gt;""))&gt;0,"Transactional",IF(SUMPRODUCT(ISNUMBER(SEARCH(" "&amp;Settings!$L$5:$L$124&amp;" "," "&amp;M111&amp;" "))*(Settings!$K$5:$K$124="Commercial")*(Settings!$L$5:$L$124&lt;&gt;""))&gt;0,"Commercial",IF(SUMPRODUCT(ISNUMBER(SEARCH(" "&amp;Settings!$L$5:$L$124&amp;" "," "&amp;M111&amp;" "))*(Settings!$K$5:$K$124="Informational")*(Settings!$L$5:$L$124&lt;&gt;""))&gt;0,"Informational","Unclassified")))))</f>
        <v/>
      </c>
      <c r="O111">
        <f>IF(A111="","",IF(K111&lt;&gt;"",PROPER(K111),N111))</f>
        <v/>
      </c>
      <c r="P111">
        <f>IF(A111="","",ROUND(Settings!$B$5*MIN(1,LOG10(N(C111)+1)/LOG10(Settings!$B$7+1))+Settings!$B$6*(1-MIN(100,IF(D111="",50,N(D111)))/100)+IFERROR(INDEX(Settings!$B$10:$B$14,MATCH(O111,Settings!$A$10:$A$14,0)),0),0))</f>
        <v/>
      </c>
      <c r="Q111">
        <f>IF(OR(A111="",G111=""),"",COUNTIFS($M$3:$M$1002,M111,$G$3:$G$1002,"&lt;&gt;"&amp;SUBSTITUTE(SUBSTITUTE(G111,"?","~?"),"*","~*"),$G$3:$G$1002,"?*"))</f>
        <v/>
      </c>
      <c r="R111">
        <f>IF(Q111="","",IF(Q111&gt;0,"Yes","No"))</f>
        <v/>
      </c>
      <c r="S111">
        <f>IF(G111="","",COUNTIFS($G$3:$G$1002,SUBSTITUTE(SUBSTITUTE(G111,"?","~?"),"*","~*"),$J$3:$J$1002,"Primary"))</f>
        <v/>
      </c>
      <c r="T111">
        <f>IF(S111="","",IF(S111&gt;Settings!$B$4,"Yes","No"))</f>
        <v/>
      </c>
      <c r="U111">
        <f>IF(OR(G111="",B111=""),"",IF(COUNTIFS($G$3:$G$1002,SUBSTITUTE(SUBSTITUTE(G111,"?","~?"),"*","~*"),$B$3:$B$1002,"&lt;&gt;"&amp;SUBSTITUTE(SUBSTITUTE(B111,"?","~?"),"*","~*"),$B$3:$B$1002,"?*")&gt;0,"Yes","No"))</f>
        <v/>
      </c>
      <c r="V111">
        <f>IF(OR(G111="",I111="",O111="",O111="Unclassified"),"",IFERROR(INDEX(Settings!$E$5:$H$16,MATCH(I111,Settings!$D$5:$D$16,0),MATCH(O111,Settings!$E$4:$H$4,0)),"Check"))</f>
        <v/>
      </c>
      <c r="W111">
        <f>IF(V111="","",IF(V111="No","Yes","No"))</f>
        <v/>
      </c>
      <c r="X111">
        <f>IF(OR(E111="",G111=""),"",IF(LOWER(IF(RIGHT(TRIM(E111),1)="/",LEFT(TRIM(E111),LEN(TRIM(E111))-1),TRIM(E111)))&lt;&gt;LOWER(IF(RIGHT(TRIM(G111),1)="/",LEFT(TRIM(G111),LEN(TRIM(G111))-1),TRIM(G111))),"Yes","No"))</f>
        <v/>
      </c>
      <c r="Y111">
        <f>IF(A111="","",(N(Q111)&gt;0)+(T111="Yes")+(U111="Yes")+(W111="Yes")+(X111="Yes"))</f>
        <v/>
      </c>
      <c r="Z111">
        <f>IF(A111="","",IF(G111="","Not mapped",IF(Y111=0,"OK",MID(IF(N(Q111)&gt;0,"; Cannibalisation","")&amp;IF(T111="Yes","; Too many primary keywords on URL","")&amp;IF(U111="Yes","; URL spans 2+ clusters","")&amp;IF(W111="Yes","; Intent mismatch","")&amp;IF(X111="Yes","; Ranking URL is not the target",""),3,300))))</f>
        <v/>
      </c>
      <c r="AA111">
        <f>IF(G111="","",IF(COUNTIF($G$3:G111,SUBSTITUTE(SUBSTITUTE(G111,"?","~?"),"*","~*"))=1,MAX($AA$2:AA110)+1,""))</f>
        <v/>
      </c>
      <c r="AB111">
        <f>IF(B111="","",IF(COUNTIF($B$3:B111,SUBSTITUTE(SUBSTITUTE(B111,"?","~?"),"*","~*"))=1,MAX($AB$2:AB110)+1,""))</f>
        <v/>
      </c>
    </row>
    <row r="112">
      <c r="M112">
        <f>IF(A112="","",LOWER(TRIM(SUBSTITUTE(SUBSTITUTE(A112,"?",""),"*",""))))</f>
        <v/>
      </c>
      <c r="N112">
        <f>IF(M112="","",IF(SUMPRODUCT(ISNUMBER(SEARCH(" "&amp;Settings!$L$5:$L$124&amp;" "," "&amp;M112&amp;" "))*(Settings!$K$5:$K$124="Navigational")*(Settings!$L$5:$L$124&lt;&gt;""))&gt;0,"Navigational",IF(SUMPRODUCT(ISNUMBER(SEARCH(" "&amp;Settings!$L$5:$L$124&amp;" "," "&amp;M112&amp;" "))*(Settings!$K$5:$K$124="Transactional")*(Settings!$L$5:$L$124&lt;&gt;""))&gt;0,"Transactional",IF(SUMPRODUCT(ISNUMBER(SEARCH(" "&amp;Settings!$L$5:$L$124&amp;" "," "&amp;M112&amp;" "))*(Settings!$K$5:$K$124="Commercial")*(Settings!$L$5:$L$124&lt;&gt;""))&gt;0,"Commercial",IF(SUMPRODUCT(ISNUMBER(SEARCH(" "&amp;Settings!$L$5:$L$124&amp;" "," "&amp;M112&amp;" "))*(Settings!$K$5:$K$124="Informational")*(Settings!$L$5:$L$124&lt;&gt;""))&gt;0,"Informational","Unclassified")))))</f>
        <v/>
      </c>
      <c r="O112">
        <f>IF(A112="","",IF(K112&lt;&gt;"",PROPER(K112),N112))</f>
        <v/>
      </c>
      <c r="P112">
        <f>IF(A112="","",ROUND(Settings!$B$5*MIN(1,LOG10(N(C112)+1)/LOG10(Settings!$B$7+1))+Settings!$B$6*(1-MIN(100,IF(D112="",50,N(D112)))/100)+IFERROR(INDEX(Settings!$B$10:$B$14,MATCH(O112,Settings!$A$10:$A$14,0)),0),0))</f>
        <v/>
      </c>
      <c r="Q112">
        <f>IF(OR(A112="",G112=""),"",COUNTIFS($M$3:$M$1002,M112,$G$3:$G$1002,"&lt;&gt;"&amp;SUBSTITUTE(SUBSTITUTE(G112,"?","~?"),"*","~*"),$G$3:$G$1002,"?*"))</f>
        <v/>
      </c>
      <c r="R112">
        <f>IF(Q112="","",IF(Q112&gt;0,"Yes","No"))</f>
        <v/>
      </c>
      <c r="S112">
        <f>IF(G112="","",COUNTIFS($G$3:$G$1002,SUBSTITUTE(SUBSTITUTE(G112,"?","~?"),"*","~*"),$J$3:$J$1002,"Primary"))</f>
        <v/>
      </c>
      <c r="T112">
        <f>IF(S112="","",IF(S112&gt;Settings!$B$4,"Yes","No"))</f>
        <v/>
      </c>
      <c r="U112">
        <f>IF(OR(G112="",B112=""),"",IF(COUNTIFS($G$3:$G$1002,SUBSTITUTE(SUBSTITUTE(G112,"?","~?"),"*","~*"),$B$3:$B$1002,"&lt;&gt;"&amp;SUBSTITUTE(SUBSTITUTE(B112,"?","~?"),"*","~*"),$B$3:$B$1002,"?*")&gt;0,"Yes","No"))</f>
        <v/>
      </c>
      <c r="V112">
        <f>IF(OR(G112="",I112="",O112="",O112="Unclassified"),"",IFERROR(INDEX(Settings!$E$5:$H$16,MATCH(I112,Settings!$D$5:$D$16,0),MATCH(O112,Settings!$E$4:$H$4,0)),"Check"))</f>
        <v/>
      </c>
      <c r="W112">
        <f>IF(V112="","",IF(V112="No","Yes","No"))</f>
        <v/>
      </c>
      <c r="X112">
        <f>IF(OR(E112="",G112=""),"",IF(LOWER(IF(RIGHT(TRIM(E112),1)="/",LEFT(TRIM(E112),LEN(TRIM(E112))-1),TRIM(E112)))&lt;&gt;LOWER(IF(RIGHT(TRIM(G112),1)="/",LEFT(TRIM(G112),LEN(TRIM(G112))-1),TRIM(G112))),"Yes","No"))</f>
        <v/>
      </c>
      <c r="Y112">
        <f>IF(A112="","",(N(Q112)&gt;0)+(T112="Yes")+(U112="Yes")+(W112="Yes")+(X112="Yes"))</f>
        <v/>
      </c>
      <c r="Z112">
        <f>IF(A112="","",IF(G112="","Not mapped",IF(Y112=0,"OK",MID(IF(N(Q112)&gt;0,"; Cannibalisation","")&amp;IF(T112="Yes","; Too many primary keywords on URL","")&amp;IF(U112="Yes","; URL spans 2+ clusters","")&amp;IF(W112="Yes","; Intent mismatch","")&amp;IF(X112="Yes","; Ranking URL is not the target",""),3,300))))</f>
        <v/>
      </c>
      <c r="AA112">
        <f>IF(G112="","",IF(COUNTIF($G$3:G112,SUBSTITUTE(SUBSTITUTE(G112,"?","~?"),"*","~*"))=1,MAX($AA$2:AA111)+1,""))</f>
        <v/>
      </c>
      <c r="AB112">
        <f>IF(B112="","",IF(COUNTIF($B$3:B112,SUBSTITUTE(SUBSTITUTE(B112,"?","~?"),"*","~*"))=1,MAX($AB$2:AB111)+1,""))</f>
        <v/>
      </c>
    </row>
    <row r="113">
      <c r="M113">
        <f>IF(A113="","",LOWER(TRIM(SUBSTITUTE(SUBSTITUTE(A113,"?",""),"*",""))))</f>
        <v/>
      </c>
      <c r="N113">
        <f>IF(M113="","",IF(SUMPRODUCT(ISNUMBER(SEARCH(" "&amp;Settings!$L$5:$L$124&amp;" "," "&amp;M113&amp;" "))*(Settings!$K$5:$K$124="Navigational")*(Settings!$L$5:$L$124&lt;&gt;""))&gt;0,"Navigational",IF(SUMPRODUCT(ISNUMBER(SEARCH(" "&amp;Settings!$L$5:$L$124&amp;" "," "&amp;M113&amp;" "))*(Settings!$K$5:$K$124="Transactional")*(Settings!$L$5:$L$124&lt;&gt;""))&gt;0,"Transactional",IF(SUMPRODUCT(ISNUMBER(SEARCH(" "&amp;Settings!$L$5:$L$124&amp;" "," "&amp;M113&amp;" "))*(Settings!$K$5:$K$124="Commercial")*(Settings!$L$5:$L$124&lt;&gt;""))&gt;0,"Commercial",IF(SUMPRODUCT(ISNUMBER(SEARCH(" "&amp;Settings!$L$5:$L$124&amp;" "," "&amp;M113&amp;" "))*(Settings!$K$5:$K$124="Informational")*(Settings!$L$5:$L$124&lt;&gt;""))&gt;0,"Informational","Unclassified")))))</f>
        <v/>
      </c>
      <c r="O113">
        <f>IF(A113="","",IF(K113&lt;&gt;"",PROPER(K113),N113))</f>
        <v/>
      </c>
      <c r="P113">
        <f>IF(A113="","",ROUND(Settings!$B$5*MIN(1,LOG10(N(C113)+1)/LOG10(Settings!$B$7+1))+Settings!$B$6*(1-MIN(100,IF(D113="",50,N(D113)))/100)+IFERROR(INDEX(Settings!$B$10:$B$14,MATCH(O113,Settings!$A$10:$A$14,0)),0),0))</f>
        <v/>
      </c>
      <c r="Q113">
        <f>IF(OR(A113="",G113=""),"",COUNTIFS($M$3:$M$1002,M113,$G$3:$G$1002,"&lt;&gt;"&amp;SUBSTITUTE(SUBSTITUTE(G113,"?","~?"),"*","~*"),$G$3:$G$1002,"?*"))</f>
        <v/>
      </c>
      <c r="R113">
        <f>IF(Q113="","",IF(Q113&gt;0,"Yes","No"))</f>
        <v/>
      </c>
      <c r="S113">
        <f>IF(G113="","",COUNTIFS($G$3:$G$1002,SUBSTITUTE(SUBSTITUTE(G113,"?","~?"),"*","~*"),$J$3:$J$1002,"Primary"))</f>
        <v/>
      </c>
      <c r="T113">
        <f>IF(S113="","",IF(S113&gt;Settings!$B$4,"Yes","No"))</f>
        <v/>
      </c>
      <c r="U113">
        <f>IF(OR(G113="",B113=""),"",IF(COUNTIFS($G$3:$G$1002,SUBSTITUTE(SUBSTITUTE(G113,"?","~?"),"*","~*"),$B$3:$B$1002,"&lt;&gt;"&amp;SUBSTITUTE(SUBSTITUTE(B113,"?","~?"),"*","~*"),$B$3:$B$1002,"?*")&gt;0,"Yes","No"))</f>
        <v/>
      </c>
      <c r="V113">
        <f>IF(OR(G113="",I113="",O113="",O113="Unclassified"),"",IFERROR(INDEX(Settings!$E$5:$H$16,MATCH(I113,Settings!$D$5:$D$16,0),MATCH(O113,Settings!$E$4:$H$4,0)),"Check"))</f>
        <v/>
      </c>
      <c r="W113">
        <f>IF(V113="","",IF(V113="No","Yes","No"))</f>
        <v/>
      </c>
      <c r="X113">
        <f>IF(OR(E113="",G113=""),"",IF(LOWER(IF(RIGHT(TRIM(E113),1)="/",LEFT(TRIM(E113),LEN(TRIM(E113))-1),TRIM(E113)))&lt;&gt;LOWER(IF(RIGHT(TRIM(G113),1)="/",LEFT(TRIM(G113),LEN(TRIM(G113))-1),TRIM(G113))),"Yes","No"))</f>
        <v/>
      </c>
      <c r="Y113">
        <f>IF(A113="","",(N(Q113)&gt;0)+(T113="Yes")+(U113="Yes")+(W113="Yes")+(X113="Yes"))</f>
        <v/>
      </c>
      <c r="Z113">
        <f>IF(A113="","",IF(G113="","Not mapped",IF(Y113=0,"OK",MID(IF(N(Q113)&gt;0,"; Cannibalisation","")&amp;IF(T113="Yes","; Too many primary keywords on URL","")&amp;IF(U113="Yes","; URL spans 2+ clusters","")&amp;IF(W113="Yes","; Intent mismatch","")&amp;IF(X113="Yes","; Ranking URL is not the target",""),3,300))))</f>
        <v/>
      </c>
      <c r="AA113">
        <f>IF(G113="","",IF(COUNTIF($G$3:G113,SUBSTITUTE(SUBSTITUTE(G113,"?","~?"),"*","~*"))=1,MAX($AA$2:AA112)+1,""))</f>
        <v/>
      </c>
      <c r="AB113">
        <f>IF(B113="","",IF(COUNTIF($B$3:B113,SUBSTITUTE(SUBSTITUTE(B113,"?","~?"),"*","~*"))=1,MAX($AB$2:AB112)+1,""))</f>
        <v/>
      </c>
    </row>
    <row r="114">
      <c r="M114">
        <f>IF(A114="","",LOWER(TRIM(SUBSTITUTE(SUBSTITUTE(A114,"?",""),"*",""))))</f>
        <v/>
      </c>
      <c r="N114">
        <f>IF(M114="","",IF(SUMPRODUCT(ISNUMBER(SEARCH(" "&amp;Settings!$L$5:$L$124&amp;" "," "&amp;M114&amp;" "))*(Settings!$K$5:$K$124="Navigational")*(Settings!$L$5:$L$124&lt;&gt;""))&gt;0,"Navigational",IF(SUMPRODUCT(ISNUMBER(SEARCH(" "&amp;Settings!$L$5:$L$124&amp;" "," "&amp;M114&amp;" "))*(Settings!$K$5:$K$124="Transactional")*(Settings!$L$5:$L$124&lt;&gt;""))&gt;0,"Transactional",IF(SUMPRODUCT(ISNUMBER(SEARCH(" "&amp;Settings!$L$5:$L$124&amp;" "," "&amp;M114&amp;" "))*(Settings!$K$5:$K$124="Commercial")*(Settings!$L$5:$L$124&lt;&gt;""))&gt;0,"Commercial",IF(SUMPRODUCT(ISNUMBER(SEARCH(" "&amp;Settings!$L$5:$L$124&amp;" "," "&amp;M114&amp;" "))*(Settings!$K$5:$K$124="Informational")*(Settings!$L$5:$L$124&lt;&gt;""))&gt;0,"Informational","Unclassified")))))</f>
        <v/>
      </c>
      <c r="O114">
        <f>IF(A114="","",IF(K114&lt;&gt;"",PROPER(K114),N114))</f>
        <v/>
      </c>
      <c r="P114">
        <f>IF(A114="","",ROUND(Settings!$B$5*MIN(1,LOG10(N(C114)+1)/LOG10(Settings!$B$7+1))+Settings!$B$6*(1-MIN(100,IF(D114="",50,N(D114)))/100)+IFERROR(INDEX(Settings!$B$10:$B$14,MATCH(O114,Settings!$A$10:$A$14,0)),0),0))</f>
        <v/>
      </c>
      <c r="Q114">
        <f>IF(OR(A114="",G114=""),"",COUNTIFS($M$3:$M$1002,M114,$G$3:$G$1002,"&lt;&gt;"&amp;SUBSTITUTE(SUBSTITUTE(G114,"?","~?"),"*","~*"),$G$3:$G$1002,"?*"))</f>
        <v/>
      </c>
      <c r="R114">
        <f>IF(Q114="","",IF(Q114&gt;0,"Yes","No"))</f>
        <v/>
      </c>
      <c r="S114">
        <f>IF(G114="","",COUNTIFS($G$3:$G$1002,SUBSTITUTE(SUBSTITUTE(G114,"?","~?"),"*","~*"),$J$3:$J$1002,"Primary"))</f>
        <v/>
      </c>
      <c r="T114">
        <f>IF(S114="","",IF(S114&gt;Settings!$B$4,"Yes","No"))</f>
        <v/>
      </c>
      <c r="U114">
        <f>IF(OR(G114="",B114=""),"",IF(COUNTIFS($G$3:$G$1002,SUBSTITUTE(SUBSTITUTE(G114,"?","~?"),"*","~*"),$B$3:$B$1002,"&lt;&gt;"&amp;SUBSTITUTE(SUBSTITUTE(B114,"?","~?"),"*","~*"),$B$3:$B$1002,"?*")&gt;0,"Yes","No"))</f>
        <v/>
      </c>
      <c r="V114">
        <f>IF(OR(G114="",I114="",O114="",O114="Unclassified"),"",IFERROR(INDEX(Settings!$E$5:$H$16,MATCH(I114,Settings!$D$5:$D$16,0),MATCH(O114,Settings!$E$4:$H$4,0)),"Check"))</f>
        <v/>
      </c>
      <c r="W114">
        <f>IF(V114="","",IF(V114="No","Yes","No"))</f>
        <v/>
      </c>
      <c r="X114">
        <f>IF(OR(E114="",G114=""),"",IF(LOWER(IF(RIGHT(TRIM(E114),1)="/",LEFT(TRIM(E114),LEN(TRIM(E114))-1),TRIM(E114)))&lt;&gt;LOWER(IF(RIGHT(TRIM(G114),1)="/",LEFT(TRIM(G114),LEN(TRIM(G114))-1),TRIM(G114))),"Yes","No"))</f>
        <v/>
      </c>
      <c r="Y114">
        <f>IF(A114="","",(N(Q114)&gt;0)+(T114="Yes")+(U114="Yes")+(W114="Yes")+(X114="Yes"))</f>
        <v/>
      </c>
      <c r="Z114">
        <f>IF(A114="","",IF(G114="","Not mapped",IF(Y114=0,"OK",MID(IF(N(Q114)&gt;0,"; Cannibalisation","")&amp;IF(T114="Yes","; Too many primary keywords on URL","")&amp;IF(U114="Yes","; URL spans 2+ clusters","")&amp;IF(W114="Yes","; Intent mismatch","")&amp;IF(X114="Yes","; Ranking URL is not the target",""),3,300))))</f>
        <v/>
      </c>
      <c r="AA114">
        <f>IF(G114="","",IF(COUNTIF($G$3:G114,SUBSTITUTE(SUBSTITUTE(G114,"?","~?"),"*","~*"))=1,MAX($AA$2:AA113)+1,""))</f>
        <v/>
      </c>
      <c r="AB114">
        <f>IF(B114="","",IF(COUNTIF($B$3:B114,SUBSTITUTE(SUBSTITUTE(B114,"?","~?"),"*","~*"))=1,MAX($AB$2:AB113)+1,""))</f>
        <v/>
      </c>
    </row>
    <row r="115">
      <c r="M115">
        <f>IF(A115="","",LOWER(TRIM(SUBSTITUTE(SUBSTITUTE(A115,"?",""),"*",""))))</f>
        <v/>
      </c>
      <c r="N115">
        <f>IF(M115="","",IF(SUMPRODUCT(ISNUMBER(SEARCH(" "&amp;Settings!$L$5:$L$124&amp;" "," "&amp;M115&amp;" "))*(Settings!$K$5:$K$124="Navigational")*(Settings!$L$5:$L$124&lt;&gt;""))&gt;0,"Navigational",IF(SUMPRODUCT(ISNUMBER(SEARCH(" "&amp;Settings!$L$5:$L$124&amp;" "," "&amp;M115&amp;" "))*(Settings!$K$5:$K$124="Transactional")*(Settings!$L$5:$L$124&lt;&gt;""))&gt;0,"Transactional",IF(SUMPRODUCT(ISNUMBER(SEARCH(" "&amp;Settings!$L$5:$L$124&amp;" "," "&amp;M115&amp;" "))*(Settings!$K$5:$K$124="Commercial")*(Settings!$L$5:$L$124&lt;&gt;""))&gt;0,"Commercial",IF(SUMPRODUCT(ISNUMBER(SEARCH(" "&amp;Settings!$L$5:$L$124&amp;" "," "&amp;M115&amp;" "))*(Settings!$K$5:$K$124="Informational")*(Settings!$L$5:$L$124&lt;&gt;""))&gt;0,"Informational","Unclassified")))))</f>
        <v/>
      </c>
      <c r="O115">
        <f>IF(A115="","",IF(K115&lt;&gt;"",PROPER(K115),N115))</f>
        <v/>
      </c>
      <c r="P115">
        <f>IF(A115="","",ROUND(Settings!$B$5*MIN(1,LOG10(N(C115)+1)/LOG10(Settings!$B$7+1))+Settings!$B$6*(1-MIN(100,IF(D115="",50,N(D115)))/100)+IFERROR(INDEX(Settings!$B$10:$B$14,MATCH(O115,Settings!$A$10:$A$14,0)),0),0))</f>
        <v/>
      </c>
      <c r="Q115">
        <f>IF(OR(A115="",G115=""),"",COUNTIFS($M$3:$M$1002,M115,$G$3:$G$1002,"&lt;&gt;"&amp;SUBSTITUTE(SUBSTITUTE(G115,"?","~?"),"*","~*"),$G$3:$G$1002,"?*"))</f>
        <v/>
      </c>
      <c r="R115">
        <f>IF(Q115="","",IF(Q115&gt;0,"Yes","No"))</f>
        <v/>
      </c>
      <c r="S115">
        <f>IF(G115="","",COUNTIFS($G$3:$G$1002,SUBSTITUTE(SUBSTITUTE(G115,"?","~?"),"*","~*"),$J$3:$J$1002,"Primary"))</f>
        <v/>
      </c>
      <c r="T115">
        <f>IF(S115="","",IF(S115&gt;Settings!$B$4,"Yes","No"))</f>
        <v/>
      </c>
      <c r="U115">
        <f>IF(OR(G115="",B115=""),"",IF(COUNTIFS($G$3:$G$1002,SUBSTITUTE(SUBSTITUTE(G115,"?","~?"),"*","~*"),$B$3:$B$1002,"&lt;&gt;"&amp;SUBSTITUTE(SUBSTITUTE(B115,"?","~?"),"*","~*"),$B$3:$B$1002,"?*")&gt;0,"Yes","No"))</f>
        <v/>
      </c>
      <c r="V115">
        <f>IF(OR(G115="",I115="",O115="",O115="Unclassified"),"",IFERROR(INDEX(Settings!$E$5:$H$16,MATCH(I115,Settings!$D$5:$D$16,0),MATCH(O115,Settings!$E$4:$H$4,0)),"Check"))</f>
        <v/>
      </c>
      <c r="W115">
        <f>IF(V115="","",IF(V115="No","Yes","No"))</f>
        <v/>
      </c>
      <c r="X115">
        <f>IF(OR(E115="",G115=""),"",IF(LOWER(IF(RIGHT(TRIM(E115),1)="/",LEFT(TRIM(E115),LEN(TRIM(E115))-1),TRIM(E115)))&lt;&gt;LOWER(IF(RIGHT(TRIM(G115),1)="/",LEFT(TRIM(G115),LEN(TRIM(G115))-1),TRIM(G115))),"Yes","No"))</f>
        <v/>
      </c>
      <c r="Y115">
        <f>IF(A115="","",(N(Q115)&gt;0)+(T115="Yes")+(U115="Yes")+(W115="Yes")+(X115="Yes"))</f>
        <v/>
      </c>
      <c r="Z115">
        <f>IF(A115="","",IF(G115="","Not mapped",IF(Y115=0,"OK",MID(IF(N(Q115)&gt;0,"; Cannibalisation","")&amp;IF(T115="Yes","; Too many primary keywords on URL","")&amp;IF(U115="Yes","; URL spans 2+ clusters","")&amp;IF(W115="Yes","; Intent mismatch","")&amp;IF(X115="Yes","; Ranking URL is not the target",""),3,300))))</f>
        <v/>
      </c>
      <c r="AA115">
        <f>IF(G115="","",IF(COUNTIF($G$3:G115,SUBSTITUTE(SUBSTITUTE(G115,"?","~?"),"*","~*"))=1,MAX($AA$2:AA114)+1,""))</f>
        <v/>
      </c>
      <c r="AB115">
        <f>IF(B115="","",IF(COUNTIF($B$3:B115,SUBSTITUTE(SUBSTITUTE(B115,"?","~?"),"*","~*"))=1,MAX($AB$2:AB114)+1,""))</f>
        <v/>
      </c>
    </row>
    <row r="116">
      <c r="M116">
        <f>IF(A116="","",LOWER(TRIM(SUBSTITUTE(SUBSTITUTE(A116,"?",""),"*",""))))</f>
        <v/>
      </c>
      <c r="N116">
        <f>IF(M116="","",IF(SUMPRODUCT(ISNUMBER(SEARCH(" "&amp;Settings!$L$5:$L$124&amp;" "," "&amp;M116&amp;" "))*(Settings!$K$5:$K$124="Navigational")*(Settings!$L$5:$L$124&lt;&gt;""))&gt;0,"Navigational",IF(SUMPRODUCT(ISNUMBER(SEARCH(" "&amp;Settings!$L$5:$L$124&amp;" "," "&amp;M116&amp;" "))*(Settings!$K$5:$K$124="Transactional")*(Settings!$L$5:$L$124&lt;&gt;""))&gt;0,"Transactional",IF(SUMPRODUCT(ISNUMBER(SEARCH(" "&amp;Settings!$L$5:$L$124&amp;" "," "&amp;M116&amp;" "))*(Settings!$K$5:$K$124="Commercial")*(Settings!$L$5:$L$124&lt;&gt;""))&gt;0,"Commercial",IF(SUMPRODUCT(ISNUMBER(SEARCH(" "&amp;Settings!$L$5:$L$124&amp;" "," "&amp;M116&amp;" "))*(Settings!$K$5:$K$124="Informational")*(Settings!$L$5:$L$124&lt;&gt;""))&gt;0,"Informational","Unclassified")))))</f>
        <v/>
      </c>
      <c r="O116">
        <f>IF(A116="","",IF(K116&lt;&gt;"",PROPER(K116),N116))</f>
        <v/>
      </c>
      <c r="P116">
        <f>IF(A116="","",ROUND(Settings!$B$5*MIN(1,LOG10(N(C116)+1)/LOG10(Settings!$B$7+1))+Settings!$B$6*(1-MIN(100,IF(D116="",50,N(D116)))/100)+IFERROR(INDEX(Settings!$B$10:$B$14,MATCH(O116,Settings!$A$10:$A$14,0)),0),0))</f>
        <v/>
      </c>
      <c r="Q116">
        <f>IF(OR(A116="",G116=""),"",COUNTIFS($M$3:$M$1002,M116,$G$3:$G$1002,"&lt;&gt;"&amp;SUBSTITUTE(SUBSTITUTE(G116,"?","~?"),"*","~*"),$G$3:$G$1002,"?*"))</f>
        <v/>
      </c>
      <c r="R116">
        <f>IF(Q116="","",IF(Q116&gt;0,"Yes","No"))</f>
        <v/>
      </c>
      <c r="S116">
        <f>IF(G116="","",COUNTIFS($G$3:$G$1002,SUBSTITUTE(SUBSTITUTE(G116,"?","~?"),"*","~*"),$J$3:$J$1002,"Primary"))</f>
        <v/>
      </c>
      <c r="T116">
        <f>IF(S116="","",IF(S116&gt;Settings!$B$4,"Yes","No"))</f>
        <v/>
      </c>
      <c r="U116">
        <f>IF(OR(G116="",B116=""),"",IF(COUNTIFS($G$3:$G$1002,SUBSTITUTE(SUBSTITUTE(G116,"?","~?"),"*","~*"),$B$3:$B$1002,"&lt;&gt;"&amp;SUBSTITUTE(SUBSTITUTE(B116,"?","~?"),"*","~*"),$B$3:$B$1002,"?*")&gt;0,"Yes","No"))</f>
        <v/>
      </c>
      <c r="V116">
        <f>IF(OR(G116="",I116="",O116="",O116="Unclassified"),"",IFERROR(INDEX(Settings!$E$5:$H$16,MATCH(I116,Settings!$D$5:$D$16,0),MATCH(O116,Settings!$E$4:$H$4,0)),"Check"))</f>
        <v/>
      </c>
      <c r="W116">
        <f>IF(V116="","",IF(V116="No","Yes","No"))</f>
        <v/>
      </c>
      <c r="X116">
        <f>IF(OR(E116="",G116=""),"",IF(LOWER(IF(RIGHT(TRIM(E116),1)="/",LEFT(TRIM(E116),LEN(TRIM(E116))-1),TRIM(E116)))&lt;&gt;LOWER(IF(RIGHT(TRIM(G116),1)="/",LEFT(TRIM(G116),LEN(TRIM(G116))-1),TRIM(G116))),"Yes","No"))</f>
        <v/>
      </c>
      <c r="Y116">
        <f>IF(A116="","",(N(Q116)&gt;0)+(T116="Yes")+(U116="Yes")+(W116="Yes")+(X116="Yes"))</f>
        <v/>
      </c>
      <c r="Z116">
        <f>IF(A116="","",IF(G116="","Not mapped",IF(Y116=0,"OK",MID(IF(N(Q116)&gt;0,"; Cannibalisation","")&amp;IF(T116="Yes","; Too many primary keywords on URL","")&amp;IF(U116="Yes","; URL spans 2+ clusters","")&amp;IF(W116="Yes","; Intent mismatch","")&amp;IF(X116="Yes","; Ranking URL is not the target",""),3,300))))</f>
        <v/>
      </c>
      <c r="AA116">
        <f>IF(G116="","",IF(COUNTIF($G$3:G116,SUBSTITUTE(SUBSTITUTE(G116,"?","~?"),"*","~*"))=1,MAX($AA$2:AA115)+1,""))</f>
        <v/>
      </c>
      <c r="AB116">
        <f>IF(B116="","",IF(COUNTIF($B$3:B116,SUBSTITUTE(SUBSTITUTE(B116,"?","~?"),"*","~*"))=1,MAX($AB$2:AB115)+1,""))</f>
        <v/>
      </c>
    </row>
    <row r="117">
      <c r="M117">
        <f>IF(A117="","",LOWER(TRIM(SUBSTITUTE(SUBSTITUTE(A117,"?",""),"*",""))))</f>
        <v/>
      </c>
      <c r="N117">
        <f>IF(M117="","",IF(SUMPRODUCT(ISNUMBER(SEARCH(" "&amp;Settings!$L$5:$L$124&amp;" "," "&amp;M117&amp;" "))*(Settings!$K$5:$K$124="Navigational")*(Settings!$L$5:$L$124&lt;&gt;""))&gt;0,"Navigational",IF(SUMPRODUCT(ISNUMBER(SEARCH(" "&amp;Settings!$L$5:$L$124&amp;" "," "&amp;M117&amp;" "))*(Settings!$K$5:$K$124="Transactional")*(Settings!$L$5:$L$124&lt;&gt;""))&gt;0,"Transactional",IF(SUMPRODUCT(ISNUMBER(SEARCH(" "&amp;Settings!$L$5:$L$124&amp;" "," "&amp;M117&amp;" "))*(Settings!$K$5:$K$124="Commercial")*(Settings!$L$5:$L$124&lt;&gt;""))&gt;0,"Commercial",IF(SUMPRODUCT(ISNUMBER(SEARCH(" "&amp;Settings!$L$5:$L$124&amp;" "," "&amp;M117&amp;" "))*(Settings!$K$5:$K$124="Informational")*(Settings!$L$5:$L$124&lt;&gt;""))&gt;0,"Informational","Unclassified")))))</f>
        <v/>
      </c>
      <c r="O117">
        <f>IF(A117="","",IF(K117&lt;&gt;"",PROPER(K117),N117))</f>
        <v/>
      </c>
      <c r="P117">
        <f>IF(A117="","",ROUND(Settings!$B$5*MIN(1,LOG10(N(C117)+1)/LOG10(Settings!$B$7+1))+Settings!$B$6*(1-MIN(100,IF(D117="",50,N(D117)))/100)+IFERROR(INDEX(Settings!$B$10:$B$14,MATCH(O117,Settings!$A$10:$A$14,0)),0),0))</f>
        <v/>
      </c>
      <c r="Q117">
        <f>IF(OR(A117="",G117=""),"",COUNTIFS($M$3:$M$1002,M117,$G$3:$G$1002,"&lt;&gt;"&amp;SUBSTITUTE(SUBSTITUTE(G117,"?","~?"),"*","~*"),$G$3:$G$1002,"?*"))</f>
        <v/>
      </c>
      <c r="R117">
        <f>IF(Q117="","",IF(Q117&gt;0,"Yes","No"))</f>
        <v/>
      </c>
      <c r="S117">
        <f>IF(G117="","",COUNTIFS($G$3:$G$1002,SUBSTITUTE(SUBSTITUTE(G117,"?","~?"),"*","~*"),$J$3:$J$1002,"Primary"))</f>
        <v/>
      </c>
      <c r="T117">
        <f>IF(S117="","",IF(S117&gt;Settings!$B$4,"Yes","No"))</f>
        <v/>
      </c>
      <c r="U117">
        <f>IF(OR(G117="",B117=""),"",IF(COUNTIFS($G$3:$G$1002,SUBSTITUTE(SUBSTITUTE(G117,"?","~?"),"*","~*"),$B$3:$B$1002,"&lt;&gt;"&amp;SUBSTITUTE(SUBSTITUTE(B117,"?","~?"),"*","~*"),$B$3:$B$1002,"?*")&gt;0,"Yes","No"))</f>
        <v/>
      </c>
      <c r="V117">
        <f>IF(OR(G117="",I117="",O117="",O117="Unclassified"),"",IFERROR(INDEX(Settings!$E$5:$H$16,MATCH(I117,Settings!$D$5:$D$16,0),MATCH(O117,Settings!$E$4:$H$4,0)),"Check"))</f>
        <v/>
      </c>
      <c r="W117">
        <f>IF(V117="","",IF(V117="No","Yes","No"))</f>
        <v/>
      </c>
      <c r="X117">
        <f>IF(OR(E117="",G117=""),"",IF(LOWER(IF(RIGHT(TRIM(E117),1)="/",LEFT(TRIM(E117),LEN(TRIM(E117))-1),TRIM(E117)))&lt;&gt;LOWER(IF(RIGHT(TRIM(G117),1)="/",LEFT(TRIM(G117),LEN(TRIM(G117))-1),TRIM(G117))),"Yes","No"))</f>
        <v/>
      </c>
      <c r="Y117">
        <f>IF(A117="","",(N(Q117)&gt;0)+(T117="Yes")+(U117="Yes")+(W117="Yes")+(X117="Yes"))</f>
        <v/>
      </c>
      <c r="Z117">
        <f>IF(A117="","",IF(G117="","Not mapped",IF(Y117=0,"OK",MID(IF(N(Q117)&gt;0,"; Cannibalisation","")&amp;IF(T117="Yes","; Too many primary keywords on URL","")&amp;IF(U117="Yes","; URL spans 2+ clusters","")&amp;IF(W117="Yes","; Intent mismatch","")&amp;IF(X117="Yes","; Ranking URL is not the target",""),3,300))))</f>
        <v/>
      </c>
      <c r="AA117">
        <f>IF(G117="","",IF(COUNTIF($G$3:G117,SUBSTITUTE(SUBSTITUTE(G117,"?","~?"),"*","~*"))=1,MAX($AA$2:AA116)+1,""))</f>
        <v/>
      </c>
      <c r="AB117">
        <f>IF(B117="","",IF(COUNTIF($B$3:B117,SUBSTITUTE(SUBSTITUTE(B117,"?","~?"),"*","~*"))=1,MAX($AB$2:AB116)+1,""))</f>
        <v/>
      </c>
    </row>
    <row r="118">
      <c r="M118">
        <f>IF(A118="","",LOWER(TRIM(SUBSTITUTE(SUBSTITUTE(A118,"?",""),"*",""))))</f>
        <v/>
      </c>
      <c r="N118">
        <f>IF(M118="","",IF(SUMPRODUCT(ISNUMBER(SEARCH(" "&amp;Settings!$L$5:$L$124&amp;" "," "&amp;M118&amp;" "))*(Settings!$K$5:$K$124="Navigational")*(Settings!$L$5:$L$124&lt;&gt;""))&gt;0,"Navigational",IF(SUMPRODUCT(ISNUMBER(SEARCH(" "&amp;Settings!$L$5:$L$124&amp;" "," "&amp;M118&amp;" "))*(Settings!$K$5:$K$124="Transactional")*(Settings!$L$5:$L$124&lt;&gt;""))&gt;0,"Transactional",IF(SUMPRODUCT(ISNUMBER(SEARCH(" "&amp;Settings!$L$5:$L$124&amp;" "," "&amp;M118&amp;" "))*(Settings!$K$5:$K$124="Commercial")*(Settings!$L$5:$L$124&lt;&gt;""))&gt;0,"Commercial",IF(SUMPRODUCT(ISNUMBER(SEARCH(" "&amp;Settings!$L$5:$L$124&amp;" "," "&amp;M118&amp;" "))*(Settings!$K$5:$K$124="Informational")*(Settings!$L$5:$L$124&lt;&gt;""))&gt;0,"Informational","Unclassified")))))</f>
        <v/>
      </c>
      <c r="O118">
        <f>IF(A118="","",IF(K118&lt;&gt;"",PROPER(K118),N118))</f>
        <v/>
      </c>
      <c r="P118">
        <f>IF(A118="","",ROUND(Settings!$B$5*MIN(1,LOG10(N(C118)+1)/LOG10(Settings!$B$7+1))+Settings!$B$6*(1-MIN(100,IF(D118="",50,N(D118)))/100)+IFERROR(INDEX(Settings!$B$10:$B$14,MATCH(O118,Settings!$A$10:$A$14,0)),0),0))</f>
        <v/>
      </c>
      <c r="Q118">
        <f>IF(OR(A118="",G118=""),"",COUNTIFS($M$3:$M$1002,M118,$G$3:$G$1002,"&lt;&gt;"&amp;SUBSTITUTE(SUBSTITUTE(G118,"?","~?"),"*","~*"),$G$3:$G$1002,"?*"))</f>
        <v/>
      </c>
      <c r="R118">
        <f>IF(Q118="","",IF(Q118&gt;0,"Yes","No"))</f>
        <v/>
      </c>
      <c r="S118">
        <f>IF(G118="","",COUNTIFS($G$3:$G$1002,SUBSTITUTE(SUBSTITUTE(G118,"?","~?"),"*","~*"),$J$3:$J$1002,"Primary"))</f>
        <v/>
      </c>
      <c r="T118">
        <f>IF(S118="","",IF(S118&gt;Settings!$B$4,"Yes","No"))</f>
        <v/>
      </c>
      <c r="U118">
        <f>IF(OR(G118="",B118=""),"",IF(COUNTIFS($G$3:$G$1002,SUBSTITUTE(SUBSTITUTE(G118,"?","~?"),"*","~*"),$B$3:$B$1002,"&lt;&gt;"&amp;SUBSTITUTE(SUBSTITUTE(B118,"?","~?"),"*","~*"),$B$3:$B$1002,"?*")&gt;0,"Yes","No"))</f>
        <v/>
      </c>
      <c r="V118">
        <f>IF(OR(G118="",I118="",O118="",O118="Unclassified"),"",IFERROR(INDEX(Settings!$E$5:$H$16,MATCH(I118,Settings!$D$5:$D$16,0),MATCH(O118,Settings!$E$4:$H$4,0)),"Check"))</f>
        <v/>
      </c>
      <c r="W118">
        <f>IF(V118="","",IF(V118="No","Yes","No"))</f>
        <v/>
      </c>
      <c r="X118">
        <f>IF(OR(E118="",G118=""),"",IF(LOWER(IF(RIGHT(TRIM(E118),1)="/",LEFT(TRIM(E118),LEN(TRIM(E118))-1),TRIM(E118)))&lt;&gt;LOWER(IF(RIGHT(TRIM(G118),1)="/",LEFT(TRIM(G118),LEN(TRIM(G118))-1),TRIM(G118))),"Yes","No"))</f>
        <v/>
      </c>
      <c r="Y118">
        <f>IF(A118="","",(N(Q118)&gt;0)+(T118="Yes")+(U118="Yes")+(W118="Yes")+(X118="Yes"))</f>
        <v/>
      </c>
      <c r="Z118">
        <f>IF(A118="","",IF(G118="","Not mapped",IF(Y118=0,"OK",MID(IF(N(Q118)&gt;0,"; Cannibalisation","")&amp;IF(T118="Yes","; Too many primary keywords on URL","")&amp;IF(U118="Yes","; URL spans 2+ clusters","")&amp;IF(W118="Yes","; Intent mismatch","")&amp;IF(X118="Yes","; Ranking URL is not the target",""),3,300))))</f>
        <v/>
      </c>
      <c r="AA118">
        <f>IF(G118="","",IF(COUNTIF($G$3:G118,SUBSTITUTE(SUBSTITUTE(G118,"?","~?"),"*","~*"))=1,MAX($AA$2:AA117)+1,""))</f>
        <v/>
      </c>
      <c r="AB118">
        <f>IF(B118="","",IF(COUNTIF($B$3:B118,SUBSTITUTE(SUBSTITUTE(B118,"?","~?"),"*","~*"))=1,MAX($AB$2:AB117)+1,""))</f>
        <v/>
      </c>
    </row>
    <row r="119">
      <c r="M119">
        <f>IF(A119="","",LOWER(TRIM(SUBSTITUTE(SUBSTITUTE(A119,"?",""),"*",""))))</f>
        <v/>
      </c>
      <c r="N119">
        <f>IF(M119="","",IF(SUMPRODUCT(ISNUMBER(SEARCH(" "&amp;Settings!$L$5:$L$124&amp;" "," "&amp;M119&amp;" "))*(Settings!$K$5:$K$124="Navigational")*(Settings!$L$5:$L$124&lt;&gt;""))&gt;0,"Navigational",IF(SUMPRODUCT(ISNUMBER(SEARCH(" "&amp;Settings!$L$5:$L$124&amp;" "," "&amp;M119&amp;" "))*(Settings!$K$5:$K$124="Transactional")*(Settings!$L$5:$L$124&lt;&gt;""))&gt;0,"Transactional",IF(SUMPRODUCT(ISNUMBER(SEARCH(" "&amp;Settings!$L$5:$L$124&amp;" "," "&amp;M119&amp;" "))*(Settings!$K$5:$K$124="Commercial")*(Settings!$L$5:$L$124&lt;&gt;""))&gt;0,"Commercial",IF(SUMPRODUCT(ISNUMBER(SEARCH(" "&amp;Settings!$L$5:$L$124&amp;" "," "&amp;M119&amp;" "))*(Settings!$K$5:$K$124="Informational")*(Settings!$L$5:$L$124&lt;&gt;""))&gt;0,"Informational","Unclassified")))))</f>
        <v/>
      </c>
      <c r="O119">
        <f>IF(A119="","",IF(K119&lt;&gt;"",PROPER(K119),N119))</f>
        <v/>
      </c>
      <c r="P119">
        <f>IF(A119="","",ROUND(Settings!$B$5*MIN(1,LOG10(N(C119)+1)/LOG10(Settings!$B$7+1))+Settings!$B$6*(1-MIN(100,IF(D119="",50,N(D119)))/100)+IFERROR(INDEX(Settings!$B$10:$B$14,MATCH(O119,Settings!$A$10:$A$14,0)),0),0))</f>
        <v/>
      </c>
      <c r="Q119">
        <f>IF(OR(A119="",G119=""),"",COUNTIFS($M$3:$M$1002,M119,$G$3:$G$1002,"&lt;&gt;"&amp;SUBSTITUTE(SUBSTITUTE(G119,"?","~?"),"*","~*"),$G$3:$G$1002,"?*"))</f>
        <v/>
      </c>
      <c r="R119">
        <f>IF(Q119="","",IF(Q119&gt;0,"Yes","No"))</f>
        <v/>
      </c>
      <c r="S119">
        <f>IF(G119="","",COUNTIFS($G$3:$G$1002,SUBSTITUTE(SUBSTITUTE(G119,"?","~?"),"*","~*"),$J$3:$J$1002,"Primary"))</f>
        <v/>
      </c>
      <c r="T119">
        <f>IF(S119="","",IF(S119&gt;Settings!$B$4,"Yes","No"))</f>
        <v/>
      </c>
      <c r="U119">
        <f>IF(OR(G119="",B119=""),"",IF(COUNTIFS($G$3:$G$1002,SUBSTITUTE(SUBSTITUTE(G119,"?","~?"),"*","~*"),$B$3:$B$1002,"&lt;&gt;"&amp;SUBSTITUTE(SUBSTITUTE(B119,"?","~?"),"*","~*"),$B$3:$B$1002,"?*")&gt;0,"Yes","No"))</f>
        <v/>
      </c>
      <c r="V119">
        <f>IF(OR(G119="",I119="",O119="",O119="Unclassified"),"",IFERROR(INDEX(Settings!$E$5:$H$16,MATCH(I119,Settings!$D$5:$D$16,0),MATCH(O119,Settings!$E$4:$H$4,0)),"Check"))</f>
        <v/>
      </c>
      <c r="W119">
        <f>IF(V119="","",IF(V119="No","Yes","No"))</f>
        <v/>
      </c>
      <c r="X119">
        <f>IF(OR(E119="",G119=""),"",IF(LOWER(IF(RIGHT(TRIM(E119),1)="/",LEFT(TRIM(E119),LEN(TRIM(E119))-1),TRIM(E119)))&lt;&gt;LOWER(IF(RIGHT(TRIM(G119),1)="/",LEFT(TRIM(G119),LEN(TRIM(G119))-1),TRIM(G119))),"Yes","No"))</f>
        <v/>
      </c>
      <c r="Y119">
        <f>IF(A119="","",(N(Q119)&gt;0)+(T119="Yes")+(U119="Yes")+(W119="Yes")+(X119="Yes"))</f>
        <v/>
      </c>
      <c r="Z119">
        <f>IF(A119="","",IF(G119="","Not mapped",IF(Y119=0,"OK",MID(IF(N(Q119)&gt;0,"; Cannibalisation","")&amp;IF(T119="Yes","; Too many primary keywords on URL","")&amp;IF(U119="Yes","; URL spans 2+ clusters","")&amp;IF(W119="Yes","; Intent mismatch","")&amp;IF(X119="Yes","; Ranking URL is not the target",""),3,300))))</f>
        <v/>
      </c>
      <c r="AA119">
        <f>IF(G119="","",IF(COUNTIF($G$3:G119,SUBSTITUTE(SUBSTITUTE(G119,"?","~?"),"*","~*"))=1,MAX($AA$2:AA118)+1,""))</f>
        <v/>
      </c>
      <c r="AB119">
        <f>IF(B119="","",IF(COUNTIF($B$3:B119,SUBSTITUTE(SUBSTITUTE(B119,"?","~?"),"*","~*"))=1,MAX($AB$2:AB118)+1,""))</f>
        <v/>
      </c>
    </row>
    <row r="120">
      <c r="M120">
        <f>IF(A120="","",LOWER(TRIM(SUBSTITUTE(SUBSTITUTE(A120,"?",""),"*",""))))</f>
        <v/>
      </c>
      <c r="N120">
        <f>IF(M120="","",IF(SUMPRODUCT(ISNUMBER(SEARCH(" "&amp;Settings!$L$5:$L$124&amp;" "," "&amp;M120&amp;" "))*(Settings!$K$5:$K$124="Navigational")*(Settings!$L$5:$L$124&lt;&gt;""))&gt;0,"Navigational",IF(SUMPRODUCT(ISNUMBER(SEARCH(" "&amp;Settings!$L$5:$L$124&amp;" "," "&amp;M120&amp;" "))*(Settings!$K$5:$K$124="Transactional")*(Settings!$L$5:$L$124&lt;&gt;""))&gt;0,"Transactional",IF(SUMPRODUCT(ISNUMBER(SEARCH(" "&amp;Settings!$L$5:$L$124&amp;" "," "&amp;M120&amp;" "))*(Settings!$K$5:$K$124="Commercial")*(Settings!$L$5:$L$124&lt;&gt;""))&gt;0,"Commercial",IF(SUMPRODUCT(ISNUMBER(SEARCH(" "&amp;Settings!$L$5:$L$124&amp;" "," "&amp;M120&amp;" "))*(Settings!$K$5:$K$124="Informational")*(Settings!$L$5:$L$124&lt;&gt;""))&gt;0,"Informational","Unclassified")))))</f>
        <v/>
      </c>
      <c r="O120">
        <f>IF(A120="","",IF(K120&lt;&gt;"",PROPER(K120),N120))</f>
        <v/>
      </c>
      <c r="P120">
        <f>IF(A120="","",ROUND(Settings!$B$5*MIN(1,LOG10(N(C120)+1)/LOG10(Settings!$B$7+1))+Settings!$B$6*(1-MIN(100,IF(D120="",50,N(D120)))/100)+IFERROR(INDEX(Settings!$B$10:$B$14,MATCH(O120,Settings!$A$10:$A$14,0)),0),0))</f>
        <v/>
      </c>
      <c r="Q120">
        <f>IF(OR(A120="",G120=""),"",COUNTIFS($M$3:$M$1002,M120,$G$3:$G$1002,"&lt;&gt;"&amp;SUBSTITUTE(SUBSTITUTE(G120,"?","~?"),"*","~*"),$G$3:$G$1002,"?*"))</f>
        <v/>
      </c>
      <c r="R120">
        <f>IF(Q120="","",IF(Q120&gt;0,"Yes","No"))</f>
        <v/>
      </c>
      <c r="S120">
        <f>IF(G120="","",COUNTIFS($G$3:$G$1002,SUBSTITUTE(SUBSTITUTE(G120,"?","~?"),"*","~*"),$J$3:$J$1002,"Primary"))</f>
        <v/>
      </c>
      <c r="T120">
        <f>IF(S120="","",IF(S120&gt;Settings!$B$4,"Yes","No"))</f>
        <v/>
      </c>
      <c r="U120">
        <f>IF(OR(G120="",B120=""),"",IF(COUNTIFS($G$3:$G$1002,SUBSTITUTE(SUBSTITUTE(G120,"?","~?"),"*","~*"),$B$3:$B$1002,"&lt;&gt;"&amp;SUBSTITUTE(SUBSTITUTE(B120,"?","~?"),"*","~*"),$B$3:$B$1002,"?*")&gt;0,"Yes","No"))</f>
        <v/>
      </c>
      <c r="V120">
        <f>IF(OR(G120="",I120="",O120="",O120="Unclassified"),"",IFERROR(INDEX(Settings!$E$5:$H$16,MATCH(I120,Settings!$D$5:$D$16,0),MATCH(O120,Settings!$E$4:$H$4,0)),"Check"))</f>
        <v/>
      </c>
      <c r="W120">
        <f>IF(V120="","",IF(V120="No","Yes","No"))</f>
        <v/>
      </c>
      <c r="X120">
        <f>IF(OR(E120="",G120=""),"",IF(LOWER(IF(RIGHT(TRIM(E120),1)="/",LEFT(TRIM(E120),LEN(TRIM(E120))-1),TRIM(E120)))&lt;&gt;LOWER(IF(RIGHT(TRIM(G120),1)="/",LEFT(TRIM(G120),LEN(TRIM(G120))-1),TRIM(G120))),"Yes","No"))</f>
        <v/>
      </c>
      <c r="Y120">
        <f>IF(A120="","",(N(Q120)&gt;0)+(T120="Yes")+(U120="Yes")+(W120="Yes")+(X120="Yes"))</f>
        <v/>
      </c>
      <c r="Z120">
        <f>IF(A120="","",IF(G120="","Not mapped",IF(Y120=0,"OK",MID(IF(N(Q120)&gt;0,"; Cannibalisation","")&amp;IF(T120="Yes","; Too many primary keywords on URL","")&amp;IF(U120="Yes","; URL spans 2+ clusters","")&amp;IF(W120="Yes","; Intent mismatch","")&amp;IF(X120="Yes","; Ranking URL is not the target",""),3,300))))</f>
        <v/>
      </c>
      <c r="AA120">
        <f>IF(G120="","",IF(COUNTIF($G$3:G120,SUBSTITUTE(SUBSTITUTE(G120,"?","~?"),"*","~*"))=1,MAX($AA$2:AA119)+1,""))</f>
        <v/>
      </c>
      <c r="AB120">
        <f>IF(B120="","",IF(COUNTIF($B$3:B120,SUBSTITUTE(SUBSTITUTE(B120,"?","~?"),"*","~*"))=1,MAX($AB$2:AB119)+1,""))</f>
        <v/>
      </c>
    </row>
    <row r="121">
      <c r="M121">
        <f>IF(A121="","",LOWER(TRIM(SUBSTITUTE(SUBSTITUTE(A121,"?",""),"*",""))))</f>
        <v/>
      </c>
      <c r="N121">
        <f>IF(M121="","",IF(SUMPRODUCT(ISNUMBER(SEARCH(" "&amp;Settings!$L$5:$L$124&amp;" "," "&amp;M121&amp;" "))*(Settings!$K$5:$K$124="Navigational")*(Settings!$L$5:$L$124&lt;&gt;""))&gt;0,"Navigational",IF(SUMPRODUCT(ISNUMBER(SEARCH(" "&amp;Settings!$L$5:$L$124&amp;" "," "&amp;M121&amp;" "))*(Settings!$K$5:$K$124="Transactional")*(Settings!$L$5:$L$124&lt;&gt;""))&gt;0,"Transactional",IF(SUMPRODUCT(ISNUMBER(SEARCH(" "&amp;Settings!$L$5:$L$124&amp;" "," "&amp;M121&amp;" "))*(Settings!$K$5:$K$124="Commercial")*(Settings!$L$5:$L$124&lt;&gt;""))&gt;0,"Commercial",IF(SUMPRODUCT(ISNUMBER(SEARCH(" "&amp;Settings!$L$5:$L$124&amp;" "," "&amp;M121&amp;" "))*(Settings!$K$5:$K$124="Informational")*(Settings!$L$5:$L$124&lt;&gt;""))&gt;0,"Informational","Unclassified")))))</f>
        <v/>
      </c>
      <c r="O121">
        <f>IF(A121="","",IF(K121&lt;&gt;"",PROPER(K121),N121))</f>
        <v/>
      </c>
      <c r="P121">
        <f>IF(A121="","",ROUND(Settings!$B$5*MIN(1,LOG10(N(C121)+1)/LOG10(Settings!$B$7+1))+Settings!$B$6*(1-MIN(100,IF(D121="",50,N(D121)))/100)+IFERROR(INDEX(Settings!$B$10:$B$14,MATCH(O121,Settings!$A$10:$A$14,0)),0),0))</f>
        <v/>
      </c>
      <c r="Q121">
        <f>IF(OR(A121="",G121=""),"",COUNTIFS($M$3:$M$1002,M121,$G$3:$G$1002,"&lt;&gt;"&amp;SUBSTITUTE(SUBSTITUTE(G121,"?","~?"),"*","~*"),$G$3:$G$1002,"?*"))</f>
        <v/>
      </c>
      <c r="R121">
        <f>IF(Q121="","",IF(Q121&gt;0,"Yes","No"))</f>
        <v/>
      </c>
      <c r="S121">
        <f>IF(G121="","",COUNTIFS($G$3:$G$1002,SUBSTITUTE(SUBSTITUTE(G121,"?","~?"),"*","~*"),$J$3:$J$1002,"Primary"))</f>
        <v/>
      </c>
      <c r="T121">
        <f>IF(S121="","",IF(S121&gt;Settings!$B$4,"Yes","No"))</f>
        <v/>
      </c>
      <c r="U121">
        <f>IF(OR(G121="",B121=""),"",IF(COUNTIFS($G$3:$G$1002,SUBSTITUTE(SUBSTITUTE(G121,"?","~?"),"*","~*"),$B$3:$B$1002,"&lt;&gt;"&amp;SUBSTITUTE(SUBSTITUTE(B121,"?","~?"),"*","~*"),$B$3:$B$1002,"?*")&gt;0,"Yes","No"))</f>
        <v/>
      </c>
      <c r="V121">
        <f>IF(OR(G121="",I121="",O121="",O121="Unclassified"),"",IFERROR(INDEX(Settings!$E$5:$H$16,MATCH(I121,Settings!$D$5:$D$16,0),MATCH(O121,Settings!$E$4:$H$4,0)),"Check"))</f>
        <v/>
      </c>
      <c r="W121">
        <f>IF(V121="","",IF(V121="No","Yes","No"))</f>
        <v/>
      </c>
      <c r="X121">
        <f>IF(OR(E121="",G121=""),"",IF(LOWER(IF(RIGHT(TRIM(E121),1)="/",LEFT(TRIM(E121),LEN(TRIM(E121))-1),TRIM(E121)))&lt;&gt;LOWER(IF(RIGHT(TRIM(G121),1)="/",LEFT(TRIM(G121),LEN(TRIM(G121))-1),TRIM(G121))),"Yes","No"))</f>
        <v/>
      </c>
      <c r="Y121">
        <f>IF(A121="","",(N(Q121)&gt;0)+(T121="Yes")+(U121="Yes")+(W121="Yes")+(X121="Yes"))</f>
        <v/>
      </c>
      <c r="Z121">
        <f>IF(A121="","",IF(G121="","Not mapped",IF(Y121=0,"OK",MID(IF(N(Q121)&gt;0,"; Cannibalisation","")&amp;IF(T121="Yes","; Too many primary keywords on URL","")&amp;IF(U121="Yes","; URL spans 2+ clusters","")&amp;IF(W121="Yes","; Intent mismatch","")&amp;IF(X121="Yes","; Ranking URL is not the target",""),3,300))))</f>
        <v/>
      </c>
      <c r="AA121">
        <f>IF(G121="","",IF(COUNTIF($G$3:G121,SUBSTITUTE(SUBSTITUTE(G121,"?","~?"),"*","~*"))=1,MAX($AA$2:AA120)+1,""))</f>
        <v/>
      </c>
      <c r="AB121">
        <f>IF(B121="","",IF(COUNTIF($B$3:B121,SUBSTITUTE(SUBSTITUTE(B121,"?","~?"),"*","~*"))=1,MAX($AB$2:AB120)+1,""))</f>
        <v/>
      </c>
    </row>
    <row r="122">
      <c r="M122">
        <f>IF(A122="","",LOWER(TRIM(SUBSTITUTE(SUBSTITUTE(A122,"?",""),"*",""))))</f>
        <v/>
      </c>
      <c r="N122">
        <f>IF(M122="","",IF(SUMPRODUCT(ISNUMBER(SEARCH(" "&amp;Settings!$L$5:$L$124&amp;" "," "&amp;M122&amp;" "))*(Settings!$K$5:$K$124="Navigational")*(Settings!$L$5:$L$124&lt;&gt;""))&gt;0,"Navigational",IF(SUMPRODUCT(ISNUMBER(SEARCH(" "&amp;Settings!$L$5:$L$124&amp;" "," "&amp;M122&amp;" "))*(Settings!$K$5:$K$124="Transactional")*(Settings!$L$5:$L$124&lt;&gt;""))&gt;0,"Transactional",IF(SUMPRODUCT(ISNUMBER(SEARCH(" "&amp;Settings!$L$5:$L$124&amp;" "," "&amp;M122&amp;" "))*(Settings!$K$5:$K$124="Commercial")*(Settings!$L$5:$L$124&lt;&gt;""))&gt;0,"Commercial",IF(SUMPRODUCT(ISNUMBER(SEARCH(" "&amp;Settings!$L$5:$L$124&amp;" "," "&amp;M122&amp;" "))*(Settings!$K$5:$K$124="Informational")*(Settings!$L$5:$L$124&lt;&gt;""))&gt;0,"Informational","Unclassified")))))</f>
        <v/>
      </c>
      <c r="O122">
        <f>IF(A122="","",IF(K122&lt;&gt;"",PROPER(K122),N122))</f>
        <v/>
      </c>
      <c r="P122">
        <f>IF(A122="","",ROUND(Settings!$B$5*MIN(1,LOG10(N(C122)+1)/LOG10(Settings!$B$7+1))+Settings!$B$6*(1-MIN(100,IF(D122="",50,N(D122)))/100)+IFERROR(INDEX(Settings!$B$10:$B$14,MATCH(O122,Settings!$A$10:$A$14,0)),0),0))</f>
        <v/>
      </c>
      <c r="Q122">
        <f>IF(OR(A122="",G122=""),"",COUNTIFS($M$3:$M$1002,M122,$G$3:$G$1002,"&lt;&gt;"&amp;SUBSTITUTE(SUBSTITUTE(G122,"?","~?"),"*","~*"),$G$3:$G$1002,"?*"))</f>
        <v/>
      </c>
      <c r="R122">
        <f>IF(Q122="","",IF(Q122&gt;0,"Yes","No"))</f>
        <v/>
      </c>
      <c r="S122">
        <f>IF(G122="","",COUNTIFS($G$3:$G$1002,SUBSTITUTE(SUBSTITUTE(G122,"?","~?"),"*","~*"),$J$3:$J$1002,"Primary"))</f>
        <v/>
      </c>
      <c r="T122">
        <f>IF(S122="","",IF(S122&gt;Settings!$B$4,"Yes","No"))</f>
        <v/>
      </c>
      <c r="U122">
        <f>IF(OR(G122="",B122=""),"",IF(COUNTIFS($G$3:$G$1002,SUBSTITUTE(SUBSTITUTE(G122,"?","~?"),"*","~*"),$B$3:$B$1002,"&lt;&gt;"&amp;SUBSTITUTE(SUBSTITUTE(B122,"?","~?"),"*","~*"),$B$3:$B$1002,"?*")&gt;0,"Yes","No"))</f>
        <v/>
      </c>
      <c r="V122">
        <f>IF(OR(G122="",I122="",O122="",O122="Unclassified"),"",IFERROR(INDEX(Settings!$E$5:$H$16,MATCH(I122,Settings!$D$5:$D$16,0),MATCH(O122,Settings!$E$4:$H$4,0)),"Check"))</f>
        <v/>
      </c>
      <c r="W122">
        <f>IF(V122="","",IF(V122="No","Yes","No"))</f>
        <v/>
      </c>
      <c r="X122">
        <f>IF(OR(E122="",G122=""),"",IF(LOWER(IF(RIGHT(TRIM(E122),1)="/",LEFT(TRIM(E122),LEN(TRIM(E122))-1),TRIM(E122)))&lt;&gt;LOWER(IF(RIGHT(TRIM(G122),1)="/",LEFT(TRIM(G122),LEN(TRIM(G122))-1),TRIM(G122))),"Yes","No"))</f>
        <v/>
      </c>
      <c r="Y122">
        <f>IF(A122="","",(N(Q122)&gt;0)+(T122="Yes")+(U122="Yes")+(W122="Yes")+(X122="Yes"))</f>
        <v/>
      </c>
      <c r="Z122">
        <f>IF(A122="","",IF(G122="","Not mapped",IF(Y122=0,"OK",MID(IF(N(Q122)&gt;0,"; Cannibalisation","")&amp;IF(T122="Yes","; Too many primary keywords on URL","")&amp;IF(U122="Yes","; URL spans 2+ clusters","")&amp;IF(W122="Yes","; Intent mismatch","")&amp;IF(X122="Yes","; Ranking URL is not the target",""),3,300))))</f>
        <v/>
      </c>
      <c r="AA122">
        <f>IF(G122="","",IF(COUNTIF($G$3:G122,SUBSTITUTE(SUBSTITUTE(G122,"?","~?"),"*","~*"))=1,MAX($AA$2:AA121)+1,""))</f>
        <v/>
      </c>
      <c r="AB122">
        <f>IF(B122="","",IF(COUNTIF($B$3:B122,SUBSTITUTE(SUBSTITUTE(B122,"?","~?"),"*","~*"))=1,MAX($AB$2:AB121)+1,""))</f>
        <v/>
      </c>
    </row>
    <row r="123">
      <c r="M123">
        <f>IF(A123="","",LOWER(TRIM(SUBSTITUTE(SUBSTITUTE(A123,"?",""),"*",""))))</f>
        <v/>
      </c>
      <c r="N123">
        <f>IF(M123="","",IF(SUMPRODUCT(ISNUMBER(SEARCH(" "&amp;Settings!$L$5:$L$124&amp;" "," "&amp;M123&amp;" "))*(Settings!$K$5:$K$124="Navigational")*(Settings!$L$5:$L$124&lt;&gt;""))&gt;0,"Navigational",IF(SUMPRODUCT(ISNUMBER(SEARCH(" "&amp;Settings!$L$5:$L$124&amp;" "," "&amp;M123&amp;" "))*(Settings!$K$5:$K$124="Transactional")*(Settings!$L$5:$L$124&lt;&gt;""))&gt;0,"Transactional",IF(SUMPRODUCT(ISNUMBER(SEARCH(" "&amp;Settings!$L$5:$L$124&amp;" "," "&amp;M123&amp;" "))*(Settings!$K$5:$K$124="Commercial")*(Settings!$L$5:$L$124&lt;&gt;""))&gt;0,"Commercial",IF(SUMPRODUCT(ISNUMBER(SEARCH(" "&amp;Settings!$L$5:$L$124&amp;" "," "&amp;M123&amp;" "))*(Settings!$K$5:$K$124="Informational")*(Settings!$L$5:$L$124&lt;&gt;""))&gt;0,"Informational","Unclassified")))))</f>
        <v/>
      </c>
      <c r="O123">
        <f>IF(A123="","",IF(K123&lt;&gt;"",PROPER(K123),N123))</f>
        <v/>
      </c>
      <c r="P123">
        <f>IF(A123="","",ROUND(Settings!$B$5*MIN(1,LOG10(N(C123)+1)/LOG10(Settings!$B$7+1))+Settings!$B$6*(1-MIN(100,IF(D123="",50,N(D123)))/100)+IFERROR(INDEX(Settings!$B$10:$B$14,MATCH(O123,Settings!$A$10:$A$14,0)),0),0))</f>
        <v/>
      </c>
      <c r="Q123">
        <f>IF(OR(A123="",G123=""),"",COUNTIFS($M$3:$M$1002,M123,$G$3:$G$1002,"&lt;&gt;"&amp;SUBSTITUTE(SUBSTITUTE(G123,"?","~?"),"*","~*"),$G$3:$G$1002,"?*"))</f>
        <v/>
      </c>
      <c r="R123">
        <f>IF(Q123="","",IF(Q123&gt;0,"Yes","No"))</f>
        <v/>
      </c>
      <c r="S123">
        <f>IF(G123="","",COUNTIFS($G$3:$G$1002,SUBSTITUTE(SUBSTITUTE(G123,"?","~?"),"*","~*"),$J$3:$J$1002,"Primary"))</f>
        <v/>
      </c>
      <c r="T123">
        <f>IF(S123="","",IF(S123&gt;Settings!$B$4,"Yes","No"))</f>
        <v/>
      </c>
      <c r="U123">
        <f>IF(OR(G123="",B123=""),"",IF(COUNTIFS($G$3:$G$1002,SUBSTITUTE(SUBSTITUTE(G123,"?","~?"),"*","~*"),$B$3:$B$1002,"&lt;&gt;"&amp;SUBSTITUTE(SUBSTITUTE(B123,"?","~?"),"*","~*"),$B$3:$B$1002,"?*")&gt;0,"Yes","No"))</f>
        <v/>
      </c>
      <c r="V123">
        <f>IF(OR(G123="",I123="",O123="",O123="Unclassified"),"",IFERROR(INDEX(Settings!$E$5:$H$16,MATCH(I123,Settings!$D$5:$D$16,0),MATCH(O123,Settings!$E$4:$H$4,0)),"Check"))</f>
        <v/>
      </c>
      <c r="W123">
        <f>IF(V123="","",IF(V123="No","Yes","No"))</f>
        <v/>
      </c>
      <c r="X123">
        <f>IF(OR(E123="",G123=""),"",IF(LOWER(IF(RIGHT(TRIM(E123),1)="/",LEFT(TRIM(E123),LEN(TRIM(E123))-1),TRIM(E123)))&lt;&gt;LOWER(IF(RIGHT(TRIM(G123),1)="/",LEFT(TRIM(G123),LEN(TRIM(G123))-1),TRIM(G123))),"Yes","No"))</f>
        <v/>
      </c>
      <c r="Y123">
        <f>IF(A123="","",(N(Q123)&gt;0)+(T123="Yes")+(U123="Yes")+(W123="Yes")+(X123="Yes"))</f>
        <v/>
      </c>
      <c r="Z123">
        <f>IF(A123="","",IF(G123="","Not mapped",IF(Y123=0,"OK",MID(IF(N(Q123)&gt;0,"; Cannibalisation","")&amp;IF(T123="Yes","; Too many primary keywords on URL","")&amp;IF(U123="Yes","; URL spans 2+ clusters","")&amp;IF(W123="Yes","; Intent mismatch","")&amp;IF(X123="Yes","; Ranking URL is not the target",""),3,300))))</f>
        <v/>
      </c>
      <c r="AA123">
        <f>IF(G123="","",IF(COUNTIF($G$3:G123,SUBSTITUTE(SUBSTITUTE(G123,"?","~?"),"*","~*"))=1,MAX($AA$2:AA122)+1,""))</f>
        <v/>
      </c>
      <c r="AB123">
        <f>IF(B123="","",IF(COUNTIF($B$3:B123,SUBSTITUTE(SUBSTITUTE(B123,"?","~?"),"*","~*"))=1,MAX($AB$2:AB122)+1,""))</f>
        <v/>
      </c>
    </row>
    <row r="124">
      <c r="M124">
        <f>IF(A124="","",LOWER(TRIM(SUBSTITUTE(SUBSTITUTE(A124,"?",""),"*",""))))</f>
        <v/>
      </c>
      <c r="N124">
        <f>IF(M124="","",IF(SUMPRODUCT(ISNUMBER(SEARCH(" "&amp;Settings!$L$5:$L$124&amp;" "," "&amp;M124&amp;" "))*(Settings!$K$5:$K$124="Navigational")*(Settings!$L$5:$L$124&lt;&gt;""))&gt;0,"Navigational",IF(SUMPRODUCT(ISNUMBER(SEARCH(" "&amp;Settings!$L$5:$L$124&amp;" "," "&amp;M124&amp;" "))*(Settings!$K$5:$K$124="Transactional")*(Settings!$L$5:$L$124&lt;&gt;""))&gt;0,"Transactional",IF(SUMPRODUCT(ISNUMBER(SEARCH(" "&amp;Settings!$L$5:$L$124&amp;" "," "&amp;M124&amp;" "))*(Settings!$K$5:$K$124="Commercial")*(Settings!$L$5:$L$124&lt;&gt;""))&gt;0,"Commercial",IF(SUMPRODUCT(ISNUMBER(SEARCH(" "&amp;Settings!$L$5:$L$124&amp;" "," "&amp;M124&amp;" "))*(Settings!$K$5:$K$124="Informational")*(Settings!$L$5:$L$124&lt;&gt;""))&gt;0,"Informational","Unclassified")))))</f>
        <v/>
      </c>
      <c r="O124">
        <f>IF(A124="","",IF(K124&lt;&gt;"",PROPER(K124),N124))</f>
        <v/>
      </c>
      <c r="P124">
        <f>IF(A124="","",ROUND(Settings!$B$5*MIN(1,LOG10(N(C124)+1)/LOG10(Settings!$B$7+1))+Settings!$B$6*(1-MIN(100,IF(D124="",50,N(D124)))/100)+IFERROR(INDEX(Settings!$B$10:$B$14,MATCH(O124,Settings!$A$10:$A$14,0)),0),0))</f>
        <v/>
      </c>
      <c r="Q124">
        <f>IF(OR(A124="",G124=""),"",COUNTIFS($M$3:$M$1002,M124,$G$3:$G$1002,"&lt;&gt;"&amp;SUBSTITUTE(SUBSTITUTE(G124,"?","~?"),"*","~*"),$G$3:$G$1002,"?*"))</f>
        <v/>
      </c>
      <c r="R124">
        <f>IF(Q124="","",IF(Q124&gt;0,"Yes","No"))</f>
        <v/>
      </c>
      <c r="S124">
        <f>IF(G124="","",COUNTIFS($G$3:$G$1002,SUBSTITUTE(SUBSTITUTE(G124,"?","~?"),"*","~*"),$J$3:$J$1002,"Primary"))</f>
        <v/>
      </c>
      <c r="T124">
        <f>IF(S124="","",IF(S124&gt;Settings!$B$4,"Yes","No"))</f>
        <v/>
      </c>
      <c r="U124">
        <f>IF(OR(G124="",B124=""),"",IF(COUNTIFS($G$3:$G$1002,SUBSTITUTE(SUBSTITUTE(G124,"?","~?"),"*","~*"),$B$3:$B$1002,"&lt;&gt;"&amp;SUBSTITUTE(SUBSTITUTE(B124,"?","~?"),"*","~*"),$B$3:$B$1002,"?*")&gt;0,"Yes","No"))</f>
        <v/>
      </c>
      <c r="V124">
        <f>IF(OR(G124="",I124="",O124="",O124="Unclassified"),"",IFERROR(INDEX(Settings!$E$5:$H$16,MATCH(I124,Settings!$D$5:$D$16,0),MATCH(O124,Settings!$E$4:$H$4,0)),"Check"))</f>
        <v/>
      </c>
      <c r="W124">
        <f>IF(V124="","",IF(V124="No","Yes","No"))</f>
        <v/>
      </c>
      <c r="X124">
        <f>IF(OR(E124="",G124=""),"",IF(LOWER(IF(RIGHT(TRIM(E124),1)="/",LEFT(TRIM(E124),LEN(TRIM(E124))-1),TRIM(E124)))&lt;&gt;LOWER(IF(RIGHT(TRIM(G124),1)="/",LEFT(TRIM(G124),LEN(TRIM(G124))-1),TRIM(G124))),"Yes","No"))</f>
        <v/>
      </c>
      <c r="Y124">
        <f>IF(A124="","",(N(Q124)&gt;0)+(T124="Yes")+(U124="Yes")+(W124="Yes")+(X124="Yes"))</f>
        <v/>
      </c>
      <c r="Z124">
        <f>IF(A124="","",IF(G124="","Not mapped",IF(Y124=0,"OK",MID(IF(N(Q124)&gt;0,"; Cannibalisation","")&amp;IF(T124="Yes","; Too many primary keywords on URL","")&amp;IF(U124="Yes","; URL spans 2+ clusters","")&amp;IF(W124="Yes","; Intent mismatch","")&amp;IF(X124="Yes","; Ranking URL is not the target",""),3,300))))</f>
        <v/>
      </c>
      <c r="AA124">
        <f>IF(G124="","",IF(COUNTIF($G$3:G124,SUBSTITUTE(SUBSTITUTE(G124,"?","~?"),"*","~*"))=1,MAX($AA$2:AA123)+1,""))</f>
        <v/>
      </c>
      <c r="AB124">
        <f>IF(B124="","",IF(COUNTIF($B$3:B124,SUBSTITUTE(SUBSTITUTE(B124,"?","~?"),"*","~*"))=1,MAX($AB$2:AB123)+1,""))</f>
        <v/>
      </c>
    </row>
    <row r="125">
      <c r="M125">
        <f>IF(A125="","",LOWER(TRIM(SUBSTITUTE(SUBSTITUTE(A125,"?",""),"*",""))))</f>
        <v/>
      </c>
      <c r="N125">
        <f>IF(M125="","",IF(SUMPRODUCT(ISNUMBER(SEARCH(" "&amp;Settings!$L$5:$L$124&amp;" "," "&amp;M125&amp;" "))*(Settings!$K$5:$K$124="Navigational")*(Settings!$L$5:$L$124&lt;&gt;""))&gt;0,"Navigational",IF(SUMPRODUCT(ISNUMBER(SEARCH(" "&amp;Settings!$L$5:$L$124&amp;" "," "&amp;M125&amp;" "))*(Settings!$K$5:$K$124="Transactional")*(Settings!$L$5:$L$124&lt;&gt;""))&gt;0,"Transactional",IF(SUMPRODUCT(ISNUMBER(SEARCH(" "&amp;Settings!$L$5:$L$124&amp;" "," "&amp;M125&amp;" "))*(Settings!$K$5:$K$124="Commercial")*(Settings!$L$5:$L$124&lt;&gt;""))&gt;0,"Commercial",IF(SUMPRODUCT(ISNUMBER(SEARCH(" "&amp;Settings!$L$5:$L$124&amp;" "," "&amp;M125&amp;" "))*(Settings!$K$5:$K$124="Informational")*(Settings!$L$5:$L$124&lt;&gt;""))&gt;0,"Informational","Unclassified")))))</f>
        <v/>
      </c>
      <c r="O125">
        <f>IF(A125="","",IF(K125&lt;&gt;"",PROPER(K125),N125))</f>
        <v/>
      </c>
      <c r="P125">
        <f>IF(A125="","",ROUND(Settings!$B$5*MIN(1,LOG10(N(C125)+1)/LOG10(Settings!$B$7+1))+Settings!$B$6*(1-MIN(100,IF(D125="",50,N(D125)))/100)+IFERROR(INDEX(Settings!$B$10:$B$14,MATCH(O125,Settings!$A$10:$A$14,0)),0),0))</f>
        <v/>
      </c>
      <c r="Q125">
        <f>IF(OR(A125="",G125=""),"",COUNTIFS($M$3:$M$1002,M125,$G$3:$G$1002,"&lt;&gt;"&amp;SUBSTITUTE(SUBSTITUTE(G125,"?","~?"),"*","~*"),$G$3:$G$1002,"?*"))</f>
        <v/>
      </c>
      <c r="R125">
        <f>IF(Q125="","",IF(Q125&gt;0,"Yes","No"))</f>
        <v/>
      </c>
      <c r="S125">
        <f>IF(G125="","",COUNTIFS($G$3:$G$1002,SUBSTITUTE(SUBSTITUTE(G125,"?","~?"),"*","~*"),$J$3:$J$1002,"Primary"))</f>
        <v/>
      </c>
      <c r="T125">
        <f>IF(S125="","",IF(S125&gt;Settings!$B$4,"Yes","No"))</f>
        <v/>
      </c>
      <c r="U125">
        <f>IF(OR(G125="",B125=""),"",IF(COUNTIFS($G$3:$G$1002,SUBSTITUTE(SUBSTITUTE(G125,"?","~?"),"*","~*"),$B$3:$B$1002,"&lt;&gt;"&amp;SUBSTITUTE(SUBSTITUTE(B125,"?","~?"),"*","~*"),$B$3:$B$1002,"?*")&gt;0,"Yes","No"))</f>
        <v/>
      </c>
      <c r="V125">
        <f>IF(OR(G125="",I125="",O125="",O125="Unclassified"),"",IFERROR(INDEX(Settings!$E$5:$H$16,MATCH(I125,Settings!$D$5:$D$16,0),MATCH(O125,Settings!$E$4:$H$4,0)),"Check"))</f>
        <v/>
      </c>
      <c r="W125">
        <f>IF(V125="","",IF(V125="No","Yes","No"))</f>
        <v/>
      </c>
      <c r="X125">
        <f>IF(OR(E125="",G125=""),"",IF(LOWER(IF(RIGHT(TRIM(E125),1)="/",LEFT(TRIM(E125),LEN(TRIM(E125))-1),TRIM(E125)))&lt;&gt;LOWER(IF(RIGHT(TRIM(G125),1)="/",LEFT(TRIM(G125),LEN(TRIM(G125))-1),TRIM(G125))),"Yes","No"))</f>
        <v/>
      </c>
      <c r="Y125">
        <f>IF(A125="","",(N(Q125)&gt;0)+(T125="Yes")+(U125="Yes")+(W125="Yes")+(X125="Yes"))</f>
        <v/>
      </c>
      <c r="Z125">
        <f>IF(A125="","",IF(G125="","Not mapped",IF(Y125=0,"OK",MID(IF(N(Q125)&gt;0,"; Cannibalisation","")&amp;IF(T125="Yes","; Too many primary keywords on URL","")&amp;IF(U125="Yes","; URL spans 2+ clusters","")&amp;IF(W125="Yes","; Intent mismatch","")&amp;IF(X125="Yes","; Ranking URL is not the target",""),3,300))))</f>
        <v/>
      </c>
      <c r="AA125">
        <f>IF(G125="","",IF(COUNTIF($G$3:G125,SUBSTITUTE(SUBSTITUTE(G125,"?","~?"),"*","~*"))=1,MAX($AA$2:AA124)+1,""))</f>
        <v/>
      </c>
      <c r="AB125">
        <f>IF(B125="","",IF(COUNTIF($B$3:B125,SUBSTITUTE(SUBSTITUTE(B125,"?","~?"),"*","~*"))=1,MAX($AB$2:AB124)+1,""))</f>
        <v/>
      </c>
    </row>
    <row r="126">
      <c r="M126">
        <f>IF(A126="","",LOWER(TRIM(SUBSTITUTE(SUBSTITUTE(A126,"?",""),"*",""))))</f>
        <v/>
      </c>
      <c r="N126">
        <f>IF(M126="","",IF(SUMPRODUCT(ISNUMBER(SEARCH(" "&amp;Settings!$L$5:$L$124&amp;" "," "&amp;M126&amp;" "))*(Settings!$K$5:$K$124="Navigational")*(Settings!$L$5:$L$124&lt;&gt;""))&gt;0,"Navigational",IF(SUMPRODUCT(ISNUMBER(SEARCH(" "&amp;Settings!$L$5:$L$124&amp;" "," "&amp;M126&amp;" "))*(Settings!$K$5:$K$124="Transactional")*(Settings!$L$5:$L$124&lt;&gt;""))&gt;0,"Transactional",IF(SUMPRODUCT(ISNUMBER(SEARCH(" "&amp;Settings!$L$5:$L$124&amp;" "," "&amp;M126&amp;" "))*(Settings!$K$5:$K$124="Commercial")*(Settings!$L$5:$L$124&lt;&gt;""))&gt;0,"Commercial",IF(SUMPRODUCT(ISNUMBER(SEARCH(" "&amp;Settings!$L$5:$L$124&amp;" "," "&amp;M126&amp;" "))*(Settings!$K$5:$K$124="Informational")*(Settings!$L$5:$L$124&lt;&gt;""))&gt;0,"Informational","Unclassified")))))</f>
        <v/>
      </c>
      <c r="O126">
        <f>IF(A126="","",IF(K126&lt;&gt;"",PROPER(K126),N126))</f>
        <v/>
      </c>
      <c r="P126">
        <f>IF(A126="","",ROUND(Settings!$B$5*MIN(1,LOG10(N(C126)+1)/LOG10(Settings!$B$7+1))+Settings!$B$6*(1-MIN(100,IF(D126="",50,N(D126)))/100)+IFERROR(INDEX(Settings!$B$10:$B$14,MATCH(O126,Settings!$A$10:$A$14,0)),0),0))</f>
        <v/>
      </c>
      <c r="Q126">
        <f>IF(OR(A126="",G126=""),"",COUNTIFS($M$3:$M$1002,M126,$G$3:$G$1002,"&lt;&gt;"&amp;SUBSTITUTE(SUBSTITUTE(G126,"?","~?"),"*","~*"),$G$3:$G$1002,"?*"))</f>
        <v/>
      </c>
      <c r="R126">
        <f>IF(Q126="","",IF(Q126&gt;0,"Yes","No"))</f>
        <v/>
      </c>
      <c r="S126">
        <f>IF(G126="","",COUNTIFS($G$3:$G$1002,SUBSTITUTE(SUBSTITUTE(G126,"?","~?"),"*","~*"),$J$3:$J$1002,"Primary"))</f>
        <v/>
      </c>
      <c r="T126">
        <f>IF(S126="","",IF(S126&gt;Settings!$B$4,"Yes","No"))</f>
        <v/>
      </c>
      <c r="U126">
        <f>IF(OR(G126="",B126=""),"",IF(COUNTIFS($G$3:$G$1002,SUBSTITUTE(SUBSTITUTE(G126,"?","~?"),"*","~*"),$B$3:$B$1002,"&lt;&gt;"&amp;SUBSTITUTE(SUBSTITUTE(B126,"?","~?"),"*","~*"),$B$3:$B$1002,"?*")&gt;0,"Yes","No"))</f>
        <v/>
      </c>
      <c r="V126">
        <f>IF(OR(G126="",I126="",O126="",O126="Unclassified"),"",IFERROR(INDEX(Settings!$E$5:$H$16,MATCH(I126,Settings!$D$5:$D$16,0),MATCH(O126,Settings!$E$4:$H$4,0)),"Check"))</f>
        <v/>
      </c>
      <c r="W126">
        <f>IF(V126="","",IF(V126="No","Yes","No"))</f>
        <v/>
      </c>
      <c r="X126">
        <f>IF(OR(E126="",G126=""),"",IF(LOWER(IF(RIGHT(TRIM(E126),1)="/",LEFT(TRIM(E126),LEN(TRIM(E126))-1),TRIM(E126)))&lt;&gt;LOWER(IF(RIGHT(TRIM(G126),1)="/",LEFT(TRIM(G126),LEN(TRIM(G126))-1),TRIM(G126))),"Yes","No"))</f>
        <v/>
      </c>
      <c r="Y126">
        <f>IF(A126="","",(N(Q126)&gt;0)+(T126="Yes")+(U126="Yes")+(W126="Yes")+(X126="Yes"))</f>
        <v/>
      </c>
      <c r="Z126">
        <f>IF(A126="","",IF(G126="","Not mapped",IF(Y126=0,"OK",MID(IF(N(Q126)&gt;0,"; Cannibalisation","")&amp;IF(T126="Yes","; Too many primary keywords on URL","")&amp;IF(U126="Yes","; URL spans 2+ clusters","")&amp;IF(W126="Yes","; Intent mismatch","")&amp;IF(X126="Yes","; Ranking URL is not the target",""),3,300))))</f>
        <v/>
      </c>
      <c r="AA126">
        <f>IF(G126="","",IF(COUNTIF($G$3:G126,SUBSTITUTE(SUBSTITUTE(G126,"?","~?"),"*","~*"))=1,MAX($AA$2:AA125)+1,""))</f>
        <v/>
      </c>
      <c r="AB126">
        <f>IF(B126="","",IF(COUNTIF($B$3:B126,SUBSTITUTE(SUBSTITUTE(B126,"?","~?"),"*","~*"))=1,MAX($AB$2:AB125)+1,""))</f>
        <v/>
      </c>
    </row>
    <row r="127">
      <c r="M127">
        <f>IF(A127="","",LOWER(TRIM(SUBSTITUTE(SUBSTITUTE(A127,"?",""),"*",""))))</f>
        <v/>
      </c>
      <c r="N127">
        <f>IF(M127="","",IF(SUMPRODUCT(ISNUMBER(SEARCH(" "&amp;Settings!$L$5:$L$124&amp;" "," "&amp;M127&amp;" "))*(Settings!$K$5:$K$124="Navigational")*(Settings!$L$5:$L$124&lt;&gt;""))&gt;0,"Navigational",IF(SUMPRODUCT(ISNUMBER(SEARCH(" "&amp;Settings!$L$5:$L$124&amp;" "," "&amp;M127&amp;" "))*(Settings!$K$5:$K$124="Transactional")*(Settings!$L$5:$L$124&lt;&gt;""))&gt;0,"Transactional",IF(SUMPRODUCT(ISNUMBER(SEARCH(" "&amp;Settings!$L$5:$L$124&amp;" "," "&amp;M127&amp;" "))*(Settings!$K$5:$K$124="Commercial")*(Settings!$L$5:$L$124&lt;&gt;""))&gt;0,"Commercial",IF(SUMPRODUCT(ISNUMBER(SEARCH(" "&amp;Settings!$L$5:$L$124&amp;" "," "&amp;M127&amp;" "))*(Settings!$K$5:$K$124="Informational")*(Settings!$L$5:$L$124&lt;&gt;""))&gt;0,"Informational","Unclassified")))))</f>
        <v/>
      </c>
      <c r="O127">
        <f>IF(A127="","",IF(K127&lt;&gt;"",PROPER(K127),N127))</f>
        <v/>
      </c>
      <c r="P127">
        <f>IF(A127="","",ROUND(Settings!$B$5*MIN(1,LOG10(N(C127)+1)/LOG10(Settings!$B$7+1))+Settings!$B$6*(1-MIN(100,IF(D127="",50,N(D127)))/100)+IFERROR(INDEX(Settings!$B$10:$B$14,MATCH(O127,Settings!$A$10:$A$14,0)),0),0))</f>
        <v/>
      </c>
      <c r="Q127">
        <f>IF(OR(A127="",G127=""),"",COUNTIFS($M$3:$M$1002,M127,$G$3:$G$1002,"&lt;&gt;"&amp;SUBSTITUTE(SUBSTITUTE(G127,"?","~?"),"*","~*"),$G$3:$G$1002,"?*"))</f>
        <v/>
      </c>
      <c r="R127">
        <f>IF(Q127="","",IF(Q127&gt;0,"Yes","No"))</f>
        <v/>
      </c>
      <c r="S127">
        <f>IF(G127="","",COUNTIFS($G$3:$G$1002,SUBSTITUTE(SUBSTITUTE(G127,"?","~?"),"*","~*"),$J$3:$J$1002,"Primary"))</f>
        <v/>
      </c>
      <c r="T127">
        <f>IF(S127="","",IF(S127&gt;Settings!$B$4,"Yes","No"))</f>
        <v/>
      </c>
      <c r="U127">
        <f>IF(OR(G127="",B127=""),"",IF(COUNTIFS($G$3:$G$1002,SUBSTITUTE(SUBSTITUTE(G127,"?","~?"),"*","~*"),$B$3:$B$1002,"&lt;&gt;"&amp;SUBSTITUTE(SUBSTITUTE(B127,"?","~?"),"*","~*"),$B$3:$B$1002,"?*")&gt;0,"Yes","No"))</f>
        <v/>
      </c>
      <c r="V127">
        <f>IF(OR(G127="",I127="",O127="",O127="Unclassified"),"",IFERROR(INDEX(Settings!$E$5:$H$16,MATCH(I127,Settings!$D$5:$D$16,0),MATCH(O127,Settings!$E$4:$H$4,0)),"Check"))</f>
        <v/>
      </c>
      <c r="W127">
        <f>IF(V127="","",IF(V127="No","Yes","No"))</f>
        <v/>
      </c>
      <c r="X127">
        <f>IF(OR(E127="",G127=""),"",IF(LOWER(IF(RIGHT(TRIM(E127),1)="/",LEFT(TRIM(E127),LEN(TRIM(E127))-1),TRIM(E127)))&lt;&gt;LOWER(IF(RIGHT(TRIM(G127),1)="/",LEFT(TRIM(G127),LEN(TRIM(G127))-1),TRIM(G127))),"Yes","No"))</f>
        <v/>
      </c>
      <c r="Y127">
        <f>IF(A127="","",(N(Q127)&gt;0)+(T127="Yes")+(U127="Yes")+(W127="Yes")+(X127="Yes"))</f>
        <v/>
      </c>
      <c r="Z127">
        <f>IF(A127="","",IF(G127="","Not mapped",IF(Y127=0,"OK",MID(IF(N(Q127)&gt;0,"; Cannibalisation","")&amp;IF(T127="Yes","; Too many primary keywords on URL","")&amp;IF(U127="Yes","; URL spans 2+ clusters","")&amp;IF(W127="Yes","; Intent mismatch","")&amp;IF(X127="Yes","; Ranking URL is not the target",""),3,300))))</f>
        <v/>
      </c>
      <c r="AA127">
        <f>IF(G127="","",IF(COUNTIF($G$3:G127,SUBSTITUTE(SUBSTITUTE(G127,"?","~?"),"*","~*"))=1,MAX($AA$2:AA126)+1,""))</f>
        <v/>
      </c>
      <c r="AB127">
        <f>IF(B127="","",IF(COUNTIF($B$3:B127,SUBSTITUTE(SUBSTITUTE(B127,"?","~?"),"*","~*"))=1,MAX($AB$2:AB126)+1,""))</f>
        <v/>
      </c>
    </row>
    <row r="128">
      <c r="M128">
        <f>IF(A128="","",LOWER(TRIM(SUBSTITUTE(SUBSTITUTE(A128,"?",""),"*",""))))</f>
        <v/>
      </c>
      <c r="N128">
        <f>IF(M128="","",IF(SUMPRODUCT(ISNUMBER(SEARCH(" "&amp;Settings!$L$5:$L$124&amp;" "," "&amp;M128&amp;" "))*(Settings!$K$5:$K$124="Navigational")*(Settings!$L$5:$L$124&lt;&gt;""))&gt;0,"Navigational",IF(SUMPRODUCT(ISNUMBER(SEARCH(" "&amp;Settings!$L$5:$L$124&amp;" "," "&amp;M128&amp;" "))*(Settings!$K$5:$K$124="Transactional")*(Settings!$L$5:$L$124&lt;&gt;""))&gt;0,"Transactional",IF(SUMPRODUCT(ISNUMBER(SEARCH(" "&amp;Settings!$L$5:$L$124&amp;" "," "&amp;M128&amp;" "))*(Settings!$K$5:$K$124="Commercial")*(Settings!$L$5:$L$124&lt;&gt;""))&gt;0,"Commercial",IF(SUMPRODUCT(ISNUMBER(SEARCH(" "&amp;Settings!$L$5:$L$124&amp;" "," "&amp;M128&amp;" "))*(Settings!$K$5:$K$124="Informational")*(Settings!$L$5:$L$124&lt;&gt;""))&gt;0,"Informational","Unclassified")))))</f>
        <v/>
      </c>
      <c r="O128">
        <f>IF(A128="","",IF(K128&lt;&gt;"",PROPER(K128),N128))</f>
        <v/>
      </c>
      <c r="P128">
        <f>IF(A128="","",ROUND(Settings!$B$5*MIN(1,LOG10(N(C128)+1)/LOG10(Settings!$B$7+1))+Settings!$B$6*(1-MIN(100,IF(D128="",50,N(D128)))/100)+IFERROR(INDEX(Settings!$B$10:$B$14,MATCH(O128,Settings!$A$10:$A$14,0)),0),0))</f>
        <v/>
      </c>
      <c r="Q128">
        <f>IF(OR(A128="",G128=""),"",COUNTIFS($M$3:$M$1002,M128,$G$3:$G$1002,"&lt;&gt;"&amp;SUBSTITUTE(SUBSTITUTE(G128,"?","~?"),"*","~*"),$G$3:$G$1002,"?*"))</f>
        <v/>
      </c>
      <c r="R128">
        <f>IF(Q128="","",IF(Q128&gt;0,"Yes","No"))</f>
        <v/>
      </c>
      <c r="S128">
        <f>IF(G128="","",COUNTIFS($G$3:$G$1002,SUBSTITUTE(SUBSTITUTE(G128,"?","~?"),"*","~*"),$J$3:$J$1002,"Primary"))</f>
        <v/>
      </c>
      <c r="T128">
        <f>IF(S128="","",IF(S128&gt;Settings!$B$4,"Yes","No"))</f>
        <v/>
      </c>
      <c r="U128">
        <f>IF(OR(G128="",B128=""),"",IF(COUNTIFS($G$3:$G$1002,SUBSTITUTE(SUBSTITUTE(G128,"?","~?"),"*","~*"),$B$3:$B$1002,"&lt;&gt;"&amp;SUBSTITUTE(SUBSTITUTE(B128,"?","~?"),"*","~*"),$B$3:$B$1002,"?*")&gt;0,"Yes","No"))</f>
        <v/>
      </c>
      <c r="V128">
        <f>IF(OR(G128="",I128="",O128="",O128="Unclassified"),"",IFERROR(INDEX(Settings!$E$5:$H$16,MATCH(I128,Settings!$D$5:$D$16,0),MATCH(O128,Settings!$E$4:$H$4,0)),"Check"))</f>
        <v/>
      </c>
      <c r="W128">
        <f>IF(V128="","",IF(V128="No","Yes","No"))</f>
        <v/>
      </c>
      <c r="X128">
        <f>IF(OR(E128="",G128=""),"",IF(LOWER(IF(RIGHT(TRIM(E128),1)="/",LEFT(TRIM(E128),LEN(TRIM(E128))-1),TRIM(E128)))&lt;&gt;LOWER(IF(RIGHT(TRIM(G128),1)="/",LEFT(TRIM(G128),LEN(TRIM(G128))-1),TRIM(G128))),"Yes","No"))</f>
        <v/>
      </c>
      <c r="Y128">
        <f>IF(A128="","",(N(Q128)&gt;0)+(T128="Yes")+(U128="Yes")+(W128="Yes")+(X128="Yes"))</f>
        <v/>
      </c>
      <c r="Z128">
        <f>IF(A128="","",IF(G128="","Not mapped",IF(Y128=0,"OK",MID(IF(N(Q128)&gt;0,"; Cannibalisation","")&amp;IF(T128="Yes","; Too many primary keywords on URL","")&amp;IF(U128="Yes","; URL spans 2+ clusters","")&amp;IF(W128="Yes","; Intent mismatch","")&amp;IF(X128="Yes","; Ranking URL is not the target",""),3,300))))</f>
        <v/>
      </c>
      <c r="AA128">
        <f>IF(G128="","",IF(COUNTIF($G$3:G128,SUBSTITUTE(SUBSTITUTE(G128,"?","~?"),"*","~*"))=1,MAX($AA$2:AA127)+1,""))</f>
        <v/>
      </c>
      <c r="AB128">
        <f>IF(B128="","",IF(COUNTIF($B$3:B128,SUBSTITUTE(SUBSTITUTE(B128,"?","~?"),"*","~*"))=1,MAX($AB$2:AB127)+1,""))</f>
        <v/>
      </c>
    </row>
    <row r="129">
      <c r="M129">
        <f>IF(A129="","",LOWER(TRIM(SUBSTITUTE(SUBSTITUTE(A129,"?",""),"*",""))))</f>
        <v/>
      </c>
      <c r="N129">
        <f>IF(M129="","",IF(SUMPRODUCT(ISNUMBER(SEARCH(" "&amp;Settings!$L$5:$L$124&amp;" "," "&amp;M129&amp;" "))*(Settings!$K$5:$K$124="Navigational")*(Settings!$L$5:$L$124&lt;&gt;""))&gt;0,"Navigational",IF(SUMPRODUCT(ISNUMBER(SEARCH(" "&amp;Settings!$L$5:$L$124&amp;" "," "&amp;M129&amp;" "))*(Settings!$K$5:$K$124="Transactional")*(Settings!$L$5:$L$124&lt;&gt;""))&gt;0,"Transactional",IF(SUMPRODUCT(ISNUMBER(SEARCH(" "&amp;Settings!$L$5:$L$124&amp;" "," "&amp;M129&amp;" "))*(Settings!$K$5:$K$124="Commercial")*(Settings!$L$5:$L$124&lt;&gt;""))&gt;0,"Commercial",IF(SUMPRODUCT(ISNUMBER(SEARCH(" "&amp;Settings!$L$5:$L$124&amp;" "," "&amp;M129&amp;" "))*(Settings!$K$5:$K$124="Informational")*(Settings!$L$5:$L$124&lt;&gt;""))&gt;0,"Informational","Unclassified")))))</f>
        <v/>
      </c>
      <c r="O129">
        <f>IF(A129="","",IF(K129&lt;&gt;"",PROPER(K129),N129))</f>
        <v/>
      </c>
      <c r="P129">
        <f>IF(A129="","",ROUND(Settings!$B$5*MIN(1,LOG10(N(C129)+1)/LOG10(Settings!$B$7+1))+Settings!$B$6*(1-MIN(100,IF(D129="",50,N(D129)))/100)+IFERROR(INDEX(Settings!$B$10:$B$14,MATCH(O129,Settings!$A$10:$A$14,0)),0),0))</f>
        <v/>
      </c>
      <c r="Q129">
        <f>IF(OR(A129="",G129=""),"",COUNTIFS($M$3:$M$1002,M129,$G$3:$G$1002,"&lt;&gt;"&amp;SUBSTITUTE(SUBSTITUTE(G129,"?","~?"),"*","~*"),$G$3:$G$1002,"?*"))</f>
        <v/>
      </c>
      <c r="R129">
        <f>IF(Q129="","",IF(Q129&gt;0,"Yes","No"))</f>
        <v/>
      </c>
      <c r="S129">
        <f>IF(G129="","",COUNTIFS($G$3:$G$1002,SUBSTITUTE(SUBSTITUTE(G129,"?","~?"),"*","~*"),$J$3:$J$1002,"Primary"))</f>
        <v/>
      </c>
      <c r="T129">
        <f>IF(S129="","",IF(S129&gt;Settings!$B$4,"Yes","No"))</f>
        <v/>
      </c>
      <c r="U129">
        <f>IF(OR(G129="",B129=""),"",IF(COUNTIFS($G$3:$G$1002,SUBSTITUTE(SUBSTITUTE(G129,"?","~?"),"*","~*"),$B$3:$B$1002,"&lt;&gt;"&amp;SUBSTITUTE(SUBSTITUTE(B129,"?","~?"),"*","~*"),$B$3:$B$1002,"?*")&gt;0,"Yes","No"))</f>
        <v/>
      </c>
      <c r="V129">
        <f>IF(OR(G129="",I129="",O129="",O129="Unclassified"),"",IFERROR(INDEX(Settings!$E$5:$H$16,MATCH(I129,Settings!$D$5:$D$16,0),MATCH(O129,Settings!$E$4:$H$4,0)),"Check"))</f>
        <v/>
      </c>
      <c r="W129">
        <f>IF(V129="","",IF(V129="No","Yes","No"))</f>
        <v/>
      </c>
      <c r="X129">
        <f>IF(OR(E129="",G129=""),"",IF(LOWER(IF(RIGHT(TRIM(E129),1)="/",LEFT(TRIM(E129),LEN(TRIM(E129))-1),TRIM(E129)))&lt;&gt;LOWER(IF(RIGHT(TRIM(G129),1)="/",LEFT(TRIM(G129),LEN(TRIM(G129))-1),TRIM(G129))),"Yes","No"))</f>
        <v/>
      </c>
      <c r="Y129">
        <f>IF(A129="","",(N(Q129)&gt;0)+(T129="Yes")+(U129="Yes")+(W129="Yes")+(X129="Yes"))</f>
        <v/>
      </c>
      <c r="Z129">
        <f>IF(A129="","",IF(G129="","Not mapped",IF(Y129=0,"OK",MID(IF(N(Q129)&gt;0,"; Cannibalisation","")&amp;IF(T129="Yes","; Too many primary keywords on URL","")&amp;IF(U129="Yes","; URL spans 2+ clusters","")&amp;IF(W129="Yes","; Intent mismatch","")&amp;IF(X129="Yes","; Ranking URL is not the target",""),3,300))))</f>
        <v/>
      </c>
      <c r="AA129">
        <f>IF(G129="","",IF(COUNTIF($G$3:G129,SUBSTITUTE(SUBSTITUTE(G129,"?","~?"),"*","~*"))=1,MAX($AA$2:AA128)+1,""))</f>
        <v/>
      </c>
      <c r="AB129">
        <f>IF(B129="","",IF(COUNTIF($B$3:B129,SUBSTITUTE(SUBSTITUTE(B129,"?","~?"),"*","~*"))=1,MAX($AB$2:AB128)+1,""))</f>
        <v/>
      </c>
    </row>
    <row r="130">
      <c r="M130">
        <f>IF(A130="","",LOWER(TRIM(SUBSTITUTE(SUBSTITUTE(A130,"?",""),"*",""))))</f>
        <v/>
      </c>
      <c r="N130">
        <f>IF(M130="","",IF(SUMPRODUCT(ISNUMBER(SEARCH(" "&amp;Settings!$L$5:$L$124&amp;" "," "&amp;M130&amp;" "))*(Settings!$K$5:$K$124="Navigational")*(Settings!$L$5:$L$124&lt;&gt;""))&gt;0,"Navigational",IF(SUMPRODUCT(ISNUMBER(SEARCH(" "&amp;Settings!$L$5:$L$124&amp;" "," "&amp;M130&amp;" "))*(Settings!$K$5:$K$124="Transactional")*(Settings!$L$5:$L$124&lt;&gt;""))&gt;0,"Transactional",IF(SUMPRODUCT(ISNUMBER(SEARCH(" "&amp;Settings!$L$5:$L$124&amp;" "," "&amp;M130&amp;" "))*(Settings!$K$5:$K$124="Commercial")*(Settings!$L$5:$L$124&lt;&gt;""))&gt;0,"Commercial",IF(SUMPRODUCT(ISNUMBER(SEARCH(" "&amp;Settings!$L$5:$L$124&amp;" "," "&amp;M130&amp;" "))*(Settings!$K$5:$K$124="Informational")*(Settings!$L$5:$L$124&lt;&gt;""))&gt;0,"Informational","Unclassified")))))</f>
        <v/>
      </c>
      <c r="O130">
        <f>IF(A130="","",IF(K130&lt;&gt;"",PROPER(K130),N130))</f>
        <v/>
      </c>
      <c r="P130">
        <f>IF(A130="","",ROUND(Settings!$B$5*MIN(1,LOG10(N(C130)+1)/LOG10(Settings!$B$7+1))+Settings!$B$6*(1-MIN(100,IF(D130="",50,N(D130)))/100)+IFERROR(INDEX(Settings!$B$10:$B$14,MATCH(O130,Settings!$A$10:$A$14,0)),0),0))</f>
        <v/>
      </c>
      <c r="Q130">
        <f>IF(OR(A130="",G130=""),"",COUNTIFS($M$3:$M$1002,M130,$G$3:$G$1002,"&lt;&gt;"&amp;SUBSTITUTE(SUBSTITUTE(G130,"?","~?"),"*","~*"),$G$3:$G$1002,"?*"))</f>
        <v/>
      </c>
      <c r="R130">
        <f>IF(Q130="","",IF(Q130&gt;0,"Yes","No"))</f>
        <v/>
      </c>
      <c r="S130">
        <f>IF(G130="","",COUNTIFS($G$3:$G$1002,SUBSTITUTE(SUBSTITUTE(G130,"?","~?"),"*","~*"),$J$3:$J$1002,"Primary"))</f>
        <v/>
      </c>
      <c r="T130">
        <f>IF(S130="","",IF(S130&gt;Settings!$B$4,"Yes","No"))</f>
        <v/>
      </c>
      <c r="U130">
        <f>IF(OR(G130="",B130=""),"",IF(COUNTIFS($G$3:$G$1002,SUBSTITUTE(SUBSTITUTE(G130,"?","~?"),"*","~*"),$B$3:$B$1002,"&lt;&gt;"&amp;SUBSTITUTE(SUBSTITUTE(B130,"?","~?"),"*","~*"),$B$3:$B$1002,"?*")&gt;0,"Yes","No"))</f>
        <v/>
      </c>
      <c r="V130">
        <f>IF(OR(G130="",I130="",O130="",O130="Unclassified"),"",IFERROR(INDEX(Settings!$E$5:$H$16,MATCH(I130,Settings!$D$5:$D$16,0),MATCH(O130,Settings!$E$4:$H$4,0)),"Check"))</f>
        <v/>
      </c>
      <c r="W130">
        <f>IF(V130="","",IF(V130="No","Yes","No"))</f>
        <v/>
      </c>
      <c r="X130">
        <f>IF(OR(E130="",G130=""),"",IF(LOWER(IF(RIGHT(TRIM(E130),1)="/",LEFT(TRIM(E130),LEN(TRIM(E130))-1),TRIM(E130)))&lt;&gt;LOWER(IF(RIGHT(TRIM(G130),1)="/",LEFT(TRIM(G130),LEN(TRIM(G130))-1),TRIM(G130))),"Yes","No"))</f>
        <v/>
      </c>
      <c r="Y130">
        <f>IF(A130="","",(N(Q130)&gt;0)+(T130="Yes")+(U130="Yes")+(W130="Yes")+(X130="Yes"))</f>
        <v/>
      </c>
      <c r="Z130">
        <f>IF(A130="","",IF(G130="","Not mapped",IF(Y130=0,"OK",MID(IF(N(Q130)&gt;0,"; Cannibalisation","")&amp;IF(T130="Yes","; Too many primary keywords on URL","")&amp;IF(U130="Yes","; URL spans 2+ clusters","")&amp;IF(W130="Yes","; Intent mismatch","")&amp;IF(X130="Yes","; Ranking URL is not the target",""),3,300))))</f>
        <v/>
      </c>
      <c r="AA130">
        <f>IF(G130="","",IF(COUNTIF($G$3:G130,SUBSTITUTE(SUBSTITUTE(G130,"?","~?"),"*","~*"))=1,MAX($AA$2:AA129)+1,""))</f>
        <v/>
      </c>
      <c r="AB130">
        <f>IF(B130="","",IF(COUNTIF($B$3:B130,SUBSTITUTE(SUBSTITUTE(B130,"?","~?"),"*","~*"))=1,MAX($AB$2:AB129)+1,""))</f>
        <v/>
      </c>
    </row>
    <row r="131">
      <c r="M131">
        <f>IF(A131="","",LOWER(TRIM(SUBSTITUTE(SUBSTITUTE(A131,"?",""),"*",""))))</f>
        <v/>
      </c>
      <c r="N131">
        <f>IF(M131="","",IF(SUMPRODUCT(ISNUMBER(SEARCH(" "&amp;Settings!$L$5:$L$124&amp;" "," "&amp;M131&amp;" "))*(Settings!$K$5:$K$124="Navigational")*(Settings!$L$5:$L$124&lt;&gt;""))&gt;0,"Navigational",IF(SUMPRODUCT(ISNUMBER(SEARCH(" "&amp;Settings!$L$5:$L$124&amp;" "," "&amp;M131&amp;" "))*(Settings!$K$5:$K$124="Transactional")*(Settings!$L$5:$L$124&lt;&gt;""))&gt;0,"Transactional",IF(SUMPRODUCT(ISNUMBER(SEARCH(" "&amp;Settings!$L$5:$L$124&amp;" "," "&amp;M131&amp;" "))*(Settings!$K$5:$K$124="Commercial")*(Settings!$L$5:$L$124&lt;&gt;""))&gt;0,"Commercial",IF(SUMPRODUCT(ISNUMBER(SEARCH(" "&amp;Settings!$L$5:$L$124&amp;" "," "&amp;M131&amp;" "))*(Settings!$K$5:$K$124="Informational")*(Settings!$L$5:$L$124&lt;&gt;""))&gt;0,"Informational","Unclassified")))))</f>
        <v/>
      </c>
      <c r="O131">
        <f>IF(A131="","",IF(K131&lt;&gt;"",PROPER(K131),N131))</f>
        <v/>
      </c>
      <c r="P131">
        <f>IF(A131="","",ROUND(Settings!$B$5*MIN(1,LOG10(N(C131)+1)/LOG10(Settings!$B$7+1))+Settings!$B$6*(1-MIN(100,IF(D131="",50,N(D131)))/100)+IFERROR(INDEX(Settings!$B$10:$B$14,MATCH(O131,Settings!$A$10:$A$14,0)),0),0))</f>
        <v/>
      </c>
      <c r="Q131">
        <f>IF(OR(A131="",G131=""),"",COUNTIFS($M$3:$M$1002,M131,$G$3:$G$1002,"&lt;&gt;"&amp;SUBSTITUTE(SUBSTITUTE(G131,"?","~?"),"*","~*"),$G$3:$G$1002,"?*"))</f>
        <v/>
      </c>
      <c r="R131">
        <f>IF(Q131="","",IF(Q131&gt;0,"Yes","No"))</f>
        <v/>
      </c>
      <c r="S131">
        <f>IF(G131="","",COUNTIFS($G$3:$G$1002,SUBSTITUTE(SUBSTITUTE(G131,"?","~?"),"*","~*"),$J$3:$J$1002,"Primary"))</f>
        <v/>
      </c>
      <c r="T131">
        <f>IF(S131="","",IF(S131&gt;Settings!$B$4,"Yes","No"))</f>
        <v/>
      </c>
      <c r="U131">
        <f>IF(OR(G131="",B131=""),"",IF(COUNTIFS($G$3:$G$1002,SUBSTITUTE(SUBSTITUTE(G131,"?","~?"),"*","~*"),$B$3:$B$1002,"&lt;&gt;"&amp;SUBSTITUTE(SUBSTITUTE(B131,"?","~?"),"*","~*"),$B$3:$B$1002,"?*")&gt;0,"Yes","No"))</f>
        <v/>
      </c>
      <c r="V131">
        <f>IF(OR(G131="",I131="",O131="",O131="Unclassified"),"",IFERROR(INDEX(Settings!$E$5:$H$16,MATCH(I131,Settings!$D$5:$D$16,0),MATCH(O131,Settings!$E$4:$H$4,0)),"Check"))</f>
        <v/>
      </c>
      <c r="W131">
        <f>IF(V131="","",IF(V131="No","Yes","No"))</f>
        <v/>
      </c>
      <c r="X131">
        <f>IF(OR(E131="",G131=""),"",IF(LOWER(IF(RIGHT(TRIM(E131),1)="/",LEFT(TRIM(E131),LEN(TRIM(E131))-1),TRIM(E131)))&lt;&gt;LOWER(IF(RIGHT(TRIM(G131),1)="/",LEFT(TRIM(G131),LEN(TRIM(G131))-1),TRIM(G131))),"Yes","No"))</f>
        <v/>
      </c>
      <c r="Y131">
        <f>IF(A131="","",(N(Q131)&gt;0)+(T131="Yes")+(U131="Yes")+(W131="Yes")+(X131="Yes"))</f>
        <v/>
      </c>
      <c r="Z131">
        <f>IF(A131="","",IF(G131="","Not mapped",IF(Y131=0,"OK",MID(IF(N(Q131)&gt;0,"; Cannibalisation","")&amp;IF(T131="Yes","; Too many primary keywords on URL","")&amp;IF(U131="Yes","; URL spans 2+ clusters","")&amp;IF(W131="Yes","; Intent mismatch","")&amp;IF(X131="Yes","; Ranking URL is not the target",""),3,300))))</f>
        <v/>
      </c>
      <c r="AA131">
        <f>IF(G131="","",IF(COUNTIF($G$3:G131,SUBSTITUTE(SUBSTITUTE(G131,"?","~?"),"*","~*"))=1,MAX($AA$2:AA130)+1,""))</f>
        <v/>
      </c>
      <c r="AB131">
        <f>IF(B131="","",IF(COUNTIF($B$3:B131,SUBSTITUTE(SUBSTITUTE(B131,"?","~?"),"*","~*"))=1,MAX($AB$2:AB130)+1,""))</f>
        <v/>
      </c>
    </row>
    <row r="132">
      <c r="M132">
        <f>IF(A132="","",LOWER(TRIM(SUBSTITUTE(SUBSTITUTE(A132,"?",""),"*",""))))</f>
        <v/>
      </c>
      <c r="N132">
        <f>IF(M132="","",IF(SUMPRODUCT(ISNUMBER(SEARCH(" "&amp;Settings!$L$5:$L$124&amp;" "," "&amp;M132&amp;" "))*(Settings!$K$5:$K$124="Navigational")*(Settings!$L$5:$L$124&lt;&gt;""))&gt;0,"Navigational",IF(SUMPRODUCT(ISNUMBER(SEARCH(" "&amp;Settings!$L$5:$L$124&amp;" "," "&amp;M132&amp;" "))*(Settings!$K$5:$K$124="Transactional")*(Settings!$L$5:$L$124&lt;&gt;""))&gt;0,"Transactional",IF(SUMPRODUCT(ISNUMBER(SEARCH(" "&amp;Settings!$L$5:$L$124&amp;" "," "&amp;M132&amp;" "))*(Settings!$K$5:$K$124="Commercial")*(Settings!$L$5:$L$124&lt;&gt;""))&gt;0,"Commercial",IF(SUMPRODUCT(ISNUMBER(SEARCH(" "&amp;Settings!$L$5:$L$124&amp;" "," "&amp;M132&amp;" "))*(Settings!$K$5:$K$124="Informational")*(Settings!$L$5:$L$124&lt;&gt;""))&gt;0,"Informational","Unclassified")))))</f>
        <v/>
      </c>
      <c r="O132">
        <f>IF(A132="","",IF(K132&lt;&gt;"",PROPER(K132),N132))</f>
        <v/>
      </c>
      <c r="P132">
        <f>IF(A132="","",ROUND(Settings!$B$5*MIN(1,LOG10(N(C132)+1)/LOG10(Settings!$B$7+1))+Settings!$B$6*(1-MIN(100,IF(D132="",50,N(D132)))/100)+IFERROR(INDEX(Settings!$B$10:$B$14,MATCH(O132,Settings!$A$10:$A$14,0)),0),0))</f>
        <v/>
      </c>
      <c r="Q132">
        <f>IF(OR(A132="",G132=""),"",COUNTIFS($M$3:$M$1002,M132,$G$3:$G$1002,"&lt;&gt;"&amp;SUBSTITUTE(SUBSTITUTE(G132,"?","~?"),"*","~*"),$G$3:$G$1002,"?*"))</f>
        <v/>
      </c>
      <c r="R132">
        <f>IF(Q132="","",IF(Q132&gt;0,"Yes","No"))</f>
        <v/>
      </c>
      <c r="S132">
        <f>IF(G132="","",COUNTIFS($G$3:$G$1002,SUBSTITUTE(SUBSTITUTE(G132,"?","~?"),"*","~*"),$J$3:$J$1002,"Primary"))</f>
        <v/>
      </c>
      <c r="T132">
        <f>IF(S132="","",IF(S132&gt;Settings!$B$4,"Yes","No"))</f>
        <v/>
      </c>
      <c r="U132">
        <f>IF(OR(G132="",B132=""),"",IF(COUNTIFS($G$3:$G$1002,SUBSTITUTE(SUBSTITUTE(G132,"?","~?"),"*","~*"),$B$3:$B$1002,"&lt;&gt;"&amp;SUBSTITUTE(SUBSTITUTE(B132,"?","~?"),"*","~*"),$B$3:$B$1002,"?*")&gt;0,"Yes","No"))</f>
        <v/>
      </c>
      <c r="V132">
        <f>IF(OR(G132="",I132="",O132="",O132="Unclassified"),"",IFERROR(INDEX(Settings!$E$5:$H$16,MATCH(I132,Settings!$D$5:$D$16,0),MATCH(O132,Settings!$E$4:$H$4,0)),"Check"))</f>
        <v/>
      </c>
      <c r="W132">
        <f>IF(V132="","",IF(V132="No","Yes","No"))</f>
        <v/>
      </c>
      <c r="X132">
        <f>IF(OR(E132="",G132=""),"",IF(LOWER(IF(RIGHT(TRIM(E132),1)="/",LEFT(TRIM(E132),LEN(TRIM(E132))-1),TRIM(E132)))&lt;&gt;LOWER(IF(RIGHT(TRIM(G132),1)="/",LEFT(TRIM(G132),LEN(TRIM(G132))-1),TRIM(G132))),"Yes","No"))</f>
        <v/>
      </c>
      <c r="Y132">
        <f>IF(A132="","",(N(Q132)&gt;0)+(T132="Yes")+(U132="Yes")+(W132="Yes")+(X132="Yes"))</f>
        <v/>
      </c>
      <c r="Z132">
        <f>IF(A132="","",IF(G132="","Not mapped",IF(Y132=0,"OK",MID(IF(N(Q132)&gt;0,"; Cannibalisation","")&amp;IF(T132="Yes","; Too many primary keywords on URL","")&amp;IF(U132="Yes","; URL spans 2+ clusters","")&amp;IF(W132="Yes","; Intent mismatch","")&amp;IF(X132="Yes","; Ranking URL is not the target",""),3,300))))</f>
        <v/>
      </c>
      <c r="AA132">
        <f>IF(G132="","",IF(COUNTIF($G$3:G132,SUBSTITUTE(SUBSTITUTE(G132,"?","~?"),"*","~*"))=1,MAX($AA$2:AA131)+1,""))</f>
        <v/>
      </c>
      <c r="AB132">
        <f>IF(B132="","",IF(COUNTIF($B$3:B132,SUBSTITUTE(SUBSTITUTE(B132,"?","~?"),"*","~*"))=1,MAX($AB$2:AB131)+1,""))</f>
        <v/>
      </c>
    </row>
    <row r="133">
      <c r="M133">
        <f>IF(A133="","",LOWER(TRIM(SUBSTITUTE(SUBSTITUTE(A133,"?",""),"*",""))))</f>
        <v/>
      </c>
      <c r="N133">
        <f>IF(M133="","",IF(SUMPRODUCT(ISNUMBER(SEARCH(" "&amp;Settings!$L$5:$L$124&amp;" "," "&amp;M133&amp;" "))*(Settings!$K$5:$K$124="Navigational")*(Settings!$L$5:$L$124&lt;&gt;""))&gt;0,"Navigational",IF(SUMPRODUCT(ISNUMBER(SEARCH(" "&amp;Settings!$L$5:$L$124&amp;" "," "&amp;M133&amp;" "))*(Settings!$K$5:$K$124="Transactional")*(Settings!$L$5:$L$124&lt;&gt;""))&gt;0,"Transactional",IF(SUMPRODUCT(ISNUMBER(SEARCH(" "&amp;Settings!$L$5:$L$124&amp;" "," "&amp;M133&amp;" "))*(Settings!$K$5:$K$124="Commercial")*(Settings!$L$5:$L$124&lt;&gt;""))&gt;0,"Commercial",IF(SUMPRODUCT(ISNUMBER(SEARCH(" "&amp;Settings!$L$5:$L$124&amp;" "," "&amp;M133&amp;" "))*(Settings!$K$5:$K$124="Informational")*(Settings!$L$5:$L$124&lt;&gt;""))&gt;0,"Informational","Unclassified")))))</f>
        <v/>
      </c>
      <c r="O133">
        <f>IF(A133="","",IF(K133&lt;&gt;"",PROPER(K133),N133))</f>
        <v/>
      </c>
      <c r="P133">
        <f>IF(A133="","",ROUND(Settings!$B$5*MIN(1,LOG10(N(C133)+1)/LOG10(Settings!$B$7+1))+Settings!$B$6*(1-MIN(100,IF(D133="",50,N(D133)))/100)+IFERROR(INDEX(Settings!$B$10:$B$14,MATCH(O133,Settings!$A$10:$A$14,0)),0),0))</f>
        <v/>
      </c>
      <c r="Q133">
        <f>IF(OR(A133="",G133=""),"",COUNTIFS($M$3:$M$1002,M133,$G$3:$G$1002,"&lt;&gt;"&amp;SUBSTITUTE(SUBSTITUTE(G133,"?","~?"),"*","~*"),$G$3:$G$1002,"?*"))</f>
        <v/>
      </c>
      <c r="R133">
        <f>IF(Q133="","",IF(Q133&gt;0,"Yes","No"))</f>
        <v/>
      </c>
      <c r="S133">
        <f>IF(G133="","",COUNTIFS($G$3:$G$1002,SUBSTITUTE(SUBSTITUTE(G133,"?","~?"),"*","~*"),$J$3:$J$1002,"Primary"))</f>
        <v/>
      </c>
      <c r="T133">
        <f>IF(S133="","",IF(S133&gt;Settings!$B$4,"Yes","No"))</f>
        <v/>
      </c>
      <c r="U133">
        <f>IF(OR(G133="",B133=""),"",IF(COUNTIFS($G$3:$G$1002,SUBSTITUTE(SUBSTITUTE(G133,"?","~?"),"*","~*"),$B$3:$B$1002,"&lt;&gt;"&amp;SUBSTITUTE(SUBSTITUTE(B133,"?","~?"),"*","~*"),$B$3:$B$1002,"?*")&gt;0,"Yes","No"))</f>
        <v/>
      </c>
      <c r="V133">
        <f>IF(OR(G133="",I133="",O133="",O133="Unclassified"),"",IFERROR(INDEX(Settings!$E$5:$H$16,MATCH(I133,Settings!$D$5:$D$16,0),MATCH(O133,Settings!$E$4:$H$4,0)),"Check"))</f>
        <v/>
      </c>
      <c r="W133">
        <f>IF(V133="","",IF(V133="No","Yes","No"))</f>
        <v/>
      </c>
      <c r="X133">
        <f>IF(OR(E133="",G133=""),"",IF(LOWER(IF(RIGHT(TRIM(E133),1)="/",LEFT(TRIM(E133),LEN(TRIM(E133))-1),TRIM(E133)))&lt;&gt;LOWER(IF(RIGHT(TRIM(G133),1)="/",LEFT(TRIM(G133),LEN(TRIM(G133))-1),TRIM(G133))),"Yes","No"))</f>
        <v/>
      </c>
      <c r="Y133">
        <f>IF(A133="","",(N(Q133)&gt;0)+(T133="Yes")+(U133="Yes")+(W133="Yes")+(X133="Yes"))</f>
        <v/>
      </c>
      <c r="Z133">
        <f>IF(A133="","",IF(G133="","Not mapped",IF(Y133=0,"OK",MID(IF(N(Q133)&gt;0,"; Cannibalisation","")&amp;IF(T133="Yes","; Too many primary keywords on URL","")&amp;IF(U133="Yes","; URL spans 2+ clusters","")&amp;IF(W133="Yes","; Intent mismatch","")&amp;IF(X133="Yes","; Ranking URL is not the target",""),3,300))))</f>
        <v/>
      </c>
      <c r="AA133">
        <f>IF(G133="","",IF(COUNTIF($G$3:G133,SUBSTITUTE(SUBSTITUTE(G133,"?","~?"),"*","~*"))=1,MAX($AA$2:AA132)+1,""))</f>
        <v/>
      </c>
      <c r="AB133">
        <f>IF(B133="","",IF(COUNTIF($B$3:B133,SUBSTITUTE(SUBSTITUTE(B133,"?","~?"),"*","~*"))=1,MAX($AB$2:AB132)+1,""))</f>
        <v/>
      </c>
    </row>
    <row r="134">
      <c r="M134">
        <f>IF(A134="","",LOWER(TRIM(SUBSTITUTE(SUBSTITUTE(A134,"?",""),"*",""))))</f>
        <v/>
      </c>
      <c r="N134">
        <f>IF(M134="","",IF(SUMPRODUCT(ISNUMBER(SEARCH(" "&amp;Settings!$L$5:$L$124&amp;" "," "&amp;M134&amp;" "))*(Settings!$K$5:$K$124="Navigational")*(Settings!$L$5:$L$124&lt;&gt;""))&gt;0,"Navigational",IF(SUMPRODUCT(ISNUMBER(SEARCH(" "&amp;Settings!$L$5:$L$124&amp;" "," "&amp;M134&amp;" "))*(Settings!$K$5:$K$124="Transactional")*(Settings!$L$5:$L$124&lt;&gt;""))&gt;0,"Transactional",IF(SUMPRODUCT(ISNUMBER(SEARCH(" "&amp;Settings!$L$5:$L$124&amp;" "," "&amp;M134&amp;" "))*(Settings!$K$5:$K$124="Commercial")*(Settings!$L$5:$L$124&lt;&gt;""))&gt;0,"Commercial",IF(SUMPRODUCT(ISNUMBER(SEARCH(" "&amp;Settings!$L$5:$L$124&amp;" "," "&amp;M134&amp;" "))*(Settings!$K$5:$K$124="Informational")*(Settings!$L$5:$L$124&lt;&gt;""))&gt;0,"Informational","Unclassified")))))</f>
        <v/>
      </c>
      <c r="O134">
        <f>IF(A134="","",IF(K134&lt;&gt;"",PROPER(K134),N134))</f>
        <v/>
      </c>
      <c r="P134">
        <f>IF(A134="","",ROUND(Settings!$B$5*MIN(1,LOG10(N(C134)+1)/LOG10(Settings!$B$7+1))+Settings!$B$6*(1-MIN(100,IF(D134="",50,N(D134)))/100)+IFERROR(INDEX(Settings!$B$10:$B$14,MATCH(O134,Settings!$A$10:$A$14,0)),0),0))</f>
        <v/>
      </c>
      <c r="Q134">
        <f>IF(OR(A134="",G134=""),"",COUNTIFS($M$3:$M$1002,M134,$G$3:$G$1002,"&lt;&gt;"&amp;SUBSTITUTE(SUBSTITUTE(G134,"?","~?"),"*","~*"),$G$3:$G$1002,"?*"))</f>
        <v/>
      </c>
      <c r="R134">
        <f>IF(Q134="","",IF(Q134&gt;0,"Yes","No"))</f>
        <v/>
      </c>
      <c r="S134">
        <f>IF(G134="","",COUNTIFS($G$3:$G$1002,SUBSTITUTE(SUBSTITUTE(G134,"?","~?"),"*","~*"),$J$3:$J$1002,"Primary"))</f>
        <v/>
      </c>
      <c r="T134">
        <f>IF(S134="","",IF(S134&gt;Settings!$B$4,"Yes","No"))</f>
        <v/>
      </c>
      <c r="U134">
        <f>IF(OR(G134="",B134=""),"",IF(COUNTIFS($G$3:$G$1002,SUBSTITUTE(SUBSTITUTE(G134,"?","~?"),"*","~*"),$B$3:$B$1002,"&lt;&gt;"&amp;SUBSTITUTE(SUBSTITUTE(B134,"?","~?"),"*","~*"),$B$3:$B$1002,"?*")&gt;0,"Yes","No"))</f>
        <v/>
      </c>
      <c r="V134">
        <f>IF(OR(G134="",I134="",O134="",O134="Unclassified"),"",IFERROR(INDEX(Settings!$E$5:$H$16,MATCH(I134,Settings!$D$5:$D$16,0),MATCH(O134,Settings!$E$4:$H$4,0)),"Check"))</f>
        <v/>
      </c>
      <c r="W134">
        <f>IF(V134="","",IF(V134="No","Yes","No"))</f>
        <v/>
      </c>
      <c r="X134">
        <f>IF(OR(E134="",G134=""),"",IF(LOWER(IF(RIGHT(TRIM(E134),1)="/",LEFT(TRIM(E134),LEN(TRIM(E134))-1),TRIM(E134)))&lt;&gt;LOWER(IF(RIGHT(TRIM(G134),1)="/",LEFT(TRIM(G134),LEN(TRIM(G134))-1),TRIM(G134))),"Yes","No"))</f>
        <v/>
      </c>
      <c r="Y134">
        <f>IF(A134="","",(N(Q134)&gt;0)+(T134="Yes")+(U134="Yes")+(W134="Yes")+(X134="Yes"))</f>
        <v/>
      </c>
      <c r="Z134">
        <f>IF(A134="","",IF(G134="","Not mapped",IF(Y134=0,"OK",MID(IF(N(Q134)&gt;0,"; Cannibalisation","")&amp;IF(T134="Yes","; Too many primary keywords on URL","")&amp;IF(U134="Yes","; URL spans 2+ clusters","")&amp;IF(W134="Yes","; Intent mismatch","")&amp;IF(X134="Yes","; Ranking URL is not the target",""),3,300))))</f>
        <v/>
      </c>
      <c r="AA134">
        <f>IF(G134="","",IF(COUNTIF($G$3:G134,SUBSTITUTE(SUBSTITUTE(G134,"?","~?"),"*","~*"))=1,MAX($AA$2:AA133)+1,""))</f>
        <v/>
      </c>
      <c r="AB134">
        <f>IF(B134="","",IF(COUNTIF($B$3:B134,SUBSTITUTE(SUBSTITUTE(B134,"?","~?"),"*","~*"))=1,MAX($AB$2:AB133)+1,""))</f>
        <v/>
      </c>
    </row>
    <row r="135">
      <c r="M135">
        <f>IF(A135="","",LOWER(TRIM(SUBSTITUTE(SUBSTITUTE(A135,"?",""),"*",""))))</f>
        <v/>
      </c>
      <c r="N135">
        <f>IF(M135="","",IF(SUMPRODUCT(ISNUMBER(SEARCH(" "&amp;Settings!$L$5:$L$124&amp;" "," "&amp;M135&amp;" "))*(Settings!$K$5:$K$124="Navigational")*(Settings!$L$5:$L$124&lt;&gt;""))&gt;0,"Navigational",IF(SUMPRODUCT(ISNUMBER(SEARCH(" "&amp;Settings!$L$5:$L$124&amp;" "," "&amp;M135&amp;" "))*(Settings!$K$5:$K$124="Transactional")*(Settings!$L$5:$L$124&lt;&gt;""))&gt;0,"Transactional",IF(SUMPRODUCT(ISNUMBER(SEARCH(" "&amp;Settings!$L$5:$L$124&amp;" "," "&amp;M135&amp;" "))*(Settings!$K$5:$K$124="Commercial")*(Settings!$L$5:$L$124&lt;&gt;""))&gt;0,"Commercial",IF(SUMPRODUCT(ISNUMBER(SEARCH(" "&amp;Settings!$L$5:$L$124&amp;" "," "&amp;M135&amp;" "))*(Settings!$K$5:$K$124="Informational")*(Settings!$L$5:$L$124&lt;&gt;""))&gt;0,"Informational","Unclassified")))))</f>
        <v/>
      </c>
      <c r="O135">
        <f>IF(A135="","",IF(K135&lt;&gt;"",PROPER(K135),N135))</f>
        <v/>
      </c>
      <c r="P135">
        <f>IF(A135="","",ROUND(Settings!$B$5*MIN(1,LOG10(N(C135)+1)/LOG10(Settings!$B$7+1))+Settings!$B$6*(1-MIN(100,IF(D135="",50,N(D135)))/100)+IFERROR(INDEX(Settings!$B$10:$B$14,MATCH(O135,Settings!$A$10:$A$14,0)),0),0))</f>
        <v/>
      </c>
      <c r="Q135">
        <f>IF(OR(A135="",G135=""),"",COUNTIFS($M$3:$M$1002,M135,$G$3:$G$1002,"&lt;&gt;"&amp;SUBSTITUTE(SUBSTITUTE(G135,"?","~?"),"*","~*"),$G$3:$G$1002,"?*"))</f>
        <v/>
      </c>
      <c r="R135">
        <f>IF(Q135="","",IF(Q135&gt;0,"Yes","No"))</f>
        <v/>
      </c>
      <c r="S135">
        <f>IF(G135="","",COUNTIFS($G$3:$G$1002,SUBSTITUTE(SUBSTITUTE(G135,"?","~?"),"*","~*"),$J$3:$J$1002,"Primary"))</f>
        <v/>
      </c>
      <c r="T135">
        <f>IF(S135="","",IF(S135&gt;Settings!$B$4,"Yes","No"))</f>
        <v/>
      </c>
      <c r="U135">
        <f>IF(OR(G135="",B135=""),"",IF(COUNTIFS($G$3:$G$1002,SUBSTITUTE(SUBSTITUTE(G135,"?","~?"),"*","~*"),$B$3:$B$1002,"&lt;&gt;"&amp;SUBSTITUTE(SUBSTITUTE(B135,"?","~?"),"*","~*"),$B$3:$B$1002,"?*")&gt;0,"Yes","No"))</f>
        <v/>
      </c>
      <c r="V135">
        <f>IF(OR(G135="",I135="",O135="",O135="Unclassified"),"",IFERROR(INDEX(Settings!$E$5:$H$16,MATCH(I135,Settings!$D$5:$D$16,0),MATCH(O135,Settings!$E$4:$H$4,0)),"Check"))</f>
        <v/>
      </c>
      <c r="W135">
        <f>IF(V135="","",IF(V135="No","Yes","No"))</f>
        <v/>
      </c>
      <c r="X135">
        <f>IF(OR(E135="",G135=""),"",IF(LOWER(IF(RIGHT(TRIM(E135),1)="/",LEFT(TRIM(E135),LEN(TRIM(E135))-1),TRIM(E135)))&lt;&gt;LOWER(IF(RIGHT(TRIM(G135),1)="/",LEFT(TRIM(G135),LEN(TRIM(G135))-1),TRIM(G135))),"Yes","No"))</f>
        <v/>
      </c>
      <c r="Y135">
        <f>IF(A135="","",(N(Q135)&gt;0)+(T135="Yes")+(U135="Yes")+(W135="Yes")+(X135="Yes"))</f>
        <v/>
      </c>
      <c r="Z135">
        <f>IF(A135="","",IF(G135="","Not mapped",IF(Y135=0,"OK",MID(IF(N(Q135)&gt;0,"; Cannibalisation","")&amp;IF(T135="Yes","; Too many primary keywords on URL","")&amp;IF(U135="Yes","; URL spans 2+ clusters","")&amp;IF(W135="Yes","; Intent mismatch","")&amp;IF(X135="Yes","; Ranking URL is not the target",""),3,300))))</f>
        <v/>
      </c>
      <c r="AA135">
        <f>IF(G135="","",IF(COUNTIF($G$3:G135,SUBSTITUTE(SUBSTITUTE(G135,"?","~?"),"*","~*"))=1,MAX($AA$2:AA134)+1,""))</f>
        <v/>
      </c>
      <c r="AB135">
        <f>IF(B135="","",IF(COUNTIF($B$3:B135,SUBSTITUTE(SUBSTITUTE(B135,"?","~?"),"*","~*"))=1,MAX($AB$2:AB134)+1,""))</f>
        <v/>
      </c>
    </row>
    <row r="136">
      <c r="M136">
        <f>IF(A136="","",LOWER(TRIM(SUBSTITUTE(SUBSTITUTE(A136,"?",""),"*",""))))</f>
        <v/>
      </c>
      <c r="N136">
        <f>IF(M136="","",IF(SUMPRODUCT(ISNUMBER(SEARCH(" "&amp;Settings!$L$5:$L$124&amp;" "," "&amp;M136&amp;" "))*(Settings!$K$5:$K$124="Navigational")*(Settings!$L$5:$L$124&lt;&gt;""))&gt;0,"Navigational",IF(SUMPRODUCT(ISNUMBER(SEARCH(" "&amp;Settings!$L$5:$L$124&amp;" "," "&amp;M136&amp;" "))*(Settings!$K$5:$K$124="Transactional")*(Settings!$L$5:$L$124&lt;&gt;""))&gt;0,"Transactional",IF(SUMPRODUCT(ISNUMBER(SEARCH(" "&amp;Settings!$L$5:$L$124&amp;" "," "&amp;M136&amp;" "))*(Settings!$K$5:$K$124="Commercial")*(Settings!$L$5:$L$124&lt;&gt;""))&gt;0,"Commercial",IF(SUMPRODUCT(ISNUMBER(SEARCH(" "&amp;Settings!$L$5:$L$124&amp;" "," "&amp;M136&amp;" "))*(Settings!$K$5:$K$124="Informational")*(Settings!$L$5:$L$124&lt;&gt;""))&gt;0,"Informational","Unclassified")))))</f>
        <v/>
      </c>
      <c r="O136">
        <f>IF(A136="","",IF(K136&lt;&gt;"",PROPER(K136),N136))</f>
        <v/>
      </c>
      <c r="P136">
        <f>IF(A136="","",ROUND(Settings!$B$5*MIN(1,LOG10(N(C136)+1)/LOG10(Settings!$B$7+1))+Settings!$B$6*(1-MIN(100,IF(D136="",50,N(D136)))/100)+IFERROR(INDEX(Settings!$B$10:$B$14,MATCH(O136,Settings!$A$10:$A$14,0)),0),0))</f>
        <v/>
      </c>
      <c r="Q136">
        <f>IF(OR(A136="",G136=""),"",COUNTIFS($M$3:$M$1002,M136,$G$3:$G$1002,"&lt;&gt;"&amp;SUBSTITUTE(SUBSTITUTE(G136,"?","~?"),"*","~*"),$G$3:$G$1002,"?*"))</f>
        <v/>
      </c>
      <c r="R136">
        <f>IF(Q136="","",IF(Q136&gt;0,"Yes","No"))</f>
        <v/>
      </c>
      <c r="S136">
        <f>IF(G136="","",COUNTIFS($G$3:$G$1002,SUBSTITUTE(SUBSTITUTE(G136,"?","~?"),"*","~*"),$J$3:$J$1002,"Primary"))</f>
        <v/>
      </c>
      <c r="T136">
        <f>IF(S136="","",IF(S136&gt;Settings!$B$4,"Yes","No"))</f>
        <v/>
      </c>
      <c r="U136">
        <f>IF(OR(G136="",B136=""),"",IF(COUNTIFS($G$3:$G$1002,SUBSTITUTE(SUBSTITUTE(G136,"?","~?"),"*","~*"),$B$3:$B$1002,"&lt;&gt;"&amp;SUBSTITUTE(SUBSTITUTE(B136,"?","~?"),"*","~*"),$B$3:$B$1002,"?*")&gt;0,"Yes","No"))</f>
        <v/>
      </c>
      <c r="V136">
        <f>IF(OR(G136="",I136="",O136="",O136="Unclassified"),"",IFERROR(INDEX(Settings!$E$5:$H$16,MATCH(I136,Settings!$D$5:$D$16,0),MATCH(O136,Settings!$E$4:$H$4,0)),"Check"))</f>
        <v/>
      </c>
      <c r="W136">
        <f>IF(V136="","",IF(V136="No","Yes","No"))</f>
        <v/>
      </c>
      <c r="X136">
        <f>IF(OR(E136="",G136=""),"",IF(LOWER(IF(RIGHT(TRIM(E136),1)="/",LEFT(TRIM(E136),LEN(TRIM(E136))-1),TRIM(E136)))&lt;&gt;LOWER(IF(RIGHT(TRIM(G136),1)="/",LEFT(TRIM(G136),LEN(TRIM(G136))-1),TRIM(G136))),"Yes","No"))</f>
        <v/>
      </c>
      <c r="Y136">
        <f>IF(A136="","",(N(Q136)&gt;0)+(T136="Yes")+(U136="Yes")+(W136="Yes")+(X136="Yes"))</f>
        <v/>
      </c>
      <c r="Z136">
        <f>IF(A136="","",IF(G136="","Not mapped",IF(Y136=0,"OK",MID(IF(N(Q136)&gt;0,"; Cannibalisation","")&amp;IF(T136="Yes","; Too many primary keywords on URL","")&amp;IF(U136="Yes","; URL spans 2+ clusters","")&amp;IF(W136="Yes","; Intent mismatch","")&amp;IF(X136="Yes","; Ranking URL is not the target",""),3,300))))</f>
        <v/>
      </c>
      <c r="AA136">
        <f>IF(G136="","",IF(COUNTIF($G$3:G136,SUBSTITUTE(SUBSTITUTE(G136,"?","~?"),"*","~*"))=1,MAX($AA$2:AA135)+1,""))</f>
        <v/>
      </c>
      <c r="AB136">
        <f>IF(B136="","",IF(COUNTIF($B$3:B136,SUBSTITUTE(SUBSTITUTE(B136,"?","~?"),"*","~*"))=1,MAX($AB$2:AB135)+1,""))</f>
        <v/>
      </c>
    </row>
    <row r="137">
      <c r="M137">
        <f>IF(A137="","",LOWER(TRIM(SUBSTITUTE(SUBSTITUTE(A137,"?",""),"*",""))))</f>
        <v/>
      </c>
      <c r="N137">
        <f>IF(M137="","",IF(SUMPRODUCT(ISNUMBER(SEARCH(" "&amp;Settings!$L$5:$L$124&amp;" "," "&amp;M137&amp;" "))*(Settings!$K$5:$K$124="Navigational")*(Settings!$L$5:$L$124&lt;&gt;""))&gt;0,"Navigational",IF(SUMPRODUCT(ISNUMBER(SEARCH(" "&amp;Settings!$L$5:$L$124&amp;" "," "&amp;M137&amp;" "))*(Settings!$K$5:$K$124="Transactional")*(Settings!$L$5:$L$124&lt;&gt;""))&gt;0,"Transactional",IF(SUMPRODUCT(ISNUMBER(SEARCH(" "&amp;Settings!$L$5:$L$124&amp;" "," "&amp;M137&amp;" "))*(Settings!$K$5:$K$124="Commercial")*(Settings!$L$5:$L$124&lt;&gt;""))&gt;0,"Commercial",IF(SUMPRODUCT(ISNUMBER(SEARCH(" "&amp;Settings!$L$5:$L$124&amp;" "," "&amp;M137&amp;" "))*(Settings!$K$5:$K$124="Informational")*(Settings!$L$5:$L$124&lt;&gt;""))&gt;0,"Informational","Unclassified")))))</f>
        <v/>
      </c>
      <c r="O137">
        <f>IF(A137="","",IF(K137&lt;&gt;"",PROPER(K137),N137))</f>
        <v/>
      </c>
      <c r="P137">
        <f>IF(A137="","",ROUND(Settings!$B$5*MIN(1,LOG10(N(C137)+1)/LOG10(Settings!$B$7+1))+Settings!$B$6*(1-MIN(100,IF(D137="",50,N(D137)))/100)+IFERROR(INDEX(Settings!$B$10:$B$14,MATCH(O137,Settings!$A$10:$A$14,0)),0),0))</f>
        <v/>
      </c>
      <c r="Q137">
        <f>IF(OR(A137="",G137=""),"",COUNTIFS($M$3:$M$1002,M137,$G$3:$G$1002,"&lt;&gt;"&amp;SUBSTITUTE(SUBSTITUTE(G137,"?","~?"),"*","~*"),$G$3:$G$1002,"?*"))</f>
        <v/>
      </c>
      <c r="R137">
        <f>IF(Q137="","",IF(Q137&gt;0,"Yes","No"))</f>
        <v/>
      </c>
      <c r="S137">
        <f>IF(G137="","",COUNTIFS($G$3:$G$1002,SUBSTITUTE(SUBSTITUTE(G137,"?","~?"),"*","~*"),$J$3:$J$1002,"Primary"))</f>
        <v/>
      </c>
      <c r="T137">
        <f>IF(S137="","",IF(S137&gt;Settings!$B$4,"Yes","No"))</f>
        <v/>
      </c>
      <c r="U137">
        <f>IF(OR(G137="",B137=""),"",IF(COUNTIFS($G$3:$G$1002,SUBSTITUTE(SUBSTITUTE(G137,"?","~?"),"*","~*"),$B$3:$B$1002,"&lt;&gt;"&amp;SUBSTITUTE(SUBSTITUTE(B137,"?","~?"),"*","~*"),$B$3:$B$1002,"?*")&gt;0,"Yes","No"))</f>
        <v/>
      </c>
      <c r="V137">
        <f>IF(OR(G137="",I137="",O137="",O137="Unclassified"),"",IFERROR(INDEX(Settings!$E$5:$H$16,MATCH(I137,Settings!$D$5:$D$16,0),MATCH(O137,Settings!$E$4:$H$4,0)),"Check"))</f>
        <v/>
      </c>
      <c r="W137">
        <f>IF(V137="","",IF(V137="No","Yes","No"))</f>
        <v/>
      </c>
      <c r="X137">
        <f>IF(OR(E137="",G137=""),"",IF(LOWER(IF(RIGHT(TRIM(E137),1)="/",LEFT(TRIM(E137),LEN(TRIM(E137))-1),TRIM(E137)))&lt;&gt;LOWER(IF(RIGHT(TRIM(G137),1)="/",LEFT(TRIM(G137),LEN(TRIM(G137))-1),TRIM(G137))),"Yes","No"))</f>
        <v/>
      </c>
      <c r="Y137">
        <f>IF(A137="","",(N(Q137)&gt;0)+(T137="Yes")+(U137="Yes")+(W137="Yes")+(X137="Yes"))</f>
        <v/>
      </c>
      <c r="Z137">
        <f>IF(A137="","",IF(G137="","Not mapped",IF(Y137=0,"OK",MID(IF(N(Q137)&gt;0,"; Cannibalisation","")&amp;IF(T137="Yes","; Too many primary keywords on URL","")&amp;IF(U137="Yes","; URL spans 2+ clusters","")&amp;IF(W137="Yes","; Intent mismatch","")&amp;IF(X137="Yes","; Ranking URL is not the target",""),3,300))))</f>
        <v/>
      </c>
      <c r="AA137">
        <f>IF(G137="","",IF(COUNTIF($G$3:G137,SUBSTITUTE(SUBSTITUTE(G137,"?","~?"),"*","~*"))=1,MAX($AA$2:AA136)+1,""))</f>
        <v/>
      </c>
      <c r="AB137">
        <f>IF(B137="","",IF(COUNTIF($B$3:B137,SUBSTITUTE(SUBSTITUTE(B137,"?","~?"),"*","~*"))=1,MAX($AB$2:AB136)+1,""))</f>
        <v/>
      </c>
    </row>
    <row r="138">
      <c r="M138">
        <f>IF(A138="","",LOWER(TRIM(SUBSTITUTE(SUBSTITUTE(A138,"?",""),"*",""))))</f>
        <v/>
      </c>
      <c r="N138">
        <f>IF(M138="","",IF(SUMPRODUCT(ISNUMBER(SEARCH(" "&amp;Settings!$L$5:$L$124&amp;" "," "&amp;M138&amp;" "))*(Settings!$K$5:$K$124="Navigational")*(Settings!$L$5:$L$124&lt;&gt;""))&gt;0,"Navigational",IF(SUMPRODUCT(ISNUMBER(SEARCH(" "&amp;Settings!$L$5:$L$124&amp;" "," "&amp;M138&amp;" "))*(Settings!$K$5:$K$124="Transactional")*(Settings!$L$5:$L$124&lt;&gt;""))&gt;0,"Transactional",IF(SUMPRODUCT(ISNUMBER(SEARCH(" "&amp;Settings!$L$5:$L$124&amp;" "," "&amp;M138&amp;" "))*(Settings!$K$5:$K$124="Commercial")*(Settings!$L$5:$L$124&lt;&gt;""))&gt;0,"Commercial",IF(SUMPRODUCT(ISNUMBER(SEARCH(" "&amp;Settings!$L$5:$L$124&amp;" "," "&amp;M138&amp;" "))*(Settings!$K$5:$K$124="Informational")*(Settings!$L$5:$L$124&lt;&gt;""))&gt;0,"Informational","Unclassified")))))</f>
        <v/>
      </c>
      <c r="O138">
        <f>IF(A138="","",IF(K138&lt;&gt;"",PROPER(K138),N138))</f>
        <v/>
      </c>
      <c r="P138">
        <f>IF(A138="","",ROUND(Settings!$B$5*MIN(1,LOG10(N(C138)+1)/LOG10(Settings!$B$7+1))+Settings!$B$6*(1-MIN(100,IF(D138="",50,N(D138)))/100)+IFERROR(INDEX(Settings!$B$10:$B$14,MATCH(O138,Settings!$A$10:$A$14,0)),0),0))</f>
        <v/>
      </c>
      <c r="Q138">
        <f>IF(OR(A138="",G138=""),"",COUNTIFS($M$3:$M$1002,M138,$G$3:$G$1002,"&lt;&gt;"&amp;SUBSTITUTE(SUBSTITUTE(G138,"?","~?"),"*","~*"),$G$3:$G$1002,"?*"))</f>
        <v/>
      </c>
      <c r="R138">
        <f>IF(Q138="","",IF(Q138&gt;0,"Yes","No"))</f>
        <v/>
      </c>
      <c r="S138">
        <f>IF(G138="","",COUNTIFS($G$3:$G$1002,SUBSTITUTE(SUBSTITUTE(G138,"?","~?"),"*","~*"),$J$3:$J$1002,"Primary"))</f>
        <v/>
      </c>
      <c r="T138">
        <f>IF(S138="","",IF(S138&gt;Settings!$B$4,"Yes","No"))</f>
        <v/>
      </c>
      <c r="U138">
        <f>IF(OR(G138="",B138=""),"",IF(COUNTIFS($G$3:$G$1002,SUBSTITUTE(SUBSTITUTE(G138,"?","~?"),"*","~*"),$B$3:$B$1002,"&lt;&gt;"&amp;SUBSTITUTE(SUBSTITUTE(B138,"?","~?"),"*","~*"),$B$3:$B$1002,"?*")&gt;0,"Yes","No"))</f>
        <v/>
      </c>
      <c r="V138">
        <f>IF(OR(G138="",I138="",O138="",O138="Unclassified"),"",IFERROR(INDEX(Settings!$E$5:$H$16,MATCH(I138,Settings!$D$5:$D$16,0),MATCH(O138,Settings!$E$4:$H$4,0)),"Check"))</f>
        <v/>
      </c>
      <c r="W138">
        <f>IF(V138="","",IF(V138="No","Yes","No"))</f>
        <v/>
      </c>
      <c r="X138">
        <f>IF(OR(E138="",G138=""),"",IF(LOWER(IF(RIGHT(TRIM(E138),1)="/",LEFT(TRIM(E138),LEN(TRIM(E138))-1),TRIM(E138)))&lt;&gt;LOWER(IF(RIGHT(TRIM(G138),1)="/",LEFT(TRIM(G138),LEN(TRIM(G138))-1),TRIM(G138))),"Yes","No"))</f>
        <v/>
      </c>
      <c r="Y138">
        <f>IF(A138="","",(N(Q138)&gt;0)+(T138="Yes")+(U138="Yes")+(W138="Yes")+(X138="Yes"))</f>
        <v/>
      </c>
      <c r="Z138">
        <f>IF(A138="","",IF(G138="","Not mapped",IF(Y138=0,"OK",MID(IF(N(Q138)&gt;0,"; Cannibalisation","")&amp;IF(T138="Yes","; Too many primary keywords on URL","")&amp;IF(U138="Yes","; URL spans 2+ clusters","")&amp;IF(W138="Yes","; Intent mismatch","")&amp;IF(X138="Yes","; Ranking URL is not the target",""),3,300))))</f>
        <v/>
      </c>
      <c r="AA138">
        <f>IF(G138="","",IF(COUNTIF($G$3:G138,SUBSTITUTE(SUBSTITUTE(G138,"?","~?"),"*","~*"))=1,MAX($AA$2:AA137)+1,""))</f>
        <v/>
      </c>
      <c r="AB138">
        <f>IF(B138="","",IF(COUNTIF($B$3:B138,SUBSTITUTE(SUBSTITUTE(B138,"?","~?"),"*","~*"))=1,MAX($AB$2:AB137)+1,""))</f>
        <v/>
      </c>
    </row>
    <row r="139">
      <c r="M139">
        <f>IF(A139="","",LOWER(TRIM(SUBSTITUTE(SUBSTITUTE(A139,"?",""),"*",""))))</f>
        <v/>
      </c>
      <c r="N139">
        <f>IF(M139="","",IF(SUMPRODUCT(ISNUMBER(SEARCH(" "&amp;Settings!$L$5:$L$124&amp;" "," "&amp;M139&amp;" "))*(Settings!$K$5:$K$124="Navigational")*(Settings!$L$5:$L$124&lt;&gt;""))&gt;0,"Navigational",IF(SUMPRODUCT(ISNUMBER(SEARCH(" "&amp;Settings!$L$5:$L$124&amp;" "," "&amp;M139&amp;" "))*(Settings!$K$5:$K$124="Transactional")*(Settings!$L$5:$L$124&lt;&gt;""))&gt;0,"Transactional",IF(SUMPRODUCT(ISNUMBER(SEARCH(" "&amp;Settings!$L$5:$L$124&amp;" "," "&amp;M139&amp;" "))*(Settings!$K$5:$K$124="Commercial")*(Settings!$L$5:$L$124&lt;&gt;""))&gt;0,"Commercial",IF(SUMPRODUCT(ISNUMBER(SEARCH(" "&amp;Settings!$L$5:$L$124&amp;" "," "&amp;M139&amp;" "))*(Settings!$K$5:$K$124="Informational")*(Settings!$L$5:$L$124&lt;&gt;""))&gt;0,"Informational","Unclassified")))))</f>
        <v/>
      </c>
      <c r="O139">
        <f>IF(A139="","",IF(K139&lt;&gt;"",PROPER(K139),N139))</f>
        <v/>
      </c>
      <c r="P139">
        <f>IF(A139="","",ROUND(Settings!$B$5*MIN(1,LOG10(N(C139)+1)/LOG10(Settings!$B$7+1))+Settings!$B$6*(1-MIN(100,IF(D139="",50,N(D139)))/100)+IFERROR(INDEX(Settings!$B$10:$B$14,MATCH(O139,Settings!$A$10:$A$14,0)),0),0))</f>
        <v/>
      </c>
      <c r="Q139">
        <f>IF(OR(A139="",G139=""),"",COUNTIFS($M$3:$M$1002,M139,$G$3:$G$1002,"&lt;&gt;"&amp;SUBSTITUTE(SUBSTITUTE(G139,"?","~?"),"*","~*"),$G$3:$G$1002,"?*"))</f>
        <v/>
      </c>
      <c r="R139">
        <f>IF(Q139="","",IF(Q139&gt;0,"Yes","No"))</f>
        <v/>
      </c>
      <c r="S139">
        <f>IF(G139="","",COUNTIFS($G$3:$G$1002,SUBSTITUTE(SUBSTITUTE(G139,"?","~?"),"*","~*"),$J$3:$J$1002,"Primary"))</f>
        <v/>
      </c>
      <c r="T139">
        <f>IF(S139="","",IF(S139&gt;Settings!$B$4,"Yes","No"))</f>
        <v/>
      </c>
      <c r="U139">
        <f>IF(OR(G139="",B139=""),"",IF(COUNTIFS($G$3:$G$1002,SUBSTITUTE(SUBSTITUTE(G139,"?","~?"),"*","~*"),$B$3:$B$1002,"&lt;&gt;"&amp;SUBSTITUTE(SUBSTITUTE(B139,"?","~?"),"*","~*"),$B$3:$B$1002,"?*")&gt;0,"Yes","No"))</f>
        <v/>
      </c>
      <c r="V139">
        <f>IF(OR(G139="",I139="",O139="",O139="Unclassified"),"",IFERROR(INDEX(Settings!$E$5:$H$16,MATCH(I139,Settings!$D$5:$D$16,0),MATCH(O139,Settings!$E$4:$H$4,0)),"Check"))</f>
        <v/>
      </c>
      <c r="W139">
        <f>IF(V139="","",IF(V139="No","Yes","No"))</f>
        <v/>
      </c>
      <c r="X139">
        <f>IF(OR(E139="",G139=""),"",IF(LOWER(IF(RIGHT(TRIM(E139),1)="/",LEFT(TRIM(E139),LEN(TRIM(E139))-1),TRIM(E139)))&lt;&gt;LOWER(IF(RIGHT(TRIM(G139),1)="/",LEFT(TRIM(G139),LEN(TRIM(G139))-1),TRIM(G139))),"Yes","No"))</f>
        <v/>
      </c>
      <c r="Y139">
        <f>IF(A139="","",(N(Q139)&gt;0)+(T139="Yes")+(U139="Yes")+(W139="Yes")+(X139="Yes"))</f>
        <v/>
      </c>
      <c r="Z139">
        <f>IF(A139="","",IF(G139="","Not mapped",IF(Y139=0,"OK",MID(IF(N(Q139)&gt;0,"; Cannibalisation","")&amp;IF(T139="Yes","; Too many primary keywords on URL","")&amp;IF(U139="Yes","; URL spans 2+ clusters","")&amp;IF(W139="Yes","; Intent mismatch","")&amp;IF(X139="Yes","; Ranking URL is not the target",""),3,300))))</f>
        <v/>
      </c>
      <c r="AA139">
        <f>IF(G139="","",IF(COUNTIF($G$3:G139,SUBSTITUTE(SUBSTITUTE(G139,"?","~?"),"*","~*"))=1,MAX($AA$2:AA138)+1,""))</f>
        <v/>
      </c>
      <c r="AB139">
        <f>IF(B139="","",IF(COUNTIF($B$3:B139,SUBSTITUTE(SUBSTITUTE(B139,"?","~?"),"*","~*"))=1,MAX($AB$2:AB138)+1,""))</f>
        <v/>
      </c>
    </row>
    <row r="140">
      <c r="M140">
        <f>IF(A140="","",LOWER(TRIM(SUBSTITUTE(SUBSTITUTE(A140,"?",""),"*",""))))</f>
        <v/>
      </c>
      <c r="N140">
        <f>IF(M140="","",IF(SUMPRODUCT(ISNUMBER(SEARCH(" "&amp;Settings!$L$5:$L$124&amp;" "," "&amp;M140&amp;" "))*(Settings!$K$5:$K$124="Navigational")*(Settings!$L$5:$L$124&lt;&gt;""))&gt;0,"Navigational",IF(SUMPRODUCT(ISNUMBER(SEARCH(" "&amp;Settings!$L$5:$L$124&amp;" "," "&amp;M140&amp;" "))*(Settings!$K$5:$K$124="Transactional")*(Settings!$L$5:$L$124&lt;&gt;""))&gt;0,"Transactional",IF(SUMPRODUCT(ISNUMBER(SEARCH(" "&amp;Settings!$L$5:$L$124&amp;" "," "&amp;M140&amp;" "))*(Settings!$K$5:$K$124="Commercial")*(Settings!$L$5:$L$124&lt;&gt;""))&gt;0,"Commercial",IF(SUMPRODUCT(ISNUMBER(SEARCH(" "&amp;Settings!$L$5:$L$124&amp;" "," "&amp;M140&amp;" "))*(Settings!$K$5:$K$124="Informational")*(Settings!$L$5:$L$124&lt;&gt;""))&gt;0,"Informational","Unclassified")))))</f>
        <v/>
      </c>
      <c r="O140">
        <f>IF(A140="","",IF(K140&lt;&gt;"",PROPER(K140),N140))</f>
        <v/>
      </c>
      <c r="P140">
        <f>IF(A140="","",ROUND(Settings!$B$5*MIN(1,LOG10(N(C140)+1)/LOG10(Settings!$B$7+1))+Settings!$B$6*(1-MIN(100,IF(D140="",50,N(D140)))/100)+IFERROR(INDEX(Settings!$B$10:$B$14,MATCH(O140,Settings!$A$10:$A$14,0)),0),0))</f>
        <v/>
      </c>
      <c r="Q140">
        <f>IF(OR(A140="",G140=""),"",COUNTIFS($M$3:$M$1002,M140,$G$3:$G$1002,"&lt;&gt;"&amp;SUBSTITUTE(SUBSTITUTE(G140,"?","~?"),"*","~*"),$G$3:$G$1002,"?*"))</f>
        <v/>
      </c>
      <c r="R140">
        <f>IF(Q140="","",IF(Q140&gt;0,"Yes","No"))</f>
        <v/>
      </c>
      <c r="S140">
        <f>IF(G140="","",COUNTIFS($G$3:$G$1002,SUBSTITUTE(SUBSTITUTE(G140,"?","~?"),"*","~*"),$J$3:$J$1002,"Primary"))</f>
        <v/>
      </c>
      <c r="T140">
        <f>IF(S140="","",IF(S140&gt;Settings!$B$4,"Yes","No"))</f>
        <v/>
      </c>
      <c r="U140">
        <f>IF(OR(G140="",B140=""),"",IF(COUNTIFS($G$3:$G$1002,SUBSTITUTE(SUBSTITUTE(G140,"?","~?"),"*","~*"),$B$3:$B$1002,"&lt;&gt;"&amp;SUBSTITUTE(SUBSTITUTE(B140,"?","~?"),"*","~*"),$B$3:$B$1002,"?*")&gt;0,"Yes","No"))</f>
        <v/>
      </c>
      <c r="V140">
        <f>IF(OR(G140="",I140="",O140="",O140="Unclassified"),"",IFERROR(INDEX(Settings!$E$5:$H$16,MATCH(I140,Settings!$D$5:$D$16,0),MATCH(O140,Settings!$E$4:$H$4,0)),"Check"))</f>
        <v/>
      </c>
      <c r="W140">
        <f>IF(V140="","",IF(V140="No","Yes","No"))</f>
        <v/>
      </c>
      <c r="X140">
        <f>IF(OR(E140="",G140=""),"",IF(LOWER(IF(RIGHT(TRIM(E140),1)="/",LEFT(TRIM(E140),LEN(TRIM(E140))-1),TRIM(E140)))&lt;&gt;LOWER(IF(RIGHT(TRIM(G140),1)="/",LEFT(TRIM(G140),LEN(TRIM(G140))-1),TRIM(G140))),"Yes","No"))</f>
        <v/>
      </c>
      <c r="Y140">
        <f>IF(A140="","",(N(Q140)&gt;0)+(T140="Yes")+(U140="Yes")+(W140="Yes")+(X140="Yes"))</f>
        <v/>
      </c>
      <c r="Z140">
        <f>IF(A140="","",IF(G140="","Not mapped",IF(Y140=0,"OK",MID(IF(N(Q140)&gt;0,"; Cannibalisation","")&amp;IF(T140="Yes","; Too many primary keywords on URL","")&amp;IF(U140="Yes","; URL spans 2+ clusters","")&amp;IF(W140="Yes","; Intent mismatch","")&amp;IF(X140="Yes","; Ranking URL is not the target",""),3,300))))</f>
        <v/>
      </c>
      <c r="AA140">
        <f>IF(G140="","",IF(COUNTIF($G$3:G140,SUBSTITUTE(SUBSTITUTE(G140,"?","~?"),"*","~*"))=1,MAX($AA$2:AA139)+1,""))</f>
        <v/>
      </c>
      <c r="AB140">
        <f>IF(B140="","",IF(COUNTIF($B$3:B140,SUBSTITUTE(SUBSTITUTE(B140,"?","~?"),"*","~*"))=1,MAX($AB$2:AB139)+1,""))</f>
        <v/>
      </c>
    </row>
    <row r="141">
      <c r="M141">
        <f>IF(A141="","",LOWER(TRIM(SUBSTITUTE(SUBSTITUTE(A141,"?",""),"*",""))))</f>
        <v/>
      </c>
      <c r="N141">
        <f>IF(M141="","",IF(SUMPRODUCT(ISNUMBER(SEARCH(" "&amp;Settings!$L$5:$L$124&amp;" "," "&amp;M141&amp;" "))*(Settings!$K$5:$K$124="Navigational")*(Settings!$L$5:$L$124&lt;&gt;""))&gt;0,"Navigational",IF(SUMPRODUCT(ISNUMBER(SEARCH(" "&amp;Settings!$L$5:$L$124&amp;" "," "&amp;M141&amp;" "))*(Settings!$K$5:$K$124="Transactional")*(Settings!$L$5:$L$124&lt;&gt;""))&gt;0,"Transactional",IF(SUMPRODUCT(ISNUMBER(SEARCH(" "&amp;Settings!$L$5:$L$124&amp;" "," "&amp;M141&amp;" "))*(Settings!$K$5:$K$124="Commercial")*(Settings!$L$5:$L$124&lt;&gt;""))&gt;0,"Commercial",IF(SUMPRODUCT(ISNUMBER(SEARCH(" "&amp;Settings!$L$5:$L$124&amp;" "," "&amp;M141&amp;" "))*(Settings!$K$5:$K$124="Informational")*(Settings!$L$5:$L$124&lt;&gt;""))&gt;0,"Informational","Unclassified")))))</f>
        <v/>
      </c>
      <c r="O141">
        <f>IF(A141="","",IF(K141&lt;&gt;"",PROPER(K141),N141))</f>
        <v/>
      </c>
      <c r="P141">
        <f>IF(A141="","",ROUND(Settings!$B$5*MIN(1,LOG10(N(C141)+1)/LOG10(Settings!$B$7+1))+Settings!$B$6*(1-MIN(100,IF(D141="",50,N(D141)))/100)+IFERROR(INDEX(Settings!$B$10:$B$14,MATCH(O141,Settings!$A$10:$A$14,0)),0),0))</f>
        <v/>
      </c>
      <c r="Q141">
        <f>IF(OR(A141="",G141=""),"",COUNTIFS($M$3:$M$1002,M141,$G$3:$G$1002,"&lt;&gt;"&amp;SUBSTITUTE(SUBSTITUTE(G141,"?","~?"),"*","~*"),$G$3:$G$1002,"?*"))</f>
        <v/>
      </c>
      <c r="R141">
        <f>IF(Q141="","",IF(Q141&gt;0,"Yes","No"))</f>
        <v/>
      </c>
      <c r="S141">
        <f>IF(G141="","",COUNTIFS($G$3:$G$1002,SUBSTITUTE(SUBSTITUTE(G141,"?","~?"),"*","~*"),$J$3:$J$1002,"Primary"))</f>
        <v/>
      </c>
      <c r="T141">
        <f>IF(S141="","",IF(S141&gt;Settings!$B$4,"Yes","No"))</f>
        <v/>
      </c>
      <c r="U141">
        <f>IF(OR(G141="",B141=""),"",IF(COUNTIFS($G$3:$G$1002,SUBSTITUTE(SUBSTITUTE(G141,"?","~?"),"*","~*"),$B$3:$B$1002,"&lt;&gt;"&amp;SUBSTITUTE(SUBSTITUTE(B141,"?","~?"),"*","~*"),$B$3:$B$1002,"?*")&gt;0,"Yes","No"))</f>
        <v/>
      </c>
      <c r="V141">
        <f>IF(OR(G141="",I141="",O141="",O141="Unclassified"),"",IFERROR(INDEX(Settings!$E$5:$H$16,MATCH(I141,Settings!$D$5:$D$16,0),MATCH(O141,Settings!$E$4:$H$4,0)),"Check"))</f>
        <v/>
      </c>
      <c r="W141">
        <f>IF(V141="","",IF(V141="No","Yes","No"))</f>
        <v/>
      </c>
      <c r="X141">
        <f>IF(OR(E141="",G141=""),"",IF(LOWER(IF(RIGHT(TRIM(E141),1)="/",LEFT(TRIM(E141),LEN(TRIM(E141))-1),TRIM(E141)))&lt;&gt;LOWER(IF(RIGHT(TRIM(G141),1)="/",LEFT(TRIM(G141),LEN(TRIM(G141))-1),TRIM(G141))),"Yes","No"))</f>
        <v/>
      </c>
      <c r="Y141">
        <f>IF(A141="","",(N(Q141)&gt;0)+(T141="Yes")+(U141="Yes")+(W141="Yes")+(X141="Yes"))</f>
        <v/>
      </c>
      <c r="Z141">
        <f>IF(A141="","",IF(G141="","Not mapped",IF(Y141=0,"OK",MID(IF(N(Q141)&gt;0,"; Cannibalisation","")&amp;IF(T141="Yes","; Too many primary keywords on URL","")&amp;IF(U141="Yes","; URL spans 2+ clusters","")&amp;IF(W141="Yes","; Intent mismatch","")&amp;IF(X141="Yes","; Ranking URL is not the target",""),3,300))))</f>
        <v/>
      </c>
      <c r="AA141">
        <f>IF(G141="","",IF(COUNTIF($G$3:G141,SUBSTITUTE(SUBSTITUTE(G141,"?","~?"),"*","~*"))=1,MAX($AA$2:AA140)+1,""))</f>
        <v/>
      </c>
      <c r="AB141">
        <f>IF(B141="","",IF(COUNTIF($B$3:B141,SUBSTITUTE(SUBSTITUTE(B141,"?","~?"),"*","~*"))=1,MAX($AB$2:AB140)+1,""))</f>
        <v/>
      </c>
    </row>
    <row r="142">
      <c r="M142">
        <f>IF(A142="","",LOWER(TRIM(SUBSTITUTE(SUBSTITUTE(A142,"?",""),"*",""))))</f>
        <v/>
      </c>
      <c r="N142">
        <f>IF(M142="","",IF(SUMPRODUCT(ISNUMBER(SEARCH(" "&amp;Settings!$L$5:$L$124&amp;" "," "&amp;M142&amp;" "))*(Settings!$K$5:$K$124="Navigational")*(Settings!$L$5:$L$124&lt;&gt;""))&gt;0,"Navigational",IF(SUMPRODUCT(ISNUMBER(SEARCH(" "&amp;Settings!$L$5:$L$124&amp;" "," "&amp;M142&amp;" "))*(Settings!$K$5:$K$124="Transactional")*(Settings!$L$5:$L$124&lt;&gt;""))&gt;0,"Transactional",IF(SUMPRODUCT(ISNUMBER(SEARCH(" "&amp;Settings!$L$5:$L$124&amp;" "," "&amp;M142&amp;" "))*(Settings!$K$5:$K$124="Commercial")*(Settings!$L$5:$L$124&lt;&gt;""))&gt;0,"Commercial",IF(SUMPRODUCT(ISNUMBER(SEARCH(" "&amp;Settings!$L$5:$L$124&amp;" "," "&amp;M142&amp;" "))*(Settings!$K$5:$K$124="Informational")*(Settings!$L$5:$L$124&lt;&gt;""))&gt;0,"Informational","Unclassified")))))</f>
        <v/>
      </c>
      <c r="O142">
        <f>IF(A142="","",IF(K142&lt;&gt;"",PROPER(K142),N142))</f>
        <v/>
      </c>
      <c r="P142">
        <f>IF(A142="","",ROUND(Settings!$B$5*MIN(1,LOG10(N(C142)+1)/LOG10(Settings!$B$7+1))+Settings!$B$6*(1-MIN(100,IF(D142="",50,N(D142)))/100)+IFERROR(INDEX(Settings!$B$10:$B$14,MATCH(O142,Settings!$A$10:$A$14,0)),0),0))</f>
        <v/>
      </c>
      <c r="Q142">
        <f>IF(OR(A142="",G142=""),"",COUNTIFS($M$3:$M$1002,M142,$G$3:$G$1002,"&lt;&gt;"&amp;SUBSTITUTE(SUBSTITUTE(G142,"?","~?"),"*","~*"),$G$3:$G$1002,"?*"))</f>
        <v/>
      </c>
      <c r="R142">
        <f>IF(Q142="","",IF(Q142&gt;0,"Yes","No"))</f>
        <v/>
      </c>
      <c r="S142">
        <f>IF(G142="","",COUNTIFS($G$3:$G$1002,SUBSTITUTE(SUBSTITUTE(G142,"?","~?"),"*","~*"),$J$3:$J$1002,"Primary"))</f>
        <v/>
      </c>
      <c r="T142">
        <f>IF(S142="","",IF(S142&gt;Settings!$B$4,"Yes","No"))</f>
        <v/>
      </c>
      <c r="U142">
        <f>IF(OR(G142="",B142=""),"",IF(COUNTIFS($G$3:$G$1002,SUBSTITUTE(SUBSTITUTE(G142,"?","~?"),"*","~*"),$B$3:$B$1002,"&lt;&gt;"&amp;SUBSTITUTE(SUBSTITUTE(B142,"?","~?"),"*","~*"),$B$3:$B$1002,"?*")&gt;0,"Yes","No"))</f>
        <v/>
      </c>
      <c r="V142">
        <f>IF(OR(G142="",I142="",O142="",O142="Unclassified"),"",IFERROR(INDEX(Settings!$E$5:$H$16,MATCH(I142,Settings!$D$5:$D$16,0),MATCH(O142,Settings!$E$4:$H$4,0)),"Check"))</f>
        <v/>
      </c>
      <c r="W142">
        <f>IF(V142="","",IF(V142="No","Yes","No"))</f>
        <v/>
      </c>
      <c r="X142">
        <f>IF(OR(E142="",G142=""),"",IF(LOWER(IF(RIGHT(TRIM(E142),1)="/",LEFT(TRIM(E142),LEN(TRIM(E142))-1),TRIM(E142)))&lt;&gt;LOWER(IF(RIGHT(TRIM(G142),1)="/",LEFT(TRIM(G142),LEN(TRIM(G142))-1),TRIM(G142))),"Yes","No"))</f>
        <v/>
      </c>
      <c r="Y142">
        <f>IF(A142="","",(N(Q142)&gt;0)+(T142="Yes")+(U142="Yes")+(W142="Yes")+(X142="Yes"))</f>
        <v/>
      </c>
      <c r="Z142">
        <f>IF(A142="","",IF(G142="","Not mapped",IF(Y142=0,"OK",MID(IF(N(Q142)&gt;0,"; Cannibalisation","")&amp;IF(T142="Yes","; Too many primary keywords on URL","")&amp;IF(U142="Yes","; URL spans 2+ clusters","")&amp;IF(W142="Yes","; Intent mismatch","")&amp;IF(X142="Yes","; Ranking URL is not the target",""),3,300))))</f>
        <v/>
      </c>
      <c r="AA142">
        <f>IF(G142="","",IF(COUNTIF($G$3:G142,SUBSTITUTE(SUBSTITUTE(G142,"?","~?"),"*","~*"))=1,MAX($AA$2:AA141)+1,""))</f>
        <v/>
      </c>
      <c r="AB142">
        <f>IF(B142="","",IF(COUNTIF($B$3:B142,SUBSTITUTE(SUBSTITUTE(B142,"?","~?"),"*","~*"))=1,MAX($AB$2:AB141)+1,""))</f>
        <v/>
      </c>
    </row>
    <row r="143">
      <c r="M143">
        <f>IF(A143="","",LOWER(TRIM(SUBSTITUTE(SUBSTITUTE(A143,"?",""),"*",""))))</f>
        <v/>
      </c>
      <c r="N143">
        <f>IF(M143="","",IF(SUMPRODUCT(ISNUMBER(SEARCH(" "&amp;Settings!$L$5:$L$124&amp;" "," "&amp;M143&amp;" "))*(Settings!$K$5:$K$124="Navigational")*(Settings!$L$5:$L$124&lt;&gt;""))&gt;0,"Navigational",IF(SUMPRODUCT(ISNUMBER(SEARCH(" "&amp;Settings!$L$5:$L$124&amp;" "," "&amp;M143&amp;" "))*(Settings!$K$5:$K$124="Transactional")*(Settings!$L$5:$L$124&lt;&gt;""))&gt;0,"Transactional",IF(SUMPRODUCT(ISNUMBER(SEARCH(" "&amp;Settings!$L$5:$L$124&amp;" "," "&amp;M143&amp;" "))*(Settings!$K$5:$K$124="Commercial")*(Settings!$L$5:$L$124&lt;&gt;""))&gt;0,"Commercial",IF(SUMPRODUCT(ISNUMBER(SEARCH(" "&amp;Settings!$L$5:$L$124&amp;" "," "&amp;M143&amp;" "))*(Settings!$K$5:$K$124="Informational")*(Settings!$L$5:$L$124&lt;&gt;""))&gt;0,"Informational","Unclassified")))))</f>
        <v/>
      </c>
      <c r="O143">
        <f>IF(A143="","",IF(K143&lt;&gt;"",PROPER(K143),N143))</f>
        <v/>
      </c>
      <c r="P143">
        <f>IF(A143="","",ROUND(Settings!$B$5*MIN(1,LOG10(N(C143)+1)/LOG10(Settings!$B$7+1))+Settings!$B$6*(1-MIN(100,IF(D143="",50,N(D143)))/100)+IFERROR(INDEX(Settings!$B$10:$B$14,MATCH(O143,Settings!$A$10:$A$14,0)),0),0))</f>
        <v/>
      </c>
      <c r="Q143">
        <f>IF(OR(A143="",G143=""),"",COUNTIFS($M$3:$M$1002,M143,$G$3:$G$1002,"&lt;&gt;"&amp;SUBSTITUTE(SUBSTITUTE(G143,"?","~?"),"*","~*"),$G$3:$G$1002,"?*"))</f>
        <v/>
      </c>
      <c r="R143">
        <f>IF(Q143="","",IF(Q143&gt;0,"Yes","No"))</f>
        <v/>
      </c>
      <c r="S143">
        <f>IF(G143="","",COUNTIFS($G$3:$G$1002,SUBSTITUTE(SUBSTITUTE(G143,"?","~?"),"*","~*"),$J$3:$J$1002,"Primary"))</f>
        <v/>
      </c>
      <c r="T143">
        <f>IF(S143="","",IF(S143&gt;Settings!$B$4,"Yes","No"))</f>
        <v/>
      </c>
      <c r="U143">
        <f>IF(OR(G143="",B143=""),"",IF(COUNTIFS($G$3:$G$1002,SUBSTITUTE(SUBSTITUTE(G143,"?","~?"),"*","~*"),$B$3:$B$1002,"&lt;&gt;"&amp;SUBSTITUTE(SUBSTITUTE(B143,"?","~?"),"*","~*"),$B$3:$B$1002,"?*")&gt;0,"Yes","No"))</f>
        <v/>
      </c>
      <c r="V143">
        <f>IF(OR(G143="",I143="",O143="",O143="Unclassified"),"",IFERROR(INDEX(Settings!$E$5:$H$16,MATCH(I143,Settings!$D$5:$D$16,0),MATCH(O143,Settings!$E$4:$H$4,0)),"Check"))</f>
        <v/>
      </c>
      <c r="W143">
        <f>IF(V143="","",IF(V143="No","Yes","No"))</f>
        <v/>
      </c>
      <c r="X143">
        <f>IF(OR(E143="",G143=""),"",IF(LOWER(IF(RIGHT(TRIM(E143),1)="/",LEFT(TRIM(E143),LEN(TRIM(E143))-1),TRIM(E143)))&lt;&gt;LOWER(IF(RIGHT(TRIM(G143),1)="/",LEFT(TRIM(G143),LEN(TRIM(G143))-1),TRIM(G143))),"Yes","No"))</f>
        <v/>
      </c>
      <c r="Y143">
        <f>IF(A143="","",(N(Q143)&gt;0)+(T143="Yes")+(U143="Yes")+(W143="Yes")+(X143="Yes"))</f>
        <v/>
      </c>
      <c r="Z143">
        <f>IF(A143="","",IF(G143="","Not mapped",IF(Y143=0,"OK",MID(IF(N(Q143)&gt;0,"; Cannibalisation","")&amp;IF(T143="Yes","; Too many primary keywords on URL","")&amp;IF(U143="Yes","; URL spans 2+ clusters","")&amp;IF(W143="Yes","; Intent mismatch","")&amp;IF(X143="Yes","; Ranking URL is not the target",""),3,300))))</f>
        <v/>
      </c>
      <c r="AA143">
        <f>IF(G143="","",IF(COUNTIF($G$3:G143,SUBSTITUTE(SUBSTITUTE(G143,"?","~?"),"*","~*"))=1,MAX($AA$2:AA142)+1,""))</f>
        <v/>
      </c>
      <c r="AB143">
        <f>IF(B143="","",IF(COUNTIF($B$3:B143,SUBSTITUTE(SUBSTITUTE(B143,"?","~?"),"*","~*"))=1,MAX($AB$2:AB142)+1,""))</f>
        <v/>
      </c>
    </row>
    <row r="144">
      <c r="M144">
        <f>IF(A144="","",LOWER(TRIM(SUBSTITUTE(SUBSTITUTE(A144,"?",""),"*",""))))</f>
        <v/>
      </c>
      <c r="N144">
        <f>IF(M144="","",IF(SUMPRODUCT(ISNUMBER(SEARCH(" "&amp;Settings!$L$5:$L$124&amp;" "," "&amp;M144&amp;" "))*(Settings!$K$5:$K$124="Navigational")*(Settings!$L$5:$L$124&lt;&gt;""))&gt;0,"Navigational",IF(SUMPRODUCT(ISNUMBER(SEARCH(" "&amp;Settings!$L$5:$L$124&amp;" "," "&amp;M144&amp;" "))*(Settings!$K$5:$K$124="Transactional")*(Settings!$L$5:$L$124&lt;&gt;""))&gt;0,"Transactional",IF(SUMPRODUCT(ISNUMBER(SEARCH(" "&amp;Settings!$L$5:$L$124&amp;" "," "&amp;M144&amp;" "))*(Settings!$K$5:$K$124="Commercial")*(Settings!$L$5:$L$124&lt;&gt;""))&gt;0,"Commercial",IF(SUMPRODUCT(ISNUMBER(SEARCH(" "&amp;Settings!$L$5:$L$124&amp;" "," "&amp;M144&amp;" "))*(Settings!$K$5:$K$124="Informational")*(Settings!$L$5:$L$124&lt;&gt;""))&gt;0,"Informational","Unclassified")))))</f>
        <v/>
      </c>
      <c r="O144">
        <f>IF(A144="","",IF(K144&lt;&gt;"",PROPER(K144),N144))</f>
        <v/>
      </c>
      <c r="P144">
        <f>IF(A144="","",ROUND(Settings!$B$5*MIN(1,LOG10(N(C144)+1)/LOG10(Settings!$B$7+1))+Settings!$B$6*(1-MIN(100,IF(D144="",50,N(D144)))/100)+IFERROR(INDEX(Settings!$B$10:$B$14,MATCH(O144,Settings!$A$10:$A$14,0)),0),0))</f>
        <v/>
      </c>
      <c r="Q144">
        <f>IF(OR(A144="",G144=""),"",COUNTIFS($M$3:$M$1002,M144,$G$3:$G$1002,"&lt;&gt;"&amp;SUBSTITUTE(SUBSTITUTE(G144,"?","~?"),"*","~*"),$G$3:$G$1002,"?*"))</f>
        <v/>
      </c>
      <c r="R144">
        <f>IF(Q144="","",IF(Q144&gt;0,"Yes","No"))</f>
        <v/>
      </c>
      <c r="S144">
        <f>IF(G144="","",COUNTIFS($G$3:$G$1002,SUBSTITUTE(SUBSTITUTE(G144,"?","~?"),"*","~*"),$J$3:$J$1002,"Primary"))</f>
        <v/>
      </c>
      <c r="T144">
        <f>IF(S144="","",IF(S144&gt;Settings!$B$4,"Yes","No"))</f>
        <v/>
      </c>
      <c r="U144">
        <f>IF(OR(G144="",B144=""),"",IF(COUNTIFS($G$3:$G$1002,SUBSTITUTE(SUBSTITUTE(G144,"?","~?"),"*","~*"),$B$3:$B$1002,"&lt;&gt;"&amp;SUBSTITUTE(SUBSTITUTE(B144,"?","~?"),"*","~*"),$B$3:$B$1002,"?*")&gt;0,"Yes","No"))</f>
        <v/>
      </c>
      <c r="V144">
        <f>IF(OR(G144="",I144="",O144="",O144="Unclassified"),"",IFERROR(INDEX(Settings!$E$5:$H$16,MATCH(I144,Settings!$D$5:$D$16,0),MATCH(O144,Settings!$E$4:$H$4,0)),"Check"))</f>
        <v/>
      </c>
      <c r="W144">
        <f>IF(V144="","",IF(V144="No","Yes","No"))</f>
        <v/>
      </c>
      <c r="X144">
        <f>IF(OR(E144="",G144=""),"",IF(LOWER(IF(RIGHT(TRIM(E144),1)="/",LEFT(TRIM(E144),LEN(TRIM(E144))-1),TRIM(E144)))&lt;&gt;LOWER(IF(RIGHT(TRIM(G144),1)="/",LEFT(TRIM(G144),LEN(TRIM(G144))-1),TRIM(G144))),"Yes","No"))</f>
        <v/>
      </c>
      <c r="Y144">
        <f>IF(A144="","",(N(Q144)&gt;0)+(T144="Yes")+(U144="Yes")+(W144="Yes")+(X144="Yes"))</f>
        <v/>
      </c>
      <c r="Z144">
        <f>IF(A144="","",IF(G144="","Not mapped",IF(Y144=0,"OK",MID(IF(N(Q144)&gt;0,"; Cannibalisation","")&amp;IF(T144="Yes","; Too many primary keywords on URL","")&amp;IF(U144="Yes","; URL spans 2+ clusters","")&amp;IF(W144="Yes","; Intent mismatch","")&amp;IF(X144="Yes","; Ranking URL is not the target",""),3,300))))</f>
        <v/>
      </c>
      <c r="AA144">
        <f>IF(G144="","",IF(COUNTIF($G$3:G144,SUBSTITUTE(SUBSTITUTE(G144,"?","~?"),"*","~*"))=1,MAX($AA$2:AA143)+1,""))</f>
        <v/>
      </c>
      <c r="AB144">
        <f>IF(B144="","",IF(COUNTIF($B$3:B144,SUBSTITUTE(SUBSTITUTE(B144,"?","~?"),"*","~*"))=1,MAX($AB$2:AB143)+1,""))</f>
        <v/>
      </c>
    </row>
    <row r="145">
      <c r="M145">
        <f>IF(A145="","",LOWER(TRIM(SUBSTITUTE(SUBSTITUTE(A145,"?",""),"*",""))))</f>
        <v/>
      </c>
      <c r="N145">
        <f>IF(M145="","",IF(SUMPRODUCT(ISNUMBER(SEARCH(" "&amp;Settings!$L$5:$L$124&amp;" "," "&amp;M145&amp;" "))*(Settings!$K$5:$K$124="Navigational")*(Settings!$L$5:$L$124&lt;&gt;""))&gt;0,"Navigational",IF(SUMPRODUCT(ISNUMBER(SEARCH(" "&amp;Settings!$L$5:$L$124&amp;" "," "&amp;M145&amp;" "))*(Settings!$K$5:$K$124="Transactional")*(Settings!$L$5:$L$124&lt;&gt;""))&gt;0,"Transactional",IF(SUMPRODUCT(ISNUMBER(SEARCH(" "&amp;Settings!$L$5:$L$124&amp;" "," "&amp;M145&amp;" "))*(Settings!$K$5:$K$124="Commercial")*(Settings!$L$5:$L$124&lt;&gt;""))&gt;0,"Commercial",IF(SUMPRODUCT(ISNUMBER(SEARCH(" "&amp;Settings!$L$5:$L$124&amp;" "," "&amp;M145&amp;" "))*(Settings!$K$5:$K$124="Informational")*(Settings!$L$5:$L$124&lt;&gt;""))&gt;0,"Informational","Unclassified")))))</f>
        <v/>
      </c>
      <c r="O145">
        <f>IF(A145="","",IF(K145&lt;&gt;"",PROPER(K145),N145))</f>
        <v/>
      </c>
      <c r="P145">
        <f>IF(A145="","",ROUND(Settings!$B$5*MIN(1,LOG10(N(C145)+1)/LOG10(Settings!$B$7+1))+Settings!$B$6*(1-MIN(100,IF(D145="",50,N(D145)))/100)+IFERROR(INDEX(Settings!$B$10:$B$14,MATCH(O145,Settings!$A$10:$A$14,0)),0),0))</f>
        <v/>
      </c>
      <c r="Q145">
        <f>IF(OR(A145="",G145=""),"",COUNTIFS($M$3:$M$1002,M145,$G$3:$G$1002,"&lt;&gt;"&amp;SUBSTITUTE(SUBSTITUTE(G145,"?","~?"),"*","~*"),$G$3:$G$1002,"?*"))</f>
        <v/>
      </c>
      <c r="R145">
        <f>IF(Q145="","",IF(Q145&gt;0,"Yes","No"))</f>
        <v/>
      </c>
      <c r="S145">
        <f>IF(G145="","",COUNTIFS($G$3:$G$1002,SUBSTITUTE(SUBSTITUTE(G145,"?","~?"),"*","~*"),$J$3:$J$1002,"Primary"))</f>
        <v/>
      </c>
      <c r="T145">
        <f>IF(S145="","",IF(S145&gt;Settings!$B$4,"Yes","No"))</f>
        <v/>
      </c>
      <c r="U145">
        <f>IF(OR(G145="",B145=""),"",IF(COUNTIFS($G$3:$G$1002,SUBSTITUTE(SUBSTITUTE(G145,"?","~?"),"*","~*"),$B$3:$B$1002,"&lt;&gt;"&amp;SUBSTITUTE(SUBSTITUTE(B145,"?","~?"),"*","~*"),$B$3:$B$1002,"?*")&gt;0,"Yes","No"))</f>
        <v/>
      </c>
      <c r="V145">
        <f>IF(OR(G145="",I145="",O145="",O145="Unclassified"),"",IFERROR(INDEX(Settings!$E$5:$H$16,MATCH(I145,Settings!$D$5:$D$16,0),MATCH(O145,Settings!$E$4:$H$4,0)),"Check"))</f>
        <v/>
      </c>
      <c r="W145">
        <f>IF(V145="","",IF(V145="No","Yes","No"))</f>
        <v/>
      </c>
      <c r="X145">
        <f>IF(OR(E145="",G145=""),"",IF(LOWER(IF(RIGHT(TRIM(E145),1)="/",LEFT(TRIM(E145),LEN(TRIM(E145))-1),TRIM(E145)))&lt;&gt;LOWER(IF(RIGHT(TRIM(G145),1)="/",LEFT(TRIM(G145),LEN(TRIM(G145))-1),TRIM(G145))),"Yes","No"))</f>
        <v/>
      </c>
      <c r="Y145">
        <f>IF(A145="","",(N(Q145)&gt;0)+(T145="Yes")+(U145="Yes")+(W145="Yes")+(X145="Yes"))</f>
        <v/>
      </c>
      <c r="Z145">
        <f>IF(A145="","",IF(G145="","Not mapped",IF(Y145=0,"OK",MID(IF(N(Q145)&gt;0,"; Cannibalisation","")&amp;IF(T145="Yes","; Too many primary keywords on URL","")&amp;IF(U145="Yes","; URL spans 2+ clusters","")&amp;IF(W145="Yes","; Intent mismatch","")&amp;IF(X145="Yes","; Ranking URL is not the target",""),3,300))))</f>
        <v/>
      </c>
      <c r="AA145">
        <f>IF(G145="","",IF(COUNTIF($G$3:G145,SUBSTITUTE(SUBSTITUTE(G145,"?","~?"),"*","~*"))=1,MAX($AA$2:AA144)+1,""))</f>
        <v/>
      </c>
      <c r="AB145">
        <f>IF(B145="","",IF(COUNTIF($B$3:B145,SUBSTITUTE(SUBSTITUTE(B145,"?","~?"),"*","~*"))=1,MAX($AB$2:AB144)+1,""))</f>
        <v/>
      </c>
    </row>
    <row r="146">
      <c r="M146">
        <f>IF(A146="","",LOWER(TRIM(SUBSTITUTE(SUBSTITUTE(A146,"?",""),"*",""))))</f>
        <v/>
      </c>
      <c r="N146">
        <f>IF(M146="","",IF(SUMPRODUCT(ISNUMBER(SEARCH(" "&amp;Settings!$L$5:$L$124&amp;" "," "&amp;M146&amp;" "))*(Settings!$K$5:$K$124="Navigational")*(Settings!$L$5:$L$124&lt;&gt;""))&gt;0,"Navigational",IF(SUMPRODUCT(ISNUMBER(SEARCH(" "&amp;Settings!$L$5:$L$124&amp;" "," "&amp;M146&amp;" "))*(Settings!$K$5:$K$124="Transactional")*(Settings!$L$5:$L$124&lt;&gt;""))&gt;0,"Transactional",IF(SUMPRODUCT(ISNUMBER(SEARCH(" "&amp;Settings!$L$5:$L$124&amp;" "," "&amp;M146&amp;" "))*(Settings!$K$5:$K$124="Commercial")*(Settings!$L$5:$L$124&lt;&gt;""))&gt;0,"Commercial",IF(SUMPRODUCT(ISNUMBER(SEARCH(" "&amp;Settings!$L$5:$L$124&amp;" "," "&amp;M146&amp;" "))*(Settings!$K$5:$K$124="Informational")*(Settings!$L$5:$L$124&lt;&gt;""))&gt;0,"Informational","Unclassified")))))</f>
        <v/>
      </c>
      <c r="O146">
        <f>IF(A146="","",IF(K146&lt;&gt;"",PROPER(K146),N146))</f>
        <v/>
      </c>
      <c r="P146">
        <f>IF(A146="","",ROUND(Settings!$B$5*MIN(1,LOG10(N(C146)+1)/LOG10(Settings!$B$7+1))+Settings!$B$6*(1-MIN(100,IF(D146="",50,N(D146)))/100)+IFERROR(INDEX(Settings!$B$10:$B$14,MATCH(O146,Settings!$A$10:$A$14,0)),0),0))</f>
        <v/>
      </c>
      <c r="Q146">
        <f>IF(OR(A146="",G146=""),"",COUNTIFS($M$3:$M$1002,M146,$G$3:$G$1002,"&lt;&gt;"&amp;SUBSTITUTE(SUBSTITUTE(G146,"?","~?"),"*","~*"),$G$3:$G$1002,"?*"))</f>
        <v/>
      </c>
      <c r="R146">
        <f>IF(Q146="","",IF(Q146&gt;0,"Yes","No"))</f>
        <v/>
      </c>
      <c r="S146">
        <f>IF(G146="","",COUNTIFS($G$3:$G$1002,SUBSTITUTE(SUBSTITUTE(G146,"?","~?"),"*","~*"),$J$3:$J$1002,"Primary"))</f>
        <v/>
      </c>
      <c r="T146">
        <f>IF(S146="","",IF(S146&gt;Settings!$B$4,"Yes","No"))</f>
        <v/>
      </c>
      <c r="U146">
        <f>IF(OR(G146="",B146=""),"",IF(COUNTIFS($G$3:$G$1002,SUBSTITUTE(SUBSTITUTE(G146,"?","~?"),"*","~*"),$B$3:$B$1002,"&lt;&gt;"&amp;SUBSTITUTE(SUBSTITUTE(B146,"?","~?"),"*","~*"),$B$3:$B$1002,"?*")&gt;0,"Yes","No"))</f>
        <v/>
      </c>
      <c r="V146">
        <f>IF(OR(G146="",I146="",O146="",O146="Unclassified"),"",IFERROR(INDEX(Settings!$E$5:$H$16,MATCH(I146,Settings!$D$5:$D$16,0),MATCH(O146,Settings!$E$4:$H$4,0)),"Check"))</f>
        <v/>
      </c>
      <c r="W146">
        <f>IF(V146="","",IF(V146="No","Yes","No"))</f>
        <v/>
      </c>
      <c r="X146">
        <f>IF(OR(E146="",G146=""),"",IF(LOWER(IF(RIGHT(TRIM(E146),1)="/",LEFT(TRIM(E146),LEN(TRIM(E146))-1),TRIM(E146)))&lt;&gt;LOWER(IF(RIGHT(TRIM(G146),1)="/",LEFT(TRIM(G146),LEN(TRIM(G146))-1),TRIM(G146))),"Yes","No"))</f>
        <v/>
      </c>
      <c r="Y146">
        <f>IF(A146="","",(N(Q146)&gt;0)+(T146="Yes")+(U146="Yes")+(W146="Yes")+(X146="Yes"))</f>
        <v/>
      </c>
      <c r="Z146">
        <f>IF(A146="","",IF(G146="","Not mapped",IF(Y146=0,"OK",MID(IF(N(Q146)&gt;0,"; Cannibalisation","")&amp;IF(T146="Yes","; Too many primary keywords on URL","")&amp;IF(U146="Yes","; URL spans 2+ clusters","")&amp;IF(W146="Yes","; Intent mismatch","")&amp;IF(X146="Yes","; Ranking URL is not the target",""),3,300))))</f>
        <v/>
      </c>
      <c r="AA146">
        <f>IF(G146="","",IF(COUNTIF($G$3:G146,SUBSTITUTE(SUBSTITUTE(G146,"?","~?"),"*","~*"))=1,MAX($AA$2:AA145)+1,""))</f>
        <v/>
      </c>
      <c r="AB146">
        <f>IF(B146="","",IF(COUNTIF($B$3:B146,SUBSTITUTE(SUBSTITUTE(B146,"?","~?"),"*","~*"))=1,MAX($AB$2:AB145)+1,""))</f>
        <v/>
      </c>
    </row>
    <row r="147">
      <c r="M147">
        <f>IF(A147="","",LOWER(TRIM(SUBSTITUTE(SUBSTITUTE(A147,"?",""),"*",""))))</f>
        <v/>
      </c>
      <c r="N147">
        <f>IF(M147="","",IF(SUMPRODUCT(ISNUMBER(SEARCH(" "&amp;Settings!$L$5:$L$124&amp;" "," "&amp;M147&amp;" "))*(Settings!$K$5:$K$124="Navigational")*(Settings!$L$5:$L$124&lt;&gt;""))&gt;0,"Navigational",IF(SUMPRODUCT(ISNUMBER(SEARCH(" "&amp;Settings!$L$5:$L$124&amp;" "," "&amp;M147&amp;" "))*(Settings!$K$5:$K$124="Transactional")*(Settings!$L$5:$L$124&lt;&gt;""))&gt;0,"Transactional",IF(SUMPRODUCT(ISNUMBER(SEARCH(" "&amp;Settings!$L$5:$L$124&amp;" "," "&amp;M147&amp;" "))*(Settings!$K$5:$K$124="Commercial")*(Settings!$L$5:$L$124&lt;&gt;""))&gt;0,"Commercial",IF(SUMPRODUCT(ISNUMBER(SEARCH(" "&amp;Settings!$L$5:$L$124&amp;" "," "&amp;M147&amp;" "))*(Settings!$K$5:$K$124="Informational")*(Settings!$L$5:$L$124&lt;&gt;""))&gt;0,"Informational","Unclassified")))))</f>
        <v/>
      </c>
      <c r="O147">
        <f>IF(A147="","",IF(K147&lt;&gt;"",PROPER(K147),N147))</f>
        <v/>
      </c>
      <c r="P147">
        <f>IF(A147="","",ROUND(Settings!$B$5*MIN(1,LOG10(N(C147)+1)/LOG10(Settings!$B$7+1))+Settings!$B$6*(1-MIN(100,IF(D147="",50,N(D147)))/100)+IFERROR(INDEX(Settings!$B$10:$B$14,MATCH(O147,Settings!$A$10:$A$14,0)),0),0))</f>
        <v/>
      </c>
      <c r="Q147">
        <f>IF(OR(A147="",G147=""),"",COUNTIFS($M$3:$M$1002,M147,$G$3:$G$1002,"&lt;&gt;"&amp;SUBSTITUTE(SUBSTITUTE(G147,"?","~?"),"*","~*"),$G$3:$G$1002,"?*"))</f>
        <v/>
      </c>
      <c r="R147">
        <f>IF(Q147="","",IF(Q147&gt;0,"Yes","No"))</f>
        <v/>
      </c>
      <c r="S147">
        <f>IF(G147="","",COUNTIFS($G$3:$G$1002,SUBSTITUTE(SUBSTITUTE(G147,"?","~?"),"*","~*"),$J$3:$J$1002,"Primary"))</f>
        <v/>
      </c>
      <c r="T147">
        <f>IF(S147="","",IF(S147&gt;Settings!$B$4,"Yes","No"))</f>
        <v/>
      </c>
      <c r="U147">
        <f>IF(OR(G147="",B147=""),"",IF(COUNTIFS($G$3:$G$1002,SUBSTITUTE(SUBSTITUTE(G147,"?","~?"),"*","~*"),$B$3:$B$1002,"&lt;&gt;"&amp;SUBSTITUTE(SUBSTITUTE(B147,"?","~?"),"*","~*"),$B$3:$B$1002,"?*")&gt;0,"Yes","No"))</f>
        <v/>
      </c>
      <c r="V147">
        <f>IF(OR(G147="",I147="",O147="",O147="Unclassified"),"",IFERROR(INDEX(Settings!$E$5:$H$16,MATCH(I147,Settings!$D$5:$D$16,0),MATCH(O147,Settings!$E$4:$H$4,0)),"Check"))</f>
        <v/>
      </c>
      <c r="W147">
        <f>IF(V147="","",IF(V147="No","Yes","No"))</f>
        <v/>
      </c>
      <c r="X147">
        <f>IF(OR(E147="",G147=""),"",IF(LOWER(IF(RIGHT(TRIM(E147),1)="/",LEFT(TRIM(E147),LEN(TRIM(E147))-1),TRIM(E147)))&lt;&gt;LOWER(IF(RIGHT(TRIM(G147),1)="/",LEFT(TRIM(G147),LEN(TRIM(G147))-1),TRIM(G147))),"Yes","No"))</f>
        <v/>
      </c>
      <c r="Y147">
        <f>IF(A147="","",(N(Q147)&gt;0)+(T147="Yes")+(U147="Yes")+(W147="Yes")+(X147="Yes"))</f>
        <v/>
      </c>
      <c r="Z147">
        <f>IF(A147="","",IF(G147="","Not mapped",IF(Y147=0,"OK",MID(IF(N(Q147)&gt;0,"; Cannibalisation","")&amp;IF(T147="Yes","; Too many primary keywords on URL","")&amp;IF(U147="Yes","; URL spans 2+ clusters","")&amp;IF(W147="Yes","; Intent mismatch","")&amp;IF(X147="Yes","; Ranking URL is not the target",""),3,300))))</f>
        <v/>
      </c>
      <c r="AA147">
        <f>IF(G147="","",IF(COUNTIF($G$3:G147,SUBSTITUTE(SUBSTITUTE(G147,"?","~?"),"*","~*"))=1,MAX($AA$2:AA146)+1,""))</f>
        <v/>
      </c>
      <c r="AB147">
        <f>IF(B147="","",IF(COUNTIF($B$3:B147,SUBSTITUTE(SUBSTITUTE(B147,"?","~?"),"*","~*"))=1,MAX($AB$2:AB146)+1,""))</f>
        <v/>
      </c>
    </row>
    <row r="148">
      <c r="M148">
        <f>IF(A148="","",LOWER(TRIM(SUBSTITUTE(SUBSTITUTE(A148,"?",""),"*",""))))</f>
        <v/>
      </c>
      <c r="N148">
        <f>IF(M148="","",IF(SUMPRODUCT(ISNUMBER(SEARCH(" "&amp;Settings!$L$5:$L$124&amp;" "," "&amp;M148&amp;" "))*(Settings!$K$5:$K$124="Navigational")*(Settings!$L$5:$L$124&lt;&gt;""))&gt;0,"Navigational",IF(SUMPRODUCT(ISNUMBER(SEARCH(" "&amp;Settings!$L$5:$L$124&amp;" "," "&amp;M148&amp;" "))*(Settings!$K$5:$K$124="Transactional")*(Settings!$L$5:$L$124&lt;&gt;""))&gt;0,"Transactional",IF(SUMPRODUCT(ISNUMBER(SEARCH(" "&amp;Settings!$L$5:$L$124&amp;" "," "&amp;M148&amp;" "))*(Settings!$K$5:$K$124="Commercial")*(Settings!$L$5:$L$124&lt;&gt;""))&gt;0,"Commercial",IF(SUMPRODUCT(ISNUMBER(SEARCH(" "&amp;Settings!$L$5:$L$124&amp;" "," "&amp;M148&amp;" "))*(Settings!$K$5:$K$124="Informational")*(Settings!$L$5:$L$124&lt;&gt;""))&gt;0,"Informational","Unclassified")))))</f>
        <v/>
      </c>
      <c r="O148">
        <f>IF(A148="","",IF(K148&lt;&gt;"",PROPER(K148),N148))</f>
        <v/>
      </c>
      <c r="P148">
        <f>IF(A148="","",ROUND(Settings!$B$5*MIN(1,LOG10(N(C148)+1)/LOG10(Settings!$B$7+1))+Settings!$B$6*(1-MIN(100,IF(D148="",50,N(D148)))/100)+IFERROR(INDEX(Settings!$B$10:$B$14,MATCH(O148,Settings!$A$10:$A$14,0)),0),0))</f>
        <v/>
      </c>
      <c r="Q148">
        <f>IF(OR(A148="",G148=""),"",COUNTIFS($M$3:$M$1002,M148,$G$3:$G$1002,"&lt;&gt;"&amp;SUBSTITUTE(SUBSTITUTE(G148,"?","~?"),"*","~*"),$G$3:$G$1002,"?*"))</f>
        <v/>
      </c>
      <c r="R148">
        <f>IF(Q148="","",IF(Q148&gt;0,"Yes","No"))</f>
        <v/>
      </c>
      <c r="S148">
        <f>IF(G148="","",COUNTIFS($G$3:$G$1002,SUBSTITUTE(SUBSTITUTE(G148,"?","~?"),"*","~*"),$J$3:$J$1002,"Primary"))</f>
        <v/>
      </c>
      <c r="T148">
        <f>IF(S148="","",IF(S148&gt;Settings!$B$4,"Yes","No"))</f>
        <v/>
      </c>
      <c r="U148">
        <f>IF(OR(G148="",B148=""),"",IF(COUNTIFS($G$3:$G$1002,SUBSTITUTE(SUBSTITUTE(G148,"?","~?"),"*","~*"),$B$3:$B$1002,"&lt;&gt;"&amp;SUBSTITUTE(SUBSTITUTE(B148,"?","~?"),"*","~*"),$B$3:$B$1002,"?*")&gt;0,"Yes","No"))</f>
        <v/>
      </c>
      <c r="V148">
        <f>IF(OR(G148="",I148="",O148="",O148="Unclassified"),"",IFERROR(INDEX(Settings!$E$5:$H$16,MATCH(I148,Settings!$D$5:$D$16,0),MATCH(O148,Settings!$E$4:$H$4,0)),"Check"))</f>
        <v/>
      </c>
      <c r="W148">
        <f>IF(V148="","",IF(V148="No","Yes","No"))</f>
        <v/>
      </c>
      <c r="X148">
        <f>IF(OR(E148="",G148=""),"",IF(LOWER(IF(RIGHT(TRIM(E148),1)="/",LEFT(TRIM(E148),LEN(TRIM(E148))-1),TRIM(E148)))&lt;&gt;LOWER(IF(RIGHT(TRIM(G148),1)="/",LEFT(TRIM(G148),LEN(TRIM(G148))-1),TRIM(G148))),"Yes","No"))</f>
        <v/>
      </c>
      <c r="Y148">
        <f>IF(A148="","",(N(Q148)&gt;0)+(T148="Yes")+(U148="Yes")+(W148="Yes")+(X148="Yes"))</f>
        <v/>
      </c>
      <c r="Z148">
        <f>IF(A148="","",IF(G148="","Not mapped",IF(Y148=0,"OK",MID(IF(N(Q148)&gt;0,"; Cannibalisation","")&amp;IF(T148="Yes","; Too many primary keywords on URL","")&amp;IF(U148="Yes","; URL spans 2+ clusters","")&amp;IF(W148="Yes","; Intent mismatch","")&amp;IF(X148="Yes","; Ranking URL is not the target",""),3,300))))</f>
        <v/>
      </c>
      <c r="AA148">
        <f>IF(G148="","",IF(COUNTIF($G$3:G148,SUBSTITUTE(SUBSTITUTE(G148,"?","~?"),"*","~*"))=1,MAX($AA$2:AA147)+1,""))</f>
        <v/>
      </c>
      <c r="AB148">
        <f>IF(B148="","",IF(COUNTIF($B$3:B148,SUBSTITUTE(SUBSTITUTE(B148,"?","~?"),"*","~*"))=1,MAX($AB$2:AB147)+1,""))</f>
        <v/>
      </c>
    </row>
    <row r="149">
      <c r="M149">
        <f>IF(A149="","",LOWER(TRIM(SUBSTITUTE(SUBSTITUTE(A149,"?",""),"*",""))))</f>
        <v/>
      </c>
      <c r="N149">
        <f>IF(M149="","",IF(SUMPRODUCT(ISNUMBER(SEARCH(" "&amp;Settings!$L$5:$L$124&amp;" "," "&amp;M149&amp;" "))*(Settings!$K$5:$K$124="Navigational")*(Settings!$L$5:$L$124&lt;&gt;""))&gt;0,"Navigational",IF(SUMPRODUCT(ISNUMBER(SEARCH(" "&amp;Settings!$L$5:$L$124&amp;" "," "&amp;M149&amp;" "))*(Settings!$K$5:$K$124="Transactional")*(Settings!$L$5:$L$124&lt;&gt;""))&gt;0,"Transactional",IF(SUMPRODUCT(ISNUMBER(SEARCH(" "&amp;Settings!$L$5:$L$124&amp;" "," "&amp;M149&amp;" "))*(Settings!$K$5:$K$124="Commercial")*(Settings!$L$5:$L$124&lt;&gt;""))&gt;0,"Commercial",IF(SUMPRODUCT(ISNUMBER(SEARCH(" "&amp;Settings!$L$5:$L$124&amp;" "," "&amp;M149&amp;" "))*(Settings!$K$5:$K$124="Informational")*(Settings!$L$5:$L$124&lt;&gt;""))&gt;0,"Informational","Unclassified")))))</f>
        <v/>
      </c>
      <c r="O149">
        <f>IF(A149="","",IF(K149&lt;&gt;"",PROPER(K149),N149))</f>
        <v/>
      </c>
      <c r="P149">
        <f>IF(A149="","",ROUND(Settings!$B$5*MIN(1,LOG10(N(C149)+1)/LOG10(Settings!$B$7+1))+Settings!$B$6*(1-MIN(100,IF(D149="",50,N(D149)))/100)+IFERROR(INDEX(Settings!$B$10:$B$14,MATCH(O149,Settings!$A$10:$A$14,0)),0),0))</f>
        <v/>
      </c>
      <c r="Q149">
        <f>IF(OR(A149="",G149=""),"",COUNTIFS($M$3:$M$1002,M149,$G$3:$G$1002,"&lt;&gt;"&amp;SUBSTITUTE(SUBSTITUTE(G149,"?","~?"),"*","~*"),$G$3:$G$1002,"?*"))</f>
        <v/>
      </c>
      <c r="R149">
        <f>IF(Q149="","",IF(Q149&gt;0,"Yes","No"))</f>
        <v/>
      </c>
      <c r="S149">
        <f>IF(G149="","",COUNTIFS($G$3:$G$1002,SUBSTITUTE(SUBSTITUTE(G149,"?","~?"),"*","~*"),$J$3:$J$1002,"Primary"))</f>
        <v/>
      </c>
      <c r="T149">
        <f>IF(S149="","",IF(S149&gt;Settings!$B$4,"Yes","No"))</f>
        <v/>
      </c>
      <c r="U149">
        <f>IF(OR(G149="",B149=""),"",IF(COUNTIFS($G$3:$G$1002,SUBSTITUTE(SUBSTITUTE(G149,"?","~?"),"*","~*"),$B$3:$B$1002,"&lt;&gt;"&amp;SUBSTITUTE(SUBSTITUTE(B149,"?","~?"),"*","~*"),$B$3:$B$1002,"?*")&gt;0,"Yes","No"))</f>
        <v/>
      </c>
      <c r="V149">
        <f>IF(OR(G149="",I149="",O149="",O149="Unclassified"),"",IFERROR(INDEX(Settings!$E$5:$H$16,MATCH(I149,Settings!$D$5:$D$16,0),MATCH(O149,Settings!$E$4:$H$4,0)),"Check"))</f>
        <v/>
      </c>
      <c r="W149">
        <f>IF(V149="","",IF(V149="No","Yes","No"))</f>
        <v/>
      </c>
      <c r="X149">
        <f>IF(OR(E149="",G149=""),"",IF(LOWER(IF(RIGHT(TRIM(E149),1)="/",LEFT(TRIM(E149),LEN(TRIM(E149))-1),TRIM(E149)))&lt;&gt;LOWER(IF(RIGHT(TRIM(G149),1)="/",LEFT(TRIM(G149),LEN(TRIM(G149))-1),TRIM(G149))),"Yes","No"))</f>
        <v/>
      </c>
      <c r="Y149">
        <f>IF(A149="","",(N(Q149)&gt;0)+(T149="Yes")+(U149="Yes")+(W149="Yes")+(X149="Yes"))</f>
        <v/>
      </c>
      <c r="Z149">
        <f>IF(A149="","",IF(G149="","Not mapped",IF(Y149=0,"OK",MID(IF(N(Q149)&gt;0,"; Cannibalisation","")&amp;IF(T149="Yes","; Too many primary keywords on URL","")&amp;IF(U149="Yes","; URL spans 2+ clusters","")&amp;IF(W149="Yes","; Intent mismatch","")&amp;IF(X149="Yes","; Ranking URL is not the target",""),3,300))))</f>
        <v/>
      </c>
      <c r="AA149">
        <f>IF(G149="","",IF(COUNTIF($G$3:G149,SUBSTITUTE(SUBSTITUTE(G149,"?","~?"),"*","~*"))=1,MAX($AA$2:AA148)+1,""))</f>
        <v/>
      </c>
      <c r="AB149">
        <f>IF(B149="","",IF(COUNTIF($B$3:B149,SUBSTITUTE(SUBSTITUTE(B149,"?","~?"),"*","~*"))=1,MAX($AB$2:AB148)+1,""))</f>
        <v/>
      </c>
    </row>
    <row r="150">
      <c r="M150">
        <f>IF(A150="","",LOWER(TRIM(SUBSTITUTE(SUBSTITUTE(A150,"?",""),"*",""))))</f>
        <v/>
      </c>
      <c r="N150">
        <f>IF(M150="","",IF(SUMPRODUCT(ISNUMBER(SEARCH(" "&amp;Settings!$L$5:$L$124&amp;" "," "&amp;M150&amp;" "))*(Settings!$K$5:$K$124="Navigational")*(Settings!$L$5:$L$124&lt;&gt;""))&gt;0,"Navigational",IF(SUMPRODUCT(ISNUMBER(SEARCH(" "&amp;Settings!$L$5:$L$124&amp;" "," "&amp;M150&amp;" "))*(Settings!$K$5:$K$124="Transactional")*(Settings!$L$5:$L$124&lt;&gt;""))&gt;0,"Transactional",IF(SUMPRODUCT(ISNUMBER(SEARCH(" "&amp;Settings!$L$5:$L$124&amp;" "," "&amp;M150&amp;" "))*(Settings!$K$5:$K$124="Commercial")*(Settings!$L$5:$L$124&lt;&gt;""))&gt;0,"Commercial",IF(SUMPRODUCT(ISNUMBER(SEARCH(" "&amp;Settings!$L$5:$L$124&amp;" "," "&amp;M150&amp;" "))*(Settings!$K$5:$K$124="Informational")*(Settings!$L$5:$L$124&lt;&gt;""))&gt;0,"Informational","Unclassified")))))</f>
        <v/>
      </c>
      <c r="O150">
        <f>IF(A150="","",IF(K150&lt;&gt;"",PROPER(K150),N150))</f>
        <v/>
      </c>
      <c r="P150">
        <f>IF(A150="","",ROUND(Settings!$B$5*MIN(1,LOG10(N(C150)+1)/LOG10(Settings!$B$7+1))+Settings!$B$6*(1-MIN(100,IF(D150="",50,N(D150)))/100)+IFERROR(INDEX(Settings!$B$10:$B$14,MATCH(O150,Settings!$A$10:$A$14,0)),0),0))</f>
        <v/>
      </c>
      <c r="Q150">
        <f>IF(OR(A150="",G150=""),"",COUNTIFS($M$3:$M$1002,M150,$G$3:$G$1002,"&lt;&gt;"&amp;SUBSTITUTE(SUBSTITUTE(G150,"?","~?"),"*","~*"),$G$3:$G$1002,"?*"))</f>
        <v/>
      </c>
      <c r="R150">
        <f>IF(Q150="","",IF(Q150&gt;0,"Yes","No"))</f>
        <v/>
      </c>
      <c r="S150">
        <f>IF(G150="","",COUNTIFS($G$3:$G$1002,SUBSTITUTE(SUBSTITUTE(G150,"?","~?"),"*","~*"),$J$3:$J$1002,"Primary"))</f>
        <v/>
      </c>
      <c r="T150">
        <f>IF(S150="","",IF(S150&gt;Settings!$B$4,"Yes","No"))</f>
        <v/>
      </c>
      <c r="U150">
        <f>IF(OR(G150="",B150=""),"",IF(COUNTIFS($G$3:$G$1002,SUBSTITUTE(SUBSTITUTE(G150,"?","~?"),"*","~*"),$B$3:$B$1002,"&lt;&gt;"&amp;SUBSTITUTE(SUBSTITUTE(B150,"?","~?"),"*","~*"),$B$3:$B$1002,"?*")&gt;0,"Yes","No"))</f>
        <v/>
      </c>
      <c r="V150">
        <f>IF(OR(G150="",I150="",O150="",O150="Unclassified"),"",IFERROR(INDEX(Settings!$E$5:$H$16,MATCH(I150,Settings!$D$5:$D$16,0),MATCH(O150,Settings!$E$4:$H$4,0)),"Check"))</f>
        <v/>
      </c>
      <c r="W150">
        <f>IF(V150="","",IF(V150="No","Yes","No"))</f>
        <v/>
      </c>
      <c r="X150">
        <f>IF(OR(E150="",G150=""),"",IF(LOWER(IF(RIGHT(TRIM(E150),1)="/",LEFT(TRIM(E150),LEN(TRIM(E150))-1),TRIM(E150)))&lt;&gt;LOWER(IF(RIGHT(TRIM(G150),1)="/",LEFT(TRIM(G150),LEN(TRIM(G150))-1),TRIM(G150))),"Yes","No"))</f>
        <v/>
      </c>
      <c r="Y150">
        <f>IF(A150="","",(N(Q150)&gt;0)+(T150="Yes")+(U150="Yes")+(W150="Yes")+(X150="Yes"))</f>
        <v/>
      </c>
      <c r="Z150">
        <f>IF(A150="","",IF(G150="","Not mapped",IF(Y150=0,"OK",MID(IF(N(Q150)&gt;0,"; Cannibalisation","")&amp;IF(T150="Yes","; Too many primary keywords on URL","")&amp;IF(U150="Yes","; URL spans 2+ clusters","")&amp;IF(W150="Yes","; Intent mismatch","")&amp;IF(X150="Yes","; Ranking URL is not the target",""),3,300))))</f>
        <v/>
      </c>
      <c r="AA150">
        <f>IF(G150="","",IF(COUNTIF($G$3:G150,SUBSTITUTE(SUBSTITUTE(G150,"?","~?"),"*","~*"))=1,MAX($AA$2:AA149)+1,""))</f>
        <v/>
      </c>
      <c r="AB150">
        <f>IF(B150="","",IF(COUNTIF($B$3:B150,SUBSTITUTE(SUBSTITUTE(B150,"?","~?"),"*","~*"))=1,MAX($AB$2:AB149)+1,""))</f>
        <v/>
      </c>
    </row>
    <row r="151">
      <c r="M151">
        <f>IF(A151="","",LOWER(TRIM(SUBSTITUTE(SUBSTITUTE(A151,"?",""),"*",""))))</f>
        <v/>
      </c>
      <c r="N151">
        <f>IF(M151="","",IF(SUMPRODUCT(ISNUMBER(SEARCH(" "&amp;Settings!$L$5:$L$124&amp;" "," "&amp;M151&amp;" "))*(Settings!$K$5:$K$124="Navigational")*(Settings!$L$5:$L$124&lt;&gt;""))&gt;0,"Navigational",IF(SUMPRODUCT(ISNUMBER(SEARCH(" "&amp;Settings!$L$5:$L$124&amp;" "," "&amp;M151&amp;" "))*(Settings!$K$5:$K$124="Transactional")*(Settings!$L$5:$L$124&lt;&gt;""))&gt;0,"Transactional",IF(SUMPRODUCT(ISNUMBER(SEARCH(" "&amp;Settings!$L$5:$L$124&amp;" "," "&amp;M151&amp;" "))*(Settings!$K$5:$K$124="Commercial")*(Settings!$L$5:$L$124&lt;&gt;""))&gt;0,"Commercial",IF(SUMPRODUCT(ISNUMBER(SEARCH(" "&amp;Settings!$L$5:$L$124&amp;" "," "&amp;M151&amp;" "))*(Settings!$K$5:$K$124="Informational")*(Settings!$L$5:$L$124&lt;&gt;""))&gt;0,"Informational","Unclassified")))))</f>
        <v/>
      </c>
      <c r="O151">
        <f>IF(A151="","",IF(K151&lt;&gt;"",PROPER(K151),N151))</f>
        <v/>
      </c>
      <c r="P151">
        <f>IF(A151="","",ROUND(Settings!$B$5*MIN(1,LOG10(N(C151)+1)/LOG10(Settings!$B$7+1))+Settings!$B$6*(1-MIN(100,IF(D151="",50,N(D151)))/100)+IFERROR(INDEX(Settings!$B$10:$B$14,MATCH(O151,Settings!$A$10:$A$14,0)),0),0))</f>
        <v/>
      </c>
      <c r="Q151">
        <f>IF(OR(A151="",G151=""),"",COUNTIFS($M$3:$M$1002,M151,$G$3:$G$1002,"&lt;&gt;"&amp;SUBSTITUTE(SUBSTITUTE(G151,"?","~?"),"*","~*"),$G$3:$G$1002,"?*"))</f>
        <v/>
      </c>
      <c r="R151">
        <f>IF(Q151="","",IF(Q151&gt;0,"Yes","No"))</f>
        <v/>
      </c>
      <c r="S151">
        <f>IF(G151="","",COUNTIFS($G$3:$G$1002,SUBSTITUTE(SUBSTITUTE(G151,"?","~?"),"*","~*"),$J$3:$J$1002,"Primary"))</f>
        <v/>
      </c>
      <c r="T151">
        <f>IF(S151="","",IF(S151&gt;Settings!$B$4,"Yes","No"))</f>
        <v/>
      </c>
      <c r="U151">
        <f>IF(OR(G151="",B151=""),"",IF(COUNTIFS($G$3:$G$1002,SUBSTITUTE(SUBSTITUTE(G151,"?","~?"),"*","~*"),$B$3:$B$1002,"&lt;&gt;"&amp;SUBSTITUTE(SUBSTITUTE(B151,"?","~?"),"*","~*"),$B$3:$B$1002,"?*")&gt;0,"Yes","No"))</f>
        <v/>
      </c>
      <c r="V151">
        <f>IF(OR(G151="",I151="",O151="",O151="Unclassified"),"",IFERROR(INDEX(Settings!$E$5:$H$16,MATCH(I151,Settings!$D$5:$D$16,0),MATCH(O151,Settings!$E$4:$H$4,0)),"Check"))</f>
        <v/>
      </c>
      <c r="W151">
        <f>IF(V151="","",IF(V151="No","Yes","No"))</f>
        <v/>
      </c>
      <c r="X151">
        <f>IF(OR(E151="",G151=""),"",IF(LOWER(IF(RIGHT(TRIM(E151),1)="/",LEFT(TRIM(E151),LEN(TRIM(E151))-1),TRIM(E151)))&lt;&gt;LOWER(IF(RIGHT(TRIM(G151),1)="/",LEFT(TRIM(G151),LEN(TRIM(G151))-1),TRIM(G151))),"Yes","No"))</f>
        <v/>
      </c>
      <c r="Y151">
        <f>IF(A151="","",(N(Q151)&gt;0)+(T151="Yes")+(U151="Yes")+(W151="Yes")+(X151="Yes"))</f>
        <v/>
      </c>
      <c r="Z151">
        <f>IF(A151="","",IF(G151="","Not mapped",IF(Y151=0,"OK",MID(IF(N(Q151)&gt;0,"; Cannibalisation","")&amp;IF(T151="Yes","; Too many primary keywords on URL","")&amp;IF(U151="Yes","; URL spans 2+ clusters","")&amp;IF(W151="Yes","; Intent mismatch","")&amp;IF(X151="Yes","; Ranking URL is not the target",""),3,300))))</f>
        <v/>
      </c>
      <c r="AA151">
        <f>IF(G151="","",IF(COUNTIF($G$3:G151,SUBSTITUTE(SUBSTITUTE(G151,"?","~?"),"*","~*"))=1,MAX($AA$2:AA150)+1,""))</f>
        <v/>
      </c>
      <c r="AB151">
        <f>IF(B151="","",IF(COUNTIF($B$3:B151,SUBSTITUTE(SUBSTITUTE(B151,"?","~?"),"*","~*"))=1,MAX($AB$2:AB150)+1,""))</f>
        <v/>
      </c>
    </row>
    <row r="152">
      <c r="M152">
        <f>IF(A152="","",LOWER(TRIM(SUBSTITUTE(SUBSTITUTE(A152,"?",""),"*",""))))</f>
        <v/>
      </c>
      <c r="N152">
        <f>IF(M152="","",IF(SUMPRODUCT(ISNUMBER(SEARCH(" "&amp;Settings!$L$5:$L$124&amp;" "," "&amp;M152&amp;" "))*(Settings!$K$5:$K$124="Navigational")*(Settings!$L$5:$L$124&lt;&gt;""))&gt;0,"Navigational",IF(SUMPRODUCT(ISNUMBER(SEARCH(" "&amp;Settings!$L$5:$L$124&amp;" "," "&amp;M152&amp;" "))*(Settings!$K$5:$K$124="Transactional")*(Settings!$L$5:$L$124&lt;&gt;""))&gt;0,"Transactional",IF(SUMPRODUCT(ISNUMBER(SEARCH(" "&amp;Settings!$L$5:$L$124&amp;" "," "&amp;M152&amp;" "))*(Settings!$K$5:$K$124="Commercial")*(Settings!$L$5:$L$124&lt;&gt;""))&gt;0,"Commercial",IF(SUMPRODUCT(ISNUMBER(SEARCH(" "&amp;Settings!$L$5:$L$124&amp;" "," "&amp;M152&amp;" "))*(Settings!$K$5:$K$124="Informational")*(Settings!$L$5:$L$124&lt;&gt;""))&gt;0,"Informational","Unclassified")))))</f>
        <v/>
      </c>
      <c r="O152">
        <f>IF(A152="","",IF(K152&lt;&gt;"",PROPER(K152),N152))</f>
        <v/>
      </c>
      <c r="P152">
        <f>IF(A152="","",ROUND(Settings!$B$5*MIN(1,LOG10(N(C152)+1)/LOG10(Settings!$B$7+1))+Settings!$B$6*(1-MIN(100,IF(D152="",50,N(D152)))/100)+IFERROR(INDEX(Settings!$B$10:$B$14,MATCH(O152,Settings!$A$10:$A$14,0)),0),0))</f>
        <v/>
      </c>
      <c r="Q152">
        <f>IF(OR(A152="",G152=""),"",COUNTIFS($M$3:$M$1002,M152,$G$3:$G$1002,"&lt;&gt;"&amp;SUBSTITUTE(SUBSTITUTE(G152,"?","~?"),"*","~*"),$G$3:$G$1002,"?*"))</f>
        <v/>
      </c>
      <c r="R152">
        <f>IF(Q152="","",IF(Q152&gt;0,"Yes","No"))</f>
        <v/>
      </c>
      <c r="S152">
        <f>IF(G152="","",COUNTIFS($G$3:$G$1002,SUBSTITUTE(SUBSTITUTE(G152,"?","~?"),"*","~*"),$J$3:$J$1002,"Primary"))</f>
        <v/>
      </c>
      <c r="T152">
        <f>IF(S152="","",IF(S152&gt;Settings!$B$4,"Yes","No"))</f>
        <v/>
      </c>
      <c r="U152">
        <f>IF(OR(G152="",B152=""),"",IF(COUNTIFS($G$3:$G$1002,SUBSTITUTE(SUBSTITUTE(G152,"?","~?"),"*","~*"),$B$3:$B$1002,"&lt;&gt;"&amp;SUBSTITUTE(SUBSTITUTE(B152,"?","~?"),"*","~*"),$B$3:$B$1002,"?*")&gt;0,"Yes","No"))</f>
        <v/>
      </c>
      <c r="V152">
        <f>IF(OR(G152="",I152="",O152="",O152="Unclassified"),"",IFERROR(INDEX(Settings!$E$5:$H$16,MATCH(I152,Settings!$D$5:$D$16,0),MATCH(O152,Settings!$E$4:$H$4,0)),"Check"))</f>
        <v/>
      </c>
      <c r="W152">
        <f>IF(V152="","",IF(V152="No","Yes","No"))</f>
        <v/>
      </c>
      <c r="X152">
        <f>IF(OR(E152="",G152=""),"",IF(LOWER(IF(RIGHT(TRIM(E152),1)="/",LEFT(TRIM(E152),LEN(TRIM(E152))-1),TRIM(E152)))&lt;&gt;LOWER(IF(RIGHT(TRIM(G152),1)="/",LEFT(TRIM(G152),LEN(TRIM(G152))-1),TRIM(G152))),"Yes","No"))</f>
        <v/>
      </c>
      <c r="Y152">
        <f>IF(A152="","",(N(Q152)&gt;0)+(T152="Yes")+(U152="Yes")+(W152="Yes")+(X152="Yes"))</f>
        <v/>
      </c>
      <c r="Z152">
        <f>IF(A152="","",IF(G152="","Not mapped",IF(Y152=0,"OK",MID(IF(N(Q152)&gt;0,"; Cannibalisation","")&amp;IF(T152="Yes","; Too many primary keywords on URL","")&amp;IF(U152="Yes","; URL spans 2+ clusters","")&amp;IF(W152="Yes","; Intent mismatch","")&amp;IF(X152="Yes","; Ranking URL is not the target",""),3,300))))</f>
        <v/>
      </c>
      <c r="AA152">
        <f>IF(G152="","",IF(COUNTIF($G$3:G152,SUBSTITUTE(SUBSTITUTE(G152,"?","~?"),"*","~*"))=1,MAX($AA$2:AA151)+1,""))</f>
        <v/>
      </c>
      <c r="AB152">
        <f>IF(B152="","",IF(COUNTIF($B$3:B152,SUBSTITUTE(SUBSTITUTE(B152,"?","~?"),"*","~*"))=1,MAX($AB$2:AB151)+1,""))</f>
        <v/>
      </c>
    </row>
    <row r="153">
      <c r="M153">
        <f>IF(A153="","",LOWER(TRIM(SUBSTITUTE(SUBSTITUTE(A153,"?",""),"*",""))))</f>
        <v/>
      </c>
      <c r="N153">
        <f>IF(M153="","",IF(SUMPRODUCT(ISNUMBER(SEARCH(" "&amp;Settings!$L$5:$L$124&amp;" "," "&amp;M153&amp;" "))*(Settings!$K$5:$K$124="Navigational")*(Settings!$L$5:$L$124&lt;&gt;""))&gt;0,"Navigational",IF(SUMPRODUCT(ISNUMBER(SEARCH(" "&amp;Settings!$L$5:$L$124&amp;" "," "&amp;M153&amp;" "))*(Settings!$K$5:$K$124="Transactional")*(Settings!$L$5:$L$124&lt;&gt;""))&gt;0,"Transactional",IF(SUMPRODUCT(ISNUMBER(SEARCH(" "&amp;Settings!$L$5:$L$124&amp;" "," "&amp;M153&amp;" "))*(Settings!$K$5:$K$124="Commercial")*(Settings!$L$5:$L$124&lt;&gt;""))&gt;0,"Commercial",IF(SUMPRODUCT(ISNUMBER(SEARCH(" "&amp;Settings!$L$5:$L$124&amp;" "," "&amp;M153&amp;" "))*(Settings!$K$5:$K$124="Informational")*(Settings!$L$5:$L$124&lt;&gt;""))&gt;0,"Informational","Unclassified")))))</f>
        <v/>
      </c>
      <c r="O153">
        <f>IF(A153="","",IF(K153&lt;&gt;"",PROPER(K153),N153))</f>
        <v/>
      </c>
      <c r="P153">
        <f>IF(A153="","",ROUND(Settings!$B$5*MIN(1,LOG10(N(C153)+1)/LOG10(Settings!$B$7+1))+Settings!$B$6*(1-MIN(100,IF(D153="",50,N(D153)))/100)+IFERROR(INDEX(Settings!$B$10:$B$14,MATCH(O153,Settings!$A$10:$A$14,0)),0),0))</f>
        <v/>
      </c>
      <c r="Q153">
        <f>IF(OR(A153="",G153=""),"",COUNTIFS($M$3:$M$1002,M153,$G$3:$G$1002,"&lt;&gt;"&amp;SUBSTITUTE(SUBSTITUTE(G153,"?","~?"),"*","~*"),$G$3:$G$1002,"?*"))</f>
        <v/>
      </c>
      <c r="R153">
        <f>IF(Q153="","",IF(Q153&gt;0,"Yes","No"))</f>
        <v/>
      </c>
      <c r="S153">
        <f>IF(G153="","",COUNTIFS($G$3:$G$1002,SUBSTITUTE(SUBSTITUTE(G153,"?","~?"),"*","~*"),$J$3:$J$1002,"Primary"))</f>
        <v/>
      </c>
      <c r="T153">
        <f>IF(S153="","",IF(S153&gt;Settings!$B$4,"Yes","No"))</f>
        <v/>
      </c>
      <c r="U153">
        <f>IF(OR(G153="",B153=""),"",IF(COUNTIFS($G$3:$G$1002,SUBSTITUTE(SUBSTITUTE(G153,"?","~?"),"*","~*"),$B$3:$B$1002,"&lt;&gt;"&amp;SUBSTITUTE(SUBSTITUTE(B153,"?","~?"),"*","~*"),$B$3:$B$1002,"?*")&gt;0,"Yes","No"))</f>
        <v/>
      </c>
      <c r="V153">
        <f>IF(OR(G153="",I153="",O153="",O153="Unclassified"),"",IFERROR(INDEX(Settings!$E$5:$H$16,MATCH(I153,Settings!$D$5:$D$16,0),MATCH(O153,Settings!$E$4:$H$4,0)),"Check"))</f>
        <v/>
      </c>
      <c r="W153">
        <f>IF(V153="","",IF(V153="No","Yes","No"))</f>
        <v/>
      </c>
      <c r="X153">
        <f>IF(OR(E153="",G153=""),"",IF(LOWER(IF(RIGHT(TRIM(E153),1)="/",LEFT(TRIM(E153),LEN(TRIM(E153))-1),TRIM(E153)))&lt;&gt;LOWER(IF(RIGHT(TRIM(G153),1)="/",LEFT(TRIM(G153),LEN(TRIM(G153))-1),TRIM(G153))),"Yes","No"))</f>
        <v/>
      </c>
      <c r="Y153">
        <f>IF(A153="","",(N(Q153)&gt;0)+(T153="Yes")+(U153="Yes")+(W153="Yes")+(X153="Yes"))</f>
        <v/>
      </c>
      <c r="Z153">
        <f>IF(A153="","",IF(G153="","Not mapped",IF(Y153=0,"OK",MID(IF(N(Q153)&gt;0,"; Cannibalisation","")&amp;IF(T153="Yes","; Too many primary keywords on URL","")&amp;IF(U153="Yes","; URL spans 2+ clusters","")&amp;IF(W153="Yes","; Intent mismatch","")&amp;IF(X153="Yes","; Ranking URL is not the target",""),3,300))))</f>
        <v/>
      </c>
      <c r="AA153">
        <f>IF(G153="","",IF(COUNTIF($G$3:G153,SUBSTITUTE(SUBSTITUTE(G153,"?","~?"),"*","~*"))=1,MAX($AA$2:AA152)+1,""))</f>
        <v/>
      </c>
      <c r="AB153">
        <f>IF(B153="","",IF(COUNTIF($B$3:B153,SUBSTITUTE(SUBSTITUTE(B153,"?","~?"),"*","~*"))=1,MAX($AB$2:AB152)+1,""))</f>
        <v/>
      </c>
    </row>
    <row r="154">
      <c r="M154">
        <f>IF(A154="","",LOWER(TRIM(SUBSTITUTE(SUBSTITUTE(A154,"?",""),"*",""))))</f>
        <v/>
      </c>
      <c r="N154">
        <f>IF(M154="","",IF(SUMPRODUCT(ISNUMBER(SEARCH(" "&amp;Settings!$L$5:$L$124&amp;" "," "&amp;M154&amp;" "))*(Settings!$K$5:$K$124="Navigational")*(Settings!$L$5:$L$124&lt;&gt;""))&gt;0,"Navigational",IF(SUMPRODUCT(ISNUMBER(SEARCH(" "&amp;Settings!$L$5:$L$124&amp;" "," "&amp;M154&amp;" "))*(Settings!$K$5:$K$124="Transactional")*(Settings!$L$5:$L$124&lt;&gt;""))&gt;0,"Transactional",IF(SUMPRODUCT(ISNUMBER(SEARCH(" "&amp;Settings!$L$5:$L$124&amp;" "," "&amp;M154&amp;" "))*(Settings!$K$5:$K$124="Commercial")*(Settings!$L$5:$L$124&lt;&gt;""))&gt;0,"Commercial",IF(SUMPRODUCT(ISNUMBER(SEARCH(" "&amp;Settings!$L$5:$L$124&amp;" "," "&amp;M154&amp;" "))*(Settings!$K$5:$K$124="Informational")*(Settings!$L$5:$L$124&lt;&gt;""))&gt;0,"Informational","Unclassified")))))</f>
        <v/>
      </c>
      <c r="O154">
        <f>IF(A154="","",IF(K154&lt;&gt;"",PROPER(K154),N154))</f>
        <v/>
      </c>
      <c r="P154">
        <f>IF(A154="","",ROUND(Settings!$B$5*MIN(1,LOG10(N(C154)+1)/LOG10(Settings!$B$7+1))+Settings!$B$6*(1-MIN(100,IF(D154="",50,N(D154)))/100)+IFERROR(INDEX(Settings!$B$10:$B$14,MATCH(O154,Settings!$A$10:$A$14,0)),0),0))</f>
        <v/>
      </c>
      <c r="Q154">
        <f>IF(OR(A154="",G154=""),"",COUNTIFS($M$3:$M$1002,M154,$G$3:$G$1002,"&lt;&gt;"&amp;SUBSTITUTE(SUBSTITUTE(G154,"?","~?"),"*","~*"),$G$3:$G$1002,"?*"))</f>
        <v/>
      </c>
      <c r="R154">
        <f>IF(Q154="","",IF(Q154&gt;0,"Yes","No"))</f>
        <v/>
      </c>
      <c r="S154">
        <f>IF(G154="","",COUNTIFS($G$3:$G$1002,SUBSTITUTE(SUBSTITUTE(G154,"?","~?"),"*","~*"),$J$3:$J$1002,"Primary"))</f>
        <v/>
      </c>
      <c r="T154">
        <f>IF(S154="","",IF(S154&gt;Settings!$B$4,"Yes","No"))</f>
        <v/>
      </c>
      <c r="U154">
        <f>IF(OR(G154="",B154=""),"",IF(COUNTIFS($G$3:$G$1002,SUBSTITUTE(SUBSTITUTE(G154,"?","~?"),"*","~*"),$B$3:$B$1002,"&lt;&gt;"&amp;SUBSTITUTE(SUBSTITUTE(B154,"?","~?"),"*","~*"),$B$3:$B$1002,"?*")&gt;0,"Yes","No"))</f>
        <v/>
      </c>
      <c r="V154">
        <f>IF(OR(G154="",I154="",O154="",O154="Unclassified"),"",IFERROR(INDEX(Settings!$E$5:$H$16,MATCH(I154,Settings!$D$5:$D$16,0),MATCH(O154,Settings!$E$4:$H$4,0)),"Check"))</f>
        <v/>
      </c>
      <c r="W154">
        <f>IF(V154="","",IF(V154="No","Yes","No"))</f>
        <v/>
      </c>
      <c r="X154">
        <f>IF(OR(E154="",G154=""),"",IF(LOWER(IF(RIGHT(TRIM(E154),1)="/",LEFT(TRIM(E154),LEN(TRIM(E154))-1),TRIM(E154)))&lt;&gt;LOWER(IF(RIGHT(TRIM(G154),1)="/",LEFT(TRIM(G154),LEN(TRIM(G154))-1),TRIM(G154))),"Yes","No"))</f>
        <v/>
      </c>
      <c r="Y154">
        <f>IF(A154="","",(N(Q154)&gt;0)+(T154="Yes")+(U154="Yes")+(W154="Yes")+(X154="Yes"))</f>
        <v/>
      </c>
      <c r="Z154">
        <f>IF(A154="","",IF(G154="","Not mapped",IF(Y154=0,"OK",MID(IF(N(Q154)&gt;0,"; Cannibalisation","")&amp;IF(T154="Yes","; Too many primary keywords on URL","")&amp;IF(U154="Yes","; URL spans 2+ clusters","")&amp;IF(W154="Yes","; Intent mismatch","")&amp;IF(X154="Yes","; Ranking URL is not the target",""),3,300))))</f>
        <v/>
      </c>
      <c r="AA154">
        <f>IF(G154="","",IF(COUNTIF($G$3:G154,SUBSTITUTE(SUBSTITUTE(G154,"?","~?"),"*","~*"))=1,MAX($AA$2:AA153)+1,""))</f>
        <v/>
      </c>
      <c r="AB154">
        <f>IF(B154="","",IF(COUNTIF($B$3:B154,SUBSTITUTE(SUBSTITUTE(B154,"?","~?"),"*","~*"))=1,MAX($AB$2:AB153)+1,""))</f>
        <v/>
      </c>
    </row>
    <row r="155">
      <c r="M155">
        <f>IF(A155="","",LOWER(TRIM(SUBSTITUTE(SUBSTITUTE(A155,"?",""),"*",""))))</f>
        <v/>
      </c>
      <c r="N155">
        <f>IF(M155="","",IF(SUMPRODUCT(ISNUMBER(SEARCH(" "&amp;Settings!$L$5:$L$124&amp;" "," "&amp;M155&amp;" "))*(Settings!$K$5:$K$124="Navigational")*(Settings!$L$5:$L$124&lt;&gt;""))&gt;0,"Navigational",IF(SUMPRODUCT(ISNUMBER(SEARCH(" "&amp;Settings!$L$5:$L$124&amp;" "," "&amp;M155&amp;" "))*(Settings!$K$5:$K$124="Transactional")*(Settings!$L$5:$L$124&lt;&gt;""))&gt;0,"Transactional",IF(SUMPRODUCT(ISNUMBER(SEARCH(" "&amp;Settings!$L$5:$L$124&amp;" "," "&amp;M155&amp;" "))*(Settings!$K$5:$K$124="Commercial")*(Settings!$L$5:$L$124&lt;&gt;""))&gt;0,"Commercial",IF(SUMPRODUCT(ISNUMBER(SEARCH(" "&amp;Settings!$L$5:$L$124&amp;" "," "&amp;M155&amp;" "))*(Settings!$K$5:$K$124="Informational")*(Settings!$L$5:$L$124&lt;&gt;""))&gt;0,"Informational","Unclassified")))))</f>
        <v/>
      </c>
      <c r="O155">
        <f>IF(A155="","",IF(K155&lt;&gt;"",PROPER(K155),N155))</f>
        <v/>
      </c>
      <c r="P155">
        <f>IF(A155="","",ROUND(Settings!$B$5*MIN(1,LOG10(N(C155)+1)/LOG10(Settings!$B$7+1))+Settings!$B$6*(1-MIN(100,IF(D155="",50,N(D155)))/100)+IFERROR(INDEX(Settings!$B$10:$B$14,MATCH(O155,Settings!$A$10:$A$14,0)),0),0))</f>
        <v/>
      </c>
      <c r="Q155">
        <f>IF(OR(A155="",G155=""),"",COUNTIFS($M$3:$M$1002,M155,$G$3:$G$1002,"&lt;&gt;"&amp;SUBSTITUTE(SUBSTITUTE(G155,"?","~?"),"*","~*"),$G$3:$G$1002,"?*"))</f>
        <v/>
      </c>
      <c r="R155">
        <f>IF(Q155="","",IF(Q155&gt;0,"Yes","No"))</f>
        <v/>
      </c>
      <c r="S155">
        <f>IF(G155="","",COUNTIFS($G$3:$G$1002,SUBSTITUTE(SUBSTITUTE(G155,"?","~?"),"*","~*"),$J$3:$J$1002,"Primary"))</f>
        <v/>
      </c>
      <c r="T155">
        <f>IF(S155="","",IF(S155&gt;Settings!$B$4,"Yes","No"))</f>
        <v/>
      </c>
      <c r="U155">
        <f>IF(OR(G155="",B155=""),"",IF(COUNTIFS($G$3:$G$1002,SUBSTITUTE(SUBSTITUTE(G155,"?","~?"),"*","~*"),$B$3:$B$1002,"&lt;&gt;"&amp;SUBSTITUTE(SUBSTITUTE(B155,"?","~?"),"*","~*"),$B$3:$B$1002,"?*")&gt;0,"Yes","No"))</f>
        <v/>
      </c>
      <c r="V155">
        <f>IF(OR(G155="",I155="",O155="",O155="Unclassified"),"",IFERROR(INDEX(Settings!$E$5:$H$16,MATCH(I155,Settings!$D$5:$D$16,0),MATCH(O155,Settings!$E$4:$H$4,0)),"Check"))</f>
        <v/>
      </c>
      <c r="W155">
        <f>IF(V155="","",IF(V155="No","Yes","No"))</f>
        <v/>
      </c>
      <c r="X155">
        <f>IF(OR(E155="",G155=""),"",IF(LOWER(IF(RIGHT(TRIM(E155),1)="/",LEFT(TRIM(E155),LEN(TRIM(E155))-1),TRIM(E155)))&lt;&gt;LOWER(IF(RIGHT(TRIM(G155),1)="/",LEFT(TRIM(G155),LEN(TRIM(G155))-1),TRIM(G155))),"Yes","No"))</f>
        <v/>
      </c>
      <c r="Y155">
        <f>IF(A155="","",(N(Q155)&gt;0)+(T155="Yes")+(U155="Yes")+(W155="Yes")+(X155="Yes"))</f>
        <v/>
      </c>
      <c r="Z155">
        <f>IF(A155="","",IF(G155="","Not mapped",IF(Y155=0,"OK",MID(IF(N(Q155)&gt;0,"; Cannibalisation","")&amp;IF(T155="Yes","; Too many primary keywords on URL","")&amp;IF(U155="Yes","; URL spans 2+ clusters","")&amp;IF(W155="Yes","; Intent mismatch","")&amp;IF(X155="Yes","; Ranking URL is not the target",""),3,300))))</f>
        <v/>
      </c>
      <c r="AA155">
        <f>IF(G155="","",IF(COUNTIF($G$3:G155,SUBSTITUTE(SUBSTITUTE(G155,"?","~?"),"*","~*"))=1,MAX($AA$2:AA154)+1,""))</f>
        <v/>
      </c>
      <c r="AB155">
        <f>IF(B155="","",IF(COUNTIF($B$3:B155,SUBSTITUTE(SUBSTITUTE(B155,"?","~?"),"*","~*"))=1,MAX($AB$2:AB154)+1,""))</f>
        <v/>
      </c>
    </row>
    <row r="156">
      <c r="M156">
        <f>IF(A156="","",LOWER(TRIM(SUBSTITUTE(SUBSTITUTE(A156,"?",""),"*",""))))</f>
        <v/>
      </c>
      <c r="N156">
        <f>IF(M156="","",IF(SUMPRODUCT(ISNUMBER(SEARCH(" "&amp;Settings!$L$5:$L$124&amp;" "," "&amp;M156&amp;" "))*(Settings!$K$5:$K$124="Navigational")*(Settings!$L$5:$L$124&lt;&gt;""))&gt;0,"Navigational",IF(SUMPRODUCT(ISNUMBER(SEARCH(" "&amp;Settings!$L$5:$L$124&amp;" "," "&amp;M156&amp;" "))*(Settings!$K$5:$K$124="Transactional")*(Settings!$L$5:$L$124&lt;&gt;""))&gt;0,"Transactional",IF(SUMPRODUCT(ISNUMBER(SEARCH(" "&amp;Settings!$L$5:$L$124&amp;" "," "&amp;M156&amp;" "))*(Settings!$K$5:$K$124="Commercial")*(Settings!$L$5:$L$124&lt;&gt;""))&gt;0,"Commercial",IF(SUMPRODUCT(ISNUMBER(SEARCH(" "&amp;Settings!$L$5:$L$124&amp;" "," "&amp;M156&amp;" "))*(Settings!$K$5:$K$124="Informational")*(Settings!$L$5:$L$124&lt;&gt;""))&gt;0,"Informational","Unclassified")))))</f>
        <v/>
      </c>
      <c r="O156">
        <f>IF(A156="","",IF(K156&lt;&gt;"",PROPER(K156),N156))</f>
        <v/>
      </c>
      <c r="P156">
        <f>IF(A156="","",ROUND(Settings!$B$5*MIN(1,LOG10(N(C156)+1)/LOG10(Settings!$B$7+1))+Settings!$B$6*(1-MIN(100,IF(D156="",50,N(D156)))/100)+IFERROR(INDEX(Settings!$B$10:$B$14,MATCH(O156,Settings!$A$10:$A$14,0)),0),0))</f>
        <v/>
      </c>
      <c r="Q156">
        <f>IF(OR(A156="",G156=""),"",COUNTIFS($M$3:$M$1002,M156,$G$3:$G$1002,"&lt;&gt;"&amp;SUBSTITUTE(SUBSTITUTE(G156,"?","~?"),"*","~*"),$G$3:$G$1002,"?*"))</f>
        <v/>
      </c>
      <c r="R156">
        <f>IF(Q156="","",IF(Q156&gt;0,"Yes","No"))</f>
        <v/>
      </c>
      <c r="S156">
        <f>IF(G156="","",COUNTIFS($G$3:$G$1002,SUBSTITUTE(SUBSTITUTE(G156,"?","~?"),"*","~*"),$J$3:$J$1002,"Primary"))</f>
        <v/>
      </c>
      <c r="T156">
        <f>IF(S156="","",IF(S156&gt;Settings!$B$4,"Yes","No"))</f>
        <v/>
      </c>
      <c r="U156">
        <f>IF(OR(G156="",B156=""),"",IF(COUNTIFS($G$3:$G$1002,SUBSTITUTE(SUBSTITUTE(G156,"?","~?"),"*","~*"),$B$3:$B$1002,"&lt;&gt;"&amp;SUBSTITUTE(SUBSTITUTE(B156,"?","~?"),"*","~*"),$B$3:$B$1002,"?*")&gt;0,"Yes","No"))</f>
        <v/>
      </c>
      <c r="V156">
        <f>IF(OR(G156="",I156="",O156="",O156="Unclassified"),"",IFERROR(INDEX(Settings!$E$5:$H$16,MATCH(I156,Settings!$D$5:$D$16,0),MATCH(O156,Settings!$E$4:$H$4,0)),"Check"))</f>
        <v/>
      </c>
      <c r="W156">
        <f>IF(V156="","",IF(V156="No","Yes","No"))</f>
        <v/>
      </c>
      <c r="X156">
        <f>IF(OR(E156="",G156=""),"",IF(LOWER(IF(RIGHT(TRIM(E156),1)="/",LEFT(TRIM(E156),LEN(TRIM(E156))-1),TRIM(E156)))&lt;&gt;LOWER(IF(RIGHT(TRIM(G156),1)="/",LEFT(TRIM(G156),LEN(TRIM(G156))-1),TRIM(G156))),"Yes","No"))</f>
        <v/>
      </c>
      <c r="Y156">
        <f>IF(A156="","",(N(Q156)&gt;0)+(T156="Yes")+(U156="Yes")+(W156="Yes")+(X156="Yes"))</f>
        <v/>
      </c>
      <c r="Z156">
        <f>IF(A156="","",IF(G156="","Not mapped",IF(Y156=0,"OK",MID(IF(N(Q156)&gt;0,"; Cannibalisation","")&amp;IF(T156="Yes","; Too many primary keywords on URL","")&amp;IF(U156="Yes","; URL spans 2+ clusters","")&amp;IF(W156="Yes","; Intent mismatch","")&amp;IF(X156="Yes","; Ranking URL is not the target",""),3,300))))</f>
        <v/>
      </c>
      <c r="AA156">
        <f>IF(G156="","",IF(COUNTIF($G$3:G156,SUBSTITUTE(SUBSTITUTE(G156,"?","~?"),"*","~*"))=1,MAX($AA$2:AA155)+1,""))</f>
        <v/>
      </c>
      <c r="AB156">
        <f>IF(B156="","",IF(COUNTIF($B$3:B156,SUBSTITUTE(SUBSTITUTE(B156,"?","~?"),"*","~*"))=1,MAX($AB$2:AB155)+1,""))</f>
        <v/>
      </c>
    </row>
    <row r="157">
      <c r="M157">
        <f>IF(A157="","",LOWER(TRIM(SUBSTITUTE(SUBSTITUTE(A157,"?",""),"*",""))))</f>
        <v/>
      </c>
      <c r="N157">
        <f>IF(M157="","",IF(SUMPRODUCT(ISNUMBER(SEARCH(" "&amp;Settings!$L$5:$L$124&amp;" "," "&amp;M157&amp;" "))*(Settings!$K$5:$K$124="Navigational")*(Settings!$L$5:$L$124&lt;&gt;""))&gt;0,"Navigational",IF(SUMPRODUCT(ISNUMBER(SEARCH(" "&amp;Settings!$L$5:$L$124&amp;" "," "&amp;M157&amp;" "))*(Settings!$K$5:$K$124="Transactional")*(Settings!$L$5:$L$124&lt;&gt;""))&gt;0,"Transactional",IF(SUMPRODUCT(ISNUMBER(SEARCH(" "&amp;Settings!$L$5:$L$124&amp;" "," "&amp;M157&amp;" "))*(Settings!$K$5:$K$124="Commercial")*(Settings!$L$5:$L$124&lt;&gt;""))&gt;0,"Commercial",IF(SUMPRODUCT(ISNUMBER(SEARCH(" "&amp;Settings!$L$5:$L$124&amp;" "," "&amp;M157&amp;" "))*(Settings!$K$5:$K$124="Informational")*(Settings!$L$5:$L$124&lt;&gt;""))&gt;0,"Informational","Unclassified")))))</f>
        <v/>
      </c>
      <c r="O157">
        <f>IF(A157="","",IF(K157&lt;&gt;"",PROPER(K157),N157))</f>
        <v/>
      </c>
      <c r="P157">
        <f>IF(A157="","",ROUND(Settings!$B$5*MIN(1,LOG10(N(C157)+1)/LOG10(Settings!$B$7+1))+Settings!$B$6*(1-MIN(100,IF(D157="",50,N(D157)))/100)+IFERROR(INDEX(Settings!$B$10:$B$14,MATCH(O157,Settings!$A$10:$A$14,0)),0),0))</f>
        <v/>
      </c>
      <c r="Q157">
        <f>IF(OR(A157="",G157=""),"",COUNTIFS($M$3:$M$1002,M157,$G$3:$G$1002,"&lt;&gt;"&amp;SUBSTITUTE(SUBSTITUTE(G157,"?","~?"),"*","~*"),$G$3:$G$1002,"?*"))</f>
        <v/>
      </c>
      <c r="R157">
        <f>IF(Q157="","",IF(Q157&gt;0,"Yes","No"))</f>
        <v/>
      </c>
      <c r="S157">
        <f>IF(G157="","",COUNTIFS($G$3:$G$1002,SUBSTITUTE(SUBSTITUTE(G157,"?","~?"),"*","~*"),$J$3:$J$1002,"Primary"))</f>
        <v/>
      </c>
      <c r="T157">
        <f>IF(S157="","",IF(S157&gt;Settings!$B$4,"Yes","No"))</f>
        <v/>
      </c>
      <c r="U157">
        <f>IF(OR(G157="",B157=""),"",IF(COUNTIFS($G$3:$G$1002,SUBSTITUTE(SUBSTITUTE(G157,"?","~?"),"*","~*"),$B$3:$B$1002,"&lt;&gt;"&amp;SUBSTITUTE(SUBSTITUTE(B157,"?","~?"),"*","~*"),$B$3:$B$1002,"?*")&gt;0,"Yes","No"))</f>
        <v/>
      </c>
      <c r="V157">
        <f>IF(OR(G157="",I157="",O157="",O157="Unclassified"),"",IFERROR(INDEX(Settings!$E$5:$H$16,MATCH(I157,Settings!$D$5:$D$16,0),MATCH(O157,Settings!$E$4:$H$4,0)),"Check"))</f>
        <v/>
      </c>
      <c r="W157">
        <f>IF(V157="","",IF(V157="No","Yes","No"))</f>
        <v/>
      </c>
      <c r="X157">
        <f>IF(OR(E157="",G157=""),"",IF(LOWER(IF(RIGHT(TRIM(E157),1)="/",LEFT(TRIM(E157),LEN(TRIM(E157))-1),TRIM(E157)))&lt;&gt;LOWER(IF(RIGHT(TRIM(G157),1)="/",LEFT(TRIM(G157),LEN(TRIM(G157))-1),TRIM(G157))),"Yes","No"))</f>
        <v/>
      </c>
      <c r="Y157">
        <f>IF(A157="","",(N(Q157)&gt;0)+(T157="Yes")+(U157="Yes")+(W157="Yes")+(X157="Yes"))</f>
        <v/>
      </c>
      <c r="Z157">
        <f>IF(A157="","",IF(G157="","Not mapped",IF(Y157=0,"OK",MID(IF(N(Q157)&gt;0,"; Cannibalisation","")&amp;IF(T157="Yes","; Too many primary keywords on URL","")&amp;IF(U157="Yes","; URL spans 2+ clusters","")&amp;IF(W157="Yes","; Intent mismatch","")&amp;IF(X157="Yes","; Ranking URL is not the target",""),3,300))))</f>
        <v/>
      </c>
      <c r="AA157">
        <f>IF(G157="","",IF(COUNTIF($G$3:G157,SUBSTITUTE(SUBSTITUTE(G157,"?","~?"),"*","~*"))=1,MAX($AA$2:AA156)+1,""))</f>
        <v/>
      </c>
      <c r="AB157">
        <f>IF(B157="","",IF(COUNTIF($B$3:B157,SUBSTITUTE(SUBSTITUTE(B157,"?","~?"),"*","~*"))=1,MAX($AB$2:AB156)+1,""))</f>
        <v/>
      </c>
    </row>
    <row r="158">
      <c r="M158">
        <f>IF(A158="","",LOWER(TRIM(SUBSTITUTE(SUBSTITUTE(A158,"?",""),"*",""))))</f>
        <v/>
      </c>
      <c r="N158">
        <f>IF(M158="","",IF(SUMPRODUCT(ISNUMBER(SEARCH(" "&amp;Settings!$L$5:$L$124&amp;" "," "&amp;M158&amp;" "))*(Settings!$K$5:$K$124="Navigational")*(Settings!$L$5:$L$124&lt;&gt;""))&gt;0,"Navigational",IF(SUMPRODUCT(ISNUMBER(SEARCH(" "&amp;Settings!$L$5:$L$124&amp;" "," "&amp;M158&amp;" "))*(Settings!$K$5:$K$124="Transactional")*(Settings!$L$5:$L$124&lt;&gt;""))&gt;0,"Transactional",IF(SUMPRODUCT(ISNUMBER(SEARCH(" "&amp;Settings!$L$5:$L$124&amp;" "," "&amp;M158&amp;" "))*(Settings!$K$5:$K$124="Commercial")*(Settings!$L$5:$L$124&lt;&gt;""))&gt;0,"Commercial",IF(SUMPRODUCT(ISNUMBER(SEARCH(" "&amp;Settings!$L$5:$L$124&amp;" "," "&amp;M158&amp;" "))*(Settings!$K$5:$K$124="Informational")*(Settings!$L$5:$L$124&lt;&gt;""))&gt;0,"Informational","Unclassified")))))</f>
        <v/>
      </c>
      <c r="O158">
        <f>IF(A158="","",IF(K158&lt;&gt;"",PROPER(K158),N158))</f>
        <v/>
      </c>
      <c r="P158">
        <f>IF(A158="","",ROUND(Settings!$B$5*MIN(1,LOG10(N(C158)+1)/LOG10(Settings!$B$7+1))+Settings!$B$6*(1-MIN(100,IF(D158="",50,N(D158)))/100)+IFERROR(INDEX(Settings!$B$10:$B$14,MATCH(O158,Settings!$A$10:$A$14,0)),0),0))</f>
        <v/>
      </c>
      <c r="Q158">
        <f>IF(OR(A158="",G158=""),"",COUNTIFS($M$3:$M$1002,M158,$G$3:$G$1002,"&lt;&gt;"&amp;SUBSTITUTE(SUBSTITUTE(G158,"?","~?"),"*","~*"),$G$3:$G$1002,"?*"))</f>
        <v/>
      </c>
      <c r="R158">
        <f>IF(Q158="","",IF(Q158&gt;0,"Yes","No"))</f>
        <v/>
      </c>
      <c r="S158">
        <f>IF(G158="","",COUNTIFS($G$3:$G$1002,SUBSTITUTE(SUBSTITUTE(G158,"?","~?"),"*","~*"),$J$3:$J$1002,"Primary"))</f>
        <v/>
      </c>
      <c r="T158">
        <f>IF(S158="","",IF(S158&gt;Settings!$B$4,"Yes","No"))</f>
        <v/>
      </c>
      <c r="U158">
        <f>IF(OR(G158="",B158=""),"",IF(COUNTIFS($G$3:$G$1002,SUBSTITUTE(SUBSTITUTE(G158,"?","~?"),"*","~*"),$B$3:$B$1002,"&lt;&gt;"&amp;SUBSTITUTE(SUBSTITUTE(B158,"?","~?"),"*","~*"),$B$3:$B$1002,"?*")&gt;0,"Yes","No"))</f>
        <v/>
      </c>
      <c r="V158">
        <f>IF(OR(G158="",I158="",O158="",O158="Unclassified"),"",IFERROR(INDEX(Settings!$E$5:$H$16,MATCH(I158,Settings!$D$5:$D$16,0),MATCH(O158,Settings!$E$4:$H$4,0)),"Check"))</f>
        <v/>
      </c>
      <c r="W158">
        <f>IF(V158="","",IF(V158="No","Yes","No"))</f>
        <v/>
      </c>
      <c r="X158">
        <f>IF(OR(E158="",G158=""),"",IF(LOWER(IF(RIGHT(TRIM(E158),1)="/",LEFT(TRIM(E158),LEN(TRIM(E158))-1),TRIM(E158)))&lt;&gt;LOWER(IF(RIGHT(TRIM(G158),1)="/",LEFT(TRIM(G158),LEN(TRIM(G158))-1),TRIM(G158))),"Yes","No"))</f>
        <v/>
      </c>
      <c r="Y158">
        <f>IF(A158="","",(N(Q158)&gt;0)+(T158="Yes")+(U158="Yes")+(W158="Yes")+(X158="Yes"))</f>
        <v/>
      </c>
      <c r="Z158">
        <f>IF(A158="","",IF(G158="","Not mapped",IF(Y158=0,"OK",MID(IF(N(Q158)&gt;0,"; Cannibalisation","")&amp;IF(T158="Yes","; Too many primary keywords on URL","")&amp;IF(U158="Yes","; URL spans 2+ clusters","")&amp;IF(W158="Yes","; Intent mismatch","")&amp;IF(X158="Yes","; Ranking URL is not the target",""),3,300))))</f>
        <v/>
      </c>
      <c r="AA158">
        <f>IF(G158="","",IF(COUNTIF($G$3:G158,SUBSTITUTE(SUBSTITUTE(G158,"?","~?"),"*","~*"))=1,MAX($AA$2:AA157)+1,""))</f>
        <v/>
      </c>
      <c r="AB158">
        <f>IF(B158="","",IF(COUNTIF($B$3:B158,SUBSTITUTE(SUBSTITUTE(B158,"?","~?"),"*","~*"))=1,MAX($AB$2:AB157)+1,""))</f>
        <v/>
      </c>
    </row>
    <row r="159">
      <c r="M159">
        <f>IF(A159="","",LOWER(TRIM(SUBSTITUTE(SUBSTITUTE(A159,"?",""),"*",""))))</f>
        <v/>
      </c>
      <c r="N159">
        <f>IF(M159="","",IF(SUMPRODUCT(ISNUMBER(SEARCH(" "&amp;Settings!$L$5:$L$124&amp;" "," "&amp;M159&amp;" "))*(Settings!$K$5:$K$124="Navigational")*(Settings!$L$5:$L$124&lt;&gt;""))&gt;0,"Navigational",IF(SUMPRODUCT(ISNUMBER(SEARCH(" "&amp;Settings!$L$5:$L$124&amp;" "," "&amp;M159&amp;" "))*(Settings!$K$5:$K$124="Transactional")*(Settings!$L$5:$L$124&lt;&gt;""))&gt;0,"Transactional",IF(SUMPRODUCT(ISNUMBER(SEARCH(" "&amp;Settings!$L$5:$L$124&amp;" "," "&amp;M159&amp;" "))*(Settings!$K$5:$K$124="Commercial")*(Settings!$L$5:$L$124&lt;&gt;""))&gt;0,"Commercial",IF(SUMPRODUCT(ISNUMBER(SEARCH(" "&amp;Settings!$L$5:$L$124&amp;" "," "&amp;M159&amp;" "))*(Settings!$K$5:$K$124="Informational")*(Settings!$L$5:$L$124&lt;&gt;""))&gt;0,"Informational","Unclassified")))))</f>
        <v/>
      </c>
      <c r="O159">
        <f>IF(A159="","",IF(K159&lt;&gt;"",PROPER(K159),N159))</f>
        <v/>
      </c>
      <c r="P159">
        <f>IF(A159="","",ROUND(Settings!$B$5*MIN(1,LOG10(N(C159)+1)/LOG10(Settings!$B$7+1))+Settings!$B$6*(1-MIN(100,IF(D159="",50,N(D159)))/100)+IFERROR(INDEX(Settings!$B$10:$B$14,MATCH(O159,Settings!$A$10:$A$14,0)),0),0))</f>
        <v/>
      </c>
      <c r="Q159">
        <f>IF(OR(A159="",G159=""),"",COUNTIFS($M$3:$M$1002,M159,$G$3:$G$1002,"&lt;&gt;"&amp;SUBSTITUTE(SUBSTITUTE(G159,"?","~?"),"*","~*"),$G$3:$G$1002,"?*"))</f>
        <v/>
      </c>
      <c r="R159">
        <f>IF(Q159="","",IF(Q159&gt;0,"Yes","No"))</f>
        <v/>
      </c>
      <c r="S159">
        <f>IF(G159="","",COUNTIFS($G$3:$G$1002,SUBSTITUTE(SUBSTITUTE(G159,"?","~?"),"*","~*"),$J$3:$J$1002,"Primary"))</f>
        <v/>
      </c>
      <c r="T159">
        <f>IF(S159="","",IF(S159&gt;Settings!$B$4,"Yes","No"))</f>
        <v/>
      </c>
      <c r="U159">
        <f>IF(OR(G159="",B159=""),"",IF(COUNTIFS($G$3:$G$1002,SUBSTITUTE(SUBSTITUTE(G159,"?","~?"),"*","~*"),$B$3:$B$1002,"&lt;&gt;"&amp;SUBSTITUTE(SUBSTITUTE(B159,"?","~?"),"*","~*"),$B$3:$B$1002,"?*")&gt;0,"Yes","No"))</f>
        <v/>
      </c>
      <c r="V159">
        <f>IF(OR(G159="",I159="",O159="",O159="Unclassified"),"",IFERROR(INDEX(Settings!$E$5:$H$16,MATCH(I159,Settings!$D$5:$D$16,0),MATCH(O159,Settings!$E$4:$H$4,0)),"Check"))</f>
        <v/>
      </c>
      <c r="W159">
        <f>IF(V159="","",IF(V159="No","Yes","No"))</f>
        <v/>
      </c>
      <c r="X159">
        <f>IF(OR(E159="",G159=""),"",IF(LOWER(IF(RIGHT(TRIM(E159),1)="/",LEFT(TRIM(E159),LEN(TRIM(E159))-1),TRIM(E159)))&lt;&gt;LOWER(IF(RIGHT(TRIM(G159),1)="/",LEFT(TRIM(G159),LEN(TRIM(G159))-1),TRIM(G159))),"Yes","No"))</f>
        <v/>
      </c>
      <c r="Y159">
        <f>IF(A159="","",(N(Q159)&gt;0)+(T159="Yes")+(U159="Yes")+(W159="Yes")+(X159="Yes"))</f>
        <v/>
      </c>
      <c r="Z159">
        <f>IF(A159="","",IF(G159="","Not mapped",IF(Y159=0,"OK",MID(IF(N(Q159)&gt;0,"; Cannibalisation","")&amp;IF(T159="Yes","; Too many primary keywords on URL","")&amp;IF(U159="Yes","; URL spans 2+ clusters","")&amp;IF(W159="Yes","; Intent mismatch","")&amp;IF(X159="Yes","; Ranking URL is not the target",""),3,300))))</f>
        <v/>
      </c>
      <c r="AA159">
        <f>IF(G159="","",IF(COUNTIF($G$3:G159,SUBSTITUTE(SUBSTITUTE(G159,"?","~?"),"*","~*"))=1,MAX($AA$2:AA158)+1,""))</f>
        <v/>
      </c>
      <c r="AB159">
        <f>IF(B159="","",IF(COUNTIF($B$3:B159,SUBSTITUTE(SUBSTITUTE(B159,"?","~?"),"*","~*"))=1,MAX($AB$2:AB158)+1,""))</f>
        <v/>
      </c>
    </row>
    <row r="160">
      <c r="M160">
        <f>IF(A160="","",LOWER(TRIM(SUBSTITUTE(SUBSTITUTE(A160,"?",""),"*",""))))</f>
        <v/>
      </c>
      <c r="N160">
        <f>IF(M160="","",IF(SUMPRODUCT(ISNUMBER(SEARCH(" "&amp;Settings!$L$5:$L$124&amp;" "," "&amp;M160&amp;" "))*(Settings!$K$5:$K$124="Navigational")*(Settings!$L$5:$L$124&lt;&gt;""))&gt;0,"Navigational",IF(SUMPRODUCT(ISNUMBER(SEARCH(" "&amp;Settings!$L$5:$L$124&amp;" "," "&amp;M160&amp;" "))*(Settings!$K$5:$K$124="Transactional")*(Settings!$L$5:$L$124&lt;&gt;""))&gt;0,"Transactional",IF(SUMPRODUCT(ISNUMBER(SEARCH(" "&amp;Settings!$L$5:$L$124&amp;" "," "&amp;M160&amp;" "))*(Settings!$K$5:$K$124="Commercial")*(Settings!$L$5:$L$124&lt;&gt;""))&gt;0,"Commercial",IF(SUMPRODUCT(ISNUMBER(SEARCH(" "&amp;Settings!$L$5:$L$124&amp;" "," "&amp;M160&amp;" "))*(Settings!$K$5:$K$124="Informational")*(Settings!$L$5:$L$124&lt;&gt;""))&gt;0,"Informational","Unclassified")))))</f>
        <v/>
      </c>
      <c r="O160">
        <f>IF(A160="","",IF(K160&lt;&gt;"",PROPER(K160),N160))</f>
        <v/>
      </c>
      <c r="P160">
        <f>IF(A160="","",ROUND(Settings!$B$5*MIN(1,LOG10(N(C160)+1)/LOG10(Settings!$B$7+1))+Settings!$B$6*(1-MIN(100,IF(D160="",50,N(D160)))/100)+IFERROR(INDEX(Settings!$B$10:$B$14,MATCH(O160,Settings!$A$10:$A$14,0)),0),0))</f>
        <v/>
      </c>
      <c r="Q160">
        <f>IF(OR(A160="",G160=""),"",COUNTIFS($M$3:$M$1002,M160,$G$3:$G$1002,"&lt;&gt;"&amp;SUBSTITUTE(SUBSTITUTE(G160,"?","~?"),"*","~*"),$G$3:$G$1002,"?*"))</f>
        <v/>
      </c>
      <c r="R160">
        <f>IF(Q160="","",IF(Q160&gt;0,"Yes","No"))</f>
        <v/>
      </c>
      <c r="S160">
        <f>IF(G160="","",COUNTIFS($G$3:$G$1002,SUBSTITUTE(SUBSTITUTE(G160,"?","~?"),"*","~*"),$J$3:$J$1002,"Primary"))</f>
        <v/>
      </c>
      <c r="T160">
        <f>IF(S160="","",IF(S160&gt;Settings!$B$4,"Yes","No"))</f>
        <v/>
      </c>
      <c r="U160">
        <f>IF(OR(G160="",B160=""),"",IF(COUNTIFS($G$3:$G$1002,SUBSTITUTE(SUBSTITUTE(G160,"?","~?"),"*","~*"),$B$3:$B$1002,"&lt;&gt;"&amp;SUBSTITUTE(SUBSTITUTE(B160,"?","~?"),"*","~*"),$B$3:$B$1002,"?*")&gt;0,"Yes","No"))</f>
        <v/>
      </c>
      <c r="V160">
        <f>IF(OR(G160="",I160="",O160="",O160="Unclassified"),"",IFERROR(INDEX(Settings!$E$5:$H$16,MATCH(I160,Settings!$D$5:$D$16,0),MATCH(O160,Settings!$E$4:$H$4,0)),"Check"))</f>
        <v/>
      </c>
      <c r="W160">
        <f>IF(V160="","",IF(V160="No","Yes","No"))</f>
        <v/>
      </c>
      <c r="X160">
        <f>IF(OR(E160="",G160=""),"",IF(LOWER(IF(RIGHT(TRIM(E160),1)="/",LEFT(TRIM(E160),LEN(TRIM(E160))-1),TRIM(E160)))&lt;&gt;LOWER(IF(RIGHT(TRIM(G160),1)="/",LEFT(TRIM(G160),LEN(TRIM(G160))-1),TRIM(G160))),"Yes","No"))</f>
        <v/>
      </c>
      <c r="Y160">
        <f>IF(A160="","",(N(Q160)&gt;0)+(T160="Yes")+(U160="Yes")+(W160="Yes")+(X160="Yes"))</f>
        <v/>
      </c>
      <c r="Z160">
        <f>IF(A160="","",IF(G160="","Not mapped",IF(Y160=0,"OK",MID(IF(N(Q160)&gt;0,"; Cannibalisation","")&amp;IF(T160="Yes","; Too many primary keywords on URL","")&amp;IF(U160="Yes","; URL spans 2+ clusters","")&amp;IF(W160="Yes","; Intent mismatch","")&amp;IF(X160="Yes","; Ranking URL is not the target",""),3,300))))</f>
        <v/>
      </c>
      <c r="AA160">
        <f>IF(G160="","",IF(COUNTIF($G$3:G160,SUBSTITUTE(SUBSTITUTE(G160,"?","~?"),"*","~*"))=1,MAX($AA$2:AA159)+1,""))</f>
        <v/>
      </c>
      <c r="AB160">
        <f>IF(B160="","",IF(COUNTIF($B$3:B160,SUBSTITUTE(SUBSTITUTE(B160,"?","~?"),"*","~*"))=1,MAX($AB$2:AB159)+1,""))</f>
        <v/>
      </c>
    </row>
    <row r="161">
      <c r="M161">
        <f>IF(A161="","",LOWER(TRIM(SUBSTITUTE(SUBSTITUTE(A161,"?",""),"*",""))))</f>
        <v/>
      </c>
      <c r="N161">
        <f>IF(M161="","",IF(SUMPRODUCT(ISNUMBER(SEARCH(" "&amp;Settings!$L$5:$L$124&amp;" "," "&amp;M161&amp;" "))*(Settings!$K$5:$K$124="Navigational")*(Settings!$L$5:$L$124&lt;&gt;""))&gt;0,"Navigational",IF(SUMPRODUCT(ISNUMBER(SEARCH(" "&amp;Settings!$L$5:$L$124&amp;" "," "&amp;M161&amp;" "))*(Settings!$K$5:$K$124="Transactional")*(Settings!$L$5:$L$124&lt;&gt;""))&gt;0,"Transactional",IF(SUMPRODUCT(ISNUMBER(SEARCH(" "&amp;Settings!$L$5:$L$124&amp;" "," "&amp;M161&amp;" "))*(Settings!$K$5:$K$124="Commercial")*(Settings!$L$5:$L$124&lt;&gt;""))&gt;0,"Commercial",IF(SUMPRODUCT(ISNUMBER(SEARCH(" "&amp;Settings!$L$5:$L$124&amp;" "," "&amp;M161&amp;" "))*(Settings!$K$5:$K$124="Informational")*(Settings!$L$5:$L$124&lt;&gt;""))&gt;0,"Informational","Unclassified")))))</f>
        <v/>
      </c>
      <c r="O161">
        <f>IF(A161="","",IF(K161&lt;&gt;"",PROPER(K161),N161))</f>
        <v/>
      </c>
      <c r="P161">
        <f>IF(A161="","",ROUND(Settings!$B$5*MIN(1,LOG10(N(C161)+1)/LOG10(Settings!$B$7+1))+Settings!$B$6*(1-MIN(100,IF(D161="",50,N(D161)))/100)+IFERROR(INDEX(Settings!$B$10:$B$14,MATCH(O161,Settings!$A$10:$A$14,0)),0),0))</f>
        <v/>
      </c>
      <c r="Q161">
        <f>IF(OR(A161="",G161=""),"",COUNTIFS($M$3:$M$1002,M161,$G$3:$G$1002,"&lt;&gt;"&amp;SUBSTITUTE(SUBSTITUTE(G161,"?","~?"),"*","~*"),$G$3:$G$1002,"?*"))</f>
        <v/>
      </c>
      <c r="R161">
        <f>IF(Q161="","",IF(Q161&gt;0,"Yes","No"))</f>
        <v/>
      </c>
      <c r="S161">
        <f>IF(G161="","",COUNTIFS($G$3:$G$1002,SUBSTITUTE(SUBSTITUTE(G161,"?","~?"),"*","~*"),$J$3:$J$1002,"Primary"))</f>
        <v/>
      </c>
      <c r="T161">
        <f>IF(S161="","",IF(S161&gt;Settings!$B$4,"Yes","No"))</f>
        <v/>
      </c>
      <c r="U161">
        <f>IF(OR(G161="",B161=""),"",IF(COUNTIFS($G$3:$G$1002,SUBSTITUTE(SUBSTITUTE(G161,"?","~?"),"*","~*"),$B$3:$B$1002,"&lt;&gt;"&amp;SUBSTITUTE(SUBSTITUTE(B161,"?","~?"),"*","~*"),$B$3:$B$1002,"?*")&gt;0,"Yes","No"))</f>
        <v/>
      </c>
      <c r="V161">
        <f>IF(OR(G161="",I161="",O161="",O161="Unclassified"),"",IFERROR(INDEX(Settings!$E$5:$H$16,MATCH(I161,Settings!$D$5:$D$16,0),MATCH(O161,Settings!$E$4:$H$4,0)),"Check"))</f>
        <v/>
      </c>
      <c r="W161">
        <f>IF(V161="","",IF(V161="No","Yes","No"))</f>
        <v/>
      </c>
      <c r="X161">
        <f>IF(OR(E161="",G161=""),"",IF(LOWER(IF(RIGHT(TRIM(E161),1)="/",LEFT(TRIM(E161),LEN(TRIM(E161))-1),TRIM(E161)))&lt;&gt;LOWER(IF(RIGHT(TRIM(G161),1)="/",LEFT(TRIM(G161),LEN(TRIM(G161))-1),TRIM(G161))),"Yes","No"))</f>
        <v/>
      </c>
      <c r="Y161">
        <f>IF(A161="","",(N(Q161)&gt;0)+(T161="Yes")+(U161="Yes")+(W161="Yes")+(X161="Yes"))</f>
        <v/>
      </c>
      <c r="Z161">
        <f>IF(A161="","",IF(G161="","Not mapped",IF(Y161=0,"OK",MID(IF(N(Q161)&gt;0,"; Cannibalisation","")&amp;IF(T161="Yes","; Too many primary keywords on URL","")&amp;IF(U161="Yes","; URL spans 2+ clusters","")&amp;IF(W161="Yes","; Intent mismatch","")&amp;IF(X161="Yes","; Ranking URL is not the target",""),3,300))))</f>
        <v/>
      </c>
      <c r="AA161">
        <f>IF(G161="","",IF(COUNTIF($G$3:G161,SUBSTITUTE(SUBSTITUTE(G161,"?","~?"),"*","~*"))=1,MAX($AA$2:AA160)+1,""))</f>
        <v/>
      </c>
      <c r="AB161">
        <f>IF(B161="","",IF(COUNTIF($B$3:B161,SUBSTITUTE(SUBSTITUTE(B161,"?","~?"),"*","~*"))=1,MAX($AB$2:AB160)+1,""))</f>
        <v/>
      </c>
    </row>
    <row r="162">
      <c r="M162">
        <f>IF(A162="","",LOWER(TRIM(SUBSTITUTE(SUBSTITUTE(A162,"?",""),"*",""))))</f>
        <v/>
      </c>
      <c r="N162">
        <f>IF(M162="","",IF(SUMPRODUCT(ISNUMBER(SEARCH(" "&amp;Settings!$L$5:$L$124&amp;" "," "&amp;M162&amp;" "))*(Settings!$K$5:$K$124="Navigational")*(Settings!$L$5:$L$124&lt;&gt;""))&gt;0,"Navigational",IF(SUMPRODUCT(ISNUMBER(SEARCH(" "&amp;Settings!$L$5:$L$124&amp;" "," "&amp;M162&amp;" "))*(Settings!$K$5:$K$124="Transactional")*(Settings!$L$5:$L$124&lt;&gt;""))&gt;0,"Transactional",IF(SUMPRODUCT(ISNUMBER(SEARCH(" "&amp;Settings!$L$5:$L$124&amp;" "," "&amp;M162&amp;" "))*(Settings!$K$5:$K$124="Commercial")*(Settings!$L$5:$L$124&lt;&gt;""))&gt;0,"Commercial",IF(SUMPRODUCT(ISNUMBER(SEARCH(" "&amp;Settings!$L$5:$L$124&amp;" "," "&amp;M162&amp;" "))*(Settings!$K$5:$K$124="Informational")*(Settings!$L$5:$L$124&lt;&gt;""))&gt;0,"Informational","Unclassified")))))</f>
        <v/>
      </c>
      <c r="O162">
        <f>IF(A162="","",IF(K162&lt;&gt;"",PROPER(K162),N162))</f>
        <v/>
      </c>
      <c r="P162">
        <f>IF(A162="","",ROUND(Settings!$B$5*MIN(1,LOG10(N(C162)+1)/LOG10(Settings!$B$7+1))+Settings!$B$6*(1-MIN(100,IF(D162="",50,N(D162)))/100)+IFERROR(INDEX(Settings!$B$10:$B$14,MATCH(O162,Settings!$A$10:$A$14,0)),0),0))</f>
        <v/>
      </c>
      <c r="Q162">
        <f>IF(OR(A162="",G162=""),"",COUNTIFS($M$3:$M$1002,M162,$G$3:$G$1002,"&lt;&gt;"&amp;SUBSTITUTE(SUBSTITUTE(G162,"?","~?"),"*","~*"),$G$3:$G$1002,"?*"))</f>
        <v/>
      </c>
      <c r="R162">
        <f>IF(Q162="","",IF(Q162&gt;0,"Yes","No"))</f>
        <v/>
      </c>
      <c r="S162">
        <f>IF(G162="","",COUNTIFS($G$3:$G$1002,SUBSTITUTE(SUBSTITUTE(G162,"?","~?"),"*","~*"),$J$3:$J$1002,"Primary"))</f>
        <v/>
      </c>
      <c r="T162">
        <f>IF(S162="","",IF(S162&gt;Settings!$B$4,"Yes","No"))</f>
        <v/>
      </c>
      <c r="U162">
        <f>IF(OR(G162="",B162=""),"",IF(COUNTIFS($G$3:$G$1002,SUBSTITUTE(SUBSTITUTE(G162,"?","~?"),"*","~*"),$B$3:$B$1002,"&lt;&gt;"&amp;SUBSTITUTE(SUBSTITUTE(B162,"?","~?"),"*","~*"),$B$3:$B$1002,"?*")&gt;0,"Yes","No"))</f>
        <v/>
      </c>
      <c r="V162">
        <f>IF(OR(G162="",I162="",O162="",O162="Unclassified"),"",IFERROR(INDEX(Settings!$E$5:$H$16,MATCH(I162,Settings!$D$5:$D$16,0),MATCH(O162,Settings!$E$4:$H$4,0)),"Check"))</f>
        <v/>
      </c>
      <c r="W162">
        <f>IF(V162="","",IF(V162="No","Yes","No"))</f>
        <v/>
      </c>
      <c r="X162">
        <f>IF(OR(E162="",G162=""),"",IF(LOWER(IF(RIGHT(TRIM(E162),1)="/",LEFT(TRIM(E162),LEN(TRIM(E162))-1),TRIM(E162)))&lt;&gt;LOWER(IF(RIGHT(TRIM(G162),1)="/",LEFT(TRIM(G162),LEN(TRIM(G162))-1),TRIM(G162))),"Yes","No"))</f>
        <v/>
      </c>
      <c r="Y162">
        <f>IF(A162="","",(N(Q162)&gt;0)+(T162="Yes")+(U162="Yes")+(W162="Yes")+(X162="Yes"))</f>
        <v/>
      </c>
      <c r="Z162">
        <f>IF(A162="","",IF(G162="","Not mapped",IF(Y162=0,"OK",MID(IF(N(Q162)&gt;0,"; Cannibalisation","")&amp;IF(T162="Yes","; Too many primary keywords on URL","")&amp;IF(U162="Yes","; URL spans 2+ clusters","")&amp;IF(W162="Yes","; Intent mismatch","")&amp;IF(X162="Yes","; Ranking URL is not the target",""),3,300))))</f>
        <v/>
      </c>
      <c r="AA162">
        <f>IF(G162="","",IF(COUNTIF($G$3:G162,SUBSTITUTE(SUBSTITUTE(G162,"?","~?"),"*","~*"))=1,MAX($AA$2:AA161)+1,""))</f>
        <v/>
      </c>
      <c r="AB162">
        <f>IF(B162="","",IF(COUNTIF($B$3:B162,SUBSTITUTE(SUBSTITUTE(B162,"?","~?"),"*","~*"))=1,MAX($AB$2:AB161)+1,""))</f>
        <v/>
      </c>
    </row>
    <row r="163">
      <c r="M163">
        <f>IF(A163="","",LOWER(TRIM(SUBSTITUTE(SUBSTITUTE(A163,"?",""),"*",""))))</f>
        <v/>
      </c>
      <c r="N163">
        <f>IF(M163="","",IF(SUMPRODUCT(ISNUMBER(SEARCH(" "&amp;Settings!$L$5:$L$124&amp;" "," "&amp;M163&amp;" "))*(Settings!$K$5:$K$124="Navigational")*(Settings!$L$5:$L$124&lt;&gt;""))&gt;0,"Navigational",IF(SUMPRODUCT(ISNUMBER(SEARCH(" "&amp;Settings!$L$5:$L$124&amp;" "," "&amp;M163&amp;" "))*(Settings!$K$5:$K$124="Transactional")*(Settings!$L$5:$L$124&lt;&gt;""))&gt;0,"Transactional",IF(SUMPRODUCT(ISNUMBER(SEARCH(" "&amp;Settings!$L$5:$L$124&amp;" "," "&amp;M163&amp;" "))*(Settings!$K$5:$K$124="Commercial")*(Settings!$L$5:$L$124&lt;&gt;""))&gt;0,"Commercial",IF(SUMPRODUCT(ISNUMBER(SEARCH(" "&amp;Settings!$L$5:$L$124&amp;" "," "&amp;M163&amp;" "))*(Settings!$K$5:$K$124="Informational")*(Settings!$L$5:$L$124&lt;&gt;""))&gt;0,"Informational","Unclassified")))))</f>
        <v/>
      </c>
      <c r="O163">
        <f>IF(A163="","",IF(K163&lt;&gt;"",PROPER(K163),N163))</f>
        <v/>
      </c>
      <c r="P163">
        <f>IF(A163="","",ROUND(Settings!$B$5*MIN(1,LOG10(N(C163)+1)/LOG10(Settings!$B$7+1))+Settings!$B$6*(1-MIN(100,IF(D163="",50,N(D163)))/100)+IFERROR(INDEX(Settings!$B$10:$B$14,MATCH(O163,Settings!$A$10:$A$14,0)),0),0))</f>
        <v/>
      </c>
      <c r="Q163">
        <f>IF(OR(A163="",G163=""),"",COUNTIFS($M$3:$M$1002,M163,$G$3:$G$1002,"&lt;&gt;"&amp;SUBSTITUTE(SUBSTITUTE(G163,"?","~?"),"*","~*"),$G$3:$G$1002,"?*"))</f>
        <v/>
      </c>
      <c r="R163">
        <f>IF(Q163="","",IF(Q163&gt;0,"Yes","No"))</f>
        <v/>
      </c>
      <c r="S163">
        <f>IF(G163="","",COUNTIFS($G$3:$G$1002,SUBSTITUTE(SUBSTITUTE(G163,"?","~?"),"*","~*"),$J$3:$J$1002,"Primary"))</f>
        <v/>
      </c>
      <c r="T163">
        <f>IF(S163="","",IF(S163&gt;Settings!$B$4,"Yes","No"))</f>
        <v/>
      </c>
      <c r="U163">
        <f>IF(OR(G163="",B163=""),"",IF(COUNTIFS($G$3:$G$1002,SUBSTITUTE(SUBSTITUTE(G163,"?","~?"),"*","~*"),$B$3:$B$1002,"&lt;&gt;"&amp;SUBSTITUTE(SUBSTITUTE(B163,"?","~?"),"*","~*"),$B$3:$B$1002,"?*")&gt;0,"Yes","No"))</f>
        <v/>
      </c>
      <c r="V163">
        <f>IF(OR(G163="",I163="",O163="",O163="Unclassified"),"",IFERROR(INDEX(Settings!$E$5:$H$16,MATCH(I163,Settings!$D$5:$D$16,0),MATCH(O163,Settings!$E$4:$H$4,0)),"Check"))</f>
        <v/>
      </c>
      <c r="W163">
        <f>IF(V163="","",IF(V163="No","Yes","No"))</f>
        <v/>
      </c>
      <c r="X163">
        <f>IF(OR(E163="",G163=""),"",IF(LOWER(IF(RIGHT(TRIM(E163),1)="/",LEFT(TRIM(E163),LEN(TRIM(E163))-1),TRIM(E163)))&lt;&gt;LOWER(IF(RIGHT(TRIM(G163),1)="/",LEFT(TRIM(G163),LEN(TRIM(G163))-1),TRIM(G163))),"Yes","No"))</f>
        <v/>
      </c>
      <c r="Y163">
        <f>IF(A163="","",(N(Q163)&gt;0)+(T163="Yes")+(U163="Yes")+(W163="Yes")+(X163="Yes"))</f>
        <v/>
      </c>
      <c r="Z163">
        <f>IF(A163="","",IF(G163="","Not mapped",IF(Y163=0,"OK",MID(IF(N(Q163)&gt;0,"; Cannibalisation","")&amp;IF(T163="Yes","; Too many primary keywords on URL","")&amp;IF(U163="Yes","; URL spans 2+ clusters","")&amp;IF(W163="Yes","; Intent mismatch","")&amp;IF(X163="Yes","; Ranking URL is not the target",""),3,300))))</f>
        <v/>
      </c>
      <c r="AA163">
        <f>IF(G163="","",IF(COUNTIF($G$3:G163,SUBSTITUTE(SUBSTITUTE(G163,"?","~?"),"*","~*"))=1,MAX($AA$2:AA162)+1,""))</f>
        <v/>
      </c>
      <c r="AB163">
        <f>IF(B163="","",IF(COUNTIF($B$3:B163,SUBSTITUTE(SUBSTITUTE(B163,"?","~?"),"*","~*"))=1,MAX($AB$2:AB162)+1,""))</f>
        <v/>
      </c>
    </row>
    <row r="164">
      <c r="M164">
        <f>IF(A164="","",LOWER(TRIM(SUBSTITUTE(SUBSTITUTE(A164,"?",""),"*",""))))</f>
        <v/>
      </c>
      <c r="N164">
        <f>IF(M164="","",IF(SUMPRODUCT(ISNUMBER(SEARCH(" "&amp;Settings!$L$5:$L$124&amp;" "," "&amp;M164&amp;" "))*(Settings!$K$5:$K$124="Navigational")*(Settings!$L$5:$L$124&lt;&gt;""))&gt;0,"Navigational",IF(SUMPRODUCT(ISNUMBER(SEARCH(" "&amp;Settings!$L$5:$L$124&amp;" "," "&amp;M164&amp;" "))*(Settings!$K$5:$K$124="Transactional")*(Settings!$L$5:$L$124&lt;&gt;""))&gt;0,"Transactional",IF(SUMPRODUCT(ISNUMBER(SEARCH(" "&amp;Settings!$L$5:$L$124&amp;" "," "&amp;M164&amp;" "))*(Settings!$K$5:$K$124="Commercial")*(Settings!$L$5:$L$124&lt;&gt;""))&gt;0,"Commercial",IF(SUMPRODUCT(ISNUMBER(SEARCH(" "&amp;Settings!$L$5:$L$124&amp;" "," "&amp;M164&amp;" "))*(Settings!$K$5:$K$124="Informational")*(Settings!$L$5:$L$124&lt;&gt;""))&gt;0,"Informational","Unclassified")))))</f>
        <v/>
      </c>
      <c r="O164">
        <f>IF(A164="","",IF(K164&lt;&gt;"",PROPER(K164),N164))</f>
        <v/>
      </c>
      <c r="P164">
        <f>IF(A164="","",ROUND(Settings!$B$5*MIN(1,LOG10(N(C164)+1)/LOG10(Settings!$B$7+1))+Settings!$B$6*(1-MIN(100,IF(D164="",50,N(D164)))/100)+IFERROR(INDEX(Settings!$B$10:$B$14,MATCH(O164,Settings!$A$10:$A$14,0)),0),0))</f>
        <v/>
      </c>
      <c r="Q164">
        <f>IF(OR(A164="",G164=""),"",COUNTIFS($M$3:$M$1002,M164,$G$3:$G$1002,"&lt;&gt;"&amp;SUBSTITUTE(SUBSTITUTE(G164,"?","~?"),"*","~*"),$G$3:$G$1002,"?*"))</f>
        <v/>
      </c>
      <c r="R164">
        <f>IF(Q164="","",IF(Q164&gt;0,"Yes","No"))</f>
        <v/>
      </c>
      <c r="S164">
        <f>IF(G164="","",COUNTIFS($G$3:$G$1002,SUBSTITUTE(SUBSTITUTE(G164,"?","~?"),"*","~*"),$J$3:$J$1002,"Primary"))</f>
        <v/>
      </c>
      <c r="T164">
        <f>IF(S164="","",IF(S164&gt;Settings!$B$4,"Yes","No"))</f>
        <v/>
      </c>
      <c r="U164">
        <f>IF(OR(G164="",B164=""),"",IF(COUNTIFS($G$3:$G$1002,SUBSTITUTE(SUBSTITUTE(G164,"?","~?"),"*","~*"),$B$3:$B$1002,"&lt;&gt;"&amp;SUBSTITUTE(SUBSTITUTE(B164,"?","~?"),"*","~*"),$B$3:$B$1002,"?*")&gt;0,"Yes","No"))</f>
        <v/>
      </c>
      <c r="V164">
        <f>IF(OR(G164="",I164="",O164="",O164="Unclassified"),"",IFERROR(INDEX(Settings!$E$5:$H$16,MATCH(I164,Settings!$D$5:$D$16,0),MATCH(O164,Settings!$E$4:$H$4,0)),"Check"))</f>
        <v/>
      </c>
      <c r="W164">
        <f>IF(V164="","",IF(V164="No","Yes","No"))</f>
        <v/>
      </c>
      <c r="X164">
        <f>IF(OR(E164="",G164=""),"",IF(LOWER(IF(RIGHT(TRIM(E164),1)="/",LEFT(TRIM(E164),LEN(TRIM(E164))-1),TRIM(E164)))&lt;&gt;LOWER(IF(RIGHT(TRIM(G164),1)="/",LEFT(TRIM(G164),LEN(TRIM(G164))-1),TRIM(G164))),"Yes","No"))</f>
        <v/>
      </c>
      <c r="Y164">
        <f>IF(A164="","",(N(Q164)&gt;0)+(T164="Yes")+(U164="Yes")+(W164="Yes")+(X164="Yes"))</f>
        <v/>
      </c>
      <c r="Z164">
        <f>IF(A164="","",IF(G164="","Not mapped",IF(Y164=0,"OK",MID(IF(N(Q164)&gt;0,"; Cannibalisation","")&amp;IF(T164="Yes","; Too many primary keywords on URL","")&amp;IF(U164="Yes","; URL spans 2+ clusters","")&amp;IF(W164="Yes","; Intent mismatch","")&amp;IF(X164="Yes","; Ranking URL is not the target",""),3,300))))</f>
        <v/>
      </c>
      <c r="AA164">
        <f>IF(G164="","",IF(COUNTIF($G$3:G164,SUBSTITUTE(SUBSTITUTE(G164,"?","~?"),"*","~*"))=1,MAX($AA$2:AA163)+1,""))</f>
        <v/>
      </c>
      <c r="AB164">
        <f>IF(B164="","",IF(COUNTIF($B$3:B164,SUBSTITUTE(SUBSTITUTE(B164,"?","~?"),"*","~*"))=1,MAX($AB$2:AB163)+1,""))</f>
        <v/>
      </c>
    </row>
    <row r="165">
      <c r="M165">
        <f>IF(A165="","",LOWER(TRIM(SUBSTITUTE(SUBSTITUTE(A165,"?",""),"*",""))))</f>
        <v/>
      </c>
      <c r="N165">
        <f>IF(M165="","",IF(SUMPRODUCT(ISNUMBER(SEARCH(" "&amp;Settings!$L$5:$L$124&amp;" "," "&amp;M165&amp;" "))*(Settings!$K$5:$K$124="Navigational")*(Settings!$L$5:$L$124&lt;&gt;""))&gt;0,"Navigational",IF(SUMPRODUCT(ISNUMBER(SEARCH(" "&amp;Settings!$L$5:$L$124&amp;" "," "&amp;M165&amp;" "))*(Settings!$K$5:$K$124="Transactional")*(Settings!$L$5:$L$124&lt;&gt;""))&gt;0,"Transactional",IF(SUMPRODUCT(ISNUMBER(SEARCH(" "&amp;Settings!$L$5:$L$124&amp;" "," "&amp;M165&amp;" "))*(Settings!$K$5:$K$124="Commercial")*(Settings!$L$5:$L$124&lt;&gt;""))&gt;0,"Commercial",IF(SUMPRODUCT(ISNUMBER(SEARCH(" "&amp;Settings!$L$5:$L$124&amp;" "," "&amp;M165&amp;" "))*(Settings!$K$5:$K$124="Informational")*(Settings!$L$5:$L$124&lt;&gt;""))&gt;0,"Informational","Unclassified")))))</f>
        <v/>
      </c>
      <c r="O165">
        <f>IF(A165="","",IF(K165&lt;&gt;"",PROPER(K165),N165))</f>
        <v/>
      </c>
      <c r="P165">
        <f>IF(A165="","",ROUND(Settings!$B$5*MIN(1,LOG10(N(C165)+1)/LOG10(Settings!$B$7+1))+Settings!$B$6*(1-MIN(100,IF(D165="",50,N(D165)))/100)+IFERROR(INDEX(Settings!$B$10:$B$14,MATCH(O165,Settings!$A$10:$A$14,0)),0),0))</f>
        <v/>
      </c>
      <c r="Q165">
        <f>IF(OR(A165="",G165=""),"",COUNTIFS($M$3:$M$1002,M165,$G$3:$G$1002,"&lt;&gt;"&amp;SUBSTITUTE(SUBSTITUTE(G165,"?","~?"),"*","~*"),$G$3:$G$1002,"?*"))</f>
        <v/>
      </c>
      <c r="R165">
        <f>IF(Q165="","",IF(Q165&gt;0,"Yes","No"))</f>
        <v/>
      </c>
      <c r="S165">
        <f>IF(G165="","",COUNTIFS($G$3:$G$1002,SUBSTITUTE(SUBSTITUTE(G165,"?","~?"),"*","~*"),$J$3:$J$1002,"Primary"))</f>
        <v/>
      </c>
      <c r="T165">
        <f>IF(S165="","",IF(S165&gt;Settings!$B$4,"Yes","No"))</f>
        <v/>
      </c>
      <c r="U165">
        <f>IF(OR(G165="",B165=""),"",IF(COUNTIFS($G$3:$G$1002,SUBSTITUTE(SUBSTITUTE(G165,"?","~?"),"*","~*"),$B$3:$B$1002,"&lt;&gt;"&amp;SUBSTITUTE(SUBSTITUTE(B165,"?","~?"),"*","~*"),$B$3:$B$1002,"?*")&gt;0,"Yes","No"))</f>
        <v/>
      </c>
      <c r="V165">
        <f>IF(OR(G165="",I165="",O165="",O165="Unclassified"),"",IFERROR(INDEX(Settings!$E$5:$H$16,MATCH(I165,Settings!$D$5:$D$16,0),MATCH(O165,Settings!$E$4:$H$4,0)),"Check"))</f>
        <v/>
      </c>
      <c r="W165">
        <f>IF(V165="","",IF(V165="No","Yes","No"))</f>
        <v/>
      </c>
      <c r="X165">
        <f>IF(OR(E165="",G165=""),"",IF(LOWER(IF(RIGHT(TRIM(E165),1)="/",LEFT(TRIM(E165),LEN(TRIM(E165))-1),TRIM(E165)))&lt;&gt;LOWER(IF(RIGHT(TRIM(G165),1)="/",LEFT(TRIM(G165),LEN(TRIM(G165))-1),TRIM(G165))),"Yes","No"))</f>
        <v/>
      </c>
      <c r="Y165">
        <f>IF(A165="","",(N(Q165)&gt;0)+(T165="Yes")+(U165="Yes")+(W165="Yes")+(X165="Yes"))</f>
        <v/>
      </c>
      <c r="Z165">
        <f>IF(A165="","",IF(G165="","Not mapped",IF(Y165=0,"OK",MID(IF(N(Q165)&gt;0,"; Cannibalisation","")&amp;IF(T165="Yes","; Too many primary keywords on URL","")&amp;IF(U165="Yes","; URL spans 2+ clusters","")&amp;IF(W165="Yes","; Intent mismatch","")&amp;IF(X165="Yes","; Ranking URL is not the target",""),3,300))))</f>
        <v/>
      </c>
      <c r="AA165">
        <f>IF(G165="","",IF(COUNTIF($G$3:G165,SUBSTITUTE(SUBSTITUTE(G165,"?","~?"),"*","~*"))=1,MAX($AA$2:AA164)+1,""))</f>
        <v/>
      </c>
      <c r="AB165">
        <f>IF(B165="","",IF(COUNTIF($B$3:B165,SUBSTITUTE(SUBSTITUTE(B165,"?","~?"),"*","~*"))=1,MAX($AB$2:AB164)+1,""))</f>
        <v/>
      </c>
    </row>
    <row r="166">
      <c r="M166">
        <f>IF(A166="","",LOWER(TRIM(SUBSTITUTE(SUBSTITUTE(A166,"?",""),"*",""))))</f>
        <v/>
      </c>
      <c r="N166">
        <f>IF(M166="","",IF(SUMPRODUCT(ISNUMBER(SEARCH(" "&amp;Settings!$L$5:$L$124&amp;" "," "&amp;M166&amp;" "))*(Settings!$K$5:$K$124="Navigational")*(Settings!$L$5:$L$124&lt;&gt;""))&gt;0,"Navigational",IF(SUMPRODUCT(ISNUMBER(SEARCH(" "&amp;Settings!$L$5:$L$124&amp;" "," "&amp;M166&amp;" "))*(Settings!$K$5:$K$124="Transactional")*(Settings!$L$5:$L$124&lt;&gt;""))&gt;0,"Transactional",IF(SUMPRODUCT(ISNUMBER(SEARCH(" "&amp;Settings!$L$5:$L$124&amp;" "," "&amp;M166&amp;" "))*(Settings!$K$5:$K$124="Commercial")*(Settings!$L$5:$L$124&lt;&gt;""))&gt;0,"Commercial",IF(SUMPRODUCT(ISNUMBER(SEARCH(" "&amp;Settings!$L$5:$L$124&amp;" "," "&amp;M166&amp;" "))*(Settings!$K$5:$K$124="Informational")*(Settings!$L$5:$L$124&lt;&gt;""))&gt;0,"Informational","Unclassified")))))</f>
        <v/>
      </c>
      <c r="O166">
        <f>IF(A166="","",IF(K166&lt;&gt;"",PROPER(K166),N166))</f>
        <v/>
      </c>
      <c r="P166">
        <f>IF(A166="","",ROUND(Settings!$B$5*MIN(1,LOG10(N(C166)+1)/LOG10(Settings!$B$7+1))+Settings!$B$6*(1-MIN(100,IF(D166="",50,N(D166)))/100)+IFERROR(INDEX(Settings!$B$10:$B$14,MATCH(O166,Settings!$A$10:$A$14,0)),0),0))</f>
        <v/>
      </c>
      <c r="Q166">
        <f>IF(OR(A166="",G166=""),"",COUNTIFS($M$3:$M$1002,M166,$G$3:$G$1002,"&lt;&gt;"&amp;SUBSTITUTE(SUBSTITUTE(G166,"?","~?"),"*","~*"),$G$3:$G$1002,"?*"))</f>
        <v/>
      </c>
      <c r="R166">
        <f>IF(Q166="","",IF(Q166&gt;0,"Yes","No"))</f>
        <v/>
      </c>
      <c r="S166">
        <f>IF(G166="","",COUNTIFS($G$3:$G$1002,SUBSTITUTE(SUBSTITUTE(G166,"?","~?"),"*","~*"),$J$3:$J$1002,"Primary"))</f>
        <v/>
      </c>
      <c r="T166">
        <f>IF(S166="","",IF(S166&gt;Settings!$B$4,"Yes","No"))</f>
        <v/>
      </c>
      <c r="U166">
        <f>IF(OR(G166="",B166=""),"",IF(COUNTIFS($G$3:$G$1002,SUBSTITUTE(SUBSTITUTE(G166,"?","~?"),"*","~*"),$B$3:$B$1002,"&lt;&gt;"&amp;SUBSTITUTE(SUBSTITUTE(B166,"?","~?"),"*","~*"),$B$3:$B$1002,"?*")&gt;0,"Yes","No"))</f>
        <v/>
      </c>
      <c r="V166">
        <f>IF(OR(G166="",I166="",O166="",O166="Unclassified"),"",IFERROR(INDEX(Settings!$E$5:$H$16,MATCH(I166,Settings!$D$5:$D$16,0),MATCH(O166,Settings!$E$4:$H$4,0)),"Check"))</f>
        <v/>
      </c>
      <c r="W166">
        <f>IF(V166="","",IF(V166="No","Yes","No"))</f>
        <v/>
      </c>
      <c r="X166">
        <f>IF(OR(E166="",G166=""),"",IF(LOWER(IF(RIGHT(TRIM(E166),1)="/",LEFT(TRIM(E166),LEN(TRIM(E166))-1),TRIM(E166)))&lt;&gt;LOWER(IF(RIGHT(TRIM(G166),1)="/",LEFT(TRIM(G166),LEN(TRIM(G166))-1),TRIM(G166))),"Yes","No"))</f>
        <v/>
      </c>
      <c r="Y166">
        <f>IF(A166="","",(N(Q166)&gt;0)+(T166="Yes")+(U166="Yes")+(W166="Yes")+(X166="Yes"))</f>
        <v/>
      </c>
      <c r="Z166">
        <f>IF(A166="","",IF(G166="","Not mapped",IF(Y166=0,"OK",MID(IF(N(Q166)&gt;0,"; Cannibalisation","")&amp;IF(T166="Yes","; Too many primary keywords on URL","")&amp;IF(U166="Yes","; URL spans 2+ clusters","")&amp;IF(W166="Yes","; Intent mismatch","")&amp;IF(X166="Yes","; Ranking URL is not the target",""),3,300))))</f>
        <v/>
      </c>
      <c r="AA166">
        <f>IF(G166="","",IF(COUNTIF($G$3:G166,SUBSTITUTE(SUBSTITUTE(G166,"?","~?"),"*","~*"))=1,MAX($AA$2:AA165)+1,""))</f>
        <v/>
      </c>
      <c r="AB166">
        <f>IF(B166="","",IF(COUNTIF($B$3:B166,SUBSTITUTE(SUBSTITUTE(B166,"?","~?"),"*","~*"))=1,MAX($AB$2:AB165)+1,""))</f>
        <v/>
      </c>
    </row>
    <row r="167">
      <c r="M167">
        <f>IF(A167="","",LOWER(TRIM(SUBSTITUTE(SUBSTITUTE(A167,"?",""),"*",""))))</f>
        <v/>
      </c>
      <c r="N167">
        <f>IF(M167="","",IF(SUMPRODUCT(ISNUMBER(SEARCH(" "&amp;Settings!$L$5:$L$124&amp;" "," "&amp;M167&amp;" "))*(Settings!$K$5:$K$124="Navigational")*(Settings!$L$5:$L$124&lt;&gt;""))&gt;0,"Navigational",IF(SUMPRODUCT(ISNUMBER(SEARCH(" "&amp;Settings!$L$5:$L$124&amp;" "," "&amp;M167&amp;" "))*(Settings!$K$5:$K$124="Transactional")*(Settings!$L$5:$L$124&lt;&gt;""))&gt;0,"Transactional",IF(SUMPRODUCT(ISNUMBER(SEARCH(" "&amp;Settings!$L$5:$L$124&amp;" "," "&amp;M167&amp;" "))*(Settings!$K$5:$K$124="Commercial")*(Settings!$L$5:$L$124&lt;&gt;""))&gt;0,"Commercial",IF(SUMPRODUCT(ISNUMBER(SEARCH(" "&amp;Settings!$L$5:$L$124&amp;" "," "&amp;M167&amp;" "))*(Settings!$K$5:$K$124="Informational")*(Settings!$L$5:$L$124&lt;&gt;""))&gt;0,"Informational","Unclassified")))))</f>
        <v/>
      </c>
      <c r="O167">
        <f>IF(A167="","",IF(K167&lt;&gt;"",PROPER(K167),N167))</f>
        <v/>
      </c>
      <c r="P167">
        <f>IF(A167="","",ROUND(Settings!$B$5*MIN(1,LOG10(N(C167)+1)/LOG10(Settings!$B$7+1))+Settings!$B$6*(1-MIN(100,IF(D167="",50,N(D167)))/100)+IFERROR(INDEX(Settings!$B$10:$B$14,MATCH(O167,Settings!$A$10:$A$14,0)),0),0))</f>
        <v/>
      </c>
      <c r="Q167">
        <f>IF(OR(A167="",G167=""),"",COUNTIFS($M$3:$M$1002,M167,$G$3:$G$1002,"&lt;&gt;"&amp;SUBSTITUTE(SUBSTITUTE(G167,"?","~?"),"*","~*"),$G$3:$G$1002,"?*"))</f>
        <v/>
      </c>
      <c r="R167">
        <f>IF(Q167="","",IF(Q167&gt;0,"Yes","No"))</f>
        <v/>
      </c>
      <c r="S167">
        <f>IF(G167="","",COUNTIFS($G$3:$G$1002,SUBSTITUTE(SUBSTITUTE(G167,"?","~?"),"*","~*"),$J$3:$J$1002,"Primary"))</f>
        <v/>
      </c>
      <c r="T167">
        <f>IF(S167="","",IF(S167&gt;Settings!$B$4,"Yes","No"))</f>
        <v/>
      </c>
      <c r="U167">
        <f>IF(OR(G167="",B167=""),"",IF(COUNTIFS($G$3:$G$1002,SUBSTITUTE(SUBSTITUTE(G167,"?","~?"),"*","~*"),$B$3:$B$1002,"&lt;&gt;"&amp;SUBSTITUTE(SUBSTITUTE(B167,"?","~?"),"*","~*"),$B$3:$B$1002,"?*")&gt;0,"Yes","No"))</f>
        <v/>
      </c>
      <c r="V167">
        <f>IF(OR(G167="",I167="",O167="",O167="Unclassified"),"",IFERROR(INDEX(Settings!$E$5:$H$16,MATCH(I167,Settings!$D$5:$D$16,0),MATCH(O167,Settings!$E$4:$H$4,0)),"Check"))</f>
        <v/>
      </c>
      <c r="W167">
        <f>IF(V167="","",IF(V167="No","Yes","No"))</f>
        <v/>
      </c>
      <c r="X167">
        <f>IF(OR(E167="",G167=""),"",IF(LOWER(IF(RIGHT(TRIM(E167),1)="/",LEFT(TRIM(E167),LEN(TRIM(E167))-1),TRIM(E167)))&lt;&gt;LOWER(IF(RIGHT(TRIM(G167),1)="/",LEFT(TRIM(G167),LEN(TRIM(G167))-1),TRIM(G167))),"Yes","No"))</f>
        <v/>
      </c>
      <c r="Y167">
        <f>IF(A167="","",(N(Q167)&gt;0)+(T167="Yes")+(U167="Yes")+(W167="Yes")+(X167="Yes"))</f>
        <v/>
      </c>
      <c r="Z167">
        <f>IF(A167="","",IF(G167="","Not mapped",IF(Y167=0,"OK",MID(IF(N(Q167)&gt;0,"; Cannibalisation","")&amp;IF(T167="Yes","; Too many primary keywords on URL","")&amp;IF(U167="Yes","; URL spans 2+ clusters","")&amp;IF(W167="Yes","; Intent mismatch","")&amp;IF(X167="Yes","; Ranking URL is not the target",""),3,300))))</f>
        <v/>
      </c>
      <c r="AA167">
        <f>IF(G167="","",IF(COUNTIF($G$3:G167,SUBSTITUTE(SUBSTITUTE(G167,"?","~?"),"*","~*"))=1,MAX($AA$2:AA166)+1,""))</f>
        <v/>
      </c>
      <c r="AB167">
        <f>IF(B167="","",IF(COUNTIF($B$3:B167,SUBSTITUTE(SUBSTITUTE(B167,"?","~?"),"*","~*"))=1,MAX($AB$2:AB166)+1,""))</f>
        <v/>
      </c>
    </row>
    <row r="168">
      <c r="M168">
        <f>IF(A168="","",LOWER(TRIM(SUBSTITUTE(SUBSTITUTE(A168,"?",""),"*",""))))</f>
        <v/>
      </c>
      <c r="N168">
        <f>IF(M168="","",IF(SUMPRODUCT(ISNUMBER(SEARCH(" "&amp;Settings!$L$5:$L$124&amp;" "," "&amp;M168&amp;" "))*(Settings!$K$5:$K$124="Navigational")*(Settings!$L$5:$L$124&lt;&gt;""))&gt;0,"Navigational",IF(SUMPRODUCT(ISNUMBER(SEARCH(" "&amp;Settings!$L$5:$L$124&amp;" "," "&amp;M168&amp;" "))*(Settings!$K$5:$K$124="Transactional")*(Settings!$L$5:$L$124&lt;&gt;""))&gt;0,"Transactional",IF(SUMPRODUCT(ISNUMBER(SEARCH(" "&amp;Settings!$L$5:$L$124&amp;" "," "&amp;M168&amp;" "))*(Settings!$K$5:$K$124="Commercial")*(Settings!$L$5:$L$124&lt;&gt;""))&gt;0,"Commercial",IF(SUMPRODUCT(ISNUMBER(SEARCH(" "&amp;Settings!$L$5:$L$124&amp;" "," "&amp;M168&amp;" "))*(Settings!$K$5:$K$124="Informational")*(Settings!$L$5:$L$124&lt;&gt;""))&gt;0,"Informational","Unclassified")))))</f>
        <v/>
      </c>
      <c r="O168">
        <f>IF(A168="","",IF(K168&lt;&gt;"",PROPER(K168),N168))</f>
        <v/>
      </c>
      <c r="P168">
        <f>IF(A168="","",ROUND(Settings!$B$5*MIN(1,LOG10(N(C168)+1)/LOG10(Settings!$B$7+1))+Settings!$B$6*(1-MIN(100,IF(D168="",50,N(D168)))/100)+IFERROR(INDEX(Settings!$B$10:$B$14,MATCH(O168,Settings!$A$10:$A$14,0)),0),0))</f>
        <v/>
      </c>
      <c r="Q168">
        <f>IF(OR(A168="",G168=""),"",COUNTIFS($M$3:$M$1002,M168,$G$3:$G$1002,"&lt;&gt;"&amp;SUBSTITUTE(SUBSTITUTE(G168,"?","~?"),"*","~*"),$G$3:$G$1002,"?*"))</f>
        <v/>
      </c>
      <c r="R168">
        <f>IF(Q168="","",IF(Q168&gt;0,"Yes","No"))</f>
        <v/>
      </c>
      <c r="S168">
        <f>IF(G168="","",COUNTIFS($G$3:$G$1002,SUBSTITUTE(SUBSTITUTE(G168,"?","~?"),"*","~*"),$J$3:$J$1002,"Primary"))</f>
        <v/>
      </c>
      <c r="T168">
        <f>IF(S168="","",IF(S168&gt;Settings!$B$4,"Yes","No"))</f>
        <v/>
      </c>
      <c r="U168">
        <f>IF(OR(G168="",B168=""),"",IF(COUNTIFS($G$3:$G$1002,SUBSTITUTE(SUBSTITUTE(G168,"?","~?"),"*","~*"),$B$3:$B$1002,"&lt;&gt;"&amp;SUBSTITUTE(SUBSTITUTE(B168,"?","~?"),"*","~*"),$B$3:$B$1002,"?*")&gt;0,"Yes","No"))</f>
        <v/>
      </c>
      <c r="V168">
        <f>IF(OR(G168="",I168="",O168="",O168="Unclassified"),"",IFERROR(INDEX(Settings!$E$5:$H$16,MATCH(I168,Settings!$D$5:$D$16,0),MATCH(O168,Settings!$E$4:$H$4,0)),"Check"))</f>
        <v/>
      </c>
      <c r="W168">
        <f>IF(V168="","",IF(V168="No","Yes","No"))</f>
        <v/>
      </c>
      <c r="X168">
        <f>IF(OR(E168="",G168=""),"",IF(LOWER(IF(RIGHT(TRIM(E168),1)="/",LEFT(TRIM(E168),LEN(TRIM(E168))-1),TRIM(E168)))&lt;&gt;LOWER(IF(RIGHT(TRIM(G168),1)="/",LEFT(TRIM(G168),LEN(TRIM(G168))-1),TRIM(G168))),"Yes","No"))</f>
        <v/>
      </c>
      <c r="Y168">
        <f>IF(A168="","",(N(Q168)&gt;0)+(T168="Yes")+(U168="Yes")+(W168="Yes")+(X168="Yes"))</f>
        <v/>
      </c>
      <c r="Z168">
        <f>IF(A168="","",IF(G168="","Not mapped",IF(Y168=0,"OK",MID(IF(N(Q168)&gt;0,"; Cannibalisation","")&amp;IF(T168="Yes","; Too many primary keywords on URL","")&amp;IF(U168="Yes","; URL spans 2+ clusters","")&amp;IF(W168="Yes","; Intent mismatch","")&amp;IF(X168="Yes","; Ranking URL is not the target",""),3,300))))</f>
        <v/>
      </c>
      <c r="AA168">
        <f>IF(G168="","",IF(COUNTIF($G$3:G168,SUBSTITUTE(SUBSTITUTE(G168,"?","~?"),"*","~*"))=1,MAX($AA$2:AA167)+1,""))</f>
        <v/>
      </c>
      <c r="AB168">
        <f>IF(B168="","",IF(COUNTIF($B$3:B168,SUBSTITUTE(SUBSTITUTE(B168,"?","~?"),"*","~*"))=1,MAX($AB$2:AB167)+1,""))</f>
        <v/>
      </c>
    </row>
    <row r="169">
      <c r="M169">
        <f>IF(A169="","",LOWER(TRIM(SUBSTITUTE(SUBSTITUTE(A169,"?",""),"*",""))))</f>
        <v/>
      </c>
      <c r="N169">
        <f>IF(M169="","",IF(SUMPRODUCT(ISNUMBER(SEARCH(" "&amp;Settings!$L$5:$L$124&amp;" "," "&amp;M169&amp;" "))*(Settings!$K$5:$K$124="Navigational")*(Settings!$L$5:$L$124&lt;&gt;""))&gt;0,"Navigational",IF(SUMPRODUCT(ISNUMBER(SEARCH(" "&amp;Settings!$L$5:$L$124&amp;" "," "&amp;M169&amp;" "))*(Settings!$K$5:$K$124="Transactional")*(Settings!$L$5:$L$124&lt;&gt;""))&gt;0,"Transactional",IF(SUMPRODUCT(ISNUMBER(SEARCH(" "&amp;Settings!$L$5:$L$124&amp;" "," "&amp;M169&amp;" "))*(Settings!$K$5:$K$124="Commercial")*(Settings!$L$5:$L$124&lt;&gt;""))&gt;0,"Commercial",IF(SUMPRODUCT(ISNUMBER(SEARCH(" "&amp;Settings!$L$5:$L$124&amp;" "," "&amp;M169&amp;" "))*(Settings!$K$5:$K$124="Informational")*(Settings!$L$5:$L$124&lt;&gt;""))&gt;0,"Informational","Unclassified")))))</f>
        <v/>
      </c>
      <c r="O169">
        <f>IF(A169="","",IF(K169&lt;&gt;"",PROPER(K169),N169))</f>
        <v/>
      </c>
      <c r="P169">
        <f>IF(A169="","",ROUND(Settings!$B$5*MIN(1,LOG10(N(C169)+1)/LOG10(Settings!$B$7+1))+Settings!$B$6*(1-MIN(100,IF(D169="",50,N(D169)))/100)+IFERROR(INDEX(Settings!$B$10:$B$14,MATCH(O169,Settings!$A$10:$A$14,0)),0),0))</f>
        <v/>
      </c>
      <c r="Q169">
        <f>IF(OR(A169="",G169=""),"",COUNTIFS($M$3:$M$1002,M169,$G$3:$G$1002,"&lt;&gt;"&amp;SUBSTITUTE(SUBSTITUTE(G169,"?","~?"),"*","~*"),$G$3:$G$1002,"?*"))</f>
        <v/>
      </c>
      <c r="R169">
        <f>IF(Q169="","",IF(Q169&gt;0,"Yes","No"))</f>
        <v/>
      </c>
      <c r="S169">
        <f>IF(G169="","",COUNTIFS($G$3:$G$1002,SUBSTITUTE(SUBSTITUTE(G169,"?","~?"),"*","~*"),$J$3:$J$1002,"Primary"))</f>
        <v/>
      </c>
      <c r="T169">
        <f>IF(S169="","",IF(S169&gt;Settings!$B$4,"Yes","No"))</f>
        <v/>
      </c>
      <c r="U169">
        <f>IF(OR(G169="",B169=""),"",IF(COUNTIFS($G$3:$G$1002,SUBSTITUTE(SUBSTITUTE(G169,"?","~?"),"*","~*"),$B$3:$B$1002,"&lt;&gt;"&amp;SUBSTITUTE(SUBSTITUTE(B169,"?","~?"),"*","~*"),$B$3:$B$1002,"?*")&gt;0,"Yes","No"))</f>
        <v/>
      </c>
      <c r="V169">
        <f>IF(OR(G169="",I169="",O169="",O169="Unclassified"),"",IFERROR(INDEX(Settings!$E$5:$H$16,MATCH(I169,Settings!$D$5:$D$16,0),MATCH(O169,Settings!$E$4:$H$4,0)),"Check"))</f>
        <v/>
      </c>
      <c r="W169">
        <f>IF(V169="","",IF(V169="No","Yes","No"))</f>
        <v/>
      </c>
      <c r="X169">
        <f>IF(OR(E169="",G169=""),"",IF(LOWER(IF(RIGHT(TRIM(E169),1)="/",LEFT(TRIM(E169),LEN(TRIM(E169))-1),TRIM(E169)))&lt;&gt;LOWER(IF(RIGHT(TRIM(G169),1)="/",LEFT(TRIM(G169),LEN(TRIM(G169))-1),TRIM(G169))),"Yes","No"))</f>
        <v/>
      </c>
      <c r="Y169">
        <f>IF(A169="","",(N(Q169)&gt;0)+(T169="Yes")+(U169="Yes")+(W169="Yes")+(X169="Yes"))</f>
        <v/>
      </c>
      <c r="Z169">
        <f>IF(A169="","",IF(G169="","Not mapped",IF(Y169=0,"OK",MID(IF(N(Q169)&gt;0,"; Cannibalisation","")&amp;IF(T169="Yes","; Too many primary keywords on URL","")&amp;IF(U169="Yes","; URL spans 2+ clusters","")&amp;IF(W169="Yes","; Intent mismatch","")&amp;IF(X169="Yes","; Ranking URL is not the target",""),3,300))))</f>
        <v/>
      </c>
      <c r="AA169">
        <f>IF(G169="","",IF(COUNTIF($G$3:G169,SUBSTITUTE(SUBSTITUTE(G169,"?","~?"),"*","~*"))=1,MAX($AA$2:AA168)+1,""))</f>
        <v/>
      </c>
      <c r="AB169">
        <f>IF(B169="","",IF(COUNTIF($B$3:B169,SUBSTITUTE(SUBSTITUTE(B169,"?","~?"),"*","~*"))=1,MAX($AB$2:AB168)+1,""))</f>
        <v/>
      </c>
    </row>
    <row r="170">
      <c r="M170">
        <f>IF(A170="","",LOWER(TRIM(SUBSTITUTE(SUBSTITUTE(A170,"?",""),"*",""))))</f>
        <v/>
      </c>
      <c r="N170">
        <f>IF(M170="","",IF(SUMPRODUCT(ISNUMBER(SEARCH(" "&amp;Settings!$L$5:$L$124&amp;" "," "&amp;M170&amp;" "))*(Settings!$K$5:$K$124="Navigational")*(Settings!$L$5:$L$124&lt;&gt;""))&gt;0,"Navigational",IF(SUMPRODUCT(ISNUMBER(SEARCH(" "&amp;Settings!$L$5:$L$124&amp;" "," "&amp;M170&amp;" "))*(Settings!$K$5:$K$124="Transactional")*(Settings!$L$5:$L$124&lt;&gt;""))&gt;0,"Transactional",IF(SUMPRODUCT(ISNUMBER(SEARCH(" "&amp;Settings!$L$5:$L$124&amp;" "," "&amp;M170&amp;" "))*(Settings!$K$5:$K$124="Commercial")*(Settings!$L$5:$L$124&lt;&gt;""))&gt;0,"Commercial",IF(SUMPRODUCT(ISNUMBER(SEARCH(" "&amp;Settings!$L$5:$L$124&amp;" "," "&amp;M170&amp;" "))*(Settings!$K$5:$K$124="Informational")*(Settings!$L$5:$L$124&lt;&gt;""))&gt;0,"Informational","Unclassified")))))</f>
        <v/>
      </c>
      <c r="O170">
        <f>IF(A170="","",IF(K170&lt;&gt;"",PROPER(K170),N170))</f>
        <v/>
      </c>
      <c r="P170">
        <f>IF(A170="","",ROUND(Settings!$B$5*MIN(1,LOG10(N(C170)+1)/LOG10(Settings!$B$7+1))+Settings!$B$6*(1-MIN(100,IF(D170="",50,N(D170)))/100)+IFERROR(INDEX(Settings!$B$10:$B$14,MATCH(O170,Settings!$A$10:$A$14,0)),0),0))</f>
        <v/>
      </c>
      <c r="Q170">
        <f>IF(OR(A170="",G170=""),"",COUNTIFS($M$3:$M$1002,M170,$G$3:$G$1002,"&lt;&gt;"&amp;SUBSTITUTE(SUBSTITUTE(G170,"?","~?"),"*","~*"),$G$3:$G$1002,"?*"))</f>
        <v/>
      </c>
      <c r="R170">
        <f>IF(Q170="","",IF(Q170&gt;0,"Yes","No"))</f>
        <v/>
      </c>
      <c r="S170">
        <f>IF(G170="","",COUNTIFS($G$3:$G$1002,SUBSTITUTE(SUBSTITUTE(G170,"?","~?"),"*","~*"),$J$3:$J$1002,"Primary"))</f>
        <v/>
      </c>
      <c r="T170">
        <f>IF(S170="","",IF(S170&gt;Settings!$B$4,"Yes","No"))</f>
        <v/>
      </c>
      <c r="U170">
        <f>IF(OR(G170="",B170=""),"",IF(COUNTIFS($G$3:$G$1002,SUBSTITUTE(SUBSTITUTE(G170,"?","~?"),"*","~*"),$B$3:$B$1002,"&lt;&gt;"&amp;SUBSTITUTE(SUBSTITUTE(B170,"?","~?"),"*","~*"),$B$3:$B$1002,"?*")&gt;0,"Yes","No"))</f>
        <v/>
      </c>
      <c r="V170">
        <f>IF(OR(G170="",I170="",O170="",O170="Unclassified"),"",IFERROR(INDEX(Settings!$E$5:$H$16,MATCH(I170,Settings!$D$5:$D$16,0),MATCH(O170,Settings!$E$4:$H$4,0)),"Check"))</f>
        <v/>
      </c>
      <c r="W170">
        <f>IF(V170="","",IF(V170="No","Yes","No"))</f>
        <v/>
      </c>
      <c r="X170">
        <f>IF(OR(E170="",G170=""),"",IF(LOWER(IF(RIGHT(TRIM(E170),1)="/",LEFT(TRIM(E170),LEN(TRIM(E170))-1),TRIM(E170)))&lt;&gt;LOWER(IF(RIGHT(TRIM(G170),1)="/",LEFT(TRIM(G170),LEN(TRIM(G170))-1),TRIM(G170))),"Yes","No"))</f>
        <v/>
      </c>
      <c r="Y170">
        <f>IF(A170="","",(N(Q170)&gt;0)+(T170="Yes")+(U170="Yes")+(W170="Yes")+(X170="Yes"))</f>
        <v/>
      </c>
      <c r="Z170">
        <f>IF(A170="","",IF(G170="","Not mapped",IF(Y170=0,"OK",MID(IF(N(Q170)&gt;0,"; Cannibalisation","")&amp;IF(T170="Yes","; Too many primary keywords on URL","")&amp;IF(U170="Yes","; URL spans 2+ clusters","")&amp;IF(W170="Yes","; Intent mismatch","")&amp;IF(X170="Yes","; Ranking URL is not the target",""),3,300))))</f>
        <v/>
      </c>
      <c r="AA170">
        <f>IF(G170="","",IF(COUNTIF($G$3:G170,SUBSTITUTE(SUBSTITUTE(G170,"?","~?"),"*","~*"))=1,MAX($AA$2:AA169)+1,""))</f>
        <v/>
      </c>
      <c r="AB170">
        <f>IF(B170="","",IF(COUNTIF($B$3:B170,SUBSTITUTE(SUBSTITUTE(B170,"?","~?"),"*","~*"))=1,MAX($AB$2:AB169)+1,""))</f>
        <v/>
      </c>
    </row>
    <row r="171">
      <c r="M171">
        <f>IF(A171="","",LOWER(TRIM(SUBSTITUTE(SUBSTITUTE(A171,"?",""),"*",""))))</f>
        <v/>
      </c>
      <c r="N171">
        <f>IF(M171="","",IF(SUMPRODUCT(ISNUMBER(SEARCH(" "&amp;Settings!$L$5:$L$124&amp;" "," "&amp;M171&amp;" "))*(Settings!$K$5:$K$124="Navigational")*(Settings!$L$5:$L$124&lt;&gt;""))&gt;0,"Navigational",IF(SUMPRODUCT(ISNUMBER(SEARCH(" "&amp;Settings!$L$5:$L$124&amp;" "," "&amp;M171&amp;" "))*(Settings!$K$5:$K$124="Transactional")*(Settings!$L$5:$L$124&lt;&gt;""))&gt;0,"Transactional",IF(SUMPRODUCT(ISNUMBER(SEARCH(" "&amp;Settings!$L$5:$L$124&amp;" "," "&amp;M171&amp;" "))*(Settings!$K$5:$K$124="Commercial")*(Settings!$L$5:$L$124&lt;&gt;""))&gt;0,"Commercial",IF(SUMPRODUCT(ISNUMBER(SEARCH(" "&amp;Settings!$L$5:$L$124&amp;" "," "&amp;M171&amp;" "))*(Settings!$K$5:$K$124="Informational")*(Settings!$L$5:$L$124&lt;&gt;""))&gt;0,"Informational","Unclassified")))))</f>
        <v/>
      </c>
      <c r="O171">
        <f>IF(A171="","",IF(K171&lt;&gt;"",PROPER(K171),N171))</f>
        <v/>
      </c>
      <c r="P171">
        <f>IF(A171="","",ROUND(Settings!$B$5*MIN(1,LOG10(N(C171)+1)/LOG10(Settings!$B$7+1))+Settings!$B$6*(1-MIN(100,IF(D171="",50,N(D171)))/100)+IFERROR(INDEX(Settings!$B$10:$B$14,MATCH(O171,Settings!$A$10:$A$14,0)),0),0))</f>
        <v/>
      </c>
      <c r="Q171">
        <f>IF(OR(A171="",G171=""),"",COUNTIFS($M$3:$M$1002,M171,$G$3:$G$1002,"&lt;&gt;"&amp;SUBSTITUTE(SUBSTITUTE(G171,"?","~?"),"*","~*"),$G$3:$G$1002,"?*"))</f>
        <v/>
      </c>
      <c r="R171">
        <f>IF(Q171="","",IF(Q171&gt;0,"Yes","No"))</f>
        <v/>
      </c>
      <c r="S171">
        <f>IF(G171="","",COUNTIFS($G$3:$G$1002,SUBSTITUTE(SUBSTITUTE(G171,"?","~?"),"*","~*"),$J$3:$J$1002,"Primary"))</f>
        <v/>
      </c>
      <c r="T171">
        <f>IF(S171="","",IF(S171&gt;Settings!$B$4,"Yes","No"))</f>
        <v/>
      </c>
      <c r="U171">
        <f>IF(OR(G171="",B171=""),"",IF(COUNTIFS($G$3:$G$1002,SUBSTITUTE(SUBSTITUTE(G171,"?","~?"),"*","~*"),$B$3:$B$1002,"&lt;&gt;"&amp;SUBSTITUTE(SUBSTITUTE(B171,"?","~?"),"*","~*"),$B$3:$B$1002,"?*")&gt;0,"Yes","No"))</f>
        <v/>
      </c>
      <c r="V171">
        <f>IF(OR(G171="",I171="",O171="",O171="Unclassified"),"",IFERROR(INDEX(Settings!$E$5:$H$16,MATCH(I171,Settings!$D$5:$D$16,0),MATCH(O171,Settings!$E$4:$H$4,0)),"Check"))</f>
        <v/>
      </c>
      <c r="W171">
        <f>IF(V171="","",IF(V171="No","Yes","No"))</f>
        <v/>
      </c>
      <c r="X171">
        <f>IF(OR(E171="",G171=""),"",IF(LOWER(IF(RIGHT(TRIM(E171),1)="/",LEFT(TRIM(E171),LEN(TRIM(E171))-1),TRIM(E171)))&lt;&gt;LOWER(IF(RIGHT(TRIM(G171),1)="/",LEFT(TRIM(G171),LEN(TRIM(G171))-1),TRIM(G171))),"Yes","No"))</f>
        <v/>
      </c>
      <c r="Y171">
        <f>IF(A171="","",(N(Q171)&gt;0)+(T171="Yes")+(U171="Yes")+(W171="Yes")+(X171="Yes"))</f>
        <v/>
      </c>
      <c r="Z171">
        <f>IF(A171="","",IF(G171="","Not mapped",IF(Y171=0,"OK",MID(IF(N(Q171)&gt;0,"; Cannibalisation","")&amp;IF(T171="Yes","; Too many primary keywords on URL","")&amp;IF(U171="Yes","; URL spans 2+ clusters","")&amp;IF(W171="Yes","; Intent mismatch","")&amp;IF(X171="Yes","; Ranking URL is not the target",""),3,300))))</f>
        <v/>
      </c>
      <c r="AA171">
        <f>IF(G171="","",IF(COUNTIF($G$3:G171,SUBSTITUTE(SUBSTITUTE(G171,"?","~?"),"*","~*"))=1,MAX($AA$2:AA170)+1,""))</f>
        <v/>
      </c>
      <c r="AB171">
        <f>IF(B171="","",IF(COUNTIF($B$3:B171,SUBSTITUTE(SUBSTITUTE(B171,"?","~?"),"*","~*"))=1,MAX($AB$2:AB170)+1,""))</f>
        <v/>
      </c>
    </row>
    <row r="172">
      <c r="M172">
        <f>IF(A172="","",LOWER(TRIM(SUBSTITUTE(SUBSTITUTE(A172,"?",""),"*",""))))</f>
        <v/>
      </c>
      <c r="N172">
        <f>IF(M172="","",IF(SUMPRODUCT(ISNUMBER(SEARCH(" "&amp;Settings!$L$5:$L$124&amp;" "," "&amp;M172&amp;" "))*(Settings!$K$5:$K$124="Navigational")*(Settings!$L$5:$L$124&lt;&gt;""))&gt;0,"Navigational",IF(SUMPRODUCT(ISNUMBER(SEARCH(" "&amp;Settings!$L$5:$L$124&amp;" "," "&amp;M172&amp;" "))*(Settings!$K$5:$K$124="Transactional")*(Settings!$L$5:$L$124&lt;&gt;""))&gt;0,"Transactional",IF(SUMPRODUCT(ISNUMBER(SEARCH(" "&amp;Settings!$L$5:$L$124&amp;" "," "&amp;M172&amp;" "))*(Settings!$K$5:$K$124="Commercial")*(Settings!$L$5:$L$124&lt;&gt;""))&gt;0,"Commercial",IF(SUMPRODUCT(ISNUMBER(SEARCH(" "&amp;Settings!$L$5:$L$124&amp;" "," "&amp;M172&amp;" "))*(Settings!$K$5:$K$124="Informational")*(Settings!$L$5:$L$124&lt;&gt;""))&gt;0,"Informational","Unclassified")))))</f>
        <v/>
      </c>
      <c r="O172">
        <f>IF(A172="","",IF(K172&lt;&gt;"",PROPER(K172),N172))</f>
        <v/>
      </c>
      <c r="P172">
        <f>IF(A172="","",ROUND(Settings!$B$5*MIN(1,LOG10(N(C172)+1)/LOG10(Settings!$B$7+1))+Settings!$B$6*(1-MIN(100,IF(D172="",50,N(D172)))/100)+IFERROR(INDEX(Settings!$B$10:$B$14,MATCH(O172,Settings!$A$10:$A$14,0)),0),0))</f>
        <v/>
      </c>
      <c r="Q172">
        <f>IF(OR(A172="",G172=""),"",COUNTIFS($M$3:$M$1002,M172,$G$3:$G$1002,"&lt;&gt;"&amp;SUBSTITUTE(SUBSTITUTE(G172,"?","~?"),"*","~*"),$G$3:$G$1002,"?*"))</f>
        <v/>
      </c>
      <c r="R172">
        <f>IF(Q172="","",IF(Q172&gt;0,"Yes","No"))</f>
        <v/>
      </c>
      <c r="S172">
        <f>IF(G172="","",COUNTIFS($G$3:$G$1002,SUBSTITUTE(SUBSTITUTE(G172,"?","~?"),"*","~*"),$J$3:$J$1002,"Primary"))</f>
        <v/>
      </c>
      <c r="T172">
        <f>IF(S172="","",IF(S172&gt;Settings!$B$4,"Yes","No"))</f>
        <v/>
      </c>
      <c r="U172">
        <f>IF(OR(G172="",B172=""),"",IF(COUNTIFS($G$3:$G$1002,SUBSTITUTE(SUBSTITUTE(G172,"?","~?"),"*","~*"),$B$3:$B$1002,"&lt;&gt;"&amp;SUBSTITUTE(SUBSTITUTE(B172,"?","~?"),"*","~*"),$B$3:$B$1002,"?*")&gt;0,"Yes","No"))</f>
        <v/>
      </c>
      <c r="V172">
        <f>IF(OR(G172="",I172="",O172="",O172="Unclassified"),"",IFERROR(INDEX(Settings!$E$5:$H$16,MATCH(I172,Settings!$D$5:$D$16,0),MATCH(O172,Settings!$E$4:$H$4,0)),"Check"))</f>
        <v/>
      </c>
      <c r="W172">
        <f>IF(V172="","",IF(V172="No","Yes","No"))</f>
        <v/>
      </c>
      <c r="X172">
        <f>IF(OR(E172="",G172=""),"",IF(LOWER(IF(RIGHT(TRIM(E172),1)="/",LEFT(TRIM(E172),LEN(TRIM(E172))-1),TRIM(E172)))&lt;&gt;LOWER(IF(RIGHT(TRIM(G172),1)="/",LEFT(TRIM(G172),LEN(TRIM(G172))-1),TRIM(G172))),"Yes","No"))</f>
        <v/>
      </c>
      <c r="Y172">
        <f>IF(A172="","",(N(Q172)&gt;0)+(T172="Yes")+(U172="Yes")+(W172="Yes")+(X172="Yes"))</f>
        <v/>
      </c>
      <c r="Z172">
        <f>IF(A172="","",IF(G172="","Not mapped",IF(Y172=0,"OK",MID(IF(N(Q172)&gt;0,"; Cannibalisation","")&amp;IF(T172="Yes","; Too many primary keywords on URL","")&amp;IF(U172="Yes","; URL spans 2+ clusters","")&amp;IF(W172="Yes","; Intent mismatch","")&amp;IF(X172="Yes","; Ranking URL is not the target",""),3,300))))</f>
        <v/>
      </c>
      <c r="AA172">
        <f>IF(G172="","",IF(COUNTIF($G$3:G172,SUBSTITUTE(SUBSTITUTE(G172,"?","~?"),"*","~*"))=1,MAX($AA$2:AA171)+1,""))</f>
        <v/>
      </c>
      <c r="AB172">
        <f>IF(B172="","",IF(COUNTIF($B$3:B172,SUBSTITUTE(SUBSTITUTE(B172,"?","~?"),"*","~*"))=1,MAX($AB$2:AB171)+1,""))</f>
        <v/>
      </c>
    </row>
    <row r="173">
      <c r="M173">
        <f>IF(A173="","",LOWER(TRIM(SUBSTITUTE(SUBSTITUTE(A173,"?",""),"*",""))))</f>
        <v/>
      </c>
      <c r="N173">
        <f>IF(M173="","",IF(SUMPRODUCT(ISNUMBER(SEARCH(" "&amp;Settings!$L$5:$L$124&amp;" "," "&amp;M173&amp;" "))*(Settings!$K$5:$K$124="Navigational")*(Settings!$L$5:$L$124&lt;&gt;""))&gt;0,"Navigational",IF(SUMPRODUCT(ISNUMBER(SEARCH(" "&amp;Settings!$L$5:$L$124&amp;" "," "&amp;M173&amp;" "))*(Settings!$K$5:$K$124="Transactional")*(Settings!$L$5:$L$124&lt;&gt;""))&gt;0,"Transactional",IF(SUMPRODUCT(ISNUMBER(SEARCH(" "&amp;Settings!$L$5:$L$124&amp;" "," "&amp;M173&amp;" "))*(Settings!$K$5:$K$124="Commercial")*(Settings!$L$5:$L$124&lt;&gt;""))&gt;0,"Commercial",IF(SUMPRODUCT(ISNUMBER(SEARCH(" "&amp;Settings!$L$5:$L$124&amp;" "," "&amp;M173&amp;" "))*(Settings!$K$5:$K$124="Informational")*(Settings!$L$5:$L$124&lt;&gt;""))&gt;0,"Informational","Unclassified")))))</f>
        <v/>
      </c>
      <c r="O173">
        <f>IF(A173="","",IF(K173&lt;&gt;"",PROPER(K173),N173))</f>
        <v/>
      </c>
      <c r="P173">
        <f>IF(A173="","",ROUND(Settings!$B$5*MIN(1,LOG10(N(C173)+1)/LOG10(Settings!$B$7+1))+Settings!$B$6*(1-MIN(100,IF(D173="",50,N(D173)))/100)+IFERROR(INDEX(Settings!$B$10:$B$14,MATCH(O173,Settings!$A$10:$A$14,0)),0),0))</f>
        <v/>
      </c>
      <c r="Q173">
        <f>IF(OR(A173="",G173=""),"",COUNTIFS($M$3:$M$1002,M173,$G$3:$G$1002,"&lt;&gt;"&amp;SUBSTITUTE(SUBSTITUTE(G173,"?","~?"),"*","~*"),$G$3:$G$1002,"?*"))</f>
        <v/>
      </c>
      <c r="R173">
        <f>IF(Q173="","",IF(Q173&gt;0,"Yes","No"))</f>
        <v/>
      </c>
      <c r="S173">
        <f>IF(G173="","",COUNTIFS($G$3:$G$1002,SUBSTITUTE(SUBSTITUTE(G173,"?","~?"),"*","~*"),$J$3:$J$1002,"Primary"))</f>
        <v/>
      </c>
      <c r="T173">
        <f>IF(S173="","",IF(S173&gt;Settings!$B$4,"Yes","No"))</f>
        <v/>
      </c>
      <c r="U173">
        <f>IF(OR(G173="",B173=""),"",IF(COUNTIFS($G$3:$G$1002,SUBSTITUTE(SUBSTITUTE(G173,"?","~?"),"*","~*"),$B$3:$B$1002,"&lt;&gt;"&amp;SUBSTITUTE(SUBSTITUTE(B173,"?","~?"),"*","~*"),$B$3:$B$1002,"?*")&gt;0,"Yes","No"))</f>
        <v/>
      </c>
      <c r="V173">
        <f>IF(OR(G173="",I173="",O173="",O173="Unclassified"),"",IFERROR(INDEX(Settings!$E$5:$H$16,MATCH(I173,Settings!$D$5:$D$16,0),MATCH(O173,Settings!$E$4:$H$4,0)),"Check"))</f>
        <v/>
      </c>
      <c r="W173">
        <f>IF(V173="","",IF(V173="No","Yes","No"))</f>
        <v/>
      </c>
      <c r="X173">
        <f>IF(OR(E173="",G173=""),"",IF(LOWER(IF(RIGHT(TRIM(E173),1)="/",LEFT(TRIM(E173),LEN(TRIM(E173))-1),TRIM(E173)))&lt;&gt;LOWER(IF(RIGHT(TRIM(G173),1)="/",LEFT(TRIM(G173),LEN(TRIM(G173))-1),TRIM(G173))),"Yes","No"))</f>
        <v/>
      </c>
      <c r="Y173">
        <f>IF(A173="","",(N(Q173)&gt;0)+(T173="Yes")+(U173="Yes")+(W173="Yes")+(X173="Yes"))</f>
        <v/>
      </c>
      <c r="Z173">
        <f>IF(A173="","",IF(G173="","Not mapped",IF(Y173=0,"OK",MID(IF(N(Q173)&gt;0,"; Cannibalisation","")&amp;IF(T173="Yes","; Too many primary keywords on URL","")&amp;IF(U173="Yes","; URL spans 2+ clusters","")&amp;IF(W173="Yes","; Intent mismatch","")&amp;IF(X173="Yes","; Ranking URL is not the target",""),3,300))))</f>
        <v/>
      </c>
      <c r="AA173">
        <f>IF(G173="","",IF(COUNTIF($G$3:G173,SUBSTITUTE(SUBSTITUTE(G173,"?","~?"),"*","~*"))=1,MAX($AA$2:AA172)+1,""))</f>
        <v/>
      </c>
      <c r="AB173">
        <f>IF(B173="","",IF(COUNTIF($B$3:B173,SUBSTITUTE(SUBSTITUTE(B173,"?","~?"),"*","~*"))=1,MAX($AB$2:AB172)+1,""))</f>
        <v/>
      </c>
    </row>
    <row r="174">
      <c r="M174">
        <f>IF(A174="","",LOWER(TRIM(SUBSTITUTE(SUBSTITUTE(A174,"?",""),"*",""))))</f>
        <v/>
      </c>
      <c r="N174">
        <f>IF(M174="","",IF(SUMPRODUCT(ISNUMBER(SEARCH(" "&amp;Settings!$L$5:$L$124&amp;" "," "&amp;M174&amp;" "))*(Settings!$K$5:$K$124="Navigational")*(Settings!$L$5:$L$124&lt;&gt;""))&gt;0,"Navigational",IF(SUMPRODUCT(ISNUMBER(SEARCH(" "&amp;Settings!$L$5:$L$124&amp;" "," "&amp;M174&amp;" "))*(Settings!$K$5:$K$124="Transactional")*(Settings!$L$5:$L$124&lt;&gt;""))&gt;0,"Transactional",IF(SUMPRODUCT(ISNUMBER(SEARCH(" "&amp;Settings!$L$5:$L$124&amp;" "," "&amp;M174&amp;" "))*(Settings!$K$5:$K$124="Commercial")*(Settings!$L$5:$L$124&lt;&gt;""))&gt;0,"Commercial",IF(SUMPRODUCT(ISNUMBER(SEARCH(" "&amp;Settings!$L$5:$L$124&amp;" "," "&amp;M174&amp;" "))*(Settings!$K$5:$K$124="Informational")*(Settings!$L$5:$L$124&lt;&gt;""))&gt;0,"Informational","Unclassified")))))</f>
        <v/>
      </c>
      <c r="O174">
        <f>IF(A174="","",IF(K174&lt;&gt;"",PROPER(K174),N174))</f>
        <v/>
      </c>
      <c r="P174">
        <f>IF(A174="","",ROUND(Settings!$B$5*MIN(1,LOG10(N(C174)+1)/LOG10(Settings!$B$7+1))+Settings!$B$6*(1-MIN(100,IF(D174="",50,N(D174)))/100)+IFERROR(INDEX(Settings!$B$10:$B$14,MATCH(O174,Settings!$A$10:$A$14,0)),0),0))</f>
        <v/>
      </c>
      <c r="Q174">
        <f>IF(OR(A174="",G174=""),"",COUNTIFS($M$3:$M$1002,M174,$G$3:$G$1002,"&lt;&gt;"&amp;SUBSTITUTE(SUBSTITUTE(G174,"?","~?"),"*","~*"),$G$3:$G$1002,"?*"))</f>
        <v/>
      </c>
      <c r="R174">
        <f>IF(Q174="","",IF(Q174&gt;0,"Yes","No"))</f>
        <v/>
      </c>
      <c r="S174">
        <f>IF(G174="","",COUNTIFS($G$3:$G$1002,SUBSTITUTE(SUBSTITUTE(G174,"?","~?"),"*","~*"),$J$3:$J$1002,"Primary"))</f>
        <v/>
      </c>
      <c r="T174">
        <f>IF(S174="","",IF(S174&gt;Settings!$B$4,"Yes","No"))</f>
        <v/>
      </c>
      <c r="U174">
        <f>IF(OR(G174="",B174=""),"",IF(COUNTIFS($G$3:$G$1002,SUBSTITUTE(SUBSTITUTE(G174,"?","~?"),"*","~*"),$B$3:$B$1002,"&lt;&gt;"&amp;SUBSTITUTE(SUBSTITUTE(B174,"?","~?"),"*","~*"),$B$3:$B$1002,"?*")&gt;0,"Yes","No"))</f>
        <v/>
      </c>
      <c r="V174">
        <f>IF(OR(G174="",I174="",O174="",O174="Unclassified"),"",IFERROR(INDEX(Settings!$E$5:$H$16,MATCH(I174,Settings!$D$5:$D$16,0),MATCH(O174,Settings!$E$4:$H$4,0)),"Check"))</f>
        <v/>
      </c>
      <c r="W174">
        <f>IF(V174="","",IF(V174="No","Yes","No"))</f>
        <v/>
      </c>
      <c r="X174">
        <f>IF(OR(E174="",G174=""),"",IF(LOWER(IF(RIGHT(TRIM(E174),1)="/",LEFT(TRIM(E174),LEN(TRIM(E174))-1),TRIM(E174)))&lt;&gt;LOWER(IF(RIGHT(TRIM(G174),1)="/",LEFT(TRIM(G174),LEN(TRIM(G174))-1),TRIM(G174))),"Yes","No"))</f>
        <v/>
      </c>
      <c r="Y174">
        <f>IF(A174="","",(N(Q174)&gt;0)+(T174="Yes")+(U174="Yes")+(W174="Yes")+(X174="Yes"))</f>
        <v/>
      </c>
      <c r="Z174">
        <f>IF(A174="","",IF(G174="","Not mapped",IF(Y174=0,"OK",MID(IF(N(Q174)&gt;0,"; Cannibalisation","")&amp;IF(T174="Yes","; Too many primary keywords on URL","")&amp;IF(U174="Yes","; URL spans 2+ clusters","")&amp;IF(W174="Yes","; Intent mismatch","")&amp;IF(X174="Yes","; Ranking URL is not the target",""),3,300))))</f>
        <v/>
      </c>
      <c r="AA174">
        <f>IF(G174="","",IF(COUNTIF($G$3:G174,SUBSTITUTE(SUBSTITUTE(G174,"?","~?"),"*","~*"))=1,MAX($AA$2:AA173)+1,""))</f>
        <v/>
      </c>
      <c r="AB174">
        <f>IF(B174="","",IF(COUNTIF($B$3:B174,SUBSTITUTE(SUBSTITUTE(B174,"?","~?"),"*","~*"))=1,MAX($AB$2:AB173)+1,""))</f>
        <v/>
      </c>
    </row>
    <row r="175">
      <c r="M175">
        <f>IF(A175="","",LOWER(TRIM(SUBSTITUTE(SUBSTITUTE(A175,"?",""),"*",""))))</f>
        <v/>
      </c>
      <c r="N175">
        <f>IF(M175="","",IF(SUMPRODUCT(ISNUMBER(SEARCH(" "&amp;Settings!$L$5:$L$124&amp;" "," "&amp;M175&amp;" "))*(Settings!$K$5:$K$124="Navigational")*(Settings!$L$5:$L$124&lt;&gt;""))&gt;0,"Navigational",IF(SUMPRODUCT(ISNUMBER(SEARCH(" "&amp;Settings!$L$5:$L$124&amp;" "," "&amp;M175&amp;" "))*(Settings!$K$5:$K$124="Transactional")*(Settings!$L$5:$L$124&lt;&gt;""))&gt;0,"Transactional",IF(SUMPRODUCT(ISNUMBER(SEARCH(" "&amp;Settings!$L$5:$L$124&amp;" "," "&amp;M175&amp;" "))*(Settings!$K$5:$K$124="Commercial")*(Settings!$L$5:$L$124&lt;&gt;""))&gt;0,"Commercial",IF(SUMPRODUCT(ISNUMBER(SEARCH(" "&amp;Settings!$L$5:$L$124&amp;" "," "&amp;M175&amp;" "))*(Settings!$K$5:$K$124="Informational")*(Settings!$L$5:$L$124&lt;&gt;""))&gt;0,"Informational","Unclassified")))))</f>
        <v/>
      </c>
      <c r="O175">
        <f>IF(A175="","",IF(K175&lt;&gt;"",PROPER(K175),N175))</f>
        <v/>
      </c>
      <c r="P175">
        <f>IF(A175="","",ROUND(Settings!$B$5*MIN(1,LOG10(N(C175)+1)/LOG10(Settings!$B$7+1))+Settings!$B$6*(1-MIN(100,IF(D175="",50,N(D175)))/100)+IFERROR(INDEX(Settings!$B$10:$B$14,MATCH(O175,Settings!$A$10:$A$14,0)),0),0))</f>
        <v/>
      </c>
      <c r="Q175">
        <f>IF(OR(A175="",G175=""),"",COUNTIFS($M$3:$M$1002,M175,$G$3:$G$1002,"&lt;&gt;"&amp;SUBSTITUTE(SUBSTITUTE(G175,"?","~?"),"*","~*"),$G$3:$G$1002,"?*"))</f>
        <v/>
      </c>
      <c r="R175">
        <f>IF(Q175="","",IF(Q175&gt;0,"Yes","No"))</f>
        <v/>
      </c>
      <c r="S175">
        <f>IF(G175="","",COUNTIFS($G$3:$G$1002,SUBSTITUTE(SUBSTITUTE(G175,"?","~?"),"*","~*"),$J$3:$J$1002,"Primary"))</f>
        <v/>
      </c>
      <c r="T175">
        <f>IF(S175="","",IF(S175&gt;Settings!$B$4,"Yes","No"))</f>
        <v/>
      </c>
      <c r="U175">
        <f>IF(OR(G175="",B175=""),"",IF(COUNTIFS($G$3:$G$1002,SUBSTITUTE(SUBSTITUTE(G175,"?","~?"),"*","~*"),$B$3:$B$1002,"&lt;&gt;"&amp;SUBSTITUTE(SUBSTITUTE(B175,"?","~?"),"*","~*"),$B$3:$B$1002,"?*")&gt;0,"Yes","No"))</f>
        <v/>
      </c>
      <c r="V175">
        <f>IF(OR(G175="",I175="",O175="",O175="Unclassified"),"",IFERROR(INDEX(Settings!$E$5:$H$16,MATCH(I175,Settings!$D$5:$D$16,0),MATCH(O175,Settings!$E$4:$H$4,0)),"Check"))</f>
        <v/>
      </c>
      <c r="W175">
        <f>IF(V175="","",IF(V175="No","Yes","No"))</f>
        <v/>
      </c>
      <c r="X175">
        <f>IF(OR(E175="",G175=""),"",IF(LOWER(IF(RIGHT(TRIM(E175),1)="/",LEFT(TRIM(E175),LEN(TRIM(E175))-1),TRIM(E175)))&lt;&gt;LOWER(IF(RIGHT(TRIM(G175),1)="/",LEFT(TRIM(G175),LEN(TRIM(G175))-1),TRIM(G175))),"Yes","No"))</f>
        <v/>
      </c>
      <c r="Y175">
        <f>IF(A175="","",(N(Q175)&gt;0)+(T175="Yes")+(U175="Yes")+(W175="Yes")+(X175="Yes"))</f>
        <v/>
      </c>
      <c r="Z175">
        <f>IF(A175="","",IF(G175="","Not mapped",IF(Y175=0,"OK",MID(IF(N(Q175)&gt;0,"; Cannibalisation","")&amp;IF(T175="Yes","; Too many primary keywords on URL","")&amp;IF(U175="Yes","; URL spans 2+ clusters","")&amp;IF(W175="Yes","; Intent mismatch","")&amp;IF(X175="Yes","; Ranking URL is not the target",""),3,300))))</f>
        <v/>
      </c>
      <c r="AA175">
        <f>IF(G175="","",IF(COUNTIF($G$3:G175,SUBSTITUTE(SUBSTITUTE(G175,"?","~?"),"*","~*"))=1,MAX($AA$2:AA174)+1,""))</f>
        <v/>
      </c>
      <c r="AB175">
        <f>IF(B175="","",IF(COUNTIF($B$3:B175,SUBSTITUTE(SUBSTITUTE(B175,"?","~?"),"*","~*"))=1,MAX($AB$2:AB174)+1,""))</f>
        <v/>
      </c>
    </row>
    <row r="176">
      <c r="M176">
        <f>IF(A176="","",LOWER(TRIM(SUBSTITUTE(SUBSTITUTE(A176,"?",""),"*",""))))</f>
        <v/>
      </c>
      <c r="N176">
        <f>IF(M176="","",IF(SUMPRODUCT(ISNUMBER(SEARCH(" "&amp;Settings!$L$5:$L$124&amp;" "," "&amp;M176&amp;" "))*(Settings!$K$5:$K$124="Navigational")*(Settings!$L$5:$L$124&lt;&gt;""))&gt;0,"Navigational",IF(SUMPRODUCT(ISNUMBER(SEARCH(" "&amp;Settings!$L$5:$L$124&amp;" "," "&amp;M176&amp;" "))*(Settings!$K$5:$K$124="Transactional")*(Settings!$L$5:$L$124&lt;&gt;""))&gt;0,"Transactional",IF(SUMPRODUCT(ISNUMBER(SEARCH(" "&amp;Settings!$L$5:$L$124&amp;" "," "&amp;M176&amp;" "))*(Settings!$K$5:$K$124="Commercial")*(Settings!$L$5:$L$124&lt;&gt;""))&gt;0,"Commercial",IF(SUMPRODUCT(ISNUMBER(SEARCH(" "&amp;Settings!$L$5:$L$124&amp;" "," "&amp;M176&amp;" "))*(Settings!$K$5:$K$124="Informational")*(Settings!$L$5:$L$124&lt;&gt;""))&gt;0,"Informational","Unclassified")))))</f>
        <v/>
      </c>
      <c r="O176">
        <f>IF(A176="","",IF(K176&lt;&gt;"",PROPER(K176),N176))</f>
        <v/>
      </c>
      <c r="P176">
        <f>IF(A176="","",ROUND(Settings!$B$5*MIN(1,LOG10(N(C176)+1)/LOG10(Settings!$B$7+1))+Settings!$B$6*(1-MIN(100,IF(D176="",50,N(D176)))/100)+IFERROR(INDEX(Settings!$B$10:$B$14,MATCH(O176,Settings!$A$10:$A$14,0)),0),0))</f>
        <v/>
      </c>
      <c r="Q176">
        <f>IF(OR(A176="",G176=""),"",COUNTIFS($M$3:$M$1002,M176,$G$3:$G$1002,"&lt;&gt;"&amp;SUBSTITUTE(SUBSTITUTE(G176,"?","~?"),"*","~*"),$G$3:$G$1002,"?*"))</f>
        <v/>
      </c>
      <c r="R176">
        <f>IF(Q176="","",IF(Q176&gt;0,"Yes","No"))</f>
        <v/>
      </c>
      <c r="S176">
        <f>IF(G176="","",COUNTIFS($G$3:$G$1002,SUBSTITUTE(SUBSTITUTE(G176,"?","~?"),"*","~*"),$J$3:$J$1002,"Primary"))</f>
        <v/>
      </c>
      <c r="T176">
        <f>IF(S176="","",IF(S176&gt;Settings!$B$4,"Yes","No"))</f>
        <v/>
      </c>
      <c r="U176">
        <f>IF(OR(G176="",B176=""),"",IF(COUNTIFS($G$3:$G$1002,SUBSTITUTE(SUBSTITUTE(G176,"?","~?"),"*","~*"),$B$3:$B$1002,"&lt;&gt;"&amp;SUBSTITUTE(SUBSTITUTE(B176,"?","~?"),"*","~*"),$B$3:$B$1002,"?*")&gt;0,"Yes","No"))</f>
        <v/>
      </c>
      <c r="V176">
        <f>IF(OR(G176="",I176="",O176="",O176="Unclassified"),"",IFERROR(INDEX(Settings!$E$5:$H$16,MATCH(I176,Settings!$D$5:$D$16,0),MATCH(O176,Settings!$E$4:$H$4,0)),"Check"))</f>
        <v/>
      </c>
      <c r="W176">
        <f>IF(V176="","",IF(V176="No","Yes","No"))</f>
        <v/>
      </c>
      <c r="X176">
        <f>IF(OR(E176="",G176=""),"",IF(LOWER(IF(RIGHT(TRIM(E176),1)="/",LEFT(TRIM(E176),LEN(TRIM(E176))-1),TRIM(E176)))&lt;&gt;LOWER(IF(RIGHT(TRIM(G176),1)="/",LEFT(TRIM(G176),LEN(TRIM(G176))-1),TRIM(G176))),"Yes","No"))</f>
        <v/>
      </c>
      <c r="Y176">
        <f>IF(A176="","",(N(Q176)&gt;0)+(T176="Yes")+(U176="Yes")+(W176="Yes")+(X176="Yes"))</f>
        <v/>
      </c>
      <c r="Z176">
        <f>IF(A176="","",IF(G176="","Not mapped",IF(Y176=0,"OK",MID(IF(N(Q176)&gt;0,"; Cannibalisation","")&amp;IF(T176="Yes","; Too many primary keywords on URL","")&amp;IF(U176="Yes","; URL spans 2+ clusters","")&amp;IF(W176="Yes","; Intent mismatch","")&amp;IF(X176="Yes","; Ranking URL is not the target",""),3,300))))</f>
        <v/>
      </c>
      <c r="AA176">
        <f>IF(G176="","",IF(COUNTIF($G$3:G176,SUBSTITUTE(SUBSTITUTE(G176,"?","~?"),"*","~*"))=1,MAX($AA$2:AA175)+1,""))</f>
        <v/>
      </c>
      <c r="AB176">
        <f>IF(B176="","",IF(COUNTIF($B$3:B176,SUBSTITUTE(SUBSTITUTE(B176,"?","~?"),"*","~*"))=1,MAX($AB$2:AB175)+1,""))</f>
        <v/>
      </c>
    </row>
    <row r="177">
      <c r="M177">
        <f>IF(A177="","",LOWER(TRIM(SUBSTITUTE(SUBSTITUTE(A177,"?",""),"*",""))))</f>
        <v/>
      </c>
      <c r="N177">
        <f>IF(M177="","",IF(SUMPRODUCT(ISNUMBER(SEARCH(" "&amp;Settings!$L$5:$L$124&amp;" "," "&amp;M177&amp;" "))*(Settings!$K$5:$K$124="Navigational")*(Settings!$L$5:$L$124&lt;&gt;""))&gt;0,"Navigational",IF(SUMPRODUCT(ISNUMBER(SEARCH(" "&amp;Settings!$L$5:$L$124&amp;" "," "&amp;M177&amp;" "))*(Settings!$K$5:$K$124="Transactional")*(Settings!$L$5:$L$124&lt;&gt;""))&gt;0,"Transactional",IF(SUMPRODUCT(ISNUMBER(SEARCH(" "&amp;Settings!$L$5:$L$124&amp;" "," "&amp;M177&amp;" "))*(Settings!$K$5:$K$124="Commercial")*(Settings!$L$5:$L$124&lt;&gt;""))&gt;0,"Commercial",IF(SUMPRODUCT(ISNUMBER(SEARCH(" "&amp;Settings!$L$5:$L$124&amp;" "," "&amp;M177&amp;" "))*(Settings!$K$5:$K$124="Informational")*(Settings!$L$5:$L$124&lt;&gt;""))&gt;0,"Informational","Unclassified")))))</f>
        <v/>
      </c>
      <c r="O177">
        <f>IF(A177="","",IF(K177&lt;&gt;"",PROPER(K177),N177))</f>
        <v/>
      </c>
      <c r="P177">
        <f>IF(A177="","",ROUND(Settings!$B$5*MIN(1,LOG10(N(C177)+1)/LOG10(Settings!$B$7+1))+Settings!$B$6*(1-MIN(100,IF(D177="",50,N(D177)))/100)+IFERROR(INDEX(Settings!$B$10:$B$14,MATCH(O177,Settings!$A$10:$A$14,0)),0),0))</f>
        <v/>
      </c>
      <c r="Q177">
        <f>IF(OR(A177="",G177=""),"",COUNTIFS($M$3:$M$1002,M177,$G$3:$G$1002,"&lt;&gt;"&amp;SUBSTITUTE(SUBSTITUTE(G177,"?","~?"),"*","~*"),$G$3:$G$1002,"?*"))</f>
        <v/>
      </c>
      <c r="R177">
        <f>IF(Q177="","",IF(Q177&gt;0,"Yes","No"))</f>
        <v/>
      </c>
      <c r="S177">
        <f>IF(G177="","",COUNTIFS($G$3:$G$1002,SUBSTITUTE(SUBSTITUTE(G177,"?","~?"),"*","~*"),$J$3:$J$1002,"Primary"))</f>
        <v/>
      </c>
      <c r="T177">
        <f>IF(S177="","",IF(S177&gt;Settings!$B$4,"Yes","No"))</f>
        <v/>
      </c>
      <c r="U177">
        <f>IF(OR(G177="",B177=""),"",IF(COUNTIFS($G$3:$G$1002,SUBSTITUTE(SUBSTITUTE(G177,"?","~?"),"*","~*"),$B$3:$B$1002,"&lt;&gt;"&amp;SUBSTITUTE(SUBSTITUTE(B177,"?","~?"),"*","~*"),$B$3:$B$1002,"?*")&gt;0,"Yes","No"))</f>
        <v/>
      </c>
      <c r="V177">
        <f>IF(OR(G177="",I177="",O177="",O177="Unclassified"),"",IFERROR(INDEX(Settings!$E$5:$H$16,MATCH(I177,Settings!$D$5:$D$16,0),MATCH(O177,Settings!$E$4:$H$4,0)),"Check"))</f>
        <v/>
      </c>
      <c r="W177">
        <f>IF(V177="","",IF(V177="No","Yes","No"))</f>
        <v/>
      </c>
      <c r="X177">
        <f>IF(OR(E177="",G177=""),"",IF(LOWER(IF(RIGHT(TRIM(E177),1)="/",LEFT(TRIM(E177),LEN(TRIM(E177))-1),TRIM(E177)))&lt;&gt;LOWER(IF(RIGHT(TRIM(G177),1)="/",LEFT(TRIM(G177),LEN(TRIM(G177))-1),TRIM(G177))),"Yes","No"))</f>
        <v/>
      </c>
      <c r="Y177">
        <f>IF(A177="","",(N(Q177)&gt;0)+(T177="Yes")+(U177="Yes")+(W177="Yes")+(X177="Yes"))</f>
        <v/>
      </c>
      <c r="Z177">
        <f>IF(A177="","",IF(G177="","Not mapped",IF(Y177=0,"OK",MID(IF(N(Q177)&gt;0,"; Cannibalisation","")&amp;IF(T177="Yes","; Too many primary keywords on URL","")&amp;IF(U177="Yes","; URL spans 2+ clusters","")&amp;IF(W177="Yes","; Intent mismatch","")&amp;IF(X177="Yes","; Ranking URL is not the target",""),3,300))))</f>
        <v/>
      </c>
      <c r="AA177">
        <f>IF(G177="","",IF(COUNTIF($G$3:G177,SUBSTITUTE(SUBSTITUTE(G177,"?","~?"),"*","~*"))=1,MAX($AA$2:AA176)+1,""))</f>
        <v/>
      </c>
      <c r="AB177">
        <f>IF(B177="","",IF(COUNTIF($B$3:B177,SUBSTITUTE(SUBSTITUTE(B177,"?","~?"),"*","~*"))=1,MAX($AB$2:AB176)+1,""))</f>
        <v/>
      </c>
    </row>
    <row r="178">
      <c r="M178">
        <f>IF(A178="","",LOWER(TRIM(SUBSTITUTE(SUBSTITUTE(A178,"?",""),"*",""))))</f>
        <v/>
      </c>
      <c r="N178">
        <f>IF(M178="","",IF(SUMPRODUCT(ISNUMBER(SEARCH(" "&amp;Settings!$L$5:$L$124&amp;" "," "&amp;M178&amp;" "))*(Settings!$K$5:$K$124="Navigational")*(Settings!$L$5:$L$124&lt;&gt;""))&gt;0,"Navigational",IF(SUMPRODUCT(ISNUMBER(SEARCH(" "&amp;Settings!$L$5:$L$124&amp;" "," "&amp;M178&amp;" "))*(Settings!$K$5:$K$124="Transactional")*(Settings!$L$5:$L$124&lt;&gt;""))&gt;0,"Transactional",IF(SUMPRODUCT(ISNUMBER(SEARCH(" "&amp;Settings!$L$5:$L$124&amp;" "," "&amp;M178&amp;" "))*(Settings!$K$5:$K$124="Commercial")*(Settings!$L$5:$L$124&lt;&gt;""))&gt;0,"Commercial",IF(SUMPRODUCT(ISNUMBER(SEARCH(" "&amp;Settings!$L$5:$L$124&amp;" "," "&amp;M178&amp;" "))*(Settings!$K$5:$K$124="Informational")*(Settings!$L$5:$L$124&lt;&gt;""))&gt;0,"Informational","Unclassified")))))</f>
        <v/>
      </c>
      <c r="O178">
        <f>IF(A178="","",IF(K178&lt;&gt;"",PROPER(K178),N178))</f>
        <v/>
      </c>
      <c r="P178">
        <f>IF(A178="","",ROUND(Settings!$B$5*MIN(1,LOG10(N(C178)+1)/LOG10(Settings!$B$7+1))+Settings!$B$6*(1-MIN(100,IF(D178="",50,N(D178)))/100)+IFERROR(INDEX(Settings!$B$10:$B$14,MATCH(O178,Settings!$A$10:$A$14,0)),0),0))</f>
        <v/>
      </c>
      <c r="Q178">
        <f>IF(OR(A178="",G178=""),"",COUNTIFS($M$3:$M$1002,M178,$G$3:$G$1002,"&lt;&gt;"&amp;SUBSTITUTE(SUBSTITUTE(G178,"?","~?"),"*","~*"),$G$3:$G$1002,"?*"))</f>
        <v/>
      </c>
      <c r="R178">
        <f>IF(Q178="","",IF(Q178&gt;0,"Yes","No"))</f>
        <v/>
      </c>
      <c r="S178">
        <f>IF(G178="","",COUNTIFS($G$3:$G$1002,SUBSTITUTE(SUBSTITUTE(G178,"?","~?"),"*","~*"),$J$3:$J$1002,"Primary"))</f>
        <v/>
      </c>
      <c r="T178">
        <f>IF(S178="","",IF(S178&gt;Settings!$B$4,"Yes","No"))</f>
        <v/>
      </c>
      <c r="U178">
        <f>IF(OR(G178="",B178=""),"",IF(COUNTIFS($G$3:$G$1002,SUBSTITUTE(SUBSTITUTE(G178,"?","~?"),"*","~*"),$B$3:$B$1002,"&lt;&gt;"&amp;SUBSTITUTE(SUBSTITUTE(B178,"?","~?"),"*","~*"),$B$3:$B$1002,"?*")&gt;0,"Yes","No"))</f>
        <v/>
      </c>
      <c r="V178">
        <f>IF(OR(G178="",I178="",O178="",O178="Unclassified"),"",IFERROR(INDEX(Settings!$E$5:$H$16,MATCH(I178,Settings!$D$5:$D$16,0),MATCH(O178,Settings!$E$4:$H$4,0)),"Check"))</f>
        <v/>
      </c>
      <c r="W178">
        <f>IF(V178="","",IF(V178="No","Yes","No"))</f>
        <v/>
      </c>
      <c r="X178">
        <f>IF(OR(E178="",G178=""),"",IF(LOWER(IF(RIGHT(TRIM(E178),1)="/",LEFT(TRIM(E178),LEN(TRIM(E178))-1),TRIM(E178)))&lt;&gt;LOWER(IF(RIGHT(TRIM(G178),1)="/",LEFT(TRIM(G178),LEN(TRIM(G178))-1),TRIM(G178))),"Yes","No"))</f>
        <v/>
      </c>
      <c r="Y178">
        <f>IF(A178="","",(N(Q178)&gt;0)+(T178="Yes")+(U178="Yes")+(W178="Yes")+(X178="Yes"))</f>
        <v/>
      </c>
      <c r="Z178">
        <f>IF(A178="","",IF(G178="","Not mapped",IF(Y178=0,"OK",MID(IF(N(Q178)&gt;0,"; Cannibalisation","")&amp;IF(T178="Yes","; Too many primary keywords on URL","")&amp;IF(U178="Yes","; URL spans 2+ clusters","")&amp;IF(W178="Yes","; Intent mismatch","")&amp;IF(X178="Yes","; Ranking URL is not the target",""),3,300))))</f>
        <v/>
      </c>
      <c r="AA178">
        <f>IF(G178="","",IF(COUNTIF($G$3:G178,SUBSTITUTE(SUBSTITUTE(G178,"?","~?"),"*","~*"))=1,MAX($AA$2:AA177)+1,""))</f>
        <v/>
      </c>
      <c r="AB178">
        <f>IF(B178="","",IF(COUNTIF($B$3:B178,SUBSTITUTE(SUBSTITUTE(B178,"?","~?"),"*","~*"))=1,MAX($AB$2:AB177)+1,""))</f>
        <v/>
      </c>
    </row>
    <row r="179">
      <c r="M179">
        <f>IF(A179="","",LOWER(TRIM(SUBSTITUTE(SUBSTITUTE(A179,"?",""),"*",""))))</f>
        <v/>
      </c>
      <c r="N179">
        <f>IF(M179="","",IF(SUMPRODUCT(ISNUMBER(SEARCH(" "&amp;Settings!$L$5:$L$124&amp;" "," "&amp;M179&amp;" "))*(Settings!$K$5:$K$124="Navigational")*(Settings!$L$5:$L$124&lt;&gt;""))&gt;0,"Navigational",IF(SUMPRODUCT(ISNUMBER(SEARCH(" "&amp;Settings!$L$5:$L$124&amp;" "," "&amp;M179&amp;" "))*(Settings!$K$5:$K$124="Transactional")*(Settings!$L$5:$L$124&lt;&gt;""))&gt;0,"Transactional",IF(SUMPRODUCT(ISNUMBER(SEARCH(" "&amp;Settings!$L$5:$L$124&amp;" "," "&amp;M179&amp;" "))*(Settings!$K$5:$K$124="Commercial")*(Settings!$L$5:$L$124&lt;&gt;""))&gt;0,"Commercial",IF(SUMPRODUCT(ISNUMBER(SEARCH(" "&amp;Settings!$L$5:$L$124&amp;" "," "&amp;M179&amp;" "))*(Settings!$K$5:$K$124="Informational")*(Settings!$L$5:$L$124&lt;&gt;""))&gt;0,"Informational","Unclassified")))))</f>
        <v/>
      </c>
      <c r="O179">
        <f>IF(A179="","",IF(K179&lt;&gt;"",PROPER(K179),N179))</f>
        <v/>
      </c>
      <c r="P179">
        <f>IF(A179="","",ROUND(Settings!$B$5*MIN(1,LOG10(N(C179)+1)/LOG10(Settings!$B$7+1))+Settings!$B$6*(1-MIN(100,IF(D179="",50,N(D179)))/100)+IFERROR(INDEX(Settings!$B$10:$B$14,MATCH(O179,Settings!$A$10:$A$14,0)),0),0))</f>
        <v/>
      </c>
      <c r="Q179">
        <f>IF(OR(A179="",G179=""),"",COUNTIFS($M$3:$M$1002,M179,$G$3:$G$1002,"&lt;&gt;"&amp;SUBSTITUTE(SUBSTITUTE(G179,"?","~?"),"*","~*"),$G$3:$G$1002,"?*"))</f>
        <v/>
      </c>
      <c r="R179">
        <f>IF(Q179="","",IF(Q179&gt;0,"Yes","No"))</f>
        <v/>
      </c>
      <c r="S179">
        <f>IF(G179="","",COUNTIFS($G$3:$G$1002,SUBSTITUTE(SUBSTITUTE(G179,"?","~?"),"*","~*"),$J$3:$J$1002,"Primary"))</f>
        <v/>
      </c>
      <c r="T179">
        <f>IF(S179="","",IF(S179&gt;Settings!$B$4,"Yes","No"))</f>
        <v/>
      </c>
      <c r="U179">
        <f>IF(OR(G179="",B179=""),"",IF(COUNTIFS($G$3:$G$1002,SUBSTITUTE(SUBSTITUTE(G179,"?","~?"),"*","~*"),$B$3:$B$1002,"&lt;&gt;"&amp;SUBSTITUTE(SUBSTITUTE(B179,"?","~?"),"*","~*"),$B$3:$B$1002,"?*")&gt;0,"Yes","No"))</f>
        <v/>
      </c>
      <c r="V179">
        <f>IF(OR(G179="",I179="",O179="",O179="Unclassified"),"",IFERROR(INDEX(Settings!$E$5:$H$16,MATCH(I179,Settings!$D$5:$D$16,0),MATCH(O179,Settings!$E$4:$H$4,0)),"Check"))</f>
        <v/>
      </c>
      <c r="W179">
        <f>IF(V179="","",IF(V179="No","Yes","No"))</f>
        <v/>
      </c>
      <c r="X179">
        <f>IF(OR(E179="",G179=""),"",IF(LOWER(IF(RIGHT(TRIM(E179),1)="/",LEFT(TRIM(E179),LEN(TRIM(E179))-1),TRIM(E179)))&lt;&gt;LOWER(IF(RIGHT(TRIM(G179),1)="/",LEFT(TRIM(G179),LEN(TRIM(G179))-1),TRIM(G179))),"Yes","No"))</f>
        <v/>
      </c>
      <c r="Y179">
        <f>IF(A179="","",(N(Q179)&gt;0)+(T179="Yes")+(U179="Yes")+(W179="Yes")+(X179="Yes"))</f>
        <v/>
      </c>
      <c r="Z179">
        <f>IF(A179="","",IF(G179="","Not mapped",IF(Y179=0,"OK",MID(IF(N(Q179)&gt;0,"; Cannibalisation","")&amp;IF(T179="Yes","; Too many primary keywords on URL","")&amp;IF(U179="Yes","; URL spans 2+ clusters","")&amp;IF(W179="Yes","; Intent mismatch","")&amp;IF(X179="Yes","; Ranking URL is not the target",""),3,300))))</f>
        <v/>
      </c>
      <c r="AA179">
        <f>IF(G179="","",IF(COUNTIF($G$3:G179,SUBSTITUTE(SUBSTITUTE(G179,"?","~?"),"*","~*"))=1,MAX($AA$2:AA178)+1,""))</f>
        <v/>
      </c>
      <c r="AB179">
        <f>IF(B179="","",IF(COUNTIF($B$3:B179,SUBSTITUTE(SUBSTITUTE(B179,"?","~?"),"*","~*"))=1,MAX($AB$2:AB178)+1,""))</f>
        <v/>
      </c>
    </row>
    <row r="180">
      <c r="M180">
        <f>IF(A180="","",LOWER(TRIM(SUBSTITUTE(SUBSTITUTE(A180,"?",""),"*",""))))</f>
        <v/>
      </c>
      <c r="N180">
        <f>IF(M180="","",IF(SUMPRODUCT(ISNUMBER(SEARCH(" "&amp;Settings!$L$5:$L$124&amp;" "," "&amp;M180&amp;" "))*(Settings!$K$5:$K$124="Navigational")*(Settings!$L$5:$L$124&lt;&gt;""))&gt;0,"Navigational",IF(SUMPRODUCT(ISNUMBER(SEARCH(" "&amp;Settings!$L$5:$L$124&amp;" "," "&amp;M180&amp;" "))*(Settings!$K$5:$K$124="Transactional")*(Settings!$L$5:$L$124&lt;&gt;""))&gt;0,"Transactional",IF(SUMPRODUCT(ISNUMBER(SEARCH(" "&amp;Settings!$L$5:$L$124&amp;" "," "&amp;M180&amp;" "))*(Settings!$K$5:$K$124="Commercial")*(Settings!$L$5:$L$124&lt;&gt;""))&gt;0,"Commercial",IF(SUMPRODUCT(ISNUMBER(SEARCH(" "&amp;Settings!$L$5:$L$124&amp;" "," "&amp;M180&amp;" "))*(Settings!$K$5:$K$124="Informational")*(Settings!$L$5:$L$124&lt;&gt;""))&gt;0,"Informational","Unclassified")))))</f>
        <v/>
      </c>
      <c r="O180">
        <f>IF(A180="","",IF(K180&lt;&gt;"",PROPER(K180),N180))</f>
        <v/>
      </c>
      <c r="P180">
        <f>IF(A180="","",ROUND(Settings!$B$5*MIN(1,LOG10(N(C180)+1)/LOG10(Settings!$B$7+1))+Settings!$B$6*(1-MIN(100,IF(D180="",50,N(D180)))/100)+IFERROR(INDEX(Settings!$B$10:$B$14,MATCH(O180,Settings!$A$10:$A$14,0)),0),0))</f>
        <v/>
      </c>
      <c r="Q180">
        <f>IF(OR(A180="",G180=""),"",COUNTIFS($M$3:$M$1002,M180,$G$3:$G$1002,"&lt;&gt;"&amp;SUBSTITUTE(SUBSTITUTE(G180,"?","~?"),"*","~*"),$G$3:$G$1002,"?*"))</f>
        <v/>
      </c>
      <c r="R180">
        <f>IF(Q180="","",IF(Q180&gt;0,"Yes","No"))</f>
        <v/>
      </c>
      <c r="S180">
        <f>IF(G180="","",COUNTIFS($G$3:$G$1002,SUBSTITUTE(SUBSTITUTE(G180,"?","~?"),"*","~*"),$J$3:$J$1002,"Primary"))</f>
        <v/>
      </c>
      <c r="T180">
        <f>IF(S180="","",IF(S180&gt;Settings!$B$4,"Yes","No"))</f>
        <v/>
      </c>
      <c r="U180">
        <f>IF(OR(G180="",B180=""),"",IF(COUNTIFS($G$3:$G$1002,SUBSTITUTE(SUBSTITUTE(G180,"?","~?"),"*","~*"),$B$3:$B$1002,"&lt;&gt;"&amp;SUBSTITUTE(SUBSTITUTE(B180,"?","~?"),"*","~*"),$B$3:$B$1002,"?*")&gt;0,"Yes","No"))</f>
        <v/>
      </c>
      <c r="V180">
        <f>IF(OR(G180="",I180="",O180="",O180="Unclassified"),"",IFERROR(INDEX(Settings!$E$5:$H$16,MATCH(I180,Settings!$D$5:$D$16,0),MATCH(O180,Settings!$E$4:$H$4,0)),"Check"))</f>
        <v/>
      </c>
      <c r="W180">
        <f>IF(V180="","",IF(V180="No","Yes","No"))</f>
        <v/>
      </c>
      <c r="X180">
        <f>IF(OR(E180="",G180=""),"",IF(LOWER(IF(RIGHT(TRIM(E180),1)="/",LEFT(TRIM(E180),LEN(TRIM(E180))-1),TRIM(E180)))&lt;&gt;LOWER(IF(RIGHT(TRIM(G180),1)="/",LEFT(TRIM(G180),LEN(TRIM(G180))-1),TRIM(G180))),"Yes","No"))</f>
        <v/>
      </c>
      <c r="Y180">
        <f>IF(A180="","",(N(Q180)&gt;0)+(T180="Yes")+(U180="Yes")+(W180="Yes")+(X180="Yes"))</f>
        <v/>
      </c>
      <c r="Z180">
        <f>IF(A180="","",IF(G180="","Not mapped",IF(Y180=0,"OK",MID(IF(N(Q180)&gt;0,"; Cannibalisation","")&amp;IF(T180="Yes","; Too many primary keywords on URL","")&amp;IF(U180="Yes","; URL spans 2+ clusters","")&amp;IF(W180="Yes","; Intent mismatch","")&amp;IF(X180="Yes","; Ranking URL is not the target",""),3,300))))</f>
        <v/>
      </c>
      <c r="AA180">
        <f>IF(G180="","",IF(COUNTIF($G$3:G180,SUBSTITUTE(SUBSTITUTE(G180,"?","~?"),"*","~*"))=1,MAX($AA$2:AA179)+1,""))</f>
        <v/>
      </c>
      <c r="AB180">
        <f>IF(B180="","",IF(COUNTIF($B$3:B180,SUBSTITUTE(SUBSTITUTE(B180,"?","~?"),"*","~*"))=1,MAX($AB$2:AB179)+1,""))</f>
        <v/>
      </c>
    </row>
    <row r="181">
      <c r="M181">
        <f>IF(A181="","",LOWER(TRIM(SUBSTITUTE(SUBSTITUTE(A181,"?",""),"*",""))))</f>
        <v/>
      </c>
      <c r="N181">
        <f>IF(M181="","",IF(SUMPRODUCT(ISNUMBER(SEARCH(" "&amp;Settings!$L$5:$L$124&amp;" "," "&amp;M181&amp;" "))*(Settings!$K$5:$K$124="Navigational")*(Settings!$L$5:$L$124&lt;&gt;""))&gt;0,"Navigational",IF(SUMPRODUCT(ISNUMBER(SEARCH(" "&amp;Settings!$L$5:$L$124&amp;" "," "&amp;M181&amp;" "))*(Settings!$K$5:$K$124="Transactional")*(Settings!$L$5:$L$124&lt;&gt;""))&gt;0,"Transactional",IF(SUMPRODUCT(ISNUMBER(SEARCH(" "&amp;Settings!$L$5:$L$124&amp;" "," "&amp;M181&amp;" "))*(Settings!$K$5:$K$124="Commercial")*(Settings!$L$5:$L$124&lt;&gt;""))&gt;0,"Commercial",IF(SUMPRODUCT(ISNUMBER(SEARCH(" "&amp;Settings!$L$5:$L$124&amp;" "," "&amp;M181&amp;" "))*(Settings!$K$5:$K$124="Informational")*(Settings!$L$5:$L$124&lt;&gt;""))&gt;0,"Informational","Unclassified")))))</f>
        <v/>
      </c>
      <c r="O181">
        <f>IF(A181="","",IF(K181&lt;&gt;"",PROPER(K181),N181))</f>
        <v/>
      </c>
      <c r="P181">
        <f>IF(A181="","",ROUND(Settings!$B$5*MIN(1,LOG10(N(C181)+1)/LOG10(Settings!$B$7+1))+Settings!$B$6*(1-MIN(100,IF(D181="",50,N(D181)))/100)+IFERROR(INDEX(Settings!$B$10:$B$14,MATCH(O181,Settings!$A$10:$A$14,0)),0),0))</f>
        <v/>
      </c>
      <c r="Q181">
        <f>IF(OR(A181="",G181=""),"",COUNTIFS($M$3:$M$1002,M181,$G$3:$G$1002,"&lt;&gt;"&amp;SUBSTITUTE(SUBSTITUTE(G181,"?","~?"),"*","~*"),$G$3:$G$1002,"?*"))</f>
        <v/>
      </c>
      <c r="R181">
        <f>IF(Q181="","",IF(Q181&gt;0,"Yes","No"))</f>
        <v/>
      </c>
      <c r="S181">
        <f>IF(G181="","",COUNTIFS($G$3:$G$1002,SUBSTITUTE(SUBSTITUTE(G181,"?","~?"),"*","~*"),$J$3:$J$1002,"Primary"))</f>
        <v/>
      </c>
      <c r="T181">
        <f>IF(S181="","",IF(S181&gt;Settings!$B$4,"Yes","No"))</f>
        <v/>
      </c>
      <c r="U181">
        <f>IF(OR(G181="",B181=""),"",IF(COUNTIFS($G$3:$G$1002,SUBSTITUTE(SUBSTITUTE(G181,"?","~?"),"*","~*"),$B$3:$B$1002,"&lt;&gt;"&amp;SUBSTITUTE(SUBSTITUTE(B181,"?","~?"),"*","~*"),$B$3:$B$1002,"?*")&gt;0,"Yes","No"))</f>
        <v/>
      </c>
      <c r="V181">
        <f>IF(OR(G181="",I181="",O181="",O181="Unclassified"),"",IFERROR(INDEX(Settings!$E$5:$H$16,MATCH(I181,Settings!$D$5:$D$16,0),MATCH(O181,Settings!$E$4:$H$4,0)),"Check"))</f>
        <v/>
      </c>
      <c r="W181">
        <f>IF(V181="","",IF(V181="No","Yes","No"))</f>
        <v/>
      </c>
      <c r="X181">
        <f>IF(OR(E181="",G181=""),"",IF(LOWER(IF(RIGHT(TRIM(E181),1)="/",LEFT(TRIM(E181),LEN(TRIM(E181))-1),TRIM(E181)))&lt;&gt;LOWER(IF(RIGHT(TRIM(G181),1)="/",LEFT(TRIM(G181),LEN(TRIM(G181))-1),TRIM(G181))),"Yes","No"))</f>
        <v/>
      </c>
      <c r="Y181">
        <f>IF(A181="","",(N(Q181)&gt;0)+(T181="Yes")+(U181="Yes")+(W181="Yes")+(X181="Yes"))</f>
        <v/>
      </c>
      <c r="Z181">
        <f>IF(A181="","",IF(G181="","Not mapped",IF(Y181=0,"OK",MID(IF(N(Q181)&gt;0,"; Cannibalisation","")&amp;IF(T181="Yes","; Too many primary keywords on URL","")&amp;IF(U181="Yes","; URL spans 2+ clusters","")&amp;IF(W181="Yes","; Intent mismatch","")&amp;IF(X181="Yes","; Ranking URL is not the target",""),3,300))))</f>
        <v/>
      </c>
      <c r="AA181">
        <f>IF(G181="","",IF(COUNTIF($G$3:G181,SUBSTITUTE(SUBSTITUTE(G181,"?","~?"),"*","~*"))=1,MAX($AA$2:AA180)+1,""))</f>
        <v/>
      </c>
      <c r="AB181">
        <f>IF(B181="","",IF(COUNTIF($B$3:B181,SUBSTITUTE(SUBSTITUTE(B181,"?","~?"),"*","~*"))=1,MAX($AB$2:AB180)+1,""))</f>
        <v/>
      </c>
    </row>
    <row r="182">
      <c r="M182">
        <f>IF(A182="","",LOWER(TRIM(SUBSTITUTE(SUBSTITUTE(A182,"?",""),"*",""))))</f>
        <v/>
      </c>
      <c r="N182">
        <f>IF(M182="","",IF(SUMPRODUCT(ISNUMBER(SEARCH(" "&amp;Settings!$L$5:$L$124&amp;" "," "&amp;M182&amp;" "))*(Settings!$K$5:$K$124="Navigational")*(Settings!$L$5:$L$124&lt;&gt;""))&gt;0,"Navigational",IF(SUMPRODUCT(ISNUMBER(SEARCH(" "&amp;Settings!$L$5:$L$124&amp;" "," "&amp;M182&amp;" "))*(Settings!$K$5:$K$124="Transactional")*(Settings!$L$5:$L$124&lt;&gt;""))&gt;0,"Transactional",IF(SUMPRODUCT(ISNUMBER(SEARCH(" "&amp;Settings!$L$5:$L$124&amp;" "," "&amp;M182&amp;" "))*(Settings!$K$5:$K$124="Commercial")*(Settings!$L$5:$L$124&lt;&gt;""))&gt;0,"Commercial",IF(SUMPRODUCT(ISNUMBER(SEARCH(" "&amp;Settings!$L$5:$L$124&amp;" "," "&amp;M182&amp;" "))*(Settings!$K$5:$K$124="Informational")*(Settings!$L$5:$L$124&lt;&gt;""))&gt;0,"Informational","Unclassified")))))</f>
        <v/>
      </c>
      <c r="O182">
        <f>IF(A182="","",IF(K182&lt;&gt;"",PROPER(K182),N182))</f>
        <v/>
      </c>
      <c r="P182">
        <f>IF(A182="","",ROUND(Settings!$B$5*MIN(1,LOG10(N(C182)+1)/LOG10(Settings!$B$7+1))+Settings!$B$6*(1-MIN(100,IF(D182="",50,N(D182)))/100)+IFERROR(INDEX(Settings!$B$10:$B$14,MATCH(O182,Settings!$A$10:$A$14,0)),0),0))</f>
        <v/>
      </c>
      <c r="Q182">
        <f>IF(OR(A182="",G182=""),"",COUNTIFS($M$3:$M$1002,M182,$G$3:$G$1002,"&lt;&gt;"&amp;SUBSTITUTE(SUBSTITUTE(G182,"?","~?"),"*","~*"),$G$3:$G$1002,"?*"))</f>
        <v/>
      </c>
      <c r="R182">
        <f>IF(Q182="","",IF(Q182&gt;0,"Yes","No"))</f>
        <v/>
      </c>
      <c r="S182">
        <f>IF(G182="","",COUNTIFS($G$3:$G$1002,SUBSTITUTE(SUBSTITUTE(G182,"?","~?"),"*","~*"),$J$3:$J$1002,"Primary"))</f>
        <v/>
      </c>
      <c r="T182">
        <f>IF(S182="","",IF(S182&gt;Settings!$B$4,"Yes","No"))</f>
        <v/>
      </c>
      <c r="U182">
        <f>IF(OR(G182="",B182=""),"",IF(COUNTIFS($G$3:$G$1002,SUBSTITUTE(SUBSTITUTE(G182,"?","~?"),"*","~*"),$B$3:$B$1002,"&lt;&gt;"&amp;SUBSTITUTE(SUBSTITUTE(B182,"?","~?"),"*","~*"),$B$3:$B$1002,"?*")&gt;0,"Yes","No"))</f>
        <v/>
      </c>
      <c r="V182">
        <f>IF(OR(G182="",I182="",O182="",O182="Unclassified"),"",IFERROR(INDEX(Settings!$E$5:$H$16,MATCH(I182,Settings!$D$5:$D$16,0),MATCH(O182,Settings!$E$4:$H$4,0)),"Check"))</f>
        <v/>
      </c>
      <c r="W182">
        <f>IF(V182="","",IF(V182="No","Yes","No"))</f>
        <v/>
      </c>
      <c r="X182">
        <f>IF(OR(E182="",G182=""),"",IF(LOWER(IF(RIGHT(TRIM(E182),1)="/",LEFT(TRIM(E182),LEN(TRIM(E182))-1),TRIM(E182)))&lt;&gt;LOWER(IF(RIGHT(TRIM(G182),1)="/",LEFT(TRIM(G182),LEN(TRIM(G182))-1),TRIM(G182))),"Yes","No"))</f>
        <v/>
      </c>
      <c r="Y182">
        <f>IF(A182="","",(N(Q182)&gt;0)+(T182="Yes")+(U182="Yes")+(W182="Yes")+(X182="Yes"))</f>
        <v/>
      </c>
      <c r="Z182">
        <f>IF(A182="","",IF(G182="","Not mapped",IF(Y182=0,"OK",MID(IF(N(Q182)&gt;0,"; Cannibalisation","")&amp;IF(T182="Yes","; Too many primary keywords on URL","")&amp;IF(U182="Yes","; URL spans 2+ clusters","")&amp;IF(W182="Yes","; Intent mismatch","")&amp;IF(X182="Yes","; Ranking URL is not the target",""),3,300))))</f>
        <v/>
      </c>
      <c r="AA182">
        <f>IF(G182="","",IF(COUNTIF($G$3:G182,SUBSTITUTE(SUBSTITUTE(G182,"?","~?"),"*","~*"))=1,MAX($AA$2:AA181)+1,""))</f>
        <v/>
      </c>
      <c r="AB182">
        <f>IF(B182="","",IF(COUNTIF($B$3:B182,SUBSTITUTE(SUBSTITUTE(B182,"?","~?"),"*","~*"))=1,MAX($AB$2:AB181)+1,""))</f>
        <v/>
      </c>
    </row>
    <row r="183">
      <c r="M183">
        <f>IF(A183="","",LOWER(TRIM(SUBSTITUTE(SUBSTITUTE(A183,"?",""),"*",""))))</f>
        <v/>
      </c>
      <c r="N183">
        <f>IF(M183="","",IF(SUMPRODUCT(ISNUMBER(SEARCH(" "&amp;Settings!$L$5:$L$124&amp;" "," "&amp;M183&amp;" "))*(Settings!$K$5:$K$124="Navigational")*(Settings!$L$5:$L$124&lt;&gt;""))&gt;0,"Navigational",IF(SUMPRODUCT(ISNUMBER(SEARCH(" "&amp;Settings!$L$5:$L$124&amp;" "," "&amp;M183&amp;" "))*(Settings!$K$5:$K$124="Transactional")*(Settings!$L$5:$L$124&lt;&gt;""))&gt;0,"Transactional",IF(SUMPRODUCT(ISNUMBER(SEARCH(" "&amp;Settings!$L$5:$L$124&amp;" "," "&amp;M183&amp;" "))*(Settings!$K$5:$K$124="Commercial")*(Settings!$L$5:$L$124&lt;&gt;""))&gt;0,"Commercial",IF(SUMPRODUCT(ISNUMBER(SEARCH(" "&amp;Settings!$L$5:$L$124&amp;" "," "&amp;M183&amp;" "))*(Settings!$K$5:$K$124="Informational")*(Settings!$L$5:$L$124&lt;&gt;""))&gt;0,"Informational","Unclassified")))))</f>
        <v/>
      </c>
      <c r="O183">
        <f>IF(A183="","",IF(K183&lt;&gt;"",PROPER(K183),N183))</f>
        <v/>
      </c>
      <c r="P183">
        <f>IF(A183="","",ROUND(Settings!$B$5*MIN(1,LOG10(N(C183)+1)/LOG10(Settings!$B$7+1))+Settings!$B$6*(1-MIN(100,IF(D183="",50,N(D183)))/100)+IFERROR(INDEX(Settings!$B$10:$B$14,MATCH(O183,Settings!$A$10:$A$14,0)),0),0))</f>
        <v/>
      </c>
      <c r="Q183">
        <f>IF(OR(A183="",G183=""),"",COUNTIFS($M$3:$M$1002,M183,$G$3:$G$1002,"&lt;&gt;"&amp;SUBSTITUTE(SUBSTITUTE(G183,"?","~?"),"*","~*"),$G$3:$G$1002,"?*"))</f>
        <v/>
      </c>
      <c r="R183">
        <f>IF(Q183="","",IF(Q183&gt;0,"Yes","No"))</f>
        <v/>
      </c>
      <c r="S183">
        <f>IF(G183="","",COUNTIFS($G$3:$G$1002,SUBSTITUTE(SUBSTITUTE(G183,"?","~?"),"*","~*"),$J$3:$J$1002,"Primary"))</f>
        <v/>
      </c>
      <c r="T183">
        <f>IF(S183="","",IF(S183&gt;Settings!$B$4,"Yes","No"))</f>
        <v/>
      </c>
      <c r="U183">
        <f>IF(OR(G183="",B183=""),"",IF(COUNTIFS($G$3:$G$1002,SUBSTITUTE(SUBSTITUTE(G183,"?","~?"),"*","~*"),$B$3:$B$1002,"&lt;&gt;"&amp;SUBSTITUTE(SUBSTITUTE(B183,"?","~?"),"*","~*"),$B$3:$B$1002,"?*")&gt;0,"Yes","No"))</f>
        <v/>
      </c>
      <c r="V183">
        <f>IF(OR(G183="",I183="",O183="",O183="Unclassified"),"",IFERROR(INDEX(Settings!$E$5:$H$16,MATCH(I183,Settings!$D$5:$D$16,0),MATCH(O183,Settings!$E$4:$H$4,0)),"Check"))</f>
        <v/>
      </c>
      <c r="W183">
        <f>IF(V183="","",IF(V183="No","Yes","No"))</f>
        <v/>
      </c>
      <c r="X183">
        <f>IF(OR(E183="",G183=""),"",IF(LOWER(IF(RIGHT(TRIM(E183),1)="/",LEFT(TRIM(E183),LEN(TRIM(E183))-1),TRIM(E183)))&lt;&gt;LOWER(IF(RIGHT(TRIM(G183),1)="/",LEFT(TRIM(G183),LEN(TRIM(G183))-1),TRIM(G183))),"Yes","No"))</f>
        <v/>
      </c>
      <c r="Y183">
        <f>IF(A183="","",(N(Q183)&gt;0)+(T183="Yes")+(U183="Yes")+(W183="Yes")+(X183="Yes"))</f>
        <v/>
      </c>
      <c r="Z183">
        <f>IF(A183="","",IF(G183="","Not mapped",IF(Y183=0,"OK",MID(IF(N(Q183)&gt;0,"; Cannibalisation","")&amp;IF(T183="Yes","; Too many primary keywords on URL","")&amp;IF(U183="Yes","; URL spans 2+ clusters","")&amp;IF(W183="Yes","; Intent mismatch","")&amp;IF(X183="Yes","; Ranking URL is not the target",""),3,300))))</f>
        <v/>
      </c>
      <c r="AA183">
        <f>IF(G183="","",IF(COUNTIF($G$3:G183,SUBSTITUTE(SUBSTITUTE(G183,"?","~?"),"*","~*"))=1,MAX($AA$2:AA182)+1,""))</f>
        <v/>
      </c>
      <c r="AB183">
        <f>IF(B183="","",IF(COUNTIF($B$3:B183,SUBSTITUTE(SUBSTITUTE(B183,"?","~?"),"*","~*"))=1,MAX($AB$2:AB182)+1,""))</f>
        <v/>
      </c>
    </row>
    <row r="184">
      <c r="M184">
        <f>IF(A184="","",LOWER(TRIM(SUBSTITUTE(SUBSTITUTE(A184,"?",""),"*",""))))</f>
        <v/>
      </c>
      <c r="N184">
        <f>IF(M184="","",IF(SUMPRODUCT(ISNUMBER(SEARCH(" "&amp;Settings!$L$5:$L$124&amp;" "," "&amp;M184&amp;" "))*(Settings!$K$5:$K$124="Navigational")*(Settings!$L$5:$L$124&lt;&gt;""))&gt;0,"Navigational",IF(SUMPRODUCT(ISNUMBER(SEARCH(" "&amp;Settings!$L$5:$L$124&amp;" "," "&amp;M184&amp;" "))*(Settings!$K$5:$K$124="Transactional")*(Settings!$L$5:$L$124&lt;&gt;""))&gt;0,"Transactional",IF(SUMPRODUCT(ISNUMBER(SEARCH(" "&amp;Settings!$L$5:$L$124&amp;" "," "&amp;M184&amp;" "))*(Settings!$K$5:$K$124="Commercial")*(Settings!$L$5:$L$124&lt;&gt;""))&gt;0,"Commercial",IF(SUMPRODUCT(ISNUMBER(SEARCH(" "&amp;Settings!$L$5:$L$124&amp;" "," "&amp;M184&amp;" "))*(Settings!$K$5:$K$124="Informational")*(Settings!$L$5:$L$124&lt;&gt;""))&gt;0,"Informational","Unclassified")))))</f>
        <v/>
      </c>
      <c r="O184">
        <f>IF(A184="","",IF(K184&lt;&gt;"",PROPER(K184),N184))</f>
        <v/>
      </c>
      <c r="P184">
        <f>IF(A184="","",ROUND(Settings!$B$5*MIN(1,LOG10(N(C184)+1)/LOG10(Settings!$B$7+1))+Settings!$B$6*(1-MIN(100,IF(D184="",50,N(D184)))/100)+IFERROR(INDEX(Settings!$B$10:$B$14,MATCH(O184,Settings!$A$10:$A$14,0)),0),0))</f>
        <v/>
      </c>
      <c r="Q184">
        <f>IF(OR(A184="",G184=""),"",COUNTIFS($M$3:$M$1002,M184,$G$3:$G$1002,"&lt;&gt;"&amp;SUBSTITUTE(SUBSTITUTE(G184,"?","~?"),"*","~*"),$G$3:$G$1002,"?*"))</f>
        <v/>
      </c>
      <c r="R184">
        <f>IF(Q184="","",IF(Q184&gt;0,"Yes","No"))</f>
        <v/>
      </c>
      <c r="S184">
        <f>IF(G184="","",COUNTIFS($G$3:$G$1002,SUBSTITUTE(SUBSTITUTE(G184,"?","~?"),"*","~*"),$J$3:$J$1002,"Primary"))</f>
        <v/>
      </c>
      <c r="T184">
        <f>IF(S184="","",IF(S184&gt;Settings!$B$4,"Yes","No"))</f>
        <v/>
      </c>
      <c r="U184">
        <f>IF(OR(G184="",B184=""),"",IF(COUNTIFS($G$3:$G$1002,SUBSTITUTE(SUBSTITUTE(G184,"?","~?"),"*","~*"),$B$3:$B$1002,"&lt;&gt;"&amp;SUBSTITUTE(SUBSTITUTE(B184,"?","~?"),"*","~*"),$B$3:$B$1002,"?*")&gt;0,"Yes","No"))</f>
        <v/>
      </c>
      <c r="V184">
        <f>IF(OR(G184="",I184="",O184="",O184="Unclassified"),"",IFERROR(INDEX(Settings!$E$5:$H$16,MATCH(I184,Settings!$D$5:$D$16,0),MATCH(O184,Settings!$E$4:$H$4,0)),"Check"))</f>
        <v/>
      </c>
      <c r="W184">
        <f>IF(V184="","",IF(V184="No","Yes","No"))</f>
        <v/>
      </c>
      <c r="X184">
        <f>IF(OR(E184="",G184=""),"",IF(LOWER(IF(RIGHT(TRIM(E184),1)="/",LEFT(TRIM(E184),LEN(TRIM(E184))-1),TRIM(E184)))&lt;&gt;LOWER(IF(RIGHT(TRIM(G184),1)="/",LEFT(TRIM(G184),LEN(TRIM(G184))-1),TRIM(G184))),"Yes","No"))</f>
        <v/>
      </c>
      <c r="Y184">
        <f>IF(A184="","",(N(Q184)&gt;0)+(T184="Yes")+(U184="Yes")+(W184="Yes")+(X184="Yes"))</f>
        <v/>
      </c>
      <c r="Z184">
        <f>IF(A184="","",IF(G184="","Not mapped",IF(Y184=0,"OK",MID(IF(N(Q184)&gt;0,"; Cannibalisation","")&amp;IF(T184="Yes","; Too many primary keywords on URL","")&amp;IF(U184="Yes","; URL spans 2+ clusters","")&amp;IF(W184="Yes","; Intent mismatch","")&amp;IF(X184="Yes","; Ranking URL is not the target",""),3,300))))</f>
        <v/>
      </c>
      <c r="AA184">
        <f>IF(G184="","",IF(COUNTIF($G$3:G184,SUBSTITUTE(SUBSTITUTE(G184,"?","~?"),"*","~*"))=1,MAX($AA$2:AA183)+1,""))</f>
        <v/>
      </c>
      <c r="AB184">
        <f>IF(B184="","",IF(COUNTIF($B$3:B184,SUBSTITUTE(SUBSTITUTE(B184,"?","~?"),"*","~*"))=1,MAX($AB$2:AB183)+1,""))</f>
        <v/>
      </c>
    </row>
    <row r="185">
      <c r="M185">
        <f>IF(A185="","",LOWER(TRIM(SUBSTITUTE(SUBSTITUTE(A185,"?",""),"*",""))))</f>
        <v/>
      </c>
      <c r="N185">
        <f>IF(M185="","",IF(SUMPRODUCT(ISNUMBER(SEARCH(" "&amp;Settings!$L$5:$L$124&amp;" "," "&amp;M185&amp;" "))*(Settings!$K$5:$K$124="Navigational")*(Settings!$L$5:$L$124&lt;&gt;""))&gt;0,"Navigational",IF(SUMPRODUCT(ISNUMBER(SEARCH(" "&amp;Settings!$L$5:$L$124&amp;" "," "&amp;M185&amp;" "))*(Settings!$K$5:$K$124="Transactional")*(Settings!$L$5:$L$124&lt;&gt;""))&gt;0,"Transactional",IF(SUMPRODUCT(ISNUMBER(SEARCH(" "&amp;Settings!$L$5:$L$124&amp;" "," "&amp;M185&amp;" "))*(Settings!$K$5:$K$124="Commercial")*(Settings!$L$5:$L$124&lt;&gt;""))&gt;0,"Commercial",IF(SUMPRODUCT(ISNUMBER(SEARCH(" "&amp;Settings!$L$5:$L$124&amp;" "," "&amp;M185&amp;" "))*(Settings!$K$5:$K$124="Informational")*(Settings!$L$5:$L$124&lt;&gt;""))&gt;0,"Informational","Unclassified")))))</f>
        <v/>
      </c>
      <c r="O185">
        <f>IF(A185="","",IF(K185&lt;&gt;"",PROPER(K185),N185))</f>
        <v/>
      </c>
      <c r="P185">
        <f>IF(A185="","",ROUND(Settings!$B$5*MIN(1,LOG10(N(C185)+1)/LOG10(Settings!$B$7+1))+Settings!$B$6*(1-MIN(100,IF(D185="",50,N(D185)))/100)+IFERROR(INDEX(Settings!$B$10:$B$14,MATCH(O185,Settings!$A$10:$A$14,0)),0),0))</f>
        <v/>
      </c>
      <c r="Q185">
        <f>IF(OR(A185="",G185=""),"",COUNTIFS($M$3:$M$1002,M185,$G$3:$G$1002,"&lt;&gt;"&amp;SUBSTITUTE(SUBSTITUTE(G185,"?","~?"),"*","~*"),$G$3:$G$1002,"?*"))</f>
        <v/>
      </c>
      <c r="R185">
        <f>IF(Q185="","",IF(Q185&gt;0,"Yes","No"))</f>
        <v/>
      </c>
      <c r="S185">
        <f>IF(G185="","",COUNTIFS($G$3:$G$1002,SUBSTITUTE(SUBSTITUTE(G185,"?","~?"),"*","~*"),$J$3:$J$1002,"Primary"))</f>
        <v/>
      </c>
      <c r="T185">
        <f>IF(S185="","",IF(S185&gt;Settings!$B$4,"Yes","No"))</f>
        <v/>
      </c>
      <c r="U185">
        <f>IF(OR(G185="",B185=""),"",IF(COUNTIFS($G$3:$G$1002,SUBSTITUTE(SUBSTITUTE(G185,"?","~?"),"*","~*"),$B$3:$B$1002,"&lt;&gt;"&amp;SUBSTITUTE(SUBSTITUTE(B185,"?","~?"),"*","~*"),$B$3:$B$1002,"?*")&gt;0,"Yes","No"))</f>
        <v/>
      </c>
      <c r="V185">
        <f>IF(OR(G185="",I185="",O185="",O185="Unclassified"),"",IFERROR(INDEX(Settings!$E$5:$H$16,MATCH(I185,Settings!$D$5:$D$16,0),MATCH(O185,Settings!$E$4:$H$4,0)),"Check"))</f>
        <v/>
      </c>
      <c r="W185">
        <f>IF(V185="","",IF(V185="No","Yes","No"))</f>
        <v/>
      </c>
      <c r="X185">
        <f>IF(OR(E185="",G185=""),"",IF(LOWER(IF(RIGHT(TRIM(E185),1)="/",LEFT(TRIM(E185),LEN(TRIM(E185))-1),TRIM(E185)))&lt;&gt;LOWER(IF(RIGHT(TRIM(G185),1)="/",LEFT(TRIM(G185),LEN(TRIM(G185))-1),TRIM(G185))),"Yes","No"))</f>
        <v/>
      </c>
      <c r="Y185">
        <f>IF(A185="","",(N(Q185)&gt;0)+(T185="Yes")+(U185="Yes")+(W185="Yes")+(X185="Yes"))</f>
        <v/>
      </c>
      <c r="Z185">
        <f>IF(A185="","",IF(G185="","Not mapped",IF(Y185=0,"OK",MID(IF(N(Q185)&gt;0,"; Cannibalisation","")&amp;IF(T185="Yes","; Too many primary keywords on URL","")&amp;IF(U185="Yes","; URL spans 2+ clusters","")&amp;IF(W185="Yes","; Intent mismatch","")&amp;IF(X185="Yes","; Ranking URL is not the target",""),3,300))))</f>
        <v/>
      </c>
      <c r="AA185">
        <f>IF(G185="","",IF(COUNTIF($G$3:G185,SUBSTITUTE(SUBSTITUTE(G185,"?","~?"),"*","~*"))=1,MAX($AA$2:AA184)+1,""))</f>
        <v/>
      </c>
      <c r="AB185">
        <f>IF(B185="","",IF(COUNTIF($B$3:B185,SUBSTITUTE(SUBSTITUTE(B185,"?","~?"),"*","~*"))=1,MAX($AB$2:AB184)+1,""))</f>
        <v/>
      </c>
    </row>
    <row r="186">
      <c r="M186">
        <f>IF(A186="","",LOWER(TRIM(SUBSTITUTE(SUBSTITUTE(A186,"?",""),"*",""))))</f>
        <v/>
      </c>
      <c r="N186">
        <f>IF(M186="","",IF(SUMPRODUCT(ISNUMBER(SEARCH(" "&amp;Settings!$L$5:$L$124&amp;" "," "&amp;M186&amp;" "))*(Settings!$K$5:$K$124="Navigational")*(Settings!$L$5:$L$124&lt;&gt;""))&gt;0,"Navigational",IF(SUMPRODUCT(ISNUMBER(SEARCH(" "&amp;Settings!$L$5:$L$124&amp;" "," "&amp;M186&amp;" "))*(Settings!$K$5:$K$124="Transactional")*(Settings!$L$5:$L$124&lt;&gt;""))&gt;0,"Transactional",IF(SUMPRODUCT(ISNUMBER(SEARCH(" "&amp;Settings!$L$5:$L$124&amp;" "," "&amp;M186&amp;" "))*(Settings!$K$5:$K$124="Commercial")*(Settings!$L$5:$L$124&lt;&gt;""))&gt;0,"Commercial",IF(SUMPRODUCT(ISNUMBER(SEARCH(" "&amp;Settings!$L$5:$L$124&amp;" "," "&amp;M186&amp;" "))*(Settings!$K$5:$K$124="Informational")*(Settings!$L$5:$L$124&lt;&gt;""))&gt;0,"Informational","Unclassified")))))</f>
        <v/>
      </c>
      <c r="O186">
        <f>IF(A186="","",IF(K186&lt;&gt;"",PROPER(K186),N186))</f>
        <v/>
      </c>
      <c r="P186">
        <f>IF(A186="","",ROUND(Settings!$B$5*MIN(1,LOG10(N(C186)+1)/LOG10(Settings!$B$7+1))+Settings!$B$6*(1-MIN(100,IF(D186="",50,N(D186)))/100)+IFERROR(INDEX(Settings!$B$10:$B$14,MATCH(O186,Settings!$A$10:$A$14,0)),0),0))</f>
        <v/>
      </c>
      <c r="Q186">
        <f>IF(OR(A186="",G186=""),"",COUNTIFS($M$3:$M$1002,M186,$G$3:$G$1002,"&lt;&gt;"&amp;SUBSTITUTE(SUBSTITUTE(G186,"?","~?"),"*","~*"),$G$3:$G$1002,"?*"))</f>
        <v/>
      </c>
      <c r="R186">
        <f>IF(Q186="","",IF(Q186&gt;0,"Yes","No"))</f>
        <v/>
      </c>
      <c r="S186">
        <f>IF(G186="","",COUNTIFS($G$3:$G$1002,SUBSTITUTE(SUBSTITUTE(G186,"?","~?"),"*","~*"),$J$3:$J$1002,"Primary"))</f>
        <v/>
      </c>
      <c r="T186">
        <f>IF(S186="","",IF(S186&gt;Settings!$B$4,"Yes","No"))</f>
        <v/>
      </c>
      <c r="U186">
        <f>IF(OR(G186="",B186=""),"",IF(COUNTIFS($G$3:$G$1002,SUBSTITUTE(SUBSTITUTE(G186,"?","~?"),"*","~*"),$B$3:$B$1002,"&lt;&gt;"&amp;SUBSTITUTE(SUBSTITUTE(B186,"?","~?"),"*","~*"),$B$3:$B$1002,"?*")&gt;0,"Yes","No"))</f>
        <v/>
      </c>
      <c r="V186">
        <f>IF(OR(G186="",I186="",O186="",O186="Unclassified"),"",IFERROR(INDEX(Settings!$E$5:$H$16,MATCH(I186,Settings!$D$5:$D$16,0),MATCH(O186,Settings!$E$4:$H$4,0)),"Check"))</f>
        <v/>
      </c>
      <c r="W186">
        <f>IF(V186="","",IF(V186="No","Yes","No"))</f>
        <v/>
      </c>
      <c r="X186">
        <f>IF(OR(E186="",G186=""),"",IF(LOWER(IF(RIGHT(TRIM(E186),1)="/",LEFT(TRIM(E186),LEN(TRIM(E186))-1),TRIM(E186)))&lt;&gt;LOWER(IF(RIGHT(TRIM(G186),1)="/",LEFT(TRIM(G186),LEN(TRIM(G186))-1),TRIM(G186))),"Yes","No"))</f>
        <v/>
      </c>
      <c r="Y186">
        <f>IF(A186="","",(N(Q186)&gt;0)+(T186="Yes")+(U186="Yes")+(W186="Yes")+(X186="Yes"))</f>
        <v/>
      </c>
      <c r="Z186">
        <f>IF(A186="","",IF(G186="","Not mapped",IF(Y186=0,"OK",MID(IF(N(Q186)&gt;0,"; Cannibalisation","")&amp;IF(T186="Yes","; Too many primary keywords on URL","")&amp;IF(U186="Yes","; URL spans 2+ clusters","")&amp;IF(W186="Yes","; Intent mismatch","")&amp;IF(X186="Yes","; Ranking URL is not the target",""),3,300))))</f>
        <v/>
      </c>
      <c r="AA186">
        <f>IF(G186="","",IF(COUNTIF($G$3:G186,SUBSTITUTE(SUBSTITUTE(G186,"?","~?"),"*","~*"))=1,MAX($AA$2:AA185)+1,""))</f>
        <v/>
      </c>
      <c r="AB186">
        <f>IF(B186="","",IF(COUNTIF($B$3:B186,SUBSTITUTE(SUBSTITUTE(B186,"?","~?"),"*","~*"))=1,MAX($AB$2:AB185)+1,""))</f>
        <v/>
      </c>
    </row>
    <row r="187">
      <c r="M187">
        <f>IF(A187="","",LOWER(TRIM(SUBSTITUTE(SUBSTITUTE(A187,"?",""),"*",""))))</f>
        <v/>
      </c>
      <c r="N187">
        <f>IF(M187="","",IF(SUMPRODUCT(ISNUMBER(SEARCH(" "&amp;Settings!$L$5:$L$124&amp;" "," "&amp;M187&amp;" "))*(Settings!$K$5:$K$124="Navigational")*(Settings!$L$5:$L$124&lt;&gt;""))&gt;0,"Navigational",IF(SUMPRODUCT(ISNUMBER(SEARCH(" "&amp;Settings!$L$5:$L$124&amp;" "," "&amp;M187&amp;" "))*(Settings!$K$5:$K$124="Transactional")*(Settings!$L$5:$L$124&lt;&gt;""))&gt;0,"Transactional",IF(SUMPRODUCT(ISNUMBER(SEARCH(" "&amp;Settings!$L$5:$L$124&amp;" "," "&amp;M187&amp;" "))*(Settings!$K$5:$K$124="Commercial")*(Settings!$L$5:$L$124&lt;&gt;""))&gt;0,"Commercial",IF(SUMPRODUCT(ISNUMBER(SEARCH(" "&amp;Settings!$L$5:$L$124&amp;" "," "&amp;M187&amp;" "))*(Settings!$K$5:$K$124="Informational")*(Settings!$L$5:$L$124&lt;&gt;""))&gt;0,"Informational","Unclassified")))))</f>
        <v/>
      </c>
      <c r="O187">
        <f>IF(A187="","",IF(K187&lt;&gt;"",PROPER(K187),N187))</f>
        <v/>
      </c>
      <c r="P187">
        <f>IF(A187="","",ROUND(Settings!$B$5*MIN(1,LOG10(N(C187)+1)/LOG10(Settings!$B$7+1))+Settings!$B$6*(1-MIN(100,IF(D187="",50,N(D187)))/100)+IFERROR(INDEX(Settings!$B$10:$B$14,MATCH(O187,Settings!$A$10:$A$14,0)),0),0))</f>
        <v/>
      </c>
      <c r="Q187">
        <f>IF(OR(A187="",G187=""),"",COUNTIFS($M$3:$M$1002,M187,$G$3:$G$1002,"&lt;&gt;"&amp;SUBSTITUTE(SUBSTITUTE(G187,"?","~?"),"*","~*"),$G$3:$G$1002,"?*"))</f>
        <v/>
      </c>
      <c r="R187">
        <f>IF(Q187="","",IF(Q187&gt;0,"Yes","No"))</f>
        <v/>
      </c>
      <c r="S187">
        <f>IF(G187="","",COUNTIFS($G$3:$G$1002,SUBSTITUTE(SUBSTITUTE(G187,"?","~?"),"*","~*"),$J$3:$J$1002,"Primary"))</f>
        <v/>
      </c>
      <c r="T187">
        <f>IF(S187="","",IF(S187&gt;Settings!$B$4,"Yes","No"))</f>
        <v/>
      </c>
      <c r="U187">
        <f>IF(OR(G187="",B187=""),"",IF(COUNTIFS($G$3:$G$1002,SUBSTITUTE(SUBSTITUTE(G187,"?","~?"),"*","~*"),$B$3:$B$1002,"&lt;&gt;"&amp;SUBSTITUTE(SUBSTITUTE(B187,"?","~?"),"*","~*"),$B$3:$B$1002,"?*")&gt;0,"Yes","No"))</f>
        <v/>
      </c>
      <c r="V187">
        <f>IF(OR(G187="",I187="",O187="",O187="Unclassified"),"",IFERROR(INDEX(Settings!$E$5:$H$16,MATCH(I187,Settings!$D$5:$D$16,0),MATCH(O187,Settings!$E$4:$H$4,0)),"Check"))</f>
        <v/>
      </c>
      <c r="W187">
        <f>IF(V187="","",IF(V187="No","Yes","No"))</f>
        <v/>
      </c>
      <c r="X187">
        <f>IF(OR(E187="",G187=""),"",IF(LOWER(IF(RIGHT(TRIM(E187),1)="/",LEFT(TRIM(E187),LEN(TRIM(E187))-1),TRIM(E187)))&lt;&gt;LOWER(IF(RIGHT(TRIM(G187),1)="/",LEFT(TRIM(G187),LEN(TRIM(G187))-1),TRIM(G187))),"Yes","No"))</f>
        <v/>
      </c>
      <c r="Y187">
        <f>IF(A187="","",(N(Q187)&gt;0)+(T187="Yes")+(U187="Yes")+(W187="Yes")+(X187="Yes"))</f>
        <v/>
      </c>
      <c r="Z187">
        <f>IF(A187="","",IF(G187="","Not mapped",IF(Y187=0,"OK",MID(IF(N(Q187)&gt;0,"; Cannibalisation","")&amp;IF(T187="Yes","; Too many primary keywords on URL","")&amp;IF(U187="Yes","; URL spans 2+ clusters","")&amp;IF(W187="Yes","; Intent mismatch","")&amp;IF(X187="Yes","; Ranking URL is not the target",""),3,300))))</f>
        <v/>
      </c>
      <c r="AA187">
        <f>IF(G187="","",IF(COUNTIF($G$3:G187,SUBSTITUTE(SUBSTITUTE(G187,"?","~?"),"*","~*"))=1,MAX($AA$2:AA186)+1,""))</f>
        <v/>
      </c>
      <c r="AB187">
        <f>IF(B187="","",IF(COUNTIF($B$3:B187,SUBSTITUTE(SUBSTITUTE(B187,"?","~?"),"*","~*"))=1,MAX($AB$2:AB186)+1,""))</f>
        <v/>
      </c>
    </row>
    <row r="188">
      <c r="M188">
        <f>IF(A188="","",LOWER(TRIM(SUBSTITUTE(SUBSTITUTE(A188,"?",""),"*",""))))</f>
        <v/>
      </c>
      <c r="N188">
        <f>IF(M188="","",IF(SUMPRODUCT(ISNUMBER(SEARCH(" "&amp;Settings!$L$5:$L$124&amp;" "," "&amp;M188&amp;" "))*(Settings!$K$5:$K$124="Navigational")*(Settings!$L$5:$L$124&lt;&gt;""))&gt;0,"Navigational",IF(SUMPRODUCT(ISNUMBER(SEARCH(" "&amp;Settings!$L$5:$L$124&amp;" "," "&amp;M188&amp;" "))*(Settings!$K$5:$K$124="Transactional")*(Settings!$L$5:$L$124&lt;&gt;""))&gt;0,"Transactional",IF(SUMPRODUCT(ISNUMBER(SEARCH(" "&amp;Settings!$L$5:$L$124&amp;" "," "&amp;M188&amp;" "))*(Settings!$K$5:$K$124="Commercial")*(Settings!$L$5:$L$124&lt;&gt;""))&gt;0,"Commercial",IF(SUMPRODUCT(ISNUMBER(SEARCH(" "&amp;Settings!$L$5:$L$124&amp;" "," "&amp;M188&amp;" "))*(Settings!$K$5:$K$124="Informational")*(Settings!$L$5:$L$124&lt;&gt;""))&gt;0,"Informational","Unclassified")))))</f>
        <v/>
      </c>
      <c r="O188">
        <f>IF(A188="","",IF(K188&lt;&gt;"",PROPER(K188),N188))</f>
        <v/>
      </c>
      <c r="P188">
        <f>IF(A188="","",ROUND(Settings!$B$5*MIN(1,LOG10(N(C188)+1)/LOG10(Settings!$B$7+1))+Settings!$B$6*(1-MIN(100,IF(D188="",50,N(D188)))/100)+IFERROR(INDEX(Settings!$B$10:$B$14,MATCH(O188,Settings!$A$10:$A$14,0)),0),0))</f>
        <v/>
      </c>
      <c r="Q188">
        <f>IF(OR(A188="",G188=""),"",COUNTIFS($M$3:$M$1002,M188,$G$3:$G$1002,"&lt;&gt;"&amp;SUBSTITUTE(SUBSTITUTE(G188,"?","~?"),"*","~*"),$G$3:$G$1002,"?*"))</f>
        <v/>
      </c>
      <c r="R188">
        <f>IF(Q188="","",IF(Q188&gt;0,"Yes","No"))</f>
        <v/>
      </c>
      <c r="S188">
        <f>IF(G188="","",COUNTIFS($G$3:$G$1002,SUBSTITUTE(SUBSTITUTE(G188,"?","~?"),"*","~*"),$J$3:$J$1002,"Primary"))</f>
        <v/>
      </c>
      <c r="T188">
        <f>IF(S188="","",IF(S188&gt;Settings!$B$4,"Yes","No"))</f>
        <v/>
      </c>
      <c r="U188">
        <f>IF(OR(G188="",B188=""),"",IF(COUNTIFS($G$3:$G$1002,SUBSTITUTE(SUBSTITUTE(G188,"?","~?"),"*","~*"),$B$3:$B$1002,"&lt;&gt;"&amp;SUBSTITUTE(SUBSTITUTE(B188,"?","~?"),"*","~*"),$B$3:$B$1002,"?*")&gt;0,"Yes","No"))</f>
        <v/>
      </c>
      <c r="V188">
        <f>IF(OR(G188="",I188="",O188="",O188="Unclassified"),"",IFERROR(INDEX(Settings!$E$5:$H$16,MATCH(I188,Settings!$D$5:$D$16,0),MATCH(O188,Settings!$E$4:$H$4,0)),"Check"))</f>
        <v/>
      </c>
      <c r="W188">
        <f>IF(V188="","",IF(V188="No","Yes","No"))</f>
        <v/>
      </c>
      <c r="X188">
        <f>IF(OR(E188="",G188=""),"",IF(LOWER(IF(RIGHT(TRIM(E188),1)="/",LEFT(TRIM(E188),LEN(TRIM(E188))-1),TRIM(E188)))&lt;&gt;LOWER(IF(RIGHT(TRIM(G188),1)="/",LEFT(TRIM(G188),LEN(TRIM(G188))-1),TRIM(G188))),"Yes","No"))</f>
        <v/>
      </c>
      <c r="Y188">
        <f>IF(A188="","",(N(Q188)&gt;0)+(T188="Yes")+(U188="Yes")+(W188="Yes")+(X188="Yes"))</f>
        <v/>
      </c>
      <c r="Z188">
        <f>IF(A188="","",IF(G188="","Not mapped",IF(Y188=0,"OK",MID(IF(N(Q188)&gt;0,"; Cannibalisation","")&amp;IF(T188="Yes","; Too many primary keywords on URL","")&amp;IF(U188="Yes","; URL spans 2+ clusters","")&amp;IF(W188="Yes","; Intent mismatch","")&amp;IF(X188="Yes","; Ranking URL is not the target",""),3,300))))</f>
        <v/>
      </c>
      <c r="AA188">
        <f>IF(G188="","",IF(COUNTIF($G$3:G188,SUBSTITUTE(SUBSTITUTE(G188,"?","~?"),"*","~*"))=1,MAX($AA$2:AA187)+1,""))</f>
        <v/>
      </c>
      <c r="AB188">
        <f>IF(B188="","",IF(COUNTIF($B$3:B188,SUBSTITUTE(SUBSTITUTE(B188,"?","~?"),"*","~*"))=1,MAX($AB$2:AB187)+1,""))</f>
        <v/>
      </c>
    </row>
    <row r="189">
      <c r="M189">
        <f>IF(A189="","",LOWER(TRIM(SUBSTITUTE(SUBSTITUTE(A189,"?",""),"*",""))))</f>
        <v/>
      </c>
      <c r="N189">
        <f>IF(M189="","",IF(SUMPRODUCT(ISNUMBER(SEARCH(" "&amp;Settings!$L$5:$L$124&amp;" "," "&amp;M189&amp;" "))*(Settings!$K$5:$K$124="Navigational")*(Settings!$L$5:$L$124&lt;&gt;""))&gt;0,"Navigational",IF(SUMPRODUCT(ISNUMBER(SEARCH(" "&amp;Settings!$L$5:$L$124&amp;" "," "&amp;M189&amp;" "))*(Settings!$K$5:$K$124="Transactional")*(Settings!$L$5:$L$124&lt;&gt;""))&gt;0,"Transactional",IF(SUMPRODUCT(ISNUMBER(SEARCH(" "&amp;Settings!$L$5:$L$124&amp;" "," "&amp;M189&amp;" "))*(Settings!$K$5:$K$124="Commercial")*(Settings!$L$5:$L$124&lt;&gt;""))&gt;0,"Commercial",IF(SUMPRODUCT(ISNUMBER(SEARCH(" "&amp;Settings!$L$5:$L$124&amp;" "," "&amp;M189&amp;" "))*(Settings!$K$5:$K$124="Informational")*(Settings!$L$5:$L$124&lt;&gt;""))&gt;0,"Informational","Unclassified")))))</f>
        <v/>
      </c>
      <c r="O189">
        <f>IF(A189="","",IF(K189&lt;&gt;"",PROPER(K189),N189))</f>
        <v/>
      </c>
      <c r="P189">
        <f>IF(A189="","",ROUND(Settings!$B$5*MIN(1,LOG10(N(C189)+1)/LOG10(Settings!$B$7+1))+Settings!$B$6*(1-MIN(100,IF(D189="",50,N(D189)))/100)+IFERROR(INDEX(Settings!$B$10:$B$14,MATCH(O189,Settings!$A$10:$A$14,0)),0),0))</f>
        <v/>
      </c>
      <c r="Q189">
        <f>IF(OR(A189="",G189=""),"",COUNTIFS($M$3:$M$1002,M189,$G$3:$G$1002,"&lt;&gt;"&amp;SUBSTITUTE(SUBSTITUTE(G189,"?","~?"),"*","~*"),$G$3:$G$1002,"?*"))</f>
        <v/>
      </c>
      <c r="R189">
        <f>IF(Q189="","",IF(Q189&gt;0,"Yes","No"))</f>
        <v/>
      </c>
      <c r="S189">
        <f>IF(G189="","",COUNTIFS($G$3:$G$1002,SUBSTITUTE(SUBSTITUTE(G189,"?","~?"),"*","~*"),$J$3:$J$1002,"Primary"))</f>
        <v/>
      </c>
      <c r="T189">
        <f>IF(S189="","",IF(S189&gt;Settings!$B$4,"Yes","No"))</f>
        <v/>
      </c>
      <c r="U189">
        <f>IF(OR(G189="",B189=""),"",IF(COUNTIFS($G$3:$G$1002,SUBSTITUTE(SUBSTITUTE(G189,"?","~?"),"*","~*"),$B$3:$B$1002,"&lt;&gt;"&amp;SUBSTITUTE(SUBSTITUTE(B189,"?","~?"),"*","~*"),$B$3:$B$1002,"?*")&gt;0,"Yes","No"))</f>
        <v/>
      </c>
      <c r="V189">
        <f>IF(OR(G189="",I189="",O189="",O189="Unclassified"),"",IFERROR(INDEX(Settings!$E$5:$H$16,MATCH(I189,Settings!$D$5:$D$16,0),MATCH(O189,Settings!$E$4:$H$4,0)),"Check"))</f>
        <v/>
      </c>
      <c r="W189">
        <f>IF(V189="","",IF(V189="No","Yes","No"))</f>
        <v/>
      </c>
      <c r="X189">
        <f>IF(OR(E189="",G189=""),"",IF(LOWER(IF(RIGHT(TRIM(E189),1)="/",LEFT(TRIM(E189),LEN(TRIM(E189))-1),TRIM(E189)))&lt;&gt;LOWER(IF(RIGHT(TRIM(G189),1)="/",LEFT(TRIM(G189),LEN(TRIM(G189))-1),TRIM(G189))),"Yes","No"))</f>
        <v/>
      </c>
      <c r="Y189">
        <f>IF(A189="","",(N(Q189)&gt;0)+(T189="Yes")+(U189="Yes")+(W189="Yes")+(X189="Yes"))</f>
        <v/>
      </c>
      <c r="Z189">
        <f>IF(A189="","",IF(G189="","Not mapped",IF(Y189=0,"OK",MID(IF(N(Q189)&gt;0,"; Cannibalisation","")&amp;IF(T189="Yes","; Too many primary keywords on URL","")&amp;IF(U189="Yes","; URL spans 2+ clusters","")&amp;IF(W189="Yes","; Intent mismatch","")&amp;IF(X189="Yes","; Ranking URL is not the target",""),3,300))))</f>
        <v/>
      </c>
      <c r="AA189">
        <f>IF(G189="","",IF(COUNTIF($G$3:G189,SUBSTITUTE(SUBSTITUTE(G189,"?","~?"),"*","~*"))=1,MAX($AA$2:AA188)+1,""))</f>
        <v/>
      </c>
      <c r="AB189">
        <f>IF(B189="","",IF(COUNTIF($B$3:B189,SUBSTITUTE(SUBSTITUTE(B189,"?","~?"),"*","~*"))=1,MAX($AB$2:AB188)+1,""))</f>
        <v/>
      </c>
    </row>
    <row r="190">
      <c r="M190">
        <f>IF(A190="","",LOWER(TRIM(SUBSTITUTE(SUBSTITUTE(A190,"?",""),"*",""))))</f>
        <v/>
      </c>
      <c r="N190">
        <f>IF(M190="","",IF(SUMPRODUCT(ISNUMBER(SEARCH(" "&amp;Settings!$L$5:$L$124&amp;" "," "&amp;M190&amp;" "))*(Settings!$K$5:$K$124="Navigational")*(Settings!$L$5:$L$124&lt;&gt;""))&gt;0,"Navigational",IF(SUMPRODUCT(ISNUMBER(SEARCH(" "&amp;Settings!$L$5:$L$124&amp;" "," "&amp;M190&amp;" "))*(Settings!$K$5:$K$124="Transactional")*(Settings!$L$5:$L$124&lt;&gt;""))&gt;0,"Transactional",IF(SUMPRODUCT(ISNUMBER(SEARCH(" "&amp;Settings!$L$5:$L$124&amp;" "," "&amp;M190&amp;" "))*(Settings!$K$5:$K$124="Commercial")*(Settings!$L$5:$L$124&lt;&gt;""))&gt;0,"Commercial",IF(SUMPRODUCT(ISNUMBER(SEARCH(" "&amp;Settings!$L$5:$L$124&amp;" "," "&amp;M190&amp;" "))*(Settings!$K$5:$K$124="Informational")*(Settings!$L$5:$L$124&lt;&gt;""))&gt;0,"Informational","Unclassified")))))</f>
        <v/>
      </c>
      <c r="O190">
        <f>IF(A190="","",IF(K190&lt;&gt;"",PROPER(K190),N190))</f>
        <v/>
      </c>
      <c r="P190">
        <f>IF(A190="","",ROUND(Settings!$B$5*MIN(1,LOG10(N(C190)+1)/LOG10(Settings!$B$7+1))+Settings!$B$6*(1-MIN(100,IF(D190="",50,N(D190)))/100)+IFERROR(INDEX(Settings!$B$10:$B$14,MATCH(O190,Settings!$A$10:$A$14,0)),0),0))</f>
        <v/>
      </c>
      <c r="Q190">
        <f>IF(OR(A190="",G190=""),"",COUNTIFS($M$3:$M$1002,M190,$G$3:$G$1002,"&lt;&gt;"&amp;SUBSTITUTE(SUBSTITUTE(G190,"?","~?"),"*","~*"),$G$3:$G$1002,"?*"))</f>
        <v/>
      </c>
      <c r="R190">
        <f>IF(Q190="","",IF(Q190&gt;0,"Yes","No"))</f>
        <v/>
      </c>
      <c r="S190">
        <f>IF(G190="","",COUNTIFS($G$3:$G$1002,SUBSTITUTE(SUBSTITUTE(G190,"?","~?"),"*","~*"),$J$3:$J$1002,"Primary"))</f>
        <v/>
      </c>
      <c r="T190">
        <f>IF(S190="","",IF(S190&gt;Settings!$B$4,"Yes","No"))</f>
        <v/>
      </c>
      <c r="U190">
        <f>IF(OR(G190="",B190=""),"",IF(COUNTIFS($G$3:$G$1002,SUBSTITUTE(SUBSTITUTE(G190,"?","~?"),"*","~*"),$B$3:$B$1002,"&lt;&gt;"&amp;SUBSTITUTE(SUBSTITUTE(B190,"?","~?"),"*","~*"),$B$3:$B$1002,"?*")&gt;0,"Yes","No"))</f>
        <v/>
      </c>
      <c r="V190">
        <f>IF(OR(G190="",I190="",O190="",O190="Unclassified"),"",IFERROR(INDEX(Settings!$E$5:$H$16,MATCH(I190,Settings!$D$5:$D$16,0),MATCH(O190,Settings!$E$4:$H$4,0)),"Check"))</f>
        <v/>
      </c>
      <c r="W190">
        <f>IF(V190="","",IF(V190="No","Yes","No"))</f>
        <v/>
      </c>
      <c r="X190">
        <f>IF(OR(E190="",G190=""),"",IF(LOWER(IF(RIGHT(TRIM(E190),1)="/",LEFT(TRIM(E190),LEN(TRIM(E190))-1),TRIM(E190)))&lt;&gt;LOWER(IF(RIGHT(TRIM(G190),1)="/",LEFT(TRIM(G190),LEN(TRIM(G190))-1),TRIM(G190))),"Yes","No"))</f>
        <v/>
      </c>
      <c r="Y190">
        <f>IF(A190="","",(N(Q190)&gt;0)+(T190="Yes")+(U190="Yes")+(W190="Yes")+(X190="Yes"))</f>
        <v/>
      </c>
      <c r="Z190">
        <f>IF(A190="","",IF(G190="","Not mapped",IF(Y190=0,"OK",MID(IF(N(Q190)&gt;0,"; Cannibalisation","")&amp;IF(T190="Yes","; Too many primary keywords on URL","")&amp;IF(U190="Yes","; URL spans 2+ clusters","")&amp;IF(W190="Yes","; Intent mismatch","")&amp;IF(X190="Yes","; Ranking URL is not the target",""),3,300))))</f>
        <v/>
      </c>
      <c r="AA190">
        <f>IF(G190="","",IF(COUNTIF($G$3:G190,SUBSTITUTE(SUBSTITUTE(G190,"?","~?"),"*","~*"))=1,MAX($AA$2:AA189)+1,""))</f>
        <v/>
      </c>
      <c r="AB190">
        <f>IF(B190="","",IF(COUNTIF($B$3:B190,SUBSTITUTE(SUBSTITUTE(B190,"?","~?"),"*","~*"))=1,MAX($AB$2:AB189)+1,""))</f>
        <v/>
      </c>
    </row>
    <row r="191">
      <c r="M191">
        <f>IF(A191="","",LOWER(TRIM(SUBSTITUTE(SUBSTITUTE(A191,"?",""),"*",""))))</f>
        <v/>
      </c>
      <c r="N191">
        <f>IF(M191="","",IF(SUMPRODUCT(ISNUMBER(SEARCH(" "&amp;Settings!$L$5:$L$124&amp;" "," "&amp;M191&amp;" "))*(Settings!$K$5:$K$124="Navigational")*(Settings!$L$5:$L$124&lt;&gt;""))&gt;0,"Navigational",IF(SUMPRODUCT(ISNUMBER(SEARCH(" "&amp;Settings!$L$5:$L$124&amp;" "," "&amp;M191&amp;" "))*(Settings!$K$5:$K$124="Transactional")*(Settings!$L$5:$L$124&lt;&gt;""))&gt;0,"Transactional",IF(SUMPRODUCT(ISNUMBER(SEARCH(" "&amp;Settings!$L$5:$L$124&amp;" "," "&amp;M191&amp;" "))*(Settings!$K$5:$K$124="Commercial")*(Settings!$L$5:$L$124&lt;&gt;""))&gt;0,"Commercial",IF(SUMPRODUCT(ISNUMBER(SEARCH(" "&amp;Settings!$L$5:$L$124&amp;" "," "&amp;M191&amp;" "))*(Settings!$K$5:$K$124="Informational")*(Settings!$L$5:$L$124&lt;&gt;""))&gt;0,"Informational","Unclassified")))))</f>
        <v/>
      </c>
      <c r="O191">
        <f>IF(A191="","",IF(K191&lt;&gt;"",PROPER(K191),N191))</f>
        <v/>
      </c>
      <c r="P191">
        <f>IF(A191="","",ROUND(Settings!$B$5*MIN(1,LOG10(N(C191)+1)/LOG10(Settings!$B$7+1))+Settings!$B$6*(1-MIN(100,IF(D191="",50,N(D191)))/100)+IFERROR(INDEX(Settings!$B$10:$B$14,MATCH(O191,Settings!$A$10:$A$14,0)),0),0))</f>
        <v/>
      </c>
      <c r="Q191">
        <f>IF(OR(A191="",G191=""),"",COUNTIFS($M$3:$M$1002,M191,$G$3:$G$1002,"&lt;&gt;"&amp;SUBSTITUTE(SUBSTITUTE(G191,"?","~?"),"*","~*"),$G$3:$G$1002,"?*"))</f>
        <v/>
      </c>
      <c r="R191">
        <f>IF(Q191="","",IF(Q191&gt;0,"Yes","No"))</f>
        <v/>
      </c>
      <c r="S191">
        <f>IF(G191="","",COUNTIFS($G$3:$G$1002,SUBSTITUTE(SUBSTITUTE(G191,"?","~?"),"*","~*"),$J$3:$J$1002,"Primary"))</f>
        <v/>
      </c>
      <c r="T191">
        <f>IF(S191="","",IF(S191&gt;Settings!$B$4,"Yes","No"))</f>
        <v/>
      </c>
      <c r="U191">
        <f>IF(OR(G191="",B191=""),"",IF(COUNTIFS($G$3:$G$1002,SUBSTITUTE(SUBSTITUTE(G191,"?","~?"),"*","~*"),$B$3:$B$1002,"&lt;&gt;"&amp;SUBSTITUTE(SUBSTITUTE(B191,"?","~?"),"*","~*"),$B$3:$B$1002,"?*")&gt;0,"Yes","No"))</f>
        <v/>
      </c>
      <c r="V191">
        <f>IF(OR(G191="",I191="",O191="",O191="Unclassified"),"",IFERROR(INDEX(Settings!$E$5:$H$16,MATCH(I191,Settings!$D$5:$D$16,0),MATCH(O191,Settings!$E$4:$H$4,0)),"Check"))</f>
        <v/>
      </c>
      <c r="W191">
        <f>IF(V191="","",IF(V191="No","Yes","No"))</f>
        <v/>
      </c>
      <c r="X191">
        <f>IF(OR(E191="",G191=""),"",IF(LOWER(IF(RIGHT(TRIM(E191),1)="/",LEFT(TRIM(E191),LEN(TRIM(E191))-1),TRIM(E191)))&lt;&gt;LOWER(IF(RIGHT(TRIM(G191),1)="/",LEFT(TRIM(G191),LEN(TRIM(G191))-1),TRIM(G191))),"Yes","No"))</f>
        <v/>
      </c>
      <c r="Y191">
        <f>IF(A191="","",(N(Q191)&gt;0)+(T191="Yes")+(U191="Yes")+(W191="Yes")+(X191="Yes"))</f>
        <v/>
      </c>
      <c r="Z191">
        <f>IF(A191="","",IF(G191="","Not mapped",IF(Y191=0,"OK",MID(IF(N(Q191)&gt;0,"; Cannibalisation","")&amp;IF(T191="Yes","; Too many primary keywords on URL","")&amp;IF(U191="Yes","; URL spans 2+ clusters","")&amp;IF(W191="Yes","; Intent mismatch","")&amp;IF(X191="Yes","; Ranking URL is not the target",""),3,300))))</f>
        <v/>
      </c>
      <c r="AA191">
        <f>IF(G191="","",IF(COUNTIF($G$3:G191,SUBSTITUTE(SUBSTITUTE(G191,"?","~?"),"*","~*"))=1,MAX($AA$2:AA190)+1,""))</f>
        <v/>
      </c>
      <c r="AB191">
        <f>IF(B191="","",IF(COUNTIF($B$3:B191,SUBSTITUTE(SUBSTITUTE(B191,"?","~?"),"*","~*"))=1,MAX($AB$2:AB190)+1,""))</f>
        <v/>
      </c>
    </row>
    <row r="192">
      <c r="M192">
        <f>IF(A192="","",LOWER(TRIM(SUBSTITUTE(SUBSTITUTE(A192,"?",""),"*",""))))</f>
        <v/>
      </c>
      <c r="N192">
        <f>IF(M192="","",IF(SUMPRODUCT(ISNUMBER(SEARCH(" "&amp;Settings!$L$5:$L$124&amp;" "," "&amp;M192&amp;" "))*(Settings!$K$5:$K$124="Navigational")*(Settings!$L$5:$L$124&lt;&gt;""))&gt;0,"Navigational",IF(SUMPRODUCT(ISNUMBER(SEARCH(" "&amp;Settings!$L$5:$L$124&amp;" "," "&amp;M192&amp;" "))*(Settings!$K$5:$K$124="Transactional")*(Settings!$L$5:$L$124&lt;&gt;""))&gt;0,"Transactional",IF(SUMPRODUCT(ISNUMBER(SEARCH(" "&amp;Settings!$L$5:$L$124&amp;" "," "&amp;M192&amp;" "))*(Settings!$K$5:$K$124="Commercial")*(Settings!$L$5:$L$124&lt;&gt;""))&gt;0,"Commercial",IF(SUMPRODUCT(ISNUMBER(SEARCH(" "&amp;Settings!$L$5:$L$124&amp;" "," "&amp;M192&amp;" "))*(Settings!$K$5:$K$124="Informational")*(Settings!$L$5:$L$124&lt;&gt;""))&gt;0,"Informational","Unclassified")))))</f>
        <v/>
      </c>
      <c r="O192">
        <f>IF(A192="","",IF(K192&lt;&gt;"",PROPER(K192),N192))</f>
        <v/>
      </c>
      <c r="P192">
        <f>IF(A192="","",ROUND(Settings!$B$5*MIN(1,LOG10(N(C192)+1)/LOG10(Settings!$B$7+1))+Settings!$B$6*(1-MIN(100,IF(D192="",50,N(D192)))/100)+IFERROR(INDEX(Settings!$B$10:$B$14,MATCH(O192,Settings!$A$10:$A$14,0)),0),0))</f>
        <v/>
      </c>
      <c r="Q192">
        <f>IF(OR(A192="",G192=""),"",COUNTIFS($M$3:$M$1002,M192,$G$3:$G$1002,"&lt;&gt;"&amp;SUBSTITUTE(SUBSTITUTE(G192,"?","~?"),"*","~*"),$G$3:$G$1002,"?*"))</f>
        <v/>
      </c>
      <c r="R192">
        <f>IF(Q192="","",IF(Q192&gt;0,"Yes","No"))</f>
        <v/>
      </c>
      <c r="S192">
        <f>IF(G192="","",COUNTIFS($G$3:$G$1002,SUBSTITUTE(SUBSTITUTE(G192,"?","~?"),"*","~*"),$J$3:$J$1002,"Primary"))</f>
        <v/>
      </c>
      <c r="T192">
        <f>IF(S192="","",IF(S192&gt;Settings!$B$4,"Yes","No"))</f>
        <v/>
      </c>
      <c r="U192">
        <f>IF(OR(G192="",B192=""),"",IF(COUNTIFS($G$3:$G$1002,SUBSTITUTE(SUBSTITUTE(G192,"?","~?"),"*","~*"),$B$3:$B$1002,"&lt;&gt;"&amp;SUBSTITUTE(SUBSTITUTE(B192,"?","~?"),"*","~*"),$B$3:$B$1002,"?*")&gt;0,"Yes","No"))</f>
        <v/>
      </c>
      <c r="V192">
        <f>IF(OR(G192="",I192="",O192="",O192="Unclassified"),"",IFERROR(INDEX(Settings!$E$5:$H$16,MATCH(I192,Settings!$D$5:$D$16,0),MATCH(O192,Settings!$E$4:$H$4,0)),"Check"))</f>
        <v/>
      </c>
      <c r="W192">
        <f>IF(V192="","",IF(V192="No","Yes","No"))</f>
        <v/>
      </c>
      <c r="X192">
        <f>IF(OR(E192="",G192=""),"",IF(LOWER(IF(RIGHT(TRIM(E192),1)="/",LEFT(TRIM(E192),LEN(TRIM(E192))-1),TRIM(E192)))&lt;&gt;LOWER(IF(RIGHT(TRIM(G192),1)="/",LEFT(TRIM(G192),LEN(TRIM(G192))-1),TRIM(G192))),"Yes","No"))</f>
        <v/>
      </c>
      <c r="Y192">
        <f>IF(A192="","",(N(Q192)&gt;0)+(T192="Yes")+(U192="Yes")+(W192="Yes")+(X192="Yes"))</f>
        <v/>
      </c>
      <c r="Z192">
        <f>IF(A192="","",IF(G192="","Not mapped",IF(Y192=0,"OK",MID(IF(N(Q192)&gt;0,"; Cannibalisation","")&amp;IF(T192="Yes","; Too many primary keywords on URL","")&amp;IF(U192="Yes","; URL spans 2+ clusters","")&amp;IF(W192="Yes","; Intent mismatch","")&amp;IF(X192="Yes","; Ranking URL is not the target",""),3,300))))</f>
        <v/>
      </c>
      <c r="AA192">
        <f>IF(G192="","",IF(COUNTIF($G$3:G192,SUBSTITUTE(SUBSTITUTE(G192,"?","~?"),"*","~*"))=1,MAX($AA$2:AA191)+1,""))</f>
        <v/>
      </c>
      <c r="AB192">
        <f>IF(B192="","",IF(COUNTIF($B$3:B192,SUBSTITUTE(SUBSTITUTE(B192,"?","~?"),"*","~*"))=1,MAX($AB$2:AB191)+1,""))</f>
        <v/>
      </c>
    </row>
    <row r="193">
      <c r="M193">
        <f>IF(A193="","",LOWER(TRIM(SUBSTITUTE(SUBSTITUTE(A193,"?",""),"*",""))))</f>
        <v/>
      </c>
      <c r="N193">
        <f>IF(M193="","",IF(SUMPRODUCT(ISNUMBER(SEARCH(" "&amp;Settings!$L$5:$L$124&amp;" "," "&amp;M193&amp;" "))*(Settings!$K$5:$K$124="Navigational")*(Settings!$L$5:$L$124&lt;&gt;""))&gt;0,"Navigational",IF(SUMPRODUCT(ISNUMBER(SEARCH(" "&amp;Settings!$L$5:$L$124&amp;" "," "&amp;M193&amp;" "))*(Settings!$K$5:$K$124="Transactional")*(Settings!$L$5:$L$124&lt;&gt;""))&gt;0,"Transactional",IF(SUMPRODUCT(ISNUMBER(SEARCH(" "&amp;Settings!$L$5:$L$124&amp;" "," "&amp;M193&amp;" "))*(Settings!$K$5:$K$124="Commercial")*(Settings!$L$5:$L$124&lt;&gt;""))&gt;0,"Commercial",IF(SUMPRODUCT(ISNUMBER(SEARCH(" "&amp;Settings!$L$5:$L$124&amp;" "," "&amp;M193&amp;" "))*(Settings!$K$5:$K$124="Informational")*(Settings!$L$5:$L$124&lt;&gt;""))&gt;0,"Informational","Unclassified")))))</f>
        <v/>
      </c>
      <c r="O193">
        <f>IF(A193="","",IF(K193&lt;&gt;"",PROPER(K193),N193))</f>
        <v/>
      </c>
      <c r="P193">
        <f>IF(A193="","",ROUND(Settings!$B$5*MIN(1,LOG10(N(C193)+1)/LOG10(Settings!$B$7+1))+Settings!$B$6*(1-MIN(100,IF(D193="",50,N(D193)))/100)+IFERROR(INDEX(Settings!$B$10:$B$14,MATCH(O193,Settings!$A$10:$A$14,0)),0),0))</f>
        <v/>
      </c>
      <c r="Q193">
        <f>IF(OR(A193="",G193=""),"",COUNTIFS($M$3:$M$1002,M193,$G$3:$G$1002,"&lt;&gt;"&amp;SUBSTITUTE(SUBSTITUTE(G193,"?","~?"),"*","~*"),$G$3:$G$1002,"?*"))</f>
        <v/>
      </c>
      <c r="R193">
        <f>IF(Q193="","",IF(Q193&gt;0,"Yes","No"))</f>
        <v/>
      </c>
      <c r="S193">
        <f>IF(G193="","",COUNTIFS($G$3:$G$1002,SUBSTITUTE(SUBSTITUTE(G193,"?","~?"),"*","~*"),$J$3:$J$1002,"Primary"))</f>
        <v/>
      </c>
      <c r="T193">
        <f>IF(S193="","",IF(S193&gt;Settings!$B$4,"Yes","No"))</f>
        <v/>
      </c>
      <c r="U193">
        <f>IF(OR(G193="",B193=""),"",IF(COUNTIFS($G$3:$G$1002,SUBSTITUTE(SUBSTITUTE(G193,"?","~?"),"*","~*"),$B$3:$B$1002,"&lt;&gt;"&amp;SUBSTITUTE(SUBSTITUTE(B193,"?","~?"),"*","~*"),$B$3:$B$1002,"?*")&gt;0,"Yes","No"))</f>
        <v/>
      </c>
      <c r="V193">
        <f>IF(OR(G193="",I193="",O193="",O193="Unclassified"),"",IFERROR(INDEX(Settings!$E$5:$H$16,MATCH(I193,Settings!$D$5:$D$16,0),MATCH(O193,Settings!$E$4:$H$4,0)),"Check"))</f>
        <v/>
      </c>
      <c r="W193">
        <f>IF(V193="","",IF(V193="No","Yes","No"))</f>
        <v/>
      </c>
      <c r="X193">
        <f>IF(OR(E193="",G193=""),"",IF(LOWER(IF(RIGHT(TRIM(E193),1)="/",LEFT(TRIM(E193),LEN(TRIM(E193))-1),TRIM(E193)))&lt;&gt;LOWER(IF(RIGHT(TRIM(G193),1)="/",LEFT(TRIM(G193),LEN(TRIM(G193))-1),TRIM(G193))),"Yes","No"))</f>
        <v/>
      </c>
      <c r="Y193">
        <f>IF(A193="","",(N(Q193)&gt;0)+(T193="Yes")+(U193="Yes")+(W193="Yes")+(X193="Yes"))</f>
        <v/>
      </c>
      <c r="Z193">
        <f>IF(A193="","",IF(G193="","Not mapped",IF(Y193=0,"OK",MID(IF(N(Q193)&gt;0,"; Cannibalisation","")&amp;IF(T193="Yes","; Too many primary keywords on URL","")&amp;IF(U193="Yes","; URL spans 2+ clusters","")&amp;IF(W193="Yes","; Intent mismatch","")&amp;IF(X193="Yes","; Ranking URL is not the target",""),3,300))))</f>
        <v/>
      </c>
      <c r="AA193">
        <f>IF(G193="","",IF(COUNTIF($G$3:G193,SUBSTITUTE(SUBSTITUTE(G193,"?","~?"),"*","~*"))=1,MAX($AA$2:AA192)+1,""))</f>
        <v/>
      </c>
      <c r="AB193">
        <f>IF(B193="","",IF(COUNTIF($B$3:B193,SUBSTITUTE(SUBSTITUTE(B193,"?","~?"),"*","~*"))=1,MAX($AB$2:AB192)+1,""))</f>
        <v/>
      </c>
    </row>
    <row r="194">
      <c r="M194">
        <f>IF(A194="","",LOWER(TRIM(SUBSTITUTE(SUBSTITUTE(A194,"?",""),"*",""))))</f>
        <v/>
      </c>
      <c r="N194">
        <f>IF(M194="","",IF(SUMPRODUCT(ISNUMBER(SEARCH(" "&amp;Settings!$L$5:$L$124&amp;" "," "&amp;M194&amp;" "))*(Settings!$K$5:$K$124="Navigational")*(Settings!$L$5:$L$124&lt;&gt;""))&gt;0,"Navigational",IF(SUMPRODUCT(ISNUMBER(SEARCH(" "&amp;Settings!$L$5:$L$124&amp;" "," "&amp;M194&amp;" "))*(Settings!$K$5:$K$124="Transactional")*(Settings!$L$5:$L$124&lt;&gt;""))&gt;0,"Transactional",IF(SUMPRODUCT(ISNUMBER(SEARCH(" "&amp;Settings!$L$5:$L$124&amp;" "," "&amp;M194&amp;" "))*(Settings!$K$5:$K$124="Commercial")*(Settings!$L$5:$L$124&lt;&gt;""))&gt;0,"Commercial",IF(SUMPRODUCT(ISNUMBER(SEARCH(" "&amp;Settings!$L$5:$L$124&amp;" "," "&amp;M194&amp;" "))*(Settings!$K$5:$K$124="Informational")*(Settings!$L$5:$L$124&lt;&gt;""))&gt;0,"Informational","Unclassified")))))</f>
        <v/>
      </c>
      <c r="O194">
        <f>IF(A194="","",IF(K194&lt;&gt;"",PROPER(K194),N194))</f>
        <v/>
      </c>
      <c r="P194">
        <f>IF(A194="","",ROUND(Settings!$B$5*MIN(1,LOG10(N(C194)+1)/LOG10(Settings!$B$7+1))+Settings!$B$6*(1-MIN(100,IF(D194="",50,N(D194)))/100)+IFERROR(INDEX(Settings!$B$10:$B$14,MATCH(O194,Settings!$A$10:$A$14,0)),0),0))</f>
        <v/>
      </c>
      <c r="Q194">
        <f>IF(OR(A194="",G194=""),"",COUNTIFS($M$3:$M$1002,M194,$G$3:$G$1002,"&lt;&gt;"&amp;SUBSTITUTE(SUBSTITUTE(G194,"?","~?"),"*","~*"),$G$3:$G$1002,"?*"))</f>
        <v/>
      </c>
      <c r="R194">
        <f>IF(Q194="","",IF(Q194&gt;0,"Yes","No"))</f>
        <v/>
      </c>
      <c r="S194">
        <f>IF(G194="","",COUNTIFS($G$3:$G$1002,SUBSTITUTE(SUBSTITUTE(G194,"?","~?"),"*","~*"),$J$3:$J$1002,"Primary"))</f>
        <v/>
      </c>
      <c r="T194">
        <f>IF(S194="","",IF(S194&gt;Settings!$B$4,"Yes","No"))</f>
        <v/>
      </c>
      <c r="U194">
        <f>IF(OR(G194="",B194=""),"",IF(COUNTIFS($G$3:$G$1002,SUBSTITUTE(SUBSTITUTE(G194,"?","~?"),"*","~*"),$B$3:$B$1002,"&lt;&gt;"&amp;SUBSTITUTE(SUBSTITUTE(B194,"?","~?"),"*","~*"),$B$3:$B$1002,"?*")&gt;0,"Yes","No"))</f>
        <v/>
      </c>
      <c r="V194">
        <f>IF(OR(G194="",I194="",O194="",O194="Unclassified"),"",IFERROR(INDEX(Settings!$E$5:$H$16,MATCH(I194,Settings!$D$5:$D$16,0),MATCH(O194,Settings!$E$4:$H$4,0)),"Check"))</f>
        <v/>
      </c>
      <c r="W194">
        <f>IF(V194="","",IF(V194="No","Yes","No"))</f>
        <v/>
      </c>
      <c r="X194">
        <f>IF(OR(E194="",G194=""),"",IF(LOWER(IF(RIGHT(TRIM(E194),1)="/",LEFT(TRIM(E194),LEN(TRIM(E194))-1),TRIM(E194)))&lt;&gt;LOWER(IF(RIGHT(TRIM(G194),1)="/",LEFT(TRIM(G194),LEN(TRIM(G194))-1),TRIM(G194))),"Yes","No"))</f>
        <v/>
      </c>
      <c r="Y194">
        <f>IF(A194="","",(N(Q194)&gt;0)+(T194="Yes")+(U194="Yes")+(W194="Yes")+(X194="Yes"))</f>
        <v/>
      </c>
      <c r="Z194">
        <f>IF(A194="","",IF(G194="","Not mapped",IF(Y194=0,"OK",MID(IF(N(Q194)&gt;0,"; Cannibalisation","")&amp;IF(T194="Yes","; Too many primary keywords on URL","")&amp;IF(U194="Yes","; URL spans 2+ clusters","")&amp;IF(W194="Yes","; Intent mismatch","")&amp;IF(X194="Yes","; Ranking URL is not the target",""),3,300))))</f>
        <v/>
      </c>
      <c r="AA194">
        <f>IF(G194="","",IF(COUNTIF($G$3:G194,SUBSTITUTE(SUBSTITUTE(G194,"?","~?"),"*","~*"))=1,MAX($AA$2:AA193)+1,""))</f>
        <v/>
      </c>
      <c r="AB194">
        <f>IF(B194="","",IF(COUNTIF($B$3:B194,SUBSTITUTE(SUBSTITUTE(B194,"?","~?"),"*","~*"))=1,MAX($AB$2:AB193)+1,""))</f>
        <v/>
      </c>
    </row>
    <row r="195">
      <c r="M195">
        <f>IF(A195="","",LOWER(TRIM(SUBSTITUTE(SUBSTITUTE(A195,"?",""),"*",""))))</f>
        <v/>
      </c>
      <c r="N195">
        <f>IF(M195="","",IF(SUMPRODUCT(ISNUMBER(SEARCH(" "&amp;Settings!$L$5:$L$124&amp;" "," "&amp;M195&amp;" "))*(Settings!$K$5:$K$124="Navigational")*(Settings!$L$5:$L$124&lt;&gt;""))&gt;0,"Navigational",IF(SUMPRODUCT(ISNUMBER(SEARCH(" "&amp;Settings!$L$5:$L$124&amp;" "," "&amp;M195&amp;" "))*(Settings!$K$5:$K$124="Transactional")*(Settings!$L$5:$L$124&lt;&gt;""))&gt;0,"Transactional",IF(SUMPRODUCT(ISNUMBER(SEARCH(" "&amp;Settings!$L$5:$L$124&amp;" "," "&amp;M195&amp;" "))*(Settings!$K$5:$K$124="Commercial")*(Settings!$L$5:$L$124&lt;&gt;""))&gt;0,"Commercial",IF(SUMPRODUCT(ISNUMBER(SEARCH(" "&amp;Settings!$L$5:$L$124&amp;" "," "&amp;M195&amp;" "))*(Settings!$K$5:$K$124="Informational")*(Settings!$L$5:$L$124&lt;&gt;""))&gt;0,"Informational","Unclassified")))))</f>
        <v/>
      </c>
      <c r="O195">
        <f>IF(A195="","",IF(K195&lt;&gt;"",PROPER(K195),N195))</f>
        <v/>
      </c>
      <c r="P195">
        <f>IF(A195="","",ROUND(Settings!$B$5*MIN(1,LOG10(N(C195)+1)/LOG10(Settings!$B$7+1))+Settings!$B$6*(1-MIN(100,IF(D195="",50,N(D195)))/100)+IFERROR(INDEX(Settings!$B$10:$B$14,MATCH(O195,Settings!$A$10:$A$14,0)),0),0))</f>
        <v/>
      </c>
      <c r="Q195">
        <f>IF(OR(A195="",G195=""),"",COUNTIFS($M$3:$M$1002,M195,$G$3:$G$1002,"&lt;&gt;"&amp;SUBSTITUTE(SUBSTITUTE(G195,"?","~?"),"*","~*"),$G$3:$G$1002,"?*"))</f>
        <v/>
      </c>
      <c r="R195">
        <f>IF(Q195="","",IF(Q195&gt;0,"Yes","No"))</f>
        <v/>
      </c>
      <c r="S195">
        <f>IF(G195="","",COUNTIFS($G$3:$G$1002,SUBSTITUTE(SUBSTITUTE(G195,"?","~?"),"*","~*"),$J$3:$J$1002,"Primary"))</f>
        <v/>
      </c>
      <c r="T195">
        <f>IF(S195="","",IF(S195&gt;Settings!$B$4,"Yes","No"))</f>
        <v/>
      </c>
      <c r="U195">
        <f>IF(OR(G195="",B195=""),"",IF(COUNTIFS($G$3:$G$1002,SUBSTITUTE(SUBSTITUTE(G195,"?","~?"),"*","~*"),$B$3:$B$1002,"&lt;&gt;"&amp;SUBSTITUTE(SUBSTITUTE(B195,"?","~?"),"*","~*"),$B$3:$B$1002,"?*")&gt;0,"Yes","No"))</f>
        <v/>
      </c>
      <c r="V195">
        <f>IF(OR(G195="",I195="",O195="",O195="Unclassified"),"",IFERROR(INDEX(Settings!$E$5:$H$16,MATCH(I195,Settings!$D$5:$D$16,0),MATCH(O195,Settings!$E$4:$H$4,0)),"Check"))</f>
        <v/>
      </c>
      <c r="W195">
        <f>IF(V195="","",IF(V195="No","Yes","No"))</f>
        <v/>
      </c>
      <c r="X195">
        <f>IF(OR(E195="",G195=""),"",IF(LOWER(IF(RIGHT(TRIM(E195),1)="/",LEFT(TRIM(E195),LEN(TRIM(E195))-1),TRIM(E195)))&lt;&gt;LOWER(IF(RIGHT(TRIM(G195),1)="/",LEFT(TRIM(G195),LEN(TRIM(G195))-1),TRIM(G195))),"Yes","No"))</f>
        <v/>
      </c>
      <c r="Y195">
        <f>IF(A195="","",(N(Q195)&gt;0)+(T195="Yes")+(U195="Yes")+(W195="Yes")+(X195="Yes"))</f>
        <v/>
      </c>
      <c r="Z195">
        <f>IF(A195="","",IF(G195="","Not mapped",IF(Y195=0,"OK",MID(IF(N(Q195)&gt;0,"; Cannibalisation","")&amp;IF(T195="Yes","; Too many primary keywords on URL","")&amp;IF(U195="Yes","; URL spans 2+ clusters","")&amp;IF(W195="Yes","; Intent mismatch","")&amp;IF(X195="Yes","; Ranking URL is not the target",""),3,300))))</f>
        <v/>
      </c>
      <c r="AA195">
        <f>IF(G195="","",IF(COUNTIF($G$3:G195,SUBSTITUTE(SUBSTITUTE(G195,"?","~?"),"*","~*"))=1,MAX($AA$2:AA194)+1,""))</f>
        <v/>
      </c>
      <c r="AB195">
        <f>IF(B195="","",IF(COUNTIF($B$3:B195,SUBSTITUTE(SUBSTITUTE(B195,"?","~?"),"*","~*"))=1,MAX($AB$2:AB194)+1,""))</f>
        <v/>
      </c>
    </row>
    <row r="196">
      <c r="M196">
        <f>IF(A196="","",LOWER(TRIM(SUBSTITUTE(SUBSTITUTE(A196,"?",""),"*",""))))</f>
        <v/>
      </c>
      <c r="N196">
        <f>IF(M196="","",IF(SUMPRODUCT(ISNUMBER(SEARCH(" "&amp;Settings!$L$5:$L$124&amp;" "," "&amp;M196&amp;" "))*(Settings!$K$5:$K$124="Navigational")*(Settings!$L$5:$L$124&lt;&gt;""))&gt;0,"Navigational",IF(SUMPRODUCT(ISNUMBER(SEARCH(" "&amp;Settings!$L$5:$L$124&amp;" "," "&amp;M196&amp;" "))*(Settings!$K$5:$K$124="Transactional")*(Settings!$L$5:$L$124&lt;&gt;""))&gt;0,"Transactional",IF(SUMPRODUCT(ISNUMBER(SEARCH(" "&amp;Settings!$L$5:$L$124&amp;" "," "&amp;M196&amp;" "))*(Settings!$K$5:$K$124="Commercial")*(Settings!$L$5:$L$124&lt;&gt;""))&gt;0,"Commercial",IF(SUMPRODUCT(ISNUMBER(SEARCH(" "&amp;Settings!$L$5:$L$124&amp;" "," "&amp;M196&amp;" "))*(Settings!$K$5:$K$124="Informational")*(Settings!$L$5:$L$124&lt;&gt;""))&gt;0,"Informational","Unclassified")))))</f>
        <v/>
      </c>
      <c r="O196">
        <f>IF(A196="","",IF(K196&lt;&gt;"",PROPER(K196),N196))</f>
        <v/>
      </c>
      <c r="P196">
        <f>IF(A196="","",ROUND(Settings!$B$5*MIN(1,LOG10(N(C196)+1)/LOG10(Settings!$B$7+1))+Settings!$B$6*(1-MIN(100,IF(D196="",50,N(D196)))/100)+IFERROR(INDEX(Settings!$B$10:$B$14,MATCH(O196,Settings!$A$10:$A$14,0)),0),0))</f>
        <v/>
      </c>
      <c r="Q196">
        <f>IF(OR(A196="",G196=""),"",COUNTIFS($M$3:$M$1002,M196,$G$3:$G$1002,"&lt;&gt;"&amp;SUBSTITUTE(SUBSTITUTE(G196,"?","~?"),"*","~*"),$G$3:$G$1002,"?*"))</f>
        <v/>
      </c>
      <c r="R196">
        <f>IF(Q196="","",IF(Q196&gt;0,"Yes","No"))</f>
        <v/>
      </c>
      <c r="S196">
        <f>IF(G196="","",COUNTIFS($G$3:$G$1002,SUBSTITUTE(SUBSTITUTE(G196,"?","~?"),"*","~*"),$J$3:$J$1002,"Primary"))</f>
        <v/>
      </c>
      <c r="T196">
        <f>IF(S196="","",IF(S196&gt;Settings!$B$4,"Yes","No"))</f>
        <v/>
      </c>
      <c r="U196">
        <f>IF(OR(G196="",B196=""),"",IF(COUNTIFS($G$3:$G$1002,SUBSTITUTE(SUBSTITUTE(G196,"?","~?"),"*","~*"),$B$3:$B$1002,"&lt;&gt;"&amp;SUBSTITUTE(SUBSTITUTE(B196,"?","~?"),"*","~*"),$B$3:$B$1002,"?*")&gt;0,"Yes","No"))</f>
        <v/>
      </c>
      <c r="V196">
        <f>IF(OR(G196="",I196="",O196="",O196="Unclassified"),"",IFERROR(INDEX(Settings!$E$5:$H$16,MATCH(I196,Settings!$D$5:$D$16,0),MATCH(O196,Settings!$E$4:$H$4,0)),"Check"))</f>
        <v/>
      </c>
      <c r="W196">
        <f>IF(V196="","",IF(V196="No","Yes","No"))</f>
        <v/>
      </c>
      <c r="X196">
        <f>IF(OR(E196="",G196=""),"",IF(LOWER(IF(RIGHT(TRIM(E196),1)="/",LEFT(TRIM(E196),LEN(TRIM(E196))-1),TRIM(E196)))&lt;&gt;LOWER(IF(RIGHT(TRIM(G196),1)="/",LEFT(TRIM(G196),LEN(TRIM(G196))-1),TRIM(G196))),"Yes","No"))</f>
        <v/>
      </c>
      <c r="Y196">
        <f>IF(A196="","",(N(Q196)&gt;0)+(T196="Yes")+(U196="Yes")+(W196="Yes")+(X196="Yes"))</f>
        <v/>
      </c>
      <c r="Z196">
        <f>IF(A196="","",IF(G196="","Not mapped",IF(Y196=0,"OK",MID(IF(N(Q196)&gt;0,"; Cannibalisation","")&amp;IF(T196="Yes","; Too many primary keywords on URL","")&amp;IF(U196="Yes","; URL spans 2+ clusters","")&amp;IF(W196="Yes","; Intent mismatch","")&amp;IF(X196="Yes","; Ranking URL is not the target",""),3,300))))</f>
        <v/>
      </c>
      <c r="AA196">
        <f>IF(G196="","",IF(COUNTIF($G$3:G196,SUBSTITUTE(SUBSTITUTE(G196,"?","~?"),"*","~*"))=1,MAX($AA$2:AA195)+1,""))</f>
        <v/>
      </c>
      <c r="AB196">
        <f>IF(B196="","",IF(COUNTIF($B$3:B196,SUBSTITUTE(SUBSTITUTE(B196,"?","~?"),"*","~*"))=1,MAX($AB$2:AB195)+1,""))</f>
        <v/>
      </c>
    </row>
    <row r="197">
      <c r="M197">
        <f>IF(A197="","",LOWER(TRIM(SUBSTITUTE(SUBSTITUTE(A197,"?",""),"*",""))))</f>
        <v/>
      </c>
      <c r="N197">
        <f>IF(M197="","",IF(SUMPRODUCT(ISNUMBER(SEARCH(" "&amp;Settings!$L$5:$L$124&amp;" "," "&amp;M197&amp;" "))*(Settings!$K$5:$K$124="Navigational")*(Settings!$L$5:$L$124&lt;&gt;""))&gt;0,"Navigational",IF(SUMPRODUCT(ISNUMBER(SEARCH(" "&amp;Settings!$L$5:$L$124&amp;" "," "&amp;M197&amp;" "))*(Settings!$K$5:$K$124="Transactional")*(Settings!$L$5:$L$124&lt;&gt;""))&gt;0,"Transactional",IF(SUMPRODUCT(ISNUMBER(SEARCH(" "&amp;Settings!$L$5:$L$124&amp;" "," "&amp;M197&amp;" "))*(Settings!$K$5:$K$124="Commercial")*(Settings!$L$5:$L$124&lt;&gt;""))&gt;0,"Commercial",IF(SUMPRODUCT(ISNUMBER(SEARCH(" "&amp;Settings!$L$5:$L$124&amp;" "," "&amp;M197&amp;" "))*(Settings!$K$5:$K$124="Informational")*(Settings!$L$5:$L$124&lt;&gt;""))&gt;0,"Informational","Unclassified")))))</f>
        <v/>
      </c>
      <c r="O197">
        <f>IF(A197="","",IF(K197&lt;&gt;"",PROPER(K197),N197))</f>
        <v/>
      </c>
      <c r="P197">
        <f>IF(A197="","",ROUND(Settings!$B$5*MIN(1,LOG10(N(C197)+1)/LOG10(Settings!$B$7+1))+Settings!$B$6*(1-MIN(100,IF(D197="",50,N(D197)))/100)+IFERROR(INDEX(Settings!$B$10:$B$14,MATCH(O197,Settings!$A$10:$A$14,0)),0),0))</f>
        <v/>
      </c>
      <c r="Q197">
        <f>IF(OR(A197="",G197=""),"",COUNTIFS($M$3:$M$1002,M197,$G$3:$G$1002,"&lt;&gt;"&amp;SUBSTITUTE(SUBSTITUTE(G197,"?","~?"),"*","~*"),$G$3:$G$1002,"?*"))</f>
        <v/>
      </c>
      <c r="R197">
        <f>IF(Q197="","",IF(Q197&gt;0,"Yes","No"))</f>
        <v/>
      </c>
      <c r="S197">
        <f>IF(G197="","",COUNTIFS($G$3:$G$1002,SUBSTITUTE(SUBSTITUTE(G197,"?","~?"),"*","~*"),$J$3:$J$1002,"Primary"))</f>
        <v/>
      </c>
      <c r="T197">
        <f>IF(S197="","",IF(S197&gt;Settings!$B$4,"Yes","No"))</f>
        <v/>
      </c>
      <c r="U197">
        <f>IF(OR(G197="",B197=""),"",IF(COUNTIFS($G$3:$G$1002,SUBSTITUTE(SUBSTITUTE(G197,"?","~?"),"*","~*"),$B$3:$B$1002,"&lt;&gt;"&amp;SUBSTITUTE(SUBSTITUTE(B197,"?","~?"),"*","~*"),$B$3:$B$1002,"?*")&gt;0,"Yes","No"))</f>
        <v/>
      </c>
      <c r="V197">
        <f>IF(OR(G197="",I197="",O197="",O197="Unclassified"),"",IFERROR(INDEX(Settings!$E$5:$H$16,MATCH(I197,Settings!$D$5:$D$16,0),MATCH(O197,Settings!$E$4:$H$4,0)),"Check"))</f>
        <v/>
      </c>
      <c r="W197">
        <f>IF(V197="","",IF(V197="No","Yes","No"))</f>
        <v/>
      </c>
      <c r="X197">
        <f>IF(OR(E197="",G197=""),"",IF(LOWER(IF(RIGHT(TRIM(E197),1)="/",LEFT(TRIM(E197),LEN(TRIM(E197))-1),TRIM(E197)))&lt;&gt;LOWER(IF(RIGHT(TRIM(G197),1)="/",LEFT(TRIM(G197),LEN(TRIM(G197))-1),TRIM(G197))),"Yes","No"))</f>
        <v/>
      </c>
      <c r="Y197">
        <f>IF(A197="","",(N(Q197)&gt;0)+(T197="Yes")+(U197="Yes")+(W197="Yes")+(X197="Yes"))</f>
        <v/>
      </c>
      <c r="Z197">
        <f>IF(A197="","",IF(G197="","Not mapped",IF(Y197=0,"OK",MID(IF(N(Q197)&gt;0,"; Cannibalisation","")&amp;IF(T197="Yes","; Too many primary keywords on URL","")&amp;IF(U197="Yes","; URL spans 2+ clusters","")&amp;IF(W197="Yes","; Intent mismatch","")&amp;IF(X197="Yes","; Ranking URL is not the target",""),3,300))))</f>
        <v/>
      </c>
      <c r="AA197">
        <f>IF(G197="","",IF(COUNTIF($G$3:G197,SUBSTITUTE(SUBSTITUTE(G197,"?","~?"),"*","~*"))=1,MAX($AA$2:AA196)+1,""))</f>
        <v/>
      </c>
      <c r="AB197">
        <f>IF(B197="","",IF(COUNTIF($B$3:B197,SUBSTITUTE(SUBSTITUTE(B197,"?","~?"),"*","~*"))=1,MAX($AB$2:AB196)+1,""))</f>
        <v/>
      </c>
    </row>
    <row r="198">
      <c r="M198">
        <f>IF(A198="","",LOWER(TRIM(SUBSTITUTE(SUBSTITUTE(A198,"?",""),"*",""))))</f>
        <v/>
      </c>
      <c r="N198">
        <f>IF(M198="","",IF(SUMPRODUCT(ISNUMBER(SEARCH(" "&amp;Settings!$L$5:$L$124&amp;" "," "&amp;M198&amp;" "))*(Settings!$K$5:$K$124="Navigational")*(Settings!$L$5:$L$124&lt;&gt;""))&gt;0,"Navigational",IF(SUMPRODUCT(ISNUMBER(SEARCH(" "&amp;Settings!$L$5:$L$124&amp;" "," "&amp;M198&amp;" "))*(Settings!$K$5:$K$124="Transactional")*(Settings!$L$5:$L$124&lt;&gt;""))&gt;0,"Transactional",IF(SUMPRODUCT(ISNUMBER(SEARCH(" "&amp;Settings!$L$5:$L$124&amp;" "," "&amp;M198&amp;" "))*(Settings!$K$5:$K$124="Commercial")*(Settings!$L$5:$L$124&lt;&gt;""))&gt;0,"Commercial",IF(SUMPRODUCT(ISNUMBER(SEARCH(" "&amp;Settings!$L$5:$L$124&amp;" "," "&amp;M198&amp;" "))*(Settings!$K$5:$K$124="Informational")*(Settings!$L$5:$L$124&lt;&gt;""))&gt;0,"Informational","Unclassified")))))</f>
        <v/>
      </c>
      <c r="O198">
        <f>IF(A198="","",IF(K198&lt;&gt;"",PROPER(K198),N198))</f>
        <v/>
      </c>
      <c r="P198">
        <f>IF(A198="","",ROUND(Settings!$B$5*MIN(1,LOG10(N(C198)+1)/LOG10(Settings!$B$7+1))+Settings!$B$6*(1-MIN(100,IF(D198="",50,N(D198)))/100)+IFERROR(INDEX(Settings!$B$10:$B$14,MATCH(O198,Settings!$A$10:$A$14,0)),0),0))</f>
        <v/>
      </c>
      <c r="Q198">
        <f>IF(OR(A198="",G198=""),"",COUNTIFS($M$3:$M$1002,M198,$G$3:$G$1002,"&lt;&gt;"&amp;SUBSTITUTE(SUBSTITUTE(G198,"?","~?"),"*","~*"),$G$3:$G$1002,"?*"))</f>
        <v/>
      </c>
      <c r="R198">
        <f>IF(Q198="","",IF(Q198&gt;0,"Yes","No"))</f>
        <v/>
      </c>
      <c r="S198">
        <f>IF(G198="","",COUNTIFS($G$3:$G$1002,SUBSTITUTE(SUBSTITUTE(G198,"?","~?"),"*","~*"),$J$3:$J$1002,"Primary"))</f>
        <v/>
      </c>
      <c r="T198">
        <f>IF(S198="","",IF(S198&gt;Settings!$B$4,"Yes","No"))</f>
        <v/>
      </c>
      <c r="U198">
        <f>IF(OR(G198="",B198=""),"",IF(COUNTIFS($G$3:$G$1002,SUBSTITUTE(SUBSTITUTE(G198,"?","~?"),"*","~*"),$B$3:$B$1002,"&lt;&gt;"&amp;SUBSTITUTE(SUBSTITUTE(B198,"?","~?"),"*","~*"),$B$3:$B$1002,"?*")&gt;0,"Yes","No"))</f>
        <v/>
      </c>
      <c r="V198">
        <f>IF(OR(G198="",I198="",O198="",O198="Unclassified"),"",IFERROR(INDEX(Settings!$E$5:$H$16,MATCH(I198,Settings!$D$5:$D$16,0),MATCH(O198,Settings!$E$4:$H$4,0)),"Check"))</f>
        <v/>
      </c>
      <c r="W198">
        <f>IF(V198="","",IF(V198="No","Yes","No"))</f>
        <v/>
      </c>
      <c r="X198">
        <f>IF(OR(E198="",G198=""),"",IF(LOWER(IF(RIGHT(TRIM(E198),1)="/",LEFT(TRIM(E198),LEN(TRIM(E198))-1),TRIM(E198)))&lt;&gt;LOWER(IF(RIGHT(TRIM(G198),1)="/",LEFT(TRIM(G198),LEN(TRIM(G198))-1),TRIM(G198))),"Yes","No"))</f>
        <v/>
      </c>
      <c r="Y198">
        <f>IF(A198="","",(N(Q198)&gt;0)+(T198="Yes")+(U198="Yes")+(W198="Yes")+(X198="Yes"))</f>
        <v/>
      </c>
      <c r="Z198">
        <f>IF(A198="","",IF(G198="","Not mapped",IF(Y198=0,"OK",MID(IF(N(Q198)&gt;0,"; Cannibalisation","")&amp;IF(T198="Yes","; Too many primary keywords on URL","")&amp;IF(U198="Yes","; URL spans 2+ clusters","")&amp;IF(W198="Yes","; Intent mismatch","")&amp;IF(X198="Yes","; Ranking URL is not the target",""),3,300))))</f>
        <v/>
      </c>
      <c r="AA198">
        <f>IF(G198="","",IF(COUNTIF($G$3:G198,SUBSTITUTE(SUBSTITUTE(G198,"?","~?"),"*","~*"))=1,MAX($AA$2:AA197)+1,""))</f>
        <v/>
      </c>
      <c r="AB198">
        <f>IF(B198="","",IF(COUNTIF($B$3:B198,SUBSTITUTE(SUBSTITUTE(B198,"?","~?"),"*","~*"))=1,MAX($AB$2:AB197)+1,""))</f>
        <v/>
      </c>
    </row>
    <row r="199">
      <c r="M199">
        <f>IF(A199="","",LOWER(TRIM(SUBSTITUTE(SUBSTITUTE(A199,"?",""),"*",""))))</f>
        <v/>
      </c>
      <c r="N199">
        <f>IF(M199="","",IF(SUMPRODUCT(ISNUMBER(SEARCH(" "&amp;Settings!$L$5:$L$124&amp;" "," "&amp;M199&amp;" "))*(Settings!$K$5:$K$124="Navigational")*(Settings!$L$5:$L$124&lt;&gt;""))&gt;0,"Navigational",IF(SUMPRODUCT(ISNUMBER(SEARCH(" "&amp;Settings!$L$5:$L$124&amp;" "," "&amp;M199&amp;" "))*(Settings!$K$5:$K$124="Transactional")*(Settings!$L$5:$L$124&lt;&gt;""))&gt;0,"Transactional",IF(SUMPRODUCT(ISNUMBER(SEARCH(" "&amp;Settings!$L$5:$L$124&amp;" "," "&amp;M199&amp;" "))*(Settings!$K$5:$K$124="Commercial")*(Settings!$L$5:$L$124&lt;&gt;""))&gt;0,"Commercial",IF(SUMPRODUCT(ISNUMBER(SEARCH(" "&amp;Settings!$L$5:$L$124&amp;" "," "&amp;M199&amp;" "))*(Settings!$K$5:$K$124="Informational")*(Settings!$L$5:$L$124&lt;&gt;""))&gt;0,"Informational","Unclassified")))))</f>
        <v/>
      </c>
      <c r="O199">
        <f>IF(A199="","",IF(K199&lt;&gt;"",PROPER(K199),N199))</f>
        <v/>
      </c>
      <c r="P199">
        <f>IF(A199="","",ROUND(Settings!$B$5*MIN(1,LOG10(N(C199)+1)/LOG10(Settings!$B$7+1))+Settings!$B$6*(1-MIN(100,IF(D199="",50,N(D199)))/100)+IFERROR(INDEX(Settings!$B$10:$B$14,MATCH(O199,Settings!$A$10:$A$14,0)),0),0))</f>
        <v/>
      </c>
      <c r="Q199">
        <f>IF(OR(A199="",G199=""),"",COUNTIFS($M$3:$M$1002,M199,$G$3:$G$1002,"&lt;&gt;"&amp;SUBSTITUTE(SUBSTITUTE(G199,"?","~?"),"*","~*"),$G$3:$G$1002,"?*"))</f>
        <v/>
      </c>
      <c r="R199">
        <f>IF(Q199="","",IF(Q199&gt;0,"Yes","No"))</f>
        <v/>
      </c>
      <c r="S199">
        <f>IF(G199="","",COUNTIFS($G$3:$G$1002,SUBSTITUTE(SUBSTITUTE(G199,"?","~?"),"*","~*"),$J$3:$J$1002,"Primary"))</f>
        <v/>
      </c>
      <c r="T199">
        <f>IF(S199="","",IF(S199&gt;Settings!$B$4,"Yes","No"))</f>
        <v/>
      </c>
      <c r="U199">
        <f>IF(OR(G199="",B199=""),"",IF(COUNTIFS($G$3:$G$1002,SUBSTITUTE(SUBSTITUTE(G199,"?","~?"),"*","~*"),$B$3:$B$1002,"&lt;&gt;"&amp;SUBSTITUTE(SUBSTITUTE(B199,"?","~?"),"*","~*"),$B$3:$B$1002,"?*")&gt;0,"Yes","No"))</f>
        <v/>
      </c>
      <c r="V199">
        <f>IF(OR(G199="",I199="",O199="",O199="Unclassified"),"",IFERROR(INDEX(Settings!$E$5:$H$16,MATCH(I199,Settings!$D$5:$D$16,0),MATCH(O199,Settings!$E$4:$H$4,0)),"Check"))</f>
        <v/>
      </c>
      <c r="W199">
        <f>IF(V199="","",IF(V199="No","Yes","No"))</f>
        <v/>
      </c>
      <c r="X199">
        <f>IF(OR(E199="",G199=""),"",IF(LOWER(IF(RIGHT(TRIM(E199),1)="/",LEFT(TRIM(E199),LEN(TRIM(E199))-1),TRIM(E199)))&lt;&gt;LOWER(IF(RIGHT(TRIM(G199),1)="/",LEFT(TRIM(G199),LEN(TRIM(G199))-1),TRIM(G199))),"Yes","No"))</f>
        <v/>
      </c>
      <c r="Y199">
        <f>IF(A199="","",(N(Q199)&gt;0)+(T199="Yes")+(U199="Yes")+(W199="Yes")+(X199="Yes"))</f>
        <v/>
      </c>
      <c r="Z199">
        <f>IF(A199="","",IF(G199="","Not mapped",IF(Y199=0,"OK",MID(IF(N(Q199)&gt;0,"; Cannibalisation","")&amp;IF(T199="Yes","; Too many primary keywords on URL","")&amp;IF(U199="Yes","; URL spans 2+ clusters","")&amp;IF(W199="Yes","; Intent mismatch","")&amp;IF(X199="Yes","; Ranking URL is not the target",""),3,300))))</f>
        <v/>
      </c>
      <c r="AA199">
        <f>IF(G199="","",IF(COUNTIF($G$3:G199,SUBSTITUTE(SUBSTITUTE(G199,"?","~?"),"*","~*"))=1,MAX($AA$2:AA198)+1,""))</f>
        <v/>
      </c>
      <c r="AB199">
        <f>IF(B199="","",IF(COUNTIF($B$3:B199,SUBSTITUTE(SUBSTITUTE(B199,"?","~?"),"*","~*"))=1,MAX($AB$2:AB198)+1,""))</f>
        <v/>
      </c>
    </row>
    <row r="200">
      <c r="M200">
        <f>IF(A200="","",LOWER(TRIM(SUBSTITUTE(SUBSTITUTE(A200,"?",""),"*",""))))</f>
        <v/>
      </c>
      <c r="N200">
        <f>IF(M200="","",IF(SUMPRODUCT(ISNUMBER(SEARCH(" "&amp;Settings!$L$5:$L$124&amp;" "," "&amp;M200&amp;" "))*(Settings!$K$5:$K$124="Navigational")*(Settings!$L$5:$L$124&lt;&gt;""))&gt;0,"Navigational",IF(SUMPRODUCT(ISNUMBER(SEARCH(" "&amp;Settings!$L$5:$L$124&amp;" "," "&amp;M200&amp;" "))*(Settings!$K$5:$K$124="Transactional")*(Settings!$L$5:$L$124&lt;&gt;""))&gt;0,"Transactional",IF(SUMPRODUCT(ISNUMBER(SEARCH(" "&amp;Settings!$L$5:$L$124&amp;" "," "&amp;M200&amp;" "))*(Settings!$K$5:$K$124="Commercial")*(Settings!$L$5:$L$124&lt;&gt;""))&gt;0,"Commercial",IF(SUMPRODUCT(ISNUMBER(SEARCH(" "&amp;Settings!$L$5:$L$124&amp;" "," "&amp;M200&amp;" "))*(Settings!$K$5:$K$124="Informational")*(Settings!$L$5:$L$124&lt;&gt;""))&gt;0,"Informational","Unclassified")))))</f>
        <v/>
      </c>
      <c r="O200">
        <f>IF(A200="","",IF(K200&lt;&gt;"",PROPER(K200),N200))</f>
        <v/>
      </c>
      <c r="P200">
        <f>IF(A200="","",ROUND(Settings!$B$5*MIN(1,LOG10(N(C200)+1)/LOG10(Settings!$B$7+1))+Settings!$B$6*(1-MIN(100,IF(D200="",50,N(D200)))/100)+IFERROR(INDEX(Settings!$B$10:$B$14,MATCH(O200,Settings!$A$10:$A$14,0)),0),0))</f>
        <v/>
      </c>
      <c r="Q200">
        <f>IF(OR(A200="",G200=""),"",COUNTIFS($M$3:$M$1002,M200,$G$3:$G$1002,"&lt;&gt;"&amp;SUBSTITUTE(SUBSTITUTE(G200,"?","~?"),"*","~*"),$G$3:$G$1002,"?*"))</f>
        <v/>
      </c>
      <c r="R200">
        <f>IF(Q200="","",IF(Q200&gt;0,"Yes","No"))</f>
        <v/>
      </c>
      <c r="S200">
        <f>IF(G200="","",COUNTIFS($G$3:$G$1002,SUBSTITUTE(SUBSTITUTE(G200,"?","~?"),"*","~*"),$J$3:$J$1002,"Primary"))</f>
        <v/>
      </c>
      <c r="T200">
        <f>IF(S200="","",IF(S200&gt;Settings!$B$4,"Yes","No"))</f>
        <v/>
      </c>
      <c r="U200">
        <f>IF(OR(G200="",B200=""),"",IF(COUNTIFS($G$3:$G$1002,SUBSTITUTE(SUBSTITUTE(G200,"?","~?"),"*","~*"),$B$3:$B$1002,"&lt;&gt;"&amp;SUBSTITUTE(SUBSTITUTE(B200,"?","~?"),"*","~*"),$B$3:$B$1002,"?*")&gt;0,"Yes","No"))</f>
        <v/>
      </c>
      <c r="V200">
        <f>IF(OR(G200="",I200="",O200="",O200="Unclassified"),"",IFERROR(INDEX(Settings!$E$5:$H$16,MATCH(I200,Settings!$D$5:$D$16,0),MATCH(O200,Settings!$E$4:$H$4,0)),"Check"))</f>
        <v/>
      </c>
      <c r="W200">
        <f>IF(V200="","",IF(V200="No","Yes","No"))</f>
        <v/>
      </c>
      <c r="X200">
        <f>IF(OR(E200="",G200=""),"",IF(LOWER(IF(RIGHT(TRIM(E200),1)="/",LEFT(TRIM(E200),LEN(TRIM(E200))-1),TRIM(E200)))&lt;&gt;LOWER(IF(RIGHT(TRIM(G200),1)="/",LEFT(TRIM(G200),LEN(TRIM(G200))-1),TRIM(G200))),"Yes","No"))</f>
        <v/>
      </c>
      <c r="Y200">
        <f>IF(A200="","",(N(Q200)&gt;0)+(T200="Yes")+(U200="Yes")+(W200="Yes")+(X200="Yes"))</f>
        <v/>
      </c>
      <c r="Z200">
        <f>IF(A200="","",IF(G200="","Not mapped",IF(Y200=0,"OK",MID(IF(N(Q200)&gt;0,"; Cannibalisation","")&amp;IF(T200="Yes","; Too many primary keywords on URL","")&amp;IF(U200="Yes","; URL spans 2+ clusters","")&amp;IF(W200="Yes","; Intent mismatch","")&amp;IF(X200="Yes","; Ranking URL is not the target",""),3,300))))</f>
        <v/>
      </c>
      <c r="AA200">
        <f>IF(G200="","",IF(COUNTIF($G$3:G200,SUBSTITUTE(SUBSTITUTE(G200,"?","~?"),"*","~*"))=1,MAX($AA$2:AA199)+1,""))</f>
        <v/>
      </c>
      <c r="AB200">
        <f>IF(B200="","",IF(COUNTIF($B$3:B200,SUBSTITUTE(SUBSTITUTE(B200,"?","~?"),"*","~*"))=1,MAX($AB$2:AB199)+1,""))</f>
        <v/>
      </c>
    </row>
    <row r="201">
      <c r="M201">
        <f>IF(A201="","",LOWER(TRIM(SUBSTITUTE(SUBSTITUTE(A201,"?",""),"*",""))))</f>
        <v/>
      </c>
      <c r="N201">
        <f>IF(M201="","",IF(SUMPRODUCT(ISNUMBER(SEARCH(" "&amp;Settings!$L$5:$L$124&amp;" "," "&amp;M201&amp;" "))*(Settings!$K$5:$K$124="Navigational")*(Settings!$L$5:$L$124&lt;&gt;""))&gt;0,"Navigational",IF(SUMPRODUCT(ISNUMBER(SEARCH(" "&amp;Settings!$L$5:$L$124&amp;" "," "&amp;M201&amp;" "))*(Settings!$K$5:$K$124="Transactional")*(Settings!$L$5:$L$124&lt;&gt;""))&gt;0,"Transactional",IF(SUMPRODUCT(ISNUMBER(SEARCH(" "&amp;Settings!$L$5:$L$124&amp;" "," "&amp;M201&amp;" "))*(Settings!$K$5:$K$124="Commercial")*(Settings!$L$5:$L$124&lt;&gt;""))&gt;0,"Commercial",IF(SUMPRODUCT(ISNUMBER(SEARCH(" "&amp;Settings!$L$5:$L$124&amp;" "," "&amp;M201&amp;" "))*(Settings!$K$5:$K$124="Informational")*(Settings!$L$5:$L$124&lt;&gt;""))&gt;0,"Informational","Unclassified")))))</f>
        <v/>
      </c>
      <c r="O201">
        <f>IF(A201="","",IF(K201&lt;&gt;"",PROPER(K201),N201))</f>
        <v/>
      </c>
      <c r="P201">
        <f>IF(A201="","",ROUND(Settings!$B$5*MIN(1,LOG10(N(C201)+1)/LOG10(Settings!$B$7+1))+Settings!$B$6*(1-MIN(100,IF(D201="",50,N(D201)))/100)+IFERROR(INDEX(Settings!$B$10:$B$14,MATCH(O201,Settings!$A$10:$A$14,0)),0),0))</f>
        <v/>
      </c>
      <c r="Q201">
        <f>IF(OR(A201="",G201=""),"",COUNTIFS($M$3:$M$1002,M201,$G$3:$G$1002,"&lt;&gt;"&amp;SUBSTITUTE(SUBSTITUTE(G201,"?","~?"),"*","~*"),$G$3:$G$1002,"?*"))</f>
        <v/>
      </c>
      <c r="R201">
        <f>IF(Q201="","",IF(Q201&gt;0,"Yes","No"))</f>
        <v/>
      </c>
      <c r="S201">
        <f>IF(G201="","",COUNTIFS($G$3:$G$1002,SUBSTITUTE(SUBSTITUTE(G201,"?","~?"),"*","~*"),$J$3:$J$1002,"Primary"))</f>
        <v/>
      </c>
      <c r="T201">
        <f>IF(S201="","",IF(S201&gt;Settings!$B$4,"Yes","No"))</f>
        <v/>
      </c>
      <c r="U201">
        <f>IF(OR(G201="",B201=""),"",IF(COUNTIFS($G$3:$G$1002,SUBSTITUTE(SUBSTITUTE(G201,"?","~?"),"*","~*"),$B$3:$B$1002,"&lt;&gt;"&amp;SUBSTITUTE(SUBSTITUTE(B201,"?","~?"),"*","~*"),$B$3:$B$1002,"?*")&gt;0,"Yes","No"))</f>
        <v/>
      </c>
      <c r="V201">
        <f>IF(OR(G201="",I201="",O201="",O201="Unclassified"),"",IFERROR(INDEX(Settings!$E$5:$H$16,MATCH(I201,Settings!$D$5:$D$16,0),MATCH(O201,Settings!$E$4:$H$4,0)),"Check"))</f>
        <v/>
      </c>
      <c r="W201">
        <f>IF(V201="","",IF(V201="No","Yes","No"))</f>
        <v/>
      </c>
      <c r="X201">
        <f>IF(OR(E201="",G201=""),"",IF(LOWER(IF(RIGHT(TRIM(E201),1)="/",LEFT(TRIM(E201),LEN(TRIM(E201))-1),TRIM(E201)))&lt;&gt;LOWER(IF(RIGHT(TRIM(G201),1)="/",LEFT(TRIM(G201),LEN(TRIM(G201))-1),TRIM(G201))),"Yes","No"))</f>
        <v/>
      </c>
      <c r="Y201">
        <f>IF(A201="","",(N(Q201)&gt;0)+(T201="Yes")+(U201="Yes")+(W201="Yes")+(X201="Yes"))</f>
        <v/>
      </c>
      <c r="Z201">
        <f>IF(A201="","",IF(G201="","Not mapped",IF(Y201=0,"OK",MID(IF(N(Q201)&gt;0,"; Cannibalisation","")&amp;IF(T201="Yes","; Too many primary keywords on URL","")&amp;IF(U201="Yes","; URL spans 2+ clusters","")&amp;IF(W201="Yes","; Intent mismatch","")&amp;IF(X201="Yes","; Ranking URL is not the target",""),3,300))))</f>
        <v/>
      </c>
      <c r="AA201">
        <f>IF(G201="","",IF(COUNTIF($G$3:G201,SUBSTITUTE(SUBSTITUTE(G201,"?","~?"),"*","~*"))=1,MAX($AA$2:AA200)+1,""))</f>
        <v/>
      </c>
      <c r="AB201">
        <f>IF(B201="","",IF(COUNTIF($B$3:B201,SUBSTITUTE(SUBSTITUTE(B201,"?","~?"),"*","~*"))=1,MAX($AB$2:AB200)+1,""))</f>
        <v/>
      </c>
    </row>
    <row r="202">
      <c r="M202">
        <f>IF(A202="","",LOWER(TRIM(SUBSTITUTE(SUBSTITUTE(A202,"?",""),"*",""))))</f>
        <v/>
      </c>
      <c r="N202">
        <f>IF(M202="","",IF(SUMPRODUCT(ISNUMBER(SEARCH(" "&amp;Settings!$L$5:$L$124&amp;" "," "&amp;M202&amp;" "))*(Settings!$K$5:$K$124="Navigational")*(Settings!$L$5:$L$124&lt;&gt;""))&gt;0,"Navigational",IF(SUMPRODUCT(ISNUMBER(SEARCH(" "&amp;Settings!$L$5:$L$124&amp;" "," "&amp;M202&amp;" "))*(Settings!$K$5:$K$124="Transactional")*(Settings!$L$5:$L$124&lt;&gt;""))&gt;0,"Transactional",IF(SUMPRODUCT(ISNUMBER(SEARCH(" "&amp;Settings!$L$5:$L$124&amp;" "," "&amp;M202&amp;" "))*(Settings!$K$5:$K$124="Commercial")*(Settings!$L$5:$L$124&lt;&gt;""))&gt;0,"Commercial",IF(SUMPRODUCT(ISNUMBER(SEARCH(" "&amp;Settings!$L$5:$L$124&amp;" "," "&amp;M202&amp;" "))*(Settings!$K$5:$K$124="Informational")*(Settings!$L$5:$L$124&lt;&gt;""))&gt;0,"Informational","Unclassified")))))</f>
        <v/>
      </c>
      <c r="O202">
        <f>IF(A202="","",IF(K202&lt;&gt;"",PROPER(K202),N202))</f>
        <v/>
      </c>
      <c r="P202">
        <f>IF(A202="","",ROUND(Settings!$B$5*MIN(1,LOG10(N(C202)+1)/LOG10(Settings!$B$7+1))+Settings!$B$6*(1-MIN(100,IF(D202="",50,N(D202)))/100)+IFERROR(INDEX(Settings!$B$10:$B$14,MATCH(O202,Settings!$A$10:$A$14,0)),0),0))</f>
        <v/>
      </c>
      <c r="Q202">
        <f>IF(OR(A202="",G202=""),"",COUNTIFS($M$3:$M$1002,M202,$G$3:$G$1002,"&lt;&gt;"&amp;SUBSTITUTE(SUBSTITUTE(G202,"?","~?"),"*","~*"),$G$3:$G$1002,"?*"))</f>
        <v/>
      </c>
      <c r="R202">
        <f>IF(Q202="","",IF(Q202&gt;0,"Yes","No"))</f>
        <v/>
      </c>
      <c r="S202">
        <f>IF(G202="","",COUNTIFS($G$3:$G$1002,SUBSTITUTE(SUBSTITUTE(G202,"?","~?"),"*","~*"),$J$3:$J$1002,"Primary"))</f>
        <v/>
      </c>
      <c r="T202">
        <f>IF(S202="","",IF(S202&gt;Settings!$B$4,"Yes","No"))</f>
        <v/>
      </c>
      <c r="U202">
        <f>IF(OR(G202="",B202=""),"",IF(COUNTIFS($G$3:$G$1002,SUBSTITUTE(SUBSTITUTE(G202,"?","~?"),"*","~*"),$B$3:$B$1002,"&lt;&gt;"&amp;SUBSTITUTE(SUBSTITUTE(B202,"?","~?"),"*","~*"),$B$3:$B$1002,"?*")&gt;0,"Yes","No"))</f>
        <v/>
      </c>
      <c r="V202">
        <f>IF(OR(G202="",I202="",O202="",O202="Unclassified"),"",IFERROR(INDEX(Settings!$E$5:$H$16,MATCH(I202,Settings!$D$5:$D$16,0),MATCH(O202,Settings!$E$4:$H$4,0)),"Check"))</f>
        <v/>
      </c>
      <c r="W202">
        <f>IF(V202="","",IF(V202="No","Yes","No"))</f>
        <v/>
      </c>
      <c r="X202">
        <f>IF(OR(E202="",G202=""),"",IF(LOWER(IF(RIGHT(TRIM(E202),1)="/",LEFT(TRIM(E202),LEN(TRIM(E202))-1),TRIM(E202)))&lt;&gt;LOWER(IF(RIGHT(TRIM(G202),1)="/",LEFT(TRIM(G202),LEN(TRIM(G202))-1),TRIM(G202))),"Yes","No"))</f>
        <v/>
      </c>
      <c r="Y202">
        <f>IF(A202="","",(N(Q202)&gt;0)+(T202="Yes")+(U202="Yes")+(W202="Yes")+(X202="Yes"))</f>
        <v/>
      </c>
      <c r="Z202">
        <f>IF(A202="","",IF(G202="","Not mapped",IF(Y202=0,"OK",MID(IF(N(Q202)&gt;0,"; Cannibalisation","")&amp;IF(T202="Yes","; Too many primary keywords on URL","")&amp;IF(U202="Yes","; URL spans 2+ clusters","")&amp;IF(W202="Yes","; Intent mismatch","")&amp;IF(X202="Yes","; Ranking URL is not the target",""),3,300))))</f>
        <v/>
      </c>
      <c r="AA202">
        <f>IF(G202="","",IF(COUNTIF($G$3:G202,SUBSTITUTE(SUBSTITUTE(G202,"?","~?"),"*","~*"))=1,MAX($AA$2:AA201)+1,""))</f>
        <v/>
      </c>
      <c r="AB202">
        <f>IF(B202="","",IF(COUNTIF($B$3:B202,SUBSTITUTE(SUBSTITUTE(B202,"?","~?"),"*","~*"))=1,MAX($AB$2:AB201)+1,""))</f>
        <v/>
      </c>
    </row>
    <row r="203">
      <c r="M203">
        <f>IF(A203="","",LOWER(TRIM(SUBSTITUTE(SUBSTITUTE(A203,"?",""),"*",""))))</f>
        <v/>
      </c>
      <c r="N203">
        <f>IF(M203="","",IF(SUMPRODUCT(ISNUMBER(SEARCH(" "&amp;Settings!$L$5:$L$124&amp;" "," "&amp;M203&amp;" "))*(Settings!$K$5:$K$124="Navigational")*(Settings!$L$5:$L$124&lt;&gt;""))&gt;0,"Navigational",IF(SUMPRODUCT(ISNUMBER(SEARCH(" "&amp;Settings!$L$5:$L$124&amp;" "," "&amp;M203&amp;" "))*(Settings!$K$5:$K$124="Transactional")*(Settings!$L$5:$L$124&lt;&gt;""))&gt;0,"Transactional",IF(SUMPRODUCT(ISNUMBER(SEARCH(" "&amp;Settings!$L$5:$L$124&amp;" "," "&amp;M203&amp;" "))*(Settings!$K$5:$K$124="Commercial")*(Settings!$L$5:$L$124&lt;&gt;""))&gt;0,"Commercial",IF(SUMPRODUCT(ISNUMBER(SEARCH(" "&amp;Settings!$L$5:$L$124&amp;" "," "&amp;M203&amp;" "))*(Settings!$K$5:$K$124="Informational")*(Settings!$L$5:$L$124&lt;&gt;""))&gt;0,"Informational","Unclassified")))))</f>
        <v/>
      </c>
      <c r="O203">
        <f>IF(A203="","",IF(K203&lt;&gt;"",PROPER(K203),N203))</f>
        <v/>
      </c>
      <c r="P203">
        <f>IF(A203="","",ROUND(Settings!$B$5*MIN(1,LOG10(N(C203)+1)/LOG10(Settings!$B$7+1))+Settings!$B$6*(1-MIN(100,IF(D203="",50,N(D203)))/100)+IFERROR(INDEX(Settings!$B$10:$B$14,MATCH(O203,Settings!$A$10:$A$14,0)),0),0))</f>
        <v/>
      </c>
      <c r="Q203">
        <f>IF(OR(A203="",G203=""),"",COUNTIFS($M$3:$M$1002,M203,$G$3:$G$1002,"&lt;&gt;"&amp;SUBSTITUTE(SUBSTITUTE(G203,"?","~?"),"*","~*"),$G$3:$G$1002,"?*"))</f>
        <v/>
      </c>
      <c r="R203">
        <f>IF(Q203="","",IF(Q203&gt;0,"Yes","No"))</f>
        <v/>
      </c>
      <c r="S203">
        <f>IF(G203="","",COUNTIFS($G$3:$G$1002,SUBSTITUTE(SUBSTITUTE(G203,"?","~?"),"*","~*"),$J$3:$J$1002,"Primary"))</f>
        <v/>
      </c>
      <c r="T203">
        <f>IF(S203="","",IF(S203&gt;Settings!$B$4,"Yes","No"))</f>
        <v/>
      </c>
      <c r="U203">
        <f>IF(OR(G203="",B203=""),"",IF(COUNTIFS($G$3:$G$1002,SUBSTITUTE(SUBSTITUTE(G203,"?","~?"),"*","~*"),$B$3:$B$1002,"&lt;&gt;"&amp;SUBSTITUTE(SUBSTITUTE(B203,"?","~?"),"*","~*"),$B$3:$B$1002,"?*")&gt;0,"Yes","No"))</f>
        <v/>
      </c>
      <c r="V203">
        <f>IF(OR(G203="",I203="",O203="",O203="Unclassified"),"",IFERROR(INDEX(Settings!$E$5:$H$16,MATCH(I203,Settings!$D$5:$D$16,0),MATCH(O203,Settings!$E$4:$H$4,0)),"Check"))</f>
        <v/>
      </c>
      <c r="W203">
        <f>IF(V203="","",IF(V203="No","Yes","No"))</f>
        <v/>
      </c>
      <c r="X203">
        <f>IF(OR(E203="",G203=""),"",IF(LOWER(IF(RIGHT(TRIM(E203),1)="/",LEFT(TRIM(E203),LEN(TRIM(E203))-1),TRIM(E203)))&lt;&gt;LOWER(IF(RIGHT(TRIM(G203),1)="/",LEFT(TRIM(G203),LEN(TRIM(G203))-1),TRIM(G203))),"Yes","No"))</f>
        <v/>
      </c>
      <c r="Y203">
        <f>IF(A203="","",(N(Q203)&gt;0)+(T203="Yes")+(U203="Yes")+(W203="Yes")+(X203="Yes"))</f>
        <v/>
      </c>
      <c r="Z203">
        <f>IF(A203="","",IF(G203="","Not mapped",IF(Y203=0,"OK",MID(IF(N(Q203)&gt;0,"; Cannibalisation","")&amp;IF(T203="Yes","; Too many primary keywords on URL","")&amp;IF(U203="Yes","; URL spans 2+ clusters","")&amp;IF(W203="Yes","; Intent mismatch","")&amp;IF(X203="Yes","; Ranking URL is not the target",""),3,300))))</f>
        <v/>
      </c>
      <c r="AA203">
        <f>IF(G203="","",IF(COUNTIF($G$3:G203,SUBSTITUTE(SUBSTITUTE(G203,"?","~?"),"*","~*"))=1,MAX($AA$2:AA202)+1,""))</f>
        <v/>
      </c>
      <c r="AB203">
        <f>IF(B203="","",IF(COUNTIF($B$3:B203,SUBSTITUTE(SUBSTITUTE(B203,"?","~?"),"*","~*"))=1,MAX($AB$2:AB202)+1,""))</f>
        <v/>
      </c>
    </row>
    <row r="204">
      <c r="M204">
        <f>IF(A204="","",LOWER(TRIM(SUBSTITUTE(SUBSTITUTE(A204,"?",""),"*",""))))</f>
        <v/>
      </c>
      <c r="N204">
        <f>IF(M204="","",IF(SUMPRODUCT(ISNUMBER(SEARCH(" "&amp;Settings!$L$5:$L$124&amp;" "," "&amp;M204&amp;" "))*(Settings!$K$5:$K$124="Navigational")*(Settings!$L$5:$L$124&lt;&gt;""))&gt;0,"Navigational",IF(SUMPRODUCT(ISNUMBER(SEARCH(" "&amp;Settings!$L$5:$L$124&amp;" "," "&amp;M204&amp;" "))*(Settings!$K$5:$K$124="Transactional")*(Settings!$L$5:$L$124&lt;&gt;""))&gt;0,"Transactional",IF(SUMPRODUCT(ISNUMBER(SEARCH(" "&amp;Settings!$L$5:$L$124&amp;" "," "&amp;M204&amp;" "))*(Settings!$K$5:$K$124="Commercial")*(Settings!$L$5:$L$124&lt;&gt;""))&gt;0,"Commercial",IF(SUMPRODUCT(ISNUMBER(SEARCH(" "&amp;Settings!$L$5:$L$124&amp;" "," "&amp;M204&amp;" "))*(Settings!$K$5:$K$124="Informational")*(Settings!$L$5:$L$124&lt;&gt;""))&gt;0,"Informational","Unclassified")))))</f>
        <v/>
      </c>
      <c r="O204">
        <f>IF(A204="","",IF(K204&lt;&gt;"",PROPER(K204),N204))</f>
        <v/>
      </c>
      <c r="P204">
        <f>IF(A204="","",ROUND(Settings!$B$5*MIN(1,LOG10(N(C204)+1)/LOG10(Settings!$B$7+1))+Settings!$B$6*(1-MIN(100,IF(D204="",50,N(D204)))/100)+IFERROR(INDEX(Settings!$B$10:$B$14,MATCH(O204,Settings!$A$10:$A$14,0)),0),0))</f>
        <v/>
      </c>
      <c r="Q204">
        <f>IF(OR(A204="",G204=""),"",COUNTIFS($M$3:$M$1002,M204,$G$3:$G$1002,"&lt;&gt;"&amp;SUBSTITUTE(SUBSTITUTE(G204,"?","~?"),"*","~*"),$G$3:$G$1002,"?*"))</f>
        <v/>
      </c>
      <c r="R204">
        <f>IF(Q204="","",IF(Q204&gt;0,"Yes","No"))</f>
        <v/>
      </c>
      <c r="S204">
        <f>IF(G204="","",COUNTIFS($G$3:$G$1002,SUBSTITUTE(SUBSTITUTE(G204,"?","~?"),"*","~*"),$J$3:$J$1002,"Primary"))</f>
        <v/>
      </c>
      <c r="T204">
        <f>IF(S204="","",IF(S204&gt;Settings!$B$4,"Yes","No"))</f>
        <v/>
      </c>
      <c r="U204">
        <f>IF(OR(G204="",B204=""),"",IF(COUNTIFS($G$3:$G$1002,SUBSTITUTE(SUBSTITUTE(G204,"?","~?"),"*","~*"),$B$3:$B$1002,"&lt;&gt;"&amp;SUBSTITUTE(SUBSTITUTE(B204,"?","~?"),"*","~*"),$B$3:$B$1002,"?*")&gt;0,"Yes","No"))</f>
        <v/>
      </c>
      <c r="V204">
        <f>IF(OR(G204="",I204="",O204="",O204="Unclassified"),"",IFERROR(INDEX(Settings!$E$5:$H$16,MATCH(I204,Settings!$D$5:$D$16,0),MATCH(O204,Settings!$E$4:$H$4,0)),"Check"))</f>
        <v/>
      </c>
      <c r="W204">
        <f>IF(V204="","",IF(V204="No","Yes","No"))</f>
        <v/>
      </c>
      <c r="X204">
        <f>IF(OR(E204="",G204=""),"",IF(LOWER(IF(RIGHT(TRIM(E204),1)="/",LEFT(TRIM(E204),LEN(TRIM(E204))-1),TRIM(E204)))&lt;&gt;LOWER(IF(RIGHT(TRIM(G204),1)="/",LEFT(TRIM(G204),LEN(TRIM(G204))-1),TRIM(G204))),"Yes","No"))</f>
        <v/>
      </c>
      <c r="Y204">
        <f>IF(A204="","",(N(Q204)&gt;0)+(T204="Yes")+(U204="Yes")+(W204="Yes")+(X204="Yes"))</f>
        <v/>
      </c>
      <c r="Z204">
        <f>IF(A204="","",IF(G204="","Not mapped",IF(Y204=0,"OK",MID(IF(N(Q204)&gt;0,"; Cannibalisation","")&amp;IF(T204="Yes","; Too many primary keywords on URL","")&amp;IF(U204="Yes","; URL spans 2+ clusters","")&amp;IF(W204="Yes","; Intent mismatch","")&amp;IF(X204="Yes","; Ranking URL is not the target",""),3,300))))</f>
        <v/>
      </c>
      <c r="AA204">
        <f>IF(G204="","",IF(COUNTIF($G$3:G204,SUBSTITUTE(SUBSTITUTE(G204,"?","~?"),"*","~*"))=1,MAX($AA$2:AA203)+1,""))</f>
        <v/>
      </c>
      <c r="AB204">
        <f>IF(B204="","",IF(COUNTIF($B$3:B204,SUBSTITUTE(SUBSTITUTE(B204,"?","~?"),"*","~*"))=1,MAX($AB$2:AB203)+1,""))</f>
        <v/>
      </c>
    </row>
    <row r="205">
      <c r="M205">
        <f>IF(A205="","",LOWER(TRIM(SUBSTITUTE(SUBSTITUTE(A205,"?",""),"*",""))))</f>
        <v/>
      </c>
      <c r="N205">
        <f>IF(M205="","",IF(SUMPRODUCT(ISNUMBER(SEARCH(" "&amp;Settings!$L$5:$L$124&amp;" "," "&amp;M205&amp;" "))*(Settings!$K$5:$K$124="Navigational")*(Settings!$L$5:$L$124&lt;&gt;""))&gt;0,"Navigational",IF(SUMPRODUCT(ISNUMBER(SEARCH(" "&amp;Settings!$L$5:$L$124&amp;" "," "&amp;M205&amp;" "))*(Settings!$K$5:$K$124="Transactional")*(Settings!$L$5:$L$124&lt;&gt;""))&gt;0,"Transactional",IF(SUMPRODUCT(ISNUMBER(SEARCH(" "&amp;Settings!$L$5:$L$124&amp;" "," "&amp;M205&amp;" "))*(Settings!$K$5:$K$124="Commercial")*(Settings!$L$5:$L$124&lt;&gt;""))&gt;0,"Commercial",IF(SUMPRODUCT(ISNUMBER(SEARCH(" "&amp;Settings!$L$5:$L$124&amp;" "," "&amp;M205&amp;" "))*(Settings!$K$5:$K$124="Informational")*(Settings!$L$5:$L$124&lt;&gt;""))&gt;0,"Informational","Unclassified")))))</f>
        <v/>
      </c>
      <c r="O205">
        <f>IF(A205="","",IF(K205&lt;&gt;"",PROPER(K205),N205))</f>
        <v/>
      </c>
      <c r="P205">
        <f>IF(A205="","",ROUND(Settings!$B$5*MIN(1,LOG10(N(C205)+1)/LOG10(Settings!$B$7+1))+Settings!$B$6*(1-MIN(100,IF(D205="",50,N(D205)))/100)+IFERROR(INDEX(Settings!$B$10:$B$14,MATCH(O205,Settings!$A$10:$A$14,0)),0),0))</f>
        <v/>
      </c>
      <c r="Q205">
        <f>IF(OR(A205="",G205=""),"",COUNTIFS($M$3:$M$1002,M205,$G$3:$G$1002,"&lt;&gt;"&amp;SUBSTITUTE(SUBSTITUTE(G205,"?","~?"),"*","~*"),$G$3:$G$1002,"?*"))</f>
        <v/>
      </c>
      <c r="R205">
        <f>IF(Q205="","",IF(Q205&gt;0,"Yes","No"))</f>
        <v/>
      </c>
      <c r="S205">
        <f>IF(G205="","",COUNTIFS($G$3:$G$1002,SUBSTITUTE(SUBSTITUTE(G205,"?","~?"),"*","~*"),$J$3:$J$1002,"Primary"))</f>
        <v/>
      </c>
      <c r="T205">
        <f>IF(S205="","",IF(S205&gt;Settings!$B$4,"Yes","No"))</f>
        <v/>
      </c>
      <c r="U205">
        <f>IF(OR(G205="",B205=""),"",IF(COUNTIFS($G$3:$G$1002,SUBSTITUTE(SUBSTITUTE(G205,"?","~?"),"*","~*"),$B$3:$B$1002,"&lt;&gt;"&amp;SUBSTITUTE(SUBSTITUTE(B205,"?","~?"),"*","~*"),$B$3:$B$1002,"?*")&gt;0,"Yes","No"))</f>
        <v/>
      </c>
      <c r="V205">
        <f>IF(OR(G205="",I205="",O205="",O205="Unclassified"),"",IFERROR(INDEX(Settings!$E$5:$H$16,MATCH(I205,Settings!$D$5:$D$16,0),MATCH(O205,Settings!$E$4:$H$4,0)),"Check"))</f>
        <v/>
      </c>
      <c r="W205">
        <f>IF(V205="","",IF(V205="No","Yes","No"))</f>
        <v/>
      </c>
      <c r="X205">
        <f>IF(OR(E205="",G205=""),"",IF(LOWER(IF(RIGHT(TRIM(E205),1)="/",LEFT(TRIM(E205),LEN(TRIM(E205))-1),TRIM(E205)))&lt;&gt;LOWER(IF(RIGHT(TRIM(G205),1)="/",LEFT(TRIM(G205),LEN(TRIM(G205))-1),TRIM(G205))),"Yes","No"))</f>
        <v/>
      </c>
      <c r="Y205">
        <f>IF(A205="","",(N(Q205)&gt;0)+(T205="Yes")+(U205="Yes")+(W205="Yes")+(X205="Yes"))</f>
        <v/>
      </c>
      <c r="Z205">
        <f>IF(A205="","",IF(G205="","Not mapped",IF(Y205=0,"OK",MID(IF(N(Q205)&gt;0,"; Cannibalisation","")&amp;IF(T205="Yes","; Too many primary keywords on URL","")&amp;IF(U205="Yes","; URL spans 2+ clusters","")&amp;IF(W205="Yes","; Intent mismatch","")&amp;IF(X205="Yes","; Ranking URL is not the target",""),3,300))))</f>
        <v/>
      </c>
      <c r="AA205">
        <f>IF(G205="","",IF(COUNTIF($G$3:G205,SUBSTITUTE(SUBSTITUTE(G205,"?","~?"),"*","~*"))=1,MAX($AA$2:AA204)+1,""))</f>
        <v/>
      </c>
      <c r="AB205">
        <f>IF(B205="","",IF(COUNTIF($B$3:B205,SUBSTITUTE(SUBSTITUTE(B205,"?","~?"),"*","~*"))=1,MAX($AB$2:AB204)+1,""))</f>
        <v/>
      </c>
    </row>
    <row r="206">
      <c r="M206">
        <f>IF(A206="","",LOWER(TRIM(SUBSTITUTE(SUBSTITUTE(A206,"?",""),"*",""))))</f>
        <v/>
      </c>
      <c r="N206">
        <f>IF(M206="","",IF(SUMPRODUCT(ISNUMBER(SEARCH(" "&amp;Settings!$L$5:$L$124&amp;" "," "&amp;M206&amp;" "))*(Settings!$K$5:$K$124="Navigational")*(Settings!$L$5:$L$124&lt;&gt;""))&gt;0,"Navigational",IF(SUMPRODUCT(ISNUMBER(SEARCH(" "&amp;Settings!$L$5:$L$124&amp;" "," "&amp;M206&amp;" "))*(Settings!$K$5:$K$124="Transactional")*(Settings!$L$5:$L$124&lt;&gt;""))&gt;0,"Transactional",IF(SUMPRODUCT(ISNUMBER(SEARCH(" "&amp;Settings!$L$5:$L$124&amp;" "," "&amp;M206&amp;" "))*(Settings!$K$5:$K$124="Commercial")*(Settings!$L$5:$L$124&lt;&gt;""))&gt;0,"Commercial",IF(SUMPRODUCT(ISNUMBER(SEARCH(" "&amp;Settings!$L$5:$L$124&amp;" "," "&amp;M206&amp;" "))*(Settings!$K$5:$K$124="Informational")*(Settings!$L$5:$L$124&lt;&gt;""))&gt;0,"Informational","Unclassified")))))</f>
        <v/>
      </c>
      <c r="O206">
        <f>IF(A206="","",IF(K206&lt;&gt;"",PROPER(K206),N206))</f>
        <v/>
      </c>
      <c r="P206">
        <f>IF(A206="","",ROUND(Settings!$B$5*MIN(1,LOG10(N(C206)+1)/LOG10(Settings!$B$7+1))+Settings!$B$6*(1-MIN(100,IF(D206="",50,N(D206)))/100)+IFERROR(INDEX(Settings!$B$10:$B$14,MATCH(O206,Settings!$A$10:$A$14,0)),0),0))</f>
        <v/>
      </c>
      <c r="Q206">
        <f>IF(OR(A206="",G206=""),"",COUNTIFS($M$3:$M$1002,M206,$G$3:$G$1002,"&lt;&gt;"&amp;SUBSTITUTE(SUBSTITUTE(G206,"?","~?"),"*","~*"),$G$3:$G$1002,"?*"))</f>
        <v/>
      </c>
      <c r="R206">
        <f>IF(Q206="","",IF(Q206&gt;0,"Yes","No"))</f>
        <v/>
      </c>
      <c r="S206">
        <f>IF(G206="","",COUNTIFS($G$3:$G$1002,SUBSTITUTE(SUBSTITUTE(G206,"?","~?"),"*","~*"),$J$3:$J$1002,"Primary"))</f>
        <v/>
      </c>
      <c r="T206">
        <f>IF(S206="","",IF(S206&gt;Settings!$B$4,"Yes","No"))</f>
        <v/>
      </c>
      <c r="U206">
        <f>IF(OR(G206="",B206=""),"",IF(COUNTIFS($G$3:$G$1002,SUBSTITUTE(SUBSTITUTE(G206,"?","~?"),"*","~*"),$B$3:$B$1002,"&lt;&gt;"&amp;SUBSTITUTE(SUBSTITUTE(B206,"?","~?"),"*","~*"),$B$3:$B$1002,"?*")&gt;0,"Yes","No"))</f>
        <v/>
      </c>
      <c r="V206">
        <f>IF(OR(G206="",I206="",O206="",O206="Unclassified"),"",IFERROR(INDEX(Settings!$E$5:$H$16,MATCH(I206,Settings!$D$5:$D$16,0),MATCH(O206,Settings!$E$4:$H$4,0)),"Check"))</f>
        <v/>
      </c>
      <c r="W206">
        <f>IF(V206="","",IF(V206="No","Yes","No"))</f>
        <v/>
      </c>
      <c r="X206">
        <f>IF(OR(E206="",G206=""),"",IF(LOWER(IF(RIGHT(TRIM(E206),1)="/",LEFT(TRIM(E206),LEN(TRIM(E206))-1),TRIM(E206)))&lt;&gt;LOWER(IF(RIGHT(TRIM(G206),1)="/",LEFT(TRIM(G206),LEN(TRIM(G206))-1),TRIM(G206))),"Yes","No"))</f>
        <v/>
      </c>
      <c r="Y206">
        <f>IF(A206="","",(N(Q206)&gt;0)+(T206="Yes")+(U206="Yes")+(W206="Yes")+(X206="Yes"))</f>
        <v/>
      </c>
      <c r="Z206">
        <f>IF(A206="","",IF(G206="","Not mapped",IF(Y206=0,"OK",MID(IF(N(Q206)&gt;0,"; Cannibalisation","")&amp;IF(T206="Yes","; Too many primary keywords on URL","")&amp;IF(U206="Yes","; URL spans 2+ clusters","")&amp;IF(W206="Yes","; Intent mismatch","")&amp;IF(X206="Yes","; Ranking URL is not the target",""),3,300))))</f>
        <v/>
      </c>
      <c r="AA206">
        <f>IF(G206="","",IF(COUNTIF($G$3:G206,SUBSTITUTE(SUBSTITUTE(G206,"?","~?"),"*","~*"))=1,MAX($AA$2:AA205)+1,""))</f>
        <v/>
      </c>
      <c r="AB206">
        <f>IF(B206="","",IF(COUNTIF($B$3:B206,SUBSTITUTE(SUBSTITUTE(B206,"?","~?"),"*","~*"))=1,MAX($AB$2:AB205)+1,""))</f>
        <v/>
      </c>
    </row>
    <row r="207">
      <c r="M207">
        <f>IF(A207="","",LOWER(TRIM(SUBSTITUTE(SUBSTITUTE(A207,"?",""),"*",""))))</f>
        <v/>
      </c>
      <c r="N207">
        <f>IF(M207="","",IF(SUMPRODUCT(ISNUMBER(SEARCH(" "&amp;Settings!$L$5:$L$124&amp;" "," "&amp;M207&amp;" "))*(Settings!$K$5:$K$124="Navigational")*(Settings!$L$5:$L$124&lt;&gt;""))&gt;0,"Navigational",IF(SUMPRODUCT(ISNUMBER(SEARCH(" "&amp;Settings!$L$5:$L$124&amp;" "," "&amp;M207&amp;" "))*(Settings!$K$5:$K$124="Transactional")*(Settings!$L$5:$L$124&lt;&gt;""))&gt;0,"Transactional",IF(SUMPRODUCT(ISNUMBER(SEARCH(" "&amp;Settings!$L$5:$L$124&amp;" "," "&amp;M207&amp;" "))*(Settings!$K$5:$K$124="Commercial")*(Settings!$L$5:$L$124&lt;&gt;""))&gt;0,"Commercial",IF(SUMPRODUCT(ISNUMBER(SEARCH(" "&amp;Settings!$L$5:$L$124&amp;" "," "&amp;M207&amp;" "))*(Settings!$K$5:$K$124="Informational")*(Settings!$L$5:$L$124&lt;&gt;""))&gt;0,"Informational","Unclassified")))))</f>
        <v/>
      </c>
      <c r="O207">
        <f>IF(A207="","",IF(K207&lt;&gt;"",PROPER(K207),N207))</f>
        <v/>
      </c>
      <c r="P207">
        <f>IF(A207="","",ROUND(Settings!$B$5*MIN(1,LOG10(N(C207)+1)/LOG10(Settings!$B$7+1))+Settings!$B$6*(1-MIN(100,IF(D207="",50,N(D207)))/100)+IFERROR(INDEX(Settings!$B$10:$B$14,MATCH(O207,Settings!$A$10:$A$14,0)),0),0))</f>
        <v/>
      </c>
      <c r="Q207">
        <f>IF(OR(A207="",G207=""),"",COUNTIFS($M$3:$M$1002,M207,$G$3:$G$1002,"&lt;&gt;"&amp;SUBSTITUTE(SUBSTITUTE(G207,"?","~?"),"*","~*"),$G$3:$G$1002,"?*"))</f>
        <v/>
      </c>
      <c r="R207">
        <f>IF(Q207="","",IF(Q207&gt;0,"Yes","No"))</f>
        <v/>
      </c>
      <c r="S207">
        <f>IF(G207="","",COUNTIFS($G$3:$G$1002,SUBSTITUTE(SUBSTITUTE(G207,"?","~?"),"*","~*"),$J$3:$J$1002,"Primary"))</f>
        <v/>
      </c>
      <c r="T207">
        <f>IF(S207="","",IF(S207&gt;Settings!$B$4,"Yes","No"))</f>
        <v/>
      </c>
      <c r="U207">
        <f>IF(OR(G207="",B207=""),"",IF(COUNTIFS($G$3:$G$1002,SUBSTITUTE(SUBSTITUTE(G207,"?","~?"),"*","~*"),$B$3:$B$1002,"&lt;&gt;"&amp;SUBSTITUTE(SUBSTITUTE(B207,"?","~?"),"*","~*"),$B$3:$B$1002,"?*")&gt;0,"Yes","No"))</f>
        <v/>
      </c>
      <c r="V207">
        <f>IF(OR(G207="",I207="",O207="",O207="Unclassified"),"",IFERROR(INDEX(Settings!$E$5:$H$16,MATCH(I207,Settings!$D$5:$D$16,0),MATCH(O207,Settings!$E$4:$H$4,0)),"Check"))</f>
        <v/>
      </c>
      <c r="W207">
        <f>IF(V207="","",IF(V207="No","Yes","No"))</f>
        <v/>
      </c>
      <c r="X207">
        <f>IF(OR(E207="",G207=""),"",IF(LOWER(IF(RIGHT(TRIM(E207),1)="/",LEFT(TRIM(E207),LEN(TRIM(E207))-1),TRIM(E207)))&lt;&gt;LOWER(IF(RIGHT(TRIM(G207),1)="/",LEFT(TRIM(G207),LEN(TRIM(G207))-1),TRIM(G207))),"Yes","No"))</f>
        <v/>
      </c>
      <c r="Y207">
        <f>IF(A207="","",(N(Q207)&gt;0)+(T207="Yes")+(U207="Yes")+(W207="Yes")+(X207="Yes"))</f>
        <v/>
      </c>
      <c r="Z207">
        <f>IF(A207="","",IF(G207="","Not mapped",IF(Y207=0,"OK",MID(IF(N(Q207)&gt;0,"; Cannibalisation","")&amp;IF(T207="Yes","; Too many primary keywords on URL","")&amp;IF(U207="Yes","; URL spans 2+ clusters","")&amp;IF(W207="Yes","; Intent mismatch","")&amp;IF(X207="Yes","; Ranking URL is not the target",""),3,300))))</f>
        <v/>
      </c>
      <c r="AA207">
        <f>IF(G207="","",IF(COUNTIF($G$3:G207,SUBSTITUTE(SUBSTITUTE(G207,"?","~?"),"*","~*"))=1,MAX($AA$2:AA206)+1,""))</f>
        <v/>
      </c>
      <c r="AB207">
        <f>IF(B207="","",IF(COUNTIF($B$3:B207,SUBSTITUTE(SUBSTITUTE(B207,"?","~?"),"*","~*"))=1,MAX($AB$2:AB206)+1,""))</f>
        <v/>
      </c>
    </row>
    <row r="208">
      <c r="M208">
        <f>IF(A208="","",LOWER(TRIM(SUBSTITUTE(SUBSTITUTE(A208,"?",""),"*",""))))</f>
        <v/>
      </c>
      <c r="N208">
        <f>IF(M208="","",IF(SUMPRODUCT(ISNUMBER(SEARCH(" "&amp;Settings!$L$5:$L$124&amp;" "," "&amp;M208&amp;" "))*(Settings!$K$5:$K$124="Navigational")*(Settings!$L$5:$L$124&lt;&gt;""))&gt;0,"Navigational",IF(SUMPRODUCT(ISNUMBER(SEARCH(" "&amp;Settings!$L$5:$L$124&amp;" "," "&amp;M208&amp;" "))*(Settings!$K$5:$K$124="Transactional")*(Settings!$L$5:$L$124&lt;&gt;""))&gt;0,"Transactional",IF(SUMPRODUCT(ISNUMBER(SEARCH(" "&amp;Settings!$L$5:$L$124&amp;" "," "&amp;M208&amp;" "))*(Settings!$K$5:$K$124="Commercial")*(Settings!$L$5:$L$124&lt;&gt;""))&gt;0,"Commercial",IF(SUMPRODUCT(ISNUMBER(SEARCH(" "&amp;Settings!$L$5:$L$124&amp;" "," "&amp;M208&amp;" "))*(Settings!$K$5:$K$124="Informational")*(Settings!$L$5:$L$124&lt;&gt;""))&gt;0,"Informational","Unclassified")))))</f>
        <v/>
      </c>
      <c r="O208">
        <f>IF(A208="","",IF(K208&lt;&gt;"",PROPER(K208),N208))</f>
        <v/>
      </c>
      <c r="P208">
        <f>IF(A208="","",ROUND(Settings!$B$5*MIN(1,LOG10(N(C208)+1)/LOG10(Settings!$B$7+1))+Settings!$B$6*(1-MIN(100,IF(D208="",50,N(D208)))/100)+IFERROR(INDEX(Settings!$B$10:$B$14,MATCH(O208,Settings!$A$10:$A$14,0)),0),0))</f>
        <v/>
      </c>
      <c r="Q208">
        <f>IF(OR(A208="",G208=""),"",COUNTIFS($M$3:$M$1002,M208,$G$3:$G$1002,"&lt;&gt;"&amp;SUBSTITUTE(SUBSTITUTE(G208,"?","~?"),"*","~*"),$G$3:$G$1002,"?*"))</f>
        <v/>
      </c>
      <c r="R208">
        <f>IF(Q208="","",IF(Q208&gt;0,"Yes","No"))</f>
        <v/>
      </c>
      <c r="S208">
        <f>IF(G208="","",COUNTIFS($G$3:$G$1002,SUBSTITUTE(SUBSTITUTE(G208,"?","~?"),"*","~*"),$J$3:$J$1002,"Primary"))</f>
        <v/>
      </c>
      <c r="T208">
        <f>IF(S208="","",IF(S208&gt;Settings!$B$4,"Yes","No"))</f>
        <v/>
      </c>
      <c r="U208">
        <f>IF(OR(G208="",B208=""),"",IF(COUNTIFS($G$3:$G$1002,SUBSTITUTE(SUBSTITUTE(G208,"?","~?"),"*","~*"),$B$3:$B$1002,"&lt;&gt;"&amp;SUBSTITUTE(SUBSTITUTE(B208,"?","~?"),"*","~*"),$B$3:$B$1002,"?*")&gt;0,"Yes","No"))</f>
        <v/>
      </c>
      <c r="V208">
        <f>IF(OR(G208="",I208="",O208="",O208="Unclassified"),"",IFERROR(INDEX(Settings!$E$5:$H$16,MATCH(I208,Settings!$D$5:$D$16,0),MATCH(O208,Settings!$E$4:$H$4,0)),"Check"))</f>
        <v/>
      </c>
      <c r="W208">
        <f>IF(V208="","",IF(V208="No","Yes","No"))</f>
        <v/>
      </c>
      <c r="X208">
        <f>IF(OR(E208="",G208=""),"",IF(LOWER(IF(RIGHT(TRIM(E208),1)="/",LEFT(TRIM(E208),LEN(TRIM(E208))-1),TRIM(E208)))&lt;&gt;LOWER(IF(RIGHT(TRIM(G208),1)="/",LEFT(TRIM(G208),LEN(TRIM(G208))-1),TRIM(G208))),"Yes","No"))</f>
        <v/>
      </c>
      <c r="Y208">
        <f>IF(A208="","",(N(Q208)&gt;0)+(T208="Yes")+(U208="Yes")+(W208="Yes")+(X208="Yes"))</f>
        <v/>
      </c>
      <c r="Z208">
        <f>IF(A208="","",IF(G208="","Not mapped",IF(Y208=0,"OK",MID(IF(N(Q208)&gt;0,"; Cannibalisation","")&amp;IF(T208="Yes","; Too many primary keywords on URL","")&amp;IF(U208="Yes","; URL spans 2+ clusters","")&amp;IF(W208="Yes","; Intent mismatch","")&amp;IF(X208="Yes","; Ranking URL is not the target",""),3,300))))</f>
        <v/>
      </c>
      <c r="AA208">
        <f>IF(G208="","",IF(COUNTIF($G$3:G208,SUBSTITUTE(SUBSTITUTE(G208,"?","~?"),"*","~*"))=1,MAX($AA$2:AA207)+1,""))</f>
        <v/>
      </c>
      <c r="AB208">
        <f>IF(B208="","",IF(COUNTIF($B$3:B208,SUBSTITUTE(SUBSTITUTE(B208,"?","~?"),"*","~*"))=1,MAX($AB$2:AB207)+1,""))</f>
        <v/>
      </c>
    </row>
    <row r="209">
      <c r="M209">
        <f>IF(A209="","",LOWER(TRIM(SUBSTITUTE(SUBSTITUTE(A209,"?",""),"*",""))))</f>
        <v/>
      </c>
      <c r="N209">
        <f>IF(M209="","",IF(SUMPRODUCT(ISNUMBER(SEARCH(" "&amp;Settings!$L$5:$L$124&amp;" "," "&amp;M209&amp;" "))*(Settings!$K$5:$K$124="Navigational")*(Settings!$L$5:$L$124&lt;&gt;""))&gt;0,"Navigational",IF(SUMPRODUCT(ISNUMBER(SEARCH(" "&amp;Settings!$L$5:$L$124&amp;" "," "&amp;M209&amp;" "))*(Settings!$K$5:$K$124="Transactional")*(Settings!$L$5:$L$124&lt;&gt;""))&gt;0,"Transactional",IF(SUMPRODUCT(ISNUMBER(SEARCH(" "&amp;Settings!$L$5:$L$124&amp;" "," "&amp;M209&amp;" "))*(Settings!$K$5:$K$124="Commercial")*(Settings!$L$5:$L$124&lt;&gt;""))&gt;0,"Commercial",IF(SUMPRODUCT(ISNUMBER(SEARCH(" "&amp;Settings!$L$5:$L$124&amp;" "," "&amp;M209&amp;" "))*(Settings!$K$5:$K$124="Informational")*(Settings!$L$5:$L$124&lt;&gt;""))&gt;0,"Informational","Unclassified")))))</f>
        <v/>
      </c>
      <c r="O209">
        <f>IF(A209="","",IF(K209&lt;&gt;"",PROPER(K209),N209))</f>
        <v/>
      </c>
      <c r="P209">
        <f>IF(A209="","",ROUND(Settings!$B$5*MIN(1,LOG10(N(C209)+1)/LOG10(Settings!$B$7+1))+Settings!$B$6*(1-MIN(100,IF(D209="",50,N(D209)))/100)+IFERROR(INDEX(Settings!$B$10:$B$14,MATCH(O209,Settings!$A$10:$A$14,0)),0),0))</f>
        <v/>
      </c>
      <c r="Q209">
        <f>IF(OR(A209="",G209=""),"",COUNTIFS($M$3:$M$1002,M209,$G$3:$G$1002,"&lt;&gt;"&amp;SUBSTITUTE(SUBSTITUTE(G209,"?","~?"),"*","~*"),$G$3:$G$1002,"?*"))</f>
        <v/>
      </c>
      <c r="R209">
        <f>IF(Q209="","",IF(Q209&gt;0,"Yes","No"))</f>
        <v/>
      </c>
      <c r="S209">
        <f>IF(G209="","",COUNTIFS($G$3:$G$1002,SUBSTITUTE(SUBSTITUTE(G209,"?","~?"),"*","~*"),$J$3:$J$1002,"Primary"))</f>
        <v/>
      </c>
      <c r="T209">
        <f>IF(S209="","",IF(S209&gt;Settings!$B$4,"Yes","No"))</f>
        <v/>
      </c>
      <c r="U209">
        <f>IF(OR(G209="",B209=""),"",IF(COUNTIFS($G$3:$G$1002,SUBSTITUTE(SUBSTITUTE(G209,"?","~?"),"*","~*"),$B$3:$B$1002,"&lt;&gt;"&amp;SUBSTITUTE(SUBSTITUTE(B209,"?","~?"),"*","~*"),$B$3:$B$1002,"?*")&gt;0,"Yes","No"))</f>
        <v/>
      </c>
      <c r="V209">
        <f>IF(OR(G209="",I209="",O209="",O209="Unclassified"),"",IFERROR(INDEX(Settings!$E$5:$H$16,MATCH(I209,Settings!$D$5:$D$16,0),MATCH(O209,Settings!$E$4:$H$4,0)),"Check"))</f>
        <v/>
      </c>
      <c r="W209">
        <f>IF(V209="","",IF(V209="No","Yes","No"))</f>
        <v/>
      </c>
      <c r="X209">
        <f>IF(OR(E209="",G209=""),"",IF(LOWER(IF(RIGHT(TRIM(E209),1)="/",LEFT(TRIM(E209),LEN(TRIM(E209))-1),TRIM(E209)))&lt;&gt;LOWER(IF(RIGHT(TRIM(G209),1)="/",LEFT(TRIM(G209),LEN(TRIM(G209))-1),TRIM(G209))),"Yes","No"))</f>
        <v/>
      </c>
      <c r="Y209">
        <f>IF(A209="","",(N(Q209)&gt;0)+(T209="Yes")+(U209="Yes")+(W209="Yes")+(X209="Yes"))</f>
        <v/>
      </c>
      <c r="Z209">
        <f>IF(A209="","",IF(G209="","Not mapped",IF(Y209=0,"OK",MID(IF(N(Q209)&gt;0,"; Cannibalisation","")&amp;IF(T209="Yes","; Too many primary keywords on URL","")&amp;IF(U209="Yes","; URL spans 2+ clusters","")&amp;IF(W209="Yes","; Intent mismatch","")&amp;IF(X209="Yes","; Ranking URL is not the target",""),3,300))))</f>
        <v/>
      </c>
      <c r="AA209">
        <f>IF(G209="","",IF(COUNTIF($G$3:G209,SUBSTITUTE(SUBSTITUTE(G209,"?","~?"),"*","~*"))=1,MAX($AA$2:AA208)+1,""))</f>
        <v/>
      </c>
      <c r="AB209">
        <f>IF(B209="","",IF(COUNTIF($B$3:B209,SUBSTITUTE(SUBSTITUTE(B209,"?","~?"),"*","~*"))=1,MAX($AB$2:AB208)+1,""))</f>
        <v/>
      </c>
    </row>
    <row r="210">
      <c r="M210">
        <f>IF(A210="","",LOWER(TRIM(SUBSTITUTE(SUBSTITUTE(A210,"?",""),"*",""))))</f>
        <v/>
      </c>
      <c r="N210">
        <f>IF(M210="","",IF(SUMPRODUCT(ISNUMBER(SEARCH(" "&amp;Settings!$L$5:$L$124&amp;" "," "&amp;M210&amp;" "))*(Settings!$K$5:$K$124="Navigational")*(Settings!$L$5:$L$124&lt;&gt;""))&gt;0,"Navigational",IF(SUMPRODUCT(ISNUMBER(SEARCH(" "&amp;Settings!$L$5:$L$124&amp;" "," "&amp;M210&amp;" "))*(Settings!$K$5:$K$124="Transactional")*(Settings!$L$5:$L$124&lt;&gt;""))&gt;0,"Transactional",IF(SUMPRODUCT(ISNUMBER(SEARCH(" "&amp;Settings!$L$5:$L$124&amp;" "," "&amp;M210&amp;" "))*(Settings!$K$5:$K$124="Commercial")*(Settings!$L$5:$L$124&lt;&gt;""))&gt;0,"Commercial",IF(SUMPRODUCT(ISNUMBER(SEARCH(" "&amp;Settings!$L$5:$L$124&amp;" "," "&amp;M210&amp;" "))*(Settings!$K$5:$K$124="Informational")*(Settings!$L$5:$L$124&lt;&gt;""))&gt;0,"Informational","Unclassified")))))</f>
        <v/>
      </c>
      <c r="O210">
        <f>IF(A210="","",IF(K210&lt;&gt;"",PROPER(K210),N210))</f>
        <v/>
      </c>
      <c r="P210">
        <f>IF(A210="","",ROUND(Settings!$B$5*MIN(1,LOG10(N(C210)+1)/LOG10(Settings!$B$7+1))+Settings!$B$6*(1-MIN(100,IF(D210="",50,N(D210)))/100)+IFERROR(INDEX(Settings!$B$10:$B$14,MATCH(O210,Settings!$A$10:$A$14,0)),0),0))</f>
        <v/>
      </c>
      <c r="Q210">
        <f>IF(OR(A210="",G210=""),"",COUNTIFS($M$3:$M$1002,M210,$G$3:$G$1002,"&lt;&gt;"&amp;SUBSTITUTE(SUBSTITUTE(G210,"?","~?"),"*","~*"),$G$3:$G$1002,"?*"))</f>
        <v/>
      </c>
      <c r="R210">
        <f>IF(Q210="","",IF(Q210&gt;0,"Yes","No"))</f>
        <v/>
      </c>
      <c r="S210">
        <f>IF(G210="","",COUNTIFS($G$3:$G$1002,SUBSTITUTE(SUBSTITUTE(G210,"?","~?"),"*","~*"),$J$3:$J$1002,"Primary"))</f>
        <v/>
      </c>
      <c r="T210">
        <f>IF(S210="","",IF(S210&gt;Settings!$B$4,"Yes","No"))</f>
        <v/>
      </c>
      <c r="U210">
        <f>IF(OR(G210="",B210=""),"",IF(COUNTIFS($G$3:$G$1002,SUBSTITUTE(SUBSTITUTE(G210,"?","~?"),"*","~*"),$B$3:$B$1002,"&lt;&gt;"&amp;SUBSTITUTE(SUBSTITUTE(B210,"?","~?"),"*","~*"),$B$3:$B$1002,"?*")&gt;0,"Yes","No"))</f>
        <v/>
      </c>
      <c r="V210">
        <f>IF(OR(G210="",I210="",O210="",O210="Unclassified"),"",IFERROR(INDEX(Settings!$E$5:$H$16,MATCH(I210,Settings!$D$5:$D$16,0),MATCH(O210,Settings!$E$4:$H$4,0)),"Check"))</f>
        <v/>
      </c>
      <c r="W210">
        <f>IF(V210="","",IF(V210="No","Yes","No"))</f>
        <v/>
      </c>
      <c r="X210">
        <f>IF(OR(E210="",G210=""),"",IF(LOWER(IF(RIGHT(TRIM(E210),1)="/",LEFT(TRIM(E210),LEN(TRIM(E210))-1),TRIM(E210)))&lt;&gt;LOWER(IF(RIGHT(TRIM(G210),1)="/",LEFT(TRIM(G210),LEN(TRIM(G210))-1),TRIM(G210))),"Yes","No"))</f>
        <v/>
      </c>
      <c r="Y210">
        <f>IF(A210="","",(N(Q210)&gt;0)+(T210="Yes")+(U210="Yes")+(W210="Yes")+(X210="Yes"))</f>
        <v/>
      </c>
      <c r="Z210">
        <f>IF(A210="","",IF(G210="","Not mapped",IF(Y210=0,"OK",MID(IF(N(Q210)&gt;0,"; Cannibalisation","")&amp;IF(T210="Yes","; Too many primary keywords on URL","")&amp;IF(U210="Yes","; URL spans 2+ clusters","")&amp;IF(W210="Yes","; Intent mismatch","")&amp;IF(X210="Yes","; Ranking URL is not the target",""),3,300))))</f>
        <v/>
      </c>
      <c r="AA210">
        <f>IF(G210="","",IF(COUNTIF($G$3:G210,SUBSTITUTE(SUBSTITUTE(G210,"?","~?"),"*","~*"))=1,MAX($AA$2:AA209)+1,""))</f>
        <v/>
      </c>
      <c r="AB210">
        <f>IF(B210="","",IF(COUNTIF($B$3:B210,SUBSTITUTE(SUBSTITUTE(B210,"?","~?"),"*","~*"))=1,MAX($AB$2:AB209)+1,""))</f>
        <v/>
      </c>
    </row>
    <row r="211">
      <c r="M211">
        <f>IF(A211="","",LOWER(TRIM(SUBSTITUTE(SUBSTITUTE(A211,"?",""),"*",""))))</f>
        <v/>
      </c>
      <c r="N211">
        <f>IF(M211="","",IF(SUMPRODUCT(ISNUMBER(SEARCH(" "&amp;Settings!$L$5:$L$124&amp;" "," "&amp;M211&amp;" "))*(Settings!$K$5:$K$124="Navigational")*(Settings!$L$5:$L$124&lt;&gt;""))&gt;0,"Navigational",IF(SUMPRODUCT(ISNUMBER(SEARCH(" "&amp;Settings!$L$5:$L$124&amp;" "," "&amp;M211&amp;" "))*(Settings!$K$5:$K$124="Transactional")*(Settings!$L$5:$L$124&lt;&gt;""))&gt;0,"Transactional",IF(SUMPRODUCT(ISNUMBER(SEARCH(" "&amp;Settings!$L$5:$L$124&amp;" "," "&amp;M211&amp;" "))*(Settings!$K$5:$K$124="Commercial")*(Settings!$L$5:$L$124&lt;&gt;""))&gt;0,"Commercial",IF(SUMPRODUCT(ISNUMBER(SEARCH(" "&amp;Settings!$L$5:$L$124&amp;" "," "&amp;M211&amp;" "))*(Settings!$K$5:$K$124="Informational")*(Settings!$L$5:$L$124&lt;&gt;""))&gt;0,"Informational","Unclassified")))))</f>
        <v/>
      </c>
      <c r="O211">
        <f>IF(A211="","",IF(K211&lt;&gt;"",PROPER(K211),N211))</f>
        <v/>
      </c>
      <c r="P211">
        <f>IF(A211="","",ROUND(Settings!$B$5*MIN(1,LOG10(N(C211)+1)/LOG10(Settings!$B$7+1))+Settings!$B$6*(1-MIN(100,IF(D211="",50,N(D211)))/100)+IFERROR(INDEX(Settings!$B$10:$B$14,MATCH(O211,Settings!$A$10:$A$14,0)),0),0))</f>
        <v/>
      </c>
      <c r="Q211">
        <f>IF(OR(A211="",G211=""),"",COUNTIFS($M$3:$M$1002,M211,$G$3:$G$1002,"&lt;&gt;"&amp;SUBSTITUTE(SUBSTITUTE(G211,"?","~?"),"*","~*"),$G$3:$G$1002,"?*"))</f>
        <v/>
      </c>
      <c r="R211">
        <f>IF(Q211="","",IF(Q211&gt;0,"Yes","No"))</f>
        <v/>
      </c>
      <c r="S211">
        <f>IF(G211="","",COUNTIFS($G$3:$G$1002,SUBSTITUTE(SUBSTITUTE(G211,"?","~?"),"*","~*"),$J$3:$J$1002,"Primary"))</f>
        <v/>
      </c>
      <c r="T211">
        <f>IF(S211="","",IF(S211&gt;Settings!$B$4,"Yes","No"))</f>
        <v/>
      </c>
      <c r="U211">
        <f>IF(OR(G211="",B211=""),"",IF(COUNTIFS($G$3:$G$1002,SUBSTITUTE(SUBSTITUTE(G211,"?","~?"),"*","~*"),$B$3:$B$1002,"&lt;&gt;"&amp;SUBSTITUTE(SUBSTITUTE(B211,"?","~?"),"*","~*"),$B$3:$B$1002,"?*")&gt;0,"Yes","No"))</f>
        <v/>
      </c>
      <c r="V211">
        <f>IF(OR(G211="",I211="",O211="",O211="Unclassified"),"",IFERROR(INDEX(Settings!$E$5:$H$16,MATCH(I211,Settings!$D$5:$D$16,0),MATCH(O211,Settings!$E$4:$H$4,0)),"Check"))</f>
        <v/>
      </c>
      <c r="W211">
        <f>IF(V211="","",IF(V211="No","Yes","No"))</f>
        <v/>
      </c>
      <c r="X211">
        <f>IF(OR(E211="",G211=""),"",IF(LOWER(IF(RIGHT(TRIM(E211),1)="/",LEFT(TRIM(E211),LEN(TRIM(E211))-1),TRIM(E211)))&lt;&gt;LOWER(IF(RIGHT(TRIM(G211),1)="/",LEFT(TRIM(G211),LEN(TRIM(G211))-1),TRIM(G211))),"Yes","No"))</f>
        <v/>
      </c>
      <c r="Y211">
        <f>IF(A211="","",(N(Q211)&gt;0)+(T211="Yes")+(U211="Yes")+(W211="Yes")+(X211="Yes"))</f>
        <v/>
      </c>
      <c r="Z211">
        <f>IF(A211="","",IF(G211="","Not mapped",IF(Y211=0,"OK",MID(IF(N(Q211)&gt;0,"; Cannibalisation","")&amp;IF(T211="Yes","; Too many primary keywords on URL","")&amp;IF(U211="Yes","; URL spans 2+ clusters","")&amp;IF(W211="Yes","; Intent mismatch","")&amp;IF(X211="Yes","; Ranking URL is not the target",""),3,300))))</f>
        <v/>
      </c>
      <c r="AA211">
        <f>IF(G211="","",IF(COUNTIF($G$3:G211,SUBSTITUTE(SUBSTITUTE(G211,"?","~?"),"*","~*"))=1,MAX($AA$2:AA210)+1,""))</f>
        <v/>
      </c>
      <c r="AB211">
        <f>IF(B211="","",IF(COUNTIF($B$3:B211,SUBSTITUTE(SUBSTITUTE(B211,"?","~?"),"*","~*"))=1,MAX($AB$2:AB210)+1,""))</f>
        <v/>
      </c>
    </row>
    <row r="212">
      <c r="M212">
        <f>IF(A212="","",LOWER(TRIM(SUBSTITUTE(SUBSTITUTE(A212,"?",""),"*",""))))</f>
        <v/>
      </c>
      <c r="N212">
        <f>IF(M212="","",IF(SUMPRODUCT(ISNUMBER(SEARCH(" "&amp;Settings!$L$5:$L$124&amp;" "," "&amp;M212&amp;" "))*(Settings!$K$5:$K$124="Navigational")*(Settings!$L$5:$L$124&lt;&gt;""))&gt;0,"Navigational",IF(SUMPRODUCT(ISNUMBER(SEARCH(" "&amp;Settings!$L$5:$L$124&amp;" "," "&amp;M212&amp;" "))*(Settings!$K$5:$K$124="Transactional")*(Settings!$L$5:$L$124&lt;&gt;""))&gt;0,"Transactional",IF(SUMPRODUCT(ISNUMBER(SEARCH(" "&amp;Settings!$L$5:$L$124&amp;" "," "&amp;M212&amp;" "))*(Settings!$K$5:$K$124="Commercial")*(Settings!$L$5:$L$124&lt;&gt;""))&gt;0,"Commercial",IF(SUMPRODUCT(ISNUMBER(SEARCH(" "&amp;Settings!$L$5:$L$124&amp;" "," "&amp;M212&amp;" "))*(Settings!$K$5:$K$124="Informational")*(Settings!$L$5:$L$124&lt;&gt;""))&gt;0,"Informational","Unclassified")))))</f>
        <v/>
      </c>
      <c r="O212">
        <f>IF(A212="","",IF(K212&lt;&gt;"",PROPER(K212),N212))</f>
        <v/>
      </c>
      <c r="P212">
        <f>IF(A212="","",ROUND(Settings!$B$5*MIN(1,LOG10(N(C212)+1)/LOG10(Settings!$B$7+1))+Settings!$B$6*(1-MIN(100,IF(D212="",50,N(D212)))/100)+IFERROR(INDEX(Settings!$B$10:$B$14,MATCH(O212,Settings!$A$10:$A$14,0)),0),0))</f>
        <v/>
      </c>
      <c r="Q212">
        <f>IF(OR(A212="",G212=""),"",COUNTIFS($M$3:$M$1002,M212,$G$3:$G$1002,"&lt;&gt;"&amp;SUBSTITUTE(SUBSTITUTE(G212,"?","~?"),"*","~*"),$G$3:$G$1002,"?*"))</f>
        <v/>
      </c>
      <c r="R212">
        <f>IF(Q212="","",IF(Q212&gt;0,"Yes","No"))</f>
        <v/>
      </c>
      <c r="S212">
        <f>IF(G212="","",COUNTIFS($G$3:$G$1002,SUBSTITUTE(SUBSTITUTE(G212,"?","~?"),"*","~*"),$J$3:$J$1002,"Primary"))</f>
        <v/>
      </c>
      <c r="T212">
        <f>IF(S212="","",IF(S212&gt;Settings!$B$4,"Yes","No"))</f>
        <v/>
      </c>
      <c r="U212">
        <f>IF(OR(G212="",B212=""),"",IF(COUNTIFS($G$3:$G$1002,SUBSTITUTE(SUBSTITUTE(G212,"?","~?"),"*","~*"),$B$3:$B$1002,"&lt;&gt;"&amp;SUBSTITUTE(SUBSTITUTE(B212,"?","~?"),"*","~*"),$B$3:$B$1002,"?*")&gt;0,"Yes","No"))</f>
        <v/>
      </c>
      <c r="V212">
        <f>IF(OR(G212="",I212="",O212="",O212="Unclassified"),"",IFERROR(INDEX(Settings!$E$5:$H$16,MATCH(I212,Settings!$D$5:$D$16,0),MATCH(O212,Settings!$E$4:$H$4,0)),"Check"))</f>
        <v/>
      </c>
      <c r="W212">
        <f>IF(V212="","",IF(V212="No","Yes","No"))</f>
        <v/>
      </c>
      <c r="X212">
        <f>IF(OR(E212="",G212=""),"",IF(LOWER(IF(RIGHT(TRIM(E212),1)="/",LEFT(TRIM(E212),LEN(TRIM(E212))-1),TRIM(E212)))&lt;&gt;LOWER(IF(RIGHT(TRIM(G212),1)="/",LEFT(TRIM(G212),LEN(TRIM(G212))-1),TRIM(G212))),"Yes","No"))</f>
        <v/>
      </c>
      <c r="Y212">
        <f>IF(A212="","",(N(Q212)&gt;0)+(T212="Yes")+(U212="Yes")+(W212="Yes")+(X212="Yes"))</f>
        <v/>
      </c>
      <c r="Z212">
        <f>IF(A212="","",IF(G212="","Not mapped",IF(Y212=0,"OK",MID(IF(N(Q212)&gt;0,"; Cannibalisation","")&amp;IF(T212="Yes","; Too many primary keywords on URL","")&amp;IF(U212="Yes","; URL spans 2+ clusters","")&amp;IF(W212="Yes","; Intent mismatch","")&amp;IF(X212="Yes","; Ranking URL is not the target",""),3,300))))</f>
        <v/>
      </c>
      <c r="AA212">
        <f>IF(G212="","",IF(COUNTIF($G$3:G212,SUBSTITUTE(SUBSTITUTE(G212,"?","~?"),"*","~*"))=1,MAX($AA$2:AA211)+1,""))</f>
        <v/>
      </c>
      <c r="AB212">
        <f>IF(B212="","",IF(COUNTIF($B$3:B212,SUBSTITUTE(SUBSTITUTE(B212,"?","~?"),"*","~*"))=1,MAX($AB$2:AB211)+1,""))</f>
        <v/>
      </c>
    </row>
    <row r="213">
      <c r="M213">
        <f>IF(A213="","",LOWER(TRIM(SUBSTITUTE(SUBSTITUTE(A213,"?",""),"*",""))))</f>
        <v/>
      </c>
      <c r="N213">
        <f>IF(M213="","",IF(SUMPRODUCT(ISNUMBER(SEARCH(" "&amp;Settings!$L$5:$L$124&amp;" "," "&amp;M213&amp;" "))*(Settings!$K$5:$K$124="Navigational")*(Settings!$L$5:$L$124&lt;&gt;""))&gt;0,"Navigational",IF(SUMPRODUCT(ISNUMBER(SEARCH(" "&amp;Settings!$L$5:$L$124&amp;" "," "&amp;M213&amp;" "))*(Settings!$K$5:$K$124="Transactional")*(Settings!$L$5:$L$124&lt;&gt;""))&gt;0,"Transactional",IF(SUMPRODUCT(ISNUMBER(SEARCH(" "&amp;Settings!$L$5:$L$124&amp;" "," "&amp;M213&amp;" "))*(Settings!$K$5:$K$124="Commercial")*(Settings!$L$5:$L$124&lt;&gt;""))&gt;0,"Commercial",IF(SUMPRODUCT(ISNUMBER(SEARCH(" "&amp;Settings!$L$5:$L$124&amp;" "," "&amp;M213&amp;" "))*(Settings!$K$5:$K$124="Informational")*(Settings!$L$5:$L$124&lt;&gt;""))&gt;0,"Informational","Unclassified")))))</f>
        <v/>
      </c>
      <c r="O213">
        <f>IF(A213="","",IF(K213&lt;&gt;"",PROPER(K213),N213))</f>
        <v/>
      </c>
      <c r="P213">
        <f>IF(A213="","",ROUND(Settings!$B$5*MIN(1,LOG10(N(C213)+1)/LOG10(Settings!$B$7+1))+Settings!$B$6*(1-MIN(100,IF(D213="",50,N(D213)))/100)+IFERROR(INDEX(Settings!$B$10:$B$14,MATCH(O213,Settings!$A$10:$A$14,0)),0),0))</f>
        <v/>
      </c>
      <c r="Q213">
        <f>IF(OR(A213="",G213=""),"",COUNTIFS($M$3:$M$1002,M213,$G$3:$G$1002,"&lt;&gt;"&amp;SUBSTITUTE(SUBSTITUTE(G213,"?","~?"),"*","~*"),$G$3:$G$1002,"?*"))</f>
        <v/>
      </c>
      <c r="R213">
        <f>IF(Q213="","",IF(Q213&gt;0,"Yes","No"))</f>
        <v/>
      </c>
      <c r="S213">
        <f>IF(G213="","",COUNTIFS($G$3:$G$1002,SUBSTITUTE(SUBSTITUTE(G213,"?","~?"),"*","~*"),$J$3:$J$1002,"Primary"))</f>
        <v/>
      </c>
      <c r="T213">
        <f>IF(S213="","",IF(S213&gt;Settings!$B$4,"Yes","No"))</f>
        <v/>
      </c>
      <c r="U213">
        <f>IF(OR(G213="",B213=""),"",IF(COUNTIFS($G$3:$G$1002,SUBSTITUTE(SUBSTITUTE(G213,"?","~?"),"*","~*"),$B$3:$B$1002,"&lt;&gt;"&amp;SUBSTITUTE(SUBSTITUTE(B213,"?","~?"),"*","~*"),$B$3:$B$1002,"?*")&gt;0,"Yes","No"))</f>
        <v/>
      </c>
      <c r="V213">
        <f>IF(OR(G213="",I213="",O213="",O213="Unclassified"),"",IFERROR(INDEX(Settings!$E$5:$H$16,MATCH(I213,Settings!$D$5:$D$16,0),MATCH(O213,Settings!$E$4:$H$4,0)),"Check"))</f>
        <v/>
      </c>
      <c r="W213">
        <f>IF(V213="","",IF(V213="No","Yes","No"))</f>
        <v/>
      </c>
      <c r="X213">
        <f>IF(OR(E213="",G213=""),"",IF(LOWER(IF(RIGHT(TRIM(E213),1)="/",LEFT(TRIM(E213),LEN(TRIM(E213))-1),TRIM(E213)))&lt;&gt;LOWER(IF(RIGHT(TRIM(G213),1)="/",LEFT(TRIM(G213),LEN(TRIM(G213))-1),TRIM(G213))),"Yes","No"))</f>
        <v/>
      </c>
      <c r="Y213">
        <f>IF(A213="","",(N(Q213)&gt;0)+(T213="Yes")+(U213="Yes")+(W213="Yes")+(X213="Yes"))</f>
        <v/>
      </c>
      <c r="Z213">
        <f>IF(A213="","",IF(G213="","Not mapped",IF(Y213=0,"OK",MID(IF(N(Q213)&gt;0,"; Cannibalisation","")&amp;IF(T213="Yes","; Too many primary keywords on URL","")&amp;IF(U213="Yes","; URL spans 2+ clusters","")&amp;IF(W213="Yes","; Intent mismatch","")&amp;IF(X213="Yes","; Ranking URL is not the target",""),3,300))))</f>
        <v/>
      </c>
      <c r="AA213">
        <f>IF(G213="","",IF(COUNTIF($G$3:G213,SUBSTITUTE(SUBSTITUTE(G213,"?","~?"),"*","~*"))=1,MAX($AA$2:AA212)+1,""))</f>
        <v/>
      </c>
      <c r="AB213">
        <f>IF(B213="","",IF(COUNTIF($B$3:B213,SUBSTITUTE(SUBSTITUTE(B213,"?","~?"),"*","~*"))=1,MAX($AB$2:AB212)+1,""))</f>
        <v/>
      </c>
    </row>
    <row r="214">
      <c r="M214">
        <f>IF(A214="","",LOWER(TRIM(SUBSTITUTE(SUBSTITUTE(A214,"?",""),"*",""))))</f>
        <v/>
      </c>
      <c r="N214">
        <f>IF(M214="","",IF(SUMPRODUCT(ISNUMBER(SEARCH(" "&amp;Settings!$L$5:$L$124&amp;" "," "&amp;M214&amp;" "))*(Settings!$K$5:$K$124="Navigational")*(Settings!$L$5:$L$124&lt;&gt;""))&gt;0,"Navigational",IF(SUMPRODUCT(ISNUMBER(SEARCH(" "&amp;Settings!$L$5:$L$124&amp;" "," "&amp;M214&amp;" "))*(Settings!$K$5:$K$124="Transactional")*(Settings!$L$5:$L$124&lt;&gt;""))&gt;0,"Transactional",IF(SUMPRODUCT(ISNUMBER(SEARCH(" "&amp;Settings!$L$5:$L$124&amp;" "," "&amp;M214&amp;" "))*(Settings!$K$5:$K$124="Commercial")*(Settings!$L$5:$L$124&lt;&gt;""))&gt;0,"Commercial",IF(SUMPRODUCT(ISNUMBER(SEARCH(" "&amp;Settings!$L$5:$L$124&amp;" "," "&amp;M214&amp;" "))*(Settings!$K$5:$K$124="Informational")*(Settings!$L$5:$L$124&lt;&gt;""))&gt;0,"Informational","Unclassified")))))</f>
        <v/>
      </c>
      <c r="O214">
        <f>IF(A214="","",IF(K214&lt;&gt;"",PROPER(K214),N214))</f>
        <v/>
      </c>
      <c r="P214">
        <f>IF(A214="","",ROUND(Settings!$B$5*MIN(1,LOG10(N(C214)+1)/LOG10(Settings!$B$7+1))+Settings!$B$6*(1-MIN(100,IF(D214="",50,N(D214)))/100)+IFERROR(INDEX(Settings!$B$10:$B$14,MATCH(O214,Settings!$A$10:$A$14,0)),0),0))</f>
        <v/>
      </c>
      <c r="Q214">
        <f>IF(OR(A214="",G214=""),"",COUNTIFS($M$3:$M$1002,M214,$G$3:$G$1002,"&lt;&gt;"&amp;SUBSTITUTE(SUBSTITUTE(G214,"?","~?"),"*","~*"),$G$3:$G$1002,"?*"))</f>
        <v/>
      </c>
      <c r="R214">
        <f>IF(Q214="","",IF(Q214&gt;0,"Yes","No"))</f>
        <v/>
      </c>
      <c r="S214">
        <f>IF(G214="","",COUNTIFS($G$3:$G$1002,SUBSTITUTE(SUBSTITUTE(G214,"?","~?"),"*","~*"),$J$3:$J$1002,"Primary"))</f>
        <v/>
      </c>
      <c r="T214">
        <f>IF(S214="","",IF(S214&gt;Settings!$B$4,"Yes","No"))</f>
        <v/>
      </c>
      <c r="U214">
        <f>IF(OR(G214="",B214=""),"",IF(COUNTIFS($G$3:$G$1002,SUBSTITUTE(SUBSTITUTE(G214,"?","~?"),"*","~*"),$B$3:$B$1002,"&lt;&gt;"&amp;SUBSTITUTE(SUBSTITUTE(B214,"?","~?"),"*","~*"),$B$3:$B$1002,"?*")&gt;0,"Yes","No"))</f>
        <v/>
      </c>
      <c r="V214">
        <f>IF(OR(G214="",I214="",O214="",O214="Unclassified"),"",IFERROR(INDEX(Settings!$E$5:$H$16,MATCH(I214,Settings!$D$5:$D$16,0),MATCH(O214,Settings!$E$4:$H$4,0)),"Check"))</f>
        <v/>
      </c>
      <c r="W214">
        <f>IF(V214="","",IF(V214="No","Yes","No"))</f>
        <v/>
      </c>
      <c r="X214">
        <f>IF(OR(E214="",G214=""),"",IF(LOWER(IF(RIGHT(TRIM(E214),1)="/",LEFT(TRIM(E214),LEN(TRIM(E214))-1),TRIM(E214)))&lt;&gt;LOWER(IF(RIGHT(TRIM(G214),1)="/",LEFT(TRIM(G214),LEN(TRIM(G214))-1),TRIM(G214))),"Yes","No"))</f>
        <v/>
      </c>
      <c r="Y214">
        <f>IF(A214="","",(N(Q214)&gt;0)+(T214="Yes")+(U214="Yes")+(W214="Yes")+(X214="Yes"))</f>
        <v/>
      </c>
      <c r="Z214">
        <f>IF(A214="","",IF(G214="","Not mapped",IF(Y214=0,"OK",MID(IF(N(Q214)&gt;0,"; Cannibalisation","")&amp;IF(T214="Yes","; Too many primary keywords on URL","")&amp;IF(U214="Yes","; URL spans 2+ clusters","")&amp;IF(W214="Yes","; Intent mismatch","")&amp;IF(X214="Yes","; Ranking URL is not the target",""),3,300))))</f>
        <v/>
      </c>
      <c r="AA214">
        <f>IF(G214="","",IF(COUNTIF($G$3:G214,SUBSTITUTE(SUBSTITUTE(G214,"?","~?"),"*","~*"))=1,MAX($AA$2:AA213)+1,""))</f>
        <v/>
      </c>
      <c r="AB214">
        <f>IF(B214="","",IF(COUNTIF($B$3:B214,SUBSTITUTE(SUBSTITUTE(B214,"?","~?"),"*","~*"))=1,MAX($AB$2:AB213)+1,""))</f>
        <v/>
      </c>
    </row>
    <row r="215">
      <c r="M215">
        <f>IF(A215="","",LOWER(TRIM(SUBSTITUTE(SUBSTITUTE(A215,"?",""),"*",""))))</f>
        <v/>
      </c>
      <c r="N215">
        <f>IF(M215="","",IF(SUMPRODUCT(ISNUMBER(SEARCH(" "&amp;Settings!$L$5:$L$124&amp;" "," "&amp;M215&amp;" "))*(Settings!$K$5:$K$124="Navigational")*(Settings!$L$5:$L$124&lt;&gt;""))&gt;0,"Navigational",IF(SUMPRODUCT(ISNUMBER(SEARCH(" "&amp;Settings!$L$5:$L$124&amp;" "," "&amp;M215&amp;" "))*(Settings!$K$5:$K$124="Transactional")*(Settings!$L$5:$L$124&lt;&gt;""))&gt;0,"Transactional",IF(SUMPRODUCT(ISNUMBER(SEARCH(" "&amp;Settings!$L$5:$L$124&amp;" "," "&amp;M215&amp;" "))*(Settings!$K$5:$K$124="Commercial")*(Settings!$L$5:$L$124&lt;&gt;""))&gt;0,"Commercial",IF(SUMPRODUCT(ISNUMBER(SEARCH(" "&amp;Settings!$L$5:$L$124&amp;" "," "&amp;M215&amp;" "))*(Settings!$K$5:$K$124="Informational")*(Settings!$L$5:$L$124&lt;&gt;""))&gt;0,"Informational","Unclassified")))))</f>
        <v/>
      </c>
      <c r="O215">
        <f>IF(A215="","",IF(K215&lt;&gt;"",PROPER(K215),N215))</f>
        <v/>
      </c>
      <c r="P215">
        <f>IF(A215="","",ROUND(Settings!$B$5*MIN(1,LOG10(N(C215)+1)/LOG10(Settings!$B$7+1))+Settings!$B$6*(1-MIN(100,IF(D215="",50,N(D215)))/100)+IFERROR(INDEX(Settings!$B$10:$B$14,MATCH(O215,Settings!$A$10:$A$14,0)),0),0))</f>
        <v/>
      </c>
      <c r="Q215">
        <f>IF(OR(A215="",G215=""),"",COUNTIFS($M$3:$M$1002,M215,$G$3:$G$1002,"&lt;&gt;"&amp;SUBSTITUTE(SUBSTITUTE(G215,"?","~?"),"*","~*"),$G$3:$G$1002,"?*"))</f>
        <v/>
      </c>
      <c r="R215">
        <f>IF(Q215="","",IF(Q215&gt;0,"Yes","No"))</f>
        <v/>
      </c>
      <c r="S215">
        <f>IF(G215="","",COUNTIFS($G$3:$G$1002,SUBSTITUTE(SUBSTITUTE(G215,"?","~?"),"*","~*"),$J$3:$J$1002,"Primary"))</f>
        <v/>
      </c>
      <c r="T215">
        <f>IF(S215="","",IF(S215&gt;Settings!$B$4,"Yes","No"))</f>
        <v/>
      </c>
      <c r="U215">
        <f>IF(OR(G215="",B215=""),"",IF(COUNTIFS($G$3:$G$1002,SUBSTITUTE(SUBSTITUTE(G215,"?","~?"),"*","~*"),$B$3:$B$1002,"&lt;&gt;"&amp;SUBSTITUTE(SUBSTITUTE(B215,"?","~?"),"*","~*"),$B$3:$B$1002,"?*")&gt;0,"Yes","No"))</f>
        <v/>
      </c>
      <c r="V215">
        <f>IF(OR(G215="",I215="",O215="",O215="Unclassified"),"",IFERROR(INDEX(Settings!$E$5:$H$16,MATCH(I215,Settings!$D$5:$D$16,0),MATCH(O215,Settings!$E$4:$H$4,0)),"Check"))</f>
        <v/>
      </c>
      <c r="W215">
        <f>IF(V215="","",IF(V215="No","Yes","No"))</f>
        <v/>
      </c>
      <c r="X215">
        <f>IF(OR(E215="",G215=""),"",IF(LOWER(IF(RIGHT(TRIM(E215),1)="/",LEFT(TRIM(E215),LEN(TRIM(E215))-1),TRIM(E215)))&lt;&gt;LOWER(IF(RIGHT(TRIM(G215),1)="/",LEFT(TRIM(G215),LEN(TRIM(G215))-1),TRIM(G215))),"Yes","No"))</f>
        <v/>
      </c>
      <c r="Y215">
        <f>IF(A215="","",(N(Q215)&gt;0)+(T215="Yes")+(U215="Yes")+(W215="Yes")+(X215="Yes"))</f>
        <v/>
      </c>
      <c r="Z215">
        <f>IF(A215="","",IF(G215="","Not mapped",IF(Y215=0,"OK",MID(IF(N(Q215)&gt;0,"; Cannibalisation","")&amp;IF(T215="Yes","; Too many primary keywords on URL","")&amp;IF(U215="Yes","; URL spans 2+ clusters","")&amp;IF(W215="Yes","; Intent mismatch","")&amp;IF(X215="Yes","; Ranking URL is not the target",""),3,300))))</f>
        <v/>
      </c>
      <c r="AA215">
        <f>IF(G215="","",IF(COUNTIF($G$3:G215,SUBSTITUTE(SUBSTITUTE(G215,"?","~?"),"*","~*"))=1,MAX($AA$2:AA214)+1,""))</f>
        <v/>
      </c>
      <c r="AB215">
        <f>IF(B215="","",IF(COUNTIF($B$3:B215,SUBSTITUTE(SUBSTITUTE(B215,"?","~?"),"*","~*"))=1,MAX($AB$2:AB214)+1,""))</f>
        <v/>
      </c>
    </row>
    <row r="216">
      <c r="M216">
        <f>IF(A216="","",LOWER(TRIM(SUBSTITUTE(SUBSTITUTE(A216,"?",""),"*",""))))</f>
        <v/>
      </c>
      <c r="N216">
        <f>IF(M216="","",IF(SUMPRODUCT(ISNUMBER(SEARCH(" "&amp;Settings!$L$5:$L$124&amp;" "," "&amp;M216&amp;" "))*(Settings!$K$5:$K$124="Navigational")*(Settings!$L$5:$L$124&lt;&gt;""))&gt;0,"Navigational",IF(SUMPRODUCT(ISNUMBER(SEARCH(" "&amp;Settings!$L$5:$L$124&amp;" "," "&amp;M216&amp;" "))*(Settings!$K$5:$K$124="Transactional")*(Settings!$L$5:$L$124&lt;&gt;""))&gt;0,"Transactional",IF(SUMPRODUCT(ISNUMBER(SEARCH(" "&amp;Settings!$L$5:$L$124&amp;" "," "&amp;M216&amp;" "))*(Settings!$K$5:$K$124="Commercial")*(Settings!$L$5:$L$124&lt;&gt;""))&gt;0,"Commercial",IF(SUMPRODUCT(ISNUMBER(SEARCH(" "&amp;Settings!$L$5:$L$124&amp;" "," "&amp;M216&amp;" "))*(Settings!$K$5:$K$124="Informational")*(Settings!$L$5:$L$124&lt;&gt;""))&gt;0,"Informational","Unclassified")))))</f>
        <v/>
      </c>
      <c r="O216">
        <f>IF(A216="","",IF(K216&lt;&gt;"",PROPER(K216),N216))</f>
        <v/>
      </c>
      <c r="P216">
        <f>IF(A216="","",ROUND(Settings!$B$5*MIN(1,LOG10(N(C216)+1)/LOG10(Settings!$B$7+1))+Settings!$B$6*(1-MIN(100,IF(D216="",50,N(D216)))/100)+IFERROR(INDEX(Settings!$B$10:$B$14,MATCH(O216,Settings!$A$10:$A$14,0)),0),0))</f>
        <v/>
      </c>
      <c r="Q216">
        <f>IF(OR(A216="",G216=""),"",COUNTIFS($M$3:$M$1002,M216,$G$3:$G$1002,"&lt;&gt;"&amp;SUBSTITUTE(SUBSTITUTE(G216,"?","~?"),"*","~*"),$G$3:$G$1002,"?*"))</f>
        <v/>
      </c>
      <c r="R216">
        <f>IF(Q216="","",IF(Q216&gt;0,"Yes","No"))</f>
        <v/>
      </c>
      <c r="S216">
        <f>IF(G216="","",COUNTIFS($G$3:$G$1002,SUBSTITUTE(SUBSTITUTE(G216,"?","~?"),"*","~*"),$J$3:$J$1002,"Primary"))</f>
        <v/>
      </c>
      <c r="T216">
        <f>IF(S216="","",IF(S216&gt;Settings!$B$4,"Yes","No"))</f>
        <v/>
      </c>
      <c r="U216">
        <f>IF(OR(G216="",B216=""),"",IF(COUNTIFS($G$3:$G$1002,SUBSTITUTE(SUBSTITUTE(G216,"?","~?"),"*","~*"),$B$3:$B$1002,"&lt;&gt;"&amp;SUBSTITUTE(SUBSTITUTE(B216,"?","~?"),"*","~*"),$B$3:$B$1002,"?*")&gt;0,"Yes","No"))</f>
        <v/>
      </c>
      <c r="V216">
        <f>IF(OR(G216="",I216="",O216="",O216="Unclassified"),"",IFERROR(INDEX(Settings!$E$5:$H$16,MATCH(I216,Settings!$D$5:$D$16,0),MATCH(O216,Settings!$E$4:$H$4,0)),"Check"))</f>
        <v/>
      </c>
      <c r="W216">
        <f>IF(V216="","",IF(V216="No","Yes","No"))</f>
        <v/>
      </c>
      <c r="X216">
        <f>IF(OR(E216="",G216=""),"",IF(LOWER(IF(RIGHT(TRIM(E216),1)="/",LEFT(TRIM(E216),LEN(TRIM(E216))-1),TRIM(E216)))&lt;&gt;LOWER(IF(RIGHT(TRIM(G216),1)="/",LEFT(TRIM(G216),LEN(TRIM(G216))-1),TRIM(G216))),"Yes","No"))</f>
        <v/>
      </c>
      <c r="Y216">
        <f>IF(A216="","",(N(Q216)&gt;0)+(T216="Yes")+(U216="Yes")+(W216="Yes")+(X216="Yes"))</f>
        <v/>
      </c>
      <c r="Z216">
        <f>IF(A216="","",IF(G216="","Not mapped",IF(Y216=0,"OK",MID(IF(N(Q216)&gt;0,"; Cannibalisation","")&amp;IF(T216="Yes","; Too many primary keywords on URL","")&amp;IF(U216="Yes","; URL spans 2+ clusters","")&amp;IF(W216="Yes","; Intent mismatch","")&amp;IF(X216="Yes","; Ranking URL is not the target",""),3,300))))</f>
        <v/>
      </c>
      <c r="AA216">
        <f>IF(G216="","",IF(COUNTIF($G$3:G216,SUBSTITUTE(SUBSTITUTE(G216,"?","~?"),"*","~*"))=1,MAX($AA$2:AA215)+1,""))</f>
        <v/>
      </c>
      <c r="AB216">
        <f>IF(B216="","",IF(COUNTIF($B$3:B216,SUBSTITUTE(SUBSTITUTE(B216,"?","~?"),"*","~*"))=1,MAX($AB$2:AB215)+1,""))</f>
        <v/>
      </c>
    </row>
    <row r="217">
      <c r="M217">
        <f>IF(A217="","",LOWER(TRIM(SUBSTITUTE(SUBSTITUTE(A217,"?",""),"*",""))))</f>
        <v/>
      </c>
      <c r="N217">
        <f>IF(M217="","",IF(SUMPRODUCT(ISNUMBER(SEARCH(" "&amp;Settings!$L$5:$L$124&amp;" "," "&amp;M217&amp;" "))*(Settings!$K$5:$K$124="Navigational")*(Settings!$L$5:$L$124&lt;&gt;""))&gt;0,"Navigational",IF(SUMPRODUCT(ISNUMBER(SEARCH(" "&amp;Settings!$L$5:$L$124&amp;" "," "&amp;M217&amp;" "))*(Settings!$K$5:$K$124="Transactional")*(Settings!$L$5:$L$124&lt;&gt;""))&gt;0,"Transactional",IF(SUMPRODUCT(ISNUMBER(SEARCH(" "&amp;Settings!$L$5:$L$124&amp;" "," "&amp;M217&amp;" "))*(Settings!$K$5:$K$124="Commercial")*(Settings!$L$5:$L$124&lt;&gt;""))&gt;0,"Commercial",IF(SUMPRODUCT(ISNUMBER(SEARCH(" "&amp;Settings!$L$5:$L$124&amp;" "," "&amp;M217&amp;" "))*(Settings!$K$5:$K$124="Informational")*(Settings!$L$5:$L$124&lt;&gt;""))&gt;0,"Informational","Unclassified")))))</f>
        <v/>
      </c>
      <c r="O217">
        <f>IF(A217="","",IF(K217&lt;&gt;"",PROPER(K217),N217))</f>
        <v/>
      </c>
      <c r="P217">
        <f>IF(A217="","",ROUND(Settings!$B$5*MIN(1,LOG10(N(C217)+1)/LOG10(Settings!$B$7+1))+Settings!$B$6*(1-MIN(100,IF(D217="",50,N(D217)))/100)+IFERROR(INDEX(Settings!$B$10:$B$14,MATCH(O217,Settings!$A$10:$A$14,0)),0),0))</f>
        <v/>
      </c>
      <c r="Q217">
        <f>IF(OR(A217="",G217=""),"",COUNTIFS($M$3:$M$1002,M217,$G$3:$G$1002,"&lt;&gt;"&amp;SUBSTITUTE(SUBSTITUTE(G217,"?","~?"),"*","~*"),$G$3:$G$1002,"?*"))</f>
        <v/>
      </c>
      <c r="R217">
        <f>IF(Q217="","",IF(Q217&gt;0,"Yes","No"))</f>
        <v/>
      </c>
      <c r="S217">
        <f>IF(G217="","",COUNTIFS($G$3:$G$1002,SUBSTITUTE(SUBSTITUTE(G217,"?","~?"),"*","~*"),$J$3:$J$1002,"Primary"))</f>
        <v/>
      </c>
      <c r="T217">
        <f>IF(S217="","",IF(S217&gt;Settings!$B$4,"Yes","No"))</f>
        <v/>
      </c>
      <c r="U217">
        <f>IF(OR(G217="",B217=""),"",IF(COUNTIFS($G$3:$G$1002,SUBSTITUTE(SUBSTITUTE(G217,"?","~?"),"*","~*"),$B$3:$B$1002,"&lt;&gt;"&amp;SUBSTITUTE(SUBSTITUTE(B217,"?","~?"),"*","~*"),$B$3:$B$1002,"?*")&gt;0,"Yes","No"))</f>
        <v/>
      </c>
      <c r="V217">
        <f>IF(OR(G217="",I217="",O217="",O217="Unclassified"),"",IFERROR(INDEX(Settings!$E$5:$H$16,MATCH(I217,Settings!$D$5:$D$16,0),MATCH(O217,Settings!$E$4:$H$4,0)),"Check"))</f>
        <v/>
      </c>
      <c r="W217">
        <f>IF(V217="","",IF(V217="No","Yes","No"))</f>
        <v/>
      </c>
      <c r="X217">
        <f>IF(OR(E217="",G217=""),"",IF(LOWER(IF(RIGHT(TRIM(E217),1)="/",LEFT(TRIM(E217),LEN(TRIM(E217))-1),TRIM(E217)))&lt;&gt;LOWER(IF(RIGHT(TRIM(G217),1)="/",LEFT(TRIM(G217),LEN(TRIM(G217))-1),TRIM(G217))),"Yes","No"))</f>
        <v/>
      </c>
      <c r="Y217">
        <f>IF(A217="","",(N(Q217)&gt;0)+(T217="Yes")+(U217="Yes")+(W217="Yes")+(X217="Yes"))</f>
        <v/>
      </c>
      <c r="Z217">
        <f>IF(A217="","",IF(G217="","Not mapped",IF(Y217=0,"OK",MID(IF(N(Q217)&gt;0,"; Cannibalisation","")&amp;IF(T217="Yes","; Too many primary keywords on URL","")&amp;IF(U217="Yes","; URL spans 2+ clusters","")&amp;IF(W217="Yes","; Intent mismatch","")&amp;IF(X217="Yes","; Ranking URL is not the target",""),3,300))))</f>
        <v/>
      </c>
      <c r="AA217">
        <f>IF(G217="","",IF(COUNTIF($G$3:G217,SUBSTITUTE(SUBSTITUTE(G217,"?","~?"),"*","~*"))=1,MAX($AA$2:AA216)+1,""))</f>
        <v/>
      </c>
      <c r="AB217">
        <f>IF(B217="","",IF(COUNTIF($B$3:B217,SUBSTITUTE(SUBSTITUTE(B217,"?","~?"),"*","~*"))=1,MAX($AB$2:AB216)+1,""))</f>
        <v/>
      </c>
    </row>
    <row r="218">
      <c r="M218">
        <f>IF(A218="","",LOWER(TRIM(SUBSTITUTE(SUBSTITUTE(A218,"?",""),"*",""))))</f>
        <v/>
      </c>
      <c r="N218">
        <f>IF(M218="","",IF(SUMPRODUCT(ISNUMBER(SEARCH(" "&amp;Settings!$L$5:$L$124&amp;" "," "&amp;M218&amp;" "))*(Settings!$K$5:$K$124="Navigational")*(Settings!$L$5:$L$124&lt;&gt;""))&gt;0,"Navigational",IF(SUMPRODUCT(ISNUMBER(SEARCH(" "&amp;Settings!$L$5:$L$124&amp;" "," "&amp;M218&amp;" "))*(Settings!$K$5:$K$124="Transactional")*(Settings!$L$5:$L$124&lt;&gt;""))&gt;0,"Transactional",IF(SUMPRODUCT(ISNUMBER(SEARCH(" "&amp;Settings!$L$5:$L$124&amp;" "," "&amp;M218&amp;" "))*(Settings!$K$5:$K$124="Commercial")*(Settings!$L$5:$L$124&lt;&gt;""))&gt;0,"Commercial",IF(SUMPRODUCT(ISNUMBER(SEARCH(" "&amp;Settings!$L$5:$L$124&amp;" "," "&amp;M218&amp;" "))*(Settings!$K$5:$K$124="Informational")*(Settings!$L$5:$L$124&lt;&gt;""))&gt;0,"Informational","Unclassified")))))</f>
        <v/>
      </c>
      <c r="O218">
        <f>IF(A218="","",IF(K218&lt;&gt;"",PROPER(K218),N218))</f>
        <v/>
      </c>
      <c r="P218">
        <f>IF(A218="","",ROUND(Settings!$B$5*MIN(1,LOG10(N(C218)+1)/LOG10(Settings!$B$7+1))+Settings!$B$6*(1-MIN(100,IF(D218="",50,N(D218)))/100)+IFERROR(INDEX(Settings!$B$10:$B$14,MATCH(O218,Settings!$A$10:$A$14,0)),0),0))</f>
        <v/>
      </c>
      <c r="Q218">
        <f>IF(OR(A218="",G218=""),"",COUNTIFS($M$3:$M$1002,M218,$G$3:$G$1002,"&lt;&gt;"&amp;SUBSTITUTE(SUBSTITUTE(G218,"?","~?"),"*","~*"),$G$3:$G$1002,"?*"))</f>
        <v/>
      </c>
      <c r="R218">
        <f>IF(Q218="","",IF(Q218&gt;0,"Yes","No"))</f>
        <v/>
      </c>
      <c r="S218">
        <f>IF(G218="","",COUNTIFS($G$3:$G$1002,SUBSTITUTE(SUBSTITUTE(G218,"?","~?"),"*","~*"),$J$3:$J$1002,"Primary"))</f>
        <v/>
      </c>
      <c r="T218">
        <f>IF(S218="","",IF(S218&gt;Settings!$B$4,"Yes","No"))</f>
        <v/>
      </c>
      <c r="U218">
        <f>IF(OR(G218="",B218=""),"",IF(COUNTIFS($G$3:$G$1002,SUBSTITUTE(SUBSTITUTE(G218,"?","~?"),"*","~*"),$B$3:$B$1002,"&lt;&gt;"&amp;SUBSTITUTE(SUBSTITUTE(B218,"?","~?"),"*","~*"),$B$3:$B$1002,"?*")&gt;0,"Yes","No"))</f>
        <v/>
      </c>
      <c r="V218">
        <f>IF(OR(G218="",I218="",O218="",O218="Unclassified"),"",IFERROR(INDEX(Settings!$E$5:$H$16,MATCH(I218,Settings!$D$5:$D$16,0),MATCH(O218,Settings!$E$4:$H$4,0)),"Check"))</f>
        <v/>
      </c>
      <c r="W218">
        <f>IF(V218="","",IF(V218="No","Yes","No"))</f>
        <v/>
      </c>
      <c r="X218">
        <f>IF(OR(E218="",G218=""),"",IF(LOWER(IF(RIGHT(TRIM(E218),1)="/",LEFT(TRIM(E218),LEN(TRIM(E218))-1),TRIM(E218)))&lt;&gt;LOWER(IF(RIGHT(TRIM(G218),1)="/",LEFT(TRIM(G218),LEN(TRIM(G218))-1),TRIM(G218))),"Yes","No"))</f>
        <v/>
      </c>
      <c r="Y218">
        <f>IF(A218="","",(N(Q218)&gt;0)+(T218="Yes")+(U218="Yes")+(W218="Yes")+(X218="Yes"))</f>
        <v/>
      </c>
      <c r="Z218">
        <f>IF(A218="","",IF(G218="","Not mapped",IF(Y218=0,"OK",MID(IF(N(Q218)&gt;0,"; Cannibalisation","")&amp;IF(T218="Yes","; Too many primary keywords on URL","")&amp;IF(U218="Yes","; URL spans 2+ clusters","")&amp;IF(W218="Yes","; Intent mismatch","")&amp;IF(X218="Yes","; Ranking URL is not the target",""),3,300))))</f>
        <v/>
      </c>
      <c r="AA218">
        <f>IF(G218="","",IF(COUNTIF($G$3:G218,SUBSTITUTE(SUBSTITUTE(G218,"?","~?"),"*","~*"))=1,MAX($AA$2:AA217)+1,""))</f>
        <v/>
      </c>
      <c r="AB218">
        <f>IF(B218="","",IF(COUNTIF($B$3:B218,SUBSTITUTE(SUBSTITUTE(B218,"?","~?"),"*","~*"))=1,MAX($AB$2:AB217)+1,""))</f>
        <v/>
      </c>
    </row>
    <row r="219">
      <c r="M219">
        <f>IF(A219="","",LOWER(TRIM(SUBSTITUTE(SUBSTITUTE(A219,"?",""),"*",""))))</f>
        <v/>
      </c>
      <c r="N219">
        <f>IF(M219="","",IF(SUMPRODUCT(ISNUMBER(SEARCH(" "&amp;Settings!$L$5:$L$124&amp;" "," "&amp;M219&amp;" "))*(Settings!$K$5:$K$124="Navigational")*(Settings!$L$5:$L$124&lt;&gt;""))&gt;0,"Navigational",IF(SUMPRODUCT(ISNUMBER(SEARCH(" "&amp;Settings!$L$5:$L$124&amp;" "," "&amp;M219&amp;" "))*(Settings!$K$5:$K$124="Transactional")*(Settings!$L$5:$L$124&lt;&gt;""))&gt;0,"Transactional",IF(SUMPRODUCT(ISNUMBER(SEARCH(" "&amp;Settings!$L$5:$L$124&amp;" "," "&amp;M219&amp;" "))*(Settings!$K$5:$K$124="Commercial")*(Settings!$L$5:$L$124&lt;&gt;""))&gt;0,"Commercial",IF(SUMPRODUCT(ISNUMBER(SEARCH(" "&amp;Settings!$L$5:$L$124&amp;" "," "&amp;M219&amp;" "))*(Settings!$K$5:$K$124="Informational")*(Settings!$L$5:$L$124&lt;&gt;""))&gt;0,"Informational","Unclassified")))))</f>
        <v/>
      </c>
      <c r="O219">
        <f>IF(A219="","",IF(K219&lt;&gt;"",PROPER(K219),N219))</f>
        <v/>
      </c>
      <c r="P219">
        <f>IF(A219="","",ROUND(Settings!$B$5*MIN(1,LOG10(N(C219)+1)/LOG10(Settings!$B$7+1))+Settings!$B$6*(1-MIN(100,IF(D219="",50,N(D219)))/100)+IFERROR(INDEX(Settings!$B$10:$B$14,MATCH(O219,Settings!$A$10:$A$14,0)),0),0))</f>
        <v/>
      </c>
      <c r="Q219">
        <f>IF(OR(A219="",G219=""),"",COUNTIFS($M$3:$M$1002,M219,$G$3:$G$1002,"&lt;&gt;"&amp;SUBSTITUTE(SUBSTITUTE(G219,"?","~?"),"*","~*"),$G$3:$G$1002,"?*"))</f>
        <v/>
      </c>
      <c r="R219">
        <f>IF(Q219="","",IF(Q219&gt;0,"Yes","No"))</f>
        <v/>
      </c>
      <c r="S219">
        <f>IF(G219="","",COUNTIFS($G$3:$G$1002,SUBSTITUTE(SUBSTITUTE(G219,"?","~?"),"*","~*"),$J$3:$J$1002,"Primary"))</f>
        <v/>
      </c>
      <c r="T219">
        <f>IF(S219="","",IF(S219&gt;Settings!$B$4,"Yes","No"))</f>
        <v/>
      </c>
      <c r="U219">
        <f>IF(OR(G219="",B219=""),"",IF(COUNTIFS($G$3:$G$1002,SUBSTITUTE(SUBSTITUTE(G219,"?","~?"),"*","~*"),$B$3:$B$1002,"&lt;&gt;"&amp;SUBSTITUTE(SUBSTITUTE(B219,"?","~?"),"*","~*"),$B$3:$B$1002,"?*")&gt;0,"Yes","No"))</f>
        <v/>
      </c>
      <c r="V219">
        <f>IF(OR(G219="",I219="",O219="",O219="Unclassified"),"",IFERROR(INDEX(Settings!$E$5:$H$16,MATCH(I219,Settings!$D$5:$D$16,0),MATCH(O219,Settings!$E$4:$H$4,0)),"Check"))</f>
        <v/>
      </c>
      <c r="W219">
        <f>IF(V219="","",IF(V219="No","Yes","No"))</f>
        <v/>
      </c>
      <c r="X219">
        <f>IF(OR(E219="",G219=""),"",IF(LOWER(IF(RIGHT(TRIM(E219),1)="/",LEFT(TRIM(E219),LEN(TRIM(E219))-1),TRIM(E219)))&lt;&gt;LOWER(IF(RIGHT(TRIM(G219),1)="/",LEFT(TRIM(G219),LEN(TRIM(G219))-1),TRIM(G219))),"Yes","No"))</f>
        <v/>
      </c>
      <c r="Y219">
        <f>IF(A219="","",(N(Q219)&gt;0)+(T219="Yes")+(U219="Yes")+(W219="Yes")+(X219="Yes"))</f>
        <v/>
      </c>
      <c r="Z219">
        <f>IF(A219="","",IF(G219="","Not mapped",IF(Y219=0,"OK",MID(IF(N(Q219)&gt;0,"; Cannibalisation","")&amp;IF(T219="Yes","; Too many primary keywords on URL","")&amp;IF(U219="Yes","; URL spans 2+ clusters","")&amp;IF(W219="Yes","; Intent mismatch","")&amp;IF(X219="Yes","; Ranking URL is not the target",""),3,300))))</f>
        <v/>
      </c>
      <c r="AA219">
        <f>IF(G219="","",IF(COUNTIF($G$3:G219,SUBSTITUTE(SUBSTITUTE(G219,"?","~?"),"*","~*"))=1,MAX($AA$2:AA218)+1,""))</f>
        <v/>
      </c>
      <c r="AB219">
        <f>IF(B219="","",IF(COUNTIF($B$3:B219,SUBSTITUTE(SUBSTITUTE(B219,"?","~?"),"*","~*"))=1,MAX($AB$2:AB218)+1,""))</f>
        <v/>
      </c>
    </row>
    <row r="220">
      <c r="M220">
        <f>IF(A220="","",LOWER(TRIM(SUBSTITUTE(SUBSTITUTE(A220,"?",""),"*",""))))</f>
        <v/>
      </c>
      <c r="N220">
        <f>IF(M220="","",IF(SUMPRODUCT(ISNUMBER(SEARCH(" "&amp;Settings!$L$5:$L$124&amp;" "," "&amp;M220&amp;" "))*(Settings!$K$5:$K$124="Navigational")*(Settings!$L$5:$L$124&lt;&gt;""))&gt;0,"Navigational",IF(SUMPRODUCT(ISNUMBER(SEARCH(" "&amp;Settings!$L$5:$L$124&amp;" "," "&amp;M220&amp;" "))*(Settings!$K$5:$K$124="Transactional")*(Settings!$L$5:$L$124&lt;&gt;""))&gt;0,"Transactional",IF(SUMPRODUCT(ISNUMBER(SEARCH(" "&amp;Settings!$L$5:$L$124&amp;" "," "&amp;M220&amp;" "))*(Settings!$K$5:$K$124="Commercial")*(Settings!$L$5:$L$124&lt;&gt;""))&gt;0,"Commercial",IF(SUMPRODUCT(ISNUMBER(SEARCH(" "&amp;Settings!$L$5:$L$124&amp;" "," "&amp;M220&amp;" "))*(Settings!$K$5:$K$124="Informational")*(Settings!$L$5:$L$124&lt;&gt;""))&gt;0,"Informational","Unclassified")))))</f>
        <v/>
      </c>
      <c r="O220">
        <f>IF(A220="","",IF(K220&lt;&gt;"",PROPER(K220),N220))</f>
        <v/>
      </c>
      <c r="P220">
        <f>IF(A220="","",ROUND(Settings!$B$5*MIN(1,LOG10(N(C220)+1)/LOG10(Settings!$B$7+1))+Settings!$B$6*(1-MIN(100,IF(D220="",50,N(D220)))/100)+IFERROR(INDEX(Settings!$B$10:$B$14,MATCH(O220,Settings!$A$10:$A$14,0)),0),0))</f>
        <v/>
      </c>
      <c r="Q220">
        <f>IF(OR(A220="",G220=""),"",COUNTIFS($M$3:$M$1002,M220,$G$3:$G$1002,"&lt;&gt;"&amp;SUBSTITUTE(SUBSTITUTE(G220,"?","~?"),"*","~*"),$G$3:$G$1002,"?*"))</f>
        <v/>
      </c>
      <c r="R220">
        <f>IF(Q220="","",IF(Q220&gt;0,"Yes","No"))</f>
        <v/>
      </c>
      <c r="S220">
        <f>IF(G220="","",COUNTIFS($G$3:$G$1002,SUBSTITUTE(SUBSTITUTE(G220,"?","~?"),"*","~*"),$J$3:$J$1002,"Primary"))</f>
        <v/>
      </c>
      <c r="T220">
        <f>IF(S220="","",IF(S220&gt;Settings!$B$4,"Yes","No"))</f>
        <v/>
      </c>
      <c r="U220">
        <f>IF(OR(G220="",B220=""),"",IF(COUNTIFS($G$3:$G$1002,SUBSTITUTE(SUBSTITUTE(G220,"?","~?"),"*","~*"),$B$3:$B$1002,"&lt;&gt;"&amp;SUBSTITUTE(SUBSTITUTE(B220,"?","~?"),"*","~*"),$B$3:$B$1002,"?*")&gt;0,"Yes","No"))</f>
        <v/>
      </c>
      <c r="V220">
        <f>IF(OR(G220="",I220="",O220="",O220="Unclassified"),"",IFERROR(INDEX(Settings!$E$5:$H$16,MATCH(I220,Settings!$D$5:$D$16,0),MATCH(O220,Settings!$E$4:$H$4,0)),"Check"))</f>
        <v/>
      </c>
      <c r="W220">
        <f>IF(V220="","",IF(V220="No","Yes","No"))</f>
        <v/>
      </c>
      <c r="X220">
        <f>IF(OR(E220="",G220=""),"",IF(LOWER(IF(RIGHT(TRIM(E220),1)="/",LEFT(TRIM(E220),LEN(TRIM(E220))-1),TRIM(E220)))&lt;&gt;LOWER(IF(RIGHT(TRIM(G220),1)="/",LEFT(TRIM(G220),LEN(TRIM(G220))-1),TRIM(G220))),"Yes","No"))</f>
        <v/>
      </c>
      <c r="Y220">
        <f>IF(A220="","",(N(Q220)&gt;0)+(T220="Yes")+(U220="Yes")+(W220="Yes")+(X220="Yes"))</f>
        <v/>
      </c>
      <c r="Z220">
        <f>IF(A220="","",IF(G220="","Not mapped",IF(Y220=0,"OK",MID(IF(N(Q220)&gt;0,"; Cannibalisation","")&amp;IF(T220="Yes","; Too many primary keywords on URL","")&amp;IF(U220="Yes","; URL spans 2+ clusters","")&amp;IF(W220="Yes","; Intent mismatch","")&amp;IF(X220="Yes","; Ranking URL is not the target",""),3,300))))</f>
        <v/>
      </c>
      <c r="AA220">
        <f>IF(G220="","",IF(COUNTIF($G$3:G220,SUBSTITUTE(SUBSTITUTE(G220,"?","~?"),"*","~*"))=1,MAX($AA$2:AA219)+1,""))</f>
        <v/>
      </c>
      <c r="AB220">
        <f>IF(B220="","",IF(COUNTIF($B$3:B220,SUBSTITUTE(SUBSTITUTE(B220,"?","~?"),"*","~*"))=1,MAX($AB$2:AB219)+1,""))</f>
        <v/>
      </c>
    </row>
    <row r="221">
      <c r="M221">
        <f>IF(A221="","",LOWER(TRIM(SUBSTITUTE(SUBSTITUTE(A221,"?",""),"*",""))))</f>
        <v/>
      </c>
      <c r="N221">
        <f>IF(M221="","",IF(SUMPRODUCT(ISNUMBER(SEARCH(" "&amp;Settings!$L$5:$L$124&amp;" "," "&amp;M221&amp;" "))*(Settings!$K$5:$K$124="Navigational")*(Settings!$L$5:$L$124&lt;&gt;""))&gt;0,"Navigational",IF(SUMPRODUCT(ISNUMBER(SEARCH(" "&amp;Settings!$L$5:$L$124&amp;" "," "&amp;M221&amp;" "))*(Settings!$K$5:$K$124="Transactional")*(Settings!$L$5:$L$124&lt;&gt;""))&gt;0,"Transactional",IF(SUMPRODUCT(ISNUMBER(SEARCH(" "&amp;Settings!$L$5:$L$124&amp;" "," "&amp;M221&amp;" "))*(Settings!$K$5:$K$124="Commercial")*(Settings!$L$5:$L$124&lt;&gt;""))&gt;0,"Commercial",IF(SUMPRODUCT(ISNUMBER(SEARCH(" "&amp;Settings!$L$5:$L$124&amp;" "," "&amp;M221&amp;" "))*(Settings!$K$5:$K$124="Informational")*(Settings!$L$5:$L$124&lt;&gt;""))&gt;0,"Informational","Unclassified")))))</f>
        <v/>
      </c>
      <c r="O221">
        <f>IF(A221="","",IF(K221&lt;&gt;"",PROPER(K221),N221))</f>
        <v/>
      </c>
      <c r="P221">
        <f>IF(A221="","",ROUND(Settings!$B$5*MIN(1,LOG10(N(C221)+1)/LOG10(Settings!$B$7+1))+Settings!$B$6*(1-MIN(100,IF(D221="",50,N(D221)))/100)+IFERROR(INDEX(Settings!$B$10:$B$14,MATCH(O221,Settings!$A$10:$A$14,0)),0),0))</f>
        <v/>
      </c>
      <c r="Q221">
        <f>IF(OR(A221="",G221=""),"",COUNTIFS($M$3:$M$1002,M221,$G$3:$G$1002,"&lt;&gt;"&amp;SUBSTITUTE(SUBSTITUTE(G221,"?","~?"),"*","~*"),$G$3:$G$1002,"?*"))</f>
        <v/>
      </c>
      <c r="R221">
        <f>IF(Q221="","",IF(Q221&gt;0,"Yes","No"))</f>
        <v/>
      </c>
      <c r="S221">
        <f>IF(G221="","",COUNTIFS($G$3:$G$1002,SUBSTITUTE(SUBSTITUTE(G221,"?","~?"),"*","~*"),$J$3:$J$1002,"Primary"))</f>
        <v/>
      </c>
      <c r="T221">
        <f>IF(S221="","",IF(S221&gt;Settings!$B$4,"Yes","No"))</f>
        <v/>
      </c>
      <c r="U221">
        <f>IF(OR(G221="",B221=""),"",IF(COUNTIFS($G$3:$G$1002,SUBSTITUTE(SUBSTITUTE(G221,"?","~?"),"*","~*"),$B$3:$B$1002,"&lt;&gt;"&amp;SUBSTITUTE(SUBSTITUTE(B221,"?","~?"),"*","~*"),$B$3:$B$1002,"?*")&gt;0,"Yes","No"))</f>
        <v/>
      </c>
      <c r="V221">
        <f>IF(OR(G221="",I221="",O221="",O221="Unclassified"),"",IFERROR(INDEX(Settings!$E$5:$H$16,MATCH(I221,Settings!$D$5:$D$16,0),MATCH(O221,Settings!$E$4:$H$4,0)),"Check"))</f>
        <v/>
      </c>
      <c r="W221">
        <f>IF(V221="","",IF(V221="No","Yes","No"))</f>
        <v/>
      </c>
      <c r="X221">
        <f>IF(OR(E221="",G221=""),"",IF(LOWER(IF(RIGHT(TRIM(E221),1)="/",LEFT(TRIM(E221),LEN(TRIM(E221))-1),TRIM(E221)))&lt;&gt;LOWER(IF(RIGHT(TRIM(G221),1)="/",LEFT(TRIM(G221),LEN(TRIM(G221))-1),TRIM(G221))),"Yes","No"))</f>
        <v/>
      </c>
      <c r="Y221">
        <f>IF(A221="","",(N(Q221)&gt;0)+(T221="Yes")+(U221="Yes")+(W221="Yes")+(X221="Yes"))</f>
        <v/>
      </c>
      <c r="Z221">
        <f>IF(A221="","",IF(G221="","Not mapped",IF(Y221=0,"OK",MID(IF(N(Q221)&gt;0,"; Cannibalisation","")&amp;IF(T221="Yes","; Too many primary keywords on URL","")&amp;IF(U221="Yes","; URL spans 2+ clusters","")&amp;IF(W221="Yes","; Intent mismatch","")&amp;IF(X221="Yes","; Ranking URL is not the target",""),3,300))))</f>
        <v/>
      </c>
      <c r="AA221">
        <f>IF(G221="","",IF(COUNTIF($G$3:G221,SUBSTITUTE(SUBSTITUTE(G221,"?","~?"),"*","~*"))=1,MAX($AA$2:AA220)+1,""))</f>
        <v/>
      </c>
      <c r="AB221">
        <f>IF(B221="","",IF(COUNTIF($B$3:B221,SUBSTITUTE(SUBSTITUTE(B221,"?","~?"),"*","~*"))=1,MAX($AB$2:AB220)+1,""))</f>
        <v/>
      </c>
    </row>
    <row r="222">
      <c r="M222">
        <f>IF(A222="","",LOWER(TRIM(SUBSTITUTE(SUBSTITUTE(A222,"?",""),"*",""))))</f>
        <v/>
      </c>
      <c r="N222">
        <f>IF(M222="","",IF(SUMPRODUCT(ISNUMBER(SEARCH(" "&amp;Settings!$L$5:$L$124&amp;" "," "&amp;M222&amp;" "))*(Settings!$K$5:$K$124="Navigational")*(Settings!$L$5:$L$124&lt;&gt;""))&gt;0,"Navigational",IF(SUMPRODUCT(ISNUMBER(SEARCH(" "&amp;Settings!$L$5:$L$124&amp;" "," "&amp;M222&amp;" "))*(Settings!$K$5:$K$124="Transactional")*(Settings!$L$5:$L$124&lt;&gt;""))&gt;0,"Transactional",IF(SUMPRODUCT(ISNUMBER(SEARCH(" "&amp;Settings!$L$5:$L$124&amp;" "," "&amp;M222&amp;" "))*(Settings!$K$5:$K$124="Commercial")*(Settings!$L$5:$L$124&lt;&gt;""))&gt;0,"Commercial",IF(SUMPRODUCT(ISNUMBER(SEARCH(" "&amp;Settings!$L$5:$L$124&amp;" "," "&amp;M222&amp;" "))*(Settings!$K$5:$K$124="Informational")*(Settings!$L$5:$L$124&lt;&gt;""))&gt;0,"Informational","Unclassified")))))</f>
        <v/>
      </c>
      <c r="O222">
        <f>IF(A222="","",IF(K222&lt;&gt;"",PROPER(K222),N222))</f>
        <v/>
      </c>
      <c r="P222">
        <f>IF(A222="","",ROUND(Settings!$B$5*MIN(1,LOG10(N(C222)+1)/LOG10(Settings!$B$7+1))+Settings!$B$6*(1-MIN(100,IF(D222="",50,N(D222)))/100)+IFERROR(INDEX(Settings!$B$10:$B$14,MATCH(O222,Settings!$A$10:$A$14,0)),0),0))</f>
        <v/>
      </c>
      <c r="Q222">
        <f>IF(OR(A222="",G222=""),"",COUNTIFS($M$3:$M$1002,M222,$G$3:$G$1002,"&lt;&gt;"&amp;SUBSTITUTE(SUBSTITUTE(G222,"?","~?"),"*","~*"),$G$3:$G$1002,"?*"))</f>
        <v/>
      </c>
      <c r="R222">
        <f>IF(Q222="","",IF(Q222&gt;0,"Yes","No"))</f>
        <v/>
      </c>
      <c r="S222">
        <f>IF(G222="","",COUNTIFS($G$3:$G$1002,SUBSTITUTE(SUBSTITUTE(G222,"?","~?"),"*","~*"),$J$3:$J$1002,"Primary"))</f>
        <v/>
      </c>
      <c r="T222">
        <f>IF(S222="","",IF(S222&gt;Settings!$B$4,"Yes","No"))</f>
        <v/>
      </c>
      <c r="U222">
        <f>IF(OR(G222="",B222=""),"",IF(COUNTIFS($G$3:$G$1002,SUBSTITUTE(SUBSTITUTE(G222,"?","~?"),"*","~*"),$B$3:$B$1002,"&lt;&gt;"&amp;SUBSTITUTE(SUBSTITUTE(B222,"?","~?"),"*","~*"),$B$3:$B$1002,"?*")&gt;0,"Yes","No"))</f>
        <v/>
      </c>
      <c r="V222">
        <f>IF(OR(G222="",I222="",O222="",O222="Unclassified"),"",IFERROR(INDEX(Settings!$E$5:$H$16,MATCH(I222,Settings!$D$5:$D$16,0),MATCH(O222,Settings!$E$4:$H$4,0)),"Check"))</f>
        <v/>
      </c>
      <c r="W222">
        <f>IF(V222="","",IF(V222="No","Yes","No"))</f>
        <v/>
      </c>
      <c r="X222">
        <f>IF(OR(E222="",G222=""),"",IF(LOWER(IF(RIGHT(TRIM(E222),1)="/",LEFT(TRIM(E222),LEN(TRIM(E222))-1),TRIM(E222)))&lt;&gt;LOWER(IF(RIGHT(TRIM(G222),1)="/",LEFT(TRIM(G222),LEN(TRIM(G222))-1),TRIM(G222))),"Yes","No"))</f>
        <v/>
      </c>
      <c r="Y222">
        <f>IF(A222="","",(N(Q222)&gt;0)+(T222="Yes")+(U222="Yes")+(W222="Yes")+(X222="Yes"))</f>
        <v/>
      </c>
      <c r="Z222">
        <f>IF(A222="","",IF(G222="","Not mapped",IF(Y222=0,"OK",MID(IF(N(Q222)&gt;0,"; Cannibalisation","")&amp;IF(T222="Yes","; Too many primary keywords on URL","")&amp;IF(U222="Yes","; URL spans 2+ clusters","")&amp;IF(W222="Yes","; Intent mismatch","")&amp;IF(X222="Yes","; Ranking URL is not the target",""),3,300))))</f>
        <v/>
      </c>
      <c r="AA222">
        <f>IF(G222="","",IF(COUNTIF($G$3:G222,SUBSTITUTE(SUBSTITUTE(G222,"?","~?"),"*","~*"))=1,MAX($AA$2:AA221)+1,""))</f>
        <v/>
      </c>
      <c r="AB222">
        <f>IF(B222="","",IF(COUNTIF($B$3:B222,SUBSTITUTE(SUBSTITUTE(B222,"?","~?"),"*","~*"))=1,MAX($AB$2:AB221)+1,""))</f>
        <v/>
      </c>
    </row>
    <row r="223">
      <c r="M223">
        <f>IF(A223="","",LOWER(TRIM(SUBSTITUTE(SUBSTITUTE(A223,"?",""),"*",""))))</f>
        <v/>
      </c>
      <c r="N223">
        <f>IF(M223="","",IF(SUMPRODUCT(ISNUMBER(SEARCH(" "&amp;Settings!$L$5:$L$124&amp;" "," "&amp;M223&amp;" "))*(Settings!$K$5:$K$124="Navigational")*(Settings!$L$5:$L$124&lt;&gt;""))&gt;0,"Navigational",IF(SUMPRODUCT(ISNUMBER(SEARCH(" "&amp;Settings!$L$5:$L$124&amp;" "," "&amp;M223&amp;" "))*(Settings!$K$5:$K$124="Transactional")*(Settings!$L$5:$L$124&lt;&gt;""))&gt;0,"Transactional",IF(SUMPRODUCT(ISNUMBER(SEARCH(" "&amp;Settings!$L$5:$L$124&amp;" "," "&amp;M223&amp;" "))*(Settings!$K$5:$K$124="Commercial")*(Settings!$L$5:$L$124&lt;&gt;""))&gt;0,"Commercial",IF(SUMPRODUCT(ISNUMBER(SEARCH(" "&amp;Settings!$L$5:$L$124&amp;" "," "&amp;M223&amp;" "))*(Settings!$K$5:$K$124="Informational")*(Settings!$L$5:$L$124&lt;&gt;""))&gt;0,"Informational","Unclassified")))))</f>
        <v/>
      </c>
      <c r="O223">
        <f>IF(A223="","",IF(K223&lt;&gt;"",PROPER(K223),N223))</f>
        <v/>
      </c>
      <c r="P223">
        <f>IF(A223="","",ROUND(Settings!$B$5*MIN(1,LOG10(N(C223)+1)/LOG10(Settings!$B$7+1))+Settings!$B$6*(1-MIN(100,IF(D223="",50,N(D223)))/100)+IFERROR(INDEX(Settings!$B$10:$B$14,MATCH(O223,Settings!$A$10:$A$14,0)),0),0))</f>
        <v/>
      </c>
      <c r="Q223">
        <f>IF(OR(A223="",G223=""),"",COUNTIFS($M$3:$M$1002,M223,$G$3:$G$1002,"&lt;&gt;"&amp;SUBSTITUTE(SUBSTITUTE(G223,"?","~?"),"*","~*"),$G$3:$G$1002,"?*"))</f>
        <v/>
      </c>
      <c r="R223">
        <f>IF(Q223="","",IF(Q223&gt;0,"Yes","No"))</f>
        <v/>
      </c>
      <c r="S223">
        <f>IF(G223="","",COUNTIFS($G$3:$G$1002,SUBSTITUTE(SUBSTITUTE(G223,"?","~?"),"*","~*"),$J$3:$J$1002,"Primary"))</f>
        <v/>
      </c>
      <c r="T223">
        <f>IF(S223="","",IF(S223&gt;Settings!$B$4,"Yes","No"))</f>
        <v/>
      </c>
      <c r="U223">
        <f>IF(OR(G223="",B223=""),"",IF(COUNTIFS($G$3:$G$1002,SUBSTITUTE(SUBSTITUTE(G223,"?","~?"),"*","~*"),$B$3:$B$1002,"&lt;&gt;"&amp;SUBSTITUTE(SUBSTITUTE(B223,"?","~?"),"*","~*"),$B$3:$B$1002,"?*")&gt;0,"Yes","No"))</f>
        <v/>
      </c>
      <c r="V223">
        <f>IF(OR(G223="",I223="",O223="",O223="Unclassified"),"",IFERROR(INDEX(Settings!$E$5:$H$16,MATCH(I223,Settings!$D$5:$D$16,0),MATCH(O223,Settings!$E$4:$H$4,0)),"Check"))</f>
        <v/>
      </c>
      <c r="W223">
        <f>IF(V223="","",IF(V223="No","Yes","No"))</f>
        <v/>
      </c>
      <c r="X223">
        <f>IF(OR(E223="",G223=""),"",IF(LOWER(IF(RIGHT(TRIM(E223),1)="/",LEFT(TRIM(E223),LEN(TRIM(E223))-1),TRIM(E223)))&lt;&gt;LOWER(IF(RIGHT(TRIM(G223),1)="/",LEFT(TRIM(G223),LEN(TRIM(G223))-1),TRIM(G223))),"Yes","No"))</f>
        <v/>
      </c>
      <c r="Y223">
        <f>IF(A223="","",(N(Q223)&gt;0)+(T223="Yes")+(U223="Yes")+(W223="Yes")+(X223="Yes"))</f>
        <v/>
      </c>
      <c r="Z223">
        <f>IF(A223="","",IF(G223="","Not mapped",IF(Y223=0,"OK",MID(IF(N(Q223)&gt;0,"; Cannibalisation","")&amp;IF(T223="Yes","; Too many primary keywords on URL","")&amp;IF(U223="Yes","; URL spans 2+ clusters","")&amp;IF(W223="Yes","; Intent mismatch","")&amp;IF(X223="Yes","; Ranking URL is not the target",""),3,300))))</f>
        <v/>
      </c>
      <c r="AA223">
        <f>IF(G223="","",IF(COUNTIF($G$3:G223,SUBSTITUTE(SUBSTITUTE(G223,"?","~?"),"*","~*"))=1,MAX($AA$2:AA222)+1,""))</f>
        <v/>
      </c>
      <c r="AB223">
        <f>IF(B223="","",IF(COUNTIF($B$3:B223,SUBSTITUTE(SUBSTITUTE(B223,"?","~?"),"*","~*"))=1,MAX($AB$2:AB222)+1,""))</f>
        <v/>
      </c>
    </row>
    <row r="224">
      <c r="M224">
        <f>IF(A224="","",LOWER(TRIM(SUBSTITUTE(SUBSTITUTE(A224,"?",""),"*",""))))</f>
        <v/>
      </c>
      <c r="N224">
        <f>IF(M224="","",IF(SUMPRODUCT(ISNUMBER(SEARCH(" "&amp;Settings!$L$5:$L$124&amp;" "," "&amp;M224&amp;" "))*(Settings!$K$5:$K$124="Navigational")*(Settings!$L$5:$L$124&lt;&gt;""))&gt;0,"Navigational",IF(SUMPRODUCT(ISNUMBER(SEARCH(" "&amp;Settings!$L$5:$L$124&amp;" "," "&amp;M224&amp;" "))*(Settings!$K$5:$K$124="Transactional")*(Settings!$L$5:$L$124&lt;&gt;""))&gt;0,"Transactional",IF(SUMPRODUCT(ISNUMBER(SEARCH(" "&amp;Settings!$L$5:$L$124&amp;" "," "&amp;M224&amp;" "))*(Settings!$K$5:$K$124="Commercial")*(Settings!$L$5:$L$124&lt;&gt;""))&gt;0,"Commercial",IF(SUMPRODUCT(ISNUMBER(SEARCH(" "&amp;Settings!$L$5:$L$124&amp;" "," "&amp;M224&amp;" "))*(Settings!$K$5:$K$124="Informational")*(Settings!$L$5:$L$124&lt;&gt;""))&gt;0,"Informational","Unclassified")))))</f>
        <v/>
      </c>
      <c r="O224">
        <f>IF(A224="","",IF(K224&lt;&gt;"",PROPER(K224),N224))</f>
        <v/>
      </c>
      <c r="P224">
        <f>IF(A224="","",ROUND(Settings!$B$5*MIN(1,LOG10(N(C224)+1)/LOG10(Settings!$B$7+1))+Settings!$B$6*(1-MIN(100,IF(D224="",50,N(D224)))/100)+IFERROR(INDEX(Settings!$B$10:$B$14,MATCH(O224,Settings!$A$10:$A$14,0)),0),0))</f>
        <v/>
      </c>
      <c r="Q224">
        <f>IF(OR(A224="",G224=""),"",COUNTIFS($M$3:$M$1002,M224,$G$3:$G$1002,"&lt;&gt;"&amp;SUBSTITUTE(SUBSTITUTE(G224,"?","~?"),"*","~*"),$G$3:$G$1002,"?*"))</f>
        <v/>
      </c>
      <c r="R224">
        <f>IF(Q224="","",IF(Q224&gt;0,"Yes","No"))</f>
        <v/>
      </c>
      <c r="S224">
        <f>IF(G224="","",COUNTIFS($G$3:$G$1002,SUBSTITUTE(SUBSTITUTE(G224,"?","~?"),"*","~*"),$J$3:$J$1002,"Primary"))</f>
        <v/>
      </c>
      <c r="T224">
        <f>IF(S224="","",IF(S224&gt;Settings!$B$4,"Yes","No"))</f>
        <v/>
      </c>
      <c r="U224">
        <f>IF(OR(G224="",B224=""),"",IF(COUNTIFS($G$3:$G$1002,SUBSTITUTE(SUBSTITUTE(G224,"?","~?"),"*","~*"),$B$3:$B$1002,"&lt;&gt;"&amp;SUBSTITUTE(SUBSTITUTE(B224,"?","~?"),"*","~*"),$B$3:$B$1002,"?*")&gt;0,"Yes","No"))</f>
        <v/>
      </c>
      <c r="V224">
        <f>IF(OR(G224="",I224="",O224="",O224="Unclassified"),"",IFERROR(INDEX(Settings!$E$5:$H$16,MATCH(I224,Settings!$D$5:$D$16,0),MATCH(O224,Settings!$E$4:$H$4,0)),"Check"))</f>
        <v/>
      </c>
      <c r="W224">
        <f>IF(V224="","",IF(V224="No","Yes","No"))</f>
        <v/>
      </c>
      <c r="X224">
        <f>IF(OR(E224="",G224=""),"",IF(LOWER(IF(RIGHT(TRIM(E224),1)="/",LEFT(TRIM(E224),LEN(TRIM(E224))-1),TRIM(E224)))&lt;&gt;LOWER(IF(RIGHT(TRIM(G224),1)="/",LEFT(TRIM(G224),LEN(TRIM(G224))-1),TRIM(G224))),"Yes","No"))</f>
        <v/>
      </c>
      <c r="Y224">
        <f>IF(A224="","",(N(Q224)&gt;0)+(T224="Yes")+(U224="Yes")+(W224="Yes")+(X224="Yes"))</f>
        <v/>
      </c>
      <c r="Z224">
        <f>IF(A224="","",IF(G224="","Not mapped",IF(Y224=0,"OK",MID(IF(N(Q224)&gt;0,"; Cannibalisation","")&amp;IF(T224="Yes","; Too many primary keywords on URL","")&amp;IF(U224="Yes","; URL spans 2+ clusters","")&amp;IF(W224="Yes","; Intent mismatch","")&amp;IF(X224="Yes","; Ranking URL is not the target",""),3,300))))</f>
        <v/>
      </c>
      <c r="AA224">
        <f>IF(G224="","",IF(COUNTIF($G$3:G224,SUBSTITUTE(SUBSTITUTE(G224,"?","~?"),"*","~*"))=1,MAX($AA$2:AA223)+1,""))</f>
        <v/>
      </c>
      <c r="AB224">
        <f>IF(B224="","",IF(COUNTIF($B$3:B224,SUBSTITUTE(SUBSTITUTE(B224,"?","~?"),"*","~*"))=1,MAX($AB$2:AB223)+1,""))</f>
        <v/>
      </c>
    </row>
    <row r="225">
      <c r="M225">
        <f>IF(A225="","",LOWER(TRIM(SUBSTITUTE(SUBSTITUTE(A225,"?",""),"*",""))))</f>
        <v/>
      </c>
      <c r="N225">
        <f>IF(M225="","",IF(SUMPRODUCT(ISNUMBER(SEARCH(" "&amp;Settings!$L$5:$L$124&amp;" "," "&amp;M225&amp;" "))*(Settings!$K$5:$K$124="Navigational")*(Settings!$L$5:$L$124&lt;&gt;""))&gt;0,"Navigational",IF(SUMPRODUCT(ISNUMBER(SEARCH(" "&amp;Settings!$L$5:$L$124&amp;" "," "&amp;M225&amp;" "))*(Settings!$K$5:$K$124="Transactional")*(Settings!$L$5:$L$124&lt;&gt;""))&gt;0,"Transactional",IF(SUMPRODUCT(ISNUMBER(SEARCH(" "&amp;Settings!$L$5:$L$124&amp;" "," "&amp;M225&amp;" "))*(Settings!$K$5:$K$124="Commercial")*(Settings!$L$5:$L$124&lt;&gt;""))&gt;0,"Commercial",IF(SUMPRODUCT(ISNUMBER(SEARCH(" "&amp;Settings!$L$5:$L$124&amp;" "," "&amp;M225&amp;" "))*(Settings!$K$5:$K$124="Informational")*(Settings!$L$5:$L$124&lt;&gt;""))&gt;0,"Informational","Unclassified")))))</f>
        <v/>
      </c>
      <c r="O225">
        <f>IF(A225="","",IF(K225&lt;&gt;"",PROPER(K225),N225))</f>
        <v/>
      </c>
      <c r="P225">
        <f>IF(A225="","",ROUND(Settings!$B$5*MIN(1,LOG10(N(C225)+1)/LOG10(Settings!$B$7+1))+Settings!$B$6*(1-MIN(100,IF(D225="",50,N(D225)))/100)+IFERROR(INDEX(Settings!$B$10:$B$14,MATCH(O225,Settings!$A$10:$A$14,0)),0),0))</f>
        <v/>
      </c>
      <c r="Q225">
        <f>IF(OR(A225="",G225=""),"",COUNTIFS($M$3:$M$1002,M225,$G$3:$G$1002,"&lt;&gt;"&amp;SUBSTITUTE(SUBSTITUTE(G225,"?","~?"),"*","~*"),$G$3:$G$1002,"?*"))</f>
        <v/>
      </c>
      <c r="R225">
        <f>IF(Q225="","",IF(Q225&gt;0,"Yes","No"))</f>
        <v/>
      </c>
      <c r="S225">
        <f>IF(G225="","",COUNTIFS($G$3:$G$1002,SUBSTITUTE(SUBSTITUTE(G225,"?","~?"),"*","~*"),$J$3:$J$1002,"Primary"))</f>
        <v/>
      </c>
      <c r="T225">
        <f>IF(S225="","",IF(S225&gt;Settings!$B$4,"Yes","No"))</f>
        <v/>
      </c>
      <c r="U225">
        <f>IF(OR(G225="",B225=""),"",IF(COUNTIFS($G$3:$G$1002,SUBSTITUTE(SUBSTITUTE(G225,"?","~?"),"*","~*"),$B$3:$B$1002,"&lt;&gt;"&amp;SUBSTITUTE(SUBSTITUTE(B225,"?","~?"),"*","~*"),$B$3:$B$1002,"?*")&gt;0,"Yes","No"))</f>
        <v/>
      </c>
      <c r="V225">
        <f>IF(OR(G225="",I225="",O225="",O225="Unclassified"),"",IFERROR(INDEX(Settings!$E$5:$H$16,MATCH(I225,Settings!$D$5:$D$16,0),MATCH(O225,Settings!$E$4:$H$4,0)),"Check"))</f>
        <v/>
      </c>
      <c r="W225">
        <f>IF(V225="","",IF(V225="No","Yes","No"))</f>
        <v/>
      </c>
      <c r="X225">
        <f>IF(OR(E225="",G225=""),"",IF(LOWER(IF(RIGHT(TRIM(E225),1)="/",LEFT(TRIM(E225),LEN(TRIM(E225))-1),TRIM(E225)))&lt;&gt;LOWER(IF(RIGHT(TRIM(G225),1)="/",LEFT(TRIM(G225),LEN(TRIM(G225))-1),TRIM(G225))),"Yes","No"))</f>
        <v/>
      </c>
      <c r="Y225">
        <f>IF(A225="","",(N(Q225)&gt;0)+(T225="Yes")+(U225="Yes")+(W225="Yes")+(X225="Yes"))</f>
        <v/>
      </c>
      <c r="Z225">
        <f>IF(A225="","",IF(G225="","Not mapped",IF(Y225=0,"OK",MID(IF(N(Q225)&gt;0,"; Cannibalisation","")&amp;IF(T225="Yes","; Too many primary keywords on URL","")&amp;IF(U225="Yes","; URL spans 2+ clusters","")&amp;IF(W225="Yes","; Intent mismatch","")&amp;IF(X225="Yes","; Ranking URL is not the target",""),3,300))))</f>
        <v/>
      </c>
      <c r="AA225">
        <f>IF(G225="","",IF(COUNTIF($G$3:G225,SUBSTITUTE(SUBSTITUTE(G225,"?","~?"),"*","~*"))=1,MAX($AA$2:AA224)+1,""))</f>
        <v/>
      </c>
      <c r="AB225">
        <f>IF(B225="","",IF(COUNTIF($B$3:B225,SUBSTITUTE(SUBSTITUTE(B225,"?","~?"),"*","~*"))=1,MAX($AB$2:AB224)+1,""))</f>
        <v/>
      </c>
    </row>
    <row r="226">
      <c r="M226">
        <f>IF(A226="","",LOWER(TRIM(SUBSTITUTE(SUBSTITUTE(A226,"?",""),"*",""))))</f>
        <v/>
      </c>
      <c r="N226">
        <f>IF(M226="","",IF(SUMPRODUCT(ISNUMBER(SEARCH(" "&amp;Settings!$L$5:$L$124&amp;" "," "&amp;M226&amp;" "))*(Settings!$K$5:$K$124="Navigational")*(Settings!$L$5:$L$124&lt;&gt;""))&gt;0,"Navigational",IF(SUMPRODUCT(ISNUMBER(SEARCH(" "&amp;Settings!$L$5:$L$124&amp;" "," "&amp;M226&amp;" "))*(Settings!$K$5:$K$124="Transactional")*(Settings!$L$5:$L$124&lt;&gt;""))&gt;0,"Transactional",IF(SUMPRODUCT(ISNUMBER(SEARCH(" "&amp;Settings!$L$5:$L$124&amp;" "," "&amp;M226&amp;" "))*(Settings!$K$5:$K$124="Commercial")*(Settings!$L$5:$L$124&lt;&gt;""))&gt;0,"Commercial",IF(SUMPRODUCT(ISNUMBER(SEARCH(" "&amp;Settings!$L$5:$L$124&amp;" "," "&amp;M226&amp;" "))*(Settings!$K$5:$K$124="Informational")*(Settings!$L$5:$L$124&lt;&gt;""))&gt;0,"Informational","Unclassified")))))</f>
        <v/>
      </c>
      <c r="O226">
        <f>IF(A226="","",IF(K226&lt;&gt;"",PROPER(K226),N226))</f>
        <v/>
      </c>
      <c r="P226">
        <f>IF(A226="","",ROUND(Settings!$B$5*MIN(1,LOG10(N(C226)+1)/LOG10(Settings!$B$7+1))+Settings!$B$6*(1-MIN(100,IF(D226="",50,N(D226)))/100)+IFERROR(INDEX(Settings!$B$10:$B$14,MATCH(O226,Settings!$A$10:$A$14,0)),0),0))</f>
        <v/>
      </c>
      <c r="Q226">
        <f>IF(OR(A226="",G226=""),"",COUNTIFS($M$3:$M$1002,M226,$G$3:$G$1002,"&lt;&gt;"&amp;SUBSTITUTE(SUBSTITUTE(G226,"?","~?"),"*","~*"),$G$3:$G$1002,"?*"))</f>
        <v/>
      </c>
      <c r="R226">
        <f>IF(Q226="","",IF(Q226&gt;0,"Yes","No"))</f>
        <v/>
      </c>
      <c r="S226">
        <f>IF(G226="","",COUNTIFS($G$3:$G$1002,SUBSTITUTE(SUBSTITUTE(G226,"?","~?"),"*","~*"),$J$3:$J$1002,"Primary"))</f>
        <v/>
      </c>
      <c r="T226">
        <f>IF(S226="","",IF(S226&gt;Settings!$B$4,"Yes","No"))</f>
        <v/>
      </c>
      <c r="U226">
        <f>IF(OR(G226="",B226=""),"",IF(COUNTIFS($G$3:$G$1002,SUBSTITUTE(SUBSTITUTE(G226,"?","~?"),"*","~*"),$B$3:$B$1002,"&lt;&gt;"&amp;SUBSTITUTE(SUBSTITUTE(B226,"?","~?"),"*","~*"),$B$3:$B$1002,"?*")&gt;0,"Yes","No"))</f>
        <v/>
      </c>
      <c r="V226">
        <f>IF(OR(G226="",I226="",O226="",O226="Unclassified"),"",IFERROR(INDEX(Settings!$E$5:$H$16,MATCH(I226,Settings!$D$5:$D$16,0),MATCH(O226,Settings!$E$4:$H$4,0)),"Check"))</f>
        <v/>
      </c>
      <c r="W226">
        <f>IF(V226="","",IF(V226="No","Yes","No"))</f>
        <v/>
      </c>
      <c r="X226">
        <f>IF(OR(E226="",G226=""),"",IF(LOWER(IF(RIGHT(TRIM(E226),1)="/",LEFT(TRIM(E226),LEN(TRIM(E226))-1),TRIM(E226)))&lt;&gt;LOWER(IF(RIGHT(TRIM(G226),1)="/",LEFT(TRIM(G226),LEN(TRIM(G226))-1),TRIM(G226))),"Yes","No"))</f>
        <v/>
      </c>
      <c r="Y226">
        <f>IF(A226="","",(N(Q226)&gt;0)+(T226="Yes")+(U226="Yes")+(W226="Yes")+(X226="Yes"))</f>
        <v/>
      </c>
      <c r="Z226">
        <f>IF(A226="","",IF(G226="","Not mapped",IF(Y226=0,"OK",MID(IF(N(Q226)&gt;0,"; Cannibalisation","")&amp;IF(T226="Yes","; Too many primary keywords on URL","")&amp;IF(U226="Yes","; URL spans 2+ clusters","")&amp;IF(W226="Yes","; Intent mismatch","")&amp;IF(X226="Yes","; Ranking URL is not the target",""),3,300))))</f>
        <v/>
      </c>
      <c r="AA226">
        <f>IF(G226="","",IF(COUNTIF($G$3:G226,SUBSTITUTE(SUBSTITUTE(G226,"?","~?"),"*","~*"))=1,MAX($AA$2:AA225)+1,""))</f>
        <v/>
      </c>
      <c r="AB226">
        <f>IF(B226="","",IF(COUNTIF($B$3:B226,SUBSTITUTE(SUBSTITUTE(B226,"?","~?"),"*","~*"))=1,MAX($AB$2:AB225)+1,""))</f>
        <v/>
      </c>
    </row>
    <row r="227">
      <c r="M227">
        <f>IF(A227="","",LOWER(TRIM(SUBSTITUTE(SUBSTITUTE(A227,"?",""),"*",""))))</f>
        <v/>
      </c>
      <c r="N227">
        <f>IF(M227="","",IF(SUMPRODUCT(ISNUMBER(SEARCH(" "&amp;Settings!$L$5:$L$124&amp;" "," "&amp;M227&amp;" "))*(Settings!$K$5:$K$124="Navigational")*(Settings!$L$5:$L$124&lt;&gt;""))&gt;0,"Navigational",IF(SUMPRODUCT(ISNUMBER(SEARCH(" "&amp;Settings!$L$5:$L$124&amp;" "," "&amp;M227&amp;" "))*(Settings!$K$5:$K$124="Transactional")*(Settings!$L$5:$L$124&lt;&gt;""))&gt;0,"Transactional",IF(SUMPRODUCT(ISNUMBER(SEARCH(" "&amp;Settings!$L$5:$L$124&amp;" "," "&amp;M227&amp;" "))*(Settings!$K$5:$K$124="Commercial")*(Settings!$L$5:$L$124&lt;&gt;""))&gt;0,"Commercial",IF(SUMPRODUCT(ISNUMBER(SEARCH(" "&amp;Settings!$L$5:$L$124&amp;" "," "&amp;M227&amp;" "))*(Settings!$K$5:$K$124="Informational")*(Settings!$L$5:$L$124&lt;&gt;""))&gt;0,"Informational","Unclassified")))))</f>
        <v/>
      </c>
      <c r="O227">
        <f>IF(A227="","",IF(K227&lt;&gt;"",PROPER(K227),N227))</f>
        <v/>
      </c>
      <c r="P227">
        <f>IF(A227="","",ROUND(Settings!$B$5*MIN(1,LOG10(N(C227)+1)/LOG10(Settings!$B$7+1))+Settings!$B$6*(1-MIN(100,IF(D227="",50,N(D227)))/100)+IFERROR(INDEX(Settings!$B$10:$B$14,MATCH(O227,Settings!$A$10:$A$14,0)),0),0))</f>
        <v/>
      </c>
      <c r="Q227">
        <f>IF(OR(A227="",G227=""),"",COUNTIFS($M$3:$M$1002,M227,$G$3:$G$1002,"&lt;&gt;"&amp;SUBSTITUTE(SUBSTITUTE(G227,"?","~?"),"*","~*"),$G$3:$G$1002,"?*"))</f>
        <v/>
      </c>
      <c r="R227">
        <f>IF(Q227="","",IF(Q227&gt;0,"Yes","No"))</f>
        <v/>
      </c>
      <c r="S227">
        <f>IF(G227="","",COUNTIFS($G$3:$G$1002,SUBSTITUTE(SUBSTITUTE(G227,"?","~?"),"*","~*"),$J$3:$J$1002,"Primary"))</f>
        <v/>
      </c>
      <c r="T227">
        <f>IF(S227="","",IF(S227&gt;Settings!$B$4,"Yes","No"))</f>
        <v/>
      </c>
      <c r="U227">
        <f>IF(OR(G227="",B227=""),"",IF(COUNTIFS($G$3:$G$1002,SUBSTITUTE(SUBSTITUTE(G227,"?","~?"),"*","~*"),$B$3:$B$1002,"&lt;&gt;"&amp;SUBSTITUTE(SUBSTITUTE(B227,"?","~?"),"*","~*"),$B$3:$B$1002,"?*")&gt;0,"Yes","No"))</f>
        <v/>
      </c>
      <c r="V227">
        <f>IF(OR(G227="",I227="",O227="",O227="Unclassified"),"",IFERROR(INDEX(Settings!$E$5:$H$16,MATCH(I227,Settings!$D$5:$D$16,0),MATCH(O227,Settings!$E$4:$H$4,0)),"Check"))</f>
        <v/>
      </c>
      <c r="W227">
        <f>IF(V227="","",IF(V227="No","Yes","No"))</f>
        <v/>
      </c>
      <c r="X227">
        <f>IF(OR(E227="",G227=""),"",IF(LOWER(IF(RIGHT(TRIM(E227),1)="/",LEFT(TRIM(E227),LEN(TRIM(E227))-1),TRIM(E227)))&lt;&gt;LOWER(IF(RIGHT(TRIM(G227),1)="/",LEFT(TRIM(G227),LEN(TRIM(G227))-1),TRIM(G227))),"Yes","No"))</f>
        <v/>
      </c>
      <c r="Y227">
        <f>IF(A227="","",(N(Q227)&gt;0)+(T227="Yes")+(U227="Yes")+(W227="Yes")+(X227="Yes"))</f>
        <v/>
      </c>
      <c r="Z227">
        <f>IF(A227="","",IF(G227="","Not mapped",IF(Y227=0,"OK",MID(IF(N(Q227)&gt;0,"; Cannibalisation","")&amp;IF(T227="Yes","; Too many primary keywords on URL","")&amp;IF(U227="Yes","; URL spans 2+ clusters","")&amp;IF(W227="Yes","; Intent mismatch","")&amp;IF(X227="Yes","; Ranking URL is not the target",""),3,300))))</f>
        <v/>
      </c>
      <c r="AA227">
        <f>IF(G227="","",IF(COUNTIF($G$3:G227,SUBSTITUTE(SUBSTITUTE(G227,"?","~?"),"*","~*"))=1,MAX($AA$2:AA226)+1,""))</f>
        <v/>
      </c>
      <c r="AB227">
        <f>IF(B227="","",IF(COUNTIF($B$3:B227,SUBSTITUTE(SUBSTITUTE(B227,"?","~?"),"*","~*"))=1,MAX($AB$2:AB226)+1,""))</f>
        <v/>
      </c>
    </row>
    <row r="228">
      <c r="M228">
        <f>IF(A228="","",LOWER(TRIM(SUBSTITUTE(SUBSTITUTE(A228,"?",""),"*",""))))</f>
        <v/>
      </c>
      <c r="N228">
        <f>IF(M228="","",IF(SUMPRODUCT(ISNUMBER(SEARCH(" "&amp;Settings!$L$5:$L$124&amp;" "," "&amp;M228&amp;" "))*(Settings!$K$5:$K$124="Navigational")*(Settings!$L$5:$L$124&lt;&gt;""))&gt;0,"Navigational",IF(SUMPRODUCT(ISNUMBER(SEARCH(" "&amp;Settings!$L$5:$L$124&amp;" "," "&amp;M228&amp;" "))*(Settings!$K$5:$K$124="Transactional")*(Settings!$L$5:$L$124&lt;&gt;""))&gt;0,"Transactional",IF(SUMPRODUCT(ISNUMBER(SEARCH(" "&amp;Settings!$L$5:$L$124&amp;" "," "&amp;M228&amp;" "))*(Settings!$K$5:$K$124="Commercial")*(Settings!$L$5:$L$124&lt;&gt;""))&gt;0,"Commercial",IF(SUMPRODUCT(ISNUMBER(SEARCH(" "&amp;Settings!$L$5:$L$124&amp;" "," "&amp;M228&amp;" "))*(Settings!$K$5:$K$124="Informational")*(Settings!$L$5:$L$124&lt;&gt;""))&gt;0,"Informational","Unclassified")))))</f>
        <v/>
      </c>
      <c r="O228">
        <f>IF(A228="","",IF(K228&lt;&gt;"",PROPER(K228),N228))</f>
        <v/>
      </c>
      <c r="P228">
        <f>IF(A228="","",ROUND(Settings!$B$5*MIN(1,LOG10(N(C228)+1)/LOG10(Settings!$B$7+1))+Settings!$B$6*(1-MIN(100,IF(D228="",50,N(D228)))/100)+IFERROR(INDEX(Settings!$B$10:$B$14,MATCH(O228,Settings!$A$10:$A$14,0)),0),0))</f>
        <v/>
      </c>
      <c r="Q228">
        <f>IF(OR(A228="",G228=""),"",COUNTIFS($M$3:$M$1002,M228,$G$3:$G$1002,"&lt;&gt;"&amp;SUBSTITUTE(SUBSTITUTE(G228,"?","~?"),"*","~*"),$G$3:$G$1002,"?*"))</f>
        <v/>
      </c>
      <c r="R228">
        <f>IF(Q228="","",IF(Q228&gt;0,"Yes","No"))</f>
        <v/>
      </c>
      <c r="S228">
        <f>IF(G228="","",COUNTIFS($G$3:$G$1002,SUBSTITUTE(SUBSTITUTE(G228,"?","~?"),"*","~*"),$J$3:$J$1002,"Primary"))</f>
        <v/>
      </c>
      <c r="T228">
        <f>IF(S228="","",IF(S228&gt;Settings!$B$4,"Yes","No"))</f>
        <v/>
      </c>
      <c r="U228">
        <f>IF(OR(G228="",B228=""),"",IF(COUNTIFS($G$3:$G$1002,SUBSTITUTE(SUBSTITUTE(G228,"?","~?"),"*","~*"),$B$3:$B$1002,"&lt;&gt;"&amp;SUBSTITUTE(SUBSTITUTE(B228,"?","~?"),"*","~*"),$B$3:$B$1002,"?*")&gt;0,"Yes","No"))</f>
        <v/>
      </c>
      <c r="V228">
        <f>IF(OR(G228="",I228="",O228="",O228="Unclassified"),"",IFERROR(INDEX(Settings!$E$5:$H$16,MATCH(I228,Settings!$D$5:$D$16,0),MATCH(O228,Settings!$E$4:$H$4,0)),"Check"))</f>
        <v/>
      </c>
      <c r="W228">
        <f>IF(V228="","",IF(V228="No","Yes","No"))</f>
        <v/>
      </c>
      <c r="X228">
        <f>IF(OR(E228="",G228=""),"",IF(LOWER(IF(RIGHT(TRIM(E228),1)="/",LEFT(TRIM(E228),LEN(TRIM(E228))-1),TRIM(E228)))&lt;&gt;LOWER(IF(RIGHT(TRIM(G228),1)="/",LEFT(TRIM(G228),LEN(TRIM(G228))-1),TRIM(G228))),"Yes","No"))</f>
        <v/>
      </c>
      <c r="Y228">
        <f>IF(A228="","",(N(Q228)&gt;0)+(T228="Yes")+(U228="Yes")+(W228="Yes")+(X228="Yes"))</f>
        <v/>
      </c>
      <c r="Z228">
        <f>IF(A228="","",IF(G228="","Not mapped",IF(Y228=0,"OK",MID(IF(N(Q228)&gt;0,"; Cannibalisation","")&amp;IF(T228="Yes","; Too many primary keywords on URL","")&amp;IF(U228="Yes","; URL spans 2+ clusters","")&amp;IF(W228="Yes","; Intent mismatch","")&amp;IF(X228="Yes","; Ranking URL is not the target",""),3,300))))</f>
        <v/>
      </c>
      <c r="AA228">
        <f>IF(G228="","",IF(COUNTIF($G$3:G228,SUBSTITUTE(SUBSTITUTE(G228,"?","~?"),"*","~*"))=1,MAX($AA$2:AA227)+1,""))</f>
        <v/>
      </c>
      <c r="AB228">
        <f>IF(B228="","",IF(COUNTIF($B$3:B228,SUBSTITUTE(SUBSTITUTE(B228,"?","~?"),"*","~*"))=1,MAX($AB$2:AB227)+1,""))</f>
        <v/>
      </c>
    </row>
    <row r="229">
      <c r="M229">
        <f>IF(A229="","",LOWER(TRIM(SUBSTITUTE(SUBSTITUTE(A229,"?",""),"*",""))))</f>
        <v/>
      </c>
      <c r="N229">
        <f>IF(M229="","",IF(SUMPRODUCT(ISNUMBER(SEARCH(" "&amp;Settings!$L$5:$L$124&amp;" "," "&amp;M229&amp;" "))*(Settings!$K$5:$K$124="Navigational")*(Settings!$L$5:$L$124&lt;&gt;""))&gt;0,"Navigational",IF(SUMPRODUCT(ISNUMBER(SEARCH(" "&amp;Settings!$L$5:$L$124&amp;" "," "&amp;M229&amp;" "))*(Settings!$K$5:$K$124="Transactional")*(Settings!$L$5:$L$124&lt;&gt;""))&gt;0,"Transactional",IF(SUMPRODUCT(ISNUMBER(SEARCH(" "&amp;Settings!$L$5:$L$124&amp;" "," "&amp;M229&amp;" "))*(Settings!$K$5:$K$124="Commercial")*(Settings!$L$5:$L$124&lt;&gt;""))&gt;0,"Commercial",IF(SUMPRODUCT(ISNUMBER(SEARCH(" "&amp;Settings!$L$5:$L$124&amp;" "," "&amp;M229&amp;" "))*(Settings!$K$5:$K$124="Informational")*(Settings!$L$5:$L$124&lt;&gt;""))&gt;0,"Informational","Unclassified")))))</f>
        <v/>
      </c>
      <c r="O229">
        <f>IF(A229="","",IF(K229&lt;&gt;"",PROPER(K229),N229))</f>
        <v/>
      </c>
      <c r="P229">
        <f>IF(A229="","",ROUND(Settings!$B$5*MIN(1,LOG10(N(C229)+1)/LOG10(Settings!$B$7+1))+Settings!$B$6*(1-MIN(100,IF(D229="",50,N(D229)))/100)+IFERROR(INDEX(Settings!$B$10:$B$14,MATCH(O229,Settings!$A$10:$A$14,0)),0),0))</f>
        <v/>
      </c>
      <c r="Q229">
        <f>IF(OR(A229="",G229=""),"",COUNTIFS($M$3:$M$1002,M229,$G$3:$G$1002,"&lt;&gt;"&amp;SUBSTITUTE(SUBSTITUTE(G229,"?","~?"),"*","~*"),$G$3:$G$1002,"?*"))</f>
        <v/>
      </c>
      <c r="R229">
        <f>IF(Q229="","",IF(Q229&gt;0,"Yes","No"))</f>
        <v/>
      </c>
      <c r="S229">
        <f>IF(G229="","",COUNTIFS($G$3:$G$1002,SUBSTITUTE(SUBSTITUTE(G229,"?","~?"),"*","~*"),$J$3:$J$1002,"Primary"))</f>
        <v/>
      </c>
      <c r="T229">
        <f>IF(S229="","",IF(S229&gt;Settings!$B$4,"Yes","No"))</f>
        <v/>
      </c>
      <c r="U229">
        <f>IF(OR(G229="",B229=""),"",IF(COUNTIFS($G$3:$G$1002,SUBSTITUTE(SUBSTITUTE(G229,"?","~?"),"*","~*"),$B$3:$B$1002,"&lt;&gt;"&amp;SUBSTITUTE(SUBSTITUTE(B229,"?","~?"),"*","~*"),$B$3:$B$1002,"?*")&gt;0,"Yes","No"))</f>
        <v/>
      </c>
      <c r="V229">
        <f>IF(OR(G229="",I229="",O229="",O229="Unclassified"),"",IFERROR(INDEX(Settings!$E$5:$H$16,MATCH(I229,Settings!$D$5:$D$16,0),MATCH(O229,Settings!$E$4:$H$4,0)),"Check"))</f>
        <v/>
      </c>
      <c r="W229">
        <f>IF(V229="","",IF(V229="No","Yes","No"))</f>
        <v/>
      </c>
      <c r="X229">
        <f>IF(OR(E229="",G229=""),"",IF(LOWER(IF(RIGHT(TRIM(E229),1)="/",LEFT(TRIM(E229),LEN(TRIM(E229))-1),TRIM(E229)))&lt;&gt;LOWER(IF(RIGHT(TRIM(G229),1)="/",LEFT(TRIM(G229),LEN(TRIM(G229))-1),TRIM(G229))),"Yes","No"))</f>
        <v/>
      </c>
      <c r="Y229">
        <f>IF(A229="","",(N(Q229)&gt;0)+(T229="Yes")+(U229="Yes")+(W229="Yes")+(X229="Yes"))</f>
        <v/>
      </c>
      <c r="Z229">
        <f>IF(A229="","",IF(G229="","Not mapped",IF(Y229=0,"OK",MID(IF(N(Q229)&gt;0,"; Cannibalisation","")&amp;IF(T229="Yes","; Too many primary keywords on URL","")&amp;IF(U229="Yes","; URL spans 2+ clusters","")&amp;IF(W229="Yes","; Intent mismatch","")&amp;IF(X229="Yes","; Ranking URL is not the target",""),3,300))))</f>
        <v/>
      </c>
      <c r="AA229">
        <f>IF(G229="","",IF(COUNTIF($G$3:G229,SUBSTITUTE(SUBSTITUTE(G229,"?","~?"),"*","~*"))=1,MAX($AA$2:AA228)+1,""))</f>
        <v/>
      </c>
      <c r="AB229">
        <f>IF(B229="","",IF(COUNTIF($B$3:B229,SUBSTITUTE(SUBSTITUTE(B229,"?","~?"),"*","~*"))=1,MAX($AB$2:AB228)+1,""))</f>
        <v/>
      </c>
    </row>
    <row r="230">
      <c r="M230">
        <f>IF(A230="","",LOWER(TRIM(SUBSTITUTE(SUBSTITUTE(A230,"?",""),"*",""))))</f>
        <v/>
      </c>
      <c r="N230">
        <f>IF(M230="","",IF(SUMPRODUCT(ISNUMBER(SEARCH(" "&amp;Settings!$L$5:$L$124&amp;" "," "&amp;M230&amp;" "))*(Settings!$K$5:$K$124="Navigational")*(Settings!$L$5:$L$124&lt;&gt;""))&gt;0,"Navigational",IF(SUMPRODUCT(ISNUMBER(SEARCH(" "&amp;Settings!$L$5:$L$124&amp;" "," "&amp;M230&amp;" "))*(Settings!$K$5:$K$124="Transactional")*(Settings!$L$5:$L$124&lt;&gt;""))&gt;0,"Transactional",IF(SUMPRODUCT(ISNUMBER(SEARCH(" "&amp;Settings!$L$5:$L$124&amp;" "," "&amp;M230&amp;" "))*(Settings!$K$5:$K$124="Commercial")*(Settings!$L$5:$L$124&lt;&gt;""))&gt;0,"Commercial",IF(SUMPRODUCT(ISNUMBER(SEARCH(" "&amp;Settings!$L$5:$L$124&amp;" "," "&amp;M230&amp;" "))*(Settings!$K$5:$K$124="Informational")*(Settings!$L$5:$L$124&lt;&gt;""))&gt;0,"Informational","Unclassified")))))</f>
        <v/>
      </c>
      <c r="O230">
        <f>IF(A230="","",IF(K230&lt;&gt;"",PROPER(K230),N230))</f>
        <v/>
      </c>
      <c r="P230">
        <f>IF(A230="","",ROUND(Settings!$B$5*MIN(1,LOG10(N(C230)+1)/LOG10(Settings!$B$7+1))+Settings!$B$6*(1-MIN(100,IF(D230="",50,N(D230)))/100)+IFERROR(INDEX(Settings!$B$10:$B$14,MATCH(O230,Settings!$A$10:$A$14,0)),0),0))</f>
        <v/>
      </c>
      <c r="Q230">
        <f>IF(OR(A230="",G230=""),"",COUNTIFS($M$3:$M$1002,M230,$G$3:$G$1002,"&lt;&gt;"&amp;SUBSTITUTE(SUBSTITUTE(G230,"?","~?"),"*","~*"),$G$3:$G$1002,"?*"))</f>
        <v/>
      </c>
      <c r="R230">
        <f>IF(Q230="","",IF(Q230&gt;0,"Yes","No"))</f>
        <v/>
      </c>
      <c r="S230">
        <f>IF(G230="","",COUNTIFS($G$3:$G$1002,SUBSTITUTE(SUBSTITUTE(G230,"?","~?"),"*","~*"),$J$3:$J$1002,"Primary"))</f>
        <v/>
      </c>
      <c r="T230">
        <f>IF(S230="","",IF(S230&gt;Settings!$B$4,"Yes","No"))</f>
        <v/>
      </c>
      <c r="U230">
        <f>IF(OR(G230="",B230=""),"",IF(COUNTIFS($G$3:$G$1002,SUBSTITUTE(SUBSTITUTE(G230,"?","~?"),"*","~*"),$B$3:$B$1002,"&lt;&gt;"&amp;SUBSTITUTE(SUBSTITUTE(B230,"?","~?"),"*","~*"),$B$3:$B$1002,"?*")&gt;0,"Yes","No"))</f>
        <v/>
      </c>
      <c r="V230">
        <f>IF(OR(G230="",I230="",O230="",O230="Unclassified"),"",IFERROR(INDEX(Settings!$E$5:$H$16,MATCH(I230,Settings!$D$5:$D$16,0),MATCH(O230,Settings!$E$4:$H$4,0)),"Check"))</f>
        <v/>
      </c>
      <c r="W230">
        <f>IF(V230="","",IF(V230="No","Yes","No"))</f>
        <v/>
      </c>
      <c r="X230">
        <f>IF(OR(E230="",G230=""),"",IF(LOWER(IF(RIGHT(TRIM(E230),1)="/",LEFT(TRIM(E230),LEN(TRIM(E230))-1),TRIM(E230)))&lt;&gt;LOWER(IF(RIGHT(TRIM(G230),1)="/",LEFT(TRIM(G230),LEN(TRIM(G230))-1),TRIM(G230))),"Yes","No"))</f>
        <v/>
      </c>
      <c r="Y230">
        <f>IF(A230="","",(N(Q230)&gt;0)+(T230="Yes")+(U230="Yes")+(W230="Yes")+(X230="Yes"))</f>
        <v/>
      </c>
      <c r="Z230">
        <f>IF(A230="","",IF(G230="","Not mapped",IF(Y230=0,"OK",MID(IF(N(Q230)&gt;0,"; Cannibalisation","")&amp;IF(T230="Yes","; Too many primary keywords on URL","")&amp;IF(U230="Yes","; URL spans 2+ clusters","")&amp;IF(W230="Yes","; Intent mismatch","")&amp;IF(X230="Yes","; Ranking URL is not the target",""),3,300))))</f>
        <v/>
      </c>
      <c r="AA230">
        <f>IF(G230="","",IF(COUNTIF($G$3:G230,SUBSTITUTE(SUBSTITUTE(G230,"?","~?"),"*","~*"))=1,MAX($AA$2:AA229)+1,""))</f>
        <v/>
      </c>
      <c r="AB230">
        <f>IF(B230="","",IF(COUNTIF($B$3:B230,SUBSTITUTE(SUBSTITUTE(B230,"?","~?"),"*","~*"))=1,MAX($AB$2:AB229)+1,""))</f>
        <v/>
      </c>
    </row>
    <row r="231">
      <c r="M231">
        <f>IF(A231="","",LOWER(TRIM(SUBSTITUTE(SUBSTITUTE(A231,"?",""),"*",""))))</f>
        <v/>
      </c>
      <c r="N231">
        <f>IF(M231="","",IF(SUMPRODUCT(ISNUMBER(SEARCH(" "&amp;Settings!$L$5:$L$124&amp;" "," "&amp;M231&amp;" "))*(Settings!$K$5:$K$124="Navigational")*(Settings!$L$5:$L$124&lt;&gt;""))&gt;0,"Navigational",IF(SUMPRODUCT(ISNUMBER(SEARCH(" "&amp;Settings!$L$5:$L$124&amp;" "," "&amp;M231&amp;" "))*(Settings!$K$5:$K$124="Transactional")*(Settings!$L$5:$L$124&lt;&gt;""))&gt;0,"Transactional",IF(SUMPRODUCT(ISNUMBER(SEARCH(" "&amp;Settings!$L$5:$L$124&amp;" "," "&amp;M231&amp;" "))*(Settings!$K$5:$K$124="Commercial")*(Settings!$L$5:$L$124&lt;&gt;""))&gt;0,"Commercial",IF(SUMPRODUCT(ISNUMBER(SEARCH(" "&amp;Settings!$L$5:$L$124&amp;" "," "&amp;M231&amp;" "))*(Settings!$K$5:$K$124="Informational")*(Settings!$L$5:$L$124&lt;&gt;""))&gt;0,"Informational","Unclassified")))))</f>
        <v/>
      </c>
      <c r="O231">
        <f>IF(A231="","",IF(K231&lt;&gt;"",PROPER(K231),N231))</f>
        <v/>
      </c>
      <c r="P231">
        <f>IF(A231="","",ROUND(Settings!$B$5*MIN(1,LOG10(N(C231)+1)/LOG10(Settings!$B$7+1))+Settings!$B$6*(1-MIN(100,IF(D231="",50,N(D231)))/100)+IFERROR(INDEX(Settings!$B$10:$B$14,MATCH(O231,Settings!$A$10:$A$14,0)),0),0))</f>
        <v/>
      </c>
      <c r="Q231">
        <f>IF(OR(A231="",G231=""),"",COUNTIFS($M$3:$M$1002,M231,$G$3:$G$1002,"&lt;&gt;"&amp;SUBSTITUTE(SUBSTITUTE(G231,"?","~?"),"*","~*"),$G$3:$G$1002,"?*"))</f>
        <v/>
      </c>
      <c r="R231">
        <f>IF(Q231="","",IF(Q231&gt;0,"Yes","No"))</f>
        <v/>
      </c>
      <c r="S231">
        <f>IF(G231="","",COUNTIFS($G$3:$G$1002,SUBSTITUTE(SUBSTITUTE(G231,"?","~?"),"*","~*"),$J$3:$J$1002,"Primary"))</f>
        <v/>
      </c>
      <c r="T231">
        <f>IF(S231="","",IF(S231&gt;Settings!$B$4,"Yes","No"))</f>
        <v/>
      </c>
      <c r="U231">
        <f>IF(OR(G231="",B231=""),"",IF(COUNTIFS($G$3:$G$1002,SUBSTITUTE(SUBSTITUTE(G231,"?","~?"),"*","~*"),$B$3:$B$1002,"&lt;&gt;"&amp;SUBSTITUTE(SUBSTITUTE(B231,"?","~?"),"*","~*"),$B$3:$B$1002,"?*")&gt;0,"Yes","No"))</f>
        <v/>
      </c>
      <c r="V231">
        <f>IF(OR(G231="",I231="",O231="",O231="Unclassified"),"",IFERROR(INDEX(Settings!$E$5:$H$16,MATCH(I231,Settings!$D$5:$D$16,0),MATCH(O231,Settings!$E$4:$H$4,0)),"Check"))</f>
        <v/>
      </c>
      <c r="W231">
        <f>IF(V231="","",IF(V231="No","Yes","No"))</f>
        <v/>
      </c>
      <c r="X231">
        <f>IF(OR(E231="",G231=""),"",IF(LOWER(IF(RIGHT(TRIM(E231),1)="/",LEFT(TRIM(E231),LEN(TRIM(E231))-1),TRIM(E231)))&lt;&gt;LOWER(IF(RIGHT(TRIM(G231),1)="/",LEFT(TRIM(G231),LEN(TRIM(G231))-1),TRIM(G231))),"Yes","No"))</f>
        <v/>
      </c>
      <c r="Y231">
        <f>IF(A231="","",(N(Q231)&gt;0)+(T231="Yes")+(U231="Yes")+(W231="Yes")+(X231="Yes"))</f>
        <v/>
      </c>
      <c r="Z231">
        <f>IF(A231="","",IF(G231="","Not mapped",IF(Y231=0,"OK",MID(IF(N(Q231)&gt;0,"; Cannibalisation","")&amp;IF(T231="Yes","; Too many primary keywords on URL","")&amp;IF(U231="Yes","; URL spans 2+ clusters","")&amp;IF(W231="Yes","; Intent mismatch","")&amp;IF(X231="Yes","; Ranking URL is not the target",""),3,300))))</f>
        <v/>
      </c>
      <c r="AA231">
        <f>IF(G231="","",IF(COUNTIF($G$3:G231,SUBSTITUTE(SUBSTITUTE(G231,"?","~?"),"*","~*"))=1,MAX($AA$2:AA230)+1,""))</f>
        <v/>
      </c>
      <c r="AB231">
        <f>IF(B231="","",IF(COUNTIF($B$3:B231,SUBSTITUTE(SUBSTITUTE(B231,"?","~?"),"*","~*"))=1,MAX($AB$2:AB230)+1,""))</f>
        <v/>
      </c>
    </row>
    <row r="232">
      <c r="M232">
        <f>IF(A232="","",LOWER(TRIM(SUBSTITUTE(SUBSTITUTE(A232,"?",""),"*",""))))</f>
        <v/>
      </c>
      <c r="N232">
        <f>IF(M232="","",IF(SUMPRODUCT(ISNUMBER(SEARCH(" "&amp;Settings!$L$5:$L$124&amp;" "," "&amp;M232&amp;" "))*(Settings!$K$5:$K$124="Navigational")*(Settings!$L$5:$L$124&lt;&gt;""))&gt;0,"Navigational",IF(SUMPRODUCT(ISNUMBER(SEARCH(" "&amp;Settings!$L$5:$L$124&amp;" "," "&amp;M232&amp;" "))*(Settings!$K$5:$K$124="Transactional")*(Settings!$L$5:$L$124&lt;&gt;""))&gt;0,"Transactional",IF(SUMPRODUCT(ISNUMBER(SEARCH(" "&amp;Settings!$L$5:$L$124&amp;" "," "&amp;M232&amp;" "))*(Settings!$K$5:$K$124="Commercial")*(Settings!$L$5:$L$124&lt;&gt;""))&gt;0,"Commercial",IF(SUMPRODUCT(ISNUMBER(SEARCH(" "&amp;Settings!$L$5:$L$124&amp;" "," "&amp;M232&amp;" "))*(Settings!$K$5:$K$124="Informational")*(Settings!$L$5:$L$124&lt;&gt;""))&gt;0,"Informational","Unclassified")))))</f>
        <v/>
      </c>
      <c r="O232">
        <f>IF(A232="","",IF(K232&lt;&gt;"",PROPER(K232),N232))</f>
        <v/>
      </c>
      <c r="P232">
        <f>IF(A232="","",ROUND(Settings!$B$5*MIN(1,LOG10(N(C232)+1)/LOG10(Settings!$B$7+1))+Settings!$B$6*(1-MIN(100,IF(D232="",50,N(D232)))/100)+IFERROR(INDEX(Settings!$B$10:$B$14,MATCH(O232,Settings!$A$10:$A$14,0)),0),0))</f>
        <v/>
      </c>
      <c r="Q232">
        <f>IF(OR(A232="",G232=""),"",COUNTIFS($M$3:$M$1002,M232,$G$3:$G$1002,"&lt;&gt;"&amp;SUBSTITUTE(SUBSTITUTE(G232,"?","~?"),"*","~*"),$G$3:$G$1002,"?*"))</f>
        <v/>
      </c>
      <c r="R232">
        <f>IF(Q232="","",IF(Q232&gt;0,"Yes","No"))</f>
        <v/>
      </c>
      <c r="S232">
        <f>IF(G232="","",COUNTIFS($G$3:$G$1002,SUBSTITUTE(SUBSTITUTE(G232,"?","~?"),"*","~*"),$J$3:$J$1002,"Primary"))</f>
        <v/>
      </c>
      <c r="T232">
        <f>IF(S232="","",IF(S232&gt;Settings!$B$4,"Yes","No"))</f>
        <v/>
      </c>
      <c r="U232">
        <f>IF(OR(G232="",B232=""),"",IF(COUNTIFS($G$3:$G$1002,SUBSTITUTE(SUBSTITUTE(G232,"?","~?"),"*","~*"),$B$3:$B$1002,"&lt;&gt;"&amp;SUBSTITUTE(SUBSTITUTE(B232,"?","~?"),"*","~*"),$B$3:$B$1002,"?*")&gt;0,"Yes","No"))</f>
        <v/>
      </c>
      <c r="V232">
        <f>IF(OR(G232="",I232="",O232="",O232="Unclassified"),"",IFERROR(INDEX(Settings!$E$5:$H$16,MATCH(I232,Settings!$D$5:$D$16,0),MATCH(O232,Settings!$E$4:$H$4,0)),"Check"))</f>
        <v/>
      </c>
      <c r="W232">
        <f>IF(V232="","",IF(V232="No","Yes","No"))</f>
        <v/>
      </c>
      <c r="X232">
        <f>IF(OR(E232="",G232=""),"",IF(LOWER(IF(RIGHT(TRIM(E232),1)="/",LEFT(TRIM(E232),LEN(TRIM(E232))-1),TRIM(E232)))&lt;&gt;LOWER(IF(RIGHT(TRIM(G232),1)="/",LEFT(TRIM(G232),LEN(TRIM(G232))-1),TRIM(G232))),"Yes","No"))</f>
        <v/>
      </c>
      <c r="Y232">
        <f>IF(A232="","",(N(Q232)&gt;0)+(T232="Yes")+(U232="Yes")+(W232="Yes")+(X232="Yes"))</f>
        <v/>
      </c>
      <c r="Z232">
        <f>IF(A232="","",IF(G232="","Not mapped",IF(Y232=0,"OK",MID(IF(N(Q232)&gt;0,"; Cannibalisation","")&amp;IF(T232="Yes","; Too many primary keywords on URL","")&amp;IF(U232="Yes","; URL spans 2+ clusters","")&amp;IF(W232="Yes","; Intent mismatch","")&amp;IF(X232="Yes","; Ranking URL is not the target",""),3,300))))</f>
        <v/>
      </c>
      <c r="AA232">
        <f>IF(G232="","",IF(COUNTIF($G$3:G232,SUBSTITUTE(SUBSTITUTE(G232,"?","~?"),"*","~*"))=1,MAX($AA$2:AA231)+1,""))</f>
        <v/>
      </c>
      <c r="AB232">
        <f>IF(B232="","",IF(COUNTIF($B$3:B232,SUBSTITUTE(SUBSTITUTE(B232,"?","~?"),"*","~*"))=1,MAX($AB$2:AB231)+1,""))</f>
        <v/>
      </c>
    </row>
    <row r="233">
      <c r="M233">
        <f>IF(A233="","",LOWER(TRIM(SUBSTITUTE(SUBSTITUTE(A233,"?",""),"*",""))))</f>
        <v/>
      </c>
      <c r="N233">
        <f>IF(M233="","",IF(SUMPRODUCT(ISNUMBER(SEARCH(" "&amp;Settings!$L$5:$L$124&amp;" "," "&amp;M233&amp;" "))*(Settings!$K$5:$K$124="Navigational")*(Settings!$L$5:$L$124&lt;&gt;""))&gt;0,"Navigational",IF(SUMPRODUCT(ISNUMBER(SEARCH(" "&amp;Settings!$L$5:$L$124&amp;" "," "&amp;M233&amp;" "))*(Settings!$K$5:$K$124="Transactional")*(Settings!$L$5:$L$124&lt;&gt;""))&gt;0,"Transactional",IF(SUMPRODUCT(ISNUMBER(SEARCH(" "&amp;Settings!$L$5:$L$124&amp;" "," "&amp;M233&amp;" "))*(Settings!$K$5:$K$124="Commercial")*(Settings!$L$5:$L$124&lt;&gt;""))&gt;0,"Commercial",IF(SUMPRODUCT(ISNUMBER(SEARCH(" "&amp;Settings!$L$5:$L$124&amp;" "," "&amp;M233&amp;" "))*(Settings!$K$5:$K$124="Informational")*(Settings!$L$5:$L$124&lt;&gt;""))&gt;0,"Informational","Unclassified")))))</f>
        <v/>
      </c>
      <c r="O233">
        <f>IF(A233="","",IF(K233&lt;&gt;"",PROPER(K233),N233))</f>
        <v/>
      </c>
      <c r="P233">
        <f>IF(A233="","",ROUND(Settings!$B$5*MIN(1,LOG10(N(C233)+1)/LOG10(Settings!$B$7+1))+Settings!$B$6*(1-MIN(100,IF(D233="",50,N(D233)))/100)+IFERROR(INDEX(Settings!$B$10:$B$14,MATCH(O233,Settings!$A$10:$A$14,0)),0),0))</f>
        <v/>
      </c>
      <c r="Q233">
        <f>IF(OR(A233="",G233=""),"",COUNTIFS($M$3:$M$1002,M233,$G$3:$G$1002,"&lt;&gt;"&amp;SUBSTITUTE(SUBSTITUTE(G233,"?","~?"),"*","~*"),$G$3:$G$1002,"?*"))</f>
        <v/>
      </c>
      <c r="R233">
        <f>IF(Q233="","",IF(Q233&gt;0,"Yes","No"))</f>
        <v/>
      </c>
      <c r="S233">
        <f>IF(G233="","",COUNTIFS($G$3:$G$1002,SUBSTITUTE(SUBSTITUTE(G233,"?","~?"),"*","~*"),$J$3:$J$1002,"Primary"))</f>
        <v/>
      </c>
      <c r="T233">
        <f>IF(S233="","",IF(S233&gt;Settings!$B$4,"Yes","No"))</f>
        <v/>
      </c>
      <c r="U233">
        <f>IF(OR(G233="",B233=""),"",IF(COUNTIFS($G$3:$G$1002,SUBSTITUTE(SUBSTITUTE(G233,"?","~?"),"*","~*"),$B$3:$B$1002,"&lt;&gt;"&amp;SUBSTITUTE(SUBSTITUTE(B233,"?","~?"),"*","~*"),$B$3:$B$1002,"?*")&gt;0,"Yes","No"))</f>
        <v/>
      </c>
      <c r="V233">
        <f>IF(OR(G233="",I233="",O233="",O233="Unclassified"),"",IFERROR(INDEX(Settings!$E$5:$H$16,MATCH(I233,Settings!$D$5:$D$16,0),MATCH(O233,Settings!$E$4:$H$4,0)),"Check"))</f>
        <v/>
      </c>
      <c r="W233">
        <f>IF(V233="","",IF(V233="No","Yes","No"))</f>
        <v/>
      </c>
      <c r="X233">
        <f>IF(OR(E233="",G233=""),"",IF(LOWER(IF(RIGHT(TRIM(E233),1)="/",LEFT(TRIM(E233),LEN(TRIM(E233))-1),TRIM(E233)))&lt;&gt;LOWER(IF(RIGHT(TRIM(G233),1)="/",LEFT(TRIM(G233),LEN(TRIM(G233))-1),TRIM(G233))),"Yes","No"))</f>
        <v/>
      </c>
      <c r="Y233">
        <f>IF(A233="","",(N(Q233)&gt;0)+(T233="Yes")+(U233="Yes")+(W233="Yes")+(X233="Yes"))</f>
        <v/>
      </c>
      <c r="Z233">
        <f>IF(A233="","",IF(G233="","Not mapped",IF(Y233=0,"OK",MID(IF(N(Q233)&gt;0,"; Cannibalisation","")&amp;IF(T233="Yes","; Too many primary keywords on URL","")&amp;IF(U233="Yes","; URL spans 2+ clusters","")&amp;IF(W233="Yes","; Intent mismatch","")&amp;IF(X233="Yes","; Ranking URL is not the target",""),3,300))))</f>
        <v/>
      </c>
      <c r="AA233">
        <f>IF(G233="","",IF(COUNTIF($G$3:G233,SUBSTITUTE(SUBSTITUTE(G233,"?","~?"),"*","~*"))=1,MAX($AA$2:AA232)+1,""))</f>
        <v/>
      </c>
      <c r="AB233">
        <f>IF(B233="","",IF(COUNTIF($B$3:B233,SUBSTITUTE(SUBSTITUTE(B233,"?","~?"),"*","~*"))=1,MAX($AB$2:AB232)+1,""))</f>
        <v/>
      </c>
    </row>
    <row r="234">
      <c r="M234">
        <f>IF(A234="","",LOWER(TRIM(SUBSTITUTE(SUBSTITUTE(A234,"?",""),"*",""))))</f>
        <v/>
      </c>
      <c r="N234">
        <f>IF(M234="","",IF(SUMPRODUCT(ISNUMBER(SEARCH(" "&amp;Settings!$L$5:$L$124&amp;" "," "&amp;M234&amp;" "))*(Settings!$K$5:$K$124="Navigational")*(Settings!$L$5:$L$124&lt;&gt;""))&gt;0,"Navigational",IF(SUMPRODUCT(ISNUMBER(SEARCH(" "&amp;Settings!$L$5:$L$124&amp;" "," "&amp;M234&amp;" "))*(Settings!$K$5:$K$124="Transactional")*(Settings!$L$5:$L$124&lt;&gt;""))&gt;0,"Transactional",IF(SUMPRODUCT(ISNUMBER(SEARCH(" "&amp;Settings!$L$5:$L$124&amp;" "," "&amp;M234&amp;" "))*(Settings!$K$5:$K$124="Commercial")*(Settings!$L$5:$L$124&lt;&gt;""))&gt;0,"Commercial",IF(SUMPRODUCT(ISNUMBER(SEARCH(" "&amp;Settings!$L$5:$L$124&amp;" "," "&amp;M234&amp;" "))*(Settings!$K$5:$K$124="Informational")*(Settings!$L$5:$L$124&lt;&gt;""))&gt;0,"Informational","Unclassified")))))</f>
        <v/>
      </c>
      <c r="O234">
        <f>IF(A234="","",IF(K234&lt;&gt;"",PROPER(K234),N234))</f>
        <v/>
      </c>
      <c r="P234">
        <f>IF(A234="","",ROUND(Settings!$B$5*MIN(1,LOG10(N(C234)+1)/LOG10(Settings!$B$7+1))+Settings!$B$6*(1-MIN(100,IF(D234="",50,N(D234)))/100)+IFERROR(INDEX(Settings!$B$10:$B$14,MATCH(O234,Settings!$A$10:$A$14,0)),0),0))</f>
        <v/>
      </c>
      <c r="Q234">
        <f>IF(OR(A234="",G234=""),"",COUNTIFS($M$3:$M$1002,M234,$G$3:$G$1002,"&lt;&gt;"&amp;SUBSTITUTE(SUBSTITUTE(G234,"?","~?"),"*","~*"),$G$3:$G$1002,"?*"))</f>
        <v/>
      </c>
      <c r="R234">
        <f>IF(Q234="","",IF(Q234&gt;0,"Yes","No"))</f>
        <v/>
      </c>
      <c r="S234">
        <f>IF(G234="","",COUNTIFS($G$3:$G$1002,SUBSTITUTE(SUBSTITUTE(G234,"?","~?"),"*","~*"),$J$3:$J$1002,"Primary"))</f>
        <v/>
      </c>
      <c r="T234">
        <f>IF(S234="","",IF(S234&gt;Settings!$B$4,"Yes","No"))</f>
        <v/>
      </c>
      <c r="U234">
        <f>IF(OR(G234="",B234=""),"",IF(COUNTIFS($G$3:$G$1002,SUBSTITUTE(SUBSTITUTE(G234,"?","~?"),"*","~*"),$B$3:$B$1002,"&lt;&gt;"&amp;SUBSTITUTE(SUBSTITUTE(B234,"?","~?"),"*","~*"),$B$3:$B$1002,"?*")&gt;0,"Yes","No"))</f>
        <v/>
      </c>
      <c r="V234">
        <f>IF(OR(G234="",I234="",O234="",O234="Unclassified"),"",IFERROR(INDEX(Settings!$E$5:$H$16,MATCH(I234,Settings!$D$5:$D$16,0),MATCH(O234,Settings!$E$4:$H$4,0)),"Check"))</f>
        <v/>
      </c>
      <c r="W234">
        <f>IF(V234="","",IF(V234="No","Yes","No"))</f>
        <v/>
      </c>
      <c r="X234">
        <f>IF(OR(E234="",G234=""),"",IF(LOWER(IF(RIGHT(TRIM(E234),1)="/",LEFT(TRIM(E234),LEN(TRIM(E234))-1),TRIM(E234)))&lt;&gt;LOWER(IF(RIGHT(TRIM(G234),1)="/",LEFT(TRIM(G234),LEN(TRIM(G234))-1),TRIM(G234))),"Yes","No"))</f>
        <v/>
      </c>
      <c r="Y234">
        <f>IF(A234="","",(N(Q234)&gt;0)+(T234="Yes")+(U234="Yes")+(W234="Yes")+(X234="Yes"))</f>
        <v/>
      </c>
      <c r="Z234">
        <f>IF(A234="","",IF(G234="","Not mapped",IF(Y234=0,"OK",MID(IF(N(Q234)&gt;0,"; Cannibalisation","")&amp;IF(T234="Yes","; Too many primary keywords on URL","")&amp;IF(U234="Yes","; URL spans 2+ clusters","")&amp;IF(W234="Yes","; Intent mismatch","")&amp;IF(X234="Yes","; Ranking URL is not the target",""),3,300))))</f>
        <v/>
      </c>
      <c r="AA234">
        <f>IF(G234="","",IF(COUNTIF($G$3:G234,SUBSTITUTE(SUBSTITUTE(G234,"?","~?"),"*","~*"))=1,MAX($AA$2:AA233)+1,""))</f>
        <v/>
      </c>
      <c r="AB234">
        <f>IF(B234="","",IF(COUNTIF($B$3:B234,SUBSTITUTE(SUBSTITUTE(B234,"?","~?"),"*","~*"))=1,MAX($AB$2:AB233)+1,""))</f>
        <v/>
      </c>
    </row>
    <row r="235">
      <c r="M235">
        <f>IF(A235="","",LOWER(TRIM(SUBSTITUTE(SUBSTITUTE(A235,"?",""),"*",""))))</f>
        <v/>
      </c>
      <c r="N235">
        <f>IF(M235="","",IF(SUMPRODUCT(ISNUMBER(SEARCH(" "&amp;Settings!$L$5:$L$124&amp;" "," "&amp;M235&amp;" "))*(Settings!$K$5:$K$124="Navigational")*(Settings!$L$5:$L$124&lt;&gt;""))&gt;0,"Navigational",IF(SUMPRODUCT(ISNUMBER(SEARCH(" "&amp;Settings!$L$5:$L$124&amp;" "," "&amp;M235&amp;" "))*(Settings!$K$5:$K$124="Transactional")*(Settings!$L$5:$L$124&lt;&gt;""))&gt;0,"Transactional",IF(SUMPRODUCT(ISNUMBER(SEARCH(" "&amp;Settings!$L$5:$L$124&amp;" "," "&amp;M235&amp;" "))*(Settings!$K$5:$K$124="Commercial")*(Settings!$L$5:$L$124&lt;&gt;""))&gt;0,"Commercial",IF(SUMPRODUCT(ISNUMBER(SEARCH(" "&amp;Settings!$L$5:$L$124&amp;" "," "&amp;M235&amp;" "))*(Settings!$K$5:$K$124="Informational")*(Settings!$L$5:$L$124&lt;&gt;""))&gt;0,"Informational","Unclassified")))))</f>
        <v/>
      </c>
      <c r="O235">
        <f>IF(A235="","",IF(K235&lt;&gt;"",PROPER(K235),N235))</f>
        <v/>
      </c>
      <c r="P235">
        <f>IF(A235="","",ROUND(Settings!$B$5*MIN(1,LOG10(N(C235)+1)/LOG10(Settings!$B$7+1))+Settings!$B$6*(1-MIN(100,IF(D235="",50,N(D235)))/100)+IFERROR(INDEX(Settings!$B$10:$B$14,MATCH(O235,Settings!$A$10:$A$14,0)),0),0))</f>
        <v/>
      </c>
      <c r="Q235">
        <f>IF(OR(A235="",G235=""),"",COUNTIFS($M$3:$M$1002,M235,$G$3:$G$1002,"&lt;&gt;"&amp;SUBSTITUTE(SUBSTITUTE(G235,"?","~?"),"*","~*"),$G$3:$G$1002,"?*"))</f>
        <v/>
      </c>
      <c r="R235">
        <f>IF(Q235="","",IF(Q235&gt;0,"Yes","No"))</f>
        <v/>
      </c>
      <c r="S235">
        <f>IF(G235="","",COUNTIFS($G$3:$G$1002,SUBSTITUTE(SUBSTITUTE(G235,"?","~?"),"*","~*"),$J$3:$J$1002,"Primary"))</f>
        <v/>
      </c>
      <c r="T235">
        <f>IF(S235="","",IF(S235&gt;Settings!$B$4,"Yes","No"))</f>
        <v/>
      </c>
      <c r="U235">
        <f>IF(OR(G235="",B235=""),"",IF(COUNTIFS($G$3:$G$1002,SUBSTITUTE(SUBSTITUTE(G235,"?","~?"),"*","~*"),$B$3:$B$1002,"&lt;&gt;"&amp;SUBSTITUTE(SUBSTITUTE(B235,"?","~?"),"*","~*"),$B$3:$B$1002,"?*")&gt;0,"Yes","No"))</f>
        <v/>
      </c>
      <c r="V235">
        <f>IF(OR(G235="",I235="",O235="",O235="Unclassified"),"",IFERROR(INDEX(Settings!$E$5:$H$16,MATCH(I235,Settings!$D$5:$D$16,0),MATCH(O235,Settings!$E$4:$H$4,0)),"Check"))</f>
        <v/>
      </c>
      <c r="W235">
        <f>IF(V235="","",IF(V235="No","Yes","No"))</f>
        <v/>
      </c>
      <c r="X235">
        <f>IF(OR(E235="",G235=""),"",IF(LOWER(IF(RIGHT(TRIM(E235),1)="/",LEFT(TRIM(E235),LEN(TRIM(E235))-1),TRIM(E235)))&lt;&gt;LOWER(IF(RIGHT(TRIM(G235),1)="/",LEFT(TRIM(G235),LEN(TRIM(G235))-1),TRIM(G235))),"Yes","No"))</f>
        <v/>
      </c>
      <c r="Y235">
        <f>IF(A235="","",(N(Q235)&gt;0)+(T235="Yes")+(U235="Yes")+(W235="Yes")+(X235="Yes"))</f>
        <v/>
      </c>
      <c r="Z235">
        <f>IF(A235="","",IF(G235="","Not mapped",IF(Y235=0,"OK",MID(IF(N(Q235)&gt;0,"; Cannibalisation","")&amp;IF(T235="Yes","; Too many primary keywords on URL","")&amp;IF(U235="Yes","; URL spans 2+ clusters","")&amp;IF(W235="Yes","; Intent mismatch","")&amp;IF(X235="Yes","; Ranking URL is not the target",""),3,300))))</f>
        <v/>
      </c>
      <c r="AA235">
        <f>IF(G235="","",IF(COUNTIF($G$3:G235,SUBSTITUTE(SUBSTITUTE(G235,"?","~?"),"*","~*"))=1,MAX($AA$2:AA234)+1,""))</f>
        <v/>
      </c>
      <c r="AB235">
        <f>IF(B235="","",IF(COUNTIF($B$3:B235,SUBSTITUTE(SUBSTITUTE(B235,"?","~?"),"*","~*"))=1,MAX($AB$2:AB234)+1,""))</f>
        <v/>
      </c>
    </row>
    <row r="236">
      <c r="M236">
        <f>IF(A236="","",LOWER(TRIM(SUBSTITUTE(SUBSTITUTE(A236,"?",""),"*",""))))</f>
        <v/>
      </c>
      <c r="N236">
        <f>IF(M236="","",IF(SUMPRODUCT(ISNUMBER(SEARCH(" "&amp;Settings!$L$5:$L$124&amp;" "," "&amp;M236&amp;" "))*(Settings!$K$5:$K$124="Navigational")*(Settings!$L$5:$L$124&lt;&gt;""))&gt;0,"Navigational",IF(SUMPRODUCT(ISNUMBER(SEARCH(" "&amp;Settings!$L$5:$L$124&amp;" "," "&amp;M236&amp;" "))*(Settings!$K$5:$K$124="Transactional")*(Settings!$L$5:$L$124&lt;&gt;""))&gt;0,"Transactional",IF(SUMPRODUCT(ISNUMBER(SEARCH(" "&amp;Settings!$L$5:$L$124&amp;" "," "&amp;M236&amp;" "))*(Settings!$K$5:$K$124="Commercial")*(Settings!$L$5:$L$124&lt;&gt;""))&gt;0,"Commercial",IF(SUMPRODUCT(ISNUMBER(SEARCH(" "&amp;Settings!$L$5:$L$124&amp;" "," "&amp;M236&amp;" "))*(Settings!$K$5:$K$124="Informational")*(Settings!$L$5:$L$124&lt;&gt;""))&gt;0,"Informational","Unclassified")))))</f>
        <v/>
      </c>
      <c r="O236">
        <f>IF(A236="","",IF(K236&lt;&gt;"",PROPER(K236),N236))</f>
        <v/>
      </c>
      <c r="P236">
        <f>IF(A236="","",ROUND(Settings!$B$5*MIN(1,LOG10(N(C236)+1)/LOG10(Settings!$B$7+1))+Settings!$B$6*(1-MIN(100,IF(D236="",50,N(D236)))/100)+IFERROR(INDEX(Settings!$B$10:$B$14,MATCH(O236,Settings!$A$10:$A$14,0)),0),0))</f>
        <v/>
      </c>
      <c r="Q236">
        <f>IF(OR(A236="",G236=""),"",COUNTIFS($M$3:$M$1002,M236,$G$3:$G$1002,"&lt;&gt;"&amp;SUBSTITUTE(SUBSTITUTE(G236,"?","~?"),"*","~*"),$G$3:$G$1002,"?*"))</f>
        <v/>
      </c>
      <c r="R236">
        <f>IF(Q236="","",IF(Q236&gt;0,"Yes","No"))</f>
        <v/>
      </c>
      <c r="S236">
        <f>IF(G236="","",COUNTIFS($G$3:$G$1002,SUBSTITUTE(SUBSTITUTE(G236,"?","~?"),"*","~*"),$J$3:$J$1002,"Primary"))</f>
        <v/>
      </c>
      <c r="T236">
        <f>IF(S236="","",IF(S236&gt;Settings!$B$4,"Yes","No"))</f>
        <v/>
      </c>
      <c r="U236">
        <f>IF(OR(G236="",B236=""),"",IF(COUNTIFS($G$3:$G$1002,SUBSTITUTE(SUBSTITUTE(G236,"?","~?"),"*","~*"),$B$3:$B$1002,"&lt;&gt;"&amp;SUBSTITUTE(SUBSTITUTE(B236,"?","~?"),"*","~*"),$B$3:$B$1002,"?*")&gt;0,"Yes","No"))</f>
        <v/>
      </c>
      <c r="V236">
        <f>IF(OR(G236="",I236="",O236="",O236="Unclassified"),"",IFERROR(INDEX(Settings!$E$5:$H$16,MATCH(I236,Settings!$D$5:$D$16,0),MATCH(O236,Settings!$E$4:$H$4,0)),"Check"))</f>
        <v/>
      </c>
      <c r="W236">
        <f>IF(V236="","",IF(V236="No","Yes","No"))</f>
        <v/>
      </c>
      <c r="X236">
        <f>IF(OR(E236="",G236=""),"",IF(LOWER(IF(RIGHT(TRIM(E236),1)="/",LEFT(TRIM(E236),LEN(TRIM(E236))-1),TRIM(E236)))&lt;&gt;LOWER(IF(RIGHT(TRIM(G236),1)="/",LEFT(TRIM(G236),LEN(TRIM(G236))-1),TRIM(G236))),"Yes","No"))</f>
        <v/>
      </c>
      <c r="Y236">
        <f>IF(A236="","",(N(Q236)&gt;0)+(T236="Yes")+(U236="Yes")+(W236="Yes")+(X236="Yes"))</f>
        <v/>
      </c>
      <c r="Z236">
        <f>IF(A236="","",IF(G236="","Not mapped",IF(Y236=0,"OK",MID(IF(N(Q236)&gt;0,"; Cannibalisation","")&amp;IF(T236="Yes","; Too many primary keywords on URL","")&amp;IF(U236="Yes","; URL spans 2+ clusters","")&amp;IF(W236="Yes","; Intent mismatch","")&amp;IF(X236="Yes","; Ranking URL is not the target",""),3,300))))</f>
        <v/>
      </c>
      <c r="AA236">
        <f>IF(G236="","",IF(COUNTIF($G$3:G236,SUBSTITUTE(SUBSTITUTE(G236,"?","~?"),"*","~*"))=1,MAX($AA$2:AA235)+1,""))</f>
        <v/>
      </c>
      <c r="AB236">
        <f>IF(B236="","",IF(COUNTIF($B$3:B236,SUBSTITUTE(SUBSTITUTE(B236,"?","~?"),"*","~*"))=1,MAX($AB$2:AB235)+1,""))</f>
        <v/>
      </c>
    </row>
    <row r="237">
      <c r="M237">
        <f>IF(A237="","",LOWER(TRIM(SUBSTITUTE(SUBSTITUTE(A237,"?",""),"*",""))))</f>
        <v/>
      </c>
      <c r="N237">
        <f>IF(M237="","",IF(SUMPRODUCT(ISNUMBER(SEARCH(" "&amp;Settings!$L$5:$L$124&amp;" "," "&amp;M237&amp;" "))*(Settings!$K$5:$K$124="Navigational")*(Settings!$L$5:$L$124&lt;&gt;""))&gt;0,"Navigational",IF(SUMPRODUCT(ISNUMBER(SEARCH(" "&amp;Settings!$L$5:$L$124&amp;" "," "&amp;M237&amp;" "))*(Settings!$K$5:$K$124="Transactional")*(Settings!$L$5:$L$124&lt;&gt;""))&gt;0,"Transactional",IF(SUMPRODUCT(ISNUMBER(SEARCH(" "&amp;Settings!$L$5:$L$124&amp;" "," "&amp;M237&amp;" "))*(Settings!$K$5:$K$124="Commercial")*(Settings!$L$5:$L$124&lt;&gt;""))&gt;0,"Commercial",IF(SUMPRODUCT(ISNUMBER(SEARCH(" "&amp;Settings!$L$5:$L$124&amp;" "," "&amp;M237&amp;" "))*(Settings!$K$5:$K$124="Informational")*(Settings!$L$5:$L$124&lt;&gt;""))&gt;0,"Informational","Unclassified")))))</f>
        <v/>
      </c>
      <c r="O237">
        <f>IF(A237="","",IF(K237&lt;&gt;"",PROPER(K237),N237))</f>
        <v/>
      </c>
      <c r="P237">
        <f>IF(A237="","",ROUND(Settings!$B$5*MIN(1,LOG10(N(C237)+1)/LOG10(Settings!$B$7+1))+Settings!$B$6*(1-MIN(100,IF(D237="",50,N(D237)))/100)+IFERROR(INDEX(Settings!$B$10:$B$14,MATCH(O237,Settings!$A$10:$A$14,0)),0),0))</f>
        <v/>
      </c>
      <c r="Q237">
        <f>IF(OR(A237="",G237=""),"",COUNTIFS($M$3:$M$1002,M237,$G$3:$G$1002,"&lt;&gt;"&amp;SUBSTITUTE(SUBSTITUTE(G237,"?","~?"),"*","~*"),$G$3:$G$1002,"?*"))</f>
        <v/>
      </c>
      <c r="R237">
        <f>IF(Q237="","",IF(Q237&gt;0,"Yes","No"))</f>
        <v/>
      </c>
      <c r="S237">
        <f>IF(G237="","",COUNTIFS($G$3:$G$1002,SUBSTITUTE(SUBSTITUTE(G237,"?","~?"),"*","~*"),$J$3:$J$1002,"Primary"))</f>
        <v/>
      </c>
      <c r="T237">
        <f>IF(S237="","",IF(S237&gt;Settings!$B$4,"Yes","No"))</f>
        <v/>
      </c>
      <c r="U237">
        <f>IF(OR(G237="",B237=""),"",IF(COUNTIFS($G$3:$G$1002,SUBSTITUTE(SUBSTITUTE(G237,"?","~?"),"*","~*"),$B$3:$B$1002,"&lt;&gt;"&amp;SUBSTITUTE(SUBSTITUTE(B237,"?","~?"),"*","~*"),$B$3:$B$1002,"?*")&gt;0,"Yes","No"))</f>
        <v/>
      </c>
      <c r="V237">
        <f>IF(OR(G237="",I237="",O237="",O237="Unclassified"),"",IFERROR(INDEX(Settings!$E$5:$H$16,MATCH(I237,Settings!$D$5:$D$16,0),MATCH(O237,Settings!$E$4:$H$4,0)),"Check"))</f>
        <v/>
      </c>
      <c r="W237">
        <f>IF(V237="","",IF(V237="No","Yes","No"))</f>
        <v/>
      </c>
      <c r="X237">
        <f>IF(OR(E237="",G237=""),"",IF(LOWER(IF(RIGHT(TRIM(E237),1)="/",LEFT(TRIM(E237),LEN(TRIM(E237))-1),TRIM(E237)))&lt;&gt;LOWER(IF(RIGHT(TRIM(G237),1)="/",LEFT(TRIM(G237),LEN(TRIM(G237))-1),TRIM(G237))),"Yes","No"))</f>
        <v/>
      </c>
      <c r="Y237">
        <f>IF(A237="","",(N(Q237)&gt;0)+(T237="Yes")+(U237="Yes")+(W237="Yes")+(X237="Yes"))</f>
        <v/>
      </c>
      <c r="Z237">
        <f>IF(A237="","",IF(G237="","Not mapped",IF(Y237=0,"OK",MID(IF(N(Q237)&gt;0,"; Cannibalisation","")&amp;IF(T237="Yes","; Too many primary keywords on URL","")&amp;IF(U237="Yes","; URL spans 2+ clusters","")&amp;IF(W237="Yes","; Intent mismatch","")&amp;IF(X237="Yes","; Ranking URL is not the target",""),3,300))))</f>
        <v/>
      </c>
      <c r="AA237">
        <f>IF(G237="","",IF(COUNTIF($G$3:G237,SUBSTITUTE(SUBSTITUTE(G237,"?","~?"),"*","~*"))=1,MAX($AA$2:AA236)+1,""))</f>
        <v/>
      </c>
      <c r="AB237">
        <f>IF(B237="","",IF(COUNTIF($B$3:B237,SUBSTITUTE(SUBSTITUTE(B237,"?","~?"),"*","~*"))=1,MAX($AB$2:AB236)+1,""))</f>
        <v/>
      </c>
    </row>
    <row r="238">
      <c r="M238">
        <f>IF(A238="","",LOWER(TRIM(SUBSTITUTE(SUBSTITUTE(A238,"?",""),"*",""))))</f>
        <v/>
      </c>
      <c r="N238">
        <f>IF(M238="","",IF(SUMPRODUCT(ISNUMBER(SEARCH(" "&amp;Settings!$L$5:$L$124&amp;" "," "&amp;M238&amp;" "))*(Settings!$K$5:$K$124="Navigational")*(Settings!$L$5:$L$124&lt;&gt;""))&gt;0,"Navigational",IF(SUMPRODUCT(ISNUMBER(SEARCH(" "&amp;Settings!$L$5:$L$124&amp;" "," "&amp;M238&amp;" "))*(Settings!$K$5:$K$124="Transactional")*(Settings!$L$5:$L$124&lt;&gt;""))&gt;0,"Transactional",IF(SUMPRODUCT(ISNUMBER(SEARCH(" "&amp;Settings!$L$5:$L$124&amp;" "," "&amp;M238&amp;" "))*(Settings!$K$5:$K$124="Commercial")*(Settings!$L$5:$L$124&lt;&gt;""))&gt;0,"Commercial",IF(SUMPRODUCT(ISNUMBER(SEARCH(" "&amp;Settings!$L$5:$L$124&amp;" "," "&amp;M238&amp;" "))*(Settings!$K$5:$K$124="Informational")*(Settings!$L$5:$L$124&lt;&gt;""))&gt;0,"Informational","Unclassified")))))</f>
        <v/>
      </c>
      <c r="O238">
        <f>IF(A238="","",IF(K238&lt;&gt;"",PROPER(K238),N238))</f>
        <v/>
      </c>
      <c r="P238">
        <f>IF(A238="","",ROUND(Settings!$B$5*MIN(1,LOG10(N(C238)+1)/LOG10(Settings!$B$7+1))+Settings!$B$6*(1-MIN(100,IF(D238="",50,N(D238)))/100)+IFERROR(INDEX(Settings!$B$10:$B$14,MATCH(O238,Settings!$A$10:$A$14,0)),0),0))</f>
        <v/>
      </c>
      <c r="Q238">
        <f>IF(OR(A238="",G238=""),"",COUNTIFS($M$3:$M$1002,M238,$G$3:$G$1002,"&lt;&gt;"&amp;SUBSTITUTE(SUBSTITUTE(G238,"?","~?"),"*","~*"),$G$3:$G$1002,"?*"))</f>
        <v/>
      </c>
      <c r="R238">
        <f>IF(Q238="","",IF(Q238&gt;0,"Yes","No"))</f>
        <v/>
      </c>
      <c r="S238">
        <f>IF(G238="","",COUNTIFS($G$3:$G$1002,SUBSTITUTE(SUBSTITUTE(G238,"?","~?"),"*","~*"),$J$3:$J$1002,"Primary"))</f>
        <v/>
      </c>
      <c r="T238">
        <f>IF(S238="","",IF(S238&gt;Settings!$B$4,"Yes","No"))</f>
        <v/>
      </c>
      <c r="U238">
        <f>IF(OR(G238="",B238=""),"",IF(COUNTIFS($G$3:$G$1002,SUBSTITUTE(SUBSTITUTE(G238,"?","~?"),"*","~*"),$B$3:$B$1002,"&lt;&gt;"&amp;SUBSTITUTE(SUBSTITUTE(B238,"?","~?"),"*","~*"),$B$3:$B$1002,"?*")&gt;0,"Yes","No"))</f>
        <v/>
      </c>
      <c r="V238">
        <f>IF(OR(G238="",I238="",O238="",O238="Unclassified"),"",IFERROR(INDEX(Settings!$E$5:$H$16,MATCH(I238,Settings!$D$5:$D$16,0),MATCH(O238,Settings!$E$4:$H$4,0)),"Check"))</f>
        <v/>
      </c>
      <c r="W238">
        <f>IF(V238="","",IF(V238="No","Yes","No"))</f>
        <v/>
      </c>
      <c r="X238">
        <f>IF(OR(E238="",G238=""),"",IF(LOWER(IF(RIGHT(TRIM(E238),1)="/",LEFT(TRIM(E238),LEN(TRIM(E238))-1),TRIM(E238)))&lt;&gt;LOWER(IF(RIGHT(TRIM(G238),1)="/",LEFT(TRIM(G238),LEN(TRIM(G238))-1),TRIM(G238))),"Yes","No"))</f>
        <v/>
      </c>
      <c r="Y238">
        <f>IF(A238="","",(N(Q238)&gt;0)+(T238="Yes")+(U238="Yes")+(W238="Yes")+(X238="Yes"))</f>
        <v/>
      </c>
      <c r="Z238">
        <f>IF(A238="","",IF(G238="","Not mapped",IF(Y238=0,"OK",MID(IF(N(Q238)&gt;0,"; Cannibalisation","")&amp;IF(T238="Yes","; Too many primary keywords on URL","")&amp;IF(U238="Yes","; URL spans 2+ clusters","")&amp;IF(W238="Yes","; Intent mismatch","")&amp;IF(X238="Yes","; Ranking URL is not the target",""),3,300))))</f>
        <v/>
      </c>
      <c r="AA238">
        <f>IF(G238="","",IF(COUNTIF($G$3:G238,SUBSTITUTE(SUBSTITUTE(G238,"?","~?"),"*","~*"))=1,MAX($AA$2:AA237)+1,""))</f>
        <v/>
      </c>
      <c r="AB238">
        <f>IF(B238="","",IF(COUNTIF($B$3:B238,SUBSTITUTE(SUBSTITUTE(B238,"?","~?"),"*","~*"))=1,MAX($AB$2:AB237)+1,""))</f>
        <v/>
      </c>
    </row>
    <row r="239">
      <c r="M239">
        <f>IF(A239="","",LOWER(TRIM(SUBSTITUTE(SUBSTITUTE(A239,"?",""),"*",""))))</f>
        <v/>
      </c>
      <c r="N239">
        <f>IF(M239="","",IF(SUMPRODUCT(ISNUMBER(SEARCH(" "&amp;Settings!$L$5:$L$124&amp;" "," "&amp;M239&amp;" "))*(Settings!$K$5:$K$124="Navigational")*(Settings!$L$5:$L$124&lt;&gt;""))&gt;0,"Navigational",IF(SUMPRODUCT(ISNUMBER(SEARCH(" "&amp;Settings!$L$5:$L$124&amp;" "," "&amp;M239&amp;" "))*(Settings!$K$5:$K$124="Transactional")*(Settings!$L$5:$L$124&lt;&gt;""))&gt;0,"Transactional",IF(SUMPRODUCT(ISNUMBER(SEARCH(" "&amp;Settings!$L$5:$L$124&amp;" "," "&amp;M239&amp;" "))*(Settings!$K$5:$K$124="Commercial")*(Settings!$L$5:$L$124&lt;&gt;""))&gt;0,"Commercial",IF(SUMPRODUCT(ISNUMBER(SEARCH(" "&amp;Settings!$L$5:$L$124&amp;" "," "&amp;M239&amp;" "))*(Settings!$K$5:$K$124="Informational")*(Settings!$L$5:$L$124&lt;&gt;""))&gt;0,"Informational","Unclassified")))))</f>
        <v/>
      </c>
      <c r="O239">
        <f>IF(A239="","",IF(K239&lt;&gt;"",PROPER(K239),N239))</f>
        <v/>
      </c>
      <c r="P239">
        <f>IF(A239="","",ROUND(Settings!$B$5*MIN(1,LOG10(N(C239)+1)/LOG10(Settings!$B$7+1))+Settings!$B$6*(1-MIN(100,IF(D239="",50,N(D239)))/100)+IFERROR(INDEX(Settings!$B$10:$B$14,MATCH(O239,Settings!$A$10:$A$14,0)),0),0))</f>
        <v/>
      </c>
      <c r="Q239">
        <f>IF(OR(A239="",G239=""),"",COUNTIFS($M$3:$M$1002,M239,$G$3:$G$1002,"&lt;&gt;"&amp;SUBSTITUTE(SUBSTITUTE(G239,"?","~?"),"*","~*"),$G$3:$G$1002,"?*"))</f>
        <v/>
      </c>
      <c r="R239">
        <f>IF(Q239="","",IF(Q239&gt;0,"Yes","No"))</f>
        <v/>
      </c>
      <c r="S239">
        <f>IF(G239="","",COUNTIFS($G$3:$G$1002,SUBSTITUTE(SUBSTITUTE(G239,"?","~?"),"*","~*"),$J$3:$J$1002,"Primary"))</f>
        <v/>
      </c>
      <c r="T239">
        <f>IF(S239="","",IF(S239&gt;Settings!$B$4,"Yes","No"))</f>
        <v/>
      </c>
      <c r="U239">
        <f>IF(OR(G239="",B239=""),"",IF(COUNTIFS($G$3:$G$1002,SUBSTITUTE(SUBSTITUTE(G239,"?","~?"),"*","~*"),$B$3:$B$1002,"&lt;&gt;"&amp;SUBSTITUTE(SUBSTITUTE(B239,"?","~?"),"*","~*"),$B$3:$B$1002,"?*")&gt;0,"Yes","No"))</f>
        <v/>
      </c>
      <c r="V239">
        <f>IF(OR(G239="",I239="",O239="",O239="Unclassified"),"",IFERROR(INDEX(Settings!$E$5:$H$16,MATCH(I239,Settings!$D$5:$D$16,0),MATCH(O239,Settings!$E$4:$H$4,0)),"Check"))</f>
        <v/>
      </c>
      <c r="W239">
        <f>IF(V239="","",IF(V239="No","Yes","No"))</f>
        <v/>
      </c>
      <c r="X239">
        <f>IF(OR(E239="",G239=""),"",IF(LOWER(IF(RIGHT(TRIM(E239),1)="/",LEFT(TRIM(E239),LEN(TRIM(E239))-1),TRIM(E239)))&lt;&gt;LOWER(IF(RIGHT(TRIM(G239),1)="/",LEFT(TRIM(G239),LEN(TRIM(G239))-1),TRIM(G239))),"Yes","No"))</f>
        <v/>
      </c>
      <c r="Y239">
        <f>IF(A239="","",(N(Q239)&gt;0)+(T239="Yes")+(U239="Yes")+(W239="Yes")+(X239="Yes"))</f>
        <v/>
      </c>
      <c r="Z239">
        <f>IF(A239="","",IF(G239="","Not mapped",IF(Y239=0,"OK",MID(IF(N(Q239)&gt;0,"; Cannibalisation","")&amp;IF(T239="Yes","; Too many primary keywords on URL","")&amp;IF(U239="Yes","; URL spans 2+ clusters","")&amp;IF(W239="Yes","; Intent mismatch","")&amp;IF(X239="Yes","; Ranking URL is not the target",""),3,300))))</f>
        <v/>
      </c>
      <c r="AA239">
        <f>IF(G239="","",IF(COUNTIF($G$3:G239,SUBSTITUTE(SUBSTITUTE(G239,"?","~?"),"*","~*"))=1,MAX($AA$2:AA238)+1,""))</f>
        <v/>
      </c>
      <c r="AB239">
        <f>IF(B239="","",IF(COUNTIF($B$3:B239,SUBSTITUTE(SUBSTITUTE(B239,"?","~?"),"*","~*"))=1,MAX($AB$2:AB238)+1,""))</f>
        <v/>
      </c>
    </row>
    <row r="240">
      <c r="M240">
        <f>IF(A240="","",LOWER(TRIM(SUBSTITUTE(SUBSTITUTE(A240,"?",""),"*",""))))</f>
        <v/>
      </c>
      <c r="N240">
        <f>IF(M240="","",IF(SUMPRODUCT(ISNUMBER(SEARCH(" "&amp;Settings!$L$5:$L$124&amp;" "," "&amp;M240&amp;" "))*(Settings!$K$5:$K$124="Navigational")*(Settings!$L$5:$L$124&lt;&gt;""))&gt;0,"Navigational",IF(SUMPRODUCT(ISNUMBER(SEARCH(" "&amp;Settings!$L$5:$L$124&amp;" "," "&amp;M240&amp;" "))*(Settings!$K$5:$K$124="Transactional")*(Settings!$L$5:$L$124&lt;&gt;""))&gt;0,"Transactional",IF(SUMPRODUCT(ISNUMBER(SEARCH(" "&amp;Settings!$L$5:$L$124&amp;" "," "&amp;M240&amp;" "))*(Settings!$K$5:$K$124="Commercial")*(Settings!$L$5:$L$124&lt;&gt;""))&gt;0,"Commercial",IF(SUMPRODUCT(ISNUMBER(SEARCH(" "&amp;Settings!$L$5:$L$124&amp;" "," "&amp;M240&amp;" "))*(Settings!$K$5:$K$124="Informational")*(Settings!$L$5:$L$124&lt;&gt;""))&gt;0,"Informational","Unclassified")))))</f>
        <v/>
      </c>
      <c r="O240">
        <f>IF(A240="","",IF(K240&lt;&gt;"",PROPER(K240),N240))</f>
        <v/>
      </c>
      <c r="P240">
        <f>IF(A240="","",ROUND(Settings!$B$5*MIN(1,LOG10(N(C240)+1)/LOG10(Settings!$B$7+1))+Settings!$B$6*(1-MIN(100,IF(D240="",50,N(D240)))/100)+IFERROR(INDEX(Settings!$B$10:$B$14,MATCH(O240,Settings!$A$10:$A$14,0)),0),0))</f>
        <v/>
      </c>
      <c r="Q240">
        <f>IF(OR(A240="",G240=""),"",COUNTIFS($M$3:$M$1002,M240,$G$3:$G$1002,"&lt;&gt;"&amp;SUBSTITUTE(SUBSTITUTE(G240,"?","~?"),"*","~*"),$G$3:$G$1002,"?*"))</f>
        <v/>
      </c>
      <c r="R240">
        <f>IF(Q240="","",IF(Q240&gt;0,"Yes","No"))</f>
        <v/>
      </c>
      <c r="S240">
        <f>IF(G240="","",COUNTIFS($G$3:$G$1002,SUBSTITUTE(SUBSTITUTE(G240,"?","~?"),"*","~*"),$J$3:$J$1002,"Primary"))</f>
        <v/>
      </c>
      <c r="T240">
        <f>IF(S240="","",IF(S240&gt;Settings!$B$4,"Yes","No"))</f>
        <v/>
      </c>
      <c r="U240">
        <f>IF(OR(G240="",B240=""),"",IF(COUNTIFS($G$3:$G$1002,SUBSTITUTE(SUBSTITUTE(G240,"?","~?"),"*","~*"),$B$3:$B$1002,"&lt;&gt;"&amp;SUBSTITUTE(SUBSTITUTE(B240,"?","~?"),"*","~*"),$B$3:$B$1002,"?*")&gt;0,"Yes","No"))</f>
        <v/>
      </c>
      <c r="V240">
        <f>IF(OR(G240="",I240="",O240="",O240="Unclassified"),"",IFERROR(INDEX(Settings!$E$5:$H$16,MATCH(I240,Settings!$D$5:$D$16,0),MATCH(O240,Settings!$E$4:$H$4,0)),"Check"))</f>
        <v/>
      </c>
      <c r="W240">
        <f>IF(V240="","",IF(V240="No","Yes","No"))</f>
        <v/>
      </c>
      <c r="X240">
        <f>IF(OR(E240="",G240=""),"",IF(LOWER(IF(RIGHT(TRIM(E240),1)="/",LEFT(TRIM(E240),LEN(TRIM(E240))-1),TRIM(E240)))&lt;&gt;LOWER(IF(RIGHT(TRIM(G240),1)="/",LEFT(TRIM(G240),LEN(TRIM(G240))-1),TRIM(G240))),"Yes","No"))</f>
        <v/>
      </c>
      <c r="Y240">
        <f>IF(A240="","",(N(Q240)&gt;0)+(T240="Yes")+(U240="Yes")+(W240="Yes")+(X240="Yes"))</f>
        <v/>
      </c>
      <c r="Z240">
        <f>IF(A240="","",IF(G240="","Not mapped",IF(Y240=0,"OK",MID(IF(N(Q240)&gt;0,"; Cannibalisation","")&amp;IF(T240="Yes","; Too many primary keywords on URL","")&amp;IF(U240="Yes","; URL spans 2+ clusters","")&amp;IF(W240="Yes","; Intent mismatch","")&amp;IF(X240="Yes","; Ranking URL is not the target",""),3,300))))</f>
        <v/>
      </c>
      <c r="AA240">
        <f>IF(G240="","",IF(COUNTIF($G$3:G240,SUBSTITUTE(SUBSTITUTE(G240,"?","~?"),"*","~*"))=1,MAX($AA$2:AA239)+1,""))</f>
        <v/>
      </c>
      <c r="AB240">
        <f>IF(B240="","",IF(COUNTIF($B$3:B240,SUBSTITUTE(SUBSTITUTE(B240,"?","~?"),"*","~*"))=1,MAX($AB$2:AB239)+1,""))</f>
        <v/>
      </c>
    </row>
    <row r="241">
      <c r="M241">
        <f>IF(A241="","",LOWER(TRIM(SUBSTITUTE(SUBSTITUTE(A241,"?",""),"*",""))))</f>
        <v/>
      </c>
      <c r="N241">
        <f>IF(M241="","",IF(SUMPRODUCT(ISNUMBER(SEARCH(" "&amp;Settings!$L$5:$L$124&amp;" "," "&amp;M241&amp;" "))*(Settings!$K$5:$K$124="Navigational")*(Settings!$L$5:$L$124&lt;&gt;""))&gt;0,"Navigational",IF(SUMPRODUCT(ISNUMBER(SEARCH(" "&amp;Settings!$L$5:$L$124&amp;" "," "&amp;M241&amp;" "))*(Settings!$K$5:$K$124="Transactional")*(Settings!$L$5:$L$124&lt;&gt;""))&gt;0,"Transactional",IF(SUMPRODUCT(ISNUMBER(SEARCH(" "&amp;Settings!$L$5:$L$124&amp;" "," "&amp;M241&amp;" "))*(Settings!$K$5:$K$124="Commercial")*(Settings!$L$5:$L$124&lt;&gt;""))&gt;0,"Commercial",IF(SUMPRODUCT(ISNUMBER(SEARCH(" "&amp;Settings!$L$5:$L$124&amp;" "," "&amp;M241&amp;" "))*(Settings!$K$5:$K$124="Informational")*(Settings!$L$5:$L$124&lt;&gt;""))&gt;0,"Informational","Unclassified")))))</f>
        <v/>
      </c>
      <c r="O241">
        <f>IF(A241="","",IF(K241&lt;&gt;"",PROPER(K241),N241))</f>
        <v/>
      </c>
      <c r="P241">
        <f>IF(A241="","",ROUND(Settings!$B$5*MIN(1,LOG10(N(C241)+1)/LOG10(Settings!$B$7+1))+Settings!$B$6*(1-MIN(100,IF(D241="",50,N(D241)))/100)+IFERROR(INDEX(Settings!$B$10:$B$14,MATCH(O241,Settings!$A$10:$A$14,0)),0),0))</f>
        <v/>
      </c>
      <c r="Q241">
        <f>IF(OR(A241="",G241=""),"",COUNTIFS($M$3:$M$1002,M241,$G$3:$G$1002,"&lt;&gt;"&amp;SUBSTITUTE(SUBSTITUTE(G241,"?","~?"),"*","~*"),$G$3:$G$1002,"?*"))</f>
        <v/>
      </c>
      <c r="R241">
        <f>IF(Q241="","",IF(Q241&gt;0,"Yes","No"))</f>
        <v/>
      </c>
      <c r="S241">
        <f>IF(G241="","",COUNTIFS($G$3:$G$1002,SUBSTITUTE(SUBSTITUTE(G241,"?","~?"),"*","~*"),$J$3:$J$1002,"Primary"))</f>
        <v/>
      </c>
      <c r="T241">
        <f>IF(S241="","",IF(S241&gt;Settings!$B$4,"Yes","No"))</f>
        <v/>
      </c>
      <c r="U241">
        <f>IF(OR(G241="",B241=""),"",IF(COUNTIFS($G$3:$G$1002,SUBSTITUTE(SUBSTITUTE(G241,"?","~?"),"*","~*"),$B$3:$B$1002,"&lt;&gt;"&amp;SUBSTITUTE(SUBSTITUTE(B241,"?","~?"),"*","~*"),$B$3:$B$1002,"?*")&gt;0,"Yes","No"))</f>
        <v/>
      </c>
      <c r="V241">
        <f>IF(OR(G241="",I241="",O241="",O241="Unclassified"),"",IFERROR(INDEX(Settings!$E$5:$H$16,MATCH(I241,Settings!$D$5:$D$16,0),MATCH(O241,Settings!$E$4:$H$4,0)),"Check"))</f>
        <v/>
      </c>
      <c r="W241">
        <f>IF(V241="","",IF(V241="No","Yes","No"))</f>
        <v/>
      </c>
      <c r="X241">
        <f>IF(OR(E241="",G241=""),"",IF(LOWER(IF(RIGHT(TRIM(E241),1)="/",LEFT(TRIM(E241),LEN(TRIM(E241))-1),TRIM(E241)))&lt;&gt;LOWER(IF(RIGHT(TRIM(G241),1)="/",LEFT(TRIM(G241),LEN(TRIM(G241))-1),TRIM(G241))),"Yes","No"))</f>
        <v/>
      </c>
      <c r="Y241">
        <f>IF(A241="","",(N(Q241)&gt;0)+(T241="Yes")+(U241="Yes")+(W241="Yes")+(X241="Yes"))</f>
        <v/>
      </c>
      <c r="Z241">
        <f>IF(A241="","",IF(G241="","Not mapped",IF(Y241=0,"OK",MID(IF(N(Q241)&gt;0,"; Cannibalisation","")&amp;IF(T241="Yes","; Too many primary keywords on URL","")&amp;IF(U241="Yes","; URL spans 2+ clusters","")&amp;IF(W241="Yes","; Intent mismatch","")&amp;IF(X241="Yes","; Ranking URL is not the target",""),3,300))))</f>
        <v/>
      </c>
      <c r="AA241">
        <f>IF(G241="","",IF(COUNTIF($G$3:G241,SUBSTITUTE(SUBSTITUTE(G241,"?","~?"),"*","~*"))=1,MAX($AA$2:AA240)+1,""))</f>
        <v/>
      </c>
      <c r="AB241">
        <f>IF(B241="","",IF(COUNTIF($B$3:B241,SUBSTITUTE(SUBSTITUTE(B241,"?","~?"),"*","~*"))=1,MAX($AB$2:AB240)+1,""))</f>
        <v/>
      </c>
    </row>
    <row r="242">
      <c r="M242">
        <f>IF(A242="","",LOWER(TRIM(SUBSTITUTE(SUBSTITUTE(A242,"?",""),"*",""))))</f>
        <v/>
      </c>
      <c r="N242">
        <f>IF(M242="","",IF(SUMPRODUCT(ISNUMBER(SEARCH(" "&amp;Settings!$L$5:$L$124&amp;" "," "&amp;M242&amp;" "))*(Settings!$K$5:$K$124="Navigational")*(Settings!$L$5:$L$124&lt;&gt;""))&gt;0,"Navigational",IF(SUMPRODUCT(ISNUMBER(SEARCH(" "&amp;Settings!$L$5:$L$124&amp;" "," "&amp;M242&amp;" "))*(Settings!$K$5:$K$124="Transactional")*(Settings!$L$5:$L$124&lt;&gt;""))&gt;0,"Transactional",IF(SUMPRODUCT(ISNUMBER(SEARCH(" "&amp;Settings!$L$5:$L$124&amp;" "," "&amp;M242&amp;" "))*(Settings!$K$5:$K$124="Commercial")*(Settings!$L$5:$L$124&lt;&gt;""))&gt;0,"Commercial",IF(SUMPRODUCT(ISNUMBER(SEARCH(" "&amp;Settings!$L$5:$L$124&amp;" "," "&amp;M242&amp;" "))*(Settings!$K$5:$K$124="Informational")*(Settings!$L$5:$L$124&lt;&gt;""))&gt;0,"Informational","Unclassified")))))</f>
        <v/>
      </c>
      <c r="O242">
        <f>IF(A242="","",IF(K242&lt;&gt;"",PROPER(K242),N242))</f>
        <v/>
      </c>
      <c r="P242">
        <f>IF(A242="","",ROUND(Settings!$B$5*MIN(1,LOG10(N(C242)+1)/LOG10(Settings!$B$7+1))+Settings!$B$6*(1-MIN(100,IF(D242="",50,N(D242)))/100)+IFERROR(INDEX(Settings!$B$10:$B$14,MATCH(O242,Settings!$A$10:$A$14,0)),0),0))</f>
        <v/>
      </c>
      <c r="Q242">
        <f>IF(OR(A242="",G242=""),"",COUNTIFS($M$3:$M$1002,M242,$G$3:$G$1002,"&lt;&gt;"&amp;SUBSTITUTE(SUBSTITUTE(G242,"?","~?"),"*","~*"),$G$3:$G$1002,"?*"))</f>
        <v/>
      </c>
      <c r="R242">
        <f>IF(Q242="","",IF(Q242&gt;0,"Yes","No"))</f>
        <v/>
      </c>
      <c r="S242">
        <f>IF(G242="","",COUNTIFS($G$3:$G$1002,SUBSTITUTE(SUBSTITUTE(G242,"?","~?"),"*","~*"),$J$3:$J$1002,"Primary"))</f>
        <v/>
      </c>
      <c r="T242">
        <f>IF(S242="","",IF(S242&gt;Settings!$B$4,"Yes","No"))</f>
        <v/>
      </c>
      <c r="U242">
        <f>IF(OR(G242="",B242=""),"",IF(COUNTIFS($G$3:$G$1002,SUBSTITUTE(SUBSTITUTE(G242,"?","~?"),"*","~*"),$B$3:$B$1002,"&lt;&gt;"&amp;SUBSTITUTE(SUBSTITUTE(B242,"?","~?"),"*","~*"),$B$3:$B$1002,"?*")&gt;0,"Yes","No"))</f>
        <v/>
      </c>
      <c r="V242">
        <f>IF(OR(G242="",I242="",O242="",O242="Unclassified"),"",IFERROR(INDEX(Settings!$E$5:$H$16,MATCH(I242,Settings!$D$5:$D$16,0),MATCH(O242,Settings!$E$4:$H$4,0)),"Check"))</f>
        <v/>
      </c>
      <c r="W242">
        <f>IF(V242="","",IF(V242="No","Yes","No"))</f>
        <v/>
      </c>
      <c r="X242">
        <f>IF(OR(E242="",G242=""),"",IF(LOWER(IF(RIGHT(TRIM(E242),1)="/",LEFT(TRIM(E242),LEN(TRIM(E242))-1),TRIM(E242)))&lt;&gt;LOWER(IF(RIGHT(TRIM(G242),1)="/",LEFT(TRIM(G242),LEN(TRIM(G242))-1),TRIM(G242))),"Yes","No"))</f>
        <v/>
      </c>
      <c r="Y242">
        <f>IF(A242="","",(N(Q242)&gt;0)+(T242="Yes")+(U242="Yes")+(W242="Yes")+(X242="Yes"))</f>
        <v/>
      </c>
      <c r="Z242">
        <f>IF(A242="","",IF(G242="","Not mapped",IF(Y242=0,"OK",MID(IF(N(Q242)&gt;0,"; Cannibalisation","")&amp;IF(T242="Yes","; Too many primary keywords on URL","")&amp;IF(U242="Yes","; URL spans 2+ clusters","")&amp;IF(W242="Yes","; Intent mismatch","")&amp;IF(X242="Yes","; Ranking URL is not the target",""),3,300))))</f>
        <v/>
      </c>
      <c r="AA242">
        <f>IF(G242="","",IF(COUNTIF($G$3:G242,SUBSTITUTE(SUBSTITUTE(G242,"?","~?"),"*","~*"))=1,MAX($AA$2:AA241)+1,""))</f>
        <v/>
      </c>
      <c r="AB242">
        <f>IF(B242="","",IF(COUNTIF($B$3:B242,SUBSTITUTE(SUBSTITUTE(B242,"?","~?"),"*","~*"))=1,MAX($AB$2:AB241)+1,""))</f>
        <v/>
      </c>
    </row>
    <row r="243">
      <c r="M243">
        <f>IF(A243="","",LOWER(TRIM(SUBSTITUTE(SUBSTITUTE(A243,"?",""),"*",""))))</f>
        <v/>
      </c>
      <c r="N243">
        <f>IF(M243="","",IF(SUMPRODUCT(ISNUMBER(SEARCH(" "&amp;Settings!$L$5:$L$124&amp;" "," "&amp;M243&amp;" "))*(Settings!$K$5:$K$124="Navigational")*(Settings!$L$5:$L$124&lt;&gt;""))&gt;0,"Navigational",IF(SUMPRODUCT(ISNUMBER(SEARCH(" "&amp;Settings!$L$5:$L$124&amp;" "," "&amp;M243&amp;" "))*(Settings!$K$5:$K$124="Transactional")*(Settings!$L$5:$L$124&lt;&gt;""))&gt;0,"Transactional",IF(SUMPRODUCT(ISNUMBER(SEARCH(" "&amp;Settings!$L$5:$L$124&amp;" "," "&amp;M243&amp;" "))*(Settings!$K$5:$K$124="Commercial")*(Settings!$L$5:$L$124&lt;&gt;""))&gt;0,"Commercial",IF(SUMPRODUCT(ISNUMBER(SEARCH(" "&amp;Settings!$L$5:$L$124&amp;" "," "&amp;M243&amp;" "))*(Settings!$K$5:$K$124="Informational")*(Settings!$L$5:$L$124&lt;&gt;""))&gt;0,"Informational","Unclassified")))))</f>
        <v/>
      </c>
      <c r="O243">
        <f>IF(A243="","",IF(K243&lt;&gt;"",PROPER(K243),N243))</f>
        <v/>
      </c>
      <c r="P243">
        <f>IF(A243="","",ROUND(Settings!$B$5*MIN(1,LOG10(N(C243)+1)/LOG10(Settings!$B$7+1))+Settings!$B$6*(1-MIN(100,IF(D243="",50,N(D243)))/100)+IFERROR(INDEX(Settings!$B$10:$B$14,MATCH(O243,Settings!$A$10:$A$14,0)),0),0))</f>
        <v/>
      </c>
      <c r="Q243">
        <f>IF(OR(A243="",G243=""),"",COUNTIFS($M$3:$M$1002,M243,$G$3:$G$1002,"&lt;&gt;"&amp;SUBSTITUTE(SUBSTITUTE(G243,"?","~?"),"*","~*"),$G$3:$G$1002,"?*"))</f>
        <v/>
      </c>
      <c r="R243">
        <f>IF(Q243="","",IF(Q243&gt;0,"Yes","No"))</f>
        <v/>
      </c>
      <c r="S243">
        <f>IF(G243="","",COUNTIFS($G$3:$G$1002,SUBSTITUTE(SUBSTITUTE(G243,"?","~?"),"*","~*"),$J$3:$J$1002,"Primary"))</f>
        <v/>
      </c>
      <c r="T243">
        <f>IF(S243="","",IF(S243&gt;Settings!$B$4,"Yes","No"))</f>
        <v/>
      </c>
      <c r="U243">
        <f>IF(OR(G243="",B243=""),"",IF(COUNTIFS($G$3:$G$1002,SUBSTITUTE(SUBSTITUTE(G243,"?","~?"),"*","~*"),$B$3:$B$1002,"&lt;&gt;"&amp;SUBSTITUTE(SUBSTITUTE(B243,"?","~?"),"*","~*"),$B$3:$B$1002,"?*")&gt;0,"Yes","No"))</f>
        <v/>
      </c>
      <c r="V243">
        <f>IF(OR(G243="",I243="",O243="",O243="Unclassified"),"",IFERROR(INDEX(Settings!$E$5:$H$16,MATCH(I243,Settings!$D$5:$D$16,0),MATCH(O243,Settings!$E$4:$H$4,0)),"Check"))</f>
        <v/>
      </c>
      <c r="W243">
        <f>IF(V243="","",IF(V243="No","Yes","No"))</f>
        <v/>
      </c>
      <c r="X243">
        <f>IF(OR(E243="",G243=""),"",IF(LOWER(IF(RIGHT(TRIM(E243),1)="/",LEFT(TRIM(E243),LEN(TRIM(E243))-1),TRIM(E243)))&lt;&gt;LOWER(IF(RIGHT(TRIM(G243),1)="/",LEFT(TRIM(G243),LEN(TRIM(G243))-1),TRIM(G243))),"Yes","No"))</f>
        <v/>
      </c>
      <c r="Y243">
        <f>IF(A243="","",(N(Q243)&gt;0)+(T243="Yes")+(U243="Yes")+(W243="Yes")+(X243="Yes"))</f>
        <v/>
      </c>
      <c r="Z243">
        <f>IF(A243="","",IF(G243="","Not mapped",IF(Y243=0,"OK",MID(IF(N(Q243)&gt;0,"; Cannibalisation","")&amp;IF(T243="Yes","; Too many primary keywords on URL","")&amp;IF(U243="Yes","; URL spans 2+ clusters","")&amp;IF(W243="Yes","; Intent mismatch","")&amp;IF(X243="Yes","; Ranking URL is not the target",""),3,300))))</f>
        <v/>
      </c>
      <c r="AA243">
        <f>IF(G243="","",IF(COUNTIF($G$3:G243,SUBSTITUTE(SUBSTITUTE(G243,"?","~?"),"*","~*"))=1,MAX($AA$2:AA242)+1,""))</f>
        <v/>
      </c>
      <c r="AB243">
        <f>IF(B243="","",IF(COUNTIF($B$3:B243,SUBSTITUTE(SUBSTITUTE(B243,"?","~?"),"*","~*"))=1,MAX($AB$2:AB242)+1,""))</f>
        <v/>
      </c>
    </row>
    <row r="244">
      <c r="M244">
        <f>IF(A244="","",LOWER(TRIM(SUBSTITUTE(SUBSTITUTE(A244,"?",""),"*",""))))</f>
        <v/>
      </c>
      <c r="N244">
        <f>IF(M244="","",IF(SUMPRODUCT(ISNUMBER(SEARCH(" "&amp;Settings!$L$5:$L$124&amp;" "," "&amp;M244&amp;" "))*(Settings!$K$5:$K$124="Navigational")*(Settings!$L$5:$L$124&lt;&gt;""))&gt;0,"Navigational",IF(SUMPRODUCT(ISNUMBER(SEARCH(" "&amp;Settings!$L$5:$L$124&amp;" "," "&amp;M244&amp;" "))*(Settings!$K$5:$K$124="Transactional")*(Settings!$L$5:$L$124&lt;&gt;""))&gt;0,"Transactional",IF(SUMPRODUCT(ISNUMBER(SEARCH(" "&amp;Settings!$L$5:$L$124&amp;" "," "&amp;M244&amp;" "))*(Settings!$K$5:$K$124="Commercial")*(Settings!$L$5:$L$124&lt;&gt;""))&gt;0,"Commercial",IF(SUMPRODUCT(ISNUMBER(SEARCH(" "&amp;Settings!$L$5:$L$124&amp;" "," "&amp;M244&amp;" "))*(Settings!$K$5:$K$124="Informational")*(Settings!$L$5:$L$124&lt;&gt;""))&gt;0,"Informational","Unclassified")))))</f>
        <v/>
      </c>
      <c r="O244">
        <f>IF(A244="","",IF(K244&lt;&gt;"",PROPER(K244),N244))</f>
        <v/>
      </c>
      <c r="P244">
        <f>IF(A244="","",ROUND(Settings!$B$5*MIN(1,LOG10(N(C244)+1)/LOG10(Settings!$B$7+1))+Settings!$B$6*(1-MIN(100,IF(D244="",50,N(D244)))/100)+IFERROR(INDEX(Settings!$B$10:$B$14,MATCH(O244,Settings!$A$10:$A$14,0)),0),0))</f>
        <v/>
      </c>
      <c r="Q244">
        <f>IF(OR(A244="",G244=""),"",COUNTIFS($M$3:$M$1002,M244,$G$3:$G$1002,"&lt;&gt;"&amp;SUBSTITUTE(SUBSTITUTE(G244,"?","~?"),"*","~*"),$G$3:$G$1002,"?*"))</f>
        <v/>
      </c>
      <c r="R244">
        <f>IF(Q244="","",IF(Q244&gt;0,"Yes","No"))</f>
        <v/>
      </c>
      <c r="S244">
        <f>IF(G244="","",COUNTIFS($G$3:$G$1002,SUBSTITUTE(SUBSTITUTE(G244,"?","~?"),"*","~*"),$J$3:$J$1002,"Primary"))</f>
        <v/>
      </c>
      <c r="T244">
        <f>IF(S244="","",IF(S244&gt;Settings!$B$4,"Yes","No"))</f>
        <v/>
      </c>
      <c r="U244">
        <f>IF(OR(G244="",B244=""),"",IF(COUNTIFS($G$3:$G$1002,SUBSTITUTE(SUBSTITUTE(G244,"?","~?"),"*","~*"),$B$3:$B$1002,"&lt;&gt;"&amp;SUBSTITUTE(SUBSTITUTE(B244,"?","~?"),"*","~*"),$B$3:$B$1002,"?*")&gt;0,"Yes","No"))</f>
        <v/>
      </c>
      <c r="V244">
        <f>IF(OR(G244="",I244="",O244="",O244="Unclassified"),"",IFERROR(INDEX(Settings!$E$5:$H$16,MATCH(I244,Settings!$D$5:$D$16,0),MATCH(O244,Settings!$E$4:$H$4,0)),"Check"))</f>
        <v/>
      </c>
      <c r="W244">
        <f>IF(V244="","",IF(V244="No","Yes","No"))</f>
        <v/>
      </c>
      <c r="X244">
        <f>IF(OR(E244="",G244=""),"",IF(LOWER(IF(RIGHT(TRIM(E244),1)="/",LEFT(TRIM(E244),LEN(TRIM(E244))-1),TRIM(E244)))&lt;&gt;LOWER(IF(RIGHT(TRIM(G244),1)="/",LEFT(TRIM(G244),LEN(TRIM(G244))-1),TRIM(G244))),"Yes","No"))</f>
        <v/>
      </c>
      <c r="Y244">
        <f>IF(A244="","",(N(Q244)&gt;0)+(T244="Yes")+(U244="Yes")+(W244="Yes")+(X244="Yes"))</f>
        <v/>
      </c>
      <c r="Z244">
        <f>IF(A244="","",IF(G244="","Not mapped",IF(Y244=0,"OK",MID(IF(N(Q244)&gt;0,"; Cannibalisation","")&amp;IF(T244="Yes","; Too many primary keywords on URL","")&amp;IF(U244="Yes","; URL spans 2+ clusters","")&amp;IF(W244="Yes","; Intent mismatch","")&amp;IF(X244="Yes","; Ranking URL is not the target",""),3,300))))</f>
        <v/>
      </c>
      <c r="AA244">
        <f>IF(G244="","",IF(COUNTIF($G$3:G244,SUBSTITUTE(SUBSTITUTE(G244,"?","~?"),"*","~*"))=1,MAX($AA$2:AA243)+1,""))</f>
        <v/>
      </c>
      <c r="AB244">
        <f>IF(B244="","",IF(COUNTIF($B$3:B244,SUBSTITUTE(SUBSTITUTE(B244,"?","~?"),"*","~*"))=1,MAX($AB$2:AB243)+1,""))</f>
        <v/>
      </c>
    </row>
    <row r="245">
      <c r="M245">
        <f>IF(A245="","",LOWER(TRIM(SUBSTITUTE(SUBSTITUTE(A245,"?",""),"*",""))))</f>
        <v/>
      </c>
      <c r="N245">
        <f>IF(M245="","",IF(SUMPRODUCT(ISNUMBER(SEARCH(" "&amp;Settings!$L$5:$L$124&amp;" "," "&amp;M245&amp;" "))*(Settings!$K$5:$K$124="Navigational")*(Settings!$L$5:$L$124&lt;&gt;""))&gt;0,"Navigational",IF(SUMPRODUCT(ISNUMBER(SEARCH(" "&amp;Settings!$L$5:$L$124&amp;" "," "&amp;M245&amp;" "))*(Settings!$K$5:$K$124="Transactional")*(Settings!$L$5:$L$124&lt;&gt;""))&gt;0,"Transactional",IF(SUMPRODUCT(ISNUMBER(SEARCH(" "&amp;Settings!$L$5:$L$124&amp;" "," "&amp;M245&amp;" "))*(Settings!$K$5:$K$124="Commercial")*(Settings!$L$5:$L$124&lt;&gt;""))&gt;0,"Commercial",IF(SUMPRODUCT(ISNUMBER(SEARCH(" "&amp;Settings!$L$5:$L$124&amp;" "," "&amp;M245&amp;" "))*(Settings!$K$5:$K$124="Informational")*(Settings!$L$5:$L$124&lt;&gt;""))&gt;0,"Informational","Unclassified")))))</f>
        <v/>
      </c>
      <c r="O245">
        <f>IF(A245="","",IF(K245&lt;&gt;"",PROPER(K245),N245))</f>
        <v/>
      </c>
      <c r="P245">
        <f>IF(A245="","",ROUND(Settings!$B$5*MIN(1,LOG10(N(C245)+1)/LOG10(Settings!$B$7+1))+Settings!$B$6*(1-MIN(100,IF(D245="",50,N(D245)))/100)+IFERROR(INDEX(Settings!$B$10:$B$14,MATCH(O245,Settings!$A$10:$A$14,0)),0),0))</f>
        <v/>
      </c>
      <c r="Q245">
        <f>IF(OR(A245="",G245=""),"",COUNTIFS($M$3:$M$1002,M245,$G$3:$G$1002,"&lt;&gt;"&amp;SUBSTITUTE(SUBSTITUTE(G245,"?","~?"),"*","~*"),$G$3:$G$1002,"?*"))</f>
        <v/>
      </c>
      <c r="R245">
        <f>IF(Q245="","",IF(Q245&gt;0,"Yes","No"))</f>
        <v/>
      </c>
      <c r="S245">
        <f>IF(G245="","",COUNTIFS($G$3:$G$1002,SUBSTITUTE(SUBSTITUTE(G245,"?","~?"),"*","~*"),$J$3:$J$1002,"Primary"))</f>
        <v/>
      </c>
      <c r="T245">
        <f>IF(S245="","",IF(S245&gt;Settings!$B$4,"Yes","No"))</f>
        <v/>
      </c>
      <c r="U245">
        <f>IF(OR(G245="",B245=""),"",IF(COUNTIFS($G$3:$G$1002,SUBSTITUTE(SUBSTITUTE(G245,"?","~?"),"*","~*"),$B$3:$B$1002,"&lt;&gt;"&amp;SUBSTITUTE(SUBSTITUTE(B245,"?","~?"),"*","~*"),$B$3:$B$1002,"?*")&gt;0,"Yes","No"))</f>
        <v/>
      </c>
      <c r="V245">
        <f>IF(OR(G245="",I245="",O245="",O245="Unclassified"),"",IFERROR(INDEX(Settings!$E$5:$H$16,MATCH(I245,Settings!$D$5:$D$16,0),MATCH(O245,Settings!$E$4:$H$4,0)),"Check"))</f>
        <v/>
      </c>
      <c r="W245">
        <f>IF(V245="","",IF(V245="No","Yes","No"))</f>
        <v/>
      </c>
      <c r="X245">
        <f>IF(OR(E245="",G245=""),"",IF(LOWER(IF(RIGHT(TRIM(E245),1)="/",LEFT(TRIM(E245),LEN(TRIM(E245))-1),TRIM(E245)))&lt;&gt;LOWER(IF(RIGHT(TRIM(G245),1)="/",LEFT(TRIM(G245),LEN(TRIM(G245))-1),TRIM(G245))),"Yes","No"))</f>
        <v/>
      </c>
      <c r="Y245">
        <f>IF(A245="","",(N(Q245)&gt;0)+(T245="Yes")+(U245="Yes")+(W245="Yes")+(X245="Yes"))</f>
        <v/>
      </c>
      <c r="Z245">
        <f>IF(A245="","",IF(G245="","Not mapped",IF(Y245=0,"OK",MID(IF(N(Q245)&gt;0,"; Cannibalisation","")&amp;IF(T245="Yes","; Too many primary keywords on URL","")&amp;IF(U245="Yes","; URL spans 2+ clusters","")&amp;IF(W245="Yes","; Intent mismatch","")&amp;IF(X245="Yes","; Ranking URL is not the target",""),3,300))))</f>
        <v/>
      </c>
      <c r="AA245">
        <f>IF(G245="","",IF(COUNTIF($G$3:G245,SUBSTITUTE(SUBSTITUTE(G245,"?","~?"),"*","~*"))=1,MAX($AA$2:AA244)+1,""))</f>
        <v/>
      </c>
      <c r="AB245">
        <f>IF(B245="","",IF(COUNTIF($B$3:B245,SUBSTITUTE(SUBSTITUTE(B245,"?","~?"),"*","~*"))=1,MAX($AB$2:AB244)+1,""))</f>
        <v/>
      </c>
    </row>
    <row r="246">
      <c r="M246">
        <f>IF(A246="","",LOWER(TRIM(SUBSTITUTE(SUBSTITUTE(A246,"?",""),"*",""))))</f>
        <v/>
      </c>
      <c r="N246">
        <f>IF(M246="","",IF(SUMPRODUCT(ISNUMBER(SEARCH(" "&amp;Settings!$L$5:$L$124&amp;" "," "&amp;M246&amp;" "))*(Settings!$K$5:$K$124="Navigational")*(Settings!$L$5:$L$124&lt;&gt;""))&gt;0,"Navigational",IF(SUMPRODUCT(ISNUMBER(SEARCH(" "&amp;Settings!$L$5:$L$124&amp;" "," "&amp;M246&amp;" "))*(Settings!$K$5:$K$124="Transactional")*(Settings!$L$5:$L$124&lt;&gt;""))&gt;0,"Transactional",IF(SUMPRODUCT(ISNUMBER(SEARCH(" "&amp;Settings!$L$5:$L$124&amp;" "," "&amp;M246&amp;" "))*(Settings!$K$5:$K$124="Commercial")*(Settings!$L$5:$L$124&lt;&gt;""))&gt;0,"Commercial",IF(SUMPRODUCT(ISNUMBER(SEARCH(" "&amp;Settings!$L$5:$L$124&amp;" "," "&amp;M246&amp;" "))*(Settings!$K$5:$K$124="Informational")*(Settings!$L$5:$L$124&lt;&gt;""))&gt;0,"Informational","Unclassified")))))</f>
        <v/>
      </c>
      <c r="O246">
        <f>IF(A246="","",IF(K246&lt;&gt;"",PROPER(K246),N246))</f>
        <v/>
      </c>
      <c r="P246">
        <f>IF(A246="","",ROUND(Settings!$B$5*MIN(1,LOG10(N(C246)+1)/LOG10(Settings!$B$7+1))+Settings!$B$6*(1-MIN(100,IF(D246="",50,N(D246)))/100)+IFERROR(INDEX(Settings!$B$10:$B$14,MATCH(O246,Settings!$A$10:$A$14,0)),0),0))</f>
        <v/>
      </c>
      <c r="Q246">
        <f>IF(OR(A246="",G246=""),"",COUNTIFS($M$3:$M$1002,M246,$G$3:$G$1002,"&lt;&gt;"&amp;SUBSTITUTE(SUBSTITUTE(G246,"?","~?"),"*","~*"),$G$3:$G$1002,"?*"))</f>
        <v/>
      </c>
      <c r="R246">
        <f>IF(Q246="","",IF(Q246&gt;0,"Yes","No"))</f>
        <v/>
      </c>
      <c r="S246">
        <f>IF(G246="","",COUNTIFS($G$3:$G$1002,SUBSTITUTE(SUBSTITUTE(G246,"?","~?"),"*","~*"),$J$3:$J$1002,"Primary"))</f>
        <v/>
      </c>
      <c r="T246">
        <f>IF(S246="","",IF(S246&gt;Settings!$B$4,"Yes","No"))</f>
        <v/>
      </c>
      <c r="U246">
        <f>IF(OR(G246="",B246=""),"",IF(COUNTIFS($G$3:$G$1002,SUBSTITUTE(SUBSTITUTE(G246,"?","~?"),"*","~*"),$B$3:$B$1002,"&lt;&gt;"&amp;SUBSTITUTE(SUBSTITUTE(B246,"?","~?"),"*","~*"),$B$3:$B$1002,"?*")&gt;0,"Yes","No"))</f>
        <v/>
      </c>
      <c r="V246">
        <f>IF(OR(G246="",I246="",O246="",O246="Unclassified"),"",IFERROR(INDEX(Settings!$E$5:$H$16,MATCH(I246,Settings!$D$5:$D$16,0),MATCH(O246,Settings!$E$4:$H$4,0)),"Check"))</f>
        <v/>
      </c>
      <c r="W246">
        <f>IF(V246="","",IF(V246="No","Yes","No"))</f>
        <v/>
      </c>
      <c r="X246">
        <f>IF(OR(E246="",G246=""),"",IF(LOWER(IF(RIGHT(TRIM(E246),1)="/",LEFT(TRIM(E246),LEN(TRIM(E246))-1),TRIM(E246)))&lt;&gt;LOWER(IF(RIGHT(TRIM(G246),1)="/",LEFT(TRIM(G246),LEN(TRIM(G246))-1),TRIM(G246))),"Yes","No"))</f>
        <v/>
      </c>
      <c r="Y246">
        <f>IF(A246="","",(N(Q246)&gt;0)+(T246="Yes")+(U246="Yes")+(W246="Yes")+(X246="Yes"))</f>
        <v/>
      </c>
      <c r="Z246">
        <f>IF(A246="","",IF(G246="","Not mapped",IF(Y246=0,"OK",MID(IF(N(Q246)&gt;0,"; Cannibalisation","")&amp;IF(T246="Yes","; Too many primary keywords on URL","")&amp;IF(U246="Yes","; URL spans 2+ clusters","")&amp;IF(W246="Yes","; Intent mismatch","")&amp;IF(X246="Yes","; Ranking URL is not the target",""),3,300))))</f>
        <v/>
      </c>
      <c r="AA246">
        <f>IF(G246="","",IF(COUNTIF($G$3:G246,SUBSTITUTE(SUBSTITUTE(G246,"?","~?"),"*","~*"))=1,MAX($AA$2:AA245)+1,""))</f>
        <v/>
      </c>
      <c r="AB246">
        <f>IF(B246="","",IF(COUNTIF($B$3:B246,SUBSTITUTE(SUBSTITUTE(B246,"?","~?"),"*","~*"))=1,MAX($AB$2:AB245)+1,""))</f>
        <v/>
      </c>
    </row>
    <row r="247">
      <c r="M247">
        <f>IF(A247="","",LOWER(TRIM(SUBSTITUTE(SUBSTITUTE(A247,"?",""),"*",""))))</f>
        <v/>
      </c>
      <c r="N247">
        <f>IF(M247="","",IF(SUMPRODUCT(ISNUMBER(SEARCH(" "&amp;Settings!$L$5:$L$124&amp;" "," "&amp;M247&amp;" "))*(Settings!$K$5:$K$124="Navigational")*(Settings!$L$5:$L$124&lt;&gt;""))&gt;0,"Navigational",IF(SUMPRODUCT(ISNUMBER(SEARCH(" "&amp;Settings!$L$5:$L$124&amp;" "," "&amp;M247&amp;" "))*(Settings!$K$5:$K$124="Transactional")*(Settings!$L$5:$L$124&lt;&gt;""))&gt;0,"Transactional",IF(SUMPRODUCT(ISNUMBER(SEARCH(" "&amp;Settings!$L$5:$L$124&amp;" "," "&amp;M247&amp;" "))*(Settings!$K$5:$K$124="Commercial")*(Settings!$L$5:$L$124&lt;&gt;""))&gt;0,"Commercial",IF(SUMPRODUCT(ISNUMBER(SEARCH(" "&amp;Settings!$L$5:$L$124&amp;" "," "&amp;M247&amp;" "))*(Settings!$K$5:$K$124="Informational")*(Settings!$L$5:$L$124&lt;&gt;""))&gt;0,"Informational","Unclassified")))))</f>
        <v/>
      </c>
      <c r="O247">
        <f>IF(A247="","",IF(K247&lt;&gt;"",PROPER(K247),N247))</f>
        <v/>
      </c>
      <c r="P247">
        <f>IF(A247="","",ROUND(Settings!$B$5*MIN(1,LOG10(N(C247)+1)/LOG10(Settings!$B$7+1))+Settings!$B$6*(1-MIN(100,IF(D247="",50,N(D247)))/100)+IFERROR(INDEX(Settings!$B$10:$B$14,MATCH(O247,Settings!$A$10:$A$14,0)),0),0))</f>
        <v/>
      </c>
      <c r="Q247">
        <f>IF(OR(A247="",G247=""),"",COUNTIFS($M$3:$M$1002,M247,$G$3:$G$1002,"&lt;&gt;"&amp;SUBSTITUTE(SUBSTITUTE(G247,"?","~?"),"*","~*"),$G$3:$G$1002,"?*"))</f>
        <v/>
      </c>
      <c r="R247">
        <f>IF(Q247="","",IF(Q247&gt;0,"Yes","No"))</f>
        <v/>
      </c>
      <c r="S247">
        <f>IF(G247="","",COUNTIFS($G$3:$G$1002,SUBSTITUTE(SUBSTITUTE(G247,"?","~?"),"*","~*"),$J$3:$J$1002,"Primary"))</f>
        <v/>
      </c>
      <c r="T247">
        <f>IF(S247="","",IF(S247&gt;Settings!$B$4,"Yes","No"))</f>
        <v/>
      </c>
      <c r="U247">
        <f>IF(OR(G247="",B247=""),"",IF(COUNTIFS($G$3:$G$1002,SUBSTITUTE(SUBSTITUTE(G247,"?","~?"),"*","~*"),$B$3:$B$1002,"&lt;&gt;"&amp;SUBSTITUTE(SUBSTITUTE(B247,"?","~?"),"*","~*"),$B$3:$B$1002,"?*")&gt;0,"Yes","No"))</f>
        <v/>
      </c>
      <c r="V247">
        <f>IF(OR(G247="",I247="",O247="",O247="Unclassified"),"",IFERROR(INDEX(Settings!$E$5:$H$16,MATCH(I247,Settings!$D$5:$D$16,0),MATCH(O247,Settings!$E$4:$H$4,0)),"Check"))</f>
        <v/>
      </c>
      <c r="W247">
        <f>IF(V247="","",IF(V247="No","Yes","No"))</f>
        <v/>
      </c>
      <c r="X247">
        <f>IF(OR(E247="",G247=""),"",IF(LOWER(IF(RIGHT(TRIM(E247),1)="/",LEFT(TRIM(E247),LEN(TRIM(E247))-1),TRIM(E247)))&lt;&gt;LOWER(IF(RIGHT(TRIM(G247),1)="/",LEFT(TRIM(G247),LEN(TRIM(G247))-1),TRIM(G247))),"Yes","No"))</f>
        <v/>
      </c>
      <c r="Y247">
        <f>IF(A247="","",(N(Q247)&gt;0)+(T247="Yes")+(U247="Yes")+(W247="Yes")+(X247="Yes"))</f>
        <v/>
      </c>
      <c r="Z247">
        <f>IF(A247="","",IF(G247="","Not mapped",IF(Y247=0,"OK",MID(IF(N(Q247)&gt;0,"; Cannibalisation","")&amp;IF(T247="Yes","; Too many primary keywords on URL","")&amp;IF(U247="Yes","; URL spans 2+ clusters","")&amp;IF(W247="Yes","; Intent mismatch","")&amp;IF(X247="Yes","; Ranking URL is not the target",""),3,300))))</f>
        <v/>
      </c>
      <c r="AA247">
        <f>IF(G247="","",IF(COUNTIF($G$3:G247,SUBSTITUTE(SUBSTITUTE(G247,"?","~?"),"*","~*"))=1,MAX($AA$2:AA246)+1,""))</f>
        <v/>
      </c>
      <c r="AB247">
        <f>IF(B247="","",IF(COUNTIF($B$3:B247,SUBSTITUTE(SUBSTITUTE(B247,"?","~?"),"*","~*"))=1,MAX($AB$2:AB246)+1,""))</f>
        <v/>
      </c>
    </row>
    <row r="248">
      <c r="M248">
        <f>IF(A248="","",LOWER(TRIM(SUBSTITUTE(SUBSTITUTE(A248,"?",""),"*",""))))</f>
        <v/>
      </c>
      <c r="N248">
        <f>IF(M248="","",IF(SUMPRODUCT(ISNUMBER(SEARCH(" "&amp;Settings!$L$5:$L$124&amp;" "," "&amp;M248&amp;" "))*(Settings!$K$5:$K$124="Navigational")*(Settings!$L$5:$L$124&lt;&gt;""))&gt;0,"Navigational",IF(SUMPRODUCT(ISNUMBER(SEARCH(" "&amp;Settings!$L$5:$L$124&amp;" "," "&amp;M248&amp;" "))*(Settings!$K$5:$K$124="Transactional")*(Settings!$L$5:$L$124&lt;&gt;""))&gt;0,"Transactional",IF(SUMPRODUCT(ISNUMBER(SEARCH(" "&amp;Settings!$L$5:$L$124&amp;" "," "&amp;M248&amp;" "))*(Settings!$K$5:$K$124="Commercial")*(Settings!$L$5:$L$124&lt;&gt;""))&gt;0,"Commercial",IF(SUMPRODUCT(ISNUMBER(SEARCH(" "&amp;Settings!$L$5:$L$124&amp;" "," "&amp;M248&amp;" "))*(Settings!$K$5:$K$124="Informational")*(Settings!$L$5:$L$124&lt;&gt;""))&gt;0,"Informational","Unclassified")))))</f>
        <v/>
      </c>
      <c r="O248">
        <f>IF(A248="","",IF(K248&lt;&gt;"",PROPER(K248),N248))</f>
        <v/>
      </c>
      <c r="P248">
        <f>IF(A248="","",ROUND(Settings!$B$5*MIN(1,LOG10(N(C248)+1)/LOG10(Settings!$B$7+1))+Settings!$B$6*(1-MIN(100,IF(D248="",50,N(D248)))/100)+IFERROR(INDEX(Settings!$B$10:$B$14,MATCH(O248,Settings!$A$10:$A$14,0)),0),0))</f>
        <v/>
      </c>
      <c r="Q248">
        <f>IF(OR(A248="",G248=""),"",COUNTIFS($M$3:$M$1002,M248,$G$3:$G$1002,"&lt;&gt;"&amp;SUBSTITUTE(SUBSTITUTE(G248,"?","~?"),"*","~*"),$G$3:$G$1002,"?*"))</f>
        <v/>
      </c>
      <c r="R248">
        <f>IF(Q248="","",IF(Q248&gt;0,"Yes","No"))</f>
        <v/>
      </c>
      <c r="S248">
        <f>IF(G248="","",COUNTIFS($G$3:$G$1002,SUBSTITUTE(SUBSTITUTE(G248,"?","~?"),"*","~*"),$J$3:$J$1002,"Primary"))</f>
        <v/>
      </c>
      <c r="T248">
        <f>IF(S248="","",IF(S248&gt;Settings!$B$4,"Yes","No"))</f>
        <v/>
      </c>
      <c r="U248">
        <f>IF(OR(G248="",B248=""),"",IF(COUNTIFS($G$3:$G$1002,SUBSTITUTE(SUBSTITUTE(G248,"?","~?"),"*","~*"),$B$3:$B$1002,"&lt;&gt;"&amp;SUBSTITUTE(SUBSTITUTE(B248,"?","~?"),"*","~*"),$B$3:$B$1002,"?*")&gt;0,"Yes","No"))</f>
        <v/>
      </c>
      <c r="V248">
        <f>IF(OR(G248="",I248="",O248="",O248="Unclassified"),"",IFERROR(INDEX(Settings!$E$5:$H$16,MATCH(I248,Settings!$D$5:$D$16,0),MATCH(O248,Settings!$E$4:$H$4,0)),"Check"))</f>
        <v/>
      </c>
      <c r="W248">
        <f>IF(V248="","",IF(V248="No","Yes","No"))</f>
        <v/>
      </c>
      <c r="X248">
        <f>IF(OR(E248="",G248=""),"",IF(LOWER(IF(RIGHT(TRIM(E248),1)="/",LEFT(TRIM(E248),LEN(TRIM(E248))-1),TRIM(E248)))&lt;&gt;LOWER(IF(RIGHT(TRIM(G248),1)="/",LEFT(TRIM(G248),LEN(TRIM(G248))-1),TRIM(G248))),"Yes","No"))</f>
        <v/>
      </c>
      <c r="Y248">
        <f>IF(A248="","",(N(Q248)&gt;0)+(T248="Yes")+(U248="Yes")+(W248="Yes")+(X248="Yes"))</f>
        <v/>
      </c>
      <c r="Z248">
        <f>IF(A248="","",IF(G248="","Not mapped",IF(Y248=0,"OK",MID(IF(N(Q248)&gt;0,"; Cannibalisation","")&amp;IF(T248="Yes","; Too many primary keywords on URL","")&amp;IF(U248="Yes","; URL spans 2+ clusters","")&amp;IF(W248="Yes","; Intent mismatch","")&amp;IF(X248="Yes","; Ranking URL is not the target",""),3,300))))</f>
        <v/>
      </c>
      <c r="AA248">
        <f>IF(G248="","",IF(COUNTIF($G$3:G248,SUBSTITUTE(SUBSTITUTE(G248,"?","~?"),"*","~*"))=1,MAX($AA$2:AA247)+1,""))</f>
        <v/>
      </c>
      <c r="AB248">
        <f>IF(B248="","",IF(COUNTIF($B$3:B248,SUBSTITUTE(SUBSTITUTE(B248,"?","~?"),"*","~*"))=1,MAX($AB$2:AB247)+1,""))</f>
        <v/>
      </c>
    </row>
    <row r="249">
      <c r="M249">
        <f>IF(A249="","",LOWER(TRIM(SUBSTITUTE(SUBSTITUTE(A249,"?",""),"*",""))))</f>
        <v/>
      </c>
      <c r="N249">
        <f>IF(M249="","",IF(SUMPRODUCT(ISNUMBER(SEARCH(" "&amp;Settings!$L$5:$L$124&amp;" "," "&amp;M249&amp;" "))*(Settings!$K$5:$K$124="Navigational")*(Settings!$L$5:$L$124&lt;&gt;""))&gt;0,"Navigational",IF(SUMPRODUCT(ISNUMBER(SEARCH(" "&amp;Settings!$L$5:$L$124&amp;" "," "&amp;M249&amp;" "))*(Settings!$K$5:$K$124="Transactional")*(Settings!$L$5:$L$124&lt;&gt;""))&gt;0,"Transactional",IF(SUMPRODUCT(ISNUMBER(SEARCH(" "&amp;Settings!$L$5:$L$124&amp;" "," "&amp;M249&amp;" "))*(Settings!$K$5:$K$124="Commercial")*(Settings!$L$5:$L$124&lt;&gt;""))&gt;0,"Commercial",IF(SUMPRODUCT(ISNUMBER(SEARCH(" "&amp;Settings!$L$5:$L$124&amp;" "," "&amp;M249&amp;" "))*(Settings!$K$5:$K$124="Informational")*(Settings!$L$5:$L$124&lt;&gt;""))&gt;0,"Informational","Unclassified")))))</f>
        <v/>
      </c>
      <c r="O249">
        <f>IF(A249="","",IF(K249&lt;&gt;"",PROPER(K249),N249))</f>
        <v/>
      </c>
      <c r="P249">
        <f>IF(A249="","",ROUND(Settings!$B$5*MIN(1,LOG10(N(C249)+1)/LOG10(Settings!$B$7+1))+Settings!$B$6*(1-MIN(100,IF(D249="",50,N(D249)))/100)+IFERROR(INDEX(Settings!$B$10:$B$14,MATCH(O249,Settings!$A$10:$A$14,0)),0),0))</f>
        <v/>
      </c>
      <c r="Q249">
        <f>IF(OR(A249="",G249=""),"",COUNTIFS($M$3:$M$1002,M249,$G$3:$G$1002,"&lt;&gt;"&amp;SUBSTITUTE(SUBSTITUTE(G249,"?","~?"),"*","~*"),$G$3:$G$1002,"?*"))</f>
        <v/>
      </c>
      <c r="R249">
        <f>IF(Q249="","",IF(Q249&gt;0,"Yes","No"))</f>
        <v/>
      </c>
      <c r="S249">
        <f>IF(G249="","",COUNTIFS($G$3:$G$1002,SUBSTITUTE(SUBSTITUTE(G249,"?","~?"),"*","~*"),$J$3:$J$1002,"Primary"))</f>
        <v/>
      </c>
      <c r="T249">
        <f>IF(S249="","",IF(S249&gt;Settings!$B$4,"Yes","No"))</f>
        <v/>
      </c>
      <c r="U249">
        <f>IF(OR(G249="",B249=""),"",IF(COUNTIFS($G$3:$G$1002,SUBSTITUTE(SUBSTITUTE(G249,"?","~?"),"*","~*"),$B$3:$B$1002,"&lt;&gt;"&amp;SUBSTITUTE(SUBSTITUTE(B249,"?","~?"),"*","~*"),$B$3:$B$1002,"?*")&gt;0,"Yes","No"))</f>
        <v/>
      </c>
      <c r="V249">
        <f>IF(OR(G249="",I249="",O249="",O249="Unclassified"),"",IFERROR(INDEX(Settings!$E$5:$H$16,MATCH(I249,Settings!$D$5:$D$16,0),MATCH(O249,Settings!$E$4:$H$4,0)),"Check"))</f>
        <v/>
      </c>
      <c r="W249">
        <f>IF(V249="","",IF(V249="No","Yes","No"))</f>
        <v/>
      </c>
      <c r="X249">
        <f>IF(OR(E249="",G249=""),"",IF(LOWER(IF(RIGHT(TRIM(E249),1)="/",LEFT(TRIM(E249),LEN(TRIM(E249))-1),TRIM(E249)))&lt;&gt;LOWER(IF(RIGHT(TRIM(G249),1)="/",LEFT(TRIM(G249),LEN(TRIM(G249))-1),TRIM(G249))),"Yes","No"))</f>
        <v/>
      </c>
      <c r="Y249">
        <f>IF(A249="","",(N(Q249)&gt;0)+(T249="Yes")+(U249="Yes")+(W249="Yes")+(X249="Yes"))</f>
        <v/>
      </c>
      <c r="Z249">
        <f>IF(A249="","",IF(G249="","Not mapped",IF(Y249=0,"OK",MID(IF(N(Q249)&gt;0,"; Cannibalisation","")&amp;IF(T249="Yes","; Too many primary keywords on URL","")&amp;IF(U249="Yes","; URL spans 2+ clusters","")&amp;IF(W249="Yes","; Intent mismatch","")&amp;IF(X249="Yes","; Ranking URL is not the target",""),3,300))))</f>
        <v/>
      </c>
      <c r="AA249">
        <f>IF(G249="","",IF(COUNTIF($G$3:G249,SUBSTITUTE(SUBSTITUTE(G249,"?","~?"),"*","~*"))=1,MAX($AA$2:AA248)+1,""))</f>
        <v/>
      </c>
      <c r="AB249">
        <f>IF(B249="","",IF(COUNTIF($B$3:B249,SUBSTITUTE(SUBSTITUTE(B249,"?","~?"),"*","~*"))=1,MAX($AB$2:AB248)+1,""))</f>
        <v/>
      </c>
    </row>
    <row r="250">
      <c r="M250">
        <f>IF(A250="","",LOWER(TRIM(SUBSTITUTE(SUBSTITUTE(A250,"?",""),"*",""))))</f>
        <v/>
      </c>
      <c r="N250">
        <f>IF(M250="","",IF(SUMPRODUCT(ISNUMBER(SEARCH(" "&amp;Settings!$L$5:$L$124&amp;" "," "&amp;M250&amp;" "))*(Settings!$K$5:$K$124="Navigational")*(Settings!$L$5:$L$124&lt;&gt;""))&gt;0,"Navigational",IF(SUMPRODUCT(ISNUMBER(SEARCH(" "&amp;Settings!$L$5:$L$124&amp;" "," "&amp;M250&amp;" "))*(Settings!$K$5:$K$124="Transactional")*(Settings!$L$5:$L$124&lt;&gt;""))&gt;0,"Transactional",IF(SUMPRODUCT(ISNUMBER(SEARCH(" "&amp;Settings!$L$5:$L$124&amp;" "," "&amp;M250&amp;" "))*(Settings!$K$5:$K$124="Commercial")*(Settings!$L$5:$L$124&lt;&gt;""))&gt;0,"Commercial",IF(SUMPRODUCT(ISNUMBER(SEARCH(" "&amp;Settings!$L$5:$L$124&amp;" "," "&amp;M250&amp;" "))*(Settings!$K$5:$K$124="Informational")*(Settings!$L$5:$L$124&lt;&gt;""))&gt;0,"Informational","Unclassified")))))</f>
        <v/>
      </c>
      <c r="O250">
        <f>IF(A250="","",IF(K250&lt;&gt;"",PROPER(K250),N250))</f>
        <v/>
      </c>
      <c r="P250">
        <f>IF(A250="","",ROUND(Settings!$B$5*MIN(1,LOG10(N(C250)+1)/LOG10(Settings!$B$7+1))+Settings!$B$6*(1-MIN(100,IF(D250="",50,N(D250)))/100)+IFERROR(INDEX(Settings!$B$10:$B$14,MATCH(O250,Settings!$A$10:$A$14,0)),0),0))</f>
        <v/>
      </c>
      <c r="Q250">
        <f>IF(OR(A250="",G250=""),"",COUNTIFS($M$3:$M$1002,M250,$G$3:$G$1002,"&lt;&gt;"&amp;SUBSTITUTE(SUBSTITUTE(G250,"?","~?"),"*","~*"),$G$3:$G$1002,"?*"))</f>
        <v/>
      </c>
      <c r="R250">
        <f>IF(Q250="","",IF(Q250&gt;0,"Yes","No"))</f>
        <v/>
      </c>
      <c r="S250">
        <f>IF(G250="","",COUNTIFS($G$3:$G$1002,SUBSTITUTE(SUBSTITUTE(G250,"?","~?"),"*","~*"),$J$3:$J$1002,"Primary"))</f>
        <v/>
      </c>
      <c r="T250">
        <f>IF(S250="","",IF(S250&gt;Settings!$B$4,"Yes","No"))</f>
        <v/>
      </c>
      <c r="U250">
        <f>IF(OR(G250="",B250=""),"",IF(COUNTIFS($G$3:$G$1002,SUBSTITUTE(SUBSTITUTE(G250,"?","~?"),"*","~*"),$B$3:$B$1002,"&lt;&gt;"&amp;SUBSTITUTE(SUBSTITUTE(B250,"?","~?"),"*","~*"),$B$3:$B$1002,"?*")&gt;0,"Yes","No"))</f>
        <v/>
      </c>
      <c r="V250">
        <f>IF(OR(G250="",I250="",O250="",O250="Unclassified"),"",IFERROR(INDEX(Settings!$E$5:$H$16,MATCH(I250,Settings!$D$5:$D$16,0),MATCH(O250,Settings!$E$4:$H$4,0)),"Check"))</f>
        <v/>
      </c>
      <c r="W250">
        <f>IF(V250="","",IF(V250="No","Yes","No"))</f>
        <v/>
      </c>
      <c r="X250">
        <f>IF(OR(E250="",G250=""),"",IF(LOWER(IF(RIGHT(TRIM(E250),1)="/",LEFT(TRIM(E250),LEN(TRIM(E250))-1),TRIM(E250)))&lt;&gt;LOWER(IF(RIGHT(TRIM(G250),1)="/",LEFT(TRIM(G250),LEN(TRIM(G250))-1),TRIM(G250))),"Yes","No"))</f>
        <v/>
      </c>
      <c r="Y250">
        <f>IF(A250="","",(N(Q250)&gt;0)+(T250="Yes")+(U250="Yes")+(W250="Yes")+(X250="Yes"))</f>
        <v/>
      </c>
      <c r="Z250">
        <f>IF(A250="","",IF(G250="","Not mapped",IF(Y250=0,"OK",MID(IF(N(Q250)&gt;0,"; Cannibalisation","")&amp;IF(T250="Yes","; Too many primary keywords on URL","")&amp;IF(U250="Yes","; URL spans 2+ clusters","")&amp;IF(W250="Yes","; Intent mismatch","")&amp;IF(X250="Yes","; Ranking URL is not the target",""),3,300))))</f>
        <v/>
      </c>
      <c r="AA250">
        <f>IF(G250="","",IF(COUNTIF($G$3:G250,SUBSTITUTE(SUBSTITUTE(G250,"?","~?"),"*","~*"))=1,MAX($AA$2:AA249)+1,""))</f>
        <v/>
      </c>
      <c r="AB250">
        <f>IF(B250="","",IF(COUNTIF($B$3:B250,SUBSTITUTE(SUBSTITUTE(B250,"?","~?"),"*","~*"))=1,MAX($AB$2:AB249)+1,""))</f>
        <v/>
      </c>
    </row>
    <row r="251">
      <c r="M251">
        <f>IF(A251="","",LOWER(TRIM(SUBSTITUTE(SUBSTITUTE(A251,"?",""),"*",""))))</f>
        <v/>
      </c>
      <c r="N251">
        <f>IF(M251="","",IF(SUMPRODUCT(ISNUMBER(SEARCH(" "&amp;Settings!$L$5:$L$124&amp;" "," "&amp;M251&amp;" "))*(Settings!$K$5:$K$124="Navigational")*(Settings!$L$5:$L$124&lt;&gt;""))&gt;0,"Navigational",IF(SUMPRODUCT(ISNUMBER(SEARCH(" "&amp;Settings!$L$5:$L$124&amp;" "," "&amp;M251&amp;" "))*(Settings!$K$5:$K$124="Transactional")*(Settings!$L$5:$L$124&lt;&gt;""))&gt;0,"Transactional",IF(SUMPRODUCT(ISNUMBER(SEARCH(" "&amp;Settings!$L$5:$L$124&amp;" "," "&amp;M251&amp;" "))*(Settings!$K$5:$K$124="Commercial")*(Settings!$L$5:$L$124&lt;&gt;""))&gt;0,"Commercial",IF(SUMPRODUCT(ISNUMBER(SEARCH(" "&amp;Settings!$L$5:$L$124&amp;" "," "&amp;M251&amp;" "))*(Settings!$K$5:$K$124="Informational")*(Settings!$L$5:$L$124&lt;&gt;""))&gt;0,"Informational","Unclassified")))))</f>
        <v/>
      </c>
      <c r="O251">
        <f>IF(A251="","",IF(K251&lt;&gt;"",PROPER(K251),N251))</f>
        <v/>
      </c>
      <c r="P251">
        <f>IF(A251="","",ROUND(Settings!$B$5*MIN(1,LOG10(N(C251)+1)/LOG10(Settings!$B$7+1))+Settings!$B$6*(1-MIN(100,IF(D251="",50,N(D251)))/100)+IFERROR(INDEX(Settings!$B$10:$B$14,MATCH(O251,Settings!$A$10:$A$14,0)),0),0))</f>
        <v/>
      </c>
      <c r="Q251">
        <f>IF(OR(A251="",G251=""),"",COUNTIFS($M$3:$M$1002,M251,$G$3:$G$1002,"&lt;&gt;"&amp;SUBSTITUTE(SUBSTITUTE(G251,"?","~?"),"*","~*"),$G$3:$G$1002,"?*"))</f>
        <v/>
      </c>
      <c r="R251">
        <f>IF(Q251="","",IF(Q251&gt;0,"Yes","No"))</f>
        <v/>
      </c>
      <c r="S251">
        <f>IF(G251="","",COUNTIFS($G$3:$G$1002,SUBSTITUTE(SUBSTITUTE(G251,"?","~?"),"*","~*"),$J$3:$J$1002,"Primary"))</f>
        <v/>
      </c>
      <c r="T251">
        <f>IF(S251="","",IF(S251&gt;Settings!$B$4,"Yes","No"))</f>
        <v/>
      </c>
      <c r="U251">
        <f>IF(OR(G251="",B251=""),"",IF(COUNTIFS($G$3:$G$1002,SUBSTITUTE(SUBSTITUTE(G251,"?","~?"),"*","~*"),$B$3:$B$1002,"&lt;&gt;"&amp;SUBSTITUTE(SUBSTITUTE(B251,"?","~?"),"*","~*"),$B$3:$B$1002,"?*")&gt;0,"Yes","No"))</f>
        <v/>
      </c>
      <c r="V251">
        <f>IF(OR(G251="",I251="",O251="",O251="Unclassified"),"",IFERROR(INDEX(Settings!$E$5:$H$16,MATCH(I251,Settings!$D$5:$D$16,0),MATCH(O251,Settings!$E$4:$H$4,0)),"Check"))</f>
        <v/>
      </c>
      <c r="W251">
        <f>IF(V251="","",IF(V251="No","Yes","No"))</f>
        <v/>
      </c>
      <c r="X251">
        <f>IF(OR(E251="",G251=""),"",IF(LOWER(IF(RIGHT(TRIM(E251),1)="/",LEFT(TRIM(E251),LEN(TRIM(E251))-1),TRIM(E251)))&lt;&gt;LOWER(IF(RIGHT(TRIM(G251),1)="/",LEFT(TRIM(G251),LEN(TRIM(G251))-1),TRIM(G251))),"Yes","No"))</f>
        <v/>
      </c>
      <c r="Y251">
        <f>IF(A251="","",(N(Q251)&gt;0)+(T251="Yes")+(U251="Yes")+(W251="Yes")+(X251="Yes"))</f>
        <v/>
      </c>
      <c r="Z251">
        <f>IF(A251="","",IF(G251="","Not mapped",IF(Y251=0,"OK",MID(IF(N(Q251)&gt;0,"; Cannibalisation","")&amp;IF(T251="Yes","; Too many primary keywords on URL","")&amp;IF(U251="Yes","; URL spans 2+ clusters","")&amp;IF(W251="Yes","; Intent mismatch","")&amp;IF(X251="Yes","; Ranking URL is not the target",""),3,300))))</f>
        <v/>
      </c>
      <c r="AA251">
        <f>IF(G251="","",IF(COUNTIF($G$3:G251,SUBSTITUTE(SUBSTITUTE(G251,"?","~?"),"*","~*"))=1,MAX($AA$2:AA250)+1,""))</f>
        <v/>
      </c>
      <c r="AB251">
        <f>IF(B251="","",IF(COUNTIF($B$3:B251,SUBSTITUTE(SUBSTITUTE(B251,"?","~?"),"*","~*"))=1,MAX($AB$2:AB250)+1,""))</f>
        <v/>
      </c>
    </row>
    <row r="252">
      <c r="M252">
        <f>IF(A252="","",LOWER(TRIM(SUBSTITUTE(SUBSTITUTE(A252,"?",""),"*",""))))</f>
        <v/>
      </c>
      <c r="N252">
        <f>IF(M252="","",IF(SUMPRODUCT(ISNUMBER(SEARCH(" "&amp;Settings!$L$5:$L$124&amp;" "," "&amp;M252&amp;" "))*(Settings!$K$5:$K$124="Navigational")*(Settings!$L$5:$L$124&lt;&gt;""))&gt;0,"Navigational",IF(SUMPRODUCT(ISNUMBER(SEARCH(" "&amp;Settings!$L$5:$L$124&amp;" "," "&amp;M252&amp;" "))*(Settings!$K$5:$K$124="Transactional")*(Settings!$L$5:$L$124&lt;&gt;""))&gt;0,"Transactional",IF(SUMPRODUCT(ISNUMBER(SEARCH(" "&amp;Settings!$L$5:$L$124&amp;" "," "&amp;M252&amp;" "))*(Settings!$K$5:$K$124="Commercial")*(Settings!$L$5:$L$124&lt;&gt;""))&gt;0,"Commercial",IF(SUMPRODUCT(ISNUMBER(SEARCH(" "&amp;Settings!$L$5:$L$124&amp;" "," "&amp;M252&amp;" "))*(Settings!$K$5:$K$124="Informational")*(Settings!$L$5:$L$124&lt;&gt;""))&gt;0,"Informational","Unclassified")))))</f>
        <v/>
      </c>
      <c r="O252">
        <f>IF(A252="","",IF(K252&lt;&gt;"",PROPER(K252),N252))</f>
        <v/>
      </c>
      <c r="P252">
        <f>IF(A252="","",ROUND(Settings!$B$5*MIN(1,LOG10(N(C252)+1)/LOG10(Settings!$B$7+1))+Settings!$B$6*(1-MIN(100,IF(D252="",50,N(D252)))/100)+IFERROR(INDEX(Settings!$B$10:$B$14,MATCH(O252,Settings!$A$10:$A$14,0)),0),0))</f>
        <v/>
      </c>
      <c r="Q252">
        <f>IF(OR(A252="",G252=""),"",COUNTIFS($M$3:$M$1002,M252,$G$3:$G$1002,"&lt;&gt;"&amp;SUBSTITUTE(SUBSTITUTE(G252,"?","~?"),"*","~*"),$G$3:$G$1002,"?*"))</f>
        <v/>
      </c>
      <c r="R252">
        <f>IF(Q252="","",IF(Q252&gt;0,"Yes","No"))</f>
        <v/>
      </c>
      <c r="S252">
        <f>IF(G252="","",COUNTIFS($G$3:$G$1002,SUBSTITUTE(SUBSTITUTE(G252,"?","~?"),"*","~*"),$J$3:$J$1002,"Primary"))</f>
        <v/>
      </c>
      <c r="T252">
        <f>IF(S252="","",IF(S252&gt;Settings!$B$4,"Yes","No"))</f>
        <v/>
      </c>
      <c r="U252">
        <f>IF(OR(G252="",B252=""),"",IF(COUNTIFS($G$3:$G$1002,SUBSTITUTE(SUBSTITUTE(G252,"?","~?"),"*","~*"),$B$3:$B$1002,"&lt;&gt;"&amp;SUBSTITUTE(SUBSTITUTE(B252,"?","~?"),"*","~*"),$B$3:$B$1002,"?*")&gt;0,"Yes","No"))</f>
        <v/>
      </c>
      <c r="V252">
        <f>IF(OR(G252="",I252="",O252="",O252="Unclassified"),"",IFERROR(INDEX(Settings!$E$5:$H$16,MATCH(I252,Settings!$D$5:$D$16,0),MATCH(O252,Settings!$E$4:$H$4,0)),"Check"))</f>
        <v/>
      </c>
      <c r="W252">
        <f>IF(V252="","",IF(V252="No","Yes","No"))</f>
        <v/>
      </c>
      <c r="X252">
        <f>IF(OR(E252="",G252=""),"",IF(LOWER(IF(RIGHT(TRIM(E252),1)="/",LEFT(TRIM(E252),LEN(TRIM(E252))-1),TRIM(E252)))&lt;&gt;LOWER(IF(RIGHT(TRIM(G252),1)="/",LEFT(TRIM(G252),LEN(TRIM(G252))-1),TRIM(G252))),"Yes","No"))</f>
        <v/>
      </c>
      <c r="Y252">
        <f>IF(A252="","",(N(Q252)&gt;0)+(T252="Yes")+(U252="Yes")+(W252="Yes")+(X252="Yes"))</f>
        <v/>
      </c>
      <c r="Z252">
        <f>IF(A252="","",IF(G252="","Not mapped",IF(Y252=0,"OK",MID(IF(N(Q252)&gt;0,"; Cannibalisation","")&amp;IF(T252="Yes","; Too many primary keywords on URL","")&amp;IF(U252="Yes","; URL spans 2+ clusters","")&amp;IF(W252="Yes","; Intent mismatch","")&amp;IF(X252="Yes","; Ranking URL is not the target",""),3,300))))</f>
        <v/>
      </c>
      <c r="AA252">
        <f>IF(G252="","",IF(COUNTIF($G$3:G252,SUBSTITUTE(SUBSTITUTE(G252,"?","~?"),"*","~*"))=1,MAX($AA$2:AA251)+1,""))</f>
        <v/>
      </c>
      <c r="AB252">
        <f>IF(B252="","",IF(COUNTIF($B$3:B252,SUBSTITUTE(SUBSTITUTE(B252,"?","~?"),"*","~*"))=1,MAX($AB$2:AB251)+1,""))</f>
        <v/>
      </c>
    </row>
    <row r="253">
      <c r="M253">
        <f>IF(A253="","",LOWER(TRIM(SUBSTITUTE(SUBSTITUTE(A253,"?",""),"*",""))))</f>
        <v/>
      </c>
      <c r="N253">
        <f>IF(M253="","",IF(SUMPRODUCT(ISNUMBER(SEARCH(" "&amp;Settings!$L$5:$L$124&amp;" "," "&amp;M253&amp;" "))*(Settings!$K$5:$K$124="Navigational")*(Settings!$L$5:$L$124&lt;&gt;""))&gt;0,"Navigational",IF(SUMPRODUCT(ISNUMBER(SEARCH(" "&amp;Settings!$L$5:$L$124&amp;" "," "&amp;M253&amp;" "))*(Settings!$K$5:$K$124="Transactional")*(Settings!$L$5:$L$124&lt;&gt;""))&gt;0,"Transactional",IF(SUMPRODUCT(ISNUMBER(SEARCH(" "&amp;Settings!$L$5:$L$124&amp;" "," "&amp;M253&amp;" "))*(Settings!$K$5:$K$124="Commercial")*(Settings!$L$5:$L$124&lt;&gt;""))&gt;0,"Commercial",IF(SUMPRODUCT(ISNUMBER(SEARCH(" "&amp;Settings!$L$5:$L$124&amp;" "," "&amp;M253&amp;" "))*(Settings!$K$5:$K$124="Informational")*(Settings!$L$5:$L$124&lt;&gt;""))&gt;0,"Informational","Unclassified")))))</f>
        <v/>
      </c>
      <c r="O253">
        <f>IF(A253="","",IF(K253&lt;&gt;"",PROPER(K253),N253))</f>
        <v/>
      </c>
      <c r="P253">
        <f>IF(A253="","",ROUND(Settings!$B$5*MIN(1,LOG10(N(C253)+1)/LOG10(Settings!$B$7+1))+Settings!$B$6*(1-MIN(100,IF(D253="",50,N(D253)))/100)+IFERROR(INDEX(Settings!$B$10:$B$14,MATCH(O253,Settings!$A$10:$A$14,0)),0),0))</f>
        <v/>
      </c>
      <c r="Q253">
        <f>IF(OR(A253="",G253=""),"",COUNTIFS($M$3:$M$1002,M253,$G$3:$G$1002,"&lt;&gt;"&amp;SUBSTITUTE(SUBSTITUTE(G253,"?","~?"),"*","~*"),$G$3:$G$1002,"?*"))</f>
        <v/>
      </c>
      <c r="R253">
        <f>IF(Q253="","",IF(Q253&gt;0,"Yes","No"))</f>
        <v/>
      </c>
      <c r="S253">
        <f>IF(G253="","",COUNTIFS($G$3:$G$1002,SUBSTITUTE(SUBSTITUTE(G253,"?","~?"),"*","~*"),$J$3:$J$1002,"Primary"))</f>
        <v/>
      </c>
      <c r="T253">
        <f>IF(S253="","",IF(S253&gt;Settings!$B$4,"Yes","No"))</f>
        <v/>
      </c>
      <c r="U253">
        <f>IF(OR(G253="",B253=""),"",IF(COUNTIFS($G$3:$G$1002,SUBSTITUTE(SUBSTITUTE(G253,"?","~?"),"*","~*"),$B$3:$B$1002,"&lt;&gt;"&amp;SUBSTITUTE(SUBSTITUTE(B253,"?","~?"),"*","~*"),$B$3:$B$1002,"?*")&gt;0,"Yes","No"))</f>
        <v/>
      </c>
      <c r="V253">
        <f>IF(OR(G253="",I253="",O253="",O253="Unclassified"),"",IFERROR(INDEX(Settings!$E$5:$H$16,MATCH(I253,Settings!$D$5:$D$16,0),MATCH(O253,Settings!$E$4:$H$4,0)),"Check"))</f>
        <v/>
      </c>
      <c r="W253">
        <f>IF(V253="","",IF(V253="No","Yes","No"))</f>
        <v/>
      </c>
      <c r="X253">
        <f>IF(OR(E253="",G253=""),"",IF(LOWER(IF(RIGHT(TRIM(E253),1)="/",LEFT(TRIM(E253),LEN(TRIM(E253))-1),TRIM(E253)))&lt;&gt;LOWER(IF(RIGHT(TRIM(G253),1)="/",LEFT(TRIM(G253),LEN(TRIM(G253))-1),TRIM(G253))),"Yes","No"))</f>
        <v/>
      </c>
      <c r="Y253">
        <f>IF(A253="","",(N(Q253)&gt;0)+(T253="Yes")+(U253="Yes")+(W253="Yes")+(X253="Yes"))</f>
        <v/>
      </c>
      <c r="Z253">
        <f>IF(A253="","",IF(G253="","Not mapped",IF(Y253=0,"OK",MID(IF(N(Q253)&gt;0,"; Cannibalisation","")&amp;IF(T253="Yes","; Too many primary keywords on URL","")&amp;IF(U253="Yes","; URL spans 2+ clusters","")&amp;IF(W253="Yes","; Intent mismatch","")&amp;IF(X253="Yes","; Ranking URL is not the target",""),3,300))))</f>
        <v/>
      </c>
      <c r="AA253">
        <f>IF(G253="","",IF(COUNTIF($G$3:G253,SUBSTITUTE(SUBSTITUTE(G253,"?","~?"),"*","~*"))=1,MAX($AA$2:AA252)+1,""))</f>
        <v/>
      </c>
      <c r="AB253">
        <f>IF(B253="","",IF(COUNTIF($B$3:B253,SUBSTITUTE(SUBSTITUTE(B253,"?","~?"),"*","~*"))=1,MAX($AB$2:AB252)+1,""))</f>
        <v/>
      </c>
    </row>
    <row r="254">
      <c r="M254">
        <f>IF(A254="","",LOWER(TRIM(SUBSTITUTE(SUBSTITUTE(A254,"?",""),"*",""))))</f>
        <v/>
      </c>
      <c r="N254">
        <f>IF(M254="","",IF(SUMPRODUCT(ISNUMBER(SEARCH(" "&amp;Settings!$L$5:$L$124&amp;" "," "&amp;M254&amp;" "))*(Settings!$K$5:$K$124="Navigational")*(Settings!$L$5:$L$124&lt;&gt;""))&gt;0,"Navigational",IF(SUMPRODUCT(ISNUMBER(SEARCH(" "&amp;Settings!$L$5:$L$124&amp;" "," "&amp;M254&amp;" "))*(Settings!$K$5:$K$124="Transactional")*(Settings!$L$5:$L$124&lt;&gt;""))&gt;0,"Transactional",IF(SUMPRODUCT(ISNUMBER(SEARCH(" "&amp;Settings!$L$5:$L$124&amp;" "," "&amp;M254&amp;" "))*(Settings!$K$5:$K$124="Commercial")*(Settings!$L$5:$L$124&lt;&gt;""))&gt;0,"Commercial",IF(SUMPRODUCT(ISNUMBER(SEARCH(" "&amp;Settings!$L$5:$L$124&amp;" "," "&amp;M254&amp;" "))*(Settings!$K$5:$K$124="Informational")*(Settings!$L$5:$L$124&lt;&gt;""))&gt;0,"Informational","Unclassified")))))</f>
        <v/>
      </c>
      <c r="O254">
        <f>IF(A254="","",IF(K254&lt;&gt;"",PROPER(K254),N254))</f>
        <v/>
      </c>
      <c r="P254">
        <f>IF(A254="","",ROUND(Settings!$B$5*MIN(1,LOG10(N(C254)+1)/LOG10(Settings!$B$7+1))+Settings!$B$6*(1-MIN(100,IF(D254="",50,N(D254)))/100)+IFERROR(INDEX(Settings!$B$10:$B$14,MATCH(O254,Settings!$A$10:$A$14,0)),0),0))</f>
        <v/>
      </c>
      <c r="Q254">
        <f>IF(OR(A254="",G254=""),"",COUNTIFS($M$3:$M$1002,M254,$G$3:$G$1002,"&lt;&gt;"&amp;SUBSTITUTE(SUBSTITUTE(G254,"?","~?"),"*","~*"),$G$3:$G$1002,"?*"))</f>
        <v/>
      </c>
      <c r="R254">
        <f>IF(Q254="","",IF(Q254&gt;0,"Yes","No"))</f>
        <v/>
      </c>
      <c r="S254">
        <f>IF(G254="","",COUNTIFS($G$3:$G$1002,SUBSTITUTE(SUBSTITUTE(G254,"?","~?"),"*","~*"),$J$3:$J$1002,"Primary"))</f>
        <v/>
      </c>
      <c r="T254">
        <f>IF(S254="","",IF(S254&gt;Settings!$B$4,"Yes","No"))</f>
        <v/>
      </c>
      <c r="U254">
        <f>IF(OR(G254="",B254=""),"",IF(COUNTIFS($G$3:$G$1002,SUBSTITUTE(SUBSTITUTE(G254,"?","~?"),"*","~*"),$B$3:$B$1002,"&lt;&gt;"&amp;SUBSTITUTE(SUBSTITUTE(B254,"?","~?"),"*","~*"),$B$3:$B$1002,"?*")&gt;0,"Yes","No"))</f>
        <v/>
      </c>
      <c r="V254">
        <f>IF(OR(G254="",I254="",O254="",O254="Unclassified"),"",IFERROR(INDEX(Settings!$E$5:$H$16,MATCH(I254,Settings!$D$5:$D$16,0),MATCH(O254,Settings!$E$4:$H$4,0)),"Check"))</f>
        <v/>
      </c>
      <c r="W254">
        <f>IF(V254="","",IF(V254="No","Yes","No"))</f>
        <v/>
      </c>
      <c r="X254">
        <f>IF(OR(E254="",G254=""),"",IF(LOWER(IF(RIGHT(TRIM(E254),1)="/",LEFT(TRIM(E254),LEN(TRIM(E254))-1),TRIM(E254)))&lt;&gt;LOWER(IF(RIGHT(TRIM(G254),1)="/",LEFT(TRIM(G254),LEN(TRIM(G254))-1),TRIM(G254))),"Yes","No"))</f>
        <v/>
      </c>
      <c r="Y254">
        <f>IF(A254="","",(N(Q254)&gt;0)+(T254="Yes")+(U254="Yes")+(W254="Yes")+(X254="Yes"))</f>
        <v/>
      </c>
      <c r="Z254">
        <f>IF(A254="","",IF(G254="","Not mapped",IF(Y254=0,"OK",MID(IF(N(Q254)&gt;0,"; Cannibalisation","")&amp;IF(T254="Yes","; Too many primary keywords on URL","")&amp;IF(U254="Yes","; URL spans 2+ clusters","")&amp;IF(W254="Yes","; Intent mismatch","")&amp;IF(X254="Yes","; Ranking URL is not the target",""),3,300))))</f>
        <v/>
      </c>
      <c r="AA254">
        <f>IF(G254="","",IF(COUNTIF($G$3:G254,SUBSTITUTE(SUBSTITUTE(G254,"?","~?"),"*","~*"))=1,MAX($AA$2:AA253)+1,""))</f>
        <v/>
      </c>
      <c r="AB254">
        <f>IF(B254="","",IF(COUNTIF($B$3:B254,SUBSTITUTE(SUBSTITUTE(B254,"?","~?"),"*","~*"))=1,MAX($AB$2:AB253)+1,""))</f>
        <v/>
      </c>
    </row>
    <row r="255">
      <c r="M255">
        <f>IF(A255="","",LOWER(TRIM(SUBSTITUTE(SUBSTITUTE(A255,"?",""),"*",""))))</f>
        <v/>
      </c>
      <c r="N255">
        <f>IF(M255="","",IF(SUMPRODUCT(ISNUMBER(SEARCH(" "&amp;Settings!$L$5:$L$124&amp;" "," "&amp;M255&amp;" "))*(Settings!$K$5:$K$124="Navigational")*(Settings!$L$5:$L$124&lt;&gt;""))&gt;0,"Navigational",IF(SUMPRODUCT(ISNUMBER(SEARCH(" "&amp;Settings!$L$5:$L$124&amp;" "," "&amp;M255&amp;" "))*(Settings!$K$5:$K$124="Transactional")*(Settings!$L$5:$L$124&lt;&gt;""))&gt;0,"Transactional",IF(SUMPRODUCT(ISNUMBER(SEARCH(" "&amp;Settings!$L$5:$L$124&amp;" "," "&amp;M255&amp;" "))*(Settings!$K$5:$K$124="Commercial")*(Settings!$L$5:$L$124&lt;&gt;""))&gt;0,"Commercial",IF(SUMPRODUCT(ISNUMBER(SEARCH(" "&amp;Settings!$L$5:$L$124&amp;" "," "&amp;M255&amp;" "))*(Settings!$K$5:$K$124="Informational")*(Settings!$L$5:$L$124&lt;&gt;""))&gt;0,"Informational","Unclassified")))))</f>
        <v/>
      </c>
      <c r="O255">
        <f>IF(A255="","",IF(K255&lt;&gt;"",PROPER(K255),N255))</f>
        <v/>
      </c>
      <c r="P255">
        <f>IF(A255="","",ROUND(Settings!$B$5*MIN(1,LOG10(N(C255)+1)/LOG10(Settings!$B$7+1))+Settings!$B$6*(1-MIN(100,IF(D255="",50,N(D255)))/100)+IFERROR(INDEX(Settings!$B$10:$B$14,MATCH(O255,Settings!$A$10:$A$14,0)),0),0))</f>
        <v/>
      </c>
      <c r="Q255">
        <f>IF(OR(A255="",G255=""),"",COUNTIFS($M$3:$M$1002,M255,$G$3:$G$1002,"&lt;&gt;"&amp;SUBSTITUTE(SUBSTITUTE(G255,"?","~?"),"*","~*"),$G$3:$G$1002,"?*"))</f>
        <v/>
      </c>
      <c r="R255">
        <f>IF(Q255="","",IF(Q255&gt;0,"Yes","No"))</f>
        <v/>
      </c>
      <c r="S255">
        <f>IF(G255="","",COUNTIFS($G$3:$G$1002,SUBSTITUTE(SUBSTITUTE(G255,"?","~?"),"*","~*"),$J$3:$J$1002,"Primary"))</f>
        <v/>
      </c>
      <c r="T255">
        <f>IF(S255="","",IF(S255&gt;Settings!$B$4,"Yes","No"))</f>
        <v/>
      </c>
      <c r="U255">
        <f>IF(OR(G255="",B255=""),"",IF(COUNTIFS($G$3:$G$1002,SUBSTITUTE(SUBSTITUTE(G255,"?","~?"),"*","~*"),$B$3:$B$1002,"&lt;&gt;"&amp;SUBSTITUTE(SUBSTITUTE(B255,"?","~?"),"*","~*"),$B$3:$B$1002,"?*")&gt;0,"Yes","No"))</f>
        <v/>
      </c>
      <c r="V255">
        <f>IF(OR(G255="",I255="",O255="",O255="Unclassified"),"",IFERROR(INDEX(Settings!$E$5:$H$16,MATCH(I255,Settings!$D$5:$D$16,0),MATCH(O255,Settings!$E$4:$H$4,0)),"Check"))</f>
        <v/>
      </c>
      <c r="W255">
        <f>IF(V255="","",IF(V255="No","Yes","No"))</f>
        <v/>
      </c>
      <c r="X255">
        <f>IF(OR(E255="",G255=""),"",IF(LOWER(IF(RIGHT(TRIM(E255),1)="/",LEFT(TRIM(E255),LEN(TRIM(E255))-1),TRIM(E255)))&lt;&gt;LOWER(IF(RIGHT(TRIM(G255),1)="/",LEFT(TRIM(G255),LEN(TRIM(G255))-1),TRIM(G255))),"Yes","No"))</f>
        <v/>
      </c>
      <c r="Y255">
        <f>IF(A255="","",(N(Q255)&gt;0)+(T255="Yes")+(U255="Yes")+(W255="Yes")+(X255="Yes"))</f>
        <v/>
      </c>
      <c r="Z255">
        <f>IF(A255="","",IF(G255="","Not mapped",IF(Y255=0,"OK",MID(IF(N(Q255)&gt;0,"; Cannibalisation","")&amp;IF(T255="Yes","; Too many primary keywords on URL","")&amp;IF(U255="Yes","; URL spans 2+ clusters","")&amp;IF(W255="Yes","; Intent mismatch","")&amp;IF(X255="Yes","; Ranking URL is not the target",""),3,300))))</f>
        <v/>
      </c>
      <c r="AA255">
        <f>IF(G255="","",IF(COUNTIF($G$3:G255,SUBSTITUTE(SUBSTITUTE(G255,"?","~?"),"*","~*"))=1,MAX($AA$2:AA254)+1,""))</f>
        <v/>
      </c>
      <c r="AB255">
        <f>IF(B255="","",IF(COUNTIF($B$3:B255,SUBSTITUTE(SUBSTITUTE(B255,"?","~?"),"*","~*"))=1,MAX($AB$2:AB254)+1,""))</f>
        <v/>
      </c>
    </row>
    <row r="256">
      <c r="M256">
        <f>IF(A256="","",LOWER(TRIM(SUBSTITUTE(SUBSTITUTE(A256,"?",""),"*",""))))</f>
        <v/>
      </c>
      <c r="N256">
        <f>IF(M256="","",IF(SUMPRODUCT(ISNUMBER(SEARCH(" "&amp;Settings!$L$5:$L$124&amp;" "," "&amp;M256&amp;" "))*(Settings!$K$5:$K$124="Navigational")*(Settings!$L$5:$L$124&lt;&gt;""))&gt;0,"Navigational",IF(SUMPRODUCT(ISNUMBER(SEARCH(" "&amp;Settings!$L$5:$L$124&amp;" "," "&amp;M256&amp;" "))*(Settings!$K$5:$K$124="Transactional")*(Settings!$L$5:$L$124&lt;&gt;""))&gt;0,"Transactional",IF(SUMPRODUCT(ISNUMBER(SEARCH(" "&amp;Settings!$L$5:$L$124&amp;" "," "&amp;M256&amp;" "))*(Settings!$K$5:$K$124="Commercial")*(Settings!$L$5:$L$124&lt;&gt;""))&gt;0,"Commercial",IF(SUMPRODUCT(ISNUMBER(SEARCH(" "&amp;Settings!$L$5:$L$124&amp;" "," "&amp;M256&amp;" "))*(Settings!$K$5:$K$124="Informational")*(Settings!$L$5:$L$124&lt;&gt;""))&gt;0,"Informational","Unclassified")))))</f>
        <v/>
      </c>
      <c r="O256">
        <f>IF(A256="","",IF(K256&lt;&gt;"",PROPER(K256),N256))</f>
        <v/>
      </c>
      <c r="P256">
        <f>IF(A256="","",ROUND(Settings!$B$5*MIN(1,LOG10(N(C256)+1)/LOG10(Settings!$B$7+1))+Settings!$B$6*(1-MIN(100,IF(D256="",50,N(D256)))/100)+IFERROR(INDEX(Settings!$B$10:$B$14,MATCH(O256,Settings!$A$10:$A$14,0)),0),0))</f>
        <v/>
      </c>
      <c r="Q256">
        <f>IF(OR(A256="",G256=""),"",COUNTIFS($M$3:$M$1002,M256,$G$3:$G$1002,"&lt;&gt;"&amp;SUBSTITUTE(SUBSTITUTE(G256,"?","~?"),"*","~*"),$G$3:$G$1002,"?*"))</f>
        <v/>
      </c>
      <c r="R256">
        <f>IF(Q256="","",IF(Q256&gt;0,"Yes","No"))</f>
        <v/>
      </c>
      <c r="S256">
        <f>IF(G256="","",COUNTIFS($G$3:$G$1002,SUBSTITUTE(SUBSTITUTE(G256,"?","~?"),"*","~*"),$J$3:$J$1002,"Primary"))</f>
        <v/>
      </c>
      <c r="T256">
        <f>IF(S256="","",IF(S256&gt;Settings!$B$4,"Yes","No"))</f>
        <v/>
      </c>
      <c r="U256">
        <f>IF(OR(G256="",B256=""),"",IF(COUNTIFS($G$3:$G$1002,SUBSTITUTE(SUBSTITUTE(G256,"?","~?"),"*","~*"),$B$3:$B$1002,"&lt;&gt;"&amp;SUBSTITUTE(SUBSTITUTE(B256,"?","~?"),"*","~*"),$B$3:$B$1002,"?*")&gt;0,"Yes","No"))</f>
        <v/>
      </c>
      <c r="V256">
        <f>IF(OR(G256="",I256="",O256="",O256="Unclassified"),"",IFERROR(INDEX(Settings!$E$5:$H$16,MATCH(I256,Settings!$D$5:$D$16,0),MATCH(O256,Settings!$E$4:$H$4,0)),"Check"))</f>
        <v/>
      </c>
      <c r="W256">
        <f>IF(V256="","",IF(V256="No","Yes","No"))</f>
        <v/>
      </c>
      <c r="X256">
        <f>IF(OR(E256="",G256=""),"",IF(LOWER(IF(RIGHT(TRIM(E256),1)="/",LEFT(TRIM(E256),LEN(TRIM(E256))-1),TRIM(E256)))&lt;&gt;LOWER(IF(RIGHT(TRIM(G256),1)="/",LEFT(TRIM(G256),LEN(TRIM(G256))-1),TRIM(G256))),"Yes","No"))</f>
        <v/>
      </c>
      <c r="Y256">
        <f>IF(A256="","",(N(Q256)&gt;0)+(T256="Yes")+(U256="Yes")+(W256="Yes")+(X256="Yes"))</f>
        <v/>
      </c>
      <c r="Z256">
        <f>IF(A256="","",IF(G256="","Not mapped",IF(Y256=0,"OK",MID(IF(N(Q256)&gt;0,"; Cannibalisation","")&amp;IF(T256="Yes","; Too many primary keywords on URL","")&amp;IF(U256="Yes","; URL spans 2+ clusters","")&amp;IF(W256="Yes","; Intent mismatch","")&amp;IF(X256="Yes","; Ranking URL is not the target",""),3,300))))</f>
        <v/>
      </c>
      <c r="AA256">
        <f>IF(G256="","",IF(COUNTIF($G$3:G256,SUBSTITUTE(SUBSTITUTE(G256,"?","~?"),"*","~*"))=1,MAX($AA$2:AA255)+1,""))</f>
        <v/>
      </c>
      <c r="AB256">
        <f>IF(B256="","",IF(COUNTIF($B$3:B256,SUBSTITUTE(SUBSTITUTE(B256,"?","~?"),"*","~*"))=1,MAX($AB$2:AB255)+1,""))</f>
        <v/>
      </c>
    </row>
    <row r="257">
      <c r="M257">
        <f>IF(A257="","",LOWER(TRIM(SUBSTITUTE(SUBSTITUTE(A257,"?",""),"*",""))))</f>
        <v/>
      </c>
      <c r="N257">
        <f>IF(M257="","",IF(SUMPRODUCT(ISNUMBER(SEARCH(" "&amp;Settings!$L$5:$L$124&amp;" "," "&amp;M257&amp;" "))*(Settings!$K$5:$K$124="Navigational")*(Settings!$L$5:$L$124&lt;&gt;""))&gt;0,"Navigational",IF(SUMPRODUCT(ISNUMBER(SEARCH(" "&amp;Settings!$L$5:$L$124&amp;" "," "&amp;M257&amp;" "))*(Settings!$K$5:$K$124="Transactional")*(Settings!$L$5:$L$124&lt;&gt;""))&gt;0,"Transactional",IF(SUMPRODUCT(ISNUMBER(SEARCH(" "&amp;Settings!$L$5:$L$124&amp;" "," "&amp;M257&amp;" "))*(Settings!$K$5:$K$124="Commercial")*(Settings!$L$5:$L$124&lt;&gt;""))&gt;0,"Commercial",IF(SUMPRODUCT(ISNUMBER(SEARCH(" "&amp;Settings!$L$5:$L$124&amp;" "," "&amp;M257&amp;" "))*(Settings!$K$5:$K$124="Informational")*(Settings!$L$5:$L$124&lt;&gt;""))&gt;0,"Informational","Unclassified")))))</f>
        <v/>
      </c>
      <c r="O257">
        <f>IF(A257="","",IF(K257&lt;&gt;"",PROPER(K257),N257))</f>
        <v/>
      </c>
      <c r="P257">
        <f>IF(A257="","",ROUND(Settings!$B$5*MIN(1,LOG10(N(C257)+1)/LOG10(Settings!$B$7+1))+Settings!$B$6*(1-MIN(100,IF(D257="",50,N(D257)))/100)+IFERROR(INDEX(Settings!$B$10:$B$14,MATCH(O257,Settings!$A$10:$A$14,0)),0),0))</f>
        <v/>
      </c>
      <c r="Q257">
        <f>IF(OR(A257="",G257=""),"",COUNTIFS($M$3:$M$1002,M257,$G$3:$G$1002,"&lt;&gt;"&amp;SUBSTITUTE(SUBSTITUTE(G257,"?","~?"),"*","~*"),$G$3:$G$1002,"?*"))</f>
        <v/>
      </c>
      <c r="R257">
        <f>IF(Q257="","",IF(Q257&gt;0,"Yes","No"))</f>
        <v/>
      </c>
      <c r="S257">
        <f>IF(G257="","",COUNTIFS($G$3:$G$1002,SUBSTITUTE(SUBSTITUTE(G257,"?","~?"),"*","~*"),$J$3:$J$1002,"Primary"))</f>
        <v/>
      </c>
      <c r="T257">
        <f>IF(S257="","",IF(S257&gt;Settings!$B$4,"Yes","No"))</f>
        <v/>
      </c>
      <c r="U257">
        <f>IF(OR(G257="",B257=""),"",IF(COUNTIFS($G$3:$G$1002,SUBSTITUTE(SUBSTITUTE(G257,"?","~?"),"*","~*"),$B$3:$B$1002,"&lt;&gt;"&amp;SUBSTITUTE(SUBSTITUTE(B257,"?","~?"),"*","~*"),$B$3:$B$1002,"?*")&gt;0,"Yes","No"))</f>
        <v/>
      </c>
      <c r="V257">
        <f>IF(OR(G257="",I257="",O257="",O257="Unclassified"),"",IFERROR(INDEX(Settings!$E$5:$H$16,MATCH(I257,Settings!$D$5:$D$16,0),MATCH(O257,Settings!$E$4:$H$4,0)),"Check"))</f>
        <v/>
      </c>
      <c r="W257">
        <f>IF(V257="","",IF(V257="No","Yes","No"))</f>
        <v/>
      </c>
      <c r="X257">
        <f>IF(OR(E257="",G257=""),"",IF(LOWER(IF(RIGHT(TRIM(E257),1)="/",LEFT(TRIM(E257),LEN(TRIM(E257))-1),TRIM(E257)))&lt;&gt;LOWER(IF(RIGHT(TRIM(G257),1)="/",LEFT(TRIM(G257),LEN(TRIM(G257))-1),TRIM(G257))),"Yes","No"))</f>
        <v/>
      </c>
      <c r="Y257">
        <f>IF(A257="","",(N(Q257)&gt;0)+(T257="Yes")+(U257="Yes")+(W257="Yes")+(X257="Yes"))</f>
        <v/>
      </c>
      <c r="Z257">
        <f>IF(A257="","",IF(G257="","Not mapped",IF(Y257=0,"OK",MID(IF(N(Q257)&gt;0,"; Cannibalisation","")&amp;IF(T257="Yes","; Too many primary keywords on URL","")&amp;IF(U257="Yes","; URL spans 2+ clusters","")&amp;IF(W257="Yes","; Intent mismatch","")&amp;IF(X257="Yes","; Ranking URL is not the target",""),3,300))))</f>
        <v/>
      </c>
      <c r="AA257">
        <f>IF(G257="","",IF(COUNTIF($G$3:G257,SUBSTITUTE(SUBSTITUTE(G257,"?","~?"),"*","~*"))=1,MAX($AA$2:AA256)+1,""))</f>
        <v/>
      </c>
      <c r="AB257">
        <f>IF(B257="","",IF(COUNTIF($B$3:B257,SUBSTITUTE(SUBSTITUTE(B257,"?","~?"),"*","~*"))=1,MAX($AB$2:AB256)+1,""))</f>
        <v/>
      </c>
    </row>
    <row r="258">
      <c r="M258">
        <f>IF(A258="","",LOWER(TRIM(SUBSTITUTE(SUBSTITUTE(A258,"?",""),"*",""))))</f>
        <v/>
      </c>
      <c r="N258">
        <f>IF(M258="","",IF(SUMPRODUCT(ISNUMBER(SEARCH(" "&amp;Settings!$L$5:$L$124&amp;" "," "&amp;M258&amp;" "))*(Settings!$K$5:$K$124="Navigational")*(Settings!$L$5:$L$124&lt;&gt;""))&gt;0,"Navigational",IF(SUMPRODUCT(ISNUMBER(SEARCH(" "&amp;Settings!$L$5:$L$124&amp;" "," "&amp;M258&amp;" "))*(Settings!$K$5:$K$124="Transactional")*(Settings!$L$5:$L$124&lt;&gt;""))&gt;0,"Transactional",IF(SUMPRODUCT(ISNUMBER(SEARCH(" "&amp;Settings!$L$5:$L$124&amp;" "," "&amp;M258&amp;" "))*(Settings!$K$5:$K$124="Commercial")*(Settings!$L$5:$L$124&lt;&gt;""))&gt;0,"Commercial",IF(SUMPRODUCT(ISNUMBER(SEARCH(" "&amp;Settings!$L$5:$L$124&amp;" "," "&amp;M258&amp;" "))*(Settings!$K$5:$K$124="Informational")*(Settings!$L$5:$L$124&lt;&gt;""))&gt;0,"Informational","Unclassified")))))</f>
        <v/>
      </c>
      <c r="O258">
        <f>IF(A258="","",IF(K258&lt;&gt;"",PROPER(K258),N258))</f>
        <v/>
      </c>
      <c r="P258">
        <f>IF(A258="","",ROUND(Settings!$B$5*MIN(1,LOG10(N(C258)+1)/LOG10(Settings!$B$7+1))+Settings!$B$6*(1-MIN(100,IF(D258="",50,N(D258)))/100)+IFERROR(INDEX(Settings!$B$10:$B$14,MATCH(O258,Settings!$A$10:$A$14,0)),0),0))</f>
        <v/>
      </c>
      <c r="Q258">
        <f>IF(OR(A258="",G258=""),"",COUNTIFS($M$3:$M$1002,M258,$G$3:$G$1002,"&lt;&gt;"&amp;SUBSTITUTE(SUBSTITUTE(G258,"?","~?"),"*","~*"),$G$3:$G$1002,"?*"))</f>
        <v/>
      </c>
      <c r="R258">
        <f>IF(Q258="","",IF(Q258&gt;0,"Yes","No"))</f>
        <v/>
      </c>
      <c r="S258">
        <f>IF(G258="","",COUNTIFS($G$3:$G$1002,SUBSTITUTE(SUBSTITUTE(G258,"?","~?"),"*","~*"),$J$3:$J$1002,"Primary"))</f>
        <v/>
      </c>
      <c r="T258">
        <f>IF(S258="","",IF(S258&gt;Settings!$B$4,"Yes","No"))</f>
        <v/>
      </c>
      <c r="U258">
        <f>IF(OR(G258="",B258=""),"",IF(COUNTIFS($G$3:$G$1002,SUBSTITUTE(SUBSTITUTE(G258,"?","~?"),"*","~*"),$B$3:$B$1002,"&lt;&gt;"&amp;SUBSTITUTE(SUBSTITUTE(B258,"?","~?"),"*","~*"),$B$3:$B$1002,"?*")&gt;0,"Yes","No"))</f>
        <v/>
      </c>
      <c r="V258">
        <f>IF(OR(G258="",I258="",O258="",O258="Unclassified"),"",IFERROR(INDEX(Settings!$E$5:$H$16,MATCH(I258,Settings!$D$5:$D$16,0),MATCH(O258,Settings!$E$4:$H$4,0)),"Check"))</f>
        <v/>
      </c>
      <c r="W258">
        <f>IF(V258="","",IF(V258="No","Yes","No"))</f>
        <v/>
      </c>
      <c r="X258">
        <f>IF(OR(E258="",G258=""),"",IF(LOWER(IF(RIGHT(TRIM(E258),1)="/",LEFT(TRIM(E258),LEN(TRIM(E258))-1),TRIM(E258)))&lt;&gt;LOWER(IF(RIGHT(TRIM(G258),1)="/",LEFT(TRIM(G258),LEN(TRIM(G258))-1),TRIM(G258))),"Yes","No"))</f>
        <v/>
      </c>
      <c r="Y258">
        <f>IF(A258="","",(N(Q258)&gt;0)+(T258="Yes")+(U258="Yes")+(W258="Yes")+(X258="Yes"))</f>
        <v/>
      </c>
      <c r="Z258">
        <f>IF(A258="","",IF(G258="","Not mapped",IF(Y258=0,"OK",MID(IF(N(Q258)&gt;0,"; Cannibalisation","")&amp;IF(T258="Yes","; Too many primary keywords on URL","")&amp;IF(U258="Yes","; URL spans 2+ clusters","")&amp;IF(W258="Yes","; Intent mismatch","")&amp;IF(X258="Yes","; Ranking URL is not the target",""),3,300))))</f>
        <v/>
      </c>
      <c r="AA258">
        <f>IF(G258="","",IF(COUNTIF($G$3:G258,SUBSTITUTE(SUBSTITUTE(G258,"?","~?"),"*","~*"))=1,MAX($AA$2:AA257)+1,""))</f>
        <v/>
      </c>
      <c r="AB258">
        <f>IF(B258="","",IF(COUNTIF($B$3:B258,SUBSTITUTE(SUBSTITUTE(B258,"?","~?"),"*","~*"))=1,MAX($AB$2:AB257)+1,""))</f>
        <v/>
      </c>
    </row>
    <row r="259">
      <c r="M259">
        <f>IF(A259="","",LOWER(TRIM(SUBSTITUTE(SUBSTITUTE(A259,"?",""),"*",""))))</f>
        <v/>
      </c>
      <c r="N259">
        <f>IF(M259="","",IF(SUMPRODUCT(ISNUMBER(SEARCH(" "&amp;Settings!$L$5:$L$124&amp;" "," "&amp;M259&amp;" "))*(Settings!$K$5:$K$124="Navigational")*(Settings!$L$5:$L$124&lt;&gt;""))&gt;0,"Navigational",IF(SUMPRODUCT(ISNUMBER(SEARCH(" "&amp;Settings!$L$5:$L$124&amp;" "," "&amp;M259&amp;" "))*(Settings!$K$5:$K$124="Transactional")*(Settings!$L$5:$L$124&lt;&gt;""))&gt;0,"Transactional",IF(SUMPRODUCT(ISNUMBER(SEARCH(" "&amp;Settings!$L$5:$L$124&amp;" "," "&amp;M259&amp;" "))*(Settings!$K$5:$K$124="Commercial")*(Settings!$L$5:$L$124&lt;&gt;""))&gt;0,"Commercial",IF(SUMPRODUCT(ISNUMBER(SEARCH(" "&amp;Settings!$L$5:$L$124&amp;" "," "&amp;M259&amp;" "))*(Settings!$K$5:$K$124="Informational")*(Settings!$L$5:$L$124&lt;&gt;""))&gt;0,"Informational","Unclassified")))))</f>
        <v/>
      </c>
      <c r="O259">
        <f>IF(A259="","",IF(K259&lt;&gt;"",PROPER(K259),N259))</f>
        <v/>
      </c>
      <c r="P259">
        <f>IF(A259="","",ROUND(Settings!$B$5*MIN(1,LOG10(N(C259)+1)/LOG10(Settings!$B$7+1))+Settings!$B$6*(1-MIN(100,IF(D259="",50,N(D259)))/100)+IFERROR(INDEX(Settings!$B$10:$B$14,MATCH(O259,Settings!$A$10:$A$14,0)),0),0))</f>
        <v/>
      </c>
      <c r="Q259">
        <f>IF(OR(A259="",G259=""),"",COUNTIFS($M$3:$M$1002,M259,$G$3:$G$1002,"&lt;&gt;"&amp;SUBSTITUTE(SUBSTITUTE(G259,"?","~?"),"*","~*"),$G$3:$G$1002,"?*"))</f>
        <v/>
      </c>
      <c r="R259">
        <f>IF(Q259="","",IF(Q259&gt;0,"Yes","No"))</f>
        <v/>
      </c>
      <c r="S259">
        <f>IF(G259="","",COUNTIFS($G$3:$G$1002,SUBSTITUTE(SUBSTITUTE(G259,"?","~?"),"*","~*"),$J$3:$J$1002,"Primary"))</f>
        <v/>
      </c>
      <c r="T259">
        <f>IF(S259="","",IF(S259&gt;Settings!$B$4,"Yes","No"))</f>
        <v/>
      </c>
      <c r="U259">
        <f>IF(OR(G259="",B259=""),"",IF(COUNTIFS($G$3:$G$1002,SUBSTITUTE(SUBSTITUTE(G259,"?","~?"),"*","~*"),$B$3:$B$1002,"&lt;&gt;"&amp;SUBSTITUTE(SUBSTITUTE(B259,"?","~?"),"*","~*"),$B$3:$B$1002,"?*")&gt;0,"Yes","No"))</f>
        <v/>
      </c>
      <c r="V259">
        <f>IF(OR(G259="",I259="",O259="",O259="Unclassified"),"",IFERROR(INDEX(Settings!$E$5:$H$16,MATCH(I259,Settings!$D$5:$D$16,0),MATCH(O259,Settings!$E$4:$H$4,0)),"Check"))</f>
        <v/>
      </c>
      <c r="W259">
        <f>IF(V259="","",IF(V259="No","Yes","No"))</f>
        <v/>
      </c>
      <c r="X259">
        <f>IF(OR(E259="",G259=""),"",IF(LOWER(IF(RIGHT(TRIM(E259),1)="/",LEFT(TRIM(E259),LEN(TRIM(E259))-1),TRIM(E259)))&lt;&gt;LOWER(IF(RIGHT(TRIM(G259),1)="/",LEFT(TRIM(G259),LEN(TRIM(G259))-1),TRIM(G259))),"Yes","No"))</f>
        <v/>
      </c>
      <c r="Y259">
        <f>IF(A259="","",(N(Q259)&gt;0)+(T259="Yes")+(U259="Yes")+(W259="Yes")+(X259="Yes"))</f>
        <v/>
      </c>
      <c r="Z259">
        <f>IF(A259="","",IF(G259="","Not mapped",IF(Y259=0,"OK",MID(IF(N(Q259)&gt;0,"; Cannibalisation","")&amp;IF(T259="Yes","; Too many primary keywords on URL","")&amp;IF(U259="Yes","; URL spans 2+ clusters","")&amp;IF(W259="Yes","; Intent mismatch","")&amp;IF(X259="Yes","; Ranking URL is not the target",""),3,300))))</f>
        <v/>
      </c>
      <c r="AA259">
        <f>IF(G259="","",IF(COUNTIF($G$3:G259,SUBSTITUTE(SUBSTITUTE(G259,"?","~?"),"*","~*"))=1,MAX($AA$2:AA258)+1,""))</f>
        <v/>
      </c>
      <c r="AB259">
        <f>IF(B259="","",IF(COUNTIF($B$3:B259,SUBSTITUTE(SUBSTITUTE(B259,"?","~?"),"*","~*"))=1,MAX($AB$2:AB258)+1,""))</f>
        <v/>
      </c>
    </row>
    <row r="260">
      <c r="M260">
        <f>IF(A260="","",LOWER(TRIM(SUBSTITUTE(SUBSTITUTE(A260,"?",""),"*",""))))</f>
        <v/>
      </c>
      <c r="N260">
        <f>IF(M260="","",IF(SUMPRODUCT(ISNUMBER(SEARCH(" "&amp;Settings!$L$5:$L$124&amp;" "," "&amp;M260&amp;" "))*(Settings!$K$5:$K$124="Navigational")*(Settings!$L$5:$L$124&lt;&gt;""))&gt;0,"Navigational",IF(SUMPRODUCT(ISNUMBER(SEARCH(" "&amp;Settings!$L$5:$L$124&amp;" "," "&amp;M260&amp;" "))*(Settings!$K$5:$K$124="Transactional")*(Settings!$L$5:$L$124&lt;&gt;""))&gt;0,"Transactional",IF(SUMPRODUCT(ISNUMBER(SEARCH(" "&amp;Settings!$L$5:$L$124&amp;" "," "&amp;M260&amp;" "))*(Settings!$K$5:$K$124="Commercial")*(Settings!$L$5:$L$124&lt;&gt;""))&gt;0,"Commercial",IF(SUMPRODUCT(ISNUMBER(SEARCH(" "&amp;Settings!$L$5:$L$124&amp;" "," "&amp;M260&amp;" "))*(Settings!$K$5:$K$124="Informational")*(Settings!$L$5:$L$124&lt;&gt;""))&gt;0,"Informational","Unclassified")))))</f>
        <v/>
      </c>
      <c r="O260">
        <f>IF(A260="","",IF(K260&lt;&gt;"",PROPER(K260),N260))</f>
        <v/>
      </c>
      <c r="P260">
        <f>IF(A260="","",ROUND(Settings!$B$5*MIN(1,LOG10(N(C260)+1)/LOG10(Settings!$B$7+1))+Settings!$B$6*(1-MIN(100,IF(D260="",50,N(D260)))/100)+IFERROR(INDEX(Settings!$B$10:$B$14,MATCH(O260,Settings!$A$10:$A$14,0)),0),0))</f>
        <v/>
      </c>
      <c r="Q260">
        <f>IF(OR(A260="",G260=""),"",COUNTIFS($M$3:$M$1002,M260,$G$3:$G$1002,"&lt;&gt;"&amp;SUBSTITUTE(SUBSTITUTE(G260,"?","~?"),"*","~*"),$G$3:$G$1002,"?*"))</f>
        <v/>
      </c>
      <c r="R260">
        <f>IF(Q260="","",IF(Q260&gt;0,"Yes","No"))</f>
        <v/>
      </c>
      <c r="S260">
        <f>IF(G260="","",COUNTIFS($G$3:$G$1002,SUBSTITUTE(SUBSTITUTE(G260,"?","~?"),"*","~*"),$J$3:$J$1002,"Primary"))</f>
        <v/>
      </c>
      <c r="T260">
        <f>IF(S260="","",IF(S260&gt;Settings!$B$4,"Yes","No"))</f>
        <v/>
      </c>
      <c r="U260">
        <f>IF(OR(G260="",B260=""),"",IF(COUNTIFS($G$3:$G$1002,SUBSTITUTE(SUBSTITUTE(G260,"?","~?"),"*","~*"),$B$3:$B$1002,"&lt;&gt;"&amp;SUBSTITUTE(SUBSTITUTE(B260,"?","~?"),"*","~*"),$B$3:$B$1002,"?*")&gt;0,"Yes","No"))</f>
        <v/>
      </c>
      <c r="V260">
        <f>IF(OR(G260="",I260="",O260="",O260="Unclassified"),"",IFERROR(INDEX(Settings!$E$5:$H$16,MATCH(I260,Settings!$D$5:$D$16,0),MATCH(O260,Settings!$E$4:$H$4,0)),"Check"))</f>
        <v/>
      </c>
      <c r="W260">
        <f>IF(V260="","",IF(V260="No","Yes","No"))</f>
        <v/>
      </c>
      <c r="X260">
        <f>IF(OR(E260="",G260=""),"",IF(LOWER(IF(RIGHT(TRIM(E260),1)="/",LEFT(TRIM(E260),LEN(TRIM(E260))-1),TRIM(E260)))&lt;&gt;LOWER(IF(RIGHT(TRIM(G260),1)="/",LEFT(TRIM(G260),LEN(TRIM(G260))-1),TRIM(G260))),"Yes","No"))</f>
        <v/>
      </c>
      <c r="Y260">
        <f>IF(A260="","",(N(Q260)&gt;0)+(T260="Yes")+(U260="Yes")+(W260="Yes")+(X260="Yes"))</f>
        <v/>
      </c>
      <c r="Z260">
        <f>IF(A260="","",IF(G260="","Not mapped",IF(Y260=0,"OK",MID(IF(N(Q260)&gt;0,"; Cannibalisation","")&amp;IF(T260="Yes","; Too many primary keywords on URL","")&amp;IF(U260="Yes","; URL spans 2+ clusters","")&amp;IF(W260="Yes","; Intent mismatch","")&amp;IF(X260="Yes","; Ranking URL is not the target",""),3,300))))</f>
        <v/>
      </c>
      <c r="AA260">
        <f>IF(G260="","",IF(COUNTIF($G$3:G260,SUBSTITUTE(SUBSTITUTE(G260,"?","~?"),"*","~*"))=1,MAX($AA$2:AA259)+1,""))</f>
        <v/>
      </c>
      <c r="AB260">
        <f>IF(B260="","",IF(COUNTIF($B$3:B260,SUBSTITUTE(SUBSTITUTE(B260,"?","~?"),"*","~*"))=1,MAX($AB$2:AB259)+1,""))</f>
        <v/>
      </c>
    </row>
    <row r="261">
      <c r="M261">
        <f>IF(A261="","",LOWER(TRIM(SUBSTITUTE(SUBSTITUTE(A261,"?",""),"*",""))))</f>
        <v/>
      </c>
      <c r="N261">
        <f>IF(M261="","",IF(SUMPRODUCT(ISNUMBER(SEARCH(" "&amp;Settings!$L$5:$L$124&amp;" "," "&amp;M261&amp;" "))*(Settings!$K$5:$K$124="Navigational")*(Settings!$L$5:$L$124&lt;&gt;""))&gt;0,"Navigational",IF(SUMPRODUCT(ISNUMBER(SEARCH(" "&amp;Settings!$L$5:$L$124&amp;" "," "&amp;M261&amp;" "))*(Settings!$K$5:$K$124="Transactional")*(Settings!$L$5:$L$124&lt;&gt;""))&gt;0,"Transactional",IF(SUMPRODUCT(ISNUMBER(SEARCH(" "&amp;Settings!$L$5:$L$124&amp;" "," "&amp;M261&amp;" "))*(Settings!$K$5:$K$124="Commercial")*(Settings!$L$5:$L$124&lt;&gt;""))&gt;0,"Commercial",IF(SUMPRODUCT(ISNUMBER(SEARCH(" "&amp;Settings!$L$5:$L$124&amp;" "," "&amp;M261&amp;" "))*(Settings!$K$5:$K$124="Informational")*(Settings!$L$5:$L$124&lt;&gt;""))&gt;0,"Informational","Unclassified")))))</f>
        <v/>
      </c>
      <c r="O261">
        <f>IF(A261="","",IF(K261&lt;&gt;"",PROPER(K261),N261))</f>
        <v/>
      </c>
      <c r="P261">
        <f>IF(A261="","",ROUND(Settings!$B$5*MIN(1,LOG10(N(C261)+1)/LOG10(Settings!$B$7+1))+Settings!$B$6*(1-MIN(100,IF(D261="",50,N(D261)))/100)+IFERROR(INDEX(Settings!$B$10:$B$14,MATCH(O261,Settings!$A$10:$A$14,0)),0),0))</f>
        <v/>
      </c>
      <c r="Q261">
        <f>IF(OR(A261="",G261=""),"",COUNTIFS($M$3:$M$1002,M261,$G$3:$G$1002,"&lt;&gt;"&amp;SUBSTITUTE(SUBSTITUTE(G261,"?","~?"),"*","~*"),$G$3:$G$1002,"?*"))</f>
        <v/>
      </c>
      <c r="R261">
        <f>IF(Q261="","",IF(Q261&gt;0,"Yes","No"))</f>
        <v/>
      </c>
      <c r="S261">
        <f>IF(G261="","",COUNTIFS($G$3:$G$1002,SUBSTITUTE(SUBSTITUTE(G261,"?","~?"),"*","~*"),$J$3:$J$1002,"Primary"))</f>
        <v/>
      </c>
      <c r="T261">
        <f>IF(S261="","",IF(S261&gt;Settings!$B$4,"Yes","No"))</f>
        <v/>
      </c>
      <c r="U261">
        <f>IF(OR(G261="",B261=""),"",IF(COUNTIFS($G$3:$G$1002,SUBSTITUTE(SUBSTITUTE(G261,"?","~?"),"*","~*"),$B$3:$B$1002,"&lt;&gt;"&amp;SUBSTITUTE(SUBSTITUTE(B261,"?","~?"),"*","~*"),$B$3:$B$1002,"?*")&gt;0,"Yes","No"))</f>
        <v/>
      </c>
      <c r="V261">
        <f>IF(OR(G261="",I261="",O261="",O261="Unclassified"),"",IFERROR(INDEX(Settings!$E$5:$H$16,MATCH(I261,Settings!$D$5:$D$16,0),MATCH(O261,Settings!$E$4:$H$4,0)),"Check"))</f>
        <v/>
      </c>
      <c r="W261">
        <f>IF(V261="","",IF(V261="No","Yes","No"))</f>
        <v/>
      </c>
      <c r="X261">
        <f>IF(OR(E261="",G261=""),"",IF(LOWER(IF(RIGHT(TRIM(E261),1)="/",LEFT(TRIM(E261),LEN(TRIM(E261))-1),TRIM(E261)))&lt;&gt;LOWER(IF(RIGHT(TRIM(G261),1)="/",LEFT(TRIM(G261),LEN(TRIM(G261))-1),TRIM(G261))),"Yes","No"))</f>
        <v/>
      </c>
      <c r="Y261">
        <f>IF(A261="","",(N(Q261)&gt;0)+(T261="Yes")+(U261="Yes")+(W261="Yes")+(X261="Yes"))</f>
        <v/>
      </c>
      <c r="Z261">
        <f>IF(A261="","",IF(G261="","Not mapped",IF(Y261=0,"OK",MID(IF(N(Q261)&gt;0,"; Cannibalisation","")&amp;IF(T261="Yes","; Too many primary keywords on URL","")&amp;IF(U261="Yes","; URL spans 2+ clusters","")&amp;IF(W261="Yes","; Intent mismatch","")&amp;IF(X261="Yes","; Ranking URL is not the target",""),3,300))))</f>
        <v/>
      </c>
      <c r="AA261">
        <f>IF(G261="","",IF(COUNTIF($G$3:G261,SUBSTITUTE(SUBSTITUTE(G261,"?","~?"),"*","~*"))=1,MAX($AA$2:AA260)+1,""))</f>
        <v/>
      </c>
      <c r="AB261">
        <f>IF(B261="","",IF(COUNTIF($B$3:B261,SUBSTITUTE(SUBSTITUTE(B261,"?","~?"),"*","~*"))=1,MAX($AB$2:AB260)+1,""))</f>
        <v/>
      </c>
    </row>
    <row r="262">
      <c r="M262">
        <f>IF(A262="","",LOWER(TRIM(SUBSTITUTE(SUBSTITUTE(A262,"?",""),"*",""))))</f>
        <v/>
      </c>
      <c r="N262">
        <f>IF(M262="","",IF(SUMPRODUCT(ISNUMBER(SEARCH(" "&amp;Settings!$L$5:$L$124&amp;" "," "&amp;M262&amp;" "))*(Settings!$K$5:$K$124="Navigational")*(Settings!$L$5:$L$124&lt;&gt;""))&gt;0,"Navigational",IF(SUMPRODUCT(ISNUMBER(SEARCH(" "&amp;Settings!$L$5:$L$124&amp;" "," "&amp;M262&amp;" "))*(Settings!$K$5:$K$124="Transactional")*(Settings!$L$5:$L$124&lt;&gt;""))&gt;0,"Transactional",IF(SUMPRODUCT(ISNUMBER(SEARCH(" "&amp;Settings!$L$5:$L$124&amp;" "," "&amp;M262&amp;" "))*(Settings!$K$5:$K$124="Commercial")*(Settings!$L$5:$L$124&lt;&gt;""))&gt;0,"Commercial",IF(SUMPRODUCT(ISNUMBER(SEARCH(" "&amp;Settings!$L$5:$L$124&amp;" "," "&amp;M262&amp;" "))*(Settings!$K$5:$K$124="Informational")*(Settings!$L$5:$L$124&lt;&gt;""))&gt;0,"Informational","Unclassified")))))</f>
        <v/>
      </c>
      <c r="O262">
        <f>IF(A262="","",IF(K262&lt;&gt;"",PROPER(K262),N262))</f>
        <v/>
      </c>
      <c r="P262">
        <f>IF(A262="","",ROUND(Settings!$B$5*MIN(1,LOG10(N(C262)+1)/LOG10(Settings!$B$7+1))+Settings!$B$6*(1-MIN(100,IF(D262="",50,N(D262)))/100)+IFERROR(INDEX(Settings!$B$10:$B$14,MATCH(O262,Settings!$A$10:$A$14,0)),0),0))</f>
        <v/>
      </c>
      <c r="Q262">
        <f>IF(OR(A262="",G262=""),"",COUNTIFS($M$3:$M$1002,M262,$G$3:$G$1002,"&lt;&gt;"&amp;SUBSTITUTE(SUBSTITUTE(G262,"?","~?"),"*","~*"),$G$3:$G$1002,"?*"))</f>
        <v/>
      </c>
      <c r="R262">
        <f>IF(Q262="","",IF(Q262&gt;0,"Yes","No"))</f>
        <v/>
      </c>
      <c r="S262">
        <f>IF(G262="","",COUNTIFS($G$3:$G$1002,SUBSTITUTE(SUBSTITUTE(G262,"?","~?"),"*","~*"),$J$3:$J$1002,"Primary"))</f>
        <v/>
      </c>
      <c r="T262">
        <f>IF(S262="","",IF(S262&gt;Settings!$B$4,"Yes","No"))</f>
        <v/>
      </c>
      <c r="U262">
        <f>IF(OR(G262="",B262=""),"",IF(COUNTIFS($G$3:$G$1002,SUBSTITUTE(SUBSTITUTE(G262,"?","~?"),"*","~*"),$B$3:$B$1002,"&lt;&gt;"&amp;SUBSTITUTE(SUBSTITUTE(B262,"?","~?"),"*","~*"),$B$3:$B$1002,"?*")&gt;0,"Yes","No"))</f>
        <v/>
      </c>
      <c r="V262">
        <f>IF(OR(G262="",I262="",O262="",O262="Unclassified"),"",IFERROR(INDEX(Settings!$E$5:$H$16,MATCH(I262,Settings!$D$5:$D$16,0),MATCH(O262,Settings!$E$4:$H$4,0)),"Check"))</f>
        <v/>
      </c>
      <c r="W262">
        <f>IF(V262="","",IF(V262="No","Yes","No"))</f>
        <v/>
      </c>
      <c r="X262">
        <f>IF(OR(E262="",G262=""),"",IF(LOWER(IF(RIGHT(TRIM(E262),1)="/",LEFT(TRIM(E262),LEN(TRIM(E262))-1),TRIM(E262)))&lt;&gt;LOWER(IF(RIGHT(TRIM(G262),1)="/",LEFT(TRIM(G262),LEN(TRIM(G262))-1),TRIM(G262))),"Yes","No"))</f>
        <v/>
      </c>
      <c r="Y262">
        <f>IF(A262="","",(N(Q262)&gt;0)+(T262="Yes")+(U262="Yes")+(W262="Yes")+(X262="Yes"))</f>
        <v/>
      </c>
      <c r="Z262">
        <f>IF(A262="","",IF(G262="","Not mapped",IF(Y262=0,"OK",MID(IF(N(Q262)&gt;0,"; Cannibalisation","")&amp;IF(T262="Yes","; Too many primary keywords on URL","")&amp;IF(U262="Yes","; URL spans 2+ clusters","")&amp;IF(W262="Yes","; Intent mismatch","")&amp;IF(X262="Yes","; Ranking URL is not the target",""),3,300))))</f>
        <v/>
      </c>
      <c r="AA262">
        <f>IF(G262="","",IF(COUNTIF($G$3:G262,SUBSTITUTE(SUBSTITUTE(G262,"?","~?"),"*","~*"))=1,MAX($AA$2:AA261)+1,""))</f>
        <v/>
      </c>
      <c r="AB262">
        <f>IF(B262="","",IF(COUNTIF($B$3:B262,SUBSTITUTE(SUBSTITUTE(B262,"?","~?"),"*","~*"))=1,MAX($AB$2:AB261)+1,""))</f>
        <v/>
      </c>
    </row>
    <row r="263">
      <c r="M263">
        <f>IF(A263="","",LOWER(TRIM(SUBSTITUTE(SUBSTITUTE(A263,"?",""),"*",""))))</f>
        <v/>
      </c>
      <c r="N263">
        <f>IF(M263="","",IF(SUMPRODUCT(ISNUMBER(SEARCH(" "&amp;Settings!$L$5:$L$124&amp;" "," "&amp;M263&amp;" "))*(Settings!$K$5:$K$124="Navigational")*(Settings!$L$5:$L$124&lt;&gt;""))&gt;0,"Navigational",IF(SUMPRODUCT(ISNUMBER(SEARCH(" "&amp;Settings!$L$5:$L$124&amp;" "," "&amp;M263&amp;" "))*(Settings!$K$5:$K$124="Transactional")*(Settings!$L$5:$L$124&lt;&gt;""))&gt;0,"Transactional",IF(SUMPRODUCT(ISNUMBER(SEARCH(" "&amp;Settings!$L$5:$L$124&amp;" "," "&amp;M263&amp;" "))*(Settings!$K$5:$K$124="Commercial")*(Settings!$L$5:$L$124&lt;&gt;""))&gt;0,"Commercial",IF(SUMPRODUCT(ISNUMBER(SEARCH(" "&amp;Settings!$L$5:$L$124&amp;" "," "&amp;M263&amp;" "))*(Settings!$K$5:$K$124="Informational")*(Settings!$L$5:$L$124&lt;&gt;""))&gt;0,"Informational","Unclassified")))))</f>
        <v/>
      </c>
      <c r="O263">
        <f>IF(A263="","",IF(K263&lt;&gt;"",PROPER(K263),N263))</f>
        <v/>
      </c>
      <c r="P263">
        <f>IF(A263="","",ROUND(Settings!$B$5*MIN(1,LOG10(N(C263)+1)/LOG10(Settings!$B$7+1))+Settings!$B$6*(1-MIN(100,IF(D263="",50,N(D263)))/100)+IFERROR(INDEX(Settings!$B$10:$B$14,MATCH(O263,Settings!$A$10:$A$14,0)),0),0))</f>
        <v/>
      </c>
      <c r="Q263">
        <f>IF(OR(A263="",G263=""),"",COUNTIFS($M$3:$M$1002,M263,$G$3:$G$1002,"&lt;&gt;"&amp;SUBSTITUTE(SUBSTITUTE(G263,"?","~?"),"*","~*"),$G$3:$G$1002,"?*"))</f>
        <v/>
      </c>
      <c r="R263">
        <f>IF(Q263="","",IF(Q263&gt;0,"Yes","No"))</f>
        <v/>
      </c>
      <c r="S263">
        <f>IF(G263="","",COUNTIFS($G$3:$G$1002,SUBSTITUTE(SUBSTITUTE(G263,"?","~?"),"*","~*"),$J$3:$J$1002,"Primary"))</f>
        <v/>
      </c>
      <c r="T263">
        <f>IF(S263="","",IF(S263&gt;Settings!$B$4,"Yes","No"))</f>
        <v/>
      </c>
      <c r="U263">
        <f>IF(OR(G263="",B263=""),"",IF(COUNTIFS($G$3:$G$1002,SUBSTITUTE(SUBSTITUTE(G263,"?","~?"),"*","~*"),$B$3:$B$1002,"&lt;&gt;"&amp;SUBSTITUTE(SUBSTITUTE(B263,"?","~?"),"*","~*"),$B$3:$B$1002,"?*")&gt;0,"Yes","No"))</f>
        <v/>
      </c>
      <c r="V263">
        <f>IF(OR(G263="",I263="",O263="",O263="Unclassified"),"",IFERROR(INDEX(Settings!$E$5:$H$16,MATCH(I263,Settings!$D$5:$D$16,0),MATCH(O263,Settings!$E$4:$H$4,0)),"Check"))</f>
        <v/>
      </c>
      <c r="W263">
        <f>IF(V263="","",IF(V263="No","Yes","No"))</f>
        <v/>
      </c>
      <c r="X263">
        <f>IF(OR(E263="",G263=""),"",IF(LOWER(IF(RIGHT(TRIM(E263),1)="/",LEFT(TRIM(E263),LEN(TRIM(E263))-1),TRIM(E263)))&lt;&gt;LOWER(IF(RIGHT(TRIM(G263),1)="/",LEFT(TRIM(G263),LEN(TRIM(G263))-1),TRIM(G263))),"Yes","No"))</f>
        <v/>
      </c>
      <c r="Y263">
        <f>IF(A263="","",(N(Q263)&gt;0)+(T263="Yes")+(U263="Yes")+(W263="Yes")+(X263="Yes"))</f>
        <v/>
      </c>
      <c r="Z263">
        <f>IF(A263="","",IF(G263="","Not mapped",IF(Y263=0,"OK",MID(IF(N(Q263)&gt;0,"; Cannibalisation","")&amp;IF(T263="Yes","; Too many primary keywords on URL","")&amp;IF(U263="Yes","; URL spans 2+ clusters","")&amp;IF(W263="Yes","; Intent mismatch","")&amp;IF(X263="Yes","; Ranking URL is not the target",""),3,300))))</f>
        <v/>
      </c>
      <c r="AA263">
        <f>IF(G263="","",IF(COUNTIF($G$3:G263,SUBSTITUTE(SUBSTITUTE(G263,"?","~?"),"*","~*"))=1,MAX($AA$2:AA262)+1,""))</f>
        <v/>
      </c>
      <c r="AB263">
        <f>IF(B263="","",IF(COUNTIF($B$3:B263,SUBSTITUTE(SUBSTITUTE(B263,"?","~?"),"*","~*"))=1,MAX($AB$2:AB262)+1,""))</f>
        <v/>
      </c>
    </row>
    <row r="264">
      <c r="M264">
        <f>IF(A264="","",LOWER(TRIM(SUBSTITUTE(SUBSTITUTE(A264,"?",""),"*",""))))</f>
        <v/>
      </c>
      <c r="N264">
        <f>IF(M264="","",IF(SUMPRODUCT(ISNUMBER(SEARCH(" "&amp;Settings!$L$5:$L$124&amp;" "," "&amp;M264&amp;" "))*(Settings!$K$5:$K$124="Navigational")*(Settings!$L$5:$L$124&lt;&gt;""))&gt;0,"Navigational",IF(SUMPRODUCT(ISNUMBER(SEARCH(" "&amp;Settings!$L$5:$L$124&amp;" "," "&amp;M264&amp;" "))*(Settings!$K$5:$K$124="Transactional")*(Settings!$L$5:$L$124&lt;&gt;""))&gt;0,"Transactional",IF(SUMPRODUCT(ISNUMBER(SEARCH(" "&amp;Settings!$L$5:$L$124&amp;" "," "&amp;M264&amp;" "))*(Settings!$K$5:$K$124="Commercial")*(Settings!$L$5:$L$124&lt;&gt;""))&gt;0,"Commercial",IF(SUMPRODUCT(ISNUMBER(SEARCH(" "&amp;Settings!$L$5:$L$124&amp;" "," "&amp;M264&amp;" "))*(Settings!$K$5:$K$124="Informational")*(Settings!$L$5:$L$124&lt;&gt;""))&gt;0,"Informational","Unclassified")))))</f>
        <v/>
      </c>
      <c r="O264">
        <f>IF(A264="","",IF(K264&lt;&gt;"",PROPER(K264),N264))</f>
        <v/>
      </c>
      <c r="P264">
        <f>IF(A264="","",ROUND(Settings!$B$5*MIN(1,LOG10(N(C264)+1)/LOG10(Settings!$B$7+1))+Settings!$B$6*(1-MIN(100,IF(D264="",50,N(D264)))/100)+IFERROR(INDEX(Settings!$B$10:$B$14,MATCH(O264,Settings!$A$10:$A$14,0)),0),0))</f>
        <v/>
      </c>
      <c r="Q264">
        <f>IF(OR(A264="",G264=""),"",COUNTIFS($M$3:$M$1002,M264,$G$3:$G$1002,"&lt;&gt;"&amp;SUBSTITUTE(SUBSTITUTE(G264,"?","~?"),"*","~*"),$G$3:$G$1002,"?*"))</f>
        <v/>
      </c>
      <c r="R264">
        <f>IF(Q264="","",IF(Q264&gt;0,"Yes","No"))</f>
        <v/>
      </c>
      <c r="S264">
        <f>IF(G264="","",COUNTIFS($G$3:$G$1002,SUBSTITUTE(SUBSTITUTE(G264,"?","~?"),"*","~*"),$J$3:$J$1002,"Primary"))</f>
        <v/>
      </c>
      <c r="T264">
        <f>IF(S264="","",IF(S264&gt;Settings!$B$4,"Yes","No"))</f>
        <v/>
      </c>
      <c r="U264">
        <f>IF(OR(G264="",B264=""),"",IF(COUNTIFS($G$3:$G$1002,SUBSTITUTE(SUBSTITUTE(G264,"?","~?"),"*","~*"),$B$3:$B$1002,"&lt;&gt;"&amp;SUBSTITUTE(SUBSTITUTE(B264,"?","~?"),"*","~*"),$B$3:$B$1002,"?*")&gt;0,"Yes","No"))</f>
        <v/>
      </c>
      <c r="V264">
        <f>IF(OR(G264="",I264="",O264="",O264="Unclassified"),"",IFERROR(INDEX(Settings!$E$5:$H$16,MATCH(I264,Settings!$D$5:$D$16,0),MATCH(O264,Settings!$E$4:$H$4,0)),"Check"))</f>
        <v/>
      </c>
      <c r="W264">
        <f>IF(V264="","",IF(V264="No","Yes","No"))</f>
        <v/>
      </c>
      <c r="X264">
        <f>IF(OR(E264="",G264=""),"",IF(LOWER(IF(RIGHT(TRIM(E264),1)="/",LEFT(TRIM(E264),LEN(TRIM(E264))-1),TRIM(E264)))&lt;&gt;LOWER(IF(RIGHT(TRIM(G264),1)="/",LEFT(TRIM(G264),LEN(TRIM(G264))-1),TRIM(G264))),"Yes","No"))</f>
        <v/>
      </c>
      <c r="Y264">
        <f>IF(A264="","",(N(Q264)&gt;0)+(T264="Yes")+(U264="Yes")+(W264="Yes")+(X264="Yes"))</f>
        <v/>
      </c>
      <c r="Z264">
        <f>IF(A264="","",IF(G264="","Not mapped",IF(Y264=0,"OK",MID(IF(N(Q264)&gt;0,"; Cannibalisation","")&amp;IF(T264="Yes","; Too many primary keywords on URL","")&amp;IF(U264="Yes","; URL spans 2+ clusters","")&amp;IF(W264="Yes","; Intent mismatch","")&amp;IF(X264="Yes","; Ranking URL is not the target",""),3,300))))</f>
        <v/>
      </c>
      <c r="AA264">
        <f>IF(G264="","",IF(COUNTIF($G$3:G264,SUBSTITUTE(SUBSTITUTE(G264,"?","~?"),"*","~*"))=1,MAX($AA$2:AA263)+1,""))</f>
        <v/>
      </c>
      <c r="AB264">
        <f>IF(B264="","",IF(COUNTIF($B$3:B264,SUBSTITUTE(SUBSTITUTE(B264,"?","~?"),"*","~*"))=1,MAX($AB$2:AB263)+1,""))</f>
        <v/>
      </c>
    </row>
    <row r="265">
      <c r="M265">
        <f>IF(A265="","",LOWER(TRIM(SUBSTITUTE(SUBSTITUTE(A265,"?",""),"*",""))))</f>
        <v/>
      </c>
      <c r="N265">
        <f>IF(M265="","",IF(SUMPRODUCT(ISNUMBER(SEARCH(" "&amp;Settings!$L$5:$L$124&amp;" "," "&amp;M265&amp;" "))*(Settings!$K$5:$K$124="Navigational")*(Settings!$L$5:$L$124&lt;&gt;""))&gt;0,"Navigational",IF(SUMPRODUCT(ISNUMBER(SEARCH(" "&amp;Settings!$L$5:$L$124&amp;" "," "&amp;M265&amp;" "))*(Settings!$K$5:$K$124="Transactional")*(Settings!$L$5:$L$124&lt;&gt;""))&gt;0,"Transactional",IF(SUMPRODUCT(ISNUMBER(SEARCH(" "&amp;Settings!$L$5:$L$124&amp;" "," "&amp;M265&amp;" "))*(Settings!$K$5:$K$124="Commercial")*(Settings!$L$5:$L$124&lt;&gt;""))&gt;0,"Commercial",IF(SUMPRODUCT(ISNUMBER(SEARCH(" "&amp;Settings!$L$5:$L$124&amp;" "," "&amp;M265&amp;" "))*(Settings!$K$5:$K$124="Informational")*(Settings!$L$5:$L$124&lt;&gt;""))&gt;0,"Informational","Unclassified")))))</f>
        <v/>
      </c>
      <c r="O265">
        <f>IF(A265="","",IF(K265&lt;&gt;"",PROPER(K265),N265))</f>
        <v/>
      </c>
      <c r="P265">
        <f>IF(A265="","",ROUND(Settings!$B$5*MIN(1,LOG10(N(C265)+1)/LOG10(Settings!$B$7+1))+Settings!$B$6*(1-MIN(100,IF(D265="",50,N(D265)))/100)+IFERROR(INDEX(Settings!$B$10:$B$14,MATCH(O265,Settings!$A$10:$A$14,0)),0),0))</f>
        <v/>
      </c>
      <c r="Q265">
        <f>IF(OR(A265="",G265=""),"",COUNTIFS($M$3:$M$1002,M265,$G$3:$G$1002,"&lt;&gt;"&amp;SUBSTITUTE(SUBSTITUTE(G265,"?","~?"),"*","~*"),$G$3:$G$1002,"?*"))</f>
        <v/>
      </c>
      <c r="R265">
        <f>IF(Q265="","",IF(Q265&gt;0,"Yes","No"))</f>
        <v/>
      </c>
      <c r="S265">
        <f>IF(G265="","",COUNTIFS($G$3:$G$1002,SUBSTITUTE(SUBSTITUTE(G265,"?","~?"),"*","~*"),$J$3:$J$1002,"Primary"))</f>
        <v/>
      </c>
      <c r="T265">
        <f>IF(S265="","",IF(S265&gt;Settings!$B$4,"Yes","No"))</f>
        <v/>
      </c>
      <c r="U265">
        <f>IF(OR(G265="",B265=""),"",IF(COUNTIFS($G$3:$G$1002,SUBSTITUTE(SUBSTITUTE(G265,"?","~?"),"*","~*"),$B$3:$B$1002,"&lt;&gt;"&amp;SUBSTITUTE(SUBSTITUTE(B265,"?","~?"),"*","~*"),$B$3:$B$1002,"?*")&gt;0,"Yes","No"))</f>
        <v/>
      </c>
      <c r="V265">
        <f>IF(OR(G265="",I265="",O265="",O265="Unclassified"),"",IFERROR(INDEX(Settings!$E$5:$H$16,MATCH(I265,Settings!$D$5:$D$16,0),MATCH(O265,Settings!$E$4:$H$4,0)),"Check"))</f>
        <v/>
      </c>
      <c r="W265">
        <f>IF(V265="","",IF(V265="No","Yes","No"))</f>
        <v/>
      </c>
      <c r="X265">
        <f>IF(OR(E265="",G265=""),"",IF(LOWER(IF(RIGHT(TRIM(E265),1)="/",LEFT(TRIM(E265),LEN(TRIM(E265))-1),TRIM(E265)))&lt;&gt;LOWER(IF(RIGHT(TRIM(G265),1)="/",LEFT(TRIM(G265),LEN(TRIM(G265))-1),TRIM(G265))),"Yes","No"))</f>
        <v/>
      </c>
      <c r="Y265">
        <f>IF(A265="","",(N(Q265)&gt;0)+(T265="Yes")+(U265="Yes")+(W265="Yes")+(X265="Yes"))</f>
        <v/>
      </c>
      <c r="Z265">
        <f>IF(A265="","",IF(G265="","Not mapped",IF(Y265=0,"OK",MID(IF(N(Q265)&gt;0,"; Cannibalisation","")&amp;IF(T265="Yes","; Too many primary keywords on URL","")&amp;IF(U265="Yes","; URL spans 2+ clusters","")&amp;IF(W265="Yes","; Intent mismatch","")&amp;IF(X265="Yes","; Ranking URL is not the target",""),3,300))))</f>
        <v/>
      </c>
      <c r="AA265">
        <f>IF(G265="","",IF(COUNTIF($G$3:G265,SUBSTITUTE(SUBSTITUTE(G265,"?","~?"),"*","~*"))=1,MAX($AA$2:AA264)+1,""))</f>
        <v/>
      </c>
      <c r="AB265">
        <f>IF(B265="","",IF(COUNTIF($B$3:B265,SUBSTITUTE(SUBSTITUTE(B265,"?","~?"),"*","~*"))=1,MAX($AB$2:AB264)+1,""))</f>
        <v/>
      </c>
    </row>
    <row r="266">
      <c r="M266">
        <f>IF(A266="","",LOWER(TRIM(SUBSTITUTE(SUBSTITUTE(A266,"?",""),"*",""))))</f>
        <v/>
      </c>
      <c r="N266">
        <f>IF(M266="","",IF(SUMPRODUCT(ISNUMBER(SEARCH(" "&amp;Settings!$L$5:$L$124&amp;" "," "&amp;M266&amp;" "))*(Settings!$K$5:$K$124="Navigational")*(Settings!$L$5:$L$124&lt;&gt;""))&gt;0,"Navigational",IF(SUMPRODUCT(ISNUMBER(SEARCH(" "&amp;Settings!$L$5:$L$124&amp;" "," "&amp;M266&amp;" "))*(Settings!$K$5:$K$124="Transactional")*(Settings!$L$5:$L$124&lt;&gt;""))&gt;0,"Transactional",IF(SUMPRODUCT(ISNUMBER(SEARCH(" "&amp;Settings!$L$5:$L$124&amp;" "," "&amp;M266&amp;" "))*(Settings!$K$5:$K$124="Commercial")*(Settings!$L$5:$L$124&lt;&gt;""))&gt;0,"Commercial",IF(SUMPRODUCT(ISNUMBER(SEARCH(" "&amp;Settings!$L$5:$L$124&amp;" "," "&amp;M266&amp;" "))*(Settings!$K$5:$K$124="Informational")*(Settings!$L$5:$L$124&lt;&gt;""))&gt;0,"Informational","Unclassified")))))</f>
        <v/>
      </c>
      <c r="O266">
        <f>IF(A266="","",IF(K266&lt;&gt;"",PROPER(K266),N266))</f>
        <v/>
      </c>
      <c r="P266">
        <f>IF(A266="","",ROUND(Settings!$B$5*MIN(1,LOG10(N(C266)+1)/LOG10(Settings!$B$7+1))+Settings!$B$6*(1-MIN(100,IF(D266="",50,N(D266)))/100)+IFERROR(INDEX(Settings!$B$10:$B$14,MATCH(O266,Settings!$A$10:$A$14,0)),0),0))</f>
        <v/>
      </c>
      <c r="Q266">
        <f>IF(OR(A266="",G266=""),"",COUNTIFS($M$3:$M$1002,M266,$G$3:$G$1002,"&lt;&gt;"&amp;SUBSTITUTE(SUBSTITUTE(G266,"?","~?"),"*","~*"),$G$3:$G$1002,"?*"))</f>
        <v/>
      </c>
      <c r="R266">
        <f>IF(Q266="","",IF(Q266&gt;0,"Yes","No"))</f>
        <v/>
      </c>
      <c r="S266">
        <f>IF(G266="","",COUNTIFS($G$3:$G$1002,SUBSTITUTE(SUBSTITUTE(G266,"?","~?"),"*","~*"),$J$3:$J$1002,"Primary"))</f>
        <v/>
      </c>
      <c r="T266">
        <f>IF(S266="","",IF(S266&gt;Settings!$B$4,"Yes","No"))</f>
        <v/>
      </c>
      <c r="U266">
        <f>IF(OR(G266="",B266=""),"",IF(COUNTIFS($G$3:$G$1002,SUBSTITUTE(SUBSTITUTE(G266,"?","~?"),"*","~*"),$B$3:$B$1002,"&lt;&gt;"&amp;SUBSTITUTE(SUBSTITUTE(B266,"?","~?"),"*","~*"),$B$3:$B$1002,"?*")&gt;0,"Yes","No"))</f>
        <v/>
      </c>
      <c r="V266">
        <f>IF(OR(G266="",I266="",O266="",O266="Unclassified"),"",IFERROR(INDEX(Settings!$E$5:$H$16,MATCH(I266,Settings!$D$5:$D$16,0),MATCH(O266,Settings!$E$4:$H$4,0)),"Check"))</f>
        <v/>
      </c>
      <c r="W266">
        <f>IF(V266="","",IF(V266="No","Yes","No"))</f>
        <v/>
      </c>
      <c r="X266">
        <f>IF(OR(E266="",G266=""),"",IF(LOWER(IF(RIGHT(TRIM(E266),1)="/",LEFT(TRIM(E266),LEN(TRIM(E266))-1),TRIM(E266)))&lt;&gt;LOWER(IF(RIGHT(TRIM(G266),1)="/",LEFT(TRIM(G266),LEN(TRIM(G266))-1),TRIM(G266))),"Yes","No"))</f>
        <v/>
      </c>
      <c r="Y266">
        <f>IF(A266="","",(N(Q266)&gt;0)+(T266="Yes")+(U266="Yes")+(W266="Yes")+(X266="Yes"))</f>
        <v/>
      </c>
      <c r="Z266">
        <f>IF(A266="","",IF(G266="","Not mapped",IF(Y266=0,"OK",MID(IF(N(Q266)&gt;0,"; Cannibalisation","")&amp;IF(T266="Yes","; Too many primary keywords on URL","")&amp;IF(U266="Yes","; URL spans 2+ clusters","")&amp;IF(W266="Yes","; Intent mismatch","")&amp;IF(X266="Yes","; Ranking URL is not the target",""),3,300))))</f>
        <v/>
      </c>
      <c r="AA266">
        <f>IF(G266="","",IF(COUNTIF($G$3:G266,SUBSTITUTE(SUBSTITUTE(G266,"?","~?"),"*","~*"))=1,MAX($AA$2:AA265)+1,""))</f>
        <v/>
      </c>
      <c r="AB266">
        <f>IF(B266="","",IF(COUNTIF($B$3:B266,SUBSTITUTE(SUBSTITUTE(B266,"?","~?"),"*","~*"))=1,MAX($AB$2:AB265)+1,""))</f>
        <v/>
      </c>
    </row>
    <row r="267">
      <c r="M267">
        <f>IF(A267="","",LOWER(TRIM(SUBSTITUTE(SUBSTITUTE(A267,"?",""),"*",""))))</f>
        <v/>
      </c>
      <c r="N267">
        <f>IF(M267="","",IF(SUMPRODUCT(ISNUMBER(SEARCH(" "&amp;Settings!$L$5:$L$124&amp;" "," "&amp;M267&amp;" "))*(Settings!$K$5:$K$124="Navigational")*(Settings!$L$5:$L$124&lt;&gt;""))&gt;0,"Navigational",IF(SUMPRODUCT(ISNUMBER(SEARCH(" "&amp;Settings!$L$5:$L$124&amp;" "," "&amp;M267&amp;" "))*(Settings!$K$5:$K$124="Transactional")*(Settings!$L$5:$L$124&lt;&gt;""))&gt;0,"Transactional",IF(SUMPRODUCT(ISNUMBER(SEARCH(" "&amp;Settings!$L$5:$L$124&amp;" "," "&amp;M267&amp;" "))*(Settings!$K$5:$K$124="Commercial")*(Settings!$L$5:$L$124&lt;&gt;""))&gt;0,"Commercial",IF(SUMPRODUCT(ISNUMBER(SEARCH(" "&amp;Settings!$L$5:$L$124&amp;" "," "&amp;M267&amp;" "))*(Settings!$K$5:$K$124="Informational")*(Settings!$L$5:$L$124&lt;&gt;""))&gt;0,"Informational","Unclassified")))))</f>
        <v/>
      </c>
      <c r="O267">
        <f>IF(A267="","",IF(K267&lt;&gt;"",PROPER(K267),N267))</f>
        <v/>
      </c>
      <c r="P267">
        <f>IF(A267="","",ROUND(Settings!$B$5*MIN(1,LOG10(N(C267)+1)/LOG10(Settings!$B$7+1))+Settings!$B$6*(1-MIN(100,IF(D267="",50,N(D267)))/100)+IFERROR(INDEX(Settings!$B$10:$B$14,MATCH(O267,Settings!$A$10:$A$14,0)),0),0))</f>
        <v/>
      </c>
      <c r="Q267">
        <f>IF(OR(A267="",G267=""),"",COUNTIFS($M$3:$M$1002,M267,$G$3:$G$1002,"&lt;&gt;"&amp;SUBSTITUTE(SUBSTITUTE(G267,"?","~?"),"*","~*"),$G$3:$G$1002,"?*"))</f>
        <v/>
      </c>
      <c r="R267">
        <f>IF(Q267="","",IF(Q267&gt;0,"Yes","No"))</f>
        <v/>
      </c>
      <c r="S267">
        <f>IF(G267="","",COUNTIFS($G$3:$G$1002,SUBSTITUTE(SUBSTITUTE(G267,"?","~?"),"*","~*"),$J$3:$J$1002,"Primary"))</f>
        <v/>
      </c>
      <c r="T267">
        <f>IF(S267="","",IF(S267&gt;Settings!$B$4,"Yes","No"))</f>
        <v/>
      </c>
      <c r="U267">
        <f>IF(OR(G267="",B267=""),"",IF(COUNTIFS($G$3:$G$1002,SUBSTITUTE(SUBSTITUTE(G267,"?","~?"),"*","~*"),$B$3:$B$1002,"&lt;&gt;"&amp;SUBSTITUTE(SUBSTITUTE(B267,"?","~?"),"*","~*"),$B$3:$B$1002,"?*")&gt;0,"Yes","No"))</f>
        <v/>
      </c>
      <c r="V267">
        <f>IF(OR(G267="",I267="",O267="",O267="Unclassified"),"",IFERROR(INDEX(Settings!$E$5:$H$16,MATCH(I267,Settings!$D$5:$D$16,0),MATCH(O267,Settings!$E$4:$H$4,0)),"Check"))</f>
        <v/>
      </c>
      <c r="W267">
        <f>IF(V267="","",IF(V267="No","Yes","No"))</f>
        <v/>
      </c>
      <c r="X267">
        <f>IF(OR(E267="",G267=""),"",IF(LOWER(IF(RIGHT(TRIM(E267),1)="/",LEFT(TRIM(E267),LEN(TRIM(E267))-1),TRIM(E267)))&lt;&gt;LOWER(IF(RIGHT(TRIM(G267),1)="/",LEFT(TRIM(G267),LEN(TRIM(G267))-1),TRIM(G267))),"Yes","No"))</f>
        <v/>
      </c>
      <c r="Y267">
        <f>IF(A267="","",(N(Q267)&gt;0)+(T267="Yes")+(U267="Yes")+(W267="Yes")+(X267="Yes"))</f>
        <v/>
      </c>
      <c r="Z267">
        <f>IF(A267="","",IF(G267="","Not mapped",IF(Y267=0,"OK",MID(IF(N(Q267)&gt;0,"; Cannibalisation","")&amp;IF(T267="Yes","; Too many primary keywords on URL","")&amp;IF(U267="Yes","; URL spans 2+ clusters","")&amp;IF(W267="Yes","; Intent mismatch","")&amp;IF(X267="Yes","; Ranking URL is not the target",""),3,300))))</f>
        <v/>
      </c>
      <c r="AA267">
        <f>IF(G267="","",IF(COUNTIF($G$3:G267,SUBSTITUTE(SUBSTITUTE(G267,"?","~?"),"*","~*"))=1,MAX($AA$2:AA266)+1,""))</f>
        <v/>
      </c>
      <c r="AB267">
        <f>IF(B267="","",IF(COUNTIF($B$3:B267,SUBSTITUTE(SUBSTITUTE(B267,"?","~?"),"*","~*"))=1,MAX($AB$2:AB266)+1,""))</f>
        <v/>
      </c>
    </row>
    <row r="268">
      <c r="M268">
        <f>IF(A268="","",LOWER(TRIM(SUBSTITUTE(SUBSTITUTE(A268,"?",""),"*",""))))</f>
        <v/>
      </c>
      <c r="N268">
        <f>IF(M268="","",IF(SUMPRODUCT(ISNUMBER(SEARCH(" "&amp;Settings!$L$5:$L$124&amp;" "," "&amp;M268&amp;" "))*(Settings!$K$5:$K$124="Navigational")*(Settings!$L$5:$L$124&lt;&gt;""))&gt;0,"Navigational",IF(SUMPRODUCT(ISNUMBER(SEARCH(" "&amp;Settings!$L$5:$L$124&amp;" "," "&amp;M268&amp;" "))*(Settings!$K$5:$K$124="Transactional")*(Settings!$L$5:$L$124&lt;&gt;""))&gt;0,"Transactional",IF(SUMPRODUCT(ISNUMBER(SEARCH(" "&amp;Settings!$L$5:$L$124&amp;" "," "&amp;M268&amp;" "))*(Settings!$K$5:$K$124="Commercial")*(Settings!$L$5:$L$124&lt;&gt;""))&gt;0,"Commercial",IF(SUMPRODUCT(ISNUMBER(SEARCH(" "&amp;Settings!$L$5:$L$124&amp;" "," "&amp;M268&amp;" "))*(Settings!$K$5:$K$124="Informational")*(Settings!$L$5:$L$124&lt;&gt;""))&gt;0,"Informational","Unclassified")))))</f>
        <v/>
      </c>
      <c r="O268">
        <f>IF(A268="","",IF(K268&lt;&gt;"",PROPER(K268),N268))</f>
        <v/>
      </c>
      <c r="P268">
        <f>IF(A268="","",ROUND(Settings!$B$5*MIN(1,LOG10(N(C268)+1)/LOG10(Settings!$B$7+1))+Settings!$B$6*(1-MIN(100,IF(D268="",50,N(D268)))/100)+IFERROR(INDEX(Settings!$B$10:$B$14,MATCH(O268,Settings!$A$10:$A$14,0)),0),0))</f>
        <v/>
      </c>
      <c r="Q268">
        <f>IF(OR(A268="",G268=""),"",COUNTIFS($M$3:$M$1002,M268,$G$3:$G$1002,"&lt;&gt;"&amp;SUBSTITUTE(SUBSTITUTE(G268,"?","~?"),"*","~*"),$G$3:$G$1002,"?*"))</f>
        <v/>
      </c>
      <c r="R268">
        <f>IF(Q268="","",IF(Q268&gt;0,"Yes","No"))</f>
        <v/>
      </c>
      <c r="S268">
        <f>IF(G268="","",COUNTIFS($G$3:$G$1002,SUBSTITUTE(SUBSTITUTE(G268,"?","~?"),"*","~*"),$J$3:$J$1002,"Primary"))</f>
        <v/>
      </c>
      <c r="T268">
        <f>IF(S268="","",IF(S268&gt;Settings!$B$4,"Yes","No"))</f>
        <v/>
      </c>
      <c r="U268">
        <f>IF(OR(G268="",B268=""),"",IF(COUNTIFS($G$3:$G$1002,SUBSTITUTE(SUBSTITUTE(G268,"?","~?"),"*","~*"),$B$3:$B$1002,"&lt;&gt;"&amp;SUBSTITUTE(SUBSTITUTE(B268,"?","~?"),"*","~*"),$B$3:$B$1002,"?*")&gt;0,"Yes","No"))</f>
        <v/>
      </c>
      <c r="V268">
        <f>IF(OR(G268="",I268="",O268="",O268="Unclassified"),"",IFERROR(INDEX(Settings!$E$5:$H$16,MATCH(I268,Settings!$D$5:$D$16,0),MATCH(O268,Settings!$E$4:$H$4,0)),"Check"))</f>
        <v/>
      </c>
      <c r="W268">
        <f>IF(V268="","",IF(V268="No","Yes","No"))</f>
        <v/>
      </c>
      <c r="X268">
        <f>IF(OR(E268="",G268=""),"",IF(LOWER(IF(RIGHT(TRIM(E268),1)="/",LEFT(TRIM(E268),LEN(TRIM(E268))-1),TRIM(E268)))&lt;&gt;LOWER(IF(RIGHT(TRIM(G268),1)="/",LEFT(TRIM(G268),LEN(TRIM(G268))-1),TRIM(G268))),"Yes","No"))</f>
        <v/>
      </c>
      <c r="Y268">
        <f>IF(A268="","",(N(Q268)&gt;0)+(T268="Yes")+(U268="Yes")+(W268="Yes")+(X268="Yes"))</f>
        <v/>
      </c>
      <c r="Z268">
        <f>IF(A268="","",IF(G268="","Not mapped",IF(Y268=0,"OK",MID(IF(N(Q268)&gt;0,"; Cannibalisation","")&amp;IF(T268="Yes","; Too many primary keywords on URL","")&amp;IF(U268="Yes","; URL spans 2+ clusters","")&amp;IF(W268="Yes","; Intent mismatch","")&amp;IF(X268="Yes","; Ranking URL is not the target",""),3,300))))</f>
        <v/>
      </c>
      <c r="AA268">
        <f>IF(G268="","",IF(COUNTIF($G$3:G268,SUBSTITUTE(SUBSTITUTE(G268,"?","~?"),"*","~*"))=1,MAX($AA$2:AA267)+1,""))</f>
        <v/>
      </c>
      <c r="AB268">
        <f>IF(B268="","",IF(COUNTIF($B$3:B268,SUBSTITUTE(SUBSTITUTE(B268,"?","~?"),"*","~*"))=1,MAX($AB$2:AB267)+1,""))</f>
        <v/>
      </c>
    </row>
    <row r="269">
      <c r="M269">
        <f>IF(A269="","",LOWER(TRIM(SUBSTITUTE(SUBSTITUTE(A269,"?",""),"*",""))))</f>
        <v/>
      </c>
      <c r="N269">
        <f>IF(M269="","",IF(SUMPRODUCT(ISNUMBER(SEARCH(" "&amp;Settings!$L$5:$L$124&amp;" "," "&amp;M269&amp;" "))*(Settings!$K$5:$K$124="Navigational")*(Settings!$L$5:$L$124&lt;&gt;""))&gt;0,"Navigational",IF(SUMPRODUCT(ISNUMBER(SEARCH(" "&amp;Settings!$L$5:$L$124&amp;" "," "&amp;M269&amp;" "))*(Settings!$K$5:$K$124="Transactional")*(Settings!$L$5:$L$124&lt;&gt;""))&gt;0,"Transactional",IF(SUMPRODUCT(ISNUMBER(SEARCH(" "&amp;Settings!$L$5:$L$124&amp;" "," "&amp;M269&amp;" "))*(Settings!$K$5:$K$124="Commercial")*(Settings!$L$5:$L$124&lt;&gt;""))&gt;0,"Commercial",IF(SUMPRODUCT(ISNUMBER(SEARCH(" "&amp;Settings!$L$5:$L$124&amp;" "," "&amp;M269&amp;" "))*(Settings!$K$5:$K$124="Informational")*(Settings!$L$5:$L$124&lt;&gt;""))&gt;0,"Informational","Unclassified")))))</f>
        <v/>
      </c>
      <c r="O269">
        <f>IF(A269="","",IF(K269&lt;&gt;"",PROPER(K269),N269))</f>
        <v/>
      </c>
      <c r="P269">
        <f>IF(A269="","",ROUND(Settings!$B$5*MIN(1,LOG10(N(C269)+1)/LOG10(Settings!$B$7+1))+Settings!$B$6*(1-MIN(100,IF(D269="",50,N(D269)))/100)+IFERROR(INDEX(Settings!$B$10:$B$14,MATCH(O269,Settings!$A$10:$A$14,0)),0),0))</f>
        <v/>
      </c>
      <c r="Q269">
        <f>IF(OR(A269="",G269=""),"",COUNTIFS($M$3:$M$1002,M269,$G$3:$G$1002,"&lt;&gt;"&amp;SUBSTITUTE(SUBSTITUTE(G269,"?","~?"),"*","~*"),$G$3:$G$1002,"?*"))</f>
        <v/>
      </c>
      <c r="R269">
        <f>IF(Q269="","",IF(Q269&gt;0,"Yes","No"))</f>
        <v/>
      </c>
      <c r="S269">
        <f>IF(G269="","",COUNTIFS($G$3:$G$1002,SUBSTITUTE(SUBSTITUTE(G269,"?","~?"),"*","~*"),$J$3:$J$1002,"Primary"))</f>
        <v/>
      </c>
      <c r="T269">
        <f>IF(S269="","",IF(S269&gt;Settings!$B$4,"Yes","No"))</f>
        <v/>
      </c>
      <c r="U269">
        <f>IF(OR(G269="",B269=""),"",IF(COUNTIFS($G$3:$G$1002,SUBSTITUTE(SUBSTITUTE(G269,"?","~?"),"*","~*"),$B$3:$B$1002,"&lt;&gt;"&amp;SUBSTITUTE(SUBSTITUTE(B269,"?","~?"),"*","~*"),$B$3:$B$1002,"?*")&gt;0,"Yes","No"))</f>
        <v/>
      </c>
      <c r="V269">
        <f>IF(OR(G269="",I269="",O269="",O269="Unclassified"),"",IFERROR(INDEX(Settings!$E$5:$H$16,MATCH(I269,Settings!$D$5:$D$16,0),MATCH(O269,Settings!$E$4:$H$4,0)),"Check"))</f>
        <v/>
      </c>
      <c r="W269">
        <f>IF(V269="","",IF(V269="No","Yes","No"))</f>
        <v/>
      </c>
      <c r="X269">
        <f>IF(OR(E269="",G269=""),"",IF(LOWER(IF(RIGHT(TRIM(E269),1)="/",LEFT(TRIM(E269),LEN(TRIM(E269))-1),TRIM(E269)))&lt;&gt;LOWER(IF(RIGHT(TRIM(G269),1)="/",LEFT(TRIM(G269),LEN(TRIM(G269))-1),TRIM(G269))),"Yes","No"))</f>
        <v/>
      </c>
      <c r="Y269">
        <f>IF(A269="","",(N(Q269)&gt;0)+(T269="Yes")+(U269="Yes")+(W269="Yes")+(X269="Yes"))</f>
        <v/>
      </c>
      <c r="Z269">
        <f>IF(A269="","",IF(G269="","Not mapped",IF(Y269=0,"OK",MID(IF(N(Q269)&gt;0,"; Cannibalisation","")&amp;IF(T269="Yes","; Too many primary keywords on URL","")&amp;IF(U269="Yes","; URL spans 2+ clusters","")&amp;IF(W269="Yes","; Intent mismatch","")&amp;IF(X269="Yes","; Ranking URL is not the target",""),3,300))))</f>
        <v/>
      </c>
      <c r="AA269">
        <f>IF(G269="","",IF(COUNTIF($G$3:G269,SUBSTITUTE(SUBSTITUTE(G269,"?","~?"),"*","~*"))=1,MAX($AA$2:AA268)+1,""))</f>
        <v/>
      </c>
      <c r="AB269">
        <f>IF(B269="","",IF(COUNTIF($B$3:B269,SUBSTITUTE(SUBSTITUTE(B269,"?","~?"),"*","~*"))=1,MAX($AB$2:AB268)+1,""))</f>
        <v/>
      </c>
    </row>
    <row r="270">
      <c r="M270">
        <f>IF(A270="","",LOWER(TRIM(SUBSTITUTE(SUBSTITUTE(A270,"?",""),"*",""))))</f>
        <v/>
      </c>
      <c r="N270">
        <f>IF(M270="","",IF(SUMPRODUCT(ISNUMBER(SEARCH(" "&amp;Settings!$L$5:$L$124&amp;" "," "&amp;M270&amp;" "))*(Settings!$K$5:$K$124="Navigational")*(Settings!$L$5:$L$124&lt;&gt;""))&gt;0,"Navigational",IF(SUMPRODUCT(ISNUMBER(SEARCH(" "&amp;Settings!$L$5:$L$124&amp;" "," "&amp;M270&amp;" "))*(Settings!$K$5:$K$124="Transactional")*(Settings!$L$5:$L$124&lt;&gt;""))&gt;0,"Transactional",IF(SUMPRODUCT(ISNUMBER(SEARCH(" "&amp;Settings!$L$5:$L$124&amp;" "," "&amp;M270&amp;" "))*(Settings!$K$5:$K$124="Commercial")*(Settings!$L$5:$L$124&lt;&gt;""))&gt;0,"Commercial",IF(SUMPRODUCT(ISNUMBER(SEARCH(" "&amp;Settings!$L$5:$L$124&amp;" "," "&amp;M270&amp;" "))*(Settings!$K$5:$K$124="Informational")*(Settings!$L$5:$L$124&lt;&gt;""))&gt;0,"Informational","Unclassified")))))</f>
        <v/>
      </c>
      <c r="O270">
        <f>IF(A270="","",IF(K270&lt;&gt;"",PROPER(K270),N270))</f>
        <v/>
      </c>
      <c r="P270">
        <f>IF(A270="","",ROUND(Settings!$B$5*MIN(1,LOG10(N(C270)+1)/LOG10(Settings!$B$7+1))+Settings!$B$6*(1-MIN(100,IF(D270="",50,N(D270)))/100)+IFERROR(INDEX(Settings!$B$10:$B$14,MATCH(O270,Settings!$A$10:$A$14,0)),0),0))</f>
        <v/>
      </c>
      <c r="Q270">
        <f>IF(OR(A270="",G270=""),"",COUNTIFS($M$3:$M$1002,M270,$G$3:$G$1002,"&lt;&gt;"&amp;SUBSTITUTE(SUBSTITUTE(G270,"?","~?"),"*","~*"),$G$3:$G$1002,"?*"))</f>
        <v/>
      </c>
      <c r="R270">
        <f>IF(Q270="","",IF(Q270&gt;0,"Yes","No"))</f>
        <v/>
      </c>
      <c r="S270">
        <f>IF(G270="","",COUNTIFS($G$3:$G$1002,SUBSTITUTE(SUBSTITUTE(G270,"?","~?"),"*","~*"),$J$3:$J$1002,"Primary"))</f>
        <v/>
      </c>
      <c r="T270">
        <f>IF(S270="","",IF(S270&gt;Settings!$B$4,"Yes","No"))</f>
        <v/>
      </c>
      <c r="U270">
        <f>IF(OR(G270="",B270=""),"",IF(COUNTIFS($G$3:$G$1002,SUBSTITUTE(SUBSTITUTE(G270,"?","~?"),"*","~*"),$B$3:$B$1002,"&lt;&gt;"&amp;SUBSTITUTE(SUBSTITUTE(B270,"?","~?"),"*","~*"),$B$3:$B$1002,"?*")&gt;0,"Yes","No"))</f>
        <v/>
      </c>
      <c r="V270">
        <f>IF(OR(G270="",I270="",O270="",O270="Unclassified"),"",IFERROR(INDEX(Settings!$E$5:$H$16,MATCH(I270,Settings!$D$5:$D$16,0),MATCH(O270,Settings!$E$4:$H$4,0)),"Check"))</f>
        <v/>
      </c>
      <c r="W270">
        <f>IF(V270="","",IF(V270="No","Yes","No"))</f>
        <v/>
      </c>
      <c r="X270">
        <f>IF(OR(E270="",G270=""),"",IF(LOWER(IF(RIGHT(TRIM(E270),1)="/",LEFT(TRIM(E270),LEN(TRIM(E270))-1),TRIM(E270)))&lt;&gt;LOWER(IF(RIGHT(TRIM(G270),1)="/",LEFT(TRIM(G270),LEN(TRIM(G270))-1),TRIM(G270))),"Yes","No"))</f>
        <v/>
      </c>
      <c r="Y270">
        <f>IF(A270="","",(N(Q270)&gt;0)+(T270="Yes")+(U270="Yes")+(W270="Yes")+(X270="Yes"))</f>
        <v/>
      </c>
      <c r="Z270">
        <f>IF(A270="","",IF(G270="","Not mapped",IF(Y270=0,"OK",MID(IF(N(Q270)&gt;0,"; Cannibalisation","")&amp;IF(T270="Yes","; Too many primary keywords on URL","")&amp;IF(U270="Yes","; URL spans 2+ clusters","")&amp;IF(W270="Yes","; Intent mismatch","")&amp;IF(X270="Yes","; Ranking URL is not the target",""),3,300))))</f>
        <v/>
      </c>
      <c r="AA270">
        <f>IF(G270="","",IF(COUNTIF($G$3:G270,SUBSTITUTE(SUBSTITUTE(G270,"?","~?"),"*","~*"))=1,MAX($AA$2:AA269)+1,""))</f>
        <v/>
      </c>
      <c r="AB270">
        <f>IF(B270="","",IF(COUNTIF($B$3:B270,SUBSTITUTE(SUBSTITUTE(B270,"?","~?"),"*","~*"))=1,MAX($AB$2:AB269)+1,""))</f>
        <v/>
      </c>
    </row>
    <row r="271">
      <c r="M271">
        <f>IF(A271="","",LOWER(TRIM(SUBSTITUTE(SUBSTITUTE(A271,"?",""),"*",""))))</f>
        <v/>
      </c>
      <c r="N271">
        <f>IF(M271="","",IF(SUMPRODUCT(ISNUMBER(SEARCH(" "&amp;Settings!$L$5:$L$124&amp;" "," "&amp;M271&amp;" "))*(Settings!$K$5:$K$124="Navigational")*(Settings!$L$5:$L$124&lt;&gt;""))&gt;0,"Navigational",IF(SUMPRODUCT(ISNUMBER(SEARCH(" "&amp;Settings!$L$5:$L$124&amp;" "," "&amp;M271&amp;" "))*(Settings!$K$5:$K$124="Transactional")*(Settings!$L$5:$L$124&lt;&gt;""))&gt;0,"Transactional",IF(SUMPRODUCT(ISNUMBER(SEARCH(" "&amp;Settings!$L$5:$L$124&amp;" "," "&amp;M271&amp;" "))*(Settings!$K$5:$K$124="Commercial")*(Settings!$L$5:$L$124&lt;&gt;""))&gt;0,"Commercial",IF(SUMPRODUCT(ISNUMBER(SEARCH(" "&amp;Settings!$L$5:$L$124&amp;" "," "&amp;M271&amp;" "))*(Settings!$K$5:$K$124="Informational")*(Settings!$L$5:$L$124&lt;&gt;""))&gt;0,"Informational","Unclassified")))))</f>
        <v/>
      </c>
      <c r="O271">
        <f>IF(A271="","",IF(K271&lt;&gt;"",PROPER(K271),N271))</f>
        <v/>
      </c>
      <c r="P271">
        <f>IF(A271="","",ROUND(Settings!$B$5*MIN(1,LOG10(N(C271)+1)/LOG10(Settings!$B$7+1))+Settings!$B$6*(1-MIN(100,IF(D271="",50,N(D271)))/100)+IFERROR(INDEX(Settings!$B$10:$B$14,MATCH(O271,Settings!$A$10:$A$14,0)),0),0))</f>
        <v/>
      </c>
      <c r="Q271">
        <f>IF(OR(A271="",G271=""),"",COUNTIFS($M$3:$M$1002,M271,$G$3:$G$1002,"&lt;&gt;"&amp;SUBSTITUTE(SUBSTITUTE(G271,"?","~?"),"*","~*"),$G$3:$G$1002,"?*"))</f>
        <v/>
      </c>
      <c r="R271">
        <f>IF(Q271="","",IF(Q271&gt;0,"Yes","No"))</f>
        <v/>
      </c>
      <c r="S271">
        <f>IF(G271="","",COUNTIFS($G$3:$G$1002,SUBSTITUTE(SUBSTITUTE(G271,"?","~?"),"*","~*"),$J$3:$J$1002,"Primary"))</f>
        <v/>
      </c>
      <c r="T271">
        <f>IF(S271="","",IF(S271&gt;Settings!$B$4,"Yes","No"))</f>
        <v/>
      </c>
      <c r="U271">
        <f>IF(OR(G271="",B271=""),"",IF(COUNTIFS($G$3:$G$1002,SUBSTITUTE(SUBSTITUTE(G271,"?","~?"),"*","~*"),$B$3:$B$1002,"&lt;&gt;"&amp;SUBSTITUTE(SUBSTITUTE(B271,"?","~?"),"*","~*"),$B$3:$B$1002,"?*")&gt;0,"Yes","No"))</f>
        <v/>
      </c>
      <c r="V271">
        <f>IF(OR(G271="",I271="",O271="",O271="Unclassified"),"",IFERROR(INDEX(Settings!$E$5:$H$16,MATCH(I271,Settings!$D$5:$D$16,0),MATCH(O271,Settings!$E$4:$H$4,0)),"Check"))</f>
        <v/>
      </c>
      <c r="W271">
        <f>IF(V271="","",IF(V271="No","Yes","No"))</f>
        <v/>
      </c>
      <c r="X271">
        <f>IF(OR(E271="",G271=""),"",IF(LOWER(IF(RIGHT(TRIM(E271),1)="/",LEFT(TRIM(E271),LEN(TRIM(E271))-1),TRIM(E271)))&lt;&gt;LOWER(IF(RIGHT(TRIM(G271),1)="/",LEFT(TRIM(G271),LEN(TRIM(G271))-1),TRIM(G271))),"Yes","No"))</f>
        <v/>
      </c>
      <c r="Y271">
        <f>IF(A271="","",(N(Q271)&gt;0)+(T271="Yes")+(U271="Yes")+(W271="Yes")+(X271="Yes"))</f>
        <v/>
      </c>
      <c r="Z271">
        <f>IF(A271="","",IF(G271="","Not mapped",IF(Y271=0,"OK",MID(IF(N(Q271)&gt;0,"; Cannibalisation","")&amp;IF(T271="Yes","; Too many primary keywords on URL","")&amp;IF(U271="Yes","; URL spans 2+ clusters","")&amp;IF(W271="Yes","; Intent mismatch","")&amp;IF(X271="Yes","; Ranking URL is not the target",""),3,300))))</f>
        <v/>
      </c>
      <c r="AA271">
        <f>IF(G271="","",IF(COUNTIF($G$3:G271,SUBSTITUTE(SUBSTITUTE(G271,"?","~?"),"*","~*"))=1,MAX($AA$2:AA270)+1,""))</f>
        <v/>
      </c>
      <c r="AB271">
        <f>IF(B271="","",IF(COUNTIF($B$3:B271,SUBSTITUTE(SUBSTITUTE(B271,"?","~?"),"*","~*"))=1,MAX($AB$2:AB270)+1,""))</f>
        <v/>
      </c>
    </row>
    <row r="272">
      <c r="M272">
        <f>IF(A272="","",LOWER(TRIM(SUBSTITUTE(SUBSTITUTE(A272,"?",""),"*",""))))</f>
        <v/>
      </c>
      <c r="N272">
        <f>IF(M272="","",IF(SUMPRODUCT(ISNUMBER(SEARCH(" "&amp;Settings!$L$5:$L$124&amp;" "," "&amp;M272&amp;" "))*(Settings!$K$5:$K$124="Navigational")*(Settings!$L$5:$L$124&lt;&gt;""))&gt;0,"Navigational",IF(SUMPRODUCT(ISNUMBER(SEARCH(" "&amp;Settings!$L$5:$L$124&amp;" "," "&amp;M272&amp;" "))*(Settings!$K$5:$K$124="Transactional")*(Settings!$L$5:$L$124&lt;&gt;""))&gt;0,"Transactional",IF(SUMPRODUCT(ISNUMBER(SEARCH(" "&amp;Settings!$L$5:$L$124&amp;" "," "&amp;M272&amp;" "))*(Settings!$K$5:$K$124="Commercial")*(Settings!$L$5:$L$124&lt;&gt;""))&gt;0,"Commercial",IF(SUMPRODUCT(ISNUMBER(SEARCH(" "&amp;Settings!$L$5:$L$124&amp;" "," "&amp;M272&amp;" "))*(Settings!$K$5:$K$124="Informational")*(Settings!$L$5:$L$124&lt;&gt;""))&gt;0,"Informational","Unclassified")))))</f>
        <v/>
      </c>
      <c r="O272">
        <f>IF(A272="","",IF(K272&lt;&gt;"",PROPER(K272),N272))</f>
        <v/>
      </c>
      <c r="P272">
        <f>IF(A272="","",ROUND(Settings!$B$5*MIN(1,LOG10(N(C272)+1)/LOG10(Settings!$B$7+1))+Settings!$B$6*(1-MIN(100,IF(D272="",50,N(D272)))/100)+IFERROR(INDEX(Settings!$B$10:$B$14,MATCH(O272,Settings!$A$10:$A$14,0)),0),0))</f>
        <v/>
      </c>
      <c r="Q272">
        <f>IF(OR(A272="",G272=""),"",COUNTIFS($M$3:$M$1002,M272,$G$3:$G$1002,"&lt;&gt;"&amp;SUBSTITUTE(SUBSTITUTE(G272,"?","~?"),"*","~*"),$G$3:$G$1002,"?*"))</f>
        <v/>
      </c>
      <c r="R272">
        <f>IF(Q272="","",IF(Q272&gt;0,"Yes","No"))</f>
        <v/>
      </c>
      <c r="S272">
        <f>IF(G272="","",COUNTIFS($G$3:$G$1002,SUBSTITUTE(SUBSTITUTE(G272,"?","~?"),"*","~*"),$J$3:$J$1002,"Primary"))</f>
        <v/>
      </c>
      <c r="T272">
        <f>IF(S272="","",IF(S272&gt;Settings!$B$4,"Yes","No"))</f>
        <v/>
      </c>
      <c r="U272">
        <f>IF(OR(G272="",B272=""),"",IF(COUNTIFS($G$3:$G$1002,SUBSTITUTE(SUBSTITUTE(G272,"?","~?"),"*","~*"),$B$3:$B$1002,"&lt;&gt;"&amp;SUBSTITUTE(SUBSTITUTE(B272,"?","~?"),"*","~*"),$B$3:$B$1002,"?*")&gt;0,"Yes","No"))</f>
        <v/>
      </c>
      <c r="V272">
        <f>IF(OR(G272="",I272="",O272="",O272="Unclassified"),"",IFERROR(INDEX(Settings!$E$5:$H$16,MATCH(I272,Settings!$D$5:$D$16,0),MATCH(O272,Settings!$E$4:$H$4,0)),"Check"))</f>
        <v/>
      </c>
      <c r="W272">
        <f>IF(V272="","",IF(V272="No","Yes","No"))</f>
        <v/>
      </c>
      <c r="X272">
        <f>IF(OR(E272="",G272=""),"",IF(LOWER(IF(RIGHT(TRIM(E272),1)="/",LEFT(TRIM(E272),LEN(TRIM(E272))-1),TRIM(E272)))&lt;&gt;LOWER(IF(RIGHT(TRIM(G272),1)="/",LEFT(TRIM(G272),LEN(TRIM(G272))-1),TRIM(G272))),"Yes","No"))</f>
        <v/>
      </c>
      <c r="Y272">
        <f>IF(A272="","",(N(Q272)&gt;0)+(T272="Yes")+(U272="Yes")+(W272="Yes")+(X272="Yes"))</f>
        <v/>
      </c>
      <c r="Z272">
        <f>IF(A272="","",IF(G272="","Not mapped",IF(Y272=0,"OK",MID(IF(N(Q272)&gt;0,"; Cannibalisation","")&amp;IF(T272="Yes","; Too many primary keywords on URL","")&amp;IF(U272="Yes","; URL spans 2+ clusters","")&amp;IF(W272="Yes","; Intent mismatch","")&amp;IF(X272="Yes","; Ranking URL is not the target",""),3,300))))</f>
        <v/>
      </c>
      <c r="AA272">
        <f>IF(G272="","",IF(COUNTIF($G$3:G272,SUBSTITUTE(SUBSTITUTE(G272,"?","~?"),"*","~*"))=1,MAX($AA$2:AA271)+1,""))</f>
        <v/>
      </c>
      <c r="AB272">
        <f>IF(B272="","",IF(COUNTIF($B$3:B272,SUBSTITUTE(SUBSTITUTE(B272,"?","~?"),"*","~*"))=1,MAX($AB$2:AB271)+1,""))</f>
        <v/>
      </c>
    </row>
    <row r="273">
      <c r="M273">
        <f>IF(A273="","",LOWER(TRIM(SUBSTITUTE(SUBSTITUTE(A273,"?",""),"*",""))))</f>
        <v/>
      </c>
      <c r="N273">
        <f>IF(M273="","",IF(SUMPRODUCT(ISNUMBER(SEARCH(" "&amp;Settings!$L$5:$L$124&amp;" "," "&amp;M273&amp;" "))*(Settings!$K$5:$K$124="Navigational")*(Settings!$L$5:$L$124&lt;&gt;""))&gt;0,"Navigational",IF(SUMPRODUCT(ISNUMBER(SEARCH(" "&amp;Settings!$L$5:$L$124&amp;" "," "&amp;M273&amp;" "))*(Settings!$K$5:$K$124="Transactional")*(Settings!$L$5:$L$124&lt;&gt;""))&gt;0,"Transactional",IF(SUMPRODUCT(ISNUMBER(SEARCH(" "&amp;Settings!$L$5:$L$124&amp;" "," "&amp;M273&amp;" "))*(Settings!$K$5:$K$124="Commercial")*(Settings!$L$5:$L$124&lt;&gt;""))&gt;0,"Commercial",IF(SUMPRODUCT(ISNUMBER(SEARCH(" "&amp;Settings!$L$5:$L$124&amp;" "," "&amp;M273&amp;" "))*(Settings!$K$5:$K$124="Informational")*(Settings!$L$5:$L$124&lt;&gt;""))&gt;0,"Informational","Unclassified")))))</f>
        <v/>
      </c>
      <c r="O273">
        <f>IF(A273="","",IF(K273&lt;&gt;"",PROPER(K273),N273))</f>
        <v/>
      </c>
      <c r="P273">
        <f>IF(A273="","",ROUND(Settings!$B$5*MIN(1,LOG10(N(C273)+1)/LOG10(Settings!$B$7+1))+Settings!$B$6*(1-MIN(100,IF(D273="",50,N(D273)))/100)+IFERROR(INDEX(Settings!$B$10:$B$14,MATCH(O273,Settings!$A$10:$A$14,0)),0),0))</f>
        <v/>
      </c>
      <c r="Q273">
        <f>IF(OR(A273="",G273=""),"",COUNTIFS($M$3:$M$1002,M273,$G$3:$G$1002,"&lt;&gt;"&amp;SUBSTITUTE(SUBSTITUTE(G273,"?","~?"),"*","~*"),$G$3:$G$1002,"?*"))</f>
        <v/>
      </c>
      <c r="R273">
        <f>IF(Q273="","",IF(Q273&gt;0,"Yes","No"))</f>
        <v/>
      </c>
      <c r="S273">
        <f>IF(G273="","",COUNTIFS($G$3:$G$1002,SUBSTITUTE(SUBSTITUTE(G273,"?","~?"),"*","~*"),$J$3:$J$1002,"Primary"))</f>
        <v/>
      </c>
      <c r="T273">
        <f>IF(S273="","",IF(S273&gt;Settings!$B$4,"Yes","No"))</f>
        <v/>
      </c>
      <c r="U273">
        <f>IF(OR(G273="",B273=""),"",IF(COUNTIFS($G$3:$G$1002,SUBSTITUTE(SUBSTITUTE(G273,"?","~?"),"*","~*"),$B$3:$B$1002,"&lt;&gt;"&amp;SUBSTITUTE(SUBSTITUTE(B273,"?","~?"),"*","~*"),$B$3:$B$1002,"?*")&gt;0,"Yes","No"))</f>
        <v/>
      </c>
      <c r="V273">
        <f>IF(OR(G273="",I273="",O273="",O273="Unclassified"),"",IFERROR(INDEX(Settings!$E$5:$H$16,MATCH(I273,Settings!$D$5:$D$16,0),MATCH(O273,Settings!$E$4:$H$4,0)),"Check"))</f>
        <v/>
      </c>
      <c r="W273">
        <f>IF(V273="","",IF(V273="No","Yes","No"))</f>
        <v/>
      </c>
      <c r="X273">
        <f>IF(OR(E273="",G273=""),"",IF(LOWER(IF(RIGHT(TRIM(E273),1)="/",LEFT(TRIM(E273),LEN(TRIM(E273))-1),TRIM(E273)))&lt;&gt;LOWER(IF(RIGHT(TRIM(G273),1)="/",LEFT(TRIM(G273),LEN(TRIM(G273))-1),TRIM(G273))),"Yes","No"))</f>
        <v/>
      </c>
      <c r="Y273">
        <f>IF(A273="","",(N(Q273)&gt;0)+(T273="Yes")+(U273="Yes")+(W273="Yes")+(X273="Yes"))</f>
        <v/>
      </c>
      <c r="Z273">
        <f>IF(A273="","",IF(G273="","Not mapped",IF(Y273=0,"OK",MID(IF(N(Q273)&gt;0,"; Cannibalisation","")&amp;IF(T273="Yes","; Too many primary keywords on URL","")&amp;IF(U273="Yes","; URL spans 2+ clusters","")&amp;IF(W273="Yes","; Intent mismatch","")&amp;IF(X273="Yes","; Ranking URL is not the target",""),3,300))))</f>
        <v/>
      </c>
      <c r="AA273">
        <f>IF(G273="","",IF(COUNTIF($G$3:G273,SUBSTITUTE(SUBSTITUTE(G273,"?","~?"),"*","~*"))=1,MAX($AA$2:AA272)+1,""))</f>
        <v/>
      </c>
      <c r="AB273">
        <f>IF(B273="","",IF(COUNTIF($B$3:B273,SUBSTITUTE(SUBSTITUTE(B273,"?","~?"),"*","~*"))=1,MAX($AB$2:AB272)+1,""))</f>
        <v/>
      </c>
    </row>
    <row r="274">
      <c r="M274">
        <f>IF(A274="","",LOWER(TRIM(SUBSTITUTE(SUBSTITUTE(A274,"?",""),"*",""))))</f>
        <v/>
      </c>
      <c r="N274">
        <f>IF(M274="","",IF(SUMPRODUCT(ISNUMBER(SEARCH(" "&amp;Settings!$L$5:$L$124&amp;" "," "&amp;M274&amp;" "))*(Settings!$K$5:$K$124="Navigational")*(Settings!$L$5:$L$124&lt;&gt;""))&gt;0,"Navigational",IF(SUMPRODUCT(ISNUMBER(SEARCH(" "&amp;Settings!$L$5:$L$124&amp;" "," "&amp;M274&amp;" "))*(Settings!$K$5:$K$124="Transactional")*(Settings!$L$5:$L$124&lt;&gt;""))&gt;0,"Transactional",IF(SUMPRODUCT(ISNUMBER(SEARCH(" "&amp;Settings!$L$5:$L$124&amp;" "," "&amp;M274&amp;" "))*(Settings!$K$5:$K$124="Commercial")*(Settings!$L$5:$L$124&lt;&gt;""))&gt;0,"Commercial",IF(SUMPRODUCT(ISNUMBER(SEARCH(" "&amp;Settings!$L$5:$L$124&amp;" "," "&amp;M274&amp;" "))*(Settings!$K$5:$K$124="Informational")*(Settings!$L$5:$L$124&lt;&gt;""))&gt;0,"Informational","Unclassified")))))</f>
        <v/>
      </c>
      <c r="O274">
        <f>IF(A274="","",IF(K274&lt;&gt;"",PROPER(K274),N274))</f>
        <v/>
      </c>
      <c r="P274">
        <f>IF(A274="","",ROUND(Settings!$B$5*MIN(1,LOG10(N(C274)+1)/LOG10(Settings!$B$7+1))+Settings!$B$6*(1-MIN(100,IF(D274="",50,N(D274)))/100)+IFERROR(INDEX(Settings!$B$10:$B$14,MATCH(O274,Settings!$A$10:$A$14,0)),0),0))</f>
        <v/>
      </c>
      <c r="Q274">
        <f>IF(OR(A274="",G274=""),"",COUNTIFS($M$3:$M$1002,M274,$G$3:$G$1002,"&lt;&gt;"&amp;SUBSTITUTE(SUBSTITUTE(G274,"?","~?"),"*","~*"),$G$3:$G$1002,"?*"))</f>
        <v/>
      </c>
      <c r="R274">
        <f>IF(Q274="","",IF(Q274&gt;0,"Yes","No"))</f>
        <v/>
      </c>
      <c r="S274">
        <f>IF(G274="","",COUNTIFS($G$3:$G$1002,SUBSTITUTE(SUBSTITUTE(G274,"?","~?"),"*","~*"),$J$3:$J$1002,"Primary"))</f>
        <v/>
      </c>
      <c r="T274">
        <f>IF(S274="","",IF(S274&gt;Settings!$B$4,"Yes","No"))</f>
        <v/>
      </c>
      <c r="U274">
        <f>IF(OR(G274="",B274=""),"",IF(COUNTIFS($G$3:$G$1002,SUBSTITUTE(SUBSTITUTE(G274,"?","~?"),"*","~*"),$B$3:$B$1002,"&lt;&gt;"&amp;SUBSTITUTE(SUBSTITUTE(B274,"?","~?"),"*","~*"),$B$3:$B$1002,"?*")&gt;0,"Yes","No"))</f>
        <v/>
      </c>
      <c r="V274">
        <f>IF(OR(G274="",I274="",O274="",O274="Unclassified"),"",IFERROR(INDEX(Settings!$E$5:$H$16,MATCH(I274,Settings!$D$5:$D$16,0),MATCH(O274,Settings!$E$4:$H$4,0)),"Check"))</f>
        <v/>
      </c>
      <c r="W274">
        <f>IF(V274="","",IF(V274="No","Yes","No"))</f>
        <v/>
      </c>
      <c r="X274">
        <f>IF(OR(E274="",G274=""),"",IF(LOWER(IF(RIGHT(TRIM(E274),1)="/",LEFT(TRIM(E274),LEN(TRIM(E274))-1),TRIM(E274)))&lt;&gt;LOWER(IF(RIGHT(TRIM(G274),1)="/",LEFT(TRIM(G274),LEN(TRIM(G274))-1),TRIM(G274))),"Yes","No"))</f>
        <v/>
      </c>
      <c r="Y274">
        <f>IF(A274="","",(N(Q274)&gt;0)+(T274="Yes")+(U274="Yes")+(W274="Yes")+(X274="Yes"))</f>
        <v/>
      </c>
      <c r="Z274">
        <f>IF(A274="","",IF(G274="","Not mapped",IF(Y274=0,"OK",MID(IF(N(Q274)&gt;0,"; Cannibalisation","")&amp;IF(T274="Yes","; Too many primary keywords on URL","")&amp;IF(U274="Yes","; URL spans 2+ clusters","")&amp;IF(W274="Yes","; Intent mismatch","")&amp;IF(X274="Yes","; Ranking URL is not the target",""),3,300))))</f>
        <v/>
      </c>
      <c r="AA274">
        <f>IF(G274="","",IF(COUNTIF($G$3:G274,SUBSTITUTE(SUBSTITUTE(G274,"?","~?"),"*","~*"))=1,MAX($AA$2:AA273)+1,""))</f>
        <v/>
      </c>
      <c r="AB274">
        <f>IF(B274="","",IF(COUNTIF($B$3:B274,SUBSTITUTE(SUBSTITUTE(B274,"?","~?"),"*","~*"))=1,MAX($AB$2:AB273)+1,""))</f>
        <v/>
      </c>
    </row>
    <row r="275">
      <c r="M275">
        <f>IF(A275="","",LOWER(TRIM(SUBSTITUTE(SUBSTITUTE(A275,"?",""),"*",""))))</f>
        <v/>
      </c>
      <c r="N275">
        <f>IF(M275="","",IF(SUMPRODUCT(ISNUMBER(SEARCH(" "&amp;Settings!$L$5:$L$124&amp;" "," "&amp;M275&amp;" "))*(Settings!$K$5:$K$124="Navigational")*(Settings!$L$5:$L$124&lt;&gt;""))&gt;0,"Navigational",IF(SUMPRODUCT(ISNUMBER(SEARCH(" "&amp;Settings!$L$5:$L$124&amp;" "," "&amp;M275&amp;" "))*(Settings!$K$5:$K$124="Transactional")*(Settings!$L$5:$L$124&lt;&gt;""))&gt;0,"Transactional",IF(SUMPRODUCT(ISNUMBER(SEARCH(" "&amp;Settings!$L$5:$L$124&amp;" "," "&amp;M275&amp;" "))*(Settings!$K$5:$K$124="Commercial")*(Settings!$L$5:$L$124&lt;&gt;""))&gt;0,"Commercial",IF(SUMPRODUCT(ISNUMBER(SEARCH(" "&amp;Settings!$L$5:$L$124&amp;" "," "&amp;M275&amp;" "))*(Settings!$K$5:$K$124="Informational")*(Settings!$L$5:$L$124&lt;&gt;""))&gt;0,"Informational","Unclassified")))))</f>
        <v/>
      </c>
      <c r="O275">
        <f>IF(A275="","",IF(K275&lt;&gt;"",PROPER(K275),N275))</f>
        <v/>
      </c>
      <c r="P275">
        <f>IF(A275="","",ROUND(Settings!$B$5*MIN(1,LOG10(N(C275)+1)/LOG10(Settings!$B$7+1))+Settings!$B$6*(1-MIN(100,IF(D275="",50,N(D275)))/100)+IFERROR(INDEX(Settings!$B$10:$B$14,MATCH(O275,Settings!$A$10:$A$14,0)),0),0))</f>
        <v/>
      </c>
      <c r="Q275">
        <f>IF(OR(A275="",G275=""),"",COUNTIFS($M$3:$M$1002,M275,$G$3:$G$1002,"&lt;&gt;"&amp;SUBSTITUTE(SUBSTITUTE(G275,"?","~?"),"*","~*"),$G$3:$G$1002,"?*"))</f>
        <v/>
      </c>
      <c r="R275">
        <f>IF(Q275="","",IF(Q275&gt;0,"Yes","No"))</f>
        <v/>
      </c>
      <c r="S275">
        <f>IF(G275="","",COUNTIFS($G$3:$G$1002,SUBSTITUTE(SUBSTITUTE(G275,"?","~?"),"*","~*"),$J$3:$J$1002,"Primary"))</f>
        <v/>
      </c>
      <c r="T275">
        <f>IF(S275="","",IF(S275&gt;Settings!$B$4,"Yes","No"))</f>
        <v/>
      </c>
      <c r="U275">
        <f>IF(OR(G275="",B275=""),"",IF(COUNTIFS($G$3:$G$1002,SUBSTITUTE(SUBSTITUTE(G275,"?","~?"),"*","~*"),$B$3:$B$1002,"&lt;&gt;"&amp;SUBSTITUTE(SUBSTITUTE(B275,"?","~?"),"*","~*"),$B$3:$B$1002,"?*")&gt;0,"Yes","No"))</f>
        <v/>
      </c>
      <c r="V275">
        <f>IF(OR(G275="",I275="",O275="",O275="Unclassified"),"",IFERROR(INDEX(Settings!$E$5:$H$16,MATCH(I275,Settings!$D$5:$D$16,0),MATCH(O275,Settings!$E$4:$H$4,0)),"Check"))</f>
        <v/>
      </c>
      <c r="W275">
        <f>IF(V275="","",IF(V275="No","Yes","No"))</f>
        <v/>
      </c>
      <c r="X275">
        <f>IF(OR(E275="",G275=""),"",IF(LOWER(IF(RIGHT(TRIM(E275),1)="/",LEFT(TRIM(E275),LEN(TRIM(E275))-1),TRIM(E275)))&lt;&gt;LOWER(IF(RIGHT(TRIM(G275),1)="/",LEFT(TRIM(G275),LEN(TRIM(G275))-1),TRIM(G275))),"Yes","No"))</f>
        <v/>
      </c>
      <c r="Y275">
        <f>IF(A275="","",(N(Q275)&gt;0)+(T275="Yes")+(U275="Yes")+(W275="Yes")+(X275="Yes"))</f>
        <v/>
      </c>
      <c r="Z275">
        <f>IF(A275="","",IF(G275="","Not mapped",IF(Y275=0,"OK",MID(IF(N(Q275)&gt;0,"; Cannibalisation","")&amp;IF(T275="Yes","; Too many primary keywords on URL","")&amp;IF(U275="Yes","; URL spans 2+ clusters","")&amp;IF(W275="Yes","; Intent mismatch","")&amp;IF(X275="Yes","; Ranking URL is not the target",""),3,300))))</f>
        <v/>
      </c>
      <c r="AA275">
        <f>IF(G275="","",IF(COUNTIF($G$3:G275,SUBSTITUTE(SUBSTITUTE(G275,"?","~?"),"*","~*"))=1,MAX($AA$2:AA274)+1,""))</f>
        <v/>
      </c>
      <c r="AB275">
        <f>IF(B275="","",IF(COUNTIF($B$3:B275,SUBSTITUTE(SUBSTITUTE(B275,"?","~?"),"*","~*"))=1,MAX($AB$2:AB274)+1,""))</f>
        <v/>
      </c>
    </row>
    <row r="276">
      <c r="M276">
        <f>IF(A276="","",LOWER(TRIM(SUBSTITUTE(SUBSTITUTE(A276,"?",""),"*",""))))</f>
        <v/>
      </c>
      <c r="N276">
        <f>IF(M276="","",IF(SUMPRODUCT(ISNUMBER(SEARCH(" "&amp;Settings!$L$5:$L$124&amp;" "," "&amp;M276&amp;" "))*(Settings!$K$5:$K$124="Navigational")*(Settings!$L$5:$L$124&lt;&gt;""))&gt;0,"Navigational",IF(SUMPRODUCT(ISNUMBER(SEARCH(" "&amp;Settings!$L$5:$L$124&amp;" "," "&amp;M276&amp;" "))*(Settings!$K$5:$K$124="Transactional")*(Settings!$L$5:$L$124&lt;&gt;""))&gt;0,"Transactional",IF(SUMPRODUCT(ISNUMBER(SEARCH(" "&amp;Settings!$L$5:$L$124&amp;" "," "&amp;M276&amp;" "))*(Settings!$K$5:$K$124="Commercial")*(Settings!$L$5:$L$124&lt;&gt;""))&gt;0,"Commercial",IF(SUMPRODUCT(ISNUMBER(SEARCH(" "&amp;Settings!$L$5:$L$124&amp;" "," "&amp;M276&amp;" "))*(Settings!$K$5:$K$124="Informational")*(Settings!$L$5:$L$124&lt;&gt;""))&gt;0,"Informational","Unclassified")))))</f>
        <v/>
      </c>
      <c r="O276">
        <f>IF(A276="","",IF(K276&lt;&gt;"",PROPER(K276),N276))</f>
        <v/>
      </c>
      <c r="P276">
        <f>IF(A276="","",ROUND(Settings!$B$5*MIN(1,LOG10(N(C276)+1)/LOG10(Settings!$B$7+1))+Settings!$B$6*(1-MIN(100,IF(D276="",50,N(D276)))/100)+IFERROR(INDEX(Settings!$B$10:$B$14,MATCH(O276,Settings!$A$10:$A$14,0)),0),0))</f>
        <v/>
      </c>
      <c r="Q276">
        <f>IF(OR(A276="",G276=""),"",COUNTIFS($M$3:$M$1002,M276,$G$3:$G$1002,"&lt;&gt;"&amp;SUBSTITUTE(SUBSTITUTE(G276,"?","~?"),"*","~*"),$G$3:$G$1002,"?*"))</f>
        <v/>
      </c>
      <c r="R276">
        <f>IF(Q276="","",IF(Q276&gt;0,"Yes","No"))</f>
        <v/>
      </c>
      <c r="S276">
        <f>IF(G276="","",COUNTIFS($G$3:$G$1002,SUBSTITUTE(SUBSTITUTE(G276,"?","~?"),"*","~*"),$J$3:$J$1002,"Primary"))</f>
        <v/>
      </c>
      <c r="T276">
        <f>IF(S276="","",IF(S276&gt;Settings!$B$4,"Yes","No"))</f>
        <v/>
      </c>
      <c r="U276">
        <f>IF(OR(G276="",B276=""),"",IF(COUNTIFS($G$3:$G$1002,SUBSTITUTE(SUBSTITUTE(G276,"?","~?"),"*","~*"),$B$3:$B$1002,"&lt;&gt;"&amp;SUBSTITUTE(SUBSTITUTE(B276,"?","~?"),"*","~*"),$B$3:$B$1002,"?*")&gt;0,"Yes","No"))</f>
        <v/>
      </c>
      <c r="V276">
        <f>IF(OR(G276="",I276="",O276="",O276="Unclassified"),"",IFERROR(INDEX(Settings!$E$5:$H$16,MATCH(I276,Settings!$D$5:$D$16,0),MATCH(O276,Settings!$E$4:$H$4,0)),"Check"))</f>
        <v/>
      </c>
      <c r="W276">
        <f>IF(V276="","",IF(V276="No","Yes","No"))</f>
        <v/>
      </c>
      <c r="X276">
        <f>IF(OR(E276="",G276=""),"",IF(LOWER(IF(RIGHT(TRIM(E276),1)="/",LEFT(TRIM(E276),LEN(TRIM(E276))-1),TRIM(E276)))&lt;&gt;LOWER(IF(RIGHT(TRIM(G276),1)="/",LEFT(TRIM(G276),LEN(TRIM(G276))-1),TRIM(G276))),"Yes","No"))</f>
        <v/>
      </c>
      <c r="Y276">
        <f>IF(A276="","",(N(Q276)&gt;0)+(T276="Yes")+(U276="Yes")+(W276="Yes")+(X276="Yes"))</f>
        <v/>
      </c>
      <c r="Z276">
        <f>IF(A276="","",IF(G276="","Not mapped",IF(Y276=0,"OK",MID(IF(N(Q276)&gt;0,"; Cannibalisation","")&amp;IF(T276="Yes","; Too many primary keywords on URL","")&amp;IF(U276="Yes","; URL spans 2+ clusters","")&amp;IF(W276="Yes","; Intent mismatch","")&amp;IF(X276="Yes","; Ranking URL is not the target",""),3,300))))</f>
        <v/>
      </c>
      <c r="AA276">
        <f>IF(G276="","",IF(COUNTIF($G$3:G276,SUBSTITUTE(SUBSTITUTE(G276,"?","~?"),"*","~*"))=1,MAX($AA$2:AA275)+1,""))</f>
        <v/>
      </c>
      <c r="AB276">
        <f>IF(B276="","",IF(COUNTIF($B$3:B276,SUBSTITUTE(SUBSTITUTE(B276,"?","~?"),"*","~*"))=1,MAX($AB$2:AB275)+1,""))</f>
        <v/>
      </c>
    </row>
    <row r="277">
      <c r="M277">
        <f>IF(A277="","",LOWER(TRIM(SUBSTITUTE(SUBSTITUTE(A277,"?",""),"*",""))))</f>
        <v/>
      </c>
      <c r="N277">
        <f>IF(M277="","",IF(SUMPRODUCT(ISNUMBER(SEARCH(" "&amp;Settings!$L$5:$L$124&amp;" "," "&amp;M277&amp;" "))*(Settings!$K$5:$K$124="Navigational")*(Settings!$L$5:$L$124&lt;&gt;""))&gt;0,"Navigational",IF(SUMPRODUCT(ISNUMBER(SEARCH(" "&amp;Settings!$L$5:$L$124&amp;" "," "&amp;M277&amp;" "))*(Settings!$K$5:$K$124="Transactional")*(Settings!$L$5:$L$124&lt;&gt;""))&gt;0,"Transactional",IF(SUMPRODUCT(ISNUMBER(SEARCH(" "&amp;Settings!$L$5:$L$124&amp;" "," "&amp;M277&amp;" "))*(Settings!$K$5:$K$124="Commercial")*(Settings!$L$5:$L$124&lt;&gt;""))&gt;0,"Commercial",IF(SUMPRODUCT(ISNUMBER(SEARCH(" "&amp;Settings!$L$5:$L$124&amp;" "," "&amp;M277&amp;" "))*(Settings!$K$5:$K$124="Informational")*(Settings!$L$5:$L$124&lt;&gt;""))&gt;0,"Informational","Unclassified")))))</f>
        <v/>
      </c>
      <c r="O277">
        <f>IF(A277="","",IF(K277&lt;&gt;"",PROPER(K277),N277))</f>
        <v/>
      </c>
      <c r="P277">
        <f>IF(A277="","",ROUND(Settings!$B$5*MIN(1,LOG10(N(C277)+1)/LOG10(Settings!$B$7+1))+Settings!$B$6*(1-MIN(100,IF(D277="",50,N(D277)))/100)+IFERROR(INDEX(Settings!$B$10:$B$14,MATCH(O277,Settings!$A$10:$A$14,0)),0),0))</f>
        <v/>
      </c>
      <c r="Q277">
        <f>IF(OR(A277="",G277=""),"",COUNTIFS($M$3:$M$1002,M277,$G$3:$G$1002,"&lt;&gt;"&amp;SUBSTITUTE(SUBSTITUTE(G277,"?","~?"),"*","~*"),$G$3:$G$1002,"?*"))</f>
        <v/>
      </c>
      <c r="R277">
        <f>IF(Q277="","",IF(Q277&gt;0,"Yes","No"))</f>
        <v/>
      </c>
      <c r="S277">
        <f>IF(G277="","",COUNTIFS($G$3:$G$1002,SUBSTITUTE(SUBSTITUTE(G277,"?","~?"),"*","~*"),$J$3:$J$1002,"Primary"))</f>
        <v/>
      </c>
      <c r="T277">
        <f>IF(S277="","",IF(S277&gt;Settings!$B$4,"Yes","No"))</f>
        <v/>
      </c>
      <c r="U277">
        <f>IF(OR(G277="",B277=""),"",IF(COUNTIFS($G$3:$G$1002,SUBSTITUTE(SUBSTITUTE(G277,"?","~?"),"*","~*"),$B$3:$B$1002,"&lt;&gt;"&amp;SUBSTITUTE(SUBSTITUTE(B277,"?","~?"),"*","~*"),$B$3:$B$1002,"?*")&gt;0,"Yes","No"))</f>
        <v/>
      </c>
      <c r="V277">
        <f>IF(OR(G277="",I277="",O277="",O277="Unclassified"),"",IFERROR(INDEX(Settings!$E$5:$H$16,MATCH(I277,Settings!$D$5:$D$16,0),MATCH(O277,Settings!$E$4:$H$4,0)),"Check"))</f>
        <v/>
      </c>
      <c r="W277">
        <f>IF(V277="","",IF(V277="No","Yes","No"))</f>
        <v/>
      </c>
      <c r="X277">
        <f>IF(OR(E277="",G277=""),"",IF(LOWER(IF(RIGHT(TRIM(E277),1)="/",LEFT(TRIM(E277),LEN(TRIM(E277))-1),TRIM(E277)))&lt;&gt;LOWER(IF(RIGHT(TRIM(G277),1)="/",LEFT(TRIM(G277),LEN(TRIM(G277))-1),TRIM(G277))),"Yes","No"))</f>
        <v/>
      </c>
      <c r="Y277">
        <f>IF(A277="","",(N(Q277)&gt;0)+(T277="Yes")+(U277="Yes")+(W277="Yes")+(X277="Yes"))</f>
        <v/>
      </c>
      <c r="Z277">
        <f>IF(A277="","",IF(G277="","Not mapped",IF(Y277=0,"OK",MID(IF(N(Q277)&gt;0,"; Cannibalisation","")&amp;IF(T277="Yes","; Too many primary keywords on URL","")&amp;IF(U277="Yes","; URL spans 2+ clusters","")&amp;IF(W277="Yes","; Intent mismatch","")&amp;IF(X277="Yes","; Ranking URL is not the target",""),3,300))))</f>
        <v/>
      </c>
      <c r="AA277">
        <f>IF(G277="","",IF(COUNTIF($G$3:G277,SUBSTITUTE(SUBSTITUTE(G277,"?","~?"),"*","~*"))=1,MAX($AA$2:AA276)+1,""))</f>
        <v/>
      </c>
      <c r="AB277">
        <f>IF(B277="","",IF(COUNTIF($B$3:B277,SUBSTITUTE(SUBSTITUTE(B277,"?","~?"),"*","~*"))=1,MAX($AB$2:AB276)+1,""))</f>
        <v/>
      </c>
    </row>
    <row r="278">
      <c r="M278">
        <f>IF(A278="","",LOWER(TRIM(SUBSTITUTE(SUBSTITUTE(A278,"?",""),"*",""))))</f>
        <v/>
      </c>
      <c r="N278">
        <f>IF(M278="","",IF(SUMPRODUCT(ISNUMBER(SEARCH(" "&amp;Settings!$L$5:$L$124&amp;" "," "&amp;M278&amp;" "))*(Settings!$K$5:$K$124="Navigational")*(Settings!$L$5:$L$124&lt;&gt;""))&gt;0,"Navigational",IF(SUMPRODUCT(ISNUMBER(SEARCH(" "&amp;Settings!$L$5:$L$124&amp;" "," "&amp;M278&amp;" "))*(Settings!$K$5:$K$124="Transactional")*(Settings!$L$5:$L$124&lt;&gt;""))&gt;0,"Transactional",IF(SUMPRODUCT(ISNUMBER(SEARCH(" "&amp;Settings!$L$5:$L$124&amp;" "," "&amp;M278&amp;" "))*(Settings!$K$5:$K$124="Commercial")*(Settings!$L$5:$L$124&lt;&gt;""))&gt;0,"Commercial",IF(SUMPRODUCT(ISNUMBER(SEARCH(" "&amp;Settings!$L$5:$L$124&amp;" "," "&amp;M278&amp;" "))*(Settings!$K$5:$K$124="Informational")*(Settings!$L$5:$L$124&lt;&gt;""))&gt;0,"Informational","Unclassified")))))</f>
        <v/>
      </c>
      <c r="O278">
        <f>IF(A278="","",IF(K278&lt;&gt;"",PROPER(K278),N278))</f>
        <v/>
      </c>
      <c r="P278">
        <f>IF(A278="","",ROUND(Settings!$B$5*MIN(1,LOG10(N(C278)+1)/LOG10(Settings!$B$7+1))+Settings!$B$6*(1-MIN(100,IF(D278="",50,N(D278)))/100)+IFERROR(INDEX(Settings!$B$10:$B$14,MATCH(O278,Settings!$A$10:$A$14,0)),0),0))</f>
        <v/>
      </c>
      <c r="Q278">
        <f>IF(OR(A278="",G278=""),"",COUNTIFS($M$3:$M$1002,M278,$G$3:$G$1002,"&lt;&gt;"&amp;SUBSTITUTE(SUBSTITUTE(G278,"?","~?"),"*","~*"),$G$3:$G$1002,"?*"))</f>
        <v/>
      </c>
      <c r="R278">
        <f>IF(Q278="","",IF(Q278&gt;0,"Yes","No"))</f>
        <v/>
      </c>
      <c r="S278">
        <f>IF(G278="","",COUNTIFS($G$3:$G$1002,SUBSTITUTE(SUBSTITUTE(G278,"?","~?"),"*","~*"),$J$3:$J$1002,"Primary"))</f>
        <v/>
      </c>
      <c r="T278">
        <f>IF(S278="","",IF(S278&gt;Settings!$B$4,"Yes","No"))</f>
        <v/>
      </c>
      <c r="U278">
        <f>IF(OR(G278="",B278=""),"",IF(COUNTIFS($G$3:$G$1002,SUBSTITUTE(SUBSTITUTE(G278,"?","~?"),"*","~*"),$B$3:$B$1002,"&lt;&gt;"&amp;SUBSTITUTE(SUBSTITUTE(B278,"?","~?"),"*","~*"),$B$3:$B$1002,"?*")&gt;0,"Yes","No"))</f>
        <v/>
      </c>
      <c r="V278">
        <f>IF(OR(G278="",I278="",O278="",O278="Unclassified"),"",IFERROR(INDEX(Settings!$E$5:$H$16,MATCH(I278,Settings!$D$5:$D$16,0),MATCH(O278,Settings!$E$4:$H$4,0)),"Check"))</f>
        <v/>
      </c>
      <c r="W278">
        <f>IF(V278="","",IF(V278="No","Yes","No"))</f>
        <v/>
      </c>
      <c r="X278">
        <f>IF(OR(E278="",G278=""),"",IF(LOWER(IF(RIGHT(TRIM(E278),1)="/",LEFT(TRIM(E278),LEN(TRIM(E278))-1),TRIM(E278)))&lt;&gt;LOWER(IF(RIGHT(TRIM(G278),1)="/",LEFT(TRIM(G278),LEN(TRIM(G278))-1),TRIM(G278))),"Yes","No"))</f>
        <v/>
      </c>
      <c r="Y278">
        <f>IF(A278="","",(N(Q278)&gt;0)+(T278="Yes")+(U278="Yes")+(W278="Yes")+(X278="Yes"))</f>
        <v/>
      </c>
      <c r="Z278">
        <f>IF(A278="","",IF(G278="","Not mapped",IF(Y278=0,"OK",MID(IF(N(Q278)&gt;0,"; Cannibalisation","")&amp;IF(T278="Yes","; Too many primary keywords on URL","")&amp;IF(U278="Yes","; URL spans 2+ clusters","")&amp;IF(W278="Yes","; Intent mismatch","")&amp;IF(X278="Yes","; Ranking URL is not the target",""),3,300))))</f>
        <v/>
      </c>
      <c r="AA278">
        <f>IF(G278="","",IF(COUNTIF($G$3:G278,SUBSTITUTE(SUBSTITUTE(G278,"?","~?"),"*","~*"))=1,MAX($AA$2:AA277)+1,""))</f>
        <v/>
      </c>
      <c r="AB278">
        <f>IF(B278="","",IF(COUNTIF($B$3:B278,SUBSTITUTE(SUBSTITUTE(B278,"?","~?"),"*","~*"))=1,MAX($AB$2:AB277)+1,""))</f>
        <v/>
      </c>
    </row>
    <row r="279">
      <c r="M279">
        <f>IF(A279="","",LOWER(TRIM(SUBSTITUTE(SUBSTITUTE(A279,"?",""),"*",""))))</f>
        <v/>
      </c>
      <c r="N279">
        <f>IF(M279="","",IF(SUMPRODUCT(ISNUMBER(SEARCH(" "&amp;Settings!$L$5:$L$124&amp;" "," "&amp;M279&amp;" "))*(Settings!$K$5:$K$124="Navigational")*(Settings!$L$5:$L$124&lt;&gt;""))&gt;0,"Navigational",IF(SUMPRODUCT(ISNUMBER(SEARCH(" "&amp;Settings!$L$5:$L$124&amp;" "," "&amp;M279&amp;" "))*(Settings!$K$5:$K$124="Transactional")*(Settings!$L$5:$L$124&lt;&gt;""))&gt;0,"Transactional",IF(SUMPRODUCT(ISNUMBER(SEARCH(" "&amp;Settings!$L$5:$L$124&amp;" "," "&amp;M279&amp;" "))*(Settings!$K$5:$K$124="Commercial")*(Settings!$L$5:$L$124&lt;&gt;""))&gt;0,"Commercial",IF(SUMPRODUCT(ISNUMBER(SEARCH(" "&amp;Settings!$L$5:$L$124&amp;" "," "&amp;M279&amp;" "))*(Settings!$K$5:$K$124="Informational")*(Settings!$L$5:$L$124&lt;&gt;""))&gt;0,"Informational","Unclassified")))))</f>
        <v/>
      </c>
      <c r="O279">
        <f>IF(A279="","",IF(K279&lt;&gt;"",PROPER(K279),N279))</f>
        <v/>
      </c>
      <c r="P279">
        <f>IF(A279="","",ROUND(Settings!$B$5*MIN(1,LOG10(N(C279)+1)/LOG10(Settings!$B$7+1))+Settings!$B$6*(1-MIN(100,IF(D279="",50,N(D279)))/100)+IFERROR(INDEX(Settings!$B$10:$B$14,MATCH(O279,Settings!$A$10:$A$14,0)),0),0))</f>
        <v/>
      </c>
      <c r="Q279">
        <f>IF(OR(A279="",G279=""),"",COUNTIFS($M$3:$M$1002,M279,$G$3:$G$1002,"&lt;&gt;"&amp;SUBSTITUTE(SUBSTITUTE(G279,"?","~?"),"*","~*"),$G$3:$G$1002,"?*"))</f>
        <v/>
      </c>
      <c r="R279">
        <f>IF(Q279="","",IF(Q279&gt;0,"Yes","No"))</f>
        <v/>
      </c>
      <c r="S279">
        <f>IF(G279="","",COUNTIFS($G$3:$G$1002,SUBSTITUTE(SUBSTITUTE(G279,"?","~?"),"*","~*"),$J$3:$J$1002,"Primary"))</f>
        <v/>
      </c>
      <c r="T279">
        <f>IF(S279="","",IF(S279&gt;Settings!$B$4,"Yes","No"))</f>
        <v/>
      </c>
      <c r="U279">
        <f>IF(OR(G279="",B279=""),"",IF(COUNTIFS($G$3:$G$1002,SUBSTITUTE(SUBSTITUTE(G279,"?","~?"),"*","~*"),$B$3:$B$1002,"&lt;&gt;"&amp;SUBSTITUTE(SUBSTITUTE(B279,"?","~?"),"*","~*"),$B$3:$B$1002,"?*")&gt;0,"Yes","No"))</f>
        <v/>
      </c>
      <c r="V279">
        <f>IF(OR(G279="",I279="",O279="",O279="Unclassified"),"",IFERROR(INDEX(Settings!$E$5:$H$16,MATCH(I279,Settings!$D$5:$D$16,0),MATCH(O279,Settings!$E$4:$H$4,0)),"Check"))</f>
        <v/>
      </c>
      <c r="W279">
        <f>IF(V279="","",IF(V279="No","Yes","No"))</f>
        <v/>
      </c>
      <c r="X279">
        <f>IF(OR(E279="",G279=""),"",IF(LOWER(IF(RIGHT(TRIM(E279),1)="/",LEFT(TRIM(E279),LEN(TRIM(E279))-1),TRIM(E279)))&lt;&gt;LOWER(IF(RIGHT(TRIM(G279),1)="/",LEFT(TRIM(G279),LEN(TRIM(G279))-1),TRIM(G279))),"Yes","No"))</f>
        <v/>
      </c>
      <c r="Y279">
        <f>IF(A279="","",(N(Q279)&gt;0)+(T279="Yes")+(U279="Yes")+(W279="Yes")+(X279="Yes"))</f>
        <v/>
      </c>
      <c r="Z279">
        <f>IF(A279="","",IF(G279="","Not mapped",IF(Y279=0,"OK",MID(IF(N(Q279)&gt;0,"; Cannibalisation","")&amp;IF(T279="Yes","; Too many primary keywords on URL","")&amp;IF(U279="Yes","; URL spans 2+ clusters","")&amp;IF(W279="Yes","; Intent mismatch","")&amp;IF(X279="Yes","; Ranking URL is not the target",""),3,300))))</f>
        <v/>
      </c>
      <c r="AA279">
        <f>IF(G279="","",IF(COUNTIF($G$3:G279,SUBSTITUTE(SUBSTITUTE(G279,"?","~?"),"*","~*"))=1,MAX($AA$2:AA278)+1,""))</f>
        <v/>
      </c>
      <c r="AB279">
        <f>IF(B279="","",IF(COUNTIF($B$3:B279,SUBSTITUTE(SUBSTITUTE(B279,"?","~?"),"*","~*"))=1,MAX($AB$2:AB278)+1,""))</f>
        <v/>
      </c>
    </row>
    <row r="280">
      <c r="M280">
        <f>IF(A280="","",LOWER(TRIM(SUBSTITUTE(SUBSTITUTE(A280,"?",""),"*",""))))</f>
        <v/>
      </c>
      <c r="N280">
        <f>IF(M280="","",IF(SUMPRODUCT(ISNUMBER(SEARCH(" "&amp;Settings!$L$5:$L$124&amp;" "," "&amp;M280&amp;" "))*(Settings!$K$5:$K$124="Navigational")*(Settings!$L$5:$L$124&lt;&gt;""))&gt;0,"Navigational",IF(SUMPRODUCT(ISNUMBER(SEARCH(" "&amp;Settings!$L$5:$L$124&amp;" "," "&amp;M280&amp;" "))*(Settings!$K$5:$K$124="Transactional")*(Settings!$L$5:$L$124&lt;&gt;""))&gt;0,"Transactional",IF(SUMPRODUCT(ISNUMBER(SEARCH(" "&amp;Settings!$L$5:$L$124&amp;" "," "&amp;M280&amp;" "))*(Settings!$K$5:$K$124="Commercial")*(Settings!$L$5:$L$124&lt;&gt;""))&gt;0,"Commercial",IF(SUMPRODUCT(ISNUMBER(SEARCH(" "&amp;Settings!$L$5:$L$124&amp;" "," "&amp;M280&amp;" "))*(Settings!$K$5:$K$124="Informational")*(Settings!$L$5:$L$124&lt;&gt;""))&gt;0,"Informational","Unclassified")))))</f>
        <v/>
      </c>
      <c r="O280">
        <f>IF(A280="","",IF(K280&lt;&gt;"",PROPER(K280),N280))</f>
        <v/>
      </c>
      <c r="P280">
        <f>IF(A280="","",ROUND(Settings!$B$5*MIN(1,LOG10(N(C280)+1)/LOG10(Settings!$B$7+1))+Settings!$B$6*(1-MIN(100,IF(D280="",50,N(D280)))/100)+IFERROR(INDEX(Settings!$B$10:$B$14,MATCH(O280,Settings!$A$10:$A$14,0)),0),0))</f>
        <v/>
      </c>
      <c r="Q280">
        <f>IF(OR(A280="",G280=""),"",COUNTIFS($M$3:$M$1002,M280,$G$3:$G$1002,"&lt;&gt;"&amp;SUBSTITUTE(SUBSTITUTE(G280,"?","~?"),"*","~*"),$G$3:$G$1002,"?*"))</f>
        <v/>
      </c>
      <c r="R280">
        <f>IF(Q280="","",IF(Q280&gt;0,"Yes","No"))</f>
        <v/>
      </c>
      <c r="S280">
        <f>IF(G280="","",COUNTIFS($G$3:$G$1002,SUBSTITUTE(SUBSTITUTE(G280,"?","~?"),"*","~*"),$J$3:$J$1002,"Primary"))</f>
        <v/>
      </c>
      <c r="T280">
        <f>IF(S280="","",IF(S280&gt;Settings!$B$4,"Yes","No"))</f>
        <v/>
      </c>
      <c r="U280">
        <f>IF(OR(G280="",B280=""),"",IF(COUNTIFS($G$3:$G$1002,SUBSTITUTE(SUBSTITUTE(G280,"?","~?"),"*","~*"),$B$3:$B$1002,"&lt;&gt;"&amp;SUBSTITUTE(SUBSTITUTE(B280,"?","~?"),"*","~*"),$B$3:$B$1002,"?*")&gt;0,"Yes","No"))</f>
        <v/>
      </c>
      <c r="V280">
        <f>IF(OR(G280="",I280="",O280="",O280="Unclassified"),"",IFERROR(INDEX(Settings!$E$5:$H$16,MATCH(I280,Settings!$D$5:$D$16,0),MATCH(O280,Settings!$E$4:$H$4,0)),"Check"))</f>
        <v/>
      </c>
      <c r="W280">
        <f>IF(V280="","",IF(V280="No","Yes","No"))</f>
        <v/>
      </c>
      <c r="X280">
        <f>IF(OR(E280="",G280=""),"",IF(LOWER(IF(RIGHT(TRIM(E280),1)="/",LEFT(TRIM(E280),LEN(TRIM(E280))-1),TRIM(E280)))&lt;&gt;LOWER(IF(RIGHT(TRIM(G280),1)="/",LEFT(TRIM(G280),LEN(TRIM(G280))-1),TRIM(G280))),"Yes","No"))</f>
        <v/>
      </c>
      <c r="Y280">
        <f>IF(A280="","",(N(Q280)&gt;0)+(T280="Yes")+(U280="Yes")+(W280="Yes")+(X280="Yes"))</f>
        <v/>
      </c>
      <c r="Z280">
        <f>IF(A280="","",IF(G280="","Not mapped",IF(Y280=0,"OK",MID(IF(N(Q280)&gt;0,"; Cannibalisation","")&amp;IF(T280="Yes","; Too many primary keywords on URL","")&amp;IF(U280="Yes","; URL spans 2+ clusters","")&amp;IF(W280="Yes","; Intent mismatch","")&amp;IF(X280="Yes","; Ranking URL is not the target",""),3,300))))</f>
        <v/>
      </c>
      <c r="AA280">
        <f>IF(G280="","",IF(COUNTIF($G$3:G280,SUBSTITUTE(SUBSTITUTE(G280,"?","~?"),"*","~*"))=1,MAX($AA$2:AA279)+1,""))</f>
        <v/>
      </c>
      <c r="AB280">
        <f>IF(B280="","",IF(COUNTIF($B$3:B280,SUBSTITUTE(SUBSTITUTE(B280,"?","~?"),"*","~*"))=1,MAX($AB$2:AB279)+1,""))</f>
        <v/>
      </c>
    </row>
    <row r="281">
      <c r="M281">
        <f>IF(A281="","",LOWER(TRIM(SUBSTITUTE(SUBSTITUTE(A281,"?",""),"*",""))))</f>
        <v/>
      </c>
      <c r="N281">
        <f>IF(M281="","",IF(SUMPRODUCT(ISNUMBER(SEARCH(" "&amp;Settings!$L$5:$L$124&amp;" "," "&amp;M281&amp;" "))*(Settings!$K$5:$K$124="Navigational")*(Settings!$L$5:$L$124&lt;&gt;""))&gt;0,"Navigational",IF(SUMPRODUCT(ISNUMBER(SEARCH(" "&amp;Settings!$L$5:$L$124&amp;" "," "&amp;M281&amp;" "))*(Settings!$K$5:$K$124="Transactional")*(Settings!$L$5:$L$124&lt;&gt;""))&gt;0,"Transactional",IF(SUMPRODUCT(ISNUMBER(SEARCH(" "&amp;Settings!$L$5:$L$124&amp;" "," "&amp;M281&amp;" "))*(Settings!$K$5:$K$124="Commercial")*(Settings!$L$5:$L$124&lt;&gt;""))&gt;0,"Commercial",IF(SUMPRODUCT(ISNUMBER(SEARCH(" "&amp;Settings!$L$5:$L$124&amp;" "," "&amp;M281&amp;" "))*(Settings!$K$5:$K$124="Informational")*(Settings!$L$5:$L$124&lt;&gt;""))&gt;0,"Informational","Unclassified")))))</f>
        <v/>
      </c>
      <c r="O281">
        <f>IF(A281="","",IF(K281&lt;&gt;"",PROPER(K281),N281))</f>
        <v/>
      </c>
      <c r="P281">
        <f>IF(A281="","",ROUND(Settings!$B$5*MIN(1,LOG10(N(C281)+1)/LOG10(Settings!$B$7+1))+Settings!$B$6*(1-MIN(100,IF(D281="",50,N(D281)))/100)+IFERROR(INDEX(Settings!$B$10:$B$14,MATCH(O281,Settings!$A$10:$A$14,0)),0),0))</f>
        <v/>
      </c>
      <c r="Q281">
        <f>IF(OR(A281="",G281=""),"",COUNTIFS($M$3:$M$1002,M281,$G$3:$G$1002,"&lt;&gt;"&amp;SUBSTITUTE(SUBSTITUTE(G281,"?","~?"),"*","~*"),$G$3:$G$1002,"?*"))</f>
        <v/>
      </c>
      <c r="R281">
        <f>IF(Q281="","",IF(Q281&gt;0,"Yes","No"))</f>
        <v/>
      </c>
      <c r="S281">
        <f>IF(G281="","",COUNTIFS($G$3:$G$1002,SUBSTITUTE(SUBSTITUTE(G281,"?","~?"),"*","~*"),$J$3:$J$1002,"Primary"))</f>
        <v/>
      </c>
      <c r="T281">
        <f>IF(S281="","",IF(S281&gt;Settings!$B$4,"Yes","No"))</f>
        <v/>
      </c>
      <c r="U281">
        <f>IF(OR(G281="",B281=""),"",IF(COUNTIFS($G$3:$G$1002,SUBSTITUTE(SUBSTITUTE(G281,"?","~?"),"*","~*"),$B$3:$B$1002,"&lt;&gt;"&amp;SUBSTITUTE(SUBSTITUTE(B281,"?","~?"),"*","~*"),$B$3:$B$1002,"?*")&gt;0,"Yes","No"))</f>
        <v/>
      </c>
      <c r="V281">
        <f>IF(OR(G281="",I281="",O281="",O281="Unclassified"),"",IFERROR(INDEX(Settings!$E$5:$H$16,MATCH(I281,Settings!$D$5:$D$16,0),MATCH(O281,Settings!$E$4:$H$4,0)),"Check"))</f>
        <v/>
      </c>
      <c r="W281">
        <f>IF(V281="","",IF(V281="No","Yes","No"))</f>
        <v/>
      </c>
      <c r="X281">
        <f>IF(OR(E281="",G281=""),"",IF(LOWER(IF(RIGHT(TRIM(E281),1)="/",LEFT(TRIM(E281),LEN(TRIM(E281))-1),TRIM(E281)))&lt;&gt;LOWER(IF(RIGHT(TRIM(G281),1)="/",LEFT(TRIM(G281),LEN(TRIM(G281))-1),TRIM(G281))),"Yes","No"))</f>
        <v/>
      </c>
      <c r="Y281">
        <f>IF(A281="","",(N(Q281)&gt;0)+(T281="Yes")+(U281="Yes")+(W281="Yes")+(X281="Yes"))</f>
        <v/>
      </c>
      <c r="Z281">
        <f>IF(A281="","",IF(G281="","Not mapped",IF(Y281=0,"OK",MID(IF(N(Q281)&gt;0,"; Cannibalisation","")&amp;IF(T281="Yes","; Too many primary keywords on URL","")&amp;IF(U281="Yes","; URL spans 2+ clusters","")&amp;IF(W281="Yes","; Intent mismatch","")&amp;IF(X281="Yes","; Ranking URL is not the target",""),3,300))))</f>
        <v/>
      </c>
      <c r="AA281">
        <f>IF(G281="","",IF(COUNTIF($G$3:G281,SUBSTITUTE(SUBSTITUTE(G281,"?","~?"),"*","~*"))=1,MAX($AA$2:AA280)+1,""))</f>
        <v/>
      </c>
      <c r="AB281">
        <f>IF(B281="","",IF(COUNTIF($B$3:B281,SUBSTITUTE(SUBSTITUTE(B281,"?","~?"),"*","~*"))=1,MAX($AB$2:AB280)+1,""))</f>
        <v/>
      </c>
    </row>
    <row r="282">
      <c r="M282">
        <f>IF(A282="","",LOWER(TRIM(SUBSTITUTE(SUBSTITUTE(A282,"?",""),"*",""))))</f>
        <v/>
      </c>
      <c r="N282">
        <f>IF(M282="","",IF(SUMPRODUCT(ISNUMBER(SEARCH(" "&amp;Settings!$L$5:$L$124&amp;" "," "&amp;M282&amp;" "))*(Settings!$K$5:$K$124="Navigational")*(Settings!$L$5:$L$124&lt;&gt;""))&gt;0,"Navigational",IF(SUMPRODUCT(ISNUMBER(SEARCH(" "&amp;Settings!$L$5:$L$124&amp;" "," "&amp;M282&amp;" "))*(Settings!$K$5:$K$124="Transactional")*(Settings!$L$5:$L$124&lt;&gt;""))&gt;0,"Transactional",IF(SUMPRODUCT(ISNUMBER(SEARCH(" "&amp;Settings!$L$5:$L$124&amp;" "," "&amp;M282&amp;" "))*(Settings!$K$5:$K$124="Commercial")*(Settings!$L$5:$L$124&lt;&gt;""))&gt;0,"Commercial",IF(SUMPRODUCT(ISNUMBER(SEARCH(" "&amp;Settings!$L$5:$L$124&amp;" "," "&amp;M282&amp;" "))*(Settings!$K$5:$K$124="Informational")*(Settings!$L$5:$L$124&lt;&gt;""))&gt;0,"Informational","Unclassified")))))</f>
        <v/>
      </c>
      <c r="O282">
        <f>IF(A282="","",IF(K282&lt;&gt;"",PROPER(K282),N282))</f>
        <v/>
      </c>
      <c r="P282">
        <f>IF(A282="","",ROUND(Settings!$B$5*MIN(1,LOG10(N(C282)+1)/LOG10(Settings!$B$7+1))+Settings!$B$6*(1-MIN(100,IF(D282="",50,N(D282)))/100)+IFERROR(INDEX(Settings!$B$10:$B$14,MATCH(O282,Settings!$A$10:$A$14,0)),0),0))</f>
        <v/>
      </c>
      <c r="Q282">
        <f>IF(OR(A282="",G282=""),"",COUNTIFS($M$3:$M$1002,M282,$G$3:$G$1002,"&lt;&gt;"&amp;SUBSTITUTE(SUBSTITUTE(G282,"?","~?"),"*","~*"),$G$3:$G$1002,"?*"))</f>
        <v/>
      </c>
      <c r="R282">
        <f>IF(Q282="","",IF(Q282&gt;0,"Yes","No"))</f>
        <v/>
      </c>
      <c r="S282">
        <f>IF(G282="","",COUNTIFS($G$3:$G$1002,SUBSTITUTE(SUBSTITUTE(G282,"?","~?"),"*","~*"),$J$3:$J$1002,"Primary"))</f>
        <v/>
      </c>
      <c r="T282">
        <f>IF(S282="","",IF(S282&gt;Settings!$B$4,"Yes","No"))</f>
        <v/>
      </c>
      <c r="U282">
        <f>IF(OR(G282="",B282=""),"",IF(COUNTIFS($G$3:$G$1002,SUBSTITUTE(SUBSTITUTE(G282,"?","~?"),"*","~*"),$B$3:$B$1002,"&lt;&gt;"&amp;SUBSTITUTE(SUBSTITUTE(B282,"?","~?"),"*","~*"),$B$3:$B$1002,"?*")&gt;0,"Yes","No"))</f>
        <v/>
      </c>
      <c r="V282">
        <f>IF(OR(G282="",I282="",O282="",O282="Unclassified"),"",IFERROR(INDEX(Settings!$E$5:$H$16,MATCH(I282,Settings!$D$5:$D$16,0),MATCH(O282,Settings!$E$4:$H$4,0)),"Check"))</f>
        <v/>
      </c>
      <c r="W282">
        <f>IF(V282="","",IF(V282="No","Yes","No"))</f>
        <v/>
      </c>
      <c r="X282">
        <f>IF(OR(E282="",G282=""),"",IF(LOWER(IF(RIGHT(TRIM(E282),1)="/",LEFT(TRIM(E282),LEN(TRIM(E282))-1),TRIM(E282)))&lt;&gt;LOWER(IF(RIGHT(TRIM(G282),1)="/",LEFT(TRIM(G282),LEN(TRIM(G282))-1),TRIM(G282))),"Yes","No"))</f>
        <v/>
      </c>
      <c r="Y282">
        <f>IF(A282="","",(N(Q282)&gt;0)+(T282="Yes")+(U282="Yes")+(W282="Yes")+(X282="Yes"))</f>
        <v/>
      </c>
      <c r="Z282">
        <f>IF(A282="","",IF(G282="","Not mapped",IF(Y282=0,"OK",MID(IF(N(Q282)&gt;0,"; Cannibalisation","")&amp;IF(T282="Yes","; Too many primary keywords on URL","")&amp;IF(U282="Yes","; URL spans 2+ clusters","")&amp;IF(W282="Yes","; Intent mismatch","")&amp;IF(X282="Yes","; Ranking URL is not the target",""),3,300))))</f>
        <v/>
      </c>
      <c r="AA282">
        <f>IF(G282="","",IF(COUNTIF($G$3:G282,SUBSTITUTE(SUBSTITUTE(G282,"?","~?"),"*","~*"))=1,MAX($AA$2:AA281)+1,""))</f>
        <v/>
      </c>
      <c r="AB282">
        <f>IF(B282="","",IF(COUNTIF($B$3:B282,SUBSTITUTE(SUBSTITUTE(B282,"?","~?"),"*","~*"))=1,MAX($AB$2:AB281)+1,""))</f>
        <v/>
      </c>
    </row>
    <row r="283">
      <c r="M283">
        <f>IF(A283="","",LOWER(TRIM(SUBSTITUTE(SUBSTITUTE(A283,"?",""),"*",""))))</f>
        <v/>
      </c>
      <c r="N283">
        <f>IF(M283="","",IF(SUMPRODUCT(ISNUMBER(SEARCH(" "&amp;Settings!$L$5:$L$124&amp;" "," "&amp;M283&amp;" "))*(Settings!$K$5:$K$124="Navigational")*(Settings!$L$5:$L$124&lt;&gt;""))&gt;0,"Navigational",IF(SUMPRODUCT(ISNUMBER(SEARCH(" "&amp;Settings!$L$5:$L$124&amp;" "," "&amp;M283&amp;" "))*(Settings!$K$5:$K$124="Transactional")*(Settings!$L$5:$L$124&lt;&gt;""))&gt;0,"Transactional",IF(SUMPRODUCT(ISNUMBER(SEARCH(" "&amp;Settings!$L$5:$L$124&amp;" "," "&amp;M283&amp;" "))*(Settings!$K$5:$K$124="Commercial")*(Settings!$L$5:$L$124&lt;&gt;""))&gt;0,"Commercial",IF(SUMPRODUCT(ISNUMBER(SEARCH(" "&amp;Settings!$L$5:$L$124&amp;" "," "&amp;M283&amp;" "))*(Settings!$K$5:$K$124="Informational")*(Settings!$L$5:$L$124&lt;&gt;""))&gt;0,"Informational","Unclassified")))))</f>
        <v/>
      </c>
      <c r="O283">
        <f>IF(A283="","",IF(K283&lt;&gt;"",PROPER(K283),N283))</f>
        <v/>
      </c>
      <c r="P283">
        <f>IF(A283="","",ROUND(Settings!$B$5*MIN(1,LOG10(N(C283)+1)/LOG10(Settings!$B$7+1))+Settings!$B$6*(1-MIN(100,IF(D283="",50,N(D283)))/100)+IFERROR(INDEX(Settings!$B$10:$B$14,MATCH(O283,Settings!$A$10:$A$14,0)),0),0))</f>
        <v/>
      </c>
      <c r="Q283">
        <f>IF(OR(A283="",G283=""),"",COUNTIFS($M$3:$M$1002,M283,$G$3:$G$1002,"&lt;&gt;"&amp;SUBSTITUTE(SUBSTITUTE(G283,"?","~?"),"*","~*"),$G$3:$G$1002,"?*"))</f>
        <v/>
      </c>
      <c r="R283">
        <f>IF(Q283="","",IF(Q283&gt;0,"Yes","No"))</f>
        <v/>
      </c>
      <c r="S283">
        <f>IF(G283="","",COUNTIFS($G$3:$G$1002,SUBSTITUTE(SUBSTITUTE(G283,"?","~?"),"*","~*"),$J$3:$J$1002,"Primary"))</f>
        <v/>
      </c>
      <c r="T283">
        <f>IF(S283="","",IF(S283&gt;Settings!$B$4,"Yes","No"))</f>
        <v/>
      </c>
      <c r="U283">
        <f>IF(OR(G283="",B283=""),"",IF(COUNTIFS($G$3:$G$1002,SUBSTITUTE(SUBSTITUTE(G283,"?","~?"),"*","~*"),$B$3:$B$1002,"&lt;&gt;"&amp;SUBSTITUTE(SUBSTITUTE(B283,"?","~?"),"*","~*"),$B$3:$B$1002,"?*")&gt;0,"Yes","No"))</f>
        <v/>
      </c>
      <c r="V283">
        <f>IF(OR(G283="",I283="",O283="",O283="Unclassified"),"",IFERROR(INDEX(Settings!$E$5:$H$16,MATCH(I283,Settings!$D$5:$D$16,0),MATCH(O283,Settings!$E$4:$H$4,0)),"Check"))</f>
        <v/>
      </c>
      <c r="W283">
        <f>IF(V283="","",IF(V283="No","Yes","No"))</f>
        <v/>
      </c>
      <c r="X283">
        <f>IF(OR(E283="",G283=""),"",IF(LOWER(IF(RIGHT(TRIM(E283),1)="/",LEFT(TRIM(E283),LEN(TRIM(E283))-1),TRIM(E283)))&lt;&gt;LOWER(IF(RIGHT(TRIM(G283),1)="/",LEFT(TRIM(G283),LEN(TRIM(G283))-1),TRIM(G283))),"Yes","No"))</f>
        <v/>
      </c>
      <c r="Y283">
        <f>IF(A283="","",(N(Q283)&gt;0)+(T283="Yes")+(U283="Yes")+(W283="Yes")+(X283="Yes"))</f>
        <v/>
      </c>
      <c r="Z283">
        <f>IF(A283="","",IF(G283="","Not mapped",IF(Y283=0,"OK",MID(IF(N(Q283)&gt;0,"; Cannibalisation","")&amp;IF(T283="Yes","; Too many primary keywords on URL","")&amp;IF(U283="Yes","; URL spans 2+ clusters","")&amp;IF(W283="Yes","; Intent mismatch","")&amp;IF(X283="Yes","; Ranking URL is not the target",""),3,300))))</f>
        <v/>
      </c>
      <c r="AA283">
        <f>IF(G283="","",IF(COUNTIF($G$3:G283,SUBSTITUTE(SUBSTITUTE(G283,"?","~?"),"*","~*"))=1,MAX($AA$2:AA282)+1,""))</f>
        <v/>
      </c>
      <c r="AB283">
        <f>IF(B283="","",IF(COUNTIF($B$3:B283,SUBSTITUTE(SUBSTITUTE(B283,"?","~?"),"*","~*"))=1,MAX($AB$2:AB282)+1,""))</f>
        <v/>
      </c>
    </row>
    <row r="284">
      <c r="M284">
        <f>IF(A284="","",LOWER(TRIM(SUBSTITUTE(SUBSTITUTE(A284,"?",""),"*",""))))</f>
        <v/>
      </c>
      <c r="N284">
        <f>IF(M284="","",IF(SUMPRODUCT(ISNUMBER(SEARCH(" "&amp;Settings!$L$5:$L$124&amp;" "," "&amp;M284&amp;" "))*(Settings!$K$5:$K$124="Navigational")*(Settings!$L$5:$L$124&lt;&gt;""))&gt;0,"Navigational",IF(SUMPRODUCT(ISNUMBER(SEARCH(" "&amp;Settings!$L$5:$L$124&amp;" "," "&amp;M284&amp;" "))*(Settings!$K$5:$K$124="Transactional")*(Settings!$L$5:$L$124&lt;&gt;""))&gt;0,"Transactional",IF(SUMPRODUCT(ISNUMBER(SEARCH(" "&amp;Settings!$L$5:$L$124&amp;" "," "&amp;M284&amp;" "))*(Settings!$K$5:$K$124="Commercial")*(Settings!$L$5:$L$124&lt;&gt;""))&gt;0,"Commercial",IF(SUMPRODUCT(ISNUMBER(SEARCH(" "&amp;Settings!$L$5:$L$124&amp;" "," "&amp;M284&amp;" "))*(Settings!$K$5:$K$124="Informational")*(Settings!$L$5:$L$124&lt;&gt;""))&gt;0,"Informational","Unclassified")))))</f>
        <v/>
      </c>
      <c r="O284">
        <f>IF(A284="","",IF(K284&lt;&gt;"",PROPER(K284),N284))</f>
        <v/>
      </c>
      <c r="P284">
        <f>IF(A284="","",ROUND(Settings!$B$5*MIN(1,LOG10(N(C284)+1)/LOG10(Settings!$B$7+1))+Settings!$B$6*(1-MIN(100,IF(D284="",50,N(D284)))/100)+IFERROR(INDEX(Settings!$B$10:$B$14,MATCH(O284,Settings!$A$10:$A$14,0)),0),0))</f>
        <v/>
      </c>
      <c r="Q284">
        <f>IF(OR(A284="",G284=""),"",COUNTIFS($M$3:$M$1002,M284,$G$3:$G$1002,"&lt;&gt;"&amp;SUBSTITUTE(SUBSTITUTE(G284,"?","~?"),"*","~*"),$G$3:$G$1002,"?*"))</f>
        <v/>
      </c>
      <c r="R284">
        <f>IF(Q284="","",IF(Q284&gt;0,"Yes","No"))</f>
        <v/>
      </c>
      <c r="S284">
        <f>IF(G284="","",COUNTIFS($G$3:$G$1002,SUBSTITUTE(SUBSTITUTE(G284,"?","~?"),"*","~*"),$J$3:$J$1002,"Primary"))</f>
        <v/>
      </c>
      <c r="T284">
        <f>IF(S284="","",IF(S284&gt;Settings!$B$4,"Yes","No"))</f>
        <v/>
      </c>
      <c r="U284">
        <f>IF(OR(G284="",B284=""),"",IF(COUNTIFS($G$3:$G$1002,SUBSTITUTE(SUBSTITUTE(G284,"?","~?"),"*","~*"),$B$3:$B$1002,"&lt;&gt;"&amp;SUBSTITUTE(SUBSTITUTE(B284,"?","~?"),"*","~*"),$B$3:$B$1002,"?*")&gt;0,"Yes","No"))</f>
        <v/>
      </c>
      <c r="V284">
        <f>IF(OR(G284="",I284="",O284="",O284="Unclassified"),"",IFERROR(INDEX(Settings!$E$5:$H$16,MATCH(I284,Settings!$D$5:$D$16,0),MATCH(O284,Settings!$E$4:$H$4,0)),"Check"))</f>
        <v/>
      </c>
      <c r="W284">
        <f>IF(V284="","",IF(V284="No","Yes","No"))</f>
        <v/>
      </c>
      <c r="X284">
        <f>IF(OR(E284="",G284=""),"",IF(LOWER(IF(RIGHT(TRIM(E284),1)="/",LEFT(TRIM(E284),LEN(TRIM(E284))-1),TRIM(E284)))&lt;&gt;LOWER(IF(RIGHT(TRIM(G284),1)="/",LEFT(TRIM(G284),LEN(TRIM(G284))-1),TRIM(G284))),"Yes","No"))</f>
        <v/>
      </c>
      <c r="Y284">
        <f>IF(A284="","",(N(Q284)&gt;0)+(T284="Yes")+(U284="Yes")+(W284="Yes")+(X284="Yes"))</f>
        <v/>
      </c>
      <c r="Z284">
        <f>IF(A284="","",IF(G284="","Not mapped",IF(Y284=0,"OK",MID(IF(N(Q284)&gt;0,"; Cannibalisation","")&amp;IF(T284="Yes","; Too many primary keywords on URL","")&amp;IF(U284="Yes","; URL spans 2+ clusters","")&amp;IF(W284="Yes","; Intent mismatch","")&amp;IF(X284="Yes","; Ranking URL is not the target",""),3,300))))</f>
        <v/>
      </c>
      <c r="AA284">
        <f>IF(G284="","",IF(COUNTIF($G$3:G284,SUBSTITUTE(SUBSTITUTE(G284,"?","~?"),"*","~*"))=1,MAX($AA$2:AA283)+1,""))</f>
        <v/>
      </c>
      <c r="AB284">
        <f>IF(B284="","",IF(COUNTIF($B$3:B284,SUBSTITUTE(SUBSTITUTE(B284,"?","~?"),"*","~*"))=1,MAX($AB$2:AB283)+1,""))</f>
        <v/>
      </c>
    </row>
    <row r="285">
      <c r="M285">
        <f>IF(A285="","",LOWER(TRIM(SUBSTITUTE(SUBSTITUTE(A285,"?",""),"*",""))))</f>
        <v/>
      </c>
      <c r="N285">
        <f>IF(M285="","",IF(SUMPRODUCT(ISNUMBER(SEARCH(" "&amp;Settings!$L$5:$L$124&amp;" "," "&amp;M285&amp;" "))*(Settings!$K$5:$K$124="Navigational")*(Settings!$L$5:$L$124&lt;&gt;""))&gt;0,"Navigational",IF(SUMPRODUCT(ISNUMBER(SEARCH(" "&amp;Settings!$L$5:$L$124&amp;" "," "&amp;M285&amp;" "))*(Settings!$K$5:$K$124="Transactional")*(Settings!$L$5:$L$124&lt;&gt;""))&gt;0,"Transactional",IF(SUMPRODUCT(ISNUMBER(SEARCH(" "&amp;Settings!$L$5:$L$124&amp;" "," "&amp;M285&amp;" "))*(Settings!$K$5:$K$124="Commercial")*(Settings!$L$5:$L$124&lt;&gt;""))&gt;0,"Commercial",IF(SUMPRODUCT(ISNUMBER(SEARCH(" "&amp;Settings!$L$5:$L$124&amp;" "," "&amp;M285&amp;" "))*(Settings!$K$5:$K$124="Informational")*(Settings!$L$5:$L$124&lt;&gt;""))&gt;0,"Informational","Unclassified")))))</f>
        <v/>
      </c>
      <c r="O285">
        <f>IF(A285="","",IF(K285&lt;&gt;"",PROPER(K285),N285))</f>
        <v/>
      </c>
      <c r="P285">
        <f>IF(A285="","",ROUND(Settings!$B$5*MIN(1,LOG10(N(C285)+1)/LOG10(Settings!$B$7+1))+Settings!$B$6*(1-MIN(100,IF(D285="",50,N(D285)))/100)+IFERROR(INDEX(Settings!$B$10:$B$14,MATCH(O285,Settings!$A$10:$A$14,0)),0),0))</f>
        <v/>
      </c>
      <c r="Q285">
        <f>IF(OR(A285="",G285=""),"",COUNTIFS($M$3:$M$1002,M285,$G$3:$G$1002,"&lt;&gt;"&amp;SUBSTITUTE(SUBSTITUTE(G285,"?","~?"),"*","~*"),$G$3:$G$1002,"?*"))</f>
        <v/>
      </c>
      <c r="R285">
        <f>IF(Q285="","",IF(Q285&gt;0,"Yes","No"))</f>
        <v/>
      </c>
      <c r="S285">
        <f>IF(G285="","",COUNTIFS($G$3:$G$1002,SUBSTITUTE(SUBSTITUTE(G285,"?","~?"),"*","~*"),$J$3:$J$1002,"Primary"))</f>
        <v/>
      </c>
      <c r="T285">
        <f>IF(S285="","",IF(S285&gt;Settings!$B$4,"Yes","No"))</f>
        <v/>
      </c>
      <c r="U285">
        <f>IF(OR(G285="",B285=""),"",IF(COUNTIFS($G$3:$G$1002,SUBSTITUTE(SUBSTITUTE(G285,"?","~?"),"*","~*"),$B$3:$B$1002,"&lt;&gt;"&amp;SUBSTITUTE(SUBSTITUTE(B285,"?","~?"),"*","~*"),$B$3:$B$1002,"?*")&gt;0,"Yes","No"))</f>
        <v/>
      </c>
      <c r="V285">
        <f>IF(OR(G285="",I285="",O285="",O285="Unclassified"),"",IFERROR(INDEX(Settings!$E$5:$H$16,MATCH(I285,Settings!$D$5:$D$16,0),MATCH(O285,Settings!$E$4:$H$4,0)),"Check"))</f>
        <v/>
      </c>
      <c r="W285">
        <f>IF(V285="","",IF(V285="No","Yes","No"))</f>
        <v/>
      </c>
      <c r="X285">
        <f>IF(OR(E285="",G285=""),"",IF(LOWER(IF(RIGHT(TRIM(E285),1)="/",LEFT(TRIM(E285),LEN(TRIM(E285))-1),TRIM(E285)))&lt;&gt;LOWER(IF(RIGHT(TRIM(G285),1)="/",LEFT(TRIM(G285),LEN(TRIM(G285))-1),TRIM(G285))),"Yes","No"))</f>
        <v/>
      </c>
      <c r="Y285">
        <f>IF(A285="","",(N(Q285)&gt;0)+(T285="Yes")+(U285="Yes")+(W285="Yes")+(X285="Yes"))</f>
        <v/>
      </c>
      <c r="Z285">
        <f>IF(A285="","",IF(G285="","Not mapped",IF(Y285=0,"OK",MID(IF(N(Q285)&gt;0,"; Cannibalisation","")&amp;IF(T285="Yes","; Too many primary keywords on URL","")&amp;IF(U285="Yes","; URL spans 2+ clusters","")&amp;IF(W285="Yes","; Intent mismatch","")&amp;IF(X285="Yes","; Ranking URL is not the target",""),3,300))))</f>
        <v/>
      </c>
      <c r="AA285">
        <f>IF(G285="","",IF(COUNTIF($G$3:G285,SUBSTITUTE(SUBSTITUTE(G285,"?","~?"),"*","~*"))=1,MAX($AA$2:AA284)+1,""))</f>
        <v/>
      </c>
      <c r="AB285">
        <f>IF(B285="","",IF(COUNTIF($B$3:B285,SUBSTITUTE(SUBSTITUTE(B285,"?","~?"),"*","~*"))=1,MAX($AB$2:AB284)+1,""))</f>
        <v/>
      </c>
    </row>
    <row r="286">
      <c r="M286">
        <f>IF(A286="","",LOWER(TRIM(SUBSTITUTE(SUBSTITUTE(A286,"?",""),"*",""))))</f>
        <v/>
      </c>
      <c r="N286">
        <f>IF(M286="","",IF(SUMPRODUCT(ISNUMBER(SEARCH(" "&amp;Settings!$L$5:$L$124&amp;" "," "&amp;M286&amp;" "))*(Settings!$K$5:$K$124="Navigational")*(Settings!$L$5:$L$124&lt;&gt;""))&gt;0,"Navigational",IF(SUMPRODUCT(ISNUMBER(SEARCH(" "&amp;Settings!$L$5:$L$124&amp;" "," "&amp;M286&amp;" "))*(Settings!$K$5:$K$124="Transactional")*(Settings!$L$5:$L$124&lt;&gt;""))&gt;0,"Transactional",IF(SUMPRODUCT(ISNUMBER(SEARCH(" "&amp;Settings!$L$5:$L$124&amp;" "," "&amp;M286&amp;" "))*(Settings!$K$5:$K$124="Commercial")*(Settings!$L$5:$L$124&lt;&gt;""))&gt;0,"Commercial",IF(SUMPRODUCT(ISNUMBER(SEARCH(" "&amp;Settings!$L$5:$L$124&amp;" "," "&amp;M286&amp;" "))*(Settings!$K$5:$K$124="Informational")*(Settings!$L$5:$L$124&lt;&gt;""))&gt;0,"Informational","Unclassified")))))</f>
        <v/>
      </c>
      <c r="O286">
        <f>IF(A286="","",IF(K286&lt;&gt;"",PROPER(K286),N286))</f>
        <v/>
      </c>
      <c r="P286">
        <f>IF(A286="","",ROUND(Settings!$B$5*MIN(1,LOG10(N(C286)+1)/LOG10(Settings!$B$7+1))+Settings!$B$6*(1-MIN(100,IF(D286="",50,N(D286)))/100)+IFERROR(INDEX(Settings!$B$10:$B$14,MATCH(O286,Settings!$A$10:$A$14,0)),0),0))</f>
        <v/>
      </c>
      <c r="Q286">
        <f>IF(OR(A286="",G286=""),"",COUNTIFS($M$3:$M$1002,M286,$G$3:$G$1002,"&lt;&gt;"&amp;SUBSTITUTE(SUBSTITUTE(G286,"?","~?"),"*","~*"),$G$3:$G$1002,"?*"))</f>
        <v/>
      </c>
      <c r="R286">
        <f>IF(Q286="","",IF(Q286&gt;0,"Yes","No"))</f>
        <v/>
      </c>
      <c r="S286">
        <f>IF(G286="","",COUNTIFS($G$3:$G$1002,SUBSTITUTE(SUBSTITUTE(G286,"?","~?"),"*","~*"),$J$3:$J$1002,"Primary"))</f>
        <v/>
      </c>
      <c r="T286">
        <f>IF(S286="","",IF(S286&gt;Settings!$B$4,"Yes","No"))</f>
        <v/>
      </c>
      <c r="U286">
        <f>IF(OR(G286="",B286=""),"",IF(COUNTIFS($G$3:$G$1002,SUBSTITUTE(SUBSTITUTE(G286,"?","~?"),"*","~*"),$B$3:$B$1002,"&lt;&gt;"&amp;SUBSTITUTE(SUBSTITUTE(B286,"?","~?"),"*","~*"),$B$3:$B$1002,"?*")&gt;0,"Yes","No"))</f>
        <v/>
      </c>
      <c r="V286">
        <f>IF(OR(G286="",I286="",O286="",O286="Unclassified"),"",IFERROR(INDEX(Settings!$E$5:$H$16,MATCH(I286,Settings!$D$5:$D$16,0),MATCH(O286,Settings!$E$4:$H$4,0)),"Check"))</f>
        <v/>
      </c>
      <c r="W286">
        <f>IF(V286="","",IF(V286="No","Yes","No"))</f>
        <v/>
      </c>
      <c r="X286">
        <f>IF(OR(E286="",G286=""),"",IF(LOWER(IF(RIGHT(TRIM(E286),1)="/",LEFT(TRIM(E286),LEN(TRIM(E286))-1),TRIM(E286)))&lt;&gt;LOWER(IF(RIGHT(TRIM(G286),1)="/",LEFT(TRIM(G286),LEN(TRIM(G286))-1),TRIM(G286))),"Yes","No"))</f>
        <v/>
      </c>
      <c r="Y286">
        <f>IF(A286="","",(N(Q286)&gt;0)+(T286="Yes")+(U286="Yes")+(W286="Yes")+(X286="Yes"))</f>
        <v/>
      </c>
      <c r="Z286">
        <f>IF(A286="","",IF(G286="","Not mapped",IF(Y286=0,"OK",MID(IF(N(Q286)&gt;0,"; Cannibalisation","")&amp;IF(T286="Yes","; Too many primary keywords on URL","")&amp;IF(U286="Yes","; URL spans 2+ clusters","")&amp;IF(W286="Yes","; Intent mismatch","")&amp;IF(X286="Yes","; Ranking URL is not the target",""),3,300))))</f>
        <v/>
      </c>
      <c r="AA286">
        <f>IF(G286="","",IF(COUNTIF($G$3:G286,SUBSTITUTE(SUBSTITUTE(G286,"?","~?"),"*","~*"))=1,MAX($AA$2:AA285)+1,""))</f>
        <v/>
      </c>
      <c r="AB286">
        <f>IF(B286="","",IF(COUNTIF($B$3:B286,SUBSTITUTE(SUBSTITUTE(B286,"?","~?"),"*","~*"))=1,MAX($AB$2:AB285)+1,""))</f>
        <v/>
      </c>
    </row>
    <row r="287">
      <c r="M287">
        <f>IF(A287="","",LOWER(TRIM(SUBSTITUTE(SUBSTITUTE(A287,"?",""),"*",""))))</f>
        <v/>
      </c>
      <c r="N287">
        <f>IF(M287="","",IF(SUMPRODUCT(ISNUMBER(SEARCH(" "&amp;Settings!$L$5:$L$124&amp;" "," "&amp;M287&amp;" "))*(Settings!$K$5:$K$124="Navigational")*(Settings!$L$5:$L$124&lt;&gt;""))&gt;0,"Navigational",IF(SUMPRODUCT(ISNUMBER(SEARCH(" "&amp;Settings!$L$5:$L$124&amp;" "," "&amp;M287&amp;" "))*(Settings!$K$5:$K$124="Transactional")*(Settings!$L$5:$L$124&lt;&gt;""))&gt;0,"Transactional",IF(SUMPRODUCT(ISNUMBER(SEARCH(" "&amp;Settings!$L$5:$L$124&amp;" "," "&amp;M287&amp;" "))*(Settings!$K$5:$K$124="Commercial")*(Settings!$L$5:$L$124&lt;&gt;""))&gt;0,"Commercial",IF(SUMPRODUCT(ISNUMBER(SEARCH(" "&amp;Settings!$L$5:$L$124&amp;" "," "&amp;M287&amp;" "))*(Settings!$K$5:$K$124="Informational")*(Settings!$L$5:$L$124&lt;&gt;""))&gt;0,"Informational","Unclassified")))))</f>
        <v/>
      </c>
      <c r="O287">
        <f>IF(A287="","",IF(K287&lt;&gt;"",PROPER(K287),N287))</f>
        <v/>
      </c>
      <c r="P287">
        <f>IF(A287="","",ROUND(Settings!$B$5*MIN(1,LOG10(N(C287)+1)/LOG10(Settings!$B$7+1))+Settings!$B$6*(1-MIN(100,IF(D287="",50,N(D287)))/100)+IFERROR(INDEX(Settings!$B$10:$B$14,MATCH(O287,Settings!$A$10:$A$14,0)),0),0))</f>
        <v/>
      </c>
      <c r="Q287">
        <f>IF(OR(A287="",G287=""),"",COUNTIFS($M$3:$M$1002,M287,$G$3:$G$1002,"&lt;&gt;"&amp;SUBSTITUTE(SUBSTITUTE(G287,"?","~?"),"*","~*"),$G$3:$G$1002,"?*"))</f>
        <v/>
      </c>
      <c r="R287">
        <f>IF(Q287="","",IF(Q287&gt;0,"Yes","No"))</f>
        <v/>
      </c>
      <c r="S287">
        <f>IF(G287="","",COUNTIFS($G$3:$G$1002,SUBSTITUTE(SUBSTITUTE(G287,"?","~?"),"*","~*"),$J$3:$J$1002,"Primary"))</f>
        <v/>
      </c>
      <c r="T287">
        <f>IF(S287="","",IF(S287&gt;Settings!$B$4,"Yes","No"))</f>
        <v/>
      </c>
      <c r="U287">
        <f>IF(OR(G287="",B287=""),"",IF(COUNTIFS($G$3:$G$1002,SUBSTITUTE(SUBSTITUTE(G287,"?","~?"),"*","~*"),$B$3:$B$1002,"&lt;&gt;"&amp;SUBSTITUTE(SUBSTITUTE(B287,"?","~?"),"*","~*"),$B$3:$B$1002,"?*")&gt;0,"Yes","No"))</f>
        <v/>
      </c>
      <c r="V287">
        <f>IF(OR(G287="",I287="",O287="",O287="Unclassified"),"",IFERROR(INDEX(Settings!$E$5:$H$16,MATCH(I287,Settings!$D$5:$D$16,0),MATCH(O287,Settings!$E$4:$H$4,0)),"Check"))</f>
        <v/>
      </c>
      <c r="W287">
        <f>IF(V287="","",IF(V287="No","Yes","No"))</f>
        <v/>
      </c>
      <c r="X287">
        <f>IF(OR(E287="",G287=""),"",IF(LOWER(IF(RIGHT(TRIM(E287),1)="/",LEFT(TRIM(E287),LEN(TRIM(E287))-1),TRIM(E287)))&lt;&gt;LOWER(IF(RIGHT(TRIM(G287),1)="/",LEFT(TRIM(G287),LEN(TRIM(G287))-1),TRIM(G287))),"Yes","No"))</f>
        <v/>
      </c>
      <c r="Y287">
        <f>IF(A287="","",(N(Q287)&gt;0)+(T287="Yes")+(U287="Yes")+(W287="Yes")+(X287="Yes"))</f>
        <v/>
      </c>
      <c r="Z287">
        <f>IF(A287="","",IF(G287="","Not mapped",IF(Y287=0,"OK",MID(IF(N(Q287)&gt;0,"; Cannibalisation","")&amp;IF(T287="Yes","; Too many primary keywords on URL","")&amp;IF(U287="Yes","; URL spans 2+ clusters","")&amp;IF(W287="Yes","; Intent mismatch","")&amp;IF(X287="Yes","; Ranking URL is not the target",""),3,300))))</f>
        <v/>
      </c>
      <c r="AA287">
        <f>IF(G287="","",IF(COUNTIF($G$3:G287,SUBSTITUTE(SUBSTITUTE(G287,"?","~?"),"*","~*"))=1,MAX($AA$2:AA286)+1,""))</f>
        <v/>
      </c>
      <c r="AB287">
        <f>IF(B287="","",IF(COUNTIF($B$3:B287,SUBSTITUTE(SUBSTITUTE(B287,"?","~?"),"*","~*"))=1,MAX($AB$2:AB286)+1,""))</f>
        <v/>
      </c>
    </row>
    <row r="288">
      <c r="M288">
        <f>IF(A288="","",LOWER(TRIM(SUBSTITUTE(SUBSTITUTE(A288,"?",""),"*",""))))</f>
        <v/>
      </c>
      <c r="N288">
        <f>IF(M288="","",IF(SUMPRODUCT(ISNUMBER(SEARCH(" "&amp;Settings!$L$5:$L$124&amp;" "," "&amp;M288&amp;" "))*(Settings!$K$5:$K$124="Navigational")*(Settings!$L$5:$L$124&lt;&gt;""))&gt;0,"Navigational",IF(SUMPRODUCT(ISNUMBER(SEARCH(" "&amp;Settings!$L$5:$L$124&amp;" "," "&amp;M288&amp;" "))*(Settings!$K$5:$K$124="Transactional")*(Settings!$L$5:$L$124&lt;&gt;""))&gt;0,"Transactional",IF(SUMPRODUCT(ISNUMBER(SEARCH(" "&amp;Settings!$L$5:$L$124&amp;" "," "&amp;M288&amp;" "))*(Settings!$K$5:$K$124="Commercial")*(Settings!$L$5:$L$124&lt;&gt;""))&gt;0,"Commercial",IF(SUMPRODUCT(ISNUMBER(SEARCH(" "&amp;Settings!$L$5:$L$124&amp;" "," "&amp;M288&amp;" "))*(Settings!$K$5:$K$124="Informational")*(Settings!$L$5:$L$124&lt;&gt;""))&gt;0,"Informational","Unclassified")))))</f>
        <v/>
      </c>
      <c r="O288">
        <f>IF(A288="","",IF(K288&lt;&gt;"",PROPER(K288),N288))</f>
        <v/>
      </c>
      <c r="P288">
        <f>IF(A288="","",ROUND(Settings!$B$5*MIN(1,LOG10(N(C288)+1)/LOG10(Settings!$B$7+1))+Settings!$B$6*(1-MIN(100,IF(D288="",50,N(D288)))/100)+IFERROR(INDEX(Settings!$B$10:$B$14,MATCH(O288,Settings!$A$10:$A$14,0)),0),0))</f>
        <v/>
      </c>
      <c r="Q288">
        <f>IF(OR(A288="",G288=""),"",COUNTIFS($M$3:$M$1002,M288,$G$3:$G$1002,"&lt;&gt;"&amp;SUBSTITUTE(SUBSTITUTE(G288,"?","~?"),"*","~*"),$G$3:$G$1002,"?*"))</f>
        <v/>
      </c>
      <c r="R288">
        <f>IF(Q288="","",IF(Q288&gt;0,"Yes","No"))</f>
        <v/>
      </c>
      <c r="S288">
        <f>IF(G288="","",COUNTIFS($G$3:$G$1002,SUBSTITUTE(SUBSTITUTE(G288,"?","~?"),"*","~*"),$J$3:$J$1002,"Primary"))</f>
        <v/>
      </c>
      <c r="T288">
        <f>IF(S288="","",IF(S288&gt;Settings!$B$4,"Yes","No"))</f>
        <v/>
      </c>
      <c r="U288">
        <f>IF(OR(G288="",B288=""),"",IF(COUNTIFS($G$3:$G$1002,SUBSTITUTE(SUBSTITUTE(G288,"?","~?"),"*","~*"),$B$3:$B$1002,"&lt;&gt;"&amp;SUBSTITUTE(SUBSTITUTE(B288,"?","~?"),"*","~*"),$B$3:$B$1002,"?*")&gt;0,"Yes","No"))</f>
        <v/>
      </c>
      <c r="V288">
        <f>IF(OR(G288="",I288="",O288="",O288="Unclassified"),"",IFERROR(INDEX(Settings!$E$5:$H$16,MATCH(I288,Settings!$D$5:$D$16,0),MATCH(O288,Settings!$E$4:$H$4,0)),"Check"))</f>
        <v/>
      </c>
      <c r="W288">
        <f>IF(V288="","",IF(V288="No","Yes","No"))</f>
        <v/>
      </c>
      <c r="X288">
        <f>IF(OR(E288="",G288=""),"",IF(LOWER(IF(RIGHT(TRIM(E288),1)="/",LEFT(TRIM(E288),LEN(TRIM(E288))-1),TRIM(E288)))&lt;&gt;LOWER(IF(RIGHT(TRIM(G288),1)="/",LEFT(TRIM(G288),LEN(TRIM(G288))-1),TRIM(G288))),"Yes","No"))</f>
        <v/>
      </c>
      <c r="Y288">
        <f>IF(A288="","",(N(Q288)&gt;0)+(T288="Yes")+(U288="Yes")+(W288="Yes")+(X288="Yes"))</f>
        <v/>
      </c>
      <c r="Z288">
        <f>IF(A288="","",IF(G288="","Not mapped",IF(Y288=0,"OK",MID(IF(N(Q288)&gt;0,"; Cannibalisation","")&amp;IF(T288="Yes","; Too many primary keywords on URL","")&amp;IF(U288="Yes","; URL spans 2+ clusters","")&amp;IF(W288="Yes","; Intent mismatch","")&amp;IF(X288="Yes","; Ranking URL is not the target",""),3,300))))</f>
        <v/>
      </c>
      <c r="AA288">
        <f>IF(G288="","",IF(COUNTIF($G$3:G288,SUBSTITUTE(SUBSTITUTE(G288,"?","~?"),"*","~*"))=1,MAX($AA$2:AA287)+1,""))</f>
        <v/>
      </c>
      <c r="AB288">
        <f>IF(B288="","",IF(COUNTIF($B$3:B288,SUBSTITUTE(SUBSTITUTE(B288,"?","~?"),"*","~*"))=1,MAX($AB$2:AB287)+1,""))</f>
        <v/>
      </c>
    </row>
    <row r="289">
      <c r="M289">
        <f>IF(A289="","",LOWER(TRIM(SUBSTITUTE(SUBSTITUTE(A289,"?",""),"*",""))))</f>
        <v/>
      </c>
      <c r="N289">
        <f>IF(M289="","",IF(SUMPRODUCT(ISNUMBER(SEARCH(" "&amp;Settings!$L$5:$L$124&amp;" "," "&amp;M289&amp;" "))*(Settings!$K$5:$K$124="Navigational")*(Settings!$L$5:$L$124&lt;&gt;""))&gt;0,"Navigational",IF(SUMPRODUCT(ISNUMBER(SEARCH(" "&amp;Settings!$L$5:$L$124&amp;" "," "&amp;M289&amp;" "))*(Settings!$K$5:$K$124="Transactional")*(Settings!$L$5:$L$124&lt;&gt;""))&gt;0,"Transactional",IF(SUMPRODUCT(ISNUMBER(SEARCH(" "&amp;Settings!$L$5:$L$124&amp;" "," "&amp;M289&amp;" "))*(Settings!$K$5:$K$124="Commercial")*(Settings!$L$5:$L$124&lt;&gt;""))&gt;0,"Commercial",IF(SUMPRODUCT(ISNUMBER(SEARCH(" "&amp;Settings!$L$5:$L$124&amp;" "," "&amp;M289&amp;" "))*(Settings!$K$5:$K$124="Informational")*(Settings!$L$5:$L$124&lt;&gt;""))&gt;0,"Informational","Unclassified")))))</f>
        <v/>
      </c>
      <c r="O289">
        <f>IF(A289="","",IF(K289&lt;&gt;"",PROPER(K289),N289))</f>
        <v/>
      </c>
      <c r="P289">
        <f>IF(A289="","",ROUND(Settings!$B$5*MIN(1,LOG10(N(C289)+1)/LOG10(Settings!$B$7+1))+Settings!$B$6*(1-MIN(100,IF(D289="",50,N(D289)))/100)+IFERROR(INDEX(Settings!$B$10:$B$14,MATCH(O289,Settings!$A$10:$A$14,0)),0),0))</f>
        <v/>
      </c>
      <c r="Q289">
        <f>IF(OR(A289="",G289=""),"",COUNTIFS($M$3:$M$1002,M289,$G$3:$G$1002,"&lt;&gt;"&amp;SUBSTITUTE(SUBSTITUTE(G289,"?","~?"),"*","~*"),$G$3:$G$1002,"?*"))</f>
        <v/>
      </c>
      <c r="R289">
        <f>IF(Q289="","",IF(Q289&gt;0,"Yes","No"))</f>
        <v/>
      </c>
      <c r="S289">
        <f>IF(G289="","",COUNTIFS($G$3:$G$1002,SUBSTITUTE(SUBSTITUTE(G289,"?","~?"),"*","~*"),$J$3:$J$1002,"Primary"))</f>
        <v/>
      </c>
      <c r="T289">
        <f>IF(S289="","",IF(S289&gt;Settings!$B$4,"Yes","No"))</f>
        <v/>
      </c>
      <c r="U289">
        <f>IF(OR(G289="",B289=""),"",IF(COUNTIFS($G$3:$G$1002,SUBSTITUTE(SUBSTITUTE(G289,"?","~?"),"*","~*"),$B$3:$B$1002,"&lt;&gt;"&amp;SUBSTITUTE(SUBSTITUTE(B289,"?","~?"),"*","~*"),$B$3:$B$1002,"?*")&gt;0,"Yes","No"))</f>
        <v/>
      </c>
      <c r="V289">
        <f>IF(OR(G289="",I289="",O289="",O289="Unclassified"),"",IFERROR(INDEX(Settings!$E$5:$H$16,MATCH(I289,Settings!$D$5:$D$16,0),MATCH(O289,Settings!$E$4:$H$4,0)),"Check"))</f>
        <v/>
      </c>
      <c r="W289">
        <f>IF(V289="","",IF(V289="No","Yes","No"))</f>
        <v/>
      </c>
      <c r="X289">
        <f>IF(OR(E289="",G289=""),"",IF(LOWER(IF(RIGHT(TRIM(E289),1)="/",LEFT(TRIM(E289),LEN(TRIM(E289))-1),TRIM(E289)))&lt;&gt;LOWER(IF(RIGHT(TRIM(G289),1)="/",LEFT(TRIM(G289),LEN(TRIM(G289))-1),TRIM(G289))),"Yes","No"))</f>
        <v/>
      </c>
      <c r="Y289">
        <f>IF(A289="","",(N(Q289)&gt;0)+(T289="Yes")+(U289="Yes")+(W289="Yes")+(X289="Yes"))</f>
        <v/>
      </c>
      <c r="Z289">
        <f>IF(A289="","",IF(G289="","Not mapped",IF(Y289=0,"OK",MID(IF(N(Q289)&gt;0,"; Cannibalisation","")&amp;IF(T289="Yes","; Too many primary keywords on URL","")&amp;IF(U289="Yes","; URL spans 2+ clusters","")&amp;IF(W289="Yes","; Intent mismatch","")&amp;IF(X289="Yes","; Ranking URL is not the target",""),3,300))))</f>
        <v/>
      </c>
      <c r="AA289">
        <f>IF(G289="","",IF(COUNTIF($G$3:G289,SUBSTITUTE(SUBSTITUTE(G289,"?","~?"),"*","~*"))=1,MAX($AA$2:AA288)+1,""))</f>
        <v/>
      </c>
      <c r="AB289">
        <f>IF(B289="","",IF(COUNTIF($B$3:B289,SUBSTITUTE(SUBSTITUTE(B289,"?","~?"),"*","~*"))=1,MAX($AB$2:AB288)+1,""))</f>
        <v/>
      </c>
    </row>
    <row r="290">
      <c r="M290">
        <f>IF(A290="","",LOWER(TRIM(SUBSTITUTE(SUBSTITUTE(A290,"?",""),"*",""))))</f>
        <v/>
      </c>
      <c r="N290">
        <f>IF(M290="","",IF(SUMPRODUCT(ISNUMBER(SEARCH(" "&amp;Settings!$L$5:$L$124&amp;" "," "&amp;M290&amp;" "))*(Settings!$K$5:$K$124="Navigational")*(Settings!$L$5:$L$124&lt;&gt;""))&gt;0,"Navigational",IF(SUMPRODUCT(ISNUMBER(SEARCH(" "&amp;Settings!$L$5:$L$124&amp;" "," "&amp;M290&amp;" "))*(Settings!$K$5:$K$124="Transactional")*(Settings!$L$5:$L$124&lt;&gt;""))&gt;0,"Transactional",IF(SUMPRODUCT(ISNUMBER(SEARCH(" "&amp;Settings!$L$5:$L$124&amp;" "," "&amp;M290&amp;" "))*(Settings!$K$5:$K$124="Commercial")*(Settings!$L$5:$L$124&lt;&gt;""))&gt;0,"Commercial",IF(SUMPRODUCT(ISNUMBER(SEARCH(" "&amp;Settings!$L$5:$L$124&amp;" "," "&amp;M290&amp;" "))*(Settings!$K$5:$K$124="Informational")*(Settings!$L$5:$L$124&lt;&gt;""))&gt;0,"Informational","Unclassified")))))</f>
        <v/>
      </c>
      <c r="O290">
        <f>IF(A290="","",IF(K290&lt;&gt;"",PROPER(K290),N290))</f>
        <v/>
      </c>
      <c r="P290">
        <f>IF(A290="","",ROUND(Settings!$B$5*MIN(1,LOG10(N(C290)+1)/LOG10(Settings!$B$7+1))+Settings!$B$6*(1-MIN(100,IF(D290="",50,N(D290)))/100)+IFERROR(INDEX(Settings!$B$10:$B$14,MATCH(O290,Settings!$A$10:$A$14,0)),0),0))</f>
        <v/>
      </c>
      <c r="Q290">
        <f>IF(OR(A290="",G290=""),"",COUNTIFS($M$3:$M$1002,M290,$G$3:$G$1002,"&lt;&gt;"&amp;SUBSTITUTE(SUBSTITUTE(G290,"?","~?"),"*","~*"),$G$3:$G$1002,"?*"))</f>
        <v/>
      </c>
      <c r="R290">
        <f>IF(Q290="","",IF(Q290&gt;0,"Yes","No"))</f>
        <v/>
      </c>
      <c r="S290">
        <f>IF(G290="","",COUNTIFS($G$3:$G$1002,SUBSTITUTE(SUBSTITUTE(G290,"?","~?"),"*","~*"),$J$3:$J$1002,"Primary"))</f>
        <v/>
      </c>
      <c r="T290">
        <f>IF(S290="","",IF(S290&gt;Settings!$B$4,"Yes","No"))</f>
        <v/>
      </c>
      <c r="U290">
        <f>IF(OR(G290="",B290=""),"",IF(COUNTIFS($G$3:$G$1002,SUBSTITUTE(SUBSTITUTE(G290,"?","~?"),"*","~*"),$B$3:$B$1002,"&lt;&gt;"&amp;SUBSTITUTE(SUBSTITUTE(B290,"?","~?"),"*","~*"),$B$3:$B$1002,"?*")&gt;0,"Yes","No"))</f>
        <v/>
      </c>
      <c r="V290">
        <f>IF(OR(G290="",I290="",O290="",O290="Unclassified"),"",IFERROR(INDEX(Settings!$E$5:$H$16,MATCH(I290,Settings!$D$5:$D$16,0),MATCH(O290,Settings!$E$4:$H$4,0)),"Check"))</f>
        <v/>
      </c>
      <c r="W290">
        <f>IF(V290="","",IF(V290="No","Yes","No"))</f>
        <v/>
      </c>
      <c r="X290">
        <f>IF(OR(E290="",G290=""),"",IF(LOWER(IF(RIGHT(TRIM(E290),1)="/",LEFT(TRIM(E290),LEN(TRIM(E290))-1),TRIM(E290)))&lt;&gt;LOWER(IF(RIGHT(TRIM(G290),1)="/",LEFT(TRIM(G290),LEN(TRIM(G290))-1),TRIM(G290))),"Yes","No"))</f>
        <v/>
      </c>
      <c r="Y290">
        <f>IF(A290="","",(N(Q290)&gt;0)+(T290="Yes")+(U290="Yes")+(W290="Yes")+(X290="Yes"))</f>
        <v/>
      </c>
      <c r="Z290">
        <f>IF(A290="","",IF(G290="","Not mapped",IF(Y290=0,"OK",MID(IF(N(Q290)&gt;0,"; Cannibalisation","")&amp;IF(T290="Yes","; Too many primary keywords on URL","")&amp;IF(U290="Yes","; URL spans 2+ clusters","")&amp;IF(W290="Yes","; Intent mismatch","")&amp;IF(X290="Yes","; Ranking URL is not the target",""),3,300))))</f>
        <v/>
      </c>
      <c r="AA290">
        <f>IF(G290="","",IF(COUNTIF($G$3:G290,SUBSTITUTE(SUBSTITUTE(G290,"?","~?"),"*","~*"))=1,MAX($AA$2:AA289)+1,""))</f>
        <v/>
      </c>
      <c r="AB290">
        <f>IF(B290="","",IF(COUNTIF($B$3:B290,SUBSTITUTE(SUBSTITUTE(B290,"?","~?"),"*","~*"))=1,MAX($AB$2:AB289)+1,""))</f>
        <v/>
      </c>
    </row>
    <row r="291">
      <c r="M291">
        <f>IF(A291="","",LOWER(TRIM(SUBSTITUTE(SUBSTITUTE(A291,"?",""),"*",""))))</f>
        <v/>
      </c>
      <c r="N291">
        <f>IF(M291="","",IF(SUMPRODUCT(ISNUMBER(SEARCH(" "&amp;Settings!$L$5:$L$124&amp;" "," "&amp;M291&amp;" "))*(Settings!$K$5:$K$124="Navigational")*(Settings!$L$5:$L$124&lt;&gt;""))&gt;0,"Navigational",IF(SUMPRODUCT(ISNUMBER(SEARCH(" "&amp;Settings!$L$5:$L$124&amp;" "," "&amp;M291&amp;" "))*(Settings!$K$5:$K$124="Transactional")*(Settings!$L$5:$L$124&lt;&gt;""))&gt;0,"Transactional",IF(SUMPRODUCT(ISNUMBER(SEARCH(" "&amp;Settings!$L$5:$L$124&amp;" "," "&amp;M291&amp;" "))*(Settings!$K$5:$K$124="Commercial")*(Settings!$L$5:$L$124&lt;&gt;""))&gt;0,"Commercial",IF(SUMPRODUCT(ISNUMBER(SEARCH(" "&amp;Settings!$L$5:$L$124&amp;" "," "&amp;M291&amp;" "))*(Settings!$K$5:$K$124="Informational")*(Settings!$L$5:$L$124&lt;&gt;""))&gt;0,"Informational","Unclassified")))))</f>
        <v/>
      </c>
      <c r="O291">
        <f>IF(A291="","",IF(K291&lt;&gt;"",PROPER(K291),N291))</f>
        <v/>
      </c>
      <c r="P291">
        <f>IF(A291="","",ROUND(Settings!$B$5*MIN(1,LOG10(N(C291)+1)/LOG10(Settings!$B$7+1))+Settings!$B$6*(1-MIN(100,IF(D291="",50,N(D291)))/100)+IFERROR(INDEX(Settings!$B$10:$B$14,MATCH(O291,Settings!$A$10:$A$14,0)),0),0))</f>
        <v/>
      </c>
      <c r="Q291">
        <f>IF(OR(A291="",G291=""),"",COUNTIFS($M$3:$M$1002,M291,$G$3:$G$1002,"&lt;&gt;"&amp;SUBSTITUTE(SUBSTITUTE(G291,"?","~?"),"*","~*"),$G$3:$G$1002,"?*"))</f>
        <v/>
      </c>
      <c r="R291">
        <f>IF(Q291="","",IF(Q291&gt;0,"Yes","No"))</f>
        <v/>
      </c>
      <c r="S291">
        <f>IF(G291="","",COUNTIFS($G$3:$G$1002,SUBSTITUTE(SUBSTITUTE(G291,"?","~?"),"*","~*"),$J$3:$J$1002,"Primary"))</f>
        <v/>
      </c>
      <c r="T291">
        <f>IF(S291="","",IF(S291&gt;Settings!$B$4,"Yes","No"))</f>
        <v/>
      </c>
      <c r="U291">
        <f>IF(OR(G291="",B291=""),"",IF(COUNTIFS($G$3:$G$1002,SUBSTITUTE(SUBSTITUTE(G291,"?","~?"),"*","~*"),$B$3:$B$1002,"&lt;&gt;"&amp;SUBSTITUTE(SUBSTITUTE(B291,"?","~?"),"*","~*"),$B$3:$B$1002,"?*")&gt;0,"Yes","No"))</f>
        <v/>
      </c>
      <c r="V291">
        <f>IF(OR(G291="",I291="",O291="",O291="Unclassified"),"",IFERROR(INDEX(Settings!$E$5:$H$16,MATCH(I291,Settings!$D$5:$D$16,0),MATCH(O291,Settings!$E$4:$H$4,0)),"Check"))</f>
        <v/>
      </c>
      <c r="W291">
        <f>IF(V291="","",IF(V291="No","Yes","No"))</f>
        <v/>
      </c>
      <c r="X291">
        <f>IF(OR(E291="",G291=""),"",IF(LOWER(IF(RIGHT(TRIM(E291),1)="/",LEFT(TRIM(E291),LEN(TRIM(E291))-1),TRIM(E291)))&lt;&gt;LOWER(IF(RIGHT(TRIM(G291),1)="/",LEFT(TRIM(G291),LEN(TRIM(G291))-1),TRIM(G291))),"Yes","No"))</f>
        <v/>
      </c>
      <c r="Y291">
        <f>IF(A291="","",(N(Q291)&gt;0)+(T291="Yes")+(U291="Yes")+(W291="Yes")+(X291="Yes"))</f>
        <v/>
      </c>
      <c r="Z291">
        <f>IF(A291="","",IF(G291="","Not mapped",IF(Y291=0,"OK",MID(IF(N(Q291)&gt;0,"; Cannibalisation","")&amp;IF(T291="Yes","; Too many primary keywords on URL","")&amp;IF(U291="Yes","; URL spans 2+ clusters","")&amp;IF(W291="Yes","; Intent mismatch","")&amp;IF(X291="Yes","; Ranking URL is not the target",""),3,300))))</f>
        <v/>
      </c>
      <c r="AA291">
        <f>IF(G291="","",IF(COUNTIF($G$3:G291,SUBSTITUTE(SUBSTITUTE(G291,"?","~?"),"*","~*"))=1,MAX($AA$2:AA290)+1,""))</f>
        <v/>
      </c>
      <c r="AB291">
        <f>IF(B291="","",IF(COUNTIF($B$3:B291,SUBSTITUTE(SUBSTITUTE(B291,"?","~?"),"*","~*"))=1,MAX($AB$2:AB290)+1,""))</f>
        <v/>
      </c>
    </row>
    <row r="292">
      <c r="M292">
        <f>IF(A292="","",LOWER(TRIM(SUBSTITUTE(SUBSTITUTE(A292,"?",""),"*",""))))</f>
        <v/>
      </c>
      <c r="N292">
        <f>IF(M292="","",IF(SUMPRODUCT(ISNUMBER(SEARCH(" "&amp;Settings!$L$5:$L$124&amp;" "," "&amp;M292&amp;" "))*(Settings!$K$5:$K$124="Navigational")*(Settings!$L$5:$L$124&lt;&gt;""))&gt;0,"Navigational",IF(SUMPRODUCT(ISNUMBER(SEARCH(" "&amp;Settings!$L$5:$L$124&amp;" "," "&amp;M292&amp;" "))*(Settings!$K$5:$K$124="Transactional")*(Settings!$L$5:$L$124&lt;&gt;""))&gt;0,"Transactional",IF(SUMPRODUCT(ISNUMBER(SEARCH(" "&amp;Settings!$L$5:$L$124&amp;" "," "&amp;M292&amp;" "))*(Settings!$K$5:$K$124="Commercial")*(Settings!$L$5:$L$124&lt;&gt;""))&gt;0,"Commercial",IF(SUMPRODUCT(ISNUMBER(SEARCH(" "&amp;Settings!$L$5:$L$124&amp;" "," "&amp;M292&amp;" "))*(Settings!$K$5:$K$124="Informational")*(Settings!$L$5:$L$124&lt;&gt;""))&gt;0,"Informational","Unclassified")))))</f>
        <v/>
      </c>
      <c r="O292">
        <f>IF(A292="","",IF(K292&lt;&gt;"",PROPER(K292),N292))</f>
        <v/>
      </c>
      <c r="P292">
        <f>IF(A292="","",ROUND(Settings!$B$5*MIN(1,LOG10(N(C292)+1)/LOG10(Settings!$B$7+1))+Settings!$B$6*(1-MIN(100,IF(D292="",50,N(D292)))/100)+IFERROR(INDEX(Settings!$B$10:$B$14,MATCH(O292,Settings!$A$10:$A$14,0)),0),0))</f>
        <v/>
      </c>
      <c r="Q292">
        <f>IF(OR(A292="",G292=""),"",COUNTIFS($M$3:$M$1002,M292,$G$3:$G$1002,"&lt;&gt;"&amp;SUBSTITUTE(SUBSTITUTE(G292,"?","~?"),"*","~*"),$G$3:$G$1002,"?*"))</f>
        <v/>
      </c>
      <c r="R292">
        <f>IF(Q292="","",IF(Q292&gt;0,"Yes","No"))</f>
        <v/>
      </c>
      <c r="S292">
        <f>IF(G292="","",COUNTIFS($G$3:$G$1002,SUBSTITUTE(SUBSTITUTE(G292,"?","~?"),"*","~*"),$J$3:$J$1002,"Primary"))</f>
        <v/>
      </c>
      <c r="T292">
        <f>IF(S292="","",IF(S292&gt;Settings!$B$4,"Yes","No"))</f>
        <v/>
      </c>
      <c r="U292">
        <f>IF(OR(G292="",B292=""),"",IF(COUNTIFS($G$3:$G$1002,SUBSTITUTE(SUBSTITUTE(G292,"?","~?"),"*","~*"),$B$3:$B$1002,"&lt;&gt;"&amp;SUBSTITUTE(SUBSTITUTE(B292,"?","~?"),"*","~*"),$B$3:$B$1002,"?*")&gt;0,"Yes","No"))</f>
        <v/>
      </c>
      <c r="V292">
        <f>IF(OR(G292="",I292="",O292="",O292="Unclassified"),"",IFERROR(INDEX(Settings!$E$5:$H$16,MATCH(I292,Settings!$D$5:$D$16,0),MATCH(O292,Settings!$E$4:$H$4,0)),"Check"))</f>
        <v/>
      </c>
      <c r="W292">
        <f>IF(V292="","",IF(V292="No","Yes","No"))</f>
        <v/>
      </c>
      <c r="X292">
        <f>IF(OR(E292="",G292=""),"",IF(LOWER(IF(RIGHT(TRIM(E292),1)="/",LEFT(TRIM(E292),LEN(TRIM(E292))-1),TRIM(E292)))&lt;&gt;LOWER(IF(RIGHT(TRIM(G292),1)="/",LEFT(TRIM(G292),LEN(TRIM(G292))-1),TRIM(G292))),"Yes","No"))</f>
        <v/>
      </c>
      <c r="Y292">
        <f>IF(A292="","",(N(Q292)&gt;0)+(T292="Yes")+(U292="Yes")+(W292="Yes")+(X292="Yes"))</f>
        <v/>
      </c>
      <c r="Z292">
        <f>IF(A292="","",IF(G292="","Not mapped",IF(Y292=0,"OK",MID(IF(N(Q292)&gt;0,"; Cannibalisation","")&amp;IF(T292="Yes","; Too many primary keywords on URL","")&amp;IF(U292="Yes","; URL spans 2+ clusters","")&amp;IF(W292="Yes","; Intent mismatch","")&amp;IF(X292="Yes","; Ranking URL is not the target",""),3,300))))</f>
        <v/>
      </c>
      <c r="AA292">
        <f>IF(G292="","",IF(COUNTIF($G$3:G292,SUBSTITUTE(SUBSTITUTE(G292,"?","~?"),"*","~*"))=1,MAX($AA$2:AA291)+1,""))</f>
        <v/>
      </c>
      <c r="AB292">
        <f>IF(B292="","",IF(COUNTIF($B$3:B292,SUBSTITUTE(SUBSTITUTE(B292,"?","~?"),"*","~*"))=1,MAX($AB$2:AB291)+1,""))</f>
        <v/>
      </c>
    </row>
    <row r="293">
      <c r="M293">
        <f>IF(A293="","",LOWER(TRIM(SUBSTITUTE(SUBSTITUTE(A293,"?",""),"*",""))))</f>
        <v/>
      </c>
      <c r="N293">
        <f>IF(M293="","",IF(SUMPRODUCT(ISNUMBER(SEARCH(" "&amp;Settings!$L$5:$L$124&amp;" "," "&amp;M293&amp;" "))*(Settings!$K$5:$K$124="Navigational")*(Settings!$L$5:$L$124&lt;&gt;""))&gt;0,"Navigational",IF(SUMPRODUCT(ISNUMBER(SEARCH(" "&amp;Settings!$L$5:$L$124&amp;" "," "&amp;M293&amp;" "))*(Settings!$K$5:$K$124="Transactional")*(Settings!$L$5:$L$124&lt;&gt;""))&gt;0,"Transactional",IF(SUMPRODUCT(ISNUMBER(SEARCH(" "&amp;Settings!$L$5:$L$124&amp;" "," "&amp;M293&amp;" "))*(Settings!$K$5:$K$124="Commercial")*(Settings!$L$5:$L$124&lt;&gt;""))&gt;0,"Commercial",IF(SUMPRODUCT(ISNUMBER(SEARCH(" "&amp;Settings!$L$5:$L$124&amp;" "," "&amp;M293&amp;" "))*(Settings!$K$5:$K$124="Informational")*(Settings!$L$5:$L$124&lt;&gt;""))&gt;0,"Informational","Unclassified")))))</f>
        <v/>
      </c>
      <c r="O293">
        <f>IF(A293="","",IF(K293&lt;&gt;"",PROPER(K293),N293))</f>
        <v/>
      </c>
      <c r="P293">
        <f>IF(A293="","",ROUND(Settings!$B$5*MIN(1,LOG10(N(C293)+1)/LOG10(Settings!$B$7+1))+Settings!$B$6*(1-MIN(100,IF(D293="",50,N(D293)))/100)+IFERROR(INDEX(Settings!$B$10:$B$14,MATCH(O293,Settings!$A$10:$A$14,0)),0),0))</f>
        <v/>
      </c>
      <c r="Q293">
        <f>IF(OR(A293="",G293=""),"",COUNTIFS($M$3:$M$1002,M293,$G$3:$G$1002,"&lt;&gt;"&amp;SUBSTITUTE(SUBSTITUTE(G293,"?","~?"),"*","~*"),$G$3:$G$1002,"?*"))</f>
        <v/>
      </c>
      <c r="R293">
        <f>IF(Q293="","",IF(Q293&gt;0,"Yes","No"))</f>
        <v/>
      </c>
      <c r="S293">
        <f>IF(G293="","",COUNTIFS($G$3:$G$1002,SUBSTITUTE(SUBSTITUTE(G293,"?","~?"),"*","~*"),$J$3:$J$1002,"Primary"))</f>
        <v/>
      </c>
      <c r="T293">
        <f>IF(S293="","",IF(S293&gt;Settings!$B$4,"Yes","No"))</f>
        <v/>
      </c>
      <c r="U293">
        <f>IF(OR(G293="",B293=""),"",IF(COUNTIFS($G$3:$G$1002,SUBSTITUTE(SUBSTITUTE(G293,"?","~?"),"*","~*"),$B$3:$B$1002,"&lt;&gt;"&amp;SUBSTITUTE(SUBSTITUTE(B293,"?","~?"),"*","~*"),$B$3:$B$1002,"?*")&gt;0,"Yes","No"))</f>
        <v/>
      </c>
      <c r="V293">
        <f>IF(OR(G293="",I293="",O293="",O293="Unclassified"),"",IFERROR(INDEX(Settings!$E$5:$H$16,MATCH(I293,Settings!$D$5:$D$16,0),MATCH(O293,Settings!$E$4:$H$4,0)),"Check"))</f>
        <v/>
      </c>
      <c r="W293">
        <f>IF(V293="","",IF(V293="No","Yes","No"))</f>
        <v/>
      </c>
      <c r="X293">
        <f>IF(OR(E293="",G293=""),"",IF(LOWER(IF(RIGHT(TRIM(E293),1)="/",LEFT(TRIM(E293),LEN(TRIM(E293))-1),TRIM(E293)))&lt;&gt;LOWER(IF(RIGHT(TRIM(G293),1)="/",LEFT(TRIM(G293),LEN(TRIM(G293))-1),TRIM(G293))),"Yes","No"))</f>
        <v/>
      </c>
      <c r="Y293">
        <f>IF(A293="","",(N(Q293)&gt;0)+(T293="Yes")+(U293="Yes")+(W293="Yes")+(X293="Yes"))</f>
        <v/>
      </c>
      <c r="Z293">
        <f>IF(A293="","",IF(G293="","Not mapped",IF(Y293=0,"OK",MID(IF(N(Q293)&gt;0,"; Cannibalisation","")&amp;IF(T293="Yes","; Too many primary keywords on URL","")&amp;IF(U293="Yes","; URL spans 2+ clusters","")&amp;IF(W293="Yes","; Intent mismatch","")&amp;IF(X293="Yes","; Ranking URL is not the target",""),3,300))))</f>
        <v/>
      </c>
      <c r="AA293">
        <f>IF(G293="","",IF(COUNTIF($G$3:G293,SUBSTITUTE(SUBSTITUTE(G293,"?","~?"),"*","~*"))=1,MAX($AA$2:AA292)+1,""))</f>
        <v/>
      </c>
      <c r="AB293">
        <f>IF(B293="","",IF(COUNTIF($B$3:B293,SUBSTITUTE(SUBSTITUTE(B293,"?","~?"),"*","~*"))=1,MAX($AB$2:AB292)+1,""))</f>
        <v/>
      </c>
    </row>
    <row r="294">
      <c r="M294">
        <f>IF(A294="","",LOWER(TRIM(SUBSTITUTE(SUBSTITUTE(A294,"?",""),"*",""))))</f>
        <v/>
      </c>
      <c r="N294">
        <f>IF(M294="","",IF(SUMPRODUCT(ISNUMBER(SEARCH(" "&amp;Settings!$L$5:$L$124&amp;" "," "&amp;M294&amp;" "))*(Settings!$K$5:$K$124="Navigational")*(Settings!$L$5:$L$124&lt;&gt;""))&gt;0,"Navigational",IF(SUMPRODUCT(ISNUMBER(SEARCH(" "&amp;Settings!$L$5:$L$124&amp;" "," "&amp;M294&amp;" "))*(Settings!$K$5:$K$124="Transactional")*(Settings!$L$5:$L$124&lt;&gt;""))&gt;0,"Transactional",IF(SUMPRODUCT(ISNUMBER(SEARCH(" "&amp;Settings!$L$5:$L$124&amp;" "," "&amp;M294&amp;" "))*(Settings!$K$5:$K$124="Commercial")*(Settings!$L$5:$L$124&lt;&gt;""))&gt;0,"Commercial",IF(SUMPRODUCT(ISNUMBER(SEARCH(" "&amp;Settings!$L$5:$L$124&amp;" "," "&amp;M294&amp;" "))*(Settings!$K$5:$K$124="Informational")*(Settings!$L$5:$L$124&lt;&gt;""))&gt;0,"Informational","Unclassified")))))</f>
        <v/>
      </c>
      <c r="O294">
        <f>IF(A294="","",IF(K294&lt;&gt;"",PROPER(K294),N294))</f>
        <v/>
      </c>
      <c r="P294">
        <f>IF(A294="","",ROUND(Settings!$B$5*MIN(1,LOG10(N(C294)+1)/LOG10(Settings!$B$7+1))+Settings!$B$6*(1-MIN(100,IF(D294="",50,N(D294)))/100)+IFERROR(INDEX(Settings!$B$10:$B$14,MATCH(O294,Settings!$A$10:$A$14,0)),0),0))</f>
        <v/>
      </c>
      <c r="Q294">
        <f>IF(OR(A294="",G294=""),"",COUNTIFS($M$3:$M$1002,M294,$G$3:$G$1002,"&lt;&gt;"&amp;SUBSTITUTE(SUBSTITUTE(G294,"?","~?"),"*","~*"),$G$3:$G$1002,"?*"))</f>
        <v/>
      </c>
      <c r="R294">
        <f>IF(Q294="","",IF(Q294&gt;0,"Yes","No"))</f>
        <v/>
      </c>
      <c r="S294">
        <f>IF(G294="","",COUNTIFS($G$3:$G$1002,SUBSTITUTE(SUBSTITUTE(G294,"?","~?"),"*","~*"),$J$3:$J$1002,"Primary"))</f>
        <v/>
      </c>
      <c r="T294">
        <f>IF(S294="","",IF(S294&gt;Settings!$B$4,"Yes","No"))</f>
        <v/>
      </c>
      <c r="U294">
        <f>IF(OR(G294="",B294=""),"",IF(COUNTIFS($G$3:$G$1002,SUBSTITUTE(SUBSTITUTE(G294,"?","~?"),"*","~*"),$B$3:$B$1002,"&lt;&gt;"&amp;SUBSTITUTE(SUBSTITUTE(B294,"?","~?"),"*","~*"),$B$3:$B$1002,"?*")&gt;0,"Yes","No"))</f>
        <v/>
      </c>
      <c r="V294">
        <f>IF(OR(G294="",I294="",O294="",O294="Unclassified"),"",IFERROR(INDEX(Settings!$E$5:$H$16,MATCH(I294,Settings!$D$5:$D$16,0),MATCH(O294,Settings!$E$4:$H$4,0)),"Check"))</f>
        <v/>
      </c>
      <c r="W294">
        <f>IF(V294="","",IF(V294="No","Yes","No"))</f>
        <v/>
      </c>
      <c r="X294">
        <f>IF(OR(E294="",G294=""),"",IF(LOWER(IF(RIGHT(TRIM(E294),1)="/",LEFT(TRIM(E294),LEN(TRIM(E294))-1),TRIM(E294)))&lt;&gt;LOWER(IF(RIGHT(TRIM(G294),1)="/",LEFT(TRIM(G294),LEN(TRIM(G294))-1),TRIM(G294))),"Yes","No"))</f>
        <v/>
      </c>
      <c r="Y294">
        <f>IF(A294="","",(N(Q294)&gt;0)+(T294="Yes")+(U294="Yes")+(W294="Yes")+(X294="Yes"))</f>
        <v/>
      </c>
      <c r="Z294">
        <f>IF(A294="","",IF(G294="","Not mapped",IF(Y294=0,"OK",MID(IF(N(Q294)&gt;0,"; Cannibalisation","")&amp;IF(T294="Yes","; Too many primary keywords on URL","")&amp;IF(U294="Yes","; URL spans 2+ clusters","")&amp;IF(W294="Yes","; Intent mismatch","")&amp;IF(X294="Yes","; Ranking URL is not the target",""),3,300))))</f>
        <v/>
      </c>
      <c r="AA294">
        <f>IF(G294="","",IF(COUNTIF($G$3:G294,SUBSTITUTE(SUBSTITUTE(G294,"?","~?"),"*","~*"))=1,MAX($AA$2:AA293)+1,""))</f>
        <v/>
      </c>
      <c r="AB294">
        <f>IF(B294="","",IF(COUNTIF($B$3:B294,SUBSTITUTE(SUBSTITUTE(B294,"?","~?"),"*","~*"))=1,MAX($AB$2:AB293)+1,""))</f>
        <v/>
      </c>
    </row>
    <row r="295">
      <c r="M295">
        <f>IF(A295="","",LOWER(TRIM(SUBSTITUTE(SUBSTITUTE(A295,"?",""),"*",""))))</f>
        <v/>
      </c>
      <c r="N295">
        <f>IF(M295="","",IF(SUMPRODUCT(ISNUMBER(SEARCH(" "&amp;Settings!$L$5:$L$124&amp;" "," "&amp;M295&amp;" "))*(Settings!$K$5:$K$124="Navigational")*(Settings!$L$5:$L$124&lt;&gt;""))&gt;0,"Navigational",IF(SUMPRODUCT(ISNUMBER(SEARCH(" "&amp;Settings!$L$5:$L$124&amp;" "," "&amp;M295&amp;" "))*(Settings!$K$5:$K$124="Transactional")*(Settings!$L$5:$L$124&lt;&gt;""))&gt;0,"Transactional",IF(SUMPRODUCT(ISNUMBER(SEARCH(" "&amp;Settings!$L$5:$L$124&amp;" "," "&amp;M295&amp;" "))*(Settings!$K$5:$K$124="Commercial")*(Settings!$L$5:$L$124&lt;&gt;""))&gt;0,"Commercial",IF(SUMPRODUCT(ISNUMBER(SEARCH(" "&amp;Settings!$L$5:$L$124&amp;" "," "&amp;M295&amp;" "))*(Settings!$K$5:$K$124="Informational")*(Settings!$L$5:$L$124&lt;&gt;""))&gt;0,"Informational","Unclassified")))))</f>
        <v/>
      </c>
      <c r="O295">
        <f>IF(A295="","",IF(K295&lt;&gt;"",PROPER(K295),N295))</f>
        <v/>
      </c>
      <c r="P295">
        <f>IF(A295="","",ROUND(Settings!$B$5*MIN(1,LOG10(N(C295)+1)/LOG10(Settings!$B$7+1))+Settings!$B$6*(1-MIN(100,IF(D295="",50,N(D295)))/100)+IFERROR(INDEX(Settings!$B$10:$B$14,MATCH(O295,Settings!$A$10:$A$14,0)),0),0))</f>
        <v/>
      </c>
      <c r="Q295">
        <f>IF(OR(A295="",G295=""),"",COUNTIFS($M$3:$M$1002,M295,$G$3:$G$1002,"&lt;&gt;"&amp;SUBSTITUTE(SUBSTITUTE(G295,"?","~?"),"*","~*"),$G$3:$G$1002,"?*"))</f>
        <v/>
      </c>
      <c r="R295">
        <f>IF(Q295="","",IF(Q295&gt;0,"Yes","No"))</f>
        <v/>
      </c>
      <c r="S295">
        <f>IF(G295="","",COUNTIFS($G$3:$G$1002,SUBSTITUTE(SUBSTITUTE(G295,"?","~?"),"*","~*"),$J$3:$J$1002,"Primary"))</f>
        <v/>
      </c>
      <c r="T295">
        <f>IF(S295="","",IF(S295&gt;Settings!$B$4,"Yes","No"))</f>
        <v/>
      </c>
      <c r="U295">
        <f>IF(OR(G295="",B295=""),"",IF(COUNTIFS($G$3:$G$1002,SUBSTITUTE(SUBSTITUTE(G295,"?","~?"),"*","~*"),$B$3:$B$1002,"&lt;&gt;"&amp;SUBSTITUTE(SUBSTITUTE(B295,"?","~?"),"*","~*"),$B$3:$B$1002,"?*")&gt;0,"Yes","No"))</f>
        <v/>
      </c>
      <c r="V295">
        <f>IF(OR(G295="",I295="",O295="",O295="Unclassified"),"",IFERROR(INDEX(Settings!$E$5:$H$16,MATCH(I295,Settings!$D$5:$D$16,0),MATCH(O295,Settings!$E$4:$H$4,0)),"Check"))</f>
        <v/>
      </c>
      <c r="W295">
        <f>IF(V295="","",IF(V295="No","Yes","No"))</f>
        <v/>
      </c>
      <c r="X295">
        <f>IF(OR(E295="",G295=""),"",IF(LOWER(IF(RIGHT(TRIM(E295),1)="/",LEFT(TRIM(E295),LEN(TRIM(E295))-1),TRIM(E295)))&lt;&gt;LOWER(IF(RIGHT(TRIM(G295),1)="/",LEFT(TRIM(G295),LEN(TRIM(G295))-1),TRIM(G295))),"Yes","No"))</f>
        <v/>
      </c>
      <c r="Y295">
        <f>IF(A295="","",(N(Q295)&gt;0)+(T295="Yes")+(U295="Yes")+(W295="Yes")+(X295="Yes"))</f>
        <v/>
      </c>
      <c r="Z295">
        <f>IF(A295="","",IF(G295="","Not mapped",IF(Y295=0,"OK",MID(IF(N(Q295)&gt;0,"; Cannibalisation","")&amp;IF(T295="Yes","; Too many primary keywords on URL","")&amp;IF(U295="Yes","; URL spans 2+ clusters","")&amp;IF(W295="Yes","; Intent mismatch","")&amp;IF(X295="Yes","; Ranking URL is not the target",""),3,300))))</f>
        <v/>
      </c>
      <c r="AA295">
        <f>IF(G295="","",IF(COUNTIF($G$3:G295,SUBSTITUTE(SUBSTITUTE(G295,"?","~?"),"*","~*"))=1,MAX($AA$2:AA294)+1,""))</f>
        <v/>
      </c>
      <c r="AB295">
        <f>IF(B295="","",IF(COUNTIF($B$3:B295,SUBSTITUTE(SUBSTITUTE(B295,"?","~?"),"*","~*"))=1,MAX($AB$2:AB294)+1,""))</f>
        <v/>
      </c>
    </row>
    <row r="296">
      <c r="M296">
        <f>IF(A296="","",LOWER(TRIM(SUBSTITUTE(SUBSTITUTE(A296,"?",""),"*",""))))</f>
        <v/>
      </c>
      <c r="N296">
        <f>IF(M296="","",IF(SUMPRODUCT(ISNUMBER(SEARCH(" "&amp;Settings!$L$5:$L$124&amp;" "," "&amp;M296&amp;" "))*(Settings!$K$5:$K$124="Navigational")*(Settings!$L$5:$L$124&lt;&gt;""))&gt;0,"Navigational",IF(SUMPRODUCT(ISNUMBER(SEARCH(" "&amp;Settings!$L$5:$L$124&amp;" "," "&amp;M296&amp;" "))*(Settings!$K$5:$K$124="Transactional")*(Settings!$L$5:$L$124&lt;&gt;""))&gt;0,"Transactional",IF(SUMPRODUCT(ISNUMBER(SEARCH(" "&amp;Settings!$L$5:$L$124&amp;" "," "&amp;M296&amp;" "))*(Settings!$K$5:$K$124="Commercial")*(Settings!$L$5:$L$124&lt;&gt;""))&gt;0,"Commercial",IF(SUMPRODUCT(ISNUMBER(SEARCH(" "&amp;Settings!$L$5:$L$124&amp;" "," "&amp;M296&amp;" "))*(Settings!$K$5:$K$124="Informational")*(Settings!$L$5:$L$124&lt;&gt;""))&gt;0,"Informational","Unclassified")))))</f>
        <v/>
      </c>
      <c r="O296">
        <f>IF(A296="","",IF(K296&lt;&gt;"",PROPER(K296),N296))</f>
        <v/>
      </c>
      <c r="P296">
        <f>IF(A296="","",ROUND(Settings!$B$5*MIN(1,LOG10(N(C296)+1)/LOG10(Settings!$B$7+1))+Settings!$B$6*(1-MIN(100,IF(D296="",50,N(D296)))/100)+IFERROR(INDEX(Settings!$B$10:$B$14,MATCH(O296,Settings!$A$10:$A$14,0)),0),0))</f>
        <v/>
      </c>
      <c r="Q296">
        <f>IF(OR(A296="",G296=""),"",COUNTIFS($M$3:$M$1002,M296,$G$3:$G$1002,"&lt;&gt;"&amp;SUBSTITUTE(SUBSTITUTE(G296,"?","~?"),"*","~*"),$G$3:$G$1002,"?*"))</f>
        <v/>
      </c>
      <c r="R296">
        <f>IF(Q296="","",IF(Q296&gt;0,"Yes","No"))</f>
        <v/>
      </c>
      <c r="S296">
        <f>IF(G296="","",COUNTIFS($G$3:$G$1002,SUBSTITUTE(SUBSTITUTE(G296,"?","~?"),"*","~*"),$J$3:$J$1002,"Primary"))</f>
        <v/>
      </c>
      <c r="T296">
        <f>IF(S296="","",IF(S296&gt;Settings!$B$4,"Yes","No"))</f>
        <v/>
      </c>
      <c r="U296">
        <f>IF(OR(G296="",B296=""),"",IF(COUNTIFS($G$3:$G$1002,SUBSTITUTE(SUBSTITUTE(G296,"?","~?"),"*","~*"),$B$3:$B$1002,"&lt;&gt;"&amp;SUBSTITUTE(SUBSTITUTE(B296,"?","~?"),"*","~*"),$B$3:$B$1002,"?*")&gt;0,"Yes","No"))</f>
        <v/>
      </c>
      <c r="V296">
        <f>IF(OR(G296="",I296="",O296="",O296="Unclassified"),"",IFERROR(INDEX(Settings!$E$5:$H$16,MATCH(I296,Settings!$D$5:$D$16,0),MATCH(O296,Settings!$E$4:$H$4,0)),"Check"))</f>
        <v/>
      </c>
      <c r="W296">
        <f>IF(V296="","",IF(V296="No","Yes","No"))</f>
        <v/>
      </c>
      <c r="X296">
        <f>IF(OR(E296="",G296=""),"",IF(LOWER(IF(RIGHT(TRIM(E296),1)="/",LEFT(TRIM(E296),LEN(TRIM(E296))-1),TRIM(E296)))&lt;&gt;LOWER(IF(RIGHT(TRIM(G296),1)="/",LEFT(TRIM(G296),LEN(TRIM(G296))-1),TRIM(G296))),"Yes","No"))</f>
        <v/>
      </c>
      <c r="Y296">
        <f>IF(A296="","",(N(Q296)&gt;0)+(T296="Yes")+(U296="Yes")+(W296="Yes")+(X296="Yes"))</f>
        <v/>
      </c>
      <c r="Z296">
        <f>IF(A296="","",IF(G296="","Not mapped",IF(Y296=0,"OK",MID(IF(N(Q296)&gt;0,"; Cannibalisation","")&amp;IF(T296="Yes","; Too many primary keywords on URL","")&amp;IF(U296="Yes","; URL spans 2+ clusters","")&amp;IF(W296="Yes","; Intent mismatch","")&amp;IF(X296="Yes","; Ranking URL is not the target",""),3,300))))</f>
        <v/>
      </c>
      <c r="AA296">
        <f>IF(G296="","",IF(COUNTIF($G$3:G296,SUBSTITUTE(SUBSTITUTE(G296,"?","~?"),"*","~*"))=1,MAX($AA$2:AA295)+1,""))</f>
        <v/>
      </c>
      <c r="AB296">
        <f>IF(B296="","",IF(COUNTIF($B$3:B296,SUBSTITUTE(SUBSTITUTE(B296,"?","~?"),"*","~*"))=1,MAX($AB$2:AB295)+1,""))</f>
        <v/>
      </c>
    </row>
    <row r="297">
      <c r="M297">
        <f>IF(A297="","",LOWER(TRIM(SUBSTITUTE(SUBSTITUTE(A297,"?",""),"*",""))))</f>
        <v/>
      </c>
      <c r="N297">
        <f>IF(M297="","",IF(SUMPRODUCT(ISNUMBER(SEARCH(" "&amp;Settings!$L$5:$L$124&amp;" "," "&amp;M297&amp;" "))*(Settings!$K$5:$K$124="Navigational")*(Settings!$L$5:$L$124&lt;&gt;""))&gt;0,"Navigational",IF(SUMPRODUCT(ISNUMBER(SEARCH(" "&amp;Settings!$L$5:$L$124&amp;" "," "&amp;M297&amp;" "))*(Settings!$K$5:$K$124="Transactional")*(Settings!$L$5:$L$124&lt;&gt;""))&gt;0,"Transactional",IF(SUMPRODUCT(ISNUMBER(SEARCH(" "&amp;Settings!$L$5:$L$124&amp;" "," "&amp;M297&amp;" "))*(Settings!$K$5:$K$124="Commercial")*(Settings!$L$5:$L$124&lt;&gt;""))&gt;0,"Commercial",IF(SUMPRODUCT(ISNUMBER(SEARCH(" "&amp;Settings!$L$5:$L$124&amp;" "," "&amp;M297&amp;" "))*(Settings!$K$5:$K$124="Informational")*(Settings!$L$5:$L$124&lt;&gt;""))&gt;0,"Informational","Unclassified")))))</f>
        <v/>
      </c>
      <c r="O297">
        <f>IF(A297="","",IF(K297&lt;&gt;"",PROPER(K297),N297))</f>
        <v/>
      </c>
      <c r="P297">
        <f>IF(A297="","",ROUND(Settings!$B$5*MIN(1,LOG10(N(C297)+1)/LOG10(Settings!$B$7+1))+Settings!$B$6*(1-MIN(100,IF(D297="",50,N(D297)))/100)+IFERROR(INDEX(Settings!$B$10:$B$14,MATCH(O297,Settings!$A$10:$A$14,0)),0),0))</f>
        <v/>
      </c>
      <c r="Q297">
        <f>IF(OR(A297="",G297=""),"",COUNTIFS($M$3:$M$1002,M297,$G$3:$G$1002,"&lt;&gt;"&amp;SUBSTITUTE(SUBSTITUTE(G297,"?","~?"),"*","~*"),$G$3:$G$1002,"?*"))</f>
        <v/>
      </c>
      <c r="R297">
        <f>IF(Q297="","",IF(Q297&gt;0,"Yes","No"))</f>
        <v/>
      </c>
      <c r="S297">
        <f>IF(G297="","",COUNTIFS($G$3:$G$1002,SUBSTITUTE(SUBSTITUTE(G297,"?","~?"),"*","~*"),$J$3:$J$1002,"Primary"))</f>
        <v/>
      </c>
      <c r="T297">
        <f>IF(S297="","",IF(S297&gt;Settings!$B$4,"Yes","No"))</f>
        <v/>
      </c>
      <c r="U297">
        <f>IF(OR(G297="",B297=""),"",IF(COUNTIFS($G$3:$G$1002,SUBSTITUTE(SUBSTITUTE(G297,"?","~?"),"*","~*"),$B$3:$B$1002,"&lt;&gt;"&amp;SUBSTITUTE(SUBSTITUTE(B297,"?","~?"),"*","~*"),$B$3:$B$1002,"?*")&gt;0,"Yes","No"))</f>
        <v/>
      </c>
      <c r="V297">
        <f>IF(OR(G297="",I297="",O297="",O297="Unclassified"),"",IFERROR(INDEX(Settings!$E$5:$H$16,MATCH(I297,Settings!$D$5:$D$16,0),MATCH(O297,Settings!$E$4:$H$4,0)),"Check"))</f>
        <v/>
      </c>
      <c r="W297">
        <f>IF(V297="","",IF(V297="No","Yes","No"))</f>
        <v/>
      </c>
      <c r="X297">
        <f>IF(OR(E297="",G297=""),"",IF(LOWER(IF(RIGHT(TRIM(E297),1)="/",LEFT(TRIM(E297),LEN(TRIM(E297))-1),TRIM(E297)))&lt;&gt;LOWER(IF(RIGHT(TRIM(G297),1)="/",LEFT(TRIM(G297),LEN(TRIM(G297))-1),TRIM(G297))),"Yes","No"))</f>
        <v/>
      </c>
      <c r="Y297">
        <f>IF(A297="","",(N(Q297)&gt;0)+(T297="Yes")+(U297="Yes")+(W297="Yes")+(X297="Yes"))</f>
        <v/>
      </c>
      <c r="Z297">
        <f>IF(A297="","",IF(G297="","Not mapped",IF(Y297=0,"OK",MID(IF(N(Q297)&gt;0,"; Cannibalisation","")&amp;IF(T297="Yes","; Too many primary keywords on URL","")&amp;IF(U297="Yes","; URL spans 2+ clusters","")&amp;IF(W297="Yes","; Intent mismatch","")&amp;IF(X297="Yes","; Ranking URL is not the target",""),3,300))))</f>
        <v/>
      </c>
      <c r="AA297">
        <f>IF(G297="","",IF(COUNTIF($G$3:G297,SUBSTITUTE(SUBSTITUTE(G297,"?","~?"),"*","~*"))=1,MAX($AA$2:AA296)+1,""))</f>
        <v/>
      </c>
      <c r="AB297">
        <f>IF(B297="","",IF(COUNTIF($B$3:B297,SUBSTITUTE(SUBSTITUTE(B297,"?","~?"),"*","~*"))=1,MAX($AB$2:AB296)+1,""))</f>
        <v/>
      </c>
    </row>
    <row r="298">
      <c r="M298">
        <f>IF(A298="","",LOWER(TRIM(SUBSTITUTE(SUBSTITUTE(A298,"?",""),"*",""))))</f>
        <v/>
      </c>
      <c r="N298">
        <f>IF(M298="","",IF(SUMPRODUCT(ISNUMBER(SEARCH(" "&amp;Settings!$L$5:$L$124&amp;" "," "&amp;M298&amp;" "))*(Settings!$K$5:$K$124="Navigational")*(Settings!$L$5:$L$124&lt;&gt;""))&gt;0,"Navigational",IF(SUMPRODUCT(ISNUMBER(SEARCH(" "&amp;Settings!$L$5:$L$124&amp;" "," "&amp;M298&amp;" "))*(Settings!$K$5:$K$124="Transactional")*(Settings!$L$5:$L$124&lt;&gt;""))&gt;0,"Transactional",IF(SUMPRODUCT(ISNUMBER(SEARCH(" "&amp;Settings!$L$5:$L$124&amp;" "," "&amp;M298&amp;" "))*(Settings!$K$5:$K$124="Commercial")*(Settings!$L$5:$L$124&lt;&gt;""))&gt;0,"Commercial",IF(SUMPRODUCT(ISNUMBER(SEARCH(" "&amp;Settings!$L$5:$L$124&amp;" "," "&amp;M298&amp;" "))*(Settings!$K$5:$K$124="Informational")*(Settings!$L$5:$L$124&lt;&gt;""))&gt;0,"Informational","Unclassified")))))</f>
        <v/>
      </c>
      <c r="O298">
        <f>IF(A298="","",IF(K298&lt;&gt;"",PROPER(K298),N298))</f>
        <v/>
      </c>
      <c r="P298">
        <f>IF(A298="","",ROUND(Settings!$B$5*MIN(1,LOG10(N(C298)+1)/LOG10(Settings!$B$7+1))+Settings!$B$6*(1-MIN(100,IF(D298="",50,N(D298)))/100)+IFERROR(INDEX(Settings!$B$10:$B$14,MATCH(O298,Settings!$A$10:$A$14,0)),0),0))</f>
        <v/>
      </c>
      <c r="Q298">
        <f>IF(OR(A298="",G298=""),"",COUNTIFS($M$3:$M$1002,M298,$G$3:$G$1002,"&lt;&gt;"&amp;SUBSTITUTE(SUBSTITUTE(G298,"?","~?"),"*","~*"),$G$3:$G$1002,"?*"))</f>
        <v/>
      </c>
      <c r="R298">
        <f>IF(Q298="","",IF(Q298&gt;0,"Yes","No"))</f>
        <v/>
      </c>
      <c r="S298">
        <f>IF(G298="","",COUNTIFS($G$3:$G$1002,SUBSTITUTE(SUBSTITUTE(G298,"?","~?"),"*","~*"),$J$3:$J$1002,"Primary"))</f>
        <v/>
      </c>
      <c r="T298">
        <f>IF(S298="","",IF(S298&gt;Settings!$B$4,"Yes","No"))</f>
        <v/>
      </c>
      <c r="U298">
        <f>IF(OR(G298="",B298=""),"",IF(COUNTIFS($G$3:$G$1002,SUBSTITUTE(SUBSTITUTE(G298,"?","~?"),"*","~*"),$B$3:$B$1002,"&lt;&gt;"&amp;SUBSTITUTE(SUBSTITUTE(B298,"?","~?"),"*","~*"),$B$3:$B$1002,"?*")&gt;0,"Yes","No"))</f>
        <v/>
      </c>
      <c r="V298">
        <f>IF(OR(G298="",I298="",O298="",O298="Unclassified"),"",IFERROR(INDEX(Settings!$E$5:$H$16,MATCH(I298,Settings!$D$5:$D$16,0),MATCH(O298,Settings!$E$4:$H$4,0)),"Check"))</f>
        <v/>
      </c>
      <c r="W298">
        <f>IF(V298="","",IF(V298="No","Yes","No"))</f>
        <v/>
      </c>
      <c r="X298">
        <f>IF(OR(E298="",G298=""),"",IF(LOWER(IF(RIGHT(TRIM(E298),1)="/",LEFT(TRIM(E298),LEN(TRIM(E298))-1),TRIM(E298)))&lt;&gt;LOWER(IF(RIGHT(TRIM(G298),1)="/",LEFT(TRIM(G298),LEN(TRIM(G298))-1),TRIM(G298))),"Yes","No"))</f>
        <v/>
      </c>
      <c r="Y298">
        <f>IF(A298="","",(N(Q298)&gt;0)+(T298="Yes")+(U298="Yes")+(W298="Yes")+(X298="Yes"))</f>
        <v/>
      </c>
      <c r="Z298">
        <f>IF(A298="","",IF(G298="","Not mapped",IF(Y298=0,"OK",MID(IF(N(Q298)&gt;0,"; Cannibalisation","")&amp;IF(T298="Yes","; Too many primary keywords on URL","")&amp;IF(U298="Yes","; URL spans 2+ clusters","")&amp;IF(W298="Yes","; Intent mismatch","")&amp;IF(X298="Yes","; Ranking URL is not the target",""),3,300))))</f>
        <v/>
      </c>
      <c r="AA298">
        <f>IF(G298="","",IF(COUNTIF($G$3:G298,SUBSTITUTE(SUBSTITUTE(G298,"?","~?"),"*","~*"))=1,MAX($AA$2:AA297)+1,""))</f>
        <v/>
      </c>
      <c r="AB298">
        <f>IF(B298="","",IF(COUNTIF($B$3:B298,SUBSTITUTE(SUBSTITUTE(B298,"?","~?"),"*","~*"))=1,MAX($AB$2:AB297)+1,""))</f>
        <v/>
      </c>
    </row>
    <row r="299">
      <c r="M299">
        <f>IF(A299="","",LOWER(TRIM(SUBSTITUTE(SUBSTITUTE(A299,"?",""),"*",""))))</f>
        <v/>
      </c>
      <c r="N299">
        <f>IF(M299="","",IF(SUMPRODUCT(ISNUMBER(SEARCH(" "&amp;Settings!$L$5:$L$124&amp;" "," "&amp;M299&amp;" "))*(Settings!$K$5:$K$124="Navigational")*(Settings!$L$5:$L$124&lt;&gt;""))&gt;0,"Navigational",IF(SUMPRODUCT(ISNUMBER(SEARCH(" "&amp;Settings!$L$5:$L$124&amp;" "," "&amp;M299&amp;" "))*(Settings!$K$5:$K$124="Transactional")*(Settings!$L$5:$L$124&lt;&gt;""))&gt;0,"Transactional",IF(SUMPRODUCT(ISNUMBER(SEARCH(" "&amp;Settings!$L$5:$L$124&amp;" "," "&amp;M299&amp;" "))*(Settings!$K$5:$K$124="Commercial")*(Settings!$L$5:$L$124&lt;&gt;""))&gt;0,"Commercial",IF(SUMPRODUCT(ISNUMBER(SEARCH(" "&amp;Settings!$L$5:$L$124&amp;" "," "&amp;M299&amp;" "))*(Settings!$K$5:$K$124="Informational")*(Settings!$L$5:$L$124&lt;&gt;""))&gt;0,"Informational","Unclassified")))))</f>
        <v/>
      </c>
      <c r="O299">
        <f>IF(A299="","",IF(K299&lt;&gt;"",PROPER(K299),N299))</f>
        <v/>
      </c>
      <c r="P299">
        <f>IF(A299="","",ROUND(Settings!$B$5*MIN(1,LOG10(N(C299)+1)/LOG10(Settings!$B$7+1))+Settings!$B$6*(1-MIN(100,IF(D299="",50,N(D299)))/100)+IFERROR(INDEX(Settings!$B$10:$B$14,MATCH(O299,Settings!$A$10:$A$14,0)),0),0))</f>
        <v/>
      </c>
      <c r="Q299">
        <f>IF(OR(A299="",G299=""),"",COUNTIFS($M$3:$M$1002,M299,$G$3:$G$1002,"&lt;&gt;"&amp;SUBSTITUTE(SUBSTITUTE(G299,"?","~?"),"*","~*"),$G$3:$G$1002,"?*"))</f>
        <v/>
      </c>
      <c r="R299">
        <f>IF(Q299="","",IF(Q299&gt;0,"Yes","No"))</f>
        <v/>
      </c>
      <c r="S299">
        <f>IF(G299="","",COUNTIFS($G$3:$G$1002,SUBSTITUTE(SUBSTITUTE(G299,"?","~?"),"*","~*"),$J$3:$J$1002,"Primary"))</f>
        <v/>
      </c>
      <c r="T299">
        <f>IF(S299="","",IF(S299&gt;Settings!$B$4,"Yes","No"))</f>
        <v/>
      </c>
      <c r="U299">
        <f>IF(OR(G299="",B299=""),"",IF(COUNTIFS($G$3:$G$1002,SUBSTITUTE(SUBSTITUTE(G299,"?","~?"),"*","~*"),$B$3:$B$1002,"&lt;&gt;"&amp;SUBSTITUTE(SUBSTITUTE(B299,"?","~?"),"*","~*"),$B$3:$B$1002,"?*")&gt;0,"Yes","No"))</f>
        <v/>
      </c>
      <c r="V299">
        <f>IF(OR(G299="",I299="",O299="",O299="Unclassified"),"",IFERROR(INDEX(Settings!$E$5:$H$16,MATCH(I299,Settings!$D$5:$D$16,0),MATCH(O299,Settings!$E$4:$H$4,0)),"Check"))</f>
        <v/>
      </c>
      <c r="W299">
        <f>IF(V299="","",IF(V299="No","Yes","No"))</f>
        <v/>
      </c>
      <c r="X299">
        <f>IF(OR(E299="",G299=""),"",IF(LOWER(IF(RIGHT(TRIM(E299),1)="/",LEFT(TRIM(E299),LEN(TRIM(E299))-1),TRIM(E299)))&lt;&gt;LOWER(IF(RIGHT(TRIM(G299),1)="/",LEFT(TRIM(G299),LEN(TRIM(G299))-1),TRIM(G299))),"Yes","No"))</f>
        <v/>
      </c>
      <c r="Y299">
        <f>IF(A299="","",(N(Q299)&gt;0)+(T299="Yes")+(U299="Yes")+(W299="Yes")+(X299="Yes"))</f>
        <v/>
      </c>
      <c r="Z299">
        <f>IF(A299="","",IF(G299="","Not mapped",IF(Y299=0,"OK",MID(IF(N(Q299)&gt;0,"; Cannibalisation","")&amp;IF(T299="Yes","; Too many primary keywords on URL","")&amp;IF(U299="Yes","; URL spans 2+ clusters","")&amp;IF(W299="Yes","; Intent mismatch","")&amp;IF(X299="Yes","; Ranking URL is not the target",""),3,300))))</f>
        <v/>
      </c>
      <c r="AA299">
        <f>IF(G299="","",IF(COUNTIF($G$3:G299,SUBSTITUTE(SUBSTITUTE(G299,"?","~?"),"*","~*"))=1,MAX($AA$2:AA298)+1,""))</f>
        <v/>
      </c>
      <c r="AB299">
        <f>IF(B299="","",IF(COUNTIF($B$3:B299,SUBSTITUTE(SUBSTITUTE(B299,"?","~?"),"*","~*"))=1,MAX($AB$2:AB298)+1,""))</f>
        <v/>
      </c>
    </row>
    <row r="300">
      <c r="M300">
        <f>IF(A300="","",LOWER(TRIM(SUBSTITUTE(SUBSTITUTE(A300,"?",""),"*",""))))</f>
        <v/>
      </c>
      <c r="N300">
        <f>IF(M300="","",IF(SUMPRODUCT(ISNUMBER(SEARCH(" "&amp;Settings!$L$5:$L$124&amp;" "," "&amp;M300&amp;" "))*(Settings!$K$5:$K$124="Navigational")*(Settings!$L$5:$L$124&lt;&gt;""))&gt;0,"Navigational",IF(SUMPRODUCT(ISNUMBER(SEARCH(" "&amp;Settings!$L$5:$L$124&amp;" "," "&amp;M300&amp;" "))*(Settings!$K$5:$K$124="Transactional")*(Settings!$L$5:$L$124&lt;&gt;""))&gt;0,"Transactional",IF(SUMPRODUCT(ISNUMBER(SEARCH(" "&amp;Settings!$L$5:$L$124&amp;" "," "&amp;M300&amp;" "))*(Settings!$K$5:$K$124="Commercial")*(Settings!$L$5:$L$124&lt;&gt;""))&gt;0,"Commercial",IF(SUMPRODUCT(ISNUMBER(SEARCH(" "&amp;Settings!$L$5:$L$124&amp;" "," "&amp;M300&amp;" "))*(Settings!$K$5:$K$124="Informational")*(Settings!$L$5:$L$124&lt;&gt;""))&gt;0,"Informational","Unclassified")))))</f>
        <v/>
      </c>
      <c r="O300">
        <f>IF(A300="","",IF(K300&lt;&gt;"",PROPER(K300),N300))</f>
        <v/>
      </c>
      <c r="P300">
        <f>IF(A300="","",ROUND(Settings!$B$5*MIN(1,LOG10(N(C300)+1)/LOG10(Settings!$B$7+1))+Settings!$B$6*(1-MIN(100,IF(D300="",50,N(D300)))/100)+IFERROR(INDEX(Settings!$B$10:$B$14,MATCH(O300,Settings!$A$10:$A$14,0)),0),0))</f>
        <v/>
      </c>
      <c r="Q300">
        <f>IF(OR(A300="",G300=""),"",COUNTIFS($M$3:$M$1002,M300,$G$3:$G$1002,"&lt;&gt;"&amp;SUBSTITUTE(SUBSTITUTE(G300,"?","~?"),"*","~*"),$G$3:$G$1002,"?*"))</f>
        <v/>
      </c>
      <c r="R300">
        <f>IF(Q300="","",IF(Q300&gt;0,"Yes","No"))</f>
        <v/>
      </c>
      <c r="S300">
        <f>IF(G300="","",COUNTIFS($G$3:$G$1002,SUBSTITUTE(SUBSTITUTE(G300,"?","~?"),"*","~*"),$J$3:$J$1002,"Primary"))</f>
        <v/>
      </c>
      <c r="T300">
        <f>IF(S300="","",IF(S300&gt;Settings!$B$4,"Yes","No"))</f>
        <v/>
      </c>
      <c r="U300">
        <f>IF(OR(G300="",B300=""),"",IF(COUNTIFS($G$3:$G$1002,SUBSTITUTE(SUBSTITUTE(G300,"?","~?"),"*","~*"),$B$3:$B$1002,"&lt;&gt;"&amp;SUBSTITUTE(SUBSTITUTE(B300,"?","~?"),"*","~*"),$B$3:$B$1002,"?*")&gt;0,"Yes","No"))</f>
        <v/>
      </c>
      <c r="V300">
        <f>IF(OR(G300="",I300="",O300="",O300="Unclassified"),"",IFERROR(INDEX(Settings!$E$5:$H$16,MATCH(I300,Settings!$D$5:$D$16,0),MATCH(O300,Settings!$E$4:$H$4,0)),"Check"))</f>
        <v/>
      </c>
      <c r="W300">
        <f>IF(V300="","",IF(V300="No","Yes","No"))</f>
        <v/>
      </c>
      <c r="X300">
        <f>IF(OR(E300="",G300=""),"",IF(LOWER(IF(RIGHT(TRIM(E300),1)="/",LEFT(TRIM(E300),LEN(TRIM(E300))-1),TRIM(E300)))&lt;&gt;LOWER(IF(RIGHT(TRIM(G300),1)="/",LEFT(TRIM(G300),LEN(TRIM(G300))-1),TRIM(G300))),"Yes","No"))</f>
        <v/>
      </c>
      <c r="Y300">
        <f>IF(A300="","",(N(Q300)&gt;0)+(T300="Yes")+(U300="Yes")+(W300="Yes")+(X300="Yes"))</f>
        <v/>
      </c>
      <c r="Z300">
        <f>IF(A300="","",IF(G300="","Not mapped",IF(Y300=0,"OK",MID(IF(N(Q300)&gt;0,"; Cannibalisation","")&amp;IF(T300="Yes","; Too many primary keywords on URL","")&amp;IF(U300="Yes","; URL spans 2+ clusters","")&amp;IF(W300="Yes","; Intent mismatch","")&amp;IF(X300="Yes","; Ranking URL is not the target",""),3,300))))</f>
        <v/>
      </c>
      <c r="AA300">
        <f>IF(G300="","",IF(COUNTIF($G$3:G300,SUBSTITUTE(SUBSTITUTE(G300,"?","~?"),"*","~*"))=1,MAX($AA$2:AA299)+1,""))</f>
        <v/>
      </c>
      <c r="AB300">
        <f>IF(B300="","",IF(COUNTIF($B$3:B300,SUBSTITUTE(SUBSTITUTE(B300,"?","~?"),"*","~*"))=1,MAX($AB$2:AB299)+1,""))</f>
        <v/>
      </c>
    </row>
    <row r="301">
      <c r="M301">
        <f>IF(A301="","",LOWER(TRIM(SUBSTITUTE(SUBSTITUTE(A301,"?",""),"*",""))))</f>
        <v/>
      </c>
      <c r="N301">
        <f>IF(M301="","",IF(SUMPRODUCT(ISNUMBER(SEARCH(" "&amp;Settings!$L$5:$L$124&amp;" "," "&amp;M301&amp;" "))*(Settings!$K$5:$K$124="Navigational")*(Settings!$L$5:$L$124&lt;&gt;""))&gt;0,"Navigational",IF(SUMPRODUCT(ISNUMBER(SEARCH(" "&amp;Settings!$L$5:$L$124&amp;" "," "&amp;M301&amp;" "))*(Settings!$K$5:$K$124="Transactional")*(Settings!$L$5:$L$124&lt;&gt;""))&gt;0,"Transactional",IF(SUMPRODUCT(ISNUMBER(SEARCH(" "&amp;Settings!$L$5:$L$124&amp;" "," "&amp;M301&amp;" "))*(Settings!$K$5:$K$124="Commercial")*(Settings!$L$5:$L$124&lt;&gt;""))&gt;0,"Commercial",IF(SUMPRODUCT(ISNUMBER(SEARCH(" "&amp;Settings!$L$5:$L$124&amp;" "," "&amp;M301&amp;" "))*(Settings!$K$5:$K$124="Informational")*(Settings!$L$5:$L$124&lt;&gt;""))&gt;0,"Informational","Unclassified")))))</f>
        <v/>
      </c>
      <c r="O301">
        <f>IF(A301="","",IF(K301&lt;&gt;"",PROPER(K301),N301))</f>
        <v/>
      </c>
      <c r="P301">
        <f>IF(A301="","",ROUND(Settings!$B$5*MIN(1,LOG10(N(C301)+1)/LOG10(Settings!$B$7+1))+Settings!$B$6*(1-MIN(100,IF(D301="",50,N(D301)))/100)+IFERROR(INDEX(Settings!$B$10:$B$14,MATCH(O301,Settings!$A$10:$A$14,0)),0),0))</f>
        <v/>
      </c>
      <c r="Q301">
        <f>IF(OR(A301="",G301=""),"",COUNTIFS($M$3:$M$1002,M301,$G$3:$G$1002,"&lt;&gt;"&amp;SUBSTITUTE(SUBSTITUTE(G301,"?","~?"),"*","~*"),$G$3:$G$1002,"?*"))</f>
        <v/>
      </c>
      <c r="R301">
        <f>IF(Q301="","",IF(Q301&gt;0,"Yes","No"))</f>
        <v/>
      </c>
      <c r="S301">
        <f>IF(G301="","",COUNTIFS($G$3:$G$1002,SUBSTITUTE(SUBSTITUTE(G301,"?","~?"),"*","~*"),$J$3:$J$1002,"Primary"))</f>
        <v/>
      </c>
      <c r="T301">
        <f>IF(S301="","",IF(S301&gt;Settings!$B$4,"Yes","No"))</f>
        <v/>
      </c>
      <c r="U301">
        <f>IF(OR(G301="",B301=""),"",IF(COUNTIFS($G$3:$G$1002,SUBSTITUTE(SUBSTITUTE(G301,"?","~?"),"*","~*"),$B$3:$B$1002,"&lt;&gt;"&amp;SUBSTITUTE(SUBSTITUTE(B301,"?","~?"),"*","~*"),$B$3:$B$1002,"?*")&gt;0,"Yes","No"))</f>
        <v/>
      </c>
      <c r="V301">
        <f>IF(OR(G301="",I301="",O301="",O301="Unclassified"),"",IFERROR(INDEX(Settings!$E$5:$H$16,MATCH(I301,Settings!$D$5:$D$16,0),MATCH(O301,Settings!$E$4:$H$4,0)),"Check"))</f>
        <v/>
      </c>
      <c r="W301">
        <f>IF(V301="","",IF(V301="No","Yes","No"))</f>
        <v/>
      </c>
      <c r="X301">
        <f>IF(OR(E301="",G301=""),"",IF(LOWER(IF(RIGHT(TRIM(E301),1)="/",LEFT(TRIM(E301),LEN(TRIM(E301))-1),TRIM(E301)))&lt;&gt;LOWER(IF(RIGHT(TRIM(G301),1)="/",LEFT(TRIM(G301),LEN(TRIM(G301))-1),TRIM(G301))),"Yes","No"))</f>
        <v/>
      </c>
      <c r="Y301">
        <f>IF(A301="","",(N(Q301)&gt;0)+(T301="Yes")+(U301="Yes")+(W301="Yes")+(X301="Yes"))</f>
        <v/>
      </c>
      <c r="Z301">
        <f>IF(A301="","",IF(G301="","Not mapped",IF(Y301=0,"OK",MID(IF(N(Q301)&gt;0,"; Cannibalisation","")&amp;IF(T301="Yes","; Too many primary keywords on URL","")&amp;IF(U301="Yes","; URL spans 2+ clusters","")&amp;IF(W301="Yes","; Intent mismatch","")&amp;IF(X301="Yes","; Ranking URL is not the target",""),3,300))))</f>
        <v/>
      </c>
      <c r="AA301">
        <f>IF(G301="","",IF(COUNTIF($G$3:G301,SUBSTITUTE(SUBSTITUTE(G301,"?","~?"),"*","~*"))=1,MAX($AA$2:AA300)+1,""))</f>
        <v/>
      </c>
      <c r="AB301">
        <f>IF(B301="","",IF(COUNTIF($B$3:B301,SUBSTITUTE(SUBSTITUTE(B301,"?","~?"),"*","~*"))=1,MAX($AB$2:AB300)+1,""))</f>
        <v/>
      </c>
    </row>
    <row r="302">
      <c r="M302">
        <f>IF(A302="","",LOWER(TRIM(SUBSTITUTE(SUBSTITUTE(A302,"?",""),"*",""))))</f>
        <v/>
      </c>
      <c r="N302">
        <f>IF(M302="","",IF(SUMPRODUCT(ISNUMBER(SEARCH(" "&amp;Settings!$L$5:$L$124&amp;" "," "&amp;M302&amp;" "))*(Settings!$K$5:$K$124="Navigational")*(Settings!$L$5:$L$124&lt;&gt;""))&gt;0,"Navigational",IF(SUMPRODUCT(ISNUMBER(SEARCH(" "&amp;Settings!$L$5:$L$124&amp;" "," "&amp;M302&amp;" "))*(Settings!$K$5:$K$124="Transactional")*(Settings!$L$5:$L$124&lt;&gt;""))&gt;0,"Transactional",IF(SUMPRODUCT(ISNUMBER(SEARCH(" "&amp;Settings!$L$5:$L$124&amp;" "," "&amp;M302&amp;" "))*(Settings!$K$5:$K$124="Commercial")*(Settings!$L$5:$L$124&lt;&gt;""))&gt;0,"Commercial",IF(SUMPRODUCT(ISNUMBER(SEARCH(" "&amp;Settings!$L$5:$L$124&amp;" "," "&amp;M302&amp;" "))*(Settings!$K$5:$K$124="Informational")*(Settings!$L$5:$L$124&lt;&gt;""))&gt;0,"Informational","Unclassified")))))</f>
        <v/>
      </c>
      <c r="O302">
        <f>IF(A302="","",IF(K302&lt;&gt;"",PROPER(K302),N302))</f>
        <v/>
      </c>
      <c r="P302">
        <f>IF(A302="","",ROUND(Settings!$B$5*MIN(1,LOG10(N(C302)+1)/LOG10(Settings!$B$7+1))+Settings!$B$6*(1-MIN(100,IF(D302="",50,N(D302)))/100)+IFERROR(INDEX(Settings!$B$10:$B$14,MATCH(O302,Settings!$A$10:$A$14,0)),0),0))</f>
        <v/>
      </c>
      <c r="Q302">
        <f>IF(OR(A302="",G302=""),"",COUNTIFS($M$3:$M$1002,M302,$G$3:$G$1002,"&lt;&gt;"&amp;SUBSTITUTE(SUBSTITUTE(G302,"?","~?"),"*","~*"),$G$3:$G$1002,"?*"))</f>
        <v/>
      </c>
      <c r="R302">
        <f>IF(Q302="","",IF(Q302&gt;0,"Yes","No"))</f>
        <v/>
      </c>
      <c r="S302">
        <f>IF(G302="","",COUNTIFS($G$3:$G$1002,SUBSTITUTE(SUBSTITUTE(G302,"?","~?"),"*","~*"),$J$3:$J$1002,"Primary"))</f>
        <v/>
      </c>
      <c r="T302">
        <f>IF(S302="","",IF(S302&gt;Settings!$B$4,"Yes","No"))</f>
        <v/>
      </c>
      <c r="U302">
        <f>IF(OR(G302="",B302=""),"",IF(COUNTIFS($G$3:$G$1002,SUBSTITUTE(SUBSTITUTE(G302,"?","~?"),"*","~*"),$B$3:$B$1002,"&lt;&gt;"&amp;SUBSTITUTE(SUBSTITUTE(B302,"?","~?"),"*","~*"),$B$3:$B$1002,"?*")&gt;0,"Yes","No"))</f>
        <v/>
      </c>
      <c r="V302">
        <f>IF(OR(G302="",I302="",O302="",O302="Unclassified"),"",IFERROR(INDEX(Settings!$E$5:$H$16,MATCH(I302,Settings!$D$5:$D$16,0),MATCH(O302,Settings!$E$4:$H$4,0)),"Check"))</f>
        <v/>
      </c>
      <c r="W302">
        <f>IF(V302="","",IF(V302="No","Yes","No"))</f>
        <v/>
      </c>
      <c r="X302">
        <f>IF(OR(E302="",G302=""),"",IF(LOWER(IF(RIGHT(TRIM(E302),1)="/",LEFT(TRIM(E302),LEN(TRIM(E302))-1),TRIM(E302)))&lt;&gt;LOWER(IF(RIGHT(TRIM(G302),1)="/",LEFT(TRIM(G302),LEN(TRIM(G302))-1),TRIM(G302))),"Yes","No"))</f>
        <v/>
      </c>
      <c r="Y302">
        <f>IF(A302="","",(N(Q302)&gt;0)+(T302="Yes")+(U302="Yes")+(W302="Yes")+(X302="Yes"))</f>
        <v/>
      </c>
      <c r="Z302">
        <f>IF(A302="","",IF(G302="","Not mapped",IF(Y302=0,"OK",MID(IF(N(Q302)&gt;0,"; Cannibalisation","")&amp;IF(T302="Yes","; Too many primary keywords on URL","")&amp;IF(U302="Yes","; URL spans 2+ clusters","")&amp;IF(W302="Yes","; Intent mismatch","")&amp;IF(X302="Yes","; Ranking URL is not the target",""),3,300))))</f>
        <v/>
      </c>
      <c r="AA302">
        <f>IF(G302="","",IF(COUNTIF($G$3:G302,SUBSTITUTE(SUBSTITUTE(G302,"?","~?"),"*","~*"))=1,MAX($AA$2:AA301)+1,""))</f>
        <v/>
      </c>
      <c r="AB302">
        <f>IF(B302="","",IF(COUNTIF($B$3:B302,SUBSTITUTE(SUBSTITUTE(B302,"?","~?"),"*","~*"))=1,MAX($AB$2:AB301)+1,""))</f>
        <v/>
      </c>
    </row>
    <row r="303">
      <c r="M303">
        <f>IF(A303="","",LOWER(TRIM(SUBSTITUTE(SUBSTITUTE(A303,"?",""),"*",""))))</f>
        <v/>
      </c>
      <c r="N303">
        <f>IF(M303="","",IF(SUMPRODUCT(ISNUMBER(SEARCH(" "&amp;Settings!$L$5:$L$124&amp;" "," "&amp;M303&amp;" "))*(Settings!$K$5:$K$124="Navigational")*(Settings!$L$5:$L$124&lt;&gt;""))&gt;0,"Navigational",IF(SUMPRODUCT(ISNUMBER(SEARCH(" "&amp;Settings!$L$5:$L$124&amp;" "," "&amp;M303&amp;" "))*(Settings!$K$5:$K$124="Transactional")*(Settings!$L$5:$L$124&lt;&gt;""))&gt;0,"Transactional",IF(SUMPRODUCT(ISNUMBER(SEARCH(" "&amp;Settings!$L$5:$L$124&amp;" "," "&amp;M303&amp;" "))*(Settings!$K$5:$K$124="Commercial")*(Settings!$L$5:$L$124&lt;&gt;""))&gt;0,"Commercial",IF(SUMPRODUCT(ISNUMBER(SEARCH(" "&amp;Settings!$L$5:$L$124&amp;" "," "&amp;M303&amp;" "))*(Settings!$K$5:$K$124="Informational")*(Settings!$L$5:$L$124&lt;&gt;""))&gt;0,"Informational","Unclassified")))))</f>
        <v/>
      </c>
      <c r="O303">
        <f>IF(A303="","",IF(K303&lt;&gt;"",PROPER(K303),N303))</f>
        <v/>
      </c>
      <c r="P303">
        <f>IF(A303="","",ROUND(Settings!$B$5*MIN(1,LOG10(N(C303)+1)/LOG10(Settings!$B$7+1))+Settings!$B$6*(1-MIN(100,IF(D303="",50,N(D303)))/100)+IFERROR(INDEX(Settings!$B$10:$B$14,MATCH(O303,Settings!$A$10:$A$14,0)),0),0))</f>
        <v/>
      </c>
      <c r="Q303">
        <f>IF(OR(A303="",G303=""),"",COUNTIFS($M$3:$M$1002,M303,$G$3:$G$1002,"&lt;&gt;"&amp;SUBSTITUTE(SUBSTITUTE(G303,"?","~?"),"*","~*"),$G$3:$G$1002,"?*"))</f>
        <v/>
      </c>
      <c r="R303">
        <f>IF(Q303="","",IF(Q303&gt;0,"Yes","No"))</f>
        <v/>
      </c>
      <c r="S303">
        <f>IF(G303="","",COUNTIFS($G$3:$G$1002,SUBSTITUTE(SUBSTITUTE(G303,"?","~?"),"*","~*"),$J$3:$J$1002,"Primary"))</f>
        <v/>
      </c>
      <c r="T303">
        <f>IF(S303="","",IF(S303&gt;Settings!$B$4,"Yes","No"))</f>
        <v/>
      </c>
      <c r="U303">
        <f>IF(OR(G303="",B303=""),"",IF(COUNTIFS($G$3:$G$1002,SUBSTITUTE(SUBSTITUTE(G303,"?","~?"),"*","~*"),$B$3:$B$1002,"&lt;&gt;"&amp;SUBSTITUTE(SUBSTITUTE(B303,"?","~?"),"*","~*"),$B$3:$B$1002,"?*")&gt;0,"Yes","No"))</f>
        <v/>
      </c>
      <c r="V303">
        <f>IF(OR(G303="",I303="",O303="",O303="Unclassified"),"",IFERROR(INDEX(Settings!$E$5:$H$16,MATCH(I303,Settings!$D$5:$D$16,0),MATCH(O303,Settings!$E$4:$H$4,0)),"Check"))</f>
        <v/>
      </c>
      <c r="W303">
        <f>IF(V303="","",IF(V303="No","Yes","No"))</f>
        <v/>
      </c>
      <c r="X303">
        <f>IF(OR(E303="",G303=""),"",IF(LOWER(IF(RIGHT(TRIM(E303),1)="/",LEFT(TRIM(E303),LEN(TRIM(E303))-1),TRIM(E303)))&lt;&gt;LOWER(IF(RIGHT(TRIM(G303),1)="/",LEFT(TRIM(G303),LEN(TRIM(G303))-1),TRIM(G303))),"Yes","No"))</f>
        <v/>
      </c>
      <c r="Y303">
        <f>IF(A303="","",(N(Q303)&gt;0)+(T303="Yes")+(U303="Yes")+(W303="Yes")+(X303="Yes"))</f>
        <v/>
      </c>
      <c r="Z303">
        <f>IF(A303="","",IF(G303="","Not mapped",IF(Y303=0,"OK",MID(IF(N(Q303)&gt;0,"; Cannibalisation","")&amp;IF(T303="Yes","; Too many primary keywords on URL","")&amp;IF(U303="Yes","; URL spans 2+ clusters","")&amp;IF(W303="Yes","; Intent mismatch","")&amp;IF(X303="Yes","; Ranking URL is not the target",""),3,300))))</f>
        <v/>
      </c>
      <c r="AA303">
        <f>IF(G303="","",IF(COUNTIF($G$3:G303,SUBSTITUTE(SUBSTITUTE(G303,"?","~?"),"*","~*"))=1,MAX($AA$2:AA302)+1,""))</f>
        <v/>
      </c>
      <c r="AB303">
        <f>IF(B303="","",IF(COUNTIF($B$3:B303,SUBSTITUTE(SUBSTITUTE(B303,"?","~?"),"*","~*"))=1,MAX($AB$2:AB302)+1,""))</f>
        <v/>
      </c>
    </row>
    <row r="304">
      <c r="M304">
        <f>IF(A304="","",LOWER(TRIM(SUBSTITUTE(SUBSTITUTE(A304,"?",""),"*",""))))</f>
        <v/>
      </c>
      <c r="N304">
        <f>IF(M304="","",IF(SUMPRODUCT(ISNUMBER(SEARCH(" "&amp;Settings!$L$5:$L$124&amp;" "," "&amp;M304&amp;" "))*(Settings!$K$5:$K$124="Navigational")*(Settings!$L$5:$L$124&lt;&gt;""))&gt;0,"Navigational",IF(SUMPRODUCT(ISNUMBER(SEARCH(" "&amp;Settings!$L$5:$L$124&amp;" "," "&amp;M304&amp;" "))*(Settings!$K$5:$K$124="Transactional")*(Settings!$L$5:$L$124&lt;&gt;""))&gt;0,"Transactional",IF(SUMPRODUCT(ISNUMBER(SEARCH(" "&amp;Settings!$L$5:$L$124&amp;" "," "&amp;M304&amp;" "))*(Settings!$K$5:$K$124="Commercial")*(Settings!$L$5:$L$124&lt;&gt;""))&gt;0,"Commercial",IF(SUMPRODUCT(ISNUMBER(SEARCH(" "&amp;Settings!$L$5:$L$124&amp;" "," "&amp;M304&amp;" "))*(Settings!$K$5:$K$124="Informational")*(Settings!$L$5:$L$124&lt;&gt;""))&gt;0,"Informational","Unclassified")))))</f>
        <v/>
      </c>
      <c r="O304">
        <f>IF(A304="","",IF(K304&lt;&gt;"",PROPER(K304),N304))</f>
        <v/>
      </c>
      <c r="P304">
        <f>IF(A304="","",ROUND(Settings!$B$5*MIN(1,LOG10(N(C304)+1)/LOG10(Settings!$B$7+1))+Settings!$B$6*(1-MIN(100,IF(D304="",50,N(D304)))/100)+IFERROR(INDEX(Settings!$B$10:$B$14,MATCH(O304,Settings!$A$10:$A$14,0)),0),0))</f>
        <v/>
      </c>
      <c r="Q304">
        <f>IF(OR(A304="",G304=""),"",COUNTIFS($M$3:$M$1002,M304,$G$3:$G$1002,"&lt;&gt;"&amp;SUBSTITUTE(SUBSTITUTE(G304,"?","~?"),"*","~*"),$G$3:$G$1002,"?*"))</f>
        <v/>
      </c>
      <c r="R304">
        <f>IF(Q304="","",IF(Q304&gt;0,"Yes","No"))</f>
        <v/>
      </c>
      <c r="S304">
        <f>IF(G304="","",COUNTIFS($G$3:$G$1002,SUBSTITUTE(SUBSTITUTE(G304,"?","~?"),"*","~*"),$J$3:$J$1002,"Primary"))</f>
        <v/>
      </c>
      <c r="T304">
        <f>IF(S304="","",IF(S304&gt;Settings!$B$4,"Yes","No"))</f>
        <v/>
      </c>
      <c r="U304">
        <f>IF(OR(G304="",B304=""),"",IF(COUNTIFS($G$3:$G$1002,SUBSTITUTE(SUBSTITUTE(G304,"?","~?"),"*","~*"),$B$3:$B$1002,"&lt;&gt;"&amp;SUBSTITUTE(SUBSTITUTE(B304,"?","~?"),"*","~*"),$B$3:$B$1002,"?*")&gt;0,"Yes","No"))</f>
        <v/>
      </c>
      <c r="V304">
        <f>IF(OR(G304="",I304="",O304="",O304="Unclassified"),"",IFERROR(INDEX(Settings!$E$5:$H$16,MATCH(I304,Settings!$D$5:$D$16,0),MATCH(O304,Settings!$E$4:$H$4,0)),"Check"))</f>
        <v/>
      </c>
      <c r="W304">
        <f>IF(V304="","",IF(V304="No","Yes","No"))</f>
        <v/>
      </c>
      <c r="X304">
        <f>IF(OR(E304="",G304=""),"",IF(LOWER(IF(RIGHT(TRIM(E304),1)="/",LEFT(TRIM(E304),LEN(TRIM(E304))-1),TRIM(E304)))&lt;&gt;LOWER(IF(RIGHT(TRIM(G304),1)="/",LEFT(TRIM(G304),LEN(TRIM(G304))-1),TRIM(G304))),"Yes","No"))</f>
        <v/>
      </c>
      <c r="Y304">
        <f>IF(A304="","",(N(Q304)&gt;0)+(T304="Yes")+(U304="Yes")+(W304="Yes")+(X304="Yes"))</f>
        <v/>
      </c>
      <c r="Z304">
        <f>IF(A304="","",IF(G304="","Not mapped",IF(Y304=0,"OK",MID(IF(N(Q304)&gt;0,"; Cannibalisation","")&amp;IF(T304="Yes","; Too many primary keywords on URL","")&amp;IF(U304="Yes","; URL spans 2+ clusters","")&amp;IF(W304="Yes","; Intent mismatch","")&amp;IF(X304="Yes","; Ranking URL is not the target",""),3,300))))</f>
        <v/>
      </c>
      <c r="AA304">
        <f>IF(G304="","",IF(COUNTIF($G$3:G304,SUBSTITUTE(SUBSTITUTE(G304,"?","~?"),"*","~*"))=1,MAX($AA$2:AA303)+1,""))</f>
        <v/>
      </c>
      <c r="AB304">
        <f>IF(B304="","",IF(COUNTIF($B$3:B304,SUBSTITUTE(SUBSTITUTE(B304,"?","~?"),"*","~*"))=1,MAX($AB$2:AB303)+1,""))</f>
        <v/>
      </c>
    </row>
    <row r="305">
      <c r="M305">
        <f>IF(A305="","",LOWER(TRIM(SUBSTITUTE(SUBSTITUTE(A305,"?",""),"*",""))))</f>
        <v/>
      </c>
      <c r="N305">
        <f>IF(M305="","",IF(SUMPRODUCT(ISNUMBER(SEARCH(" "&amp;Settings!$L$5:$L$124&amp;" "," "&amp;M305&amp;" "))*(Settings!$K$5:$K$124="Navigational")*(Settings!$L$5:$L$124&lt;&gt;""))&gt;0,"Navigational",IF(SUMPRODUCT(ISNUMBER(SEARCH(" "&amp;Settings!$L$5:$L$124&amp;" "," "&amp;M305&amp;" "))*(Settings!$K$5:$K$124="Transactional")*(Settings!$L$5:$L$124&lt;&gt;""))&gt;0,"Transactional",IF(SUMPRODUCT(ISNUMBER(SEARCH(" "&amp;Settings!$L$5:$L$124&amp;" "," "&amp;M305&amp;" "))*(Settings!$K$5:$K$124="Commercial")*(Settings!$L$5:$L$124&lt;&gt;""))&gt;0,"Commercial",IF(SUMPRODUCT(ISNUMBER(SEARCH(" "&amp;Settings!$L$5:$L$124&amp;" "," "&amp;M305&amp;" "))*(Settings!$K$5:$K$124="Informational")*(Settings!$L$5:$L$124&lt;&gt;""))&gt;0,"Informational","Unclassified")))))</f>
        <v/>
      </c>
      <c r="O305">
        <f>IF(A305="","",IF(K305&lt;&gt;"",PROPER(K305),N305))</f>
        <v/>
      </c>
      <c r="P305">
        <f>IF(A305="","",ROUND(Settings!$B$5*MIN(1,LOG10(N(C305)+1)/LOG10(Settings!$B$7+1))+Settings!$B$6*(1-MIN(100,IF(D305="",50,N(D305)))/100)+IFERROR(INDEX(Settings!$B$10:$B$14,MATCH(O305,Settings!$A$10:$A$14,0)),0),0))</f>
        <v/>
      </c>
      <c r="Q305">
        <f>IF(OR(A305="",G305=""),"",COUNTIFS($M$3:$M$1002,M305,$G$3:$G$1002,"&lt;&gt;"&amp;SUBSTITUTE(SUBSTITUTE(G305,"?","~?"),"*","~*"),$G$3:$G$1002,"?*"))</f>
        <v/>
      </c>
      <c r="R305">
        <f>IF(Q305="","",IF(Q305&gt;0,"Yes","No"))</f>
        <v/>
      </c>
      <c r="S305">
        <f>IF(G305="","",COUNTIFS($G$3:$G$1002,SUBSTITUTE(SUBSTITUTE(G305,"?","~?"),"*","~*"),$J$3:$J$1002,"Primary"))</f>
        <v/>
      </c>
      <c r="T305">
        <f>IF(S305="","",IF(S305&gt;Settings!$B$4,"Yes","No"))</f>
        <v/>
      </c>
      <c r="U305">
        <f>IF(OR(G305="",B305=""),"",IF(COUNTIFS($G$3:$G$1002,SUBSTITUTE(SUBSTITUTE(G305,"?","~?"),"*","~*"),$B$3:$B$1002,"&lt;&gt;"&amp;SUBSTITUTE(SUBSTITUTE(B305,"?","~?"),"*","~*"),$B$3:$B$1002,"?*")&gt;0,"Yes","No"))</f>
        <v/>
      </c>
      <c r="V305">
        <f>IF(OR(G305="",I305="",O305="",O305="Unclassified"),"",IFERROR(INDEX(Settings!$E$5:$H$16,MATCH(I305,Settings!$D$5:$D$16,0),MATCH(O305,Settings!$E$4:$H$4,0)),"Check"))</f>
        <v/>
      </c>
      <c r="W305">
        <f>IF(V305="","",IF(V305="No","Yes","No"))</f>
        <v/>
      </c>
      <c r="X305">
        <f>IF(OR(E305="",G305=""),"",IF(LOWER(IF(RIGHT(TRIM(E305),1)="/",LEFT(TRIM(E305),LEN(TRIM(E305))-1),TRIM(E305)))&lt;&gt;LOWER(IF(RIGHT(TRIM(G305),1)="/",LEFT(TRIM(G305),LEN(TRIM(G305))-1),TRIM(G305))),"Yes","No"))</f>
        <v/>
      </c>
      <c r="Y305">
        <f>IF(A305="","",(N(Q305)&gt;0)+(T305="Yes")+(U305="Yes")+(W305="Yes")+(X305="Yes"))</f>
        <v/>
      </c>
      <c r="Z305">
        <f>IF(A305="","",IF(G305="","Not mapped",IF(Y305=0,"OK",MID(IF(N(Q305)&gt;0,"; Cannibalisation","")&amp;IF(T305="Yes","; Too many primary keywords on URL","")&amp;IF(U305="Yes","; URL spans 2+ clusters","")&amp;IF(W305="Yes","; Intent mismatch","")&amp;IF(X305="Yes","; Ranking URL is not the target",""),3,300))))</f>
        <v/>
      </c>
      <c r="AA305">
        <f>IF(G305="","",IF(COUNTIF($G$3:G305,SUBSTITUTE(SUBSTITUTE(G305,"?","~?"),"*","~*"))=1,MAX($AA$2:AA304)+1,""))</f>
        <v/>
      </c>
      <c r="AB305">
        <f>IF(B305="","",IF(COUNTIF($B$3:B305,SUBSTITUTE(SUBSTITUTE(B305,"?","~?"),"*","~*"))=1,MAX($AB$2:AB304)+1,""))</f>
        <v/>
      </c>
    </row>
    <row r="306">
      <c r="M306">
        <f>IF(A306="","",LOWER(TRIM(SUBSTITUTE(SUBSTITUTE(A306,"?",""),"*",""))))</f>
        <v/>
      </c>
      <c r="N306">
        <f>IF(M306="","",IF(SUMPRODUCT(ISNUMBER(SEARCH(" "&amp;Settings!$L$5:$L$124&amp;" "," "&amp;M306&amp;" "))*(Settings!$K$5:$K$124="Navigational")*(Settings!$L$5:$L$124&lt;&gt;""))&gt;0,"Navigational",IF(SUMPRODUCT(ISNUMBER(SEARCH(" "&amp;Settings!$L$5:$L$124&amp;" "," "&amp;M306&amp;" "))*(Settings!$K$5:$K$124="Transactional")*(Settings!$L$5:$L$124&lt;&gt;""))&gt;0,"Transactional",IF(SUMPRODUCT(ISNUMBER(SEARCH(" "&amp;Settings!$L$5:$L$124&amp;" "," "&amp;M306&amp;" "))*(Settings!$K$5:$K$124="Commercial")*(Settings!$L$5:$L$124&lt;&gt;""))&gt;0,"Commercial",IF(SUMPRODUCT(ISNUMBER(SEARCH(" "&amp;Settings!$L$5:$L$124&amp;" "," "&amp;M306&amp;" "))*(Settings!$K$5:$K$124="Informational")*(Settings!$L$5:$L$124&lt;&gt;""))&gt;0,"Informational","Unclassified")))))</f>
        <v/>
      </c>
      <c r="O306">
        <f>IF(A306="","",IF(K306&lt;&gt;"",PROPER(K306),N306))</f>
        <v/>
      </c>
      <c r="P306">
        <f>IF(A306="","",ROUND(Settings!$B$5*MIN(1,LOG10(N(C306)+1)/LOG10(Settings!$B$7+1))+Settings!$B$6*(1-MIN(100,IF(D306="",50,N(D306)))/100)+IFERROR(INDEX(Settings!$B$10:$B$14,MATCH(O306,Settings!$A$10:$A$14,0)),0),0))</f>
        <v/>
      </c>
      <c r="Q306">
        <f>IF(OR(A306="",G306=""),"",COUNTIFS($M$3:$M$1002,M306,$G$3:$G$1002,"&lt;&gt;"&amp;SUBSTITUTE(SUBSTITUTE(G306,"?","~?"),"*","~*"),$G$3:$G$1002,"?*"))</f>
        <v/>
      </c>
      <c r="R306">
        <f>IF(Q306="","",IF(Q306&gt;0,"Yes","No"))</f>
        <v/>
      </c>
      <c r="S306">
        <f>IF(G306="","",COUNTIFS($G$3:$G$1002,SUBSTITUTE(SUBSTITUTE(G306,"?","~?"),"*","~*"),$J$3:$J$1002,"Primary"))</f>
        <v/>
      </c>
      <c r="T306">
        <f>IF(S306="","",IF(S306&gt;Settings!$B$4,"Yes","No"))</f>
        <v/>
      </c>
      <c r="U306">
        <f>IF(OR(G306="",B306=""),"",IF(COUNTIFS($G$3:$G$1002,SUBSTITUTE(SUBSTITUTE(G306,"?","~?"),"*","~*"),$B$3:$B$1002,"&lt;&gt;"&amp;SUBSTITUTE(SUBSTITUTE(B306,"?","~?"),"*","~*"),$B$3:$B$1002,"?*")&gt;0,"Yes","No"))</f>
        <v/>
      </c>
      <c r="V306">
        <f>IF(OR(G306="",I306="",O306="",O306="Unclassified"),"",IFERROR(INDEX(Settings!$E$5:$H$16,MATCH(I306,Settings!$D$5:$D$16,0),MATCH(O306,Settings!$E$4:$H$4,0)),"Check"))</f>
        <v/>
      </c>
      <c r="W306">
        <f>IF(V306="","",IF(V306="No","Yes","No"))</f>
        <v/>
      </c>
      <c r="X306">
        <f>IF(OR(E306="",G306=""),"",IF(LOWER(IF(RIGHT(TRIM(E306),1)="/",LEFT(TRIM(E306),LEN(TRIM(E306))-1),TRIM(E306)))&lt;&gt;LOWER(IF(RIGHT(TRIM(G306),1)="/",LEFT(TRIM(G306),LEN(TRIM(G306))-1),TRIM(G306))),"Yes","No"))</f>
        <v/>
      </c>
      <c r="Y306">
        <f>IF(A306="","",(N(Q306)&gt;0)+(T306="Yes")+(U306="Yes")+(W306="Yes")+(X306="Yes"))</f>
        <v/>
      </c>
      <c r="Z306">
        <f>IF(A306="","",IF(G306="","Not mapped",IF(Y306=0,"OK",MID(IF(N(Q306)&gt;0,"; Cannibalisation","")&amp;IF(T306="Yes","; Too many primary keywords on URL","")&amp;IF(U306="Yes","; URL spans 2+ clusters","")&amp;IF(W306="Yes","; Intent mismatch","")&amp;IF(X306="Yes","; Ranking URL is not the target",""),3,300))))</f>
        <v/>
      </c>
      <c r="AA306">
        <f>IF(G306="","",IF(COUNTIF($G$3:G306,SUBSTITUTE(SUBSTITUTE(G306,"?","~?"),"*","~*"))=1,MAX($AA$2:AA305)+1,""))</f>
        <v/>
      </c>
      <c r="AB306">
        <f>IF(B306="","",IF(COUNTIF($B$3:B306,SUBSTITUTE(SUBSTITUTE(B306,"?","~?"),"*","~*"))=1,MAX($AB$2:AB305)+1,""))</f>
        <v/>
      </c>
    </row>
    <row r="307">
      <c r="M307">
        <f>IF(A307="","",LOWER(TRIM(SUBSTITUTE(SUBSTITUTE(A307,"?",""),"*",""))))</f>
        <v/>
      </c>
      <c r="N307">
        <f>IF(M307="","",IF(SUMPRODUCT(ISNUMBER(SEARCH(" "&amp;Settings!$L$5:$L$124&amp;" "," "&amp;M307&amp;" "))*(Settings!$K$5:$K$124="Navigational")*(Settings!$L$5:$L$124&lt;&gt;""))&gt;0,"Navigational",IF(SUMPRODUCT(ISNUMBER(SEARCH(" "&amp;Settings!$L$5:$L$124&amp;" "," "&amp;M307&amp;" "))*(Settings!$K$5:$K$124="Transactional")*(Settings!$L$5:$L$124&lt;&gt;""))&gt;0,"Transactional",IF(SUMPRODUCT(ISNUMBER(SEARCH(" "&amp;Settings!$L$5:$L$124&amp;" "," "&amp;M307&amp;" "))*(Settings!$K$5:$K$124="Commercial")*(Settings!$L$5:$L$124&lt;&gt;""))&gt;0,"Commercial",IF(SUMPRODUCT(ISNUMBER(SEARCH(" "&amp;Settings!$L$5:$L$124&amp;" "," "&amp;M307&amp;" "))*(Settings!$K$5:$K$124="Informational")*(Settings!$L$5:$L$124&lt;&gt;""))&gt;0,"Informational","Unclassified")))))</f>
        <v/>
      </c>
      <c r="O307">
        <f>IF(A307="","",IF(K307&lt;&gt;"",PROPER(K307),N307))</f>
        <v/>
      </c>
      <c r="P307">
        <f>IF(A307="","",ROUND(Settings!$B$5*MIN(1,LOG10(N(C307)+1)/LOG10(Settings!$B$7+1))+Settings!$B$6*(1-MIN(100,IF(D307="",50,N(D307)))/100)+IFERROR(INDEX(Settings!$B$10:$B$14,MATCH(O307,Settings!$A$10:$A$14,0)),0),0))</f>
        <v/>
      </c>
      <c r="Q307">
        <f>IF(OR(A307="",G307=""),"",COUNTIFS($M$3:$M$1002,M307,$G$3:$G$1002,"&lt;&gt;"&amp;SUBSTITUTE(SUBSTITUTE(G307,"?","~?"),"*","~*"),$G$3:$G$1002,"?*"))</f>
        <v/>
      </c>
      <c r="R307">
        <f>IF(Q307="","",IF(Q307&gt;0,"Yes","No"))</f>
        <v/>
      </c>
      <c r="S307">
        <f>IF(G307="","",COUNTIFS($G$3:$G$1002,SUBSTITUTE(SUBSTITUTE(G307,"?","~?"),"*","~*"),$J$3:$J$1002,"Primary"))</f>
        <v/>
      </c>
      <c r="T307">
        <f>IF(S307="","",IF(S307&gt;Settings!$B$4,"Yes","No"))</f>
        <v/>
      </c>
      <c r="U307">
        <f>IF(OR(G307="",B307=""),"",IF(COUNTIFS($G$3:$G$1002,SUBSTITUTE(SUBSTITUTE(G307,"?","~?"),"*","~*"),$B$3:$B$1002,"&lt;&gt;"&amp;SUBSTITUTE(SUBSTITUTE(B307,"?","~?"),"*","~*"),$B$3:$B$1002,"?*")&gt;0,"Yes","No"))</f>
        <v/>
      </c>
      <c r="V307">
        <f>IF(OR(G307="",I307="",O307="",O307="Unclassified"),"",IFERROR(INDEX(Settings!$E$5:$H$16,MATCH(I307,Settings!$D$5:$D$16,0),MATCH(O307,Settings!$E$4:$H$4,0)),"Check"))</f>
        <v/>
      </c>
      <c r="W307">
        <f>IF(V307="","",IF(V307="No","Yes","No"))</f>
        <v/>
      </c>
      <c r="X307">
        <f>IF(OR(E307="",G307=""),"",IF(LOWER(IF(RIGHT(TRIM(E307),1)="/",LEFT(TRIM(E307),LEN(TRIM(E307))-1),TRIM(E307)))&lt;&gt;LOWER(IF(RIGHT(TRIM(G307),1)="/",LEFT(TRIM(G307),LEN(TRIM(G307))-1),TRIM(G307))),"Yes","No"))</f>
        <v/>
      </c>
      <c r="Y307">
        <f>IF(A307="","",(N(Q307)&gt;0)+(T307="Yes")+(U307="Yes")+(W307="Yes")+(X307="Yes"))</f>
        <v/>
      </c>
      <c r="Z307">
        <f>IF(A307="","",IF(G307="","Not mapped",IF(Y307=0,"OK",MID(IF(N(Q307)&gt;0,"; Cannibalisation","")&amp;IF(T307="Yes","; Too many primary keywords on URL","")&amp;IF(U307="Yes","; URL spans 2+ clusters","")&amp;IF(W307="Yes","; Intent mismatch","")&amp;IF(X307="Yes","; Ranking URL is not the target",""),3,300))))</f>
        <v/>
      </c>
      <c r="AA307">
        <f>IF(G307="","",IF(COUNTIF($G$3:G307,SUBSTITUTE(SUBSTITUTE(G307,"?","~?"),"*","~*"))=1,MAX($AA$2:AA306)+1,""))</f>
        <v/>
      </c>
      <c r="AB307">
        <f>IF(B307="","",IF(COUNTIF($B$3:B307,SUBSTITUTE(SUBSTITUTE(B307,"?","~?"),"*","~*"))=1,MAX($AB$2:AB306)+1,""))</f>
        <v/>
      </c>
    </row>
    <row r="308">
      <c r="M308">
        <f>IF(A308="","",LOWER(TRIM(SUBSTITUTE(SUBSTITUTE(A308,"?",""),"*",""))))</f>
        <v/>
      </c>
      <c r="N308">
        <f>IF(M308="","",IF(SUMPRODUCT(ISNUMBER(SEARCH(" "&amp;Settings!$L$5:$L$124&amp;" "," "&amp;M308&amp;" "))*(Settings!$K$5:$K$124="Navigational")*(Settings!$L$5:$L$124&lt;&gt;""))&gt;0,"Navigational",IF(SUMPRODUCT(ISNUMBER(SEARCH(" "&amp;Settings!$L$5:$L$124&amp;" "," "&amp;M308&amp;" "))*(Settings!$K$5:$K$124="Transactional")*(Settings!$L$5:$L$124&lt;&gt;""))&gt;0,"Transactional",IF(SUMPRODUCT(ISNUMBER(SEARCH(" "&amp;Settings!$L$5:$L$124&amp;" "," "&amp;M308&amp;" "))*(Settings!$K$5:$K$124="Commercial")*(Settings!$L$5:$L$124&lt;&gt;""))&gt;0,"Commercial",IF(SUMPRODUCT(ISNUMBER(SEARCH(" "&amp;Settings!$L$5:$L$124&amp;" "," "&amp;M308&amp;" "))*(Settings!$K$5:$K$124="Informational")*(Settings!$L$5:$L$124&lt;&gt;""))&gt;0,"Informational","Unclassified")))))</f>
        <v/>
      </c>
      <c r="O308">
        <f>IF(A308="","",IF(K308&lt;&gt;"",PROPER(K308),N308))</f>
        <v/>
      </c>
      <c r="P308">
        <f>IF(A308="","",ROUND(Settings!$B$5*MIN(1,LOG10(N(C308)+1)/LOG10(Settings!$B$7+1))+Settings!$B$6*(1-MIN(100,IF(D308="",50,N(D308)))/100)+IFERROR(INDEX(Settings!$B$10:$B$14,MATCH(O308,Settings!$A$10:$A$14,0)),0),0))</f>
        <v/>
      </c>
      <c r="Q308">
        <f>IF(OR(A308="",G308=""),"",COUNTIFS($M$3:$M$1002,M308,$G$3:$G$1002,"&lt;&gt;"&amp;SUBSTITUTE(SUBSTITUTE(G308,"?","~?"),"*","~*"),$G$3:$G$1002,"?*"))</f>
        <v/>
      </c>
      <c r="R308">
        <f>IF(Q308="","",IF(Q308&gt;0,"Yes","No"))</f>
        <v/>
      </c>
      <c r="S308">
        <f>IF(G308="","",COUNTIFS($G$3:$G$1002,SUBSTITUTE(SUBSTITUTE(G308,"?","~?"),"*","~*"),$J$3:$J$1002,"Primary"))</f>
        <v/>
      </c>
      <c r="T308">
        <f>IF(S308="","",IF(S308&gt;Settings!$B$4,"Yes","No"))</f>
        <v/>
      </c>
      <c r="U308">
        <f>IF(OR(G308="",B308=""),"",IF(COUNTIFS($G$3:$G$1002,SUBSTITUTE(SUBSTITUTE(G308,"?","~?"),"*","~*"),$B$3:$B$1002,"&lt;&gt;"&amp;SUBSTITUTE(SUBSTITUTE(B308,"?","~?"),"*","~*"),$B$3:$B$1002,"?*")&gt;0,"Yes","No"))</f>
        <v/>
      </c>
      <c r="V308">
        <f>IF(OR(G308="",I308="",O308="",O308="Unclassified"),"",IFERROR(INDEX(Settings!$E$5:$H$16,MATCH(I308,Settings!$D$5:$D$16,0),MATCH(O308,Settings!$E$4:$H$4,0)),"Check"))</f>
        <v/>
      </c>
      <c r="W308">
        <f>IF(V308="","",IF(V308="No","Yes","No"))</f>
        <v/>
      </c>
      <c r="X308">
        <f>IF(OR(E308="",G308=""),"",IF(LOWER(IF(RIGHT(TRIM(E308),1)="/",LEFT(TRIM(E308),LEN(TRIM(E308))-1),TRIM(E308)))&lt;&gt;LOWER(IF(RIGHT(TRIM(G308),1)="/",LEFT(TRIM(G308),LEN(TRIM(G308))-1),TRIM(G308))),"Yes","No"))</f>
        <v/>
      </c>
      <c r="Y308">
        <f>IF(A308="","",(N(Q308)&gt;0)+(T308="Yes")+(U308="Yes")+(W308="Yes")+(X308="Yes"))</f>
        <v/>
      </c>
      <c r="Z308">
        <f>IF(A308="","",IF(G308="","Not mapped",IF(Y308=0,"OK",MID(IF(N(Q308)&gt;0,"; Cannibalisation","")&amp;IF(T308="Yes","; Too many primary keywords on URL","")&amp;IF(U308="Yes","; URL spans 2+ clusters","")&amp;IF(W308="Yes","; Intent mismatch","")&amp;IF(X308="Yes","; Ranking URL is not the target",""),3,300))))</f>
        <v/>
      </c>
      <c r="AA308">
        <f>IF(G308="","",IF(COUNTIF($G$3:G308,SUBSTITUTE(SUBSTITUTE(G308,"?","~?"),"*","~*"))=1,MAX($AA$2:AA307)+1,""))</f>
        <v/>
      </c>
      <c r="AB308">
        <f>IF(B308="","",IF(COUNTIF($B$3:B308,SUBSTITUTE(SUBSTITUTE(B308,"?","~?"),"*","~*"))=1,MAX($AB$2:AB307)+1,""))</f>
        <v/>
      </c>
    </row>
    <row r="309">
      <c r="M309">
        <f>IF(A309="","",LOWER(TRIM(SUBSTITUTE(SUBSTITUTE(A309,"?",""),"*",""))))</f>
        <v/>
      </c>
      <c r="N309">
        <f>IF(M309="","",IF(SUMPRODUCT(ISNUMBER(SEARCH(" "&amp;Settings!$L$5:$L$124&amp;" "," "&amp;M309&amp;" "))*(Settings!$K$5:$K$124="Navigational")*(Settings!$L$5:$L$124&lt;&gt;""))&gt;0,"Navigational",IF(SUMPRODUCT(ISNUMBER(SEARCH(" "&amp;Settings!$L$5:$L$124&amp;" "," "&amp;M309&amp;" "))*(Settings!$K$5:$K$124="Transactional")*(Settings!$L$5:$L$124&lt;&gt;""))&gt;0,"Transactional",IF(SUMPRODUCT(ISNUMBER(SEARCH(" "&amp;Settings!$L$5:$L$124&amp;" "," "&amp;M309&amp;" "))*(Settings!$K$5:$K$124="Commercial")*(Settings!$L$5:$L$124&lt;&gt;""))&gt;0,"Commercial",IF(SUMPRODUCT(ISNUMBER(SEARCH(" "&amp;Settings!$L$5:$L$124&amp;" "," "&amp;M309&amp;" "))*(Settings!$K$5:$K$124="Informational")*(Settings!$L$5:$L$124&lt;&gt;""))&gt;0,"Informational","Unclassified")))))</f>
        <v/>
      </c>
      <c r="O309">
        <f>IF(A309="","",IF(K309&lt;&gt;"",PROPER(K309),N309))</f>
        <v/>
      </c>
      <c r="P309">
        <f>IF(A309="","",ROUND(Settings!$B$5*MIN(1,LOG10(N(C309)+1)/LOG10(Settings!$B$7+1))+Settings!$B$6*(1-MIN(100,IF(D309="",50,N(D309)))/100)+IFERROR(INDEX(Settings!$B$10:$B$14,MATCH(O309,Settings!$A$10:$A$14,0)),0),0))</f>
        <v/>
      </c>
      <c r="Q309">
        <f>IF(OR(A309="",G309=""),"",COUNTIFS($M$3:$M$1002,M309,$G$3:$G$1002,"&lt;&gt;"&amp;SUBSTITUTE(SUBSTITUTE(G309,"?","~?"),"*","~*"),$G$3:$G$1002,"?*"))</f>
        <v/>
      </c>
      <c r="R309">
        <f>IF(Q309="","",IF(Q309&gt;0,"Yes","No"))</f>
        <v/>
      </c>
      <c r="S309">
        <f>IF(G309="","",COUNTIFS($G$3:$G$1002,SUBSTITUTE(SUBSTITUTE(G309,"?","~?"),"*","~*"),$J$3:$J$1002,"Primary"))</f>
        <v/>
      </c>
      <c r="T309">
        <f>IF(S309="","",IF(S309&gt;Settings!$B$4,"Yes","No"))</f>
        <v/>
      </c>
      <c r="U309">
        <f>IF(OR(G309="",B309=""),"",IF(COUNTIFS($G$3:$G$1002,SUBSTITUTE(SUBSTITUTE(G309,"?","~?"),"*","~*"),$B$3:$B$1002,"&lt;&gt;"&amp;SUBSTITUTE(SUBSTITUTE(B309,"?","~?"),"*","~*"),$B$3:$B$1002,"?*")&gt;0,"Yes","No"))</f>
        <v/>
      </c>
      <c r="V309">
        <f>IF(OR(G309="",I309="",O309="",O309="Unclassified"),"",IFERROR(INDEX(Settings!$E$5:$H$16,MATCH(I309,Settings!$D$5:$D$16,0),MATCH(O309,Settings!$E$4:$H$4,0)),"Check"))</f>
        <v/>
      </c>
      <c r="W309">
        <f>IF(V309="","",IF(V309="No","Yes","No"))</f>
        <v/>
      </c>
      <c r="X309">
        <f>IF(OR(E309="",G309=""),"",IF(LOWER(IF(RIGHT(TRIM(E309),1)="/",LEFT(TRIM(E309),LEN(TRIM(E309))-1),TRIM(E309)))&lt;&gt;LOWER(IF(RIGHT(TRIM(G309),1)="/",LEFT(TRIM(G309),LEN(TRIM(G309))-1),TRIM(G309))),"Yes","No"))</f>
        <v/>
      </c>
      <c r="Y309">
        <f>IF(A309="","",(N(Q309)&gt;0)+(T309="Yes")+(U309="Yes")+(W309="Yes")+(X309="Yes"))</f>
        <v/>
      </c>
      <c r="Z309">
        <f>IF(A309="","",IF(G309="","Not mapped",IF(Y309=0,"OK",MID(IF(N(Q309)&gt;0,"; Cannibalisation","")&amp;IF(T309="Yes","; Too many primary keywords on URL","")&amp;IF(U309="Yes","; URL spans 2+ clusters","")&amp;IF(W309="Yes","; Intent mismatch","")&amp;IF(X309="Yes","; Ranking URL is not the target",""),3,300))))</f>
        <v/>
      </c>
      <c r="AA309">
        <f>IF(G309="","",IF(COUNTIF($G$3:G309,SUBSTITUTE(SUBSTITUTE(G309,"?","~?"),"*","~*"))=1,MAX($AA$2:AA308)+1,""))</f>
        <v/>
      </c>
      <c r="AB309">
        <f>IF(B309="","",IF(COUNTIF($B$3:B309,SUBSTITUTE(SUBSTITUTE(B309,"?","~?"),"*","~*"))=1,MAX($AB$2:AB308)+1,""))</f>
        <v/>
      </c>
    </row>
    <row r="310">
      <c r="M310">
        <f>IF(A310="","",LOWER(TRIM(SUBSTITUTE(SUBSTITUTE(A310,"?",""),"*",""))))</f>
        <v/>
      </c>
      <c r="N310">
        <f>IF(M310="","",IF(SUMPRODUCT(ISNUMBER(SEARCH(" "&amp;Settings!$L$5:$L$124&amp;" "," "&amp;M310&amp;" "))*(Settings!$K$5:$K$124="Navigational")*(Settings!$L$5:$L$124&lt;&gt;""))&gt;0,"Navigational",IF(SUMPRODUCT(ISNUMBER(SEARCH(" "&amp;Settings!$L$5:$L$124&amp;" "," "&amp;M310&amp;" "))*(Settings!$K$5:$K$124="Transactional")*(Settings!$L$5:$L$124&lt;&gt;""))&gt;0,"Transactional",IF(SUMPRODUCT(ISNUMBER(SEARCH(" "&amp;Settings!$L$5:$L$124&amp;" "," "&amp;M310&amp;" "))*(Settings!$K$5:$K$124="Commercial")*(Settings!$L$5:$L$124&lt;&gt;""))&gt;0,"Commercial",IF(SUMPRODUCT(ISNUMBER(SEARCH(" "&amp;Settings!$L$5:$L$124&amp;" "," "&amp;M310&amp;" "))*(Settings!$K$5:$K$124="Informational")*(Settings!$L$5:$L$124&lt;&gt;""))&gt;0,"Informational","Unclassified")))))</f>
        <v/>
      </c>
      <c r="O310">
        <f>IF(A310="","",IF(K310&lt;&gt;"",PROPER(K310),N310))</f>
        <v/>
      </c>
      <c r="P310">
        <f>IF(A310="","",ROUND(Settings!$B$5*MIN(1,LOG10(N(C310)+1)/LOG10(Settings!$B$7+1))+Settings!$B$6*(1-MIN(100,IF(D310="",50,N(D310)))/100)+IFERROR(INDEX(Settings!$B$10:$B$14,MATCH(O310,Settings!$A$10:$A$14,0)),0),0))</f>
        <v/>
      </c>
      <c r="Q310">
        <f>IF(OR(A310="",G310=""),"",COUNTIFS($M$3:$M$1002,M310,$G$3:$G$1002,"&lt;&gt;"&amp;SUBSTITUTE(SUBSTITUTE(G310,"?","~?"),"*","~*"),$G$3:$G$1002,"?*"))</f>
        <v/>
      </c>
      <c r="R310">
        <f>IF(Q310="","",IF(Q310&gt;0,"Yes","No"))</f>
        <v/>
      </c>
      <c r="S310">
        <f>IF(G310="","",COUNTIFS($G$3:$G$1002,SUBSTITUTE(SUBSTITUTE(G310,"?","~?"),"*","~*"),$J$3:$J$1002,"Primary"))</f>
        <v/>
      </c>
      <c r="T310">
        <f>IF(S310="","",IF(S310&gt;Settings!$B$4,"Yes","No"))</f>
        <v/>
      </c>
      <c r="U310">
        <f>IF(OR(G310="",B310=""),"",IF(COUNTIFS($G$3:$G$1002,SUBSTITUTE(SUBSTITUTE(G310,"?","~?"),"*","~*"),$B$3:$B$1002,"&lt;&gt;"&amp;SUBSTITUTE(SUBSTITUTE(B310,"?","~?"),"*","~*"),$B$3:$B$1002,"?*")&gt;0,"Yes","No"))</f>
        <v/>
      </c>
      <c r="V310">
        <f>IF(OR(G310="",I310="",O310="",O310="Unclassified"),"",IFERROR(INDEX(Settings!$E$5:$H$16,MATCH(I310,Settings!$D$5:$D$16,0),MATCH(O310,Settings!$E$4:$H$4,0)),"Check"))</f>
        <v/>
      </c>
      <c r="W310">
        <f>IF(V310="","",IF(V310="No","Yes","No"))</f>
        <v/>
      </c>
      <c r="X310">
        <f>IF(OR(E310="",G310=""),"",IF(LOWER(IF(RIGHT(TRIM(E310),1)="/",LEFT(TRIM(E310),LEN(TRIM(E310))-1),TRIM(E310)))&lt;&gt;LOWER(IF(RIGHT(TRIM(G310),1)="/",LEFT(TRIM(G310),LEN(TRIM(G310))-1),TRIM(G310))),"Yes","No"))</f>
        <v/>
      </c>
      <c r="Y310">
        <f>IF(A310="","",(N(Q310)&gt;0)+(T310="Yes")+(U310="Yes")+(W310="Yes")+(X310="Yes"))</f>
        <v/>
      </c>
      <c r="Z310">
        <f>IF(A310="","",IF(G310="","Not mapped",IF(Y310=0,"OK",MID(IF(N(Q310)&gt;0,"; Cannibalisation","")&amp;IF(T310="Yes","; Too many primary keywords on URL","")&amp;IF(U310="Yes","; URL spans 2+ clusters","")&amp;IF(W310="Yes","; Intent mismatch","")&amp;IF(X310="Yes","; Ranking URL is not the target",""),3,300))))</f>
        <v/>
      </c>
      <c r="AA310">
        <f>IF(G310="","",IF(COUNTIF($G$3:G310,SUBSTITUTE(SUBSTITUTE(G310,"?","~?"),"*","~*"))=1,MAX($AA$2:AA309)+1,""))</f>
        <v/>
      </c>
      <c r="AB310">
        <f>IF(B310="","",IF(COUNTIF($B$3:B310,SUBSTITUTE(SUBSTITUTE(B310,"?","~?"),"*","~*"))=1,MAX($AB$2:AB309)+1,""))</f>
        <v/>
      </c>
    </row>
    <row r="311">
      <c r="M311">
        <f>IF(A311="","",LOWER(TRIM(SUBSTITUTE(SUBSTITUTE(A311,"?",""),"*",""))))</f>
        <v/>
      </c>
      <c r="N311">
        <f>IF(M311="","",IF(SUMPRODUCT(ISNUMBER(SEARCH(" "&amp;Settings!$L$5:$L$124&amp;" "," "&amp;M311&amp;" "))*(Settings!$K$5:$K$124="Navigational")*(Settings!$L$5:$L$124&lt;&gt;""))&gt;0,"Navigational",IF(SUMPRODUCT(ISNUMBER(SEARCH(" "&amp;Settings!$L$5:$L$124&amp;" "," "&amp;M311&amp;" "))*(Settings!$K$5:$K$124="Transactional")*(Settings!$L$5:$L$124&lt;&gt;""))&gt;0,"Transactional",IF(SUMPRODUCT(ISNUMBER(SEARCH(" "&amp;Settings!$L$5:$L$124&amp;" "," "&amp;M311&amp;" "))*(Settings!$K$5:$K$124="Commercial")*(Settings!$L$5:$L$124&lt;&gt;""))&gt;0,"Commercial",IF(SUMPRODUCT(ISNUMBER(SEARCH(" "&amp;Settings!$L$5:$L$124&amp;" "," "&amp;M311&amp;" "))*(Settings!$K$5:$K$124="Informational")*(Settings!$L$5:$L$124&lt;&gt;""))&gt;0,"Informational","Unclassified")))))</f>
        <v/>
      </c>
      <c r="O311">
        <f>IF(A311="","",IF(K311&lt;&gt;"",PROPER(K311),N311))</f>
        <v/>
      </c>
      <c r="P311">
        <f>IF(A311="","",ROUND(Settings!$B$5*MIN(1,LOG10(N(C311)+1)/LOG10(Settings!$B$7+1))+Settings!$B$6*(1-MIN(100,IF(D311="",50,N(D311)))/100)+IFERROR(INDEX(Settings!$B$10:$B$14,MATCH(O311,Settings!$A$10:$A$14,0)),0),0))</f>
        <v/>
      </c>
      <c r="Q311">
        <f>IF(OR(A311="",G311=""),"",COUNTIFS($M$3:$M$1002,M311,$G$3:$G$1002,"&lt;&gt;"&amp;SUBSTITUTE(SUBSTITUTE(G311,"?","~?"),"*","~*"),$G$3:$G$1002,"?*"))</f>
        <v/>
      </c>
      <c r="R311">
        <f>IF(Q311="","",IF(Q311&gt;0,"Yes","No"))</f>
        <v/>
      </c>
      <c r="S311">
        <f>IF(G311="","",COUNTIFS($G$3:$G$1002,SUBSTITUTE(SUBSTITUTE(G311,"?","~?"),"*","~*"),$J$3:$J$1002,"Primary"))</f>
        <v/>
      </c>
      <c r="T311">
        <f>IF(S311="","",IF(S311&gt;Settings!$B$4,"Yes","No"))</f>
        <v/>
      </c>
      <c r="U311">
        <f>IF(OR(G311="",B311=""),"",IF(COUNTIFS($G$3:$G$1002,SUBSTITUTE(SUBSTITUTE(G311,"?","~?"),"*","~*"),$B$3:$B$1002,"&lt;&gt;"&amp;SUBSTITUTE(SUBSTITUTE(B311,"?","~?"),"*","~*"),$B$3:$B$1002,"?*")&gt;0,"Yes","No"))</f>
        <v/>
      </c>
      <c r="V311">
        <f>IF(OR(G311="",I311="",O311="",O311="Unclassified"),"",IFERROR(INDEX(Settings!$E$5:$H$16,MATCH(I311,Settings!$D$5:$D$16,0),MATCH(O311,Settings!$E$4:$H$4,0)),"Check"))</f>
        <v/>
      </c>
      <c r="W311">
        <f>IF(V311="","",IF(V311="No","Yes","No"))</f>
        <v/>
      </c>
      <c r="X311">
        <f>IF(OR(E311="",G311=""),"",IF(LOWER(IF(RIGHT(TRIM(E311),1)="/",LEFT(TRIM(E311),LEN(TRIM(E311))-1),TRIM(E311)))&lt;&gt;LOWER(IF(RIGHT(TRIM(G311),1)="/",LEFT(TRIM(G311),LEN(TRIM(G311))-1),TRIM(G311))),"Yes","No"))</f>
        <v/>
      </c>
      <c r="Y311">
        <f>IF(A311="","",(N(Q311)&gt;0)+(T311="Yes")+(U311="Yes")+(W311="Yes")+(X311="Yes"))</f>
        <v/>
      </c>
      <c r="Z311">
        <f>IF(A311="","",IF(G311="","Not mapped",IF(Y311=0,"OK",MID(IF(N(Q311)&gt;0,"; Cannibalisation","")&amp;IF(T311="Yes","; Too many primary keywords on URL","")&amp;IF(U311="Yes","; URL spans 2+ clusters","")&amp;IF(W311="Yes","; Intent mismatch","")&amp;IF(X311="Yes","; Ranking URL is not the target",""),3,300))))</f>
        <v/>
      </c>
      <c r="AA311">
        <f>IF(G311="","",IF(COUNTIF($G$3:G311,SUBSTITUTE(SUBSTITUTE(G311,"?","~?"),"*","~*"))=1,MAX($AA$2:AA310)+1,""))</f>
        <v/>
      </c>
      <c r="AB311">
        <f>IF(B311="","",IF(COUNTIF($B$3:B311,SUBSTITUTE(SUBSTITUTE(B311,"?","~?"),"*","~*"))=1,MAX($AB$2:AB310)+1,""))</f>
        <v/>
      </c>
    </row>
    <row r="312">
      <c r="M312">
        <f>IF(A312="","",LOWER(TRIM(SUBSTITUTE(SUBSTITUTE(A312,"?",""),"*",""))))</f>
        <v/>
      </c>
      <c r="N312">
        <f>IF(M312="","",IF(SUMPRODUCT(ISNUMBER(SEARCH(" "&amp;Settings!$L$5:$L$124&amp;" "," "&amp;M312&amp;" "))*(Settings!$K$5:$K$124="Navigational")*(Settings!$L$5:$L$124&lt;&gt;""))&gt;0,"Navigational",IF(SUMPRODUCT(ISNUMBER(SEARCH(" "&amp;Settings!$L$5:$L$124&amp;" "," "&amp;M312&amp;" "))*(Settings!$K$5:$K$124="Transactional")*(Settings!$L$5:$L$124&lt;&gt;""))&gt;0,"Transactional",IF(SUMPRODUCT(ISNUMBER(SEARCH(" "&amp;Settings!$L$5:$L$124&amp;" "," "&amp;M312&amp;" "))*(Settings!$K$5:$K$124="Commercial")*(Settings!$L$5:$L$124&lt;&gt;""))&gt;0,"Commercial",IF(SUMPRODUCT(ISNUMBER(SEARCH(" "&amp;Settings!$L$5:$L$124&amp;" "," "&amp;M312&amp;" "))*(Settings!$K$5:$K$124="Informational")*(Settings!$L$5:$L$124&lt;&gt;""))&gt;0,"Informational","Unclassified")))))</f>
        <v/>
      </c>
      <c r="O312">
        <f>IF(A312="","",IF(K312&lt;&gt;"",PROPER(K312),N312))</f>
        <v/>
      </c>
      <c r="P312">
        <f>IF(A312="","",ROUND(Settings!$B$5*MIN(1,LOG10(N(C312)+1)/LOG10(Settings!$B$7+1))+Settings!$B$6*(1-MIN(100,IF(D312="",50,N(D312)))/100)+IFERROR(INDEX(Settings!$B$10:$B$14,MATCH(O312,Settings!$A$10:$A$14,0)),0),0))</f>
        <v/>
      </c>
      <c r="Q312">
        <f>IF(OR(A312="",G312=""),"",COUNTIFS($M$3:$M$1002,M312,$G$3:$G$1002,"&lt;&gt;"&amp;SUBSTITUTE(SUBSTITUTE(G312,"?","~?"),"*","~*"),$G$3:$G$1002,"?*"))</f>
        <v/>
      </c>
      <c r="R312">
        <f>IF(Q312="","",IF(Q312&gt;0,"Yes","No"))</f>
        <v/>
      </c>
      <c r="S312">
        <f>IF(G312="","",COUNTIFS($G$3:$G$1002,SUBSTITUTE(SUBSTITUTE(G312,"?","~?"),"*","~*"),$J$3:$J$1002,"Primary"))</f>
        <v/>
      </c>
      <c r="T312">
        <f>IF(S312="","",IF(S312&gt;Settings!$B$4,"Yes","No"))</f>
        <v/>
      </c>
      <c r="U312">
        <f>IF(OR(G312="",B312=""),"",IF(COUNTIFS($G$3:$G$1002,SUBSTITUTE(SUBSTITUTE(G312,"?","~?"),"*","~*"),$B$3:$B$1002,"&lt;&gt;"&amp;SUBSTITUTE(SUBSTITUTE(B312,"?","~?"),"*","~*"),$B$3:$B$1002,"?*")&gt;0,"Yes","No"))</f>
        <v/>
      </c>
      <c r="V312">
        <f>IF(OR(G312="",I312="",O312="",O312="Unclassified"),"",IFERROR(INDEX(Settings!$E$5:$H$16,MATCH(I312,Settings!$D$5:$D$16,0),MATCH(O312,Settings!$E$4:$H$4,0)),"Check"))</f>
        <v/>
      </c>
      <c r="W312">
        <f>IF(V312="","",IF(V312="No","Yes","No"))</f>
        <v/>
      </c>
      <c r="X312">
        <f>IF(OR(E312="",G312=""),"",IF(LOWER(IF(RIGHT(TRIM(E312),1)="/",LEFT(TRIM(E312),LEN(TRIM(E312))-1),TRIM(E312)))&lt;&gt;LOWER(IF(RIGHT(TRIM(G312),1)="/",LEFT(TRIM(G312),LEN(TRIM(G312))-1),TRIM(G312))),"Yes","No"))</f>
        <v/>
      </c>
      <c r="Y312">
        <f>IF(A312="","",(N(Q312)&gt;0)+(T312="Yes")+(U312="Yes")+(W312="Yes")+(X312="Yes"))</f>
        <v/>
      </c>
      <c r="Z312">
        <f>IF(A312="","",IF(G312="","Not mapped",IF(Y312=0,"OK",MID(IF(N(Q312)&gt;0,"; Cannibalisation","")&amp;IF(T312="Yes","; Too many primary keywords on URL","")&amp;IF(U312="Yes","; URL spans 2+ clusters","")&amp;IF(W312="Yes","; Intent mismatch","")&amp;IF(X312="Yes","; Ranking URL is not the target",""),3,300))))</f>
        <v/>
      </c>
      <c r="AA312">
        <f>IF(G312="","",IF(COUNTIF($G$3:G312,SUBSTITUTE(SUBSTITUTE(G312,"?","~?"),"*","~*"))=1,MAX($AA$2:AA311)+1,""))</f>
        <v/>
      </c>
      <c r="AB312">
        <f>IF(B312="","",IF(COUNTIF($B$3:B312,SUBSTITUTE(SUBSTITUTE(B312,"?","~?"),"*","~*"))=1,MAX($AB$2:AB311)+1,""))</f>
        <v/>
      </c>
    </row>
    <row r="313">
      <c r="M313">
        <f>IF(A313="","",LOWER(TRIM(SUBSTITUTE(SUBSTITUTE(A313,"?",""),"*",""))))</f>
        <v/>
      </c>
      <c r="N313">
        <f>IF(M313="","",IF(SUMPRODUCT(ISNUMBER(SEARCH(" "&amp;Settings!$L$5:$L$124&amp;" "," "&amp;M313&amp;" "))*(Settings!$K$5:$K$124="Navigational")*(Settings!$L$5:$L$124&lt;&gt;""))&gt;0,"Navigational",IF(SUMPRODUCT(ISNUMBER(SEARCH(" "&amp;Settings!$L$5:$L$124&amp;" "," "&amp;M313&amp;" "))*(Settings!$K$5:$K$124="Transactional")*(Settings!$L$5:$L$124&lt;&gt;""))&gt;0,"Transactional",IF(SUMPRODUCT(ISNUMBER(SEARCH(" "&amp;Settings!$L$5:$L$124&amp;" "," "&amp;M313&amp;" "))*(Settings!$K$5:$K$124="Commercial")*(Settings!$L$5:$L$124&lt;&gt;""))&gt;0,"Commercial",IF(SUMPRODUCT(ISNUMBER(SEARCH(" "&amp;Settings!$L$5:$L$124&amp;" "," "&amp;M313&amp;" "))*(Settings!$K$5:$K$124="Informational")*(Settings!$L$5:$L$124&lt;&gt;""))&gt;0,"Informational","Unclassified")))))</f>
        <v/>
      </c>
      <c r="O313">
        <f>IF(A313="","",IF(K313&lt;&gt;"",PROPER(K313),N313))</f>
        <v/>
      </c>
      <c r="P313">
        <f>IF(A313="","",ROUND(Settings!$B$5*MIN(1,LOG10(N(C313)+1)/LOG10(Settings!$B$7+1))+Settings!$B$6*(1-MIN(100,IF(D313="",50,N(D313)))/100)+IFERROR(INDEX(Settings!$B$10:$B$14,MATCH(O313,Settings!$A$10:$A$14,0)),0),0))</f>
        <v/>
      </c>
      <c r="Q313">
        <f>IF(OR(A313="",G313=""),"",COUNTIFS($M$3:$M$1002,M313,$G$3:$G$1002,"&lt;&gt;"&amp;SUBSTITUTE(SUBSTITUTE(G313,"?","~?"),"*","~*"),$G$3:$G$1002,"?*"))</f>
        <v/>
      </c>
      <c r="R313">
        <f>IF(Q313="","",IF(Q313&gt;0,"Yes","No"))</f>
        <v/>
      </c>
      <c r="S313">
        <f>IF(G313="","",COUNTIFS($G$3:$G$1002,SUBSTITUTE(SUBSTITUTE(G313,"?","~?"),"*","~*"),$J$3:$J$1002,"Primary"))</f>
        <v/>
      </c>
      <c r="T313">
        <f>IF(S313="","",IF(S313&gt;Settings!$B$4,"Yes","No"))</f>
        <v/>
      </c>
      <c r="U313">
        <f>IF(OR(G313="",B313=""),"",IF(COUNTIFS($G$3:$G$1002,SUBSTITUTE(SUBSTITUTE(G313,"?","~?"),"*","~*"),$B$3:$B$1002,"&lt;&gt;"&amp;SUBSTITUTE(SUBSTITUTE(B313,"?","~?"),"*","~*"),$B$3:$B$1002,"?*")&gt;0,"Yes","No"))</f>
        <v/>
      </c>
      <c r="V313">
        <f>IF(OR(G313="",I313="",O313="",O313="Unclassified"),"",IFERROR(INDEX(Settings!$E$5:$H$16,MATCH(I313,Settings!$D$5:$D$16,0),MATCH(O313,Settings!$E$4:$H$4,0)),"Check"))</f>
        <v/>
      </c>
      <c r="W313">
        <f>IF(V313="","",IF(V313="No","Yes","No"))</f>
        <v/>
      </c>
      <c r="X313">
        <f>IF(OR(E313="",G313=""),"",IF(LOWER(IF(RIGHT(TRIM(E313),1)="/",LEFT(TRIM(E313),LEN(TRIM(E313))-1),TRIM(E313)))&lt;&gt;LOWER(IF(RIGHT(TRIM(G313),1)="/",LEFT(TRIM(G313),LEN(TRIM(G313))-1),TRIM(G313))),"Yes","No"))</f>
        <v/>
      </c>
      <c r="Y313">
        <f>IF(A313="","",(N(Q313)&gt;0)+(T313="Yes")+(U313="Yes")+(W313="Yes")+(X313="Yes"))</f>
        <v/>
      </c>
      <c r="Z313">
        <f>IF(A313="","",IF(G313="","Not mapped",IF(Y313=0,"OK",MID(IF(N(Q313)&gt;0,"; Cannibalisation","")&amp;IF(T313="Yes","; Too many primary keywords on URL","")&amp;IF(U313="Yes","; URL spans 2+ clusters","")&amp;IF(W313="Yes","; Intent mismatch","")&amp;IF(X313="Yes","; Ranking URL is not the target",""),3,300))))</f>
        <v/>
      </c>
      <c r="AA313">
        <f>IF(G313="","",IF(COUNTIF($G$3:G313,SUBSTITUTE(SUBSTITUTE(G313,"?","~?"),"*","~*"))=1,MAX($AA$2:AA312)+1,""))</f>
        <v/>
      </c>
      <c r="AB313">
        <f>IF(B313="","",IF(COUNTIF($B$3:B313,SUBSTITUTE(SUBSTITUTE(B313,"?","~?"),"*","~*"))=1,MAX($AB$2:AB312)+1,""))</f>
        <v/>
      </c>
    </row>
    <row r="314">
      <c r="M314">
        <f>IF(A314="","",LOWER(TRIM(SUBSTITUTE(SUBSTITUTE(A314,"?",""),"*",""))))</f>
        <v/>
      </c>
      <c r="N314">
        <f>IF(M314="","",IF(SUMPRODUCT(ISNUMBER(SEARCH(" "&amp;Settings!$L$5:$L$124&amp;" "," "&amp;M314&amp;" "))*(Settings!$K$5:$K$124="Navigational")*(Settings!$L$5:$L$124&lt;&gt;""))&gt;0,"Navigational",IF(SUMPRODUCT(ISNUMBER(SEARCH(" "&amp;Settings!$L$5:$L$124&amp;" "," "&amp;M314&amp;" "))*(Settings!$K$5:$K$124="Transactional")*(Settings!$L$5:$L$124&lt;&gt;""))&gt;0,"Transactional",IF(SUMPRODUCT(ISNUMBER(SEARCH(" "&amp;Settings!$L$5:$L$124&amp;" "," "&amp;M314&amp;" "))*(Settings!$K$5:$K$124="Commercial")*(Settings!$L$5:$L$124&lt;&gt;""))&gt;0,"Commercial",IF(SUMPRODUCT(ISNUMBER(SEARCH(" "&amp;Settings!$L$5:$L$124&amp;" "," "&amp;M314&amp;" "))*(Settings!$K$5:$K$124="Informational")*(Settings!$L$5:$L$124&lt;&gt;""))&gt;0,"Informational","Unclassified")))))</f>
        <v/>
      </c>
      <c r="O314">
        <f>IF(A314="","",IF(K314&lt;&gt;"",PROPER(K314),N314))</f>
        <v/>
      </c>
      <c r="P314">
        <f>IF(A314="","",ROUND(Settings!$B$5*MIN(1,LOG10(N(C314)+1)/LOG10(Settings!$B$7+1))+Settings!$B$6*(1-MIN(100,IF(D314="",50,N(D314)))/100)+IFERROR(INDEX(Settings!$B$10:$B$14,MATCH(O314,Settings!$A$10:$A$14,0)),0),0))</f>
        <v/>
      </c>
      <c r="Q314">
        <f>IF(OR(A314="",G314=""),"",COUNTIFS($M$3:$M$1002,M314,$G$3:$G$1002,"&lt;&gt;"&amp;SUBSTITUTE(SUBSTITUTE(G314,"?","~?"),"*","~*"),$G$3:$G$1002,"?*"))</f>
        <v/>
      </c>
      <c r="R314">
        <f>IF(Q314="","",IF(Q314&gt;0,"Yes","No"))</f>
        <v/>
      </c>
      <c r="S314">
        <f>IF(G314="","",COUNTIFS($G$3:$G$1002,SUBSTITUTE(SUBSTITUTE(G314,"?","~?"),"*","~*"),$J$3:$J$1002,"Primary"))</f>
        <v/>
      </c>
      <c r="T314">
        <f>IF(S314="","",IF(S314&gt;Settings!$B$4,"Yes","No"))</f>
        <v/>
      </c>
      <c r="U314">
        <f>IF(OR(G314="",B314=""),"",IF(COUNTIFS($G$3:$G$1002,SUBSTITUTE(SUBSTITUTE(G314,"?","~?"),"*","~*"),$B$3:$B$1002,"&lt;&gt;"&amp;SUBSTITUTE(SUBSTITUTE(B314,"?","~?"),"*","~*"),$B$3:$B$1002,"?*")&gt;0,"Yes","No"))</f>
        <v/>
      </c>
      <c r="V314">
        <f>IF(OR(G314="",I314="",O314="",O314="Unclassified"),"",IFERROR(INDEX(Settings!$E$5:$H$16,MATCH(I314,Settings!$D$5:$D$16,0),MATCH(O314,Settings!$E$4:$H$4,0)),"Check"))</f>
        <v/>
      </c>
      <c r="W314">
        <f>IF(V314="","",IF(V314="No","Yes","No"))</f>
        <v/>
      </c>
      <c r="X314">
        <f>IF(OR(E314="",G314=""),"",IF(LOWER(IF(RIGHT(TRIM(E314),1)="/",LEFT(TRIM(E314),LEN(TRIM(E314))-1),TRIM(E314)))&lt;&gt;LOWER(IF(RIGHT(TRIM(G314),1)="/",LEFT(TRIM(G314),LEN(TRIM(G314))-1),TRIM(G314))),"Yes","No"))</f>
        <v/>
      </c>
      <c r="Y314">
        <f>IF(A314="","",(N(Q314)&gt;0)+(T314="Yes")+(U314="Yes")+(W314="Yes")+(X314="Yes"))</f>
        <v/>
      </c>
      <c r="Z314">
        <f>IF(A314="","",IF(G314="","Not mapped",IF(Y314=0,"OK",MID(IF(N(Q314)&gt;0,"; Cannibalisation","")&amp;IF(T314="Yes","; Too many primary keywords on URL","")&amp;IF(U314="Yes","; URL spans 2+ clusters","")&amp;IF(W314="Yes","; Intent mismatch","")&amp;IF(X314="Yes","; Ranking URL is not the target",""),3,300))))</f>
        <v/>
      </c>
      <c r="AA314">
        <f>IF(G314="","",IF(COUNTIF($G$3:G314,SUBSTITUTE(SUBSTITUTE(G314,"?","~?"),"*","~*"))=1,MAX($AA$2:AA313)+1,""))</f>
        <v/>
      </c>
      <c r="AB314">
        <f>IF(B314="","",IF(COUNTIF($B$3:B314,SUBSTITUTE(SUBSTITUTE(B314,"?","~?"),"*","~*"))=1,MAX($AB$2:AB313)+1,""))</f>
        <v/>
      </c>
    </row>
    <row r="315">
      <c r="M315">
        <f>IF(A315="","",LOWER(TRIM(SUBSTITUTE(SUBSTITUTE(A315,"?",""),"*",""))))</f>
        <v/>
      </c>
      <c r="N315">
        <f>IF(M315="","",IF(SUMPRODUCT(ISNUMBER(SEARCH(" "&amp;Settings!$L$5:$L$124&amp;" "," "&amp;M315&amp;" "))*(Settings!$K$5:$K$124="Navigational")*(Settings!$L$5:$L$124&lt;&gt;""))&gt;0,"Navigational",IF(SUMPRODUCT(ISNUMBER(SEARCH(" "&amp;Settings!$L$5:$L$124&amp;" "," "&amp;M315&amp;" "))*(Settings!$K$5:$K$124="Transactional")*(Settings!$L$5:$L$124&lt;&gt;""))&gt;0,"Transactional",IF(SUMPRODUCT(ISNUMBER(SEARCH(" "&amp;Settings!$L$5:$L$124&amp;" "," "&amp;M315&amp;" "))*(Settings!$K$5:$K$124="Commercial")*(Settings!$L$5:$L$124&lt;&gt;""))&gt;0,"Commercial",IF(SUMPRODUCT(ISNUMBER(SEARCH(" "&amp;Settings!$L$5:$L$124&amp;" "," "&amp;M315&amp;" "))*(Settings!$K$5:$K$124="Informational")*(Settings!$L$5:$L$124&lt;&gt;""))&gt;0,"Informational","Unclassified")))))</f>
        <v/>
      </c>
      <c r="O315">
        <f>IF(A315="","",IF(K315&lt;&gt;"",PROPER(K315),N315))</f>
        <v/>
      </c>
      <c r="P315">
        <f>IF(A315="","",ROUND(Settings!$B$5*MIN(1,LOG10(N(C315)+1)/LOG10(Settings!$B$7+1))+Settings!$B$6*(1-MIN(100,IF(D315="",50,N(D315)))/100)+IFERROR(INDEX(Settings!$B$10:$B$14,MATCH(O315,Settings!$A$10:$A$14,0)),0),0))</f>
        <v/>
      </c>
      <c r="Q315">
        <f>IF(OR(A315="",G315=""),"",COUNTIFS($M$3:$M$1002,M315,$G$3:$G$1002,"&lt;&gt;"&amp;SUBSTITUTE(SUBSTITUTE(G315,"?","~?"),"*","~*"),$G$3:$G$1002,"?*"))</f>
        <v/>
      </c>
      <c r="R315">
        <f>IF(Q315="","",IF(Q315&gt;0,"Yes","No"))</f>
        <v/>
      </c>
      <c r="S315">
        <f>IF(G315="","",COUNTIFS($G$3:$G$1002,SUBSTITUTE(SUBSTITUTE(G315,"?","~?"),"*","~*"),$J$3:$J$1002,"Primary"))</f>
        <v/>
      </c>
      <c r="T315">
        <f>IF(S315="","",IF(S315&gt;Settings!$B$4,"Yes","No"))</f>
        <v/>
      </c>
      <c r="U315">
        <f>IF(OR(G315="",B315=""),"",IF(COUNTIFS($G$3:$G$1002,SUBSTITUTE(SUBSTITUTE(G315,"?","~?"),"*","~*"),$B$3:$B$1002,"&lt;&gt;"&amp;SUBSTITUTE(SUBSTITUTE(B315,"?","~?"),"*","~*"),$B$3:$B$1002,"?*")&gt;0,"Yes","No"))</f>
        <v/>
      </c>
      <c r="V315">
        <f>IF(OR(G315="",I315="",O315="",O315="Unclassified"),"",IFERROR(INDEX(Settings!$E$5:$H$16,MATCH(I315,Settings!$D$5:$D$16,0),MATCH(O315,Settings!$E$4:$H$4,0)),"Check"))</f>
        <v/>
      </c>
      <c r="W315">
        <f>IF(V315="","",IF(V315="No","Yes","No"))</f>
        <v/>
      </c>
      <c r="X315">
        <f>IF(OR(E315="",G315=""),"",IF(LOWER(IF(RIGHT(TRIM(E315),1)="/",LEFT(TRIM(E315),LEN(TRIM(E315))-1),TRIM(E315)))&lt;&gt;LOWER(IF(RIGHT(TRIM(G315),1)="/",LEFT(TRIM(G315),LEN(TRIM(G315))-1),TRIM(G315))),"Yes","No"))</f>
        <v/>
      </c>
      <c r="Y315">
        <f>IF(A315="","",(N(Q315)&gt;0)+(T315="Yes")+(U315="Yes")+(W315="Yes")+(X315="Yes"))</f>
        <v/>
      </c>
      <c r="Z315">
        <f>IF(A315="","",IF(G315="","Not mapped",IF(Y315=0,"OK",MID(IF(N(Q315)&gt;0,"; Cannibalisation","")&amp;IF(T315="Yes","; Too many primary keywords on URL","")&amp;IF(U315="Yes","; URL spans 2+ clusters","")&amp;IF(W315="Yes","; Intent mismatch","")&amp;IF(X315="Yes","; Ranking URL is not the target",""),3,300))))</f>
        <v/>
      </c>
      <c r="AA315">
        <f>IF(G315="","",IF(COUNTIF($G$3:G315,SUBSTITUTE(SUBSTITUTE(G315,"?","~?"),"*","~*"))=1,MAX($AA$2:AA314)+1,""))</f>
        <v/>
      </c>
      <c r="AB315">
        <f>IF(B315="","",IF(COUNTIF($B$3:B315,SUBSTITUTE(SUBSTITUTE(B315,"?","~?"),"*","~*"))=1,MAX($AB$2:AB314)+1,""))</f>
        <v/>
      </c>
    </row>
    <row r="316">
      <c r="M316">
        <f>IF(A316="","",LOWER(TRIM(SUBSTITUTE(SUBSTITUTE(A316,"?",""),"*",""))))</f>
        <v/>
      </c>
      <c r="N316">
        <f>IF(M316="","",IF(SUMPRODUCT(ISNUMBER(SEARCH(" "&amp;Settings!$L$5:$L$124&amp;" "," "&amp;M316&amp;" "))*(Settings!$K$5:$K$124="Navigational")*(Settings!$L$5:$L$124&lt;&gt;""))&gt;0,"Navigational",IF(SUMPRODUCT(ISNUMBER(SEARCH(" "&amp;Settings!$L$5:$L$124&amp;" "," "&amp;M316&amp;" "))*(Settings!$K$5:$K$124="Transactional")*(Settings!$L$5:$L$124&lt;&gt;""))&gt;0,"Transactional",IF(SUMPRODUCT(ISNUMBER(SEARCH(" "&amp;Settings!$L$5:$L$124&amp;" "," "&amp;M316&amp;" "))*(Settings!$K$5:$K$124="Commercial")*(Settings!$L$5:$L$124&lt;&gt;""))&gt;0,"Commercial",IF(SUMPRODUCT(ISNUMBER(SEARCH(" "&amp;Settings!$L$5:$L$124&amp;" "," "&amp;M316&amp;" "))*(Settings!$K$5:$K$124="Informational")*(Settings!$L$5:$L$124&lt;&gt;""))&gt;0,"Informational","Unclassified")))))</f>
        <v/>
      </c>
      <c r="O316">
        <f>IF(A316="","",IF(K316&lt;&gt;"",PROPER(K316),N316))</f>
        <v/>
      </c>
      <c r="P316">
        <f>IF(A316="","",ROUND(Settings!$B$5*MIN(1,LOG10(N(C316)+1)/LOG10(Settings!$B$7+1))+Settings!$B$6*(1-MIN(100,IF(D316="",50,N(D316)))/100)+IFERROR(INDEX(Settings!$B$10:$B$14,MATCH(O316,Settings!$A$10:$A$14,0)),0),0))</f>
        <v/>
      </c>
      <c r="Q316">
        <f>IF(OR(A316="",G316=""),"",COUNTIFS($M$3:$M$1002,M316,$G$3:$G$1002,"&lt;&gt;"&amp;SUBSTITUTE(SUBSTITUTE(G316,"?","~?"),"*","~*"),$G$3:$G$1002,"?*"))</f>
        <v/>
      </c>
      <c r="R316">
        <f>IF(Q316="","",IF(Q316&gt;0,"Yes","No"))</f>
        <v/>
      </c>
      <c r="S316">
        <f>IF(G316="","",COUNTIFS($G$3:$G$1002,SUBSTITUTE(SUBSTITUTE(G316,"?","~?"),"*","~*"),$J$3:$J$1002,"Primary"))</f>
        <v/>
      </c>
      <c r="T316">
        <f>IF(S316="","",IF(S316&gt;Settings!$B$4,"Yes","No"))</f>
        <v/>
      </c>
      <c r="U316">
        <f>IF(OR(G316="",B316=""),"",IF(COUNTIFS($G$3:$G$1002,SUBSTITUTE(SUBSTITUTE(G316,"?","~?"),"*","~*"),$B$3:$B$1002,"&lt;&gt;"&amp;SUBSTITUTE(SUBSTITUTE(B316,"?","~?"),"*","~*"),$B$3:$B$1002,"?*")&gt;0,"Yes","No"))</f>
        <v/>
      </c>
      <c r="V316">
        <f>IF(OR(G316="",I316="",O316="",O316="Unclassified"),"",IFERROR(INDEX(Settings!$E$5:$H$16,MATCH(I316,Settings!$D$5:$D$16,0),MATCH(O316,Settings!$E$4:$H$4,0)),"Check"))</f>
        <v/>
      </c>
      <c r="W316">
        <f>IF(V316="","",IF(V316="No","Yes","No"))</f>
        <v/>
      </c>
      <c r="X316">
        <f>IF(OR(E316="",G316=""),"",IF(LOWER(IF(RIGHT(TRIM(E316),1)="/",LEFT(TRIM(E316),LEN(TRIM(E316))-1),TRIM(E316)))&lt;&gt;LOWER(IF(RIGHT(TRIM(G316),1)="/",LEFT(TRIM(G316),LEN(TRIM(G316))-1),TRIM(G316))),"Yes","No"))</f>
        <v/>
      </c>
      <c r="Y316">
        <f>IF(A316="","",(N(Q316)&gt;0)+(T316="Yes")+(U316="Yes")+(W316="Yes")+(X316="Yes"))</f>
        <v/>
      </c>
      <c r="Z316">
        <f>IF(A316="","",IF(G316="","Not mapped",IF(Y316=0,"OK",MID(IF(N(Q316)&gt;0,"; Cannibalisation","")&amp;IF(T316="Yes","; Too many primary keywords on URL","")&amp;IF(U316="Yes","; URL spans 2+ clusters","")&amp;IF(W316="Yes","; Intent mismatch","")&amp;IF(X316="Yes","; Ranking URL is not the target",""),3,300))))</f>
        <v/>
      </c>
      <c r="AA316">
        <f>IF(G316="","",IF(COUNTIF($G$3:G316,SUBSTITUTE(SUBSTITUTE(G316,"?","~?"),"*","~*"))=1,MAX($AA$2:AA315)+1,""))</f>
        <v/>
      </c>
      <c r="AB316">
        <f>IF(B316="","",IF(COUNTIF($B$3:B316,SUBSTITUTE(SUBSTITUTE(B316,"?","~?"),"*","~*"))=1,MAX($AB$2:AB315)+1,""))</f>
        <v/>
      </c>
    </row>
    <row r="317">
      <c r="M317">
        <f>IF(A317="","",LOWER(TRIM(SUBSTITUTE(SUBSTITUTE(A317,"?",""),"*",""))))</f>
        <v/>
      </c>
      <c r="N317">
        <f>IF(M317="","",IF(SUMPRODUCT(ISNUMBER(SEARCH(" "&amp;Settings!$L$5:$L$124&amp;" "," "&amp;M317&amp;" "))*(Settings!$K$5:$K$124="Navigational")*(Settings!$L$5:$L$124&lt;&gt;""))&gt;0,"Navigational",IF(SUMPRODUCT(ISNUMBER(SEARCH(" "&amp;Settings!$L$5:$L$124&amp;" "," "&amp;M317&amp;" "))*(Settings!$K$5:$K$124="Transactional")*(Settings!$L$5:$L$124&lt;&gt;""))&gt;0,"Transactional",IF(SUMPRODUCT(ISNUMBER(SEARCH(" "&amp;Settings!$L$5:$L$124&amp;" "," "&amp;M317&amp;" "))*(Settings!$K$5:$K$124="Commercial")*(Settings!$L$5:$L$124&lt;&gt;""))&gt;0,"Commercial",IF(SUMPRODUCT(ISNUMBER(SEARCH(" "&amp;Settings!$L$5:$L$124&amp;" "," "&amp;M317&amp;" "))*(Settings!$K$5:$K$124="Informational")*(Settings!$L$5:$L$124&lt;&gt;""))&gt;0,"Informational","Unclassified")))))</f>
        <v/>
      </c>
      <c r="O317">
        <f>IF(A317="","",IF(K317&lt;&gt;"",PROPER(K317),N317))</f>
        <v/>
      </c>
      <c r="P317">
        <f>IF(A317="","",ROUND(Settings!$B$5*MIN(1,LOG10(N(C317)+1)/LOG10(Settings!$B$7+1))+Settings!$B$6*(1-MIN(100,IF(D317="",50,N(D317)))/100)+IFERROR(INDEX(Settings!$B$10:$B$14,MATCH(O317,Settings!$A$10:$A$14,0)),0),0))</f>
        <v/>
      </c>
      <c r="Q317">
        <f>IF(OR(A317="",G317=""),"",COUNTIFS($M$3:$M$1002,M317,$G$3:$G$1002,"&lt;&gt;"&amp;SUBSTITUTE(SUBSTITUTE(G317,"?","~?"),"*","~*"),$G$3:$G$1002,"?*"))</f>
        <v/>
      </c>
      <c r="R317">
        <f>IF(Q317="","",IF(Q317&gt;0,"Yes","No"))</f>
        <v/>
      </c>
      <c r="S317">
        <f>IF(G317="","",COUNTIFS($G$3:$G$1002,SUBSTITUTE(SUBSTITUTE(G317,"?","~?"),"*","~*"),$J$3:$J$1002,"Primary"))</f>
        <v/>
      </c>
      <c r="T317">
        <f>IF(S317="","",IF(S317&gt;Settings!$B$4,"Yes","No"))</f>
        <v/>
      </c>
      <c r="U317">
        <f>IF(OR(G317="",B317=""),"",IF(COUNTIFS($G$3:$G$1002,SUBSTITUTE(SUBSTITUTE(G317,"?","~?"),"*","~*"),$B$3:$B$1002,"&lt;&gt;"&amp;SUBSTITUTE(SUBSTITUTE(B317,"?","~?"),"*","~*"),$B$3:$B$1002,"?*")&gt;0,"Yes","No"))</f>
        <v/>
      </c>
      <c r="V317">
        <f>IF(OR(G317="",I317="",O317="",O317="Unclassified"),"",IFERROR(INDEX(Settings!$E$5:$H$16,MATCH(I317,Settings!$D$5:$D$16,0),MATCH(O317,Settings!$E$4:$H$4,0)),"Check"))</f>
        <v/>
      </c>
      <c r="W317">
        <f>IF(V317="","",IF(V317="No","Yes","No"))</f>
        <v/>
      </c>
      <c r="X317">
        <f>IF(OR(E317="",G317=""),"",IF(LOWER(IF(RIGHT(TRIM(E317),1)="/",LEFT(TRIM(E317),LEN(TRIM(E317))-1),TRIM(E317)))&lt;&gt;LOWER(IF(RIGHT(TRIM(G317),1)="/",LEFT(TRIM(G317),LEN(TRIM(G317))-1),TRIM(G317))),"Yes","No"))</f>
        <v/>
      </c>
      <c r="Y317">
        <f>IF(A317="","",(N(Q317)&gt;0)+(T317="Yes")+(U317="Yes")+(W317="Yes")+(X317="Yes"))</f>
        <v/>
      </c>
      <c r="Z317">
        <f>IF(A317="","",IF(G317="","Not mapped",IF(Y317=0,"OK",MID(IF(N(Q317)&gt;0,"; Cannibalisation","")&amp;IF(T317="Yes","; Too many primary keywords on URL","")&amp;IF(U317="Yes","; URL spans 2+ clusters","")&amp;IF(W317="Yes","; Intent mismatch","")&amp;IF(X317="Yes","; Ranking URL is not the target",""),3,300))))</f>
        <v/>
      </c>
      <c r="AA317">
        <f>IF(G317="","",IF(COUNTIF($G$3:G317,SUBSTITUTE(SUBSTITUTE(G317,"?","~?"),"*","~*"))=1,MAX($AA$2:AA316)+1,""))</f>
        <v/>
      </c>
      <c r="AB317">
        <f>IF(B317="","",IF(COUNTIF($B$3:B317,SUBSTITUTE(SUBSTITUTE(B317,"?","~?"),"*","~*"))=1,MAX($AB$2:AB316)+1,""))</f>
        <v/>
      </c>
    </row>
    <row r="318">
      <c r="M318">
        <f>IF(A318="","",LOWER(TRIM(SUBSTITUTE(SUBSTITUTE(A318,"?",""),"*",""))))</f>
        <v/>
      </c>
      <c r="N318">
        <f>IF(M318="","",IF(SUMPRODUCT(ISNUMBER(SEARCH(" "&amp;Settings!$L$5:$L$124&amp;" "," "&amp;M318&amp;" "))*(Settings!$K$5:$K$124="Navigational")*(Settings!$L$5:$L$124&lt;&gt;""))&gt;0,"Navigational",IF(SUMPRODUCT(ISNUMBER(SEARCH(" "&amp;Settings!$L$5:$L$124&amp;" "," "&amp;M318&amp;" "))*(Settings!$K$5:$K$124="Transactional")*(Settings!$L$5:$L$124&lt;&gt;""))&gt;0,"Transactional",IF(SUMPRODUCT(ISNUMBER(SEARCH(" "&amp;Settings!$L$5:$L$124&amp;" "," "&amp;M318&amp;" "))*(Settings!$K$5:$K$124="Commercial")*(Settings!$L$5:$L$124&lt;&gt;""))&gt;0,"Commercial",IF(SUMPRODUCT(ISNUMBER(SEARCH(" "&amp;Settings!$L$5:$L$124&amp;" "," "&amp;M318&amp;" "))*(Settings!$K$5:$K$124="Informational")*(Settings!$L$5:$L$124&lt;&gt;""))&gt;0,"Informational","Unclassified")))))</f>
        <v/>
      </c>
      <c r="O318">
        <f>IF(A318="","",IF(K318&lt;&gt;"",PROPER(K318),N318))</f>
        <v/>
      </c>
      <c r="P318">
        <f>IF(A318="","",ROUND(Settings!$B$5*MIN(1,LOG10(N(C318)+1)/LOG10(Settings!$B$7+1))+Settings!$B$6*(1-MIN(100,IF(D318="",50,N(D318)))/100)+IFERROR(INDEX(Settings!$B$10:$B$14,MATCH(O318,Settings!$A$10:$A$14,0)),0),0))</f>
        <v/>
      </c>
      <c r="Q318">
        <f>IF(OR(A318="",G318=""),"",COUNTIFS($M$3:$M$1002,M318,$G$3:$G$1002,"&lt;&gt;"&amp;SUBSTITUTE(SUBSTITUTE(G318,"?","~?"),"*","~*"),$G$3:$G$1002,"?*"))</f>
        <v/>
      </c>
      <c r="R318">
        <f>IF(Q318="","",IF(Q318&gt;0,"Yes","No"))</f>
        <v/>
      </c>
      <c r="S318">
        <f>IF(G318="","",COUNTIFS($G$3:$G$1002,SUBSTITUTE(SUBSTITUTE(G318,"?","~?"),"*","~*"),$J$3:$J$1002,"Primary"))</f>
        <v/>
      </c>
      <c r="T318">
        <f>IF(S318="","",IF(S318&gt;Settings!$B$4,"Yes","No"))</f>
        <v/>
      </c>
      <c r="U318">
        <f>IF(OR(G318="",B318=""),"",IF(COUNTIFS($G$3:$G$1002,SUBSTITUTE(SUBSTITUTE(G318,"?","~?"),"*","~*"),$B$3:$B$1002,"&lt;&gt;"&amp;SUBSTITUTE(SUBSTITUTE(B318,"?","~?"),"*","~*"),$B$3:$B$1002,"?*")&gt;0,"Yes","No"))</f>
        <v/>
      </c>
      <c r="V318">
        <f>IF(OR(G318="",I318="",O318="",O318="Unclassified"),"",IFERROR(INDEX(Settings!$E$5:$H$16,MATCH(I318,Settings!$D$5:$D$16,0),MATCH(O318,Settings!$E$4:$H$4,0)),"Check"))</f>
        <v/>
      </c>
      <c r="W318">
        <f>IF(V318="","",IF(V318="No","Yes","No"))</f>
        <v/>
      </c>
      <c r="X318">
        <f>IF(OR(E318="",G318=""),"",IF(LOWER(IF(RIGHT(TRIM(E318),1)="/",LEFT(TRIM(E318),LEN(TRIM(E318))-1),TRIM(E318)))&lt;&gt;LOWER(IF(RIGHT(TRIM(G318),1)="/",LEFT(TRIM(G318),LEN(TRIM(G318))-1),TRIM(G318))),"Yes","No"))</f>
        <v/>
      </c>
      <c r="Y318">
        <f>IF(A318="","",(N(Q318)&gt;0)+(T318="Yes")+(U318="Yes")+(W318="Yes")+(X318="Yes"))</f>
        <v/>
      </c>
      <c r="Z318">
        <f>IF(A318="","",IF(G318="","Not mapped",IF(Y318=0,"OK",MID(IF(N(Q318)&gt;0,"; Cannibalisation","")&amp;IF(T318="Yes","; Too many primary keywords on URL","")&amp;IF(U318="Yes","; URL spans 2+ clusters","")&amp;IF(W318="Yes","; Intent mismatch","")&amp;IF(X318="Yes","; Ranking URL is not the target",""),3,300))))</f>
        <v/>
      </c>
      <c r="AA318">
        <f>IF(G318="","",IF(COUNTIF($G$3:G318,SUBSTITUTE(SUBSTITUTE(G318,"?","~?"),"*","~*"))=1,MAX($AA$2:AA317)+1,""))</f>
        <v/>
      </c>
      <c r="AB318">
        <f>IF(B318="","",IF(COUNTIF($B$3:B318,SUBSTITUTE(SUBSTITUTE(B318,"?","~?"),"*","~*"))=1,MAX($AB$2:AB317)+1,""))</f>
        <v/>
      </c>
    </row>
    <row r="319">
      <c r="M319">
        <f>IF(A319="","",LOWER(TRIM(SUBSTITUTE(SUBSTITUTE(A319,"?",""),"*",""))))</f>
        <v/>
      </c>
      <c r="N319">
        <f>IF(M319="","",IF(SUMPRODUCT(ISNUMBER(SEARCH(" "&amp;Settings!$L$5:$L$124&amp;" "," "&amp;M319&amp;" "))*(Settings!$K$5:$K$124="Navigational")*(Settings!$L$5:$L$124&lt;&gt;""))&gt;0,"Navigational",IF(SUMPRODUCT(ISNUMBER(SEARCH(" "&amp;Settings!$L$5:$L$124&amp;" "," "&amp;M319&amp;" "))*(Settings!$K$5:$K$124="Transactional")*(Settings!$L$5:$L$124&lt;&gt;""))&gt;0,"Transactional",IF(SUMPRODUCT(ISNUMBER(SEARCH(" "&amp;Settings!$L$5:$L$124&amp;" "," "&amp;M319&amp;" "))*(Settings!$K$5:$K$124="Commercial")*(Settings!$L$5:$L$124&lt;&gt;""))&gt;0,"Commercial",IF(SUMPRODUCT(ISNUMBER(SEARCH(" "&amp;Settings!$L$5:$L$124&amp;" "," "&amp;M319&amp;" "))*(Settings!$K$5:$K$124="Informational")*(Settings!$L$5:$L$124&lt;&gt;""))&gt;0,"Informational","Unclassified")))))</f>
        <v/>
      </c>
      <c r="O319">
        <f>IF(A319="","",IF(K319&lt;&gt;"",PROPER(K319),N319))</f>
        <v/>
      </c>
      <c r="P319">
        <f>IF(A319="","",ROUND(Settings!$B$5*MIN(1,LOG10(N(C319)+1)/LOG10(Settings!$B$7+1))+Settings!$B$6*(1-MIN(100,IF(D319="",50,N(D319)))/100)+IFERROR(INDEX(Settings!$B$10:$B$14,MATCH(O319,Settings!$A$10:$A$14,0)),0),0))</f>
        <v/>
      </c>
      <c r="Q319">
        <f>IF(OR(A319="",G319=""),"",COUNTIFS($M$3:$M$1002,M319,$G$3:$G$1002,"&lt;&gt;"&amp;SUBSTITUTE(SUBSTITUTE(G319,"?","~?"),"*","~*"),$G$3:$G$1002,"?*"))</f>
        <v/>
      </c>
      <c r="R319">
        <f>IF(Q319="","",IF(Q319&gt;0,"Yes","No"))</f>
        <v/>
      </c>
      <c r="S319">
        <f>IF(G319="","",COUNTIFS($G$3:$G$1002,SUBSTITUTE(SUBSTITUTE(G319,"?","~?"),"*","~*"),$J$3:$J$1002,"Primary"))</f>
        <v/>
      </c>
      <c r="T319">
        <f>IF(S319="","",IF(S319&gt;Settings!$B$4,"Yes","No"))</f>
        <v/>
      </c>
      <c r="U319">
        <f>IF(OR(G319="",B319=""),"",IF(COUNTIFS($G$3:$G$1002,SUBSTITUTE(SUBSTITUTE(G319,"?","~?"),"*","~*"),$B$3:$B$1002,"&lt;&gt;"&amp;SUBSTITUTE(SUBSTITUTE(B319,"?","~?"),"*","~*"),$B$3:$B$1002,"?*")&gt;0,"Yes","No"))</f>
        <v/>
      </c>
      <c r="V319">
        <f>IF(OR(G319="",I319="",O319="",O319="Unclassified"),"",IFERROR(INDEX(Settings!$E$5:$H$16,MATCH(I319,Settings!$D$5:$D$16,0),MATCH(O319,Settings!$E$4:$H$4,0)),"Check"))</f>
        <v/>
      </c>
      <c r="W319">
        <f>IF(V319="","",IF(V319="No","Yes","No"))</f>
        <v/>
      </c>
      <c r="X319">
        <f>IF(OR(E319="",G319=""),"",IF(LOWER(IF(RIGHT(TRIM(E319),1)="/",LEFT(TRIM(E319),LEN(TRIM(E319))-1),TRIM(E319)))&lt;&gt;LOWER(IF(RIGHT(TRIM(G319),1)="/",LEFT(TRIM(G319),LEN(TRIM(G319))-1),TRIM(G319))),"Yes","No"))</f>
        <v/>
      </c>
      <c r="Y319">
        <f>IF(A319="","",(N(Q319)&gt;0)+(T319="Yes")+(U319="Yes")+(W319="Yes")+(X319="Yes"))</f>
        <v/>
      </c>
      <c r="Z319">
        <f>IF(A319="","",IF(G319="","Not mapped",IF(Y319=0,"OK",MID(IF(N(Q319)&gt;0,"; Cannibalisation","")&amp;IF(T319="Yes","; Too many primary keywords on URL","")&amp;IF(U319="Yes","; URL spans 2+ clusters","")&amp;IF(W319="Yes","; Intent mismatch","")&amp;IF(X319="Yes","; Ranking URL is not the target",""),3,300))))</f>
        <v/>
      </c>
      <c r="AA319">
        <f>IF(G319="","",IF(COUNTIF($G$3:G319,SUBSTITUTE(SUBSTITUTE(G319,"?","~?"),"*","~*"))=1,MAX($AA$2:AA318)+1,""))</f>
        <v/>
      </c>
      <c r="AB319">
        <f>IF(B319="","",IF(COUNTIF($B$3:B319,SUBSTITUTE(SUBSTITUTE(B319,"?","~?"),"*","~*"))=1,MAX($AB$2:AB318)+1,""))</f>
        <v/>
      </c>
    </row>
    <row r="320">
      <c r="M320">
        <f>IF(A320="","",LOWER(TRIM(SUBSTITUTE(SUBSTITUTE(A320,"?",""),"*",""))))</f>
        <v/>
      </c>
      <c r="N320">
        <f>IF(M320="","",IF(SUMPRODUCT(ISNUMBER(SEARCH(" "&amp;Settings!$L$5:$L$124&amp;" "," "&amp;M320&amp;" "))*(Settings!$K$5:$K$124="Navigational")*(Settings!$L$5:$L$124&lt;&gt;""))&gt;0,"Navigational",IF(SUMPRODUCT(ISNUMBER(SEARCH(" "&amp;Settings!$L$5:$L$124&amp;" "," "&amp;M320&amp;" "))*(Settings!$K$5:$K$124="Transactional")*(Settings!$L$5:$L$124&lt;&gt;""))&gt;0,"Transactional",IF(SUMPRODUCT(ISNUMBER(SEARCH(" "&amp;Settings!$L$5:$L$124&amp;" "," "&amp;M320&amp;" "))*(Settings!$K$5:$K$124="Commercial")*(Settings!$L$5:$L$124&lt;&gt;""))&gt;0,"Commercial",IF(SUMPRODUCT(ISNUMBER(SEARCH(" "&amp;Settings!$L$5:$L$124&amp;" "," "&amp;M320&amp;" "))*(Settings!$K$5:$K$124="Informational")*(Settings!$L$5:$L$124&lt;&gt;""))&gt;0,"Informational","Unclassified")))))</f>
        <v/>
      </c>
      <c r="O320">
        <f>IF(A320="","",IF(K320&lt;&gt;"",PROPER(K320),N320))</f>
        <v/>
      </c>
      <c r="P320">
        <f>IF(A320="","",ROUND(Settings!$B$5*MIN(1,LOG10(N(C320)+1)/LOG10(Settings!$B$7+1))+Settings!$B$6*(1-MIN(100,IF(D320="",50,N(D320)))/100)+IFERROR(INDEX(Settings!$B$10:$B$14,MATCH(O320,Settings!$A$10:$A$14,0)),0),0))</f>
        <v/>
      </c>
      <c r="Q320">
        <f>IF(OR(A320="",G320=""),"",COUNTIFS($M$3:$M$1002,M320,$G$3:$G$1002,"&lt;&gt;"&amp;SUBSTITUTE(SUBSTITUTE(G320,"?","~?"),"*","~*"),$G$3:$G$1002,"?*"))</f>
        <v/>
      </c>
      <c r="R320">
        <f>IF(Q320="","",IF(Q320&gt;0,"Yes","No"))</f>
        <v/>
      </c>
      <c r="S320">
        <f>IF(G320="","",COUNTIFS($G$3:$G$1002,SUBSTITUTE(SUBSTITUTE(G320,"?","~?"),"*","~*"),$J$3:$J$1002,"Primary"))</f>
        <v/>
      </c>
      <c r="T320">
        <f>IF(S320="","",IF(S320&gt;Settings!$B$4,"Yes","No"))</f>
        <v/>
      </c>
      <c r="U320">
        <f>IF(OR(G320="",B320=""),"",IF(COUNTIFS($G$3:$G$1002,SUBSTITUTE(SUBSTITUTE(G320,"?","~?"),"*","~*"),$B$3:$B$1002,"&lt;&gt;"&amp;SUBSTITUTE(SUBSTITUTE(B320,"?","~?"),"*","~*"),$B$3:$B$1002,"?*")&gt;0,"Yes","No"))</f>
        <v/>
      </c>
      <c r="V320">
        <f>IF(OR(G320="",I320="",O320="",O320="Unclassified"),"",IFERROR(INDEX(Settings!$E$5:$H$16,MATCH(I320,Settings!$D$5:$D$16,0),MATCH(O320,Settings!$E$4:$H$4,0)),"Check"))</f>
        <v/>
      </c>
      <c r="W320">
        <f>IF(V320="","",IF(V320="No","Yes","No"))</f>
        <v/>
      </c>
      <c r="X320">
        <f>IF(OR(E320="",G320=""),"",IF(LOWER(IF(RIGHT(TRIM(E320),1)="/",LEFT(TRIM(E320),LEN(TRIM(E320))-1),TRIM(E320)))&lt;&gt;LOWER(IF(RIGHT(TRIM(G320),1)="/",LEFT(TRIM(G320),LEN(TRIM(G320))-1),TRIM(G320))),"Yes","No"))</f>
        <v/>
      </c>
      <c r="Y320">
        <f>IF(A320="","",(N(Q320)&gt;0)+(T320="Yes")+(U320="Yes")+(W320="Yes")+(X320="Yes"))</f>
        <v/>
      </c>
      <c r="Z320">
        <f>IF(A320="","",IF(G320="","Not mapped",IF(Y320=0,"OK",MID(IF(N(Q320)&gt;0,"; Cannibalisation","")&amp;IF(T320="Yes","; Too many primary keywords on URL","")&amp;IF(U320="Yes","; URL spans 2+ clusters","")&amp;IF(W320="Yes","; Intent mismatch","")&amp;IF(X320="Yes","; Ranking URL is not the target",""),3,300))))</f>
        <v/>
      </c>
      <c r="AA320">
        <f>IF(G320="","",IF(COUNTIF($G$3:G320,SUBSTITUTE(SUBSTITUTE(G320,"?","~?"),"*","~*"))=1,MAX($AA$2:AA319)+1,""))</f>
        <v/>
      </c>
      <c r="AB320">
        <f>IF(B320="","",IF(COUNTIF($B$3:B320,SUBSTITUTE(SUBSTITUTE(B320,"?","~?"),"*","~*"))=1,MAX($AB$2:AB319)+1,""))</f>
        <v/>
      </c>
    </row>
    <row r="321">
      <c r="M321">
        <f>IF(A321="","",LOWER(TRIM(SUBSTITUTE(SUBSTITUTE(A321,"?",""),"*",""))))</f>
        <v/>
      </c>
      <c r="N321">
        <f>IF(M321="","",IF(SUMPRODUCT(ISNUMBER(SEARCH(" "&amp;Settings!$L$5:$L$124&amp;" "," "&amp;M321&amp;" "))*(Settings!$K$5:$K$124="Navigational")*(Settings!$L$5:$L$124&lt;&gt;""))&gt;0,"Navigational",IF(SUMPRODUCT(ISNUMBER(SEARCH(" "&amp;Settings!$L$5:$L$124&amp;" "," "&amp;M321&amp;" "))*(Settings!$K$5:$K$124="Transactional")*(Settings!$L$5:$L$124&lt;&gt;""))&gt;0,"Transactional",IF(SUMPRODUCT(ISNUMBER(SEARCH(" "&amp;Settings!$L$5:$L$124&amp;" "," "&amp;M321&amp;" "))*(Settings!$K$5:$K$124="Commercial")*(Settings!$L$5:$L$124&lt;&gt;""))&gt;0,"Commercial",IF(SUMPRODUCT(ISNUMBER(SEARCH(" "&amp;Settings!$L$5:$L$124&amp;" "," "&amp;M321&amp;" "))*(Settings!$K$5:$K$124="Informational")*(Settings!$L$5:$L$124&lt;&gt;""))&gt;0,"Informational","Unclassified")))))</f>
        <v/>
      </c>
      <c r="O321">
        <f>IF(A321="","",IF(K321&lt;&gt;"",PROPER(K321),N321))</f>
        <v/>
      </c>
      <c r="P321">
        <f>IF(A321="","",ROUND(Settings!$B$5*MIN(1,LOG10(N(C321)+1)/LOG10(Settings!$B$7+1))+Settings!$B$6*(1-MIN(100,IF(D321="",50,N(D321)))/100)+IFERROR(INDEX(Settings!$B$10:$B$14,MATCH(O321,Settings!$A$10:$A$14,0)),0),0))</f>
        <v/>
      </c>
      <c r="Q321">
        <f>IF(OR(A321="",G321=""),"",COUNTIFS($M$3:$M$1002,M321,$G$3:$G$1002,"&lt;&gt;"&amp;SUBSTITUTE(SUBSTITUTE(G321,"?","~?"),"*","~*"),$G$3:$G$1002,"?*"))</f>
        <v/>
      </c>
      <c r="R321">
        <f>IF(Q321="","",IF(Q321&gt;0,"Yes","No"))</f>
        <v/>
      </c>
      <c r="S321">
        <f>IF(G321="","",COUNTIFS($G$3:$G$1002,SUBSTITUTE(SUBSTITUTE(G321,"?","~?"),"*","~*"),$J$3:$J$1002,"Primary"))</f>
        <v/>
      </c>
      <c r="T321">
        <f>IF(S321="","",IF(S321&gt;Settings!$B$4,"Yes","No"))</f>
        <v/>
      </c>
      <c r="U321">
        <f>IF(OR(G321="",B321=""),"",IF(COUNTIFS($G$3:$G$1002,SUBSTITUTE(SUBSTITUTE(G321,"?","~?"),"*","~*"),$B$3:$B$1002,"&lt;&gt;"&amp;SUBSTITUTE(SUBSTITUTE(B321,"?","~?"),"*","~*"),$B$3:$B$1002,"?*")&gt;0,"Yes","No"))</f>
        <v/>
      </c>
      <c r="V321">
        <f>IF(OR(G321="",I321="",O321="",O321="Unclassified"),"",IFERROR(INDEX(Settings!$E$5:$H$16,MATCH(I321,Settings!$D$5:$D$16,0),MATCH(O321,Settings!$E$4:$H$4,0)),"Check"))</f>
        <v/>
      </c>
      <c r="W321">
        <f>IF(V321="","",IF(V321="No","Yes","No"))</f>
        <v/>
      </c>
      <c r="X321">
        <f>IF(OR(E321="",G321=""),"",IF(LOWER(IF(RIGHT(TRIM(E321),1)="/",LEFT(TRIM(E321),LEN(TRIM(E321))-1),TRIM(E321)))&lt;&gt;LOWER(IF(RIGHT(TRIM(G321),1)="/",LEFT(TRIM(G321),LEN(TRIM(G321))-1),TRIM(G321))),"Yes","No"))</f>
        <v/>
      </c>
      <c r="Y321">
        <f>IF(A321="","",(N(Q321)&gt;0)+(T321="Yes")+(U321="Yes")+(W321="Yes")+(X321="Yes"))</f>
        <v/>
      </c>
      <c r="Z321">
        <f>IF(A321="","",IF(G321="","Not mapped",IF(Y321=0,"OK",MID(IF(N(Q321)&gt;0,"; Cannibalisation","")&amp;IF(T321="Yes","; Too many primary keywords on URL","")&amp;IF(U321="Yes","; URL spans 2+ clusters","")&amp;IF(W321="Yes","; Intent mismatch","")&amp;IF(X321="Yes","; Ranking URL is not the target",""),3,300))))</f>
        <v/>
      </c>
      <c r="AA321">
        <f>IF(G321="","",IF(COUNTIF($G$3:G321,SUBSTITUTE(SUBSTITUTE(G321,"?","~?"),"*","~*"))=1,MAX($AA$2:AA320)+1,""))</f>
        <v/>
      </c>
      <c r="AB321">
        <f>IF(B321="","",IF(COUNTIF($B$3:B321,SUBSTITUTE(SUBSTITUTE(B321,"?","~?"),"*","~*"))=1,MAX($AB$2:AB320)+1,""))</f>
        <v/>
      </c>
    </row>
    <row r="322">
      <c r="M322">
        <f>IF(A322="","",LOWER(TRIM(SUBSTITUTE(SUBSTITUTE(A322,"?",""),"*",""))))</f>
        <v/>
      </c>
      <c r="N322">
        <f>IF(M322="","",IF(SUMPRODUCT(ISNUMBER(SEARCH(" "&amp;Settings!$L$5:$L$124&amp;" "," "&amp;M322&amp;" "))*(Settings!$K$5:$K$124="Navigational")*(Settings!$L$5:$L$124&lt;&gt;""))&gt;0,"Navigational",IF(SUMPRODUCT(ISNUMBER(SEARCH(" "&amp;Settings!$L$5:$L$124&amp;" "," "&amp;M322&amp;" "))*(Settings!$K$5:$K$124="Transactional")*(Settings!$L$5:$L$124&lt;&gt;""))&gt;0,"Transactional",IF(SUMPRODUCT(ISNUMBER(SEARCH(" "&amp;Settings!$L$5:$L$124&amp;" "," "&amp;M322&amp;" "))*(Settings!$K$5:$K$124="Commercial")*(Settings!$L$5:$L$124&lt;&gt;""))&gt;0,"Commercial",IF(SUMPRODUCT(ISNUMBER(SEARCH(" "&amp;Settings!$L$5:$L$124&amp;" "," "&amp;M322&amp;" "))*(Settings!$K$5:$K$124="Informational")*(Settings!$L$5:$L$124&lt;&gt;""))&gt;0,"Informational","Unclassified")))))</f>
        <v/>
      </c>
      <c r="O322">
        <f>IF(A322="","",IF(K322&lt;&gt;"",PROPER(K322),N322))</f>
        <v/>
      </c>
      <c r="P322">
        <f>IF(A322="","",ROUND(Settings!$B$5*MIN(1,LOG10(N(C322)+1)/LOG10(Settings!$B$7+1))+Settings!$B$6*(1-MIN(100,IF(D322="",50,N(D322)))/100)+IFERROR(INDEX(Settings!$B$10:$B$14,MATCH(O322,Settings!$A$10:$A$14,0)),0),0))</f>
        <v/>
      </c>
      <c r="Q322">
        <f>IF(OR(A322="",G322=""),"",COUNTIFS($M$3:$M$1002,M322,$G$3:$G$1002,"&lt;&gt;"&amp;SUBSTITUTE(SUBSTITUTE(G322,"?","~?"),"*","~*"),$G$3:$G$1002,"?*"))</f>
        <v/>
      </c>
      <c r="R322">
        <f>IF(Q322="","",IF(Q322&gt;0,"Yes","No"))</f>
        <v/>
      </c>
      <c r="S322">
        <f>IF(G322="","",COUNTIFS($G$3:$G$1002,SUBSTITUTE(SUBSTITUTE(G322,"?","~?"),"*","~*"),$J$3:$J$1002,"Primary"))</f>
        <v/>
      </c>
      <c r="T322">
        <f>IF(S322="","",IF(S322&gt;Settings!$B$4,"Yes","No"))</f>
        <v/>
      </c>
      <c r="U322">
        <f>IF(OR(G322="",B322=""),"",IF(COUNTIFS($G$3:$G$1002,SUBSTITUTE(SUBSTITUTE(G322,"?","~?"),"*","~*"),$B$3:$B$1002,"&lt;&gt;"&amp;SUBSTITUTE(SUBSTITUTE(B322,"?","~?"),"*","~*"),$B$3:$B$1002,"?*")&gt;0,"Yes","No"))</f>
        <v/>
      </c>
      <c r="V322">
        <f>IF(OR(G322="",I322="",O322="",O322="Unclassified"),"",IFERROR(INDEX(Settings!$E$5:$H$16,MATCH(I322,Settings!$D$5:$D$16,0),MATCH(O322,Settings!$E$4:$H$4,0)),"Check"))</f>
        <v/>
      </c>
      <c r="W322">
        <f>IF(V322="","",IF(V322="No","Yes","No"))</f>
        <v/>
      </c>
      <c r="X322">
        <f>IF(OR(E322="",G322=""),"",IF(LOWER(IF(RIGHT(TRIM(E322),1)="/",LEFT(TRIM(E322),LEN(TRIM(E322))-1),TRIM(E322)))&lt;&gt;LOWER(IF(RIGHT(TRIM(G322),1)="/",LEFT(TRIM(G322),LEN(TRIM(G322))-1),TRIM(G322))),"Yes","No"))</f>
        <v/>
      </c>
      <c r="Y322">
        <f>IF(A322="","",(N(Q322)&gt;0)+(T322="Yes")+(U322="Yes")+(W322="Yes")+(X322="Yes"))</f>
        <v/>
      </c>
      <c r="Z322">
        <f>IF(A322="","",IF(G322="","Not mapped",IF(Y322=0,"OK",MID(IF(N(Q322)&gt;0,"; Cannibalisation","")&amp;IF(T322="Yes","; Too many primary keywords on URL","")&amp;IF(U322="Yes","; URL spans 2+ clusters","")&amp;IF(W322="Yes","; Intent mismatch","")&amp;IF(X322="Yes","; Ranking URL is not the target",""),3,300))))</f>
        <v/>
      </c>
      <c r="AA322">
        <f>IF(G322="","",IF(COUNTIF($G$3:G322,SUBSTITUTE(SUBSTITUTE(G322,"?","~?"),"*","~*"))=1,MAX($AA$2:AA321)+1,""))</f>
        <v/>
      </c>
      <c r="AB322">
        <f>IF(B322="","",IF(COUNTIF($B$3:B322,SUBSTITUTE(SUBSTITUTE(B322,"?","~?"),"*","~*"))=1,MAX($AB$2:AB321)+1,""))</f>
        <v/>
      </c>
    </row>
    <row r="323">
      <c r="M323">
        <f>IF(A323="","",LOWER(TRIM(SUBSTITUTE(SUBSTITUTE(A323,"?",""),"*",""))))</f>
        <v/>
      </c>
      <c r="N323">
        <f>IF(M323="","",IF(SUMPRODUCT(ISNUMBER(SEARCH(" "&amp;Settings!$L$5:$L$124&amp;" "," "&amp;M323&amp;" "))*(Settings!$K$5:$K$124="Navigational")*(Settings!$L$5:$L$124&lt;&gt;""))&gt;0,"Navigational",IF(SUMPRODUCT(ISNUMBER(SEARCH(" "&amp;Settings!$L$5:$L$124&amp;" "," "&amp;M323&amp;" "))*(Settings!$K$5:$K$124="Transactional")*(Settings!$L$5:$L$124&lt;&gt;""))&gt;0,"Transactional",IF(SUMPRODUCT(ISNUMBER(SEARCH(" "&amp;Settings!$L$5:$L$124&amp;" "," "&amp;M323&amp;" "))*(Settings!$K$5:$K$124="Commercial")*(Settings!$L$5:$L$124&lt;&gt;""))&gt;0,"Commercial",IF(SUMPRODUCT(ISNUMBER(SEARCH(" "&amp;Settings!$L$5:$L$124&amp;" "," "&amp;M323&amp;" "))*(Settings!$K$5:$K$124="Informational")*(Settings!$L$5:$L$124&lt;&gt;""))&gt;0,"Informational","Unclassified")))))</f>
        <v/>
      </c>
      <c r="O323">
        <f>IF(A323="","",IF(K323&lt;&gt;"",PROPER(K323),N323))</f>
        <v/>
      </c>
      <c r="P323">
        <f>IF(A323="","",ROUND(Settings!$B$5*MIN(1,LOG10(N(C323)+1)/LOG10(Settings!$B$7+1))+Settings!$B$6*(1-MIN(100,IF(D323="",50,N(D323)))/100)+IFERROR(INDEX(Settings!$B$10:$B$14,MATCH(O323,Settings!$A$10:$A$14,0)),0),0))</f>
        <v/>
      </c>
      <c r="Q323">
        <f>IF(OR(A323="",G323=""),"",COUNTIFS($M$3:$M$1002,M323,$G$3:$G$1002,"&lt;&gt;"&amp;SUBSTITUTE(SUBSTITUTE(G323,"?","~?"),"*","~*"),$G$3:$G$1002,"?*"))</f>
        <v/>
      </c>
      <c r="R323">
        <f>IF(Q323="","",IF(Q323&gt;0,"Yes","No"))</f>
        <v/>
      </c>
      <c r="S323">
        <f>IF(G323="","",COUNTIFS($G$3:$G$1002,SUBSTITUTE(SUBSTITUTE(G323,"?","~?"),"*","~*"),$J$3:$J$1002,"Primary"))</f>
        <v/>
      </c>
      <c r="T323">
        <f>IF(S323="","",IF(S323&gt;Settings!$B$4,"Yes","No"))</f>
        <v/>
      </c>
      <c r="U323">
        <f>IF(OR(G323="",B323=""),"",IF(COUNTIFS($G$3:$G$1002,SUBSTITUTE(SUBSTITUTE(G323,"?","~?"),"*","~*"),$B$3:$B$1002,"&lt;&gt;"&amp;SUBSTITUTE(SUBSTITUTE(B323,"?","~?"),"*","~*"),$B$3:$B$1002,"?*")&gt;0,"Yes","No"))</f>
        <v/>
      </c>
      <c r="V323">
        <f>IF(OR(G323="",I323="",O323="",O323="Unclassified"),"",IFERROR(INDEX(Settings!$E$5:$H$16,MATCH(I323,Settings!$D$5:$D$16,0),MATCH(O323,Settings!$E$4:$H$4,0)),"Check"))</f>
        <v/>
      </c>
      <c r="W323">
        <f>IF(V323="","",IF(V323="No","Yes","No"))</f>
        <v/>
      </c>
      <c r="X323">
        <f>IF(OR(E323="",G323=""),"",IF(LOWER(IF(RIGHT(TRIM(E323),1)="/",LEFT(TRIM(E323),LEN(TRIM(E323))-1),TRIM(E323)))&lt;&gt;LOWER(IF(RIGHT(TRIM(G323),1)="/",LEFT(TRIM(G323),LEN(TRIM(G323))-1),TRIM(G323))),"Yes","No"))</f>
        <v/>
      </c>
      <c r="Y323">
        <f>IF(A323="","",(N(Q323)&gt;0)+(T323="Yes")+(U323="Yes")+(W323="Yes")+(X323="Yes"))</f>
        <v/>
      </c>
      <c r="Z323">
        <f>IF(A323="","",IF(G323="","Not mapped",IF(Y323=0,"OK",MID(IF(N(Q323)&gt;0,"; Cannibalisation","")&amp;IF(T323="Yes","; Too many primary keywords on URL","")&amp;IF(U323="Yes","; URL spans 2+ clusters","")&amp;IF(W323="Yes","; Intent mismatch","")&amp;IF(X323="Yes","; Ranking URL is not the target",""),3,300))))</f>
        <v/>
      </c>
      <c r="AA323">
        <f>IF(G323="","",IF(COUNTIF($G$3:G323,SUBSTITUTE(SUBSTITUTE(G323,"?","~?"),"*","~*"))=1,MAX($AA$2:AA322)+1,""))</f>
        <v/>
      </c>
      <c r="AB323">
        <f>IF(B323="","",IF(COUNTIF($B$3:B323,SUBSTITUTE(SUBSTITUTE(B323,"?","~?"),"*","~*"))=1,MAX($AB$2:AB322)+1,""))</f>
        <v/>
      </c>
    </row>
    <row r="324">
      <c r="M324">
        <f>IF(A324="","",LOWER(TRIM(SUBSTITUTE(SUBSTITUTE(A324,"?",""),"*",""))))</f>
        <v/>
      </c>
      <c r="N324">
        <f>IF(M324="","",IF(SUMPRODUCT(ISNUMBER(SEARCH(" "&amp;Settings!$L$5:$L$124&amp;" "," "&amp;M324&amp;" "))*(Settings!$K$5:$K$124="Navigational")*(Settings!$L$5:$L$124&lt;&gt;""))&gt;0,"Navigational",IF(SUMPRODUCT(ISNUMBER(SEARCH(" "&amp;Settings!$L$5:$L$124&amp;" "," "&amp;M324&amp;" "))*(Settings!$K$5:$K$124="Transactional")*(Settings!$L$5:$L$124&lt;&gt;""))&gt;0,"Transactional",IF(SUMPRODUCT(ISNUMBER(SEARCH(" "&amp;Settings!$L$5:$L$124&amp;" "," "&amp;M324&amp;" "))*(Settings!$K$5:$K$124="Commercial")*(Settings!$L$5:$L$124&lt;&gt;""))&gt;0,"Commercial",IF(SUMPRODUCT(ISNUMBER(SEARCH(" "&amp;Settings!$L$5:$L$124&amp;" "," "&amp;M324&amp;" "))*(Settings!$K$5:$K$124="Informational")*(Settings!$L$5:$L$124&lt;&gt;""))&gt;0,"Informational","Unclassified")))))</f>
        <v/>
      </c>
      <c r="O324">
        <f>IF(A324="","",IF(K324&lt;&gt;"",PROPER(K324),N324))</f>
        <v/>
      </c>
      <c r="P324">
        <f>IF(A324="","",ROUND(Settings!$B$5*MIN(1,LOG10(N(C324)+1)/LOG10(Settings!$B$7+1))+Settings!$B$6*(1-MIN(100,IF(D324="",50,N(D324)))/100)+IFERROR(INDEX(Settings!$B$10:$B$14,MATCH(O324,Settings!$A$10:$A$14,0)),0),0))</f>
        <v/>
      </c>
      <c r="Q324">
        <f>IF(OR(A324="",G324=""),"",COUNTIFS($M$3:$M$1002,M324,$G$3:$G$1002,"&lt;&gt;"&amp;SUBSTITUTE(SUBSTITUTE(G324,"?","~?"),"*","~*"),$G$3:$G$1002,"?*"))</f>
        <v/>
      </c>
      <c r="R324">
        <f>IF(Q324="","",IF(Q324&gt;0,"Yes","No"))</f>
        <v/>
      </c>
      <c r="S324">
        <f>IF(G324="","",COUNTIFS($G$3:$G$1002,SUBSTITUTE(SUBSTITUTE(G324,"?","~?"),"*","~*"),$J$3:$J$1002,"Primary"))</f>
        <v/>
      </c>
      <c r="T324">
        <f>IF(S324="","",IF(S324&gt;Settings!$B$4,"Yes","No"))</f>
        <v/>
      </c>
      <c r="U324">
        <f>IF(OR(G324="",B324=""),"",IF(COUNTIFS($G$3:$G$1002,SUBSTITUTE(SUBSTITUTE(G324,"?","~?"),"*","~*"),$B$3:$B$1002,"&lt;&gt;"&amp;SUBSTITUTE(SUBSTITUTE(B324,"?","~?"),"*","~*"),$B$3:$B$1002,"?*")&gt;0,"Yes","No"))</f>
        <v/>
      </c>
      <c r="V324">
        <f>IF(OR(G324="",I324="",O324="",O324="Unclassified"),"",IFERROR(INDEX(Settings!$E$5:$H$16,MATCH(I324,Settings!$D$5:$D$16,0),MATCH(O324,Settings!$E$4:$H$4,0)),"Check"))</f>
        <v/>
      </c>
      <c r="W324">
        <f>IF(V324="","",IF(V324="No","Yes","No"))</f>
        <v/>
      </c>
      <c r="X324">
        <f>IF(OR(E324="",G324=""),"",IF(LOWER(IF(RIGHT(TRIM(E324),1)="/",LEFT(TRIM(E324),LEN(TRIM(E324))-1),TRIM(E324)))&lt;&gt;LOWER(IF(RIGHT(TRIM(G324),1)="/",LEFT(TRIM(G324),LEN(TRIM(G324))-1),TRIM(G324))),"Yes","No"))</f>
        <v/>
      </c>
      <c r="Y324">
        <f>IF(A324="","",(N(Q324)&gt;0)+(T324="Yes")+(U324="Yes")+(W324="Yes")+(X324="Yes"))</f>
        <v/>
      </c>
      <c r="Z324">
        <f>IF(A324="","",IF(G324="","Not mapped",IF(Y324=0,"OK",MID(IF(N(Q324)&gt;0,"; Cannibalisation","")&amp;IF(T324="Yes","; Too many primary keywords on URL","")&amp;IF(U324="Yes","; URL spans 2+ clusters","")&amp;IF(W324="Yes","; Intent mismatch","")&amp;IF(X324="Yes","; Ranking URL is not the target",""),3,300))))</f>
        <v/>
      </c>
      <c r="AA324">
        <f>IF(G324="","",IF(COUNTIF($G$3:G324,SUBSTITUTE(SUBSTITUTE(G324,"?","~?"),"*","~*"))=1,MAX($AA$2:AA323)+1,""))</f>
        <v/>
      </c>
      <c r="AB324">
        <f>IF(B324="","",IF(COUNTIF($B$3:B324,SUBSTITUTE(SUBSTITUTE(B324,"?","~?"),"*","~*"))=1,MAX($AB$2:AB323)+1,""))</f>
        <v/>
      </c>
    </row>
    <row r="325">
      <c r="M325">
        <f>IF(A325="","",LOWER(TRIM(SUBSTITUTE(SUBSTITUTE(A325,"?",""),"*",""))))</f>
        <v/>
      </c>
      <c r="N325">
        <f>IF(M325="","",IF(SUMPRODUCT(ISNUMBER(SEARCH(" "&amp;Settings!$L$5:$L$124&amp;" "," "&amp;M325&amp;" "))*(Settings!$K$5:$K$124="Navigational")*(Settings!$L$5:$L$124&lt;&gt;""))&gt;0,"Navigational",IF(SUMPRODUCT(ISNUMBER(SEARCH(" "&amp;Settings!$L$5:$L$124&amp;" "," "&amp;M325&amp;" "))*(Settings!$K$5:$K$124="Transactional")*(Settings!$L$5:$L$124&lt;&gt;""))&gt;0,"Transactional",IF(SUMPRODUCT(ISNUMBER(SEARCH(" "&amp;Settings!$L$5:$L$124&amp;" "," "&amp;M325&amp;" "))*(Settings!$K$5:$K$124="Commercial")*(Settings!$L$5:$L$124&lt;&gt;""))&gt;0,"Commercial",IF(SUMPRODUCT(ISNUMBER(SEARCH(" "&amp;Settings!$L$5:$L$124&amp;" "," "&amp;M325&amp;" "))*(Settings!$K$5:$K$124="Informational")*(Settings!$L$5:$L$124&lt;&gt;""))&gt;0,"Informational","Unclassified")))))</f>
        <v/>
      </c>
      <c r="O325">
        <f>IF(A325="","",IF(K325&lt;&gt;"",PROPER(K325),N325))</f>
        <v/>
      </c>
      <c r="P325">
        <f>IF(A325="","",ROUND(Settings!$B$5*MIN(1,LOG10(N(C325)+1)/LOG10(Settings!$B$7+1))+Settings!$B$6*(1-MIN(100,IF(D325="",50,N(D325)))/100)+IFERROR(INDEX(Settings!$B$10:$B$14,MATCH(O325,Settings!$A$10:$A$14,0)),0),0))</f>
        <v/>
      </c>
      <c r="Q325">
        <f>IF(OR(A325="",G325=""),"",COUNTIFS($M$3:$M$1002,M325,$G$3:$G$1002,"&lt;&gt;"&amp;SUBSTITUTE(SUBSTITUTE(G325,"?","~?"),"*","~*"),$G$3:$G$1002,"?*"))</f>
        <v/>
      </c>
      <c r="R325">
        <f>IF(Q325="","",IF(Q325&gt;0,"Yes","No"))</f>
        <v/>
      </c>
      <c r="S325">
        <f>IF(G325="","",COUNTIFS($G$3:$G$1002,SUBSTITUTE(SUBSTITUTE(G325,"?","~?"),"*","~*"),$J$3:$J$1002,"Primary"))</f>
        <v/>
      </c>
      <c r="T325">
        <f>IF(S325="","",IF(S325&gt;Settings!$B$4,"Yes","No"))</f>
        <v/>
      </c>
      <c r="U325">
        <f>IF(OR(G325="",B325=""),"",IF(COUNTIFS($G$3:$G$1002,SUBSTITUTE(SUBSTITUTE(G325,"?","~?"),"*","~*"),$B$3:$B$1002,"&lt;&gt;"&amp;SUBSTITUTE(SUBSTITUTE(B325,"?","~?"),"*","~*"),$B$3:$B$1002,"?*")&gt;0,"Yes","No"))</f>
        <v/>
      </c>
      <c r="V325">
        <f>IF(OR(G325="",I325="",O325="",O325="Unclassified"),"",IFERROR(INDEX(Settings!$E$5:$H$16,MATCH(I325,Settings!$D$5:$D$16,0),MATCH(O325,Settings!$E$4:$H$4,0)),"Check"))</f>
        <v/>
      </c>
      <c r="W325">
        <f>IF(V325="","",IF(V325="No","Yes","No"))</f>
        <v/>
      </c>
      <c r="X325">
        <f>IF(OR(E325="",G325=""),"",IF(LOWER(IF(RIGHT(TRIM(E325),1)="/",LEFT(TRIM(E325),LEN(TRIM(E325))-1),TRIM(E325)))&lt;&gt;LOWER(IF(RIGHT(TRIM(G325),1)="/",LEFT(TRIM(G325),LEN(TRIM(G325))-1),TRIM(G325))),"Yes","No"))</f>
        <v/>
      </c>
      <c r="Y325">
        <f>IF(A325="","",(N(Q325)&gt;0)+(T325="Yes")+(U325="Yes")+(W325="Yes")+(X325="Yes"))</f>
        <v/>
      </c>
      <c r="Z325">
        <f>IF(A325="","",IF(G325="","Not mapped",IF(Y325=0,"OK",MID(IF(N(Q325)&gt;0,"; Cannibalisation","")&amp;IF(T325="Yes","; Too many primary keywords on URL","")&amp;IF(U325="Yes","; URL spans 2+ clusters","")&amp;IF(W325="Yes","; Intent mismatch","")&amp;IF(X325="Yes","; Ranking URL is not the target",""),3,300))))</f>
        <v/>
      </c>
      <c r="AA325">
        <f>IF(G325="","",IF(COUNTIF($G$3:G325,SUBSTITUTE(SUBSTITUTE(G325,"?","~?"),"*","~*"))=1,MAX($AA$2:AA324)+1,""))</f>
        <v/>
      </c>
      <c r="AB325">
        <f>IF(B325="","",IF(COUNTIF($B$3:B325,SUBSTITUTE(SUBSTITUTE(B325,"?","~?"),"*","~*"))=1,MAX($AB$2:AB324)+1,""))</f>
        <v/>
      </c>
    </row>
    <row r="326">
      <c r="M326">
        <f>IF(A326="","",LOWER(TRIM(SUBSTITUTE(SUBSTITUTE(A326,"?",""),"*",""))))</f>
        <v/>
      </c>
      <c r="N326">
        <f>IF(M326="","",IF(SUMPRODUCT(ISNUMBER(SEARCH(" "&amp;Settings!$L$5:$L$124&amp;" "," "&amp;M326&amp;" "))*(Settings!$K$5:$K$124="Navigational")*(Settings!$L$5:$L$124&lt;&gt;""))&gt;0,"Navigational",IF(SUMPRODUCT(ISNUMBER(SEARCH(" "&amp;Settings!$L$5:$L$124&amp;" "," "&amp;M326&amp;" "))*(Settings!$K$5:$K$124="Transactional")*(Settings!$L$5:$L$124&lt;&gt;""))&gt;0,"Transactional",IF(SUMPRODUCT(ISNUMBER(SEARCH(" "&amp;Settings!$L$5:$L$124&amp;" "," "&amp;M326&amp;" "))*(Settings!$K$5:$K$124="Commercial")*(Settings!$L$5:$L$124&lt;&gt;""))&gt;0,"Commercial",IF(SUMPRODUCT(ISNUMBER(SEARCH(" "&amp;Settings!$L$5:$L$124&amp;" "," "&amp;M326&amp;" "))*(Settings!$K$5:$K$124="Informational")*(Settings!$L$5:$L$124&lt;&gt;""))&gt;0,"Informational","Unclassified")))))</f>
        <v/>
      </c>
      <c r="O326">
        <f>IF(A326="","",IF(K326&lt;&gt;"",PROPER(K326),N326))</f>
        <v/>
      </c>
      <c r="P326">
        <f>IF(A326="","",ROUND(Settings!$B$5*MIN(1,LOG10(N(C326)+1)/LOG10(Settings!$B$7+1))+Settings!$B$6*(1-MIN(100,IF(D326="",50,N(D326)))/100)+IFERROR(INDEX(Settings!$B$10:$B$14,MATCH(O326,Settings!$A$10:$A$14,0)),0),0))</f>
        <v/>
      </c>
      <c r="Q326">
        <f>IF(OR(A326="",G326=""),"",COUNTIFS($M$3:$M$1002,M326,$G$3:$G$1002,"&lt;&gt;"&amp;SUBSTITUTE(SUBSTITUTE(G326,"?","~?"),"*","~*"),$G$3:$G$1002,"?*"))</f>
        <v/>
      </c>
      <c r="R326">
        <f>IF(Q326="","",IF(Q326&gt;0,"Yes","No"))</f>
        <v/>
      </c>
      <c r="S326">
        <f>IF(G326="","",COUNTIFS($G$3:$G$1002,SUBSTITUTE(SUBSTITUTE(G326,"?","~?"),"*","~*"),$J$3:$J$1002,"Primary"))</f>
        <v/>
      </c>
      <c r="T326">
        <f>IF(S326="","",IF(S326&gt;Settings!$B$4,"Yes","No"))</f>
        <v/>
      </c>
      <c r="U326">
        <f>IF(OR(G326="",B326=""),"",IF(COUNTIFS($G$3:$G$1002,SUBSTITUTE(SUBSTITUTE(G326,"?","~?"),"*","~*"),$B$3:$B$1002,"&lt;&gt;"&amp;SUBSTITUTE(SUBSTITUTE(B326,"?","~?"),"*","~*"),$B$3:$B$1002,"?*")&gt;0,"Yes","No"))</f>
        <v/>
      </c>
      <c r="V326">
        <f>IF(OR(G326="",I326="",O326="",O326="Unclassified"),"",IFERROR(INDEX(Settings!$E$5:$H$16,MATCH(I326,Settings!$D$5:$D$16,0),MATCH(O326,Settings!$E$4:$H$4,0)),"Check"))</f>
        <v/>
      </c>
      <c r="W326">
        <f>IF(V326="","",IF(V326="No","Yes","No"))</f>
        <v/>
      </c>
      <c r="X326">
        <f>IF(OR(E326="",G326=""),"",IF(LOWER(IF(RIGHT(TRIM(E326),1)="/",LEFT(TRIM(E326),LEN(TRIM(E326))-1),TRIM(E326)))&lt;&gt;LOWER(IF(RIGHT(TRIM(G326),1)="/",LEFT(TRIM(G326),LEN(TRIM(G326))-1),TRIM(G326))),"Yes","No"))</f>
        <v/>
      </c>
      <c r="Y326">
        <f>IF(A326="","",(N(Q326)&gt;0)+(T326="Yes")+(U326="Yes")+(W326="Yes")+(X326="Yes"))</f>
        <v/>
      </c>
      <c r="Z326">
        <f>IF(A326="","",IF(G326="","Not mapped",IF(Y326=0,"OK",MID(IF(N(Q326)&gt;0,"; Cannibalisation","")&amp;IF(T326="Yes","; Too many primary keywords on URL","")&amp;IF(U326="Yes","; URL spans 2+ clusters","")&amp;IF(W326="Yes","; Intent mismatch","")&amp;IF(X326="Yes","; Ranking URL is not the target",""),3,300))))</f>
        <v/>
      </c>
      <c r="AA326">
        <f>IF(G326="","",IF(COUNTIF($G$3:G326,SUBSTITUTE(SUBSTITUTE(G326,"?","~?"),"*","~*"))=1,MAX($AA$2:AA325)+1,""))</f>
        <v/>
      </c>
      <c r="AB326">
        <f>IF(B326="","",IF(COUNTIF($B$3:B326,SUBSTITUTE(SUBSTITUTE(B326,"?","~?"),"*","~*"))=1,MAX($AB$2:AB325)+1,""))</f>
        <v/>
      </c>
    </row>
    <row r="327">
      <c r="M327">
        <f>IF(A327="","",LOWER(TRIM(SUBSTITUTE(SUBSTITUTE(A327,"?",""),"*",""))))</f>
        <v/>
      </c>
      <c r="N327">
        <f>IF(M327="","",IF(SUMPRODUCT(ISNUMBER(SEARCH(" "&amp;Settings!$L$5:$L$124&amp;" "," "&amp;M327&amp;" "))*(Settings!$K$5:$K$124="Navigational")*(Settings!$L$5:$L$124&lt;&gt;""))&gt;0,"Navigational",IF(SUMPRODUCT(ISNUMBER(SEARCH(" "&amp;Settings!$L$5:$L$124&amp;" "," "&amp;M327&amp;" "))*(Settings!$K$5:$K$124="Transactional")*(Settings!$L$5:$L$124&lt;&gt;""))&gt;0,"Transactional",IF(SUMPRODUCT(ISNUMBER(SEARCH(" "&amp;Settings!$L$5:$L$124&amp;" "," "&amp;M327&amp;" "))*(Settings!$K$5:$K$124="Commercial")*(Settings!$L$5:$L$124&lt;&gt;""))&gt;0,"Commercial",IF(SUMPRODUCT(ISNUMBER(SEARCH(" "&amp;Settings!$L$5:$L$124&amp;" "," "&amp;M327&amp;" "))*(Settings!$K$5:$K$124="Informational")*(Settings!$L$5:$L$124&lt;&gt;""))&gt;0,"Informational","Unclassified")))))</f>
        <v/>
      </c>
      <c r="O327">
        <f>IF(A327="","",IF(K327&lt;&gt;"",PROPER(K327),N327))</f>
        <v/>
      </c>
      <c r="P327">
        <f>IF(A327="","",ROUND(Settings!$B$5*MIN(1,LOG10(N(C327)+1)/LOG10(Settings!$B$7+1))+Settings!$B$6*(1-MIN(100,IF(D327="",50,N(D327)))/100)+IFERROR(INDEX(Settings!$B$10:$B$14,MATCH(O327,Settings!$A$10:$A$14,0)),0),0))</f>
        <v/>
      </c>
      <c r="Q327">
        <f>IF(OR(A327="",G327=""),"",COUNTIFS($M$3:$M$1002,M327,$G$3:$G$1002,"&lt;&gt;"&amp;SUBSTITUTE(SUBSTITUTE(G327,"?","~?"),"*","~*"),$G$3:$G$1002,"?*"))</f>
        <v/>
      </c>
      <c r="R327">
        <f>IF(Q327="","",IF(Q327&gt;0,"Yes","No"))</f>
        <v/>
      </c>
      <c r="S327">
        <f>IF(G327="","",COUNTIFS($G$3:$G$1002,SUBSTITUTE(SUBSTITUTE(G327,"?","~?"),"*","~*"),$J$3:$J$1002,"Primary"))</f>
        <v/>
      </c>
      <c r="T327">
        <f>IF(S327="","",IF(S327&gt;Settings!$B$4,"Yes","No"))</f>
        <v/>
      </c>
      <c r="U327">
        <f>IF(OR(G327="",B327=""),"",IF(COUNTIFS($G$3:$G$1002,SUBSTITUTE(SUBSTITUTE(G327,"?","~?"),"*","~*"),$B$3:$B$1002,"&lt;&gt;"&amp;SUBSTITUTE(SUBSTITUTE(B327,"?","~?"),"*","~*"),$B$3:$B$1002,"?*")&gt;0,"Yes","No"))</f>
        <v/>
      </c>
      <c r="V327">
        <f>IF(OR(G327="",I327="",O327="",O327="Unclassified"),"",IFERROR(INDEX(Settings!$E$5:$H$16,MATCH(I327,Settings!$D$5:$D$16,0),MATCH(O327,Settings!$E$4:$H$4,0)),"Check"))</f>
        <v/>
      </c>
      <c r="W327">
        <f>IF(V327="","",IF(V327="No","Yes","No"))</f>
        <v/>
      </c>
      <c r="X327">
        <f>IF(OR(E327="",G327=""),"",IF(LOWER(IF(RIGHT(TRIM(E327),1)="/",LEFT(TRIM(E327),LEN(TRIM(E327))-1),TRIM(E327)))&lt;&gt;LOWER(IF(RIGHT(TRIM(G327),1)="/",LEFT(TRIM(G327),LEN(TRIM(G327))-1),TRIM(G327))),"Yes","No"))</f>
        <v/>
      </c>
      <c r="Y327">
        <f>IF(A327="","",(N(Q327)&gt;0)+(T327="Yes")+(U327="Yes")+(W327="Yes")+(X327="Yes"))</f>
        <v/>
      </c>
      <c r="Z327">
        <f>IF(A327="","",IF(G327="","Not mapped",IF(Y327=0,"OK",MID(IF(N(Q327)&gt;0,"; Cannibalisation","")&amp;IF(T327="Yes","; Too many primary keywords on URL","")&amp;IF(U327="Yes","; URL spans 2+ clusters","")&amp;IF(W327="Yes","; Intent mismatch","")&amp;IF(X327="Yes","; Ranking URL is not the target",""),3,300))))</f>
        <v/>
      </c>
      <c r="AA327">
        <f>IF(G327="","",IF(COUNTIF($G$3:G327,SUBSTITUTE(SUBSTITUTE(G327,"?","~?"),"*","~*"))=1,MAX($AA$2:AA326)+1,""))</f>
        <v/>
      </c>
      <c r="AB327">
        <f>IF(B327="","",IF(COUNTIF($B$3:B327,SUBSTITUTE(SUBSTITUTE(B327,"?","~?"),"*","~*"))=1,MAX($AB$2:AB326)+1,""))</f>
        <v/>
      </c>
    </row>
    <row r="328">
      <c r="M328">
        <f>IF(A328="","",LOWER(TRIM(SUBSTITUTE(SUBSTITUTE(A328,"?",""),"*",""))))</f>
        <v/>
      </c>
      <c r="N328">
        <f>IF(M328="","",IF(SUMPRODUCT(ISNUMBER(SEARCH(" "&amp;Settings!$L$5:$L$124&amp;" "," "&amp;M328&amp;" "))*(Settings!$K$5:$K$124="Navigational")*(Settings!$L$5:$L$124&lt;&gt;""))&gt;0,"Navigational",IF(SUMPRODUCT(ISNUMBER(SEARCH(" "&amp;Settings!$L$5:$L$124&amp;" "," "&amp;M328&amp;" "))*(Settings!$K$5:$K$124="Transactional")*(Settings!$L$5:$L$124&lt;&gt;""))&gt;0,"Transactional",IF(SUMPRODUCT(ISNUMBER(SEARCH(" "&amp;Settings!$L$5:$L$124&amp;" "," "&amp;M328&amp;" "))*(Settings!$K$5:$K$124="Commercial")*(Settings!$L$5:$L$124&lt;&gt;""))&gt;0,"Commercial",IF(SUMPRODUCT(ISNUMBER(SEARCH(" "&amp;Settings!$L$5:$L$124&amp;" "," "&amp;M328&amp;" "))*(Settings!$K$5:$K$124="Informational")*(Settings!$L$5:$L$124&lt;&gt;""))&gt;0,"Informational","Unclassified")))))</f>
        <v/>
      </c>
      <c r="O328">
        <f>IF(A328="","",IF(K328&lt;&gt;"",PROPER(K328),N328))</f>
        <v/>
      </c>
      <c r="P328">
        <f>IF(A328="","",ROUND(Settings!$B$5*MIN(1,LOG10(N(C328)+1)/LOG10(Settings!$B$7+1))+Settings!$B$6*(1-MIN(100,IF(D328="",50,N(D328)))/100)+IFERROR(INDEX(Settings!$B$10:$B$14,MATCH(O328,Settings!$A$10:$A$14,0)),0),0))</f>
        <v/>
      </c>
      <c r="Q328">
        <f>IF(OR(A328="",G328=""),"",COUNTIFS($M$3:$M$1002,M328,$G$3:$G$1002,"&lt;&gt;"&amp;SUBSTITUTE(SUBSTITUTE(G328,"?","~?"),"*","~*"),$G$3:$G$1002,"?*"))</f>
        <v/>
      </c>
      <c r="R328">
        <f>IF(Q328="","",IF(Q328&gt;0,"Yes","No"))</f>
        <v/>
      </c>
      <c r="S328">
        <f>IF(G328="","",COUNTIFS($G$3:$G$1002,SUBSTITUTE(SUBSTITUTE(G328,"?","~?"),"*","~*"),$J$3:$J$1002,"Primary"))</f>
        <v/>
      </c>
      <c r="T328">
        <f>IF(S328="","",IF(S328&gt;Settings!$B$4,"Yes","No"))</f>
        <v/>
      </c>
      <c r="U328">
        <f>IF(OR(G328="",B328=""),"",IF(COUNTIFS($G$3:$G$1002,SUBSTITUTE(SUBSTITUTE(G328,"?","~?"),"*","~*"),$B$3:$B$1002,"&lt;&gt;"&amp;SUBSTITUTE(SUBSTITUTE(B328,"?","~?"),"*","~*"),$B$3:$B$1002,"?*")&gt;0,"Yes","No"))</f>
        <v/>
      </c>
      <c r="V328">
        <f>IF(OR(G328="",I328="",O328="",O328="Unclassified"),"",IFERROR(INDEX(Settings!$E$5:$H$16,MATCH(I328,Settings!$D$5:$D$16,0),MATCH(O328,Settings!$E$4:$H$4,0)),"Check"))</f>
        <v/>
      </c>
      <c r="W328">
        <f>IF(V328="","",IF(V328="No","Yes","No"))</f>
        <v/>
      </c>
      <c r="X328">
        <f>IF(OR(E328="",G328=""),"",IF(LOWER(IF(RIGHT(TRIM(E328),1)="/",LEFT(TRIM(E328),LEN(TRIM(E328))-1),TRIM(E328)))&lt;&gt;LOWER(IF(RIGHT(TRIM(G328),1)="/",LEFT(TRIM(G328),LEN(TRIM(G328))-1),TRIM(G328))),"Yes","No"))</f>
        <v/>
      </c>
      <c r="Y328">
        <f>IF(A328="","",(N(Q328)&gt;0)+(T328="Yes")+(U328="Yes")+(W328="Yes")+(X328="Yes"))</f>
        <v/>
      </c>
      <c r="Z328">
        <f>IF(A328="","",IF(G328="","Not mapped",IF(Y328=0,"OK",MID(IF(N(Q328)&gt;0,"; Cannibalisation","")&amp;IF(T328="Yes","; Too many primary keywords on URL","")&amp;IF(U328="Yes","; URL spans 2+ clusters","")&amp;IF(W328="Yes","; Intent mismatch","")&amp;IF(X328="Yes","; Ranking URL is not the target",""),3,300))))</f>
        <v/>
      </c>
      <c r="AA328">
        <f>IF(G328="","",IF(COUNTIF($G$3:G328,SUBSTITUTE(SUBSTITUTE(G328,"?","~?"),"*","~*"))=1,MAX($AA$2:AA327)+1,""))</f>
        <v/>
      </c>
      <c r="AB328">
        <f>IF(B328="","",IF(COUNTIF($B$3:B328,SUBSTITUTE(SUBSTITUTE(B328,"?","~?"),"*","~*"))=1,MAX($AB$2:AB327)+1,""))</f>
        <v/>
      </c>
    </row>
    <row r="329">
      <c r="M329">
        <f>IF(A329="","",LOWER(TRIM(SUBSTITUTE(SUBSTITUTE(A329,"?",""),"*",""))))</f>
        <v/>
      </c>
      <c r="N329">
        <f>IF(M329="","",IF(SUMPRODUCT(ISNUMBER(SEARCH(" "&amp;Settings!$L$5:$L$124&amp;" "," "&amp;M329&amp;" "))*(Settings!$K$5:$K$124="Navigational")*(Settings!$L$5:$L$124&lt;&gt;""))&gt;0,"Navigational",IF(SUMPRODUCT(ISNUMBER(SEARCH(" "&amp;Settings!$L$5:$L$124&amp;" "," "&amp;M329&amp;" "))*(Settings!$K$5:$K$124="Transactional")*(Settings!$L$5:$L$124&lt;&gt;""))&gt;0,"Transactional",IF(SUMPRODUCT(ISNUMBER(SEARCH(" "&amp;Settings!$L$5:$L$124&amp;" "," "&amp;M329&amp;" "))*(Settings!$K$5:$K$124="Commercial")*(Settings!$L$5:$L$124&lt;&gt;""))&gt;0,"Commercial",IF(SUMPRODUCT(ISNUMBER(SEARCH(" "&amp;Settings!$L$5:$L$124&amp;" "," "&amp;M329&amp;" "))*(Settings!$K$5:$K$124="Informational")*(Settings!$L$5:$L$124&lt;&gt;""))&gt;0,"Informational","Unclassified")))))</f>
        <v/>
      </c>
      <c r="O329">
        <f>IF(A329="","",IF(K329&lt;&gt;"",PROPER(K329),N329))</f>
        <v/>
      </c>
      <c r="P329">
        <f>IF(A329="","",ROUND(Settings!$B$5*MIN(1,LOG10(N(C329)+1)/LOG10(Settings!$B$7+1))+Settings!$B$6*(1-MIN(100,IF(D329="",50,N(D329)))/100)+IFERROR(INDEX(Settings!$B$10:$B$14,MATCH(O329,Settings!$A$10:$A$14,0)),0),0))</f>
        <v/>
      </c>
      <c r="Q329">
        <f>IF(OR(A329="",G329=""),"",COUNTIFS($M$3:$M$1002,M329,$G$3:$G$1002,"&lt;&gt;"&amp;SUBSTITUTE(SUBSTITUTE(G329,"?","~?"),"*","~*"),$G$3:$G$1002,"?*"))</f>
        <v/>
      </c>
      <c r="R329">
        <f>IF(Q329="","",IF(Q329&gt;0,"Yes","No"))</f>
        <v/>
      </c>
      <c r="S329">
        <f>IF(G329="","",COUNTIFS($G$3:$G$1002,SUBSTITUTE(SUBSTITUTE(G329,"?","~?"),"*","~*"),$J$3:$J$1002,"Primary"))</f>
        <v/>
      </c>
      <c r="T329">
        <f>IF(S329="","",IF(S329&gt;Settings!$B$4,"Yes","No"))</f>
        <v/>
      </c>
      <c r="U329">
        <f>IF(OR(G329="",B329=""),"",IF(COUNTIFS($G$3:$G$1002,SUBSTITUTE(SUBSTITUTE(G329,"?","~?"),"*","~*"),$B$3:$B$1002,"&lt;&gt;"&amp;SUBSTITUTE(SUBSTITUTE(B329,"?","~?"),"*","~*"),$B$3:$B$1002,"?*")&gt;0,"Yes","No"))</f>
        <v/>
      </c>
      <c r="V329">
        <f>IF(OR(G329="",I329="",O329="",O329="Unclassified"),"",IFERROR(INDEX(Settings!$E$5:$H$16,MATCH(I329,Settings!$D$5:$D$16,0),MATCH(O329,Settings!$E$4:$H$4,0)),"Check"))</f>
        <v/>
      </c>
      <c r="W329">
        <f>IF(V329="","",IF(V329="No","Yes","No"))</f>
        <v/>
      </c>
      <c r="X329">
        <f>IF(OR(E329="",G329=""),"",IF(LOWER(IF(RIGHT(TRIM(E329),1)="/",LEFT(TRIM(E329),LEN(TRIM(E329))-1),TRIM(E329)))&lt;&gt;LOWER(IF(RIGHT(TRIM(G329),1)="/",LEFT(TRIM(G329),LEN(TRIM(G329))-1),TRIM(G329))),"Yes","No"))</f>
        <v/>
      </c>
      <c r="Y329">
        <f>IF(A329="","",(N(Q329)&gt;0)+(T329="Yes")+(U329="Yes")+(W329="Yes")+(X329="Yes"))</f>
        <v/>
      </c>
      <c r="Z329">
        <f>IF(A329="","",IF(G329="","Not mapped",IF(Y329=0,"OK",MID(IF(N(Q329)&gt;0,"; Cannibalisation","")&amp;IF(T329="Yes","; Too many primary keywords on URL","")&amp;IF(U329="Yes","; URL spans 2+ clusters","")&amp;IF(W329="Yes","; Intent mismatch","")&amp;IF(X329="Yes","; Ranking URL is not the target",""),3,300))))</f>
        <v/>
      </c>
      <c r="AA329">
        <f>IF(G329="","",IF(COUNTIF($G$3:G329,SUBSTITUTE(SUBSTITUTE(G329,"?","~?"),"*","~*"))=1,MAX($AA$2:AA328)+1,""))</f>
        <v/>
      </c>
      <c r="AB329">
        <f>IF(B329="","",IF(COUNTIF($B$3:B329,SUBSTITUTE(SUBSTITUTE(B329,"?","~?"),"*","~*"))=1,MAX($AB$2:AB328)+1,""))</f>
        <v/>
      </c>
    </row>
    <row r="330">
      <c r="M330">
        <f>IF(A330="","",LOWER(TRIM(SUBSTITUTE(SUBSTITUTE(A330,"?",""),"*",""))))</f>
        <v/>
      </c>
      <c r="N330">
        <f>IF(M330="","",IF(SUMPRODUCT(ISNUMBER(SEARCH(" "&amp;Settings!$L$5:$L$124&amp;" "," "&amp;M330&amp;" "))*(Settings!$K$5:$K$124="Navigational")*(Settings!$L$5:$L$124&lt;&gt;""))&gt;0,"Navigational",IF(SUMPRODUCT(ISNUMBER(SEARCH(" "&amp;Settings!$L$5:$L$124&amp;" "," "&amp;M330&amp;" "))*(Settings!$K$5:$K$124="Transactional")*(Settings!$L$5:$L$124&lt;&gt;""))&gt;0,"Transactional",IF(SUMPRODUCT(ISNUMBER(SEARCH(" "&amp;Settings!$L$5:$L$124&amp;" "," "&amp;M330&amp;" "))*(Settings!$K$5:$K$124="Commercial")*(Settings!$L$5:$L$124&lt;&gt;""))&gt;0,"Commercial",IF(SUMPRODUCT(ISNUMBER(SEARCH(" "&amp;Settings!$L$5:$L$124&amp;" "," "&amp;M330&amp;" "))*(Settings!$K$5:$K$124="Informational")*(Settings!$L$5:$L$124&lt;&gt;""))&gt;0,"Informational","Unclassified")))))</f>
        <v/>
      </c>
      <c r="O330">
        <f>IF(A330="","",IF(K330&lt;&gt;"",PROPER(K330),N330))</f>
        <v/>
      </c>
      <c r="P330">
        <f>IF(A330="","",ROUND(Settings!$B$5*MIN(1,LOG10(N(C330)+1)/LOG10(Settings!$B$7+1))+Settings!$B$6*(1-MIN(100,IF(D330="",50,N(D330)))/100)+IFERROR(INDEX(Settings!$B$10:$B$14,MATCH(O330,Settings!$A$10:$A$14,0)),0),0))</f>
        <v/>
      </c>
      <c r="Q330">
        <f>IF(OR(A330="",G330=""),"",COUNTIFS($M$3:$M$1002,M330,$G$3:$G$1002,"&lt;&gt;"&amp;SUBSTITUTE(SUBSTITUTE(G330,"?","~?"),"*","~*"),$G$3:$G$1002,"?*"))</f>
        <v/>
      </c>
      <c r="R330">
        <f>IF(Q330="","",IF(Q330&gt;0,"Yes","No"))</f>
        <v/>
      </c>
      <c r="S330">
        <f>IF(G330="","",COUNTIFS($G$3:$G$1002,SUBSTITUTE(SUBSTITUTE(G330,"?","~?"),"*","~*"),$J$3:$J$1002,"Primary"))</f>
        <v/>
      </c>
      <c r="T330">
        <f>IF(S330="","",IF(S330&gt;Settings!$B$4,"Yes","No"))</f>
        <v/>
      </c>
      <c r="U330">
        <f>IF(OR(G330="",B330=""),"",IF(COUNTIFS($G$3:$G$1002,SUBSTITUTE(SUBSTITUTE(G330,"?","~?"),"*","~*"),$B$3:$B$1002,"&lt;&gt;"&amp;SUBSTITUTE(SUBSTITUTE(B330,"?","~?"),"*","~*"),$B$3:$B$1002,"?*")&gt;0,"Yes","No"))</f>
        <v/>
      </c>
      <c r="V330">
        <f>IF(OR(G330="",I330="",O330="",O330="Unclassified"),"",IFERROR(INDEX(Settings!$E$5:$H$16,MATCH(I330,Settings!$D$5:$D$16,0),MATCH(O330,Settings!$E$4:$H$4,0)),"Check"))</f>
        <v/>
      </c>
      <c r="W330">
        <f>IF(V330="","",IF(V330="No","Yes","No"))</f>
        <v/>
      </c>
      <c r="X330">
        <f>IF(OR(E330="",G330=""),"",IF(LOWER(IF(RIGHT(TRIM(E330),1)="/",LEFT(TRIM(E330),LEN(TRIM(E330))-1),TRIM(E330)))&lt;&gt;LOWER(IF(RIGHT(TRIM(G330),1)="/",LEFT(TRIM(G330),LEN(TRIM(G330))-1),TRIM(G330))),"Yes","No"))</f>
        <v/>
      </c>
      <c r="Y330">
        <f>IF(A330="","",(N(Q330)&gt;0)+(T330="Yes")+(U330="Yes")+(W330="Yes")+(X330="Yes"))</f>
        <v/>
      </c>
      <c r="Z330">
        <f>IF(A330="","",IF(G330="","Not mapped",IF(Y330=0,"OK",MID(IF(N(Q330)&gt;0,"; Cannibalisation","")&amp;IF(T330="Yes","; Too many primary keywords on URL","")&amp;IF(U330="Yes","; URL spans 2+ clusters","")&amp;IF(W330="Yes","; Intent mismatch","")&amp;IF(X330="Yes","; Ranking URL is not the target",""),3,300))))</f>
        <v/>
      </c>
      <c r="AA330">
        <f>IF(G330="","",IF(COUNTIF($G$3:G330,SUBSTITUTE(SUBSTITUTE(G330,"?","~?"),"*","~*"))=1,MAX($AA$2:AA329)+1,""))</f>
        <v/>
      </c>
      <c r="AB330">
        <f>IF(B330="","",IF(COUNTIF($B$3:B330,SUBSTITUTE(SUBSTITUTE(B330,"?","~?"),"*","~*"))=1,MAX($AB$2:AB329)+1,""))</f>
        <v/>
      </c>
    </row>
    <row r="331">
      <c r="M331">
        <f>IF(A331="","",LOWER(TRIM(SUBSTITUTE(SUBSTITUTE(A331,"?",""),"*",""))))</f>
        <v/>
      </c>
      <c r="N331">
        <f>IF(M331="","",IF(SUMPRODUCT(ISNUMBER(SEARCH(" "&amp;Settings!$L$5:$L$124&amp;" "," "&amp;M331&amp;" "))*(Settings!$K$5:$K$124="Navigational")*(Settings!$L$5:$L$124&lt;&gt;""))&gt;0,"Navigational",IF(SUMPRODUCT(ISNUMBER(SEARCH(" "&amp;Settings!$L$5:$L$124&amp;" "," "&amp;M331&amp;" "))*(Settings!$K$5:$K$124="Transactional")*(Settings!$L$5:$L$124&lt;&gt;""))&gt;0,"Transactional",IF(SUMPRODUCT(ISNUMBER(SEARCH(" "&amp;Settings!$L$5:$L$124&amp;" "," "&amp;M331&amp;" "))*(Settings!$K$5:$K$124="Commercial")*(Settings!$L$5:$L$124&lt;&gt;""))&gt;0,"Commercial",IF(SUMPRODUCT(ISNUMBER(SEARCH(" "&amp;Settings!$L$5:$L$124&amp;" "," "&amp;M331&amp;" "))*(Settings!$K$5:$K$124="Informational")*(Settings!$L$5:$L$124&lt;&gt;""))&gt;0,"Informational","Unclassified")))))</f>
        <v/>
      </c>
      <c r="O331">
        <f>IF(A331="","",IF(K331&lt;&gt;"",PROPER(K331),N331))</f>
        <v/>
      </c>
      <c r="P331">
        <f>IF(A331="","",ROUND(Settings!$B$5*MIN(1,LOG10(N(C331)+1)/LOG10(Settings!$B$7+1))+Settings!$B$6*(1-MIN(100,IF(D331="",50,N(D331)))/100)+IFERROR(INDEX(Settings!$B$10:$B$14,MATCH(O331,Settings!$A$10:$A$14,0)),0),0))</f>
        <v/>
      </c>
      <c r="Q331">
        <f>IF(OR(A331="",G331=""),"",COUNTIFS($M$3:$M$1002,M331,$G$3:$G$1002,"&lt;&gt;"&amp;SUBSTITUTE(SUBSTITUTE(G331,"?","~?"),"*","~*"),$G$3:$G$1002,"?*"))</f>
        <v/>
      </c>
      <c r="R331">
        <f>IF(Q331="","",IF(Q331&gt;0,"Yes","No"))</f>
        <v/>
      </c>
      <c r="S331">
        <f>IF(G331="","",COUNTIFS($G$3:$G$1002,SUBSTITUTE(SUBSTITUTE(G331,"?","~?"),"*","~*"),$J$3:$J$1002,"Primary"))</f>
        <v/>
      </c>
      <c r="T331">
        <f>IF(S331="","",IF(S331&gt;Settings!$B$4,"Yes","No"))</f>
        <v/>
      </c>
      <c r="U331">
        <f>IF(OR(G331="",B331=""),"",IF(COUNTIFS($G$3:$G$1002,SUBSTITUTE(SUBSTITUTE(G331,"?","~?"),"*","~*"),$B$3:$B$1002,"&lt;&gt;"&amp;SUBSTITUTE(SUBSTITUTE(B331,"?","~?"),"*","~*"),$B$3:$B$1002,"?*")&gt;0,"Yes","No"))</f>
        <v/>
      </c>
      <c r="V331">
        <f>IF(OR(G331="",I331="",O331="",O331="Unclassified"),"",IFERROR(INDEX(Settings!$E$5:$H$16,MATCH(I331,Settings!$D$5:$D$16,0),MATCH(O331,Settings!$E$4:$H$4,0)),"Check"))</f>
        <v/>
      </c>
      <c r="W331">
        <f>IF(V331="","",IF(V331="No","Yes","No"))</f>
        <v/>
      </c>
      <c r="X331">
        <f>IF(OR(E331="",G331=""),"",IF(LOWER(IF(RIGHT(TRIM(E331),1)="/",LEFT(TRIM(E331),LEN(TRIM(E331))-1),TRIM(E331)))&lt;&gt;LOWER(IF(RIGHT(TRIM(G331),1)="/",LEFT(TRIM(G331),LEN(TRIM(G331))-1),TRIM(G331))),"Yes","No"))</f>
        <v/>
      </c>
      <c r="Y331">
        <f>IF(A331="","",(N(Q331)&gt;0)+(T331="Yes")+(U331="Yes")+(W331="Yes")+(X331="Yes"))</f>
        <v/>
      </c>
      <c r="Z331">
        <f>IF(A331="","",IF(G331="","Not mapped",IF(Y331=0,"OK",MID(IF(N(Q331)&gt;0,"; Cannibalisation","")&amp;IF(T331="Yes","; Too many primary keywords on URL","")&amp;IF(U331="Yes","; URL spans 2+ clusters","")&amp;IF(W331="Yes","; Intent mismatch","")&amp;IF(X331="Yes","; Ranking URL is not the target",""),3,300))))</f>
        <v/>
      </c>
      <c r="AA331">
        <f>IF(G331="","",IF(COUNTIF($G$3:G331,SUBSTITUTE(SUBSTITUTE(G331,"?","~?"),"*","~*"))=1,MAX($AA$2:AA330)+1,""))</f>
        <v/>
      </c>
      <c r="AB331">
        <f>IF(B331="","",IF(COUNTIF($B$3:B331,SUBSTITUTE(SUBSTITUTE(B331,"?","~?"),"*","~*"))=1,MAX($AB$2:AB330)+1,""))</f>
        <v/>
      </c>
    </row>
    <row r="332">
      <c r="M332">
        <f>IF(A332="","",LOWER(TRIM(SUBSTITUTE(SUBSTITUTE(A332,"?",""),"*",""))))</f>
        <v/>
      </c>
      <c r="N332">
        <f>IF(M332="","",IF(SUMPRODUCT(ISNUMBER(SEARCH(" "&amp;Settings!$L$5:$L$124&amp;" "," "&amp;M332&amp;" "))*(Settings!$K$5:$K$124="Navigational")*(Settings!$L$5:$L$124&lt;&gt;""))&gt;0,"Navigational",IF(SUMPRODUCT(ISNUMBER(SEARCH(" "&amp;Settings!$L$5:$L$124&amp;" "," "&amp;M332&amp;" "))*(Settings!$K$5:$K$124="Transactional")*(Settings!$L$5:$L$124&lt;&gt;""))&gt;0,"Transactional",IF(SUMPRODUCT(ISNUMBER(SEARCH(" "&amp;Settings!$L$5:$L$124&amp;" "," "&amp;M332&amp;" "))*(Settings!$K$5:$K$124="Commercial")*(Settings!$L$5:$L$124&lt;&gt;""))&gt;0,"Commercial",IF(SUMPRODUCT(ISNUMBER(SEARCH(" "&amp;Settings!$L$5:$L$124&amp;" "," "&amp;M332&amp;" "))*(Settings!$K$5:$K$124="Informational")*(Settings!$L$5:$L$124&lt;&gt;""))&gt;0,"Informational","Unclassified")))))</f>
        <v/>
      </c>
      <c r="O332">
        <f>IF(A332="","",IF(K332&lt;&gt;"",PROPER(K332),N332))</f>
        <v/>
      </c>
      <c r="P332">
        <f>IF(A332="","",ROUND(Settings!$B$5*MIN(1,LOG10(N(C332)+1)/LOG10(Settings!$B$7+1))+Settings!$B$6*(1-MIN(100,IF(D332="",50,N(D332)))/100)+IFERROR(INDEX(Settings!$B$10:$B$14,MATCH(O332,Settings!$A$10:$A$14,0)),0),0))</f>
        <v/>
      </c>
      <c r="Q332">
        <f>IF(OR(A332="",G332=""),"",COUNTIFS($M$3:$M$1002,M332,$G$3:$G$1002,"&lt;&gt;"&amp;SUBSTITUTE(SUBSTITUTE(G332,"?","~?"),"*","~*"),$G$3:$G$1002,"?*"))</f>
        <v/>
      </c>
      <c r="R332">
        <f>IF(Q332="","",IF(Q332&gt;0,"Yes","No"))</f>
        <v/>
      </c>
      <c r="S332">
        <f>IF(G332="","",COUNTIFS($G$3:$G$1002,SUBSTITUTE(SUBSTITUTE(G332,"?","~?"),"*","~*"),$J$3:$J$1002,"Primary"))</f>
        <v/>
      </c>
      <c r="T332">
        <f>IF(S332="","",IF(S332&gt;Settings!$B$4,"Yes","No"))</f>
        <v/>
      </c>
      <c r="U332">
        <f>IF(OR(G332="",B332=""),"",IF(COUNTIFS($G$3:$G$1002,SUBSTITUTE(SUBSTITUTE(G332,"?","~?"),"*","~*"),$B$3:$B$1002,"&lt;&gt;"&amp;SUBSTITUTE(SUBSTITUTE(B332,"?","~?"),"*","~*"),$B$3:$B$1002,"?*")&gt;0,"Yes","No"))</f>
        <v/>
      </c>
      <c r="V332">
        <f>IF(OR(G332="",I332="",O332="",O332="Unclassified"),"",IFERROR(INDEX(Settings!$E$5:$H$16,MATCH(I332,Settings!$D$5:$D$16,0),MATCH(O332,Settings!$E$4:$H$4,0)),"Check"))</f>
        <v/>
      </c>
      <c r="W332">
        <f>IF(V332="","",IF(V332="No","Yes","No"))</f>
        <v/>
      </c>
      <c r="X332">
        <f>IF(OR(E332="",G332=""),"",IF(LOWER(IF(RIGHT(TRIM(E332),1)="/",LEFT(TRIM(E332),LEN(TRIM(E332))-1),TRIM(E332)))&lt;&gt;LOWER(IF(RIGHT(TRIM(G332),1)="/",LEFT(TRIM(G332),LEN(TRIM(G332))-1),TRIM(G332))),"Yes","No"))</f>
        <v/>
      </c>
      <c r="Y332">
        <f>IF(A332="","",(N(Q332)&gt;0)+(T332="Yes")+(U332="Yes")+(W332="Yes")+(X332="Yes"))</f>
        <v/>
      </c>
      <c r="Z332">
        <f>IF(A332="","",IF(G332="","Not mapped",IF(Y332=0,"OK",MID(IF(N(Q332)&gt;0,"; Cannibalisation","")&amp;IF(T332="Yes","; Too many primary keywords on URL","")&amp;IF(U332="Yes","; URL spans 2+ clusters","")&amp;IF(W332="Yes","; Intent mismatch","")&amp;IF(X332="Yes","; Ranking URL is not the target",""),3,300))))</f>
        <v/>
      </c>
      <c r="AA332">
        <f>IF(G332="","",IF(COUNTIF($G$3:G332,SUBSTITUTE(SUBSTITUTE(G332,"?","~?"),"*","~*"))=1,MAX($AA$2:AA331)+1,""))</f>
        <v/>
      </c>
      <c r="AB332">
        <f>IF(B332="","",IF(COUNTIF($B$3:B332,SUBSTITUTE(SUBSTITUTE(B332,"?","~?"),"*","~*"))=1,MAX($AB$2:AB331)+1,""))</f>
        <v/>
      </c>
    </row>
    <row r="333">
      <c r="M333">
        <f>IF(A333="","",LOWER(TRIM(SUBSTITUTE(SUBSTITUTE(A333,"?",""),"*",""))))</f>
        <v/>
      </c>
      <c r="N333">
        <f>IF(M333="","",IF(SUMPRODUCT(ISNUMBER(SEARCH(" "&amp;Settings!$L$5:$L$124&amp;" "," "&amp;M333&amp;" "))*(Settings!$K$5:$K$124="Navigational")*(Settings!$L$5:$L$124&lt;&gt;""))&gt;0,"Navigational",IF(SUMPRODUCT(ISNUMBER(SEARCH(" "&amp;Settings!$L$5:$L$124&amp;" "," "&amp;M333&amp;" "))*(Settings!$K$5:$K$124="Transactional")*(Settings!$L$5:$L$124&lt;&gt;""))&gt;0,"Transactional",IF(SUMPRODUCT(ISNUMBER(SEARCH(" "&amp;Settings!$L$5:$L$124&amp;" "," "&amp;M333&amp;" "))*(Settings!$K$5:$K$124="Commercial")*(Settings!$L$5:$L$124&lt;&gt;""))&gt;0,"Commercial",IF(SUMPRODUCT(ISNUMBER(SEARCH(" "&amp;Settings!$L$5:$L$124&amp;" "," "&amp;M333&amp;" "))*(Settings!$K$5:$K$124="Informational")*(Settings!$L$5:$L$124&lt;&gt;""))&gt;0,"Informational","Unclassified")))))</f>
        <v/>
      </c>
      <c r="O333">
        <f>IF(A333="","",IF(K333&lt;&gt;"",PROPER(K333),N333))</f>
        <v/>
      </c>
      <c r="P333">
        <f>IF(A333="","",ROUND(Settings!$B$5*MIN(1,LOG10(N(C333)+1)/LOG10(Settings!$B$7+1))+Settings!$B$6*(1-MIN(100,IF(D333="",50,N(D333)))/100)+IFERROR(INDEX(Settings!$B$10:$B$14,MATCH(O333,Settings!$A$10:$A$14,0)),0),0))</f>
        <v/>
      </c>
      <c r="Q333">
        <f>IF(OR(A333="",G333=""),"",COUNTIFS($M$3:$M$1002,M333,$G$3:$G$1002,"&lt;&gt;"&amp;SUBSTITUTE(SUBSTITUTE(G333,"?","~?"),"*","~*"),$G$3:$G$1002,"?*"))</f>
        <v/>
      </c>
      <c r="R333">
        <f>IF(Q333="","",IF(Q333&gt;0,"Yes","No"))</f>
        <v/>
      </c>
      <c r="S333">
        <f>IF(G333="","",COUNTIFS($G$3:$G$1002,SUBSTITUTE(SUBSTITUTE(G333,"?","~?"),"*","~*"),$J$3:$J$1002,"Primary"))</f>
        <v/>
      </c>
      <c r="T333">
        <f>IF(S333="","",IF(S333&gt;Settings!$B$4,"Yes","No"))</f>
        <v/>
      </c>
      <c r="U333">
        <f>IF(OR(G333="",B333=""),"",IF(COUNTIFS($G$3:$G$1002,SUBSTITUTE(SUBSTITUTE(G333,"?","~?"),"*","~*"),$B$3:$B$1002,"&lt;&gt;"&amp;SUBSTITUTE(SUBSTITUTE(B333,"?","~?"),"*","~*"),$B$3:$B$1002,"?*")&gt;0,"Yes","No"))</f>
        <v/>
      </c>
      <c r="V333">
        <f>IF(OR(G333="",I333="",O333="",O333="Unclassified"),"",IFERROR(INDEX(Settings!$E$5:$H$16,MATCH(I333,Settings!$D$5:$D$16,0),MATCH(O333,Settings!$E$4:$H$4,0)),"Check"))</f>
        <v/>
      </c>
      <c r="W333">
        <f>IF(V333="","",IF(V333="No","Yes","No"))</f>
        <v/>
      </c>
      <c r="X333">
        <f>IF(OR(E333="",G333=""),"",IF(LOWER(IF(RIGHT(TRIM(E333),1)="/",LEFT(TRIM(E333),LEN(TRIM(E333))-1),TRIM(E333)))&lt;&gt;LOWER(IF(RIGHT(TRIM(G333),1)="/",LEFT(TRIM(G333),LEN(TRIM(G333))-1),TRIM(G333))),"Yes","No"))</f>
        <v/>
      </c>
      <c r="Y333">
        <f>IF(A333="","",(N(Q333)&gt;0)+(T333="Yes")+(U333="Yes")+(W333="Yes")+(X333="Yes"))</f>
        <v/>
      </c>
      <c r="Z333">
        <f>IF(A333="","",IF(G333="","Not mapped",IF(Y333=0,"OK",MID(IF(N(Q333)&gt;0,"; Cannibalisation","")&amp;IF(T333="Yes","; Too many primary keywords on URL","")&amp;IF(U333="Yes","; URL spans 2+ clusters","")&amp;IF(W333="Yes","; Intent mismatch","")&amp;IF(X333="Yes","; Ranking URL is not the target",""),3,300))))</f>
        <v/>
      </c>
      <c r="AA333">
        <f>IF(G333="","",IF(COUNTIF($G$3:G333,SUBSTITUTE(SUBSTITUTE(G333,"?","~?"),"*","~*"))=1,MAX($AA$2:AA332)+1,""))</f>
        <v/>
      </c>
      <c r="AB333">
        <f>IF(B333="","",IF(COUNTIF($B$3:B333,SUBSTITUTE(SUBSTITUTE(B333,"?","~?"),"*","~*"))=1,MAX($AB$2:AB332)+1,""))</f>
        <v/>
      </c>
    </row>
    <row r="334">
      <c r="M334">
        <f>IF(A334="","",LOWER(TRIM(SUBSTITUTE(SUBSTITUTE(A334,"?",""),"*",""))))</f>
        <v/>
      </c>
      <c r="N334">
        <f>IF(M334="","",IF(SUMPRODUCT(ISNUMBER(SEARCH(" "&amp;Settings!$L$5:$L$124&amp;" "," "&amp;M334&amp;" "))*(Settings!$K$5:$K$124="Navigational")*(Settings!$L$5:$L$124&lt;&gt;""))&gt;0,"Navigational",IF(SUMPRODUCT(ISNUMBER(SEARCH(" "&amp;Settings!$L$5:$L$124&amp;" "," "&amp;M334&amp;" "))*(Settings!$K$5:$K$124="Transactional")*(Settings!$L$5:$L$124&lt;&gt;""))&gt;0,"Transactional",IF(SUMPRODUCT(ISNUMBER(SEARCH(" "&amp;Settings!$L$5:$L$124&amp;" "," "&amp;M334&amp;" "))*(Settings!$K$5:$K$124="Commercial")*(Settings!$L$5:$L$124&lt;&gt;""))&gt;0,"Commercial",IF(SUMPRODUCT(ISNUMBER(SEARCH(" "&amp;Settings!$L$5:$L$124&amp;" "," "&amp;M334&amp;" "))*(Settings!$K$5:$K$124="Informational")*(Settings!$L$5:$L$124&lt;&gt;""))&gt;0,"Informational","Unclassified")))))</f>
        <v/>
      </c>
      <c r="O334">
        <f>IF(A334="","",IF(K334&lt;&gt;"",PROPER(K334),N334))</f>
        <v/>
      </c>
      <c r="P334">
        <f>IF(A334="","",ROUND(Settings!$B$5*MIN(1,LOG10(N(C334)+1)/LOG10(Settings!$B$7+1))+Settings!$B$6*(1-MIN(100,IF(D334="",50,N(D334)))/100)+IFERROR(INDEX(Settings!$B$10:$B$14,MATCH(O334,Settings!$A$10:$A$14,0)),0),0))</f>
        <v/>
      </c>
      <c r="Q334">
        <f>IF(OR(A334="",G334=""),"",COUNTIFS($M$3:$M$1002,M334,$G$3:$G$1002,"&lt;&gt;"&amp;SUBSTITUTE(SUBSTITUTE(G334,"?","~?"),"*","~*"),$G$3:$G$1002,"?*"))</f>
        <v/>
      </c>
      <c r="R334">
        <f>IF(Q334="","",IF(Q334&gt;0,"Yes","No"))</f>
        <v/>
      </c>
      <c r="S334">
        <f>IF(G334="","",COUNTIFS($G$3:$G$1002,SUBSTITUTE(SUBSTITUTE(G334,"?","~?"),"*","~*"),$J$3:$J$1002,"Primary"))</f>
        <v/>
      </c>
      <c r="T334">
        <f>IF(S334="","",IF(S334&gt;Settings!$B$4,"Yes","No"))</f>
        <v/>
      </c>
      <c r="U334">
        <f>IF(OR(G334="",B334=""),"",IF(COUNTIFS($G$3:$G$1002,SUBSTITUTE(SUBSTITUTE(G334,"?","~?"),"*","~*"),$B$3:$B$1002,"&lt;&gt;"&amp;SUBSTITUTE(SUBSTITUTE(B334,"?","~?"),"*","~*"),$B$3:$B$1002,"?*")&gt;0,"Yes","No"))</f>
        <v/>
      </c>
      <c r="V334">
        <f>IF(OR(G334="",I334="",O334="",O334="Unclassified"),"",IFERROR(INDEX(Settings!$E$5:$H$16,MATCH(I334,Settings!$D$5:$D$16,0),MATCH(O334,Settings!$E$4:$H$4,0)),"Check"))</f>
        <v/>
      </c>
      <c r="W334">
        <f>IF(V334="","",IF(V334="No","Yes","No"))</f>
        <v/>
      </c>
      <c r="X334">
        <f>IF(OR(E334="",G334=""),"",IF(LOWER(IF(RIGHT(TRIM(E334),1)="/",LEFT(TRIM(E334),LEN(TRIM(E334))-1),TRIM(E334)))&lt;&gt;LOWER(IF(RIGHT(TRIM(G334),1)="/",LEFT(TRIM(G334),LEN(TRIM(G334))-1),TRIM(G334))),"Yes","No"))</f>
        <v/>
      </c>
      <c r="Y334">
        <f>IF(A334="","",(N(Q334)&gt;0)+(T334="Yes")+(U334="Yes")+(W334="Yes")+(X334="Yes"))</f>
        <v/>
      </c>
      <c r="Z334">
        <f>IF(A334="","",IF(G334="","Not mapped",IF(Y334=0,"OK",MID(IF(N(Q334)&gt;0,"; Cannibalisation","")&amp;IF(T334="Yes","; Too many primary keywords on URL","")&amp;IF(U334="Yes","; URL spans 2+ clusters","")&amp;IF(W334="Yes","; Intent mismatch","")&amp;IF(X334="Yes","; Ranking URL is not the target",""),3,300))))</f>
        <v/>
      </c>
      <c r="AA334">
        <f>IF(G334="","",IF(COUNTIF($G$3:G334,SUBSTITUTE(SUBSTITUTE(G334,"?","~?"),"*","~*"))=1,MAX($AA$2:AA333)+1,""))</f>
        <v/>
      </c>
      <c r="AB334">
        <f>IF(B334="","",IF(COUNTIF($B$3:B334,SUBSTITUTE(SUBSTITUTE(B334,"?","~?"),"*","~*"))=1,MAX($AB$2:AB333)+1,""))</f>
        <v/>
      </c>
    </row>
    <row r="335">
      <c r="M335">
        <f>IF(A335="","",LOWER(TRIM(SUBSTITUTE(SUBSTITUTE(A335,"?",""),"*",""))))</f>
        <v/>
      </c>
      <c r="N335">
        <f>IF(M335="","",IF(SUMPRODUCT(ISNUMBER(SEARCH(" "&amp;Settings!$L$5:$L$124&amp;" "," "&amp;M335&amp;" "))*(Settings!$K$5:$K$124="Navigational")*(Settings!$L$5:$L$124&lt;&gt;""))&gt;0,"Navigational",IF(SUMPRODUCT(ISNUMBER(SEARCH(" "&amp;Settings!$L$5:$L$124&amp;" "," "&amp;M335&amp;" "))*(Settings!$K$5:$K$124="Transactional")*(Settings!$L$5:$L$124&lt;&gt;""))&gt;0,"Transactional",IF(SUMPRODUCT(ISNUMBER(SEARCH(" "&amp;Settings!$L$5:$L$124&amp;" "," "&amp;M335&amp;" "))*(Settings!$K$5:$K$124="Commercial")*(Settings!$L$5:$L$124&lt;&gt;""))&gt;0,"Commercial",IF(SUMPRODUCT(ISNUMBER(SEARCH(" "&amp;Settings!$L$5:$L$124&amp;" "," "&amp;M335&amp;" "))*(Settings!$K$5:$K$124="Informational")*(Settings!$L$5:$L$124&lt;&gt;""))&gt;0,"Informational","Unclassified")))))</f>
        <v/>
      </c>
      <c r="O335">
        <f>IF(A335="","",IF(K335&lt;&gt;"",PROPER(K335),N335))</f>
        <v/>
      </c>
      <c r="P335">
        <f>IF(A335="","",ROUND(Settings!$B$5*MIN(1,LOG10(N(C335)+1)/LOG10(Settings!$B$7+1))+Settings!$B$6*(1-MIN(100,IF(D335="",50,N(D335)))/100)+IFERROR(INDEX(Settings!$B$10:$B$14,MATCH(O335,Settings!$A$10:$A$14,0)),0),0))</f>
        <v/>
      </c>
      <c r="Q335">
        <f>IF(OR(A335="",G335=""),"",COUNTIFS($M$3:$M$1002,M335,$G$3:$G$1002,"&lt;&gt;"&amp;SUBSTITUTE(SUBSTITUTE(G335,"?","~?"),"*","~*"),$G$3:$G$1002,"?*"))</f>
        <v/>
      </c>
      <c r="R335">
        <f>IF(Q335="","",IF(Q335&gt;0,"Yes","No"))</f>
        <v/>
      </c>
      <c r="S335">
        <f>IF(G335="","",COUNTIFS($G$3:$G$1002,SUBSTITUTE(SUBSTITUTE(G335,"?","~?"),"*","~*"),$J$3:$J$1002,"Primary"))</f>
        <v/>
      </c>
      <c r="T335">
        <f>IF(S335="","",IF(S335&gt;Settings!$B$4,"Yes","No"))</f>
        <v/>
      </c>
      <c r="U335">
        <f>IF(OR(G335="",B335=""),"",IF(COUNTIFS($G$3:$G$1002,SUBSTITUTE(SUBSTITUTE(G335,"?","~?"),"*","~*"),$B$3:$B$1002,"&lt;&gt;"&amp;SUBSTITUTE(SUBSTITUTE(B335,"?","~?"),"*","~*"),$B$3:$B$1002,"?*")&gt;0,"Yes","No"))</f>
        <v/>
      </c>
      <c r="V335">
        <f>IF(OR(G335="",I335="",O335="",O335="Unclassified"),"",IFERROR(INDEX(Settings!$E$5:$H$16,MATCH(I335,Settings!$D$5:$D$16,0),MATCH(O335,Settings!$E$4:$H$4,0)),"Check"))</f>
        <v/>
      </c>
      <c r="W335">
        <f>IF(V335="","",IF(V335="No","Yes","No"))</f>
        <v/>
      </c>
      <c r="X335">
        <f>IF(OR(E335="",G335=""),"",IF(LOWER(IF(RIGHT(TRIM(E335),1)="/",LEFT(TRIM(E335),LEN(TRIM(E335))-1),TRIM(E335)))&lt;&gt;LOWER(IF(RIGHT(TRIM(G335),1)="/",LEFT(TRIM(G335),LEN(TRIM(G335))-1),TRIM(G335))),"Yes","No"))</f>
        <v/>
      </c>
      <c r="Y335">
        <f>IF(A335="","",(N(Q335)&gt;0)+(T335="Yes")+(U335="Yes")+(W335="Yes")+(X335="Yes"))</f>
        <v/>
      </c>
      <c r="Z335">
        <f>IF(A335="","",IF(G335="","Not mapped",IF(Y335=0,"OK",MID(IF(N(Q335)&gt;0,"; Cannibalisation","")&amp;IF(T335="Yes","; Too many primary keywords on URL","")&amp;IF(U335="Yes","; URL spans 2+ clusters","")&amp;IF(W335="Yes","; Intent mismatch","")&amp;IF(X335="Yes","; Ranking URL is not the target",""),3,300))))</f>
        <v/>
      </c>
      <c r="AA335">
        <f>IF(G335="","",IF(COUNTIF($G$3:G335,SUBSTITUTE(SUBSTITUTE(G335,"?","~?"),"*","~*"))=1,MAX($AA$2:AA334)+1,""))</f>
        <v/>
      </c>
      <c r="AB335">
        <f>IF(B335="","",IF(COUNTIF($B$3:B335,SUBSTITUTE(SUBSTITUTE(B335,"?","~?"),"*","~*"))=1,MAX($AB$2:AB334)+1,""))</f>
        <v/>
      </c>
    </row>
    <row r="336">
      <c r="M336">
        <f>IF(A336="","",LOWER(TRIM(SUBSTITUTE(SUBSTITUTE(A336,"?",""),"*",""))))</f>
        <v/>
      </c>
      <c r="N336">
        <f>IF(M336="","",IF(SUMPRODUCT(ISNUMBER(SEARCH(" "&amp;Settings!$L$5:$L$124&amp;" "," "&amp;M336&amp;" "))*(Settings!$K$5:$K$124="Navigational")*(Settings!$L$5:$L$124&lt;&gt;""))&gt;0,"Navigational",IF(SUMPRODUCT(ISNUMBER(SEARCH(" "&amp;Settings!$L$5:$L$124&amp;" "," "&amp;M336&amp;" "))*(Settings!$K$5:$K$124="Transactional")*(Settings!$L$5:$L$124&lt;&gt;""))&gt;0,"Transactional",IF(SUMPRODUCT(ISNUMBER(SEARCH(" "&amp;Settings!$L$5:$L$124&amp;" "," "&amp;M336&amp;" "))*(Settings!$K$5:$K$124="Commercial")*(Settings!$L$5:$L$124&lt;&gt;""))&gt;0,"Commercial",IF(SUMPRODUCT(ISNUMBER(SEARCH(" "&amp;Settings!$L$5:$L$124&amp;" "," "&amp;M336&amp;" "))*(Settings!$K$5:$K$124="Informational")*(Settings!$L$5:$L$124&lt;&gt;""))&gt;0,"Informational","Unclassified")))))</f>
        <v/>
      </c>
      <c r="O336">
        <f>IF(A336="","",IF(K336&lt;&gt;"",PROPER(K336),N336))</f>
        <v/>
      </c>
      <c r="P336">
        <f>IF(A336="","",ROUND(Settings!$B$5*MIN(1,LOG10(N(C336)+1)/LOG10(Settings!$B$7+1))+Settings!$B$6*(1-MIN(100,IF(D336="",50,N(D336)))/100)+IFERROR(INDEX(Settings!$B$10:$B$14,MATCH(O336,Settings!$A$10:$A$14,0)),0),0))</f>
        <v/>
      </c>
      <c r="Q336">
        <f>IF(OR(A336="",G336=""),"",COUNTIFS($M$3:$M$1002,M336,$G$3:$G$1002,"&lt;&gt;"&amp;SUBSTITUTE(SUBSTITUTE(G336,"?","~?"),"*","~*"),$G$3:$G$1002,"?*"))</f>
        <v/>
      </c>
      <c r="R336">
        <f>IF(Q336="","",IF(Q336&gt;0,"Yes","No"))</f>
        <v/>
      </c>
      <c r="S336">
        <f>IF(G336="","",COUNTIFS($G$3:$G$1002,SUBSTITUTE(SUBSTITUTE(G336,"?","~?"),"*","~*"),$J$3:$J$1002,"Primary"))</f>
        <v/>
      </c>
      <c r="T336">
        <f>IF(S336="","",IF(S336&gt;Settings!$B$4,"Yes","No"))</f>
        <v/>
      </c>
      <c r="U336">
        <f>IF(OR(G336="",B336=""),"",IF(COUNTIFS($G$3:$G$1002,SUBSTITUTE(SUBSTITUTE(G336,"?","~?"),"*","~*"),$B$3:$B$1002,"&lt;&gt;"&amp;SUBSTITUTE(SUBSTITUTE(B336,"?","~?"),"*","~*"),$B$3:$B$1002,"?*")&gt;0,"Yes","No"))</f>
        <v/>
      </c>
      <c r="V336">
        <f>IF(OR(G336="",I336="",O336="",O336="Unclassified"),"",IFERROR(INDEX(Settings!$E$5:$H$16,MATCH(I336,Settings!$D$5:$D$16,0),MATCH(O336,Settings!$E$4:$H$4,0)),"Check"))</f>
        <v/>
      </c>
      <c r="W336">
        <f>IF(V336="","",IF(V336="No","Yes","No"))</f>
        <v/>
      </c>
      <c r="X336">
        <f>IF(OR(E336="",G336=""),"",IF(LOWER(IF(RIGHT(TRIM(E336),1)="/",LEFT(TRIM(E336),LEN(TRIM(E336))-1),TRIM(E336)))&lt;&gt;LOWER(IF(RIGHT(TRIM(G336),1)="/",LEFT(TRIM(G336),LEN(TRIM(G336))-1),TRIM(G336))),"Yes","No"))</f>
        <v/>
      </c>
      <c r="Y336">
        <f>IF(A336="","",(N(Q336)&gt;0)+(T336="Yes")+(U336="Yes")+(W336="Yes")+(X336="Yes"))</f>
        <v/>
      </c>
      <c r="Z336">
        <f>IF(A336="","",IF(G336="","Not mapped",IF(Y336=0,"OK",MID(IF(N(Q336)&gt;0,"; Cannibalisation","")&amp;IF(T336="Yes","; Too many primary keywords on URL","")&amp;IF(U336="Yes","; URL spans 2+ clusters","")&amp;IF(W336="Yes","; Intent mismatch","")&amp;IF(X336="Yes","; Ranking URL is not the target",""),3,300))))</f>
        <v/>
      </c>
      <c r="AA336">
        <f>IF(G336="","",IF(COUNTIF($G$3:G336,SUBSTITUTE(SUBSTITUTE(G336,"?","~?"),"*","~*"))=1,MAX($AA$2:AA335)+1,""))</f>
        <v/>
      </c>
      <c r="AB336">
        <f>IF(B336="","",IF(COUNTIF($B$3:B336,SUBSTITUTE(SUBSTITUTE(B336,"?","~?"),"*","~*"))=1,MAX($AB$2:AB335)+1,""))</f>
        <v/>
      </c>
    </row>
    <row r="337">
      <c r="M337">
        <f>IF(A337="","",LOWER(TRIM(SUBSTITUTE(SUBSTITUTE(A337,"?",""),"*",""))))</f>
        <v/>
      </c>
      <c r="N337">
        <f>IF(M337="","",IF(SUMPRODUCT(ISNUMBER(SEARCH(" "&amp;Settings!$L$5:$L$124&amp;" "," "&amp;M337&amp;" "))*(Settings!$K$5:$K$124="Navigational")*(Settings!$L$5:$L$124&lt;&gt;""))&gt;0,"Navigational",IF(SUMPRODUCT(ISNUMBER(SEARCH(" "&amp;Settings!$L$5:$L$124&amp;" "," "&amp;M337&amp;" "))*(Settings!$K$5:$K$124="Transactional")*(Settings!$L$5:$L$124&lt;&gt;""))&gt;0,"Transactional",IF(SUMPRODUCT(ISNUMBER(SEARCH(" "&amp;Settings!$L$5:$L$124&amp;" "," "&amp;M337&amp;" "))*(Settings!$K$5:$K$124="Commercial")*(Settings!$L$5:$L$124&lt;&gt;""))&gt;0,"Commercial",IF(SUMPRODUCT(ISNUMBER(SEARCH(" "&amp;Settings!$L$5:$L$124&amp;" "," "&amp;M337&amp;" "))*(Settings!$K$5:$K$124="Informational")*(Settings!$L$5:$L$124&lt;&gt;""))&gt;0,"Informational","Unclassified")))))</f>
        <v/>
      </c>
      <c r="O337">
        <f>IF(A337="","",IF(K337&lt;&gt;"",PROPER(K337),N337))</f>
        <v/>
      </c>
      <c r="P337">
        <f>IF(A337="","",ROUND(Settings!$B$5*MIN(1,LOG10(N(C337)+1)/LOG10(Settings!$B$7+1))+Settings!$B$6*(1-MIN(100,IF(D337="",50,N(D337)))/100)+IFERROR(INDEX(Settings!$B$10:$B$14,MATCH(O337,Settings!$A$10:$A$14,0)),0),0))</f>
        <v/>
      </c>
      <c r="Q337">
        <f>IF(OR(A337="",G337=""),"",COUNTIFS($M$3:$M$1002,M337,$G$3:$G$1002,"&lt;&gt;"&amp;SUBSTITUTE(SUBSTITUTE(G337,"?","~?"),"*","~*"),$G$3:$G$1002,"?*"))</f>
        <v/>
      </c>
      <c r="R337">
        <f>IF(Q337="","",IF(Q337&gt;0,"Yes","No"))</f>
        <v/>
      </c>
      <c r="S337">
        <f>IF(G337="","",COUNTIFS($G$3:$G$1002,SUBSTITUTE(SUBSTITUTE(G337,"?","~?"),"*","~*"),$J$3:$J$1002,"Primary"))</f>
        <v/>
      </c>
      <c r="T337">
        <f>IF(S337="","",IF(S337&gt;Settings!$B$4,"Yes","No"))</f>
        <v/>
      </c>
      <c r="U337">
        <f>IF(OR(G337="",B337=""),"",IF(COUNTIFS($G$3:$G$1002,SUBSTITUTE(SUBSTITUTE(G337,"?","~?"),"*","~*"),$B$3:$B$1002,"&lt;&gt;"&amp;SUBSTITUTE(SUBSTITUTE(B337,"?","~?"),"*","~*"),$B$3:$B$1002,"?*")&gt;0,"Yes","No"))</f>
        <v/>
      </c>
      <c r="V337">
        <f>IF(OR(G337="",I337="",O337="",O337="Unclassified"),"",IFERROR(INDEX(Settings!$E$5:$H$16,MATCH(I337,Settings!$D$5:$D$16,0),MATCH(O337,Settings!$E$4:$H$4,0)),"Check"))</f>
        <v/>
      </c>
      <c r="W337">
        <f>IF(V337="","",IF(V337="No","Yes","No"))</f>
        <v/>
      </c>
      <c r="X337">
        <f>IF(OR(E337="",G337=""),"",IF(LOWER(IF(RIGHT(TRIM(E337),1)="/",LEFT(TRIM(E337),LEN(TRIM(E337))-1),TRIM(E337)))&lt;&gt;LOWER(IF(RIGHT(TRIM(G337),1)="/",LEFT(TRIM(G337),LEN(TRIM(G337))-1),TRIM(G337))),"Yes","No"))</f>
        <v/>
      </c>
      <c r="Y337">
        <f>IF(A337="","",(N(Q337)&gt;0)+(T337="Yes")+(U337="Yes")+(W337="Yes")+(X337="Yes"))</f>
        <v/>
      </c>
      <c r="Z337">
        <f>IF(A337="","",IF(G337="","Not mapped",IF(Y337=0,"OK",MID(IF(N(Q337)&gt;0,"; Cannibalisation","")&amp;IF(T337="Yes","; Too many primary keywords on URL","")&amp;IF(U337="Yes","; URL spans 2+ clusters","")&amp;IF(W337="Yes","; Intent mismatch","")&amp;IF(X337="Yes","; Ranking URL is not the target",""),3,300))))</f>
        <v/>
      </c>
      <c r="AA337">
        <f>IF(G337="","",IF(COUNTIF($G$3:G337,SUBSTITUTE(SUBSTITUTE(G337,"?","~?"),"*","~*"))=1,MAX($AA$2:AA336)+1,""))</f>
        <v/>
      </c>
      <c r="AB337">
        <f>IF(B337="","",IF(COUNTIF($B$3:B337,SUBSTITUTE(SUBSTITUTE(B337,"?","~?"),"*","~*"))=1,MAX($AB$2:AB336)+1,""))</f>
        <v/>
      </c>
    </row>
    <row r="338">
      <c r="M338">
        <f>IF(A338="","",LOWER(TRIM(SUBSTITUTE(SUBSTITUTE(A338,"?",""),"*",""))))</f>
        <v/>
      </c>
      <c r="N338">
        <f>IF(M338="","",IF(SUMPRODUCT(ISNUMBER(SEARCH(" "&amp;Settings!$L$5:$L$124&amp;" "," "&amp;M338&amp;" "))*(Settings!$K$5:$K$124="Navigational")*(Settings!$L$5:$L$124&lt;&gt;""))&gt;0,"Navigational",IF(SUMPRODUCT(ISNUMBER(SEARCH(" "&amp;Settings!$L$5:$L$124&amp;" "," "&amp;M338&amp;" "))*(Settings!$K$5:$K$124="Transactional")*(Settings!$L$5:$L$124&lt;&gt;""))&gt;0,"Transactional",IF(SUMPRODUCT(ISNUMBER(SEARCH(" "&amp;Settings!$L$5:$L$124&amp;" "," "&amp;M338&amp;" "))*(Settings!$K$5:$K$124="Commercial")*(Settings!$L$5:$L$124&lt;&gt;""))&gt;0,"Commercial",IF(SUMPRODUCT(ISNUMBER(SEARCH(" "&amp;Settings!$L$5:$L$124&amp;" "," "&amp;M338&amp;" "))*(Settings!$K$5:$K$124="Informational")*(Settings!$L$5:$L$124&lt;&gt;""))&gt;0,"Informational","Unclassified")))))</f>
        <v/>
      </c>
      <c r="O338">
        <f>IF(A338="","",IF(K338&lt;&gt;"",PROPER(K338),N338))</f>
        <v/>
      </c>
      <c r="P338">
        <f>IF(A338="","",ROUND(Settings!$B$5*MIN(1,LOG10(N(C338)+1)/LOG10(Settings!$B$7+1))+Settings!$B$6*(1-MIN(100,IF(D338="",50,N(D338)))/100)+IFERROR(INDEX(Settings!$B$10:$B$14,MATCH(O338,Settings!$A$10:$A$14,0)),0),0))</f>
        <v/>
      </c>
      <c r="Q338">
        <f>IF(OR(A338="",G338=""),"",COUNTIFS($M$3:$M$1002,M338,$G$3:$G$1002,"&lt;&gt;"&amp;SUBSTITUTE(SUBSTITUTE(G338,"?","~?"),"*","~*"),$G$3:$G$1002,"?*"))</f>
        <v/>
      </c>
      <c r="R338">
        <f>IF(Q338="","",IF(Q338&gt;0,"Yes","No"))</f>
        <v/>
      </c>
      <c r="S338">
        <f>IF(G338="","",COUNTIFS($G$3:$G$1002,SUBSTITUTE(SUBSTITUTE(G338,"?","~?"),"*","~*"),$J$3:$J$1002,"Primary"))</f>
        <v/>
      </c>
      <c r="T338">
        <f>IF(S338="","",IF(S338&gt;Settings!$B$4,"Yes","No"))</f>
        <v/>
      </c>
      <c r="U338">
        <f>IF(OR(G338="",B338=""),"",IF(COUNTIFS($G$3:$G$1002,SUBSTITUTE(SUBSTITUTE(G338,"?","~?"),"*","~*"),$B$3:$B$1002,"&lt;&gt;"&amp;SUBSTITUTE(SUBSTITUTE(B338,"?","~?"),"*","~*"),$B$3:$B$1002,"?*")&gt;0,"Yes","No"))</f>
        <v/>
      </c>
      <c r="V338">
        <f>IF(OR(G338="",I338="",O338="",O338="Unclassified"),"",IFERROR(INDEX(Settings!$E$5:$H$16,MATCH(I338,Settings!$D$5:$D$16,0),MATCH(O338,Settings!$E$4:$H$4,0)),"Check"))</f>
        <v/>
      </c>
      <c r="W338">
        <f>IF(V338="","",IF(V338="No","Yes","No"))</f>
        <v/>
      </c>
      <c r="X338">
        <f>IF(OR(E338="",G338=""),"",IF(LOWER(IF(RIGHT(TRIM(E338),1)="/",LEFT(TRIM(E338),LEN(TRIM(E338))-1),TRIM(E338)))&lt;&gt;LOWER(IF(RIGHT(TRIM(G338),1)="/",LEFT(TRIM(G338),LEN(TRIM(G338))-1),TRIM(G338))),"Yes","No"))</f>
        <v/>
      </c>
      <c r="Y338">
        <f>IF(A338="","",(N(Q338)&gt;0)+(T338="Yes")+(U338="Yes")+(W338="Yes")+(X338="Yes"))</f>
        <v/>
      </c>
      <c r="Z338">
        <f>IF(A338="","",IF(G338="","Not mapped",IF(Y338=0,"OK",MID(IF(N(Q338)&gt;0,"; Cannibalisation","")&amp;IF(T338="Yes","; Too many primary keywords on URL","")&amp;IF(U338="Yes","; URL spans 2+ clusters","")&amp;IF(W338="Yes","; Intent mismatch","")&amp;IF(X338="Yes","; Ranking URL is not the target",""),3,300))))</f>
        <v/>
      </c>
      <c r="AA338">
        <f>IF(G338="","",IF(COUNTIF($G$3:G338,SUBSTITUTE(SUBSTITUTE(G338,"?","~?"),"*","~*"))=1,MAX($AA$2:AA337)+1,""))</f>
        <v/>
      </c>
      <c r="AB338">
        <f>IF(B338="","",IF(COUNTIF($B$3:B338,SUBSTITUTE(SUBSTITUTE(B338,"?","~?"),"*","~*"))=1,MAX($AB$2:AB337)+1,""))</f>
        <v/>
      </c>
    </row>
    <row r="339">
      <c r="M339">
        <f>IF(A339="","",LOWER(TRIM(SUBSTITUTE(SUBSTITUTE(A339,"?",""),"*",""))))</f>
        <v/>
      </c>
      <c r="N339">
        <f>IF(M339="","",IF(SUMPRODUCT(ISNUMBER(SEARCH(" "&amp;Settings!$L$5:$L$124&amp;" "," "&amp;M339&amp;" "))*(Settings!$K$5:$K$124="Navigational")*(Settings!$L$5:$L$124&lt;&gt;""))&gt;0,"Navigational",IF(SUMPRODUCT(ISNUMBER(SEARCH(" "&amp;Settings!$L$5:$L$124&amp;" "," "&amp;M339&amp;" "))*(Settings!$K$5:$K$124="Transactional")*(Settings!$L$5:$L$124&lt;&gt;""))&gt;0,"Transactional",IF(SUMPRODUCT(ISNUMBER(SEARCH(" "&amp;Settings!$L$5:$L$124&amp;" "," "&amp;M339&amp;" "))*(Settings!$K$5:$K$124="Commercial")*(Settings!$L$5:$L$124&lt;&gt;""))&gt;0,"Commercial",IF(SUMPRODUCT(ISNUMBER(SEARCH(" "&amp;Settings!$L$5:$L$124&amp;" "," "&amp;M339&amp;" "))*(Settings!$K$5:$K$124="Informational")*(Settings!$L$5:$L$124&lt;&gt;""))&gt;0,"Informational","Unclassified")))))</f>
        <v/>
      </c>
      <c r="O339">
        <f>IF(A339="","",IF(K339&lt;&gt;"",PROPER(K339),N339))</f>
        <v/>
      </c>
      <c r="P339">
        <f>IF(A339="","",ROUND(Settings!$B$5*MIN(1,LOG10(N(C339)+1)/LOG10(Settings!$B$7+1))+Settings!$B$6*(1-MIN(100,IF(D339="",50,N(D339)))/100)+IFERROR(INDEX(Settings!$B$10:$B$14,MATCH(O339,Settings!$A$10:$A$14,0)),0),0))</f>
        <v/>
      </c>
      <c r="Q339">
        <f>IF(OR(A339="",G339=""),"",COUNTIFS($M$3:$M$1002,M339,$G$3:$G$1002,"&lt;&gt;"&amp;SUBSTITUTE(SUBSTITUTE(G339,"?","~?"),"*","~*"),$G$3:$G$1002,"?*"))</f>
        <v/>
      </c>
      <c r="R339">
        <f>IF(Q339="","",IF(Q339&gt;0,"Yes","No"))</f>
        <v/>
      </c>
      <c r="S339">
        <f>IF(G339="","",COUNTIFS($G$3:$G$1002,SUBSTITUTE(SUBSTITUTE(G339,"?","~?"),"*","~*"),$J$3:$J$1002,"Primary"))</f>
        <v/>
      </c>
      <c r="T339">
        <f>IF(S339="","",IF(S339&gt;Settings!$B$4,"Yes","No"))</f>
        <v/>
      </c>
      <c r="U339">
        <f>IF(OR(G339="",B339=""),"",IF(COUNTIFS($G$3:$G$1002,SUBSTITUTE(SUBSTITUTE(G339,"?","~?"),"*","~*"),$B$3:$B$1002,"&lt;&gt;"&amp;SUBSTITUTE(SUBSTITUTE(B339,"?","~?"),"*","~*"),$B$3:$B$1002,"?*")&gt;0,"Yes","No"))</f>
        <v/>
      </c>
      <c r="V339">
        <f>IF(OR(G339="",I339="",O339="",O339="Unclassified"),"",IFERROR(INDEX(Settings!$E$5:$H$16,MATCH(I339,Settings!$D$5:$D$16,0),MATCH(O339,Settings!$E$4:$H$4,0)),"Check"))</f>
        <v/>
      </c>
      <c r="W339">
        <f>IF(V339="","",IF(V339="No","Yes","No"))</f>
        <v/>
      </c>
      <c r="X339">
        <f>IF(OR(E339="",G339=""),"",IF(LOWER(IF(RIGHT(TRIM(E339),1)="/",LEFT(TRIM(E339),LEN(TRIM(E339))-1),TRIM(E339)))&lt;&gt;LOWER(IF(RIGHT(TRIM(G339),1)="/",LEFT(TRIM(G339),LEN(TRIM(G339))-1),TRIM(G339))),"Yes","No"))</f>
        <v/>
      </c>
      <c r="Y339">
        <f>IF(A339="","",(N(Q339)&gt;0)+(T339="Yes")+(U339="Yes")+(W339="Yes")+(X339="Yes"))</f>
        <v/>
      </c>
      <c r="Z339">
        <f>IF(A339="","",IF(G339="","Not mapped",IF(Y339=0,"OK",MID(IF(N(Q339)&gt;0,"; Cannibalisation","")&amp;IF(T339="Yes","; Too many primary keywords on URL","")&amp;IF(U339="Yes","; URL spans 2+ clusters","")&amp;IF(W339="Yes","; Intent mismatch","")&amp;IF(X339="Yes","; Ranking URL is not the target",""),3,300))))</f>
        <v/>
      </c>
      <c r="AA339">
        <f>IF(G339="","",IF(COUNTIF($G$3:G339,SUBSTITUTE(SUBSTITUTE(G339,"?","~?"),"*","~*"))=1,MAX($AA$2:AA338)+1,""))</f>
        <v/>
      </c>
      <c r="AB339">
        <f>IF(B339="","",IF(COUNTIF($B$3:B339,SUBSTITUTE(SUBSTITUTE(B339,"?","~?"),"*","~*"))=1,MAX($AB$2:AB338)+1,""))</f>
        <v/>
      </c>
    </row>
    <row r="340">
      <c r="M340">
        <f>IF(A340="","",LOWER(TRIM(SUBSTITUTE(SUBSTITUTE(A340,"?",""),"*",""))))</f>
        <v/>
      </c>
      <c r="N340">
        <f>IF(M340="","",IF(SUMPRODUCT(ISNUMBER(SEARCH(" "&amp;Settings!$L$5:$L$124&amp;" "," "&amp;M340&amp;" "))*(Settings!$K$5:$K$124="Navigational")*(Settings!$L$5:$L$124&lt;&gt;""))&gt;0,"Navigational",IF(SUMPRODUCT(ISNUMBER(SEARCH(" "&amp;Settings!$L$5:$L$124&amp;" "," "&amp;M340&amp;" "))*(Settings!$K$5:$K$124="Transactional")*(Settings!$L$5:$L$124&lt;&gt;""))&gt;0,"Transactional",IF(SUMPRODUCT(ISNUMBER(SEARCH(" "&amp;Settings!$L$5:$L$124&amp;" "," "&amp;M340&amp;" "))*(Settings!$K$5:$K$124="Commercial")*(Settings!$L$5:$L$124&lt;&gt;""))&gt;0,"Commercial",IF(SUMPRODUCT(ISNUMBER(SEARCH(" "&amp;Settings!$L$5:$L$124&amp;" "," "&amp;M340&amp;" "))*(Settings!$K$5:$K$124="Informational")*(Settings!$L$5:$L$124&lt;&gt;""))&gt;0,"Informational","Unclassified")))))</f>
        <v/>
      </c>
      <c r="O340">
        <f>IF(A340="","",IF(K340&lt;&gt;"",PROPER(K340),N340))</f>
        <v/>
      </c>
      <c r="P340">
        <f>IF(A340="","",ROUND(Settings!$B$5*MIN(1,LOG10(N(C340)+1)/LOG10(Settings!$B$7+1))+Settings!$B$6*(1-MIN(100,IF(D340="",50,N(D340)))/100)+IFERROR(INDEX(Settings!$B$10:$B$14,MATCH(O340,Settings!$A$10:$A$14,0)),0),0))</f>
        <v/>
      </c>
      <c r="Q340">
        <f>IF(OR(A340="",G340=""),"",COUNTIFS($M$3:$M$1002,M340,$G$3:$G$1002,"&lt;&gt;"&amp;SUBSTITUTE(SUBSTITUTE(G340,"?","~?"),"*","~*"),$G$3:$G$1002,"?*"))</f>
        <v/>
      </c>
      <c r="R340">
        <f>IF(Q340="","",IF(Q340&gt;0,"Yes","No"))</f>
        <v/>
      </c>
      <c r="S340">
        <f>IF(G340="","",COUNTIFS($G$3:$G$1002,SUBSTITUTE(SUBSTITUTE(G340,"?","~?"),"*","~*"),$J$3:$J$1002,"Primary"))</f>
        <v/>
      </c>
      <c r="T340">
        <f>IF(S340="","",IF(S340&gt;Settings!$B$4,"Yes","No"))</f>
        <v/>
      </c>
      <c r="U340">
        <f>IF(OR(G340="",B340=""),"",IF(COUNTIFS($G$3:$G$1002,SUBSTITUTE(SUBSTITUTE(G340,"?","~?"),"*","~*"),$B$3:$B$1002,"&lt;&gt;"&amp;SUBSTITUTE(SUBSTITUTE(B340,"?","~?"),"*","~*"),$B$3:$B$1002,"?*")&gt;0,"Yes","No"))</f>
        <v/>
      </c>
      <c r="V340">
        <f>IF(OR(G340="",I340="",O340="",O340="Unclassified"),"",IFERROR(INDEX(Settings!$E$5:$H$16,MATCH(I340,Settings!$D$5:$D$16,0),MATCH(O340,Settings!$E$4:$H$4,0)),"Check"))</f>
        <v/>
      </c>
      <c r="W340">
        <f>IF(V340="","",IF(V340="No","Yes","No"))</f>
        <v/>
      </c>
      <c r="X340">
        <f>IF(OR(E340="",G340=""),"",IF(LOWER(IF(RIGHT(TRIM(E340),1)="/",LEFT(TRIM(E340),LEN(TRIM(E340))-1),TRIM(E340)))&lt;&gt;LOWER(IF(RIGHT(TRIM(G340),1)="/",LEFT(TRIM(G340),LEN(TRIM(G340))-1),TRIM(G340))),"Yes","No"))</f>
        <v/>
      </c>
      <c r="Y340">
        <f>IF(A340="","",(N(Q340)&gt;0)+(T340="Yes")+(U340="Yes")+(W340="Yes")+(X340="Yes"))</f>
        <v/>
      </c>
      <c r="Z340">
        <f>IF(A340="","",IF(G340="","Not mapped",IF(Y340=0,"OK",MID(IF(N(Q340)&gt;0,"; Cannibalisation","")&amp;IF(T340="Yes","; Too many primary keywords on URL","")&amp;IF(U340="Yes","; URL spans 2+ clusters","")&amp;IF(W340="Yes","; Intent mismatch","")&amp;IF(X340="Yes","; Ranking URL is not the target",""),3,300))))</f>
        <v/>
      </c>
      <c r="AA340">
        <f>IF(G340="","",IF(COUNTIF($G$3:G340,SUBSTITUTE(SUBSTITUTE(G340,"?","~?"),"*","~*"))=1,MAX($AA$2:AA339)+1,""))</f>
        <v/>
      </c>
      <c r="AB340">
        <f>IF(B340="","",IF(COUNTIF($B$3:B340,SUBSTITUTE(SUBSTITUTE(B340,"?","~?"),"*","~*"))=1,MAX($AB$2:AB339)+1,""))</f>
        <v/>
      </c>
    </row>
    <row r="341">
      <c r="M341">
        <f>IF(A341="","",LOWER(TRIM(SUBSTITUTE(SUBSTITUTE(A341,"?",""),"*",""))))</f>
        <v/>
      </c>
      <c r="N341">
        <f>IF(M341="","",IF(SUMPRODUCT(ISNUMBER(SEARCH(" "&amp;Settings!$L$5:$L$124&amp;" "," "&amp;M341&amp;" "))*(Settings!$K$5:$K$124="Navigational")*(Settings!$L$5:$L$124&lt;&gt;""))&gt;0,"Navigational",IF(SUMPRODUCT(ISNUMBER(SEARCH(" "&amp;Settings!$L$5:$L$124&amp;" "," "&amp;M341&amp;" "))*(Settings!$K$5:$K$124="Transactional")*(Settings!$L$5:$L$124&lt;&gt;""))&gt;0,"Transactional",IF(SUMPRODUCT(ISNUMBER(SEARCH(" "&amp;Settings!$L$5:$L$124&amp;" "," "&amp;M341&amp;" "))*(Settings!$K$5:$K$124="Commercial")*(Settings!$L$5:$L$124&lt;&gt;""))&gt;0,"Commercial",IF(SUMPRODUCT(ISNUMBER(SEARCH(" "&amp;Settings!$L$5:$L$124&amp;" "," "&amp;M341&amp;" "))*(Settings!$K$5:$K$124="Informational")*(Settings!$L$5:$L$124&lt;&gt;""))&gt;0,"Informational","Unclassified")))))</f>
        <v/>
      </c>
      <c r="O341">
        <f>IF(A341="","",IF(K341&lt;&gt;"",PROPER(K341),N341))</f>
        <v/>
      </c>
      <c r="P341">
        <f>IF(A341="","",ROUND(Settings!$B$5*MIN(1,LOG10(N(C341)+1)/LOG10(Settings!$B$7+1))+Settings!$B$6*(1-MIN(100,IF(D341="",50,N(D341)))/100)+IFERROR(INDEX(Settings!$B$10:$B$14,MATCH(O341,Settings!$A$10:$A$14,0)),0),0))</f>
        <v/>
      </c>
      <c r="Q341">
        <f>IF(OR(A341="",G341=""),"",COUNTIFS($M$3:$M$1002,M341,$G$3:$G$1002,"&lt;&gt;"&amp;SUBSTITUTE(SUBSTITUTE(G341,"?","~?"),"*","~*"),$G$3:$G$1002,"?*"))</f>
        <v/>
      </c>
      <c r="R341">
        <f>IF(Q341="","",IF(Q341&gt;0,"Yes","No"))</f>
        <v/>
      </c>
      <c r="S341">
        <f>IF(G341="","",COUNTIFS($G$3:$G$1002,SUBSTITUTE(SUBSTITUTE(G341,"?","~?"),"*","~*"),$J$3:$J$1002,"Primary"))</f>
        <v/>
      </c>
      <c r="T341">
        <f>IF(S341="","",IF(S341&gt;Settings!$B$4,"Yes","No"))</f>
        <v/>
      </c>
      <c r="U341">
        <f>IF(OR(G341="",B341=""),"",IF(COUNTIFS($G$3:$G$1002,SUBSTITUTE(SUBSTITUTE(G341,"?","~?"),"*","~*"),$B$3:$B$1002,"&lt;&gt;"&amp;SUBSTITUTE(SUBSTITUTE(B341,"?","~?"),"*","~*"),$B$3:$B$1002,"?*")&gt;0,"Yes","No"))</f>
        <v/>
      </c>
      <c r="V341">
        <f>IF(OR(G341="",I341="",O341="",O341="Unclassified"),"",IFERROR(INDEX(Settings!$E$5:$H$16,MATCH(I341,Settings!$D$5:$D$16,0),MATCH(O341,Settings!$E$4:$H$4,0)),"Check"))</f>
        <v/>
      </c>
      <c r="W341">
        <f>IF(V341="","",IF(V341="No","Yes","No"))</f>
        <v/>
      </c>
      <c r="X341">
        <f>IF(OR(E341="",G341=""),"",IF(LOWER(IF(RIGHT(TRIM(E341),1)="/",LEFT(TRIM(E341),LEN(TRIM(E341))-1),TRIM(E341)))&lt;&gt;LOWER(IF(RIGHT(TRIM(G341),1)="/",LEFT(TRIM(G341),LEN(TRIM(G341))-1),TRIM(G341))),"Yes","No"))</f>
        <v/>
      </c>
      <c r="Y341">
        <f>IF(A341="","",(N(Q341)&gt;0)+(T341="Yes")+(U341="Yes")+(W341="Yes")+(X341="Yes"))</f>
        <v/>
      </c>
      <c r="Z341">
        <f>IF(A341="","",IF(G341="","Not mapped",IF(Y341=0,"OK",MID(IF(N(Q341)&gt;0,"; Cannibalisation","")&amp;IF(T341="Yes","; Too many primary keywords on URL","")&amp;IF(U341="Yes","; URL spans 2+ clusters","")&amp;IF(W341="Yes","; Intent mismatch","")&amp;IF(X341="Yes","; Ranking URL is not the target",""),3,300))))</f>
        <v/>
      </c>
      <c r="AA341">
        <f>IF(G341="","",IF(COUNTIF($G$3:G341,SUBSTITUTE(SUBSTITUTE(G341,"?","~?"),"*","~*"))=1,MAX($AA$2:AA340)+1,""))</f>
        <v/>
      </c>
      <c r="AB341">
        <f>IF(B341="","",IF(COUNTIF($B$3:B341,SUBSTITUTE(SUBSTITUTE(B341,"?","~?"),"*","~*"))=1,MAX($AB$2:AB340)+1,""))</f>
        <v/>
      </c>
    </row>
    <row r="342">
      <c r="M342">
        <f>IF(A342="","",LOWER(TRIM(SUBSTITUTE(SUBSTITUTE(A342,"?",""),"*",""))))</f>
        <v/>
      </c>
      <c r="N342">
        <f>IF(M342="","",IF(SUMPRODUCT(ISNUMBER(SEARCH(" "&amp;Settings!$L$5:$L$124&amp;" "," "&amp;M342&amp;" "))*(Settings!$K$5:$K$124="Navigational")*(Settings!$L$5:$L$124&lt;&gt;""))&gt;0,"Navigational",IF(SUMPRODUCT(ISNUMBER(SEARCH(" "&amp;Settings!$L$5:$L$124&amp;" "," "&amp;M342&amp;" "))*(Settings!$K$5:$K$124="Transactional")*(Settings!$L$5:$L$124&lt;&gt;""))&gt;0,"Transactional",IF(SUMPRODUCT(ISNUMBER(SEARCH(" "&amp;Settings!$L$5:$L$124&amp;" "," "&amp;M342&amp;" "))*(Settings!$K$5:$K$124="Commercial")*(Settings!$L$5:$L$124&lt;&gt;""))&gt;0,"Commercial",IF(SUMPRODUCT(ISNUMBER(SEARCH(" "&amp;Settings!$L$5:$L$124&amp;" "," "&amp;M342&amp;" "))*(Settings!$K$5:$K$124="Informational")*(Settings!$L$5:$L$124&lt;&gt;""))&gt;0,"Informational","Unclassified")))))</f>
        <v/>
      </c>
      <c r="O342">
        <f>IF(A342="","",IF(K342&lt;&gt;"",PROPER(K342),N342))</f>
        <v/>
      </c>
      <c r="P342">
        <f>IF(A342="","",ROUND(Settings!$B$5*MIN(1,LOG10(N(C342)+1)/LOG10(Settings!$B$7+1))+Settings!$B$6*(1-MIN(100,IF(D342="",50,N(D342)))/100)+IFERROR(INDEX(Settings!$B$10:$B$14,MATCH(O342,Settings!$A$10:$A$14,0)),0),0))</f>
        <v/>
      </c>
      <c r="Q342">
        <f>IF(OR(A342="",G342=""),"",COUNTIFS($M$3:$M$1002,M342,$G$3:$G$1002,"&lt;&gt;"&amp;SUBSTITUTE(SUBSTITUTE(G342,"?","~?"),"*","~*"),$G$3:$G$1002,"?*"))</f>
        <v/>
      </c>
      <c r="R342">
        <f>IF(Q342="","",IF(Q342&gt;0,"Yes","No"))</f>
        <v/>
      </c>
      <c r="S342">
        <f>IF(G342="","",COUNTIFS($G$3:$G$1002,SUBSTITUTE(SUBSTITUTE(G342,"?","~?"),"*","~*"),$J$3:$J$1002,"Primary"))</f>
        <v/>
      </c>
      <c r="T342">
        <f>IF(S342="","",IF(S342&gt;Settings!$B$4,"Yes","No"))</f>
        <v/>
      </c>
      <c r="U342">
        <f>IF(OR(G342="",B342=""),"",IF(COUNTIFS($G$3:$G$1002,SUBSTITUTE(SUBSTITUTE(G342,"?","~?"),"*","~*"),$B$3:$B$1002,"&lt;&gt;"&amp;SUBSTITUTE(SUBSTITUTE(B342,"?","~?"),"*","~*"),$B$3:$B$1002,"?*")&gt;0,"Yes","No"))</f>
        <v/>
      </c>
      <c r="V342">
        <f>IF(OR(G342="",I342="",O342="",O342="Unclassified"),"",IFERROR(INDEX(Settings!$E$5:$H$16,MATCH(I342,Settings!$D$5:$D$16,0),MATCH(O342,Settings!$E$4:$H$4,0)),"Check"))</f>
        <v/>
      </c>
      <c r="W342">
        <f>IF(V342="","",IF(V342="No","Yes","No"))</f>
        <v/>
      </c>
      <c r="X342">
        <f>IF(OR(E342="",G342=""),"",IF(LOWER(IF(RIGHT(TRIM(E342),1)="/",LEFT(TRIM(E342),LEN(TRIM(E342))-1),TRIM(E342)))&lt;&gt;LOWER(IF(RIGHT(TRIM(G342),1)="/",LEFT(TRIM(G342),LEN(TRIM(G342))-1),TRIM(G342))),"Yes","No"))</f>
        <v/>
      </c>
      <c r="Y342">
        <f>IF(A342="","",(N(Q342)&gt;0)+(T342="Yes")+(U342="Yes")+(W342="Yes")+(X342="Yes"))</f>
        <v/>
      </c>
      <c r="Z342">
        <f>IF(A342="","",IF(G342="","Not mapped",IF(Y342=0,"OK",MID(IF(N(Q342)&gt;0,"; Cannibalisation","")&amp;IF(T342="Yes","; Too many primary keywords on URL","")&amp;IF(U342="Yes","; URL spans 2+ clusters","")&amp;IF(W342="Yes","; Intent mismatch","")&amp;IF(X342="Yes","; Ranking URL is not the target",""),3,300))))</f>
        <v/>
      </c>
      <c r="AA342">
        <f>IF(G342="","",IF(COUNTIF($G$3:G342,SUBSTITUTE(SUBSTITUTE(G342,"?","~?"),"*","~*"))=1,MAX($AA$2:AA341)+1,""))</f>
        <v/>
      </c>
      <c r="AB342">
        <f>IF(B342="","",IF(COUNTIF($B$3:B342,SUBSTITUTE(SUBSTITUTE(B342,"?","~?"),"*","~*"))=1,MAX($AB$2:AB341)+1,""))</f>
        <v/>
      </c>
    </row>
    <row r="343">
      <c r="M343">
        <f>IF(A343="","",LOWER(TRIM(SUBSTITUTE(SUBSTITUTE(A343,"?",""),"*",""))))</f>
        <v/>
      </c>
      <c r="N343">
        <f>IF(M343="","",IF(SUMPRODUCT(ISNUMBER(SEARCH(" "&amp;Settings!$L$5:$L$124&amp;" "," "&amp;M343&amp;" "))*(Settings!$K$5:$K$124="Navigational")*(Settings!$L$5:$L$124&lt;&gt;""))&gt;0,"Navigational",IF(SUMPRODUCT(ISNUMBER(SEARCH(" "&amp;Settings!$L$5:$L$124&amp;" "," "&amp;M343&amp;" "))*(Settings!$K$5:$K$124="Transactional")*(Settings!$L$5:$L$124&lt;&gt;""))&gt;0,"Transactional",IF(SUMPRODUCT(ISNUMBER(SEARCH(" "&amp;Settings!$L$5:$L$124&amp;" "," "&amp;M343&amp;" "))*(Settings!$K$5:$K$124="Commercial")*(Settings!$L$5:$L$124&lt;&gt;""))&gt;0,"Commercial",IF(SUMPRODUCT(ISNUMBER(SEARCH(" "&amp;Settings!$L$5:$L$124&amp;" "," "&amp;M343&amp;" "))*(Settings!$K$5:$K$124="Informational")*(Settings!$L$5:$L$124&lt;&gt;""))&gt;0,"Informational","Unclassified")))))</f>
        <v/>
      </c>
      <c r="O343">
        <f>IF(A343="","",IF(K343&lt;&gt;"",PROPER(K343),N343))</f>
        <v/>
      </c>
      <c r="P343">
        <f>IF(A343="","",ROUND(Settings!$B$5*MIN(1,LOG10(N(C343)+1)/LOG10(Settings!$B$7+1))+Settings!$B$6*(1-MIN(100,IF(D343="",50,N(D343)))/100)+IFERROR(INDEX(Settings!$B$10:$B$14,MATCH(O343,Settings!$A$10:$A$14,0)),0),0))</f>
        <v/>
      </c>
      <c r="Q343">
        <f>IF(OR(A343="",G343=""),"",COUNTIFS($M$3:$M$1002,M343,$G$3:$G$1002,"&lt;&gt;"&amp;SUBSTITUTE(SUBSTITUTE(G343,"?","~?"),"*","~*"),$G$3:$G$1002,"?*"))</f>
        <v/>
      </c>
      <c r="R343">
        <f>IF(Q343="","",IF(Q343&gt;0,"Yes","No"))</f>
        <v/>
      </c>
      <c r="S343">
        <f>IF(G343="","",COUNTIFS($G$3:$G$1002,SUBSTITUTE(SUBSTITUTE(G343,"?","~?"),"*","~*"),$J$3:$J$1002,"Primary"))</f>
        <v/>
      </c>
      <c r="T343">
        <f>IF(S343="","",IF(S343&gt;Settings!$B$4,"Yes","No"))</f>
        <v/>
      </c>
      <c r="U343">
        <f>IF(OR(G343="",B343=""),"",IF(COUNTIFS($G$3:$G$1002,SUBSTITUTE(SUBSTITUTE(G343,"?","~?"),"*","~*"),$B$3:$B$1002,"&lt;&gt;"&amp;SUBSTITUTE(SUBSTITUTE(B343,"?","~?"),"*","~*"),$B$3:$B$1002,"?*")&gt;0,"Yes","No"))</f>
        <v/>
      </c>
      <c r="V343">
        <f>IF(OR(G343="",I343="",O343="",O343="Unclassified"),"",IFERROR(INDEX(Settings!$E$5:$H$16,MATCH(I343,Settings!$D$5:$D$16,0),MATCH(O343,Settings!$E$4:$H$4,0)),"Check"))</f>
        <v/>
      </c>
      <c r="W343">
        <f>IF(V343="","",IF(V343="No","Yes","No"))</f>
        <v/>
      </c>
      <c r="X343">
        <f>IF(OR(E343="",G343=""),"",IF(LOWER(IF(RIGHT(TRIM(E343),1)="/",LEFT(TRIM(E343),LEN(TRIM(E343))-1),TRIM(E343)))&lt;&gt;LOWER(IF(RIGHT(TRIM(G343),1)="/",LEFT(TRIM(G343),LEN(TRIM(G343))-1),TRIM(G343))),"Yes","No"))</f>
        <v/>
      </c>
      <c r="Y343">
        <f>IF(A343="","",(N(Q343)&gt;0)+(T343="Yes")+(U343="Yes")+(W343="Yes")+(X343="Yes"))</f>
        <v/>
      </c>
      <c r="Z343">
        <f>IF(A343="","",IF(G343="","Not mapped",IF(Y343=0,"OK",MID(IF(N(Q343)&gt;0,"; Cannibalisation","")&amp;IF(T343="Yes","; Too many primary keywords on URL","")&amp;IF(U343="Yes","; URL spans 2+ clusters","")&amp;IF(W343="Yes","; Intent mismatch","")&amp;IF(X343="Yes","; Ranking URL is not the target",""),3,300))))</f>
        <v/>
      </c>
      <c r="AA343">
        <f>IF(G343="","",IF(COUNTIF($G$3:G343,SUBSTITUTE(SUBSTITUTE(G343,"?","~?"),"*","~*"))=1,MAX($AA$2:AA342)+1,""))</f>
        <v/>
      </c>
      <c r="AB343">
        <f>IF(B343="","",IF(COUNTIF($B$3:B343,SUBSTITUTE(SUBSTITUTE(B343,"?","~?"),"*","~*"))=1,MAX($AB$2:AB342)+1,""))</f>
        <v/>
      </c>
    </row>
    <row r="344">
      <c r="M344">
        <f>IF(A344="","",LOWER(TRIM(SUBSTITUTE(SUBSTITUTE(A344,"?",""),"*",""))))</f>
        <v/>
      </c>
      <c r="N344">
        <f>IF(M344="","",IF(SUMPRODUCT(ISNUMBER(SEARCH(" "&amp;Settings!$L$5:$L$124&amp;" "," "&amp;M344&amp;" "))*(Settings!$K$5:$K$124="Navigational")*(Settings!$L$5:$L$124&lt;&gt;""))&gt;0,"Navigational",IF(SUMPRODUCT(ISNUMBER(SEARCH(" "&amp;Settings!$L$5:$L$124&amp;" "," "&amp;M344&amp;" "))*(Settings!$K$5:$K$124="Transactional")*(Settings!$L$5:$L$124&lt;&gt;""))&gt;0,"Transactional",IF(SUMPRODUCT(ISNUMBER(SEARCH(" "&amp;Settings!$L$5:$L$124&amp;" "," "&amp;M344&amp;" "))*(Settings!$K$5:$K$124="Commercial")*(Settings!$L$5:$L$124&lt;&gt;""))&gt;0,"Commercial",IF(SUMPRODUCT(ISNUMBER(SEARCH(" "&amp;Settings!$L$5:$L$124&amp;" "," "&amp;M344&amp;" "))*(Settings!$K$5:$K$124="Informational")*(Settings!$L$5:$L$124&lt;&gt;""))&gt;0,"Informational","Unclassified")))))</f>
        <v/>
      </c>
      <c r="O344">
        <f>IF(A344="","",IF(K344&lt;&gt;"",PROPER(K344),N344))</f>
        <v/>
      </c>
      <c r="P344">
        <f>IF(A344="","",ROUND(Settings!$B$5*MIN(1,LOG10(N(C344)+1)/LOG10(Settings!$B$7+1))+Settings!$B$6*(1-MIN(100,IF(D344="",50,N(D344)))/100)+IFERROR(INDEX(Settings!$B$10:$B$14,MATCH(O344,Settings!$A$10:$A$14,0)),0),0))</f>
        <v/>
      </c>
      <c r="Q344">
        <f>IF(OR(A344="",G344=""),"",COUNTIFS($M$3:$M$1002,M344,$G$3:$G$1002,"&lt;&gt;"&amp;SUBSTITUTE(SUBSTITUTE(G344,"?","~?"),"*","~*"),$G$3:$G$1002,"?*"))</f>
        <v/>
      </c>
      <c r="R344">
        <f>IF(Q344="","",IF(Q344&gt;0,"Yes","No"))</f>
        <v/>
      </c>
      <c r="S344">
        <f>IF(G344="","",COUNTIFS($G$3:$G$1002,SUBSTITUTE(SUBSTITUTE(G344,"?","~?"),"*","~*"),$J$3:$J$1002,"Primary"))</f>
        <v/>
      </c>
      <c r="T344">
        <f>IF(S344="","",IF(S344&gt;Settings!$B$4,"Yes","No"))</f>
        <v/>
      </c>
      <c r="U344">
        <f>IF(OR(G344="",B344=""),"",IF(COUNTIFS($G$3:$G$1002,SUBSTITUTE(SUBSTITUTE(G344,"?","~?"),"*","~*"),$B$3:$B$1002,"&lt;&gt;"&amp;SUBSTITUTE(SUBSTITUTE(B344,"?","~?"),"*","~*"),$B$3:$B$1002,"?*")&gt;0,"Yes","No"))</f>
        <v/>
      </c>
      <c r="V344">
        <f>IF(OR(G344="",I344="",O344="",O344="Unclassified"),"",IFERROR(INDEX(Settings!$E$5:$H$16,MATCH(I344,Settings!$D$5:$D$16,0),MATCH(O344,Settings!$E$4:$H$4,0)),"Check"))</f>
        <v/>
      </c>
      <c r="W344">
        <f>IF(V344="","",IF(V344="No","Yes","No"))</f>
        <v/>
      </c>
      <c r="X344">
        <f>IF(OR(E344="",G344=""),"",IF(LOWER(IF(RIGHT(TRIM(E344),1)="/",LEFT(TRIM(E344),LEN(TRIM(E344))-1),TRIM(E344)))&lt;&gt;LOWER(IF(RIGHT(TRIM(G344),1)="/",LEFT(TRIM(G344),LEN(TRIM(G344))-1),TRIM(G344))),"Yes","No"))</f>
        <v/>
      </c>
      <c r="Y344">
        <f>IF(A344="","",(N(Q344)&gt;0)+(T344="Yes")+(U344="Yes")+(W344="Yes")+(X344="Yes"))</f>
        <v/>
      </c>
      <c r="Z344">
        <f>IF(A344="","",IF(G344="","Not mapped",IF(Y344=0,"OK",MID(IF(N(Q344)&gt;0,"; Cannibalisation","")&amp;IF(T344="Yes","; Too many primary keywords on URL","")&amp;IF(U344="Yes","; URL spans 2+ clusters","")&amp;IF(W344="Yes","; Intent mismatch","")&amp;IF(X344="Yes","; Ranking URL is not the target",""),3,300))))</f>
        <v/>
      </c>
      <c r="AA344">
        <f>IF(G344="","",IF(COUNTIF($G$3:G344,SUBSTITUTE(SUBSTITUTE(G344,"?","~?"),"*","~*"))=1,MAX($AA$2:AA343)+1,""))</f>
        <v/>
      </c>
      <c r="AB344">
        <f>IF(B344="","",IF(COUNTIF($B$3:B344,SUBSTITUTE(SUBSTITUTE(B344,"?","~?"),"*","~*"))=1,MAX($AB$2:AB343)+1,""))</f>
        <v/>
      </c>
    </row>
    <row r="345">
      <c r="M345">
        <f>IF(A345="","",LOWER(TRIM(SUBSTITUTE(SUBSTITUTE(A345,"?",""),"*",""))))</f>
        <v/>
      </c>
      <c r="N345">
        <f>IF(M345="","",IF(SUMPRODUCT(ISNUMBER(SEARCH(" "&amp;Settings!$L$5:$L$124&amp;" "," "&amp;M345&amp;" "))*(Settings!$K$5:$K$124="Navigational")*(Settings!$L$5:$L$124&lt;&gt;""))&gt;0,"Navigational",IF(SUMPRODUCT(ISNUMBER(SEARCH(" "&amp;Settings!$L$5:$L$124&amp;" "," "&amp;M345&amp;" "))*(Settings!$K$5:$K$124="Transactional")*(Settings!$L$5:$L$124&lt;&gt;""))&gt;0,"Transactional",IF(SUMPRODUCT(ISNUMBER(SEARCH(" "&amp;Settings!$L$5:$L$124&amp;" "," "&amp;M345&amp;" "))*(Settings!$K$5:$K$124="Commercial")*(Settings!$L$5:$L$124&lt;&gt;""))&gt;0,"Commercial",IF(SUMPRODUCT(ISNUMBER(SEARCH(" "&amp;Settings!$L$5:$L$124&amp;" "," "&amp;M345&amp;" "))*(Settings!$K$5:$K$124="Informational")*(Settings!$L$5:$L$124&lt;&gt;""))&gt;0,"Informational","Unclassified")))))</f>
        <v/>
      </c>
      <c r="O345">
        <f>IF(A345="","",IF(K345&lt;&gt;"",PROPER(K345),N345))</f>
        <v/>
      </c>
      <c r="P345">
        <f>IF(A345="","",ROUND(Settings!$B$5*MIN(1,LOG10(N(C345)+1)/LOG10(Settings!$B$7+1))+Settings!$B$6*(1-MIN(100,IF(D345="",50,N(D345)))/100)+IFERROR(INDEX(Settings!$B$10:$B$14,MATCH(O345,Settings!$A$10:$A$14,0)),0),0))</f>
        <v/>
      </c>
      <c r="Q345">
        <f>IF(OR(A345="",G345=""),"",COUNTIFS($M$3:$M$1002,M345,$G$3:$G$1002,"&lt;&gt;"&amp;SUBSTITUTE(SUBSTITUTE(G345,"?","~?"),"*","~*"),$G$3:$G$1002,"?*"))</f>
        <v/>
      </c>
      <c r="R345">
        <f>IF(Q345="","",IF(Q345&gt;0,"Yes","No"))</f>
        <v/>
      </c>
      <c r="S345">
        <f>IF(G345="","",COUNTIFS($G$3:$G$1002,SUBSTITUTE(SUBSTITUTE(G345,"?","~?"),"*","~*"),$J$3:$J$1002,"Primary"))</f>
        <v/>
      </c>
      <c r="T345">
        <f>IF(S345="","",IF(S345&gt;Settings!$B$4,"Yes","No"))</f>
        <v/>
      </c>
      <c r="U345">
        <f>IF(OR(G345="",B345=""),"",IF(COUNTIFS($G$3:$G$1002,SUBSTITUTE(SUBSTITUTE(G345,"?","~?"),"*","~*"),$B$3:$B$1002,"&lt;&gt;"&amp;SUBSTITUTE(SUBSTITUTE(B345,"?","~?"),"*","~*"),$B$3:$B$1002,"?*")&gt;0,"Yes","No"))</f>
        <v/>
      </c>
      <c r="V345">
        <f>IF(OR(G345="",I345="",O345="",O345="Unclassified"),"",IFERROR(INDEX(Settings!$E$5:$H$16,MATCH(I345,Settings!$D$5:$D$16,0),MATCH(O345,Settings!$E$4:$H$4,0)),"Check"))</f>
        <v/>
      </c>
      <c r="W345">
        <f>IF(V345="","",IF(V345="No","Yes","No"))</f>
        <v/>
      </c>
      <c r="X345">
        <f>IF(OR(E345="",G345=""),"",IF(LOWER(IF(RIGHT(TRIM(E345),1)="/",LEFT(TRIM(E345),LEN(TRIM(E345))-1),TRIM(E345)))&lt;&gt;LOWER(IF(RIGHT(TRIM(G345),1)="/",LEFT(TRIM(G345),LEN(TRIM(G345))-1),TRIM(G345))),"Yes","No"))</f>
        <v/>
      </c>
      <c r="Y345">
        <f>IF(A345="","",(N(Q345)&gt;0)+(T345="Yes")+(U345="Yes")+(W345="Yes")+(X345="Yes"))</f>
        <v/>
      </c>
      <c r="Z345">
        <f>IF(A345="","",IF(G345="","Not mapped",IF(Y345=0,"OK",MID(IF(N(Q345)&gt;0,"; Cannibalisation","")&amp;IF(T345="Yes","; Too many primary keywords on URL","")&amp;IF(U345="Yes","; URL spans 2+ clusters","")&amp;IF(W345="Yes","; Intent mismatch","")&amp;IF(X345="Yes","; Ranking URL is not the target",""),3,300))))</f>
        <v/>
      </c>
      <c r="AA345">
        <f>IF(G345="","",IF(COUNTIF($G$3:G345,SUBSTITUTE(SUBSTITUTE(G345,"?","~?"),"*","~*"))=1,MAX($AA$2:AA344)+1,""))</f>
        <v/>
      </c>
      <c r="AB345">
        <f>IF(B345="","",IF(COUNTIF($B$3:B345,SUBSTITUTE(SUBSTITUTE(B345,"?","~?"),"*","~*"))=1,MAX($AB$2:AB344)+1,""))</f>
        <v/>
      </c>
    </row>
    <row r="346">
      <c r="M346">
        <f>IF(A346="","",LOWER(TRIM(SUBSTITUTE(SUBSTITUTE(A346,"?",""),"*",""))))</f>
        <v/>
      </c>
      <c r="N346">
        <f>IF(M346="","",IF(SUMPRODUCT(ISNUMBER(SEARCH(" "&amp;Settings!$L$5:$L$124&amp;" "," "&amp;M346&amp;" "))*(Settings!$K$5:$K$124="Navigational")*(Settings!$L$5:$L$124&lt;&gt;""))&gt;0,"Navigational",IF(SUMPRODUCT(ISNUMBER(SEARCH(" "&amp;Settings!$L$5:$L$124&amp;" "," "&amp;M346&amp;" "))*(Settings!$K$5:$K$124="Transactional")*(Settings!$L$5:$L$124&lt;&gt;""))&gt;0,"Transactional",IF(SUMPRODUCT(ISNUMBER(SEARCH(" "&amp;Settings!$L$5:$L$124&amp;" "," "&amp;M346&amp;" "))*(Settings!$K$5:$K$124="Commercial")*(Settings!$L$5:$L$124&lt;&gt;""))&gt;0,"Commercial",IF(SUMPRODUCT(ISNUMBER(SEARCH(" "&amp;Settings!$L$5:$L$124&amp;" "," "&amp;M346&amp;" "))*(Settings!$K$5:$K$124="Informational")*(Settings!$L$5:$L$124&lt;&gt;""))&gt;0,"Informational","Unclassified")))))</f>
        <v/>
      </c>
      <c r="O346">
        <f>IF(A346="","",IF(K346&lt;&gt;"",PROPER(K346),N346))</f>
        <v/>
      </c>
      <c r="P346">
        <f>IF(A346="","",ROUND(Settings!$B$5*MIN(1,LOG10(N(C346)+1)/LOG10(Settings!$B$7+1))+Settings!$B$6*(1-MIN(100,IF(D346="",50,N(D346)))/100)+IFERROR(INDEX(Settings!$B$10:$B$14,MATCH(O346,Settings!$A$10:$A$14,0)),0),0))</f>
        <v/>
      </c>
      <c r="Q346">
        <f>IF(OR(A346="",G346=""),"",COUNTIFS($M$3:$M$1002,M346,$G$3:$G$1002,"&lt;&gt;"&amp;SUBSTITUTE(SUBSTITUTE(G346,"?","~?"),"*","~*"),$G$3:$G$1002,"?*"))</f>
        <v/>
      </c>
      <c r="R346">
        <f>IF(Q346="","",IF(Q346&gt;0,"Yes","No"))</f>
        <v/>
      </c>
      <c r="S346">
        <f>IF(G346="","",COUNTIFS($G$3:$G$1002,SUBSTITUTE(SUBSTITUTE(G346,"?","~?"),"*","~*"),$J$3:$J$1002,"Primary"))</f>
        <v/>
      </c>
      <c r="T346">
        <f>IF(S346="","",IF(S346&gt;Settings!$B$4,"Yes","No"))</f>
        <v/>
      </c>
      <c r="U346">
        <f>IF(OR(G346="",B346=""),"",IF(COUNTIFS($G$3:$G$1002,SUBSTITUTE(SUBSTITUTE(G346,"?","~?"),"*","~*"),$B$3:$B$1002,"&lt;&gt;"&amp;SUBSTITUTE(SUBSTITUTE(B346,"?","~?"),"*","~*"),$B$3:$B$1002,"?*")&gt;0,"Yes","No"))</f>
        <v/>
      </c>
      <c r="V346">
        <f>IF(OR(G346="",I346="",O346="",O346="Unclassified"),"",IFERROR(INDEX(Settings!$E$5:$H$16,MATCH(I346,Settings!$D$5:$D$16,0),MATCH(O346,Settings!$E$4:$H$4,0)),"Check"))</f>
        <v/>
      </c>
      <c r="W346">
        <f>IF(V346="","",IF(V346="No","Yes","No"))</f>
        <v/>
      </c>
      <c r="X346">
        <f>IF(OR(E346="",G346=""),"",IF(LOWER(IF(RIGHT(TRIM(E346),1)="/",LEFT(TRIM(E346),LEN(TRIM(E346))-1),TRIM(E346)))&lt;&gt;LOWER(IF(RIGHT(TRIM(G346),1)="/",LEFT(TRIM(G346),LEN(TRIM(G346))-1),TRIM(G346))),"Yes","No"))</f>
        <v/>
      </c>
      <c r="Y346">
        <f>IF(A346="","",(N(Q346)&gt;0)+(T346="Yes")+(U346="Yes")+(W346="Yes")+(X346="Yes"))</f>
        <v/>
      </c>
      <c r="Z346">
        <f>IF(A346="","",IF(G346="","Not mapped",IF(Y346=0,"OK",MID(IF(N(Q346)&gt;0,"; Cannibalisation","")&amp;IF(T346="Yes","; Too many primary keywords on URL","")&amp;IF(U346="Yes","; URL spans 2+ clusters","")&amp;IF(W346="Yes","; Intent mismatch","")&amp;IF(X346="Yes","; Ranking URL is not the target",""),3,300))))</f>
        <v/>
      </c>
      <c r="AA346">
        <f>IF(G346="","",IF(COUNTIF($G$3:G346,SUBSTITUTE(SUBSTITUTE(G346,"?","~?"),"*","~*"))=1,MAX($AA$2:AA345)+1,""))</f>
        <v/>
      </c>
      <c r="AB346">
        <f>IF(B346="","",IF(COUNTIF($B$3:B346,SUBSTITUTE(SUBSTITUTE(B346,"?","~?"),"*","~*"))=1,MAX($AB$2:AB345)+1,""))</f>
        <v/>
      </c>
    </row>
    <row r="347">
      <c r="M347">
        <f>IF(A347="","",LOWER(TRIM(SUBSTITUTE(SUBSTITUTE(A347,"?",""),"*",""))))</f>
        <v/>
      </c>
      <c r="N347">
        <f>IF(M347="","",IF(SUMPRODUCT(ISNUMBER(SEARCH(" "&amp;Settings!$L$5:$L$124&amp;" "," "&amp;M347&amp;" "))*(Settings!$K$5:$K$124="Navigational")*(Settings!$L$5:$L$124&lt;&gt;""))&gt;0,"Navigational",IF(SUMPRODUCT(ISNUMBER(SEARCH(" "&amp;Settings!$L$5:$L$124&amp;" "," "&amp;M347&amp;" "))*(Settings!$K$5:$K$124="Transactional")*(Settings!$L$5:$L$124&lt;&gt;""))&gt;0,"Transactional",IF(SUMPRODUCT(ISNUMBER(SEARCH(" "&amp;Settings!$L$5:$L$124&amp;" "," "&amp;M347&amp;" "))*(Settings!$K$5:$K$124="Commercial")*(Settings!$L$5:$L$124&lt;&gt;""))&gt;0,"Commercial",IF(SUMPRODUCT(ISNUMBER(SEARCH(" "&amp;Settings!$L$5:$L$124&amp;" "," "&amp;M347&amp;" "))*(Settings!$K$5:$K$124="Informational")*(Settings!$L$5:$L$124&lt;&gt;""))&gt;0,"Informational","Unclassified")))))</f>
        <v/>
      </c>
      <c r="O347">
        <f>IF(A347="","",IF(K347&lt;&gt;"",PROPER(K347),N347))</f>
        <v/>
      </c>
      <c r="P347">
        <f>IF(A347="","",ROUND(Settings!$B$5*MIN(1,LOG10(N(C347)+1)/LOG10(Settings!$B$7+1))+Settings!$B$6*(1-MIN(100,IF(D347="",50,N(D347)))/100)+IFERROR(INDEX(Settings!$B$10:$B$14,MATCH(O347,Settings!$A$10:$A$14,0)),0),0))</f>
        <v/>
      </c>
      <c r="Q347">
        <f>IF(OR(A347="",G347=""),"",COUNTIFS($M$3:$M$1002,M347,$G$3:$G$1002,"&lt;&gt;"&amp;SUBSTITUTE(SUBSTITUTE(G347,"?","~?"),"*","~*"),$G$3:$G$1002,"?*"))</f>
        <v/>
      </c>
      <c r="R347">
        <f>IF(Q347="","",IF(Q347&gt;0,"Yes","No"))</f>
        <v/>
      </c>
      <c r="S347">
        <f>IF(G347="","",COUNTIFS($G$3:$G$1002,SUBSTITUTE(SUBSTITUTE(G347,"?","~?"),"*","~*"),$J$3:$J$1002,"Primary"))</f>
        <v/>
      </c>
      <c r="T347">
        <f>IF(S347="","",IF(S347&gt;Settings!$B$4,"Yes","No"))</f>
        <v/>
      </c>
      <c r="U347">
        <f>IF(OR(G347="",B347=""),"",IF(COUNTIFS($G$3:$G$1002,SUBSTITUTE(SUBSTITUTE(G347,"?","~?"),"*","~*"),$B$3:$B$1002,"&lt;&gt;"&amp;SUBSTITUTE(SUBSTITUTE(B347,"?","~?"),"*","~*"),$B$3:$B$1002,"?*")&gt;0,"Yes","No"))</f>
        <v/>
      </c>
      <c r="V347">
        <f>IF(OR(G347="",I347="",O347="",O347="Unclassified"),"",IFERROR(INDEX(Settings!$E$5:$H$16,MATCH(I347,Settings!$D$5:$D$16,0),MATCH(O347,Settings!$E$4:$H$4,0)),"Check"))</f>
        <v/>
      </c>
      <c r="W347">
        <f>IF(V347="","",IF(V347="No","Yes","No"))</f>
        <v/>
      </c>
      <c r="X347">
        <f>IF(OR(E347="",G347=""),"",IF(LOWER(IF(RIGHT(TRIM(E347),1)="/",LEFT(TRIM(E347),LEN(TRIM(E347))-1),TRIM(E347)))&lt;&gt;LOWER(IF(RIGHT(TRIM(G347),1)="/",LEFT(TRIM(G347),LEN(TRIM(G347))-1),TRIM(G347))),"Yes","No"))</f>
        <v/>
      </c>
      <c r="Y347">
        <f>IF(A347="","",(N(Q347)&gt;0)+(T347="Yes")+(U347="Yes")+(W347="Yes")+(X347="Yes"))</f>
        <v/>
      </c>
      <c r="Z347">
        <f>IF(A347="","",IF(G347="","Not mapped",IF(Y347=0,"OK",MID(IF(N(Q347)&gt;0,"; Cannibalisation","")&amp;IF(T347="Yes","; Too many primary keywords on URL","")&amp;IF(U347="Yes","; URL spans 2+ clusters","")&amp;IF(W347="Yes","; Intent mismatch","")&amp;IF(X347="Yes","; Ranking URL is not the target",""),3,300))))</f>
        <v/>
      </c>
      <c r="AA347">
        <f>IF(G347="","",IF(COUNTIF($G$3:G347,SUBSTITUTE(SUBSTITUTE(G347,"?","~?"),"*","~*"))=1,MAX($AA$2:AA346)+1,""))</f>
        <v/>
      </c>
      <c r="AB347">
        <f>IF(B347="","",IF(COUNTIF($B$3:B347,SUBSTITUTE(SUBSTITUTE(B347,"?","~?"),"*","~*"))=1,MAX($AB$2:AB346)+1,""))</f>
        <v/>
      </c>
    </row>
    <row r="348">
      <c r="M348">
        <f>IF(A348="","",LOWER(TRIM(SUBSTITUTE(SUBSTITUTE(A348,"?",""),"*",""))))</f>
        <v/>
      </c>
      <c r="N348">
        <f>IF(M348="","",IF(SUMPRODUCT(ISNUMBER(SEARCH(" "&amp;Settings!$L$5:$L$124&amp;" "," "&amp;M348&amp;" "))*(Settings!$K$5:$K$124="Navigational")*(Settings!$L$5:$L$124&lt;&gt;""))&gt;0,"Navigational",IF(SUMPRODUCT(ISNUMBER(SEARCH(" "&amp;Settings!$L$5:$L$124&amp;" "," "&amp;M348&amp;" "))*(Settings!$K$5:$K$124="Transactional")*(Settings!$L$5:$L$124&lt;&gt;""))&gt;0,"Transactional",IF(SUMPRODUCT(ISNUMBER(SEARCH(" "&amp;Settings!$L$5:$L$124&amp;" "," "&amp;M348&amp;" "))*(Settings!$K$5:$K$124="Commercial")*(Settings!$L$5:$L$124&lt;&gt;""))&gt;0,"Commercial",IF(SUMPRODUCT(ISNUMBER(SEARCH(" "&amp;Settings!$L$5:$L$124&amp;" "," "&amp;M348&amp;" "))*(Settings!$K$5:$K$124="Informational")*(Settings!$L$5:$L$124&lt;&gt;""))&gt;0,"Informational","Unclassified")))))</f>
        <v/>
      </c>
      <c r="O348">
        <f>IF(A348="","",IF(K348&lt;&gt;"",PROPER(K348),N348))</f>
        <v/>
      </c>
      <c r="P348">
        <f>IF(A348="","",ROUND(Settings!$B$5*MIN(1,LOG10(N(C348)+1)/LOG10(Settings!$B$7+1))+Settings!$B$6*(1-MIN(100,IF(D348="",50,N(D348)))/100)+IFERROR(INDEX(Settings!$B$10:$B$14,MATCH(O348,Settings!$A$10:$A$14,0)),0),0))</f>
        <v/>
      </c>
      <c r="Q348">
        <f>IF(OR(A348="",G348=""),"",COUNTIFS($M$3:$M$1002,M348,$G$3:$G$1002,"&lt;&gt;"&amp;SUBSTITUTE(SUBSTITUTE(G348,"?","~?"),"*","~*"),$G$3:$G$1002,"?*"))</f>
        <v/>
      </c>
      <c r="R348">
        <f>IF(Q348="","",IF(Q348&gt;0,"Yes","No"))</f>
        <v/>
      </c>
      <c r="S348">
        <f>IF(G348="","",COUNTIFS($G$3:$G$1002,SUBSTITUTE(SUBSTITUTE(G348,"?","~?"),"*","~*"),$J$3:$J$1002,"Primary"))</f>
        <v/>
      </c>
      <c r="T348">
        <f>IF(S348="","",IF(S348&gt;Settings!$B$4,"Yes","No"))</f>
        <v/>
      </c>
      <c r="U348">
        <f>IF(OR(G348="",B348=""),"",IF(COUNTIFS($G$3:$G$1002,SUBSTITUTE(SUBSTITUTE(G348,"?","~?"),"*","~*"),$B$3:$B$1002,"&lt;&gt;"&amp;SUBSTITUTE(SUBSTITUTE(B348,"?","~?"),"*","~*"),$B$3:$B$1002,"?*")&gt;0,"Yes","No"))</f>
        <v/>
      </c>
      <c r="V348">
        <f>IF(OR(G348="",I348="",O348="",O348="Unclassified"),"",IFERROR(INDEX(Settings!$E$5:$H$16,MATCH(I348,Settings!$D$5:$D$16,0),MATCH(O348,Settings!$E$4:$H$4,0)),"Check"))</f>
        <v/>
      </c>
      <c r="W348">
        <f>IF(V348="","",IF(V348="No","Yes","No"))</f>
        <v/>
      </c>
      <c r="X348">
        <f>IF(OR(E348="",G348=""),"",IF(LOWER(IF(RIGHT(TRIM(E348),1)="/",LEFT(TRIM(E348),LEN(TRIM(E348))-1),TRIM(E348)))&lt;&gt;LOWER(IF(RIGHT(TRIM(G348),1)="/",LEFT(TRIM(G348),LEN(TRIM(G348))-1),TRIM(G348))),"Yes","No"))</f>
        <v/>
      </c>
      <c r="Y348">
        <f>IF(A348="","",(N(Q348)&gt;0)+(T348="Yes")+(U348="Yes")+(W348="Yes")+(X348="Yes"))</f>
        <v/>
      </c>
      <c r="Z348">
        <f>IF(A348="","",IF(G348="","Not mapped",IF(Y348=0,"OK",MID(IF(N(Q348)&gt;0,"; Cannibalisation","")&amp;IF(T348="Yes","; Too many primary keywords on URL","")&amp;IF(U348="Yes","; URL spans 2+ clusters","")&amp;IF(W348="Yes","; Intent mismatch","")&amp;IF(X348="Yes","; Ranking URL is not the target",""),3,300))))</f>
        <v/>
      </c>
      <c r="AA348">
        <f>IF(G348="","",IF(COUNTIF($G$3:G348,SUBSTITUTE(SUBSTITUTE(G348,"?","~?"),"*","~*"))=1,MAX($AA$2:AA347)+1,""))</f>
        <v/>
      </c>
      <c r="AB348">
        <f>IF(B348="","",IF(COUNTIF($B$3:B348,SUBSTITUTE(SUBSTITUTE(B348,"?","~?"),"*","~*"))=1,MAX($AB$2:AB347)+1,""))</f>
        <v/>
      </c>
    </row>
    <row r="349">
      <c r="M349">
        <f>IF(A349="","",LOWER(TRIM(SUBSTITUTE(SUBSTITUTE(A349,"?",""),"*",""))))</f>
        <v/>
      </c>
      <c r="N349">
        <f>IF(M349="","",IF(SUMPRODUCT(ISNUMBER(SEARCH(" "&amp;Settings!$L$5:$L$124&amp;" "," "&amp;M349&amp;" "))*(Settings!$K$5:$K$124="Navigational")*(Settings!$L$5:$L$124&lt;&gt;""))&gt;0,"Navigational",IF(SUMPRODUCT(ISNUMBER(SEARCH(" "&amp;Settings!$L$5:$L$124&amp;" "," "&amp;M349&amp;" "))*(Settings!$K$5:$K$124="Transactional")*(Settings!$L$5:$L$124&lt;&gt;""))&gt;0,"Transactional",IF(SUMPRODUCT(ISNUMBER(SEARCH(" "&amp;Settings!$L$5:$L$124&amp;" "," "&amp;M349&amp;" "))*(Settings!$K$5:$K$124="Commercial")*(Settings!$L$5:$L$124&lt;&gt;""))&gt;0,"Commercial",IF(SUMPRODUCT(ISNUMBER(SEARCH(" "&amp;Settings!$L$5:$L$124&amp;" "," "&amp;M349&amp;" "))*(Settings!$K$5:$K$124="Informational")*(Settings!$L$5:$L$124&lt;&gt;""))&gt;0,"Informational","Unclassified")))))</f>
        <v/>
      </c>
      <c r="O349">
        <f>IF(A349="","",IF(K349&lt;&gt;"",PROPER(K349),N349))</f>
        <v/>
      </c>
      <c r="P349">
        <f>IF(A349="","",ROUND(Settings!$B$5*MIN(1,LOG10(N(C349)+1)/LOG10(Settings!$B$7+1))+Settings!$B$6*(1-MIN(100,IF(D349="",50,N(D349)))/100)+IFERROR(INDEX(Settings!$B$10:$B$14,MATCH(O349,Settings!$A$10:$A$14,0)),0),0))</f>
        <v/>
      </c>
      <c r="Q349">
        <f>IF(OR(A349="",G349=""),"",COUNTIFS($M$3:$M$1002,M349,$G$3:$G$1002,"&lt;&gt;"&amp;SUBSTITUTE(SUBSTITUTE(G349,"?","~?"),"*","~*"),$G$3:$G$1002,"?*"))</f>
        <v/>
      </c>
      <c r="R349">
        <f>IF(Q349="","",IF(Q349&gt;0,"Yes","No"))</f>
        <v/>
      </c>
      <c r="S349">
        <f>IF(G349="","",COUNTIFS($G$3:$G$1002,SUBSTITUTE(SUBSTITUTE(G349,"?","~?"),"*","~*"),$J$3:$J$1002,"Primary"))</f>
        <v/>
      </c>
      <c r="T349">
        <f>IF(S349="","",IF(S349&gt;Settings!$B$4,"Yes","No"))</f>
        <v/>
      </c>
      <c r="U349">
        <f>IF(OR(G349="",B349=""),"",IF(COUNTIFS($G$3:$G$1002,SUBSTITUTE(SUBSTITUTE(G349,"?","~?"),"*","~*"),$B$3:$B$1002,"&lt;&gt;"&amp;SUBSTITUTE(SUBSTITUTE(B349,"?","~?"),"*","~*"),$B$3:$B$1002,"?*")&gt;0,"Yes","No"))</f>
        <v/>
      </c>
      <c r="V349">
        <f>IF(OR(G349="",I349="",O349="",O349="Unclassified"),"",IFERROR(INDEX(Settings!$E$5:$H$16,MATCH(I349,Settings!$D$5:$D$16,0),MATCH(O349,Settings!$E$4:$H$4,0)),"Check"))</f>
        <v/>
      </c>
      <c r="W349">
        <f>IF(V349="","",IF(V349="No","Yes","No"))</f>
        <v/>
      </c>
      <c r="X349">
        <f>IF(OR(E349="",G349=""),"",IF(LOWER(IF(RIGHT(TRIM(E349),1)="/",LEFT(TRIM(E349),LEN(TRIM(E349))-1),TRIM(E349)))&lt;&gt;LOWER(IF(RIGHT(TRIM(G349),1)="/",LEFT(TRIM(G349),LEN(TRIM(G349))-1),TRIM(G349))),"Yes","No"))</f>
        <v/>
      </c>
      <c r="Y349">
        <f>IF(A349="","",(N(Q349)&gt;0)+(T349="Yes")+(U349="Yes")+(W349="Yes")+(X349="Yes"))</f>
        <v/>
      </c>
      <c r="Z349">
        <f>IF(A349="","",IF(G349="","Not mapped",IF(Y349=0,"OK",MID(IF(N(Q349)&gt;0,"; Cannibalisation","")&amp;IF(T349="Yes","; Too many primary keywords on URL","")&amp;IF(U349="Yes","; URL spans 2+ clusters","")&amp;IF(W349="Yes","; Intent mismatch","")&amp;IF(X349="Yes","; Ranking URL is not the target",""),3,300))))</f>
        <v/>
      </c>
      <c r="AA349">
        <f>IF(G349="","",IF(COUNTIF($G$3:G349,SUBSTITUTE(SUBSTITUTE(G349,"?","~?"),"*","~*"))=1,MAX($AA$2:AA348)+1,""))</f>
        <v/>
      </c>
      <c r="AB349">
        <f>IF(B349="","",IF(COUNTIF($B$3:B349,SUBSTITUTE(SUBSTITUTE(B349,"?","~?"),"*","~*"))=1,MAX($AB$2:AB348)+1,""))</f>
        <v/>
      </c>
    </row>
    <row r="350">
      <c r="M350">
        <f>IF(A350="","",LOWER(TRIM(SUBSTITUTE(SUBSTITUTE(A350,"?",""),"*",""))))</f>
        <v/>
      </c>
      <c r="N350">
        <f>IF(M350="","",IF(SUMPRODUCT(ISNUMBER(SEARCH(" "&amp;Settings!$L$5:$L$124&amp;" "," "&amp;M350&amp;" "))*(Settings!$K$5:$K$124="Navigational")*(Settings!$L$5:$L$124&lt;&gt;""))&gt;0,"Navigational",IF(SUMPRODUCT(ISNUMBER(SEARCH(" "&amp;Settings!$L$5:$L$124&amp;" "," "&amp;M350&amp;" "))*(Settings!$K$5:$K$124="Transactional")*(Settings!$L$5:$L$124&lt;&gt;""))&gt;0,"Transactional",IF(SUMPRODUCT(ISNUMBER(SEARCH(" "&amp;Settings!$L$5:$L$124&amp;" "," "&amp;M350&amp;" "))*(Settings!$K$5:$K$124="Commercial")*(Settings!$L$5:$L$124&lt;&gt;""))&gt;0,"Commercial",IF(SUMPRODUCT(ISNUMBER(SEARCH(" "&amp;Settings!$L$5:$L$124&amp;" "," "&amp;M350&amp;" "))*(Settings!$K$5:$K$124="Informational")*(Settings!$L$5:$L$124&lt;&gt;""))&gt;0,"Informational","Unclassified")))))</f>
        <v/>
      </c>
      <c r="O350">
        <f>IF(A350="","",IF(K350&lt;&gt;"",PROPER(K350),N350))</f>
        <v/>
      </c>
      <c r="P350">
        <f>IF(A350="","",ROUND(Settings!$B$5*MIN(1,LOG10(N(C350)+1)/LOG10(Settings!$B$7+1))+Settings!$B$6*(1-MIN(100,IF(D350="",50,N(D350)))/100)+IFERROR(INDEX(Settings!$B$10:$B$14,MATCH(O350,Settings!$A$10:$A$14,0)),0),0))</f>
        <v/>
      </c>
      <c r="Q350">
        <f>IF(OR(A350="",G350=""),"",COUNTIFS($M$3:$M$1002,M350,$G$3:$G$1002,"&lt;&gt;"&amp;SUBSTITUTE(SUBSTITUTE(G350,"?","~?"),"*","~*"),$G$3:$G$1002,"?*"))</f>
        <v/>
      </c>
      <c r="R350">
        <f>IF(Q350="","",IF(Q350&gt;0,"Yes","No"))</f>
        <v/>
      </c>
      <c r="S350">
        <f>IF(G350="","",COUNTIFS($G$3:$G$1002,SUBSTITUTE(SUBSTITUTE(G350,"?","~?"),"*","~*"),$J$3:$J$1002,"Primary"))</f>
        <v/>
      </c>
      <c r="T350">
        <f>IF(S350="","",IF(S350&gt;Settings!$B$4,"Yes","No"))</f>
        <v/>
      </c>
      <c r="U350">
        <f>IF(OR(G350="",B350=""),"",IF(COUNTIFS($G$3:$G$1002,SUBSTITUTE(SUBSTITUTE(G350,"?","~?"),"*","~*"),$B$3:$B$1002,"&lt;&gt;"&amp;SUBSTITUTE(SUBSTITUTE(B350,"?","~?"),"*","~*"),$B$3:$B$1002,"?*")&gt;0,"Yes","No"))</f>
        <v/>
      </c>
      <c r="V350">
        <f>IF(OR(G350="",I350="",O350="",O350="Unclassified"),"",IFERROR(INDEX(Settings!$E$5:$H$16,MATCH(I350,Settings!$D$5:$D$16,0),MATCH(O350,Settings!$E$4:$H$4,0)),"Check"))</f>
        <v/>
      </c>
      <c r="W350">
        <f>IF(V350="","",IF(V350="No","Yes","No"))</f>
        <v/>
      </c>
      <c r="X350">
        <f>IF(OR(E350="",G350=""),"",IF(LOWER(IF(RIGHT(TRIM(E350),1)="/",LEFT(TRIM(E350),LEN(TRIM(E350))-1),TRIM(E350)))&lt;&gt;LOWER(IF(RIGHT(TRIM(G350),1)="/",LEFT(TRIM(G350),LEN(TRIM(G350))-1),TRIM(G350))),"Yes","No"))</f>
        <v/>
      </c>
      <c r="Y350">
        <f>IF(A350="","",(N(Q350)&gt;0)+(T350="Yes")+(U350="Yes")+(W350="Yes")+(X350="Yes"))</f>
        <v/>
      </c>
      <c r="Z350">
        <f>IF(A350="","",IF(G350="","Not mapped",IF(Y350=0,"OK",MID(IF(N(Q350)&gt;0,"; Cannibalisation","")&amp;IF(T350="Yes","; Too many primary keywords on URL","")&amp;IF(U350="Yes","; URL spans 2+ clusters","")&amp;IF(W350="Yes","; Intent mismatch","")&amp;IF(X350="Yes","; Ranking URL is not the target",""),3,300))))</f>
        <v/>
      </c>
      <c r="AA350">
        <f>IF(G350="","",IF(COUNTIF($G$3:G350,SUBSTITUTE(SUBSTITUTE(G350,"?","~?"),"*","~*"))=1,MAX($AA$2:AA349)+1,""))</f>
        <v/>
      </c>
      <c r="AB350">
        <f>IF(B350="","",IF(COUNTIF($B$3:B350,SUBSTITUTE(SUBSTITUTE(B350,"?","~?"),"*","~*"))=1,MAX($AB$2:AB349)+1,""))</f>
        <v/>
      </c>
    </row>
    <row r="351">
      <c r="M351">
        <f>IF(A351="","",LOWER(TRIM(SUBSTITUTE(SUBSTITUTE(A351,"?",""),"*",""))))</f>
        <v/>
      </c>
      <c r="N351">
        <f>IF(M351="","",IF(SUMPRODUCT(ISNUMBER(SEARCH(" "&amp;Settings!$L$5:$L$124&amp;" "," "&amp;M351&amp;" "))*(Settings!$K$5:$K$124="Navigational")*(Settings!$L$5:$L$124&lt;&gt;""))&gt;0,"Navigational",IF(SUMPRODUCT(ISNUMBER(SEARCH(" "&amp;Settings!$L$5:$L$124&amp;" "," "&amp;M351&amp;" "))*(Settings!$K$5:$K$124="Transactional")*(Settings!$L$5:$L$124&lt;&gt;""))&gt;0,"Transactional",IF(SUMPRODUCT(ISNUMBER(SEARCH(" "&amp;Settings!$L$5:$L$124&amp;" "," "&amp;M351&amp;" "))*(Settings!$K$5:$K$124="Commercial")*(Settings!$L$5:$L$124&lt;&gt;""))&gt;0,"Commercial",IF(SUMPRODUCT(ISNUMBER(SEARCH(" "&amp;Settings!$L$5:$L$124&amp;" "," "&amp;M351&amp;" "))*(Settings!$K$5:$K$124="Informational")*(Settings!$L$5:$L$124&lt;&gt;""))&gt;0,"Informational","Unclassified")))))</f>
        <v/>
      </c>
      <c r="O351">
        <f>IF(A351="","",IF(K351&lt;&gt;"",PROPER(K351),N351))</f>
        <v/>
      </c>
      <c r="P351">
        <f>IF(A351="","",ROUND(Settings!$B$5*MIN(1,LOG10(N(C351)+1)/LOG10(Settings!$B$7+1))+Settings!$B$6*(1-MIN(100,IF(D351="",50,N(D351)))/100)+IFERROR(INDEX(Settings!$B$10:$B$14,MATCH(O351,Settings!$A$10:$A$14,0)),0),0))</f>
        <v/>
      </c>
      <c r="Q351">
        <f>IF(OR(A351="",G351=""),"",COUNTIFS($M$3:$M$1002,M351,$G$3:$G$1002,"&lt;&gt;"&amp;SUBSTITUTE(SUBSTITUTE(G351,"?","~?"),"*","~*"),$G$3:$G$1002,"?*"))</f>
        <v/>
      </c>
      <c r="R351">
        <f>IF(Q351="","",IF(Q351&gt;0,"Yes","No"))</f>
        <v/>
      </c>
      <c r="S351">
        <f>IF(G351="","",COUNTIFS($G$3:$G$1002,SUBSTITUTE(SUBSTITUTE(G351,"?","~?"),"*","~*"),$J$3:$J$1002,"Primary"))</f>
        <v/>
      </c>
      <c r="T351">
        <f>IF(S351="","",IF(S351&gt;Settings!$B$4,"Yes","No"))</f>
        <v/>
      </c>
      <c r="U351">
        <f>IF(OR(G351="",B351=""),"",IF(COUNTIFS($G$3:$G$1002,SUBSTITUTE(SUBSTITUTE(G351,"?","~?"),"*","~*"),$B$3:$B$1002,"&lt;&gt;"&amp;SUBSTITUTE(SUBSTITUTE(B351,"?","~?"),"*","~*"),$B$3:$B$1002,"?*")&gt;0,"Yes","No"))</f>
        <v/>
      </c>
      <c r="V351">
        <f>IF(OR(G351="",I351="",O351="",O351="Unclassified"),"",IFERROR(INDEX(Settings!$E$5:$H$16,MATCH(I351,Settings!$D$5:$D$16,0),MATCH(O351,Settings!$E$4:$H$4,0)),"Check"))</f>
        <v/>
      </c>
      <c r="W351">
        <f>IF(V351="","",IF(V351="No","Yes","No"))</f>
        <v/>
      </c>
      <c r="X351">
        <f>IF(OR(E351="",G351=""),"",IF(LOWER(IF(RIGHT(TRIM(E351),1)="/",LEFT(TRIM(E351),LEN(TRIM(E351))-1),TRIM(E351)))&lt;&gt;LOWER(IF(RIGHT(TRIM(G351),1)="/",LEFT(TRIM(G351),LEN(TRIM(G351))-1),TRIM(G351))),"Yes","No"))</f>
        <v/>
      </c>
      <c r="Y351">
        <f>IF(A351="","",(N(Q351)&gt;0)+(T351="Yes")+(U351="Yes")+(W351="Yes")+(X351="Yes"))</f>
        <v/>
      </c>
      <c r="Z351">
        <f>IF(A351="","",IF(G351="","Not mapped",IF(Y351=0,"OK",MID(IF(N(Q351)&gt;0,"; Cannibalisation","")&amp;IF(T351="Yes","; Too many primary keywords on URL","")&amp;IF(U351="Yes","; URL spans 2+ clusters","")&amp;IF(W351="Yes","; Intent mismatch","")&amp;IF(X351="Yes","; Ranking URL is not the target",""),3,300))))</f>
        <v/>
      </c>
      <c r="AA351">
        <f>IF(G351="","",IF(COUNTIF($G$3:G351,SUBSTITUTE(SUBSTITUTE(G351,"?","~?"),"*","~*"))=1,MAX($AA$2:AA350)+1,""))</f>
        <v/>
      </c>
      <c r="AB351">
        <f>IF(B351="","",IF(COUNTIF($B$3:B351,SUBSTITUTE(SUBSTITUTE(B351,"?","~?"),"*","~*"))=1,MAX($AB$2:AB350)+1,""))</f>
        <v/>
      </c>
    </row>
    <row r="352">
      <c r="M352">
        <f>IF(A352="","",LOWER(TRIM(SUBSTITUTE(SUBSTITUTE(A352,"?",""),"*",""))))</f>
        <v/>
      </c>
      <c r="N352">
        <f>IF(M352="","",IF(SUMPRODUCT(ISNUMBER(SEARCH(" "&amp;Settings!$L$5:$L$124&amp;" "," "&amp;M352&amp;" "))*(Settings!$K$5:$K$124="Navigational")*(Settings!$L$5:$L$124&lt;&gt;""))&gt;0,"Navigational",IF(SUMPRODUCT(ISNUMBER(SEARCH(" "&amp;Settings!$L$5:$L$124&amp;" "," "&amp;M352&amp;" "))*(Settings!$K$5:$K$124="Transactional")*(Settings!$L$5:$L$124&lt;&gt;""))&gt;0,"Transactional",IF(SUMPRODUCT(ISNUMBER(SEARCH(" "&amp;Settings!$L$5:$L$124&amp;" "," "&amp;M352&amp;" "))*(Settings!$K$5:$K$124="Commercial")*(Settings!$L$5:$L$124&lt;&gt;""))&gt;0,"Commercial",IF(SUMPRODUCT(ISNUMBER(SEARCH(" "&amp;Settings!$L$5:$L$124&amp;" "," "&amp;M352&amp;" "))*(Settings!$K$5:$K$124="Informational")*(Settings!$L$5:$L$124&lt;&gt;""))&gt;0,"Informational","Unclassified")))))</f>
        <v/>
      </c>
      <c r="O352">
        <f>IF(A352="","",IF(K352&lt;&gt;"",PROPER(K352),N352))</f>
        <v/>
      </c>
      <c r="P352">
        <f>IF(A352="","",ROUND(Settings!$B$5*MIN(1,LOG10(N(C352)+1)/LOG10(Settings!$B$7+1))+Settings!$B$6*(1-MIN(100,IF(D352="",50,N(D352)))/100)+IFERROR(INDEX(Settings!$B$10:$B$14,MATCH(O352,Settings!$A$10:$A$14,0)),0),0))</f>
        <v/>
      </c>
      <c r="Q352">
        <f>IF(OR(A352="",G352=""),"",COUNTIFS($M$3:$M$1002,M352,$G$3:$G$1002,"&lt;&gt;"&amp;SUBSTITUTE(SUBSTITUTE(G352,"?","~?"),"*","~*"),$G$3:$G$1002,"?*"))</f>
        <v/>
      </c>
      <c r="R352">
        <f>IF(Q352="","",IF(Q352&gt;0,"Yes","No"))</f>
        <v/>
      </c>
      <c r="S352">
        <f>IF(G352="","",COUNTIFS($G$3:$G$1002,SUBSTITUTE(SUBSTITUTE(G352,"?","~?"),"*","~*"),$J$3:$J$1002,"Primary"))</f>
        <v/>
      </c>
      <c r="T352">
        <f>IF(S352="","",IF(S352&gt;Settings!$B$4,"Yes","No"))</f>
        <v/>
      </c>
      <c r="U352">
        <f>IF(OR(G352="",B352=""),"",IF(COUNTIFS($G$3:$G$1002,SUBSTITUTE(SUBSTITUTE(G352,"?","~?"),"*","~*"),$B$3:$B$1002,"&lt;&gt;"&amp;SUBSTITUTE(SUBSTITUTE(B352,"?","~?"),"*","~*"),$B$3:$B$1002,"?*")&gt;0,"Yes","No"))</f>
        <v/>
      </c>
      <c r="V352">
        <f>IF(OR(G352="",I352="",O352="",O352="Unclassified"),"",IFERROR(INDEX(Settings!$E$5:$H$16,MATCH(I352,Settings!$D$5:$D$16,0),MATCH(O352,Settings!$E$4:$H$4,0)),"Check"))</f>
        <v/>
      </c>
      <c r="W352">
        <f>IF(V352="","",IF(V352="No","Yes","No"))</f>
        <v/>
      </c>
      <c r="X352">
        <f>IF(OR(E352="",G352=""),"",IF(LOWER(IF(RIGHT(TRIM(E352),1)="/",LEFT(TRIM(E352),LEN(TRIM(E352))-1),TRIM(E352)))&lt;&gt;LOWER(IF(RIGHT(TRIM(G352),1)="/",LEFT(TRIM(G352),LEN(TRIM(G352))-1),TRIM(G352))),"Yes","No"))</f>
        <v/>
      </c>
      <c r="Y352">
        <f>IF(A352="","",(N(Q352)&gt;0)+(T352="Yes")+(U352="Yes")+(W352="Yes")+(X352="Yes"))</f>
        <v/>
      </c>
      <c r="Z352">
        <f>IF(A352="","",IF(G352="","Not mapped",IF(Y352=0,"OK",MID(IF(N(Q352)&gt;0,"; Cannibalisation","")&amp;IF(T352="Yes","; Too many primary keywords on URL","")&amp;IF(U352="Yes","; URL spans 2+ clusters","")&amp;IF(W352="Yes","; Intent mismatch","")&amp;IF(X352="Yes","; Ranking URL is not the target",""),3,300))))</f>
        <v/>
      </c>
      <c r="AA352">
        <f>IF(G352="","",IF(COUNTIF($G$3:G352,SUBSTITUTE(SUBSTITUTE(G352,"?","~?"),"*","~*"))=1,MAX($AA$2:AA351)+1,""))</f>
        <v/>
      </c>
      <c r="AB352">
        <f>IF(B352="","",IF(COUNTIF($B$3:B352,SUBSTITUTE(SUBSTITUTE(B352,"?","~?"),"*","~*"))=1,MAX($AB$2:AB351)+1,""))</f>
        <v/>
      </c>
    </row>
    <row r="353">
      <c r="M353">
        <f>IF(A353="","",LOWER(TRIM(SUBSTITUTE(SUBSTITUTE(A353,"?",""),"*",""))))</f>
        <v/>
      </c>
      <c r="N353">
        <f>IF(M353="","",IF(SUMPRODUCT(ISNUMBER(SEARCH(" "&amp;Settings!$L$5:$L$124&amp;" "," "&amp;M353&amp;" "))*(Settings!$K$5:$K$124="Navigational")*(Settings!$L$5:$L$124&lt;&gt;""))&gt;0,"Navigational",IF(SUMPRODUCT(ISNUMBER(SEARCH(" "&amp;Settings!$L$5:$L$124&amp;" "," "&amp;M353&amp;" "))*(Settings!$K$5:$K$124="Transactional")*(Settings!$L$5:$L$124&lt;&gt;""))&gt;0,"Transactional",IF(SUMPRODUCT(ISNUMBER(SEARCH(" "&amp;Settings!$L$5:$L$124&amp;" "," "&amp;M353&amp;" "))*(Settings!$K$5:$K$124="Commercial")*(Settings!$L$5:$L$124&lt;&gt;""))&gt;0,"Commercial",IF(SUMPRODUCT(ISNUMBER(SEARCH(" "&amp;Settings!$L$5:$L$124&amp;" "," "&amp;M353&amp;" "))*(Settings!$K$5:$K$124="Informational")*(Settings!$L$5:$L$124&lt;&gt;""))&gt;0,"Informational","Unclassified")))))</f>
        <v/>
      </c>
      <c r="O353">
        <f>IF(A353="","",IF(K353&lt;&gt;"",PROPER(K353),N353))</f>
        <v/>
      </c>
      <c r="P353">
        <f>IF(A353="","",ROUND(Settings!$B$5*MIN(1,LOG10(N(C353)+1)/LOG10(Settings!$B$7+1))+Settings!$B$6*(1-MIN(100,IF(D353="",50,N(D353)))/100)+IFERROR(INDEX(Settings!$B$10:$B$14,MATCH(O353,Settings!$A$10:$A$14,0)),0),0))</f>
        <v/>
      </c>
      <c r="Q353">
        <f>IF(OR(A353="",G353=""),"",COUNTIFS($M$3:$M$1002,M353,$G$3:$G$1002,"&lt;&gt;"&amp;SUBSTITUTE(SUBSTITUTE(G353,"?","~?"),"*","~*"),$G$3:$G$1002,"?*"))</f>
        <v/>
      </c>
      <c r="R353">
        <f>IF(Q353="","",IF(Q353&gt;0,"Yes","No"))</f>
        <v/>
      </c>
      <c r="S353">
        <f>IF(G353="","",COUNTIFS($G$3:$G$1002,SUBSTITUTE(SUBSTITUTE(G353,"?","~?"),"*","~*"),$J$3:$J$1002,"Primary"))</f>
        <v/>
      </c>
      <c r="T353">
        <f>IF(S353="","",IF(S353&gt;Settings!$B$4,"Yes","No"))</f>
        <v/>
      </c>
      <c r="U353">
        <f>IF(OR(G353="",B353=""),"",IF(COUNTIFS($G$3:$G$1002,SUBSTITUTE(SUBSTITUTE(G353,"?","~?"),"*","~*"),$B$3:$B$1002,"&lt;&gt;"&amp;SUBSTITUTE(SUBSTITUTE(B353,"?","~?"),"*","~*"),$B$3:$B$1002,"?*")&gt;0,"Yes","No"))</f>
        <v/>
      </c>
      <c r="V353">
        <f>IF(OR(G353="",I353="",O353="",O353="Unclassified"),"",IFERROR(INDEX(Settings!$E$5:$H$16,MATCH(I353,Settings!$D$5:$D$16,0),MATCH(O353,Settings!$E$4:$H$4,0)),"Check"))</f>
        <v/>
      </c>
      <c r="W353">
        <f>IF(V353="","",IF(V353="No","Yes","No"))</f>
        <v/>
      </c>
      <c r="X353">
        <f>IF(OR(E353="",G353=""),"",IF(LOWER(IF(RIGHT(TRIM(E353),1)="/",LEFT(TRIM(E353),LEN(TRIM(E353))-1),TRIM(E353)))&lt;&gt;LOWER(IF(RIGHT(TRIM(G353),1)="/",LEFT(TRIM(G353),LEN(TRIM(G353))-1),TRIM(G353))),"Yes","No"))</f>
        <v/>
      </c>
      <c r="Y353">
        <f>IF(A353="","",(N(Q353)&gt;0)+(T353="Yes")+(U353="Yes")+(W353="Yes")+(X353="Yes"))</f>
        <v/>
      </c>
      <c r="Z353">
        <f>IF(A353="","",IF(G353="","Not mapped",IF(Y353=0,"OK",MID(IF(N(Q353)&gt;0,"; Cannibalisation","")&amp;IF(T353="Yes","; Too many primary keywords on URL","")&amp;IF(U353="Yes","; URL spans 2+ clusters","")&amp;IF(W353="Yes","; Intent mismatch","")&amp;IF(X353="Yes","; Ranking URL is not the target",""),3,300))))</f>
        <v/>
      </c>
      <c r="AA353">
        <f>IF(G353="","",IF(COUNTIF($G$3:G353,SUBSTITUTE(SUBSTITUTE(G353,"?","~?"),"*","~*"))=1,MAX($AA$2:AA352)+1,""))</f>
        <v/>
      </c>
      <c r="AB353">
        <f>IF(B353="","",IF(COUNTIF($B$3:B353,SUBSTITUTE(SUBSTITUTE(B353,"?","~?"),"*","~*"))=1,MAX($AB$2:AB352)+1,""))</f>
        <v/>
      </c>
    </row>
    <row r="354">
      <c r="M354">
        <f>IF(A354="","",LOWER(TRIM(SUBSTITUTE(SUBSTITUTE(A354,"?",""),"*",""))))</f>
        <v/>
      </c>
      <c r="N354">
        <f>IF(M354="","",IF(SUMPRODUCT(ISNUMBER(SEARCH(" "&amp;Settings!$L$5:$L$124&amp;" "," "&amp;M354&amp;" "))*(Settings!$K$5:$K$124="Navigational")*(Settings!$L$5:$L$124&lt;&gt;""))&gt;0,"Navigational",IF(SUMPRODUCT(ISNUMBER(SEARCH(" "&amp;Settings!$L$5:$L$124&amp;" "," "&amp;M354&amp;" "))*(Settings!$K$5:$K$124="Transactional")*(Settings!$L$5:$L$124&lt;&gt;""))&gt;0,"Transactional",IF(SUMPRODUCT(ISNUMBER(SEARCH(" "&amp;Settings!$L$5:$L$124&amp;" "," "&amp;M354&amp;" "))*(Settings!$K$5:$K$124="Commercial")*(Settings!$L$5:$L$124&lt;&gt;""))&gt;0,"Commercial",IF(SUMPRODUCT(ISNUMBER(SEARCH(" "&amp;Settings!$L$5:$L$124&amp;" "," "&amp;M354&amp;" "))*(Settings!$K$5:$K$124="Informational")*(Settings!$L$5:$L$124&lt;&gt;""))&gt;0,"Informational","Unclassified")))))</f>
        <v/>
      </c>
      <c r="O354">
        <f>IF(A354="","",IF(K354&lt;&gt;"",PROPER(K354),N354))</f>
        <v/>
      </c>
      <c r="P354">
        <f>IF(A354="","",ROUND(Settings!$B$5*MIN(1,LOG10(N(C354)+1)/LOG10(Settings!$B$7+1))+Settings!$B$6*(1-MIN(100,IF(D354="",50,N(D354)))/100)+IFERROR(INDEX(Settings!$B$10:$B$14,MATCH(O354,Settings!$A$10:$A$14,0)),0),0))</f>
        <v/>
      </c>
      <c r="Q354">
        <f>IF(OR(A354="",G354=""),"",COUNTIFS($M$3:$M$1002,M354,$G$3:$G$1002,"&lt;&gt;"&amp;SUBSTITUTE(SUBSTITUTE(G354,"?","~?"),"*","~*"),$G$3:$G$1002,"?*"))</f>
        <v/>
      </c>
      <c r="R354">
        <f>IF(Q354="","",IF(Q354&gt;0,"Yes","No"))</f>
        <v/>
      </c>
      <c r="S354">
        <f>IF(G354="","",COUNTIFS($G$3:$G$1002,SUBSTITUTE(SUBSTITUTE(G354,"?","~?"),"*","~*"),$J$3:$J$1002,"Primary"))</f>
        <v/>
      </c>
      <c r="T354">
        <f>IF(S354="","",IF(S354&gt;Settings!$B$4,"Yes","No"))</f>
        <v/>
      </c>
      <c r="U354">
        <f>IF(OR(G354="",B354=""),"",IF(COUNTIFS($G$3:$G$1002,SUBSTITUTE(SUBSTITUTE(G354,"?","~?"),"*","~*"),$B$3:$B$1002,"&lt;&gt;"&amp;SUBSTITUTE(SUBSTITUTE(B354,"?","~?"),"*","~*"),$B$3:$B$1002,"?*")&gt;0,"Yes","No"))</f>
        <v/>
      </c>
      <c r="V354">
        <f>IF(OR(G354="",I354="",O354="",O354="Unclassified"),"",IFERROR(INDEX(Settings!$E$5:$H$16,MATCH(I354,Settings!$D$5:$D$16,0),MATCH(O354,Settings!$E$4:$H$4,0)),"Check"))</f>
        <v/>
      </c>
      <c r="W354">
        <f>IF(V354="","",IF(V354="No","Yes","No"))</f>
        <v/>
      </c>
      <c r="X354">
        <f>IF(OR(E354="",G354=""),"",IF(LOWER(IF(RIGHT(TRIM(E354),1)="/",LEFT(TRIM(E354),LEN(TRIM(E354))-1),TRIM(E354)))&lt;&gt;LOWER(IF(RIGHT(TRIM(G354),1)="/",LEFT(TRIM(G354),LEN(TRIM(G354))-1),TRIM(G354))),"Yes","No"))</f>
        <v/>
      </c>
      <c r="Y354">
        <f>IF(A354="","",(N(Q354)&gt;0)+(T354="Yes")+(U354="Yes")+(W354="Yes")+(X354="Yes"))</f>
        <v/>
      </c>
      <c r="Z354">
        <f>IF(A354="","",IF(G354="","Not mapped",IF(Y354=0,"OK",MID(IF(N(Q354)&gt;0,"; Cannibalisation","")&amp;IF(T354="Yes","; Too many primary keywords on URL","")&amp;IF(U354="Yes","; URL spans 2+ clusters","")&amp;IF(W354="Yes","; Intent mismatch","")&amp;IF(X354="Yes","; Ranking URL is not the target",""),3,300))))</f>
        <v/>
      </c>
      <c r="AA354">
        <f>IF(G354="","",IF(COUNTIF($G$3:G354,SUBSTITUTE(SUBSTITUTE(G354,"?","~?"),"*","~*"))=1,MAX($AA$2:AA353)+1,""))</f>
        <v/>
      </c>
      <c r="AB354">
        <f>IF(B354="","",IF(COUNTIF($B$3:B354,SUBSTITUTE(SUBSTITUTE(B354,"?","~?"),"*","~*"))=1,MAX($AB$2:AB353)+1,""))</f>
        <v/>
      </c>
    </row>
    <row r="355">
      <c r="M355">
        <f>IF(A355="","",LOWER(TRIM(SUBSTITUTE(SUBSTITUTE(A355,"?",""),"*",""))))</f>
        <v/>
      </c>
      <c r="N355">
        <f>IF(M355="","",IF(SUMPRODUCT(ISNUMBER(SEARCH(" "&amp;Settings!$L$5:$L$124&amp;" "," "&amp;M355&amp;" "))*(Settings!$K$5:$K$124="Navigational")*(Settings!$L$5:$L$124&lt;&gt;""))&gt;0,"Navigational",IF(SUMPRODUCT(ISNUMBER(SEARCH(" "&amp;Settings!$L$5:$L$124&amp;" "," "&amp;M355&amp;" "))*(Settings!$K$5:$K$124="Transactional")*(Settings!$L$5:$L$124&lt;&gt;""))&gt;0,"Transactional",IF(SUMPRODUCT(ISNUMBER(SEARCH(" "&amp;Settings!$L$5:$L$124&amp;" "," "&amp;M355&amp;" "))*(Settings!$K$5:$K$124="Commercial")*(Settings!$L$5:$L$124&lt;&gt;""))&gt;0,"Commercial",IF(SUMPRODUCT(ISNUMBER(SEARCH(" "&amp;Settings!$L$5:$L$124&amp;" "," "&amp;M355&amp;" "))*(Settings!$K$5:$K$124="Informational")*(Settings!$L$5:$L$124&lt;&gt;""))&gt;0,"Informational","Unclassified")))))</f>
        <v/>
      </c>
      <c r="O355">
        <f>IF(A355="","",IF(K355&lt;&gt;"",PROPER(K355),N355))</f>
        <v/>
      </c>
      <c r="P355">
        <f>IF(A355="","",ROUND(Settings!$B$5*MIN(1,LOG10(N(C355)+1)/LOG10(Settings!$B$7+1))+Settings!$B$6*(1-MIN(100,IF(D355="",50,N(D355)))/100)+IFERROR(INDEX(Settings!$B$10:$B$14,MATCH(O355,Settings!$A$10:$A$14,0)),0),0))</f>
        <v/>
      </c>
      <c r="Q355">
        <f>IF(OR(A355="",G355=""),"",COUNTIFS($M$3:$M$1002,M355,$G$3:$G$1002,"&lt;&gt;"&amp;SUBSTITUTE(SUBSTITUTE(G355,"?","~?"),"*","~*"),$G$3:$G$1002,"?*"))</f>
        <v/>
      </c>
      <c r="R355">
        <f>IF(Q355="","",IF(Q355&gt;0,"Yes","No"))</f>
        <v/>
      </c>
      <c r="S355">
        <f>IF(G355="","",COUNTIFS($G$3:$G$1002,SUBSTITUTE(SUBSTITUTE(G355,"?","~?"),"*","~*"),$J$3:$J$1002,"Primary"))</f>
        <v/>
      </c>
      <c r="T355">
        <f>IF(S355="","",IF(S355&gt;Settings!$B$4,"Yes","No"))</f>
        <v/>
      </c>
      <c r="U355">
        <f>IF(OR(G355="",B355=""),"",IF(COUNTIFS($G$3:$G$1002,SUBSTITUTE(SUBSTITUTE(G355,"?","~?"),"*","~*"),$B$3:$B$1002,"&lt;&gt;"&amp;SUBSTITUTE(SUBSTITUTE(B355,"?","~?"),"*","~*"),$B$3:$B$1002,"?*")&gt;0,"Yes","No"))</f>
        <v/>
      </c>
      <c r="V355">
        <f>IF(OR(G355="",I355="",O355="",O355="Unclassified"),"",IFERROR(INDEX(Settings!$E$5:$H$16,MATCH(I355,Settings!$D$5:$D$16,0),MATCH(O355,Settings!$E$4:$H$4,0)),"Check"))</f>
        <v/>
      </c>
      <c r="W355">
        <f>IF(V355="","",IF(V355="No","Yes","No"))</f>
        <v/>
      </c>
      <c r="X355">
        <f>IF(OR(E355="",G355=""),"",IF(LOWER(IF(RIGHT(TRIM(E355),1)="/",LEFT(TRIM(E355),LEN(TRIM(E355))-1),TRIM(E355)))&lt;&gt;LOWER(IF(RIGHT(TRIM(G355),1)="/",LEFT(TRIM(G355),LEN(TRIM(G355))-1),TRIM(G355))),"Yes","No"))</f>
        <v/>
      </c>
      <c r="Y355">
        <f>IF(A355="","",(N(Q355)&gt;0)+(T355="Yes")+(U355="Yes")+(W355="Yes")+(X355="Yes"))</f>
        <v/>
      </c>
      <c r="Z355">
        <f>IF(A355="","",IF(G355="","Not mapped",IF(Y355=0,"OK",MID(IF(N(Q355)&gt;0,"; Cannibalisation","")&amp;IF(T355="Yes","; Too many primary keywords on URL","")&amp;IF(U355="Yes","; URL spans 2+ clusters","")&amp;IF(W355="Yes","; Intent mismatch","")&amp;IF(X355="Yes","; Ranking URL is not the target",""),3,300))))</f>
        <v/>
      </c>
      <c r="AA355">
        <f>IF(G355="","",IF(COUNTIF($G$3:G355,SUBSTITUTE(SUBSTITUTE(G355,"?","~?"),"*","~*"))=1,MAX($AA$2:AA354)+1,""))</f>
        <v/>
      </c>
      <c r="AB355">
        <f>IF(B355="","",IF(COUNTIF($B$3:B355,SUBSTITUTE(SUBSTITUTE(B355,"?","~?"),"*","~*"))=1,MAX($AB$2:AB354)+1,""))</f>
        <v/>
      </c>
    </row>
    <row r="356">
      <c r="M356">
        <f>IF(A356="","",LOWER(TRIM(SUBSTITUTE(SUBSTITUTE(A356,"?",""),"*",""))))</f>
        <v/>
      </c>
      <c r="N356">
        <f>IF(M356="","",IF(SUMPRODUCT(ISNUMBER(SEARCH(" "&amp;Settings!$L$5:$L$124&amp;" "," "&amp;M356&amp;" "))*(Settings!$K$5:$K$124="Navigational")*(Settings!$L$5:$L$124&lt;&gt;""))&gt;0,"Navigational",IF(SUMPRODUCT(ISNUMBER(SEARCH(" "&amp;Settings!$L$5:$L$124&amp;" "," "&amp;M356&amp;" "))*(Settings!$K$5:$K$124="Transactional")*(Settings!$L$5:$L$124&lt;&gt;""))&gt;0,"Transactional",IF(SUMPRODUCT(ISNUMBER(SEARCH(" "&amp;Settings!$L$5:$L$124&amp;" "," "&amp;M356&amp;" "))*(Settings!$K$5:$K$124="Commercial")*(Settings!$L$5:$L$124&lt;&gt;""))&gt;0,"Commercial",IF(SUMPRODUCT(ISNUMBER(SEARCH(" "&amp;Settings!$L$5:$L$124&amp;" "," "&amp;M356&amp;" "))*(Settings!$K$5:$K$124="Informational")*(Settings!$L$5:$L$124&lt;&gt;""))&gt;0,"Informational","Unclassified")))))</f>
        <v/>
      </c>
      <c r="O356">
        <f>IF(A356="","",IF(K356&lt;&gt;"",PROPER(K356),N356))</f>
        <v/>
      </c>
      <c r="P356">
        <f>IF(A356="","",ROUND(Settings!$B$5*MIN(1,LOG10(N(C356)+1)/LOG10(Settings!$B$7+1))+Settings!$B$6*(1-MIN(100,IF(D356="",50,N(D356)))/100)+IFERROR(INDEX(Settings!$B$10:$B$14,MATCH(O356,Settings!$A$10:$A$14,0)),0),0))</f>
        <v/>
      </c>
      <c r="Q356">
        <f>IF(OR(A356="",G356=""),"",COUNTIFS($M$3:$M$1002,M356,$G$3:$G$1002,"&lt;&gt;"&amp;SUBSTITUTE(SUBSTITUTE(G356,"?","~?"),"*","~*"),$G$3:$G$1002,"?*"))</f>
        <v/>
      </c>
      <c r="R356">
        <f>IF(Q356="","",IF(Q356&gt;0,"Yes","No"))</f>
        <v/>
      </c>
      <c r="S356">
        <f>IF(G356="","",COUNTIFS($G$3:$G$1002,SUBSTITUTE(SUBSTITUTE(G356,"?","~?"),"*","~*"),$J$3:$J$1002,"Primary"))</f>
        <v/>
      </c>
      <c r="T356">
        <f>IF(S356="","",IF(S356&gt;Settings!$B$4,"Yes","No"))</f>
        <v/>
      </c>
      <c r="U356">
        <f>IF(OR(G356="",B356=""),"",IF(COUNTIFS($G$3:$G$1002,SUBSTITUTE(SUBSTITUTE(G356,"?","~?"),"*","~*"),$B$3:$B$1002,"&lt;&gt;"&amp;SUBSTITUTE(SUBSTITUTE(B356,"?","~?"),"*","~*"),$B$3:$B$1002,"?*")&gt;0,"Yes","No"))</f>
        <v/>
      </c>
      <c r="V356">
        <f>IF(OR(G356="",I356="",O356="",O356="Unclassified"),"",IFERROR(INDEX(Settings!$E$5:$H$16,MATCH(I356,Settings!$D$5:$D$16,0),MATCH(O356,Settings!$E$4:$H$4,0)),"Check"))</f>
        <v/>
      </c>
      <c r="W356">
        <f>IF(V356="","",IF(V356="No","Yes","No"))</f>
        <v/>
      </c>
      <c r="X356">
        <f>IF(OR(E356="",G356=""),"",IF(LOWER(IF(RIGHT(TRIM(E356),1)="/",LEFT(TRIM(E356),LEN(TRIM(E356))-1),TRIM(E356)))&lt;&gt;LOWER(IF(RIGHT(TRIM(G356),1)="/",LEFT(TRIM(G356),LEN(TRIM(G356))-1),TRIM(G356))),"Yes","No"))</f>
        <v/>
      </c>
      <c r="Y356">
        <f>IF(A356="","",(N(Q356)&gt;0)+(T356="Yes")+(U356="Yes")+(W356="Yes")+(X356="Yes"))</f>
        <v/>
      </c>
      <c r="Z356">
        <f>IF(A356="","",IF(G356="","Not mapped",IF(Y356=0,"OK",MID(IF(N(Q356)&gt;0,"; Cannibalisation","")&amp;IF(T356="Yes","; Too many primary keywords on URL","")&amp;IF(U356="Yes","; URL spans 2+ clusters","")&amp;IF(W356="Yes","; Intent mismatch","")&amp;IF(X356="Yes","; Ranking URL is not the target",""),3,300))))</f>
        <v/>
      </c>
      <c r="AA356">
        <f>IF(G356="","",IF(COUNTIF($G$3:G356,SUBSTITUTE(SUBSTITUTE(G356,"?","~?"),"*","~*"))=1,MAX($AA$2:AA355)+1,""))</f>
        <v/>
      </c>
      <c r="AB356">
        <f>IF(B356="","",IF(COUNTIF($B$3:B356,SUBSTITUTE(SUBSTITUTE(B356,"?","~?"),"*","~*"))=1,MAX($AB$2:AB355)+1,""))</f>
        <v/>
      </c>
    </row>
    <row r="357">
      <c r="M357">
        <f>IF(A357="","",LOWER(TRIM(SUBSTITUTE(SUBSTITUTE(A357,"?",""),"*",""))))</f>
        <v/>
      </c>
      <c r="N357">
        <f>IF(M357="","",IF(SUMPRODUCT(ISNUMBER(SEARCH(" "&amp;Settings!$L$5:$L$124&amp;" "," "&amp;M357&amp;" "))*(Settings!$K$5:$K$124="Navigational")*(Settings!$L$5:$L$124&lt;&gt;""))&gt;0,"Navigational",IF(SUMPRODUCT(ISNUMBER(SEARCH(" "&amp;Settings!$L$5:$L$124&amp;" "," "&amp;M357&amp;" "))*(Settings!$K$5:$K$124="Transactional")*(Settings!$L$5:$L$124&lt;&gt;""))&gt;0,"Transactional",IF(SUMPRODUCT(ISNUMBER(SEARCH(" "&amp;Settings!$L$5:$L$124&amp;" "," "&amp;M357&amp;" "))*(Settings!$K$5:$K$124="Commercial")*(Settings!$L$5:$L$124&lt;&gt;""))&gt;0,"Commercial",IF(SUMPRODUCT(ISNUMBER(SEARCH(" "&amp;Settings!$L$5:$L$124&amp;" "," "&amp;M357&amp;" "))*(Settings!$K$5:$K$124="Informational")*(Settings!$L$5:$L$124&lt;&gt;""))&gt;0,"Informational","Unclassified")))))</f>
        <v/>
      </c>
      <c r="O357">
        <f>IF(A357="","",IF(K357&lt;&gt;"",PROPER(K357),N357))</f>
        <v/>
      </c>
      <c r="P357">
        <f>IF(A357="","",ROUND(Settings!$B$5*MIN(1,LOG10(N(C357)+1)/LOG10(Settings!$B$7+1))+Settings!$B$6*(1-MIN(100,IF(D357="",50,N(D357)))/100)+IFERROR(INDEX(Settings!$B$10:$B$14,MATCH(O357,Settings!$A$10:$A$14,0)),0),0))</f>
        <v/>
      </c>
      <c r="Q357">
        <f>IF(OR(A357="",G357=""),"",COUNTIFS($M$3:$M$1002,M357,$G$3:$G$1002,"&lt;&gt;"&amp;SUBSTITUTE(SUBSTITUTE(G357,"?","~?"),"*","~*"),$G$3:$G$1002,"?*"))</f>
        <v/>
      </c>
      <c r="R357">
        <f>IF(Q357="","",IF(Q357&gt;0,"Yes","No"))</f>
        <v/>
      </c>
      <c r="S357">
        <f>IF(G357="","",COUNTIFS($G$3:$G$1002,SUBSTITUTE(SUBSTITUTE(G357,"?","~?"),"*","~*"),$J$3:$J$1002,"Primary"))</f>
        <v/>
      </c>
      <c r="T357">
        <f>IF(S357="","",IF(S357&gt;Settings!$B$4,"Yes","No"))</f>
        <v/>
      </c>
      <c r="U357">
        <f>IF(OR(G357="",B357=""),"",IF(COUNTIFS($G$3:$G$1002,SUBSTITUTE(SUBSTITUTE(G357,"?","~?"),"*","~*"),$B$3:$B$1002,"&lt;&gt;"&amp;SUBSTITUTE(SUBSTITUTE(B357,"?","~?"),"*","~*"),$B$3:$B$1002,"?*")&gt;0,"Yes","No"))</f>
        <v/>
      </c>
      <c r="V357">
        <f>IF(OR(G357="",I357="",O357="",O357="Unclassified"),"",IFERROR(INDEX(Settings!$E$5:$H$16,MATCH(I357,Settings!$D$5:$D$16,0),MATCH(O357,Settings!$E$4:$H$4,0)),"Check"))</f>
        <v/>
      </c>
      <c r="W357">
        <f>IF(V357="","",IF(V357="No","Yes","No"))</f>
        <v/>
      </c>
      <c r="X357">
        <f>IF(OR(E357="",G357=""),"",IF(LOWER(IF(RIGHT(TRIM(E357),1)="/",LEFT(TRIM(E357),LEN(TRIM(E357))-1),TRIM(E357)))&lt;&gt;LOWER(IF(RIGHT(TRIM(G357),1)="/",LEFT(TRIM(G357),LEN(TRIM(G357))-1),TRIM(G357))),"Yes","No"))</f>
        <v/>
      </c>
      <c r="Y357">
        <f>IF(A357="","",(N(Q357)&gt;0)+(T357="Yes")+(U357="Yes")+(W357="Yes")+(X357="Yes"))</f>
        <v/>
      </c>
      <c r="Z357">
        <f>IF(A357="","",IF(G357="","Not mapped",IF(Y357=0,"OK",MID(IF(N(Q357)&gt;0,"; Cannibalisation","")&amp;IF(T357="Yes","; Too many primary keywords on URL","")&amp;IF(U357="Yes","; URL spans 2+ clusters","")&amp;IF(W357="Yes","; Intent mismatch","")&amp;IF(X357="Yes","; Ranking URL is not the target",""),3,300))))</f>
        <v/>
      </c>
      <c r="AA357">
        <f>IF(G357="","",IF(COUNTIF($G$3:G357,SUBSTITUTE(SUBSTITUTE(G357,"?","~?"),"*","~*"))=1,MAX($AA$2:AA356)+1,""))</f>
        <v/>
      </c>
      <c r="AB357">
        <f>IF(B357="","",IF(COUNTIF($B$3:B357,SUBSTITUTE(SUBSTITUTE(B357,"?","~?"),"*","~*"))=1,MAX($AB$2:AB356)+1,""))</f>
        <v/>
      </c>
    </row>
    <row r="358">
      <c r="M358">
        <f>IF(A358="","",LOWER(TRIM(SUBSTITUTE(SUBSTITUTE(A358,"?",""),"*",""))))</f>
        <v/>
      </c>
      <c r="N358">
        <f>IF(M358="","",IF(SUMPRODUCT(ISNUMBER(SEARCH(" "&amp;Settings!$L$5:$L$124&amp;" "," "&amp;M358&amp;" "))*(Settings!$K$5:$K$124="Navigational")*(Settings!$L$5:$L$124&lt;&gt;""))&gt;0,"Navigational",IF(SUMPRODUCT(ISNUMBER(SEARCH(" "&amp;Settings!$L$5:$L$124&amp;" "," "&amp;M358&amp;" "))*(Settings!$K$5:$K$124="Transactional")*(Settings!$L$5:$L$124&lt;&gt;""))&gt;0,"Transactional",IF(SUMPRODUCT(ISNUMBER(SEARCH(" "&amp;Settings!$L$5:$L$124&amp;" "," "&amp;M358&amp;" "))*(Settings!$K$5:$K$124="Commercial")*(Settings!$L$5:$L$124&lt;&gt;""))&gt;0,"Commercial",IF(SUMPRODUCT(ISNUMBER(SEARCH(" "&amp;Settings!$L$5:$L$124&amp;" "," "&amp;M358&amp;" "))*(Settings!$K$5:$K$124="Informational")*(Settings!$L$5:$L$124&lt;&gt;""))&gt;0,"Informational","Unclassified")))))</f>
        <v/>
      </c>
      <c r="O358">
        <f>IF(A358="","",IF(K358&lt;&gt;"",PROPER(K358),N358))</f>
        <v/>
      </c>
      <c r="P358">
        <f>IF(A358="","",ROUND(Settings!$B$5*MIN(1,LOG10(N(C358)+1)/LOG10(Settings!$B$7+1))+Settings!$B$6*(1-MIN(100,IF(D358="",50,N(D358)))/100)+IFERROR(INDEX(Settings!$B$10:$B$14,MATCH(O358,Settings!$A$10:$A$14,0)),0),0))</f>
        <v/>
      </c>
      <c r="Q358">
        <f>IF(OR(A358="",G358=""),"",COUNTIFS($M$3:$M$1002,M358,$G$3:$G$1002,"&lt;&gt;"&amp;SUBSTITUTE(SUBSTITUTE(G358,"?","~?"),"*","~*"),$G$3:$G$1002,"?*"))</f>
        <v/>
      </c>
      <c r="R358">
        <f>IF(Q358="","",IF(Q358&gt;0,"Yes","No"))</f>
        <v/>
      </c>
      <c r="S358">
        <f>IF(G358="","",COUNTIFS($G$3:$G$1002,SUBSTITUTE(SUBSTITUTE(G358,"?","~?"),"*","~*"),$J$3:$J$1002,"Primary"))</f>
        <v/>
      </c>
      <c r="T358">
        <f>IF(S358="","",IF(S358&gt;Settings!$B$4,"Yes","No"))</f>
        <v/>
      </c>
      <c r="U358">
        <f>IF(OR(G358="",B358=""),"",IF(COUNTIFS($G$3:$G$1002,SUBSTITUTE(SUBSTITUTE(G358,"?","~?"),"*","~*"),$B$3:$B$1002,"&lt;&gt;"&amp;SUBSTITUTE(SUBSTITUTE(B358,"?","~?"),"*","~*"),$B$3:$B$1002,"?*")&gt;0,"Yes","No"))</f>
        <v/>
      </c>
      <c r="V358">
        <f>IF(OR(G358="",I358="",O358="",O358="Unclassified"),"",IFERROR(INDEX(Settings!$E$5:$H$16,MATCH(I358,Settings!$D$5:$D$16,0),MATCH(O358,Settings!$E$4:$H$4,0)),"Check"))</f>
        <v/>
      </c>
      <c r="W358">
        <f>IF(V358="","",IF(V358="No","Yes","No"))</f>
        <v/>
      </c>
      <c r="X358">
        <f>IF(OR(E358="",G358=""),"",IF(LOWER(IF(RIGHT(TRIM(E358),1)="/",LEFT(TRIM(E358),LEN(TRIM(E358))-1),TRIM(E358)))&lt;&gt;LOWER(IF(RIGHT(TRIM(G358),1)="/",LEFT(TRIM(G358),LEN(TRIM(G358))-1),TRIM(G358))),"Yes","No"))</f>
        <v/>
      </c>
      <c r="Y358">
        <f>IF(A358="","",(N(Q358)&gt;0)+(T358="Yes")+(U358="Yes")+(W358="Yes")+(X358="Yes"))</f>
        <v/>
      </c>
      <c r="Z358">
        <f>IF(A358="","",IF(G358="","Not mapped",IF(Y358=0,"OK",MID(IF(N(Q358)&gt;0,"; Cannibalisation","")&amp;IF(T358="Yes","; Too many primary keywords on URL","")&amp;IF(U358="Yes","; URL spans 2+ clusters","")&amp;IF(W358="Yes","; Intent mismatch","")&amp;IF(X358="Yes","; Ranking URL is not the target",""),3,300))))</f>
        <v/>
      </c>
      <c r="AA358">
        <f>IF(G358="","",IF(COUNTIF($G$3:G358,SUBSTITUTE(SUBSTITUTE(G358,"?","~?"),"*","~*"))=1,MAX($AA$2:AA357)+1,""))</f>
        <v/>
      </c>
      <c r="AB358">
        <f>IF(B358="","",IF(COUNTIF($B$3:B358,SUBSTITUTE(SUBSTITUTE(B358,"?","~?"),"*","~*"))=1,MAX($AB$2:AB357)+1,""))</f>
        <v/>
      </c>
    </row>
    <row r="359">
      <c r="M359">
        <f>IF(A359="","",LOWER(TRIM(SUBSTITUTE(SUBSTITUTE(A359,"?",""),"*",""))))</f>
        <v/>
      </c>
      <c r="N359">
        <f>IF(M359="","",IF(SUMPRODUCT(ISNUMBER(SEARCH(" "&amp;Settings!$L$5:$L$124&amp;" "," "&amp;M359&amp;" "))*(Settings!$K$5:$K$124="Navigational")*(Settings!$L$5:$L$124&lt;&gt;""))&gt;0,"Navigational",IF(SUMPRODUCT(ISNUMBER(SEARCH(" "&amp;Settings!$L$5:$L$124&amp;" "," "&amp;M359&amp;" "))*(Settings!$K$5:$K$124="Transactional")*(Settings!$L$5:$L$124&lt;&gt;""))&gt;0,"Transactional",IF(SUMPRODUCT(ISNUMBER(SEARCH(" "&amp;Settings!$L$5:$L$124&amp;" "," "&amp;M359&amp;" "))*(Settings!$K$5:$K$124="Commercial")*(Settings!$L$5:$L$124&lt;&gt;""))&gt;0,"Commercial",IF(SUMPRODUCT(ISNUMBER(SEARCH(" "&amp;Settings!$L$5:$L$124&amp;" "," "&amp;M359&amp;" "))*(Settings!$K$5:$K$124="Informational")*(Settings!$L$5:$L$124&lt;&gt;""))&gt;0,"Informational","Unclassified")))))</f>
        <v/>
      </c>
      <c r="O359">
        <f>IF(A359="","",IF(K359&lt;&gt;"",PROPER(K359),N359))</f>
        <v/>
      </c>
      <c r="P359">
        <f>IF(A359="","",ROUND(Settings!$B$5*MIN(1,LOG10(N(C359)+1)/LOG10(Settings!$B$7+1))+Settings!$B$6*(1-MIN(100,IF(D359="",50,N(D359)))/100)+IFERROR(INDEX(Settings!$B$10:$B$14,MATCH(O359,Settings!$A$10:$A$14,0)),0),0))</f>
        <v/>
      </c>
      <c r="Q359">
        <f>IF(OR(A359="",G359=""),"",COUNTIFS($M$3:$M$1002,M359,$G$3:$G$1002,"&lt;&gt;"&amp;SUBSTITUTE(SUBSTITUTE(G359,"?","~?"),"*","~*"),$G$3:$G$1002,"?*"))</f>
        <v/>
      </c>
      <c r="R359">
        <f>IF(Q359="","",IF(Q359&gt;0,"Yes","No"))</f>
        <v/>
      </c>
      <c r="S359">
        <f>IF(G359="","",COUNTIFS($G$3:$G$1002,SUBSTITUTE(SUBSTITUTE(G359,"?","~?"),"*","~*"),$J$3:$J$1002,"Primary"))</f>
        <v/>
      </c>
      <c r="T359">
        <f>IF(S359="","",IF(S359&gt;Settings!$B$4,"Yes","No"))</f>
        <v/>
      </c>
      <c r="U359">
        <f>IF(OR(G359="",B359=""),"",IF(COUNTIFS($G$3:$G$1002,SUBSTITUTE(SUBSTITUTE(G359,"?","~?"),"*","~*"),$B$3:$B$1002,"&lt;&gt;"&amp;SUBSTITUTE(SUBSTITUTE(B359,"?","~?"),"*","~*"),$B$3:$B$1002,"?*")&gt;0,"Yes","No"))</f>
        <v/>
      </c>
      <c r="V359">
        <f>IF(OR(G359="",I359="",O359="",O359="Unclassified"),"",IFERROR(INDEX(Settings!$E$5:$H$16,MATCH(I359,Settings!$D$5:$D$16,0),MATCH(O359,Settings!$E$4:$H$4,0)),"Check"))</f>
        <v/>
      </c>
      <c r="W359">
        <f>IF(V359="","",IF(V359="No","Yes","No"))</f>
        <v/>
      </c>
      <c r="X359">
        <f>IF(OR(E359="",G359=""),"",IF(LOWER(IF(RIGHT(TRIM(E359),1)="/",LEFT(TRIM(E359),LEN(TRIM(E359))-1),TRIM(E359)))&lt;&gt;LOWER(IF(RIGHT(TRIM(G359),1)="/",LEFT(TRIM(G359),LEN(TRIM(G359))-1),TRIM(G359))),"Yes","No"))</f>
        <v/>
      </c>
      <c r="Y359">
        <f>IF(A359="","",(N(Q359)&gt;0)+(T359="Yes")+(U359="Yes")+(W359="Yes")+(X359="Yes"))</f>
        <v/>
      </c>
      <c r="Z359">
        <f>IF(A359="","",IF(G359="","Not mapped",IF(Y359=0,"OK",MID(IF(N(Q359)&gt;0,"; Cannibalisation","")&amp;IF(T359="Yes","; Too many primary keywords on URL","")&amp;IF(U359="Yes","; URL spans 2+ clusters","")&amp;IF(W359="Yes","; Intent mismatch","")&amp;IF(X359="Yes","; Ranking URL is not the target",""),3,300))))</f>
        <v/>
      </c>
      <c r="AA359">
        <f>IF(G359="","",IF(COUNTIF($G$3:G359,SUBSTITUTE(SUBSTITUTE(G359,"?","~?"),"*","~*"))=1,MAX($AA$2:AA358)+1,""))</f>
        <v/>
      </c>
      <c r="AB359">
        <f>IF(B359="","",IF(COUNTIF($B$3:B359,SUBSTITUTE(SUBSTITUTE(B359,"?","~?"),"*","~*"))=1,MAX($AB$2:AB358)+1,""))</f>
        <v/>
      </c>
    </row>
    <row r="360">
      <c r="M360">
        <f>IF(A360="","",LOWER(TRIM(SUBSTITUTE(SUBSTITUTE(A360,"?",""),"*",""))))</f>
        <v/>
      </c>
      <c r="N360">
        <f>IF(M360="","",IF(SUMPRODUCT(ISNUMBER(SEARCH(" "&amp;Settings!$L$5:$L$124&amp;" "," "&amp;M360&amp;" "))*(Settings!$K$5:$K$124="Navigational")*(Settings!$L$5:$L$124&lt;&gt;""))&gt;0,"Navigational",IF(SUMPRODUCT(ISNUMBER(SEARCH(" "&amp;Settings!$L$5:$L$124&amp;" "," "&amp;M360&amp;" "))*(Settings!$K$5:$K$124="Transactional")*(Settings!$L$5:$L$124&lt;&gt;""))&gt;0,"Transactional",IF(SUMPRODUCT(ISNUMBER(SEARCH(" "&amp;Settings!$L$5:$L$124&amp;" "," "&amp;M360&amp;" "))*(Settings!$K$5:$K$124="Commercial")*(Settings!$L$5:$L$124&lt;&gt;""))&gt;0,"Commercial",IF(SUMPRODUCT(ISNUMBER(SEARCH(" "&amp;Settings!$L$5:$L$124&amp;" "," "&amp;M360&amp;" "))*(Settings!$K$5:$K$124="Informational")*(Settings!$L$5:$L$124&lt;&gt;""))&gt;0,"Informational","Unclassified")))))</f>
        <v/>
      </c>
      <c r="O360">
        <f>IF(A360="","",IF(K360&lt;&gt;"",PROPER(K360),N360))</f>
        <v/>
      </c>
      <c r="P360">
        <f>IF(A360="","",ROUND(Settings!$B$5*MIN(1,LOG10(N(C360)+1)/LOG10(Settings!$B$7+1))+Settings!$B$6*(1-MIN(100,IF(D360="",50,N(D360)))/100)+IFERROR(INDEX(Settings!$B$10:$B$14,MATCH(O360,Settings!$A$10:$A$14,0)),0),0))</f>
        <v/>
      </c>
      <c r="Q360">
        <f>IF(OR(A360="",G360=""),"",COUNTIFS($M$3:$M$1002,M360,$G$3:$G$1002,"&lt;&gt;"&amp;SUBSTITUTE(SUBSTITUTE(G360,"?","~?"),"*","~*"),$G$3:$G$1002,"?*"))</f>
        <v/>
      </c>
      <c r="R360">
        <f>IF(Q360="","",IF(Q360&gt;0,"Yes","No"))</f>
        <v/>
      </c>
      <c r="S360">
        <f>IF(G360="","",COUNTIFS($G$3:$G$1002,SUBSTITUTE(SUBSTITUTE(G360,"?","~?"),"*","~*"),$J$3:$J$1002,"Primary"))</f>
        <v/>
      </c>
      <c r="T360">
        <f>IF(S360="","",IF(S360&gt;Settings!$B$4,"Yes","No"))</f>
        <v/>
      </c>
      <c r="U360">
        <f>IF(OR(G360="",B360=""),"",IF(COUNTIFS($G$3:$G$1002,SUBSTITUTE(SUBSTITUTE(G360,"?","~?"),"*","~*"),$B$3:$B$1002,"&lt;&gt;"&amp;SUBSTITUTE(SUBSTITUTE(B360,"?","~?"),"*","~*"),$B$3:$B$1002,"?*")&gt;0,"Yes","No"))</f>
        <v/>
      </c>
      <c r="V360">
        <f>IF(OR(G360="",I360="",O360="",O360="Unclassified"),"",IFERROR(INDEX(Settings!$E$5:$H$16,MATCH(I360,Settings!$D$5:$D$16,0),MATCH(O360,Settings!$E$4:$H$4,0)),"Check"))</f>
        <v/>
      </c>
      <c r="W360">
        <f>IF(V360="","",IF(V360="No","Yes","No"))</f>
        <v/>
      </c>
      <c r="X360">
        <f>IF(OR(E360="",G360=""),"",IF(LOWER(IF(RIGHT(TRIM(E360),1)="/",LEFT(TRIM(E360),LEN(TRIM(E360))-1),TRIM(E360)))&lt;&gt;LOWER(IF(RIGHT(TRIM(G360),1)="/",LEFT(TRIM(G360),LEN(TRIM(G360))-1),TRIM(G360))),"Yes","No"))</f>
        <v/>
      </c>
      <c r="Y360">
        <f>IF(A360="","",(N(Q360)&gt;0)+(T360="Yes")+(U360="Yes")+(W360="Yes")+(X360="Yes"))</f>
        <v/>
      </c>
      <c r="Z360">
        <f>IF(A360="","",IF(G360="","Not mapped",IF(Y360=0,"OK",MID(IF(N(Q360)&gt;0,"; Cannibalisation","")&amp;IF(T360="Yes","; Too many primary keywords on URL","")&amp;IF(U360="Yes","; URL spans 2+ clusters","")&amp;IF(W360="Yes","; Intent mismatch","")&amp;IF(X360="Yes","; Ranking URL is not the target",""),3,300))))</f>
        <v/>
      </c>
      <c r="AA360">
        <f>IF(G360="","",IF(COUNTIF($G$3:G360,SUBSTITUTE(SUBSTITUTE(G360,"?","~?"),"*","~*"))=1,MAX($AA$2:AA359)+1,""))</f>
        <v/>
      </c>
      <c r="AB360">
        <f>IF(B360="","",IF(COUNTIF($B$3:B360,SUBSTITUTE(SUBSTITUTE(B360,"?","~?"),"*","~*"))=1,MAX($AB$2:AB359)+1,""))</f>
        <v/>
      </c>
    </row>
    <row r="361">
      <c r="M361">
        <f>IF(A361="","",LOWER(TRIM(SUBSTITUTE(SUBSTITUTE(A361,"?",""),"*",""))))</f>
        <v/>
      </c>
      <c r="N361">
        <f>IF(M361="","",IF(SUMPRODUCT(ISNUMBER(SEARCH(" "&amp;Settings!$L$5:$L$124&amp;" "," "&amp;M361&amp;" "))*(Settings!$K$5:$K$124="Navigational")*(Settings!$L$5:$L$124&lt;&gt;""))&gt;0,"Navigational",IF(SUMPRODUCT(ISNUMBER(SEARCH(" "&amp;Settings!$L$5:$L$124&amp;" "," "&amp;M361&amp;" "))*(Settings!$K$5:$K$124="Transactional")*(Settings!$L$5:$L$124&lt;&gt;""))&gt;0,"Transactional",IF(SUMPRODUCT(ISNUMBER(SEARCH(" "&amp;Settings!$L$5:$L$124&amp;" "," "&amp;M361&amp;" "))*(Settings!$K$5:$K$124="Commercial")*(Settings!$L$5:$L$124&lt;&gt;""))&gt;0,"Commercial",IF(SUMPRODUCT(ISNUMBER(SEARCH(" "&amp;Settings!$L$5:$L$124&amp;" "," "&amp;M361&amp;" "))*(Settings!$K$5:$K$124="Informational")*(Settings!$L$5:$L$124&lt;&gt;""))&gt;0,"Informational","Unclassified")))))</f>
        <v/>
      </c>
      <c r="O361">
        <f>IF(A361="","",IF(K361&lt;&gt;"",PROPER(K361),N361))</f>
        <v/>
      </c>
      <c r="P361">
        <f>IF(A361="","",ROUND(Settings!$B$5*MIN(1,LOG10(N(C361)+1)/LOG10(Settings!$B$7+1))+Settings!$B$6*(1-MIN(100,IF(D361="",50,N(D361)))/100)+IFERROR(INDEX(Settings!$B$10:$B$14,MATCH(O361,Settings!$A$10:$A$14,0)),0),0))</f>
        <v/>
      </c>
      <c r="Q361">
        <f>IF(OR(A361="",G361=""),"",COUNTIFS($M$3:$M$1002,M361,$G$3:$G$1002,"&lt;&gt;"&amp;SUBSTITUTE(SUBSTITUTE(G361,"?","~?"),"*","~*"),$G$3:$G$1002,"?*"))</f>
        <v/>
      </c>
      <c r="R361">
        <f>IF(Q361="","",IF(Q361&gt;0,"Yes","No"))</f>
        <v/>
      </c>
      <c r="S361">
        <f>IF(G361="","",COUNTIFS($G$3:$G$1002,SUBSTITUTE(SUBSTITUTE(G361,"?","~?"),"*","~*"),$J$3:$J$1002,"Primary"))</f>
        <v/>
      </c>
      <c r="T361">
        <f>IF(S361="","",IF(S361&gt;Settings!$B$4,"Yes","No"))</f>
        <v/>
      </c>
      <c r="U361">
        <f>IF(OR(G361="",B361=""),"",IF(COUNTIFS($G$3:$G$1002,SUBSTITUTE(SUBSTITUTE(G361,"?","~?"),"*","~*"),$B$3:$B$1002,"&lt;&gt;"&amp;SUBSTITUTE(SUBSTITUTE(B361,"?","~?"),"*","~*"),$B$3:$B$1002,"?*")&gt;0,"Yes","No"))</f>
        <v/>
      </c>
      <c r="V361">
        <f>IF(OR(G361="",I361="",O361="",O361="Unclassified"),"",IFERROR(INDEX(Settings!$E$5:$H$16,MATCH(I361,Settings!$D$5:$D$16,0),MATCH(O361,Settings!$E$4:$H$4,0)),"Check"))</f>
        <v/>
      </c>
      <c r="W361">
        <f>IF(V361="","",IF(V361="No","Yes","No"))</f>
        <v/>
      </c>
      <c r="X361">
        <f>IF(OR(E361="",G361=""),"",IF(LOWER(IF(RIGHT(TRIM(E361),1)="/",LEFT(TRIM(E361),LEN(TRIM(E361))-1),TRIM(E361)))&lt;&gt;LOWER(IF(RIGHT(TRIM(G361),1)="/",LEFT(TRIM(G361),LEN(TRIM(G361))-1),TRIM(G361))),"Yes","No"))</f>
        <v/>
      </c>
      <c r="Y361">
        <f>IF(A361="","",(N(Q361)&gt;0)+(T361="Yes")+(U361="Yes")+(W361="Yes")+(X361="Yes"))</f>
        <v/>
      </c>
      <c r="Z361">
        <f>IF(A361="","",IF(G361="","Not mapped",IF(Y361=0,"OK",MID(IF(N(Q361)&gt;0,"; Cannibalisation","")&amp;IF(T361="Yes","; Too many primary keywords on URL","")&amp;IF(U361="Yes","; URL spans 2+ clusters","")&amp;IF(W361="Yes","; Intent mismatch","")&amp;IF(X361="Yes","; Ranking URL is not the target",""),3,300))))</f>
        <v/>
      </c>
      <c r="AA361">
        <f>IF(G361="","",IF(COUNTIF($G$3:G361,SUBSTITUTE(SUBSTITUTE(G361,"?","~?"),"*","~*"))=1,MAX($AA$2:AA360)+1,""))</f>
        <v/>
      </c>
      <c r="AB361">
        <f>IF(B361="","",IF(COUNTIF($B$3:B361,SUBSTITUTE(SUBSTITUTE(B361,"?","~?"),"*","~*"))=1,MAX($AB$2:AB360)+1,""))</f>
        <v/>
      </c>
    </row>
    <row r="362">
      <c r="M362">
        <f>IF(A362="","",LOWER(TRIM(SUBSTITUTE(SUBSTITUTE(A362,"?",""),"*",""))))</f>
        <v/>
      </c>
      <c r="N362">
        <f>IF(M362="","",IF(SUMPRODUCT(ISNUMBER(SEARCH(" "&amp;Settings!$L$5:$L$124&amp;" "," "&amp;M362&amp;" "))*(Settings!$K$5:$K$124="Navigational")*(Settings!$L$5:$L$124&lt;&gt;""))&gt;0,"Navigational",IF(SUMPRODUCT(ISNUMBER(SEARCH(" "&amp;Settings!$L$5:$L$124&amp;" "," "&amp;M362&amp;" "))*(Settings!$K$5:$K$124="Transactional")*(Settings!$L$5:$L$124&lt;&gt;""))&gt;0,"Transactional",IF(SUMPRODUCT(ISNUMBER(SEARCH(" "&amp;Settings!$L$5:$L$124&amp;" "," "&amp;M362&amp;" "))*(Settings!$K$5:$K$124="Commercial")*(Settings!$L$5:$L$124&lt;&gt;""))&gt;0,"Commercial",IF(SUMPRODUCT(ISNUMBER(SEARCH(" "&amp;Settings!$L$5:$L$124&amp;" "," "&amp;M362&amp;" "))*(Settings!$K$5:$K$124="Informational")*(Settings!$L$5:$L$124&lt;&gt;""))&gt;0,"Informational","Unclassified")))))</f>
        <v/>
      </c>
      <c r="O362">
        <f>IF(A362="","",IF(K362&lt;&gt;"",PROPER(K362),N362))</f>
        <v/>
      </c>
      <c r="P362">
        <f>IF(A362="","",ROUND(Settings!$B$5*MIN(1,LOG10(N(C362)+1)/LOG10(Settings!$B$7+1))+Settings!$B$6*(1-MIN(100,IF(D362="",50,N(D362)))/100)+IFERROR(INDEX(Settings!$B$10:$B$14,MATCH(O362,Settings!$A$10:$A$14,0)),0),0))</f>
        <v/>
      </c>
      <c r="Q362">
        <f>IF(OR(A362="",G362=""),"",COUNTIFS($M$3:$M$1002,M362,$G$3:$G$1002,"&lt;&gt;"&amp;SUBSTITUTE(SUBSTITUTE(G362,"?","~?"),"*","~*"),$G$3:$G$1002,"?*"))</f>
        <v/>
      </c>
      <c r="R362">
        <f>IF(Q362="","",IF(Q362&gt;0,"Yes","No"))</f>
        <v/>
      </c>
      <c r="S362">
        <f>IF(G362="","",COUNTIFS($G$3:$G$1002,SUBSTITUTE(SUBSTITUTE(G362,"?","~?"),"*","~*"),$J$3:$J$1002,"Primary"))</f>
        <v/>
      </c>
      <c r="T362">
        <f>IF(S362="","",IF(S362&gt;Settings!$B$4,"Yes","No"))</f>
        <v/>
      </c>
      <c r="U362">
        <f>IF(OR(G362="",B362=""),"",IF(COUNTIFS($G$3:$G$1002,SUBSTITUTE(SUBSTITUTE(G362,"?","~?"),"*","~*"),$B$3:$B$1002,"&lt;&gt;"&amp;SUBSTITUTE(SUBSTITUTE(B362,"?","~?"),"*","~*"),$B$3:$B$1002,"?*")&gt;0,"Yes","No"))</f>
        <v/>
      </c>
      <c r="V362">
        <f>IF(OR(G362="",I362="",O362="",O362="Unclassified"),"",IFERROR(INDEX(Settings!$E$5:$H$16,MATCH(I362,Settings!$D$5:$D$16,0),MATCH(O362,Settings!$E$4:$H$4,0)),"Check"))</f>
        <v/>
      </c>
      <c r="W362">
        <f>IF(V362="","",IF(V362="No","Yes","No"))</f>
        <v/>
      </c>
      <c r="X362">
        <f>IF(OR(E362="",G362=""),"",IF(LOWER(IF(RIGHT(TRIM(E362),1)="/",LEFT(TRIM(E362),LEN(TRIM(E362))-1),TRIM(E362)))&lt;&gt;LOWER(IF(RIGHT(TRIM(G362),1)="/",LEFT(TRIM(G362),LEN(TRIM(G362))-1),TRIM(G362))),"Yes","No"))</f>
        <v/>
      </c>
      <c r="Y362">
        <f>IF(A362="","",(N(Q362)&gt;0)+(T362="Yes")+(U362="Yes")+(W362="Yes")+(X362="Yes"))</f>
        <v/>
      </c>
      <c r="Z362">
        <f>IF(A362="","",IF(G362="","Not mapped",IF(Y362=0,"OK",MID(IF(N(Q362)&gt;0,"; Cannibalisation","")&amp;IF(T362="Yes","; Too many primary keywords on URL","")&amp;IF(U362="Yes","; URL spans 2+ clusters","")&amp;IF(W362="Yes","; Intent mismatch","")&amp;IF(X362="Yes","; Ranking URL is not the target",""),3,300))))</f>
        <v/>
      </c>
      <c r="AA362">
        <f>IF(G362="","",IF(COUNTIF($G$3:G362,SUBSTITUTE(SUBSTITUTE(G362,"?","~?"),"*","~*"))=1,MAX($AA$2:AA361)+1,""))</f>
        <v/>
      </c>
      <c r="AB362">
        <f>IF(B362="","",IF(COUNTIF($B$3:B362,SUBSTITUTE(SUBSTITUTE(B362,"?","~?"),"*","~*"))=1,MAX($AB$2:AB361)+1,""))</f>
        <v/>
      </c>
    </row>
    <row r="363">
      <c r="M363">
        <f>IF(A363="","",LOWER(TRIM(SUBSTITUTE(SUBSTITUTE(A363,"?",""),"*",""))))</f>
        <v/>
      </c>
      <c r="N363">
        <f>IF(M363="","",IF(SUMPRODUCT(ISNUMBER(SEARCH(" "&amp;Settings!$L$5:$L$124&amp;" "," "&amp;M363&amp;" "))*(Settings!$K$5:$K$124="Navigational")*(Settings!$L$5:$L$124&lt;&gt;""))&gt;0,"Navigational",IF(SUMPRODUCT(ISNUMBER(SEARCH(" "&amp;Settings!$L$5:$L$124&amp;" "," "&amp;M363&amp;" "))*(Settings!$K$5:$K$124="Transactional")*(Settings!$L$5:$L$124&lt;&gt;""))&gt;0,"Transactional",IF(SUMPRODUCT(ISNUMBER(SEARCH(" "&amp;Settings!$L$5:$L$124&amp;" "," "&amp;M363&amp;" "))*(Settings!$K$5:$K$124="Commercial")*(Settings!$L$5:$L$124&lt;&gt;""))&gt;0,"Commercial",IF(SUMPRODUCT(ISNUMBER(SEARCH(" "&amp;Settings!$L$5:$L$124&amp;" "," "&amp;M363&amp;" "))*(Settings!$K$5:$K$124="Informational")*(Settings!$L$5:$L$124&lt;&gt;""))&gt;0,"Informational","Unclassified")))))</f>
        <v/>
      </c>
      <c r="O363">
        <f>IF(A363="","",IF(K363&lt;&gt;"",PROPER(K363),N363))</f>
        <v/>
      </c>
      <c r="P363">
        <f>IF(A363="","",ROUND(Settings!$B$5*MIN(1,LOG10(N(C363)+1)/LOG10(Settings!$B$7+1))+Settings!$B$6*(1-MIN(100,IF(D363="",50,N(D363)))/100)+IFERROR(INDEX(Settings!$B$10:$B$14,MATCH(O363,Settings!$A$10:$A$14,0)),0),0))</f>
        <v/>
      </c>
      <c r="Q363">
        <f>IF(OR(A363="",G363=""),"",COUNTIFS($M$3:$M$1002,M363,$G$3:$G$1002,"&lt;&gt;"&amp;SUBSTITUTE(SUBSTITUTE(G363,"?","~?"),"*","~*"),$G$3:$G$1002,"?*"))</f>
        <v/>
      </c>
      <c r="R363">
        <f>IF(Q363="","",IF(Q363&gt;0,"Yes","No"))</f>
        <v/>
      </c>
      <c r="S363">
        <f>IF(G363="","",COUNTIFS($G$3:$G$1002,SUBSTITUTE(SUBSTITUTE(G363,"?","~?"),"*","~*"),$J$3:$J$1002,"Primary"))</f>
        <v/>
      </c>
      <c r="T363">
        <f>IF(S363="","",IF(S363&gt;Settings!$B$4,"Yes","No"))</f>
        <v/>
      </c>
      <c r="U363">
        <f>IF(OR(G363="",B363=""),"",IF(COUNTIFS($G$3:$G$1002,SUBSTITUTE(SUBSTITUTE(G363,"?","~?"),"*","~*"),$B$3:$B$1002,"&lt;&gt;"&amp;SUBSTITUTE(SUBSTITUTE(B363,"?","~?"),"*","~*"),$B$3:$B$1002,"?*")&gt;0,"Yes","No"))</f>
        <v/>
      </c>
      <c r="V363">
        <f>IF(OR(G363="",I363="",O363="",O363="Unclassified"),"",IFERROR(INDEX(Settings!$E$5:$H$16,MATCH(I363,Settings!$D$5:$D$16,0),MATCH(O363,Settings!$E$4:$H$4,0)),"Check"))</f>
        <v/>
      </c>
      <c r="W363">
        <f>IF(V363="","",IF(V363="No","Yes","No"))</f>
        <v/>
      </c>
      <c r="X363">
        <f>IF(OR(E363="",G363=""),"",IF(LOWER(IF(RIGHT(TRIM(E363),1)="/",LEFT(TRIM(E363),LEN(TRIM(E363))-1),TRIM(E363)))&lt;&gt;LOWER(IF(RIGHT(TRIM(G363),1)="/",LEFT(TRIM(G363),LEN(TRIM(G363))-1),TRIM(G363))),"Yes","No"))</f>
        <v/>
      </c>
      <c r="Y363">
        <f>IF(A363="","",(N(Q363)&gt;0)+(T363="Yes")+(U363="Yes")+(W363="Yes")+(X363="Yes"))</f>
        <v/>
      </c>
      <c r="Z363">
        <f>IF(A363="","",IF(G363="","Not mapped",IF(Y363=0,"OK",MID(IF(N(Q363)&gt;0,"; Cannibalisation","")&amp;IF(T363="Yes","; Too many primary keywords on URL","")&amp;IF(U363="Yes","; URL spans 2+ clusters","")&amp;IF(W363="Yes","; Intent mismatch","")&amp;IF(X363="Yes","; Ranking URL is not the target",""),3,300))))</f>
        <v/>
      </c>
      <c r="AA363">
        <f>IF(G363="","",IF(COUNTIF($G$3:G363,SUBSTITUTE(SUBSTITUTE(G363,"?","~?"),"*","~*"))=1,MAX($AA$2:AA362)+1,""))</f>
        <v/>
      </c>
      <c r="AB363">
        <f>IF(B363="","",IF(COUNTIF($B$3:B363,SUBSTITUTE(SUBSTITUTE(B363,"?","~?"),"*","~*"))=1,MAX($AB$2:AB362)+1,""))</f>
        <v/>
      </c>
    </row>
    <row r="364">
      <c r="M364">
        <f>IF(A364="","",LOWER(TRIM(SUBSTITUTE(SUBSTITUTE(A364,"?",""),"*",""))))</f>
        <v/>
      </c>
      <c r="N364">
        <f>IF(M364="","",IF(SUMPRODUCT(ISNUMBER(SEARCH(" "&amp;Settings!$L$5:$L$124&amp;" "," "&amp;M364&amp;" "))*(Settings!$K$5:$K$124="Navigational")*(Settings!$L$5:$L$124&lt;&gt;""))&gt;0,"Navigational",IF(SUMPRODUCT(ISNUMBER(SEARCH(" "&amp;Settings!$L$5:$L$124&amp;" "," "&amp;M364&amp;" "))*(Settings!$K$5:$K$124="Transactional")*(Settings!$L$5:$L$124&lt;&gt;""))&gt;0,"Transactional",IF(SUMPRODUCT(ISNUMBER(SEARCH(" "&amp;Settings!$L$5:$L$124&amp;" "," "&amp;M364&amp;" "))*(Settings!$K$5:$K$124="Commercial")*(Settings!$L$5:$L$124&lt;&gt;""))&gt;0,"Commercial",IF(SUMPRODUCT(ISNUMBER(SEARCH(" "&amp;Settings!$L$5:$L$124&amp;" "," "&amp;M364&amp;" "))*(Settings!$K$5:$K$124="Informational")*(Settings!$L$5:$L$124&lt;&gt;""))&gt;0,"Informational","Unclassified")))))</f>
        <v/>
      </c>
      <c r="O364">
        <f>IF(A364="","",IF(K364&lt;&gt;"",PROPER(K364),N364))</f>
        <v/>
      </c>
      <c r="P364">
        <f>IF(A364="","",ROUND(Settings!$B$5*MIN(1,LOG10(N(C364)+1)/LOG10(Settings!$B$7+1))+Settings!$B$6*(1-MIN(100,IF(D364="",50,N(D364)))/100)+IFERROR(INDEX(Settings!$B$10:$B$14,MATCH(O364,Settings!$A$10:$A$14,0)),0),0))</f>
        <v/>
      </c>
      <c r="Q364">
        <f>IF(OR(A364="",G364=""),"",COUNTIFS($M$3:$M$1002,M364,$G$3:$G$1002,"&lt;&gt;"&amp;SUBSTITUTE(SUBSTITUTE(G364,"?","~?"),"*","~*"),$G$3:$G$1002,"?*"))</f>
        <v/>
      </c>
      <c r="R364">
        <f>IF(Q364="","",IF(Q364&gt;0,"Yes","No"))</f>
        <v/>
      </c>
      <c r="S364">
        <f>IF(G364="","",COUNTIFS($G$3:$G$1002,SUBSTITUTE(SUBSTITUTE(G364,"?","~?"),"*","~*"),$J$3:$J$1002,"Primary"))</f>
        <v/>
      </c>
      <c r="T364">
        <f>IF(S364="","",IF(S364&gt;Settings!$B$4,"Yes","No"))</f>
        <v/>
      </c>
      <c r="U364">
        <f>IF(OR(G364="",B364=""),"",IF(COUNTIFS($G$3:$G$1002,SUBSTITUTE(SUBSTITUTE(G364,"?","~?"),"*","~*"),$B$3:$B$1002,"&lt;&gt;"&amp;SUBSTITUTE(SUBSTITUTE(B364,"?","~?"),"*","~*"),$B$3:$B$1002,"?*")&gt;0,"Yes","No"))</f>
        <v/>
      </c>
      <c r="V364">
        <f>IF(OR(G364="",I364="",O364="",O364="Unclassified"),"",IFERROR(INDEX(Settings!$E$5:$H$16,MATCH(I364,Settings!$D$5:$D$16,0),MATCH(O364,Settings!$E$4:$H$4,0)),"Check"))</f>
        <v/>
      </c>
      <c r="W364">
        <f>IF(V364="","",IF(V364="No","Yes","No"))</f>
        <v/>
      </c>
      <c r="X364">
        <f>IF(OR(E364="",G364=""),"",IF(LOWER(IF(RIGHT(TRIM(E364),1)="/",LEFT(TRIM(E364),LEN(TRIM(E364))-1),TRIM(E364)))&lt;&gt;LOWER(IF(RIGHT(TRIM(G364),1)="/",LEFT(TRIM(G364),LEN(TRIM(G364))-1),TRIM(G364))),"Yes","No"))</f>
        <v/>
      </c>
      <c r="Y364">
        <f>IF(A364="","",(N(Q364)&gt;0)+(T364="Yes")+(U364="Yes")+(W364="Yes")+(X364="Yes"))</f>
        <v/>
      </c>
      <c r="Z364">
        <f>IF(A364="","",IF(G364="","Not mapped",IF(Y364=0,"OK",MID(IF(N(Q364)&gt;0,"; Cannibalisation","")&amp;IF(T364="Yes","; Too many primary keywords on URL","")&amp;IF(U364="Yes","; URL spans 2+ clusters","")&amp;IF(W364="Yes","; Intent mismatch","")&amp;IF(X364="Yes","; Ranking URL is not the target",""),3,300))))</f>
        <v/>
      </c>
      <c r="AA364">
        <f>IF(G364="","",IF(COUNTIF($G$3:G364,SUBSTITUTE(SUBSTITUTE(G364,"?","~?"),"*","~*"))=1,MAX($AA$2:AA363)+1,""))</f>
        <v/>
      </c>
      <c r="AB364">
        <f>IF(B364="","",IF(COUNTIF($B$3:B364,SUBSTITUTE(SUBSTITUTE(B364,"?","~?"),"*","~*"))=1,MAX($AB$2:AB363)+1,""))</f>
        <v/>
      </c>
    </row>
    <row r="365">
      <c r="M365">
        <f>IF(A365="","",LOWER(TRIM(SUBSTITUTE(SUBSTITUTE(A365,"?",""),"*",""))))</f>
        <v/>
      </c>
      <c r="N365">
        <f>IF(M365="","",IF(SUMPRODUCT(ISNUMBER(SEARCH(" "&amp;Settings!$L$5:$L$124&amp;" "," "&amp;M365&amp;" "))*(Settings!$K$5:$K$124="Navigational")*(Settings!$L$5:$L$124&lt;&gt;""))&gt;0,"Navigational",IF(SUMPRODUCT(ISNUMBER(SEARCH(" "&amp;Settings!$L$5:$L$124&amp;" "," "&amp;M365&amp;" "))*(Settings!$K$5:$K$124="Transactional")*(Settings!$L$5:$L$124&lt;&gt;""))&gt;0,"Transactional",IF(SUMPRODUCT(ISNUMBER(SEARCH(" "&amp;Settings!$L$5:$L$124&amp;" "," "&amp;M365&amp;" "))*(Settings!$K$5:$K$124="Commercial")*(Settings!$L$5:$L$124&lt;&gt;""))&gt;0,"Commercial",IF(SUMPRODUCT(ISNUMBER(SEARCH(" "&amp;Settings!$L$5:$L$124&amp;" "," "&amp;M365&amp;" "))*(Settings!$K$5:$K$124="Informational")*(Settings!$L$5:$L$124&lt;&gt;""))&gt;0,"Informational","Unclassified")))))</f>
        <v/>
      </c>
      <c r="O365">
        <f>IF(A365="","",IF(K365&lt;&gt;"",PROPER(K365),N365))</f>
        <v/>
      </c>
      <c r="P365">
        <f>IF(A365="","",ROUND(Settings!$B$5*MIN(1,LOG10(N(C365)+1)/LOG10(Settings!$B$7+1))+Settings!$B$6*(1-MIN(100,IF(D365="",50,N(D365)))/100)+IFERROR(INDEX(Settings!$B$10:$B$14,MATCH(O365,Settings!$A$10:$A$14,0)),0),0))</f>
        <v/>
      </c>
      <c r="Q365">
        <f>IF(OR(A365="",G365=""),"",COUNTIFS($M$3:$M$1002,M365,$G$3:$G$1002,"&lt;&gt;"&amp;SUBSTITUTE(SUBSTITUTE(G365,"?","~?"),"*","~*"),$G$3:$G$1002,"?*"))</f>
        <v/>
      </c>
      <c r="R365">
        <f>IF(Q365="","",IF(Q365&gt;0,"Yes","No"))</f>
        <v/>
      </c>
      <c r="S365">
        <f>IF(G365="","",COUNTIFS($G$3:$G$1002,SUBSTITUTE(SUBSTITUTE(G365,"?","~?"),"*","~*"),$J$3:$J$1002,"Primary"))</f>
        <v/>
      </c>
      <c r="T365">
        <f>IF(S365="","",IF(S365&gt;Settings!$B$4,"Yes","No"))</f>
        <v/>
      </c>
      <c r="U365">
        <f>IF(OR(G365="",B365=""),"",IF(COUNTIFS($G$3:$G$1002,SUBSTITUTE(SUBSTITUTE(G365,"?","~?"),"*","~*"),$B$3:$B$1002,"&lt;&gt;"&amp;SUBSTITUTE(SUBSTITUTE(B365,"?","~?"),"*","~*"),$B$3:$B$1002,"?*")&gt;0,"Yes","No"))</f>
        <v/>
      </c>
      <c r="V365">
        <f>IF(OR(G365="",I365="",O365="",O365="Unclassified"),"",IFERROR(INDEX(Settings!$E$5:$H$16,MATCH(I365,Settings!$D$5:$D$16,0),MATCH(O365,Settings!$E$4:$H$4,0)),"Check"))</f>
        <v/>
      </c>
      <c r="W365">
        <f>IF(V365="","",IF(V365="No","Yes","No"))</f>
        <v/>
      </c>
      <c r="X365">
        <f>IF(OR(E365="",G365=""),"",IF(LOWER(IF(RIGHT(TRIM(E365),1)="/",LEFT(TRIM(E365),LEN(TRIM(E365))-1),TRIM(E365)))&lt;&gt;LOWER(IF(RIGHT(TRIM(G365),1)="/",LEFT(TRIM(G365),LEN(TRIM(G365))-1),TRIM(G365))),"Yes","No"))</f>
        <v/>
      </c>
      <c r="Y365">
        <f>IF(A365="","",(N(Q365)&gt;0)+(T365="Yes")+(U365="Yes")+(W365="Yes")+(X365="Yes"))</f>
        <v/>
      </c>
      <c r="Z365">
        <f>IF(A365="","",IF(G365="","Not mapped",IF(Y365=0,"OK",MID(IF(N(Q365)&gt;0,"; Cannibalisation","")&amp;IF(T365="Yes","; Too many primary keywords on URL","")&amp;IF(U365="Yes","; URL spans 2+ clusters","")&amp;IF(W365="Yes","; Intent mismatch","")&amp;IF(X365="Yes","; Ranking URL is not the target",""),3,300))))</f>
        <v/>
      </c>
      <c r="AA365">
        <f>IF(G365="","",IF(COUNTIF($G$3:G365,SUBSTITUTE(SUBSTITUTE(G365,"?","~?"),"*","~*"))=1,MAX($AA$2:AA364)+1,""))</f>
        <v/>
      </c>
      <c r="AB365">
        <f>IF(B365="","",IF(COUNTIF($B$3:B365,SUBSTITUTE(SUBSTITUTE(B365,"?","~?"),"*","~*"))=1,MAX($AB$2:AB364)+1,""))</f>
        <v/>
      </c>
    </row>
    <row r="366">
      <c r="M366">
        <f>IF(A366="","",LOWER(TRIM(SUBSTITUTE(SUBSTITUTE(A366,"?",""),"*",""))))</f>
        <v/>
      </c>
      <c r="N366">
        <f>IF(M366="","",IF(SUMPRODUCT(ISNUMBER(SEARCH(" "&amp;Settings!$L$5:$L$124&amp;" "," "&amp;M366&amp;" "))*(Settings!$K$5:$K$124="Navigational")*(Settings!$L$5:$L$124&lt;&gt;""))&gt;0,"Navigational",IF(SUMPRODUCT(ISNUMBER(SEARCH(" "&amp;Settings!$L$5:$L$124&amp;" "," "&amp;M366&amp;" "))*(Settings!$K$5:$K$124="Transactional")*(Settings!$L$5:$L$124&lt;&gt;""))&gt;0,"Transactional",IF(SUMPRODUCT(ISNUMBER(SEARCH(" "&amp;Settings!$L$5:$L$124&amp;" "," "&amp;M366&amp;" "))*(Settings!$K$5:$K$124="Commercial")*(Settings!$L$5:$L$124&lt;&gt;""))&gt;0,"Commercial",IF(SUMPRODUCT(ISNUMBER(SEARCH(" "&amp;Settings!$L$5:$L$124&amp;" "," "&amp;M366&amp;" "))*(Settings!$K$5:$K$124="Informational")*(Settings!$L$5:$L$124&lt;&gt;""))&gt;0,"Informational","Unclassified")))))</f>
        <v/>
      </c>
      <c r="O366">
        <f>IF(A366="","",IF(K366&lt;&gt;"",PROPER(K366),N366))</f>
        <v/>
      </c>
      <c r="P366">
        <f>IF(A366="","",ROUND(Settings!$B$5*MIN(1,LOG10(N(C366)+1)/LOG10(Settings!$B$7+1))+Settings!$B$6*(1-MIN(100,IF(D366="",50,N(D366)))/100)+IFERROR(INDEX(Settings!$B$10:$B$14,MATCH(O366,Settings!$A$10:$A$14,0)),0),0))</f>
        <v/>
      </c>
      <c r="Q366">
        <f>IF(OR(A366="",G366=""),"",COUNTIFS($M$3:$M$1002,M366,$G$3:$G$1002,"&lt;&gt;"&amp;SUBSTITUTE(SUBSTITUTE(G366,"?","~?"),"*","~*"),$G$3:$G$1002,"?*"))</f>
        <v/>
      </c>
      <c r="R366">
        <f>IF(Q366="","",IF(Q366&gt;0,"Yes","No"))</f>
        <v/>
      </c>
      <c r="S366">
        <f>IF(G366="","",COUNTIFS($G$3:$G$1002,SUBSTITUTE(SUBSTITUTE(G366,"?","~?"),"*","~*"),$J$3:$J$1002,"Primary"))</f>
        <v/>
      </c>
      <c r="T366">
        <f>IF(S366="","",IF(S366&gt;Settings!$B$4,"Yes","No"))</f>
        <v/>
      </c>
      <c r="U366">
        <f>IF(OR(G366="",B366=""),"",IF(COUNTIFS($G$3:$G$1002,SUBSTITUTE(SUBSTITUTE(G366,"?","~?"),"*","~*"),$B$3:$B$1002,"&lt;&gt;"&amp;SUBSTITUTE(SUBSTITUTE(B366,"?","~?"),"*","~*"),$B$3:$B$1002,"?*")&gt;0,"Yes","No"))</f>
        <v/>
      </c>
      <c r="V366">
        <f>IF(OR(G366="",I366="",O366="",O366="Unclassified"),"",IFERROR(INDEX(Settings!$E$5:$H$16,MATCH(I366,Settings!$D$5:$D$16,0),MATCH(O366,Settings!$E$4:$H$4,0)),"Check"))</f>
        <v/>
      </c>
      <c r="W366">
        <f>IF(V366="","",IF(V366="No","Yes","No"))</f>
        <v/>
      </c>
      <c r="X366">
        <f>IF(OR(E366="",G366=""),"",IF(LOWER(IF(RIGHT(TRIM(E366),1)="/",LEFT(TRIM(E366),LEN(TRIM(E366))-1),TRIM(E366)))&lt;&gt;LOWER(IF(RIGHT(TRIM(G366),1)="/",LEFT(TRIM(G366),LEN(TRIM(G366))-1),TRIM(G366))),"Yes","No"))</f>
        <v/>
      </c>
      <c r="Y366">
        <f>IF(A366="","",(N(Q366)&gt;0)+(T366="Yes")+(U366="Yes")+(W366="Yes")+(X366="Yes"))</f>
        <v/>
      </c>
      <c r="Z366">
        <f>IF(A366="","",IF(G366="","Not mapped",IF(Y366=0,"OK",MID(IF(N(Q366)&gt;0,"; Cannibalisation","")&amp;IF(T366="Yes","; Too many primary keywords on URL","")&amp;IF(U366="Yes","; URL spans 2+ clusters","")&amp;IF(W366="Yes","; Intent mismatch","")&amp;IF(X366="Yes","; Ranking URL is not the target",""),3,300))))</f>
        <v/>
      </c>
      <c r="AA366">
        <f>IF(G366="","",IF(COUNTIF($G$3:G366,SUBSTITUTE(SUBSTITUTE(G366,"?","~?"),"*","~*"))=1,MAX($AA$2:AA365)+1,""))</f>
        <v/>
      </c>
      <c r="AB366">
        <f>IF(B366="","",IF(COUNTIF($B$3:B366,SUBSTITUTE(SUBSTITUTE(B366,"?","~?"),"*","~*"))=1,MAX($AB$2:AB365)+1,""))</f>
        <v/>
      </c>
    </row>
    <row r="367">
      <c r="M367">
        <f>IF(A367="","",LOWER(TRIM(SUBSTITUTE(SUBSTITUTE(A367,"?",""),"*",""))))</f>
        <v/>
      </c>
      <c r="N367">
        <f>IF(M367="","",IF(SUMPRODUCT(ISNUMBER(SEARCH(" "&amp;Settings!$L$5:$L$124&amp;" "," "&amp;M367&amp;" "))*(Settings!$K$5:$K$124="Navigational")*(Settings!$L$5:$L$124&lt;&gt;""))&gt;0,"Navigational",IF(SUMPRODUCT(ISNUMBER(SEARCH(" "&amp;Settings!$L$5:$L$124&amp;" "," "&amp;M367&amp;" "))*(Settings!$K$5:$K$124="Transactional")*(Settings!$L$5:$L$124&lt;&gt;""))&gt;0,"Transactional",IF(SUMPRODUCT(ISNUMBER(SEARCH(" "&amp;Settings!$L$5:$L$124&amp;" "," "&amp;M367&amp;" "))*(Settings!$K$5:$K$124="Commercial")*(Settings!$L$5:$L$124&lt;&gt;""))&gt;0,"Commercial",IF(SUMPRODUCT(ISNUMBER(SEARCH(" "&amp;Settings!$L$5:$L$124&amp;" "," "&amp;M367&amp;" "))*(Settings!$K$5:$K$124="Informational")*(Settings!$L$5:$L$124&lt;&gt;""))&gt;0,"Informational","Unclassified")))))</f>
        <v/>
      </c>
      <c r="O367">
        <f>IF(A367="","",IF(K367&lt;&gt;"",PROPER(K367),N367))</f>
        <v/>
      </c>
      <c r="P367">
        <f>IF(A367="","",ROUND(Settings!$B$5*MIN(1,LOG10(N(C367)+1)/LOG10(Settings!$B$7+1))+Settings!$B$6*(1-MIN(100,IF(D367="",50,N(D367)))/100)+IFERROR(INDEX(Settings!$B$10:$B$14,MATCH(O367,Settings!$A$10:$A$14,0)),0),0))</f>
        <v/>
      </c>
      <c r="Q367">
        <f>IF(OR(A367="",G367=""),"",COUNTIFS($M$3:$M$1002,M367,$G$3:$G$1002,"&lt;&gt;"&amp;SUBSTITUTE(SUBSTITUTE(G367,"?","~?"),"*","~*"),$G$3:$G$1002,"?*"))</f>
        <v/>
      </c>
      <c r="R367">
        <f>IF(Q367="","",IF(Q367&gt;0,"Yes","No"))</f>
        <v/>
      </c>
      <c r="S367">
        <f>IF(G367="","",COUNTIFS($G$3:$G$1002,SUBSTITUTE(SUBSTITUTE(G367,"?","~?"),"*","~*"),$J$3:$J$1002,"Primary"))</f>
        <v/>
      </c>
      <c r="T367">
        <f>IF(S367="","",IF(S367&gt;Settings!$B$4,"Yes","No"))</f>
        <v/>
      </c>
      <c r="U367">
        <f>IF(OR(G367="",B367=""),"",IF(COUNTIFS($G$3:$G$1002,SUBSTITUTE(SUBSTITUTE(G367,"?","~?"),"*","~*"),$B$3:$B$1002,"&lt;&gt;"&amp;SUBSTITUTE(SUBSTITUTE(B367,"?","~?"),"*","~*"),$B$3:$B$1002,"?*")&gt;0,"Yes","No"))</f>
        <v/>
      </c>
      <c r="V367">
        <f>IF(OR(G367="",I367="",O367="",O367="Unclassified"),"",IFERROR(INDEX(Settings!$E$5:$H$16,MATCH(I367,Settings!$D$5:$D$16,0),MATCH(O367,Settings!$E$4:$H$4,0)),"Check"))</f>
        <v/>
      </c>
      <c r="W367">
        <f>IF(V367="","",IF(V367="No","Yes","No"))</f>
        <v/>
      </c>
      <c r="X367">
        <f>IF(OR(E367="",G367=""),"",IF(LOWER(IF(RIGHT(TRIM(E367),1)="/",LEFT(TRIM(E367),LEN(TRIM(E367))-1),TRIM(E367)))&lt;&gt;LOWER(IF(RIGHT(TRIM(G367),1)="/",LEFT(TRIM(G367),LEN(TRIM(G367))-1),TRIM(G367))),"Yes","No"))</f>
        <v/>
      </c>
      <c r="Y367">
        <f>IF(A367="","",(N(Q367)&gt;0)+(T367="Yes")+(U367="Yes")+(W367="Yes")+(X367="Yes"))</f>
        <v/>
      </c>
      <c r="Z367">
        <f>IF(A367="","",IF(G367="","Not mapped",IF(Y367=0,"OK",MID(IF(N(Q367)&gt;0,"; Cannibalisation","")&amp;IF(T367="Yes","; Too many primary keywords on URL","")&amp;IF(U367="Yes","; URL spans 2+ clusters","")&amp;IF(W367="Yes","; Intent mismatch","")&amp;IF(X367="Yes","; Ranking URL is not the target",""),3,300))))</f>
        <v/>
      </c>
      <c r="AA367">
        <f>IF(G367="","",IF(COUNTIF($G$3:G367,SUBSTITUTE(SUBSTITUTE(G367,"?","~?"),"*","~*"))=1,MAX($AA$2:AA366)+1,""))</f>
        <v/>
      </c>
      <c r="AB367">
        <f>IF(B367="","",IF(COUNTIF($B$3:B367,SUBSTITUTE(SUBSTITUTE(B367,"?","~?"),"*","~*"))=1,MAX($AB$2:AB366)+1,""))</f>
        <v/>
      </c>
    </row>
    <row r="368">
      <c r="M368">
        <f>IF(A368="","",LOWER(TRIM(SUBSTITUTE(SUBSTITUTE(A368,"?",""),"*",""))))</f>
        <v/>
      </c>
      <c r="N368">
        <f>IF(M368="","",IF(SUMPRODUCT(ISNUMBER(SEARCH(" "&amp;Settings!$L$5:$L$124&amp;" "," "&amp;M368&amp;" "))*(Settings!$K$5:$K$124="Navigational")*(Settings!$L$5:$L$124&lt;&gt;""))&gt;0,"Navigational",IF(SUMPRODUCT(ISNUMBER(SEARCH(" "&amp;Settings!$L$5:$L$124&amp;" "," "&amp;M368&amp;" "))*(Settings!$K$5:$K$124="Transactional")*(Settings!$L$5:$L$124&lt;&gt;""))&gt;0,"Transactional",IF(SUMPRODUCT(ISNUMBER(SEARCH(" "&amp;Settings!$L$5:$L$124&amp;" "," "&amp;M368&amp;" "))*(Settings!$K$5:$K$124="Commercial")*(Settings!$L$5:$L$124&lt;&gt;""))&gt;0,"Commercial",IF(SUMPRODUCT(ISNUMBER(SEARCH(" "&amp;Settings!$L$5:$L$124&amp;" "," "&amp;M368&amp;" "))*(Settings!$K$5:$K$124="Informational")*(Settings!$L$5:$L$124&lt;&gt;""))&gt;0,"Informational","Unclassified")))))</f>
        <v/>
      </c>
      <c r="O368">
        <f>IF(A368="","",IF(K368&lt;&gt;"",PROPER(K368),N368))</f>
        <v/>
      </c>
      <c r="P368">
        <f>IF(A368="","",ROUND(Settings!$B$5*MIN(1,LOG10(N(C368)+1)/LOG10(Settings!$B$7+1))+Settings!$B$6*(1-MIN(100,IF(D368="",50,N(D368)))/100)+IFERROR(INDEX(Settings!$B$10:$B$14,MATCH(O368,Settings!$A$10:$A$14,0)),0),0))</f>
        <v/>
      </c>
      <c r="Q368">
        <f>IF(OR(A368="",G368=""),"",COUNTIFS($M$3:$M$1002,M368,$G$3:$G$1002,"&lt;&gt;"&amp;SUBSTITUTE(SUBSTITUTE(G368,"?","~?"),"*","~*"),$G$3:$G$1002,"?*"))</f>
        <v/>
      </c>
      <c r="R368">
        <f>IF(Q368="","",IF(Q368&gt;0,"Yes","No"))</f>
        <v/>
      </c>
      <c r="S368">
        <f>IF(G368="","",COUNTIFS($G$3:$G$1002,SUBSTITUTE(SUBSTITUTE(G368,"?","~?"),"*","~*"),$J$3:$J$1002,"Primary"))</f>
        <v/>
      </c>
      <c r="T368">
        <f>IF(S368="","",IF(S368&gt;Settings!$B$4,"Yes","No"))</f>
        <v/>
      </c>
      <c r="U368">
        <f>IF(OR(G368="",B368=""),"",IF(COUNTIFS($G$3:$G$1002,SUBSTITUTE(SUBSTITUTE(G368,"?","~?"),"*","~*"),$B$3:$B$1002,"&lt;&gt;"&amp;SUBSTITUTE(SUBSTITUTE(B368,"?","~?"),"*","~*"),$B$3:$B$1002,"?*")&gt;0,"Yes","No"))</f>
        <v/>
      </c>
      <c r="V368">
        <f>IF(OR(G368="",I368="",O368="",O368="Unclassified"),"",IFERROR(INDEX(Settings!$E$5:$H$16,MATCH(I368,Settings!$D$5:$D$16,0),MATCH(O368,Settings!$E$4:$H$4,0)),"Check"))</f>
        <v/>
      </c>
      <c r="W368">
        <f>IF(V368="","",IF(V368="No","Yes","No"))</f>
        <v/>
      </c>
      <c r="X368">
        <f>IF(OR(E368="",G368=""),"",IF(LOWER(IF(RIGHT(TRIM(E368),1)="/",LEFT(TRIM(E368),LEN(TRIM(E368))-1),TRIM(E368)))&lt;&gt;LOWER(IF(RIGHT(TRIM(G368),1)="/",LEFT(TRIM(G368),LEN(TRIM(G368))-1),TRIM(G368))),"Yes","No"))</f>
        <v/>
      </c>
      <c r="Y368">
        <f>IF(A368="","",(N(Q368)&gt;0)+(T368="Yes")+(U368="Yes")+(W368="Yes")+(X368="Yes"))</f>
        <v/>
      </c>
      <c r="Z368">
        <f>IF(A368="","",IF(G368="","Not mapped",IF(Y368=0,"OK",MID(IF(N(Q368)&gt;0,"; Cannibalisation","")&amp;IF(T368="Yes","; Too many primary keywords on URL","")&amp;IF(U368="Yes","; URL spans 2+ clusters","")&amp;IF(W368="Yes","; Intent mismatch","")&amp;IF(X368="Yes","; Ranking URL is not the target",""),3,300))))</f>
        <v/>
      </c>
      <c r="AA368">
        <f>IF(G368="","",IF(COUNTIF($G$3:G368,SUBSTITUTE(SUBSTITUTE(G368,"?","~?"),"*","~*"))=1,MAX($AA$2:AA367)+1,""))</f>
        <v/>
      </c>
      <c r="AB368">
        <f>IF(B368="","",IF(COUNTIF($B$3:B368,SUBSTITUTE(SUBSTITUTE(B368,"?","~?"),"*","~*"))=1,MAX($AB$2:AB367)+1,""))</f>
        <v/>
      </c>
    </row>
    <row r="369">
      <c r="M369">
        <f>IF(A369="","",LOWER(TRIM(SUBSTITUTE(SUBSTITUTE(A369,"?",""),"*",""))))</f>
        <v/>
      </c>
      <c r="N369">
        <f>IF(M369="","",IF(SUMPRODUCT(ISNUMBER(SEARCH(" "&amp;Settings!$L$5:$L$124&amp;" "," "&amp;M369&amp;" "))*(Settings!$K$5:$K$124="Navigational")*(Settings!$L$5:$L$124&lt;&gt;""))&gt;0,"Navigational",IF(SUMPRODUCT(ISNUMBER(SEARCH(" "&amp;Settings!$L$5:$L$124&amp;" "," "&amp;M369&amp;" "))*(Settings!$K$5:$K$124="Transactional")*(Settings!$L$5:$L$124&lt;&gt;""))&gt;0,"Transactional",IF(SUMPRODUCT(ISNUMBER(SEARCH(" "&amp;Settings!$L$5:$L$124&amp;" "," "&amp;M369&amp;" "))*(Settings!$K$5:$K$124="Commercial")*(Settings!$L$5:$L$124&lt;&gt;""))&gt;0,"Commercial",IF(SUMPRODUCT(ISNUMBER(SEARCH(" "&amp;Settings!$L$5:$L$124&amp;" "," "&amp;M369&amp;" "))*(Settings!$K$5:$K$124="Informational")*(Settings!$L$5:$L$124&lt;&gt;""))&gt;0,"Informational","Unclassified")))))</f>
        <v/>
      </c>
      <c r="O369">
        <f>IF(A369="","",IF(K369&lt;&gt;"",PROPER(K369),N369))</f>
        <v/>
      </c>
      <c r="P369">
        <f>IF(A369="","",ROUND(Settings!$B$5*MIN(1,LOG10(N(C369)+1)/LOG10(Settings!$B$7+1))+Settings!$B$6*(1-MIN(100,IF(D369="",50,N(D369)))/100)+IFERROR(INDEX(Settings!$B$10:$B$14,MATCH(O369,Settings!$A$10:$A$14,0)),0),0))</f>
        <v/>
      </c>
      <c r="Q369">
        <f>IF(OR(A369="",G369=""),"",COUNTIFS($M$3:$M$1002,M369,$G$3:$G$1002,"&lt;&gt;"&amp;SUBSTITUTE(SUBSTITUTE(G369,"?","~?"),"*","~*"),$G$3:$G$1002,"?*"))</f>
        <v/>
      </c>
      <c r="R369">
        <f>IF(Q369="","",IF(Q369&gt;0,"Yes","No"))</f>
        <v/>
      </c>
      <c r="S369">
        <f>IF(G369="","",COUNTIFS($G$3:$G$1002,SUBSTITUTE(SUBSTITUTE(G369,"?","~?"),"*","~*"),$J$3:$J$1002,"Primary"))</f>
        <v/>
      </c>
      <c r="T369">
        <f>IF(S369="","",IF(S369&gt;Settings!$B$4,"Yes","No"))</f>
        <v/>
      </c>
      <c r="U369">
        <f>IF(OR(G369="",B369=""),"",IF(COUNTIFS($G$3:$G$1002,SUBSTITUTE(SUBSTITUTE(G369,"?","~?"),"*","~*"),$B$3:$B$1002,"&lt;&gt;"&amp;SUBSTITUTE(SUBSTITUTE(B369,"?","~?"),"*","~*"),$B$3:$B$1002,"?*")&gt;0,"Yes","No"))</f>
        <v/>
      </c>
      <c r="V369">
        <f>IF(OR(G369="",I369="",O369="",O369="Unclassified"),"",IFERROR(INDEX(Settings!$E$5:$H$16,MATCH(I369,Settings!$D$5:$D$16,0),MATCH(O369,Settings!$E$4:$H$4,0)),"Check"))</f>
        <v/>
      </c>
      <c r="W369">
        <f>IF(V369="","",IF(V369="No","Yes","No"))</f>
        <v/>
      </c>
      <c r="X369">
        <f>IF(OR(E369="",G369=""),"",IF(LOWER(IF(RIGHT(TRIM(E369),1)="/",LEFT(TRIM(E369),LEN(TRIM(E369))-1),TRIM(E369)))&lt;&gt;LOWER(IF(RIGHT(TRIM(G369),1)="/",LEFT(TRIM(G369),LEN(TRIM(G369))-1),TRIM(G369))),"Yes","No"))</f>
        <v/>
      </c>
      <c r="Y369">
        <f>IF(A369="","",(N(Q369)&gt;0)+(T369="Yes")+(U369="Yes")+(W369="Yes")+(X369="Yes"))</f>
        <v/>
      </c>
      <c r="Z369">
        <f>IF(A369="","",IF(G369="","Not mapped",IF(Y369=0,"OK",MID(IF(N(Q369)&gt;0,"; Cannibalisation","")&amp;IF(T369="Yes","; Too many primary keywords on URL","")&amp;IF(U369="Yes","; URL spans 2+ clusters","")&amp;IF(W369="Yes","; Intent mismatch","")&amp;IF(X369="Yes","; Ranking URL is not the target",""),3,300))))</f>
        <v/>
      </c>
      <c r="AA369">
        <f>IF(G369="","",IF(COUNTIF($G$3:G369,SUBSTITUTE(SUBSTITUTE(G369,"?","~?"),"*","~*"))=1,MAX($AA$2:AA368)+1,""))</f>
        <v/>
      </c>
      <c r="AB369">
        <f>IF(B369="","",IF(COUNTIF($B$3:B369,SUBSTITUTE(SUBSTITUTE(B369,"?","~?"),"*","~*"))=1,MAX($AB$2:AB368)+1,""))</f>
        <v/>
      </c>
    </row>
    <row r="370">
      <c r="M370">
        <f>IF(A370="","",LOWER(TRIM(SUBSTITUTE(SUBSTITUTE(A370,"?",""),"*",""))))</f>
        <v/>
      </c>
      <c r="N370">
        <f>IF(M370="","",IF(SUMPRODUCT(ISNUMBER(SEARCH(" "&amp;Settings!$L$5:$L$124&amp;" "," "&amp;M370&amp;" "))*(Settings!$K$5:$K$124="Navigational")*(Settings!$L$5:$L$124&lt;&gt;""))&gt;0,"Navigational",IF(SUMPRODUCT(ISNUMBER(SEARCH(" "&amp;Settings!$L$5:$L$124&amp;" "," "&amp;M370&amp;" "))*(Settings!$K$5:$K$124="Transactional")*(Settings!$L$5:$L$124&lt;&gt;""))&gt;0,"Transactional",IF(SUMPRODUCT(ISNUMBER(SEARCH(" "&amp;Settings!$L$5:$L$124&amp;" "," "&amp;M370&amp;" "))*(Settings!$K$5:$K$124="Commercial")*(Settings!$L$5:$L$124&lt;&gt;""))&gt;0,"Commercial",IF(SUMPRODUCT(ISNUMBER(SEARCH(" "&amp;Settings!$L$5:$L$124&amp;" "," "&amp;M370&amp;" "))*(Settings!$K$5:$K$124="Informational")*(Settings!$L$5:$L$124&lt;&gt;""))&gt;0,"Informational","Unclassified")))))</f>
        <v/>
      </c>
      <c r="O370">
        <f>IF(A370="","",IF(K370&lt;&gt;"",PROPER(K370),N370))</f>
        <v/>
      </c>
      <c r="P370">
        <f>IF(A370="","",ROUND(Settings!$B$5*MIN(1,LOG10(N(C370)+1)/LOG10(Settings!$B$7+1))+Settings!$B$6*(1-MIN(100,IF(D370="",50,N(D370)))/100)+IFERROR(INDEX(Settings!$B$10:$B$14,MATCH(O370,Settings!$A$10:$A$14,0)),0),0))</f>
        <v/>
      </c>
      <c r="Q370">
        <f>IF(OR(A370="",G370=""),"",COUNTIFS($M$3:$M$1002,M370,$G$3:$G$1002,"&lt;&gt;"&amp;SUBSTITUTE(SUBSTITUTE(G370,"?","~?"),"*","~*"),$G$3:$G$1002,"?*"))</f>
        <v/>
      </c>
      <c r="R370">
        <f>IF(Q370="","",IF(Q370&gt;0,"Yes","No"))</f>
        <v/>
      </c>
      <c r="S370">
        <f>IF(G370="","",COUNTIFS($G$3:$G$1002,SUBSTITUTE(SUBSTITUTE(G370,"?","~?"),"*","~*"),$J$3:$J$1002,"Primary"))</f>
        <v/>
      </c>
      <c r="T370">
        <f>IF(S370="","",IF(S370&gt;Settings!$B$4,"Yes","No"))</f>
        <v/>
      </c>
      <c r="U370">
        <f>IF(OR(G370="",B370=""),"",IF(COUNTIFS($G$3:$G$1002,SUBSTITUTE(SUBSTITUTE(G370,"?","~?"),"*","~*"),$B$3:$B$1002,"&lt;&gt;"&amp;SUBSTITUTE(SUBSTITUTE(B370,"?","~?"),"*","~*"),$B$3:$B$1002,"?*")&gt;0,"Yes","No"))</f>
        <v/>
      </c>
      <c r="V370">
        <f>IF(OR(G370="",I370="",O370="",O370="Unclassified"),"",IFERROR(INDEX(Settings!$E$5:$H$16,MATCH(I370,Settings!$D$5:$D$16,0),MATCH(O370,Settings!$E$4:$H$4,0)),"Check"))</f>
        <v/>
      </c>
      <c r="W370">
        <f>IF(V370="","",IF(V370="No","Yes","No"))</f>
        <v/>
      </c>
      <c r="X370">
        <f>IF(OR(E370="",G370=""),"",IF(LOWER(IF(RIGHT(TRIM(E370),1)="/",LEFT(TRIM(E370),LEN(TRIM(E370))-1),TRIM(E370)))&lt;&gt;LOWER(IF(RIGHT(TRIM(G370),1)="/",LEFT(TRIM(G370),LEN(TRIM(G370))-1),TRIM(G370))),"Yes","No"))</f>
        <v/>
      </c>
      <c r="Y370">
        <f>IF(A370="","",(N(Q370)&gt;0)+(T370="Yes")+(U370="Yes")+(W370="Yes")+(X370="Yes"))</f>
        <v/>
      </c>
      <c r="Z370">
        <f>IF(A370="","",IF(G370="","Not mapped",IF(Y370=0,"OK",MID(IF(N(Q370)&gt;0,"; Cannibalisation","")&amp;IF(T370="Yes","; Too many primary keywords on URL","")&amp;IF(U370="Yes","; URL spans 2+ clusters","")&amp;IF(W370="Yes","; Intent mismatch","")&amp;IF(X370="Yes","; Ranking URL is not the target",""),3,300))))</f>
        <v/>
      </c>
      <c r="AA370">
        <f>IF(G370="","",IF(COUNTIF($G$3:G370,SUBSTITUTE(SUBSTITUTE(G370,"?","~?"),"*","~*"))=1,MAX($AA$2:AA369)+1,""))</f>
        <v/>
      </c>
      <c r="AB370">
        <f>IF(B370="","",IF(COUNTIF($B$3:B370,SUBSTITUTE(SUBSTITUTE(B370,"?","~?"),"*","~*"))=1,MAX($AB$2:AB369)+1,""))</f>
        <v/>
      </c>
    </row>
    <row r="371">
      <c r="M371">
        <f>IF(A371="","",LOWER(TRIM(SUBSTITUTE(SUBSTITUTE(A371,"?",""),"*",""))))</f>
        <v/>
      </c>
      <c r="N371">
        <f>IF(M371="","",IF(SUMPRODUCT(ISNUMBER(SEARCH(" "&amp;Settings!$L$5:$L$124&amp;" "," "&amp;M371&amp;" "))*(Settings!$K$5:$K$124="Navigational")*(Settings!$L$5:$L$124&lt;&gt;""))&gt;0,"Navigational",IF(SUMPRODUCT(ISNUMBER(SEARCH(" "&amp;Settings!$L$5:$L$124&amp;" "," "&amp;M371&amp;" "))*(Settings!$K$5:$K$124="Transactional")*(Settings!$L$5:$L$124&lt;&gt;""))&gt;0,"Transactional",IF(SUMPRODUCT(ISNUMBER(SEARCH(" "&amp;Settings!$L$5:$L$124&amp;" "," "&amp;M371&amp;" "))*(Settings!$K$5:$K$124="Commercial")*(Settings!$L$5:$L$124&lt;&gt;""))&gt;0,"Commercial",IF(SUMPRODUCT(ISNUMBER(SEARCH(" "&amp;Settings!$L$5:$L$124&amp;" "," "&amp;M371&amp;" "))*(Settings!$K$5:$K$124="Informational")*(Settings!$L$5:$L$124&lt;&gt;""))&gt;0,"Informational","Unclassified")))))</f>
        <v/>
      </c>
      <c r="O371">
        <f>IF(A371="","",IF(K371&lt;&gt;"",PROPER(K371),N371))</f>
        <v/>
      </c>
      <c r="P371">
        <f>IF(A371="","",ROUND(Settings!$B$5*MIN(1,LOG10(N(C371)+1)/LOG10(Settings!$B$7+1))+Settings!$B$6*(1-MIN(100,IF(D371="",50,N(D371)))/100)+IFERROR(INDEX(Settings!$B$10:$B$14,MATCH(O371,Settings!$A$10:$A$14,0)),0),0))</f>
        <v/>
      </c>
      <c r="Q371">
        <f>IF(OR(A371="",G371=""),"",COUNTIFS($M$3:$M$1002,M371,$G$3:$G$1002,"&lt;&gt;"&amp;SUBSTITUTE(SUBSTITUTE(G371,"?","~?"),"*","~*"),$G$3:$G$1002,"?*"))</f>
        <v/>
      </c>
      <c r="R371">
        <f>IF(Q371="","",IF(Q371&gt;0,"Yes","No"))</f>
        <v/>
      </c>
      <c r="S371">
        <f>IF(G371="","",COUNTIFS($G$3:$G$1002,SUBSTITUTE(SUBSTITUTE(G371,"?","~?"),"*","~*"),$J$3:$J$1002,"Primary"))</f>
        <v/>
      </c>
      <c r="T371">
        <f>IF(S371="","",IF(S371&gt;Settings!$B$4,"Yes","No"))</f>
        <v/>
      </c>
      <c r="U371">
        <f>IF(OR(G371="",B371=""),"",IF(COUNTIFS($G$3:$G$1002,SUBSTITUTE(SUBSTITUTE(G371,"?","~?"),"*","~*"),$B$3:$B$1002,"&lt;&gt;"&amp;SUBSTITUTE(SUBSTITUTE(B371,"?","~?"),"*","~*"),$B$3:$B$1002,"?*")&gt;0,"Yes","No"))</f>
        <v/>
      </c>
      <c r="V371">
        <f>IF(OR(G371="",I371="",O371="",O371="Unclassified"),"",IFERROR(INDEX(Settings!$E$5:$H$16,MATCH(I371,Settings!$D$5:$D$16,0),MATCH(O371,Settings!$E$4:$H$4,0)),"Check"))</f>
        <v/>
      </c>
      <c r="W371">
        <f>IF(V371="","",IF(V371="No","Yes","No"))</f>
        <v/>
      </c>
      <c r="X371">
        <f>IF(OR(E371="",G371=""),"",IF(LOWER(IF(RIGHT(TRIM(E371),1)="/",LEFT(TRIM(E371),LEN(TRIM(E371))-1),TRIM(E371)))&lt;&gt;LOWER(IF(RIGHT(TRIM(G371),1)="/",LEFT(TRIM(G371),LEN(TRIM(G371))-1),TRIM(G371))),"Yes","No"))</f>
        <v/>
      </c>
      <c r="Y371">
        <f>IF(A371="","",(N(Q371)&gt;0)+(T371="Yes")+(U371="Yes")+(W371="Yes")+(X371="Yes"))</f>
        <v/>
      </c>
      <c r="Z371">
        <f>IF(A371="","",IF(G371="","Not mapped",IF(Y371=0,"OK",MID(IF(N(Q371)&gt;0,"; Cannibalisation","")&amp;IF(T371="Yes","; Too many primary keywords on URL","")&amp;IF(U371="Yes","; URL spans 2+ clusters","")&amp;IF(W371="Yes","; Intent mismatch","")&amp;IF(X371="Yes","; Ranking URL is not the target",""),3,300))))</f>
        <v/>
      </c>
      <c r="AA371">
        <f>IF(G371="","",IF(COUNTIF($G$3:G371,SUBSTITUTE(SUBSTITUTE(G371,"?","~?"),"*","~*"))=1,MAX($AA$2:AA370)+1,""))</f>
        <v/>
      </c>
      <c r="AB371">
        <f>IF(B371="","",IF(COUNTIF($B$3:B371,SUBSTITUTE(SUBSTITUTE(B371,"?","~?"),"*","~*"))=1,MAX($AB$2:AB370)+1,""))</f>
        <v/>
      </c>
    </row>
    <row r="372">
      <c r="M372">
        <f>IF(A372="","",LOWER(TRIM(SUBSTITUTE(SUBSTITUTE(A372,"?",""),"*",""))))</f>
        <v/>
      </c>
      <c r="N372">
        <f>IF(M372="","",IF(SUMPRODUCT(ISNUMBER(SEARCH(" "&amp;Settings!$L$5:$L$124&amp;" "," "&amp;M372&amp;" "))*(Settings!$K$5:$K$124="Navigational")*(Settings!$L$5:$L$124&lt;&gt;""))&gt;0,"Navigational",IF(SUMPRODUCT(ISNUMBER(SEARCH(" "&amp;Settings!$L$5:$L$124&amp;" "," "&amp;M372&amp;" "))*(Settings!$K$5:$K$124="Transactional")*(Settings!$L$5:$L$124&lt;&gt;""))&gt;0,"Transactional",IF(SUMPRODUCT(ISNUMBER(SEARCH(" "&amp;Settings!$L$5:$L$124&amp;" "," "&amp;M372&amp;" "))*(Settings!$K$5:$K$124="Commercial")*(Settings!$L$5:$L$124&lt;&gt;""))&gt;0,"Commercial",IF(SUMPRODUCT(ISNUMBER(SEARCH(" "&amp;Settings!$L$5:$L$124&amp;" "," "&amp;M372&amp;" "))*(Settings!$K$5:$K$124="Informational")*(Settings!$L$5:$L$124&lt;&gt;""))&gt;0,"Informational","Unclassified")))))</f>
        <v/>
      </c>
      <c r="O372">
        <f>IF(A372="","",IF(K372&lt;&gt;"",PROPER(K372),N372))</f>
        <v/>
      </c>
      <c r="P372">
        <f>IF(A372="","",ROUND(Settings!$B$5*MIN(1,LOG10(N(C372)+1)/LOG10(Settings!$B$7+1))+Settings!$B$6*(1-MIN(100,IF(D372="",50,N(D372)))/100)+IFERROR(INDEX(Settings!$B$10:$B$14,MATCH(O372,Settings!$A$10:$A$14,0)),0),0))</f>
        <v/>
      </c>
      <c r="Q372">
        <f>IF(OR(A372="",G372=""),"",COUNTIFS($M$3:$M$1002,M372,$G$3:$G$1002,"&lt;&gt;"&amp;SUBSTITUTE(SUBSTITUTE(G372,"?","~?"),"*","~*"),$G$3:$G$1002,"?*"))</f>
        <v/>
      </c>
      <c r="R372">
        <f>IF(Q372="","",IF(Q372&gt;0,"Yes","No"))</f>
        <v/>
      </c>
      <c r="S372">
        <f>IF(G372="","",COUNTIFS($G$3:$G$1002,SUBSTITUTE(SUBSTITUTE(G372,"?","~?"),"*","~*"),$J$3:$J$1002,"Primary"))</f>
        <v/>
      </c>
      <c r="T372">
        <f>IF(S372="","",IF(S372&gt;Settings!$B$4,"Yes","No"))</f>
        <v/>
      </c>
      <c r="U372">
        <f>IF(OR(G372="",B372=""),"",IF(COUNTIFS($G$3:$G$1002,SUBSTITUTE(SUBSTITUTE(G372,"?","~?"),"*","~*"),$B$3:$B$1002,"&lt;&gt;"&amp;SUBSTITUTE(SUBSTITUTE(B372,"?","~?"),"*","~*"),$B$3:$B$1002,"?*")&gt;0,"Yes","No"))</f>
        <v/>
      </c>
      <c r="V372">
        <f>IF(OR(G372="",I372="",O372="",O372="Unclassified"),"",IFERROR(INDEX(Settings!$E$5:$H$16,MATCH(I372,Settings!$D$5:$D$16,0),MATCH(O372,Settings!$E$4:$H$4,0)),"Check"))</f>
        <v/>
      </c>
      <c r="W372">
        <f>IF(V372="","",IF(V372="No","Yes","No"))</f>
        <v/>
      </c>
      <c r="X372">
        <f>IF(OR(E372="",G372=""),"",IF(LOWER(IF(RIGHT(TRIM(E372),1)="/",LEFT(TRIM(E372),LEN(TRIM(E372))-1),TRIM(E372)))&lt;&gt;LOWER(IF(RIGHT(TRIM(G372),1)="/",LEFT(TRIM(G372),LEN(TRIM(G372))-1),TRIM(G372))),"Yes","No"))</f>
        <v/>
      </c>
      <c r="Y372">
        <f>IF(A372="","",(N(Q372)&gt;0)+(T372="Yes")+(U372="Yes")+(W372="Yes")+(X372="Yes"))</f>
        <v/>
      </c>
      <c r="Z372">
        <f>IF(A372="","",IF(G372="","Not mapped",IF(Y372=0,"OK",MID(IF(N(Q372)&gt;0,"; Cannibalisation","")&amp;IF(T372="Yes","; Too many primary keywords on URL","")&amp;IF(U372="Yes","; URL spans 2+ clusters","")&amp;IF(W372="Yes","; Intent mismatch","")&amp;IF(X372="Yes","; Ranking URL is not the target",""),3,300))))</f>
        <v/>
      </c>
      <c r="AA372">
        <f>IF(G372="","",IF(COUNTIF($G$3:G372,SUBSTITUTE(SUBSTITUTE(G372,"?","~?"),"*","~*"))=1,MAX($AA$2:AA371)+1,""))</f>
        <v/>
      </c>
      <c r="AB372">
        <f>IF(B372="","",IF(COUNTIF($B$3:B372,SUBSTITUTE(SUBSTITUTE(B372,"?","~?"),"*","~*"))=1,MAX($AB$2:AB371)+1,""))</f>
        <v/>
      </c>
    </row>
    <row r="373">
      <c r="M373">
        <f>IF(A373="","",LOWER(TRIM(SUBSTITUTE(SUBSTITUTE(A373,"?",""),"*",""))))</f>
        <v/>
      </c>
      <c r="N373">
        <f>IF(M373="","",IF(SUMPRODUCT(ISNUMBER(SEARCH(" "&amp;Settings!$L$5:$L$124&amp;" "," "&amp;M373&amp;" "))*(Settings!$K$5:$K$124="Navigational")*(Settings!$L$5:$L$124&lt;&gt;""))&gt;0,"Navigational",IF(SUMPRODUCT(ISNUMBER(SEARCH(" "&amp;Settings!$L$5:$L$124&amp;" "," "&amp;M373&amp;" "))*(Settings!$K$5:$K$124="Transactional")*(Settings!$L$5:$L$124&lt;&gt;""))&gt;0,"Transactional",IF(SUMPRODUCT(ISNUMBER(SEARCH(" "&amp;Settings!$L$5:$L$124&amp;" "," "&amp;M373&amp;" "))*(Settings!$K$5:$K$124="Commercial")*(Settings!$L$5:$L$124&lt;&gt;""))&gt;0,"Commercial",IF(SUMPRODUCT(ISNUMBER(SEARCH(" "&amp;Settings!$L$5:$L$124&amp;" "," "&amp;M373&amp;" "))*(Settings!$K$5:$K$124="Informational")*(Settings!$L$5:$L$124&lt;&gt;""))&gt;0,"Informational","Unclassified")))))</f>
        <v/>
      </c>
      <c r="O373">
        <f>IF(A373="","",IF(K373&lt;&gt;"",PROPER(K373),N373))</f>
        <v/>
      </c>
      <c r="P373">
        <f>IF(A373="","",ROUND(Settings!$B$5*MIN(1,LOG10(N(C373)+1)/LOG10(Settings!$B$7+1))+Settings!$B$6*(1-MIN(100,IF(D373="",50,N(D373)))/100)+IFERROR(INDEX(Settings!$B$10:$B$14,MATCH(O373,Settings!$A$10:$A$14,0)),0),0))</f>
        <v/>
      </c>
      <c r="Q373">
        <f>IF(OR(A373="",G373=""),"",COUNTIFS($M$3:$M$1002,M373,$G$3:$G$1002,"&lt;&gt;"&amp;SUBSTITUTE(SUBSTITUTE(G373,"?","~?"),"*","~*"),$G$3:$G$1002,"?*"))</f>
        <v/>
      </c>
      <c r="R373">
        <f>IF(Q373="","",IF(Q373&gt;0,"Yes","No"))</f>
        <v/>
      </c>
      <c r="S373">
        <f>IF(G373="","",COUNTIFS($G$3:$G$1002,SUBSTITUTE(SUBSTITUTE(G373,"?","~?"),"*","~*"),$J$3:$J$1002,"Primary"))</f>
        <v/>
      </c>
      <c r="T373">
        <f>IF(S373="","",IF(S373&gt;Settings!$B$4,"Yes","No"))</f>
        <v/>
      </c>
      <c r="U373">
        <f>IF(OR(G373="",B373=""),"",IF(COUNTIFS($G$3:$G$1002,SUBSTITUTE(SUBSTITUTE(G373,"?","~?"),"*","~*"),$B$3:$B$1002,"&lt;&gt;"&amp;SUBSTITUTE(SUBSTITUTE(B373,"?","~?"),"*","~*"),$B$3:$B$1002,"?*")&gt;0,"Yes","No"))</f>
        <v/>
      </c>
      <c r="V373">
        <f>IF(OR(G373="",I373="",O373="",O373="Unclassified"),"",IFERROR(INDEX(Settings!$E$5:$H$16,MATCH(I373,Settings!$D$5:$D$16,0),MATCH(O373,Settings!$E$4:$H$4,0)),"Check"))</f>
        <v/>
      </c>
      <c r="W373">
        <f>IF(V373="","",IF(V373="No","Yes","No"))</f>
        <v/>
      </c>
      <c r="X373">
        <f>IF(OR(E373="",G373=""),"",IF(LOWER(IF(RIGHT(TRIM(E373),1)="/",LEFT(TRIM(E373),LEN(TRIM(E373))-1),TRIM(E373)))&lt;&gt;LOWER(IF(RIGHT(TRIM(G373),1)="/",LEFT(TRIM(G373),LEN(TRIM(G373))-1),TRIM(G373))),"Yes","No"))</f>
        <v/>
      </c>
      <c r="Y373">
        <f>IF(A373="","",(N(Q373)&gt;0)+(T373="Yes")+(U373="Yes")+(W373="Yes")+(X373="Yes"))</f>
        <v/>
      </c>
      <c r="Z373">
        <f>IF(A373="","",IF(G373="","Not mapped",IF(Y373=0,"OK",MID(IF(N(Q373)&gt;0,"; Cannibalisation","")&amp;IF(T373="Yes","; Too many primary keywords on URL","")&amp;IF(U373="Yes","; URL spans 2+ clusters","")&amp;IF(W373="Yes","; Intent mismatch","")&amp;IF(X373="Yes","; Ranking URL is not the target",""),3,300))))</f>
        <v/>
      </c>
      <c r="AA373">
        <f>IF(G373="","",IF(COUNTIF($G$3:G373,SUBSTITUTE(SUBSTITUTE(G373,"?","~?"),"*","~*"))=1,MAX($AA$2:AA372)+1,""))</f>
        <v/>
      </c>
      <c r="AB373">
        <f>IF(B373="","",IF(COUNTIF($B$3:B373,SUBSTITUTE(SUBSTITUTE(B373,"?","~?"),"*","~*"))=1,MAX($AB$2:AB372)+1,""))</f>
        <v/>
      </c>
    </row>
    <row r="374">
      <c r="M374">
        <f>IF(A374="","",LOWER(TRIM(SUBSTITUTE(SUBSTITUTE(A374,"?",""),"*",""))))</f>
        <v/>
      </c>
      <c r="N374">
        <f>IF(M374="","",IF(SUMPRODUCT(ISNUMBER(SEARCH(" "&amp;Settings!$L$5:$L$124&amp;" "," "&amp;M374&amp;" "))*(Settings!$K$5:$K$124="Navigational")*(Settings!$L$5:$L$124&lt;&gt;""))&gt;0,"Navigational",IF(SUMPRODUCT(ISNUMBER(SEARCH(" "&amp;Settings!$L$5:$L$124&amp;" "," "&amp;M374&amp;" "))*(Settings!$K$5:$K$124="Transactional")*(Settings!$L$5:$L$124&lt;&gt;""))&gt;0,"Transactional",IF(SUMPRODUCT(ISNUMBER(SEARCH(" "&amp;Settings!$L$5:$L$124&amp;" "," "&amp;M374&amp;" "))*(Settings!$K$5:$K$124="Commercial")*(Settings!$L$5:$L$124&lt;&gt;""))&gt;0,"Commercial",IF(SUMPRODUCT(ISNUMBER(SEARCH(" "&amp;Settings!$L$5:$L$124&amp;" "," "&amp;M374&amp;" "))*(Settings!$K$5:$K$124="Informational")*(Settings!$L$5:$L$124&lt;&gt;""))&gt;0,"Informational","Unclassified")))))</f>
        <v/>
      </c>
      <c r="O374">
        <f>IF(A374="","",IF(K374&lt;&gt;"",PROPER(K374),N374))</f>
        <v/>
      </c>
      <c r="P374">
        <f>IF(A374="","",ROUND(Settings!$B$5*MIN(1,LOG10(N(C374)+1)/LOG10(Settings!$B$7+1))+Settings!$B$6*(1-MIN(100,IF(D374="",50,N(D374)))/100)+IFERROR(INDEX(Settings!$B$10:$B$14,MATCH(O374,Settings!$A$10:$A$14,0)),0),0))</f>
        <v/>
      </c>
      <c r="Q374">
        <f>IF(OR(A374="",G374=""),"",COUNTIFS($M$3:$M$1002,M374,$G$3:$G$1002,"&lt;&gt;"&amp;SUBSTITUTE(SUBSTITUTE(G374,"?","~?"),"*","~*"),$G$3:$G$1002,"?*"))</f>
        <v/>
      </c>
      <c r="R374">
        <f>IF(Q374="","",IF(Q374&gt;0,"Yes","No"))</f>
        <v/>
      </c>
      <c r="S374">
        <f>IF(G374="","",COUNTIFS($G$3:$G$1002,SUBSTITUTE(SUBSTITUTE(G374,"?","~?"),"*","~*"),$J$3:$J$1002,"Primary"))</f>
        <v/>
      </c>
      <c r="T374">
        <f>IF(S374="","",IF(S374&gt;Settings!$B$4,"Yes","No"))</f>
        <v/>
      </c>
      <c r="U374">
        <f>IF(OR(G374="",B374=""),"",IF(COUNTIFS($G$3:$G$1002,SUBSTITUTE(SUBSTITUTE(G374,"?","~?"),"*","~*"),$B$3:$B$1002,"&lt;&gt;"&amp;SUBSTITUTE(SUBSTITUTE(B374,"?","~?"),"*","~*"),$B$3:$B$1002,"?*")&gt;0,"Yes","No"))</f>
        <v/>
      </c>
      <c r="V374">
        <f>IF(OR(G374="",I374="",O374="",O374="Unclassified"),"",IFERROR(INDEX(Settings!$E$5:$H$16,MATCH(I374,Settings!$D$5:$D$16,0),MATCH(O374,Settings!$E$4:$H$4,0)),"Check"))</f>
        <v/>
      </c>
      <c r="W374">
        <f>IF(V374="","",IF(V374="No","Yes","No"))</f>
        <v/>
      </c>
      <c r="X374">
        <f>IF(OR(E374="",G374=""),"",IF(LOWER(IF(RIGHT(TRIM(E374),1)="/",LEFT(TRIM(E374),LEN(TRIM(E374))-1),TRIM(E374)))&lt;&gt;LOWER(IF(RIGHT(TRIM(G374),1)="/",LEFT(TRIM(G374),LEN(TRIM(G374))-1),TRIM(G374))),"Yes","No"))</f>
        <v/>
      </c>
      <c r="Y374">
        <f>IF(A374="","",(N(Q374)&gt;0)+(T374="Yes")+(U374="Yes")+(W374="Yes")+(X374="Yes"))</f>
        <v/>
      </c>
      <c r="Z374">
        <f>IF(A374="","",IF(G374="","Not mapped",IF(Y374=0,"OK",MID(IF(N(Q374)&gt;0,"; Cannibalisation","")&amp;IF(T374="Yes","; Too many primary keywords on URL","")&amp;IF(U374="Yes","; URL spans 2+ clusters","")&amp;IF(W374="Yes","; Intent mismatch","")&amp;IF(X374="Yes","; Ranking URL is not the target",""),3,300))))</f>
        <v/>
      </c>
      <c r="AA374">
        <f>IF(G374="","",IF(COUNTIF($G$3:G374,SUBSTITUTE(SUBSTITUTE(G374,"?","~?"),"*","~*"))=1,MAX($AA$2:AA373)+1,""))</f>
        <v/>
      </c>
      <c r="AB374">
        <f>IF(B374="","",IF(COUNTIF($B$3:B374,SUBSTITUTE(SUBSTITUTE(B374,"?","~?"),"*","~*"))=1,MAX($AB$2:AB373)+1,""))</f>
        <v/>
      </c>
    </row>
    <row r="375">
      <c r="M375">
        <f>IF(A375="","",LOWER(TRIM(SUBSTITUTE(SUBSTITUTE(A375,"?",""),"*",""))))</f>
        <v/>
      </c>
      <c r="N375">
        <f>IF(M375="","",IF(SUMPRODUCT(ISNUMBER(SEARCH(" "&amp;Settings!$L$5:$L$124&amp;" "," "&amp;M375&amp;" "))*(Settings!$K$5:$K$124="Navigational")*(Settings!$L$5:$L$124&lt;&gt;""))&gt;0,"Navigational",IF(SUMPRODUCT(ISNUMBER(SEARCH(" "&amp;Settings!$L$5:$L$124&amp;" "," "&amp;M375&amp;" "))*(Settings!$K$5:$K$124="Transactional")*(Settings!$L$5:$L$124&lt;&gt;""))&gt;0,"Transactional",IF(SUMPRODUCT(ISNUMBER(SEARCH(" "&amp;Settings!$L$5:$L$124&amp;" "," "&amp;M375&amp;" "))*(Settings!$K$5:$K$124="Commercial")*(Settings!$L$5:$L$124&lt;&gt;""))&gt;0,"Commercial",IF(SUMPRODUCT(ISNUMBER(SEARCH(" "&amp;Settings!$L$5:$L$124&amp;" "," "&amp;M375&amp;" "))*(Settings!$K$5:$K$124="Informational")*(Settings!$L$5:$L$124&lt;&gt;""))&gt;0,"Informational","Unclassified")))))</f>
        <v/>
      </c>
      <c r="O375">
        <f>IF(A375="","",IF(K375&lt;&gt;"",PROPER(K375),N375))</f>
        <v/>
      </c>
      <c r="P375">
        <f>IF(A375="","",ROUND(Settings!$B$5*MIN(1,LOG10(N(C375)+1)/LOG10(Settings!$B$7+1))+Settings!$B$6*(1-MIN(100,IF(D375="",50,N(D375)))/100)+IFERROR(INDEX(Settings!$B$10:$B$14,MATCH(O375,Settings!$A$10:$A$14,0)),0),0))</f>
        <v/>
      </c>
      <c r="Q375">
        <f>IF(OR(A375="",G375=""),"",COUNTIFS($M$3:$M$1002,M375,$G$3:$G$1002,"&lt;&gt;"&amp;SUBSTITUTE(SUBSTITUTE(G375,"?","~?"),"*","~*"),$G$3:$G$1002,"?*"))</f>
        <v/>
      </c>
      <c r="R375">
        <f>IF(Q375="","",IF(Q375&gt;0,"Yes","No"))</f>
        <v/>
      </c>
      <c r="S375">
        <f>IF(G375="","",COUNTIFS($G$3:$G$1002,SUBSTITUTE(SUBSTITUTE(G375,"?","~?"),"*","~*"),$J$3:$J$1002,"Primary"))</f>
        <v/>
      </c>
      <c r="T375">
        <f>IF(S375="","",IF(S375&gt;Settings!$B$4,"Yes","No"))</f>
        <v/>
      </c>
      <c r="U375">
        <f>IF(OR(G375="",B375=""),"",IF(COUNTIFS($G$3:$G$1002,SUBSTITUTE(SUBSTITUTE(G375,"?","~?"),"*","~*"),$B$3:$B$1002,"&lt;&gt;"&amp;SUBSTITUTE(SUBSTITUTE(B375,"?","~?"),"*","~*"),$B$3:$B$1002,"?*")&gt;0,"Yes","No"))</f>
        <v/>
      </c>
      <c r="V375">
        <f>IF(OR(G375="",I375="",O375="",O375="Unclassified"),"",IFERROR(INDEX(Settings!$E$5:$H$16,MATCH(I375,Settings!$D$5:$D$16,0),MATCH(O375,Settings!$E$4:$H$4,0)),"Check"))</f>
        <v/>
      </c>
      <c r="W375">
        <f>IF(V375="","",IF(V375="No","Yes","No"))</f>
        <v/>
      </c>
      <c r="X375">
        <f>IF(OR(E375="",G375=""),"",IF(LOWER(IF(RIGHT(TRIM(E375),1)="/",LEFT(TRIM(E375),LEN(TRIM(E375))-1),TRIM(E375)))&lt;&gt;LOWER(IF(RIGHT(TRIM(G375),1)="/",LEFT(TRIM(G375),LEN(TRIM(G375))-1),TRIM(G375))),"Yes","No"))</f>
        <v/>
      </c>
      <c r="Y375">
        <f>IF(A375="","",(N(Q375)&gt;0)+(T375="Yes")+(U375="Yes")+(W375="Yes")+(X375="Yes"))</f>
        <v/>
      </c>
      <c r="Z375">
        <f>IF(A375="","",IF(G375="","Not mapped",IF(Y375=0,"OK",MID(IF(N(Q375)&gt;0,"; Cannibalisation","")&amp;IF(T375="Yes","; Too many primary keywords on URL","")&amp;IF(U375="Yes","; URL spans 2+ clusters","")&amp;IF(W375="Yes","; Intent mismatch","")&amp;IF(X375="Yes","; Ranking URL is not the target",""),3,300))))</f>
        <v/>
      </c>
      <c r="AA375">
        <f>IF(G375="","",IF(COUNTIF($G$3:G375,SUBSTITUTE(SUBSTITUTE(G375,"?","~?"),"*","~*"))=1,MAX($AA$2:AA374)+1,""))</f>
        <v/>
      </c>
      <c r="AB375">
        <f>IF(B375="","",IF(COUNTIF($B$3:B375,SUBSTITUTE(SUBSTITUTE(B375,"?","~?"),"*","~*"))=1,MAX($AB$2:AB374)+1,""))</f>
        <v/>
      </c>
    </row>
    <row r="376">
      <c r="M376">
        <f>IF(A376="","",LOWER(TRIM(SUBSTITUTE(SUBSTITUTE(A376,"?",""),"*",""))))</f>
        <v/>
      </c>
      <c r="N376">
        <f>IF(M376="","",IF(SUMPRODUCT(ISNUMBER(SEARCH(" "&amp;Settings!$L$5:$L$124&amp;" "," "&amp;M376&amp;" "))*(Settings!$K$5:$K$124="Navigational")*(Settings!$L$5:$L$124&lt;&gt;""))&gt;0,"Navigational",IF(SUMPRODUCT(ISNUMBER(SEARCH(" "&amp;Settings!$L$5:$L$124&amp;" "," "&amp;M376&amp;" "))*(Settings!$K$5:$K$124="Transactional")*(Settings!$L$5:$L$124&lt;&gt;""))&gt;0,"Transactional",IF(SUMPRODUCT(ISNUMBER(SEARCH(" "&amp;Settings!$L$5:$L$124&amp;" "," "&amp;M376&amp;" "))*(Settings!$K$5:$K$124="Commercial")*(Settings!$L$5:$L$124&lt;&gt;""))&gt;0,"Commercial",IF(SUMPRODUCT(ISNUMBER(SEARCH(" "&amp;Settings!$L$5:$L$124&amp;" "," "&amp;M376&amp;" "))*(Settings!$K$5:$K$124="Informational")*(Settings!$L$5:$L$124&lt;&gt;""))&gt;0,"Informational","Unclassified")))))</f>
        <v/>
      </c>
      <c r="O376">
        <f>IF(A376="","",IF(K376&lt;&gt;"",PROPER(K376),N376))</f>
        <v/>
      </c>
      <c r="P376">
        <f>IF(A376="","",ROUND(Settings!$B$5*MIN(1,LOG10(N(C376)+1)/LOG10(Settings!$B$7+1))+Settings!$B$6*(1-MIN(100,IF(D376="",50,N(D376)))/100)+IFERROR(INDEX(Settings!$B$10:$B$14,MATCH(O376,Settings!$A$10:$A$14,0)),0),0))</f>
        <v/>
      </c>
      <c r="Q376">
        <f>IF(OR(A376="",G376=""),"",COUNTIFS($M$3:$M$1002,M376,$G$3:$G$1002,"&lt;&gt;"&amp;SUBSTITUTE(SUBSTITUTE(G376,"?","~?"),"*","~*"),$G$3:$G$1002,"?*"))</f>
        <v/>
      </c>
      <c r="R376">
        <f>IF(Q376="","",IF(Q376&gt;0,"Yes","No"))</f>
        <v/>
      </c>
      <c r="S376">
        <f>IF(G376="","",COUNTIFS($G$3:$G$1002,SUBSTITUTE(SUBSTITUTE(G376,"?","~?"),"*","~*"),$J$3:$J$1002,"Primary"))</f>
        <v/>
      </c>
      <c r="T376">
        <f>IF(S376="","",IF(S376&gt;Settings!$B$4,"Yes","No"))</f>
        <v/>
      </c>
      <c r="U376">
        <f>IF(OR(G376="",B376=""),"",IF(COUNTIFS($G$3:$G$1002,SUBSTITUTE(SUBSTITUTE(G376,"?","~?"),"*","~*"),$B$3:$B$1002,"&lt;&gt;"&amp;SUBSTITUTE(SUBSTITUTE(B376,"?","~?"),"*","~*"),$B$3:$B$1002,"?*")&gt;0,"Yes","No"))</f>
        <v/>
      </c>
      <c r="V376">
        <f>IF(OR(G376="",I376="",O376="",O376="Unclassified"),"",IFERROR(INDEX(Settings!$E$5:$H$16,MATCH(I376,Settings!$D$5:$D$16,0),MATCH(O376,Settings!$E$4:$H$4,0)),"Check"))</f>
        <v/>
      </c>
      <c r="W376">
        <f>IF(V376="","",IF(V376="No","Yes","No"))</f>
        <v/>
      </c>
      <c r="X376">
        <f>IF(OR(E376="",G376=""),"",IF(LOWER(IF(RIGHT(TRIM(E376),1)="/",LEFT(TRIM(E376),LEN(TRIM(E376))-1),TRIM(E376)))&lt;&gt;LOWER(IF(RIGHT(TRIM(G376),1)="/",LEFT(TRIM(G376),LEN(TRIM(G376))-1),TRIM(G376))),"Yes","No"))</f>
        <v/>
      </c>
      <c r="Y376">
        <f>IF(A376="","",(N(Q376)&gt;0)+(T376="Yes")+(U376="Yes")+(W376="Yes")+(X376="Yes"))</f>
        <v/>
      </c>
      <c r="Z376">
        <f>IF(A376="","",IF(G376="","Not mapped",IF(Y376=0,"OK",MID(IF(N(Q376)&gt;0,"; Cannibalisation","")&amp;IF(T376="Yes","; Too many primary keywords on URL","")&amp;IF(U376="Yes","; URL spans 2+ clusters","")&amp;IF(W376="Yes","; Intent mismatch","")&amp;IF(X376="Yes","; Ranking URL is not the target",""),3,300))))</f>
        <v/>
      </c>
      <c r="AA376">
        <f>IF(G376="","",IF(COUNTIF($G$3:G376,SUBSTITUTE(SUBSTITUTE(G376,"?","~?"),"*","~*"))=1,MAX($AA$2:AA375)+1,""))</f>
        <v/>
      </c>
      <c r="AB376">
        <f>IF(B376="","",IF(COUNTIF($B$3:B376,SUBSTITUTE(SUBSTITUTE(B376,"?","~?"),"*","~*"))=1,MAX($AB$2:AB375)+1,""))</f>
        <v/>
      </c>
    </row>
    <row r="377">
      <c r="M377">
        <f>IF(A377="","",LOWER(TRIM(SUBSTITUTE(SUBSTITUTE(A377,"?",""),"*",""))))</f>
        <v/>
      </c>
      <c r="N377">
        <f>IF(M377="","",IF(SUMPRODUCT(ISNUMBER(SEARCH(" "&amp;Settings!$L$5:$L$124&amp;" "," "&amp;M377&amp;" "))*(Settings!$K$5:$K$124="Navigational")*(Settings!$L$5:$L$124&lt;&gt;""))&gt;0,"Navigational",IF(SUMPRODUCT(ISNUMBER(SEARCH(" "&amp;Settings!$L$5:$L$124&amp;" "," "&amp;M377&amp;" "))*(Settings!$K$5:$K$124="Transactional")*(Settings!$L$5:$L$124&lt;&gt;""))&gt;0,"Transactional",IF(SUMPRODUCT(ISNUMBER(SEARCH(" "&amp;Settings!$L$5:$L$124&amp;" "," "&amp;M377&amp;" "))*(Settings!$K$5:$K$124="Commercial")*(Settings!$L$5:$L$124&lt;&gt;""))&gt;0,"Commercial",IF(SUMPRODUCT(ISNUMBER(SEARCH(" "&amp;Settings!$L$5:$L$124&amp;" "," "&amp;M377&amp;" "))*(Settings!$K$5:$K$124="Informational")*(Settings!$L$5:$L$124&lt;&gt;""))&gt;0,"Informational","Unclassified")))))</f>
        <v/>
      </c>
      <c r="O377">
        <f>IF(A377="","",IF(K377&lt;&gt;"",PROPER(K377),N377))</f>
        <v/>
      </c>
      <c r="P377">
        <f>IF(A377="","",ROUND(Settings!$B$5*MIN(1,LOG10(N(C377)+1)/LOG10(Settings!$B$7+1))+Settings!$B$6*(1-MIN(100,IF(D377="",50,N(D377)))/100)+IFERROR(INDEX(Settings!$B$10:$B$14,MATCH(O377,Settings!$A$10:$A$14,0)),0),0))</f>
        <v/>
      </c>
      <c r="Q377">
        <f>IF(OR(A377="",G377=""),"",COUNTIFS($M$3:$M$1002,M377,$G$3:$G$1002,"&lt;&gt;"&amp;SUBSTITUTE(SUBSTITUTE(G377,"?","~?"),"*","~*"),$G$3:$G$1002,"?*"))</f>
        <v/>
      </c>
      <c r="R377">
        <f>IF(Q377="","",IF(Q377&gt;0,"Yes","No"))</f>
        <v/>
      </c>
      <c r="S377">
        <f>IF(G377="","",COUNTIFS($G$3:$G$1002,SUBSTITUTE(SUBSTITUTE(G377,"?","~?"),"*","~*"),$J$3:$J$1002,"Primary"))</f>
        <v/>
      </c>
      <c r="T377">
        <f>IF(S377="","",IF(S377&gt;Settings!$B$4,"Yes","No"))</f>
        <v/>
      </c>
      <c r="U377">
        <f>IF(OR(G377="",B377=""),"",IF(COUNTIFS($G$3:$G$1002,SUBSTITUTE(SUBSTITUTE(G377,"?","~?"),"*","~*"),$B$3:$B$1002,"&lt;&gt;"&amp;SUBSTITUTE(SUBSTITUTE(B377,"?","~?"),"*","~*"),$B$3:$B$1002,"?*")&gt;0,"Yes","No"))</f>
        <v/>
      </c>
      <c r="V377">
        <f>IF(OR(G377="",I377="",O377="",O377="Unclassified"),"",IFERROR(INDEX(Settings!$E$5:$H$16,MATCH(I377,Settings!$D$5:$D$16,0),MATCH(O377,Settings!$E$4:$H$4,0)),"Check"))</f>
        <v/>
      </c>
      <c r="W377">
        <f>IF(V377="","",IF(V377="No","Yes","No"))</f>
        <v/>
      </c>
      <c r="X377">
        <f>IF(OR(E377="",G377=""),"",IF(LOWER(IF(RIGHT(TRIM(E377),1)="/",LEFT(TRIM(E377),LEN(TRIM(E377))-1),TRIM(E377)))&lt;&gt;LOWER(IF(RIGHT(TRIM(G377),1)="/",LEFT(TRIM(G377),LEN(TRIM(G377))-1),TRIM(G377))),"Yes","No"))</f>
        <v/>
      </c>
      <c r="Y377">
        <f>IF(A377="","",(N(Q377)&gt;0)+(T377="Yes")+(U377="Yes")+(W377="Yes")+(X377="Yes"))</f>
        <v/>
      </c>
      <c r="Z377">
        <f>IF(A377="","",IF(G377="","Not mapped",IF(Y377=0,"OK",MID(IF(N(Q377)&gt;0,"; Cannibalisation","")&amp;IF(T377="Yes","; Too many primary keywords on URL","")&amp;IF(U377="Yes","; URL spans 2+ clusters","")&amp;IF(W377="Yes","; Intent mismatch","")&amp;IF(X377="Yes","; Ranking URL is not the target",""),3,300))))</f>
        <v/>
      </c>
      <c r="AA377">
        <f>IF(G377="","",IF(COUNTIF($G$3:G377,SUBSTITUTE(SUBSTITUTE(G377,"?","~?"),"*","~*"))=1,MAX($AA$2:AA376)+1,""))</f>
        <v/>
      </c>
      <c r="AB377">
        <f>IF(B377="","",IF(COUNTIF($B$3:B377,SUBSTITUTE(SUBSTITUTE(B377,"?","~?"),"*","~*"))=1,MAX($AB$2:AB376)+1,""))</f>
        <v/>
      </c>
    </row>
    <row r="378">
      <c r="M378">
        <f>IF(A378="","",LOWER(TRIM(SUBSTITUTE(SUBSTITUTE(A378,"?",""),"*",""))))</f>
        <v/>
      </c>
      <c r="N378">
        <f>IF(M378="","",IF(SUMPRODUCT(ISNUMBER(SEARCH(" "&amp;Settings!$L$5:$L$124&amp;" "," "&amp;M378&amp;" "))*(Settings!$K$5:$K$124="Navigational")*(Settings!$L$5:$L$124&lt;&gt;""))&gt;0,"Navigational",IF(SUMPRODUCT(ISNUMBER(SEARCH(" "&amp;Settings!$L$5:$L$124&amp;" "," "&amp;M378&amp;" "))*(Settings!$K$5:$K$124="Transactional")*(Settings!$L$5:$L$124&lt;&gt;""))&gt;0,"Transactional",IF(SUMPRODUCT(ISNUMBER(SEARCH(" "&amp;Settings!$L$5:$L$124&amp;" "," "&amp;M378&amp;" "))*(Settings!$K$5:$K$124="Commercial")*(Settings!$L$5:$L$124&lt;&gt;""))&gt;0,"Commercial",IF(SUMPRODUCT(ISNUMBER(SEARCH(" "&amp;Settings!$L$5:$L$124&amp;" "," "&amp;M378&amp;" "))*(Settings!$K$5:$K$124="Informational")*(Settings!$L$5:$L$124&lt;&gt;""))&gt;0,"Informational","Unclassified")))))</f>
        <v/>
      </c>
      <c r="O378">
        <f>IF(A378="","",IF(K378&lt;&gt;"",PROPER(K378),N378))</f>
        <v/>
      </c>
      <c r="P378">
        <f>IF(A378="","",ROUND(Settings!$B$5*MIN(1,LOG10(N(C378)+1)/LOG10(Settings!$B$7+1))+Settings!$B$6*(1-MIN(100,IF(D378="",50,N(D378)))/100)+IFERROR(INDEX(Settings!$B$10:$B$14,MATCH(O378,Settings!$A$10:$A$14,0)),0),0))</f>
        <v/>
      </c>
      <c r="Q378">
        <f>IF(OR(A378="",G378=""),"",COUNTIFS($M$3:$M$1002,M378,$G$3:$G$1002,"&lt;&gt;"&amp;SUBSTITUTE(SUBSTITUTE(G378,"?","~?"),"*","~*"),$G$3:$G$1002,"?*"))</f>
        <v/>
      </c>
      <c r="R378">
        <f>IF(Q378="","",IF(Q378&gt;0,"Yes","No"))</f>
        <v/>
      </c>
      <c r="S378">
        <f>IF(G378="","",COUNTIFS($G$3:$G$1002,SUBSTITUTE(SUBSTITUTE(G378,"?","~?"),"*","~*"),$J$3:$J$1002,"Primary"))</f>
        <v/>
      </c>
      <c r="T378">
        <f>IF(S378="","",IF(S378&gt;Settings!$B$4,"Yes","No"))</f>
        <v/>
      </c>
      <c r="U378">
        <f>IF(OR(G378="",B378=""),"",IF(COUNTIFS($G$3:$G$1002,SUBSTITUTE(SUBSTITUTE(G378,"?","~?"),"*","~*"),$B$3:$B$1002,"&lt;&gt;"&amp;SUBSTITUTE(SUBSTITUTE(B378,"?","~?"),"*","~*"),$B$3:$B$1002,"?*")&gt;0,"Yes","No"))</f>
        <v/>
      </c>
      <c r="V378">
        <f>IF(OR(G378="",I378="",O378="",O378="Unclassified"),"",IFERROR(INDEX(Settings!$E$5:$H$16,MATCH(I378,Settings!$D$5:$D$16,0),MATCH(O378,Settings!$E$4:$H$4,0)),"Check"))</f>
        <v/>
      </c>
      <c r="W378">
        <f>IF(V378="","",IF(V378="No","Yes","No"))</f>
        <v/>
      </c>
      <c r="X378">
        <f>IF(OR(E378="",G378=""),"",IF(LOWER(IF(RIGHT(TRIM(E378),1)="/",LEFT(TRIM(E378),LEN(TRIM(E378))-1),TRIM(E378)))&lt;&gt;LOWER(IF(RIGHT(TRIM(G378),1)="/",LEFT(TRIM(G378),LEN(TRIM(G378))-1),TRIM(G378))),"Yes","No"))</f>
        <v/>
      </c>
      <c r="Y378">
        <f>IF(A378="","",(N(Q378)&gt;0)+(T378="Yes")+(U378="Yes")+(W378="Yes")+(X378="Yes"))</f>
        <v/>
      </c>
      <c r="Z378">
        <f>IF(A378="","",IF(G378="","Not mapped",IF(Y378=0,"OK",MID(IF(N(Q378)&gt;0,"; Cannibalisation","")&amp;IF(T378="Yes","; Too many primary keywords on URL","")&amp;IF(U378="Yes","; URL spans 2+ clusters","")&amp;IF(W378="Yes","; Intent mismatch","")&amp;IF(X378="Yes","; Ranking URL is not the target",""),3,300))))</f>
        <v/>
      </c>
      <c r="AA378">
        <f>IF(G378="","",IF(COUNTIF($G$3:G378,SUBSTITUTE(SUBSTITUTE(G378,"?","~?"),"*","~*"))=1,MAX($AA$2:AA377)+1,""))</f>
        <v/>
      </c>
      <c r="AB378">
        <f>IF(B378="","",IF(COUNTIF($B$3:B378,SUBSTITUTE(SUBSTITUTE(B378,"?","~?"),"*","~*"))=1,MAX($AB$2:AB377)+1,""))</f>
        <v/>
      </c>
    </row>
    <row r="379">
      <c r="M379">
        <f>IF(A379="","",LOWER(TRIM(SUBSTITUTE(SUBSTITUTE(A379,"?",""),"*",""))))</f>
        <v/>
      </c>
      <c r="N379">
        <f>IF(M379="","",IF(SUMPRODUCT(ISNUMBER(SEARCH(" "&amp;Settings!$L$5:$L$124&amp;" "," "&amp;M379&amp;" "))*(Settings!$K$5:$K$124="Navigational")*(Settings!$L$5:$L$124&lt;&gt;""))&gt;0,"Navigational",IF(SUMPRODUCT(ISNUMBER(SEARCH(" "&amp;Settings!$L$5:$L$124&amp;" "," "&amp;M379&amp;" "))*(Settings!$K$5:$K$124="Transactional")*(Settings!$L$5:$L$124&lt;&gt;""))&gt;0,"Transactional",IF(SUMPRODUCT(ISNUMBER(SEARCH(" "&amp;Settings!$L$5:$L$124&amp;" "," "&amp;M379&amp;" "))*(Settings!$K$5:$K$124="Commercial")*(Settings!$L$5:$L$124&lt;&gt;""))&gt;0,"Commercial",IF(SUMPRODUCT(ISNUMBER(SEARCH(" "&amp;Settings!$L$5:$L$124&amp;" "," "&amp;M379&amp;" "))*(Settings!$K$5:$K$124="Informational")*(Settings!$L$5:$L$124&lt;&gt;""))&gt;0,"Informational","Unclassified")))))</f>
        <v/>
      </c>
      <c r="O379">
        <f>IF(A379="","",IF(K379&lt;&gt;"",PROPER(K379),N379))</f>
        <v/>
      </c>
      <c r="P379">
        <f>IF(A379="","",ROUND(Settings!$B$5*MIN(1,LOG10(N(C379)+1)/LOG10(Settings!$B$7+1))+Settings!$B$6*(1-MIN(100,IF(D379="",50,N(D379)))/100)+IFERROR(INDEX(Settings!$B$10:$B$14,MATCH(O379,Settings!$A$10:$A$14,0)),0),0))</f>
        <v/>
      </c>
      <c r="Q379">
        <f>IF(OR(A379="",G379=""),"",COUNTIFS($M$3:$M$1002,M379,$G$3:$G$1002,"&lt;&gt;"&amp;SUBSTITUTE(SUBSTITUTE(G379,"?","~?"),"*","~*"),$G$3:$G$1002,"?*"))</f>
        <v/>
      </c>
      <c r="R379">
        <f>IF(Q379="","",IF(Q379&gt;0,"Yes","No"))</f>
        <v/>
      </c>
      <c r="S379">
        <f>IF(G379="","",COUNTIFS($G$3:$G$1002,SUBSTITUTE(SUBSTITUTE(G379,"?","~?"),"*","~*"),$J$3:$J$1002,"Primary"))</f>
        <v/>
      </c>
      <c r="T379">
        <f>IF(S379="","",IF(S379&gt;Settings!$B$4,"Yes","No"))</f>
        <v/>
      </c>
      <c r="U379">
        <f>IF(OR(G379="",B379=""),"",IF(COUNTIFS($G$3:$G$1002,SUBSTITUTE(SUBSTITUTE(G379,"?","~?"),"*","~*"),$B$3:$B$1002,"&lt;&gt;"&amp;SUBSTITUTE(SUBSTITUTE(B379,"?","~?"),"*","~*"),$B$3:$B$1002,"?*")&gt;0,"Yes","No"))</f>
        <v/>
      </c>
      <c r="V379">
        <f>IF(OR(G379="",I379="",O379="",O379="Unclassified"),"",IFERROR(INDEX(Settings!$E$5:$H$16,MATCH(I379,Settings!$D$5:$D$16,0),MATCH(O379,Settings!$E$4:$H$4,0)),"Check"))</f>
        <v/>
      </c>
      <c r="W379">
        <f>IF(V379="","",IF(V379="No","Yes","No"))</f>
        <v/>
      </c>
      <c r="X379">
        <f>IF(OR(E379="",G379=""),"",IF(LOWER(IF(RIGHT(TRIM(E379),1)="/",LEFT(TRIM(E379),LEN(TRIM(E379))-1),TRIM(E379)))&lt;&gt;LOWER(IF(RIGHT(TRIM(G379),1)="/",LEFT(TRIM(G379),LEN(TRIM(G379))-1),TRIM(G379))),"Yes","No"))</f>
        <v/>
      </c>
      <c r="Y379">
        <f>IF(A379="","",(N(Q379)&gt;0)+(T379="Yes")+(U379="Yes")+(W379="Yes")+(X379="Yes"))</f>
        <v/>
      </c>
      <c r="Z379">
        <f>IF(A379="","",IF(G379="","Not mapped",IF(Y379=0,"OK",MID(IF(N(Q379)&gt;0,"; Cannibalisation","")&amp;IF(T379="Yes","; Too many primary keywords on URL","")&amp;IF(U379="Yes","; URL spans 2+ clusters","")&amp;IF(W379="Yes","; Intent mismatch","")&amp;IF(X379="Yes","; Ranking URL is not the target",""),3,300))))</f>
        <v/>
      </c>
      <c r="AA379">
        <f>IF(G379="","",IF(COUNTIF($G$3:G379,SUBSTITUTE(SUBSTITUTE(G379,"?","~?"),"*","~*"))=1,MAX($AA$2:AA378)+1,""))</f>
        <v/>
      </c>
      <c r="AB379">
        <f>IF(B379="","",IF(COUNTIF($B$3:B379,SUBSTITUTE(SUBSTITUTE(B379,"?","~?"),"*","~*"))=1,MAX($AB$2:AB378)+1,""))</f>
        <v/>
      </c>
    </row>
    <row r="380">
      <c r="M380">
        <f>IF(A380="","",LOWER(TRIM(SUBSTITUTE(SUBSTITUTE(A380,"?",""),"*",""))))</f>
        <v/>
      </c>
      <c r="N380">
        <f>IF(M380="","",IF(SUMPRODUCT(ISNUMBER(SEARCH(" "&amp;Settings!$L$5:$L$124&amp;" "," "&amp;M380&amp;" "))*(Settings!$K$5:$K$124="Navigational")*(Settings!$L$5:$L$124&lt;&gt;""))&gt;0,"Navigational",IF(SUMPRODUCT(ISNUMBER(SEARCH(" "&amp;Settings!$L$5:$L$124&amp;" "," "&amp;M380&amp;" "))*(Settings!$K$5:$K$124="Transactional")*(Settings!$L$5:$L$124&lt;&gt;""))&gt;0,"Transactional",IF(SUMPRODUCT(ISNUMBER(SEARCH(" "&amp;Settings!$L$5:$L$124&amp;" "," "&amp;M380&amp;" "))*(Settings!$K$5:$K$124="Commercial")*(Settings!$L$5:$L$124&lt;&gt;""))&gt;0,"Commercial",IF(SUMPRODUCT(ISNUMBER(SEARCH(" "&amp;Settings!$L$5:$L$124&amp;" "," "&amp;M380&amp;" "))*(Settings!$K$5:$K$124="Informational")*(Settings!$L$5:$L$124&lt;&gt;""))&gt;0,"Informational","Unclassified")))))</f>
        <v/>
      </c>
      <c r="O380">
        <f>IF(A380="","",IF(K380&lt;&gt;"",PROPER(K380),N380))</f>
        <v/>
      </c>
      <c r="P380">
        <f>IF(A380="","",ROUND(Settings!$B$5*MIN(1,LOG10(N(C380)+1)/LOG10(Settings!$B$7+1))+Settings!$B$6*(1-MIN(100,IF(D380="",50,N(D380)))/100)+IFERROR(INDEX(Settings!$B$10:$B$14,MATCH(O380,Settings!$A$10:$A$14,0)),0),0))</f>
        <v/>
      </c>
      <c r="Q380">
        <f>IF(OR(A380="",G380=""),"",COUNTIFS($M$3:$M$1002,M380,$G$3:$G$1002,"&lt;&gt;"&amp;SUBSTITUTE(SUBSTITUTE(G380,"?","~?"),"*","~*"),$G$3:$G$1002,"?*"))</f>
        <v/>
      </c>
      <c r="R380">
        <f>IF(Q380="","",IF(Q380&gt;0,"Yes","No"))</f>
        <v/>
      </c>
      <c r="S380">
        <f>IF(G380="","",COUNTIFS($G$3:$G$1002,SUBSTITUTE(SUBSTITUTE(G380,"?","~?"),"*","~*"),$J$3:$J$1002,"Primary"))</f>
        <v/>
      </c>
      <c r="T380">
        <f>IF(S380="","",IF(S380&gt;Settings!$B$4,"Yes","No"))</f>
        <v/>
      </c>
      <c r="U380">
        <f>IF(OR(G380="",B380=""),"",IF(COUNTIFS($G$3:$G$1002,SUBSTITUTE(SUBSTITUTE(G380,"?","~?"),"*","~*"),$B$3:$B$1002,"&lt;&gt;"&amp;SUBSTITUTE(SUBSTITUTE(B380,"?","~?"),"*","~*"),$B$3:$B$1002,"?*")&gt;0,"Yes","No"))</f>
        <v/>
      </c>
      <c r="V380">
        <f>IF(OR(G380="",I380="",O380="",O380="Unclassified"),"",IFERROR(INDEX(Settings!$E$5:$H$16,MATCH(I380,Settings!$D$5:$D$16,0),MATCH(O380,Settings!$E$4:$H$4,0)),"Check"))</f>
        <v/>
      </c>
      <c r="W380">
        <f>IF(V380="","",IF(V380="No","Yes","No"))</f>
        <v/>
      </c>
      <c r="X380">
        <f>IF(OR(E380="",G380=""),"",IF(LOWER(IF(RIGHT(TRIM(E380),1)="/",LEFT(TRIM(E380),LEN(TRIM(E380))-1),TRIM(E380)))&lt;&gt;LOWER(IF(RIGHT(TRIM(G380),1)="/",LEFT(TRIM(G380),LEN(TRIM(G380))-1),TRIM(G380))),"Yes","No"))</f>
        <v/>
      </c>
      <c r="Y380">
        <f>IF(A380="","",(N(Q380)&gt;0)+(T380="Yes")+(U380="Yes")+(W380="Yes")+(X380="Yes"))</f>
        <v/>
      </c>
      <c r="Z380">
        <f>IF(A380="","",IF(G380="","Not mapped",IF(Y380=0,"OK",MID(IF(N(Q380)&gt;0,"; Cannibalisation","")&amp;IF(T380="Yes","; Too many primary keywords on URL","")&amp;IF(U380="Yes","; URL spans 2+ clusters","")&amp;IF(W380="Yes","; Intent mismatch","")&amp;IF(X380="Yes","; Ranking URL is not the target",""),3,300))))</f>
        <v/>
      </c>
      <c r="AA380">
        <f>IF(G380="","",IF(COUNTIF($G$3:G380,SUBSTITUTE(SUBSTITUTE(G380,"?","~?"),"*","~*"))=1,MAX($AA$2:AA379)+1,""))</f>
        <v/>
      </c>
      <c r="AB380">
        <f>IF(B380="","",IF(COUNTIF($B$3:B380,SUBSTITUTE(SUBSTITUTE(B380,"?","~?"),"*","~*"))=1,MAX($AB$2:AB379)+1,""))</f>
        <v/>
      </c>
    </row>
    <row r="381">
      <c r="M381">
        <f>IF(A381="","",LOWER(TRIM(SUBSTITUTE(SUBSTITUTE(A381,"?",""),"*",""))))</f>
        <v/>
      </c>
      <c r="N381">
        <f>IF(M381="","",IF(SUMPRODUCT(ISNUMBER(SEARCH(" "&amp;Settings!$L$5:$L$124&amp;" "," "&amp;M381&amp;" "))*(Settings!$K$5:$K$124="Navigational")*(Settings!$L$5:$L$124&lt;&gt;""))&gt;0,"Navigational",IF(SUMPRODUCT(ISNUMBER(SEARCH(" "&amp;Settings!$L$5:$L$124&amp;" "," "&amp;M381&amp;" "))*(Settings!$K$5:$K$124="Transactional")*(Settings!$L$5:$L$124&lt;&gt;""))&gt;0,"Transactional",IF(SUMPRODUCT(ISNUMBER(SEARCH(" "&amp;Settings!$L$5:$L$124&amp;" "," "&amp;M381&amp;" "))*(Settings!$K$5:$K$124="Commercial")*(Settings!$L$5:$L$124&lt;&gt;""))&gt;0,"Commercial",IF(SUMPRODUCT(ISNUMBER(SEARCH(" "&amp;Settings!$L$5:$L$124&amp;" "," "&amp;M381&amp;" "))*(Settings!$K$5:$K$124="Informational")*(Settings!$L$5:$L$124&lt;&gt;""))&gt;0,"Informational","Unclassified")))))</f>
        <v/>
      </c>
      <c r="O381">
        <f>IF(A381="","",IF(K381&lt;&gt;"",PROPER(K381),N381))</f>
        <v/>
      </c>
      <c r="P381">
        <f>IF(A381="","",ROUND(Settings!$B$5*MIN(1,LOG10(N(C381)+1)/LOG10(Settings!$B$7+1))+Settings!$B$6*(1-MIN(100,IF(D381="",50,N(D381)))/100)+IFERROR(INDEX(Settings!$B$10:$B$14,MATCH(O381,Settings!$A$10:$A$14,0)),0),0))</f>
        <v/>
      </c>
      <c r="Q381">
        <f>IF(OR(A381="",G381=""),"",COUNTIFS($M$3:$M$1002,M381,$G$3:$G$1002,"&lt;&gt;"&amp;SUBSTITUTE(SUBSTITUTE(G381,"?","~?"),"*","~*"),$G$3:$G$1002,"?*"))</f>
        <v/>
      </c>
      <c r="R381">
        <f>IF(Q381="","",IF(Q381&gt;0,"Yes","No"))</f>
        <v/>
      </c>
      <c r="S381">
        <f>IF(G381="","",COUNTIFS($G$3:$G$1002,SUBSTITUTE(SUBSTITUTE(G381,"?","~?"),"*","~*"),$J$3:$J$1002,"Primary"))</f>
        <v/>
      </c>
      <c r="T381">
        <f>IF(S381="","",IF(S381&gt;Settings!$B$4,"Yes","No"))</f>
        <v/>
      </c>
      <c r="U381">
        <f>IF(OR(G381="",B381=""),"",IF(COUNTIFS($G$3:$G$1002,SUBSTITUTE(SUBSTITUTE(G381,"?","~?"),"*","~*"),$B$3:$B$1002,"&lt;&gt;"&amp;SUBSTITUTE(SUBSTITUTE(B381,"?","~?"),"*","~*"),$B$3:$B$1002,"?*")&gt;0,"Yes","No"))</f>
        <v/>
      </c>
      <c r="V381">
        <f>IF(OR(G381="",I381="",O381="",O381="Unclassified"),"",IFERROR(INDEX(Settings!$E$5:$H$16,MATCH(I381,Settings!$D$5:$D$16,0),MATCH(O381,Settings!$E$4:$H$4,0)),"Check"))</f>
        <v/>
      </c>
      <c r="W381">
        <f>IF(V381="","",IF(V381="No","Yes","No"))</f>
        <v/>
      </c>
      <c r="X381">
        <f>IF(OR(E381="",G381=""),"",IF(LOWER(IF(RIGHT(TRIM(E381),1)="/",LEFT(TRIM(E381),LEN(TRIM(E381))-1),TRIM(E381)))&lt;&gt;LOWER(IF(RIGHT(TRIM(G381),1)="/",LEFT(TRIM(G381),LEN(TRIM(G381))-1),TRIM(G381))),"Yes","No"))</f>
        <v/>
      </c>
      <c r="Y381">
        <f>IF(A381="","",(N(Q381)&gt;0)+(T381="Yes")+(U381="Yes")+(W381="Yes")+(X381="Yes"))</f>
        <v/>
      </c>
      <c r="Z381">
        <f>IF(A381="","",IF(G381="","Not mapped",IF(Y381=0,"OK",MID(IF(N(Q381)&gt;0,"; Cannibalisation","")&amp;IF(T381="Yes","; Too many primary keywords on URL","")&amp;IF(U381="Yes","; URL spans 2+ clusters","")&amp;IF(W381="Yes","; Intent mismatch","")&amp;IF(X381="Yes","; Ranking URL is not the target",""),3,300))))</f>
        <v/>
      </c>
      <c r="AA381">
        <f>IF(G381="","",IF(COUNTIF($G$3:G381,SUBSTITUTE(SUBSTITUTE(G381,"?","~?"),"*","~*"))=1,MAX($AA$2:AA380)+1,""))</f>
        <v/>
      </c>
      <c r="AB381">
        <f>IF(B381="","",IF(COUNTIF($B$3:B381,SUBSTITUTE(SUBSTITUTE(B381,"?","~?"),"*","~*"))=1,MAX($AB$2:AB380)+1,""))</f>
        <v/>
      </c>
    </row>
    <row r="382">
      <c r="M382">
        <f>IF(A382="","",LOWER(TRIM(SUBSTITUTE(SUBSTITUTE(A382,"?",""),"*",""))))</f>
        <v/>
      </c>
      <c r="N382">
        <f>IF(M382="","",IF(SUMPRODUCT(ISNUMBER(SEARCH(" "&amp;Settings!$L$5:$L$124&amp;" "," "&amp;M382&amp;" "))*(Settings!$K$5:$K$124="Navigational")*(Settings!$L$5:$L$124&lt;&gt;""))&gt;0,"Navigational",IF(SUMPRODUCT(ISNUMBER(SEARCH(" "&amp;Settings!$L$5:$L$124&amp;" "," "&amp;M382&amp;" "))*(Settings!$K$5:$K$124="Transactional")*(Settings!$L$5:$L$124&lt;&gt;""))&gt;0,"Transactional",IF(SUMPRODUCT(ISNUMBER(SEARCH(" "&amp;Settings!$L$5:$L$124&amp;" "," "&amp;M382&amp;" "))*(Settings!$K$5:$K$124="Commercial")*(Settings!$L$5:$L$124&lt;&gt;""))&gt;0,"Commercial",IF(SUMPRODUCT(ISNUMBER(SEARCH(" "&amp;Settings!$L$5:$L$124&amp;" "," "&amp;M382&amp;" "))*(Settings!$K$5:$K$124="Informational")*(Settings!$L$5:$L$124&lt;&gt;""))&gt;0,"Informational","Unclassified")))))</f>
        <v/>
      </c>
      <c r="O382">
        <f>IF(A382="","",IF(K382&lt;&gt;"",PROPER(K382),N382))</f>
        <v/>
      </c>
      <c r="P382">
        <f>IF(A382="","",ROUND(Settings!$B$5*MIN(1,LOG10(N(C382)+1)/LOG10(Settings!$B$7+1))+Settings!$B$6*(1-MIN(100,IF(D382="",50,N(D382)))/100)+IFERROR(INDEX(Settings!$B$10:$B$14,MATCH(O382,Settings!$A$10:$A$14,0)),0),0))</f>
        <v/>
      </c>
      <c r="Q382">
        <f>IF(OR(A382="",G382=""),"",COUNTIFS($M$3:$M$1002,M382,$G$3:$G$1002,"&lt;&gt;"&amp;SUBSTITUTE(SUBSTITUTE(G382,"?","~?"),"*","~*"),$G$3:$G$1002,"?*"))</f>
        <v/>
      </c>
      <c r="R382">
        <f>IF(Q382="","",IF(Q382&gt;0,"Yes","No"))</f>
        <v/>
      </c>
      <c r="S382">
        <f>IF(G382="","",COUNTIFS($G$3:$G$1002,SUBSTITUTE(SUBSTITUTE(G382,"?","~?"),"*","~*"),$J$3:$J$1002,"Primary"))</f>
        <v/>
      </c>
      <c r="T382">
        <f>IF(S382="","",IF(S382&gt;Settings!$B$4,"Yes","No"))</f>
        <v/>
      </c>
      <c r="U382">
        <f>IF(OR(G382="",B382=""),"",IF(COUNTIFS($G$3:$G$1002,SUBSTITUTE(SUBSTITUTE(G382,"?","~?"),"*","~*"),$B$3:$B$1002,"&lt;&gt;"&amp;SUBSTITUTE(SUBSTITUTE(B382,"?","~?"),"*","~*"),$B$3:$B$1002,"?*")&gt;0,"Yes","No"))</f>
        <v/>
      </c>
      <c r="V382">
        <f>IF(OR(G382="",I382="",O382="",O382="Unclassified"),"",IFERROR(INDEX(Settings!$E$5:$H$16,MATCH(I382,Settings!$D$5:$D$16,0),MATCH(O382,Settings!$E$4:$H$4,0)),"Check"))</f>
        <v/>
      </c>
      <c r="W382">
        <f>IF(V382="","",IF(V382="No","Yes","No"))</f>
        <v/>
      </c>
      <c r="X382">
        <f>IF(OR(E382="",G382=""),"",IF(LOWER(IF(RIGHT(TRIM(E382),1)="/",LEFT(TRIM(E382),LEN(TRIM(E382))-1),TRIM(E382)))&lt;&gt;LOWER(IF(RIGHT(TRIM(G382),1)="/",LEFT(TRIM(G382),LEN(TRIM(G382))-1),TRIM(G382))),"Yes","No"))</f>
        <v/>
      </c>
      <c r="Y382">
        <f>IF(A382="","",(N(Q382)&gt;0)+(T382="Yes")+(U382="Yes")+(W382="Yes")+(X382="Yes"))</f>
        <v/>
      </c>
      <c r="Z382">
        <f>IF(A382="","",IF(G382="","Not mapped",IF(Y382=0,"OK",MID(IF(N(Q382)&gt;0,"; Cannibalisation","")&amp;IF(T382="Yes","; Too many primary keywords on URL","")&amp;IF(U382="Yes","; URL spans 2+ clusters","")&amp;IF(W382="Yes","; Intent mismatch","")&amp;IF(X382="Yes","; Ranking URL is not the target",""),3,300))))</f>
        <v/>
      </c>
      <c r="AA382">
        <f>IF(G382="","",IF(COUNTIF($G$3:G382,SUBSTITUTE(SUBSTITUTE(G382,"?","~?"),"*","~*"))=1,MAX($AA$2:AA381)+1,""))</f>
        <v/>
      </c>
      <c r="AB382">
        <f>IF(B382="","",IF(COUNTIF($B$3:B382,SUBSTITUTE(SUBSTITUTE(B382,"?","~?"),"*","~*"))=1,MAX($AB$2:AB381)+1,""))</f>
        <v/>
      </c>
    </row>
    <row r="383">
      <c r="M383">
        <f>IF(A383="","",LOWER(TRIM(SUBSTITUTE(SUBSTITUTE(A383,"?",""),"*",""))))</f>
        <v/>
      </c>
      <c r="N383">
        <f>IF(M383="","",IF(SUMPRODUCT(ISNUMBER(SEARCH(" "&amp;Settings!$L$5:$L$124&amp;" "," "&amp;M383&amp;" "))*(Settings!$K$5:$K$124="Navigational")*(Settings!$L$5:$L$124&lt;&gt;""))&gt;0,"Navigational",IF(SUMPRODUCT(ISNUMBER(SEARCH(" "&amp;Settings!$L$5:$L$124&amp;" "," "&amp;M383&amp;" "))*(Settings!$K$5:$K$124="Transactional")*(Settings!$L$5:$L$124&lt;&gt;""))&gt;0,"Transactional",IF(SUMPRODUCT(ISNUMBER(SEARCH(" "&amp;Settings!$L$5:$L$124&amp;" "," "&amp;M383&amp;" "))*(Settings!$K$5:$K$124="Commercial")*(Settings!$L$5:$L$124&lt;&gt;""))&gt;0,"Commercial",IF(SUMPRODUCT(ISNUMBER(SEARCH(" "&amp;Settings!$L$5:$L$124&amp;" "," "&amp;M383&amp;" "))*(Settings!$K$5:$K$124="Informational")*(Settings!$L$5:$L$124&lt;&gt;""))&gt;0,"Informational","Unclassified")))))</f>
        <v/>
      </c>
      <c r="O383">
        <f>IF(A383="","",IF(K383&lt;&gt;"",PROPER(K383),N383))</f>
        <v/>
      </c>
      <c r="P383">
        <f>IF(A383="","",ROUND(Settings!$B$5*MIN(1,LOG10(N(C383)+1)/LOG10(Settings!$B$7+1))+Settings!$B$6*(1-MIN(100,IF(D383="",50,N(D383)))/100)+IFERROR(INDEX(Settings!$B$10:$B$14,MATCH(O383,Settings!$A$10:$A$14,0)),0),0))</f>
        <v/>
      </c>
      <c r="Q383">
        <f>IF(OR(A383="",G383=""),"",COUNTIFS($M$3:$M$1002,M383,$G$3:$G$1002,"&lt;&gt;"&amp;SUBSTITUTE(SUBSTITUTE(G383,"?","~?"),"*","~*"),$G$3:$G$1002,"?*"))</f>
        <v/>
      </c>
      <c r="R383">
        <f>IF(Q383="","",IF(Q383&gt;0,"Yes","No"))</f>
        <v/>
      </c>
      <c r="S383">
        <f>IF(G383="","",COUNTIFS($G$3:$G$1002,SUBSTITUTE(SUBSTITUTE(G383,"?","~?"),"*","~*"),$J$3:$J$1002,"Primary"))</f>
        <v/>
      </c>
      <c r="T383">
        <f>IF(S383="","",IF(S383&gt;Settings!$B$4,"Yes","No"))</f>
        <v/>
      </c>
      <c r="U383">
        <f>IF(OR(G383="",B383=""),"",IF(COUNTIFS($G$3:$G$1002,SUBSTITUTE(SUBSTITUTE(G383,"?","~?"),"*","~*"),$B$3:$B$1002,"&lt;&gt;"&amp;SUBSTITUTE(SUBSTITUTE(B383,"?","~?"),"*","~*"),$B$3:$B$1002,"?*")&gt;0,"Yes","No"))</f>
        <v/>
      </c>
      <c r="V383">
        <f>IF(OR(G383="",I383="",O383="",O383="Unclassified"),"",IFERROR(INDEX(Settings!$E$5:$H$16,MATCH(I383,Settings!$D$5:$D$16,0),MATCH(O383,Settings!$E$4:$H$4,0)),"Check"))</f>
        <v/>
      </c>
      <c r="W383">
        <f>IF(V383="","",IF(V383="No","Yes","No"))</f>
        <v/>
      </c>
      <c r="X383">
        <f>IF(OR(E383="",G383=""),"",IF(LOWER(IF(RIGHT(TRIM(E383),1)="/",LEFT(TRIM(E383),LEN(TRIM(E383))-1),TRIM(E383)))&lt;&gt;LOWER(IF(RIGHT(TRIM(G383),1)="/",LEFT(TRIM(G383),LEN(TRIM(G383))-1),TRIM(G383))),"Yes","No"))</f>
        <v/>
      </c>
      <c r="Y383">
        <f>IF(A383="","",(N(Q383)&gt;0)+(T383="Yes")+(U383="Yes")+(W383="Yes")+(X383="Yes"))</f>
        <v/>
      </c>
      <c r="Z383">
        <f>IF(A383="","",IF(G383="","Not mapped",IF(Y383=0,"OK",MID(IF(N(Q383)&gt;0,"; Cannibalisation","")&amp;IF(T383="Yes","; Too many primary keywords on URL","")&amp;IF(U383="Yes","; URL spans 2+ clusters","")&amp;IF(W383="Yes","; Intent mismatch","")&amp;IF(X383="Yes","; Ranking URL is not the target",""),3,300))))</f>
        <v/>
      </c>
      <c r="AA383">
        <f>IF(G383="","",IF(COUNTIF($G$3:G383,SUBSTITUTE(SUBSTITUTE(G383,"?","~?"),"*","~*"))=1,MAX($AA$2:AA382)+1,""))</f>
        <v/>
      </c>
      <c r="AB383">
        <f>IF(B383="","",IF(COUNTIF($B$3:B383,SUBSTITUTE(SUBSTITUTE(B383,"?","~?"),"*","~*"))=1,MAX($AB$2:AB382)+1,""))</f>
        <v/>
      </c>
    </row>
    <row r="384">
      <c r="M384">
        <f>IF(A384="","",LOWER(TRIM(SUBSTITUTE(SUBSTITUTE(A384,"?",""),"*",""))))</f>
        <v/>
      </c>
      <c r="N384">
        <f>IF(M384="","",IF(SUMPRODUCT(ISNUMBER(SEARCH(" "&amp;Settings!$L$5:$L$124&amp;" "," "&amp;M384&amp;" "))*(Settings!$K$5:$K$124="Navigational")*(Settings!$L$5:$L$124&lt;&gt;""))&gt;0,"Navigational",IF(SUMPRODUCT(ISNUMBER(SEARCH(" "&amp;Settings!$L$5:$L$124&amp;" "," "&amp;M384&amp;" "))*(Settings!$K$5:$K$124="Transactional")*(Settings!$L$5:$L$124&lt;&gt;""))&gt;0,"Transactional",IF(SUMPRODUCT(ISNUMBER(SEARCH(" "&amp;Settings!$L$5:$L$124&amp;" "," "&amp;M384&amp;" "))*(Settings!$K$5:$K$124="Commercial")*(Settings!$L$5:$L$124&lt;&gt;""))&gt;0,"Commercial",IF(SUMPRODUCT(ISNUMBER(SEARCH(" "&amp;Settings!$L$5:$L$124&amp;" "," "&amp;M384&amp;" "))*(Settings!$K$5:$K$124="Informational")*(Settings!$L$5:$L$124&lt;&gt;""))&gt;0,"Informational","Unclassified")))))</f>
        <v/>
      </c>
      <c r="O384">
        <f>IF(A384="","",IF(K384&lt;&gt;"",PROPER(K384),N384))</f>
        <v/>
      </c>
      <c r="P384">
        <f>IF(A384="","",ROUND(Settings!$B$5*MIN(1,LOG10(N(C384)+1)/LOG10(Settings!$B$7+1))+Settings!$B$6*(1-MIN(100,IF(D384="",50,N(D384)))/100)+IFERROR(INDEX(Settings!$B$10:$B$14,MATCH(O384,Settings!$A$10:$A$14,0)),0),0))</f>
        <v/>
      </c>
      <c r="Q384">
        <f>IF(OR(A384="",G384=""),"",COUNTIFS($M$3:$M$1002,M384,$G$3:$G$1002,"&lt;&gt;"&amp;SUBSTITUTE(SUBSTITUTE(G384,"?","~?"),"*","~*"),$G$3:$G$1002,"?*"))</f>
        <v/>
      </c>
      <c r="R384">
        <f>IF(Q384="","",IF(Q384&gt;0,"Yes","No"))</f>
        <v/>
      </c>
      <c r="S384">
        <f>IF(G384="","",COUNTIFS($G$3:$G$1002,SUBSTITUTE(SUBSTITUTE(G384,"?","~?"),"*","~*"),$J$3:$J$1002,"Primary"))</f>
        <v/>
      </c>
      <c r="T384">
        <f>IF(S384="","",IF(S384&gt;Settings!$B$4,"Yes","No"))</f>
        <v/>
      </c>
      <c r="U384">
        <f>IF(OR(G384="",B384=""),"",IF(COUNTIFS($G$3:$G$1002,SUBSTITUTE(SUBSTITUTE(G384,"?","~?"),"*","~*"),$B$3:$B$1002,"&lt;&gt;"&amp;SUBSTITUTE(SUBSTITUTE(B384,"?","~?"),"*","~*"),$B$3:$B$1002,"?*")&gt;0,"Yes","No"))</f>
        <v/>
      </c>
      <c r="V384">
        <f>IF(OR(G384="",I384="",O384="",O384="Unclassified"),"",IFERROR(INDEX(Settings!$E$5:$H$16,MATCH(I384,Settings!$D$5:$D$16,0),MATCH(O384,Settings!$E$4:$H$4,0)),"Check"))</f>
        <v/>
      </c>
      <c r="W384">
        <f>IF(V384="","",IF(V384="No","Yes","No"))</f>
        <v/>
      </c>
      <c r="X384">
        <f>IF(OR(E384="",G384=""),"",IF(LOWER(IF(RIGHT(TRIM(E384),1)="/",LEFT(TRIM(E384),LEN(TRIM(E384))-1),TRIM(E384)))&lt;&gt;LOWER(IF(RIGHT(TRIM(G384),1)="/",LEFT(TRIM(G384),LEN(TRIM(G384))-1),TRIM(G384))),"Yes","No"))</f>
        <v/>
      </c>
      <c r="Y384">
        <f>IF(A384="","",(N(Q384)&gt;0)+(T384="Yes")+(U384="Yes")+(W384="Yes")+(X384="Yes"))</f>
        <v/>
      </c>
      <c r="Z384">
        <f>IF(A384="","",IF(G384="","Not mapped",IF(Y384=0,"OK",MID(IF(N(Q384)&gt;0,"; Cannibalisation","")&amp;IF(T384="Yes","; Too many primary keywords on URL","")&amp;IF(U384="Yes","; URL spans 2+ clusters","")&amp;IF(W384="Yes","; Intent mismatch","")&amp;IF(X384="Yes","; Ranking URL is not the target",""),3,300))))</f>
        <v/>
      </c>
      <c r="AA384">
        <f>IF(G384="","",IF(COUNTIF($G$3:G384,SUBSTITUTE(SUBSTITUTE(G384,"?","~?"),"*","~*"))=1,MAX($AA$2:AA383)+1,""))</f>
        <v/>
      </c>
      <c r="AB384">
        <f>IF(B384="","",IF(COUNTIF($B$3:B384,SUBSTITUTE(SUBSTITUTE(B384,"?","~?"),"*","~*"))=1,MAX($AB$2:AB383)+1,""))</f>
        <v/>
      </c>
    </row>
    <row r="385">
      <c r="M385">
        <f>IF(A385="","",LOWER(TRIM(SUBSTITUTE(SUBSTITUTE(A385,"?",""),"*",""))))</f>
        <v/>
      </c>
      <c r="N385">
        <f>IF(M385="","",IF(SUMPRODUCT(ISNUMBER(SEARCH(" "&amp;Settings!$L$5:$L$124&amp;" "," "&amp;M385&amp;" "))*(Settings!$K$5:$K$124="Navigational")*(Settings!$L$5:$L$124&lt;&gt;""))&gt;0,"Navigational",IF(SUMPRODUCT(ISNUMBER(SEARCH(" "&amp;Settings!$L$5:$L$124&amp;" "," "&amp;M385&amp;" "))*(Settings!$K$5:$K$124="Transactional")*(Settings!$L$5:$L$124&lt;&gt;""))&gt;0,"Transactional",IF(SUMPRODUCT(ISNUMBER(SEARCH(" "&amp;Settings!$L$5:$L$124&amp;" "," "&amp;M385&amp;" "))*(Settings!$K$5:$K$124="Commercial")*(Settings!$L$5:$L$124&lt;&gt;""))&gt;0,"Commercial",IF(SUMPRODUCT(ISNUMBER(SEARCH(" "&amp;Settings!$L$5:$L$124&amp;" "," "&amp;M385&amp;" "))*(Settings!$K$5:$K$124="Informational")*(Settings!$L$5:$L$124&lt;&gt;""))&gt;0,"Informational","Unclassified")))))</f>
        <v/>
      </c>
      <c r="O385">
        <f>IF(A385="","",IF(K385&lt;&gt;"",PROPER(K385),N385))</f>
        <v/>
      </c>
      <c r="P385">
        <f>IF(A385="","",ROUND(Settings!$B$5*MIN(1,LOG10(N(C385)+1)/LOG10(Settings!$B$7+1))+Settings!$B$6*(1-MIN(100,IF(D385="",50,N(D385)))/100)+IFERROR(INDEX(Settings!$B$10:$B$14,MATCH(O385,Settings!$A$10:$A$14,0)),0),0))</f>
        <v/>
      </c>
      <c r="Q385">
        <f>IF(OR(A385="",G385=""),"",COUNTIFS($M$3:$M$1002,M385,$G$3:$G$1002,"&lt;&gt;"&amp;SUBSTITUTE(SUBSTITUTE(G385,"?","~?"),"*","~*"),$G$3:$G$1002,"?*"))</f>
        <v/>
      </c>
      <c r="R385">
        <f>IF(Q385="","",IF(Q385&gt;0,"Yes","No"))</f>
        <v/>
      </c>
      <c r="S385">
        <f>IF(G385="","",COUNTIFS($G$3:$G$1002,SUBSTITUTE(SUBSTITUTE(G385,"?","~?"),"*","~*"),$J$3:$J$1002,"Primary"))</f>
        <v/>
      </c>
      <c r="T385">
        <f>IF(S385="","",IF(S385&gt;Settings!$B$4,"Yes","No"))</f>
        <v/>
      </c>
      <c r="U385">
        <f>IF(OR(G385="",B385=""),"",IF(COUNTIFS($G$3:$G$1002,SUBSTITUTE(SUBSTITUTE(G385,"?","~?"),"*","~*"),$B$3:$B$1002,"&lt;&gt;"&amp;SUBSTITUTE(SUBSTITUTE(B385,"?","~?"),"*","~*"),$B$3:$B$1002,"?*")&gt;0,"Yes","No"))</f>
        <v/>
      </c>
      <c r="V385">
        <f>IF(OR(G385="",I385="",O385="",O385="Unclassified"),"",IFERROR(INDEX(Settings!$E$5:$H$16,MATCH(I385,Settings!$D$5:$D$16,0),MATCH(O385,Settings!$E$4:$H$4,0)),"Check"))</f>
        <v/>
      </c>
      <c r="W385">
        <f>IF(V385="","",IF(V385="No","Yes","No"))</f>
        <v/>
      </c>
      <c r="X385">
        <f>IF(OR(E385="",G385=""),"",IF(LOWER(IF(RIGHT(TRIM(E385),1)="/",LEFT(TRIM(E385),LEN(TRIM(E385))-1),TRIM(E385)))&lt;&gt;LOWER(IF(RIGHT(TRIM(G385),1)="/",LEFT(TRIM(G385),LEN(TRIM(G385))-1),TRIM(G385))),"Yes","No"))</f>
        <v/>
      </c>
      <c r="Y385">
        <f>IF(A385="","",(N(Q385)&gt;0)+(T385="Yes")+(U385="Yes")+(W385="Yes")+(X385="Yes"))</f>
        <v/>
      </c>
      <c r="Z385">
        <f>IF(A385="","",IF(G385="","Not mapped",IF(Y385=0,"OK",MID(IF(N(Q385)&gt;0,"; Cannibalisation","")&amp;IF(T385="Yes","; Too many primary keywords on URL","")&amp;IF(U385="Yes","; URL spans 2+ clusters","")&amp;IF(W385="Yes","; Intent mismatch","")&amp;IF(X385="Yes","; Ranking URL is not the target",""),3,300))))</f>
        <v/>
      </c>
      <c r="AA385">
        <f>IF(G385="","",IF(COUNTIF($G$3:G385,SUBSTITUTE(SUBSTITUTE(G385,"?","~?"),"*","~*"))=1,MAX($AA$2:AA384)+1,""))</f>
        <v/>
      </c>
      <c r="AB385">
        <f>IF(B385="","",IF(COUNTIF($B$3:B385,SUBSTITUTE(SUBSTITUTE(B385,"?","~?"),"*","~*"))=1,MAX($AB$2:AB384)+1,""))</f>
        <v/>
      </c>
    </row>
    <row r="386">
      <c r="M386">
        <f>IF(A386="","",LOWER(TRIM(SUBSTITUTE(SUBSTITUTE(A386,"?",""),"*",""))))</f>
        <v/>
      </c>
      <c r="N386">
        <f>IF(M386="","",IF(SUMPRODUCT(ISNUMBER(SEARCH(" "&amp;Settings!$L$5:$L$124&amp;" "," "&amp;M386&amp;" "))*(Settings!$K$5:$K$124="Navigational")*(Settings!$L$5:$L$124&lt;&gt;""))&gt;0,"Navigational",IF(SUMPRODUCT(ISNUMBER(SEARCH(" "&amp;Settings!$L$5:$L$124&amp;" "," "&amp;M386&amp;" "))*(Settings!$K$5:$K$124="Transactional")*(Settings!$L$5:$L$124&lt;&gt;""))&gt;0,"Transactional",IF(SUMPRODUCT(ISNUMBER(SEARCH(" "&amp;Settings!$L$5:$L$124&amp;" "," "&amp;M386&amp;" "))*(Settings!$K$5:$K$124="Commercial")*(Settings!$L$5:$L$124&lt;&gt;""))&gt;0,"Commercial",IF(SUMPRODUCT(ISNUMBER(SEARCH(" "&amp;Settings!$L$5:$L$124&amp;" "," "&amp;M386&amp;" "))*(Settings!$K$5:$K$124="Informational")*(Settings!$L$5:$L$124&lt;&gt;""))&gt;0,"Informational","Unclassified")))))</f>
        <v/>
      </c>
      <c r="O386">
        <f>IF(A386="","",IF(K386&lt;&gt;"",PROPER(K386),N386))</f>
        <v/>
      </c>
      <c r="P386">
        <f>IF(A386="","",ROUND(Settings!$B$5*MIN(1,LOG10(N(C386)+1)/LOG10(Settings!$B$7+1))+Settings!$B$6*(1-MIN(100,IF(D386="",50,N(D386)))/100)+IFERROR(INDEX(Settings!$B$10:$B$14,MATCH(O386,Settings!$A$10:$A$14,0)),0),0))</f>
        <v/>
      </c>
      <c r="Q386">
        <f>IF(OR(A386="",G386=""),"",COUNTIFS($M$3:$M$1002,M386,$G$3:$G$1002,"&lt;&gt;"&amp;SUBSTITUTE(SUBSTITUTE(G386,"?","~?"),"*","~*"),$G$3:$G$1002,"?*"))</f>
        <v/>
      </c>
      <c r="R386">
        <f>IF(Q386="","",IF(Q386&gt;0,"Yes","No"))</f>
        <v/>
      </c>
      <c r="S386">
        <f>IF(G386="","",COUNTIFS($G$3:$G$1002,SUBSTITUTE(SUBSTITUTE(G386,"?","~?"),"*","~*"),$J$3:$J$1002,"Primary"))</f>
        <v/>
      </c>
      <c r="T386">
        <f>IF(S386="","",IF(S386&gt;Settings!$B$4,"Yes","No"))</f>
        <v/>
      </c>
      <c r="U386">
        <f>IF(OR(G386="",B386=""),"",IF(COUNTIFS($G$3:$G$1002,SUBSTITUTE(SUBSTITUTE(G386,"?","~?"),"*","~*"),$B$3:$B$1002,"&lt;&gt;"&amp;SUBSTITUTE(SUBSTITUTE(B386,"?","~?"),"*","~*"),$B$3:$B$1002,"?*")&gt;0,"Yes","No"))</f>
        <v/>
      </c>
      <c r="V386">
        <f>IF(OR(G386="",I386="",O386="",O386="Unclassified"),"",IFERROR(INDEX(Settings!$E$5:$H$16,MATCH(I386,Settings!$D$5:$D$16,0),MATCH(O386,Settings!$E$4:$H$4,0)),"Check"))</f>
        <v/>
      </c>
      <c r="W386">
        <f>IF(V386="","",IF(V386="No","Yes","No"))</f>
        <v/>
      </c>
      <c r="X386">
        <f>IF(OR(E386="",G386=""),"",IF(LOWER(IF(RIGHT(TRIM(E386),1)="/",LEFT(TRIM(E386),LEN(TRIM(E386))-1),TRIM(E386)))&lt;&gt;LOWER(IF(RIGHT(TRIM(G386),1)="/",LEFT(TRIM(G386),LEN(TRIM(G386))-1),TRIM(G386))),"Yes","No"))</f>
        <v/>
      </c>
      <c r="Y386">
        <f>IF(A386="","",(N(Q386)&gt;0)+(T386="Yes")+(U386="Yes")+(W386="Yes")+(X386="Yes"))</f>
        <v/>
      </c>
      <c r="Z386">
        <f>IF(A386="","",IF(G386="","Not mapped",IF(Y386=0,"OK",MID(IF(N(Q386)&gt;0,"; Cannibalisation","")&amp;IF(T386="Yes","; Too many primary keywords on URL","")&amp;IF(U386="Yes","; URL spans 2+ clusters","")&amp;IF(W386="Yes","; Intent mismatch","")&amp;IF(X386="Yes","; Ranking URL is not the target",""),3,300))))</f>
        <v/>
      </c>
      <c r="AA386">
        <f>IF(G386="","",IF(COUNTIF($G$3:G386,SUBSTITUTE(SUBSTITUTE(G386,"?","~?"),"*","~*"))=1,MAX($AA$2:AA385)+1,""))</f>
        <v/>
      </c>
      <c r="AB386">
        <f>IF(B386="","",IF(COUNTIF($B$3:B386,SUBSTITUTE(SUBSTITUTE(B386,"?","~?"),"*","~*"))=1,MAX($AB$2:AB385)+1,""))</f>
        <v/>
      </c>
    </row>
    <row r="387">
      <c r="M387">
        <f>IF(A387="","",LOWER(TRIM(SUBSTITUTE(SUBSTITUTE(A387,"?",""),"*",""))))</f>
        <v/>
      </c>
      <c r="N387">
        <f>IF(M387="","",IF(SUMPRODUCT(ISNUMBER(SEARCH(" "&amp;Settings!$L$5:$L$124&amp;" "," "&amp;M387&amp;" "))*(Settings!$K$5:$K$124="Navigational")*(Settings!$L$5:$L$124&lt;&gt;""))&gt;0,"Navigational",IF(SUMPRODUCT(ISNUMBER(SEARCH(" "&amp;Settings!$L$5:$L$124&amp;" "," "&amp;M387&amp;" "))*(Settings!$K$5:$K$124="Transactional")*(Settings!$L$5:$L$124&lt;&gt;""))&gt;0,"Transactional",IF(SUMPRODUCT(ISNUMBER(SEARCH(" "&amp;Settings!$L$5:$L$124&amp;" "," "&amp;M387&amp;" "))*(Settings!$K$5:$K$124="Commercial")*(Settings!$L$5:$L$124&lt;&gt;""))&gt;0,"Commercial",IF(SUMPRODUCT(ISNUMBER(SEARCH(" "&amp;Settings!$L$5:$L$124&amp;" "," "&amp;M387&amp;" "))*(Settings!$K$5:$K$124="Informational")*(Settings!$L$5:$L$124&lt;&gt;""))&gt;0,"Informational","Unclassified")))))</f>
        <v/>
      </c>
      <c r="O387">
        <f>IF(A387="","",IF(K387&lt;&gt;"",PROPER(K387),N387))</f>
        <v/>
      </c>
      <c r="P387">
        <f>IF(A387="","",ROUND(Settings!$B$5*MIN(1,LOG10(N(C387)+1)/LOG10(Settings!$B$7+1))+Settings!$B$6*(1-MIN(100,IF(D387="",50,N(D387)))/100)+IFERROR(INDEX(Settings!$B$10:$B$14,MATCH(O387,Settings!$A$10:$A$14,0)),0),0))</f>
        <v/>
      </c>
      <c r="Q387">
        <f>IF(OR(A387="",G387=""),"",COUNTIFS($M$3:$M$1002,M387,$G$3:$G$1002,"&lt;&gt;"&amp;SUBSTITUTE(SUBSTITUTE(G387,"?","~?"),"*","~*"),$G$3:$G$1002,"?*"))</f>
        <v/>
      </c>
      <c r="R387">
        <f>IF(Q387="","",IF(Q387&gt;0,"Yes","No"))</f>
        <v/>
      </c>
      <c r="S387">
        <f>IF(G387="","",COUNTIFS($G$3:$G$1002,SUBSTITUTE(SUBSTITUTE(G387,"?","~?"),"*","~*"),$J$3:$J$1002,"Primary"))</f>
        <v/>
      </c>
      <c r="T387">
        <f>IF(S387="","",IF(S387&gt;Settings!$B$4,"Yes","No"))</f>
        <v/>
      </c>
      <c r="U387">
        <f>IF(OR(G387="",B387=""),"",IF(COUNTIFS($G$3:$G$1002,SUBSTITUTE(SUBSTITUTE(G387,"?","~?"),"*","~*"),$B$3:$B$1002,"&lt;&gt;"&amp;SUBSTITUTE(SUBSTITUTE(B387,"?","~?"),"*","~*"),$B$3:$B$1002,"?*")&gt;0,"Yes","No"))</f>
        <v/>
      </c>
      <c r="V387">
        <f>IF(OR(G387="",I387="",O387="",O387="Unclassified"),"",IFERROR(INDEX(Settings!$E$5:$H$16,MATCH(I387,Settings!$D$5:$D$16,0),MATCH(O387,Settings!$E$4:$H$4,0)),"Check"))</f>
        <v/>
      </c>
      <c r="W387">
        <f>IF(V387="","",IF(V387="No","Yes","No"))</f>
        <v/>
      </c>
      <c r="X387">
        <f>IF(OR(E387="",G387=""),"",IF(LOWER(IF(RIGHT(TRIM(E387),1)="/",LEFT(TRIM(E387),LEN(TRIM(E387))-1),TRIM(E387)))&lt;&gt;LOWER(IF(RIGHT(TRIM(G387),1)="/",LEFT(TRIM(G387),LEN(TRIM(G387))-1),TRIM(G387))),"Yes","No"))</f>
        <v/>
      </c>
      <c r="Y387">
        <f>IF(A387="","",(N(Q387)&gt;0)+(T387="Yes")+(U387="Yes")+(W387="Yes")+(X387="Yes"))</f>
        <v/>
      </c>
      <c r="Z387">
        <f>IF(A387="","",IF(G387="","Not mapped",IF(Y387=0,"OK",MID(IF(N(Q387)&gt;0,"; Cannibalisation","")&amp;IF(T387="Yes","; Too many primary keywords on URL","")&amp;IF(U387="Yes","; URL spans 2+ clusters","")&amp;IF(W387="Yes","; Intent mismatch","")&amp;IF(X387="Yes","; Ranking URL is not the target",""),3,300))))</f>
        <v/>
      </c>
      <c r="AA387">
        <f>IF(G387="","",IF(COUNTIF($G$3:G387,SUBSTITUTE(SUBSTITUTE(G387,"?","~?"),"*","~*"))=1,MAX($AA$2:AA386)+1,""))</f>
        <v/>
      </c>
      <c r="AB387">
        <f>IF(B387="","",IF(COUNTIF($B$3:B387,SUBSTITUTE(SUBSTITUTE(B387,"?","~?"),"*","~*"))=1,MAX($AB$2:AB386)+1,""))</f>
        <v/>
      </c>
    </row>
    <row r="388">
      <c r="M388">
        <f>IF(A388="","",LOWER(TRIM(SUBSTITUTE(SUBSTITUTE(A388,"?",""),"*",""))))</f>
        <v/>
      </c>
      <c r="N388">
        <f>IF(M388="","",IF(SUMPRODUCT(ISNUMBER(SEARCH(" "&amp;Settings!$L$5:$L$124&amp;" "," "&amp;M388&amp;" "))*(Settings!$K$5:$K$124="Navigational")*(Settings!$L$5:$L$124&lt;&gt;""))&gt;0,"Navigational",IF(SUMPRODUCT(ISNUMBER(SEARCH(" "&amp;Settings!$L$5:$L$124&amp;" "," "&amp;M388&amp;" "))*(Settings!$K$5:$K$124="Transactional")*(Settings!$L$5:$L$124&lt;&gt;""))&gt;0,"Transactional",IF(SUMPRODUCT(ISNUMBER(SEARCH(" "&amp;Settings!$L$5:$L$124&amp;" "," "&amp;M388&amp;" "))*(Settings!$K$5:$K$124="Commercial")*(Settings!$L$5:$L$124&lt;&gt;""))&gt;0,"Commercial",IF(SUMPRODUCT(ISNUMBER(SEARCH(" "&amp;Settings!$L$5:$L$124&amp;" "," "&amp;M388&amp;" "))*(Settings!$K$5:$K$124="Informational")*(Settings!$L$5:$L$124&lt;&gt;""))&gt;0,"Informational","Unclassified")))))</f>
        <v/>
      </c>
      <c r="O388">
        <f>IF(A388="","",IF(K388&lt;&gt;"",PROPER(K388),N388))</f>
        <v/>
      </c>
      <c r="P388">
        <f>IF(A388="","",ROUND(Settings!$B$5*MIN(1,LOG10(N(C388)+1)/LOG10(Settings!$B$7+1))+Settings!$B$6*(1-MIN(100,IF(D388="",50,N(D388)))/100)+IFERROR(INDEX(Settings!$B$10:$B$14,MATCH(O388,Settings!$A$10:$A$14,0)),0),0))</f>
        <v/>
      </c>
      <c r="Q388">
        <f>IF(OR(A388="",G388=""),"",COUNTIFS($M$3:$M$1002,M388,$G$3:$G$1002,"&lt;&gt;"&amp;SUBSTITUTE(SUBSTITUTE(G388,"?","~?"),"*","~*"),$G$3:$G$1002,"?*"))</f>
        <v/>
      </c>
      <c r="R388">
        <f>IF(Q388="","",IF(Q388&gt;0,"Yes","No"))</f>
        <v/>
      </c>
      <c r="S388">
        <f>IF(G388="","",COUNTIFS($G$3:$G$1002,SUBSTITUTE(SUBSTITUTE(G388,"?","~?"),"*","~*"),$J$3:$J$1002,"Primary"))</f>
        <v/>
      </c>
      <c r="T388">
        <f>IF(S388="","",IF(S388&gt;Settings!$B$4,"Yes","No"))</f>
        <v/>
      </c>
      <c r="U388">
        <f>IF(OR(G388="",B388=""),"",IF(COUNTIFS($G$3:$G$1002,SUBSTITUTE(SUBSTITUTE(G388,"?","~?"),"*","~*"),$B$3:$B$1002,"&lt;&gt;"&amp;SUBSTITUTE(SUBSTITUTE(B388,"?","~?"),"*","~*"),$B$3:$B$1002,"?*")&gt;0,"Yes","No"))</f>
        <v/>
      </c>
      <c r="V388">
        <f>IF(OR(G388="",I388="",O388="",O388="Unclassified"),"",IFERROR(INDEX(Settings!$E$5:$H$16,MATCH(I388,Settings!$D$5:$D$16,0),MATCH(O388,Settings!$E$4:$H$4,0)),"Check"))</f>
        <v/>
      </c>
      <c r="W388">
        <f>IF(V388="","",IF(V388="No","Yes","No"))</f>
        <v/>
      </c>
      <c r="X388">
        <f>IF(OR(E388="",G388=""),"",IF(LOWER(IF(RIGHT(TRIM(E388),1)="/",LEFT(TRIM(E388),LEN(TRIM(E388))-1),TRIM(E388)))&lt;&gt;LOWER(IF(RIGHT(TRIM(G388),1)="/",LEFT(TRIM(G388),LEN(TRIM(G388))-1),TRIM(G388))),"Yes","No"))</f>
        <v/>
      </c>
      <c r="Y388">
        <f>IF(A388="","",(N(Q388)&gt;0)+(T388="Yes")+(U388="Yes")+(W388="Yes")+(X388="Yes"))</f>
        <v/>
      </c>
      <c r="Z388">
        <f>IF(A388="","",IF(G388="","Not mapped",IF(Y388=0,"OK",MID(IF(N(Q388)&gt;0,"; Cannibalisation","")&amp;IF(T388="Yes","; Too many primary keywords on URL","")&amp;IF(U388="Yes","; URL spans 2+ clusters","")&amp;IF(W388="Yes","; Intent mismatch","")&amp;IF(X388="Yes","; Ranking URL is not the target",""),3,300))))</f>
        <v/>
      </c>
      <c r="AA388">
        <f>IF(G388="","",IF(COUNTIF($G$3:G388,SUBSTITUTE(SUBSTITUTE(G388,"?","~?"),"*","~*"))=1,MAX($AA$2:AA387)+1,""))</f>
        <v/>
      </c>
      <c r="AB388">
        <f>IF(B388="","",IF(COUNTIF($B$3:B388,SUBSTITUTE(SUBSTITUTE(B388,"?","~?"),"*","~*"))=1,MAX($AB$2:AB387)+1,""))</f>
        <v/>
      </c>
    </row>
    <row r="389">
      <c r="M389">
        <f>IF(A389="","",LOWER(TRIM(SUBSTITUTE(SUBSTITUTE(A389,"?",""),"*",""))))</f>
        <v/>
      </c>
      <c r="N389">
        <f>IF(M389="","",IF(SUMPRODUCT(ISNUMBER(SEARCH(" "&amp;Settings!$L$5:$L$124&amp;" "," "&amp;M389&amp;" "))*(Settings!$K$5:$K$124="Navigational")*(Settings!$L$5:$L$124&lt;&gt;""))&gt;0,"Navigational",IF(SUMPRODUCT(ISNUMBER(SEARCH(" "&amp;Settings!$L$5:$L$124&amp;" "," "&amp;M389&amp;" "))*(Settings!$K$5:$K$124="Transactional")*(Settings!$L$5:$L$124&lt;&gt;""))&gt;0,"Transactional",IF(SUMPRODUCT(ISNUMBER(SEARCH(" "&amp;Settings!$L$5:$L$124&amp;" "," "&amp;M389&amp;" "))*(Settings!$K$5:$K$124="Commercial")*(Settings!$L$5:$L$124&lt;&gt;""))&gt;0,"Commercial",IF(SUMPRODUCT(ISNUMBER(SEARCH(" "&amp;Settings!$L$5:$L$124&amp;" "," "&amp;M389&amp;" "))*(Settings!$K$5:$K$124="Informational")*(Settings!$L$5:$L$124&lt;&gt;""))&gt;0,"Informational","Unclassified")))))</f>
        <v/>
      </c>
      <c r="O389">
        <f>IF(A389="","",IF(K389&lt;&gt;"",PROPER(K389),N389))</f>
        <v/>
      </c>
      <c r="P389">
        <f>IF(A389="","",ROUND(Settings!$B$5*MIN(1,LOG10(N(C389)+1)/LOG10(Settings!$B$7+1))+Settings!$B$6*(1-MIN(100,IF(D389="",50,N(D389)))/100)+IFERROR(INDEX(Settings!$B$10:$B$14,MATCH(O389,Settings!$A$10:$A$14,0)),0),0))</f>
        <v/>
      </c>
      <c r="Q389">
        <f>IF(OR(A389="",G389=""),"",COUNTIFS($M$3:$M$1002,M389,$G$3:$G$1002,"&lt;&gt;"&amp;SUBSTITUTE(SUBSTITUTE(G389,"?","~?"),"*","~*"),$G$3:$G$1002,"?*"))</f>
        <v/>
      </c>
      <c r="R389">
        <f>IF(Q389="","",IF(Q389&gt;0,"Yes","No"))</f>
        <v/>
      </c>
      <c r="S389">
        <f>IF(G389="","",COUNTIFS($G$3:$G$1002,SUBSTITUTE(SUBSTITUTE(G389,"?","~?"),"*","~*"),$J$3:$J$1002,"Primary"))</f>
        <v/>
      </c>
      <c r="T389">
        <f>IF(S389="","",IF(S389&gt;Settings!$B$4,"Yes","No"))</f>
        <v/>
      </c>
      <c r="U389">
        <f>IF(OR(G389="",B389=""),"",IF(COUNTIFS($G$3:$G$1002,SUBSTITUTE(SUBSTITUTE(G389,"?","~?"),"*","~*"),$B$3:$B$1002,"&lt;&gt;"&amp;SUBSTITUTE(SUBSTITUTE(B389,"?","~?"),"*","~*"),$B$3:$B$1002,"?*")&gt;0,"Yes","No"))</f>
        <v/>
      </c>
      <c r="V389">
        <f>IF(OR(G389="",I389="",O389="",O389="Unclassified"),"",IFERROR(INDEX(Settings!$E$5:$H$16,MATCH(I389,Settings!$D$5:$D$16,0),MATCH(O389,Settings!$E$4:$H$4,0)),"Check"))</f>
        <v/>
      </c>
      <c r="W389">
        <f>IF(V389="","",IF(V389="No","Yes","No"))</f>
        <v/>
      </c>
      <c r="X389">
        <f>IF(OR(E389="",G389=""),"",IF(LOWER(IF(RIGHT(TRIM(E389),1)="/",LEFT(TRIM(E389),LEN(TRIM(E389))-1),TRIM(E389)))&lt;&gt;LOWER(IF(RIGHT(TRIM(G389),1)="/",LEFT(TRIM(G389),LEN(TRIM(G389))-1),TRIM(G389))),"Yes","No"))</f>
        <v/>
      </c>
      <c r="Y389">
        <f>IF(A389="","",(N(Q389)&gt;0)+(T389="Yes")+(U389="Yes")+(W389="Yes")+(X389="Yes"))</f>
        <v/>
      </c>
      <c r="Z389">
        <f>IF(A389="","",IF(G389="","Not mapped",IF(Y389=0,"OK",MID(IF(N(Q389)&gt;0,"; Cannibalisation","")&amp;IF(T389="Yes","; Too many primary keywords on URL","")&amp;IF(U389="Yes","; URL spans 2+ clusters","")&amp;IF(W389="Yes","; Intent mismatch","")&amp;IF(X389="Yes","; Ranking URL is not the target",""),3,300))))</f>
        <v/>
      </c>
      <c r="AA389">
        <f>IF(G389="","",IF(COUNTIF($G$3:G389,SUBSTITUTE(SUBSTITUTE(G389,"?","~?"),"*","~*"))=1,MAX($AA$2:AA388)+1,""))</f>
        <v/>
      </c>
      <c r="AB389">
        <f>IF(B389="","",IF(COUNTIF($B$3:B389,SUBSTITUTE(SUBSTITUTE(B389,"?","~?"),"*","~*"))=1,MAX($AB$2:AB388)+1,""))</f>
        <v/>
      </c>
    </row>
    <row r="390">
      <c r="M390">
        <f>IF(A390="","",LOWER(TRIM(SUBSTITUTE(SUBSTITUTE(A390,"?",""),"*",""))))</f>
        <v/>
      </c>
      <c r="N390">
        <f>IF(M390="","",IF(SUMPRODUCT(ISNUMBER(SEARCH(" "&amp;Settings!$L$5:$L$124&amp;" "," "&amp;M390&amp;" "))*(Settings!$K$5:$K$124="Navigational")*(Settings!$L$5:$L$124&lt;&gt;""))&gt;0,"Navigational",IF(SUMPRODUCT(ISNUMBER(SEARCH(" "&amp;Settings!$L$5:$L$124&amp;" "," "&amp;M390&amp;" "))*(Settings!$K$5:$K$124="Transactional")*(Settings!$L$5:$L$124&lt;&gt;""))&gt;0,"Transactional",IF(SUMPRODUCT(ISNUMBER(SEARCH(" "&amp;Settings!$L$5:$L$124&amp;" "," "&amp;M390&amp;" "))*(Settings!$K$5:$K$124="Commercial")*(Settings!$L$5:$L$124&lt;&gt;""))&gt;0,"Commercial",IF(SUMPRODUCT(ISNUMBER(SEARCH(" "&amp;Settings!$L$5:$L$124&amp;" "," "&amp;M390&amp;" "))*(Settings!$K$5:$K$124="Informational")*(Settings!$L$5:$L$124&lt;&gt;""))&gt;0,"Informational","Unclassified")))))</f>
        <v/>
      </c>
      <c r="O390">
        <f>IF(A390="","",IF(K390&lt;&gt;"",PROPER(K390),N390))</f>
        <v/>
      </c>
      <c r="P390">
        <f>IF(A390="","",ROUND(Settings!$B$5*MIN(1,LOG10(N(C390)+1)/LOG10(Settings!$B$7+1))+Settings!$B$6*(1-MIN(100,IF(D390="",50,N(D390)))/100)+IFERROR(INDEX(Settings!$B$10:$B$14,MATCH(O390,Settings!$A$10:$A$14,0)),0),0))</f>
        <v/>
      </c>
      <c r="Q390">
        <f>IF(OR(A390="",G390=""),"",COUNTIFS($M$3:$M$1002,M390,$G$3:$G$1002,"&lt;&gt;"&amp;SUBSTITUTE(SUBSTITUTE(G390,"?","~?"),"*","~*"),$G$3:$G$1002,"?*"))</f>
        <v/>
      </c>
      <c r="R390">
        <f>IF(Q390="","",IF(Q390&gt;0,"Yes","No"))</f>
        <v/>
      </c>
      <c r="S390">
        <f>IF(G390="","",COUNTIFS($G$3:$G$1002,SUBSTITUTE(SUBSTITUTE(G390,"?","~?"),"*","~*"),$J$3:$J$1002,"Primary"))</f>
        <v/>
      </c>
      <c r="T390">
        <f>IF(S390="","",IF(S390&gt;Settings!$B$4,"Yes","No"))</f>
        <v/>
      </c>
      <c r="U390">
        <f>IF(OR(G390="",B390=""),"",IF(COUNTIFS($G$3:$G$1002,SUBSTITUTE(SUBSTITUTE(G390,"?","~?"),"*","~*"),$B$3:$B$1002,"&lt;&gt;"&amp;SUBSTITUTE(SUBSTITUTE(B390,"?","~?"),"*","~*"),$B$3:$B$1002,"?*")&gt;0,"Yes","No"))</f>
        <v/>
      </c>
      <c r="V390">
        <f>IF(OR(G390="",I390="",O390="",O390="Unclassified"),"",IFERROR(INDEX(Settings!$E$5:$H$16,MATCH(I390,Settings!$D$5:$D$16,0),MATCH(O390,Settings!$E$4:$H$4,0)),"Check"))</f>
        <v/>
      </c>
      <c r="W390">
        <f>IF(V390="","",IF(V390="No","Yes","No"))</f>
        <v/>
      </c>
      <c r="X390">
        <f>IF(OR(E390="",G390=""),"",IF(LOWER(IF(RIGHT(TRIM(E390),1)="/",LEFT(TRIM(E390),LEN(TRIM(E390))-1),TRIM(E390)))&lt;&gt;LOWER(IF(RIGHT(TRIM(G390),1)="/",LEFT(TRIM(G390),LEN(TRIM(G390))-1),TRIM(G390))),"Yes","No"))</f>
        <v/>
      </c>
      <c r="Y390">
        <f>IF(A390="","",(N(Q390)&gt;0)+(T390="Yes")+(U390="Yes")+(W390="Yes")+(X390="Yes"))</f>
        <v/>
      </c>
      <c r="Z390">
        <f>IF(A390="","",IF(G390="","Not mapped",IF(Y390=0,"OK",MID(IF(N(Q390)&gt;0,"; Cannibalisation","")&amp;IF(T390="Yes","; Too many primary keywords on URL","")&amp;IF(U390="Yes","; URL spans 2+ clusters","")&amp;IF(W390="Yes","; Intent mismatch","")&amp;IF(X390="Yes","; Ranking URL is not the target",""),3,300))))</f>
        <v/>
      </c>
      <c r="AA390">
        <f>IF(G390="","",IF(COUNTIF($G$3:G390,SUBSTITUTE(SUBSTITUTE(G390,"?","~?"),"*","~*"))=1,MAX($AA$2:AA389)+1,""))</f>
        <v/>
      </c>
      <c r="AB390">
        <f>IF(B390="","",IF(COUNTIF($B$3:B390,SUBSTITUTE(SUBSTITUTE(B390,"?","~?"),"*","~*"))=1,MAX($AB$2:AB389)+1,""))</f>
        <v/>
      </c>
    </row>
    <row r="391">
      <c r="M391">
        <f>IF(A391="","",LOWER(TRIM(SUBSTITUTE(SUBSTITUTE(A391,"?",""),"*",""))))</f>
        <v/>
      </c>
      <c r="N391">
        <f>IF(M391="","",IF(SUMPRODUCT(ISNUMBER(SEARCH(" "&amp;Settings!$L$5:$L$124&amp;" "," "&amp;M391&amp;" "))*(Settings!$K$5:$K$124="Navigational")*(Settings!$L$5:$L$124&lt;&gt;""))&gt;0,"Navigational",IF(SUMPRODUCT(ISNUMBER(SEARCH(" "&amp;Settings!$L$5:$L$124&amp;" "," "&amp;M391&amp;" "))*(Settings!$K$5:$K$124="Transactional")*(Settings!$L$5:$L$124&lt;&gt;""))&gt;0,"Transactional",IF(SUMPRODUCT(ISNUMBER(SEARCH(" "&amp;Settings!$L$5:$L$124&amp;" "," "&amp;M391&amp;" "))*(Settings!$K$5:$K$124="Commercial")*(Settings!$L$5:$L$124&lt;&gt;""))&gt;0,"Commercial",IF(SUMPRODUCT(ISNUMBER(SEARCH(" "&amp;Settings!$L$5:$L$124&amp;" "," "&amp;M391&amp;" "))*(Settings!$K$5:$K$124="Informational")*(Settings!$L$5:$L$124&lt;&gt;""))&gt;0,"Informational","Unclassified")))))</f>
        <v/>
      </c>
      <c r="O391">
        <f>IF(A391="","",IF(K391&lt;&gt;"",PROPER(K391),N391))</f>
        <v/>
      </c>
      <c r="P391">
        <f>IF(A391="","",ROUND(Settings!$B$5*MIN(1,LOG10(N(C391)+1)/LOG10(Settings!$B$7+1))+Settings!$B$6*(1-MIN(100,IF(D391="",50,N(D391)))/100)+IFERROR(INDEX(Settings!$B$10:$B$14,MATCH(O391,Settings!$A$10:$A$14,0)),0),0))</f>
        <v/>
      </c>
      <c r="Q391">
        <f>IF(OR(A391="",G391=""),"",COUNTIFS($M$3:$M$1002,M391,$G$3:$G$1002,"&lt;&gt;"&amp;SUBSTITUTE(SUBSTITUTE(G391,"?","~?"),"*","~*"),$G$3:$G$1002,"?*"))</f>
        <v/>
      </c>
      <c r="R391">
        <f>IF(Q391="","",IF(Q391&gt;0,"Yes","No"))</f>
        <v/>
      </c>
      <c r="S391">
        <f>IF(G391="","",COUNTIFS($G$3:$G$1002,SUBSTITUTE(SUBSTITUTE(G391,"?","~?"),"*","~*"),$J$3:$J$1002,"Primary"))</f>
        <v/>
      </c>
      <c r="T391">
        <f>IF(S391="","",IF(S391&gt;Settings!$B$4,"Yes","No"))</f>
        <v/>
      </c>
      <c r="U391">
        <f>IF(OR(G391="",B391=""),"",IF(COUNTIFS($G$3:$G$1002,SUBSTITUTE(SUBSTITUTE(G391,"?","~?"),"*","~*"),$B$3:$B$1002,"&lt;&gt;"&amp;SUBSTITUTE(SUBSTITUTE(B391,"?","~?"),"*","~*"),$B$3:$B$1002,"?*")&gt;0,"Yes","No"))</f>
        <v/>
      </c>
      <c r="V391">
        <f>IF(OR(G391="",I391="",O391="",O391="Unclassified"),"",IFERROR(INDEX(Settings!$E$5:$H$16,MATCH(I391,Settings!$D$5:$D$16,0),MATCH(O391,Settings!$E$4:$H$4,0)),"Check"))</f>
        <v/>
      </c>
      <c r="W391">
        <f>IF(V391="","",IF(V391="No","Yes","No"))</f>
        <v/>
      </c>
      <c r="X391">
        <f>IF(OR(E391="",G391=""),"",IF(LOWER(IF(RIGHT(TRIM(E391),1)="/",LEFT(TRIM(E391),LEN(TRIM(E391))-1),TRIM(E391)))&lt;&gt;LOWER(IF(RIGHT(TRIM(G391),1)="/",LEFT(TRIM(G391),LEN(TRIM(G391))-1),TRIM(G391))),"Yes","No"))</f>
        <v/>
      </c>
      <c r="Y391">
        <f>IF(A391="","",(N(Q391)&gt;0)+(T391="Yes")+(U391="Yes")+(W391="Yes")+(X391="Yes"))</f>
        <v/>
      </c>
      <c r="Z391">
        <f>IF(A391="","",IF(G391="","Not mapped",IF(Y391=0,"OK",MID(IF(N(Q391)&gt;0,"; Cannibalisation","")&amp;IF(T391="Yes","; Too many primary keywords on URL","")&amp;IF(U391="Yes","; URL spans 2+ clusters","")&amp;IF(W391="Yes","; Intent mismatch","")&amp;IF(X391="Yes","; Ranking URL is not the target",""),3,300))))</f>
        <v/>
      </c>
      <c r="AA391">
        <f>IF(G391="","",IF(COUNTIF($G$3:G391,SUBSTITUTE(SUBSTITUTE(G391,"?","~?"),"*","~*"))=1,MAX($AA$2:AA390)+1,""))</f>
        <v/>
      </c>
      <c r="AB391">
        <f>IF(B391="","",IF(COUNTIF($B$3:B391,SUBSTITUTE(SUBSTITUTE(B391,"?","~?"),"*","~*"))=1,MAX($AB$2:AB390)+1,""))</f>
        <v/>
      </c>
    </row>
    <row r="392">
      <c r="M392">
        <f>IF(A392="","",LOWER(TRIM(SUBSTITUTE(SUBSTITUTE(A392,"?",""),"*",""))))</f>
        <v/>
      </c>
      <c r="N392">
        <f>IF(M392="","",IF(SUMPRODUCT(ISNUMBER(SEARCH(" "&amp;Settings!$L$5:$L$124&amp;" "," "&amp;M392&amp;" "))*(Settings!$K$5:$K$124="Navigational")*(Settings!$L$5:$L$124&lt;&gt;""))&gt;0,"Navigational",IF(SUMPRODUCT(ISNUMBER(SEARCH(" "&amp;Settings!$L$5:$L$124&amp;" "," "&amp;M392&amp;" "))*(Settings!$K$5:$K$124="Transactional")*(Settings!$L$5:$L$124&lt;&gt;""))&gt;0,"Transactional",IF(SUMPRODUCT(ISNUMBER(SEARCH(" "&amp;Settings!$L$5:$L$124&amp;" "," "&amp;M392&amp;" "))*(Settings!$K$5:$K$124="Commercial")*(Settings!$L$5:$L$124&lt;&gt;""))&gt;0,"Commercial",IF(SUMPRODUCT(ISNUMBER(SEARCH(" "&amp;Settings!$L$5:$L$124&amp;" "," "&amp;M392&amp;" "))*(Settings!$K$5:$K$124="Informational")*(Settings!$L$5:$L$124&lt;&gt;""))&gt;0,"Informational","Unclassified")))))</f>
        <v/>
      </c>
      <c r="O392">
        <f>IF(A392="","",IF(K392&lt;&gt;"",PROPER(K392),N392))</f>
        <v/>
      </c>
      <c r="P392">
        <f>IF(A392="","",ROUND(Settings!$B$5*MIN(1,LOG10(N(C392)+1)/LOG10(Settings!$B$7+1))+Settings!$B$6*(1-MIN(100,IF(D392="",50,N(D392)))/100)+IFERROR(INDEX(Settings!$B$10:$B$14,MATCH(O392,Settings!$A$10:$A$14,0)),0),0))</f>
        <v/>
      </c>
      <c r="Q392">
        <f>IF(OR(A392="",G392=""),"",COUNTIFS($M$3:$M$1002,M392,$G$3:$G$1002,"&lt;&gt;"&amp;SUBSTITUTE(SUBSTITUTE(G392,"?","~?"),"*","~*"),$G$3:$G$1002,"?*"))</f>
        <v/>
      </c>
      <c r="R392">
        <f>IF(Q392="","",IF(Q392&gt;0,"Yes","No"))</f>
        <v/>
      </c>
      <c r="S392">
        <f>IF(G392="","",COUNTIFS($G$3:$G$1002,SUBSTITUTE(SUBSTITUTE(G392,"?","~?"),"*","~*"),$J$3:$J$1002,"Primary"))</f>
        <v/>
      </c>
      <c r="T392">
        <f>IF(S392="","",IF(S392&gt;Settings!$B$4,"Yes","No"))</f>
        <v/>
      </c>
      <c r="U392">
        <f>IF(OR(G392="",B392=""),"",IF(COUNTIFS($G$3:$G$1002,SUBSTITUTE(SUBSTITUTE(G392,"?","~?"),"*","~*"),$B$3:$B$1002,"&lt;&gt;"&amp;SUBSTITUTE(SUBSTITUTE(B392,"?","~?"),"*","~*"),$B$3:$B$1002,"?*")&gt;0,"Yes","No"))</f>
        <v/>
      </c>
      <c r="V392">
        <f>IF(OR(G392="",I392="",O392="",O392="Unclassified"),"",IFERROR(INDEX(Settings!$E$5:$H$16,MATCH(I392,Settings!$D$5:$D$16,0),MATCH(O392,Settings!$E$4:$H$4,0)),"Check"))</f>
        <v/>
      </c>
      <c r="W392">
        <f>IF(V392="","",IF(V392="No","Yes","No"))</f>
        <v/>
      </c>
      <c r="X392">
        <f>IF(OR(E392="",G392=""),"",IF(LOWER(IF(RIGHT(TRIM(E392),1)="/",LEFT(TRIM(E392),LEN(TRIM(E392))-1),TRIM(E392)))&lt;&gt;LOWER(IF(RIGHT(TRIM(G392),1)="/",LEFT(TRIM(G392),LEN(TRIM(G392))-1),TRIM(G392))),"Yes","No"))</f>
        <v/>
      </c>
      <c r="Y392">
        <f>IF(A392="","",(N(Q392)&gt;0)+(T392="Yes")+(U392="Yes")+(W392="Yes")+(X392="Yes"))</f>
        <v/>
      </c>
      <c r="Z392">
        <f>IF(A392="","",IF(G392="","Not mapped",IF(Y392=0,"OK",MID(IF(N(Q392)&gt;0,"; Cannibalisation","")&amp;IF(T392="Yes","; Too many primary keywords on URL","")&amp;IF(U392="Yes","; URL spans 2+ clusters","")&amp;IF(W392="Yes","; Intent mismatch","")&amp;IF(X392="Yes","; Ranking URL is not the target",""),3,300))))</f>
        <v/>
      </c>
      <c r="AA392">
        <f>IF(G392="","",IF(COUNTIF($G$3:G392,SUBSTITUTE(SUBSTITUTE(G392,"?","~?"),"*","~*"))=1,MAX($AA$2:AA391)+1,""))</f>
        <v/>
      </c>
      <c r="AB392">
        <f>IF(B392="","",IF(COUNTIF($B$3:B392,SUBSTITUTE(SUBSTITUTE(B392,"?","~?"),"*","~*"))=1,MAX($AB$2:AB391)+1,""))</f>
        <v/>
      </c>
    </row>
    <row r="393">
      <c r="M393">
        <f>IF(A393="","",LOWER(TRIM(SUBSTITUTE(SUBSTITUTE(A393,"?",""),"*",""))))</f>
        <v/>
      </c>
      <c r="N393">
        <f>IF(M393="","",IF(SUMPRODUCT(ISNUMBER(SEARCH(" "&amp;Settings!$L$5:$L$124&amp;" "," "&amp;M393&amp;" "))*(Settings!$K$5:$K$124="Navigational")*(Settings!$L$5:$L$124&lt;&gt;""))&gt;0,"Navigational",IF(SUMPRODUCT(ISNUMBER(SEARCH(" "&amp;Settings!$L$5:$L$124&amp;" "," "&amp;M393&amp;" "))*(Settings!$K$5:$K$124="Transactional")*(Settings!$L$5:$L$124&lt;&gt;""))&gt;0,"Transactional",IF(SUMPRODUCT(ISNUMBER(SEARCH(" "&amp;Settings!$L$5:$L$124&amp;" "," "&amp;M393&amp;" "))*(Settings!$K$5:$K$124="Commercial")*(Settings!$L$5:$L$124&lt;&gt;""))&gt;0,"Commercial",IF(SUMPRODUCT(ISNUMBER(SEARCH(" "&amp;Settings!$L$5:$L$124&amp;" "," "&amp;M393&amp;" "))*(Settings!$K$5:$K$124="Informational")*(Settings!$L$5:$L$124&lt;&gt;""))&gt;0,"Informational","Unclassified")))))</f>
        <v/>
      </c>
      <c r="O393">
        <f>IF(A393="","",IF(K393&lt;&gt;"",PROPER(K393),N393))</f>
        <v/>
      </c>
      <c r="P393">
        <f>IF(A393="","",ROUND(Settings!$B$5*MIN(1,LOG10(N(C393)+1)/LOG10(Settings!$B$7+1))+Settings!$B$6*(1-MIN(100,IF(D393="",50,N(D393)))/100)+IFERROR(INDEX(Settings!$B$10:$B$14,MATCH(O393,Settings!$A$10:$A$14,0)),0),0))</f>
        <v/>
      </c>
      <c r="Q393">
        <f>IF(OR(A393="",G393=""),"",COUNTIFS($M$3:$M$1002,M393,$G$3:$G$1002,"&lt;&gt;"&amp;SUBSTITUTE(SUBSTITUTE(G393,"?","~?"),"*","~*"),$G$3:$G$1002,"?*"))</f>
        <v/>
      </c>
      <c r="R393">
        <f>IF(Q393="","",IF(Q393&gt;0,"Yes","No"))</f>
        <v/>
      </c>
      <c r="S393">
        <f>IF(G393="","",COUNTIFS($G$3:$G$1002,SUBSTITUTE(SUBSTITUTE(G393,"?","~?"),"*","~*"),$J$3:$J$1002,"Primary"))</f>
        <v/>
      </c>
      <c r="T393">
        <f>IF(S393="","",IF(S393&gt;Settings!$B$4,"Yes","No"))</f>
        <v/>
      </c>
      <c r="U393">
        <f>IF(OR(G393="",B393=""),"",IF(COUNTIFS($G$3:$G$1002,SUBSTITUTE(SUBSTITUTE(G393,"?","~?"),"*","~*"),$B$3:$B$1002,"&lt;&gt;"&amp;SUBSTITUTE(SUBSTITUTE(B393,"?","~?"),"*","~*"),$B$3:$B$1002,"?*")&gt;0,"Yes","No"))</f>
        <v/>
      </c>
      <c r="V393">
        <f>IF(OR(G393="",I393="",O393="",O393="Unclassified"),"",IFERROR(INDEX(Settings!$E$5:$H$16,MATCH(I393,Settings!$D$5:$D$16,0),MATCH(O393,Settings!$E$4:$H$4,0)),"Check"))</f>
        <v/>
      </c>
      <c r="W393">
        <f>IF(V393="","",IF(V393="No","Yes","No"))</f>
        <v/>
      </c>
      <c r="X393">
        <f>IF(OR(E393="",G393=""),"",IF(LOWER(IF(RIGHT(TRIM(E393),1)="/",LEFT(TRIM(E393),LEN(TRIM(E393))-1),TRIM(E393)))&lt;&gt;LOWER(IF(RIGHT(TRIM(G393),1)="/",LEFT(TRIM(G393),LEN(TRIM(G393))-1),TRIM(G393))),"Yes","No"))</f>
        <v/>
      </c>
      <c r="Y393">
        <f>IF(A393="","",(N(Q393)&gt;0)+(T393="Yes")+(U393="Yes")+(W393="Yes")+(X393="Yes"))</f>
        <v/>
      </c>
      <c r="Z393">
        <f>IF(A393="","",IF(G393="","Not mapped",IF(Y393=0,"OK",MID(IF(N(Q393)&gt;0,"; Cannibalisation","")&amp;IF(T393="Yes","; Too many primary keywords on URL","")&amp;IF(U393="Yes","; URL spans 2+ clusters","")&amp;IF(W393="Yes","; Intent mismatch","")&amp;IF(X393="Yes","; Ranking URL is not the target",""),3,300))))</f>
        <v/>
      </c>
      <c r="AA393">
        <f>IF(G393="","",IF(COUNTIF($G$3:G393,SUBSTITUTE(SUBSTITUTE(G393,"?","~?"),"*","~*"))=1,MAX($AA$2:AA392)+1,""))</f>
        <v/>
      </c>
      <c r="AB393">
        <f>IF(B393="","",IF(COUNTIF($B$3:B393,SUBSTITUTE(SUBSTITUTE(B393,"?","~?"),"*","~*"))=1,MAX($AB$2:AB392)+1,""))</f>
        <v/>
      </c>
    </row>
    <row r="394">
      <c r="M394">
        <f>IF(A394="","",LOWER(TRIM(SUBSTITUTE(SUBSTITUTE(A394,"?",""),"*",""))))</f>
        <v/>
      </c>
      <c r="N394">
        <f>IF(M394="","",IF(SUMPRODUCT(ISNUMBER(SEARCH(" "&amp;Settings!$L$5:$L$124&amp;" "," "&amp;M394&amp;" "))*(Settings!$K$5:$K$124="Navigational")*(Settings!$L$5:$L$124&lt;&gt;""))&gt;0,"Navigational",IF(SUMPRODUCT(ISNUMBER(SEARCH(" "&amp;Settings!$L$5:$L$124&amp;" "," "&amp;M394&amp;" "))*(Settings!$K$5:$K$124="Transactional")*(Settings!$L$5:$L$124&lt;&gt;""))&gt;0,"Transactional",IF(SUMPRODUCT(ISNUMBER(SEARCH(" "&amp;Settings!$L$5:$L$124&amp;" "," "&amp;M394&amp;" "))*(Settings!$K$5:$K$124="Commercial")*(Settings!$L$5:$L$124&lt;&gt;""))&gt;0,"Commercial",IF(SUMPRODUCT(ISNUMBER(SEARCH(" "&amp;Settings!$L$5:$L$124&amp;" "," "&amp;M394&amp;" "))*(Settings!$K$5:$K$124="Informational")*(Settings!$L$5:$L$124&lt;&gt;""))&gt;0,"Informational","Unclassified")))))</f>
        <v/>
      </c>
      <c r="O394">
        <f>IF(A394="","",IF(K394&lt;&gt;"",PROPER(K394),N394))</f>
        <v/>
      </c>
      <c r="P394">
        <f>IF(A394="","",ROUND(Settings!$B$5*MIN(1,LOG10(N(C394)+1)/LOG10(Settings!$B$7+1))+Settings!$B$6*(1-MIN(100,IF(D394="",50,N(D394)))/100)+IFERROR(INDEX(Settings!$B$10:$B$14,MATCH(O394,Settings!$A$10:$A$14,0)),0),0))</f>
        <v/>
      </c>
      <c r="Q394">
        <f>IF(OR(A394="",G394=""),"",COUNTIFS($M$3:$M$1002,M394,$G$3:$G$1002,"&lt;&gt;"&amp;SUBSTITUTE(SUBSTITUTE(G394,"?","~?"),"*","~*"),$G$3:$G$1002,"?*"))</f>
        <v/>
      </c>
      <c r="R394">
        <f>IF(Q394="","",IF(Q394&gt;0,"Yes","No"))</f>
        <v/>
      </c>
      <c r="S394">
        <f>IF(G394="","",COUNTIFS($G$3:$G$1002,SUBSTITUTE(SUBSTITUTE(G394,"?","~?"),"*","~*"),$J$3:$J$1002,"Primary"))</f>
        <v/>
      </c>
      <c r="T394">
        <f>IF(S394="","",IF(S394&gt;Settings!$B$4,"Yes","No"))</f>
        <v/>
      </c>
      <c r="U394">
        <f>IF(OR(G394="",B394=""),"",IF(COUNTIFS($G$3:$G$1002,SUBSTITUTE(SUBSTITUTE(G394,"?","~?"),"*","~*"),$B$3:$B$1002,"&lt;&gt;"&amp;SUBSTITUTE(SUBSTITUTE(B394,"?","~?"),"*","~*"),$B$3:$B$1002,"?*")&gt;0,"Yes","No"))</f>
        <v/>
      </c>
      <c r="V394">
        <f>IF(OR(G394="",I394="",O394="",O394="Unclassified"),"",IFERROR(INDEX(Settings!$E$5:$H$16,MATCH(I394,Settings!$D$5:$D$16,0),MATCH(O394,Settings!$E$4:$H$4,0)),"Check"))</f>
        <v/>
      </c>
      <c r="W394">
        <f>IF(V394="","",IF(V394="No","Yes","No"))</f>
        <v/>
      </c>
      <c r="X394">
        <f>IF(OR(E394="",G394=""),"",IF(LOWER(IF(RIGHT(TRIM(E394),1)="/",LEFT(TRIM(E394),LEN(TRIM(E394))-1),TRIM(E394)))&lt;&gt;LOWER(IF(RIGHT(TRIM(G394),1)="/",LEFT(TRIM(G394),LEN(TRIM(G394))-1),TRIM(G394))),"Yes","No"))</f>
        <v/>
      </c>
      <c r="Y394">
        <f>IF(A394="","",(N(Q394)&gt;0)+(T394="Yes")+(U394="Yes")+(W394="Yes")+(X394="Yes"))</f>
        <v/>
      </c>
      <c r="Z394">
        <f>IF(A394="","",IF(G394="","Not mapped",IF(Y394=0,"OK",MID(IF(N(Q394)&gt;0,"; Cannibalisation","")&amp;IF(T394="Yes","; Too many primary keywords on URL","")&amp;IF(U394="Yes","; URL spans 2+ clusters","")&amp;IF(W394="Yes","; Intent mismatch","")&amp;IF(X394="Yes","; Ranking URL is not the target",""),3,300))))</f>
        <v/>
      </c>
      <c r="AA394">
        <f>IF(G394="","",IF(COUNTIF($G$3:G394,SUBSTITUTE(SUBSTITUTE(G394,"?","~?"),"*","~*"))=1,MAX($AA$2:AA393)+1,""))</f>
        <v/>
      </c>
      <c r="AB394">
        <f>IF(B394="","",IF(COUNTIF($B$3:B394,SUBSTITUTE(SUBSTITUTE(B394,"?","~?"),"*","~*"))=1,MAX($AB$2:AB393)+1,""))</f>
        <v/>
      </c>
    </row>
    <row r="395">
      <c r="M395">
        <f>IF(A395="","",LOWER(TRIM(SUBSTITUTE(SUBSTITUTE(A395,"?",""),"*",""))))</f>
        <v/>
      </c>
      <c r="N395">
        <f>IF(M395="","",IF(SUMPRODUCT(ISNUMBER(SEARCH(" "&amp;Settings!$L$5:$L$124&amp;" "," "&amp;M395&amp;" "))*(Settings!$K$5:$K$124="Navigational")*(Settings!$L$5:$L$124&lt;&gt;""))&gt;0,"Navigational",IF(SUMPRODUCT(ISNUMBER(SEARCH(" "&amp;Settings!$L$5:$L$124&amp;" "," "&amp;M395&amp;" "))*(Settings!$K$5:$K$124="Transactional")*(Settings!$L$5:$L$124&lt;&gt;""))&gt;0,"Transactional",IF(SUMPRODUCT(ISNUMBER(SEARCH(" "&amp;Settings!$L$5:$L$124&amp;" "," "&amp;M395&amp;" "))*(Settings!$K$5:$K$124="Commercial")*(Settings!$L$5:$L$124&lt;&gt;""))&gt;0,"Commercial",IF(SUMPRODUCT(ISNUMBER(SEARCH(" "&amp;Settings!$L$5:$L$124&amp;" "," "&amp;M395&amp;" "))*(Settings!$K$5:$K$124="Informational")*(Settings!$L$5:$L$124&lt;&gt;""))&gt;0,"Informational","Unclassified")))))</f>
        <v/>
      </c>
      <c r="O395">
        <f>IF(A395="","",IF(K395&lt;&gt;"",PROPER(K395),N395))</f>
        <v/>
      </c>
      <c r="P395">
        <f>IF(A395="","",ROUND(Settings!$B$5*MIN(1,LOG10(N(C395)+1)/LOG10(Settings!$B$7+1))+Settings!$B$6*(1-MIN(100,IF(D395="",50,N(D395)))/100)+IFERROR(INDEX(Settings!$B$10:$B$14,MATCH(O395,Settings!$A$10:$A$14,0)),0),0))</f>
        <v/>
      </c>
      <c r="Q395">
        <f>IF(OR(A395="",G395=""),"",COUNTIFS($M$3:$M$1002,M395,$G$3:$G$1002,"&lt;&gt;"&amp;SUBSTITUTE(SUBSTITUTE(G395,"?","~?"),"*","~*"),$G$3:$G$1002,"?*"))</f>
        <v/>
      </c>
      <c r="R395">
        <f>IF(Q395="","",IF(Q395&gt;0,"Yes","No"))</f>
        <v/>
      </c>
      <c r="S395">
        <f>IF(G395="","",COUNTIFS($G$3:$G$1002,SUBSTITUTE(SUBSTITUTE(G395,"?","~?"),"*","~*"),$J$3:$J$1002,"Primary"))</f>
        <v/>
      </c>
      <c r="T395">
        <f>IF(S395="","",IF(S395&gt;Settings!$B$4,"Yes","No"))</f>
        <v/>
      </c>
      <c r="U395">
        <f>IF(OR(G395="",B395=""),"",IF(COUNTIFS($G$3:$G$1002,SUBSTITUTE(SUBSTITUTE(G395,"?","~?"),"*","~*"),$B$3:$B$1002,"&lt;&gt;"&amp;SUBSTITUTE(SUBSTITUTE(B395,"?","~?"),"*","~*"),$B$3:$B$1002,"?*")&gt;0,"Yes","No"))</f>
        <v/>
      </c>
      <c r="V395">
        <f>IF(OR(G395="",I395="",O395="",O395="Unclassified"),"",IFERROR(INDEX(Settings!$E$5:$H$16,MATCH(I395,Settings!$D$5:$D$16,0),MATCH(O395,Settings!$E$4:$H$4,0)),"Check"))</f>
        <v/>
      </c>
      <c r="W395">
        <f>IF(V395="","",IF(V395="No","Yes","No"))</f>
        <v/>
      </c>
      <c r="X395">
        <f>IF(OR(E395="",G395=""),"",IF(LOWER(IF(RIGHT(TRIM(E395),1)="/",LEFT(TRIM(E395),LEN(TRIM(E395))-1),TRIM(E395)))&lt;&gt;LOWER(IF(RIGHT(TRIM(G395),1)="/",LEFT(TRIM(G395),LEN(TRIM(G395))-1),TRIM(G395))),"Yes","No"))</f>
        <v/>
      </c>
      <c r="Y395">
        <f>IF(A395="","",(N(Q395)&gt;0)+(T395="Yes")+(U395="Yes")+(W395="Yes")+(X395="Yes"))</f>
        <v/>
      </c>
      <c r="Z395">
        <f>IF(A395="","",IF(G395="","Not mapped",IF(Y395=0,"OK",MID(IF(N(Q395)&gt;0,"; Cannibalisation","")&amp;IF(T395="Yes","; Too many primary keywords on URL","")&amp;IF(U395="Yes","; URL spans 2+ clusters","")&amp;IF(W395="Yes","; Intent mismatch","")&amp;IF(X395="Yes","; Ranking URL is not the target",""),3,300))))</f>
        <v/>
      </c>
      <c r="AA395">
        <f>IF(G395="","",IF(COUNTIF($G$3:G395,SUBSTITUTE(SUBSTITUTE(G395,"?","~?"),"*","~*"))=1,MAX($AA$2:AA394)+1,""))</f>
        <v/>
      </c>
      <c r="AB395">
        <f>IF(B395="","",IF(COUNTIF($B$3:B395,SUBSTITUTE(SUBSTITUTE(B395,"?","~?"),"*","~*"))=1,MAX($AB$2:AB394)+1,""))</f>
        <v/>
      </c>
    </row>
    <row r="396">
      <c r="M396">
        <f>IF(A396="","",LOWER(TRIM(SUBSTITUTE(SUBSTITUTE(A396,"?",""),"*",""))))</f>
        <v/>
      </c>
      <c r="N396">
        <f>IF(M396="","",IF(SUMPRODUCT(ISNUMBER(SEARCH(" "&amp;Settings!$L$5:$L$124&amp;" "," "&amp;M396&amp;" "))*(Settings!$K$5:$K$124="Navigational")*(Settings!$L$5:$L$124&lt;&gt;""))&gt;0,"Navigational",IF(SUMPRODUCT(ISNUMBER(SEARCH(" "&amp;Settings!$L$5:$L$124&amp;" "," "&amp;M396&amp;" "))*(Settings!$K$5:$K$124="Transactional")*(Settings!$L$5:$L$124&lt;&gt;""))&gt;0,"Transactional",IF(SUMPRODUCT(ISNUMBER(SEARCH(" "&amp;Settings!$L$5:$L$124&amp;" "," "&amp;M396&amp;" "))*(Settings!$K$5:$K$124="Commercial")*(Settings!$L$5:$L$124&lt;&gt;""))&gt;0,"Commercial",IF(SUMPRODUCT(ISNUMBER(SEARCH(" "&amp;Settings!$L$5:$L$124&amp;" "," "&amp;M396&amp;" "))*(Settings!$K$5:$K$124="Informational")*(Settings!$L$5:$L$124&lt;&gt;""))&gt;0,"Informational","Unclassified")))))</f>
        <v/>
      </c>
      <c r="O396">
        <f>IF(A396="","",IF(K396&lt;&gt;"",PROPER(K396),N396))</f>
        <v/>
      </c>
      <c r="P396">
        <f>IF(A396="","",ROUND(Settings!$B$5*MIN(1,LOG10(N(C396)+1)/LOG10(Settings!$B$7+1))+Settings!$B$6*(1-MIN(100,IF(D396="",50,N(D396)))/100)+IFERROR(INDEX(Settings!$B$10:$B$14,MATCH(O396,Settings!$A$10:$A$14,0)),0),0))</f>
        <v/>
      </c>
      <c r="Q396">
        <f>IF(OR(A396="",G396=""),"",COUNTIFS($M$3:$M$1002,M396,$G$3:$G$1002,"&lt;&gt;"&amp;SUBSTITUTE(SUBSTITUTE(G396,"?","~?"),"*","~*"),$G$3:$G$1002,"?*"))</f>
        <v/>
      </c>
      <c r="R396">
        <f>IF(Q396="","",IF(Q396&gt;0,"Yes","No"))</f>
        <v/>
      </c>
      <c r="S396">
        <f>IF(G396="","",COUNTIFS($G$3:$G$1002,SUBSTITUTE(SUBSTITUTE(G396,"?","~?"),"*","~*"),$J$3:$J$1002,"Primary"))</f>
        <v/>
      </c>
      <c r="T396">
        <f>IF(S396="","",IF(S396&gt;Settings!$B$4,"Yes","No"))</f>
        <v/>
      </c>
      <c r="U396">
        <f>IF(OR(G396="",B396=""),"",IF(COUNTIFS($G$3:$G$1002,SUBSTITUTE(SUBSTITUTE(G396,"?","~?"),"*","~*"),$B$3:$B$1002,"&lt;&gt;"&amp;SUBSTITUTE(SUBSTITUTE(B396,"?","~?"),"*","~*"),$B$3:$B$1002,"?*")&gt;0,"Yes","No"))</f>
        <v/>
      </c>
      <c r="V396">
        <f>IF(OR(G396="",I396="",O396="",O396="Unclassified"),"",IFERROR(INDEX(Settings!$E$5:$H$16,MATCH(I396,Settings!$D$5:$D$16,0),MATCH(O396,Settings!$E$4:$H$4,0)),"Check"))</f>
        <v/>
      </c>
      <c r="W396">
        <f>IF(V396="","",IF(V396="No","Yes","No"))</f>
        <v/>
      </c>
      <c r="X396">
        <f>IF(OR(E396="",G396=""),"",IF(LOWER(IF(RIGHT(TRIM(E396),1)="/",LEFT(TRIM(E396),LEN(TRIM(E396))-1),TRIM(E396)))&lt;&gt;LOWER(IF(RIGHT(TRIM(G396),1)="/",LEFT(TRIM(G396),LEN(TRIM(G396))-1),TRIM(G396))),"Yes","No"))</f>
        <v/>
      </c>
      <c r="Y396">
        <f>IF(A396="","",(N(Q396)&gt;0)+(T396="Yes")+(U396="Yes")+(W396="Yes")+(X396="Yes"))</f>
        <v/>
      </c>
      <c r="Z396">
        <f>IF(A396="","",IF(G396="","Not mapped",IF(Y396=0,"OK",MID(IF(N(Q396)&gt;0,"; Cannibalisation","")&amp;IF(T396="Yes","; Too many primary keywords on URL","")&amp;IF(U396="Yes","; URL spans 2+ clusters","")&amp;IF(W396="Yes","; Intent mismatch","")&amp;IF(X396="Yes","; Ranking URL is not the target",""),3,300))))</f>
        <v/>
      </c>
      <c r="AA396">
        <f>IF(G396="","",IF(COUNTIF($G$3:G396,SUBSTITUTE(SUBSTITUTE(G396,"?","~?"),"*","~*"))=1,MAX($AA$2:AA395)+1,""))</f>
        <v/>
      </c>
      <c r="AB396">
        <f>IF(B396="","",IF(COUNTIF($B$3:B396,SUBSTITUTE(SUBSTITUTE(B396,"?","~?"),"*","~*"))=1,MAX($AB$2:AB395)+1,""))</f>
        <v/>
      </c>
    </row>
    <row r="397">
      <c r="M397">
        <f>IF(A397="","",LOWER(TRIM(SUBSTITUTE(SUBSTITUTE(A397,"?",""),"*",""))))</f>
        <v/>
      </c>
      <c r="N397">
        <f>IF(M397="","",IF(SUMPRODUCT(ISNUMBER(SEARCH(" "&amp;Settings!$L$5:$L$124&amp;" "," "&amp;M397&amp;" "))*(Settings!$K$5:$K$124="Navigational")*(Settings!$L$5:$L$124&lt;&gt;""))&gt;0,"Navigational",IF(SUMPRODUCT(ISNUMBER(SEARCH(" "&amp;Settings!$L$5:$L$124&amp;" "," "&amp;M397&amp;" "))*(Settings!$K$5:$K$124="Transactional")*(Settings!$L$5:$L$124&lt;&gt;""))&gt;0,"Transactional",IF(SUMPRODUCT(ISNUMBER(SEARCH(" "&amp;Settings!$L$5:$L$124&amp;" "," "&amp;M397&amp;" "))*(Settings!$K$5:$K$124="Commercial")*(Settings!$L$5:$L$124&lt;&gt;""))&gt;0,"Commercial",IF(SUMPRODUCT(ISNUMBER(SEARCH(" "&amp;Settings!$L$5:$L$124&amp;" "," "&amp;M397&amp;" "))*(Settings!$K$5:$K$124="Informational")*(Settings!$L$5:$L$124&lt;&gt;""))&gt;0,"Informational","Unclassified")))))</f>
        <v/>
      </c>
      <c r="O397">
        <f>IF(A397="","",IF(K397&lt;&gt;"",PROPER(K397),N397))</f>
        <v/>
      </c>
      <c r="P397">
        <f>IF(A397="","",ROUND(Settings!$B$5*MIN(1,LOG10(N(C397)+1)/LOG10(Settings!$B$7+1))+Settings!$B$6*(1-MIN(100,IF(D397="",50,N(D397)))/100)+IFERROR(INDEX(Settings!$B$10:$B$14,MATCH(O397,Settings!$A$10:$A$14,0)),0),0))</f>
        <v/>
      </c>
      <c r="Q397">
        <f>IF(OR(A397="",G397=""),"",COUNTIFS($M$3:$M$1002,M397,$G$3:$G$1002,"&lt;&gt;"&amp;SUBSTITUTE(SUBSTITUTE(G397,"?","~?"),"*","~*"),$G$3:$G$1002,"?*"))</f>
        <v/>
      </c>
      <c r="R397">
        <f>IF(Q397="","",IF(Q397&gt;0,"Yes","No"))</f>
        <v/>
      </c>
      <c r="S397">
        <f>IF(G397="","",COUNTIFS($G$3:$G$1002,SUBSTITUTE(SUBSTITUTE(G397,"?","~?"),"*","~*"),$J$3:$J$1002,"Primary"))</f>
        <v/>
      </c>
      <c r="T397">
        <f>IF(S397="","",IF(S397&gt;Settings!$B$4,"Yes","No"))</f>
        <v/>
      </c>
      <c r="U397">
        <f>IF(OR(G397="",B397=""),"",IF(COUNTIFS($G$3:$G$1002,SUBSTITUTE(SUBSTITUTE(G397,"?","~?"),"*","~*"),$B$3:$B$1002,"&lt;&gt;"&amp;SUBSTITUTE(SUBSTITUTE(B397,"?","~?"),"*","~*"),$B$3:$B$1002,"?*")&gt;0,"Yes","No"))</f>
        <v/>
      </c>
      <c r="V397">
        <f>IF(OR(G397="",I397="",O397="",O397="Unclassified"),"",IFERROR(INDEX(Settings!$E$5:$H$16,MATCH(I397,Settings!$D$5:$D$16,0),MATCH(O397,Settings!$E$4:$H$4,0)),"Check"))</f>
        <v/>
      </c>
      <c r="W397">
        <f>IF(V397="","",IF(V397="No","Yes","No"))</f>
        <v/>
      </c>
      <c r="X397">
        <f>IF(OR(E397="",G397=""),"",IF(LOWER(IF(RIGHT(TRIM(E397),1)="/",LEFT(TRIM(E397),LEN(TRIM(E397))-1),TRIM(E397)))&lt;&gt;LOWER(IF(RIGHT(TRIM(G397),1)="/",LEFT(TRIM(G397),LEN(TRIM(G397))-1),TRIM(G397))),"Yes","No"))</f>
        <v/>
      </c>
      <c r="Y397">
        <f>IF(A397="","",(N(Q397)&gt;0)+(T397="Yes")+(U397="Yes")+(W397="Yes")+(X397="Yes"))</f>
        <v/>
      </c>
      <c r="Z397">
        <f>IF(A397="","",IF(G397="","Not mapped",IF(Y397=0,"OK",MID(IF(N(Q397)&gt;0,"; Cannibalisation","")&amp;IF(T397="Yes","; Too many primary keywords on URL","")&amp;IF(U397="Yes","; URL spans 2+ clusters","")&amp;IF(W397="Yes","; Intent mismatch","")&amp;IF(X397="Yes","; Ranking URL is not the target",""),3,300))))</f>
        <v/>
      </c>
      <c r="AA397">
        <f>IF(G397="","",IF(COUNTIF($G$3:G397,SUBSTITUTE(SUBSTITUTE(G397,"?","~?"),"*","~*"))=1,MAX($AA$2:AA396)+1,""))</f>
        <v/>
      </c>
      <c r="AB397">
        <f>IF(B397="","",IF(COUNTIF($B$3:B397,SUBSTITUTE(SUBSTITUTE(B397,"?","~?"),"*","~*"))=1,MAX($AB$2:AB396)+1,""))</f>
        <v/>
      </c>
    </row>
    <row r="398">
      <c r="M398">
        <f>IF(A398="","",LOWER(TRIM(SUBSTITUTE(SUBSTITUTE(A398,"?",""),"*",""))))</f>
        <v/>
      </c>
      <c r="N398">
        <f>IF(M398="","",IF(SUMPRODUCT(ISNUMBER(SEARCH(" "&amp;Settings!$L$5:$L$124&amp;" "," "&amp;M398&amp;" "))*(Settings!$K$5:$K$124="Navigational")*(Settings!$L$5:$L$124&lt;&gt;""))&gt;0,"Navigational",IF(SUMPRODUCT(ISNUMBER(SEARCH(" "&amp;Settings!$L$5:$L$124&amp;" "," "&amp;M398&amp;" "))*(Settings!$K$5:$K$124="Transactional")*(Settings!$L$5:$L$124&lt;&gt;""))&gt;0,"Transactional",IF(SUMPRODUCT(ISNUMBER(SEARCH(" "&amp;Settings!$L$5:$L$124&amp;" "," "&amp;M398&amp;" "))*(Settings!$K$5:$K$124="Commercial")*(Settings!$L$5:$L$124&lt;&gt;""))&gt;0,"Commercial",IF(SUMPRODUCT(ISNUMBER(SEARCH(" "&amp;Settings!$L$5:$L$124&amp;" "," "&amp;M398&amp;" "))*(Settings!$K$5:$K$124="Informational")*(Settings!$L$5:$L$124&lt;&gt;""))&gt;0,"Informational","Unclassified")))))</f>
        <v/>
      </c>
      <c r="O398">
        <f>IF(A398="","",IF(K398&lt;&gt;"",PROPER(K398),N398))</f>
        <v/>
      </c>
      <c r="P398">
        <f>IF(A398="","",ROUND(Settings!$B$5*MIN(1,LOG10(N(C398)+1)/LOG10(Settings!$B$7+1))+Settings!$B$6*(1-MIN(100,IF(D398="",50,N(D398)))/100)+IFERROR(INDEX(Settings!$B$10:$B$14,MATCH(O398,Settings!$A$10:$A$14,0)),0),0))</f>
        <v/>
      </c>
      <c r="Q398">
        <f>IF(OR(A398="",G398=""),"",COUNTIFS($M$3:$M$1002,M398,$G$3:$G$1002,"&lt;&gt;"&amp;SUBSTITUTE(SUBSTITUTE(G398,"?","~?"),"*","~*"),$G$3:$G$1002,"?*"))</f>
        <v/>
      </c>
      <c r="R398">
        <f>IF(Q398="","",IF(Q398&gt;0,"Yes","No"))</f>
        <v/>
      </c>
      <c r="S398">
        <f>IF(G398="","",COUNTIFS($G$3:$G$1002,SUBSTITUTE(SUBSTITUTE(G398,"?","~?"),"*","~*"),$J$3:$J$1002,"Primary"))</f>
        <v/>
      </c>
      <c r="T398">
        <f>IF(S398="","",IF(S398&gt;Settings!$B$4,"Yes","No"))</f>
        <v/>
      </c>
      <c r="U398">
        <f>IF(OR(G398="",B398=""),"",IF(COUNTIFS($G$3:$G$1002,SUBSTITUTE(SUBSTITUTE(G398,"?","~?"),"*","~*"),$B$3:$B$1002,"&lt;&gt;"&amp;SUBSTITUTE(SUBSTITUTE(B398,"?","~?"),"*","~*"),$B$3:$B$1002,"?*")&gt;0,"Yes","No"))</f>
        <v/>
      </c>
      <c r="V398">
        <f>IF(OR(G398="",I398="",O398="",O398="Unclassified"),"",IFERROR(INDEX(Settings!$E$5:$H$16,MATCH(I398,Settings!$D$5:$D$16,0),MATCH(O398,Settings!$E$4:$H$4,0)),"Check"))</f>
        <v/>
      </c>
      <c r="W398">
        <f>IF(V398="","",IF(V398="No","Yes","No"))</f>
        <v/>
      </c>
      <c r="X398">
        <f>IF(OR(E398="",G398=""),"",IF(LOWER(IF(RIGHT(TRIM(E398),1)="/",LEFT(TRIM(E398),LEN(TRIM(E398))-1),TRIM(E398)))&lt;&gt;LOWER(IF(RIGHT(TRIM(G398),1)="/",LEFT(TRIM(G398),LEN(TRIM(G398))-1),TRIM(G398))),"Yes","No"))</f>
        <v/>
      </c>
      <c r="Y398">
        <f>IF(A398="","",(N(Q398)&gt;0)+(T398="Yes")+(U398="Yes")+(W398="Yes")+(X398="Yes"))</f>
        <v/>
      </c>
      <c r="Z398">
        <f>IF(A398="","",IF(G398="","Not mapped",IF(Y398=0,"OK",MID(IF(N(Q398)&gt;0,"; Cannibalisation","")&amp;IF(T398="Yes","; Too many primary keywords on URL","")&amp;IF(U398="Yes","; URL spans 2+ clusters","")&amp;IF(W398="Yes","; Intent mismatch","")&amp;IF(X398="Yes","; Ranking URL is not the target",""),3,300))))</f>
        <v/>
      </c>
      <c r="AA398">
        <f>IF(G398="","",IF(COUNTIF($G$3:G398,SUBSTITUTE(SUBSTITUTE(G398,"?","~?"),"*","~*"))=1,MAX($AA$2:AA397)+1,""))</f>
        <v/>
      </c>
      <c r="AB398">
        <f>IF(B398="","",IF(COUNTIF($B$3:B398,SUBSTITUTE(SUBSTITUTE(B398,"?","~?"),"*","~*"))=1,MAX($AB$2:AB397)+1,""))</f>
        <v/>
      </c>
    </row>
    <row r="399">
      <c r="M399">
        <f>IF(A399="","",LOWER(TRIM(SUBSTITUTE(SUBSTITUTE(A399,"?",""),"*",""))))</f>
        <v/>
      </c>
      <c r="N399">
        <f>IF(M399="","",IF(SUMPRODUCT(ISNUMBER(SEARCH(" "&amp;Settings!$L$5:$L$124&amp;" "," "&amp;M399&amp;" "))*(Settings!$K$5:$K$124="Navigational")*(Settings!$L$5:$L$124&lt;&gt;""))&gt;0,"Navigational",IF(SUMPRODUCT(ISNUMBER(SEARCH(" "&amp;Settings!$L$5:$L$124&amp;" "," "&amp;M399&amp;" "))*(Settings!$K$5:$K$124="Transactional")*(Settings!$L$5:$L$124&lt;&gt;""))&gt;0,"Transactional",IF(SUMPRODUCT(ISNUMBER(SEARCH(" "&amp;Settings!$L$5:$L$124&amp;" "," "&amp;M399&amp;" "))*(Settings!$K$5:$K$124="Commercial")*(Settings!$L$5:$L$124&lt;&gt;""))&gt;0,"Commercial",IF(SUMPRODUCT(ISNUMBER(SEARCH(" "&amp;Settings!$L$5:$L$124&amp;" "," "&amp;M399&amp;" "))*(Settings!$K$5:$K$124="Informational")*(Settings!$L$5:$L$124&lt;&gt;""))&gt;0,"Informational","Unclassified")))))</f>
        <v/>
      </c>
      <c r="O399">
        <f>IF(A399="","",IF(K399&lt;&gt;"",PROPER(K399),N399))</f>
        <v/>
      </c>
      <c r="P399">
        <f>IF(A399="","",ROUND(Settings!$B$5*MIN(1,LOG10(N(C399)+1)/LOG10(Settings!$B$7+1))+Settings!$B$6*(1-MIN(100,IF(D399="",50,N(D399)))/100)+IFERROR(INDEX(Settings!$B$10:$B$14,MATCH(O399,Settings!$A$10:$A$14,0)),0),0))</f>
        <v/>
      </c>
      <c r="Q399">
        <f>IF(OR(A399="",G399=""),"",COUNTIFS($M$3:$M$1002,M399,$G$3:$G$1002,"&lt;&gt;"&amp;SUBSTITUTE(SUBSTITUTE(G399,"?","~?"),"*","~*"),$G$3:$G$1002,"?*"))</f>
        <v/>
      </c>
      <c r="R399">
        <f>IF(Q399="","",IF(Q399&gt;0,"Yes","No"))</f>
        <v/>
      </c>
      <c r="S399">
        <f>IF(G399="","",COUNTIFS($G$3:$G$1002,SUBSTITUTE(SUBSTITUTE(G399,"?","~?"),"*","~*"),$J$3:$J$1002,"Primary"))</f>
        <v/>
      </c>
      <c r="T399">
        <f>IF(S399="","",IF(S399&gt;Settings!$B$4,"Yes","No"))</f>
        <v/>
      </c>
      <c r="U399">
        <f>IF(OR(G399="",B399=""),"",IF(COUNTIFS($G$3:$G$1002,SUBSTITUTE(SUBSTITUTE(G399,"?","~?"),"*","~*"),$B$3:$B$1002,"&lt;&gt;"&amp;SUBSTITUTE(SUBSTITUTE(B399,"?","~?"),"*","~*"),$B$3:$B$1002,"?*")&gt;0,"Yes","No"))</f>
        <v/>
      </c>
      <c r="V399">
        <f>IF(OR(G399="",I399="",O399="",O399="Unclassified"),"",IFERROR(INDEX(Settings!$E$5:$H$16,MATCH(I399,Settings!$D$5:$D$16,0),MATCH(O399,Settings!$E$4:$H$4,0)),"Check"))</f>
        <v/>
      </c>
      <c r="W399">
        <f>IF(V399="","",IF(V399="No","Yes","No"))</f>
        <v/>
      </c>
      <c r="X399">
        <f>IF(OR(E399="",G399=""),"",IF(LOWER(IF(RIGHT(TRIM(E399),1)="/",LEFT(TRIM(E399),LEN(TRIM(E399))-1),TRIM(E399)))&lt;&gt;LOWER(IF(RIGHT(TRIM(G399),1)="/",LEFT(TRIM(G399),LEN(TRIM(G399))-1),TRIM(G399))),"Yes","No"))</f>
        <v/>
      </c>
      <c r="Y399">
        <f>IF(A399="","",(N(Q399)&gt;0)+(T399="Yes")+(U399="Yes")+(W399="Yes")+(X399="Yes"))</f>
        <v/>
      </c>
      <c r="Z399">
        <f>IF(A399="","",IF(G399="","Not mapped",IF(Y399=0,"OK",MID(IF(N(Q399)&gt;0,"; Cannibalisation","")&amp;IF(T399="Yes","; Too many primary keywords on URL","")&amp;IF(U399="Yes","; URL spans 2+ clusters","")&amp;IF(W399="Yes","; Intent mismatch","")&amp;IF(X399="Yes","; Ranking URL is not the target",""),3,300))))</f>
        <v/>
      </c>
      <c r="AA399">
        <f>IF(G399="","",IF(COUNTIF($G$3:G399,SUBSTITUTE(SUBSTITUTE(G399,"?","~?"),"*","~*"))=1,MAX($AA$2:AA398)+1,""))</f>
        <v/>
      </c>
      <c r="AB399">
        <f>IF(B399="","",IF(COUNTIF($B$3:B399,SUBSTITUTE(SUBSTITUTE(B399,"?","~?"),"*","~*"))=1,MAX($AB$2:AB398)+1,""))</f>
        <v/>
      </c>
    </row>
    <row r="400">
      <c r="M400">
        <f>IF(A400="","",LOWER(TRIM(SUBSTITUTE(SUBSTITUTE(A400,"?",""),"*",""))))</f>
        <v/>
      </c>
      <c r="N400">
        <f>IF(M400="","",IF(SUMPRODUCT(ISNUMBER(SEARCH(" "&amp;Settings!$L$5:$L$124&amp;" "," "&amp;M400&amp;" "))*(Settings!$K$5:$K$124="Navigational")*(Settings!$L$5:$L$124&lt;&gt;""))&gt;0,"Navigational",IF(SUMPRODUCT(ISNUMBER(SEARCH(" "&amp;Settings!$L$5:$L$124&amp;" "," "&amp;M400&amp;" "))*(Settings!$K$5:$K$124="Transactional")*(Settings!$L$5:$L$124&lt;&gt;""))&gt;0,"Transactional",IF(SUMPRODUCT(ISNUMBER(SEARCH(" "&amp;Settings!$L$5:$L$124&amp;" "," "&amp;M400&amp;" "))*(Settings!$K$5:$K$124="Commercial")*(Settings!$L$5:$L$124&lt;&gt;""))&gt;0,"Commercial",IF(SUMPRODUCT(ISNUMBER(SEARCH(" "&amp;Settings!$L$5:$L$124&amp;" "," "&amp;M400&amp;" "))*(Settings!$K$5:$K$124="Informational")*(Settings!$L$5:$L$124&lt;&gt;""))&gt;0,"Informational","Unclassified")))))</f>
        <v/>
      </c>
      <c r="O400">
        <f>IF(A400="","",IF(K400&lt;&gt;"",PROPER(K400),N400))</f>
        <v/>
      </c>
      <c r="P400">
        <f>IF(A400="","",ROUND(Settings!$B$5*MIN(1,LOG10(N(C400)+1)/LOG10(Settings!$B$7+1))+Settings!$B$6*(1-MIN(100,IF(D400="",50,N(D400)))/100)+IFERROR(INDEX(Settings!$B$10:$B$14,MATCH(O400,Settings!$A$10:$A$14,0)),0),0))</f>
        <v/>
      </c>
      <c r="Q400">
        <f>IF(OR(A400="",G400=""),"",COUNTIFS($M$3:$M$1002,M400,$G$3:$G$1002,"&lt;&gt;"&amp;SUBSTITUTE(SUBSTITUTE(G400,"?","~?"),"*","~*"),$G$3:$G$1002,"?*"))</f>
        <v/>
      </c>
      <c r="R400">
        <f>IF(Q400="","",IF(Q400&gt;0,"Yes","No"))</f>
        <v/>
      </c>
      <c r="S400">
        <f>IF(G400="","",COUNTIFS($G$3:$G$1002,SUBSTITUTE(SUBSTITUTE(G400,"?","~?"),"*","~*"),$J$3:$J$1002,"Primary"))</f>
        <v/>
      </c>
      <c r="T400">
        <f>IF(S400="","",IF(S400&gt;Settings!$B$4,"Yes","No"))</f>
        <v/>
      </c>
      <c r="U400">
        <f>IF(OR(G400="",B400=""),"",IF(COUNTIFS($G$3:$G$1002,SUBSTITUTE(SUBSTITUTE(G400,"?","~?"),"*","~*"),$B$3:$B$1002,"&lt;&gt;"&amp;SUBSTITUTE(SUBSTITUTE(B400,"?","~?"),"*","~*"),$B$3:$B$1002,"?*")&gt;0,"Yes","No"))</f>
        <v/>
      </c>
      <c r="V400">
        <f>IF(OR(G400="",I400="",O400="",O400="Unclassified"),"",IFERROR(INDEX(Settings!$E$5:$H$16,MATCH(I400,Settings!$D$5:$D$16,0),MATCH(O400,Settings!$E$4:$H$4,0)),"Check"))</f>
        <v/>
      </c>
      <c r="W400">
        <f>IF(V400="","",IF(V400="No","Yes","No"))</f>
        <v/>
      </c>
      <c r="X400">
        <f>IF(OR(E400="",G400=""),"",IF(LOWER(IF(RIGHT(TRIM(E400),1)="/",LEFT(TRIM(E400),LEN(TRIM(E400))-1),TRIM(E400)))&lt;&gt;LOWER(IF(RIGHT(TRIM(G400),1)="/",LEFT(TRIM(G400),LEN(TRIM(G400))-1),TRIM(G400))),"Yes","No"))</f>
        <v/>
      </c>
      <c r="Y400">
        <f>IF(A400="","",(N(Q400)&gt;0)+(T400="Yes")+(U400="Yes")+(W400="Yes")+(X400="Yes"))</f>
        <v/>
      </c>
      <c r="Z400">
        <f>IF(A400="","",IF(G400="","Not mapped",IF(Y400=0,"OK",MID(IF(N(Q400)&gt;0,"; Cannibalisation","")&amp;IF(T400="Yes","; Too many primary keywords on URL","")&amp;IF(U400="Yes","; URL spans 2+ clusters","")&amp;IF(W400="Yes","; Intent mismatch","")&amp;IF(X400="Yes","; Ranking URL is not the target",""),3,300))))</f>
        <v/>
      </c>
      <c r="AA400">
        <f>IF(G400="","",IF(COUNTIF($G$3:G400,SUBSTITUTE(SUBSTITUTE(G400,"?","~?"),"*","~*"))=1,MAX($AA$2:AA399)+1,""))</f>
        <v/>
      </c>
      <c r="AB400">
        <f>IF(B400="","",IF(COUNTIF($B$3:B400,SUBSTITUTE(SUBSTITUTE(B400,"?","~?"),"*","~*"))=1,MAX($AB$2:AB399)+1,""))</f>
        <v/>
      </c>
    </row>
    <row r="401">
      <c r="M401">
        <f>IF(A401="","",LOWER(TRIM(SUBSTITUTE(SUBSTITUTE(A401,"?",""),"*",""))))</f>
        <v/>
      </c>
      <c r="N401">
        <f>IF(M401="","",IF(SUMPRODUCT(ISNUMBER(SEARCH(" "&amp;Settings!$L$5:$L$124&amp;" "," "&amp;M401&amp;" "))*(Settings!$K$5:$K$124="Navigational")*(Settings!$L$5:$L$124&lt;&gt;""))&gt;0,"Navigational",IF(SUMPRODUCT(ISNUMBER(SEARCH(" "&amp;Settings!$L$5:$L$124&amp;" "," "&amp;M401&amp;" "))*(Settings!$K$5:$K$124="Transactional")*(Settings!$L$5:$L$124&lt;&gt;""))&gt;0,"Transactional",IF(SUMPRODUCT(ISNUMBER(SEARCH(" "&amp;Settings!$L$5:$L$124&amp;" "," "&amp;M401&amp;" "))*(Settings!$K$5:$K$124="Commercial")*(Settings!$L$5:$L$124&lt;&gt;""))&gt;0,"Commercial",IF(SUMPRODUCT(ISNUMBER(SEARCH(" "&amp;Settings!$L$5:$L$124&amp;" "," "&amp;M401&amp;" "))*(Settings!$K$5:$K$124="Informational")*(Settings!$L$5:$L$124&lt;&gt;""))&gt;0,"Informational","Unclassified")))))</f>
        <v/>
      </c>
      <c r="O401">
        <f>IF(A401="","",IF(K401&lt;&gt;"",PROPER(K401),N401))</f>
        <v/>
      </c>
      <c r="P401">
        <f>IF(A401="","",ROUND(Settings!$B$5*MIN(1,LOG10(N(C401)+1)/LOG10(Settings!$B$7+1))+Settings!$B$6*(1-MIN(100,IF(D401="",50,N(D401)))/100)+IFERROR(INDEX(Settings!$B$10:$B$14,MATCH(O401,Settings!$A$10:$A$14,0)),0),0))</f>
        <v/>
      </c>
      <c r="Q401">
        <f>IF(OR(A401="",G401=""),"",COUNTIFS($M$3:$M$1002,M401,$G$3:$G$1002,"&lt;&gt;"&amp;SUBSTITUTE(SUBSTITUTE(G401,"?","~?"),"*","~*"),$G$3:$G$1002,"?*"))</f>
        <v/>
      </c>
      <c r="R401">
        <f>IF(Q401="","",IF(Q401&gt;0,"Yes","No"))</f>
        <v/>
      </c>
      <c r="S401">
        <f>IF(G401="","",COUNTIFS($G$3:$G$1002,SUBSTITUTE(SUBSTITUTE(G401,"?","~?"),"*","~*"),$J$3:$J$1002,"Primary"))</f>
        <v/>
      </c>
      <c r="T401">
        <f>IF(S401="","",IF(S401&gt;Settings!$B$4,"Yes","No"))</f>
        <v/>
      </c>
      <c r="U401">
        <f>IF(OR(G401="",B401=""),"",IF(COUNTIFS($G$3:$G$1002,SUBSTITUTE(SUBSTITUTE(G401,"?","~?"),"*","~*"),$B$3:$B$1002,"&lt;&gt;"&amp;SUBSTITUTE(SUBSTITUTE(B401,"?","~?"),"*","~*"),$B$3:$B$1002,"?*")&gt;0,"Yes","No"))</f>
        <v/>
      </c>
      <c r="V401">
        <f>IF(OR(G401="",I401="",O401="",O401="Unclassified"),"",IFERROR(INDEX(Settings!$E$5:$H$16,MATCH(I401,Settings!$D$5:$D$16,0),MATCH(O401,Settings!$E$4:$H$4,0)),"Check"))</f>
        <v/>
      </c>
      <c r="W401">
        <f>IF(V401="","",IF(V401="No","Yes","No"))</f>
        <v/>
      </c>
      <c r="X401">
        <f>IF(OR(E401="",G401=""),"",IF(LOWER(IF(RIGHT(TRIM(E401),1)="/",LEFT(TRIM(E401),LEN(TRIM(E401))-1),TRIM(E401)))&lt;&gt;LOWER(IF(RIGHT(TRIM(G401),1)="/",LEFT(TRIM(G401),LEN(TRIM(G401))-1),TRIM(G401))),"Yes","No"))</f>
        <v/>
      </c>
      <c r="Y401">
        <f>IF(A401="","",(N(Q401)&gt;0)+(T401="Yes")+(U401="Yes")+(W401="Yes")+(X401="Yes"))</f>
        <v/>
      </c>
      <c r="Z401">
        <f>IF(A401="","",IF(G401="","Not mapped",IF(Y401=0,"OK",MID(IF(N(Q401)&gt;0,"; Cannibalisation","")&amp;IF(T401="Yes","; Too many primary keywords on URL","")&amp;IF(U401="Yes","; URL spans 2+ clusters","")&amp;IF(W401="Yes","; Intent mismatch","")&amp;IF(X401="Yes","; Ranking URL is not the target",""),3,300))))</f>
        <v/>
      </c>
      <c r="AA401">
        <f>IF(G401="","",IF(COUNTIF($G$3:G401,SUBSTITUTE(SUBSTITUTE(G401,"?","~?"),"*","~*"))=1,MAX($AA$2:AA400)+1,""))</f>
        <v/>
      </c>
      <c r="AB401">
        <f>IF(B401="","",IF(COUNTIF($B$3:B401,SUBSTITUTE(SUBSTITUTE(B401,"?","~?"),"*","~*"))=1,MAX($AB$2:AB400)+1,""))</f>
        <v/>
      </c>
    </row>
    <row r="402">
      <c r="M402">
        <f>IF(A402="","",LOWER(TRIM(SUBSTITUTE(SUBSTITUTE(A402,"?",""),"*",""))))</f>
        <v/>
      </c>
      <c r="N402">
        <f>IF(M402="","",IF(SUMPRODUCT(ISNUMBER(SEARCH(" "&amp;Settings!$L$5:$L$124&amp;" "," "&amp;M402&amp;" "))*(Settings!$K$5:$K$124="Navigational")*(Settings!$L$5:$L$124&lt;&gt;""))&gt;0,"Navigational",IF(SUMPRODUCT(ISNUMBER(SEARCH(" "&amp;Settings!$L$5:$L$124&amp;" "," "&amp;M402&amp;" "))*(Settings!$K$5:$K$124="Transactional")*(Settings!$L$5:$L$124&lt;&gt;""))&gt;0,"Transactional",IF(SUMPRODUCT(ISNUMBER(SEARCH(" "&amp;Settings!$L$5:$L$124&amp;" "," "&amp;M402&amp;" "))*(Settings!$K$5:$K$124="Commercial")*(Settings!$L$5:$L$124&lt;&gt;""))&gt;0,"Commercial",IF(SUMPRODUCT(ISNUMBER(SEARCH(" "&amp;Settings!$L$5:$L$124&amp;" "," "&amp;M402&amp;" "))*(Settings!$K$5:$K$124="Informational")*(Settings!$L$5:$L$124&lt;&gt;""))&gt;0,"Informational","Unclassified")))))</f>
        <v/>
      </c>
      <c r="O402">
        <f>IF(A402="","",IF(K402&lt;&gt;"",PROPER(K402),N402))</f>
        <v/>
      </c>
      <c r="P402">
        <f>IF(A402="","",ROUND(Settings!$B$5*MIN(1,LOG10(N(C402)+1)/LOG10(Settings!$B$7+1))+Settings!$B$6*(1-MIN(100,IF(D402="",50,N(D402)))/100)+IFERROR(INDEX(Settings!$B$10:$B$14,MATCH(O402,Settings!$A$10:$A$14,0)),0),0))</f>
        <v/>
      </c>
      <c r="Q402">
        <f>IF(OR(A402="",G402=""),"",COUNTIFS($M$3:$M$1002,M402,$G$3:$G$1002,"&lt;&gt;"&amp;SUBSTITUTE(SUBSTITUTE(G402,"?","~?"),"*","~*"),$G$3:$G$1002,"?*"))</f>
        <v/>
      </c>
      <c r="R402">
        <f>IF(Q402="","",IF(Q402&gt;0,"Yes","No"))</f>
        <v/>
      </c>
      <c r="S402">
        <f>IF(G402="","",COUNTIFS($G$3:$G$1002,SUBSTITUTE(SUBSTITUTE(G402,"?","~?"),"*","~*"),$J$3:$J$1002,"Primary"))</f>
        <v/>
      </c>
      <c r="T402">
        <f>IF(S402="","",IF(S402&gt;Settings!$B$4,"Yes","No"))</f>
        <v/>
      </c>
      <c r="U402">
        <f>IF(OR(G402="",B402=""),"",IF(COUNTIFS($G$3:$G$1002,SUBSTITUTE(SUBSTITUTE(G402,"?","~?"),"*","~*"),$B$3:$B$1002,"&lt;&gt;"&amp;SUBSTITUTE(SUBSTITUTE(B402,"?","~?"),"*","~*"),$B$3:$B$1002,"?*")&gt;0,"Yes","No"))</f>
        <v/>
      </c>
      <c r="V402">
        <f>IF(OR(G402="",I402="",O402="",O402="Unclassified"),"",IFERROR(INDEX(Settings!$E$5:$H$16,MATCH(I402,Settings!$D$5:$D$16,0),MATCH(O402,Settings!$E$4:$H$4,0)),"Check"))</f>
        <v/>
      </c>
      <c r="W402">
        <f>IF(V402="","",IF(V402="No","Yes","No"))</f>
        <v/>
      </c>
      <c r="X402">
        <f>IF(OR(E402="",G402=""),"",IF(LOWER(IF(RIGHT(TRIM(E402),1)="/",LEFT(TRIM(E402),LEN(TRIM(E402))-1),TRIM(E402)))&lt;&gt;LOWER(IF(RIGHT(TRIM(G402),1)="/",LEFT(TRIM(G402),LEN(TRIM(G402))-1),TRIM(G402))),"Yes","No"))</f>
        <v/>
      </c>
      <c r="Y402">
        <f>IF(A402="","",(N(Q402)&gt;0)+(T402="Yes")+(U402="Yes")+(W402="Yes")+(X402="Yes"))</f>
        <v/>
      </c>
      <c r="Z402">
        <f>IF(A402="","",IF(G402="","Not mapped",IF(Y402=0,"OK",MID(IF(N(Q402)&gt;0,"; Cannibalisation","")&amp;IF(T402="Yes","; Too many primary keywords on URL","")&amp;IF(U402="Yes","; URL spans 2+ clusters","")&amp;IF(W402="Yes","; Intent mismatch","")&amp;IF(X402="Yes","; Ranking URL is not the target",""),3,300))))</f>
        <v/>
      </c>
      <c r="AA402">
        <f>IF(G402="","",IF(COUNTIF($G$3:G402,SUBSTITUTE(SUBSTITUTE(G402,"?","~?"),"*","~*"))=1,MAX($AA$2:AA401)+1,""))</f>
        <v/>
      </c>
      <c r="AB402">
        <f>IF(B402="","",IF(COUNTIF($B$3:B402,SUBSTITUTE(SUBSTITUTE(B402,"?","~?"),"*","~*"))=1,MAX($AB$2:AB401)+1,""))</f>
        <v/>
      </c>
    </row>
    <row r="403">
      <c r="M403">
        <f>IF(A403="","",LOWER(TRIM(SUBSTITUTE(SUBSTITUTE(A403,"?",""),"*",""))))</f>
        <v/>
      </c>
      <c r="N403">
        <f>IF(M403="","",IF(SUMPRODUCT(ISNUMBER(SEARCH(" "&amp;Settings!$L$5:$L$124&amp;" "," "&amp;M403&amp;" "))*(Settings!$K$5:$K$124="Navigational")*(Settings!$L$5:$L$124&lt;&gt;""))&gt;0,"Navigational",IF(SUMPRODUCT(ISNUMBER(SEARCH(" "&amp;Settings!$L$5:$L$124&amp;" "," "&amp;M403&amp;" "))*(Settings!$K$5:$K$124="Transactional")*(Settings!$L$5:$L$124&lt;&gt;""))&gt;0,"Transactional",IF(SUMPRODUCT(ISNUMBER(SEARCH(" "&amp;Settings!$L$5:$L$124&amp;" "," "&amp;M403&amp;" "))*(Settings!$K$5:$K$124="Commercial")*(Settings!$L$5:$L$124&lt;&gt;""))&gt;0,"Commercial",IF(SUMPRODUCT(ISNUMBER(SEARCH(" "&amp;Settings!$L$5:$L$124&amp;" "," "&amp;M403&amp;" "))*(Settings!$K$5:$K$124="Informational")*(Settings!$L$5:$L$124&lt;&gt;""))&gt;0,"Informational","Unclassified")))))</f>
        <v/>
      </c>
      <c r="O403">
        <f>IF(A403="","",IF(K403&lt;&gt;"",PROPER(K403),N403))</f>
        <v/>
      </c>
      <c r="P403">
        <f>IF(A403="","",ROUND(Settings!$B$5*MIN(1,LOG10(N(C403)+1)/LOG10(Settings!$B$7+1))+Settings!$B$6*(1-MIN(100,IF(D403="",50,N(D403)))/100)+IFERROR(INDEX(Settings!$B$10:$B$14,MATCH(O403,Settings!$A$10:$A$14,0)),0),0))</f>
        <v/>
      </c>
      <c r="Q403">
        <f>IF(OR(A403="",G403=""),"",COUNTIFS($M$3:$M$1002,M403,$G$3:$G$1002,"&lt;&gt;"&amp;SUBSTITUTE(SUBSTITUTE(G403,"?","~?"),"*","~*"),$G$3:$G$1002,"?*"))</f>
        <v/>
      </c>
      <c r="R403">
        <f>IF(Q403="","",IF(Q403&gt;0,"Yes","No"))</f>
        <v/>
      </c>
      <c r="S403">
        <f>IF(G403="","",COUNTIFS($G$3:$G$1002,SUBSTITUTE(SUBSTITUTE(G403,"?","~?"),"*","~*"),$J$3:$J$1002,"Primary"))</f>
        <v/>
      </c>
      <c r="T403">
        <f>IF(S403="","",IF(S403&gt;Settings!$B$4,"Yes","No"))</f>
        <v/>
      </c>
      <c r="U403">
        <f>IF(OR(G403="",B403=""),"",IF(COUNTIFS($G$3:$G$1002,SUBSTITUTE(SUBSTITUTE(G403,"?","~?"),"*","~*"),$B$3:$B$1002,"&lt;&gt;"&amp;SUBSTITUTE(SUBSTITUTE(B403,"?","~?"),"*","~*"),$B$3:$B$1002,"?*")&gt;0,"Yes","No"))</f>
        <v/>
      </c>
      <c r="V403">
        <f>IF(OR(G403="",I403="",O403="",O403="Unclassified"),"",IFERROR(INDEX(Settings!$E$5:$H$16,MATCH(I403,Settings!$D$5:$D$16,0),MATCH(O403,Settings!$E$4:$H$4,0)),"Check"))</f>
        <v/>
      </c>
      <c r="W403">
        <f>IF(V403="","",IF(V403="No","Yes","No"))</f>
        <v/>
      </c>
      <c r="X403">
        <f>IF(OR(E403="",G403=""),"",IF(LOWER(IF(RIGHT(TRIM(E403),1)="/",LEFT(TRIM(E403),LEN(TRIM(E403))-1),TRIM(E403)))&lt;&gt;LOWER(IF(RIGHT(TRIM(G403),1)="/",LEFT(TRIM(G403),LEN(TRIM(G403))-1),TRIM(G403))),"Yes","No"))</f>
        <v/>
      </c>
      <c r="Y403">
        <f>IF(A403="","",(N(Q403)&gt;0)+(T403="Yes")+(U403="Yes")+(W403="Yes")+(X403="Yes"))</f>
        <v/>
      </c>
      <c r="Z403">
        <f>IF(A403="","",IF(G403="","Not mapped",IF(Y403=0,"OK",MID(IF(N(Q403)&gt;0,"; Cannibalisation","")&amp;IF(T403="Yes","; Too many primary keywords on URL","")&amp;IF(U403="Yes","; URL spans 2+ clusters","")&amp;IF(W403="Yes","; Intent mismatch","")&amp;IF(X403="Yes","; Ranking URL is not the target",""),3,300))))</f>
        <v/>
      </c>
      <c r="AA403">
        <f>IF(G403="","",IF(COUNTIF($G$3:G403,SUBSTITUTE(SUBSTITUTE(G403,"?","~?"),"*","~*"))=1,MAX($AA$2:AA402)+1,""))</f>
        <v/>
      </c>
      <c r="AB403">
        <f>IF(B403="","",IF(COUNTIF($B$3:B403,SUBSTITUTE(SUBSTITUTE(B403,"?","~?"),"*","~*"))=1,MAX($AB$2:AB402)+1,""))</f>
        <v/>
      </c>
    </row>
    <row r="404">
      <c r="M404">
        <f>IF(A404="","",LOWER(TRIM(SUBSTITUTE(SUBSTITUTE(A404,"?",""),"*",""))))</f>
        <v/>
      </c>
      <c r="N404">
        <f>IF(M404="","",IF(SUMPRODUCT(ISNUMBER(SEARCH(" "&amp;Settings!$L$5:$L$124&amp;" "," "&amp;M404&amp;" "))*(Settings!$K$5:$K$124="Navigational")*(Settings!$L$5:$L$124&lt;&gt;""))&gt;0,"Navigational",IF(SUMPRODUCT(ISNUMBER(SEARCH(" "&amp;Settings!$L$5:$L$124&amp;" "," "&amp;M404&amp;" "))*(Settings!$K$5:$K$124="Transactional")*(Settings!$L$5:$L$124&lt;&gt;""))&gt;0,"Transactional",IF(SUMPRODUCT(ISNUMBER(SEARCH(" "&amp;Settings!$L$5:$L$124&amp;" "," "&amp;M404&amp;" "))*(Settings!$K$5:$K$124="Commercial")*(Settings!$L$5:$L$124&lt;&gt;""))&gt;0,"Commercial",IF(SUMPRODUCT(ISNUMBER(SEARCH(" "&amp;Settings!$L$5:$L$124&amp;" "," "&amp;M404&amp;" "))*(Settings!$K$5:$K$124="Informational")*(Settings!$L$5:$L$124&lt;&gt;""))&gt;0,"Informational","Unclassified")))))</f>
        <v/>
      </c>
      <c r="O404">
        <f>IF(A404="","",IF(K404&lt;&gt;"",PROPER(K404),N404))</f>
        <v/>
      </c>
      <c r="P404">
        <f>IF(A404="","",ROUND(Settings!$B$5*MIN(1,LOG10(N(C404)+1)/LOG10(Settings!$B$7+1))+Settings!$B$6*(1-MIN(100,IF(D404="",50,N(D404)))/100)+IFERROR(INDEX(Settings!$B$10:$B$14,MATCH(O404,Settings!$A$10:$A$14,0)),0),0))</f>
        <v/>
      </c>
      <c r="Q404">
        <f>IF(OR(A404="",G404=""),"",COUNTIFS($M$3:$M$1002,M404,$G$3:$G$1002,"&lt;&gt;"&amp;SUBSTITUTE(SUBSTITUTE(G404,"?","~?"),"*","~*"),$G$3:$G$1002,"?*"))</f>
        <v/>
      </c>
      <c r="R404">
        <f>IF(Q404="","",IF(Q404&gt;0,"Yes","No"))</f>
        <v/>
      </c>
      <c r="S404">
        <f>IF(G404="","",COUNTIFS($G$3:$G$1002,SUBSTITUTE(SUBSTITUTE(G404,"?","~?"),"*","~*"),$J$3:$J$1002,"Primary"))</f>
        <v/>
      </c>
      <c r="T404">
        <f>IF(S404="","",IF(S404&gt;Settings!$B$4,"Yes","No"))</f>
        <v/>
      </c>
      <c r="U404">
        <f>IF(OR(G404="",B404=""),"",IF(COUNTIFS($G$3:$G$1002,SUBSTITUTE(SUBSTITUTE(G404,"?","~?"),"*","~*"),$B$3:$B$1002,"&lt;&gt;"&amp;SUBSTITUTE(SUBSTITUTE(B404,"?","~?"),"*","~*"),$B$3:$B$1002,"?*")&gt;0,"Yes","No"))</f>
        <v/>
      </c>
      <c r="V404">
        <f>IF(OR(G404="",I404="",O404="",O404="Unclassified"),"",IFERROR(INDEX(Settings!$E$5:$H$16,MATCH(I404,Settings!$D$5:$D$16,0),MATCH(O404,Settings!$E$4:$H$4,0)),"Check"))</f>
        <v/>
      </c>
      <c r="W404">
        <f>IF(V404="","",IF(V404="No","Yes","No"))</f>
        <v/>
      </c>
      <c r="X404">
        <f>IF(OR(E404="",G404=""),"",IF(LOWER(IF(RIGHT(TRIM(E404),1)="/",LEFT(TRIM(E404),LEN(TRIM(E404))-1),TRIM(E404)))&lt;&gt;LOWER(IF(RIGHT(TRIM(G404),1)="/",LEFT(TRIM(G404),LEN(TRIM(G404))-1),TRIM(G404))),"Yes","No"))</f>
        <v/>
      </c>
      <c r="Y404">
        <f>IF(A404="","",(N(Q404)&gt;0)+(T404="Yes")+(U404="Yes")+(W404="Yes")+(X404="Yes"))</f>
        <v/>
      </c>
      <c r="Z404">
        <f>IF(A404="","",IF(G404="","Not mapped",IF(Y404=0,"OK",MID(IF(N(Q404)&gt;0,"; Cannibalisation","")&amp;IF(T404="Yes","; Too many primary keywords on URL","")&amp;IF(U404="Yes","; URL spans 2+ clusters","")&amp;IF(W404="Yes","; Intent mismatch","")&amp;IF(X404="Yes","; Ranking URL is not the target",""),3,300))))</f>
        <v/>
      </c>
      <c r="AA404">
        <f>IF(G404="","",IF(COUNTIF($G$3:G404,SUBSTITUTE(SUBSTITUTE(G404,"?","~?"),"*","~*"))=1,MAX($AA$2:AA403)+1,""))</f>
        <v/>
      </c>
      <c r="AB404">
        <f>IF(B404="","",IF(COUNTIF($B$3:B404,SUBSTITUTE(SUBSTITUTE(B404,"?","~?"),"*","~*"))=1,MAX($AB$2:AB403)+1,""))</f>
        <v/>
      </c>
    </row>
    <row r="405">
      <c r="M405">
        <f>IF(A405="","",LOWER(TRIM(SUBSTITUTE(SUBSTITUTE(A405,"?",""),"*",""))))</f>
        <v/>
      </c>
      <c r="N405">
        <f>IF(M405="","",IF(SUMPRODUCT(ISNUMBER(SEARCH(" "&amp;Settings!$L$5:$L$124&amp;" "," "&amp;M405&amp;" "))*(Settings!$K$5:$K$124="Navigational")*(Settings!$L$5:$L$124&lt;&gt;""))&gt;0,"Navigational",IF(SUMPRODUCT(ISNUMBER(SEARCH(" "&amp;Settings!$L$5:$L$124&amp;" "," "&amp;M405&amp;" "))*(Settings!$K$5:$K$124="Transactional")*(Settings!$L$5:$L$124&lt;&gt;""))&gt;0,"Transactional",IF(SUMPRODUCT(ISNUMBER(SEARCH(" "&amp;Settings!$L$5:$L$124&amp;" "," "&amp;M405&amp;" "))*(Settings!$K$5:$K$124="Commercial")*(Settings!$L$5:$L$124&lt;&gt;""))&gt;0,"Commercial",IF(SUMPRODUCT(ISNUMBER(SEARCH(" "&amp;Settings!$L$5:$L$124&amp;" "," "&amp;M405&amp;" "))*(Settings!$K$5:$K$124="Informational")*(Settings!$L$5:$L$124&lt;&gt;""))&gt;0,"Informational","Unclassified")))))</f>
        <v/>
      </c>
      <c r="O405">
        <f>IF(A405="","",IF(K405&lt;&gt;"",PROPER(K405),N405))</f>
        <v/>
      </c>
      <c r="P405">
        <f>IF(A405="","",ROUND(Settings!$B$5*MIN(1,LOG10(N(C405)+1)/LOG10(Settings!$B$7+1))+Settings!$B$6*(1-MIN(100,IF(D405="",50,N(D405)))/100)+IFERROR(INDEX(Settings!$B$10:$B$14,MATCH(O405,Settings!$A$10:$A$14,0)),0),0))</f>
        <v/>
      </c>
      <c r="Q405">
        <f>IF(OR(A405="",G405=""),"",COUNTIFS($M$3:$M$1002,M405,$G$3:$G$1002,"&lt;&gt;"&amp;SUBSTITUTE(SUBSTITUTE(G405,"?","~?"),"*","~*"),$G$3:$G$1002,"?*"))</f>
        <v/>
      </c>
      <c r="R405">
        <f>IF(Q405="","",IF(Q405&gt;0,"Yes","No"))</f>
        <v/>
      </c>
      <c r="S405">
        <f>IF(G405="","",COUNTIFS($G$3:$G$1002,SUBSTITUTE(SUBSTITUTE(G405,"?","~?"),"*","~*"),$J$3:$J$1002,"Primary"))</f>
        <v/>
      </c>
      <c r="T405">
        <f>IF(S405="","",IF(S405&gt;Settings!$B$4,"Yes","No"))</f>
        <v/>
      </c>
      <c r="U405">
        <f>IF(OR(G405="",B405=""),"",IF(COUNTIFS($G$3:$G$1002,SUBSTITUTE(SUBSTITUTE(G405,"?","~?"),"*","~*"),$B$3:$B$1002,"&lt;&gt;"&amp;SUBSTITUTE(SUBSTITUTE(B405,"?","~?"),"*","~*"),$B$3:$B$1002,"?*")&gt;0,"Yes","No"))</f>
        <v/>
      </c>
      <c r="V405">
        <f>IF(OR(G405="",I405="",O405="",O405="Unclassified"),"",IFERROR(INDEX(Settings!$E$5:$H$16,MATCH(I405,Settings!$D$5:$D$16,0),MATCH(O405,Settings!$E$4:$H$4,0)),"Check"))</f>
        <v/>
      </c>
      <c r="W405">
        <f>IF(V405="","",IF(V405="No","Yes","No"))</f>
        <v/>
      </c>
      <c r="X405">
        <f>IF(OR(E405="",G405=""),"",IF(LOWER(IF(RIGHT(TRIM(E405),1)="/",LEFT(TRIM(E405),LEN(TRIM(E405))-1),TRIM(E405)))&lt;&gt;LOWER(IF(RIGHT(TRIM(G405),1)="/",LEFT(TRIM(G405),LEN(TRIM(G405))-1),TRIM(G405))),"Yes","No"))</f>
        <v/>
      </c>
      <c r="Y405">
        <f>IF(A405="","",(N(Q405)&gt;0)+(T405="Yes")+(U405="Yes")+(W405="Yes")+(X405="Yes"))</f>
        <v/>
      </c>
      <c r="Z405">
        <f>IF(A405="","",IF(G405="","Not mapped",IF(Y405=0,"OK",MID(IF(N(Q405)&gt;0,"; Cannibalisation","")&amp;IF(T405="Yes","; Too many primary keywords on URL","")&amp;IF(U405="Yes","; URL spans 2+ clusters","")&amp;IF(W405="Yes","; Intent mismatch","")&amp;IF(X405="Yes","; Ranking URL is not the target",""),3,300))))</f>
        <v/>
      </c>
      <c r="AA405">
        <f>IF(G405="","",IF(COUNTIF($G$3:G405,SUBSTITUTE(SUBSTITUTE(G405,"?","~?"),"*","~*"))=1,MAX($AA$2:AA404)+1,""))</f>
        <v/>
      </c>
      <c r="AB405">
        <f>IF(B405="","",IF(COUNTIF($B$3:B405,SUBSTITUTE(SUBSTITUTE(B405,"?","~?"),"*","~*"))=1,MAX($AB$2:AB404)+1,""))</f>
        <v/>
      </c>
    </row>
    <row r="406">
      <c r="M406">
        <f>IF(A406="","",LOWER(TRIM(SUBSTITUTE(SUBSTITUTE(A406,"?",""),"*",""))))</f>
        <v/>
      </c>
      <c r="N406">
        <f>IF(M406="","",IF(SUMPRODUCT(ISNUMBER(SEARCH(" "&amp;Settings!$L$5:$L$124&amp;" "," "&amp;M406&amp;" "))*(Settings!$K$5:$K$124="Navigational")*(Settings!$L$5:$L$124&lt;&gt;""))&gt;0,"Navigational",IF(SUMPRODUCT(ISNUMBER(SEARCH(" "&amp;Settings!$L$5:$L$124&amp;" "," "&amp;M406&amp;" "))*(Settings!$K$5:$K$124="Transactional")*(Settings!$L$5:$L$124&lt;&gt;""))&gt;0,"Transactional",IF(SUMPRODUCT(ISNUMBER(SEARCH(" "&amp;Settings!$L$5:$L$124&amp;" "," "&amp;M406&amp;" "))*(Settings!$K$5:$K$124="Commercial")*(Settings!$L$5:$L$124&lt;&gt;""))&gt;0,"Commercial",IF(SUMPRODUCT(ISNUMBER(SEARCH(" "&amp;Settings!$L$5:$L$124&amp;" "," "&amp;M406&amp;" "))*(Settings!$K$5:$K$124="Informational")*(Settings!$L$5:$L$124&lt;&gt;""))&gt;0,"Informational","Unclassified")))))</f>
        <v/>
      </c>
      <c r="O406">
        <f>IF(A406="","",IF(K406&lt;&gt;"",PROPER(K406),N406))</f>
        <v/>
      </c>
      <c r="P406">
        <f>IF(A406="","",ROUND(Settings!$B$5*MIN(1,LOG10(N(C406)+1)/LOG10(Settings!$B$7+1))+Settings!$B$6*(1-MIN(100,IF(D406="",50,N(D406)))/100)+IFERROR(INDEX(Settings!$B$10:$B$14,MATCH(O406,Settings!$A$10:$A$14,0)),0),0))</f>
        <v/>
      </c>
      <c r="Q406">
        <f>IF(OR(A406="",G406=""),"",COUNTIFS($M$3:$M$1002,M406,$G$3:$G$1002,"&lt;&gt;"&amp;SUBSTITUTE(SUBSTITUTE(G406,"?","~?"),"*","~*"),$G$3:$G$1002,"?*"))</f>
        <v/>
      </c>
      <c r="R406">
        <f>IF(Q406="","",IF(Q406&gt;0,"Yes","No"))</f>
        <v/>
      </c>
      <c r="S406">
        <f>IF(G406="","",COUNTIFS($G$3:$G$1002,SUBSTITUTE(SUBSTITUTE(G406,"?","~?"),"*","~*"),$J$3:$J$1002,"Primary"))</f>
        <v/>
      </c>
      <c r="T406">
        <f>IF(S406="","",IF(S406&gt;Settings!$B$4,"Yes","No"))</f>
        <v/>
      </c>
      <c r="U406">
        <f>IF(OR(G406="",B406=""),"",IF(COUNTIFS($G$3:$G$1002,SUBSTITUTE(SUBSTITUTE(G406,"?","~?"),"*","~*"),$B$3:$B$1002,"&lt;&gt;"&amp;SUBSTITUTE(SUBSTITUTE(B406,"?","~?"),"*","~*"),$B$3:$B$1002,"?*")&gt;0,"Yes","No"))</f>
        <v/>
      </c>
      <c r="V406">
        <f>IF(OR(G406="",I406="",O406="",O406="Unclassified"),"",IFERROR(INDEX(Settings!$E$5:$H$16,MATCH(I406,Settings!$D$5:$D$16,0),MATCH(O406,Settings!$E$4:$H$4,0)),"Check"))</f>
        <v/>
      </c>
      <c r="W406">
        <f>IF(V406="","",IF(V406="No","Yes","No"))</f>
        <v/>
      </c>
      <c r="X406">
        <f>IF(OR(E406="",G406=""),"",IF(LOWER(IF(RIGHT(TRIM(E406),1)="/",LEFT(TRIM(E406),LEN(TRIM(E406))-1),TRIM(E406)))&lt;&gt;LOWER(IF(RIGHT(TRIM(G406),1)="/",LEFT(TRIM(G406),LEN(TRIM(G406))-1),TRIM(G406))),"Yes","No"))</f>
        <v/>
      </c>
      <c r="Y406">
        <f>IF(A406="","",(N(Q406)&gt;0)+(T406="Yes")+(U406="Yes")+(W406="Yes")+(X406="Yes"))</f>
        <v/>
      </c>
      <c r="Z406">
        <f>IF(A406="","",IF(G406="","Not mapped",IF(Y406=0,"OK",MID(IF(N(Q406)&gt;0,"; Cannibalisation","")&amp;IF(T406="Yes","; Too many primary keywords on URL","")&amp;IF(U406="Yes","; URL spans 2+ clusters","")&amp;IF(W406="Yes","; Intent mismatch","")&amp;IF(X406="Yes","; Ranking URL is not the target",""),3,300))))</f>
        <v/>
      </c>
      <c r="AA406">
        <f>IF(G406="","",IF(COUNTIF($G$3:G406,SUBSTITUTE(SUBSTITUTE(G406,"?","~?"),"*","~*"))=1,MAX($AA$2:AA405)+1,""))</f>
        <v/>
      </c>
      <c r="AB406">
        <f>IF(B406="","",IF(COUNTIF($B$3:B406,SUBSTITUTE(SUBSTITUTE(B406,"?","~?"),"*","~*"))=1,MAX($AB$2:AB405)+1,""))</f>
        <v/>
      </c>
    </row>
    <row r="407">
      <c r="M407">
        <f>IF(A407="","",LOWER(TRIM(SUBSTITUTE(SUBSTITUTE(A407,"?",""),"*",""))))</f>
        <v/>
      </c>
      <c r="N407">
        <f>IF(M407="","",IF(SUMPRODUCT(ISNUMBER(SEARCH(" "&amp;Settings!$L$5:$L$124&amp;" "," "&amp;M407&amp;" "))*(Settings!$K$5:$K$124="Navigational")*(Settings!$L$5:$L$124&lt;&gt;""))&gt;0,"Navigational",IF(SUMPRODUCT(ISNUMBER(SEARCH(" "&amp;Settings!$L$5:$L$124&amp;" "," "&amp;M407&amp;" "))*(Settings!$K$5:$K$124="Transactional")*(Settings!$L$5:$L$124&lt;&gt;""))&gt;0,"Transactional",IF(SUMPRODUCT(ISNUMBER(SEARCH(" "&amp;Settings!$L$5:$L$124&amp;" "," "&amp;M407&amp;" "))*(Settings!$K$5:$K$124="Commercial")*(Settings!$L$5:$L$124&lt;&gt;""))&gt;0,"Commercial",IF(SUMPRODUCT(ISNUMBER(SEARCH(" "&amp;Settings!$L$5:$L$124&amp;" "," "&amp;M407&amp;" "))*(Settings!$K$5:$K$124="Informational")*(Settings!$L$5:$L$124&lt;&gt;""))&gt;0,"Informational","Unclassified")))))</f>
        <v/>
      </c>
      <c r="O407">
        <f>IF(A407="","",IF(K407&lt;&gt;"",PROPER(K407),N407))</f>
        <v/>
      </c>
      <c r="P407">
        <f>IF(A407="","",ROUND(Settings!$B$5*MIN(1,LOG10(N(C407)+1)/LOG10(Settings!$B$7+1))+Settings!$B$6*(1-MIN(100,IF(D407="",50,N(D407)))/100)+IFERROR(INDEX(Settings!$B$10:$B$14,MATCH(O407,Settings!$A$10:$A$14,0)),0),0))</f>
        <v/>
      </c>
      <c r="Q407">
        <f>IF(OR(A407="",G407=""),"",COUNTIFS($M$3:$M$1002,M407,$G$3:$G$1002,"&lt;&gt;"&amp;SUBSTITUTE(SUBSTITUTE(G407,"?","~?"),"*","~*"),$G$3:$G$1002,"?*"))</f>
        <v/>
      </c>
      <c r="R407">
        <f>IF(Q407="","",IF(Q407&gt;0,"Yes","No"))</f>
        <v/>
      </c>
      <c r="S407">
        <f>IF(G407="","",COUNTIFS($G$3:$G$1002,SUBSTITUTE(SUBSTITUTE(G407,"?","~?"),"*","~*"),$J$3:$J$1002,"Primary"))</f>
        <v/>
      </c>
      <c r="T407">
        <f>IF(S407="","",IF(S407&gt;Settings!$B$4,"Yes","No"))</f>
        <v/>
      </c>
      <c r="U407">
        <f>IF(OR(G407="",B407=""),"",IF(COUNTIFS($G$3:$G$1002,SUBSTITUTE(SUBSTITUTE(G407,"?","~?"),"*","~*"),$B$3:$B$1002,"&lt;&gt;"&amp;SUBSTITUTE(SUBSTITUTE(B407,"?","~?"),"*","~*"),$B$3:$B$1002,"?*")&gt;0,"Yes","No"))</f>
        <v/>
      </c>
      <c r="V407">
        <f>IF(OR(G407="",I407="",O407="",O407="Unclassified"),"",IFERROR(INDEX(Settings!$E$5:$H$16,MATCH(I407,Settings!$D$5:$D$16,0),MATCH(O407,Settings!$E$4:$H$4,0)),"Check"))</f>
        <v/>
      </c>
      <c r="W407">
        <f>IF(V407="","",IF(V407="No","Yes","No"))</f>
        <v/>
      </c>
      <c r="X407">
        <f>IF(OR(E407="",G407=""),"",IF(LOWER(IF(RIGHT(TRIM(E407),1)="/",LEFT(TRIM(E407),LEN(TRIM(E407))-1),TRIM(E407)))&lt;&gt;LOWER(IF(RIGHT(TRIM(G407),1)="/",LEFT(TRIM(G407),LEN(TRIM(G407))-1),TRIM(G407))),"Yes","No"))</f>
        <v/>
      </c>
      <c r="Y407">
        <f>IF(A407="","",(N(Q407)&gt;0)+(T407="Yes")+(U407="Yes")+(W407="Yes")+(X407="Yes"))</f>
        <v/>
      </c>
      <c r="Z407">
        <f>IF(A407="","",IF(G407="","Not mapped",IF(Y407=0,"OK",MID(IF(N(Q407)&gt;0,"; Cannibalisation","")&amp;IF(T407="Yes","; Too many primary keywords on URL","")&amp;IF(U407="Yes","; URL spans 2+ clusters","")&amp;IF(W407="Yes","; Intent mismatch","")&amp;IF(X407="Yes","; Ranking URL is not the target",""),3,300))))</f>
        <v/>
      </c>
      <c r="AA407">
        <f>IF(G407="","",IF(COUNTIF($G$3:G407,SUBSTITUTE(SUBSTITUTE(G407,"?","~?"),"*","~*"))=1,MAX($AA$2:AA406)+1,""))</f>
        <v/>
      </c>
      <c r="AB407">
        <f>IF(B407="","",IF(COUNTIF($B$3:B407,SUBSTITUTE(SUBSTITUTE(B407,"?","~?"),"*","~*"))=1,MAX($AB$2:AB406)+1,""))</f>
        <v/>
      </c>
    </row>
    <row r="408">
      <c r="M408">
        <f>IF(A408="","",LOWER(TRIM(SUBSTITUTE(SUBSTITUTE(A408,"?",""),"*",""))))</f>
        <v/>
      </c>
      <c r="N408">
        <f>IF(M408="","",IF(SUMPRODUCT(ISNUMBER(SEARCH(" "&amp;Settings!$L$5:$L$124&amp;" "," "&amp;M408&amp;" "))*(Settings!$K$5:$K$124="Navigational")*(Settings!$L$5:$L$124&lt;&gt;""))&gt;0,"Navigational",IF(SUMPRODUCT(ISNUMBER(SEARCH(" "&amp;Settings!$L$5:$L$124&amp;" "," "&amp;M408&amp;" "))*(Settings!$K$5:$K$124="Transactional")*(Settings!$L$5:$L$124&lt;&gt;""))&gt;0,"Transactional",IF(SUMPRODUCT(ISNUMBER(SEARCH(" "&amp;Settings!$L$5:$L$124&amp;" "," "&amp;M408&amp;" "))*(Settings!$K$5:$K$124="Commercial")*(Settings!$L$5:$L$124&lt;&gt;""))&gt;0,"Commercial",IF(SUMPRODUCT(ISNUMBER(SEARCH(" "&amp;Settings!$L$5:$L$124&amp;" "," "&amp;M408&amp;" "))*(Settings!$K$5:$K$124="Informational")*(Settings!$L$5:$L$124&lt;&gt;""))&gt;0,"Informational","Unclassified")))))</f>
        <v/>
      </c>
      <c r="O408">
        <f>IF(A408="","",IF(K408&lt;&gt;"",PROPER(K408),N408))</f>
        <v/>
      </c>
      <c r="P408">
        <f>IF(A408="","",ROUND(Settings!$B$5*MIN(1,LOG10(N(C408)+1)/LOG10(Settings!$B$7+1))+Settings!$B$6*(1-MIN(100,IF(D408="",50,N(D408)))/100)+IFERROR(INDEX(Settings!$B$10:$B$14,MATCH(O408,Settings!$A$10:$A$14,0)),0),0))</f>
        <v/>
      </c>
      <c r="Q408">
        <f>IF(OR(A408="",G408=""),"",COUNTIFS($M$3:$M$1002,M408,$G$3:$G$1002,"&lt;&gt;"&amp;SUBSTITUTE(SUBSTITUTE(G408,"?","~?"),"*","~*"),$G$3:$G$1002,"?*"))</f>
        <v/>
      </c>
      <c r="R408">
        <f>IF(Q408="","",IF(Q408&gt;0,"Yes","No"))</f>
        <v/>
      </c>
      <c r="S408">
        <f>IF(G408="","",COUNTIFS($G$3:$G$1002,SUBSTITUTE(SUBSTITUTE(G408,"?","~?"),"*","~*"),$J$3:$J$1002,"Primary"))</f>
        <v/>
      </c>
      <c r="T408">
        <f>IF(S408="","",IF(S408&gt;Settings!$B$4,"Yes","No"))</f>
        <v/>
      </c>
      <c r="U408">
        <f>IF(OR(G408="",B408=""),"",IF(COUNTIFS($G$3:$G$1002,SUBSTITUTE(SUBSTITUTE(G408,"?","~?"),"*","~*"),$B$3:$B$1002,"&lt;&gt;"&amp;SUBSTITUTE(SUBSTITUTE(B408,"?","~?"),"*","~*"),$B$3:$B$1002,"?*")&gt;0,"Yes","No"))</f>
        <v/>
      </c>
      <c r="V408">
        <f>IF(OR(G408="",I408="",O408="",O408="Unclassified"),"",IFERROR(INDEX(Settings!$E$5:$H$16,MATCH(I408,Settings!$D$5:$D$16,0),MATCH(O408,Settings!$E$4:$H$4,0)),"Check"))</f>
        <v/>
      </c>
      <c r="W408">
        <f>IF(V408="","",IF(V408="No","Yes","No"))</f>
        <v/>
      </c>
      <c r="X408">
        <f>IF(OR(E408="",G408=""),"",IF(LOWER(IF(RIGHT(TRIM(E408),1)="/",LEFT(TRIM(E408),LEN(TRIM(E408))-1),TRIM(E408)))&lt;&gt;LOWER(IF(RIGHT(TRIM(G408),1)="/",LEFT(TRIM(G408),LEN(TRIM(G408))-1),TRIM(G408))),"Yes","No"))</f>
        <v/>
      </c>
      <c r="Y408">
        <f>IF(A408="","",(N(Q408)&gt;0)+(T408="Yes")+(U408="Yes")+(W408="Yes")+(X408="Yes"))</f>
        <v/>
      </c>
      <c r="Z408">
        <f>IF(A408="","",IF(G408="","Not mapped",IF(Y408=0,"OK",MID(IF(N(Q408)&gt;0,"; Cannibalisation","")&amp;IF(T408="Yes","; Too many primary keywords on URL","")&amp;IF(U408="Yes","; URL spans 2+ clusters","")&amp;IF(W408="Yes","; Intent mismatch","")&amp;IF(X408="Yes","; Ranking URL is not the target",""),3,300))))</f>
        <v/>
      </c>
      <c r="AA408">
        <f>IF(G408="","",IF(COUNTIF($G$3:G408,SUBSTITUTE(SUBSTITUTE(G408,"?","~?"),"*","~*"))=1,MAX($AA$2:AA407)+1,""))</f>
        <v/>
      </c>
      <c r="AB408">
        <f>IF(B408="","",IF(COUNTIF($B$3:B408,SUBSTITUTE(SUBSTITUTE(B408,"?","~?"),"*","~*"))=1,MAX($AB$2:AB407)+1,""))</f>
        <v/>
      </c>
    </row>
    <row r="409">
      <c r="M409">
        <f>IF(A409="","",LOWER(TRIM(SUBSTITUTE(SUBSTITUTE(A409,"?",""),"*",""))))</f>
        <v/>
      </c>
      <c r="N409">
        <f>IF(M409="","",IF(SUMPRODUCT(ISNUMBER(SEARCH(" "&amp;Settings!$L$5:$L$124&amp;" "," "&amp;M409&amp;" "))*(Settings!$K$5:$K$124="Navigational")*(Settings!$L$5:$L$124&lt;&gt;""))&gt;0,"Navigational",IF(SUMPRODUCT(ISNUMBER(SEARCH(" "&amp;Settings!$L$5:$L$124&amp;" "," "&amp;M409&amp;" "))*(Settings!$K$5:$K$124="Transactional")*(Settings!$L$5:$L$124&lt;&gt;""))&gt;0,"Transactional",IF(SUMPRODUCT(ISNUMBER(SEARCH(" "&amp;Settings!$L$5:$L$124&amp;" "," "&amp;M409&amp;" "))*(Settings!$K$5:$K$124="Commercial")*(Settings!$L$5:$L$124&lt;&gt;""))&gt;0,"Commercial",IF(SUMPRODUCT(ISNUMBER(SEARCH(" "&amp;Settings!$L$5:$L$124&amp;" "," "&amp;M409&amp;" "))*(Settings!$K$5:$K$124="Informational")*(Settings!$L$5:$L$124&lt;&gt;""))&gt;0,"Informational","Unclassified")))))</f>
        <v/>
      </c>
      <c r="O409">
        <f>IF(A409="","",IF(K409&lt;&gt;"",PROPER(K409),N409))</f>
        <v/>
      </c>
      <c r="P409">
        <f>IF(A409="","",ROUND(Settings!$B$5*MIN(1,LOG10(N(C409)+1)/LOG10(Settings!$B$7+1))+Settings!$B$6*(1-MIN(100,IF(D409="",50,N(D409)))/100)+IFERROR(INDEX(Settings!$B$10:$B$14,MATCH(O409,Settings!$A$10:$A$14,0)),0),0))</f>
        <v/>
      </c>
      <c r="Q409">
        <f>IF(OR(A409="",G409=""),"",COUNTIFS($M$3:$M$1002,M409,$G$3:$G$1002,"&lt;&gt;"&amp;SUBSTITUTE(SUBSTITUTE(G409,"?","~?"),"*","~*"),$G$3:$G$1002,"?*"))</f>
        <v/>
      </c>
      <c r="R409">
        <f>IF(Q409="","",IF(Q409&gt;0,"Yes","No"))</f>
        <v/>
      </c>
      <c r="S409">
        <f>IF(G409="","",COUNTIFS($G$3:$G$1002,SUBSTITUTE(SUBSTITUTE(G409,"?","~?"),"*","~*"),$J$3:$J$1002,"Primary"))</f>
        <v/>
      </c>
      <c r="T409">
        <f>IF(S409="","",IF(S409&gt;Settings!$B$4,"Yes","No"))</f>
        <v/>
      </c>
      <c r="U409">
        <f>IF(OR(G409="",B409=""),"",IF(COUNTIFS($G$3:$G$1002,SUBSTITUTE(SUBSTITUTE(G409,"?","~?"),"*","~*"),$B$3:$B$1002,"&lt;&gt;"&amp;SUBSTITUTE(SUBSTITUTE(B409,"?","~?"),"*","~*"),$B$3:$B$1002,"?*")&gt;0,"Yes","No"))</f>
        <v/>
      </c>
      <c r="V409">
        <f>IF(OR(G409="",I409="",O409="",O409="Unclassified"),"",IFERROR(INDEX(Settings!$E$5:$H$16,MATCH(I409,Settings!$D$5:$D$16,0),MATCH(O409,Settings!$E$4:$H$4,0)),"Check"))</f>
        <v/>
      </c>
      <c r="W409">
        <f>IF(V409="","",IF(V409="No","Yes","No"))</f>
        <v/>
      </c>
      <c r="X409">
        <f>IF(OR(E409="",G409=""),"",IF(LOWER(IF(RIGHT(TRIM(E409),1)="/",LEFT(TRIM(E409),LEN(TRIM(E409))-1),TRIM(E409)))&lt;&gt;LOWER(IF(RIGHT(TRIM(G409),1)="/",LEFT(TRIM(G409),LEN(TRIM(G409))-1),TRIM(G409))),"Yes","No"))</f>
        <v/>
      </c>
      <c r="Y409">
        <f>IF(A409="","",(N(Q409)&gt;0)+(T409="Yes")+(U409="Yes")+(W409="Yes")+(X409="Yes"))</f>
        <v/>
      </c>
      <c r="Z409">
        <f>IF(A409="","",IF(G409="","Not mapped",IF(Y409=0,"OK",MID(IF(N(Q409)&gt;0,"; Cannibalisation","")&amp;IF(T409="Yes","; Too many primary keywords on URL","")&amp;IF(U409="Yes","; URL spans 2+ clusters","")&amp;IF(W409="Yes","; Intent mismatch","")&amp;IF(X409="Yes","; Ranking URL is not the target",""),3,300))))</f>
        <v/>
      </c>
      <c r="AA409">
        <f>IF(G409="","",IF(COUNTIF($G$3:G409,SUBSTITUTE(SUBSTITUTE(G409,"?","~?"),"*","~*"))=1,MAX($AA$2:AA408)+1,""))</f>
        <v/>
      </c>
      <c r="AB409">
        <f>IF(B409="","",IF(COUNTIF($B$3:B409,SUBSTITUTE(SUBSTITUTE(B409,"?","~?"),"*","~*"))=1,MAX($AB$2:AB408)+1,""))</f>
        <v/>
      </c>
    </row>
    <row r="410">
      <c r="M410">
        <f>IF(A410="","",LOWER(TRIM(SUBSTITUTE(SUBSTITUTE(A410,"?",""),"*",""))))</f>
        <v/>
      </c>
      <c r="N410">
        <f>IF(M410="","",IF(SUMPRODUCT(ISNUMBER(SEARCH(" "&amp;Settings!$L$5:$L$124&amp;" "," "&amp;M410&amp;" "))*(Settings!$K$5:$K$124="Navigational")*(Settings!$L$5:$L$124&lt;&gt;""))&gt;0,"Navigational",IF(SUMPRODUCT(ISNUMBER(SEARCH(" "&amp;Settings!$L$5:$L$124&amp;" "," "&amp;M410&amp;" "))*(Settings!$K$5:$K$124="Transactional")*(Settings!$L$5:$L$124&lt;&gt;""))&gt;0,"Transactional",IF(SUMPRODUCT(ISNUMBER(SEARCH(" "&amp;Settings!$L$5:$L$124&amp;" "," "&amp;M410&amp;" "))*(Settings!$K$5:$K$124="Commercial")*(Settings!$L$5:$L$124&lt;&gt;""))&gt;0,"Commercial",IF(SUMPRODUCT(ISNUMBER(SEARCH(" "&amp;Settings!$L$5:$L$124&amp;" "," "&amp;M410&amp;" "))*(Settings!$K$5:$K$124="Informational")*(Settings!$L$5:$L$124&lt;&gt;""))&gt;0,"Informational","Unclassified")))))</f>
        <v/>
      </c>
      <c r="O410">
        <f>IF(A410="","",IF(K410&lt;&gt;"",PROPER(K410),N410))</f>
        <v/>
      </c>
      <c r="P410">
        <f>IF(A410="","",ROUND(Settings!$B$5*MIN(1,LOG10(N(C410)+1)/LOG10(Settings!$B$7+1))+Settings!$B$6*(1-MIN(100,IF(D410="",50,N(D410)))/100)+IFERROR(INDEX(Settings!$B$10:$B$14,MATCH(O410,Settings!$A$10:$A$14,0)),0),0))</f>
        <v/>
      </c>
      <c r="Q410">
        <f>IF(OR(A410="",G410=""),"",COUNTIFS($M$3:$M$1002,M410,$G$3:$G$1002,"&lt;&gt;"&amp;SUBSTITUTE(SUBSTITUTE(G410,"?","~?"),"*","~*"),$G$3:$G$1002,"?*"))</f>
        <v/>
      </c>
      <c r="R410">
        <f>IF(Q410="","",IF(Q410&gt;0,"Yes","No"))</f>
        <v/>
      </c>
      <c r="S410">
        <f>IF(G410="","",COUNTIFS($G$3:$G$1002,SUBSTITUTE(SUBSTITUTE(G410,"?","~?"),"*","~*"),$J$3:$J$1002,"Primary"))</f>
        <v/>
      </c>
      <c r="T410">
        <f>IF(S410="","",IF(S410&gt;Settings!$B$4,"Yes","No"))</f>
        <v/>
      </c>
      <c r="U410">
        <f>IF(OR(G410="",B410=""),"",IF(COUNTIFS($G$3:$G$1002,SUBSTITUTE(SUBSTITUTE(G410,"?","~?"),"*","~*"),$B$3:$B$1002,"&lt;&gt;"&amp;SUBSTITUTE(SUBSTITUTE(B410,"?","~?"),"*","~*"),$B$3:$B$1002,"?*")&gt;0,"Yes","No"))</f>
        <v/>
      </c>
      <c r="V410">
        <f>IF(OR(G410="",I410="",O410="",O410="Unclassified"),"",IFERROR(INDEX(Settings!$E$5:$H$16,MATCH(I410,Settings!$D$5:$D$16,0),MATCH(O410,Settings!$E$4:$H$4,0)),"Check"))</f>
        <v/>
      </c>
      <c r="W410">
        <f>IF(V410="","",IF(V410="No","Yes","No"))</f>
        <v/>
      </c>
      <c r="X410">
        <f>IF(OR(E410="",G410=""),"",IF(LOWER(IF(RIGHT(TRIM(E410),1)="/",LEFT(TRIM(E410),LEN(TRIM(E410))-1),TRIM(E410)))&lt;&gt;LOWER(IF(RIGHT(TRIM(G410),1)="/",LEFT(TRIM(G410),LEN(TRIM(G410))-1),TRIM(G410))),"Yes","No"))</f>
        <v/>
      </c>
      <c r="Y410">
        <f>IF(A410="","",(N(Q410)&gt;0)+(T410="Yes")+(U410="Yes")+(W410="Yes")+(X410="Yes"))</f>
        <v/>
      </c>
      <c r="Z410">
        <f>IF(A410="","",IF(G410="","Not mapped",IF(Y410=0,"OK",MID(IF(N(Q410)&gt;0,"; Cannibalisation","")&amp;IF(T410="Yes","; Too many primary keywords on URL","")&amp;IF(U410="Yes","; URL spans 2+ clusters","")&amp;IF(W410="Yes","; Intent mismatch","")&amp;IF(X410="Yes","; Ranking URL is not the target",""),3,300))))</f>
        <v/>
      </c>
      <c r="AA410">
        <f>IF(G410="","",IF(COUNTIF($G$3:G410,SUBSTITUTE(SUBSTITUTE(G410,"?","~?"),"*","~*"))=1,MAX($AA$2:AA409)+1,""))</f>
        <v/>
      </c>
      <c r="AB410">
        <f>IF(B410="","",IF(COUNTIF($B$3:B410,SUBSTITUTE(SUBSTITUTE(B410,"?","~?"),"*","~*"))=1,MAX($AB$2:AB409)+1,""))</f>
        <v/>
      </c>
    </row>
    <row r="411">
      <c r="M411">
        <f>IF(A411="","",LOWER(TRIM(SUBSTITUTE(SUBSTITUTE(A411,"?",""),"*",""))))</f>
        <v/>
      </c>
      <c r="N411">
        <f>IF(M411="","",IF(SUMPRODUCT(ISNUMBER(SEARCH(" "&amp;Settings!$L$5:$L$124&amp;" "," "&amp;M411&amp;" "))*(Settings!$K$5:$K$124="Navigational")*(Settings!$L$5:$L$124&lt;&gt;""))&gt;0,"Navigational",IF(SUMPRODUCT(ISNUMBER(SEARCH(" "&amp;Settings!$L$5:$L$124&amp;" "," "&amp;M411&amp;" "))*(Settings!$K$5:$K$124="Transactional")*(Settings!$L$5:$L$124&lt;&gt;""))&gt;0,"Transactional",IF(SUMPRODUCT(ISNUMBER(SEARCH(" "&amp;Settings!$L$5:$L$124&amp;" "," "&amp;M411&amp;" "))*(Settings!$K$5:$K$124="Commercial")*(Settings!$L$5:$L$124&lt;&gt;""))&gt;0,"Commercial",IF(SUMPRODUCT(ISNUMBER(SEARCH(" "&amp;Settings!$L$5:$L$124&amp;" "," "&amp;M411&amp;" "))*(Settings!$K$5:$K$124="Informational")*(Settings!$L$5:$L$124&lt;&gt;""))&gt;0,"Informational","Unclassified")))))</f>
        <v/>
      </c>
      <c r="O411">
        <f>IF(A411="","",IF(K411&lt;&gt;"",PROPER(K411),N411))</f>
        <v/>
      </c>
      <c r="P411">
        <f>IF(A411="","",ROUND(Settings!$B$5*MIN(1,LOG10(N(C411)+1)/LOG10(Settings!$B$7+1))+Settings!$B$6*(1-MIN(100,IF(D411="",50,N(D411)))/100)+IFERROR(INDEX(Settings!$B$10:$B$14,MATCH(O411,Settings!$A$10:$A$14,0)),0),0))</f>
        <v/>
      </c>
      <c r="Q411">
        <f>IF(OR(A411="",G411=""),"",COUNTIFS($M$3:$M$1002,M411,$G$3:$G$1002,"&lt;&gt;"&amp;SUBSTITUTE(SUBSTITUTE(G411,"?","~?"),"*","~*"),$G$3:$G$1002,"?*"))</f>
        <v/>
      </c>
      <c r="R411">
        <f>IF(Q411="","",IF(Q411&gt;0,"Yes","No"))</f>
        <v/>
      </c>
      <c r="S411">
        <f>IF(G411="","",COUNTIFS($G$3:$G$1002,SUBSTITUTE(SUBSTITUTE(G411,"?","~?"),"*","~*"),$J$3:$J$1002,"Primary"))</f>
        <v/>
      </c>
      <c r="T411">
        <f>IF(S411="","",IF(S411&gt;Settings!$B$4,"Yes","No"))</f>
        <v/>
      </c>
      <c r="U411">
        <f>IF(OR(G411="",B411=""),"",IF(COUNTIFS($G$3:$G$1002,SUBSTITUTE(SUBSTITUTE(G411,"?","~?"),"*","~*"),$B$3:$B$1002,"&lt;&gt;"&amp;SUBSTITUTE(SUBSTITUTE(B411,"?","~?"),"*","~*"),$B$3:$B$1002,"?*")&gt;0,"Yes","No"))</f>
        <v/>
      </c>
      <c r="V411">
        <f>IF(OR(G411="",I411="",O411="",O411="Unclassified"),"",IFERROR(INDEX(Settings!$E$5:$H$16,MATCH(I411,Settings!$D$5:$D$16,0),MATCH(O411,Settings!$E$4:$H$4,0)),"Check"))</f>
        <v/>
      </c>
      <c r="W411">
        <f>IF(V411="","",IF(V411="No","Yes","No"))</f>
        <v/>
      </c>
      <c r="X411">
        <f>IF(OR(E411="",G411=""),"",IF(LOWER(IF(RIGHT(TRIM(E411),1)="/",LEFT(TRIM(E411),LEN(TRIM(E411))-1),TRIM(E411)))&lt;&gt;LOWER(IF(RIGHT(TRIM(G411),1)="/",LEFT(TRIM(G411),LEN(TRIM(G411))-1),TRIM(G411))),"Yes","No"))</f>
        <v/>
      </c>
      <c r="Y411">
        <f>IF(A411="","",(N(Q411)&gt;0)+(T411="Yes")+(U411="Yes")+(W411="Yes")+(X411="Yes"))</f>
        <v/>
      </c>
      <c r="Z411">
        <f>IF(A411="","",IF(G411="","Not mapped",IF(Y411=0,"OK",MID(IF(N(Q411)&gt;0,"; Cannibalisation","")&amp;IF(T411="Yes","; Too many primary keywords on URL","")&amp;IF(U411="Yes","; URL spans 2+ clusters","")&amp;IF(W411="Yes","; Intent mismatch","")&amp;IF(X411="Yes","; Ranking URL is not the target",""),3,300))))</f>
        <v/>
      </c>
      <c r="AA411">
        <f>IF(G411="","",IF(COUNTIF($G$3:G411,SUBSTITUTE(SUBSTITUTE(G411,"?","~?"),"*","~*"))=1,MAX($AA$2:AA410)+1,""))</f>
        <v/>
      </c>
      <c r="AB411">
        <f>IF(B411="","",IF(COUNTIF($B$3:B411,SUBSTITUTE(SUBSTITUTE(B411,"?","~?"),"*","~*"))=1,MAX($AB$2:AB410)+1,""))</f>
        <v/>
      </c>
    </row>
    <row r="412">
      <c r="M412">
        <f>IF(A412="","",LOWER(TRIM(SUBSTITUTE(SUBSTITUTE(A412,"?",""),"*",""))))</f>
        <v/>
      </c>
      <c r="N412">
        <f>IF(M412="","",IF(SUMPRODUCT(ISNUMBER(SEARCH(" "&amp;Settings!$L$5:$L$124&amp;" "," "&amp;M412&amp;" "))*(Settings!$K$5:$K$124="Navigational")*(Settings!$L$5:$L$124&lt;&gt;""))&gt;0,"Navigational",IF(SUMPRODUCT(ISNUMBER(SEARCH(" "&amp;Settings!$L$5:$L$124&amp;" "," "&amp;M412&amp;" "))*(Settings!$K$5:$K$124="Transactional")*(Settings!$L$5:$L$124&lt;&gt;""))&gt;0,"Transactional",IF(SUMPRODUCT(ISNUMBER(SEARCH(" "&amp;Settings!$L$5:$L$124&amp;" "," "&amp;M412&amp;" "))*(Settings!$K$5:$K$124="Commercial")*(Settings!$L$5:$L$124&lt;&gt;""))&gt;0,"Commercial",IF(SUMPRODUCT(ISNUMBER(SEARCH(" "&amp;Settings!$L$5:$L$124&amp;" "," "&amp;M412&amp;" "))*(Settings!$K$5:$K$124="Informational")*(Settings!$L$5:$L$124&lt;&gt;""))&gt;0,"Informational","Unclassified")))))</f>
        <v/>
      </c>
      <c r="O412">
        <f>IF(A412="","",IF(K412&lt;&gt;"",PROPER(K412),N412))</f>
        <v/>
      </c>
      <c r="P412">
        <f>IF(A412="","",ROUND(Settings!$B$5*MIN(1,LOG10(N(C412)+1)/LOG10(Settings!$B$7+1))+Settings!$B$6*(1-MIN(100,IF(D412="",50,N(D412)))/100)+IFERROR(INDEX(Settings!$B$10:$B$14,MATCH(O412,Settings!$A$10:$A$14,0)),0),0))</f>
        <v/>
      </c>
      <c r="Q412">
        <f>IF(OR(A412="",G412=""),"",COUNTIFS($M$3:$M$1002,M412,$G$3:$G$1002,"&lt;&gt;"&amp;SUBSTITUTE(SUBSTITUTE(G412,"?","~?"),"*","~*"),$G$3:$G$1002,"?*"))</f>
        <v/>
      </c>
      <c r="R412">
        <f>IF(Q412="","",IF(Q412&gt;0,"Yes","No"))</f>
        <v/>
      </c>
      <c r="S412">
        <f>IF(G412="","",COUNTIFS($G$3:$G$1002,SUBSTITUTE(SUBSTITUTE(G412,"?","~?"),"*","~*"),$J$3:$J$1002,"Primary"))</f>
        <v/>
      </c>
      <c r="T412">
        <f>IF(S412="","",IF(S412&gt;Settings!$B$4,"Yes","No"))</f>
        <v/>
      </c>
      <c r="U412">
        <f>IF(OR(G412="",B412=""),"",IF(COUNTIFS($G$3:$G$1002,SUBSTITUTE(SUBSTITUTE(G412,"?","~?"),"*","~*"),$B$3:$B$1002,"&lt;&gt;"&amp;SUBSTITUTE(SUBSTITUTE(B412,"?","~?"),"*","~*"),$B$3:$B$1002,"?*")&gt;0,"Yes","No"))</f>
        <v/>
      </c>
      <c r="V412">
        <f>IF(OR(G412="",I412="",O412="",O412="Unclassified"),"",IFERROR(INDEX(Settings!$E$5:$H$16,MATCH(I412,Settings!$D$5:$D$16,0),MATCH(O412,Settings!$E$4:$H$4,0)),"Check"))</f>
        <v/>
      </c>
      <c r="W412">
        <f>IF(V412="","",IF(V412="No","Yes","No"))</f>
        <v/>
      </c>
      <c r="X412">
        <f>IF(OR(E412="",G412=""),"",IF(LOWER(IF(RIGHT(TRIM(E412),1)="/",LEFT(TRIM(E412),LEN(TRIM(E412))-1),TRIM(E412)))&lt;&gt;LOWER(IF(RIGHT(TRIM(G412),1)="/",LEFT(TRIM(G412),LEN(TRIM(G412))-1),TRIM(G412))),"Yes","No"))</f>
        <v/>
      </c>
      <c r="Y412">
        <f>IF(A412="","",(N(Q412)&gt;0)+(T412="Yes")+(U412="Yes")+(W412="Yes")+(X412="Yes"))</f>
        <v/>
      </c>
      <c r="Z412">
        <f>IF(A412="","",IF(G412="","Not mapped",IF(Y412=0,"OK",MID(IF(N(Q412)&gt;0,"; Cannibalisation","")&amp;IF(T412="Yes","; Too many primary keywords on URL","")&amp;IF(U412="Yes","; URL spans 2+ clusters","")&amp;IF(W412="Yes","; Intent mismatch","")&amp;IF(X412="Yes","; Ranking URL is not the target",""),3,300))))</f>
        <v/>
      </c>
      <c r="AA412">
        <f>IF(G412="","",IF(COUNTIF($G$3:G412,SUBSTITUTE(SUBSTITUTE(G412,"?","~?"),"*","~*"))=1,MAX($AA$2:AA411)+1,""))</f>
        <v/>
      </c>
      <c r="AB412">
        <f>IF(B412="","",IF(COUNTIF($B$3:B412,SUBSTITUTE(SUBSTITUTE(B412,"?","~?"),"*","~*"))=1,MAX($AB$2:AB411)+1,""))</f>
        <v/>
      </c>
    </row>
    <row r="413">
      <c r="M413">
        <f>IF(A413="","",LOWER(TRIM(SUBSTITUTE(SUBSTITUTE(A413,"?",""),"*",""))))</f>
        <v/>
      </c>
      <c r="N413">
        <f>IF(M413="","",IF(SUMPRODUCT(ISNUMBER(SEARCH(" "&amp;Settings!$L$5:$L$124&amp;" "," "&amp;M413&amp;" "))*(Settings!$K$5:$K$124="Navigational")*(Settings!$L$5:$L$124&lt;&gt;""))&gt;0,"Navigational",IF(SUMPRODUCT(ISNUMBER(SEARCH(" "&amp;Settings!$L$5:$L$124&amp;" "," "&amp;M413&amp;" "))*(Settings!$K$5:$K$124="Transactional")*(Settings!$L$5:$L$124&lt;&gt;""))&gt;0,"Transactional",IF(SUMPRODUCT(ISNUMBER(SEARCH(" "&amp;Settings!$L$5:$L$124&amp;" "," "&amp;M413&amp;" "))*(Settings!$K$5:$K$124="Commercial")*(Settings!$L$5:$L$124&lt;&gt;""))&gt;0,"Commercial",IF(SUMPRODUCT(ISNUMBER(SEARCH(" "&amp;Settings!$L$5:$L$124&amp;" "," "&amp;M413&amp;" "))*(Settings!$K$5:$K$124="Informational")*(Settings!$L$5:$L$124&lt;&gt;""))&gt;0,"Informational","Unclassified")))))</f>
        <v/>
      </c>
      <c r="O413">
        <f>IF(A413="","",IF(K413&lt;&gt;"",PROPER(K413),N413))</f>
        <v/>
      </c>
      <c r="P413">
        <f>IF(A413="","",ROUND(Settings!$B$5*MIN(1,LOG10(N(C413)+1)/LOG10(Settings!$B$7+1))+Settings!$B$6*(1-MIN(100,IF(D413="",50,N(D413)))/100)+IFERROR(INDEX(Settings!$B$10:$B$14,MATCH(O413,Settings!$A$10:$A$14,0)),0),0))</f>
        <v/>
      </c>
      <c r="Q413">
        <f>IF(OR(A413="",G413=""),"",COUNTIFS($M$3:$M$1002,M413,$G$3:$G$1002,"&lt;&gt;"&amp;SUBSTITUTE(SUBSTITUTE(G413,"?","~?"),"*","~*"),$G$3:$G$1002,"?*"))</f>
        <v/>
      </c>
      <c r="R413">
        <f>IF(Q413="","",IF(Q413&gt;0,"Yes","No"))</f>
        <v/>
      </c>
      <c r="S413">
        <f>IF(G413="","",COUNTIFS($G$3:$G$1002,SUBSTITUTE(SUBSTITUTE(G413,"?","~?"),"*","~*"),$J$3:$J$1002,"Primary"))</f>
        <v/>
      </c>
      <c r="T413">
        <f>IF(S413="","",IF(S413&gt;Settings!$B$4,"Yes","No"))</f>
        <v/>
      </c>
      <c r="U413">
        <f>IF(OR(G413="",B413=""),"",IF(COUNTIFS($G$3:$G$1002,SUBSTITUTE(SUBSTITUTE(G413,"?","~?"),"*","~*"),$B$3:$B$1002,"&lt;&gt;"&amp;SUBSTITUTE(SUBSTITUTE(B413,"?","~?"),"*","~*"),$B$3:$B$1002,"?*")&gt;0,"Yes","No"))</f>
        <v/>
      </c>
      <c r="V413">
        <f>IF(OR(G413="",I413="",O413="",O413="Unclassified"),"",IFERROR(INDEX(Settings!$E$5:$H$16,MATCH(I413,Settings!$D$5:$D$16,0),MATCH(O413,Settings!$E$4:$H$4,0)),"Check"))</f>
        <v/>
      </c>
      <c r="W413">
        <f>IF(V413="","",IF(V413="No","Yes","No"))</f>
        <v/>
      </c>
      <c r="X413">
        <f>IF(OR(E413="",G413=""),"",IF(LOWER(IF(RIGHT(TRIM(E413),1)="/",LEFT(TRIM(E413),LEN(TRIM(E413))-1),TRIM(E413)))&lt;&gt;LOWER(IF(RIGHT(TRIM(G413),1)="/",LEFT(TRIM(G413),LEN(TRIM(G413))-1),TRIM(G413))),"Yes","No"))</f>
        <v/>
      </c>
      <c r="Y413">
        <f>IF(A413="","",(N(Q413)&gt;0)+(T413="Yes")+(U413="Yes")+(W413="Yes")+(X413="Yes"))</f>
        <v/>
      </c>
      <c r="Z413">
        <f>IF(A413="","",IF(G413="","Not mapped",IF(Y413=0,"OK",MID(IF(N(Q413)&gt;0,"; Cannibalisation","")&amp;IF(T413="Yes","; Too many primary keywords on URL","")&amp;IF(U413="Yes","; URL spans 2+ clusters","")&amp;IF(W413="Yes","; Intent mismatch","")&amp;IF(X413="Yes","; Ranking URL is not the target",""),3,300))))</f>
        <v/>
      </c>
      <c r="AA413">
        <f>IF(G413="","",IF(COUNTIF($G$3:G413,SUBSTITUTE(SUBSTITUTE(G413,"?","~?"),"*","~*"))=1,MAX($AA$2:AA412)+1,""))</f>
        <v/>
      </c>
      <c r="AB413">
        <f>IF(B413="","",IF(COUNTIF($B$3:B413,SUBSTITUTE(SUBSTITUTE(B413,"?","~?"),"*","~*"))=1,MAX($AB$2:AB412)+1,""))</f>
        <v/>
      </c>
    </row>
    <row r="414">
      <c r="M414">
        <f>IF(A414="","",LOWER(TRIM(SUBSTITUTE(SUBSTITUTE(A414,"?",""),"*",""))))</f>
        <v/>
      </c>
      <c r="N414">
        <f>IF(M414="","",IF(SUMPRODUCT(ISNUMBER(SEARCH(" "&amp;Settings!$L$5:$L$124&amp;" "," "&amp;M414&amp;" "))*(Settings!$K$5:$K$124="Navigational")*(Settings!$L$5:$L$124&lt;&gt;""))&gt;0,"Navigational",IF(SUMPRODUCT(ISNUMBER(SEARCH(" "&amp;Settings!$L$5:$L$124&amp;" "," "&amp;M414&amp;" "))*(Settings!$K$5:$K$124="Transactional")*(Settings!$L$5:$L$124&lt;&gt;""))&gt;0,"Transactional",IF(SUMPRODUCT(ISNUMBER(SEARCH(" "&amp;Settings!$L$5:$L$124&amp;" "," "&amp;M414&amp;" "))*(Settings!$K$5:$K$124="Commercial")*(Settings!$L$5:$L$124&lt;&gt;""))&gt;0,"Commercial",IF(SUMPRODUCT(ISNUMBER(SEARCH(" "&amp;Settings!$L$5:$L$124&amp;" "," "&amp;M414&amp;" "))*(Settings!$K$5:$K$124="Informational")*(Settings!$L$5:$L$124&lt;&gt;""))&gt;0,"Informational","Unclassified")))))</f>
        <v/>
      </c>
      <c r="O414">
        <f>IF(A414="","",IF(K414&lt;&gt;"",PROPER(K414),N414))</f>
        <v/>
      </c>
      <c r="P414">
        <f>IF(A414="","",ROUND(Settings!$B$5*MIN(1,LOG10(N(C414)+1)/LOG10(Settings!$B$7+1))+Settings!$B$6*(1-MIN(100,IF(D414="",50,N(D414)))/100)+IFERROR(INDEX(Settings!$B$10:$B$14,MATCH(O414,Settings!$A$10:$A$14,0)),0),0))</f>
        <v/>
      </c>
      <c r="Q414">
        <f>IF(OR(A414="",G414=""),"",COUNTIFS($M$3:$M$1002,M414,$G$3:$G$1002,"&lt;&gt;"&amp;SUBSTITUTE(SUBSTITUTE(G414,"?","~?"),"*","~*"),$G$3:$G$1002,"?*"))</f>
        <v/>
      </c>
      <c r="R414">
        <f>IF(Q414="","",IF(Q414&gt;0,"Yes","No"))</f>
        <v/>
      </c>
      <c r="S414">
        <f>IF(G414="","",COUNTIFS($G$3:$G$1002,SUBSTITUTE(SUBSTITUTE(G414,"?","~?"),"*","~*"),$J$3:$J$1002,"Primary"))</f>
        <v/>
      </c>
      <c r="T414">
        <f>IF(S414="","",IF(S414&gt;Settings!$B$4,"Yes","No"))</f>
        <v/>
      </c>
      <c r="U414">
        <f>IF(OR(G414="",B414=""),"",IF(COUNTIFS($G$3:$G$1002,SUBSTITUTE(SUBSTITUTE(G414,"?","~?"),"*","~*"),$B$3:$B$1002,"&lt;&gt;"&amp;SUBSTITUTE(SUBSTITUTE(B414,"?","~?"),"*","~*"),$B$3:$B$1002,"?*")&gt;0,"Yes","No"))</f>
        <v/>
      </c>
      <c r="V414">
        <f>IF(OR(G414="",I414="",O414="",O414="Unclassified"),"",IFERROR(INDEX(Settings!$E$5:$H$16,MATCH(I414,Settings!$D$5:$D$16,0),MATCH(O414,Settings!$E$4:$H$4,0)),"Check"))</f>
        <v/>
      </c>
      <c r="W414">
        <f>IF(V414="","",IF(V414="No","Yes","No"))</f>
        <v/>
      </c>
      <c r="X414">
        <f>IF(OR(E414="",G414=""),"",IF(LOWER(IF(RIGHT(TRIM(E414),1)="/",LEFT(TRIM(E414),LEN(TRIM(E414))-1),TRIM(E414)))&lt;&gt;LOWER(IF(RIGHT(TRIM(G414),1)="/",LEFT(TRIM(G414),LEN(TRIM(G414))-1),TRIM(G414))),"Yes","No"))</f>
        <v/>
      </c>
      <c r="Y414">
        <f>IF(A414="","",(N(Q414)&gt;0)+(T414="Yes")+(U414="Yes")+(W414="Yes")+(X414="Yes"))</f>
        <v/>
      </c>
      <c r="Z414">
        <f>IF(A414="","",IF(G414="","Not mapped",IF(Y414=0,"OK",MID(IF(N(Q414)&gt;0,"; Cannibalisation","")&amp;IF(T414="Yes","; Too many primary keywords on URL","")&amp;IF(U414="Yes","; URL spans 2+ clusters","")&amp;IF(W414="Yes","; Intent mismatch","")&amp;IF(X414="Yes","; Ranking URL is not the target",""),3,300))))</f>
        <v/>
      </c>
      <c r="AA414">
        <f>IF(G414="","",IF(COUNTIF($G$3:G414,SUBSTITUTE(SUBSTITUTE(G414,"?","~?"),"*","~*"))=1,MAX($AA$2:AA413)+1,""))</f>
        <v/>
      </c>
      <c r="AB414">
        <f>IF(B414="","",IF(COUNTIF($B$3:B414,SUBSTITUTE(SUBSTITUTE(B414,"?","~?"),"*","~*"))=1,MAX($AB$2:AB413)+1,""))</f>
        <v/>
      </c>
    </row>
    <row r="415">
      <c r="M415">
        <f>IF(A415="","",LOWER(TRIM(SUBSTITUTE(SUBSTITUTE(A415,"?",""),"*",""))))</f>
        <v/>
      </c>
      <c r="N415">
        <f>IF(M415="","",IF(SUMPRODUCT(ISNUMBER(SEARCH(" "&amp;Settings!$L$5:$L$124&amp;" "," "&amp;M415&amp;" "))*(Settings!$K$5:$K$124="Navigational")*(Settings!$L$5:$L$124&lt;&gt;""))&gt;0,"Navigational",IF(SUMPRODUCT(ISNUMBER(SEARCH(" "&amp;Settings!$L$5:$L$124&amp;" "," "&amp;M415&amp;" "))*(Settings!$K$5:$K$124="Transactional")*(Settings!$L$5:$L$124&lt;&gt;""))&gt;0,"Transactional",IF(SUMPRODUCT(ISNUMBER(SEARCH(" "&amp;Settings!$L$5:$L$124&amp;" "," "&amp;M415&amp;" "))*(Settings!$K$5:$K$124="Commercial")*(Settings!$L$5:$L$124&lt;&gt;""))&gt;0,"Commercial",IF(SUMPRODUCT(ISNUMBER(SEARCH(" "&amp;Settings!$L$5:$L$124&amp;" "," "&amp;M415&amp;" "))*(Settings!$K$5:$K$124="Informational")*(Settings!$L$5:$L$124&lt;&gt;""))&gt;0,"Informational","Unclassified")))))</f>
        <v/>
      </c>
      <c r="O415">
        <f>IF(A415="","",IF(K415&lt;&gt;"",PROPER(K415),N415))</f>
        <v/>
      </c>
      <c r="P415">
        <f>IF(A415="","",ROUND(Settings!$B$5*MIN(1,LOG10(N(C415)+1)/LOG10(Settings!$B$7+1))+Settings!$B$6*(1-MIN(100,IF(D415="",50,N(D415)))/100)+IFERROR(INDEX(Settings!$B$10:$B$14,MATCH(O415,Settings!$A$10:$A$14,0)),0),0))</f>
        <v/>
      </c>
      <c r="Q415">
        <f>IF(OR(A415="",G415=""),"",COUNTIFS($M$3:$M$1002,M415,$G$3:$G$1002,"&lt;&gt;"&amp;SUBSTITUTE(SUBSTITUTE(G415,"?","~?"),"*","~*"),$G$3:$G$1002,"?*"))</f>
        <v/>
      </c>
      <c r="R415">
        <f>IF(Q415="","",IF(Q415&gt;0,"Yes","No"))</f>
        <v/>
      </c>
      <c r="S415">
        <f>IF(G415="","",COUNTIFS($G$3:$G$1002,SUBSTITUTE(SUBSTITUTE(G415,"?","~?"),"*","~*"),$J$3:$J$1002,"Primary"))</f>
        <v/>
      </c>
      <c r="T415">
        <f>IF(S415="","",IF(S415&gt;Settings!$B$4,"Yes","No"))</f>
        <v/>
      </c>
      <c r="U415">
        <f>IF(OR(G415="",B415=""),"",IF(COUNTIFS($G$3:$G$1002,SUBSTITUTE(SUBSTITUTE(G415,"?","~?"),"*","~*"),$B$3:$B$1002,"&lt;&gt;"&amp;SUBSTITUTE(SUBSTITUTE(B415,"?","~?"),"*","~*"),$B$3:$B$1002,"?*")&gt;0,"Yes","No"))</f>
        <v/>
      </c>
      <c r="V415">
        <f>IF(OR(G415="",I415="",O415="",O415="Unclassified"),"",IFERROR(INDEX(Settings!$E$5:$H$16,MATCH(I415,Settings!$D$5:$D$16,0),MATCH(O415,Settings!$E$4:$H$4,0)),"Check"))</f>
        <v/>
      </c>
      <c r="W415">
        <f>IF(V415="","",IF(V415="No","Yes","No"))</f>
        <v/>
      </c>
      <c r="X415">
        <f>IF(OR(E415="",G415=""),"",IF(LOWER(IF(RIGHT(TRIM(E415),1)="/",LEFT(TRIM(E415),LEN(TRIM(E415))-1),TRIM(E415)))&lt;&gt;LOWER(IF(RIGHT(TRIM(G415),1)="/",LEFT(TRIM(G415),LEN(TRIM(G415))-1),TRIM(G415))),"Yes","No"))</f>
        <v/>
      </c>
      <c r="Y415">
        <f>IF(A415="","",(N(Q415)&gt;0)+(T415="Yes")+(U415="Yes")+(W415="Yes")+(X415="Yes"))</f>
        <v/>
      </c>
      <c r="Z415">
        <f>IF(A415="","",IF(G415="","Not mapped",IF(Y415=0,"OK",MID(IF(N(Q415)&gt;0,"; Cannibalisation","")&amp;IF(T415="Yes","; Too many primary keywords on URL","")&amp;IF(U415="Yes","; URL spans 2+ clusters","")&amp;IF(W415="Yes","; Intent mismatch","")&amp;IF(X415="Yes","; Ranking URL is not the target",""),3,300))))</f>
        <v/>
      </c>
      <c r="AA415">
        <f>IF(G415="","",IF(COUNTIF($G$3:G415,SUBSTITUTE(SUBSTITUTE(G415,"?","~?"),"*","~*"))=1,MAX($AA$2:AA414)+1,""))</f>
        <v/>
      </c>
      <c r="AB415">
        <f>IF(B415="","",IF(COUNTIF($B$3:B415,SUBSTITUTE(SUBSTITUTE(B415,"?","~?"),"*","~*"))=1,MAX($AB$2:AB414)+1,""))</f>
        <v/>
      </c>
    </row>
    <row r="416">
      <c r="M416">
        <f>IF(A416="","",LOWER(TRIM(SUBSTITUTE(SUBSTITUTE(A416,"?",""),"*",""))))</f>
        <v/>
      </c>
      <c r="N416">
        <f>IF(M416="","",IF(SUMPRODUCT(ISNUMBER(SEARCH(" "&amp;Settings!$L$5:$L$124&amp;" "," "&amp;M416&amp;" "))*(Settings!$K$5:$K$124="Navigational")*(Settings!$L$5:$L$124&lt;&gt;""))&gt;0,"Navigational",IF(SUMPRODUCT(ISNUMBER(SEARCH(" "&amp;Settings!$L$5:$L$124&amp;" "," "&amp;M416&amp;" "))*(Settings!$K$5:$K$124="Transactional")*(Settings!$L$5:$L$124&lt;&gt;""))&gt;0,"Transactional",IF(SUMPRODUCT(ISNUMBER(SEARCH(" "&amp;Settings!$L$5:$L$124&amp;" "," "&amp;M416&amp;" "))*(Settings!$K$5:$K$124="Commercial")*(Settings!$L$5:$L$124&lt;&gt;""))&gt;0,"Commercial",IF(SUMPRODUCT(ISNUMBER(SEARCH(" "&amp;Settings!$L$5:$L$124&amp;" "," "&amp;M416&amp;" "))*(Settings!$K$5:$K$124="Informational")*(Settings!$L$5:$L$124&lt;&gt;""))&gt;0,"Informational","Unclassified")))))</f>
        <v/>
      </c>
      <c r="O416">
        <f>IF(A416="","",IF(K416&lt;&gt;"",PROPER(K416),N416))</f>
        <v/>
      </c>
      <c r="P416">
        <f>IF(A416="","",ROUND(Settings!$B$5*MIN(1,LOG10(N(C416)+1)/LOG10(Settings!$B$7+1))+Settings!$B$6*(1-MIN(100,IF(D416="",50,N(D416)))/100)+IFERROR(INDEX(Settings!$B$10:$B$14,MATCH(O416,Settings!$A$10:$A$14,0)),0),0))</f>
        <v/>
      </c>
      <c r="Q416">
        <f>IF(OR(A416="",G416=""),"",COUNTIFS($M$3:$M$1002,M416,$G$3:$G$1002,"&lt;&gt;"&amp;SUBSTITUTE(SUBSTITUTE(G416,"?","~?"),"*","~*"),$G$3:$G$1002,"?*"))</f>
        <v/>
      </c>
      <c r="R416">
        <f>IF(Q416="","",IF(Q416&gt;0,"Yes","No"))</f>
        <v/>
      </c>
      <c r="S416">
        <f>IF(G416="","",COUNTIFS($G$3:$G$1002,SUBSTITUTE(SUBSTITUTE(G416,"?","~?"),"*","~*"),$J$3:$J$1002,"Primary"))</f>
        <v/>
      </c>
      <c r="T416">
        <f>IF(S416="","",IF(S416&gt;Settings!$B$4,"Yes","No"))</f>
        <v/>
      </c>
      <c r="U416">
        <f>IF(OR(G416="",B416=""),"",IF(COUNTIFS($G$3:$G$1002,SUBSTITUTE(SUBSTITUTE(G416,"?","~?"),"*","~*"),$B$3:$B$1002,"&lt;&gt;"&amp;SUBSTITUTE(SUBSTITUTE(B416,"?","~?"),"*","~*"),$B$3:$B$1002,"?*")&gt;0,"Yes","No"))</f>
        <v/>
      </c>
      <c r="V416">
        <f>IF(OR(G416="",I416="",O416="",O416="Unclassified"),"",IFERROR(INDEX(Settings!$E$5:$H$16,MATCH(I416,Settings!$D$5:$D$16,0),MATCH(O416,Settings!$E$4:$H$4,0)),"Check"))</f>
        <v/>
      </c>
      <c r="W416">
        <f>IF(V416="","",IF(V416="No","Yes","No"))</f>
        <v/>
      </c>
      <c r="X416">
        <f>IF(OR(E416="",G416=""),"",IF(LOWER(IF(RIGHT(TRIM(E416),1)="/",LEFT(TRIM(E416),LEN(TRIM(E416))-1),TRIM(E416)))&lt;&gt;LOWER(IF(RIGHT(TRIM(G416),1)="/",LEFT(TRIM(G416),LEN(TRIM(G416))-1),TRIM(G416))),"Yes","No"))</f>
        <v/>
      </c>
      <c r="Y416">
        <f>IF(A416="","",(N(Q416)&gt;0)+(T416="Yes")+(U416="Yes")+(W416="Yes")+(X416="Yes"))</f>
        <v/>
      </c>
      <c r="Z416">
        <f>IF(A416="","",IF(G416="","Not mapped",IF(Y416=0,"OK",MID(IF(N(Q416)&gt;0,"; Cannibalisation","")&amp;IF(T416="Yes","; Too many primary keywords on URL","")&amp;IF(U416="Yes","; URL spans 2+ clusters","")&amp;IF(W416="Yes","; Intent mismatch","")&amp;IF(X416="Yes","; Ranking URL is not the target",""),3,300))))</f>
        <v/>
      </c>
      <c r="AA416">
        <f>IF(G416="","",IF(COUNTIF($G$3:G416,SUBSTITUTE(SUBSTITUTE(G416,"?","~?"),"*","~*"))=1,MAX($AA$2:AA415)+1,""))</f>
        <v/>
      </c>
      <c r="AB416">
        <f>IF(B416="","",IF(COUNTIF($B$3:B416,SUBSTITUTE(SUBSTITUTE(B416,"?","~?"),"*","~*"))=1,MAX($AB$2:AB415)+1,""))</f>
        <v/>
      </c>
    </row>
    <row r="417">
      <c r="M417">
        <f>IF(A417="","",LOWER(TRIM(SUBSTITUTE(SUBSTITUTE(A417,"?",""),"*",""))))</f>
        <v/>
      </c>
      <c r="N417">
        <f>IF(M417="","",IF(SUMPRODUCT(ISNUMBER(SEARCH(" "&amp;Settings!$L$5:$L$124&amp;" "," "&amp;M417&amp;" "))*(Settings!$K$5:$K$124="Navigational")*(Settings!$L$5:$L$124&lt;&gt;""))&gt;0,"Navigational",IF(SUMPRODUCT(ISNUMBER(SEARCH(" "&amp;Settings!$L$5:$L$124&amp;" "," "&amp;M417&amp;" "))*(Settings!$K$5:$K$124="Transactional")*(Settings!$L$5:$L$124&lt;&gt;""))&gt;0,"Transactional",IF(SUMPRODUCT(ISNUMBER(SEARCH(" "&amp;Settings!$L$5:$L$124&amp;" "," "&amp;M417&amp;" "))*(Settings!$K$5:$K$124="Commercial")*(Settings!$L$5:$L$124&lt;&gt;""))&gt;0,"Commercial",IF(SUMPRODUCT(ISNUMBER(SEARCH(" "&amp;Settings!$L$5:$L$124&amp;" "," "&amp;M417&amp;" "))*(Settings!$K$5:$K$124="Informational")*(Settings!$L$5:$L$124&lt;&gt;""))&gt;0,"Informational","Unclassified")))))</f>
        <v/>
      </c>
      <c r="O417">
        <f>IF(A417="","",IF(K417&lt;&gt;"",PROPER(K417),N417))</f>
        <v/>
      </c>
      <c r="P417">
        <f>IF(A417="","",ROUND(Settings!$B$5*MIN(1,LOG10(N(C417)+1)/LOG10(Settings!$B$7+1))+Settings!$B$6*(1-MIN(100,IF(D417="",50,N(D417)))/100)+IFERROR(INDEX(Settings!$B$10:$B$14,MATCH(O417,Settings!$A$10:$A$14,0)),0),0))</f>
        <v/>
      </c>
      <c r="Q417">
        <f>IF(OR(A417="",G417=""),"",COUNTIFS($M$3:$M$1002,M417,$G$3:$G$1002,"&lt;&gt;"&amp;SUBSTITUTE(SUBSTITUTE(G417,"?","~?"),"*","~*"),$G$3:$G$1002,"?*"))</f>
        <v/>
      </c>
      <c r="R417">
        <f>IF(Q417="","",IF(Q417&gt;0,"Yes","No"))</f>
        <v/>
      </c>
      <c r="S417">
        <f>IF(G417="","",COUNTIFS($G$3:$G$1002,SUBSTITUTE(SUBSTITUTE(G417,"?","~?"),"*","~*"),$J$3:$J$1002,"Primary"))</f>
        <v/>
      </c>
      <c r="T417">
        <f>IF(S417="","",IF(S417&gt;Settings!$B$4,"Yes","No"))</f>
        <v/>
      </c>
      <c r="U417">
        <f>IF(OR(G417="",B417=""),"",IF(COUNTIFS($G$3:$G$1002,SUBSTITUTE(SUBSTITUTE(G417,"?","~?"),"*","~*"),$B$3:$B$1002,"&lt;&gt;"&amp;SUBSTITUTE(SUBSTITUTE(B417,"?","~?"),"*","~*"),$B$3:$B$1002,"?*")&gt;0,"Yes","No"))</f>
        <v/>
      </c>
      <c r="V417">
        <f>IF(OR(G417="",I417="",O417="",O417="Unclassified"),"",IFERROR(INDEX(Settings!$E$5:$H$16,MATCH(I417,Settings!$D$5:$D$16,0),MATCH(O417,Settings!$E$4:$H$4,0)),"Check"))</f>
        <v/>
      </c>
      <c r="W417">
        <f>IF(V417="","",IF(V417="No","Yes","No"))</f>
        <v/>
      </c>
      <c r="X417">
        <f>IF(OR(E417="",G417=""),"",IF(LOWER(IF(RIGHT(TRIM(E417),1)="/",LEFT(TRIM(E417),LEN(TRIM(E417))-1),TRIM(E417)))&lt;&gt;LOWER(IF(RIGHT(TRIM(G417),1)="/",LEFT(TRIM(G417),LEN(TRIM(G417))-1),TRIM(G417))),"Yes","No"))</f>
        <v/>
      </c>
      <c r="Y417">
        <f>IF(A417="","",(N(Q417)&gt;0)+(T417="Yes")+(U417="Yes")+(W417="Yes")+(X417="Yes"))</f>
        <v/>
      </c>
      <c r="Z417">
        <f>IF(A417="","",IF(G417="","Not mapped",IF(Y417=0,"OK",MID(IF(N(Q417)&gt;0,"; Cannibalisation","")&amp;IF(T417="Yes","; Too many primary keywords on URL","")&amp;IF(U417="Yes","; URL spans 2+ clusters","")&amp;IF(W417="Yes","; Intent mismatch","")&amp;IF(X417="Yes","; Ranking URL is not the target",""),3,300))))</f>
        <v/>
      </c>
      <c r="AA417">
        <f>IF(G417="","",IF(COUNTIF($G$3:G417,SUBSTITUTE(SUBSTITUTE(G417,"?","~?"),"*","~*"))=1,MAX($AA$2:AA416)+1,""))</f>
        <v/>
      </c>
      <c r="AB417">
        <f>IF(B417="","",IF(COUNTIF($B$3:B417,SUBSTITUTE(SUBSTITUTE(B417,"?","~?"),"*","~*"))=1,MAX($AB$2:AB416)+1,""))</f>
        <v/>
      </c>
    </row>
    <row r="418">
      <c r="M418">
        <f>IF(A418="","",LOWER(TRIM(SUBSTITUTE(SUBSTITUTE(A418,"?",""),"*",""))))</f>
        <v/>
      </c>
      <c r="N418">
        <f>IF(M418="","",IF(SUMPRODUCT(ISNUMBER(SEARCH(" "&amp;Settings!$L$5:$L$124&amp;" "," "&amp;M418&amp;" "))*(Settings!$K$5:$K$124="Navigational")*(Settings!$L$5:$L$124&lt;&gt;""))&gt;0,"Navigational",IF(SUMPRODUCT(ISNUMBER(SEARCH(" "&amp;Settings!$L$5:$L$124&amp;" "," "&amp;M418&amp;" "))*(Settings!$K$5:$K$124="Transactional")*(Settings!$L$5:$L$124&lt;&gt;""))&gt;0,"Transactional",IF(SUMPRODUCT(ISNUMBER(SEARCH(" "&amp;Settings!$L$5:$L$124&amp;" "," "&amp;M418&amp;" "))*(Settings!$K$5:$K$124="Commercial")*(Settings!$L$5:$L$124&lt;&gt;""))&gt;0,"Commercial",IF(SUMPRODUCT(ISNUMBER(SEARCH(" "&amp;Settings!$L$5:$L$124&amp;" "," "&amp;M418&amp;" "))*(Settings!$K$5:$K$124="Informational")*(Settings!$L$5:$L$124&lt;&gt;""))&gt;0,"Informational","Unclassified")))))</f>
        <v/>
      </c>
      <c r="O418">
        <f>IF(A418="","",IF(K418&lt;&gt;"",PROPER(K418),N418))</f>
        <v/>
      </c>
      <c r="P418">
        <f>IF(A418="","",ROUND(Settings!$B$5*MIN(1,LOG10(N(C418)+1)/LOG10(Settings!$B$7+1))+Settings!$B$6*(1-MIN(100,IF(D418="",50,N(D418)))/100)+IFERROR(INDEX(Settings!$B$10:$B$14,MATCH(O418,Settings!$A$10:$A$14,0)),0),0))</f>
        <v/>
      </c>
      <c r="Q418">
        <f>IF(OR(A418="",G418=""),"",COUNTIFS($M$3:$M$1002,M418,$G$3:$G$1002,"&lt;&gt;"&amp;SUBSTITUTE(SUBSTITUTE(G418,"?","~?"),"*","~*"),$G$3:$G$1002,"?*"))</f>
        <v/>
      </c>
      <c r="R418">
        <f>IF(Q418="","",IF(Q418&gt;0,"Yes","No"))</f>
        <v/>
      </c>
      <c r="S418">
        <f>IF(G418="","",COUNTIFS($G$3:$G$1002,SUBSTITUTE(SUBSTITUTE(G418,"?","~?"),"*","~*"),$J$3:$J$1002,"Primary"))</f>
        <v/>
      </c>
      <c r="T418">
        <f>IF(S418="","",IF(S418&gt;Settings!$B$4,"Yes","No"))</f>
        <v/>
      </c>
      <c r="U418">
        <f>IF(OR(G418="",B418=""),"",IF(COUNTIFS($G$3:$G$1002,SUBSTITUTE(SUBSTITUTE(G418,"?","~?"),"*","~*"),$B$3:$B$1002,"&lt;&gt;"&amp;SUBSTITUTE(SUBSTITUTE(B418,"?","~?"),"*","~*"),$B$3:$B$1002,"?*")&gt;0,"Yes","No"))</f>
        <v/>
      </c>
      <c r="V418">
        <f>IF(OR(G418="",I418="",O418="",O418="Unclassified"),"",IFERROR(INDEX(Settings!$E$5:$H$16,MATCH(I418,Settings!$D$5:$D$16,0),MATCH(O418,Settings!$E$4:$H$4,0)),"Check"))</f>
        <v/>
      </c>
      <c r="W418">
        <f>IF(V418="","",IF(V418="No","Yes","No"))</f>
        <v/>
      </c>
      <c r="X418">
        <f>IF(OR(E418="",G418=""),"",IF(LOWER(IF(RIGHT(TRIM(E418),1)="/",LEFT(TRIM(E418),LEN(TRIM(E418))-1),TRIM(E418)))&lt;&gt;LOWER(IF(RIGHT(TRIM(G418),1)="/",LEFT(TRIM(G418),LEN(TRIM(G418))-1),TRIM(G418))),"Yes","No"))</f>
        <v/>
      </c>
      <c r="Y418">
        <f>IF(A418="","",(N(Q418)&gt;0)+(T418="Yes")+(U418="Yes")+(W418="Yes")+(X418="Yes"))</f>
        <v/>
      </c>
      <c r="Z418">
        <f>IF(A418="","",IF(G418="","Not mapped",IF(Y418=0,"OK",MID(IF(N(Q418)&gt;0,"; Cannibalisation","")&amp;IF(T418="Yes","; Too many primary keywords on URL","")&amp;IF(U418="Yes","; URL spans 2+ clusters","")&amp;IF(W418="Yes","; Intent mismatch","")&amp;IF(X418="Yes","; Ranking URL is not the target",""),3,300))))</f>
        <v/>
      </c>
      <c r="AA418">
        <f>IF(G418="","",IF(COUNTIF($G$3:G418,SUBSTITUTE(SUBSTITUTE(G418,"?","~?"),"*","~*"))=1,MAX($AA$2:AA417)+1,""))</f>
        <v/>
      </c>
      <c r="AB418">
        <f>IF(B418="","",IF(COUNTIF($B$3:B418,SUBSTITUTE(SUBSTITUTE(B418,"?","~?"),"*","~*"))=1,MAX($AB$2:AB417)+1,""))</f>
        <v/>
      </c>
    </row>
    <row r="419">
      <c r="M419">
        <f>IF(A419="","",LOWER(TRIM(SUBSTITUTE(SUBSTITUTE(A419,"?",""),"*",""))))</f>
        <v/>
      </c>
      <c r="N419">
        <f>IF(M419="","",IF(SUMPRODUCT(ISNUMBER(SEARCH(" "&amp;Settings!$L$5:$L$124&amp;" "," "&amp;M419&amp;" "))*(Settings!$K$5:$K$124="Navigational")*(Settings!$L$5:$L$124&lt;&gt;""))&gt;0,"Navigational",IF(SUMPRODUCT(ISNUMBER(SEARCH(" "&amp;Settings!$L$5:$L$124&amp;" "," "&amp;M419&amp;" "))*(Settings!$K$5:$K$124="Transactional")*(Settings!$L$5:$L$124&lt;&gt;""))&gt;0,"Transactional",IF(SUMPRODUCT(ISNUMBER(SEARCH(" "&amp;Settings!$L$5:$L$124&amp;" "," "&amp;M419&amp;" "))*(Settings!$K$5:$K$124="Commercial")*(Settings!$L$5:$L$124&lt;&gt;""))&gt;0,"Commercial",IF(SUMPRODUCT(ISNUMBER(SEARCH(" "&amp;Settings!$L$5:$L$124&amp;" "," "&amp;M419&amp;" "))*(Settings!$K$5:$K$124="Informational")*(Settings!$L$5:$L$124&lt;&gt;""))&gt;0,"Informational","Unclassified")))))</f>
        <v/>
      </c>
      <c r="O419">
        <f>IF(A419="","",IF(K419&lt;&gt;"",PROPER(K419),N419))</f>
        <v/>
      </c>
      <c r="P419">
        <f>IF(A419="","",ROUND(Settings!$B$5*MIN(1,LOG10(N(C419)+1)/LOG10(Settings!$B$7+1))+Settings!$B$6*(1-MIN(100,IF(D419="",50,N(D419)))/100)+IFERROR(INDEX(Settings!$B$10:$B$14,MATCH(O419,Settings!$A$10:$A$14,0)),0),0))</f>
        <v/>
      </c>
      <c r="Q419">
        <f>IF(OR(A419="",G419=""),"",COUNTIFS($M$3:$M$1002,M419,$G$3:$G$1002,"&lt;&gt;"&amp;SUBSTITUTE(SUBSTITUTE(G419,"?","~?"),"*","~*"),$G$3:$G$1002,"?*"))</f>
        <v/>
      </c>
      <c r="R419">
        <f>IF(Q419="","",IF(Q419&gt;0,"Yes","No"))</f>
        <v/>
      </c>
      <c r="S419">
        <f>IF(G419="","",COUNTIFS($G$3:$G$1002,SUBSTITUTE(SUBSTITUTE(G419,"?","~?"),"*","~*"),$J$3:$J$1002,"Primary"))</f>
        <v/>
      </c>
      <c r="T419">
        <f>IF(S419="","",IF(S419&gt;Settings!$B$4,"Yes","No"))</f>
        <v/>
      </c>
      <c r="U419">
        <f>IF(OR(G419="",B419=""),"",IF(COUNTIFS($G$3:$G$1002,SUBSTITUTE(SUBSTITUTE(G419,"?","~?"),"*","~*"),$B$3:$B$1002,"&lt;&gt;"&amp;SUBSTITUTE(SUBSTITUTE(B419,"?","~?"),"*","~*"),$B$3:$B$1002,"?*")&gt;0,"Yes","No"))</f>
        <v/>
      </c>
      <c r="V419">
        <f>IF(OR(G419="",I419="",O419="",O419="Unclassified"),"",IFERROR(INDEX(Settings!$E$5:$H$16,MATCH(I419,Settings!$D$5:$D$16,0),MATCH(O419,Settings!$E$4:$H$4,0)),"Check"))</f>
        <v/>
      </c>
      <c r="W419">
        <f>IF(V419="","",IF(V419="No","Yes","No"))</f>
        <v/>
      </c>
      <c r="X419">
        <f>IF(OR(E419="",G419=""),"",IF(LOWER(IF(RIGHT(TRIM(E419),1)="/",LEFT(TRIM(E419),LEN(TRIM(E419))-1),TRIM(E419)))&lt;&gt;LOWER(IF(RIGHT(TRIM(G419),1)="/",LEFT(TRIM(G419),LEN(TRIM(G419))-1),TRIM(G419))),"Yes","No"))</f>
        <v/>
      </c>
      <c r="Y419">
        <f>IF(A419="","",(N(Q419)&gt;0)+(T419="Yes")+(U419="Yes")+(W419="Yes")+(X419="Yes"))</f>
        <v/>
      </c>
      <c r="Z419">
        <f>IF(A419="","",IF(G419="","Not mapped",IF(Y419=0,"OK",MID(IF(N(Q419)&gt;0,"; Cannibalisation","")&amp;IF(T419="Yes","; Too many primary keywords on URL","")&amp;IF(U419="Yes","; URL spans 2+ clusters","")&amp;IF(W419="Yes","; Intent mismatch","")&amp;IF(X419="Yes","; Ranking URL is not the target",""),3,300))))</f>
        <v/>
      </c>
      <c r="AA419">
        <f>IF(G419="","",IF(COUNTIF($G$3:G419,SUBSTITUTE(SUBSTITUTE(G419,"?","~?"),"*","~*"))=1,MAX($AA$2:AA418)+1,""))</f>
        <v/>
      </c>
      <c r="AB419">
        <f>IF(B419="","",IF(COUNTIF($B$3:B419,SUBSTITUTE(SUBSTITUTE(B419,"?","~?"),"*","~*"))=1,MAX($AB$2:AB418)+1,""))</f>
        <v/>
      </c>
    </row>
    <row r="420">
      <c r="M420">
        <f>IF(A420="","",LOWER(TRIM(SUBSTITUTE(SUBSTITUTE(A420,"?",""),"*",""))))</f>
        <v/>
      </c>
      <c r="N420">
        <f>IF(M420="","",IF(SUMPRODUCT(ISNUMBER(SEARCH(" "&amp;Settings!$L$5:$L$124&amp;" "," "&amp;M420&amp;" "))*(Settings!$K$5:$K$124="Navigational")*(Settings!$L$5:$L$124&lt;&gt;""))&gt;0,"Navigational",IF(SUMPRODUCT(ISNUMBER(SEARCH(" "&amp;Settings!$L$5:$L$124&amp;" "," "&amp;M420&amp;" "))*(Settings!$K$5:$K$124="Transactional")*(Settings!$L$5:$L$124&lt;&gt;""))&gt;0,"Transactional",IF(SUMPRODUCT(ISNUMBER(SEARCH(" "&amp;Settings!$L$5:$L$124&amp;" "," "&amp;M420&amp;" "))*(Settings!$K$5:$K$124="Commercial")*(Settings!$L$5:$L$124&lt;&gt;""))&gt;0,"Commercial",IF(SUMPRODUCT(ISNUMBER(SEARCH(" "&amp;Settings!$L$5:$L$124&amp;" "," "&amp;M420&amp;" "))*(Settings!$K$5:$K$124="Informational")*(Settings!$L$5:$L$124&lt;&gt;""))&gt;0,"Informational","Unclassified")))))</f>
        <v/>
      </c>
      <c r="O420">
        <f>IF(A420="","",IF(K420&lt;&gt;"",PROPER(K420),N420))</f>
        <v/>
      </c>
      <c r="P420">
        <f>IF(A420="","",ROUND(Settings!$B$5*MIN(1,LOG10(N(C420)+1)/LOG10(Settings!$B$7+1))+Settings!$B$6*(1-MIN(100,IF(D420="",50,N(D420)))/100)+IFERROR(INDEX(Settings!$B$10:$B$14,MATCH(O420,Settings!$A$10:$A$14,0)),0),0))</f>
        <v/>
      </c>
      <c r="Q420">
        <f>IF(OR(A420="",G420=""),"",COUNTIFS($M$3:$M$1002,M420,$G$3:$G$1002,"&lt;&gt;"&amp;SUBSTITUTE(SUBSTITUTE(G420,"?","~?"),"*","~*"),$G$3:$G$1002,"?*"))</f>
        <v/>
      </c>
      <c r="R420">
        <f>IF(Q420="","",IF(Q420&gt;0,"Yes","No"))</f>
        <v/>
      </c>
      <c r="S420">
        <f>IF(G420="","",COUNTIFS($G$3:$G$1002,SUBSTITUTE(SUBSTITUTE(G420,"?","~?"),"*","~*"),$J$3:$J$1002,"Primary"))</f>
        <v/>
      </c>
      <c r="T420">
        <f>IF(S420="","",IF(S420&gt;Settings!$B$4,"Yes","No"))</f>
        <v/>
      </c>
      <c r="U420">
        <f>IF(OR(G420="",B420=""),"",IF(COUNTIFS($G$3:$G$1002,SUBSTITUTE(SUBSTITUTE(G420,"?","~?"),"*","~*"),$B$3:$B$1002,"&lt;&gt;"&amp;SUBSTITUTE(SUBSTITUTE(B420,"?","~?"),"*","~*"),$B$3:$B$1002,"?*")&gt;0,"Yes","No"))</f>
        <v/>
      </c>
      <c r="V420">
        <f>IF(OR(G420="",I420="",O420="",O420="Unclassified"),"",IFERROR(INDEX(Settings!$E$5:$H$16,MATCH(I420,Settings!$D$5:$D$16,0),MATCH(O420,Settings!$E$4:$H$4,0)),"Check"))</f>
        <v/>
      </c>
      <c r="W420">
        <f>IF(V420="","",IF(V420="No","Yes","No"))</f>
        <v/>
      </c>
      <c r="X420">
        <f>IF(OR(E420="",G420=""),"",IF(LOWER(IF(RIGHT(TRIM(E420),1)="/",LEFT(TRIM(E420),LEN(TRIM(E420))-1),TRIM(E420)))&lt;&gt;LOWER(IF(RIGHT(TRIM(G420),1)="/",LEFT(TRIM(G420),LEN(TRIM(G420))-1),TRIM(G420))),"Yes","No"))</f>
        <v/>
      </c>
      <c r="Y420">
        <f>IF(A420="","",(N(Q420)&gt;0)+(T420="Yes")+(U420="Yes")+(W420="Yes")+(X420="Yes"))</f>
        <v/>
      </c>
      <c r="Z420">
        <f>IF(A420="","",IF(G420="","Not mapped",IF(Y420=0,"OK",MID(IF(N(Q420)&gt;0,"; Cannibalisation","")&amp;IF(T420="Yes","; Too many primary keywords on URL","")&amp;IF(U420="Yes","; URL spans 2+ clusters","")&amp;IF(W420="Yes","; Intent mismatch","")&amp;IF(X420="Yes","; Ranking URL is not the target",""),3,300))))</f>
        <v/>
      </c>
      <c r="AA420">
        <f>IF(G420="","",IF(COUNTIF($G$3:G420,SUBSTITUTE(SUBSTITUTE(G420,"?","~?"),"*","~*"))=1,MAX($AA$2:AA419)+1,""))</f>
        <v/>
      </c>
      <c r="AB420">
        <f>IF(B420="","",IF(COUNTIF($B$3:B420,SUBSTITUTE(SUBSTITUTE(B420,"?","~?"),"*","~*"))=1,MAX($AB$2:AB419)+1,""))</f>
        <v/>
      </c>
    </row>
    <row r="421">
      <c r="M421">
        <f>IF(A421="","",LOWER(TRIM(SUBSTITUTE(SUBSTITUTE(A421,"?",""),"*",""))))</f>
        <v/>
      </c>
      <c r="N421">
        <f>IF(M421="","",IF(SUMPRODUCT(ISNUMBER(SEARCH(" "&amp;Settings!$L$5:$L$124&amp;" "," "&amp;M421&amp;" "))*(Settings!$K$5:$K$124="Navigational")*(Settings!$L$5:$L$124&lt;&gt;""))&gt;0,"Navigational",IF(SUMPRODUCT(ISNUMBER(SEARCH(" "&amp;Settings!$L$5:$L$124&amp;" "," "&amp;M421&amp;" "))*(Settings!$K$5:$K$124="Transactional")*(Settings!$L$5:$L$124&lt;&gt;""))&gt;0,"Transactional",IF(SUMPRODUCT(ISNUMBER(SEARCH(" "&amp;Settings!$L$5:$L$124&amp;" "," "&amp;M421&amp;" "))*(Settings!$K$5:$K$124="Commercial")*(Settings!$L$5:$L$124&lt;&gt;""))&gt;0,"Commercial",IF(SUMPRODUCT(ISNUMBER(SEARCH(" "&amp;Settings!$L$5:$L$124&amp;" "," "&amp;M421&amp;" "))*(Settings!$K$5:$K$124="Informational")*(Settings!$L$5:$L$124&lt;&gt;""))&gt;0,"Informational","Unclassified")))))</f>
        <v/>
      </c>
      <c r="O421">
        <f>IF(A421="","",IF(K421&lt;&gt;"",PROPER(K421),N421))</f>
        <v/>
      </c>
      <c r="P421">
        <f>IF(A421="","",ROUND(Settings!$B$5*MIN(1,LOG10(N(C421)+1)/LOG10(Settings!$B$7+1))+Settings!$B$6*(1-MIN(100,IF(D421="",50,N(D421)))/100)+IFERROR(INDEX(Settings!$B$10:$B$14,MATCH(O421,Settings!$A$10:$A$14,0)),0),0))</f>
        <v/>
      </c>
      <c r="Q421">
        <f>IF(OR(A421="",G421=""),"",COUNTIFS($M$3:$M$1002,M421,$G$3:$G$1002,"&lt;&gt;"&amp;SUBSTITUTE(SUBSTITUTE(G421,"?","~?"),"*","~*"),$G$3:$G$1002,"?*"))</f>
        <v/>
      </c>
      <c r="R421">
        <f>IF(Q421="","",IF(Q421&gt;0,"Yes","No"))</f>
        <v/>
      </c>
      <c r="S421">
        <f>IF(G421="","",COUNTIFS($G$3:$G$1002,SUBSTITUTE(SUBSTITUTE(G421,"?","~?"),"*","~*"),$J$3:$J$1002,"Primary"))</f>
        <v/>
      </c>
      <c r="T421">
        <f>IF(S421="","",IF(S421&gt;Settings!$B$4,"Yes","No"))</f>
        <v/>
      </c>
      <c r="U421">
        <f>IF(OR(G421="",B421=""),"",IF(COUNTIFS($G$3:$G$1002,SUBSTITUTE(SUBSTITUTE(G421,"?","~?"),"*","~*"),$B$3:$B$1002,"&lt;&gt;"&amp;SUBSTITUTE(SUBSTITUTE(B421,"?","~?"),"*","~*"),$B$3:$B$1002,"?*")&gt;0,"Yes","No"))</f>
        <v/>
      </c>
      <c r="V421">
        <f>IF(OR(G421="",I421="",O421="",O421="Unclassified"),"",IFERROR(INDEX(Settings!$E$5:$H$16,MATCH(I421,Settings!$D$5:$D$16,0),MATCH(O421,Settings!$E$4:$H$4,0)),"Check"))</f>
        <v/>
      </c>
      <c r="W421">
        <f>IF(V421="","",IF(V421="No","Yes","No"))</f>
        <v/>
      </c>
      <c r="X421">
        <f>IF(OR(E421="",G421=""),"",IF(LOWER(IF(RIGHT(TRIM(E421),1)="/",LEFT(TRIM(E421),LEN(TRIM(E421))-1),TRIM(E421)))&lt;&gt;LOWER(IF(RIGHT(TRIM(G421),1)="/",LEFT(TRIM(G421),LEN(TRIM(G421))-1),TRIM(G421))),"Yes","No"))</f>
        <v/>
      </c>
      <c r="Y421">
        <f>IF(A421="","",(N(Q421)&gt;0)+(T421="Yes")+(U421="Yes")+(W421="Yes")+(X421="Yes"))</f>
        <v/>
      </c>
      <c r="Z421">
        <f>IF(A421="","",IF(G421="","Not mapped",IF(Y421=0,"OK",MID(IF(N(Q421)&gt;0,"; Cannibalisation","")&amp;IF(T421="Yes","; Too many primary keywords on URL","")&amp;IF(U421="Yes","; URL spans 2+ clusters","")&amp;IF(W421="Yes","; Intent mismatch","")&amp;IF(X421="Yes","; Ranking URL is not the target",""),3,300))))</f>
        <v/>
      </c>
      <c r="AA421">
        <f>IF(G421="","",IF(COUNTIF($G$3:G421,SUBSTITUTE(SUBSTITUTE(G421,"?","~?"),"*","~*"))=1,MAX($AA$2:AA420)+1,""))</f>
        <v/>
      </c>
      <c r="AB421">
        <f>IF(B421="","",IF(COUNTIF($B$3:B421,SUBSTITUTE(SUBSTITUTE(B421,"?","~?"),"*","~*"))=1,MAX($AB$2:AB420)+1,""))</f>
        <v/>
      </c>
    </row>
    <row r="422">
      <c r="M422">
        <f>IF(A422="","",LOWER(TRIM(SUBSTITUTE(SUBSTITUTE(A422,"?",""),"*",""))))</f>
        <v/>
      </c>
      <c r="N422">
        <f>IF(M422="","",IF(SUMPRODUCT(ISNUMBER(SEARCH(" "&amp;Settings!$L$5:$L$124&amp;" "," "&amp;M422&amp;" "))*(Settings!$K$5:$K$124="Navigational")*(Settings!$L$5:$L$124&lt;&gt;""))&gt;0,"Navigational",IF(SUMPRODUCT(ISNUMBER(SEARCH(" "&amp;Settings!$L$5:$L$124&amp;" "," "&amp;M422&amp;" "))*(Settings!$K$5:$K$124="Transactional")*(Settings!$L$5:$L$124&lt;&gt;""))&gt;0,"Transactional",IF(SUMPRODUCT(ISNUMBER(SEARCH(" "&amp;Settings!$L$5:$L$124&amp;" "," "&amp;M422&amp;" "))*(Settings!$K$5:$K$124="Commercial")*(Settings!$L$5:$L$124&lt;&gt;""))&gt;0,"Commercial",IF(SUMPRODUCT(ISNUMBER(SEARCH(" "&amp;Settings!$L$5:$L$124&amp;" "," "&amp;M422&amp;" "))*(Settings!$K$5:$K$124="Informational")*(Settings!$L$5:$L$124&lt;&gt;""))&gt;0,"Informational","Unclassified")))))</f>
        <v/>
      </c>
      <c r="O422">
        <f>IF(A422="","",IF(K422&lt;&gt;"",PROPER(K422),N422))</f>
        <v/>
      </c>
      <c r="P422">
        <f>IF(A422="","",ROUND(Settings!$B$5*MIN(1,LOG10(N(C422)+1)/LOG10(Settings!$B$7+1))+Settings!$B$6*(1-MIN(100,IF(D422="",50,N(D422)))/100)+IFERROR(INDEX(Settings!$B$10:$B$14,MATCH(O422,Settings!$A$10:$A$14,0)),0),0))</f>
        <v/>
      </c>
      <c r="Q422">
        <f>IF(OR(A422="",G422=""),"",COUNTIFS($M$3:$M$1002,M422,$G$3:$G$1002,"&lt;&gt;"&amp;SUBSTITUTE(SUBSTITUTE(G422,"?","~?"),"*","~*"),$G$3:$G$1002,"?*"))</f>
        <v/>
      </c>
      <c r="R422">
        <f>IF(Q422="","",IF(Q422&gt;0,"Yes","No"))</f>
        <v/>
      </c>
      <c r="S422">
        <f>IF(G422="","",COUNTIFS($G$3:$G$1002,SUBSTITUTE(SUBSTITUTE(G422,"?","~?"),"*","~*"),$J$3:$J$1002,"Primary"))</f>
        <v/>
      </c>
      <c r="T422">
        <f>IF(S422="","",IF(S422&gt;Settings!$B$4,"Yes","No"))</f>
        <v/>
      </c>
      <c r="U422">
        <f>IF(OR(G422="",B422=""),"",IF(COUNTIFS($G$3:$G$1002,SUBSTITUTE(SUBSTITUTE(G422,"?","~?"),"*","~*"),$B$3:$B$1002,"&lt;&gt;"&amp;SUBSTITUTE(SUBSTITUTE(B422,"?","~?"),"*","~*"),$B$3:$B$1002,"?*")&gt;0,"Yes","No"))</f>
        <v/>
      </c>
      <c r="V422">
        <f>IF(OR(G422="",I422="",O422="",O422="Unclassified"),"",IFERROR(INDEX(Settings!$E$5:$H$16,MATCH(I422,Settings!$D$5:$D$16,0),MATCH(O422,Settings!$E$4:$H$4,0)),"Check"))</f>
        <v/>
      </c>
      <c r="W422">
        <f>IF(V422="","",IF(V422="No","Yes","No"))</f>
        <v/>
      </c>
      <c r="X422">
        <f>IF(OR(E422="",G422=""),"",IF(LOWER(IF(RIGHT(TRIM(E422),1)="/",LEFT(TRIM(E422),LEN(TRIM(E422))-1),TRIM(E422)))&lt;&gt;LOWER(IF(RIGHT(TRIM(G422),1)="/",LEFT(TRIM(G422),LEN(TRIM(G422))-1),TRIM(G422))),"Yes","No"))</f>
        <v/>
      </c>
      <c r="Y422">
        <f>IF(A422="","",(N(Q422)&gt;0)+(T422="Yes")+(U422="Yes")+(W422="Yes")+(X422="Yes"))</f>
        <v/>
      </c>
      <c r="Z422">
        <f>IF(A422="","",IF(G422="","Not mapped",IF(Y422=0,"OK",MID(IF(N(Q422)&gt;0,"; Cannibalisation","")&amp;IF(T422="Yes","; Too many primary keywords on URL","")&amp;IF(U422="Yes","; URL spans 2+ clusters","")&amp;IF(W422="Yes","; Intent mismatch","")&amp;IF(X422="Yes","; Ranking URL is not the target",""),3,300))))</f>
        <v/>
      </c>
      <c r="AA422">
        <f>IF(G422="","",IF(COUNTIF($G$3:G422,SUBSTITUTE(SUBSTITUTE(G422,"?","~?"),"*","~*"))=1,MAX($AA$2:AA421)+1,""))</f>
        <v/>
      </c>
      <c r="AB422">
        <f>IF(B422="","",IF(COUNTIF($B$3:B422,SUBSTITUTE(SUBSTITUTE(B422,"?","~?"),"*","~*"))=1,MAX($AB$2:AB421)+1,""))</f>
        <v/>
      </c>
    </row>
    <row r="423">
      <c r="M423">
        <f>IF(A423="","",LOWER(TRIM(SUBSTITUTE(SUBSTITUTE(A423,"?",""),"*",""))))</f>
        <v/>
      </c>
      <c r="N423">
        <f>IF(M423="","",IF(SUMPRODUCT(ISNUMBER(SEARCH(" "&amp;Settings!$L$5:$L$124&amp;" "," "&amp;M423&amp;" "))*(Settings!$K$5:$K$124="Navigational")*(Settings!$L$5:$L$124&lt;&gt;""))&gt;0,"Navigational",IF(SUMPRODUCT(ISNUMBER(SEARCH(" "&amp;Settings!$L$5:$L$124&amp;" "," "&amp;M423&amp;" "))*(Settings!$K$5:$K$124="Transactional")*(Settings!$L$5:$L$124&lt;&gt;""))&gt;0,"Transactional",IF(SUMPRODUCT(ISNUMBER(SEARCH(" "&amp;Settings!$L$5:$L$124&amp;" "," "&amp;M423&amp;" "))*(Settings!$K$5:$K$124="Commercial")*(Settings!$L$5:$L$124&lt;&gt;""))&gt;0,"Commercial",IF(SUMPRODUCT(ISNUMBER(SEARCH(" "&amp;Settings!$L$5:$L$124&amp;" "," "&amp;M423&amp;" "))*(Settings!$K$5:$K$124="Informational")*(Settings!$L$5:$L$124&lt;&gt;""))&gt;0,"Informational","Unclassified")))))</f>
        <v/>
      </c>
      <c r="O423">
        <f>IF(A423="","",IF(K423&lt;&gt;"",PROPER(K423),N423))</f>
        <v/>
      </c>
      <c r="P423">
        <f>IF(A423="","",ROUND(Settings!$B$5*MIN(1,LOG10(N(C423)+1)/LOG10(Settings!$B$7+1))+Settings!$B$6*(1-MIN(100,IF(D423="",50,N(D423)))/100)+IFERROR(INDEX(Settings!$B$10:$B$14,MATCH(O423,Settings!$A$10:$A$14,0)),0),0))</f>
        <v/>
      </c>
      <c r="Q423">
        <f>IF(OR(A423="",G423=""),"",COUNTIFS($M$3:$M$1002,M423,$G$3:$G$1002,"&lt;&gt;"&amp;SUBSTITUTE(SUBSTITUTE(G423,"?","~?"),"*","~*"),$G$3:$G$1002,"?*"))</f>
        <v/>
      </c>
      <c r="R423">
        <f>IF(Q423="","",IF(Q423&gt;0,"Yes","No"))</f>
        <v/>
      </c>
      <c r="S423">
        <f>IF(G423="","",COUNTIFS($G$3:$G$1002,SUBSTITUTE(SUBSTITUTE(G423,"?","~?"),"*","~*"),$J$3:$J$1002,"Primary"))</f>
        <v/>
      </c>
      <c r="T423">
        <f>IF(S423="","",IF(S423&gt;Settings!$B$4,"Yes","No"))</f>
        <v/>
      </c>
      <c r="U423">
        <f>IF(OR(G423="",B423=""),"",IF(COUNTIFS($G$3:$G$1002,SUBSTITUTE(SUBSTITUTE(G423,"?","~?"),"*","~*"),$B$3:$B$1002,"&lt;&gt;"&amp;SUBSTITUTE(SUBSTITUTE(B423,"?","~?"),"*","~*"),$B$3:$B$1002,"?*")&gt;0,"Yes","No"))</f>
        <v/>
      </c>
      <c r="V423">
        <f>IF(OR(G423="",I423="",O423="",O423="Unclassified"),"",IFERROR(INDEX(Settings!$E$5:$H$16,MATCH(I423,Settings!$D$5:$D$16,0),MATCH(O423,Settings!$E$4:$H$4,0)),"Check"))</f>
        <v/>
      </c>
      <c r="W423">
        <f>IF(V423="","",IF(V423="No","Yes","No"))</f>
        <v/>
      </c>
      <c r="X423">
        <f>IF(OR(E423="",G423=""),"",IF(LOWER(IF(RIGHT(TRIM(E423),1)="/",LEFT(TRIM(E423),LEN(TRIM(E423))-1),TRIM(E423)))&lt;&gt;LOWER(IF(RIGHT(TRIM(G423),1)="/",LEFT(TRIM(G423),LEN(TRIM(G423))-1),TRIM(G423))),"Yes","No"))</f>
        <v/>
      </c>
      <c r="Y423">
        <f>IF(A423="","",(N(Q423)&gt;0)+(T423="Yes")+(U423="Yes")+(W423="Yes")+(X423="Yes"))</f>
        <v/>
      </c>
      <c r="Z423">
        <f>IF(A423="","",IF(G423="","Not mapped",IF(Y423=0,"OK",MID(IF(N(Q423)&gt;0,"; Cannibalisation","")&amp;IF(T423="Yes","; Too many primary keywords on URL","")&amp;IF(U423="Yes","; URL spans 2+ clusters","")&amp;IF(W423="Yes","; Intent mismatch","")&amp;IF(X423="Yes","; Ranking URL is not the target",""),3,300))))</f>
        <v/>
      </c>
      <c r="AA423">
        <f>IF(G423="","",IF(COUNTIF($G$3:G423,SUBSTITUTE(SUBSTITUTE(G423,"?","~?"),"*","~*"))=1,MAX($AA$2:AA422)+1,""))</f>
        <v/>
      </c>
      <c r="AB423">
        <f>IF(B423="","",IF(COUNTIF($B$3:B423,SUBSTITUTE(SUBSTITUTE(B423,"?","~?"),"*","~*"))=1,MAX($AB$2:AB422)+1,""))</f>
        <v/>
      </c>
    </row>
    <row r="424">
      <c r="M424">
        <f>IF(A424="","",LOWER(TRIM(SUBSTITUTE(SUBSTITUTE(A424,"?",""),"*",""))))</f>
        <v/>
      </c>
      <c r="N424">
        <f>IF(M424="","",IF(SUMPRODUCT(ISNUMBER(SEARCH(" "&amp;Settings!$L$5:$L$124&amp;" "," "&amp;M424&amp;" "))*(Settings!$K$5:$K$124="Navigational")*(Settings!$L$5:$L$124&lt;&gt;""))&gt;0,"Navigational",IF(SUMPRODUCT(ISNUMBER(SEARCH(" "&amp;Settings!$L$5:$L$124&amp;" "," "&amp;M424&amp;" "))*(Settings!$K$5:$K$124="Transactional")*(Settings!$L$5:$L$124&lt;&gt;""))&gt;0,"Transactional",IF(SUMPRODUCT(ISNUMBER(SEARCH(" "&amp;Settings!$L$5:$L$124&amp;" "," "&amp;M424&amp;" "))*(Settings!$K$5:$K$124="Commercial")*(Settings!$L$5:$L$124&lt;&gt;""))&gt;0,"Commercial",IF(SUMPRODUCT(ISNUMBER(SEARCH(" "&amp;Settings!$L$5:$L$124&amp;" "," "&amp;M424&amp;" "))*(Settings!$K$5:$K$124="Informational")*(Settings!$L$5:$L$124&lt;&gt;""))&gt;0,"Informational","Unclassified")))))</f>
        <v/>
      </c>
      <c r="O424">
        <f>IF(A424="","",IF(K424&lt;&gt;"",PROPER(K424),N424))</f>
        <v/>
      </c>
      <c r="P424">
        <f>IF(A424="","",ROUND(Settings!$B$5*MIN(1,LOG10(N(C424)+1)/LOG10(Settings!$B$7+1))+Settings!$B$6*(1-MIN(100,IF(D424="",50,N(D424)))/100)+IFERROR(INDEX(Settings!$B$10:$B$14,MATCH(O424,Settings!$A$10:$A$14,0)),0),0))</f>
        <v/>
      </c>
      <c r="Q424">
        <f>IF(OR(A424="",G424=""),"",COUNTIFS($M$3:$M$1002,M424,$G$3:$G$1002,"&lt;&gt;"&amp;SUBSTITUTE(SUBSTITUTE(G424,"?","~?"),"*","~*"),$G$3:$G$1002,"?*"))</f>
        <v/>
      </c>
      <c r="R424">
        <f>IF(Q424="","",IF(Q424&gt;0,"Yes","No"))</f>
        <v/>
      </c>
      <c r="S424">
        <f>IF(G424="","",COUNTIFS($G$3:$G$1002,SUBSTITUTE(SUBSTITUTE(G424,"?","~?"),"*","~*"),$J$3:$J$1002,"Primary"))</f>
        <v/>
      </c>
      <c r="T424">
        <f>IF(S424="","",IF(S424&gt;Settings!$B$4,"Yes","No"))</f>
        <v/>
      </c>
      <c r="U424">
        <f>IF(OR(G424="",B424=""),"",IF(COUNTIFS($G$3:$G$1002,SUBSTITUTE(SUBSTITUTE(G424,"?","~?"),"*","~*"),$B$3:$B$1002,"&lt;&gt;"&amp;SUBSTITUTE(SUBSTITUTE(B424,"?","~?"),"*","~*"),$B$3:$B$1002,"?*")&gt;0,"Yes","No"))</f>
        <v/>
      </c>
      <c r="V424">
        <f>IF(OR(G424="",I424="",O424="",O424="Unclassified"),"",IFERROR(INDEX(Settings!$E$5:$H$16,MATCH(I424,Settings!$D$5:$D$16,0),MATCH(O424,Settings!$E$4:$H$4,0)),"Check"))</f>
        <v/>
      </c>
      <c r="W424">
        <f>IF(V424="","",IF(V424="No","Yes","No"))</f>
        <v/>
      </c>
      <c r="X424">
        <f>IF(OR(E424="",G424=""),"",IF(LOWER(IF(RIGHT(TRIM(E424),1)="/",LEFT(TRIM(E424),LEN(TRIM(E424))-1),TRIM(E424)))&lt;&gt;LOWER(IF(RIGHT(TRIM(G424),1)="/",LEFT(TRIM(G424),LEN(TRIM(G424))-1),TRIM(G424))),"Yes","No"))</f>
        <v/>
      </c>
      <c r="Y424">
        <f>IF(A424="","",(N(Q424)&gt;0)+(T424="Yes")+(U424="Yes")+(W424="Yes")+(X424="Yes"))</f>
        <v/>
      </c>
      <c r="Z424">
        <f>IF(A424="","",IF(G424="","Not mapped",IF(Y424=0,"OK",MID(IF(N(Q424)&gt;0,"; Cannibalisation","")&amp;IF(T424="Yes","; Too many primary keywords on URL","")&amp;IF(U424="Yes","; URL spans 2+ clusters","")&amp;IF(W424="Yes","; Intent mismatch","")&amp;IF(X424="Yes","; Ranking URL is not the target",""),3,300))))</f>
        <v/>
      </c>
      <c r="AA424">
        <f>IF(G424="","",IF(COUNTIF($G$3:G424,SUBSTITUTE(SUBSTITUTE(G424,"?","~?"),"*","~*"))=1,MAX($AA$2:AA423)+1,""))</f>
        <v/>
      </c>
      <c r="AB424">
        <f>IF(B424="","",IF(COUNTIF($B$3:B424,SUBSTITUTE(SUBSTITUTE(B424,"?","~?"),"*","~*"))=1,MAX($AB$2:AB423)+1,""))</f>
        <v/>
      </c>
    </row>
    <row r="425">
      <c r="M425">
        <f>IF(A425="","",LOWER(TRIM(SUBSTITUTE(SUBSTITUTE(A425,"?",""),"*",""))))</f>
        <v/>
      </c>
      <c r="N425">
        <f>IF(M425="","",IF(SUMPRODUCT(ISNUMBER(SEARCH(" "&amp;Settings!$L$5:$L$124&amp;" "," "&amp;M425&amp;" "))*(Settings!$K$5:$K$124="Navigational")*(Settings!$L$5:$L$124&lt;&gt;""))&gt;0,"Navigational",IF(SUMPRODUCT(ISNUMBER(SEARCH(" "&amp;Settings!$L$5:$L$124&amp;" "," "&amp;M425&amp;" "))*(Settings!$K$5:$K$124="Transactional")*(Settings!$L$5:$L$124&lt;&gt;""))&gt;0,"Transactional",IF(SUMPRODUCT(ISNUMBER(SEARCH(" "&amp;Settings!$L$5:$L$124&amp;" "," "&amp;M425&amp;" "))*(Settings!$K$5:$K$124="Commercial")*(Settings!$L$5:$L$124&lt;&gt;""))&gt;0,"Commercial",IF(SUMPRODUCT(ISNUMBER(SEARCH(" "&amp;Settings!$L$5:$L$124&amp;" "," "&amp;M425&amp;" "))*(Settings!$K$5:$K$124="Informational")*(Settings!$L$5:$L$124&lt;&gt;""))&gt;0,"Informational","Unclassified")))))</f>
        <v/>
      </c>
      <c r="O425">
        <f>IF(A425="","",IF(K425&lt;&gt;"",PROPER(K425),N425))</f>
        <v/>
      </c>
      <c r="P425">
        <f>IF(A425="","",ROUND(Settings!$B$5*MIN(1,LOG10(N(C425)+1)/LOG10(Settings!$B$7+1))+Settings!$B$6*(1-MIN(100,IF(D425="",50,N(D425)))/100)+IFERROR(INDEX(Settings!$B$10:$B$14,MATCH(O425,Settings!$A$10:$A$14,0)),0),0))</f>
        <v/>
      </c>
      <c r="Q425">
        <f>IF(OR(A425="",G425=""),"",COUNTIFS($M$3:$M$1002,M425,$G$3:$G$1002,"&lt;&gt;"&amp;SUBSTITUTE(SUBSTITUTE(G425,"?","~?"),"*","~*"),$G$3:$G$1002,"?*"))</f>
        <v/>
      </c>
      <c r="R425">
        <f>IF(Q425="","",IF(Q425&gt;0,"Yes","No"))</f>
        <v/>
      </c>
      <c r="S425">
        <f>IF(G425="","",COUNTIFS($G$3:$G$1002,SUBSTITUTE(SUBSTITUTE(G425,"?","~?"),"*","~*"),$J$3:$J$1002,"Primary"))</f>
        <v/>
      </c>
      <c r="T425">
        <f>IF(S425="","",IF(S425&gt;Settings!$B$4,"Yes","No"))</f>
        <v/>
      </c>
      <c r="U425">
        <f>IF(OR(G425="",B425=""),"",IF(COUNTIFS($G$3:$G$1002,SUBSTITUTE(SUBSTITUTE(G425,"?","~?"),"*","~*"),$B$3:$B$1002,"&lt;&gt;"&amp;SUBSTITUTE(SUBSTITUTE(B425,"?","~?"),"*","~*"),$B$3:$B$1002,"?*")&gt;0,"Yes","No"))</f>
        <v/>
      </c>
      <c r="V425">
        <f>IF(OR(G425="",I425="",O425="",O425="Unclassified"),"",IFERROR(INDEX(Settings!$E$5:$H$16,MATCH(I425,Settings!$D$5:$D$16,0),MATCH(O425,Settings!$E$4:$H$4,0)),"Check"))</f>
        <v/>
      </c>
      <c r="W425">
        <f>IF(V425="","",IF(V425="No","Yes","No"))</f>
        <v/>
      </c>
      <c r="X425">
        <f>IF(OR(E425="",G425=""),"",IF(LOWER(IF(RIGHT(TRIM(E425),1)="/",LEFT(TRIM(E425),LEN(TRIM(E425))-1),TRIM(E425)))&lt;&gt;LOWER(IF(RIGHT(TRIM(G425),1)="/",LEFT(TRIM(G425),LEN(TRIM(G425))-1),TRIM(G425))),"Yes","No"))</f>
        <v/>
      </c>
      <c r="Y425">
        <f>IF(A425="","",(N(Q425)&gt;0)+(T425="Yes")+(U425="Yes")+(W425="Yes")+(X425="Yes"))</f>
        <v/>
      </c>
      <c r="Z425">
        <f>IF(A425="","",IF(G425="","Not mapped",IF(Y425=0,"OK",MID(IF(N(Q425)&gt;0,"; Cannibalisation","")&amp;IF(T425="Yes","; Too many primary keywords on URL","")&amp;IF(U425="Yes","; URL spans 2+ clusters","")&amp;IF(W425="Yes","; Intent mismatch","")&amp;IF(X425="Yes","; Ranking URL is not the target",""),3,300))))</f>
        <v/>
      </c>
      <c r="AA425">
        <f>IF(G425="","",IF(COUNTIF($G$3:G425,SUBSTITUTE(SUBSTITUTE(G425,"?","~?"),"*","~*"))=1,MAX($AA$2:AA424)+1,""))</f>
        <v/>
      </c>
      <c r="AB425">
        <f>IF(B425="","",IF(COUNTIF($B$3:B425,SUBSTITUTE(SUBSTITUTE(B425,"?","~?"),"*","~*"))=1,MAX($AB$2:AB424)+1,""))</f>
        <v/>
      </c>
    </row>
    <row r="426">
      <c r="M426">
        <f>IF(A426="","",LOWER(TRIM(SUBSTITUTE(SUBSTITUTE(A426,"?",""),"*",""))))</f>
        <v/>
      </c>
      <c r="N426">
        <f>IF(M426="","",IF(SUMPRODUCT(ISNUMBER(SEARCH(" "&amp;Settings!$L$5:$L$124&amp;" "," "&amp;M426&amp;" "))*(Settings!$K$5:$K$124="Navigational")*(Settings!$L$5:$L$124&lt;&gt;""))&gt;0,"Navigational",IF(SUMPRODUCT(ISNUMBER(SEARCH(" "&amp;Settings!$L$5:$L$124&amp;" "," "&amp;M426&amp;" "))*(Settings!$K$5:$K$124="Transactional")*(Settings!$L$5:$L$124&lt;&gt;""))&gt;0,"Transactional",IF(SUMPRODUCT(ISNUMBER(SEARCH(" "&amp;Settings!$L$5:$L$124&amp;" "," "&amp;M426&amp;" "))*(Settings!$K$5:$K$124="Commercial")*(Settings!$L$5:$L$124&lt;&gt;""))&gt;0,"Commercial",IF(SUMPRODUCT(ISNUMBER(SEARCH(" "&amp;Settings!$L$5:$L$124&amp;" "," "&amp;M426&amp;" "))*(Settings!$K$5:$K$124="Informational")*(Settings!$L$5:$L$124&lt;&gt;""))&gt;0,"Informational","Unclassified")))))</f>
        <v/>
      </c>
      <c r="O426">
        <f>IF(A426="","",IF(K426&lt;&gt;"",PROPER(K426),N426))</f>
        <v/>
      </c>
      <c r="P426">
        <f>IF(A426="","",ROUND(Settings!$B$5*MIN(1,LOG10(N(C426)+1)/LOG10(Settings!$B$7+1))+Settings!$B$6*(1-MIN(100,IF(D426="",50,N(D426)))/100)+IFERROR(INDEX(Settings!$B$10:$B$14,MATCH(O426,Settings!$A$10:$A$14,0)),0),0))</f>
        <v/>
      </c>
      <c r="Q426">
        <f>IF(OR(A426="",G426=""),"",COUNTIFS($M$3:$M$1002,M426,$G$3:$G$1002,"&lt;&gt;"&amp;SUBSTITUTE(SUBSTITUTE(G426,"?","~?"),"*","~*"),$G$3:$G$1002,"?*"))</f>
        <v/>
      </c>
      <c r="R426">
        <f>IF(Q426="","",IF(Q426&gt;0,"Yes","No"))</f>
        <v/>
      </c>
      <c r="S426">
        <f>IF(G426="","",COUNTIFS($G$3:$G$1002,SUBSTITUTE(SUBSTITUTE(G426,"?","~?"),"*","~*"),$J$3:$J$1002,"Primary"))</f>
        <v/>
      </c>
      <c r="T426">
        <f>IF(S426="","",IF(S426&gt;Settings!$B$4,"Yes","No"))</f>
        <v/>
      </c>
      <c r="U426">
        <f>IF(OR(G426="",B426=""),"",IF(COUNTIFS($G$3:$G$1002,SUBSTITUTE(SUBSTITUTE(G426,"?","~?"),"*","~*"),$B$3:$B$1002,"&lt;&gt;"&amp;SUBSTITUTE(SUBSTITUTE(B426,"?","~?"),"*","~*"),$B$3:$B$1002,"?*")&gt;0,"Yes","No"))</f>
        <v/>
      </c>
      <c r="V426">
        <f>IF(OR(G426="",I426="",O426="",O426="Unclassified"),"",IFERROR(INDEX(Settings!$E$5:$H$16,MATCH(I426,Settings!$D$5:$D$16,0),MATCH(O426,Settings!$E$4:$H$4,0)),"Check"))</f>
        <v/>
      </c>
      <c r="W426">
        <f>IF(V426="","",IF(V426="No","Yes","No"))</f>
        <v/>
      </c>
      <c r="X426">
        <f>IF(OR(E426="",G426=""),"",IF(LOWER(IF(RIGHT(TRIM(E426),1)="/",LEFT(TRIM(E426),LEN(TRIM(E426))-1),TRIM(E426)))&lt;&gt;LOWER(IF(RIGHT(TRIM(G426),1)="/",LEFT(TRIM(G426),LEN(TRIM(G426))-1),TRIM(G426))),"Yes","No"))</f>
        <v/>
      </c>
      <c r="Y426">
        <f>IF(A426="","",(N(Q426)&gt;0)+(T426="Yes")+(U426="Yes")+(W426="Yes")+(X426="Yes"))</f>
        <v/>
      </c>
      <c r="Z426">
        <f>IF(A426="","",IF(G426="","Not mapped",IF(Y426=0,"OK",MID(IF(N(Q426)&gt;0,"; Cannibalisation","")&amp;IF(T426="Yes","; Too many primary keywords on URL","")&amp;IF(U426="Yes","; URL spans 2+ clusters","")&amp;IF(W426="Yes","; Intent mismatch","")&amp;IF(X426="Yes","; Ranking URL is not the target",""),3,300))))</f>
        <v/>
      </c>
      <c r="AA426">
        <f>IF(G426="","",IF(COUNTIF($G$3:G426,SUBSTITUTE(SUBSTITUTE(G426,"?","~?"),"*","~*"))=1,MAX($AA$2:AA425)+1,""))</f>
        <v/>
      </c>
      <c r="AB426">
        <f>IF(B426="","",IF(COUNTIF($B$3:B426,SUBSTITUTE(SUBSTITUTE(B426,"?","~?"),"*","~*"))=1,MAX($AB$2:AB425)+1,""))</f>
        <v/>
      </c>
    </row>
    <row r="427">
      <c r="M427">
        <f>IF(A427="","",LOWER(TRIM(SUBSTITUTE(SUBSTITUTE(A427,"?",""),"*",""))))</f>
        <v/>
      </c>
      <c r="N427">
        <f>IF(M427="","",IF(SUMPRODUCT(ISNUMBER(SEARCH(" "&amp;Settings!$L$5:$L$124&amp;" "," "&amp;M427&amp;" "))*(Settings!$K$5:$K$124="Navigational")*(Settings!$L$5:$L$124&lt;&gt;""))&gt;0,"Navigational",IF(SUMPRODUCT(ISNUMBER(SEARCH(" "&amp;Settings!$L$5:$L$124&amp;" "," "&amp;M427&amp;" "))*(Settings!$K$5:$K$124="Transactional")*(Settings!$L$5:$L$124&lt;&gt;""))&gt;0,"Transactional",IF(SUMPRODUCT(ISNUMBER(SEARCH(" "&amp;Settings!$L$5:$L$124&amp;" "," "&amp;M427&amp;" "))*(Settings!$K$5:$K$124="Commercial")*(Settings!$L$5:$L$124&lt;&gt;""))&gt;0,"Commercial",IF(SUMPRODUCT(ISNUMBER(SEARCH(" "&amp;Settings!$L$5:$L$124&amp;" "," "&amp;M427&amp;" "))*(Settings!$K$5:$K$124="Informational")*(Settings!$L$5:$L$124&lt;&gt;""))&gt;0,"Informational","Unclassified")))))</f>
        <v/>
      </c>
      <c r="O427">
        <f>IF(A427="","",IF(K427&lt;&gt;"",PROPER(K427),N427))</f>
        <v/>
      </c>
      <c r="P427">
        <f>IF(A427="","",ROUND(Settings!$B$5*MIN(1,LOG10(N(C427)+1)/LOG10(Settings!$B$7+1))+Settings!$B$6*(1-MIN(100,IF(D427="",50,N(D427)))/100)+IFERROR(INDEX(Settings!$B$10:$B$14,MATCH(O427,Settings!$A$10:$A$14,0)),0),0))</f>
        <v/>
      </c>
      <c r="Q427">
        <f>IF(OR(A427="",G427=""),"",COUNTIFS($M$3:$M$1002,M427,$G$3:$G$1002,"&lt;&gt;"&amp;SUBSTITUTE(SUBSTITUTE(G427,"?","~?"),"*","~*"),$G$3:$G$1002,"?*"))</f>
        <v/>
      </c>
      <c r="R427">
        <f>IF(Q427="","",IF(Q427&gt;0,"Yes","No"))</f>
        <v/>
      </c>
      <c r="S427">
        <f>IF(G427="","",COUNTIFS($G$3:$G$1002,SUBSTITUTE(SUBSTITUTE(G427,"?","~?"),"*","~*"),$J$3:$J$1002,"Primary"))</f>
        <v/>
      </c>
      <c r="T427">
        <f>IF(S427="","",IF(S427&gt;Settings!$B$4,"Yes","No"))</f>
        <v/>
      </c>
      <c r="U427">
        <f>IF(OR(G427="",B427=""),"",IF(COUNTIFS($G$3:$G$1002,SUBSTITUTE(SUBSTITUTE(G427,"?","~?"),"*","~*"),$B$3:$B$1002,"&lt;&gt;"&amp;SUBSTITUTE(SUBSTITUTE(B427,"?","~?"),"*","~*"),$B$3:$B$1002,"?*")&gt;0,"Yes","No"))</f>
        <v/>
      </c>
      <c r="V427">
        <f>IF(OR(G427="",I427="",O427="",O427="Unclassified"),"",IFERROR(INDEX(Settings!$E$5:$H$16,MATCH(I427,Settings!$D$5:$D$16,0),MATCH(O427,Settings!$E$4:$H$4,0)),"Check"))</f>
        <v/>
      </c>
      <c r="W427">
        <f>IF(V427="","",IF(V427="No","Yes","No"))</f>
        <v/>
      </c>
      <c r="X427">
        <f>IF(OR(E427="",G427=""),"",IF(LOWER(IF(RIGHT(TRIM(E427),1)="/",LEFT(TRIM(E427),LEN(TRIM(E427))-1),TRIM(E427)))&lt;&gt;LOWER(IF(RIGHT(TRIM(G427),1)="/",LEFT(TRIM(G427),LEN(TRIM(G427))-1),TRIM(G427))),"Yes","No"))</f>
        <v/>
      </c>
      <c r="Y427">
        <f>IF(A427="","",(N(Q427)&gt;0)+(T427="Yes")+(U427="Yes")+(W427="Yes")+(X427="Yes"))</f>
        <v/>
      </c>
      <c r="Z427">
        <f>IF(A427="","",IF(G427="","Not mapped",IF(Y427=0,"OK",MID(IF(N(Q427)&gt;0,"; Cannibalisation","")&amp;IF(T427="Yes","; Too many primary keywords on URL","")&amp;IF(U427="Yes","; URL spans 2+ clusters","")&amp;IF(W427="Yes","; Intent mismatch","")&amp;IF(X427="Yes","; Ranking URL is not the target",""),3,300))))</f>
        <v/>
      </c>
      <c r="AA427">
        <f>IF(G427="","",IF(COUNTIF($G$3:G427,SUBSTITUTE(SUBSTITUTE(G427,"?","~?"),"*","~*"))=1,MAX($AA$2:AA426)+1,""))</f>
        <v/>
      </c>
      <c r="AB427">
        <f>IF(B427="","",IF(COUNTIF($B$3:B427,SUBSTITUTE(SUBSTITUTE(B427,"?","~?"),"*","~*"))=1,MAX($AB$2:AB426)+1,""))</f>
        <v/>
      </c>
    </row>
    <row r="428">
      <c r="M428">
        <f>IF(A428="","",LOWER(TRIM(SUBSTITUTE(SUBSTITUTE(A428,"?",""),"*",""))))</f>
        <v/>
      </c>
      <c r="N428">
        <f>IF(M428="","",IF(SUMPRODUCT(ISNUMBER(SEARCH(" "&amp;Settings!$L$5:$L$124&amp;" "," "&amp;M428&amp;" "))*(Settings!$K$5:$K$124="Navigational")*(Settings!$L$5:$L$124&lt;&gt;""))&gt;0,"Navigational",IF(SUMPRODUCT(ISNUMBER(SEARCH(" "&amp;Settings!$L$5:$L$124&amp;" "," "&amp;M428&amp;" "))*(Settings!$K$5:$K$124="Transactional")*(Settings!$L$5:$L$124&lt;&gt;""))&gt;0,"Transactional",IF(SUMPRODUCT(ISNUMBER(SEARCH(" "&amp;Settings!$L$5:$L$124&amp;" "," "&amp;M428&amp;" "))*(Settings!$K$5:$K$124="Commercial")*(Settings!$L$5:$L$124&lt;&gt;""))&gt;0,"Commercial",IF(SUMPRODUCT(ISNUMBER(SEARCH(" "&amp;Settings!$L$5:$L$124&amp;" "," "&amp;M428&amp;" "))*(Settings!$K$5:$K$124="Informational")*(Settings!$L$5:$L$124&lt;&gt;""))&gt;0,"Informational","Unclassified")))))</f>
        <v/>
      </c>
      <c r="O428">
        <f>IF(A428="","",IF(K428&lt;&gt;"",PROPER(K428),N428))</f>
        <v/>
      </c>
      <c r="P428">
        <f>IF(A428="","",ROUND(Settings!$B$5*MIN(1,LOG10(N(C428)+1)/LOG10(Settings!$B$7+1))+Settings!$B$6*(1-MIN(100,IF(D428="",50,N(D428)))/100)+IFERROR(INDEX(Settings!$B$10:$B$14,MATCH(O428,Settings!$A$10:$A$14,0)),0),0))</f>
        <v/>
      </c>
      <c r="Q428">
        <f>IF(OR(A428="",G428=""),"",COUNTIFS($M$3:$M$1002,M428,$G$3:$G$1002,"&lt;&gt;"&amp;SUBSTITUTE(SUBSTITUTE(G428,"?","~?"),"*","~*"),$G$3:$G$1002,"?*"))</f>
        <v/>
      </c>
      <c r="R428">
        <f>IF(Q428="","",IF(Q428&gt;0,"Yes","No"))</f>
        <v/>
      </c>
      <c r="S428">
        <f>IF(G428="","",COUNTIFS($G$3:$G$1002,SUBSTITUTE(SUBSTITUTE(G428,"?","~?"),"*","~*"),$J$3:$J$1002,"Primary"))</f>
        <v/>
      </c>
      <c r="T428">
        <f>IF(S428="","",IF(S428&gt;Settings!$B$4,"Yes","No"))</f>
        <v/>
      </c>
      <c r="U428">
        <f>IF(OR(G428="",B428=""),"",IF(COUNTIFS($G$3:$G$1002,SUBSTITUTE(SUBSTITUTE(G428,"?","~?"),"*","~*"),$B$3:$B$1002,"&lt;&gt;"&amp;SUBSTITUTE(SUBSTITUTE(B428,"?","~?"),"*","~*"),$B$3:$B$1002,"?*")&gt;0,"Yes","No"))</f>
        <v/>
      </c>
      <c r="V428">
        <f>IF(OR(G428="",I428="",O428="",O428="Unclassified"),"",IFERROR(INDEX(Settings!$E$5:$H$16,MATCH(I428,Settings!$D$5:$D$16,0),MATCH(O428,Settings!$E$4:$H$4,0)),"Check"))</f>
        <v/>
      </c>
      <c r="W428">
        <f>IF(V428="","",IF(V428="No","Yes","No"))</f>
        <v/>
      </c>
      <c r="X428">
        <f>IF(OR(E428="",G428=""),"",IF(LOWER(IF(RIGHT(TRIM(E428),1)="/",LEFT(TRIM(E428),LEN(TRIM(E428))-1),TRIM(E428)))&lt;&gt;LOWER(IF(RIGHT(TRIM(G428),1)="/",LEFT(TRIM(G428),LEN(TRIM(G428))-1),TRIM(G428))),"Yes","No"))</f>
        <v/>
      </c>
      <c r="Y428">
        <f>IF(A428="","",(N(Q428)&gt;0)+(T428="Yes")+(U428="Yes")+(W428="Yes")+(X428="Yes"))</f>
        <v/>
      </c>
      <c r="Z428">
        <f>IF(A428="","",IF(G428="","Not mapped",IF(Y428=0,"OK",MID(IF(N(Q428)&gt;0,"; Cannibalisation","")&amp;IF(T428="Yes","; Too many primary keywords on URL","")&amp;IF(U428="Yes","; URL spans 2+ clusters","")&amp;IF(W428="Yes","; Intent mismatch","")&amp;IF(X428="Yes","; Ranking URL is not the target",""),3,300))))</f>
        <v/>
      </c>
      <c r="AA428">
        <f>IF(G428="","",IF(COUNTIF($G$3:G428,SUBSTITUTE(SUBSTITUTE(G428,"?","~?"),"*","~*"))=1,MAX($AA$2:AA427)+1,""))</f>
        <v/>
      </c>
      <c r="AB428">
        <f>IF(B428="","",IF(COUNTIF($B$3:B428,SUBSTITUTE(SUBSTITUTE(B428,"?","~?"),"*","~*"))=1,MAX($AB$2:AB427)+1,""))</f>
        <v/>
      </c>
    </row>
    <row r="429">
      <c r="M429">
        <f>IF(A429="","",LOWER(TRIM(SUBSTITUTE(SUBSTITUTE(A429,"?",""),"*",""))))</f>
        <v/>
      </c>
      <c r="N429">
        <f>IF(M429="","",IF(SUMPRODUCT(ISNUMBER(SEARCH(" "&amp;Settings!$L$5:$L$124&amp;" "," "&amp;M429&amp;" "))*(Settings!$K$5:$K$124="Navigational")*(Settings!$L$5:$L$124&lt;&gt;""))&gt;0,"Navigational",IF(SUMPRODUCT(ISNUMBER(SEARCH(" "&amp;Settings!$L$5:$L$124&amp;" "," "&amp;M429&amp;" "))*(Settings!$K$5:$K$124="Transactional")*(Settings!$L$5:$L$124&lt;&gt;""))&gt;0,"Transactional",IF(SUMPRODUCT(ISNUMBER(SEARCH(" "&amp;Settings!$L$5:$L$124&amp;" "," "&amp;M429&amp;" "))*(Settings!$K$5:$K$124="Commercial")*(Settings!$L$5:$L$124&lt;&gt;""))&gt;0,"Commercial",IF(SUMPRODUCT(ISNUMBER(SEARCH(" "&amp;Settings!$L$5:$L$124&amp;" "," "&amp;M429&amp;" "))*(Settings!$K$5:$K$124="Informational")*(Settings!$L$5:$L$124&lt;&gt;""))&gt;0,"Informational","Unclassified")))))</f>
        <v/>
      </c>
      <c r="O429">
        <f>IF(A429="","",IF(K429&lt;&gt;"",PROPER(K429),N429))</f>
        <v/>
      </c>
      <c r="P429">
        <f>IF(A429="","",ROUND(Settings!$B$5*MIN(1,LOG10(N(C429)+1)/LOG10(Settings!$B$7+1))+Settings!$B$6*(1-MIN(100,IF(D429="",50,N(D429)))/100)+IFERROR(INDEX(Settings!$B$10:$B$14,MATCH(O429,Settings!$A$10:$A$14,0)),0),0))</f>
        <v/>
      </c>
      <c r="Q429">
        <f>IF(OR(A429="",G429=""),"",COUNTIFS($M$3:$M$1002,M429,$G$3:$G$1002,"&lt;&gt;"&amp;SUBSTITUTE(SUBSTITUTE(G429,"?","~?"),"*","~*"),$G$3:$G$1002,"?*"))</f>
        <v/>
      </c>
      <c r="R429">
        <f>IF(Q429="","",IF(Q429&gt;0,"Yes","No"))</f>
        <v/>
      </c>
      <c r="S429">
        <f>IF(G429="","",COUNTIFS($G$3:$G$1002,SUBSTITUTE(SUBSTITUTE(G429,"?","~?"),"*","~*"),$J$3:$J$1002,"Primary"))</f>
        <v/>
      </c>
      <c r="T429">
        <f>IF(S429="","",IF(S429&gt;Settings!$B$4,"Yes","No"))</f>
        <v/>
      </c>
      <c r="U429">
        <f>IF(OR(G429="",B429=""),"",IF(COUNTIFS($G$3:$G$1002,SUBSTITUTE(SUBSTITUTE(G429,"?","~?"),"*","~*"),$B$3:$B$1002,"&lt;&gt;"&amp;SUBSTITUTE(SUBSTITUTE(B429,"?","~?"),"*","~*"),$B$3:$B$1002,"?*")&gt;0,"Yes","No"))</f>
        <v/>
      </c>
      <c r="V429">
        <f>IF(OR(G429="",I429="",O429="",O429="Unclassified"),"",IFERROR(INDEX(Settings!$E$5:$H$16,MATCH(I429,Settings!$D$5:$D$16,0),MATCH(O429,Settings!$E$4:$H$4,0)),"Check"))</f>
        <v/>
      </c>
      <c r="W429">
        <f>IF(V429="","",IF(V429="No","Yes","No"))</f>
        <v/>
      </c>
      <c r="X429">
        <f>IF(OR(E429="",G429=""),"",IF(LOWER(IF(RIGHT(TRIM(E429),1)="/",LEFT(TRIM(E429),LEN(TRIM(E429))-1),TRIM(E429)))&lt;&gt;LOWER(IF(RIGHT(TRIM(G429),1)="/",LEFT(TRIM(G429),LEN(TRIM(G429))-1),TRIM(G429))),"Yes","No"))</f>
        <v/>
      </c>
      <c r="Y429">
        <f>IF(A429="","",(N(Q429)&gt;0)+(T429="Yes")+(U429="Yes")+(W429="Yes")+(X429="Yes"))</f>
        <v/>
      </c>
      <c r="Z429">
        <f>IF(A429="","",IF(G429="","Not mapped",IF(Y429=0,"OK",MID(IF(N(Q429)&gt;0,"; Cannibalisation","")&amp;IF(T429="Yes","; Too many primary keywords on URL","")&amp;IF(U429="Yes","; URL spans 2+ clusters","")&amp;IF(W429="Yes","; Intent mismatch","")&amp;IF(X429="Yes","; Ranking URL is not the target",""),3,300))))</f>
        <v/>
      </c>
      <c r="AA429">
        <f>IF(G429="","",IF(COUNTIF($G$3:G429,SUBSTITUTE(SUBSTITUTE(G429,"?","~?"),"*","~*"))=1,MAX($AA$2:AA428)+1,""))</f>
        <v/>
      </c>
      <c r="AB429">
        <f>IF(B429="","",IF(COUNTIF($B$3:B429,SUBSTITUTE(SUBSTITUTE(B429,"?","~?"),"*","~*"))=1,MAX($AB$2:AB428)+1,""))</f>
        <v/>
      </c>
    </row>
    <row r="430">
      <c r="M430">
        <f>IF(A430="","",LOWER(TRIM(SUBSTITUTE(SUBSTITUTE(A430,"?",""),"*",""))))</f>
        <v/>
      </c>
      <c r="N430">
        <f>IF(M430="","",IF(SUMPRODUCT(ISNUMBER(SEARCH(" "&amp;Settings!$L$5:$L$124&amp;" "," "&amp;M430&amp;" "))*(Settings!$K$5:$K$124="Navigational")*(Settings!$L$5:$L$124&lt;&gt;""))&gt;0,"Navigational",IF(SUMPRODUCT(ISNUMBER(SEARCH(" "&amp;Settings!$L$5:$L$124&amp;" "," "&amp;M430&amp;" "))*(Settings!$K$5:$K$124="Transactional")*(Settings!$L$5:$L$124&lt;&gt;""))&gt;0,"Transactional",IF(SUMPRODUCT(ISNUMBER(SEARCH(" "&amp;Settings!$L$5:$L$124&amp;" "," "&amp;M430&amp;" "))*(Settings!$K$5:$K$124="Commercial")*(Settings!$L$5:$L$124&lt;&gt;""))&gt;0,"Commercial",IF(SUMPRODUCT(ISNUMBER(SEARCH(" "&amp;Settings!$L$5:$L$124&amp;" "," "&amp;M430&amp;" "))*(Settings!$K$5:$K$124="Informational")*(Settings!$L$5:$L$124&lt;&gt;""))&gt;0,"Informational","Unclassified")))))</f>
        <v/>
      </c>
      <c r="O430">
        <f>IF(A430="","",IF(K430&lt;&gt;"",PROPER(K430),N430))</f>
        <v/>
      </c>
      <c r="P430">
        <f>IF(A430="","",ROUND(Settings!$B$5*MIN(1,LOG10(N(C430)+1)/LOG10(Settings!$B$7+1))+Settings!$B$6*(1-MIN(100,IF(D430="",50,N(D430)))/100)+IFERROR(INDEX(Settings!$B$10:$B$14,MATCH(O430,Settings!$A$10:$A$14,0)),0),0))</f>
        <v/>
      </c>
      <c r="Q430">
        <f>IF(OR(A430="",G430=""),"",COUNTIFS($M$3:$M$1002,M430,$G$3:$G$1002,"&lt;&gt;"&amp;SUBSTITUTE(SUBSTITUTE(G430,"?","~?"),"*","~*"),$G$3:$G$1002,"?*"))</f>
        <v/>
      </c>
      <c r="R430">
        <f>IF(Q430="","",IF(Q430&gt;0,"Yes","No"))</f>
        <v/>
      </c>
      <c r="S430">
        <f>IF(G430="","",COUNTIFS($G$3:$G$1002,SUBSTITUTE(SUBSTITUTE(G430,"?","~?"),"*","~*"),$J$3:$J$1002,"Primary"))</f>
        <v/>
      </c>
      <c r="T430">
        <f>IF(S430="","",IF(S430&gt;Settings!$B$4,"Yes","No"))</f>
        <v/>
      </c>
      <c r="U430">
        <f>IF(OR(G430="",B430=""),"",IF(COUNTIFS($G$3:$G$1002,SUBSTITUTE(SUBSTITUTE(G430,"?","~?"),"*","~*"),$B$3:$B$1002,"&lt;&gt;"&amp;SUBSTITUTE(SUBSTITUTE(B430,"?","~?"),"*","~*"),$B$3:$B$1002,"?*")&gt;0,"Yes","No"))</f>
        <v/>
      </c>
      <c r="V430">
        <f>IF(OR(G430="",I430="",O430="",O430="Unclassified"),"",IFERROR(INDEX(Settings!$E$5:$H$16,MATCH(I430,Settings!$D$5:$D$16,0),MATCH(O430,Settings!$E$4:$H$4,0)),"Check"))</f>
        <v/>
      </c>
      <c r="W430">
        <f>IF(V430="","",IF(V430="No","Yes","No"))</f>
        <v/>
      </c>
      <c r="X430">
        <f>IF(OR(E430="",G430=""),"",IF(LOWER(IF(RIGHT(TRIM(E430),1)="/",LEFT(TRIM(E430),LEN(TRIM(E430))-1),TRIM(E430)))&lt;&gt;LOWER(IF(RIGHT(TRIM(G430),1)="/",LEFT(TRIM(G430),LEN(TRIM(G430))-1),TRIM(G430))),"Yes","No"))</f>
        <v/>
      </c>
      <c r="Y430">
        <f>IF(A430="","",(N(Q430)&gt;0)+(T430="Yes")+(U430="Yes")+(W430="Yes")+(X430="Yes"))</f>
        <v/>
      </c>
      <c r="Z430">
        <f>IF(A430="","",IF(G430="","Not mapped",IF(Y430=0,"OK",MID(IF(N(Q430)&gt;0,"; Cannibalisation","")&amp;IF(T430="Yes","; Too many primary keywords on URL","")&amp;IF(U430="Yes","; URL spans 2+ clusters","")&amp;IF(W430="Yes","; Intent mismatch","")&amp;IF(X430="Yes","; Ranking URL is not the target",""),3,300))))</f>
        <v/>
      </c>
      <c r="AA430">
        <f>IF(G430="","",IF(COUNTIF($G$3:G430,SUBSTITUTE(SUBSTITUTE(G430,"?","~?"),"*","~*"))=1,MAX($AA$2:AA429)+1,""))</f>
        <v/>
      </c>
      <c r="AB430">
        <f>IF(B430="","",IF(COUNTIF($B$3:B430,SUBSTITUTE(SUBSTITUTE(B430,"?","~?"),"*","~*"))=1,MAX($AB$2:AB429)+1,""))</f>
        <v/>
      </c>
    </row>
    <row r="431">
      <c r="M431">
        <f>IF(A431="","",LOWER(TRIM(SUBSTITUTE(SUBSTITUTE(A431,"?",""),"*",""))))</f>
        <v/>
      </c>
      <c r="N431">
        <f>IF(M431="","",IF(SUMPRODUCT(ISNUMBER(SEARCH(" "&amp;Settings!$L$5:$L$124&amp;" "," "&amp;M431&amp;" "))*(Settings!$K$5:$K$124="Navigational")*(Settings!$L$5:$L$124&lt;&gt;""))&gt;0,"Navigational",IF(SUMPRODUCT(ISNUMBER(SEARCH(" "&amp;Settings!$L$5:$L$124&amp;" "," "&amp;M431&amp;" "))*(Settings!$K$5:$K$124="Transactional")*(Settings!$L$5:$L$124&lt;&gt;""))&gt;0,"Transactional",IF(SUMPRODUCT(ISNUMBER(SEARCH(" "&amp;Settings!$L$5:$L$124&amp;" "," "&amp;M431&amp;" "))*(Settings!$K$5:$K$124="Commercial")*(Settings!$L$5:$L$124&lt;&gt;""))&gt;0,"Commercial",IF(SUMPRODUCT(ISNUMBER(SEARCH(" "&amp;Settings!$L$5:$L$124&amp;" "," "&amp;M431&amp;" "))*(Settings!$K$5:$K$124="Informational")*(Settings!$L$5:$L$124&lt;&gt;""))&gt;0,"Informational","Unclassified")))))</f>
        <v/>
      </c>
      <c r="O431">
        <f>IF(A431="","",IF(K431&lt;&gt;"",PROPER(K431),N431))</f>
        <v/>
      </c>
      <c r="P431">
        <f>IF(A431="","",ROUND(Settings!$B$5*MIN(1,LOG10(N(C431)+1)/LOG10(Settings!$B$7+1))+Settings!$B$6*(1-MIN(100,IF(D431="",50,N(D431)))/100)+IFERROR(INDEX(Settings!$B$10:$B$14,MATCH(O431,Settings!$A$10:$A$14,0)),0),0))</f>
        <v/>
      </c>
      <c r="Q431">
        <f>IF(OR(A431="",G431=""),"",COUNTIFS($M$3:$M$1002,M431,$G$3:$G$1002,"&lt;&gt;"&amp;SUBSTITUTE(SUBSTITUTE(G431,"?","~?"),"*","~*"),$G$3:$G$1002,"?*"))</f>
        <v/>
      </c>
      <c r="R431">
        <f>IF(Q431="","",IF(Q431&gt;0,"Yes","No"))</f>
        <v/>
      </c>
      <c r="S431">
        <f>IF(G431="","",COUNTIFS($G$3:$G$1002,SUBSTITUTE(SUBSTITUTE(G431,"?","~?"),"*","~*"),$J$3:$J$1002,"Primary"))</f>
        <v/>
      </c>
      <c r="T431">
        <f>IF(S431="","",IF(S431&gt;Settings!$B$4,"Yes","No"))</f>
        <v/>
      </c>
      <c r="U431">
        <f>IF(OR(G431="",B431=""),"",IF(COUNTIFS($G$3:$G$1002,SUBSTITUTE(SUBSTITUTE(G431,"?","~?"),"*","~*"),$B$3:$B$1002,"&lt;&gt;"&amp;SUBSTITUTE(SUBSTITUTE(B431,"?","~?"),"*","~*"),$B$3:$B$1002,"?*")&gt;0,"Yes","No"))</f>
        <v/>
      </c>
      <c r="V431">
        <f>IF(OR(G431="",I431="",O431="",O431="Unclassified"),"",IFERROR(INDEX(Settings!$E$5:$H$16,MATCH(I431,Settings!$D$5:$D$16,0),MATCH(O431,Settings!$E$4:$H$4,0)),"Check"))</f>
        <v/>
      </c>
      <c r="W431">
        <f>IF(V431="","",IF(V431="No","Yes","No"))</f>
        <v/>
      </c>
      <c r="X431">
        <f>IF(OR(E431="",G431=""),"",IF(LOWER(IF(RIGHT(TRIM(E431),1)="/",LEFT(TRIM(E431),LEN(TRIM(E431))-1),TRIM(E431)))&lt;&gt;LOWER(IF(RIGHT(TRIM(G431),1)="/",LEFT(TRIM(G431),LEN(TRIM(G431))-1),TRIM(G431))),"Yes","No"))</f>
        <v/>
      </c>
      <c r="Y431">
        <f>IF(A431="","",(N(Q431)&gt;0)+(T431="Yes")+(U431="Yes")+(W431="Yes")+(X431="Yes"))</f>
        <v/>
      </c>
      <c r="Z431">
        <f>IF(A431="","",IF(G431="","Not mapped",IF(Y431=0,"OK",MID(IF(N(Q431)&gt;0,"; Cannibalisation","")&amp;IF(T431="Yes","; Too many primary keywords on URL","")&amp;IF(U431="Yes","; URL spans 2+ clusters","")&amp;IF(W431="Yes","; Intent mismatch","")&amp;IF(X431="Yes","; Ranking URL is not the target",""),3,300))))</f>
        <v/>
      </c>
      <c r="AA431">
        <f>IF(G431="","",IF(COUNTIF($G$3:G431,SUBSTITUTE(SUBSTITUTE(G431,"?","~?"),"*","~*"))=1,MAX($AA$2:AA430)+1,""))</f>
        <v/>
      </c>
      <c r="AB431">
        <f>IF(B431="","",IF(COUNTIF($B$3:B431,SUBSTITUTE(SUBSTITUTE(B431,"?","~?"),"*","~*"))=1,MAX($AB$2:AB430)+1,""))</f>
        <v/>
      </c>
    </row>
    <row r="432">
      <c r="M432">
        <f>IF(A432="","",LOWER(TRIM(SUBSTITUTE(SUBSTITUTE(A432,"?",""),"*",""))))</f>
        <v/>
      </c>
      <c r="N432">
        <f>IF(M432="","",IF(SUMPRODUCT(ISNUMBER(SEARCH(" "&amp;Settings!$L$5:$L$124&amp;" "," "&amp;M432&amp;" "))*(Settings!$K$5:$K$124="Navigational")*(Settings!$L$5:$L$124&lt;&gt;""))&gt;0,"Navigational",IF(SUMPRODUCT(ISNUMBER(SEARCH(" "&amp;Settings!$L$5:$L$124&amp;" "," "&amp;M432&amp;" "))*(Settings!$K$5:$K$124="Transactional")*(Settings!$L$5:$L$124&lt;&gt;""))&gt;0,"Transactional",IF(SUMPRODUCT(ISNUMBER(SEARCH(" "&amp;Settings!$L$5:$L$124&amp;" "," "&amp;M432&amp;" "))*(Settings!$K$5:$K$124="Commercial")*(Settings!$L$5:$L$124&lt;&gt;""))&gt;0,"Commercial",IF(SUMPRODUCT(ISNUMBER(SEARCH(" "&amp;Settings!$L$5:$L$124&amp;" "," "&amp;M432&amp;" "))*(Settings!$K$5:$K$124="Informational")*(Settings!$L$5:$L$124&lt;&gt;""))&gt;0,"Informational","Unclassified")))))</f>
        <v/>
      </c>
      <c r="O432">
        <f>IF(A432="","",IF(K432&lt;&gt;"",PROPER(K432),N432))</f>
        <v/>
      </c>
      <c r="P432">
        <f>IF(A432="","",ROUND(Settings!$B$5*MIN(1,LOG10(N(C432)+1)/LOG10(Settings!$B$7+1))+Settings!$B$6*(1-MIN(100,IF(D432="",50,N(D432)))/100)+IFERROR(INDEX(Settings!$B$10:$B$14,MATCH(O432,Settings!$A$10:$A$14,0)),0),0))</f>
        <v/>
      </c>
      <c r="Q432">
        <f>IF(OR(A432="",G432=""),"",COUNTIFS($M$3:$M$1002,M432,$G$3:$G$1002,"&lt;&gt;"&amp;SUBSTITUTE(SUBSTITUTE(G432,"?","~?"),"*","~*"),$G$3:$G$1002,"?*"))</f>
        <v/>
      </c>
      <c r="R432">
        <f>IF(Q432="","",IF(Q432&gt;0,"Yes","No"))</f>
        <v/>
      </c>
      <c r="S432">
        <f>IF(G432="","",COUNTIFS($G$3:$G$1002,SUBSTITUTE(SUBSTITUTE(G432,"?","~?"),"*","~*"),$J$3:$J$1002,"Primary"))</f>
        <v/>
      </c>
      <c r="T432">
        <f>IF(S432="","",IF(S432&gt;Settings!$B$4,"Yes","No"))</f>
        <v/>
      </c>
      <c r="U432">
        <f>IF(OR(G432="",B432=""),"",IF(COUNTIFS($G$3:$G$1002,SUBSTITUTE(SUBSTITUTE(G432,"?","~?"),"*","~*"),$B$3:$B$1002,"&lt;&gt;"&amp;SUBSTITUTE(SUBSTITUTE(B432,"?","~?"),"*","~*"),$B$3:$B$1002,"?*")&gt;0,"Yes","No"))</f>
        <v/>
      </c>
      <c r="V432">
        <f>IF(OR(G432="",I432="",O432="",O432="Unclassified"),"",IFERROR(INDEX(Settings!$E$5:$H$16,MATCH(I432,Settings!$D$5:$D$16,0),MATCH(O432,Settings!$E$4:$H$4,0)),"Check"))</f>
        <v/>
      </c>
      <c r="W432">
        <f>IF(V432="","",IF(V432="No","Yes","No"))</f>
        <v/>
      </c>
      <c r="X432">
        <f>IF(OR(E432="",G432=""),"",IF(LOWER(IF(RIGHT(TRIM(E432),1)="/",LEFT(TRIM(E432),LEN(TRIM(E432))-1),TRIM(E432)))&lt;&gt;LOWER(IF(RIGHT(TRIM(G432),1)="/",LEFT(TRIM(G432),LEN(TRIM(G432))-1),TRIM(G432))),"Yes","No"))</f>
        <v/>
      </c>
      <c r="Y432">
        <f>IF(A432="","",(N(Q432)&gt;0)+(T432="Yes")+(U432="Yes")+(W432="Yes")+(X432="Yes"))</f>
        <v/>
      </c>
      <c r="Z432">
        <f>IF(A432="","",IF(G432="","Not mapped",IF(Y432=0,"OK",MID(IF(N(Q432)&gt;0,"; Cannibalisation","")&amp;IF(T432="Yes","; Too many primary keywords on URL","")&amp;IF(U432="Yes","; URL spans 2+ clusters","")&amp;IF(W432="Yes","; Intent mismatch","")&amp;IF(X432="Yes","; Ranking URL is not the target",""),3,300))))</f>
        <v/>
      </c>
      <c r="AA432">
        <f>IF(G432="","",IF(COUNTIF($G$3:G432,SUBSTITUTE(SUBSTITUTE(G432,"?","~?"),"*","~*"))=1,MAX($AA$2:AA431)+1,""))</f>
        <v/>
      </c>
      <c r="AB432">
        <f>IF(B432="","",IF(COUNTIF($B$3:B432,SUBSTITUTE(SUBSTITUTE(B432,"?","~?"),"*","~*"))=1,MAX($AB$2:AB431)+1,""))</f>
        <v/>
      </c>
    </row>
    <row r="433">
      <c r="M433">
        <f>IF(A433="","",LOWER(TRIM(SUBSTITUTE(SUBSTITUTE(A433,"?",""),"*",""))))</f>
        <v/>
      </c>
      <c r="N433">
        <f>IF(M433="","",IF(SUMPRODUCT(ISNUMBER(SEARCH(" "&amp;Settings!$L$5:$L$124&amp;" "," "&amp;M433&amp;" "))*(Settings!$K$5:$K$124="Navigational")*(Settings!$L$5:$L$124&lt;&gt;""))&gt;0,"Navigational",IF(SUMPRODUCT(ISNUMBER(SEARCH(" "&amp;Settings!$L$5:$L$124&amp;" "," "&amp;M433&amp;" "))*(Settings!$K$5:$K$124="Transactional")*(Settings!$L$5:$L$124&lt;&gt;""))&gt;0,"Transactional",IF(SUMPRODUCT(ISNUMBER(SEARCH(" "&amp;Settings!$L$5:$L$124&amp;" "," "&amp;M433&amp;" "))*(Settings!$K$5:$K$124="Commercial")*(Settings!$L$5:$L$124&lt;&gt;""))&gt;0,"Commercial",IF(SUMPRODUCT(ISNUMBER(SEARCH(" "&amp;Settings!$L$5:$L$124&amp;" "," "&amp;M433&amp;" "))*(Settings!$K$5:$K$124="Informational")*(Settings!$L$5:$L$124&lt;&gt;""))&gt;0,"Informational","Unclassified")))))</f>
        <v/>
      </c>
      <c r="O433">
        <f>IF(A433="","",IF(K433&lt;&gt;"",PROPER(K433),N433))</f>
        <v/>
      </c>
      <c r="P433">
        <f>IF(A433="","",ROUND(Settings!$B$5*MIN(1,LOG10(N(C433)+1)/LOG10(Settings!$B$7+1))+Settings!$B$6*(1-MIN(100,IF(D433="",50,N(D433)))/100)+IFERROR(INDEX(Settings!$B$10:$B$14,MATCH(O433,Settings!$A$10:$A$14,0)),0),0))</f>
        <v/>
      </c>
      <c r="Q433">
        <f>IF(OR(A433="",G433=""),"",COUNTIFS($M$3:$M$1002,M433,$G$3:$G$1002,"&lt;&gt;"&amp;SUBSTITUTE(SUBSTITUTE(G433,"?","~?"),"*","~*"),$G$3:$G$1002,"?*"))</f>
        <v/>
      </c>
      <c r="R433">
        <f>IF(Q433="","",IF(Q433&gt;0,"Yes","No"))</f>
        <v/>
      </c>
      <c r="S433">
        <f>IF(G433="","",COUNTIFS($G$3:$G$1002,SUBSTITUTE(SUBSTITUTE(G433,"?","~?"),"*","~*"),$J$3:$J$1002,"Primary"))</f>
        <v/>
      </c>
      <c r="T433">
        <f>IF(S433="","",IF(S433&gt;Settings!$B$4,"Yes","No"))</f>
        <v/>
      </c>
      <c r="U433">
        <f>IF(OR(G433="",B433=""),"",IF(COUNTIFS($G$3:$G$1002,SUBSTITUTE(SUBSTITUTE(G433,"?","~?"),"*","~*"),$B$3:$B$1002,"&lt;&gt;"&amp;SUBSTITUTE(SUBSTITUTE(B433,"?","~?"),"*","~*"),$B$3:$B$1002,"?*")&gt;0,"Yes","No"))</f>
        <v/>
      </c>
      <c r="V433">
        <f>IF(OR(G433="",I433="",O433="",O433="Unclassified"),"",IFERROR(INDEX(Settings!$E$5:$H$16,MATCH(I433,Settings!$D$5:$D$16,0),MATCH(O433,Settings!$E$4:$H$4,0)),"Check"))</f>
        <v/>
      </c>
      <c r="W433">
        <f>IF(V433="","",IF(V433="No","Yes","No"))</f>
        <v/>
      </c>
      <c r="X433">
        <f>IF(OR(E433="",G433=""),"",IF(LOWER(IF(RIGHT(TRIM(E433),1)="/",LEFT(TRIM(E433),LEN(TRIM(E433))-1),TRIM(E433)))&lt;&gt;LOWER(IF(RIGHT(TRIM(G433),1)="/",LEFT(TRIM(G433),LEN(TRIM(G433))-1),TRIM(G433))),"Yes","No"))</f>
        <v/>
      </c>
      <c r="Y433">
        <f>IF(A433="","",(N(Q433)&gt;0)+(T433="Yes")+(U433="Yes")+(W433="Yes")+(X433="Yes"))</f>
        <v/>
      </c>
      <c r="Z433">
        <f>IF(A433="","",IF(G433="","Not mapped",IF(Y433=0,"OK",MID(IF(N(Q433)&gt;0,"; Cannibalisation","")&amp;IF(T433="Yes","; Too many primary keywords on URL","")&amp;IF(U433="Yes","; URL spans 2+ clusters","")&amp;IF(W433="Yes","; Intent mismatch","")&amp;IF(X433="Yes","; Ranking URL is not the target",""),3,300))))</f>
        <v/>
      </c>
      <c r="AA433">
        <f>IF(G433="","",IF(COUNTIF($G$3:G433,SUBSTITUTE(SUBSTITUTE(G433,"?","~?"),"*","~*"))=1,MAX($AA$2:AA432)+1,""))</f>
        <v/>
      </c>
      <c r="AB433">
        <f>IF(B433="","",IF(COUNTIF($B$3:B433,SUBSTITUTE(SUBSTITUTE(B433,"?","~?"),"*","~*"))=1,MAX($AB$2:AB432)+1,""))</f>
        <v/>
      </c>
    </row>
    <row r="434">
      <c r="M434">
        <f>IF(A434="","",LOWER(TRIM(SUBSTITUTE(SUBSTITUTE(A434,"?",""),"*",""))))</f>
        <v/>
      </c>
      <c r="N434">
        <f>IF(M434="","",IF(SUMPRODUCT(ISNUMBER(SEARCH(" "&amp;Settings!$L$5:$L$124&amp;" "," "&amp;M434&amp;" "))*(Settings!$K$5:$K$124="Navigational")*(Settings!$L$5:$L$124&lt;&gt;""))&gt;0,"Navigational",IF(SUMPRODUCT(ISNUMBER(SEARCH(" "&amp;Settings!$L$5:$L$124&amp;" "," "&amp;M434&amp;" "))*(Settings!$K$5:$K$124="Transactional")*(Settings!$L$5:$L$124&lt;&gt;""))&gt;0,"Transactional",IF(SUMPRODUCT(ISNUMBER(SEARCH(" "&amp;Settings!$L$5:$L$124&amp;" "," "&amp;M434&amp;" "))*(Settings!$K$5:$K$124="Commercial")*(Settings!$L$5:$L$124&lt;&gt;""))&gt;0,"Commercial",IF(SUMPRODUCT(ISNUMBER(SEARCH(" "&amp;Settings!$L$5:$L$124&amp;" "," "&amp;M434&amp;" "))*(Settings!$K$5:$K$124="Informational")*(Settings!$L$5:$L$124&lt;&gt;""))&gt;0,"Informational","Unclassified")))))</f>
        <v/>
      </c>
      <c r="O434">
        <f>IF(A434="","",IF(K434&lt;&gt;"",PROPER(K434),N434))</f>
        <v/>
      </c>
      <c r="P434">
        <f>IF(A434="","",ROUND(Settings!$B$5*MIN(1,LOG10(N(C434)+1)/LOG10(Settings!$B$7+1))+Settings!$B$6*(1-MIN(100,IF(D434="",50,N(D434)))/100)+IFERROR(INDEX(Settings!$B$10:$B$14,MATCH(O434,Settings!$A$10:$A$14,0)),0),0))</f>
        <v/>
      </c>
      <c r="Q434">
        <f>IF(OR(A434="",G434=""),"",COUNTIFS($M$3:$M$1002,M434,$G$3:$G$1002,"&lt;&gt;"&amp;SUBSTITUTE(SUBSTITUTE(G434,"?","~?"),"*","~*"),$G$3:$G$1002,"?*"))</f>
        <v/>
      </c>
      <c r="R434">
        <f>IF(Q434="","",IF(Q434&gt;0,"Yes","No"))</f>
        <v/>
      </c>
      <c r="S434">
        <f>IF(G434="","",COUNTIFS($G$3:$G$1002,SUBSTITUTE(SUBSTITUTE(G434,"?","~?"),"*","~*"),$J$3:$J$1002,"Primary"))</f>
        <v/>
      </c>
      <c r="T434">
        <f>IF(S434="","",IF(S434&gt;Settings!$B$4,"Yes","No"))</f>
        <v/>
      </c>
      <c r="U434">
        <f>IF(OR(G434="",B434=""),"",IF(COUNTIFS($G$3:$G$1002,SUBSTITUTE(SUBSTITUTE(G434,"?","~?"),"*","~*"),$B$3:$B$1002,"&lt;&gt;"&amp;SUBSTITUTE(SUBSTITUTE(B434,"?","~?"),"*","~*"),$B$3:$B$1002,"?*")&gt;0,"Yes","No"))</f>
        <v/>
      </c>
      <c r="V434">
        <f>IF(OR(G434="",I434="",O434="",O434="Unclassified"),"",IFERROR(INDEX(Settings!$E$5:$H$16,MATCH(I434,Settings!$D$5:$D$16,0),MATCH(O434,Settings!$E$4:$H$4,0)),"Check"))</f>
        <v/>
      </c>
      <c r="W434">
        <f>IF(V434="","",IF(V434="No","Yes","No"))</f>
        <v/>
      </c>
      <c r="X434">
        <f>IF(OR(E434="",G434=""),"",IF(LOWER(IF(RIGHT(TRIM(E434),1)="/",LEFT(TRIM(E434),LEN(TRIM(E434))-1),TRIM(E434)))&lt;&gt;LOWER(IF(RIGHT(TRIM(G434),1)="/",LEFT(TRIM(G434),LEN(TRIM(G434))-1),TRIM(G434))),"Yes","No"))</f>
        <v/>
      </c>
      <c r="Y434">
        <f>IF(A434="","",(N(Q434)&gt;0)+(T434="Yes")+(U434="Yes")+(W434="Yes")+(X434="Yes"))</f>
        <v/>
      </c>
      <c r="Z434">
        <f>IF(A434="","",IF(G434="","Not mapped",IF(Y434=0,"OK",MID(IF(N(Q434)&gt;0,"; Cannibalisation","")&amp;IF(T434="Yes","; Too many primary keywords on URL","")&amp;IF(U434="Yes","; URL spans 2+ clusters","")&amp;IF(W434="Yes","; Intent mismatch","")&amp;IF(X434="Yes","; Ranking URL is not the target",""),3,300))))</f>
        <v/>
      </c>
      <c r="AA434">
        <f>IF(G434="","",IF(COUNTIF($G$3:G434,SUBSTITUTE(SUBSTITUTE(G434,"?","~?"),"*","~*"))=1,MAX($AA$2:AA433)+1,""))</f>
        <v/>
      </c>
      <c r="AB434">
        <f>IF(B434="","",IF(COUNTIF($B$3:B434,SUBSTITUTE(SUBSTITUTE(B434,"?","~?"),"*","~*"))=1,MAX($AB$2:AB433)+1,""))</f>
        <v/>
      </c>
    </row>
    <row r="435">
      <c r="M435">
        <f>IF(A435="","",LOWER(TRIM(SUBSTITUTE(SUBSTITUTE(A435,"?",""),"*",""))))</f>
        <v/>
      </c>
      <c r="N435">
        <f>IF(M435="","",IF(SUMPRODUCT(ISNUMBER(SEARCH(" "&amp;Settings!$L$5:$L$124&amp;" "," "&amp;M435&amp;" "))*(Settings!$K$5:$K$124="Navigational")*(Settings!$L$5:$L$124&lt;&gt;""))&gt;0,"Navigational",IF(SUMPRODUCT(ISNUMBER(SEARCH(" "&amp;Settings!$L$5:$L$124&amp;" "," "&amp;M435&amp;" "))*(Settings!$K$5:$K$124="Transactional")*(Settings!$L$5:$L$124&lt;&gt;""))&gt;0,"Transactional",IF(SUMPRODUCT(ISNUMBER(SEARCH(" "&amp;Settings!$L$5:$L$124&amp;" "," "&amp;M435&amp;" "))*(Settings!$K$5:$K$124="Commercial")*(Settings!$L$5:$L$124&lt;&gt;""))&gt;0,"Commercial",IF(SUMPRODUCT(ISNUMBER(SEARCH(" "&amp;Settings!$L$5:$L$124&amp;" "," "&amp;M435&amp;" "))*(Settings!$K$5:$K$124="Informational")*(Settings!$L$5:$L$124&lt;&gt;""))&gt;0,"Informational","Unclassified")))))</f>
        <v/>
      </c>
      <c r="O435">
        <f>IF(A435="","",IF(K435&lt;&gt;"",PROPER(K435),N435))</f>
        <v/>
      </c>
      <c r="P435">
        <f>IF(A435="","",ROUND(Settings!$B$5*MIN(1,LOG10(N(C435)+1)/LOG10(Settings!$B$7+1))+Settings!$B$6*(1-MIN(100,IF(D435="",50,N(D435)))/100)+IFERROR(INDEX(Settings!$B$10:$B$14,MATCH(O435,Settings!$A$10:$A$14,0)),0),0))</f>
        <v/>
      </c>
      <c r="Q435">
        <f>IF(OR(A435="",G435=""),"",COUNTIFS($M$3:$M$1002,M435,$G$3:$G$1002,"&lt;&gt;"&amp;SUBSTITUTE(SUBSTITUTE(G435,"?","~?"),"*","~*"),$G$3:$G$1002,"?*"))</f>
        <v/>
      </c>
      <c r="R435">
        <f>IF(Q435="","",IF(Q435&gt;0,"Yes","No"))</f>
        <v/>
      </c>
      <c r="S435">
        <f>IF(G435="","",COUNTIFS($G$3:$G$1002,SUBSTITUTE(SUBSTITUTE(G435,"?","~?"),"*","~*"),$J$3:$J$1002,"Primary"))</f>
        <v/>
      </c>
      <c r="T435">
        <f>IF(S435="","",IF(S435&gt;Settings!$B$4,"Yes","No"))</f>
        <v/>
      </c>
      <c r="U435">
        <f>IF(OR(G435="",B435=""),"",IF(COUNTIFS($G$3:$G$1002,SUBSTITUTE(SUBSTITUTE(G435,"?","~?"),"*","~*"),$B$3:$B$1002,"&lt;&gt;"&amp;SUBSTITUTE(SUBSTITUTE(B435,"?","~?"),"*","~*"),$B$3:$B$1002,"?*")&gt;0,"Yes","No"))</f>
        <v/>
      </c>
      <c r="V435">
        <f>IF(OR(G435="",I435="",O435="",O435="Unclassified"),"",IFERROR(INDEX(Settings!$E$5:$H$16,MATCH(I435,Settings!$D$5:$D$16,0),MATCH(O435,Settings!$E$4:$H$4,0)),"Check"))</f>
        <v/>
      </c>
      <c r="W435">
        <f>IF(V435="","",IF(V435="No","Yes","No"))</f>
        <v/>
      </c>
      <c r="X435">
        <f>IF(OR(E435="",G435=""),"",IF(LOWER(IF(RIGHT(TRIM(E435),1)="/",LEFT(TRIM(E435),LEN(TRIM(E435))-1),TRIM(E435)))&lt;&gt;LOWER(IF(RIGHT(TRIM(G435),1)="/",LEFT(TRIM(G435),LEN(TRIM(G435))-1),TRIM(G435))),"Yes","No"))</f>
        <v/>
      </c>
      <c r="Y435">
        <f>IF(A435="","",(N(Q435)&gt;0)+(T435="Yes")+(U435="Yes")+(W435="Yes")+(X435="Yes"))</f>
        <v/>
      </c>
      <c r="Z435">
        <f>IF(A435="","",IF(G435="","Not mapped",IF(Y435=0,"OK",MID(IF(N(Q435)&gt;0,"; Cannibalisation","")&amp;IF(T435="Yes","; Too many primary keywords on URL","")&amp;IF(U435="Yes","; URL spans 2+ clusters","")&amp;IF(W435="Yes","; Intent mismatch","")&amp;IF(X435="Yes","; Ranking URL is not the target",""),3,300))))</f>
        <v/>
      </c>
      <c r="AA435">
        <f>IF(G435="","",IF(COUNTIF($G$3:G435,SUBSTITUTE(SUBSTITUTE(G435,"?","~?"),"*","~*"))=1,MAX($AA$2:AA434)+1,""))</f>
        <v/>
      </c>
      <c r="AB435">
        <f>IF(B435="","",IF(COUNTIF($B$3:B435,SUBSTITUTE(SUBSTITUTE(B435,"?","~?"),"*","~*"))=1,MAX($AB$2:AB434)+1,""))</f>
        <v/>
      </c>
    </row>
    <row r="436">
      <c r="M436">
        <f>IF(A436="","",LOWER(TRIM(SUBSTITUTE(SUBSTITUTE(A436,"?",""),"*",""))))</f>
        <v/>
      </c>
      <c r="N436">
        <f>IF(M436="","",IF(SUMPRODUCT(ISNUMBER(SEARCH(" "&amp;Settings!$L$5:$L$124&amp;" "," "&amp;M436&amp;" "))*(Settings!$K$5:$K$124="Navigational")*(Settings!$L$5:$L$124&lt;&gt;""))&gt;0,"Navigational",IF(SUMPRODUCT(ISNUMBER(SEARCH(" "&amp;Settings!$L$5:$L$124&amp;" "," "&amp;M436&amp;" "))*(Settings!$K$5:$K$124="Transactional")*(Settings!$L$5:$L$124&lt;&gt;""))&gt;0,"Transactional",IF(SUMPRODUCT(ISNUMBER(SEARCH(" "&amp;Settings!$L$5:$L$124&amp;" "," "&amp;M436&amp;" "))*(Settings!$K$5:$K$124="Commercial")*(Settings!$L$5:$L$124&lt;&gt;""))&gt;0,"Commercial",IF(SUMPRODUCT(ISNUMBER(SEARCH(" "&amp;Settings!$L$5:$L$124&amp;" "," "&amp;M436&amp;" "))*(Settings!$K$5:$K$124="Informational")*(Settings!$L$5:$L$124&lt;&gt;""))&gt;0,"Informational","Unclassified")))))</f>
        <v/>
      </c>
      <c r="O436">
        <f>IF(A436="","",IF(K436&lt;&gt;"",PROPER(K436),N436))</f>
        <v/>
      </c>
      <c r="P436">
        <f>IF(A436="","",ROUND(Settings!$B$5*MIN(1,LOG10(N(C436)+1)/LOG10(Settings!$B$7+1))+Settings!$B$6*(1-MIN(100,IF(D436="",50,N(D436)))/100)+IFERROR(INDEX(Settings!$B$10:$B$14,MATCH(O436,Settings!$A$10:$A$14,0)),0),0))</f>
        <v/>
      </c>
      <c r="Q436">
        <f>IF(OR(A436="",G436=""),"",COUNTIFS($M$3:$M$1002,M436,$G$3:$G$1002,"&lt;&gt;"&amp;SUBSTITUTE(SUBSTITUTE(G436,"?","~?"),"*","~*"),$G$3:$G$1002,"?*"))</f>
        <v/>
      </c>
      <c r="R436">
        <f>IF(Q436="","",IF(Q436&gt;0,"Yes","No"))</f>
        <v/>
      </c>
      <c r="S436">
        <f>IF(G436="","",COUNTIFS($G$3:$G$1002,SUBSTITUTE(SUBSTITUTE(G436,"?","~?"),"*","~*"),$J$3:$J$1002,"Primary"))</f>
        <v/>
      </c>
      <c r="T436">
        <f>IF(S436="","",IF(S436&gt;Settings!$B$4,"Yes","No"))</f>
        <v/>
      </c>
      <c r="U436">
        <f>IF(OR(G436="",B436=""),"",IF(COUNTIFS($G$3:$G$1002,SUBSTITUTE(SUBSTITUTE(G436,"?","~?"),"*","~*"),$B$3:$B$1002,"&lt;&gt;"&amp;SUBSTITUTE(SUBSTITUTE(B436,"?","~?"),"*","~*"),$B$3:$B$1002,"?*")&gt;0,"Yes","No"))</f>
        <v/>
      </c>
      <c r="V436">
        <f>IF(OR(G436="",I436="",O436="",O436="Unclassified"),"",IFERROR(INDEX(Settings!$E$5:$H$16,MATCH(I436,Settings!$D$5:$D$16,0),MATCH(O436,Settings!$E$4:$H$4,0)),"Check"))</f>
        <v/>
      </c>
      <c r="W436">
        <f>IF(V436="","",IF(V436="No","Yes","No"))</f>
        <v/>
      </c>
      <c r="X436">
        <f>IF(OR(E436="",G436=""),"",IF(LOWER(IF(RIGHT(TRIM(E436),1)="/",LEFT(TRIM(E436),LEN(TRIM(E436))-1),TRIM(E436)))&lt;&gt;LOWER(IF(RIGHT(TRIM(G436),1)="/",LEFT(TRIM(G436),LEN(TRIM(G436))-1),TRIM(G436))),"Yes","No"))</f>
        <v/>
      </c>
      <c r="Y436">
        <f>IF(A436="","",(N(Q436)&gt;0)+(T436="Yes")+(U436="Yes")+(W436="Yes")+(X436="Yes"))</f>
        <v/>
      </c>
      <c r="Z436">
        <f>IF(A436="","",IF(G436="","Not mapped",IF(Y436=0,"OK",MID(IF(N(Q436)&gt;0,"; Cannibalisation","")&amp;IF(T436="Yes","; Too many primary keywords on URL","")&amp;IF(U436="Yes","; URL spans 2+ clusters","")&amp;IF(W436="Yes","; Intent mismatch","")&amp;IF(X436="Yes","; Ranking URL is not the target",""),3,300))))</f>
        <v/>
      </c>
      <c r="AA436">
        <f>IF(G436="","",IF(COUNTIF($G$3:G436,SUBSTITUTE(SUBSTITUTE(G436,"?","~?"),"*","~*"))=1,MAX($AA$2:AA435)+1,""))</f>
        <v/>
      </c>
      <c r="AB436">
        <f>IF(B436="","",IF(COUNTIF($B$3:B436,SUBSTITUTE(SUBSTITUTE(B436,"?","~?"),"*","~*"))=1,MAX($AB$2:AB435)+1,""))</f>
        <v/>
      </c>
    </row>
    <row r="437">
      <c r="M437">
        <f>IF(A437="","",LOWER(TRIM(SUBSTITUTE(SUBSTITUTE(A437,"?",""),"*",""))))</f>
        <v/>
      </c>
      <c r="N437">
        <f>IF(M437="","",IF(SUMPRODUCT(ISNUMBER(SEARCH(" "&amp;Settings!$L$5:$L$124&amp;" "," "&amp;M437&amp;" "))*(Settings!$K$5:$K$124="Navigational")*(Settings!$L$5:$L$124&lt;&gt;""))&gt;0,"Navigational",IF(SUMPRODUCT(ISNUMBER(SEARCH(" "&amp;Settings!$L$5:$L$124&amp;" "," "&amp;M437&amp;" "))*(Settings!$K$5:$K$124="Transactional")*(Settings!$L$5:$L$124&lt;&gt;""))&gt;0,"Transactional",IF(SUMPRODUCT(ISNUMBER(SEARCH(" "&amp;Settings!$L$5:$L$124&amp;" "," "&amp;M437&amp;" "))*(Settings!$K$5:$K$124="Commercial")*(Settings!$L$5:$L$124&lt;&gt;""))&gt;0,"Commercial",IF(SUMPRODUCT(ISNUMBER(SEARCH(" "&amp;Settings!$L$5:$L$124&amp;" "," "&amp;M437&amp;" "))*(Settings!$K$5:$K$124="Informational")*(Settings!$L$5:$L$124&lt;&gt;""))&gt;0,"Informational","Unclassified")))))</f>
        <v/>
      </c>
      <c r="O437">
        <f>IF(A437="","",IF(K437&lt;&gt;"",PROPER(K437),N437))</f>
        <v/>
      </c>
      <c r="P437">
        <f>IF(A437="","",ROUND(Settings!$B$5*MIN(1,LOG10(N(C437)+1)/LOG10(Settings!$B$7+1))+Settings!$B$6*(1-MIN(100,IF(D437="",50,N(D437)))/100)+IFERROR(INDEX(Settings!$B$10:$B$14,MATCH(O437,Settings!$A$10:$A$14,0)),0),0))</f>
        <v/>
      </c>
      <c r="Q437">
        <f>IF(OR(A437="",G437=""),"",COUNTIFS($M$3:$M$1002,M437,$G$3:$G$1002,"&lt;&gt;"&amp;SUBSTITUTE(SUBSTITUTE(G437,"?","~?"),"*","~*"),$G$3:$G$1002,"?*"))</f>
        <v/>
      </c>
      <c r="R437">
        <f>IF(Q437="","",IF(Q437&gt;0,"Yes","No"))</f>
        <v/>
      </c>
      <c r="S437">
        <f>IF(G437="","",COUNTIFS($G$3:$G$1002,SUBSTITUTE(SUBSTITUTE(G437,"?","~?"),"*","~*"),$J$3:$J$1002,"Primary"))</f>
        <v/>
      </c>
      <c r="T437">
        <f>IF(S437="","",IF(S437&gt;Settings!$B$4,"Yes","No"))</f>
        <v/>
      </c>
      <c r="U437">
        <f>IF(OR(G437="",B437=""),"",IF(COUNTIFS($G$3:$G$1002,SUBSTITUTE(SUBSTITUTE(G437,"?","~?"),"*","~*"),$B$3:$B$1002,"&lt;&gt;"&amp;SUBSTITUTE(SUBSTITUTE(B437,"?","~?"),"*","~*"),$B$3:$B$1002,"?*")&gt;0,"Yes","No"))</f>
        <v/>
      </c>
      <c r="V437">
        <f>IF(OR(G437="",I437="",O437="",O437="Unclassified"),"",IFERROR(INDEX(Settings!$E$5:$H$16,MATCH(I437,Settings!$D$5:$D$16,0),MATCH(O437,Settings!$E$4:$H$4,0)),"Check"))</f>
        <v/>
      </c>
      <c r="W437">
        <f>IF(V437="","",IF(V437="No","Yes","No"))</f>
        <v/>
      </c>
      <c r="X437">
        <f>IF(OR(E437="",G437=""),"",IF(LOWER(IF(RIGHT(TRIM(E437),1)="/",LEFT(TRIM(E437),LEN(TRIM(E437))-1),TRIM(E437)))&lt;&gt;LOWER(IF(RIGHT(TRIM(G437),1)="/",LEFT(TRIM(G437),LEN(TRIM(G437))-1),TRIM(G437))),"Yes","No"))</f>
        <v/>
      </c>
      <c r="Y437">
        <f>IF(A437="","",(N(Q437)&gt;0)+(T437="Yes")+(U437="Yes")+(W437="Yes")+(X437="Yes"))</f>
        <v/>
      </c>
      <c r="Z437">
        <f>IF(A437="","",IF(G437="","Not mapped",IF(Y437=0,"OK",MID(IF(N(Q437)&gt;0,"; Cannibalisation","")&amp;IF(T437="Yes","; Too many primary keywords on URL","")&amp;IF(U437="Yes","; URL spans 2+ clusters","")&amp;IF(W437="Yes","; Intent mismatch","")&amp;IF(X437="Yes","; Ranking URL is not the target",""),3,300))))</f>
        <v/>
      </c>
      <c r="AA437">
        <f>IF(G437="","",IF(COUNTIF($G$3:G437,SUBSTITUTE(SUBSTITUTE(G437,"?","~?"),"*","~*"))=1,MAX($AA$2:AA436)+1,""))</f>
        <v/>
      </c>
      <c r="AB437">
        <f>IF(B437="","",IF(COUNTIF($B$3:B437,SUBSTITUTE(SUBSTITUTE(B437,"?","~?"),"*","~*"))=1,MAX($AB$2:AB436)+1,""))</f>
        <v/>
      </c>
    </row>
    <row r="438">
      <c r="M438">
        <f>IF(A438="","",LOWER(TRIM(SUBSTITUTE(SUBSTITUTE(A438,"?",""),"*",""))))</f>
        <v/>
      </c>
      <c r="N438">
        <f>IF(M438="","",IF(SUMPRODUCT(ISNUMBER(SEARCH(" "&amp;Settings!$L$5:$L$124&amp;" "," "&amp;M438&amp;" "))*(Settings!$K$5:$K$124="Navigational")*(Settings!$L$5:$L$124&lt;&gt;""))&gt;0,"Navigational",IF(SUMPRODUCT(ISNUMBER(SEARCH(" "&amp;Settings!$L$5:$L$124&amp;" "," "&amp;M438&amp;" "))*(Settings!$K$5:$K$124="Transactional")*(Settings!$L$5:$L$124&lt;&gt;""))&gt;0,"Transactional",IF(SUMPRODUCT(ISNUMBER(SEARCH(" "&amp;Settings!$L$5:$L$124&amp;" "," "&amp;M438&amp;" "))*(Settings!$K$5:$K$124="Commercial")*(Settings!$L$5:$L$124&lt;&gt;""))&gt;0,"Commercial",IF(SUMPRODUCT(ISNUMBER(SEARCH(" "&amp;Settings!$L$5:$L$124&amp;" "," "&amp;M438&amp;" "))*(Settings!$K$5:$K$124="Informational")*(Settings!$L$5:$L$124&lt;&gt;""))&gt;0,"Informational","Unclassified")))))</f>
        <v/>
      </c>
      <c r="O438">
        <f>IF(A438="","",IF(K438&lt;&gt;"",PROPER(K438),N438))</f>
        <v/>
      </c>
      <c r="P438">
        <f>IF(A438="","",ROUND(Settings!$B$5*MIN(1,LOG10(N(C438)+1)/LOG10(Settings!$B$7+1))+Settings!$B$6*(1-MIN(100,IF(D438="",50,N(D438)))/100)+IFERROR(INDEX(Settings!$B$10:$B$14,MATCH(O438,Settings!$A$10:$A$14,0)),0),0))</f>
        <v/>
      </c>
      <c r="Q438">
        <f>IF(OR(A438="",G438=""),"",COUNTIFS($M$3:$M$1002,M438,$G$3:$G$1002,"&lt;&gt;"&amp;SUBSTITUTE(SUBSTITUTE(G438,"?","~?"),"*","~*"),$G$3:$G$1002,"?*"))</f>
        <v/>
      </c>
      <c r="R438">
        <f>IF(Q438="","",IF(Q438&gt;0,"Yes","No"))</f>
        <v/>
      </c>
      <c r="S438">
        <f>IF(G438="","",COUNTIFS($G$3:$G$1002,SUBSTITUTE(SUBSTITUTE(G438,"?","~?"),"*","~*"),$J$3:$J$1002,"Primary"))</f>
        <v/>
      </c>
      <c r="T438">
        <f>IF(S438="","",IF(S438&gt;Settings!$B$4,"Yes","No"))</f>
        <v/>
      </c>
      <c r="U438">
        <f>IF(OR(G438="",B438=""),"",IF(COUNTIFS($G$3:$G$1002,SUBSTITUTE(SUBSTITUTE(G438,"?","~?"),"*","~*"),$B$3:$B$1002,"&lt;&gt;"&amp;SUBSTITUTE(SUBSTITUTE(B438,"?","~?"),"*","~*"),$B$3:$B$1002,"?*")&gt;0,"Yes","No"))</f>
        <v/>
      </c>
      <c r="V438">
        <f>IF(OR(G438="",I438="",O438="",O438="Unclassified"),"",IFERROR(INDEX(Settings!$E$5:$H$16,MATCH(I438,Settings!$D$5:$D$16,0),MATCH(O438,Settings!$E$4:$H$4,0)),"Check"))</f>
        <v/>
      </c>
      <c r="W438">
        <f>IF(V438="","",IF(V438="No","Yes","No"))</f>
        <v/>
      </c>
      <c r="X438">
        <f>IF(OR(E438="",G438=""),"",IF(LOWER(IF(RIGHT(TRIM(E438),1)="/",LEFT(TRIM(E438),LEN(TRIM(E438))-1),TRIM(E438)))&lt;&gt;LOWER(IF(RIGHT(TRIM(G438),1)="/",LEFT(TRIM(G438),LEN(TRIM(G438))-1),TRIM(G438))),"Yes","No"))</f>
        <v/>
      </c>
      <c r="Y438">
        <f>IF(A438="","",(N(Q438)&gt;0)+(T438="Yes")+(U438="Yes")+(W438="Yes")+(X438="Yes"))</f>
        <v/>
      </c>
      <c r="Z438">
        <f>IF(A438="","",IF(G438="","Not mapped",IF(Y438=0,"OK",MID(IF(N(Q438)&gt;0,"; Cannibalisation","")&amp;IF(T438="Yes","; Too many primary keywords on URL","")&amp;IF(U438="Yes","; URL spans 2+ clusters","")&amp;IF(W438="Yes","; Intent mismatch","")&amp;IF(X438="Yes","; Ranking URL is not the target",""),3,300))))</f>
        <v/>
      </c>
      <c r="AA438">
        <f>IF(G438="","",IF(COUNTIF($G$3:G438,SUBSTITUTE(SUBSTITUTE(G438,"?","~?"),"*","~*"))=1,MAX($AA$2:AA437)+1,""))</f>
        <v/>
      </c>
      <c r="AB438">
        <f>IF(B438="","",IF(COUNTIF($B$3:B438,SUBSTITUTE(SUBSTITUTE(B438,"?","~?"),"*","~*"))=1,MAX($AB$2:AB437)+1,""))</f>
        <v/>
      </c>
    </row>
    <row r="439">
      <c r="M439">
        <f>IF(A439="","",LOWER(TRIM(SUBSTITUTE(SUBSTITUTE(A439,"?",""),"*",""))))</f>
        <v/>
      </c>
      <c r="N439">
        <f>IF(M439="","",IF(SUMPRODUCT(ISNUMBER(SEARCH(" "&amp;Settings!$L$5:$L$124&amp;" "," "&amp;M439&amp;" "))*(Settings!$K$5:$K$124="Navigational")*(Settings!$L$5:$L$124&lt;&gt;""))&gt;0,"Navigational",IF(SUMPRODUCT(ISNUMBER(SEARCH(" "&amp;Settings!$L$5:$L$124&amp;" "," "&amp;M439&amp;" "))*(Settings!$K$5:$K$124="Transactional")*(Settings!$L$5:$L$124&lt;&gt;""))&gt;0,"Transactional",IF(SUMPRODUCT(ISNUMBER(SEARCH(" "&amp;Settings!$L$5:$L$124&amp;" "," "&amp;M439&amp;" "))*(Settings!$K$5:$K$124="Commercial")*(Settings!$L$5:$L$124&lt;&gt;""))&gt;0,"Commercial",IF(SUMPRODUCT(ISNUMBER(SEARCH(" "&amp;Settings!$L$5:$L$124&amp;" "," "&amp;M439&amp;" "))*(Settings!$K$5:$K$124="Informational")*(Settings!$L$5:$L$124&lt;&gt;""))&gt;0,"Informational","Unclassified")))))</f>
        <v/>
      </c>
      <c r="O439">
        <f>IF(A439="","",IF(K439&lt;&gt;"",PROPER(K439),N439))</f>
        <v/>
      </c>
      <c r="P439">
        <f>IF(A439="","",ROUND(Settings!$B$5*MIN(1,LOG10(N(C439)+1)/LOG10(Settings!$B$7+1))+Settings!$B$6*(1-MIN(100,IF(D439="",50,N(D439)))/100)+IFERROR(INDEX(Settings!$B$10:$B$14,MATCH(O439,Settings!$A$10:$A$14,0)),0),0))</f>
        <v/>
      </c>
      <c r="Q439">
        <f>IF(OR(A439="",G439=""),"",COUNTIFS($M$3:$M$1002,M439,$G$3:$G$1002,"&lt;&gt;"&amp;SUBSTITUTE(SUBSTITUTE(G439,"?","~?"),"*","~*"),$G$3:$G$1002,"?*"))</f>
        <v/>
      </c>
      <c r="R439">
        <f>IF(Q439="","",IF(Q439&gt;0,"Yes","No"))</f>
        <v/>
      </c>
      <c r="S439">
        <f>IF(G439="","",COUNTIFS($G$3:$G$1002,SUBSTITUTE(SUBSTITUTE(G439,"?","~?"),"*","~*"),$J$3:$J$1002,"Primary"))</f>
        <v/>
      </c>
      <c r="T439">
        <f>IF(S439="","",IF(S439&gt;Settings!$B$4,"Yes","No"))</f>
        <v/>
      </c>
      <c r="U439">
        <f>IF(OR(G439="",B439=""),"",IF(COUNTIFS($G$3:$G$1002,SUBSTITUTE(SUBSTITUTE(G439,"?","~?"),"*","~*"),$B$3:$B$1002,"&lt;&gt;"&amp;SUBSTITUTE(SUBSTITUTE(B439,"?","~?"),"*","~*"),$B$3:$B$1002,"?*")&gt;0,"Yes","No"))</f>
        <v/>
      </c>
      <c r="V439">
        <f>IF(OR(G439="",I439="",O439="",O439="Unclassified"),"",IFERROR(INDEX(Settings!$E$5:$H$16,MATCH(I439,Settings!$D$5:$D$16,0),MATCH(O439,Settings!$E$4:$H$4,0)),"Check"))</f>
        <v/>
      </c>
      <c r="W439">
        <f>IF(V439="","",IF(V439="No","Yes","No"))</f>
        <v/>
      </c>
      <c r="X439">
        <f>IF(OR(E439="",G439=""),"",IF(LOWER(IF(RIGHT(TRIM(E439),1)="/",LEFT(TRIM(E439),LEN(TRIM(E439))-1),TRIM(E439)))&lt;&gt;LOWER(IF(RIGHT(TRIM(G439),1)="/",LEFT(TRIM(G439),LEN(TRIM(G439))-1),TRIM(G439))),"Yes","No"))</f>
        <v/>
      </c>
      <c r="Y439">
        <f>IF(A439="","",(N(Q439)&gt;0)+(T439="Yes")+(U439="Yes")+(W439="Yes")+(X439="Yes"))</f>
        <v/>
      </c>
      <c r="Z439">
        <f>IF(A439="","",IF(G439="","Not mapped",IF(Y439=0,"OK",MID(IF(N(Q439)&gt;0,"; Cannibalisation","")&amp;IF(T439="Yes","; Too many primary keywords on URL","")&amp;IF(U439="Yes","; URL spans 2+ clusters","")&amp;IF(W439="Yes","; Intent mismatch","")&amp;IF(X439="Yes","; Ranking URL is not the target",""),3,300))))</f>
        <v/>
      </c>
      <c r="AA439">
        <f>IF(G439="","",IF(COUNTIF($G$3:G439,SUBSTITUTE(SUBSTITUTE(G439,"?","~?"),"*","~*"))=1,MAX($AA$2:AA438)+1,""))</f>
        <v/>
      </c>
      <c r="AB439">
        <f>IF(B439="","",IF(COUNTIF($B$3:B439,SUBSTITUTE(SUBSTITUTE(B439,"?","~?"),"*","~*"))=1,MAX($AB$2:AB438)+1,""))</f>
        <v/>
      </c>
    </row>
    <row r="440">
      <c r="M440">
        <f>IF(A440="","",LOWER(TRIM(SUBSTITUTE(SUBSTITUTE(A440,"?",""),"*",""))))</f>
        <v/>
      </c>
      <c r="N440">
        <f>IF(M440="","",IF(SUMPRODUCT(ISNUMBER(SEARCH(" "&amp;Settings!$L$5:$L$124&amp;" "," "&amp;M440&amp;" "))*(Settings!$K$5:$K$124="Navigational")*(Settings!$L$5:$L$124&lt;&gt;""))&gt;0,"Navigational",IF(SUMPRODUCT(ISNUMBER(SEARCH(" "&amp;Settings!$L$5:$L$124&amp;" "," "&amp;M440&amp;" "))*(Settings!$K$5:$K$124="Transactional")*(Settings!$L$5:$L$124&lt;&gt;""))&gt;0,"Transactional",IF(SUMPRODUCT(ISNUMBER(SEARCH(" "&amp;Settings!$L$5:$L$124&amp;" "," "&amp;M440&amp;" "))*(Settings!$K$5:$K$124="Commercial")*(Settings!$L$5:$L$124&lt;&gt;""))&gt;0,"Commercial",IF(SUMPRODUCT(ISNUMBER(SEARCH(" "&amp;Settings!$L$5:$L$124&amp;" "," "&amp;M440&amp;" "))*(Settings!$K$5:$K$124="Informational")*(Settings!$L$5:$L$124&lt;&gt;""))&gt;0,"Informational","Unclassified")))))</f>
        <v/>
      </c>
      <c r="O440">
        <f>IF(A440="","",IF(K440&lt;&gt;"",PROPER(K440),N440))</f>
        <v/>
      </c>
      <c r="P440">
        <f>IF(A440="","",ROUND(Settings!$B$5*MIN(1,LOG10(N(C440)+1)/LOG10(Settings!$B$7+1))+Settings!$B$6*(1-MIN(100,IF(D440="",50,N(D440)))/100)+IFERROR(INDEX(Settings!$B$10:$B$14,MATCH(O440,Settings!$A$10:$A$14,0)),0),0))</f>
        <v/>
      </c>
      <c r="Q440">
        <f>IF(OR(A440="",G440=""),"",COUNTIFS($M$3:$M$1002,M440,$G$3:$G$1002,"&lt;&gt;"&amp;SUBSTITUTE(SUBSTITUTE(G440,"?","~?"),"*","~*"),$G$3:$G$1002,"?*"))</f>
        <v/>
      </c>
      <c r="R440">
        <f>IF(Q440="","",IF(Q440&gt;0,"Yes","No"))</f>
        <v/>
      </c>
      <c r="S440">
        <f>IF(G440="","",COUNTIFS($G$3:$G$1002,SUBSTITUTE(SUBSTITUTE(G440,"?","~?"),"*","~*"),$J$3:$J$1002,"Primary"))</f>
        <v/>
      </c>
      <c r="T440">
        <f>IF(S440="","",IF(S440&gt;Settings!$B$4,"Yes","No"))</f>
        <v/>
      </c>
      <c r="U440">
        <f>IF(OR(G440="",B440=""),"",IF(COUNTIFS($G$3:$G$1002,SUBSTITUTE(SUBSTITUTE(G440,"?","~?"),"*","~*"),$B$3:$B$1002,"&lt;&gt;"&amp;SUBSTITUTE(SUBSTITUTE(B440,"?","~?"),"*","~*"),$B$3:$B$1002,"?*")&gt;0,"Yes","No"))</f>
        <v/>
      </c>
      <c r="V440">
        <f>IF(OR(G440="",I440="",O440="",O440="Unclassified"),"",IFERROR(INDEX(Settings!$E$5:$H$16,MATCH(I440,Settings!$D$5:$D$16,0),MATCH(O440,Settings!$E$4:$H$4,0)),"Check"))</f>
        <v/>
      </c>
      <c r="W440">
        <f>IF(V440="","",IF(V440="No","Yes","No"))</f>
        <v/>
      </c>
      <c r="X440">
        <f>IF(OR(E440="",G440=""),"",IF(LOWER(IF(RIGHT(TRIM(E440),1)="/",LEFT(TRIM(E440),LEN(TRIM(E440))-1),TRIM(E440)))&lt;&gt;LOWER(IF(RIGHT(TRIM(G440),1)="/",LEFT(TRIM(G440),LEN(TRIM(G440))-1),TRIM(G440))),"Yes","No"))</f>
        <v/>
      </c>
      <c r="Y440">
        <f>IF(A440="","",(N(Q440)&gt;0)+(T440="Yes")+(U440="Yes")+(W440="Yes")+(X440="Yes"))</f>
        <v/>
      </c>
      <c r="Z440">
        <f>IF(A440="","",IF(G440="","Not mapped",IF(Y440=0,"OK",MID(IF(N(Q440)&gt;0,"; Cannibalisation","")&amp;IF(T440="Yes","; Too many primary keywords on URL","")&amp;IF(U440="Yes","; URL spans 2+ clusters","")&amp;IF(W440="Yes","; Intent mismatch","")&amp;IF(X440="Yes","; Ranking URL is not the target",""),3,300))))</f>
        <v/>
      </c>
      <c r="AA440">
        <f>IF(G440="","",IF(COUNTIF($G$3:G440,SUBSTITUTE(SUBSTITUTE(G440,"?","~?"),"*","~*"))=1,MAX($AA$2:AA439)+1,""))</f>
        <v/>
      </c>
      <c r="AB440">
        <f>IF(B440="","",IF(COUNTIF($B$3:B440,SUBSTITUTE(SUBSTITUTE(B440,"?","~?"),"*","~*"))=1,MAX($AB$2:AB439)+1,""))</f>
        <v/>
      </c>
    </row>
    <row r="441">
      <c r="M441">
        <f>IF(A441="","",LOWER(TRIM(SUBSTITUTE(SUBSTITUTE(A441,"?",""),"*",""))))</f>
        <v/>
      </c>
      <c r="N441">
        <f>IF(M441="","",IF(SUMPRODUCT(ISNUMBER(SEARCH(" "&amp;Settings!$L$5:$L$124&amp;" "," "&amp;M441&amp;" "))*(Settings!$K$5:$K$124="Navigational")*(Settings!$L$5:$L$124&lt;&gt;""))&gt;0,"Navigational",IF(SUMPRODUCT(ISNUMBER(SEARCH(" "&amp;Settings!$L$5:$L$124&amp;" "," "&amp;M441&amp;" "))*(Settings!$K$5:$K$124="Transactional")*(Settings!$L$5:$L$124&lt;&gt;""))&gt;0,"Transactional",IF(SUMPRODUCT(ISNUMBER(SEARCH(" "&amp;Settings!$L$5:$L$124&amp;" "," "&amp;M441&amp;" "))*(Settings!$K$5:$K$124="Commercial")*(Settings!$L$5:$L$124&lt;&gt;""))&gt;0,"Commercial",IF(SUMPRODUCT(ISNUMBER(SEARCH(" "&amp;Settings!$L$5:$L$124&amp;" "," "&amp;M441&amp;" "))*(Settings!$K$5:$K$124="Informational")*(Settings!$L$5:$L$124&lt;&gt;""))&gt;0,"Informational","Unclassified")))))</f>
        <v/>
      </c>
      <c r="O441">
        <f>IF(A441="","",IF(K441&lt;&gt;"",PROPER(K441),N441))</f>
        <v/>
      </c>
      <c r="P441">
        <f>IF(A441="","",ROUND(Settings!$B$5*MIN(1,LOG10(N(C441)+1)/LOG10(Settings!$B$7+1))+Settings!$B$6*(1-MIN(100,IF(D441="",50,N(D441)))/100)+IFERROR(INDEX(Settings!$B$10:$B$14,MATCH(O441,Settings!$A$10:$A$14,0)),0),0))</f>
        <v/>
      </c>
      <c r="Q441">
        <f>IF(OR(A441="",G441=""),"",COUNTIFS($M$3:$M$1002,M441,$G$3:$G$1002,"&lt;&gt;"&amp;SUBSTITUTE(SUBSTITUTE(G441,"?","~?"),"*","~*"),$G$3:$G$1002,"?*"))</f>
        <v/>
      </c>
      <c r="R441">
        <f>IF(Q441="","",IF(Q441&gt;0,"Yes","No"))</f>
        <v/>
      </c>
      <c r="S441">
        <f>IF(G441="","",COUNTIFS($G$3:$G$1002,SUBSTITUTE(SUBSTITUTE(G441,"?","~?"),"*","~*"),$J$3:$J$1002,"Primary"))</f>
        <v/>
      </c>
      <c r="T441">
        <f>IF(S441="","",IF(S441&gt;Settings!$B$4,"Yes","No"))</f>
        <v/>
      </c>
      <c r="U441">
        <f>IF(OR(G441="",B441=""),"",IF(COUNTIFS($G$3:$G$1002,SUBSTITUTE(SUBSTITUTE(G441,"?","~?"),"*","~*"),$B$3:$B$1002,"&lt;&gt;"&amp;SUBSTITUTE(SUBSTITUTE(B441,"?","~?"),"*","~*"),$B$3:$B$1002,"?*")&gt;0,"Yes","No"))</f>
        <v/>
      </c>
      <c r="V441">
        <f>IF(OR(G441="",I441="",O441="",O441="Unclassified"),"",IFERROR(INDEX(Settings!$E$5:$H$16,MATCH(I441,Settings!$D$5:$D$16,0),MATCH(O441,Settings!$E$4:$H$4,0)),"Check"))</f>
        <v/>
      </c>
      <c r="W441">
        <f>IF(V441="","",IF(V441="No","Yes","No"))</f>
        <v/>
      </c>
      <c r="X441">
        <f>IF(OR(E441="",G441=""),"",IF(LOWER(IF(RIGHT(TRIM(E441),1)="/",LEFT(TRIM(E441),LEN(TRIM(E441))-1),TRIM(E441)))&lt;&gt;LOWER(IF(RIGHT(TRIM(G441),1)="/",LEFT(TRIM(G441),LEN(TRIM(G441))-1),TRIM(G441))),"Yes","No"))</f>
        <v/>
      </c>
      <c r="Y441">
        <f>IF(A441="","",(N(Q441)&gt;0)+(T441="Yes")+(U441="Yes")+(W441="Yes")+(X441="Yes"))</f>
        <v/>
      </c>
      <c r="Z441">
        <f>IF(A441="","",IF(G441="","Not mapped",IF(Y441=0,"OK",MID(IF(N(Q441)&gt;0,"; Cannibalisation","")&amp;IF(T441="Yes","; Too many primary keywords on URL","")&amp;IF(U441="Yes","; URL spans 2+ clusters","")&amp;IF(W441="Yes","; Intent mismatch","")&amp;IF(X441="Yes","; Ranking URL is not the target",""),3,300))))</f>
        <v/>
      </c>
      <c r="AA441">
        <f>IF(G441="","",IF(COUNTIF($G$3:G441,SUBSTITUTE(SUBSTITUTE(G441,"?","~?"),"*","~*"))=1,MAX($AA$2:AA440)+1,""))</f>
        <v/>
      </c>
      <c r="AB441">
        <f>IF(B441="","",IF(COUNTIF($B$3:B441,SUBSTITUTE(SUBSTITUTE(B441,"?","~?"),"*","~*"))=1,MAX($AB$2:AB440)+1,""))</f>
        <v/>
      </c>
    </row>
    <row r="442">
      <c r="M442">
        <f>IF(A442="","",LOWER(TRIM(SUBSTITUTE(SUBSTITUTE(A442,"?",""),"*",""))))</f>
        <v/>
      </c>
      <c r="N442">
        <f>IF(M442="","",IF(SUMPRODUCT(ISNUMBER(SEARCH(" "&amp;Settings!$L$5:$L$124&amp;" "," "&amp;M442&amp;" "))*(Settings!$K$5:$K$124="Navigational")*(Settings!$L$5:$L$124&lt;&gt;""))&gt;0,"Navigational",IF(SUMPRODUCT(ISNUMBER(SEARCH(" "&amp;Settings!$L$5:$L$124&amp;" "," "&amp;M442&amp;" "))*(Settings!$K$5:$K$124="Transactional")*(Settings!$L$5:$L$124&lt;&gt;""))&gt;0,"Transactional",IF(SUMPRODUCT(ISNUMBER(SEARCH(" "&amp;Settings!$L$5:$L$124&amp;" "," "&amp;M442&amp;" "))*(Settings!$K$5:$K$124="Commercial")*(Settings!$L$5:$L$124&lt;&gt;""))&gt;0,"Commercial",IF(SUMPRODUCT(ISNUMBER(SEARCH(" "&amp;Settings!$L$5:$L$124&amp;" "," "&amp;M442&amp;" "))*(Settings!$K$5:$K$124="Informational")*(Settings!$L$5:$L$124&lt;&gt;""))&gt;0,"Informational","Unclassified")))))</f>
        <v/>
      </c>
      <c r="O442">
        <f>IF(A442="","",IF(K442&lt;&gt;"",PROPER(K442),N442))</f>
        <v/>
      </c>
      <c r="P442">
        <f>IF(A442="","",ROUND(Settings!$B$5*MIN(1,LOG10(N(C442)+1)/LOG10(Settings!$B$7+1))+Settings!$B$6*(1-MIN(100,IF(D442="",50,N(D442)))/100)+IFERROR(INDEX(Settings!$B$10:$B$14,MATCH(O442,Settings!$A$10:$A$14,0)),0),0))</f>
        <v/>
      </c>
      <c r="Q442">
        <f>IF(OR(A442="",G442=""),"",COUNTIFS($M$3:$M$1002,M442,$G$3:$G$1002,"&lt;&gt;"&amp;SUBSTITUTE(SUBSTITUTE(G442,"?","~?"),"*","~*"),$G$3:$G$1002,"?*"))</f>
        <v/>
      </c>
      <c r="R442">
        <f>IF(Q442="","",IF(Q442&gt;0,"Yes","No"))</f>
        <v/>
      </c>
      <c r="S442">
        <f>IF(G442="","",COUNTIFS($G$3:$G$1002,SUBSTITUTE(SUBSTITUTE(G442,"?","~?"),"*","~*"),$J$3:$J$1002,"Primary"))</f>
        <v/>
      </c>
      <c r="T442">
        <f>IF(S442="","",IF(S442&gt;Settings!$B$4,"Yes","No"))</f>
        <v/>
      </c>
      <c r="U442">
        <f>IF(OR(G442="",B442=""),"",IF(COUNTIFS($G$3:$G$1002,SUBSTITUTE(SUBSTITUTE(G442,"?","~?"),"*","~*"),$B$3:$B$1002,"&lt;&gt;"&amp;SUBSTITUTE(SUBSTITUTE(B442,"?","~?"),"*","~*"),$B$3:$B$1002,"?*")&gt;0,"Yes","No"))</f>
        <v/>
      </c>
      <c r="V442">
        <f>IF(OR(G442="",I442="",O442="",O442="Unclassified"),"",IFERROR(INDEX(Settings!$E$5:$H$16,MATCH(I442,Settings!$D$5:$D$16,0),MATCH(O442,Settings!$E$4:$H$4,0)),"Check"))</f>
        <v/>
      </c>
      <c r="W442">
        <f>IF(V442="","",IF(V442="No","Yes","No"))</f>
        <v/>
      </c>
      <c r="X442">
        <f>IF(OR(E442="",G442=""),"",IF(LOWER(IF(RIGHT(TRIM(E442),1)="/",LEFT(TRIM(E442),LEN(TRIM(E442))-1),TRIM(E442)))&lt;&gt;LOWER(IF(RIGHT(TRIM(G442),1)="/",LEFT(TRIM(G442),LEN(TRIM(G442))-1),TRIM(G442))),"Yes","No"))</f>
        <v/>
      </c>
      <c r="Y442">
        <f>IF(A442="","",(N(Q442)&gt;0)+(T442="Yes")+(U442="Yes")+(W442="Yes")+(X442="Yes"))</f>
        <v/>
      </c>
      <c r="Z442">
        <f>IF(A442="","",IF(G442="","Not mapped",IF(Y442=0,"OK",MID(IF(N(Q442)&gt;0,"; Cannibalisation","")&amp;IF(T442="Yes","; Too many primary keywords on URL","")&amp;IF(U442="Yes","; URL spans 2+ clusters","")&amp;IF(W442="Yes","; Intent mismatch","")&amp;IF(X442="Yes","; Ranking URL is not the target",""),3,300))))</f>
        <v/>
      </c>
      <c r="AA442">
        <f>IF(G442="","",IF(COUNTIF($G$3:G442,SUBSTITUTE(SUBSTITUTE(G442,"?","~?"),"*","~*"))=1,MAX($AA$2:AA441)+1,""))</f>
        <v/>
      </c>
      <c r="AB442">
        <f>IF(B442="","",IF(COUNTIF($B$3:B442,SUBSTITUTE(SUBSTITUTE(B442,"?","~?"),"*","~*"))=1,MAX($AB$2:AB441)+1,""))</f>
        <v/>
      </c>
    </row>
    <row r="443">
      <c r="M443">
        <f>IF(A443="","",LOWER(TRIM(SUBSTITUTE(SUBSTITUTE(A443,"?",""),"*",""))))</f>
        <v/>
      </c>
      <c r="N443">
        <f>IF(M443="","",IF(SUMPRODUCT(ISNUMBER(SEARCH(" "&amp;Settings!$L$5:$L$124&amp;" "," "&amp;M443&amp;" "))*(Settings!$K$5:$K$124="Navigational")*(Settings!$L$5:$L$124&lt;&gt;""))&gt;0,"Navigational",IF(SUMPRODUCT(ISNUMBER(SEARCH(" "&amp;Settings!$L$5:$L$124&amp;" "," "&amp;M443&amp;" "))*(Settings!$K$5:$K$124="Transactional")*(Settings!$L$5:$L$124&lt;&gt;""))&gt;0,"Transactional",IF(SUMPRODUCT(ISNUMBER(SEARCH(" "&amp;Settings!$L$5:$L$124&amp;" "," "&amp;M443&amp;" "))*(Settings!$K$5:$K$124="Commercial")*(Settings!$L$5:$L$124&lt;&gt;""))&gt;0,"Commercial",IF(SUMPRODUCT(ISNUMBER(SEARCH(" "&amp;Settings!$L$5:$L$124&amp;" "," "&amp;M443&amp;" "))*(Settings!$K$5:$K$124="Informational")*(Settings!$L$5:$L$124&lt;&gt;""))&gt;0,"Informational","Unclassified")))))</f>
        <v/>
      </c>
      <c r="O443">
        <f>IF(A443="","",IF(K443&lt;&gt;"",PROPER(K443),N443))</f>
        <v/>
      </c>
      <c r="P443">
        <f>IF(A443="","",ROUND(Settings!$B$5*MIN(1,LOG10(N(C443)+1)/LOG10(Settings!$B$7+1))+Settings!$B$6*(1-MIN(100,IF(D443="",50,N(D443)))/100)+IFERROR(INDEX(Settings!$B$10:$B$14,MATCH(O443,Settings!$A$10:$A$14,0)),0),0))</f>
        <v/>
      </c>
      <c r="Q443">
        <f>IF(OR(A443="",G443=""),"",COUNTIFS($M$3:$M$1002,M443,$G$3:$G$1002,"&lt;&gt;"&amp;SUBSTITUTE(SUBSTITUTE(G443,"?","~?"),"*","~*"),$G$3:$G$1002,"?*"))</f>
        <v/>
      </c>
      <c r="R443">
        <f>IF(Q443="","",IF(Q443&gt;0,"Yes","No"))</f>
        <v/>
      </c>
      <c r="S443">
        <f>IF(G443="","",COUNTIFS($G$3:$G$1002,SUBSTITUTE(SUBSTITUTE(G443,"?","~?"),"*","~*"),$J$3:$J$1002,"Primary"))</f>
        <v/>
      </c>
      <c r="T443">
        <f>IF(S443="","",IF(S443&gt;Settings!$B$4,"Yes","No"))</f>
        <v/>
      </c>
      <c r="U443">
        <f>IF(OR(G443="",B443=""),"",IF(COUNTIFS($G$3:$G$1002,SUBSTITUTE(SUBSTITUTE(G443,"?","~?"),"*","~*"),$B$3:$B$1002,"&lt;&gt;"&amp;SUBSTITUTE(SUBSTITUTE(B443,"?","~?"),"*","~*"),$B$3:$B$1002,"?*")&gt;0,"Yes","No"))</f>
        <v/>
      </c>
      <c r="V443">
        <f>IF(OR(G443="",I443="",O443="",O443="Unclassified"),"",IFERROR(INDEX(Settings!$E$5:$H$16,MATCH(I443,Settings!$D$5:$D$16,0),MATCH(O443,Settings!$E$4:$H$4,0)),"Check"))</f>
        <v/>
      </c>
      <c r="W443">
        <f>IF(V443="","",IF(V443="No","Yes","No"))</f>
        <v/>
      </c>
      <c r="X443">
        <f>IF(OR(E443="",G443=""),"",IF(LOWER(IF(RIGHT(TRIM(E443),1)="/",LEFT(TRIM(E443),LEN(TRIM(E443))-1),TRIM(E443)))&lt;&gt;LOWER(IF(RIGHT(TRIM(G443),1)="/",LEFT(TRIM(G443),LEN(TRIM(G443))-1),TRIM(G443))),"Yes","No"))</f>
        <v/>
      </c>
      <c r="Y443">
        <f>IF(A443="","",(N(Q443)&gt;0)+(T443="Yes")+(U443="Yes")+(W443="Yes")+(X443="Yes"))</f>
        <v/>
      </c>
      <c r="Z443">
        <f>IF(A443="","",IF(G443="","Not mapped",IF(Y443=0,"OK",MID(IF(N(Q443)&gt;0,"; Cannibalisation","")&amp;IF(T443="Yes","; Too many primary keywords on URL","")&amp;IF(U443="Yes","; URL spans 2+ clusters","")&amp;IF(W443="Yes","; Intent mismatch","")&amp;IF(X443="Yes","; Ranking URL is not the target",""),3,300))))</f>
        <v/>
      </c>
      <c r="AA443">
        <f>IF(G443="","",IF(COUNTIF($G$3:G443,SUBSTITUTE(SUBSTITUTE(G443,"?","~?"),"*","~*"))=1,MAX($AA$2:AA442)+1,""))</f>
        <v/>
      </c>
      <c r="AB443">
        <f>IF(B443="","",IF(COUNTIF($B$3:B443,SUBSTITUTE(SUBSTITUTE(B443,"?","~?"),"*","~*"))=1,MAX($AB$2:AB442)+1,""))</f>
        <v/>
      </c>
    </row>
    <row r="444">
      <c r="M444">
        <f>IF(A444="","",LOWER(TRIM(SUBSTITUTE(SUBSTITUTE(A444,"?",""),"*",""))))</f>
        <v/>
      </c>
      <c r="N444">
        <f>IF(M444="","",IF(SUMPRODUCT(ISNUMBER(SEARCH(" "&amp;Settings!$L$5:$L$124&amp;" "," "&amp;M444&amp;" "))*(Settings!$K$5:$K$124="Navigational")*(Settings!$L$5:$L$124&lt;&gt;""))&gt;0,"Navigational",IF(SUMPRODUCT(ISNUMBER(SEARCH(" "&amp;Settings!$L$5:$L$124&amp;" "," "&amp;M444&amp;" "))*(Settings!$K$5:$K$124="Transactional")*(Settings!$L$5:$L$124&lt;&gt;""))&gt;0,"Transactional",IF(SUMPRODUCT(ISNUMBER(SEARCH(" "&amp;Settings!$L$5:$L$124&amp;" "," "&amp;M444&amp;" "))*(Settings!$K$5:$K$124="Commercial")*(Settings!$L$5:$L$124&lt;&gt;""))&gt;0,"Commercial",IF(SUMPRODUCT(ISNUMBER(SEARCH(" "&amp;Settings!$L$5:$L$124&amp;" "," "&amp;M444&amp;" "))*(Settings!$K$5:$K$124="Informational")*(Settings!$L$5:$L$124&lt;&gt;""))&gt;0,"Informational","Unclassified")))))</f>
        <v/>
      </c>
      <c r="O444">
        <f>IF(A444="","",IF(K444&lt;&gt;"",PROPER(K444),N444))</f>
        <v/>
      </c>
      <c r="P444">
        <f>IF(A444="","",ROUND(Settings!$B$5*MIN(1,LOG10(N(C444)+1)/LOG10(Settings!$B$7+1))+Settings!$B$6*(1-MIN(100,IF(D444="",50,N(D444)))/100)+IFERROR(INDEX(Settings!$B$10:$B$14,MATCH(O444,Settings!$A$10:$A$14,0)),0),0))</f>
        <v/>
      </c>
      <c r="Q444">
        <f>IF(OR(A444="",G444=""),"",COUNTIFS($M$3:$M$1002,M444,$G$3:$G$1002,"&lt;&gt;"&amp;SUBSTITUTE(SUBSTITUTE(G444,"?","~?"),"*","~*"),$G$3:$G$1002,"?*"))</f>
        <v/>
      </c>
      <c r="R444">
        <f>IF(Q444="","",IF(Q444&gt;0,"Yes","No"))</f>
        <v/>
      </c>
      <c r="S444">
        <f>IF(G444="","",COUNTIFS($G$3:$G$1002,SUBSTITUTE(SUBSTITUTE(G444,"?","~?"),"*","~*"),$J$3:$J$1002,"Primary"))</f>
        <v/>
      </c>
      <c r="T444">
        <f>IF(S444="","",IF(S444&gt;Settings!$B$4,"Yes","No"))</f>
        <v/>
      </c>
      <c r="U444">
        <f>IF(OR(G444="",B444=""),"",IF(COUNTIFS($G$3:$G$1002,SUBSTITUTE(SUBSTITUTE(G444,"?","~?"),"*","~*"),$B$3:$B$1002,"&lt;&gt;"&amp;SUBSTITUTE(SUBSTITUTE(B444,"?","~?"),"*","~*"),$B$3:$B$1002,"?*")&gt;0,"Yes","No"))</f>
        <v/>
      </c>
      <c r="V444">
        <f>IF(OR(G444="",I444="",O444="",O444="Unclassified"),"",IFERROR(INDEX(Settings!$E$5:$H$16,MATCH(I444,Settings!$D$5:$D$16,0),MATCH(O444,Settings!$E$4:$H$4,0)),"Check"))</f>
        <v/>
      </c>
      <c r="W444">
        <f>IF(V444="","",IF(V444="No","Yes","No"))</f>
        <v/>
      </c>
      <c r="X444">
        <f>IF(OR(E444="",G444=""),"",IF(LOWER(IF(RIGHT(TRIM(E444),1)="/",LEFT(TRIM(E444),LEN(TRIM(E444))-1),TRIM(E444)))&lt;&gt;LOWER(IF(RIGHT(TRIM(G444),1)="/",LEFT(TRIM(G444),LEN(TRIM(G444))-1),TRIM(G444))),"Yes","No"))</f>
        <v/>
      </c>
      <c r="Y444">
        <f>IF(A444="","",(N(Q444)&gt;0)+(T444="Yes")+(U444="Yes")+(W444="Yes")+(X444="Yes"))</f>
        <v/>
      </c>
      <c r="Z444">
        <f>IF(A444="","",IF(G444="","Not mapped",IF(Y444=0,"OK",MID(IF(N(Q444)&gt;0,"; Cannibalisation","")&amp;IF(T444="Yes","; Too many primary keywords on URL","")&amp;IF(U444="Yes","; URL spans 2+ clusters","")&amp;IF(W444="Yes","; Intent mismatch","")&amp;IF(X444="Yes","; Ranking URL is not the target",""),3,300))))</f>
        <v/>
      </c>
      <c r="AA444">
        <f>IF(G444="","",IF(COUNTIF($G$3:G444,SUBSTITUTE(SUBSTITUTE(G444,"?","~?"),"*","~*"))=1,MAX($AA$2:AA443)+1,""))</f>
        <v/>
      </c>
      <c r="AB444">
        <f>IF(B444="","",IF(COUNTIF($B$3:B444,SUBSTITUTE(SUBSTITUTE(B444,"?","~?"),"*","~*"))=1,MAX($AB$2:AB443)+1,""))</f>
        <v/>
      </c>
    </row>
    <row r="445">
      <c r="M445">
        <f>IF(A445="","",LOWER(TRIM(SUBSTITUTE(SUBSTITUTE(A445,"?",""),"*",""))))</f>
        <v/>
      </c>
      <c r="N445">
        <f>IF(M445="","",IF(SUMPRODUCT(ISNUMBER(SEARCH(" "&amp;Settings!$L$5:$L$124&amp;" "," "&amp;M445&amp;" "))*(Settings!$K$5:$K$124="Navigational")*(Settings!$L$5:$L$124&lt;&gt;""))&gt;0,"Navigational",IF(SUMPRODUCT(ISNUMBER(SEARCH(" "&amp;Settings!$L$5:$L$124&amp;" "," "&amp;M445&amp;" "))*(Settings!$K$5:$K$124="Transactional")*(Settings!$L$5:$L$124&lt;&gt;""))&gt;0,"Transactional",IF(SUMPRODUCT(ISNUMBER(SEARCH(" "&amp;Settings!$L$5:$L$124&amp;" "," "&amp;M445&amp;" "))*(Settings!$K$5:$K$124="Commercial")*(Settings!$L$5:$L$124&lt;&gt;""))&gt;0,"Commercial",IF(SUMPRODUCT(ISNUMBER(SEARCH(" "&amp;Settings!$L$5:$L$124&amp;" "," "&amp;M445&amp;" "))*(Settings!$K$5:$K$124="Informational")*(Settings!$L$5:$L$124&lt;&gt;""))&gt;0,"Informational","Unclassified")))))</f>
        <v/>
      </c>
      <c r="O445">
        <f>IF(A445="","",IF(K445&lt;&gt;"",PROPER(K445),N445))</f>
        <v/>
      </c>
      <c r="P445">
        <f>IF(A445="","",ROUND(Settings!$B$5*MIN(1,LOG10(N(C445)+1)/LOG10(Settings!$B$7+1))+Settings!$B$6*(1-MIN(100,IF(D445="",50,N(D445)))/100)+IFERROR(INDEX(Settings!$B$10:$B$14,MATCH(O445,Settings!$A$10:$A$14,0)),0),0))</f>
        <v/>
      </c>
      <c r="Q445">
        <f>IF(OR(A445="",G445=""),"",COUNTIFS($M$3:$M$1002,M445,$G$3:$G$1002,"&lt;&gt;"&amp;SUBSTITUTE(SUBSTITUTE(G445,"?","~?"),"*","~*"),$G$3:$G$1002,"?*"))</f>
        <v/>
      </c>
      <c r="R445">
        <f>IF(Q445="","",IF(Q445&gt;0,"Yes","No"))</f>
        <v/>
      </c>
      <c r="S445">
        <f>IF(G445="","",COUNTIFS($G$3:$G$1002,SUBSTITUTE(SUBSTITUTE(G445,"?","~?"),"*","~*"),$J$3:$J$1002,"Primary"))</f>
        <v/>
      </c>
      <c r="T445">
        <f>IF(S445="","",IF(S445&gt;Settings!$B$4,"Yes","No"))</f>
        <v/>
      </c>
      <c r="U445">
        <f>IF(OR(G445="",B445=""),"",IF(COUNTIFS($G$3:$G$1002,SUBSTITUTE(SUBSTITUTE(G445,"?","~?"),"*","~*"),$B$3:$B$1002,"&lt;&gt;"&amp;SUBSTITUTE(SUBSTITUTE(B445,"?","~?"),"*","~*"),$B$3:$B$1002,"?*")&gt;0,"Yes","No"))</f>
        <v/>
      </c>
      <c r="V445">
        <f>IF(OR(G445="",I445="",O445="",O445="Unclassified"),"",IFERROR(INDEX(Settings!$E$5:$H$16,MATCH(I445,Settings!$D$5:$D$16,0),MATCH(O445,Settings!$E$4:$H$4,0)),"Check"))</f>
        <v/>
      </c>
      <c r="W445">
        <f>IF(V445="","",IF(V445="No","Yes","No"))</f>
        <v/>
      </c>
      <c r="X445">
        <f>IF(OR(E445="",G445=""),"",IF(LOWER(IF(RIGHT(TRIM(E445),1)="/",LEFT(TRIM(E445),LEN(TRIM(E445))-1),TRIM(E445)))&lt;&gt;LOWER(IF(RIGHT(TRIM(G445),1)="/",LEFT(TRIM(G445),LEN(TRIM(G445))-1),TRIM(G445))),"Yes","No"))</f>
        <v/>
      </c>
      <c r="Y445">
        <f>IF(A445="","",(N(Q445)&gt;0)+(T445="Yes")+(U445="Yes")+(W445="Yes")+(X445="Yes"))</f>
        <v/>
      </c>
      <c r="Z445">
        <f>IF(A445="","",IF(G445="","Not mapped",IF(Y445=0,"OK",MID(IF(N(Q445)&gt;0,"; Cannibalisation","")&amp;IF(T445="Yes","; Too many primary keywords on URL","")&amp;IF(U445="Yes","; URL spans 2+ clusters","")&amp;IF(W445="Yes","; Intent mismatch","")&amp;IF(X445="Yes","; Ranking URL is not the target",""),3,300))))</f>
        <v/>
      </c>
      <c r="AA445">
        <f>IF(G445="","",IF(COUNTIF($G$3:G445,SUBSTITUTE(SUBSTITUTE(G445,"?","~?"),"*","~*"))=1,MAX($AA$2:AA444)+1,""))</f>
        <v/>
      </c>
      <c r="AB445">
        <f>IF(B445="","",IF(COUNTIF($B$3:B445,SUBSTITUTE(SUBSTITUTE(B445,"?","~?"),"*","~*"))=1,MAX($AB$2:AB444)+1,""))</f>
        <v/>
      </c>
    </row>
    <row r="446">
      <c r="M446">
        <f>IF(A446="","",LOWER(TRIM(SUBSTITUTE(SUBSTITUTE(A446,"?",""),"*",""))))</f>
        <v/>
      </c>
      <c r="N446">
        <f>IF(M446="","",IF(SUMPRODUCT(ISNUMBER(SEARCH(" "&amp;Settings!$L$5:$L$124&amp;" "," "&amp;M446&amp;" "))*(Settings!$K$5:$K$124="Navigational")*(Settings!$L$5:$L$124&lt;&gt;""))&gt;0,"Navigational",IF(SUMPRODUCT(ISNUMBER(SEARCH(" "&amp;Settings!$L$5:$L$124&amp;" "," "&amp;M446&amp;" "))*(Settings!$K$5:$K$124="Transactional")*(Settings!$L$5:$L$124&lt;&gt;""))&gt;0,"Transactional",IF(SUMPRODUCT(ISNUMBER(SEARCH(" "&amp;Settings!$L$5:$L$124&amp;" "," "&amp;M446&amp;" "))*(Settings!$K$5:$K$124="Commercial")*(Settings!$L$5:$L$124&lt;&gt;""))&gt;0,"Commercial",IF(SUMPRODUCT(ISNUMBER(SEARCH(" "&amp;Settings!$L$5:$L$124&amp;" "," "&amp;M446&amp;" "))*(Settings!$K$5:$K$124="Informational")*(Settings!$L$5:$L$124&lt;&gt;""))&gt;0,"Informational","Unclassified")))))</f>
        <v/>
      </c>
      <c r="O446">
        <f>IF(A446="","",IF(K446&lt;&gt;"",PROPER(K446),N446))</f>
        <v/>
      </c>
      <c r="P446">
        <f>IF(A446="","",ROUND(Settings!$B$5*MIN(1,LOG10(N(C446)+1)/LOG10(Settings!$B$7+1))+Settings!$B$6*(1-MIN(100,IF(D446="",50,N(D446)))/100)+IFERROR(INDEX(Settings!$B$10:$B$14,MATCH(O446,Settings!$A$10:$A$14,0)),0),0))</f>
        <v/>
      </c>
      <c r="Q446">
        <f>IF(OR(A446="",G446=""),"",COUNTIFS($M$3:$M$1002,M446,$G$3:$G$1002,"&lt;&gt;"&amp;SUBSTITUTE(SUBSTITUTE(G446,"?","~?"),"*","~*"),$G$3:$G$1002,"?*"))</f>
        <v/>
      </c>
      <c r="R446">
        <f>IF(Q446="","",IF(Q446&gt;0,"Yes","No"))</f>
        <v/>
      </c>
      <c r="S446">
        <f>IF(G446="","",COUNTIFS($G$3:$G$1002,SUBSTITUTE(SUBSTITUTE(G446,"?","~?"),"*","~*"),$J$3:$J$1002,"Primary"))</f>
        <v/>
      </c>
      <c r="T446">
        <f>IF(S446="","",IF(S446&gt;Settings!$B$4,"Yes","No"))</f>
        <v/>
      </c>
      <c r="U446">
        <f>IF(OR(G446="",B446=""),"",IF(COUNTIFS($G$3:$G$1002,SUBSTITUTE(SUBSTITUTE(G446,"?","~?"),"*","~*"),$B$3:$B$1002,"&lt;&gt;"&amp;SUBSTITUTE(SUBSTITUTE(B446,"?","~?"),"*","~*"),$B$3:$B$1002,"?*")&gt;0,"Yes","No"))</f>
        <v/>
      </c>
      <c r="V446">
        <f>IF(OR(G446="",I446="",O446="",O446="Unclassified"),"",IFERROR(INDEX(Settings!$E$5:$H$16,MATCH(I446,Settings!$D$5:$D$16,0),MATCH(O446,Settings!$E$4:$H$4,0)),"Check"))</f>
        <v/>
      </c>
      <c r="W446">
        <f>IF(V446="","",IF(V446="No","Yes","No"))</f>
        <v/>
      </c>
      <c r="X446">
        <f>IF(OR(E446="",G446=""),"",IF(LOWER(IF(RIGHT(TRIM(E446),1)="/",LEFT(TRIM(E446),LEN(TRIM(E446))-1),TRIM(E446)))&lt;&gt;LOWER(IF(RIGHT(TRIM(G446),1)="/",LEFT(TRIM(G446),LEN(TRIM(G446))-1),TRIM(G446))),"Yes","No"))</f>
        <v/>
      </c>
      <c r="Y446">
        <f>IF(A446="","",(N(Q446)&gt;0)+(T446="Yes")+(U446="Yes")+(W446="Yes")+(X446="Yes"))</f>
        <v/>
      </c>
      <c r="Z446">
        <f>IF(A446="","",IF(G446="","Not mapped",IF(Y446=0,"OK",MID(IF(N(Q446)&gt;0,"; Cannibalisation","")&amp;IF(T446="Yes","; Too many primary keywords on URL","")&amp;IF(U446="Yes","; URL spans 2+ clusters","")&amp;IF(W446="Yes","; Intent mismatch","")&amp;IF(X446="Yes","; Ranking URL is not the target",""),3,300))))</f>
        <v/>
      </c>
      <c r="AA446">
        <f>IF(G446="","",IF(COUNTIF($G$3:G446,SUBSTITUTE(SUBSTITUTE(G446,"?","~?"),"*","~*"))=1,MAX($AA$2:AA445)+1,""))</f>
        <v/>
      </c>
      <c r="AB446">
        <f>IF(B446="","",IF(COUNTIF($B$3:B446,SUBSTITUTE(SUBSTITUTE(B446,"?","~?"),"*","~*"))=1,MAX($AB$2:AB445)+1,""))</f>
        <v/>
      </c>
    </row>
    <row r="447">
      <c r="M447">
        <f>IF(A447="","",LOWER(TRIM(SUBSTITUTE(SUBSTITUTE(A447,"?",""),"*",""))))</f>
        <v/>
      </c>
      <c r="N447">
        <f>IF(M447="","",IF(SUMPRODUCT(ISNUMBER(SEARCH(" "&amp;Settings!$L$5:$L$124&amp;" "," "&amp;M447&amp;" "))*(Settings!$K$5:$K$124="Navigational")*(Settings!$L$5:$L$124&lt;&gt;""))&gt;0,"Navigational",IF(SUMPRODUCT(ISNUMBER(SEARCH(" "&amp;Settings!$L$5:$L$124&amp;" "," "&amp;M447&amp;" "))*(Settings!$K$5:$K$124="Transactional")*(Settings!$L$5:$L$124&lt;&gt;""))&gt;0,"Transactional",IF(SUMPRODUCT(ISNUMBER(SEARCH(" "&amp;Settings!$L$5:$L$124&amp;" "," "&amp;M447&amp;" "))*(Settings!$K$5:$K$124="Commercial")*(Settings!$L$5:$L$124&lt;&gt;""))&gt;0,"Commercial",IF(SUMPRODUCT(ISNUMBER(SEARCH(" "&amp;Settings!$L$5:$L$124&amp;" "," "&amp;M447&amp;" "))*(Settings!$K$5:$K$124="Informational")*(Settings!$L$5:$L$124&lt;&gt;""))&gt;0,"Informational","Unclassified")))))</f>
        <v/>
      </c>
      <c r="O447">
        <f>IF(A447="","",IF(K447&lt;&gt;"",PROPER(K447),N447))</f>
        <v/>
      </c>
      <c r="P447">
        <f>IF(A447="","",ROUND(Settings!$B$5*MIN(1,LOG10(N(C447)+1)/LOG10(Settings!$B$7+1))+Settings!$B$6*(1-MIN(100,IF(D447="",50,N(D447)))/100)+IFERROR(INDEX(Settings!$B$10:$B$14,MATCH(O447,Settings!$A$10:$A$14,0)),0),0))</f>
        <v/>
      </c>
      <c r="Q447">
        <f>IF(OR(A447="",G447=""),"",COUNTIFS($M$3:$M$1002,M447,$G$3:$G$1002,"&lt;&gt;"&amp;SUBSTITUTE(SUBSTITUTE(G447,"?","~?"),"*","~*"),$G$3:$G$1002,"?*"))</f>
        <v/>
      </c>
      <c r="R447">
        <f>IF(Q447="","",IF(Q447&gt;0,"Yes","No"))</f>
        <v/>
      </c>
      <c r="S447">
        <f>IF(G447="","",COUNTIFS($G$3:$G$1002,SUBSTITUTE(SUBSTITUTE(G447,"?","~?"),"*","~*"),$J$3:$J$1002,"Primary"))</f>
        <v/>
      </c>
      <c r="T447">
        <f>IF(S447="","",IF(S447&gt;Settings!$B$4,"Yes","No"))</f>
        <v/>
      </c>
      <c r="U447">
        <f>IF(OR(G447="",B447=""),"",IF(COUNTIFS($G$3:$G$1002,SUBSTITUTE(SUBSTITUTE(G447,"?","~?"),"*","~*"),$B$3:$B$1002,"&lt;&gt;"&amp;SUBSTITUTE(SUBSTITUTE(B447,"?","~?"),"*","~*"),$B$3:$B$1002,"?*")&gt;0,"Yes","No"))</f>
        <v/>
      </c>
      <c r="V447">
        <f>IF(OR(G447="",I447="",O447="",O447="Unclassified"),"",IFERROR(INDEX(Settings!$E$5:$H$16,MATCH(I447,Settings!$D$5:$D$16,0),MATCH(O447,Settings!$E$4:$H$4,0)),"Check"))</f>
        <v/>
      </c>
      <c r="W447">
        <f>IF(V447="","",IF(V447="No","Yes","No"))</f>
        <v/>
      </c>
      <c r="X447">
        <f>IF(OR(E447="",G447=""),"",IF(LOWER(IF(RIGHT(TRIM(E447),1)="/",LEFT(TRIM(E447),LEN(TRIM(E447))-1),TRIM(E447)))&lt;&gt;LOWER(IF(RIGHT(TRIM(G447),1)="/",LEFT(TRIM(G447),LEN(TRIM(G447))-1),TRIM(G447))),"Yes","No"))</f>
        <v/>
      </c>
      <c r="Y447">
        <f>IF(A447="","",(N(Q447)&gt;0)+(T447="Yes")+(U447="Yes")+(W447="Yes")+(X447="Yes"))</f>
        <v/>
      </c>
      <c r="Z447">
        <f>IF(A447="","",IF(G447="","Not mapped",IF(Y447=0,"OK",MID(IF(N(Q447)&gt;0,"; Cannibalisation","")&amp;IF(T447="Yes","; Too many primary keywords on URL","")&amp;IF(U447="Yes","; URL spans 2+ clusters","")&amp;IF(W447="Yes","; Intent mismatch","")&amp;IF(X447="Yes","; Ranking URL is not the target",""),3,300))))</f>
        <v/>
      </c>
      <c r="AA447">
        <f>IF(G447="","",IF(COUNTIF($G$3:G447,SUBSTITUTE(SUBSTITUTE(G447,"?","~?"),"*","~*"))=1,MAX($AA$2:AA446)+1,""))</f>
        <v/>
      </c>
      <c r="AB447">
        <f>IF(B447="","",IF(COUNTIF($B$3:B447,SUBSTITUTE(SUBSTITUTE(B447,"?","~?"),"*","~*"))=1,MAX($AB$2:AB446)+1,""))</f>
        <v/>
      </c>
    </row>
    <row r="448">
      <c r="M448">
        <f>IF(A448="","",LOWER(TRIM(SUBSTITUTE(SUBSTITUTE(A448,"?",""),"*",""))))</f>
        <v/>
      </c>
      <c r="N448">
        <f>IF(M448="","",IF(SUMPRODUCT(ISNUMBER(SEARCH(" "&amp;Settings!$L$5:$L$124&amp;" "," "&amp;M448&amp;" "))*(Settings!$K$5:$K$124="Navigational")*(Settings!$L$5:$L$124&lt;&gt;""))&gt;0,"Navigational",IF(SUMPRODUCT(ISNUMBER(SEARCH(" "&amp;Settings!$L$5:$L$124&amp;" "," "&amp;M448&amp;" "))*(Settings!$K$5:$K$124="Transactional")*(Settings!$L$5:$L$124&lt;&gt;""))&gt;0,"Transactional",IF(SUMPRODUCT(ISNUMBER(SEARCH(" "&amp;Settings!$L$5:$L$124&amp;" "," "&amp;M448&amp;" "))*(Settings!$K$5:$K$124="Commercial")*(Settings!$L$5:$L$124&lt;&gt;""))&gt;0,"Commercial",IF(SUMPRODUCT(ISNUMBER(SEARCH(" "&amp;Settings!$L$5:$L$124&amp;" "," "&amp;M448&amp;" "))*(Settings!$K$5:$K$124="Informational")*(Settings!$L$5:$L$124&lt;&gt;""))&gt;0,"Informational","Unclassified")))))</f>
        <v/>
      </c>
      <c r="O448">
        <f>IF(A448="","",IF(K448&lt;&gt;"",PROPER(K448),N448))</f>
        <v/>
      </c>
      <c r="P448">
        <f>IF(A448="","",ROUND(Settings!$B$5*MIN(1,LOG10(N(C448)+1)/LOG10(Settings!$B$7+1))+Settings!$B$6*(1-MIN(100,IF(D448="",50,N(D448)))/100)+IFERROR(INDEX(Settings!$B$10:$B$14,MATCH(O448,Settings!$A$10:$A$14,0)),0),0))</f>
        <v/>
      </c>
      <c r="Q448">
        <f>IF(OR(A448="",G448=""),"",COUNTIFS($M$3:$M$1002,M448,$G$3:$G$1002,"&lt;&gt;"&amp;SUBSTITUTE(SUBSTITUTE(G448,"?","~?"),"*","~*"),$G$3:$G$1002,"?*"))</f>
        <v/>
      </c>
      <c r="R448">
        <f>IF(Q448="","",IF(Q448&gt;0,"Yes","No"))</f>
        <v/>
      </c>
      <c r="S448">
        <f>IF(G448="","",COUNTIFS($G$3:$G$1002,SUBSTITUTE(SUBSTITUTE(G448,"?","~?"),"*","~*"),$J$3:$J$1002,"Primary"))</f>
        <v/>
      </c>
      <c r="T448">
        <f>IF(S448="","",IF(S448&gt;Settings!$B$4,"Yes","No"))</f>
        <v/>
      </c>
      <c r="U448">
        <f>IF(OR(G448="",B448=""),"",IF(COUNTIFS($G$3:$G$1002,SUBSTITUTE(SUBSTITUTE(G448,"?","~?"),"*","~*"),$B$3:$B$1002,"&lt;&gt;"&amp;SUBSTITUTE(SUBSTITUTE(B448,"?","~?"),"*","~*"),$B$3:$B$1002,"?*")&gt;0,"Yes","No"))</f>
        <v/>
      </c>
      <c r="V448">
        <f>IF(OR(G448="",I448="",O448="",O448="Unclassified"),"",IFERROR(INDEX(Settings!$E$5:$H$16,MATCH(I448,Settings!$D$5:$D$16,0),MATCH(O448,Settings!$E$4:$H$4,0)),"Check"))</f>
        <v/>
      </c>
      <c r="W448">
        <f>IF(V448="","",IF(V448="No","Yes","No"))</f>
        <v/>
      </c>
      <c r="X448">
        <f>IF(OR(E448="",G448=""),"",IF(LOWER(IF(RIGHT(TRIM(E448),1)="/",LEFT(TRIM(E448),LEN(TRIM(E448))-1),TRIM(E448)))&lt;&gt;LOWER(IF(RIGHT(TRIM(G448),1)="/",LEFT(TRIM(G448),LEN(TRIM(G448))-1),TRIM(G448))),"Yes","No"))</f>
        <v/>
      </c>
      <c r="Y448">
        <f>IF(A448="","",(N(Q448)&gt;0)+(T448="Yes")+(U448="Yes")+(W448="Yes")+(X448="Yes"))</f>
        <v/>
      </c>
      <c r="Z448">
        <f>IF(A448="","",IF(G448="","Not mapped",IF(Y448=0,"OK",MID(IF(N(Q448)&gt;0,"; Cannibalisation","")&amp;IF(T448="Yes","; Too many primary keywords on URL","")&amp;IF(U448="Yes","; URL spans 2+ clusters","")&amp;IF(W448="Yes","; Intent mismatch","")&amp;IF(X448="Yes","; Ranking URL is not the target",""),3,300))))</f>
        <v/>
      </c>
      <c r="AA448">
        <f>IF(G448="","",IF(COUNTIF($G$3:G448,SUBSTITUTE(SUBSTITUTE(G448,"?","~?"),"*","~*"))=1,MAX($AA$2:AA447)+1,""))</f>
        <v/>
      </c>
      <c r="AB448">
        <f>IF(B448="","",IF(COUNTIF($B$3:B448,SUBSTITUTE(SUBSTITUTE(B448,"?","~?"),"*","~*"))=1,MAX($AB$2:AB447)+1,""))</f>
        <v/>
      </c>
    </row>
    <row r="449">
      <c r="M449">
        <f>IF(A449="","",LOWER(TRIM(SUBSTITUTE(SUBSTITUTE(A449,"?",""),"*",""))))</f>
        <v/>
      </c>
      <c r="N449">
        <f>IF(M449="","",IF(SUMPRODUCT(ISNUMBER(SEARCH(" "&amp;Settings!$L$5:$L$124&amp;" "," "&amp;M449&amp;" "))*(Settings!$K$5:$K$124="Navigational")*(Settings!$L$5:$L$124&lt;&gt;""))&gt;0,"Navigational",IF(SUMPRODUCT(ISNUMBER(SEARCH(" "&amp;Settings!$L$5:$L$124&amp;" "," "&amp;M449&amp;" "))*(Settings!$K$5:$K$124="Transactional")*(Settings!$L$5:$L$124&lt;&gt;""))&gt;0,"Transactional",IF(SUMPRODUCT(ISNUMBER(SEARCH(" "&amp;Settings!$L$5:$L$124&amp;" "," "&amp;M449&amp;" "))*(Settings!$K$5:$K$124="Commercial")*(Settings!$L$5:$L$124&lt;&gt;""))&gt;0,"Commercial",IF(SUMPRODUCT(ISNUMBER(SEARCH(" "&amp;Settings!$L$5:$L$124&amp;" "," "&amp;M449&amp;" "))*(Settings!$K$5:$K$124="Informational")*(Settings!$L$5:$L$124&lt;&gt;""))&gt;0,"Informational","Unclassified")))))</f>
        <v/>
      </c>
      <c r="O449">
        <f>IF(A449="","",IF(K449&lt;&gt;"",PROPER(K449),N449))</f>
        <v/>
      </c>
      <c r="P449">
        <f>IF(A449="","",ROUND(Settings!$B$5*MIN(1,LOG10(N(C449)+1)/LOG10(Settings!$B$7+1))+Settings!$B$6*(1-MIN(100,IF(D449="",50,N(D449)))/100)+IFERROR(INDEX(Settings!$B$10:$B$14,MATCH(O449,Settings!$A$10:$A$14,0)),0),0))</f>
        <v/>
      </c>
      <c r="Q449">
        <f>IF(OR(A449="",G449=""),"",COUNTIFS($M$3:$M$1002,M449,$G$3:$G$1002,"&lt;&gt;"&amp;SUBSTITUTE(SUBSTITUTE(G449,"?","~?"),"*","~*"),$G$3:$G$1002,"?*"))</f>
        <v/>
      </c>
      <c r="R449">
        <f>IF(Q449="","",IF(Q449&gt;0,"Yes","No"))</f>
        <v/>
      </c>
      <c r="S449">
        <f>IF(G449="","",COUNTIFS($G$3:$G$1002,SUBSTITUTE(SUBSTITUTE(G449,"?","~?"),"*","~*"),$J$3:$J$1002,"Primary"))</f>
        <v/>
      </c>
      <c r="T449">
        <f>IF(S449="","",IF(S449&gt;Settings!$B$4,"Yes","No"))</f>
        <v/>
      </c>
      <c r="U449">
        <f>IF(OR(G449="",B449=""),"",IF(COUNTIFS($G$3:$G$1002,SUBSTITUTE(SUBSTITUTE(G449,"?","~?"),"*","~*"),$B$3:$B$1002,"&lt;&gt;"&amp;SUBSTITUTE(SUBSTITUTE(B449,"?","~?"),"*","~*"),$B$3:$B$1002,"?*")&gt;0,"Yes","No"))</f>
        <v/>
      </c>
      <c r="V449">
        <f>IF(OR(G449="",I449="",O449="",O449="Unclassified"),"",IFERROR(INDEX(Settings!$E$5:$H$16,MATCH(I449,Settings!$D$5:$D$16,0),MATCH(O449,Settings!$E$4:$H$4,0)),"Check"))</f>
        <v/>
      </c>
      <c r="W449">
        <f>IF(V449="","",IF(V449="No","Yes","No"))</f>
        <v/>
      </c>
      <c r="X449">
        <f>IF(OR(E449="",G449=""),"",IF(LOWER(IF(RIGHT(TRIM(E449),1)="/",LEFT(TRIM(E449),LEN(TRIM(E449))-1),TRIM(E449)))&lt;&gt;LOWER(IF(RIGHT(TRIM(G449),1)="/",LEFT(TRIM(G449),LEN(TRIM(G449))-1),TRIM(G449))),"Yes","No"))</f>
        <v/>
      </c>
      <c r="Y449">
        <f>IF(A449="","",(N(Q449)&gt;0)+(T449="Yes")+(U449="Yes")+(W449="Yes")+(X449="Yes"))</f>
        <v/>
      </c>
      <c r="Z449">
        <f>IF(A449="","",IF(G449="","Not mapped",IF(Y449=0,"OK",MID(IF(N(Q449)&gt;0,"; Cannibalisation","")&amp;IF(T449="Yes","; Too many primary keywords on URL","")&amp;IF(U449="Yes","; URL spans 2+ clusters","")&amp;IF(W449="Yes","; Intent mismatch","")&amp;IF(X449="Yes","; Ranking URL is not the target",""),3,300))))</f>
        <v/>
      </c>
      <c r="AA449">
        <f>IF(G449="","",IF(COUNTIF($G$3:G449,SUBSTITUTE(SUBSTITUTE(G449,"?","~?"),"*","~*"))=1,MAX($AA$2:AA448)+1,""))</f>
        <v/>
      </c>
      <c r="AB449">
        <f>IF(B449="","",IF(COUNTIF($B$3:B449,SUBSTITUTE(SUBSTITUTE(B449,"?","~?"),"*","~*"))=1,MAX($AB$2:AB448)+1,""))</f>
        <v/>
      </c>
    </row>
    <row r="450">
      <c r="M450">
        <f>IF(A450="","",LOWER(TRIM(SUBSTITUTE(SUBSTITUTE(A450,"?",""),"*",""))))</f>
        <v/>
      </c>
      <c r="N450">
        <f>IF(M450="","",IF(SUMPRODUCT(ISNUMBER(SEARCH(" "&amp;Settings!$L$5:$L$124&amp;" "," "&amp;M450&amp;" "))*(Settings!$K$5:$K$124="Navigational")*(Settings!$L$5:$L$124&lt;&gt;""))&gt;0,"Navigational",IF(SUMPRODUCT(ISNUMBER(SEARCH(" "&amp;Settings!$L$5:$L$124&amp;" "," "&amp;M450&amp;" "))*(Settings!$K$5:$K$124="Transactional")*(Settings!$L$5:$L$124&lt;&gt;""))&gt;0,"Transactional",IF(SUMPRODUCT(ISNUMBER(SEARCH(" "&amp;Settings!$L$5:$L$124&amp;" "," "&amp;M450&amp;" "))*(Settings!$K$5:$K$124="Commercial")*(Settings!$L$5:$L$124&lt;&gt;""))&gt;0,"Commercial",IF(SUMPRODUCT(ISNUMBER(SEARCH(" "&amp;Settings!$L$5:$L$124&amp;" "," "&amp;M450&amp;" "))*(Settings!$K$5:$K$124="Informational")*(Settings!$L$5:$L$124&lt;&gt;""))&gt;0,"Informational","Unclassified")))))</f>
        <v/>
      </c>
      <c r="O450">
        <f>IF(A450="","",IF(K450&lt;&gt;"",PROPER(K450),N450))</f>
        <v/>
      </c>
      <c r="P450">
        <f>IF(A450="","",ROUND(Settings!$B$5*MIN(1,LOG10(N(C450)+1)/LOG10(Settings!$B$7+1))+Settings!$B$6*(1-MIN(100,IF(D450="",50,N(D450)))/100)+IFERROR(INDEX(Settings!$B$10:$B$14,MATCH(O450,Settings!$A$10:$A$14,0)),0),0))</f>
        <v/>
      </c>
      <c r="Q450">
        <f>IF(OR(A450="",G450=""),"",COUNTIFS($M$3:$M$1002,M450,$G$3:$G$1002,"&lt;&gt;"&amp;SUBSTITUTE(SUBSTITUTE(G450,"?","~?"),"*","~*"),$G$3:$G$1002,"?*"))</f>
        <v/>
      </c>
      <c r="R450">
        <f>IF(Q450="","",IF(Q450&gt;0,"Yes","No"))</f>
        <v/>
      </c>
      <c r="S450">
        <f>IF(G450="","",COUNTIFS($G$3:$G$1002,SUBSTITUTE(SUBSTITUTE(G450,"?","~?"),"*","~*"),$J$3:$J$1002,"Primary"))</f>
        <v/>
      </c>
      <c r="T450">
        <f>IF(S450="","",IF(S450&gt;Settings!$B$4,"Yes","No"))</f>
        <v/>
      </c>
      <c r="U450">
        <f>IF(OR(G450="",B450=""),"",IF(COUNTIFS($G$3:$G$1002,SUBSTITUTE(SUBSTITUTE(G450,"?","~?"),"*","~*"),$B$3:$B$1002,"&lt;&gt;"&amp;SUBSTITUTE(SUBSTITUTE(B450,"?","~?"),"*","~*"),$B$3:$B$1002,"?*")&gt;0,"Yes","No"))</f>
        <v/>
      </c>
      <c r="V450">
        <f>IF(OR(G450="",I450="",O450="",O450="Unclassified"),"",IFERROR(INDEX(Settings!$E$5:$H$16,MATCH(I450,Settings!$D$5:$D$16,0),MATCH(O450,Settings!$E$4:$H$4,0)),"Check"))</f>
        <v/>
      </c>
      <c r="W450">
        <f>IF(V450="","",IF(V450="No","Yes","No"))</f>
        <v/>
      </c>
      <c r="X450">
        <f>IF(OR(E450="",G450=""),"",IF(LOWER(IF(RIGHT(TRIM(E450),1)="/",LEFT(TRIM(E450),LEN(TRIM(E450))-1),TRIM(E450)))&lt;&gt;LOWER(IF(RIGHT(TRIM(G450),1)="/",LEFT(TRIM(G450),LEN(TRIM(G450))-1),TRIM(G450))),"Yes","No"))</f>
        <v/>
      </c>
      <c r="Y450">
        <f>IF(A450="","",(N(Q450)&gt;0)+(T450="Yes")+(U450="Yes")+(W450="Yes")+(X450="Yes"))</f>
        <v/>
      </c>
      <c r="Z450">
        <f>IF(A450="","",IF(G450="","Not mapped",IF(Y450=0,"OK",MID(IF(N(Q450)&gt;0,"; Cannibalisation","")&amp;IF(T450="Yes","; Too many primary keywords on URL","")&amp;IF(U450="Yes","; URL spans 2+ clusters","")&amp;IF(W450="Yes","; Intent mismatch","")&amp;IF(X450="Yes","; Ranking URL is not the target",""),3,300))))</f>
        <v/>
      </c>
      <c r="AA450">
        <f>IF(G450="","",IF(COUNTIF($G$3:G450,SUBSTITUTE(SUBSTITUTE(G450,"?","~?"),"*","~*"))=1,MAX($AA$2:AA449)+1,""))</f>
        <v/>
      </c>
      <c r="AB450">
        <f>IF(B450="","",IF(COUNTIF($B$3:B450,SUBSTITUTE(SUBSTITUTE(B450,"?","~?"),"*","~*"))=1,MAX($AB$2:AB449)+1,""))</f>
        <v/>
      </c>
    </row>
    <row r="451">
      <c r="M451">
        <f>IF(A451="","",LOWER(TRIM(SUBSTITUTE(SUBSTITUTE(A451,"?",""),"*",""))))</f>
        <v/>
      </c>
      <c r="N451">
        <f>IF(M451="","",IF(SUMPRODUCT(ISNUMBER(SEARCH(" "&amp;Settings!$L$5:$L$124&amp;" "," "&amp;M451&amp;" "))*(Settings!$K$5:$K$124="Navigational")*(Settings!$L$5:$L$124&lt;&gt;""))&gt;0,"Navigational",IF(SUMPRODUCT(ISNUMBER(SEARCH(" "&amp;Settings!$L$5:$L$124&amp;" "," "&amp;M451&amp;" "))*(Settings!$K$5:$K$124="Transactional")*(Settings!$L$5:$L$124&lt;&gt;""))&gt;0,"Transactional",IF(SUMPRODUCT(ISNUMBER(SEARCH(" "&amp;Settings!$L$5:$L$124&amp;" "," "&amp;M451&amp;" "))*(Settings!$K$5:$K$124="Commercial")*(Settings!$L$5:$L$124&lt;&gt;""))&gt;0,"Commercial",IF(SUMPRODUCT(ISNUMBER(SEARCH(" "&amp;Settings!$L$5:$L$124&amp;" "," "&amp;M451&amp;" "))*(Settings!$K$5:$K$124="Informational")*(Settings!$L$5:$L$124&lt;&gt;""))&gt;0,"Informational","Unclassified")))))</f>
        <v/>
      </c>
      <c r="O451">
        <f>IF(A451="","",IF(K451&lt;&gt;"",PROPER(K451),N451))</f>
        <v/>
      </c>
      <c r="P451">
        <f>IF(A451="","",ROUND(Settings!$B$5*MIN(1,LOG10(N(C451)+1)/LOG10(Settings!$B$7+1))+Settings!$B$6*(1-MIN(100,IF(D451="",50,N(D451)))/100)+IFERROR(INDEX(Settings!$B$10:$B$14,MATCH(O451,Settings!$A$10:$A$14,0)),0),0))</f>
        <v/>
      </c>
      <c r="Q451">
        <f>IF(OR(A451="",G451=""),"",COUNTIFS($M$3:$M$1002,M451,$G$3:$G$1002,"&lt;&gt;"&amp;SUBSTITUTE(SUBSTITUTE(G451,"?","~?"),"*","~*"),$G$3:$G$1002,"?*"))</f>
        <v/>
      </c>
      <c r="R451">
        <f>IF(Q451="","",IF(Q451&gt;0,"Yes","No"))</f>
        <v/>
      </c>
      <c r="S451">
        <f>IF(G451="","",COUNTIFS($G$3:$G$1002,SUBSTITUTE(SUBSTITUTE(G451,"?","~?"),"*","~*"),$J$3:$J$1002,"Primary"))</f>
        <v/>
      </c>
      <c r="T451">
        <f>IF(S451="","",IF(S451&gt;Settings!$B$4,"Yes","No"))</f>
        <v/>
      </c>
      <c r="U451">
        <f>IF(OR(G451="",B451=""),"",IF(COUNTIFS($G$3:$G$1002,SUBSTITUTE(SUBSTITUTE(G451,"?","~?"),"*","~*"),$B$3:$B$1002,"&lt;&gt;"&amp;SUBSTITUTE(SUBSTITUTE(B451,"?","~?"),"*","~*"),$B$3:$B$1002,"?*")&gt;0,"Yes","No"))</f>
        <v/>
      </c>
      <c r="V451">
        <f>IF(OR(G451="",I451="",O451="",O451="Unclassified"),"",IFERROR(INDEX(Settings!$E$5:$H$16,MATCH(I451,Settings!$D$5:$D$16,0),MATCH(O451,Settings!$E$4:$H$4,0)),"Check"))</f>
        <v/>
      </c>
      <c r="W451">
        <f>IF(V451="","",IF(V451="No","Yes","No"))</f>
        <v/>
      </c>
      <c r="X451">
        <f>IF(OR(E451="",G451=""),"",IF(LOWER(IF(RIGHT(TRIM(E451),1)="/",LEFT(TRIM(E451),LEN(TRIM(E451))-1),TRIM(E451)))&lt;&gt;LOWER(IF(RIGHT(TRIM(G451),1)="/",LEFT(TRIM(G451),LEN(TRIM(G451))-1),TRIM(G451))),"Yes","No"))</f>
        <v/>
      </c>
      <c r="Y451">
        <f>IF(A451="","",(N(Q451)&gt;0)+(T451="Yes")+(U451="Yes")+(W451="Yes")+(X451="Yes"))</f>
        <v/>
      </c>
      <c r="Z451">
        <f>IF(A451="","",IF(G451="","Not mapped",IF(Y451=0,"OK",MID(IF(N(Q451)&gt;0,"; Cannibalisation","")&amp;IF(T451="Yes","; Too many primary keywords on URL","")&amp;IF(U451="Yes","; URL spans 2+ clusters","")&amp;IF(W451="Yes","; Intent mismatch","")&amp;IF(X451="Yes","; Ranking URL is not the target",""),3,300))))</f>
        <v/>
      </c>
      <c r="AA451">
        <f>IF(G451="","",IF(COUNTIF($G$3:G451,SUBSTITUTE(SUBSTITUTE(G451,"?","~?"),"*","~*"))=1,MAX($AA$2:AA450)+1,""))</f>
        <v/>
      </c>
      <c r="AB451">
        <f>IF(B451="","",IF(COUNTIF($B$3:B451,SUBSTITUTE(SUBSTITUTE(B451,"?","~?"),"*","~*"))=1,MAX($AB$2:AB450)+1,""))</f>
        <v/>
      </c>
    </row>
    <row r="452">
      <c r="M452">
        <f>IF(A452="","",LOWER(TRIM(SUBSTITUTE(SUBSTITUTE(A452,"?",""),"*",""))))</f>
        <v/>
      </c>
      <c r="N452">
        <f>IF(M452="","",IF(SUMPRODUCT(ISNUMBER(SEARCH(" "&amp;Settings!$L$5:$L$124&amp;" "," "&amp;M452&amp;" "))*(Settings!$K$5:$K$124="Navigational")*(Settings!$L$5:$L$124&lt;&gt;""))&gt;0,"Navigational",IF(SUMPRODUCT(ISNUMBER(SEARCH(" "&amp;Settings!$L$5:$L$124&amp;" "," "&amp;M452&amp;" "))*(Settings!$K$5:$K$124="Transactional")*(Settings!$L$5:$L$124&lt;&gt;""))&gt;0,"Transactional",IF(SUMPRODUCT(ISNUMBER(SEARCH(" "&amp;Settings!$L$5:$L$124&amp;" "," "&amp;M452&amp;" "))*(Settings!$K$5:$K$124="Commercial")*(Settings!$L$5:$L$124&lt;&gt;""))&gt;0,"Commercial",IF(SUMPRODUCT(ISNUMBER(SEARCH(" "&amp;Settings!$L$5:$L$124&amp;" "," "&amp;M452&amp;" "))*(Settings!$K$5:$K$124="Informational")*(Settings!$L$5:$L$124&lt;&gt;""))&gt;0,"Informational","Unclassified")))))</f>
        <v/>
      </c>
      <c r="O452">
        <f>IF(A452="","",IF(K452&lt;&gt;"",PROPER(K452),N452))</f>
        <v/>
      </c>
      <c r="P452">
        <f>IF(A452="","",ROUND(Settings!$B$5*MIN(1,LOG10(N(C452)+1)/LOG10(Settings!$B$7+1))+Settings!$B$6*(1-MIN(100,IF(D452="",50,N(D452)))/100)+IFERROR(INDEX(Settings!$B$10:$B$14,MATCH(O452,Settings!$A$10:$A$14,0)),0),0))</f>
        <v/>
      </c>
      <c r="Q452">
        <f>IF(OR(A452="",G452=""),"",COUNTIFS($M$3:$M$1002,M452,$G$3:$G$1002,"&lt;&gt;"&amp;SUBSTITUTE(SUBSTITUTE(G452,"?","~?"),"*","~*"),$G$3:$G$1002,"?*"))</f>
        <v/>
      </c>
      <c r="R452">
        <f>IF(Q452="","",IF(Q452&gt;0,"Yes","No"))</f>
        <v/>
      </c>
      <c r="S452">
        <f>IF(G452="","",COUNTIFS($G$3:$G$1002,SUBSTITUTE(SUBSTITUTE(G452,"?","~?"),"*","~*"),$J$3:$J$1002,"Primary"))</f>
        <v/>
      </c>
      <c r="T452">
        <f>IF(S452="","",IF(S452&gt;Settings!$B$4,"Yes","No"))</f>
        <v/>
      </c>
      <c r="U452">
        <f>IF(OR(G452="",B452=""),"",IF(COUNTIFS($G$3:$G$1002,SUBSTITUTE(SUBSTITUTE(G452,"?","~?"),"*","~*"),$B$3:$B$1002,"&lt;&gt;"&amp;SUBSTITUTE(SUBSTITUTE(B452,"?","~?"),"*","~*"),$B$3:$B$1002,"?*")&gt;0,"Yes","No"))</f>
        <v/>
      </c>
      <c r="V452">
        <f>IF(OR(G452="",I452="",O452="",O452="Unclassified"),"",IFERROR(INDEX(Settings!$E$5:$H$16,MATCH(I452,Settings!$D$5:$D$16,0),MATCH(O452,Settings!$E$4:$H$4,0)),"Check"))</f>
        <v/>
      </c>
      <c r="W452">
        <f>IF(V452="","",IF(V452="No","Yes","No"))</f>
        <v/>
      </c>
      <c r="X452">
        <f>IF(OR(E452="",G452=""),"",IF(LOWER(IF(RIGHT(TRIM(E452),1)="/",LEFT(TRIM(E452),LEN(TRIM(E452))-1),TRIM(E452)))&lt;&gt;LOWER(IF(RIGHT(TRIM(G452),1)="/",LEFT(TRIM(G452),LEN(TRIM(G452))-1),TRIM(G452))),"Yes","No"))</f>
        <v/>
      </c>
      <c r="Y452">
        <f>IF(A452="","",(N(Q452)&gt;0)+(T452="Yes")+(U452="Yes")+(W452="Yes")+(X452="Yes"))</f>
        <v/>
      </c>
      <c r="Z452">
        <f>IF(A452="","",IF(G452="","Not mapped",IF(Y452=0,"OK",MID(IF(N(Q452)&gt;0,"; Cannibalisation","")&amp;IF(T452="Yes","; Too many primary keywords on URL","")&amp;IF(U452="Yes","; URL spans 2+ clusters","")&amp;IF(W452="Yes","; Intent mismatch","")&amp;IF(X452="Yes","; Ranking URL is not the target",""),3,300))))</f>
        <v/>
      </c>
      <c r="AA452">
        <f>IF(G452="","",IF(COUNTIF($G$3:G452,SUBSTITUTE(SUBSTITUTE(G452,"?","~?"),"*","~*"))=1,MAX($AA$2:AA451)+1,""))</f>
        <v/>
      </c>
      <c r="AB452">
        <f>IF(B452="","",IF(COUNTIF($B$3:B452,SUBSTITUTE(SUBSTITUTE(B452,"?","~?"),"*","~*"))=1,MAX($AB$2:AB451)+1,""))</f>
        <v/>
      </c>
    </row>
    <row r="453">
      <c r="M453">
        <f>IF(A453="","",LOWER(TRIM(SUBSTITUTE(SUBSTITUTE(A453,"?",""),"*",""))))</f>
        <v/>
      </c>
      <c r="N453">
        <f>IF(M453="","",IF(SUMPRODUCT(ISNUMBER(SEARCH(" "&amp;Settings!$L$5:$L$124&amp;" "," "&amp;M453&amp;" "))*(Settings!$K$5:$K$124="Navigational")*(Settings!$L$5:$L$124&lt;&gt;""))&gt;0,"Navigational",IF(SUMPRODUCT(ISNUMBER(SEARCH(" "&amp;Settings!$L$5:$L$124&amp;" "," "&amp;M453&amp;" "))*(Settings!$K$5:$K$124="Transactional")*(Settings!$L$5:$L$124&lt;&gt;""))&gt;0,"Transactional",IF(SUMPRODUCT(ISNUMBER(SEARCH(" "&amp;Settings!$L$5:$L$124&amp;" "," "&amp;M453&amp;" "))*(Settings!$K$5:$K$124="Commercial")*(Settings!$L$5:$L$124&lt;&gt;""))&gt;0,"Commercial",IF(SUMPRODUCT(ISNUMBER(SEARCH(" "&amp;Settings!$L$5:$L$124&amp;" "," "&amp;M453&amp;" "))*(Settings!$K$5:$K$124="Informational")*(Settings!$L$5:$L$124&lt;&gt;""))&gt;0,"Informational","Unclassified")))))</f>
        <v/>
      </c>
      <c r="O453">
        <f>IF(A453="","",IF(K453&lt;&gt;"",PROPER(K453),N453))</f>
        <v/>
      </c>
      <c r="P453">
        <f>IF(A453="","",ROUND(Settings!$B$5*MIN(1,LOG10(N(C453)+1)/LOG10(Settings!$B$7+1))+Settings!$B$6*(1-MIN(100,IF(D453="",50,N(D453)))/100)+IFERROR(INDEX(Settings!$B$10:$B$14,MATCH(O453,Settings!$A$10:$A$14,0)),0),0))</f>
        <v/>
      </c>
      <c r="Q453">
        <f>IF(OR(A453="",G453=""),"",COUNTIFS($M$3:$M$1002,M453,$G$3:$G$1002,"&lt;&gt;"&amp;SUBSTITUTE(SUBSTITUTE(G453,"?","~?"),"*","~*"),$G$3:$G$1002,"?*"))</f>
        <v/>
      </c>
      <c r="R453">
        <f>IF(Q453="","",IF(Q453&gt;0,"Yes","No"))</f>
        <v/>
      </c>
      <c r="S453">
        <f>IF(G453="","",COUNTIFS($G$3:$G$1002,SUBSTITUTE(SUBSTITUTE(G453,"?","~?"),"*","~*"),$J$3:$J$1002,"Primary"))</f>
        <v/>
      </c>
      <c r="T453">
        <f>IF(S453="","",IF(S453&gt;Settings!$B$4,"Yes","No"))</f>
        <v/>
      </c>
      <c r="U453">
        <f>IF(OR(G453="",B453=""),"",IF(COUNTIFS($G$3:$G$1002,SUBSTITUTE(SUBSTITUTE(G453,"?","~?"),"*","~*"),$B$3:$B$1002,"&lt;&gt;"&amp;SUBSTITUTE(SUBSTITUTE(B453,"?","~?"),"*","~*"),$B$3:$B$1002,"?*")&gt;0,"Yes","No"))</f>
        <v/>
      </c>
      <c r="V453">
        <f>IF(OR(G453="",I453="",O453="",O453="Unclassified"),"",IFERROR(INDEX(Settings!$E$5:$H$16,MATCH(I453,Settings!$D$5:$D$16,0),MATCH(O453,Settings!$E$4:$H$4,0)),"Check"))</f>
        <v/>
      </c>
      <c r="W453">
        <f>IF(V453="","",IF(V453="No","Yes","No"))</f>
        <v/>
      </c>
      <c r="X453">
        <f>IF(OR(E453="",G453=""),"",IF(LOWER(IF(RIGHT(TRIM(E453),1)="/",LEFT(TRIM(E453),LEN(TRIM(E453))-1),TRIM(E453)))&lt;&gt;LOWER(IF(RIGHT(TRIM(G453),1)="/",LEFT(TRIM(G453),LEN(TRIM(G453))-1),TRIM(G453))),"Yes","No"))</f>
        <v/>
      </c>
      <c r="Y453">
        <f>IF(A453="","",(N(Q453)&gt;0)+(T453="Yes")+(U453="Yes")+(W453="Yes")+(X453="Yes"))</f>
        <v/>
      </c>
      <c r="Z453">
        <f>IF(A453="","",IF(G453="","Not mapped",IF(Y453=0,"OK",MID(IF(N(Q453)&gt;0,"; Cannibalisation","")&amp;IF(T453="Yes","; Too many primary keywords on URL","")&amp;IF(U453="Yes","; URL spans 2+ clusters","")&amp;IF(W453="Yes","; Intent mismatch","")&amp;IF(X453="Yes","; Ranking URL is not the target",""),3,300))))</f>
        <v/>
      </c>
      <c r="AA453">
        <f>IF(G453="","",IF(COUNTIF($G$3:G453,SUBSTITUTE(SUBSTITUTE(G453,"?","~?"),"*","~*"))=1,MAX($AA$2:AA452)+1,""))</f>
        <v/>
      </c>
      <c r="AB453">
        <f>IF(B453="","",IF(COUNTIF($B$3:B453,SUBSTITUTE(SUBSTITUTE(B453,"?","~?"),"*","~*"))=1,MAX($AB$2:AB452)+1,""))</f>
        <v/>
      </c>
    </row>
    <row r="454">
      <c r="M454">
        <f>IF(A454="","",LOWER(TRIM(SUBSTITUTE(SUBSTITUTE(A454,"?",""),"*",""))))</f>
        <v/>
      </c>
      <c r="N454">
        <f>IF(M454="","",IF(SUMPRODUCT(ISNUMBER(SEARCH(" "&amp;Settings!$L$5:$L$124&amp;" "," "&amp;M454&amp;" "))*(Settings!$K$5:$K$124="Navigational")*(Settings!$L$5:$L$124&lt;&gt;""))&gt;0,"Navigational",IF(SUMPRODUCT(ISNUMBER(SEARCH(" "&amp;Settings!$L$5:$L$124&amp;" "," "&amp;M454&amp;" "))*(Settings!$K$5:$K$124="Transactional")*(Settings!$L$5:$L$124&lt;&gt;""))&gt;0,"Transactional",IF(SUMPRODUCT(ISNUMBER(SEARCH(" "&amp;Settings!$L$5:$L$124&amp;" "," "&amp;M454&amp;" "))*(Settings!$K$5:$K$124="Commercial")*(Settings!$L$5:$L$124&lt;&gt;""))&gt;0,"Commercial",IF(SUMPRODUCT(ISNUMBER(SEARCH(" "&amp;Settings!$L$5:$L$124&amp;" "," "&amp;M454&amp;" "))*(Settings!$K$5:$K$124="Informational")*(Settings!$L$5:$L$124&lt;&gt;""))&gt;0,"Informational","Unclassified")))))</f>
        <v/>
      </c>
      <c r="O454">
        <f>IF(A454="","",IF(K454&lt;&gt;"",PROPER(K454),N454))</f>
        <v/>
      </c>
      <c r="P454">
        <f>IF(A454="","",ROUND(Settings!$B$5*MIN(1,LOG10(N(C454)+1)/LOG10(Settings!$B$7+1))+Settings!$B$6*(1-MIN(100,IF(D454="",50,N(D454)))/100)+IFERROR(INDEX(Settings!$B$10:$B$14,MATCH(O454,Settings!$A$10:$A$14,0)),0),0))</f>
        <v/>
      </c>
      <c r="Q454">
        <f>IF(OR(A454="",G454=""),"",COUNTIFS($M$3:$M$1002,M454,$G$3:$G$1002,"&lt;&gt;"&amp;SUBSTITUTE(SUBSTITUTE(G454,"?","~?"),"*","~*"),$G$3:$G$1002,"?*"))</f>
        <v/>
      </c>
      <c r="R454">
        <f>IF(Q454="","",IF(Q454&gt;0,"Yes","No"))</f>
        <v/>
      </c>
      <c r="S454">
        <f>IF(G454="","",COUNTIFS($G$3:$G$1002,SUBSTITUTE(SUBSTITUTE(G454,"?","~?"),"*","~*"),$J$3:$J$1002,"Primary"))</f>
        <v/>
      </c>
      <c r="T454">
        <f>IF(S454="","",IF(S454&gt;Settings!$B$4,"Yes","No"))</f>
        <v/>
      </c>
      <c r="U454">
        <f>IF(OR(G454="",B454=""),"",IF(COUNTIFS($G$3:$G$1002,SUBSTITUTE(SUBSTITUTE(G454,"?","~?"),"*","~*"),$B$3:$B$1002,"&lt;&gt;"&amp;SUBSTITUTE(SUBSTITUTE(B454,"?","~?"),"*","~*"),$B$3:$B$1002,"?*")&gt;0,"Yes","No"))</f>
        <v/>
      </c>
      <c r="V454">
        <f>IF(OR(G454="",I454="",O454="",O454="Unclassified"),"",IFERROR(INDEX(Settings!$E$5:$H$16,MATCH(I454,Settings!$D$5:$D$16,0),MATCH(O454,Settings!$E$4:$H$4,0)),"Check"))</f>
        <v/>
      </c>
      <c r="W454">
        <f>IF(V454="","",IF(V454="No","Yes","No"))</f>
        <v/>
      </c>
      <c r="X454">
        <f>IF(OR(E454="",G454=""),"",IF(LOWER(IF(RIGHT(TRIM(E454),1)="/",LEFT(TRIM(E454),LEN(TRIM(E454))-1),TRIM(E454)))&lt;&gt;LOWER(IF(RIGHT(TRIM(G454),1)="/",LEFT(TRIM(G454),LEN(TRIM(G454))-1),TRIM(G454))),"Yes","No"))</f>
        <v/>
      </c>
      <c r="Y454">
        <f>IF(A454="","",(N(Q454)&gt;0)+(T454="Yes")+(U454="Yes")+(W454="Yes")+(X454="Yes"))</f>
        <v/>
      </c>
      <c r="Z454">
        <f>IF(A454="","",IF(G454="","Not mapped",IF(Y454=0,"OK",MID(IF(N(Q454)&gt;0,"; Cannibalisation","")&amp;IF(T454="Yes","; Too many primary keywords on URL","")&amp;IF(U454="Yes","; URL spans 2+ clusters","")&amp;IF(W454="Yes","; Intent mismatch","")&amp;IF(X454="Yes","; Ranking URL is not the target",""),3,300))))</f>
        <v/>
      </c>
      <c r="AA454">
        <f>IF(G454="","",IF(COUNTIF($G$3:G454,SUBSTITUTE(SUBSTITUTE(G454,"?","~?"),"*","~*"))=1,MAX($AA$2:AA453)+1,""))</f>
        <v/>
      </c>
      <c r="AB454">
        <f>IF(B454="","",IF(COUNTIF($B$3:B454,SUBSTITUTE(SUBSTITUTE(B454,"?","~?"),"*","~*"))=1,MAX($AB$2:AB453)+1,""))</f>
        <v/>
      </c>
    </row>
    <row r="455">
      <c r="M455">
        <f>IF(A455="","",LOWER(TRIM(SUBSTITUTE(SUBSTITUTE(A455,"?",""),"*",""))))</f>
        <v/>
      </c>
      <c r="N455">
        <f>IF(M455="","",IF(SUMPRODUCT(ISNUMBER(SEARCH(" "&amp;Settings!$L$5:$L$124&amp;" "," "&amp;M455&amp;" "))*(Settings!$K$5:$K$124="Navigational")*(Settings!$L$5:$L$124&lt;&gt;""))&gt;0,"Navigational",IF(SUMPRODUCT(ISNUMBER(SEARCH(" "&amp;Settings!$L$5:$L$124&amp;" "," "&amp;M455&amp;" "))*(Settings!$K$5:$K$124="Transactional")*(Settings!$L$5:$L$124&lt;&gt;""))&gt;0,"Transactional",IF(SUMPRODUCT(ISNUMBER(SEARCH(" "&amp;Settings!$L$5:$L$124&amp;" "," "&amp;M455&amp;" "))*(Settings!$K$5:$K$124="Commercial")*(Settings!$L$5:$L$124&lt;&gt;""))&gt;0,"Commercial",IF(SUMPRODUCT(ISNUMBER(SEARCH(" "&amp;Settings!$L$5:$L$124&amp;" "," "&amp;M455&amp;" "))*(Settings!$K$5:$K$124="Informational")*(Settings!$L$5:$L$124&lt;&gt;""))&gt;0,"Informational","Unclassified")))))</f>
        <v/>
      </c>
      <c r="O455">
        <f>IF(A455="","",IF(K455&lt;&gt;"",PROPER(K455),N455))</f>
        <v/>
      </c>
      <c r="P455">
        <f>IF(A455="","",ROUND(Settings!$B$5*MIN(1,LOG10(N(C455)+1)/LOG10(Settings!$B$7+1))+Settings!$B$6*(1-MIN(100,IF(D455="",50,N(D455)))/100)+IFERROR(INDEX(Settings!$B$10:$B$14,MATCH(O455,Settings!$A$10:$A$14,0)),0),0))</f>
        <v/>
      </c>
      <c r="Q455">
        <f>IF(OR(A455="",G455=""),"",COUNTIFS($M$3:$M$1002,M455,$G$3:$G$1002,"&lt;&gt;"&amp;SUBSTITUTE(SUBSTITUTE(G455,"?","~?"),"*","~*"),$G$3:$G$1002,"?*"))</f>
        <v/>
      </c>
      <c r="R455">
        <f>IF(Q455="","",IF(Q455&gt;0,"Yes","No"))</f>
        <v/>
      </c>
      <c r="S455">
        <f>IF(G455="","",COUNTIFS($G$3:$G$1002,SUBSTITUTE(SUBSTITUTE(G455,"?","~?"),"*","~*"),$J$3:$J$1002,"Primary"))</f>
        <v/>
      </c>
      <c r="T455">
        <f>IF(S455="","",IF(S455&gt;Settings!$B$4,"Yes","No"))</f>
        <v/>
      </c>
      <c r="U455">
        <f>IF(OR(G455="",B455=""),"",IF(COUNTIFS($G$3:$G$1002,SUBSTITUTE(SUBSTITUTE(G455,"?","~?"),"*","~*"),$B$3:$B$1002,"&lt;&gt;"&amp;SUBSTITUTE(SUBSTITUTE(B455,"?","~?"),"*","~*"),$B$3:$B$1002,"?*")&gt;0,"Yes","No"))</f>
        <v/>
      </c>
      <c r="V455">
        <f>IF(OR(G455="",I455="",O455="",O455="Unclassified"),"",IFERROR(INDEX(Settings!$E$5:$H$16,MATCH(I455,Settings!$D$5:$D$16,0),MATCH(O455,Settings!$E$4:$H$4,0)),"Check"))</f>
        <v/>
      </c>
      <c r="W455">
        <f>IF(V455="","",IF(V455="No","Yes","No"))</f>
        <v/>
      </c>
      <c r="X455">
        <f>IF(OR(E455="",G455=""),"",IF(LOWER(IF(RIGHT(TRIM(E455),1)="/",LEFT(TRIM(E455),LEN(TRIM(E455))-1),TRIM(E455)))&lt;&gt;LOWER(IF(RIGHT(TRIM(G455),1)="/",LEFT(TRIM(G455),LEN(TRIM(G455))-1),TRIM(G455))),"Yes","No"))</f>
        <v/>
      </c>
      <c r="Y455">
        <f>IF(A455="","",(N(Q455)&gt;0)+(T455="Yes")+(U455="Yes")+(W455="Yes")+(X455="Yes"))</f>
        <v/>
      </c>
      <c r="Z455">
        <f>IF(A455="","",IF(G455="","Not mapped",IF(Y455=0,"OK",MID(IF(N(Q455)&gt;0,"; Cannibalisation","")&amp;IF(T455="Yes","; Too many primary keywords on URL","")&amp;IF(U455="Yes","; URL spans 2+ clusters","")&amp;IF(W455="Yes","; Intent mismatch","")&amp;IF(X455="Yes","; Ranking URL is not the target",""),3,300))))</f>
        <v/>
      </c>
      <c r="AA455">
        <f>IF(G455="","",IF(COUNTIF($G$3:G455,SUBSTITUTE(SUBSTITUTE(G455,"?","~?"),"*","~*"))=1,MAX($AA$2:AA454)+1,""))</f>
        <v/>
      </c>
      <c r="AB455">
        <f>IF(B455="","",IF(COUNTIF($B$3:B455,SUBSTITUTE(SUBSTITUTE(B455,"?","~?"),"*","~*"))=1,MAX($AB$2:AB454)+1,""))</f>
        <v/>
      </c>
    </row>
    <row r="456">
      <c r="M456">
        <f>IF(A456="","",LOWER(TRIM(SUBSTITUTE(SUBSTITUTE(A456,"?",""),"*",""))))</f>
        <v/>
      </c>
      <c r="N456">
        <f>IF(M456="","",IF(SUMPRODUCT(ISNUMBER(SEARCH(" "&amp;Settings!$L$5:$L$124&amp;" "," "&amp;M456&amp;" "))*(Settings!$K$5:$K$124="Navigational")*(Settings!$L$5:$L$124&lt;&gt;""))&gt;0,"Navigational",IF(SUMPRODUCT(ISNUMBER(SEARCH(" "&amp;Settings!$L$5:$L$124&amp;" "," "&amp;M456&amp;" "))*(Settings!$K$5:$K$124="Transactional")*(Settings!$L$5:$L$124&lt;&gt;""))&gt;0,"Transactional",IF(SUMPRODUCT(ISNUMBER(SEARCH(" "&amp;Settings!$L$5:$L$124&amp;" "," "&amp;M456&amp;" "))*(Settings!$K$5:$K$124="Commercial")*(Settings!$L$5:$L$124&lt;&gt;""))&gt;0,"Commercial",IF(SUMPRODUCT(ISNUMBER(SEARCH(" "&amp;Settings!$L$5:$L$124&amp;" "," "&amp;M456&amp;" "))*(Settings!$K$5:$K$124="Informational")*(Settings!$L$5:$L$124&lt;&gt;""))&gt;0,"Informational","Unclassified")))))</f>
        <v/>
      </c>
      <c r="O456">
        <f>IF(A456="","",IF(K456&lt;&gt;"",PROPER(K456),N456))</f>
        <v/>
      </c>
      <c r="P456">
        <f>IF(A456="","",ROUND(Settings!$B$5*MIN(1,LOG10(N(C456)+1)/LOG10(Settings!$B$7+1))+Settings!$B$6*(1-MIN(100,IF(D456="",50,N(D456)))/100)+IFERROR(INDEX(Settings!$B$10:$B$14,MATCH(O456,Settings!$A$10:$A$14,0)),0),0))</f>
        <v/>
      </c>
      <c r="Q456">
        <f>IF(OR(A456="",G456=""),"",COUNTIFS($M$3:$M$1002,M456,$G$3:$G$1002,"&lt;&gt;"&amp;SUBSTITUTE(SUBSTITUTE(G456,"?","~?"),"*","~*"),$G$3:$G$1002,"?*"))</f>
        <v/>
      </c>
      <c r="R456">
        <f>IF(Q456="","",IF(Q456&gt;0,"Yes","No"))</f>
        <v/>
      </c>
      <c r="S456">
        <f>IF(G456="","",COUNTIFS($G$3:$G$1002,SUBSTITUTE(SUBSTITUTE(G456,"?","~?"),"*","~*"),$J$3:$J$1002,"Primary"))</f>
        <v/>
      </c>
      <c r="T456">
        <f>IF(S456="","",IF(S456&gt;Settings!$B$4,"Yes","No"))</f>
        <v/>
      </c>
      <c r="U456">
        <f>IF(OR(G456="",B456=""),"",IF(COUNTIFS($G$3:$G$1002,SUBSTITUTE(SUBSTITUTE(G456,"?","~?"),"*","~*"),$B$3:$B$1002,"&lt;&gt;"&amp;SUBSTITUTE(SUBSTITUTE(B456,"?","~?"),"*","~*"),$B$3:$B$1002,"?*")&gt;0,"Yes","No"))</f>
        <v/>
      </c>
      <c r="V456">
        <f>IF(OR(G456="",I456="",O456="",O456="Unclassified"),"",IFERROR(INDEX(Settings!$E$5:$H$16,MATCH(I456,Settings!$D$5:$D$16,0),MATCH(O456,Settings!$E$4:$H$4,0)),"Check"))</f>
        <v/>
      </c>
      <c r="W456">
        <f>IF(V456="","",IF(V456="No","Yes","No"))</f>
        <v/>
      </c>
      <c r="X456">
        <f>IF(OR(E456="",G456=""),"",IF(LOWER(IF(RIGHT(TRIM(E456),1)="/",LEFT(TRIM(E456),LEN(TRIM(E456))-1),TRIM(E456)))&lt;&gt;LOWER(IF(RIGHT(TRIM(G456),1)="/",LEFT(TRIM(G456),LEN(TRIM(G456))-1),TRIM(G456))),"Yes","No"))</f>
        <v/>
      </c>
      <c r="Y456">
        <f>IF(A456="","",(N(Q456)&gt;0)+(T456="Yes")+(U456="Yes")+(W456="Yes")+(X456="Yes"))</f>
        <v/>
      </c>
      <c r="Z456">
        <f>IF(A456="","",IF(G456="","Not mapped",IF(Y456=0,"OK",MID(IF(N(Q456)&gt;0,"; Cannibalisation","")&amp;IF(T456="Yes","; Too many primary keywords on URL","")&amp;IF(U456="Yes","; URL spans 2+ clusters","")&amp;IF(W456="Yes","; Intent mismatch","")&amp;IF(X456="Yes","; Ranking URL is not the target",""),3,300))))</f>
        <v/>
      </c>
      <c r="AA456">
        <f>IF(G456="","",IF(COUNTIF($G$3:G456,SUBSTITUTE(SUBSTITUTE(G456,"?","~?"),"*","~*"))=1,MAX($AA$2:AA455)+1,""))</f>
        <v/>
      </c>
      <c r="AB456">
        <f>IF(B456="","",IF(COUNTIF($B$3:B456,SUBSTITUTE(SUBSTITUTE(B456,"?","~?"),"*","~*"))=1,MAX($AB$2:AB455)+1,""))</f>
        <v/>
      </c>
    </row>
    <row r="457">
      <c r="M457">
        <f>IF(A457="","",LOWER(TRIM(SUBSTITUTE(SUBSTITUTE(A457,"?",""),"*",""))))</f>
        <v/>
      </c>
      <c r="N457">
        <f>IF(M457="","",IF(SUMPRODUCT(ISNUMBER(SEARCH(" "&amp;Settings!$L$5:$L$124&amp;" "," "&amp;M457&amp;" "))*(Settings!$K$5:$K$124="Navigational")*(Settings!$L$5:$L$124&lt;&gt;""))&gt;0,"Navigational",IF(SUMPRODUCT(ISNUMBER(SEARCH(" "&amp;Settings!$L$5:$L$124&amp;" "," "&amp;M457&amp;" "))*(Settings!$K$5:$K$124="Transactional")*(Settings!$L$5:$L$124&lt;&gt;""))&gt;0,"Transactional",IF(SUMPRODUCT(ISNUMBER(SEARCH(" "&amp;Settings!$L$5:$L$124&amp;" "," "&amp;M457&amp;" "))*(Settings!$K$5:$K$124="Commercial")*(Settings!$L$5:$L$124&lt;&gt;""))&gt;0,"Commercial",IF(SUMPRODUCT(ISNUMBER(SEARCH(" "&amp;Settings!$L$5:$L$124&amp;" "," "&amp;M457&amp;" "))*(Settings!$K$5:$K$124="Informational")*(Settings!$L$5:$L$124&lt;&gt;""))&gt;0,"Informational","Unclassified")))))</f>
        <v/>
      </c>
      <c r="O457">
        <f>IF(A457="","",IF(K457&lt;&gt;"",PROPER(K457),N457))</f>
        <v/>
      </c>
      <c r="P457">
        <f>IF(A457="","",ROUND(Settings!$B$5*MIN(1,LOG10(N(C457)+1)/LOG10(Settings!$B$7+1))+Settings!$B$6*(1-MIN(100,IF(D457="",50,N(D457)))/100)+IFERROR(INDEX(Settings!$B$10:$B$14,MATCH(O457,Settings!$A$10:$A$14,0)),0),0))</f>
        <v/>
      </c>
      <c r="Q457">
        <f>IF(OR(A457="",G457=""),"",COUNTIFS($M$3:$M$1002,M457,$G$3:$G$1002,"&lt;&gt;"&amp;SUBSTITUTE(SUBSTITUTE(G457,"?","~?"),"*","~*"),$G$3:$G$1002,"?*"))</f>
        <v/>
      </c>
      <c r="R457">
        <f>IF(Q457="","",IF(Q457&gt;0,"Yes","No"))</f>
        <v/>
      </c>
      <c r="S457">
        <f>IF(G457="","",COUNTIFS($G$3:$G$1002,SUBSTITUTE(SUBSTITUTE(G457,"?","~?"),"*","~*"),$J$3:$J$1002,"Primary"))</f>
        <v/>
      </c>
      <c r="T457">
        <f>IF(S457="","",IF(S457&gt;Settings!$B$4,"Yes","No"))</f>
        <v/>
      </c>
      <c r="U457">
        <f>IF(OR(G457="",B457=""),"",IF(COUNTIFS($G$3:$G$1002,SUBSTITUTE(SUBSTITUTE(G457,"?","~?"),"*","~*"),$B$3:$B$1002,"&lt;&gt;"&amp;SUBSTITUTE(SUBSTITUTE(B457,"?","~?"),"*","~*"),$B$3:$B$1002,"?*")&gt;0,"Yes","No"))</f>
        <v/>
      </c>
      <c r="V457">
        <f>IF(OR(G457="",I457="",O457="",O457="Unclassified"),"",IFERROR(INDEX(Settings!$E$5:$H$16,MATCH(I457,Settings!$D$5:$D$16,0),MATCH(O457,Settings!$E$4:$H$4,0)),"Check"))</f>
        <v/>
      </c>
      <c r="W457">
        <f>IF(V457="","",IF(V457="No","Yes","No"))</f>
        <v/>
      </c>
      <c r="X457">
        <f>IF(OR(E457="",G457=""),"",IF(LOWER(IF(RIGHT(TRIM(E457),1)="/",LEFT(TRIM(E457),LEN(TRIM(E457))-1),TRIM(E457)))&lt;&gt;LOWER(IF(RIGHT(TRIM(G457),1)="/",LEFT(TRIM(G457),LEN(TRIM(G457))-1),TRIM(G457))),"Yes","No"))</f>
        <v/>
      </c>
      <c r="Y457">
        <f>IF(A457="","",(N(Q457)&gt;0)+(T457="Yes")+(U457="Yes")+(W457="Yes")+(X457="Yes"))</f>
        <v/>
      </c>
      <c r="Z457">
        <f>IF(A457="","",IF(G457="","Not mapped",IF(Y457=0,"OK",MID(IF(N(Q457)&gt;0,"; Cannibalisation","")&amp;IF(T457="Yes","; Too many primary keywords on URL","")&amp;IF(U457="Yes","; URL spans 2+ clusters","")&amp;IF(W457="Yes","; Intent mismatch","")&amp;IF(X457="Yes","; Ranking URL is not the target",""),3,300))))</f>
        <v/>
      </c>
      <c r="AA457">
        <f>IF(G457="","",IF(COUNTIF($G$3:G457,SUBSTITUTE(SUBSTITUTE(G457,"?","~?"),"*","~*"))=1,MAX($AA$2:AA456)+1,""))</f>
        <v/>
      </c>
      <c r="AB457">
        <f>IF(B457="","",IF(COUNTIF($B$3:B457,SUBSTITUTE(SUBSTITUTE(B457,"?","~?"),"*","~*"))=1,MAX($AB$2:AB456)+1,""))</f>
        <v/>
      </c>
    </row>
    <row r="458">
      <c r="M458">
        <f>IF(A458="","",LOWER(TRIM(SUBSTITUTE(SUBSTITUTE(A458,"?",""),"*",""))))</f>
        <v/>
      </c>
      <c r="N458">
        <f>IF(M458="","",IF(SUMPRODUCT(ISNUMBER(SEARCH(" "&amp;Settings!$L$5:$L$124&amp;" "," "&amp;M458&amp;" "))*(Settings!$K$5:$K$124="Navigational")*(Settings!$L$5:$L$124&lt;&gt;""))&gt;0,"Navigational",IF(SUMPRODUCT(ISNUMBER(SEARCH(" "&amp;Settings!$L$5:$L$124&amp;" "," "&amp;M458&amp;" "))*(Settings!$K$5:$K$124="Transactional")*(Settings!$L$5:$L$124&lt;&gt;""))&gt;0,"Transactional",IF(SUMPRODUCT(ISNUMBER(SEARCH(" "&amp;Settings!$L$5:$L$124&amp;" "," "&amp;M458&amp;" "))*(Settings!$K$5:$K$124="Commercial")*(Settings!$L$5:$L$124&lt;&gt;""))&gt;0,"Commercial",IF(SUMPRODUCT(ISNUMBER(SEARCH(" "&amp;Settings!$L$5:$L$124&amp;" "," "&amp;M458&amp;" "))*(Settings!$K$5:$K$124="Informational")*(Settings!$L$5:$L$124&lt;&gt;""))&gt;0,"Informational","Unclassified")))))</f>
        <v/>
      </c>
      <c r="O458">
        <f>IF(A458="","",IF(K458&lt;&gt;"",PROPER(K458),N458))</f>
        <v/>
      </c>
      <c r="P458">
        <f>IF(A458="","",ROUND(Settings!$B$5*MIN(1,LOG10(N(C458)+1)/LOG10(Settings!$B$7+1))+Settings!$B$6*(1-MIN(100,IF(D458="",50,N(D458)))/100)+IFERROR(INDEX(Settings!$B$10:$B$14,MATCH(O458,Settings!$A$10:$A$14,0)),0),0))</f>
        <v/>
      </c>
      <c r="Q458">
        <f>IF(OR(A458="",G458=""),"",COUNTIFS($M$3:$M$1002,M458,$G$3:$G$1002,"&lt;&gt;"&amp;SUBSTITUTE(SUBSTITUTE(G458,"?","~?"),"*","~*"),$G$3:$G$1002,"?*"))</f>
        <v/>
      </c>
      <c r="R458">
        <f>IF(Q458="","",IF(Q458&gt;0,"Yes","No"))</f>
        <v/>
      </c>
      <c r="S458">
        <f>IF(G458="","",COUNTIFS($G$3:$G$1002,SUBSTITUTE(SUBSTITUTE(G458,"?","~?"),"*","~*"),$J$3:$J$1002,"Primary"))</f>
        <v/>
      </c>
      <c r="T458">
        <f>IF(S458="","",IF(S458&gt;Settings!$B$4,"Yes","No"))</f>
        <v/>
      </c>
      <c r="U458">
        <f>IF(OR(G458="",B458=""),"",IF(COUNTIFS($G$3:$G$1002,SUBSTITUTE(SUBSTITUTE(G458,"?","~?"),"*","~*"),$B$3:$B$1002,"&lt;&gt;"&amp;SUBSTITUTE(SUBSTITUTE(B458,"?","~?"),"*","~*"),$B$3:$B$1002,"?*")&gt;0,"Yes","No"))</f>
        <v/>
      </c>
      <c r="V458">
        <f>IF(OR(G458="",I458="",O458="",O458="Unclassified"),"",IFERROR(INDEX(Settings!$E$5:$H$16,MATCH(I458,Settings!$D$5:$D$16,0),MATCH(O458,Settings!$E$4:$H$4,0)),"Check"))</f>
        <v/>
      </c>
      <c r="W458">
        <f>IF(V458="","",IF(V458="No","Yes","No"))</f>
        <v/>
      </c>
      <c r="X458">
        <f>IF(OR(E458="",G458=""),"",IF(LOWER(IF(RIGHT(TRIM(E458),1)="/",LEFT(TRIM(E458),LEN(TRIM(E458))-1),TRIM(E458)))&lt;&gt;LOWER(IF(RIGHT(TRIM(G458),1)="/",LEFT(TRIM(G458),LEN(TRIM(G458))-1),TRIM(G458))),"Yes","No"))</f>
        <v/>
      </c>
      <c r="Y458">
        <f>IF(A458="","",(N(Q458)&gt;0)+(T458="Yes")+(U458="Yes")+(W458="Yes")+(X458="Yes"))</f>
        <v/>
      </c>
      <c r="Z458">
        <f>IF(A458="","",IF(G458="","Not mapped",IF(Y458=0,"OK",MID(IF(N(Q458)&gt;0,"; Cannibalisation","")&amp;IF(T458="Yes","; Too many primary keywords on URL","")&amp;IF(U458="Yes","; URL spans 2+ clusters","")&amp;IF(W458="Yes","; Intent mismatch","")&amp;IF(X458="Yes","; Ranking URL is not the target",""),3,300))))</f>
        <v/>
      </c>
      <c r="AA458">
        <f>IF(G458="","",IF(COUNTIF($G$3:G458,SUBSTITUTE(SUBSTITUTE(G458,"?","~?"),"*","~*"))=1,MAX($AA$2:AA457)+1,""))</f>
        <v/>
      </c>
      <c r="AB458">
        <f>IF(B458="","",IF(COUNTIF($B$3:B458,SUBSTITUTE(SUBSTITUTE(B458,"?","~?"),"*","~*"))=1,MAX($AB$2:AB457)+1,""))</f>
        <v/>
      </c>
    </row>
    <row r="459">
      <c r="M459">
        <f>IF(A459="","",LOWER(TRIM(SUBSTITUTE(SUBSTITUTE(A459,"?",""),"*",""))))</f>
        <v/>
      </c>
      <c r="N459">
        <f>IF(M459="","",IF(SUMPRODUCT(ISNUMBER(SEARCH(" "&amp;Settings!$L$5:$L$124&amp;" "," "&amp;M459&amp;" "))*(Settings!$K$5:$K$124="Navigational")*(Settings!$L$5:$L$124&lt;&gt;""))&gt;0,"Navigational",IF(SUMPRODUCT(ISNUMBER(SEARCH(" "&amp;Settings!$L$5:$L$124&amp;" "," "&amp;M459&amp;" "))*(Settings!$K$5:$K$124="Transactional")*(Settings!$L$5:$L$124&lt;&gt;""))&gt;0,"Transactional",IF(SUMPRODUCT(ISNUMBER(SEARCH(" "&amp;Settings!$L$5:$L$124&amp;" "," "&amp;M459&amp;" "))*(Settings!$K$5:$K$124="Commercial")*(Settings!$L$5:$L$124&lt;&gt;""))&gt;0,"Commercial",IF(SUMPRODUCT(ISNUMBER(SEARCH(" "&amp;Settings!$L$5:$L$124&amp;" "," "&amp;M459&amp;" "))*(Settings!$K$5:$K$124="Informational")*(Settings!$L$5:$L$124&lt;&gt;""))&gt;0,"Informational","Unclassified")))))</f>
        <v/>
      </c>
      <c r="O459">
        <f>IF(A459="","",IF(K459&lt;&gt;"",PROPER(K459),N459))</f>
        <v/>
      </c>
      <c r="P459">
        <f>IF(A459="","",ROUND(Settings!$B$5*MIN(1,LOG10(N(C459)+1)/LOG10(Settings!$B$7+1))+Settings!$B$6*(1-MIN(100,IF(D459="",50,N(D459)))/100)+IFERROR(INDEX(Settings!$B$10:$B$14,MATCH(O459,Settings!$A$10:$A$14,0)),0),0))</f>
        <v/>
      </c>
      <c r="Q459">
        <f>IF(OR(A459="",G459=""),"",COUNTIFS($M$3:$M$1002,M459,$G$3:$G$1002,"&lt;&gt;"&amp;SUBSTITUTE(SUBSTITUTE(G459,"?","~?"),"*","~*"),$G$3:$G$1002,"?*"))</f>
        <v/>
      </c>
      <c r="R459">
        <f>IF(Q459="","",IF(Q459&gt;0,"Yes","No"))</f>
        <v/>
      </c>
      <c r="S459">
        <f>IF(G459="","",COUNTIFS($G$3:$G$1002,SUBSTITUTE(SUBSTITUTE(G459,"?","~?"),"*","~*"),$J$3:$J$1002,"Primary"))</f>
        <v/>
      </c>
      <c r="T459">
        <f>IF(S459="","",IF(S459&gt;Settings!$B$4,"Yes","No"))</f>
        <v/>
      </c>
      <c r="U459">
        <f>IF(OR(G459="",B459=""),"",IF(COUNTIFS($G$3:$G$1002,SUBSTITUTE(SUBSTITUTE(G459,"?","~?"),"*","~*"),$B$3:$B$1002,"&lt;&gt;"&amp;SUBSTITUTE(SUBSTITUTE(B459,"?","~?"),"*","~*"),$B$3:$B$1002,"?*")&gt;0,"Yes","No"))</f>
        <v/>
      </c>
      <c r="V459">
        <f>IF(OR(G459="",I459="",O459="",O459="Unclassified"),"",IFERROR(INDEX(Settings!$E$5:$H$16,MATCH(I459,Settings!$D$5:$D$16,0),MATCH(O459,Settings!$E$4:$H$4,0)),"Check"))</f>
        <v/>
      </c>
      <c r="W459">
        <f>IF(V459="","",IF(V459="No","Yes","No"))</f>
        <v/>
      </c>
      <c r="X459">
        <f>IF(OR(E459="",G459=""),"",IF(LOWER(IF(RIGHT(TRIM(E459),1)="/",LEFT(TRIM(E459),LEN(TRIM(E459))-1),TRIM(E459)))&lt;&gt;LOWER(IF(RIGHT(TRIM(G459),1)="/",LEFT(TRIM(G459),LEN(TRIM(G459))-1),TRIM(G459))),"Yes","No"))</f>
        <v/>
      </c>
      <c r="Y459">
        <f>IF(A459="","",(N(Q459)&gt;0)+(T459="Yes")+(U459="Yes")+(W459="Yes")+(X459="Yes"))</f>
        <v/>
      </c>
      <c r="Z459">
        <f>IF(A459="","",IF(G459="","Not mapped",IF(Y459=0,"OK",MID(IF(N(Q459)&gt;0,"; Cannibalisation","")&amp;IF(T459="Yes","; Too many primary keywords on URL","")&amp;IF(U459="Yes","; URL spans 2+ clusters","")&amp;IF(W459="Yes","; Intent mismatch","")&amp;IF(X459="Yes","; Ranking URL is not the target",""),3,300))))</f>
        <v/>
      </c>
      <c r="AA459">
        <f>IF(G459="","",IF(COUNTIF($G$3:G459,SUBSTITUTE(SUBSTITUTE(G459,"?","~?"),"*","~*"))=1,MAX($AA$2:AA458)+1,""))</f>
        <v/>
      </c>
      <c r="AB459">
        <f>IF(B459="","",IF(COUNTIF($B$3:B459,SUBSTITUTE(SUBSTITUTE(B459,"?","~?"),"*","~*"))=1,MAX($AB$2:AB458)+1,""))</f>
        <v/>
      </c>
    </row>
    <row r="460">
      <c r="M460">
        <f>IF(A460="","",LOWER(TRIM(SUBSTITUTE(SUBSTITUTE(A460,"?",""),"*",""))))</f>
        <v/>
      </c>
      <c r="N460">
        <f>IF(M460="","",IF(SUMPRODUCT(ISNUMBER(SEARCH(" "&amp;Settings!$L$5:$L$124&amp;" "," "&amp;M460&amp;" "))*(Settings!$K$5:$K$124="Navigational")*(Settings!$L$5:$L$124&lt;&gt;""))&gt;0,"Navigational",IF(SUMPRODUCT(ISNUMBER(SEARCH(" "&amp;Settings!$L$5:$L$124&amp;" "," "&amp;M460&amp;" "))*(Settings!$K$5:$K$124="Transactional")*(Settings!$L$5:$L$124&lt;&gt;""))&gt;0,"Transactional",IF(SUMPRODUCT(ISNUMBER(SEARCH(" "&amp;Settings!$L$5:$L$124&amp;" "," "&amp;M460&amp;" "))*(Settings!$K$5:$K$124="Commercial")*(Settings!$L$5:$L$124&lt;&gt;""))&gt;0,"Commercial",IF(SUMPRODUCT(ISNUMBER(SEARCH(" "&amp;Settings!$L$5:$L$124&amp;" "," "&amp;M460&amp;" "))*(Settings!$K$5:$K$124="Informational")*(Settings!$L$5:$L$124&lt;&gt;""))&gt;0,"Informational","Unclassified")))))</f>
        <v/>
      </c>
      <c r="O460">
        <f>IF(A460="","",IF(K460&lt;&gt;"",PROPER(K460),N460))</f>
        <v/>
      </c>
      <c r="P460">
        <f>IF(A460="","",ROUND(Settings!$B$5*MIN(1,LOG10(N(C460)+1)/LOG10(Settings!$B$7+1))+Settings!$B$6*(1-MIN(100,IF(D460="",50,N(D460)))/100)+IFERROR(INDEX(Settings!$B$10:$B$14,MATCH(O460,Settings!$A$10:$A$14,0)),0),0))</f>
        <v/>
      </c>
      <c r="Q460">
        <f>IF(OR(A460="",G460=""),"",COUNTIFS($M$3:$M$1002,M460,$G$3:$G$1002,"&lt;&gt;"&amp;SUBSTITUTE(SUBSTITUTE(G460,"?","~?"),"*","~*"),$G$3:$G$1002,"?*"))</f>
        <v/>
      </c>
      <c r="R460">
        <f>IF(Q460="","",IF(Q460&gt;0,"Yes","No"))</f>
        <v/>
      </c>
      <c r="S460">
        <f>IF(G460="","",COUNTIFS($G$3:$G$1002,SUBSTITUTE(SUBSTITUTE(G460,"?","~?"),"*","~*"),$J$3:$J$1002,"Primary"))</f>
        <v/>
      </c>
      <c r="T460">
        <f>IF(S460="","",IF(S460&gt;Settings!$B$4,"Yes","No"))</f>
        <v/>
      </c>
      <c r="U460">
        <f>IF(OR(G460="",B460=""),"",IF(COUNTIFS($G$3:$G$1002,SUBSTITUTE(SUBSTITUTE(G460,"?","~?"),"*","~*"),$B$3:$B$1002,"&lt;&gt;"&amp;SUBSTITUTE(SUBSTITUTE(B460,"?","~?"),"*","~*"),$B$3:$B$1002,"?*")&gt;0,"Yes","No"))</f>
        <v/>
      </c>
      <c r="V460">
        <f>IF(OR(G460="",I460="",O460="",O460="Unclassified"),"",IFERROR(INDEX(Settings!$E$5:$H$16,MATCH(I460,Settings!$D$5:$D$16,0),MATCH(O460,Settings!$E$4:$H$4,0)),"Check"))</f>
        <v/>
      </c>
      <c r="W460">
        <f>IF(V460="","",IF(V460="No","Yes","No"))</f>
        <v/>
      </c>
      <c r="X460">
        <f>IF(OR(E460="",G460=""),"",IF(LOWER(IF(RIGHT(TRIM(E460),1)="/",LEFT(TRIM(E460),LEN(TRIM(E460))-1),TRIM(E460)))&lt;&gt;LOWER(IF(RIGHT(TRIM(G460),1)="/",LEFT(TRIM(G460),LEN(TRIM(G460))-1),TRIM(G460))),"Yes","No"))</f>
        <v/>
      </c>
      <c r="Y460">
        <f>IF(A460="","",(N(Q460)&gt;0)+(T460="Yes")+(U460="Yes")+(W460="Yes")+(X460="Yes"))</f>
        <v/>
      </c>
      <c r="Z460">
        <f>IF(A460="","",IF(G460="","Not mapped",IF(Y460=0,"OK",MID(IF(N(Q460)&gt;0,"; Cannibalisation","")&amp;IF(T460="Yes","; Too many primary keywords on URL","")&amp;IF(U460="Yes","; URL spans 2+ clusters","")&amp;IF(W460="Yes","; Intent mismatch","")&amp;IF(X460="Yes","; Ranking URL is not the target",""),3,300))))</f>
        <v/>
      </c>
      <c r="AA460">
        <f>IF(G460="","",IF(COUNTIF($G$3:G460,SUBSTITUTE(SUBSTITUTE(G460,"?","~?"),"*","~*"))=1,MAX($AA$2:AA459)+1,""))</f>
        <v/>
      </c>
      <c r="AB460">
        <f>IF(B460="","",IF(COUNTIF($B$3:B460,SUBSTITUTE(SUBSTITUTE(B460,"?","~?"),"*","~*"))=1,MAX($AB$2:AB459)+1,""))</f>
        <v/>
      </c>
    </row>
    <row r="461">
      <c r="M461">
        <f>IF(A461="","",LOWER(TRIM(SUBSTITUTE(SUBSTITUTE(A461,"?",""),"*",""))))</f>
        <v/>
      </c>
      <c r="N461">
        <f>IF(M461="","",IF(SUMPRODUCT(ISNUMBER(SEARCH(" "&amp;Settings!$L$5:$L$124&amp;" "," "&amp;M461&amp;" "))*(Settings!$K$5:$K$124="Navigational")*(Settings!$L$5:$L$124&lt;&gt;""))&gt;0,"Navigational",IF(SUMPRODUCT(ISNUMBER(SEARCH(" "&amp;Settings!$L$5:$L$124&amp;" "," "&amp;M461&amp;" "))*(Settings!$K$5:$K$124="Transactional")*(Settings!$L$5:$L$124&lt;&gt;""))&gt;0,"Transactional",IF(SUMPRODUCT(ISNUMBER(SEARCH(" "&amp;Settings!$L$5:$L$124&amp;" "," "&amp;M461&amp;" "))*(Settings!$K$5:$K$124="Commercial")*(Settings!$L$5:$L$124&lt;&gt;""))&gt;0,"Commercial",IF(SUMPRODUCT(ISNUMBER(SEARCH(" "&amp;Settings!$L$5:$L$124&amp;" "," "&amp;M461&amp;" "))*(Settings!$K$5:$K$124="Informational")*(Settings!$L$5:$L$124&lt;&gt;""))&gt;0,"Informational","Unclassified")))))</f>
        <v/>
      </c>
      <c r="O461">
        <f>IF(A461="","",IF(K461&lt;&gt;"",PROPER(K461),N461))</f>
        <v/>
      </c>
      <c r="P461">
        <f>IF(A461="","",ROUND(Settings!$B$5*MIN(1,LOG10(N(C461)+1)/LOG10(Settings!$B$7+1))+Settings!$B$6*(1-MIN(100,IF(D461="",50,N(D461)))/100)+IFERROR(INDEX(Settings!$B$10:$B$14,MATCH(O461,Settings!$A$10:$A$14,0)),0),0))</f>
        <v/>
      </c>
      <c r="Q461">
        <f>IF(OR(A461="",G461=""),"",COUNTIFS($M$3:$M$1002,M461,$G$3:$G$1002,"&lt;&gt;"&amp;SUBSTITUTE(SUBSTITUTE(G461,"?","~?"),"*","~*"),$G$3:$G$1002,"?*"))</f>
        <v/>
      </c>
      <c r="R461">
        <f>IF(Q461="","",IF(Q461&gt;0,"Yes","No"))</f>
        <v/>
      </c>
      <c r="S461">
        <f>IF(G461="","",COUNTIFS($G$3:$G$1002,SUBSTITUTE(SUBSTITUTE(G461,"?","~?"),"*","~*"),$J$3:$J$1002,"Primary"))</f>
        <v/>
      </c>
      <c r="T461">
        <f>IF(S461="","",IF(S461&gt;Settings!$B$4,"Yes","No"))</f>
        <v/>
      </c>
      <c r="U461">
        <f>IF(OR(G461="",B461=""),"",IF(COUNTIFS($G$3:$G$1002,SUBSTITUTE(SUBSTITUTE(G461,"?","~?"),"*","~*"),$B$3:$B$1002,"&lt;&gt;"&amp;SUBSTITUTE(SUBSTITUTE(B461,"?","~?"),"*","~*"),$B$3:$B$1002,"?*")&gt;0,"Yes","No"))</f>
        <v/>
      </c>
      <c r="V461">
        <f>IF(OR(G461="",I461="",O461="",O461="Unclassified"),"",IFERROR(INDEX(Settings!$E$5:$H$16,MATCH(I461,Settings!$D$5:$D$16,0),MATCH(O461,Settings!$E$4:$H$4,0)),"Check"))</f>
        <v/>
      </c>
      <c r="W461">
        <f>IF(V461="","",IF(V461="No","Yes","No"))</f>
        <v/>
      </c>
      <c r="X461">
        <f>IF(OR(E461="",G461=""),"",IF(LOWER(IF(RIGHT(TRIM(E461),1)="/",LEFT(TRIM(E461),LEN(TRIM(E461))-1),TRIM(E461)))&lt;&gt;LOWER(IF(RIGHT(TRIM(G461),1)="/",LEFT(TRIM(G461),LEN(TRIM(G461))-1),TRIM(G461))),"Yes","No"))</f>
        <v/>
      </c>
      <c r="Y461">
        <f>IF(A461="","",(N(Q461)&gt;0)+(T461="Yes")+(U461="Yes")+(W461="Yes")+(X461="Yes"))</f>
        <v/>
      </c>
      <c r="Z461">
        <f>IF(A461="","",IF(G461="","Not mapped",IF(Y461=0,"OK",MID(IF(N(Q461)&gt;0,"; Cannibalisation","")&amp;IF(T461="Yes","; Too many primary keywords on URL","")&amp;IF(U461="Yes","; URL spans 2+ clusters","")&amp;IF(W461="Yes","; Intent mismatch","")&amp;IF(X461="Yes","; Ranking URL is not the target",""),3,300))))</f>
        <v/>
      </c>
      <c r="AA461">
        <f>IF(G461="","",IF(COUNTIF($G$3:G461,SUBSTITUTE(SUBSTITUTE(G461,"?","~?"),"*","~*"))=1,MAX($AA$2:AA460)+1,""))</f>
        <v/>
      </c>
      <c r="AB461">
        <f>IF(B461="","",IF(COUNTIF($B$3:B461,SUBSTITUTE(SUBSTITUTE(B461,"?","~?"),"*","~*"))=1,MAX($AB$2:AB460)+1,""))</f>
        <v/>
      </c>
    </row>
    <row r="462">
      <c r="M462">
        <f>IF(A462="","",LOWER(TRIM(SUBSTITUTE(SUBSTITUTE(A462,"?",""),"*",""))))</f>
        <v/>
      </c>
      <c r="N462">
        <f>IF(M462="","",IF(SUMPRODUCT(ISNUMBER(SEARCH(" "&amp;Settings!$L$5:$L$124&amp;" "," "&amp;M462&amp;" "))*(Settings!$K$5:$K$124="Navigational")*(Settings!$L$5:$L$124&lt;&gt;""))&gt;0,"Navigational",IF(SUMPRODUCT(ISNUMBER(SEARCH(" "&amp;Settings!$L$5:$L$124&amp;" "," "&amp;M462&amp;" "))*(Settings!$K$5:$K$124="Transactional")*(Settings!$L$5:$L$124&lt;&gt;""))&gt;0,"Transactional",IF(SUMPRODUCT(ISNUMBER(SEARCH(" "&amp;Settings!$L$5:$L$124&amp;" "," "&amp;M462&amp;" "))*(Settings!$K$5:$K$124="Commercial")*(Settings!$L$5:$L$124&lt;&gt;""))&gt;0,"Commercial",IF(SUMPRODUCT(ISNUMBER(SEARCH(" "&amp;Settings!$L$5:$L$124&amp;" "," "&amp;M462&amp;" "))*(Settings!$K$5:$K$124="Informational")*(Settings!$L$5:$L$124&lt;&gt;""))&gt;0,"Informational","Unclassified")))))</f>
        <v/>
      </c>
      <c r="O462">
        <f>IF(A462="","",IF(K462&lt;&gt;"",PROPER(K462),N462))</f>
        <v/>
      </c>
      <c r="P462">
        <f>IF(A462="","",ROUND(Settings!$B$5*MIN(1,LOG10(N(C462)+1)/LOG10(Settings!$B$7+1))+Settings!$B$6*(1-MIN(100,IF(D462="",50,N(D462)))/100)+IFERROR(INDEX(Settings!$B$10:$B$14,MATCH(O462,Settings!$A$10:$A$14,0)),0),0))</f>
        <v/>
      </c>
      <c r="Q462">
        <f>IF(OR(A462="",G462=""),"",COUNTIFS($M$3:$M$1002,M462,$G$3:$G$1002,"&lt;&gt;"&amp;SUBSTITUTE(SUBSTITUTE(G462,"?","~?"),"*","~*"),$G$3:$G$1002,"?*"))</f>
        <v/>
      </c>
      <c r="R462">
        <f>IF(Q462="","",IF(Q462&gt;0,"Yes","No"))</f>
        <v/>
      </c>
      <c r="S462">
        <f>IF(G462="","",COUNTIFS($G$3:$G$1002,SUBSTITUTE(SUBSTITUTE(G462,"?","~?"),"*","~*"),$J$3:$J$1002,"Primary"))</f>
        <v/>
      </c>
      <c r="T462">
        <f>IF(S462="","",IF(S462&gt;Settings!$B$4,"Yes","No"))</f>
        <v/>
      </c>
      <c r="U462">
        <f>IF(OR(G462="",B462=""),"",IF(COUNTIFS($G$3:$G$1002,SUBSTITUTE(SUBSTITUTE(G462,"?","~?"),"*","~*"),$B$3:$B$1002,"&lt;&gt;"&amp;SUBSTITUTE(SUBSTITUTE(B462,"?","~?"),"*","~*"),$B$3:$B$1002,"?*")&gt;0,"Yes","No"))</f>
        <v/>
      </c>
      <c r="V462">
        <f>IF(OR(G462="",I462="",O462="",O462="Unclassified"),"",IFERROR(INDEX(Settings!$E$5:$H$16,MATCH(I462,Settings!$D$5:$D$16,0),MATCH(O462,Settings!$E$4:$H$4,0)),"Check"))</f>
        <v/>
      </c>
      <c r="W462">
        <f>IF(V462="","",IF(V462="No","Yes","No"))</f>
        <v/>
      </c>
      <c r="X462">
        <f>IF(OR(E462="",G462=""),"",IF(LOWER(IF(RIGHT(TRIM(E462),1)="/",LEFT(TRIM(E462),LEN(TRIM(E462))-1),TRIM(E462)))&lt;&gt;LOWER(IF(RIGHT(TRIM(G462),1)="/",LEFT(TRIM(G462),LEN(TRIM(G462))-1),TRIM(G462))),"Yes","No"))</f>
        <v/>
      </c>
      <c r="Y462">
        <f>IF(A462="","",(N(Q462)&gt;0)+(T462="Yes")+(U462="Yes")+(W462="Yes")+(X462="Yes"))</f>
        <v/>
      </c>
      <c r="Z462">
        <f>IF(A462="","",IF(G462="","Not mapped",IF(Y462=0,"OK",MID(IF(N(Q462)&gt;0,"; Cannibalisation","")&amp;IF(T462="Yes","; Too many primary keywords on URL","")&amp;IF(U462="Yes","; URL spans 2+ clusters","")&amp;IF(W462="Yes","; Intent mismatch","")&amp;IF(X462="Yes","; Ranking URL is not the target",""),3,300))))</f>
        <v/>
      </c>
      <c r="AA462">
        <f>IF(G462="","",IF(COUNTIF($G$3:G462,SUBSTITUTE(SUBSTITUTE(G462,"?","~?"),"*","~*"))=1,MAX($AA$2:AA461)+1,""))</f>
        <v/>
      </c>
      <c r="AB462">
        <f>IF(B462="","",IF(COUNTIF($B$3:B462,SUBSTITUTE(SUBSTITUTE(B462,"?","~?"),"*","~*"))=1,MAX($AB$2:AB461)+1,""))</f>
        <v/>
      </c>
    </row>
    <row r="463">
      <c r="M463">
        <f>IF(A463="","",LOWER(TRIM(SUBSTITUTE(SUBSTITUTE(A463,"?",""),"*",""))))</f>
        <v/>
      </c>
      <c r="N463">
        <f>IF(M463="","",IF(SUMPRODUCT(ISNUMBER(SEARCH(" "&amp;Settings!$L$5:$L$124&amp;" "," "&amp;M463&amp;" "))*(Settings!$K$5:$K$124="Navigational")*(Settings!$L$5:$L$124&lt;&gt;""))&gt;0,"Navigational",IF(SUMPRODUCT(ISNUMBER(SEARCH(" "&amp;Settings!$L$5:$L$124&amp;" "," "&amp;M463&amp;" "))*(Settings!$K$5:$K$124="Transactional")*(Settings!$L$5:$L$124&lt;&gt;""))&gt;0,"Transactional",IF(SUMPRODUCT(ISNUMBER(SEARCH(" "&amp;Settings!$L$5:$L$124&amp;" "," "&amp;M463&amp;" "))*(Settings!$K$5:$K$124="Commercial")*(Settings!$L$5:$L$124&lt;&gt;""))&gt;0,"Commercial",IF(SUMPRODUCT(ISNUMBER(SEARCH(" "&amp;Settings!$L$5:$L$124&amp;" "," "&amp;M463&amp;" "))*(Settings!$K$5:$K$124="Informational")*(Settings!$L$5:$L$124&lt;&gt;""))&gt;0,"Informational","Unclassified")))))</f>
        <v/>
      </c>
      <c r="O463">
        <f>IF(A463="","",IF(K463&lt;&gt;"",PROPER(K463),N463))</f>
        <v/>
      </c>
      <c r="P463">
        <f>IF(A463="","",ROUND(Settings!$B$5*MIN(1,LOG10(N(C463)+1)/LOG10(Settings!$B$7+1))+Settings!$B$6*(1-MIN(100,IF(D463="",50,N(D463)))/100)+IFERROR(INDEX(Settings!$B$10:$B$14,MATCH(O463,Settings!$A$10:$A$14,0)),0),0))</f>
        <v/>
      </c>
      <c r="Q463">
        <f>IF(OR(A463="",G463=""),"",COUNTIFS($M$3:$M$1002,M463,$G$3:$G$1002,"&lt;&gt;"&amp;SUBSTITUTE(SUBSTITUTE(G463,"?","~?"),"*","~*"),$G$3:$G$1002,"?*"))</f>
        <v/>
      </c>
      <c r="R463">
        <f>IF(Q463="","",IF(Q463&gt;0,"Yes","No"))</f>
        <v/>
      </c>
      <c r="S463">
        <f>IF(G463="","",COUNTIFS($G$3:$G$1002,SUBSTITUTE(SUBSTITUTE(G463,"?","~?"),"*","~*"),$J$3:$J$1002,"Primary"))</f>
        <v/>
      </c>
      <c r="T463">
        <f>IF(S463="","",IF(S463&gt;Settings!$B$4,"Yes","No"))</f>
        <v/>
      </c>
      <c r="U463">
        <f>IF(OR(G463="",B463=""),"",IF(COUNTIFS($G$3:$G$1002,SUBSTITUTE(SUBSTITUTE(G463,"?","~?"),"*","~*"),$B$3:$B$1002,"&lt;&gt;"&amp;SUBSTITUTE(SUBSTITUTE(B463,"?","~?"),"*","~*"),$B$3:$B$1002,"?*")&gt;0,"Yes","No"))</f>
        <v/>
      </c>
      <c r="V463">
        <f>IF(OR(G463="",I463="",O463="",O463="Unclassified"),"",IFERROR(INDEX(Settings!$E$5:$H$16,MATCH(I463,Settings!$D$5:$D$16,0),MATCH(O463,Settings!$E$4:$H$4,0)),"Check"))</f>
        <v/>
      </c>
      <c r="W463">
        <f>IF(V463="","",IF(V463="No","Yes","No"))</f>
        <v/>
      </c>
      <c r="X463">
        <f>IF(OR(E463="",G463=""),"",IF(LOWER(IF(RIGHT(TRIM(E463),1)="/",LEFT(TRIM(E463),LEN(TRIM(E463))-1),TRIM(E463)))&lt;&gt;LOWER(IF(RIGHT(TRIM(G463),1)="/",LEFT(TRIM(G463),LEN(TRIM(G463))-1),TRIM(G463))),"Yes","No"))</f>
        <v/>
      </c>
      <c r="Y463">
        <f>IF(A463="","",(N(Q463)&gt;0)+(T463="Yes")+(U463="Yes")+(W463="Yes")+(X463="Yes"))</f>
        <v/>
      </c>
      <c r="Z463">
        <f>IF(A463="","",IF(G463="","Not mapped",IF(Y463=0,"OK",MID(IF(N(Q463)&gt;0,"; Cannibalisation","")&amp;IF(T463="Yes","; Too many primary keywords on URL","")&amp;IF(U463="Yes","; URL spans 2+ clusters","")&amp;IF(W463="Yes","; Intent mismatch","")&amp;IF(X463="Yes","; Ranking URL is not the target",""),3,300))))</f>
        <v/>
      </c>
      <c r="AA463">
        <f>IF(G463="","",IF(COUNTIF($G$3:G463,SUBSTITUTE(SUBSTITUTE(G463,"?","~?"),"*","~*"))=1,MAX($AA$2:AA462)+1,""))</f>
        <v/>
      </c>
      <c r="AB463">
        <f>IF(B463="","",IF(COUNTIF($B$3:B463,SUBSTITUTE(SUBSTITUTE(B463,"?","~?"),"*","~*"))=1,MAX($AB$2:AB462)+1,""))</f>
        <v/>
      </c>
    </row>
    <row r="464">
      <c r="M464">
        <f>IF(A464="","",LOWER(TRIM(SUBSTITUTE(SUBSTITUTE(A464,"?",""),"*",""))))</f>
        <v/>
      </c>
      <c r="N464">
        <f>IF(M464="","",IF(SUMPRODUCT(ISNUMBER(SEARCH(" "&amp;Settings!$L$5:$L$124&amp;" "," "&amp;M464&amp;" "))*(Settings!$K$5:$K$124="Navigational")*(Settings!$L$5:$L$124&lt;&gt;""))&gt;0,"Navigational",IF(SUMPRODUCT(ISNUMBER(SEARCH(" "&amp;Settings!$L$5:$L$124&amp;" "," "&amp;M464&amp;" "))*(Settings!$K$5:$K$124="Transactional")*(Settings!$L$5:$L$124&lt;&gt;""))&gt;0,"Transactional",IF(SUMPRODUCT(ISNUMBER(SEARCH(" "&amp;Settings!$L$5:$L$124&amp;" "," "&amp;M464&amp;" "))*(Settings!$K$5:$K$124="Commercial")*(Settings!$L$5:$L$124&lt;&gt;""))&gt;0,"Commercial",IF(SUMPRODUCT(ISNUMBER(SEARCH(" "&amp;Settings!$L$5:$L$124&amp;" "," "&amp;M464&amp;" "))*(Settings!$K$5:$K$124="Informational")*(Settings!$L$5:$L$124&lt;&gt;""))&gt;0,"Informational","Unclassified")))))</f>
        <v/>
      </c>
      <c r="O464">
        <f>IF(A464="","",IF(K464&lt;&gt;"",PROPER(K464),N464))</f>
        <v/>
      </c>
      <c r="P464">
        <f>IF(A464="","",ROUND(Settings!$B$5*MIN(1,LOG10(N(C464)+1)/LOG10(Settings!$B$7+1))+Settings!$B$6*(1-MIN(100,IF(D464="",50,N(D464)))/100)+IFERROR(INDEX(Settings!$B$10:$B$14,MATCH(O464,Settings!$A$10:$A$14,0)),0),0))</f>
        <v/>
      </c>
      <c r="Q464">
        <f>IF(OR(A464="",G464=""),"",COUNTIFS($M$3:$M$1002,M464,$G$3:$G$1002,"&lt;&gt;"&amp;SUBSTITUTE(SUBSTITUTE(G464,"?","~?"),"*","~*"),$G$3:$G$1002,"?*"))</f>
        <v/>
      </c>
      <c r="R464">
        <f>IF(Q464="","",IF(Q464&gt;0,"Yes","No"))</f>
        <v/>
      </c>
      <c r="S464">
        <f>IF(G464="","",COUNTIFS($G$3:$G$1002,SUBSTITUTE(SUBSTITUTE(G464,"?","~?"),"*","~*"),$J$3:$J$1002,"Primary"))</f>
        <v/>
      </c>
      <c r="T464">
        <f>IF(S464="","",IF(S464&gt;Settings!$B$4,"Yes","No"))</f>
        <v/>
      </c>
      <c r="U464">
        <f>IF(OR(G464="",B464=""),"",IF(COUNTIFS($G$3:$G$1002,SUBSTITUTE(SUBSTITUTE(G464,"?","~?"),"*","~*"),$B$3:$B$1002,"&lt;&gt;"&amp;SUBSTITUTE(SUBSTITUTE(B464,"?","~?"),"*","~*"),$B$3:$B$1002,"?*")&gt;0,"Yes","No"))</f>
        <v/>
      </c>
      <c r="V464">
        <f>IF(OR(G464="",I464="",O464="",O464="Unclassified"),"",IFERROR(INDEX(Settings!$E$5:$H$16,MATCH(I464,Settings!$D$5:$D$16,0),MATCH(O464,Settings!$E$4:$H$4,0)),"Check"))</f>
        <v/>
      </c>
      <c r="W464">
        <f>IF(V464="","",IF(V464="No","Yes","No"))</f>
        <v/>
      </c>
      <c r="X464">
        <f>IF(OR(E464="",G464=""),"",IF(LOWER(IF(RIGHT(TRIM(E464),1)="/",LEFT(TRIM(E464),LEN(TRIM(E464))-1),TRIM(E464)))&lt;&gt;LOWER(IF(RIGHT(TRIM(G464),1)="/",LEFT(TRIM(G464),LEN(TRIM(G464))-1),TRIM(G464))),"Yes","No"))</f>
        <v/>
      </c>
      <c r="Y464">
        <f>IF(A464="","",(N(Q464)&gt;0)+(T464="Yes")+(U464="Yes")+(W464="Yes")+(X464="Yes"))</f>
        <v/>
      </c>
      <c r="Z464">
        <f>IF(A464="","",IF(G464="","Not mapped",IF(Y464=0,"OK",MID(IF(N(Q464)&gt;0,"; Cannibalisation","")&amp;IF(T464="Yes","; Too many primary keywords on URL","")&amp;IF(U464="Yes","; URL spans 2+ clusters","")&amp;IF(W464="Yes","; Intent mismatch","")&amp;IF(X464="Yes","; Ranking URL is not the target",""),3,300))))</f>
        <v/>
      </c>
      <c r="AA464">
        <f>IF(G464="","",IF(COUNTIF($G$3:G464,SUBSTITUTE(SUBSTITUTE(G464,"?","~?"),"*","~*"))=1,MAX($AA$2:AA463)+1,""))</f>
        <v/>
      </c>
      <c r="AB464">
        <f>IF(B464="","",IF(COUNTIF($B$3:B464,SUBSTITUTE(SUBSTITUTE(B464,"?","~?"),"*","~*"))=1,MAX($AB$2:AB463)+1,""))</f>
        <v/>
      </c>
    </row>
    <row r="465">
      <c r="M465">
        <f>IF(A465="","",LOWER(TRIM(SUBSTITUTE(SUBSTITUTE(A465,"?",""),"*",""))))</f>
        <v/>
      </c>
      <c r="N465">
        <f>IF(M465="","",IF(SUMPRODUCT(ISNUMBER(SEARCH(" "&amp;Settings!$L$5:$L$124&amp;" "," "&amp;M465&amp;" "))*(Settings!$K$5:$K$124="Navigational")*(Settings!$L$5:$L$124&lt;&gt;""))&gt;0,"Navigational",IF(SUMPRODUCT(ISNUMBER(SEARCH(" "&amp;Settings!$L$5:$L$124&amp;" "," "&amp;M465&amp;" "))*(Settings!$K$5:$K$124="Transactional")*(Settings!$L$5:$L$124&lt;&gt;""))&gt;0,"Transactional",IF(SUMPRODUCT(ISNUMBER(SEARCH(" "&amp;Settings!$L$5:$L$124&amp;" "," "&amp;M465&amp;" "))*(Settings!$K$5:$K$124="Commercial")*(Settings!$L$5:$L$124&lt;&gt;""))&gt;0,"Commercial",IF(SUMPRODUCT(ISNUMBER(SEARCH(" "&amp;Settings!$L$5:$L$124&amp;" "," "&amp;M465&amp;" "))*(Settings!$K$5:$K$124="Informational")*(Settings!$L$5:$L$124&lt;&gt;""))&gt;0,"Informational","Unclassified")))))</f>
        <v/>
      </c>
      <c r="O465">
        <f>IF(A465="","",IF(K465&lt;&gt;"",PROPER(K465),N465))</f>
        <v/>
      </c>
      <c r="P465">
        <f>IF(A465="","",ROUND(Settings!$B$5*MIN(1,LOG10(N(C465)+1)/LOG10(Settings!$B$7+1))+Settings!$B$6*(1-MIN(100,IF(D465="",50,N(D465)))/100)+IFERROR(INDEX(Settings!$B$10:$B$14,MATCH(O465,Settings!$A$10:$A$14,0)),0),0))</f>
        <v/>
      </c>
      <c r="Q465">
        <f>IF(OR(A465="",G465=""),"",COUNTIFS($M$3:$M$1002,M465,$G$3:$G$1002,"&lt;&gt;"&amp;SUBSTITUTE(SUBSTITUTE(G465,"?","~?"),"*","~*"),$G$3:$G$1002,"?*"))</f>
        <v/>
      </c>
      <c r="R465">
        <f>IF(Q465="","",IF(Q465&gt;0,"Yes","No"))</f>
        <v/>
      </c>
      <c r="S465">
        <f>IF(G465="","",COUNTIFS($G$3:$G$1002,SUBSTITUTE(SUBSTITUTE(G465,"?","~?"),"*","~*"),$J$3:$J$1002,"Primary"))</f>
        <v/>
      </c>
      <c r="T465">
        <f>IF(S465="","",IF(S465&gt;Settings!$B$4,"Yes","No"))</f>
        <v/>
      </c>
      <c r="U465">
        <f>IF(OR(G465="",B465=""),"",IF(COUNTIFS($G$3:$G$1002,SUBSTITUTE(SUBSTITUTE(G465,"?","~?"),"*","~*"),$B$3:$B$1002,"&lt;&gt;"&amp;SUBSTITUTE(SUBSTITUTE(B465,"?","~?"),"*","~*"),$B$3:$B$1002,"?*")&gt;0,"Yes","No"))</f>
        <v/>
      </c>
      <c r="V465">
        <f>IF(OR(G465="",I465="",O465="",O465="Unclassified"),"",IFERROR(INDEX(Settings!$E$5:$H$16,MATCH(I465,Settings!$D$5:$D$16,0),MATCH(O465,Settings!$E$4:$H$4,0)),"Check"))</f>
        <v/>
      </c>
      <c r="W465">
        <f>IF(V465="","",IF(V465="No","Yes","No"))</f>
        <v/>
      </c>
      <c r="X465">
        <f>IF(OR(E465="",G465=""),"",IF(LOWER(IF(RIGHT(TRIM(E465),1)="/",LEFT(TRIM(E465),LEN(TRIM(E465))-1),TRIM(E465)))&lt;&gt;LOWER(IF(RIGHT(TRIM(G465),1)="/",LEFT(TRIM(G465),LEN(TRIM(G465))-1),TRIM(G465))),"Yes","No"))</f>
        <v/>
      </c>
      <c r="Y465">
        <f>IF(A465="","",(N(Q465)&gt;0)+(T465="Yes")+(U465="Yes")+(W465="Yes")+(X465="Yes"))</f>
        <v/>
      </c>
      <c r="Z465">
        <f>IF(A465="","",IF(G465="","Not mapped",IF(Y465=0,"OK",MID(IF(N(Q465)&gt;0,"; Cannibalisation","")&amp;IF(T465="Yes","; Too many primary keywords on URL","")&amp;IF(U465="Yes","; URL spans 2+ clusters","")&amp;IF(W465="Yes","; Intent mismatch","")&amp;IF(X465="Yes","; Ranking URL is not the target",""),3,300))))</f>
        <v/>
      </c>
      <c r="AA465">
        <f>IF(G465="","",IF(COUNTIF($G$3:G465,SUBSTITUTE(SUBSTITUTE(G465,"?","~?"),"*","~*"))=1,MAX($AA$2:AA464)+1,""))</f>
        <v/>
      </c>
      <c r="AB465">
        <f>IF(B465="","",IF(COUNTIF($B$3:B465,SUBSTITUTE(SUBSTITUTE(B465,"?","~?"),"*","~*"))=1,MAX($AB$2:AB464)+1,""))</f>
        <v/>
      </c>
    </row>
    <row r="466">
      <c r="M466">
        <f>IF(A466="","",LOWER(TRIM(SUBSTITUTE(SUBSTITUTE(A466,"?",""),"*",""))))</f>
        <v/>
      </c>
      <c r="N466">
        <f>IF(M466="","",IF(SUMPRODUCT(ISNUMBER(SEARCH(" "&amp;Settings!$L$5:$L$124&amp;" "," "&amp;M466&amp;" "))*(Settings!$K$5:$K$124="Navigational")*(Settings!$L$5:$L$124&lt;&gt;""))&gt;0,"Navigational",IF(SUMPRODUCT(ISNUMBER(SEARCH(" "&amp;Settings!$L$5:$L$124&amp;" "," "&amp;M466&amp;" "))*(Settings!$K$5:$K$124="Transactional")*(Settings!$L$5:$L$124&lt;&gt;""))&gt;0,"Transactional",IF(SUMPRODUCT(ISNUMBER(SEARCH(" "&amp;Settings!$L$5:$L$124&amp;" "," "&amp;M466&amp;" "))*(Settings!$K$5:$K$124="Commercial")*(Settings!$L$5:$L$124&lt;&gt;""))&gt;0,"Commercial",IF(SUMPRODUCT(ISNUMBER(SEARCH(" "&amp;Settings!$L$5:$L$124&amp;" "," "&amp;M466&amp;" "))*(Settings!$K$5:$K$124="Informational")*(Settings!$L$5:$L$124&lt;&gt;""))&gt;0,"Informational","Unclassified")))))</f>
        <v/>
      </c>
      <c r="O466">
        <f>IF(A466="","",IF(K466&lt;&gt;"",PROPER(K466),N466))</f>
        <v/>
      </c>
      <c r="P466">
        <f>IF(A466="","",ROUND(Settings!$B$5*MIN(1,LOG10(N(C466)+1)/LOG10(Settings!$B$7+1))+Settings!$B$6*(1-MIN(100,IF(D466="",50,N(D466)))/100)+IFERROR(INDEX(Settings!$B$10:$B$14,MATCH(O466,Settings!$A$10:$A$14,0)),0),0))</f>
        <v/>
      </c>
      <c r="Q466">
        <f>IF(OR(A466="",G466=""),"",COUNTIFS($M$3:$M$1002,M466,$G$3:$G$1002,"&lt;&gt;"&amp;SUBSTITUTE(SUBSTITUTE(G466,"?","~?"),"*","~*"),$G$3:$G$1002,"?*"))</f>
        <v/>
      </c>
      <c r="R466">
        <f>IF(Q466="","",IF(Q466&gt;0,"Yes","No"))</f>
        <v/>
      </c>
      <c r="S466">
        <f>IF(G466="","",COUNTIFS($G$3:$G$1002,SUBSTITUTE(SUBSTITUTE(G466,"?","~?"),"*","~*"),$J$3:$J$1002,"Primary"))</f>
        <v/>
      </c>
      <c r="T466">
        <f>IF(S466="","",IF(S466&gt;Settings!$B$4,"Yes","No"))</f>
        <v/>
      </c>
      <c r="U466">
        <f>IF(OR(G466="",B466=""),"",IF(COUNTIFS($G$3:$G$1002,SUBSTITUTE(SUBSTITUTE(G466,"?","~?"),"*","~*"),$B$3:$B$1002,"&lt;&gt;"&amp;SUBSTITUTE(SUBSTITUTE(B466,"?","~?"),"*","~*"),$B$3:$B$1002,"?*")&gt;0,"Yes","No"))</f>
        <v/>
      </c>
      <c r="V466">
        <f>IF(OR(G466="",I466="",O466="",O466="Unclassified"),"",IFERROR(INDEX(Settings!$E$5:$H$16,MATCH(I466,Settings!$D$5:$D$16,0),MATCH(O466,Settings!$E$4:$H$4,0)),"Check"))</f>
        <v/>
      </c>
      <c r="W466">
        <f>IF(V466="","",IF(V466="No","Yes","No"))</f>
        <v/>
      </c>
      <c r="X466">
        <f>IF(OR(E466="",G466=""),"",IF(LOWER(IF(RIGHT(TRIM(E466),1)="/",LEFT(TRIM(E466),LEN(TRIM(E466))-1),TRIM(E466)))&lt;&gt;LOWER(IF(RIGHT(TRIM(G466),1)="/",LEFT(TRIM(G466),LEN(TRIM(G466))-1),TRIM(G466))),"Yes","No"))</f>
        <v/>
      </c>
      <c r="Y466">
        <f>IF(A466="","",(N(Q466)&gt;0)+(T466="Yes")+(U466="Yes")+(W466="Yes")+(X466="Yes"))</f>
        <v/>
      </c>
      <c r="Z466">
        <f>IF(A466="","",IF(G466="","Not mapped",IF(Y466=0,"OK",MID(IF(N(Q466)&gt;0,"; Cannibalisation","")&amp;IF(T466="Yes","; Too many primary keywords on URL","")&amp;IF(U466="Yes","; URL spans 2+ clusters","")&amp;IF(W466="Yes","; Intent mismatch","")&amp;IF(X466="Yes","; Ranking URL is not the target",""),3,300))))</f>
        <v/>
      </c>
      <c r="AA466">
        <f>IF(G466="","",IF(COUNTIF($G$3:G466,SUBSTITUTE(SUBSTITUTE(G466,"?","~?"),"*","~*"))=1,MAX($AA$2:AA465)+1,""))</f>
        <v/>
      </c>
      <c r="AB466">
        <f>IF(B466="","",IF(COUNTIF($B$3:B466,SUBSTITUTE(SUBSTITUTE(B466,"?","~?"),"*","~*"))=1,MAX($AB$2:AB465)+1,""))</f>
        <v/>
      </c>
    </row>
    <row r="467">
      <c r="M467">
        <f>IF(A467="","",LOWER(TRIM(SUBSTITUTE(SUBSTITUTE(A467,"?",""),"*",""))))</f>
        <v/>
      </c>
      <c r="N467">
        <f>IF(M467="","",IF(SUMPRODUCT(ISNUMBER(SEARCH(" "&amp;Settings!$L$5:$L$124&amp;" "," "&amp;M467&amp;" "))*(Settings!$K$5:$K$124="Navigational")*(Settings!$L$5:$L$124&lt;&gt;""))&gt;0,"Navigational",IF(SUMPRODUCT(ISNUMBER(SEARCH(" "&amp;Settings!$L$5:$L$124&amp;" "," "&amp;M467&amp;" "))*(Settings!$K$5:$K$124="Transactional")*(Settings!$L$5:$L$124&lt;&gt;""))&gt;0,"Transactional",IF(SUMPRODUCT(ISNUMBER(SEARCH(" "&amp;Settings!$L$5:$L$124&amp;" "," "&amp;M467&amp;" "))*(Settings!$K$5:$K$124="Commercial")*(Settings!$L$5:$L$124&lt;&gt;""))&gt;0,"Commercial",IF(SUMPRODUCT(ISNUMBER(SEARCH(" "&amp;Settings!$L$5:$L$124&amp;" "," "&amp;M467&amp;" "))*(Settings!$K$5:$K$124="Informational")*(Settings!$L$5:$L$124&lt;&gt;""))&gt;0,"Informational","Unclassified")))))</f>
        <v/>
      </c>
      <c r="O467">
        <f>IF(A467="","",IF(K467&lt;&gt;"",PROPER(K467),N467))</f>
        <v/>
      </c>
      <c r="P467">
        <f>IF(A467="","",ROUND(Settings!$B$5*MIN(1,LOG10(N(C467)+1)/LOG10(Settings!$B$7+1))+Settings!$B$6*(1-MIN(100,IF(D467="",50,N(D467)))/100)+IFERROR(INDEX(Settings!$B$10:$B$14,MATCH(O467,Settings!$A$10:$A$14,0)),0),0))</f>
        <v/>
      </c>
      <c r="Q467">
        <f>IF(OR(A467="",G467=""),"",COUNTIFS($M$3:$M$1002,M467,$G$3:$G$1002,"&lt;&gt;"&amp;SUBSTITUTE(SUBSTITUTE(G467,"?","~?"),"*","~*"),$G$3:$G$1002,"?*"))</f>
        <v/>
      </c>
      <c r="R467">
        <f>IF(Q467="","",IF(Q467&gt;0,"Yes","No"))</f>
        <v/>
      </c>
      <c r="S467">
        <f>IF(G467="","",COUNTIFS($G$3:$G$1002,SUBSTITUTE(SUBSTITUTE(G467,"?","~?"),"*","~*"),$J$3:$J$1002,"Primary"))</f>
        <v/>
      </c>
      <c r="T467">
        <f>IF(S467="","",IF(S467&gt;Settings!$B$4,"Yes","No"))</f>
        <v/>
      </c>
      <c r="U467">
        <f>IF(OR(G467="",B467=""),"",IF(COUNTIFS($G$3:$G$1002,SUBSTITUTE(SUBSTITUTE(G467,"?","~?"),"*","~*"),$B$3:$B$1002,"&lt;&gt;"&amp;SUBSTITUTE(SUBSTITUTE(B467,"?","~?"),"*","~*"),$B$3:$B$1002,"?*")&gt;0,"Yes","No"))</f>
        <v/>
      </c>
      <c r="V467">
        <f>IF(OR(G467="",I467="",O467="",O467="Unclassified"),"",IFERROR(INDEX(Settings!$E$5:$H$16,MATCH(I467,Settings!$D$5:$D$16,0),MATCH(O467,Settings!$E$4:$H$4,0)),"Check"))</f>
        <v/>
      </c>
      <c r="W467">
        <f>IF(V467="","",IF(V467="No","Yes","No"))</f>
        <v/>
      </c>
      <c r="X467">
        <f>IF(OR(E467="",G467=""),"",IF(LOWER(IF(RIGHT(TRIM(E467),1)="/",LEFT(TRIM(E467),LEN(TRIM(E467))-1),TRIM(E467)))&lt;&gt;LOWER(IF(RIGHT(TRIM(G467),1)="/",LEFT(TRIM(G467),LEN(TRIM(G467))-1),TRIM(G467))),"Yes","No"))</f>
        <v/>
      </c>
      <c r="Y467">
        <f>IF(A467="","",(N(Q467)&gt;0)+(T467="Yes")+(U467="Yes")+(W467="Yes")+(X467="Yes"))</f>
        <v/>
      </c>
      <c r="Z467">
        <f>IF(A467="","",IF(G467="","Not mapped",IF(Y467=0,"OK",MID(IF(N(Q467)&gt;0,"; Cannibalisation","")&amp;IF(T467="Yes","; Too many primary keywords on URL","")&amp;IF(U467="Yes","; URL spans 2+ clusters","")&amp;IF(W467="Yes","; Intent mismatch","")&amp;IF(X467="Yes","; Ranking URL is not the target",""),3,300))))</f>
        <v/>
      </c>
      <c r="AA467">
        <f>IF(G467="","",IF(COUNTIF($G$3:G467,SUBSTITUTE(SUBSTITUTE(G467,"?","~?"),"*","~*"))=1,MAX($AA$2:AA466)+1,""))</f>
        <v/>
      </c>
      <c r="AB467">
        <f>IF(B467="","",IF(COUNTIF($B$3:B467,SUBSTITUTE(SUBSTITUTE(B467,"?","~?"),"*","~*"))=1,MAX($AB$2:AB466)+1,""))</f>
        <v/>
      </c>
    </row>
    <row r="468">
      <c r="M468">
        <f>IF(A468="","",LOWER(TRIM(SUBSTITUTE(SUBSTITUTE(A468,"?",""),"*",""))))</f>
        <v/>
      </c>
      <c r="N468">
        <f>IF(M468="","",IF(SUMPRODUCT(ISNUMBER(SEARCH(" "&amp;Settings!$L$5:$L$124&amp;" "," "&amp;M468&amp;" "))*(Settings!$K$5:$K$124="Navigational")*(Settings!$L$5:$L$124&lt;&gt;""))&gt;0,"Navigational",IF(SUMPRODUCT(ISNUMBER(SEARCH(" "&amp;Settings!$L$5:$L$124&amp;" "," "&amp;M468&amp;" "))*(Settings!$K$5:$K$124="Transactional")*(Settings!$L$5:$L$124&lt;&gt;""))&gt;0,"Transactional",IF(SUMPRODUCT(ISNUMBER(SEARCH(" "&amp;Settings!$L$5:$L$124&amp;" "," "&amp;M468&amp;" "))*(Settings!$K$5:$K$124="Commercial")*(Settings!$L$5:$L$124&lt;&gt;""))&gt;0,"Commercial",IF(SUMPRODUCT(ISNUMBER(SEARCH(" "&amp;Settings!$L$5:$L$124&amp;" "," "&amp;M468&amp;" "))*(Settings!$K$5:$K$124="Informational")*(Settings!$L$5:$L$124&lt;&gt;""))&gt;0,"Informational","Unclassified")))))</f>
        <v/>
      </c>
      <c r="O468">
        <f>IF(A468="","",IF(K468&lt;&gt;"",PROPER(K468),N468))</f>
        <v/>
      </c>
      <c r="P468">
        <f>IF(A468="","",ROUND(Settings!$B$5*MIN(1,LOG10(N(C468)+1)/LOG10(Settings!$B$7+1))+Settings!$B$6*(1-MIN(100,IF(D468="",50,N(D468)))/100)+IFERROR(INDEX(Settings!$B$10:$B$14,MATCH(O468,Settings!$A$10:$A$14,0)),0),0))</f>
        <v/>
      </c>
      <c r="Q468">
        <f>IF(OR(A468="",G468=""),"",COUNTIFS($M$3:$M$1002,M468,$G$3:$G$1002,"&lt;&gt;"&amp;SUBSTITUTE(SUBSTITUTE(G468,"?","~?"),"*","~*"),$G$3:$G$1002,"?*"))</f>
        <v/>
      </c>
      <c r="R468">
        <f>IF(Q468="","",IF(Q468&gt;0,"Yes","No"))</f>
        <v/>
      </c>
      <c r="S468">
        <f>IF(G468="","",COUNTIFS($G$3:$G$1002,SUBSTITUTE(SUBSTITUTE(G468,"?","~?"),"*","~*"),$J$3:$J$1002,"Primary"))</f>
        <v/>
      </c>
      <c r="T468">
        <f>IF(S468="","",IF(S468&gt;Settings!$B$4,"Yes","No"))</f>
        <v/>
      </c>
      <c r="U468">
        <f>IF(OR(G468="",B468=""),"",IF(COUNTIFS($G$3:$G$1002,SUBSTITUTE(SUBSTITUTE(G468,"?","~?"),"*","~*"),$B$3:$B$1002,"&lt;&gt;"&amp;SUBSTITUTE(SUBSTITUTE(B468,"?","~?"),"*","~*"),$B$3:$B$1002,"?*")&gt;0,"Yes","No"))</f>
        <v/>
      </c>
      <c r="V468">
        <f>IF(OR(G468="",I468="",O468="",O468="Unclassified"),"",IFERROR(INDEX(Settings!$E$5:$H$16,MATCH(I468,Settings!$D$5:$D$16,0),MATCH(O468,Settings!$E$4:$H$4,0)),"Check"))</f>
        <v/>
      </c>
      <c r="W468">
        <f>IF(V468="","",IF(V468="No","Yes","No"))</f>
        <v/>
      </c>
      <c r="X468">
        <f>IF(OR(E468="",G468=""),"",IF(LOWER(IF(RIGHT(TRIM(E468),1)="/",LEFT(TRIM(E468),LEN(TRIM(E468))-1),TRIM(E468)))&lt;&gt;LOWER(IF(RIGHT(TRIM(G468),1)="/",LEFT(TRIM(G468),LEN(TRIM(G468))-1),TRIM(G468))),"Yes","No"))</f>
        <v/>
      </c>
      <c r="Y468">
        <f>IF(A468="","",(N(Q468)&gt;0)+(T468="Yes")+(U468="Yes")+(W468="Yes")+(X468="Yes"))</f>
        <v/>
      </c>
      <c r="Z468">
        <f>IF(A468="","",IF(G468="","Not mapped",IF(Y468=0,"OK",MID(IF(N(Q468)&gt;0,"; Cannibalisation","")&amp;IF(T468="Yes","; Too many primary keywords on URL","")&amp;IF(U468="Yes","; URL spans 2+ clusters","")&amp;IF(W468="Yes","; Intent mismatch","")&amp;IF(X468="Yes","; Ranking URL is not the target",""),3,300))))</f>
        <v/>
      </c>
      <c r="AA468">
        <f>IF(G468="","",IF(COUNTIF($G$3:G468,SUBSTITUTE(SUBSTITUTE(G468,"?","~?"),"*","~*"))=1,MAX($AA$2:AA467)+1,""))</f>
        <v/>
      </c>
      <c r="AB468">
        <f>IF(B468="","",IF(COUNTIF($B$3:B468,SUBSTITUTE(SUBSTITUTE(B468,"?","~?"),"*","~*"))=1,MAX($AB$2:AB467)+1,""))</f>
        <v/>
      </c>
    </row>
    <row r="469">
      <c r="M469">
        <f>IF(A469="","",LOWER(TRIM(SUBSTITUTE(SUBSTITUTE(A469,"?",""),"*",""))))</f>
        <v/>
      </c>
      <c r="N469">
        <f>IF(M469="","",IF(SUMPRODUCT(ISNUMBER(SEARCH(" "&amp;Settings!$L$5:$L$124&amp;" "," "&amp;M469&amp;" "))*(Settings!$K$5:$K$124="Navigational")*(Settings!$L$5:$L$124&lt;&gt;""))&gt;0,"Navigational",IF(SUMPRODUCT(ISNUMBER(SEARCH(" "&amp;Settings!$L$5:$L$124&amp;" "," "&amp;M469&amp;" "))*(Settings!$K$5:$K$124="Transactional")*(Settings!$L$5:$L$124&lt;&gt;""))&gt;0,"Transactional",IF(SUMPRODUCT(ISNUMBER(SEARCH(" "&amp;Settings!$L$5:$L$124&amp;" "," "&amp;M469&amp;" "))*(Settings!$K$5:$K$124="Commercial")*(Settings!$L$5:$L$124&lt;&gt;""))&gt;0,"Commercial",IF(SUMPRODUCT(ISNUMBER(SEARCH(" "&amp;Settings!$L$5:$L$124&amp;" "," "&amp;M469&amp;" "))*(Settings!$K$5:$K$124="Informational")*(Settings!$L$5:$L$124&lt;&gt;""))&gt;0,"Informational","Unclassified")))))</f>
        <v/>
      </c>
      <c r="O469">
        <f>IF(A469="","",IF(K469&lt;&gt;"",PROPER(K469),N469))</f>
        <v/>
      </c>
      <c r="P469">
        <f>IF(A469="","",ROUND(Settings!$B$5*MIN(1,LOG10(N(C469)+1)/LOG10(Settings!$B$7+1))+Settings!$B$6*(1-MIN(100,IF(D469="",50,N(D469)))/100)+IFERROR(INDEX(Settings!$B$10:$B$14,MATCH(O469,Settings!$A$10:$A$14,0)),0),0))</f>
        <v/>
      </c>
      <c r="Q469">
        <f>IF(OR(A469="",G469=""),"",COUNTIFS($M$3:$M$1002,M469,$G$3:$G$1002,"&lt;&gt;"&amp;SUBSTITUTE(SUBSTITUTE(G469,"?","~?"),"*","~*"),$G$3:$G$1002,"?*"))</f>
        <v/>
      </c>
      <c r="R469">
        <f>IF(Q469="","",IF(Q469&gt;0,"Yes","No"))</f>
        <v/>
      </c>
      <c r="S469">
        <f>IF(G469="","",COUNTIFS($G$3:$G$1002,SUBSTITUTE(SUBSTITUTE(G469,"?","~?"),"*","~*"),$J$3:$J$1002,"Primary"))</f>
        <v/>
      </c>
      <c r="T469">
        <f>IF(S469="","",IF(S469&gt;Settings!$B$4,"Yes","No"))</f>
        <v/>
      </c>
      <c r="U469">
        <f>IF(OR(G469="",B469=""),"",IF(COUNTIFS($G$3:$G$1002,SUBSTITUTE(SUBSTITUTE(G469,"?","~?"),"*","~*"),$B$3:$B$1002,"&lt;&gt;"&amp;SUBSTITUTE(SUBSTITUTE(B469,"?","~?"),"*","~*"),$B$3:$B$1002,"?*")&gt;0,"Yes","No"))</f>
        <v/>
      </c>
      <c r="V469">
        <f>IF(OR(G469="",I469="",O469="",O469="Unclassified"),"",IFERROR(INDEX(Settings!$E$5:$H$16,MATCH(I469,Settings!$D$5:$D$16,0),MATCH(O469,Settings!$E$4:$H$4,0)),"Check"))</f>
        <v/>
      </c>
      <c r="W469">
        <f>IF(V469="","",IF(V469="No","Yes","No"))</f>
        <v/>
      </c>
      <c r="X469">
        <f>IF(OR(E469="",G469=""),"",IF(LOWER(IF(RIGHT(TRIM(E469),1)="/",LEFT(TRIM(E469),LEN(TRIM(E469))-1),TRIM(E469)))&lt;&gt;LOWER(IF(RIGHT(TRIM(G469),1)="/",LEFT(TRIM(G469),LEN(TRIM(G469))-1),TRIM(G469))),"Yes","No"))</f>
        <v/>
      </c>
      <c r="Y469">
        <f>IF(A469="","",(N(Q469)&gt;0)+(T469="Yes")+(U469="Yes")+(W469="Yes")+(X469="Yes"))</f>
        <v/>
      </c>
      <c r="Z469">
        <f>IF(A469="","",IF(G469="","Not mapped",IF(Y469=0,"OK",MID(IF(N(Q469)&gt;0,"; Cannibalisation","")&amp;IF(T469="Yes","; Too many primary keywords on URL","")&amp;IF(U469="Yes","; URL spans 2+ clusters","")&amp;IF(W469="Yes","; Intent mismatch","")&amp;IF(X469="Yes","; Ranking URL is not the target",""),3,300))))</f>
        <v/>
      </c>
      <c r="AA469">
        <f>IF(G469="","",IF(COUNTIF($G$3:G469,SUBSTITUTE(SUBSTITUTE(G469,"?","~?"),"*","~*"))=1,MAX($AA$2:AA468)+1,""))</f>
        <v/>
      </c>
      <c r="AB469">
        <f>IF(B469="","",IF(COUNTIF($B$3:B469,SUBSTITUTE(SUBSTITUTE(B469,"?","~?"),"*","~*"))=1,MAX($AB$2:AB468)+1,""))</f>
        <v/>
      </c>
    </row>
    <row r="470">
      <c r="M470">
        <f>IF(A470="","",LOWER(TRIM(SUBSTITUTE(SUBSTITUTE(A470,"?",""),"*",""))))</f>
        <v/>
      </c>
      <c r="N470">
        <f>IF(M470="","",IF(SUMPRODUCT(ISNUMBER(SEARCH(" "&amp;Settings!$L$5:$L$124&amp;" "," "&amp;M470&amp;" "))*(Settings!$K$5:$K$124="Navigational")*(Settings!$L$5:$L$124&lt;&gt;""))&gt;0,"Navigational",IF(SUMPRODUCT(ISNUMBER(SEARCH(" "&amp;Settings!$L$5:$L$124&amp;" "," "&amp;M470&amp;" "))*(Settings!$K$5:$K$124="Transactional")*(Settings!$L$5:$L$124&lt;&gt;""))&gt;0,"Transactional",IF(SUMPRODUCT(ISNUMBER(SEARCH(" "&amp;Settings!$L$5:$L$124&amp;" "," "&amp;M470&amp;" "))*(Settings!$K$5:$K$124="Commercial")*(Settings!$L$5:$L$124&lt;&gt;""))&gt;0,"Commercial",IF(SUMPRODUCT(ISNUMBER(SEARCH(" "&amp;Settings!$L$5:$L$124&amp;" "," "&amp;M470&amp;" "))*(Settings!$K$5:$K$124="Informational")*(Settings!$L$5:$L$124&lt;&gt;""))&gt;0,"Informational","Unclassified")))))</f>
        <v/>
      </c>
      <c r="O470">
        <f>IF(A470="","",IF(K470&lt;&gt;"",PROPER(K470),N470))</f>
        <v/>
      </c>
      <c r="P470">
        <f>IF(A470="","",ROUND(Settings!$B$5*MIN(1,LOG10(N(C470)+1)/LOG10(Settings!$B$7+1))+Settings!$B$6*(1-MIN(100,IF(D470="",50,N(D470)))/100)+IFERROR(INDEX(Settings!$B$10:$B$14,MATCH(O470,Settings!$A$10:$A$14,0)),0),0))</f>
        <v/>
      </c>
      <c r="Q470">
        <f>IF(OR(A470="",G470=""),"",COUNTIFS($M$3:$M$1002,M470,$G$3:$G$1002,"&lt;&gt;"&amp;SUBSTITUTE(SUBSTITUTE(G470,"?","~?"),"*","~*"),$G$3:$G$1002,"?*"))</f>
        <v/>
      </c>
      <c r="R470">
        <f>IF(Q470="","",IF(Q470&gt;0,"Yes","No"))</f>
        <v/>
      </c>
      <c r="S470">
        <f>IF(G470="","",COUNTIFS($G$3:$G$1002,SUBSTITUTE(SUBSTITUTE(G470,"?","~?"),"*","~*"),$J$3:$J$1002,"Primary"))</f>
        <v/>
      </c>
      <c r="T470">
        <f>IF(S470="","",IF(S470&gt;Settings!$B$4,"Yes","No"))</f>
        <v/>
      </c>
      <c r="U470">
        <f>IF(OR(G470="",B470=""),"",IF(COUNTIFS($G$3:$G$1002,SUBSTITUTE(SUBSTITUTE(G470,"?","~?"),"*","~*"),$B$3:$B$1002,"&lt;&gt;"&amp;SUBSTITUTE(SUBSTITUTE(B470,"?","~?"),"*","~*"),$B$3:$B$1002,"?*")&gt;0,"Yes","No"))</f>
        <v/>
      </c>
      <c r="V470">
        <f>IF(OR(G470="",I470="",O470="",O470="Unclassified"),"",IFERROR(INDEX(Settings!$E$5:$H$16,MATCH(I470,Settings!$D$5:$D$16,0),MATCH(O470,Settings!$E$4:$H$4,0)),"Check"))</f>
        <v/>
      </c>
      <c r="W470">
        <f>IF(V470="","",IF(V470="No","Yes","No"))</f>
        <v/>
      </c>
      <c r="X470">
        <f>IF(OR(E470="",G470=""),"",IF(LOWER(IF(RIGHT(TRIM(E470),1)="/",LEFT(TRIM(E470),LEN(TRIM(E470))-1),TRIM(E470)))&lt;&gt;LOWER(IF(RIGHT(TRIM(G470),1)="/",LEFT(TRIM(G470),LEN(TRIM(G470))-1),TRIM(G470))),"Yes","No"))</f>
        <v/>
      </c>
      <c r="Y470">
        <f>IF(A470="","",(N(Q470)&gt;0)+(T470="Yes")+(U470="Yes")+(W470="Yes")+(X470="Yes"))</f>
        <v/>
      </c>
      <c r="Z470">
        <f>IF(A470="","",IF(G470="","Not mapped",IF(Y470=0,"OK",MID(IF(N(Q470)&gt;0,"; Cannibalisation","")&amp;IF(T470="Yes","; Too many primary keywords on URL","")&amp;IF(U470="Yes","; URL spans 2+ clusters","")&amp;IF(W470="Yes","; Intent mismatch","")&amp;IF(X470="Yes","; Ranking URL is not the target",""),3,300))))</f>
        <v/>
      </c>
      <c r="AA470">
        <f>IF(G470="","",IF(COUNTIF($G$3:G470,SUBSTITUTE(SUBSTITUTE(G470,"?","~?"),"*","~*"))=1,MAX($AA$2:AA469)+1,""))</f>
        <v/>
      </c>
      <c r="AB470">
        <f>IF(B470="","",IF(COUNTIF($B$3:B470,SUBSTITUTE(SUBSTITUTE(B470,"?","~?"),"*","~*"))=1,MAX($AB$2:AB469)+1,""))</f>
        <v/>
      </c>
    </row>
    <row r="471">
      <c r="M471">
        <f>IF(A471="","",LOWER(TRIM(SUBSTITUTE(SUBSTITUTE(A471,"?",""),"*",""))))</f>
        <v/>
      </c>
      <c r="N471">
        <f>IF(M471="","",IF(SUMPRODUCT(ISNUMBER(SEARCH(" "&amp;Settings!$L$5:$L$124&amp;" "," "&amp;M471&amp;" "))*(Settings!$K$5:$K$124="Navigational")*(Settings!$L$5:$L$124&lt;&gt;""))&gt;0,"Navigational",IF(SUMPRODUCT(ISNUMBER(SEARCH(" "&amp;Settings!$L$5:$L$124&amp;" "," "&amp;M471&amp;" "))*(Settings!$K$5:$K$124="Transactional")*(Settings!$L$5:$L$124&lt;&gt;""))&gt;0,"Transactional",IF(SUMPRODUCT(ISNUMBER(SEARCH(" "&amp;Settings!$L$5:$L$124&amp;" "," "&amp;M471&amp;" "))*(Settings!$K$5:$K$124="Commercial")*(Settings!$L$5:$L$124&lt;&gt;""))&gt;0,"Commercial",IF(SUMPRODUCT(ISNUMBER(SEARCH(" "&amp;Settings!$L$5:$L$124&amp;" "," "&amp;M471&amp;" "))*(Settings!$K$5:$K$124="Informational")*(Settings!$L$5:$L$124&lt;&gt;""))&gt;0,"Informational","Unclassified")))))</f>
        <v/>
      </c>
      <c r="O471">
        <f>IF(A471="","",IF(K471&lt;&gt;"",PROPER(K471),N471))</f>
        <v/>
      </c>
      <c r="P471">
        <f>IF(A471="","",ROUND(Settings!$B$5*MIN(1,LOG10(N(C471)+1)/LOG10(Settings!$B$7+1))+Settings!$B$6*(1-MIN(100,IF(D471="",50,N(D471)))/100)+IFERROR(INDEX(Settings!$B$10:$B$14,MATCH(O471,Settings!$A$10:$A$14,0)),0),0))</f>
        <v/>
      </c>
      <c r="Q471">
        <f>IF(OR(A471="",G471=""),"",COUNTIFS($M$3:$M$1002,M471,$G$3:$G$1002,"&lt;&gt;"&amp;SUBSTITUTE(SUBSTITUTE(G471,"?","~?"),"*","~*"),$G$3:$G$1002,"?*"))</f>
        <v/>
      </c>
      <c r="R471">
        <f>IF(Q471="","",IF(Q471&gt;0,"Yes","No"))</f>
        <v/>
      </c>
      <c r="S471">
        <f>IF(G471="","",COUNTIFS($G$3:$G$1002,SUBSTITUTE(SUBSTITUTE(G471,"?","~?"),"*","~*"),$J$3:$J$1002,"Primary"))</f>
        <v/>
      </c>
      <c r="T471">
        <f>IF(S471="","",IF(S471&gt;Settings!$B$4,"Yes","No"))</f>
        <v/>
      </c>
      <c r="U471">
        <f>IF(OR(G471="",B471=""),"",IF(COUNTIFS($G$3:$G$1002,SUBSTITUTE(SUBSTITUTE(G471,"?","~?"),"*","~*"),$B$3:$B$1002,"&lt;&gt;"&amp;SUBSTITUTE(SUBSTITUTE(B471,"?","~?"),"*","~*"),$B$3:$B$1002,"?*")&gt;0,"Yes","No"))</f>
        <v/>
      </c>
      <c r="V471">
        <f>IF(OR(G471="",I471="",O471="",O471="Unclassified"),"",IFERROR(INDEX(Settings!$E$5:$H$16,MATCH(I471,Settings!$D$5:$D$16,0),MATCH(O471,Settings!$E$4:$H$4,0)),"Check"))</f>
        <v/>
      </c>
      <c r="W471">
        <f>IF(V471="","",IF(V471="No","Yes","No"))</f>
        <v/>
      </c>
      <c r="X471">
        <f>IF(OR(E471="",G471=""),"",IF(LOWER(IF(RIGHT(TRIM(E471),1)="/",LEFT(TRIM(E471),LEN(TRIM(E471))-1),TRIM(E471)))&lt;&gt;LOWER(IF(RIGHT(TRIM(G471),1)="/",LEFT(TRIM(G471),LEN(TRIM(G471))-1),TRIM(G471))),"Yes","No"))</f>
        <v/>
      </c>
      <c r="Y471">
        <f>IF(A471="","",(N(Q471)&gt;0)+(T471="Yes")+(U471="Yes")+(W471="Yes")+(X471="Yes"))</f>
        <v/>
      </c>
      <c r="Z471">
        <f>IF(A471="","",IF(G471="","Not mapped",IF(Y471=0,"OK",MID(IF(N(Q471)&gt;0,"; Cannibalisation","")&amp;IF(T471="Yes","; Too many primary keywords on URL","")&amp;IF(U471="Yes","; URL spans 2+ clusters","")&amp;IF(W471="Yes","; Intent mismatch","")&amp;IF(X471="Yes","; Ranking URL is not the target",""),3,300))))</f>
        <v/>
      </c>
      <c r="AA471">
        <f>IF(G471="","",IF(COUNTIF($G$3:G471,SUBSTITUTE(SUBSTITUTE(G471,"?","~?"),"*","~*"))=1,MAX($AA$2:AA470)+1,""))</f>
        <v/>
      </c>
      <c r="AB471">
        <f>IF(B471="","",IF(COUNTIF($B$3:B471,SUBSTITUTE(SUBSTITUTE(B471,"?","~?"),"*","~*"))=1,MAX($AB$2:AB470)+1,""))</f>
        <v/>
      </c>
    </row>
    <row r="472">
      <c r="M472">
        <f>IF(A472="","",LOWER(TRIM(SUBSTITUTE(SUBSTITUTE(A472,"?",""),"*",""))))</f>
        <v/>
      </c>
      <c r="N472">
        <f>IF(M472="","",IF(SUMPRODUCT(ISNUMBER(SEARCH(" "&amp;Settings!$L$5:$L$124&amp;" "," "&amp;M472&amp;" "))*(Settings!$K$5:$K$124="Navigational")*(Settings!$L$5:$L$124&lt;&gt;""))&gt;0,"Navigational",IF(SUMPRODUCT(ISNUMBER(SEARCH(" "&amp;Settings!$L$5:$L$124&amp;" "," "&amp;M472&amp;" "))*(Settings!$K$5:$K$124="Transactional")*(Settings!$L$5:$L$124&lt;&gt;""))&gt;0,"Transactional",IF(SUMPRODUCT(ISNUMBER(SEARCH(" "&amp;Settings!$L$5:$L$124&amp;" "," "&amp;M472&amp;" "))*(Settings!$K$5:$K$124="Commercial")*(Settings!$L$5:$L$124&lt;&gt;""))&gt;0,"Commercial",IF(SUMPRODUCT(ISNUMBER(SEARCH(" "&amp;Settings!$L$5:$L$124&amp;" "," "&amp;M472&amp;" "))*(Settings!$K$5:$K$124="Informational")*(Settings!$L$5:$L$124&lt;&gt;""))&gt;0,"Informational","Unclassified")))))</f>
        <v/>
      </c>
      <c r="O472">
        <f>IF(A472="","",IF(K472&lt;&gt;"",PROPER(K472),N472))</f>
        <v/>
      </c>
      <c r="P472">
        <f>IF(A472="","",ROUND(Settings!$B$5*MIN(1,LOG10(N(C472)+1)/LOG10(Settings!$B$7+1))+Settings!$B$6*(1-MIN(100,IF(D472="",50,N(D472)))/100)+IFERROR(INDEX(Settings!$B$10:$B$14,MATCH(O472,Settings!$A$10:$A$14,0)),0),0))</f>
        <v/>
      </c>
      <c r="Q472">
        <f>IF(OR(A472="",G472=""),"",COUNTIFS($M$3:$M$1002,M472,$G$3:$G$1002,"&lt;&gt;"&amp;SUBSTITUTE(SUBSTITUTE(G472,"?","~?"),"*","~*"),$G$3:$G$1002,"?*"))</f>
        <v/>
      </c>
      <c r="R472">
        <f>IF(Q472="","",IF(Q472&gt;0,"Yes","No"))</f>
        <v/>
      </c>
      <c r="S472">
        <f>IF(G472="","",COUNTIFS($G$3:$G$1002,SUBSTITUTE(SUBSTITUTE(G472,"?","~?"),"*","~*"),$J$3:$J$1002,"Primary"))</f>
        <v/>
      </c>
      <c r="T472">
        <f>IF(S472="","",IF(S472&gt;Settings!$B$4,"Yes","No"))</f>
        <v/>
      </c>
      <c r="U472">
        <f>IF(OR(G472="",B472=""),"",IF(COUNTIFS($G$3:$G$1002,SUBSTITUTE(SUBSTITUTE(G472,"?","~?"),"*","~*"),$B$3:$B$1002,"&lt;&gt;"&amp;SUBSTITUTE(SUBSTITUTE(B472,"?","~?"),"*","~*"),$B$3:$B$1002,"?*")&gt;0,"Yes","No"))</f>
        <v/>
      </c>
      <c r="V472">
        <f>IF(OR(G472="",I472="",O472="",O472="Unclassified"),"",IFERROR(INDEX(Settings!$E$5:$H$16,MATCH(I472,Settings!$D$5:$D$16,0),MATCH(O472,Settings!$E$4:$H$4,0)),"Check"))</f>
        <v/>
      </c>
      <c r="W472">
        <f>IF(V472="","",IF(V472="No","Yes","No"))</f>
        <v/>
      </c>
      <c r="X472">
        <f>IF(OR(E472="",G472=""),"",IF(LOWER(IF(RIGHT(TRIM(E472),1)="/",LEFT(TRIM(E472),LEN(TRIM(E472))-1),TRIM(E472)))&lt;&gt;LOWER(IF(RIGHT(TRIM(G472),1)="/",LEFT(TRIM(G472),LEN(TRIM(G472))-1),TRIM(G472))),"Yes","No"))</f>
        <v/>
      </c>
      <c r="Y472">
        <f>IF(A472="","",(N(Q472)&gt;0)+(T472="Yes")+(U472="Yes")+(W472="Yes")+(X472="Yes"))</f>
        <v/>
      </c>
      <c r="Z472">
        <f>IF(A472="","",IF(G472="","Not mapped",IF(Y472=0,"OK",MID(IF(N(Q472)&gt;0,"; Cannibalisation","")&amp;IF(T472="Yes","; Too many primary keywords on URL","")&amp;IF(U472="Yes","; URL spans 2+ clusters","")&amp;IF(W472="Yes","; Intent mismatch","")&amp;IF(X472="Yes","; Ranking URL is not the target",""),3,300))))</f>
        <v/>
      </c>
      <c r="AA472">
        <f>IF(G472="","",IF(COUNTIF($G$3:G472,SUBSTITUTE(SUBSTITUTE(G472,"?","~?"),"*","~*"))=1,MAX($AA$2:AA471)+1,""))</f>
        <v/>
      </c>
      <c r="AB472">
        <f>IF(B472="","",IF(COUNTIF($B$3:B472,SUBSTITUTE(SUBSTITUTE(B472,"?","~?"),"*","~*"))=1,MAX($AB$2:AB471)+1,""))</f>
        <v/>
      </c>
    </row>
    <row r="473">
      <c r="M473">
        <f>IF(A473="","",LOWER(TRIM(SUBSTITUTE(SUBSTITUTE(A473,"?",""),"*",""))))</f>
        <v/>
      </c>
      <c r="N473">
        <f>IF(M473="","",IF(SUMPRODUCT(ISNUMBER(SEARCH(" "&amp;Settings!$L$5:$L$124&amp;" "," "&amp;M473&amp;" "))*(Settings!$K$5:$K$124="Navigational")*(Settings!$L$5:$L$124&lt;&gt;""))&gt;0,"Navigational",IF(SUMPRODUCT(ISNUMBER(SEARCH(" "&amp;Settings!$L$5:$L$124&amp;" "," "&amp;M473&amp;" "))*(Settings!$K$5:$K$124="Transactional")*(Settings!$L$5:$L$124&lt;&gt;""))&gt;0,"Transactional",IF(SUMPRODUCT(ISNUMBER(SEARCH(" "&amp;Settings!$L$5:$L$124&amp;" "," "&amp;M473&amp;" "))*(Settings!$K$5:$K$124="Commercial")*(Settings!$L$5:$L$124&lt;&gt;""))&gt;0,"Commercial",IF(SUMPRODUCT(ISNUMBER(SEARCH(" "&amp;Settings!$L$5:$L$124&amp;" "," "&amp;M473&amp;" "))*(Settings!$K$5:$K$124="Informational")*(Settings!$L$5:$L$124&lt;&gt;""))&gt;0,"Informational","Unclassified")))))</f>
        <v/>
      </c>
      <c r="O473">
        <f>IF(A473="","",IF(K473&lt;&gt;"",PROPER(K473),N473))</f>
        <v/>
      </c>
      <c r="P473">
        <f>IF(A473="","",ROUND(Settings!$B$5*MIN(1,LOG10(N(C473)+1)/LOG10(Settings!$B$7+1))+Settings!$B$6*(1-MIN(100,IF(D473="",50,N(D473)))/100)+IFERROR(INDEX(Settings!$B$10:$B$14,MATCH(O473,Settings!$A$10:$A$14,0)),0),0))</f>
        <v/>
      </c>
      <c r="Q473">
        <f>IF(OR(A473="",G473=""),"",COUNTIFS($M$3:$M$1002,M473,$G$3:$G$1002,"&lt;&gt;"&amp;SUBSTITUTE(SUBSTITUTE(G473,"?","~?"),"*","~*"),$G$3:$G$1002,"?*"))</f>
        <v/>
      </c>
      <c r="R473">
        <f>IF(Q473="","",IF(Q473&gt;0,"Yes","No"))</f>
        <v/>
      </c>
      <c r="S473">
        <f>IF(G473="","",COUNTIFS($G$3:$G$1002,SUBSTITUTE(SUBSTITUTE(G473,"?","~?"),"*","~*"),$J$3:$J$1002,"Primary"))</f>
        <v/>
      </c>
      <c r="T473">
        <f>IF(S473="","",IF(S473&gt;Settings!$B$4,"Yes","No"))</f>
        <v/>
      </c>
      <c r="U473">
        <f>IF(OR(G473="",B473=""),"",IF(COUNTIFS($G$3:$G$1002,SUBSTITUTE(SUBSTITUTE(G473,"?","~?"),"*","~*"),$B$3:$B$1002,"&lt;&gt;"&amp;SUBSTITUTE(SUBSTITUTE(B473,"?","~?"),"*","~*"),$B$3:$B$1002,"?*")&gt;0,"Yes","No"))</f>
        <v/>
      </c>
      <c r="V473">
        <f>IF(OR(G473="",I473="",O473="",O473="Unclassified"),"",IFERROR(INDEX(Settings!$E$5:$H$16,MATCH(I473,Settings!$D$5:$D$16,0),MATCH(O473,Settings!$E$4:$H$4,0)),"Check"))</f>
        <v/>
      </c>
      <c r="W473">
        <f>IF(V473="","",IF(V473="No","Yes","No"))</f>
        <v/>
      </c>
      <c r="X473">
        <f>IF(OR(E473="",G473=""),"",IF(LOWER(IF(RIGHT(TRIM(E473),1)="/",LEFT(TRIM(E473),LEN(TRIM(E473))-1),TRIM(E473)))&lt;&gt;LOWER(IF(RIGHT(TRIM(G473),1)="/",LEFT(TRIM(G473),LEN(TRIM(G473))-1),TRIM(G473))),"Yes","No"))</f>
        <v/>
      </c>
      <c r="Y473">
        <f>IF(A473="","",(N(Q473)&gt;0)+(T473="Yes")+(U473="Yes")+(W473="Yes")+(X473="Yes"))</f>
        <v/>
      </c>
      <c r="Z473">
        <f>IF(A473="","",IF(G473="","Not mapped",IF(Y473=0,"OK",MID(IF(N(Q473)&gt;0,"; Cannibalisation","")&amp;IF(T473="Yes","; Too many primary keywords on URL","")&amp;IF(U473="Yes","; URL spans 2+ clusters","")&amp;IF(W473="Yes","; Intent mismatch","")&amp;IF(X473="Yes","; Ranking URL is not the target",""),3,300))))</f>
        <v/>
      </c>
      <c r="AA473">
        <f>IF(G473="","",IF(COUNTIF($G$3:G473,SUBSTITUTE(SUBSTITUTE(G473,"?","~?"),"*","~*"))=1,MAX($AA$2:AA472)+1,""))</f>
        <v/>
      </c>
      <c r="AB473">
        <f>IF(B473="","",IF(COUNTIF($B$3:B473,SUBSTITUTE(SUBSTITUTE(B473,"?","~?"),"*","~*"))=1,MAX($AB$2:AB472)+1,""))</f>
        <v/>
      </c>
    </row>
    <row r="474">
      <c r="M474">
        <f>IF(A474="","",LOWER(TRIM(SUBSTITUTE(SUBSTITUTE(A474,"?",""),"*",""))))</f>
        <v/>
      </c>
      <c r="N474">
        <f>IF(M474="","",IF(SUMPRODUCT(ISNUMBER(SEARCH(" "&amp;Settings!$L$5:$L$124&amp;" "," "&amp;M474&amp;" "))*(Settings!$K$5:$K$124="Navigational")*(Settings!$L$5:$L$124&lt;&gt;""))&gt;0,"Navigational",IF(SUMPRODUCT(ISNUMBER(SEARCH(" "&amp;Settings!$L$5:$L$124&amp;" "," "&amp;M474&amp;" "))*(Settings!$K$5:$K$124="Transactional")*(Settings!$L$5:$L$124&lt;&gt;""))&gt;0,"Transactional",IF(SUMPRODUCT(ISNUMBER(SEARCH(" "&amp;Settings!$L$5:$L$124&amp;" "," "&amp;M474&amp;" "))*(Settings!$K$5:$K$124="Commercial")*(Settings!$L$5:$L$124&lt;&gt;""))&gt;0,"Commercial",IF(SUMPRODUCT(ISNUMBER(SEARCH(" "&amp;Settings!$L$5:$L$124&amp;" "," "&amp;M474&amp;" "))*(Settings!$K$5:$K$124="Informational")*(Settings!$L$5:$L$124&lt;&gt;""))&gt;0,"Informational","Unclassified")))))</f>
        <v/>
      </c>
      <c r="O474">
        <f>IF(A474="","",IF(K474&lt;&gt;"",PROPER(K474),N474))</f>
        <v/>
      </c>
      <c r="P474">
        <f>IF(A474="","",ROUND(Settings!$B$5*MIN(1,LOG10(N(C474)+1)/LOG10(Settings!$B$7+1))+Settings!$B$6*(1-MIN(100,IF(D474="",50,N(D474)))/100)+IFERROR(INDEX(Settings!$B$10:$B$14,MATCH(O474,Settings!$A$10:$A$14,0)),0),0))</f>
        <v/>
      </c>
      <c r="Q474">
        <f>IF(OR(A474="",G474=""),"",COUNTIFS($M$3:$M$1002,M474,$G$3:$G$1002,"&lt;&gt;"&amp;SUBSTITUTE(SUBSTITUTE(G474,"?","~?"),"*","~*"),$G$3:$G$1002,"?*"))</f>
        <v/>
      </c>
      <c r="R474">
        <f>IF(Q474="","",IF(Q474&gt;0,"Yes","No"))</f>
        <v/>
      </c>
      <c r="S474">
        <f>IF(G474="","",COUNTIFS($G$3:$G$1002,SUBSTITUTE(SUBSTITUTE(G474,"?","~?"),"*","~*"),$J$3:$J$1002,"Primary"))</f>
        <v/>
      </c>
      <c r="T474">
        <f>IF(S474="","",IF(S474&gt;Settings!$B$4,"Yes","No"))</f>
        <v/>
      </c>
      <c r="U474">
        <f>IF(OR(G474="",B474=""),"",IF(COUNTIFS($G$3:$G$1002,SUBSTITUTE(SUBSTITUTE(G474,"?","~?"),"*","~*"),$B$3:$B$1002,"&lt;&gt;"&amp;SUBSTITUTE(SUBSTITUTE(B474,"?","~?"),"*","~*"),$B$3:$B$1002,"?*")&gt;0,"Yes","No"))</f>
        <v/>
      </c>
      <c r="V474">
        <f>IF(OR(G474="",I474="",O474="",O474="Unclassified"),"",IFERROR(INDEX(Settings!$E$5:$H$16,MATCH(I474,Settings!$D$5:$D$16,0),MATCH(O474,Settings!$E$4:$H$4,0)),"Check"))</f>
        <v/>
      </c>
      <c r="W474">
        <f>IF(V474="","",IF(V474="No","Yes","No"))</f>
        <v/>
      </c>
      <c r="X474">
        <f>IF(OR(E474="",G474=""),"",IF(LOWER(IF(RIGHT(TRIM(E474),1)="/",LEFT(TRIM(E474),LEN(TRIM(E474))-1),TRIM(E474)))&lt;&gt;LOWER(IF(RIGHT(TRIM(G474),1)="/",LEFT(TRIM(G474),LEN(TRIM(G474))-1),TRIM(G474))),"Yes","No"))</f>
        <v/>
      </c>
      <c r="Y474">
        <f>IF(A474="","",(N(Q474)&gt;0)+(T474="Yes")+(U474="Yes")+(W474="Yes")+(X474="Yes"))</f>
        <v/>
      </c>
      <c r="Z474">
        <f>IF(A474="","",IF(G474="","Not mapped",IF(Y474=0,"OK",MID(IF(N(Q474)&gt;0,"; Cannibalisation","")&amp;IF(T474="Yes","; Too many primary keywords on URL","")&amp;IF(U474="Yes","; URL spans 2+ clusters","")&amp;IF(W474="Yes","; Intent mismatch","")&amp;IF(X474="Yes","; Ranking URL is not the target",""),3,300))))</f>
        <v/>
      </c>
      <c r="AA474">
        <f>IF(G474="","",IF(COUNTIF($G$3:G474,SUBSTITUTE(SUBSTITUTE(G474,"?","~?"),"*","~*"))=1,MAX($AA$2:AA473)+1,""))</f>
        <v/>
      </c>
      <c r="AB474">
        <f>IF(B474="","",IF(COUNTIF($B$3:B474,SUBSTITUTE(SUBSTITUTE(B474,"?","~?"),"*","~*"))=1,MAX($AB$2:AB473)+1,""))</f>
        <v/>
      </c>
    </row>
    <row r="475">
      <c r="M475">
        <f>IF(A475="","",LOWER(TRIM(SUBSTITUTE(SUBSTITUTE(A475,"?",""),"*",""))))</f>
        <v/>
      </c>
      <c r="N475">
        <f>IF(M475="","",IF(SUMPRODUCT(ISNUMBER(SEARCH(" "&amp;Settings!$L$5:$L$124&amp;" "," "&amp;M475&amp;" "))*(Settings!$K$5:$K$124="Navigational")*(Settings!$L$5:$L$124&lt;&gt;""))&gt;0,"Navigational",IF(SUMPRODUCT(ISNUMBER(SEARCH(" "&amp;Settings!$L$5:$L$124&amp;" "," "&amp;M475&amp;" "))*(Settings!$K$5:$K$124="Transactional")*(Settings!$L$5:$L$124&lt;&gt;""))&gt;0,"Transactional",IF(SUMPRODUCT(ISNUMBER(SEARCH(" "&amp;Settings!$L$5:$L$124&amp;" "," "&amp;M475&amp;" "))*(Settings!$K$5:$K$124="Commercial")*(Settings!$L$5:$L$124&lt;&gt;""))&gt;0,"Commercial",IF(SUMPRODUCT(ISNUMBER(SEARCH(" "&amp;Settings!$L$5:$L$124&amp;" "," "&amp;M475&amp;" "))*(Settings!$K$5:$K$124="Informational")*(Settings!$L$5:$L$124&lt;&gt;""))&gt;0,"Informational","Unclassified")))))</f>
        <v/>
      </c>
      <c r="O475">
        <f>IF(A475="","",IF(K475&lt;&gt;"",PROPER(K475),N475))</f>
        <v/>
      </c>
      <c r="P475">
        <f>IF(A475="","",ROUND(Settings!$B$5*MIN(1,LOG10(N(C475)+1)/LOG10(Settings!$B$7+1))+Settings!$B$6*(1-MIN(100,IF(D475="",50,N(D475)))/100)+IFERROR(INDEX(Settings!$B$10:$B$14,MATCH(O475,Settings!$A$10:$A$14,0)),0),0))</f>
        <v/>
      </c>
      <c r="Q475">
        <f>IF(OR(A475="",G475=""),"",COUNTIFS($M$3:$M$1002,M475,$G$3:$G$1002,"&lt;&gt;"&amp;SUBSTITUTE(SUBSTITUTE(G475,"?","~?"),"*","~*"),$G$3:$G$1002,"?*"))</f>
        <v/>
      </c>
      <c r="R475">
        <f>IF(Q475="","",IF(Q475&gt;0,"Yes","No"))</f>
        <v/>
      </c>
      <c r="S475">
        <f>IF(G475="","",COUNTIFS($G$3:$G$1002,SUBSTITUTE(SUBSTITUTE(G475,"?","~?"),"*","~*"),$J$3:$J$1002,"Primary"))</f>
        <v/>
      </c>
      <c r="T475">
        <f>IF(S475="","",IF(S475&gt;Settings!$B$4,"Yes","No"))</f>
        <v/>
      </c>
      <c r="U475">
        <f>IF(OR(G475="",B475=""),"",IF(COUNTIFS($G$3:$G$1002,SUBSTITUTE(SUBSTITUTE(G475,"?","~?"),"*","~*"),$B$3:$B$1002,"&lt;&gt;"&amp;SUBSTITUTE(SUBSTITUTE(B475,"?","~?"),"*","~*"),$B$3:$B$1002,"?*")&gt;0,"Yes","No"))</f>
        <v/>
      </c>
      <c r="V475">
        <f>IF(OR(G475="",I475="",O475="",O475="Unclassified"),"",IFERROR(INDEX(Settings!$E$5:$H$16,MATCH(I475,Settings!$D$5:$D$16,0),MATCH(O475,Settings!$E$4:$H$4,0)),"Check"))</f>
        <v/>
      </c>
      <c r="W475">
        <f>IF(V475="","",IF(V475="No","Yes","No"))</f>
        <v/>
      </c>
      <c r="X475">
        <f>IF(OR(E475="",G475=""),"",IF(LOWER(IF(RIGHT(TRIM(E475),1)="/",LEFT(TRIM(E475),LEN(TRIM(E475))-1),TRIM(E475)))&lt;&gt;LOWER(IF(RIGHT(TRIM(G475),1)="/",LEFT(TRIM(G475),LEN(TRIM(G475))-1),TRIM(G475))),"Yes","No"))</f>
        <v/>
      </c>
      <c r="Y475">
        <f>IF(A475="","",(N(Q475)&gt;0)+(T475="Yes")+(U475="Yes")+(W475="Yes")+(X475="Yes"))</f>
        <v/>
      </c>
      <c r="Z475">
        <f>IF(A475="","",IF(G475="","Not mapped",IF(Y475=0,"OK",MID(IF(N(Q475)&gt;0,"; Cannibalisation","")&amp;IF(T475="Yes","; Too many primary keywords on URL","")&amp;IF(U475="Yes","; URL spans 2+ clusters","")&amp;IF(W475="Yes","; Intent mismatch","")&amp;IF(X475="Yes","; Ranking URL is not the target",""),3,300))))</f>
        <v/>
      </c>
      <c r="AA475">
        <f>IF(G475="","",IF(COUNTIF($G$3:G475,SUBSTITUTE(SUBSTITUTE(G475,"?","~?"),"*","~*"))=1,MAX($AA$2:AA474)+1,""))</f>
        <v/>
      </c>
      <c r="AB475">
        <f>IF(B475="","",IF(COUNTIF($B$3:B475,SUBSTITUTE(SUBSTITUTE(B475,"?","~?"),"*","~*"))=1,MAX($AB$2:AB474)+1,""))</f>
        <v/>
      </c>
    </row>
    <row r="476">
      <c r="M476">
        <f>IF(A476="","",LOWER(TRIM(SUBSTITUTE(SUBSTITUTE(A476,"?",""),"*",""))))</f>
        <v/>
      </c>
      <c r="N476">
        <f>IF(M476="","",IF(SUMPRODUCT(ISNUMBER(SEARCH(" "&amp;Settings!$L$5:$L$124&amp;" "," "&amp;M476&amp;" "))*(Settings!$K$5:$K$124="Navigational")*(Settings!$L$5:$L$124&lt;&gt;""))&gt;0,"Navigational",IF(SUMPRODUCT(ISNUMBER(SEARCH(" "&amp;Settings!$L$5:$L$124&amp;" "," "&amp;M476&amp;" "))*(Settings!$K$5:$K$124="Transactional")*(Settings!$L$5:$L$124&lt;&gt;""))&gt;0,"Transactional",IF(SUMPRODUCT(ISNUMBER(SEARCH(" "&amp;Settings!$L$5:$L$124&amp;" "," "&amp;M476&amp;" "))*(Settings!$K$5:$K$124="Commercial")*(Settings!$L$5:$L$124&lt;&gt;""))&gt;0,"Commercial",IF(SUMPRODUCT(ISNUMBER(SEARCH(" "&amp;Settings!$L$5:$L$124&amp;" "," "&amp;M476&amp;" "))*(Settings!$K$5:$K$124="Informational")*(Settings!$L$5:$L$124&lt;&gt;""))&gt;0,"Informational","Unclassified")))))</f>
        <v/>
      </c>
      <c r="O476">
        <f>IF(A476="","",IF(K476&lt;&gt;"",PROPER(K476),N476))</f>
        <v/>
      </c>
      <c r="P476">
        <f>IF(A476="","",ROUND(Settings!$B$5*MIN(1,LOG10(N(C476)+1)/LOG10(Settings!$B$7+1))+Settings!$B$6*(1-MIN(100,IF(D476="",50,N(D476)))/100)+IFERROR(INDEX(Settings!$B$10:$B$14,MATCH(O476,Settings!$A$10:$A$14,0)),0),0))</f>
        <v/>
      </c>
      <c r="Q476">
        <f>IF(OR(A476="",G476=""),"",COUNTIFS($M$3:$M$1002,M476,$G$3:$G$1002,"&lt;&gt;"&amp;SUBSTITUTE(SUBSTITUTE(G476,"?","~?"),"*","~*"),$G$3:$G$1002,"?*"))</f>
        <v/>
      </c>
      <c r="R476">
        <f>IF(Q476="","",IF(Q476&gt;0,"Yes","No"))</f>
        <v/>
      </c>
      <c r="S476">
        <f>IF(G476="","",COUNTIFS($G$3:$G$1002,SUBSTITUTE(SUBSTITUTE(G476,"?","~?"),"*","~*"),$J$3:$J$1002,"Primary"))</f>
        <v/>
      </c>
      <c r="T476">
        <f>IF(S476="","",IF(S476&gt;Settings!$B$4,"Yes","No"))</f>
        <v/>
      </c>
      <c r="U476">
        <f>IF(OR(G476="",B476=""),"",IF(COUNTIFS($G$3:$G$1002,SUBSTITUTE(SUBSTITUTE(G476,"?","~?"),"*","~*"),$B$3:$B$1002,"&lt;&gt;"&amp;SUBSTITUTE(SUBSTITUTE(B476,"?","~?"),"*","~*"),$B$3:$B$1002,"?*")&gt;0,"Yes","No"))</f>
        <v/>
      </c>
      <c r="V476">
        <f>IF(OR(G476="",I476="",O476="",O476="Unclassified"),"",IFERROR(INDEX(Settings!$E$5:$H$16,MATCH(I476,Settings!$D$5:$D$16,0),MATCH(O476,Settings!$E$4:$H$4,0)),"Check"))</f>
        <v/>
      </c>
      <c r="W476">
        <f>IF(V476="","",IF(V476="No","Yes","No"))</f>
        <v/>
      </c>
      <c r="X476">
        <f>IF(OR(E476="",G476=""),"",IF(LOWER(IF(RIGHT(TRIM(E476),1)="/",LEFT(TRIM(E476),LEN(TRIM(E476))-1),TRIM(E476)))&lt;&gt;LOWER(IF(RIGHT(TRIM(G476),1)="/",LEFT(TRIM(G476),LEN(TRIM(G476))-1),TRIM(G476))),"Yes","No"))</f>
        <v/>
      </c>
      <c r="Y476">
        <f>IF(A476="","",(N(Q476)&gt;0)+(T476="Yes")+(U476="Yes")+(W476="Yes")+(X476="Yes"))</f>
        <v/>
      </c>
      <c r="Z476">
        <f>IF(A476="","",IF(G476="","Not mapped",IF(Y476=0,"OK",MID(IF(N(Q476)&gt;0,"; Cannibalisation","")&amp;IF(T476="Yes","; Too many primary keywords on URL","")&amp;IF(U476="Yes","; URL spans 2+ clusters","")&amp;IF(W476="Yes","; Intent mismatch","")&amp;IF(X476="Yes","; Ranking URL is not the target",""),3,300))))</f>
        <v/>
      </c>
      <c r="AA476">
        <f>IF(G476="","",IF(COUNTIF($G$3:G476,SUBSTITUTE(SUBSTITUTE(G476,"?","~?"),"*","~*"))=1,MAX($AA$2:AA475)+1,""))</f>
        <v/>
      </c>
      <c r="AB476">
        <f>IF(B476="","",IF(COUNTIF($B$3:B476,SUBSTITUTE(SUBSTITUTE(B476,"?","~?"),"*","~*"))=1,MAX($AB$2:AB475)+1,""))</f>
        <v/>
      </c>
    </row>
    <row r="477">
      <c r="M477">
        <f>IF(A477="","",LOWER(TRIM(SUBSTITUTE(SUBSTITUTE(A477,"?",""),"*",""))))</f>
        <v/>
      </c>
      <c r="N477">
        <f>IF(M477="","",IF(SUMPRODUCT(ISNUMBER(SEARCH(" "&amp;Settings!$L$5:$L$124&amp;" "," "&amp;M477&amp;" "))*(Settings!$K$5:$K$124="Navigational")*(Settings!$L$5:$L$124&lt;&gt;""))&gt;0,"Navigational",IF(SUMPRODUCT(ISNUMBER(SEARCH(" "&amp;Settings!$L$5:$L$124&amp;" "," "&amp;M477&amp;" "))*(Settings!$K$5:$K$124="Transactional")*(Settings!$L$5:$L$124&lt;&gt;""))&gt;0,"Transactional",IF(SUMPRODUCT(ISNUMBER(SEARCH(" "&amp;Settings!$L$5:$L$124&amp;" "," "&amp;M477&amp;" "))*(Settings!$K$5:$K$124="Commercial")*(Settings!$L$5:$L$124&lt;&gt;""))&gt;0,"Commercial",IF(SUMPRODUCT(ISNUMBER(SEARCH(" "&amp;Settings!$L$5:$L$124&amp;" "," "&amp;M477&amp;" "))*(Settings!$K$5:$K$124="Informational")*(Settings!$L$5:$L$124&lt;&gt;""))&gt;0,"Informational","Unclassified")))))</f>
        <v/>
      </c>
      <c r="O477">
        <f>IF(A477="","",IF(K477&lt;&gt;"",PROPER(K477),N477))</f>
        <v/>
      </c>
      <c r="P477">
        <f>IF(A477="","",ROUND(Settings!$B$5*MIN(1,LOG10(N(C477)+1)/LOG10(Settings!$B$7+1))+Settings!$B$6*(1-MIN(100,IF(D477="",50,N(D477)))/100)+IFERROR(INDEX(Settings!$B$10:$B$14,MATCH(O477,Settings!$A$10:$A$14,0)),0),0))</f>
        <v/>
      </c>
      <c r="Q477">
        <f>IF(OR(A477="",G477=""),"",COUNTIFS($M$3:$M$1002,M477,$G$3:$G$1002,"&lt;&gt;"&amp;SUBSTITUTE(SUBSTITUTE(G477,"?","~?"),"*","~*"),$G$3:$G$1002,"?*"))</f>
        <v/>
      </c>
      <c r="R477">
        <f>IF(Q477="","",IF(Q477&gt;0,"Yes","No"))</f>
        <v/>
      </c>
      <c r="S477">
        <f>IF(G477="","",COUNTIFS($G$3:$G$1002,SUBSTITUTE(SUBSTITUTE(G477,"?","~?"),"*","~*"),$J$3:$J$1002,"Primary"))</f>
        <v/>
      </c>
      <c r="T477">
        <f>IF(S477="","",IF(S477&gt;Settings!$B$4,"Yes","No"))</f>
        <v/>
      </c>
      <c r="U477">
        <f>IF(OR(G477="",B477=""),"",IF(COUNTIFS($G$3:$G$1002,SUBSTITUTE(SUBSTITUTE(G477,"?","~?"),"*","~*"),$B$3:$B$1002,"&lt;&gt;"&amp;SUBSTITUTE(SUBSTITUTE(B477,"?","~?"),"*","~*"),$B$3:$B$1002,"?*")&gt;0,"Yes","No"))</f>
        <v/>
      </c>
      <c r="V477">
        <f>IF(OR(G477="",I477="",O477="",O477="Unclassified"),"",IFERROR(INDEX(Settings!$E$5:$H$16,MATCH(I477,Settings!$D$5:$D$16,0),MATCH(O477,Settings!$E$4:$H$4,0)),"Check"))</f>
        <v/>
      </c>
      <c r="W477">
        <f>IF(V477="","",IF(V477="No","Yes","No"))</f>
        <v/>
      </c>
      <c r="X477">
        <f>IF(OR(E477="",G477=""),"",IF(LOWER(IF(RIGHT(TRIM(E477),1)="/",LEFT(TRIM(E477),LEN(TRIM(E477))-1),TRIM(E477)))&lt;&gt;LOWER(IF(RIGHT(TRIM(G477),1)="/",LEFT(TRIM(G477),LEN(TRIM(G477))-1),TRIM(G477))),"Yes","No"))</f>
        <v/>
      </c>
      <c r="Y477">
        <f>IF(A477="","",(N(Q477)&gt;0)+(T477="Yes")+(U477="Yes")+(W477="Yes")+(X477="Yes"))</f>
        <v/>
      </c>
      <c r="Z477">
        <f>IF(A477="","",IF(G477="","Not mapped",IF(Y477=0,"OK",MID(IF(N(Q477)&gt;0,"; Cannibalisation","")&amp;IF(T477="Yes","; Too many primary keywords on URL","")&amp;IF(U477="Yes","; URL spans 2+ clusters","")&amp;IF(W477="Yes","; Intent mismatch","")&amp;IF(X477="Yes","; Ranking URL is not the target",""),3,300))))</f>
        <v/>
      </c>
      <c r="AA477">
        <f>IF(G477="","",IF(COUNTIF($G$3:G477,SUBSTITUTE(SUBSTITUTE(G477,"?","~?"),"*","~*"))=1,MAX($AA$2:AA476)+1,""))</f>
        <v/>
      </c>
      <c r="AB477">
        <f>IF(B477="","",IF(COUNTIF($B$3:B477,SUBSTITUTE(SUBSTITUTE(B477,"?","~?"),"*","~*"))=1,MAX($AB$2:AB476)+1,""))</f>
        <v/>
      </c>
    </row>
    <row r="478">
      <c r="M478">
        <f>IF(A478="","",LOWER(TRIM(SUBSTITUTE(SUBSTITUTE(A478,"?",""),"*",""))))</f>
        <v/>
      </c>
      <c r="N478">
        <f>IF(M478="","",IF(SUMPRODUCT(ISNUMBER(SEARCH(" "&amp;Settings!$L$5:$L$124&amp;" "," "&amp;M478&amp;" "))*(Settings!$K$5:$K$124="Navigational")*(Settings!$L$5:$L$124&lt;&gt;""))&gt;0,"Navigational",IF(SUMPRODUCT(ISNUMBER(SEARCH(" "&amp;Settings!$L$5:$L$124&amp;" "," "&amp;M478&amp;" "))*(Settings!$K$5:$K$124="Transactional")*(Settings!$L$5:$L$124&lt;&gt;""))&gt;0,"Transactional",IF(SUMPRODUCT(ISNUMBER(SEARCH(" "&amp;Settings!$L$5:$L$124&amp;" "," "&amp;M478&amp;" "))*(Settings!$K$5:$K$124="Commercial")*(Settings!$L$5:$L$124&lt;&gt;""))&gt;0,"Commercial",IF(SUMPRODUCT(ISNUMBER(SEARCH(" "&amp;Settings!$L$5:$L$124&amp;" "," "&amp;M478&amp;" "))*(Settings!$K$5:$K$124="Informational")*(Settings!$L$5:$L$124&lt;&gt;""))&gt;0,"Informational","Unclassified")))))</f>
        <v/>
      </c>
      <c r="O478">
        <f>IF(A478="","",IF(K478&lt;&gt;"",PROPER(K478),N478))</f>
        <v/>
      </c>
      <c r="P478">
        <f>IF(A478="","",ROUND(Settings!$B$5*MIN(1,LOG10(N(C478)+1)/LOG10(Settings!$B$7+1))+Settings!$B$6*(1-MIN(100,IF(D478="",50,N(D478)))/100)+IFERROR(INDEX(Settings!$B$10:$B$14,MATCH(O478,Settings!$A$10:$A$14,0)),0),0))</f>
        <v/>
      </c>
      <c r="Q478">
        <f>IF(OR(A478="",G478=""),"",COUNTIFS($M$3:$M$1002,M478,$G$3:$G$1002,"&lt;&gt;"&amp;SUBSTITUTE(SUBSTITUTE(G478,"?","~?"),"*","~*"),$G$3:$G$1002,"?*"))</f>
        <v/>
      </c>
      <c r="R478">
        <f>IF(Q478="","",IF(Q478&gt;0,"Yes","No"))</f>
        <v/>
      </c>
      <c r="S478">
        <f>IF(G478="","",COUNTIFS($G$3:$G$1002,SUBSTITUTE(SUBSTITUTE(G478,"?","~?"),"*","~*"),$J$3:$J$1002,"Primary"))</f>
        <v/>
      </c>
      <c r="T478">
        <f>IF(S478="","",IF(S478&gt;Settings!$B$4,"Yes","No"))</f>
        <v/>
      </c>
      <c r="U478">
        <f>IF(OR(G478="",B478=""),"",IF(COUNTIFS($G$3:$G$1002,SUBSTITUTE(SUBSTITUTE(G478,"?","~?"),"*","~*"),$B$3:$B$1002,"&lt;&gt;"&amp;SUBSTITUTE(SUBSTITUTE(B478,"?","~?"),"*","~*"),$B$3:$B$1002,"?*")&gt;0,"Yes","No"))</f>
        <v/>
      </c>
      <c r="V478">
        <f>IF(OR(G478="",I478="",O478="",O478="Unclassified"),"",IFERROR(INDEX(Settings!$E$5:$H$16,MATCH(I478,Settings!$D$5:$D$16,0),MATCH(O478,Settings!$E$4:$H$4,0)),"Check"))</f>
        <v/>
      </c>
      <c r="W478">
        <f>IF(V478="","",IF(V478="No","Yes","No"))</f>
        <v/>
      </c>
      <c r="X478">
        <f>IF(OR(E478="",G478=""),"",IF(LOWER(IF(RIGHT(TRIM(E478),1)="/",LEFT(TRIM(E478),LEN(TRIM(E478))-1),TRIM(E478)))&lt;&gt;LOWER(IF(RIGHT(TRIM(G478),1)="/",LEFT(TRIM(G478),LEN(TRIM(G478))-1),TRIM(G478))),"Yes","No"))</f>
        <v/>
      </c>
      <c r="Y478">
        <f>IF(A478="","",(N(Q478)&gt;0)+(T478="Yes")+(U478="Yes")+(W478="Yes")+(X478="Yes"))</f>
        <v/>
      </c>
      <c r="Z478">
        <f>IF(A478="","",IF(G478="","Not mapped",IF(Y478=0,"OK",MID(IF(N(Q478)&gt;0,"; Cannibalisation","")&amp;IF(T478="Yes","; Too many primary keywords on URL","")&amp;IF(U478="Yes","; URL spans 2+ clusters","")&amp;IF(W478="Yes","; Intent mismatch","")&amp;IF(X478="Yes","; Ranking URL is not the target",""),3,300))))</f>
        <v/>
      </c>
      <c r="AA478">
        <f>IF(G478="","",IF(COUNTIF($G$3:G478,SUBSTITUTE(SUBSTITUTE(G478,"?","~?"),"*","~*"))=1,MAX($AA$2:AA477)+1,""))</f>
        <v/>
      </c>
      <c r="AB478">
        <f>IF(B478="","",IF(COUNTIF($B$3:B478,SUBSTITUTE(SUBSTITUTE(B478,"?","~?"),"*","~*"))=1,MAX($AB$2:AB477)+1,""))</f>
        <v/>
      </c>
    </row>
    <row r="479">
      <c r="M479">
        <f>IF(A479="","",LOWER(TRIM(SUBSTITUTE(SUBSTITUTE(A479,"?",""),"*",""))))</f>
        <v/>
      </c>
      <c r="N479">
        <f>IF(M479="","",IF(SUMPRODUCT(ISNUMBER(SEARCH(" "&amp;Settings!$L$5:$L$124&amp;" "," "&amp;M479&amp;" "))*(Settings!$K$5:$K$124="Navigational")*(Settings!$L$5:$L$124&lt;&gt;""))&gt;0,"Navigational",IF(SUMPRODUCT(ISNUMBER(SEARCH(" "&amp;Settings!$L$5:$L$124&amp;" "," "&amp;M479&amp;" "))*(Settings!$K$5:$K$124="Transactional")*(Settings!$L$5:$L$124&lt;&gt;""))&gt;0,"Transactional",IF(SUMPRODUCT(ISNUMBER(SEARCH(" "&amp;Settings!$L$5:$L$124&amp;" "," "&amp;M479&amp;" "))*(Settings!$K$5:$K$124="Commercial")*(Settings!$L$5:$L$124&lt;&gt;""))&gt;0,"Commercial",IF(SUMPRODUCT(ISNUMBER(SEARCH(" "&amp;Settings!$L$5:$L$124&amp;" "," "&amp;M479&amp;" "))*(Settings!$K$5:$K$124="Informational")*(Settings!$L$5:$L$124&lt;&gt;""))&gt;0,"Informational","Unclassified")))))</f>
        <v/>
      </c>
      <c r="O479">
        <f>IF(A479="","",IF(K479&lt;&gt;"",PROPER(K479),N479))</f>
        <v/>
      </c>
      <c r="P479">
        <f>IF(A479="","",ROUND(Settings!$B$5*MIN(1,LOG10(N(C479)+1)/LOG10(Settings!$B$7+1))+Settings!$B$6*(1-MIN(100,IF(D479="",50,N(D479)))/100)+IFERROR(INDEX(Settings!$B$10:$B$14,MATCH(O479,Settings!$A$10:$A$14,0)),0),0))</f>
        <v/>
      </c>
      <c r="Q479">
        <f>IF(OR(A479="",G479=""),"",COUNTIFS($M$3:$M$1002,M479,$G$3:$G$1002,"&lt;&gt;"&amp;SUBSTITUTE(SUBSTITUTE(G479,"?","~?"),"*","~*"),$G$3:$G$1002,"?*"))</f>
        <v/>
      </c>
      <c r="R479">
        <f>IF(Q479="","",IF(Q479&gt;0,"Yes","No"))</f>
        <v/>
      </c>
      <c r="S479">
        <f>IF(G479="","",COUNTIFS($G$3:$G$1002,SUBSTITUTE(SUBSTITUTE(G479,"?","~?"),"*","~*"),$J$3:$J$1002,"Primary"))</f>
        <v/>
      </c>
      <c r="T479">
        <f>IF(S479="","",IF(S479&gt;Settings!$B$4,"Yes","No"))</f>
        <v/>
      </c>
      <c r="U479">
        <f>IF(OR(G479="",B479=""),"",IF(COUNTIFS($G$3:$G$1002,SUBSTITUTE(SUBSTITUTE(G479,"?","~?"),"*","~*"),$B$3:$B$1002,"&lt;&gt;"&amp;SUBSTITUTE(SUBSTITUTE(B479,"?","~?"),"*","~*"),$B$3:$B$1002,"?*")&gt;0,"Yes","No"))</f>
        <v/>
      </c>
      <c r="V479">
        <f>IF(OR(G479="",I479="",O479="",O479="Unclassified"),"",IFERROR(INDEX(Settings!$E$5:$H$16,MATCH(I479,Settings!$D$5:$D$16,0),MATCH(O479,Settings!$E$4:$H$4,0)),"Check"))</f>
        <v/>
      </c>
      <c r="W479">
        <f>IF(V479="","",IF(V479="No","Yes","No"))</f>
        <v/>
      </c>
      <c r="X479">
        <f>IF(OR(E479="",G479=""),"",IF(LOWER(IF(RIGHT(TRIM(E479),1)="/",LEFT(TRIM(E479),LEN(TRIM(E479))-1),TRIM(E479)))&lt;&gt;LOWER(IF(RIGHT(TRIM(G479),1)="/",LEFT(TRIM(G479),LEN(TRIM(G479))-1),TRIM(G479))),"Yes","No"))</f>
        <v/>
      </c>
      <c r="Y479">
        <f>IF(A479="","",(N(Q479)&gt;0)+(T479="Yes")+(U479="Yes")+(W479="Yes")+(X479="Yes"))</f>
        <v/>
      </c>
      <c r="Z479">
        <f>IF(A479="","",IF(G479="","Not mapped",IF(Y479=0,"OK",MID(IF(N(Q479)&gt;0,"; Cannibalisation","")&amp;IF(T479="Yes","; Too many primary keywords on URL","")&amp;IF(U479="Yes","; URL spans 2+ clusters","")&amp;IF(W479="Yes","; Intent mismatch","")&amp;IF(X479="Yes","; Ranking URL is not the target",""),3,300))))</f>
        <v/>
      </c>
      <c r="AA479">
        <f>IF(G479="","",IF(COUNTIF($G$3:G479,SUBSTITUTE(SUBSTITUTE(G479,"?","~?"),"*","~*"))=1,MAX($AA$2:AA478)+1,""))</f>
        <v/>
      </c>
      <c r="AB479">
        <f>IF(B479="","",IF(COUNTIF($B$3:B479,SUBSTITUTE(SUBSTITUTE(B479,"?","~?"),"*","~*"))=1,MAX($AB$2:AB478)+1,""))</f>
        <v/>
      </c>
    </row>
    <row r="480">
      <c r="M480">
        <f>IF(A480="","",LOWER(TRIM(SUBSTITUTE(SUBSTITUTE(A480,"?",""),"*",""))))</f>
        <v/>
      </c>
      <c r="N480">
        <f>IF(M480="","",IF(SUMPRODUCT(ISNUMBER(SEARCH(" "&amp;Settings!$L$5:$L$124&amp;" "," "&amp;M480&amp;" "))*(Settings!$K$5:$K$124="Navigational")*(Settings!$L$5:$L$124&lt;&gt;""))&gt;0,"Navigational",IF(SUMPRODUCT(ISNUMBER(SEARCH(" "&amp;Settings!$L$5:$L$124&amp;" "," "&amp;M480&amp;" "))*(Settings!$K$5:$K$124="Transactional")*(Settings!$L$5:$L$124&lt;&gt;""))&gt;0,"Transactional",IF(SUMPRODUCT(ISNUMBER(SEARCH(" "&amp;Settings!$L$5:$L$124&amp;" "," "&amp;M480&amp;" "))*(Settings!$K$5:$K$124="Commercial")*(Settings!$L$5:$L$124&lt;&gt;""))&gt;0,"Commercial",IF(SUMPRODUCT(ISNUMBER(SEARCH(" "&amp;Settings!$L$5:$L$124&amp;" "," "&amp;M480&amp;" "))*(Settings!$K$5:$K$124="Informational")*(Settings!$L$5:$L$124&lt;&gt;""))&gt;0,"Informational","Unclassified")))))</f>
        <v/>
      </c>
      <c r="O480">
        <f>IF(A480="","",IF(K480&lt;&gt;"",PROPER(K480),N480))</f>
        <v/>
      </c>
      <c r="P480">
        <f>IF(A480="","",ROUND(Settings!$B$5*MIN(1,LOG10(N(C480)+1)/LOG10(Settings!$B$7+1))+Settings!$B$6*(1-MIN(100,IF(D480="",50,N(D480)))/100)+IFERROR(INDEX(Settings!$B$10:$B$14,MATCH(O480,Settings!$A$10:$A$14,0)),0),0))</f>
        <v/>
      </c>
      <c r="Q480">
        <f>IF(OR(A480="",G480=""),"",COUNTIFS($M$3:$M$1002,M480,$G$3:$G$1002,"&lt;&gt;"&amp;SUBSTITUTE(SUBSTITUTE(G480,"?","~?"),"*","~*"),$G$3:$G$1002,"?*"))</f>
        <v/>
      </c>
      <c r="R480">
        <f>IF(Q480="","",IF(Q480&gt;0,"Yes","No"))</f>
        <v/>
      </c>
      <c r="S480">
        <f>IF(G480="","",COUNTIFS($G$3:$G$1002,SUBSTITUTE(SUBSTITUTE(G480,"?","~?"),"*","~*"),$J$3:$J$1002,"Primary"))</f>
        <v/>
      </c>
      <c r="T480">
        <f>IF(S480="","",IF(S480&gt;Settings!$B$4,"Yes","No"))</f>
        <v/>
      </c>
      <c r="U480">
        <f>IF(OR(G480="",B480=""),"",IF(COUNTIFS($G$3:$G$1002,SUBSTITUTE(SUBSTITUTE(G480,"?","~?"),"*","~*"),$B$3:$B$1002,"&lt;&gt;"&amp;SUBSTITUTE(SUBSTITUTE(B480,"?","~?"),"*","~*"),$B$3:$B$1002,"?*")&gt;0,"Yes","No"))</f>
        <v/>
      </c>
      <c r="V480">
        <f>IF(OR(G480="",I480="",O480="",O480="Unclassified"),"",IFERROR(INDEX(Settings!$E$5:$H$16,MATCH(I480,Settings!$D$5:$D$16,0),MATCH(O480,Settings!$E$4:$H$4,0)),"Check"))</f>
        <v/>
      </c>
      <c r="W480">
        <f>IF(V480="","",IF(V480="No","Yes","No"))</f>
        <v/>
      </c>
      <c r="X480">
        <f>IF(OR(E480="",G480=""),"",IF(LOWER(IF(RIGHT(TRIM(E480),1)="/",LEFT(TRIM(E480),LEN(TRIM(E480))-1),TRIM(E480)))&lt;&gt;LOWER(IF(RIGHT(TRIM(G480),1)="/",LEFT(TRIM(G480),LEN(TRIM(G480))-1),TRIM(G480))),"Yes","No"))</f>
        <v/>
      </c>
      <c r="Y480">
        <f>IF(A480="","",(N(Q480)&gt;0)+(T480="Yes")+(U480="Yes")+(W480="Yes")+(X480="Yes"))</f>
        <v/>
      </c>
      <c r="Z480">
        <f>IF(A480="","",IF(G480="","Not mapped",IF(Y480=0,"OK",MID(IF(N(Q480)&gt;0,"; Cannibalisation","")&amp;IF(T480="Yes","; Too many primary keywords on URL","")&amp;IF(U480="Yes","; URL spans 2+ clusters","")&amp;IF(W480="Yes","; Intent mismatch","")&amp;IF(X480="Yes","; Ranking URL is not the target",""),3,300))))</f>
        <v/>
      </c>
      <c r="AA480">
        <f>IF(G480="","",IF(COUNTIF($G$3:G480,SUBSTITUTE(SUBSTITUTE(G480,"?","~?"),"*","~*"))=1,MAX($AA$2:AA479)+1,""))</f>
        <v/>
      </c>
      <c r="AB480">
        <f>IF(B480="","",IF(COUNTIF($B$3:B480,SUBSTITUTE(SUBSTITUTE(B480,"?","~?"),"*","~*"))=1,MAX($AB$2:AB479)+1,""))</f>
        <v/>
      </c>
    </row>
    <row r="481">
      <c r="M481">
        <f>IF(A481="","",LOWER(TRIM(SUBSTITUTE(SUBSTITUTE(A481,"?",""),"*",""))))</f>
        <v/>
      </c>
      <c r="N481">
        <f>IF(M481="","",IF(SUMPRODUCT(ISNUMBER(SEARCH(" "&amp;Settings!$L$5:$L$124&amp;" "," "&amp;M481&amp;" "))*(Settings!$K$5:$K$124="Navigational")*(Settings!$L$5:$L$124&lt;&gt;""))&gt;0,"Navigational",IF(SUMPRODUCT(ISNUMBER(SEARCH(" "&amp;Settings!$L$5:$L$124&amp;" "," "&amp;M481&amp;" "))*(Settings!$K$5:$K$124="Transactional")*(Settings!$L$5:$L$124&lt;&gt;""))&gt;0,"Transactional",IF(SUMPRODUCT(ISNUMBER(SEARCH(" "&amp;Settings!$L$5:$L$124&amp;" "," "&amp;M481&amp;" "))*(Settings!$K$5:$K$124="Commercial")*(Settings!$L$5:$L$124&lt;&gt;""))&gt;0,"Commercial",IF(SUMPRODUCT(ISNUMBER(SEARCH(" "&amp;Settings!$L$5:$L$124&amp;" "," "&amp;M481&amp;" "))*(Settings!$K$5:$K$124="Informational")*(Settings!$L$5:$L$124&lt;&gt;""))&gt;0,"Informational","Unclassified")))))</f>
        <v/>
      </c>
      <c r="O481">
        <f>IF(A481="","",IF(K481&lt;&gt;"",PROPER(K481),N481))</f>
        <v/>
      </c>
      <c r="P481">
        <f>IF(A481="","",ROUND(Settings!$B$5*MIN(1,LOG10(N(C481)+1)/LOG10(Settings!$B$7+1))+Settings!$B$6*(1-MIN(100,IF(D481="",50,N(D481)))/100)+IFERROR(INDEX(Settings!$B$10:$B$14,MATCH(O481,Settings!$A$10:$A$14,0)),0),0))</f>
        <v/>
      </c>
      <c r="Q481">
        <f>IF(OR(A481="",G481=""),"",COUNTIFS($M$3:$M$1002,M481,$G$3:$G$1002,"&lt;&gt;"&amp;SUBSTITUTE(SUBSTITUTE(G481,"?","~?"),"*","~*"),$G$3:$G$1002,"?*"))</f>
        <v/>
      </c>
      <c r="R481">
        <f>IF(Q481="","",IF(Q481&gt;0,"Yes","No"))</f>
        <v/>
      </c>
      <c r="S481">
        <f>IF(G481="","",COUNTIFS($G$3:$G$1002,SUBSTITUTE(SUBSTITUTE(G481,"?","~?"),"*","~*"),$J$3:$J$1002,"Primary"))</f>
        <v/>
      </c>
      <c r="T481">
        <f>IF(S481="","",IF(S481&gt;Settings!$B$4,"Yes","No"))</f>
        <v/>
      </c>
      <c r="U481">
        <f>IF(OR(G481="",B481=""),"",IF(COUNTIFS($G$3:$G$1002,SUBSTITUTE(SUBSTITUTE(G481,"?","~?"),"*","~*"),$B$3:$B$1002,"&lt;&gt;"&amp;SUBSTITUTE(SUBSTITUTE(B481,"?","~?"),"*","~*"),$B$3:$B$1002,"?*")&gt;0,"Yes","No"))</f>
        <v/>
      </c>
      <c r="V481">
        <f>IF(OR(G481="",I481="",O481="",O481="Unclassified"),"",IFERROR(INDEX(Settings!$E$5:$H$16,MATCH(I481,Settings!$D$5:$D$16,0),MATCH(O481,Settings!$E$4:$H$4,0)),"Check"))</f>
        <v/>
      </c>
      <c r="W481">
        <f>IF(V481="","",IF(V481="No","Yes","No"))</f>
        <v/>
      </c>
      <c r="X481">
        <f>IF(OR(E481="",G481=""),"",IF(LOWER(IF(RIGHT(TRIM(E481),1)="/",LEFT(TRIM(E481),LEN(TRIM(E481))-1),TRIM(E481)))&lt;&gt;LOWER(IF(RIGHT(TRIM(G481),1)="/",LEFT(TRIM(G481),LEN(TRIM(G481))-1),TRIM(G481))),"Yes","No"))</f>
        <v/>
      </c>
      <c r="Y481">
        <f>IF(A481="","",(N(Q481)&gt;0)+(T481="Yes")+(U481="Yes")+(W481="Yes")+(X481="Yes"))</f>
        <v/>
      </c>
      <c r="Z481">
        <f>IF(A481="","",IF(G481="","Not mapped",IF(Y481=0,"OK",MID(IF(N(Q481)&gt;0,"; Cannibalisation","")&amp;IF(T481="Yes","; Too many primary keywords on URL","")&amp;IF(U481="Yes","; URL spans 2+ clusters","")&amp;IF(W481="Yes","; Intent mismatch","")&amp;IF(X481="Yes","; Ranking URL is not the target",""),3,300))))</f>
        <v/>
      </c>
      <c r="AA481">
        <f>IF(G481="","",IF(COUNTIF($G$3:G481,SUBSTITUTE(SUBSTITUTE(G481,"?","~?"),"*","~*"))=1,MAX($AA$2:AA480)+1,""))</f>
        <v/>
      </c>
      <c r="AB481">
        <f>IF(B481="","",IF(COUNTIF($B$3:B481,SUBSTITUTE(SUBSTITUTE(B481,"?","~?"),"*","~*"))=1,MAX($AB$2:AB480)+1,""))</f>
        <v/>
      </c>
    </row>
    <row r="482">
      <c r="M482">
        <f>IF(A482="","",LOWER(TRIM(SUBSTITUTE(SUBSTITUTE(A482,"?",""),"*",""))))</f>
        <v/>
      </c>
      <c r="N482">
        <f>IF(M482="","",IF(SUMPRODUCT(ISNUMBER(SEARCH(" "&amp;Settings!$L$5:$L$124&amp;" "," "&amp;M482&amp;" "))*(Settings!$K$5:$K$124="Navigational")*(Settings!$L$5:$L$124&lt;&gt;""))&gt;0,"Navigational",IF(SUMPRODUCT(ISNUMBER(SEARCH(" "&amp;Settings!$L$5:$L$124&amp;" "," "&amp;M482&amp;" "))*(Settings!$K$5:$K$124="Transactional")*(Settings!$L$5:$L$124&lt;&gt;""))&gt;0,"Transactional",IF(SUMPRODUCT(ISNUMBER(SEARCH(" "&amp;Settings!$L$5:$L$124&amp;" "," "&amp;M482&amp;" "))*(Settings!$K$5:$K$124="Commercial")*(Settings!$L$5:$L$124&lt;&gt;""))&gt;0,"Commercial",IF(SUMPRODUCT(ISNUMBER(SEARCH(" "&amp;Settings!$L$5:$L$124&amp;" "," "&amp;M482&amp;" "))*(Settings!$K$5:$K$124="Informational")*(Settings!$L$5:$L$124&lt;&gt;""))&gt;0,"Informational","Unclassified")))))</f>
        <v/>
      </c>
      <c r="O482">
        <f>IF(A482="","",IF(K482&lt;&gt;"",PROPER(K482),N482))</f>
        <v/>
      </c>
      <c r="P482">
        <f>IF(A482="","",ROUND(Settings!$B$5*MIN(1,LOG10(N(C482)+1)/LOG10(Settings!$B$7+1))+Settings!$B$6*(1-MIN(100,IF(D482="",50,N(D482)))/100)+IFERROR(INDEX(Settings!$B$10:$B$14,MATCH(O482,Settings!$A$10:$A$14,0)),0),0))</f>
        <v/>
      </c>
      <c r="Q482">
        <f>IF(OR(A482="",G482=""),"",COUNTIFS($M$3:$M$1002,M482,$G$3:$G$1002,"&lt;&gt;"&amp;SUBSTITUTE(SUBSTITUTE(G482,"?","~?"),"*","~*"),$G$3:$G$1002,"?*"))</f>
        <v/>
      </c>
      <c r="R482">
        <f>IF(Q482="","",IF(Q482&gt;0,"Yes","No"))</f>
        <v/>
      </c>
      <c r="S482">
        <f>IF(G482="","",COUNTIFS($G$3:$G$1002,SUBSTITUTE(SUBSTITUTE(G482,"?","~?"),"*","~*"),$J$3:$J$1002,"Primary"))</f>
        <v/>
      </c>
      <c r="T482">
        <f>IF(S482="","",IF(S482&gt;Settings!$B$4,"Yes","No"))</f>
        <v/>
      </c>
      <c r="U482">
        <f>IF(OR(G482="",B482=""),"",IF(COUNTIFS($G$3:$G$1002,SUBSTITUTE(SUBSTITUTE(G482,"?","~?"),"*","~*"),$B$3:$B$1002,"&lt;&gt;"&amp;SUBSTITUTE(SUBSTITUTE(B482,"?","~?"),"*","~*"),$B$3:$B$1002,"?*")&gt;0,"Yes","No"))</f>
        <v/>
      </c>
      <c r="V482">
        <f>IF(OR(G482="",I482="",O482="",O482="Unclassified"),"",IFERROR(INDEX(Settings!$E$5:$H$16,MATCH(I482,Settings!$D$5:$D$16,0),MATCH(O482,Settings!$E$4:$H$4,0)),"Check"))</f>
        <v/>
      </c>
      <c r="W482">
        <f>IF(V482="","",IF(V482="No","Yes","No"))</f>
        <v/>
      </c>
      <c r="X482">
        <f>IF(OR(E482="",G482=""),"",IF(LOWER(IF(RIGHT(TRIM(E482),1)="/",LEFT(TRIM(E482),LEN(TRIM(E482))-1),TRIM(E482)))&lt;&gt;LOWER(IF(RIGHT(TRIM(G482),1)="/",LEFT(TRIM(G482),LEN(TRIM(G482))-1),TRIM(G482))),"Yes","No"))</f>
        <v/>
      </c>
      <c r="Y482">
        <f>IF(A482="","",(N(Q482)&gt;0)+(T482="Yes")+(U482="Yes")+(W482="Yes")+(X482="Yes"))</f>
        <v/>
      </c>
      <c r="Z482">
        <f>IF(A482="","",IF(G482="","Not mapped",IF(Y482=0,"OK",MID(IF(N(Q482)&gt;0,"; Cannibalisation","")&amp;IF(T482="Yes","; Too many primary keywords on URL","")&amp;IF(U482="Yes","; URL spans 2+ clusters","")&amp;IF(W482="Yes","; Intent mismatch","")&amp;IF(X482="Yes","; Ranking URL is not the target",""),3,300))))</f>
        <v/>
      </c>
      <c r="AA482">
        <f>IF(G482="","",IF(COUNTIF($G$3:G482,SUBSTITUTE(SUBSTITUTE(G482,"?","~?"),"*","~*"))=1,MAX($AA$2:AA481)+1,""))</f>
        <v/>
      </c>
      <c r="AB482">
        <f>IF(B482="","",IF(COUNTIF($B$3:B482,SUBSTITUTE(SUBSTITUTE(B482,"?","~?"),"*","~*"))=1,MAX($AB$2:AB481)+1,""))</f>
        <v/>
      </c>
    </row>
    <row r="483">
      <c r="M483">
        <f>IF(A483="","",LOWER(TRIM(SUBSTITUTE(SUBSTITUTE(A483,"?",""),"*",""))))</f>
        <v/>
      </c>
      <c r="N483">
        <f>IF(M483="","",IF(SUMPRODUCT(ISNUMBER(SEARCH(" "&amp;Settings!$L$5:$L$124&amp;" "," "&amp;M483&amp;" "))*(Settings!$K$5:$K$124="Navigational")*(Settings!$L$5:$L$124&lt;&gt;""))&gt;0,"Navigational",IF(SUMPRODUCT(ISNUMBER(SEARCH(" "&amp;Settings!$L$5:$L$124&amp;" "," "&amp;M483&amp;" "))*(Settings!$K$5:$K$124="Transactional")*(Settings!$L$5:$L$124&lt;&gt;""))&gt;0,"Transactional",IF(SUMPRODUCT(ISNUMBER(SEARCH(" "&amp;Settings!$L$5:$L$124&amp;" "," "&amp;M483&amp;" "))*(Settings!$K$5:$K$124="Commercial")*(Settings!$L$5:$L$124&lt;&gt;""))&gt;0,"Commercial",IF(SUMPRODUCT(ISNUMBER(SEARCH(" "&amp;Settings!$L$5:$L$124&amp;" "," "&amp;M483&amp;" "))*(Settings!$K$5:$K$124="Informational")*(Settings!$L$5:$L$124&lt;&gt;""))&gt;0,"Informational","Unclassified")))))</f>
        <v/>
      </c>
      <c r="O483">
        <f>IF(A483="","",IF(K483&lt;&gt;"",PROPER(K483),N483))</f>
        <v/>
      </c>
      <c r="P483">
        <f>IF(A483="","",ROUND(Settings!$B$5*MIN(1,LOG10(N(C483)+1)/LOG10(Settings!$B$7+1))+Settings!$B$6*(1-MIN(100,IF(D483="",50,N(D483)))/100)+IFERROR(INDEX(Settings!$B$10:$B$14,MATCH(O483,Settings!$A$10:$A$14,0)),0),0))</f>
        <v/>
      </c>
      <c r="Q483">
        <f>IF(OR(A483="",G483=""),"",COUNTIFS($M$3:$M$1002,M483,$G$3:$G$1002,"&lt;&gt;"&amp;SUBSTITUTE(SUBSTITUTE(G483,"?","~?"),"*","~*"),$G$3:$G$1002,"?*"))</f>
        <v/>
      </c>
      <c r="R483">
        <f>IF(Q483="","",IF(Q483&gt;0,"Yes","No"))</f>
        <v/>
      </c>
      <c r="S483">
        <f>IF(G483="","",COUNTIFS($G$3:$G$1002,SUBSTITUTE(SUBSTITUTE(G483,"?","~?"),"*","~*"),$J$3:$J$1002,"Primary"))</f>
        <v/>
      </c>
      <c r="T483">
        <f>IF(S483="","",IF(S483&gt;Settings!$B$4,"Yes","No"))</f>
        <v/>
      </c>
      <c r="U483">
        <f>IF(OR(G483="",B483=""),"",IF(COUNTIFS($G$3:$G$1002,SUBSTITUTE(SUBSTITUTE(G483,"?","~?"),"*","~*"),$B$3:$B$1002,"&lt;&gt;"&amp;SUBSTITUTE(SUBSTITUTE(B483,"?","~?"),"*","~*"),$B$3:$B$1002,"?*")&gt;0,"Yes","No"))</f>
        <v/>
      </c>
      <c r="V483">
        <f>IF(OR(G483="",I483="",O483="",O483="Unclassified"),"",IFERROR(INDEX(Settings!$E$5:$H$16,MATCH(I483,Settings!$D$5:$D$16,0),MATCH(O483,Settings!$E$4:$H$4,0)),"Check"))</f>
        <v/>
      </c>
      <c r="W483">
        <f>IF(V483="","",IF(V483="No","Yes","No"))</f>
        <v/>
      </c>
      <c r="X483">
        <f>IF(OR(E483="",G483=""),"",IF(LOWER(IF(RIGHT(TRIM(E483),1)="/",LEFT(TRIM(E483),LEN(TRIM(E483))-1),TRIM(E483)))&lt;&gt;LOWER(IF(RIGHT(TRIM(G483),1)="/",LEFT(TRIM(G483),LEN(TRIM(G483))-1),TRIM(G483))),"Yes","No"))</f>
        <v/>
      </c>
      <c r="Y483">
        <f>IF(A483="","",(N(Q483)&gt;0)+(T483="Yes")+(U483="Yes")+(W483="Yes")+(X483="Yes"))</f>
        <v/>
      </c>
      <c r="Z483">
        <f>IF(A483="","",IF(G483="","Not mapped",IF(Y483=0,"OK",MID(IF(N(Q483)&gt;0,"; Cannibalisation","")&amp;IF(T483="Yes","; Too many primary keywords on URL","")&amp;IF(U483="Yes","; URL spans 2+ clusters","")&amp;IF(W483="Yes","; Intent mismatch","")&amp;IF(X483="Yes","; Ranking URL is not the target",""),3,300))))</f>
        <v/>
      </c>
      <c r="AA483">
        <f>IF(G483="","",IF(COUNTIF($G$3:G483,SUBSTITUTE(SUBSTITUTE(G483,"?","~?"),"*","~*"))=1,MAX($AA$2:AA482)+1,""))</f>
        <v/>
      </c>
      <c r="AB483">
        <f>IF(B483="","",IF(COUNTIF($B$3:B483,SUBSTITUTE(SUBSTITUTE(B483,"?","~?"),"*","~*"))=1,MAX($AB$2:AB482)+1,""))</f>
        <v/>
      </c>
    </row>
    <row r="484">
      <c r="M484">
        <f>IF(A484="","",LOWER(TRIM(SUBSTITUTE(SUBSTITUTE(A484,"?",""),"*",""))))</f>
        <v/>
      </c>
      <c r="N484">
        <f>IF(M484="","",IF(SUMPRODUCT(ISNUMBER(SEARCH(" "&amp;Settings!$L$5:$L$124&amp;" "," "&amp;M484&amp;" "))*(Settings!$K$5:$K$124="Navigational")*(Settings!$L$5:$L$124&lt;&gt;""))&gt;0,"Navigational",IF(SUMPRODUCT(ISNUMBER(SEARCH(" "&amp;Settings!$L$5:$L$124&amp;" "," "&amp;M484&amp;" "))*(Settings!$K$5:$K$124="Transactional")*(Settings!$L$5:$L$124&lt;&gt;""))&gt;0,"Transactional",IF(SUMPRODUCT(ISNUMBER(SEARCH(" "&amp;Settings!$L$5:$L$124&amp;" "," "&amp;M484&amp;" "))*(Settings!$K$5:$K$124="Commercial")*(Settings!$L$5:$L$124&lt;&gt;""))&gt;0,"Commercial",IF(SUMPRODUCT(ISNUMBER(SEARCH(" "&amp;Settings!$L$5:$L$124&amp;" "," "&amp;M484&amp;" "))*(Settings!$K$5:$K$124="Informational")*(Settings!$L$5:$L$124&lt;&gt;""))&gt;0,"Informational","Unclassified")))))</f>
        <v/>
      </c>
      <c r="O484">
        <f>IF(A484="","",IF(K484&lt;&gt;"",PROPER(K484),N484))</f>
        <v/>
      </c>
      <c r="P484">
        <f>IF(A484="","",ROUND(Settings!$B$5*MIN(1,LOG10(N(C484)+1)/LOG10(Settings!$B$7+1))+Settings!$B$6*(1-MIN(100,IF(D484="",50,N(D484)))/100)+IFERROR(INDEX(Settings!$B$10:$B$14,MATCH(O484,Settings!$A$10:$A$14,0)),0),0))</f>
        <v/>
      </c>
      <c r="Q484">
        <f>IF(OR(A484="",G484=""),"",COUNTIFS($M$3:$M$1002,M484,$G$3:$G$1002,"&lt;&gt;"&amp;SUBSTITUTE(SUBSTITUTE(G484,"?","~?"),"*","~*"),$G$3:$G$1002,"?*"))</f>
        <v/>
      </c>
      <c r="R484">
        <f>IF(Q484="","",IF(Q484&gt;0,"Yes","No"))</f>
        <v/>
      </c>
      <c r="S484">
        <f>IF(G484="","",COUNTIFS($G$3:$G$1002,SUBSTITUTE(SUBSTITUTE(G484,"?","~?"),"*","~*"),$J$3:$J$1002,"Primary"))</f>
        <v/>
      </c>
      <c r="T484">
        <f>IF(S484="","",IF(S484&gt;Settings!$B$4,"Yes","No"))</f>
        <v/>
      </c>
      <c r="U484">
        <f>IF(OR(G484="",B484=""),"",IF(COUNTIFS($G$3:$G$1002,SUBSTITUTE(SUBSTITUTE(G484,"?","~?"),"*","~*"),$B$3:$B$1002,"&lt;&gt;"&amp;SUBSTITUTE(SUBSTITUTE(B484,"?","~?"),"*","~*"),$B$3:$B$1002,"?*")&gt;0,"Yes","No"))</f>
        <v/>
      </c>
      <c r="V484">
        <f>IF(OR(G484="",I484="",O484="",O484="Unclassified"),"",IFERROR(INDEX(Settings!$E$5:$H$16,MATCH(I484,Settings!$D$5:$D$16,0),MATCH(O484,Settings!$E$4:$H$4,0)),"Check"))</f>
        <v/>
      </c>
      <c r="W484">
        <f>IF(V484="","",IF(V484="No","Yes","No"))</f>
        <v/>
      </c>
      <c r="X484">
        <f>IF(OR(E484="",G484=""),"",IF(LOWER(IF(RIGHT(TRIM(E484),1)="/",LEFT(TRIM(E484),LEN(TRIM(E484))-1),TRIM(E484)))&lt;&gt;LOWER(IF(RIGHT(TRIM(G484),1)="/",LEFT(TRIM(G484),LEN(TRIM(G484))-1),TRIM(G484))),"Yes","No"))</f>
        <v/>
      </c>
      <c r="Y484">
        <f>IF(A484="","",(N(Q484)&gt;0)+(T484="Yes")+(U484="Yes")+(W484="Yes")+(X484="Yes"))</f>
        <v/>
      </c>
      <c r="Z484">
        <f>IF(A484="","",IF(G484="","Not mapped",IF(Y484=0,"OK",MID(IF(N(Q484)&gt;0,"; Cannibalisation","")&amp;IF(T484="Yes","; Too many primary keywords on URL","")&amp;IF(U484="Yes","; URL spans 2+ clusters","")&amp;IF(W484="Yes","; Intent mismatch","")&amp;IF(X484="Yes","; Ranking URL is not the target",""),3,300))))</f>
        <v/>
      </c>
      <c r="AA484">
        <f>IF(G484="","",IF(COUNTIF($G$3:G484,SUBSTITUTE(SUBSTITUTE(G484,"?","~?"),"*","~*"))=1,MAX($AA$2:AA483)+1,""))</f>
        <v/>
      </c>
      <c r="AB484">
        <f>IF(B484="","",IF(COUNTIF($B$3:B484,SUBSTITUTE(SUBSTITUTE(B484,"?","~?"),"*","~*"))=1,MAX($AB$2:AB483)+1,""))</f>
        <v/>
      </c>
    </row>
    <row r="485">
      <c r="M485">
        <f>IF(A485="","",LOWER(TRIM(SUBSTITUTE(SUBSTITUTE(A485,"?",""),"*",""))))</f>
        <v/>
      </c>
      <c r="N485">
        <f>IF(M485="","",IF(SUMPRODUCT(ISNUMBER(SEARCH(" "&amp;Settings!$L$5:$L$124&amp;" "," "&amp;M485&amp;" "))*(Settings!$K$5:$K$124="Navigational")*(Settings!$L$5:$L$124&lt;&gt;""))&gt;0,"Navigational",IF(SUMPRODUCT(ISNUMBER(SEARCH(" "&amp;Settings!$L$5:$L$124&amp;" "," "&amp;M485&amp;" "))*(Settings!$K$5:$K$124="Transactional")*(Settings!$L$5:$L$124&lt;&gt;""))&gt;0,"Transactional",IF(SUMPRODUCT(ISNUMBER(SEARCH(" "&amp;Settings!$L$5:$L$124&amp;" "," "&amp;M485&amp;" "))*(Settings!$K$5:$K$124="Commercial")*(Settings!$L$5:$L$124&lt;&gt;""))&gt;0,"Commercial",IF(SUMPRODUCT(ISNUMBER(SEARCH(" "&amp;Settings!$L$5:$L$124&amp;" "," "&amp;M485&amp;" "))*(Settings!$K$5:$K$124="Informational")*(Settings!$L$5:$L$124&lt;&gt;""))&gt;0,"Informational","Unclassified")))))</f>
        <v/>
      </c>
      <c r="O485">
        <f>IF(A485="","",IF(K485&lt;&gt;"",PROPER(K485),N485))</f>
        <v/>
      </c>
      <c r="P485">
        <f>IF(A485="","",ROUND(Settings!$B$5*MIN(1,LOG10(N(C485)+1)/LOG10(Settings!$B$7+1))+Settings!$B$6*(1-MIN(100,IF(D485="",50,N(D485)))/100)+IFERROR(INDEX(Settings!$B$10:$B$14,MATCH(O485,Settings!$A$10:$A$14,0)),0),0))</f>
        <v/>
      </c>
      <c r="Q485">
        <f>IF(OR(A485="",G485=""),"",COUNTIFS($M$3:$M$1002,M485,$G$3:$G$1002,"&lt;&gt;"&amp;SUBSTITUTE(SUBSTITUTE(G485,"?","~?"),"*","~*"),$G$3:$G$1002,"?*"))</f>
        <v/>
      </c>
      <c r="R485">
        <f>IF(Q485="","",IF(Q485&gt;0,"Yes","No"))</f>
        <v/>
      </c>
      <c r="S485">
        <f>IF(G485="","",COUNTIFS($G$3:$G$1002,SUBSTITUTE(SUBSTITUTE(G485,"?","~?"),"*","~*"),$J$3:$J$1002,"Primary"))</f>
        <v/>
      </c>
      <c r="T485">
        <f>IF(S485="","",IF(S485&gt;Settings!$B$4,"Yes","No"))</f>
        <v/>
      </c>
      <c r="U485">
        <f>IF(OR(G485="",B485=""),"",IF(COUNTIFS($G$3:$G$1002,SUBSTITUTE(SUBSTITUTE(G485,"?","~?"),"*","~*"),$B$3:$B$1002,"&lt;&gt;"&amp;SUBSTITUTE(SUBSTITUTE(B485,"?","~?"),"*","~*"),$B$3:$B$1002,"?*")&gt;0,"Yes","No"))</f>
        <v/>
      </c>
      <c r="V485">
        <f>IF(OR(G485="",I485="",O485="",O485="Unclassified"),"",IFERROR(INDEX(Settings!$E$5:$H$16,MATCH(I485,Settings!$D$5:$D$16,0),MATCH(O485,Settings!$E$4:$H$4,0)),"Check"))</f>
        <v/>
      </c>
      <c r="W485">
        <f>IF(V485="","",IF(V485="No","Yes","No"))</f>
        <v/>
      </c>
      <c r="X485">
        <f>IF(OR(E485="",G485=""),"",IF(LOWER(IF(RIGHT(TRIM(E485),1)="/",LEFT(TRIM(E485),LEN(TRIM(E485))-1),TRIM(E485)))&lt;&gt;LOWER(IF(RIGHT(TRIM(G485),1)="/",LEFT(TRIM(G485),LEN(TRIM(G485))-1),TRIM(G485))),"Yes","No"))</f>
        <v/>
      </c>
      <c r="Y485">
        <f>IF(A485="","",(N(Q485)&gt;0)+(T485="Yes")+(U485="Yes")+(W485="Yes")+(X485="Yes"))</f>
        <v/>
      </c>
      <c r="Z485">
        <f>IF(A485="","",IF(G485="","Not mapped",IF(Y485=0,"OK",MID(IF(N(Q485)&gt;0,"; Cannibalisation","")&amp;IF(T485="Yes","; Too many primary keywords on URL","")&amp;IF(U485="Yes","; URL spans 2+ clusters","")&amp;IF(W485="Yes","; Intent mismatch","")&amp;IF(X485="Yes","; Ranking URL is not the target",""),3,300))))</f>
        <v/>
      </c>
      <c r="AA485">
        <f>IF(G485="","",IF(COUNTIF($G$3:G485,SUBSTITUTE(SUBSTITUTE(G485,"?","~?"),"*","~*"))=1,MAX($AA$2:AA484)+1,""))</f>
        <v/>
      </c>
      <c r="AB485">
        <f>IF(B485="","",IF(COUNTIF($B$3:B485,SUBSTITUTE(SUBSTITUTE(B485,"?","~?"),"*","~*"))=1,MAX($AB$2:AB484)+1,""))</f>
        <v/>
      </c>
    </row>
    <row r="486">
      <c r="M486">
        <f>IF(A486="","",LOWER(TRIM(SUBSTITUTE(SUBSTITUTE(A486,"?",""),"*",""))))</f>
        <v/>
      </c>
      <c r="N486">
        <f>IF(M486="","",IF(SUMPRODUCT(ISNUMBER(SEARCH(" "&amp;Settings!$L$5:$L$124&amp;" "," "&amp;M486&amp;" "))*(Settings!$K$5:$K$124="Navigational")*(Settings!$L$5:$L$124&lt;&gt;""))&gt;0,"Navigational",IF(SUMPRODUCT(ISNUMBER(SEARCH(" "&amp;Settings!$L$5:$L$124&amp;" "," "&amp;M486&amp;" "))*(Settings!$K$5:$K$124="Transactional")*(Settings!$L$5:$L$124&lt;&gt;""))&gt;0,"Transactional",IF(SUMPRODUCT(ISNUMBER(SEARCH(" "&amp;Settings!$L$5:$L$124&amp;" "," "&amp;M486&amp;" "))*(Settings!$K$5:$K$124="Commercial")*(Settings!$L$5:$L$124&lt;&gt;""))&gt;0,"Commercial",IF(SUMPRODUCT(ISNUMBER(SEARCH(" "&amp;Settings!$L$5:$L$124&amp;" "," "&amp;M486&amp;" "))*(Settings!$K$5:$K$124="Informational")*(Settings!$L$5:$L$124&lt;&gt;""))&gt;0,"Informational","Unclassified")))))</f>
        <v/>
      </c>
      <c r="O486">
        <f>IF(A486="","",IF(K486&lt;&gt;"",PROPER(K486),N486))</f>
        <v/>
      </c>
      <c r="P486">
        <f>IF(A486="","",ROUND(Settings!$B$5*MIN(1,LOG10(N(C486)+1)/LOG10(Settings!$B$7+1))+Settings!$B$6*(1-MIN(100,IF(D486="",50,N(D486)))/100)+IFERROR(INDEX(Settings!$B$10:$B$14,MATCH(O486,Settings!$A$10:$A$14,0)),0),0))</f>
        <v/>
      </c>
      <c r="Q486">
        <f>IF(OR(A486="",G486=""),"",COUNTIFS($M$3:$M$1002,M486,$G$3:$G$1002,"&lt;&gt;"&amp;SUBSTITUTE(SUBSTITUTE(G486,"?","~?"),"*","~*"),$G$3:$G$1002,"?*"))</f>
        <v/>
      </c>
      <c r="R486">
        <f>IF(Q486="","",IF(Q486&gt;0,"Yes","No"))</f>
        <v/>
      </c>
      <c r="S486">
        <f>IF(G486="","",COUNTIFS($G$3:$G$1002,SUBSTITUTE(SUBSTITUTE(G486,"?","~?"),"*","~*"),$J$3:$J$1002,"Primary"))</f>
        <v/>
      </c>
      <c r="T486">
        <f>IF(S486="","",IF(S486&gt;Settings!$B$4,"Yes","No"))</f>
        <v/>
      </c>
      <c r="U486">
        <f>IF(OR(G486="",B486=""),"",IF(COUNTIFS($G$3:$G$1002,SUBSTITUTE(SUBSTITUTE(G486,"?","~?"),"*","~*"),$B$3:$B$1002,"&lt;&gt;"&amp;SUBSTITUTE(SUBSTITUTE(B486,"?","~?"),"*","~*"),$B$3:$B$1002,"?*")&gt;0,"Yes","No"))</f>
        <v/>
      </c>
      <c r="V486">
        <f>IF(OR(G486="",I486="",O486="",O486="Unclassified"),"",IFERROR(INDEX(Settings!$E$5:$H$16,MATCH(I486,Settings!$D$5:$D$16,0),MATCH(O486,Settings!$E$4:$H$4,0)),"Check"))</f>
        <v/>
      </c>
      <c r="W486">
        <f>IF(V486="","",IF(V486="No","Yes","No"))</f>
        <v/>
      </c>
      <c r="X486">
        <f>IF(OR(E486="",G486=""),"",IF(LOWER(IF(RIGHT(TRIM(E486),1)="/",LEFT(TRIM(E486),LEN(TRIM(E486))-1),TRIM(E486)))&lt;&gt;LOWER(IF(RIGHT(TRIM(G486),1)="/",LEFT(TRIM(G486),LEN(TRIM(G486))-1),TRIM(G486))),"Yes","No"))</f>
        <v/>
      </c>
      <c r="Y486">
        <f>IF(A486="","",(N(Q486)&gt;0)+(T486="Yes")+(U486="Yes")+(W486="Yes")+(X486="Yes"))</f>
        <v/>
      </c>
      <c r="Z486">
        <f>IF(A486="","",IF(G486="","Not mapped",IF(Y486=0,"OK",MID(IF(N(Q486)&gt;0,"; Cannibalisation","")&amp;IF(T486="Yes","; Too many primary keywords on URL","")&amp;IF(U486="Yes","; URL spans 2+ clusters","")&amp;IF(W486="Yes","; Intent mismatch","")&amp;IF(X486="Yes","; Ranking URL is not the target",""),3,300))))</f>
        <v/>
      </c>
      <c r="AA486">
        <f>IF(G486="","",IF(COUNTIF($G$3:G486,SUBSTITUTE(SUBSTITUTE(G486,"?","~?"),"*","~*"))=1,MAX($AA$2:AA485)+1,""))</f>
        <v/>
      </c>
      <c r="AB486">
        <f>IF(B486="","",IF(COUNTIF($B$3:B486,SUBSTITUTE(SUBSTITUTE(B486,"?","~?"),"*","~*"))=1,MAX($AB$2:AB485)+1,""))</f>
        <v/>
      </c>
    </row>
    <row r="487">
      <c r="M487">
        <f>IF(A487="","",LOWER(TRIM(SUBSTITUTE(SUBSTITUTE(A487,"?",""),"*",""))))</f>
        <v/>
      </c>
      <c r="N487">
        <f>IF(M487="","",IF(SUMPRODUCT(ISNUMBER(SEARCH(" "&amp;Settings!$L$5:$L$124&amp;" "," "&amp;M487&amp;" "))*(Settings!$K$5:$K$124="Navigational")*(Settings!$L$5:$L$124&lt;&gt;""))&gt;0,"Navigational",IF(SUMPRODUCT(ISNUMBER(SEARCH(" "&amp;Settings!$L$5:$L$124&amp;" "," "&amp;M487&amp;" "))*(Settings!$K$5:$K$124="Transactional")*(Settings!$L$5:$L$124&lt;&gt;""))&gt;0,"Transactional",IF(SUMPRODUCT(ISNUMBER(SEARCH(" "&amp;Settings!$L$5:$L$124&amp;" "," "&amp;M487&amp;" "))*(Settings!$K$5:$K$124="Commercial")*(Settings!$L$5:$L$124&lt;&gt;""))&gt;0,"Commercial",IF(SUMPRODUCT(ISNUMBER(SEARCH(" "&amp;Settings!$L$5:$L$124&amp;" "," "&amp;M487&amp;" "))*(Settings!$K$5:$K$124="Informational")*(Settings!$L$5:$L$124&lt;&gt;""))&gt;0,"Informational","Unclassified")))))</f>
        <v/>
      </c>
      <c r="O487">
        <f>IF(A487="","",IF(K487&lt;&gt;"",PROPER(K487),N487))</f>
        <v/>
      </c>
      <c r="P487">
        <f>IF(A487="","",ROUND(Settings!$B$5*MIN(1,LOG10(N(C487)+1)/LOG10(Settings!$B$7+1))+Settings!$B$6*(1-MIN(100,IF(D487="",50,N(D487)))/100)+IFERROR(INDEX(Settings!$B$10:$B$14,MATCH(O487,Settings!$A$10:$A$14,0)),0),0))</f>
        <v/>
      </c>
      <c r="Q487">
        <f>IF(OR(A487="",G487=""),"",COUNTIFS($M$3:$M$1002,M487,$G$3:$G$1002,"&lt;&gt;"&amp;SUBSTITUTE(SUBSTITUTE(G487,"?","~?"),"*","~*"),$G$3:$G$1002,"?*"))</f>
        <v/>
      </c>
      <c r="R487">
        <f>IF(Q487="","",IF(Q487&gt;0,"Yes","No"))</f>
        <v/>
      </c>
      <c r="S487">
        <f>IF(G487="","",COUNTIFS($G$3:$G$1002,SUBSTITUTE(SUBSTITUTE(G487,"?","~?"),"*","~*"),$J$3:$J$1002,"Primary"))</f>
        <v/>
      </c>
      <c r="T487">
        <f>IF(S487="","",IF(S487&gt;Settings!$B$4,"Yes","No"))</f>
        <v/>
      </c>
      <c r="U487">
        <f>IF(OR(G487="",B487=""),"",IF(COUNTIFS($G$3:$G$1002,SUBSTITUTE(SUBSTITUTE(G487,"?","~?"),"*","~*"),$B$3:$B$1002,"&lt;&gt;"&amp;SUBSTITUTE(SUBSTITUTE(B487,"?","~?"),"*","~*"),$B$3:$B$1002,"?*")&gt;0,"Yes","No"))</f>
        <v/>
      </c>
      <c r="V487">
        <f>IF(OR(G487="",I487="",O487="",O487="Unclassified"),"",IFERROR(INDEX(Settings!$E$5:$H$16,MATCH(I487,Settings!$D$5:$D$16,0),MATCH(O487,Settings!$E$4:$H$4,0)),"Check"))</f>
        <v/>
      </c>
      <c r="W487">
        <f>IF(V487="","",IF(V487="No","Yes","No"))</f>
        <v/>
      </c>
      <c r="X487">
        <f>IF(OR(E487="",G487=""),"",IF(LOWER(IF(RIGHT(TRIM(E487),1)="/",LEFT(TRIM(E487),LEN(TRIM(E487))-1),TRIM(E487)))&lt;&gt;LOWER(IF(RIGHT(TRIM(G487),1)="/",LEFT(TRIM(G487),LEN(TRIM(G487))-1),TRIM(G487))),"Yes","No"))</f>
        <v/>
      </c>
      <c r="Y487">
        <f>IF(A487="","",(N(Q487)&gt;0)+(T487="Yes")+(U487="Yes")+(W487="Yes")+(X487="Yes"))</f>
        <v/>
      </c>
      <c r="Z487">
        <f>IF(A487="","",IF(G487="","Not mapped",IF(Y487=0,"OK",MID(IF(N(Q487)&gt;0,"; Cannibalisation","")&amp;IF(T487="Yes","; Too many primary keywords on URL","")&amp;IF(U487="Yes","; URL spans 2+ clusters","")&amp;IF(W487="Yes","; Intent mismatch","")&amp;IF(X487="Yes","; Ranking URL is not the target",""),3,300))))</f>
        <v/>
      </c>
      <c r="AA487">
        <f>IF(G487="","",IF(COUNTIF($G$3:G487,SUBSTITUTE(SUBSTITUTE(G487,"?","~?"),"*","~*"))=1,MAX($AA$2:AA486)+1,""))</f>
        <v/>
      </c>
      <c r="AB487">
        <f>IF(B487="","",IF(COUNTIF($B$3:B487,SUBSTITUTE(SUBSTITUTE(B487,"?","~?"),"*","~*"))=1,MAX($AB$2:AB486)+1,""))</f>
        <v/>
      </c>
    </row>
    <row r="488">
      <c r="M488">
        <f>IF(A488="","",LOWER(TRIM(SUBSTITUTE(SUBSTITUTE(A488,"?",""),"*",""))))</f>
        <v/>
      </c>
      <c r="N488">
        <f>IF(M488="","",IF(SUMPRODUCT(ISNUMBER(SEARCH(" "&amp;Settings!$L$5:$L$124&amp;" "," "&amp;M488&amp;" "))*(Settings!$K$5:$K$124="Navigational")*(Settings!$L$5:$L$124&lt;&gt;""))&gt;0,"Navigational",IF(SUMPRODUCT(ISNUMBER(SEARCH(" "&amp;Settings!$L$5:$L$124&amp;" "," "&amp;M488&amp;" "))*(Settings!$K$5:$K$124="Transactional")*(Settings!$L$5:$L$124&lt;&gt;""))&gt;0,"Transactional",IF(SUMPRODUCT(ISNUMBER(SEARCH(" "&amp;Settings!$L$5:$L$124&amp;" "," "&amp;M488&amp;" "))*(Settings!$K$5:$K$124="Commercial")*(Settings!$L$5:$L$124&lt;&gt;""))&gt;0,"Commercial",IF(SUMPRODUCT(ISNUMBER(SEARCH(" "&amp;Settings!$L$5:$L$124&amp;" "," "&amp;M488&amp;" "))*(Settings!$K$5:$K$124="Informational")*(Settings!$L$5:$L$124&lt;&gt;""))&gt;0,"Informational","Unclassified")))))</f>
        <v/>
      </c>
      <c r="O488">
        <f>IF(A488="","",IF(K488&lt;&gt;"",PROPER(K488),N488))</f>
        <v/>
      </c>
      <c r="P488">
        <f>IF(A488="","",ROUND(Settings!$B$5*MIN(1,LOG10(N(C488)+1)/LOG10(Settings!$B$7+1))+Settings!$B$6*(1-MIN(100,IF(D488="",50,N(D488)))/100)+IFERROR(INDEX(Settings!$B$10:$B$14,MATCH(O488,Settings!$A$10:$A$14,0)),0),0))</f>
        <v/>
      </c>
      <c r="Q488">
        <f>IF(OR(A488="",G488=""),"",COUNTIFS($M$3:$M$1002,M488,$G$3:$G$1002,"&lt;&gt;"&amp;SUBSTITUTE(SUBSTITUTE(G488,"?","~?"),"*","~*"),$G$3:$G$1002,"?*"))</f>
        <v/>
      </c>
      <c r="R488">
        <f>IF(Q488="","",IF(Q488&gt;0,"Yes","No"))</f>
        <v/>
      </c>
      <c r="S488">
        <f>IF(G488="","",COUNTIFS($G$3:$G$1002,SUBSTITUTE(SUBSTITUTE(G488,"?","~?"),"*","~*"),$J$3:$J$1002,"Primary"))</f>
        <v/>
      </c>
      <c r="T488">
        <f>IF(S488="","",IF(S488&gt;Settings!$B$4,"Yes","No"))</f>
        <v/>
      </c>
      <c r="U488">
        <f>IF(OR(G488="",B488=""),"",IF(COUNTIFS($G$3:$G$1002,SUBSTITUTE(SUBSTITUTE(G488,"?","~?"),"*","~*"),$B$3:$B$1002,"&lt;&gt;"&amp;SUBSTITUTE(SUBSTITUTE(B488,"?","~?"),"*","~*"),$B$3:$B$1002,"?*")&gt;0,"Yes","No"))</f>
        <v/>
      </c>
      <c r="V488">
        <f>IF(OR(G488="",I488="",O488="",O488="Unclassified"),"",IFERROR(INDEX(Settings!$E$5:$H$16,MATCH(I488,Settings!$D$5:$D$16,0),MATCH(O488,Settings!$E$4:$H$4,0)),"Check"))</f>
        <v/>
      </c>
      <c r="W488">
        <f>IF(V488="","",IF(V488="No","Yes","No"))</f>
        <v/>
      </c>
      <c r="X488">
        <f>IF(OR(E488="",G488=""),"",IF(LOWER(IF(RIGHT(TRIM(E488),1)="/",LEFT(TRIM(E488),LEN(TRIM(E488))-1),TRIM(E488)))&lt;&gt;LOWER(IF(RIGHT(TRIM(G488),1)="/",LEFT(TRIM(G488),LEN(TRIM(G488))-1),TRIM(G488))),"Yes","No"))</f>
        <v/>
      </c>
      <c r="Y488">
        <f>IF(A488="","",(N(Q488)&gt;0)+(T488="Yes")+(U488="Yes")+(W488="Yes")+(X488="Yes"))</f>
        <v/>
      </c>
      <c r="Z488">
        <f>IF(A488="","",IF(G488="","Not mapped",IF(Y488=0,"OK",MID(IF(N(Q488)&gt;0,"; Cannibalisation","")&amp;IF(T488="Yes","; Too many primary keywords on URL","")&amp;IF(U488="Yes","; URL spans 2+ clusters","")&amp;IF(W488="Yes","; Intent mismatch","")&amp;IF(X488="Yes","; Ranking URL is not the target",""),3,300))))</f>
        <v/>
      </c>
      <c r="AA488">
        <f>IF(G488="","",IF(COUNTIF($G$3:G488,SUBSTITUTE(SUBSTITUTE(G488,"?","~?"),"*","~*"))=1,MAX($AA$2:AA487)+1,""))</f>
        <v/>
      </c>
      <c r="AB488">
        <f>IF(B488="","",IF(COUNTIF($B$3:B488,SUBSTITUTE(SUBSTITUTE(B488,"?","~?"),"*","~*"))=1,MAX($AB$2:AB487)+1,""))</f>
        <v/>
      </c>
    </row>
    <row r="489">
      <c r="M489">
        <f>IF(A489="","",LOWER(TRIM(SUBSTITUTE(SUBSTITUTE(A489,"?",""),"*",""))))</f>
        <v/>
      </c>
      <c r="N489">
        <f>IF(M489="","",IF(SUMPRODUCT(ISNUMBER(SEARCH(" "&amp;Settings!$L$5:$L$124&amp;" "," "&amp;M489&amp;" "))*(Settings!$K$5:$K$124="Navigational")*(Settings!$L$5:$L$124&lt;&gt;""))&gt;0,"Navigational",IF(SUMPRODUCT(ISNUMBER(SEARCH(" "&amp;Settings!$L$5:$L$124&amp;" "," "&amp;M489&amp;" "))*(Settings!$K$5:$K$124="Transactional")*(Settings!$L$5:$L$124&lt;&gt;""))&gt;0,"Transactional",IF(SUMPRODUCT(ISNUMBER(SEARCH(" "&amp;Settings!$L$5:$L$124&amp;" "," "&amp;M489&amp;" "))*(Settings!$K$5:$K$124="Commercial")*(Settings!$L$5:$L$124&lt;&gt;""))&gt;0,"Commercial",IF(SUMPRODUCT(ISNUMBER(SEARCH(" "&amp;Settings!$L$5:$L$124&amp;" "," "&amp;M489&amp;" "))*(Settings!$K$5:$K$124="Informational")*(Settings!$L$5:$L$124&lt;&gt;""))&gt;0,"Informational","Unclassified")))))</f>
        <v/>
      </c>
      <c r="O489">
        <f>IF(A489="","",IF(K489&lt;&gt;"",PROPER(K489),N489))</f>
        <v/>
      </c>
      <c r="P489">
        <f>IF(A489="","",ROUND(Settings!$B$5*MIN(1,LOG10(N(C489)+1)/LOG10(Settings!$B$7+1))+Settings!$B$6*(1-MIN(100,IF(D489="",50,N(D489)))/100)+IFERROR(INDEX(Settings!$B$10:$B$14,MATCH(O489,Settings!$A$10:$A$14,0)),0),0))</f>
        <v/>
      </c>
      <c r="Q489">
        <f>IF(OR(A489="",G489=""),"",COUNTIFS($M$3:$M$1002,M489,$G$3:$G$1002,"&lt;&gt;"&amp;SUBSTITUTE(SUBSTITUTE(G489,"?","~?"),"*","~*"),$G$3:$G$1002,"?*"))</f>
        <v/>
      </c>
      <c r="R489">
        <f>IF(Q489="","",IF(Q489&gt;0,"Yes","No"))</f>
        <v/>
      </c>
      <c r="S489">
        <f>IF(G489="","",COUNTIFS($G$3:$G$1002,SUBSTITUTE(SUBSTITUTE(G489,"?","~?"),"*","~*"),$J$3:$J$1002,"Primary"))</f>
        <v/>
      </c>
      <c r="T489">
        <f>IF(S489="","",IF(S489&gt;Settings!$B$4,"Yes","No"))</f>
        <v/>
      </c>
      <c r="U489">
        <f>IF(OR(G489="",B489=""),"",IF(COUNTIFS($G$3:$G$1002,SUBSTITUTE(SUBSTITUTE(G489,"?","~?"),"*","~*"),$B$3:$B$1002,"&lt;&gt;"&amp;SUBSTITUTE(SUBSTITUTE(B489,"?","~?"),"*","~*"),$B$3:$B$1002,"?*")&gt;0,"Yes","No"))</f>
        <v/>
      </c>
      <c r="V489">
        <f>IF(OR(G489="",I489="",O489="",O489="Unclassified"),"",IFERROR(INDEX(Settings!$E$5:$H$16,MATCH(I489,Settings!$D$5:$D$16,0),MATCH(O489,Settings!$E$4:$H$4,0)),"Check"))</f>
        <v/>
      </c>
      <c r="W489">
        <f>IF(V489="","",IF(V489="No","Yes","No"))</f>
        <v/>
      </c>
      <c r="X489">
        <f>IF(OR(E489="",G489=""),"",IF(LOWER(IF(RIGHT(TRIM(E489),1)="/",LEFT(TRIM(E489),LEN(TRIM(E489))-1),TRIM(E489)))&lt;&gt;LOWER(IF(RIGHT(TRIM(G489),1)="/",LEFT(TRIM(G489),LEN(TRIM(G489))-1),TRIM(G489))),"Yes","No"))</f>
        <v/>
      </c>
      <c r="Y489">
        <f>IF(A489="","",(N(Q489)&gt;0)+(T489="Yes")+(U489="Yes")+(W489="Yes")+(X489="Yes"))</f>
        <v/>
      </c>
      <c r="Z489">
        <f>IF(A489="","",IF(G489="","Not mapped",IF(Y489=0,"OK",MID(IF(N(Q489)&gt;0,"; Cannibalisation","")&amp;IF(T489="Yes","; Too many primary keywords on URL","")&amp;IF(U489="Yes","; URL spans 2+ clusters","")&amp;IF(W489="Yes","; Intent mismatch","")&amp;IF(X489="Yes","; Ranking URL is not the target",""),3,300))))</f>
        <v/>
      </c>
      <c r="AA489">
        <f>IF(G489="","",IF(COUNTIF($G$3:G489,SUBSTITUTE(SUBSTITUTE(G489,"?","~?"),"*","~*"))=1,MAX($AA$2:AA488)+1,""))</f>
        <v/>
      </c>
      <c r="AB489">
        <f>IF(B489="","",IF(COUNTIF($B$3:B489,SUBSTITUTE(SUBSTITUTE(B489,"?","~?"),"*","~*"))=1,MAX($AB$2:AB488)+1,""))</f>
        <v/>
      </c>
    </row>
    <row r="490">
      <c r="M490">
        <f>IF(A490="","",LOWER(TRIM(SUBSTITUTE(SUBSTITUTE(A490,"?",""),"*",""))))</f>
        <v/>
      </c>
      <c r="N490">
        <f>IF(M490="","",IF(SUMPRODUCT(ISNUMBER(SEARCH(" "&amp;Settings!$L$5:$L$124&amp;" "," "&amp;M490&amp;" "))*(Settings!$K$5:$K$124="Navigational")*(Settings!$L$5:$L$124&lt;&gt;""))&gt;0,"Navigational",IF(SUMPRODUCT(ISNUMBER(SEARCH(" "&amp;Settings!$L$5:$L$124&amp;" "," "&amp;M490&amp;" "))*(Settings!$K$5:$K$124="Transactional")*(Settings!$L$5:$L$124&lt;&gt;""))&gt;0,"Transactional",IF(SUMPRODUCT(ISNUMBER(SEARCH(" "&amp;Settings!$L$5:$L$124&amp;" "," "&amp;M490&amp;" "))*(Settings!$K$5:$K$124="Commercial")*(Settings!$L$5:$L$124&lt;&gt;""))&gt;0,"Commercial",IF(SUMPRODUCT(ISNUMBER(SEARCH(" "&amp;Settings!$L$5:$L$124&amp;" "," "&amp;M490&amp;" "))*(Settings!$K$5:$K$124="Informational")*(Settings!$L$5:$L$124&lt;&gt;""))&gt;0,"Informational","Unclassified")))))</f>
        <v/>
      </c>
      <c r="O490">
        <f>IF(A490="","",IF(K490&lt;&gt;"",PROPER(K490),N490))</f>
        <v/>
      </c>
      <c r="P490">
        <f>IF(A490="","",ROUND(Settings!$B$5*MIN(1,LOG10(N(C490)+1)/LOG10(Settings!$B$7+1))+Settings!$B$6*(1-MIN(100,IF(D490="",50,N(D490)))/100)+IFERROR(INDEX(Settings!$B$10:$B$14,MATCH(O490,Settings!$A$10:$A$14,0)),0),0))</f>
        <v/>
      </c>
      <c r="Q490">
        <f>IF(OR(A490="",G490=""),"",COUNTIFS($M$3:$M$1002,M490,$G$3:$G$1002,"&lt;&gt;"&amp;SUBSTITUTE(SUBSTITUTE(G490,"?","~?"),"*","~*"),$G$3:$G$1002,"?*"))</f>
        <v/>
      </c>
      <c r="R490">
        <f>IF(Q490="","",IF(Q490&gt;0,"Yes","No"))</f>
        <v/>
      </c>
      <c r="S490">
        <f>IF(G490="","",COUNTIFS($G$3:$G$1002,SUBSTITUTE(SUBSTITUTE(G490,"?","~?"),"*","~*"),$J$3:$J$1002,"Primary"))</f>
        <v/>
      </c>
      <c r="T490">
        <f>IF(S490="","",IF(S490&gt;Settings!$B$4,"Yes","No"))</f>
        <v/>
      </c>
      <c r="U490">
        <f>IF(OR(G490="",B490=""),"",IF(COUNTIFS($G$3:$G$1002,SUBSTITUTE(SUBSTITUTE(G490,"?","~?"),"*","~*"),$B$3:$B$1002,"&lt;&gt;"&amp;SUBSTITUTE(SUBSTITUTE(B490,"?","~?"),"*","~*"),$B$3:$B$1002,"?*")&gt;0,"Yes","No"))</f>
        <v/>
      </c>
      <c r="V490">
        <f>IF(OR(G490="",I490="",O490="",O490="Unclassified"),"",IFERROR(INDEX(Settings!$E$5:$H$16,MATCH(I490,Settings!$D$5:$D$16,0),MATCH(O490,Settings!$E$4:$H$4,0)),"Check"))</f>
        <v/>
      </c>
      <c r="W490">
        <f>IF(V490="","",IF(V490="No","Yes","No"))</f>
        <v/>
      </c>
      <c r="X490">
        <f>IF(OR(E490="",G490=""),"",IF(LOWER(IF(RIGHT(TRIM(E490),1)="/",LEFT(TRIM(E490),LEN(TRIM(E490))-1),TRIM(E490)))&lt;&gt;LOWER(IF(RIGHT(TRIM(G490),1)="/",LEFT(TRIM(G490),LEN(TRIM(G490))-1),TRIM(G490))),"Yes","No"))</f>
        <v/>
      </c>
      <c r="Y490">
        <f>IF(A490="","",(N(Q490)&gt;0)+(T490="Yes")+(U490="Yes")+(W490="Yes")+(X490="Yes"))</f>
        <v/>
      </c>
      <c r="Z490">
        <f>IF(A490="","",IF(G490="","Not mapped",IF(Y490=0,"OK",MID(IF(N(Q490)&gt;0,"; Cannibalisation","")&amp;IF(T490="Yes","; Too many primary keywords on URL","")&amp;IF(U490="Yes","; URL spans 2+ clusters","")&amp;IF(W490="Yes","; Intent mismatch","")&amp;IF(X490="Yes","; Ranking URL is not the target",""),3,300))))</f>
        <v/>
      </c>
      <c r="AA490">
        <f>IF(G490="","",IF(COUNTIF($G$3:G490,SUBSTITUTE(SUBSTITUTE(G490,"?","~?"),"*","~*"))=1,MAX($AA$2:AA489)+1,""))</f>
        <v/>
      </c>
      <c r="AB490">
        <f>IF(B490="","",IF(COUNTIF($B$3:B490,SUBSTITUTE(SUBSTITUTE(B490,"?","~?"),"*","~*"))=1,MAX($AB$2:AB489)+1,""))</f>
        <v/>
      </c>
    </row>
    <row r="491">
      <c r="M491">
        <f>IF(A491="","",LOWER(TRIM(SUBSTITUTE(SUBSTITUTE(A491,"?",""),"*",""))))</f>
        <v/>
      </c>
      <c r="N491">
        <f>IF(M491="","",IF(SUMPRODUCT(ISNUMBER(SEARCH(" "&amp;Settings!$L$5:$L$124&amp;" "," "&amp;M491&amp;" "))*(Settings!$K$5:$K$124="Navigational")*(Settings!$L$5:$L$124&lt;&gt;""))&gt;0,"Navigational",IF(SUMPRODUCT(ISNUMBER(SEARCH(" "&amp;Settings!$L$5:$L$124&amp;" "," "&amp;M491&amp;" "))*(Settings!$K$5:$K$124="Transactional")*(Settings!$L$5:$L$124&lt;&gt;""))&gt;0,"Transactional",IF(SUMPRODUCT(ISNUMBER(SEARCH(" "&amp;Settings!$L$5:$L$124&amp;" "," "&amp;M491&amp;" "))*(Settings!$K$5:$K$124="Commercial")*(Settings!$L$5:$L$124&lt;&gt;""))&gt;0,"Commercial",IF(SUMPRODUCT(ISNUMBER(SEARCH(" "&amp;Settings!$L$5:$L$124&amp;" "," "&amp;M491&amp;" "))*(Settings!$K$5:$K$124="Informational")*(Settings!$L$5:$L$124&lt;&gt;""))&gt;0,"Informational","Unclassified")))))</f>
        <v/>
      </c>
      <c r="O491">
        <f>IF(A491="","",IF(K491&lt;&gt;"",PROPER(K491),N491))</f>
        <v/>
      </c>
      <c r="P491">
        <f>IF(A491="","",ROUND(Settings!$B$5*MIN(1,LOG10(N(C491)+1)/LOG10(Settings!$B$7+1))+Settings!$B$6*(1-MIN(100,IF(D491="",50,N(D491)))/100)+IFERROR(INDEX(Settings!$B$10:$B$14,MATCH(O491,Settings!$A$10:$A$14,0)),0),0))</f>
        <v/>
      </c>
      <c r="Q491">
        <f>IF(OR(A491="",G491=""),"",COUNTIFS($M$3:$M$1002,M491,$G$3:$G$1002,"&lt;&gt;"&amp;SUBSTITUTE(SUBSTITUTE(G491,"?","~?"),"*","~*"),$G$3:$G$1002,"?*"))</f>
        <v/>
      </c>
      <c r="R491">
        <f>IF(Q491="","",IF(Q491&gt;0,"Yes","No"))</f>
        <v/>
      </c>
      <c r="S491">
        <f>IF(G491="","",COUNTIFS($G$3:$G$1002,SUBSTITUTE(SUBSTITUTE(G491,"?","~?"),"*","~*"),$J$3:$J$1002,"Primary"))</f>
        <v/>
      </c>
      <c r="T491">
        <f>IF(S491="","",IF(S491&gt;Settings!$B$4,"Yes","No"))</f>
        <v/>
      </c>
      <c r="U491">
        <f>IF(OR(G491="",B491=""),"",IF(COUNTIFS($G$3:$G$1002,SUBSTITUTE(SUBSTITUTE(G491,"?","~?"),"*","~*"),$B$3:$B$1002,"&lt;&gt;"&amp;SUBSTITUTE(SUBSTITUTE(B491,"?","~?"),"*","~*"),$B$3:$B$1002,"?*")&gt;0,"Yes","No"))</f>
        <v/>
      </c>
      <c r="V491">
        <f>IF(OR(G491="",I491="",O491="",O491="Unclassified"),"",IFERROR(INDEX(Settings!$E$5:$H$16,MATCH(I491,Settings!$D$5:$D$16,0),MATCH(O491,Settings!$E$4:$H$4,0)),"Check"))</f>
        <v/>
      </c>
      <c r="W491">
        <f>IF(V491="","",IF(V491="No","Yes","No"))</f>
        <v/>
      </c>
      <c r="X491">
        <f>IF(OR(E491="",G491=""),"",IF(LOWER(IF(RIGHT(TRIM(E491),1)="/",LEFT(TRIM(E491),LEN(TRIM(E491))-1),TRIM(E491)))&lt;&gt;LOWER(IF(RIGHT(TRIM(G491),1)="/",LEFT(TRIM(G491),LEN(TRIM(G491))-1),TRIM(G491))),"Yes","No"))</f>
        <v/>
      </c>
      <c r="Y491">
        <f>IF(A491="","",(N(Q491)&gt;0)+(T491="Yes")+(U491="Yes")+(W491="Yes")+(X491="Yes"))</f>
        <v/>
      </c>
      <c r="Z491">
        <f>IF(A491="","",IF(G491="","Not mapped",IF(Y491=0,"OK",MID(IF(N(Q491)&gt;0,"; Cannibalisation","")&amp;IF(T491="Yes","; Too many primary keywords on URL","")&amp;IF(U491="Yes","; URL spans 2+ clusters","")&amp;IF(W491="Yes","; Intent mismatch","")&amp;IF(X491="Yes","; Ranking URL is not the target",""),3,300))))</f>
        <v/>
      </c>
      <c r="AA491">
        <f>IF(G491="","",IF(COUNTIF($G$3:G491,SUBSTITUTE(SUBSTITUTE(G491,"?","~?"),"*","~*"))=1,MAX($AA$2:AA490)+1,""))</f>
        <v/>
      </c>
      <c r="AB491">
        <f>IF(B491="","",IF(COUNTIF($B$3:B491,SUBSTITUTE(SUBSTITUTE(B491,"?","~?"),"*","~*"))=1,MAX($AB$2:AB490)+1,""))</f>
        <v/>
      </c>
    </row>
    <row r="492">
      <c r="M492">
        <f>IF(A492="","",LOWER(TRIM(SUBSTITUTE(SUBSTITUTE(A492,"?",""),"*",""))))</f>
        <v/>
      </c>
      <c r="N492">
        <f>IF(M492="","",IF(SUMPRODUCT(ISNUMBER(SEARCH(" "&amp;Settings!$L$5:$L$124&amp;" "," "&amp;M492&amp;" "))*(Settings!$K$5:$K$124="Navigational")*(Settings!$L$5:$L$124&lt;&gt;""))&gt;0,"Navigational",IF(SUMPRODUCT(ISNUMBER(SEARCH(" "&amp;Settings!$L$5:$L$124&amp;" "," "&amp;M492&amp;" "))*(Settings!$K$5:$K$124="Transactional")*(Settings!$L$5:$L$124&lt;&gt;""))&gt;0,"Transactional",IF(SUMPRODUCT(ISNUMBER(SEARCH(" "&amp;Settings!$L$5:$L$124&amp;" "," "&amp;M492&amp;" "))*(Settings!$K$5:$K$124="Commercial")*(Settings!$L$5:$L$124&lt;&gt;""))&gt;0,"Commercial",IF(SUMPRODUCT(ISNUMBER(SEARCH(" "&amp;Settings!$L$5:$L$124&amp;" "," "&amp;M492&amp;" "))*(Settings!$K$5:$K$124="Informational")*(Settings!$L$5:$L$124&lt;&gt;""))&gt;0,"Informational","Unclassified")))))</f>
        <v/>
      </c>
      <c r="O492">
        <f>IF(A492="","",IF(K492&lt;&gt;"",PROPER(K492),N492))</f>
        <v/>
      </c>
      <c r="P492">
        <f>IF(A492="","",ROUND(Settings!$B$5*MIN(1,LOG10(N(C492)+1)/LOG10(Settings!$B$7+1))+Settings!$B$6*(1-MIN(100,IF(D492="",50,N(D492)))/100)+IFERROR(INDEX(Settings!$B$10:$B$14,MATCH(O492,Settings!$A$10:$A$14,0)),0),0))</f>
        <v/>
      </c>
      <c r="Q492">
        <f>IF(OR(A492="",G492=""),"",COUNTIFS($M$3:$M$1002,M492,$G$3:$G$1002,"&lt;&gt;"&amp;SUBSTITUTE(SUBSTITUTE(G492,"?","~?"),"*","~*"),$G$3:$G$1002,"?*"))</f>
        <v/>
      </c>
      <c r="R492">
        <f>IF(Q492="","",IF(Q492&gt;0,"Yes","No"))</f>
        <v/>
      </c>
      <c r="S492">
        <f>IF(G492="","",COUNTIFS($G$3:$G$1002,SUBSTITUTE(SUBSTITUTE(G492,"?","~?"),"*","~*"),$J$3:$J$1002,"Primary"))</f>
        <v/>
      </c>
      <c r="T492">
        <f>IF(S492="","",IF(S492&gt;Settings!$B$4,"Yes","No"))</f>
        <v/>
      </c>
      <c r="U492">
        <f>IF(OR(G492="",B492=""),"",IF(COUNTIFS($G$3:$G$1002,SUBSTITUTE(SUBSTITUTE(G492,"?","~?"),"*","~*"),$B$3:$B$1002,"&lt;&gt;"&amp;SUBSTITUTE(SUBSTITUTE(B492,"?","~?"),"*","~*"),$B$3:$B$1002,"?*")&gt;0,"Yes","No"))</f>
        <v/>
      </c>
      <c r="V492">
        <f>IF(OR(G492="",I492="",O492="",O492="Unclassified"),"",IFERROR(INDEX(Settings!$E$5:$H$16,MATCH(I492,Settings!$D$5:$D$16,0),MATCH(O492,Settings!$E$4:$H$4,0)),"Check"))</f>
        <v/>
      </c>
      <c r="W492">
        <f>IF(V492="","",IF(V492="No","Yes","No"))</f>
        <v/>
      </c>
      <c r="X492">
        <f>IF(OR(E492="",G492=""),"",IF(LOWER(IF(RIGHT(TRIM(E492),1)="/",LEFT(TRIM(E492),LEN(TRIM(E492))-1),TRIM(E492)))&lt;&gt;LOWER(IF(RIGHT(TRIM(G492),1)="/",LEFT(TRIM(G492),LEN(TRIM(G492))-1),TRIM(G492))),"Yes","No"))</f>
        <v/>
      </c>
      <c r="Y492">
        <f>IF(A492="","",(N(Q492)&gt;0)+(T492="Yes")+(U492="Yes")+(W492="Yes")+(X492="Yes"))</f>
        <v/>
      </c>
      <c r="Z492">
        <f>IF(A492="","",IF(G492="","Not mapped",IF(Y492=0,"OK",MID(IF(N(Q492)&gt;0,"; Cannibalisation","")&amp;IF(T492="Yes","; Too many primary keywords on URL","")&amp;IF(U492="Yes","; URL spans 2+ clusters","")&amp;IF(W492="Yes","; Intent mismatch","")&amp;IF(X492="Yes","; Ranking URL is not the target",""),3,300))))</f>
        <v/>
      </c>
      <c r="AA492">
        <f>IF(G492="","",IF(COUNTIF($G$3:G492,SUBSTITUTE(SUBSTITUTE(G492,"?","~?"),"*","~*"))=1,MAX($AA$2:AA491)+1,""))</f>
        <v/>
      </c>
      <c r="AB492">
        <f>IF(B492="","",IF(COUNTIF($B$3:B492,SUBSTITUTE(SUBSTITUTE(B492,"?","~?"),"*","~*"))=1,MAX($AB$2:AB491)+1,""))</f>
        <v/>
      </c>
    </row>
    <row r="493">
      <c r="M493">
        <f>IF(A493="","",LOWER(TRIM(SUBSTITUTE(SUBSTITUTE(A493,"?",""),"*",""))))</f>
        <v/>
      </c>
      <c r="N493">
        <f>IF(M493="","",IF(SUMPRODUCT(ISNUMBER(SEARCH(" "&amp;Settings!$L$5:$L$124&amp;" "," "&amp;M493&amp;" "))*(Settings!$K$5:$K$124="Navigational")*(Settings!$L$5:$L$124&lt;&gt;""))&gt;0,"Navigational",IF(SUMPRODUCT(ISNUMBER(SEARCH(" "&amp;Settings!$L$5:$L$124&amp;" "," "&amp;M493&amp;" "))*(Settings!$K$5:$K$124="Transactional")*(Settings!$L$5:$L$124&lt;&gt;""))&gt;0,"Transactional",IF(SUMPRODUCT(ISNUMBER(SEARCH(" "&amp;Settings!$L$5:$L$124&amp;" "," "&amp;M493&amp;" "))*(Settings!$K$5:$K$124="Commercial")*(Settings!$L$5:$L$124&lt;&gt;""))&gt;0,"Commercial",IF(SUMPRODUCT(ISNUMBER(SEARCH(" "&amp;Settings!$L$5:$L$124&amp;" "," "&amp;M493&amp;" "))*(Settings!$K$5:$K$124="Informational")*(Settings!$L$5:$L$124&lt;&gt;""))&gt;0,"Informational","Unclassified")))))</f>
        <v/>
      </c>
      <c r="O493">
        <f>IF(A493="","",IF(K493&lt;&gt;"",PROPER(K493),N493))</f>
        <v/>
      </c>
      <c r="P493">
        <f>IF(A493="","",ROUND(Settings!$B$5*MIN(1,LOG10(N(C493)+1)/LOG10(Settings!$B$7+1))+Settings!$B$6*(1-MIN(100,IF(D493="",50,N(D493)))/100)+IFERROR(INDEX(Settings!$B$10:$B$14,MATCH(O493,Settings!$A$10:$A$14,0)),0),0))</f>
        <v/>
      </c>
      <c r="Q493">
        <f>IF(OR(A493="",G493=""),"",COUNTIFS($M$3:$M$1002,M493,$G$3:$G$1002,"&lt;&gt;"&amp;SUBSTITUTE(SUBSTITUTE(G493,"?","~?"),"*","~*"),$G$3:$G$1002,"?*"))</f>
        <v/>
      </c>
      <c r="R493">
        <f>IF(Q493="","",IF(Q493&gt;0,"Yes","No"))</f>
        <v/>
      </c>
      <c r="S493">
        <f>IF(G493="","",COUNTIFS($G$3:$G$1002,SUBSTITUTE(SUBSTITUTE(G493,"?","~?"),"*","~*"),$J$3:$J$1002,"Primary"))</f>
        <v/>
      </c>
      <c r="T493">
        <f>IF(S493="","",IF(S493&gt;Settings!$B$4,"Yes","No"))</f>
        <v/>
      </c>
      <c r="U493">
        <f>IF(OR(G493="",B493=""),"",IF(COUNTIFS($G$3:$G$1002,SUBSTITUTE(SUBSTITUTE(G493,"?","~?"),"*","~*"),$B$3:$B$1002,"&lt;&gt;"&amp;SUBSTITUTE(SUBSTITUTE(B493,"?","~?"),"*","~*"),$B$3:$B$1002,"?*")&gt;0,"Yes","No"))</f>
        <v/>
      </c>
      <c r="V493">
        <f>IF(OR(G493="",I493="",O493="",O493="Unclassified"),"",IFERROR(INDEX(Settings!$E$5:$H$16,MATCH(I493,Settings!$D$5:$D$16,0),MATCH(O493,Settings!$E$4:$H$4,0)),"Check"))</f>
        <v/>
      </c>
      <c r="W493">
        <f>IF(V493="","",IF(V493="No","Yes","No"))</f>
        <v/>
      </c>
      <c r="X493">
        <f>IF(OR(E493="",G493=""),"",IF(LOWER(IF(RIGHT(TRIM(E493),1)="/",LEFT(TRIM(E493),LEN(TRIM(E493))-1),TRIM(E493)))&lt;&gt;LOWER(IF(RIGHT(TRIM(G493),1)="/",LEFT(TRIM(G493),LEN(TRIM(G493))-1),TRIM(G493))),"Yes","No"))</f>
        <v/>
      </c>
      <c r="Y493">
        <f>IF(A493="","",(N(Q493)&gt;0)+(T493="Yes")+(U493="Yes")+(W493="Yes")+(X493="Yes"))</f>
        <v/>
      </c>
      <c r="Z493">
        <f>IF(A493="","",IF(G493="","Not mapped",IF(Y493=0,"OK",MID(IF(N(Q493)&gt;0,"; Cannibalisation","")&amp;IF(T493="Yes","; Too many primary keywords on URL","")&amp;IF(U493="Yes","; URL spans 2+ clusters","")&amp;IF(W493="Yes","; Intent mismatch","")&amp;IF(X493="Yes","; Ranking URL is not the target",""),3,300))))</f>
        <v/>
      </c>
      <c r="AA493">
        <f>IF(G493="","",IF(COUNTIF($G$3:G493,SUBSTITUTE(SUBSTITUTE(G493,"?","~?"),"*","~*"))=1,MAX($AA$2:AA492)+1,""))</f>
        <v/>
      </c>
      <c r="AB493">
        <f>IF(B493="","",IF(COUNTIF($B$3:B493,SUBSTITUTE(SUBSTITUTE(B493,"?","~?"),"*","~*"))=1,MAX($AB$2:AB492)+1,""))</f>
        <v/>
      </c>
    </row>
    <row r="494">
      <c r="M494">
        <f>IF(A494="","",LOWER(TRIM(SUBSTITUTE(SUBSTITUTE(A494,"?",""),"*",""))))</f>
        <v/>
      </c>
      <c r="N494">
        <f>IF(M494="","",IF(SUMPRODUCT(ISNUMBER(SEARCH(" "&amp;Settings!$L$5:$L$124&amp;" "," "&amp;M494&amp;" "))*(Settings!$K$5:$K$124="Navigational")*(Settings!$L$5:$L$124&lt;&gt;""))&gt;0,"Navigational",IF(SUMPRODUCT(ISNUMBER(SEARCH(" "&amp;Settings!$L$5:$L$124&amp;" "," "&amp;M494&amp;" "))*(Settings!$K$5:$K$124="Transactional")*(Settings!$L$5:$L$124&lt;&gt;""))&gt;0,"Transactional",IF(SUMPRODUCT(ISNUMBER(SEARCH(" "&amp;Settings!$L$5:$L$124&amp;" "," "&amp;M494&amp;" "))*(Settings!$K$5:$K$124="Commercial")*(Settings!$L$5:$L$124&lt;&gt;""))&gt;0,"Commercial",IF(SUMPRODUCT(ISNUMBER(SEARCH(" "&amp;Settings!$L$5:$L$124&amp;" "," "&amp;M494&amp;" "))*(Settings!$K$5:$K$124="Informational")*(Settings!$L$5:$L$124&lt;&gt;""))&gt;0,"Informational","Unclassified")))))</f>
        <v/>
      </c>
      <c r="O494">
        <f>IF(A494="","",IF(K494&lt;&gt;"",PROPER(K494),N494))</f>
        <v/>
      </c>
      <c r="P494">
        <f>IF(A494="","",ROUND(Settings!$B$5*MIN(1,LOG10(N(C494)+1)/LOG10(Settings!$B$7+1))+Settings!$B$6*(1-MIN(100,IF(D494="",50,N(D494)))/100)+IFERROR(INDEX(Settings!$B$10:$B$14,MATCH(O494,Settings!$A$10:$A$14,0)),0),0))</f>
        <v/>
      </c>
      <c r="Q494">
        <f>IF(OR(A494="",G494=""),"",COUNTIFS($M$3:$M$1002,M494,$G$3:$G$1002,"&lt;&gt;"&amp;SUBSTITUTE(SUBSTITUTE(G494,"?","~?"),"*","~*"),$G$3:$G$1002,"?*"))</f>
        <v/>
      </c>
      <c r="R494">
        <f>IF(Q494="","",IF(Q494&gt;0,"Yes","No"))</f>
        <v/>
      </c>
      <c r="S494">
        <f>IF(G494="","",COUNTIFS($G$3:$G$1002,SUBSTITUTE(SUBSTITUTE(G494,"?","~?"),"*","~*"),$J$3:$J$1002,"Primary"))</f>
        <v/>
      </c>
      <c r="T494">
        <f>IF(S494="","",IF(S494&gt;Settings!$B$4,"Yes","No"))</f>
        <v/>
      </c>
      <c r="U494">
        <f>IF(OR(G494="",B494=""),"",IF(COUNTIFS($G$3:$G$1002,SUBSTITUTE(SUBSTITUTE(G494,"?","~?"),"*","~*"),$B$3:$B$1002,"&lt;&gt;"&amp;SUBSTITUTE(SUBSTITUTE(B494,"?","~?"),"*","~*"),$B$3:$B$1002,"?*")&gt;0,"Yes","No"))</f>
        <v/>
      </c>
      <c r="V494">
        <f>IF(OR(G494="",I494="",O494="",O494="Unclassified"),"",IFERROR(INDEX(Settings!$E$5:$H$16,MATCH(I494,Settings!$D$5:$D$16,0),MATCH(O494,Settings!$E$4:$H$4,0)),"Check"))</f>
        <v/>
      </c>
      <c r="W494">
        <f>IF(V494="","",IF(V494="No","Yes","No"))</f>
        <v/>
      </c>
      <c r="X494">
        <f>IF(OR(E494="",G494=""),"",IF(LOWER(IF(RIGHT(TRIM(E494),1)="/",LEFT(TRIM(E494),LEN(TRIM(E494))-1),TRIM(E494)))&lt;&gt;LOWER(IF(RIGHT(TRIM(G494),1)="/",LEFT(TRIM(G494),LEN(TRIM(G494))-1),TRIM(G494))),"Yes","No"))</f>
        <v/>
      </c>
      <c r="Y494">
        <f>IF(A494="","",(N(Q494)&gt;0)+(T494="Yes")+(U494="Yes")+(W494="Yes")+(X494="Yes"))</f>
        <v/>
      </c>
      <c r="Z494">
        <f>IF(A494="","",IF(G494="","Not mapped",IF(Y494=0,"OK",MID(IF(N(Q494)&gt;0,"; Cannibalisation","")&amp;IF(T494="Yes","; Too many primary keywords on URL","")&amp;IF(U494="Yes","; URL spans 2+ clusters","")&amp;IF(W494="Yes","; Intent mismatch","")&amp;IF(X494="Yes","; Ranking URL is not the target",""),3,300))))</f>
        <v/>
      </c>
      <c r="AA494">
        <f>IF(G494="","",IF(COUNTIF($G$3:G494,SUBSTITUTE(SUBSTITUTE(G494,"?","~?"),"*","~*"))=1,MAX($AA$2:AA493)+1,""))</f>
        <v/>
      </c>
      <c r="AB494">
        <f>IF(B494="","",IF(COUNTIF($B$3:B494,SUBSTITUTE(SUBSTITUTE(B494,"?","~?"),"*","~*"))=1,MAX($AB$2:AB493)+1,""))</f>
        <v/>
      </c>
    </row>
    <row r="495">
      <c r="M495">
        <f>IF(A495="","",LOWER(TRIM(SUBSTITUTE(SUBSTITUTE(A495,"?",""),"*",""))))</f>
        <v/>
      </c>
      <c r="N495">
        <f>IF(M495="","",IF(SUMPRODUCT(ISNUMBER(SEARCH(" "&amp;Settings!$L$5:$L$124&amp;" "," "&amp;M495&amp;" "))*(Settings!$K$5:$K$124="Navigational")*(Settings!$L$5:$L$124&lt;&gt;""))&gt;0,"Navigational",IF(SUMPRODUCT(ISNUMBER(SEARCH(" "&amp;Settings!$L$5:$L$124&amp;" "," "&amp;M495&amp;" "))*(Settings!$K$5:$K$124="Transactional")*(Settings!$L$5:$L$124&lt;&gt;""))&gt;0,"Transactional",IF(SUMPRODUCT(ISNUMBER(SEARCH(" "&amp;Settings!$L$5:$L$124&amp;" "," "&amp;M495&amp;" "))*(Settings!$K$5:$K$124="Commercial")*(Settings!$L$5:$L$124&lt;&gt;""))&gt;0,"Commercial",IF(SUMPRODUCT(ISNUMBER(SEARCH(" "&amp;Settings!$L$5:$L$124&amp;" "," "&amp;M495&amp;" "))*(Settings!$K$5:$K$124="Informational")*(Settings!$L$5:$L$124&lt;&gt;""))&gt;0,"Informational","Unclassified")))))</f>
        <v/>
      </c>
      <c r="O495">
        <f>IF(A495="","",IF(K495&lt;&gt;"",PROPER(K495),N495))</f>
        <v/>
      </c>
      <c r="P495">
        <f>IF(A495="","",ROUND(Settings!$B$5*MIN(1,LOG10(N(C495)+1)/LOG10(Settings!$B$7+1))+Settings!$B$6*(1-MIN(100,IF(D495="",50,N(D495)))/100)+IFERROR(INDEX(Settings!$B$10:$B$14,MATCH(O495,Settings!$A$10:$A$14,0)),0),0))</f>
        <v/>
      </c>
      <c r="Q495">
        <f>IF(OR(A495="",G495=""),"",COUNTIFS($M$3:$M$1002,M495,$G$3:$G$1002,"&lt;&gt;"&amp;SUBSTITUTE(SUBSTITUTE(G495,"?","~?"),"*","~*"),$G$3:$G$1002,"?*"))</f>
        <v/>
      </c>
      <c r="R495">
        <f>IF(Q495="","",IF(Q495&gt;0,"Yes","No"))</f>
        <v/>
      </c>
      <c r="S495">
        <f>IF(G495="","",COUNTIFS($G$3:$G$1002,SUBSTITUTE(SUBSTITUTE(G495,"?","~?"),"*","~*"),$J$3:$J$1002,"Primary"))</f>
        <v/>
      </c>
      <c r="T495">
        <f>IF(S495="","",IF(S495&gt;Settings!$B$4,"Yes","No"))</f>
        <v/>
      </c>
      <c r="U495">
        <f>IF(OR(G495="",B495=""),"",IF(COUNTIFS($G$3:$G$1002,SUBSTITUTE(SUBSTITUTE(G495,"?","~?"),"*","~*"),$B$3:$B$1002,"&lt;&gt;"&amp;SUBSTITUTE(SUBSTITUTE(B495,"?","~?"),"*","~*"),$B$3:$B$1002,"?*")&gt;0,"Yes","No"))</f>
        <v/>
      </c>
      <c r="V495">
        <f>IF(OR(G495="",I495="",O495="",O495="Unclassified"),"",IFERROR(INDEX(Settings!$E$5:$H$16,MATCH(I495,Settings!$D$5:$D$16,0),MATCH(O495,Settings!$E$4:$H$4,0)),"Check"))</f>
        <v/>
      </c>
      <c r="W495">
        <f>IF(V495="","",IF(V495="No","Yes","No"))</f>
        <v/>
      </c>
      <c r="X495">
        <f>IF(OR(E495="",G495=""),"",IF(LOWER(IF(RIGHT(TRIM(E495),1)="/",LEFT(TRIM(E495),LEN(TRIM(E495))-1),TRIM(E495)))&lt;&gt;LOWER(IF(RIGHT(TRIM(G495),1)="/",LEFT(TRIM(G495),LEN(TRIM(G495))-1),TRIM(G495))),"Yes","No"))</f>
        <v/>
      </c>
      <c r="Y495">
        <f>IF(A495="","",(N(Q495)&gt;0)+(T495="Yes")+(U495="Yes")+(W495="Yes")+(X495="Yes"))</f>
        <v/>
      </c>
      <c r="Z495">
        <f>IF(A495="","",IF(G495="","Not mapped",IF(Y495=0,"OK",MID(IF(N(Q495)&gt;0,"; Cannibalisation","")&amp;IF(T495="Yes","; Too many primary keywords on URL","")&amp;IF(U495="Yes","; URL spans 2+ clusters","")&amp;IF(W495="Yes","; Intent mismatch","")&amp;IF(X495="Yes","; Ranking URL is not the target",""),3,300))))</f>
        <v/>
      </c>
      <c r="AA495">
        <f>IF(G495="","",IF(COUNTIF($G$3:G495,SUBSTITUTE(SUBSTITUTE(G495,"?","~?"),"*","~*"))=1,MAX($AA$2:AA494)+1,""))</f>
        <v/>
      </c>
      <c r="AB495">
        <f>IF(B495="","",IF(COUNTIF($B$3:B495,SUBSTITUTE(SUBSTITUTE(B495,"?","~?"),"*","~*"))=1,MAX($AB$2:AB494)+1,""))</f>
        <v/>
      </c>
    </row>
    <row r="496">
      <c r="M496">
        <f>IF(A496="","",LOWER(TRIM(SUBSTITUTE(SUBSTITUTE(A496,"?",""),"*",""))))</f>
        <v/>
      </c>
      <c r="N496">
        <f>IF(M496="","",IF(SUMPRODUCT(ISNUMBER(SEARCH(" "&amp;Settings!$L$5:$L$124&amp;" "," "&amp;M496&amp;" "))*(Settings!$K$5:$K$124="Navigational")*(Settings!$L$5:$L$124&lt;&gt;""))&gt;0,"Navigational",IF(SUMPRODUCT(ISNUMBER(SEARCH(" "&amp;Settings!$L$5:$L$124&amp;" "," "&amp;M496&amp;" "))*(Settings!$K$5:$K$124="Transactional")*(Settings!$L$5:$L$124&lt;&gt;""))&gt;0,"Transactional",IF(SUMPRODUCT(ISNUMBER(SEARCH(" "&amp;Settings!$L$5:$L$124&amp;" "," "&amp;M496&amp;" "))*(Settings!$K$5:$K$124="Commercial")*(Settings!$L$5:$L$124&lt;&gt;""))&gt;0,"Commercial",IF(SUMPRODUCT(ISNUMBER(SEARCH(" "&amp;Settings!$L$5:$L$124&amp;" "," "&amp;M496&amp;" "))*(Settings!$K$5:$K$124="Informational")*(Settings!$L$5:$L$124&lt;&gt;""))&gt;0,"Informational","Unclassified")))))</f>
        <v/>
      </c>
      <c r="O496">
        <f>IF(A496="","",IF(K496&lt;&gt;"",PROPER(K496),N496))</f>
        <v/>
      </c>
      <c r="P496">
        <f>IF(A496="","",ROUND(Settings!$B$5*MIN(1,LOG10(N(C496)+1)/LOG10(Settings!$B$7+1))+Settings!$B$6*(1-MIN(100,IF(D496="",50,N(D496)))/100)+IFERROR(INDEX(Settings!$B$10:$B$14,MATCH(O496,Settings!$A$10:$A$14,0)),0),0))</f>
        <v/>
      </c>
      <c r="Q496">
        <f>IF(OR(A496="",G496=""),"",COUNTIFS($M$3:$M$1002,M496,$G$3:$G$1002,"&lt;&gt;"&amp;SUBSTITUTE(SUBSTITUTE(G496,"?","~?"),"*","~*"),$G$3:$G$1002,"?*"))</f>
        <v/>
      </c>
      <c r="R496">
        <f>IF(Q496="","",IF(Q496&gt;0,"Yes","No"))</f>
        <v/>
      </c>
      <c r="S496">
        <f>IF(G496="","",COUNTIFS($G$3:$G$1002,SUBSTITUTE(SUBSTITUTE(G496,"?","~?"),"*","~*"),$J$3:$J$1002,"Primary"))</f>
        <v/>
      </c>
      <c r="T496">
        <f>IF(S496="","",IF(S496&gt;Settings!$B$4,"Yes","No"))</f>
        <v/>
      </c>
      <c r="U496">
        <f>IF(OR(G496="",B496=""),"",IF(COUNTIFS($G$3:$G$1002,SUBSTITUTE(SUBSTITUTE(G496,"?","~?"),"*","~*"),$B$3:$B$1002,"&lt;&gt;"&amp;SUBSTITUTE(SUBSTITUTE(B496,"?","~?"),"*","~*"),$B$3:$B$1002,"?*")&gt;0,"Yes","No"))</f>
        <v/>
      </c>
      <c r="V496">
        <f>IF(OR(G496="",I496="",O496="",O496="Unclassified"),"",IFERROR(INDEX(Settings!$E$5:$H$16,MATCH(I496,Settings!$D$5:$D$16,0),MATCH(O496,Settings!$E$4:$H$4,0)),"Check"))</f>
        <v/>
      </c>
      <c r="W496">
        <f>IF(V496="","",IF(V496="No","Yes","No"))</f>
        <v/>
      </c>
      <c r="X496">
        <f>IF(OR(E496="",G496=""),"",IF(LOWER(IF(RIGHT(TRIM(E496),1)="/",LEFT(TRIM(E496),LEN(TRIM(E496))-1),TRIM(E496)))&lt;&gt;LOWER(IF(RIGHT(TRIM(G496),1)="/",LEFT(TRIM(G496),LEN(TRIM(G496))-1),TRIM(G496))),"Yes","No"))</f>
        <v/>
      </c>
      <c r="Y496">
        <f>IF(A496="","",(N(Q496)&gt;0)+(T496="Yes")+(U496="Yes")+(W496="Yes")+(X496="Yes"))</f>
        <v/>
      </c>
      <c r="Z496">
        <f>IF(A496="","",IF(G496="","Not mapped",IF(Y496=0,"OK",MID(IF(N(Q496)&gt;0,"; Cannibalisation","")&amp;IF(T496="Yes","; Too many primary keywords on URL","")&amp;IF(U496="Yes","; URL spans 2+ clusters","")&amp;IF(W496="Yes","; Intent mismatch","")&amp;IF(X496="Yes","; Ranking URL is not the target",""),3,300))))</f>
        <v/>
      </c>
      <c r="AA496">
        <f>IF(G496="","",IF(COUNTIF($G$3:G496,SUBSTITUTE(SUBSTITUTE(G496,"?","~?"),"*","~*"))=1,MAX($AA$2:AA495)+1,""))</f>
        <v/>
      </c>
      <c r="AB496">
        <f>IF(B496="","",IF(COUNTIF($B$3:B496,SUBSTITUTE(SUBSTITUTE(B496,"?","~?"),"*","~*"))=1,MAX($AB$2:AB495)+1,""))</f>
        <v/>
      </c>
    </row>
    <row r="497">
      <c r="M497">
        <f>IF(A497="","",LOWER(TRIM(SUBSTITUTE(SUBSTITUTE(A497,"?",""),"*",""))))</f>
        <v/>
      </c>
      <c r="N497">
        <f>IF(M497="","",IF(SUMPRODUCT(ISNUMBER(SEARCH(" "&amp;Settings!$L$5:$L$124&amp;" "," "&amp;M497&amp;" "))*(Settings!$K$5:$K$124="Navigational")*(Settings!$L$5:$L$124&lt;&gt;""))&gt;0,"Navigational",IF(SUMPRODUCT(ISNUMBER(SEARCH(" "&amp;Settings!$L$5:$L$124&amp;" "," "&amp;M497&amp;" "))*(Settings!$K$5:$K$124="Transactional")*(Settings!$L$5:$L$124&lt;&gt;""))&gt;0,"Transactional",IF(SUMPRODUCT(ISNUMBER(SEARCH(" "&amp;Settings!$L$5:$L$124&amp;" "," "&amp;M497&amp;" "))*(Settings!$K$5:$K$124="Commercial")*(Settings!$L$5:$L$124&lt;&gt;""))&gt;0,"Commercial",IF(SUMPRODUCT(ISNUMBER(SEARCH(" "&amp;Settings!$L$5:$L$124&amp;" "," "&amp;M497&amp;" "))*(Settings!$K$5:$K$124="Informational")*(Settings!$L$5:$L$124&lt;&gt;""))&gt;0,"Informational","Unclassified")))))</f>
        <v/>
      </c>
      <c r="O497">
        <f>IF(A497="","",IF(K497&lt;&gt;"",PROPER(K497),N497))</f>
        <v/>
      </c>
      <c r="P497">
        <f>IF(A497="","",ROUND(Settings!$B$5*MIN(1,LOG10(N(C497)+1)/LOG10(Settings!$B$7+1))+Settings!$B$6*(1-MIN(100,IF(D497="",50,N(D497)))/100)+IFERROR(INDEX(Settings!$B$10:$B$14,MATCH(O497,Settings!$A$10:$A$14,0)),0),0))</f>
        <v/>
      </c>
      <c r="Q497">
        <f>IF(OR(A497="",G497=""),"",COUNTIFS($M$3:$M$1002,M497,$G$3:$G$1002,"&lt;&gt;"&amp;SUBSTITUTE(SUBSTITUTE(G497,"?","~?"),"*","~*"),$G$3:$G$1002,"?*"))</f>
        <v/>
      </c>
      <c r="R497">
        <f>IF(Q497="","",IF(Q497&gt;0,"Yes","No"))</f>
        <v/>
      </c>
      <c r="S497">
        <f>IF(G497="","",COUNTIFS($G$3:$G$1002,SUBSTITUTE(SUBSTITUTE(G497,"?","~?"),"*","~*"),$J$3:$J$1002,"Primary"))</f>
        <v/>
      </c>
      <c r="T497">
        <f>IF(S497="","",IF(S497&gt;Settings!$B$4,"Yes","No"))</f>
        <v/>
      </c>
      <c r="U497">
        <f>IF(OR(G497="",B497=""),"",IF(COUNTIFS($G$3:$G$1002,SUBSTITUTE(SUBSTITUTE(G497,"?","~?"),"*","~*"),$B$3:$B$1002,"&lt;&gt;"&amp;SUBSTITUTE(SUBSTITUTE(B497,"?","~?"),"*","~*"),$B$3:$B$1002,"?*")&gt;0,"Yes","No"))</f>
        <v/>
      </c>
      <c r="V497">
        <f>IF(OR(G497="",I497="",O497="",O497="Unclassified"),"",IFERROR(INDEX(Settings!$E$5:$H$16,MATCH(I497,Settings!$D$5:$D$16,0),MATCH(O497,Settings!$E$4:$H$4,0)),"Check"))</f>
        <v/>
      </c>
      <c r="W497">
        <f>IF(V497="","",IF(V497="No","Yes","No"))</f>
        <v/>
      </c>
      <c r="X497">
        <f>IF(OR(E497="",G497=""),"",IF(LOWER(IF(RIGHT(TRIM(E497),1)="/",LEFT(TRIM(E497),LEN(TRIM(E497))-1),TRIM(E497)))&lt;&gt;LOWER(IF(RIGHT(TRIM(G497),1)="/",LEFT(TRIM(G497),LEN(TRIM(G497))-1),TRIM(G497))),"Yes","No"))</f>
        <v/>
      </c>
      <c r="Y497">
        <f>IF(A497="","",(N(Q497)&gt;0)+(T497="Yes")+(U497="Yes")+(W497="Yes")+(X497="Yes"))</f>
        <v/>
      </c>
      <c r="Z497">
        <f>IF(A497="","",IF(G497="","Not mapped",IF(Y497=0,"OK",MID(IF(N(Q497)&gt;0,"; Cannibalisation","")&amp;IF(T497="Yes","; Too many primary keywords on URL","")&amp;IF(U497="Yes","; URL spans 2+ clusters","")&amp;IF(W497="Yes","; Intent mismatch","")&amp;IF(X497="Yes","; Ranking URL is not the target",""),3,300))))</f>
        <v/>
      </c>
      <c r="AA497">
        <f>IF(G497="","",IF(COUNTIF($G$3:G497,SUBSTITUTE(SUBSTITUTE(G497,"?","~?"),"*","~*"))=1,MAX($AA$2:AA496)+1,""))</f>
        <v/>
      </c>
      <c r="AB497">
        <f>IF(B497="","",IF(COUNTIF($B$3:B497,SUBSTITUTE(SUBSTITUTE(B497,"?","~?"),"*","~*"))=1,MAX($AB$2:AB496)+1,""))</f>
        <v/>
      </c>
    </row>
    <row r="498">
      <c r="M498">
        <f>IF(A498="","",LOWER(TRIM(SUBSTITUTE(SUBSTITUTE(A498,"?",""),"*",""))))</f>
        <v/>
      </c>
      <c r="N498">
        <f>IF(M498="","",IF(SUMPRODUCT(ISNUMBER(SEARCH(" "&amp;Settings!$L$5:$L$124&amp;" "," "&amp;M498&amp;" "))*(Settings!$K$5:$K$124="Navigational")*(Settings!$L$5:$L$124&lt;&gt;""))&gt;0,"Navigational",IF(SUMPRODUCT(ISNUMBER(SEARCH(" "&amp;Settings!$L$5:$L$124&amp;" "," "&amp;M498&amp;" "))*(Settings!$K$5:$K$124="Transactional")*(Settings!$L$5:$L$124&lt;&gt;""))&gt;0,"Transactional",IF(SUMPRODUCT(ISNUMBER(SEARCH(" "&amp;Settings!$L$5:$L$124&amp;" "," "&amp;M498&amp;" "))*(Settings!$K$5:$K$124="Commercial")*(Settings!$L$5:$L$124&lt;&gt;""))&gt;0,"Commercial",IF(SUMPRODUCT(ISNUMBER(SEARCH(" "&amp;Settings!$L$5:$L$124&amp;" "," "&amp;M498&amp;" "))*(Settings!$K$5:$K$124="Informational")*(Settings!$L$5:$L$124&lt;&gt;""))&gt;0,"Informational","Unclassified")))))</f>
        <v/>
      </c>
      <c r="O498">
        <f>IF(A498="","",IF(K498&lt;&gt;"",PROPER(K498),N498))</f>
        <v/>
      </c>
      <c r="P498">
        <f>IF(A498="","",ROUND(Settings!$B$5*MIN(1,LOG10(N(C498)+1)/LOG10(Settings!$B$7+1))+Settings!$B$6*(1-MIN(100,IF(D498="",50,N(D498)))/100)+IFERROR(INDEX(Settings!$B$10:$B$14,MATCH(O498,Settings!$A$10:$A$14,0)),0),0))</f>
        <v/>
      </c>
      <c r="Q498">
        <f>IF(OR(A498="",G498=""),"",COUNTIFS($M$3:$M$1002,M498,$G$3:$G$1002,"&lt;&gt;"&amp;SUBSTITUTE(SUBSTITUTE(G498,"?","~?"),"*","~*"),$G$3:$G$1002,"?*"))</f>
        <v/>
      </c>
      <c r="R498">
        <f>IF(Q498="","",IF(Q498&gt;0,"Yes","No"))</f>
        <v/>
      </c>
      <c r="S498">
        <f>IF(G498="","",COUNTIFS($G$3:$G$1002,SUBSTITUTE(SUBSTITUTE(G498,"?","~?"),"*","~*"),$J$3:$J$1002,"Primary"))</f>
        <v/>
      </c>
      <c r="T498">
        <f>IF(S498="","",IF(S498&gt;Settings!$B$4,"Yes","No"))</f>
        <v/>
      </c>
      <c r="U498">
        <f>IF(OR(G498="",B498=""),"",IF(COUNTIFS($G$3:$G$1002,SUBSTITUTE(SUBSTITUTE(G498,"?","~?"),"*","~*"),$B$3:$B$1002,"&lt;&gt;"&amp;SUBSTITUTE(SUBSTITUTE(B498,"?","~?"),"*","~*"),$B$3:$B$1002,"?*")&gt;0,"Yes","No"))</f>
        <v/>
      </c>
      <c r="V498">
        <f>IF(OR(G498="",I498="",O498="",O498="Unclassified"),"",IFERROR(INDEX(Settings!$E$5:$H$16,MATCH(I498,Settings!$D$5:$D$16,0),MATCH(O498,Settings!$E$4:$H$4,0)),"Check"))</f>
        <v/>
      </c>
      <c r="W498">
        <f>IF(V498="","",IF(V498="No","Yes","No"))</f>
        <v/>
      </c>
      <c r="X498">
        <f>IF(OR(E498="",G498=""),"",IF(LOWER(IF(RIGHT(TRIM(E498),1)="/",LEFT(TRIM(E498),LEN(TRIM(E498))-1),TRIM(E498)))&lt;&gt;LOWER(IF(RIGHT(TRIM(G498),1)="/",LEFT(TRIM(G498),LEN(TRIM(G498))-1),TRIM(G498))),"Yes","No"))</f>
        <v/>
      </c>
      <c r="Y498">
        <f>IF(A498="","",(N(Q498)&gt;0)+(T498="Yes")+(U498="Yes")+(W498="Yes")+(X498="Yes"))</f>
        <v/>
      </c>
      <c r="Z498">
        <f>IF(A498="","",IF(G498="","Not mapped",IF(Y498=0,"OK",MID(IF(N(Q498)&gt;0,"; Cannibalisation","")&amp;IF(T498="Yes","; Too many primary keywords on URL","")&amp;IF(U498="Yes","; URL spans 2+ clusters","")&amp;IF(W498="Yes","; Intent mismatch","")&amp;IF(X498="Yes","; Ranking URL is not the target",""),3,300))))</f>
        <v/>
      </c>
      <c r="AA498">
        <f>IF(G498="","",IF(COUNTIF($G$3:G498,SUBSTITUTE(SUBSTITUTE(G498,"?","~?"),"*","~*"))=1,MAX($AA$2:AA497)+1,""))</f>
        <v/>
      </c>
      <c r="AB498">
        <f>IF(B498="","",IF(COUNTIF($B$3:B498,SUBSTITUTE(SUBSTITUTE(B498,"?","~?"),"*","~*"))=1,MAX($AB$2:AB497)+1,""))</f>
        <v/>
      </c>
    </row>
    <row r="499">
      <c r="M499">
        <f>IF(A499="","",LOWER(TRIM(SUBSTITUTE(SUBSTITUTE(A499,"?",""),"*",""))))</f>
        <v/>
      </c>
      <c r="N499">
        <f>IF(M499="","",IF(SUMPRODUCT(ISNUMBER(SEARCH(" "&amp;Settings!$L$5:$L$124&amp;" "," "&amp;M499&amp;" "))*(Settings!$K$5:$K$124="Navigational")*(Settings!$L$5:$L$124&lt;&gt;""))&gt;0,"Navigational",IF(SUMPRODUCT(ISNUMBER(SEARCH(" "&amp;Settings!$L$5:$L$124&amp;" "," "&amp;M499&amp;" "))*(Settings!$K$5:$K$124="Transactional")*(Settings!$L$5:$L$124&lt;&gt;""))&gt;0,"Transactional",IF(SUMPRODUCT(ISNUMBER(SEARCH(" "&amp;Settings!$L$5:$L$124&amp;" "," "&amp;M499&amp;" "))*(Settings!$K$5:$K$124="Commercial")*(Settings!$L$5:$L$124&lt;&gt;""))&gt;0,"Commercial",IF(SUMPRODUCT(ISNUMBER(SEARCH(" "&amp;Settings!$L$5:$L$124&amp;" "," "&amp;M499&amp;" "))*(Settings!$K$5:$K$124="Informational")*(Settings!$L$5:$L$124&lt;&gt;""))&gt;0,"Informational","Unclassified")))))</f>
        <v/>
      </c>
      <c r="O499">
        <f>IF(A499="","",IF(K499&lt;&gt;"",PROPER(K499),N499))</f>
        <v/>
      </c>
      <c r="P499">
        <f>IF(A499="","",ROUND(Settings!$B$5*MIN(1,LOG10(N(C499)+1)/LOG10(Settings!$B$7+1))+Settings!$B$6*(1-MIN(100,IF(D499="",50,N(D499)))/100)+IFERROR(INDEX(Settings!$B$10:$B$14,MATCH(O499,Settings!$A$10:$A$14,0)),0),0))</f>
        <v/>
      </c>
      <c r="Q499">
        <f>IF(OR(A499="",G499=""),"",COUNTIFS($M$3:$M$1002,M499,$G$3:$G$1002,"&lt;&gt;"&amp;SUBSTITUTE(SUBSTITUTE(G499,"?","~?"),"*","~*"),$G$3:$G$1002,"?*"))</f>
        <v/>
      </c>
      <c r="R499">
        <f>IF(Q499="","",IF(Q499&gt;0,"Yes","No"))</f>
        <v/>
      </c>
      <c r="S499">
        <f>IF(G499="","",COUNTIFS($G$3:$G$1002,SUBSTITUTE(SUBSTITUTE(G499,"?","~?"),"*","~*"),$J$3:$J$1002,"Primary"))</f>
        <v/>
      </c>
      <c r="T499">
        <f>IF(S499="","",IF(S499&gt;Settings!$B$4,"Yes","No"))</f>
        <v/>
      </c>
      <c r="U499">
        <f>IF(OR(G499="",B499=""),"",IF(COUNTIFS($G$3:$G$1002,SUBSTITUTE(SUBSTITUTE(G499,"?","~?"),"*","~*"),$B$3:$B$1002,"&lt;&gt;"&amp;SUBSTITUTE(SUBSTITUTE(B499,"?","~?"),"*","~*"),$B$3:$B$1002,"?*")&gt;0,"Yes","No"))</f>
        <v/>
      </c>
      <c r="V499">
        <f>IF(OR(G499="",I499="",O499="",O499="Unclassified"),"",IFERROR(INDEX(Settings!$E$5:$H$16,MATCH(I499,Settings!$D$5:$D$16,0),MATCH(O499,Settings!$E$4:$H$4,0)),"Check"))</f>
        <v/>
      </c>
      <c r="W499">
        <f>IF(V499="","",IF(V499="No","Yes","No"))</f>
        <v/>
      </c>
      <c r="X499">
        <f>IF(OR(E499="",G499=""),"",IF(LOWER(IF(RIGHT(TRIM(E499),1)="/",LEFT(TRIM(E499),LEN(TRIM(E499))-1),TRIM(E499)))&lt;&gt;LOWER(IF(RIGHT(TRIM(G499),1)="/",LEFT(TRIM(G499),LEN(TRIM(G499))-1),TRIM(G499))),"Yes","No"))</f>
        <v/>
      </c>
      <c r="Y499">
        <f>IF(A499="","",(N(Q499)&gt;0)+(T499="Yes")+(U499="Yes")+(W499="Yes")+(X499="Yes"))</f>
        <v/>
      </c>
      <c r="Z499">
        <f>IF(A499="","",IF(G499="","Not mapped",IF(Y499=0,"OK",MID(IF(N(Q499)&gt;0,"; Cannibalisation","")&amp;IF(T499="Yes","; Too many primary keywords on URL","")&amp;IF(U499="Yes","; URL spans 2+ clusters","")&amp;IF(W499="Yes","; Intent mismatch","")&amp;IF(X499="Yes","; Ranking URL is not the target",""),3,300))))</f>
        <v/>
      </c>
      <c r="AA499">
        <f>IF(G499="","",IF(COUNTIF($G$3:G499,SUBSTITUTE(SUBSTITUTE(G499,"?","~?"),"*","~*"))=1,MAX($AA$2:AA498)+1,""))</f>
        <v/>
      </c>
      <c r="AB499">
        <f>IF(B499="","",IF(COUNTIF($B$3:B499,SUBSTITUTE(SUBSTITUTE(B499,"?","~?"),"*","~*"))=1,MAX($AB$2:AB498)+1,""))</f>
        <v/>
      </c>
    </row>
    <row r="500">
      <c r="M500">
        <f>IF(A500="","",LOWER(TRIM(SUBSTITUTE(SUBSTITUTE(A500,"?",""),"*",""))))</f>
        <v/>
      </c>
      <c r="N500">
        <f>IF(M500="","",IF(SUMPRODUCT(ISNUMBER(SEARCH(" "&amp;Settings!$L$5:$L$124&amp;" "," "&amp;M500&amp;" "))*(Settings!$K$5:$K$124="Navigational")*(Settings!$L$5:$L$124&lt;&gt;""))&gt;0,"Navigational",IF(SUMPRODUCT(ISNUMBER(SEARCH(" "&amp;Settings!$L$5:$L$124&amp;" "," "&amp;M500&amp;" "))*(Settings!$K$5:$K$124="Transactional")*(Settings!$L$5:$L$124&lt;&gt;""))&gt;0,"Transactional",IF(SUMPRODUCT(ISNUMBER(SEARCH(" "&amp;Settings!$L$5:$L$124&amp;" "," "&amp;M500&amp;" "))*(Settings!$K$5:$K$124="Commercial")*(Settings!$L$5:$L$124&lt;&gt;""))&gt;0,"Commercial",IF(SUMPRODUCT(ISNUMBER(SEARCH(" "&amp;Settings!$L$5:$L$124&amp;" "," "&amp;M500&amp;" "))*(Settings!$K$5:$K$124="Informational")*(Settings!$L$5:$L$124&lt;&gt;""))&gt;0,"Informational","Unclassified")))))</f>
        <v/>
      </c>
      <c r="O500">
        <f>IF(A500="","",IF(K500&lt;&gt;"",PROPER(K500),N500))</f>
        <v/>
      </c>
      <c r="P500">
        <f>IF(A500="","",ROUND(Settings!$B$5*MIN(1,LOG10(N(C500)+1)/LOG10(Settings!$B$7+1))+Settings!$B$6*(1-MIN(100,IF(D500="",50,N(D500)))/100)+IFERROR(INDEX(Settings!$B$10:$B$14,MATCH(O500,Settings!$A$10:$A$14,0)),0),0))</f>
        <v/>
      </c>
      <c r="Q500">
        <f>IF(OR(A500="",G500=""),"",COUNTIFS($M$3:$M$1002,M500,$G$3:$G$1002,"&lt;&gt;"&amp;SUBSTITUTE(SUBSTITUTE(G500,"?","~?"),"*","~*"),$G$3:$G$1002,"?*"))</f>
        <v/>
      </c>
      <c r="R500">
        <f>IF(Q500="","",IF(Q500&gt;0,"Yes","No"))</f>
        <v/>
      </c>
      <c r="S500">
        <f>IF(G500="","",COUNTIFS($G$3:$G$1002,SUBSTITUTE(SUBSTITUTE(G500,"?","~?"),"*","~*"),$J$3:$J$1002,"Primary"))</f>
        <v/>
      </c>
      <c r="T500">
        <f>IF(S500="","",IF(S500&gt;Settings!$B$4,"Yes","No"))</f>
        <v/>
      </c>
      <c r="U500">
        <f>IF(OR(G500="",B500=""),"",IF(COUNTIFS($G$3:$G$1002,SUBSTITUTE(SUBSTITUTE(G500,"?","~?"),"*","~*"),$B$3:$B$1002,"&lt;&gt;"&amp;SUBSTITUTE(SUBSTITUTE(B500,"?","~?"),"*","~*"),$B$3:$B$1002,"?*")&gt;0,"Yes","No"))</f>
        <v/>
      </c>
      <c r="V500">
        <f>IF(OR(G500="",I500="",O500="",O500="Unclassified"),"",IFERROR(INDEX(Settings!$E$5:$H$16,MATCH(I500,Settings!$D$5:$D$16,0),MATCH(O500,Settings!$E$4:$H$4,0)),"Check"))</f>
        <v/>
      </c>
      <c r="W500">
        <f>IF(V500="","",IF(V500="No","Yes","No"))</f>
        <v/>
      </c>
      <c r="X500">
        <f>IF(OR(E500="",G500=""),"",IF(LOWER(IF(RIGHT(TRIM(E500),1)="/",LEFT(TRIM(E500),LEN(TRIM(E500))-1),TRIM(E500)))&lt;&gt;LOWER(IF(RIGHT(TRIM(G500),1)="/",LEFT(TRIM(G500),LEN(TRIM(G500))-1),TRIM(G500))),"Yes","No"))</f>
        <v/>
      </c>
      <c r="Y500">
        <f>IF(A500="","",(N(Q500)&gt;0)+(T500="Yes")+(U500="Yes")+(W500="Yes")+(X500="Yes"))</f>
        <v/>
      </c>
      <c r="Z500">
        <f>IF(A500="","",IF(G500="","Not mapped",IF(Y500=0,"OK",MID(IF(N(Q500)&gt;0,"; Cannibalisation","")&amp;IF(T500="Yes","; Too many primary keywords on URL","")&amp;IF(U500="Yes","; URL spans 2+ clusters","")&amp;IF(W500="Yes","; Intent mismatch","")&amp;IF(X500="Yes","; Ranking URL is not the target",""),3,300))))</f>
        <v/>
      </c>
      <c r="AA500">
        <f>IF(G500="","",IF(COUNTIF($G$3:G500,SUBSTITUTE(SUBSTITUTE(G500,"?","~?"),"*","~*"))=1,MAX($AA$2:AA499)+1,""))</f>
        <v/>
      </c>
      <c r="AB500">
        <f>IF(B500="","",IF(COUNTIF($B$3:B500,SUBSTITUTE(SUBSTITUTE(B500,"?","~?"),"*","~*"))=1,MAX($AB$2:AB499)+1,""))</f>
        <v/>
      </c>
    </row>
    <row r="501">
      <c r="M501">
        <f>IF(A501="","",LOWER(TRIM(SUBSTITUTE(SUBSTITUTE(A501,"?",""),"*",""))))</f>
        <v/>
      </c>
      <c r="N501">
        <f>IF(M501="","",IF(SUMPRODUCT(ISNUMBER(SEARCH(" "&amp;Settings!$L$5:$L$124&amp;" "," "&amp;M501&amp;" "))*(Settings!$K$5:$K$124="Navigational")*(Settings!$L$5:$L$124&lt;&gt;""))&gt;0,"Navigational",IF(SUMPRODUCT(ISNUMBER(SEARCH(" "&amp;Settings!$L$5:$L$124&amp;" "," "&amp;M501&amp;" "))*(Settings!$K$5:$K$124="Transactional")*(Settings!$L$5:$L$124&lt;&gt;""))&gt;0,"Transactional",IF(SUMPRODUCT(ISNUMBER(SEARCH(" "&amp;Settings!$L$5:$L$124&amp;" "," "&amp;M501&amp;" "))*(Settings!$K$5:$K$124="Commercial")*(Settings!$L$5:$L$124&lt;&gt;""))&gt;0,"Commercial",IF(SUMPRODUCT(ISNUMBER(SEARCH(" "&amp;Settings!$L$5:$L$124&amp;" "," "&amp;M501&amp;" "))*(Settings!$K$5:$K$124="Informational")*(Settings!$L$5:$L$124&lt;&gt;""))&gt;0,"Informational","Unclassified")))))</f>
        <v/>
      </c>
      <c r="O501">
        <f>IF(A501="","",IF(K501&lt;&gt;"",PROPER(K501),N501))</f>
        <v/>
      </c>
      <c r="P501">
        <f>IF(A501="","",ROUND(Settings!$B$5*MIN(1,LOG10(N(C501)+1)/LOG10(Settings!$B$7+1))+Settings!$B$6*(1-MIN(100,IF(D501="",50,N(D501)))/100)+IFERROR(INDEX(Settings!$B$10:$B$14,MATCH(O501,Settings!$A$10:$A$14,0)),0),0))</f>
        <v/>
      </c>
      <c r="Q501">
        <f>IF(OR(A501="",G501=""),"",COUNTIFS($M$3:$M$1002,M501,$G$3:$G$1002,"&lt;&gt;"&amp;SUBSTITUTE(SUBSTITUTE(G501,"?","~?"),"*","~*"),$G$3:$G$1002,"?*"))</f>
        <v/>
      </c>
      <c r="R501">
        <f>IF(Q501="","",IF(Q501&gt;0,"Yes","No"))</f>
        <v/>
      </c>
      <c r="S501">
        <f>IF(G501="","",COUNTIFS($G$3:$G$1002,SUBSTITUTE(SUBSTITUTE(G501,"?","~?"),"*","~*"),$J$3:$J$1002,"Primary"))</f>
        <v/>
      </c>
      <c r="T501">
        <f>IF(S501="","",IF(S501&gt;Settings!$B$4,"Yes","No"))</f>
        <v/>
      </c>
      <c r="U501">
        <f>IF(OR(G501="",B501=""),"",IF(COUNTIFS($G$3:$G$1002,SUBSTITUTE(SUBSTITUTE(G501,"?","~?"),"*","~*"),$B$3:$B$1002,"&lt;&gt;"&amp;SUBSTITUTE(SUBSTITUTE(B501,"?","~?"),"*","~*"),$B$3:$B$1002,"?*")&gt;0,"Yes","No"))</f>
        <v/>
      </c>
      <c r="V501">
        <f>IF(OR(G501="",I501="",O501="",O501="Unclassified"),"",IFERROR(INDEX(Settings!$E$5:$H$16,MATCH(I501,Settings!$D$5:$D$16,0),MATCH(O501,Settings!$E$4:$H$4,0)),"Check"))</f>
        <v/>
      </c>
      <c r="W501">
        <f>IF(V501="","",IF(V501="No","Yes","No"))</f>
        <v/>
      </c>
      <c r="X501">
        <f>IF(OR(E501="",G501=""),"",IF(LOWER(IF(RIGHT(TRIM(E501),1)="/",LEFT(TRIM(E501),LEN(TRIM(E501))-1),TRIM(E501)))&lt;&gt;LOWER(IF(RIGHT(TRIM(G501),1)="/",LEFT(TRIM(G501),LEN(TRIM(G501))-1),TRIM(G501))),"Yes","No"))</f>
        <v/>
      </c>
      <c r="Y501">
        <f>IF(A501="","",(N(Q501)&gt;0)+(T501="Yes")+(U501="Yes")+(W501="Yes")+(X501="Yes"))</f>
        <v/>
      </c>
      <c r="Z501">
        <f>IF(A501="","",IF(G501="","Not mapped",IF(Y501=0,"OK",MID(IF(N(Q501)&gt;0,"; Cannibalisation","")&amp;IF(T501="Yes","; Too many primary keywords on URL","")&amp;IF(U501="Yes","; URL spans 2+ clusters","")&amp;IF(W501="Yes","; Intent mismatch","")&amp;IF(X501="Yes","; Ranking URL is not the target",""),3,300))))</f>
        <v/>
      </c>
      <c r="AA501">
        <f>IF(G501="","",IF(COUNTIF($G$3:G501,SUBSTITUTE(SUBSTITUTE(G501,"?","~?"),"*","~*"))=1,MAX($AA$2:AA500)+1,""))</f>
        <v/>
      </c>
      <c r="AB501">
        <f>IF(B501="","",IF(COUNTIF($B$3:B501,SUBSTITUTE(SUBSTITUTE(B501,"?","~?"),"*","~*"))=1,MAX($AB$2:AB500)+1,""))</f>
        <v/>
      </c>
    </row>
    <row r="502">
      <c r="M502">
        <f>IF(A502="","",LOWER(TRIM(SUBSTITUTE(SUBSTITUTE(A502,"?",""),"*",""))))</f>
        <v/>
      </c>
      <c r="N502">
        <f>IF(M502="","",IF(SUMPRODUCT(ISNUMBER(SEARCH(" "&amp;Settings!$L$5:$L$124&amp;" "," "&amp;M502&amp;" "))*(Settings!$K$5:$K$124="Navigational")*(Settings!$L$5:$L$124&lt;&gt;""))&gt;0,"Navigational",IF(SUMPRODUCT(ISNUMBER(SEARCH(" "&amp;Settings!$L$5:$L$124&amp;" "," "&amp;M502&amp;" "))*(Settings!$K$5:$K$124="Transactional")*(Settings!$L$5:$L$124&lt;&gt;""))&gt;0,"Transactional",IF(SUMPRODUCT(ISNUMBER(SEARCH(" "&amp;Settings!$L$5:$L$124&amp;" "," "&amp;M502&amp;" "))*(Settings!$K$5:$K$124="Commercial")*(Settings!$L$5:$L$124&lt;&gt;""))&gt;0,"Commercial",IF(SUMPRODUCT(ISNUMBER(SEARCH(" "&amp;Settings!$L$5:$L$124&amp;" "," "&amp;M502&amp;" "))*(Settings!$K$5:$K$124="Informational")*(Settings!$L$5:$L$124&lt;&gt;""))&gt;0,"Informational","Unclassified")))))</f>
        <v/>
      </c>
      <c r="O502">
        <f>IF(A502="","",IF(K502&lt;&gt;"",PROPER(K502),N502))</f>
        <v/>
      </c>
      <c r="P502">
        <f>IF(A502="","",ROUND(Settings!$B$5*MIN(1,LOG10(N(C502)+1)/LOG10(Settings!$B$7+1))+Settings!$B$6*(1-MIN(100,IF(D502="",50,N(D502)))/100)+IFERROR(INDEX(Settings!$B$10:$B$14,MATCH(O502,Settings!$A$10:$A$14,0)),0),0))</f>
        <v/>
      </c>
      <c r="Q502">
        <f>IF(OR(A502="",G502=""),"",COUNTIFS($M$3:$M$1002,M502,$G$3:$G$1002,"&lt;&gt;"&amp;SUBSTITUTE(SUBSTITUTE(G502,"?","~?"),"*","~*"),$G$3:$G$1002,"?*"))</f>
        <v/>
      </c>
      <c r="R502">
        <f>IF(Q502="","",IF(Q502&gt;0,"Yes","No"))</f>
        <v/>
      </c>
      <c r="S502">
        <f>IF(G502="","",COUNTIFS($G$3:$G$1002,SUBSTITUTE(SUBSTITUTE(G502,"?","~?"),"*","~*"),$J$3:$J$1002,"Primary"))</f>
        <v/>
      </c>
      <c r="T502">
        <f>IF(S502="","",IF(S502&gt;Settings!$B$4,"Yes","No"))</f>
        <v/>
      </c>
      <c r="U502">
        <f>IF(OR(G502="",B502=""),"",IF(COUNTIFS($G$3:$G$1002,SUBSTITUTE(SUBSTITUTE(G502,"?","~?"),"*","~*"),$B$3:$B$1002,"&lt;&gt;"&amp;SUBSTITUTE(SUBSTITUTE(B502,"?","~?"),"*","~*"),$B$3:$B$1002,"?*")&gt;0,"Yes","No"))</f>
        <v/>
      </c>
      <c r="V502">
        <f>IF(OR(G502="",I502="",O502="",O502="Unclassified"),"",IFERROR(INDEX(Settings!$E$5:$H$16,MATCH(I502,Settings!$D$5:$D$16,0),MATCH(O502,Settings!$E$4:$H$4,0)),"Check"))</f>
        <v/>
      </c>
      <c r="W502">
        <f>IF(V502="","",IF(V502="No","Yes","No"))</f>
        <v/>
      </c>
      <c r="X502">
        <f>IF(OR(E502="",G502=""),"",IF(LOWER(IF(RIGHT(TRIM(E502),1)="/",LEFT(TRIM(E502),LEN(TRIM(E502))-1),TRIM(E502)))&lt;&gt;LOWER(IF(RIGHT(TRIM(G502),1)="/",LEFT(TRIM(G502),LEN(TRIM(G502))-1),TRIM(G502))),"Yes","No"))</f>
        <v/>
      </c>
      <c r="Y502">
        <f>IF(A502="","",(N(Q502)&gt;0)+(T502="Yes")+(U502="Yes")+(W502="Yes")+(X502="Yes"))</f>
        <v/>
      </c>
      <c r="Z502">
        <f>IF(A502="","",IF(G502="","Not mapped",IF(Y502=0,"OK",MID(IF(N(Q502)&gt;0,"; Cannibalisation","")&amp;IF(T502="Yes","; Too many primary keywords on URL","")&amp;IF(U502="Yes","; URL spans 2+ clusters","")&amp;IF(W502="Yes","; Intent mismatch","")&amp;IF(X502="Yes","; Ranking URL is not the target",""),3,300))))</f>
        <v/>
      </c>
      <c r="AA502">
        <f>IF(G502="","",IF(COUNTIF($G$3:G502,SUBSTITUTE(SUBSTITUTE(G502,"?","~?"),"*","~*"))=1,MAX($AA$2:AA501)+1,""))</f>
        <v/>
      </c>
      <c r="AB502">
        <f>IF(B502="","",IF(COUNTIF($B$3:B502,SUBSTITUTE(SUBSTITUTE(B502,"?","~?"),"*","~*"))=1,MAX($AB$2:AB501)+1,""))</f>
        <v/>
      </c>
    </row>
    <row r="503">
      <c r="M503">
        <f>IF(A503="","",LOWER(TRIM(SUBSTITUTE(SUBSTITUTE(A503,"?",""),"*",""))))</f>
        <v/>
      </c>
      <c r="N503">
        <f>IF(M503="","",IF(SUMPRODUCT(ISNUMBER(SEARCH(" "&amp;Settings!$L$5:$L$124&amp;" "," "&amp;M503&amp;" "))*(Settings!$K$5:$K$124="Navigational")*(Settings!$L$5:$L$124&lt;&gt;""))&gt;0,"Navigational",IF(SUMPRODUCT(ISNUMBER(SEARCH(" "&amp;Settings!$L$5:$L$124&amp;" "," "&amp;M503&amp;" "))*(Settings!$K$5:$K$124="Transactional")*(Settings!$L$5:$L$124&lt;&gt;""))&gt;0,"Transactional",IF(SUMPRODUCT(ISNUMBER(SEARCH(" "&amp;Settings!$L$5:$L$124&amp;" "," "&amp;M503&amp;" "))*(Settings!$K$5:$K$124="Commercial")*(Settings!$L$5:$L$124&lt;&gt;""))&gt;0,"Commercial",IF(SUMPRODUCT(ISNUMBER(SEARCH(" "&amp;Settings!$L$5:$L$124&amp;" "," "&amp;M503&amp;" "))*(Settings!$K$5:$K$124="Informational")*(Settings!$L$5:$L$124&lt;&gt;""))&gt;0,"Informational","Unclassified")))))</f>
        <v/>
      </c>
      <c r="O503">
        <f>IF(A503="","",IF(K503&lt;&gt;"",PROPER(K503),N503))</f>
        <v/>
      </c>
      <c r="P503">
        <f>IF(A503="","",ROUND(Settings!$B$5*MIN(1,LOG10(N(C503)+1)/LOG10(Settings!$B$7+1))+Settings!$B$6*(1-MIN(100,IF(D503="",50,N(D503)))/100)+IFERROR(INDEX(Settings!$B$10:$B$14,MATCH(O503,Settings!$A$10:$A$14,0)),0),0))</f>
        <v/>
      </c>
      <c r="Q503">
        <f>IF(OR(A503="",G503=""),"",COUNTIFS($M$3:$M$1002,M503,$G$3:$G$1002,"&lt;&gt;"&amp;SUBSTITUTE(SUBSTITUTE(G503,"?","~?"),"*","~*"),$G$3:$G$1002,"?*"))</f>
        <v/>
      </c>
      <c r="R503">
        <f>IF(Q503="","",IF(Q503&gt;0,"Yes","No"))</f>
        <v/>
      </c>
      <c r="S503">
        <f>IF(G503="","",COUNTIFS($G$3:$G$1002,SUBSTITUTE(SUBSTITUTE(G503,"?","~?"),"*","~*"),$J$3:$J$1002,"Primary"))</f>
        <v/>
      </c>
      <c r="T503">
        <f>IF(S503="","",IF(S503&gt;Settings!$B$4,"Yes","No"))</f>
        <v/>
      </c>
      <c r="U503">
        <f>IF(OR(G503="",B503=""),"",IF(COUNTIFS($G$3:$G$1002,SUBSTITUTE(SUBSTITUTE(G503,"?","~?"),"*","~*"),$B$3:$B$1002,"&lt;&gt;"&amp;SUBSTITUTE(SUBSTITUTE(B503,"?","~?"),"*","~*"),$B$3:$B$1002,"?*")&gt;0,"Yes","No"))</f>
        <v/>
      </c>
      <c r="V503">
        <f>IF(OR(G503="",I503="",O503="",O503="Unclassified"),"",IFERROR(INDEX(Settings!$E$5:$H$16,MATCH(I503,Settings!$D$5:$D$16,0),MATCH(O503,Settings!$E$4:$H$4,0)),"Check"))</f>
        <v/>
      </c>
      <c r="W503">
        <f>IF(V503="","",IF(V503="No","Yes","No"))</f>
        <v/>
      </c>
      <c r="X503">
        <f>IF(OR(E503="",G503=""),"",IF(LOWER(IF(RIGHT(TRIM(E503),1)="/",LEFT(TRIM(E503),LEN(TRIM(E503))-1),TRIM(E503)))&lt;&gt;LOWER(IF(RIGHT(TRIM(G503),1)="/",LEFT(TRIM(G503),LEN(TRIM(G503))-1),TRIM(G503))),"Yes","No"))</f>
        <v/>
      </c>
      <c r="Y503">
        <f>IF(A503="","",(N(Q503)&gt;0)+(T503="Yes")+(U503="Yes")+(W503="Yes")+(X503="Yes"))</f>
        <v/>
      </c>
      <c r="Z503">
        <f>IF(A503="","",IF(G503="","Not mapped",IF(Y503=0,"OK",MID(IF(N(Q503)&gt;0,"; Cannibalisation","")&amp;IF(T503="Yes","; Too many primary keywords on URL","")&amp;IF(U503="Yes","; URL spans 2+ clusters","")&amp;IF(W503="Yes","; Intent mismatch","")&amp;IF(X503="Yes","; Ranking URL is not the target",""),3,300))))</f>
        <v/>
      </c>
      <c r="AA503">
        <f>IF(G503="","",IF(COUNTIF($G$3:G503,SUBSTITUTE(SUBSTITUTE(G503,"?","~?"),"*","~*"))=1,MAX($AA$2:AA502)+1,""))</f>
        <v/>
      </c>
      <c r="AB503">
        <f>IF(B503="","",IF(COUNTIF($B$3:B503,SUBSTITUTE(SUBSTITUTE(B503,"?","~?"),"*","~*"))=1,MAX($AB$2:AB502)+1,""))</f>
        <v/>
      </c>
    </row>
    <row r="504">
      <c r="M504">
        <f>IF(A504="","",LOWER(TRIM(SUBSTITUTE(SUBSTITUTE(A504,"?",""),"*",""))))</f>
        <v/>
      </c>
      <c r="N504">
        <f>IF(M504="","",IF(SUMPRODUCT(ISNUMBER(SEARCH(" "&amp;Settings!$L$5:$L$124&amp;" "," "&amp;M504&amp;" "))*(Settings!$K$5:$K$124="Navigational")*(Settings!$L$5:$L$124&lt;&gt;""))&gt;0,"Navigational",IF(SUMPRODUCT(ISNUMBER(SEARCH(" "&amp;Settings!$L$5:$L$124&amp;" "," "&amp;M504&amp;" "))*(Settings!$K$5:$K$124="Transactional")*(Settings!$L$5:$L$124&lt;&gt;""))&gt;0,"Transactional",IF(SUMPRODUCT(ISNUMBER(SEARCH(" "&amp;Settings!$L$5:$L$124&amp;" "," "&amp;M504&amp;" "))*(Settings!$K$5:$K$124="Commercial")*(Settings!$L$5:$L$124&lt;&gt;""))&gt;0,"Commercial",IF(SUMPRODUCT(ISNUMBER(SEARCH(" "&amp;Settings!$L$5:$L$124&amp;" "," "&amp;M504&amp;" "))*(Settings!$K$5:$K$124="Informational")*(Settings!$L$5:$L$124&lt;&gt;""))&gt;0,"Informational","Unclassified")))))</f>
        <v/>
      </c>
      <c r="O504">
        <f>IF(A504="","",IF(K504&lt;&gt;"",PROPER(K504),N504))</f>
        <v/>
      </c>
      <c r="P504">
        <f>IF(A504="","",ROUND(Settings!$B$5*MIN(1,LOG10(N(C504)+1)/LOG10(Settings!$B$7+1))+Settings!$B$6*(1-MIN(100,IF(D504="",50,N(D504)))/100)+IFERROR(INDEX(Settings!$B$10:$B$14,MATCH(O504,Settings!$A$10:$A$14,0)),0),0))</f>
        <v/>
      </c>
      <c r="Q504">
        <f>IF(OR(A504="",G504=""),"",COUNTIFS($M$3:$M$1002,M504,$G$3:$G$1002,"&lt;&gt;"&amp;SUBSTITUTE(SUBSTITUTE(G504,"?","~?"),"*","~*"),$G$3:$G$1002,"?*"))</f>
        <v/>
      </c>
      <c r="R504">
        <f>IF(Q504="","",IF(Q504&gt;0,"Yes","No"))</f>
        <v/>
      </c>
      <c r="S504">
        <f>IF(G504="","",COUNTIFS($G$3:$G$1002,SUBSTITUTE(SUBSTITUTE(G504,"?","~?"),"*","~*"),$J$3:$J$1002,"Primary"))</f>
        <v/>
      </c>
      <c r="T504">
        <f>IF(S504="","",IF(S504&gt;Settings!$B$4,"Yes","No"))</f>
        <v/>
      </c>
      <c r="U504">
        <f>IF(OR(G504="",B504=""),"",IF(COUNTIFS($G$3:$G$1002,SUBSTITUTE(SUBSTITUTE(G504,"?","~?"),"*","~*"),$B$3:$B$1002,"&lt;&gt;"&amp;SUBSTITUTE(SUBSTITUTE(B504,"?","~?"),"*","~*"),$B$3:$B$1002,"?*")&gt;0,"Yes","No"))</f>
        <v/>
      </c>
      <c r="V504">
        <f>IF(OR(G504="",I504="",O504="",O504="Unclassified"),"",IFERROR(INDEX(Settings!$E$5:$H$16,MATCH(I504,Settings!$D$5:$D$16,0),MATCH(O504,Settings!$E$4:$H$4,0)),"Check"))</f>
        <v/>
      </c>
      <c r="W504">
        <f>IF(V504="","",IF(V504="No","Yes","No"))</f>
        <v/>
      </c>
      <c r="X504">
        <f>IF(OR(E504="",G504=""),"",IF(LOWER(IF(RIGHT(TRIM(E504),1)="/",LEFT(TRIM(E504),LEN(TRIM(E504))-1),TRIM(E504)))&lt;&gt;LOWER(IF(RIGHT(TRIM(G504),1)="/",LEFT(TRIM(G504),LEN(TRIM(G504))-1),TRIM(G504))),"Yes","No"))</f>
        <v/>
      </c>
      <c r="Y504">
        <f>IF(A504="","",(N(Q504)&gt;0)+(T504="Yes")+(U504="Yes")+(W504="Yes")+(X504="Yes"))</f>
        <v/>
      </c>
      <c r="Z504">
        <f>IF(A504="","",IF(G504="","Not mapped",IF(Y504=0,"OK",MID(IF(N(Q504)&gt;0,"; Cannibalisation","")&amp;IF(T504="Yes","; Too many primary keywords on URL","")&amp;IF(U504="Yes","; URL spans 2+ clusters","")&amp;IF(W504="Yes","; Intent mismatch","")&amp;IF(X504="Yes","; Ranking URL is not the target",""),3,300))))</f>
        <v/>
      </c>
      <c r="AA504">
        <f>IF(G504="","",IF(COUNTIF($G$3:G504,SUBSTITUTE(SUBSTITUTE(G504,"?","~?"),"*","~*"))=1,MAX($AA$2:AA503)+1,""))</f>
        <v/>
      </c>
      <c r="AB504">
        <f>IF(B504="","",IF(COUNTIF($B$3:B504,SUBSTITUTE(SUBSTITUTE(B504,"?","~?"),"*","~*"))=1,MAX($AB$2:AB503)+1,""))</f>
        <v/>
      </c>
    </row>
    <row r="505">
      <c r="M505">
        <f>IF(A505="","",LOWER(TRIM(SUBSTITUTE(SUBSTITUTE(A505,"?",""),"*",""))))</f>
        <v/>
      </c>
      <c r="N505">
        <f>IF(M505="","",IF(SUMPRODUCT(ISNUMBER(SEARCH(" "&amp;Settings!$L$5:$L$124&amp;" "," "&amp;M505&amp;" "))*(Settings!$K$5:$K$124="Navigational")*(Settings!$L$5:$L$124&lt;&gt;""))&gt;0,"Navigational",IF(SUMPRODUCT(ISNUMBER(SEARCH(" "&amp;Settings!$L$5:$L$124&amp;" "," "&amp;M505&amp;" "))*(Settings!$K$5:$K$124="Transactional")*(Settings!$L$5:$L$124&lt;&gt;""))&gt;0,"Transactional",IF(SUMPRODUCT(ISNUMBER(SEARCH(" "&amp;Settings!$L$5:$L$124&amp;" "," "&amp;M505&amp;" "))*(Settings!$K$5:$K$124="Commercial")*(Settings!$L$5:$L$124&lt;&gt;""))&gt;0,"Commercial",IF(SUMPRODUCT(ISNUMBER(SEARCH(" "&amp;Settings!$L$5:$L$124&amp;" "," "&amp;M505&amp;" "))*(Settings!$K$5:$K$124="Informational")*(Settings!$L$5:$L$124&lt;&gt;""))&gt;0,"Informational","Unclassified")))))</f>
        <v/>
      </c>
      <c r="O505">
        <f>IF(A505="","",IF(K505&lt;&gt;"",PROPER(K505),N505))</f>
        <v/>
      </c>
      <c r="P505">
        <f>IF(A505="","",ROUND(Settings!$B$5*MIN(1,LOG10(N(C505)+1)/LOG10(Settings!$B$7+1))+Settings!$B$6*(1-MIN(100,IF(D505="",50,N(D505)))/100)+IFERROR(INDEX(Settings!$B$10:$B$14,MATCH(O505,Settings!$A$10:$A$14,0)),0),0))</f>
        <v/>
      </c>
      <c r="Q505">
        <f>IF(OR(A505="",G505=""),"",COUNTIFS($M$3:$M$1002,M505,$G$3:$G$1002,"&lt;&gt;"&amp;SUBSTITUTE(SUBSTITUTE(G505,"?","~?"),"*","~*"),$G$3:$G$1002,"?*"))</f>
        <v/>
      </c>
      <c r="R505">
        <f>IF(Q505="","",IF(Q505&gt;0,"Yes","No"))</f>
        <v/>
      </c>
      <c r="S505">
        <f>IF(G505="","",COUNTIFS($G$3:$G$1002,SUBSTITUTE(SUBSTITUTE(G505,"?","~?"),"*","~*"),$J$3:$J$1002,"Primary"))</f>
        <v/>
      </c>
      <c r="T505">
        <f>IF(S505="","",IF(S505&gt;Settings!$B$4,"Yes","No"))</f>
        <v/>
      </c>
      <c r="U505">
        <f>IF(OR(G505="",B505=""),"",IF(COUNTIFS($G$3:$G$1002,SUBSTITUTE(SUBSTITUTE(G505,"?","~?"),"*","~*"),$B$3:$B$1002,"&lt;&gt;"&amp;SUBSTITUTE(SUBSTITUTE(B505,"?","~?"),"*","~*"),$B$3:$B$1002,"?*")&gt;0,"Yes","No"))</f>
        <v/>
      </c>
      <c r="V505">
        <f>IF(OR(G505="",I505="",O505="",O505="Unclassified"),"",IFERROR(INDEX(Settings!$E$5:$H$16,MATCH(I505,Settings!$D$5:$D$16,0),MATCH(O505,Settings!$E$4:$H$4,0)),"Check"))</f>
        <v/>
      </c>
      <c r="W505">
        <f>IF(V505="","",IF(V505="No","Yes","No"))</f>
        <v/>
      </c>
      <c r="X505">
        <f>IF(OR(E505="",G505=""),"",IF(LOWER(IF(RIGHT(TRIM(E505),1)="/",LEFT(TRIM(E505),LEN(TRIM(E505))-1),TRIM(E505)))&lt;&gt;LOWER(IF(RIGHT(TRIM(G505),1)="/",LEFT(TRIM(G505),LEN(TRIM(G505))-1),TRIM(G505))),"Yes","No"))</f>
        <v/>
      </c>
      <c r="Y505">
        <f>IF(A505="","",(N(Q505)&gt;0)+(T505="Yes")+(U505="Yes")+(W505="Yes")+(X505="Yes"))</f>
        <v/>
      </c>
      <c r="Z505">
        <f>IF(A505="","",IF(G505="","Not mapped",IF(Y505=0,"OK",MID(IF(N(Q505)&gt;0,"; Cannibalisation","")&amp;IF(T505="Yes","; Too many primary keywords on URL","")&amp;IF(U505="Yes","; URL spans 2+ clusters","")&amp;IF(W505="Yes","; Intent mismatch","")&amp;IF(X505="Yes","; Ranking URL is not the target",""),3,300))))</f>
        <v/>
      </c>
      <c r="AA505">
        <f>IF(G505="","",IF(COUNTIF($G$3:G505,SUBSTITUTE(SUBSTITUTE(G505,"?","~?"),"*","~*"))=1,MAX($AA$2:AA504)+1,""))</f>
        <v/>
      </c>
      <c r="AB505">
        <f>IF(B505="","",IF(COUNTIF($B$3:B505,SUBSTITUTE(SUBSTITUTE(B505,"?","~?"),"*","~*"))=1,MAX($AB$2:AB504)+1,""))</f>
        <v/>
      </c>
    </row>
    <row r="506">
      <c r="M506">
        <f>IF(A506="","",LOWER(TRIM(SUBSTITUTE(SUBSTITUTE(A506,"?",""),"*",""))))</f>
        <v/>
      </c>
      <c r="N506">
        <f>IF(M506="","",IF(SUMPRODUCT(ISNUMBER(SEARCH(" "&amp;Settings!$L$5:$L$124&amp;" "," "&amp;M506&amp;" "))*(Settings!$K$5:$K$124="Navigational")*(Settings!$L$5:$L$124&lt;&gt;""))&gt;0,"Navigational",IF(SUMPRODUCT(ISNUMBER(SEARCH(" "&amp;Settings!$L$5:$L$124&amp;" "," "&amp;M506&amp;" "))*(Settings!$K$5:$K$124="Transactional")*(Settings!$L$5:$L$124&lt;&gt;""))&gt;0,"Transactional",IF(SUMPRODUCT(ISNUMBER(SEARCH(" "&amp;Settings!$L$5:$L$124&amp;" "," "&amp;M506&amp;" "))*(Settings!$K$5:$K$124="Commercial")*(Settings!$L$5:$L$124&lt;&gt;""))&gt;0,"Commercial",IF(SUMPRODUCT(ISNUMBER(SEARCH(" "&amp;Settings!$L$5:$L$124&amp;" "," "&amp;M506&amp;" "))*(Settings!$K$5:$K$124="Informational")*(Settings!$L$5:$L$124&lt;&gt;""))&gt;0,"Informational","Unclassified")))))</f>
        <v/>
      </c>
      <c r="O506">
        <f>IF(A506="","",IF(K506&lt;&gt;"",PROPER(K506),N506))</f>
        <v/>
      </c>
      <c r="P506">
        <f>IF(A506="","",ROUND(Settings!$B$5*MIN(1,LOG10(N(C506)+1)/LOG10(Settings!$B$7+1))+Settings!$B$6*(1-MIN(100,IF(D506="",50,N(D506)))/100)+IFERROR(INDEX(Settings!$B$10:$B$14,MATCH(O506,Settings!$A$10:$A$14,0)),0),0))</f>
        <v/>
      </c>
      <c r="Q506">
        <f>IF(OR(A506="",G506=""),"",COUNTIFS($M$3:$M$1002,M506,$G$3:$G$1002,"&lt;&gt;"&amp;SUBSTITUTE(SUBSTITUTE(G506,"?","~?"),"*","~*"),$G$3:$G$1002,"?*"))</f>
        <v/>
      </c>
      <c r="R506">
        <f>IF(Q506="","",IF(Q506&gt;0,"Yes","No"))</f>
        <v/>
      </c>
      <c r="S506">
        <f>IF(G506="","",COUNTIFS($G$3:$G$1002,SUBSTITUTE(SUBSTITUTE(G506,"?","~?"),"*","~*"),$J$3:$J$1002,"Primary"))</f>
        <v/>
      </c>
      <c r="T506">
        <f>IF(S506="","",IF(S506&gt;Settings!$B$4,"Yes","No"))</f>
        <v/>
      </c>
      <c r="U506">
        <f>IF(OR(G506="",B506=""),"",IF(COUNTIFS($G$3:$G$1002,SUBSTITUTE(SUBSTITUTE(G506,"?","~?"),"*","~*"),$B$3:$B$1002,"&lt;&gt;"&amp;SUBSTITUTE(SUBSTITUTE(B506,"?","~?"),"*","~*"),$B$3:$B$1002,"?*")&gt;0,"Yes","No"))</f>
        <v/>
      </c>
      <c r="V506">
        <f>IF(OR(G506="",I506="",O506="",O506="Unclassified"),"",IFERROR(INDEX(Settings!$E$5:$H$16,MATCH(I506,Settings!$D$5:$D$16,0),MATCH(O506,Settings!$E$4:$H$4,0)),"Check"))</f>
        <v/>
      </c>
      <c r="W506">
        <f>IF(V506="","",IF(V506="No","Yes","No"))</f>
        <v/>
      </c>
      <c r="X506">
        <f>IF(OR(E506="",G506=""),"",IF(LOWER(IF(RIGHT(TRIM(E506),1)="/",LEFT(TRIM(E506),LEN(TRIM(E506))-1),TRIM(E506)))&lt;&gt;LOWER(IF(RIGHT(TRIM(G506),1)="/",LEFT(TRIM(G506),LEN(TRIM(G506))-1),TRIM(G506))),"Yes","No"))</f>
        <v/>
      </c>
      <c r="Y506">
        <f>IF(A506="","",(N(Q506)&gt;0)+(T506="Yes")+(U506="Yes")+(W506="Yes")+(X506="Yes"))</f>
        <v/>
      </c>
      <c r="Z506">
        <f>IF(A506="","",IF(G506="","Not mapped",IF(Y506=0,"OK",MID(IF(N(Q506)&gt;0,"; Cannibalisation","")&amp;IF(T506="Yes","; Too many primary keywords on URL","")&amp;IF(U506="Yes","; URL spans 2+ clusters","")&amp;IF(W506="Yes","; Intent mismatch","")&amp;IF(X506="Yes","; Ranking URL is not the target",""),3,300))))</f>
        <v/>
      </c>
      <c r="AA506">
        <f>IF(G506="","",IF(COUNTIF($G$3:G506,SUBSTITUTE(SUBSTITUTE(G506,"?","~?"),"*","~*"))=1,MAX($AA$2:AA505)+1,""))</f>
        <v/>
      </c>
      <c r="AB506">
        <f>IF(B506="","",IF(COUNTIF($B$3:B506,SUBSTITUTE(SUBSTITUTE(B506,"?","~?"),"*","~*"))=1,MAX($AB$2:AB505)+1,""))</f>
        <v/>
      </c>
    </row>
    <row r="507">
      <c r="M507">
        <f>IF(A507="","",LOWER(TRIM(SUBSTITUTE(SUBSTITUTE(A507,"?",""),"*",""))))</f>
        <v/>
      </c>
      <c r="N507">
        <f>IF(M507="","",IF(SUMPRODUCT(ISNUMBER(SEARCH(" "&amp;Settings!$L$5:$L$124&amp;" "," "&amp;M507&amp;" "))*(Settings!$K$5:$K$124="Navigational")*(Settings!$L$5:$L$124&lt;&gt;""))&gt;0,"Navigational",IF(SUMPRODUCT(ISNUMBER(SEARCH(" "&amp;Settings!$L$5:$L$124&amp;" "," "&amp;M507&amp;" "))*(Settings!$K$5:$K$124="Transactional")*(Settings!$L$5:$L$124&lt;&gt;""))&gt;0,"Transactional",IF(SUMPRODUCT(ISNUMBER(SEARCH(" "&amp;Settings!$L$5:$L$124&amp;" "," "&amp;M507&amp;" "))*(Settings!$K$5:$K$124="Commercial")*(Settings!$L$5:$L$124&lt;&gt;""))&gt;0,"Commercial",IF(SUMPRODUCT(ISNUMBER(SEARCH(" "&amp;Settings!$L$5:$L$124&amp;" "," "&amp;M507&amp;" "))*(Settings!$K$5:$K$124="Informational")*(Settings!$L$5:$L$124&lt;&gt;""))&gt;0,"Informational","Unclassified")))))</f>
        <v/>
      </c>
      <c r="O507">
        <f>IF(A507="","",IF(K507&lt;&gt;"",PROPER(K507),N507))</f>
        <v/>
      </c>
      <c r="P507">
        <f>IF(A507="","",ROUND(Settings!$B$5*MIN(1,LOG10(N(C507)+1)/LOG10(Settings!$B$7+1))+Settings!$B$6*(1-MIN(100,IF(D507="",50,N(D507)))/100)+IFERROR(INDEX(Settings!$B$10:$B$14,MATCH(O507,Settings!$A$10:$A$14,0)),0),0))</f>
        <v/>
      </c>
      <c r="Q507">
        <f>IF(OR(A507="",G507=""),"",COUNTIFS($M$3:$M$1002,M507,$G$3:$G$1002,"&lt;&gt;"&amp;SUBSTITUTE(SUBSTITUTE(G507,"?","~?"),"*","~*"),$G$3:$G$1002,"?*"))</f>
        <v/>
      </c>
      <c r="R507">
        <f>IF(Q507="","",IF(Q507&gt;0,"Yes","No"))</f>
        <v/>
      </c>
      <c r="S507">
        <f>IF(G507="","",COUNTIFS($G$3:$G$1002,SUBSTITUTE(SUBSTITUTE(G507,"?","~?"),"*","~*"),$J$3:$J$1002,"Primary"))</f>
        <v/>
      </c>
      <c r="T507">
        <f>IF(S507="","",IF(S507&gt;Settings!$B$4,"Yes","No"))</f>
        <v/>
      </c>
      <c r="U507">
        <f>IF(OR(G507="",B507=""),"",IF(COUNTIFS($G$3:$G$1002,SUBSTITUTE(SUBSTITUTE(G507,"?","~?"),"*","~*"),$B$3:$B$1002,"&lt;&gt;"&amp;SUBSTITUTE(SUBSTITUTE(B507,"?","~?"),"*","~*"),$B$3:$B$1002,"?*")&gt;0,"Yes","No"))</f>
        <v/>
      </c>
      <c r="V507">
        <f>IF(OR(G507="",I507="",O507="",O507="Unclassified"),"",IFERROR(INDEX(Settings!$E$5:$H$16,MATCH(I507,Settings!$D$5:$D$16,0),MATCH(O507,Settings!$E$4:$H$4,0)),"Check"))</f>
        <v/>
      </c>
      <c r="W507">
        <f>IF(V507="","",IF(V507="No","Yes","No"))</f>
        <v/>
      </c>
      <c r="X507">
        <f>IF(OR(E507="",G507=""),"",IF(LOWER(IF(RIGHT(TRIM(E507),1)="/",LEFT(TRIM(E507),LEN(TRIM(E507))-1),TRIM(E507)))&lt;&gt;LOWER(IF(RIGHT(TRIM(G507),1)="/",LEFT(TRIM(G507),LEN(TRIM(G507))-1),TRIM(G507))),"Yes","No"))</f>
        <v/>
      </c>
      <c r="Y507">
        <f>IF(A507="","",(N(Q507)&gt;0)+(T507="Yes")+(U507="Yes")+(W507="Yes")+(X507="Yes"))</f>
        <v/>
      </c>
      <c r="Z507">
        <f>IF(A507="","",IF(G507="","Not mapped",IF(Y507=0,"OK",MID(IF(N(Q507)&gt;0,"; Cannibalisation","")&amp;IF(T507="Yes","; Too many primary keywords on URL","")&amp;IF(U507="Yes","; URL spans 2+ clusters","")&amp;IF(W507="Yes","; Intent mismatch","")&amp;IF(X507="Yes","; Ranking URL is not the target",""),3,300))))</f>
        <v/>
      </c>
      <c r="AA507">
        <f>IF(G507="","",IF(COUNTIF($G$3:G507,SUBSTITUTE(SUBSTITUTE(G507,"?","~?"),"*","~*"))=1,MAX($AA$2:AA506)+1,""))</f>
        <v/>
      </c>
      <c r="AB507">
        <f>IF(B507="","",IF(COUNTIF($B$3:B507,SUBSTITUTE(SUBSTITUTE(B507,"?","~?"),"*","~*"))=1,MAX($AB$2:AB506)+1,""))</f>
        <v/>
      </c>
    </row>
    <row r="508">
      <c r="M508">
        <f>IF(A508="","",LOWER(TRIM(SUBSTITUTE(SUBSTITUTE(A508,"?",""),"*",""))))</f>
        <v/>
      </c>
      <c r="N508">
        <f>IF(M508="","",IF(SUMPRODUCT(ISNUMBER(SEARCH(" "&amp;Settings!$L$5:$L$124&amp;" "," "&amp;M508&amp;" "))*(Settings!$K$5:$K$124="Navigational")*(Settings!$L$5:$L$124&lt;&gt;""))&gt;0,"Navigational",IF(SUMPRODUCT(ISNUMBER(SEARCH(" "&amp;Settings!$L$5:$L$124&amp;" "," "&amp;M508&amp;" "))*(Settings!$K$5:$K$124="Transactional")*(Settings!$L$5:$L$124&lt;&gt;""))&gt;0,"Transactional",IF(SUMPRODUCT(ISNUMBER(SEARCH(" "&amp;Settings!$L$5:$L$124&amp;" "," "&amp;M508&amp;" "))*(Settings!$K$5:$K$124="Commercial")*(Settings!$L$5:$L$124&lt;&gt;""))&gt;0,"Commercial",IF(SUMPRODUCT(ISNUMBER(SEARCH(" "&amp;Settings!$L$5:$L$124&amp;" "," "&amp;M508&amp;" "))*(Settings!$K$5:$K$124="Informational")*(Settings!$L$5:$L$124&lt;&gt;""))&gt;0,"Informational","Unclassified")))))</f>
        <v/>
      </c>
      <c r="O508">
        <f>IF(A508="","",IF(K508&lt;&gt;"",PROPER(K508),N508))</f>
        <v/>
      </c>
      <c r="P508">
        <f>IF(A508="","",ROUND(Settings!$B$5*MIN(1,LOG10(N(C508)+1)/LOG10(Settings!$B$7+1))+Settings!$B$6*(1-MIN(100,IF(D508="",50,N(D508)))/100)+IFERROR(INDEX(Settings!$B$10:$B$14,MATCH(O508,Settings!$A$10:$A$14,0)),0),0))</f>
        <v/>
      </c>
      <c r="Q508">
        <f>IF(OR(A508="",G508=""),"",COUNTIFS($M$3:$M$1002,M508,$G$3:$G$1002,"&lt;&gt;"&amp;SUBSTITUTE(SUBSTITUTE(G508,"?","~?"),"*","~*"),$G$3:$G$1002,"?*"))</f>
        <v/>
      </c>
      <c r="R508">
        <f>IF(Q508="","",IF(Q508&gt;0,"Yes","No"))</f>
        <v/>
      </c>
      <c r="S508">
        <f>IF(G508="","",COUNTIFS($G$3:$G$1002,SUBSTITUTE(SUBSTITUTE(G508,"?","~?"),"*","~*"),$J$3:$J$1002,"Primary"))</f>
        <v/>
      </c>
      <c r="T508">
        <f>IF(S508="","",IF(S508&gt;Settings!$B$4,"Yes","No"))</f>
        <v/>
      </c>
      <c r="U508">
        <f>IF(OR(G508="",B508=""),"",IF(COUNTIFS($G$3:$G$1002,SUBSTITUTE(SUBSTITUTE(G508,"?","~?"),"*","~*"),$B$3:$B$1002,"&lt;&gt;"&amp;SUBSTITUTE(SUBSTITUTE(B508,"?","~?"),"*","~*"),$B$3:$B$1002,"?*")&gt;0,"Yes","No"))</f>
        <v/>
      </c>
      <c r="V508">
        <f>IF(OR(G508="",I508="",O508="",O508="Unclassified"),"",IFERROR(INDEX(Settings!$E$5:$H$16,MATCH(I508,Settings!$D$5:$D$16,0),MATCH(O508,Settings!$E$4:$H$4,0)),"Check"))</f>
        <v/>
      </c>
      <c r="W508">
        <f>IF(V508="","",IF(V508="No","Yes","No"))</f>
        <v/>
      </c>
      <c r="X508">
        <f>IF(OR(E508="",G508=""),"",IF(LOWER(IF(RIGHT(TRIM(E508),1)="/",LEFT(TRIM(E508),LEN(TRIM(E508))-1),TRIM(E508)))&lt;&gt;LOWER(IF(RIGHT(TRIM(G508),1)="/",LEFT(TRIM(G508),LEN(TRIM(G508))-1),TRIM(G508))),"Yes","No"))</f>
        <v/>
      </c>
      <c r="Y508">
        <f>IF(A508="","",(N(Q508)&gt;0)+(T508="Yes")+(U508="Yes")+(W508="Yes")+(X508="Yes"))</f>
        <v/>
      </c>
      <c r="Z508">
        <f>IF(A508="","",IF(G508="","Not mapped",IF(Y508=0,"OK",MID(IF(N(Q508)&gt;0,"; Cannibalisation","")&amp;IF(T508="Yes","; Too many primary keywords on URL","")&amp;IF(U508="Yes","; URL spans 2+ clusters","")&amp;IF(W508="Yes","; Intent mismatch","")&amp;IF(X508="Yes","; Ranking URL is not the target",""),3,300))))</f>
        <v/>
      </c>
      <c r="AA508">
        <f>IF(G508="","",IF(COUNTIF($G$3:G508,SUBSTITUTE(SUBSTITUTE(G508,"?","~?"),"*","~*"))=1,MAX($AA$2:AA507)+1,""))</f>
        <v/>
      </c>
      <c r="AB508">
        <f>IF(B508="","",IF(COUNTIF($B$3:B508,SUBSTITUTE(SUBSTITUTE(B508,"?","~?"),"*","~*"))=1,MAX($AB$2:AB507)+1,""))</f>
        <v/>
      </c>
    </row>
    <row r="509">
      <c r="M509">
        <f>IF(A509="","",LOWER(TRIM(SUBSTITUTE(SUBSTITUTE(A509,"?",""),"*",""))))</f>
        <v/>
      </c>
      <c r="N509">
        <f>IF(M509="","",IF(SUMPRODUCT(ISNUMBER(SEARCH(" "&amp;Settings!$L$5:$L$124&amp;" "," "&amp;M509&amp;" "))*(Settings!$K$5:$K$124="Navigational")*(Settings!$L$5:$L$124&lt;&gt;""))&gt;0,"Navigational",IF(SUMPRODUCT(ISNUMBER(SEARCH(" "&amp;Settings!$L$5:$L$124&amp;" "," "&amp;M509&amp;" "))*(Settings!$K$5:$K$124="Transactional")*(Settings!$L$5:$L$124&lt;&gt;""))&gt;0,"Transactional",IF(SUMPRODUCT(ISNUMBER(SEARCH(" "&amp;Settings!$L$5:$L$124&amp;" "," "&amp;M509&amp;" "))*(Settings!$K$5:$K$124="Commercial")*(Settings!$L$5:$L$124&lt;&gt;""))&gt;0,"Commercial",IF(SUMPRODUCT(ISNUMBER(SEARCH(" "&amp;Settings!$L$5:$L$124&amp;" "," "&amp;M509&amp;" "))*(Settings!$K$5:$K$124="Informational")*(Settings!$L$5:$L$124&lt;&gt;""))&gt;0,"Informational","Unclassified")))))</f>
        <v/>
      </c>
      <c r="O509">
        <f>IF(A509="","",IF(K509&lt;&gt;"",PROPER(K509),N509))</f>
        <v/>
      </c>
      <c r="P509">
        <f>IF(A509="","",ROUND(Settings!$B$5*MIN(1,LOG10(N(C509)+1)/LOG10(Settings!$B$7+1))+Settings!$B$6*(1-MIN(100,IF(D509="",50,N(D509)))/100)+IFERROR(INDEX(Settings!$B$10:$B$14,MATCH(O509,Settings!$A$10:$A$14,0)),0),0))</f>
        <v/>
      </c>
      <c r="Q509">
        <f>IF(OR(A509="",G509=""),"",COUNTIFS($M$3:$M$1002,M509,$G$3:$G$1002,"&lt;&gt;"&amp;SUBSTITUTE(SUBSTITUTE(G509,"?","~?"),"*","~*"),$G$3:$G$1002,"?*"))</f>
        <v/>
      </c>
      <c r="R509">
        <f>IF(Q509="","",IF(Q509&gt;0,"Yes","No"))</f>
        <v/>
      </c>
      <c r="S509">
        <f>IF(G509="","",COUNTIFS($G$3:$G$1002,SUBSTITUTE(SUBSTITUTE(G509,"?","~?"),"*","~*"),$J$3:$J$1002,"Primary"))</f>
        <v/>
      </c>
      <c r="T509">
        <f>IF(S509="","",IF(S509&gt;Settings!$B$4,"Yes","No"))</f>
        <v/>
      </c>
      <c r="U509">
        <f>IF(OR(G509="",B509=""),"",IF(COUNTIFS($G$3:$G$1002,SUBSTITUTE(SUBSTITUTE(G509,"?","~?"),"*","~*"),$B$3:$B$1002,"&lt;&gt;"&amp;SUBSTITUTE(SUBSTITUTE(B509,"?","~?"),"*","~*"),$B$3:$B$1002,"?*")&gt;0,"Yes","No"))</f>
        <v/>
      </c>
      <c r="V509">
        <f>IF(OR(G509="",I509="",O509="",O509="Unclassified"),"",IFERROR(INDEX(Settings!$E$5:$H$16,MATCH(I509,Settings!$D$5:$D$16,0),MATCH(O509,Settings!$E$4:$H$4,0)),"Check"))</f>
        <v/>
      </c>
      <c r="W509">
        <f>IF(V509="","",IF(V509="No","Yes","No"))</f>
        <v/>
      </c>
      <c r="X509">
        <f>IF(OR(E509="",G509=""),"",IF(LOWER(IF(RIGHT(TRIM(E509),1)="/",LEFT(TRIM(E509),LEN(TRIM(E509))-1),TRIM(E509)))&lt;&gt;LOWER(IF(RIGHT(TRIM(G509),1)="/",LEFT(TRIM(G509),LEN(TRIM(G509))-1),TRIM(G509))),"Yes","No"))</f>
        <v/>
      </c>
      <c r="Y509">
        <f>IF(A509="","",(N(Q509)&gt;0)+(T509="Yes")+(U509="Yes")+(W509="Yes")+(X509="Yes"))</f>
        <v/>
      </c>
      <c r="Z509">
        <f>IF(A509="","",IF(G509="","Not mapped",IF(Y509=0,"OK",MID(IF(N(Q509)&gt;0,"; Cannibalisation","")&amp;IF(T509="Yes","; Too many primary keywords on URL","")&amp;IF(U509="Yes","; URL spans 2+ clusters","")&amp;IF(W509="Yes","; Intent mismatch","")&amp;IF(X509="Yes","; Ranking URL is not the target",""),3,300))))</f>
        <v/>
      </c>
      <c r="AA509">
        <f>IF(G509="","",IF(COUNTIF($G$3:G509,SUBSTITUTE(SUBSTITUTE(G509,"?","~?"),"*","~*"))=1,MAX($AA$2:AA508)+1,""))</f>
        <v/>
      </c>
      <c r="AB509">
        <f>IF(B509="","",IF(COUNTIF($B$3:B509,SUBSTITUTE(SUBSTITUTE(B509,"?","~?"),"*","~*"))=1,MAX($AB$2:AB508)+1,""))</f>
        <v/>
      </c>
    </row>
    <row r="510">
      <c r="M510">
        <f>IF(A510="","",LOWER(TRIM(SUBSTITUTE(SUBSTITUTE(A510,"?",""),"*",""))))</f>
        <v/>
      </c>
      <c r="N510">
        <f>IF(M510="","",IF(SUMPRODUCT(ISNUMBER(SEARCH(" "&amp;Settings!$L$5:$L$124&amp;" "," "&amp;M510&amp;" "))*(Settings!$K$5:$K$124="Navigational")*(Settings!$L$5:$L$124&lt;&gt;""))&gt;0,"Navigational",IF(SUMPRODUCT(ISNUMBER(SEARCH(" "&amp;Settings!$L$5:$L$124&amp;" "," "&amp;M510&amp;" "))*(Settings!$K$5:$K$124="Transactional")*(Settings!$L$5:$L$124&lt;&gt;""))&gt;0,"Transactional",IF(SUMPRODUCT(ISNUMBER(SEARCH(" "&amp;Settings!$L$5:$L$124&amp;" "," "&amp;M510&amp;" "))*(Settings!$K$5:$K$124="Commercial")*(Settings!$L$5:$L$124&lt;&gt;""))&gt;0,"Commercial",IF(SUMPRODUCT(ISNUMBER(SEARCH(" "&amp;Settings!$L$5:$L$124&amp;" "," "&amp;M510&amp;" "))*(Settings!$K$5:$K$124="Informational")*(Settings!$L$5:$L$124&lt;&gt;""))&gt;0,"Informational","Unclassified")))))</f>
        <v/>
      </c>
      <c r="O510">
        <f>IF(A510="","",IF(K510&lt;&gt;"",PROPER(K510),N510))</f>
        <v/>
      </c>
      <c r="P510">
        <f>IF(A510="","",ROUND(Settings!$B$5*MIN(1,LOG10(N(C510)+1)/LOG10(Settings!$B$7+1))+Settings!$B$6*(1-MIN(100,IF(D510="",50,N(D510)))/100)+IFERROR(INDEX(Settings!$B$10:$B$14,MATCH(O510,Settings!$A$10:$A$14,0)),0),0))</f>
        <v/>
      </c>
      <c r="Q510">
        <f>IF(OR(A510="",G510=""),"",COUNTIFS($M$3:$M$1002,M510,$G$3:$G$1002,"&lt;&gt;"&amp;SUBSTITUTE(SUBSTITUTE(G510,"?","~?"),"*","~*"),$G$3:$G$1002,"?*"))</f>
        <v/>
      </c>
      <c r="R510">
        <f>IF(Q510="","",IF(Q510&gt;0,"Yes","No"))</f>
        <v/>
      </c>
      <c r="S510">
        <f>IF(G510="","",COUNTIFS($G$3:$G$1002,SUBSTITUTE(SUBSTITUTE(G510,"?","~?"),"*","~*"),$J$3:$J$1002,"Primary"))</f>
        <v/>
      </c>
      <c r="T510">
        <f>IF(S510="","",IF(S510&gt;Settings!$B$4,"Yes","No"))</f>
        <v/>
      </c>
      <c r="U510">
        <f>IF(OR(G510="",B510=""),"",IF(COUNTIFS($G$3:$G$1002,SUBSTITUTE(SUBSTITUTE(G510,"?","~?"),"*","~*"),$B$3:$B$1002,"&lt;&gt;"&amp;SUBSTITUTE(SUBSTITUTE(B510,"?","~?"),"*","~*"),$B$3:$B$1002,"?*")&gt;0,"Yes","No"))</f>
        <v/>
      </c>
      <c r="V510">
        <f>IF(OR(G510="",I510="",O510="",O510="Unclassified"),"",IFERROR(INDEX(Settings!$E$5:$H$16,MATCH(I510,Settings!$D$5:$D$16,0),MATCH(O510,Settings!$E$4:$H$4,0)),"Check"))</f>
        <v/>
      </c>
      <c r="W510">
        <f>IF(V510="","",IF(V510="No","Yes","No"))</f>
        <v/>
      </c>
      <c r="X510">
        <f>IF(OR(E510="",G510=""),"",IF(LOWER(IF(RIGHT(TRIM(E510),1)="/",LEFT(TRIM(E510),LEN(TRIM(E510))-1),TRIM(E510)))&lt;&gt;LOWER(IF(RIGHT(TRIM(G510),1)="/",LEFT(TRIM(G510),LEN(TRIM(G510))-1),TRIM(G510))),"Yes","No"))</f>
        <v/>
      </c>
      <c r="Y510">
        <f>IF(A510="","",(N(Q510)&gt;0)+(T510="Yes")+(U510="Yes")+(W510="Yes")+(X510="Yes"))</f>
        <v/>
      </c>
      <c r="Z510">
        <f>IF(A510="","",IF(G510="","Not mapped",IF(Y510=0,"OK",MID(IF(N(Q510)&gt;0,"; Cannibalisation","")&amp;IF(T510="Yes","; Too many primary keywords on URL","")&amp;IF(U510="Yes","; URL spans 2+ clusters","")&amp;IF(W510="Yes","; Intent mismatch","")&amp;IF(X510="Yes","; Ranking URL is not the target",""),3,300))))</f>
        <v/>
      </c>
      <c r="AA510">
        <f>IF(G510="","",IF(COUNTIF($G$3:G510,SUBSTITUTE(SUBSTITUTE(G510,"?","~?"),"*","~*"))=1,MAX($AA$2:AA509)+1,""))</f>
        <v/>
      </c>
      <c r="AB510">
        <f>IF(B510="","",IF(COUNTIF($B$3:B510,SUBSTITUTE(SUBSTITUTE(B510,"?","~?"),"*","~*"))=1,MAX($AB$2:AB509)+1,""))</f>
        <v/>
      </c>
    </row>
    <row r="511">
      <c r="M511">
        <f>IF(A511="","",LOWER(TRIM(SUBSTITUTE(SUBSTITUTE(A511,"?",""),"*",""))))</f>
        <v/>
      </c>
      <c r="N511">
        <f>IF(M511="","",IF(SUMPRODUCT(ISNUMBER(SEARCH(" "&amp;Settings!$L$5:$L$124&amp;" "," "&amp;M511&amp;" "))*(Settings!$K$5:$K$124="Navigational")*(Settings!$L$5:$L$124&lt;&gt;""))&gt;0,"Navigational",IF(SUMPRODUCT(ISNUMBER(SEARCH(" "&amp;Settings!$L$5:$L$124&amp;" "," "&amp;M511&amp;" "))*(Settings!$K$5:$K$124="Transactional")*(Settings!$L$5:$L$124&lt;&gt;""))&gt;0,"Transactional",IF(SUMPRODUCT(ISNUMBER(SEARCH(" "&amp;Settings!$L$5:$L$124&amp;" "," "&amp;M511&amp;" "))*(Settings!$K$5:$K$124="Commercial")*(Settings!$L$5:$L$124&lt;&gt;""))&gt;0,"Commercial",IF(SUMPRODUCT(ISNUMBER(SEARCH(" "&amp;Settings!$L$5:$L$124&amp;" "," "&amp;M511&amp;" "))*(Settings!$K$5:$K$124="Informational")*(Settings!$L$5:$L$124&lt;&gt;""))&gt;0,"Informational","Unclassified")))))</f>
        <v/>
      </c>
      <c r="O511">
        <f>IF(A511="","",IF(K511&lt;&gt;"",PROPER(K511),N511))</f>
        <v/>
      </c>
      <c r="P511">
        <f>IF(A511="","",ROUND(Settings!$B$5*MIN(1,LOG10(N(C511)+1)/LOG10(Settings!$B$7+1))+Settings!$B$6*(1-MIN(100,IF(D511="",50,N(D511)))/100)+IFERROR(INDEX(Settings!$B$10:$B$14,MATCH(O511,Settings!$A$10:$A$14,0)),0),0))</f>
        <v/>
      </c>
      <c r="Q511">
        <f>IF(OR(A511="",G511=""),"",COUNTIFS($M$3:$M$1002,M511,$G$3:$G$1002,"&lt;&gt;"&amp;SUBSTITUTE(SUBSTITUTE(G511,"?","~?"),"*","~*"),$G$3:$G$1002,"?*"))</f>
        <v/>
      </c>
      <c r="R511">
        <f>IF(Q511="","",IF(Q511&gt;0,"Yes","No"))</f>
        <v/>
      </c>
      <c r="S511">
        <f>IF(G511="","",COUNTIFS($G$3:$G$1002,SUBSTITUTE(SUBSTITUTE(G511,"?","~?"),"*","~*"),$J$3:$J$1002,"Primary"))</f>
        <v/>
      </c>
      <c r="T511">
        <f>IF(S511="","",IF(S511&gt;Settings!$B$4,"Yes","No"))</f>
        <v/>
      </c>
      <c r="U511">
        <f>IF(OR(G511="",B511=""),"",IF(COUNTIFS($G$3:$G$1002,SUBSTITUTE(SUBSTITUTE(G511,"?","~?"),"*","~*"),$B$3:$B$1002,"&lt;&gt;"&amp;SUBSTITUTE(SUBSTITUTE(B511,"?","~?"),"*","~*"),$B$3:$B$1002,"?*")&gt;0,"Yes","No"))</f>
        <v/>
      </c>
      <c r="V511">
        <f>IF(OR(G511="",I511="",O511="",O511="Unclassified"),"",IFERROR(INDEX(Settings!$E$5:$H$16,MATCH(I511,Settings!$D$5:$D$16,0),MATCH(O511,Settings!$E$4:$H$4,0)),"Check"))</f>
        <v/>
      </c>
      <c r="W511">
        <f>IF(V511="","",IF(V511="No","Yes","No"))</f>
        <v/>
      </c>
      <c r="X511">
        <f>IF(OR(E511="",G511=""),"",IF(LOWER(IF(RIGHT(TRIM(E511),1)="/",LEFT(TRIM(E511),LEN(TRIM(E511))-1),TRIM(E511)))&lt;&gt;LOWER(IF(RIGHT(TRIM(G511),1)="/",LEFT(TRIM(G511),LEN(TRIM(G511))-1),TRIM(G511))),"Yes","No"))</f>
        <v/>
      </c>
      <c r="Y511">
        <f>IF(A511="","",(N(Q511)&gt;0)+(T511="Yes")+(U511="Yes")+(W511="Yes")+(X511="Yes"))</f>
        <v/>
      </c>
      <c r="Z511">
        <f>IF(A511="","",IF(G511="","Not mapped",IF(Y511=0,"OK",MID(IF(N(Q511)&gt;0,"; Cannibalisation","")&amp;IF(T511="Yes","; Too many primary keywords on URL","")&amp;IF(U511="Yes","; URL spans 2+ clusters","")&amp;IF(W511="Yes","; Intent mismatch","")&amp;IF(X511="Yes","; Ranking URL is not the target",""),3,300))))</f>
        <v/>
      </c>
      <c r="AA511">
        <f>IF(G511="","",IF(COUNTIF($G$3:G511,SUBSTITUTE(SUBSTITUTE(G511,"?","~?"),"*","~*"))=1,MAX($AA$2:AA510)+1,""))</f>
        <v/>
      </c>
      <c r="AB511">
        <f>IF(B511="","",IF(COUNTIF($B$3:B511,SUBSTITUTE(SUBSTITUTE(B511,"?","~?"),"*","~*"))=1,MAX($AB$2:AB510)+1,""))</f>
        <v/>
      </c>
    </row>
    <row r="512">
      <c r="M512">
        <f>IF(A512="","",LOWER(TRIM(SUBSTITUTE(SUBSTITUTE(A512,"?",""),"*",""))))</f>
        <v/>
      </c>
      <c r="N512">
        <f>IF(M512="","",IF(SUMPRODUCT(ISNUMBER(SEARCH(" "&amp;Settings!$L$5:$L$124&amp;" "," "&amp;M512&amp;" "))*(Settings!$K$5:$K$124="Navigational")*(Settings!$L$5:$L$124&lt;&gt;""))&gt;0,"Navigational",IF(SUMPRODUCT(ISNUMBER(SEARCH(" "&amp;Settings!$L$5:$L$124&amp;" "," "&amp;M512&amp;" "))*(Settings!$K$5:$K$124="Transactional")*(Settings!$L$5:$L$124&lt;&gt;""))&gt;0,"Transactional",IF(SUMPRODUCT(ISNUMBER(SEARCH(" "&amp;Settings!$L$5:$L$124&amp;" "," "&amp;M512&amp;" "))*(Settings!$K$5:$K$124="Commercial")*(Settings!$L$5:$L$124&lt;&gt;""))&gt;0,"Commercial",IF(SUMPRODUCT(ISNUMBER(SEARCH(" "&amp;Settings!$L$5:$L$124&amp;" "," "&amp;M512&amp;" "))*(Settings!$K$5:$K$124="Informational")*(Settings!$L$5:$L$124&lt;&gt;""))&gt;0,"Informational","Unclassified")))))</f>
        <v/>
      </c>
      <c r="O512">
        <f>IF(A512="","",IF(K512&lt;&gt;"",PROPER(K512),N512))</f>
        <v/>
      </c>
      <c r="P512">
        <f>IF(A512="","",ROUND(Settings!$B$5*MIN(1,LOG10(N(C512)+1)/LOG10(Settings!$B$7+1))+Settings!$B$6*(1-MIN(100,IF(D512="",50,N(D512)))/100)+IFERROR(INDEX(Settings!$B$10:$B$14,MATCH(O512,Settings!$A$10:$A$14,0)),0),0))</f>
        <v/>
      </c>
      <c r="Q512">
        <f>IF(OR(A512="",G512=""),"",COUNTIFS($M$3:$M$1002,M512,$G$3:$G$1002,"&lt;&gt;"&amp;SUBSTITUTE(SUBSTITUTE(G512,"?","~?"),"*","~*"),$G$3:$G$1002,"?*"))</f>
        <v/>
      </c>
      <c r="R512">
        <f>IF(Q512="","",IF(Q512&gt;0,"Yes","No"))</f>
        <v/>
      </c>
      <c r="S512">
        <f>IF(G512="","",COUNTIFS($G$3:$G$1002,SUBSTITUTE(SUBSTITUTE(G512,"?","~?"),"*","~*"),$J$3:$J$1002,"Primary"))</f>
        <v/>
      </c>
      <c r="T512">
        <f>IF(S512="","",IF(S512&gt;Settings!$B$4,"Yes","No"))</f>
        <v/>
      </c>
      <c r="U512">
        <f>IF(OR(G512="",B512=""),"",IF(COUNTIFS($G$3:$G$1002,SUBSTITUTE(SUBSTITUTE(G512,"?","~?"),"*","~*"),$B$3:$B$1002,"&lt;&gt;"&amp;SUBSTITUTE(SUBSTITUTE(B512,"?","~?"),"*","~*"),$B$3:$B$1002,"?*")&gt;0,"Yes","No"))</f>
        <v/>
      </c>
      <c r="V512">
        <f>IF(OR(G512="",I512="",O512="",O512="Unclassified"),"",IFERROR(INDEX(Settings!$E$5:$H$16,MATCH(I512,Settings!$D$5:$D$16,0),MATCH(O512,Settings!$E$4:$H$4,0)),"Check"))</f>
        <v/>
      </c>
      <c r="W512">
        <f>IF(V512="","",IF(V512="No","Yes","No"))</f>
        <v/>
      </c>
      <c r="X512">
        <f>IF(OR(E512="",G512=""),"",IF(LOWER(IF(RIGHT(TRIM(E512),1)="/",LEFT(TRIM(E512),LEN(TRIM(E512))-1),TRIM(E512)))&lt;&gt;LOWER(IF(RIGHT(TRIM(G512),1)="/",LEFT(TRIM(G512),LEN(TRIM(G512))-1),TRIM(G512))),"Yes","No"))</f>
        <v/>
      </c>
      <c r="Y512">
        <f>IF(A512="","",(N(Q512)&gt;0)+(T512="Yes")+(U512="Yes")+(W512="Yes")+(X512="Yes"))</f>
        <v/>
      </c>
      <c r="Z512">
        <f>IF(A512="","",IF(G512="","Not mapped",IF(Y512=0,"OK",MID(IF(N(Q512)&gt;0,"; Cannibalisation","")&amp;IF(T512="Yes","; Too many primary keywords on URL","")&amp;IF(U512="Yes","; URL spans 2+ clusters","")&amp;IF(W512="Yes","; Intent mismatch","")&amp;IF(X512="Yes","; Ranking URL is not the target",""),3,300))))</f>
        <v/>
      </c>
      <c r="AA512">
        <f>IF(G512="","",IF(COUNTIF($G$3:G512,SUBSTITUTE(SUBSTITUTE(G512,"?","~?"),"*","~*"))=1,MAX($AA$2:AA511)+1,""))</f>
        <v/>
      </c>
      <c r="AB512">
        <f>IF(B512="","",IF(COUNTIF($B$3:B512,SUBSTITUTE(SUBSTITUTE(B512,"?","~?"),"*","~*"))=1,MAX($AB$2:AB511)+1,""))</f>
        <v/>
      </c>
    </row>
    <row r="513">
      <c r="M513">
        <f>IF(A513="","",LOWER(TRIM(SUBSTITUTE(SUBSTITUTE(A513,"?",""),"*",""))))</f>
        <v/>
      </c>
      <c r="N513">
        <f>IF(M513="","",IF(SUMPRODUCT(ISNUMBER(SEARCH(" "&amp;Settings!$L$5:$L$124&amp;" "," "&amp;M513&amp;" "))*(Settings!$K$5:$K$124="Navigational")*(Settings!$L$5:$L$124&lt;&gt;""))&gt;0,"Navigational",IF(SUMPRODUCT(ISNUMBER(SEARCH(" "&amp;Settings!$L$5:$L$124&amp;" "," "&amp;M513&amp;" "))*(Settings!$K$5:$K$124="Transactional")*(Settings!$L$5:$L$124&lt;&gt;""))&gt;0,"Transactional",IF(SUMPRODUCT(ISNUMBER(SEARCH(" "&amp;Settings!$L$5:$L$124&amp;" "," "&amp;M513&amp;" "))*(Settings!$K$5:$K$124="Commercial")*(Settings!$L$5:$L$124&lt;&gt;""))&gt;0,"Commercial",IF(SUMPRODUCT(ISNUMBER(SEARCH(" "&amp;Settings!$L$5:$L$124&amp;" "," "&amp;M513&amp;" "))*(Settings!$K$5:$K$124="Informational")*(Settings!$L$5:$L$124&lt;&gt;""))&gt;0,"Informational","Unclassified")))))</f>
        <v/>
      </c>
      <c r="O513">
        <f>IF(A513="","",IF(K513&lt;&gt;"",PROPER(K513),N513))</f>
        <v/>
      </c>
      <c r="P513">
        <f>IF(A513="","",ROUND(Settings!$B$5*MIN(1,LOG10(N(C513)+1)/LOG10(Settings!$B$7+1))+Settings!$B$6*(1-MIN(100,IF(D513="",50,N(D513)))/100)+IFERROR(INDEX(Settings!$B$10:$B$14,MATCH(O513,Settings!$A$10:$A$14,0)),0),0))</f>
        <v/>
      </c>
      <c r="Q513">
        <f>IF(OR(A513="",G513=""),"",COUNTIFS($M$3:$M$1002,M513,$G$3:$G$1002,"&lt;&gt;"&amp;SUBSTITUTE(SUBSTITUTE(G513,"?","~?"),"*","~*"),$G$3:$G$1002,"?*"))</f>
        <v/>
      </c>
      <c r="R513">
        <f>IF(Q513="","",IF(Q513&gt;0,"Yes","No"))</f>
        <v/>
      </c>
      <c r="S513">
        <f>IF(G513="","",COUNTIFS($G$3:$G$1002,SUBSTITUTE(SUBSTITUTE(G513,"?","~?"),"*","~*"),$J$3:$J$1002,"Primary"))</f>
        <v/>
      </c>
      <c r="T513">
        <f>IF(S513="","",IF(S513&gt;Settings!$B$4,"Yes","No"))</f>
        <v/>
      </c>
      <c r="U513">
        <f>IF(OR(G513="",B513=""),"",IF(COUNTIFS($G$3:$G$1002,SUBSTITUTE(SUBSTITUTE(G513,"?","~?"),"*","~*"),$B$3:$B$1002,"&lt;&gt;"&amp;SUBSTITUTE(SUBSTITUTE(B513,"?","~?"),"*","~*"),$B$3:$B$1002,"?*")&gt;0,"Yes","No"))</f>
        <v/>
      </c>
      <c r="V513">
        <f>IF(OR(G513="",I513="",O513="",O513="Unclassified"),"",IFERROR(INDEX(Settings!$E$5:$H$16,MATCH(I513,Settings!$D$5:$D$16,0),MATCH(O513,Settings!$E$4:$H$4,0)),"Check"))</f>
        <v/>
      </c>
      <c r="W513">
        <f>IF(V513="","",IF(V513="No","Yes","No"))</f>
        <v/>
      </c>
      <c r="X513">
        <f>IF(OR(E513="",G513=""),"",IF(LOWER(IF(RIGHT(TRIM(E513),1)="/",LEFT(TRIM(E513),LEN(TRIM(E513))-1),TRIM(E513)))&lt;&gt;LOWER(IF(RIGHT(TRIM(G513),1)="/",LEFT(TRIM(G513),LEN(TRIM(G513))-1),TRIM(G513))),"Yes","No"))</f>
        <v/>
      </c>
      <c r="Y513">
        <f>IF(A513="","",(N(Q513)&gt;0)+(T513="Yes")+(U513="Yes")+(W513="Yes")+(X513="Yes"))</f>
        <v/>
      </c>
      <c r="Z513">
        <f>IF(A513="","",IF(G513="","Not mapped",IF(Y513=0,"OK",MID(IF(N(Q513)&gt;0,"; Cannibalisation","")&amp;IF(T513="Yes","; Too many primary keywords on URL","")&amp;IF(U513="Yes","; URL spans 2+ clusters","")&amp;IF(W513="Yes","; Intent mismatch","")&amp;IF(X513="Yes","; Ranking URL is not the target",""),3,300))))</f>
        <v/>
      </c>
      <c r="AA513">
        <f>IF(G513="","",IF(COUNTIF($G$3:G513,SUBSTITUTE(SUBSTITUTE(G513,"?","~?"),"*","~*"))=1,MAX($AA$2:AA512)+1,""))</f>
        <v/>
      </c>
      <c r="AB513">
        <f>IF(B513="","",IF(COUNTIF($B$3:B513,SUBSTITUTE(SUBSTITUTE(B513,"?","~?"),"*","~*"))=1,MAX($AB$2:AB512)+1,""))</f>
        <v/>
      </c>
    </row>
    <row r="514">
      <c r="M514">
        <f>IF(A514="","",LOWER(TRIM(SUBSTITUTE(SUBSTITUTE(A514,"?",""),"*",""))))</f>
        <v/>
      </c>
      <c r="N514">
        <f>IF(M514="","",IF(SUMPRODUCT(ISNUMBER(SEARCH(" "&amp;Settings!$L$5:$L$124&amp;" "," "&amp;M514&amp;" "))*(Settings!$K$5:$K$124="Navigational")*(Settings!$L$5:$L$124&lt;&gt;""))&gt;0,"Navigational",IF(SUMPRODUCT(ISNUMBER(SEARCH(" "&amp;Settings!$L$5:$L$124&amp;" "," "&amp;M514&amp;" "))*(Settings!$K$5:$K$124="Transactional")*(Settings!$L$5:$L$124&lt;&gt;""))&gt;0,"Transactional",IF(SUMPRODUCT(ISNUMBER(SEARCH(" "&amp;Settings!$L$5:$L$124&amp;" "," "&amp;M514&amp;" "))*(Settings!$K$5:$K$124="Commercial")*(Settings!$L$5:$L$124&lt;&gt;""))&gt;0,"Commercial",IF(SUMPRODUCT(ISNUMBER(SEARCH(" "&amp;Settings!$L$5:$L$124&amp;" "," "&amp;M514&amp;" "))*(Settings!$K$5:$K$124="Informational")*(Settings!$L$5:$L$124&lt;&gt;""))&gt;0,"Informational","Unclassified")))))</f>
        <v/>
      </c>
      <c r="O514">
        <f>IF(A514="","",IF(K514&lt;&gt;"",PROPER(K514),N514))</f>
        <v/>
      </c>
      <c r="P514">
        <f>IF(A514="","",ROUND(Settings!$B$5*MIN(1,LOG10(N(C514)+1)/LOG10(Settings!$B$7+1))+Settings!$B$6*(1-MIN(100,IF(D514="",50,N(D514)))/100)+IFERROR(INDEX(Settings!$B$10:$B$14,MATCH(O514,Settings!$A$10:$A$14,0)),0),0))</f>
        <v/>
      </c>
      <c r="Q514">
        <f>IF(OR(A514="",G514=""),"",COUNTIFS($M$3:$M$1002,M514,$G$3:$G$1002,"&lt;&gt;"&amp;SUBSTITUTE(SUBSTITUTE(G514,"?","~?"),"*","~*"),$G$3:$G$1002,"?*"))</f>
        <v/>
      </c>
      <c r="R514">
        <f>IF(Q514="","",IF(Q514&gt;0,"Yes","No"))</f>
        <v/>
      </c>
      <c r="S514">
        <f>IF(G514="","",COUNTIFS($G$3:$G$1002,SUBSTITUTE(SUBSTITUTE(G514,"?","~?"),"*","~*"),$J$3:$J$1002,"Primary"))</f>
        <v/>
      </c>
      <c r="T514">
        <f>IF(S514="","",IF(S514&gt;Settings!$B$4,"Yes","No"))</f>
        <v/>
      </c>
      <c r="U514">
        <f>IF(OR(G514="",B514=""),"",IF(COUNTIFS($G$3:$G$1002,SUBSTITUTE(SUBSTITUTE(G514,"?","~?"),"*","~*"),$B$3:$B$1002,"&lt;&gt;"&amp;SUBSTITUTE(SUBSTITUTE(B514,"?","~?"),"*","~*"),$B$3:$B$1002,"?*")&gt;0,"Yes","No"))</f>
        <v/>
      </c>
      <c r="V514">
        <f>IF(OR(G514="",I514="",O514="",O514="Unclassified"),"",IFERROR(INDEX(Settings!$E$5:$H$16,MATCH(I514,Settings!$D$5:$D$16,0),MATCH(O514,Settings!$E$4:$H$4,0)),"Check"))</f>
        <v/>
      </c>
      <c r="W514">
        <f>IF(V514="","",IF(V514="No","Yes","No"))</f>
        <v/>
      </c>
      <c r="X514">
        <f>IF(OR(E514="",G514=""),"",IF(LOWER(IF(RIGHT(TRIM(E514),1)="/",LEFT(TRIM(E514),LEN(TRIM(E514))-1),TRIM(E514)))&lt;&gt;LOWER(IF(RIGHT(TRIM(G514),1)="/",LEFT(TRIM(G514),LEN(TRIM(G514))-1),TRIM(G514))),"Yes","No"))</f>
        <v/>
      </c>
      <c r="Y514">
        <f>IF(A514="","",(N(Q514)&gt;0)+(T514="Yes")+(U514="Yes")+(W514="Yes")+(X514="Yes"))</f>
        <v/>
      </c>
      <c r="Z514">
        <f>IF(A514="","",IF(G514="","Not mapped",IF(Y514=0,"OK",MID(IF(N(Q514)&gt;0,"; Cannibalisation","")&amp;IF(T514="Yes","; Too many primary keywords on URL","")&amp;IF(U514="Yes","; URL spans 2+ clusters","")&amp;IF(W514="Yes","; Intent mismatch","")&amp;IF(X514="Yes","; Ranking URL is not the target",""),3,300))))</f>
        <v/>
      </c>
      <c r="AA514">
        <f>IF(G514="","",IF(COUNTIF($G$3:G514,SUBSTITUTE(SUBSTITUTE(G514,"?","~?"),"*","~*"))=1,MAX($AA$2:AA513)+1,""))</f>
        <v/>
      </c>
      <c r="AB514">
        <f>IF(B514="","",IF(COUNTIF($B$3:B514,SUBSTITUTE(SUBSTITUTE(B514,"?","~?"),"*","~*"))=1,MAX($AB$2:AB513)+1,""))</f>
        <v/>
      </c>
    </row>
    <row r="515">
      <c r="M515">
        <f>IF(A515="","",LOWER(TRIM(SUBSTITUTE(SUBSTITUTE(A515,"?",""),"*",""))))</f>
        <v/>
      </c>
      <c r="N515">
        <f>IF(M515="","",IF(SUMPRODUCT(ISNUMBER(SEARCH(" "&amp;Settings!$L$5:$L$124&amp;" "," "&amp;M515&amp;" "))*(Settings!$K$5:$K$124="Navigational")*(Settings!$L$5:$L$124&lt;&gt;""))&gt;0,"Navigational",IF(SUMPRODUCT(ISNUMBER(SEARCH(" "&amp;Settings!$L$5:$L$124&amp;" "," "&amp;M515&amp;" "))*(Settings!$K$5:$K$124="Transactional")*(Settings!$L$5:$L$124&lt;&gt;""))&gt;0,"Transactional",IF(SUMPRODUCT(ISNUMBER(SEARCH(" "&amp;Settings!$L$5:$L$124&amp;" "," "&amp;M515&amp;" "))*(Settings!$K$5:$K$124="Commercial")*(Settings!$L$5:$L$124&lt;&gt;""))&gt;0,"Commercial",IF(SUMPRODUCT(ISNUMBER(SEARCH(" "&amp;Settings!$L$5:$L$124&amp;" "," "&amp;M515&amp;" "))*(Settings!$K$5:$K$124="Informational")*(Settings!$L$5:$L$124&lt;&gt;""))&gt;0,"Informational","Unclassified")))))</f>
        <v/>
      </c>
      <c r="O515">
        <f>IF(A515="","",IF(K515&lt;&gt;"",PROPER(K515),N515))</f>
        <v/>
      </c>
      <c r="P515">
        <f>IF(A515="","",ROUND(Settings!$B$5*MIN(1,LOG10(N(C515)+1)/LOG10(Settings!$B$7+1))+Settings!$B$6*(1-MIN(100,IF(D515="",50,N(D515)))/100)+IFERROR(INDEX(Settings!$B$10:$B$14,MATCH(O515,Settings!$A$10:$A$14,0)),0),0))</f>
        <v/>
      </c>
      <c r="Q515">
        <f>IF(OR(A515="",G515=""),"",COUNTIFS($M$3:$M$1002,M515,$G$3:$G$1002,"&lt;&gt;"&amp;SUBSTITUTE(SUBSTITUTE(G515,"?","~?"),"*","~*"),$G$3:$G$1002,"?*"))</f>
        <v/>
      </c>
      <c r="R515">
        <f>IF(Q515="","",IF(Q515&gt;0,"Yes","No"))</f>
        <v/>
      </c>
      <c r="S515">
        <f>IF(G515="","",COUNTIFS($G$3:$G$1002,SUBSTITUTE(SUBSTITUTE(G515,"?","~?"),"*","~*"),$J$3:$J$1002,"Primary"))</f>
        <v/>
      </c>
      <c r="T515">
        <f>IF(S515="","",IF(S515&gt;Settings!$B$4,"Yes","No"))</f>
        <v/>
      </c>
      <c r="U515">
        <f>IF(OR(G515="",B515=""),"",IF(COUNTIFS($G$3:$G$1002,SUBSTITUTE(SUBSTITUTE(G515,"?","~?"),"*","~*"),$B$3:$B$1002,"&lt;&gt;"&amp;SUBSTITUTE(SUBSTITUTE(B515,"?","~?"),"*","~*"),$B$3:$B$1002,"?*")&gt;0,"Yes","No"))</f>
        <v/>
      </c>
      <c r="V515">
        <f>IF(OR(G515="",I515="",O515="",O515="Unclassified"),"",IFERROR(INDEX(Settings!$E$5:$H$16,MATCH(I515,Settings!$D$5:$D$16,0),MATCH(O515,Settings!$E$4:$H$4,0)),"Check"))</f>
        <v/>
      </c>
      <c r="W515">
        <f>IF(V515="","",IF(V515="No","Yes","No"))</f>
        <v/>
      </c>
      <c r="X515">
        <f>IF(OR(E515="",G515=""),"",IF(LOWER(IF(RIGHT(TRIM(E515),1)="/",LEFT(TRIM(E515),LEN(TRIM(E515))-1),TRIM(E515)))&lt;&gt;LOWER(IF(RIGHT(TRIM(G515),1)="/",LEFT(TRIM(G515),LEN(TRIM(G515))-1),TRIM(G515))),"Yes","No"))</f>
        <v/>
      </c>
      <c r="Y515">
        <f>IF(A515="","",(N(Q515)&gt;0)+(T515="Yes")+(U515="Yes")+(W515="Yes")+(X515="Yes"))</f>
        <v/>
      </c>
      <c r="Z515">
        <f>IF(A515="","",IF(G515="","Not mapped",IF(Y515=0,"OK",MID(IF(N(Q515)&gt;0,"; Cannibalisation","")&amp;IF(T515="Yes","; Too many primary keywords on URL","")&amp;IF(U515="Yes","; URL spans 2+ clusters","")&amp;IF(W515="Yes","; Intent mismatch","")&amp;IF(X515="Yes","; Ranking URL is not the target",""),3,300))))</f>
        <v/>
      </c>
      <c r="AA515">
        <f>IF(G515="","",IF(COUNTIF($G$3:G515,SUBSTITUTE(SUBSTITUTE(G515,"?","~?"),"*","~*"))=1,MAX($AA$2:AA514)+1,""))</f>
        <v/>
      </c>
      <c r="AB515">
        <f>IF(B515="","",IF(COUNTIF($B$3:B515,SUBSTITUTE(SUBSTITUTE(B515,"?","~?"),"*","~*"))=1,MAX($AB$2:AB514)+1,""))</f>
        <v/>
      </c>
    </row>
    <row r="516">
      <c r="M516">
        <f>IF(A516="","",LOWER(TRIM(SUBSTITUTE(SUBSTITUTE(A516,"?",""),"*",""))))</f>
        <v/>
      </c>
      <c r="N516">
        <f>IF(M516="","",IF(SUMPRODUCT(ISNUMBER(SEARCH(" "&amp;Settings!$L$5:$L$124&amp;" "," "&amp;M516&amp;" "))*(Settings!$K$5:$K$124="Navigational")*(Settings!$L$5:$L$124&lt;&gt;""))&gt;0,"Navigational",IF(SUMPRODUCT(ISNUMBER(SEARCH(" "&amp;Settings!$L$5:$L$124&amp;" "," "&amp;M516&amp;" "))*(Settings!$K$5:$K$124="Transactional")*(Settings!$L$5:$L$124&lt;&gt;""))&gt;0,"Transactional",IF(SUMPRODUCT(ISNUMBER(SEARCH(" "&amp;Settings!$L$5:$L$124&amp;" "," "&amp;M516&amp;" "))*(Settings!$K$5:$K$124="Commercial")*(Settings!$L$5:$L$124&lt;&gt;""))&gt;0,"Commercial",IF(SUMPRODUCT(ISNUMBER(SEARCH(" "&amp;Settings!$L$5:$L$124&amp;" "," "&amp;M516&amp;" "))*(Settings!$K$5:$K$124="Informational")*(Settings!$L$5:$L$124&lt;&gt;""))&gt;0,"Informational","Unclassified")))))</f>
        <v/>
      </c>
      <c r="O516">
        <f>IF(A516="","",IF(K516&lt;&gt;"",PROPER(K516),N516))</f>
        <v/>
      </c>
      <c r="P516">
        <f>IF(A516="","",ROUND(Settings!$B$5*MIN(1,LOG10(N(C516)+1)/LOG10(Settings!$B$7+1))+Settings!$B$6*(1-MIN(100,IF(D516="",50,N(D516)))/100)+IFERROR(INDEX(Settings!$B$10:$B$14,MATCH(O516,Settings!$A$10:$A$14,0)),0),0))</f>
        <v/>
      </c>
      <c r="Q516">
        <f>IF(OR(A516="",G516=""),"",COUNTIFS($M$3:$M$1002,M516,$G$3:$G$1002,"&lt;&gt;"&amp;SUBSTITUTE(SUBSTITUTE(G516,"?","~?"),"*","~*"),$G$3:$G$1002,"?*"))</f>
        <v/>
      </c>
      <c r="R516">
        <f>IF(Q516="","",IF(Q516&gt;0,"Yes","No"))</f>
        <v/>
      </c>
      <c r="S516">
        <f>IF(G516="","",COUNTIFS($G$3:$G$1002,SUBSTITUTE(SUBSTITUTE(G516,"?","~?"),"*","~*"),$J$3:$J$1002,"Primary"))</f>
        <v/>
      </c>
      <c r="T516">
        <f>IF(S516="","",IF(S516&gt;Settings!$B$4,"Yes","No"))</f>
        <v/>
      </c>
      <c r="U516">
        <f>IF(OR(G516="",B516=""),"",IF(COUNTIFS($G$3:$G$1002,SUBSTITUTE(SUBSTITUTE(G516,"?","~?"),"*","~*"),$B$3:$B$1002,"&lt;&gt;"&amp;SUBSTITUTE(SUBSTITUTE(B516,"?","~?"),"*","~*"),$B$3:$B$1002,"?*")&gt;0,"Yes","No"))</f>
        <v/>
      </c>
      <c r="V516">
        <f>IF(OR(G516="",I516="",O516="",O516="Unclassified"),"",IFERROR(INDEX(Settings!$E$5:$H$16,MATCH(I516,Settings!$D$5:$D$16,0),MATCH(O516,Settings!$E$4:$H$4,0)),"Check"))</f>
        <v/>
      </c>
      <c r="W516">
        <f>IF(V516="","",IF(V516="No","Yes","No"))</f>
        <v/>
      </c>
      <c r="X516">
        <f>IF(OR(E516="",G516=""),"",IF(LOWER(IF(RIGHT(TRIM(E516),1)="/",LEFT(TRIM(E516),LEN(TRIM(E516))-1),TRIM(E516)))&lt;&gt;LOWER(IF(RIGHT(TRIM(G516),1)="/",LEFT(TRIM(G516),LEN(TRIM(G516))-1),TRIM(G516))),"Yes","No"))</f>
        <v/>
      </c>
      <c r="Y516">
        <f>IF(A516="","",(N(Q516)&gt;0)+(T516="Yes")+(U516="Yes")+(W516="Yes")+(X516="Yes"))</f>
        <v/>
      </c>
      <c r="Z516">
        <f>IF(A516="","",IF(G516="","Not mapped",IF(Y516=0,"OK",MID(IF(N(Q516)&gt;0,"; Cannibalisation","")&amp;IF(T516="Yes","; Too many primary keywords on URL","")&amp;IF(U516="Yes","; URL spans 2+ clusters","")&amp;IF(W516="Yes","; Intent mismatch","")&amp;IF(X516="Yes","; Ranking URL is not the target",""),3,300))))</f>
        <v/>
      </c>
      <c r="AA516">
        <f>IF(G516="","",IF(COUNTIF($G$3:G516,SUBSTITUTE(SUBSTITUTE(G516,"?","~?"),"*","~*"))=1,MAX($AA$2:AA515)+1,""))</f>
        <v/>
      </c>
      <c r="AB516">
        <f>IF(B516="","",IF(COUNTIF($B$3:B516,SUBSTITUTE(SUBSTITUTE(B516,"?","~?"),"*","~*"))=1,MAX($AB$2:AB515)+1,""))</f>
        <v/>
      </c>
    </row>
    <row r="517">
      <c r="M517">
        <f>IF(A517="","",LOWER(TRIM(SUBSTITUTE(SUBSTITUTE(A517,"?",""),"*",""))))</f>
        <v/>
      </c>
      <c r="N517">
        <f>IF(M517="","",IF(SUMPRODUCT(ISNUMBER(SEARCH(" "&amp;Settings!$L$5:$L$124&amp;" "," "&amp;M517&amp;" "))*(Settings!$K$5:$K$124="Navigational")*(Settings!$L$5:$L$124&lt;&gt;""))&gt;0,"Navigational",IF(SUMPRODUCT(ISNUMBER(SEARCH(" "&amp;Settings!$L$5:$L$124&amp;" "," "&amp;M517&amp;" "))*(Settings!$K$5:$K$124="Transactional")*(Settings!$L$5:$L$124&lt;&gt;""))&gt;0,"Transactional",IF(SUMPRODUCT(ISNUMBER(SEARCH(" "&amp;Settings!$L$5:$L$124&amp;" "," "&amp;M517&amp;" "))*(Settings!$K$5:$K$124="Commercial")*(Settings!$L$5:$L$124&lt;&gt;""))&gt;0,"Commercial",IF(SUMPRODUCT(ISNUMBER(SEARCH(" "&amp;Settings!$L$5:$L$124&amp;" "," "&amp;M517&amp;" "))*(Settings!$K$5:$K$124="Informational")*(Settings!$L$5:$L$124&lt;&gt;""))&gt;0,"Informational","Unclassified")))))</f>
        <v/>
      </c>
      <c r="O517">
        <f>IF(A517="","",IF(K517&lt;&gt;"",PROPER(K517),N517))</f>
        <v/>
      </c>
      <c r="P517">
        <f>IF(A517="","",ROUND(Settings!$B$5*MIN(1,LOG10(N(C517)+1)/LOG10(Settings!$B$7+1))+Settings!$B$6*(1-MIN(100,IF(D517="",50,N(D517)))/100)+IFERROR(INDEX(Settings!$B$10:$B$14,MATCH(O517,Settings!$A$10:$A$14,0)),0),0))</f>
        <v/>
      </c>
      <c r="Q517">
        <f>IF(OR(A517="",G517=""),"",COUNTIFS($M$3:$M$1002,M517,$G$3:$G$1002,"&lt;&gt;"&amp;SUBSTITUTE(SUBSTITUTE(G517,"?","~?"),"*","~*"),$G$3:$G$1002,"?*"))</f>
        <v/>
      </c>
      <c r="R517">
        <f>IF(Q517="","",IF(Q517&gt;0,"Yes","No"))</f>
        <v/>
      </c>
      <c r="S517">
        <f>IF(G517="","",COUNTIFS($G$3:$G$1002,SUBSTITUTE(SUBSTITUTE(G517,"?","~?"),"*","~*"),$J$3:$J$1002,"Primary"))</f>
        <v/>
      </c>
      <c r="T517">
        <f>IF(S517="","",IF(S517&gt;Settings!$B$4,"Yes","No"))</f>
        <v/>
      </c>
      <c r="U517">
        <f>IF(OR(G517="",B517=""),"",IF(COUNTIFS($G$3:$G$1002,SUBSTITUTE(SUBSTITUTE(G517,"?","~?"),"*","~*"),$B$3:$B$1002,"&lt;&gt;"&amp;SUBSTITUTE(SUBSTITUTE(B517,"?","~?"),"*","~*"),$B$3:$B$1002,"?*")&gt;0,"Yes","No"))</f>
        <v/>
      </c>
      <c r="V517">
        <f>IF(OR(G517="",I517="",O517="",O517="Unclassified"),"",IFERROR(INDEX(Settings!$E$5:$H$16,MATCH(I517,Settings!$D$5:$D$16,0),MATCH(O517,Settings!$E$4:$H$4,0)),"Check"))</f>
        <v/>
      </c>
      <c r="W517">
        <f>IF(V517="","",IF(V517="No","Yes","No"))</f>
        <v/>
      </c>
      <c r="X517">
        <f>IF(OR(E517="",G517=""),"",IF(LOWER(IF(RIGHT(TRIM(E517),1)="/",LEFT(TRIM(E517),LEN(TRIM(E517))-1),TRIM(E517)))&lt;&gt;LOWER(IF(RIGHT(TRIM(G517),1)="/",LEFT(TRIM(G517),LEN(TRIM(G517))-1),TRIM(G517))),"Yes","No"))</f>
        <v/>
      </c>
      <c r="Y517">
        <f>IF(A517="","",(N(Q517)&gt;0)+(T517="Yes")+(U517="Yes")+(W517="Yes")+(X517="Yes"))</f>
        <v/>
      </c>
      <c r="Z517">
        <f>IF(A517="","",IF(G517="","Not mapped",IF(Y517=0,"OK",MID(IF(N(Q517)&gt;0,"; Cannibalisation","")&amp;IF(T517="Yes","; Too many primary keywords on URL","")&amp;IF(U517="Yes","; URL spans 2+ clusters","")&amp;IF(W517="Yes","; Intent mismatch","")&amp;IF(X517="Yes","; Ranking URL is not the target",""),3,300))))</f>
        <v/>
      </c>
      <c r="AA517">
        <f>IF(G517="","",IF(COUNTIF($G$3:G517,SUBSTITUTE(SUBSTITUTE(G517,"?","~?"),"*","~*"))=1,MAX($AA$2:AA516)+1,""))</f>
        <v/>
      </c>
      <c r="AB517">
        <f>IF(B517="","",IF(COUNTIF($B$3:B517,SUBSTITUTE(SUBSTITUTE(B517,"?","~?"),"*","~*"))=1,MAX($AB$2:AB516)+1,""))</f>
        <v/>
      </c>
    </row>
    <row r="518">
      <c r="M518">
        <f>IF(A518="","",LOWER(TRIM(SUBSTITUTE(SUBSTITUTE(A518,"?",""),"*",""))))</f>
        <v/>
      </c>
      <c r="N518">
        <f>IF(M518="","",IF(SUMPRODUCT(ISNUMBER(SEARCH(" "&amp;Settings!$L$5:$L$124&amp;" "," "&amp;M518&amp;" "))*(Settings!$K$5:$K$124="Navigational")*(Settings!$L$5:$L$124&lt;&gt;""))&gt;0,"Navigational",IF(SUMPRODUCT(ISNUMBER(SEARCH(" "&amp;Settings!$L$5:$L$124&amp;" "," "&amp;M518&amp;" "))*(Settings!$K$5:$K$124="Transactional")*(Settings!$L$5:$L$124&lt;&gt;""))&gt;0,"Transactional",IF(SUMPRODUCT(ISNUMBER(SEARCH(" "&amp;Settings!$L$5:$L$124&amp;" "," "&amp;M518&amp;" "))*(Settings!$K$5:$K$124="Commercial")*(Settings!$L$5:$L$124&lt;&gt;""))&gt;0,"Commercial",IF(SUMPRODUCT(ISNUMBER(SEARCH(" "&amp;Settings!$L$5:$L$124&amp;" "," "&amp;M518&amp;" "))*(Settings!$K$5:$K$124="Informational")*(Settings!$L$5:$L$124&lt;&gt;""))&gt;0,"Informational","Unclassified")))))</f>
        <v/>
      </c>
      <c r="O518">
        <f>IF(A518="","",IF(K518&lt;&gt;"",PROPER(K518),N518))</f>
        <v/>
      </c>
      <c r="P518">
        <f>IF(A518="","",ROUND(Settings!$B$5*MIN(1,LOG10(N(C518)+1)/LOG10(Settings!$B$7+1))+Settings!$B$6*(1-MIN(100,IF(D518="",50,N(D518)))/100)+IFERROR(INDEX(Settings!$B$10:$B$14,MATCH(O518,Settings!$A$10:$A$14,0)),0),0))</f>
        <v/>
      </c>
      <c r="Q518">
        <f>IF(OR(A518="",G518=""),"",COUNTIFS($M$3:$M$1002,M518,$G$3:$G$1002,"&lt;&gt;"&amp;SUBSTITUTE(SUBSTITUTE(G518,"?","~?"),"*","~*"),$G$3:$G$1002,"?*"))</f>
        <v/>
      </c>
      <c r="R518">
        <f>IF(Q518="","",IF(Q518&gt;0,"Yes","No"))</f>
        <v/>
      </c>
      <c r="S518">
        <f>IF(G518="","",COUNTIFS($G$3:$G$1002,SUBSTITUTE(SUBSTITUTE(G518,"?","~?"),"*","~*"),$J$3:$J$1002,"Primary"))</f>
        <v/>
      </c>
      <c r="T518">
        <f>IF(S518="","",IF(S518&gt;Settings!$B$4,"Yes","No"))</f>
        <v/>
      </c>
      <c r="U518">
        <f>IF(OR(G518="",B518=""),"",IF(COUNTIFS($G$3:$G$1002,SUBSTITUTE(SUBSTITUTE(G518,"?","~?"),"*","~*"),$B$3:$B$1002,"&lt;&gt;"&amp;SUBSTITUTE(SUBSTITUTE(B518,"?","~?"),"*","~*"),$B$3:$B$1002,"?*")&gt;0,"Yes","No"))</f>
        <v/>
      </c>
      <c r="V518">
        <f>IF(OR(G518="",I518="",O518="",O518="Unclassified"),"",IFERROR(INDEX(Settings!$E$5:$H$16,MATCH(I518,Settings!$D$5:$D$16,0),MATCH(O518,Settings!$E$4:$H$4,0)),"Check"))</f>
        <v/>
      </c>
      <c r="W518">
        <f>IF(V518="","",IF(V518="No","Yes","No"))</f>
        <v/>
      </c>
      <c r="X518">
        <f>IF(OR(E518="",G518=""),"",IF(LOWER(IF(RIGHT(TRIM(E518),1)="/",LEFT(TRIM(E518),LEN(TRIM(E518))-1),TRIM(E518)))&lt;&gt;LOWER(IF(RIGHT(TRIM(G518),1)="/",LEFT(TRIM(G518),LEN(TRIM(G518))-1),TRIM(G518))),"Yes","No"))</f>
        <v/>
      </c>
      <c r="Y518">
        <f>IF(A518="","",(N(Q518)&gt;0)+(T518="Yes")+(U518="Yes")+(W518="Yes")+(X518="Yes"))</f>
        <v/>
      </c>
      <c r="Z518">
        <f>IF(A518="","",IF(G518="","Not mapped",IF(Y518=0,"OK",MID(IF(N(Q518)&gt;0,"; Cannibalisation","")&amp;IF(T518="Yes","; Too many primary keywords on URL","")&amp;IF(U518="Yes","; URL spans 2+ clusters","")&amp;IF(W518="Yes","; Intent mismatch","")&amp;IF(X518="Yes","; Ranking URL is not the target",""),3,300))))</f>
        <v/>
      </c>
      <c r="AA518">
        <f>IF(G518="","",IF(COUNTIF($G$3:G518,SUBSTITUTE(SUBSTITUTE(G518,"?","~?"),"*","~*"))=1,MAX($AA$2:AA517)+1,""))</f>
        <v/>
      </c>
      <c r="AB518">
        <f>IF(B518="","",IF(COUNTIF($B$3:B518,SUBSTITUTE(SUBSTITUTE(B518,"?","~?"),"*","~*"))=1,MAX($AB$2:AB517)+1,""))</f>
        <v/>
      </c>
    </row>
    <row r="519">
      <c r="M519">
        <f>IF(A519="","",LOWER(TRIM(SUBSTITUTE(SUBSTITUTE(A519,"?",""),"*",""))))</f>
        <v/>
      </c>
      <c r="N519">
        <f>IF(M519="","",IF(SUMPRODUCT(ISNUMBER(SEARCH(" "&amp;Settings!$L$5:$L$124&amp;" "," "&amp;M519&amp;" "))*(Settings!$K$5:$K$124="Navigational")*(Settings!$L$5:$L$124&lt;&gt;""))&gt;0,"Navigational",IF(SUMPRODUCT(ISNUMBER(SEARCH(" "&amp;Settings!$L$5:$L$124&amp;" "," "&amp;M519&amp;" "))*(Settings!$K$5:$K$124="Transactional")*(Settings!$L$5:$L$124&lt;&gt;""))&gt;0,"Transactional",IF(SUMPRODUCT(ISNUMBER(SEARCH(" "&amp;Settings!$L$5:$L$124&amp;" "," "&amp;M519&amp;" "))*(Settings!$K$5:$K$124="Commercial")*(Settings!$L$5:$L$124&lt;&gt;""))&gt;0,"Commercial",IF(SUMPRODUCT(ISNUMBER(SEARCH(" "&amp;Settings!$L$5:$L$124&amp;" "," "&amp;M519&amp;" "))*(Settings!$K$5:$K$124="Informational")*(Settings!$L$5:$L$124&lt;&gt;""))&gt;0,"Informational","Unclassified")))))</f>
        <v/>
      </c>
      <c r="O519">
        <f>IF(A519="","",IF(K519&lt;&gt;"",PROPER(K519),N519))</f>
        <v/>
      </c>
      <c r="P519">
        <f>IF(A519="","",ROUND(Settings!$B$5*MIN(1,LOG10(N(C519)+1)/LOG10(Settings!$B$7+1))+Settings!$B$6*(1-MIN(100,IF(D519="",50,N(D519)))/100)+IFERROR(INDEX(Settings!$B$10:$B$14,MATCH(O519,Settings!$A$10:$A$14,0)),0),0))</f>
        <v/>
      </c>
      <c r="Q519">
        <f>IF(OR(A519="",G519=""),"",COUNTIFS($M$3:$M$1002,M519,$G$3:$G$1002,"&lt;&gt;"&amp;SUBSTITUTE(SUBSTITUTE(G519,"?","~?"),"*","~*"),$G$3:$G$1002,"?*"))</f>
        <v/>
      </c>
      <c r="R519">
        <f>IF(Q519="","",IF(Q519&gt;0,"Yes","No"))</f>
        <v/>
      </c>
      <c r="S519">
        <f>IF(G519="","",COUNTIFS($G$3:$G$1002,SUBSTITUTE(SUBSTITUTE(G519,"?","~?"),"*","~*"),$J$3:$J$1002,"Primary"))</f>
        <v/>
      </c>
      <c r="T519">
        <f>IF(S519="","",IF(S519&gt;Settings!$B$4,"Yes","No"))</f>
        <v/>
      </c>
      <c r="U519">
        <f>IF(OR(G519="",B519=""),"",IF(COUNTIFS($G$3:$G$1002,SUBSTITUTE(SUBSTITUTE(G519,"?","~?"),"*","~*"),$B$3:$B$1002,"&lt;&gt;"&amp;SUBSTITUTE(SUBSTITUTE(B519,"?","~?"),"*","~*"),$B$3:$B$1002,"?*")&gt;0,"Yes","No"))</f>
        <v/>
      </c>
      <c r="V519">
        <f>IF(OR(G519="",I519="",O519="",O519="Unclassified"),"",IFERROR(INDEX(Settings!$E$5:$H$16,MATCH(I519,Settings!$D$5:$D$16,0),MATCH(O519,Settings!$E$4:$H$4,0)),"Check"))</f>
        <v/>
      </c>
      <c r="W519">
        <f>IF(V519="","",IF(V519="No","Yes","No"))</f>
        <v/>
      </c>
      <c r="X519">
        <f>IF(OR(E519="",G519=""),"",IF(LOWER(IF(RIGHT(TRIM(E519),1)="/",LEFT(TRIM(E519),LEN(TRIM(E519))-1),TRIM(E519)))&lt;&gt;LOWER(IF(RIGHT(TRIM(G519),1)="/",LEFT(TRIM(G519),LEN(TRIM(G519))-1),TRIM(G519))),"Yes","No"))</f>
        <v/>
      </c>
      <c r="Y519">
        <f>IF(A519="","",(N(Q519)&gt;0)+(T519="Yes")+(U519="Yes")+(W519="Yes")+(X519="Yes"))</f>
        <v/>
      </c>
      <c r="Z519">
        <f>IF(A519="","",IF(G519="","Not mapped",IF(Y519=0,"OK",MID(IF(N(Q519)&gt;0,"; Cannibalisation","")&amp;IF(T519="Yes","; Too many primary keywords on URL","")&amp;IF(U519="Yes","; URL spans 2+ clusters","")&amp;IF(W519="Yes","; Intent mismatch","")&amp;IF(X519="Yes","; Ranking URL is not the target",""),3,300))))</f>
        <v/>
      </c>
      <c r="AA519">
        <f>IF(G519="","",IF(COUNTIF($G$3:G519,SUBSTITUTE(SUBSTITUTE(G519,"?","~?"),"*","~*"))=1,MAX($AA$2:AA518)+1,""))</f>
        <v/>
      </c>
      <c r="AB519">
        <f>IF(B519="","",IF(COUNTIF($B$3:B519,SUBSTITUTE(SUBSTITUTE(B519,"?","~?"),"*","~*"))=1,MAX($AB$2:AB518)+1,""))</f>
        <v/>
      </c>
    </row>
    <row r="520">
      <c r="M520">
        <f>IF(A520="","",LOWER(TRIM(SUBSTITUTE(SUBSTITUTE(A520,"?",""),"*",""))))</f>
        <v/>
      </c>
      <c r="N520">
        <f>IF(M520="","",IF(SUMPRODUCT(ISNUMBER(SEARCH(" "&amp;Settings!$L$5:$L$124&amp;" "," "&amp;M520&amp;" "))*(Settings!$K$5:$K$124="Navigational")*(Settings!$L$5:$L$124&lt;&gt;""))&gt;0,"Navigational",IF(SUMPRODUCT(ISNUMBER(SEARCH(" "&amp;Settings!$L$5:$L$124&amp;" "," "&amp;M520&amp;" "))*(Settings!$K$5:$K$124="Transactional")*(Settings!$L$5:$L$124&lt;&gt;""))&gt;0,"Transactional",IF(SUMPRODUCT(ISNUMBER(SEARCH(" "&amp;Settings!$L$5:$L$124&amp;" "," "&amp;M520&amp;" "))*(Settings!$K$5:$K$124="Commercial")*(Settings!$L$5:$L$124&lt;&gt;""))&gt;0,"Commercial",IF(SUMPRODUCT(ISNUMBER(SEARCH(" "&amp;Settings!$L$5:$L$124&amp;" "," "&amp;M520&amp;" "))*(Settings!$K$5:$K$124="Informational")*(Settings!$L$5:$L$124&lt;&gt;""))&gt;0,"Informational","Unclassified")))))</f>
        <v/>
      </c>
      <c r="O520">
        <f>IF(A520="","",IF(K520&lt;&gt;"",PROPER(K520),N520))</f>
        <v/>
      </c>
      <c r="P520">
        <f>IF(A520="","",ROUND(Settings!$B$5*MIN(1,LOG10(N(C520)+1)/LOG10(Settings!$B$7+1))+Settings!$B$6*(1-MIN(100,IF(D520="",50,N(D520)))/100)+IFERROR(INDEX(Settings!$B$10:$B$14,MATCH(O520,Settings!$A$10:$A$14,0)),0),0))</f>
        <v/>
      </c>
      <c r="Q520">
        <f>IF(OR(A520="",G520=""),"",COUNTIFS($M$3:$M$1002,M520,$G$3:$G$1002,"&lt;&gt;"&amp;SUBSTITUTE(SUBSTITUTE(G520,"?","~?"),"*","~*"),$G$3:$G$1002,"?*"))</f>
        <v/>
      </c>
      <c r="R520">
        <f>IF(Q520="","",IF(Q520&gt;0,"Yes","No"))</f>
        <v/>
      </c>
      <c r="S520">
        <f>IF(G520="","",COUNTIFS($G$3:$G$1002,SUBSTITUTE(SUBSTITUTE(G520,"?","~?"),"*","~*"),$J$3:$J$1002,"Primary"))</f>
        <v/>
      </c>
      <c r="T520">
        <f>IF(S520="","",IF(S520&gt;Settings!$B$4,"Yes","No"))</f>
        <v/>
      </c>
      <c r="U520">
        <f>IF(OR(G520="",B520=""),"",IF(COUNTIFS($G$3:$G$1002,SUBSTITUTE(SUBSTITUTE(G520,"?","~?"),"*","~*"),$B$3:$B$1002,"&lt;&gt;"&amp;SUBSTITUTE(SUBSTITUTE(B520,"?","~?"),"*","~*"),$B$3:$B$1002,"?*")&gt;0,"Yes","No"))</f>
        <v/>
      </c>
      <c r="V520">
        <f>IF(OR(G520="",I520="",O520="",O520="Unclassified"),"",IFERROR(INDEX(Settings!$E$5:$H$16,MATCH(I520,Settings!$D$5:$D$16,0),MATCH(O520,Settings!$E$4:$H$4,0)),"Check"))</f>
        <v/>
      </c>
      <c r="W520">
        <f>IF(V520="","",IF(V520="No","Yes","No"))</f>
        <v/>
      </c>
      <c r="X520">
        <f>IF(OR(E520="",G520=""),"",IF(LOWER(IF(RIGHT(TRIM(E520),1)="/",LEFT(TRIM(E520),LEN(TRIM(E520))-1),TRIM(E520)))&lt;&gt;LOWER(IF(RIGHT(TRIM(G520),1)="/",LEFT(TRIM(G520),LEN(TRIM(G520))-1),TRIM(G520))),"Yes","No"))</f>
        <v/>
      </c>
      <c r="Y520">
        <f>IF(A520="","",(N(Q520)&gt;0)+(T520="Yes")+(U520="Yes")+(W520="Yes")+(X520="Yes"))</f>
        <v/>
      </c>
      <c r="Z520">
        <f>IF(A520="","",IF(G520="","Not mapped",IF(Y520=0,"OK",MID(IF(N(Q520)&gt;0,"; Cannibalisation","")&amp;IF(T520="Yes","; Too many primary keywords on URL","")&amp;IF(U520="Yes","; URL spans 2+ clusters","")&amp;IF(W520="Yes","; Intent mismatch","")&amp;IF(X520="Yes","; Ranking URL is not the target",""),3,300))))</f>
        <v/>
      </c>
      <c r="AA520">
        <f>IF(G520="","",IF(COUNTIF($G$3:G520,SUBSTITUTE(SUBSTITUTE(G520,"?","~?"),"*","~*"))=1,MAX($AA$2:AA519)+1,""))</f>
        <v/>
      </c>
      <c r="AB520">
        <f>IF(B520="","",IF(COUNTIF($B$3:B520,SUBSTITUTE(SUBSTITUTE(B520,"?","~?"),"*","~*"))=1,MAX($AB$2:AB519)+1,""))</f>
        <v/>
      </c>
    </row>
    <row r="521">
      <c r="M521">
        <f>IF(A521="","",LOWER(TRIM(SUBSTITUTE(SUBSTITUTE(A521,"?",""),"*",""))))</f>
        <v/>
      </c>
      <c r="N521">
        <f>IF(M521="","",IF(SUMPRODUCT(ISNUMBER(SEARCH(" "&amp;Settings!$L$5:$L$124&amp;" "," "&amp;M521&amp;" "))*(Settings!$K$5:$K$124="Navigational")*(Settings!$L$5:$L$124&lt;&gt;""))&gt;0,"Navigational",IF(SUMPRODUCT(ISNUMBER(SEARCH(" "&amp;Settings!$L$5:$L$124&amp;" "," "&amp;M521&amp;" "))*(Settings!$K$5:$K$124="Transactional")*(Settings!$L$5:$L$124&lt;&gt;""))&gt;0,"Transactional",IF(SUMPRODUCT(ISNUMBER(SEARCH(" "&amp;Settings!$L$5:$L$124&amp;" "," "&amp;M521&amp;" "))*(Settings!$K$5:$K$124="Commercial")*(Settings!$L$5:$L$124&lt;&gt;""))&gt;0,"Commercial",IF(SUMPRODUCT(ISNUMBER(SEARCH(" "&amp;Settings!$L$5:$L$124&amp;" "," "&amp;M521&amp;" "))*(Settings!$K$5:$K$124="Informational")*(Settings!$L$5:$L$124&lt;&gt;""))&gt;0,"Informational","Unclassified")))))</f>
        <v/>
      </c>
      <c r="O521">
        <f>IF(A521="","",IF(K521&lt;&gt;"",PROPER(K521),N521))</f>
        <v/>
      </c>
      <c r="P521">
        <f>IF(A521="","",ROUND(Settings!$B$5*MIN(1,LOG10(N(C521)+1)/LOG10(Settings!$B$7+1))+Settings!$B$6*(1-MIN(100,IF(D521="",50,N(D521)))/100)+IFERROR(INDEX(Settings!$B$10:$B$14,MATCH(O521,Settings!$A$10:$A$14,0)),0),0))</f>
        <v/>
      </c>
      <c r="Q521">
        <f>IF(OR(A521="",G521=""),"",COUNTIFS($M$3:$M$1002,M521,$G$3:$G$1002,"&lt;&gt;"&amp;SUBSTITUTE(SUBSTITUTE(G521,"?","~?"),"*","~*"),$G$3:$G$1002,"?*"))</f>
        <v/>
      </c>
      <c r="R521">
        <f>IF(Q521="","",IF(Q521&gt;0,"Yes","No"))</f>
        <v/>
      </c>
      <c r="S521">
        <f>IF(G521="","",COUNTIFS($G$3:$G$1002,SUBSTITUTE(SUBSTITUTE(G521,"?","~?"),"*","~*"),$J$3:$J$1002,"Primary"))</f>
        <v/>
      </c>
      <c r="T521">
        <f>IF(S521="","",IF(S521&gt;Settings!$B$4,"Yes","No"))</f>
        <v/>
      </c>
      <c r="U521">
        <f>IF(OR(G521="",B521=""),"",IF(COUNTIFS($G$3:$G$1002,SUBSTITUTE(SUBSTITUTE(G521,"?","~?"),"*","~*"),$B$3:$B$1002,"&lt;&gt;"&amp;SUBSTITUTE(SUBSTITUTE(B521,"?","~?"),"*","~*"),$B$3:$B$1002,"?*")&gt;0,"Yes","No"))</f>
        <v/>
      </c>
      <c r="V521">
        <f>IF(OR(G521="",I521="",O521="",O521="Unclassified"),"",IFERROR(INDEX(Settings!$E$5:$H$16,MATCH(I521,Settings!$D$5:$D$16,0),MATCH(O521,Settings!$E$4:$H$4,0)),"Check"))</f>
        <v/>
      </c>
      <c r="W521">
        <f>IF(V521="","",IF(V521="No","Yes","No"))</f>
        <v/>
      </c>
      <c r="X521">
        <f>IF(OR(E521="",G521=""),"",IF(LOWER(IF(RIGHT(TRIM(E521),1)="/",LEFT(TRIM(E521),LEN(TRIM(E521))-1),TRIM(E521)))&lt;&gt;LOWER(IF(RIGHT(TRIM(G521),1)="/",LEFT(TRIM(G521),LEN(TRIM(G521))-1),TRIM(G521))),"Yes","No"))</f>
        <v/>
      </c>
      <c r="Y521">
        <f>IF(A521="","",(N(Q521)&gt;0)+(T521="Yes")+(U521="Yes")+(W521="Yes")+(X521="Yes"))</f>
        <v/>
      </c>
      <c r="Z521">
        <f>IF(A521="","",IF(G521="","Not mapped",IF(Y521=0,"OK",MID(IF(N(Q521)&gt;0,"; Cannibalisation","")&amp;IF(T521="Yes","; Too many primary keywords on URL","")&amp;IF(U521="Yes","; URL spans 2+ clusters","")&amp;IF(W521="Yes","; Intent mismatch","")&amp;IF(X521="Yes","; Ranking URL is not the target",""),3,300))))</f>
        <v/>
      </c>
      <c r="AA521">
        <f>IF(G521="","",IF(COUNTIF($G$3:G521,SUBSTITUTE(SUBSTITUTE(G521,"?","~?"),"*","~*"))=1,MAX($AA$2:AA520)+1,""))</f>
        <v/>
      </c>
      <c r="AB521">
        <f>IF(B521="","",IF(COUNTIF($B$3:B521,SUBSTITUTE(SUBSTITUTE(B521,"?","~?"),"*","~*"))=1,MAX($AB$2:AB520)+1,""))</f>
        <v/>
      </c>
    </row>
    <row r="522">
      <c r="M522">
        <f>IF(A522="","",LOWER(TRIM(SUBSTITUTE(SUBSTITUTE(A522,"?",""),"*",""))))</f>
        <v/>
      </c>
      <c r="N522">
        <f>IF(M522="","",IF(SUMPRODUCT(ISNUMBER(SEARCH(" "&amp;Settings!$L$5:$L$124&amp;" "," "&amp;M522&amp;" "))*(Settings!$K$5:$K$124="Navigational")*(Settings!$L$5:$L$124&lt;&gt;""))&gt;0,"Navigational",IF(SUMPRODUCT(ISNUMBER(SEARCH(" "&amp;Settings!$L$5:$L$124&amp;" "," "&amp;M522&amp;" "))*(Settings!$K$5:$K$124="Transactional")*(Settings!$L$5:$L$124&lt;&gt;""))&gt;0,"Transactional",IF(SUMPRODUCT(ISNUMBER(SEARCH(" "&amp;Settings!$L$5:$L$124&amp;" "," "&amp;M522&amp;" "))*(Settings!$K$5:$K$124="Commercial")*(Settings!$L$5:$L$124&lt;&gt;""))&gt;0,"Commercial",IF(SUMPRODUCT(ISNUMBER(SEARCH(" "&amp;Settings!$L$5:$L$124&amp;" "," "&amp;M522&amp;" "))*(Settings!$K$5:$K$124="Informational")*(Settings!$L$5:$L$124&lt;&gt;""))&gt;0,"Informational","Unclassified")))))</f>
        <v/>
      </c>
      <c r="O522">
        <f>IF(A522="","",IF(K522&lt;&gt;"",PROPER(K522),N522))</f>
        <v/>
      </c>
      <c r="P522">
        <f>IF(A522="","",ROUND(Settings!$B$5*MIN(1,LOG10(N(C522)+1)/LOG10(Settings!$B$7+1))+Settings!$B$6*(1-MIN(100,IF(D522="",50,N(D522)))/100)+IFERROR(INDEX(Settings!$B$10:$B$14,MATCH(O522,Settings!$A$10:$A$14,0)),0),0))</f>
        <v/>
      </c>
      <c r="Q522">
        <f>IF(OR(A522="",G522=""),"",COUNTIFS($M$3:$M$1002,M522,$G$3:$G$1002,"&lt;&gt;"&amp;SUBSTITUTE(SUBSTITUTE(G522,"?","~?"),"*","~*"),$G$3:$G$1002,"?*"))</f>
        <v/>
      </c>
      <c r="R522">
        <f>IF(Q522="","",IF(Q522&gt;0,"Yes","No"))</f>
        <v/>
      </c>
      <c r="S522">
        <f>IF(G522="","",COUNTIFS($G$3:$G$1002,SUBSTITUTE(SUBSTITUTE(G522,"?","~?"),"*","~*"),$J$3:$J$1002,"Primary"))</f>
        <v/>
      </c>
      <c r="T522">
        <f>IF(S522="","",IF(S522&gt;Settings!$B$4,"Yes","No"))</f>
        <v/>
      </c>
      <c r="U522">
        <f>IF(OR(G522="",B522=""),"",IF(COUNTIFS($G$3:$G$1002,SUBSTITUTE(SUBSTITUTE(G522,"?","~?"),"*","~*"),$B$3:$B$1002,"&lt;&gt;"&amp;SUBSTITUTE(SUBSTITUTE(B522,"?","~?"),"*","~*"),$B$3:$B$1002,"?*")&gt;0,"Yes","No"))</f>
        <v/>
      </c>
      <c r="V522">
        <f>IF(OR(G522="",I522="",O522="",O522="Unclassified"),"",IFERROR(INDEX(Settings!$E$5:$H$16,MATCH(I522,Settings!$D$5:$D$16,0),MATCH(O522,Settings!$E$4:$H$4,0)),"Check"))</f>
        <v/>
      </c>
      <c r="W522">
        <f>IF(V522="","",IF(V522="No","Yes","No"))</f>
        <v/>
      </c>
      <c r="X522">
        <f>IF(OR(E522="",G522=""),"",IF(LOWER(IF(RIGHT(TRIM(E522),1)="/",LEFT(TRIM(E522),LEN(TRIM(E522))-1),TRIM(E522)))&lt;&gt;LOWER(IF(RIGHT(TRIM(G522),1)="/",LEFT(TRIM(G522),LEN(TRIM(G522))-1),TRIM(G522))),"Yes","No"))</f>
        <v/>
      </c>
      <c r="Y522">
        <f>IF(A522="","",(N(Q522)&gt;0)+(T522="Yes")+(U522="Yes")+(W522="Yes")+(X522="Yes"))</f>
        <v/>
      </c>
      <c r="Z522">
        <f>IF(A522="","",IF(G522="","Not mapped",IF(Y522=0,"OK",MID(IF(N(Q522)&gt;0,"; Cannibalisation","")&amp;IF(T522="Yes","; Too many primary keywords on URL","")&amp;IF(U522="Yes","; URL spans 2+ clusters","")&amp;IF(W522="Yes","; Intent mismatch","")&amp;IF(X522="Yes","; Ranking URL is not the target",""),3,300))))</f>
        <v/>
      </c>
      <c r="AA522">
        <f>IF(G522="","",IF(COUNTIF($G$3:G522,SUBSTITUTE(SUBSTITUTE(G522,"?","~?"),"*","~*"))=1,MAX($AA$2:AA521)+1,""))</f>
        <v/>
      </c>
      <c r="AB522">
        <f>IF(B522="","",IF(COUNTIF($B$3:B522,SUBSTITUTE(SUBSTITUTE(B522,"?","~?"),"*","~*"))=1,MAX($AB$2:AB521)+1,""))</f>
        <v/>
      </c>
    </row>
    <row r="523">
      <c r="M523">
        <f>IF(A523="","",LOWER(TRIM(SUBSTITUTE(SUBSTITUTE(A523,"?",""),"*",""))))</f>
        <v/>
      </c>
      <c r="N523">
        <f>IF(M523="","",IF(SUMPRODUCT(ISNUMBER(SEARCH(" "&amp;Settings!$L$5:$L$124&amp;" "," "&amp;M523&amp;" "))*(Settings!$K$5:$K$124="Navigational")*(Settings!$L$5:$L$124&lt;&gt;""))&gt;0,"Navigational",IF(SUMPRODUCT(ISNUMBER(SEARCH(" "&amp;Settings!$L$5:$L$124&amp;" "," "&amp;M523&amp;" "))*(Settings!$K$5:$K$124="Transactional")*(Settings!$L$5:$L$124&lt;&gt;""))&gt;0,"Transactional",IF(SUMPRODUCT(ISNUMBER(SEARCH(" "&amp;Settings!$L$5:$L$124&amp;" "," "&amp;M523&amp;" "))*(Settings!$K$5:$K$124="Commercial")*(Settings!$L$5:$L$124&lt;&gt;""))&gt;0,"Commercial",IF(SUMPRODUCT(ISNUMBER(SEARCH(" "&amp;Settings!$L$5:$L$124&amp;" "," "&amp;M523&amp;" "))*(Settings!$K$5:$K$124="Informational")*(Settings!$L$5:$L$124&lt;&gt;""))&gt;0,"Informational","Unclassified")))))</f>
        <v/>
      </c>
      <c r="O523">
        <f>IF(A523="","",IF(K523&lt;&gt;"",PROPER(K523),N523))</f>
        <v/>
      </c>
      <c r="P523">
        <f>IF(A523="","",ROUND(Settings!$B$5*MIN(1,LOG10(N(C523)+1)/LOG10(Settings!$B$7+1))+Settings!$B$6*(1-MIN(100,IF(D523="",50,N(D523)))/100)+IFERROR(INDEX(Settings!$B$10:$B$14,MATCH(O523,Settings!$A$10:$A$14,0)),0),0))</f>
        <v/>
      </c>
      <c r="Q523">
        <f>IF(OR(A523="",G523=""),"",COUNTIFS($M$3:$M$1002,M523,$G$3:$G$1002,"&lt;&gt;"&amp;SUBSTITUTE(SUBSTITUTE(G523,"?","~?"),"*","~*"),$G$3:$G$1002,"?*"))</f>
        <v/>
      </c>
      <c r="R523">
        <f>IF(Q523="","",IF(Q523&gt;0,"Yes","No"))</f>
        <v/>
      </c>
      <c r="S523">
        <f>IF(G523="","",COUNTIFS($G$3:$G$1002,SUBSTITUTE(SUBSTITUTE(G523,"?","~?"),"*","~*"),$J$3:$J$1002,"Primary"))</f>
        <v/>
      </c>
      <c r="T523">
        <f>IF(S523="","",IF(S523&gt;Settings!$B$4,"Yes","No"))</f>
        <v/>
      </c>
      <c r="U523">
        <f>IF(OR(G523="",B523=""),"",IF(COUNTIFS($G$3:$G$1002,SUBSTITUTE(SUBSTITUTE(G523,"?","~?"),"*","~*"),$B$3:$B$1002,"&lt;&gt;"&amp;SUBSTITUTE(SUBSTITUTE(B523,"?","~?"),"*","~*"),$B$3:$B$1002,"?*")&gt;0,"Yes","No"))</f>
        <v/>
      </c>
      <c r="V523">
        <f>IF(OR(G523="",I523="",O523="",O523="Unclassified"),"",IFERROR(INDEX(Settings!$E$5:$H$16,MATCH(I523,Settings!$D$5:$D$16,0),MATCH(O523,Settings!$E$4:$H$4,0)),"Check"))</f>
        <v/>
      </c>
      <c r="W523">
        <f>IF(V523="","",IF(V523="No","Yes","No"))</f>
        <v/>
      </c>
      <c r="X523">
        <f>IF(OR(E523="",G523=""),"",IF(LOWER(IF(RIGHT(TRIM(E523),1)="/",LEFT(TRIM(E523),LEN(TRIM(E523))-1),TRIM(E523)))&lt;&gt;LOWER(IF(RIGHT(TRIM(G523),1)="/",LEFT(TRIM(G523),LEN(TRIM(G523))-1),TRIM(G523))),"Yes","No"))</f>
        <v/>
      </c>
      <c r="Y523">
        <f>IF(A523="","",(N(Q523)&gt;0)+(T523="Yes")+(U523="Yes")+(W523="Yes")+(X523="Yes"))</f>
        <v/>
      </c>
      <c r="Z523">
        <f>IF(A523="","",IF(G523="","Not mapped",IF(Y523=0,"OK",MID(IF(N(Q523)&gt;0,"; Cannibalisation","")&amp;IF(T523="Yes","; Too many primary keywords on URL","")&amp;IF(U523="Yes","; URL spans 2+ clusters","")&amp;IF(W523="Yes","; Intent mismatch","")&amp;IF(X523="Yes","; Ranking URL is not the target",""),3,300))))</f>
        <v/>
      </c>
      <c r="AA523">
        <f>IF(G523="","",IF(COUNTIF($G$3:G523,SUBSTITUTE(SUBSTITUTE(G523,"?","~?"),"*","~*"))=1,MAX($AA$2:AA522)+1,""))</f>
        <v/>
      </c>
      <c r="AB523">
        <f>IF(B523="","",IF(COUNTIF($B$3:B523,SUBSTITUTE(SUBSTITUTE(B523,"?","~?"),"*","~*"))=1,MAX($AB$2:AB522)+1,""))</f>
        <v/>
      </c>
    </row>
    <row r="524">
      <c r="M524">
        <f>IF(A524="","",LOWER(TRIM(SUBSTITUTE(SUBSTITUTE(A524,"?",""),"*",""))))</f>
        <v/>
      </c>
      <c r="N524">
        <f>IF(M524="","",IF(SUMPRODUCT(ISNUMBER(SEARCH(" "&amp;Settings!$L$5:$L$124&amp;" "," "&amp;M524&amp;" "))*(Settings!$K$5:$K$124="Navigational")*(Settings!$L$5:$L$124&lt;&gt;""))&gt;0,"Navigational",IF(SUMPRODUCT(ISNUMBER(SEARCH(" "&amp;Settings!$L$5:$L$124&amp;" "," "&amp;M524&amp;" "))*(Settings!$K$5:$K$124="Transactional")*(Settings!$L$5:$L$124&lt;&gt;""))&gt;0,"Transactional",IF(SUMPRODUCT(ISNUMBER(SEARCH(" "&amp;Settings!$L$5:$L$124&amp;" "," "&amp;M524&amp;" "))*(Settings!$K$5:$K$124="Commercial")*(Settings!$L$5:$L$124&lt;&gt;""))&gt;0,"Commercial",IF(SUMPRODUCT(ISNUMBER(SEARCH(" "&amp;Settings!$L$5:$L$124&amp;" "," "&amp;M524&amp;" "))*(Settings!$K$5:$K$124="Informational")*(Settings!$L$5:$L$124&lt;&gt;""))&gt;0,"Informational","Unclassified")))))</f>
        <v/>
      </c>
      <c r="O524">
        <f>IF(A524="","",IF(K524&lt;&gt;"",PROPER(K524),N524))</f>
        <v/>
      </c>
      <c r="P524">
        <f>IF(A524="","",ROUND(Settings!$B$5*MIN(1,LOG10(N(C524)+1)/LOG10(Settings!$B$7+1))+Settings!$B$6*(1-MIN(100,IF(D524="",50,N(D524)))/100)+IFERROR(INDEX(Settings!$B$10:$B$14,MATCH(O524,Settings!$A$10:$A$14,0)),0),0))</f>
        <v/>
      </c>
      <c r="Q524">
        <f>IF(OR(A524="",G524=""),"",COUNTIFS($M$3:$M$1002,M524,$G$3:$G$1002,"&lt;&gt;"&amp;SUBSTITUTE(SUBSTITUTE(G524,"?","~?"),"*","~*"),$G$3:$G$1002,"?*"))</f>
        <v/>
      </c>
      <c r="R524">
        <f>IF(Q524="","",IF(Q524&gt;0,"Yes","No"))</f>
        <v/>
      </c>
      <c r="S524">
        <f>IF(G524="","",COUNTIFS($G$3:$G$1002,SUBSTITUTE(SUBSTITUTE(G524,"?","~?"),"*","~*"),$J$3:$J$1002,"Primary"))</f>
        <v/>
      </c>
      <c r="T524">
        <f>IF(S524="","",IF(S524&gt;Settings!$B$4,"Yes","No"))</f>
        <v/>
      </c>
      <c r="U524">
        <f>IF(OR(G524="",B524=""),"",IF(COUNTIFS($G$3:$G$1002,SUBSTITUTE(SUBSTITUTE(G524,"?","~?"),"*","~*"),$B$3:$B$1002,"&lt;&gt;"&amp;SUBSTITUTE(SUBSTITUTE(B524,"?","~?"),"*","~*"),$B$3:$B$1002,"?*")&gt;0,"Yes","No"))</f>
        <v/>
      </c>
      <c r="V524">
        <f>IF(OR(G524="",I524="",O524="",O524="Unclassified"),"",IFERROR(INDEX(Settings!$E$5:$H$16,MATCH(I524,Settings!$D$5:$D$16,0),MATCH(O524,Settings!$E$4:$H$4,0)),"Check"))</f>
        <v/>
      </c>
      <c r="W524">
        <f>IF(V524="","",IF(V524="No","Yes","No"))</f>
        <v/>
      </c>
      <c r="X524">
        <f>IF(OR(E524="",G524=""),"",IF(LOWER(IF(RIGHT(TRIM(E524),1)="/",LEFT(TRIM(E524),LEN(TRIM(E524))-1),TRIM(E524)))&lt;&gt;LOWER(IF(RIGHT(TRIM(G524),1)="/",LEFT(TRIM(G524),LEN(TRIM(G524))-1),TRIM(G524))),"Yes","No"))</f>
        <v/>
      </c>
      <c r="Y524">
        <f>IF(A524="","",(N(Q524)&gt;0)+(T524="Yes")+(U524="Yes")+(W524="Yes")+(X524="Yes"))</f>
        <v/>
      </c>
      <c r="Z524">
        <f>IF(A524="","",IF(G524="","Not mapped",IF(Y524=0,"OK",MID(IF(N(Q524)&gt;0,"; Cannibalisation","")&amp;IF(T524="Yes","; Too many primary keywords on URL","")&amp;IF(U524="Yes","; URL spans 2+ clusters","")&amp;IF(W524="Yes","; Intent mismatch","")&amp;IF(X524="Yes","; Ranking URL is not the target",""),3,300))))</f>
        <v/>
      </c>
      <c r="AA524">
        <f>IF(G524="","",IF(COUNTIF($G$3:G524,SUBSTITUTE(SUBSTITUTE(G524,"?","~?"),"*","~*"))=1,MAX($AA$2:AA523)+1,""))</f>
        <v/>
      </c>
      <c r="AB524">
        <f>IF(B524="","",IF(COUNTIF($B$3:B524,SUBSTITUTE(SUBSTITUTE(B524,"?","~?"),"*","~*"))=1,MAX($AB$2:AB523)+1,""))</f>
        <v/>
      </c>
    </row>
    <row r="525">
      <c r="M525">
        <f>IF(A525="","",LOWER(TRIM(SUBSTITUTE(SUBSTITUTE(A525,"?",""),"*",""))))</f>
        <v/>
      </c>
      <c r="N525">
        <f>IF(M525="","",IF(SUMPRODUCT(ISNUMBER(SEARCH(" "&amp;Settings!$L$5:$L$124&amp;" "," "&amp;M525&amp;" "))*(Settings!$K$5:$K$124="Navigational")*(Settings!$L$5:$L$124&lt;&gt;""))&gt;0,"Navigational",IF(SUMPRODUCT(ISNUMBER(SEARCH(" "&amp;Settings!$L$5:$L$124&amp;" "," "&amp;M525&amp;" "))*(Settings!$K$5:$K$124="Transactional")*(Settings!$L$5:$L$124&lt;&gt;""))&gt;0,"Transactional",IF(SUMPRODUCT(ISNUMBER(SEARCH(" "&amp;Settings!$L$5:$L$124&amp;" "," "&amp;M525&amp;" "))*(Settings!$K$5:$K$124="Commercial")*(Settings!$L$5:$L$124&lt;&gt;""))&gt;0,"Commercial",IF(SUMPRODUCT(ISNUMBER(SEARCH(" "&amp;Settings!$L$5:$L$124&amp;" "," "&amp;M525&amp;" "))*(Settings!$K$5:$K$124="Informational")*(Settings!$L$5:$L$124&lt;&gt;""))&gt;0,"Informational","Unclassified")))))</f>
        <v/>
      </c>
      <c r="O525">
        <f>IF(A525="","",IF(K525&lt;&gt;"",PROPER(K525),N525))</f>
        <v/>
      </c>
      <c r="P525">
        <f>IF(A525="","",ROUND(Settings!$B$5*MIN(1,LOG10(N(C525)+1)/LOG10(Settings!$B$7+1))+Settings!$B$6*(1-MIN(100,IF(D525="",50,N(D525)))/100)+IFERROR(INDEX(Settings!$B$10:$B$14,MATCH(O525,Settings!$A$10:$A$14,0)),0),0))</f>
        <v/>
      </c>
      <c r="Q525">
        <f>IF(OR(A525="",G525=""),"",COUNTIFS($M$3:$M$1002,M525,$G$3:$G$1002,"&lt;&gt;"&amp;SUBSTITUTE(SUBSTITUTE(G525,"?","~?"),"*","~*"),$G$3:$G$1002,"?*"))</f>
        <v/>
      </c>
      <c r="R525">
        <f>IF(Q525="","",IF(Q525&gt;0,"Yes","No"))</f>
        <v/>
      </c>
      <c r="S525">
        <f>IF(G525="","",COUNTIFS($G$3:$G$1002,SUBSTITUTE(SUBSTITUTE(G525,"?","~?"),"*","~*"),$J$3:$J$1002,"Primary"))</f>
        <v/>
      </c>
      <c r="T525">
        <f>IF(S525="","",IF(S525&gt;Settings!$B$4,"Yes","No"))</f>
        <v/>
      </c>
      <c r="U525">
        <f>IF(OR(G525="",B525=""),"",IF(COUNTIFS($G$3:$G$1002,SUBSTITUTE(SUBSTITUTE(G525,"?","~?"),"*","~*"),$B$3:$B$1002,"&lt;&gt;"&amp;SUBSTITUTE(SUBSTITUTE(B525,"?","~?"),"*","~*"),$B$3:$B$1002,"?*")&gt;0,"Yes","No"))</f>
        <v/>
      </c>
      <c r="V525">
        <f>IF(OR(G525="",I525="",O525="",O525="Unclassified"),"",IFERROR(INDEX(Settings!$E$5:$H$16,MATCH(I525,Settings!$D$5:$D$16,0),MATCH(O525,Settings!$E$4:$H$4,0)),"Check"))</f>
        <v/>
      </c>
      <c r="W525">
        <f>IF(V525="","",IF(V525="No","Yes","No"))</f>
        <v/>
      </c>
      <c r="X525">
        <f>IF(OR(E525="",G525=""),"",IF(LOWER(IF(RIGHT(TRIM(E525),1)="/",LEFT(TRIM(E525),LEN(TRIM(E525))-1),TRIM(E525)))&lt;&gt;LOWER(IF(RIGHT(TRIM(G525),1)="/",LEFT(TRIM(G525),LEN(TRIM(G525))-1),TRIM(G525))),"Yes","No"))</f>
        <v/>
      </c>
      <c r="Y525">
        <f>IF(A525="","",(N(Q525)&gt;0)+(T525="Yes")+(U525="Yes")+(W525="Yes")+(X525="Yes"))</f>
        <v/>
      </c>
      <c r="Z525">
        <f>IF(A525="","",IF(G525="","Not mapped",IF(Y525=0,"OK",MID(IF(N(Q525)&gt;0,"; Cannibalisation","")&amp;IF(T525="Yes","; Too many primary keywords on URL","")&amp;IF(U525="Yes","; URL spans 2+ clusters","")&amp;IF(W525="Yes","; Intent mismatch","")&amp;IF(X525="Yes","; Ranking URL is not the target",""),3,300))))</f>
        <v/>
      </c>
      <c r="AA525">
        <f>IF(G525="","",IF(COUNTIF($G$3:G525,SUBSTITUTE(SUBSTITUTE(G525,"?","~?"),"*","~*"))=1,MAX($AA$2:AA524)+1,""))</f>
        <v/>
      </c>
      <c r="AB525">
        <f>IF(B525="","",IF(COUNTIF($B$3:B525,SUBSTITUTE(SUBSTITUTE(B525,"?","~?"),"*","~*"))=1,MAX($AB$2:AB524)+1,""))</f>
        <v/>
      </c>
    </row>
    <row r="526">
      <c r="M526">
        <f>IF(A526="","",LOWER(TRIM(SUBSTITUTE(SUBSTITUTE(A526,"?",""),"*",""))))</f>
        <v/>
      </c>
      <c r="N526">
        <f>IF(M526="","",IF(SUMPRODUCT(ISNUMBER(SEARCH(" "&amp;Settings!$L$5:$L$124&amp;" "," "&amp;M526&amp;" "))*(Settings!$K$5:$K$124="Navigational")*(Settings!$L$5:$L$124&lt;&gt;""))&gt;0,"Navigational",IF(SUMPRODUCT(ISNUMBER(SEARCH(" "&amp;Settings!$L$5:$L$124&amp;" "," "&amp;M526&amp;" "))*(Settings!$K$5:$K$124="Transactional")*(Settings!$L$5:$L$124&lt;&gt;""))&gt;0,"Transactional",IF(SUMPRODUCT(ISNUMBER(SEARCH(" "&amp;Settings!$L$5:$L$124&amp;" "," "&amp;M526&amp;" "))*(Settings!$K$5:$K$124="Commercial")*(Settings!$L$5:$L$124&lt;&gt;""))&gt;0,"Commercial",IF(SUMPRODUCT(ISNUMBER(SEARCH(" "&amp;Settings!$L$5:$L$124&amp;" "," "&amp;M526&amp;" "))*(Settings!$K$5:$K$124="Informational")*(Settings!$L$5:$L$124&lt;&gt;""))&gt;0,"Informational","Unclassified")))))</f>
        <v/>
      </c>
      <c r="O526">
        <f>IF(A526="","",IF(K526&lt;&gt;"",PROPER(K526),N526))</f>
        <v/>
      </c>
      <c r="P526">
        <f>IF(A526="","",ROUND(Settings!$B$5*MIN(1,LOG10(N(C526)+1)/LOG10(Settings!$B$7+1))+Settings!$B$6*(1-MIN(100,IF(D526="",50,N(D526)))/100)+IFERROR(INDEX(Settings!$B$10:$B$14,MATCH(O526,Settings!$A$10:$A$14,0)),0),0))</f>
        <v/>
      </c>
      <c r="Q526">
        <f>IF(OR(A526="",G526=""),"",COUNTIFS($M$3:$M$1002,M526,$G$3:$G$1002,"&lt;&gt;"&amp;SUBSTITUTE(SUBSTITUTE(G526,"?","~?"),"*","~*"),$G$3:$G$1002,"?*"))</f>
        <v/>
      </c>
      <c r="R526">
        <f>IF(Q526="","",IF(Q526&gt;0,"Yes","No"))</f>
        <v/>
      </c>
      <c r="S526">
        <f>IF(G526="","",COUNTIFS($G$3:$G$1002,SUBSTITUTE(SUBSTITUTE(G526,"?","~?"),"*","~*"),$J$3:$J$1002,"Primary"))</f>
        <v/>
      </c>
      <c r="T526">
        <f>IF(S526="","",IF(S526&gt;Settings!$B$4,"Yes","No"))</f>
        <v/>
      </c>
      <c r="U526">
        <f>IF(OR(G526="",B526=""),"",IF(COUNTIFS($G$3:$G$1002,SUBSTITUTE(SUBSTITUTE(G526,"?","~?"),"*","~*"),$B$3:$B$1002,"&lt;&gt;"&amp;SUBSTITUTE(SUBSTITUTE(B526,"?","~?"),"*","~*"),$B$3:$B$1002,"?*")&gt;0,"Yes","No"))</f>
        <v/>
      </c>
      <c r="V526">
        <f>IF(OR(G526="",I526="",O526="",O526="Unclassified"),"",IFERROR(INDEX(Settings!$E$5:$H$16,MATCH(I526,Settings!$D$5:$D$16,0),MATCH(O526,Settings!$E$4:$H$4,0)),"Check"))</f>
        <v/>
      </c>
      <c r="W526">
        <f>IF(V526="","",IF(V526="No","Yes","No"))</f>
        <v/>
      </c>
      <c r="X526">
        <f>IF(OR(E526="",G526=""),"",IF(LOWER(IF(RIGHT(TRIM(E526),1)="/",LEFT(TRIM(E526),LEN(TRIM(E526))-1),TRIM(E526)))&lt;&gt;LOWER(IF(RIGHT(TRIM(G526),1)="/",LEFT(TRIM(G526),LEN(TRIM(G526))-1),TRIM(G526))),"Yes","No"))</f>
        <v/>
      </c>
      <c r="Y526">
        <f>IF(A526="","",(N(Q526)&gt;0)+(T526="Yes")+(U526="Yes")+(W526="Yes")+(X526="Yes"))</f>
        <v/>
      </c>
      <c r="Z526">
        <f>IF(A526="","",IF(G526="","Not mapped",IF(Y526=0,"OK",MID(IF(N(Q526)&gt;0,"; Cannibalisation","")&amp;IF(T526="Yes","; Too many primary keywords on URL","")&amp;IF(U526="Yes","; URL spans 2+ clusters","")&amp;IF(W526="Yes","; Intent mismatch","")&amp;IF(X526="Yes","; Ranking URL is not the target",""),3,300))))</f>
        <v/>
      </c>
      <c r="AA526">
        <f>IF(G526="","",IF(COUNTIF($G$3:G526,SUBSTITUTE(SUBSTITUTE(G526,"?","~?"),"*","~*"))=1,MAX($AA$2:AA525)+1,""))</f>
        <v/>
      </c>
      <c r="AB526">
        <f>IF(B526="","",IF(COUNTIF($B$3:B526,SUBSTITUTE(SUBSTITUTE(B526,"?","~?"),"*","~*"))=1,MAX($AB$2:AB525)+1,""))</f>
        <v/>
      </c>
    </row>
    <row r="527">
      <c r="M527">
        <f>IF(A527="","",LOWER(TRIM(SUBSTITUTE(SUBSTITUTE(A527,"?",""),"*",""))))</f>
        <v/>
      </c>
      <c r="N527">
        <f>IF(M527="","",IF(SUMPRODUCT(ISNUMBER(SEARCH(" "&amp;Settings!$L$5:$L$124&amp;" "," "&amp;M527&amp;" "))*(Settings!$K$5:$K$124="Navigational")*(Settings!$L$5:$L$124&lt;&gt;""))&gt;0,"Navigational",IF(SUMPRODUCT(ISNUMBER(SEARCH(" "&amp;Settings!$L$5:$L$124&amp;" "," "&amp;M527&amp;" "))*(Settings!$K$5:$K$124="Transactional")*(Settings!$L$5:$L$124&lt;&gt;""))&gt;0,"Transactional",IF(SUMPRODUCT(ISNUMBER(SEARCH(" "&amp;Settings!$L$5:$L$124&amp;" "," "&amp;M527&amp;" "))*(Settings!$K$5:$K$124="Commercial")*(Settings!$L$5:$L$124&lt;&gt;""))&gt;0,"Commercial",IF(SUMPRODUCT(ISNUMBER(SEARCH(" "&amp;Settings!$L$5:$L$124&amp;" "," "&amp;M527&amp;" "))*(Settings!$K$5:$K$124="Informational")*(Settings!$L$5:$L$124&lt;&gt;""))&gt;0,"Informational","Unclassified")))))</f>
        <v/>
      </c>
      <c r="O527">
        <f>IF(A527="","",IF(K527&lt;&gt;"",PROPER(K527),N527))</f>
        <v/>
      </c>
      <c r="P527">
        <f>IF(A527="","",ROUND(Settings!$B$5*MIN(1,LOG10(N(C527)+1)/LOG10(Settings!$B$7+1))+Settings!$B$6*(1-MIN(100,IF(D527="",50,N(D527)))/100)+IFERROR(INDEX(Settings!$B$10:$B$14,MATCH(O527,Settings!$A$10:$A$14,0)),0),0))</f>
        <v/>
      </c>
      <c r="Q527">
        <f>IF(OR(A527="",G527=""),"",COUNTIFS($M$3:$M$1002,M527,$G$3:$G$1002,"&lt;&gt;"&amp;SUBSTITUTE(SUBSTITUTE(G527,"?","~?"),"*","~*"),$G$3:$G$1002,"?*"))</f>
        <v/>
      </c>
      <c r="R527">
        <f>IF(Q527="","",IF(Q527&gt;0,"Yes","No"))</f>
        <v/>
      </c>
      <c r="S527">
        <f>IF(G527="","",COUNTIFS($G$3:$G$1002,SUBSTITUTE(SUBSTITUTE(G527,"?","~?"),"*","~*"),$J$3:$J$1002,"Primary"))</f>
        <v/>
      </c>
      <c r="T527">
        <f>IF(S527="","",IF(S527&gt;Settings!$B$4,"Yes","No"))</f>
        <v/>
      </c>
      <c r="U527">
        <f>IF(OR(G527="",B527=""),"",IF(COUNTIFS($G$3:$G$1002,SUBSTITUTE(SUBSTITUTE(G527,"?","~?"),"*","~*"),$B$3:$B$1002,"&lt;&gt;"&amp;SUBSTITUTE(SUBSTITUTE(B527,"?","~?"),"*","~*"),$B$3:$B$1002,"?*")&gt;0,"Yes","No"))</f>
        <v/>
      </c>
      <c r="V527">
        <f>IF(OR(G527="",I527="",O527="",O527="Unclassified"),"",IFERROR(INDEX(Settings!$E$5:$H$16,MATCH(I527,Settings!$D$5:$D$16,0),MATCH(O527,Settings!$E$4:$H$4,0)),"Check"))</f>
        <v/>
      </c>
      <c r="W527">
        <f>IF(V527="","",IF(V527="No","Yes","No"))</f>
        <v/>
      </c>
      <c r="X527">
        <f>IF(OR(E527="",G527=""),"",IF(LOWER(IF(RIGHT(TRIM(E527),1)="/",LEFT(TRIM(E527),LEN(TRIM(E527))-1),TRIM(E527)))&lt;&gt;LOWER(IF(RIGHT(TRIM(G527),1)="/",LEFT(TRIM(G527),LEN(TRIM(G527))-1),TRIM(G527))),"Yes","No"))</f>
        <v/>
      </c>
      <c r="Y527">
        <f>IF(A527="","",(N(Q527)&gt;0)+(T527="Yes")+(U527="Yes")+(W527="Yes")+(X527="Yes"))</f>
        <v/>
      </c>
      <c r="Z527">
        <f>IF(A527="","",IF(G527="","Not mapped",IF(Y527=0,"OK",MID(IF(N(Q527)&gt;0,"; Cannibalisation","")&amp;IF(T527="Yes","; Too many primary keywords on URL","")&amp;IF(U527="Yes","; URL spans 2+ clusters","")&amp;IF(W527="Yes","; Intent mismatch","")&amp;IF(X527="Yes","; Ranking URL is not the target",""),3,300))))</f>
        <v/>
      </c>
      <c r="AA527">
        <f>IF(G527="","",IF(COUNTIF($G$3:G527,SUBSTITUTE(SUBSTITUTE(G527,"?","~?"),"*","~*"))=1,MAX($AA$2:AA526)+1,""))</f>
        <v/>
      </c>
      <c r="AB527">
        <f>IF(B527="","",IF(COUNTIF($B$3:B527,SUBSTITUTE(SUBSTITUTE(B527,"?","~?"),"*","~*"))=1,MAX($AB$2:AB526)+1,""))</f>
        <v/>
      </c>
    </row>
    <row r="528">
      <c r="M528">
        <f>IF(A528="","",LOWER(TRIM(SUBSTITUTE(SUBSTITUTE(A528,"?",""),"*",""))))</f>
        <v/>
      </c>
      <c r="N528">
        <f>IF(M528="","",IF(SUMPRODUCT(ISNUMBER(SEARCH(" "&amp;Settings!$L$5:$L$124&amp;" "," "&amp;M528&amp;" "))*(Settings!$K$5:$K$124="Navigational")*(Settings!$L$5:$L$124&lt;&gt;""))&gt;0,"Navigational",IF(SUMPRODUCT(ISNUMBER(SEARCH(" "&amp;Settings!$L$5:$L$124&amp;" "," "&amp;M528&amp;" "))*(Settings!$K$5:$K$124="Transactional")*(Settings!$L$5:$L$124&lt;&gt;""))&gt;0,"Transactional",IF(SUMPRODUCT(ISNUMBER(SEARCH(" "&amp;Settings!$L$5:$L$124&amp;" "," "&amp;M528&amp;" "))*(Settings!$K$5:$K$124="Commercial")*(Settings!$L$5:$L$124&lt;&gt;""))&gt;0,"Commercial",IF(SUMPRODUCT(ISNUMBER(SEARCH(" "&amp;Settings!$L$5:$L$124&amp;" "," "&amp;M528&amp;" "))*(Settings!$K$5:$K$124="Informational")*(Settings!$L$5:$L$124&lt;&gt;""))&gt;0,"Informational","Unclassified")))))</f>
        <v/>
      </c>
      <c r="O528">
        <f>IF(A528="","",IF(K528&lt;&gt;"",PROPER(K528),N528))</f>
        <v/>
      </c>
      <c r="P528">
        <f>IF(A528="","",ROUND(Settings!$B$5*MIN(1,LOG10(N(C528)+1)/LOG10(Settings!$B$7+1))+Settings!$B$6*(1-MIN(100,IF(D528="",50,N(D528)))/100)+IFERROR(INDEX(Settings!$B$10:$B$14,MATCH(O528,Settings!$A$10:$A$14,0)),0),0))</f>
        <v/>
      </c>
      <c r="Q528">
        <f>IF(OR(A528="",G528=""),"",COUNTIFS($M$3:$M$1002,M528,$G$3:$G$1002,"&lt;&gt;"&amp;SUBSTITUTE(SUBSTITUTE(G528,"?","~?"),"*","~*"),$G$3:$G$1002,"?*"))</f>
        <v/>
      </c>
      <c r="R528">
        <f>IF(Q528="","",IF(Q528&gt;0,"Yes","No"))</f>
        <v/>
      </c>
      <c r="S528">
        <f>IF(G528="","",COUNTIFS($G$3:$G$1002,SUBSTITUTE(SUBSTITUTE(G528,"?","~?"),"*","~*"),$J$3:$J$1002,"Primary"))</f>
        <v/>
      </c>
      <c r="T528">
        <f>IF(S528="","",IF(S528&gt;Settings!$B$4,"Yes","No"))</f>
        <v/>
      </c>
      <c r="U528">
        <f>IF(OR(G528="",B528=""),"",IF(COUNTIFS($G$3:$G$1002,SUBSTITUTE(SUBSTITUTE(G528,"?","~?"),"*","~*"),$B$3:$B$1002,"&lt;&gt;"&amp;SUBSTITUTE(SUBSTITUTE(B528,"?","~?"),"*","~*"),$B$3:$B$1002,"?*")&gt;0,"Yes","No"))</f>
        <v/>
      </c>
      <c r="V528">
        <f>IF(OR(G528="",I528="",O528="",O528="Unclassified"),"",IFERROR(INDEX(Settings!$E$5:$H$16,MATCH(I528,Settings!$D$5:$D$16,0),MATCH(O528,Settings!$E$4:$H$4,0)),"Check"))</f>
        <v/>
      </c>
      <c r="W528">
        <f>IF(V528="","",IF(V528="No","Yes","No"))</f>
        <v/>
      </c>
      <c r="X528">
        <f>IF(OR(E528="",G528=""),"",IF(LOWER(IF(RIGHT(TRIM(E528),1)="/",LEFT(TRIM(E528),LEN(TRIM(E528))-1),TRIM(E528)))&lt;&gt;LOWER(IF(RIGHT(TRIM(G528),1)="/",LEFT(TRIM(G528),LEN(TRIM(G528))-1),TRIM(G528))),"Yes","No"))</f>
        <v/>
      </c>
      <c r="Y528">
        <f>IF(A528="","",(N(Q528)&gt;0)+(T528="Yes")+(U528="Yes")+(W528="Yes")+(X528="Yes"))</f>
        <v/>
      </c>
      <c r="Z528">
        <f>IF(A528="","",IF(G528="","Not mapped",IF(Y528=0,"OK",MID(IF(N(Q528)&gt;0,"; Cannibalisation","")&amp;IF(T528="Yes","; Too many primary keywords on URL","")&amp;IF(U528="Yes","; URL spans 2+ clusters","")&amp;IF(W528="Yes","; Intent mismatch","")&amp;IF(X528="Yes","; Ranking URL is not the target",""),3,300))))</f>
        <v/>
      </c>
      <c r="AA528">
        <f>IF(G528="","",IF(COUNTIF($G$3:G528,SUBSTITUTE(SUBSTITUTE(G528,"?","~?"),"*","~*"))=1,MAX($AA$2:AA527)+1,""))</f>
        <v/>
      </c>
      <c r="AB528">
        <f>IF(B528="","",IF(COUNTIF($B$3:B528,SUBSTITUTE(SUBSTITUTE(B528,"?","~?"),"*","~*"))=1,MAX($AB$2:AB527)+1,""))</f>
        <v/>
      </c>
    </row>
    <row r="529">
      <c r="M529">
        <f>IF(A529="","",LOWER(TRIM(SUBSTITUTE(SUBSTITUTE(A529,"?",""),"*",""))))</f>
        <v/>
      </c>
      <c r="N529">
        <f>IF(M529="","",IF(SUMPRODUCT(ISNUMBER(SEARCH(" "&amp;Settings!$L$5:$L$124&amp;" "," "&amp;M529&amp;" "))*(Settings!$K$5:$K$124="Navigational")*(Settings!$L$5:$L$124&lt;&gt;""))&gt;0,"Navigational",IF(SUMPRODUCT(ISNUMBER(SEARCH(" "&amp;Settings!$L$5:$L$124&amp;" "," "&amp;M529&amp;" "))*(Settings!$K$5:$K$124="Transactional")*(Settings!$L$5:$L$124&lt;&gt;""))&gt;0,"Transactional",IF(SUMPRODUCT(ISNUMBER(SEARCH(" "&amp;Settings!$L$5:$L$124&amp;" "," "&amp;M529&amp;" "))*(Settings!$K$5:$K$124="Commercial")*(Settings!$L$5:$L$124&lt;&gt;""))&gt;0,"Commercial",IF(SUMPRODUCT(ISNUMBER(SEARCH(" "&amp;Settings!$L$5:$L$124&amp;" "," "&amp;M529&amp;" "))*(Settings!$K$5:$K$124="Informational")*(Settings!$L$5:$L$124&lt;&gt;""))&gt;0,"Informational","Unclassified")))))</f>
        <v/>
      </c>
      <c r="O529">
        <f>IF(A529="","",IF(K529&lt;&gt;"",PROPER(K529),N529))</f>
        <v/>
      </c>
      <c r="P529">
        <f>IF(A529="","",ROUND(Settings!$B$5*MIN(1,LOG10(N(C529)+1)/LOG10(Settings!$B$7+1))+Settings!$B$6*(1-MIN(100,IF(D529="",50,N(D529)))/100)+IFERROR(INDEX(Settings!$B$10:$B$14,MATCH(O529,Settings!$A$10:$A$14,0)),0),0))</f>
        <v/>
      </c>
      <c r="Q529">
        <f>IF(OR(A529="",G529=""),"",COUNTIFS($M$3:$M$1002,M529,$G$3:$G$1002,"&lt;&gt;"&amp;SUBSTITUTE(SUBSTITUTE(G529,"?","~?"),"*","~*"),$G$3:$G$1002,"?*"))</f>
        <v/>
      </c>
      <c r="R529">
        <f>IF(Q529="","",IF(Q529&gt;0,"Yes","No"))</f>
        <v/>
      </c>
      <c r="S529">
        <f>IF(G529="","",COUNTIFS($G$3:$G$1002,SUBSTITUTE(SUBSTITUTE(G529,"?","~?"),"*","~*"),$J$3:$J$1002,"Primary"))</f>
        <v/>
      </c>
      <c r="T529">
        <f>IF(S529="","",IF(S529&gt;Settings!$B$4,"Yes","No"))</f>
        <v/>
      </c>
      <c r="U529">
        <f>IF(OR(G529="",B529=""),"",IF(COUNTIFS($G$3:$G$1002,SUBSTITUTE(SUBSTITUTE(G529,"?","~?"),"*","~*"),$B$3:$B$1002,"&lt;&gt;"&amp;SUBSTITUTE(SUBSTITUTE(B529,"?","~?"),"*","~*"),$B$3:$B$1002,"?*")&gt;0,"Yes","No"))</f>
        <v/>
      </c>
      <c r="V529">
        <f>IF(OR(G529="",I529="",O529="",O529="Unclassified"),"",IFERROR(INDEX(Settings!$E$5:$H$16,MATCH(I529,Settings!$D$5:$D$16,0),MATCH(O529,Settings!$E$4:$H$4,0)),"Check"))</f>
        <v/>
      </c>
      <c r="W529">
        <f>IF(V529="","",IF(V529="No","Yes","No"))</f>
        <v/>
      </c>
      <c r="X529">
        <f>IF(OR(E529="",G529=""),"",IF(LOWER(IF(RIGHT(TRIM(E529),1)="/",LEFT(TRIM(E529),LEN(TRIM(E529))-1),TRIM(E529)))&lt;&gt;LOWER(IF(RIGHT(TRIM(G529),1)="/",LEFT(TRIM(G529),LEN(TRIM(G529))-1),TRIM(G529))),"Yes","No"))</f>
        <v/>
      </c>
      <c r="Y529">
        <f>IF(A529="","",(N(Q529)&gt;0)+(T529="Yes")+(U529="Yes")+(W529="Yes")+(X529="Yes"))</f>
        <v/>
      </c>
      <c r="Z529">
        <f>IF(A529="","",IF(G529="","Not mapped",IF(Y529=0,"OK",MID(IF(N(Q529)&gt;0,"; Cannibalisation","")&amp;IF(T529="Yes","; Too many primary keywords on URL","")&amp;IF(U529="Yes","; URL spans 2+ clusters","")&amp;IF(W529="Yes","; Intent mismatch","")&amp;IF(X529="Yes","; Ranking URL is not the target",""),3,300))))</f>
        <v/>
      </c>
      <c r="AA529">
        <f>IF(G529="","",IF(COUNTIF($G$3:G529,SUBSTITUTE(SUBSTITUTE(G529,"?","~?"),"*","~*"))=1,MAX($AA$2:AA528)+1,""))</f>
        <v/>
      </c>
      <c r="AB529">
        <f>IF(B529="","",IF(COUNTIF($B$3:B529,SUBSTITUTE(SUBSTITUTE(B529,"?","~?"),"*","~*"))=1,MAX($AB$2:AB528)+1,""))</f>
        <v/>
      </c>
    </row>
    <row r="530">
      <c r="M530">
        <f>IF(A530="","",LOWER(TRIM(SUBSTITUTE(SUBSTITUTE(A530,"?",""),"*",""))))</f>
        <v/>
      </c>
      <c r="N530">
        <f>IF(M530="","",IF(SUMPRODUCT(ISNUMBER(SEARCH(" "&amp;Settings!$L$5:$L$124&amp;" "," "&amp;M530&amp;" "))*(Settings!$K$5:$K$124="Navigational")*(Settings!$L$5:$L$124&lt;&gt;""))&gt;0,"Navigational",IF(SUMPRODUCT(ISNUMBER(SEARCH(" "&amp;Settings!$L$5:$L$124&amp;" "," "&amp;M530&amp;" "))*(Settings!$K$5:$K$124="Transactional")*(Settings!$L$5:$L$124&lt;&gt;""))&gt;0,"Transactional",IF(SUMPRODUCT(ISNUMBER(SEARCH(" "&amp;Settings!$L$5:$L$124&amp;" "," "&amp;M530&amp;" "))*(Settings!$K$5:$K$124="Commercial")*(Settings!$L$5:$L$124&lt;&gt;""))&gt;0,"Commercial",IF(SUMPRODUCT(ISNUMBER(SEARCH(" "&amp;Settings!$L$5:$L$124&amp;" "," "&amp;M530&amp;" "))*(Settings!$K$5:$K$124="Informational")*(Settings!$L$5:$L$124&lt;&gt;""))&gt;0,"Informational","Unclassified")))))</f>
        <v/>
      </c>
      <c r="O530">
        <f>IF(A530="","",IF(K530&lt;&gt;"",PROPER(K530),N530))</f>
        <v/>
      </c>
      <c r="P530">
        <f>IF(A530="","",ROUND(Settings!$B$5*MIN(1,LOG10(N(C530)+1)/LOG10(Settings!$B$7+1))+Settings!$B$6*(1-MIN(100,IF(D530="",50,N(D530)))/100)+IFERROR(INDEX(Settings!$B$10:$B$14,MATCH(O530,Settings!$A$10:$A$14,0)),0),0))</f>
        <v/>
      </c>
      <c r="Q530">
        <f>IF(OR(A530="",G530=""),"",COUNTIFS($M$3:$M$1002,M530,$G$3:$G$1002,"&lt;&gt;"&amp;SUBSTITUTE(SUBSTITUTE(G530,"?","~?"),"*","~*"),$G$3:$G$1002,"?*"))</f>
        <v/>
      </c>
      <c r="R530">
        <f>IF(Q530="","",IF(Q530&gt;0,"Yes","No"))</f>
        <v/>
      </c>
      <c r="S530">
        <f>IF(G530="","",COUNTIFS($G$3:$G$1002,SUBSTITUTE(SUBSTITUTE(G530,"?","~?"),"*","~*"),$J$3:$J$1002,"Primary"))</f>
        <v/>
      </c>
      <c r="T530">
        <f>IF(S530="","",IF(S530&gt;Settings!$B$4,"Yes","No"))</f>
        <v/>
      </c>
      <c r="U530">
        <f>IF(OR(G530="",B530=""),"",IF(COUNTIFS($G$3:$G$1002,SUBSTITUTE(SUBSTITUTE(G530,"?","~?"),"*","~*"),$B$3:$B$1002,"&lt;&gt;"&amp;SUBSTITUTE(SUBSTITUTE(B530,"?","~?"),"*","~*"),$B$3:$B$1002,"?*")&gt;0,"Yes","No"))</f>
        <v/>
      </c>
      <c r="V530">
        <f>IF(OR(G530="",I530="",O530="",O530="Unclassified"),"",IFERROR(INDEX(Settings!$E$5:$H$16,MATCH(I530,Settings!$D$5:$D$16,0),MATCH(O530,Settings!$E$4:$H$4,0)),"Check"))</f>
        <v/>
      </c>
      <c r="W530">
        <f>IF(V530="","",IF(V530="No","Yes","No"))</f>
        <v/>
      </c>
      <c r="X530">
        <f>IF(OR(E530="",G530=""),"",IF(LOWER(IF(RIGHT(TRIM(E530),1)="/",LEFT(TRIM(E530),LEN(TRIM(E530))-1),TRIM(E530)))&lt;&gt;LOWER(IF(RIGHT(TRIM(G530),1)="/",LEFT(TRIM(G530),LEN(TRIM(G530))-1),TRIM(G530))),"Yes","No"))</f>
        <v/>
      </c>
      <c r="Y530">
        <f>IF(A530="","",(N(Q530)&gt;0)+(T530="Yes")+(U530="Yes")+(W530="Yes")+(X530="Yes"))</f>
        <v/>
      </c>
      <c r="Z530">
        <f>IF(A530="","",IF(G530="","Not mapped",IF(Y530=0,"OK",MID(IF(N(Q530)&gt;0,"; Cannibalisation","")&amp;IF(T530="Yes","; Too many primary keywords on URL","")&amp;IF(U530="Yes","; URL spans 2+ clusters","")&amp;IF(W530="Yes","; Intent mismatch","")&amp;IF(X530="Yes","; Ranking URL is not the target",""),3,300))))</f>
        <v/>
      </c>
      <c r="AA530">
        <f>IF(G530="","",IF(COUNTIF($G$3:G530,SUBSTITUTE(SUBSTITUTE(G530,"?","~?"),"*","~*"))=1,MAX($AA$2:AA529)+1,""))</f>
        <v/>
      </c>
      <c r="AB530">
        <f>IF(B530="","",IF(COUNTIF($B$3:B530,SUBSTITUTE(SUBSTITUTE(B530,"?","~?"),"*","~*"))=1,MAX($AB$2:AB529)+1,""))</f>
        <v/>
      </c>
    </row>
    <row r="531">
      <c r="M531">
        <f>IF(A531="","",LOWER(TRIM(SUBSTITUTE(SUBSTITUTE(A531,"?",""),"*",""))))</f>
        <v/>
      </c>
      <c r="N531">
        <f>IF(M531="","",IF(SUMPRODUCT(ISNUMBER(SEARCH(" "&amp;Settings!$L$5:$L$124&amp;" "," "&amp;M531&amp;" "))*(Settings!$K$5:$K$124="Navigational")*(Settings!$L$5:$L$124&lt;&gt;""))&gt;0,"Navigational",IF(SUMPRODUCT(ISNUMBER(SEARCH(" "&amp;Settings!$L$5:$L$124&amp;" "," "&amp;M531&amp;" "))*(Settings!$K$5:$K$124="Transactional")*(Settings!$L$5:$L$124&lt;&gt;""))&gt;0,"Transactional",IF(SUMPRODUCT(ISNUMBER(SEARCH(" "&amp;Settings!$L$5:$L$124&amp;" "," "&amp;M531&amp;" "))*(Settings!$K$5:$K$124="Commercial")*(Settings!$L$5:$L$124&lt;&gt;""))&gt;0,"Commercial",IF(SUMPRODUCT(ISNUMBER(SEARCH(" "&amp;Settings!$L$5:$L$124&amp;" "," "&amp;M531&amp;" "))*(Settings!$K$5:$K$124="Informational")*(Settings!$L$5:$L$124&lt;&gt;""))&gt;0,"Informational","Unclassified")))))</f>
        <v/>
      </c>
      <c r="O531">
        <f>IF(A531="","",IF(K531&lt;&gt;"",PROPER(K531),N531))</f>
        <v/>
      </c>
      <c r="P531">
        <f>IF(A531="","",ROUND(Settings!$B$5*MIN(1,LOG10(N(C531)+1)/LOG10(Settings!$B$7+1))+Settings!$B$6*(1-MIN(100,IF(D531="",50,N(D531)))/100)+IFERROR(INDEX(Settings!$B$10:$B$14,MATCH(O531,Settings!$A$10:$A$14,0)),0),0))</f>
        <v/>
      </c>
      <c r="Q531">
        <f>IF(OR(A531="",G531=""),"",COUNTIFS($M$3:$M$1002,M531,$G$3:$G$1002,"&lt;&gt;"&amp;SUBSTITUTE(SUBSTITUTE(G531,"?","~?"),"*","~*"),$G$3:$G$1002,"?*"))</f>
        <v/>
      </c>
      <c r="R531">
        <f>IF(Q531="","",IF(Q531&gt;0,"Yes","No"))</f>
        <v/>
      </c>
      <c r="S531">
        <f>IF(G531="","",COUNTIFS($G$3:$G$1002,SUBSTITUTE(SUBSTITUTE(G531,"?","~?"),"*","~*"),$J$3:$J$1002,"Primary"))</f>
        <v/>
      </c>
      <c r="T531">
        <f>IF(S531="","",IF(S531&gt;Settings!$B$4,"Yes","No"))</f>
        <v/>
      </c>
      <c r="U531">
        <f>IF(OR(G531="",B531=""),"",IF(COUNTIFS($G$3:$G$1002,SUBSTITUTE(SUBSTITUTE(G531,"?","~?"),"*","~*"),$B$3:$B$1002,"&lt;&gt;"&amp;SUBSTITUTE(SUBSTITUTE(B531,"?","~?"),"*","~*"),$B$3:$B$1002,"?*")&gt;0,"Yes","No"))</f>
        <v/>
      </c>
      <c r="V531">
        <f>IF(OR(G531="",I531="",O531="",O531="Unclassified"),"",IFERROR(INDEX(Settings!$E$5:$H$16,MATCH(I531,Settings!$D$5:$D$16,0),MATCH(O531,Settings!$E$4:$H$4,0)),"Check"))</f>
        <v/>
      </c>
      <c r="W531">
        <f>IF(V531="","",IF(V531="No","Yes","No"))</f>
        <v/>
      </c>
      <c r="X531">
        <f>IF(OR(E531="",G531=""),"",IF(LOWER(IF(RIGHT(TRIM(E531),1)="/",LEFT(TRIM(E531),LEN(TRIM(E531))-1),TRIM(E531)))&lt;&gt;LOWER(IF(RIGHT(TRIM(G531),1)="/",LEFT(TRIM(G531),LEN(TRIM(G531))-1),TRIM(G531))),"Yes","No"))</f>
        <v/>
      </c>
      <c r="Y531">
        <f>IF(A531="","",(N(Q531)&gt;0)+(T531="Yes")+(U531="Yes")+(W531="Yes")+(X531="Yes"))</f>
        <v/>
      </c>
      <c r="Z531">
        <f>IF(A531="","",IF(G531="","Not mapped",IF(Y531=0,"OK",MID(IF(N(Q531)&gt;0,"; Cannibalisation","")&amp;IF(T531="Yes","; Too many primary keywords on URL","")&amp;IF(U531="Yes","; URL spans 2+ clusters","")&amp;IF(W531="Yes","; Intent mismatch","")&amp;IF(X531="Yes","; Ranking URL is not the target",""),3,300))))</f>
        <v/>
      </c>
      <c r="AA531">
        <f>IF(G531="","",IF(COUNTIF($G$3:G531,SUBSTITUTE(SUBSTITUTE(G531,"?","~?"),"*","~*"))=1,MAX($AA$2:AA530)+1,""))</f>
        <v/>
      </c>
      <c r="AB531">
        <f>IF(B531="","",IF(COUNTIF($B$3:B531,SUBSTITUTE(SUBSTITUTE(B531,"?","~?"),"*","~*"))=1,MAX($AB$2:AB530)+1,""))</f>
        <v/>
      </c>
    </row>
    <row r="532">
      <c r="M532">
        <f>IF(A532="","",LOWER(TRIM(SUBSTITUTE(SUBSTITUTE(A532,"?",""),"*",""))))</f>
        <v/>
      </c>
      <c r="N532">
        <f>IF(M532="","",IF(SUMPRODUCT(ISNUMBER(SEARCH(" "&amp;Settings!$L$5:$L$124&amp;" "," "&amp;M532&amp;" "))*(Settings!$K$5:$K$124="Navigational")*(Settings!$L$5:$L$124&lt;&gt;""))&gt;0,"Navigational",IF(SUMPRODUCT(ISNUMBER(SEARCH(" "&amp;Settings!$L$5:$L$124&amp;" "," "&amp;M532&amp;" "))*(Settings!$K$5:$K$124="Transactional")*(Settings!$L$5:$L$124&lt;&gt;""))&gt;0,"Transactional",IF(SUMPRODUCT(ISNUMBER(SEARCH(" "&amp;Settings!$L$5:$L$124&amp;" "," "&amp;M532&amp;" "))*(Settings!$K$5:$K$124="Commercial")*(Settings!$L$5:$L$124&lt;&gt;""))&gt;0,"Commercial",IF(SUMPRODUCT(ISNUMBER(SEARCH(" "&amp;Settings!$L$5:$L$124&amp;" "," "&amp;M532&amp;" "))*(Settings!$K$5:$K$124="Informational")*(Settings!$L$5:$L$124&lt;&gt;""))&gt;0,"Informational","Unclassified")))))</f>
        <v/>
      </c>
      <c r="O532">
        <f>IF(A532="","",IF(K532&lt;&gt;"",PROPER(K532),N532))</f>
        <v/>
      </c>
      <c r="P532">
        <f>IF(A532="","",ROUND(Settings!$B$5*MIN(1,LOG10(N(C532)+1)/LOG10(Settings!$B$7+1))+Settings!$B$6*(1-MIN(100,IF(D532="",50,N(D532)))/100)+IFERROR(INDEX(Settings!$B$10:$B$14,MATCH(O532,Settings!$A$10:$A$14,0)),0),0))</f>
        <v/>
      </c>
      <c r="Q532">
        <f>IF(OR(A532="",G532=""),"",COUNTIFS($M$3:$M$1002,M532,$G$3:$G$1002,"&lt;&gt;"&amp;SUBSTITUTE(SUBSTITUTE(G532,"?","~?"),"*","~*"),$G$3:$G$1002,"?*"))</f>
        <v/>
      </c>
      <c r="R532">
        <f>IF(Q532="","",IF(Q532&gt;0,"Yes","No"))</f>
        <v/>
      </c>
      <c r="S532">
        <f>IF(G532="","",COUNTIFS($G$3:$G$1002,SUBSTITUTE(SUBSTITUTE(G532,"?","~?"),"*","~*"),$J$3:$J$1002,"Primary"))</f>
        <v/>
      </c>
      <c r="T532">
        <f>IF(S532="","",IF(S532&gt;Settings!$B$4,"Yes","No"))</f>
        <v/>
      </c>
      <c r="U532">
        <f>IF(OR(G532="",B532=""),"",IF(COUNTIFS($G$3:$G$1002,SUBSTITUTE(SUBSTITUTE(G532,"?","~?"),"*","~*"),$B$3:$B$1002,"&lt;&gt;"&amp;SUBSTITUTE(SUBSTITUTE(B532,"?","~?"),"*","~*"),$B$3:$B$1002,"?*")&gt;0,"Yes","No"))</f>
        <v/>
      </c>
      <c r="V532">
        <f>IF(OR(G532="",I532="",O532="",O532="Unclassified"),"",IFERROR(INDEX(Settings!$E$5:$H$16,MATCH(I532,Settings!$D$5:$D$16,0),MATCH(O532,Settings!$E$4:$H$4,0)),"Check"))</f>
        <v/>
      </c>
      <c r="W532">
        <f>IF(V532="","",IF(V532="No","Yes","No"))</f>
        <v/>
      </c>
      <c r="X532">
        <f>IF(OR(E532="",G532=""),"",IF(LOWER(IF(RIGHT(TRIM(E532),1)="/",LEFT(TRIM(E532),LEN(TRIM(E532))-1),TRIM(E532)))&lt;&gt;LOWER(IF(RIGHT(TRIM(G532),1)="/",LEFT(TRIM(G532),LEN(TRIM(G532))-1),TRIM(G532))),"Yes","No"))</f>
        <v/>
      </c>
      <c r="Y532">
        <f>IF(A532="","",(N(Q532)&gt;0)+(T532="Yes")+(U532="Yes")+(W532="Yes")+(X532="Yes"))</f>
        <v/>
      </c>
      <c r="Z532">
        <f>IF(A532="","",IF(G532="","Not mapped",IF(Y532=0,"OK",MID(IF(N(Q532)&gt;0,"; Cannibalisation","")&amp;IF(T532="Yes","; Too many primary keywords on URL","")&amp;IF(U532="Yes","; URL spans 2+ clusters","")&amp;IF(W532="Yes","; Intent mismatch","")&amp;IF(X532="Yes","; Ranking URL is not the target",""),3,300))))</f>
        <v/>
      </c>
      <c r="AA532">
        <f>IF(G532="","",IF(COUNTIF($G$3:G532,SUBSTITUTE(SUBSTITUTE(G532,"?","~?"),"*","~*"))=1,MAX($AA$2:AA531)+1,""))</f>
        <v/>
      </c>
      <c r="AB532">
        <f>IF(B532="","",IF(COUNTIF($B$3:B532,SUBSTITUTE(SUBSTITUTE(B532,"?","~?"),"*","~*"))=1,MAX($AB$2:AB531)+1,""))</f>
        <v/>
      </c>
    </row>
    <row r="533">
      <c r="M533">
        <f>IF(A533="","",LOWER(TRIM(SUBSTITUTE(SUBSTITUTE(A533,"?",""),"*",""))))</f>
        <v/>
      </c>
      <c r="N533">
        <f>IF(M533="","",IF(SUMPRODUCT(ISNUMBER(SEARCH(" "&amp;Settings!$L$5:$L$124&amp;" "," "&amp;M533&amp;" "))*(Settings!$K$5:$K$124="Navigational")*(Settings!$L$5:$L$124&lt;&gt;""))&gt;0,"Navigational",IF(SUMPRODUCT(ISNUMBER(SEARCH(" "&amp;Settings!$L$5:$L$124&amp;" "," "&amp;M533&amp;" "))*(Settings!$K$5:$K$124="Transactional")*(Settings!$L$5:$L$124&lt;&gt;""))&gt;0,"Transactional",IF(SUMPRODUCT(ISNUMBER(SEARCH(" "&amp;Settings!$L$5:$L$124&amp;" "," "&amp;M533&amp;" "))*(Settings!$K$5:$K$124="Commercial")*(Settings!$L$5:$L$124&lt;&gt;""))&gt;0,"Commercial",IF(SUMPRODUCT(ISNUMBER(SEARCH(" "&amp;Settings!$L$5:$L$124&amp;" "," "&amp;M533&amp;" "))*(Settings!$K$5:$K$124="Informational")*(Settings!$L$5:$L$124&lt;&gt;""))&gt;0,"Informational","Unclassified")))))</f>
        <v/>
      </c>
      <c r="O533">
        <f>IF(A533="","",IF(K533&lt;&gt;"",PROPER(K533),N533))</f>
        <v/>
      </c>
      <c r="P533">
        <f>IF(A533="","",ROUND(Settings!$B$5*MIN(1,LOG10(N(C533)+1)/LOG10(Settings!$B$7+1))+Settings!$B$6*(1-MIN(100,IF(D533="",50,N(D533)))/100)+IFERROR(INDEX(Settings!$B$10:$B$14,MATCH(O533,Settings!$A$10:$A$14,0)),0),0))</f>
        <v/>
      </c>
      <c r="Q533">
        <f>IF(OR(A533="",G533=""),"",COUNTIFS($M$3:$M$1002,M533,$G$3:$G$1002,"&lt;&gt;"&amp;SUBSTITUTE(SUBSTITUTE(G533,"?","~?"),"*","~*"),$G$3:$G$1002,"?*"))</f>
        <v/>
      </c>
      <c r="R533">
        <f>IF(Q533="","",IF(Q533&gt;0,"Yes","No"))</f>
        <v/>
      </c>
      <c r="S533">
        <f>IF(G533="","",COUNTIFS($G$3:$G$1002,SUBSTITUTE(SUBSTITUTE(G533,"?","~?"),"*","~*"),$J$3:$J$1002,"Primary"))</f>
        <v/>
      </c>
      <c r="T533">
        <f>IF(S533="","",IF(S533&gt;Settings!$B$4,"Yes","No"))</f>
        <v/>
      </c>
      <c r="U533">
        <f>IF(OR(G533="",B533=""),"",IF(COUNTIFS($G$3:$G$1002,SUBSTITUTE(SUBSTITUTE(G533,"?","~?"),"*","~*"),$B$3:$B$1002,"&lt;&gt;"&amp;SUBSTITUTE(SUBSTITUTE(B533,"?","~?"),"*","~*"),$B$3:$B$1002,"?*")&gt;0,"Yes","No"))</f>
        <v/>
      </c>
      <c r="V533">
        <f>IF(OR(G533="",I533="",O533="",O533="Unclassified"),"",IFERROR(INDEX(Settings!$E$5:$H$16,MATCH(I533,Settings!$D$5:$D$16,0),MATCH(O533,Settings!$E$4:$H$4,0)),"Check"))</f>
        <v/>
      </c>
      <c r="W533">
        <f>IF(V533="","",IF(V533="No","Yes","No"))</f>
        <v/>
      </c>
      <c r="X533">
        <f>IF(OR(E533="",G533=""),"",IF(LOWER(IF(RIGHT(TRIM(E533),1)="/",LEFT(TRIM(E533),LEN(TRIM(E533))-1),TRIM(E533)))&lt;&gt;LOWER(IF(RIGHT(TRIM(G533),1)="/",LEFT(TRIM(G533),LEN(TRIM(G533))-1),TRIM(G533))),"Yes","No"))</f>
        <v/>
      </c>
      <c r="Y533">
        <f>IF(A533="","",(N(Q533)&gt;0)+(T533="Yes")+(U533="Yes")+(W533="Yes")+(X533="Yes"))</f>
        <v/>
      </c>
      <c r="Z533">
        <f>IF(A533="","",IF(G533="","Not mapped",IF(Y533=0,"OK",MID(IF(N(Q533)&gt;0,"; Cannibalisation","")&amp;IF(T533="Yes","; Too many primary keywords on URL","")&amp;IF(U533="Yes","; URL spans 2+ clusters","")&amp;IF(W533="Yes","; Intent mismatch","")&amp;IF(X533="Yes","; Ranking URL is not the target",""),3,300))))</f>
        <v/>
      </c>
      <c r="AA533">
        <f>IF(G533="","",IF(COUNTIF($G$3:G533,SUBSTITUTE(SUBSTITUTE(G533,"?","~?"),"*","~*"))=1,MAX($AA$2:AA532)+1,""))</f>
        <v/>
      </c>
      <c r="AB533">
        <f>IF(B533="","",IF(COUNTIF($B$3:B533,SUBSTITUTE(SUBSTITUTE(B533,"?","~?"),"*","~*"))=1,MAX($AB$2:AB532)+1,""))</f>
        <v/>
      </c>
    </row>
    <row r="534">
      <c r="M534">
        <f>IF(A534="","",LOWER(TRIM(SUBSTITUTE(SUBSTITUTE(A534,"?",""),"*",""))))</f>
        <v/>
      </c>
      <c r="N534">
        <f>IF(M534="","",IF(SUMPRODUCT(ISNUMBER(SEARCH(" "&amp;Settings!$L$5:$L$124&amp;" "," "&amp;M534&amp;" "))*(Settings!$K$5:$K$124="Navigational")*(Settings!$L$5:$L$124&lt;&gt;""))&gt;0,"Navigational",IF(SUMPRODUCT(ISNUMBER(SEARCH(" "&amp;Settings!$L$5:$L$124&amp;" "," "&amp;M534&amp;" "))*(Settings!$K$5:$K$124="Transactional")*(Settings!$L$5:$L$124&lt;&gt;""))&gt;0,"Transactional",IF(SUMPRODUCT(ISNUMBER(SEARCH(" "&amp;Settings!$L$5:$L$124&amp;" "," "&amp;M534&amp;" "))*(Settings!$K$5:$K$124="Commercial")*(Settings!$L$5:$L$124&lt;&gt;""))&gt;0,"Commercial",IF(SUMPRODUCT(ISNUMBER(SEARCH(" "&amp;Settings!$L$5:$L$124&amp;" "," "&amp;M534&amp;" "))*(Settings!$K$5:$K$124="Informational")*(Settings!$L$5:$L$124&lt;&gt;""))&gt;0,"Informational","Unclassified")))))</f>
        <v/>
      </c>
      <c r="O534">
        <f>IF(A534="","",IF(K534&lt;&gt;"",PROPER(K534),N534))</f>
        <v/>
      </c>
      <c r="P534">
        <f>IF(A534="","",ROUND(Settings!$B$5*MIN(1,LOG10(N(C534)+1)/LOG10(Settings!$B$7+1))+Settings!$B$6*(1-MIN(100,IF(D534="",50,N(D534)))/100)+IFERROR(INDEX(Settings!$B$10:$B$14,MATCH(O534,Settings!$A$10:$A$14,0)),0),0))</f>
        <v/>
      </c>
      <c r="Q534">
        <f>IF(OR(A534="",G534=""),"",COUNTIFS($M$3:$M$1002,M534,$G$3:$G$1002,"&lt;&gt;"&amp;SUBSTITUTE(SUBSTITUTE(G534,"?","~?"),"*","~*"),$G$3:$G$1002,"?*"))</f>
        <v/>
      </c>
      <c r="R534">
        <f>IF(Q534="","",IF(Q534&gt;0,"Yes","No"))</f>
        <v/>
      </c>
      <c r="S534">
        <f>IF(G534="","",COUNTIFS($G$3:$G$1002,SUBSTITUTE(SUBSTITUTE(G534,"?","~?"),"*","~*"),$J$3:$J$1002,"Primary"))</f>
        <v/>
      </c>
      <c r="T534">
        <f>IF(S534="","",IF(S534&gt;Settings!$B$4,"Yes","No"))</f>
        <v/>
      </c>
      <c r="U534">
        <f>IF(OR(G534="",B534=""),"",IF(COUNTIFS($G$3:$G$1002,SUBSTITUTE(SUBSTITUTE(G534,"?","~?"),"*","~*"),$B$3:$B$1002,"&lt;&gt;"&amp;SUBSTITUTE(SUBSTITUTE(B534,"?","~?"),"*","~*"),$B$3:$B$1002,"?*")&gt;0,"Yes","No"))</f>
        <v/>
      </c>
      <c r="V534">
        <f>IF(OR(G534="",I534="",O534="",O534="Unclassified"),"",IFERROR(INDEX(Settings!$E$5:$H$16,MATCH(I534,Settings!$D$5:$D$16,0),MATCH(O534,Settings!$E$4:$H$4,0)),"Check"))</f>
        <v/>
      </c>
      <c r="W534">
        <f>IF(V534="","",IF(V534="No","Yes","No"))</f>
        <v/>
      </c>
      <c r="X534">
        <f>IF(OR(E534="",G534=""),"",IF(LOWER(IF(RIGHT(TRIM(E534),1)="/",LEFT(TRIM(E534),LEN(TRIM(E534))-1),TRIM(E534)))&lt;&gt;LOWER(IF(RIGHT(TRIM(G534),1)="/",LEFT(TRIM(G534),LEN(TRIM(G534))-1),TRIM(G534))),"Yes","No"))</f>
        <v/>
      </c>
      <c r="Y534">
        <f>IF(A534="","",(N(Q534)&gt;0)+(T534="Yes")+(U534="Yes")+(W534="Yes")+(X534="Yes"))</f>
        <v/>
      </c>
      <c r="Z534">
        <f>IF(A534="","",IF(G534="","Not mapped",IF(Y534=0,"OK",MID(IF(N(Q534)&gt;0,"; Cannibalisation","")&amp;IF(T534="Yes","; Too many primary keywords on URL","")&amp;IF(U534="Yes","; URL spans 2+ clusters","")&amp;IF(W534="Yes","; Intent mismatch","")&amp;IF(X534="Yes","; Ranking URL is not the target",""),3,300))))</f>
        <v/>
      </c>
      <c r="AA534">
        <f>IF(G534="","",IF(COUNTIF($G$3:G534,SUBSTITUTE(SUBSTITUTE(G534,"?","~?"),"*","~*"))=1,MAX($AA$2:AA533)+1,""))</f>
        <v/>
      </c>
      <c r="AB534">
        <f>IF(B534="","",IF(COUNTIF($B$3:B534,SUBSTITUTE(SUBSTITUTE(B534,"?","~?"),"*","~*"))=1,MAX($AB$2:AB533)+1,""))</f>
        <v/>
      </c>
    </row>
    <row r="535">
      <c r="M535">
        <f>IF(A535="","",LOWER(TRIM(SUBSTITUTE(SUBSTITUTE(A535,"?",""),"*",""))))</f>
        <v/>
      </c>
      <c r="N535">
        <f>IF(M535="","",IF(SUMPRODUCT(ISNUMBER(SEARCH(" "&amp;Settings!$L$5:$L$124&amp;" "," "&amp;M535&amp;" "))*(Settings!$K$5:$K$124="Navigational")*(Settings!$L$5:$L$124&lt;&gt;""))&gt;0,"Navigational",IF(SUMPRODUCT(ISNUMBER(SEARCH(" "&amp;Settings!$L$5:$L$124&amp;" "," "&amp;M535&amp;" "))*(Settings!$K$5:$K$124="Transactional")*(Settings!$L$5:$L$124&lt;&gt;""))&gt;0,"Transactional",IF(SUMPRODUCT(ISNUMBER(SEARCH(" "&amp;Settings!$L$5:$L$124&amp;" "," "&amp;M535&amp;" "))*(Settings!$K$5:$K$124="Commercial")*(Settings!$L$5:$L$124&lt;&gt;""))&gt;0,"Commercial",IF(SUMPRODUCT(ISNUMBER(SEARCH(" "&amp;Settings!$L$5:$L$124&amp;" "," "&amp;M535&amp;" "))*(Settings!$K$5:$K$124="Informational")*(Settings!$L$5:$L$124&lt;&gt;""))&gt;0,"Informational","Unclassified")))))</f>
        <v/>
      </c>
      <c r="O535">
        <f>IF(A535="","",IF(K535&lt;&gt;"",PROPER(K535),N535))</f>
        <v/>
      </c>
      <c r="P535">
        <f>IF(A535="","",ROUND(Settings!$B$5*MIN(1,LOG10(N(C535)+1)/LOG10(Settings!$B$7+1))+Settings!$B$6*(1-MIN(100,IF(D535="",50,N(D535)))/100)+IFERROR(INDEX(Settings!$B$10:$B$14,MATCH(O535,Settings!$A$10:$A$14,0)),0),0))</f>
        <v/>
      </c>
      <c r="Q535">
        <f>IF(OR(A535="",G535=""),"",COUNTIFS($M$3:$M$1002,M535,$G$3:$G$1002,"&lt;&gt;"&amp;SUBSTITUTE(SUBSTITUTE(G535,"?","~?"),"*","~*"),$G$3:$G$1002,"?*"))</f>
        <v/>
      </c>
      <c r="R535">
        <f>IF(Q535="","",IF(Q535&gt;0,"Yes","No"))</f>
        <v/>
      </c>
      <c r="S535">
        <f>IF(G535="","",COUNTIFS($G$3:$G$1002,SUBSTITUTE(SUBSTITUTE(G535,"?","~?"),"*","~*"),$J$3:$J$1002,"Primary"))</f>
        <v/>
      </c>
      <c r="T535">
        <f>IF(S535="","",IF(S535&gt;Settings!$B$4,"Yes","No"))</f>
        <v/>
      </c>
      <c r="U535">
        <f>IF(OR(G535="",B535=""),"",IF(COUNTIFS($G$3:$G$1002,SUBSTITUTE(SUBSTITUTE(G535,"?","~?"),"*","~*"),$B$3:$B$1002,"&lt;&gt;"&amp;SUBSTITUTE(SUBSTITUTE(B535,"?","~?"),"*","~*"),$B$3:$B$1002,"?*")&gt;0,"Yes","No"))</f>
        <v/>
      </c>
      <c r="V535">
        <f>IF(OR(G535="",I535="",O535="",O535="Unclassified"),"",IFERROR(INDEX(Settings!$E$5:$H$16,MATCH(I535,Settings!$D$5:$D$16,0),MATCH(O535,Settings!$E$4:$H$4,0)),"Check"))</f>
        <v/>
      </c>
      <c r="W535">
        <f>IF(V535="","",IF(V535="No","Yes","No"))</f>
        <v/>
      </c>
      <c r="X535">
        <f>IF(OR(E535="",G535=""),"",IF(LOWER(IF(RIGHT(TRIM(E535),1)="/",LEFT(TRIM(E535),LEN(TRIM(E535))-1),TRIM(E535)))&lt;&gt;LOWER(IF(RIGHT(TRIM(G535),1)="/",LEFT(TRIM(G535),LEN(TRIM(G535))-1),TRIM(G535))),"Yes","No"))</f>
        <v/>
      </c>
      <c r="Y535">
        <f>IF(A535="","",(N(Q535)&gt;0)+(T535="Yes")+(U535="Yes")+(W535="Yes")+(X535="Yes"))</f>
        <v/>
      </c>
      <c r="Z535">
        <f>IF(A535="","",IF(G535="","Not mapped",IF(Y535=0,"OK",MID(IF(N(Q535)&gt;0,"; Cannibalisation","")&amp;IF(T535="Yes","; Too many primary keywords on URL","")&amp;IF(U535="Yes","; URL spans 2+ clusters","")&amp;IF(W535="Yes","; Intent mismatch","")&amp;IF(X535="Yes","; Ranking URL is not the target",""),3,300))))</f>
        <v/>
      </c>
      <c r="AA535">
        <f>IF(G535="","",IF(COUNTIF($G$3:G535,SUBSTITUTE(SUBSTITUTE(G535,"?","~?"),"*","~*"))=1,MAX($AA$2:AA534)+1,""))</f>
        <v/>
      </c>
      <c r="AB535">
        <f>IF(B535="","",IF(COUNTIF($B$3:B535,SUBSTITUTE(SUBSTITUTE(B535,"?","~?"),"*","~*"))=1,MAX($AB$2:AB534)+1,""))</f>
        <v/>
      </c>
    </row>
    <row r="536">
      <c r="M536">
        <f>IF(A536="","",LOWER(TRIM(SUBSTITUTE(SUBSTITUTE(A536,"?",""),"*",""))))</f>
        <v/>
      </c>
      <c r="N536">
        <f>IF(M536="","",IF(SUMPRODUCT(ISNUMBER(SEARCH(" "&amp;Settings!$L$5:$L$124&amp;" "," "&amp;M536&amp;" "))*(Settings!$K$5:$K$124="Navigational")*(Settings!$L$5:$L$124&lt;&gt;""))&gt;0,"Navigational",IF(SUMPRODUCT(ISNUMBER(SEARCH(" "&amp;Settings!$L$5:$L$124&amp;" "," "&amp;M536&amp;" "))*(Settings!$K$5:$K$124="Transactional")*(Settings!$L$5:$L$124&lt;&gt;""))&gt;0,"Transactional",IF(SUMPRODUCT(ISNUMBER(SEARCH(" "&amp;Settings!$L$5:$L$124&amp;" "," "&amp;M536&amp;" "))*(Settings!$K$5:$K$124="Commercial")*(Settings!$L$5:$L$124&lt;&gt;""))&gt;0,"Commercial",IF(SUMPRODUCT(ISNUMBER(SEARCH(" "&amp;Settings!$L$5:$L$124&amp;" "," "&amp;M536&amp;" "))*(Settings!$K$5:$K$124="Informational")*(Settings!$L$5:$L$124&lt;&gt;""))&gt;0,"Informational","Unclassified")))))</f>
        <v/>
      </c>
      <c r="O536">
        <f>IF(A536="","",IF(K536&lt;&gt;"",PROPER(K536),N536))</f>
        <v/>
      </c>
      <c r="P536">
        <f>IF(A536="","",ROUND(Settings!$B$5*MIN(1,LOG10(N(C536)+1)/LOG10(Settings!$B$7+1))+Settings!$B$6*(1-MIN(100,IF(D536="",50,N(D536)))/100)+IFERROR(INDEX(Settings!$B$10:$B$14,MATCH(O536,Settings!$A$10:$A$14,0)),0),0))</f>
        <v/>
      </c>
      <c r="Q536">
        <f>IF(OR(A536="",G536=""),"",COUNTIFS($M$3:$M$1002,M536,$G$3:$G$1002,"&lt;&gt;"&amp;SUBSTITUTE(SUBSTITUTE(G536,"?","~?"),"*","~*"),$G$3:$G$1002,"?*"))</f>
        <v/>
      </c>
      <c r="R536">
        <f>IF(Q536="","",IF(Q536&gt;0,"Yes","No"))</f>
        <v/>
      </c>
      <c r="S536">
        <f>IF(G536="","",COUNTIFS($G$3:$G$1002,SUBSTITUTE(SUBSTITUTE(G536,"?","~?"),"*","~*"),$J$3:$J$1002,"Primary"))</f>
        <v/>
      </c>
      <c r="T536">
        <f>IF(S536="","",IF(S536&gt;Settings!$B$4,"Yes","No"))</f>
        <v/>
      </c>
      <c r="U536">
        <f>IF(OR(G536="",B536=""),"",IF(COUNTIFS($G$3:$G$1002,SUBSTITUTE(SUBSTITUTE(G536,"?","~?"),"*","~*"),$B$3:$B$1002,"&lt;&gt;"&amp;SUBSTITUTE(SUBSTITUTE(B536,"?","~?"),"*","~*"),$B$3:$B$1002,"?*")&gt;0,"Yes","No"))</f>
        <v/>
      </c>
      <c r="V536">
        <f>IF(OR(G536="",I536="",O536="",O536="Unclassified"),"",IFERROR(INDEX(Settings!$E$5:$H$16,MATCH(I536,Settings!$D$5:$D$16,0),MATCH(O536,Settings!$E$4:$H$4,0)),"Check"))</f>
        <v/>
      </c>
      <c r="W536">
        <f>IF(V536="","",IF(V536="No","Yes","No"))</f>
        <v/>
      </c>
      <c r="X536">
        <f>IF(OR(E536="",G536=""),"",IF(LOWER(IF(RIGHT(TRIM(E536),1)="/",LEFT(TRIM(E536),LEN(TRIM(E536))-1),TRIM(E536)))&lt;&gt;LOWER(IF(RIGHT(TRIM(G536),1)="/",LEFT(TRIM(G536),LEN(TRIM(G536))-1),TRIM(G536))),"Yes","No"))</f>
        <v/>
      </c>
      <c r="Y536">
        <f>IF(A536="","",(N(Q536)&gt;0)+(T536="Yes")+(U536="Yes")+(W536="Yes")+(X536="Yes"))</f>
        <v/>
      </c>
      <c r="Z536">
        <f>IF(A536="","",IF(G536="","Not mapped",IF(Y536=0,"OK",MID(IF(N(Q536)&gt;0,"; Cannibalisation","")&amp;IF(T536="Yes","; Too many primary keywords on URL","")&amp;IF(U536="Yes","; URL spans 2+ clusters","")&amp;IF(W536="Yes","; Intent mismatch","")&amp;IF(X536="Yes","; Ranking URL is not the target",""),3,300))))</f>
        <v/>
      </c>
      <c r="AA536">
        <f>IF(G536="","",IF(COUNTIF($G$3:G536,SUBSTITUTE(SUBSTITUTE(G536,"?","~?"),"*","~*"))=1,MAX($AA$2:AA535)+1,""))</f>
        <v/>
      </c>
      <c r="AB536">
        <f>IF(B536="","",IF(COUNTIF($B$3:B536,SUBSTITUTE(SUBSTITUTE(B536,"?","~?"),"*","~*"))=1,MAX($AB$2:AB535)+1,""))</f>
        <v/>
      </c>
    </row>
    <row r="537">
      <c r="M537">
        <f>IF(A537="","",LOWER(TRIM(SUBSTITUTE(SUBSTITUTE(A537,"?",""),"*",""))))</f>
        <v/>
      </c>
      <c r="N537">
        <f>IF(M537="","",IF(SUMPRODUCT(ISNUMBER(SEARCH(" "&amp;Settings!$L$5:$L$124&amp;" "," "&amp;M537&amp;" "))*(Settings!$K$5:$K$124="Navigational")*(Settings!$L$5:$L$124&lt;&gt;""))&gt;0,"Navigational",IF(SUMPRODUCT(ISNUMBER(SEARCH(" "&amp;Settings!$L$5:$L$124&amp;" "," "&amp;M537&amp;" "))*(Settings!$K$5:$K$124="Transactional")*(Settings!$L$5:$L$124&lt;&gt;""))&gt;0,"Transactional",IF(SUMPRODUCT(ISNUMBER(SEARCH(" "&amp;Settings!$L$5:$L$124&amp;" "," "&amp;M537&amp;" "))*(Settings!$K$5:$K$124="Commercial")*(Settings!$L$5:$L$124&lt;&gt;""))&gt;0,"Commercial",IF(SUMPRODUCT(ISNUMBER(SEARCH(" "&amp;Settings!$L$5:$L$124&amp;" "," "&amp;M537&amp;" "))*(Settings!$K$5:$K$124="Informational")*(Settings!$L$5:$L$124&lt;&gt;""))&gt;0,"Informational","Unclassified")))))</f>
        <v/>
      </c>
      <c r="O537">
        <f>IF(A537="","",IF(K537&lt;&gt;"",PROPER(K537),N537))</f>
        <v/>
      </c>
      <c r="P537">
        <f>IF(A537="","",ROUND(Settings!$B$5*MIN(1,LOG10(N(C537)+1)/LOG10(Settings!$B$7+1))+Settings!$B$6*(1-MIN(100,IF(D537="",50,N(D537)))/100)+IFERROR(INDEX(Settings!$B$10:$B$14,MATCH(O537,Settings!$A$10:$A$14,0)),0),0))</f>
        <v/>
      </c>
      <c r="Q537">
        <f>IF(OR(A537="",G537=""),"",COUNTIFS($M$3:$M$1002,M537,$G$3:$G$1002,"&lt;&gt;"&amp;SUBSTITUTE(SUBSTITUTE(G537,"?","~?"),"*","~*"),$G$3:$G$1002,"?*"))</f>
        <v/>
      </c>
      <c r="R537">
        <f>IF(Q537="","",IF(Q537&gt;0,"Yes","No"))</f>
        <v/>
      </c>
      <c r="S537">
        <f>IF(G537="","",COUNTIFS($G$3:$G$1002,SUBSTITUTE(SUBSTITUTE(G537,"?","~?"),"*","~*"),$J$3:$J$1002,"Primary"))</f>
        <v/>
      </c>
      <c r="T537">
        <f>IF(S537="","",IF(S537&gt;Settings!$B$4,"Yes","No"))</f>
        <v/>
      </c>
      <c r="U537">
        <f>IF(OR(G537="",B537=""),"",IF(COUNTIFS($G$3:$G$1002,SUBSTITUTE(SUBSTITUTE(G537,"?","~?"),"*","~*"),$B$3:$B$1002,"&lt;&gt;"&amp;SUBSTITUTE(SUBSTITUTE(B537,"?","~?"),"*","~*"),$B$3:$B$1002,"?*")&gt;0,"Yes","No"))</f>
        <v/>
      </c>
      <c r="V537">
        <f>IF(OR(G537="",I537="",O537="",O537="Unclassified"),"",IFERROR(INDEX(Settings!$E$5:$H$16,MATCH(I537,Settings!$D$5:$D$16,0),MATCH(O537,Settings!$E$4:$H$4,0)),"Check"))</f>
        <v/>
      </c>
      <c r="W537">
        <f>IF(V537="","",IF(V537="No","Yes","No"))</f>
        <v/>
      </c>
      <c r="X537">
        <f>IF(OR(E537="",G537=""),"",IF(LOWER(IF(RIGHT(TRIM(E537),1)="/",LEFT(TRIM(E537),LEN(TRIM(E537))-1),TRIM(E537)))&lt;&gt;LOWER(IF(RIGHT(TRIM(G537),1)="/",LEFT(TRIM(G537),LEN(TRIM(G537))-1),TRIM(G537))),"Yes","No"))</f>
        <v/>
      </c>
      <c r="Y537">
        <f>IF(A537="","",(N(Q537)&gt;0)+(T537="Yes")+(U537="Yes")+(W537="Yes")+(X537="Yes"))</f>
        <v/>
      </c>
      <c r="Z537">
        <f>IF(A537="","",IF(G537="","Not mapped",IF(Y537=0,"OK",MID(IF(N(Q537)&gt;0,"; Cannibalisation","")&amp;IF(T537="Yes","; Too many primary keywords on URL","")&amp;IF(U537="Yes","; URL spans 2+ clusters","")&amp;IF(W537="Yes","; Intent mismatch","")&amp;IF(X537="Yes","; Ranking URL is not the target",""),3,300))))</f>
        <v/>
      </c>
      <c r="AA537">
        <f>IF(G537="","",IF(COUNTIF($G$3:G537,SUBSTITUTE(SUBSTITUTE(G537,"?","~?"),"*","~*"))=1,MAX($AA$2:AA536)+1,""))</f>
        <v/>
      </c>
      <c r="AB537">
        <f>IF(B537="","",IF(COUNTIF($B$3:B537,SUBSTITUTE(SUBSTITUTE(B537,"?","~?"),"*","~*"))=1,MAX($AB$2:AB536)+1,""))</f>
        <v/>
      </c>
    </row>
    <row r="538">
      <c r="M538">
        <f>IF(A538="","",LOWER(TRIM(SUBSTITUTE(SUBSTITUTE(A538,"?",""),"*",""))))</f>
        <v/>
      </c>
      <c r="N538">
        <f>IF(M538="","",IF(SUMPRODUCT(ISNUMBER(SEARCH(" "&amp;Settings!$L$5:$L$124&amp;" "," "&amp;M538&amp;" "))*(Settings!$K$5:$K$124="Navigational")*(Settings!$L$5:$L$124&lt;&gt;""))&gt;0,"Navigational",IF(SUMPRODUCT(ISNUMBER(SEARCH(" "&amp;Settings!$L$5:$L$124&amp;" "," "&amp;M538&amp;" "))*(Settings!$K$5:$K$124="Transactional")*(Settings!$L$5:$L$124&lt;&gt;""))&gt;0,"Transactional",IF(SUMPRODUCT(ISNUMBER(SEARCH(" "&amp;Settings!$L$5:$L$124&amp;" "," "&amp;M538&amp;" "))*(Settings!$K$5:$K$124="Commercial")*(Settings!$L$5:$L$124&lt;&gt;""))&gt;0,"Commercial",IF(SUMPRODUCT(ISNUMBER(SEARCH(" "&amp;Settings!$L$5:$L$124&amp;" "," "&amp;M538&amp;" "))*(Settings!$K$5:$K$124="Informational")*(Settings!$L$5:$L$124&lt;&gt;""))&gt;0,"Informational","Unclassified")))))</f>
        <v/>
      </c>
      <c r="O538">
        <f>IF(A538="","",IF(K538&lt;&gt;"",PROPER(K538),N538))</f>
        <v/>
      </c>
      <c r="P538">
        <f>IF(A538="","",ROUND(Settings!$B$5*MIN(1,LOG10(N(C538)+1)/LOG10(Settings!$B$7+1))+Settings!$B$6*(1-MIN(100,IF(D538="",50,N(D538)))/100)+IFERROR(INDEX(Settings!$B$10:$B$14,MATCH(O538,Settings!$A$10:$A$14,0)),0),0))</f>
        <v/>
      </c>
      <c r="Q538">
        <f>IF(OR(A538="",G538=""),"",COUNTIFS($M$3:$M$1002,M538,$G$3:$G$1002,"&lt;&gt;"&amp;SUBSTITUTE(SUBSTITUTE(G538,"?","~?"),"*","~*"),$G$3:$G$1002,"?*"))</f>
        <v/>
      </c>
      <c r="R538">
        <f>IF(Q538="","",IF(Q538&gt;0,"Yes","No"))</f>
        <v/>
      </c>
      <c r="S538">
        <f>IF(G538="","",COUNTIFS($G$3:$G$1002,SUBSTITUTE(SUBSTITUTE(G538,"?","~?"),"*","~*"),$J$3:$J$1002,"Primary"))</f>
        <v/>
      </c>
      <c r="T538">
        <f>IF(S538="","",IF(S538&gt;Settings!$B$4,"Yes","No"))</f>
        <v/>
      </c>
      <c r="U538">
        <f>IF(OR(G538="",B538=""),"",IF(COUNTIFS($G$3:$G$1002,SUBSTITUTE(SUBSTITUTE(G538,"?","~?"),"*","~*"),$B$3:$B$1002,"&lt;&gt;"&amp;SUBSTITUTE(SUBSTITUTE(B538,"?","~?"),"*","~*"),$B$3:$B$1002,"?*")&gt;0,"Yes","No"))</f>
        <v/>
      </c>
      <c r="V538">
        <f>IF(OR(G538="",I538="",O538="",O538="Unclassified"),"",IFERROR(INDEX(Settings!$E$5:$H$16,MATCH(I538,Settings!$D$5:$D$16,0),MATCH(O538,Settings!$E$4:$H$4,0)),"Check"))</f>
        <v/>
      </c>
      <c r="W538">
        <f>IF(V538="","",IF(V538="No","Yes","No"))</f>
        <v/>
      </c>
      <c r="X538">
        <f>IF(OR(E538="",G538=""),"",IF(LOWER(IF(RIGHT(TRIM(E538),1)="/",LEFT(TRIM(E538),LEN(TRIM(E538))-1),TRIM(E538)))&lt;&gt;LOWER(IF(RIGHT(TRIM(G538),1)="/",LEFT(TRIM(G538),LEN(TRIM(G538))-1),TRIM(G538))),"Yes","No"))</f>
        <v/>
      </c>
      <c r="Y538">
        <f>IF(A538="","",(N(Q538)&gt;0)+(T538="Yes")+(U538="Yes")+(W538="Yes")+(X538="Yes"))</f>
        <v/>
      </c>
      <c r="Z538">
        <f>IF(A538="","",IF(G538="","Not mapped",IF(Y538=0,"OK",MID(IF(N(Q538)&gt;0,"; Cannibalisation","")&amp;IF(T538="Yes","; Too many primary keywords on URL","")&amp;IF(U538="Yes","; URL spans 2+ clusters","")&amp;IF(W538="Yes","; Intent mismatch","")&amp;IF(X538="Yes","; Ranking URL is not the target",""),3,300))))</f>
        <v/>
      </c>
      <c r="AA538">
        <f>IF(G538="","",IF(COUNTIF($G$3:G538,SUBSTITUTE(SUBSTITUTE(G538,"?","~?"),"*","~*"))=1,MAX($AA$2:AA537)+1,""))</f>
        <v/>
      </c>
      <c r="AB538">
        <f>IF(B538="","",IF(COUNTIF($B$3:B538,SUBSTITUTE(SUBSTITUTE(B538,"?","~?"),"*","~*"))=1,MAX($AB$2:AB537)+1,""))</f>
        <v/>
      </c>
    </row>
    <row r="539">
      <c r="M539">
        <f>IF(A539="","",LOWER(TRIM(SUBSTITUTE(SUBSTITUTE(A539,"?",""),"*",""))))</f>
        <v/>
      </c>
      <c r="N539">
        <f>IF(M539="","",IF(SUMPRODUCT(ISNUMBER(SEARCH(" "&amp;Settings!$L$5:$L$124&amp;" "," "&amp;M539&amp;" "))*(Settings!$K$5:$K$124="Navigational")*(Settings!$L$5:$L$124&lt;&gt;""))&gt;0,"Navigational",IF(SUMPRODUCT(ISNUMBER(SEARCH(" "&amp;Settings!$L$5:$L$124&amp;" "," "&amp;M539&amp;" "))*(Settings!$K$5:$K$124="Transactional")*(Settings!$L$5:$L$124&lt;&gt;""))&gt;0,"Transactional",IF(SUMPRODUCT(ISNUMBER(SEARCH(" "&amp;Settings!$L$5:$L$124&amp;" "," "&amp;M539&amp;" "))*(Settings!$K$5:$K$124="Commercial")*(Settings!$L$5:$L$124&lt;&gt;""))&gt;0,"Commercial",IF(SUMPRODUCT(ISNUMBER(SEARCH(" "&amp;Settings!$L$5:$L$124&amp;" "," "&amp;M539&amp;" "))*(Settings!$K$5:$K$124="Informational")*(Settings!$L$5:$L$124&lt;&gt;""))&gt;0,"Informational","Unclassified")))))</f>
        <v/>
      </c>
      <c r="O539">
        <f>IF(A539="","",IF(K539&lt;&gt;"",PROPER(K539),N539))</f>
        <v/>
      </c>
      <c r="P539">
        <f>IF(A539="","",ROUND(Settings!$B$5*MIN(1,LOG10(N(C539)+1)/LOG10(Settings!$B$7+1))+Settings!$B$6*(1-MIN(100,IF(D539="",50,N(D539)))/100)+IFERROR(INDEX(Settings!$B$10:$B$14,MATCH(O539,Settings!$A$10:$A$14,0)),0),0))</f>
        <v/>
      </c>
      <c r="Q539">
        <f>IF(OR(A539="",G539=""),"",COUNTIFS($M$3:$M$1002,M539,$G$3:$G$1002,"&lt;&gt;"&amp;SUBSTITUTE(SUBSTITUTE(G539,"?","~?"),"*","~*"),$G$3:$G$1002,"?*"))</f>
        <v/>
      </c>
      <c r="R539">
        <f>IF(Q539="","",IF(Q539&gt;0,"Yes","No"))</f>
        <v/>
      </c>
      <c r="S539">
        <f>IF(G539="","",COUNTIFS($G$3:$G$1002,SUBSTITUTE(SUBSTITUTE(G539,"?","~?"),"*","~*"),$J$3:$J$1002,"Primary"))</f>
        <v/>
      </c>
      <c r="T539">
        <f>IF(S539="","",IF(S539&gt;Settings!$B$4,"Yes","No"))</f>
        <v/>
      </c>
      <c r="U539">
        <f>IF(OR(G539="",B539=""),"",IF(COUNTIFS($G$3:$G$1002,SUBSTITUTE(SUBSTITUTE(G539,"?","~?"),"*","~*"),$B$3:$B$1002,"&lt;&gt;"&amp;SUBSTITUTE(SUBSTITUTE(B539,"?","~?"),"*","~*"),$B$3:$B$1002,"?*")&gt;0,"Yes","No"))</f>
        <v/>
      </c>
      <c r="V539">
        <f>IF(OR(G539="",I539="",O539="",O539="Unclassified"),"",IFERROR(INDEX(Settings!$E$5:$H$16,MATCH(I539,Settings!$D$5:$D$16,0),MATCH(O539,Settings!$E$4:$H$4,0)),"Check"))</f>
        <v/>
      </c>
      <c r="W539">
        <f>IF(V539="","",IF(V539="No","Yes","No"))</f>
        <v/>
      </c>
      <c r="X539">
        <f>IF(OR(E539="",G539=""),"",IF(LOWER(IF(RIGHT(TRIM(E539),1)="/",LEFT(TRIM(E539),LEN(TRIM(E539))-1),TRIM(E539)))&lt;&gt;LOWER(IF(RIGHT(TRIM(G539),1)="/",LEFT(TRIM(G539),LEN(TRIM(G539))-1),TRIM(G539))),"Yes","No"))</f>
        <v/>
      </c>
      <c r="Y539">
        <f>IF(A539="","",(N(Q539)&gt;0)+(T539="Yes")+(U539="Yes")+(W539="Yes")+(X539="Yes"))</f>
        <v/>
      </c>
      <c r="Z539">
        <f>IF(A539="","",IF(G539="","Not mapped",IF(Y539=0,"OK",MID(IF(N(Q539)&gt;0,"; Cannibalisation","")&amp;IF(T539="Yes","; Too many primary keywords on URL","")&amp;IF(U539="Yes","; URL spans 2+ clusters","")&amp;IF(W539="Yes","; Intent mismatch","")&amp;IF(X539="Yes","; Ranking URL is not the target",""),3,300))))</f>
        <v/>
      </c>
      <c r="AA539">
        <f>IF(G539="","",IF(COUNTIF($G$3:G539,SUBSTITUTE(SUBSTITUTE(G539,"?","~?"),"*","~*"))=1,MAX($AA$2:AA538)+1,""))</f>
        <v/>
      </c>
      <c r="AB539">
        <f>IF(B539="","",IF(COUNTIF($B$3:B539,SUBSTITUTE(SUBSTITUTE(B539,"?","~?"),"*","~*"))=1,MAX($AB$2:AB538)+1,""))</f>
        <v/>
      </c>
    </row>
    <row r="540">
      <c r="M540">
        <f>IF(A540="","",LOWER(TRIM(SUBSTITUTE(SUBSTITUTE(A540,"?",""),"*",""))))</f>
        <v/>
      </c>
      <c r="N540">
        <f>IF(M540="","",IF(SUMPRODUCT(ISNUMBER(SEARCH(" "&amp;Settings!$L$5:$L$124&amp;" "," "&amp;M540&amp;" "))*(Settings!$K$5:$K$124="Navigational")*(Settings!$L$5:$L$124&lt;&gt;""))&gt;0,"Navigational",IF(SUMPRODUCT(ISNUMBER(SEARCH(" "&amp;Settings!$L$5:$L$124&amp;" "," "&amp;M540&amp;" "))*(Settings!$K$5:$K$124="Transactional")*(Settings!$L$5:$L$124&lt;&gt;""))&gt;0,"Transactional",IF(SUMPRODUCT(ISNUMBER(SEARCH(" "&amp;Settings!$L$5:$L$124&amp;" "," "&amp;M540&amp;" "))*(Settings!$K$5:$K$124="Commercial")*(Settings!$L$5:$L$124&lt;&gt;""))&gt;0,"Commercial",IF(SUMPRODUCT(ISNUMBER(SEARCH(" "&amp;Settings!$L$5:$L$124&amp;" "," "&amp;M540&amp;" "))*(Settings!$K$5:$K$124="Informational")*(Settings!$L$5:$L$124&lt;&gt;""))&gt;0,"Informational","Unclassified")))))</f>
        <v/>
      </c>
      <c r="O540">
        <f>IF(A540="","",IF(K540&lt;&gt;"",PROPER(K540),N540))</f>
        <v/>
      </c>
      <c r="P540">
        <f>IF(A540="","",ROUND(Settings!$B$5*MIN(1,LOG10(N(C540)+1)/LOG10(Settings!$B$7+1))+Settings!$B$6*(1-MIN(100,IF(D540="",50,N(D540)))/100)+IFERROR(INDEX(Settings!$B$10:$B$14,MATCH(O540,Settings!$A$10:$A$14,0)),0),0))</f>
        <v/>
      </c>
      <c r="Q540">
        <f>IF(OR(A540="",G540=""),"",COUNTIFS($M$3:$M$1002,M540,$G$3:$G$1002,"&lt;&gt;"&amp;SUBSTITUTE(SUBSTITUTE(G540,"?","~?"),"*","~*"),$G$3:$G$1002,"?*"))</f>
        <v/>
      </c>
      <c r="R540">
        <f>IF(Q540="","",IF(Q540&gt;0,"Yes","No"))</f>
        <v/>
      </c>
      <c r="S540">
        <f>IF(G540="","",COUNTIFS($G$3:$G$1002,SUBSTITUTE(SUBSTITUTE(G540,"?","~?"),"*","~*"),$J$3:$J$1002,"Primary"))</f>
        <v/>
      </c>
      <c r="T540">
        <f>IF(S540="","",IF(S540&gt;Settings!$B$4,"Yes","No"))</f>
        <v/>
      </c>
      <c r="U540">
        <f>IF(OR(G540="",B540=""),"",IF(COUNTIFS($G$3:$G$1002,SUBSTITUTE(SUBSTITUTE(G540,"?","~?"),"*","~*"),$B$3:$B$1002,"&lt;&gt;"&amp;SUBSTITUTE(SUBSTITUTE(B540,"?","~?"),"*","~*"),$B$3:$B$1002,"?*")&gt;0,"Yes","No"))</f>
        <v/>
      </c>
      <c r="V540">
        <f>IF(OR(G540="",I540="",O540="",O540="Unclassified"),"",IFERROR(INDEX(Settings!$E$5:$H$16,MATCH(I540,Settings!$D$5:$D$16,0),MATCH(O540,Settings!$E$4:$H$4,0)),"Check"))</f>
        <v/>
      </c>
      <c r="W540">
        <f>IF(V540="","",IF(V540="No","Yes","No"))</f>
        <v/>
      </c>
      <c r="X540">
        <f>IF(OR(E540="",G540=""),"",IF(LOWER(IF(RIGHT(TRIM(E540),1)="/",LEFT(TRIM(E540),LEN(TRIM(E540))-1),TRIM(E540)))&lt;&gt;LOWER(IF(RIGHT(TRIM(G540),1)="/",LEFT(TRIM(G540),LEN(TRIM(G540))-1),TRIM(G540))),"Yes","No"))</f>
        <v/>
      </c>
      <c r="Y540">
        <f>IF(A540="","",(N(Q540)&gt;0)+(T540="Yes")+(U540="Yes")+(W540="Yes")+(X540="Yes"))</f>
        <v/>
      </c>
      <c r="Z540">
        <f>IF(A540="","",IF(G540="","Not mapped",IF(Y540=0,"OK",MID(IF(N(Q540)&gt;0,"; Cannibalisation","")&amp;IF(T540="Yes","; Too many primary keywords on URL","")&amp;IF(U540="Yes","; URL spans 2+ clusters","")&amp;IF(W540="Yes","; Intent mismatch","")&amp;IF(X540="Yes","; Ranking URL is not the target",""),3,300))))</f>
        <v/>
      </c>
      <c r="AA540">
        <f>IF(G540="","",IF(COUNTIF($G$3:G540,SUBSTITUTE(SUBSTITUTE(G540,"?","~?"),"*","~*"))=1,MAX($AA$2:AA539)+1,""))</f>
        <v/>
      </c>
      <c r="AB540">
        <f>IF(B540="","",IF(COUNTIF($B$3:B540,SUBSTITUTE(SUBSTITUTE(B540,"?","~?"),"*","~*"))=1,MAX($AB$2:AB539)+1,""))</f>
        <v/>
      </c>
    </row>
    <row r="541">
      <c r="M541">
        <f>IF(A541="","",LOWER(TRIM(SUBSTITUTE(SUBSTITUTE(A541,"?",""),"*",""))))</f>
        <v/>
      </c>
      <c r="N541">
        <f>IF(M541="","",IF(SUMPRODUCT(ISNUMBER(SEARCH(" "&amp;Settings!$L$5:$L$124&amp;" "," "&amp;M541&amp;" "))*(Settings!$K$5:$K$124="Navigational")*(Settings!$L$5:$L$124&lt;&gt;""))&gt;0,"Navigational",IF(SUMPRODUCT(ISNUMBER(SEARCH(" "&amp;Settings!$L$5:$L$124&amp;" "," "&amp;M541&amp;" "))*(Settings!$K$5:$K$124="Transactional")*(Settings!$L$5:$L$124&lt;&gt;""))&gt;0,"Transactional",IF(SUMPRODUCT(ISNUMBER(SEARCH(" "&amp;Settings!$L$5:$L$124&amp;" "," "&amp;M541&amp;" "))*(Settings!$K$5:$K$124="Commercial")*(Settings!$L$5:$L$124&lt;&gt;""))&gt;0,"Commercial",IF(SUMPRODUCT(ISNUMBER(SEARCH(" "&amp;Settings!$L$5:$L$124&amp;" "," "&amp;M541&amp;" "))*(Settings!$K$5:$K$124="Informational")*(Settings!$L$5:$L$124&lt;&gt;""))&gt;0,"Informational","Unclassified")))))</f>
        <v/>
      </c>
      <c r="O541">
        <f>IF(A541="","",IF(K541&lt;&gt;"",PROPER(K541),N541))</f>
        <v/>
      </c>
      <c r="P541">
        <f>IF(A541="","",ROUND(Settings!$B$5*MIN(1,LOG10(N(C541)+1)/LOG10(Settings!$B$7+1))+Settings!$B$6*(1-MIN(100,IF(D541="",50,N(D541)))/100)+IFERROR(INDEX(Settings!$B$10:$B$14,MATCH(O541,Settings!$A$10:$A$14,0)),0),0))</f>
        <v/>
      </c>
      <c r="Q541">
        <f>IF(OR(A541="",G541=""),"",COUNTIFS($M$3:$M$1002,M541,$G$3:$G$1002,"&lt;&gt;"&amp;SUBSTITUTE(SUBSTITUTE(G541,"?","~?"),"*","~*"),$G$3:$G$1002,"?*"))</f>
        <v/>
      </c>
      <c r="R541">
        <f>IF(Q541="","",IF(Q541&gt;0,"Yes","No"))</f>
        <v/>
      </c>
      <c r="S541">
        <f>IF(G541="","",COUNTIFS($G$3:$G$1002,SUBSTITUTE(SUBSTITUTE(G541,"?","~?"),"*","~*"),$J$3:$J$1002,"Primary"))</f>
        <v/>
      </c>
      <c r="T541">
        <f>IF(S541="","",IF(S541&gt;Settings!$B$4,"Yes","No"))</f>
        <v/>
      </c>
      <c r="U541">
        <f>IF(OR(G541="",B541=""),"",IF(COUNTIFS($G$3:$G$1002,SUBSTITUTE(SUBSTITUTE(G541,"?","~?"),"*","~*"),$B$3:$B$1002,"&lt;&gt;"&amp;SUBSTITUTE(SUBSTITUTE(B541,"?","~?"),"*","~*"),$B$3:$B$1002,"?*")&gt;0,"Yes","No"))</f>
        <v/>
      </c>
      <c r="V541">
        <f>IF(OR(G541="",I541="",O541="",O541="Unclassified"),"",IFERROR(INDEX(Settings!$E$5:$H$16,MATCH(I541,Settings!$D$5:$D$16,0),MATCH(O541,Settings!$E$4:$H$4,0)),"Check"))</f>
        <v/>
      </c>
      <c r="W541">
        <f>IF(V541="","",IF(V541="No","Yes","No"))</f>
        <v/>
      </c>
      <c r="X541">
        <f>IF(OR(E541="",G541=""),"",IF(LOWER(IF(RIGHT(TRIM(E541),1)="/",LEFT(TRIM(E541),LEN(TRIM(E541))-1),TRIM(E541)))&lt;&gt;LOWER(IF(RIGHT(TRIM(G541),1)="/",LEFT(TRIM(G541),LEN(TRIM(G541))-1),TRIM(G541))),"Yes","No"))</f>
        <v/>
      </c>
      <c r="Y541">
        <f>IF(A541="","",(N(Q541)&gt;0)+(T541="Yes")+(U541="Yes")+(W541="Yes")+(X541="Yes"))</f>
        <v/>
      </c>
      <c r="Z541">
        <f>IF(A541="","",IF(G541="","Not mapped",IF(Y541=0,"OK",MID(IF(N(Q541)&gt;0,"; Cannibalisation","")&amp;IF(T541="Yes","; Too many primary keywords on URL","")&amp;IF(U541="Yes","; URL spans 2+ clusters","")&amp;IF(W541="Yes","; Intent mismatch","")&amp;IF(X541="Yes","; Ranking URL is not the target",""),3,300))))</f>
        <v/>
      </c>
      <c r="AA541">
        <f>IF(G541="","",IF(COUNTIF($G$3:G541,SUBSTITUTE(SUBSTITUTE(G541,"?","~?"),"*","~*"))=1,MAX($AA$2:AA540)+1,""))</f>
        <v/>
      </c>
      <c r="AB541">
        <f>IF(B541="","",IF(COUNTIF($B$3:B541,SUBSTITUTE(SUBSTITUTE(B541,"?","~?"),"*","~*"))=1,MAX($AB$2:AB540)+1,""))</f>
        <v/>
      </c>
    </row>
    <row r="542">
      <c r="M542">
        <f>IF(A542="","",LOWER(TRIM(SUBSTITUTE(SUBSTITUTE(A542,"?",""),"*",""))))</f>
        <v/>
      </c>
      <c r="N542">
        <f>IF(M542="","",IF(SUMPRODUCT(ISNUMBER(SEARCH(" "&amp;Settings!$L$5:$L$124&amp;" "," "&amp;M542&amp;" "))*(Settings!$K$5:$K$124="Navigational")*(Settings!$L$5:$L$124&lt;&gt;""))&gt;0,"Navigational",IF(SUMPRODUCT(ISNUMBER(SEARCH(" "&amp;Settings!$L$5:$L$124&amp;" "," "&amp;M542&amp;" "))*(Settings!$K$5:$K$124="Transactional")*(Settings!$L$5:$L$124&lt;&gt;""))&gt;0,"Transactional",IF(SUMPRODUCT(ISNUMBER(SEARCH(" "&amp;Settings!$L$5:$L$124&amp;" "," "&amp;M542&amp;" "))*(Settings!$K$5:$K$124="Commercial")*(Settings!$L$5:$L$124&lt;&gt;""))&gt;0,"Commercial",IF(SUMPRODUCT(ISNUMBER(SEARCH(" "&amp;Settings!$L$5:$L$124&amp;" "," "&amp;M542&amp;" "))*(Settings!$K$5:$K$124="Informational")*(Settings!$L$5:$L$124&lt;&gt;""))&gt;0,"Informational","Unclassified")))))</f>
        <v/>
      </c>
      <c r="O542">
        <f>IF(A542="","",IF(K542&lt;&gt;"",PROPER(K542),N542))</f>
        <v/>
      </c>
      <c r="P542">
        <f>IF(A542="","",ROUND(Settings!$B$5*MIN(1,LOG10(N(C542)+1)/LOG10(Settings!$B$7+1))+Settings!$B$6*(1-MIN(100,IF(D542="",50,N(D542)))/100)+IFERROR(INDEX(Settings!$B$10:$B$14,MATCH(O542,Settings!$A$10:$A$14,0)),0),0))</f>
        <v/>
      </c>
      <c r="Q542">
        <f>IF(OR(A542="",G542=""),"",COUNTIFS($M$3:$M$1002,M542,$G$3:$G$1002,"&lt;&gt;"&amp;SUBSTITUTE(SUBSTITUTE(G542,"?","~?"),"*","~*"),$G$3:$G$1002,"?*"))</f>
        <v/>
      </c>
      <c r="R542">
        <f>IF(Q542="","",IF(Q542&gt;0,"Yes","No"))</f>
        <v/>
      </c>
      <c r="S542">
        <f>IF(G542="","",COUNTIFS($G$3:$G$1002,SUBSTITUTE(SUBSTITUTE(G542,"?","~?"),"*","~*"),$J$3:$J$1002,"Primary"))</f>
        <v/>
      </c>
      <c r="T542">
        <f>IF(S542="","",IF(S542&gt;Settings!$B$4,"Yes","No"))</f>
        <v/>
      </c>
      <c r="U542">
        <f>IF(OR(G542="",B542=""),"",IF(COUNTIFS($G$3:$G$1002,SUBSTITUTE(SUBSTITUTE(G542,"?","~?"),"*","~*"),$B$3:$B$1002,"&lt;&gt;"&amp;SUBSTITUTE(SUBSTITUTE(B542,"?","~?"),"*","~*"),$B$3:$B$1002,"?*")&gt;0,"Yes","No"))</f>
        <v/>
      </c>
      <c r="V542">
        <f>IF(OR(G542="",I542="",O542="",O542="Unclassified"),"",IFERROR(INDEX(Settings!$E$5:$H$16,MATCH(I542,Settings!$D$5:$D$16,0),MATCH(O542,Settings!$E$4:$H$4,0)),"Check"))</f>
        <v/>
      </c>
      <c r="W542">
        <f>IF(V542="","",IF(V542="No","Yes","No"))</f>
        <v/>
      </c>
      <c r="X542">
        <f>IF(OR(E542="",G542=""),"",IF(LOWER(IF(RIGHT(TRIM(E542),1)="/",LEFT(TRIM(E542),LEN(TRIM(E542))-1),TRIM(E542)))&lt;&gt;LOWER(IF(RIGHT(TRIM(G542),1)="/",LEFT(TRIM(G542),LEN(TRIM(G542))-1),TRIM(G542))),"Yes","No"))</f>
        <v/>
      </c>
      <c r="Y542">
        <f>IF(A542="","",(N(Q542)&gt;0)+(T542="Yes")+(U542="Yes")+(W542="Yes")+(X542="Yes"))</f>
        <v/>
      </c>
      <c r="Z542">
        <f>IF(A542="","",IF(G542="","Not mapped",IF(Y542=0,"OK",MID(IF(N(Q542)&gt;0,"; Cannibalisation","")&amp;IF(T542="Yes","; Too many primary keywords on URL","")&amp;IF(U542="Yes","; URL spans 2+ clusters","")&amp;IF(W542="Yes","; Intent mismatch","")&amp;IF(X542="Yes","; Ranking URL is not the target",""),3,300))))</f>
        <v/>
      </c>
      <c r="AA542">
        <f>IF(G542="","",IF(COUNTIF($G$3:G542,SUBSTITUTE(SUBSTITUTE(G542,"?","~?"),"*","~*"))=1,MAX($AA$2:AA541)+1,""))</f>
        <v/>
      </c>
      <c r="AB542">
        <f>IF(B542="","",IF(COUNTIF($B$3:B542,SUBSTITUTE(SUBSTITUTE(B542,"?","~?"),"*","~*"))=1,MAX($AB$2:AB541)+1,""))</f>
        <v/>
      </c>
    </row>
    <row r="543">
      <c r="M543">
        <f>IF(A543="","",LOWER(TRIM(SUBSTITUTE(SUBSTITUTE(A543,"?",""),"*",""))))</f>
        <v/>
      </c>
      <c r="N543">
        <f>IF(M543="","",IF(SUMPRODUCT(ISNUMBER(SEARCH(" "&amp;Settings!$L$5:$L$124&amp;" "," "&amp;M543&amp;" "))*(Settings!$K$5:$K$124="Navigational")*(Settings!$L$5:$L$124&lt;&gt;""))&gt;0,"Navigational",IF(SUMPRODUCT(ISNUMBER(SEARCH(" "&amp;Settings!$L$5:$L$124&amp;" "," "&amp;M543&amp;" "))*(Settings!$K$5:$K$124="Transactional")*(Settings!$L$5:$L$124&lt;&gt;""))&gt;0,"Transactional",IF(SUMPRODUCT(ISNUMBER(SEARCH(" "&amp;Settings!$L$5:$L$124&amp;" "," "&amp;M543&amp;" "))*(Settings!$K$5:$K$124="Commercial")*(Settings!$L$5:$L$124&lt;&gt;""))&gt;0,"Commercial",IF(SUMPRODUCT(ISNUMBER(SEARCH(" "&amp;Settings!$L$5:$L$124&amp;" "," "&amp;M543&amp;" "))*(Settings!$K$5:$K$124="Informational")*(Settings!$L$5:$L$124&lt;&gt;""))&gt;0,"Informational","Unclassified")))))</f>
        <v/>
      </c>
      <c r="O543">
        <f>IF(A543="","",IF(K543&lt;&gt;"",PROPER(K543),N543))</f>
        <v/>
      </c>
      <c r="P543">
        <f>IF(A543="","",ROUND(Settings!$B$5*MIN(1,LOG10(N(C543)+1)/LOG10(Settings!$B$7+1))+Settings!$B$6*(1-MIN(100,IF(D543="",50,N(D543)))/100)+IFERROR(INDEX(Settings!$B$10:$B$14,MATCH(O543,Settings!$A$10:$A$14,0)),0),0))</f>
        <v/>
      </c>
      <c r="Q543">
        <f>IF(OR(A543="",G543=""),"",COUNTIFS($M$3:$M$1002,M543,$G$3:$G$1002,"&lt;&gt;"&amp;SUBSTITUTE(SUBSTITUTE(G543,"?","~?"),"*","~*"),$G$3:$G$1002,"?*"))</f>
        <v/>
      </c>
      <c r="R543">
        <f>IF(Q543="","",IF(Q543&gt;0,"Yes","No"))</f>
        <v/>
      </c>
      <c r="S543">
        <f>IF(G543="","",COUNTIFS($G$3:$G$1002,SUBSTITUTE(SUBSTITUTE(G543,"?","~?"),"*","~*"),$J$3:$J$1002,"Primary"))</f>
        <v/>
      </c>
      <c r="T543">
        <f>IF(S543="","",IF(S543&gt;Settings!$B$4,"Yes","No"))</f>
        <v/>
      </c>
      <c r="U543">
        <f>IF(OR(G543="",B543=""),"",IF(COUNTIFS($G$3:$G$1002,SUBSTITUTE(SUBSTITUTE(G543,"?","~?"),"*","~*"),$B$3:$B$1002,"&lt;&gt;"&amp;SUBSTITUTE(SUBSTITUTE(B543,"?","~?"),"*","~*"),$B$3:$B$1002,"?*")&gt;0,"Yes","No"))</f>
        <v/>
      </c>
      <c r="V543">
        <f>IF(OR(G543="",I543="",O543="",O543="Unclassified"),"",IFERROR(INDEX(Settings!$E$5:$H$16,MATCH(I543,Settings!$D$5:$D$16,0),MATCH(O543,Settings!$E$4:$H$4,0)),"Check"))</f>
        <v/>
      </c>
      <c r="W543">
        <f>IF(V543="","",IF(V543="No","Yes","No"))</f>
        <v/>
      </c>
      <c r="X543">
        <f>IF(OR(E543="",G543=""),"",IF(LOWER(IF(RIGHT(TRIM(E543),1)="/",LEFT(TRIM(E543),LEN(TRIM(E543))-1),TRIM(E543)))&lt;&gt;LOWER(IF(RIGHT(TRIM(G543),1)="/",LEFT(TRIM(G543),LEN(TRIM(G543))-1),TRIM(G543))),"Yes","No"))</f>
        <v/>
      </c>
      <c r="Y543">
        <f>IF(A543="","",(N(Q543)&gt;0)+(T543="Yes")+(U543="Yes")+(W543="Yes")+(X543="Yes"))</f>
        <v/>
      </c>
      <c r="Z543">
        <f>IF(A543="","",IF(G543="","Not mapped",IF(Y543=0,"OK",MID(IF(N(Q543)&gt;0,"; Cannibalisation","")&amp;IF(T543="Yes","; Too many primary keywords on URL","")&amp;IF(U543="Yes","; URL spans 2+ clusters","")&amp;IF(W543="Yes","; Intent mismatch","")&amp;IF(X543="Yes","; Ranking URL is not the target",""),3,300))))</f>
        <v/>
      </c>
      <c r="AA543">
        <f>IF(G543="","",IF(COUNTIF($G$3:G543,SUBSTITUTE(SUBSTITUTE(G543,"?","~?"),"*","~*"))=1,MAX($AA$2:AA542)+1,""))</f>
        <v/>
      </c>
      <c r="AB543">
        <f>IF(B543="","",IF(COUNTIF($B$3:B543,SUBSTITUTE(SUBSTITUTE(B543,"?","~?"),"*","~*"))=1,MAX($AB$2:AB542)+1,""))</f>
        <v/>
      </c>
    </row>
    <row r="544">
      <c r="M544">
        <f>IF(A544="","",LOWER(TRIM(SUBSTITUTE(SUBSTITUTE(A544,"?",""),"*",""))))</f>
        <v/>
      </c>
      <c r="N544">
        <f>IF(M544="","",IF(SUMPRODUCT(ISNUMBER(SEARCH(" "&amp;Settings!$L$5:$L$124&amp;" "," "&amp;M544&amp;" "))*(Settings!$K$5:$K$124="Navigational")*(Settings!$L$5:$L$124&lt;&gt;""))&gt;0,"Navigational",IF(SUMPRODUCT(ISNUMBER(SEARCH(" "&amp;Settings!$L$5:$L$124&amp;" "," "&amp;M544&amp;" "))*(Settings!$K$5:$K$124="Transactional")*(Settings!$L$5:$L$124&lt;&gt;""))&gt;0,"Transactional",IF(SUMPRODUCT(ISNUMBER(SEARCH(" "&amp;Settings!$L$5:$L$124&amp;" "," "&amp;M544&amp;" "))*(Settings!$K$5:$K$124="Commercial")*(Settings!$L$5:$L$124&lt;&gt;""))&gt;0,"Commercial",IF(SUMPRODUCT(ISNUMBER(SEARCH(" "&amp;Settings!$L$5:$L$124&amp;" "," "&amp;M544&amp;" "))*(Settings!$K$5:$K$124="Informational")*(Settings!$L$5:$L$124&lt;&gt;""))&gt;0,"Informational","Unclassified")))))</f>
        <v/>
      </c>
      <c r="O544">
        <f>IF(A544="","",IF(K544&lt;&gt;"",PROPER(K544),N544))</f>
        <v/>
      </c>
      <c r="P544">
        <f>IF(A544="","",ROUND(Settings!$B$5*MIN(1,LOG10(N(C544)+1)/LOG10(Settings!$B$7+1))+Settings!$B$6*(1-MIN(100,IF(D544="",50,N(D544)))/100)+IFERROR(INDEX(Settings!$B$10:$B$14,MATCH(O544,Settings!$A$10:$A$14,0)),0),0))</f>
        <v/>
      </c>
      <c r="Q544">
        <f>IF(OR(A544="",G544=""),"",COUNTIFS($M$3:$M$1002,M544,$G$3:$G$1002,"&lt;&gt;"&amp;SUBSTITUTE(SUBSTITUTE(G544,"?","~?"),"*","~*"),$G$3:$G$1002,"?*"))</f>
        <v/>
      </c>
      <c r="R544">
        <f>IF(Q544="","",IF(Q544&gt;0,"Yes","No"))</f>
        <v/>
      </c>
      <c r="S544">
        <f>IF(G544="","",COUNTIFS($G$3:$G$1002,SUBSTITUTE(SUBSTITUTE(G544,"?","~?"),"*","~*"),$J$3:$J$1002,"Primary"))</f>
        <v/>
      </c>
      <c r="T544">
        <f>IF(S544="","",IF(S544&gt;Settings!$B$4,"Yes","No"))</f>
        <v/>
      </c>
      <c r="U544">
        <f>IF(OR(G544="",B544=""),"",IF(COUNTIFS($G$3:$G$1002,SUBSTITUTE(SUBSTITUTE(G544,"?","~?"),"*","~*"),$B$3:$B$1002,"&lt;&gt;"&amp;SUBSTITUTE(SUBSTITUTE(B544,"?","~?"),"*","~*"),$B$3:$B$1002,"?*")&gt;0,"Yes","No"))</f>
        <v/>
      </c>
      <c r="V544">
        <f>IF(OR(G544="",I544="",O544="",O544="Unclassified"),"",IFERROR(INDEX(Settings!$E$5:$H$16,MATCH(I544,Settings!$D$5:$D$16,0),MATCH(O544,Settings!$E$4:$H$4,0)),"Check"))</f>
        <v/>
      </c>
      <c r="W544">
        <f>IF(V544="","",IF(V544="No","Yes","No"))</f>
        <v/>
      </c>
      <c r="X544">
        <f>IF(OR(E544="",G544=""),"",IF(LOWER(IF(RIGHT(TRIM(E544),1)="/",LEFT(TRIM(E544),LEN(TRIM(E544))-1),TRIM(E544)))&lt;&gt;LOWER(IF(RIGHT(TRIM(G544),1)="/",LEFT(TRIM(G544),LEN(TRIM(G544))-1),TRIM(G544))),"Yes","No"))</f>
        <v/>
      </c>
      <c r="Y544">
        <f>IF(A544="","",(N(Q544)&gt;0)+(T544="Yes")+(U544="Yes")+(W544="Yes")+(X544="Yes"))</f>
        <v/>
      </c>
      <c r="Z544">
        <f>IF(A544="","",IF(G544="","Not mapped",IF(Y544=0,"OK",MID(IF(N(Q544)&gt;0,"; Cannibalisation","")&amp;IF(T544="Yes","; Too many primary keywords on URL","")&amp;IF(U544="Yes","; URL spans 2+ clusters","")&amp;IF(W544="Yes","; Intent mismatch","")&amp;IF(X544="Yes","; Ranking URL is not the target",""),3,300))))</f>
        <v/>
      </c>
      <c r="AA544">
        <f>IF(G544="","",IF(COUNTIF($G$3:G544,SUBSTITUTE(SUBSTITUTE(G544,"?","~?"),"*","~*"))=1,MAX($AA$2:AA543)+1,""))</f>
        <v/>
      </c>
      <c r="AB544">
        <f>IF(B544="","",IF(COUNTIF($B$3:B544,SUBSTITUTE(SUBSTITUTE(B544,"?","~?"),"*","~*"))=1,MAX($AB$2:AB543)+1,""))</f>
        <v/>
      </c>
    </row>
    <row r="545">
      <c r="M545">
        <f>IF(A545="","",LOWER(TRIM(SUBSTITUTE(SUBSTITUTE(A545,"?",""),"*",""))))</f>
        <v/>
      </c>
      <c r="N545">
        <f>IF(M545="","",IF(SUMPRODUCT(ISNUMBER(SEARCH(" "&amp;Settings!$L$5:$L$124&amp;" "," "&amp;M545&amp;" "))*(Settings!$K$5:$K$124="Navigational")*(Settings!$L$5:$L$124&lt;&gt;""))&gt;0,"Navigational",IF(SUMPRODUCT(ISNUMBER(SEARCH(" "&amp;Settings!$L$5:$L$124&amp;" "," "&amp;M545&amp;" "))*(Settings!$K$5:$K$124="Transactional")*(Settings!$L$5:$L$124&lt;&gt;""))&gt;0,"Transactional",IF(SUMPRODUCT(ISNUMBER(SEARCH(" "&amp;Settings!$L$5:$L$124&amp;" "," "&amp;M545&amp;" "))*(Settings!$K$5:$K$124="Commercial")*(Settings!$L$5:$L$124&lt;&gt;""))&gt;0,"Commercial",IF(SUMPRODUCT(ISNUMBER(SEARCH(" "&amp;Settings!$L$5:$L$124&amp;" "," "&amp;M545&amp;" "))*(Settings!$K$5:$K$124="Informational")*(Settings!$L$5:$L$124&lt;&gt;""))&gt;0,"Informational","Unclassified")))))</f>
        <v/>
      </c>
      <c r="O545">
        <f>IF(A545="","",IF(K545&lt;&gt;"",PROPER(K545),N545))</f>
        <v/>
      </c>
      <c r="P545">
        <f>IF(A545="","",ROUND(Settings!$B$5*MIN(1,LOG10(N(C545)+1)/LOG10(Settings!$B$7+1))+Settings!$B$6*(1-MIN(100,IF(D545="",50,N(D545)))/100)+IFERROR(INDEX(Settings!$B$10:$B$14,MATCH(O545,Settings!$A$10:$A$14,0)),0),0))</f>
        <v/>
      </c>
      <c r="Q545">
        <f>IF(OR(A545="",G545=""),"",COUNTIFS($M$3:$M$1002,M545,$G$3:$G$1002,"&lt;&gt;"&amp;SUBSTITUTE(SUBSTITUTE(G545,"?","~?"),"*","~*"),$G$3:$G$1002,"?*"))</f>
        <v/>
      </c>
      <c r="R545">
        <f>IF(Q545="","",IF(Q545&gt;0,"Yes","No"))</f>
        <v/>
      </c>
      <c r="S545">
        <f>IF(G545="","",COUNTIFS($G$3:$G$1002,SUBSTITUTE(SUBSTITUTE(G545,"?","~?"),"*","~*"),$J$3:$J$1002,"Primary"))</f>
        <v/>
      </c>
      <c r="T545">
        <f>IF(S545="","",IF(S545&gt;Settings!$B$4,"Yes","No"))</f>
        <v/>
      </c>
      <c r="U545">
        <f>IF(OR(G545="",B545=""),"",IF(COUNTIFS($G$3:$G$1002,SUBSTITUTE(SUBSTITUTE(G545,"?","~?"),"*","~*"),$B$3:$B$1002,"&lt;&gt;"&amp;SUBSTITUTE(SUBSTITUTE(B545,"?","~?"),"*","~*"),$B$3:$B$1002,"?*")&gt;0,"Yes","No"))</f>
        <v/>
      </c>
      <c r="V545">
        <f>IF(OR(G545="",I545="",O545="",O545="Unclassified"),"",IFERROR(INDEX(Settings!$E$5:$H$16,MATCH(I545,Settings!$D$5:$D$16,0),MATCH(O545,Settings!$E$4:$H$4,0)),"Check"))</f>
        <v/>
      </c>
      <c r="W545">
        <f>IF(V545="","",IF(V545="No","Yes","No"))</f>
        <v/>
      </c>
      <c r="X545">
        <f>IF(OR(E545="",G545=""),"",IF(LOWER(IF(RIGHT(TRIM(E545),1)="/",LEFT(TRIM(E545),LEN(TRIM(E545))-1),TRIM(E545)))&lt;&gt;LOWER(IF(RIGHT(TRIM(G545),1)="/",LEFT(TRIM(G545),LEN(TRIM(G545))-1),TRIM(G545))),"Yes","No"))</f>
        <v/>
      </c>
      <c r="Y545">
        <f>IF(A545="","",(N(Q545)&gt;0)+(T545="Yes")+(U545="Yes")+(W545="Yes")+(X545="Yes"))</f>
        <v/>
      </c>
      <c r="Z545">
        <f>IF(A545="","",IF(G545="","Not mapped",IF(Y545=0,"OK",MID(IF(N(Q545)&gt;0,"; Cannibalisation","")&amp;IF(T545="Yes","; Too many primary keywords on URL","")&amp;IF(U545="Yes","; URL spans 2+ clusters","")&amp;IF(W545="Yes","; Intent mismatch","")&amp;IF(X545="Yes","; Ranking URL is not the target",""),3,300))))</f>
        <v/>
      </c>
      <c r="AA545">
        <f>IF(G545="","",IF(COUNTIF($G$3:G545,SUBSTITUTE(SUBSTITUTE(G545,"?","~?"),"*","~*"))=1,MAX($AA$2:AA544)+1,""))</f>
        <v/>
      </c>
      <c r="AB545">
        <f>IF(B545="","",IF(COUNTIF($B$3:B545,SUBSTITUTE(SUBSTITUTE(B545,"?","~?"),"*","~*"))=1,MAX($AB$2:AB544)+1,""))</f>
        <v/>
      </c>
    </row>
    <row r="546">
      <c r="M546">
        <f>IF(A546="","",LOWER(TRIM(SUBSTITUTE(SUBSTITUTE(A546,"?",""),"*",""))))</f>
        <v/>
      </c>
      <c r="N546">
        <f>IF(M546="","",IF(SUMPRODUCT(ISNUMBER(SEARCH(" "&amp;Settings!$L$5:$L$124&amp;" "," "&amp;M546&amp;" "))*(Settings!$K$5:$K$124="Navigational")*(Settings!$L$5:$L$124&lt;&gt;""))&gt;0,"Navigational",IF(SUMPRODUCT(ISNUMBER(SEARCH(" "&amp;Settings!$L$5:$L$124&amp;" "," "&amp;M546&amp;" "))*(Settings!$K$5:$K$124="Transactional")*(Settings!$L$5:$L$124&lt;&gt;""))&gt;0,"Transactional",IF(SUMPRODUCT(ISNUMBER(SEARCH(" "&amp;Settings!$L$5:$L$124&amp;" "," "&amp;M546&amp;" "))*(Settings!$K$5:$K$124="Commercial")*(Settings!$L$5:$L$124&lt;&gt;""))&gt;0,"Commercial",IF(SUMPRODUCT(ISNUMBER(SEARCH(" "&amp;Settings!$L$5:$L$124&amp;" "," "&amp;M546&amp;" "))*(Settings!$K$5:$K$124="Informational")*(Settings!$L$5:$L$124&lt;&gt;""))&gt;0,"Informational","Unclassified")))))</f>
        <v/>
      </c>
      <c r="O546">
        <f>IF(A546="","",IF(K546&lt;&gt;"",PROPER(K546),N546))</f>
        <v/>
      </c>
      <c r="P546">
        <f>IF(A546="","",ROUND(Settings!$B$5*MIN(1,LOG10(N(C546)+1)/LOG10(Settings!$B$7+1))+Settings!$B$6*(1-MIN(100,IF(D546="",50,N(D546)))/100)+IFERROR(INDEX(Settings!$B$10:$B$14,MATCH(O546,Settings!$A$10:$A$14,0)),0),0))</f>
        <v/>
      </c>
      <c r="Q546">
        <f>IF(OR(A546="",G546=""),"",COUNTIFS($M$3:$M$1002,M546,$G$3:$G$1002,"&lt;&gt;"&amp;SUBSTITUTE(SUBSTITUTE(G546,"?","~?"),"*","~*"),$G$3:$G$1002,"?*"))</f>
        <v/>
      </c>
      <c r="R546">
        <f>IF(Q546="","",IF(Q546&gt;0,"Yes","No"))</f>
        <v/>
      </c>
      <c r="S546">
        <f>IF(G546="","",COUNTIFS($G$3:$G$1002,SUBSTITUTE(SUBSTITUTE(G546,"?","~?"),"*","~*"),$J$3:$J$1002,"Primary"))</f>
        <v/>
      </c>
      <c r="T546">
        <f>IF(S546="","",IF(S546&gt;Settings!$B$4,"Yes","No"))</f>
        <v/>
      </c>
      <c r="U546">
        <f>IF(OR(G546="",B546=""),"",IF(COUNTIFS($G$3:$G$1002,SUBSTITUTE(SUBSTITUTE(G546,"?","~?"),"*","~*"),$B$3:$B$1002,"&lt;&gt;"&amp;SUBSTITUTE(SUBSTITUTE(B546,"?","~?"),"*","~*"),$B$3:$B$1002,"?*")&gt;0,"Yes","No"))</f>
        <v/>
      </c>
      <c r="V546">
        <f>IF(OR(G546="",I546="",O546="",O546="Unclassified"),"",IFERROR(INDEX(Settings!$E$5:$H$16,MATCH(I546,Settings!$D$5:$D$16,0),MATCH(O546,Settings!$E$4:$H$4,0)),"Check"))</f>
        <v/>
      </c>
      <c r="W546">
        <f>IF(V546="","",IF(V546="No","Yes","No"))</f>
        <v/>
      </c>
      <c r="X546">
        <f>IF(OR(E546="",G546=""),"",IF(LOWER(IF(RIGHT(TRIM(E546),1)="/",LEFT(TRIM(E546),LEN(TRIM(E546))-1),TRIM(E546)))&lt;&gt;LOWER(IF(RIGHT(TRIM(G546),1)="/",LEFT(TRIM(G546),LEN(TRIM(G546))-1),TRIM(G546))),"Yes","No"))</f>
        <v/>
      </c>
      <c r="Y546">
        <f>IF(A546="","",(N(Q546)&gt;0)+(T546="Yes")+(U546="Yes")+(W546="Yes")+(X546="Yes"))</f>
        <v/>
      </c>
      <c r="Z546">
        <f>IF(A546="","",IF(G546="","Not mapped",IF(Y546=0,"OK",MID(IF(N(Q546)&gt;0,"; Cannibalisation","")&amp;IF(T546="Yes","; Too many primary keywords on URL","")&amp;IF(U546="Yes","; URL spans 2+ clusters","")&amp;IF(W546="Yes","; Intent mismatch","")&amp;IF(X546="Yes","; Ranking URL is not the target",""),3,300))))</f>
        <v/>
      </c>
      <c r="AA546">
        <f>IF(G546="","",IF(COUNTIF($G$3:G546,SUBSTITUTE(SUBSTITUTE(G546,"?","~?"),"*","~*"))=1,MAX($AA$2:AA545)+1,""))</f>
        <v/>
      </c>
      <c r="AB546">
        <f>IF(B546="","",IF(COUNTIF($B$3:B546,SUBSTITUTE(SUBSTITUTE(B546,"?","~?"),"*","~*"))=1,MAX($AB$2:AB545)+1,""))</f>
        <v/>
      </c>
    </row>
    <row r="547">
      <c r="M547">
        <f>IF(A547="","",LOWER(TRIM(SUBSTITUTE(SUBSTITUTE(A547,"?",""),"*",""))))</f>
        <v/>
      </c>
      <c r="N547">
        <f>IF(M547="","",IF(SUMPRODUCT(ISNUMBER(SEARCH(" "&amp;Settings!$L$5:$L$124&amp;" "," "&amp;M547&amp;" "))*(Settings!$K$5:$K$124="Navigational")*(Settings!$L$5:$L$124&lt;&gt;""))&gt;0,"Navigational",IF(SUMPRODUCT(ISNUMBER(SEARCH(" "&amp;Settings!$L$5:$L$124&amp;" "," "&amp;M547&amp;" "))*(Settings!$K$5:$K$124="Transactional")*(Settings!$L$5:$L$124&lt;&gt;""))&gt;0,"Transactional",IF(SUMPRODUCT(ISNUMBER(SEARCH(" "&amp;Settings!$L$5:$L$124&amp;" "," "&amp;M547&amp;" "))*(Settings!$K$5:$K$124="Commercial")*(Settings!$L$5:$L$124&lt;&gt;""))&gt;0,"Commercial",IF(SUMPRODUCT(ISNUMBER(SEARCH(" "&amp;Settings!$L$5:$L$124&amp;" "," "&amp;M547&amp;" "))*(Settings!$K$5:$K$124="Informational")*(Settings!$L$5:$L$124&lt;&gt;""))&gt;0,"Informational","Unclassified")))))</f>
        <v/>
      </c>
      <c r="O547">
        <f>IF(A547="","",IF(K547&lt;&gt;"",PROPER(K547),N547))</f>
        <v/>
      </c>
      <c r="P547">
        <f>IF(A547="","",ROUND(Settings!$B$5*MIN(1,LOG10(N(C547)+1)/LOG10(Settings!$B$7+1))+Settings!$B$6*(1-MIN(100,IF(D547="",50,N(D547)))/100)+IFERROR(INDEX(Settings!$B$10:$B$14,MATCH(O547,Settings!$A$10:$A$14,0)),0),0))</f>
        <v/>
      </c>
      <c r="Q547">
        <f>IF(OR(A547="",G547=""),"",COUNTIFS($M$3:$M$1002,M547,$G$3:$G$1002,"&lt;&gt;"&amp;SUBSTITUTE(SUBSTITUTE(G547,"?","~?"),"*","~*"),$G$3:$G$1002,"?*"))</f>
        <v/>
      </c>
      <c r="R547">
        <f>IF(Q547="","",IF(Q547&gt;0,"Yes","No"))</f>
        <v/>
      </c>
      <c r="S547">
        <f>IF(G547="","",COUNTIFS($G$3:$G$1002,SUBSTITUTE(SUBSTITUTE(G547,"?","~?"),"*","~*"),$J$3:$J$1002,"Primary"))</f>
        <v/>
      </c>
      <c r="T547">
        <f>IF(S547="","",IF(S547&gt;Settings!$B$4,"Yes","No"))</f>
        <v/>
      </c>
      <c r="U547">
        <f>IF(OR(G547="",B547=""),"",IF(COUNTIFS($G$3:$G$1002,SUBSTITUTE(SUBSTITUTE(G547,"?","~?"),"*","~*"),$B$3:$B$1002,"&lt;&gt;"&amp;SUBSTITUTE(SUBSTITUTE(B547,"?","~?"),"*","~*"),$B$3:$B$1002,"?*")&gt;0,"Yes","No"))</f>
        <v/>
      </c>
      <c r="V547">
        <f>IF(OR(G547="",I547="",O547="",O547="Unclassified"),"",IFERROR(INDEX(Settings!$E$5:$H$16,MATCH(I547,Settings!$D$5:$D$16,0),MATCH(O547,Settings!$E$4:$H$4,0)),"Check"))</f>
        <v/>
      </c>
      <c r="W547">
        <f>IF(V547="","",IF(V547="No","Yes","No"))</f>
        <v/>
      </c>
      <c r="X547">
        <f>IF(OR(E547="",G547=""),"",IF(LOWER(IF(RIGHT(TRIM(E547),1)="/",LEFT(TRIM(E547),LEN(TRIM(E547))-1),TRIM(E547)))&lt;&gt;LOWER(IF(RIGHT(TRIM(G547),1)="/",LEFT(TRIM(G547),LEN(TRIM(G547))-1),TRIM(G547))),"Yes","No"))</f>
        <v/>
      </c>
      <c r="Y547">
        <f>IF(A547="","",(N(Q547)&gt;0)+(T547="Yes")+(U547="Yes")+(W547="Yes")+(X547="Yes"))</f>
        <v/>
      </c>
      <c r="Z547">
        <f>IF(A547="","",IF(G547="","Not mapped",IF(Y547=0,"OK",MID(IF(N(Q547)&gt;0,"; Cannibalisation","")&amp;IF(T547="Yes","; Too many primary keywords on URL","")&amp;IF(U547="Yes","; URL spans 2+ clusters","")&amp;IF(W547="Yes","; Intent mismatch","")&amp;IF(X547="Yes","; Ranking URL is not the target",""),3,300))))</f>
        <v/>
      </c>
      <c r="AA547">
        <f>IF(G547="","",IF(COUNTIF($G$3:G547,SUBSTITUTE(SUBSTITUTE(G547,"?","~?"),"*","~*"))=1,MAX($AA$2:AA546)+1,""))</f>
        <v/>
      </c>
      <c r="AB547">
        <f>IF(B547="","",IF(COUNTIF($B$3:B547,SUBSTITUTE(SUBSTITUTE(B547,"?","~?"),"*","~*"))=1,MAX($AB$2:AB546)+1,""))</f>
        <v/>
      </c>
    </row>
    <row r="548">
      <c r="M548">
        <f>IF(A548="","",LOWER(TRIM(SUBSTITUTE(SUBSTITUTE(A548,"?",""),"*",""))))</f>
        <v/>
      </c>
      <c r="N548">
        <f>IF(M548="","",IF(SUMPRODUCT(ISNUMBER(SEARCH(" "&amp;Settings!$L$5:$L$124&amp;" "," "&amp;M548&amp;" "))*(Settings!$K$5:$K$124="Navigational")*(Settings!$L$5:$L$124&lt;&gt;""))&gt;0,"Navigational",IF(SUMPRODUCT(ISNUMBER(SEARCH(" "&amp;Settings!$L$5:$L$124&amp;" "," "&amp;M548&amp;" "))*(Settings!$K$5:$K$124="Transactional")*(Settings!$L$5:$L$124&lt;&gt;""))&gt;0,"Transactional",IF(SUMPRODUCT(ISNUMBER(SEARCH(" "&amp;Settings!$L$5:$L$124&amp;" "," "&amp;M548&amp;" "))*(Settings!$K$5:$K$124="Commercial")*(Settings!$L$5:$L$124&lt;&gt;""))&gt;0,"Commercial",IF(SUMPRODUCT(ISNUMBER(SEARCH(" "&amp;Settings!$L$5:$L$124&amp;" "," "&amp;M548&amp;" "))*(Settings!$K$5:$K$124="Informational")*(Settings!$L$5:$L$124&lt;&gt;""))&gt;0,"Informational","Unclassified")))))</f>
        <v/>
      </c>
      <c r="O548">
        <f>IF(A548="","",IF(K548&lt;&gt;"",PROPER(K548),N548))</f>
        <v/>
      </c>
      <c r="P548">
        <f>IF(A548="","",ROUND(Settings!$B$5*MIN(1,LOG10(N(C548)+1)/LOG10(Settings!$B$7+1))+Settings!$B$6*(1-MIN(100,IF(D548="",50,N(D548)))/100)+IFERROR(INDEX(Settings!$B$10:$B$14,MATCH(O548,Settings!$A$10:$A$14,0)),0),0))</f>
        <v/>
      </c>
      <c r="Q548">
        <f>IF(OR(A548="",G548=""),"",COUNTIFS($M$3:$M$1002,M548,$G$3:$G$1002,"&lt;&gt;"&amp;SUBSTITUTE(SUBSTITUTE(G548,"?","~?"),"*","~*"),$G$3:$G$1002,"?*"))</f>
        <v/>
      </c>
      <c r="R548">
        <f>IF(Q548="","",IF(Q548&gt;0,"Yes","No"))</f>
        <v/>
      </c>
      <c r="S548">
        <f>IF(G548="","",COUNTIFS($G$3:$G$1002,SUBSTITUTE(SUBSTITUTE(G548,"?","~?"),"*","~*"),$J$3:$J$1002,"Primary"))</f>
        <v/>
      </c>
      <c r="T548">
        <f>IF(S548="","",IF(S548&gt;Settings!$B$4,"Yes","No"))</f>
        <v/>
      </c>
      <c r="U548">
        <f>IF(OR(G548="",B548=""),"",IF(COUNTIFS($G$3:$G$1002,SUBSTITUTE(SUBSTITUTE(G548,"?","~?"),"*","~*"),$B$3:$B$1002,"&lt;&gt;"&amp;SUBSTITUTE(SUBSTITUTE(B548,"?","~?"),"*","~*"),$B$3:$B$1002,"?*")&gt;0,"Yes","No"))</f>
        <v/>
      </c>
      <c r="V548">
        <f>IF(OR(G548="",I548="",O548="",O548="Unclassified"),"",IFERROR(INDEX(Settings!$E$5:$H$16,MATCH(I548,Settings!$D$5:$D$16,0),MATCH(O548,Settings!$E$4:$H$4,0)),"Check"))</f>
        <v/>
      </c>
      <c r="W548">
        <f>IF(V548="","",IF(V548="No","Yes","No"))</f>
        <v/>
      </c>
      <c r="X548">
        <f>IF(OR(E548="",G548=""),"",IF(LOWER(IF(RIGHT(TRIM(E548),1)="/",LEFT(TRIM(E548),LEN(TRIM(E548))-1),TRIM(E548)))&lt;&gt;LOWER(IF(RIGHT(TRIM(G548),1)="/",LEFT(TRIM(G548),LEN(TRIM(G548))-1),TRIM(G548))),"Yes","No"))</f>
        <v/>
      </c>
      <c r="Y548">
        <f>IF(A548="","",(N(Q548)&gt;0)+(T548="Yes")+(U548="Yes")+(W548="Yes")+(X548="Yes"))</f>
        <v/>
      </c>
      <c r="Z548">
        <f>IF(A548="","",IF(G548="","Not mapped",IF(Y548=0,"OK",MID(IF(N(Q548)&gt;0,"; Cannibalisation","")&amp;IF(T548="Yes","; Too many primary keywords on URL","")&amp;IF(U548="Yes","; URL spans 2+ clusters","")&amp;IF(W548="Yes","; Intent mismatch","")&amp;IF(X548="Yes","; Ranking URL is not the target",""),3,300))))</f>
        <v/>
      </c>
      <c r="AA548">
        <f>IF(G548="","",IF(COUNTIF($G$3:G548,SUBSTITUTE(SUBSTITUTE(G548,"?","~?"),"*","~*"))=1,MAX($AA$2:AA547)+1,""))</f>
        <v/>
      </c>
      <c r="AB548">
        <f>IF(B548="","",IF(COUNTIF($B$3:B548,SUBSTITUTE(SUBSTITUTE(B548,"?","~?"),"*","~*"))=1,MAX($AB$2:AB547)+1,""))</f>
        <v/>
      </c>
    </row>
    <row r="549">
      <c r="M549">
        <f>IF(A549="","",LOWER(TRIM(SUBSTITUTE(SUBSTITUTE(A549,"?",""),"*",""))))</f>
        <v/>
      </c>
      <c r="N549">
        <f>IF(M549="","",IF(SUMPRODUCT(ISNUMBER(SEARCH(" "&amp;Settings!$L$5:$L$124&amp;" "," "&amp;M549&amp;" "))*(Settings!$K$5:$K$124="Navigational")*(Settings!$L$5:$L$124&lt;&gt;""))&gt;0,"Navigational",IF(SUMPRODUCT(ISNUMBER(SEARCH(" "&amp;Settings!$L$5:$L$124&amp;" "," "&amp;M549&amp;" "))*(Settings!$K$5:$K$124="Transactional")*(Settings!$L$5:$L$124&lt;&gt;""))&gt;0,"Transactional",IF(SUMPRODUCT(ISNUMBER(SEARCH(" "&amp;Settings!$L$5:$L$124&amp;" "," "&amp;M549&amp;" "))*(Settings!$K$5:$K$124="Commercial")*(Settings!$L$5:$L$124&lt;&gt;""))&gt;0,"Commercial",IF(SUMPRODUCT(ISNUMBER(SEARCH(" "&amp;Settings!$L$5:$L$124&amp;" "," "&amp;M549&amp;" "))*(Settings!$K$5:$K$124="Informational")*(Settings!$L$5:$L$124&lt;&gt;""))&gt;0,"Informational","Unclassified")))))</f>
        <v/>
      </c>
      <c r="O549">
        <f>IF(A549="","",IF(K549&lt;&gt;"",PROPER(K549),N549))</f>
        <v/>
      </c>
      <c r="P549">
        <f>IF(A549="","",ROUND(Settings!$B$5*MIN(1,LOG10(N(C549)+1)/LOG10(Settings!$B$7+1))+Settings!$B$6*(1-MIN(100,IF(D549="",50,N(D549)))/100)+IFERROR(INDEX(Settings!$B$10:$B$14,MATCH(O549,Settings!$A$10:$A$14,0)),0),0))</f>
        <v/>
      </c>
      <c r="Q549">
        <f>IF(OR(A549="",G549=""),"",COUNTIFS($M$3:$M$1002,M549,$G$3:$G$1002,"&lt;&gt;"&amp;SUBSTITUTE(SUBSTITUTE(G549,"?","~?"),"*","~*"),$G$3:$G$1002,"?*"))</f>
        <v/>
      </c>
      <c r="R549">
        <f>IF(Q549="","",IF(Q549&gt;0,"Yes","No"))</f>
        <v/>
      </c>
      <c r="S549">
        <f>IF(G549="","",COUNTIFS($G$3:$G$1002,SUBSTITUTE(SUBSTITUTE(G549,"?","~?"),"*","~*"),$J$3:$J$1002,"Primary"))</f>
        <v/>
      </c>
      <c r="T549">
        <f>IF(S549="","",IF(S549&gt;Settings!$B$4,"Yes","No"))</f>
        <v/>
      </c>
      <c r="U549">
        <f>IF(OR(G549="",B549=""),"",IF(COUNTIFS($G$3:$G$1002,SUBSTITUTE(SUBSTITUTE(G549,"?","~?"),"*","~*"),$B$3:$B$1002,"&lt;&gt;"&amp;SUBSTITUTE(SUBSTITUTE(B549,"?","~?"),"*","~*"),$B$3:$B$1002,"?*")&gt;0,"Yes","No"))</f>
        <v/>
      </c>
      <c r="V549">
        <f>IF(OR(G549="",I549="",O549="",O549="Unclassified"),"",IFERROR(INDEX(Settings!$E$5:$H$16,MATCH(I549,Settings!$D$5:$D$16,0),MATCH(O549,Settings!$E$4:$H$4,0)),"Check"))</f>
        <v/>
      </c>
      <c r="W549">
        <f>IF(V549="","",IF(V549="No","Yes","No"))</f>
        <v/>
      </c>
      <c r="X549">
        <f>IF(OR(E549="",G549=""),"",IF(LOWER(IF(RIGHT(TRIM(E549),1)="/",LEFT(TRIM(E549),LEN(TRIM(E549))-1),TRIM(E549)))&lt;&gt;LOWER(IF(RIGHT(TRIM(G549),1)="/",LEFT(TRIM(G549),LEN(TRIM(G549))-1),TRIM(G549))),"Yes","No"))</f>
        <v/>
      </c>
      <c r="Y549">
        <f>IF(A549="","",(N(Q549)&gt;0)+(T549="Yes")+(U549="Yes")+(W549="Yes")+(X549="Yes"))</f>
        <v/>
      </c>
      <c r="Z549">
        <f>IF(A549="","",IF(G549="","Not mapped",IF(Y549=0,"OK",MID(IF(N(Q549)&gt;0,"; Cannibalisation","")&amp;IF(T549="Yes","; Too many primary keywords on URL","")&amp;IF(U549="Yes","; URL spans 2+ clusters","")&amp;IF(W549="Yes","; Intent mismatch","")&amp;IF(X549="Yes","; Ranking URL is not the target",""),3,300))))</f>
        <v/>
      </c>
      <c r="AA549">
        <f>IF(G549="","",IF(COUNTIF($G$3:G549,SUBSTITUTE(SUBSTITUTE(G549,"?","~?"),"*","~*"))=1,MAX($AA$2:AA548)+1,""))</f>
        <v/>
      </c>
      <c r="AB549">
        <f>IF(B549="","",IF(COUNTIF($B$3:B549,SUBSTITUTE(SUBSTITUTE(B549,"?","~?"),"*","~*"))=1,MAX($AB$2:AB548)+1,""))</f>
        <v/>
      </c>
    </row>
    <row r="550">
      <c r="M550">
        <f>IF(A550="","",LOWER(TRIM(SUBSTITUTE(SUBSTITUTE(A550,"?",""),"*",""))))</f>
        <v/>
      </c>
      <c r="N550">
        <f>IF(M550="","",IF(SUMPRODUCT(ISNUMBER(SEARCH(" "&amp;Settings!$L$5:$L$124&amp;" "," "&amp;M550&amp;" "))*(Settings!$K$5:$K$124="Navigational")*(Settings!$L$5:$L$124&lt;&gt;""))&gt;0,"Navigational",IF(SUMPRODUCT(ISNUMBER(SEARCH(" "&amp;Settings!$L$5:$L$124&amp;" "," "&amp;M550&amp;" "))*(Settings!$K$5:$K$124="Transactional")*(Settings!$L$5:$L$124&lt;&gt;""))&gt;0,"Transactional",IF(SUMPRODUCT(ISNUMBER(SEARCH(" "&amp;Settings!$L$5:$L$124&amp;" "," "&amp;M550&amp;" "))*(Settings!$K$5:$K$124="Commercial")*(Settings!$L$5:$L$124&lt;&gt;""))&gt;0,"Commercial",IF(SUMPRODUCT(ISNUMBER(SEARCH(" "&amp;Settings!$L$5:$L$124&amp;" "," "&amp;M550&amp;" "))*(Settings!$K$5:$K$124="Informational")*(Settings!$L$5:$L$124&lt;&gt;""))&gt;0,"Informational","Unclassified")))))</f>
        <v/>
      </c>
      <c r="O550">
        <f>IF(A550="","",IF(K550&lt;&gt;"",PROPER(K550),N550))</f>
        <v/>
      </c>
      <c r="P550">
        <f>IF(A550="","",ROUND(Settings!$B$5*MIN(1,LOG10(N(C550)+1)/LOG10(Settings!$B$7+1))+Settings!$B$6*(1-MIN(100,IF(D550="",50,N(D550)))/100)+IFERROR(INDEX(Settings!$B$10:$B$14,MATCH(O550,Settings!$A$10:$A$14,0)),0),0))</f>
        <v/>
      </c>
      <c r="Q550">
        <f>IF(OR(A550="",G550=""),"",COUNTIFS($M$3:$M$1002,M550,$G$3:$G$1002,"&lt;&gt;"&amp;SUBSTITUTE(SUBSTITUTE(G550,"?","~?"),"*","~*"),$G$3:$G$1002,"?*"))</f>
        <v/>
      </c>
      <c r="R550">
        <f>IF(Q550="","",IF(Q550&gt;0,"Yes","No"))</f>
        <v/>
      </c>
      <c r="S550">
        <f>IF(G550="","",COUNTIFS($G$3:$G$1002,SUBSTITUTE(SUBSTITUTE(G550,"?","~?"),"*","~*"),$J$3:$J$1002,"Primary"))</f>
        <v/>
      </c>
      <c r="T550">
        <f>IF(S550="","",IF(S550&gt;Settings!$B$4,"Yes","No"))</f>
        <v/>
      </c>
      <c r="U550">
        <f>IF(OR(G550="",B550=""),"",IF(COUNTIFS($G$3:$G$1002,SUBSTITUTE(SUBSTITUTE(G550,"?","~?"),"*","~*"),$B$3:$B$1002,"&lt;&gt;"&amp;SUBSTITUTE(SUBSTITUTE(B550,"?","~?"),"*","~*"),$B$3:$B$1002,"?*")&gt;0,"Yes","No"))</f>
        <v/>
      </c>
      <c r="V550">
        <f>IF(OR(G550="",I550="",O550="",O550="Unclassified"),"",IFERROR(INDEX(Settings!$E$5:$H$16,MATCH(I550,Settings!$D$5:$D$16,0),MATCH(O550,Settings!$E$4:$H$4,0)),"Check"))</f>
        <v/>
      </c>
      <c r="W550">
        <f>IF(V550="","",IF(V550="No","Yes","No"))</f>
        <v/>
      </c>
      <c r="X550">
        <f>IF(OR(E550="",G550=""),"",IF(LOWER(IF(RIGHT(TRIM(E550),1)="/",LEFT(TRIM(E550),LEN(TRIM(E550))-1),TRIM(E550)))&lt;&gt;LOWER(IF(RIGHT(TRIM(G550),1)="/",LEFT(TRIM(G550),LEN(TRIM(G550))-1),TRIM(G550))),"Yes","No"))</f>
        <v/>
      </c>
      <c r="Y550">
        <f>IF(A550="","",(N(Q550)&gt;0)+(T550="Yes")+(U550="Yes")+(W550="Yes")+(X550="Yes"))</f>
        <v/>
      </c>
      <c r="Z550">
        <f>IF(A550="","",IF(G550="","Not mapped",IF(Y550=0,"OK",MID(IF(N(Q550)&gt;0,"; Cannibalisation","")&amp;IF(T550="Yes","; Too many primary keywords on URL","")&amp;IF(U550="Yes","; URL spans 2+ clusters","")&amp;IF(W550="Yes","; Intent mismatch","")&amp;IF(X550="Yes","; Ranking URL is not the target",""),3,300))))</f>
        <v/>
      </c>
      <c r="AA550">
        <f>IF(G550="","",IF(COUNTIF($G$3:G550,SUBSTITUTE(SUBSTITUTE(G550,"?","~?"),"*","~*"))=1,MAX($AA$2:AA549)+1,""))</f>
        <v/>
      </c>
      <c r="AB550">
        <f>IF(B550="","",IF(COUNTIF($B$3:B550,SUBSTITUTE(SUBSTITUTE(B550,"?","~?"),"*","~*"))=1,MAX($AB$2:AB549)+1,""))</f>
        <v/>
      </c>
    </row>
    <row r="551">
      <c r="M551">
        <f>IF(A551="","",LOWER(TRIM(SUBSTITUTE(SUBSTITUTE(A551,"?",""),"*",""))))</f>
        <v/>
      </c>
      <c r="N551">
        <f>IF(M551="","",IF(SUMPRODUCT(ISNUMBER(SEARCH(" "&amp;Settings!$L$5:$L$124&amp;" "," "&amp;M551&amp;" "))*(Settings!$K$5:$K$124="Navigational")*(Settings!$L$5:$L$124&lt;&gt;""))&gt;0,"Navigational",IF(SUMPRODUCT(ISNUMBER(SEARCH(" "&amp;Settings!$L$5:$L$124&amp;" "," "&amp;M551&amp;" "))*(Settings!$K$5:$K$124="Transactional")*(Settings!$L$5:$L$124&lt;&gt;""))&gt;0,"Transactional",IF(SUMPRODUCT(ISNUMBER(SEARCH(" "&amp;Settings!$L$5:$L$124&amp;" "," "&amp;M551&amp;" "))*(Settings!$K$5:$K$124="Commercial")*(Settings!$L$5:$L$124&lt;&gt;""))&gt;0,"Commercial",IF(SUMPRODUCT(ISNUMBER(SEARCH(" "&amp;Settings!$L$5:$L$124&amp;" "," "&amp;M551&amp;" "))*(Settings!$K$5:$K$124="Informational")*(Settings!$L$5:$L$124&lt;&gt;""))&gt;0,"Informational","Unclassified")))))</f>
        <v/>
      </c>
      <c r="O551">
        <f>IF(A551="","",IF(K551&lt;&gt;"",PROPER(K551),N551))</f>
        <v/>
      </c>
      <c r="P551">
        <f>IF(A551="","",ROUND(Settings!$B$5*MIN(1,LOG10(N(C551)+1)/LOG10(Settings!$B$7+1))+Settings!$B$6*(1-MIN(100,IF(D551="",50,N(D551)))/100)+IFERROR(INDEX(Settings!$B$10:$B$14,MATCH(O551,Settings!$A$10:$A$14,0)),0),0))</f>
        <v/>
      </c>
      <c r="Q551">
        <f>IF(OR(A551="",G551=""),"",COUNTIFS($M$3:$M$1002,M551,$G$3:$G$1002,"&lt;&gt;"&amp;SUBSTITUTE(SUBSTITUTE(G551,"?","~?"),"*","~*"),$G$3:$G$1002,"?*"))</f>
        <v/>
      </c>
      <c r="R551">
        <f>IF(Q551="","",IF(Q551&gt;0,"Yes","No"))</f>
        <v/>
      </c>
      <c r="S551">
        <f>IF(G551="","",COUNTIFS($G$3:$G$1002,SUBSTITUTE(SUBSTITUTE(G551,"?","~?"),"*","~*"),$J$3:$J$1002,"Primary"))</f>
        <v/>
      </c>
      <c r="T551">
        <f>IF(S551="","",IF(S551&gt;Settings!$B$4,"Yes","No"))</f>
        <v/>
      </c>
      <c r="U551">
        <f>IF(OR(G551="",B551=""),"",IF(COUNTIFS($G$3:$G$1002,SUBSTITUTE(SUBSTITUTE(G551,"?","~?"),"*","~*"),$B$3:$B$1002,"&lt;&gt;"&amp;SUBSTITUTE(SUBSTITUTE(B551,"?","~?"),"*","~*"),$B$3:$B$1002,"?*")&gt;0,"Yes","No"))</f>
        <v/>
      </c>
      <c r="V551">
        <f>IF(OR(G551="",I551="",O551="",O551="Unclassified"),"",IFERROR(INDEX(Settings!$E$5:$H$16,MATCH(I551,Settings!$D$5:$D$16,0),MATCH(O551,Settings!$E$4:$H$4,0)),"Check"))</f>
        <v/>
      </c>
      <c r="W551">
        <f>IF(V551="","",IF(V551="No","Yes","No"))</f>
        <v/>
      </c>
      <c r="X551">
        <f>IF(OR(E551="",G551=""),"",IF(LOWER(IF(RIGHT(TRIM(E551),1)="/",LEFT(TRIM(E551),LEN(TRIM(E551))-1),TRIM(E551)))&lt;&gt;LOWER(IF(RIGHT(TRIM(G551),1)="/",LEFT(TRIM(G551),LEN(TRIM(G551))-1),TRIM(G551))),"Yes","No"))</f>
        <v/>
      </c>
      <c r="Y551">
        <f>IF(A551="","",(N(Q551)&gt;0)+(T551="Yes")+(U551="Yes")+(W551="Yes")+(X551="Yes"))</f>
        <v/>
      </c>
      <c r="Z551">
        <f>IF(A551="","",IF(G551="","Not mapped",IF(Y551=0,"OK",MID(IF(N(Q551)&gt;0,"; Cannibalisation","")&amp;IF(T551="Yes","; Too many primary keywords on URL","")&amp;IF(U551="Yes","; URL spans 2+ clusters","")&amp;IF(W551="Yes","; Intent mismatch","")&amp;IF(X551="Yes","; Ranking URL is not the target",""),3,300))))</f>
        <v/>
      </c>
      <c r="AA551">
        <f>IF(G551="","",IF(COUNTIF($G$3:G551,SUBSTITUTE(SUBSTITUTE(G551,"?","~?"),"*","~*"))=1,MAX($AA$2:AA550)+1,""))</f>
        <v/>
      </c>
      <c r="AB551">
        <f>IF(B551="","",IF(COUNTIF($B$3:B551,SUBSTITUTE(SUBSTITUTE(B551,"?","~?"),"*","~*"))=1,MAX($AB$2:AB550)+1,""))</f>
        <v/>
      </c>
    </row>
    <row r="552">
      <c r="M552">
        <f>IF(A552="","",LOWER(TRIM(SUBSTITUTE(SUBSTITUTE(A552,"?",""),"*",""))))</f>
        <v/>
      </c>
      <c r="N552">
        <f>IF(M552="","",IF(SUMPRODUCT(ISNUMBER(SEARCH(" "&amp;Settings!$L$5:$L$124&amp;" "," "&amp;M552&amp;" "))*(Settings!$K$5:$K$124="Navigational")*(Settings!$L$5:$L$124&lt;&gt;""))&gt;0,"Navigational",IF(SUMPRODUCT(ISNUMBER(SEARCH(" "&amp;Settings!$L$5:$L$124&amp;" "," "&amp;M552&amp;" "))*(Settings!$K$5:$K$124="Transactional")*(Settings!$L$5:$L$124&lt;&gt;""))&gt;0,"Transactional",IF(SUMPRODUCT(ISNUMBER(SEARCH(" "&amp;Settings!$L$5:$L$124&amp;" "," "&amp;M552&amp;" "))*(Settings!$K$5:$K$124="Commercial")*(Settings!$L$5:$L$124&lt;&gt;""))&gt;0,"Commercial",IF(SUMPRODUCT(ISNUMBER(SEARCH(" "&amp;Settings!$L$5:$L$124&amp;" "," "&amp;M552&amp;" "))*(Settings!$K$5:$K$124="Informational")*(Settings!$L$5:$L$124&lt;&gt;""))&gt;0,"Informational","Unclassified")))))</f>
        <v/>
      </c>
      <c r="O552">
        <f>IF(A552="","",IF(K552&lt;&gt;"",PROPER(K552),N552))</f>
        <v/>
      </c>
      <c r="P552">
        <f>IF(A552="","",ROUND(Settings!$B$5*MIN(1,LOG10(N(C552)+1)/LOG10(Settings!$B$7+1))+Settings!$B$6*(1-MIN(100,IF(D552="",50,N(D552)))/100)+IFERROR(INDEX(Settings!$B$10:$B$14,MATCH(O552,Settings!$A$10:$A$14,0)),0),0))</f>
        <v/>
      </c>
      <c r="Q552">
        <f>IF(OR(A552="",G552=""),"",COUNTIFS($M$3:$M$1002,M552,$G$3:$G$1002,"&lt;&gt;"&amp;SUBSTITUTE(SUBSTITUTE(G552,"?","~?"),"*","~*"),$G$3:$G$1002,"?*"))</f>
        <v/>
      </c>
      <c r="R552">
        <f>IF(Q552="","",IF(Q552&gt;0,"Yes","No"))</f>
        <v/>
      </c>
      <c r="S552">
        <f>IF(G552="","",COUNTIFS($G$3:$G$1002,SUBSTITUTE(SUBSTITUTE(G552,"?","~?"),"*","~*"),$J$3:$J$1002,"Primary"))</f>
        <v/>
      </c>
      <c r="T552">
        <f>IF(S552="","",IF(S552&gt;Settings!$B$4,"Yes","No"))</f>
        <v/>
      </c>
      <c r="U552">
        <f>IF(OR(G552="",B552=""),"",IF(COUNTIFS($G$3:$G$1002,SUBSTITUTE(SUBSTITUTE(G552,"?","~?"),"*","~*"),$B$3:$B$1002,"&lt;&gt;"&amp;SUBSTITUTE(SUBSTITUTE(B552,"?","~?"),"*","~*"),$B$3:$B$1002,"?*")&gt;0,"Yes","No"))</f>
        <v/>
      </c>
      <c r="V552">
        <f>IF(OR(G552="",I552="",O552="",O552="Unclassified"),"",IFERROR(INDEX(Settings!$E$5:$H$16,MATCH(I552,Settings!$D$5:$D$16,0),MATCH(O552,Settings!$E$4:$H$4,0)),"Check"))</f>
        <v/>
      </c>
      <c r="W552">
        <f>IF(V552="","",IF(V552="No","Yes","No"))</f>
        <v/>
      </c>
      <c r="X552">
        <f>IF(OR(E552="",G552=""),"",IF(LOWER(IF(RIGHT(TRIM(E552),1)="/",LEFT(TRIM(E552),LEN(TRIM(E552))-1),TRIM(E552)))&lt;&gt;LOWER(IF(RIGHT(TRIM(G552),1)="/",LEFT(TRIM(G552),LEN(TRIM(G552))-1),TRIM(G552))),"Yes","No"))</f>
        <v/>
      </c>
      <c r="Y552">
        <f>IF(A552="","",(N(Q552)&gt;0)+(T552="Yes")+(U552="Yes")+(W552="Yes")+(X552="Yes"))</f>
        <v/>
      </c>
      <c r="Z552">
        <f>IF(A552="","",IF(G552="","Not mapped",IF(Y552=0,"OK",MID(IF(N(Q552)&gt;0,"; Cannibalisation","")&amp;IF(T552="Yes","; Too many primary keywords on URL","")&amp;IF(U552="Yes","; URL spans 2+ clusters","")&amp;IF(W552="Yes","; Intent mismatch","")&amp;IF(X552="Yes","; Ranking URL is not the target",""),3,300))))</f>
        <v/>
      </c>
      <c r="AA552">
        <f>IF(G552="","",IF(COUNTIF($G$3:G552,SUBSTITUTE(SUBSTITUTE(G552,"?","~?"),"*","~*"))=1,MAX($AA$2:AA551)+1,""))</f>
        <v/>
      </c>
      <c r="AB552">
        <f>IF(B552="","",IF(COUNTIF($B$3:B552,SUBSTITUTE(SUBSTITUTE(B552,"?","~?"),"*","~*"))=1,MAX($AB$2:AB551)+1,""))</f>
        <v/>
      </c>
    </row>
    <row r="553">
      <c r="M553">
        <f>IF(A553="","",LOWER(TRIM(SUBSTITUTE(SUBSTITUTE(A553,"?",""),"*",""))))</f>
        <v/>
      </c>
      <c r="N553">
        <f>IF(M553="","",IF(SUMPRODUCT(ISNUMBER(SEARCH(" "&amp;Settings!$L$5:$L$124&amp;" "," "&amp;M553&amp;" "))*(Settings!$K$5:$K$124="Navigational")*(Settings!$L$5:$L$124&lt;&gt;""))&gt;0,"Navigational",IF(SUMPRODUCT(ISNUMBER(SEARCH(" "&amp;Settings!$L$5:$L$124&amp;" "," "&amp;M553&amp;" "))*(Settings!$K$5:$K$124="Transactional")*(Settings!$L$5:$L$124&lt;&gt;""))&gt;0,"Transactional",IF(SUMPRODUCT(ISNUMBER(SEARCH(" "&amp;Settings!$L$5:$L$124&amp;" "," "&amp;M553&amp;" "))*(Settings!$K$5:$K$124="Commercial")*(Settings!$L$5:$L$124&lt;&gt;""))&gt;0,"Commercial",IF(SUMPRODUCT(ISNUMBER(SEARCH(" "&amp;Settings!$L$5:$L$124&amp;" "," "&amp;M553&amp;" "))*(Settings!$K$5:$K$124="Informational")*(Settings!$L$5:$L$124&lt;&gt;""))&gt;0,"Informational","Unclassified")))))</f>
        <v/>
      </c>
      <c r="O553">
        <f>IF(A553="","",IF(K553&lt;&gt;"",PROPER(K553),N553))</f>
        <v/>
      </c>
      <c r="P553">
        <f>IF(A553="","",ROUND(Settings!$B$5*MIN(1,LOG10(N(C553)+1)/LOG10(Settings!$B$7+1))+Settings!$B$6*(1-MIN(100,IF(D553="",50,N(D553)))/100)+IFERROR(INDEX(Settings!$B$10:$B$14,MATCH(O553,Settings!$A$10:$A$14,0)),0),0))</f>
        <v/>
      </c>
      <c r="Q553">
        <f>IF(OR(A553="",G553=""),"",COUNTIFS($M$3:$M$1002,M553,$G$3:$G$1002,"&lt;&gt;"&amp;SUBSTITUTE(SUBSTITUTE(G553,"?","~?"),"*","~*"),$G$3:$G$1002,"?*"))</f>
        <v/>
      </c>
      <c r="R553">
        <f>IF(Q553="","",IF(Q553&gt;0,"Yes","No"))</f>
        <v/>
      </c>
      <c r="S553">
        <f>IF(G553="","",COUNTIFS($G$3:$G$1002,SUBSTITUTE(SUBSTITUTE(G553,"?","~?"),"*","~*"),$J$3:$J$1002,"Primary"))</f>
        <v/>
      </c>
      <c r="T553">
        <f>IF(S553="","",IF(S553&gt;Settings!$B$4,"Yes","No"))</f>
        <v/>
      </c>
      <c r="U553">
        <f>IF(OR(G553="",B553=""),"",IF(COUNTIFS($G$3:$G$1002,SUBSTITUTE(SUBSTITUTE(G553,"?","~?"),"*","~*"),$B$3:$B$1002,"&lt;&gt;"&amp;SUBSTITUTE(SUBSTITUTE(B553,"?","~?"),"*","~*"),$B$3:$B$1002,"?*")&gt;0,"Yes","No"))</f>
        <v/>
      </c>
      <c r="V553">
        <f>IF(OR(G553="",I553="",O553="",O553="Unclassified"),"",IFERROR(INDEX(Settings!$E$5:$H$16,MATCH(I553,Settings!$D$5:$D$16,0),MATCH(O553,Settings!$E$4:$H$4,0)),"Check"))</f>
        <v/>
      </c>
      <c r="W553">
        <f>IF(V553="","",IF(V553="No","Yes","No"))</f>
        <v/>
      </c>
      <c r="X553">
        <f>IF(OR(E553="",G553=""),"",IF(LOWER(IF(RIGHT(TRIM(E553),1)="/",LEFT(TRIM(E553),LEN(TRIM(E553))-1),TRIM(E553)))&lt;&gt;LOWER(IF(RIGHT(TRIM(G553),1)="/",LEFT(TRIM(G553),LEN(TRIM(G553))-1),TRIM(G553))),"Yes","No"))</f>
        <v/>
      </c>
      <c r="Y553">
        <f>IF(A553="","",(N(Q553)&gt;0)+(T553="Yes")+(U553="Yes")+(W553="Yes")+(X553="Yes"))</f>
        <v/>
      </c>
      <c r="Z553">
        <f>IF(A553="","",IF(G553="","Not mapped",IF(Y553=0,"OK",MID(IF(N(Q553)&gt;0,"; Cannibalisation","")&amp;IF(T553="Yes","; Too many primary keywords on URL","")&amp;IF(U553="Yes","; URL spans 2+ clusters","")&amp;IF(W553="Yes","; Intent mismatch","")&amp;IF(X553="Yes","; Ranking URL is not the target",""),3,300))))</f>
        <v/>
      </c>
      <c r="AA553">
        <f>IF(G553="","",IF(COUNTIF($G$3:G553,SUBSTITUTE(SUBSTITUTE(G553,"?","~?"),"*","~*"))=1,MAX($AA$2:AA552)+1,""))</f>
        <v/>
      </c>
      <c r="AB553">
        <f>IF(B553="","",IF(COUNTIF($B$3:B553,SUBSTITUTE(SUBSTITUTE(B553,"?","~?"),"*","~*"))=1,MAX($AB$2:AB552)+1,""))</f>
        <v/>
      </c>
    </row>
    <row r="554">
      <c r="M554">
        <f>IF(A554="","",LOWER(TRIM(SUBSTITUTE(SUBSTITUTE(A554,"?",""),"*",""))))</f>
        <v/>
      </c>
      <c r="N554">
        <f>IF(M554="","",IF(SUMPRODUCT(ISNUMBER(SEARCH(" "&amp;Settings!$L$5:$L$124&amp;" "," "&amp;M554&amp;" "))*(Settings!$K$5:$K$124="Navigational")*(Settings!$L$5:$L$124&lt;&gt;""))&gt;0,"Navigational",IF(SUMPRODUCT(ISNUMBER(SEARCH(" "&amp;Settings!$L$5:$L$124&amp;" "," "&amp;M554&amp;" "))*(Settings!$K$5:$K$124="Transactional")*(Settings!$L$5:$L$124&lt;&gt;""))&gt;0,"Transactional",IF(SUMPRODUCT(ISNUMBER(SEARCH(" "&amp;Settings!$L$5:$L$124&amp;" "," "&amp;M554&amp;" "))*(Settings!$K$5:$K$124="Commercial")*(Settings!$L$5:$L$124&lt;&gt;""))&gt;0,"Commercial",IF(SUMPRODUCT(ISNUMBER(SEARCH(" "&amp;Settings!$L$5:$L$124&amp;" "," "&amp;M554&amp;" "))*(Settings!$K$5:$K$124="Informational")*(Settings!$L$5:$L$124&lt;&gt;""))&gt;0,"Informational","Unclassified")))))</f>
        <v/>
      </c>
      <c r="O554">
        <f>IF(A554="","",IF(K554&lt;&gt;"",PROPER(K554),N554))</f>
        <v/>
      </c>
      <c r="P554">
        <f>IF(A554="","",ROUND(Settings!$B$5*MIN(1,LOG10(N(C554)+1)/LOG10(Settings!$B$7+1))+Settings!$B$6*(1-MIN(100,IF(D554="",50,N(D554)))/100)+IFERROR(INDEX(Settings!$B$10:$B$14,MATCH(O554,Settings!$A$10:$A$14,0)),0),0))</f>
        <v/>
      </c>
      <c r="Q554">
        <f>IF(OR(A554="",G554=""),"",COUNTIFS($M$3:$M$1002,M554,$G$3:$G$1002,"&lt;&gt;"&amp;SUBSTITUTE(SUBSTITUTE(G554,"?","~?"),"*","~*"),$G$3:$G$1002,"?*"))</f>
        <v/>
      </c>
      <c r="R554">
        <f>IF(Q554="","",IF(Q554&gt;0,"Yes","No"))</f>
        <v/>
      </c>
      <c r="S554">
        <f>IF(G554="","",COUNTIFS($G$3:$G$1002,SUBSTITUTE(SUBSTITUTE(G554,"?","~?"),"*","~*"),$J$3:$J$1002,"Primary"))</f>
        <v/>
      </c>
      <c r="T554">
        <f>IF(S554="","",IF(S554&gt;Settings!$B$4,"Yes","No"))</f>
        <v/>
      </c>
      <c r="U554">
        <f>IF(OR(G554="",B554=""),"",IF(COUNTIFS($G$3:$G$1002,SUBSTITUTE(SUBSTITUTE(G554,"?","~?"),"*","~*"),$B$3:$B$1002,"&lt;&gt;"&amp;SUBSTITUTE(SUBSTITUTE(B554,"?","~?"),"*","~*"),$B$3:$B$1002,"?*")&gt;0,"Yes","No"))</f>
        <v/>
      </c>
      <c r="V554">
        <f>IF(OR(G554="",I554="",O554="",O554="Unclassified"),"",IFERROR(INDEX(Settings!$E$5:$H$16,MATCH(I554,Settings!$D$5:$D$16,0),MATCH(O554,Settings!$E$4:$H$4,0)),"Check"))</f>
        <v/>
      </c>
      <c r="W554">
        <f>IF(V554="","",IF(V554="No","Yes","No"))</f>
        <v/>
      </c>
      <c r="X554">
        <f>IF(OR(E554="",G554=""),"",IF(LOWER(IF(RIGHT(TRIM(E554),1)="/",LEFT(TRIM(E554),LEN(TRIM(E554))-1),TRIM(E554)))&lt;&gt;LOWER(IF(RIGHT(TRIM(G554),1)="/",LEFT(TRIM(G554),LEN(TRIM(G554))-1),TRIM(G554))),"Yes","No"))</f>
        <v/>
      </c>
      <c r="Y554">
        <f>IF(A554="","",(N(Q554)&gt;0)+(T554="Yes")+(U554="Yes")+(W554="Yes")+(X554="Yes"))</f>
        <v/>
      </c>
      <c r="Z554">
        <f>IF(A554="","",IF(G554="","Not mapped",IF(Y554=0,"OK",MID(IF(N(Q554)&gt;0,"; Cannibalisation","")&amp;IF(T554="Yes","; Too many primary keywords on URL","")&amp;IF(U554="Yes","; URL spans 2+ clusters","")&amp;IF(W554="Yes","; Intent mismatch","")&amp;IF(X554="Yes","; Ranking URL is not the target",""),3,300))))</f>
        <v/>
      </c>
      <c r="AA554">
        <f>IF(G554="","",IF(COUNTIF($G$3:G554,SUBSTITUTE(SUBSTITUTE(G554,"?","~?"),"*","~*"))=1,MAX($AA$2:AA553)+1,""))</f>
        <v/>
      </c>
      <c r="AB554">
        <f>IF(B554="","",IF(COUNTIF($B$3:B554,SUBSTITUTE(SUBSTITUTE(B554,"?","~?"),"*","~*"))=1,MAX($AB$2:AB553)+1,""))</f>
        <v/>
      </c>
    </row>
    <row r="555">
      <c r="M555">
        <f>IF(A555="","",LOWER(TRIM(SUBSTITUTE(SUBSTITUTE(A555,"?",""),"*",""))))</f>
        <v/>
      </c>
      <c r="N555">
        <f>IF(M555="","",IF(SUMPRODUCT(ISNUMBER(SEARCH(" "&amp;Settings!$L$5:$L$124&amp;" "," "&amp;M555&amp;" "))*(Settings!$K$5:$K$124="Navigational")*(Settings!$L$5:$L$124&lt;&gt;""))&gt;0,"Navigational",IF(SUMPRODUCT(ISNUMBER(SEARCH(" "&amp;Settings!$L$5:$L$124&amp;" "," "&amp;M555&amp;" "))*(Settings!$K$5:$K$124="Transactional")*(Settings!$L$5:$L$124&lt;&gt;""))&gt;0,"Transactional",IF(SUMPRODUCT(ISNUMBER(SEARCH(" "&amp;Settings!$L$5:$L$124&amp;" "," "&amp;M555&amp;" "))*(Settings!$K$5:$K$124="Commercial")*(Settings!$L$5:$L$124&lt;&gt;""))&gt;0,"Commercial",IF(SUMPRODUCT(ISNUMBER(SEARCH(" "&amp;Settings!$L$5:$L$124&amp;" "," "&amp;M555&amp;" "))*(Settings!$K$5:$K$124="Informational")*(Settings!$L$5:$L$124&lt;&gt;""))&gt;0,"Informational","Unclassified")))))</f>
        <v/>
      </c>
      <c r="O555">
        <f>IF(A555="","",IF(K555&lt;&gt;"",PROPER(K555),N555))</f>
        <v/>
      </c>
      <c r="P555">
        <f>IF(A555="","",ROUND(Settings!$B$5*MIN(1,LOG10(N(C555)+1)/LOG10(Settings!$B$7+1))+Settings!$B$6*(1-MIN(100,IF(D555="",50,N(D555)))/100)+IFERROR(INDEX(Settings!$B$10:$B$14,MATCH(O555,Settings!$A$10:$A$14,0)),0),0))</f>
        <v/>
      </c>
      <c r="Q555">
        <f>IF(OR(A555="",G555=""),"",COUNTIFS($M$3:$M$1002,M555,$G$3:$G$1002,"&lt;&gt;"&amp;SUBSTITUTE(SUBSTITUTE(G555,"?","~?"),"*","~*"),$G$3:$G$1002,"?*"))</f>
        <v/>
      </c>
      <c r="R555">
        <f>IF(Q555="","",IF(Q555&gt;0,"Yes","No"))</f>
        <v/>
      </c>
      <c r="S555">
        <f>IF(G555="","",COUNTIFS($G$3:$G$1002,SUBSTITUTE(SUBSTITUTE(G555,"?","~?"),"*","~*"),$J$3:$J$1002,"Primary"))</f>
        <v/>
      </c>
      <c r="T555">
        <f>IF(S555="","",IF(S555&gt;Settings!$B$4,"Yes","No"))</f>
        <v/>
      </c>
      <c r="U555">
        <f>IF(OR(G555="",B555=""),"",IF(COUNTIFS($G$3:$G$1002,SUBSTITUTE(SUBSTITUTE(G555,"?","~?"),"*","~*"),$B$3:$B$1002,"&lt;&gt;"&amp;SUBSTITUTE(SUBSTITUTE(B555,"?","~?"),"*","~*"),$B$3:$B$1002,"?*")&gt;0,"Yes","No"))</f>
        <v/>
      </c>
      <c r="V555">
        <f>IF(OR(G555="",I555="",O555="",O555="Unclassified"),"",IFERROR(INDEX(Settings!$E$5:$H$16,MATCH(I555,Settings!$D$5:$D$16,0),MATCH(O555,Settings!$E$4:$H$4,0)),"Check"))</f>
        <v/>
      </c>
      <c r="W555">
        <f>IF(V555="","",IF(V555="No","Yes","No"))</f>
        <v/>
      </c>
      <c r="X555">
        <f>IF(OR(E555="",G555=""),"",IF(LOWER(IF(RIGHT(TRIM(E555),1)="/",LEFT(TRIM(E555),LEN(TRIM(E555))-1),TRIM(E555)))&lt;&gt;LOWER(IF(RIGHT(TRIM(G555),1)="/",LEFT(TRIM(G555),LEN(TRIM(G555))-1),TRIM(G555))),"Yes","No"))</f>
        <v/>
      </c>
      <c r="Y555">
        <f>IF(A555="","",(N(Q555)&gt;0)+(T555="Yes")+(U555="Yes")+(W555="Yes")+(X555="Yes"))</f>
        <v/>
      </c>
      <c r="Z555">
        <f>IF(A555="","",IF(G555="","Not mapped",IF(Y555=0,"OK",MID(IF(N(Q555)&gt;0,"; Cannibalisation","")&amp;IF(T555="Yes","; Too many primary keywords on URL","")&amp;IF(U555="Yes","; URL spans 2+ clusters","")&amp;IF(W555="Yes","; Intent mismatch","")&amp;IF(X555="Yes","; Ranking URL is not the target",""),3,300))))</f>
        <v/>
      </c>
      <c r="AA555">
        <f>IF(G555="","",IF(COUNTIF($G$3:G555,SUBSTITUTE(SUBSTITUTE(G555,"?","~?"),"*","~*"))=1,MAX($AA$2:AA554)+1,""))</f>
        <v/>
      </c>
      <c r="AB555">
        <f>IF(B555="","",IF(COUNTIF($B$3:B555,SUBSTITUTE(SUBSTITUTE(B555,"?","~?"),"*","~*"))=1,MAX($AB$2:AB554)+1,""))</f>
        <v/>
      </c>
    </row>
    <row r="556">
      <c r="M556">
        <f>IF(A556="","",LOWER(TRIM(SUBSTITUTE(SUBSTITUTE(A556,"?",""),"*",""))))</f>
        <v/>
      </c>
      <c r="N556">
        <f>IF(M556="","",IF(SUMPRODUCT(ISNUMBER(SEARCH(" "&amp;Settings!$L$5:$L$124&amp;" "," "&amp;M556&amp;" "))*(Settings!$K$5:$K$124="Navigational")*(Settings!$L$5:$L$124&lt;&gt;""))&gt;0,"Navigational",IF(SUMPRODUCT(ISNUMBER(SEARCH(" "&amp;Settings!$L$5:$L$124&amp;" "," "&amp;M556&amp;" "))*(Settings!$K$5:$K$124="Transactional")*(Settings!$L$5:$L$124&lt;&gt;""))&gt;0,"Transactional",IF(SUMPRODUCT(ISNUMBER(SEARCH(" "&amp;Settings!$L$5:$L$124&amp;" "," "&amp;M556&amp;" "))*(Settings!$K$5:$K$124="Commercial")*(Settings!$L$5:$L$124&lt;&gt;""))&gt;0,"Commercial",IF(SUMPRODUCT(ISNUMBER(SEARCH(" "&amp;Settings!$L$5:$L$124&amp;" "," "&amp;M556&amp;" "))*(Settings!$K$5:$K$124="Informational")*(Settings!$L$5:$L$124&lt;&gt;""))&gt;0,"Informational","Unclassified")))))</f>
        <v/>
      </c>
      <c r="O556">
        <f>IF(A556="","",IF(K556&lt;&gt;"",PROPER(K556),N556))</f>
        <v/>
      </c>
      <c r="P556">
        <f>IF(A556="","",ROUND(Settings!$B$5*MIN(1,LOG10(N(C556)+1)/LOG10(Settings!$B$7+1))+Settings!$B$6*(1-MIN(100,IF(D556="",50,N(D556)))/100)+IFERROR(INDEX(Settings!$B$10:$B$14,MATCH(O556,Settings!$A$10:$A$14,0)),0),0))</f>
        <v/>
      </c>
      <c r="Q556">
        <f>IF(OR(A556="",G556=""),"",COUNTIFS($M$3:$M$1002,M556,$G$3:$G$1002,"&lt;&gt;"&amp;SUBSTITUTE(SUBSTITUTE(G556,"?","~?"),"*","~*"),$G$3:$G$1002,"?*"))</f>
        <v/>
      </c>
      <c r="R556">
        <f>IF(Q556="","",IF(Q556&gt;0,"Yes","No"))</f>
        <v/>
      </c>
      <c r="S556">
        <f>IF(G556="","",COUNTIFS($G$3:$G$1002,SUBSTITUTE(SUBSTITUTE(G556,"?","~?"),"*","~*"),$J$3:$J$1002,"Primary"))</f>
        <v/>
      </c>
      <c r="T556">
        <f>IF(S556="","",IF(S556&gt;Settings!$B$4,"Yes","No"))</f>
        <v/>
      </c>
      <c r="U556">
        <f>IF(OR(G556="",B556=""),"",IF(COUNTIFS($G$3:$G$1002,SUBSTITUTE(SUBSTITUTE(G556,"?","~?"),"*","~*"),$B$3:$B$1002,"&lt;&gt;"&amp;SUBSTITUTE(SUBSTITUTE(B556,"?","~?"),"*","~*"),$B$3:$B$1002,"?*")&gt;0,"Yes","No"))</f>
        <v/>
      </c>
      <c r="V556">
        <f>IF(OR(G556="",I556="",O556="",O556="Unclassified"),"",IFERROR(INDEX(Settings!$E$5:$H$16,MATCH(I556,Settings!$D$5:$D$16,0),MATCH(O556,Settings!$E$4:$H$4,0)),"Check"))</f>
        <v/>
      </c>
      <c r="W556">
        <f>IF(V556="","",IF(V556="No","Yes","No"))</f>
        <v/>
      </c>
      <c r="X556">
        <f>IF(OR(E556="",G556=""),"",IF(LOWER(IF(RIGHT(TRIM(E556),1)="/",LEFT(TRIM(E556),LEN(TRIM(E556))-1),TRIM(E556)))&lt;&gt;LOWER(IF(RIGHT(TRIM(G556),1)="/",LEFT(TRIM(G556),LEN(TRIM(G556))-1),TRIM(G556))),"Yes","No"))</f>
        <v/>
      </c>
      <c r="Y556">
        <f>IF(A556="","",(N(Q556)&gt;0)+(T556="Yes")+(U556="Yes")+(W556="Yes")+(X556="Yes"))</f>
        <v/>
      </c>
      <c r="Z556">
        <f>IF(A556="","",IF(G556="","Not mapped",IF(Y556=0,"OK",MID(IF(N(Q556)&gt;0,"; Cannibalisation","")&amp;IF(T556="Yes","; Too many primary keywords on URL","")&amp;IF(U556="Yes","; URL spans 2+ clusters","")&amp;IF(W556="Yes","; Intent mismatch","")&amp;IF(X556="Yes","; Ranking URL is not the target",""),3,300))))</f>
        <v/>
      </c>
      <c r="AA556">
        <f>IF(G556="","",IF(COUNTIF($G$3:G556,SUBSTITUTE(SUBSTITUTE(G556,"?","~?"),"*","~*"))=1,MAX($AA$2:AA555)+1,""))</f>
        <v/>
      </c>
      <c r="AB556">
        <f>IF(B556="","",IF(COUNTIF($B$3:B556,SUBSTITUTE(SUBSTITUTE(B556,"?","~?"),"*","~*"))=1,MAX($AB$2:AB555)+1,""))</f>
        <v/>
      </c>
    </row>
    <row r="557">
      <c r="M557">
        <f>IF(A557="","",LOWER(TRIM(SUBSTITUTE(SUBSTITUTE(A557,"?",""),"*",""))))</f>
        <v/>
      </c>
      <c r="N557">
        <f>IF(M557="","",IF(SUMPRODUCT(ISNUMBER(SEARCH(" "&amp;Settings!$L$5:$L$124&amp;" "," "&amp;M557&amp;" "))*(Settings!$K$5:$K$124="Navigational")*(Settings!$L$5:$L$124&lt;&gt;""))&gt;0,"Navigational",IF(SUMPRODUCT(ISNUMBER(SEARCH(" "&amp;Settings!$L$5:$L$124&amp;" "," "&amp;M557&amp;" "))*(Settings!$K$5:$K$124="Transactional")*(Settings!$L$5:$L$124&lt;&gt;""))&gt;0,"Transactional",IF(SUMPRODUCT(ISNUMBER(SEARCH(" "&amp;Settings!$L$5:$L$124&amp;" "," "&amp;M557&amp;" "))*(Settings!$K$5:$K$124="Commercial")*(Settings!$L$5:$L$124&lt;&gt;""))&gt;0,"Commercial",IF(SUMPRODUCT(ISNUMBER(SEARCH(" "&amp;Settings!$L$5:$L$124&amp;" "," "&amp;M557&amp;" "))*(Settings!$K$5:$K$124="Informational")*(Settings!$L$5:$L$124&lt;&gt;""))&gt;0,"Informational","Unclassified")))))</f>
        <v/>
      </c>
      <c r="O557">
        <f>IF(A557="","",IF(K557&lt;&gt;"",PROPER(K557),N557))</f>
        <v/>
      </c>
      <c r="P557">
        <f>IF(A557="","",ROUND(Settings!$B$5*MIN(1,LOG10(N(C557)+1)/LOG10(Settings!$B$7+1))+Settings!$B$6*(1-MIN(100,IF(D557="",50,N(D557)))/100)+IFERROR(INDEX(Settings!$B$10:$B$14,MATCH(O557,Settings!$A$10:$A$14,0)),0),0))</f>
        <v/>
      </c>
      <c r="Q557">
        <f>IF(OR(A557="",G557=""),"",COUNTIFS($M$3:$M$1002,M557,$G$3:$G$1002,"&lt;&gt;"&amp;SUBSTITUTE(SUBSTITUTE(G557,"?","~?"),"*","~*"),$G$3:$G$1002,"?*"))</f>
        <v/>
      </c>
      <c r="R557">
        <f>IF(Q557="","",IF(Q557&gt;0,"Yes","No"))</f>
        <v/>
      </c>
      <c r="S557">
        <f>IF(G557="","",COUNTIFS($G$3:$G$1002,SUBSTITUTE(SUBSTITUTE(G557,"?","~?"),"*","~*"),$J$3:$J$1002,"Primary"))</f>
        <v/>
      </c>
      <c r="T557">
        <f>IF(S557="","",IF(S557&gt;Settings!$B$4,"Yes","No"))</f>
        <v/>
      </c>
      <c r="U557">
        <f>IF(OR(G557="",B557=""),"",IF(COUNTIFS($G$3:$G$1002,SUBSTITUTE(SUBSTITUTE(G557,"?","~?"),"*","~*"),$B$3:$B$1002,"&lt;&gt;"&amp;SUBSTITUTE(SUBSTITUTE(B557,"?","~?"),"*","~*"),$B$3:$B$1002,"?*")&gt;0,"Yes","No"))</f>
        <v/>
      </c>
      <c r="V557">
        <f>IF(OR(G557="",I557="",O557="",O557="Unclassified"),"",IFERROR(INDEX(Settings!$E$5:$H$16,MATCH(I557,Settings!$D$5:$D$16,0),MATCH(O557,Settings!$E$4:$H$4,0)),"Check"))</f>
        <v/>
      </c>
      <c r="W557">
        <f>IF(V557="","",IF(V557="No","Yes","No"))</f>
        <v/>
      </c>
      <c r="X557">
        <f>IF(OR(E557="",G557=""),"",IF(LOWER(IF(RIGHT(TRIM(E557),1)="/",LEFT(TRIM(E557),LEN(TRIM(E557))-1),TRIM(E557)))&lt;&gt;LOWER(IF(RIGHT(TRIM(G557),1)="/",LEFT(TRIM(G557),LEN(TRIM(G557))-1),TRIM(G557))),"Yes","No"))</f>
        <v/>
      </c>
      <c r="Y557">
        <f>IF(A557="","",(N(Q557)&gt;0)+(T557="Yes")+(U557="Yes")+(W557="Yes")+(X557="Yes"))</f>
        <v/>
      </c>
      <c r="Z557">
        <f>IF(A557="","",IF(G557="","Not mapped",IF(Y557=0,"OK",MID(IF(N(Q557)&gt;0,"; Cannibalisation","")&amp;IF(T557="Yes","; Too many primary keywords on URL","")&amp;IF(U557="Yes","; URL spans 2+ clusters","")&amp;IF(W557="Yes","; Intent mismatch","")&amp;IF(X557="Yes","; Ranking URL is not the target",""),3,300))))</f>
        <v/>
      </c>
      <c r="AA557">
        <f>IF(G557="","",IF(COUNTIF($G$3:G557,SUBSTITUTE(SUBSTITUTE(G557,"?","~?"),"*","~*"))=1,MAX($AA$2:AA556)+1,""))</f>
        <v/>
      </c>
      <c r="AB557">
        <f>IF(B557="","",IF(COUNTIF($B$3:B557,SUBSTITUTE(SUBSTITUTE(B557,"?","~?"),"*","~*"))=1,MAX($AB$2:AB556)+1,""))</f>
        <v/>
      </c>
    </row>
    <row r="558">
      <c r="M558">
        <f>IF(A558="","",LOWER(TRIM(SUBSTITUTE(SUBSTITUTE(A558,"?",""),"*",""))))</f>
        <v/>
      </c>
      <c r="N558">
        <f>IF(M558="","",IF(SUMPRODUCT(ISNUMBER(SEARCH(" "&amp;Settings!$L$5:$L$124&amp;" "," "&amp;M558&amp;" "))*(Settings!$K$5:$K$124="Navigational")*(Settings!$L$5:$L$124&lt;&gt;""))&gt;0,"Navigational",IF(SUMPRODUCT(ISNUMBER(SEARCH(" "&amp;Settings!$L$5:$L$124&amp;" "," "&amp;M558&amp;" "))*(Settings!$K$5:$K$124="Transactional")*(Settings!$L$5:$L$124&lt;&gt;""))&gt;0,"Transactional",IF(SUMPRODUCT(ISNUMBER(SEARCH(" "&amp;Settings!$L$5:$L$124&amp;" "," "&amp;M558&amp;" "))*(Settings!$K$5:$K$124="Commercial")*(Settings!$L$5:$L$124&lt;&gt;""))&gt;0,"Commercial",IF(SUMPRODUCT(ISNUMBER(SEARCH(" "&amp;Settings!$L$5:$L$124&amp;" "," "&amp;M558&amp;" "))*(Settings!$K$5:$K$124="Informational")*(Settings!$L$5:$L$124&lt;&gt;""))&gt;0,"Informational","Unclassified")))))</f>
        <v/>
      </c>
      <c r="O558">
        <f>IF(A558="","",IF(K558&lt;&gt;"",PROPER(K558),N558))</f>
        <v/>
      </c>
      <c r="P558">
        <f>IF(A558="","",ROUND(Settings!$B$5*MIN(1,LOG10(N(C558)+1)/LOG10(Settings!$B$7+1))+Settings!$B$6*(1-MIN(100,IF(D558="",50,N(D558)))/100)+IFERROR(INDEX(Settings!$B$10:$B$14,MATCH(O558,Settings!$A$10:$A$14,0)),0),0))</f>
        <v/>
      </c>
      <c r="Q558">
        <f>IF(OR(A558="",G558=""),"",COUNTIFS($M$3:$M$1002,M558,$G$3:$G$1002,"&lt;&gt;"&amp;SUBSTITUTE(SUBSTITUTE(G558,"?","~?"),"*","~*"),$G$3:$G$1002,"?*"))</f>
        <v/>
      </c>
      <c r="R558">
        <f>IF(Q558="","",IF(Q558&gt;0,"Yes","No"))</f>
        <v/>
      </c>
      <c r="S558">
        <f>IF(G558="","",COUNTIFS($G$3:$G$1002,SUBSTITUTE(SUBSTITUTE(G558,"?","~?"),"*","~*"),$J$3:$J$1002,"Primary"))</f>
        <v/>
      </c>
      <c r="T558">
        <f>IF(S558="","",IF(S558&gt;Settings!$B$4,"Yes","No"))</f>
        <v/>
      </c>
      <c r="U558">
        <f>IF(OR(G558="",B558=""),"",IF(COUNTIFS($G$3:$G$1002,SUBSTITUTE(SUBSTITUTE(G558,"?","~?"),"*","~*"),$B$3:$B$1002,"&lt;&gt;"&amp;SUBSTITUTE(SUBSTITUTE(B558,"?","~?"),"*","~*"),$B$3:$B$1002,"?*")&gt;0,"Yes","No"))</f>
        <v/>
      </c>
      <c r="V558">
        <f>IF(OR(G558="",I558="",O558="",O558="Unclassified"),"",IFERROR(INDEX(Settings!$E$5:$H$16,MATCH(I558,Settings!$D$5:$D$16,0),MATCH(O558,Settings!$E$4:$H$4,0)),"Check"))</f>
        <v/>
      </c>
      <c r="W558">
        <f>IF(V558="","",IF(V558="No","Yes","No"))</f>
        <v/>
      </c>
      <c r="X558">
        <f>IF(OR(E558="",G558=""),"",IF(LOWER(IF(RIGHT(TRIM(E558),1)="/",LEFT(TRIM(E558),LEN(TRIM(E558))-1),TRIM(E558)))&lt;&gt;LOWER(IF(RIGHT(TRIM(G558),1)="/",LEFT(TRIM(G558),LEN(TRIM(G558))-1),TRIM(G558))),"Yes","No"))</f>
        <v/>
      </c>
      <c r="Y558">
        <f>IF(A558="","",(N(Q558)&gt;0)+(T558="Yes")+(U558="Yes")+(W558="Yes")+(X558="Yes"))</f>
        <v/>
      </c>
      <c r="Z558">
        <f>IF(A558="","",IF(G558="","Not mapped",IF(Y558=0,"OK",MID(IF(N(Q558)&gt;0,"; Cannibalisation","")&amp;IF(T558="Yes","; Too many primary keywords on URL","")&amp;IF(U558="Yes","; URL spans 2+ clusters","")&amp;IF(W558="Yes","; Intent mismatch","")&amp;IF(X558="Yes","; Ranking URL is not the target",""),3,300))))</f>
        <v/>
      </c>
      <c r="AA558">
        <f>IF(G558="","",IF(COUNTIF($G$3:G558,SUBSTITUTE(SUBSTITUTE(G558,"?","~?"),"*","~*"))=1,MAX($AA$2:AA557)+1,""))</f>
        <v/>
      </c>
      <c r="AB558">
        <f>IF(B558="","",IF(COUNTIF($B$3:B558,SUBSTITUTE(SUBSTITUTE(B558,"?","~?"),"*","~*"))=1,MAX($AB$2:AB557)+1,""))</f>
        <v/>
      </c>
    </row>
    <row r="559">
      <c r="M559">
        <f>IF(A559="","",LOWER(TRIM(SUBSTITUTE(SUBSTITUTE(A559,"?",""),"*",""))))</f>
        <v/>
      </c>
      <c r="N559">
        <f>IF(M559="","",IF(SUMPRODUCT(ISNUMBER(SEARCH(" "&amp;Settings!$L$5:$L$124&amp;" "," "&amp;M559&amp;" "))*(Settings!$K$5:$K$124="Navigational")*(Settings!$L$5:$L$124&lt;&gt;""))&gt;0,"Navigational",IF(SUMPRODUCT(ISNUMBER(SEARCH(" "&amp;Settings!$L$5:$L$124&amp;" "," "&amp;M559&amp;" "))*(Settings!$K$5:$K$124="Transactional")*(Settings!$L$5:$L$124&lt;&gt;""))&gt;0,"Transactional",IF(SUMPRODUCT(ISNUMBER(SEARCH(" "&amp;Settings!$L$5:$L$124&amp;" "," "&amp;M559&amp;" "))*(Settings!$K$5:$K$124="Commercial")*(Settings!$L$5:$L$124&lt;&gt;""))&gt;0,"Commercial",IF(SUMPRODUCT(ISNUMBER(SEARCH(" "&amp;Settings!$L$5:$L$124&amp;" "," "&amp;M559&amp;" "))*(Settings!$K$5:$K$124="Informational")*(Settings!$L$5:$L$124&lt;&gt;""))&gt;0,"Informational","Unclassified")))))</f>
        <v/>
      </c>
      <c r="O559">
        <f>IF(A559="","",IF(K559&lt;&gt;"",PROPER(K559),N559))</f>
        <v/>
      </c>
      <c r="P559">
        <f>IF(A559="","",ROUND(Settings!$B$5*MIN(1,LOG10(N(C559)+1)/LOG10(Settings!$B$7+1))+Settings!$B$6*(1-MIN(100,IF(D559="",50,N(D559)))/100)+IFERROR(INDEX(Settings!$B$10:$B$14,MATCH(O559,Settings!$A$10:$A$14,0)),0),0))</f>
        <v/>
      </c>
      <c r="Q559">
        <f>IF(OR(A559="",G559=""),"",COUNTIFS($M$3:$M$1002,M559,$G$3:$G$1002,"&lt;&gt;"&amp;SUBSTITUTE(SUBSTITUTE(G559,"?","~?"),"*","~*"),$G$3:$G$1002,"?*"))</f>
        <v/>
      </c>
      <c r="R559">
        <f>IF(Q559="","",IF(Q559&gt;0,"Yes","No"))</f>
        <v/>
      </c>
      <c r="S559">
        <f>IF(G559="","",COUNTIFS($G$3:$G$1002,SUBSTITUTE(SUBSTITUTE(G559,"?","~?"),"*","~*"),$J$3:$J$1002,"Primary"))</f>
        <v/>
      </c>
      <c r="T559">
        <f>IF(S559="","",IF(S559&gt;Settings!$B$4,"Yes","No"))</f>
        <v/>
      </c>
      <c r="U559">
        <f>IF(OR(G559="",B559=""),"",IF(COUNTIFS($G$3:$G$1002,SUBSTITUTE(SUBSTITUTE(G559,"?","~?"),"*","~*"),$B$3:$B$1002,"&lt;&gt;"&amp;SUBSTITUTE(SUBSTITUTE(B559,"?","~?"),"*","~*"),$B$3:$B$1002,"?*")&gt;0,"Yes","No"))</f>
        <v/>
      </c>
      <c r="V559">
        <f>IF(OR(G559="",I559="",O559="",O559="Unclassified"),"",IFERROR(INDEX(Settings!$E$5:$H$16,MATCH(I559,Settings!$D$5:$D$16,0),MATCH(O559,Settings!$E$4:$H$4,0)),"Check"))</f>
        <v/>
      </c>
      <c r="W559">
        <f>IF(V559="","",IF(V559="No","Yes","No"))</f>
        <v/>
      </c>
      <c r="X559">
        <f>IF(OR(E559="",G559=""),"",IF(LOWER(IF(RIGHT(TRIM(E559),1)="/",LEFT(TRIM(E559),LEN(TRIM(E559))-1),TRIM(E559)))&lt;&gt;LOWER(IF(RIGHT(TRIM(G559),1)="/",LEFT(TRIM(G559),LEN(TRIM(G559))-1),TRIM(G559))),"Yes","No"))</f>
        <v/>
      </c>
      <c r="Y559">
        <f>IF(A559="","",(N(Q559)&gt;0)+(T559="Yes")+(U559="Yes")+(W559="Yes")+(X559="Yes"))</f>
        <v/>
      </c>
      <c r="Z559">
        <f>IF(A559="","",IF(G559="","Not mapped",IF(Y559=0,"OK",MID(IF(N(Q559)&gt;0,"; Cannibalisation","")&amp;IF(T559="Yes","; Too many primary keywords on URL","")&amp;IF(U559="Yes","; URL spans 2+ clusters","")&amp;IF(W559="Yes","; Intent mismatch","")&amp;IF(X559="Yes","; Ranking URL is not the target",""),3,300))))</f>
        <v/>
      </c>
      <c r="AA559">
        <f>IF(G559="","",IF(COUNTIF($G$3:G559,SUBSTITUTE(SUBSTITUTE(G559,"?","~?"),"*","~*"))=1,MAX($AA$2:AA558)+1,""))</f>
        <v/>
      </c>
      <c r="AB559">
        <f>IF(B559="","",IF(COUNTIF($B$3:B559,SUBSTITUTE(SUBSTITUTE(B559,"?","~?"),"*","~*"))=1,MAX($AB$2:AB558)+1,""))</f>
        <v/>
      </c>
    </row>
    <row r="560">
      <c r="M560">
        <f>IF(A560="","",LOWER(TRIM(SUBSTITUTE(SUBSTITUTE(A560,"?",""),"*",""))))</f>
        <v/>
      </c>
      <c r="N560">
        <f>IF(M560="","",IF(SUMPRODUCT(ISNUMBER(SEARCH(" "&amp;Settings!$L$5:$L$124&amp;" "," "&amp;M560&amp;" "))*(Settings!$K$5:$K$124="Navigational")*(Settings!$L$5:$L$124&lt;&gt;""))&gt;0,"Navigational",IF(SUMPRODUCT(ISNUMBER(SEARCH(" "&amp;Settings!$L$5:$L$124&amp;" "," "&amp;M560&amp;" "))*(Settings!$K$5:$K$124="Transactional")*(Settings!$L$5:$L$124&lt;&gt;""))&gt;0,"Transactional",IF(SUMPRODUCT(ISNUMBER(SEARCH(" "&amp;Settings!$L$5:$L$124&amp;" "," "&amp;M560&amp;" "))*(Settings!$K$5:$K$124="Commercial")*(Settings!$L$5:$L$124&lt;&gt;""))&gt;0,"Commercial",IF(SUMPRODUCT(ISNUMBER(SEARCH(" "&amp;Settings!$L$5:$L$124&amp;" "," "&amp;M560&amp;" "))*(Settings!$K$5:$K$124="Informational")*(Settings!$L$5:$L$124&lt;&gt;""))&gt;0,"Informational","Unclassified")))))</f>
        <v/>
      </c>
      <c r="O560">
        <f>IF(A560="","",IF(K560&lt;&gt;"",PROPER(K560),N560))</f>
        <v/>
      </c>
      <c r="P560">
        <f>IF(A560="","",ROUND(Settings!$B$5*MIN(1,LOG10(N(C560)+1)/LOG10(Settings!$B$7+1))+Settings!$B$6*(1-MIN(100,IF(D560="",50,N(D560)))/100)+IFERROR(INDEX(Settings!$B$10:$B$14,MATCH(O560,Settings!$A$10:$A$14,0)),0),0))</f>
        <v/>
      </c>
      <c r="Q560">
        <f>IF(OR(A560="",G560=""),"",COUNTIFS($M$3:$M$1002,M560,$G$3:$G$1002,"&lt;&gt;"&amp;SUBSTITUTE(SUBSTITUTE(G560,"?","~?"),"*","~*"),$G$3:$G$1002,"?*"))</f>
        <v/>
      </c>
      <c r="R560">
        <f>IF(Q560="","",IF(Q560&gt;0,"Yes","No"))</f>
        <v/>
      </c>
      <c r="S560">
        <f>IF(G560="","",COUNTIFS($G$3:$G$1002,SUBSTITUTE(SUBSTITUTE(G560,"?","~?"),"*","~*"),$J$3:$J$1002,"Primary"))</f>
        <v/>
      </c>
      <c r="T560">
        <f>IF(S560="","",IF(S560&gt;Settings!$B$4,"Yes","No"))</f>
        <v/>
      </c>
      <c r="U560">
        <f>IF(OR(G560="",B560=""),"",IF(COUNTIFS($G$3:$G$1002,SUBSTITUTE(SUBSTITUTE(G560,"?","~?"),"*","~*"),$B$3:$B$1002,"&lt;&gt;"&amp;SUBSTITUTE(SUBSTITUTE(B560,"?","~?"),"*","~*"),$B$3:$B$1002,"?*")&gt;0,"Yes","No"))</f>
        <v/>
      </c>
      <c r="V560">
        <f>IF(OR(G560="",I560="",O560="",O560="Unclassified"),"",IFERROR(INDEX(Settings!$E$5:$H$16,MATCH(I560,Settings!$D$5:$D$16,0),MATCH(O560,Settings!$E$4:$H$4,0)),"Check"))</f>
        <v/>
      </c>
      <c r="W560">
        <f>IF(V560="","",IF(V560="No","Yes","No"))</f>
        <v/>
      </c>
      <c r="X560">
        <f>IF(OR(E560="",G560=""),"",IF(LOWER(IF(RIGHT(TRIM(E560),1)="/",LEFT(TRIM(E560),LEN(TRIM(E560))-1),TRIM(E560)))&lt;&gt;LOWER(IF(RIGHT(TRIM(G560),1)="/",LEFT(TRIM(G560),LEN(TRIM(G560))-1),TRIM(G560))),"Yes","No"))</f>
        <v/>
      </c>
      <c r="Y560">
        <f>IF(A560="","",(N(Q560)&gt;0)+(T560="Yes")+(U560="Yes")+(W560="Yes")+(X560="Yes"))</f>
        <v/>
      </c>
      <c r="Z560">
        <f>IF(A560="","",IF(G560="","Not mapped",IF(Y560=0,"OK",MID(IF(N(Q560)&gt;0,"; Cannibalisation","")&amp;IF(T560="Yes","; Too many primary keywords on URL","")&amp;IF(U560="Yes","; URL spans 2+ clusters","")&amp;IF(W560="Yes","; Intent mismatch","")&amp;IF(X560="Yes","; Ranking URL is not the target",""),3,300))))</f>
        <v/>
      </c>
      <c r="AA560">
        <f>IF(G560="","",IF(COUNTIF($G$3:G560,SUBSTITUTE(SUBSTITUTE(G560,"?","~?"),"*","~*"))=1,MAX($AA$2:AA559)+1,""))</f>
        <v/>
      </c>
      <c r="AB560">
        <f>IF(B560="","",IF(COUNTIF($B$3:B560,SUBSTITUTE(SUBSTITUTE(B560,"?","~?"),"*","~*"))=1,MAX($AB$2:AB559)+1,""))</f>
        <v/>
      </c>
    </row>
    <row r="561">
      <c r="M561">
        <f>IF(A561="","",LOWER(TRIM(SUBSTITUTE(SUBSTITUTE(A561,"?",""),"*",""))))</f>
        <v/>
      </c>
      <c r="N561">
        <f>IF(M561="","",IF(SUMPRODUCT(ISNUMBER(SEARCH(" "&amp;Settings!$L$5:$L$124&amp;" "," "&amp;M561&amp;" "))*(Settings!$K$5:$K$124="Navigational")*(Settings!$L$5:$L$124&lt;&gt;""))&gt;0,"Navigational",IF(SUMPRODUCT(ISNUMBER(SEARCH(" "&amp;Settings!$L$5:$L$124&amp;" "," "&amp;M561&amp;" "))*(Settings!$K$5:$K$124="Transactional")*(Settings!$L$5:$L$124&lt;&gt;""))&gt;0,"Transactional",IF(SUMPRODUCT(ISNUMBER(SEARCH(" "&amp;Settings!$L$5:$L$124&amp;" "," "&amp;M561&amp;" "))*(Settings!$K$5:$K$124="Commercial")*(Settings!$L$5:$L$124&lt;&gt;""))&gt;0,"Commercial",IF(SUMPRODUCT(ISNUMBER(SEARCH(" "&amp;Settings!$L$5:$L$124&amp;" "," "&amp;M561&amp;" "))*(Settings!$K$5:$K$124="Informational")*(Settings!$L$5:$L$124&lt;&gt;""))&gt;0,"Informational","Unclassified")))))</f>
        <v/>
      </c>
      <c r="O561">
        <f>IF(A561="","",IF(K561&lt;&gt;"",PROPER(K561),N561))</f>
        <v/>
      </c>
      <c r="P561">
        <f>IF(A561="","",ROUND(Settings!$B$5*MIN(1,LOG10(N(C561)+1)/LOG10(Settings!$B$7+1))+Settings!$B$6*(1-MIN(100,IF(D561="",50,N(D561)))/100)+IFERROR(INDEX(Settings!$B$10:$B$14,MATCH(O561,Settings!$A$10:$A$14,0)),0),0))</f>
        <v/>
      </c>
      <c r="Q561">
        <f>IF(OR(A561="",G561=""),"",COUNTIFS($M$3:$M$1002,M561,$G$3:$G$1002,"&lt;&gt;"&amp;SUBSTITUTE(SUBSTITUTE(G561,"?","~?"),"*","~*"),$G$3:$G$1002,"?*"))</f>
        <v/>
      </c>
      <c r="R561">
        <f>IF(Q561="","",IF(Q561&gt;0,"Yes","No"))</f>
        <v/>
      </c>
      <c r="S561">
        <f>IF(G561="","",COUNTIFS($G$3:$G$1002,SUBSTITUTE(SUBSTITUTE(G561,"?","~?"),"*","~*"),$J$3:$J$1002,"Primary"))</f>
        <v/>
      </c>
      <c r="T561">
        <f>IF(S561="","",IF(S561&gt;Settings!$B$4,"Yes","No"))</f>
        <v/>
      </c>
      <c r="U561">
        <f>IF(OR(G561="",B561=""),"",IF(COUNTIFS($G$3:$G$1002,SUBSTITUTE(SUBSTITUTE(G561,"?","~?"),"*","~*"),$B$3:$B$1002,"&lt;&gt;"&amp;SUBSTITUTE(SUBSTITUTE(B561,"?","~?"),"*","~*"),$B$3:$B$1002,"?*")&gt;0,"Yes","No"))</f>
        <v/>
      </c>
      <c r="V561">
        <f>IF(OR(G561="",I561="",O561="",O561="Unclassified"),"",IFERROR(INDEX(Settings!$E$5:$H$16,MATCH(I561,Settings!$D$5:$D$16,0),MATCH(O561,Settings!$E$4:$H$4,0)),"Check"))</f>
        <v/>
      </c>
      <c r="W561">
        <f>IF(V561="","",IF(V561="No","Yes","No"))</f>
        <v/>
      </c>
      <c r="X561">
        <f>IF(OR(E561="",G561=""),"",IF(LOWER(IF(RIGHT(TRIM(E561),1)="/",LEFT(TRIM(E561),LEN(TRIM(E561))-1),TRIM(E561)))&lt;&gt;LOWER(IF(RIGHT(TRIM(G561),1)="/",LEFT(TRIM(G561),LEN(TRIM(G561))-1),TRIM(G561))),"Yes","No"))</f>
        <v/>
      </c>
      <c r="Y561">
        <f>IF(A561="","",(N(Q561)&gt;0)+(T561="Yes")+(U561="Yes")+(W561="Yes")+(X561="Yes"))</f>
        <v/>
      </c>
      <c r="Z561">
        <f>IF(A561="","",IF(G561="","Not mapped",IF(Y561=0,"OK",MID(IF(N(Q561)&gt;0,"; Cannibalisation","")&amp;IF(T561="Yes","; Too many primary keywords on URL","")&amp;IF(U561="Yes","; URL spans 2+ clusters","")&amp;IF(W561="Yes","; Intent mismatch","")&amp;IF(X561="Yes","; Ranking URL is not the target",""),3,300))))</f>
        <v/>
      </c>
      <c r="AA561">
        <f>IF(G561="","",IF(COUNTIF($G$3:G561,SUBSTITUTE(SUBSTITUTE(G561,"?","~?"),"*","~*"))=1,MAX($AA$2:AA560)+1,""))</f>
        <v/>
      </c>
      <c r="AB561">
        <f>IF(B561="","",IF(COUNTIF($B$3:B561,SUBSTITUTE(SUBSTITUTE(B561,"?","~?"),"*","~*"))=1,MAX($AB$2:AB560)+1,""))</f>
        <v/>
      </c>
    </row>
    <row r="562">
      <c r="M562">
        <f>IF(A562="","",LOWER(TRIM(SUBSTITUTE(SUBSTITUTE(A562,"?",""),"*",""))))</f>
        <v/>
      </c>
      <c r="N562">
        <f>IF(M562="","",IF(SUMPRODUCT(ISNUMBER(SEARCH(" "&amp;Settings!$L$5:$L$124&amp;" "," "&amp;M562&amp;" "))*(Settings!$K$5:$K$124="Navigational")*(Settings!$L$5:$L$124&lt;&gt;""))&gt;0,"Navigational",IF(SUMPRODUCT(ISNUMBER(SEARCH(" "&amp;Settings!$L$5:$L$124&amp;" "," "&amp;M562&amp;" "))*(Settings!$K$5:$K$124="Transactional")*(Settings!$L$5:$L$124&lt;&gt;""))&gt;0,"Transactional",IF(SUMPRODUCT(ISNUMBER(SEARCH(" "&amp;Settings!$L$5:$L$124&amp;" "," "&amp;M562&amp;" "))*(Settings!$K$5:$K$124="Commercial")*(Settings!$L$5:$L$124&lt;&gt;""))&gt;0,"Commercial",IF(SUMPRODUCT(ISNUMBER(SEARCH(" "&amp;Settings!$L$5:$L$124&amp;" "," "&amp;M562&amp;" "))*(Settings!$K$5:$K$124="Informational")*(Settings!$L$5:$L$124&lt;&gt;""))&gt;0,"Informational","Unclassified")))))</f>
        <v/>
      </c>
      <c r="O562">
        <f>IF(A562="","",IF(K562&lt;&gt;"",PROPER(K562),N562))</f>
        <v/>
      </c>
      <c r="P562">
        <f>IF(A562="","",ROUND(Settings!$B$5*MIN(1,LOG10(N(C562)+1)/LOG10(Settings!$B$7+1))+Settings!$B$6*(1-MIN(100,IF(D562="",50,N(D562)))/100)+IFERROR(INDEX(Settings!$B$10:$B$14,MATCH(O562,Settings!$A$10:$A$14,0)),0),0))</f>
        <v/>
      </c>
      <c r="Q562">
        <f>IF(OR(A562="",G562=""),"",COUNTIFS($M$3:$M$1002,M562,$G$3:$G$1002,"&lt;&gt;"&amp;SUBSTITUTE(SUBSTITUTE(G562,"?","~?"),"*","~*"),$G$3:$G$1002,"?*"))</f>
        <v/>
      </c>
      <c r="R562">
        <f>IF(Q562="","",IF(Q562&gt;0,"Yes","No"))</f>
        <v/>
      </c>
      <c r="S562">
        <f>IF(G562="","",COUNTIFS($G$3:$G$1002,SUBSTITUTE(SUBSTITUTE(G562,"?","~?"),"*","~*"),$J$3:$J$1002,"Primary"))</f>
        <v/>
      </c>
      <c r="T562">
        <f>IF(S562="","",IF(S562&gt;Settings!$B$4,"Yes","No"))</f>
        <v/>
      </c>
      <c r="U562">
        <f>IF(OR(G562="",B562=""),"",IF(COUNTIFS($G$3:$G$1002,SUBSTITUTE(SUBSTITUTE(G562,"?","~?"),"*","~*"),$B$3:$B$1002,"&lt;&gt;"&amp;SUBSTITUTE(SUBSTITUTE(B562,"?","~?"),"*","~*"),$B$3:$B$1002,"?*")&gt;0,"Yes","No"))</f>
        <v/>
      </c>
      <c r="V562">
        <f>IF(OR(G562="",I562="",O562="",O562="Unclassified"),"",IFERROR(INDEX(Settings!$E$5:$H$16,MATCH(I562,Settings!$D$5:$D$16,0),MATCH(O562,Settings!$E$4:$H$4,0)),"Check"))</f>
        <v/>
      </c>
      <c r="W562">
        <f>IF(V562="","",IF(V562="No","Yes","No"))</f>
        <v/>
      </c>
      <c r="X562">
        <f>IF(OR(E562="",G562=""),"",IF(LOWER(IF(RIGHT(TRIM(E562),1)="/",LEFT(TRIM(E562),LEN(TRIM(E562))-1),TRIM(E562)))&lt;&gt;LOWER(IF(RIGHT(TRIM(G562),1)="/",LEFT(TRIM(G562),LEN(TRIM(G562))-1),TRIM(G562))),"Yes","No"))</f>
        <v/>
      </c>
      <c r="Y562">
        <f>IF(A562="","",(N(Q562)&gt;0)+(T562="Yes")+(U562="Yes")+(W562="Yes")+(X562="Yes"))</f>
        <v/>
      </c>
      <c r="Z562">
        <f>IF(A562="","",IF(G562="","Not mapped",IF(Y562=0,"OK",MID(IF(N(Q562)&gt;0,"; Cannibalisation","")&amp;IF(T562="Yes","; Too many primary keywords on URL","")&amp;IF(U562="Yes","; URL spans 2+ clusters","")&amp;IF(W562="Yes","; Intent mismatch","")&amp;IF(X562="Yes","; Ranking URL is not the target",""),3,300))))</f>
        <v/>
      </c>
      <c r="AA562">
        <f>IF(G562="","",IF(COUNTIF($G$3:G562,SUBSTITUTE(SUBSTITUTE(G562,"?","~?"),"*","~*"))=1,MAX($AA$2:AA561)+1,""))</f>
        <v/>
      </c>
      <c r="AB562">
        <f>IF(B562="","",IF(COUNTIF($B$3:B562,SUBSTITUTE(SUBSTITUTE(B562,"?","~?"),"*","~*"))=1,MAX($AB$2:AB561)+1,""))</f>
        <v/>
      </c>
    </row>
    <row r="563">
      <c r="M563">
        <f>IF(A563="","",LOWER(TRIM(SUBSTITUTE(SUBSTITUTE(A563,"?",""),"*",""))))</f>
        <v/>
      </c>
      <c r="N563">
        <f>IF(M563="","",IF(SUMPRODUCT(ISNUMBER(SEARCH(" "&amp;Settings!$L$5:$L$124&amp;" "," "&amp;M563&amp;" "))*(Settings!$K$5:$K$124="Navigational")*(Settings!$L$5:$L$124&lt;&gt;""))&gt;0,"Navigational",IF(SUMPRODUCT(ISNUMBER(SEARCH(" "&amp;Settings!$L$5:$L$124&amp;" "," "&amp;M563&amp;" "))*(Settings!$K$5:$K$124="Transactional")*(Settings!$L$5:$L$124&lt;&gt;""))&gt;0,"Transactional",IF(SUMPRODUCT(ISNUMBER(SEARCH(" "&amp;Settings!$L$5:$L$124&amp;" "," "&amp;M563&amp;" "))*(Settings!$K$5:$K$124="Commercial")*(Settings!$L$5:$L$124&lt;&gt;""))&gt;0,"Commercial",IF(SUMPRODUCT(ISNUMBER(SEARCH(" "&amp;Settings!$L$5:$L$124&amp;" "," "&amp;M563&amp;" "))*(Settings!$K$5:$K$124="Informational")*(Settings!$L$5:$L$124&lt;&gt;""))&gt;0,"Informational","Unclassified")))))</f>
        <v/>
      </c>
      <c r="O563">
        <f>IF(A563="","",IF(K563&lt;&gt;"",PROPER(K563),N563))</f>
        <v/>
      </c>
      <c r="P563">
        <f>IF(A563="","",ROUND(Settings!$B$5*MIN(1,LOG10(N(C563)+1)/LOG10(Settings!$B$7+1))+Settings!$B$6*(1-MIN(100,IF(D563="",50,N(D563)))/100)+IFERROR(INDEX(Settings!$B$10:$B$14,MATCH(O563,Settings!$A$10:$A$14,0)),0),0))</f>
        <v/>
      </c>
      <c r="Q563">
        <f>IF(OR(A563="",G563=""),"",COUNTIFS($M$3:$M$1002,M563,$G$3:$G$1002,"&lt;&gt;"&amp;SUBSTITUTE(SUBSTITUTE(G563,"?","~?"),"*","~*"),$G$3:$G$1002,"?*"))</f>
        <v/>
      </c>
      <c r="R563">
        <f>IF(Q563="","",IF(Q563&gt;0,"Yes","No"))</f>
        <v/>
      </c>
      <c r="S563">
        <f>IF(G563="","",COUNTIFS($G$3:$G$1002,SUBSTITUTE(SUBSTITUTE(G563,"?","~?"),"*","~*"),$J$3:$J$1002,"Primary"))</f>
        <v/>
      </c>
      <c r="T563">
        <f>IF(S563="","",IF(S563&gt;Settings!$B$4,"Yes","No"))</f>
        <v/>
      </c>
      <c r="U563">
        <f>IF(OR(G563="",B563=""),"",IF(COUNTIFS($G$3:$G$1002,SUBSTITUTE(SUBSTITUTE(G563,"?","~?"),"*","~*"),$B$3:$B$1002,"&lt;&gt;"&amp;SUBSTITUTE(SUBSTITUTE(B563,"?","~?"),"*","~*"),$B$3:$B$1002,"?*")&gt;0,"Yes","No"))</f>
        <v/>
      </c>
      <c r="V563">
        <f>IF(OR(G563="",I563="",O563="",O563="Unclassified"),"",IFERROR(INDEX(Settings!$E$5:$H$16,MATCH(I563,Settings!$D$5:$D$16,0),MATCH(O563,Settings!$E$4:$H$4,0)),"Check"))</f>
        <v/>
      </c>
      <c r="W563">
        <f>IF(V563="","",IF(V563="No","Yes","No"))</f>
        <v/>
      </c>
      <c r="X563">
        <f>IF(OR(E563="",G563=""),"",IF(LOWER(IF(RIGHT(TRIM(E563),1)="/",LEFT(TRIM(E563),LEN(TRIM(E563))-1),TRIM(E563)))&lt;&gt;LOWER(IF(RIGHT(TRIM(G563),1)="/",LEFT(TRIM(G563),LEN(TRIM(G563))-1),TRIM(G563))),"Yes","No"))</f>
        <v/>
      </c>
      <c r="Y563">
        <f>IF(A563="","",(N(Q563)&gt;0)+(T563="Yes")+(U563="Yes")+(W563="Yes")+(X563="Yes"))</f>
        <v/>
      </c>
      <c r="Z563">
        <f>IF(A563="","",IF(G563="","Not mapped",IF(Y563=0,"OK",MID(IF(N(Q563)&gt;0,"; Cannibalisation","")&amp;IF(T563="Yes","; Too many primary keywords on URL","")&amp;IF(U563="Yes","; URL spans 2+ clusters","")&amp;IF(W563="Yes","; Intent mismatch","")&amp;IF(X563="Yes","; Ranking URL is not the target",""),3,300))))</f>
        <v/>
      </c>
      <c r="AA563">
        <f>IF(G563="","",IF(COUNTIF($G$3:G563,SUBSTITUTE(SUBSTITUTE(G563,"?","~?"),"*","~*"))=1,MAX($AA$2:AA562)+1,""))</f>
        <v/>
      </c>
      <c r="AB563">
        <f>IF(B563="","",IF(COUNTIF($B$3:B563,SUBSTITUTE(SUBSTITUTE(B563,"?","~?"),"*","~*"))=1,MAX($AB$2:AB562)+1,""))</f>
        <v/>
      </c>
    </row>
    <row r="564">
      <c r="M564">
        <f>IF(A564="","",LOWER(TRIM(SUBSTITUTE(SUBSTITUTE(A564,"?",""),"*",""))))</f>
        <v/>
      </c>
      <c r="N564">
        <f>IF(M564="","",IF(SUMPRODUCT(ISNUMBER(SEARCH(" "&amp;Settings!$L$5:$L$124&amp;" "," "&amp;M564&amp;" "))*(Settings!$K$5:$K$124="Navigational")*(Settings!$L$5:$L$124&lt;&gt;""))&gt;0,"Navigational",IF(SUMPRODUCT(ISNUMBER(SEARCH(" "&amp;Settings!$L$5:$L$124&amp;" "," "&amp;M564&amp;" "))*(Settings!$K$5:$K$124="Transactional")*(Settings!$L$5:$L$124&lt;&gt;""))&gt;0,"Transactional",IF(SUMPRODUCT(ISNUMBER(SEARCH(" "&amp;Settings!$L$5:$L$124&amp;" "," "&amp;M564&amp;" "))*(Settings!$K$5:$K$124="Commercial")*(Settings!$L$5:$L$124&lt;&gt;""))&gt;0,"Commercial",IF(SUMPRODUCT(ISNUMBER(SEARCH(" "&amp;Settings!$L$5:$L$124&amp;" "," "&amp;M564&amp;" "))*(Settings!$K$5:$K$124="Informational")*(Settings!$L$5:$L$124&lt;&gt;""))&gt;0,"Informational","Unclassified")))))</f>
        <v/>
      </c>
      <c r="O564">
        <f>IF(A564="","",IF(K564&lt;&gt;"",PROPER(K564),N564))</f>
        <v/>
      </c>
      <c r="P564">
        <f>IF(A564="","",ROUND(Settings!$B$5*MIN(1,LOG10(N(C564)+1)/LOG10(Settings!$B$7+1))+Settings!$B$6*(1-MIN(100,IF(D564="",50,N(D564)))/100)+IFERROR(INDEX(Settings!$B$10:$B$14,MATCH(O564,Settings!$A$10:$A$14,0)),0),0))</f>
        <v/>
      </c>
      <c r="Q564">
        <f>IF(OR(A564="",G564=""),"",COUNTIFS($M$3:$M$1002,M564,$G$3:$G$1002,"&lt;&gt;"&amp;SUBSTITUTE(SUBSTITUTE(G564,"?","~?"),"*","~*"),$G$3:$G$1002,"?*"))</f>
        <v/>
      </c>
      <c r="R564">
        <f>IF(Q564="","",IF(Q564&gt;0,"Yes","No"))</f>
        <v/>
      </c>
      <c r="S564">
        <f>IF(G564="","",COUNTIFS($G$3:$G$1002,SUBSTITUTE(SUBSTITUTE(G564,"?","~?"),"*","~*"),$J$3:$J$1002,"Primary"))</f>
        <v/>
      </c>
      <c r="T564">
        <f>IF(S564="","",IF(S564&gt;Settings!$B$4,"Yes","No"))</f>
        <v/>
      </c>
      <c r="U564">
        <f>IF(OR(G564="",B564=""),"",IF(COUNTIFS($G$3:$G$1002,SUBSTITUTE(SUBSTITUTE(G564,"?","~?"),"*","~*"),$B$3:$B$1002,"&lt;&gt;"&amp;SUBSTITUTE(SUBSTITUTE(B564,"?","~?"),"*","~*"),$B$3:$B$1002,"?*")&gt;0,"Yes","No"))</f>
        <v/>
      </c>
      <c r="V564">
        <f>IF(OR(G564="",I564="",O564="",O564="Unclassified"),"",IFERROR(INDEX(Settings!$E$5:$H$16,MATCH(I564,Settings!$D$5:$D$16,0),MATCH(O564,Settings!$E$4:$H$4,0)),"Check"))</f>
        <v/>
      </c>
      <c r="W564">
        <f>IF(V564="","",IF(V564="No","Yes","No"))</f>
        <v/>
      </c>
      <c r="X564">
        <f>IF(OR(E564="",G564=""),"",IF(LOWER(IF(RIGHT(TRIM(E564),1)="/",LEFT(TRIM(E564),LEN(TRIM(E564))-1),TRIM(E564)))&lt;&gt;LOWER(IF(RIGHT(TRIM(G564),1)="/",LEFT(TRIM(G564),LEN(TRIM(G564))-1),TRIM(G564))),"Yes","No"))</f>
        <v/>
      </c>
      <c r="Y564">
        <f>IF(A564="","",(N(Q564)&gt;0)+(T564="Yes")+(U564="Yes")+(W564="Yes")+(X564="Yes"))</f>
        <v/>
      </c>
      <c r="Z564">
        <f>IF(A564="","",IF(G564="","Not mapped",IF(Y564=0,"OK",MID(IF(N(Q564)&gt;0,"; Cannibalisation","")&amp;IF(T564="Yes","; Too many primary keywords on URL","")&amp;IF(U564="Yes","; URL spans 2+ clusters","")&amp;IF(W564="Yes","; Intent mismatch","")&amp;IF(X564="Yes","; Ranking URL is not the target",""),3,300))))</f>
        <v/>
      </c>
      <c r="AA564">
        <f>IF(G564="","",IF(COUNTIF($G$3:G564,SUBSTITUTE(SUBSTITUTE(G564,"?","~?"),"*","~*"))=1,MAX($AA$2:AA563)+1,""))</f>
        <v/>
      </c>
      <c r="AB564">
        <f>IF(B564="","",IF(COUNTIF($B$3:B564,SUBSTITUTE(SUBSTITUTE(B564,"?","~?"),"*","~*"))=1,MAX($AB$2:AB563)+1,""))</f>
        <v/>
      </c>
    </row>
    <row r="565">
      <c r="M565">
        <f>IF(A565="","",LOWER(TRIM(SUBSTITUTE(SUBSTITUTE(A565,"?",""),"*",""))))</f>
        <v/>
      </c>
      <c r="N565">
        <f>IF(M565="","",IF(SUMPRODUCT(ISNUMBER(SEARCH(" "&amp;Settings!$L$5:$L$124&amp;" "," "&amp;M565&amp;" "))*(Settings!$K$5:$K$124="Navigational")*(Settings!$L$5:$L$124&lt;&gt;""))&gt;0,"Navigational",IF(SUMPRODUCT(ISNUMBER(SEARCH(" "&amp;Settings!$L$5:$L$124&amp;" "," "&amp;M565&amp;" "))*(Settings!$K$5:$K$124="Transactional")*(Settings!$L$5:$L$124&lt;&gt;""))&gt;0,"Transactional",IF(SUMPRODUCT(ISNUMBER(SEARCH(" "&amp;Settings!$L$5:$L$124&amp;" "," "&amp;M565&amp;" "))*(Settings!$K$5:$K$124="Commercial")*(Settings!$L$5:$L$124&lt;&gt;""))&gt;0,"Commercial",IF(SUMPRODUCT(ISNUMBER(SEARCH(" "&amp;Settings!$L$5:$L$124&amp;" "," "&amp;M565&amp;" "))*(Settings!$K$5:$K$124="Informational")*(Settings!$L$5:$L$124&lt;&gt;""))&gt;0,"Informational","Unclassified")))))</f>
        <v/>
      </c>
      <c r="O565">
        <f>IF(A565="","",IF(K565&lt;&gt;"",PROPER(K565),N565))</f>
        <v/>
      </c>
      <c r="P565">
        <f>IF(A565="","",ROUND(Settings!$B$5*MIN(1,LOG10(N(C565)+1)/LOG10(Settings!$B$7+1))+Settings!$B$6*(1-MIN(100,IF(D565="",50,N(D565)))/100)+IFERROR(INDEX(Settings!$B$10:$B$14,MATCH(O565,Settings!$A$10:$A$14,0)),0),0))</f>
        <v/>
      </c>
      <c r="Q565">
        <f>IF(OR(A565="",G565=""),"",COUNTIFS($M$3:$M$1002,M565,$G$3:$G$1002,"&lt;&gt;"&amp;SUBSTITUTE(SUBSTITUTE(G565,"?","~?"),"*","~*"),$G$3:$G$1002,"?*"))</f>
        <v/>
      </c>
      <c r="R565">
        <f>IF(Q565="","",IF(Q565&gt;0,"Yes","No"))</f>
        <v/>
      </c>
      <c r="S565">
        <f>IF(G565="","",COUNTIFS($G$3:$G$1002,SUBSTITUTE(SUBSTITUTE(G565,"?","~?"),"*","~*"),$J$3:$J$1002,"Primary"))</f>
        <v/>
      </c>
      <c r="T565">
        <f>IF(S565="","",IF(S565&gt;Settings!$B$4,"Yes","No"))</f>
        <v/>
      </c>
      <c r="U565">
        <f>IF(OR(G565="",B565=""),"",IF(COUNTIFS($G$3:$G$1002,SUBSTITUTE(SUBSTITUTE(G565,"?","~?"),"*","~*"),$B$3:$B$1002,"&lt;&gt;"&amp;SUBSTITUTE(SUBSTITUTE(B565,"?","~?"),"*","~*"),$B$3:$B$1002,"?*")&gt;0,"Yes","No"))</f>
        <v/>
      </c>
      <c r="V565">
        <f>IF(OR(G565="",I565="",O565="",O565="Unclassified"),"",IFERROR(INDEX(Settings!$E$5:$H$16,MATCH(I565,Settings!$D$5:$D$16,0),MATCH(O565,Settings!$E$4:$H$4,0)),"Check"))</f>
        <v/>
      </c>
      <c r="W565">
        <f>IF(V565="","",IF(V565="No","Yes","No"))</f>
        <v/>
      </c>
      <c r="X565">
        <f>IF(OR(E565="",G565=""),"",IF(LOWER(IF(RIGHT(TRIM(E565),1)="/",LEFT(TRIM(E565),LEN(TRIM(E565))-1),TRIM(E565)))&lt;&gt;LOWER(IF(RIGHT(TRIM(G565),1)="/",LEFT(TRIM(G565),LEN(TRIM(G565))-1),TRIM(G565))),"Yes","No"))</f>
        <v/>
      </c>
      <c r="Y565">
        <f>IF(A565="","",(N(Q565)&gt;0)+(T565="Yes")+(U565="Yes")+(W565="Yes")+(X565="Yes"))</f>
        <v/>
      </c>
      <c r="Z565">
        <f>IF(A565="","",IF(G565="","Not mapped",IF(Y565=0,"OK",MID(IF(N(Q565)&gt;0,"; Cannibalisation","")&amp;IF(T565="Yes","; Too many primary keywords on URL","")&amp;IF(U565="Yes","; URL spans 2+ clusters","")&amp;IF(W565="Yes","; Intent mismatch","")&amp;IF(X565="Yes","; Ranking URL is not the target",""),3,300))))</f>
        <v/>
      </c>
      <c r="AA565">
        <f>IF(G565="","",IF(COUNTIF($G$3:G565,SUBSTITUTE(SUBSTITUTE(G565,"?","~?"),"*","~*"))=1,MAX($AA$2:AA564)+1,""))</f>
        <v/>
      </c>
      <c r="AB565">
        <f>IF(B565="","",IF(COUNTIF($B$3:B565,SUBSTITUTE(SUBSTITUTE(B565,"?","~?"),"*","~*"))=1,MAX($AB$2:AB564)+1,""))</f>
        <v/>
      </c>
    </row>
    <row r="566">
      <c r="M566">
        <f>IF(A566="","",LOWER(TRIM(SUBSTITUTE(SUBSTITUTE(A566,"?",""),"*",""))))</f>
        <v/>
      </c>
      <c r="N566">
        <f>IF(M566="","",IF(SUMPRODUCT(ISNUMBER(SEARCH(" "&amp;Settings!$L$5:$L$124&amp;" "," "&amp;M566&amp;" "))*(Settings!$K$5:$K$124="Navigational")*(Settings!$L$5:$L$124&lt;&gt;""))&gt;0,"Navigational",IF(SUMPRODUCT(ISNUMBER(SEARCH(" "&amp;Settings!$L$5:$L$124&amp;" "," "&amp;M566&amp;" "))*(Settings!$K$5:$K$124="Transactional")*(Settings!$L$5:$L$124&lt;&gt;""))&gt;0,"Transactional",IF(SUMPRODUCT(ISNUMBER(SEARCH(" "&amp;Settings!$L$5:$L$124&amp;" "," "&amp;M566&amp;" "))*(Settings!$K$5:$K$124="Commercial")*(Settings!$L$5:$L$124&lt;&gt;""))&gt;0,"Commercial",IF(SUMPRODUCT(ISNUMBER(SEARCH(" "&amp;Settings!$L$5:$L$124&amp;" "," "&amp;M566&amp;" "))*(Settings!$K$5:$K$124="Informational")*(Settings!$L$5:$L$124&lt;&gt;""))&gt;0,"Informational","Unclassified")))))</f>
        <v/>
      </c>
      <c r="O566">
        <f>IF(A566="","",IF(K566&lt;&gt;"",PROPER(K566),N566))</f>
        <v/>
      </c>
      <c r="P566">
        <f>IF(A566="","",ROUND(Settings!$B$5*MIN(1,LOG10(N(C566)+1)/LOG10(Settings!$B$7+1))+Settings!$B$6*(1-MIN(100,IF(D566="",50,N(D566)))/100)+IFERROR(INDEX(Settings!$B$10:$B$14,MATCH(O566,Settings!$A$10:$A$14,0)),0),0))</f>
        <v/>
      </c>
      <c r="Q566">
        <f>IF(OR(A566="",G566=""),"",COUNTIFS($M$3:$M$1002,M566,$G$3:$G$1002,"&lt;&gt;"&amp;SUBSTITUTE(SUBSTITUTE(G566,"?","~?"),"*","~*"),$G$3:$G$1002,"?*"))</f>
        <v/>
      </c>
      <c r="R566">
        <f>IF(Q566="","",IF(Q566&gt;0,"Yes","No"))</f>
        <v/>
      </c>
      <c r="S566">
        <f>IF(G566="","",COUNTIFS($G$3:$G$1002,SUBSTITUTE(SUBSTITUTE(G566,"?","~?"),"*","~*"),$J$3:$J$1002,"Primary"))</f>
        <v/>
      </c>
      <c r="T566">
        <f>IF(S566="","",IF(S566&gt;Settings!$B$4,"Yes","No"))</f>
        <v/>
      </c>
      <c r="U566">
        <f>IF(OR(G566="",B566=""),"",IF(COUNTIFS($G$3:$G$1002,SUBSTITUTE(SUBSTITUTE(G566,"?","~?"),"*","~*"),$B$3:$B$1002,"&lt;&gt;"&amp;SUBSTITUTE(SUBSTITUTE(B566,"?","~?"),"*","~*"),$B$3:$B$1002,"?*")&gt;0,"Yes","No"))</f>
        <v/>
      </c>
      <c r="V566">
        <f>IF(OR(G566="",I566="",O566="",O566="Unclassified"),"",IFERROR(INDEX(Settings!$E$5:$H$16,MATCH(I566,Settings!$D$5:$D$16,0),MATCH(O566,Settings!$E$4:$H$4,0)),"Check"))</f>
        <v/>
      </c>
      <c r="W566">
        <f>IF(V566="","",IF(V566="No","Yes","No"))</f>
        <v/>
      </c>
      <c r="X566">
        <f>IF(OR(E566="",G566=""),"",IF(LOWER(IF(RIGHT(TRIM(E566),1)="/",LEFT(TRIM(E566),LEN(TRIM(E566))-1),TRIM(E566)))&lt;&gt;LOWER(IF(RIGHT(TRIM(G566),1)="/",LEFT(TRIM(G566),LEN(TRIM(G566))-1),TRIM(G566))),"Yes","No"))</f>
        <v/>
      </c>
      <c r="Y566">
        <f>IF(A566="","",(N(Q566)&gt;0)+(T566="Yes")+(U566="Yes")+(W566="Yes")+(X566="Yes"))</f>
        <v/>
      </c>
      <c r="Z566">
        <f>IF(A566="","",IF(G566="","Not mapped",IF(Y566=0,"OK",MID(IF(N(Q566)&gt;0,"; Cannibalisation","")&amp;IF(T566="Yes","; Too many primary keywords on URL","")&amp;IF(U566="Yes","; URL spans 2+ clusters","")&amp;IF(W566="Yes","; Intent mismatch","")&amp;IF(X566="Yes","; Ranking URL is not the target",""),3,300))))</f>
        <v/>
      </c>
      <c r="AA566">
        <f>IF(G566="","",IF(COUNTIF($G$3:G566,SUBSTITUTE(SUBSTITUTE(G566,"?","~?"),"*","~*"))=1,MAX($AA$2:AA565)+1,""))</f>
        <v/>
      </c>
      <c r="AB566">
        <f>IF(B566="","",IF(COUNTIF($B$3:B566,SUBSTITUTE(SUBSTITUTE(B566,"?","~?"),"*","~*"))=1,MAX($AB$2:AB565)+1,""))</f>
        <v/>
      </c>
    </row>
    <row r="567">
      <c r="M567">
        <f>IF(A567="","",LOWER(TRIM(SUBSTITUTE(SUBSTITUTE(A567,"?",""),"*",""))))</f>
        <v/>
      </c>
      <c r="N567">
        <f>IF(M567="","",IF(SUMPRODUCT(ISNUMBER(SEARCH(" "&amp;Settings!$L$5:$L$124&amp;" "," "&amp;M567&amp;" "))*(Settings!$K$5:$K$124="Navigational")*(Settings!$L$5:$L$124&lt;&gt;""))&gt;0,"Navigational",IF(SUMPRODUCT(ISNUMBER(SEARCH(" "&amp;Settings!$L$5:$L$124&amp;" "," "&amp;M567&amp;" "))*(Settings!$K$5:$K$124="Transactional")*(Settings!$L$5:$L$124&lt;&gt;""))&gt;0,"Transactional",IF(SUMPRODUCT(ISNUMBER(SEARCH(" "&amp;Settings!$L$5:$L$124&amp;" "," "&amp;M567&amp;" "))*(Settings!$K$5:$K$124="Commercial")*(Settings!$L$5:$L$124&lt;&gt;""))&gt;0,"Commercial",IF(SUMPRODUCT(ISNUMBER(SEARCH(" "&amp;Settings!$L$5:$L$124&amp;" "," "&amp;M567&amp;" "))*(Settings!$K$5:$K$124="Informational")*(Settings!$L$5:$L$124&lt;&gt;""))&gt;0,"Informational","Unclassified")))))</f>
        <v/>
      </c>
      <c r="O567">
        <f>IF(A567="","",IF(K567&lt;&gt;"",PROPER(K567),N567))</f>
        <v/>
      </c>
      <c r="P567">
        <f>IF(A567="","",ROUND(Settings!$B$5*MIN(1,LOG10(N(C567)+1)/LOG10(Settings!$B$7+1))+Settings!$B$6*(1-MIN(100,IF(D567="",50,N(D567)))/100)+IFERROR(INDEX(Settings!$B$10:$B$14,MATCH(O567,Settings!$A$10:$A$14,0)),0),0))</f>
        <v/>
      </c>
      <c r="Q567">
        <f>IF(OR(A567="",G567=""),"",COUNTIFS($M$3:$M$1002,M567,$G$3:$G$1002,"&lt;&gt;"&amp;SUBSTITUTE(SUBSTITUTE(G567,"?","~?"),"*","~*"),$G$3:$G$1002,"?*"))</f>
        <v/>
      </c>
      <c r="R567">
        <f>IF(Q567="","",IF(Q567&gt;0,"Yes","No"))</f>
        <v/>
      </c>
      <c r="S567">
        <f>IF(G567="","",COUNTIFS($G$3:$G$1002,SUBSTITUTE(SUBSTITUTE(G567,"?","~?"),"*","~*"),$J$3:$J$1002,"Primary"))</f>
        <v/>
      </c>
      <c r="T567">
        <f>IF(S567="","",IF(S567&gt;Settings!$B$4,"Yes","No"))</f>
        <v/>
      </c>
      <c r="U567">
        <f>IF(OR(G567="",B567=""),"",IF(COUNTIFS($G$3:$G$1002,SUBSTITUTE(SUBSTITUTE(G567,"?","~?"),"*","~*"),$B$3:$B$1002,"&lt;&gt;"&amp;SUBSTITUTE(SUBSTITUTE(B567,"?","~?"),"*","~*"),$B$3:$B$1002,"?*")&gt;0,"Yes","No"))</f>
        <v/>
      </c>
      <c r="V567">
        <f>IF(OR(G567="",I567="",O567="",O567="Unclassified"),"",IFERROR(INDEX(Settings!$E$5:$H$16,MATCH(I567,Settings!$D$5:$D$16,0),MATCH(O567,Settings!$E$4:$H$4,0)),"Check"))</f>
        <v/>
      </c>
      <c r="W567">
        <f>IF(V567="","",IF(V567="No","Yes","No"))</f>
        <v/>
      </c>
      <c r="X567">
        <f>IF(OR(E567="",G567=""),"",IF(LOWER(IF(RIGHT(TRIM(E567),1)="/",LEFT(TRIM(E567),LEN(TRIM(E567))-1),TRIM(E567)))&lt;&gt;LOWER(IF(RIGHT(TRIM(G567),1)="/",LEFT(TRIM(G567),LEN(TRIM(G567))-1),TRIM(G567))),"Yes","No"))</f>
        <v/>
      </c>
      <c r="Y567">
        <f>IF(A567="","",(N(Q567)&gt;0)+(T567="Yes")+(U567="Yes")+(W567="Yes")+(X567="Yes"))</f>
        <v/>
      </c>
      <c r="Z567">
        <f>IF(A567="","",IF(G567="","Not mapped",IF(Y567=0,"OK",MID(IF(N(Q567)&gt;0,"; Cannibalisation","")&amp;IF(T567="Yes","; Too many primary keywords on URL","")&amp;IF(U567="Yes","; URL spans 2+ clusters","")&amp;IF(W567="Yes","; Intent mismatch","")&amp;IF(X567="Yes","; Ranking URL is not the target",""),3,300))))</f>
        <v/>
      </c>
      <c r="AA567">
        <f>IF(G567="","",IF(COUNTIF($G$3:G567,SUBSTITUTE(SUBSTITUTE(G567,"?","~?"),"*","~*"))=1,MAX($AA$2:AA566)+1,""))</f>
        <v/>
      </c>
      <c r="AB567">
        <f>IF(B567="","",IF(COUNTIF($B$3:B567,SUBSTITUTE(SUBSTITUTE(B567,"?","~?"),"*","~*"))=1,MAX($AB$2:AB566)+1,""))</f>
        <v/>
      </c>
    </row>
    <row r="568">
      <c r="M568">
        <f>IF(A568="","",LOWER(TRIM(SUBSTITUTE(SUBSTITUTE(A568,"?",""),"*",""))))</f>
        <v/>
      </c>
      <c r="N568">
        <f>IF(M568="","",IF(SUMPRODUCT(ISNUMBER(SEARCH(" "&amp;Settings!$L$5:$L$124&amp;" "," "&amp;M568&amp;" "))*(Settings!$K$5:$K$124="Navigational")*(Settings!$L$5:$L$124&lt;&gt;""))&gt;0,"Navigational",IF(SUMPRODUCT(ISNUMBER(SEARCH(" "&amp;Settings!$L$5:$L$124&amp;" "," "&amp;M568&amp;" "))*(Settings!$K$5:$K$124="Transactional")*(Settings!$L$5:$L$124&lt;&gt;""))&gt;0,"Transactional",IF(SUMPRODUCT(ISNUMBER(SEARCH(" "&amp;Settings!$L$5:$L$124&amp;" "," "&amp;M568&amp;" "))*(Settings!$K$5:$K$124="Commercial")*(Settings!$L$5:$L$124&lt;&gt;""))&gt;0,"Commercial",IF(SUMPRODUCT(ISNUMBER(SEARCH(" "&amp;Settings!$L$5:$L$124&amp;" "," "&amp;M568&amp;" "))*(Settings!$K$5:$K$124="Informational")*(Settings!$L$5:$L$124&lt;&gt;""))&gt;0,"Informational","Unclassified")))))</f>
        <v/>
      </c>
      <c r="O568">
        <f>IF(A568="","",IF(K568&lt;&gt;"",PROPER(K568),N568))</f>
        <v/>
      </c>
      <c r="P568">
        <f>IF(A568="","",ROUND(Settings!$B$5*MIN(1,LOG10(N(C568)+1)/LOG10(Settings!$B$7+1))+Settings!$B$6*(1-MIN(100,IF(D568="",50,N(D568)))/100)+IFERROR(INDEX(Settings!$B$10:$B$14,MATCH(O568,Settings!$A$10:$A$14,0)),0),0))</f>
        <v/>
      </c>
      <c r="Q568">
        <f>IF(OR(A568="",G568=""),"",COUNTIFS($M$3:$M$1002,M568,$G$3:$G$1002,"&lt;&gt;"&amp;SUBSTITUTE(SUBSTITUTE(G568,"?","~?"),"*","~*"),$G$3:$G$1002,"?*"))</f>
        <v/>
      </c>
      <c r="R568">
        <f>IF(Q568="","",IF(Q568&gt;0,"Yes","No"))</f>
        <v/>
      </c>
      <c r="S568">
        <f>IF(G568="","",COUNTIFS($G$3:$G$1002,SUBSTITUTE(SUBSTITUTE(G568,"?","~?"),"*","~*"),$J$3:$J$1002,"Primary"))</f>
        <v/>
      </c>
      <c r="T568">
        <f>IF(S568="","",IF(S568&gt;Settings!$B$4,"Yes","No"))</f>
        <v/>
      </c>
      <c r="U568">
        <f>IF(OR(G568="",B568=""),"",IF(COUNTIFS($G$3:$G$1002,SUBSTITUTE(SUBSTITUTE(G568,"?","~?"),"*","~*"),$B$3:$B$1002,"&lt;&gt;"&amp;SUBSTITUTE(SUBSTITUTE(B568,"?","~?"),"*","~*"),$B$3:$B$1002,"?*")&gt;0,"Yes","No"))</f>
        <v/>
      </c>
      <c r="V568">
        <f>IF(OR(G568="",I568="",O568="",O568="Unclassified"),"",IFERROR(INDEX(Settings!$E$5:$H$16,MATCH(I568,Settings!$D$5:$D$16,0),MATCH(O568,Settings!$E$4:$H$4,0)),"Check"))</f>
        <v/>
      </c>
      <c r="W568">
        <f>IF(V568="","",IF(V568="No","Yes","No"))</f>
        <v/>
      </c>
      <c r="X568">
        <f>IF(OR(E568="",G568=""),"",IF(LOWER(IF(RIGHT(TRIM(E568),1)="/",LEFT(TRIM(E568),LEN(TRIM(E568))-1),TRIM(E568)))&lt;&gt;LOWER(IF(RIGHT(TRIM(G568),1)="/",LEFT(TRIM(G568),LEN(TRIM(G568))-1),TRIM(G568))),"Yes","No"))</f>
        <v/>
      </c>
      <c r="Y568">
        <f>IF(A568="","",(N(Q568)&gt;0)+(T568="Yes")+(U568="Yes")+(W568="Yes")+(X568="Yes"))</f>
        <v/>
      </c>
      <c r="Z568">
        <f>IF(A568="","",IF(G568="","Not mapped",IF(Y568=0,"OK",MID(IF(N(Q568)&gt;0,"; Cannibalisation","")&amp;IF(T568="Yes","; Too many primary keywords on URL","")&amp;IF(U568="Yes","; URL spans 2+ clusters","")&amp;IF(W568="Yes","; Intent mismatch","")&amp;IF(X568="Yes","; Ranking URL is not the target",""),3,300))))</f>
        <v/>
      </c>
      <c r="AA568">
        <f>IF(G568="","",IF(COUNTIF($G$3:G568,SUBSTITUTE(SUBSTITUTE(G568,"?","~?"),"*","~*"))=1,MAX($AA$2:AA567)+1,""))</f>
        <v/>
      </c>
      <c r="AB568">
        <f>IF(B568="","",IF(COUNTIF($B$3:B568,SUBSTITUTE(SUBSTITUTE(B568,"?","~?"),"*","~*"))=1,MAX($AB$2:AB567)+1,""))</f>
        <v/>
      </c>
    </row>
    <row r="569">
      <c r="M569">
        <f>IF(A569="","",LOWER(TRIM(SUBSTITUTE(SUBSTITUTE(A569,"?",""),"*",""))))</f>
        <v/>
      </c>
      <c r="N569">
        <f>IF(M569="","",IF(SUMPRODUCT(ISNUMBER(SEARCH(" "&amp;Settings!$L$5:$L$124&amp;" "," "&amp;M569&amp;" "))*(Settings!$K$5:$K$124="Navigational")*(Settings!$L$5:$L$124&lt;&gt;""))&gt;0,"Navigational",IF(SUMPRODUCT(ISNUMBER(SEARCH(" "&amp;Settings!$L$5:$L$124&amp;" "," "&amp;M569&amp;" "))*(Settings!$K$5:$K$124="Transactional")*(Settings!$L$5:$L$124&lt;&gt;""))&gt;0,"Transactional",IF(SUMPRODUCT(ISNUMBER(SEARCH(" "&amp;Settings!$L$5:$L$124&amp;" "," "&amp;M569&amp;" "))*(Settings!$K$5:$K$124="Commercial")*(Settings!$L$5:$L$124&lt;&gt;""))&gt;0,"Commercial",IF(SUMPRODUCT(ISNUMBER(SEARCH(" "&amp;Settings!$L$5:$L$124&amp;" "," "&amp;M569&amp;" "))*(Settings!$K$5:$K$124="Informational")*(Settings!$L$5:$L$124&lt;&gt;""))&gt;0,"Informational","Unclassified")))))</f>
        <v/>
      </c>
      <c r="O569">
        <f>IF(A569="","",IF(K569&lt;&gt;"",PROPER(K569),N569))</f>
        <v/>
      </c>
      <c r="P569">
        <f>IF(A569="","",ROUND(Settings!$B$5*MIN(1,LOG10(N(C569)+1)/LOG10(Settings!$B$7+1))+Settings!$B$6*(1-MIN(100,IF(D569="",50,N(D569)))/100)+IFERROR(INDEX(Settings!$B$10:$B$14,MATCH(O569,Settings!$A$10:$A$14,0)),0),0))</f>
        <v/>
      </c>
      <c r="Q569">
        <f>IF(OR(A569="",G569=""),"",COUNTIFS($M$3:$M$1002,M569,$G$3:$G$1002,"&lt;&gt;"&amp;SUBSTITUTE(SUBSTITUTE(G569,"?","~?"),"*","~*"),$G$3:$G$1002,"?*"))</f>
        <v/>
      </c>
      <c r="R569">
        <f>IF(Q569="","",IF(Q569&gt;0,"Yes","No"))</f>
        <v/>
      </c>
      <c r="S569">
        <f>IF(G569="","",COUNTIFS($G$3:$G$1002,SUBSTITUTE(SUBSTITUTE(G569,"?","~?"),"*","~*"),$J$3:$J$1002,"Primary"))</f>
        <v/>
      </c>
      <c r="T569">
        <f>IF(S569="","",IF(S569&gt;Settings!$B$4,"Yes","No"))</f>
        <v/>
      </c>
      <c r="U569">
        <f>IF(OR(G569="",B569=""),"",IF(COUNTIFS($G$3:$G$1002,SUBSTITUTE(SUBSTITUTE(G569,"?","~?"),"*","~*"),$B$3:$B$1002,"&lt;&gt;"&amp;SUBSTITUTE(SUBSTITUTE(B569,"?","~?"),"*","~*"),$B$3:$B$1002,"?*")&gt;0,"Yes","No"))</f>
        <v/>
      </c>
      <c r="V569">
        <f>IF(OR(G569="",I569="",O569="",O569="Unclassified"),"",IFERROR(INDEX(Settings!$E$5:$H$16,MATCH(I569,Settings!$D$5:$D$16,0),MATCH(O569,Settings!$E$4:$H$4,0)),"Check"))</f>
        <v/>
      </c>
      <c r="W569">
        <f>IF(V569="","",IF(V569="No","Yes","No"))</f>
        <v/>
      </c>
      <c r="X569">
        <f>IF(OR(E569="",G569=""),"",IF(LOWER(IF(RIGHT(TRIM(E569),1)="/",LEFT(TRIM(E569),LEN(TRIM(E569))-1),TRIM(E569)))&lt;&gt;LOWER(IF(RIGHT(TRIM(G569),1)="/",LEFT(TRIM(G569),LEN(TRIM(G569))-1),TRIM(G569))),"Yes","No"))</f>
        <v/>
      </c>
      <c r="Y569">
        <f>IF(A569="","",(N(Q569)&gt;0)+(T569="Yes")+(U569="Yes")+(W569="Yes")+(X569="Yes"))</f>
        <v/>
      </c>
      <c r="Z569">
        <f>IF(A569="","",IF(G569="","Not mapped",IF(Y569=0,"OK",MID(IF(N(Q569)&gt;0,"; Cannibalisation","")&amp;IF(T569="Yes","; Too many primary keywords on URL","")&amp;IF(U569="Yes","; URL spans 2+ clusters","")&amp;IF(W569="Yes","; Intent mismatch","")&amp;IF(X569="Yes","; Ranking URL is not the target",""),3,300))))</f>
        <v/>
      </c>
      <c r="AA569">
        <f>IF(G569="","",IF(COUNTIF($G$3:G569,SUBSTITUTE(SUBSTITUTE(G569,"?","~?"),"*","~*"))=1,MAX($AA$2:AA568)+1,""))</f>
        <v/>
      </c>
      <c r="AB569">
        <f>IF(B569="","",IF(COUNTIF($B$3:B569,SUBSTITUTE(SUBSTITUTE(B569,"?","~?"),"*","~*"))=1,MAX($AB$2:AB568)+1,""))</f>
        <v/>
      </c>
    </row>
    <row r="570">
      <c r="M570">
        <f>IF(A570="","",LOWER(TRIM(SUBSTITUTE(SUBSTITUTE(A570,"?",""),"*",""))))</f>
        <v/>
      </c>
      <c r="N570">
        <f>IF(M570="","",IF(SUMPRODUCT(ISNUMBER(SEARCH(" "&amp;Settings!$L$5:$L$124&amp;" "," "&amp;M570&amp;" "))*(Settings!$K$5:$K$124="Navigational")*(Settings!$L$5:$L$124&lt;&gt;""))&gt;0,"Navigational",IF(SUMPRODUCT(ISNUMBER(SEARCH(" "&amp;Settings!$L$5:$L$124&amp;" "," "&amp;M570&amp;" "))*(Settings!$K$5:$K$124="Transactional")*(Settings!$L$5:$L$124&lt;&gt;""))&gt;0,"Transactional",IF(SUMPRODUCT(ISNUMBER(SEARCH(" "&amp;Settings!$L$5:$L$124&amp;" "," "&amp;M570&amp;" "))*(Settings!$K$5:$K$124="Commercial")*(Settings!$L$5:$L$124&lt;&gt;""))&gt;0,"Commercial",IF(SUMPRODUCT(ISNUMBER(SEARCH(" "&amp;Settings!$L$5:$L$124&amp;" "," "&amp;M570&amp;" "))*(Settings!$K$5:$K$124="Informational")*(Settings!$L$5:$L$124&lt;&gt;""))&gt;0,"Informational","Unclassified")))))</f>
        <v/>
      </c>
      <c r="O570">
        <f>IF(A570="","",IF(K570&lt;&gt;"",PROPER(K570),N570))</f>
        <v/>
      </c>
      <c r="P570">
        <f>IF(A570="","",ROUND(Settings!$B$5*MIN(1,LOG10(N(C570)+1)/LOG10(Settings!$B$7+1))+Settings!$B$6*(1-MIN(100,IF(D570="",50,N(D570)))/100)+IFERROR(INDEX(Settings!$B$10:$B$14,MATCH(O570,Settings!$A$10:$A$14,0)),0),0))</f>
        <v/>
      </c>
      <c r="Q570">
        <f>IF(OR(A570="",G570=""),"",COUNTIFS($M$3:$M$1002,M570,$G$3:$G$1002,"&lt;&gt;"&amp;SUBSTITUTE(SUBSTITUTE(G570,"?","~?"),"*","~*"),$G$3:$G$1002,"?*"))</f>
        <v/>
      </c>
      <c r="R570">
        <f>IF(Q570="","",IF(Q570&gt;0,"Yes","No"))</f>
        <v/>
      </c>
      <c r="S570">
        <f>IF(G570="","",COUNTIFS($G$3:$G$1002,SUBSTITUTE(SUBSTITUTE(G570,"?","~?"),"*","~*"),$J$3:$J$1002,"Primary"))</f>
        <v/>
      </c>
      <c r="T570">
        <f>IF(S570="","",IF(S570&gt;Settings!$B$4,"Yes","No"))</f>
        <v/>
      </c>
      <c r="U570">
        <f>IF(OR(G570="",B570=""),"",IF(COUNTIFS($G$3:$G$1002,SUBSTITUTE(SUBSTITUTE(G570,"?","~?"),"*","~*"),$B$3:$B$1002,"&lt;&gt;"&amp;SUBSTITUTE(SUBSTITUTE(B570,"?","~?"),"*","~*"),$B$3:$B$1002,"?*")&gt;0,"Yes","No"))</f>
        <v/>
      </c>
      <c r="V570">
        <f>IF(OR(G570="",I570="",O570="",O570="Unclassified"),"",IFERROR(INDEX(Settings!$E$5:$H$16,MATCH(I570,Settings!$D$5:$D$16,0),MATCH(O570,Settings!$E$4:$H$4,0)),"Check"))</f>
        <v/>
      </c>
      <c r="W570">
        <f>IF(V570="","",IF(V570="No","Yes","No"))</f>
        <v/>
      </c>
      <c r="X570">
        <f>IF(OR(E570="",G570=""),"",IF(LOWER(IF(RIGHT(TRIM(E570),1)="/",LEFT(TRIM(E570),LEN(TRIM(E570))-1),TRIM(E570)))&lt;&gt;LOWER(IF(RIGHT(TRIM(G570),1)="/",LEFT(TRIM(G570),LEN(TRIM(G570))-1),TRIM(G570))),"Yes","No"))</f>
        <v/>
      </c>
      <c r="Y570">
        <f>IF(A570="","",(N(Q570)&gt;0)+(T570="Yes")+(U570="Yes")+(W570="Yes")+(X570="Yes"))</f>
        <v/>
      </c>
      <c r="Z570">
        <f>IF(A570="","",IF(G570="","Not mapped",IF(Y570=0,"OK",MID(IF(N(Q570)&gt;0,"; Cannibalisation","")&amp;IF(T570="Yes","; Too many primary keywords on URL","")&amp;IF(U570="Yes","; URL spans 2+ clusters","")&amp;IF(W570="Yes","; Intent mismatch","")&amp;IF(X570="Yes","; Ranking URL is not the target",""),3,300))))</f>
        <v/>
      </c>
      <c r="AA570">
        <f>IF(G570="","",IF(COUNTIF($G$3:G570,SUBSTITUTE(SUBSTITUTE(G570,"?","~?"),"*","~*"))=1,MAX($AA$2:AA569)+1,""))</f>
        <v/>
      </c>
      <c r="AB570">
        <f>IF(B570="","",IF(COUNTIF($B$3:B570,SUBSTITUTE(SUBSTITUTE(B570,"?","~?"),"*","~*"))=1,MAX($AB$2:AB569)+1,""))</f>
        <v/>
      </c>
    </row>
    <row r="571">
      <c r="M571">
        <f>IF(A571="","",LOWER(TRIM(SUBSTITUTE(SUBSTITUTE(A571,"?",""),"*",""))))</f>
        <v/>
      </c>
      <c r="N571">
        <f>IF(M571="","",IF(SUMPRODUCT(ISNUMBER(SEARCH(" "&amp;Settings!$L$5:$L$124&amp;" "," "&amp;M571&amp;" "))*(Settings!$K$5:$K$124="Navigational")*(Settings!$L$5:$L$124&lt;&gt;""))&gt;0,"Navigational",IF(SUMPRODUCT(ISNUMBER(SEARCH(" "&amp;Settings!$L$5:$L$124&amp;" "," "&amp;M571&amp;" "))*(Settings!$K$5:$K$124="Transactional")*(Settings!$L$5:$L$124&lt;&gt;""))&gt;0,"Transactional",IF(SUMPRODUCT(ISNUMBER(SEARCH(" "&amp;Settings!$L$5:$L$124&amp;" "," "&amp;M571&amp;" "))*(Settings!$K$5:$K$124="Commercial")*(Settings!$L$5:$L$124&lt;&gt;""))&gt;0,"Commercial",IF(SUMPRODUCT(ISNUMBER(SEARCH(" "&amp;Settings!$L$5:$L$124&amp;" "," "&amp;M571&amp;" "))*(Settings!$K$5:$K$124="Informational")*(Settings!$L$5:$L$124&lt;&gt;""))&gt;0,"Informational","Unclassified")))))</f>
        <v/>
      </c>
      <c r="O571">
        <f>IF(A571="","",IF(K571&lt;&gt;"",PROPER(K571),N571))</f>
        <v/>
      </c>
      <c r="P571">
        <f>IF(A571="","",ROUND(Settings!$B$5*MIN(1,LOG10(N(C571)+1)/LOG10(Settings!$B$7+1))+Settings!$B$6*(1-MIN(100,IF(D571="",50,N(D571)))/100)+IFERROR(INDEX(Settings!$B$10:$B$14,MATCH(O571,Settings!$A$10:$A$14,0)),0),0))</f>
        <v/>
      </c>
      <c r="Q571">
        <f>IF(OR(A571="",G571=""),"",COUNTIFS($M$3:$M$1002,M571,$G$3:$G$1002,"&lt;&gt;"&amp;SUBSTITUTE(SUBSTITUTE(G571,"?","~?"),"*","~*"),$G$3:$G$1002,"?*"))</f>
        <v/>
      </c>
      <c r="R571">
        <f>IF(Q571="","",IF(Q571&gt;0,"Yes","No"))</f>
        <v/>
      </c>
      <c r="S571">
        <f>IF(G571="","",COUNTIFS($G$3:$G$1002,SUBSTITUTE(SUBSTITUTE(G571,"?","~?"),"*","~*"),$J$3:$J$1002,"Primary"))</f>
        <v/>
      </c>
      <c r="T571">
        <f>IF(S571="","",IF(S571&gt;Settings!$B$4,"Yes","No"))</f>
        <v/>
      </c>
      <c r="U571">
        <f>IF(OR(G571="",B571=""),"",IF(COUNTIFS($G$3:$G$1002,SUBSTITUTE(SUBSTITUTE(G571,"?","~?"),"*","~*"),$B$3:$B$1002,"&lt;&gt;"&amp;SUBSTITUTE(SUBSTITUTE(B571,"?","~?"),"*","~*"),$B$3:$B$1002,"?*")&gt;0,"Yes","No"))</f>
        <v/>
      </c>
      <c r="V571">
        <f>IF(OR(G571="",I571="",O571="",O571="Unclassified"),"",IFERROR(INDEX(Settings!$E$5:$H$16,MATCH(I571,Settings!$D$5:$D$16,0),MATCH(O571,Settings!$E$4:$H$4,0)),"Check"))</f>
        <v/>
      </c>
      <c r="W571">
        <f>IF(V571="","",IF(V571="No","Yes","No"))</f>
        <v/>
      </c>
      <c r="X571">
        <f>IF(OR(E571="",G571=""),"",IF(LOWER(IF(RIGHT(TRIM(E571),1)="/",LEFT(TRIM(E571),LEN(TRIM(E571))-1),TRIM(E571)))&lt;&gt;LOWER(IF(RIGHT(TRIM(G571),1)="/",LEFT(TRIM(G571),LEN(TRIM(G571))-1),TRIM(G571))),"Yes","No"))</f>
        <v/>
      </c>
      <c r="Y571">
        <f>IF(A571="","",(N(Q571)&gt;0)+(T571="Yes")+(U571="Yes")+(W571="Yes")+(X571="Yes"))</f>
        <v/>
      </c>
      <c r="Z571">
        <f>IF(A571="","",IF(G571="","Not mapped",IF(Y571=0,"OK",MID(IF(N(Q571)&gt;0,"; Cannibalisation","")&amp;IF(T571="Yes","; Too many primary keywords on URL","")&amp;IF(U571="Yes","; URL spans 2+ clusters","")&amp;IF(W571="Yes","; Intent mismatch","")&amp;IF(X571="Yes","; Ranking URL is not the target",""),3,300))))</f>
        <v/>
      </c>
      <c r="AA571">
        <f>IF(G571="","",IF(COUNTIF($G$3:G571,SUBSTITUTE(SUBSTITUTE(G571,"?","~?"),"*","~*"))=1,MAX($AA$2:AA570)+1,""))</f>
        <v/>
      </c>
      <c r="AB571">
        <f>IF(B571="","",IF(COUNTIF($B$3:B571,SUBSTITUTE(SUBSTITUTE(B571,"?","~?"),"*","~*"))=1,MAX($AB$2:AB570)+1,""))</f>
        <v/>
      </c>
    </row>
    <row r="572">
      <c r="M572">
        <f>IF(A572="","",LOWER(TRIM(SUBSTITUTE(SUBSTITUTE(A572,"?",""),"*",""))))</f>
        <v/>
      </c>
      <c r="N572">
        <f>IF(M572="","",IF(SUMPRODUCT(ISNUMBER(SEARCH(" "&amp;Settings!$L$5:$L$124&amp;" "," "&amp;M572&amp;" "))*(Settings!$K$5:$K$124="Navigational")*(Settings!$L$5:$L$124&lt;&gt;""))&gt;0,"Navigational",IF(SUMPRODUCT(ISNUMBER(SEARCH(" "&amp;Settings!$L$5:$L$124&amp;" "," "&amp;M572&amp;" "))*(Settings!$K$5:$K$124="Transactional")*(Settings!$L$5:$L$124&lt;&gt;""))&gt;0,"Transactional",IF(SUMPRODUCT(ISNUMBER(SEARCH(" "&amp;Settings!$L$5:$L$124&amp;" "," "&amp;M572&amp;" "))*(Settings!$K$5:$K$124="Commercial")*(Settings!$L$5:$L$124&lt;&gt;""))&gt;0,"Commercial",IF(SUMPRODUCT(ISNUMBER(SEARCH(" "&amp;Settings!$L$5:$L$124&amp;" "," "&amp;M572&amp;" "))*(Settings!$K$5:$K$124="Informational")*(Settings!$L$5:$L$124&lt;&gt;""))&gt;0,"Informational","Unclassified")))))</f>
        <v/>
      </c>
      <c r="O572">
        <f>IF(A572="","",IF(K572&lt;&gt;"",PROPER(K572),N572))</f>
        <v/>
      </c>
      <c r="P572">
        <f>IF(A572="","",ROUND(Settings!$B$5*MIN(1,LOG10(N(C572)+1)/LOG10(Settings!$B$7+1))+Settings!$B$6*(1-MIN(100,IF(D572="",50,N(D572)))/100)+IFERROR(INDEX(Settings!$B$10:$B$14,MATCH(O572,Settings!$A$10:$A$14,0)),0),0))</f>
        <v/>
      </c>
      <c r="Q572">
        <f>IF(OR(A572="",G572=""),"",COUNTIFS($M$3:$M$1002,M572,$G$3:$G$1002,"&lt;&gt;"&amp;SUBSTITUTE(SUBSTITUTE(G572,"?","~?"),"*","~*"),$G$3:$G$1002,"?*"))</f>
        <v/>
      </c>
      <c r="R572">
        <f>IF(Q572="","",IF(Q572&gt;0,"Yes","No"))</f>
        <v/>
      </c>
      <c r="S572">
        <f>IF(G572="","",COUNTIFS($G$3:$G$1002,SUBSTITUTE(SUBSTITUTE(G572,"?","~?"),"*","~*"),$J$3:$J$1002,"Primary"))</f>
        <v/>
      </c>
      <c r="T572">
        <f>IF(S572="","",IF(S572&gt;Settings!$B$4,"Yes","No"))</f>
        <v/>
      </c>
      <c r="U572">
        <f>IF(OR(G572="",B572=""),"",IF(COUNTIFS($G$3:$G$1002,SUBSTITUTE(SUBSTITUTE(G572,"?","~?"),"*","~*"),$B$3:$B$1002,"&lt;&gt;"&amp;SUBSTITUTE(SUBSTITUTE(B572,"?","~?"),"*","~*"),$B$3:$B$1002,"?*")&gt;0,"Yes","No"))</f>
        <v/>
      </c>
      <c r="V572">
        <f>IF(OR(G572="",I572="",O572="",O572="Unclassified"),"",IFERROR(INDEX(Settings!$E$5:$H$16,MATCH(I572,Settings!$D$5:$D$16,0),MATCH(O572,Settings!$E$4:$H$4,0)),"Check"))</f>
        <v/>
      </c>
      <c r="W572">
        <f>IF(V572="","",IF(V572="No","Yes","No"))</f>
        <v/>
      </c>
      <c r="X572">
        <f>IF(OR(E572="",G572=""),"",IF(LOWER(IF(RIGHT(TRIM(E572),1)="/",LEFT(TRIM(E572),LEN(TRIM(E572))-1),TRIM(E572)))&lt;&gt;LOWER(IF(RIGHT(TRIM(G572),1)="/",LEFT(TRIM(G572),LEN(TRIM(G572))-1),TRIM(G572))),"Yes","No"))</f>
        <v/>
      </c>
      <c r="Y572">
        <f>IF(A572="","",(N(Q572)&gt;0)+(T572="Yes")+(U572="Yes")+(W572="Yes")+(X572="Yes"))</f>
        <v/>
      </c>
      <c r="Z572">
        <f>IF(A572="","",IF(G572="","Not mapped",IF(Y572=0,"OK",MID(IF(N(Q572)&gt;0,"; Cannibalisation","")&amp;IF(T572="Yes","; Too many primary keywords on URL","")&amp;IF(U572="Yes","; URL spans 2+ clusters","")&amp;IF(W572="Yes","; Intent mismatch","")&amp;IF(X572="Yes","; Ranking URL is not the target",""),3,300))))</f>
        <v/>
      </c>
      <c r="AA572">
        <f>IF(G572="","",IF(COUNTIF($G$3:G572,SUBSTITUTE(SUBSTITUTE(G572,"?","~?"),"*","~*"))=1,MAX($AA$2:AA571)+1,""))</f>
        <v/>
      </c>
      <c r="AB572">
        <f>IF(B572="","",IF(COUNTIF($B$3:B572,SUBSTITUTE(SUBSTITUTE(B572,"?","~?"),"*","~*"))=1,MAX($AB$2:AB571)+1,""))</f>
        <v/>
      </c>
    </row>
    <row r="573">
      <c r="M573">
        <f>IF(A573="","",LOWER(TRIM(SUBSTITUTE(SUBSTITUTE(A573,"?",""),"*",""))))</f>
        <v/>
      </c>
      <c r="N573">
        <f>IF(M573="","",IF(SUMPRODUCT(ISNUMBER(SEARCH(" "&amp;Settings!$L$5:$L$124&amp;" "," "&amp;M573&amp;" "))*(Settings!$K$5:$K$124="Navigational")*(Settings!$L$5:$L$124&lt;&gt;""))&gt;0,"Navigational",IF(SUMPRODUCT(ISNUMBER(SEARCH(" "&amp;Settings!$L$5:$L$124&amp;" "," "&amp;M573&amp;" "))*(Settings!$K$5:$K$124="Transactional")*(Settings!$L$5:$L$124&lt;&gt;""))&gt;0,"Transactional",IF(SUMPRODUCT(ISNUMBER(SEARCH(" "&amp;Settings!$L$5:$L$124&amp;" "," "&amp;M573&amp;" "))*(Settings!$K$5:$K$124="Commercial")*(Settings!$L$5:$L$124&lt;&gt;""))&gt;0,"Commercial",IF(SUMPRODUCT(ISNUMBER(SEARCH(" "&amp;Settings!$L$5:$L$124&amp;" "," "&amp;M573&amp;" "))*(Settings!$K$5:$K$124="Informational")*(Settings!$L$5:$L$124&lt;&gt;""))&gt;0,"Informational","Unclassified")))))</f>
        <v/>
      </c>
      <c r="O573">
        <f>IF(A573="","",IF(K573&lt;&gt;"",PROPER(K573),N573))</f>
        <v/>
      </c>
      <c r="P573">
        <f>IF(A573="","",ROUND(Settings!$B$5*MIN(1,LOG10(N(C573)+1)/LOG10(Settings!$B$7+1))+Settings!$B$6*(1-MIN(100,IF(D573="",50,N(D573)))/100)+IFERROR(INDEX(Settings!$B$10:$B$14,MATCH(O573,Settings!$A$10:$A$14,0)),0),0))</f>
        <v/>
      </c>
      <c r="Q573">
        <f>IF(OR(A573="",G573=""),"",COUNTIFS($M$3:$M$1002,M573,$G$3:$G$1002,"&lt;&gt;"&amp;SUBSTITUTE(SUBSTITUTE(G573,"?","~?"),"*","~*"),$G$3:$G$1002,"?*"))</f>
        <v/>
      </c>
      <c r="R573">
        <f>IF(Q573="","",IF(Q573&gt;0,"Yes","No"))</f>
        <v/>
      </c>
      <c r="S573">
        <f>IF(G573="","",COUNTIFS($G$3:$G$1002,SUBSTITUTE(SUBSTITUTE(G573,"?","~?"),"*","~*"),$J$3:$J$1002,"Primary"))</f>
        <v/>
      </c>
      <c r="T573">
        <f>IF(S573="","",IF(S573&gt;Settings!$B$4,"Yes","No"))</f>
        <v/>
      </c>
      <c r="U573">
        <f>IF(OR(G573="",B573=""),"",IF(COUNTIFS($G$3:$G$1002,SUBSTITUTE(SUBSTITUTE(G573,"?","~?"),"*","~*"),$B$3:$B$1002,"&lt;&gt;"&amp;SUBSTITUTE(SUBSTITUTE(B573,"?","~?"),"*","~*"),$B$3:$B$1002,"?*")&gt;0,"Yes","No"))</f>
        <v/>
      </c>
      <c r="V573">
        <f>IF(OR(G573="",I573="",O573="",O573="Unclassified"),"",IFERROR(INDEX(Settings!$E$5:$H$16,MATCH(I573,Settings!$D$5:$D$16,0),MATCH(O573,Settings!$E$4:$H$4,0)),"Check"))</f>
        <v/>
      </c>
      <c r="W573">
        <f>IF(V573="","",IF(V573="No","Yes","No"))</f>
        <v/>
      </c>
      <c r="X573">
        <f>IF(OR(E573="",G573=""),"",IF(LOWER(IF(RIGHT(TRIM(E573),1)="/",LEFT(TRIM(E573),LEN(TRIM(E573))-1),TRIM(E573)))&lt;&gt;LOWER(IF(RIGHT(TRIM(G573),1)="/",LEFT(TRIM(G573),LEN(TRIM(G573))-1),TRIM(G573))),"Yes","No"))</f>
        <v/>
      </c>
      <c r="Y573">
        <f>IF(A573="","",(N(Q573)&gt;0)+(T573="Yes")+(U573="Yes")+(W573="Yes")+(X573="Yes"))</f>
        <v/>
      </c>
      <c r="Z573">
        <f>IF(A573="","",IF(G573="","Not mapped",IF(Y573=0,"OK",MID(IF(N(Q573)&gt;0,"; Cannibalisation","")&amp;IF(T573="Yes","; Too many primary keywords on URL","")&amp;IF(U573="Yes","; URL spans 2+ clusters","")&amp;IF(W573="Yes","; Intent mismatch","")&amp;IF(X573="Yes","; Ranking URL is not the target",""),3,300))))</f>
        <v/>
      </c>
      <c r="AA573">
        <f>IF(G573="","",IF(COUNTIF($G$3:G573,SUBSTITUTE(SUBSTITUTE(G573,"?","~?"),"*","~*"))=1,MAX($AA$2:AA572)+1,""))</f>
        <v/>
      </c>
      <c r="AB573">
        <f>IF(B573="","",IF(COUNTIF($B$3:B573,SUBSTITUTE(SUBSTITUTE(B573,"?","~?"),"*","~*"))=1,MAX($AB$2:AB572)+1,""))</f>
        <v/>
      </c>
    </row>
    <row r="574">
      <c r="M574">
        <f>IF(A574="","",LOWER(TRIM(SUBSTITUTE(SUBSTITUTE(A574,"?",""),"*",""))))</f>
        <v/>
      </c>
      <c r="N574">
        <f>IF(M574="","",IF(SUMPRODUCT(ISNUMBER(SEARCH(" "&amp;Settings!$L$5:$L$124&amp;" "," "&amp;M574&amp;" "))*(Settings!$K$5:$K$124="Navigational")*(Settings!$L$5:$L$124&lt;&gt;""))&gt;0,"Navigational",IF(SUMPRODUCT(ISNUMBER(SEARCH(" "&amp;Settings!$L$5:$L$124&amp;" "," "&amp;M574&amp;" "))*(Settings!$K$5:$K$124="Transactional")*(Settings!$L$5:$L$124&lt;&gt;""))&gt;0,"Transactional",IF(SUMPRODUCT(ISNUMBER(SEARCH(" "&amp;Settings!$L$5:$L$124&amp;" "," "&amp;M574&amp;" "))*(Settings!$K$5:$K$124="Commercial")*(Settings!$L$5:$L$124&lt;&gt;""))&gt;0,"Commercial",IF(SUMPRODUCT(ISNUMBER(SEARCH(" "&amp;Settings!$L$5:$L$124&amp;" "," "&amp;M574&amp;" "))*(Settings!$K$5:$K$124="Informational")*(Settings!$L$5:$L$124&lt;&gt;""))&gt;0,"Informational","Unclassified")))))</f>
        <v/>
      </c>
      <c r="O574">
        <f>IF(A574="","",IF(K574&lt;&gt;"",PROPER(K574),N574))</f>
        <v/>
      </c>
      <c r="P574">
        <f>IF(A574="","",ROUND(Settings!$B$5*MIN(1,LOG10(N(C574)+1)/LOG10(Settings!$B$7+1))+Settings!$B$6*(1-MIN(100,IF(D574="",50,N(D574)))/100)+IFERROR(INDEX(Settings!$B$10:$B$14,MATCH(O574,Settings!$A$10:$A$14,0)),0),0))</f>
        <v/>
      </c>
      <c r="Q574">
        <f>IF(OR(A574="",G574=""),"",COUNTIFS($M$3:$M$1002,M574,$G$3:$G$1002,"&lt;&gt;"&amp;SUBSTITUTE(SUBSTITUTE(G574,"?","~?"),"*","~*"),$G$3:$G$1002,"?*"))</f>
        <v/>
      </c>
      <c r="R574">
        <f>IF(Q574="","",IF(Q574&gt;0,"Yes","No"))</f>
        <v/>
      </c>
      <c r="S574">
        <f>IF(G574="","",COUNTIFS($G$3:$G$1002,SUBSTITUTE(SUBSTITUTE(G574,"?","~?"),"*","~*"),$J$3:$J$1002,"Primary"))</f>
        <v/>
      </c>
      <c r="T574">
        <f>IF(S574="","",IF(S574&gt;Settings!$B$4,"Yes","No"))</f>
        <v/>
      </c>
      <c r="U574">
        <f>IF(OR(G574="",B574=""),"",IF(COUNTIFS($G$3:$G$1002,SUBSTITUTE(SUBSTITUTE(G574,"?","~?"),"*","~*"),$B$3:$B$1002,"&lt;&gt;"&amp;SUBSTITUTE(SUBSTITUTE(B574,"?","~?"),"*","~*"),$B$3:$B$1002,"?*")&gt;0,"Yes","No"))</f>
        <v/>
      </c>
      <c r="V574">
        <f>IF(OR(G574="",I574="",O574="",O574="Unclassified"),"",IFERROR(INDEX(Settings!$E$5:$H$16,MATCH(I574,Settings!$D$5:$D$16,0),MATCH(O574,Settings!$E$4:$H$4,0)),"Check"))</f>
        <v/>
      </c>
      <c r="W574">
        <f>IF(V574="","",IF(V574="No","Yes","No"))</f>
        <v/>
      </c>
      <c r="X574">
        <f>IF(OR(E574="",G574=""),"",IF(LOWER(IF(RIGHT(TRIM(E574),1)="/",LEFT(TRIM(E574),LEN(TRIM(E574))-1),TRIM(E574)))&lt;&gt;LOWER(IF(RIGHT(TRIM(G574),1)="/",LEFT(TRIM(G574),LEN(TRIM(G574))-1),TRIM(G574))),"Yes","No"))</f>
        <v/>
      </c>
      <c r="Y574">
        <f>IF(A574="","",(N(Q574)&gt;0)+(T574="Yes")+(U574="Yes")+(W574="Yes")+(X574="Yes"))</f>
        <v/>
      </c>
      <c r="Z574">
        <f>IF(A574="","",IF(G574="","Not mapped",IF(Y574=0,"OK",MID(IF(N(Q574)&gt;0,"; Cannibalisation","")&amp;IF(T574="Yes","; Too many primary keywords on URL","")&amp;IF(U574="Yes","; URL spans 2+ clusters","")&amp;IF(W574="Yes","; Intent mismatch","")&amp;IF(X574="Yes","; Ranking URL is not the target",""),3,300))))</f>
        <v/>
      </c>
      <c r="AA574">
        <f>IF(G574="","",IF(COUNTIF($G$3:G574,SUBSTITUTE(SUBSTITUTE(G574,"?","~?"),"*","~*"))=1,MAX($AA$2:AA573)+1,""))</f>
        <v/>
      </c>
      <c r="AB574">
        <f>IF(B574="","",IF(COUNTIF($B$3:B574,SUBSTITUTE(SUBSTITUTE(B574,"?","~?"),"*","~*"))=1,MAX($AB$2:AB573)+1,""))</f>
        <v/>
      </c>
    </row>
    <row r="575">
      <c r="M575">
        <f>IF(A575="","",LOWER(TRIM(SUBSTITUTE(SUBSTITUTE(A575,"?",""),"*",""))))</f>
        <v/>
      </c>
      <c r="N575">
        <f>IF(M575="","",IF(SUMPRODUCT(ISNUMBER(SEARCH(" "&amp;Settings!$L$5:$L$124&amp;" "," "&amp;M575&amp;" "))*(Settings!$K$5:$K$124="Navigational")*(Settings!$L$5:$L$124&lt;&gt;""))&gt;0,"Navigational",IF(SUMPRODUCT(ISNUMBER(SEARCH(" "&amp;Settings!$L$5:$L$124&amp;" "," "&amp;M575&amp;" "))*(Settings!$K$5:$K$124="Transactional")*(Settings!$L$5:$L$124&lt;&gt;""))&gt;0,"Transactional",IF(SUMPRODUCT(ISNUMBER(SEARCH(" "&amp;Settings!$L$5:$L$124&amp;" "," "&amp;M575&amp;" "))*(Settings!$K$5:$K$124="Commercial")*(Settings!$L$5:$L$124&lt;&gt;""))&gt;0,"Commercial",IF(SUMPRODUCT(ISNUMBER(SEARCH(" "&amp;Settings!$L$5:$L$124&amp;" "," "&amp;M575&amp;" "))*(Settings!$K$5:$K$124="Informational")*(Settings!$L$5:$L$124&lt;&gt;""))&gt;0,"Informational","Unclassified")))))</f>
        <v/>
      </c>
      <c r="O575">
        <f>IF(A575="","",IF(K575&lt;&gt;"",PROPER(K575),N575))</f>
        <v/>
      </c>
      <c r="P575">
        <f>IF(A575="","",ROUND(Settings!$B$5*MIN(1,LOG10(N(C575)+1)/LOG10(Settings!$B$7+1))+Settings!$B$6*(1-MIN(100,IF(D575="",50,N(D575)))/100)+IFERROR(INDEX(Settings!$B$10:$B$14,MATCH(O575,Settings!$A$10:$A$14,0)),0),0))</f>
        <v/>
      </c>
      <c r="Q575">
        <f>IF(OR(A575="",G575=""),"",COUNTIFS($M$3:$M$1002,M575,$G$3:$G$1002,"&lt;&gt;"&amp;SUBSTITUTE(SUBSTITUTE(G575,"?","~?"),"*","~*"),$G$3:$G$1002,"?*"))</f>
        <v/>
      </c>
      <c r="R575">
        <f>IF(Q575="","",IF(Q575&gt;0,"Yes","No"))</f>
        <v/>
      </c>
      <c r="S575">
        <f>IF(G575="","",COUNTIFS($G$3:$G$1002,SUBSTITUTE(SUBSTITUTE(G575,"?","~?"),"*","~*"),$J$3:$J$1002,"Primary"))</f>
        <v/>
      </c>
      <c r="T575">
        <f>IF(S575="","",IF(S575&gt;Settings!$B$4,"Yes","No"))</f>
        <v/>
      </c>
      <c r="U575">
        <f>IF(OR(G575="",B575=""),"",IF(COUNTIFS($G$3:$G$1002,SUBSTITUTE(SUBSTITUTE(G575,"?","~?"),"*","~*"),$B$3:$B$1002,"&lt;&gt;"&amp;SUBSTITUTE(SUBSTITUTE(B575,"?","~?"),"*","~*"),$B$3:$B$1002,"?*")&gt;0,"Yes","No"))</f>
        <v/>
      </c>
      <c r="V575">
        <f>IF(OR(G575="",I575="",O575="",O575="Unclassified"),"",IFERROR(INDEX(Settings!$E$5:$H$16,MATCH(I575,Settings!$D$5:$D$16,0),MATCH(O575,Settings!$E$4:$H$4,0)),"Check"))</f>
        <v/>
      </c>
      <c r="W575">
        <f>IF(V575="","",IF(V575="No","Yes","No"))</f>
        <v/>
      </c>
      <c r="X575">
        <f>IF(OR(E575="",G575=""),"",IF(LOWER(IF(RIGHT(TRIM(E575),1)="/",LEFT(TRIM(E575),LEN(TRIM(E575))-1),TRIM(E575)))&lt;&gt;LOWER(IF(RIGHT(TRIM(G575),1)="/",LEFT(TRIM(G575),LEN(TRIM(G575))-1),TRIM(G575))),"Yes","No"))</f>
        <v/>
      </c>
      <c r="Y575">
        <f>IF(A575="","",(N(Q575)&gt;0)+(T575="Yes")+(U575="Yes")+(W575="Yes")+(X575="Yes"))</f>
        <v/>
      </c>
      <c r="Z575">
        <f>IF(A575="","",IF(G575="","Not mapped",IF(Y575=0,"OK",MID(IF(N(Q575)&gt;0,"; Cannibalisation","")&amp;IF(T575="Yes","; Too many primary keywords on URL","")&amp;IF(U575="Yes","; URL spans 2+ clusters","")&amp;IF(W575="Yes","; Intent mismatch","")&amp;IF(X575="Yes","; Ranking URL is not the target",""),3,300))))</f>
        <v/>
      </c>
      <c r="AA575">
        <f>IF(G575="","",IF(COUNTIF($G$3:G575,SUBSTITUTE(SUBSTITUTE(G575,"?","~?"),"*","~*"))=1,MAX($AA$2:AA574)+1,""))</f>
        <v/>
      </c>
      <c r="AB575">
        <f>IF(B575="","",IF(COUNTIF($B$3:B575,SUBSTITUTE(SUBSTITUTE(B575,"?","~?"),"*","~*"))=1,MAX($AB$2:AB574)+1,""))</f>
        <v/>
      </c>
    </row>
    <row r="576">
      <c r="M576">
        <f>IF(A576="","",LOWER(TRIM(SUBSTITUTE(SUBSTITUTE(A576,"?",""),"*",""))))</f>
        <v/>
      </c>
      <c r="N576">
        <f>IF(M576="","",IF(SUMPRODUCT(ISNUMBER(SEARCH(" "&amp;Settings!$L$5:$L$124&amp;" "," "&amp;M576&amp;" "))*(Settings!$K$5:$K$124="Navigational")*(Settings!$L$5:$L$124&lt;&gt;""))&gt;0,"Navigational",IF(SUMPRODUCT(ISNUMBER(SEARCH(" "&amp;Settings!$L$5:$L$124&amp;" "," "&amp;M576&amp;" "))*(Settings!$K$5:$K$124="Transactional")*(Settings!$L$5:$L$124&lt;&gt;""))&gt;0,"Transactional",IF(SUMPRODUCT(ISNUMBER(SEARCH(" "&amp;Settings!$L$5:$L$124&amp;" "," "&amp;M576&amp;" "))*(Settings!$K$5:$K$124="Commercial")*(Settings!$L$5:$L$124&lt;&gt;""))&gt;0,"Commercial",IF(SUMPRODUCT(ISNUMBER(SEARCH(" "&amp;Settings!$L$5:$L$124&amp;" "," "&amp;M576&amp;" "))*(Settings!$K$5:$K$124="Informational")*(Settings!$L$5:$L$124&lt;&gt;""))&gt;0,"Informational","Unclassified")))))</f>
        <v/>
      </c>
      <c r="O576">
        <f>IF(A576="","",IF(K576&lt;&gt;"",PROPER(K576),N576))</f>
        <v/>
      </c>
      <c r="P576">
        <f>IF(A576="","",ROUND(Settings!$B$5*MIN(1,LOG10(N(C576)+1)/LOG10(Settings!$B$7+1))+Settings!$B$6*(1-MIN(100,IF(D576="",50,N(D576)))/100)+IFERROR(INDEX(Settings!$B$10:$B$14,MATCH(O576,Settings!$A$10:$A$14,0)),0),0))</f>
        <v/>
      </c>
      <c r="Q576">
        <f>IF(OR(A576="",G576=""),"",COUNTIFS($M$3:$M$1002,M576,$G$3:$G$1002,"&lt;&gt;"&amp;SUBSTITUTE(SUBSTITUTE(G576,"?","~?"),"*","~*"),$G$3:$G$1002,"?*"))</f>
        <v/>
      </c>
      <c r="R576">
        <f>IF(Q576="","",IF(Q576&gt;0,"Yes","No"))</f>
        <v/>
      </c>
      <c r="S576">
        <f>IF(G576="","",COUNTIFS($G$3:$G$1002,SUBSTITUTE(SUBSTITUTE(G576,"?","~?"),"*","~*"),$J$3:$J$1002,"Primary"))</f>
        <v/>
      </c>
      <c r="T576">
        <f>IF(S576="","",IF(S576&gt;Settings!$B$4,"Yes","No"))</f>
        <v/>
      </c>
      <c r="U576">
        <f>IF(OR(G576="",B576=""),"",IF(COUNTIFS($G$3:$G$1002,SUBSTITUTE(SUBSTITUTE(G576,"?","~?"),"*","~*"),$B$3:$B$1002,"&lt;&gt;"&amp;SUBSTITUTE(SUBSTITUTE(B576,"?","~?"),"*","~*"),$B$3:$B$1002,"?*")&gt;0,"Yes","No"))</f>
        <v/>
      </c>
      <c r="V576">
        <f>IF(OR(G576="",I576="",O576="",O576="Unclassified"),"",IFERROR(INDEX(Settings!$E$5:$H$16,MATCH(I576,Settings!$D$5:$D$16,0),MATCH(O576,Settings!$E$4:$H$4,0)),"Check"))</f>
        <v/>
      </c>
      <c r="W576">
        <f>IF(V576="","",IF(V576="No","Yes","No"))</f>
        <v/>
      </c>
      <c r="X576">
        <f>IF(OR(E576="",G576=""),"",IF(LOWER(IF(RIGHT(TRIM(E576),1)="/",LEFT(TRIM(E576),LEN(TRIM(E576))-1),TRIM(E576)))&lt;&gt;LOWER(IF(RIGHT(TRIM(G576),1)="/",LEFT(TRIM(G576),LEN(TRIM(G576))-1),TRIM(G576))),"Yes","No"))</f>
        <v/>
      </c>
      <c r="Y576">
        <f>IF(A576="","",(N(Q576)&gt;0)+(T576="Yes")+(U576="Yes")+(W576="Yes")+(X576="Yes"))</f>
        <v/>
      </c>
      <c r="Z576">
        <f>IF(A576="","",IF(G576="","Not mapped",IF(Y576=0,"OK",MID(IF(N(Q576)&gt;0,"; Cannibalisation","")&amp;IF(T576="Yes","; Too many primary keywords on URL","")&amp;IF(U576="Yes","; URL spans 2+ clusters","")&amp;IF(W576="Yes","; Intent mismatch","")&amp;IF(X576="Yes","; Ranking URL is not the target",""),3,300))))</f>
        <v/>
      </c>
      <c r="AA576">
        <f>IF(G576="","",IF(COUNTIF($G$3:G576,SUBSTITUTE(SUBSTITUTE(G576,"?","~?"),"*","~*"))=1,MAX($AA$2:AA575)+1,""))</f>
        <v/>
      </c>
      <c r="AB576">
        <f>IF(B576="","",IF(COUNTIF($B$3:B576,SUBSTITUTE(SUBSTITUTE(B576,"?","~?"),"*","~*"))=1,MAX($AB$2:AB575)+1,""))</f>
        <v/>
      </c>
    </row>
    <row r="577">
      <c r="M577">
        <f>IF(A577="","",LOWER(TRIM(SUBSTITUTE(SUBSTITUTE(A577,"?",""),"*",""))))</f>
        <v/>
      </c>
      <c r="N577">
        <f>IF(M577="","",IF(SUMPRODUCT(ISNUMBER(SEARCH(" "&amp;Settings!$L$5:$L$124&amp;" "," "&amp;M577&amp;" "))*(Settings!$K$5:$K$124="Navigational")*(Settings!$L$5:$L$124&lt;&gt;""))&gt;0,"Navigational",IF(SUMPRODUCT(ISNUMBER(SEARCH(" "&amp;Settings!$L$5:$L$124&amp;" "," "&amp;M577&amp;" "))*(Settings!$K$5:$K$124="Transactional")*(Settings!$L$5:$L$124&lt;&gt;""))&gt;0,"Transactional",IF(SUMPRODUCT(ISNUMBER(SEARCH(" "&amp;Settings!$L$5:$L$124&amp;" "," "&amp;M577&amp;" "))*(Settings!$K$5:$K$124="Commercial")*(Settings!$L$5:$L$124&lt;&gt;""))&gt;0,"Commercial",IF(SUMPRODUCT(ISNUMBER(SEARCH(" "&amp;Settings!$L$5:$L$124&amp;" "," "&amp;M577&amp;" "))*(Settings!$K$5:$K$124="Informational")*(Settings!$L$5:$L$124&lt;&gt;""))&gt;0,"Informational","Unclassified")))))</f>
        <v/>
      </c>
      <c r="O577">
        <f>IF(A577="","",IF(K577&lt;&gt;"",PROPER(K577),N577))</f>
        <v/>
      </c>
      <c r="P577">
        <f>IF(A577="","",ROUND(Settings!$B$5*MIN(1,LOG10(N(C577)+1)/LOG10(Settings!$B$7+1))+Settings!$B$6*(1-MIN(100,IF(D577="",50,N(D577)))/100)+IFERROR(INDEX(Settings!$B$10:$B$14,MATCH(O577,Settings!$A$10:$A$14,0)),0),0))</f>
        <v/>
      </c>
      <c r="Q577">
        <f>IF(OR(A577="",G577=""),"",COUNTIFS($M$3:$M$1002,M577,$G$3:$G$1002,"&lt;&gt;"&amp;SUBSTITUTE(SUBSTITUTE(G577,"?","~?"),"*","~*"),$G$3:$G$1002,"?*"))</f>
        <v/>
      </c>
      <c r="R577">
        <f>IF(Q577="","",IF(Q577&gt;0,"Yes","No"))</f>
        <v/>
      </c>
      <c r="S577">
        <f>IF(G577="","",COUNTIFS($G$3:$G$1002,SUBSTITUTE(SUBSTITUTE(G577,"?","~?"),"*","~*"),$J$3:$J$1002,"Primary"))</f>
        <v/>
      </c>
      <c r="T577">
        <f>IF(S577="","",IF(S577&gt;Settings!$B$4,"Yes","No"))</f>
        <v/>
      </c>
      <c r="U577">
        <f>IF(OR(G577="",B577=""),"",IF(COUNTIFS($G$3:$G$1002,SUBSTITUTE(SUBSTITUTE(G577,"?","~?"),"*","~*"),$B$3:$B$1002,"&lt;&gt;"&amp;SUBSTITUTE(SUBSTITUTE(B577,"?","~?"),"*","~*"),$B$3:$B$1002,"?*")&gt;0,"Yes","No"))</f>
        <v/>
      </c>
      <c r="V577">
        <f>IF(OR(G577="",I577="",O577="",O577="Unclassified"),"",IFERROR(INDEX(Settings!$E$5:$H$16,MATCH(I577,Settings!$D$5:$D$16,0),MATCH(O577,Settings!$E$4:$H$4,0)),"Check"))</f>
        <v/>
      </c>
      <c r="W577">
        <f>IF(V577="","",IF(V577="No","Yes","No"))</f>
        <v/>
      </c>
      <c r="X577">
        <f>IF(OR(E577="",G577=""),"",IF(LOWER(IF(RIGHT(TRIM(E577),1)="/",LEFT(TRIM(E577),LEN(TRIM(E577))-1),TRIM(E577)))&lt;&gt;LOWER(IF(RIGHT(TRIM(G577),1)="/",LEFT(TRIM(G577),LEN(TRIM(G577))-1),TRIM(G577))),"Yes","No"))</f>
        <v/>
      </c>
      <c r="Y577">
        <f>IF(A577="","",(N(Q577)&gt;0)+(T577="Yes")+(U577="Yes")+(W577="Yes")+(X577="Yes"))</f>
        <v/>
      </c>
      <c r="Z577">
        <f>IF(A577="","",IF(G577="","Not mapped",IF(Y577=0,"OK",MID(IF(N(Q577)&gt;0,"; Cannibalisation","")&amp;IF(T577="Yes","; Too many primary keywords on URL","")&amp;IF(U577="Yes","; URL spans 2+ clusters","")&amp;IF(W577="Yes","; Intent mismatch","")&amp;IF(X577="Yes","; Ranking URL is not the target",""),3,300))))</f>
        <v/>
      </c>
      <c r="AA577">
        <f>IF(G577="","",IF(COUNTIF($G$3:G577,SUBSTITUTE(SUBSTITUTE(G577,"?","~?"),"*","~*"))=1,MAX($AA$2:AA576)+1,""))</f>
        <v/>
      </c>
      <c r="AB577">
        <f>IF(B577="","",IF(COUNTIF($B$3:B577,SUBSTITUTE(SUBSTITUTE(B577,"?","~?"),"*","~*"))=1,MAX($AB$2:AB576)+1,""))</f>
        <v/>
      </c>
    </row>
    <row r="578">
      <c r="M578">
        <f>IF(A578="","",LOWER(TRIM(SUBSTITUTE(SUBSTITUTE(A578,"?",""),"*",""))))</f>
        <v/>
      </c>
      <c r="N578">
        <f>IF(M578="","",IF(SUMPRODUCT(ISNUMBER(SEARCH(" "&amp;Settings!$L$5:$L$124&amp;" "," "&amp;M578&amp;" "))*(Settings!$K$5:$K$124="Navigational")*(Settings!$L$5:$L$124&lt;&gt;""))&gt;0,"Navigational",IF(SUMPRODUCT(ISNUMBER(SEARCH(" "&amp;Settings!$L$5:$L$124&amp;" "," "&amp;M578&amp;" "))*(Settings!$K$5:$K$124="Transactional")*(Settings!$L$5:$L$124&lt;&gt;""))&gt;0,"Transactional",IF(SUMPRODUCT(ISNUMBER(SEARCH(" "&amp;Settings!$L$5:$L$124&amp;" "," "&amp;M578&amp;" "))*(Settings!$K$5:$K$124="Commercial")*(Settings!$L$5:$L$124&lt;&gt;""))&gt;0,"Commercial",IF(SUMPRODUCT(ISNUMBER(SEARCH(" "&amp;Settings!$L$5:$L$124&amp;" "," "&amp;M578&amp;" "))*(Settings!$K$5:$K$124="Informational")*(Settings!$L$5:$L$124&lt;&gt;""))&gt;0,"Informational","Unclassified")))))</f>
        <v/>
      </c>
      <c r="O578">
        <f>IF(A578="","",IF(K578&lt;&gt;"",PROPER(K578),N578))</f>
        <v/>
      </c>
      <c r="P578">
        <f>IF(A578="","",ROUND(Settings!$B$5*MIN(1,LOG10(N(C578)+1)/LOG10(Settings!$B$7+1))+Settings!$B$6*(1-MIN(100,IF(D578="",50,N(D578)))/100)+IFERROR(INDEX(Settings!$B$10:$B$14,MATCH(O578,Settings!$A$10:$A$14,0)),0),0))</f>
        <v/>
      </c>
      <c r="Q578">
        <f>IF(OR(A578="",G578=""),"",COUNTIFS($M$3:$M$1002,M578,$G$3:$G$1002,"&lt;&gt;"&amp;SUBSTITUTE(SUBSTITUTE(G578,"?","~?"),"*","~*"),$G$3:$G$1002,"?*"))</f>
        <v/>
      </c>
      <c r="R578">
        <f>IF(Q578="","",IF(Q578&gt;0,"Yes","No"))</f>
        <v/>
      </c>
      <c r="S578">
        <f>IF(G578="","",COUNTIFS($G$3:$G$1002,SUBSTITUTE(SUBSTITUTE(G578,"?","~?"),"*","~*"),$J$3:$J$1002,"Primary"))</f>
        <v/>
      </c>
      <c r="T578">
        <f>IF(S578="","",IF(S578&gt;Settings!$B$4,"Yes","No"))</f>
        <v/>
      </c>
      <c r="U578">
        <f>IF(OR(G578="",B578=""),"",IF(COUNTIFS($G$3:$G$1002,SUBSTITUTE(SUBSTITUTE(G578,"?","~?"),"*","~*"),$B$3:$B$1002,"&lt;&gt;"&amp;SUBSTITUTE(SUBSTITUTE(B578,"?","~?"),"*","~*"),$B$3:$B$1002,"?*")&gt;0,"Yes","No"))</f>
        <v/>
      </c>
      <c r="V578">
        <f>IF(OR(G578="",I578="",O578="",O578="Unclassified"),"",IFERROR(INDEX(Settings!$E$5:$H$16,MATCH(I578,Settings!$D$5:$D$16,0),MATCH(O578,Settings!$E$4:$H$4,0)),"Check"))</f>
        <v/>
      </c>
      <c r="W578">
        <f>IF(V578="","",IF(V578="No","Yes","No"))</f>
        <v/>
      </c>
      <c r="X578">
        <f>IF(OR(E578="",G578=""),"",IF(LOWER(IF(RIGHT(TRIM(E578),1)="/",LEFT(TRIM(E578),LEN(TRIM(E578))-1),TRIM(E578)))&lt;&gt;LOWER(IF(RIGHT(TRIM(G578),1)="/",LEFT(TRIM(G578),LEN(TRIM(G578))-1),TRIM(G578))),"Yes","No"))</f>
        <v/>
      </c>
      <c r="Y578">
        <f>IF(A578="","",(N(Q578)&gt;0)+(T578="Yes")+(U578="Yes")+(W578="Yes")+(X578="Yes"))</f>
        <v/>
      </c>
      <c r="Z578">
        <f>IF(A578="","",IF(G578="","Not mapped",IF(Y578=0,"OK",MID(IF(N(Q578)&gt;0,"; Cannibalisation","")&amp;IF(T578="Yes","; Too many primary keywords on URL","")&amp;IF(U578="Yes","; URL spans 2+ clusters","")&amp;IF(W578="Yes","; Intent mismatch","")&amp;IF(X578="Yes","; Ranking URL is not the target",""),3,300))))</f>
        <v/>
      </c>
      <c r="AA578">
        <f>IF(G578="","",IF(COUNTIF($G$3:G578,SUBSTITUTE(SUBSTITUTE(G578,"?","~?"),"*","~*"))=1,MAX($AA$2:AA577)+1,""))</f>
        <v/>
      </c>
      <c r="AB578">
        <f>IF(B578="","",IF(COUNTIF($B$3:B578,SUBSTITUTE(SUBSTITUTE(B578,"?","~?"),"*","~*"))=1,MAX($AB$2:AB577)+1,""))</f>
        <v/>
      </c>
    </row>
    <row r="579">
      <c r="M579">
        <f>IF(A579="","",LOWER(TRIM(SUBSTITUTE(SUBSTITUTE(A579,"?",""),"*",""))))</f>
        <v/>
      </c>
      <c r="N579">
        <f>IF(M579="","",IF(SUMPRODUCT(ISNUMBER(SEARCH(" "&amp;Settings!$L$5:$L$124&amp;" "," "&amp;M579&amp;" "))*(Settings!$K$5:$K$124="Navigational")*(Settings!$L$5:$L$124&lt;&gt;""))&gt;0,"Navigational",IF(SUMPRODUCT(ISNUMBER(SEARCH(" "&amp;Settings!$L$5:$L$124&amp;" "," "&amp;M579&amp;" "))*(Settings!$K$5:$K$124="Transactional")*(Settings!$L$5:$L$124&lt;&gt;""))&gt;0,"Transactional",IF(SUMPRODUCT(ISNUMBER(SEARCH(" "&amp;Settings!$L$5:$L$124&amp;" "," "&amp;M579&amp;" "))*(Settings!$K$5:$K$124="Commercial")*(Settings!$L$5:$L$124&lt;&gt;""))&gt;0,"Commercial",IF(SUMPRODUCT(ISNUMBER(SEARCH(" "&amp;Settings!$L$5:$L$124&amp;" "," "&amp;M579&amp;" "))*(Settings!$K$5:$K$124="Informational")*(Settings!$L$5:$L$124&lt;&gt;""))&gt;0,"Informational","Unclassified")))))</f>
        <v/>
      </c>
      <c r="O579">
        <f>IF(A579="","",IF(K579&lt;&gt;"",PROPER(K579),N579))</f>
        <v/>
      </c>
      <c r="P579">
        <f>IF(A579="","",ROUND(Settings!$B$5*MIN(1,LOG10(N(C579)+1)/LOG10(Settings!$B$7+1))+Settings!$B$6*(1-MIN(100,IF(D579="",50,N(D579)))/100)+IFERROR(INDEX(Settings!$B$10:$B$14,MATCH(O579,Settings!$A$10:$A$14,0)),0),0))</f>
        <v/>
      </c>
      <c r="Q579">
        <f>IF(OR(A579="",G579=""),"",COUNTIFS($M$3:$M$1002,M579,$G$3:$G$1002,"&lt;&gt;"&amp;SUBSTITUTE(SUBSTITUTE(G579,"?","~?"),"*","~*"),$G$3:$G$1002,"?*"))</f>
        <v/>
      </c>
      <c r="R579">
        <f>IF(Q579="","",IF(Q579&gt;0,"Yes","No"))</f>
        <v/>
      </c>
      <c r="S579">
        <f>IF(G579="","",COUNTIFS($G$3:$G$1002,SUBSTITUTE(SUBSTITUTE(G579,"?","~?"),"*","~*"),$J$3:$J$1002,"Primary"))</f>
        <v/>
      </c>
      <c r="T579">
        <f>IF(S579="","",IF(S579&gt;Settings!$B$4,"Yes","No"))</f>
        <v/>
      </c>
      <c r="U579">
        <f>IF(OR(G579="",B579=""),"",IF(COUNTIFS($G$3:$G$1002,SUBSTITUTE(SUBSTITUTE(G579,"?","~?"),"*","~*"),$B$3:$B$1002,"&lt;&gt;"&amp;SUBSTITUTE(SUBSTITUTE(B579,"?","~?"),"*","~*"),$B$3:$B$1002,"?*")&gt;0,"Yes","No"))</f>
        <v/>
      </c>
      <c r="V579">
        <f>IF(OR(G579="",I579="",O579="",O579="Unclassified"),"",IFERROR(INDEX(Settings!$E$5:$H$16,MATCH(I579,Settings!$D$5:$D$16,0),MATCH(O579,Settings!$E$4:$H$4,0)),"Check"))</f>
        <v/>
      </c>
      <c r="W579">
        <f>IF(V579="","",IF(V579="No","Yes","No"))</f>
        <v/>
      </c>
      <c r="X579">
        <f>IF(OR(E579="",G579=""),"",IF(LOWER(IF(RIGHT(TRIM(E579),1)="/",LEFT(TRIM(E579),LEN(TRIM(E579))-1),TRIM(E579)))&lt;&gt;LOWER(IF(RIGHT(TRIM(G579),1)="/",LEFT(TRIM(G579),LEN(TRIM(G579))-1),TRIM(G579))),"Yes","No"))</f>
        <v/>
      </c>
      <c r="Y579">
        <f>IF(A579="","",(N(Q579)&gt;0)+(T579="Yes")+(U579="Yes")+(W579="Yes")+(X579="Yes"))</f>
        <v/>
      </c>
      <c r="Z579">
        <f>IF(A579="","",IF(G579="","Not mapped",IF(Y579=0,"OK",MID(IF(N(Q579)&gt;0,"; Cannibalisation","")&amp;IF(T579="Yes","; Too many primary keywords on URL","")&amp;IF(U579="Yes","; URL spans 2+ clusters","")&amp;IF(W579="Yes","; Intent mismatch","")&amp;IF(X579="Yes","; Ranking URL is not the target",""),3,300))))</f>
        <v/>
      </c>
      <c r="AA579">
        <f>IF(G579="","",IF(COUNTIF($G$3:G579,SUBSTITUTE(SUBSTITUTE(G579,"?","~?"),"*","~*"))=1,MAX($AA$2:AA578)+1,""))</f>
        <v/>
      </c>
      <c r="AB579">
        <f>IF(B579="","",IF(COUNTIF($B$3:B579,SUBSTITUTE(SUBSTITUTE(B579,"?","~?"),"*","~*"))=1,MAX($AB$2:AB578)+1,""))</f>
        <v/>
      </c>
    </row>
    <row r="580">
      <c r="M580">
        <f>IF(A580="","",LOWER(TRIM(SUBSTITUTE(SUBSTITUTE(A580,"?",""),"*",""))))</f>
        <v/>
      </c>
      <c r="N580">
        <f>IF(M580="","",IF(SUMPRODUCT(ISNUMBER(SEARCH(" "&amp;Settings!$L$5:$L$124&amp;" "," "&amp;M580&amp;" "))*(Settings!$K$5:$K$124="Navigational")*(Settings!$L$5:$L$124&lt;&gt;""))&gt;0,"Navigational",IF(SUMPRODUCT(ISNUMBER(SEARCH(" "&amp;Settings!$L$5:$L$124&amp;" "," "&amp;M580&amp;" "))*(Settings!$K$5:$K$124="Transactional")*(Settings!$L$5:$L$124&lt;&gt;""))&gt;0,"Transactional",IF(SUMPRODUCT(ISNUMBER(SEARCH(" "&amp;Settings!$L$5:$L$124&amp;" "," "&amp;M580&amp;" "))*(Settings!$K$5:$K$124="Commercial")*(Settings!$L$5:$L$124&lt;&gt;""))&gt;0,"Commercial",IF(SUMPRODUCT(ISNUMBER(SEARCH(" "&amp;Settings!$L$5:$L$124&amp;" "," "&amp;M580&amp;" "))*(Settings!$K$5:$K$124="Informational")*(Settings!$L$5:$L$124&lt;&gt;""))&gt;0,"Informational","Unclassified")))))</f>
        <v/>
      </c>
      <c r="O580">
        <f>IF(A580="","",IF(K580&lt;&gt;"",PROPER(K580),N580))</f>
        <v/>
      </c>
      <c r="P580">
        <f>IF(A580="","",ROUND(Settings!$B$5*MIN(1,LOG10(N(C580)+1)/LOG10(Settings!$B$7+1))+Settings!$B$6*(1-MIN(100,IF(D580="",50,N(D580)))/100)+IFERROR(INDEX(Settings!$B$10:$B$14,MATCH(O580,Settings!$A$10:$A$14,0)),0),0))</f>
        <v/>
      </c>
      <c r="Q580">
        <f>IF(OR(A580="",G580=""),"",COUNTIFS($M$3:$M$1002,M580,$G$3:$G$1002,"&lt;&gt;"&amp;SUBSTITUTE(SUBSTITUTE(G580,"?","~?"),"*","~*"),$G$3:$G$1002,"?*"))</f>
        <v/>
      </c>
      <c r="R580">
        <f>IF(Q580="","",IF(Q580&gt;0,"Yes","No"))</f>
        <v/>
      </c>
      <c r="S580">
        <f>IF(G580="","",COUNTIFS($G$3:$G$1002,SUBSTITUTE(SUBSTITUTE(G580,"?","~?"),"*","~*"),$J$3:$J$1002,"Primary"))</f>
        <v/>
      </c>
      <c r="T580">
        <f>IF(S580="","",IF(S580&gt;Settings!$B$4,"Yes","No"))</f>
        <v/>
      </c>
      <c r="U580">
        <f>IF(OR(G580="",B580=""),"",IF(COUNTIFS($G$3:$G$1002,SUBSTITUTE(SUBSTITUTE(G580,"?","~?"),"*","~*"),$B$3:$B$1002,"&lt;&gt;"&amp;SUBSTITUTE(SUBSTITUTE(B580,"?","~?"),"*","~*"),$B$3:$B$1002,"?*")&gt;0,"Yes","No"))</f>
        <v/>
      </c>
      <c r="V580">
        <f>IF(OR(G580="",I580="",O580="",O580="Unclassified"),"",IFERROR(INDEX(Settings!$E$5:$H$16,MATCH(I580,Settings!$D$5:$D$16,0),MATCH(O580,Settings!$E$4:$H$4,0)),"Check"))</f>
        <v/>
      </c>
      <c r="W580">
        <f>IF(V580="","",IF(V580="No","Yes","No"))</f>
        <v/>
      </c>
      <c r="X580">
        <f>IF(OR(E580="",G580=""),"",IF(LOWER(IF(RIGHT(TRIM(E580),1)="/",LEFT(TRIM(E580),LEN(TRIM(E580))-1),TRIM(E580)))&lt;&gt;LOWER(IF(RIGHT(TRIM(G580),1)="/",LEFT(TRIM(G580),LEN(TRIM(G580))-1),TRIM(G580))),"Yes","No"))</f>
        <v/>
      </c>
      <c r="Y580">
        <f>IF(A580="","",(N(Q580)&gt;0)+(T580="Yes")+(U580="Yes")+(W580="Yes")+(X580="Yes"))</f>
        <v/>
      </c>
      <c r="Z580">
        <f>IF(A580="","",IF(G580="","Not mapped",IF(Y580=0,"OK",MID(IF(N(Q580)&gt;0,"; Cannibalisation","")&amp;IF(T580="Yes","; Too many primary keywords on URL","")&amp;IF(U580="Yes","; URL spans 2+ clusters","")&amp;IF(W580="Yes","; Intent mismatch","")&amp;IF(X580="Yes","; Ranking URL is not the target",""),3,300))))</f>
        <v/>
      </c>
      <c r="AA580">
        <f>IF(G580="","",IF(COUNTIF($G$3:G580,SUBSTITUTE(SUBSTITUTE(G580,"?","~?"),"*","~*"))=1,MAX($AA$2:AA579)+1,""))</f>
        <v/>
      </c>
      <c r="AB580">
        <f>IF(B580="","",IF(COUNTIF($B$3:B580,SUBSTITUTE(SUBSTITUTE(B580,"?","~?"),"*","~*"))=1,MAX($AB$2:AB579)+1,""))</f>
        <v/>
      </c>
    </row>
    <row r="581">
      <c r="M581">
        <f>IF(A581="","",LOWER(TRIM(SUBSTITUTE(SUBSTITUTE(A581,"?",""),"*",""))))</f>
        <v/>
      </c>
      <c r="N581">
        <f>IF(M581="","",IF(SUMPRODUCT(ISNUMBER(SEARCH(" "&amp;Settings!$L$5:$L$124&amp;" "," "&amp;M581&amp;" "))*(Settings!$K$5:$K$124="Navigational")*(Settings!$L$5:$L$124&lt;&gt;""))&gt;0,"Navigational",IF(SUMPRODUCT(ISNUMBER(SEARCH(" "&amp;Settings!$L$5:$L$124&amp;" "," "&amp;M581&amp;" "))*(Settings!$K$5:$K$124="Transactional")*(Settings!$L$5:$L$124&lt;&gt;""))&gt;0,"Transactional",IF(SUMPRODUCT(ISNUMBER(SEARCH(" "&amp;Settings!$L$5:$L$124&amp;" "," "&amp;M581&amp;" "))*(Settings!$K$5:$K$124="Commercial")*(Settings!$L$5:$L$124&lt;&gt;""))&gt;0,"Commercial",IF(SUMPRODUCT(ISNUMBER(SEARCH(" "&amp;Settings!$L$5:$L$124&amp;" "," "&amp;M581&amp;" "))*(Settings!$K$5:$K$124="Informational")*(Settings!$L$5:$L$124&lt;&gt;""))&gt;0,"Informational","Unclassified")))))</f>
        <v/>
      </c>
      <c r="O581">
        <f>IF(A581="","",IF(K581&lt;&gt;"",PROPER(K581),N581))</f>
        <v/>
      </c>
      <c r="P581">
        <f>IF(A581="","",ROUND(Settings!$B$5*MIN(1,LOG10(N(C581)+1)/LOG10(Settings!$B$7+1))+Settings!$B$6*(1-MIN(100,IF(D581="",50,N(D581)))/100)+IFERROR(INDEX(Settings!$B$10:$B$14,MATCH(O581,Settings!$A$10:$A$14,0)),0),0))</f>
        <v/>
      </c>
      <c r="Q581">
        <f>IF(OR(A581="",G581=""),"",COUNTIFS($M$3:$M$1002,M581,$G$3:$G$1002,"&lt;&gt;"&amp;SUBSTITUTE(SUBSTITUTE(G581,"?","~?"),"*","~*"),$G$3:$G$1002,"?*"))</f>
        <v/>
      </c>
      <c r="R581">
        <f>IF(Q581="","",IF(Q581&gt;0,"Yes","No"))</f>
        <v/>
      </c>
      <c r="S581">
        <f>IF(G581="","",COUNTIFS($G$3:$G$1002,SUBSTITUTE(SUBSTITUTE(G581,"?","~?"),"*","~*"),$J$3:$J$1002,"Primary"))</f>
        <v/>
      </c>
      <c r="T581">
        <f>IF(S581="","",IF(S581&gt;Settings!$B$4,"Yes","No"))</f>
        <v/>
      </c>
      <c r="U581">
        <f>IF(OR(G581="",B581=""),"",IF(COUNTIFS($G$3:$G$1002,SUBSTITUTE(SUBSTITUTE(G581,"?","~?"),"*","~*"),$B$3:$B$1002,"&lt;&gt;"&amp;SUBSTITUTE(SUBSTITUTE(B581,"?","~?"),"*","~*"),$B$3:$B$1002,"?*")&gt;0,"Yes","No"))</f>
        <v/>
      </c>
      <c r="V581">
        <f>IF(OR(G581="",I581="",O581="",O581="Unclassified"),"",IFERROR(INDEX(Settings!$E$5:$H$16,MATCH(I581,Settings!$D$5:$D$16,0),MATCH(O581,Settings!$E$4:$H$4,0)),"Check"))</f>
        <v/>
      </c>
      <c r="W581">
        <f>IF(V581="","",IF(V581="No","Yes","No"))</f>
        <v/>
      </c>
      <c r="X581">
        <f>IF(OR(E581="",G581=""),"",IF(LOWER(IF(RIGHT(TRIM(E581),1)="/",LEFT(TRIM(E581),LEN(TRIM(E581))-1),TRIM(E581)))&lt;&gt;LOWER(IF(RIGHT(TRIM(G581),1)="/",LEFT(TRIM(G581),LEN(TRIM(G581))-1),TRIM(G581))),"Yes","No"))</f>
        <v/>
      </c>
      <c r="Y581">
        <f>IF(A581="","",(N(Q581)&gt;0)+(T581="Yes")+(U581="Yes")+(W581="Yes")+(X581="Yes"))</f>
        <v/>
      </c>
      <c r="Z581">
        <f>IF(A581="","",IF(G581="","Not mapped",IF(Y581=0,"OK",MID(IF(N(Q581)&gt;0,"; Cannibalisation","")&amp;IF(T581="Yes","; Too many primary keywords on URL","")&amp;IF(U581="Yes","; URL spans 2+ clusters","")&amp;IF(W581="Yes","; Intent mismatch","")&amp;IF(X581="Yes","; Ranking URL is not the target",""),3,300))))</f>
        <v/>
      </c>
      <c r="AA581">
        <f>IF(G581="","",IF(COUNTIF($G$3:G581,SUBSTITUTE(SUBSTITUTE(G581,"?","~?"),"*","~*"))=1,MAX($AA$2:AA580)+1,""))</f>
        <v/>
      </c>
      <c r="AB581">
        <f>IF(B581="","",IF(COUNTIF($B$3:B581,SUBSTITUTE(SUBSTITUTE(B581,"?","~?"),"*","~*"))=1,MAX($AB$2:AB580)+1,""))</f>
        <v/>
      </c>
    </row>
    <row r="582">
      <c r="M582">
        <f>IF(A582="","",LOWER(TRIM(SUBSTITUTE(SUBSTITUTE(A582,"?",""),"*",""))))</f>
        <v/>
      </c>
      <c r="N582">
        <f>IF(M582="","",IF(SUMPRODUCT(ISNUMBER(SEARCH(" "&amp;Settings!$L$5:$L$124&amp;" "," "&amp;M582&amp;" "))*(Settings!$K$5:$K$124="Navigational")*(Settings!$L$5:$L$124&lt;&gt;""))&gt;0,"Navigational",IF(SUMPRODUCT(ISNUMBER(SEARCH(" "&amp;Settings!$L$5:$L$124&amp;" "," "&amp;M582&amp;" "))*(Settings!$K$5:$K$124="Transactional")*(Settings!$L$5:$L$124&lt;&gt;""))&gt;0,"Transactional",IF(SUMPRODUCT(ISNUMBER(SEARCH(" "&amp;Settings!$L$5:$L$124&amp;" "," "&amp;M582&amp;" "))*(Settings!$K$5:$K$124="Commercial")*(Settings!$L$5:$L$124&lt;&gt;""))&gt;0,"Commercial",IF(SUMPRODUCT(ISNUMBER(SEARCH(" "&amp;Settings!$L$5:$L$124&amp;" "," "&amp;M582&amp;" "))*(Settings!$K$5:$K$124="Informational")*(Settings!$L$5:$L$124&lt;&gt;""))&gt;0,"Informational","Unclassified")))))</f>
        <v/>
      </c>
      <c r="O582">
        <f>IF(A582="","",IF(K582&lt;&gt;"",PROPER(K582),N582))</f>
        <v/>
      </c>
      <c r="P582">
        <f>IF(A582="","",ROUND(Settings!$B$5*MIN(1,LOG10(N(C582)+1)/LOG10(Settings!$B$7+1))+Settings!$B$6*(1-MIN(100,IF(D582="",50,N(D582)))/100)+IFERROR(INDEX(Settings!$B$10:$B$14,MATCH(O582,Settings!$A$10:$A$14,0)),0),0))</f>
        <v/>
      </c>
      <c r="Q582">
        <f>IF(OR(A582="",G582=""),"",COUNTIFS($M$3:$M$1002,M582,$G$3:$G$1002,"&lt;&gt;"&amp;SUBSTITUTE(SUBSTITUTE(G582,"?","~?"),"*","~*"),$G$3:$G$1002,"?*"))</f>
        <v/>
      </c>
      <c r="R582">
        <f>IF(Q582="","",IF(Q582&gt;0,"Yes","No"))</f>
        <v/>
      </c>
      <c r="S582">
        <f>IF(G582="","",COUNTIFS($G$3:$G$1002,SUBSTITUTE(SUBSTITUTE(G582,"?","~?"),"*","~*"),$J$3:$J$1002,"Primary"))</f>
        <v/>
      </c>
      <c r="T582">
        <f>IF(S582="","",IF(S582&gt;Settings!$B$4,"Yes","No"))</f>
        <v/>
      </c>
      <c r="U582">
        <f>IF(OR(G582="",B582=""),"",IF(COUNTIFS($G$3:$G$1002,SUBSTITUTE(SUBSTITUTE(G582,"?","~?"),"*","~*"),$B$3:$B$1002,"&lt;&gt;"&amp;SUBSTITUTE(SUBSTITUTE(B582,"?","~?"),"*","~*"),$B$3:$B$1002,"?*")&gt;0,"Yes","No"))</f>
        <v/>
      </c>
      <c r="V582">
        <f>IF(OR(G582="",I582="",O582="",O582="Unclassified"),"",IFERROR(INDEX(Settings!$E$5:$H$16,MATCH(I582,Settings!$D$5:$D$16,0),MATCH(O582,Settings!$E$4:$H$4,0)),"Check"))</f>
        <v/>
      </c>
      <c r="W582">
        <f>IF(V582="","",IF(V582="No","Yes","No"))</f>
        <v/>
      </c>
      <c r="X582">
        <f>IF(OR(E582="",G582=""),"",IF(LOWER(IF(RIGHT(TRIM(E582),1)="/",LEFT(TRIM(E582),LEN(TRIM(E582))-1),TRIM(E582)))&lt;&gt;LOWER(IF(RIGHT(TRIM(G582),1)="/",LEFT(TRIM(G582),LEN(TRIM(G582))-1),TRIM(G582))),"Yes","No"))</f>
        <v/>
      </c>
      <c r="Y582">
        <f>IF(A582="","",(N(Q582)&gt;0)+(T582="Yes")+(U582="Yes")+(W582="Yes")+(X582="Yes"))</f>
        <v/>
      </c>
      <c r="Z582">
        <f>IF(A582="","",IF(G582="","Not mapped",IF(Y582=0,"OK",MID(IF(N(Q582)&gt;0,"; Cannibalisation","")&amp;IF(T582="Yes","; Too many primary keywords on URL","")&amp;IF(U582="Yes","; URL spans 2+ clusters","")&amp;IF(W582="Yes","; Intent mismatch","")&amp;IF(X582="Yes","; Ranking URL is not the target",""),3,300))))</f>
        <v/>
      </c>
      <c r="AA582">
        <f>IF(G582="","",IF(COUNTIF($G$3:G582,SUBSTITUTE(SUBSTITUTE(G582,"?","~?"),"*","~*"))=1,MAX($AA$2:AA581)+1,""))</f>
        <v/>
      </c>
      <c r="AB582">
        <f>IF(B582="","",IF(COUNTIF($B$3:B582,SUBSTITUTE(SUBSTITUTE(B582,"?","~?"),"*","~*"))=1,MAX($AB$2:AB581)+1,""))</f>
        <v/>
      </c>
    </row>
    <row r="583">
      <c r="M583">
        <f>IF(A583="","",LOWER(TRIM(SUBSTITUTE(SUBSTITUTE(A583,"?",""),"*",""))))</f>
        <v/>
      </c>
      <c r="N583">
        <f>IF(M583="","",IF(SUMPRODUCT(ISNUMBER(SEARCH(" "&amp;Settings!$L$5:$L$124&amp;" "," "&amp;M583&amp;" "))*(Settings!$K$5:$K$124="Navigational")*(Settings!$L$5:$L$124&lt;&gt;""))&gt;0,"Navigational",IF(SUMPRODUCT(ISNUMBER(SEARCH(" "&amp;Settings!$L$5:$L$124&amp;" "," "&amp;M583&amp;" "))*(Settings!$K$5:$K$124="Transactional")*(Settings!$L$5:$L$124&lt;&gt;""))&gt;0,"Transactional",IF(SUMPRODUCT(ISNUMBER(SEARCH(" "&amp;Settings!$L$5:$L$124&amp;" "," "&amp;M583&amp;" "))*(Settings!$K$5:$K$124="Commercial")*(Settings!$L$5:$L$124&lt;&gt;""))&gt;0,"Commercial",IF(SUMPRODUCT(ISNUMBER(SEARCH(" "&amp;Settings!$L$5:$L$124&amp;" "," "&amp;M583&amp;" "))*(Settings!$K$5:$K$124="Informational")*(Settings!$L$5:$L$124&lt;&gt;""))&gt;0,"Informational","Unclassified")))))</f>
        <v/>
      </c>
      <c r="O583">
        <f>IF(A583="","",IF(K583&lt;&gt;"",PROPER(K583),N583))</f>
        <v/>
      </c>
      <c r="P583">
        <f>IF(A583="","",ROUND(Settings!$B$5*MIN(1,LOG10(N(C583)+1)/LOG10(Settings!$B$7+1))+Settings!$B$6*(1-MIN(100,IF(D583="",50,N(D583)))/100)+IFERROR(INDEX(Settings!$B$10:$B$14,MATCH(O583,Settings!$A$10:$A$14,0)),0),0))</f>
        <v/>
      </c>
      <c r="Q583">
        <f>IF(OR(A583="",G583=""),"",COUNTIFS($M$3:$M$1002,M583,$G$3:$G$1002,"&lt;&gt;"&amp;SUBSTITUTE(SUBSTITUTE(G583,"?","~?"),"*","~*"),$G$3:$G$1002,"?*"))</f>
        <v/>
      </c>
      <c r="R583">
        <f>IF(Q583="","",IF(Q583&gt;0,"Yes","No"))</f>
        <v/>
      </c>
      <c r="S583">
        <f>IF(G583="","",COUNTIFS($G$3:$G$1002,SUBSTITUTE(SUBSTITUTE(G583,"?","~?"),"*","~*"),$J$3:$J$1002,"Primary"))</f>
        <v/>
      </c>
      <c r="T583">
        <f>IF(S583="","",IF(S583&gt;Settings!$B$4,"Yes","No"))</f>
        <v/>
      </c>
      <c r="U583">
        <f>IF(OR(G583="",B583=""),"",IF(COUNTIFS($G$3:$G$1002,SUBSTITUTE(SUBSTITUTE(G583,"?","~?"),"*","~*"),$B$3:$B$1002,"&lt;&gt;"&amp;SUBSTITUTE(SUBSTITUTE(B583,"?","~?"),"*","~*"),$B$3:$B$1002,"?*")&gt;0,"Yes","No"))</f>
        <v/>
      </c>
      <c r="V583">
        <f>IF(OR(G583="",I583="",O583="",O583="Unclassified"),"",IFERROR(INDEX(Settings!$E$5:$H$16,MATCH(I583,Settings!$D$5:$D$16,0),MATCH(O583,Settings!$E$4:$H$4,0)),"Check"))</f>
        <v/>
      </c>
      <c r="W583">
        <f>IF(V583="","",IF(V583="No","Yes","No"))</f>
        <v/>
      </c>
      <c r="X583">
        <f>IF(OR(E583="",G583=""),"",IF(LOWER(IF(RIGHT(TRIM(E583),1)="/",LEFT(TRIM(E583),LEN(TRIM(E583))-1),TRIM(E583)))&lt;&gt;LOWER(IF(RIGHT(TRIM(G583),1)="/",LEFT(TRIM(G583),LEN(TRIM(G583))-1),TRIM(G583))),"Yes","No"))</f>
        <v/>
      </c>
      <c r="Y583">
        <f>IF(A583="","",(N(Q583)&gt;0)+(T583="Yes")+(U583="Yes")+(W583="Yes")+(X583="Yes"))</f>
        <v/>
      </c>
      <c r="Z583">
        <f>IF(A583="","",IF(G583="","Not mapped",IF(Y583=0,"OK",MID(IF(N(Q583)&gt;0,"; Cannibalisation","")&amp;IF(T583="Yes","; Too many primary keywords on URL","")&amp;IF(U583="Yes","; URL spans 2+ clusters","")&amp;IF(W583="Yes","; Intent mismatch","")&amp;IF(X583="Yes","; Ranking URL is not the target",""),3,300))))</f>
        <v/>
      </c>
      <c r="AA583">
        <f>IF(G583="","",IF(COUNTIF($G$3:G583,SUBSTITUTE(SUBSTITUTE(G583,"?","~?"),"*","~*"))=1,MAX($AA$2:AA582)+1,""))</f>
        <v/>
      </c>
      <c r="AB583">
        <f>IF(B583="","",IF(COUNTIF($B$3:B583,SUBSTITUTE(SUBSTITUTE(B583,"?","~?"),"*","~*"))=1,MAX($AB$2:AB582)+1,""))</f>
        <v/>
      </c>
    </row>
    <row r="584">
      <c r="M584">
        <f>IF(A584="","",LOWER(TRIM(SUBSTITUTE(SUBSTITUTE(A584,"?",""),"*",""))))</f>
        <v/>
      </c>
      <c r="N584">
        <f>IF(M584="","",IF(SUMPRODUCT(ISNUMBER(SEARCH(" "&amp;Settings!$L$5:$L$124&amp;" "," "&amp;M584&amp;" "))*(Settings!$K$5:$K$124="Navigational")*(Settings!$L$5:$L$124&lt;&gt;""))&gt;0,"Navigational",IF(SUMPRODUCT(ISNUMBER(SEARCH(" "&amp;Settings!$L$5:$L$124&amp;" "," "&amp;M584&amp;" "))*(Settings!$K$5:$K$124="Transactional")*(Settings!$L$5:$L$124&lt;&gt;""))&gt;0,"Transactional",IF(SUMPRODUCT(ISNUMBER(SEARCH(" "&amp;Settings!$L$5:$L$124&amp;" "," "&amp;M584&amp;" "))*(Settings!$K$5:$K$124="Commercial")*(Settings!$L$5:$L$124&lt;&gt;""))&gt;0,"Commercial",IF(SUMPRODUCT(ISNUMBER(SEARCH(" "&amp;Settings!$L$5:$L$124&amp;" "," "&amp;M584&amp;" "))*(Settings!$K$5:$K$124="Informational")*(Settings!$L$5:$L$124&lt;&gt;""))&gt;0,"Informational","Unclassified")))))</f>
        <v/>
      </c>
      <c r="O584">
        <f>IF(A584="","",IF(K584&lt;&gt;"",PROPER(K584),N584))</f>
        <v/>
      </c>
      <c r="P584">
        <f>IF(A584="","",ROUND(Settings!$B$5*MIN(1,LOG10(N(C584)+1)/LOG10(Settings!$B$7+1))+Settings!$B$6*(1-MIN(100,IF(D584="",50,N(D584)))/100)+IFERROR(INDEX(Settings!$B$10:$B$14,MATCH(O584,Settings!$A$10:$A$14,0)),0),0))</f>
        <v/>
      </c>
      <c r="Q584">
        <f>IF(OR(A584="",G584=""),"",COUNTIFS($M$3:$M$1002,M584,$G$3:$G$1002,"&lt;&gt;"&amp;SUBSTITUTE(SUBSTITUTE(G584,"?","~?"),"*","~*"),$G$3:$G$1002,"?*"))</f>
        <v/>
      </c>
      <c r="R584">
        <f>IF(Q584="","",IF(Q584&gt;0,"Yes","No"))</f>
        <v/>
      </c>
      <c r="S584">
        <f>IF(G584="","",COUNTIFS($G$3:$G$1002,SUBSTITUTE(SUBSTITUTE(G584,"?","~?"),"*","~*"),$J$3:$J$1002,"Primary"))</f>
        <v/>
      </c>
      <c r="T584">
        <f>IF(S584="","",IF(S584&gt;Settings!$B$4,"Yes","No"))</f>
        <v/>
      </c>
      <c r="U584">
        <f>IF(OR(G584="",B584=""),"",IF(COUNTIFS($G$3:$G$1002,SUBSTITUTE(SUBSTITUTE(G584,"?","~?"),"*","~*"),$B$3:$B$1002,"&lt;&gt;"&amp;SUBSTITUTE(SUBSTITUTE(B584,"?","~?"),"*","~*"),$B$3:$B$1002,"?*")&gt;0,"Yes","No"))</f>
        <v/>
      </c>
      <c r="V584">
        <f>IF(OR(G584="",I584="",O584="",O584="Unclassified"),"",IFERROR(INDEX(Settings!$E$5:$H$16,MATCH(I584,Settings!$D$5:$D$16,0),MATCH(O584,Settings!$E$4:$H$4,0)),"Check"))</f>
        <v/>
      </c>
      <c r="W584">
        <f>IF(V584="","",IF(V584="No","Yes","No"))</f>
        <v/>
      </c>
      <c r="X584">
        <f>IF(OR(E584="",G584=""),"",IF(LOWER(IF(RIGHT(TRIM(E584),1)="/",LEFT(TRIM(E584),LEN(TRIM(E584))-1),TRIM(E584)))&lt;&gt;LOWER(IF(RIGHT(TRIM(G584),1)="/",LEFT(TRIM(G584),LEN(TRIM(G584))-1),TRIM(G584))),"Yes","No"))</f>
        <v/>
      </c>
      <c r="Y584">
        <f>IF(A584="","",(N(Q584)&gt;0)+(T584="Yes")+(U584="Yes")+(W584="Yes")+(X584="Yes"))</f>
        <v/>
      </c>
      <c r="Z584">
        <f>IF(A584="","",IF(G584="","Not mapped",IF(Y584=0,"OK",MID(IF(N(Q584)&gt;0,"; Cannibalisation","")&amp;IF(T584="Yes","; Too many primary keywords on URL","")&amp;IF(U584="Yes","; URL spans 2+ clusters","")&amp;IF(W584="Yes","; Intent mismatch","")&amp;IF(X584="Yes","; Ranking URL is not the target",""),3,300))))</f>
        <v/>
      </c>
      <c r="AA584">
        <f>IF(G584="","",IF(COUNTIF($G$3:G584,SUBSTITUTE(SUBSTITUTE(G584,"?","~?"),"*","~*"))=1,MAX($AA$2:AA583)+1,""))</f>
        <v/>
      </c>
      <c r="AB584">
        <f>IF(B584="","",IF(COUNTIF($B$3:B584,SUBSTITUTE(SUBSTITUTE(B584,"?","~?"),"*","~*"))=1,MAX($AB$2:AB583)+1,""))</f>
        <v/>
      </c>
    </row>
    <row r="585">
      <c r="M585">
        <f>IF(A585="","",LOWER(TRIM(SUBSTITUTE(SUBSTITUTE(A585,"?",""),"*",""))))</f>
        <v/>
      </c>
      <c r="N585">
        <f>IF(M585="","",IF(SUMPRODUCT(ISNUMBER(SEARCH(" "&amp;Settings!$L$5:$L$124&amp;" "," "&amp;M585&amp;" "))*(Settings!$K$5:$K$124="Navigational")*(Settings!$L$5:$L$124&lt;&gt;""))&gt;0,"Navigational",IF(SUMPRODUCT(ISNUMBER(SEARCH(" "&amp;Settings!$L$5:$L$124&amp;" "," "&amp;M585&amp;" "))*(Settings!$K$5:$K$124="Transactional")*(Settings!$L$5:$L$124&lt;&gt;""))&gt;0,"Transactional",IF(SUMPRODUCT(ISNUMBER(SEARCH(" "&amp;Settings!$L$5:$L$124&amp;" "," "&amp;M585&amp;" "))*(Settings!$K$5:$K$124="Commercial")*(Settings!$L$5:$L$124&lt;&gt;""))&gt;0,"Commercial",IF(SUMPRODUCT(ISNUMBER(SEARCH(" "&amp;Settings!$L$5:$L$124&amp;" "," "&amp;M585&amp;" "))*(Settings!$K$5:$K$124="Informational")*(Settings!$L$5:$L$124&lt;&gt;""))&gt;0,"Informational","Unclassified")))))</f>
        <v/>
      </c>
      <c r="O585">
        <f>IF(A585="","",IF(K585&lt;&gt;"",PROPER(K585),N585))</f>
        <v/>
      </c>
      <c r="P585">
        <f>IF(A585="","",ROUND(Settings!$B$5*MIN(1,LOG10(N(C585)+1)/LOG10(Settings!$B$7+1))+Settings!$B$6*(1-MIN(100,IF(D585="",50,N(D585)))/100)+IFERROR(INDEX(Settings!$B$10:$B$14,MATCH(O585,Settings!$A$10:$A$14,0)),0),0))</f>
        <v/>
      </c>
      <c r="Q585">
        <f>IF(OR(A585="",G585=""),"",COUNTIFS($M$3:$M$1002,M585,$G$3:$G$1002,"&lt;&gt;"&amp;SUBSTITUTE(SUBSTITUTE(G585,"?","~?"),"*","~*"),$G$3:$G$1002,"?*"))</f>
        <v/>
      </c>
      <c r="R585">
        <f>IF(Q585="","",IF(Q585&gt;0,"Yes","No"))</f>
        <v/>
      </c>
      <c r="S585">
        <f>IF(G585="","",COUNTIFS($G$3:$G$1002,SUBSTITUTE(SUBSTITUTE(G585,"?","~?"),"*","~*"),$J$3:$J$1002,"Primary"))</f>
        <v/>
      </c>
      <c r="T585">
        <f>IF(S585="","",IF(S585&gt;Settings!$B$4,"Yes","No"))</f>
        <v/>
      </c>
      <c r="U585">
        <f>IF(OR(G585="",B585=""),"",IF(COUNTIFS($G$3:$G$1002,SUBSTITUTE(SUBSTITUTE(G585,"?","~?"),"*","~*"),$B$3:$B$1002,"&lt;&gt;"&amp;SUBSTITUTE(SUBSTITUTE(B585,"?","~?"),"*","~*"),$B$3:$B$1002,"?*")&gt;0,"Yes","No"))</f>
        <v/>
      </c>
      <c r="V585">
        <f>IF(OR(G585="",I585="",O585="",O585="Unclassified"),"",IFERROR(INDEX(Settings!$E$5:$H$16,MATCH(I585,Settings!$D$5:$D$16,0),MATCH(O585,Settings!$E$4:$H$4,0)),"Check"))</f>
        <v/>
      </c>
      <c r="W585">
        <f>IF(V585="","",IF(V585="No","Yes","No"))</f>
        <v/>
      </c>
      <c r="X585">
        <f>IF(OR(E585="",G585=""),"",IF(LOWER(IF(RIGHT(TRIM(E585),1)="/",LEFT(TRIM(E585),LEN(TRIM(E585))-1),TRIM(E585)))&lt;&gt;LOWER(IF(RIGHT(TRIM(G585),1)="/",LEFT(TRIM(G585),LEN(TRIM(G585))-1),TRIM(G585))),"Yes","No"))</f>
        <v/>
      </c>
      <c r="Y585">
        <f>IF(A585="","",(N(Q585)&gt;0)+(T585="Yes")+(U585="Yes")+(W585="Yes")+(X585="Yes"))</f>
        <v/>
      </c>
      <c r="Z585">
        <f>IF(A585="","",IF(G585="","Not mapped",IF(Y585=0,"OK",MID(IF(N(Q585)&gt;0,"; Cannibalisation","")&amp;IF(T585="Yes","; Too many primary keywords on URL","")&amp;IF(U585="Yes","; URL spans 2+ clusters","")&amp;IF(W585="Yes","; Intent mismatch","")&amp;IF(X585="Yes","; Ranking URL is not the target",""),3,300))))</f>
        <v/>
      </c>
      <c r="AA585">
        <f>IF(G585="","",IF(COUNTIF($G$3:G585,SUBSTITUTE(SUBSTITUTE(G585,"?","~?"),"*","~*"))=1,MAX($AA$2:AA584)+1,""))</f>
        <v/>
      </c>
      <c r="AB585">
        <f>IF(B585="","",IF(COUNTIF($B$3:B585,SUBSTITUTE(SUBSTITUTE(B585,"?","~?"),"*","~*"))=1,MAX($AB$2:AB584)+1,""))</f>
        <v/>
      </c>
    </row>
    <row r="586">
      <c r="M586">
        <f>IF(A586="","",LOWER(TRIM(SUBSTITUTE(SUBSTITUTE(A586,"?",""),"*",""))))</f>
        <v/>
      </c>
      <c r="N586">
        <f>IF(M586="","",IF(SUMPRODUCT(ISNUMBER(SEARCH(" "&amp;Settings!$L$5:$L$124&amp;" "," "&amp;M586&amp;" "))*(Settings!$K$5:$K$124="Navigational")*(Settings!$L$5:$L$124&lt;&gt;""))&gt;0,"Navigational",IF(SUMPRODUCT(ISNUMBER(SEARCH(" "&amp;Settings!$L$5:$L$124&amp;" "," "&amp;M586&amp;" "))*(Settings!$K$5:$K$124="Transactional")*(Settings!$L$5:$L$124&lt;&gt;""))&gt;0,"Transactional",IF(SUMPRODUCT(ISNUMBER(SEARCH(" "&amp;Settings!$L$5:$L$124&amp;" "," "&amp;M586&amp;" "))*(Settings!$K$5:$K$124="Commercial")*(Settings!$L$5:$L$124&lt;&gt;""))&gt;0,"Commercial",IF(SUMPRODUCT(ISNUMBER(SEARCH(" "&amp;Settings!$L$5:$L$124&amp;" "," "&amp;M586&amp;" "))*(Settings!$K$5:$K$124="Informational")*(Settings!$L$5:$L$124&lt;&gt;""))&gt;0,"Informational","Unclassified")))))</f>
        <v/>
      </c>
      <c r="O586">
        <f>IF(A586="","",IF(K586&lt;&gt;"",PROPER(K586),N586))</f>
        <v/>
      </c>
      <c r="P586">
        <f>IF(A586="","",ROUND(Settings!$B$5*MIN(1,LOG10(N(C586)+1)/LOG10(Settings!$B$7+1))+Settings!$B$6*(1-MIN(100,IF(D586="",50,N(D586)))/100)+IFERROR(INDEX(Settings!$B$10:$B$14,MATCH(O586,Settings!$A$10:$A$14,0)),0),0))</f>
        <v/>
      </c>
      <c r="Q586">
        <f>IF(OR(A586="",G586=""),"",COUNTIFS($M$3:$M$1002,M586,$G$3:$G$1002,"&lt;&gt;"&amp;SUBSTITUTE(SUBSTITUTE(G586,"?","~?"),"*","~*"),$G$3:$G$1002,"?*"))</f>
        <v/>
      </c>
      <c r="R586">
        <f>IF(Q586="","",IF(Q586&gt;0,"Yes","No"))</f>
        <v/>
      </c>
      <c r="S586">
        <f>IF(G586="","",COUNTIFS($G$3:$G$1002,SUBSTITUTE(SUBSTITUTE(G586,"?","~?"),"*","~*"),$J$3:$J$1002,"Primary"))</f>
        <v/>
      </c>
      <c r="T586">
        <f>IF(S586="","",IF(S586&gt;Settings!$B$4,"Yes","No"))</f>
        <v/>
      </c>
      <c r="U586">
        <f>IF(OR(G586="",B586=""),"",IF(COUNTIFS($G$3:$G$1002,SUBSTITUTE(SUBSTITUTE(G586,"?","~?"),"*","~*"),$B$3:$B$1002,"&lt;&gt;"&amp;SUBSTITUTE(SUBSTITUTE(B586,"?","~?"),"*","~*"),$B$3:$B$1002,"?*")&gt;0,"Yes","No"))</f>
        <v/>
      </c>
      <c r="V586">
        <f>IF(OR(G586="",I586="",O586="",O586="Unclassified"),"",IFERROR(INDEX(Settings!$E$5:$H$16,MATCH(I586,Settings!$D$5:$D$16,0),MATCH(O586,Settings!$E$4:$H$4,0)),"Check"))</f>
        <v/>
      </c>
      <c r="W586">
        <f>IF(V586="","",IF(V586="No","Yes","No"))</f>
        <v/>
      </c>
      <c r="X586">
        <f>IF(OR(E586="",G586=""),"",IF(LOWER(IF(RIGHT(TRIM(E586),1)="/",LEFT(TRIM(E586),LEN(TRIM(E586))-1),TRIM(E586)))&lt;&gt;LOWER(IF(RIGHT(TRIM(G586),1)="/",LEFT(TRIM(G586),LEN(TRIM(G586))-1),TRIM(G586))),"Yes","No"))</f>
        <v/>
      </c>
      <c r="Y586">
        <f>IF(A586="","",(N(Q586)&gt;0)+(T586="Yes")+(U586="Yes")+(W586="Yes")+(X586="Yes"))</f>
        <v/>
      </c>
      <c r="Z586">
        <f>IF(A586="","",IF(G586="","Not mapped",IF(Y586=0,"OK",MID(IF(N(Q586)&gt;0,"; Cannibalisation","")&amp;IF(T586="Yes","; Too many primary keywords on URL","")&amp;IF(U586="Yes","; URL spans 2+ clusters","")&amp;IF(W586="Yes","; Intent mismatch","")&amp;IF(X586="Yes","; Ranking URL is not the target",""),3,300))))</f>
        <v/>
      </c>
      <c r="AA586">
        <f>IF(G586="","",IF(COUNTIF($G$3:G586,SUBSTITUTE(SUBSTITUTE(G586,"?","~?"),"*","~*"))=1,MAX($AA$2:AA585)+1,""))</f>
        <v/>
      </c>
      <c r="AB586">
        <f>IF(B586="","",IF(COUNTIF($B$3:B586,SUBSTITUTE(SUBSTITUTE(B586,"?","~?"),"*","~*"))=1,MAX($AB$2:AB585)+1,""))</f>
        <v/>
      </c>
    </row>
    <row r="587">
      <c r="M587">
        <f>IF(A587="","",LOWER(TRIM(SUBSTITUTE(SUBSTITUTE(A587,"?",""),"*",""))))</f>
        <v/>
      </c>
      <c r="N587">
        <f>IF(M587="","",IF(SUMPRODUCT(ISNUMBER(SEARCH(" "&amp;Settings!$L$5:$L$124&amp;" "," "&amp;M587&amp;" "))*(Settings!$K$5:$K$124="Navigational")*(Settings!$L$5:$L$124&lt;&gt;""))&gt;0,"Navigational",IF(SUMPRODUCT(ISNUMBER(SEARCH(" "&amp;Settings!$L$5:$L$124&amp;" "," "&amp;M587&amp;" "))*(Settings!$K$5:$K$124="Transactional")*(Settings!$L$5:$L$124&lt;&gt;""))&gt;0,"Transactional",IF(SUMPRODUCT(ISNUMBER(SEARCH(" "&amp;Settings!$L$5:$L$124&amp;" "," "&amp;M587&amp;" "))*(Settings!$K$5:$K$124="Commercial")*(Settings!$L$5:$L$124&lt;&gt;""))&gt;0,"Commercial",IF(SUMPRODUCT(ISNUMBER(SEARCH(" "&amp;Settings!$L$5:$L$124&amp;" "," "&amp;M587&amp;" "))*(Settings!$K$5:$K$124="Informational")*(Settings!$L$5:$L$124&lt;&gt;""))&gt;0,"Informational","Unclassified")))))</f>
        <v/>
      </c>
      <c r="O587">
        <f>IF(A587="","",IF(K587&lt;&gt;"",PROPER(K587),N587))</f>
        <v/>
      </c>
      <c r="P587">
        <f>IF(A587="","",ROUND(Settings!$B$5*MIN(1,LOG10(N(C587)+1)/LOG10(Settings!$B$7+1))+Settings!$B$6*(1-MIN(100,IF(D587="",50,N(D587)))/100)+IFERROR(INDEX(Settings!$B$10:$B$14,MATCH(O587,Settings!$A$10:$A$14,0)),0),0))</f>
        <v/>
      </c>
      <c r="Q587">
        <f>IF(OR(A587="",G587=""),"",COUNTIFS($M$3:$M$1002,M587,$G$3:$G$1002,"&lt;&gt;"&amp;SUBSTITUTE(SUBSTITUTE(G587,"?","~?"),"*","~*"),$G$3:$G$1002,"?*"))</f>
        <v/>
      </c>
      <c r="R587">
        <f>IF(Q587="","",IF(Q587&gt;0,"Yes","No"))</f>
        <v/>
      </c>
      <c r="S587">
        <f>IF(G587="","",COUNTIFS($G$3:$G$1002,SUBSTITUTE(SUBSTITUTE(G587,"?","~?"),"*","~*"),$J$3:$J$1002,"Primary"))</f>
        <v/>
      </c>
      <c r="T587">
        <f>IF(S587="","",IF(S587&gt;Settings!$B$4,"Yes","No"))</f>
        <v/>
      </c>
      <c r="U587">
        <f>IF(OR(G587="",B587=""),"",IF(COUNTIFS($G$3:$G$1002,SUBSTITUTE(SUBSTITUTE(G587,"?","~?"),"*","~*"),$B$3:$B$1002,"&lt;&gt;"&amp;SUBSTITUTE(SUBSTITUTE(B587,"?","~?"),"*","~*"),$B$3:$B$1002,"?*")&gt;0,"Yes","No"))</f>
        <v/>
      </c>
      <c r="V587">
        <f>IF(OR(G587="",I587="",O587="",O587="Unclassified"),"",IFERROR(INDEX(Settings!$E$5:$H$16,MATCH(I587,Settings!$D$5:$D$16,0),MATCH(O587,Settings!$E$4:$H$4,0)),"Check"))</f>
        <v/>
      </c>
      <c r="W587">
        <f>IF(V587="","",IF(V587="No","Yes","No"))</f>
        <v/>
      </c>
      <c r="X587">
        <f>IF(OR(E587="",G587=""),"",IF(LOWER(IF(RIGHT(TRIM(E587),1)="/",LEFT(TRIM(E587),LEN(TRIM(E587))-1),TRIM(E587)))&lt;&gt;LOWER(IF(RIGHT(TRIM(G587),1)="/",LEFT(TRIM(G587),LEN(TRIM(G587))-1),TRIM(G587))),"Yes","No"))</f>
        <v/>
      </c>
      <c r="Y587">
        <f>IF(A587="","",(N(Q587)&gt;0)+(T587="Yes")+(U587="Yes")+(W587="Yes")+(X587="Yes"))</f>
        <v/>
      </c>
      <c r="Z587">
        <f>IF(A587="","",IF(G587="","Not mapped",IF(Y587=0,"OK",MID(IF(N(Q587)&gt;0,"; Cannibalisation","")&amp;IF(T587="Yes","; Too many primary keywords on URL","")&amp;IF(U587="Yes","; URL spans 2+ clusters","")&amp;IF(W587="Yes","; Intent mismatch","")&amp;IF(X587="Yes","; Ranking URL is not the target",""),3,300))))</f>
        <v/>
      </c>
      <c r="AA587">
        <f>IF(G587="","",IF(COUNTIF($G$3:G587,SUBSTITUTE(SUBSTITUTE(G587,"?","~?"),"*","~*"))=1,MAX($AA$2:AA586)+1,""))</f>
        <v/>
      </c>
      <c r="AB587">
        <f>IF(B587="","",IF(COUNTIF($B$3:B587,SUBSTITUTE(SUBSTITUTE(B587,"?","~?"),"*","~*"))=1,MAX($AB$2:AB586)+1,""))</f>
        <v/>
      </c>
    </row>
    <row r="588">
      <c r="M588">
        <f>IF(A588="","",LOWER(TRIM(SUBSTITUTE(SUBSTITUTE(A588,"?",""),"*",""))))</f>
        <v/>
      </c>
      <c r="N588">
        <f>IF(M588="","",IF(SUMPRODUCT(ISNUMBER(SEARCH(" "&amp;Settings!$L$5:$L$124&amp;" "," "&amp;M588&amp;" "))*(Settings!$K$5:$K$124="Navigational")*(Settings!$L$5:$L$124&lt;&gt;""))&gt;0,"Navigational",IF(SUMPRODUCT(ISNUMBER(SEARCH(" "&amp;Settings!$L$5:$L$124&amp;" "," "&amp;M588&amp;" "))*(Settings!$K$5:$K$124="Transactional")*(Settings!$L$5:$L$124&lt;&gt;""))&gt;0,"Transactional",IF(SUMPRODUCT(ISNUMBER(SEARCH(" "&amp;Settings!$L$5:$L$124&amp;" "," "&amp;M588&amp;" "))*(Settings!$K$5:$K$124="Commercial")*(Settings!$L$5:$L$124&lt;&gt;""))&gt;0,"Commercial",IF(SUMPRODUCT(ISNUMBER(SEARCH(" "&amp;Settings!$L$5:$L$124&amp;" "," "&amp;M588&amp;" "))*(Settings!$K$5:$K$124="Informational")*(Settings!$L$5:$L$124&lt;&gt;""))&gt;0,"Informational","Unclassified")))))</f>
        <v/>
      </c>
      <c r="O588">
        <f>IF(A588="","",IF(K588&lt;&gt;"",PROPER(K588),N588))</f>
        <v/>
      </c>
      <c r="P588">
        <f>IF(A588="","",ROUND(Settings!$B$5*MIN(1,LOG10(N(C588)+1)/LOG10(Settings!$B$7+1))+Settings!$B$6*(1-MIN(100,IF(D588="",50,N(D588)))/100)+IFERROR(INDEX(Settings!$B$10:$B$14,MATCH(O588,Settings!$A$10:$A$14,0)),0),0))</f>
        <v/>
      </c>
      <c r="Q588">
        <f>IF(OR(A588="",G588=""),"",COUNTIFS($M$3:$M$1002,M588,$G$3:$G$1002,"&lt;&gt;"&amp;SUBSTITUTE(SUBSTITUTE(G588,"?","~?"),"*","~*"),$G$3:$G$1002,"?*"))</f>
        <v/>
      </c>
      <c r="R588">
        <f>IF(Q588="","",IF(Q588&gt;0,"Yes","No"))</f>
        <v/>
      </c>
      <c r="S588">
        <f>IF(G588="","",COUNTIFS($G$3:$G$1002,SUBSTITUTE(SUBSTITUTE(G588,"?","~?"),"*","~*"),$J$3:$J$1002,"Primary"))</f>
        <v/>
      </c>
      <c r="T588">
        <f>IF(S588="","",IF(S588&gt;Settings!$B$4,"Yes","No"))</f>
        <v/>
      </c>
      <c r="U588">
        <f>IF(OR(G588="",B588=""),"",IF(COUNTIFS($G$3:$G$1002,SUBSTITUTE(SUBSTITUTE(G588,"?","~?"),"*","~*"),$B$3:$B$1002,"&lt;&gt;"&amp;SUBSTITUTE(SUBSTITUTE(B588,"?","~?"),"*","~*"),$B$3:$B$1002,"?*")&gt;0,"Yes","No"))</f>
        <v/>
      </c>
      <c r="V588">
        <f>IF(OR(G588="",I588="",O588="",O588="Unclassified"),"",IFERROR(INDEX(Settings!$E$5:$H$16,MATCH(I588,Settings!$D$5:$D$16,0),MATCH(O588,Settings!$E$4:$H$4,0)),"Check"))</f>
        <v/>
      </c>
      <c r="W588">
        <f>IF(V588="","",IF(V588="No","Yes","No"))</f>
        <v/>
      </c>
      <c r="X588">
        <f>IF(OR(E588="",G588=""),"",IF(LOWER(IF(RIGHT(TRIM(E588),1)="/",LEFT(TRIM(E588),LEN(TRIM(E588))-1),TRIM(E588)))&lt;&gt;LOWER(IF(RIGHT(TRIM(G588),1)="/",LEFT(TRIM(G588),LEN(TRIM(G588))-1),TRIM(G588))),"Yes","No"))</f>
        <v/>
      </c>
      <c r="Y588">
        <f>IF(A588="","",(N(Q588)&gt;0)+(T588="Yes")+(U588="Yes")+(W588="Yes")+(X588="Yes"))</f>
        <v/>
      </c>
      <c r="Z588">
        <f>IF(A588="","",IF(G588="","Not mapped",IF(Y588=0,"OK",MID(IF(N(Q588)&gt;0,"; Cannibalisation","")&amp;IF(T588="Yes","; Too many primary keywords on URL","")&amp;IF(U588="Yes","; URL spans 2+ clusters","")&amp;IF(W588="Yes","; Intent mismatch","")&amp;IF(X588="Yes","; Ranking URL is not the target",""),3,300))))</f>
        <v/>
      </c>
      <c r="AA588">
        <f>IF(G588="","",IF(COUNTIF($G$3:G588,SUBSTITUTE(SUBSTITUTE(G588,"?","~?"),"*","~*"))=1,MAX($AA$2:AA587)+1,""))</f>
        <v/>
      </c>
      <c r="AB588">
        <f>IF(B588="","",IF(COUNTIF($B$3:B588,SUBSTITUTE(SUBSTITUTE(B588,"?","~?"),"*","~*"))=1,MAX($AB$2:AB587)+1,""))</f>
        <v/>
      </c>
    </row>
    <row r="589">
      <c r="M589">
        <f>IF(A589="","",LOWER(TRIM(SUBSTITUTE(SUBSTITUTE(A589,"?",""),"*",""))))</f>
        <v/>
      </c>
      <c r="N589">
        <f>IF(M589="","",IF(SUMPRODUCT(ISNUMBER(SEARCH(" "&amp;Settings!$L$5:$L$124&amp;" "," "&amp;M589&amp;" "))*(Settings!$K$5:$K$124="Navigational")*(Settings!$L$5:$L$124&lt;&gt;""))&gt;0,"Navigational",IF(SUMPRODUCT(ISNUMBER(SEARCH(" "&amp;Settings!$L$5:$L$124&amp;" "," "&amp;M589&amp;" "))*(Settings!$K$5:$K$124="Transactional")*(Settings!$L$5:$L$124&lt;&gt;""))&gt;0,"Transactional",IF(SUMPRODUCT(ISNUMBER(SEARCH(" "&amp;Settings!$L$5:$L$124&amp;" "," "&amp;M589&amp;" "))*(Settings!$K$5:$K$124="Commercial")*(Settings!$L$5:$L$124&lt;&gt;""))&gt;0,"Commercial",IF(SUMPRODUCT(ISNUMBER(SEARCH(" "&amp;Settings!$L$5:$L$124&amp;" "," "&amp;M589&amp;" "))*(Settings!$K$5:$K$124="Informational")*(Settings!$L$5:$L$124&lt;&gt;""))&gt;0,"Informational","Unclassified")))))</f>
        <v/>
      </c>
      <c r="O589">
        <f>IF(A589="","",IF(K589&lt;&gt;"",PROPER(K589),N589))</f>
        <v/>
      </c>
      <c r="P589">
        <f>IF(A589="","",ROUND(Settings!$B$5*MIN(1,LOG10(N(C589)+1)/LOG10(Settings!$B$7+1))+Settings!$B$6*(1-MIN(100,IF(D589="",50,N(D589)))/100)+IFERROR(INDEX(Settings!$B$10:$B$14,MATCH(O589,Settings!$A$10:$A$14,0)),0),0))</f>
        <v/>
      </c>
      <c r="Q589">
        <f>IF(OR(A589="",G589=""),"",COUNTIFS($M$3:$M$1002,M589,$G$3:$G$1002,"&lt;&gt;"&amp;SUBSTITUTE(SUBSTITUTE(G589,"?","~?"),"*","~*"),$G$3:$G$1002,"?*"))</f>
        <v/>
      </c>
      <c r="R589">
        <f>IF(Q589="","",IF(Q589&gt;0,"Yes","No"))</f>
        <v/>
      </c>
      <c r="S589">
        <f>IF(G589="","",COUNTIFS($G$3:$G$1002,SUBSTITUTE(SUBSTITUTE(G589,"?","~?"),"*","~*"),$J$3:$J$1002,"Primary"))</f>
        <v/>
      </c>
      <c r="T589">
        <f>IF(S589="","",IF(S589&gt;Settings!$B$4,"Yes","No"))</f>
        <v/>
      </c>
      <c r="U589">
        <f>IF(OR(G589="",B589=""),"",IF(COUNTIFS($G$3:$G$1002,SUBSTITUTE(SUBSTITUTE(G589,"?","~?"),"*","~*"),$B$3:$B$1002,"&lt;&gt;"&amp;SUBSTITUTE(SUBSTITUTE(B589,"?","~?"),"*","~*"),$B$3:$B$1002,"?*")&gt;0,"Yes","No"))</f>
        <v/>
      </c>
      <c r="V589">
        <f>IF(OR(G589="",I589="",O589="",O589="Unclassified"),"",IFERROR(INDEX(Settings!$E$5:$H$16,MATCH(I589,Settings!$D$5:$D$16,0),MATCH(O589,Settings!$E$4:$H$4,0)),"Check"))</f>
        <v/>
      </c>
      <c r="W589">
        <f>IF(V589="","",IF(V589="No","Yes","No"))</f>
        <v/>
      </c>
      <c r="X589">
        <f>IF(OR(E589="",G589=""),"",IF(LOWER(IF(RIGHT(TRIM(E589),1)="/",LEFT(TRIM(E589),LEN(TRIM(E589))-1),TRIM(E589)))&lt;&gt;LOWER(IF(RIGHT(TRIM(G589),1)="/",LEFT(TRIM(G589),LEN(TRIM(G589))-1),TRIM(G589))),"Yes","No"))</f>
        <v/>
      </c>
      <c r="Y589">
        <f>IF(A589="","",(N(Q589)&gt;0)+(T589="Yes")+(U589="Yes")+(W589="Yes")+(X589="Yes"))</f>
        <v/>
      </c>
      <c r="Z589">
        <f>IF(A589="","",IF(G589="","Not mapped",IF(Y589=0,"OK",MID(IF(N(Q589)&gt;0,"; Cannibalisation","")&amp;IF(T589="Yes","; Too many primary keywords on URL","")&amp;IF(U589="Yes","; URL spans 2+ clusters","")&amp;IF(W589="Yes","; Intent mismatch","")&amp;IF(X589="Yes","; Ranking URL is not the target",""),3,300))))</f>
        <v/>
      </c>
      <c r="AA589">
        <f>IF(G589="","",IF(COUNTIF($G$3:G589,SUBSTITUTE(SUBSTITUTE(G589,"?","~?"),"*","~*"))=1,MAX($AA$2:AA588)+1,""))</f>
        <v/>
      </c>
      <c r="AB589">
        <f>IF(B589="","",IF(COUNTIF($B$3:B589,SUBSTITUTE(SUBSTITUTE(B589,"?","~?"),"*","~*"))=1,MAX($AB$2:AB588)+1,""))</f>
        <v/>
      </c>
    </row>
    <row r="590">
      <c r="M590">
        <f>IF(A590="","",LOWER(TRIM(SUBSTITUTE(SUBSTITUTE(A590,"?",""),"*",""))))</f>
        <v/>
      </c>
      <c r="N590">
        <f>IF(M590="","",IF(SUMPRODUCT(ISNUMBER(SEARCH(" "&amp;Settings!$L$5:$L$124&amp;" "," "&amp;M590&amp;" "))*(Settings!$K$5:$K$124="Navigational")*(Settings!$L$5:$L$124&lt;&gt;""))&gt;0,"Navigational",IF(SUMPRODUCT(ISNUMBER(SEARCH(" "&amp;Settings!$L$5:$L$124&amp;" "," "&amp;M590&amp;" "))*(Settings!$K$5:$K$124="Transactional")*(Settings!$L$5:$L$124&lt;&gt;""))&gt;0,"Transactional",IF(SUMPRODUCT(ISNUMBER(SEARCH(" "&amp;Settings!$L$5:$L$124&amp;" "," "&amp;M590&amp;" "))*(Settings!$K$5:$K$124="Commercial")*(Settings!$L$5:$L$124&lt;&gt;""))&gt;0,"Commercial",IF(SUMPRODUCT(ISNUMBER(SEARCH(" "&amp;Settings!$L$5:$L$124&amp;" "," "&amp;M590&amp;" "))*(Settings!$K$5:$K$124="Informational")*(Settings!$L$5:$L$124&lt;&gt;""))&gt;0,"Informational","Unclassified")))))</f>
        <v/>
      </c>
      <c r="O590">
        <f>IF(A590="","",IF(K590&lt;&gt;"",PROPER(K590),N590))</f>
        <v/>
      </c>
      <c r="P590">
        <f>IF(A590="","",ROUND(Settings!$B$5*MIN(1,LOG10(N(C590)+1)/LOG10(Settings!$B$7+1))+Settings!$B$6*(1-MIN(100,IF(D590="",50,N(D590)))/100)+IFERROR(INDEX(Settings!$B$10:$B$14,MATCH(O590,Settings!$A$10:$A$14,0)),0),0))</f>
        <v/>
      </c>
      <c r="Q590">
        <f>IF(OR(A590="",G590=""),"",COUNTIFS($M$3:$M$1002,M590,$G$3:$G$1002,"&lt;&gt;"&amp;SUBSTITUTE(SUBSTITUTE(G590,"?","~?"),"*","~*"),$G$3:$G$1002,"?*"))</f>
        <v/>
      </c>
      <c r="R590">
        <f>IF(Q590="","",IF(Q590&gt;0,"Yes","No"))</f>
        <v/>
      </c>
      <c r="S590">
        <f>IF(G590="","",COUNTIFS($G$3:$G$1002,SUBSTITUTE(SUBSTITUTE(G590,"?","~?"),"*","~*"),$J$3:$J$1002,"Primary"))</f>
        <v/>
      </c>
      <c r="T590">
        <f>IF(S590="","",IF(S590&gt;Settings!$B$4,"Yes","No"))</f>
        <v/>
      </c>
      <c r="U590">
        <f>IF(OR(G590="",B590=""),"",IF(COUNTIFS($G$3:$G$1002,SUBSTITUTE(SUBSTITUTE(G590,"?","~?"),"*","~*"),$B$3:$B$1002,"&lt;&gt;"&amp;SUBSTITUTE(SUBSTITUTE(B590,"?","~?"),"*","~*"),$B$3:$B$1002,"?*")&gt;0,"Yes","No"))</f>
        <v/>
      </c>
      <c r="V590">
        <f>IF(OR(G590="",I590="",O590="",O590="Unclassified"),"",IFERROR(INDEX(Settings!$E$5:$H$16,MATCH(I590,Settings!$D$5:$D$16,0),MATCH(O590,Settings!$E$4:$H$4,0)),"Check"))</f>
        <v/>
      </c>
      <c r="W590">
        <f>IF(V590="","",IF(V590="No","Yes","No"))</f>
        <v/>
      </c>
      <c r="X590">
        <f>IF(OR(E590="",G590=""),"",IF(LOWER(IF(RIGHT(TRIM(E590),1)="/",LEFT(TRIM(E590),LEN(TRIM(E590))-1),TRIM(E590)))&lt;&gt;LOWER(IF(RIGHT(TRIM(G590),1)="/",LEFT(TRIM(G590),LEN(TRIM(G590))-1),TRIM(G590))),"Yes","No"))</f>
        <v/>
      </c>
      <c r="Y590">
        <f>IF(A590="","",(N(Q590)&gt;0)+(T590="Yes")+(U590="Yes")+(W590="Yes")+(X590="Yes"))</f>
        <v/>
      </c>
      <c r="Z590">
        <f>IF(A590="","",IF(G590="","Not mapped",IF(Y590=0,"OK",MID(IF(N(Q590)&gt;0,"; Cannibalisation","")&amp;IF(T590="Yes","; Too many primary keywords on URL","")&amp;IF(U590="Yes","; URL spans 2+ clusters","")&amp;IF(W590="Yes","; Intent mismatch","")&amp;IF(X590="Yes","; Ranking URL is not the target",""),3,300))))</f>
        <v/>
      </c>
      <c r="AA590">
        <f>IF(G590="","",IF(COUNTIF($G$3:G590,SUBSTITUTE(SUBSTITUTE(G590,"?","~?"),"*","~*"))=1,MAX($AA$2:AA589)+1,""))</f>
        <v/>
      </c>
      <c r="AB590">
        <f>IF(B590="","",IF(COUNTIF($B$3:B590,SUBSTITUTE(SUBSTITUTE(B590,"?","~?"),"*","~*"))=1,MAX($AB$2:AB589)+1,""))</f>
        <v/>
      </c>
    </row>
    <row r="591">
      <c r="M591">
        <f>IF(A591="","",LOWER(TRIM(SUBSTITUTE(SUBSTITUTE(A591,"?",""),"*",""))))</f>
        <v/>
      </c>
      <c r="N591">
        <f>IF(M591="","",IF(SUMPRODUCT(ISNUMBER(SEARCH(" "&amp;Settings!$L$5:$L$124&amp;" "," "&amp;M591&amp;" "))*(Settings!$K$5:$K$124="Navigational")*(Settings!$L$5:$L$124&lt;&gt;""))&gt;0,"Navigational",IF(SUMPRODUCT(ISNUMBER(SEARCH(" "&amp;Settings!$L$5:$L$124&amp;" "," "&amp;M591&amp;" "))*(Settings!$K$5:$K$124="Transactional")*(Settings!$L$5:$L$124&lt;&gt;""))&gt;0,"Transactional",IF(SUMPRODUCT(ISNUMBER(SEARCH(" "&amp;Settings!$L$5:$L$124&amp;" "," "&amp;M591&amp;" "))*(Settings!$K$5:$K$124="Commercial")*(Settings!$L$5:$L$124&lt;&gt;""))&gt;0,"Commercial",IF(SUMPRODUCT(ISNUMBER(SEARCH(" "&amp;Settings!$L$5:$L$124&amp;" "," "&amp;M591&amp;" "))*(Settings!$K$5:$K$124="Informational")*(Settings!$L$5:$L$124&lt;&gt;""))&gt;0,"Informational","Unclassified")))))</f>
        <v/>
      </c>
      <c r="O591">
        <f>IF(A591="","",IF(K591&lt;&gt;"",PROPER(K591),N591))</f>
        <v/>
      </c>
      <c r="P591">
        <f>IF(A591="","",ROUND(Settings!$B$5*MIN(1,LOG10(N(C591)+1)/LOG10(Settings!$B$7+1))+Settings!$B$6*(1-MIN(100,IF(D591="",50,N(D591)))/100)+IFERROR(INDEX(Settings!$B$10:$B$14,MATCH(O591,Settings!$A$10:$A$14,0)),0),0))</f>
        <v/>
      </c>
      <c r="Q591">
        <f>IF(OR(A591="",G591=""),"",COUNTIFS($M$3:$M$1002,M591,$G$3:$G$1002,"&lt;&gt;"&amp;SUBSTITUTE(SUBSTITUTE(G591,"?","~?"),"*","~*"),$G$3:$G$1002,"?*"))</f>
        <v/>
      </c>
      <c r="R591">
        <f>IF(Q591="","",IF(Q591&gt;0,"Yes","No"))</f>
        <v/>
      </c>
      <c r="S591">
        <f>IF(G591="","",COUNTIFS($G$3:$G$1002,SUBSTITUTE(SUBSTITUTE(G591,"?","~?"),"*","~*"),$J$3:$J$1002,"Primary"))</f>
        <v/>
      </c>
      <c r="T591">
        <f>IF(S591="","",IF(S591&gt;Settings!$B$4,"Yes","No"))</f>
        <v/>
      </c>
      <c r="U591">
        <f>IF(OR(G591="",B591=""),"",IF(COUNTIFS($G$3:$G$1002,SUBSTITUTE(SUBSTITUTE(G591,"?","~?"),"*","~*"),$B$3:$B$1002,"&lt;&gt;"&amp;SUBSTITUTE(SUBSTITUTE(B591,"?","~?"),"*","~*"),$B$3:$B$1002,"?*")&gt;0,"Yes","No"))</f>
        <v/>
      </c>
      <c r="V591">
        <f>IF(OR(G591="",I591="",O591="",O591="Unclassified"),"",IFERROR(INDEX(Settings!$E$5:$H$16,MATCH(I591,Settings!$D$5:$D$16,0),MATCH(O591,Settings!$E$4:$H$4,0)),"Check"))</f>
        <v/>
      </c>
      <c r="W591">
        <f>IF(V591="","",IF(V591="No","Yes","No"))</f>
        <v/>
      </c>
      <c r="X591">
        <f>IF(OR(E591="",G591=""),"",IF(LOWER(IF(RIGHT(TRIM(E591),1)="/",LEFT(TRIM(E591),LEN(TRIM(E591))-1),TRIM(E591)))&lt;&gt;LOWER(IF(RIGHT(TRIM(G591),1)="/",LEFT(TRIM(G591),LEN(TRIM(G591))-1),TRIM(G591))),"Yes","No"))</f>
        <v/>
      </c>
      <c r="Y591">
        <f>IF(A591="","",(N(Q591)&gt;0)+(T591="Yes")+(U591="Yes")+(W591="Yes")+(X591="Yes"))</f>
        <v/>
      </c>
      <c r="Z591">
        <f>IF(A591="","",IF(G591="","Not mapped",IF(Y591=0,"OK",MID(IF(N(Q591)&gt;0,"; Cannibalisation","")&amp;IF(T591="Yes","; Too many primary keywords on URL","")&amp;IF(U591="Yes","; URL spans 2+ clusters","")&amp;IF(W591="Yes","; Intent mismatch","")&amp;IF(X591="Yes","; Ranking URL is not the target",""),3,300))))</f>
        <v/>
      </c>
      <c r="AA591">
        <f>IF(G591="","",IF(COUNTIF($G$3:G591,SUBSTITUTE(SUBSTITUTE(G591,"?","~?"),"*","~*"))=1,MAX($AA$2:AA590)+1,""))</f>
        <v/>
      </c>
      <c r="AB591">
        <f>IF(B591="","",IF(COUNTIF($B$3:B591,SUBSTITUTE(SUBSTITUTE(B591,"?","~?"),"*","~*"))=1,MAX($AB$2:AB590)+1,""))</f>
        <v/>
      </c>
    </row>
    <row r="592">
      <c r="M592">
        <f>IF(A592="","",LOWER(TRIM(SUBSTITUTE(SUBSTITUTE(A592,"?",""),"*",""))))</f>
        <v/>
      </c>
      <c r="N592">
        <f>IF(M592="","",IF(SUMPRODUCT(ISNUMBER(SEARCH(" "&amp;Settings!$L$5:$L$124&amp;" "," "&amp;M592&amp;" "))*(Settings!$K$5:$K$124="Navigational")*(Settings!$L$5:$L$124&lt;&gt;""))&gt;0,"Navigational",IF(SUMPRODUCT(ISNUMBER(SEARCH(" "&amp;Settings!$L$5:$L$124&amp;" "," "&amp;M592&amp;" "))*(Settings!$K$5:$K$124="Transactional")*(Settings!$L$5:$L$124&lt;&gt;""))&gt;0,"Transactional",IF(SUMPRODUCT(ISNUMBER(SEARCH(" "&amp;Settings!$L$5:$L$124&amp;" "," "&amp;M592&amp;" "))*(Settings!$K$5:$K$124="Commercial")*(Settings!$L$5:$L$124&lt;&gt;""))&gt;0,"Commercial",IF(SUMPRODUCT(ISNUMBER(SEARCH(" "&amp;Settings!$L$5:$L$124&amp;" "," "&amp;M592&amp;" "))*(Settings!$K$5:$K$124="Informational")*(Settings!$L$5:$L$124&lt;&gt;""))&gt;0,"Informational","Unclassified")))))</f>
        <v/>
      </c>
      <c r="O592">
        <f>IF(A592="","",IF(K592&lt;&gt;"",PROPER(K592),N592))</f>
        <v/>
      </c>
      <c r="P592">
        <f>IF(A592="","",ROUND(Settings!$B$5*MIN(1,LOG10(N(C592)+1)/LOG10(Settings!$B$7+1))+Settings!$B$6*(1-MIN(100,IF(D592="",50,N(D592)))/100)+IFERROR(INDEX(Settings!$B$10:$B$14,MATCH(O592,Settings!$A$10:$A$14,0)),0),0))</f>
        <v/>
      </c>
      <c r="Q592">
        <f>IF(OR(A592="",G592=""),"",COUNTIFS($M$3:$M$1002,M592,$G$3:$G$1002,"&lt;&gt;"&amp;SUBSTITUTE(SUBSTITUTE(G592,"?","~?"),"*","~*"),$G$3:$G$1002,"?*"))</f>
        <v/>
      </c>
      <c r="R592">
        <f>IF(Q592="","",IF(Q592&gt;0,"Yes","No"))</f>
        <v/>
      </c>
      <c r="S592">
        <f>IF(G592="","",COUNTIFS($G$3:$G$1002,SUBSTITUTE(SUBSTITUTE(G592,"?","~?"),"*","~*"),$J$3:$J$1002,"Primary"))</f>
        <v/>
      </c>
      <c r="T592">
        <f>IF(S592="","",IF(S592&gt;Settings!$B$4,"Yes","No"))</f>
        <v/>
      </c>
      <c r="U592">
        <f>IF(OR(G592="",B592=""),"",IF(COUNTIFS($G$3:$G$1002,SUBSTITUTE(SUBSTITUTE(G592,"?","~?"),"*","~*"),$B$3:$B$1002,"&lt;&gt;"&amp;SUBSTITUTE(SUBSTITUTE(B592,"?","~?"),"*","~*"),$B$3:$B$1002,"?*")&gt;0,"Yes","No"))</f>
        <v/>
      </c>
      <c r="V592">
        <f>IF(OR(G592="",I592="",O592="",O592="Unclassified"),"",IFERROR(INDEX(Settings!$E$5:$H$16,MATCH(I592,Settings!$D$5:$D$16,0),MATCH(O592,Settings!$E$4:$H$4,0)),"Check"))</f>
        <v/>
      </c>
      <c r="W592">
        <f>IF(V592="","",IF(V592="No","Yes","No"))</f>
        <v/>
      </c>
      <c r="X592">
        <f>IF(OR(E592="",G592=""),"",IF(LOWER(IF(RIGHT(TRIM(E592),1)="/",LEFT(TRIM(E592),LEN(TRIM(E592))-1),TRIM(E592)))&lt;&gt;LOWER(IF(RIGHT(TRIM(G592),1)="/",LEFT(TRIM(G592),LEN(TRIM(G592))-1),TRIM(G592))),"Yes","No"))</f>
        <v/>
      </c>
      <c r="Y592">
        <f>IF(A592="","",(N(Q592)&gt;0)+(T592="Yes")+(U592="Yes")+(W592="Yes")+(X592="Yes"))</f>
        <v/>
      </c>
      <c r="Z592">
        <f>IF(A592="","",IF(G592="","Not mapped",IF(Y592=0,"OK",MID(IF(N(Q592)&gt;0,"; Cannibalisation","")&amp;IF(T592="Yes","; Too many primary keywords on URL","")&amp;IF(U592="Yes","; URL spans 2+ clusters","")&amp;IF(W592="Yes","; Intent mismatch","")&amp;IF(X592="Yes","; Ranking URL is not the target",""),3,300))))</f>
        <v/>
      </c>
      <c r="AA592">
        <f>IF(G592="","",IF(COUNTIF($G$3:G592,SUBSTITUTE(SUBSTITUTE(G592,"?","~?"),"*","~*"))=1,MAX($AA$2:AA591)+1,""))</f>
        <v/>
      </c>
      <c r="AB592">
        <f>IF(B592="","",IF(COUNTIF($B$3:B592,SUBSTITUTE(SUBSTITUTE(B592,"?","~?"),"*","~*"))=1,MAX($AB$2:AB591)+1,""))</f>
        <v/>
      </c>
    </row>
    <row r="593">
      <c r="M593">
        <f>IF(A593="","",LOWER(TRIM(SUBSTITUTE(SUBSTITUTE(A593,"?",""),"*",""))))</f>
        <v/>
      </c>
      <c r="N593">
        <f>IF(M593="","",IF(SUMPRODUCT(ISNUMBER(SEARCH(" "&amp;Settings!$L$5:$L$124&amp;" "," "&amp;M593&amp;" "))*(Settings!$K$5:$K$124="Navigational")*(Settings!$L$5:$L$124&lt;&gt;""))&gt;0,"Navigational",IF(SUMPRODUCT(ISNUMBER(SEARCH(" "&amp;Settings!$L$5:$L$124&amp;" "," "&amp;M593&amp;" "))*(Settings!$K$5:$K$124="Transactional")*(Settings!$L$5:$L$124&lt;&gt;""))&gt;0,"Transactional",IF(SUMPRODUCT(ISNUMBER(SEARCH(" "&amp;Settings!$L$5:$L$124&amp;" "," "&amp;M593&amp;" "))*(Settings!$K$5:$K$124="Commercial")*(Settings!$L$5:$L$124&lt;&gt;""))&gt;0,"Commercial",IF(SUMPRODUCT(ISNUMBER(SEARCH(" "&amp;Settings!$L$5:$L$124&amp;" "," "&amp;M593&amp;" "))*(Settings!$K$5:$K$124="Informational")*(Settings!$L$5:$L$124&lt;&gt;""))&gt;0,"Informational","Unclassified")))))</f>
        <v/>
      </c>
      <c r="O593">
        <f>IF(A593="","",IF(K593&lt;&gt;"",PROPER(K593),N593))</f>
        <v/>
      </c>
      <c r="P593">
        <f>IF(A593="","",ROUND(Settings!$B$5*MIN(1,LOG10(N(C593)+1)/LOG10(Settings!$B$7+1))+Settings!$B$6*(1-MIN(100,IF(D593="",50,N(D593)))/100)+IFERROR(INDEX(Settings!$B$10:$B$14,MATCH(O593,Settings!$A$10:$A$14,0)),0),0))</f>
        <v/>
      </c>
      <c r="Q593">
        <f>IF(OR(A593="",G593=""),"",COUNTIFS($M$3:$M$1002,M593,$G$3:$G$1002,"&lt;&gt;"&amp;SUBSTITUTE(SUBSTITUTE(G593,"?","~?"),"*","~*"),$G$3:$G$1002,"?*"))</f>
        <v/>
      </c>
      <c r="R593">
        <f>IF(Q593="","",IF(Q593&gt;0,"Yes","No"))</f>
        <v/>
      </c>
      <c r="S593">
        <f>IF(G593="","",COUNTIFS($G$3:$G$1002,SUBSTITUTE(SUBSTITUTE(G593,"?","~?"),"*","~*"),$J$3:$J$1002,"Primary"))</f>
        <v/>
      </c>
      <c r="T593">
        <f>IF(S593="","",IF(S593&gt;Settings!$B$4,"Yes","No"))</f>
        <v/>
      </c>
      <c r="U593">
        <f>IF(OR(G593="",B593=""),"",IF(COUNTIFS($G$3:$G$1002,SUBSTITUTE(SUBSTITUTE(G593,"?","~?"),"*","~*"),$B$3:$B$1002,"&lt;&gt;"&amp;SUBSTITUTE(SUBSTITUTE(B593,"?","~?"),"*","~*"),$B$3:$B$1002,"?*")&gt;0,"Yes","No"))</f>
        <v/>
      </c>
      <c r="V593">
        <f>IF(OR(G593="",I593="",O593="",O593="Unclassified"),"",IFERROR(INDEX(Settings!$E$5:$H$16,MATCH(I593,Settings!$D$5:$D$16,0),MATCH(O593,Settings!$E$4:$H$4,0)),"Check"))</f>
        <v/>
      </c>
      <c r="W593">
        <f>IF(V593="","",IF(V593="No","Yes","No"))</f>
        <v/>
      </c>
      <c r="X593">
        <f>IF(OR(E593="",G593=""),"",IF(LOWER(IF(RIGHT(TRIM(E593),1)="/",LEFT(TRIM(E593),LEN(TRIM(E593))-1),TRIM(E593)))&lt;&gt;LOWER(IF(RIGHT(TRIM(G593),1)="/",LEFT(TRIM(G593),LEN(TRIM(G593))-1),TRIM(G593))),"Yes","No"))</f>
        <v/>
      </c>
      <c r="Y593">
        <f>IF(A593="","",(N(Q593)&gt;0)+(T593="Yes")+(U593="Yes")+(W593="Yes")+(X593="Yes"))</f>
        <v/>
      </c>
      <c r="Z593">
        <f>IF(A593="","",IF(G593="","Not mapped",IF(Y593=0,"OK",MID(IF(N(Q593)&gt;0,"; Cannibalisation","")&amp;IF(T593="Yes","; Too many primary keywords on URL","")&amp;IF(U593="Yes","; URL spans 2+ clusters","")&amp;IF(W593="Yes","; Intent mismatch","")&amp;IF(X593="Yes","; Ranking URL is not the target",""),3,300))))</f>
        <v/>
      </c>
      <c r="AA593">
        <f>IF(G593="","",IF(COUNTIF($G$3:G593,SUBSTITUTE(SUBSTITUTE(G593,"?","~?"),"*","~*"))=1,MAX($AA$2:AA592)+1,""))</f>
        <v/>
      </c>
      <c r="AB593">
        <f>IF(B593="","",IF(COUNTIF($B$3:B593,SUBSTITUTE(SUBSTITUTE(B593,"?","~?"),"*","~*"))=1,MAX($AB$2:AB592)+1,""))</f>
        <v/>
      </c>
    </row>
    <row r="594">
      <c r="M594">
        <f>IF(A594="","",LOWER(TRIM(SUBSTITUTE(SUBSTITUTE(A594,"?",""),"*",""))))</f>
        <v/>
      </c>
      <c r="N594">
        <f>IF(M594="","",IF(SUMPRODUCT(ISNUMBER(SEARCH(" "&amp;Settings!$L$5:$L$124&amp;" "," "&amp;M594&amp;" "))*(Settings!$K$5:$K$124="Navigational")*(Settings!$L$5:$L$124&lt;&gt;""))&gt;0,"Navigational",IF(SUMPRODUCT(ISNUMBER(SEARCH(" "&amp;Settings!$L$5:$L$124&amp;" "," "&amp;M594&amp;" "))*(Settings!$K$5:$K$124="Transactional")*(Settings!$L$5:$L$124&lt;&gt;""))&gt;0,"Transactional",IF(SUMPRODUCT(ISNUMBER(SEARCH(" "&amp;Settings!$L$5:$L$124&amp;" "," "&amp;M594&amp;" "))*(Settings!$K$5:$K$124="Commercial")*(Settings!$L$5:$L$124&lt;&gt;""))&gt;0,"Commercial",IF(SUMPRODUCT(ISNUMBER(SEARCH(" "&amp;Settings!$L$5:$L$124&amp;" "," "&amp;M594&amp;" "))*(Settings!$K$5:$K$124="Informational")*(Settings!$L$5:$L$124&lt;&gt;""))&gt;0,"Informational","Unclassified")))))</f>
        <v/>
      </c>
      <c r="O594">
        <f>IF(A594="","",IF(K594&lt;&gt;"",PROPER(K594),N594))</f>
        <v/>
      </c>
      <c r="P594">
        <f>IF(A594="","",ROUND(Settings!$B$5*MIN(1,LOG10(N(C594)+1)/LOG10(Settings!$B$7+1))+Settings!$B$6*(1-MIN(100,IF(D594="",50,N(D594)))/100)+IFERROR(INDEX(Settings!$B$10:$B$14,MATCH(O594,Settings!$A$10:$A$14,0)),0),0))</f>
        <v/>
      </c>
      <c r="Q594">
        <f>IF(OR(A594="",G594=""),"",COUNTIFS($M$3:$M$1002,M594,$G$3:$G$1002,"&lt;&gt;"&amp;SUBSTITUTE(SUBSTITUTE(G594,"?","~?"),"*","~*"),$G$3:$G$1002,"?*"))</f>
        <v/>
      </c>
      <c r="R594">
        <f>IF(Q594="","",IF(Q594&gt;0,"Yes","No"))</f>
        <v/>
      </c>
      <c r="S594">
        <f>IF(G594="","",COUNTIFS($G$3:$G$1002,SUBSTITUTE(SUBSTITUTE(G594,"?","~?"),"*","~*"),$J$3:$J$1002,"Primary"))</f>
        <v/>
      </c>
      <c r="T594">
        <f>IF(S594="","",IF(S594&gt;Settings!$B$4,"Yes","No"))</f>
        <v/>
      </c>
      <c r="U594">
        <f>IF(OR(G594="",B594=""),"",IF(COUNTIFS($G$3:$G$1002,SUBSTITUTE(SUBSTITUTE(G594,"?","~?"),"*","~*"),$B$3:$B$1002,"&lt;&gt;"&amp;SUBSTITUTE(SUBSTITUTE(B594,"?","~?"),"*","~*"),$B$3:$B$1002,"?*")&gt;0,"Yes","No"))</f>
        <v/>
      </c>
      <c r="V594">
        <f>IF(OR(G594="",I594="",O594="",O594="Unclassified"),"",IFERROR(INDEX(Settings!$E$5:$H$16,MATCH(I594,Settings!$D$5:$D$16,0),MATCH(O594,Settings!$E$4:$H$4,0)),"Check"))</f>
        <v/>
      </c>
      <c r="W594">
        <f>IF(V594="","",IF(V594="No","Yes","No"))</f>
        <v/>
      </c>
      <c r="X594">
        <f>IF(OR(E594="",G594=""),"",IF(LOWER(IF(RIGHT(TRIM(E594),1)="/",LEFT(TRIM(E594),LEN(TRIM(E594))-1),TRIM(E594)))&lt;&gt;LOWER(IF(RIGHT(TRIM(G594),1)="/",LEFT(TRIM(G594),LEN(TRIM(G594))-1),TRIM(G594))),"Yes","No"))</f>
        <v/>
      </c>
      <c r="Y594">
        <f>IF(A594="","",(N(Q594)&gt;0)+(T594="Yes")+(U594="Yes")+(W594="Yes")+(X594="Yes"))</f>
        <v/>
      </c>
      <c r="Z594">
        <f>IF(A594="","",IF(G594="","Not mapped",IF(Y594=0,"OK",MID(IF(N(Q594)&gt;0,"; Cannibalisation","")&amp;IF(T594="Yes","; Too many primary keywords on URL","")&amp;IF(U594="Yes","; URL spans 2+ clusters","")&amp;IF(W594="Yes","; Intent mismatch","")&amp;IF(X594="Yes","; Ranking URL is not the target",""),3,300))))</f>
        <v/>
      </c>
      <c r="AA594">
        <f>IF(G594="","",IF(COUNTIF($G$3:G594,SUBSTITUTE(SUBSTITUTE(G594,"?","~?"),"*","~*"))=1,MAX($AA$2:AA593)+1,""))</f>
        <v/>
      </c>
      <c r="AB594">
        <f>IF(B594="","",IF(COUNTIF($B$3:B594,SUBSTITUTE(SUBSTITUTE(B594,"?","~?"),"*","~*"))=1,MAX($AB$2:AB593)+1,""))</f>
        <v/>
      </c>
    </row>
    <row r="595">
      <c r="M595">
        <f>IF(A595="","",LOWER(TRIM(SUBSTITUTE(SUBSTITUTE(A595,"?",""),"*",""))))</f>
        <v/>
      </c>
      <c r="N595">
        <f>IF(M595="","",IF(SUMPRODUCT(ISNUMBER(SEARCH(" "&amp;Settings!$L$5:$L$124&amp;" "," "&amp;M595&amp;" "))*(Settings!$K$5:$K$124="Navigational")*(Settings!$L$5:$L$124&lt;&gt;""))&gt;0,"Navigational",IF(SUMPRODUCT(ISNUMBER(SEARCH(" "&amp;Settings!$L$5:$L$124&amp;" "," "&amp;M595&amp;" "))*(Settings!$K$5:$K$124="Transactional")*(Settings!$L$5:$L$124&lt;&gt;""))&gt;0,"Transactional",IF(SUMPRODUCT(ISNUMBER(SEARCH(" "&amp;Settings!$L$5:$L$124&amp;" "," "&amp;M595&amp;" "))*(Settings!$K$5:$K$124="Commercial")*(Settings!$L$5:$L$124&lt;&gt;""))&gt;0,"Commercial",IF(SUMPRODUCT(ISNUMBER(SEARCH(" "&amp;Settings!$L$5:$L$124&amp;" "," "&amp;M595&amp;" "))*(Settings!$K$5:$K$124="Informational")*(Settings!$L$5:$L$124&lt;&gt;""))&gt;0,"Informational","Unclassified")))))</f>
        <v/>
      </c>
      <c r="O595">
        <f>IF(A595="","",IF(K595&lt;&gt;"",PROPER(K595),N595))</f>
        <v/>
      </c>
      <c r="P595">
        <f>IF(A595="","",ROUND(Settings!$B$5*MIN(1,LOG10(N(C595)+1)/LOG10(Settings!$B$7+1))+Settings!$B$6*(1-MIN(100,IF(D595="",50,N(D595)))/100)+IFERROR(INDEX(Settings!$B$10:$B$14,MATCH(O595,Settings!$A$10:$A$14,0)),0),0))</f>
        <v/>
      </c>
      <c r="Q595">
        <f>IF(OR(A595="",G595=""),"",COUNTIFS($M$3:$M$1002,M595,$G$3:$G$1002,"&lt;&gt;"&amp;SUBSTITUTE(SUBSTITUTE(G595,"?","~?"),"*","~*"),$G$3:$G$1002,"?*"))</f>
        <v/>
      </c>
      <c r="R595">
        <f>IF(Q595="","",IF(Q595&gt;0,"Yes","No"))</f>
        <v/>
      </c>
      <c r="S595">
        <f>IF(G595="","",COUNTIFS($G$3:$G$1002,SUBSTITUTE(SUBSTITUTE(G595,"?","~?"),"*","~*"),$J$3:$J$1002,"Primary"))</f>
        <v/>
      </c>
      <c r="T595">
        <f>IF(S595="","",IF(S595&gt;Settings!$B$4,"Yes","No"))</f>
        <v/>
      </c>
      <c r="U595">
        <f>IF(OR(G595="",B595=""),"",IF(COUNTIFS($G$3:$G$1002,SUBSTITUTE(SUBSTITUTE(G595,"?","~?"),"*","~*"),$B$3:$B$1002,"&lt;&gt;"&amp;SUBSTITUTE(SUBSTITUTE(B595,"?","~?"),"*","~*"),$B$3:$B$1002,"?*")&gt;0,"Yes","No"))</f>
        <v/>
      </c>
      <c r="V595">
        <f>IF(OR(G595="",I595="",O595="",O595="Unclassified"),"",IFERROR(INDEX(Settings!$E$5:$H$16,MATCH(I595,Settings!$D$5:$D$16,0),MATCH(O595,Settings!$E$4:$H$4,0)),"Check"))</f>
        <v/>
      </c>
      <c r="W595">
        <f>IF(V595="","",IF(V595="No","Yes","No"))</f>
        <v/>
      </c>
      <c r="X595">
        <f>IF(OR(E595="",G595=""),"",IF(LOWER(IF(RIGHT(TRIM(E595),1)="/",LEFT(TRIM(E595),LEN(TRIM(E595))-1),TRIM(E595)))&lt;&gt;LOWER(IF(RIGHT(TRIM(G595),1)="/",LEFT(TRIM(G595),LEN(TRIM(G595))-1),TRIM(G595))),"Yes","No"))</f>
        <v/>
      </c>
      <c r="Y595">
        <f>IF(A595="","",(N(Q595)&gt;0)+(T595="Yes")+(U595="Yes")+(W595="Yes")+(X595="Yes"))</f>
        <v/>
      </c>
      <c r="Z595">
        <f>IF(A595="","",IF(G595="","Not mapped",IF(Y595=0,"OK",MID(IF(N(Q595)&gt;0,"; Cannibalisation","")&amp;IF(T595="Yes","; Too many primary keywords on URL","")&amp;IF(U595="Yes","; URL spans 2+ clusters","")&amp;IF(W595="Yes","; Intent mismatch","")&amp;IF(X595="Yes","; Ranking URL is not the target",""),3,300))))</f>
        <v/>
      </c>
      <c r="AA595">
        <f>IF(G595="","",IF(COUNTIF($G$3:G595,SUBSTITUTE(SUBSTITUTE(G595,"?","~?"),"*","~*"))=1,MAX($AA$2:AA594)+1,""))</f>
        <v/>
      </c>
      <c r="AB595">
        <f>IF(B595="","",IF(COUNTIF($B$3:B595,SUBSTITUTE(SUBSTITUTE(B595,"?","~?"),"*","~*"))=1,MAX($AB$2:AB594)+1,""))</f>
        <v/>
      </c>
    </row>
    <row r="596">
      <c r="M596">
        <f>IF(A596="","",LOWER(TRIM(SUBSTITUTE(SUBSTITUTE(A596,"?",""),"*",""))))</f>
        <v/>
      </c>
      <c r="N596">
        <f>IF(M596="","",IF(SUMPRODUCT(ISNUMBER(SEARCH(" "&amp;Settings!$L$5:$L$124&amp;" "," "&amp;M596&amp;" "))*(Settings!$K$5:$K$124="Navigational")*(Settings!$L$5:$L$124&lt;&gt;""))&gt;0,"Navigational",IF(SUMPRODUCT(ISNUMBER(SEARCH(" "&amp;Settings!$L$5:$L$124&amp;" "," "&amp;M596&amp;" "))*(Settings!$K$5:$K$124="Transactional")*(Settings!$L$5:$L$124&lt;&gt;""))&gt;0,"Transactional",IF(SUMPRODUCT(ISNUMBER(SEARCH(" "&amp;Settings!$L$5:$L$124&amp;" "," "&amp;M596&amp;" "))*(Settings!$K$5:$K$124="Commercial")*(Settings!$L$5:$L$124&lt;&gt;""))&gt;0,"Commercial",IF(SUMPRODUCT(ISNUMBER(SEARCH(" "&amp;Settings!$L$5:$L$124&amp;" "," "&amp;M596&amp;" "))*(Settings!$K$5:$K$124="Informational")*(Settings!$L$5:$L$124&lt;&gt;""))&gt;0,"Informational","Unclassified")))))</f>
        <v/>
      </c>
      <c r="O596">
        <f>IF(A596="","",IF(K596&lt;&gt;"",PROPER(K596),N596))</f>
        <v/>
      </c>
      <c r="P596">
        <f>IF(A596="","",ROUND(Settings!$B$5*MIN(1,LOG10(N(C596)+1)/LOG10(Settings!$B$7+1))+Settings!$B$6*(1-MIN(100,IF(D596="",50,N(D596)))/100)+IFERROR(INDEX(Settings!$B$10:$B$14,MATCH(O596,Settings!$A$10:$A$14,0)),0),0))</f>
        <v/>
      </c>
      <c r="Q596">
        <f>IF(OR(A596="",G596=""),"",COUNTIFS($M$3:$M$1002,M596,$G$3:$G$1002,"&lt;&gt;"&amp;SUBSTITUTE(SUBSTITUTE(G596,"?","~?"),"*","~*"),$G$3:$G$1002,"?*"))</f>
        <v/>
      </c>
      <c r="R596">
        <f>IF(Q596="","",IF(Q596&gt;0,"Yes","No"))</f>
        <v/>
      </c>
      <c r="S596">
        <f>IF(G596="","",COUNTIFS($G$3:$G$1002,SUBSTITUTE(SUBSTITUTE(G596,"?","~?"),"*","~*"),$J$3:$J$1002,"Primary"))</f>
        <v/>
      </c>
      <c r="T596">
        <f>IF(S596="","",IF(S596&gt;Settings!$B$4,"Yes","No"))</f>
        <v/>
      </c>
      <c r="U596">
        <f>IF(OR(G596="",B596=""),"",IF(COUNTIFS($G$3:$G$1002,SUBSTITUTE(SUBSTITUTE(G596,"?","~?"),"*","~*"),$B$3:$B$1002,"&lt;&gt;"&amp;SUBSTITUTE(SUBSTITUTE(B596,"?","~?"),"*","~*"),$B$3:$B$1002,"?*")&gt;0,"Yes","No"))</f>
        <v/>
      </c>
      <c r="V596">
        <f>IF(OR(G596="",I596="",O596="",O596="Unclassified"),"",IFERROR(INDEX(Settings!$E$5:$H$16,MATCH(I596,Settings!$D$5:$D$16,0),MATCH(O596,Settings!$E$4:$H$4,0)),"Check"))</f>
        <v/>
      </c>
      <c r="W596">
        <f>IF(V596="","",IF(V596="No","Yes","No"))</f>
        <v/>
      </c>
      <c r="X596">
        <f>IF(OR(E596="",G596=""),"",IF(LOWER(IF(RIGHT(TRIM(E596),1)="/",LEFT(TRIM(E596),LEN(TRIM(E596))-1),TRIM(E596)))&lt;&gt;LOWER(IF(RIGHT(TRIM(G596),1)="/",LEFT(TRIM(G596),LEN(TRIM(G596))-1),TRIM(G596))),"Yes","No"))</f>
        <v/>
      </c>
      <c r="Y596">
        <f>IF(A596="","",(N(Q596)&gt;0)+(T596="Yes")+(U596="Yes")+(W596="Yes")+(X596="Yes"))</f>
        <v/>
      </c>
      <c r="Z596">
        <f>IF(A596="","",IF(G596="","Not mapped",IF(Y596=0,"OK",MID(IF(N(Q596)&gt;0,"; Cannibalisation","")&amp;IF(T596="Yes","; Too many primary keywords on URL","")&amp;IF(U596="Yes","; URL spans 2+ clusters","")&amp;IF(W596="Yes","; Intent mismatch","")&amp;IF(X596="Yes","; Ranking URL is not the target",""),3,300))))</f>
        <v/>
      </c>
      <c r="AA596">
        <f>IF(G596="","",IF(COUNTIF($G$3:G596,SUBSTITUTE(SUBSTITUTE(G596,"?","~?"),"*","~*"))=1,MAX($AA$2:AA595)+1,""))</f>
        <v/>
      </c>
      <c r="AB596">
        <f>IF(B596="","",IF(COUNTIF($B$3:B596,SUBSTITUTE(SUBSTITUTE(B596,"?","~?"),"*","~*"))=1,MAX($AB$2:AB595)+1,""))</f>
        <v/>
      </c>
    </row>
    <row r="597">
      <c r="M597">
        <f>IF(A597="","",LOWER(TRIM(SUBSTITUTE(SUBSTITUTE(A597,"?",""),"*",""))))</f>
        <v/>
      </c>
      <c r="N597">
        <f>IF(M597="","",IF(SUMPRODUCT(ISNUMBER(SEARCH(" "&amp;Settings!$L$5:$L$124&amp;" "," "&amp;M597&amp;" "))*(Settings!$K$5:$K$124="Navigational")*(Settings!$L$5:$L$124&lt;&gt;""))&gt;0,"Navigational",IF(SUMPRODUCT(ISNUMBER(SEARCH(" "&amp;Settings!$L$5:$L$124&amp;" "," "&amp;M597&amp;" "))*(Settings!$K$5:$K$124="Transactional")*(Settings!$L$5:$L$124&lt;&gt;""))&gt;0,"Transactional",IF(SUMPRODUCT(ISNUMBER(SEARCH(" "&amp;Settings!$L$5:$L$124&amp;" "," "&amp;M597&amp;" "))*(Settings!$K$5:$K$124="Commercial")*(Settings!$L$5:$L$124&lt;&gt;""))&gt;0,"Commercial",IF(SUMPRODUCT(ISNUMBER(SEARCH(" "&amp;Settings!$L$5:$L$124&amp;" "," "&amp;M597&amp;" "))*(Settings!$K$5:$K$124="Informational")*(Settings!$L$5:$L$124&lt;&gt;""))&gt;0,"Informational","Unclassified")))))</f>
        <v/>
      </c>
      <c r="O597">
        <f>IF(A597="","",IF(K597&lt;&gt;"",PROPER(K597),N597))</f>
        <v/>
      </c>
      <c r="P597">
        <f>IF(A597="","",ROUND(Settings!$B$5*MIN(1,LOG10(N(C597)+1)/LOG10(Settings!$B$7+1))+Settings!$B$6*(1-MIN(100,IF(D597="",50,N(D597)))/100)+IFERROR(INDEX(Settings!$B$10:$B$14,MATCH(O597,Settings!$A$10:$A$14,0)),0),0))</f>
        <v/>
      </c>
      <c r="Q597">
        <f>IF(OR(A597="",G597=""),"",COUNTIFS($M$3:$M$1002,M597,$G$3:$G$1002,"&lt;&gt;"&amp;SUBSTITUTE(SUBSTITUTE(G597,"?","~?"),"*","~*"),$G$3:$G$1002,"?*"))</f>
        <v/>
      </c>
      <c r="R597">
        <f>IF(Q597="","",IF(Q597&gt;0,"Yes","No"))</f>
        <v/>
      </c>
      <c r="S597">
        <f>IF(G597="","",COUNTIFS($G$3:$G$1002,SUBSTITUTE(SUBSTITUTE(G597,"?","~?"),"*","~*"),$J$3:$J$1002,"Primary"))</f>
        <v/>
      </c>
      <c r="T597">
        <f>IF(S597="","",IF(S597&gt;Settings!$B$4,"Yes","No"))</f>
        <v/>
      </c>
      <c r="U597">
        <f>IF(OR(G597="",B597=""),"",IF(COUNTIFS($G$3:$G$1002,SUBSTITUTE(SUBSTITUTE(G597,"?","~?"),"*","~*"),$B$3:$B$1002,"&lt;&gt;"&amp;SUBSTITUTE(SUBSTITUTE(B597,"?","~?"),"*","~*"),$B$3:$B$1002,"?*")&gt;0,"Yes","No"))</f>
        <v/>
      </c>
      <c r="V597">
        <f>IF(OR(G597="",I597="",O597="",O597="Unclassified"),"",IFERROR(INDEX(Settings!$E$5:$H$16,MATCH(I597,Settings!$D$5:$D$16,0),MATCH(O597,Settings!$E$4:$H$4,0)),"Check"))</f>
        <v/>
      </c>
      <c r="W597">
        <f>IF(V597="","",IF(V597="No","Yes","No"))</f>
        <v/>
      </c>
      <c r="X597">
        <f>IF(OR(E597="",G597=""),"",IF(LOWER(IF(RIGHT(TRIM(E597),1)="/",LEFT(TRIM(E597),LEN(TRIM(E597))-1),TRIM(E597)))&lt;&gt;LOWER(IF(RIGHT(TRIM(G597),1)="/",LEFT(TRIM(G597),LEN(TRIM(G597))-1),TRIM(G597))),"Yes","No"))</f>
        <v/>
      </c>
      <c r="Y597">
        <f>IF(A597="","",(N(Q597)&gt;0)+(T597="Yes")+(U597="Yes")+(W597="Yes")+(X597="Yes"))</f>
        <v/>
      </c>
      <c r="Z597">
        <f>IF(A597="","",IF(G597="","Not mapped",IF(Y597=0,"OK",MID(IF(N(Q597)&gt;0,"; Cannibalisation","")&amp;IF(T597="Yes","; Too many primary keywords on URL","")&amp;IF(U597="Yes","; URL spans 2+ clusters","")&amp;IF(W597="Yes","; Intent mismatch","")&amp;IF(X597="Yes","; Ranking URL is not the target",""),3,300))))</f>
        <v/>
      </c>
      <c r="AA597">
        <f>IF(G597="","",IF(COUNTIF($G$3:G597,SUBSTITUTE(SUBSTITUTE(G597,"?","~?"),"*","~*"))=1,MAX($AA$2:AA596)+1,""))</f>
        <v/>
      </c>
      <c r="AB597">
        <f>IF(B597="","",IF(COUNTIF($B$3:B597,SUBSTITUTE(SUBSTITUTE(B597,"?","~?"),"*","~*"))=1,MAX($AB$2:AB596)+1,""))</f>
        <v/>
      </c>
    </row>
    <row r="598">
      <c r="M598">
        <f>IF(A598="","",LOWER(TRIM(SUBSTITUTE(SUBSTITUTE(A598,"?",""),"*",""))))</f>
        <v/>
      </c>
      <c r="N598">
        <f>IF(M598="","",IF(SUMPRODUCT(ISNUMBER(SEARCH(" "&amp;Settings!$L$5:$L$124&amp;" "," "&amp;M598&amp;" "))*(Settings!$K$5:$K$124="Navigational")*(Settings!$L$5:$L$124&lt;&gt;""))&gt;0,"Navigational",IF(SUMPRODUCT(ISNUMBER(SEARCH(" "&amp;Settings!$L$5:$L$124&amp;" "," "&amp;M598&amp;" "))*(Settings!$K$5:$K$124="Transactional")*(Settings!$L$5:$L$124&lt;&gt;""))&gt;0,"Transactional",IF(SUMPRODUCT(ISNUMBER(SEARCH(" "&amp;Settings!$L$5:$L$124&amp;" "," "&amp;M598&amp;" "))*(Settings!$K$5:$K$124="Commercial")*(Settings!$L$5:$L$124&lt;&gt;""))&gt;0,"Commercial",IF(SUMPRODUCT(ISNUMBER(SEARCH(" "&amp;Settings!$L$5:$L$124&amp;" "," "&amp;M598&amp;" "))*(Settings!$K$5:$K$124="Informational")*(Settings!$L$5:$L$124&lt;&gt;""))&gt;0,"Informational","Unclassified")))))</f>
        <v/>
      </c>
      <c r="O598">
        <f>IF(A598="","",IF(K598&lt;&gt;"",PROPER(K598),N598))</f>
        <v/>
      </c>
      <c r="P598">
        <f>IF(A598="","",ROUND(Settings!$B$5*MIN(1,LOG10(N(C598)+1)/LOG10(Settings!$B$7+1))+Settings!$B$6*(1-MIN(100,IF(D598="",50,N(D598)))/100)+IFERROR(INDEX(Settings!$B$10:$B$14,MATCH(O598,Settings!$A$10:$A$14,0)),0),0))</f>
        <v/>
      </c>
      <c r="Q598">
        <f>IF(OR(A598="",G598=""),"",COUNTIFS($M$3:$M$1002,M598,$G$3:$G$1002,"&lt;&gt;"&amp;SUBSTITUTE(SUBSTITUTE(G598,"?","~?"),"*","~*"),$G$3:$G$1002,"?*"))</f>
        <v/>
      </c>
      <c r="R598">
        <f>IF(Q598="","",IF(Q598&gt;0,"Yes","No"))</f>
        <v/>
      </c>
      <c r="S598">
        <f>IF(G598="","",COUNTIFS($G$3:$G$1002,SUBSTITUTE(SUBSTITUTE(G598,"?","~?"),"*","~*"),$J$3:$J$1002,"Primary"))</f>
        <v/>
      </c>
      <c r="T598">
        <f>IF(S598="","",IF(S598&gt;Settings!$B$4,"Yes","No"))</f>
        <v/>
      </c>
      <c r="U598">
        <f>IF(OR(G598="",B598=""),"",IF(COUNTIFS($G$3:$G$1002,SUBSTITUTE(SUBSTITUTE(G598,"?","~?"),"*","~*"),$B$3:$B$1002,"&lt;&gt;"&amp;SUBSTITUTE(SUBSTITUTE(B598,"?","~?"),"*","~*"),$B$3:$B$1002,"?*")&gt;0,"Yes","No"))</f>
        <v/>
      </c>
      <c r="V598">
        <f>IF(OR(G598="",I598="",O598="",O598="Unclassified"),"",IFERROR(INDEX(Settings!$E$5:$H$16,MATCH(I598,Settings!$D$5:$D$16,0),MATCH(O598,Settings!$E$4:$H$4,0)),"Check"))</f>
        <v/>
      </c>
      <c r="W598">
        <f>IF(V598="","",IF(V598="No","Yes","No"))</f>
        <v/>
      </c>
      <c r="X598">
        <f>IF(OR(E598="",G598=""),"",IF(LOWER(IF(RIGHT(TRIM(E598),1)="/",LEFT(TRIM(E598),LEN(TRIM(E598))-1),TRIM(E598)))&lt;&gt;LOWER(IF(RIGHT(TRIM(G598),1)="/",LEFT(TRIM(G598),LEN(TRIM(G598))-1),TRIM(G598))),"Yes","No"))</f>
        <v/>
      </c>
      <c r="Y598">
        <f>IF(A598="","",(N(Q598)&gt;0)+(T598="Yes")+(U598="Yes")+(W598="Yes")+(X598="Yes"))</f>
        <v/>
      </c>
      <c r="Z598">
        <f>IF(A598="","",IF(G598="","Not mapped",IF(Y598=0,"OK",MID(IF(N(Q598)&gt;0,"; Cannibalisation","")&amp;IF(T598="Yes","; Too many primary keywords on URL","")&amp;IF(U598="Yes","; URL spans 2+ clusters","")&amp;IF(W598="Yes","; Intent mismatch","")&amp;IF(X598="Yes","; Ranking URL is not the target",""),3,300))))</f>
        <v/>
      </c>
      <c r="AA598">
        <f>IF(G598="","",IF(COUNTIF($G$3:G598,SUBSTITUTE(SUBSTITUTE(G598,"?","~?"),"*","~*"))=1,MAX($AA$2:AA597)+1,""))</f>
        <v/>
      </c>
      <c r="AB598">
        <f>IF(B598="","",IF(COUNTIF($B$3:B598,SUBSTITUTE(SUBSTITUTE(B598,"?","~?"),"*","~*"))=1,MAX($AB$2:AB597)+1,""))</f>
        <v/>
      </c>
    </row>
    <row r="599">
      <c r="M599">
        <f>IF(A599="","",LOWER(TRIM(SUBSTITUTE(SUBSTITUTE(A599,"?",""),"*",""))))</f>
        <v/>
      </c>
      <c r="N599">
        <f>IF(M599="","",IF(SUMPRODUCT(ISNUMBER(SEARCH(" "&amp;Settings!$L$5:$L$124&amp;" "," "&amp;M599&amp;" "))*(Settings!$K$5:$K$124="Navigational")*(Settings!$L$5:$L$124&lt;&gt;""))&gt;0,"Navigational",IF(SUMPRODUCT(ISNUMBER(SEARCH(" "&amp;Settings!$L$5:$L$124&amp;" "," "&amp;M599&amp;" "))*(Settings!$K$5:$K$124="Transactional")*(Settings!$L$5:$L$124&lt;&gt;""))&gt;0,"Transactional",IF(SUMPRODUCT(ISNUMBER(SEARCH(" "&amp;Settings!$L$5:$L$124&amp;" "," "&amp;M599&amp;" "))*(Settings!$K$5:$K$124="Commercial")*(Settings!$L$5:$L$124&lt;&gt;""))&gt;0,"Commercial",IF(SUMPRODUCT(ISNUMBER(SEARCH(" "&amp;Settings!$L$5:$L$124&amp;" "," "&amp;M599&amp;" "))*(Settings!$K$5:$K$124="Informational")*(Settings!$L$5:$L$124&lt;&gt;""))&gt;0,"Informational","Unclassified")))))</f>
        <v/>
      </c>
      <c r="O599">
        <f>IF(A599="","",IF(K599&lt;&gt;"",PROPER(K599),N599))</f>
        <v/>
      </c>
      <c r="P599">
        <f>IF(A599="","",ROUND(Settings!$B$5*MIN(1,LOG10(N(C599)+1)/LOG10(Settings!$B$7+1))+Settings!$B$6*(1-MIN(100,IF(D599="",50,N(D599)))/100)+IFERROR(INDEX(Settings!$B$10:$B$14,MATCH(O599,Settings!$A$10:$A$14,0)),0),0))</f>
        <v/>
      </c>
      <c r="Q599">
        <f>IF(OR(A599="",G599=""),"",COUNTIFS($M$3:$M$1002,M599,$G$3:$G$1002,"&lt;&gt;"&amp;SUBSTITUTE(SUBSTITUTE(G599,"?","~?"),"*","~*"),$G$3:$G$1002,"?*"))</f>
        <v/>
      </c>
      <c r="R599">
        <f>IF(Q599="","",IF(Q599&gt;0,"Yes","No"))</f>
        <v/>
      </c>
      <c r="S599">
        <f>IF(G599="","",COUNTIFS($G$3:$G$1002,SUBSTITUTE(SUBSTITUTE(G599,"?","~?"),"*","~*"),$J$3:$J$1002,"Primary"))</f>
        <v/>
      </c>
      <c r="T599">
        <f>IF(S599="","",IF(S599&gt;Settings!$B$4,"Yes","No"))</f>
        <v/>
      </c>
      <c r="U599">
        <f>IF(OR(G599="",B599=""),"",IF(COUNTIFS($G$3:$G$1002,SUBSTITUTE(SUBSTITUTE(G599,"?","~?"),"*","~*"),$B$3:$B$1002,"&lt;&gt;"&amp;SUBSTITUTE(SUBSTITUTE(B599,"?","~?"),"*","~*"),$B$3:$B$1002,"?*")&gt;0,"Yes","No"))</f>
        <v/>
      </c>
      <c r="V599">
        <f>IF(OR(G599="",I599="",O599="",O599="Unclassified"),"",IFERROR(INDEX(Settings!$E$5:$H$16,MATCH(I599,Settings!$D$5:$D$16,0),MATCH(O599,Settings!$E$4:$H$4,0)),"Check"))</f>
        <v/>
      </c>
      <c r="W599">
        <f>IF(V599="","",IF(V599="No","Yes","No"))</f>
        <v/>
      </c>
      <c r="X599">
        <f>IF(OR(E599="",G599=""),"",IF(LOWER(IF(RIGHT(TRIM(E599),1)="/",LEFT(TRIM(E599),LEN(TRIM(E599))-1),TRIM(E599)))&lt;&gt;LOWER(IF(RIGHT(TRIM(G599),1)="/",LEFT(TRIM(G599),LEN(TRIM(G599))-1),TRIM(G599))),"Yes","No"))</f>
        <v/>
      </c>
      <c r="Y599">
        <f>IF(A599="","",(N(Q599)&gt;0)+(T599="Yes")+(U599="Yes")+(W599="Yes")+(X599="Yes"))</f>
        <v/>
      </c>
      <c r="Z599">
        <f>IF(A599="","",IF(G599="","Not mapped",IF(Y599=0,"OK",MID(IF(N(Q599)&gt;0,"; Cannibalisation","")&amp;IF(T599="Yes","; Too many primary keywords on URL","")&amp;IF(U599="Yes","; URL spans 2+ clusters","")&amp;IF(W599="Yes","; Intent mismatch","")&amp;IF(X599="Yes","; Ranking URL is not the target",""),3,300))))</f>
        <v/>
      </c>
      <c r="AA599">
        <f>IF(G599="","",IF(COUNTIF($G$3:G599,SUBSTITUTE(SUBSTITUTE(G599,"?","~?"),"*","~*"))=1,MAX($AA$2:AA598)+1,""))</f>
        <v/>
      </c>
      <c r="AB599">
        <f>IF(B599="","",IF(COUNTIF($B$3:B599,SUBSTITUTE(SUBSTITUTE(B599,"?","~?"),"*","~*"))=1,MAX($AB$2:AB598)+1,""))</f>
        <v/>
      </c>
    </row>
    <row r="600">
      <c r="M600">
        <f>IF(A600="","",LOWER(TRIM(SUBSTITUTE(SUBSTITUTE(A600,"?",""),"*",""))))</f>
        <v/>
      </c>
      <c r="N600">
        <f>IF(M600="","",IF(SUMPRODUCT(ISNUMBER(SEARCH(" "&amp;Settings!$L$5:$L$124&amp;" "," "&amp;M600&amp;" "))*(Settings!$K$5:$K$124="Navigational")*(Settings!$L$5:$L$124&lt;&gt;""))&gt;0,"Navigational",IF(SUMPRODUCT(ISNUMBER(SEARCH(" "&amp;Settings!$L$5:$L$124&amp;" "," "&amp;M600&amp;" "))*(Settings!$K$5:$K$124="Transactional")*(Settings!$L$5:$L$124&lt;&gt;""))&gt;0,"Transactional",IF(SUMPRODUCT(ISNUMBER(SEARCH(" "&amp;Settings!$L$5:$L$124&amp;" "," "&amp;M600&amp;" "))*(Settings!$K$5:$K$124="Commercial")*(Settings!$L$5:$L$124&lt;&gt;""))&gt;0,"Commercial",IF(SUMPRODUCT(ISNUMBER(SEARCH(" "&amp;Settings!$L$5:$L$124&amp;" "," "&amp;M600&amp;" "))*(Settings!$K$5:$K$124="Informational")*(Settings!$L$5:$L$124&lt;&gt;""))&gt;0,"Informational","Unclassified")))))</f>
        <v/>
      </c>
      <c r="O600">
        <f>IF(A600="","",IF(K600&lt;&gt;"",PROPER(K600),N600))</f>
        <v/>
      </c>
      <c r="P600">
        <f>IF(A600="","",ROUND(Settings!$B$5*MIN(1,LOG10(N(C600)+1)/LOG10(Settings!$B$7+1))+Settings!$B$6*(1-MIN(100,IF(D600="",50,N(D600)))/100)+IFERROR(INDEX(Settings!$B$10:$B$14,MATCH(O600,Settings!$A$10:$A$14,0)),0),0))</f>
        <v/>
      </c>
      <c r="Q600">
        <f>IF(OR(A600="",G600=""),"",COUNTIFS($M$3:$M$1002,M600,$G$3:$G$1002,"&lt;&gt;"&amp;SUBSTITUTE(SUBSTITUTE(G600,"?","~?"),"*","~*"),$G$3:$G$1002,"?*"))</f>
        <v/>
      </c>
      <c r="R600">
        <f>IF(Q600="","",IF(Q600&gt;0,"Yes","No"))</f>
        <v/>
      </c>
      <c r="S600">
        <f>IF(G600="","",COUNTIFS($G$3:$G$1002,SUBSTITUTE(SUBSTITUTE(G600,"?","~?"),"*","~*"),$J$3:$J$1002,"Primary"))</f>
        <v/>
      </c>
      <c r="T600">
        <f>IF(S600="","",IF(S600&gt;Settings!$B$4,"Yes","No"))</f>
        <v/>
      </c>
      <c r="U600">
        <f>IF(OR(G600="",B600=""),"",IF(COUNTIFS($G$3:$G$1002,SUBSTITUTE(SUBSTITUTE(G600,"?","~?"),"*","~*"),$B$3:$B$1002,"&lt;&gt;"&amp;SUBSTITUTE(SUBSTITUTE(B600,"?","~?"),"*","~*"),$B$3:$B$1002,"?*")&gt;0,"Yes","No"))</f>
        <v/>
      </c>
      <c r="V600">
        <f>IF(OR(G600="",I600="",O600="",O600="Unclassified"),"",IFERROR(INDEX(Settings!$E$5:$H$16,MATCH(I600,Settings!$D$5:$D$16,0),MATCH(O600,Settings!$E$4:$H$4,0)),"Check"))</f>
        <v/>
      </c>
      <c r="W600">
        <f>IF(V600="","",IF(V600="No","Yes","No"))</f>
        <v/>
      </c>
      <c r="X600">
        <f>IF(OR(E600="",G600=""),"",IF(LOWER(IF(RIGHT(TRIM(E600),1)="/",LEFT(TRIM(E600),LEN(TRIM(E600))-1),TRIM(E600)))&lt;&gt;LOWER(IF(RIGHT(TRIM(G600),1)="/",LEFT(TRIM(G600),LEN(TRIM(G600))-1),TRIM(G600))),"Yes","No"))</f>
        <v/>
      </c>
      <c r="Y600">
        <f>IF(A600="","",(N(Q600)&gt;0)+(T600="Yes")+(U600="Yes")+(W600="Yes")+(X600="Yes"))</f>
        <v/>
      </c>
      <c r="Z600">
        <f>IF(A600="","",IF(G600="","Not mapped",IF(Y600=0,"OK",MID(IF(N(Q600)&gt;0,"; Cannibalisation","")&amp;IF(T600="Yes","; Too many primary keywords on URL","")&amp;IF(U600="Yes","; URL spans 2+ clusters","")&amp;IF(W600="Yes","; Intent mismatch","")&amp;IF(X600="Yes","; Ranking URL is not the target",""),3,300))))</f>
        <v/>
      </c>
      <c r="AA600">
        <f>IF(G600="","",IF(COUNTIF($G$3:G600,SUBSTITUTE(SUBSTITUTE(G600,"?","~?"),"*","~*"))=1,MAX($AA$2:AA599)+1,""))</f>
        <v/>
      </c>
      <c r="AB600">
        <f>IF(B600="","",IF(COUNTIF($B$3:B600,SUBSTITUTE(SUBSTITUTE(B600,"?","~?"),"*","~*"))=1,MAX($AB$2:AB599)+1,""))</f>
        <v/>
      </c>
    </row>
    <row r="601">
      <c r="M601">
        <f>IF(A601="","",LOWER(TRIM(SUBSTITUTE(SUBSTITUTE(A601,"?",""),"*",""))))</f>
        <v/>
      </c>
      <c r="N601">
        <f>IF(M601="","",IF(SUMPRODUCT(ISNUMBER(SEARCH(" "&amp;Settings!$L$5:$L$124&amp;" "," "&amp;M601&amp;" "))*(Settings!$K$5:$K$124="Navigational")*(Settings!$L$5:$L$124&lt;&gt;""))&gt;0,"Navigational",IF(SUMPRODUCT(ISNUMBER(SEARCH(" "&amp;Settings!$L$5:$L$124&amp;" "," "&amp;M601&amp;" "))*(Settings!$K$5:$K$124="Transactional")*(Settings!$L$5:$L$124&lt;&gt;""))&gt;0,"Transactional",IF(SUMPRODUCT(ISNUMBER(SEARCH(" "&amp;Settings!$L$5:$L$124&amp;" "," "&amp;M601&amp;" "))*(Settings!$K$5:$K$124="Commercial")*(Settings!$L$5:$L$124&lt;&gt;""))&gt;0,"Commercial",IF(SUMPRODUCT(ISNUMBER(SEARCH(" "&amp;Settings!$L$5:$L$124&amp;" "," "&amp;M601&amp;" "))*(Settings!$K$5:$K$124="Informational")*(Settings!$L$5:$L$124&lt;&gt;""))&gt;0,"Informational","Unclassified")))))</f>
        <v/>
      </c>
      <c r="O601">
        <f>IF(A601="","",IF(K601&lt;&gt;"",PROPER(K601),N601))</f>
        <v/>
      </c>
      <c r="P601">
        <f>IF(A601="","",ROUND(Settings!$B$5*MIN(1,LOG10(N(C601)+1)/LOG10(Settings!$B$7+1))+Settings!$B$6*(1-MIN(100,IF(D601="",50,N(D601)))/100)+IFERROR(INDEX(Settings!$B$10:$B$14,MATCH(O601,Settings!$A$10:$A$14,0)),0),0))</f>
        <v/>
      </c>
      <c r="Q601">
        <f>IF(OR(A601="",G601=""),"",COUNTIFS($M$3:$M$1002,M601,$G$3:$G$1002,"&lt;&gt;"&amp;SUBSTITUTE(SUBSTITUTE(G601,"?","~?"),"*","~*"),$G$3:$G$1002,"?*"))</f>
        <v/>
      </c>
      <c r="R601">
        <f>IF(Q601="","",IF(Q601&gt;0,"Yes","No"))</f>
        <v/>
      </c>
      <c r="S601">
        <f>IF(G601="","",COUNTIFS($G$3:$G$1002,SUBSTITUTE(SUBSTITUTE(G601,"?","~?"),"*","~*"),$J$3:$J$1002,"Primary"))</f>
        <v/>
      </c>
      <c r="T601">
        <f>IF(S601="","",IF(S601&gt;Settings!$B$4,"Yes","No"))</f>
        <v/>
      </c>
      <c r="U601">
        <f>IF(OR(G601="",B601=""),"",IF(COUNTIFS($G$3:$G$1002,SUBSTITUTE(SUBSTITUTE(G601,"?","~?"),"*","~*"),$B$3:$B$1002,"&lt;&gt;"&amp;SUBSTITUTE(SUBSTITUTE(B601,"?","~?"),"*","~*"),$B$3:$B$1002,"?*")&gt;0,"Yes","No"))</f>
        <v/>
      </c>
      <c r="V601">
        <f>IF(OR(G601="",I601="",O601="",O601="Unclassified"),"",IFERROR(INDEX(Settings!$E$5:$H$16,MATCH(I601,Settings!$D$5:$D$16,0),MATCH(O601,Settings!$E$4:$H$4,0)),"Check"))</f>
        <v/>
      </c>
      <c r="W601">
        <f>IF(V601="","",IF(V601="No","Yes","No"))</f>
        <v/>
      </c>
      <c r="X601">
        <f>IF(OR(E601="",G601=""),"",IF(LOWER(IF(RIGHT(TRIM(E601),1)="/",LEFT(TRIM(E601),LEN(TRIM(E601))-1),TRIM(E601)))&lt;&gt;LOWER(IF(RIGHT(TRIM(G601),1)="/",LEFT(TRIM(G601),LEN(TRIM(G601))-1),TRIM(G601))),"Yes","No"))</f>
        <v/>
      </c>
      <c r="Y601">
        <f>IF(A601="","",(N(Q601)&gt;0)+(T601="Yes")+(U601="Yes")+(W601="Yes")+(X601="Yes"))</f>
        <v/>
      </c>
      <c r="Z601">
        <f>IF(A601="","",IF(G601="","Not mapped",IF(Y601=0,"OK",MID(IF(N(Q601)&gt;0,"; Cannibalisation","")&amp;IF(T601="Yes","; Too many primary keywords on URL","")&amp;IF(U601="Yes","; URL spans 2+ clusters","")&amp;IF(W601="Yes","; Intent mismatch","")&amp;IF(X601="Yes","; Ranking URL is not the target",""),3,300))))</f>
        <v/>
      </c>
      <c r="AA601">
        <f>IF(G601="","",IF(COUNTIF($G$3:G601,SUBSTITUTE(SUBSTITUTE(G601,"?","~?"),"*","~*"))=1,MAX($AA$2:AA600)+1,""))</f>
        <v/>
      </c>
      <c r="AB601">
        <f>IF(B601="","",IF(COUNTIF($B$3:B601,SUBSTITUTE(SUBSTITUTE(B601,"?","~?"),"*","~*"))=1,MAX($AB$2:AB600)+1,""))</f>
        <v/>
      </c>
    </row>
    <row r="602">
      <c r="M602">
        <f>IF(A602="","",LOWER(TRIM(SUBSTITUTE(SUBSTITUTE(A602,"?",""),"*",""))))</f>
        <v/>
      </c>
      <c r="N602">
        <f>IF(M602="","",IF(SUMPRODUCT(ISNUMBER(SEARCH(" "&amp;Settings!$L$5:$L$124&amp;" "," "&amp;M602&amp;" "))*(Settings!$K$5:$K$124="Navigational")*(Settings!$L$5:$L$124&lt;&gt;""))&gt;0,"Navigational",IF(SUMPRODUCT(ISNUMBER(SEARCH(" "&amp;Settings!$L$5:$L$124&amp;" "," "&amp;M602&amp;" "))*(Settings!$K$5:$K$124="Transactional")*(Settings!$L$5:$L$124&lt;&gt;""))&gt;0,"Transactional",IF(SUMPRODUCT(ISNUMBER(SEARCH(" "&amp;Settings!$L$5:$L$124&amp;" "," "&amp;M602&amp;" "))*(Settings!$K$5:$K$124="Commercial")*(Settings!$L$5:$L$124&lt;&gt;""))&gt;0,"Commercial",IF(SUMPRODUCT(ISNUMBER(SEARCH(" "&amp;Settings!$L$5:$L$124&amp;" "," "&amp;M602&amp;" "))*(Settings!$K$5:$K$124="Informational")*(Settings!$L$5:$L$124&lt;&gt;""))&gt;0,"Informational","Unclassified")))))</f>
        <v/>
      </c>
      <c r="O602">
        <f>IF(A602="","",IF(K602&lt;&gt;"",PROPER(K602),N602))</f>
        <v/>
      </c>
      <c r="P602">
        <f>IF(A602="","",ROUND(Settings!$B$5*MIN(1,LOG10(N(C602)+1)/LOG10(Settings!$B$7+1))+Settings!$B$6*(1-MIN(100,IF(D602="",50,N(D602)))/100)+IFERROR(INDEX(Settings!$B$10:$B$14,MATCH(O602,Settings!$A$10:$A$14,0)),0),0))</f>
        <v/>
      </c>
      <c r="Q602">
        <f>IF(OR(A602="",G602=""),"",COUNTIFS($M$3:$M$1002,M602,$G$3:$G$1002,"&lt;&gt;"&amp;SUBSTITUTE(SUBSTITUTE(G602,"?","~?"),"*","~*"),$G$3:$G$1002,"?*"))</f>
        <v/>
      </c>
      <c r="R602">
        <f>IF(Q602="","",IF(Q602&gt;0,"Yes","No"))</f>
        <v/>
      </c>
      <c r="S602">
        <f>IF(G602="","",COUNTIFS($G$3:$G$1002,SUBSTITUTE(SUBSTITUTE(G602,"?","~?"),"*","~*"),$J$3:$J$1002,"Primary"))</f>
        <v/>
      </c>
      <c r="T602">
        <f>IF(S602="","",IF(S602&gt;Settings!$B$4,"Yes","No"))</f>
        <v/>
      </c>
      <c r="U602">
        <f>IF(OR(G602="",B602=""),"",IF(COUNTIFS($G$3:$G$1002,SUBSTITUTE(SUBSTITUTE(G602,"?","~?"),"*","~*"),$B$3:$B$1002,"&lt;&gt;"&amp;SUBSTITUTE(SUBSTITUTE(B602,"?","~?"),"*","~*"),$B$3:$B$1002,"?*")&gt;0,"Yes","No"))</f>
        <v/>
      </c>
      <c r="V602">
        <f>IF(OR(G602="",I602="",O602="",O602="Unclassified"),"",IFERROR(INDEX(Settings!$E$5:$H$16,MATCH(I602,Settings!$D$5:$D$16,0),MATCH(O602,Settings!$E$4:$H$4,0)),"Check"))</f>
        <v/>
      </c>
      <c r="W602">
        <f>IF(V602="","",IF(V602="No","Yes","No"))</f>
        <v/>
      </c>
      <c r="X602">
        <f>IF(OR(E602="",G602=""),"",IF(LOWER(IF(RIGHT(TRIM(E602),1)="/",LEFT(TRIM(E602),LEN(TRIM(E602))-1),TRIM(E602)))&lt;&gt;LOWER(IF(RIGHT(TRIM(G602),1)="/",LEFT(TRIM(G602),LEN(TRIM(G602))-1),TRIM(G602))),"Yes","No"))</f>
        <v/>
      </c>
      <c r="Y602">
        <f>IF(A602="","",(N(Q602)&gt;0)+(T602="Yes")+(U602="Yes")+(W602="Yes")+(X602="Yes"))</f>
        <v/>
      </c>
      <c r="Z602">
        <f>IF(A602="","",IF(G602="","Not mapped",IF(Y602=0,"OK",MID(IF(N(Q602)&gt;0,"; Cannibalisation","")&amp;IF(T602="Yes","; Too many primary keywords on URL","")&amp;IF(U602="Yes","; URL spans 2+ clusters","")&amp;IF(W602="Yes","; Intent mismatch","")&amp;IF(X602="Yes","; Ranking URL is not the target",""),3,300))))</f>
        <v/>
      </c>
      <c r="AA602">
        <f>IF(G602="","",IF(COUNTIF($G$3:G602,SUBSTITUTE(SUBSTITUTE(G602,"?","~?"),"*","~*"))=1,MAX($AA$2:AA601)+1,""))</f>
        <v/>
      </c>
      <c r="AB602">
        <f>IF(B602="","",IF(COUNTIF($B$3:B602,SUBSTITUTE(SUBSTITUTE(B602,"?","~?"),"*","~*"))=1,MAX($AB$2:AB601)+1,""))</f>
        <v/>
      </c>
    </row>
    <row r="603">
      <c r="M603">
        <f>IF(A603="","",LOWER(TRIM(SUBSTITUTE(SUBSTITUTE(A603,"?",""),"*",""))))</f>
        <v/>
      </c>
      <c r="N603">
        <f>IF(M603="","",IF(SUMPRODUCT(ISNUMBER(SEARCH(" "&amp;Settings!$L$5:$L$124&amp;" "," "&amp;M603&amp;" "))*(Settings!$K$5:$K$124="Navigational")*(Settings!$L$5:$L$124&lt;&gt;""))&gt;0,"Navigational",IF(SUMPRODUCT(ISNUMBER(SEARCH(" "&amp;Settings!$L$5:$L$124&amp;" "," "&amp;M603&amp;" "))*(Settings!$K$5:$K$124="Transactional")*(Settings!$L$5:$L$124&lt;&gt;""))&gt;0,"Transactional",IF(SUMPRODUCT(ISNUMBER(SEARCH(" "&amp;Settings!$L$5:$L$124&amp;" "," "&amp;M603&amp;" "))*(Settings!$K$5:$K$124="Commercial")*(Settings!$L$5:$L$124&lt;&gt;""))&gt;0,"Commercial",IF(SUMPRODUCT(ISNUMBER(SEARCH(" "&amp;Settings!$L$5:$L$124&amp;" "," "&amp;M603&amp;" "))*(Settings!$K$5:$K$124="Informational")*(Settings!$L$5:$L$124&lt;&gt;""))&gt;0,"Informational","Unclassified")))))</f>
        <v/>
      </c>
      <c r="O603">
        <f>IF(A603="","",IF(K603&lt;&gt;"",PROPER(K603),N603))</f>
        <v/>
      </c>
      <c r="P603">
        <f>IF(A603="","",ROUND(Settings!$B$5*MIN(1,LOG10(N(C603)+1)/LOG10(Settings!$B$7+1))+Settings!$B$6*(1-MIN(100,IF(D603="",50,N(D603)))/100)+IFERROR(INDEX(Settings!$B$10:$B$14,MATCH(O603,Settings!$A$10:$A$14,0)),0),0))</f>
        <v/>
      </c>
      <c r="Q603">
        <f>IF(OR(A603="",G603=""),"",COUNTIFS($M$3:$M$1002,M603,$G$3:$G$1002,"&lt;&gt;"&amp;SUBSTITUTE(SUBSTITUTE(G603,"?","~?"),"*","~*"),$G$3:$G$1002,"?*"))</f>
        <v/>
      </c>
      <c r="R603">
        <f>IF(Q603="","",IF(Q603&gt;0,"Yes","No"))</f>
        <v/>
      </c>
      <c r="S603">
        <f>IF(G603="","",COUNTIFS($G$3:$G$1002,SUBSTITUTE(SUBSTITUTE(G603,"?","~?"),"*","~*"),$J$3:$J$1002,"Primary"))</f>
        <v/>
      </c>
      <c r="T603">
        <f>IF(S603="","",IF(S603&gt;Settings!$B$4,"Yes","No"))</f>
        <v/>
      </c>
      <c r="U603">
        <f>IF(OR(G603="",B603=""),"",IF(COUNTIFS($G$3:$G$1002,SUBSTITUTE(SUBSTITUTE(G603,"?","~?"),"*","~*"),$B$3:$B$1002,"&lt;&gt;"&amp;SUBSTITUTE(SUBSTITUTE(B603,"?","~?"),"*","~*"),$B$3:$B$1002,"?*")&gt;0,"Yes","No"))</f>
        <v/>
      </c>
      <c r="V603">
        <f>IF(OR(G603="",I603="",O603="",O603="Unclassified"),"",IFERROR(INDEX(Settings!$E$5:$H$16,MATCH(I603,Settings!$D$5:$D$16,0),MATCH(O603,Settings!$E$4:$H$4,0)),"Check"))</f>
        <v/>
      </c>
      <c r="W603">
        <f>IF(V603="","",IF(V603="No","Yes","No"))</f>
        <v/>
      </c>
      <c r="X603">
        <f>IF(OR(E603="",G603=""),"",IF(LOWER(IF(RIGHT(TRIM(E603),1)="/",LEFT(TRIM(E603),LEN(TRIM(E603))-1),TRIM(E603)))&lt;&gt;LOWER(IF(RIGHT(TRIM(G603),1)="/",LEFT(TRIM(G603),LEN(TRIM(G603))-1),TRIM(G603))),"Yes","No"))</f>
        <v/>
      </c>
      <c r="Y603">
        <f>IF(A603="","",(N(Q603)&gt;0)+(T603="Yes")+(U603="Yes")+(W603="Yes")+(X603="Yes"))</f>
        <v/>
      </c>
      <c r="Z603">
        <f>IF(A603="","",IF(G603="","Not mapped",IF(Y603=0,"OK",MID(IF(N(Q603)&gt;0,"; Cannibalisation","")&amp;IF(T603="Yes","; Too many primary keywords on URL","")&amp;IF(U603="Yes","; URL spans 2+ clusters","")&amp;IF(W603="Yes","; Intent mismatch","")&amp;IF(X603="Yes","; Ranking URL is not the target",""),3,300))))</f>
        <v/>
      </c>
      <c r="AA603">
        <f>IF(G603="","",IF(COUNTIF($G$3:G603,SUBSTITUTE(SUBSTITUTE(G603,"?","~?"),"*","~*"))=1,MAX($AA$2:AA602)+1,""))</f>
        <v/>
      </c>
      <c r="AB603">
        <f>IF(B603="","",IF(COUNTIF($B$3:B603,SUBSTITUTE(SUBSTITUTE(B603,"?","~?"),"*","~*"))=1,MAX($AB$2:AB602)+1,""))</f>
        <v/>
      </c>
    </row>
    <row r="604">
      <c r="M604">
        <f>IF(A604="","",LOWER(TRIM(SUBSTITUTE(SUBSTITUTE(A604,"?",""),"*",""))))</f>
        <v/>
      </c>
      <c r="N604">
        <f>IF(M604="","",IF(SUMPRODUCT(ISNUMBER(SEARCH(" "&amp;Settings!$L$5:$L$124&amp;" "," "&amp;M604&amp;" "))*(Settings!$K$5:$K$124="Navigational")*(Settings!$L$5:$L$124&lt;&gt;""))&gt;0,"Navigational",IF(SUMPRODUCT(ISNUMBER(SEARCH(" "&amp;Settings!$L$5:$L$124&amp;" "," "&amp;M604&amp;" "))*(Settings!$K$5:$K$124="Transactional")*(Settings!$L$5:$L$124&lt;&gt;""))&gt;0,"Transactional",IF(SUMPRODUCT(ISNUMBER(SEARCH(" "&amp;Settings!$L$5:$L$124&amp;" "," "&amp;M604&amp;" "))*(Settings!$K$5:$K$124="Commercial")*(Settings!$L$5:$L$124&lt;&gt;""))&gt;0,"Commercial",IF(SUMPRODUCT(ISNUMBER(SEARCH(" "&amp;Settings!$L$5:$L$124&amp;" "," "&amp;M604&amp;" "))*(Settings!$K$5:$K$124="Informational")*(Settings!$L$5:$L$124&lt;&gt;""))&gt;0,"Informational","Unclassified")))))</f>
        <v/>
      </c>
      <c r="O604">
        <f>IF(A604="","",IF(K604&lt;&gt;"",PROPER(K604),N604))</f>
        <v/>
      </c>
      <c r="P604">
        <f>IF(A604="","",ROUND(Settings!$B$5*MIN(1,LOG10(N(C604)+1)/LOG10(Settings!$B$7+1))+Settings!$B$6*(1-MIN(100,IF(D604="",50,N(D604)))/100)+IFERROR(INDEX(Settings!$B$10:$B$14,MATCH(O604,Settings!$A$10:$A$14,0)),0),0))</f>
        <v/>
      </c>
      <c r="Q604">
        <f>IF(OR(A604="",G604=""),"",COUNTIFS($M$3:$M$1002,M604,$G$3:$G$1002,"&lt;&gt;"&amp;SUBSTITUTE(SUBSTITUTE(G604,"?","~?"),"*","~*"),$G$3:$G$1002,"?*"))</f>
        <v/>
      </c>
      <c r="R604">
        <f>IF(Q604="","",IF(Q604&gt;0,"Yes","No"))</f>
        <v/>
      </c>
      <c r="S604">
        <f>IF(G604="","",COUNTIFS($G$3:$G$1002,SUBSTITUTE(SUBSTITUTE(G604,"?","~?"),"*","~*"),$J$3:$J$1002,"Primary"))</f>
        <v/>
      </c>
      <c r="T604">
        <f>IF(S604="","",IF(S604&gt;Settings!$B$4,"Yes","No"))</f>
        <v/>
      </c>
      <c r="U604">
        <f>IF(OR(G604="",B604=""),"",IF(COUNTIFS($G$3:$G$1002,SUBSTITUTE(SUBSTITUTE(G604,"?","~?"),"*","~*"),$B$3:$B$1002,"&lt;&gt;"&amp;SUBSTITUTE(SUBSTITUTE(B604,"?","~?"),"*","~*"),$B$3:$B$1002,"?*")&gt;0,"Yes","No"))</f>
        <v/>
      </c>
      <c r="V604">
        <f>IF(OR(G604="",I604="",O604="",O604="Unclassified"),"",IFERROR(INDEX(Settings!$E$5:$H$16,MATCH(I604,Settings!$D$5:$D$16,0),MATCH(O604,Settings!$E$4:$H$4,0)),"Check"))</f>
        <v/>
      </c>
      <c r="W604">
        <f>IF(V604="","",IF(V604="No","Yes","No"))</f>
        <v/>
      </c>
      <c r="X604">
        <f>IF(OR(E604="",G604=""),"",IF(LOWER(IF(RIGHT(TRIM(E604),1)="/",LEFT(TRIM(E604),LEN(TRIM(E604))-1),TRIM(E604)))&lt;&gt;LOWER(IF(RIGHT(TRIM(G604),1)="/",LEFT(TRIM(G604),LEN(TRIM(G604))-1),TRIM(G604))),"Yes","No"))</f>
        <v/>
      </c>
      <c r="Y604">
        <f>IF(A604="","",(N(Q604)&gt;0)+(T604="Yes")+(U604="Yes")+(W604="Yes")+(X604="Yes"))</f>
        <v/>
      </c>
      <c r="Z604">
        <f>IF(A604="","",IF(G604="","Not mapped",IF(Y604=0,"OK",MID(IF(N(Q604)&gt;0,"; Cannibalisation","")&amp;IF(T604="Yes","; Too many primary keywords on URL","")&amp;IF(U604="Yes","; URL spans 2+ clusters","")&amp;IF(W604="Yes","; Intent mismatch","")&amp;IF(X604="Yes","; Ranking URL is not the target",""),3,300))))</f>
        <v/>
      </c>
      <c r="AA604">
        <f>IF(G604="","",IF(COUNTIF($G$3:G604,SUBSTITUTE(SUBSTITUTE(G604,"?","~?"),"*","~*"))=1,MAX($AA$2:AA603)+1,""))</f>
        <v/>
      </c>
      <c r="AB604">
        <f>IF(B604="","",IF(COUNTIF($B$3:B604,SUBSTITUTE(SUBSTITUTE(B604,"?","~?"),"*","~*"))=1,MAX($AB$2:AB603)+1,""))</f>
        <v/>
      </c>
    </row>
    <row r="605">
      <c r="M605">
        <f>IF(A605="","",LOWER(TRIM(SUBSTITUTE(SUBSTITUTE(A605,"?",""),"*",""))))</f>
        <v/>
      </c>
      <c r="N605">
        <f>IF(M605="","",IF(SUMPRODUCT(ISNUMBER(SEARCH(" "&amp;Settings!$L$5:$L$124&amp;" "," "&amp;M605&amp;" "))*(Settings!$K$5:$K$124="Navigational")*(Settings!$L$5:$L$124&lt;&gt;""))&gt;0,"Navigational",IF(SUMPRODUCT(ISNUMBER(SEARCH(" "&amp;Settings!$L$5:$L$124&amp;" "," "&amp;M605&amp;" "))*(Settings!$K$5:$K$124="Transactional")*(Settings!$L$5:$L$124&lt;&gt;""))&gt;0,"Transactional",IF(SUMPRODUCT(ISNUMBER(SEARCH(" "&amp;Settings!$L$5:$L$124&amp;" "," "&amp;M605&amp;" "))*(Settings!$K$5:$K$124="Commercial")*(Settings!$L$5:$L$124&lt;&gt;""))&gt;0,"Commercial",IF(SUMPRODUCT(ISNUMBER(SEARCH(" "&amp;Settings!$L$5:$L$124&amp;" "," "&amp;M605&amp;" "))*(Settings!$K$5:$K$124="Informational")*(Settings!$L$5:$L$124&lt;&gt;""))&gt;0,"Informational","Unclassified")))))</f>
        <v/>
      </c>
      <c r="O605">
        <f>IF(A605="","",IF(K605&lt;&gt;"",PROPER(K605),N605))</f>
        <v/>
      </c>
      <c r="P605">
        <f>IF(A605="","",ROUND(Settings!$B$5*MIN(1,LOG10(N(C605)+1)/LOG10(Settings!$B$7+1))+Settings!$B$6*(1-MIN(100,IF(D605="",50,N(D605)))/100)+IFERROR(INDEX(Settings!$B$10:$B$14,MATCH(O605,Settings!$A$10:$A$14,0)),0),0))</f>
        <v/>
      </c>
      <c r="Q605">
        <f>IF(OR(A605="",G605=""),"",COUNTIFS($M$3:$M$1002,M605,$G$3:$G$1002,"&lt;&gt;"&amp;SUBSTITUTE(SUBSTITUTE(G605,"?","~?"),"*","~*"),$G$3:$G$1002,"?*"))</f>
        <v/>
      </c>
      <c r="R605">
        <f>IF(Q605="","",IF(Q605&gt;0,"Yes","No"))</f>
        <v/>
      </c>
      <c r="S605">
        <f>IF(G605="","",COUNTIFS($G$3:$G$1002,SUBSTITUTE(SUBSTITUTE(G605,"?","~?"),"*","~*"),$J$3:$J$1002,"Primary"))</f>
        <v/>
      </c>
      <c r="T605">
        <f>IF(S605="","",IF(S605&gt;Settings!$B$4,"Yes","No"))</f>
        <v/>
      </c>
      <c r="U605">
        <f>IF(OR(G605="",B605=""),"",IF(COUNTIFS($G$3:$G$1002,SUBSTITUTE(SUBSTITUTE(G605,"?","~?"),"*","~*"),$B$3:$B$1002,"&lt;&gt;"&amp;SUBSTITUTE(SUBSTITUTE(B605,"?","~?"),"*","~*"),$B$3:$B$1002,"?*")&gt;0,"Yes","No"))</f>
        <v/>
      </c>
      <c r="V605">
        <f>IF(OR(G605="",I605="",O605="",O605="Unclassified"),"",IFERROR(INDEX(Settings!$E$5:$H$16,MATCH(I605,Settings!$D$5:$D$16,0),MATCH(O605,Settings!$E$4:$H$4,0)),"Check"))</f>
        <v/>
      </c>
      <c r="W605">
        <f>IF(V605="","",IF(V605="No","Yes","No"))</f>
        <v/>
      </c>
      <c r="X605">
        <f>IF(OR(E605="",G605=""),"",IF(LOWER(IF(RIGHT(TRIM(E605),1)="/",LEFT(TRIM(E605),LEN(TRIM(E605))-1),TRIM(E605)))&lt;&gt;LOWER(IF(RIGHT(TRIM(G605),1)="/",LEFT(TRIM(G605),LEN(TRIM(G605))-1),TRIM(G605))),"Yes","No"))</f>
        <v/>
      </c>
      <c r="Y605">
        <f>IF(A605="","",(N(Q605)&gt;0)+(T605="Yes")+(U605="Yes")+(W605="Yes")+(X605="Yes"))</f>
        <v/>
      </c>
      <c r="Z605">
        <f>IF(A605="","",IF(G605="","Not mapped",IF(Y605=0,"OK",MID(IF(N(Q605)&gt;0,"; Cannibalisation","")&amp;IF(T605="Yes","; Too many primary keywords on URL","")&amp;IF(U605="Yes","; URL spans 2+ clusters","")&amp;IF(W605="Yes","; Intent mismatch","")&amp;IF(X605="Yes","; Ranking URL is not the target",""),3,300))))</f>
        <v/>
      </c>
      <c r="AA605">
        <f>IF(G605="","",IF(COUNTIF($G$3:G605,SUBSTITUTE(SUBSTITUTE(G605,"?","~?"),"*","~*"))=1,MAX($AA$2:AA604)+1,""))</f>
        <v/>
      </c>
      <c r="AB605">
        <f>IF(B605="","",IF(COUNTIF($B$3:B605,SUBSTITUTE(SUBSTITUTE(B605,"?","~?"),"*","~*"))=1,MAX($AB$2:AB604)+1,""))</f>
        <v/>
      </c>
    </row>
    <row r="606">
      <c r="M606">
        <f>IF(A606="","",LOWER(TRIM(SUBSTITUTE(SUBSTITUTE(A606,"?",""),"*",""))))</f>
        <v/>
      </c>
      <c r="N606">
        <f>IF(M606="","",IF(SUMPRODUCT(ISNUMBER(SEARCH(" "&amp;Settings!$L$5:$L$124&amp;" "," "&amp;M606&amp;" "))*(Settings!$K$5:$K$124="Navigational")*(Settings!$L$5:$L$124&lt;&gt;""))&gt;0,"Navigational",IF(SUMPRODUCT(ISNUMBER(SEARCH(" "&amp;Settings!$L$5:$L$124&amp;" "," "&amp;M606&amp;" "))*(Settings!$K$5:$K$124="Transactional")*(Settings!$L$5:$L$124&lt;&gt;""))&gt;0,"Transactional",IF(SUMPRODUCT(ISNUMBER(SEARCH(" "&amp;Settings!$L$5:$L$124&amp;" "," "&amp;M606&amp;" "))*(Settings!$K$5:$K$124="Commercial")*(Settings!$L$5:$L$124&lt;&gt;""))&gt;0,"Commercial",IF(SUMPRODUCT(ISNUMBER(SEARCH(" "&amp;Settings!$L$5:$L$124&amp;" "," "&amp;M606&amp;" "))*(Settings!$K$5:$K$124="Informational")*(Settings!$L$5:$L$124&lt;&gt;""))&gt;0,"Informational","Unclassified")))))</f>
        <v/>
      </c>
      <c r="O606">
        <f>IF(A606="","",IF(K606&lt;&gt;"",PROPER(K606),N606))</f>
        <v/>
      </c>
      <c r="P606">
        <f>IF(A606="","",ROUND(Settings!$B$5*MIN(1,LOG10(N(C606)+1)/LOG10(Settings!$B$7+1))+Settings!$B$6*(1-MIN(100,IF(D606="",50,N(D606)))/100)+IFERROR(INDEX(Settings!$B$10:$B$14,MATCH(O606,Settings!$A$10:$A$14,0)),0),0))</f>
        <v/>
      </c>
      <c r="Q606">
        <f>IF(OR(A606="",G606=""),"",COUNTIFS($M$3:$M$1002,M606,$G$3:$G$1002,"&lt;&gt;"&amp;SUBSTITUTE(SUBSTITUTE(G606,"?","~?"),"*","~*"),$G$3:$G$1002,"?*"))</f>
        <v/>
      </c>
      <c r="R606">
        <f>IF(Q606="","",IF(Q606&gt;0,"Yes","No"))</f>
        <v/>
      </c>
      <c r="S606">
        <f>IF(G606="","",COUNTIFS($G$3:$G$1002,SUBSTITUTE(SUBSTITUTE(G606,"?","~?"),"*","~*"),$J$3:$J$1002,"Primary"))</f>
        <v/>
      </c>
      <c r="T606">
        <f>IF(S606="","",IF(S606&gt;Settings!$B$4,"Yes","No"))</f>
        <v/>
      </c>
      <c r="U606">
        <f>IF(OR(G606="",B606=""),"",IF(COUNTIFS($G$3:$G$1002,SUBSTITUTE(SUBSTITUTE(G606,"?","~?"),"*","~*"),$B$3:$B$1002,"&lt;&gt;"&amp;SUBSTITUTE(SUBSTITUTE(B606,"?","~?"),"*","~*"),$B$3:$B$1002,"?*")&gt;0,"Yes","No"))</f>
        <v/>
      </c>
      <c r="V606">
        <f>IF(OR(G606="",I606="",O606="",O606="Unclassified"),"",IFERROR(INDEX(Settings!$E$5:$H$16,MATCH(I606,Settings!$D$5:$D$16,0),MATCH(O606,Settings!$E$4:$H$4,0)),"Check"))</f>
        <v/>
      </c>
      <c r="W606">
        <f>IF(V606="","",IF(V606="No","Yes","No"))</f>
        <v/>
      </c>
      <c r="X606">
        <f>IF(OR(E606="",G606=""),"",IF(LOWER(IF(RIGHT(TRIM(E606),1)="/",LEFT(TRIM(E606),LEN(TRIM(E606))-1),TRIM(E606)))&lt;&gt;LOWER(IF(RIGHT(TRIM(G606),1)="/",LEFT(TRIM(G606),LEN(TRIM(G606))-1),TRIM(G606))),"Yes","No"))</f>
        <v/>
      </c>
      <c r="Y606">
        <f>IF(A606="","",(N(Q606)&gt;0)+(T606="Yes")+(U606="Yes")+(W606="Yes")+(X606="Yes"))</f>
        <v/>
      </c>
      <c r="Z606">
        <f>IF(A606="","",IF(G606="","Not mapped",IF(Y606=0,"OK",MID(IF(N(Q606)&gt;0,"; Cannibalisation","")&amp;IF(T606="Yes","; Too many primary keywords on URL","")&amp;IF(U606="Yes","; URL spans 2+ clusters","")&amp;IF(W606="Yes","; Intent mismatch","")&amp;IF(X606="Yes","; Ranking URL is not the target",""),3,300))))</f>
        <v/>
      </c>
      <c r="AA606">
        <f>IF(G606="","",IF(COUNTIF($G$3:G606,SUBSTITUTE(SUBSTITUTE(G606,"?","~?"),"*","~*"))=1,MAX($AA$2:AA605)+1,""))</f>
        <v/>
      </c>
      <c r="AB606">
        <f>IF(B606="","",IF(COUNTIF($B$3:B606,SUBSTITUTE(SUBSTITUTE(B606,"?","~?"),"*","~*"))=1,MAX($AB$2:AB605)+1,""))</f>
        <v/>
      </c>
    </row>
    <row r="607">
      <c r="M607">
        <f>IF(A607="","",LOWER(TRIM(SUBSTITUTE(SUBSTITUTE(A607,"?",""),"*",""))))</f>
        <v/>
      </c>
      <c r="N607">
        <f>IF(M607="","",IF(SUMPRODUCT(ISNUMBER(SEARCH(" "&amp;Settings!$L$5:$L$124&amp;" "," "&amp;M607&amp;" "))*(Settings!$K$5:$K$124="Navigational")*(Settings!$L$5:$L$124&lt;&gt;""))&gt;0,"Navigational",IF(SUMPRODUCT(ISNUMBER(SEARCH(" "&amp;Settings!$L$5:$L$124&amp;" "," "&amp;M607&amp;" "))*(Settings!$K$5:$K$124="Transactional")*(Settings!$L$5:$L$124&lt;&gt;""))&gt;0,"Transactional",IF(SUMPRODUCT(ISNUMBER(SEARCH(" "&amp;Settings!$L$5:$L$124&amp;" "," "&amp;M607&amp;" "))*(Settings!$K$5:$K$124="Commercial")*(Settings!$L$5:$L$124&lt;&gt;""))&gt;0,"Commercial",IF(SUMPRODUCT(ISNUMBER(SEARCH(" "&amp;Settings!$L$5:$L$124&amp;" "," "&amp;M607&amp;" "))*(Settings!$K$5:$K$124="Informational")*(Settings!$L$5:$L$124&lt;&gt;""))&gt;0,"Informational","Unclassified")))))</f>
        <v/>
      </c>
      <c r="O607">
        <f>IF(A607="","",IF(K607&lt;&gt;"",PROPER(K607),N607))</f>
        <v/>
      </c>
      <c r="P607">
        <f>IF(A607="","",ROUND(Settings!$B$5*MIN(1,LOG10(N(C607)+1)/LOG10(Settings!$B$7+1))+Settings!$B$6*(1-MIN(100,IF(D607="",50,N(D607)))/100)+IFERROR(INDEX(Settings!$B$10:$B$14,MATCH(O607,Settings!$A$10:$A$14,0)),0),0))</f>
        <v/>
      </c>
      <c r="Q607">
        <f>IF(OR(A607="",G607=""),"",COUNTIFS($M$3:$M$1002,M607,$G$3:$G$1002,"&lt;&gt;"&amp;SUBSTITUTE(SUBSTITUTE(G607,"?","~?"),"*","~*"),$G$3:$G$1002,"?*"))</f>
        <v/>
      </c>
      <c r="R607">
        <f>IF(Q607="","",IF(Q607&gt;0,"Yes","No"))</f>
        <v/>
      </c>
      <c r="S607">
        <f>IF(G607="","",COUNTIFS($G$3:$G$1002,SUBSTITUTE(SUBSTITUTE(G607,"?","~?"),"*","~*"),$J$3:$J$1002,"Primary"))</f>
        <v/>
      </c>
      <c r="T607">
        <f>IF(S607="","",IF(S607&gt;Settings!$B$4,"Yes","No"))</f>
        <v/>
      </c>
      <c r="U607">
        <f>IF(OR(G607="",B607=""),"",IF(COUNTIFS($G$3:$G$1002,SUBSTITUTE(SUBSTITUTE(G607,"?","~?"),"*","~*"),$B$3:$B$1002,"&lt;&gt;"&amp;SUBSTITUTE(SUBSTITUTE(B607,"?","~?"),"*","~*"),$B$3:$B$1002,"?*")&gt;0,"Yes","No"))</f>
        <v/>
      </c>
      <c r="V607">
        <f>IF(OR(G607="",I607="",O607="",O607="Unclassified"),"",IFERROR(INDEX(Settings!$E$5:$H$16,MATCH(I607,Settings!$D$5:$D$16,0),MATCH(O607,Settings!$E$4:$H$4,0)),"Check"))</f>
        <v/>
      </c>
      <c r="W607">
        <f>IF(V607="","",IF(V607="No","Yes","No"))</f>
        <v/>
      </c>
      <c r="X607">
        <f>IF(OR(E607="",G607=""),"",IF(LOWER(IF(RIGHT(TRIM(E607),1)="/",LEFT(TRIM(E607),LEN(TRIM(E607))-1),TRIM(E607)))&lt;&gt;LOWER(IF(RIGHT(TRIM(G607),1)="/",LEFT(TRIM(G607),LEN(TRIM(G607))-1),TRIM(G607))),"Yes","No"))</f>
        <v/>
      </c>
      <c r="Y607">
        <f>IF(A607="","",(N(Q607)&gt;0)+(T607="Yes")+(U607="Yes")+(W607="Yes")+(X607="Yes"))</f>
        <v/>
      </c>
      <c r="Z607">
        <f>IF(A607="","",IF(G607="","Not mapped",IF(Y607=0,"OK",MID(IF(N(Q607)&gt;0,"; Cannibalisation","")&amp;IF(T607="Yes","; Too many primary keywords on URL","")&amp;IF(U607="Yes","; URL spans 2+ clusters","")&amp;IF(W607="Yes","; Intent mismatch","")&amp;IF(X607="Yes","; Ranking URL is not the target",""),3,300))))</f>
        <v/>
      </c>
      <c r="AA607">
        <f>IF(G607="","",IF(COUNTIF($G$3:G607,SUBSTITUTE(SUBSTITUTE(G607,"?","~?"),"*","~*"))=1,MAX($AA$2:AA606)+1,""))</f>
        <v/>
      </c>
      <c r="AB607">
        <f>IF(B607="","",IF(COUNTIF($B$3:B607,SUBSTITUTE(SUBSTITUTE(B607,"?","~?"),"*","~*"))=1,MAX($AB$2:AB606)+1,""))</f>
        <v/>
      </c>
    </row>
    <row r="608">
      <c r="M608">
        <f>IF(A608="","",LOWER(TRIM(SUBSTITUTE(SUBSTITUTE(A608,"?",""),"*",""))))</f>
        <v/>
      </c>
      <c r="N608">
        <f>IF(M608="","",IF(SUMPRODUCT(ISNUMBER(SEARCH(" "&amp;Settings!$L$5:$L$124&amp;" "," "&amp;M608&amp;" "))*(Settings!$K$5:$K$124="Navigational")*(Settings!$L$5:$L$124&lt;&gt;""))&gt;0,"Navigational",IF(SUMPRODUCT(ISNUMBER(SEARCH(" "&amp;Settings!$L$5:$L$124&amp;" "," "&amp;M608&amp;" "))*(Settings!$K$5:$K$124="Transactional")*(Settings!$L$5:$L$124&lt;&gt;""))&gt;0,"Transactional",IF(SUMPRODUCT(ISNUMBER(SEARCH(" "&amp;Settings!$L$5:$L$124&amp;" "," "&amp;M608&amp;" "))*(Settings!$K$5:$K$124="Commercial")*(Settings!$L$5:$L$124&lt;&gt;""))&gt;0,"Commercial",IF(SUMPRODUCT(ISNUMBER(SEARCH(" "&amp;Settings!$L$5:$L$124&amp;" "," "&amp;M608&amp;" "))*(Settings!$K$5:$K$124="Informational")*(Settings!$L$5:$L$124&lt;&gt;""))&gt;0,"Informational","Unclassified")))))</f>
        <v/>
      </c>
      <c r="O608">
        <f>IF(A608="","",IF(K608&lt;&gt;"",PROPER(K608),N608))</f>
        <v/>
      </c>
      <c r="P608">
        <f>IF(A608="","",ROUND(Settings!$B$5*MIN(1,LOG10(N(C608)+1)/LOG10(Settings!$B$7+1))+Settings!$B$6*(1-MIN(100,IF(D608="",50,N(D608)))/100)+IFERROR(INDEX(Settings!$B$10:$B$14,MATCH(O608,Settings!$A$10:$A$14,0)),0),0))</f>
        <v/>
      </c>
      <c r="Q608">
        <f>IF(OR(A608="",G608=""),"",COUNTIFS($M$3:$M$1002,M608,$G$3:$G$1002,"&lt;&gt;"&amp;SUBSTITUTE(SUBSTITUTE(G608,"?","~?"),"*","~*"),$G$3:$G$1002,"?*"))</f>
        <v/>
      </c>
      <c r="R608">
        <f>IF(Q608="","",IF(Q608&gt;0,"Yes","No"))</f>
        <v/>
      </c>
      <c r="S608">
        <f>IF(G608="","",COUNTIFS($G$3:$G$1002,SUBSTITUTE(SUBSTITUTE(G608,"?","~?"),"*","~*"),$J$3:$J$1002,"Primary"))</f>
        <v/>
      </c>
      <c r="T608">
        <f>IF(S608="","",IF(S608&gt;Settings!$B$4,"Yes","No"))</f>
        <v/>
      </c>
      <c r="U608">
        <f>IF(OR(G608="",B608=""),"",IF(COUNTIFS($G$3:$G$1002,SUBSTITUTE(SUBSTITUTE(G608,"?","~?"),"*","~*"),$B$3:$B$1002,"&lt;&gt;"&amp;SUBSTITUTE(SUBSTITUTE(B608,"?","~?"),"*","~*"),$B$3:$B$1002,"?*")&gt;0,"Yes","No"))</f>
        <v/>
      </c>
      <c r="V608">
        <f>IF(OR(G608="",I608="",O608="",O608="Unclassified"),"",IFERROR(INDEX(Settings!$E$5:$H$16,MATCH(I608,Settings!$D$5:$D$16,0),MATCH(O608,Settings!$E$4:$H$4,0)),"Check"))</f>
        <v/>
      </c>
      <c r="W608">
        <f>IF(V608="","",IF(V608="No","Yes","No"))</f>
        <v/>
      </c>
      <c r="X608">
        <f>IF(OR(E608="",G608=""),"",IF(LOWER(IF(RIGHT(TRIM(E608),1)="/",LEFT(TRIM(E608),LEN(TRIM(E608))-1),TRIM(E608)))&lt;&gt;LOWER(IF(RIGHT(TRIM(G608),1)="/",LEFT(TRIM(G608),LEN(TRIM(G608))-1),TRIM(G608))),"Yes","No"))</f>
        <v/>
      </c>
      <c r="Y608">
        <f>IF(A608="","",(N(Q608)&gt;0)+(T608="Yes")+(U608="Yes")+(W608="Yes")+(X608="Yes"))</f>
        <v/>
      </c>
      <c r="Z608">
        <f>IF(A608="","",IF(G608="","Not mapped",IF(Y608=0,"OK",MID(IF(N(Q608)&gt;0,"; Cannibalisation","")&amp;IF(T608="Yes","; Too many primary keywords on URL","")&amp;IF(U608="Yes","; URL spans 2+ clusters","")&amp;IF(W608="Yes","; Intent mismatch","")&amp;IF(X608="Yes","; Ranking URL is not the target",""),3,300))))</f>
        <v/>
      </c>
      <c r="AA608">
        <f>IF(G608="","",IF(COUNTIF($G$3:G608,SUBSTITUTE(SUBSTITUTE(G608,"?","~?"),"*","~*"))=1,MAX($AA$2:AA607)+1,""))</f>
        <v/>
      </c>
      <c r="AB608">
        <f>IF(B608="","",IF(COUNTIF($B$3:B608,SUBSTITUTE(SUBSTITUTE(B608,"?","~?"),"*","~*"))=1,MAX($AB$2:AB607)+1,""))</f>
        <v/>
      </c>
    </row>
    <row r="609">
      <c r="M609">
        <f>IF(A609="","",LOWER(TRIM(SUBSTITUTE(SUBSTITUTE(A609,"?",""),"*",""))))</f>
        <v/>
      </c>
      <c r="N609">
        <f>IF(M609="","",IF(SUMPRODUCT(ISNUMBER(SEARCH(" "&amp;Settings!$L$5:$L$124&amp;" "," "&amp;M609&amp;" "))*(Settings!$K$5:$K$124="Navigational")*(Settings!$L$5:$L$124&lt;&gt;""))&gt;0,"Navigational",IF(SUMPRODUCT(ISNUMBER(SEARCH(" "&amp;Settings!$L$5:$L$124&amp;" "," "&amp;M609&amp;" "))*(Settings!$K$5:$K$124="Transactional")*(Settings!$L$5:$L$124&lt;&gt;""))&gt;0,"Transactional",IF(SUMPRODUCT(ISNUMBER(SEARCH(" "&amp;Settings!$L$5:$L$124&amp;" "," "&amp;M609&amp;" "))*(Settings!$K$5:$K$124="Commercial")*(Settings!$L$5:$L$124&lt;&gt;""))&gt;0,"Commercial",IF(SUMPRODUCT(ISNUMBER(SEARCH(" "&amp;Settings!$L$5:$L$124&amp;" "," "&amp;M609&amp;" "))*(Settings!$K$5:$K$124="Informational")*(Settings!$L$5:$L$124&lt;&gt;""))&gt;0,"Informational","Unclassified")))))</f>
        <v/>
      </c>
      <c r="O609">
        <f>IF(A609="","",IF(K609&lt;&gt;"",PROPER(K609),N609))</f>
        <v/>
      </c>
      <c r="P609">
        <f>IF(A609="","",ROUND(Settings!$B$5*MIN(1,LOG10(N(C609)+1)/LOG10(Settings!$B$7+1))+Settings!$B$6*(1-MIN(100,IF(D609="",50,N(D609)))/100)+IFERROR(INDEX(Settings!$B$10:$B$14,MATCH(O609,Settings!$A$10:$A$14,0)),0),0))</f>
        <v/>
      </c>
      <c r="Q609">
        <f>IF(OR(A609="",G609=""),"",COUNTIFS($M$3:$M$1002,M609,$G$3:$G$1002,"&lt;&gt;"&amp;SUBSTITUTE(SUBSTITUTE(G609,"?","~?"),"*","~*"),$G$3:$G$1002,"?*"))</f>
        <v/>
      </c>
      <c r="R609">
        <f>IF(Q609="","",IF(Q609&gt;0,"Yes","No"))</f>
        <v/>
      </c>
      <c r="S609">
        <f>IF(G609="","",COUNTIFS($G$3:$G$1002,SUBSTITUTE(SUBSTITUTE(G609,"?","~?"),"*","~*"),$J$3:$J$1002,"Primary"))</f>
        <v/>
      </c>
      <c r="T609">
        <f>IF(S609="","",IF(S609&gt;Settings!$B$4,"Yes","No"))</f>
        <v/>
      </c>
      <c r="U609">
        <f>IF(OR(G609="",B609=""),"",IF(COUNTIFS($G$3:$G$1002,SUBSTITUTE(SUBSTITUTE(G609,"?","~?"),"*","~*"),$B$3:$B$1002,"&lt;&gt;"&amp;SUBSTITUTE(SUBSTITUTE(B609,"?","~?"),"*","~*"),$B$3:$B$1002,"?*")&gt;0,"Yes","No"))</f>
        <v/>
      </c>
      <c r="V609">
        <f>IF(OR(G609="",I609="",O609="",O609="Unclassified"),"",IFERROR(INDEX(Settings!$E$5:$H$16,MATCH(I609,Settings!$D$5:$D$16,0),MATCH(O609,Settings!$E$4:$H$4,0)),"Check"))</f>
        <v/>
      </c>
      <c r="W609">
        <f>IF(V609="","",IF(V609="No","Yes","No"))</f>
        <v/>
      </c>
      <c r="X609">
        <f>IF(OR(E609="",G609=""),"",IF(LOWER(IF(RIGHT(TRIM(E609),1)="/",LEFT(TRIM(E609),LEN(TRIM(E609))-1),TRIM(E609)))&lt;&gt;LOWER(IF(RIGHT(TRIM(G609),1)="/",LEFT(TRIM(G609),LEN(TRIM(G609))-1),TRIM(G609))),"Yes","No"))</f>
        <v/>
      </c>
      <c r="Y609">
        <f>IF(A609="","",(N(Q609)&gt;0)+(T609="Yes")+(U609="Yes")+(W609="Yes")+(X609="Yes"))</f>
        <v/>
      </c>
      <c r="Z609">
        <f>IF(A609="","",IF(G609="","Not mapped",IF(Y609=0,"OK",MID(IF(N(Q609)&gt;0,"; Cannibalisation","")&amp;IF(T609="Yes","; Too many primary keywords on URL","")&amp;IF(U609="Yes","; URL spans 2+ clusters","")&amp;IF(W609="Yes","; Intent mismatch","")&amp;IF(X609="Yes","; Ranking URL is not the target",""),3,300))))</f>
        <v/>
      </c>
      <c r="AA609">
        <f>IF(G609="","",IF(COUNTIF($G$3:G609,SUBSTITUTE(SUBSTITUTE(G609,"?","~?"),"*","~*"))=1,MAX($AA$2:AA608)+1,""))</f>
        <v/>
      </c>
      <c r="AB609">
        <f>IF(B609="","",IF(COUNTIF($B$3:B609,SUBSTITUTE(SUBSTITUTE(B609,"?","~?"),"*","~*"))=1,MAX($AB$2:AB608)+1,""))</f>
        <v/>
      </c>
    </row>
    <row r="610">
      <c r="M610">
        <f>IF(A610="","",LOWER(TRIM(SUBSTITUTE(SUBSTITUTE(A610,"?",""),"*",""))))</f>
        <v/>
      </c>
      <c r="N610">
        <f>IF(M610="","",IF(SUMPRODUCT(ISNUMBER(SEARCH(" "&amp;Settings!$L$5:$L$124&amp;" "," "&amp;M610&amp;" "))*(Settings!$K$5:$K$124="Navigational")*(Settings!$L$5:$L$124&lt;&gt;""))&gt;0,"Navigational",IF(SUMPRODUCT(ISNUMBER(SEARCH(" "&amp;Settings!$L$5:$L$124&amp;" "," "&amp;M610&amp;" "))*(Settings!$K$5:$K$124="Transactional")*(Settings!$L$5:$L$124&lt;&gt;""))&gt;0,"Transactional",IF(SUMPRODUCT(ISNUMBER(SEARCH(" "&amp;Settings!$L$5:$L$124&amp;" "," "&amp;M610&amp;" "))*(Settings!$K$5:$K$124="Commercial")*(Settings!$L$5:$L$124&lt;&gt;""))&gt;0,"Commercial",IF(SUMPRODUCT(ISNUMBER(SEARCH(" "&amp;Settings!$L$5:$L$124&amp;" "," "&amp;M610&amp;" "))*(Settings!$K$5:$K$124="Informational")*(Settings!$L$5:$L$124&lt;&gt;""))&gt;0,"Informational","Unclassified")))))</f>
        <v/>
      </c>
      <c r="O610">
        <f>IF(A610="","",IF(K610&lt;&gt;"",PROPER(K610),N610))</f>
        <v/>
      </c>
      <c r="P610">
        <f>IF(A610="","",ROUND(Settings!$B$5*MIN(1,LOG10(N(C610)+1)/LOG10(Settings!$B$7+1))+Settings!$B$6*(1-MIN(100,IF(D610="",50,N(D610)))/100)+IFERROR(INDEX(Settings!$B$10:$B$14,MATCH(O610,Settings!$A$10:$A$14,0)),0),0))</f>
        <v/>
      </c>
      <c r="Q610">
        <f>IF(OR(A610="",G610=""),"",COUNTIFS($M$3:$M$1002,M610,$G$3:$G$1002,"&lt;&gt;"&amp;SUBSTITUTE(SUBSTITUTE(G610,"?","~?"),"*","~*"),$G$3:$G$1002,"?*"))</f>
        <v/>
      </c>
      <c r="R610">
        <f>IF(Q610="","",IF(Q610&gt;0,"Yes","No"))</f>
        <v/>
      </c>
      <c r="S610">
        <f>IF(G610="","",COUNTIFS($G$3:$G$1002,SUBSTITUTE(SUBSTITUTE(G610,"?","~?"),"*","~*"),$J$3:$J$1002,"Primary"))</f>
        <v/>
      </c>
      <c r="T610">
        <f>IF(S610="","",IF(S610&gt;Settings!$B$4,"Yes","No"))</f>
        <v/>
      </c>
      <c r="U610">
        <f>IF(OR(G610="",B610=""),"",IF(COUNTIFS($G$3:$G$1002,SUBSTITUTE(SUBSTITUTE(G610,"?","~?"),"*","~*"),$B$3:$B$1002,"&lt;&gt;"&amp;SUBSTITUTE(SUBSTITUTE(B610,"?","~?"),"*","~*"),$B$3:$B$1002,"?*")&gt;0,"Yes","No"))</f>
        <v/>
      </c>
      <c r="V610">
        <f>IF(OR(G610="",I610="",O610="",O610="Unclassified"),"",IFERROR(INDEX(Settings!$E$5:$H$16,MATCH(I610,Settings!$D$5:$D$16,0),MATCH(O610,Settings!$E$4:$H$4,0)),"Check"))</f>
        <v/>
      </c>
      <c r="W610">
        <f>IF(V610="","",IF(V610="No","Yes","No"))</f>
        <v/>
      </c>
      <c r="X610">
        <f>IF(OR(E610="",G610=""),"",IF(LOWER(IF(RIGHT(TRIM(E610),1)="/",LEFT(TRIM(E610),LEN(TRIM(E610))-1),TRIM(E610)))&lt;&gt;LOWER(IF(RIGHT(TRIM(G610),1)="/",LEFT(TRIM(G610),LEN(TRIM(G610))-1),TRIM(G610))),"Yes","No"))</f>
        <v/>
      </c>
      <c r="Y610">
        <f>IF(A610="","",(N(Q610)&gt;0)+(T610="Yes")+(U610="Yes")+(W610="Yes")+(X610="Yes"))</f>
        <v/>
      </c>
      <c r="Z610">
        <f>IF(A610="","",IF(G610="","Not mapped",IF(Y610=0,"OK",MID(IF(N(Q610)&gt;0,"; Cannibalisation","")&amp;IF(T610="Yes","; Too many primary keywords on URL","")&amp;IF(U610="Yes","; URL spans 2+ clusters","")&amp;IF(W610="Yes","; Intent mismatch","")&amp;IF(X610="Yes","; Ranking URL is not the target",""),3,300))))</f>
        <v/>
      </c>
      <c r="AA610">
        <f>IF(G610="","",IF(COUNTIF($G$3:G610,SUBSTITUTE(SUBSTITUTE(G610,"?","~?"),"*","~*"))=1,MAX($AA$2:AA609)+1,""))</f>
        <v/>
      </c>
      <c r="AB610">
        <f>IF(B610="","",IF(COUNTIF($B$3:B610,SUBSTITUTE(SUBSTITUTE(B610,"?","~?"),"*","~*"))=1,MAX($AB$2:AB609)+1,""))</f>
        <v/>
      </c>
    </row>
    <row r="611">
      <c r="M611">
        <f>IF(A611="","",LOWER(TRIM(SUBSTITUTE(SUBSTITUTE(A611,"?",""),"*",""))))</f>
        <v/>
      </c>
      <c r="N611">
        <f>IF(M611="","",IF(SUMPRODUCT(ISNUMBER(SEARCH(" "&amp;Settings!$L$5:$L$124&amp;" "," "&amp;M611&amp;" "))*(Settings!$K$5:$K$124="Navigational")*(Settings!$L$5:$L$124&lt;&gt;""))&gt;0,"Navigational",IF(SUMPRODUCT(ISNUMBER(SEARCH(" "&amp;Settings!$L$5:$L$124&amp;" "," "&amp;M611&amp;" "))*(Settings!$K$5:$K$124="Transactional")*(Settings!$L$5:$L$124&lt;&gt;""))&gt;0,"Transactional",IF(SUMPRODUCT(ISNUMBER(SEARCH(" "&amp;Settings!$L$5:$L$124&amp;" "," "&amp;M611&amp;" "))*(Settings!$K$5:$K$124="Commercial")*(Settings!$L$5:$L$124&lt;&gt;""))&gt;0,"Commercial",IF(SUMPRODUCT(ISNUMBER(SEARCH(" "&amp;Settings!$L$5:$L$124&amp;" "," "&amp;M611&amp;" "))*(Settings!$K$5:$K$124="Informational")*(Settings!$L$5:$L$124&lt;&gt;""))&gt;0,"Informational","Unclassified")))))</f>
        <v/>
      </c>
      <c r="O611">
        <f>IF(A611="","",IF(K611&lt;&gt;"",PROPER(K611),N611))</f>
        <v/>
      </c>
      <c r="P611">
        <f>IF(A611="","",ROUND(Settings!$B$5*MIN(1,LOG10(N(C611)+1)/LOG10(Settings!$B$7+1))+Settings!$B$6*(1-MIN(100,IF(D611="",50,N(D611)))/100)+IFERROR(INDEX(Settings!$B$10:$B$14,MATCH(O611,Settings!$A$10:$A$14,0)),0),0))</f>
        <v/>
      </c>
      <c r="Q611">
        <f>IF(OR(A611="",G611=""),"",COUNTIFS($M$3:$M$1002,M611,$G$3:$G$1002,"&lt;&gt;"&amp;SUBSTITUTE(SUBSTITUTE(G611,"?","~?"),"*","~*"),$G$3:$G$1002,"?*"))</f>
        <v/>
      </c>
      <c r="R611">
        <f>IF(Q611="","",IF(Q611&gt;0,"Yes","No"))</f>
        <v/>
      </c>
      <c r="S611">
        <f>IF(G611="","",COUNTIFS($G$3:$G$1002,SUBSTITUTE(SUBSTITUTE(G611,"?","~?"),"*","~*"),$J$3:$J$1002,"Primary"))</f>
        <v/>
      </c>
      <c r="T611">
        <f>IF(S611="","",IF(S611&gt;Settings!$B$4,"Yes","No"))</f>
        <v/>
      </c>
      <c r="U611">
        <f>IF(OR(G611="",B611=""),"",IF(COUNTIFS($G$3:$G$1002,SUBSTITUTE(SUBSTITUTE(G611,"?","~?"),"*","~*"),$B$3:$B$1002,"&lt;&gt;"&amp;SUBSTITUTE(SUBSTITUTE(B611,"?","~?"),"*","~*"),$B$3:$B$1002,"?*")&gt;0,"Yes","No"))</f>
        <v/>
      </c>
      <c r="V611">
        <f>IF(OR(G611="",I611="",O611="",O611="Unclassified"),"",IFERROR(INDEX(Settings!$E$5:$H$16,MATCH(I611,Settings!$D$5:$D$16,0),MATCH(O611,Settings!$E$4:$H$4,0)),"Check"))</f>
        <v/>
      </c>
      <c r="W611">
        <f>IF(V611="","",IF(V611="No","Yes","No"))</f>
        <v/>
      </c>
      <c r="X611">
        <f>IF(OR(E611="",G611=""),"",IF(LOWER(IF(RIGHT(TRIM(E611),1)="/",LEFT(TRIM(E611),LEN(TRIM(E611))-1),TRIM(E611)))&lt;&gt;LOWER(IF(RIGHT(TRIM(G611),1)="/",LEFT(TRIM(G611),LEN(TRIM(G611))-1),TRIM(G611))),"Yes","No"))</f>
        <v/>
      </c>
      <c r="Y611">
        <f>IF(A611="","",(N(Q611)&gt;0)+(T611="Yes")+(U611="Yes")+(W611="Yes")+(X611="Yes"))</f>
        <v/>
      </c>
      <c r="Z611">
        <f>IF(A611="","",IF(G611="","Not mapped",IF(Y611=0,"OK",MID(IF(N(Q611)&gt;0,"; Cannibalisation","")&amp;IF(T611="Yes","; Too many primary keywords on URL","")&amp;IF(U611="Yes","; URL spans 2+ clusters","")&amp;IF(W611="Yes","; Intent mismatch","")&amp;IF(X611="Yes","; Ranking URL is not the target",""),3,300))))</f>
        <v/>
      </c>
      <c r="AA611">
        <f>IF(G611="","",IF(COUNTIF($G$3:G611,SUBSTITUTE(SUBSTITUTE(G611,"?","~?"),"*","~*"))=1,MAX($AA$2:AA610)+1,""))</f>
        <v/>
      </c>
      <c r="AB611">
        <f>IF(B611="","",IF(COUNTIF($B$3:B611,SUBSTITUTE(SUBSTITUTE(B611,"?","~?"),"*","~*"))=1,MAX($AB$2:AB610)+1,""))</f>
        <v/>
      </c>
    </row>
    <row r="612">
      <c r="M612">
        <f>IF(A612="","",LOWER(TRIM(SUBSTITUTE(SUBSTITUTE(A612,"?",""),"*",""))))</f>
        <v/>
      </c>
      <c r="N612">
        <f>IF(M612="","",IF(SUMPRODUCT(ISNUMBER(SEARCH(" "&amp;Settings!$L$5:$L$124&amp;" "," "&amp;M612&amp;" "))*(Settings!$K$5:$K$124="Navigational")*(Settings!$L$5:$L$124&lt;&gt;""))&gt;0,"Navigational",IF(SUMPRODUCT(ISNUMBER(SEARCH(" "&amp;Settings!$L$5:$L$124&amp;" "," "&amp;M612&amp;" "))*(Settings!$K$5:$K$124="Transactional")*(Settings!$L$5:$L$124&lt;&gt;""))&gt;0,"Transactional",IF(SUMPRODUCT(ISNUMBER(SEARCH(" "&amp;Settings!$L$5:$L$124&amp;" "," "&amp;M612&amp;" "))*(Settings!$K$5:$K$124="Commercial")*(Settings!$L$5:$L$124&lt;&gt;""))&gt;0,"Commercial",IF(SUMPRODUCT(ISNUMBER(SEARCH(" "&amp;Settings!$L$5:$L$124&amp;" "," "&amp;M612&amp;" "))*(Settings!$K$5:$K$124="Informational")*(Settings!$L$5:$L$124&lt;&gt;""))&gt;0,"Informational","Unclassified")))))</f>
        <v/>
      </c>
      <c r="O612">
        <f>IF(A612="","",IF(K612&lt;&gt;"",PROPER(K612),N612))</f>
        <v/>
      </c>
      <c r="P612">
        <f>IF(A612="","",ROUND(Settings!$B$5*MIN(1,LOG10(N(C612)+1)/LOG10(Settings!$B$7+1))+Settings!$B$6*(1-MIN(100,IF(D612="",50,N(D612)))/100)+IFERROR(INDEX(Settings!$B$10:$B$14,MATCH(O612,Settings!$A$10:$A$14,0)),0),0))</f>
        <v/>
      </c>
      <c r="Q612">
        <f>IF(OR(A612="",G612=""),"",COUNTIFS($M$3:$M$1002,M612,$G$3:$G$1002,"&lt;&gt;"&amp;SUBSTITUTE(SUBSTITUTE(G612,"?","~?"),"*","~*"),$G$3:$G$1002,"?*"))</f>
        <v/>
      </c>
      <c r="R612">
        <f>IF(Q612="","",IF(Q612&gt;0,"Yes","No"))</f>
        <v/>
      </c>
      <c r="S612">
        <f>IF(G612="","",COUNTIFS($G$3:$G$1002,SUBSTITUTE(SUBSTITUTE(G612,"?","~?"),"*","~*"),$J$3:$J$1002,"Primary"))</f>
        <v/>
      </c>
      <c r="T612">
        <f>IF(S612="","",IF(S612&gt;Settings!$B$4,"Yes","No"))</f>
        <v/>
      </c>
      <c r="U612">
        <f>IF(OR(G612="",B612=""),"",IF(COUNTIFS($G$3:$G$1002,SUBSTITUTE(SUBSTITUTE(G612,"?","~?"),"*","~*"),$B$3:$B$1002,"&lt;&gt;"&amp;SUBSTITUTE(SUBSTITUTE(B612,"?","~?"),"*","~*"),$B$3:$B$1002,"?*")&gt;0,"Yes","No"))</f>
        <v/>
      </c>
      <c r="V612">
        <f>IF(OR(G612="",I612="",O612="",O612="Unclassified"),"",IFERROR(INDEX(Settings!$E$5:$H$16,MATCH(I612,Settings!$D$5:$D$16,0),MATCH(O612,Settings!$E$4:$H$4,0)),"Check"))</f>
        <v/>
      </c>
      <c r="W612">
        <f>IF(V612="","",IF(V612="No","Yes","No"))</f>
        <v/>
      </c>
      <c r="X612">
        <f>IF(OR(E612="",G612=""),"",IF(LOWER(IF(RIGHT(TRIM(E612),1)="/",LEFT(TRIM(E612),LEN(TRIM(E612))-1),TRIM(E612)))&lt;&gt;LOWER(IF(RIGHT(TRIM(G612),1)="/",LEFT(TRIM(G612),LEN(TRIM(G612))-1),TRIM(G612))),"Yes","No"))</f>
        <v/>
      </c>
      <c r="Y612">
        <f>IF(A612="","",(N(Q612)&gt;0)+(T612="Yes")+(U612="Yes")+(W612="Yes")+(X612="Yes"))</f>
        <v/>
      </c>
      <c r="Z612">
        <f>IF(A612="","",IF(G612="","Not mapped",IF(Y612=0,"OK",MID(IF(N(Q612)&gt;0,"; Cannibalisation","")&amp;IF(T612="Yes","; Too many primary keywords on URL","")&amp;IF(U612="Yes","; URL spans 2+ clusters","")&amp;IF(W612="Yes","; Intent mismatch","")&amp;IF(X612="Yes","; Ranking URL is not the target",""),3,300))))</f>
        <v/>
      </c>
      <c r="AA612">
        <f>IF(G612="","",IF(COUNTIF($G$3:G612,SUBSTITUTE(SUBSTITUTE(G612,"?","~?"),"*","~*"))=1,MAX($AA$2:AA611)+1,""))</f>
        <v/>
      </c>
      <c r="AB612">
        <f>IF(B612="","",IF(COUNTIF($B$3:B612,SUBSTITUTE(SUBSTITUTE(B612,"?","~?"),"*","~*"))=1,MAX($AB$2:AB611)+1,""))</f>
        <v/>
      </c>
    </row>
    <row r="613">
      <c r="M613">
        <f>IF(A613="","",LOWER(TRIM(SUBSTITUTE(SUBSTITUTE(A613,"?",""),"*",""))))</f>
        <v/>
      </c>
      <c r="N613">
        <f>IF(M613="","",IF(SUMPRODUCT(ISNUMBER(SEARCH(" "&amp;Settings!$L$5:$L$124&amp;" "," "&amp;M613&amp;" "))*(Settings!$K$5:$K$124="Navigational")*(Settings!$L$5:$L$124&lt;&gt;""))&gt;0,"Navigational",IF(SUMPRODUCT(ISNUMBER(SEARCH(" "&amp;Settings!$L$5:$L$124&amp;" "," "&amp;M613&amp;" "))*(Settings!$K$5:$K$124="Transactional")*(Settings!$L$5:$L$124&lt;&gt;""))&gt;0,"Transactional",IF(SUMPRODUCT(ISNUMBER(SEARCH(" "&amp;Settings!$L$5:$L$124&amp;" "," "&amp;M613&amp;" "))*(Settings!$K$5:$K$124="Commercial")*(Settings!$L$5:$L$124&lt;&gt;""))&gt;0,"Commercial",IF(SUMPRODUCT(ISNUMBER(SEARCH(" "&amp;Settings!$L$5:$L$124&amp;" "," "&amp;M613&amp;" "))*(Settings!$K$5:$K$124="Informational")*(Settings!$L$5:$L$124&lt;&gt;""))&gt;0,"Informational","Unclassified")))))</f>
        <v/>
      </c>
      <c r="O613">
        <f>IF(A613="","",IF(K613&lt;&gt;"",PROPER(K613),N613))</f>
        <v/>
      </c>
      <c r="P613">
        <f>IF(A613="","",ROUND(Settings!$B$5*MIN(1,LOG10(N(C613)+1)/LOG10(Settings!$B$7+1))+Settings!$B$6*(1-MIN(100,IF(D613="",50,N(D613)))/100)+IFERROR(INDEX(Settings!$B$10:$B$14,MATCH(O613,Settings!$A$10:$A$14,0)),0),0))</f>
        <v/>
      </c>
      <c r="Q613">
        <f>IF(OR(A613="",G613=""),"",COUNTIFS($M$3:$M$1002,M613,$G$3:$G$1002,"&lt;&gt;"&amp;SUBSTITUTE(SUBSTITUTE(G613,"?","~?"),"*","~*"),$G$3:$G$1002,"?*"))</f>
        <v/>
      </c>
      <c r="R613">
        <f>IF(Q613="","",IF(Q613&gt;0,"Yes","No"))</f>
        <v/>
      </c>
      <c r="S613">
        <f>IF(G613="","",COUNTIFS($G$3:$G$1002,SUBSTITUTE(SUBSTITUTE(G613,"?","~?"),"*","~*"),$J$3:$J$1002,"Primary"))</f>
        <v/>
      </c>
      <c r="T613">
        <f>IF(S613="","",IF(S613&gt;Settings!$B$4,"Yes","No"))</f>
        <v/>
      </c>
      <c r="U613">
        <f>IF(OR(G613="",B613=""),"",IF(COUNTIFS($G$3:$G$1002,SUBSTITUTE(SUBSTITUTE(G613,"?","~?"),"*","~*"),$B$3:$B$1002,"&lt;&gt;"&amp;SUBSTITUTE(SUBSTITUTE(B613,"?","~?"),"*","~*"),$B$3:$B$1002,"?*")&gt;0,"Yes","No"))</f>
        <v/>
      </c>
      <c r="V613">
        <f>IF(OR(G613="",I613="",O613="",O613="Unclassified"),"",IFERROR(INDEX(Settings!$E$5:$H$16,MATCH(I613,Settings!$D$5:$D$16,0),MATCH(O613,Settings!$E$4:$H$4,0)),"Check"))</f>
        <v/>
      </c>
      <c r="W613">
        <f>IF(V613="","",IF(V613="No","Yes","No"))</f>
        <v/>
      </c>
      <c r="X613">
        <f>IF(OR(E613="",G613=""),"",IF(LOWER(IF(RIGHT(TRIM(E613),1)="/",LEFT(TRIM(E613),LEN(TRIM(E613))-1),TRIM(E613)))&lt;&gt;LOWER(IF(RIGHT(TRIM(G613),1)="/",LEFT(TRIM(G613),LEN(TRIM(G613))-1),TRIM(G613))),"Yes","No"))</f>
        <v/>
      </c>
      <c r="Y613">
        <f>IF(A613="","",(N(Q613)&gt;0)+(T613="Yes")+(U613="Yes")+(W613="Yes")+(X613="Yes"))</f>
        <v/>
      </c>
      <c r="Z613">
        <f>IF(A613="","",IF(G613="","Not mapped",IF(Y613=0,"OK",MID(IF(N(Q613)&gt;0,"; Cannibalisation","")&amp;IF(T613="Yes","; Too many primary keywords on URL","")&amp;IF(U613="Yes","; URL spans 2+ clusters","")&amp;IF(W613="Yes","; Intent mismatch","")&amp;IF(X613="Yes","; Ranking URL is not the target",""),3,300))))</f>
        <v/>
      </c>
      <c r="AA613">
        <f>IF(G613="","",IF(COUNTIF($G$3:G613,SUBSTITUTE(SUBSTITUTE(G613,"?","~?"),"*","~*"))=1,MAX($AA$2:AA612)+1,""))</f>
        <v/>
      </c>
      <c r="AB613">
        <f>IF(B613="","",IF(COUNTIF($B$3:B613,SUBSTITUTE(SUBSTITUTE(B613,"?","~?"),"*","~*"))=1,MAX($AB$2:AB612)+1,""))</f>
        <v/>
      </c>
    </row>
    <row r="614">
      <c r="M614">
        <f>IF(A614="","",LOWER(TRIM(SUBSTITUTE(SUBSTITUTE(A614,"?",""),"*",""))))</f>
        <v/>
      </c>
      <c r="N614">
        <f>IF(M614="","",IF(SUMPRODUCT(ISNUMBER(SEARCH(" "&amp;Settings!$L$5:$L$124&amp;" "," "&amp;M614&amp;" "))*(Settings!$K$5:$K$124="Navigational")*(Settings!$L$5:$L$124&lt;&gt;""))&gt;0,"Navigational",IF(SUMPRODUCT(ISNUMBER(SEARCH(" "&amp;Settings!$L$5:$L$124&amp;" "," "&amp;M614&amp;" "))*(Settings!$K$5:$K$124="Transactional")*(Settings!$L$5:$L$124&lt;&gt;""))&gt;0,"Transactional",IF(SUMPRODUCT(ISNUMBER(SEARCH(" "&amp;Settings!$L$5:$L$124&amp;" "," "&amp;M614&amp;" "))*(Settings!$K$5:$K$124="Commercial")*(Settings!$L$5:$L$124&lt;&gt;""))&gt;0,"Commercial",IF(SUMPRODUCT(ISNUMBER(SEARCH(" "&amp;Settings!$L$5:$L$124&amp;" "," "&amp;M614&amp;" "))*(Settings!$K$5:$K$124="Informational")*(Settings!$L$5:$L$124&lt;&gt;""))&gt;0,"Informational","Unclassified")))))</f>
        <v/>
      </c>
      <c r="O614">
        <f>IF(A614="","",IF(K614&lt;&gt;"",PROPER(K614),N614))</f>
        <v/>
      </c>
      <c r="P614">
        <f>IF(A614="","",ROUND(Settings!$B$5*MIN(1,LOG10(N(C614)+1)/LOG10(Settings!$B$7+1))+Settings!$B$6*(1-MIN(100,IF(D614="",50,N(D614)))/100)+IFERROR(INDEX(Settings!$B$10:$B$14,MATCH(O614,Settings!$A$10:$A$14,0)),0),0))</f>
        <v/>
      </c>
      <c r="Q614">
        <f>IF(OR(A614="",G614=""),"",COUNTIFS($M$3:$M$1002,M614,$G$3:$G$1002,"&lt;&gt;"&amp;SUBSTITUTE(SUBSTITUTE(G614,"?","~?"),"*","~*"),$G$3:$G$1002,"?*"))</f>
        <v/>
      </c>
      <c r="R614">
        <f>IF(Q614="","",IF(Q614&gt;0,"Yes","No"))</f>
        <v/>
      </c>
      <c r="S614">
        <f>IF(G614="","",COUNTIFS($G$3:$G$1002,SUBSTITUTE(SUBSTITUTE(G614,"?","~?"),"*","~*"),$J$3:$J$1002,"Primary"))</f>
        <v/>
      </c>
      <c r="T614">
        <f>IF(S614="","",IF(S614&gt;Settings!$B$4,"Yes","No"))</f>
        <v/>
      </c>
      <c r="U614">
        <f>IF(OR(G614="",B614=""),"",IF(COUNTIFS($G$3:$G$1002,SUBSTITUTE(SUBSTITUTE(G614,"?","~?"),"*","~*"),$B$3:$B$1002,"&lt;&gt;"&amp;SUBSTITUTE(SUBSTITUTE(B614,"?","~?"),"*","~*"),$B$3:$B$1002,"?*")&gt;0,"Yes","No"))</f>
        <v/>
      </c>
      <c r="V614">
        <f>IF(OR(G614="",I614="",O614="",O614="Unclassified"),"",IFERROR(INDEX(Settings!$E$5:$H$16,MATCH(I614,Settings!$D$5:$D$16,0),MATCH(O614,Settings!$E$4:$H$4,0)),"Check"))</f>
        <v/>
      </c>
      <c r="W614">
        <f>IF(V614="","",IF(V614="No","Yes","No"))</f>
        <v/>
      </c>
      <c r="X614">
        <f>IF(OR(E614="",G614=""),"",IF(LOWER(IF(RIGHT(TRIM(E614),1)="/",LEFT(TRIM(E614),LEN(TRIM(E614))-1),TRIM(E614)))&lt;&gt;LOWER(IF(RIGHT(TRIM(G614),1)="/",LEFT(TRIM(G614),LEN(TRIM(G614))-1),TRIM(G614))),"Yes","No"))</f>
        <v/>
      </c>
      <c r="Y614">
        <f>IF(A614="","",(N(Q614)&gt;0)+(T614="Yes")+(U614="Yes")+(W614="Yes")+(X614="Yes"))</f>
        <v/>
      </c>
      <c r="Z614">
        <f>IF(A614="","",IF(G614="","Not mapped",IF(Y614=0,"OK",MID(IF(N(Q614)&gt;0,"; Cannibalisation","")&amp;IF(T614="Yes","; Too many primary keywords on URL","")&amp;IF(U614="Yes","; URL spans 2+ clusters","")&amp;IF(W614="Yes","; Intent mismatch","")&amp;IF(X614="Yes","; Ranking URL is not the target",""),3,300))))</f>
        <v/>
      </c>
      <c r="AA614">
        <f>IF(G614="","",IF(COUNTIF($G$3:G614,SUBSTITUTE(SUBSTITUTE(G614,"?","~?"),"*","~*"))=1,MAX($AA$2:AA613)+1,""))</f>
        <v/>
      </c>
      <c r="AB614">
        <f>IF(B614="","",IF(COUNTIF($B$3:B614,SUBSTITUTE(SUBSTITUTE(B614,"?","~?"),"*","~*"))=1,MAX($AB$2:AB613)+1,""))</f>
        <v/>
      </c>
    </row>
    <row r="615">
      <c r="M615">
        <f>IF(A615="","",LOWER(TRIM(SUBSTITUTE(SUBSTITUTE(A615,"?",""),"*",""))))</f>
        <v/>
      </c>
      <c r="N615">
        <f>IF(M615="","",IF(SUMPRODUCT(ISNUMBER(SEARCH(" "&amp;Settings!$L$5:$L$124&amp;" "," "&amp;M615&amp;" "))*(Settings!$K$5:$K$124="Navigational")*(Settings!$L$5:$L$124&lt;&gt;""))&gt;0,"Navigational",IF(SUMPRODUCT(ISNUMBER(SEARCH(" "&amp;Settings!$L$5:$L$124&amp;" "," "&amp;M615&amp;" "))*(Settings!$K$5:$K$124="Transactional")*(Settings!$L$5:$L$124&lt;&gt;""))&gt;0,"Transactional",IF(SUMPRODUCT(ISNUMBER(SEARCH(" "&amp;Settings!$L$5:$L$124&amp;" "," "&amp;M615&amp;" "))*(Settings!$K$5:$K$124="Commercial")*(Settings!$L$5:$L$124&lt;&gt;""))&gt;0,"Commercial",IF(SUMPRODUCT(ISNUMBER(SEARCH(" "&amp;Settings!$L$5:$L$124&amp;" "," "&amp;M615&amp;" "))*(Settings!$K$5:$K$124="Informational")*(Settings!$L$5:$L$124&lt;&gt;""))&gt;0,"Informational","Unclassified")))))</f>
        <v/>
      </c>
      <c r="O615">
        <f>IF(A615="","",IF(K615&lt;&gt;"",PROPER(K615),N615))</f>
        <v/>
      </c>
      <c r="P615">
        <f>IF(A615="","",ROUND(Settings!$B$5*MIN(1,LOG10(N(C615)+1)/LOG10(Settings!$B$7+1))+Settings!$B$6*(1-MIN(100,IF(D615="",50,N(D615)))/100)+IFERROR(INDEX(Settings!$B$10:$B$14,MATCH(O615,Settings!$A$10:$A$14,0)),0),0))</f>
        <v/>
      </c>
      <c r="Q615">
        <f>IF(OR(A615="",G615=""),"",COUNTIFS($M$3:$M$1002,M615,$G$3:$G$1002,"&lt;&gt;"&amp;SUBSTITUTE(SUBSTITUTE(G615,"?","~?"),"*","~*"),$G$3:$G$1002,"?*"))</f>
        <v/>
      </c>
      <c r="R615">
        <f>IF(Q615="","",IF(Q615&gt;0,"Yes","No"))</f>
        <v/>
      </c>
      <c r="S615">
        <f>IF(G615="","",COUNTIFS($G$3:$G$1002,SUBSTITUTE(SUBSTITUTE(G615,"?","~?"),"*","~*"),$J$3:$J$1002,"Primary"))</f>
        <v/>
      </c>
      <c r="T615">
        <f>IF(S615="","",IF(S615&gt;Settings!$B$4,"Yes","No"))</f>
        <v/>
      </c>
      <c r="U615">
        <f>IF(OR(G615="",B615=""),"",IF(COUNTIFS($G$3:$G$1002,SUBSTITUTE(SUBSTITUTE(G615,"?","~?"),"*","~*"),$B$3:$B$1002,"&lt;&gt;"&amp;SUBSTITUTE(SUBSTITUTE(B615,"?","~?"),"*","~*"),$B$3:$B$1002,"?*")&gt;0,"Yes","No"))</f>
        <v/>
      </c>
      <c r="V615">
        <f>IF(OR(G615="",I615="",O615="",O615="Unclassified"),"",IFERROR(INDEX(Settings!$E$5:$H$16,MATCH(I615,Settings!$D$5:$D$16,0),MATCH(O615,Settings!$E$4:$H$4,0)),"Check"))</f>
        <v/>
      </c>
      <c r="W615">
        <f>IF(V615="","",IF(V615="No","Yes","No"))</f>
        <v/>
      </c>
      <c r="X615">
        <f>IF(OR(E615="",G615=""),"",IF(LOWER(IF(RIGHT(TRIM(E615),1)="/",LEFT(TRIM(E615),LEN(TRIM(E615))-1),TRIM(E615)))&lt;&gt;LOWER(IF(RIGHT(TRIM(G615),1)="/",LEFT(TRIM(G615),LEN(TRIM(G615))-1),TRIM(G615))),"Yes","No"))</f>
        <v/>
      </c>
      <c r="Y615">
        <f>IF(A615="","",(N(Q615)&gt;0)+(T615="Yes")+(U615="Yes")+(W615="Yes")+(X615="Yes"))</f>
        <v/>
      </c>
      <c r="Z615">
        <f>IF(A615="","",IF(G615="","Not mapped",IF(Y615=0,"OK",MID(IF(N(Q615)&gt;0,"; Cannibalisation","")&amp;IF(T615="Yes","; Too many primary keywords on URL","")&amp;IF(U615="Yes","; URL spans 2+ clusters","")&amp;IF(W615="Yes","; Intent mismatch","")&amp;IF(X615="Yes","; Ranking URL is not the target",""),3,300))))</f>
        <v/>
      </c>
      <c r="AA615">
        <f>IF(G615="","",IF(COUNTIF($G$3:G615,SUBSTITUTE(SUBSTITUTE(G615,"?","~?"),"*","~*"))=1,MAX($AA$2:AA614)+1,""))</f>
        <v/>
      </c>
      <c r="AB615">
        <f>IF(B615="","",IF(COUNTIF($B$3:B615,SUBSTITUTE(SUBSTITUTE(B615,"?","~?"),"*","~*"))=1,MAX($AB$2:AB614)+1,""))</f>
        <v/>
      </c>
    </row>
    <row r="616">
      <c r="M616">
        <f>IF(A616="","",LOWER(TRIM(SUBSTITUTE(SUBSTITUTE(A616,"?",""),"*",""))))</f>
        <v/>
      </c>
      <c r="N616">
        <f>IF(M616="","",IF(SUMPRODUCT(ISNUMBER(SEARCH(" "&amp;Settings!$L$5:$L$124&amp;" "," "&amp;M616&amp;" "))*(Settings!$K$5:$K$124="Navigational")*(Settings!$L$5:$L$124&lt;&gt;""))&gt;0,"Navigational",IF(SUMPRODUCT(ISNUMBER(SEARCH(" "&amp;Settings!$L$5:$L$124&amp;" "," "&amp;M616&amp;" "))*(Settings!$K$5:$K$124="Transactional")*(Settings!$L$5:$L$124&lt;&gt;""))&gt;0,"Transactional",IF(SUMPRODUCT(ISNUMBER(SEARCH(" "&amp;Settings!$L$5:$L$124&amp;" "," "&amp;M616&amp;" "))*(Settings!$K$5:$K$124="Commercial")*(Settings!$L$5:$L$124&lt;&gt;""))&gt;0,"Commercial",IF(SUMPRODUCT(ISNUMBER(SEARCH(" "&amp;Settings!$L$5:$L$124&amp;" "," "&amp;M616&amp;" "))*(Settings!$K$5:$K$124="Informational")*(Settings!$L$5:$L$124&lt;&gt;""))&gt;0,"Informational","Unclassified")))))</f>
        <v/>
      </c>
      <c r="O616">
        <f>IF(A616="","",IF(K616&lt;&gt;"",PROPER(K616),N616))</f>
        <v/>
      </c>
      <c r="P616">
        <f>IF(A616="","",ROUND(Settings!$B$5*MIN(1,LOG10(N(C616)+1)/LOG10(Settings!$B$7+1))+Settings!$B$6*(1-MIN(100,IF(D616="",50,N(D616)))/100)+IFERROR(INDEX(Settings!$B$10:$B$14,MATCH(O616,Settings!$A$10:$A$14,0)),0),0))</f>
        <v/>
      </c>
      <c r="Q616">
        <f>IF(OR(A616="",G616=""),"",COUNTIFS($M$3:$M$1002,M616,$G$3:$G$1002,"&lt;&gt;"&amp;SUBSTITUTE(SUBSTITUTE(G616,"?","~?"),"*","~*"),$G$3:$G$1002,"?*"))</f>
        <v/>
      </c>
      <c r="R616">
        <f>IF(Q616="","",IF(Q616&gt;0,"Yes","No"))</f>
        <v/>
      </c>
      <c r="S616">
        <f>IF(G616="","",COUNTIFS($G$3:$G$1002,SUBSTITUTE(SUBSTITUTE(G616,"?","~?"),"*","~*"),$J$3:$J$1002,"Primary"))</f>
        <v/>
      </c>
      <c r="T616">
        <f>IF(S616="","",IF(S616&gt;Settings!$B$4,"Yes","No"))</f>
        <v/>
      </c>
      <c r="U616">
        <f>IF(OR(G616="",B616=""),"",IF(COUNTIFS($G$3:$G$1002,SUBSTITUTE(SUBSTITUTE(G616,"?","~?"),"*","~*"),$B$3:$B$1002,"&lt;&gt;"&amp;SUBSTITUTE(SUBSTITUTE(B616,"?","~?"),"*","~*"),$B$3:$B$1002,"?*")&gt;0,"Yes","No"))</f>
        <v/>
      </c>
      <c r="V616">
        <f>IF(OR(G616="",I616="",O616="",O616="Unclassified"),"",IFERROR(INDEX(Settings!$E$5:$H$16,MATCH(I616,Settings!$D$5:$D$16,0),MATCH(O616,Settings!$E$4:$H$4,0)),"Check"))</f>
        <v/>
      </c>
      <c r="W616">
        <f>IF(V616="","",IF(V616="No","Yes","No"))</f>
        <v/>
      </c>
      <c r="X616">
        <f>IF(OR(E616="",G616=""),"",IF(LOWER(IF(RIGHT(TRIM(E616),1)="/",LEFT(TRIM(E616),LEN(TRIM(E616))-1),TRIM(E616)))&lt;&gt;LOWER(IF(RIGHT(TRIM(G616),1)="/",LEFT(TRIM(G616),LEN(TRIM(G616))-1),TRIM(G616))),"Yes","No"))</f>
        <v/>
      </c>
      <c r="Y616">
        <f>IF(A616="","",(N(Q616)&gt;0)+(T616="Yes")+(U616="Yes")+(W616="Yes")+(X616="Yes"))</f>
        <v/>
      </c>
      <c r="Z616">
        <f>IF(A616="","",IF(G616="","Not mapped",IF(Y616=0,"OK",MID(IF(N(Q616)&gt;0,"; Cannibalisation","")&amp;IF(T616="Yes","; Too many primary keywords on URL","")&amp;IF(U616="Yes","; URL spans 2+ clusters","")&amp;IF(W616="Yes","; Intent mismatch","")&amp;IF(X616="Yes","; Ranking URL is not the target",""),3,300))))</f>
        <v/>
      </c>
      <c r="AA616">
        <f>IF(G616="","",IF(COUNTIF($G$3:G616,SUBSTITUTE(SUBSTITUTE(G616,"?","~?"),"*","~*"))=1,MAX($AA$2:AA615)+1,""))</f>
        <v/>
      </c>
      <c r="AB616">
        <f>IF(B616="","",IF(COUNTIF($B$3:B616,SUBSTITUTE(SUBSTITUTE(B616,"?","~?"),"*","~*"))=1,MAX($AB$2:AB615)+1,""))</f>
        <v/>
      </c>
    </row>
    <row r="617">
      <c r="M617">
        <f>IF(A617="","",LOWER(TRIM(SUBSTITUTE(SUBSTITUTE(A617,"?",""),"*",""))))</f>
        <v/>
      </c>
      <c r="N617">
        <f>IF(M617="","",IF(SUMPRODUCT(ISNUMBER(SEARCH(" "&amp;Settings!$L$5:$L$124&amp;" "," "&amp;M617&amp;" "))*(Settings!$K$5:$K$124="Navigational")*(Settings!$L$5:$L$124&lt;&gt;""))&gt;0,"Navigational",IF(SUMPRODUCT(ISNUMBER(SEARCH(" "&amp;Settings!$L$5:$L$124&amp;" "," "&amp;M617&amp;" "))*(Settings!$K$5:$K$124="Transactional")*(Settings!$L$5:$L$124&lt;&gt;""))&gt;0,"Transactional",IF(SUMPRODUCT(ISNUMBER(SEARCH(" "&amp;Settings!$L$5:$L$124&amp;" "," "&amp;M617&amp;" "))*(Settings!$K$5:$K$124="Commercial")*(Settings!$L$5:$L$124&lt;&gt;""))&gt;0,"Commercial",IF(SUMPRODUCT(ISNUMBER(SEARCH(" "&amp;Settings!$L$5:$L$124&amp;" "," "&amp;M617&amp;" "))*(Settings!$K$5:$K$124="Informational")*(Settings!$L$5:$L$124&lt;&gt;""))&gt;0,"Informational","Unclassified")))))</f>
        <v/>
      </c>
      <c r="O617">
        <f>IF(A617="","",IF(K617&lt;&gt;"",PROPER(K617),N617))</f>
        <v/>
      </c>
      <c r="P617">
        <f>IF(A617="","",ROUND(Settings!$B$5*MIN(1,LOG10(N(C617)+1)/LOG10(Settings!$B$7+1))+Settings!$B$6*(1-MIN(100,IF(D617="",50,N(D617)))/100)+IFERROR(INDEX(Settings!$B$10:$B$14,MATCH(O617,Settings!$A$10:$A$14,0)),0),0))</f>
        <v/>
      </c>
      <c r="Q617">
        <f>IF(OR(A617="",G617=""),"",COUNTIFS($M$3:$M$1002,M617,$G$3:$G$1002,"&lt;&gt;"&amp;SUBSTITUTE(SUBSTITUTE(G617,"?","~?"),"*","~*"),$G$3:$G$1002,"?*"))</f>
        <v/>
      </c>
      <c r="R617">
        <f>IF(Q617="","",IF(Q617&gt;0,"Yes","No"))</f>
        <v/>
      </c>
      <c r="S617">
        <f>IF(G617="","",COUNTIFS($G$3:$G$1002,SUBSTITUTE(SUBSTITUTE(G617,"?","~?"),"*","~*"),$J$3:$J$1002,"Primary"))</f>
        <v/>
      </c>
      <c r="T617">
        <f>IF(S617="","",IF(S617&gt;Settings!$B$4,"Yes","No"))</f>
        <v/>
      </c>
      <c r="U617">
        <f>IF(OR(G617="",B617=""),"",IF(COUNTIFS($G$3:$G$1002,SUBSTITUTE(SUBSTITUTE(G617,"?","~?"),"*","~*"),$B$3:$B$1002,"&lt;&gt;"&amp;SUBSTITUTE(SUBSTITUTE(B617,"?","~?"),"*","~*"),$B$3:$B$1002,"?*")&gt;0,"Yes","No"))</f>
        <v/>
      </c>
      <c r="V617">
        <f>IF(OR(G617="",I617="",O617="",O617="Unclassified"),"",IFERROR(INDEX(Settings!$E$5:$H$16,MATCH(I617,Settings!$D$5:$D$16,0),MATCH(O617,Settings!$E$4:$H$4,0)),"Check"))</f>
        <v/>
      </c>
      <c r="W617">
        <f>IF(V617="","",IF(V617="No","Yes","No"))</f>
        <v/>
      </c>
      <c r="X617">
        <f>IF(OR(E617="",G617=""),"",IF(LOWER(IF(RIGHT(TRIM(E617),1)="/",LEFT(TRIM(E617),LEN(TRIM(E617))-1),TRIM(E617)))&lt;&gt;LOWER(IF(RIGHT(TRIM(G617),1)="/",LEFT(TRIM(G617),LEN(TRIM(G617))-1),TRIM(G617))),"Yes","No"))</f>
        <v/>
      </c>
      <c r="Y617">
        <f>IF(A617="","",(N(Q617)&gt;0)+(T617="Yes")+(U617="Yes")+(W617="Yes")+(X617="Yes"))</f>
        <v/>
      </c>
      <c r="Z617">
        <f>IF(A617="","",IF(G617="","Not mapped",IF(Y617=0,"OK",MID(IF(N(Q617)&gt;0,"; Cannibalisation","")&amp;IF(T617="Yes","; Too many primary keywords on URL","")&amp;IF(U617="Yes","; URL spans 2+ clusters","")&amp;IF(W617="Yes","; Intent mismatch","")&amp;IF(X617="Yes","; Ranking URL is not the target",""),3,300))))</f>
        <v/>
      </c>
      <c r="AA617">
        <f>IF(G617="","",IF(COUNTIF($G$3:G617,SUBSTITUTE(SUBSTITUTE(G617,"?","~?"),"*","~*"))=1,MAX($AA$2:AA616)+1,""))</f>
        <v/>
      </c>
      <c r="AB617">
        <f>IF(B617="","",IF(COUNTIF($B$3:B617,SUBSTITUTE(SUBSTITUTE(B617,"?","~?"),"*","~*"))=1,MAX($AB$2:AB616)+1,""))</f>
        <v/>
      </c>
    </row>
    <row r="618">
      <c r="M618">
        <f>IF(A618="","",LOWER(TRIM(SUBSTITUTE(SUBSTITUTE(A618,"?",""),"*",""))))</f>
        <v/>
      </c>
      <c r="N618">
        <f>IF(M618="","",IF(SUMPRODUCT(ISNUMBER(SEARCH(" "&amp;Settings!$L$5:$L$124&amp;" "," "&amp;M618&amp;" "))*(Settings!$K$5:$K$124="Navigational")*(Settings!$L$5:$L$124&lt;&gt;""))&gt;0,"Navigational",IF(SUMPRODUCT(ISNUMBER(SEARCH(" "&amp;Settings!$L$5:$L$124&amp;" "," "&amp;M618&amp;" "))*(Settings!$K$5:$K$124="Transactional")*(Settings!$L$5:$L$124&lt;&gt;""))&gt;0,"Transactional",IF(SUMPRODUCT(ISNUMBER(SEARCH(" "&amp;Settings!$L$5:$L$124&amp;" "," "&amp;M618&amp;" "))*(Settings!$K$5:$K$124="Commercial")*(Settings!$L$5:$L$124&lt;&gt;""))&gt;0,"Commercial",IF(SUMPRODUCT(ISNUMBER(SEARCH(" "&amp;Settings!$L$5:$L$124&amp;" "," "&amp;M618&amp;" "))*(Settings!$K$5:$K$124="Informational")*(Settings!$L$5:$L$124&lt;&gt;""))&gt;0,"Informational","Unclassified")))))</f>
        <v/>
      </c>
      <c r="O618">
        <f>IF(A618="","",IF(K618&lt;&gt;"",PROPER(K618),N618))</f>
        <v/>
      </c>
      <c r="P618">
        <f>IF(A618="","",ROUND(Settings!$B$5*MIN(1,LOG10(N(C618)+1)/LOG10(Settings!$B$7+1))+Settings!$B$6*(1-MIN(100,IF(D618="",50,N(D618)))/100)+IFERROR(INDEX(Settings!$B$10:$B$14,MATCH(O618,Settings!$A$10:$A$14,0)),0),0))</f>
        <v/>
      </c>
      <c r="Q618">
        <f>IF(OR(A618="",G618=""),"",COUNTIFS($M$3:$M$1002,M618,$G$3:$G$1002,"&lt;&gt;"&amp;SUBSTITUTE(SUBSTITUTE(G618,"?","~?"),"*","~*"),$G$3:$G$1002,"?*"))</f>
        <v/>
      </c>
      <c r="R618">
        <f>IF(Q618="","",IF(Q618&gt;0,"Yes","No"))</f>
        <v/>
      </c>
      <c r="S618">
        <f>IF(G618="","",COUNTIFS($G$3:$G$1002,SUBSTITUTE(SUBSTITUTE(G618,"?","~?"),"*","~*"),$J$3:$J$1002,"Primary"))</f>
        <v/>
      </c>
      <c r="T618">
        <f>IF(S618="","",IF(S618&gt;Settings!$B$4,"Yes","No"))</f>
        <v/>
      </c>
      <c r="U618">
        <f>IF(OR(G618="",B618=""),"",IF(COUNTIFS($G$3:$G$1002,SUBSTITUTE(SUBSTITUTE(G618,"?","~?"),"*","~*"),$B$3:$B$1002,"&lt;&gt;"&amp;SUBSTITUTE(SUBSTITUTE(B618,"?","~?"),"*","~*"),$B$3:$B$1002,"?*")&gt;0,"Yes","No"))</f>
        <v/>
      </c>
      <c r="V618">
        <f>IF(OR(G618="",I618="",O618="",O618="Unclassified"),"",IFERROR(INDEX(Settings!$E$5:$H$16,MATCH(I618,Settings!$D$5:$D$16,0),MATCH(O618,Settings!$E$4:$H$4,0)),"Check"))</f>
        <v/>
      </c>
      <c r="W618">
        <f>IF(V618="","",IF(V618="No","Yes","No"))</f>
        <v/>
      </c>
      <c r="X618">
        <f>IF(OR(E618="",G618=""),"",IF(LOWER(IF(RIGHT(TRIM(E618),1)="/",LEFT(TRIM(E618),LEN(TRIM(E618))-1),TRIM(E618)))&lt;&gt;LOWER(IF(RIGHT(TRIM(G618),1)="/",LEFT(TRIM(G618),LEN(TRIM(G618))-1),TRIM(G618))),"Yes","No"))</f>
        <v/>
      </c>
      <c r="Y618">
        <f>IF(A618="","",(N(Q618)&gt;0)+(T618="Yes")+(U618="Yes")+(W618="Yes")+(X618="Yes"))</f>
        <v/>
      </c>
      <c r="Z618">
        <f>IF(A618="","",IF(G618="","Not mapped",IF(Y618=0,"OK",MID(IF(N(Q618)&gt;0,"; Cannibalisation","")&amp;IF(T618="Yes","; Too many primary keywords on URL","")&amp;IF(U618="Yes","; URL spans 2+ clusters","")&amp;IF(W618="Yes","; Intent mismatch","")&amp;IF(X618="Yes","; Ranking URL is not the target",""),3,300))))</f>
        <v/>
      </c>
      <c r="AA618">
        <f>IF(G618="","",IF(COUNTIF($G$3:G618,SUBSTITUTE(SUBSTITUTE(G618,"?","~?"),"*","~*"))=1,MAX($AA$2:AA617)+1,""))</f>
        <v/>
      </c>
      <c r="AB618">
        <f>IF(B618="","",IF(COUNTIF($B$3:B618,SUBSTITUTE(SUBSTITUTE(B618,"?","~?"),"*","~*"))=1,MAX($AB$2:AB617)+1,""))</f>
        <v/>
      </c>
    </row>
    <row r="619">
      <c r="M619">
        <f>IF(A619="","",LOWER(TRIM(SUBSTITUTE(SUBSTITUTE(A619,"?",""),"*",""))))</f>
        <v/>
      </c>
      <c r="N619">
        <f>IF(M619="","",IF(SUMPRODUCT(ISNUMBER(SEARCH(" "&amp;Settings!$L$5:$L$124&amp;" "," "&amp;M619&amp;" "))*(Settings!$K$5:$K$124="Navigational")*(Settings!$L$5:$L$124&lt;&gt;""))&gt;0,"Navigational",IF(SUMPRODUCT(ISNUMBER(SEARCH(" "&amp;Settings!$L$5:$L$124&amp;" "," "&amp;M619&amp;" "))*(Settings!$K$5:$K$124="Transactional")*(Settings!$L$5:$L$124&lt;&gt;""))&gt;0,"Transactional",IF(SUMPRODUCT(ISNUMBER(SEARCH(" "&amp;Settings!$L$5:$L$124&amp;" "," "&amp;M619&amp;" "))*(Settings!$K$5:$K$124="Commercial")*(Settings!$L$5:$L$124&lt;&gt;""))&gt;0,"Commercial",IF(SUMPRODUCT(ISNUMBER(SEARCH(" "&amp;Settings!$L$5:$L$124&amp;" "," "&amp;M619&amp;" "))*(Settings!$K$5:$K$124="Informational")*(Settings!$L$5:$L$124&lt;&gt;""))&gt;0,"Informational","Unclassified")))))</f>
        <v/>
      </c>
      <c r="O619">
        <f>IF(A619="","",IF(K619&lt;&gt;"",PROPER(K619),N619))</f>
        <v/>
      </c>
      <c r="P619">
        <f>IF(A619="","",ROUND(Settings!$B$5*MIN(1,LOG10(N(C619)+1)/LOG10(Settings!$B$7+1))+Settings!$B$6*(1-MIN(100,IF(D619="",50,N(D619)))/100)+IFERROR(INDEX(Settings!$B$10:$B$14,MATCH(O619,Settings!$A$10:$A$14,0)),0),0))</f>
        <v/>
      </c>
      <c r="Q619">
        <f>IF(OR(A619="",G619=""),"",COUNTIFS($M$3:$M$1002,M619,$G$3:$G$1002,"&lt;&gt;"&amp;SUBSTITUTE(SUBSTITUTE(G619,"?","~?"),"*","~*"),$G$3:$G$1002,"?*"))</f>
        <v/>
      </c>
      <c r="R619">
        <f>IF(Q619="","",IF(Q619&gt;0,"Yes","No"))</f>
        <v/>
      </c>
      <c r="S619">
        <f>IF(G619="","",COUNTIFS($G$3:$G$1002,SUBSTITUTE(SUBSTITUTE(G619,"?","~?"),"*","~*"),$J$3:$J$1002,"Primary"))</f>
        <v/>
      </c>
      <c r="T619">
        <f>IF(S619="","",IF(S619&gt;Settings!$B$4,"Yes","No"))</f>
        <v/>
      </c>
      <c r="U619">
        <f>IF(OR(G619="",B619=""),"",IF(COUNTIFS($G$3:$G$1002,SUBSTITUTE(SUBSTITUTE(G619,"?","~?"),"*","~*"),$B$3:$B$1002,"&lt;&gt;"&amp;SUBSTITUTE(SUBSTITUTE(B619,"?","~?"),"*","~*"),$B$3:$B$1002,"?*")&gt;0,"Yes","No"))</f>
        <v/>
      </c>
      <c r="V619">
        <f>IF(OR(G619="",I619="",O619="",O619="Unclassified"),"",IFERROR(INDEX(Settings!$E$5:$H$16,MATCH(I619,Settings!$D$5:$D$16,0),MATCH(O619,Settings!$E$4:$H$4,0)),"Check"))</f>
        <v/>
      </c>
      <c r="W619">
        <f>IF(V619="","",IF(V619="No","Yes","No"))</f>
        <v/>
      </c>
      <c r="X619">
        <f>IF(OR(E619="",G619=""),"",IF(LOWER(IF(RIGHT(TRIM(E619),1)="/",LEFT(TRIM(E619),LEN(TRIM(E619))-1),TRIM(E619)))&lt;&gt;LOWER(IF(RIGHT(TRIM(G619),1)="/",LEFT(TRIM(G619),LEN(TRIM(G619))-1),TRIM(G619))),"Yes","No"))</f>
        <v/>
      </c>
      <c r="Y619">
        <f>IF(A619="","",(N(Q619)&gt;0)+(T619="Yes")+(U619="Yes")+(W619="Yes")+(X619="Yes"))</f>
        <v/>
      </c>
      <c r="Z619">
        <f>IF(A619="","",IF(G619="","Not mapped",IF(Y619=0,"OK",MID(IF(N(Q619)&gt;0,"; Cannibalisation","")&amp;IF(T619="Yes","; Too many primary keywords on URL","")&amp;IF(U619="Yes","; URL spans 2+ clusters","")&amp;IF(W619="Yes","; Intent mismatch","")&amp;IF(X619="Yes","; Ranking URL is not the target",""),3,300))))</f>
        <v/>
      </c>
      <c r="AA619">
        <f>IF(G619="","",IF(COUNTIF($G$3:G619,SUBSTITUTE(SUBSTITUTE(G619,"?","~?"),"*","~*"))=1,MAX($AA$2:AA618)+1,""))</f>
        <v/>
      </c>
      <c r="AB619">
        <f>IF(B619="","",IF(COUNTIF($B$3:B619,SUBSTITUTE(SUBSTITUTE(B619,"?","~?"),"*","~*"))=1,MAX($AB$2:AB618)+1,""))</f>
        <v/>
      </c>
    </row>
    <row r="620">
      <c r="M620">
        <f>IF(A620="","",LOWER(TRIM(SUBSTITUTE(SUBSTITUTE(A620,"?",""),"*",""))))</f>
        <v/>
      </c>
      <c r="N620">
        <f>IF(M620="","",IF(SUMPRODUCT(ISNUMBER(SEARCH(" "&amp;Settings!$L$5:$L$124&amp;" "," "&amp;M620&amp;" "))*(Settings!$K$5:$K$124="Navigational")*(Settings!$L$5:$L$124&lt;&gt;""))&gt;0,"Navigational",IF(SUMPRODUCT(ISNUMBER(SEARCH(" "&amp;Settings!$L$5:$L$124&amp;" "," "&amp;M620&amp;" "))*(Settings!$K$5:$K$124="Transactional")*(Settings!$L$5:$L$124&lt;&gt;""))&gt;0,"Transactional",IF(SUMPRODUCT(ISNUMBER(SEARCH(" "&amp;Settings!$L$5:$L$124&amp;" "," "&amp;M620&amp;" "))*(Settings!$K$5:$K$124="Commercial")*(Settings!$L$5:$L$124&lt;&gt;""))&gt;0,"Commercial",IF(SUMPRODUCT(ISNUMBER(SEARCH(" "&amp;Settings!$L$5:$L$124&amp;" "," "&amp;M620&amp;" "))*(Settings!$K$5:$K$124="Informational")*(Settings!$L$5:$L$124&lt;&gt;""))&gt;0,"Informational","Unclassified")))))</f>
        <v/>
      </c>
      <c r="O620">
        <f>IF(A620="","",IF(K620&lt;&gt;"",PROPER(K620),N620))</f>
        <v/>
      </c>
      <c r="P620">
        <f>IF(A620="","",ROUND(Settings!$B$5*MIN(1,LOG10(N(C620)+1)/LOG10(Settings!$B$7+1))+Settings!$B$6*(1-MIN(100,IF(D620="",50,N(D620)))/100)+IFERROR(INDEX(Settings!$B$10:$B$14,MATCH(O620,Settings!$A$10:$A$14,0)),0),0))</f>
        <v/>
      </c>
      <c r="Q620">
        <f>IF(OR(A620="",G620=""),"",COUNTIFS($M$3:$M$1002,M620,$G$3:$G$1002,"&lt;&gt;"&amp;SUBSTITUTE(SUBSTITUTE(G620,"?","~?"),"*","~*"),$G$3:$G$1002,"?*"))</f>
        <v/>
      </c>
      <c r="R620">
        <f>IF(Q620="","",IF(Q620&gt;0,"Yes","No"))</f>
        <v/>
      </c>
      <c r="S620">
        <f>IF(G620="","",COUNTIFS($G$3:$G$1002,SUBSTITUTE(SUBSTITUTE(G620,"?","~?"),"*","~*"),$J$3:$J$1002,"Primary"))</f>
        <v/>
      </c>
      <c r="T620">
        <f>IF(S620="","",IF(S620&gt;Settings!$B$4,"Yes","No"))</f>
        <v/>
      </c>
      <c r="U620">
        <f>IF(OR(G620="",B620=""),"",IF(COUNTIFS($G$3:$G$1002,SUBSTITUTE(SUBSTITUTE(G620,"?","~?"),"*","~*"),$B$3:$B$1002,"&lt;&gt;"&amp;SUBSTITUTE(SUBSTITUTE(B620,"?","~?"),"*","~*"),$B$3:$B$1002,"?*")&gt;0,"Yes","No"))</f>
        <v/>
      </c>
      <c r="V620">
        <f>IF(OR(G620="",I620="",O620="",O620="Unclassified"),"",IFERROR(INDEX(Settings!$E$5:$H$16,MATCH(I620,Settings!$D$5:$D$16,0),MATCH(O620,Settings!$E$4:$H$4,0)),"Check"))</f>
        <v/>
      </c>
      <c r="W620">
        <f>IF(V620="","",IF(V620="No","Yes","No"))</f>
        <v/>
      </c>
      <c r="X620">
        <f>IF(OR(E620="",G620=""),"",IF(LOWER(IF(RIGHT(TRIM(E620),1)="/",LEFT(TRIM(E620),LEN(TRIM(E620))-1),TRIM(E620)))&lt;&gt;LOWER(IF(RIGHT(TRIM(G620),1)="/",LEFT(TRIM(G620),LEN(TRIM(G620))-1),TRIM(G620))),"Yes","No"))</f>
        <v/>
      </c>
      <c r="Y620">
        <f>IF(A620="","",(N(Q620)&gt;0)+(T620="Yes")+(U620="Yes")+(W620="Yes")+(X620="Yes"))</f>
        <v/>
      </c>
      <c r="Z620">
        <f>IF(A620="","",IF(G620="","Not mapped",IF(Y620=0,"OK",MID(IF(N(Q620)&gt;0,"; Cannibalisation","")&amp;IF(T620="Yes","; Too many primary keywords on URL","")&amp;IF(U620="Yes","; URL spans 2+ clusters","")&amp;IF(W620="Yes","; Intent mismatch","")&amp;IF(X620="Yes","; Ranking URL is not the target",""),3,300))))</f>
        <v/>
      </c>
      <c r="AA620">
        <f>IF(G620="","",IF(COUNTIF($G$3:G620,SUBSTITUTE(SUBSTITUTE(G620,"?","~?"),"*","~*"))=1,MAX($AA$2:AA619)+1,""))</f>
        <v/>
      </c>
      <c r="AB620">
        <f>IF(B620="","",IF(COUNTIF($B$3:B620,SUBSTITUTE(SUBSTITUTE(B620,"?","~?"),"*","~*"))=1,MAX($AB$2:AB619)+1,""))</f>
        <v/>
      </c>
    </row>
    <row r="621">
      <c r="M621">
        <f>IF(A621="","",LOWER(TRIM(SUBSTITUTE(SUBSTITUTE(A621,"?",""),"*",""))))</f>
        <v/>
      </c>
      <c r="N621">
        <f>IF(M621="","",IF(SUMPRODUCT(ISNUMBER(SEARCH(" "&amp;Settings!$L$5:$L$124&amp;" "," "&amp;M621&amp;" "))*(Settings!$K$5:$K$124="Navigational")*(Settings!$L$5:$L$124&lt;&gt;""))&gt;0,"Navigational",IF(SUMPRODUCT(ISNUMBER(SEARCH(" "&amp;Settings!$L$5:$L$124&amp;" "," "&amp;M621&amp;" "))*(Settings!$K$5:$K$124="Transactional")*(Settings!$L$5:$L$124&lt;&gt;""))&gt;0,"Transactional",IF(SUMPRODUCT(ISNUMBER(SEARCH(" "&amp;Settings!$L$5:$L$124&amp;" "," "&amp;M621&amp;" "))*(Settings!$K$5:$K$124="Commercial")*(Settings!$L$5:$L$124&lt;&gt;""))&gt;0,"Commercial",IF(SUMPRODUCT(ISNUMBER(SEARCH(" "&amp;Settings!$L$5:$L$124&amp;" "," "&amp;M621&amp;" "))*(Settings!$K$5:$K$124="Informational")*(Settings!$L$5:$L$124&lt;&gt;""))&gt;0,"Informational","Unclassified")))))</f>
        <v/>
      </c>
      <c r="O621">
        <f>IF(A621="","",IF(K621&lt;&gt;"",PROPER(K621),N621))</f>
        <v/>
      </c>
      <c r="P621">
        <f>IF(A621="","",ROUND(Settings!$B$5*MIN(1,LOG10(N(C621)+1)/LOG10(Settings!$B$7+1))+Settings!$B$6*(1-MIN(100,IF(D621="",50,N(D621)))/100)+IFERROR(INDEX(Settings!$B$10:$B$14,MATCH(O621,Settings!$A$10:$A$14,0)),0),0))</f>
        <v/>
      </c>
      <c r="Q621">
        <f>IF(OR(A621="",G621=""),"",COUNTIFS($M$3:$M$1002,M621,$G$3:$G$1002,"&lt;&gt;"&amp;SUBSTITUTE(SUBSTITUTE(G621,"?","~?"),"*","~*"),$G$3:$G$1002,"?*"))</f>
        <v/>
      </c>
      <c r="R621">
        <f>IF(Q621="","",IF(Q621&gt;0,"Yes","No"))</f>
        <v/>
      </c>
      <c r="S621">
        <f>IF(G621="","",COUNTIFS($G$3:$G$1002,SUBSTITUTE(SUBSTITUTE(G621,"?","~?"),"*","~*"),$J$3:$J$1002,"Primary"))</f>
        <v/>
      </c>
      <c r="T621">
        <f>IF(S621="","",IF(S621&gt;Settings!$B$4,"Yes","No"))</f>
        <v/>
      </c>
      <c r="U621">
        <f>IF(OR(G621="",B621=""),"",IF(COUNTIFS($G$3:$G$1002,SUBSTITUTE(SUBSTITUTE(G621,"?","~?"),"*","~*"),$B$3:$B$1002,"&lt;&gt;"&amp;SUBSTITUTE(SUBSTITUTE(B621,"?","~?"),"*","~*"),$B$3:$B$1002,"?*")&gt;0,"Yes","No"))</f>
        <v/>
      </c>
      <c r="V621">
        <f>IF(OR(G621="",I621="",O621="",O621="Unclassified"),"",IFERROR(INDEX(Settings!$E$5:$H$16,MATCH(I621,Settings!$D$5:$D$16,0),MATCH(O621,Settings!$E$4:$H$4,0)),"Check"))</f>
        <v/>
      </c>
      <c r="W621">
        <f>IF(V621="","",IF(V621="No","Yes","No"))</f>
        <v/>
      </c>
      <c r="X621">
        <f>IF(OR(E621="",G621=""),"",IF(LOWER(IF(RIGHT(TRIM(E621),1)="/",LEFT(TRIM(E621),LEN(TRIM(E621))-1),TRIM(E621)))&lt;&gt;LOWER(IF(RIGHT(TRIM(G621),1)="/",LEFT(TRIM(G621),LEN(TRIM(G621))-1),TRIM(G621))),"Yes","No"))</f>
        <v/>
      </c>
      <c r="Y621">
        <f>IF(A621="","",(N(Q621)&gt;0)+(T621="Yes")+(U621="Yes")+(W621="Yes")+(X621="Yes"))</f>
        <v/>
      </c>
      <c r="Z621">
        <f>IF(A621="","",IF(G621="","Not mapped",IF(Y621=0,"OK",MID(IF(N(Q621)&gt;0,"; Cannibalisation","")&amp;IF(T621="Yes","; Too many primary keywords on URL","")&amp;IF(U621="Yes","; URL spans 2+ clusters","")&amp;IF(W621="Yes","; Intent mismatch","")&amp;IF(X621="Yes","; Ranking URL is not the target",""),3,300))))</f>
        <v/>
      </c>
      <c r="AA621">
        <f>IF(G621="","",IF(COUNTIF($G$3:G621,SUBSTITUTE(SUBSTITUTE(G621,"?","~?"),"*","~*"))=1,MAX($AA$2:AA620)+1,""))</f>
        <v/>
      </c>
      <c r="AB621">
        <f>IF(B621="","",IF(COUNTIF($B$3:B621,SUBSTITUTE(SUBSTITUTE(B621,"?","~?"),"*","~*"))=1,MAX($AB$2:AB620)+1,""))</f>
        <v/>
      </c>
    </row>
    <row r="622">
      <c r="M622">
        <f>IF(A622="","",LOWER(TRIM(SUBSTITUTE(SUBSTITUTE(A622,"?",""),"*",""))))</f>
        <v/>
      </c>
      <c r="N622">
        <f>IF(M622="","",IF(SUMPRODUCT(ISNUMBER(SEARCH(" "&amp;Settings!$L$5:$L$124&amp;" "," "&amp;M622&amp;" "))*(Settings!$K$5:$K$124="Navigational")*(Settings!$L$5:$L$124&lt;&gt;""))&gt;0,"Navigational",IF(SUMPRODUCT(ISNUMBER(SEARCH(" "&amp;Settings!$L$5:$L$124&amp;" "," "&amp;M622&amp;" "))*(Settings!$K$5:$K$124="Transactional")*(Settings!$L$5:$L$124&lt;&gt;""))&gt;0,"Transactional",IF(SUMPRODUCT(ISNUMBER(SEARCH(" "&amp;Settings!$L$5:$L$124&amp;" "," "&amp;M622&amp;" "))*(Settings!$K$5:$K$124="Commercial")*(Settings!$L$5:$L$124&lt;&gt;""))&gt;0,"Commercial",IF(SUMPRODUCT(ISNUMBER(SEARCH(" "&amp;Settings!$L$5:$L$124&amp;" "," "&amp;M622&amp;" "))*(Settings!$K$5:$K$124="Informational")*(Settings!$L$5:$L$124&lt;&gt;""))&gt;0,"Informational","Unclassified")))))</f>
        <v/>
      </c>
      <c r="O622">
        <f>IF(A622="","",IF(K622&lt;&gt;"",PROPER(K622),N622))</f>
        <v/>
      </c>
      <c r="P622">
        <f>IF(A622="","",ROUND(Settings!$B$5*MIN(1,LOG10(N(C622)+1)/LOG10(Settings!$B$7+1))+Settings!$B$6*(1-MIN(100,IF(D622="",50,N(D622)))/100)+IFERROR(INDEX(Settings!$B$10:$B$14,MATCH(O622,Settings!$A$10:$A$14,0)),0),0))</f>
        <v/>
      </c>
      <c r="Q622">
        <f>IF(OR(A622="",G622=""),"",COUNTIFS($M$3:$M$1002,M622,$G$3:$G$1002,"&lt;&gt;"&amp;SUBSTITUTE(SUBSTITUTE(G622,"?","~?"),"*","~*"),$G$3:$G$1002,"?*"))</f>
        <v/>
      </c>
      <c r="R622">
        <f>IF(Q622="","",IF(Q622&gt;0,"Yes","No"))</f>
        <v/>
      </c>
      <c r="S622">
        <f>IF(G622="","",COUNTIFS($G$3:$G$1002,SUBSTITUTE(SUBSTITUTE(G622,"?","~?"),"*","~*"),$J$3:$J$1002,"Primary"))</f>
        <v/>
      </c>
      <c r="T622">
        <f>IF(S622="","",IF(S622&gt;Settings!$B$4,"Yes","No"))</f>
        <v/>
      </c>
      <c r="U622">
        <f>IF(OR(G622="",B622=""),"",IF(COUNTIFS($G$3:$G$1002,SUBSTITUTE(SUBSTITUTE(G622,"?","~?"),"*","~*"),$B$3:$B$1002,"&lt;&gt;"&amp;SUBSTITUTE(SUBSTITUTE(B622,"?","~?"),"*","~*"),$B$3:$B$1002,"?*")&gt;0,"Yes","No"))</f>
        <v/>
      </c>
      <c r="V622">
        <f>IF(OR(G622="",I622="",O622="",O622="Unclassified"),"",IFERROR(INDEX(Settings!$E$5:$H$16,MATCH(I622,Settings!$D$5:$D$16,0),MATCH(O622,Settings!$E$4:$H$4,0)),"Check"))</f>
        <v/>
      </c>
      <c r="W622">
        <f>IF(V622="","",IF(V622="No","Yes","No"))</f>
        <v/>
      </c>
      <c r="X622">
        <f>IF(OR(E622="",G622=""),"",IF(LOWER(IF(RIGHT(TRIM(E622),1)="/",LEFT(TRIM(E622),LEN(TRIM(E622))-1),TRIM(E622)))&lt;&gt;LOWER(IF(RIGHT(TRIM(G622),1)="/",LEFT(TRIM(G622),LEN(TRIM(G622))-1),TRIM(G622))),"Yes","No"))</f>
        <v/>
      </c>
      <c r="Y622">
        <f>IF(A622="","",(N(Q622)&gt;0)+(T622="Yes")+(U622="Yes")+(W622="Yes")+(X622="Yes"))</f>
        <v/>
      </c>
      <c r="Z622">
        <f>IF(A622="","",IF(G622="","Not mapped",IF(Y622=0,"OK",MID(IF(N(Q622)&gt;0,"; Cannibalisation","")&amp;IF(T622="Yes","; Too many primary keywords on URL","")&amp;IF(U622="Yes","; URL spans 2+ clusters","")&amp;IF(W622="Yes","; Intent mismatch","")&amp;IF(X622="Yes","; Ranking URL is not the target",""),3,300))))</f>
        <v/>
      </c>
      <c r="AA622">
        <f>IF(G622="","",IF(COUNTIF($G$3:G622,SUBSTITUTE(SUBSTITUTE(G622,"?","~?"),"*","~*"))=1,MAX($AA$2:AA621)+1,""))</f>
        <v/>
      </c>
      <c r="AB622">
        <f>IF(B622="","",IF(COUNTIF($B$3:B622,SUBSTITUTE(SUBSTITUTE(B622,"?","~?"),"*","~*"))=1,MAX($AB$2:AB621)+1,""))</f>
        <v/>
      </c>
    </row>
    <row r="623">
      <c r="M623">
        <f>IF(A623="","",LOWER(TRIM(SUBSTITUTE(SUBSTITUTE(A623,"?",""),"*",""))))</f>
        <v/>
      </c>
      <c r="N623">
        <f>IF(M623="","",IF(SUMPRODUCT(ISNUMBER(SEARCH(" "&amp;Settings!$L$5:$L$124&amp;" "," "&amp;M623&amp;" "))*(Settings!$K$5:$K$124="Navigational")*(Settings!$L$5:$L$124&lt;&gt;""))&gt;0,"Navigational",IF(SUMPRODUCT(ISNUMBER(SEARCH(" "&amp;Settings!$L$5:$L$124&amp;" "," "&amp;M623&amp;" "))*(Settings!$K$5:$K$124="Transactional")*(Settings!$L$5:$L$124&lt;&gt;""))&gt;0,"Transactional",IF(SUMPRODUCT(ISNUMBER(SEARCH(" "&amp;Settings!$L$5:$L$124&amp;" "," "&amp;M623&amp;" "))*(Settings!$K$5:$K$124="Commercial")*(Settings!$L$5:$L$124&lt;&gt;""))&gt;0,"Commercial",IF(SUMPRODUCT(ISNUMBER(SEARCH(" "&amp;Settings!$L$5:$L$124&amp;" "," "&amp;M623&amp;" "))*(Settings!$K$5:$K$124="Informational")*(Settings!$L$5:$L$124&lt;&gt;""))&gt;0,"Informational","Unclassified")))))</f>
        <v/>
      </c>
      <c r="O623">
        <f>IF(A623="","",IF(K623&lt;&gt;"",PROPER(K623),N623))</f>
        <v/>
      </c>
      <c r="P623">
        <f>IF(A623="","",ROUND(Settings!$B$5*MIN(1,LOG10(N(C623)+1)/LOG10(Settings!$B$7+1))+Settings!$B$6*(1-MIN(100,IF(D623="",50,N(D623)))/100)+IFERROR(INDEX(Settings!$B$10:$B$14,MATCH(O623,Settings!$A$10:$A$14,0)),0),0))</f>
        <v/>
      </c>
      <c r="Q623">
        <f>IF(OR(A623="",G623=""),"",COUNTIFS($M$3:$M$1002,M623,$G$3:$G$1002,"&lt;&gt;"&amp;SUBSTITUTE(SUBSTITUTE(G623,"?","~?"),"*","~*"),$G$3:$G$1002,"?*"))</f>
        <v/>
      </c>
      <c r="R623">
        <f>IF(Q623="","",IF(Q623&gt;0,"Yes","No"))</f>
        <v/>
      </c>
      <c r="S623">
        <f>IF(G623="","",COUNTIFS($G$3:$G$1002,SUBSTITUTE(SUBSTITUTE(G623,"?","~?"),"*","~*"),$J$3:$J$1002,"Primary"))</f>
        <v/>
      </c>
      <c r="T623">
        <f>IF(S623="","",IF(S623&gt;Settings!$B$4,"Yes","No"))</f>
        <v/>
      </c>
      <c r="U623">
        <f>IF(OR(G623="",B623=""),"",IF(COUNTIFS($G$3:$G$1002,SUBSTITUTE(SUBSTITUTE(G623,"?","~?"),"*","~*"),$B$3:$B$1002,"&lt;&gt;"&amp;SUBSTITUTE(SUBSTITUTE(B623,"?","~?"),"*","~*"),$B$3:$B$1002,"?*")&gt;0,"Yes","No"))</f>
        <v/>
      </c>
      <c r="V623">
        <f>IF(OR(G623="",I623="",O623="",O623="Unclassified"),"",IFERROR(INDEX(Settings!$E$5:$H$16,MATCH(I623,Settings!$D$5:$D$16,0),MATCH(O623,Settings!$E$4:$H$4,0)),"Check"))</f>
        <v/>
      </c>
      <c r="W623">
        <f>IF(V623="","",IF(V623="No","Yes","No"))</f>
        <v/>
      </c>
      <c r="X623">
        <f>IF(OR(E623="",G623=""),"",IF(LOWER(IF(RIGHT(TRIM(E623),1)="/",LEFT(TRIM(E623),LEN(TRIM(E623))-1),TRIM(E623)))&lt;&gt;LOWER(IF(RIGHT(TRIM(G623),1)="/",LEFT(TRIM(G623),LEN(TRIM(G623))-1),TRIM(G623))),"Yes","No"))</f>
        <v/>
      </c>
      <c r="Y623">
        <f>IF(A623="","",(N(Q623)&gt;0)+(T623="Yes")+(U623="Yes")+(W623="Yes")+(X623="Yes"))</f>
        <v/>
      </c>
      <c r="Z623">
        <f>IF(A623="","",IF(G623="","Not mapped",IF(Y623=0,"OK",MID(IF(N(Q623)&gt;0,"; Cannibalisation","")&amp;IF(T623="Yes","; Too many primary keywords on URL","")&amp;IF(U623="Yes","; URL spans 2+ clusters","")&amp;IF(W623="Yes","; Intent mismatch","")&amp;IF(X623="Yes","; Ranking URL is not the target",""),3,300))))</f>
        <v/>
      </c>
      <c r="AA623">
        <f>IF(G623="","",IF(COUNTIF($G$3:G623,SUBSTITUTE(SUBSTITUTE(G623,"?","~?"),"*","~*"))=1,MAX($AA$2:AA622)+1,""))</f>
        <v/>
      </c>
      <c r="AB623">
        <f>IF(B623="","",IF(COUNTIF($B$3:B623,SUBSTITUTE(SUBSTITUTE(B623,"?","~?"),"*","~*"))=1,MAX($AB$2:AB622)+1,""))</f>
        <v/>
      </c>
    </row>
    <row r="624">
      <c r="M624">
        <f>IF(A624="","",LOWER(TRIM(SUBSTITUTE(SUBSTITUTE(A624,"?",""),"*",""))))</f>
        <v/>
      </c>
      <c r="N624">
        <f>IF(M624="","",IF(SUMPRODUCT(ISNUMBER(SEARCH(" "&amp;Settings!$L$5:$L$124&amp;" "," "&amp;M624&amp;" "))*(Settings!$K$5:$K$124="Navigational")*(Settings!$L$5:$L$124&lt;&gt;""))&gt;0,"Navigational",IF(SUMPRODUCT(ISNUMBER(SEARCH(" "&amp;Settings!$L$5:$L$124&amp;" "," "&amp;M624&amp;" "))*(Settings!$K$5:$K$124="Transactional")*(Settings!$L$5:$L$124&lt;&gt;""))&gt;0,"Transactional",IF(SUMPRODUCT(ISNUMBER(SEARCH(" "&amp;Settings!$L$5:$L$124&amp;" "," "&amp;M624&amp;" "))*(Settings!$K$5:$K$124="Commercial")*(Settings!$L$5:$L$124&lt;&gt;""))&gt;0,"Commercial",IF(SUMPRODUCT(ISNUMBER(SEARCH(" "&amp;Settings!$L$5:$L$124&amp;" "," "&amp;M624&amp;" "))*(Settings!$K$5:$K$124="Informational")*(Settings!$L$5:$L$124&lt;&gt;""))&gt;0,"Informational","Unclassified")))))</f>
        <v/>
      </c>
      <c r="O624">
        <f>IF(A624="","",IF(K624&lt;&gt;"",PROPER(K624),N624))</f>
        <v/>
      </c>
      <c r="P624">
        <f>IF(A624="","",ROUND(Settings!$B$5*MIN(1,LOG10(N(C624)+1)/LOG10(Settings!$B$7+1))+Settings!$B$6*(1-MIN(100,IF(D624="",50,N(D624)))/100)+IFERROR(INDEX(Settings!$B$10:$B$14,MATCH(O624,Settings!$A$10:$A$14,0)),0),0))</f>
        <v/>
      </c>
      <c r="Q624">
        <f>IF(OR(A624="",G624=""),"",COUNTIFS($M$3:$M$1002,M624,$G$3:$G$1002,"&lt;&gt;"&amp;SUBSTITUTE(SUBSTITUTE(G624,"?","~?"),"*","~*"),$G$3:$G$1002,"?*"))</f>
        <v/>
      </c>
      <c r="R624">
        <f>IF(Q624="","",IF(Q624&gt;0,"Yes","No"))</f>
        <v/>
      </c>
      <c r="S624">
        <f>IF(G624="","",COUNTIFS($G$3:$G$1002,SUBSTITUTE(SUBSTITUTE(G624,"?","~?"),"*","~*"),$J$3:$J$1002,"Primary"))</f>
        <v/>
      </c>
      <c r="T624">
        <f>IF(S624="","",IF(S624&gt;Settings!$B$4,"Yes","No"))</f>
        <v/>
      </c>
      <c r="U624">
        <f>IF(OR(G624="",B624=""),"",IF(COUNTIFS($G$3:$G$1002,SUBSTITUTE(SUBSTITUTE(G624,"?","~?"),"*","~*"),$B$3:$B$1002,"&lt;&gt;"&amp;SUBSTITUTE(SUBSTITUTE(B624,"?","~?"),"*","~*"),$B$3:$B$1002,"?*")&gt;0,"Yes","No"))</f>
        <v/>
      </c>
      <c r="V624">
        <f>IF(OR(G624="",I624="",O624="",O624="Unclassified"),"",IFERROR(INDEX(Settings!$E$5:$H$16,MATCH(I624,Settings!$D$5:$D$16,0),MATCH(O624,Settings!$E$4:$H$4,0)),"Check"))</f>
        <v/>
      </c>
      <c r="W624">
        <f>IF(V624="","",IF(V624="No","Yes","No"))</f>
        <v/>
      </c>
      <c r="X624">
        <f>IF(OR(E624="",G624=""),"",IF(LOWER(IF(RIGHT(TRIM(E624),1)="/",LEFT(TRIM(E624),LEN(TRIM(E624))-1),TRIM(E624)))&lt;&gt;LOWER(IF(RIGHT(TRIM(G624),1)="/",LEFT(TRIM(G624),LEN(TRIM(G624))-1),TRIM(G624))),"Yes","No"))</f>
        <v/>
      </c>
      <c r="Y624">
        <f>IF(A624="","",(N(Q624)&gt;0)+(T624="Yes")+(U624="Yes")+(W624="Yes")+(X624="Yes"))</f>
        <v/>
      </c>
      <c r="Z624">
        <f>IF(A624="","",IF(G624="","Not mapped",IF(Y624=0,"OK",MID(IF(N(Q624)&gt;0,"; Cannibalisation","")&amp;IF(T624="Yes","; Too many primary keywords on URL","")&amp;IF(U624="Yes","; URL spans 2+ clusters","")&amp;IF(W624="Yes","; Intent mismatch","")&amp;IF(X624="Yes","; Ranking URL is not the target",""),3,300))))</f>
        <v/>
      </c>
      <c r="AA624">
        <f>IF(G624="","",IF(COUNTIF($G$3:G624,SUBSTITUTE(SUBSTITUTE(G624,"?","~?"),"*","~*"))=1,MAX($AA$2:AA623)+1,""))</f>
        <v/>
      </c>
      <c r="AB624">
        <f>IF(B624="","",IF(COUNTIF($B$3:B624,SUBSTITUTE(SUBSTITUTE(B624,"?","~?"),"*","~*"))=1,MAX($AB$2:AB623)+1,""))</f>
        <v/>
      </c>
    </row>
    <row r="625">
      <c r="M625">
        <f>IF(A625="","",LOWER(TRIM(SUBSTITUTE(SUBSTITUTE(A625,"?",""),"*",""))))</f>
        <v/>
      </c>
      <c r="N625">
        <f>IF(M625="","",IF(SUMPRODUCT(ISNUMBER(SEARCH(" "&amp;Settings!$L$5:$L$124&amp;" "," "&amp;M625&amp;" "))*(Settings!$K$5:$K$124="Navigational")*(Settings!$L$5:$L$124&lt;&gt;""))&gt;0,"Navigational",IF(SUMPRODUCT(ISNUMBER(SEARCH(" "&amp;Settings!$L$5:$L$124&amp;" "," "&amp;M625&amp;" "))*(Settings!$K$5:$K$124="Transactional")*(Settings!$L$5:$L$124&lt;&gt;""))&gt;0,"Transactional",IF(SUMPRODUCT(ISNUMBER(SEARCH(" "&amp;Settings!$L$5:$L$124&amp;" "," "&amp;M625&amp;" "))*(Settings!$K$5:$K$124="Commercial")*(Settings!$L$5:$L$124&lt;&gt;""))&gt;0,"Commercial",IF(SUMPRODUCT(ISNUMBER(SEARCH(" "&amp;Settings!$L$5:$L$124&amp;" "," "&amp;M625&amp;" "))*(Settings!$K$5:$K$124="Informational")*(Settings!$L$5:$L$124&lt;&gt;""))&gt;0,"Informational","Unclassified")))))</f>
        <v/>
      </c>
      <c r="O625">
        <f>IF(A625="","",IF(K625&lt;&gt;"",PROPER(K625),N625))</f>
        <v/>
      </c>
      <c r="P625">
        <f>IF(A625="","",ROUND(Settings!$B$5*MIN(1,LOG10(N(C625)+1)/LOG10(Settings!$B$7+1))+Settings!$B$6*(1-MIN(100,IF(D625="",50,N(D625)))/100)+IFERROR(INDEX(Settings!$B$10:$B$14,MATCH(O625,Settings!$A$10:$A$14,0)),0),0))</f>
        <v/>
      </c>
      <c r="Q625">
        <f>IF(OR(A625="",G625=""),"",COUNTIFS($M$3:$M$1002,M625,$G$3:$G$1002,"&lt;&gt;"&amp;SUBSTITUTE(SUBSTITUTE(G625,"?","~?"),"*","~*"),$G$3:$G$1002,"?*"))</f>
        <v/>
      </c>
      <c r="R625">
        <f>IF(Q625="","",IF(Q625&gt;0,"Yes","No"))</f>
        <v/>
      </c>
      <c r="S625">
        <f>IF(G625="","",COUNTIFS($G$3:$G$1002,SUBSTITUTE(SUBSTITUTE(G625,"?","~?"),"*","~*"),$J$3:$J$1002,"Primary"))</f>
        <v/>
      </c>
      <c r="T625">
        <f>IF(S625="","",IF(S625&gt;Settings!$B$4,"Yes","No"))</f>
        <v/>
      </c>
      <c r="U625">
        <f>IF(OR(G625="",B625=""),"",IF(COUNTIFS($G$3:$G$1002,SUBSTITUTE(SUBSTITUTE(G625,"?","~?"),"*","~*"),$B$3:$B$1002,"&lt;&gt;"&amp;SUBSTITUTE(SUBSTITUTE(B625,"?","~?"),"*","~*"),$B$3:$B$1002,"?*")&gt;0,"Yes","No"))</f>
        <v/>
      </c>
      <c r="V625">
        <f>IF(OR(G625="",I625="",O625="",O625="Unclassified"),"",IFERROR(INDEX(Settings!$E$5:$H$16,MATCH(I625,Settings!$D$5:$D$16,0),MATCH(O625,Settings!$E$4:$H$4,0)),"Check"))</f>
        <v/>
      </c>
      <c r="W625">
        <f>IF(V625="","",IF(V625="No","Yes","No"))</f>
        <v/>
      </c>
      <c r="X625">
        <f>IF(OR(E625="",G625=""),"",IF(LOWER(IF(RIGHT(TRIM(E625),1)="/",LEFT(TRIM(E625),LEN(TRIM(E625))-1),TRIM(E625)))&lt;&gt;LOWER(IF(RIGHT(TRIM(G625),1)="/",LEFT(TRIM(G625),LEN(TRIM(G625))-1),TRIM(G625))),"Yes","No"))</f>
        <v/>
      </c>
      <c r="Y625">
        <f>IF(A625="","",(N(Q625)&gt;0)+(T625="Yes")+(U625="Yes")+(W625="Yes")+(X625="Yes"))</f>
        <v/>
      </c>
      <c r="Z625">
        <f>IF(A625="","",IF(G625="","Not mapped",IF(Y625=0,"OK",MID(IF(N(Q625)&gt;0,"; Cannibalisation","")&amp;IF(T625="Yes","; Too many primary keywords on URL","")&amp;IF(U625="Yes","; URL spans 2+ clusters","")&amp;IF(W625="Yes","; Intent mismatch","")&amp;IF(X625="Yes","; Ranking URL is not the target",""),3,300))))</f>
        <v/>
      </c>
      <c r="AA625">
        <f>IF(G625="","",IF(COUNTIF($G$3:G625,SUBSTITUTE(SUBSTITUTE(G625,"?","~?"),"*","~*"))=1,MAX($AA$2:AA624)+1,""))</f>
        <v/>
      </c>
      <c r="AB625">
        <f>IF(B625="","",IF(COUNTIF($B$3:B625,SUBSTITUTE(SUBSTITUTE(B625,"?","~?"),"*","~*"))=1,MAX($AB$2:AB624)+1,""))</f>
        <v/>
      </c>
    </row>
    <row r="626">
      <c r="M626">
        <f>IF(A626="","",LOWER(TRIM(SUBSTITUTE(SUBSTITUTE(A626,"?",""),"*",""))))</f>
        <v/>
      </c>
      <c r="N626">
        <f>IF(M626="","",IF(SUMPRODUCT(ISNUMBER(SEARCH(" "&amp;Settings!$L$5:$L$124&amp;" "," "&amp;M626&amp;" "))*(Settings!$K$5:$K$124="Navigational")*(Settings!$L$5:$L$124&lt;&gt;""))&gt;0,"Navigational",IF(SUMPRODUCT(ISNUMBER(SEARCH(" "&amp;Settings!$L$5:$L$124&amp;" "," "&amp;M626&amp;" "))*(Settings!$K$5:$K$124="Transactional")*(Settings!$L$5:$L$124&lt;&gt;""))&gt;0,"Transactional",IF(SUMPRODUCT(ISNUMBER(SEARCH(" "&amp;Settings!$L$5:$L$124&amp;" "," "&amp;M626&amp;" "))*(Settings!$K$5:$K$124="Commercial")*(Settings!$L$5:$L$124&lt;&gt;""))&gt;0,"Commercial",IF(SUMPRODUCT(ISNUMBER(SEARCH(" "&amp;Settings!$L$5:$L$124&amp;" "," "&amp;M626&amp;" "))*(Settings!$K$5:$K$124="Informational")*(Settings!$L$5:$L$124&lt;&gt;""))&gt;0,"Informational","Unclassified")))))</f>
        <v/>
      </c>
      <c r="O626">
        <f>IF(A626="","",IF(K626&lt;&gt;"",PROPER(K626),N626))</f>
        <v/>
      </c>
      <c r="P626">
        <f>IF(A626="","",ROUND(Settings!$B$5*MIN(1,LOG10(N(C626)+1)/LOG10(Settings!$B$7+1))+Settings!$B$6*(1-MIN(100,IF(D626="",50,N(D626)))/100)+IFERROR(INDEX(Settings!$B$10:$B$14,MATCH(O626,Settings!$A$10:$A$14,0)),0),0))</f>
        <v/>
      </c>
      <c r="Q626">
        <f>IF(OR(A626="",G626=""),"",COUNTIFS($M$3:$M$1002,M626,$G$3:$G$1002,"&lt;&gt;"&amp;SUBSTITUTE(SUBSTITUTE(G626,"?","~?"),"*","~*"),$G$3:$G$1002,"?*"))</f>
        <v/>
      </c>
      <c r="R626">
        <f>IF(Q626="","",IF(Q626&gt;0,"Yes","No"))</f>
        <v/>
      </c>
      <c r="S626">
        <f>IF(G626="","",COUNTIFS($G$3:$G$1002,SUBSTITUTE(SUBSTITUTE(G626,"?","~?"),"*","~*"),$J$3:$J$1002,"Primary"))</f>
        <v/>
      </c>
      <c r="T626">
        <f>IF(S626="","",IF(S626&gt;Settings!$B$4,"Yes","No"))</f>
        <v/>
      </c>
      <c r="U626">
        <f>IF(OR(G626="",B626=""),"",IF(COUNTIFS($G$3:$G$1002,SUBSTITUTE(SUBSTITUTE(G626,"?","~?"),"*","~*"),$B$3:$B$1002,"&lt;&gt;"&amp;SUBSTITUTE(SUBSTITUTE(B626,"?","~?"),"*","~*"),$B$3:$B$1002,"?*")&gt;0,"Yes","No"))</f>
        <v/>
      </c>
      <c r="V626">
        <f>IF(OR(G626="",I626="",O626="",O626="Unclassified"),"",IFERROR(INDEX(Settings!$E$5:$H$16,MATCH(I626,Settings!$D$5:$D$16,0),MATCH(O626,Settings!$E$4:$H$4,0)),"Check"))</f>
        <v/>
      </c>
      <c r="W626">
        <f>IF(V626="","",IF(V626="No","Yes","No"))</f>
        <v/>
      </c>
      <c r="X626">
        <f>IF(OR(E626="",G626=""),"",IF(LOWER(IF(RIGHT(TRIM(E626),1)="/",LEFT(TRIM(E626),LEN(TRIM(E626))-1),TRIM(E626)))&lt;&gt;LOWER(IF(RIGHT(TRIM(G626),1)="/",LEFT(TRIM(G626),LEN(TRIM(G626))-1),TRIM(G626))),"Yes","No"))</f>
        <v/>
      </c>
      <c r="Y626">
        <f>IF(A626="","",(N(Q626)&gt;0)+(T626="Yes")+(U626="Yes")+(W626="Yes")+(X626="Yes"))</f>
        <v/>
      </c>
      <c r="Z626">
        <f>IF(A626="","",IF(G626="","Not mapped",IF(Y626=0,"OK",MID(IF(N(Q626)&gt;0,"; Cannibalisation","")&amp;IF(T626="Yes","; Too many primary keywords on URL","")&amp;IF(U626="Yes","; URL spans 2+ clusters","")&amp;IF(W626="Yes","; Intent mismatch","")&amp;IF(X626="Yes","; Ranking URL is not the target",""),3,300))))</f>
        <v/>
      </c>
      <c r="AA626">
        <f>IF(G626="","",IF(COUNTIF($G$3:G626,SUBSTITUTE(SUBSTITUTE(G626,"?","~?"),"*","~*"))=1,MAX($AA$2:AA625)+1,""))</f>
        <v/>
      </c>
      <c r="AB626">
        <f>IF(B626="","",IF(COUNTIF($B$3:B626,SUBSTITUTE(SUBSTITUTE(B626,"?","~?"),"*","~*"))=1,MAX($AB$2:AB625)+1,""))</f>
        <v/>
      </c>
    </row>
    <row r="627">
      <c r="M627">
        <f>IF(A627="","",LOWER(TRIM(SUBSTITUTE(SUBSTITUTE(A627,"?",""),"*",""))))</f>
        <v/>
      </c>
      <c r="N627">
        <f>IF(M627="","",IF(SUMPRODUCT(ISNUMBER(SEARCH(" "&amp;Settings!$L$5:$L$124&amp;" "," "&amp;M627&amp;" "))*(Settings!$K$5:$K$124="Navigational")*(Settings!$L$5:$L$124&lt;&gt;""))&gt;0,"Navigational",IF(SUMPRODUCT(ISNUMBER(SEARCH(" "&amp;Settings!$L$5:$L$124&amp;" "," "&amp;M627&amp;" "))*(Settings!$K$5:$K$124="Transactional")*(Settings!$L$5:$L$124&lt;&gt;""))&gt;0,"Transactional",IF(SUMPRODUCT(ISNUMBER(SEARCH(" "&amp;Settings!$L$5:$L$124&amp;" "," "&amp;M627&amp;" "))*(Settings!$K$5:$K$124="Commercial")*(Settings!$L$5:$L$124&lt;&gt;""))&gt;0,"Commercial",IF(SUMPRODUCT(ISNUMBER(SEARCH(" "&amp;Settings!$L$5:$L$124&amp;" "," "&amp;M627&amp;" "))*(Settings!$K$5:$K$124="Informational")*(Settings!$L$5:$L$124&lt;&gt;""))&gt;0,"Informational","Unclassified")))))</f>
        <v/>
      </c>
      <c r="O627">
        <f>IF(A627="","",IF(K627&lt;&gt;"",PROPER(K627),N627))</f>
        <v/>
      </c>
      <c r="P627">
        <f>IF(A627="","",ROUND(Settings!$B$5*MIN(1,LOG10(N(C627)+1)/LOG10(Settings!$B$7+1))+Settings!$B$6*(1-MIN(100,IF(D627="",50,N(D627)))/100)+IFERROR(INDEX(Settings!$B$10:$B$14,MATCH(O627,Settings!$A$10:$A$14,0)),0),0))</f>
        <v/>
      </c>
      <c r="Q627">
        <f>IF(OR(A627="",G627=""),"",COUNTIFS($M$3:$M$1002,M627,$G$3:$G$1002,"&lt;&gt;"&amp;SUBSTITUTE(SUBSTITUTE(G627,"?","~?"),"*","~*"),$G$3:$G$1002,"?*"))</f>
        <v/>
      </c>
      <c r="R627">
        <f>IF(Q627="","",IF(Q627&gt;0,"Yes","No"))</f>
        <v/>
      </c>
      <c r="S627">
        <f>IF(G627="","",COUNTIFS($G$3:$G$1002,SUBSTITUTE(SUBSTITUTE(G627,"?","~?"),"*","~*"),$J$3:$J$1002,"Primary"))</f>
        <v/>
      </c>
      <c r="T627">
        <f>IF(S627="","",IF(S627&gt;Settings!$B$4,"Yes","No"))</f>
        <v/>
      </c>
      <c r="U627">
        <f>IF(OR(G627="",B627=""),"",IF(COUNTIFS($G$3:$G$1002,SUBSTITUTE(SUBSTITUTE(G627,"?","~?"),"*","~*"),$B$3:$B$1002,"&lt;&gt;"&amp;SUBSTITUTE(SUBSTITUTE(B627,"?","~?"),"*","~*"),$B$3:$B$1002,"?*")&gt;0,"Yes","No"))</f>
        <v/>
      </c>
      <c r="V627">
        <f>IF(OR(G627="",I627="",O627="",O627="Unclassified"),"",IFERROR(INDEX(Settings!$E$5:$H$16,MATCH(I627,Settings!$D$5:$D$16,0),MATCH(O627,Settings!$E$4:$H$4,0)),"Check"))</f>
        <v/>
      </c>
      <c r="W627">
        <f>IF(V627="","",IF(V627="No","Yes","No"))</f>
        <v/>
      </c>
      <c r="X627">
        <f>IF(OR(E627="",G627=""),"",IF(LOWER(IF(RIGHT(TRIM(E627),1)="/",LEFT(TRIM(E627),LEN(TRIM(E627))-1),TRIM(E627)))&lt;&gt;LOWER(IF(RIGHT(TRIM(G627),1)="/",LEFT(TRIM(G627),LEN(TRIM(G627))-1),TRIM(G627))),"Yes","No"))</f>
        <v/>
      </c>
      <c r="Y627">
        <f>IF(A627="","",(N(Q627)&gt;0)+(T627="Yes")+(U627="Yes")+(W627="Yes")+(X627="Yes"))</f>
        <v/>
      </c>
      <c r="Z627">
        <f>IF(A627="","",IF(G627="","Not mapped",IF(Y627=0,"OK",MID(IF(N(Q627)&gt;0,"; Cannibalisation","")&amp;IF(T627="Yes","; Too many primary keywords on URL","")&amp;IF(U627="Yes","; URL spans 2+ clusters","")&amp;IF(W627="Yes","; Intent mismatch","")&amp;IF(X627="Yes","; Ranking URL is not the target",""),3,300))))</f>
        <v/>
      </c>
      <c r="AA627">
        <f>IF(G627="","",IF(COUNTIF($G$3:G627,SUBSTITUTE(SUBSTITUTE(G627,"?","~?"),"*","~*"))=1,MAX($AA$2:AA626)+1,""))</f>
        <v/>
      </c>
      <c r="AB627">
        <f>IF(B627="","",IF(COUNTIF($B$3:B627,SUBSTITUTE(SUBSTITUTE(B627,"?","~?"),"*","~*"))=1,MAX($AB$2:AB626)+1,""))</f>
        <v/>
      </c>
    </row>
    <row r="628">
      <c r="M628">
        <f>IF(A628="","",LOWER(TRIM(SUBSTITUTE(SUBSTITUTE(A628,"?",""),"*",""))))</f>
        <v/>
      </c>
      <c r="N628">
        <f>IF(M628="","",IF(SUMPRODUCT(ISNUMBER(SEARCH(" "&amp;Settings!$L$5:$L$124&amp;" "," "&amp;M628&amp;" "))*(Settings!$K$5:$K$124="Navigational")*(Settings!$L$5:$L$124&lt;&gt;""))&gt;0,"Navigational",IF(SUMPRODUCT(ISNUMBER(SEARCH(" "&amp;Settings!$L$5:$L$124&amp;" "," "&amp;M628&amp;" "))*(Settings!$K$5:$K$124="Transactional")*(Settings!$L$5:$L$124&lt;&gt;""))&gt;0,"Transactional",IF(SUMPRODUCT(ISNUMBER(SEARCH(" "&amp;Settings!$L$5:$L$124&amp;" "," "&amp;M628&amp;" "))*(Settings!$K$5:$K$124="Commercial")*(Settings!$L$5:$L$124&lt;&gt;""))&gt;0,"Commercial",IF(SUMPRODUCT(ISNUMBER(SEARCH(" "&amp;Settings!$L$5:$L$124&amp;" "," "&amp;M628&amp;" "))*(Settings!$K$5:$K$124="Informational")*(Settings!$L$5:$L$124&lt;&gt;""))&gt;0,"Informational","Unclassified")))))</f>
        <v/>
      </c>
      <c r="O628">
        <f>IF(A628="","",IF(K628&lt;&gt;"",PROPER(K628),N628))</f>
        <v/>
      </c>
      <c r="P628">
        <f>IF(A628="","",ROUND(Settings!$B$5*MIN(1,LOG10(N(C628)+1)/LOG10(Settings!$B$7+1))+Settings!$B$6*(1-MIN(100,IF(D628="",50,N(D628)))/100)+IFERROR(INDEX(Settings!$B$10:$B$14,MATCH(O628,Settings!$A$10:$A$14,0)),0),0))</f>
        <v/>
      </c>
      <c r="Q628">
        <f>IF(OR(A628="",G628=""),"",COUNTIFS($M$3:$M$1002,M628,$G$3:$G$1002,"&lt;&gt;"&amp;SUBSTITUTE(SUBSTITUTE(G628,"?","~?"),"*","~*"),$G$3:$G$1002,"?*"))</f>
        <v/>
      </c>
      <c r="R628">
        <f>IF(Q628="","",IF(Q628&gt;0,"Yes","No"))</f>
        <v/>
      </c>
      <c r="S628">
        <f>IF(G628="","",COUNTIFS($G$3:$G$1002,SUBSTITUTE(SUBSTITUTE(G628,"?","~?"),"*","~*"),$J$3:$J$1002,"Primary"))</f>
        <v/>
      </c>
      <c r="T628">
        <f>IF(S628="","",IF(S628&gt;Settings!$B$4,"Yes","No"))</f>
        <v/>
      </c>
      <c r="U628">
        <f>IF(OR(G628="",B628=""),"",IF(COUNTIFS($G$3:$G$1002,SUBSTITUTE(SUBSTITUTE(G628,"?","~?"),"*","~*"),$B$3:$B$1002,"&lt;&gt;"&amp;SUBSTITUTE(SUBSTITUTE(B628,"?","~?"),"*","~*"),$B$3:$B$1002,"?*")&gt;0,"Yes","No"))</f>
        <v/>
      </c>
      <c r="V628">
        <f>IF(OR(G628="",I628="",O628="",O628="Unclassified"),"",IFERROR(INDEX(Settings!$E$5:$H$16,MATCH(I628,Settings!$D$5:$D$16,0),MATCH(O628,Settings!$E$4:$H$4,0)),"Check"))</f>
        <v/>
      </c>
      <c r="W628">
        <f>IF(V628="","",IF(V628="No","Yes","No"))</f>
        <v/>
      </c>
      <c r="X628">
        <f>IF(OR(E628="",G628=""),"",IF(LOWER(IF(RIGHT(TRIM(E628),1)="/",LEFT(TRIM(E628),LEN(TRIM(E628))-1),TRIM(E628)))&lt;&gt;LOWER(IF(RIGHT(TRIM(G628),1)="/",LEFT(TRIM(G628),LEN(TRIM(G628))-1),TRIM(G628))),"Yes","No"))</f>
        <v/>
      </c>
      <c r="Y628">
        <f>IF(A628="","",(N(Q628)&gt;0)+(T628="Yes")+(U628="Yes")+(W628="Yes")+(X628="Yes"))</f>
        <v/>
      </c>
      <c r="Z628">
        <f>IF(A628="","",IF(G628="","Not mapped",IF(Y628=0,"OK",MID(IF(N(Q628)&gt;0,"; Cannibalisation","")&amp;IF(T628="Yes","; Too many primary keywords on URL","")&amp;IF(U628="Yes","; URL spans 2+ clusters","")&amp;IF(W628="Yes","; Intent mismatch","")&amp;IF(X628="Yes","; Ranking URL is not the target",""),3,300))))</f>
        <v/>
      </c>
      <c r="AA628">
        <f>IF(G628="","",IF(COUNTIF($G$3:G628,SUBSTITUTE(SUBSTITUTE(G628,"?","~?"),"*","~*"))=1,MAX($AA$2:AA627)+1,""))</f>
        <v/>
      </c>
      <c r="AB628">
        <f>IF(B628="","",IF(COUNTIF($B$3:B628,SUBSTITUTE(SUBSTITUTE(B628,"?","~?"),"*","~*"))=1,MAX($AB$2:AB627)+1,""))</f>
        <v/>
      </c>
    </row>
    <row r="629">
      <c r="M629">
        <f>IF(A629="","",LOWER(TRIM(SUBSTITUTE(SUBSTITUTE(A629,"?",""),"*",""))))</f>
        <v/>
      </c>
      <c r="N629">
        <f>IF(M629="","",IF(SUMPRODUCT(ISNUMBER(SEARCH(" "&amp;Settings!$L$5:$L$124&amp;" "," "&amp;M629&amp;" "))*(Settings!$K$5:$K$124="Navigational")*(Settings!$L$5:$L$124&lt;&gt;""))&gt;0,"Navigational",IF(SUMPRODUCT(ISNUMBER(SEARCH(" "&amp;Settings!$L$5:$L$124&amp;" "," "&amp;M629&amp;" "))*(Settings!$K$5:$K$124="Transactional")*(Settings!$L$5:$L$124&lt;&gt;""))&gt;0,"Transactional",IF(SUMPRODUCT(ISNUMBER(SEARCH(" "&amp;Settings!$L$5:$L$124&amp;" "," "&amp;M629&amp;" "))*(Settings!$K$5:$K$124="Commercial")*(Settings!$L$5:$L$124&lt;&gt;""))&gt;0,"Commercial",IF(SUMPRODUCT(ISNUMBER(SEARCH(" "&amp;Settings!$L$5:$L$124&amp;" "," "&amp;M629&amp;" "))*(Settings!$K$5:$K$124="Informational")*(Settings!$L$5:$L$124&lt;&gt;""))&gt;0,"Informational","Unclassified")))))</f>
        <v/>
      </c>
      <c r="O629">
        <f>IF(A629="","",IF(K629&lt;&gt;"",PROPER(K629),N629))</f>
        <v/>
      </c>
      <c r="P629">
        <f>IF(A629="","",ROUND(Settings!$B$5*MIN(1,LOG10(N(C629)+1)/LOG10(Settings!$B$7+1))+Settings!$B$6*(1-MIN(100,IF(D629="",50,N(D629)))/100)+IFERROR(INDEX(Settings!$B$10:$B$14,MATCH(O629,Settings!$A$10:$A$14,0)),0),0))</f>
        <v/>
      </c>
      <c r="Q629">
        <f>IF(OR(A629="",G629=""),"",COUNTIFS($M$3:$M$1002,M629,$G$3:$G$1002,"&lt;&gt;"&amp;SUBSTITUTE(SUBSTITUTE(G629,"?","~?"),"*","~*"),$G$3:$G$1002,"?*"))</f>
        <v/>
      </c>
      <c r="R629">
        <f>IF(Q629="","",IF(Q629&gt;0,"Yes","No"))</f>
        <v/>
      </c>
      <c r="S629">
        <f>IF(G629="","",COUNTIFS($G$3:$G$1002,SUBSTITUTE(SUBSTITUTE(G629,"?","~?"),"*","~*"),$J$3:$J$1002,"Primary"))</f>
        <v/>
      </c>
      <c r="T629">
        <f>IF(S629="","",IF(S629&gt;Settings!$B$4,"Yes","No"))</f>
        <v/>
      </c>
      <c r="U629">
        <f>IF(OR(G629="",B629=""),"",IF(COUNTIFS($G$3:$G$1002,SUBSTITUTE(SUBSTITUTE(G629,"?","~?"),"*","~*"),$B$3:$B$1002,"&lt;&gt;"&amp;SUBSTITUTE(SUBSTITUTE(B629,"?","~?"),"*","~*"),$B$3:$B$1002,"?*")&gt;0,"Yes","No"))</f>
        <v/>
      </c>
      <c r="V629">
        <f>IF(OR(G629="",I629="",O629="",O629="Unclassified"),"",IFERROR(INDEX(Settings!$E$5:$H$16,MATCH(I629,Settings!$D$5:$D$16,0),MATCH(O629,Settings!$E$4:$H$4,0)),"Check"))</f>
        <v/>
      </c>
      <c r="W629">
        <f>IF(V629="","",IF(V629="No","Yes","No"))</f>
        <v/>
      </c>
      <c r="X629">
        <f>IF(OR(E629="",G629=""),"",IF(LOWER(IF(RIGHT(TRIM(E629),1)="/",LEFT(TRIM(E629),LEN(TRIM(E629))-1),TRIM(E629)))&lt;&gt;LOWER(IF(RIGHT(TRIM(G629),1)="/",LEFT(TRIM(G629),LEN(TRIM(G629))-1),TRIM(G629))),"Yes","No"))</f>
        <v/>
      </c>
      <c r="Y629">
        <f>IF(A629="","",(N(Q629)&gt;0)+(T629="Yes")+(U629="Yes")+(W629="Yes")+(X629="Yes"))</f>
        <v/>
      </c>
      <c r="Z629">
        <f>IF(A629="","",IF(G629="","Not mapped",IF(Y629=0,"OK",MID(IF(N(Q629)&gt;0,"; Cannibalisation","")&amp;IF(T629="Yes","; Too many primary keywords on URL","")&amp;IF(U629="Yes","; URL spans 2+ clusters","")&amp;IF(W629="Yes","; Intent mismatch","")&amp;IF(X629="Yes","; Ranking URL is not the target",""),3,300))))</f>
        <v/>
      </c>
      <c r="AA629">
        <f>IF(G629="","",IF(COUNTIF($G$3:G629,SUBSTITUTE(SUBSTITUTE(G629,"?","~?"),"*","~*"))=1,MAX($AA$2:AA628)+1,""))</f>
        <v/>
      </c>
      <c r="AB629">
        <f>IF(B629="","",IF(COUNTIF($B$3:B629,SUBSTITUTE(SUBSTITUTE(B629,"?","~?"),"*","~*"))=1,MAX($AB$2:AB628)+1,""))</f>
        <v/>
      </c>
    </row>
    <row r="630">
      <c r="M630">
        <f>IF(A630="","",LOWER(TRIM(SUBSTITUTE(SUBSTITUTE(A630,"?",""),"*",""))))</f>
        <v/>
      </c>
      <c r="N630">
        <f>IF(M630="","",IF(SUMPRODUCT(ISNUMBER(SEARCH(" "&amp;Settings!$L$5:$L$124&amp;" "," "&amp;M630&amp;" "))*(Settings!$K$5:$K$124="Navigational")*(Settings!$L$5:$L$124&lt;&gt;""))&gt;0,"Navigational",IF(SUMPRODUCT(ISNUMBER(SEARCH(" "&amp;Settings!$L$5:$L$124&amp;" "," "&amp;M630&amp;" "))*(Settings!$K$5:$K$124="Transactional")*(Settings!$L$5:$L$124&lt;&gt;""))&gt;0,"Transactional",IF(SUMPRODUCT(ISNUMBER(SEARCH(" "&amp;Settings!$L$5:$L$124&amp;" "," "&amp;M630&amp;" "))*(Settings!$K$5:$K$124="Commercial")*(Settings!$L$5:$L$124&lt;&gt;""))&gt;0,"Commercial",IF(SUMPRODUCT(ISNUMBER(SEARCH(" "&amp;Settings!$L$5:$L$124&amp;" "," "&amp;M630&amp;" "))*(Settings!$K$5:$K$124="Informational")*(Settings!$L$5:$L$124&lt;&gt;""))&gt;0,"Informational","Unclassified")))))</f>
        <v/>
      </c>
      <c r="O630">
        <f>IF(A630="","",IF(K630&lt;&gt;"",PROPER(K630),N630))</f>
        <v/>
      </c>
      <c r="P630">
        <f>IF(A630="","",ROUND(Settings!$B$5*MIN(1,LOG10(N(C630)+1)/LOG10(Settings!$B$7+1))+Settings!$B$6*(1-MIN(100,IF(D630="",50,N(D630)))/100)+IFERROR(INDEX(Settings!$B$10:$B$14,MATCH(O630,Settings!$A$10:$A$14,0)),0),0))</f>
        <v/>
      </c>
      <c r="Q630">
        <f>IF(OR(A630="",G630=""),"",COUNTIFS($M$3:$M$1002,M630,$G$3:$G$1002,"&lt;&gt;"&amp;SUBSTITUTE(SUBSTITUTE(G630,"?","~?"),"*","~*"),$G$3:$G$1002,"?*"))</f>
        <v/>
      </c>
      <c r="R630">
        <f>IF(Q630="","",IF(Q630&gt;0,"Yes","No"))</f>
        <v/>
      </c>
      <c r="S630">
        <f>IF(G630="","",COUNTIFS($G$3:$G$1002,SUBSTITUTE(SUBSTITUTE(G630,"?","~?"),"*","~*"),$J$3:$J$1002,"Primary"))</f>
        <v/>
      </c>
      <c r="T630">
        <f>IF(S630="","",IF(S630&gt;Settings!$B$4,"Yes","No"))</f>
        <v/>
      </c>
      <c r="U630">
        <f>IF(OR(G630="",B630=""),"",IF(COUNTIFS($G$3:$G$1002,SUBSTITUTE(SUBSTITUTE(G630,"?","~?"),"*","~*"),$B$3:$B$1002,"&lt;&gt;"&amp;SUBSTITUTE(SUBSTITUTE(B630,"?","~?"),"*","~*"),$B$3:$B$1002,"?*")&gt;0,"Yes","No"))</f>
        <v/>
      </c>
      <c r="V630">
        <f>IF(OR(G630="",I630="",O630="",O630="Unclassified"),"",IFERROR(INDEX(Settings!$E$5:$H$16,MATCH(I630,Settings!$D$5:$D$16,0),MATCH(O630,Settings!$E$4:$H$4,0)),"Check"))</f>
        <v/>
      </c>
      <c r="W630">
        <f>IF(V630="","",IF(V630="No","Yes","No"))</f>
        <v/>
      </c>
      <c r="X630">
        <f>IF(OR(E630="",G630=""),"",IF(LOWER(IF(RIGHT(TRIM(E630),1)="/",LEFT(TRIM(E630),LEN(TRIM(E630))-1),TRIM(E630)))&lt;&gt;LOWER(IF(RIGHT(TRIM(G630),1)="/",LEFT(TRIM(G630),LEN(TRIM(G630))-1),TRIM(G630))),"Yes","No"))</f>
        <v/>
      </c>
      <c r="Y630">
        <f>IF(A630="","",(N(Q630)&gt;0)+(T630="Yes")+(U630="Yes")+(W630="Yes")+(X630="Yes"))</f>
        <v/>
      </c>
      <c r="Z630">
        <f>IF(A630="","",IF(G630="","Not mapped",IF(Y630=0,"OK",MID(IF(N(Q630)&gt;0,"; Cannibalisation","")&amp;IF(T630="Yes","; Too many primary keywords on URL","")&amp;IF(U630="Yes","; URL spans 2+ clusters","")&amp;IF(W630="Yes","; Intent mismatch","")&amp;IF(X630="Yes","; Ranking URL is not the target",""),3,300))))</f>
        <v/>
      </c>
      <c r="AA630">
        <f>IF(G630="","",IF(COUNTIF($G$3:G630,SUBSTITUTE(SUBSTITUTE(G630,"?","~?"),"*","~*"))=1,MAX($AA$2:AA629)+1,""))</f>
        <v/>
      </c>
      <c r="AB630">
        <f>IF(B630="","",IF(COUNTIF($B$3:B630,SUBSTITUTE(SUBSTITUTE(B630,"?","~?"),"*","~*"))=1,MAX($AB$2:AB629)+1,""))</f>
        <v/>
      </c>
    </row>
    <row r="631">
      <c r="M631">
        <f>IF(A631="","",LOWER(TRIM(SUBSTITUTE(SUBSTITUTE(A631,"?",""),"*",""))))</f>
        <v/>
      </c>
      <c r="N631">
        <f>IF(M631="","",IF(SUMPRODUCT(ISNUMBER(SEARCH(" "&amp;Settings!$L$5:$L$124&amp;" "," "&amp;M631&amp;" "))*(Settings!$K$5:$K$124="Navigational")*(Settings!$L$5:$L$124&lt;&gt;""))&gt;0,"Navigational",IF(SUMPRODUCT(ISNUMBER(SEARCH(" "&amp;Settings!$L$5:$L$124&amp;" "," "&amp;M631&amp;" "))*(Settings!$K$5:$K$124="Transactional")*(Settings!$L$5:$L$124&lt;&gt;""))&gt;0,"Transactional",IF(SUMPRODUCT(ISNUMBER(SEARCH(" "&amp;Settings!$L$5:$L$124&amp;" "," "&amp;M631&amp;" "))*(Settings!$K$5:$K$124="Commercial")*(Settings!$L$5:$L$124&lt;&gt;""))&gt;0,"Commercial",IF(SUMPRODUCT(ISNUMBER(SEARCH(" "&amp;Settings!$L$5:$L$124&amp;" "," "&amp;M631&amp;" "))*(Settings!$K$5:$K$124="Informational")*(Settings!$L$5:$L$124&lt;&gt;""))&gt;0,"Informational","Unclassified")))))</f>
        <v/>
      </c>
      <c r="O631">
        <f>IF(A631="","",IF(K631&lt;&gt;"",PROPER(K631),N631))</f>
        <v/>
      </c>
      <c r="P631">
        <f>IF(A631="","",ROUND(Settings!$B$5*MIN(1,LOG10(N(C631)+1)/LOG10(Settings!$B$7+1))+Settings!$B$6*(1-MIN(100,IF(D631="",50,N(D631)))/100)+IFERROR(INDEX(Settings!$B$10:$B$14,MATCH(O631,Settings!$A$10:$A$14,0)),0),0))</f>
        <v/>
      </c>
      <c r="Q631">
        <f>IF(OR(A631="",G631=""),"",COUNTIFS($M$3:$M$1002,M631,$G$3:$G$1002,"&lt;&gt;"&amp;SUBSTITUTE(SUBSTITUTE(G631,"?","~?"),"*","~*"),$G$3:$G$1002,"?*"))</f>
        <v/>
      </c>
      <c r="R631">
        <f>IF(Q631="","",IF(Q631&gt;0,"Yes","No"))</f>
        <v/>
      </c>
      <c r="S631">
        <f>IF(G631="","",COUNTIFS($G$3:$G$1002,SUBSTITUTE(SUBSTITUTE(G631,"?","~?"),"*","~*"),$J$3:$J$1002,"Primary"))</f>
        <v/>
      </c>
      <c r="T631">
        <f>IF(S631="","",IF(S631&gt;Settings!$B$4,"Yes","No"))</f>
        <v/>
      </c>
      <c r="U631">
        <f>IF(OR(G631="",B631=""),"",IF(COUNTIFS($G$3:$G$1002,SUBSTITUTE(SUBSTITUTE(G631,"?","~?"),"*","~*"),$B$3:$B$1002,"&lt;&gt;"&amp;SUBSTITUTE(SUBSTITUTE(B631,"?","~?"),"*","~*"),$B$3:$B$1002,"?*")&gt;0,"Yes","No"))</f>
        <v/>
      </c>
      <c r="V631">
        <f>IF(OR(G631="",I631="",O631="",O631="Unclassified"),"",IFERROR(INDEX(Settings!$E$5:$H$16,MATCH(I631,Settings!$D$5:$D$16,0),MATCH(O631,Settings!$E$4:$H$4,0)),"Check"))</f>
        <v/>
      </c>
      <c r="W631">
        <f>IF(V631="","",IF(V631="No","Yes","No"))</f>
        <v/>
      </c>
      <c r="X631">
        <f>IF(OR(E631="",G631=""),"",IF(LOWER(IF(RIGHT(TRIM(E631),1)="/",LEFT(TRIM(E631),LEN(TRIM(E631))-1),TRIM(E631)))&lt;&gt;LOWER(IF(RIGHT(TRIM(G631),1)="/",LEFT(TRIM(G631),LEN(TRIM(G631))-1),TRIM(G631))),"Yes","No"))</f>
        <v/>
      </c>
      <c r="Y631">
        <f>IF(A631="","",(N(Q631)&gt;0)+(T631="Yes")+(U631="Yes")+(W631="Yes")+(X631="Yes"))</f>
        <v/>
      </c>
      <c r="Z631">
        <f>IF(A631="","",IF(G631="","Not mapped",IF(Y631=0,"OK",MID(IF(N(Q631)&gt;0,"; Cannibalisation","")&amp;IF(T631="Yes","; Too many primary keywords on URL","")&amp;IF(U631="Yes","; URL spans 2+ clusters","")&amp;IF(W631="Yes","; Intent mismatch","")&amp;IF(X631="Yes","; Ranking URL is not the target",""),3,300))))</f>
        <v/>
      </c>
      <c r="AA631">
        <f>IF(G631="","",IF(COUNTIF($G$3:G631,SUBSTITUTE(SUBSTITUTE(G631,"?","~?"),"*","~*"))=1,MAX($AA$2:AA630)+1,""))</f>
        <v/>
      </c>
      <c r="AB631">
        <f>IF(B631="","",IF(COUNTIF($B$3:B631,SUBSTITUTE(SUBSTITUTE(B631,"?","~?"),"*","~*"))=1,MAX($AB$2:AB630)+1,""))</f>
        <v/>
      </c>
    </row>
    <row r="632">
      <c r="M632">
        <f>IF(A632="","",LOWER(TRIM(SUBSTITUTE(SUBSTITUTE(A632,"?",""),"*",""))))</f>
        <v/>
      </c>
      <c r="N632">
        <f>IF(M632="","",IF(SUMPRODUCT(ISNUMBER(SEARCH(" "&amp;Settings!$L$5:$L$124&amp;" "," "&amp;M632&amp;" "))*(Settings!$K$5:$K$124="Navigational")*(Settings!$L$5:$L$124&lt;&gt;""))&gt;0,"Navigational",IF(SUMPRODUCT(ISNUMBER(SEARCH(" "&amp;Settings!$L$5:$L$124&amp;" "," "&amp;M632&amp;" "))*(Settings!$K$5:$K$124="Transactional")*(Settings!$L$5:$L$124&lt;&gt;""))&gt;0,"Transactional",IF(SUMPRODUCT(ISNUMBER(SEARCH(" "&amp;Settings!$L$5:$L$124&amp;" "," "&amp;M632&amp;" "))*(Settings!$K$5:$K$124="Commercial")*(Settings!$L$5:$L$124&lt;&gt;""))&gt;0,"Commercial",IF(SUMPRODUCT(ISNUMBER(SEARCH(" "&amp;Settings!$L$5:$L$124&amp;" "," "&amp;M632&amp;" "))*(Settings!$K$5:$K$124="Informational")*(Settings!$L$5:$L$124&lt;&gt;""))&gt;0,"Informational","Unclassified")))))</f>
        <v/>
      </c>
      <c r="O632">
        <f>IF(A632="","",IF(K632&lt;&gt;"",PROPER(K632),N632))</f>
        <v/>
      </c>
      <c r="P632">
        <f>IF(A632="","",ROUND(Settings!$B$5*MIN(1,LOG10(N(C632)+1)/LOG10(Settings!$B$7+1))+Settings!$B$6*(1-MIN(100,IF(D632="",50,N(D632)))/100)+IFERROR(INDEX(Settings!$B$10:$B$14,MATCH(O632,Settings!$A$10:$A$14,0)),0),0))</f>
        <v/>
      </c>
      <c r="Q632">
        <f>IF(OR(A632="",G632=""),"",COUNTIFS($M$3:$M$1002,M632,$G$3:$G$1002,"&lt;&gt;"&amp;SUBSTITUTE(SUBSTITUTE(G632,"?","~?"),"*","~*"),$G$3:$G$1002,"?*"))</f>
        <v/>
      </c>
      <c r="R632">
        <f>IF(Q632="","",IF(Q632&gt;0,"Yes","No"))</f>
        <v/>
      </c>
      <c r="S632">
        <f>IF(G632="","",COUNTIFS($G$3:$G$1002,SUBSTITUTE(SUBSTITUTE(G632,"?","~?"),"*","~*"),$J$3:$J$1002,"Primary"))</f>
        <v/>
      </c>
      <c r="T632">
        <f>IF(S632="","",IF(S632&gt;Settings!$B$4,"Yes","No"))</f>
        <v/>
      </c>
      <c r="U632">
        <f>IF(OR(G632="",B632=""),"",IF(COUNTIFS($G$3:$G$1002,SUBSTITUTE(SUBSTITUTE(G632,"?","~?"),"*","~*"),$B$3:$B$1002,"&lt;&gt;"&amp;SUBSTITUTE(SUBSTITUTE(B632,"?","~?"),"*","~*"),$B$3:$B$1002,"?*")&gt;0,"Yes","No"))</f>
        <v/>
      </c>
      <c r="V632">
        <f>IF(OR(G632="",I632="",O632="",O632="Unclassified"),"",IFERROR(INDEX(Settings!$E$5:$H$16,MATCH(I632,Settings!$D$5:$D$16,0),MATCH(O632,Settings!$E$4:$H$4,0)),"Check"))</f>
        <v/>
      </c>
      <c r="W632">
        <f>IF(V632="","",IF(V632="No","Yes","No"))</f>
        <v/>
      </c>
      <c r="X632">
        <f>IF(OR(E632="",G632=""),"",IF(LOWER(IF(RIGHT(TRIM(E632),1)="/",LEFT(TRIM(E632),LEN(TRIM(E632))-1),TRIM(E632)))&lt;&gt;LOWER(IF(RIGHT(TRIM(G632),1)="/",LEFT(TRIM(G632),LEN(TRIM(G632))-1),TRIM(G632))),"Yes","No"))</f>
        <v/>
      </c>
      <c r="Y632">
        <f>IF(A632="","",(N(Q632)&gt;0)+(T632="Yes")+(U632="Yes")+(W632="Yes")+(X632="Yes"))</f>
        <v/>
      </c>
      <c r="Z632">
        <f>IF(A632="","",IF(G632="","Not mapped",IF(Y632=0,"OK",MID(IF(N(Q632)&gt;0,"; Cannibalisation","")&amp;IF(T632="Yes","; Too many primary keywords on URL","")&amp;IF(U632="Yes","; URL spans 2+ clusters","")&amp;IF(W632="Yes","; Intent mismatch","")&amp;IF(X632="Yes","; Ranking URL is not the target",""),3,300))))</f>
        <v/>
      </c>
      <c r="AA632">
        <f>IF(G632="","",IF(COUNTIF($G$3:G632,SUBSTITUTE(SUBSTITUTE(G632,"?","~?"),"*","~*"))=1,MAX($AA$2:AA631)+1,""))</f>
        <v/>
      </c>
      <c r="AB632">
        <f>IF(B632="","",IF(COUNTIF($B$3:B632,SUBSTITUTE(SUBSTITUTE(B632,"?","~?"),"*","~*"))=1,MAX($AB$2:AB631)+1,""))</f>
        <v/>
      </c>
    </row>
    <row r="633">
      <c r="M633">
        <f>IF(A633="","",LOWER(TRIM(SUBSTITUTE(SUBSTITUTE(A633,"?",""),"*",""))))</f>
        <v/>
      </c>
      <c r="N633">
        <f>IF(M633="","",IF(SUMPRODUCT(ISNUMBER(SEARCH(" "&amp;Settings!$L$5:$L$124&amp;" "," "&amp;M633&amp;" "))*(Settings!$K$5:$K$124="Navigational")*(Settings!$L$5:$L$124&lt;&gt;""))&gt;0,"Navigational",IF(SUMPRODUCT(ISNUMBER(SEARCH(" "&amp;Settings!$L$5:$L$124&amp;" "," "&amp;M633&amp;" "))*(Settings!$K$5:$K$124="Transactional")*(Settings!$L$5:$L$124&lt;&gt;""))&gt;0,"Transactional",IF(SUMPRODUCT(ISNUMBER(SEARCH(" "&amp;Settings!$L$5:$L$124&amp;" "," "&amp;M633&amp;" "))*(Settings!$K$5:$K$124="Commercial")*(Settings!$L$5:$L$124&lt;&gt;""))&gt;0,"Commercial",IF(SUMPRODUCT(ISNUMBER(SEARCH(" "&amp;Settings!$L$5:$L$124&amp;" "," "&amp;M633&amp;" "))*(Settings!$K$5:$K$124="Informational")*(Settings!$L$5:$L$124&lt;&gt;""))&gt;0,"Informational","Unclassified")))))</f>
        <v/>
      </c>
      <c r="O633">
        <f>IF(A633="","",IF(K633&lt;&gt;"",PROPER(K633),N633))</f>
        <v/>
      </c>
      <c r="P633">
        <f>IF(A633="","",ROUND(Settings!$B$5*MIN(1,LOG10(N(C633)+1)/LOG10(Settings!$B$7+1))+Settings!$B$6*(1-MIN(100,IF(D633="",50,N(D633)))/100)+IFERROR(INDEX(Settings!$B$10:$B$14,MATCH(O633,Settings!$A$10:$A$14,0)),0),0))</f>
        <v/>
      </c>
      <c r="Q633">
        <f>IF(OR(A633="",G633=""),"",COUNTIFS($M$3:$M$1002,M633,$G$3:$G$1002,"&lt;&gt;"&amp;SUBSTITUTE(SUBSTITUTE(G633,"?","~?"),"*","~*"),$G$3:$G$1002,"?*"))</f>
        <v/>
      </c>
      <c r="R633">
        <f>IF(Q633="","",IF(Q633&gt;0,"Yes","No"))</f>
        <v/>
      </c>
      <c r="S633">
        <f>IF(G633="","",COUNTIFS($G$3:$G$1002,SUBSTITUTE(SUBSTITUTE(G633,"?","~?"),"*","~*"),$J$3:$J$1002,"Primary"))</f>
        <v/>
      </c>
      <c r="T633">
        <f>IF(S633="","",IF(S633&gt;Settings!$B$4,"Yes","No"))</f>
        <v/>
      </c>
      <c r="U633">
        <f>IF(OR(G633="",B633=""),"",IF(COUNTIFS($G$3:$G$1002,SUBSTITUTE(SUBSTITUTE(G633,"?","~?"),"*","~*"),$B$3:$B$1002,"&lt;&gt;"&amp;SUBSTITUTE(SUBSTITUTE(B633,"?","~?"),"*","~*"),$B$3:$B$1002,"?*")&gt;0,"Yes","No"))</f>
        <v/>
      </c>
      <c r="V633">
        <f>IF(OR(G633="",I633="",O633="",O633="Unclassified"),"",IFERROR(INDEX(Settings!$E$5:$H$16,MATCH(I633,Settings!$D$5:$D$16,0),MATCH(O633,Settings!$E$4:$H$4,0)),"Check"))</f>
        <v/>
      </c>
      <c r="W633">
        <f>IF(V633="","",IF(V633="No","Yes","No"))</f>
        <v/>
      </c>
      <c r="X633">
        <f>IF(OR(E633="",G633=""),"",IF(LOWER(IF(RIGHT(TRIM(E633),1)="/",LEFT(TRIM(E633),LEN(TRIM(E633))-1),TRIM(E633)))&lt;&gt;LOWER(IF(RIGHT(TRIM(G633),1)="/",LEFT(TRIM(G633),LEN(TRIM(G633))-1),TRIM(G633))),"Yes","No"))</f>
        <v/>
      </c>
      <c r="Y633">
        <f>IF(A633="","",(N(Q633)&gt;0)+(T633="Yes")+(U633="Yes")+(W633="Yes")+(X633="Yes"))</f>
        <v/>
      </c>
      <c r="Z633">
        <f>IF(A633="","",IF(G633="","Not mapped",IF(Y633=0,"OK",MID(IF(N(Q633)&gt;0,"; Cannibalisation","")&amp;IF(T633="Yes","; Too many primary keywords on URL","")&amp;IF(U633="Yes","; URL spans 2+ clusters","")&amp;IF(W633="Yes","; Intent mismatch","")&amp;IF(X633="Yes","; Ranking URL is not the target",""),3,300))))</f>
        <v/>
      </c>
      <c r="AA633">
        <f>IF(G633="","",IF(COUNTIF($G$3:G633,SUBSTITUTE(SUBSTITUTE(G633,"?","~?"),"*","~*"))=1,MAX($AA$2:AA632)+1,""))</f>
        <v/>
      </c>
      <c r="AB633">
        <f>IF(B633="","",IF(COUNTIF($B$3:B633,SUBSTITUTE(SUBSTITUTE(B633,"?","~?"),"*","~*"))=1,MAX($AB$2:AB632)+1,""))</f>
        <v/>
      </c>
    </row>
    <row r="634">
      <c r="M634">
        <f>IF(A634="","",LOWER(TRIM(SUBSTITUTE(SUBSTITUTE(A634,"?",""),"*",""))))</f>
        <v/>
      </c>
      <c r="N634">
        <f>IF(M634="","",IF(SUMPRODUCT(ISNUMBER(SEARCH(" "&amp;Settings!$L$5:$L$124&amp;" "," "&amp;M634&amp;" "))*(Settings!$K$5:$K$124="Navigational")*(Settings!$L$5:$L$124&lt;&gt;""))&gt;0,"Navigational",IF(SUMPRODUCT(ISNUMBER(SEARCH(" "&amp;Settings!$L$5:$L$124&amp;" "," "&amp;M634&amp;" "))*(Settings!$K$5:$K$124="Transactional")*(Settings!$L$5:$L$124&lt;&gt;""))&gt;0,"Transactional",IF(SUMPRODUCT(ISNUMBER(SEARCH(" "&amp;Settings!$L$5:$L$124&amp;" "," "&amp;M634&amp;" "))*(Settings!$K$5:$K$124="Commercial")*(Settings!$L$5:$L$124&lt;&gt;""))&gt;0,"Commercial",IF(SUMPRODUCT(ISNUMBER(SEARCH(" "&amp;Settings!$L$5:$L$124&amp;" "," "&amp;M634&amp;" "))*(Settings!$K$5:$K$124="Informational")*(Settings!$L$5:$L$124&lt;&gt;""))&gt;0,"Informational","Unclassified")))))</f>
        <v/>
      </c>
      <c r="O634">
        <f>IF(A634="","",IF(K634&lt;&gt;"",PROPER(K634),N634))</f>
        <v/>
      </c>
      <c r="P634">
        <f>IF(A634="","",ROUND(Settings!$B$5*MIN(1,LOG10(N(C634)+1)/LOG10(Settings!$B$7+1))+Settings!$B$6*(1-MIN(100,IF(D634="",50,N(D634)))/100)+IFERROR(INDEX(Settings!$B$10:$B$14,MATCH(O634,Settings!$A$10:$A$14,0)),0),0))</f>
        <v/>
      </c>
      <c r="Q634">
        <f>IF(OR(A634="",G634=""),"",COUNTIFS($M$3:$M$1002,M634,$G$3:$G$1002,"&lt;&gt;"&amp;SUBSTITUTE(SUBSTITUTE(G634,"?","~?"),"*","~*"),$G$3:$G$1002,"?*"))</f>
        <v/>
      </c>
      <c r="R634">
        <f>IF(Q634="","",IF(Q634&gt;0,"Yes","No"))</f>
        <v/>
      </c>
      <c r="S634">
        <f>IF(G634="","",COUNTIFS($G$3:$G$1002,SUBSTITUTE(SUBSTITUTE(G634,"?","~?"),"*","~*"),$J$3:$J$1002,"Primary"))</f>
        <v/>
      </c>
      <c r="T634">
        <f>IF(S634="","",IF(S634&gt;Settings!$B$4,"Yes","No"))</f>
        <v/>
      </c>
      <c r="U634">
        <f>IF(OR(G634="",B634=""),"",IF(COUNTIFS($G$3:$G$1002,SUBSTITUTE(SUBSTITUTE(G634,"?","~?"),"*","~*"),$B$3:$B$1002,"&lt;&gt;"&amp;SUBSTITUTE(SUBSTITUTE(B634,"?","~?"),"*","~*"),$B$3:$B$1002,"?*")&gt;0,"Yes","No"))</f>
        <v/>
      </c>
      <c r="V634">
        <f>IF(OR(G634="",I634="",O634="",O634="Unclassified"),"",IFERROR(INDEX(Settings!$E$5:$H$16,MATCH(I634,Settings!$D$5:$D$16,0),MATCH(O634,Settings!$E$4:$H$4,0)),"Check"))</f>
        <v/>
      </c>
      <c r="W634">
        <f>IF(V634="","",IF(V634="No","Yes","No"))</f>
        <v/>
      </c>
      <c r="X634">
        <f>IF(OR(E634="",G634=""),"",IF(LOWER(IF(RIGHT(TRIM(E634),1)="/",LEFT(TRIM(E634),LEN(TRIM(E634))-1),TRIM(E634)))&lt;&gt;LOWER(IF(RIGHT(TRIM(G634),1)="/",LEFT(TRIM(G634),LEN(TRIM(G634))-1),TRIM(G634))),"Yes","No"))</f>
        <v/>
      </c>
      <c r="Y634">
        <f>IF(A634="","",(N(Q634)&gt;0)+(T634="Yes")+(U634="Yes")+(W634="Yes")+(X634="Yes"))</f>
        <v/>
      </c>
      <c r="Z634">
        <f>IF(A634="","",IF(G634="","Not mapped",IF(Y634=0,"OK",MID(IF(N(Q634)&gt;0,"; Cannibalisation","")&amp;IF(T634="Yes","; Too many primary keywords on URL","")&amp;IF(U634="Yes","; URL spans 2+ clusters","")&amp;IF(W634="Yes","; Intent mismatch","")&amp;IF(X634="Yes","; Ranking URL is not the target",""),3,300))))</f>
        <v/>
      </c>
      <c r="AA634">
        <f>IF(G634="","",IF(COUNTIF($G$3:G634,SUBSTITUTE(SUBSTITUTE(G634,"?","~?"),"*","~*"))=1,MAX($AA$2:AA633)+1,""))</f>
        <v/>
      </c>
      <c r="AB634">
        <f>IF(B634="","",IF(COUNTIF($B$3:B634,SUBSTITUTE(SUBSTITUTE(B634,"?","~?"),"*","~*"))=1,MAX($AB$2:AB633)+1,""))</f>
        <v/>
      </c>
    </row>
    <row r="635">
      <c r="M635">
        <f>IF(A635="","",LOWER(TRIM(SUBSTITUTE(SUBSTITUTE(A635,"?",""),"*",""))))</f>
        <v/>
      </c>
      <c r="N635">
        <f>IF(M635="","",IF(SUMPRODUCT(ISNUMBER(SEARCH(" "&amp;Settings!$L$5:$L$124&amp;" "," "&amp;M635&amp;" "))*(Settings!$K$5:$K$124="Navigational")*(Settings!$L$5:$L$124&lt;&gt;""))&gt;0,"Navigational",IF(SUMPRODUCT(ISNUMBER(SEARCH(" "&amp;Settings!$L$5:$L$124&amp;" "," "&amp;M635&amp;" "))*(Settings!$K$5:$K$124="Transactional")*(Settings!$L$5:$L$124&lt;&gt;""))&gt;0,"Transactional",IF(SUMPRODUCT(ISNUMBER(SEARCH(" "&amp;Settings!$L$5:$L$124&amp;" "," "&amp;M635&amp;" "))*(Settings!$K$5:$K$124="Commercial")*(Settings!$L$5:$L$124&lt;&gt;""))&gt;0,"Commercial",IF(SUMPRODUCT(ISNUMBER(SEARCH(" "&amp;Settings!$L$5:$L$124&amp;" "," "&amp;M635&amp;" "))*(Settings!$K$5:$K$124="Informational")*(Settings!$L$5:$L$124&lt;&gt;""))&gt;0,"Informational","Unclassified")))))</f>
        <v/>
      </c>
      <c r="O635">
        <f>IF(A635="","",IF(K635&lt;&gt;"",PROPER(K635),N635))</f>
        <v/>
      </c>
      <c r="P635">
        <f>IF(A635="","",ROUND(Settings!$B$5*MIN(1,LOG10(N(C635)+1)/LOG10(Settings!$B$7+1))+Settings!$B$6*(1-MIN(100,IF(D635="",50,N(D635)))/100)+IFERROR(INDEX(Settings!$B$10:$B$14,MATCH(O635,Settings!$A$10:$A$14,0)),0),0))</f>
        <v/>
      </c>
      <c r="Q635">
        <f>IF(OR(A635="",G635=""),"",COUNTIFS($M$3:$M$1002,M635,$G$3:$G$1002,"&lt;&gt;"&amp;SUBSTITUTE(SUBSTITUTE(G635,"?","~?"),"*","~*"),$G$3:$G$1002,"?*"))</f>
        <v/>
      </c>
      <c r="R635">
        <f>IF(Q635="","",IF(Q635&gt;0,"Yes","No"))</f>
        <v/>
      </c>
      <c r="S635">
        <f>IF(G635="","",COUNTIFS($G$3:$G$1002,SUBSTITUTE(SUBSTITUTE(G635,"?","~?"),"*","~*"),$J$3:$J$1002,"Primary"))</f>
        <v/>
      </c>
      <c r="T635">
        <f>IF(S635="","",IF(S635&gt;Settings!$B$4,"Yes","No"))</f>
        <v/>
      </c>
      <c r="U635">
        <f>IF(OR(G635="",B635=""),"",IF(COUNTIFS($G$3:$G$1002,SUBSTITUTE(SUBSTITUTE(G635,"?","~?"),"*","~*"),$B$3:$B$1002,"&lt;&gt;"&amp;SUBSTITUTE(SUBSTITUTE(B635,"?","~?"),"*","~*"),$B$3:$B$1002,"?*")&gt;0,"Yes","No"))</f>
        <v/>
      </c>
      <c r="V635">
        <f>IF(OR(G635="",I635="",O635="",O635="Unclassified"),"",IFERROR(INDEX(Settings!$E$5:$H$16,MATCH(I635,Settings!$D$5:$D$16,0),MATCH(O635,Settings!$E$4:$H$4,0)),"Check"))</f>
        <v/>
      </c>
      <c r="W635">
        <f>IF(V635="","",IF(V635="No","Yes","No"))</f>
        <v/>
      </c>
      <c r="X635">
        <f>IF(OR(E635="",G635=""),"",IF(LOWER(IF(RIGHT(TRIM(E635),1)="/",LEFT(TRIM(E635),LEN(TRIM(E635))-1),TRIM(E635)))&lt;&gt;LOWER(IF(RIGHT(TRIM(G635),1)="/",LEFT(TRIM(G635),LEN(TRIM(G635))-1),TRIM(G635))),"Yes","No"))</f>
        <v/>
      </c>
      <c r="Y635">
        <f>IF(A635="","",(N(Q635)&gt;0)+(T635="Yes")+(U635="Yes")+(W635="Yes")+(X635="Yes"))</f>
        <v/>
      </c>
      <c r="Z635">
        <f>IF(A635="","",IF(G635="","Not mapped",IF(Y635=0,"OK",MID(IF(N(Q635)&gt;0,"; Cannibalisation","")&amp;IF(T635="Yes","; Too many primary keywords on URL","")&amp;IF(U635="Yes","; URL spans 2+ clusters","")&amp;IF(W635="Yes","; Intent mismatch","")&amp;IF(X635="Yes","; Ranking URL is not the target",""),3,300))))</f>
        <v/>
      </c>
      <c r="AA635">
        <f>IF(G635="","",IF(COUNTIF($G$3:G635,SUBSTITUTE(SUBSTITUTE(G635,"?","~?"),"*","~*"))=1,MAX($AA$2:AA634)+1,""))</f>
        <v/>
      </c>
      <c r="AB635">
        <f>IF(B635="","",IF(COUNTIF($B$3:B635,SUBSTITUTE(SUBSTITUTE(B635,"?","~?"),"*","~*"))=1,MAX($AB$2:AB634)+1,""))</f>
        <v/>
      </c>
    </row>
    <row r="636">
      <c r="M636">
        <f>IF(A636="","",LOWER(TRIM(SUBSTITUTE(SUBSTITUTE(A636,"?",""),"*",""))))</f>
        <v/>
      </c>
      <c r="N636">
        <f>IF(M636="","",IF(SUMPRODUCT(ISNUMBER(SEARCH(" "&amp;Settings!$L$5:$L$124&amp;" "," "&amp;M636&amp;" "))*(Settings!$K$5:$K$124="Navigational")*(Settings!$L$5:$L$124&lt;&gt;""))&gt;0,"Navigational",IF(SUMPRODUCT(ISNUMBER(SEARCH(" "&amp;Settings!$L$5:$L$124&amp;" "," "&amp;M636&amp;" "))*(Settings!$K$5:$K$124="Transactional")*(Settings!$L$5:$L$124&lt;&gt;""))&gt;0,"Transactional",IF(SUMPRODUCT(ISNUMBER(SEARCH(" "&amp;Settings!$L$5:$L$124&amp;" "," "&amp;M636&amp;" "))*(Settings!$K$5:$K$124="Commercial")*(Settings!$L$5:$L$124&lt;&gt;""))&gt;0,"Commercial",IF(SUMPRODUCT(ISNUMBER(SEARCH(" "&amp;Settings!$L$5:$L$124&amp;" "," "&amp;M636&amp;" "))*(Settings!$K$5:$K$124="Informational")*(Settings!$L$5:$L$124&lt;&gt;""))&gt;0,"Informational","Unclassified")))))</f>
        <v/>
      </c>
      <c r="O636">
        <f>IF(A636="","",IF(K636&lt;&gt;"",PROPER(K636),N636))</f>
        <v/>
      </c>
      <c r="P636">
        <f>IF(A636="","",ROUND(Settings!$B$5*MIN(1,LOG10(N(C636)+1)/LOG10(Settings!$B$7+1))+Settings!$B$6*(1-MIN(100,IF(D636="",50,N(D636)))/100)+IFERROR(INDEX(Settings!$B$10:$B$14,MATCH(O636,Settings!$A$10:$A$14,0)),0),0))</f>
        <v/>
      </c>
      <c r="Q636">
        <f>IF(OR(A636="",G636=""),"",COUNTIFS($M$3:$M$1002,M636,$G$3:$G$1002,"&lt;&gt;"&amp;SUBSTITUTE(SUBSTITUTE(G636,"?","~?"),"*","~*"),$G$3:$G$1002,"?*"))</f>
        <v/>
      </c>
      <c r="R636">
        <f>IF(Q636="","",IF(Q636&gt;0,"Yes","No"))</f>
        <v/>
      </c>
      <c r="S636">
        <f>IF(G636="","",COUNTIFS($G$3:$G$1002,SUBSTITUTE(SUBSTITUTE(G636,"?","~?"),"*","~*"),$J$3:$J$1002,"Primary"))</f>
        <v/>
      </c>
      <c r="T636">
        <f>IF(S636="","",IF(S636&gt;Settings!$B$4,"Yes","No"))</f>
        <v/>
      </c>
      <c r="U636">
        <f>IF(OR(G636="",B636=""),"",IF(COUNTIFS($G$3:$G$1002,SUBSTITUTE(SUBSTITUTE(G636,"?","~?"),"*","~*"),$B$3:$B$1002,"&lt;&gt;"&amp;SUBSTITUTE(SUBSTITUTE(B636,"?","~?"),"*","~*"),$B$3:$B$1002,"?*")&gt;0,"Yes","No"))</f>
        <v/>
      </c>
      <c r="V636">
        <f>IF(OR(G636="",I636="",O636="",O636="Unclassified"),"",IFERROR(INDEX(Settings!$E$5:$H$16,MATCH(I636,Settings!$D$5:$D$16,0),MATCH(O636,Settings!$E$4:$H$4,0)),"Check"))</f>
        <v/>
      </c>
      <c r="W636">
        <f>IF(V636="","",IF(V636="No","Yes","No"))</f>
        <v/>
      </c>
      <c r="X636">
        <f>IF(OR(E636="",G636=""),"",IF(LOWER(IF(RIGHT(TRIM(E636),1)="/",LEFT(TRIM(E636),LEN(TRIM(E636))-1),TRIM(E636)))&lt;&gt;LOWER(IF(RIGHT(TRIM(G636),1)="/",LEFT(TRIM(G636),LEN(TRIM(G636))-1),TRIM(G636))),"Yes","No"))</f>
        <v/>
      </c>
      <c r="Y636">
        <f>IF(A636="","",(N(Q636)&gt;0)+(T636="Yes")+(U636="Yes")+(W636="Yes")+(X636="Yes"))</f>
        <v/>
      </c>
      <c r="Z636">
        <f>IF(A636="","",IF(G636="","Not mapped",IF(Y636=0,"OK",MID(IF(N(Q636)&gt;0,"; Cannibalisation","")&amp;IF(T636="Yes","; Too many primary keywords on URL","")&amp;IF(U636="Yes","; URL spans 2+ clusters","")&amp;IF(W636="Yes","; Intent mismatch","")&amp;IF(X636="Yes","; Ranking URL is not the target",""),3,300))))</f>
        <v/>
      </c>
      <c r="AA636">
        <f>IF(G636="","",IF(COUNTIF($G$3:G636,SUBSTITUTE(SUBSTITUTE(G636,"?","~?"),"*","~*"))=1,MAX($AA$2:AA635)+1,""))</f>
        <v/>
      </c>
      <c r="AB636">
        <f>IF(B636="","",IF(COUNTIF($B$3:B636,SUBSTITUTE(SUBSTITUTE(B636,"?","~?"),"*","~*"))=1,MAX($AB$2:AB635)+1,""))</f>
        <v/>
      </c>
    </row>
    <row r="637">
      <c r="M637">
        <f>IF(A637="","",LOWER(TRIM(SUBSTITUTE(SUBSTITUTE(A637,"?",""),"*",""))))</f>
        <v/>
      </c>
      <c r="N637">
        <f>IF(M637="","",IF(SUMPRODUCT(ISNUMBER(SEARCH(" "&amp;Settings!$L$5:$L$124&amp;" "," "&amp;M637&amp;" "))*(Settings!$K$5:$K$124="Navigational")*(Settings!$L$5:$L$124&lt;&gt;""))&gt;0,"Navigational",IF(SUMPRODUCT(ISNUMBER(SEARCH(" "&amp;Settings!$L$5:$L$124&amp;" "," "&amp;M637&amp;" "))*(Settings!$K$5:$K$124="Transactional")*(Settings!$L$5:$L$124&lt;&gt;""))&gt;0,"Transactional",IF(SUMPRODUCT(ISNUMBER(SEARCH(" "&amp;Settings!$L$5:$L$124&amp;" "," "&amp;M637&amp;" "))*(Settings!$K$5:$K$124="Commercial")*(Settings!$L$5:$L$124&lt;&gt;""))&gt;0,"Commercial",IF(SUMPRODUCT(ISNUMBER(SEARCH(" "&amp;Settings!$L$5:$L$124&amp;" "," "&amp;M637&amp;" "))*(Settings!$K$5:$K$124="Informational")*(Settings!$L$5:$L$124&lt;&gt;""))&gt;0,"Informational","Unclassified")))))</f>
        <v/>
      </c>
      <c r="O637">
        <f>IF(A637="","",IF(K637&lt;&gt;"",PROPER(K637),N637))</f>
        <v/>
      </c>
      <c r="P637">
        <f>IF(A637="","",ROUND(Settings!$B$5*MIN(1,LOG10(N(C637)+1)/LOG10(Settings!$B$7+1))+Settings!$B$6*(1-MIN(100,IF(D637="",50,N(D637)))/100)+IFERROR(INDEX(Settings!$B$10:$B$14,MATCH(O637,Settings!$A$10:$A$14,0)),0),0))</f>
        <v/>
      </c>
      <c r="Q637">
        <f>IF(OR(A637="",G637=""),"",COUNTIFS($M$3:$M$1002,M637,$G$3:$G$1002,"&lt;&gt;"&amp;SUBSTITUTE(SUBSTITUTE(G637,"?","~?"),"*","~*"),$G$3:$G$1002,"?*"))</f>
        <v/>
      </c>
      <c r="R637">
        <f>IF(Q637="","",IF(Q637&gt;0,"Yes","No"))</f>
        <v/>
      </c>
      <c r="S637">
        <f>IF(G637="","",COUNTIFS($G$3:$G$1002,SUBSTITUTE(SUBSTITUTE(G637,"?","~?"),"*","~*"),$J$3:$J$1002,"Primary"))</f>
        <v/>
      </c>
      <c r="T637">
        <f>IF(S637="","",IF(S637&gt;Settings!$B$4,"Yes","No"))</f>
        <v/>
      </c>
      <c r="U637">
        <f>IF(OR(G637="",B637=""),"",IF(COUNTIFS($G$3:$G$1002,SUBSTITUTE(SUBSTITUTE(G637,"?","~?"),"*","~*"),$B$3:$B$1002,"&lt;&gt;"&amp;SUBSTITUTE(SUBSTITUTE(B637,"?","~?"),"*","~*"),$B$3:$B$1002,"?*")&gt;0,"Yes","No"))</f>
        <v/>
      </c>
      <c r="V637">
        <f>IF(OR(G637="",I637="",O637="",O637="Unclassified"),"",IFERROR(INDEX(Settings!$E$5:$H$16,MATCH(I637,Settings!$D$5:$D$16,0),MATCH(O637,Settings!$E$4:$H$4,0)),"Check"))</f>
        <v/>
      </c>
      <c r="W637">
        <f>IF(V637="","",IF(V637="No","Yes","No"))</f>
        <v/>
      </c>
      <c r="X637">
        <f>IF(OR(E637="",G637=""),"",IF(LOWER(IF(RIGHT(TRIM(E637),1)="/",LEFT(TRIM(E637),LEN(TRIM(E637))-1),TRIM(E637)))&lt;&gt;LOWER(IF(RIGHT(TRIM(G637),1)="/",LEFT(TRIM(G637),LEN(TRIM(G637))-1),TRIM(G637))),"Yes","No"))</f>
        <v/>
      </c>
      <c r="Y637">
        <f>IF(A637="","",(N(Q637)&gt;0)+(T637="Yes")+(U637="Yes")+(W637="Yes")+(X637="Yes"))</f>
        <v/>
      </c>
      <c r="Z637">
        <f>IF(A637="","",IF(G637="","Not mapped",IF(Y637=0,"OK",MID(IF(N(Q637)&gt;0,"; Cannibalisation","")&amp;IF(T637="Yes","; Too many primary keywords on URL","")&amp;IF(U637="Yes","; URL spans 2+ clusters","")&amp;IF(W637="Yes","; Intent mismatch","")&amp;IF(X637="Yes","; Ranking URL is not the target",""),3,300))))</f>
        <v/>
      </c>
      <c r="AA637">
        <f>IF(G637="","",IF(COUNTIF($G$3:G637,SUBSTITUTE(SUBSTITUTE(G637,"?","~?"),"*","~*"))=1,MAX($AA$2:AA636)+1,""))</f>
        <v/>
      </c>
      <c r="AB637">
        <f>IF(B637="","",IF(COUNTIF($B$3:B637,SUBSTITUTE(SUBSTITUTE(B637,"?","~?"),"*","~*"))=1,MAX($AB$2:AB636)+1,""))</f>
        <v/>
      </c>
    </row>
    <row r="638">
      <c r="M638">
        <f>IF(A638="","",LOWER(TRIM(SUBSTITUTE(SUBSTITUTE(A638,"?",""),"*",""))))</f>
        <v/>
      </c>
      <c r="N638">
        <f>IF(M638="","",IF(SUMPRODUCT(ISNUMBER(SEARCH(" "&amp;Settings!$L$5:$L$124&amp;" "," "&amp;M638&amp;" "))*(Settings!$K$5:$K$124="Navigational")*(Settings!$L$5:$L$124&lt;&gt;""))&gt;0,"Navigational",IF(SUMPRODUCT(ISNUMBER(SEARCH(" "&amp;Settings!$L$5:$L$124&amp;" "," "&amp;M638&amp;" "))*(Settings!$K$5:$K$124="Transactional")*(Settings!$L$5:$L$124&lt;&gt;""))&gt;0,"Transactional",IF(SUMPRODUCT(ISNUMBER(SEARCH(" "&amp;Settings!$L$5:$L$124&amp;" "," "&amp;M638&amp;" "))*(Settings!$K$5:$K$124="Commercial")*(Settings!$L$5:$L$124&lt;&gt;""))&gt;0,"Commercial",IF(SUMPRODUCT(ISNUMBER(SEARCH(" "&amp;Settings!$L$5:$L$124&amp;" "," "&amp;M638&amp;" "))*(Settings!$K$5:$K$124="Informational")*(Settings!$L$5:$L$124&lt;&gt;""))&gt;0,"Informational","Unclassified")))))</f>
        <v/>
      </c>
      <c r="O638">
        <f>IF(A638="","",IF(K638&lt;&gt;"",PROPER(K638),N638))</f>
        <v/>
      </c>
      <c r="P638">
        <f>IF(A638="","",ROUND(Settings!$B$5*MIN(1,LOG10(N(C638)+1)/LOG10(Settings!$B$7+1))+Settings!$B$6*(1-MIN(100,IF(D638="",50,N(D638)))/100)+IFERROR(INDEX(Settings!$B$10:$B$14,MATCH(O638,Settings!$A$10:$A$14,0)),0),0))</f>
        <v/>
      </c>
      <c r="Q638">
        <f>IF(OR(A638="",G638=""),"",COUNTIFS($M$3:$M$1002,M638,$G$3:$G$1002,"&lt;&gt;"&amp;SUBSTITUTE(SUBSTITUTE(G638,"?","~?"),"*","~*"),$G$3:$G$1002,"?*"))</f>
        <v/>
      </c>
      <c r="R638">
        <f>IF(Q638="","",IF(Q638&gt;0,"Yes","No"))</f>
        <v/>
      </c>
      <c r="S638">
        <f>IF(G638="","",COUNTIFS($G$3:$G$1002,SUBSTITUTE(SUBSTITUTE(G638,"?","~?"),"*","~*"),$J$3:$J$1002,"Primary"))</f>
        <v/>
      </c>
      <c r="T638">
        <f>IF(S638="","",IF(S638&gt;Settings!$B$4,"Yes","No"))</f>
        <v/>
      </c>
      <c r="U638">
        <f>IF(OR(G638="",B638=""),"",IF(COUNTIFS($G$3:$G$1002,SUBSTITUTE(SUBSTITUTE(G638,"?","~?"),"*","~*"),$B$3:$B$1002,"&lt;&gt;"&amp;SUBSTITUTE(SUBSTITUTE(B638,"?","~?"),"*","~*"),$B$3:$B$1002,"?*")&gt;0,"Yes","No"))</f>
        <v/>
      </c>
      <c r="V638">
        <f>IF(OR(G638="",I638="",O638="",O638="Unclassified"),"",IFERROR(INDEX(Settings!$E$5:$H$16,MATCH(I638,Settings!$D$5:$D$16,0),MATCH(O638,Settings!$E$4:$H$4,0)),"Check"))</f>
        <v/>
      </c>
      <c r="W638">
        <f>IF(V638="","",IF(V638="No","Yes","No"))</f>
        <v/>
      </c>
      <c r="X638">
        <f>IF(OR(E638="",G638=""),"",IF(LOWER(IF(RIGHT(TRIM(E638),1)="/",LEFT(TRIM(E638),LEN(TRIM(E638))-1),TRIM(E638)))&lt;&gt;LOWER(IF(RIGHT(TRIM(G638),1)="/",LEFT(TRIM(G638),LEN(TRIM(G638))-1),TRIM(G638))),"Yes","No"))</f>
        <v/>
      </c>
      <c r="Y638">
        <f>IF(A638="","",(N(Q638)&gt;0)+(T638="Yes")+(U638="Yes")+(W638="Yes")+(X638="Yes"))</f>
        <v/>
      </c>
      <c r="Z638">
        <f>IF(A638="","",IF(G638="","Not mapped",IF(Y638=0,"OK",MID(IF(N(Q638)&gt;0,"; Cannibalisation","")&amp;IF(T638="Yes","; Too many primary keywords on URL","")&amp;IF(U638="Yes","; URL spans 2+ clusters","")&amp;IF(W638="Yes","; Intent mismatch","")&amp;IF(X638="Yes","; Ranking URL is not the target",""),3,300))))</f>
        <v/>
      </c>
      <c r="AA638">
        <f>IF(G638="","",IF(COUNTIF($G$3:G638,SUBSTITUTE(SUBSTITUTE(G638,"?","~?"),"*","~*"))=1,MAX($AA$2:AA637)+1,""))</f>
        <v/>
      </c>
      <c r="AB638">
        <f>IF(B638="","",IF(COUNTIF($B$3:B638,SUBSTITUTE(SUBSTITUTE(B638,"?","~?"),"*","~*"))=1,MAX($AB$2:AB637)+1,""))</f>
        <v/>
      </c>
    </row>
    <row r="639">
      <c r="M639">
        <f>IF(A639="","",LOWER(TRIM(SUBSTITUTE(SUBSTITUTE(A639,"?",""),"*",""))))</f>
        <v/>
      </c>
      <c r="N639">
        <f>IF(M639="","",IF(SUMPRODUCT(ISNUMBER(SEARCH(" "&amp;Settings!$L$5:$L$124&amp;" "," "&amp;M639&amp;" "))*(Settings!$K$5:$K$124="Navigational")*(Settings!$L$5:$L$124&lt;&gt;""))&gt;0,"Navigational",IF(SUMPRODUCT(ISNUMBER(SEARCH(" "&amp;Settings!$L$5:$L$124&amp;" "," "&amp;M639&amp;" "))*(Settings!$K$5:$K$124="Transactional")*(Settings!$L$5:$L$124&lt;&gt;""))&gt;0,"Transactional",IF(SUMPRODUCT(ISNUMBER(SEARCH(" "&amp;Settings!$L$5:$L$124&amp;" "," "&amp;M639&amp;" "))*(Settings!$K$5:$K$124="Commercial")*(Settings!$L$5:$L$124&lt;&gt;""))&gt;0,"Commercial",IF(SUMPRODUCT(ISNUMBER(SEARCH(" "&amp;Settings!$L$5:$L$124&amp;" "," "&amp;M639&amp;" "))*(Settings!$K$5:$K$124="Informational")*(Settings!$L$5:$L$124&lt;&gt;""))&gt;0,"Informational","Unclassified")))))</f>
        <v/>
      </c>
      <c r="O639">
        <f>IF(A639="","",IF(K639&lt;&gt;"",PROPER(K639),N639))</f>
        <v/>
      </c>
      <c r="P639">
        <f>IF(A639="","",ROUND(Settings!$B$5*MIN(1,LOG10(N(C639)+1)/LOG10(Settings!$B$7+1))+Settings!$B$6*(1-MIN(100,IF(D639="",50,N(D639)))/100)+IFERROR(INDEX(Settings!$B$10:$B$14,MATCH(O639,Settings!$A$10:$A$14,0)),0),0))</f>
        <v/>
      </c>
      <c r="Q639">
        <f>IF(OR(A639="",G639=""),"",COUNTIFS($M$3:$M$1002,M639,$G$3:$G$1002,"&lt;&gt;"&amp;SUBSTITUTE(SUBSTITUTE(G639,"?","~?"),"*","~*"),$G$3:$G$1002,"?*"))</f>
        <v/>
      </c>
      <c r="R639">
        <f>IF(Q639="","",IF(Q639&gt;0,"Yes","No"))</f>
        <v/>
      </c>
      <c r="S639">
        <f>IF(G639="","",COUNTIFS($G$3:$G$1002,SUBSTITUTE(SUBSTITUTE(G639,"?","~?"),"*","~*"),$J$3:$J$1002,"Primary"))</f>
        <v/>
      </c>
      <c r="T639">
        <f>IF(S639="","",IF(S639&gt;Settings!$B$4,"Yes","No"))</f>
        <v/>
      </c>
      <c r="U639">
        <f>IF(OR(G639="",B639=""),"",IF(COUNTIFS($G$3:$G$1002,SUBSTITUTE(SUBSTITUTE(G639,"?","~?"),"*","~*"),$B$3:$B$1002,"&lt;&gt;"&amp;SUBSTITUTE(SUBSTITUTE(B639,"?","~?"),"*","~*"),$B$3:$B$1002,"?*")&gt;0,"Yes","No"))</f>
        <v/>
      </c>
      <c r="V639">
        <f>IF(OR(G639="",I639="",O639="",O639="Unclassified"),"",IFERROR(INDEX(Settings!$E$5:$H$16,MATCH(I639,Settings!$D$5:$D$16,0),MATCH(O639,Settings!$E$4:$H$4,0)),"Check"))</f>
        <v/>
      </c>
      <c r="W639">
        <f>IF(V639="","",IF(V639="No","Yes","No"))</f>
        <v/>
      </c>
      <c r="X639">
        <f>IF(OR(E639="",G639=""),"",IF(LOWER(IF(RIGHT(TRIM(E639),1)="/",LEFT(TRIM(E639),LEN(TRIM(E639))-1),TRIM(E639)))&lt;&gt;LOWER(IF(RIGHT(TRIM(G639),1)="/",LEFT(TRIM(G639),LEN(TRIM(G639))-1),TRIM(G639))),"Yes","No"))</f>
        <v/>
      </c>
      <c r="Y639">
        <f>IF(A639="","",(N(Q639)&gt;0)+(T639="Yes")+(U639="Yes")+(W639="Yes")+(X639="Yes"))</f>
        <v/>
      </c>
      <c r="Z639">
        <f>IF(A639="","",IF(G639="","Not mapped",IF(Y639=0,"OK",MID(IF(N(Q639)&gt;0,"; Cannibalisation","")&amp;IF(T639="Yes","; Too many primary keywords on URL","")&amp;IF(U639="Yes","; URL spans 2+ clusters","")&amp;IF(W639="Yes","; Intent mismatch","")&amp;IF(X639="Yes","; Ranking URL is not the target",""),3,300))))</f>
        <v/>
      </c>
      <c r="AA639">
        <f>IF(G639="","",IF(COUNTIF($G$3:G639,SUBSTITUTE(SUBSTITUTE(G639,"?","~?"),"*","~*"))=1,MAX($AA$2:AA638)+1,""))</f>
        <v/>
      </c>
      <c r="AB639">
        <f>IF(B639="","",IF(COUNTIF($B$3:B639,SUBSTITUTE(SUBSTITUTE(B639,"?","~?"),"*","~*"))=1,MAX($AB$2:AB638)+1,""))</f>
        <v/>
      </c>
    </row>
    <row r="640">
      <c r="M640">
        <f>IF(A640="","",LOWER(TRIM(SUBSTITUTE(SUBSTITUTE(A640,"?",""),"*",""))))</f>
        <v/>
      </c>
      <c r="N640">
        <f>IF(M640="","",IF(SUMPRODUCT(ISNUMBER(SEARCH(" "&amp;Settings!$L$5:$L$124&amp;" "," "&amp;M640&amp;" "))*(Settings!$K$5:$K$124="Navigational")*(Settings!$L$5:$L$124&lt;&gt;""))&gt;0,"Navigational",IF(SUMPRODUCT(ISNUMBER(SEARCH(" "&amp;Settings!$L$5:$L$124&amp;" "," "&amp;M640&amp;" "))*(Settings!$K$5:$K$124="Transactional")*(Settings!$L$5:$L$124&lt;&gt;""))&gt;0,"Transactional",IF(SUMPRODUCT(ISNUMBER(SEARCH(" "&amp;Settings!$L$5:$L$124&amp;" "," "&amp;M640&amp;" "))*(Settings!$K$5:$K$124="Commercial")*(Settings!$L$5:$L$124&lt;&gt;""))&gt;0,"Commercial",IF(SUMPRODUCT(ISNUMBER(SEARCH(" "&amp;Settings!$L$5:$L$124&amp;" "," "&amp;M640&amp;" "))*(Settings!$K$5:$K$124="Informational")*(Settings!$L$5:$L$124&lt;&gt;""))&gt;0,"Informational","Unclassified")))))</f>
        <v/>
      </c>
      <c r="O640">
        <f>IF(A640="","",IF(K640&lt;&gt;"",PROPER(K640),N640))</f>
        <v/>
      </c>
      <c r="P640">
        <f>IF(A640="","",ROUND(Settings!$B$5*MIN(1,LOG10(N(C640)+1)/LOG10(Settings!$B$7+1))+Settings!$B$6*(1-MIN(100,IF(D640="",50,N(D640)))/100)+IFERROR(INDEX(Settings!$B$10:$B$14,MATCH(O640,Settings!$A$10:$A$14,0)),0),0))</f>
        <v/>
      </c>
      <c r="Q640">
        <f>IF(OR(A640="",G640=""),"",COUNTIFS($M$3:$M$1002,M640,$G$3:$G$1002,"&lt;&gt;"&amp;SUBSTITUTE(SUBSTITUTE(G640,"?","~?"),"*","~*"),$G$3:$G$1002,"?*"))</f>
        <v/>
      </c>
      <c r="R640">
        <f>IF(Q640="","",IF(Q640&gt;0,"Yes","No"))</f>
        <v/>
      </c>
      <c r="S640">
        <f>IF(G640="","",COUNTIFS($G$3:$G$1002,SUBSTITUTE(SUBSTITUTE(G640,"?","~?"),"*","~*"),$J$3:$J$1002,"Primary"))</f>
        <v/>
      </c>
      <c r="T640">
        <f>IF(S640="","",IF(S640&gt;Settings!$B$4,"Yes","No"))</f>
        <v/>
      </c>
      <c r="U640">
        <f>IF(OR(G640="",B640=""),"",IF(COUNTIFS($G$3:$G$1002,SUBSTITUTE(SUBSTITUTE(G640,"?","~?"),"*","~*"),$B$3:$B$1002,"&lt;&gt;"&amp;SUBSTITUTE(SUBSTITUTE(B640,"?","~?"),"*","~*"),$B$3:$B$1002,"?*")&gt;0,"Yes","No"))</f>
        <v/>
      </c>
      <c r="V640">
        <f>IF(OR(G640="",I640="",O640="",O640="Unclassified"),"",IFERROR(INDEX(Settings!$E$5:$H$16,MATCH(I640,Settings!$D$5:$D$16,0),MATCH(O640,Settings!$E$4:$H$4,0)),"Check"))</f>
        <v/>
      </c>
      <c r="W640">
        <f>IF(V640="","",IF(V640="No","Yes","No"))</f>
        <v/>
      </c>
      <c r="X640">
        <f>IF(OR(E640="",G640=""),"",IF(LOWER(IF(RIGHT(TRIM(E640),1)="/",LEFT(TRIM(E640),LEN(TRIM(E640))-1),TRIM(E640)))&lt;&gt;LOWER(IF(RIGHT(TRIM(G640),1)="/",LEFT(TRIM(G640),LEN(TRIM(G640))-1),TRIM(G640))),"Yes","No"))</f>
        <v/>
      </c>
      <c r="Y640">
        <f>IF(A640="","",(N(Q640)&gt;0)+(T640="Yes")+(U640="Yes")+(W640="Yes")+(X640="Yes"))</f>
        <v/>
      </c>
      <c r="Z640">
        <f>IF(A640="","",IF(G640="","Not mapped",IF(Y640=0,"OK",MID(IF(N(Q640)&gt;0,"; Cannibalisation","")&amp;IF(T640="Yes","; Too many primary keywords on URL","")&amp;IF(U640="Yes","; URL spans 2+ clusters","")&amp;IF(W640="Yes","; Intent mismatch","")&amp;IF(X640="Yes","; Ranking URL is not the target",""),3,300))))</f>
        <v/>
      </c>
      <c r="AA640">
        <f>IF(G640="","",IF(COUNTIF($G$3:G640,SUBSTITUTE(SUBSTITUTE(G640,"?","~?"),"*","~*"))=1,MAX($AA$2:AA639)+1,""))</f>
        <v/>
      </c>
      <c r="AB640">
        <f>IF(B640="","",IF(COUNTIF($B$3:B640,SUBSTITUTE(SUBSTITUTE(B640,"?","~?"),"*","~*"))=1,MAX($AB$2:AB639)+1,""))</f>
        <v/>
      </c>
    </row>
    <row r="641">
      <c r="M641">
        <f>IF(A641="","",LOWER(TRIM(SUBSTITUTE(SUBSTITUTE(A641,"?",""),"*",""))))</f>
        <v/>
      </c>
      <c r="N641">
        <f>IF(M641="","",IF(SUMPRODUCT(ISNUMBER(SEARCH(" "&amp;Settings!$L$5:$L$124&amp;" "," "&amp;M641&amp;" "))*(Settings!$K$5:$K$124="Navigational")*(Settings!$L$5:$L$124&lt;&gt;""))&gt;0,"Navigational",IF(SUMPRODUCT(ISNUMBER(SEARCH(" "&amp;Settings!$L$5:$L$124&amp;" "," "&amp;M641&amp;" "))*(Settings!$K$5:$K$124="Transactional")*(Settings!$L$5:$L$124&lt;&gt;""))&gt;0,"Transactional",IF(SUMPRODUCT(ISNUMBER(SEARCH(" "&amp;Settings!$L$5:$L$124&amp;" "," "&amp;M641&amp;" "))*(Settings!$K$5:$K$124="Commercial")*(Settings!$L$5:$L$124&lt;&gt;""))&gt;0,"Commercial",IF(SUMPRODUCT(ISNUMBER(SEARCH(" "&amp;Settings!$L$5:$L$124&amp;" "," "&amp;M641&amp;" "))*(Settings!$K$5:$K$124="Informational")*(Settings!$L$5:$L$124&lt;&gt;""))&gt;0,"Informational","Unclassified")))))</f>
        <v/>
      </c>
      <c r="O641">
        <f>IF(A641="","",IF(K641&lt;&gt;"",PROPER(K641),N641))</f>
        <v/>
      </c>
      <c r="P641">
        <f>IF(A641="","",ROUND(Settings!$B$5*MIN(1,LOG10(N(C641)+1)/LOG10(Settings!$B$7+1))+Settings!$B$6*(1-MIN(100,IF(D641="",50,N(D641)))/100)+IFERROR(INDEX(Settings!$B$10:$B$14,MATCH(O641,Settings!$A$10:$A$14,0)),0),0))</f>
        <v/>
      </c>
      <c r="Q641">
        <f>IF(OR(A641="",G641=""),"",COUNTIFS($M$3:$M$1002,M641,$G$3:$G$1002,"&lt;&gt;"&amp;SUBSTITUTE(SUBSTITUTE(G641,"?","~?"),"*","~*"),$G$3:$G$1002,"?*"))</f>
        <v/>
      </c>
      <c r="R641">
        <f>IF(Q641="","",IF(Q641&gt;0,"Yes","No"))</f>
        <v/>
      </c>
      <c r="S641">
        <f>IF(G641="","",COUNTIFS($G$3:$G$1002,SUBSTITUTE(SUBSTITUTE(G641,"?","~?"),"*","~*"),$J$3:$J$1002,"Primary"))</f>
        <v/>
      </c>
      <c r="T641">
        <f>IF(S641="","",IF(S641&gt;Settings!$B$4,"Yes","No"))</f>
        <v/>
      </c>
      <c r="U641">
        <f>IF(OR(G641="",B641=""),"",IF(COUNTIFS($G$3:$G$1002,SUBSTITUTE(SUBSTITUTE(G641,"?","~?"),"*","~*"),$B$3:$B$1002,"&lt;&gt;"&amp;SUBSTITUTE(SUBSTITUTE(B641,"?","~?"),"*","~*"),$B$3:$B$1002,"?*")&gt;0,"Yes","No"))</f>
        <v/>
      </c>
      <c r="V641">
        <f>IF(OR(G641="",I641="",O641="",O641="Unclassified"),"",IFERROR(INDEX(Settings!$E$5:$H$16,MATCH(I641,Settings!$D$5:$D$16,0),MATCH(O641,Settings!$E$4:$H$4,0)),"Check"))</f>
        <v/>
      </c>
      <c r="W641">
        <f>IF(V641="","",IF(V641="No","Yes","No"))</f>
        <v/>
      </c>
      <c r="X641">
        <f>IF(OR(E641="",G641=""),"",IF(LOWER(IF(RIGHT(TRIM(E641),1)="/",LEFT(TRIM(E641),LEN(TRIM(E641))-1),TRIM(E641)))&lt;&gt;LOWER(IF(RIGHT(TRIM(G641),1)="/",LEFT(TRIM(G641),LEN(TRIM(G641))-1),TRIM(G641))),"Yes","No"))</f>
        <v/>
      </c>
      <c r="Y641">
        <f>IF(A641="","",(N(Q641)&gt;0)+(T641="Yes")+(U641="Yes")+(W641="Yes")+(X641="Yes"))</f>
        <v/>
      </c>
      <c r="Z641">
        <f>IF(A641="","",IF(G641="","Not mapped",IF(Y641=0,"OK",MID(IF(N(Q641)&gt;0,"; Cannibalisation","")&amp;IF(T641="Yes","; Too many primary keywords on URL","")&amp;IF(U641="Yes","; URL spans 2+ clusters","")&amp;IF(W641="Yes","; Intent mismatch","")&amp;IF(X641="Yes","; Ranking URL is not the target",""),3,300))))</f>
        <v/>
      </c>
      <c r="AA641">
        <f>IF(G641="","",IF(COUNTIF($G$3:G641,SUBSTITUTE(SUBSTITUTE(G641,"?","~?"),"*","~*"))=1,MAX($AA$2:AA640)+1,""))</f>
        <v/>
      </c>
      <c r="AB641">
        <f>IF(B641="","",IF(COUNTIF($B$3:B641,SUBSTITUTE(SUBSTITUTE(B641,"?","~?"),"*","~*"))=1,MAX($AB$2:AB640)+1,""))</f>
        <v/>
      </c>
    </row>
    <row r="642">
      <c r="M642">
        <f>IF(A642="","",LOWER(TRIM(SUBSTITUTE(SUBSTITUTE(A642,"?",""),"*",""))))</f>
        <v/>
      </c>
      <c r="N642">
        <f>IF(M642="","",IF(SUMPRODUCT(ISNUMBER(SEARCH(" "&amp;Settings!$L$5:$L$124&amp;" "," "&amp;M642&amp;" "))*(Settings!$K$5:$K$124="Navigational")*(Settings!$L$5:$L$124&lt;&gt;""))&gt;0,"Navigational",IF(SUMPRODUCT(ISNUMBER(SEARCH(" "&amp;Settings!$L$5:$L$124&amp;" "," "&amp;M642&amp;" "))*(Settings!$K$5:$K$124="Transactional")*(Settings!$L$5:$L$124&lt;&gt;""))&gt;0,"Transactional",IF(SUMPRODUCT(ISNUMBER(SEARCH(" "&amp;Settings!$L$5:$L$124&amp;" "," "&amp;M642&amp;" "))*(Settings!$K$5:$K$124="Commercial")*(Settings!$L$5:$L$124&lt;&gt;""))&gt;0,"Commercial",IF(SUMPRODUCT(ISNUMBER(SEARCH(" "&amp;Settings!$L$5:$L$124&amp;" "," "&amp;M642&amp;" "))*(Settings!$K$5:$K$124="Informational")*(Settings!$L$5:$L$124&lt;&gt;""))&gt;0,"Informational","Unclassified")))))</f>
        <v/>
      </c>
      <c r="O642">
        <f>IF(A642="","",IF(K642&lt;&gt;"",PROPER(K642),N642))</f>
        <v/>
      </c>
      <c r="P642">
        <f>IF(A642="","",ROUND(Settings!$B$5*MIN(1,LOG10(N(C642)+1)/LOG10(Settings!$B$7+1))+Settings!$B$6*(1-MIN(100,IF(D642="",50,N(D642)))/100)+IFERROR(INDEX(Settings!$B$10:$B$14,MATCH(O642,Settings!$A$10:$A$14,0)),0),0))</f>
        <v/>
      </c>
      <c r="Q642">
        <f>IF(OR(A642="",G642=""),"",COUNTIFS($M$3:$M$1002,M642,$G$3:$G$1002,"&lt;&gt;"&amp;SUBSTITUTE(SUBSTITUTE(G642,"?","~?"),"*","~*"),$G$3:$G$1002,"?*"))</f>
        <v/>
      </c>
      <c r="R642">
        <f>IF(Q642="","",IF(Q642&gt;0,"Yes","No"))</f>
        <v/>
      </c>
      <c r="S642">
        <f>IF(G642="","",COUNTIFS($G$3:$G$1002,SUBSTITUTE(SUBSTITUTE(G642,"?","~?"),"*","~*"),$J$3:$J$1002,"Primary"))</f>
        <v/>
      </c>
      <c r="T642">
        <f>IF(S642="","",IF(S642&gt;Settings!$B$4,"Yes","No"))</f>
        <v/>
      </c>
      <c r="U642">
        <f>IF(OR(G642="",B642=""),"",IF(COUNTIFS($G$3:$G$1002,SUBSTITUTE(SUBSTITUTE(G642,"?","~?"),"*","~*"),$B$3:$B$1002,"&lt;&gt;"&amp;SUBSTITUTE(SUBSTITUTE(B642,"?","~?"),"*","~*"),$B$3:$B$1002,"?*")&gt;0,"Yes","No"))</f>
        <v/>
      </c>
      <c r="V642">
        <f>IF(OR(G642="",I642="",O642="",O642="Unclassified"),"",IFERROR(INDEX(Settings!$E$5:$H$16,MATCH(I642,Settings!$D$5:$D$16,0),MATCH(O642,Settings!$E$4:$H$4,0)),"Check"))</f>
        <v/>
      </c>
      <c r="W642">
        <f>IF(V642="","",IF(V642="No","Yes","No"))</f>
        <v/>
      </c>
      <c r="X642">
        <f>IF(OR(E642="",G642=""),"",IF(LOWER(IF(RIGHT(TRIM(E642),1)="/",LEFT(TRIM(E642),LEN(TRIM(E642))-1),TRIM(E642)))&lt;&gt;LOWER(IF(RIGHT(TRIM(G642),1)="/",LEFT(TRIM(G642),LEN(TRIM(G642))-1),TRIM(G642))),"Yes","No"))</f>
        <v/>
      </c>
      <c r="Y642">
        <f>IF(A642="","",(N(Q642)&gt;0)+(T642="Yes")+(U642="Yes")+(W642="Yes")+(X642="Yes"))</f>
        <v/>
      </c>
      <c r="Z642">
        <f>IF(A642="","",IF(G642="","Not mapped",IF(Y642=0,"OK",MID(IF(N(Q642)&gt;0,"; Cannibalisation","")&amp;IF(T642="Yes","; Too many primary keywords on URL","")&amp;IF(U642="Yes","; URL spans 2+ clusters","")&amp;IF(W642="Yes","; Intent mismatch","")&amp;IF(X642="Yes","; Ranking URL is not the target",""),3,300))))</f>
        <v/>
      </c>
      <c r="AA642">
        <f>IF(G642="","",IF(COUNTIF($G$3:G642,SUBSTITUTE(SUBSTITUTE(G642,"?","~?"),"*","~*"))=1,MAX($AA$2:AA641)+1,""))</f>
        <v/>
      </c>
      <c r="AB642">
        <f>IF(B642="","",IF(COUNTIF($B$3:B642,SUBSTITUTE(SUBSTITUTE(B642,"?","~?"),"*","~*"))=1,MAX($AB$2:AB641)+1,""))</f>
        <v/>
      </c>
    </row>
    <row r="643">
      <c r="M643">
        <f>IF(A643="","",LOWER(TRIM(SUBSTITUTE(SUBSTITUTE(A643,"?",""),"*",""))))</f>
        <v/>
      </c>
      <c r="N643">
        <f>IF(M643="","",IF(SUMPRODUCT(ISNUMBER(SEARCH(" "&amp;Settings!$L$5:$L$124&amp;" "," "&amp;M643&amp;" "))*(Settings!$K$5:$K$124="Navigational")*(Settings!$L$5:$L$124&lt;&gt;""))&gt;0,"Navigational",IF(SUMPRODUCT(ISNUMBER(SEARCH(" "&amp;Settings!$L$5:$L$124&amp;" "," "&amp;M643&amp;" "))*(Settings!$K$5:$K$124="Transactional")*(Settings!$L$5:$L$124&lt;&gt;""))&gt;0,"Transactional",IF(SUMPRODUCT(ISNUMBER(SEARCH(" "&amp;Settings!$L$5:$L$124&amp;" "," "&amp;M643&amp;" "))*(Settings!$K$5:$K$124="Commercial")*(Settings!$L$5:$L$124&lt;&gt;""))&gt;0,"Commercial",IF(SUMPRODUCT(ISNUMBER(SEARCH(" "&amp;Settings!$L$5:$L$124&amp;" "," "&amp;M643&amp;" "))*(Settings!$K$5:$K$124="Informational")*(Settings!$L$5:$L$124&lt;&gt;""))&gt;0,"Informational","Unclassified")))))</f>
        <v/>
      </c>
      <c r="O643">
        <f>IF(A643="","",IF(K643&lt;&gt;"",PROPER(K643),N643))</f>
        <v/>
      </c>
      <c r="P643">
        <f>IF(A643="","",ROUND(Settings!$B$5*MIN(1,LOG10(N(C643)+1)/LOG10(Settings!$B$7+1))+Settings!$B$6*(1-MIN(100,IF(D643="",50,N(D643)))/100)+IFERROR(INDEX(Settings!$B$10:$B$14,MATCH(O643,Settings!$A$10:$A$14,0)),0),0))</f>
        <v/>
      </c>
      <c r="Q643">
        <f>IF(OR(A643="",G643=""),"",COUNTIFS($M$3:$M$1002,M643,$G$3:$G$1002,"&lt;&gt;"&amp;SUBSTITUTE(SUBSTITUTE(G643,"?","~?"),"*","~*"),$G$3:$G$1002,"?*"))</f>
        <v/>
      </c>
      <c r="R643">
        <f>IF(Q643="","",IF(Q643&gt;0,"Yes","No"))</f>
        <v/>
      </c>
      <c r="S643">
        <f>IF(G643="","",COUNTIFS($G$3:$G$1002,SUBSTITUTE(SUBSTITUTE(G643,"?","~?"),"*","~*"),$J$3:$J$1002,"Primary"))</f>
        <v/>
      </c>
      <c r="T643">
        <f>IF(S643="","",IF(S643&gt;Settings!$B$4,"Yes","No"))</f>
        <v/>
      </c>
      <c r="U643">
        <f>IF(OR(G643="",B643=""),"",IF(COUNTIFS($G$3:$G$1002,SUBSTITUTE(SUBSTITUTE(G643,"?","~?"),"*","~*"),$B$3:$B$1002,"&lt;&gt;"&amp;SUBSTITUTE(SUBSTITUTE(B643,"?","~?"),"*","~*"),$B$3:$B$1002,"?*")&gt;0,"Yes","No"))</f>
        <v/>
      </c>
      <c r="V643">
        <f>IF(OR(G643="",I643="",O643="",O643="Unclassified"),"",IFERROR(INDEX(Settings!$E$5:$H$16,MATCH(I643,Settings!$D$5:$D$16,0),MATCH(O643,Settings!$E$4:$H$4,0)),"Check"))</f>
        <v/>
      </c>
      <c r="W643">
        <f>IF(V643="","",IF(V643="No","Yes","No"))</f>
        <v/>
      </c>
      <c r="X643">
        <f>IF(OR(E643="",G643=""),"",IF(LOWER(IF(RIGHT(TRIM(E643),1)="/",LEFT(TRIM(E643),LEN(TRIM(E643))-1),TRIM(E643)))&lt;&gt;LOWER(IF(RIGHT(TRIM(G643),1)="/",LEFT(TRIM(G643),LEN(TRIM(G643))-1),TRIM(G643))),"Yes","No"))</f>
        <v/>
      </c>
      <c r="Y643">
        <f>IF(A643="","",(N(Q643)&gt;0)+(T643="Yes")+(U643="Yes")+(W643="Yes")+(X643="Yes"))</f>
        <v/>
      </c>
      <c r="Z643">
        <f>IF(A643="","",IF(G643="","Not mapped",IF(Y643=0,"OK",MID(IF(N(Q643)&gt;0,"; Cannibalisation","")&amp;IF(T643="Yes","; Too many primary keywords on URL","")&amp;IF(U643="Yes","; URL spans 2+ clusters","")&amp;IF(W643="Yes","; Intent mismatch","")&amp;IF(X643="Yes","; Ranking URL is not the target",""),3,300))))</f>
        <v/>
      </c>
      <c r="AA643">
        <f>IF(G643="","",IF(COUNTIF($G$3:G643,SUBSTITUTE(SUBSTITUTE(G643,"?","~?"),"*","~*"))=1,MAX($AA$2:AA642)+1,""))</f>
        <v/>
      </c>
      <c r="AB643">
        <f>IF(B643="","",IF(COUNTIF($B$3:B643,SUBSTITUTE(SUBSTITUTE(B643,"?","~?"),"*","~*"))=1,MAX($AB$2:AB642)+1,""))</f>
        <v/>
      </c>
    </row>
    <row r="644">
      <c r="M644">
        <f>IF(A644="","",LOWER(TRIM(SUBSTITUTE(SUBSTITUTE(A644,"?",""),"*",""))))</f>
        <v/>
      </c>
      <c r="N644">
        <f>IF(M644="","",IF(SUMPRODUCT(ISNUMBER(SEARCH(" "&amp;Settings!$L$5:$L$124&amp;" "," "&amp;M644&amp;" "))*(Settings!$K$5:$K$124="Navigational")*(Settings!$L$5:$L$124&lt;&gt;""))&gt;0,"Navigational",IF(SUMPRODUCT(ISNUMBER(SEARCH(" "&amp;Settings!$L$5:$L$124&amp;" "," "&amp;M644&amp;" "))*(Settings!$K$5:$K$124="Transactional")*(Settings!$L$5:$L$124&lt;&gt;""))&gt;0,"Transactional",IF(SUMPRODUCT(ISNUMBER(SEARCH(" "&amp;Settings!$L$5:$L$124&amp;" "," "&amp;M644&amp;" "))*(Settings!$K$5:$K$124="Commercial")*(Settings!$L$5:$L$124&lt;&gt;""))&gt;0,"Commercial",IF(SUMPRODUCT(ISNUMBER(SEARCH(" "&amp;Settings!$L$5:$L$124&amp;" "," "&amp;M644&amp;" "))*(Settings!$K$5:$K$124="Informational")*(Settings!$L$5:$L$124&lt;&gt;""))&gt;0,"Informational","Unclassified")))))</f>
        <v/>
      </c>
      <c r="O644">
        <f>IF(A644="","",IF(K644&lt;&gt;"",PROPER(K644),N644))</f>
        <v/>
      </c>
      <c r="P644">
        <f>IF(A644="","",ROUND(Settings!$B$5*MIN(1,LOG10(N(C644)+1)/LOG10(Settings!$B$7+1))+Settings!$B$6*(1-MIN(100,IF(D644="",50,N(D644)))/100)+IFERROR(INDEX(Settings!$B$10:$B$14,MATCH(O644,Settings!$A$10:$A$14,0)),0),0))</f>
        <v/>
      </c>
      <c r="Q644">
        <f>IF(OR(A644="",G644=""),"",COUNTIFS($M$3:$M$1002,M644,$G$3:$G$1002,"&lt;&gt;"&amp;SUBSTITUTE(SUBSTITUTE(G644,"?","~?"),"*","~*"),$G$3:$G$1002,"?*"))</f>
        <v/>
      </c>
      <c r="R644">
        <f>IF(Q644="","",IF(Q644&gt;0,"Yes","No"))</f>
        <v/>
      </c>
      <c r="S644">
        <f>IF(G644="","",COUNTIFS($G$3:$G$1002,SUBSTITUTE(SUBSTITUTE(G644,"?","~?"),"*","~*"),$J$3:$J$1002,"Primary"))</f>
        <v/>
      </c>
      <c r="T644">
        <f>IF(S644="","",IF(S644&gt;Settings!$B$4,"Yes","No"))</f>
        <v/>
      </c>
      <c r="U644">
        <f>IF(OR(G644="",B644=""),"",IF(COUNTIFS($G$3:$G$1002,SUBSTITUTE(SUBSTITUTE(G644,"?","~?"),"*","~*"),$B$3:$B$1002,"&lt;&gt;"&amp;SUBSTITUTE(SUBSTITUTE(B644,"?","~?"),"*","~*"),$B$3:$B$1002,"?*")&gt;0,"Yes","No"))</f>
        <v/>
      </c>
      <c r="V644">
        <f>IF(OR(G644="",I644="",O644="",O644="Unclassified"),"",IFERROR(INDEX(Settings!$E$5:$H$16,MATCH(I644,Settings!$D$5:$D$16,0),MATCH(O644,Settings!$E$4:$H$4,0)),"Check"))</f>
        <v/>
      </c>
      <c r="W644">
        <f>IF(V644="","",IF(V644="No","Yes","No"))</f>
        <v/>
      </c>
      <c r="X644">
        <f>IF(OR(E644="",G644=""),"",IF(LOWER(IF(RIGHT(TRIM(E644),1)="/",LEFT(TRIM(E644),LEN(TRIM(E644))-1),TRIM(E644)))&lt;&gt;LOWER(IF(RIGHT(TRIM(G644),1)="/",LEFT(TRIM(G644),LEN(TRIM(G644))-1),TRIM(G644))),"Yes","No"))</f>
        <v/>
      </c>
      <c r="Y644">
        <f>IF(A644="","",(N(Q644)&gt;0)+(T644="Yes")+(U644="Yes")+(W644="Yes")+(X644="Yes"))</f>
        <v/>
      </c>
      <c r="Z644">
        <f>IF(A644="","",IF(G644="","Not mapped",IF(Y644=0,"OK",MID(IF(N(Q644)&gt;0,"; Cannibalisation","")&amp;IF(T644="Yes","; Too many primary keywords on URL","")&amp;IF(U644="Yes","; URL spans 2+ clusters","")&amp;IF(W644="Yes","; Intent mismatch","")&amp;IF(X644="Yes","; Ranking URL is not the target",""),3,300))))</f>
        <v/>
      </c>
      <c r="AA644">
        <f>IF(G644="","",IF(COUNTIF($G$3:G644,SUBSTITUTE(SUBSTITUTE(G644,"?","~?"),"*","~*"))=1,MAX($AA$2:AA643)+1,""))</f>
        <v/>
      </c>
      <c r="AB644">
        <f>IF(B644="","",IF(COUNTIF($B$3:B644,SUBSTITUTE(SUBSTITUTE(B644,"?","~?"),"*","~*"))=1,MAX($AB$2:AB643)+1,""))</f>
        <v/>
      </c>
    </row>
    <row r="645">
      <c r="M645">
        <f>IF(A645="","",LOWER(TRIM(SUBSTITUTE(SUBSTITUTE(A645,"?",""),"*",""))))</f>
        <v/>
      </c>
      <c r="N645">
        <f>IF(M645="","",IF(SUMPRODUCT(ISNUMBER(SEARCH(" "&amp;Settings!$L$5:$L$124&amp;" "," "&amp;M645&amp;" "))*(Settings!$K$5:$K$124="Navigational")*(Settings!$L$5:$L$124&lt;&gt;""))&gt;0,"Navigational",IF(SUMPRODUCT(ISNUMBER(SEARCH(" "&amp;Settings!$L$5:$L$124&amp;" "," "&amp;M645&amp;" "))*(Settings!$K$5:$K$124="Transactional")*(Settings!$L$5:$L$124&lt;&gt;""))&gt;0,"Transactional",IF(SUMPRODUCT(ISNUMBER(SEARCH(" "&amp;Settings!$L$5:$L$124&amp;" "," "&amp;M645&amp;" "))*(Settings!$K$5:$K$124="Commercial")*(Settings!$L$5:$L$124&lt;&gt;""))&gt;0,"Commercial",IF(SUMPRODUCT(ISNUMBER(SEARCH(" "&amp;Settings!$L$5:$L$124&amp;" "," "&amp;M645&amp;" "))*(Settings!$K$5:$K$124="Informational")*(Settings!$L$5:$L$124&lt;&gt;""))&gt;0,"Informational","Unclassified")))))</f>
        <v/>
      </c>
      <c r="O645">
        <f>IF(A645="","",IF(K645&lt;&gt;"",PROPER(K645),N645))</f>
        <v/>
      </c>
      <c r="P645">
        <f>IF(A645="","",ROUND(Settings!$B$5*MIN(1,LOG10(N(C645)+1)/LOG10(Settings!$B$7+1))+Settings!$B$6*(1-MIN(100,IF(D645="",50,N(D645)))/100)+IFERROR(INDEX(Settings!$B$10:$B$14,MATCH(O645,Settings!$A$10:$A$14,0)),0),0))</f>
        <v/>
      </c>
      <c r="Q645">
        <f>IF(OR(A645="",G645=""),"",COUNTIFS($M$3:$M$1002,M645,$G$3:$G$1002,"&lt;&gt;"&amp;SUBSTITUTE(SUBSTITUTE(G645,"?","~?"),"*","~*"),$G$3:$G$1002,"?*"))</f>
        <v/>
      </c>
      <c r="R645">
        <f>IF(Q645="","",IF(Q645&gt;0,"Yes","No"))</f>
        <v/>
      </c>
      <c r="S645">
        <f>IF(G645="","",COUNTIFS($G$3:$G$1002,SUBSTITUTE(SUBSTITUTE(G645,"?","~?"),"*","~*"),$J$3:$J$1002,"Primary"))</f>
        <v/>
      </c>
      <c r="T645">
        <f>IF(S645="","",IF(S645&gt;Settings!$B$4,"Yes","No"))</f>
        <v/>
      </c>
      <c r="U645">
        <f>IF(OR(G645="",B645=""),"",IF(COUNTIFS($G$3:$G$1002,SUBSTITUTE(SUBSTITUTE(G645,"?","~?"),"*","~*"),$B$3:$B$1002,"&lt;&gt;"&amp;SUBSTITUTE(SUBSTITUTE(B645,"?","~?"),"*","~*"),$B$3:$B$1002,"?*")&gt;0,"Yes","No"))</f>
        <v/>
      </c>
      <c r="V645">
        <f>IF(OR(G645="",I645="",O645="",O645="Unclassified"),"",IFERROR(INDEX(Settings!$E$5:$H$16,MATCH(I645,Settings!$D$5:$D$16,0),MATCH(O645,Settings!$E$4:$H$4,0)),"Check"))</f>
        <v/>
      </c>
      <c r="W645">
        <f>IF(V645="","",IF(V645="No","Yes","No"))</f>
        <v/>
      </c>
      <c r="X645">
        <f>IF(OR(E645="",G645=""),"",IF(LOWER(IF(RIGHT(TRIM(E645),1)="/",LEFT(TRIM(E645),LEN(TRIM(E645))-1),TRIM(E645)))&lt;&gt;LOWER(IF(RIGHT(TRIM(G645),1)="/",LEFT(TRIM(G645),LEN(TRIM(G645))-1),TRIM(G645))),"Yes","No"))</f>
        <v/>
      </c>
      <c r="Y645">
        <f>IF(A645="","",(N(Q645)&gt;0)+(T645="Yes")+(U645="Yes")+(W645="Yes")+(X645="Yes"))</f>
        <v/>
      </c>
      <c r="Z645">
        <f>IF(A645="","",IF(G645="","Not mapped",IF(Y645=0,"OK",MID(IF(N(Q645)&gt;0,"; Cannibalisation","")&amp;IF(T645="Yes","; Too many primary keywords on URL","")&amp;IF(U645="Yes","; URL spans 2+ clusters","")&amp;IF(W645="Yes","; Intent mismatch","")&amp;IF(X645="Yes","; Ranking URL is not the target",""),3,300))))</f>
        <v/>
      </c>
      <c r="AA645">
        <f>IF(G645="","",IF(COUNTIF($G$3:G645,SUBSTITUTE(SUBSTITUTE(G645,"?","~?"),"*","~*"))=1,MAX($AA$2:AA644)+1,""))</f>
        <v/>
      </c>
      <c r="AB645">
        <f>IF(B645="","",IF(COUNTIF($B$3:B645,SUBSTITUTE(SUBSTITUTE(B645,"?","~?"),"*","~*"))=1,MAX($AB$2:AB644)+1,""))</f>
        <v/>
      </c>
    </row>
    <row r="646">
      <c r="M646">
        <f>IF(A646="","",LOWER(TRIM(SUBSTITUTE(SUBSTITUTE(A646,"?",""),"*",""))))</f>
        <v/>
      </c>
      <c r="N646">
        <f>IF(M646="","",IF(SUMPRODUCT(ISNUMBER(SEARCH(" "&amp;Settings!$L$5:$L$124&amp;" "," "&amp;M646&amp;" "))*(Settings!$K$5:$K$124="Navigational")*(Settings!$L$5:$L$124&lt;&gt;""))&gt;0,"Navigational",IF(SUMPRODUCT(ISNUMBER(SEARCH(" "&amp;Settings!$L$5:$L$124&amp;" "," "&amp;M646&amp;" "))*(Settings!$K$5:$K$124="Transactional")*(Settings!$L$5:$L$124&lt;&gt;""))&gt;0,"Transactional",IF(SUMPRODUCT(ISNUMBER(SEARCH(" "&amp;Settings!$L$5:$L$124&amp;" "," "&amp;M646&amp;" "))*(Settings!$K$5:$K$124="Commercial")*(Settings!$L$5:$L$124&lt;&gt;""))&gt;0,"Commercial",IF(SUMPRODUCT(ISNUMBER(SEARCH(" "&amp;Settings!$L$5:$L$124&amp;" "," "&amp;M646&amp;" "))*(Settings!$K$5:$K$124="Informational")*(Settings!$L$5:$L$124&lt;&gt;""))&gt;0,"Informational","Unclassified")))))</f>
        <v/>
      </c>
      <c r="O646">
        <f>IF(A646="","",IF(K646&lt;&gt;"",PROPER(K646),N646))</f>
        <v/>
      </c>
      <c r="P646">
        <f>IF(A646="","",ROUND(Settings!$B$5*MIN(1,LOG10(N(C646)+1)/LOG10(Settings!$B$7+1))+Settings!$B$6*(1-MIN(100,IF(D646="",50,N(D646)))/100)+IFERROR(INDEX(Settings!$B$10:$B$14,MATCH(O646,Settings!$A$10:$A$14,0)),0),0))</f>
        <v/>
      </c>
      <c r="Q646">
        <f>IF(OR(A646="",G646=""),"",COUNTIFS($M$3:$M$1002,M646,$G$3:$G$1002,"&lt;&gt;"&amp;SUBSTITUTE(SUBSTITUTE(G646,"?","~?"),"*","~*"),$G$3:$G$1002,"?*"))</f>
        <v/>
      </c>
      <c r="R646">
        <f>IF(Q646="","",IF(Q646&gt;0,"Yes","No"))</f>
        <v/>
      </c>
      <c r="S646">
        <f>IF(G646="","",COUNTIFS($G$3:$G$1002,SUBSTITUTE(SUBSTITUTE(G646,"?","~?"),"*","~*"),$J$3:$J$1002,"Primary"))</f>
        <v/>
      </c>
      <c r="T646">
        <f>IF(S646="","",IF(S646&gt;Settings!$B$4,"Yes","No"))</f>
        <v/>
      </c>
      <c r="U646">
        <f>IF(OR(G646="",B646=""),"",IF(COUNTIFS($G$3:$G$1002,SUBSTITUTE(SUBSTITUTE(G646,"?","~?"),"*","~*"),$B$3:$B$1002,"&lt;&gt;"&amp;SUBSTITUTE(SUBSTITUTE(B646,"?","~?"),"*","~*"),$B$3:$B$1002,"?*")&gt;0,"Yes","No"))</f>
        <v/>
      </c>
      <c r="V646">
        <f>IF(OR(G646="",I646="",O646="",O646="Unclassified"),"",IFERROR(INDEX(Settings!$E$5:$H$16,MATCH(I646,Settings!$D$5:$D$16,0),MATCH(O646,Settings!$E$4:$H$4,0)),"Check"))</f>
        <v/>
      </c>
      <c r="W646">
        <f>IF(V646="","",IF(V646="No","Yes","No"))</f>
        <v/>
      </c>
      <c r="X646">
        <f>IF(OR(E646="",G646=""),"",IF(LOWER(IF(RIGHT(TRIM(E646),1)="/",LEFT(TRIM(E646),LEN(TRIM(E646))-1),TRIM(E646)))&lt;&gt;LOWER(IF(RIGHT(TRIM(G646),1)="/",LEFT(TRIM(G646),LEN(TRIM(G646))-1),TRIM(G646))),"Yes","No"))</f>
        <v/>
      </c>
      <c r="Y646">
        <f>IF(A646="","",(N(Q646)&gt;0)+(T646="Yes")+(U646="Yes")+(W646="Yes")+(X646="Yes"))</f>
        <v/>
      </c>
      <c r="Z646">
        <f>IF(A646="","",IF(G646="","Not mapped",IF(Y646=0,"OK",MID(IF(N(Q646)&gt;0,"; Cannibalisation","")&amp;IF(T646="Yes","; Too many primary keywords on URL","")&amp;IF(U646="Yes","; URL spans 2+ clusters","")&amp;IF(W646="Yes","; Intent mismatch","")&amp;IF(X646="Yes","; Ranking URL is not the target",""),3,300))))</f>
        <v/>
      </c>
      <c r="AA646">
        <f>IF(G646="","",IF(COUNTIF($G$3:G646,SUBSTITUTE(SUBSTITUTE(G646,"?","~?"),"*","~*"))=1,MAX($AA$2:AA645)+1,""))</f>
        <v/>
      </c>
      <c r="AB646">
        <f>IF(B646="","",IF(COUNTIF($B$3:B646,SUBSTITUTE(SUBSTITUTE(B646,"?","~?"),"*","~*"))=1,MAX($AB$2:AB645)+1,""))</f>
        <v/>
      </c>
    </row>
    <row r="647">
      <c r="M647">
        <f>IF(A647="","",LOWER(TRIM(SUBSTITUTE(SUBSTITUTE(A647,"?",""),"*",""))))</f>
        <v/>
      </c>
      <c r="N647">
        <f>IF(M647="","",IF(SUMPRODUCT(ISNUMBER(SEARCH(" "&amp;Settings!$L$5:$L$124&amp;" "," "&amp;M647&amp;" "))*(Settings!$K$5:$K$124="Navigational")*(Settings!$L$5:$L$124&lt;&gt;""))&gt;0,"Navigational",IF(SUMPRODUCT(ISNUMBER(SEARCH(" "&amp;Settings!$L$5:$L$124&amp;" "," "&amp;M647&amp;" "))*(Settings!$K$5:$K$124="Transactional")*(Settings!$L$5:$L$124&lt;&gt;""))&gt;0,"Transactional",IF(SUMPRODUCT(ISNUMBER(SEARCH(" "&amp;Settings!$L$5:$L$124&amp;" "," "&amp;M647&amp;" "))*(Settings!$K$5:$K$124="Commercial")*(Settings!$L$5:$L$124&lt;&gt;""))&gt;0,"Commercial",IF(SUMPRODUCT(ISNUMBER(SEARCH(" "&amp;Settings!$L$5:$L$124&amp;" "," "&amp;M647&amp;" "))*(Settings!$K$5:$K$124="Informational")*(Settings!$L$5:$L$124&lt;&gt;""))&gt;0,"Informational","Unclassified")))))</f>
        <v/>
      </c>
      <c r="O647">
        <f>IF(A647="","",IF(K647&lt;&gt;"",PROPER(K647),N647))</f>
        <v/>
      </c>
      <c r="P647">
        <f>IF(A647="","",ROUND(Settings!$B$5*MIN(1,LOG10(N(C647)+1)/LOG10(Settings!$B$7+1))+Settings!$B$6*(1-MIN(100,IF(D647="",50,N(D647)))/100)+IFERROR(INDEX(Settings!$B$10:$B$14,MATCH(O647,Settings!$A$10:$A$14,0)),0),0))</f>
        <v/>
      </c>
      <c r="Q647">
        <f>IF(OR(A647="",G647=""),"",COUNTIFS($M$3:$M$1002,M647,$G$3:$G$1002,"&lt;&gt;"&amp;SUBSTITUTE(SUBSTITUTE(G647,"?","~?"),"*","~*"),$G$3:$G$1002,"?*"))</f>
        <v/>
      </c>
      <c r="R647">
        <f>IF(Q647="","",IF(Q647&gt;0,"Yes","No"))</f>
        <v/>
      </c>
      <c r="S647">
        <f>IF(G647="","",COUNTIFS($G$3:$G$1002,SUBSTITUTE(SUBSTITUTE(G647,"?","~?"),"*","~*"),$J$3:$J$1002,"Primary"))</f>
        <v/>
      </c>
      <c r="T647">
        <f>IF(S647="","",IF(S647&gt;Settings!$B$4,"Yes","No"))</f>
        <v/>
      </c>
      <c r="U647">
        <f>IF(OR(G647="",B647=""),"",IF(COUNTIFS($G$3:$G$1002,SUBSTITUTE(SUBSTITUTE(G647,"?","~?"),"*","~*"),$B$3:$B$1002,"&lt;&gt;"&amp;SUBSTITUTE(SUBSTITUTE(B647,"?","~?"),"*","~*"),$B$3:$B$1002,"?*")&gt;0,"Yes","No"))</f>
        <v/>
      </c>
      <c r="V647">
        <f>IF(OR(G647="",I647="",O647="",O647="Unclassified"),"",IFERROR(INDEX(Settings!$E$5:$H$16,MATCH(I647,Settings!$D$5:$D$16,0),MATCH(O647,Settings!$E$4:$H$4,0)),"Check"))</f>
        <v/>
      </c>
      <c r="W647">
        <f>IF(V647="","",IF(V647="No","Yes","No"))</f>
        <v/>
      </c>
      <c r="X647">
        <f>IF(OR(E647="",G647=""),"",IF(LOWER(IF(RIGHT(TRIM(E647),1)="/",LEFT(TRIM(E647),LEN(TRIM(E647))-1),TRIM(E647)))&lt;&gt;LOWER(IF(RIGHT(TRIM(G647),1)="/",LEFT(TRIM(G647),LEN(TRIM(G647))-1),TRIM(G647))),"Yes","No"))</f>
        <v/>
      </c>
      <c r="Y647">
        <f>IF(A647="","",(N(Q647)&gt;0)+(T647="Yes")+(U647="Yes")+(W647="Yes")+(X647="Yes"))</f>
        <v/>
      </c>
      <c r="Z647">
        <f>IF(A647="","",IF(G647="","Not mapped",IF(Y647=0,"OK",MID(IF(N(Q647)&gt;0,"; Cannibalisation","")&amp;IF(T647="Yes","; Too many primary keywords on URL","")&amp;IF(U647="Yes","; URL spans 2+ clusters","")&amp;IF(W647="Yes","; Intent mismatch","")&amp;IF(X647="Yes","; Ranking URL is not the target",""),3,300))))</f>
        <v/>
      </c>
      <c r="AA647">
        <f>IF(G647="","",IF(COUNTIF($G$3:G647,SUBSTITUTE(SUBSTITUTE(G647,"?","~?"),"*","~*"))=1,MAX($AA$2:AA646)+1,""))</f>
        <v/>
      </c>
      <c r="AB647">
        <f>IF(B647="","",IF(COUNTIF($B$3:B647,SUBSTITUTE(SUBSTITUTE(B647,"?","~?"),"*","~*"))=1,MAX($AB$2:AB646)+1,""))</f>
        <v/>
      </c>
    </row>
    <row r="648">
      <c r="M648">
        <f>IF(A648="","",LOWER(TRIM(SUBSTITUTE(SUBSTITUTE(A648,"?",""),"*",""))))</f>
        <v/>
      </c>
      <c r="N648">
        <f>IF(M648="","",IF(SUMPRODUCT(ISNUMBER(SEARCH(" "&amp;Settings!$L$5:$L$124&amp;" "," "&amp;M648&amp;" "))*(Settings!$K$5:$K$124="Navigational")*(Settings!$L$5:$L$124&lt;&gt;""))&gt;0,"Navigational",IF(SUMPRODUCT(ISNUMBER(SEARCH(" "&amp;Settings!$L$5:$L$124&amp;" "," "&amp;M648&amp;" "))*(Settings!$K$5:$K$124="Transactional")*(Settings!$L$5:$L$124&lt;&gt;""))&gt;0,"Transactional",IF(SUMPRODUCT(ISNUMBER(SEARCH(" "&amp;Settings!$L$5:$L$124&amp;" "," "&amp;M648&amp;" "))*(Settings!$K$5:$K$124="Commercial")*(Settings!$L$5:$L$124&lt;&gt;""))&gt;0,"Commercial",IF(SUMPRODUCT(ISNUMBER(SEARCH(" "&amp;Settings!$L$5:$L$124&amp;" "," "&amp;M648&amp;" "))*(Settings!$K$5:$K$124="Informational")*(Settings!$L$5:$L$124&lt;&gt;""))&gt;0,"Informational","Unclassified")))))</f>
        <v/>
      </c>
      <c r="O648">
        <f>IF(A648="","",IF(K648&lt;&gt;"",PROPER(K648),N648))</f>
        <v/>
      </c>
      <c r="P648">
        <f>IF(A648="","",ROUND(Settings!$B$5*MIN(1,LOG10(N(C648)+1)/LOG10(Settings!$B$7+1))+Settings!$B$6*(1-MIN(100,IF(D648="",50,N(D648)))/100)+IFERROR(INDEX(Settings!$B$10:$B$14,MATCH(O648,Settings!$A$10:$A$14,0)),0),0))</f>
        <v/>
      </c>
      <c r="Q648">
        <f>IF(OR(A648="",G648=""),"",COUNTIFS($M$3:$M$1002,M648,$G$3:$G$1002,"&lt;&gt;"&amp;SUBSTITUTE(SUBSTITUTE(G648,"?","~?"),"*","~*"),$G$3:$G$1002,"?*"))</f>
        <v/>
      </c>
      <c r="R648">
        <f>IF(Q648="","",IF(Q648&gt;0,"Yes","No"))</f>
        <v/>
      </c>
      <c r="S648">
        <f>IF(G648="","",COUNTIFS($G$3:$G$1002,SUBSTITUTE(SUBSTITUTE(G648,"?","~?"),"*","~*"),$J$3:$J$1002,"Primary"))</f>
        <v/>
      </c>
      <c r="T648">
        <f>IF(S648="","",IF(S648&gt;Settings!$B$4,"Yes","No"))</f>
        <v/>
      </c>
      <c r="U648">
        <f>IF(OR(G648="",B648=""),"",IF(COUNTIFS($G$3:$G$1002,SUBSTITUTE(SUBSTITUTE(G648,"?","~?"),"*","~*"),$B$3:$B$1002,"&lt;&gt;"&amp;SUBSTITUTE(SUBSTITUTE(B648,"?","~?"),"*","~*"),$B$3:$B$1002,"?*")&gt;0,"Yes","No"))</f>
        <v/>
      </c>
      <c r="V648">
        <f>IF(OR(G648="",I648="",O648="",O648="Unclassified"),"",IFERROR(INDEX(Settings!$E$5:$H$16,MATCH(I648,Settings!$D$5:$D$16,0),MATCH(O648,Settings!$E$4:$H$4,0)),"Check"))</f>
        <v/>
      </c>
      <c r="W648">
        <f>IF(V648="","",IF(V648="No","Yes","No"))</f>
        <v/>
      </c>
      <c r="X648">
        <f>IF(OR(E648="",G648=""),"",IF(LOWER(IF(RIGHT(TRIM(E648),1)="/",LEFT(TRIM(E648),LEN(TRIM(E648))-1),TRIM(E648)))&lt;&gt;LOWER(IF(RIGHT(TRIM(G648),1)="/",LEFT(TRIM(G648),LEN(TRIM(G648))-1),TRIM(G648))),"Yes","No"))</f>
        <v/>
      </c>
      <c r="Y648">
        <f>IF(A648="","",(N(Q648)&gt;0)+(T648="Yes")+(U648="Yes")+(W648="Yes")+(X648="Yes"))</f>
        <v/>
      </c>
      <c r="Z648">
        <f>IF(A648="","",IF(G648="","Not mapped",IF(Y648=0,"OK",MID(IF(N(Q648)&gt;0,"; Cannibalisation","")&amp;IF(T648="Yes","; Too many primary keywords on URL","")&amp;IF(U648="Yes","; URL spans 2+ clusters","")&amp;IF(W648="Yes","; Intent mismatch","")&amp;IF(X648="Yes","; Ranking URL is not the target",""),3,300))))</f>
        <v/>
      </c>
      <c r="AA648">
        <f>IF(G648="","",IF(COUNTIF($G$3:G648,SUBSTITUTE(SUBSTITUTE(G648,"?","~?"),"*","~*"))=1,MAX($AA$2:AA647)+1,""))</f>
        <v/>
      </c>
      <c r="AB648">
        <f>IF(B648="","",IF(COUNTIF($B$3:B648,SUBSTITUTE(SUBSTITUTE(B648,"?","~?"),"*","~*"))=1,MAX($AB$2:AB647)+1,""))</f>
        <v/>
      </c>
    </row>
    <row r="649">
      <c r="M649">
        <f>IF(A649="","",LOWER(TRIM(SUBSTITUTE(SUBSTITUTE(A649,"?",""),"*",""))))</f>
        <v/>
      </c>
      <c r="N649">
        <f>IF(M649="","",IF(SUMPRODUCT(ISNUMBER(SEARCH(" "&amp;Settings!$L$5:$L$124&amp;" "," "&amp;M649&amp;" "))*(Settings!$K$5:$K$124="Navigational")*(Settings!$L$5:$L$124&lt;&gt;""))&gt;0,"Navigational",IF(SUMPRODUCT(ISNUMBER(SEARCH(" "&amp;Settings!$L$5:$L$124&amp;" "," "&amp;M649&amp;" "))*(Settings!$K$5:$K$124="Transactional")*(Settings!$L$5:$L$124&lt;&gt;""))&gt;0,"Transactional",IF(SUMPRODUCT(ISNUMBER(SEARCH(" "&amp;Settings!$L$5:$L$124&amp;" "," "&amp;M649&amp;" "))*(Settings!$K$5:$K$124="Commercial")*(Settings!$L$5:$L$124&lt;&gt;""))&gt;0,"Commercial",IF(SUMPRODUCT(ISNUMBER(SEARCH(" "&amp;Settings!$L$5:$L$124&amp;" "," "&amp;M649&amp;" "))*(Settings!$K$5:$K$124="Informational")*(Settings!$L$5:$L$124&lt;&gt;""))&gt;0,"Informational","Unclassified")))))</f>
        <v/>
      </c>
      <c r="O649">
        <f>IF(A649="","",IF(K649&lt;&gt;"",PROPER(K649),N649))</f>
        <v/>
      </c>
      <c r="P649">
        <f>IF(A649="","",ROUND(Settings!$B$5*MIN(1,LOG10(N(C649)+1)/LOG10(Settings!$B$7+1))+Settings!$B$6*(1-MIN(100,IF(D649="",50,N(D649)))/100)+IFERROR(INDEX(Settings!$B$10:$B$14,MATCH(O649,Settings!$A$10:$A$14,0)),0),0))</f>
        <v/>
      </c>
      <c r="Q649">
        <f>IF(OR(A649="",G649=""),"",COUNTIFS($M$3:$M$1002,M649,$G$3:$G$1002,"&lt;&gt;"&amp;SUBSTITUTE(SUBSTITUTE(G649,"?","~?"),"*","~*"),$G$3:$G$1002,"?*"))</f>
        <v/>
      </c>
      <c r="R649">
        <f>IF(Q649="","",IF(Q649&gt;0,"Yes","No"))</f>
        <v/>
      </c>
      <c r="S649">
        <f>IF(G649="","",COUNTIFS($G$3:$G$1002,SUBSTITUTE(SUBSTITUTE(G649,"?","~?"),"*","~*"),$J$3:$J$1002,"Primary"))</f>
        <v/>
      </c>
      <c r="T649">
        <f>IF(S649="","",IF(S649&gt;Settings!$B$4,"Yes","No"))</f>
        <v/>
      </c>
      <c r="U649">
        <f>IF(OR(G649="",B649=""),"",IF(COUNTIFS($G$3:$G$1002,SUBSTITUTE(SUBSTITUTE(G649,"?","~?"),"*","~*"),$B$3:$B$1002,"&lt;&gt;"&amp;SUBSTITUTE(SUBSTITUTE(B649,"?","~?"),"*","~*"),$B$3:$B$1002,"?*")&gt;0,"Yes","No"))</f>
        <v/>
      </c>
      <c r="V649">
        <f>IF(OR(G649="",I649="",O649="",O649="Unclassified"),"",IFERROR(INDEX(Settings!$E$5:$H$16,MATCH(I649,Settings!$D$5:$D$16,0),MATCH(O649,Settings!$E$4:$H$4,0)),"Check"))</f>
        <v/>
      </c>
      <c r="W649">
        <f>IF(V649="","",IF(V649="No","Yes","No"))</f>
        <v/>
      </c>
      <c r="X649">
        <f>IF(OR(E649="",G649=""),"",IF(LOWER(IF(RIGHT(TRIM(E649),1)="/",LEFT(TRIM(E649),LEN(TRIM(E649))-1),TRIM(E649)))&lt;&gt;LOWER(IF(RIGHT(TRIM(G649),1)="/",LEFT(TRIM(G649),LEN(TRIM(G649))-1),TRIM(G649))),"Yes","No"))</f>
        <v/>
      </c>
      <c r="Y649">
        <f>IF(A649="","",(N(Q649)&gt;0)+(T649="Yes")+(U649="Yes")+(W649="Yes")+(X649="Yes"))</f>
        <v/>
      </c>
      <c r="Z649">
        <f>IF(A649="","",IF(G649="","Not mapped",IF(Y649=0,"OK",MID(IF(N(Q649)&gt;0,"; Cannibalisation","")&amp;IF(T649="Yes","; Too many primary keywords on URL","")&amp;IF(U649="Yes","; URL spans 2+ clusters","")&amp;IF(W649="Yes","; Intent mismatch","")&amp;IF(X649="Yes","; Ranking URL is not the target",""),3,300))))</f>
        <v/>
      </c>
      <c r="AA649">
        <f>IF(G649="","",IF(COUNTIF($G$3:G649,SUBSTITUTE(SUBSTITUTE(G649,"?","~?"),"*","~*"))=1,MAX($AA$2:AA648)+1,""))</f>
        <v/>
      </c>
      <c r="AB649">
        <f>IF(B649="","",IF(COUNTIF($B$3:B649,SUBSTITUTE(SUBSTITUTE(B649,"?","~?"),"*","~*"))=1,MAX($AB$2:AB648)+1,""))</f>
        <v/>
      </c>
    </row>
    <row r="650">
      <c r="M650">
        <f>IF(A650="","",LOWER(TRIM(SUBSTITUTE(SUBSTITUTE(A650,"?",""),"*",""))))</f>
        <v/>
      </c>
      <c r="N650">
        <f>IF(M650="","",IF(SUMPRODUCT(ISNUMBER(SEARCH(" "&amp;Settings!$L$5:$L$124&amp;" "," "&amp;M650&amp;" "))*(Settings!$K$5:$K$124="Navigational")*(Settings!$L$5:$L$124&lt;&gt;""))&gt;0,"Navigational",IF(SUMPRODUCT(ISNUMBER(SEARCH(" "&amp;Settings!$L$5:$L$124&amp;" "," "&amp;M650&amp;" "))*(Settings!$K$5:$K$124="Transactional")*(Settings!$L$5:$L$124&lt;&gt;""))&gt;0,"Transactional",IF(SUMPRODUCT(ISNUMBER(SEARCH(" "&amp;Settings!$L$5:$L$124&amp;" "," "&amp;M650&amp;" "))*(Settings!$K$5:$K$124="Commercial")*(Settings!$L$5:$L$124&lt;&gt;""))&gt;0,"Commercial",IF(SUMPRODUCT(ISNUMBER(SEARCH(" "&amp;Settings!$L$5:$L$124&amp;" "," "&amp;M650&amp;" "))*(Settings!$K$5:$K$124="Informational")*(Settings!$L$5:$L$124&lt;&gt;""))&gt;0,"Informational","Unclassified")))))</f>
        <v/>
      </c>
      <c r="O650">
        <f>IF(A650="","",IF(K650&lt;&gt;"",PROPER(K650),N650))</f>
        <v/>
      </c>
      <c r="P650">
        <f>IF(A650="","",ROUND(Settings!$B$5*MIN(1,LOG10(N(C650)+1)/LOG10(Settings!$B$7+1))+Settings!$B$6*(1-MIN(100,IF(D650="",50,N(D650)))/100)+IFERROR(INDEX(Settings!$B$10:$B$14,MATCH(O650,Settings!$A$10:$A$14,0)),0),0))</f>
        <v/>
      </c>
      <c r="Q650">
        <f>IF(OR(A650="",G650=""),"",COUNTIFS($M$3:$M$1002,M650,$G$3:$G$1002,"&lt;&gt;"&amp;SUBSTITUTE(SUBSTITUTE(G650,"?","~?"),"*","~*"),$G$3:$G$1002,"?*"))</f>
        <v/>
      </c>
      <c r="R650">
        <f>IF(Q650="","",IF(Q650&gt;0,"Yes","No"))</f>
        <v/>
      </c>
      <c r="S650">
        <f>IF(G650="","",COUNTIFS($G$3:$G$1002,SUBSTITUTE(SUBSTITUTE(G650,"?","~?"),"*","~*"),$J$3:$J$1002,"Primary"))</f>
        <v/>
      </c>
      <c r="T650">
        <f>IF(S650="","",IF(S650&gt;Settings!$B$4,"Yes","No"))</f>
        <v/>
      </c>
      <c r="U650">
        <f>IF(OR(G650="",B650=""),"",IF(COUNTIFS($G$3:$G$1002,SUBSTITUTE(SUBSTITUTE(G650,"?","~?"),"*","~*"),$B$3:$B$1002,"&lt;&gt;"&amp;SUBSTITUTE(SUBSTITUTE(B650,"?","~?"),"*","~*"),$B$3:$B$1002,"?*")&gt;0,"Yes","No"))</f>
        <v/>
      </c>
      <c r="V650">
        <f>IF(OR(G650="",I650="",O650="",O650="Unclassified"),"",IFERROR(INDEX(Settings!$E$5:$H$16,MATCH(I650,Settings!$D$5:$D$16,0),MATCH(O650,Settings!$E$4:$H$4,0)),"Check"))</f>
        <v/>
      </c>
      <c r="W650">
        <f>IF(V650="","",IF(V650="No","Yes","No"))</f>
        <v/>
      </c>
      <c r="X650">
        <f>IF(OR(E650="",G650=""),"",IF(LOWER(IF(RIGHT(TRIM(E650),1)="/",LEFT(TRIM(E650),LEN(TRIM(E650))-1),TRIM(E650)))&lt;&gt;LOWER(IF(RIGHT(TRIM(G650),1)="/",LEFT(TRIM(G650),LEN(TRIM(G650))-1),TRIM(G650))),"Yes","No"))</f>
        <v/>
      </c>
      <c r="Y650">
        <f>IF(A650="","",(N(Q650)&gt;0)+(T650="Yes")+(U650="Yes")+(W650="Yes")+(X650="Yes"))</f>
        <v/>
      </c>
      <c r="Z650">
        <f>IF(A650="","",IF(G650="","Not mapped",IF(Y650=0,"OK",MID(IF(N(Q650)&gt;0,"; Cannibalisation","")&amp;IF(T650="Yes","; Too many primary keywords on URL","")&amp;IF(U650="Yes","; URL spans 2+ clusters","")&amp;IF(W650="Yes","; Intent mismatch","")&amp;IF(X650="Yes","; Ranking URL is not the target",""),3,300))))</f>
        <v/>
      </c>
      <c r="AA650">
        <f>IF(G650="","",IF(COUNTIF($G$3:G650,SUBSTITUTE(SUBSTITUTE(G650,"?","~?"),"*","~*"))=1,MAX($AA$2:AA649)+1,""))</f>
        <v/>
      </c>
      <c r="AB650">
        <f>IF(B650="","",IF(COUNTIF($B$3:B650,SUBSTITUTE(SUBSTITUTE(B650,"?","~?"),"*","~*"))=1,MAX($AB$2:AB649)+1,""))</f>
        <v/>
      </c>
    </row>
    <row r="651">
      <c r="M651">
        <f>IF(A651="","",LOWER(TRIM(SUBSTITUTE(SUBSTITUTE(A651,"?",""),"*",""))))</f>
        <v/>
      </c>
      <c r="N651">
        <f>IF(M651="","",IF(SUMPRODUCT(ISNUMBER(SEARCH(" "&amp;Settings!$L$5:$L$124&amp;" "," "&amp;M651&amp;" "))*(Settings!$K$5:$K$124="Navigational")*(Settings!$L$5:$L$124&lt;&gt;""))&gt;0,"Navigational",IF(SUMPRODUCT(ISNUMBER(SEARCH(" "&amp;Settings!$L$5:$L$124&amp;" "," "&amp;M651&amp;" "))*(Settings!$K$5:$K$124="Transactional")*(Settings!$L$5:$L$124&lt;&gt;""))&gt;0,"Transactional",IF(SUMPRODUCT(ISNUMBER(SEARCH(" "&amp;Settings!$L$5:$L$124&amp;" "," "&amp;M651&amp;" "))*(Settings!$K$5:$K$124="Commercial")*(Settings!$L$5:$L$124&lt;&gt;""))&gt;0,"Commercial",IF(SUMPRODUCT(ISNUMBER(SEARCH(" "&amp;Settings!$L$5:$L$124&amp;" "," "&amp;M651&amp;" "))*(Settings!$K$5:$K$124="Informational")*(Settings!$L$5:$L$124&lt;&gt;""))&gt;0,"Informational","Unclassified")))))</f>
        <v/>
      </c>
      <c r="O651">
        <f>IF(A651="","",IF(K651&lt;&gt;"",PROPER(K651),N651))</f>
        <v/>
      </c>
      <c r="P651">
        <f>IF(A651="","",ROUND(Settings!$B$5*MIN(1,LOG10(N(C651)+1)/LOG10(Settings!$B$7+1))+Settings!$B$6*(1-MIN(100,IF(D651="",50,N(D651)))/100)+IFERROR(INDEX(Settings!$B$10:$B$14,MATCH(O651,Settings!$A$10:$A$14,0)),0),0))</f>
        <v/>
      </c>
      <c r="Q651">
        <f>IF(OR(A651="",G651=""),"",COUNTIFS($M$3:$M$1002,M651,$G$3:$G$1002,"&lt;&gt;"&amp;SUBSTITUTE(SUBSTITUTE(G651,"?","~?"),"*","~*"),$G$3:$G$1002,"?*"))</f>
        <v/>
      </c>
      <c r="R651">
        <f>IF(Q651="","",IF(Q651&gt;0,"Yes","No"))</f>
        <v/>
      </c>
      <c r="S651">
        <f>IF(G651="","",COUNTIFS($G$3:$G$1002,SUBSTITUTE(SUBSTITUTE(G651,"?","~?"),"*","~*"),$J$3:$J$1002,"Primary"))</f>
        <v/>
      </c>
      <c r="T651">
        <f>IF(S651="","",IF(S651&gt;Settings!$B$4,"Yes","No"))</f>
        <v/>
      </c>
      <c r="U651">
        <f>IF(OR(G651="",B651=""),"",IF(COUNTIFS($G$3:$G$1002,SUBSTITUTE(SUBSTITUTE(G651,"?","~?"),"*","~*"),$B$3:$B$1002,"&lt;&gt;"&amp;SUBSTITUTE(SUBSTITUTE(B651,"?","~?"),"*","~*"),$B$3:$B$1002,"?*")&gt;0,"Yes","No"))</f>
        <v/>
      </c>
      <c r="V651">
        <f>IF(OR(G651="",I651="",O651="",O651="Unclassified"),"",IFERROR(INDEX(Settings!$E$5:$H$16,MATCH(I651,Settings!$D$5:$D$16,0),MATCH(O651,Settings!$E$4:$H$4,0)),"Check"))</f>
        <v/>
      </c>
      <c r="W651">
        <f>IF(V651="","",IF(V651="No","Yes","No"))</f>
        <v/>
      </c>
      <c r="X651">
        <f>IF(OR(E651="",G651=""),"",IF(LOWER(IF(RIGHT(TRIM(E651),1)="/",LEFT(TRIM(E651),LEN(TRIM(E651))-1),TRIM(E651)))&lt;&gt;LOWER(IF(RIGHT(TRIM(G651),1)="/",LEFT(TRIM(G651),LEN(TRIM(G651))-1),TRIM(G651))),"Yes","No"))</f>
        <v/>
      </c>
      <c r="Y651">
        <f>IF(A651="","",(N(Q651)&gt;0)+(T651="Yes")+(U651="Yes")+(W651="Yes")+(X651="Yes"))</f>
        <v/>
      </c>
      <c r="Z651">
        <f>IF(A651="","",IF(G651="","Not mapped",IF(Y651=0,"OK",MID(IF(N(Q651)&gt;0,"; Cannibalisation","")&amp;IF(T651="Yes","; Too many primary keywords on URL","")&amp;IF(U651="Yes","; URL spans 2+ clusters","")&amp;IF(W651="Yes","; Intent mismatch","")&amp;IF(X651="Yes","; Ranking URL is not the target",""),3,300))))</f>
        <v/>
      </c>
      <c r="AA651">
        <f>IF(G651="","",IF(COUNTIF($G$3:G651,SUBSTITUTE(SUBSTITUTE(G651,"?","~?"),"*","~*"))=1,MAX($AA$2:AA650)+1,""))</f>
        <v/>
      </c>
      <c r="AB651">
        <f>IF(B651="","",IF(COUNTIF($B$3:B651,SUBSTITUTE(SUBSTITUTE(B651,"?","~?"),"*","~*"))=1,MAX($AB$2:AB650)+1,""))</f>
        <v/>
      </c>
    </row>
    <row r="652">
      <c r="M652">
        <f>IF(A652="","",LOWER(TRIM(SUBSTITUTE(SUBSTITUTE(A652,"?",""),"*",""))))</f>
        <v/>
      </c>
      <c r="N652">
        <f>IF(M652="","",IF(SUMPRODUCT(ISNUMBER(SEARCH(" "&amp;Settings!$L$5:$L$124&amp;" "," "&amp;M652&amp;" "))*(Settings!$K$5:$K$124="Navigational")*(Settings!$L$5:$L$124&lt;&gt;""))&gt;0,"Navigational",IF(SUMPRODUCT(ISNUMBER(SEARCH(" "&amp;Settings!$L$5:$L$124&amp;" "," "&amp;M652&amp;" "))*(Settings!$K$5:$K$124="Transactional")*(Settings!$L$5:$L$124&lt;&gt;""))&gt;0,"Transactional",IF(SUMPRODUCT(ISNUMBER(SEARCH(" "&amp;Settings!$L$5:$L$124&amp;" "," "&amp;M652&amp;" "))*(Settings!$K$5:$K$124="Commercial")*(Settings!$L$5:$L$124&lt;&gt;""))&gt;0,"Commercial",IF(SUMPRODUCT(ISNUMBER(SEARCH(" "&amp;Settings!$L$5:$L$124&amp;" "," "&amp;M652&amp;" "))*(Settings!$K$5:$K$124="Informational")*(Settings!$L$5:$L$124&lt;&gt;""))&gt;0,"Informational","Unclassified")))))</f>
        <v/>
      </c>
      <c r="O652">
        <f>IF(A652="","",IF(K652&lt;&gt;"",PROPER(K652),N652))</f>
        <v/>
      </c>
      <c r="P652">
        <f>IF(A652="","",ROUND(Settings!$B$5*MIN(1,LOG10(N(C652)+1)/LOG10(Settings!$B$7+1))+Settings!$B$6*(1-MIN(100,IF(D652="",50,N(D652)))/100)+IFERROR(INDEX(Settings!$B$10:$B$14,MATCH(O652,Settings!$A$10:$A$14,0)),0),0))</f>
        <v/>
      </c>
      <c r="Q652">
        <f>IF(OR(A652="",G652=""),"",COUNTIFS($M$3:$M$1002,M652,$G$3:$G$1002,"&lt;&gt;"&amp;SUBSTITUTE(SUBSTITUTE(G652,"?","~?"),"*","~*"),$G$3:$G$1002,"?*"))</f>
        <v/>
      </c>
      <c r="R652">
        <f>IF(Q652="","",IF(Q652&gt;0,"Yes","No"))</f>
        <v/>
      </c>
      <c r="S652">
        <f>IF(G652="","",COUNTIFS($G$3:$G$1002,SUBSTITUTE(SUBSTITUTE(G652,"?","~?"),"*","~*"),$J$3:$J$1002,"Primary"))</f>
        <v/>
      </c>
      <c r="T652">
        <f>IF(S652="","",IF(S652&gt;Settings!$B$4,"Yes","No"))</f>
        <v/>
      </c>
      <c r="U652">
        <f>IF(OR(G652="",B652=""),"",IF(COUNTIFS($G$3:$G$1002,SUBSTITUTE(SUBSTITUTE(G652,"?","~?"),"*","~*"),$B$3:$B$1002,"&lt;&gt;"&amp;SUBSTITUTE(SUBSTITUTE(B652,"?","~?"),"*","~*"),$B$3:$B$1002,"?*")&gt;0,"Yes","No"))</f>
        <v/>
      </c>
      <c r="V652">
        <f>IF(OR(G652="",I652="",O652="",O652="Unclassified"),"",IFERROR(INDEX(Settings!$E$5:$H$16,MATCH(I652,Settings!$D$5:$D$16,0),MATCH(O652,Settings!$E$4:$H$4,0)),"Check"))</f>
        <v/>
      </c>
      <c r="W652">
        <f>IF(V652="","",IF(V652="No","Yes","No"))</f>
        <v/>
      </c>
      <c r="X652">
        <f>IF(OR(E652="",G652=""),"",IF(LOWER(IF(RIGHT(TRIM(E652),1)="/",LEFT(TRIM(E652),LEN(TRIM(E652))-1),TRIM(E652)))&lt;&gt;LOWER(IF(RIGHT(TRIM(G652),1)="/",LEFT(TRIM(G652),LEN(TRIM(G652))-1),TRIM(G652))),"Yes","No"))</f>
        <v/>
      </c>
      <c r="Y652">
        <f>IF(A652="","",(N(Q652)&gt;0)+(T652="Yes")+(U652="Yes")+(W652="Yes")+(X652="Yes"))</f>
        <v/>
      </c>
      <c r="Z652">
        <f>IF(A652="","",IF(G652="","Not mapped",IF(Y652=0,"OK",MID(IF(N(Q652)&gt;0,"; Cannibalisation","")&amp;IF(T652="Yes","; Too many primary keywords on URL","")&amp;IF(U652="Yes","; URL spans 2+ clusters","")&amp;IF(W652="Yes","; Intent mismatch","")&amp;IF(X652="Yes","; Ranking URL is not the target",""),3,300))))</f>
        <v/>
      </c>
      <c r="AA652">
        <f>IF(G652="","",IF(COUNTIF($G$3:G652,SUBSTITUTE(SUBSTITUTE(G652,"?","~?"),"*","~*"))=1,MAX($AA$2:AA651)+1,""))</f>
        <v/>
      </c>
      <c r="AB652">
        <f>IF(B652="","",IF(COUNTIF($B$3:B652,SUBSTITUTE(SUBSTITUTE(B652,"?","~?"),"*","~*"))=1,MAX($AB$2:AB651)+1,""))</f>
        <v/>
      </c>
    </row>
    <row r="653">
      <c r="M653">
        <f>IF(A653="","",LOWER(TRIM(SUBSTITUTE(SUBSTITUTE(A653,"?",""),"*",""))))</f>
        <v/>
      </c>
      <c r="N653">
        <f>IF(M653="","",IF(SUMPRODUCT(ISNUMBER(SEARCH(" "&amp;Settings!$L$5:$L$124&amp;" "," "&amp;M653&amp;" "))*(Settings!$K$5:$K$124="Navigational")*(Settings!$L$5:$L$124&lt;&gt;""))&gt;0,"Navigational",IF(SUMPRODUCT(ISNUMBER(SEARCH(" "&amp;Settings!$L$5:$L$124&amp;" "," "&amp;M653&amp;" "))*(Settings!$K$5:$K$124="Transactional")*(Settings!$L$5:$L$124&lt;&gt;""))&gt;0,"Transactional",IF(SUMPRODUCT(ISNUMBER(SEARCH(" "&amp;Settings!$L$5:$L$124&amp;" "," "&amp;M653&amp;" "))*(Settings!$K$5:$K$124="Commercial")*(Settings!$L$5:$L$124&lt;&gt;""))&gt;0,"Commercial",IF(SUMPRODUCT(ISNUMBER(SEARCH(" "&amp;Settings!$L$5:$L$124&amp;" "," "&amp;M653&amp;" "))*(Settings!$K$5:$K$124="Informational")*(Settings!$L$5:$L$124&lt;&gt;""))&gt;0,"Informational","Unclassified")))))</f>
        <v/>
      </c>
      <c r="O653">
        <f>IF(A653="","",IF(K653&lt;&gt;"",PROPER(K653),N653))</f>
        <v/>
      </c>
      <c r="P653">
        <f>IF(A653="","",ROUND(Settings!$B$5*MIN(1,LOG10(N(C653)+1)/LOG10(Settings!$B$7+1))+Settings!$B$6*(1-MIN(100,IF(D653="",50,N(D653)))/100)+IFERROR(INDEX(Settings!$B$10:$B$14,MATCH(O653,Settings!$A$10:$A$14,0)),0),0))</f>
        <v/>
      </c>
      <c r="Q653">
        <f>IF(OR(A653="",G653=""),"",COUNTIFS($M$3:$M$1002,M653,$G$3:$G$1002,"&lt;&gt;"&amp;SUBSTITUTE(SUBSTITUTE(G653,"?","~?"),"*","~*"),$G$3:$G$1002,"?*"))</f>
        <v/>
      </c>
      <c r="R653">
        <f>IF(Q653="","",IF(Q653&gt;0,"Yes","No"))</f>
        <v/>
      </c>
      <c r="S653">
        <f>IF(G653="","",COUNTIFS($G$3:$G$1002,SUBSTITUTE(SUBSTITUTE(G653,"?","~?"),"*","~*"),$J$3:$J$1002,"Primary"))</f>
        <v/>
      </c>
      <c r="T653">
        <f>IF(S653="","",IF(S653&gt;Settings!$B$4,"Yes","No"))</f>
        <v/>
      </c>
      <c r="U653">
        <f>IF(OR(G653="",B653=""),"",IF(COUNTIFS($G$3:$G$1002,SUBSTITUTE(SUBSTITUTE(G653,"?","~?"),"*","~*"),$B$3:$B$1002,"&lt;&gt;"&amp;SUBSTITUTE(SUBSTITUTE(B653,"?","~?"),"*","~*"),$B$3:$B$1002,"?*")&gt;0,"Yes","No"))</f>
        <v/>
      </c>
      <c r="V653">
        <f>IF(OR(G653="",I653="",O653="",O653="Unclassified"),"",IFERROR(INDEX(Settings!$E$5:$H$16,MATCH(I653,Settings!$D$5:$D$16,0),MATCH(O653,Settings!$E$4:$H$4,0)),"Check"))</f>
        <v/>
      </c>
      <c r="W653">
        <f>IF(V653="","",IF(V653="No","Yes","No"))</f>
        <v/>
      </c>
      <c r="X653">
        <f>IF(OR(E653="",G653=""),"",IF(LOWER(IF(RIGHT(TRIM(E653),1)="/",LEFT(TRIM(E653),LEN(TRIM(E653))-1),TRIM(E653)))&lt;&gt;LOWER(IF(RIGHT(TRIM(G653),1)="/",LEFT(TRIM(G653),LEN(TRIM(G653))-1),TRIM(G653))),"Yes","No"))</f>
        <v/>
      </c>
      <c r="Y653">
        <f>IF(A653="","",(N(Q653)&gt;0)+(T653="Yes")+(U653="Yes")+(W653="Yes")+(X653="Yes"))</f>
        <v/>
      </c>
      <c r="Z653">
        <f>IF(A653="","",IF(G653="","Not mapped",IF(Y653=0,"OK",MID(IF(N(Q653)&gt;0,"; Cannibalisation","")&amp;IF(T653="Yes","; Too many primary keywords on URL","")&amp;IF(U653="Yes","; URL spans 2+ clusters","")&amp;IF(W653="Yes","; Intent mismatch","")&amp;IF(X653="Yes","; Ranking URL is not the target",""),3,300))))</f>
        <v/>
      </c>
      <c r="AA653">
        <f>IF(G653="","",IF(COUNTIF($G$3:G653,SUBSTITUTE(SUBSTITUTE(G653,"?","~?"),"*","~*"))=1,MAX($AA$2:AA652)+1,""))</f>
        <v/>
      </c>
      <c r="AB653">
        <f>IF(B653="","",IF(COUNTIF($B$3:B653,SUBSTITUTE(SUBSTITUTE(B653,"?","~?"),"*","~*"))=1,MAX($AB$2:AB652)+1,""))</f>
        <v/>
      </c>
    </row>
    <row r="654">
      <c r="M654">
        <f>IF(A654="","",LOWER(TRIM(SUBSTITUTE(SUBSTITUTE(A654,"?",""),"*",""))))</f>
        <v/>
      </c>
      <c r="N654">
        <f>IF(M654="","",IF(SUMPRODUCT(ISNUMBER(SEARCH(" "&amp;Settings!$L$5:$L$124&amp;" "," "&amp;M654&amp;" "))*(Settings!$K$5:$K$124="Navigational")*(Settings!$L$5:$L$124&lt;&gt;""))&gt;0,"Navigational",IF(SUMPRODUCT(ISNUMBER(SEARCH(" "&amp;Settings!$L$5:$L$124&amp;" "," "&amp;M654&amp;" "))*(Settings!$K$5:$K$124="Transactional")*(Settings!$L$5:$L$124&lt;&gt;""))&gt;0,"Transactional",IF(SUMPRODUCT(ISNUMBER(SEARCH(" "&amp;Settings!$L$5:$L$124&amp;" "," "&amp;M654&amp;" "))*(Settings!$K$5:$K$124="Commercial")*(Settings!$L$5:$L$124&lt;&gt;""))&gt;0,"Commercial",IF(SUMPRODUCT(ISNUMBER(SEARCH(" "&amp;Settings!$L$5:$L$124&amp;" "," "&amp;M654&amp;" "))*(Settings!$K$5:$K$124="Informational")*(Settings!$L$5:$L$124&lt;&gt;""))&gt;0,"Informational","Unclassified")))))</f>
        <v/>
      </c>
      <c r="O654">
        <f>IF(A654="","",IF(K654&lt;&gt;"",PROPER(K654),N654))</f>
        <v/>
      </c>
      <c r="P654">
        <f>IF(A654="","",ROUND(Settings!$B$5*MIN(1,LOG10(N(C654)+1)/LOG10(Settings!$B$7+1))+Settings!$B$6*(1-MIN(100,IF(D654="",50,N(D654)))/100)+IFERROR(INDEX(Settings!$B$10:$B$14,MATCH(O654,Settings!$A$10:$A$14,0)),0),0))</f>
        <v/>
      </c>
      <c r="Q654">
        <f>IF(OR(A654="",G654=""),"",COUNTIFS($M$3:$M$1002,M654,$G$3:$G$1002,"&lt;&gt;"&amp;SUBSTITUTE(SUBSTITUTE(G654,"?","~?"),"*","~*"),$G$3:$G$1002,"?*"))</f>
        <v/>
      </c>
      <c r="R654">
        <f>IF(Q654="","",IF(Q654&gt;0,"Yes","No"))</f>
        <v/>
      </c>
      <c r="S654">
        <f>IF(G654="","",COUNTIFS($G$3:$G$1002,SUBSTITUTE(SUBSTITUTE(G654,"?","~?"),"*","~*"),$J$3:$J$1002,"Primary"))</f>
        <v/>
      </c>
      <c r="T654">
        <f>IF(S654="","",IF(S654&gt;Settings!$B$4,"Yes","No"))</f>
        <v/>
      </c>
      <c r="U654">
        <f>IF(OR(G654="",B654=""),"",IF(COUNTIFS($G$3:$G$1002,SUBSTITUTE(SUBSTITUTE(G654,"?","~?"),"*","~*"),$B$3:$B$1002,"&lt;&gt;"&amp;SUBSTITUTE(SUBSTITUTE(B654,"?","~?"),"*","~*"),$B$3:$B$1002,"?*")&gt;0,"Yes","No"))</f>
        <v/>
      </c>
      <c r="V654">
        <f>IF(OR(G654="",I654="",O654="",O654="Unclassified"),"",IFERROR(INDEX(Settings!$E$5:$H$16,MATCH(I654,Settings!$D$5:$D$16,0),MATCH(O654,Settings!$E$4:$H$4,0)),"Check"))</f>
        <v/>
      </c>
      <c r="W654">
        <f>IF(V654="","",IF(V654="No","Yes","No"))</f>
        <v/>
      </c>
      <c r="X654">
        <f>IF(OR(E654="",G654=""),"",IF(LOWER(IF(RIGHT(TRIM(E654),1)="/",LEFT(TRIM(E654),LEN(TRIM(E654))-1),TRIM(E654)))&lt;&gt;LOWER(IF(RIGHT(TRIM(G654),1)="/",LEFT(TRIM(G654),LEN(TRIM(G654))-1),TRIM(G654))),"Yes","No"))</f>
        <v/>
      </c>
      <c r="Y654">
        <f>IF(A654="","",(N(Q654)&gt;0)+(T654="Yes")+(U654="Yes")+(W654="Yes")+(X654="Yes"))</f>
        <v/>
      </c>
      <c r="Z654">
        <f>IF(A654="","",IF(G654="","Not mapped",IF(Y654=0,"OK",MID(IF(N(Q654)&gt;0,"; Cannibalisation","")&amp;IF(T654="Yes","; Too many primary keywords on URL","")&amp;IF(U654="Yes","; URL spans 2+ clusters","")&amp;IF(W654="Yes","; Intent mismatch","")&amp;IF(X654="Yes","; Ranking URL is not the target",""),3,300))))</f>
        <v/>
      </c>
      <c r="AA654">
        <f>IF(G654="","",IF(COUNTIF($G$3:G654,SUBSTITUTE(SUBSTITUTE(G654,"?","~?"),"*","~*"))=1,MAX($AA$2:AA653)+1,""))</f>
        <v/>
      </c>
      <c r="AB654">
        <f>IF(B654="","",IF(COUNTIF($B$3:B654,SUBSTITUTE(SUBSTITUTE(B654,"?","~?"),"*","~*"))=1,MAX($AB$2:AB653)+1,""))</f>
        <v/>
      </c>
    </row>
    <row r="655">
      <c r="M655">
        <f>IF(A655="","",LOWER(TRIM(SUBSTITUTE(SUBSTITUTE(A655,"?",""),"*",""))))</f>
        <v/>
      </c>
      <c r="N655">
        <f>IF(M655="","",IF(SUMPRODUCT(ISNUMBER(SEARCH(" "&amp;Settings!$L$5:$L$124&amp;" "," "&amp;M655&amp;" "))*(Settings!$K$5:$K$124="Navigational")*(Settings!$L$5:$L$124&lt;&gt;""))&gt;0,"Navigational",IF(SUMPRODUCT(ISNUMBER(SEARCH(" "&amp;Settings!$L$5:$L$124&amp;" "," "&amp;M655&amp;" "))*(Settings!$K$5:$K$124="Transactional")*(Settings!$L$5:$L$124&lt;&gt;""))&gt;0,"Transactional",IF(SUMPRODUCT(ISNUMBER(SEARCH(" "&amp;Settings!$L$5:$L$124&amp;" "," "&amp;M655&amp;" "))*(Settings!$K$5:$K$124="Commercial")*(Settings!$L$5:$L$124&lt;&gt;""))&gt;0,"Commercial",IF(SUMPRODUCT(ISNUMBER(SEARCH(" "&amp;Settings!$L$5:$L$124&amp;" "," "&amp;M655&amp;" "))*(Settings!$K$5:$K$124="Informational")*(Settings!$L$5:$L$124&lt;&gt;""))&gt;0,"Informational","Unclassified")))))</f>
        <v/>
      </c>
      <c r="O655">
        <f>IF(A655="","",IF(K655&lt;&gt;"",PROPER(K655),N655))</f>
        <v/>
      </c>
      <c r="P655">
        <f>IF(A655="","",ROUND(Settings!$B$5*MIN(1,LOG10(N(C655)+1)/LOG10(Settings!$B$7+1))+Settings!$B$6*(1-MIN(100,IF(D655="",50,N(D655)))/100)+IFERROR(INDEX(Settings!$B$10:$B$14,MATCH(O655,Settings!$A$10:$A$14,0)),0),0))</f>
        <v/>
      </c>
      <c r="Q655">
        <f>IF(OR(A655="",G655=""),"",COUNTIFS($M$3:$M$1002,M655,$G$3:$G$1002,"&lt;&gt;"&amp;SUBSTITUTE(SUBSTITUTE(G655,"?","~?"),"*","~*"),$G$3:$G$1002,"?*"))</f>
        <v/>
      </c>
      <c r="R655">
        <f>IF(Q655="","",IF(Q655&gt;0,"Yes","No"))</f>
        <v/>
      </c>
      <c r="S655">
        <f>IF(G655="","",COUNTIFS($G$3:$G$1002,SUBSTITUTE(SUBSTITUTE(G655,"?","~?"),"*","~*"),$J$3:$J$1002,"Primary"))</f>
        <v/>
      </c>
      <c r="T655">
        <f>IF(S655="","",IF(S655&gt;Settings!$B$4,"Yes","No"))</f>
        <v/>
      </c>
      <c r="U655">
        <f>IF(OR(G655="",B655=""),"",IF(COUNTIFS($G$3:$G$1002,SUBSTITUTE(SUBSTITUTE(G655,"?","~?"),"*","~*"),$B$3:$B$1002,"&lt;&gt;"&amp;SUBSTITUTE(SUBSTITUTE(B655,"?","~?"),"*","~*"),$B$3:$B$1002,"?*")&gt;0,"Yes","No"))</f>
        <v/>
      </c>
      <c r="V655">
        <f>IF(OR(G655="",I655="",O655="",O655="Unclassified"),"",IFERROR(INDEX(Settings!$E$5:$H$16,MATCH(I655,Settings!$D$5:$D$16,0),MATCH(O655,Settings!$E$4:$H$4,0)),"Check"))</f>
        <v/>
      </c>
      <c r="W655">
        <f>IF(V655="","",IF(V655="No","Yes","No"))</f>
        <v/>
      </c>
      <c r="X655">
        <f>IF(OR(E655="",G655=""),"",IF(LOWER(IF(RIGHT(TRIM(E655),1)="/",LEFT(TRIM(E655),LEN(TRIM(E655))-1),TRIM(E655)))&lt;&gt;LOWER(IF(RIGHT(TRIM(G655),1)="/",LEFT(TRIM(G655),LEN(TRIM(G655))-1),TRIM(G655))),"Yes","No"))</f>
        <v/>
      </c>
      <c r="Y655">
        <f>IF(A655="","",(N(Q655)&gt;0)+(T655="Yes")+(U655="Yes")+(W655="Yes")+(X655="Yes"))</f>
        <v/>
      </c>
      <c r="Z655">
        <f>IF(A655="","",IF(G655="","Not mapped",IF(Y655=0,"OK",MID(IF(N(Q655)&gt;0,"; Cannibalisation","")&amp;IF(T655="Yes","; Too many primary keywords on URL","")&amp;IF(U655="Yes","; URL spans 2+ clusters","")&amp;IF(W655="Yes","; Intent mismatch","")&amp;IF(X655="Yes","; Ranking URL is not the target",""),3,300))))</f>
        <v/>
      </c>
      <c r="AA655">
        <f>IF(G655="","",IF(COUNTIF($G$3:G655,SUBSTITUTE(SUBSTITUTE(G655,"?","~?"),"*","~*"))=1,MAX($AA$2:AA654)+1,""))</f>
        <v/>
      </c>
      <c r="AB655">
        <f>IF(B655="","",IF(COUNTIF($B$3:B655,SUBSTITUTE(SUBSTITUTE(B655,"?","~?"),"*","~*"))=1,MAX($AB$2:AB654)+1,""))</f>
        <v/>
      </c>
    </row>
    <row r="656">
      <c r="M656">
        <f>IF(A656="","",LOWER(TRIM(SUBSTITUTE(SUBSTITUTE(A656,"?",""),"*",""))))</f>
        <v/>
      </c>
      <c r="N656">
        <f>IF(M656="","",IF(SUMPRODUCT(ISNUMBER(SEARCH(" "&amp;Settings!$L$5:$L$124&amp;" "," "&amp;M656&amp;" "))*(Settings!$K$5:$K$124="Navigational")*(Settings!$L$5:$L$124&lt;&gt;""))&gt;0,"Navigational",IF(SUMPRODUCT(ISNUMBER(SEARCH(" "&amp;Settings!$L$5:$L$124&amp;" "," "&amp;M656&amp;" "))*(Settings!$K$5:$K$124="Transactional")*(Settings!$L$5:$L$124&lt;&gt;""))&gt;0,"Transactional",IF(SUMPRODUCT(ISNUMBER(SEARCH(" "&amp;Settings!$L$5:$L$124&amp;" "," "&amp;M656&amp;" "))*(Settings!$K$5:$K$124="Commercial")*(Settings!$L$5:$L$124&lt;&gt;""))&gt;0,"Commercial",IF(SUMPRODUCT(ISNUMBER(SEARCH(" "&amp;Settings!$L$5:$L$124&amp;" "," "&amp;M656&amp;" "))*(Settings!$K$5:$K$124="Informational")*(Settings!$L$5:$L$124&lt;&gt;""))&gt;0,"Informational","Unclassified")))))</f>
        <v/>
      </c>
      <c r="O656">
        <f>IF(A656="","",IF(K656&lt;&gt;"",PROPER(K656),N656))</f>
        <v/>
      </c>
      <c r="P656">
        <f>IF(A656="","",ROUND(Settings!$B$5*MIN(1,LOG10(N(C656)+1)/LOG10(Settings!$B$7+1))+Settings!$B$6*(1-MIN(100,IF(D656="",50,N(D656)))/100)+IFERROR(INDEX(Settings!$B$10:$B$14,MATCH(O656,Settings!$A$10:$A$14,0)),0),0))</f>
        <v/>
      </c>
      <c r="Q656">
        <f>IF(OR(A656="",G656=""),"",COUNTIFS($M$3:$M$1002,M656,$G$3:$G$1002,"&lt;&gt;"&amp;SUBSTITUTE(SUBSTITUTE(G656,"?","~?"),"*","~*"),$G$3:$G$1002,"?*"))</f>
        <v/>
      </c>
      <c r="R656">
        <f>IF(Q656="","",IF(Q656&gt;0,"Yes","No"))</f>
        <v/>
      </c>
      <c r="S656">
        <f>IF(G656="","",COUNTIFS($G$3:$G$1002,SUBSTITUTE(SUBSTITUTE(G656,"?","~?"),"*","~*"),$J$3:$J$1002,"Primary"))</f>
        <v/>
      </c>
      <c r="T656">
        <f>IF(S656="","",IF(S656&gt;Settings!$B$4,"Yes","No"))</f>
        <v/>
      </c>
      <c r="U656">
        <f>IF(OR(G656="",B656=""),"",IF(COUNTIFS($G$3:$G$1002,SUBSTITUTE(SUBSTITUTE(G656,"?","~?"),"*","~*"),$B$3:$B$1002,"&lt;&gt;"&amp;SUBSTITUTE(SUBSTITUTE(B656,"?","~?"),"*","~*"),$B$3:$B$1002,"?*")&gt;0,"Yes","No"))</f>
        <v/>
      </c>
      <c r="V656">
        <f>IF(OR(G656="",I656="",O656="",O656="Unclassified"),"",IFERROR(INDEX(Settings!$E$5:$H$16,MATCH(I656,Settings!$D$5:$D$16,0),MATCH(O656,Settings!$E$4:$H$4,0)),"Check"))</f>
        <v/>
      </c>
      <c r="W656">
        <f>IF(V656="","",IF(V656="No","Yes","No"))</f>
        <v/>
      </c>
      <c r="X656">
        <f>IF(OR(E656="",G656=""),"",IF(LOWER(IF(RIGHT(TRIM(E656),1)="/",LEFT(TRIM(E656),LEN(TRIM(E656))-1),TRIM(E656)))&lt;&gt;LOWER(IF(RIGHT(TRIM(G656),1)="/",LEFT(TRIM(G656),LEN(TRIM(G656))-1),TRIM(G656))),"Yes","No"))</f>
        <v/>
      </c>
      <c r="Y656">
        <f>IF(A656="","",(N(Q656)&gt;0)+(T656="Yes")+(U656="Yes")+(W656="Yes")+(X656="Yes"))</f>
        <v/>
      </c>
      <c r="Z656">
        <f>IF(A656="","",IF(G656="","Not mapped",IF(Y656=0,"OK",MID(IF(N(Q656)&gt;0,"; Cannibalisation","")&amp;IF(T656="Yes","; Too many primary keywords on URL","")&amp;IF(U656="Yes","; URL spans 2+ clusters","")&amp;IF(W656="Yes","; Intent mismatch","")&amp;IF(X656="Yes","; Ranking URL is not the target",""),3,300))))</f>
        <v/>
      </c>
      <c r="AA656">
        <f>IF(G656="","",IF(COUNTIF($G$3:G656,SUBSTITUTE(SUBSTITUTE(G656,"?","~?"),"*","~*"))=1,MAX($AA$2:AA655)+1,""))</f>
        <v/>
      </c>
      <c r="AB656">
        <f>IF(B656="","",IF(COUNTIF($B$3:B656,SUBSTITUTE(SUBSTITUTE(B656,"?","~?"),"*","~*"))=1,MAX($AB$2:AB655)+1,""))</f>
        <v/>
      </c>
    </row>
    <row r="657">
      <c r="M657">
        <f>IF(A657="","",LOWER(TRIM(SUBSTITUTE(SUBSTITUTE(A657,"?",""),"*",""))))</f>
        <v/>
      </c>
      <c r="N657">
        <f>IF(M657="","",IF(SUMPRODUCT(ISNUMBER(SEARCH(" "&amp;Settings!$L$5:$L$124&amp;" "," "&amp;M657&amp;" "))*(Settings!$K$5:$K$124="Navigational")*(Settings!$L$5:$L$124&lt;&gt;""))&gt;0,"Navigational",IF(SUMPRODUCT(ISNUMBER(SEARCH(" "&amp;Settings!$L$5:$L$124&amp;" "," "&amp;M657&amp;" "))*(Settings!$K$5:$K$124="Transactional")*(Settings!$L$5:$L$124&lt;&gt;""))&gt;0,"Transactional",IF(SUMPRODUCT(ISNUMBER(SEARCH(" "&amp;Settings!$L$5:$L$124&amp;" "," "&amp;M657&amp;" "))*(Settings!$K$5:$K$124="Commercial")*(Settings!$L$5:$L$124&lt;&gt;""))&gt;0,"Commercial",IF(SUMPRODUCT(ISNUMBER(SEARCH(" "&amp;Settings!$L$5:$L$124&amp;" "," "&amp;M657&amp;" "))*(Settings!$K$5:$K$124="Informational")*(Settings!$L$5:$L$124&lt;&gt;""))&gt;0,"Informational","Unclassified")))))</f>
        <v/>
      </c>
      <c r="O657">
        <f>IF(A657="","",IF(K657&lt;&gt;"",PROPER(K657),N657))</f>
        <v/>
      </c>
      <c r="P657">
        <f>IF(A657="","",ROUND(Settings!$B$5*MIN(1,LOG10(N(C657)+1)/LOG10(Settings!$B$7+1))+Settings!$B$6*(1-MIN(100,IF(D657="",50,N(D657)))/100)+IFERROR(INDEX(Settings!$B$10:$B$14,MATCH(O657,Settings!$A$10:$A$14,0)),0),0))</f>
        <v/>
      </c>
      <c r="Q657">
        <f>IF(OR(A657="",G657=""),"",COUNTIFS($M$3:$M$1002,M657,$G$3:$G$1002,"&lt;&gt;"&amp;SUBSTITUTE(SUBSTITUTE(G657,"?","~?"),"*","~*"),$G$3:$G$1002,"?*"))</f>
        <v/>
      </c>
      <c r="R657">
        <f>IF(Q657="","",IF(Q657&gt;0,"Yes","No"))</f>
        <v/>
      </c>
      <c r="S657">
        <f>IF(G657="","",COUNTIFS($G$3:$G$1002,SUBSTITUTE(SUBSTITUTE(G657,"?","~?"),"*","~*"),$J$3:$J$1002,"Primary"))</f>
        <v/>
      </c>
      <c r="T657">
        <f>IF(S657="","",IF(S657&gt;Settings!$B$4,"Yes","No"))</f>
        <v/>
      </c>
      <c r="U657">
        <f>IF(OR(G657="",B657=""),"",IF(COUNTIFS($G$3:$G$1002,SUBSTITUTE(SUBSTITUTE(G657,"?","~?"),"*","~*"),$B$3:$B$1002,"&lt;&gt;"&amp;SUBSTITUTE(SUBSTITUTE(B657,"?","~?"),"*","~*"),$B$3:$B$1002,"?*")&gt;0,"Yes","No"))</f>
        <v/>
      </c>
      <c r="V657">
        <f>IF(OR(G657="",I657="",O657="",O657="Unclassified"),"",IFERROR(INDEX(Settings!$E$5:$H$16,MATCH(I657,Settings!$D$5:$D$16,0),MATCH(O657,Settings!$E$4:$H$4,0)),"Check"))</f>
        <v/>
      </c>
      <c r="W657">
        <f>IF(V657="","",IF(V657="No","Yes","No"))</f>
        <v/>
      </c>
      <c r="X657">
        <f>IF(OR(E657="",G657=""),"",IF(LOWER(IF(RIGHT(TRIM(E657),1)="/",LEFT(TRIM(E657),LEN(TRIM(E657))-1),TRIM(E657)))&lt;&gt;LOWER(IF(RIGHT(TRIM(G657),1)="/",LEFT(TRIM(G657),LEN(TRIM(G657))-1),TRIM(G657))),"Yes","No"))</f>
        <v/>
      </c>
      <c r="Y657">
        <f>IF(A657="","",(N(Q657)&gt;0)+(T657="Yes")+(U657="Yes")+(W657="Yes")+(X657="Yes"))</f>
        <v/>
      </c>
      <c r="Z657">
        <f>IF(A657="","",IF(G657="","Not mapped",IF(Y657=0,"OK",MID(IF(N(Q657)&gt;0,"; Cannibalisation","")&amp;IF(T657="Yes","; Too many primary keywords on URL","")&amp;IF(U657="Yes","; URL spans 2+ clusters","")&amp;IF(W657="Yes","; Intent mismatch","")&amp;IF(X657="Yes","; Ranking URL is not the target",""),3,300))))</f>
        <v/>
      </c>
      <c r="AA657">
        <f>IF(G657="","",IF(COUNTIF($G$3:G657,SUBSTITUTE(SUBSTITUTE(G657,"?","~?"),"*","~*"))=1,MAX($AA$2:AA656)+1,""))</f>
        <v/>
      </c>
      <c r="AB657">
        <f>IF(B657="","",IF(COUNTIF($B$3:B657,SUBSTITUTE(SUBSTITUTE(B657,"?","~?"),"*","~*"))=1,MAX($AB$2:AB656)+1,""))</f>
        <v/>
      </c>
    </row>
    <row r="658">
      <c r="M658">
        <f>IF(A658="","",LOWER(TRIM(SUBSTITUTE(SUBSTITUTE(A658,"?",""),"*",""))))</f>
        <v/>
      </c>
      <c r="N658">
        <f>IF(M658="","",IF(SUMPRODUCT(ISNUMBER(SEARCH(" "&amp;Settings!$L$5:$L$124&amp;" "," "&amp;M658&amp;" "))*(Settings!$K$5:$K$124="Navigational")*(Settings!$L$5:$L$124&lt;&gt;""))&gt;0,"Navigational",IF(SUMPRODUCT(ISNUMBER(SEARCH(" "&amp;Settings!$L$5:$L$124&amp;" "," "&amp;M658&amp;" "))*(Settings!$K$5:$K$124="Transactional")*(Settings!$L$5:$L$124&lt;&gt;""))&gt;0,"Transactional",IF(SUMPRODUCT(ISNUMBER(SEARCH(" "&amp;Settings!$L$5:$L$124&amp;" "," "&amp;M658&amp;" "))*(Settings!$K$5:$K$124="Commercial")*(Settings!$L$5:$L$124&lt;&gt;""))&gt;0,"Commercial",IF(SUMPRODUCT(ISNUMBER(SEARCH(" "&amp;Settings!$L$5:$L$124&amp;" "," "&amp;M658&amp;" "))*(Settings!$K$5:$K$124="Informational")*(Settings!$L$5:$L$124&lt;&gt;""))&gt;0,"Informational","Unclassified")))))</f>
        <v/>
      </c>
      <c r="O658">
        <f>IF(A658="","",IF(K658&lt;&gt;"",PROPER(K658),N658))</f>
        <v/>
      </c>
      <c r="P658">
        <f>IF(A658="","",ROUND(Settings!$B$5*MIN(1,LOG10(N(C658)+1)/LOG10(Settings!$B$7+1))+Settings!$B$6*(1-MIN(100,IF(D658="",50,N(D658)))/100)+IFERROR(INDEX(Settings!$B$10:$B$14,MATCH(O658,Settings!$A$10:$A$14,0)),0),0))</f>
        <v/>
      </c>
      <c r="Q658">
        <f>IF(OR(A658="",G658=""),"",COUNTIFS($M$3:$M$1002,M658,$G$3:$G$1002,"&lt;&gt;"&amp;SUBSTITUTE(SUBSTITUTE(G658,"?","~?"),"*","~*"),$G$3:$G$1002,"?*"))</f>
        <v/>
      </c>
      <c r="R658">
        <f>IF(Q658="","",IF(Q658&gt;0,"Yes","No"))</f>
        <v/>
      </c>
      <c r="S658">
        <f>IF(G658="","",COUNTIFS($G$3:$G$1002,SUBSTITUTE(SUBSTITUTE(G658,"?","~?"),"*","~*"),$J$3:$J$1002,"Primary"))</f>
        <v/>
      </c>
      <c r="T658">
        <f>IF(S658="","",IF(S658&gt;Settings!$B$4,"Yes","No"))</f>
        <v/>
      </c>
      <c r="U658">
        <f>IF(OR(G658="",B658=""),"",IF(COUNTIFS($G$3:$G$1002,SUBSTITUTE(SUBSTITUTE(G658,"?","~?"),"*","~*"),$B$3:$B$1002,"&lt;&gt;"&amp;SUBSTITUTE(SUBSTITUTE(B658,"?","~?"),"*","~*"),$B$3:$B$1002,"?*")&gt;0,"Yes","No"))</f>
        <v/>
      </c>
      <c r="V658">
        <f>IF(OR(G658="",I658="",O658="",O658="Unclassified"),"",IFERROR(INDEX(Settings!$E$5:$H$16,MATCH(I658,Settings!$D$5:$D$16,0),MATCH(O658,Settings!$E$4:$H$4,0)),"Check"))</f>
        <v/>
      </c>
      <c r="W658">
        <f>IF(V658="","",IF(V658="No","Yes","No"))</f>
        <v/>
      </c>
      <c r="X658">
        <f>IF(OR(E658="",G658=""),"",IF(LOWER(IF(RIGHT(TRIM(E658),1)="/",LEFT(TRIM(E658),LEN(TRIM(E658))-1),TRIM(E658)))&lt;&gt;LOWER(IF(RIGHT(TRIM(G658),1)="/",LEFT(TRIM(G658),LEN(TRIM(G658))-1),TRIM(G658))),"Yes","No"))</f>
        <v/>
      </c>
      <c r="Y658">
        <f>IF(A658="","",(N(Q658)&gt;0)+(T658="Yes")+(U658="Yes")+(W658="Yes")+(X658="Yes"))</f>
        <v/>
      </c>
      <c r="Z658">
        <f>IF(A658="","",IF(G658="","Not mapped",IF(Y658=0,"OK",MID(IF(N(Q658)&gt;0,"; Cannibalisation","")&amp;IF(T658="Yes","; Too many primary keywords on URL","")&amp;IF(U658="Yes","; URL spans 2+ clusters","")&amp;IF(W658="Yes","; Intent mismatch","")&amp;IF(X658="Yes","; Ranking URL is not the target",""),3,300))))</f>
        <v/>
      </c>
      <c r="AA658">
        <f>IF(G658="","",IF(COUNTIF($G$3:G658,SUBSTITUTE(SUBSTITUTE(G658,"?","~?"),"*","~*"))=1,MAX($AA$2:AA657)+1,""))</f>
        <v/>
      </c>
      <c r="AB658">
        <f>IF(B658="","",IF(COUNTIF($B$3:B658,SUBSTITUTE(SUBSTITUTE(B658,"?","~?"),"*","~*"))=1,MAX($AB$2:AB657)+1,""))</f>
        <v/>
      </c>
    </row>
    <row r="659">
      <c r="M659">
        <f>IF(A659="","",LOWER(TRIM(SUBSTITUTE(SUBSTITUTE(A659,"?",""),"*",""))))</f>
        <v/>
      </c>
      <c r="N659">
        <f>IF(M659="","",IF(SUMPRODUCT(ISNUMBER(SEARCH(" "&amp;Settings!$L$5:$L$124&amp;" "," "&amp;M659&amp;" "))*(Settings!$K$5:$K$124="Navigational")*(Settings!$L$5:$L$124&lt;&gt;""))&gt;0,"Navigational",IF(SUMPRODUCT(ISNUMBER(SEARCH(" "&amp;Settings!$L$5:$L$124&amp;" "," "&amp;M659&amp;" "))*(Settings!$K$5:$K$124="Transactional")*(Settings!$L$5:$L$124&lt;&gt;""))&gt;0,"Transactional",IF(SUMPRODUCT(ISNUMBER(SEARCH(" "&amp;Settings!$L$5:$L$124&amp;" "," "&amp;M659&amp;" "))*(Settings!$K$5:$K$124="Commercial")*(Settings!$L$5:$L$124&lt;&gt;""))&gt;0,"Commercial",IF(SUMPRODUCT(ISNUMBER(SEARCH(" "&amp;Settings!$L$5:$L$124&amp;" "," "&amp;M659&amp;" "))*(Settings!$K$5:$K$124="Informational")*(Settings!$L$5:$L$124&lt;&gt;""))&gt;0,"Informational","Unclassified")))))</f>
        <v/>
      </c>
      <c r="O659">
        <f>IF(A659="","",IF(K659&lt;&gt;"",PROPER(K659),N659))</f>
        <v/>
      </c>
      <c r="P659">
        <f>IF(A659="","",ROUND(Settings!$B$5*MIN(1,LOG10(N(C659)+1)/LOG10(Settings!$B$7+1))+Settings!$B$6*(1-MIN(100,IF(D659="",50,N(D659)))/100)+IFERROR(INDEX(Settings!$B$10:$B$14,MATCH(O659,Settings!$A$10:$A$14,0)),0),0))</f>
        <v/>
      </c>
      <c r="Q659">
        <f>IF(OR(A659="",G659=""),"",COUNTIFS($M$3:$M$1002,M659,$G$3:$G$1002,"&lt;&gt;"&amp;SUBSTITUTE(SUBSTITUTE(G659,"?","~?"),"*","~*"),$G$3:$G$1002,"?*"))</f>
        <v/>
      </c>
      <c r="R659">
        <f>IF(Q659="","",IF(Q659&gt;0,"Yes","No"))</f>
        <v/>
      </c>
      <c r="S659">
        <f>IF(G659="","",COUNTIFS($G$3:$G$1002,SUBSTITUTE(SUBSTITUTE(G659,"?","~?"),"*","~*"),$J$3:$J$1002,"Primary"))</f>
        <v/>
      </c>
      <c r="T659">
        <f>IF(S659="","",IF(S659&gt;Settings!$B$4,"Yes","No"))</f>
        <v/>
      </c>
      <c r="U659">
        <f>IF(OR(G659="",B659=""),"",IF(COUNTIFS($G$3:$G$1002,SUBSTITUTE(SUBSTITUTE(G659,"?","~?"),"*","~*"),$B$3:$B$1002,"&lt;&gt;"&amp;SUBSTITUTE(SUBSTITUTE(B659,"?","~?"),"*","~*"),$B$3:$B$1002,"?*")&gt;0,"Yes","No"))</f>
        <v/>
      </c>
      <c r="V659">
        <f>IF(OR(G659="",I659="",O659="",O659="Unclassified"),"",IFERROR(INDEX(Settings!$E$5:$H$16,MATCH(I659,Settings!$D$5:$D$16,0),MATCH(O659,Settings!$E$4:$H$4,0)),"Check"))</f>
        <v/>
      </c>
      <c r="W659">
        <f>IF(V659="","",IF(V659="No","Yes","No"))</f>
        <v/>
      </c>
      <c r="X659">
        <f>IF(OR(E659="",G659=""),"",IF(LOWER(IF(RIGHT(TRIM(E659),1)="/",LEFT(TRIM(E659),LEN(TRIM(E659))-1),TRIM(E659)))&lt;&gt;LOWER(IF(RIGHT(TRIM(G659),1)="/",LEFT(TRIM(G659),LEN(TRIM(G659))-1),TRIM(G659))),"Yes","No"))</f>
        <v/>
      </c>
      <c r="Y659">
        <f>IF(A659="","",(N(Q659)&gt;0)+(T659="Yes")+(U659="Yes")+(W659="Yes")+(X659="Yes"))</f>
        <v/>
      </c>
      <c r="Z659">
        <f>IF(A659="","",IF(G659="","Not mapped",IF(Y659=0,"OK",MID(IF(N(Q659)&gt;0,"; Cannibalisation","")&amp;IF(T659="Yes","; Too many primary keywords on URL","")&amp;IF(U659="Yes","; URL spans 2+ clusters","")&amp;IF(W659="Yes","; Intent mismatch","")&amp;IF(X659="Yes","; Ranking URL is not the target",""),3,300))))</f>
        <v/>
      </c>
      <c r="AA659">
        <f>IF(G659="","",IF(COUNTIF($G$3:G659,SUBSTITUTE(SUBSTITUTE(G659,"?","~?"),"*","~*"))=1,MAX($AA$2:AA658)+1,""))</f>
        <v/>
      </c>
      <c r="AB659">
        <f>IF(B659="","",IF(COUNTIF($B$3:B659,SUBSTITUTE(SUBSTITUTE(B659,"?","~?"),"*","~*"))=1,MAX($AB$2:AB658)+1,""))</f>
        <v/>
      </c>
    </row>
    <row r="660">
      <c r="M660">
        <f>IF(A660="","",LOWER(TRIM(SUBSTITUTE(SUBSTITUTE(A660,"?",""),"*",""))))</f>
        <v/>
      </c>
      <c r="N660">
        <f>IF(M660="","",IF(SUMPRODUCT(ISNUMBER(SEARCH(" "&amp;Settings!$L$5:$L$124&amp;" "," "&amp;M660&amp;" "))*(Settings!$K$5:$K$124="Navigational")*(Settings!$L$5:$L$124&lt;&gt;""))&gt;0,"Navigational",IF(SUMPRODUCT(ISNUMBER(SEARCH(" "&amp;Settings!$L$5:$L$124&amp;" "," "&amp;M660&amp;" "))*(Settings!$K$5:$K$124="Transactional")*(Settings!$L$5:$L$124&lt;&gt;""))&gt;0,"Transactional",IF(SUMPRODUCT(ISNUMBER(SEARCH(" "&amp;Settings!$L$5:$L$124&amp;" "," "&amp;M660&amp;" "))*(Settings!$K$5:$K$124="Commercial")*(Settings!$L$5:$L$124&lt;&gt;""))&gt;0,"Commercial",IF(SUMPRODUCT(ISNUMBER(SEARCH(" "&amp;Settings!$L$5:$L$124&amp;" "," "&amp;M660&amp;" "))*(Settings!$K$5:$K$124="Informational")*(Settings!$L$5:$L$124&lt;&gt;""))&gt;0,"Informational","Unclassified")))))</f>
        <v/>
      </c>
      <c r="O660">
        <f>IF(A660="","",IF(K660&lt;&gt;"",PROPER(K660),N660))</f>
        <v/>
      </c>
      <c r="P660">
        <f>IF(A660="","",ROUND(Settings!$B$5*MIN(1,LOG10(N(C660)+1)/LOG10(Settings!$B$7+1))+Settings!$B$6*(1-MIN(100,IF(D660="",50,N(D660)))/100)+IFERROR(INDEX(Settings!$B$10:$B$14,MATCH(O660,Settings!$A$10:$A$14,0)),0),0))</f>
        <v/>
      </c>
      <c r="Q660">
        <f>IF(OR(A660="",G660=""),"",COUNTIFS($M$3:$M$1002,M660,$G$3:$G$1002,"&lt;&gt;"&amp;SUBSTITUTE(SUBSTITUTE(G660,"?","~?"),"*","~*"),$G$3:$G$1002,"?*"))</f>
        <v/>
      </c>
      <c r="R660">
        <f>IF(Q660="","",IF(Q660&gt;0,"Yes","No"))</f>
        <v/>
      </c>
      <c r="S660">
        <f>IF(G660="","",COUNTIFS($G$3:$G$1002,SUBSTITUTE(SUBSTITUTE(G660,"?","~?"),"*","~*"),$J$3:$J$1002,"Primary"))</f>
        <v/>
      </c>
      <c r="T660">
        <f>IF(S660="","",IF(S660&gt;Settings!$B$4,"Yes","No"))</f>
        <v/>
      </c>
      <c r="U660">
        <f>IF(OR(G660="",B660=""),"",IF(COUNTIFS($G$3:$G$1002,SUBSTITUTE(SUBSTITUTE(G660,"?","~?"),"*","~*"),$B$3:$B$1002,"&lt;&gt;"&amp;SUBSTITUTE(SUBSTITUTE(B660,"?","~?"),"*","~*"),$B$3:$B$1002,"?*")&gt;0,"Yes","No"))</f>
        <v/>
      </c>
      <c r="V660">
        <f>IF(OR(G660="",I660="",O660="",O660="Unclassified"),"",IFERROR(INDEX(Settings!$E$5:$H$16,MATCH(I660,Settings!$D$5:$D$16,0),MATCH(O660,Settings!$E$4:$H$4,0)),"Check"))</f>
        <v/>
      </c>
      <c r="W660">
        <f>IF(V660="","",IF(V660="No","Yes","No"))</f>
        <v/>
      </c>
      <c r="X660">
        <f>IF(OR(E660="",G660=""),"",IF(LOWER(IF(RIGHT(TRIM(E660),1)="/",LEFT(TRIM(E660),LEN(TRIM(E660))-1),TRIM(E660)))&lt;&gt;LOWER(IF(RIGHT(TRIM(G660),1)="/",LEFT(TRIM(G660),LEN(TRIM(G660))-1),TRIM(G660))),"Yes","No"))</f>
        <v/>
      </c>
      <c r="Y660">
        <f>IF(A660="","",(N(Q660)&gt;0)+(T660="Yes")+(U660="Yes")+(W660="Yes")+(X660="Yes"))</f>
        <v/>
      </c>
      <c r="Z660">
        <f>IF(A660="","",IF(G660="","Not mapped",IF(Y660=0,"OK",MID(IF(N(Q660)&gt;0,"; Cannibalisation","")&amp;IF(T660="Yes","; Too many primary keywords on URL","")&amp;IF(U660="Yes","; URL spans 2+ clusters","")&amp;IF(W660="Yes","; Intent mismatch","")&amp;IF(X660="Yes","; Ranking URL is not the target",""),3,300))))</f>
        <v/>
      </c>
      <c r="AA660">
        <f>IF(G660="","",IF(COUNTIF($G$3:G660,SUBSTITUTE(SUBSTITUTE(G660,"?","~?"),"*","~*"))=1,MAX($AA$2:AA659)+1,""))</f>
        <v/>
      </c>
      <c r="AB660">
        <f>IF(B660="","",IF(COUNTIF($B$3:B660,SUBSTITUTE(SUBSTITUTE(B660,"?","~?"),"*","~*"))=1,MAX($AB$2:AB659)+1,""))</f>
        <v/>
      </c>
    </row>
    <row r="661">
      <c r="M661">
        <f>IF(A661="","",LOWER(TRIM(SUBSTITUTE(SUBSTITUTE(A661,"?",""),"*",""))))</f>
        <v/>
      </c>
      <c r="N661">
        <f>IF(M661="","",IF(SUMPRODUCT(ISNUMBER(SEARCH(" "&amp;Settings!$L$5:$L$124&amp;" "," "&amp;M661&amp;" "))*(Settings!$K$5:$K$124="Navigational")*(Settings!$L$5:$L$124&lt;&gt;""))&gt;0,"Navigational",IF(SUMPRODUCT(ISNUMBER(SEARCH(" "&amp;Settings!$L$5:$L$124&amp;" "," "&amp;M661&amp;" "))*(Settings!$K$5:$K$124="Transactional")*(Settings!$L$5:$L$124&lt;&gt;""))&gt;0,"Transactional",IF(SUMPRODUCT(ISNUMBER(SEARCH(" "&amp;Settings!$L$5:$L$124&amp;" "," "&amp;M661&amp;" "))*(Settings!$K$5:$K$124="Commercial")*(Settings!$L$5:$L$124&lt;&gt;""))&gt;0,"Commercial",IF(SUMPRODUCT(ISNUMBER(SEARCH(" "&amp;Settings!$L$5:$L$124&amp;" "," "&amp;M661&amp;" "))*(Settings!$K$5:$K$124="Informational")*(Settings!$L$5:$L$124&lt;&gt;""))&gt;0,"Informational","Unclassified")))))</f>
        <v/>
      </c>
      <c r="O661">
        <f>IF(A661="","",IF(K661&lt;&gt;"",PROPER(K661),N661))</f>
        <v/>
      </c>
      <c r="P661">
        <f>IF(A661="","",ROUND(Settings!$B$5*MIN(1,LOG10(N(C661)+1)/LOG10(Settings!$B$7+1))+Settings!$B$6*(1-MIN(100,IF(D661="",50,N(D661)))/100)+IFERROR(INDEX(Settings!$B$10:$B$14,MATCH(O661,Settings!$A$10:$A$14,0)),0),0))</f>
        <v/>
      </c>
      <c r="Q661">
        <f>IF(OR(A661="",G661=""),"",COUNTIFS($M$3:$M$1002,M661,$G$3:$G$1002,"&lt;&gt;"&amp;SUBSTITUTE(SUBSTITUTE(G661,"?","~?"),"*","~*"),$G$3:$G$1002,"?*"))</f>
        <v/>
      </c>
      <c r="R661">
        <f>IF(Q661="","",IF(Q661&gt;0,"Yes","No"))</f>
        <v/>
      </c>
      <c r="S661">
        <f>IF(G661="","",COUNTIFS($G$3:$G$1002,SUBSTITUTE(SUBSTITUTE(G661,"?","~?"),"*","~*"),$J$3:$J$1002,"Primary"))</f>
        <v/>
      </c>
      <c r="T661">
        <f>IF(S661="","",IF(S661&gt;Settings!$B$4,"Yes","No"))</f>
        <v/>
      </c>
      <c r="U661">
        <f>IF(OR(G661="",B661=""),"",IF(COUNTIFS($G$3:$G$1002,SUBSTITUTE(SUBSTITUTE(G661,"?","~?"),"*","~*"),$B$3:$B$1002,"&lt;&gt;"&amp;SUBSTITUTE(SUBSTITUTE(B661,"?","~?"),"*","~*"),$B$3:$B$1002,"?*")&gt;0,"Yes","No"))</f>
        <v/>
      </c>
      <c r="V661">
        <f>IF(OR(G661="",I661="",O661="",O661="Unclassified"),"",IFERROR(INDEX(Settings!$E$5:$H$16,MATCH(I661,Settings!$D$5:$D$16,0),MATCH(O661,Settings!$E$4:$H$4,0)),"Check"))</f>
        <v/>
      </c>
      <c r="W661">
        <f>IF(V661="","",IF(V661="No","Yes","No"))</f>
        <v/>
      </c>
      <c r="X661">
        <f>IF(OR(E661="",G661=""),"",IF(LOWER(IF(RIGHT(TRIM(E661),1)="/",LEFT(TRIM(E661),LEN(TRIM(E661))-1),TRIM(E661)))&lt;&gt;LOWER(IF(RIGHT(TRIM(G661),1)="/",LEFT(TRIM(G661),LEN(TRIM(G661))-1),TRIM(G661))),"Yes","No"))</f>
        <v/>
      </c>
      <c r="Y661">
        <f>IF(A661="","",(N(Q661)&gt;0)+(T661="Yes")+(U661="Yes")+(W661="Yes")+(X661="Yes"))</f>
        <v/>
      </c>
      <c r="Z661">
        <f>IF(A661="","",IF(G661="","Not mapped",IF(Y661=0,"OK",MID(IF(N(Q661)&gt;0,"; Cannibalisation","")&amp;IF(T661="Yes","; Too many primary keywords on URL","")&amp;IF(U661="Yes","; URL spans 2+ clusters","")&amp;IF(W661="Yes","; Intent mismatch","")&amp;IF(X661="Yes","; Ranking URL is not the target",""),3,300))))</f>
        <v/>
      </c>
      <c r="AA661">
        <f>IF(G661="","",IF(COUNTIF($G$3:G661,SUBSTITUTE(SUBSTITUTE(G661,"?","~?"),"*","~*"))=1,MAX($AA$2:AA660)+1,""))</f>
        <v/>
      </c>
      <c r="AB661">
        <f>IF(B661="","",IF(COUNTIF($B$3:B661,SUBSTITUTE(SUBSTITUTE(B661,"?","~?"),"*","~*"))=1,MAX($AB$2:AB660)+1,""))</f>
        <v/>
      </c>
    </row>
    <row r="662">
      <c r="M662">
        <f>IF(A662="","",LOWER(TRIM(SUBSTITUTE(SUBSTITUTE(A662,"?",""),"*",""))))</f>
        <v/>
      </c>
      <c r="N662">
        <f>IF(M662="","",IF(SUMPRODUCT(ISNUMBER(SEARCH(" "&amp;Settings!$L$5:$L$124&amp;" "," "&amp;M662&amp;" "))*(Settings!$K$5:$K$124="Navigational")*(Settings!$L$5:$L$124&lt;&gt;""))&gt;0,"Navigational",IF(SUMPRODUCT(ISNUMBER(SEARCH(" "&amp;Settings!$L$5:$L$124&amp;" "," "&amp;M662&amp;" "))*(Settings!$K$5:$K$124="Transactional")*(Settings!$L$5:$L$124&lt;&gt;""))&gt;0,"Transactional",IF(SUMPRODUCT(ISNUMBER(SEARCH(" "&amp;Settings!$L$5:$L$124&amp;" "," "&amp;M662&amp;" "))*(Settings!$K$5:$K$124="Commercial")*(Settings!$L$5:$L$124&lt;&gt;""))&gt;0,"Commercial",IF(SUMPRODUCT(ISNUMBER(SEARCH(" "&amp;Settings!$L$5:$L$124&amp;" "," "&amp;M662&amp;" "))*(Settings!$K$5:$K$124="Informational")*(Settings!$L$5:$L$124&lt;&gt;""))&gt;0,"Informational","Unclassified")))))</f>
        <v/>
      </c>
      <c r="O662">
        <f>IF(A662="","",IF(K662&lt;&gt;"",PROPER(K662),N662))</f>
        <v/>
      </c>
      <c r="P662">
        <f>IF(A662="","",ROUND(Settings!$B$5*MIN(1,LOG10(N(C662)+1)/LOG10(Settings!$B$7+1))+Settings!$B$6*(1-MIN(100,IF(D662="",50,N(D662)))/100)+IFERROR(INDEX(Settings!$B$10:$B$14,MATCH(O662,Settings!$A$10:$A$14,0)),0),0))</f>
        <v/>
      </c>
      <c r="Q662">
        <f>IF(OR(A662="",G662=""),"",COUNTIFS($M$3:$M$1002,M662,$G$3:$G$1002,"&lt;&gt;"&amp;SUBSTITUTE(SUBSTITUTE(G662,"?","~?"),"*","~*"),$G$3:$G$1002,"?*"))</f>
        <v/>
      </c>
      <c r="R662">
        <f>IF(Q662="","",IF(Q662&gt;0,"Yes","No"))</f>
        <v/>
      </c>
      <c r="S662">
        <f>IF(G662="","",COUNTIFS($G$3:$G$1002,SUBSTITUTE(SUBSTITUTE(G662,"?","~?"),"*","~*"),$J$3:$J$1002,"Primary"))</f>
        <v/>
      </c>
      <c r="T662">
        <f>IF(S662="","",IF(S662&gt;Settings!$B$4,"Yes","No"))</f>
        <v/>
      </c>
      <c r="U662">
        <f>IF(OR(G662="",B662=""),"",IF(COUNTIFS($G$3:$G$1002,SUBSTITUTE(SUBSTITUTE(G662,"?","~?"),"*","~*"),$B$3:$B$1002,"&lt;&gt;"&amp;SUBSTITUTE(SUBSTITUTE(B662,"?","~?"),"*","~*"),$B$3:$B$1002,"?*")&gt;0,"Yes","No"))</f>
        <v/>
      </c>
      <c r="V662">
        <f>IF(OR(G662="",I662="",O662="",O662="Unclassified"),"",IFERROR(INDEX(Settings!$E$5:$H$16,MATCH(I662,Settings!$D$5:$D$16,0),MATCH(O662,Settings!$E$4:$H$4,0)),"Check"))</f>
        <v/>
      </c>
      <c r="W662">
        <f>IF(V662="","",IF(V662="No","Yes","No"))</f>
        <v/>
      </c>
      <c r="X662">
        <f>IF(OR(E662="",G662=""),"",IF(LOWER(IF(RIGHT(TRIM(E662),1)="/",LEFT(TRIM(E662),LEN(TRIM(E662))-1),TRIM(E662)))&lt;&gt;LOWER(IF(RIGHT(TRIM(G662),1)="/",LEFT(TRIM(G662),LEN(TRIM(G662))-1),TRIM(G662))),"Yes","No"))</f>
        <v/>
      </c>
      <c r="Y662">
        <f>IF(A662="","",(N(Q662)&gt;0)+(T662="Yes")+(U662="Yes")+(W662="Yes")+(X662="Yes"))</f>
        <v/>
      </c>
      <c r="Z662">
        <f>IF(A662="","",IF(G662="","Not mapped",IF(Y662=0,"OK",MID(IF(N(Q662)&gt;0,"; Cannibalisation","")&amp;IF(T662="Yes","; Too many primary keywords on URL","")&amp;IF(U662="Yes","; URL spans 2+ clusters","")&amp;IF(W662="Yes","; Intent mismatch","")&amp;IF(X662="Yes","; Ranking URL is not the target",""),3,300))))</f>
        <v/>
      </c>
      <c r="AA662">
        <f>IF(G662="","",IF(COUNTIF($G$3:G662,SUBSTITUTE(SUBSTITUTE(G662,"?","~?"),"*","~*"))=1,MAX($AA$2:AA661)+1,""))</f>
        <v/>
      </c>
      <c r="AB662">
        <f>IF(B662="","",IF(COUNTIF($B$3:B662,SUBSTITUTE(SUBSTITUTE(B662,"?","~?"),"*","~*"))=1,MAX($AB$2:AB661)+1,""))</f>
        <v/>
      </c>
    </row>
    <row r="663">
      <c r="M663">
        <f>IF(A663="","",LOWER(TRIM(SUBSTITUTE(SUBSTITUTE(A663,"?",""),"*",""))))</f>
        <v/>
      </c>
      <c r="N663">
        <f>IF(M663="","",IF(SUMPRODUCT(ISNUMBER(SEARCH(" "&amp;Settings!$L$5:$L$124&amp;" "," "&amp;M663&amp;" "))*(Settings!$K$5:$K$124="Navigational")*(Settings!$L$5:$L$124&lt;&gt;""))&gt;0,"Navigational",IF(SUMPRODUCT(ISNUMBER(SEARCH(" "&amp;Settings!$L$5:$L$124&amp;" "," "&amp;M663&amp;" "))*(Settings!$K$5:$K$124="Transactional")*(Settings!$L$5:$L$124&lt;&gt;""))&gt;0,"Transactional",IF(SUMPRODUCT(ISNUMBER(SEARCH(" "&amp;Settings!$L$5:$L$124&amp;" "," "&amp;M663&amp;" "))*(Settings!$K$5:$K$124="Commercial")*(Settings!$L$5:$L$124&lt;&gt;""))&gt;0,"Commercial",IF(SUMPRODUCT(ISNUMBER(SEARCH(" "&amp;Settings!$L$5:$L$124&amp;" "," "&amp;M663&amp;" "))*(Settings!$K$5:$K$124="Informational")*(Settings!$L$5:$L$124&lt;&gt;""))&gt;0,"Informational","Unclassified")))))</f>
        <v/>
      </c>
      <c r="O663">
        <f>IF(A663="","",IF(K663&lt;&gt;"",PROPER(K663),N663))</f>
        <v/>
      </c>
      <c r="P663">
        <f>IF(A663="","",ROUND(Settings!$B$5*MIN(1,LOG10(N(C663)+1)/LOG10(Settings!$B$7+1))+Settings!$B$6*(1-MIN(100,IF(D663="",50,N(D663)))/100)+IFERROR(INDEX(Settings!$B$10:$B$14,MATCH(O663,Settings!$A$10:$A$14,0)),0),0))</f>
        <v/>
      </c>
      <c r="Q663">
        <f>IF(OR(A663="",G663=""),"",COUNTIFS($M$3:$M$1002,M663,$G$3:$G$1002,"&lt;&gt;"&amp;SUBSTITUTE(SUBSTITUTE(G663,"?","~?"),"*","~*"),$G$3:$G$1002,"?*"))</f>
        <v/>
      </c>
      <c r="R663">
        <f>IF(Q663="","",IF(Q663&gt;0,"Yes","No"))</f>
        <v/>
      </c>
      <c r="S663">
        <f>IF(G663="","",COUNTIFS($G$3:$G$1002,SUBSTITUTE(SUBSTITUTE(G663,"?","~?"),"*","~*"),$J$3:$J$1002,"Primary"))</f>
        <v/>
      </c>
      <c r="T663">
        <f>IF(S663="","",IF(S663&gt;Settings!$B$4,"Yes","No"))</f>
        <v/>
      </c>
      <c r="U663">
        <f>IF(OR(G663="",B663=""),"",IF(COUNTIFS($G$3:$G$1002,SUBSTITUTE(SUBSTITUTE(G663,"?","~?"),"*","~*"),$B$3:$B$1002,"&lt;&gt;"&amp;SUBSTITUTE(SUBSTITUTE(B663,"?","~?"),"*","~*"),$B$3:$B$1002,"?*")&gt;0,"Yes","No"))</f>
        <v/>
      </c>
      <c r="V663">
        <f>IF(OR(G663="",I663="",O663="",O663="Unclassified"),"",IFERROR(INDEX(Settings!$E$5:$H$16,MATCH(I663,Settings!$D$5:$D$16,0),MATCH(O663,Settings!$E$4:$H$4,0)),"Check"))</f>
        <v/>
      </c>
      <c r="W663">
        <f>IF(V663="","",IF(V663="No","Yes","No"))</f>
        <v/>
      </c>
      <c r="X663">
        <f>IF(OR(E663="",G663=""),"",IF(LOWER(IF(RIGHT(TRIM(E663),1)="/",LEFT(TRIM(E663),LEN(TRIM(E663))-1),TRIM(E663)))&lt;&gt;LOWER(IF(RIGHT(TRIM(G663),1)="/",LEFT(TRIM(G663),LEN(TRIM(G663))-1),TRIM(G663))),"Yes","No"))</f>
        <v/>
      </c>
      <c r="Y663">
        <f>IF(A663="","",(N(Q663)&gt;0)+(T663="Yes")+(U663="Yes")+(W663="Yes")+(X663="Yes"))</f>
        <v/>
      </c>
      <c r="Z663">
        <f>IF(A663="","",IF(G663="","Not mapped",IF(Y663=0,"OK",MID(IF(N(Q663)&gt;0,"; Cannibalisation","")&amp;IF(T663="Yes","; Too many primary keywords on URL","")&amp;IF(U663="Yes","; URL spans 2+ clusters","")&amp;IF(W663="Yes","; Intent mismatch","")&amp;IF(X663="Yes","; Ranking URL is not the target",""),3,300))))</f>
        <v/>
      </c>
      <c r="AA663">
        <f>IF(G663="","",IF(COUNTIF($G$3:G663,SUBSTITUTE(SUBSTITUTE(G663,"?","~?"),"*","~*"))=1,MAX($AA$2:AA662)+1,""))</f>
        <v/>
      </c>
      <c r="AB663">
        <f>IF(B663="","",IF(COUNTIF($B$3:B663,SUBSTITUTE(SUBSTITUTE(B663,"?","~?"),"*","~*"))=1,MAX($AB$2:AB662)+1,""))</f>
        <v/>
      </c>
    </row>
    <row r="664">
      <c r="M664">
        <f>IF(A664="","",LOWER(TRIM(SUBSTITUTE(SUBSTITUTE(A664,"?",""),"*",""))))</f>
        <v/>
      </c>
      <c r="N664">
        <f>IF(M664="","",IF(SUMPRODUCT(ISNUMBER(SEARCH(" "&amp;Settings!$L$5:$L$124&amp;" "," "&amp;M664&amp;" "))*(Settings!$K$5:$K$124="Navigational")*(Settings!$L$5:$L$124&lt;&gt;""))&gt;0,"Navigational",IF(SUMPRODUCT(ISNUMBER(SEARCH(" "&amp;Settings!$L$5:$L$124&amp;" "," "&amp;M664&amp;" "))*(Settings!$K$5:$K$124="Transactional")*(Settings!$L$5:$L$124&lt;&gt;""))&gt;0,"Transactional",IF(SUMPRODUCT(ISNUMBER(SEARCH(" "&amp;Settings!$L$5:$L$124&amp;" "," "&amp;M664&amp;" "))*(Settings!$K$5:$K$124="Commercial")*(Settings!$L$5:$L$124&lt;&gt;""))&gt;0,"Commercial",IF(SUMPRODUCT(ISNUMBER(SEARCH(" "&amp;Settings!$L$5:$L$124&amp;" "," "&amp;M664&amp;" "))*(Settings!$K$5:$K$124="Informational")*(Settings!$L$5:$L$124&lt;&gt;""))&gt;0,"Informational","Unclassified")))))</f>
        <v/>
      </c>
      <c r="O664">
        <f>IF(A664="","",IF(K664&lt;&gt;"",PROPER(K664),N664))</f>
        <v/>
      </c>
      <c r="P664">
        <f>IF(A664="","",ROUND(Settings!$B$5*MIN(1,LOG10(N(C664)+1)/LOG10(Settings!$B$7+1))+Settings!$B$6*(1-MIN(100,IF(D664="",50,N(D664)))/100)+IFERROR(INDEX(Settings!$B$10:$B$14,MATCH(O664,Settings!$A$10:$A$14,0)),0),0))</f>
        <v/>
      </c>
      <c r="Q664">
        <f>IF(OR(A664="",G664=""),"",COUNTIFS($M$3:$M$1002,M664,$G$3:$G$1002,"&lt;&gt;"&amp;SUBSTITUTE(SUBSTITUTE(G664,"?","~?"),"*","~*"),$G$3:$G$1002,"?*"))</f>
        <v/>
      </c>
      <c r="R664">
        <f>IF(Q664="","",IF(Q664&gt;0,"Yes","No"))</f>
        <v/>
      </c>
      <c r="S664">
        <f>IF(G664="","",COUNTIFS($G$3:$G$1002,SUBSTITUTE(SUBSTITUTE(G664,"?","~?"),"*","~*"),$J$3:$J$1002,"Primary"))</f>
        <v/>
      </c>
      <c r="T664">
        <f>IF(S664="","",IF(S664&gt;Settings!$B$4,"Yes","No"))</f>
        <v/>
      </c>
      <c r="U664">
        <f>IF(OR(G664="",B664=""),"",IF(COUNTIFS($G$3:$G$1002,SUBSTITUTE(SUBSTITUTE(G664,"?","~?"),"*","~*"),$B$3:$B$1002,"&lt;&gt;"&amp;SUBSTITUTE(SUBSTITUTE(B664,"?","~?"),"*","~*"),$B$3:$B$1002,"?*")&gt;0,"Yes","No"))</f>
        <v/>
      </c>
      <c r="V664">
        <f>IF(OR(G664="",I664="",O664="",O664="Unclassified"),"",IFERROR(INDEX(Settings!$E$5:$H$16,MATCH(I664,Settings!$D$5:$D$16,0),MATCH(O664,Settings!$E$4:$H$4,0)),"Check"))</f>
        <v/>
      </c>
      <c r="W664">
        <f>IF(V664="","",IF(V664="No","Yes","No"))</f>
        <v/>
      </c>
      <c r="X664">
        <f>IF(OR(E664="",G664=""),"",IF(LOWER(IF(RIGHT(TRIM(E664),1)="/",LEFT(TRIM(E664),LEN(TRIM(E664))-1),TRIM(E664)))&lt;&gt;LOWER(IF(RIGHT(TRIM(G664),1)="/",LEFT(TRIM(G664),LEN(TRIM(G664))-1),TRIM(G664))),"Yes","No"))</f>
        <v/>
      </c>
      <c r="Y664">
        <f>IF(A664="","",(N(Q664)&gt;0)+(T664="Yes")+(U664="Yes")+(W664="Yes")+(X664="Yes"))</f>
        <v/>
      </c>
      <c r="Z664">
        <f>IF(A664="","",IF(G664="","Not mapped",IF(Y664=0,"OK",MID(IF(N(Q664)&gt;0,"; Cannibalisation","")&amp;IF(T664="Yes","; Too many primary keywords on URL","")&amp;IF(U664="Yes","; URL spans 2+ clusters","")&amp;IF(W664="Yes","; Intent mismatch","")&amp;IF(X664="Yes","; Ranking URL is not the target",""),3,300))))</f>
        <v/>
      </c>
      <c r="AA664">
        <f>IF(G664="","",IF(COUNTIF($G$3:G664,SUBSTITUTE(SUBSTITUTE(G664,"?","~?"),"*","~*"))=1,MAX($AA$2:AA663)+1,""))</f>
        <v/>
      </c>
      <c r="AB664">
        <f>IF(B664="","",IF(COUNTIF($B$3:B664,SUBSTITUTE(SUBSTITUTE(B664,"?","~?"),"*","~*"))=1,MAX($AB$2:AB663)+1,""))</f>
        <v/>
      </c>
    </row>
    <row r="665">
      <c r="M665">
        <f>IF(A665="","",LOWER(TRIM(SUBSTITUTE(SUBSTITUTE(A665,"?",""),"*",""))))</f>
        <v/>
      </c>
      <c r="N665">
        <f>IF(M665="","",IF(SUMPRODUCT(ISNUMBER(SEARCH(" "&amp;Settings!$L$5:$L$124&amp;" "," "&amp;M665&amp;" "))*(Settings!$K$5:$K$124="Navigational")*(Settings!$L$5:$L$124&lt;&gt;""))&gt;0,"Navigational",IF(SUMPRODUCT(ISNUMBER(SEARCH(" "&amp;Settings!$L$5:$L$124&amp;" "," "&amp;M665&amp;" "))*(Settings!$K$5:$K$124="Transactional")*(Settings!$L$5:$L$124&lt;&gt;""))&gt;0,"Transactional",IF(SUMPRODUCT(ISNUMBER(SEARCH(" "&amp;Settings!$L$5:$L$124&amp;" "," "&amp;M665&amp;" "))*(Settings!$K$5:$K$124="Commercial")*(Settings!$L$5:$L$124&lt;&gt;""))&gt;0,"Commercial",IF(SUMPRODUCT(ISNUMBER(SEARCH(" "&amp;Settings!$L$5:$L$124&amp;" "," "&amp;M665&amp;" "))*(Settings!$K$5:$K$124="Informational")*(Settings!$L$5:$L$124&lt;&gt;""))&gt;0,"Informational","Unclassified")))))</f>
        <v/>
      </c>
      <c r="O665">
        <f>IF(A665="","",IF(K665&lt;&gt;"",PROPER(K665),N665))</f>
        <v/>
      </c>
      <c r="P665">
        <f>IF(A665="","",ROUND(Settings!$B$5*MIN(1,LOG10(N(C665)+1)/LOG10(Settings!$B$7+1))+Settings!$B$6*(1-MIN(100,IF(D665="",50,N(D665)))/100)+IFERROR(INDEX(Settings!$B$10:$B$14,MATCH(O665,Settings!$A$10:$A$14,0)),0),0))</f>
        <v/>
      </c>
      <c r="Q665">
        <f>IF(OR(A665="",G665=""),"",COUNTIFS($M$3:$M$1002,M665,$G$3:$G$1002,"&lt;&gt;"&amp;SUBSTITUTE(SUBSTITUTE(G665,"?","~?"),"*","~*"),$G$3:$G$1002,"?*"))</f>
        <v/>
      </c>
      <c r="R665">
        <f>IF(Q665="","",IF(Q665&gt;0,"Yes","No"))</f>
        <v/>
      </c>
      <c r="S665">
        <f>IF(G665="","",COUNTIFS($G$3:$G$1002,SUBSTITUTE(SUBSTITUTE(G665,"?","~?"),"*","~*"),$J$3:$J$1002,"Primary"))</f>
        <v/>
      </c>
      <c r="T665">
        <f>IF(S665="","",IF(S665&gt;Settings!$B$4,"Yes","No"))</f>
        <v/>
      </c>
      <c r="U665">
        <f>IF(OR(G665="",B665=""),"",IF(COUNTIFS($G$3:$G$1002,SUBSTITUTE(SUBSTITUTE(G665,"?","~?"),"*","~*"),$B$3:$B$1002,"&lt;&gt;"&amp;SUBSTITUTE(SUBSTITUTE(B665,"?","~?"),"*","~*"),$B$3:$B$1002,"?*")&gt;0,"Yes","No"))</f>
        <v/>
      </c>
      <c r="V665">
        <f>IF(OR(G665="",I665="",O665="",O665="Unclassified"),"",IFERROR(INDEX(Settings!$E$5:$H$16,MATCH(I665,Settings!$D$5:$D$16,0),MATCH(O665,Settings!$E$4:$H$4,0)),"Check"))</f>
        <v/>
      </c>
      <c r="W665">
        <f>IF(V665="","",IF(V665="No","Yes","No"))</f>
        <v/>
      </c>
      <c r="X665">
        <f>IF(OR(E665="",G665=""),"",IF(LOWER(IF(RIGHT(TRIM(E665),1)="/",LEFT(TRIM(E665),LEN(TRIM(E665))-1),TRIM(E665)))&lt;&gt;LOWER(IF(RIGHT(TRIM(G665),1)="/",LEFT(TRIM(G665),LEN(TRIM(G665))-1),TRIM(G665))),"Yes","No"))</f>
        <v/>
      </c>
      <c r="Y665">
        <f>IF(A665="","",(N(Q665)&gt;0)+(T665="Yes")+(U665="Yes")+(W665="Yes")+(X665="Yes"))</f>
        <v/>
      </c>
      <c r="Z665">
        <f>IF(A665="","",IF(G665="","Not mapped",IF(Y665=0,"OK",MID(IF(N(Q665)&gt;0,"; Cannibalisation","")&amp;IF(T665="Yes","; Too many primary keywords on URL","")&amp;IF(U665="Yes","; URL spans 2+ clusters","")&amp;IF(W665="Yes","; Intent mismatch","")&amp;IF(X665="Yes","; Ranking URL is not the target",""),3,300))))</f>
        <v/>
      </c>
      <c r="AA665">
        <f>IF(G665="","",IF(COUNTIF($G$3:G665,SUBSTITUTE(SUBSTITUTE(G665,"?","~?"),"*","~*"))=1,MAX($AA$2:AA664)+1,""))</f>
        <v/>
      </c>
      <c r="AB665">
        <f>IF(B665="","",IF(COUNTIF($B$3:B665,SUBSTITUTE(SUBSTITUTE(B665,"?","~?"),"*","~*"))=1,MAX($AB$2:AB664)+1,""))</f>
        <v/>
      </c>
    </row>
    <row r="666">
      <c r="M666">
        <f>IF(A666="","",LOWER(TRIM(SUBSTITUTE(SUBSTITUTE(A666,"?",""),"*",""))))</f>
        <v/>
      </c>
      <c r="N666">
        <f>IF(M666="","",IF(SUMPRODUCT(ISNUMBER(SEARCH(" "&amp;Settings!$L$5:$L$124&amp;" "," "&amp;M666&amp;" "))*(Settings!$K$5:$K$124="Navigational")*(Settings!$L$5:$L$124&lt;&gt;""))&gt;0,"Navigational",IF(SUMPRODUCT(ISNUMBER(SEARCH(" "&amp;Settings!$L$5:$L$124&amp;" "," "&amp;M666&amp;" "))*(Settings!$K$5:$K$124="Transactional")*(Settings!$L$5:$L$124&lt;&gt;""))&gt;0,"Transactional",IF(SUMPRODUCT(ISNUMBER(SEARCH(" "&amp;Settings!$L$5:$L$124&amp;" "," "&amp;M666&amp;" "))*(Settings!$K$5:$K$124="Commercial")*(Settings!$L$5:$L$124&lt;&gt;""))&gt;0,"Commercial",IF(SUMPRODUCT(ISNUMBER(SEARCH(" "&amp;Settings!$L$5:$L$124&amp;" "," "&amp;M666&amp;" "))*(Settings!$K$5:$K$124="Informational")*(Settings!$L$5:$L$124&lt;&gt;""))&gt;0,"Informational","Unclassified")))))</f>
        <v/>
      </c>
      <c r="O666">
        <f>IF(A666="","",IF(K666&lt;&gt;"",PROPER(K666),N666))</f>
        <v/>
      </c>
      <c r="P666">
        <f>IF(A666="","",ROUND(Settings!$B$5*MIN(1,LOG10(N(C666)+1)/LOG10(Settings!$B$7+1))+Settings!$B$6*(1-MIN(100,IF(D666="",50,N(D666)))/100)+IFERROR(INDEX(Settings!$B$10:$B$14,MATCH(O666,Settings!$A$10:$A$14,0)),0),0))</f>
        <v/>
      </c>
      <c r="Q666">
        <f>IF(OR(A666="",G666=""),"",COUNTIFS($M$3:$M$1002,M666,$G$3:$G$1002,"&lt;&gt;"&amp;SUBSTITUTE(SUBSTITUTE(G666,"?","~?"),"*","~*"),$G$3:$G$1002,"?*"))</f>
        <v/>
      </c>
      <c r="R666">
        <f>IF(Q666="","",IF(Q666&gt;0,"Yes","No"))</f>
        <v/>
      </c>
      <c r="S666">
        <f>IF(G666="","",COUNTIFS($G$3:$G$1002,SUBSTITUTE(SUBSTITUTE(G666,"?","~?"),"*","~*"),$J$3:$J$1002,"Primary"))</f>
        <v/>
      </c>
      <c r="T666">
        <f>IF(S666="","",IF(S666&gt;Settings!$B$4,"Yes","No"))</f>
        <v/>
      </c>
      <c r="U666">
        <f>IF(OR(G666="",B666=""),"",IF(COUNTIFS($G$3:$G$1002,SUBSTITUTE(SUBSTITUTE(G666,"?","~?"),"*","~*"),$B$3:$B$1002,"&lt;&gt;"&amp;SUBSTITUTE(SUBSTITUTE(B666,"?","~?"),"*","~*"),$B$3:$B$1002,"?*")&gt;0,"Yes","No"))</f>
        <v/>
      </c>
      <c r="V666">
        <f>IF(OR(G666="",I666="",O666="",O666="Unclassified"),"",IFERROR(INDEX(Settings!$E$5:$H$16,MATCH(I666,Settings!$D$5:$D$16,0),MATCH(O666,Settings!$E$4:$H$4,0)),"Check"))</f>
        <v/>
      </c>
      <c r="W666">
        <f>IF(V666="","",IF(V666="No","Yes","No"))</f>
        <v/>
      </c>
      <c r="X666">
        <f>IF(OR(E666="",G666=""),"",IF(LOWER(IF(RIGHT(TRIM(E666),1)="/",LEFT(TRIM(E666),LEN(TRIM(E666))-1),TRIM(E666)))&lt;&gt;LOWER(IF(RIGHT(TRIM(G666),1)="/",LEFT(TRIM(G666),LEN(TRIM(G666))-1),TRIM(G666))),"Yes","No"))</f>
        <v/>
      </c>
      <c r="Y666">
        <f>IF(A666="","",(N(Q666)&gt;0)+(T666="Yes")+(U666="Yes")+(W666="Yes")+(X666="Yes"))</f>
        <v/>
      </c>
      <c r="Z666">
        <f>IF(A666="","",IF(G666="","Not mapped",IF(Y666=0,"OK",MID(IF(N(Q666)&gt;0,"; Cannibalisation","")&amp;IF(T666="Yes","; Too many primary keywords on URL","")&amp;IF(U666="Yes","; URL spans 2+ clusters","")&amp;IF(W666="Yes","; Intent mismatch","")&amp;IF(X666="Yes","; Ranking URL is not the target",""),3,300))))</f>
        <v/>
      </c>
      <c r="AA666">
        <f>IF(G666="","",IF(COUNTIF($G$3:G666,SUBSTITUTE(SUBSTITUTE(G666,"?","~?"),"*","~*"))=1,MAX($AA$2:AA665)+1,""))</f>
        <v/>
      </c>
      <c r="AB666">
        <f>IF(B666="","",IF(COUNTIF($B$3:B666,SUBSTITUTE(SUBSTITUTE(B666,"?","~?"),"*","~*"))=1,MAX($AB$2:AB665)+1,""))</f>
        <v/>
      </c>
    </row>
    <row r="667">
      <c r="M667">
        <f>IF(A667="","",LOWER(TRIM(SUBSTITUTE(SUBSTITUTE(A667,"?",""),"*",""))))</f>
        <v/>
      </c>
      <c r="N667">
        <f>IF(M667="","",IF(SUMPRODUCT(ISNUMBER(SEARCH(" "&amp;Settings!$L$5:$L$124&amp;" "," "&amp;M667&amp;" "))*(Settings!$K$5:$K$124="Navigational")*(Settings!$L$5:$L$124&lt;&gt;""))&gt;0,"Navigational",IF(SUMPRODUCT(ISNUMBER(SEARCH(" "&amp;Settings!$L$5:$L$124&amp;" "," "&amp;M667&amp;" "))*(Settings!$K$5:$K$124="Transactional")*(Settings!$L$5:$L$124&lt;&gt;""))&gt;0,"Transactional",IF(SUMPRODUCT(ISNUMBER(SEARCH(" "&amp;Settings!$L$5:$L$124&amp;" "," "&amp;M667&amp;" "))*(Settings!$K$5:$K$124="Commercial")*(Settings!$L$5:$L$124&lt;&gt;""))&gt;0,"Commercial",IF(SUMPRODUCT(ISNUMBER(SEARCH(" "&amp;Settings!$L$5:$L$124&amp;" "," "&amp;M667&amp;" "))*(Settings!$K$5:$K$124="Informational")*(Settings!$L$5:$L$124&lt;&gt;""))&gt;0,"Informational","Unclassified")))))</f>
        <v/>
      </c>
      <c r="O667">
        <f>IF(A667="","",IF(K667&lt;&gt;"",PROPER(K667),N667))</f>
        <v/>
      </c>
      <c r="P667">
        <f>IF(A667="","",ROUND(Settings!$B$5*MIN(1,LOG10(N(C667)+1)/LOG10(Settings!$B$7+1))+Settings!$B$6*(1-MIN(100,IF(D667="",50,N(D667)))/100)+IFERROR(INDEX(Settings!$B$10:$B$14,MATCH(O667,Settings!$A$10:$A$14,0)),0),0))</f>
        <v/>
      </c>
      <c r="Q667">
        <f>IF(OR(A667="",G667=""),"",COUNTIFS($M$3:$M$1002,M667,$G$3:$G$1002,"&lt;&gt;"&amp;SUBSTITUTE(SUBSTITUTE(G667,"?","~?"),"*","~*"),$G$3:$G$1002,"?*"))</f>
        <v/>
      </c>
      <c r="R667">
        <f>IF(Q667="","",IF(Q667&gt;0,"Yes","No"))</f>
        <v/>
      </c>
      <c r="S667">
        <f>IF(G667="","",COUNTIFS($G$3:$G$1002,SUBSTITUTE(SUBSTITUTE(G667,"?","~?"),"*","~*"),$J$3:$J$1002,"Primary"))</f>
        <v/>
      </c>
      <c r="T667">
        <f>IF(S667="","",IF(S667&gt;Settings!$B$4,"Yes","No"))</f>
        <v/>
      </c>
      <c r="U667">
        <f>IF(OR(G667="",B667=""),"",IF(COUNTIFS($G$3:$G$1002,SUBSTITUTE(SUBSTITUTE(G667,"?","~?"),"*","~*"),$B$3:$B$1002,"&lt;&gt;"&amp;SUBSTITUTE(SUBSTITUTE(B667,"?","~?"),"*","~*"),$B$3:$B$1002,"?*")&gt;0,"Yes","No"))</f>
        <v/>
      </c>
      <c r="V667">
        <f>IF(OR(G667="",I667="",O667="",O667="Unclassified"),"",IFERROR(INDEX(Settings!$E$5:$H$16,MATCH(I667,Settings!$D$5:$D$16,0),MATCH(O667,Settings!$E$4:$H$4,0)),"Check"))</f>
        <v/>
      </c>
      <c r="W667">
        <f>IF(V667="","",IF(V667="No","Yes","No"))</f>
        <v/>
      </c>
      <c r="X667">
        <f>IF(OR(E667="",G667=""),"",IF(LOWER(IF(RIGHT(TRIM(E667),1)="/",LEFT(TRIM(E667),LEN(TRIM(E667))-1),TRIM(E667)))&lt;&gt;LOWER(IF(RIGHT(TRIM(G667),1)="/",LEFT(TRIM(G667),LEN(TRIM(G667))-1),TRIM(G667))),"Yes","No"))</f>
        <v/>
      </c>
      <c r="Y667">
        <f>IF(A667="","",(N(Q667)&gt;0)+(T667="Yes")+(U667="Yes")+(W667="Yes")+(X667="Yes"))</f>
        <v/>
      </c>
      <c r="Z667">
        <f>IF(A667="","",IF(G667="","Not mapped",IF(Y667=0,"OK",MID(IF(N(Q667)&gt;0,"; Cannibalisation","")&amp;IF(T667="Yes","; Too many primary keywords on URL","")&amp;IF(U667="Yes","; URL spans 2+ clusters","")&amp;IF(W667="Yes","; Intent mismatch","")&amp;IF(X667="Yes","; Ranking URL is not the target",""),3,300))))</f>
        <v/>
      </c>
      <c r="AA667">
        <f>IF(G667="","",IF(COUNTIF($G$3:G667,SUBSTITUTE(SUBSTITUTE(G667,"?","~?"),"*","~*"))=1,MAX($AA$2:AA666)+1,""))</f>
        <v/>
      </c>
      <c r="AB667">
        <f>IF(B667="","",IF(COUNTIF($B$3:B667,SUBSTITUTE(SUBSTITUTE(B667,"?","~?"),"*","~*"))=1,MAX($AB$2:AB666)+1,""))</f>
        <v/>
      </c>
    </row>
    <row r="668">
      <c r="M668">
        <f>IF(A668="","",LOWER(TRIM(SUBSTITUTE(SUBSTITUTE(A668,"?",""),"*",""))))</f>
        <v/>
      </c>
      <c r="N668">
        <f>IF(M668="","",IF(SUMPRODUCT(ISNUMBER(SEARCH(" "&amp;Settings!$L$5:$L$124&amp;" "," "&amp;M668&amp;" "))*(Settings!$K$5:$K$124="Navigational")*(Settings!$L$5:$L$124&lt;&gt;""))&gt;0,"Navigational",IF(SUMPRODUCT(ISNUMBER(SEARCH(" "&amp;Settings!$L$5:$L$124&amp;" "," "&amp;M668&amp;" "))*(Settings!$K$5:$K$124="Transactional")*(Settings!$L$5:$L$124&lt;&gt;""))&gt;0,"Transactional",IF(SUMPRODUCT(ISNUMBER(SEARCH(" "&amp;Settings!$L$5:$L$124&amp;" "," "&amp;M668&amp;" "))*(Settings!$K$5:$K$124="Commercial")*(Settings!$L$5:$L$124&lt;&gt;""))&gt;0,"Commercial",IF(SUMPRODUCT(ISNUMBER(SEARCH(" "&amp;Settings!$L$5:$L$124&amp;" "," "&amp;M668&amp;" "))*(Settings!$K$5:$K$124="Informational")*(Settings!$L$5:$L$124&lt;&gt;""))&gt;0,"Informational","Unclassified")))))</f>
        <v/>
      </c>
      <c r="O668">
        <f>IF(A668="","",IF(K668&lt;&gt;"",PROPER(K668),N668))</f>
        <v/>
      </c>
      <c r="P668">
        <f>IF(A668="","",ROUND(Settings!$B$5*MIN(1,LOG10(N(C668)+1)/LOG10(Settings!$B$7+1))+Settings!$B$6*(1-MIN(100,IF(D668="",50,N(D668)))/100)+IFERROR(INDEX(Settings!$B$10:$B$14,MATCH(O668,Settings!$A$10:$A$14,0)),0),0))</f>
        <v/>
      </c>
      <c r="Q668">
        <f>IF(OR(A668="",G668=""),"",COUNTIFS($M$3:$M$1002,M668,$G$3:$G$1002,"&lt;&gt;"&amp;SUBSTITUTE(SUBSTITUTE(G668,"?","~?"),"*","~*"),$G$3:$G$1002,"?*"))</f>
        <v/>
      </c>
      <c r="R668">
        <f>IF(Q668="","",IF(Q668&gt;0,"Yes","No"))</f>
        <v/>
      </c>
      <c r="S668">
        <f>IF(G668="","",COUNTIFS($G$3:$G$1002,SUBSTITUTE(SUBSTITUTE(G668,"?","~?"),"*","~*"),$J$3:$J$1002,"Primary"))</f>
        <v/>
      </c>
      <c r="T668">
        <f>IF(S668="","",IF(S668&gt;Settings!$B$4,"Yes","No"))</f>
        <v/>
      </c>
      <c r="U668">
        <f>IF(OR(G668="",B668=""),"",IF(COUNTIFS($G$3:$G$1002,SUBSTITUTE(SUBSTITUTE(G668,"?","~?"),"*","~*"),$B$3:$B$1002,"&lt;&gt;"&amp;SUBSTITUTE(SUBSTITUTE(B668,"?","~?"),"*","~*"),$B$3:$B$1002,"?*")&gt;0,"Yes","No"))</f>
        <v/>
      </c>
      <c r="V668">
        <f>IF(OR(G668="",I668="",O668="",O668="Unclassified"),"",IFERROR(INDEX(Settings!$E$5:$H$16,MATCH(I668,Settings!$D$5:$D$16,0),MATCH(O668,Settings!$E$4:$H$4,0)),"Check"))</f>
        <v/>
      </c>
      <c r="W668">
        <f>IF(V668="","",IF(V668="No","Yes","No"))</f>
        <v/>
      </c>
      <c r="X668">
        <f>IF(OR(E668="",G668=""),"",IF(LOWER(IF(RIGHT(TRIM(E668),1)="/",LEFT(TRIM(E668),LEN(TRIM(E668))-1),TRIM(E668)))&lt;&gt;LOWER(IF(RIGHT(TRIM(G668),1)="/",LEFT(TRIM(G668),LEN(TRIM(G668))-1),TRIM(G668))),"Yes","No"))</f>
        <v/>
      </c>
      <c r="Y668">
        <f>IF(A668="","",(N(Q668)&gt;0)+(T668="Yes")+(U668="Yes")+(W668="Yes")+(X668="Yes"))</f>
        <v/>
      </c>
      <c r="Z668">
        <f>IF(A668="","",IF(G668="","Not mapped",IF(Y668=0,"OK",MID(IF(N(Q668)&gt;0,"; Cannibalisation","")&amp;IF(T668="Yes","; Too many primary keywords on URL","")&amp;IF(U668="Yes","; URL spans 2+ clusters","")&amp;IF(W668="Yes","; Intent mismatch","")&amp;IF(X668="Yes","; Ranking URL is not the target",""),3,300))))</f>
        <v/>
      </c>
      <c r="AA668">
        <f>IF(G668="","",IF(COUNTIF($G$3:G668,SUBSTITUTE(SUBSTITUTE(G668,"?","~?"),"*","~*"))=1,MAX($AA$2:AA667)+1,""))</f>
        <v/>
      </c>
      <c r="AB668">
        <f>IF(B668="","",IF(COUNTIF($B$3:B668,SUBSTITUTE(SUBSTITUTE(B668,"?","~?"),"*","~*"))=1,MAX($AB$2:AB667)+1,""))</f>
        <v/>
      </c>
    </row>
    <row r="669">
      <c r="M669">
        <f>IF(A669="","",LOWER(TRIM(SUBSTITUTE(SUBSTITUTE(A669,"?",""),"*",""))))</f>
        <v/>
      </c>
      <c r="N669">
        <f>IF(M669="","",IF(SUMPRODUCT(ISNUMBER(SEARCH(" "&amp;Settings!$L$5:$L$124&amp;" "," "&amp;M669&amp;" "))*(Settings!$K$5:$K$124="Navigational")*(Settings!$L$5:$L$124&lt;&gt;""))&gt;0,"Navigational",IF(SUMPRODUCT(ISNUMBER(SEARCH(" "&amp;Settings!$L$5:$L$124&amp;" "," "&amp;M669&amp;" "))*(Settings!$K$5:$K$124="Transactional")*(Settings!$L$5:$L$124&lt;&gt;""))&gt;0,"Transactional",IF(SUMPRODUCT(ISNUMBER(SEARCH(" "&amp;Settings!$L$5:$L$124&amp;" "," "&amp;M669&amp;" "))*(Settings!$K$5:$K$124="Commercial")*(Settings!$L$5:$L$124&lt;&gt;""))&gt;0,"Commercial",IF(SUMPRODUCT(ISNUMBER(SEARCH(" "&amp;Settings!$L$5:$L$124&amp;" "," "&amp;M669&amp;" "))*(Settings!$K$5:$K$124="Informational")*(Settings!$L$5:$L$124&lt;&gt;""))&gt;0,"Informational","Unclassified")))))</f>
        <v/>
      </c>
      <c r="O669">
        <f>IF(A669="","",IF(K669&lt;&gt;"",PROPER(K669),N669))</f>
        <v/>
      </c>
      <c r="P669">
        <f>IF(A669="","",ROUND(Settings!$B$5*MIN(1,LOG10(N(C669)+1)/LOG10(Settings!$B$7+1))+Settings!$B$6*(1-MIN(100,IF(D669="",50,N(D669)))/100)+IFERROR(INDEX(Settings!$B$10:$B$14,MATCH(O669,Settings!$A$10:$A$14,0)),0),0))</f>
        <v/>
      </c>
      <c r="Q669">
        <f>IF(OR(A669="",G669=""),"",COUNTIFS($M$3:$M$1002,M669,$G$3:$G$1002,"&lt;&gt;"&amp;SUBSTITUTE(SUBSTITUTE(G669,"?","~?"),"*","~*"),$G$3:$G$1002,"?*"))</f>
        <v/>
      </c>
      <c r="R669">
        <f>IF(Q669="","",IF(Q669&gt;0,"Yes","No"))</f>
        <v/>
      </c>
      <c r="S669">
        <f>IF(G669="","",COUNTIFS($G$3:$G$1002,SUBSTITUTE(SUBSTITUTE(G669,"?","~?"),"*","~*"),$J$3:$J$1002,"Primary"))</f>
        <v/>
      </c>
      <c r="T669">
        <f>IF(S669="","",IF(S669&gt;Settings!$B$4,"Yes","No"))</f>
        <v/>
      </c>
      <c r="U669">
        <f>IF(OR(G669="",B669=""),"",IF(COUNTIFS($G$3:$G$1002,SUBSTITUTE(SUBSTITUTE(G669,"?","~?"),"*","~*"),$B$3:$B$1002,"&lt;&gt;"&amp;SUBSTITUTE(SUBSTITUTE(B669,"?","~?"),"*","~*"),$B$3:$B$1002,"?*")&gt;0,"Yes","No"))</f>
        <v/>
      </c>
      <c r="V669">
        <f>IF(OR(G669="",I669="",O669="",O669="Unclassified"),"",IFERROR(INDEX(Settings!$E$5:$H$16,MATCH(I669,Settings!$D$5:$D$16,0),MATCH(O669,Settings!$E$4:$H$4,0)),"Check"))</f>
        <v/>
      </c>
      <c r="W669">
        <f>IF(V669="","",IF(V669="No","Yes","No"))</f>
        <v/>
      </c>
      <c r="X669">
        <f>IF(OR(E669="",G669=""),"",IF(LOWER(IF(RIGHT(TRIM(E669),1)="/",LEFT(TRIM(E669),LEN(TRIM(E669))-1),TRIM(E669)))&lt;&gt;LOWER(IF(RIGHT(TRIM(G669),1)="/",LEFT(TRIM(G669),LEN(TRIM(G669))-1),TRIM(G669))),"Yes","No"))</f>
        <v/>
      </c>
      <c r="Y669">
        <f>IF(A669="","",(N(Q669)&gt;0)+(T669="Yes")+(U669="Yes")+(W669="Yes")+(X669="Yes"))</f>
        <v/>
      </c>
      <c r="Z669">
        <f>IF(A669="","",IF(G669="","Not mapped",IF(Y669=0,"OK",MID(IF(N(Q669)&gt;0,"; Cannibalisation","")&amp;IF(T669="Yes","; Too many primary keywords on URL","")&amp;IF(U669="Yes","; URL spans 2+ clusters","")&amp;IF(W669="Yes","; Intent mismatch","")&amp;IF(X669="Yes","; Ranking URL is not the target",""),3,300))))</f>
        <v/>
      </c>
      <c r="AA669">
        <f>IF(G669="","",IF(COUNTIF($G$3:G669,SUBSTITUTE(SUBSTITUTE(G669,"?","~?"),"*","~*"))=1,MAX($AA$2:AA668)+1,""))</f>
        <v/>
      </c>
      <c r="AB669">
        <f>IF(B669="","",IF(COUNTIF($B$3:B669,SUBSTITUTE(SUBSTITUTE(B669,"?","~?"),"*","~*"))=1,MAX($AB$2:AB668)+1,""))</f>
        <v/>
      </c>
    </row>
    <row r="670">
      <c r="M670">
        <f>IF(A670="","",LOWER(TRIM(SUBSTITUTE(SUBSTITUTE(A670,"?",""),"*",""))))</f>
        <v/>
      </c>
      <c r="N670">
        <f>IF(M670="","",IF(SUMPRODUCT(ISNUMBER(SEARCH(" "&amp;Settings!$L$5:$L$124&amp;" "," "&amp;M670&amp;" "))*(Settings!$K$5:$K$124="Navigational")*(Settings!$L$5:$L$124&lt;&gt;""))&gt;0,"Navigational",IF(SUMPRODUCT(ISNUMBER(SEARCH(" "&amp;Settings!$L$5:$L$124&amp;" "," "&amp;M670&amp;" "))*(Settings!$K$5:$K$124="Transactional")*(Settings!$L$5:$L$124&lt;&gt;""))&gt;0,"Transactional",IF(SUMPRODUCT(ISNUMBER(SEARCH(" "&amp;Settings!$L$5:$L$124&amp;" "," "&amp;M670&amp;" "))*(Settings!$K$5:$K$124="Commercial")*(Settings!$L$5:$L$124&lt;&gt;""))&gt;0,"Commercial",IF(SUMPRODUCT(ISNUMBER(SEARCH(" "&amp;Settings!$L$5:$L$124&amp;" "," "&amp;M670&amp;" "))*(Settings!$K$5:$K$124="Informational")*(Settings!$L$5:$L$124&lt;&gt;""))&gt;0,"Informational","Unclassified")))))</f>
        <v/>
      </c>
      <c r="O670">
        <f>IF(A670="","",IF(K670&lt;&gt;"",PROPER(K670),N670))</f>
        <v/>
      </c>
      <c r="P670">
        <f>IF(A670="","",ROUND(Settings!$B$5*MIN(1,LOG10(N(C670)+1)/LOG10(Settings!$B$7+1))+Settings!$B$6*(1-MIN(100,IF(D670="",50,N(D670)))/100)+IFERROR(INDEX(Settings!$B$10:$B$14,MATCH(O670,Settings!$A$10:$A$14,0)),0),0))</f>
        <v/>
      </c>
      <c r="Q670">
        <f>IF(OR(A670="",G670=""),"",COUNTIFS($M$3:$M$1002,M670,$G$3:$G$1002,"&lt;&gt;"&amp;SUBSTITUTE(SUBSTITUTE(G670,"?","~?"),"*","~*"),$G$3:$G$1002,"?*"))</f>
        <v/>
      </c>
      <c r="R670">
        <f>IF(Q670="","",IF(Q670&gt;0,"Yes","No"))</f>
        <v/>
      </c>
      <c r="S670">
        <f>IF(G670="","",COUNTIFS($G$3:$G$1002,SUBSTITUTE(SUBSTITUTE(G670,"?","~?"),"*","~*"),$J$3:$J$1002,"Primary"))</f>
        <v/>
      </c>
      <c r="T670">
        <f>IF(S670="","",IF(S670&gt;Settings!$B$4,"Yes","No"))</f>
        <v/>
      </c>
      <c r="U670">
        <f>IF(OR(G670="",B670=""),"",IF(COUNTIFS($G$3:$G$1002,SUBSTITUTE(SUBSTITUTE(G670,"?","~?"),"*","~*"),$B$3:$B$1002,"&lt;&gt;"&amp;SUBSTITUTE(SUBSTITUTE(B670,"?","~?"),"*","~*"),$B$3:$B$1002,"?*")&gt;0,"Yes","No"))</f>
        <v/>
      </c>
      <c r="V670">
        <f>IF(OR(G670="",I670="",O670="",O670="Unclassified"),"",IFERROR(INDEX(Settings!$E$5:$H$16,MATCH(I670,Settings!$D$5:$D$16,0),MATCH(O670,Settings!$E$4:$H$4,0)),"Check"))</f>
        <v/>
      </c>
      <c r="W670">
        <f>IF(V670="","",IF(V670="No","Yes","No"))</f>
        <v/>
      </c>
      <c r="X670">
        <f>IF(OR(E670="",G670=""),"",IF(LOWER(IF(RIGHT(TRIM(E670),1)="/",LEFT(TRIM(E670),LEN(TRIM(E670))-1),TRIM(E670)))&lt;&gt;LOWER(IF(RIGHT(TRIM(G670),1)="/",LEFT(TRIM(G670),LEN(TRIM(G670))-1),TRIM(G670))),"Yes","No"))</f>
        <v/>
      </c>
      <c r="Y670">
        <f>IF(A670="","",(N(Q670)&gt;0)+(T670="Yes")+(U670="Yes")+(W670="Yes")+(X670="Yes"))</f>
        <v/>
      </c>
      <c r="Z670">
        <f>IF(A670="","",IF(G670="","Not mapped",IF(Y670=0,"OK",MID(IF(N(Q670)&gt;0,"; Cannibalisation","")&amp;IF(T670="Yes","; Too many primary keywords on URL","")&amp;IF(U670="Yes","; URL spans 2+ clusters","")&amp;IF(W670="Yes","; Intent mismatch","")&amp;IF(X670="Yes","; Ranking URL is not the target",""),3,300))))</f>
        <v/>
      </c>
      <c r="AA670">
        <f>IF(G670="","",IF(COUNTIF($G$3:G670,SUBSTITUTE(SUBSTITUTE(G670,"?","~?"),"*","~*"))=1,MAX($AA$2:AA669)+1,""))</f>
        <v/>
      </c>
      <c r="AB670">
        <f>IF(B670="","",IF(COUNTIF($B$3:B670,SUBSTITUTE(SUBSTITUTE(B670,"?","~?"),"*","~*"))=1,MAX($AB$2:AB669)+1,""))</f>
        <v/>
      </c>
    </row>
    <row r="671">
      <c r="M671">
        <f>IF(A671="","",LOWER(TRIM(SUBSTITUTE(SUBSTITUTE(A671,"?",""),"*",""))))</f>
        <v/>
      </c>
      <c r="N671">
        <f>IF(M671="","",IF(SUMPRODUCT(ISNUMBER(SEARCH(" "&amp;Settings!$L$5:$L$124&amp;" "," "&amp;M671&amp;" "))*(Settings!$K$5:$K$124="Navigational")*(Settings!$L$5:$L$124&lt;&gt;""))&gt;0,"Navigational",IF(SUMPRODUCT(ISNUMBER(SEARCH(" "&amp;Settings!$L$5:$L$124&amp;" "," "&amp;M671&amp;" "))*(Settings!$K$5:$K$124="Transactional")*(Settings!$L$5:$L$124&lt;&gt;""))&gt;0,"Transactional",IF(SUMPRODUCT(ISNUMBER(SEARCH(" "&amp;Settings!$L$5:$L$124&amp;" "," "&amp;M671&amp;" "))*(Settings!$K$5:$K$124="Commercial")*(Settings!$L$5:$L$124&lt;&gt;""))&gt;0,"Commercial",IF(SUMPRODUCT(ISNUMBER(SEARCH(" "&amp;Settings!$L$5:$L$124&amp;" "," "&amp;M671&amp;" "))*(Settings!$K$5:$K$124="Informational")*(Settings!$L$5:$L$124&lt;&gt;""))&gt;0,"Informational","Unclassified")))))</f>
        <v/>
      </c>
      <c r="O671">
        <f>IF(A671="","",IF(K671&lt;&gt;"",PROPER(K671),N671))</f>
        <v/>
      </c>
      <c r="P671">
        <f>IF(A671="","",ROUND(Settings!$B$5*MIN(1,LOG10(N(C671)+1)/LOG10(Settings!$B$7+1))+Settings!$B$6*(1-MIN(100,IF(D671="",50,N(D671)))/100)+IFERROR(INDEX(Settings!$B$10:$B$14,MATCH(O671,Settings!$A$10:$A$14,0)),0),0))</f>
        <v/>
      </c>
      <c r="Q671">
        <f>IF(OR(A671="",G671=""),"",COUNTIFS($M$3:$M$1002,M671,$G$3:$G$1002,"&lt;&gt;"&amp;SUBSTITUTE(SUBSTITUTE(G671,"?","~?"),"*","~*"),$G$3:$G$1002,"?*"))</f>
        <v/>
      </c>
      <c r="R671">
        <f>IF(Q671="","",IF(Q671&gt;0,"Yes","No"))</f>
        <v/>
      </c>
      <c r="S671">
        <f>IF(G671="","",COUNTIFS($G$3:$G$1002,SUBSTITUTE(SUBSTITUTE(G671,"?","~?"),"*","~*"),$J$3:$J$1002,"Primary"))</f>
        <v/>
      </c>
      <c r="T671">
        <f>IF(S671="","",IF(S671&gt;Settings!$B$4,"Yes","No"))</f>
        <v/>
      </c>
      <c r="U671">
        <f>IF(OR(G671="",B671=""),"",IF(COUNTIFS($G$3:$G$1002,SUBSTITUTE(SUBSTITUTE(G671,"?","~?"),"*","~*"),$B$3:$B$1002,"&lt;&gt;"&amp;SUBSTITUTE(SUBSTITUTE(B671,"?","~?"),"*","~*"),$B$3:$B$1002,"?*")&gt;0,"Yes","No"))</f>
        <v/>
      </c>
      <c r="V671">
        <f>IF(OR(G671="",I671="",O671="",O671="Unclassified"),"",IFERROR(INDEX(Settings!$E$5:$H$16,MATCH(I671,Settings!$D$5:$D$16,0),MATCH(O671,Settings!$E$4:$H$4,0)),"Check"))</f>
        <v/>
      </c>
      <c r="W671">
        <f>IF(V671="","",IF(V671="No","Yes","No"))</f>
        <v/>
      </c>
      <c r="X671">
        <f>IF(OR(E671="",G671=""),"",IF(LOWER(IF(RIGHT(TRIM(E671),1)="/",LEFT(TRIM(E671),LEN(TRIM(E671))-1),TRIM(E671)))&lt;&gt;LOWER(IF(RIGHT(TRIM(G671),1)="/",LEFT(TRIM(G671),LEN(TRIM(G671))-1),TRIM(G671))),"Yes","No"))</f>
        <v/>
      </c>
      <c r="Y671">
        <f>IF(A671="","",(N(Q671)&gt;0)+(T671="Yes")+(U671="Yes")+(W671="Yes")+(X671="Yes"))</f>
        <v/>
      </c>
      <c r="Z671">
        <f>IF(A671="","",IF(G671="","Not mapped",IF(Y671=0,"OK",MID(IF(N(Q671)&gt;0,"; Cannibalisation","")&amp;IF(T671="Yes","; Too many primary keywords on URL","")&amp;IF(U671="Yes","; URL spans 2+ clusters","")&amp;IF(W671="Yes","; Intent mismatch","")&amp;IF(X671="Yes","; Ranking URL is not the target",""),3,300))))</f>
        <v/>
      </c>
      <c r="AA671">
        <f>IF(G671="","",IF(COUNTIF($G$3:G671,SUBSTITUTE(SUBSTITUTE(G671,"?","~?"),"*","~*"))=1,MAX($AA$2:AA670)+1,""))</f>
        <v/>
      </c>
      <c r="AB671">
        <f>IF(B671="","",IF(COUNTIF($B$3:B671,SUBSTITUTE(SUBSTITUTE(B671,"?","~?"),"*","~*"))=1,MAX($AB$2:AB670)+1,""))</f>
        <v/>
      </c>
    </row>
    <row r="672">
      <c r="M672">
        <f>IF(A672="","",LOWER(TRIM(SUBSTITUTE(SUBSTITUTE(A672,"?",""),"*",""))))</f>
        <v/>
      </c>
      <c r="N672">
        <f>IF(M672="","",IF(SUMPRODUCT(ISNUMBER(SEARCH(" "&amp;Settings!$L$5:$L$124&amp;" "," "&amp;M672&amp;" "))*(Settings!$K$5:$K$124="Navigational")*(Settings!$L$5:$L$124&lt;&gt;""))&gt;0,"Navigational",IF(SUMPRODUCT(ISNUMBER(SEARCH(" "&amp;Settings!$L$5:$L$124&amp;" "," "&amp;M672&amp;" "))*(Settings!$K$5:$K$124="Transactional")*(Settings!$L$5:$L$124&lt;&gt;""))&gt;0,"Transactional",IF(SUMPRODUCT(ISNUMBER(SEARCH(" "&amp;Settings!$L$5:$L$124&amp;" "," "&amp;M672&amp;" "))*(Settings!$K$5:$K$124="Commercial")*(Settings!$L$5:$L$124&lt;&gt;""))&gt;0,"Commercial",IF(SUMPRODUCT(ISNUMBER(SEARCH(" "&amp;Settings!$L$5:$L$124&amp;" "," "&amp;M672&amp;" "))*(Settings!$K$5:$K$124="Informational")*(Settings!$L$5:$L$124&lt;&gt;""))&gt;0,"Informational","Unclassified")))))</f>
        <v/>
      </c>
      <c r="O672">
        <f>IF(A672="","",IF(K672&lt;&gt;"",PROPER(K672),N672))</f>
        <v/>
      </c>
      <c r="P672">
        <f>IF(A672="","",ROUND(Settings!$B$5*MIN(1,LOG10(N(C672)+1)/LOG10(Settings!$B$7+1))+Settings!$B$6*(1-MIN(100,IF(D672="",50,N(D672)))/100)+IFERROR(INDEX(Settings!$B$10:$B$14,MATCH(O672,Settings!$A$10:$A$14,0)),0),0))</f>
        <v/>
      </c>
      <c r="Q672">
        <f>IF(OR(A672="",G672=""),"",COUNTIFS($M$3:$M$1002,M672,$G$3:$G$1002,"&lt;&gt;"&amp;SUBSTITUTE(SUBSTITUTE(G672,"?","~?"),"*","~*"),$G$3:$G$1002,"?*"))</f>
        <v/>
      </c>
      <c r="R672">
        <f>IF(Q672="","",IF(Q672&gt;0,"Yes","No"))</f>
        <v/>
      </c>
      <c r="S672">
        <f>IF(G672="","",COUNTIFS($G$3:$G$1002,SUBSTITUTE(SUBSTITUTE(G672,"?","~?"),"*","~*"),$J$3:$J$1002,"Primary"))</f>
        <v/>
      </c>
      <c r="T672">
        <f>IF(S672="","",IF(S672&gt;Settings!$B$4,"Yes","No"))</f>
        <v/>
      </c>
      <c r="U672">
        <f>IF(OR(G672="",B672=""),"",IF(COUNTIFS($G$3:$G$1002,SUBSTITUTE(SUBSTITUTE(G672,"?","~?"),"*","~*"),$B$3:$B$1002,"&lt;&gt;"&amp;SUBSTITUTE(SUBSTITUTE(B672,"?","~?"),"*","~*"),$B$3:$B$1002,"?*")&gt;0,"Yes","No"))</f>
        <v/>
      </c>
      <c r="V672">
        <f>IF(OR(G672="",I672="",O672="",O672="Unclassified"),"",IFERROR(INDEX(Settings!$E$5:$H$16,MATCH(I672,Settings!$D$5:$D$16,0),MATCH(O672,Settings!$E$4:$H$4,0)),"Check"))</f>
        <v/>
      </c>
      <c r="W672">
        <f>IF(V672="","",IF(V672="No","Yes","No"))</f>
        <v/>
      </c>
      <c r="X672">
        <f>IF(OR(E672="",G672=""),"",IF(LOWER(IF(RIGHT(TRIM(E672),1)="/",LEFT(TRIM(E672),LEN(TRIM(E672))-1),TRIM(E672)))&lt;&gt;LOWER(IF(RIGHT(TRIM(G672),1)="/",LEFT(TRIM(G672),LEN(TRIM(G672))-1),TRIM(G672))),"Yes","No"))</f>
        <v/>
      </c>
      <c r="Y672">
        <f>IF(A672="","",(N(Q672)&gt;0)+(T672="Yes")+(U672="Yes")+(W672="Yes")+(X672="Yes"))</f>
        <v/>
      </c>
      <c r="Z672">
        <f>IF(A672="","",IF(G672="","Not mapped",IF(Y672=0,"OK",MID(IF(N(Q672)&gt;0,"; Cannibalisation","")&amp;IF(T672="Yes","; Too many primary keywords on URL","")&amp;IF(U672="Yes","; URL spans 2+ clusters","")&amp;IF(W672="Yes","; Intent mismatch","")&amp;IF(X672="Yes","; Ranking URL is not the target",""),3,300))))</f>
        <v/>
      </c>
      <c r="AA672">
        <f>IF(G672="","",IF(COUNTIF($G$3:G672,SUBSTITUTE(SUBSTITUTE(G672,"?","~?"),"*","~*"))=1,MAX($AA$2:AA671)+1,""))</f>
        <v/>
      </c>
      <c r="AB672">
        <f>IF(B672="","",IF(COUNTIF($B$3:B672,SUBSTITUTE(SUBSTITUTE(B672,"?","~?"),"*","~*"))=1,MAX($AB$2:AB671)+1,""))</f>
        <v/>
      </c>
    </row>
    <row r="673">
      <c r="M673">
        <f>IF(A673="","",LOWER(TRIM(SUBSTITUTE(SUBSTITUTE(A673,"?",""),"*",""))))</f>
        <v/>
      </c>
      <c r="N673">
        <f>IF(M673="","",IF(SUMPRODUCT(ISNUMBER(SEARCH(" "&amp;Settings!$L$5:$L$124&amp;" "," "&amp;M673&amp;" "))*(Settings!$K$5:$K$124="Navigational")*(Settings!$L$5:$L$124&lt;&gt;""))&gt;0,"Navigational",IF(SUMPRODUCT(ISNUMBER(SEARCH(" "&amp;Settings!$L$5:$L$124&amp;" "," "&amp;M673&amp;" "))*(Settings!$K$5:$K$124="Transactional")*(Settings!$L$5:$L$124&lt;&gt;""))&gt;0,"Transactional",IF(SUMPRODUCT(ISNUMBER(SEARCH(" "&amp;Settings!$L$5:$L$124&amp;" "," "&amp;M673&amp;" "))*(Settings!$K$5:$K$124="Commercial")*(Settings!$L$5:$L$124&lt;&gt;""))&gt;0,"Commercial",IF(SUMPRODUCT(ISNUMBER(SEARCH(" "&amp;Settings!$L$5:$L$124&amp;" "," "&amp;M673&amp;" "))*(Settings!$K$5:$K$124="Informational")*(Settings!$L$5:$L$124&lt;&gt;""))&gt;0,"Informational","Unclassified")))))</f>
        <v/>
      </c>
      <c r="O673">
        <f>IF(A673="","",IF(K673&lt;&gt;"",PROPER(K673),N673))</f>
        <v/>
      </c>
      <c r="P673">
        <f>IF(A673="","",ROUND(Settings!$B$5*MIN(1,LOG10(N(C673)+1)/LOG10(Settings!$B$7+1))+Settings!$B$6*(1-MIN(100,IF(D673="",50,N(D673)))/100)+IFERROR(INDEX(Settings!$B$10:$B$14,MATCH(O673,Settings!$A$10:$A$14,0)),0),0))</f>
        <v/>
      </c>
      <c r="Q673">
        <f>IF(OR(A673="",G673=""),"",COUNTIFS($M$3:$M$1002,M673,$G$3:$G$1002,"&lt;&gt;"&amp;SUBSTITUTE(SUBSTITUTE(G673,"?","~?"),"*","~*"),$G$3:$G$1002,"?*"))</f>
        <v/>
      </c>
      <c r="R673">
        <f>IF(Q673="","",IF(Q673&gt;0,"Yes","No"))</f>
        <v/>
      </c>
      <c r="S673">
        <f>IF(G673="","",COUNTIFS($G$3:$G$1002,SUBSTITUTE(SUBSTITUTE(G673,"?","~?"),"*","~*"),$J$3:$J$1002,"Primary"))</f>
        <v/>
      </c>
      <c r="T673">
        <f>IF(S673="","",IF(S673&gt;Settings!$B$4,"Yes","No"))</f>
        <v/>
      </c>
      <c r="U673">
        <f>IF(OR(G673="",B673=""),"",IF(COUNTIFS($G$3:$G$1002,SUBSTITUTE(SUBSTITUTE(G673,"?","~?"),"*","~*"),$B$3:$B$1002,"&lt;&gt;"&amp;SUBSTITUTE(SUBSTITUTE(B673,"?","~?"),"*","~*"),$B$3:$B$1002,"?*")&gt;0,"Yes","No"))</f>
        <v/>
      </c>
      <c r="V673">
        <f>IF(OR(G673="",I673="",O673="",O673="Unclassified"),"",IFERROR(INDEX(Settings!$E$5:$H$16,MATCH(I673,Settings!$D$5:$D$16,0),MATCH(O673,Settings!$E$4:$H$4,0)),"Check"))</f>
        <v/>
      </c>
      <c r="W673">
        <f>IF(V673="","",IF(V673="No","Yes","No"))</f>
        <v/>
      </c>
      <c r="X673">
        <f>IF(OR(E673="",G673=""),"",IF(LOWER(IF(RIGHT(TRIM(E673),1)="/",LEFT(TRIM(E673),LEN(TRIM(E673))-1),TRIM(E673)))&lt;&gt;LOWER(IF(RIGHT(TRIM(G673),1)="/",LEFT(TRIM(G673),LEN(TRIM(G673))-1),TRIM(G673))),"Yes","No"))</f>
        <v/>
      </c>
      <c r="Y673">
        <f>IF(A673="","",(N(Q673)&gt;0)+(T673="Yes")+(U673="Yes")+(W673="Yes")+(X673="Yes"))</f>
        <v/>
      </c>
      <c r="Z673">
        <f>IF(A673="","",IF(G673="","Not mapped",IF(Y673=0,"OK",MID(IF(N(Q673)&gt;0,"; Cannibalisation","")&amp;IF(T673="Yes","; Too many primary keywords on URL","")&amp;IF(U673="Yes","; URL spans 2+ clusters","")&amp;IF(W673="Yes","; Intent mismatch","")&amp;IF(X673="Yes","; Ranking URL is not the target",""),3,300))))</f>
        <v/>
      </c>
      <c r="AA673">
        <f>IF(G673="","",IF(COUNTIF($G$3:G673,SUBSTITUTE(SUBSTITUTE(G673,"?","~?"),"*","~*"))=1,MAX($AA$2:AA672)+1,""))</f>
        <v/>
      </c>
      <c r="AB673">
        <f>IF(B673="","",IF(COUNTIF($B$3:B673,SUBSTITUTE(SUBSTITUTE(B673,"?","~?"),"*","~*"))=1,MAX($AB$2:AB672)+1,""))</f>
        <v/>
      </c>
    </row>
    <row r="674">
      <c r="M674">
        <f>IF(A674="","",LOWER(TRIM(SUBSTITUTE(SUBSTITUTE(A674,"?",""),"*",""))))</f>
        <v/>
      </c>
      <c r="N674">
        <f>IF(M674="","",IF(SUMPRODUCT(ISNUMBER(SEARCH(" "&amp;Settings!$L$5:$L$124&amp;" "," "&amp;M674&amp;" "))*(Settings!$K$5:$K$124="Navigational")*(Settings!$L$5:$L$124&lt;&gt;""))&gt;0,"Navigational",IF(SUMPRODUCT(ISNUMBER(SEARCH(" "&amp;Settings!$L$5:$L$124&amp;" "," "&amp;M674&amp;" "))*(Settings!$K$5:$K$124="Transactional")*(Settings!$L$5:$L$124&lt;&gt;""))&gt;0,"Transactional",IF(SUMPRODUCT(ISNUMBER(SEARCH(" "&amp;Settings!$L$5:$L$124&amp;" "," "&amp;M674&amp;" "))*(Settings!$K$5:$K$124="Commercial")*(Settings!$L$5:$L$124&lt;&gt;""))&gt;0,"Commercial",IF(SUMPRODUCT(ISNUMBER(SEARCH(" "&amp;Settings!$L$5:$L$124&amp;" "," "&amp;M674&amp;" "))*(Settings!$K$5:$K$124="Informational")*(Settings!$L$5:$L$124&lt;&gt;""))&gt;0,"Informational","Unclassified")))))</f>
        <v/>
      </c>
      <c r="O674">
        <f>IF(A674="","",IF(K674&lt;&gt;"",PROPER(K674),N674))</f>
        <v/>
      </c>
      <c r="P674">
        <f>IF(A674="","",ROUND(Settings!$B$5*MIN(1,LOG10(N(C674)+1)/LOG10(Settings!$B$7+1))+Settings!$B$6*(1-MIN(100,IF(D674="",50,N(D674)))/100)+IFERROR(INDEX(Settings!$B$10:$B$14,MATCH(O674,Settings!$A$10:$A$14,0)),0),0))</f>
        <v/>
      </c>
      <c r="Q674">
        <f>IF(OR(A674="",G674=""),"",COUNTIFS($M$3:$M$1002,M674,$G$3:$G$1002,"&lt;&gt;"&amp;SUBSTITUTE(SUBSTITUTE(G674,"?","~?"),"*","~*"),$G$3:$G$1002,"?*"))</f>
        <v/>
      </c>
      <c r="R674">
        <f>IF(Q674="","",IF(Q674&gt;0,"Yes","No"))</f>
        <v/>
      </c>
      <c r="S674">
        <f>IF(G674="","",COUNTIFS($G$3:$G$1002,SUBSTITUTE(SUBSTITUTE(G674,"?","~?"),"*","~*"),$J$3:$J$1002,"Primary"))</f>
        <v/>
      </c>
      <c r="T674">
        <f>IF(S674="","",IF(S674&gt;Settings!$B$4,"Yes","No"))</f>
        <v/>
      </c>
      <c r="U674">
        <f>IF(OR(G674="",B674=""),"",IF(COUNTIFS($G$3:$G$1002,SUBSTITUTE(SUBSTITUTE(G674,"?","~?"),"*","~*"),$B$3:$B$1002,"&lt;&gt;"&amp;SUBSTITUTE(SUBSTITUTE(B674,"?","~?"),"*","~*"),$B$3:$B$1002,"?*")&gt;0,"Yes","No"))</f>
        <v/>
      </c>
      <c r="V674">
        <f>IF(OR(G674="",I674="",O674="",O674="Unclassified"),"",IFERROR(INDEX(Settings!$E$5:$H$16,MATCH(I674,Settings!$D$5:$D$16,0),MATCH(O674,Settings!$E$4:$H$4,0)),"Check"))</f>
        <v/>
      </c>
      <c r="W674">
        <f>IF(V674="","",IF(V674="No","Yes","No"))</f>
        <v/>
      </c>
      <c r="X674">
        <f>IF(OR(E674="",G674=""),"",IF(LOWER(IF(RIGHT(TRIM(E674),1)="/",LEFT(TRIM(E674),LEN(TRIM(E674))-1),TRIM(E674)))&lt;&gt;LOWER(IF(RIGHT(TRIM(G674),1)="/",LEFT(TRIM(G674),LEN(TRIM(G674))-1),TRIM(G674))),"Yes","No"))</f>
        <v/>
      </c>
      <c r="Y674">
        <f>IF(A674="","",(N(Q674)&gt;0)+(T674="Yes")+(U674="Yes")+(W674="Yes")+(X674="Yes"))</f>
        <v/>
      </c>
      <c r="Z674">
        <f>IF(A674="","",IF(G674="","Not mapped",IF(Y674=0,"OK",MID(IF(N(Q674)&gt;0,"; Cannibalisation","")&amp;IF(T674="Yes","; Too many primary keywords on URL","")&amp;IF(U674="Yes","; URL spans 2+ clusters","")&amp;IF(W674="Yes","; Intent mismatch","")&amp;IF(X674="Yes","; Ranking URL is not the target",""),3,300))))</f>
        <v/>
      </c>
      <c r="AA674">
        <f>IF(G674="","",IF(COUNTIF($G$3:G674,SUBSTITUTE(SUBSTITUTE(G674,"?","~?"),"*","~*"))=1,MAX($AA$2:AA673)+1,""))</f>
        <v/>
      </c>
      <c r="AB674">
        <f>IF(B674="","",IF(COUNTIF($B$3:B674,SUBSTITUTE(SUBSTITUTE(B674,"?","~?"),"*","~*"))=1,MAX($AB$2:AB673)+1,""))</f>
        <v/>
      </c>
    </row>
    <row r="675">
      <c r="M675">
        <f>IF(A675="","",LOWER(TRIM(SUBSTITUTE(SUBSTITUTE(A675,"?",""),"*",""))))</f>
        <v/>
      </c>
      <c r="N675">
        <f>IF(M675="","",IF(SUMPRODUCT(ISNUMBER(SEARCH(" "&amp;Settings!$L$5:$L$124&amp;" "," "&amp;M675&amp;" "))*(Settings!$K$5:$K$124="Navigational")*(Settings!$L$5:$L$124&lt;&gt;""))&gt;0,"Navigational",IF(SUMPRODUCT(ISNUMBER(SEARCH(" "&amp;Settings!$L$5:$L$124&amp;" "," "&amp;M675&amp;" "))*(Settings!$K$5:$K$124="Transactional")*(Settings!$L$5:$L$124&lt;&gt;""))&gt;0,"Transactional",IF(SUMPRODUCT(ISNUMBER(SEARCH(" "&amp;Settings!$L$5:$L$124&amp;" "," "&amp;M675&amp;" "))*(Settings!$K$5:$K$124="Commercial")*(Settings!$L$5:$L$124&lt;&gt;""))&gt;0,"Commercial",IF(SUMPRODUCT(ISNUMBER(SEARCH(" "&amp;Settings!$L$5:$L$124&amp;" "," "&amp;M675&amp;" "))*(Settings!$K$5:$K$124="Informational")*(Settings!$L$5:$L$124&lt;&gt;""))&gt;0,"Informational","Unclassified")))))</f>
        <v/>
      </c>
      <c r="O675">
        <f>IF(A675="","",IF(K675&lt;&gt;"",PROPER(K675),N675))</f>
        <v/>
      </c>
      <c r="P675">
        <f>IF(A675="","",ROUND(Settings!$B$5*MIN(1,LOG10(N(C675)+1)/LOG10(Settings!$B$7+1))+Settings!$B$6*(1-MIN(100,IF(D675="",50,N(D675)))/100)+IFERROR(INDEX(Settings!$B$10:$B$14,MATCH(O675,Settings!$A$10:$A$14,0)),0),0))</f>
        <v/>
      </c>
      <c r="Q675">
        <f>IF(OR(A675="",G675=""),"",COUNTIFS($M$3:$M$1002,M675,$G$3:$G$1002,"&lt;&gt;"&amp;SUBSTITUTE(SUBSTITUTE(G675,"?","~?"),"*","~*"),$G$3:$G$1002,"?*"))</f>
        <v/>
      </c>
      <c r="R675">
        <f>IF(Q675="","",IF(Q675&gt;0,"Yes","No"))</f>
        <v/>
      </c>
      <c r="S675">
        <f>IF(G675="","",COUNTIFS($G$3:$G$1002,SUBSTITUTE(SUBSTITUTE(G675,"?","~?"),"*","~*"),$J$3:$J$1002,"Primary"))</f>
        <v/>
      </c>
      <c r="T675">
        <f>IF(S675="","",IF(S675&gt;Settings!$B$4,"Yes","No"))</f>
        <v/>
      </c>
      <c r="U675">
        <f>IF(OR(G675="",B675=""),"",IF(COUNTIFS($G$3:$G$1002,SUBSTITUTE(SUBSTITUTE(G675,"?","~?"),"*","~*"),$B$3:$B$1002,"&lt;&gt;"&amp;SUBSTITUTE(SUBSTITUTE(B675,"?","~?"),"*","~*"),$B$3:$B$1002,"?*")&gt;0,"Yes","No"))</f>
        <v/>
      </c>
      <c r="V675">
        <f>IF(OR(G675="",I675="",O675="",O675="Unclassified"),"",IFERROR(INDEX(Settings!$E$5:$H$16,MATCH(I675,Settings!$D$5:$D$16,0),MATCH(O675,Settings!$E$4:$H$4,0)),"Check"))</f>
        <v/>
      </c>
      <c r="W675">
        <f>IF(V675="","",IF(V675="No","Yes","No"))</f>
        <v/>
      </c>
      <c r="X675">
        <f>IF(OR(E675="",G675=""),"",IF(LOWER(IF(RIGHT(TRIM(E675),1)="/",LEFT(TRIM(E675),LEN(TRIM(E675))-1),TRIM(E675)))&lt;&gt;LOWER(IF(RIGHT(TRIM(G675),1)="/",LEFT(TRIM(G675),LEN(TRIM(G675))-1),TRIM(G675))),"Yes","No"))</f>
        <v/>
      </c>
      <c r="Y675">
        <f>IF(A675="","",(N(Q675)&gt;0)+(T675="Yes")+(U675="Yes")+(W675="Yes")+(X675="Yes"))</f>
        <v/>
      </c>
      <c r="Z675">
        <f>IF(A675="","",IF(G675="","Not mapped",IF(Y675=0,"OK",MID(IF(N(Q675)&gt;0,"; Cannibalisation","")&amp;IF(T675="Yes","; Too many primary keywords on URL","")&amp;IF(U675="Yes","; URL spans 2+ clusters","")&amp;IF(W675="Yes","; Intent mismatch","")&amp;IF(X675="Yes","; Ranking URL is not the target",""),3,300))))</f>
        <v/>
      </c>
      <c r="AA675">
        <f>IF(G675="","",IF(COUNTIF($G$3:G675,SUBSTITUTE(SUBSTITUTE(G675,"?","~?"),"*","~*"))=1,MAX($AA$2:AA674)+1,""))</f>
        <v/>
      </c>
      <c r="AB675">
        <f>IF(B675="","",IF(COUNTIF($B$3:B675,SUBSTITUTE(SUBSTITUTE(B675,"?","~?"),"*","~*"))=1,MAX($AB$2:AB674)+1,""))</f>
        <v/>
      </c>
    </row>
    <row r="676">
      <c r="M676">
        <f>IF(A676="","",LOWER(TRIM(SUBSTITUTE(SUBSTITUTE(A676,"?",""),"*",""))))</f>
        <v/>
      </c>
      <c r="N676">
        <f>IF(M676="","",IF(SUMPRODUCT(ISNUMBER(SEARCH(" "&amp;Settings!$L$5:$L$124&amp;" "," "&amp;M676&amp;" "))*(Settings!$K$5:$K$124="Navigational")*(Settings!$L$5:$L$124&lt;&gt;""))&gt;0,"Navigational",IF(SUMPRODUCT(ISNUMBER(SEARCH(" "&amp;Settings!$L$5:$L$124&amp;" "," "&amp;M676&amp;" "))*(Settings!$K$5:$K$124="Transactional")*(Settings!$L$5:$L$124&lt;&gt;""))&gt;0,"Transactional",IF(SUMPRODUCT(ISNUMBER(SEARCH(" "&amp;Settings!$L$5:$L$124&amp;" "," "&amp;M676&amp;" "))*(Settings!$K$5:$K$124="Commercial")*(Settings!$L$5:$L$124&lt;&gt;""))&gt;0,"Commercial",IF(SUMPRODUCT(ISNUMBER(SEARCH(" "&amp;Settings!$L$5:$L$124&amp;" "," "&amp;M676&amp;" "))*(Settings!$K$5:$K$124="Informational")*(Settings!$L$5:$L$124&lt;&gt;""))&gt;0,"Informational","Unclassified")))))</f>
        <v/>
      </c>
      <c r="O676">
        <f>IF(A676="","",IF(K676&lt;&gt;"",PROPER(K676),N676))</f>
        <v/>
      </c>
      <c r="P676">
        <f>IF(A676="","",ROUND(Settings!$B$5*MIN(1,LOG10(N(C676)+1)/LOG10(Settings!$B$7+1))+Settings!$B$6*(1-MIN(100,IF(D676="",50,N(D676)))/100)+IFERROR(INDEX(Settings!$B$10:$B$14,MATCH(O676,Settings!$A$10:$A$14,0)),0),0))</f>
        <v/>
      </c>
      <c r="Q676">
        <f>IF(OR(A676="",G676=""),"",COUNTIFS($M$3:$M$1002,M676,$G$3:$G$1002,"&lt;&gt;"&amp;SUBSTITUTE(SUBSTITUTE(G676,"?","~?"),"*","~*"),$G$3:$G$1002,"?*"))</f>
        <v/>
      </c>
      <c r="R676">
        <f>IF(Q676="","",IF(Q676&gt;0,"Yes","No"))</f>
        <v/>
      </c>
      <c r="S676">
        <f>IF(G676="","",COUNTIFS($G$3:$G$1002,SUBSTITUTE(SUBSTITUTE(G676,"?","~?"),"*","~*"),$J$3:$J$1002,"Primary"))</f>
        <v/>
      </c>
      <c r="T676">
        <f>IF(S676="","",IF(S676&gt;Settings!$B$4,"Yes","No"))</f>
        <v/>
      </c>
      <c r="U676">
        <f>IF(OR(G676="",B676=""),"",IF(COUNTIFS($G$3:$G$1002,SUBSTITUTE(SUBSTITUTE(G676,"?","~?"),"*","~*"),$B$3:$B$1002,"&lt;&gt;"&amp;SUBSTITUTE(SUBSTITUTE(B676,"?","~?"),"*","~*"),$B$3:$B$1002,"?*")&gt;0,"Yes","No"))</f>
        <v/>
      </c>
      <c r="V676">
        <f>IF(OR(G676="",I676="",O676="",O676="Unclassified"),"",IFERROR(INDEX(Settings!$E$5:$H$16,MATCH(I676,Settings!$D$5:$D$16,0),MATCH(O676,Settings!$E$4:$H$4,0)),"Check"))</f>
        <v/>
      </c>
      <c r="W676">
        <f>IF(V676="","",IF(V676="No","Yes","No"))</f>
        <v/>
      </c>
      <c r="X676">
        <f>IF(OR(E676="",G676=""),"",IF(LOWER(IF(RIGHT(TRIM(E676),1)="/",LEFT(TRIM(E676),LEN(TRIM(E676))-1),TRIM(E676)))&lt;&gt;LOWER(IF(RIGHT(TRIM(G676),1)="/",LEFT(TRIM(G676),LEN(TRIM(G676))-1),TRIM(G676))),"Yes","No"))</f>
        <v/>
      </c>
      <c r="Y676">
        <f>IF(A676="","",(N(Q676)&gt;0)+(T676="Yes")+(U676="Yes")+(W676="Yes")+(X676="Yes"))</f>
        <v/>
      </c>
      <c r="Z676">
        <f>IF(A676="","",IF(G676="","Not mapped",IF(Y676=0,"OK",MID(IF(N(Q676)&gt;0,"; Cannibalisation","")&amp;IF(T676="Yes","; Too many primary keywords on URL","")&amp;IF(U676="Yes","; URL spans 2+ clusters","")&amp;IF(W676="Yes","; Intent mismatch","")&amp;IF(X676="Yes","; Ranking URL is not the target",""),3,300))))</f>
        <v/>
      </c>
      <c r="AA676">
        <f>IF(G676="","",IF(COUNTIF($G$3:G676,SUBSTITUTE(SUBSTITUTE(G676,"?","~?"),"*","~*"))=1,MAX($AA$2:AA675)+1,""))</f>
        <v/>
      </c>
      <c r="AB676">
        <f>IF(B676="","",IF(COUNTIF($B$3:B676,SUBSTITUTE(SUBSTITUTE(B676,"?","~?"),"*","~*"))=1,MAX($AB$2:AB675)+1,""))</f>
        <v/>
      </c>
    </row>
    <row r="677">
      <c r="M677">
        <f>IF(A677="","",LOWER(TRIM(SUBSTITUTE(SUBSTITUTE(A677,"?",""),"*",""))))</f>
        <v/>
      </c>
      <c r="N677">
        <f>IF(M677="","",IF(SUMPRODUCT(ISNUMBER(SEARCH(" "&amp;Settings!$L$5:$L$124&amp;" "," "&amp;M677&amp;" "))*(Settings!$K$5:$K$124="Navigational")*(Settings!$L$5:$L$124&lt;&gt;""))&gt;0,"Navigational",IF(SUMPRODUCT(ISNUMBER(SEARCH(" "&amp;Settings!$L$5:$L$124&amp;" "," "&amp;M677&amp;" "))*(Settings!$K$5:$K$124="Transactional")*(Settings!$L$5:$L$124&lt;&gt;""))&gt;0,"Transactional",IF(SUMPRODUCT(ISNUMBER(SEARCH(" "&amp;Settings!$L$5:$L$124&amp;" "," "&amp;M677&amp;" "))*(Settings!$K$5:$K$124="Commercial")*(Settings!$L$5:$L$124&lt;&gt;""))&gt;0,"Commercial",IF(SUMPRODUCT(ISNUMBER(SEARCH(" "&amp;Settings!$L$5:$L$124&amp;" "," "&amp;M677&amp;" "))*(Settings!$K$5:$K$124="Informational")*(Settings!$L$5:$L$124&lt;&gt;""))&gt;0,"Informational","Unclassified")))))</f>
        <v/>
      </c>
      <c r="O677">
        <f>IF(A677="","",IF(K677&lt;&gt;"",PROPER(K677),N677))</f>
        <v/>
      </c>
      <c r="P677">
        <f>IF(A677="","",ROUND(Settings!$B$5*MIN(1,LOG10(N(C677)+1)/LOG10(Settings!$B$7+1))+Settings!$B$6*(1-MIN(100,IF(D677="",50,N(D677)))/100)+IFERROR(INDEX(Settings!$B$10:$B$14,MATCH(O677,Settings!$A$10:$A$14,0)),0),0))</f>
        <v/>
      </c>
      <c r="Q677">
        <f>IF(OR(A677="",G677=""),"",COUNTIFS($M$3:$M$1002,M677,$G$3:$G$1002,"&lt;&gt;"&amp;SUBSTITUTE(SUBSTITUTE(G677,"?","~?"),"*","~*"),$G$3:$G$1002,"?*"))</f>
        <v/>
      </c>
      <c r="R677">
        <f>IF(Q677="","",IF(Q677&gt;0,"Yes","No"))</f>
        <v/>
      </c>
      <c r="S677">
        <f>IF(G677="","",COUNTIFS($G$3:$G$1002,SUBSTITUTE(SUBSTITUTE(G677,"?","~?"),"*","~*"),$J$3:$J$1002,"Primary"))</f>
        <v/>
      </c>
      <c r="T677">
        <f>IF(S677="","",IF(S677&gt;Settings!$B$4,"Yes","No"))</f>
        <v/>
      </c>
      <c r="U677">
        <f>IF(OR(G677="",B677=""),"",IF(COUNTIFS($G$3:$G$1002,SUBSTITUTE(SUBSTITUTE(G677,"?","~?"),"*","~*"),$B$3:$B$1002,"&lt;&gt;"&amp;SUBSTITUTE(SUBSTITUTE(B677,"?","~?"),"*","~*"),$B$3:$B$1002,"?*")&gt;0,"Yes","No"))</f>
        <v/>
      </c>
      <c r="V677">
        <f>IF(OR(G677="",I677="",O677="",O677="Unclassified"),"",IFERROR(INDEX(Settings!$E$5:$H$16,MATCH(I677,Settings!$D$5:$D$16,0),MATCH(O677,Settings!$E$4:$H$4,0)),"Check"))</f>
        <v/>
      </c>
      <c r="W677">
        <f>IF(V677="","",IF(V677="No","Yes","No"))</f>
        <v/>
      </c>
      <c r="X677">
        <f>IF(OR(E677="",G677=""),"",IF(LOWER(IF(RIGHT(TRIM(E677),1)="/",LEFT(TRIM(E677),LEN(TRIM(E677))-1),TRIM(E677)))&lt;&gt;LOWER(IF(RIGHT(TRIM(G677),1)="/",LEFT(TRIM(G677),LEN(TRIM(G677))-1),TRIM(G677))),"Yes","No"))</f>
        <v/>
      </c>
      <c r="Y677">
        <f>IF(A677="","",(N(Q677)&gt;0)+(T677="Yes")+(U677="Yes")+(W677="Yes")+(X677="Yes"))</f>
        <v/>
      </c>
      <c r="Z677">
        <f>IF(A677="","",IF(G677="","Not mapped",IF(Y677=0,"OK",MID(IF(N(Q677)&gt;0,"; Cannibalisation","")&amp;IF(T677="Yes","; Too many primary keywords on URL","")&amp;IF(U677="Yes","; URL spans 2+ clusters","")&amp;IF(W677="Yes","; Intent mismatch","")&amp;IF(X677="Yes","; Ranking URL is not the target",""),3,300))))</f>
        <v/>
      </c>
      <c r="AA677">
        <f>IF(G677="","",IF(COUNTIF($G$3:G677,SUBSTITUTE(SUBSTITUTE(G677,"?","~?"),"*","~*"))=1,MAX($AA$2:AA676)+1,""))</f>
        <v/>
      </c>
      <c r="AB677">
        <f>IF(B677="","",IF(COUNTIF($B$3:B677,SUBSTITUTE(SUBSTITUTE(B677,"?","~?"),"*","~*"))=1,MAX($AB$2:AB676)+1,""))</f>
        <v/>
      </c>
    </row>
    <row r="678">
      <c r="M678">
        <f>IF(A678="","",LOWER(TRIM(SUBSTITUTE(SUBSTITUTE(A678,"?",""),"*",""))))</f>
        <v/>
      </c>
      <c r="N678">
        <f>IF(M678="","",IF(SUMPRODUCT(ISNUMBER(SEARCH(" "&amp;Settings!$L$5:$L$124&amp;" "," "&amp;M678&amp;" "))*(Settings!$K$5:$K$124="Navigational")*(Settings!$L$5:$L$124&lt;&gt;""))&gt;0,"Navigational",IF(SUMPRODUCT(ISNUMBER(SEARCH(" "&amp;Settings!$L$5:$L$124&amp;" "," "&amp;M678&amp;" "))*(Settings!$K$5:$K$124="Transactional")*(Settings!$L$5:$L$124&lt;&gt;""))&gt;0,"Transactional",IF(SUMPRODUCT(ISNUMBER(SEARCH(" "&amp;Settings!$L$5:$L$124&amp;" "," "&amp;M678&amp;" "))*(Settings!$K$5:$K$124="Commercial")*(Settings!$L$5:$L$124&lt;&gt;""))&gt;0,"Commercial",IF(SUMPRODUCT(ISNUMBER(SEARCH(" "&amp;Settings!$L$5:$L$124&amp;" "," "&amp;M678&amp;" "))*(Settings!$K$5:$K$124="Informational")*(Settings!$L$5:$L$124&lt;&gt;""))&gt;0,"Informational","Unclassified")))))</f>
        <v/>
      </c>
      <c r="O678">
        <f>IF(A678="","",IF(K678&lt;&gt;"",PROPER(K678),N678))</f>
        <v/>
      </c>
      <c r="P678">
        <f>IF(A678="","",ROUND(Settings!$B$5*MIN(1,LOG10(N(C678)+1)/LOG10(Settings!$B$7+1))+Settings!$B$6*(1-MIN(100,IF(D678="",50,N(D678)))/100)+IFERROR(INDEX(Settings!$B$10:$B$14,MATCH(O678,Settings!$A$10:$A$14,0)),0),0))</f>
        <v/>
      </c>
      <c r="Q678">
        <f>IF(OR(A678="",G678=""),"",COUNTIFS($M$3:$M$1002,M678,$G$3:$G$1002,"&lt;&gt;"&amp;SUBSTITUTE(SUBSTITUTE(G678,"?","~?"),"*","~*"),$G$3:$G$1002,"?*"))</f>
        <v/>
      </c>
      <c r="R678">
        <f>IF(Q678="","",IF(Q678&gt;0,"Yes","No"))</f>
        <v/>
      </c>
      <c r="S678">
        <f>IF(G678="","",COUNTIFS($G$3:$G$1002,SUBSTITUTE(SUBSTITUTE(G678,"?","~?"),"*","~*"),$J$3:$J$1002,"Primary"))</f>
        <v/>
      </c>
      <c r="T678">
        <f>IF(S678="","",IF(S678&gt;Settings!$B$4,"Yes","No"))</f>
        <v/>
      </c>
      <c r="U678">
        <f>IF(OR(G678="",B678=""),"",IF(COUNTIFS($G$3:$G$1002,SUBSTITUTE(SUBSTITUTE(G678,"?","~?"),"*","~*"),$B$3:$B$1002,"&lt;&gt;"&amp;SUBSTITUTE(SUBSTITUTE(B678,"?","~?"),"*","~*"),$B$3:$B$1002,"?*")&gt;0,"Yes","No"))</f>
        <v/>
      </c>
      <c r="V678">
        <f>IF(OR(G678="",I678="",O678="",O678="Unclassified"),"",IFERROR(INDEX(Settings!$E$5:$H$16,MATCH(I678,Settings!$D$5:$D$16,0),MATCH(O678,Settings!$E$4:$H$4,0)),"Check"))</f>
        <v/>
      </c>
      <c r="W678">
        <f>IF(V678="","",IF(V678="No","Yes","No"))</f>
        <v/>
      </c>
      <c r="X678">
        <f>IF(OR(E678="",G678=""),"",IF(LOWER(IF(RIGHT(TRIM(E678),1)="/",LEFT(TRIM(E678),LEN(TRIM(E678))-1),TRIM(E678)))&lt;&gt;LOWER(IF(RIGHT(TRIM(G678),1)="/",LEFT(TRIM(G678),LEN(TRIM(G678))-1),TRIM(G678))),"Yes","No"))</f>
        <v/>
      </c>
      <c r="Y678">
        <f>IF(A678="","",(N(Q678)&gt;0)+(T678="Yes")+(U678="Yes")+(W678="Yes")+(X678="Yes"))</f>
        <v/>
      </c>
      <c r="Z678">
        <f>IF(A678="","",IF(G678="","Not mapped",IF(Y678=0,"OK",MID(IF(N(Q678)&gt;0,"; Cannibalisation","")&amp;IF(T678="Yes","; Too many primary keywords on URL","")&amp;IF(U678="Yes","; URL spans 2+ clusters","")&amp;IF(W678="Yes","; Intent mismatch","")&amp;IF(X678="Yes","; Ranking URL is not the target",""),3,300))))</f>
        <v/>
      </c>
      <c r="AA678">
        <f>IF(G678="","",IF(COUNTIF($G$3:G678,SUBSTITUTE(SUBSTITUTE(G678,"?","~?"),"*","~*"))=1,MAX($AA$2:AA677)+1,""))</f>
        <v/>
      </c>
      <c r="AB678">
        <f>IF(B678="","",IF(COUNTIF($B$3:B678,SUBSTITUTE(SUBSTITUTE(B678,"?","~?"),"*","~*"))=1,MAX($AB$2:AB677)+1,""))</f>
        <v/>
      </c>
    </row>
    <row r="679">
      <c r="M679">
        <f>IF(A679="","",LOWER(TRIM(SUBSTITUTE(SUBSTITUTE(A679,"?",""),"*",""))))</f>
        <v/>
      </c>
      <c r="N679">
        <f>IF(M679="","",IF(SUMPRODUCT(ISNUMBER(SEARCH(" "&amp;Settings!$L$5:$L$124&amp;" "," "&amp;M679&amp;" "))*(Settings!$K$5:$K$124="Navigational")*(Settings!$L$5:$L$124&lt;&gt;""))&gt;0,"Navigational",IF(SUMPRODUCT(ISNUMBER(SEARCH(" "&amp;Settings!$L$5:$L$124&amp;" "," "&amp;M679&amp;" "))*(Settings!$K$5:$K$124="Transactional")*(Settings!$L$5:$L$124&lt;&gt;""))&gt;0,"Transactional",IF(SUMPRODUCT(ISNUMBER(SEARCH(" "&amp;Settings!$L$5:$L$124&amp;" "," "&amp;M679&amp;" "))*(Settings!$K$5:$K$124="Commercial")*(Settings!$L$5:$L$124&lt;&gt;""))&gt;0,"Commercial",IF(SUMPRODUCT(ISNUMBER(SEARCH(" "&amp;Settings!$L$5:$L$124&amp;" "," "&amp;M679&amp;" "))*(Settings!$K$5:$K$124="Informational")*(Settings!$L$5:$L$124&lt;&gt;""))&gt;0,"Informational","Unclassified")))))</f>
        <v/>
      </c>
      <c r="O679">
        <f>IF(A679="","",IF(K679&lt;&gt;"",PROPER(K679),N679))</f>
        <v/>
      </c>
      <c r="P679">
        <f>IF(A679="","",ROUND(Settings!$B$5*MIN(1,LOG10(N(C679)+1)/LOG10(Settings!$B$7+1))+Settings!$B$6*(1-MIN(100,IF(D679="",50,N(D679)))/100)+IFERROR(INDEX(Settings!$B$10:$B$14,MATCH(O679,Settings!$A$10:$A$14,0)),0),0))</f>
        <v/>
      </c>
      <c r="Q679">
        <f>IF(OR(A679="",G679=""),"",COUNTIFS($M$3:$M$1002,M679,$G$3:$G$1002,"&lt;&gt;"&amp;SUBSTITUTE(SUBSTITUTE(G679,"?","~?"),"*","~*"),$G$3:$G$1002,"?*"))</f>
        <v/>
      </c>
      <c r="R679">
        <f>IF(Q679="","",IF(Q679&gt;0,"Yes","No"))</f>
        <v/>
      </c>
      <c r="S679">
        <f>IF(G679="","",COUNTIFS($G$3:$G$1002,SUBSTITUTE(SUBSTITUTE(G679,"?","~?"),"*","~*"),$J$3:$J$1002,"Primary"))</f>
        <v/>
      </c>
      <c r="T679">
        <f>IF(S679="","",IF(S679&gt;Settings!$B$4,"Yes","No"))</f>
        <v/>
      </c>
      <c r="U679">
        <f>IF(OR(G679="",B679=""),"",IF(COUNTIFS($G$3:$G$1002,SUBSTITUTE(SUBSTITUTE(G679,"?","~?"),"*","~*"),$B$3:$B$1002,"&lt;&gt;"&amp;SUBSTITUTE(SUBSTITUTE(B679,"?","~?"),"*","~*"),$B$3:$B$1002,"?*")&gt;0,"Yes","No"))</f>
        <v/>
      </c>
      <c r="V679">
        <f>IF(OR(G679="",I679="",O679="",O679="Unclassified"),"",IFERROR(INDEX(Settings!$E$5:$H$16,MATCH(I679,Settings!$D$5:$D$16,0),MATCH(O679,Settings!$E$4:$H$4,0)),"Check"))</f>
        <v/>
      </c>
      <c r="W679">
        <f>IF(V679="","",IF(V679="No","Yes","No"))</f>
        <v/>
      </c>
      <c r="X679">
        <f>IF(OR(E679="",G679=""),"",IF(LOWER(IF(RIGHT(TRIM(E679),1)="/",LEFT(TRIM(E679),LEN(TRIM(E679))-1),TRIM(E679)))&lt;&gt;LOWER(IF(RIGHT(TRIM(G679),1)="/",LEFT(TRIM(G679),LEN(TRIM(G679))-1),TRIM(G679))),"Yes","No"))</f>
        <v/>
      </c>
      <c r="Y679">
        <f>IF(A679="","",(N(Q679)&gt;0)+(T679="Yes")+(U679="Yes")+(W679="Yes")+(X679="Yes"))</f>
        <v/>
      </c>
      <c r="Z679">
        <f>IF(A679="","",IF(G679="","Not mapped",IF(Y679=0,"OK",MID(IF(N(Q679)&gt;0,"; Cannibalisation","")&amp;IF(T679="Yes","; Too many primary keywords on URL","")&amp;IF(U679="Yes","; URL spans 2+ clusters","")&amp;IF(W679="Yes","; Intent mismatch","")&amp;IF(X679="Yes","; Ranking URL is not the target",""),3,300))))</f>
        <v/>
      </c>
      <c r="AA679">
        <f>IF(G679="","",IF(COUNTIF($G$3:G679,SUBSTITUTE(SUBSTITUTE(G679,"?","~?"),"*","~*"))=1,MAX($AA$2:AA678)+1,""))</f>
        <v/>
      </c>
      <c r="AB679">
        <f>IF(B679="","",IF(COUNTIF($B$3:B679,SUBSTITUTE(SUBSTITUTE(B679,"?","~?"),"*","~*"))=1,MAX($AB$2:AB678)+1,""))</f>
        <v/>
      </c>
    </row>
    <row r="680">
      <c r="M680">
        <f>IF(A680="","",LOWER(TRIM(SUBSTITUTE(SUBSTITUTE(A680,"?",""),"*",""))))</f>
        <v/>
      </c>
      <c r="N680">
        <f>IF(M680="","",IF(SUMPRODUCT(ISNUMBER(SEARCH(" "&amp;Settings!$L$5:$L$124&amp;" "," "&amp;M680&amp;" "))*(Settings!$K$5:$K$124="Navigational")*(Settings!$L$5:$L$124&lt;&gt;""))&gt;0,"Navigational",IF(SUMPRODUCT(ISNUMBER(SEARCH(" "&amp;Settings!$L$5:$L$124&amp;" "," "&amp;M680&amp;" "))*(Settings!$K$5:$K$124="Transactional")*(Settings!$L$5:$L$124&lt;&gt;""))&gt;0,"Transactional",IF(SUMPRODUCT(ISNUMBER(SEARCH(" "&amp;Settings!$L$5:$L$124&amp;" "," "&amp;M680&amp;" "))*(Settings!$K$5:$K$124="Commercial")*(Settings!$L$5:$L$124&lt;&gt;""))&gt;0,"Commercial",IF(SUMPRODUCT(ISNUMBER(SEARCH(" "&amp;Settings!$L$5:$L$124&amp;" "," "&amp;M680&amp;" "))*(Settings!$K$5:$K$124="Informational")*(Settings!$L$5:$L$124&lt;&gt;""))&gt;0,"Informational","Unclassified")))))</f>
        <v/>
      </c>
      <c r="O680">
        <f>IF(A680="","",IF(K680&lt;&gt;"",PROPER(K680),N680))</f>
        <v/>
      </c>
      <c r="P680">
        <f>IF(A680="","",ROUND(Settings!$B$5*MIN(1,LOG10(N(C680)+1)/LOG10(Settings!$B$7+1))+Settings!$B$6*(1-MIN(100,IF(D680="",50,N(D680)))/100)+IFERROR(INDEX(Settings!$B$10:$B$14,MATCH(O680,Settings!$A$10:$A$14,0)),0),0))</f>
        <v/>
      </c>
      <c r="Q680">
        <f>IF(OR(A680="",G680=""),"",COUNTIFS($M$3:$M$1002,M680,$G$3:$G$1002,"&lt;&gt;"&amp;SUBSTITUTE(SUBSTITUTE(G680,"?","~?"),"*","~*"),$G$3:$G$1002,"?*"))</f>
        <v/>
      </c>
      <c r="R680">
        <f>IF(Q680="","",IF(Q680&gt;0,"Yes","No"))</f>
        <v/>
      </c>
      <c r="S680">
        <f>IF(G680="","",COUNTIFS($G$3:$G$1002,SUBSTITUTE(SUBSTITUTE(G680,"?","~?"),"*","~*"),$J$3:$J$1002,"Primary"))</f>
        <v/>
      </c>
      <c r="T680">
        <f>IF(S680="","",IF(S680&gt;Settings!$B$4,"Yes","No"))</f>
        <v/>
      </c>
      <c r="U680">
        <f>IF(OR(G680="",B680=""),"",IF(COUNTIFS($G$3:$G$1002,SUBSTITUTE(SUBSTITUTE(G680,"?","~?"),"*","~*"),$B$3:$B$1002,"&lt;&gt;"&amp;SUBSTITUTE(SUBSTITUTE(B680,"?","~?"),"*","~*"),$B$3:$B$1002,"?*")&gt;0,"Yes","No"))</f>
        <v/>
      </c>
      <c r="V680">
        <f>IF(OR(G680="",I680="",O680="",O680="Unclassified"),"",IFERROR(INDEX(Settings!$E$5:$H$16,MATCH(I680,Settings!$D$5:$D$16,0),MATCH(O680,Settings!$E$4:$H$4,0)),"Check"))</f>
        <v/>
      </c>
      <c r="W680">
        <f>IF(V680="","",IF(V680="No","Yes","No"))</f>
        <v/>
      </c>
      <c r="X680">
        <f>IF(OR(E680="",G680=""),"",IF(LOWER(IF(RIGHT(TRIM(E680),1)="/",LEFT(TRIM(E680),LEN(TRIM(E680))-1),TRIM(E680)))&lt;&gt;LOWER(IF(RIGHT(TRIM(G680),1)="/",LEFT(TRIM(G680),LEN(TRIM(G680))-1),TRIM(G680))),"Yes","No"))</f>
        <v/>
      </c>
      <c r="Y680">
        <f>IF(A680="","",(N(Q680)&gt;0)+(T680="Yes")+(U680="Yes")+(W680="Yes")+(X680="Yes"))</f>
        <v/>
      </c>
      <c r="Z680">
        <f>IF(A680="","",IF(G680="","Not mapped",IF(Y680=0,"OK",MID(IF(N(Q680)&gt;0,"; Cannibalisation","")&amp;IF(T680="Yes","; Too many primary keywords on URL","")&amp;IF(U680="Yes","; URL spans 2+ clusters","")&amp;IF(W680="Yes","; Intent mismatch","")&amp;IF(X680="Yes","; Ranking URL is not the target",""),3,300))))</f>
        <v/>
      </c>
      <c r="AA680">
        <f>IF(G680="","",IF(COUNTIF($G$3:G680,SUBSTITUTE(SUBSTITUTE(G680,"?","~?"),"*","~*"))=1,MAX($AA$2:AA679)+1,""))</f>
        <v/>
      </c>
      <c r="AB680">
        <f>IF(B680="","",IF(COUNTIF($B$3:B680,SUBSTITUTE(SUBSTITUTE(B680,"?","~?"),"*","~*"))=1,MAX($AB$2:AB679)+1,""))</f>
        <v/>
      </c>
    </row>
    <row r="681">
      <c r="M681">
        <f>IF(A681="","",LOWER(TRIM(SUBSTITUTE(SUBSTITUTE(A681,"?",""),"*",""))))</f>
        <v/>
      </c>
      <c r="N681">
        <f>IF(M681="","",IF(SUMPRODUCT(ISNUMBER(SEARCH(" "&amp;Settings!$L$5:$L$124&amp;" "," "&amp;M681&amp;" "))*(Settings!$K$5:$K$124="Navigational")*(Settings!$L$5:$L$124&lt;&gt;""))&gt;0,"Navigational",IF(SUMPRODUCT(ISNUMBER(SEARCH(" "&amp;Settings!$L$5:$L$124&amp;" "," "&amp;M681&amp;" "))*(Settings!$K$5:$K$124="Transactional")*(Settings!$L$5:$L$124&lt;&gt;""))&gt;0,"Transactional",IF(SUMPRODUCT(ISNUMBER(SEARCH(" "&amp;Settings!$L$5:$L$124&amp;" "," "&amp;M681&amp;" "))*(Settings!$K$5:$K$124="Commercial")*(Settings!$L$5:$L$124&lt;&gt;""))&gt;0,"Commercial",IF(SUMPRODUCT(ISNUMBER(SEARCH(" "&amp;Settings!$L$5:$L$124&amp;" "," "&amp;M681&amp;" "))*(Settings!$K$5:$K$124="Informational")*(Settings!$L$5:$L$124&lt;&gt;""))&gt;0,"Informational","Unclassified")))))</f>
        <v/>
      </c>
      <c r="O681">
        <f>IF(A681="","",IF(K681&lt;&gt;"",PROPER(K681),N681))</f>
        <v/>
      </c>
      <c r="P681">
        <f>IF(A681="","",ROUND(Settings!$B$5*MIN(1,LOG10(N(C681)+1)/LOG10(Settings!$B$7+1))+Settings!$B$6*(1-MIN(100,IF(D681="",50,N(D681)))/100)+IFERROR(INDEX(Settings!$B$10:$B$14,MATCH(O681,Settings!$A$10:$A$14,0)),0),0))</f>
        <v/>
      </c>
      <c r="Q681">
        <f>IF(OR(A681="",G681=""),"",COUNTIFS($M$3:$M$1002,M681,$G$3:$G$1002,"&lt;&gt;"&amp;SUBSTITUTE(SUBSTITUTE(G681,"?","~?"),"*","~*"),$G$3:$G$1002,"?*"))</f>
        <v/>
      </c>
      <c r="R681">
        <f>IF(Q681="","",IF(Q681&gt;0,"Yes","No"))</f>
        <v/>
      </c>
      <c r="S681">
        <f>IF(G681="","",COUNTIFS($G$3:$G$1002,SUBSTITUTE(SUBSTITUTE(G681,"?","~?"),"*","~*"),$J$3:$J$1002,"Primary"))</f>
        <v/>
      </c>
      <c r="T681">
        <f>IF(S681="","",IF(S681&gt;Settings!$B$4,"Yes","No"))</f>
        <v/>
      </c>
      <c r="U681">
        <f>IF(OR(G681="",B681=""),"",IF(COUNTIFS($G$3:$G$1002,SUBSTITUTE(SUBSTITUTE(G681,"?","~?"),"*","~*"),$B$3:$B$1002,"&lt;&gt;"&amp;SUBSTITUTE(SUBSTITUTE(B681,"?","~?"),"*","~*"),$B$3:$B$1002,"?*")&gt;0,"Yes","No"))</f>
        <v/>
      </c>
      <c r="V681">
        <f>IF(OR(G681="",I681="",O681="",O681="Unclassified"),"",IFERROR(INDEX(Settings!$E$5:$H$16,MATCH(I681,Settings!$D$5:$D$16,0),MATCH(O681,Settings!$E$4:$H$4,0)),"Check"))</f>
        <v/>
      </c>
      <c r="W681">
        <f>IF(V681="","",IF(V681="No","Yes","No"))</f>
        <v/>
      </c>
      <c r="X681">
        <f>IF(OR(E681="",G681=""),"",IF(LOWER(IF(RIGHT(TRIM(E681),1)="/",LEFT(TRIM(E681),LEN(TRIM(E681))-1),TRIM(E681)))&lt;&gt;LOWER(IF(RIGHT(TRIM(G681),1)="/",LEFT(TRIM(G681),LEN(TRIM(G681))-1),TRIM(G681))),"Yes","No"))</f>
        <v/>
      </c>
      <c r="Y681">
        <f>IF(A681="","",(N(Q681)&gt;0)+(T681="Yes")+(U681="Yes")+(W681="Yes")+(X681="Yes"))</f>
        <v/>
      </c>
      <c r="Z681">
        <f>IF(A681="","",IF(G681="","Not mapped",IF(Y681=0,"OK",MID(IF(N(Q681)&gt;0,"; Cannibalisation","")&amp;IF(T681="Yes","; Too many primary keywords on URL","")&amp;IF(U681="Yes","; URL spans 2+ clusters","")&amp;IF(W681="Yes","; Intent mismatch","")&amp;IF(X681="Yes","; Ranking URL is not the target",""),3,300))))</f>
        <v/>
      </c>
      <c r="AA681">
        <f>IF(G681="","",IF(COUNTIF($G$3:G681,SUBSTITUTE(SUBSTITUTE(G681,"?","~?"),"*","~*"))=1,MAX($AA$2:AA680)+1,""))</f>
        <v/>
      </c>
      <c r="AB681">
        <f>IF(B681="","",IF(COUNTIF($B$3:B681,SUBSTITUTE(SUBSTITUTE(B681,"?","~?"),"*","~*"))=1,MAX($AB$2:AB680)+1,""))</f>
        <v/>
      </c>
    </row>
    <row r="682">
      <c r="M682">
        <f>IF(A682="","",LOWER(TRIM(SUBSTITUTE(SUBSTITUTE(A682,"?",""),"*",""))))</f>
        <v/>
      </c>
      <c r="N682">
        <f>IF(M682="","",IF(SUMPRODUCT(ISNUMBER(SEARCH(" "&amp;Settings!$L$5:$L$124&amp;" "," "&amp;M682&amp;" "))*(Settings!$K$5:$K$124="Navigational")*(Settings!$L$5:$L$124&lt;&gt;""))&gt;0,"Navigational",IF(SUMPRODUCT(ISNUMBER(SEARCH(" "&amp;Settings!$L$5:$L$124&amp;" "," "&amp;M682&amp;" "))*(Settings!$K$5:$K$124="Transactional")*(Settings!$L$5:$L$124&lt;&gt;""))&gt;0,"Transactional",IF(SUMPRODUCT(ISNUMBER(SEARCH(" "&amp;Settings!$L$5:$L$124&amp;" "," "&amp;M682&amp;" "))*(Settings!$K$5:$K$124="Commercial")*(Settings!$L$5:$L$124&lt;&gt;""))&gt;0,"Commercial",IF(SUMPRODUCT(ISNUMBER(SEARCH(" "&amp;Settings!$L$5:$L$124&amp;" "," "&amp;M682&amp;" "))*(Settings!$K$5:$K$124="Informational")*(Settings!$L$5:$L$124&lt;&gt;""))&gt;0,"Informational","Unclassified")))))</f>
        <v/>
      </c>
      <c r="O682">
        <f>IF(A682="","",IF(K682&lt;&gt;"",PROPER(K682),N682))</f>
        <v/>
      </c>
      <c r="P682">
        <f>IF(A682="","",ROUND(Settings!$B$5*MIN(1,LOG10(N(C682)+1)/LOG10(Settings!$B$7+1))+Settings!$B$6*(1-MIN(100,IF(D682="",50,N(D682)))/100)+IFERROR(INDEX(Settings!$B$10:$B$14,MATCH(O682,Settings!$A$10:$A$14,0)),0),0))</f>
        <v/>
      </c>
      <c r="Q682">
        <f>IF(OR(A682="",G682=""),"",COUNTIFS($M$3:$M$1002,M682,$G$3:$G$1002,"&lt;&gt;"&amp;SUBSTITUTE(SUBSTITUTE(G682,"?","~?"),"*","~*"),$G$3:$G$1002,"?*"))</f>
        <v/>
      </c>
      <c r="R682">
        <f>IF(Q682="","",IF(Q682&gt;0,"Yes","No"))</f>
        <v/>
      </c>
      <c r="S682">
        <f>IF(G682="","",COUNTIFS($G$3:$G$1002,SUBSTITUTE(SUBSTITUTE(G682,"?","~?"),"*","~*"),$J$3:$J$1002,"Primary"))</f>
        <v/>
      </c>
      <c r="T682">
        <f>IF(S682="","",IF(S682&gt;Settings!$B$4,"Yes","No"))</f>
        <v/>
      </c>
      <c r="U682">
        <f>IF(OR(G682="",B682=""),"",IF(COUNTIFS($G$3:$G$1002,SUBSTITUTE(SUBSTITUTE(G682,"?","~?"),"*","~*"),$B$3:$B$1002,"&lt;&gt;"&amp;SUBSTITUTE(SUBSTITUTE(B682,"?","~?"),"*","~*"),$B$3:$B$1002,"?*")&gt;0,"Yes","No"))</f>
        <v/>
      </c>
      <c r="V682">
        <f>IF(OR(G682="",I682="",O682="",O682="Unclassified"),"",IFERROR(INDEX(Settings!$E$5:$H$16,MATCH(I682,Settings!$D$5:$D$16,0),MATCH(O682,Settings!$E$4:$H$4,0)),"Check"))</f>
        <v/>
      </c>
      <c r="W682">
        <f>IF(V682="","",IF(V682="No","Yes","No"))</f>
        <v/>
      </c>
      <c r="X682">
        <f>IF(OR(E682="",G682=""),"",IF(LOWER(IF(RIGHT(TRIM(E682),1)="/",LEFT(TRIM(E682),LEN(TRIM(E682))-1),TRIM(E682)))&lt;&gt;LOWER(IF(RIGHT(TRIM(G682),1)="/",LEFT(TRIM(G682),LEN(TRIM(G682))-1),TRIM(G682))),"Yes","No"))</f>
        <v/>
      </c>
      <c r="Y682">
        <f>IF(A682="","",(N(Q682)&gt;0)+(T682="Yes")+(U682="Yes")+(W682="Yes")+(X682="Yes"))</f>
        <v/>
      </c>
      <c r="Z682">
        <f>IF(A682="","",IF(G682="","Not mapped",IF(Y682=0,"OK",MID(IF(N(Q682)&gt;0,"; Cannibalisation","")&amp;IF(T682="Yes","; Too many primary keywords on URL","")&amp;IF(U682="Yes","; URL spans 2+ clusters","")&amp;IF(W682="Yes","; Intent mismatch","")&amp;IF(X682="Yes","; Ranking URL is not the target",""),3,300))))</f>
        <v/>
      </c>
      <c r="AA682">
        <f>IF(G682="","",IF(COUNTIF($G$3:G682,SUBSTITUTE(SUBSTITUTE(G682,"?","~?"),"*","~*"))=1,MAX($AA$2:AA681)+1,""))</f>
        <v/>
      </c>
      <c r="AB682">
        <f>IF(B682="","",IF(COUNTIF($B$3:B682,SUBSTITUTE(SUBSTITUTE(B682,"?","~?"),"*","~*"))=1,MAX($AB$2:AB681)+1,""))</f>
        <v/>
      </c>
    </row>
    <row r="683">
      <c r="M683">
        <f>IF(A683="","",LOWER(TRIM(SUBSTITUTE(SUBSTITUTE(A683,"?",""),"*",""))))</f>
        <v/>
      </c>
      <c r="N683">
        <f>IF(M683="","",IF(SUMPRODUCT(ISNUMBER(SEARCH(" "&amp;Settings!$L$5:$L$124&amp;" "," "&amp;M683&amp;" "))*(Settings!$K$5:$K$124="Navigational")*(Settings!$L$5:$L$124&lt;&gt;""))&gt;0,"Navigational",IF(SUMPRODUCT(ISNUMBER(SEARCH(" "&amp;Settings!$L$5:$L$124&amp;" "," "&amp;M683&amp;" "))*(Settings!$K$5:$K$124="Transactional")*(Settings!$L$5:$L$124&lt;&gt;""))&gt;0,"Transactional",IF(SUMPRODUCT(ISNUMBER(SEARCH(" "&amp;Settings!$L$5:$L$124&amp;" "," "&amp;M683&amp;" "))*(Settings!$K$5:$K$124="Commercial")*(Settings!$L$5:$L$124&lt;&gt;""))&gt;0,"Commercial",IF(SUMPRODUCT(ISNUMBER(SEARCH(" "&amp;Settings!$L$5:$L$124&amp;" "," "&amp;M683&amp;" "))*(Settings!$K$5:$K$124="Informational")*(Settings!$L$5:$L$124&lt;&gt;""))&gt;0,"Informational","Unclassified")))))</f>
        <v/>
      </c>
      <c r="O683">
        <f>IF(A683="","",IF(K683&lt;&gt;"",PROPER(K683),N683))</f>
        <v/>
      </c>
      <c r="P683">
        <f>IF(A683="","",ROUND(Settings!$B$5*MIN(1,LOG10(N(C683)+1)/LOG10(Settings!$B$7+1))+Settings!$B$6*(1-MIN(100,IF(D683="",50,N(D683)))/100)+IFERROR(INDEX(Settings!$B$10:$B$14,MATCH(O683,Settings!$A$10:$A$14,0)),0),0))</f>
        <v/>
      </c>
      <c r="Q683">
        <f>IF(OR(A683="",G683=""),"",COUNTIFS($M$3:$M$1002,M683,$G$3:$G$1002,"&lt;&gt;"&amp;SUBSTITUTE(SUBSTITUTE(G683,"?","~?"),"*","~*"),$G$3:$G$1002,"?*"))</f>
        <v/>
      </c>
      <c r="R683">
        <f>IF(Q683="","",IF(Q683&gt;0,"Yes","No"))</f>
        <v/>
      </c>
      <c r="S683">
        <f>IF(G683="","",COUNTIFS($G$3:$G$1002,SUBSTITUTE(SUBSTITUTE(G683,"?","~?"),"*","~*"),$J$3:$J$1002,"Primary"))</f>
        <v/>
      </c>
      <c r="T683">
        <f>IF(S683="","",IF(S683&gt;Settings!$B$4,"Yes","No"))</f>
        <v/>
      </c>
      <c r="U683">
        <f>IF(OR(G683="",B683=""),"",IF(COUNTIFS($G$3:$G$1002,SUBSTITUTE(SUBSTITUTE(G683,"?","~?"),"*","~*"),$B$3:$B$1002,"&lt;&gt;"&amp;SUBSTITUTE(SUBSTITUTE(B683,"?","~?"),"*","~*"),$B$3:$B$1002,"?*")&gt;0,"Yes","No"))</f>
        <v/>
      </c>
      <c r="V683">
        <f>IF(OR(G683="",I683="",O683="",O683="Unclassified"),"",IFERROR(INDEX(Settings!$E$5:$H$16,MATCH(I683,Settings!$D$5:$D$16,0),MATCH(O683,Settings!$E$4:$H$4,0)),"Check"))</f>
        <v/>
      </c>
      <c r="W683">
        <f>IF(V683="","",IF(V683="No","Yes","No"))</f>
        <v/>
      </c>
      <c r="X683">
        <f>IF(OR(E683="",G683=""),"",IF(LOWER(IF(RIGHT(TRIM(E683),1)="/",LEFT(TRIM(E683),LEN(TRIM(E683))-1),TRIM(E683)))&lt;&gt;LOWER(IF(RIGHT(TRIM(G683),1)="/",LEFT(TRIM(G683),LEN(TRIM(G683))-1),TRIM(G683))),"Yes","No"))</f>
        <v/>
      </c>
      <c r="Y683">
        <f>IF(A683="","",(N(Q683)&gt;0)+(T683="Yes")+(U683="Yes")+(W683="Yes")+(X683="Yes"))</f>
        <v/>
      </c>
      <c r="Z683">
        <f>IF(A683="","",IF(G683="","Not mapped",IF(Y683=0,"OK",MID(IF(N(Q683)&gt;0,"; Cannibalisation","")&amp;IF(T683="Yes","; Too many primary keywords on URL","")&amp;IF(U683="Yes","; URL spans 2+ clusters","")&amp;IF(W683="Yes","; Intent mismatch","")&amp;IF(X683="Yes","; Ranking URL is not the target",""),3,300))))</f>
        <v/>
      </c>
      <c r="AA683">
        <f>IF(G683="","",IF(COUNTIF($G$3:G683,SUBSTITUTE(SUBSTITUTE(G683,"?","~?"),"*","~*"))=1,MAX($AA$2:AA682)+1,""))</f>
        <v/>
      </c>
      <c r="AB683">
        <f>IF(B683="","",IF(COUNTIF($B$3:B683,SUBSTITUTE(SUBSTITUTE(B683,"?","~?"),"*","~*"))=1,MAX($AB$2:AB682)+1,""))</f>
        <v/>
      </c>
    </row>
    <row r="684">
      <c r="M684">
        <f>IF(A684="","",LOWER(TRIM(SUBSTITUTE(SUBSTITUTE(A684,"?",""),"*",""))))</f>
        <v/>
      </c>
      <c r="N684">
        <f>IF(M684="","",IF(SUMPRODUCT(ISNUMBER(SEARCH(" "&amp;Settings!$L$5:$L$124&amp;" "," "&amp;M684&amp;" "))*(Settings!$K$5:$K$124="Navigational")*(Settings!$L$5:$L$124&lt;&gt;""))&gt;0,"Navigational",IF(SUMPRODUCT(ISNUMBER(SEARCH(" "&amp;Settings!$L$5:$L$124&amp;" "," "&amp;M684&amp;" "))*(Settings!$K$5:$K$124="Transactional")*(Settings!$L$5:$L$124&lt;&gt;""))&gt;0,"Transactional",IF(SUMPRODUCT(ISNUMBER(SEARCH(" "&amp;Settings!$L$5:$L$124&amp;" "," "&amp;M684&amp;" "))*(Settings!$K$5:$K$124="Commercial")*(Settings!$L$5:$L$124&lt;&gt;""))&gt;0,"Commercial",IF(SUMPRODUCT(ISNUMBER(SEARCH(" "&amp;Settings!$L$5:$L$124&amp;" "," "&amp;M684&amp;" "))*(Settings!$K$5:$K$124="Informational")*(Settings!$L$5:$L$124&lt;&gt;""))&gt;0,"Informational","Unclassified")))))</f>
        <v/>
      </c>
      <c r="O684">
        <f>IF(A684="","",IF(K684&lt;&gt;"",PROPER(K684),N684))</f>
        <v/>
      </c>
      <c r="P684">
        <f>IF(A684="","",ROUND(Settings!$B$5*MIN(1,LOG10(N(C684)+1)/LOG10(Settings!$B$7+1))+Settings!$B$6*(1-MIN(100,IF(D684="",50,N(D684)))/100)+IFERROR(INDEX(Settings!$B$10:$B$14,MATCH(O684,Settings!$A$10:$A$14,0)),0),0))</f>
        <v/>
      </c>
      <c r="Q684">
        <f>IF(OR(A684="",G684=""),"",COUNTIFS($M$3:$M$1002,M684,$G$3:$G$1002,"&lt;&gt;"&amp;SUBSTITUTE(SUBSTITUTE(G684,"?","~?"),"*","~*"),$G$3:$G$1002,"?*"))</f>
        <v/>
      </c>
      <c r="R684">
        <f>IF(Q684="","",IF(Q684&gt;0,"Yes","No"))</f>
        <v/>
      </c>
      <c r="S684">
        <f>IF(G684="","",COUNTIFS($G$3:$G$1002,SUBSTITUTE(SUBSTITUTE(G684,"?","~?"),"*","~*"),$J$3:$J$1002,"Primary"))</f>
        <v/>
      </c>
      <c r="T684">
        <f>IF(S684="","",IF(S684&gt;Settings!$B$4,"Yes","No"))</f>
        <v/>
      </c>
      <c r="U684">
        <f>IF(OR(G684="",B684=""),"",IF(COUNTIFS($G$3:$G$1002,SUBSTITUTE(SUBSTITUTE(G684,"?","~?"),"*","~*"),$B$3:$B$1002,"&lt;&gt;"&amp;SUBSTITUTE(SUBSTITUTE(B684,"?","~?"),"*","~*"),$B$3:$B$1002,"?*")&gt;0,"Yes","No"))</f>
        <v/>
      </c>
      <c r="V684">
        <f>IF(OR(G684="",I684="",O684="",O684="Unclassified"),"",IFERROR(INDEX(Settings!$E$5:$H$16,MATCH(I684,Settings!$D$5:$D$16,0),MATCH(O684,Settings!$E$4:$H$4,0)),"Check"))</f>
        <v/>
      </c>
      <c r="W684">
        <f>IF(V684="","",IF(V684="No","Yes","No"))</f>
        <v/>
      </c>
      <c r="X684">
        <f>IF(OR(E684="",G684=""),"",IF(LOWER(IF(RIGHT(TRIM(E684),1)="/",LEFT(TRIM(E684),LEN(TRIM(E684))-1),TRIM(E684)))&lt;&gt;LOWER(IF(RIGHT(TRIM(G684),1)="/",LEFT(TRIM(G684),LEN(TRIM(G684))-1),TRIM(G684))),"Yes","No"))</f>
        <v/>
      </c>
      <c r="Y684">
        <f>IF(A684="","",(N(Q684)&gt;0)+(T684="Yes")+(U684="Yes")+(W684="Yes")+(X684="Yes"))</f>
        <v/>
      </c>
      <c r="Z684">
        <f>IF(A684="","",IF(G684="","Not mapped",IF(Y684=0,"OK",MID(IF(N(Q684)&gt;0,"; Cannibalisation","")&amp;IF(T684="Yes","; Too many primary keywords on URL","")&amp;IF(U684="Yes","; URL spans 2+ clusters","")&amp;IF(W684="Yes","; Intent mismatch","")&amp;IF(X684="Yes","; Ranking URL is not the target",""),3,300))))</f>
        <v/>
      </c>
      <c r="AA684">
        <f>IF(G684="","",IF(COUNTIF($G$3:G684,SUBSTITUTE(SUBSTITUTE(G684,"?","~?"),"*","~*"))=1,MAX($AA$2:AA683)+1,""))</f>
        <v/>
      </c>
      <c r="AB684">
        <f>IF(B684="","",IF(COUNTIF($B$3:B684,SUBSTITUTE(SUBSTITUTE(B684,"?","~?"),"*","~*"))=1,MAX($AB$2:AB683)+1,""))</f>
        <v/>
      </c>
    </row>
    <row r="685">
      <c r="M685">
        <f>IF(A685="","",LOWER(TRIM(SUBSTITUTE(SUBSTITUTE(A685,"?",""),"*",""))))</f>
        <v/>
      </c>
      <c r="N685">
        <f>IF(M685="","",IF(SUMPRODUCT(ISNUMBER(SEARCH(" "&amp;Settings!$L$5:$L$124&amp;" "," "&amp;M685&amp;" "))*(Settings!$K$5:$K$124="Navigational")*(Settings!$L$5:$L$124&lt;&gt;""))&gt;0,"Navigational",IF(SUMPRODUCT(ISNUMBER(SEARCH(" "&amp;Settings!$L$5:$L$124&amp;" "," "&amp;M685&amp;" "))*(Settings!$K$5:$K$124="Transactional")*(Settings!$L$5:$L$124&lt;&gt;""))&gt;0,"Transactional",IF(SUMPRODUCT(ISNUMBER(SEARCH(" "&amp;Settings!$L$5:$L$124&amp;" "," "&amp;M685&amp;" "))*(Settings!$K$5:$K$124="Commercial")*(Settings!$L$5:$L$124&lt;&gt;""))&gt;0,"Commercial",IF(SUMPRODUCT(ISNUMBER(SEARCH(" "&amp;Settings!$L$5:$L$124&amp;" "," "&amp;M685&amp;" "))*(Settings!$K$5:$K$124="Informational")*(Settings!$L$5:$L$124&lt;&gt;""))&gt;0,"Informational","Unclassified")))))</f>
        <v/>
      </c>
      <c r="O685">
        <f>IF(A685="","",IF(K685&lt;&gt;"",PROPER(K685),N685))</f>
        <v/>
      </c>
      <c r="P685">
        <f>IF(A685="","",ROUND(Settings!$B$5*MIN(1,LOG10(N(C685)+1)/LOG10(Settings!$B$7+1))+Settings!$B$6*(1-MIN(100,IF(D685="",50,N(D685)))/100)+IFERROR(INDEX(Settings!$B$10:$B$14,MATCH(O685,Settings!$A$10:$A$14,0)),0),0))</f>
        <v/>
      </c>
      <c r="Q685">
        <f>IF(OR(A685="",G685=""),"",COUNTIFS($M$3:$M$1002,M685,$G$3:$G$1002,"&lt;&gt;"&amp;SUBSTITUTE(SUBSTITUTE(G685,"?","~?"),"*","~*"),$G$3:$G$1002,"?*"))</f>
        <v/>
      </c>
      <c r="R685">
        <f>IF(Q685="","",IF(Q685&gt;0,"Yes","No"))</f>
        <v/>
      </c>
      <c r="S685">
        <f>IF(G685="","",COUNTIFS($G$3:$G$1002,SUBSTITUTE(SUBSTITUTE(G685,"?","~?"),"*","~*"),$J$3:$J$1002,"Primary"))</f>
        <v/>
      </c>
      <c r="T685">
        <f>IF(S685="","",IF(S685&gt;Settings!$B$4,"Yes","No"))</f>
        <v/>
      </c>
      <c r="U685">
        <f>IF(OR(G685="",B685=""),"",IF(COUNTIFS($G$3:$G$1002,SUBSTITUTE(SUBSTITUTE(G685,"?","~?"),"*","~*"),$B$3:$B$1002,"&lt;&gt;"&amp;SUBSTITUTE(SUBSTITUTE(B685,"?","~?"),"*","~*"),$B$3:$B$1002,"?*")&gt;0,"Yes","No"))</f>
        <v/>
      </c>
      <c r="V685">
        <f>IF(OR(G685="",I685="",O685="",O685="Unclassified"),"",IFERROR(INDEX(Settings!$E$5:$H$16,MATCH(I685,Settings!$D$5:$D$16,0),MATCH(O685,Settings!$E$4:$H$4,0)),"Check"))</f>
        <v/>
      </c>
      <c r="W685">
        <f>IF(V685="","",IF(V685="No","Yes","No"))</f>
        <v/>
      </c>
      <c r="X685">
        <f>IF(OR(E685="",G685=""),"",IF(LOWER(IF(RIGHT(TRIM(E685),1)="/",LEFT(TRIM(E685),LEN(TRIM(E685))-1),TRIM(E685)))&lt;&gt;LOWER(IF(RIGHT(TRIM(G685),1)="/",LEFT(TRIM(G685),LEN(TRIM(G685))-1),TRIM(G685))),"Yes","No"))</f>
        <v/>
      </c>
      <c r="Y685">
        <f>IF(A685="","",(N(Q685)&gt;0)+(T685="Yes")+(U685="Yes")+(W685="Yes")+(X685="Yes"))</f>
        <v/>
      </c>
      <c r="Z685">
        <f>IF(A685="","",IF(G685="","Not mapped",IF(Y685=0,"OK",MID(IF(N(Q685)&gt;0,"; Cannibalisation","")&amp;IF(T685="Yes","; Too many primary keywords on URL","")&amp;IF(U685="Yes","; URL spans 2+ clusters","")&amp;IF(W685="Yes","; Intent mismatch","")&amp;IF(X685="Yes","; Ranking URL is not the target",""),3,300))))</f>
        <v/>
      </c>
      <c r="AA685">
        <f>IF(G685="","",IF(COUNTIF($G$3:G685,SUBSTITUTE(SUBSTITUTE(G685,"?","~?"),"*","~*"))=1,MAX($AA$2:AA684)+1,""))</f>
        <v/>
      </c>
      <c r="AB685">
        <f>IF(B685="","",IF(COUNTIF($B$3:B685,SUBSTITUTE(SUBSTITUTE(B685,"?","~?"),"*","~*"))=1,MAX($AB$2:AB684)+1,""))</f>
        <v/>
      </c>
    </row>
    <row r="686">
      <c r="M686">
        <f>IF(A686="","",LOWER(TRIM(SUBSTITUTE(SUBSTITUTE(A686,"?",""),"*",""))))</f>
        <v/>
      </c>
      <c r="N686">
        <f>IF(M686="","",IF(SUMPRODUCT(ISNUMBER(SEARCH(" "&amp;Settings!$L$5:$L$124&amp;" "," "&amp;M686&amp;" "))*(Settings!$K$5:$K$124="Navigational")*(Settings!$L$5:$L$124&lt;&gt;""))&gt;0,"Navigational",IF(SUMPRODUCT(ISNUMBER(SEARCH(" "&amp;Settings!$L$5:$L$124&amp;" "," "&amp;M686&amp;" "))*(Settings!$K$5:$K$124="Transactional")*(Settings!$L$5:$L$124&lt;&gt;""))&gt;0,"Transactional",IF(SUMPRODUCT(ISNUMBER(SEARCH(" "&amp;Settings!$L$5:$L$124&amp;" "," "&amp;M686&amp;" "))*(Settings!$K$5:$K$124="Commercial")*(Settings!$L$5:$L$124&lt;&gt;""))&gt;0,"Commercial",IF(SUMPRODUCT(ISNUMBER(SEARCH(" "&amp;Settings!$L$5:$L$124&amp;" "," "&amp;M686&amp;" "))*(Settings!$K$5:$K$124="Informational")*(Settings!$L$5:$L$124&lt;&gt;""))&gt;0,"Informational","Unclassified")))))</f>
        <v/>
      </c>
      <c r="O686">
        <f>IF(A686="","",IF(K686&lt;&gt;"",PROPER(K686),N686))</f>
        <v/>
      </c>
      <c r="P686">
        <f>IF(A686="","",ROUND(Settings!$B$5*MIN(1,LOG10(N(C686)+1)/LOG10(Settings!$B$7+1))+Settings!$B$6*(1-MIN(100,IF(D686="",50,N(D686)))/100)+IFERROR(INDEX(Settings!$B$10:$B$14,MATCH(O686,Settings!$A$10:$A$14,0)),0),0))</f>
        <v/>
      </c>
      <c r="Q686">
        <f>IF(OR(A686="",G686=""),"",COUNTIFS($M$3:$M$1002,M686,$G$3:$G$1002,"&lt;&gt;"&amp;SUBSTITUTE(SUBSTITUTE(G686,"?","~?"),"*","~*"),$G$3:$G$1002,"?*"))</f>
        <v/>
      </c>
      <c r="R686">
        <f>IF(Q686="","",IF(Q686&gt;0,"Yes","No"))</f>
        <v/>
      </c>
      <c r="S686">
        <f>IF(G686="","",COUNTIFS($G$3:$G$1002,SUBSTITUTE(SUBSTITUTE(G686,"?","~?"),"*","~*"),$J$3:$J$1002,"Primary"))</f>
        <v/>
      </c>
      <c r="T686">
        <f>IF(S686="","",IF(S686&gt;Settings!$B$4,"Yes","No"))</f>
        <v/>
      </c>
      <c r="U686">
        <f>IF(OR(G686="",B686=""),"",IF(COUNTIFS($G$3:$G$1002,SUBSTITUTE(SUBSTITUTE(G686,"?","~?"),"*","~*"),$B$3:$B$1002,"&lt;&gt;"&amp;SUBSTITUTE(SUBSTITUTE(B686,"?","~?"),"*","~*"),$B$3:$B$1002,"?*")&gt;0,"Yes","No"))</f>
        <v/>
      </c>
      <c r="V686">
        <f>IF(OR(G686="",I686="",O686="",O686="Unclassified"),"",IFERROR(INDEX(Settings!$E$5:$H$16,MATCH(I686,Settings!$D$5:$D$16,0),MATCH(O686,Settings!$E$4:$H$4,0)),"Check"))</f>
        <v/>
      </c>
      <c r="W686">
        <f>IF(V686="","",IF(V686="No","Yes","No"))</f>
        <v/>
      </c>
      <c r="X686">
        <f>IF(OR(E686="",G686=""),"",IF(LOWER(IF(RIGHT(TRIM(E686),1)="/",LEFT(TRIM(E686),LEN(TRIM(E686))-1),TRIM(E686)))&lt;&gt;LOWER(IF(RIGHT(TRIM(G686),1)="/",LEFT(TRIM(G686),LEN(TRIM(G686))-1),TRIM(G686))),"Yes","No"))</f>
        <v/>
      </c>
      <c r="Y686">
        <f>IF(A686="","",(N(Q686)&gt;0)+(T686="Yes")+(U686="Yes")+(W686="Yes")+(X686="Yes"))</f>
        <v/>
      </c>
      <c r="Z686">
        <f>IF(A686="","",IF(G686="","Not mapped",IF(Y686=0,"OK",MID(IF(N(Q686)&gt;0,"; Cannibalisation","")&amp;IF(T686="Yes","; Too many primary keywords on URL","")&amp;IF(U686="Yes","; URL spans 2+ clusters","")&amp;IF(W686="Yes","; Intent mismatch","")&amp;IF(X686="Yes","; Ranking URL is not the target",""),3,300))))</f>
        <v/>
      </c>
      <c r="AA686">
        <f>IF(G686="","",IF(COUNTIF($G$3:G686,SUBSTITUTE(SUBSTITUTE(G686,"?","~?"),"*","~*"))=1,MAX($AA$2:AA685)+1,""))</f>
        <v/>
      </c>
      <c r="AB686">
        <f>IF(B686="","",IF(COUNTIF($B$3:B686,SUBSTITUTE(SUBSTITUTE(B686,"?","~?"),"*","~*"))=1,MAX($AB$2:AB685)+1,""))</f>
        <v/>
      </c>
    </row>
    <row r="687">
      <c r="M687">
        <f>IF(A687="","",LOWER(TRIM(SUBSTITUTE(SUBSTITUTE(A687,"?",""),"*",""))))</f>
        <v/>
      </c>
      <c r="N687">
        <f>IF(M687="","",IF(SUMPRODUCT(ISNUMBER(SEARCH(" "&amp;Settings!$L$5:$L$124&amp;" "," "&amp;M687&amp;" "))*(Settings!$K$5:$K$124="Navigational")*(Settings!$L$5:$L$124&lt;&gt;""))&gt;0,"Navigational",IF(SUMPRODUCT(ISNUMBER(SEARCH(" "&amp;Settings!$L$5:$L$124&amp;" "," "&amp;M687&amp;" "))*(Settings!$K$5:$K$124="Transactional")*(Settings!$L$5:$L$124&lt;&gt;""))&gt;0,"Transactional",IF(SUMPRODUCT(ISNUMBER(SEARCH(" "&amp;Settings!$L$5:$L$124&amp;" "," "&amp;M687&amp;" "))*(Settings!$K$5:$K$124="Commercial")*(Settings!$L$5:$L$124&lt;&gt;""))&gt;0,"Commercial",IF(SUMPRODUCT(ISNUMBER(SEARCH(" "&amp;Settings!$L$5:$L$124&amp;" "," "&amp;M687&amp;" "))*(Settings!$K$5:$K$124="Informational")*(Settings!$L$5:$L$124&lt;&gt;""))&gt;0,"Informational","Unclassified")))))</f>
        <v/>
      </c>
      <c r="O687">
        <f>IF(A687="","",IF(K687&lt;&gt;"",PROPER(K687),N687))</f>
        <v/>
      </c>
      <c r="P687">
        <f>IF(A687="","",ROUND(Settings!$B$5*MIN(1,LOG10(N(C687)+1)/LOG10(Settings!$B$7+1))+Settings!$B$6*(1-MIN(100,IF(D687="",50,N(D687)))/100)+IFERROR(INDEX(Settings!$B$10:$B$14,MATCH(O687,Settings!$A$10:$A$14,0)),0),0))</f>
        <v/>
      </c>
      <c r="Q687">
        <f>IF(OR(A687="",G687=""),"",COUNTIFS($M$3:$M$1002,M687,$G$3:$G$1002,"&lt;&gt;"&amp;SUBSTITUTE(SUBSTITUTE(G687,"?","~?"),"*","~*"),$G$3:$G$1002,"?*"))</f>
        <v/>
      </c>
      <c r="R687">
        <f>IF(Q687="","",IF(Q687&gt;0,"Yes","No"))</f>
        <v/>
      </c>
      <c r="S687">
        <f>IF(G687="","",COUNTIFS($G$3:$G$1002,SUBSTITUTE(SUBSTITUTE(G687,"?","~?"),"*","~*"),$J$3:$J$1002,"Primary"))</f>
        <v/>
      </c>
      <c r="T687">
        <f>IF(S687="","",IF(S687&gt;Settings!$B$4,"Yes","No"))</f>
        <v/>
      </c>
      <c r="U687">
        <f>IF(OR(G687="",B687=""),"",IF(COUNTIFS($G$3:$G$1002,SUBSTITUTE(SUBSTITUTE(G687,"?","~?"),"*","~*"),$B$3:$B$1002,"&lt;&gt;"&amp;SUBSTITUTE(SUBSTITUTE(B687,"?","~?"),"*","~*"),$B$3:$B$1002,"?*")&gt;0,"Yes","No"))</f>
        <v/>
      </c>
      <c r="V687">
        <f>IF(OR(G687="",I687="",O687="",O687="Unclassified"),"",IFERROR(INDEX(Settings!$E$5:$H$16,MATCH(I687,Settings!$D$5:$D$16,0),MATCH(O687,Settings!$E$4:$H$4,0)),"Check"))</f>
        <v/>
      </c>
      <c r="W687">
        <f>IF(V687="","",IF(V687="No","Yes","No"))</f>
        <v/>
      </c>
      <c r="X687">
        <f>IF(OR(E687="",G687=""),"",IF(LOWER(IF(RIGHT(TRIM(E687),1)="/",LEFT(TRIM(E687),LEN(TRIM(E687))-1),TRIM(E687)))&lt;&gt;LOWER(IF(RIGHT(TRIM(G687),1)="/",LEFT(TRIM(G687),LEN(TRIM(G687))-1),TRIM(G687))),"Yes","No"))</f>
        <v/>
      </c>
      <c r="Y687">
        <f>IF(A687="","",(N(Q687)&gt;0)+(T687="Yes")+(U687="Yes")+(W687="Yes")+(X687="Yes"))</f>
        <v/>
      </c>
      <c r="Z687">
        <f>IF(A687="","",IF(G687="","Not mapped",IF(Y687=0,"OK",MID(IF(N(Q687)&gt;0,"; Cannibalisation","")&amp;IF(T687="Yes","; Too many primary keywords on URL","")&amp;IF(U687="Yes","; URL spans 2+ clusters","")&amp;IF(W687="Yes","; Intent mismatch","")&amp;IF(X687="Yes","; Ranking URL is not the target",""),3,300))))</f>
        <v/>
      </c>
      <c r="AA687">
        <f>IF(G687="","",IF(COUNTIF($G$3:G687,SUBSTITUTE(SUBSTITUTE(G687,"?","~?"),"*","~*"))=1,MAX($AA$2:AA686)+1,""))</f>
        <v/>
      </c>
      <c r="AB687">
        <f>IF(B687="","",IF(COUNTIF($B$3:B687,SUBSTITUTE(SUBSTITUTE(B687,"?","~?"),"*","~*"))=1,MAX($AB$2:AB686)+1,""))</f>
        <v/>
      </c>
    </row>
    <row r="688">
      <c r="M688">
        <f>IF(A688="","",LOWER(TRIM(SUBSTITUTE(SUBSTITUTE(A688,"?",""),"*",""))))</f>
        <v/>
      </c>
      <c r="N688">
        <f>IF(M688="","",IF(SUMPRODUCT(ISNUMBER(SEARCH(" "&amp;Settings!$L$5:$L$124&amp;" "," "&amp;M688&amp;" "))*(Settings!$K$5:$K$124="Navigational")*(Settings!$L$5:$L$124&lt;&gt;""))&gt;0,"Navigational",IF(SUMPRODUCT(ISNUMBER(SEARCH(" "&amp;Settings!$L$5:$L$124&amp;" "," "&amp;M688&amp;" "))*(Settings!$K$5:$K$124="Transactional")*(Settings!$L$5:$L$124&lt;&gt;""))&gt;0,"Transactional",IF(SUMPRODUCT(ISNUMBER(SEARCH(" "&amp;Settings!$L$5:$L$124&amp;" "," "&amp;M688&amp;" "))*(Settings!$K$5:$K$124="Commercial")*(Settings!$L$5:$L$124&lt;&gt;""))&gt;0,"Commercial",IF(SUMPRODUCT(ISNUMBER(SEARCH(" "&amp;Settings!$L$5:$L$124&amp;" "," "&amp;M688&amp;" "))*(Settings!$K$5:$K$124="Informational")*(Settings!$L$5:$L$124&lt;&gt;""))&gt;0,"Informational","Unclassified")))))</f>
        <v/>
      </c>
      <c r="O688">
        <f>IF(A688="","",IF(K688&lt;&gt;"",PROPER(K688),N688))</f>
        <v/>
      </c>
      <c r="P688">
        <f>IF(A688="","",ROUND(Settings!$B$5*MIN(1,LOG10(N(C688)+1)/LOG10(Settings!$B$7+1))+Settings!$B$6*(1-MIN(100,IF(D688="",50,N(D688)))/100)+IFERROR(INDEX(Settings!$B$10:$B$14,MATCH(O688,Settings!$A$10:$A$14,0)),0),0))</f>
        <v/>
      </c>
      <c r="Q688">
        <f>IF(OR(A688="",G688=""),"",COUNTIFS($M$3:$M$1002,M688,$G$3:$G$1002,"&lt;&gt;"&amp;SUBSTITUTE(SUBSTITUTE(G688,"?","~?"),"*","~*"),$G$3:$G$1002,"?*"))</f>
        <v/>
      </c>
      <c r="R688">
        <f>IF(Q688="","",IF(Q688&gt;0,"Yes","No"))</f>
        <v/>
      </c>
      <c r="S688">
        <f>IF(G688="","",COUNTIFS($G$3:$G$1002,SUBSTITUTE(SUBSTITUTE(G688,"?","~?"),"*","~*"),$J$3:$J$1002,"Primary"))</f>
        <v/>
      </c>
      <c r="T688">
        <f>IF(S688="","",IF(S688&gt;Settings!$B$4,"Yes","No"))</f>
        <v/>
      </c>
      <c r="U688">
        <f>IF(OR(G688="",B688=""),"",IF(COUNTIFS($G$3:$G$1002,SUBSTITUTE(SUBSTITUTE(G688,"?","~?"),"*","~*"),$B$3:$B$1002,"&lt;&gt;"&amp;SUBSTITUTE(SUBSTITUTE(B688,"?","~?"),"*","~*"),$B$3:$B$1002,"?*")&gt;0,"Yes","No"))</f>
        <v/>
      </c>
      <c r="V688">
        <f>IF(OR(G688="",I688="",O688="",O688="Unclassified"),"",IFERROR(INDEX(Settings!$E$5:$H$16,MATCH(I688,Settings!$D$5:$D$16,0),MATCH(O688,Settings!$E$4:$H$4,0)),"Check"))</f>
        <v/>
      </c>
      <c r="W688">
        <f>IF(V688="","",IF(V688="No","Yes","No"))</f>
        <v/>
      </c>
      <c r="X688">
        <f>IF(OR(E688="",G688=""),"",IF(LOWER(IF(RIGHT(TRIM(E688),1)="/",LEFT(TRIM(E688),LEN(TRIM(E688))-1),TRIM(E688)))&lt;&gt;LOWER(IF(RIGHT(TRIM(G688),1)="/",LEFT(TRIM(G688),LEN(TRIM(G688))-1),TRIM(G688))),"Yes","No"))</f>
        <v/>
      </c>
      <c r="Y688">
        <f>IF(A688="","",(N(Q688)&gt;0)+(T688="Yes")+(U688="Yes")+(W688="Yes")+(X688="Yes"))</f>
        <v/>
      </c>
      <c r="Z688">
        <f>IF(A688="","",IF(G688="","Not mapped",IF(Y688=0,"OK",MID(IF(N(Q688)&gt;0,"; Cannibalisation","")&amp;IF(T688="Yes","; Too many primary keywords on URL","")&amp;IF(U688="Yes","; URL spans 2+ clusters","")&amp;IF(W688="Yes","; Intent mismatch","")&amp;IF(X688="Yes","; Ranking URL is not the target",""),3,300))))</f>
        <v/>
      </c>
      <c r="AA688">
        <f>IF(G688="","",IF(COUNTIF($G$3:G688,SUBSTITUTE(SUBSTITUTE(G688,"?","~?"),"*","~*"))=1,MAX($AA$2:AA687)+1,""))</f>
        <v/>
      </c>
      <c r="AB688">
        <f>IF(B688="","",IF(COUNTIF($B$3:B688,SUBSTITUTE(SUBSTITUTE(B688,"?","~?"),"*","~*"))=1,MAX($AB$2:AB687)+1,""))</f>
        <v/>
      </c>
    </row>
    <row r="689">
      <c r="M689">
        <f>IF(A689="","",LOWER(TRIM(SUBSTITUTE(SUBSTITUTE(A689,"?",""),"*",""))))</f>
        <v/>
      </c>
      <c r="N689">
        <f>IF(M689="","",IF(SUMPRODUCT(ISNUMBER(SEARCH(" "&amp;Settings!$L$5:$L$124&amp;" "," "&amp;M689&amp;" "))*(Settings!$K$5:$K$124="Navigational")*(Settings!$L$5:$L$124&lt;&gt;""))&gt;0,"Navigational",IF(SUMPRODUCT(ISNUMBER(SEARCH(" "&amp;Settings!$L$5:$L$124&amp;" "," "&amp;M689&amp;" "))*(Settings!$K$5:$K$124="Transactional")*(Settings!$L$5:$L$124&lt;&gt;""))&gt;0,"Transactional",IF(SUMPRODUCT(ISNUMBER(SEARCH(" "&amp;Settings!$L$5:$L$124&amp;" "," "&amp;M689&amp;" "))*(Settings!$K$5:$K$124="Commercial")*(Settings!$L$5:$L$124&lt;&gt;""))&gt;0,"Commercial",IF(SUMPRODUCT(ISNUMBER(SEARCH(" "&amp;Settings!$L$5:$L$124&amp;" "," "&amp;M689&amp;" "))*(Settings!$K$5:$K$124="Informational")*(Settings!$L$5:$L$124&lt;&gt;""))&gt;0,"Informational","Unclassified")))))</f>
        <v/>
      </c>
      <c r="O689">
        <f>IF(A689="","",IF(K689&lt;&gt;"",PROPER(K689),N689))</f>
        <v/>
      </c>
      <c r="P689">
        <f>IF(A689="","",ROUND(Settings!$B$5*MIN(1,LOG10(N(C689)+1)/LOG10(Settings!$B$7+1))+Settings!$B$6*(1-MIN(100,IF(D689="",50,N(D689)))/100)+IFERROR(INDEX(Settings!$B$10:$B$14,MATCH(O689,Settings!$A$10:$A$14,0)),0),0))</f>
        <v/>
      </c>
      <c r="Q689">
        <f>IF(OR(A689="",G689=""),"",COUNTIFS($M$3:$M$1002,M689,$G$3:$G$1002,"&lt;&gt;"&amp;SUBSTITUTE(SUBSTITUTE(G689,"?","~?"),"*","~*"),$G$3:$G$1002,"?*"))</f>
        <v/>
      </c>
      <c r="R689">
        <f>IF(Q689="","",IF(Q689&gt;0,"Yes","No"))</f>
        <v/>
      </c>
      <c r="S689">
        <f>IF(G689="","",COUNTIFS($G$3:$G$1002,SUBSTITUTE(SUBSTITUTE(G689,"?","~?"),"*","~*"),$J$3:$J$1002,"Primary"))</f>
        <v/>
      </c>
      <c r="T689">
        <f>IF(S689="","",IF(S689&gt;Settings!$B$4,"Yes","No"))</f>
        <v/>
      </c>
      <c r="U689">
        <f>IF(OR(G689="",B689=""),"",IF(COUNTIFS($G$3:$G$1002,SUBSTITUTE(SUBSTITUTE(G689,"?","~?"),"*","~*"),$B$3:$B$1002,"&lt;&gt;"&amp;SUBSTITUTE(SUBSTITUTE(B689,"?","~?"),"*","~*"),$B$3:$B$1002,"?*")&gt;0,"Yes","No"))</f>
        <v/>
      </c>
      <c r="V689">
        <f>IF(OR(G689="",I689="",O689="",O689="Unclassified"),"",IFERROR(INDEX(Settings!$E$5:$H$16,MATCH(I689,Settings!$D$5:$D$16,0),MATCH(O689,Settings!$E$4:$H$4,0)),"Check"))</f>
        <v/>
      </c>
      <c r="W689">
        <f>IF(V689="","",IF(V689="No","Yes","No"))</f>
        <v/>
      </c>
      <c r="X689">
        <f>IF(OR(E689="",G689=""),"",IF(LOWER(IF(RIGHT(TRIM(E689),1)="/",LEFT(TRIM(E689),LEN(TRIM(E689))-1),TRIM(E689)))&lt;&gt;LOWER(IF(RIGHT(TRIM(G689),1)="/",LEFT(TRIM(G689),LEN(TRIM(G689))-1),TRIM(G689))),"Yes","No"))</f>
        <v/>
      </c>
      <c r="Y689">
        <f>IF(A689="","",(N(Q689)&gt;0)+(T689="Yes")+(U689="Yes")+(W689="Yes")+(X689="Yes"))</f>
        <v/>
      </c>
      <c r="Z689">
        <f>IF(A689="","",IF(G689="","Not mapped",IF(Y689=0,"OK",MID(IF(N(Q689)&gt;0,"; Cannibalisation","")&amp;IF(T689="Yes","; Too many primary keywords on URL","")&amp;IF(U689="Yes","; URL spans 2+ clusters","")&amp;IF(W689="Yes","; Intent mismatch","")&amp;IF(X689="Yes","; Ranking URL is not the target",""),3,300))))</f>
        <v/>
      </c>
      <c r="AA689">
        <f>IF(G689="","",IF(COUNTIF($G$3:G689,SUBSTITUTE(SUBSTITUTE(G689,"?","~?"),"*","~*"))=1,MAX($AA$2:AA688)+1,""))</f>
        <v/>
      </c>
      <c r="AB689">
        <f>IF(B689="","",IF(COUNTIF($B$3:B689,SUBSTITUTE(SUBSTITUTE(B689,"?","~?"),"*","~*"))=1,MAX($AB$2:AB688)+1,""))</f>
        <v/>
      </c>
    </row>
    <row r="690">
      <c r="M690">
        <f>IF(A690="","",LOWER(TRIM(SUBSTITUTE(SUBSTITUTE(A690,"?",""),"*",""))))</f>
        <v/>
      </c>
      <c r="N690">
        <f>IF(M690="","",IF(SUMPRODUCT(ISNUMBER(SEARCH(" "&amp;Settings!$L$5:$L$124&amp;" "," "&amp;M690&amp;" "))*(Settings!$K$5:$K$124="Navigational")*(Settings!$L$5:$L$124&lt;&gt;""))&gt;0,"Navigational",IF(SUMPRODUCT(ISNUMBER(SEARCH(" "&amp;Settings!$L$5:$L$124&amp;" "," "&amp;M690&amp;" "))*(Settings!$K$5:$K$124="Transactional")*(Settings!$L$5:$L$124&lt;&gt;""))&gt;0,"Transactional",IF(SUMPRODUCT(ISNUMBER(SEARCH(" "&amp;Settings!$L$5:$L$124&amp;" "," "&amp;M690&amp;" "))*(Settings!$K$5:$K$124="Commercial")*(Settings!$L$5:$L$124&lt;&gt;""))&gt;0,"Commercial",IF(SUMPRODUCT(ISNUMBER(SEARCH(" "&amp;Settings!$L$5:$L$124&amp;" "," "&amp;M690&amp;" "))*(Settings!$K$5:$K$124="Informational")*(Settings!$L$5:$L$124&lt;&gt;""))&gt;0,"Informational","Unclassified")))))</f>
        <v/>
      </c>
      <c r="O690">
        <f>IF(A690="","",IF(K690&lt;&gt;"",PROPER(K690),N690))</f>
        <v/>
      </c>
      <c r="P690">
        <f>IF(A690="","",ROUND(Settings!$B$5*MIN(1,LOG10(N(C690)+1)/LOG10(Settings!$B$7+1))+Settings!$B$6*(1-MIN(100,IF(D690="",50,N(D690)))/100)+IFERROR(INDEX(Settings!$B$10:$B$14,MATCH(O690,Settings!$A$10:$A$14,0)),0),0))</f>
        <v/>
      </c>
      <c r="Q690">
        <f>IF(OR(A690="",G690=""),"",COUNTIFS($M$3:$M$1002,M690,$G$3:$G$1002,"&lt;&gt;"&amp;SUBSTITUTE(SUBSTITUTE(G690,"?","~?"),"*","~*"),$G$3:$G$1002,"?*"))</f>
        <v/>
      </c>
      <c r="R690">
        <f>IF(Q690="","",IF(Q690&gt;0,"Yes","No"))</f>
        <v/>
      </c>
      <c r="S690">
        <f>IF(G690="","",COUNTIFS($G$3:$G$1002,SUBSTITUTE(SUBSTITUTE(G690,"?","~?"),"*","~*"),$J$3:$J$1002,"Primary"))</f>
        <v/>
      </c>
      <c r="T690">
        <f>IF(S690="","",IF(S690&gt;Settings!$B$4,"Yes","No"))</f>
        <v/>
      </c>
      <c r="U690">
        <f>IF(OR(G690="",B690=""),"",IF(COUNTIFS($G$3:$G$1002,SUBSTITUTE(SUBSTITUTE(G690,"?","~?"),"*","~*"),$B$3:$B$1002,"&lt;&gt;"&amp;SUBSTITUTE(SUBSTITUTE(B690,"?","~?"),"*","~*"),$B$3:$B$1002,"?*")&gt;0,"Yes","No"))</f>
        <v/>
      </c>
      <c r="V690">
        <f>IF(OR(G690="",I690="",O690="",O690="Unclassified"),"",IFERROR(INDEX(Settings!$E$5:$H$16,MATCH(I690,Settings!$D$5:$D$16,0),MATCH(O690,Settings!$E$4:$H$4,0)),"Check"))</f>
        <v/>
      </c>
      <c r="W690">
        <f>IF(V690="","",IF(V690="No","Yes","No"))</f>
        <v/>
      </c>
      <c r="X690">
        <f>IF(OR(E690="",G690=""),"",IF(LOWER(IF(RIGHT(TRIM(E690),1)="/",LEFT(TRIM(E690),LEN(TRIM(E690))-1),TRIM(E690)))&lt;&gt;LOWER(IF(RIGHT(TRIM(G690),1)="/",LEFT(TRIM(G690),LEN(TRIM(G690))-1),TRIM(G690))),"Yes","No"))</f>
        <v/>
      </c>
      <c r="Y690">
        <f>IF(A690="","",(N(Q690)&gt;0)+(T690="Yes")+(U690="Yes")+(W690="Yes")+(X690="Yes"))</f>
        <v/>
      </c>
      <c r="Z690">
        <f>IF(A690="","",IF(G690="","Not mapped",IF(Y690=0,"OK",MID(IF(N(Q690)&gt;0,"; Cannibalisation","")&amp;IF(T690="Yes","; Too many primary keywords on URL","")&amp;IF(U690="Yes","; URL spans 2+ clusters","")&amp;IF(W690="Yes","; Intent mismatch","")&amp;IF(X690="Yes","; Ranking URL is not the target",""),3,300))))</f>
        <v/>
      </c>
      <c r="AA690">
        <f>IF(G690="","",IF(COUNTIF($G$3:G690,SUBSTITUTE(SUBSTITUTE(G690,"?","~?"),"*","~*"))=1,MAX($AA$2:AA689)+1,""))</f>
        <v/>
      </c>
      <c r="AB690">
        <f>IF(B690="","",IF(COUNTIF($B$3:B690,SUBSTITUTE(SUBSTITUTE(B690,"?","~?"),"*","~*"))=1,MAX($AB$2:AB689)+1,""))</f>
        <v/>
      </c>
    </row>
    <row r="691">
      <c r="M691">
        <f>IF(A691="","",LOWER(TRIM(SUBSTITUTE(SUBSTITUTE(A691,"?",""),"*",""))))</f>
        <v/>
      </c>
      <c r="N691">
        <f>IF(M691="","",IF(SUMPRODUCT(ISNUMBER(SEARCH(" "&amp;Settings!$L$5:$L$124&amp;" "," "&amp;M691&amp;" "))*(Settings!$K$5:$K$124="Navigational")*(Settings!$L$5:$L$124&lt;&gt;""))&gt;0,"Navigational",IF(SUMPRODUCT(ISNUMBER(SEARCH(" "&amp;Settings!$L$5:$L$124&amp;" "," "&amp;M691&amp;" "))*(Settings!$K$5:$K$124="Transactional")*(Settings!$L$5:$L$124&lt;&gt;""))&gt;0,"Transactional",IF(SUMPRODUCT(ISNUMBER(SEARCH(" "&amp;Settings!$L$5:$L$124&amp;" "," "&amp;M691&amp;" "))*(Settings!$K$5:$K$124="Commercial")*(Settings!$L$5:$L$124&lt;&gt;""))&gt;0,"Commercial",IF(SUMPRODUCT(ISNUMBER(SEARCH(" "&amp;Settings!$L$5:$L$124&amp;" "," "&amp;M691&amp;" "))*(Settings!$K$5:$K$124="Informational")*(Settings!$L$5:$L$124&lt;&gt;""))&gt;0,"Informational","Unclassified")))))</f>
        <v/>
      </c>
      <c r="O691">
        <f>IF(A691="","",IF(K691&lt;&gt;"",PROPER(K691),N691))</f>
        <v/>
      </c>
      <c r="P691">
        <f>IF(A691="","",ROUND(Settings!$B$5*MIN(1,LOG10(N(C691)+1)/LOG10(Settings!$B$7+1))+Settings!$B$6*(1-MIN(100,IF(D691="",50,N(D691)))/100)+IFERROR(INDEX(Settings!$B$10:$B$14,MATCH(O691,Settings!$A$10:$A$14,0)),0),0))</f>
        <v/>
      </c>
      <c r="Q691">
        <f>IF(OR(A691="",G691=""),"",COUNTIFS($M$3:$M$1002,M691,$G$3:$G$1002,"&lt;&gt;"&amp;SUBSTITUTE(SUBSTITUTE(G691,"?","~?"),"*","~*"),$G$3:$G$1002,"?*"))</f>
        <v/>
      </c>
      <c r="R691">
        <f>IF(Q691="","",IF(Q691&gt;0,"Yes","No"))</f>
        <v/>
      </c>
      <c r="S691">
        <f>IF(G691="","",COUNTIFS($G$3:$G$1002,SUBSTITUTE(SUBSTITUTE(G691,"?","~?"),"*","~*"),$J$3:$J$1002,"Primary"))</f>
        <v/>
      </c>
      <c r="T691">
        <f>IF(S691="","",IF(S691&gt;Settings!$B$4,"Yes","No"))</f>
        <v/>
      </c>
      <c r="U691">
        <f>IF(OR(G691="",B691=""),"",IF(COUNTIFS($G$3:$G$1002,SUBSTITUTE(SUBSTITUTE(G691,"?","~?"),"*","~*"),$B$3:$B$1002,"&lt;&gt;"&amp;SUBSTITUTE(SUBSTITUTE(B691,"?","~?"),"*","~*"),$B$3:$B$1002,"?*")&gt;0,"Yes","No"))</f>
        <v/>
      </c>
      <c r="V691">
        <f>IF(OR(G691="",I691="",O691="",O691="Unclassified"),"",IFERROR(INDEX(Settings!$E$5:$H$16,MATCH(I691,Settings!$D$5:$D$16,0),MATCH(O691,Settings!$E$4:$H$4,0)),"Check"))</f>
        <v/>
      </c>
      <c r="W691">
        <f>IF(V691="","",IF(V691="No","Yes","No"))</f>
        <v/>
      </c>
      <c r="X691">
        <f>IF(OR(E691="",G691=""),"",IF(LOWER(IF(RIGHT(TRIM(E691),1)="/",LEFT(TRIM(E691),LEN(TRIM(E691))-1),TRIM(E691)))&lt;&gt;LOWER(IF(RIGHT(TRIM(G691),1)="/",LEFT(TRIM(G691),LEN(TRIM(G691))-1),TRIM(G691))),"Yes","No"))</f>
        <v/>
      </c>
      <c r="Y691">
        <f>IF(A691="","",(N(Q691)&gt;0)+(T691="Yes")+(U691="Yes")+(W691="Yes")+(X691="Yes"))</f>
        <v/>
      </c>
      <c r="Z691">
        <f>IF(A691="","",IF(G691="","Not mapped",IF(Y691=0,"OK",MID(IF(N(Q691)&gt;0,"; Cannibalisation","")&amp;IF(T691="Yes","; Too many primary keywords on URL","")&amp;IF(U691="Yes","; URL spans 2+ clusters","")&amp;IF(W691="Yes","; Intent mismatch","")&amp;IF(X691="Yes","; Ranking URL is not the target",""),3,300))))</f>
        <v/>
      </c>
      <c r="AA691">
        <f>IF(G691="","",IF(COUNTIF($G$3:G691,SUBSTITUTE(SUBSTITUTE(G691,"?","~?"),"*","~*"))=1,MAX($AA$2:AA690)+1,""))</f>
        <v/>
      </c>
      <c r="AB691">
        <f>IF(B691="","",IF(COUNTIF($B$3:B691,SUBSTITUTE(SUBSTITUTE(B691,"?","~?"),"*","~*"))=1,MAX($AB$2:AB690)+1,""))</f>
        <v/>
      </c>
    </row>
    <row r="692">
      <c r="M692">
        <f>IF(A692="","",LOWER(TRIM(SUBSTITUTE(SUBSTITUTE(A692,"?",""),"*",""))))</f>
        <v/>
      </c>
      <c r="N692">
        <f>IF(M692="","",IF(SUMPRODUCT(ISNUMBER(SEARCH(" "&amp;Settings!$L$5:$L$124&amp;" "," "&amp;M692&amp;" "))*(Settings!$K$5:$K$124="Navigational")*(Settings!$L$5:$L$124&lt;&gt;""))&gt;0,"Navigational",IF(SUMPRODUCT(ISNUMBER(SEARCH(" "&amp;Settings!$L$5:$L$124&amp;" "," "&amp;M692&amp;" "))*(Settings!$K$5:$K$124="Transactional")*(Settings!$L$5:$L$124&lt;&gt;""))&gt;0,"Transactional",IF(SUMPRODUCT(ISNUMBER(SEARCH(" "&amp;Settings!$L$5:$L$124&amp;" "," "&amp;M692&amp;" "))*(Settings!$K$5:$K$124="Commercial")*(Settings!$L$5:$L$124&lt;&gt;""))&gt;0,"Commercial",IF(SUMPRODUCT(ISNUMBER(SEARCH(" "&amp;Settings!$L$5:$L$124&amp;" "," "&amp;M692&amp;" "))*(Settings!$K$5:$K$124="Informational")*(Settings!$L$5:$L$124&lt;&gt;""))&gt;0,"Informational","Unclassified")))))</f>
        <v/>
      </c>
      <c r="O692">
        <f>IF(A692="","",IF(K692&lt;&gt;"",PROPER(K692),N692))</f>
        <v/>
      </c>
      <c r="P692">
        <f>IF(A692="","",ROUND(Settings!$B$5*MIN(1,LOG10(N(C692)+1)/LOG10(Settings!$B$7+1))+Settings!$B$6*(1-MIN(100,IF(D692="",50,N(D692)))/100)+IFERROR(INDEX(Settings!$B$10:$B$14,MATCH(O692,Settings!$A$10:$A$14,0)),0),0))</f>
        <v/>
      </c>
      <c r="Q692">
        <f>IF(OR(A692="",G692=""),"",COUNTIFS($M$3:$M$1002,M692,$G$3:$G$1002,"&lt;&gt;"&amp;SUBSTITUTE(SUBSTITUTE(G692,"?","~?"),"*","~*"),$G$3:$G$1002,"?*"))</f>
        <v/>
      </c>
      <c r="R692">
        <f>IF(Q692="","",IF(Q692&gt;0,"Yes","No"))</f>
        <v/>
      </c>
      <c r="S692">
        <f>IF(G692="","",COUNTIFS($G$3:$G$1002,SUBSTITUTE(SUBSTITUTE(G692,"?","~?"),"*","~*"),$J$3:$J$1002,"Primary"))</f>
        <v/>
      </c>
      <c r="T692">
        <f>IF(S692="","",IF(S692&gt;Settings!$B$4,"Yes","No"))</f>
        <v/>
      </c>
      <c r="U692">
        <f>IF(OR(G692="",B692=""),"",IF(COUNTIFS($G$3:$G$1002,SUBSTITUTE(SUBSTITUTE(G692,"?","~?"),"*","~*"),$B$3:$B$1002,"&lt;&gt;"&amp;SUBSTITUTE(SUBSTITUTE(B692,"?","~?"),"*","~*"),$B$3:$B$1002,"?*")&gt;0,"Yes","No"))</f>
        <v/>
      </c>
      <c r="V692">
        <f>IF(OR(G692="",I692="",O692="",O692="Unclassified"),"",IFERROR(INDEX(Settings!$E$5:$H$16,MATCH(I692,Settings!$D$5:$D$16,0),MATCH(O692,Settings!$E$4:$H$4,0)),"Check"))</f>
        <v/>
      </c>
      <c r="W692">
        <f>IF(V692="","",IF(V692="No","Yes","No"))</f>
        <v/>
      </c>
      <c r="X692">
        <f>IF(OR(E692="",G692=""),"",IF(LOWER(IF(RIGHT(TRIM(E692),1)="/",LEFT(TRIM(E692),LEN(TRIM(E692))-1),TRIM(E692)))&lt;&gt;LOWER(IF(RIGHT(TRIM(G692),1)="/",LEFT(TRIM(G692),LEN(TRIM(G692))-1),TRIM(G692))),"Yes","No"))</f>
        <v/>
      </c>
      <c r="Y692">
        <f>IF(A692="","",(N(Q692)&gt;0)+(T692="Yes")+(U692="Yes")+(W692="Yes")+(X692="Yes"))</f>
        <v/>
      </c>
      <c r="Z692">
        <f>IF(A692="","",IF(G692="","Not mapped",IF(Y692=0,"OK",MID(IF(N(Q692)&gt;0,"; Cannibalisation","")&amp;IF(T692="Yes","; Too many primary keywords on URL","")&amp;IF(U692="Yes","; URL spans 2+ clusters","")&amp;IF(W692="Yes","; Intent mismatch","")&amp;IF(X692="Yes","; Ranking URL is not the target",""),3,300))))</f>
        <v/>
      </c>
      <c r="AA692">
        <f>IF(G692="","",IF(COUNTIF($G$3:G692,SUBSTITUTE(SUBSTITUTE(G692,"?","~?"),"*","~*"))=1,MAX($AA$2:AA691)+1,""))</f>
        <v/>
      </c>
      <c r="AB692">
        <f>IF(B692="","",IF(COUNTIF($B$3:B692,SUBSTITUTE(SUBSTITUTE(B692,"?","~?"),"*","~*"))=1,MAX($AB$2:AB691)+1,""))</f>
        <v/>
      </c>
    </row>
    <row r="693">
      <c r="M693">
        <f>IF(A693="","",LOWER(TRIM(SUBSTITUTE(SUBSTITUTE(A693,"?",""),"*",""))))</f>
        <v/>
      </c>
      <c r="N693">
        <f>IF(M693="","",IF(SUMPRODUCT(ISNUMBER(SEARCH(" "&amp;Settings!$L$5:$L$124&amp;" "," "&amp;M693&amp;" "))*(Settings!$K$5:$K$124="Navigational")*(Settings!$L$5:$L$124&lt;&gt;""))&gt;0,"Navigational",IF(SUMPRODUCT(ISNUMBER(SEARCH(" "&amp;Settings!$L$5:$L$124&amp;" "," "&amp;M693&amp;" "))*(Settings!$K$5:$K$124="Transactional")*(Settings!$L$5:$L$124&lt;&gt;""))&gt;0,"Transactional",IF(SUMPRODUCT(ISNUMBER(SEARCH(" "&amp;Settings!$L$5:$L$124&amp;" "," "&amp;M693&amp;" "))*(Settings!$K$5:$K$124="Commercial")*(Settings!$L$5:$L$124&lt;&gt;""))&gt;0,"Commercial",IF(SUMPRODUCT(ISNUMBER(SEARCH(" "&amp;Settings!$L$5:$L$124&amp;" "," "&amp;M693&amp;" "))*(Settings!$K$5:$K$124="Informational")*(Settings!$L$5:$L$124&lt;&gt;""))&gt;0,"Informational","Unclassified")))))</f>
        <v/>
      </c>
      <c r="O693">
        <f>IF(A693="","",IF(K693&lt;&gt;"",PROPER(K693),N693))</f>
        <v/>
      </c>
      <c r="P693">
        <f>IF(A693="","",ROUND(Settings!$B$5*MIN(1,LOG10(N(C693)+1)/LOG10(Settings!$B$7+1))+Settings!$B$6*(1-MIN(100,IF(D693="",50,N(D693)))/100)+IFERROR(INDEX(Settings!$B$10:$B$14,MATCH(O693,Settings!$A$10:$A$14,0)),0),0))</f>
        <v/>
      </c>
      <c r="Q693">
        <f>IF(OR(A693="",G693=""),"",COUNTIFS($M$3:$M$1002,M693,$G$3:$G$1002,"&lt;&gt;"&amp;SUBSTITUTE(SUBSTITUTE(G693,"?","~?"),"*","~*"),$G$3:$G$1002,"?*"))</f>
        <v/>
      </c>
      <c r="R693">
        <f>IF(Q693="","",IF(Q693&gt;0,"Yes","No"))</f>
        <v/>
      </c>
      <c r="S693">
        <f>IF(G693="","",COUNTIFS($G$3:$G$1002,SUBSTITUTE(SUBSTITUTE(G693,"?","~?"),"*","~*"),$J$3:$J$1002,"Primary"))</f>
        <v/>
      </c>
      <c r="T693">
        <f>IF(S693="","",IF(S693&gt;Settings!$B$4,"Yes","No"))</f>
        <v/>
      </c>
      <c r="U693">
        <f>IF(OR(G693="",B693=""),"",IF(COUNTIFS($G$3:$G$1002,SUBSTITUTE(SUBSTITUTE(G693,"?","~?"),"*","~*"),$B$3:$B$1002,"&lt;&gt;"&amp;SUBSTITUTE(SUBSTITUTE(B693,"?","~?"),"*","~*"),$B$3:$B$1002,"?*")&gt;0,"Yes","No"))</f>
        <v/>
      </c>
      <c r="V693">
        <f>IF(OR(G693="",I693="",O693="",O693="Unclassified"),"",IFERROR(INDEX(Settings!$E$5:$H$16,MATCH(I693,Settings!$D$5:$D$16,0),MATCH(O693,Settings!$E$4:$H$4,0)),"Check"))</f>
        <v/>
      </c>
      <c r="W693">
        <f>IF(V693="","",IF(V693="No","Yes","No"))</f>
        <v/>
      </c>
      <c r="X693">
        <f>IF(OR(E693="",G693=""),"",IF(LOWER(IF(RIGHT(TRIM(E693),1)="/",LEFT(TRIM(E693),LEN(TRIM(E693))-1),TRIM(E693)))&lt;&gt;LOWER(IF(RIGHT(TRIM(G693),1)="/",LEFT(TRIM(G693),LEN(TRIM(G693))-1),TRIM(G693))),"Yes","No"))</f>
        <v/>
      </c>
      <c r="Y693">
        <f>IF(A693="","",(N(Q693)&gt;0)+(T693="Yes")+(U693="Yes")+(W693="Yes")+(X693="Yes"))</f>
        <v/>
      </c>
      <c r="Z693">
        <f>IF(A693="","",IF(G693="","Not mapped",IF(Y693=0,"OK",MID(IF(N(Q693)&gt;0,"; Cannibalisation","")&amp;IF(T693="Yes","; Too many primary keywords on URL","")&amp;IF(U693="Yes","; URL spans 2+ clusters","")&amp;IF(W693="Yes","; Intent mismatch","")&amp;IF(X693="Yes","; Ranking URL is not the target",""),3,300))))</f>
        <v/>
      </c>
      <c r="AA693">
        <f>IF(G693="","",IF(COUNTIF($G$3:G693,SUBSTITUTE(SUBSTITUTE(G693,"?","~?"),"*","~*"))=1,MAX($AA$2:AA692)+1,""))</f>
        <v/>
      </c>
      <c r="AB693">
        <f>IF(B693="","",IF(COUNTIF($B$3:B693,SUBSTITUTE(SUBSTITUTE(B693,"?","~?"),"*","~*"))=1,MAX($AB$2:AB692)+1,""))</f>
        <v/>
      </c>
    </row>
    <row r="694">
      <c r="M694">
        <f>IF(A694="","",LOWER(TRIM(SUBSTITUTE(SUBSTITUTE(A694,"?",""),"*",""))))</f>
        <v/>
      </c>
      <c r="N694">
        <f>IF(M694="","",IF(SUMPRODUCT(ISNUMBER(SEARCH(" "&amp;Settings!$L$5:$L$124&amp;" "," "&amp;M694&amp;" "))*(Settings!$K$5:$K$124="Navigational")*(Settings!$L$5:$L$124&lt;&gt;""))&gt;0,"Navigational",IF(SUMPRODUCT(ISNUMBER(SEARCH(" "&amp;Settings!$L$5:$L$124&amp;" "," "&amp;M694&amp;" "))*(Settings!$K$5:$K$124="Transactional")*(Settings!$L$5:$L$124&lt;&gt;""))&gt;0,"Transactional",IF(SUMPRODUCT(ISNUMBER(SEARCH(" "&amp;Settings!$L$5:$L$124&amp;" "," "&amp;M694&amp;" "))*(Settings!$K$5:$K$124="Commercial")*(Settings!$L$5:$L$124&lt;&gt;""))&gt;0,"Commercial",IF(SUMPRODUCT(ISNUMBER(SEARCH(" "&amp;Settings!$L$5:$L$124&amp;" "," "&amp;M694&amp;" "))*(Settings!$K$5:$K$124="Informational")*(Settings!$L$5:$L$124&lt;&gt;""))&gt;0,"Informational","Unclassified")))))</f>
        <v/>
      </c>
      <c r="O694">
        <f>IF(A694="","",IF(K694&lt;&gt;"",PROPER(K694),N694))</f>
        <v/>
      </c>
      <c r="P694">
        <f>IF(A694="","",ROUND(Settings!$B$5*MIN(1,LOG10(N(C694)+1)/LOG10(Settings!$B$7+1))+Settings!$B$6*(1-MIN(100,IF(D694="",50,N(D694)))/100)+IFERROR(INDEX(Settings!$B$10:$B$14,MATCH(O694,Settings!$A$10:$A$14,0)),0),0))</f>
        <v/>
      </c>
      <c r="Q694">
        <f>IF(OR(A694="",G694=""),"",COUNTIFS($M$3:$M$1002,M694,$G$3:$G$1002,"&lt;&gt;"&amp;SUBSTITUTE(SUBSTITUTE(G694,"?","~?"),"*","~*"),$G$3:$G$1002,"?*"))</f>
        <v/>
      </c>
      <c r="R694">
        <f>IF(Q694="","",IF(Q694&gt;0,"Yes","No"))</f>
        <v/>
      </c>
      <c r="S694">
        <f>IF(G694="","",COUNTIFS($G$3:$G$1002,SUBSTITUTE(SUBSTITUTE(G694,"?","~?"),"*","~*"),$J$3:$J$1002,"Primary"))</f>
        <v/>
      </c>
      <c r="T694">
        <f>IF(S694="","",IF(S694&gt;Settings!$B$4,"Yes","No"))</f>
        <v/>
      </c>
      <c r="U694">
        <f>IF(OR(G694="",B694=""),"",IF(COUNTIFS($G$3:$G$1002,SUBSTITUTE(SUBSTITUTE(G694,"?","~?"),"*","~*"),$B$3:$B$1002,"&lt;&gt;"&amp;SUBSTITUTE(SUBSTITUTE(B694,"?","~?"),"*","~*"),$B$3:$B$1002,"?*")&gt;0,"Yes","No"))</f>
        <v/>
      </c>
      <c r="V694">
        <f>IF(OR(G694="",I694="",O694="",O694="Unclassified"),"",IFERROR(INDEX(Settings!$E$5:$H$16,MATCH(I694,Settings!$D$5:$D$16,0),MATCH(O694,Settings!$E$4:$H$4,0)),"Check"))</f>
        <v/>
      </c>
      <c r="W694">
        <f>IF(V694="","",IF(V694="No","Yes","No"))</f>
        <v/>
      </c>
      <c r="X694">
        <f>IF(OR(E694="",G694=""),"",IF(LOWER(IF(RIGHT(TRIM(E694),1)="/",LEFT(TRIM(E694),LEN(TRIM(E694))-1),TRIM(E694)))&lt;&gt;LOWER(IF(RIGHT(TRIM(G694),1)="/",LEFT(TRIM(G694),LEN(TRIM(G694))-1),TRIM(G694))),"Yes","No"))</f>
        <v/>
      </c>
      <c r="Y694">
        <f>IF(A694="","",(N(Q694)&gt;0)+(T694="Yes")+(U694="Yes")+(W694="Yes")+(X694="Yes"))</f>
        <v/>
      </c>
      <c r="Z694">
        <f>IF(A694="","",IF(G694="","Not mapped",IF(Y694=0,"OK",MID(IF(N(Q694)&gt;0,"; Cannibalisation","")&amp;IF(T694="Yes","; Too many primary keywords on URL","")&amp;IF(U694="Yes","; URL spans 2+ clusters","")&amp;IF(W694="Yes","; Intent mismatch","")&amp;IF(X694="Yes","; Ranking URL is not the target",""),3,300))))</f>
        <v/>
      </c>
      <c r="AA694">
        <f>IF(G694="","",IF(COUNTIF($G$3:G694,SUBSTITUTE(SUBSTITUTE(G694,"?","~?"),"*","~*"))=1,MAX($AA$2:AA693)+1,""))</f>
        <v/>
      </c>
      <c r="AB694">
        <f>IF(B694="","",IF(COUNTIF($B$3:B694,SUBSTITUTE(SUBSTITUTE(B694,"?","~?"),"*","~*"))=1,MAX($AB$2:AB693)+1,""))</f>
        <v/>
      </c>
    </row>
    <row r="695">
      <c r="M695">
        <f>IF(A695="","",LOWER(TRIM(SUBSTITUTE(SUBSTITUTE(A695,"?",""),"*",""))))</f>
        <v/>
      </c>
      <c r="N695">
        <f>IF(M695="","",IF(SUMPRODUCT(ISNUMBER(SEARCH(" "&amp;Settings!$L$5:$L$124&amp;" "," "&amp;M695&amp;" "))*(Settings!$K$5:$K$124="Navigational")*(Settings!$L$5:$L$124&lt;&gt;""))&gt;0,"Navigational",IF(SUMPRODUCT(ISNUMBER(SEARCH(" "&amp;Settings!$L$5:$L$124&amp;" "," "&amp;M695&amp;" "))*(Settings!$K$5:$K$124="Transactional")*(Settings!$L$5:$L$124&lt;&gt;""))&gt;0,"Transactional",IF(SUMPRODUCT(ISNUMBER(SEARCH(" "&amp;Settings!$L$5:$L$124&amp;" "," "&amp;M695&amp;" "))*(Settings!$K$5:$K$124="Commercial")*(Settings!$L$5:$L$124&lt;&gt;""))&gt;0,"Commercial",IF(SUMPRODUCT(ISNUMBER(SEARCH(" "&amp;Settings!$L$5:$L$124&amp;" "," "&amp;M695&amp;" "))*(Settings!$K$5:$K$124="Informational")*(Settings!$L$5:$L$124&lt;&gt;""))&gt;0,"Informational","Unclassified")))))</f>
        <v/>
      </c>
      <c r="O695">
        <f>IF(A695="","",IF(K695&lt;&gt;"",PROPER(K695),N695))</f>
        <v/>
      </c>
      <c r="P695">
        <f>IF(A695="","",ROUND(Settings!$B$5*MIN(1,LOG10(N(C695)+1)/LOG10(Settings!$B$7+1))+Settings!$B$6*(1-MIN(100,IF(D695="",50,N(D695)))/100)+IFERROR(INDEX(Settings!$B$10:$B$14,MATCH(O695,Settings!$A$10:$A$14,0)),0),0))</f>
        <v/>
      </c>
      <c r="Q695">
        <f>IF(OR(A695="",G695=""),"",COUNTIFS($M$3:$M$1002,M695,$G$3:$G$1002,"&lt;&gt;"&amp;SUBSTITUTE(SUBSTITUTE(G695,"?","~?"),"*","~*"),$G$3:$G$1002,"?*"))</f>
        <v/>
      </c>
      <c r="R695">
        <f>IF(Q695="","",IF(Q695&gt;0,"Yes","No"))</f>
        <v/>
      </c>
      <c r="S695">
        <f>IF(G695="","",COUNTIFS($G$3:$G$1002,SUBSTITUTE(SUBSTITUTE(G695,"?","~?"),"*","~*"),$J$3:$J$1002,"Primary"))</f>
        <v/>
      </c>
      <c r="T695">
        <f>IF(S695="","",IF(S695&gt;Settings!$B$4,"Yes","No"))</f>
        <v/>
      </c>
      <c r="U695">
        <f>IF(OR(G695="",B695=""),"",IF(COUNTIFS($G$3:$G$1002,SUBSTITUTE(SUBSTITUTE(G695,"?","~?"),"*","~*"),$B$3:$B$1002,"&lt;&gt;"&amp;SUBSTITUTE(SUBSTITUTE(B695,"?","~?"),"*","~*"),$B$3:$B$1002,"?*")&gt;0,"Yes","No"))</f>
        <v/>
      </c>
      <c r="V695">
        <f>IF(OR(G695="",I695="",O695="",O695="Unclassified"),"",IFERROR(INDEX(Settings!$E$5:$H$16,MATCH(I695,Settings!$D$5:$D$16,0),MATCH(O695,Settings!$E$4:$H$4,0)),"Check"))</f>
        <v/>
      </c>
      <c r="W695">
        <f>IF(V695="","",IF(V695="No","Yes","No"))</f>
        <v/>
      </c>
      <c r="X695">
        <f>IF(OR(E695="",G695=""),"",IF(LOWER(IF(RIGHT(TRIM(E695),1)="/",LEFT(TRIM(E695),LEN(TRIM(E695))-1),TRIM(E695)))&lt;&gt;LOWER(IF(RIGHT(TRIM(G695),1)="/",LEFT(TRIM(G695),LEN(TRIM(G695))-1),TRIM(G695))),"Yes","No"))</f>
        <v/>
      </c>
      <c r="Y695">
        <f>IF(A695="","",(N(Q695)&gt;0)+(T695="Yes")+(U695="Yes")+(W695="Yes")+(X695="Yes"))</f>
        <v/>
      </c>
      <c r="Z695">
        <f>IF(A695="","",IF(G695="","Not mapped",IF(Y695=0,"OK",MID(IF(N(Q695)&gt;0,"; Cannibalisation","")&amp;IF(T695="Yes","; Too many primary keywords on URL","")&amp;IF(U695="Yes","; URL spans 2+ clusters","")&amp;IF(W695="Yes","; Intent mismatch","")&amp;IF(X695="Yes","; Ranking URL is not the target",""),3,300))))</f>
        <v/>
      </c>
      <c r="AA695">
        <f>IF(G695="","",IF(COUNTIF($G$3:G695,SUBSTITUTE(SUBSTITUTE(G695,"?","~?"),"*","~*"))=1,MAX($AA$2:AA694)+1,""))</f>
        <v/>
      </c>
      <c r="AB695">
        <f>IF(B695="","",IF(COUNTIF($B$3:B695,SUBSTITUTE(SUBSTITUTE(B695,"?","~?"),"*","~*"))=1,MAX($AB$2:AB694)+1,""))</f>
        <v/>
      </c>
    </row>
    <row r="696">
      <c r="M696">
        <f>IF(A696="","",LOWER(TRIM(SUBSTITUTE(SUBSTITUTE(A696,"?",""),"*",""))))</f>
        <v/>
      </c>
      <c r="N696">
        <f>IF(M696="","",IF(SUMPRODUCT(ISNUMBER(SEARCH(" "&amp;Settings!$L$5:$L$124&amp;" "," "&amp;M696&amp;" "))*(Settings!$K$5:$K$124="Navigational")*(Settings!$L$5:$L$124&lt;&gt;""))&gt;0,"Navigational",IF(SUMPRODUCT(ISNUMBER(SEARCH(" "&amp;Settings!$L$5:$L$124&amp;" "," "&amp;M696&amp;" "))*(Settings!$K$5:$K$124="Transactional")*(Settings!$L$5:$L$124&lt;&gt;""))&gt;0,"Transactional",IF(SUMPRODUCT(ISNUMBER(SEARCH(" "&amp;Settings!$L$5:$L$124&amp;" "," "&amp;M696&amp;" "))*(Settings!$K$5:$K$124="Commercial")*(Settings!$L$5:$L$124&lt;&gt;""))&gt;0,"Commercial",IF(SUMPRODUCT(ISNUMBER(SEARCH(" "&amp;Settings!$L$5:$L$124&amp;" "," "&amp;M696&amp;" "))*(Settings!$K$5:$K$124="Informational")*(Settings!$L$5:$L$124&lt;&gt;""))&gt;0,"Informational","Unclassified")))))</f>
        <v/>
      </c>
      <c r="O696">
        <f>IF(A696="","",IF(K696&lt;&gt;"",PROPER(K696),N696))</f>
        <v/>
      </c>
      <c r="P696">
        <f>IF(A696="","",ROUND(Settings!$B$5*MIN(1,LOG10(N(C696)+1)/LOG10(Settings!$B$7+1))+Settings!$B$6*(1-MIN(100,IF(D696="",50,N(D696)))/100)+IFERROR(INDEX(Settings!$B$10:$B$14,MATCH(O696,Settings!$A$10:$A$14,0)),0),0))</f>
        <v/>
      </c>
      <c r="Q696">
        <f>IF(OR(A696="",G696=""),"",COUNTIFS($M$3:$M$1002,M696,$G$3:$G$1002,"&lt;&gt;"&amp;SUBSTITUTE(SUBSTITUTE(G696,"?","~?"),"*","~*"),$G$3:$G$1002,"?*"))</f>
        <v/>
      </c>
      <c r="R696">
        <f>IF(Q696="","",IF(Q696&gt;0,"Yes","No"))</f>
        <v/>
      </c>
      <c r="S696">
        <f>IF(G696="","",COUNTIFS($G$3:$G$1002,SUBSTITUTE(SUBSTITUTE(G696,"?","~?"),"*","~*"),$J$3:$J$1002,"Primary"))</f>
        <v/>
      </c>
      <c r="T696">
        <f>IF(S696="","",IF(S696&gt;Settings!$B$4,"Yes","No"))</f>
        <v/>
      </c>
      <c r="U696">
        <f>IF(OR(G696="",B696=""),"",IF(COUNTIFS($G$3:$G$1002,SUBSTITUTE(SUBSTITUTE(G696,"?","~?"),"*","~*"),$B$3:$B$1002,"&lt;&gt;"&amp;SUBSTITUTE(SUBSTITUTE(B696,"?","~?"),"*","~*"),$B$3:$B$1002,"?*")&gt;0,"Yes","No"))</f>
        <v/>
      </c>
      <c r="V696">
        <f>IF(OR(G696="",I696="",O696="",O696="Unclassified"),"",IFERROR(INDEX(Settings!$E$5:$H$16,MATCH(I696,Settings!$D$5:$D$16,0),MATCH(O696,Settings!$E$4:$H$4,0)),"Check"))</f>
        <v/>
      </c>
      <c r="W696">
        <f>IF(V696="","",IF(V696="No","Yes","No"))</f>
        <v/>
      </c>
      <c r="X696">
        <f>IF(OR(E696="",G696=""),"",IF(LOWER(IF(RIGHT(TRIM(E696),1)="/",LEFT(TRIM(E696),LEN(TRIM(E696))-1),TRIM(E696)))&lt;&gt;LOWER(IF(RIGHT(TRIM(G696),1)="/",LEFT(TRIM(G696),LEN(TRIM(G696))-1),TRIM(G696))),"Yes","No"))</f>
        <v/>
      </c>
      <c r="Y696">
        <f>IF(A696="","",(N(Q696)&gt;0)+(T696="Yes")+(U696="Yes")+(W696="Yes")+(X696="Yes"))</f>
        <v/>
      </c>
      <c r="Z696">
        <f>IF(A696="","",IF(G696="","Not mapped",IF(Y696=0,"OK",MID(IF(N(Q696)&gt;0,"; Cannibalisation","")&amp;IF(T696="Yes","; Too many primary keywords on URL","")&amp;IF(U696="Yes","; URL spans 2+ clusters","")&amp;IF(W696="Yes","; Intent mismatch","")&amp;IF(X696="Yes","; Ranking URL is not the target",""),3,300))))</f>
        <v/>
      </c>
      <c r="AA696">
        <f>IF(G696="","",IF(COUNTIF($G$3:G696,SUBSTITUTE(SUBSTITUTE(G696,"?","~?"),"*","~*"))=1,MAX($AA$2:AA695)+1,""))</f>
        <v/>
      </c>
      <c r="AB696">
        <f>IF(B696="","",IF(COUNTIF($B$3:B696,SUBSTITUTE(SUBSTITUTE(B696,"?","~?"),"*","~*"))=1,MAX($AB$2:AB695)+1,""))</f>
        <v/>
      </c>
    </row>
    <row r="697">
      <c r="M697">
        <f>IF(A697="","",LOWER(TRIM(SUBSTITUTE(SUBSTITUTE(A697,"?",""),"*",""))))</f>
        <v/>
      </c>
      <c r="N697">
        <f>IF(M697="","",IF(SUMPRODUCT(ISNUMBER(SEARCH(" "&amp;Settings!$L$5:$L$124&amp;" "," "&amp;M697&amp;" "))*(Settings!$K$5:$K$124="Navigational")*(Settings!$L$5:$L$124&lt;&gt;""))&gt;0,"Navigational",IF(SUMPRODUCT(ISNUMBER(SEARCH(" "&amp;Settings!$L$5:$L$124&amp;" "," "&amp;M697&amp;" "))*(Settings!$K$5:$K$124="Transactional")*(Settings!$L$5:$L$124&lt;&gt;""))&gt;0,"Transactional",IF(SUMPRODUCT(ISNUMBER(SEARCH(" "&amp;Settings!$L$5:$L$124&amp;" "," "&amp;M697&amp;" "))*(Settings!$K$5:$K$124="Commercial")*(Settings!$L$5:$L$124&lt;&gt;""))&gt;0,"Commercial",IF(SUMPRODUCT(ISNUMBER(SEARCH(" "&amp;Settings!$L$5:$L$124&amp;" "," "&amp;M697&amp;" "))*(Settings!$K$5:$K$124="Informational")*(Settings!$L$5:$L$124&lt;&gt;""))&gt;0,"Informational","Unclassified")))))</f>
        <v/>
      </c>
      <c r="O697">
        <f>IF(A697="","",IF(K697&lt;&gt;"",PROPER(K697),N697))</f>
        <v/>
      </c>
      <c r="P697">
        <f>IF(A697="","",ROUND(Settings!$B$5*MIN(1,LOG10(N(C697)+1)/LOG10(Settings!$B$7+1))+Settings!$B$6*(1-MIN(100,IF(D697="",50,N(D697)))/100)+IFERROR(INDEX(Settings!$B$10:$B$14,MATCH(O697,Settings!$A$10:$A$14,0)),0),0))</f>
        <v/>
      </c>
      <c r="Q697">
        <f>IF(OR(A697="",G697=""),"",COUNTIFS($M$3:$M$1002,M697,$G$3:$G$1002,"&lt;&gt;"&amp;SUBSTITUTE(SUBSTITUTE(G697,"?","~?"),"*","~*"),$G$3:$G$1002,"?*"))</f>
        <v/>
      </c>
      <c r="R697">
        <f>IF(Q697="","",IF(Q697&gt;0,"Yes","No"))</f>
        <v/>
      </c>
      <c r="S697">
        <f>IF(G697="","",COUNTIFS($G$3:$G$1002,SUBSTITUTE(SUBSTITUTE(G697,"?","~?"),"*","~*"),$J$3:$J$1002,"Primary"))</f>
        <v/>
      </c>
      <c r="T697">
        <f>IF(S697="","",IF(S697&gt;Settings!$B$4,"Yes","No"))</f>
        <v/>
      </c>
      <c r="U697">
        <f>IF(OR(G697="",B697=""),"",IF(COUNTIFS($G$3:$G$1002,SUBSTITUTE(SUBSTITUTE(G697,"?","~?"),"*","~*"),$B$3:$B$1002,"&lt;&gt;"&amp;SUBSTITUTE(SUBSTITUTE(B697,"?","~?"),"*","~*"),$B$3:$B$1002,"?*")&gt;0,"Yes","No"))</f>
        <v/>
      </c>
      <c r="V697">
        <f>IF(OR(G697="",I697="",O697="",O697="Unclassified"),"",IFERROR(INDEX(Settings!$E$5:$H$16,MATCH(I697,Settings!$D$5:$D$16,0),MATCH(O697,Settings!$E$4:$H$4,0)),"Check"))</f>
        <v/>
      </c>
      <c r="W697">
        <f>IF(V697="","",IF(V697="No","Yes","No"))</f>
        <v/>
      </c>
      <c r="X697">
        <f>IF(OR(E697="",G697=""),"",IF(LOWER(IF(RIGHT(TRIM(E697),1)="/",LEFT(TRIM(E697),LEN(TRIM(E697))-1),TRIM(E697)))&lt;&gt;LOWER(IF(RIGHT(TRIM(G697),1)="/",LEFT(TRIM(G697),LEN(TRIM(G697))-1),TRIM(G697))),"Yes","No"))</f>
        <v/>
      </c>
      <c r="Y697">
        <f>IF(A697="","",(N(Q697)&gt;0)+(T697="Yes")+(U697="Yes")+(W697="Yes")+(X697="Yes"))</f>
        <v/>
      </c>
      <c r="Z697">
        <f>IF(A697="","",IF(G697="","Not mapped",IF(Y697=0,"OK",MID(IF(N(Q697)&gt;0,"; Cannibalisation","")&amp;IF(T697="Yes","; Too many primary keywords on URL","")&amp;IF(U697="Yes","; URL spans 2+ clusters","")&amp;IF(W697="Yes","; Intent mismatch","")&amp;IF(X697="Yes","; Ranking URL is not the target",""),3,300))))</f>
        <v/>
      </c>
      <c r="AA697">
        <f>IF(G697="","",IF(COUNTIF($G$3:G697,SUBSTITUTE(SUBSTITUTE(G697,"?","~?"),"*","~*"))=1,MAX($AA$2:AA696)+1,""))</f>
        <v/>
      </c>
      <c r="AB697">
        <f>IF(B697="","",IF(COUNTIF($B$3:B697,SUBSTITUTE(SUBSTITUTE(B697,"?","~?"),"*","~*"))=1,MAX($AB$2:AB696)+1,""))</f>
        <v/>
      </c>
    </row>
    <row r="698">
      <c r="M698">
        <f>IF(A698="","",LOWER(TRIM(SUBSTITUTE(SUBSTITUTE(A698,"?",""),"*",""))))</f>
        <v/>
      </c>
      <c r="N698">
        <f>IF(M698="","",IF(SUMPRODUCT(ISNUMBER(SEARCH(" "&amp;Settings!$L$5:$L$124&amp;" "," "&amp;M698&amp;" "))*(Settings!$K$5:$K$124="Navigational")*(Settings!$L$5:$L$124&lt;&gt;""))&gt;0,"Navigational",IF(SUMPRODUCT(ISNUMBER(SEARCH(" "&amp;Settings!$L$5:$L$124&amp;" "," "&amp;M698&amp;" "))*(Settings!$K$5:$K$124="Transactional")*(Settings!$L$5:$L$124&lt;&gt;""))&gt;0,"Transactional",IF(SUMPRODUCT(ISNUMBER(SEARCH(" "&amp;Settings!$L$5:$L$124&amp;" "," "&amp;M698&amp;" "))*(Settings!$K$5:$K$124="Commercial")*(Settings!$L$5:$L$124&lt;&gt;""))&gt;0,"Commercial",IF(SUMPRODUCT(ISNUMBER(SEARCH(" "&amp;Settings!$L$5:$L$124&amp;" "," "&amp;M698&amp;" "))*(Settings!$K$5:$K$124="Informational")*(Settings!$L$5:$L$124&lt;&gt;""))&gt;0,"Informational","Unclassified")))))</f>
        <v/>
      </c>
      <c r="O698">
        <f>IF(A698="","",IF(K698&lt;&gt;"",PROPER(K698),N698))</f>
        <v/>
      </c>
      <c r="P698">
        <f>IF(A698="","",ROUND(Settings!$B$5*MIN(1,LOG10(N(C698)+1)/LOG10(Settings!$B$7+1))+Settings!$B$6*(1-MIN(100,IF(D698="",50,N(D698)))/100)+IFERROR(INDEX(Settings!$B$10:$B$14,MATCH(O698,Settings!$A$10:$A$14,0)),0),0))</f>
        <v/>
      </c>
      <c r="Q698">
        <f>IF(OR(A698="",G698=""),"",COUNTIFS($M$3:$M$1002,M698,$G$3:$G$1002,"&lt;&gt;"&amp;SUBSTITUTE(SUBSTITUTE(G698,"?","~?"),"*","~*"),$G$3:$G$1002,"?*"))</f>
        <v/>
      </c>
      <c r="R698">
        <f>IF(Q698="","",IF(Q698&gt;0,"Yes","No"))</f>
        <v/>
      </c>
      <c r="S698">
        <f>IF(G698="","",COUNTIFS($G$3:$G$1002,SUBSTITUTE(SUBSTITUTE(G698,"?","~?"),"*","~*"),$J$3:$J$1002,"Primary"))</f>
        <v/>
      </c>
      <c r="T698">
        <f>IF(S698="","",IF(S698&gt;Settings!$B$4,"Yes","No"))</f>
        <v/>
      </c>
      <c r="U698">
        <f>IF(OR(G698="",B698=""),"",IF(COUNTIFS($G$3:$G$1002,SUBSTITUTE(SUBSTITUTE(G698,"?","~?"),"*","~*"),$B$3:$B$1002,"&lt;&gt;"&amp;SUBSTITUTE(SUBSTITUTE(B698,"?","~?"),"*","~*"),$B$3:$B$1002,"?*")&gt;0,"Yes","No"))</f>
        <v/>
      </c>
      <c r="V698">
        <f>IF(OR(G698="",I698="",O698="",O698="Unclassified"),"",IFERROR(INDEX(Settings!$E$5:$H$16,MATCH(I698,Settings!$D$5:$D$16,0),MATCH(O698,Settings!$E$4:$H$4,0)),"Check"))</f>
        <v/>
      </c>
      <c r="W698">
        <f>IF(V698="","",IF(V698="No","Yes","No"))</f>
        <v/>
      </c>
      <c r="X698">
        <f>IF(OR(E698="",G698=""),"",IF(LOWER(IF(RIGHT(TRIM(E698),1)="/",LEFT(TRIM(E698),LEN(TRIM(E698))-1),TRIM(E698)))&lt;&gt;LOWER(IF(RIGHT(TRIM(G698),1)="/",LEFT(TRIM(G698),LEN(TRIM(G698))-1),TRIM(G698))),"Yes","No"))</f>
        <v/>
      </c>
      <c r="Y698">
        <f>IF(A698="","",(N(Q698)&gt;0)+(T698="Yes")+(U698="Yes")+(W698="Yes")+(X698="Yes"))</f>
        <v/>
      </c>
      <c r="Z698">
        <f>IF(A698="","",IF(G698="","Not mapped",IF(Y698=0,"OK",MID(IF(N(Q698)&gt;0,"; Cannibalisation","")&amp;IF(T698="Yes","; Too many primary keywords on URL","")&amp;IF(U698="Yes","; URL spans 2+ clusters","")&amp;IF(W698="Yes","; Intent mismatch","")&amp;IF(X698="Yes","; Ranking URL is not the target",""),3,300))))</f>
        <v/>
      </c>
      <c r="AA698">
        <f>IF(G698="","",IF(COUNTIF($G$3:G698,SUBSTITUTE(SUBSTITUTE(G698,"?","~?"),"*","~*"))=1,MAX($AA$2:AA697)+1,""))</f>
        <v/>
      </c>
      <c r="AB698">
        <f>IF(B698="","",IF(COUNTIF($B$3:B698,SUBSTITUTE(SUBSTITUTE(B698,"?","~?"),"*","~*"))=1,MAX($AB$2:AB697)+1,""))</f>
        <v/>
      </c>
    </row>
    <row r="699">
      <c r="M699">
        <f>IF(A699="","",LOWER(TRIM(SUBSTITUTE(SUBSTITUTE(A699,"?",""),"*",""))))</f>
        <v/>
      </c>
      <c r="N699">
        <f>IF(M699="","",IF(SUMPRODUCT(ISNUMBER(SEARCH(" "&amp;Settings!$L$5:$L$124&amp;" "," "&amp;M699&amp;" "))*(Settings!$K$5:$K$124="Navigational")*(Settings!$L$5:$L$124&lt;&gt;""))&gt;0,"Navigational",IF(SUMPRODUCT(ISNUMBER(SEARCH(" "&amp;Settings!$L$5:$L$124&amp;" "," "&amp;M699&amp;" "))*(Settings!$K$5:$K$124="Transactional")*(Settings!$L$5:$L$124&lt;&gt;""))&gt;0,"Transactional",IF(SUMPRODUCT(ISNUMBER(SEARCH(" "&amp;Settings!$L$5:$L$124&amp;" "," "&amp;M699&amp;" "))*(Settings!$K$5:$K$124="Commercial")*(Settings!$L$5:$L$124&lt;&gt;""))&gt;0,"Commercial",IF(SUMPRODUCT(ISNUMBER(SEARCH(" "&amp;Settings!$L$5:$L$124&amp;" "," "&amp;M699&amp;" "))*(Settings!$K$5:$K$124="Informational")*(Settings!$L$5:$L$124&lt;&gt;""))&gt;0,"Informational","Unclassified")))))</f>
        <v/>
      </c>
      <c r="O699">
        <f>IF(A699="","",IF(K699&lt;&gt;"",PROPER(K699),N699))</f>
        <v/>
      </c>
      <c r="P699">
        <f>IF(A699="","",ROUND(Settings!$B$5*MIN(1,LOG10(N(C699)+1)/LOG10(Settings!$B$7+1))+Settings!$B$6*(1-MIN(100,IF(D699="",50,N(D699)))/100)+IFERROR(INDEX(Settings!$B$10:$B$14,MATCH(O699,Settings!$A$10:$A$14,0)),0),0))</f>
        <v/>
      </c>
      <c r="Q699">
        <f>IF(OR(A699="",G699=""),"",COUNTIFS($M$3:$M$1002,M699,$G$3:$G$1002,"&lt;&gt;"&amp;SUBSTITUTE(SUBSTITUTE(G699,"?","~?"),"*","~*"),$G$3:$G$1002,"?*"))</f>
        <v/>
      </c>
      <c r="R699">
        <f>IF(Q699="","",IF(Q699&gt;0,"Yes","No"))</f>
        <v/>
      </c>
      <c r="S699">
        <f>IF(G699="","",COUNTIFS($G$3:$G$1002,SUBSTITUTE(SUBSTITUTE(G699,"?","~?"),"*","~*"),$J$3:$J$1002,"Primary"))</f>
        <v/>
      </c>
      <c r="T699">
        <f>IF(S699="","",IF(S699&gt;Settings!$B$4,"Yes","No"))</f>
        <v/>
      </c>
      <c r="U699">
        <f>IF(OR(G699="",B699=""),"",IF(COUNTIFS($G$3:$G$1002,SUBSTITUTE(SUBSTITUTE(G699,"?","~?"),"*","~*"),$B$3:$B$1002,"&lt;&gt;"&amp;SUBSTITUTE(SUBSTITUTE(B699,"?","~?"),"*","~*"),$B$3:$B$1002,"?*")&gt;0,"Yes","No"))</f>
        <v/>
      </c>
      <c r="V699">
        <f>IF(OR(G699="",I699="",O699="",O699="Unclassified"),"",IFERROR(INDEX(Settings!$E$5:$H$16,MATCH(I699,Settings!$D$5:$D$16,0),MATCH(O699,Settings!$E$4:$H$4,0)),"Check"))</f>
        <v/>
      </c>
      <c r="W699">
        <f>IF(V699="","",IF(V699="No","Yes","No"))</f>
        <v/>
      </c>
      <c r="X699">
        <f>IF(OR(E699="",G699=""),"",IF(LOWER(IF(RIGHT(TRIM(E699),1)="/",LEFT(TRIM(E699),LEN(TRIM(E699))-1),TRIM(E699)))&lt;&gt;LOWER(IF(RIGHT(TRIM(G699),1)="/",LEFT(TRIM(G699),LEN(TRIM(G699))-1),TRIM(G699))),"Yes","No"))</f>
        <v/>
      </c>
      <c r="Y699">
        <f>IF(A699="","",(N(Q699)&gt;0)+(T699="Yes")+(U699="Yes")+(W699="Yes")+(X699="Yes"))</f>
        <v/>
      </c>
      <c r="Z699">
        <f>IF(A699="","",IF(G699="","Not mapped",IF(Y699=0,"OK",MID(IF(N(Q699)&gt;0,"; Cannibalisation","")&amp;IF(T699="Yes","; Too many primary keywords on URL","")&amp;IF(U699="Yes","; URL spans 2+ clusters","")&amp;IF(W699="Yes","; Intent mismatch","")&amp;IF(X699="Yes","; Ranking URL is not the target",""),3,300))))</f>
        <v/>
      </c>
      <c r="AA699">
        <f>IF(G699="","",IF(COUNTIF($G$3:G699,SUBSTITUTE(SUBSTITUTE(G699,"?","~?"),"*","~*"))=1,MAX($AA$2:AA698)+1,""))</f>
        <v/>
      </c>
      <c r="AB699">
        <f>IF(B699="","",IF(COUNTIF($B$3:B699,SUBSTITUTE(SUBSTITUTE(B699,"?","~?"),"*","~*"))=1,MAX($AB$2:AB698)+1,""))</f>
        <v/>
      </c>
    </row>
    <row r="700">
      <c r="M700">
        <f>IF(A700="","",LOWER(TRIM(SUBSTITUTE(SUBSTITUTE(A700,"?",""),"*",""))))</f>
        <v/>
      </c>
      <c r="N700">
        <f>IF(M700="","",IF(SUMPRODUCT(ISNUMBER(SEARCH(" "&amp;Settings!$L$5:$L$124&amp;" "," "&amp;M700&amp;" "))*(Settings!$K$5:$K$124="Navigational")*(Settings!$L$5:$L$124&lt;&gt;""))&gt;0,"Navigational",IF(SUMPRODUCT(ISNUMBER(SEARCH(" "&amp;Settings!$L$5:$L$124&amp;" "," "&amp;M700&amp;" "))*(Settings!$K$5:$K$124="Transactional")*(Settings!$L$5:$L$124&lt;&gt;""))&gt;0,"Transactional",IF(SUMPRODUCT(ISNUMBER(SEARCH(" "&amp;Settings!$L$5:$L$124&amp;" "," "&amp;M700&amp;" "))*(Settings!$K$5:$K$124="Commercial")*(Settings!$L$5:$L$124&lt;&gt;""))&gt;0,"Commercial",IF(SUMPRODUCT(ISNUMBER(SEARCH(" "&amp;Settings!$L$5:$L$124&amp;" "," "&amp;M700&amp;" "))*(Settings!$K$5:$K$124="Informational")*(Settings!$L$5:$L$124&lt;&gt;""))&gt;0,"Informational","Unclassified")))))</f>
        <v/>
      </c>
      <c r="O700">
        <f>IF(A700="","",IF(K700&lt;&gt;"",PROPER(K700),N700))</f>
        <v/>
      </c>
      <c r="P700">
        <f>IF(A700="","",ROUND(Settings!$B$5*MIN(1,LOG10(N(C700)+1)/LOG10(Settings!$B$7+1))+Settings!$B$6*(1-MIN(100,IF(D700="",50,N(D700)))/100)+IFERROR(INDEX(Settings!$B$10:$B$14,MATCH(O700,Settings!$A$10:$A$14,0)),0),0))</f>
        <v/>
      </c>
      <c r="Q700">
        <f>IF(OR(A700="",G700=""),"",COUNTIFS($M$3:$M$1002,M700,$G$3:$G$1002,"&lt;&gt;"&amp;SUBSTITUTE(SUBSTITUTE(G700,"?","~?"),"*","~*"),$G$3:$G$1002,"?*"))</f>
        <v/>
      </c>
      <c r="R700">
        <f>IF(Q700="","",IF(Q700&gt;0,"Yes","No"))</f>
        <v/>
      </c>
      <c r="S700">
        <f>IF(G700="","",COUNTIFS($G$3:$G$1002,SUBSTITUTE(SUBSTITUTE(G700,"?","~?"),"*","~*"),$J$3:$J$1002,"Primary"))</f>
        <v/>
      </c>
      <c r="T700">
        <f>IF(S700="","",IF(S700&gt;Settings!$B$4,"Yes","No"))</f>
        <v/>
      </c>
      <c r="U700">
        <f>IF(OR(G700="",B700=""),"",IF(COUNTIFS($G$3:$G$1002,SUBSTITUTE(SUBSTITUTE(G700,"?","~?"),"*","~*"),$B$3:$B$1002,"&lt;&gt;"&amp;SUBSTITUTE(SUBSTITUTE(B700,"?","~?"),"*","~*"),$B$3:$B$1002,"?*")&gt;0,"Yes","No"))</f>
        <v/>
      </c>
      <c r="V700">
        <f>IF(OR(G700="",I700="",O700="",O700="Unclassified"),"",IFERROR(INDEX(Settings!$E$5:$H$16,MATCH(I700,Settings!$D$5:$D$16,0),MATCH(O700,Settings!$E$4:$H$4,0)),"Check"))</f>
        <v/>
      </c>
      <c r="W700">
        <f>IF(V700="","",IF(V700="No","Yes","No"))</f>
        <v/>
      </c>
      <c r="X700">
        <f>IF(OR(E700="",G700=""),"",IF(LOWER(IF(RIGHT(TRIM(E700),1)="/",LEFT(TRIM(E700),LEN(TRIM(E700))-1),TRIM(E700)))&lt;&gt;LOWER(IF(RIGHT(TRIM(G700),1)="/",LEFT(TRIM(G700),LEN(TRIM(G700))-1),TRIM(G700))),"Yes","No"))</f>
        <v/>
      </c>
      <c r="Y700">
        <f>IF(A700="","",(N(Q700)&gt;0)+(T700="Yes")+(U700="Yes")+(W700="Yes")+(X700="Yes"))</f>
        <v/>
      </c>
      <c r="Z700">
        <f>IF(A700="","",IF(G700="","Not mapped",IF(Y700=0,"OK",MID(IF(N(Q700)&gt;0,"; Cannibalisation","")&amp;IF(T700="Yes","; Too many primary keywords on URL","")&amp;IF(U700="Yes","; URL spans 2+ clusters","")&amp;IF(W700="Yes","; Intent mismatch","")&amp;IF(X700="Yes","; Ranking URL is not the target",""),3,300))))</f>
        <v/>
      </c>
      <c r="AA700">
        <f>IF(G700="","",IF(COUNTIF($G$3:G700,SUBSTITUTE(SUBSTITUTE(G700,"?","~?"),"*","~*"))=1,MAX($AA$2:AA699)+1,""))</f>
        <v/>
      </c>
      <c r="AB700">
        <f>IF(B700="","",IF(COUNTIF($B$3:B700,SUBSTITUTE(SUBSTITUTE(B700,"?","~?"),"*","~*"))=1,MAX($AB$2:AB699)+1,""))</f>
        <v/>
      </c>
    </row>
    <row r="701">
      <c r="M701">
        <f>IF(A701="","",LOWER(TRIM(SUBSTITUTE(SUBSTITUTE(A701,"?",""),"*",""))))</f>
        <v/>
      </c>
      <c r="N701">
        <f>IF(M701="","",IF(SUMPRODUCT(ISNUMBER(SEARCH(" "&amp;Settings!$L$5:$L$124&amp;" "," "&amp;M701&amp;" "))*(Settings!$K$5:$K$124="Navigational")*(Settings!$L$5:$L$124&lt;&gt;""))&gt;0,"Navigational",IF(SUMPRODUCT(ISNUMBER(SEARCH(" "&amp;Settings!$L$5:$L$124&amp;" "," "&amp;M701&amp;" "))*(Settings!$K$5:$K$124="Transactional")*(Settings!$L$5:$L$124&lt;&gt;""))&gt;0,"Transactional",IF(SUMPRODUCT(ISNUMBER(SEARCH(" "&amp;Settings!$L$5:$L$124&amp;" "," "&amp;M701&amp;" "))*(Settings!$K$5:$K$124="Commercial")*(Settings!$L$5:$L$124&lt;&gt;""))&gt;0,"Commercial",IF(SUMPRODUCT(ISNUMBER(SEARCH(" "&amp;Settings!$L$5:$L$124&amp;" "," "&amp;M701&amp;" "))*(Settings!$K$5:$K$124="Informational")*(Settings!$L$5:$L$124&lt;&gt;""))&gt;0,"Informational","Unclassified")))))</f>
        <v/>
      </c>
      <c r="O701">
        <f>IF(A701="","",IF(K701&lt;&gt;"",PROPER(K701),N701))</f>
        <v/>
      </c>
      <c r="P701">
        <f>IF(A701="","",ROUND(Settings!$B$5*MIN(1,LOG10(N(C701)+1)/LOG10(Settings!$B$7+1))+Settings!$B$6*(1-MIN(100,IF(D701="",50,N(D701)))/100)+IFERROR(INDEX(Settings!$B$10:$B$14,MATCH(O701,Settings!$A$10:$A$14,0)),0),0))</f>
        <v/>
      </c>
      <c r="Q701">
        <f>IF(OR(A701="",G701=""),"",COUNTIFS($M$3:$M$1002,M701,$G$3:$G$1002,"&lt;&gt;"&amp;SUBSTITUTE(SUBSTITUTE(G701,"?","~?"),"*","~*"),$G$3:$G$1002,"?*"))</f>
        <v/>
      </c>
      <c r="R701">
        <f>IF(Q701="","",IF(Q701&gt;0,"Yes","No"))</f>
        <v/>
      </c>
      <c r="S701">
        <f>IF(G701="","",COUNTIFS($G$3:$G$1002,SUBSTITUTE(SUBSTITUTE(G701,"?","~?"),"*","~*"),$J$3:$J$1002,"Primary"))</f>
        <v/>
      </c>
      <c r="T701">
        <f>IF(S701="","",IF(S701&gt;Settings!$B$4,"Yes","No"))</f>
        <v/>
      </c>
      <c r="U701">
        <f>IF(OR(G701="",B701=""),"",IF(COUNTIFS($G$3:$G$1002,SUBSTITUTE(SUBSTITUTE(G701,"?","~?"),"*","~*"),$B$3:$B$1002,"&lt;&gt;"&amp;SUBSTITUTE(SUBSTITUTE(B701,"?","~?"),"*","~*"),$B$3:$B$1002,"?*")&gt;0,"Yes","No"))</f>
        <v/>
      </c>
      <c r="V701">
        <f>IF(OR(G701="",I701="",O701="",O701="Unclassified"),"",IFERROR(INDEX(Settings!$E$5:$H$16,MATCH(I701,Settings!$D$5:$D$16,0),MATCH(O701,Settings!$E$4:$H$4,0)),"Check"))</f>
        <v/>
      </c>
      <c r="W701">
        <f>IF(V701="","",IF(V701="No","Yes","No"))</f>
        <v/>
      </c>
      <c r="X701">
        <f>IF(OR(E701="",G701=""),"",IF(LOWER(IF(RIGHT(TRIM(E701),1)="/",LEFT(TRIM(E701),LEN(TRIM(E701))-1),TRIM(E701)))&lt;&gt;LOWER(IF(RIGHT(TRIM(G701),1)="/",LEFT(TRIM(G701),LEN(TRIM(G701))-1),TRIM(G701))),"Yes","No"))</f>
        <v/>
      </c>
      <c r="Y701">
        <f>IF(A701="","",(N(Q701)&gt;0)+(T701="Yes")+(U701="Yes")+(W701="Yes")+(X701="Yes"))</f>
        <v/>
      </c>
      <c r="Z701">
        <f>IF(A701="","",IF(G701="","Not mapped",IF(Y701=0,"OK",MID(IF(N(Q701)&gt;0,"; Cannibalisation","")&amp;IF(T701="Yes","; Too many primary keywords on URL","")&amp;IF(U701="Yes","; URL spans 2+ clusters","")&amp;IF(W701="Yes","; Intent mismatch","")&amp;IF(X701="Yes","; Ranking URL is not the target",""),3,300))))</f>
        <v/>
      </c>
      <c r="AA701">
        <f>IF(G701="","",IF(COUNTIF($G$3:G701,SUBSTITUTE(SUBSTITUTE(G701,"?","~?"),"*","~*"))=1,MAX($AA$2:AA700)+1,""))</f>
        <v/>
      </c>
      <c r="AB701">
        <f>IF(B701="","",IF(COUNTIF($B$3:B701,SUBSTITUTE(SUBSTITUTE(B701,"?","~?"),"*","~*"))=1,MAX($AB$2:AB700)+1,""))</f>
        <v/>
      </c>
    </row>
    <row r="702">
      <c r="M702">
        <f>IF(A702="","",LOWER(TRIM(SUBSTITUTE(SUBSTITUTE(A702,"?",""),"*",""))))</f>
        <v/>
      </c>
      <c r="N702">
        <f>IF(M702="","",IF(SUMPRODUCT(ISNUMBER(SEARCH(" "&amp;Settings!$L$5:$L$124&amp;" "," "&amp;M702&amp;" "))*(Settings!$K$5:$K$124="Navigational")*(Settings!$L$5:$L$124&lt;&gt;""))&gt;0,"Navigational",IF(SUMPRODUCT(ISNUMBER(SEARCH(" "&amp;Settings!$L$5:$L$124&amp;" "," "&amp;M702&amp;" "))*(Settings!$K$5:$K$124="Transactional")*(Settings!$L$5:$L$124&lt;&gt;""))&gt;0,"Transactional",IF(SUMPRODUCT(ISNUMBER(SEARCH(" "&amp;Settings!$L$5:$L$124&amp;" "," "&amp;M702&amp;" "))*(Settings!$K$5:$K$124="Commercial")*(Settings!$L$5:$L$124&lt;&gt;""))&gt;0,"Commercial",IF(SUMPRODUCT(ISNUMBER(SEARCH(" "&amp;Settings!$L$5:$L$124&amp;" "," "&amp;M702&amp;" "))*(Settings!$K$5:$K$124="Informational")*(Settings!$L$5:$L$124&lt;&gt;""))&gt;0,"Informational","Unclassified")))))</f>
        <v/>
      </c>
      <c r="O702">
        <f>IF(A702="","",IF(K702&lt;&gt;"",PROPER(K702),N702))</f>
        <v/>
      </c>
      <c r="P702">
        <f>IF(A702="","",ROUND(Settings!$B$5*MIN(1,LOG10(N(C702)+1)/LOG10(Settings!$B$7+1))+Settings!$B$6*(1-MIN(100,IF(D702="",50,N(D702)))/100)+IFERROR(INDEX(Settings!$B$10:$B$14,MATCH(O702,Settings!$A$10:$A$14,0)),0),0))</f>
        <v/>
      </c>
      <c r="Q702">
        <f>IF(OR(A702="",G702=""),"",COUNTIFS($M$3:$M$1002,M702,$G$3:$G$1002,"&lt;&gt;"&amp;SUBSTITUTE(SUBSTITUTE(G702,"?","~?"),"*","~*"),$G$3:$G$1002,"?*"))</f>
        <v/>
      </c>
      <c r="R702">
        <f>IF(Q702="","",IF(Q702&gt;0,"Yes","No"))</f>
        <v/>
      </c>
      <c r="S702">
        <f>IF(G702="","",COUNTIFS($G$3:$G$1002,SUBSTITUTE(SUBSTITUTE(G702,"?","~?"),"*","~*"),$J$3:$J$1002,"Primary"))</f>
        <v/>
      </c>
      <c r="T702">
        <f>IF(S702="","",IF(S702&gt;Settings!$B$4,"Yes","No"))</f>
        <v/>
      </c>
      <c r="U702">
        <f>IF(OR(G702="",B702=""),"",IF(COUNTIFS($G$3:$G$1002,SUBSTITUTE(SUBSTITUTE(G702,"?","~?"),"*","~*"),$B$3:$B$1002,"&lt;&gt;"&amp;SUBSTITUTE(SUBSTITUTE(B702,"?","~?"),"*","~*"),$B$3:$B$1002,"?*")&gt;0,"Yes","No"))</f>
        <v/>
      </c>
      <c r="V702">
        <f>IF(OR(G702="",I702="",O702="",O702="Unclassified"),"",IFERROR(INDEX(Settings!$E$5:$H$16,MATCH(I702,Settings!$D$5:$D$16,0),MATCH(O702,Settings!$E$4:$H$4,0)),"Check"))</f>
        <v/>
      </c>
      <c r="W702">
        <f>IF(V702="","",IF(V702="No","Yes","No"))</f>
        <v/>
      </c>
      <c r="X702">
        <f>IF(OR(E702="",G702=""),"",IF(LOWER(IF(RIGHT(TRIM(E702),1)="/",LEFT(TRIM(E702),LEN(TRIM(E702))-1),TRIM(E702)))&lt;&gt;LOWER(IF(RIGHT(TRIM(G702),1)="/",LEFT(TRIM(G702),LEN(TRIM(G702))-1),TRIM(G702))),"Yes","No"))</f>
        <v/>
      </c>
      <c r="Y702">
        <f>IF(A702="","",(N(Q702)&gt;0)+(T702="Yes")+(U702="Yes")+(W702="Yes")+(X702="Yes"))</f>
        <v/>
      </c>
      <c r="Z702">
        <f>IF(A702="","",IF(G702="","Not mapped",IF(Y702=0,"OK",MID(IF(N(Q702)&gt;0,"; Cannibalisation","")&amp;IF(T702="Yes","; Too many primary keywords on URL","")&amp;IF(U702="Yes","; URL spans 2+ clusters","")&amp;IF(W702="Yes","; Intent mismatch","")&amp;IF(X702="Yes","; Ranking URL is not the target",""),3,300))))</f>
        <v/>
      </c>
      <c r="AA702">
        <f>IF(G702="","",IF(COUNTIF($G$3:G702,SUBSTITUTE(SUBSTITUTE(G702,"?","~?"),"*","~*"))=1,MAX($AA$2:AA701)+1,""))</f>
        <v/>
      </c>
      <c r="AB702">
        <f>IF(B702="","",IF(COUNTIF($B$3:B702,SUBSTITUTE(SUBSTITUTE(B702,"?","~?"),"*","~*"))=1,MAX($AB$2:AB701)+1,""))</f>
        <v/>
      </c>
    </row>
    <row r="703">
      <c r="M703">
        <f>IF(A703="","",LOWER(TRIM(SUBSTITUTE(SUBSTITUTE(A703,"?",""),"*",""))))</f>
        <v/>
      </c>
      <c r="N703">
        <f>IF(M703="","",IF(SUMPRODUCT(ISNUMBER(SEARCH(" "&amp;Settings!$L$5:$L$124&amp;" "," "&amp;M703&amp;" "))*(Settings!$K$5:$K$124="Navigational")*(Settings!$L$5:$L$124&lt;&gt;""))&gt;0,"Navigational",IF(SUMPRODUCT(ISNUMBER(SEARCH(" "&amp;Settings!$L$5:$L$124&amp;" "," "&amp;M703&amp;" "))*(Settings!$K$5:$K$124="Transactional")*(Settings!$L$5:$L$124&lt;&gt;""))&gt;0,"Transactional",IF(SUMPRODUCT(ISNUMBER(SEARCH(" "&amp;Settings!$L$5:$L$124&amp;" "," "&amp;M703&amp;" "))*(Settings!$K$5:$K$124="Commercial")*(Settings!$L$5:$L$124&lt;&gt;""))&gt;0,"Commercial",IF(SUMPRODUCT(ISNUMBER(SEARCH(" "&amp;Settings!$L$5:$L$124&amp;" "," "&amp;M703&amp;" "))*(Settings!$K$5:$K$124="Informational")*(Settings!$L$5:$L$124&lt;&gt;""))&gt;0,"Informational","Unclassified")))))</f>
        <v/>
      </c>
      <c r="O703">
        <f>IF(A703="","",IF(K703&lt;&gt;"",PROPER(K703),N703))</f>
        <v/>
      </c>
      <c r="P703">
        <f>IF(A703="","",ROUND(Settings!$B$5*MIN(1,LOG10(N(C703)+1)/LOG10(Settings!$B$7+1))+Settings!$B$6*(1-MIN(100,IF(D703="",50,N(D703)))/100)+IFERROR(INDEX(Settings!$B$10:$B$14,MATCH(O703,Settings!$A$10:$A$14,0)),0),0))</f>
        <v/>
      </c>
      <c r="Q703">
        <f>IF(OR(A703="",G703=""),"",COUNTIFS($M$3:$M$1002,M703,$G$3:$G$1002,"&lt;&gt;"&amp;SUBSTITUTE(SUBSTITUTE(G703,"?","~?"),"*","~*"),$G$3:$G$1002,"?*"))</f>
        <v/>
      </c>
      <c r="R703">
        <f>IF(Q703="","",IF(Q703&gt;0,"Yes","No"))</f>
        <v/>
      </c>
      <c r="S703">
        <f>IF(G703="","",COUNTIFS($G$3:$G$1002,SUBSTITUTE(SUBSTITUTE(G703,"?","~?"),"*","~*"),$J$3:$J$1002,"Primary"))</f>
        <v/>
      </c>
      <c r="T703">
        <f>IF(S703="","",IF(S703&gt;Settings!$B$4,"Yes","No"))</f>
        <v/>
      </c>
      <c r="U703">
        <f>IF(OR(G703="",B703=""),"",IF(COUNTIFS($G$3:$G$1002,SUBSTITUTE(SUBSTITUTE(G703,"?","~?"),"*","~*"),$B$3:$B$1002,"&lt;&gt;"&amp;SUBSTITUTE(SUBSTITUTE(B703,"?","~?"),"*","~*"),$B$3:$B$1002,"?*")&gt;0,"Yes","No"))</f>
        <v/>
      </c>
      <c r="V703">
        <f>IF(OR(G703="",I703="",O703="",O703="Unclassified"),"",IFERROR(INDEX(Settings!$E$5:$H$16,MATCH(I703,Settings!$D$5:$D$16,0),MATCH(O703,Settings!$E$4:$H$4,0)),"Check"))</f>
        <v/>
      </c>
      <c r="W703">
        <f>IF(V703="","",IF(V703="No","Yes","No"))</f>
        <v/>
      </c>
      <c r="X703">
        <f>IF(OR(E703="",G703=""),"",IF(LOWER(IF(RIGHT(TRIM(E703),1)="/",LEFT(TRIM(E703),LEN(TRIM(E703))-1),TRIM(E703)))&lt;&gt;LOWER(IF(RIGHT(TRIM(G703),1)="/",LEFT(TRIM(G703),LEN(TRIM(G703))-1),TRIM(G703))),"Yes","No"))</f>
        <v/>
      </c>
      <c r="Y703">
        <f>IF(A703="","",(N(Q703)&gt;0)+(T703="Yes")+(U703="Yes")+(W703="Yes")+(X703="Yes"))</f>
        <v/>
      </c>
      <c r="Z703">
        <f>IF(A703="","",IF(G703="","Not mapped",IF(Y703=0,"OK",MID(IF(N(Q703)&gt;0,"; Cannibalisation","")&amp;IF(T703="Yes","; Too many primary keywords on URL","")&amp;IF(U703="Yes","; URL spans 2+ clusters","")&amp;IF(W703="Yes","; Intent mismatch","")&amp;IF(X703="Yes","; Ranking URL is not the target",""),3,300))))</f>
        <v/>
      </c>
      <c r="AA703">
        <f>IF(G703="","",IF(COUNTIF($G$3:G703,SUBSTITUTE(SUBSTITUTE(G703,"?","~?"),"*","~*"))=1,MAX($AA$2:AA702)+1,""))</f>
        <v/>
      </c>
      <c r="AB703">
        <f>IF(B703="","",IF(COUNTIF($B$3:B703,SUBSTITUTE(SUBSTITUTE(B703,"?","~?"),"*","~*"))=1,MAX($AB$2:AB702)+1,""))</f>
        <v/>
      </c>
    </row>
    <row r="704">
      <c r="M704">
        <f>IF(A704="","",LOWER(TRIM(SUBSTITUTE(SUBSTITUTE(A704,"?",""),"*",""))))</f>
        <v/>
      </c>
      <c r="N704">
        <f>IF(M704="","",IF(SUMPRODUCT(ISNUMBER(SEARCH(" "&amp;Settings!$L$5:$L$124&amp;" "," "&amp;M704&amp;" "))*(Settings!$K$5:$K$124="Navigational")*(Settings!$L$5:$L$124&lt;&gt;""))&gt;0,"Navigational",IF(SUMPRODUCT(ISNUMBER(SEARCH(" "&amp;Settings!$L$5:$L$124&amp;" "," "&amp;M704&amp;" "))*(Settings!$K$5:$K$124="Transactional")*(Settings!$L$5:$L$124&lt;&gt;""))&gt;0,"Transactional",IF(SUMPRODUCT(ISNUMBER(SEARCH(" "&amp;Settings!$L$5:$L$124&amp;" "," "&amp;M704&amp;" "))*(Settings!$K$5:$K$124="Commercial")*(Settings!$L$5:$L$124&lt;&gt;""))&gt;0,"Commercial",IF(SUMPRODUCT(ISNUMBER(SEARCH(" "&amp;Settings!$L$5:$L$124&amp;" "," "&amp;M704&amp;" "))*(Settings!$K$5:$K$124="Informational")*(Settings!$L$5:$L$124&lt;&gt;""))&gt;0,"Informational","Unclassified")))))</f>
        <v/>
      </c>
      <c r="O704">
        <f>IF(A704="","",IF(K704&lt;&gt;"",PROPER(K704),N704))</f>
        <v/>
      </c>
      <c r="P704">
        <f>IF(A704="","",ROUND(Settings!$B$5*MIN(1,LOG10(N(C704)+1)/LOG10(Settings!$B$7+1))+Settings!$B$6*(1-MIN(100,IF(D704="",50,N(D704)))/100)+IFERROR(INDEX(Settings!$B$10:$B$14,MATCH(O704,Settings!$A$10:$A$14,0)),0),0))</f>
        <v/>
      </c>
      <c r="Q704">
        <f>IF(OR(A704="",G704=""),"",COUNTIFS($M$3:$M$1002,M704,$G$3:$G$1002,"&lt;&gt;"&amp;SUBSTITUTE(SUBSTITUTE(G704,"?","~?"),"*","~*"),$G$3:$G$1002,"?*"))</f>
        <v/>
      </c>
      <c r="R704">
        <f>IF(Q704="","",IF(Q704&gt;0,"Yes","No"))</f>
        <v/>
      </c>
      <c r="S704">
        <f>IF(G704="","",COUNTIFS($G$3:$G$1002,SUBSTITUTE(SUBSTITUTE(G704,"?","~?"),"*","~*"),$J$3:$J$1002,"Primary"))</f>
        <v/>
      </c>
      <c r="T704">
        <f>IF(S704="","",IF(S704&gt;Settings!$B$4,"Yes","No"))</f>
        <v/>
      </c>
      <c r="U704">
        <f>IF(OR(G704="",B704=""),"",IF(COUNTIFS($G$3:$G$1002,SUBSTITUTE(SUBSTITUTE(G704,"?","~?"),"*","~*"),$B$3:$B$1002,"&lt;&gt;"&amp;SUBSTITUTE(SUBSTITUTE(B704,"?","~?"),"*","~*"),$B$3:$B$1002,"?*")&gt;0,"Yes","No"))</f>
        <v/>
      </c>
      <c r="V704">
        <f>IF(OR(G704="",I704="",O704="",O704="Unclassified"),"",IFERROR(INDEX(Settings!$E$5:$H$16,MATCH(I704,Settings!$D$5:$D$16,0),MATCH(O704,Settings!$E$4:$H$4,0)),"Check"))</f>
        <v/>
      </c>
      <c r="W704">
        <f>IF(V704="","",IF(V704="No","Yes","No"))</f>
        <v/>
      </c>
      <c r="X704">
        <f>IF(OR(E704="",G704=""),"",IF(LOWER(IF(RIGHT(TRIM(E704),1)="/",LEFT(TRIM(E704),LEN(TRIM(E704))-1),TRIM(E704)))&lt;&gt;LOWER(IF(RIGHT(TRIM(G704),1)="/",LEFT(TRIM(G704),LEN(TRIM(G704))-1),TRIM(G704))),"Yes","No"))</f>
        <v/>
      </c>
      <c r="Y704">
        <f>IF(A704="","",(N(Q704)&gt;0)+(T704="Yes")+(U704="Yes")+(W704="Yes")+(X704="Yes"))</f>
        <v/>
      </c>
      <c r="Z704">
        <f>IF(A704="","",IF(G704="","Not mapped",IF(Y704=0,"OK",MID(IF(N(Q704)&gt;0,"; Cannibalisation","")&amp;IF(T704="Yes","; Too many primary keywords on URL","")&amp;IF(U704="Yes","; URL spans 2+ clusters","")&amp;IF(W704="Yes","; Intent mismatch","")&amp;IF(X704="Yes","; Ranking URL is not the target",""),3,300))))</f>
        <v/>
      </c>
      <c r="AA704">
        <f>IF(G704="","",IF(COUNTIF($G$3:G704,SUBSTITUTE(SUBSTITUTE(G704,"?","~?"),"*","~*"))=1,MAX($AA$2:AA703)+1,""))</f>
        <v/>
      </c>
      <c r="AB704">
        <f>IF(B704="","",IF(COUNTIF($B$3:B704,SUBSTITUTE(SUBSTITUTE(B704,"?","~?"),"*","~*"))=1,MAX($AB$2:AB703)+1,""))</f>
        <v/>
      </c>
    </row>
    <row r="705">
      <c r="M705">
        <f>IF(A705="","",LOWER(TRIM(SUBSTITUTE(SUBSTITUTE(A705,"?",""),"*",""))))</f>
        <v/>
      </c>
      <c r="N705">
        <f>IF(M705="","",IF(SUMPRODUCT(ISNUMBER(SEARCH(" "&amp;Settings!$L$5:$L$124&amp;" "," "&amp;M705&amp;" "))*(Settings!$K$5:$K$124="Navigational")*(Settings!$L$5:$L$124&lt;&gt;""))&gt;0,"Navigational",IF(SUMPRODUCT(ISNUMBER(SEARCH(" "&amp;Settings!$L$5:$L$124&amp;" "," "&amp;M705&amp;" "))*(Settings!$K$5:$K$124="Transactional")*(Settings!$L$5:$L$124&lt;&gt;""))&gt;0,"Transactional",IF(SUMPRODUCT(ISNUMBER(SEARCH(" "&amp;Settings!$L$5:$L$124&amp;" "," "&amp;M705&amp;" "))*(Settings!$K$5:$K$124="Commercial")*(Settings!$L$5:$L$124&lt;&gt;""))&gt;0,"Commercial",IF(SUMPRODUCT(ISNUMBER(SEARCH(" "&amp;Settings!$L$5:$L$124&amp;" "," "&amp;M705&amp;" "))*(Settings!$K$5:$K$124="Informational")*(Settings!$L$5:$L$124&lt;&gt;""))&gt;0,"Informational","Unclassified")))))</f>
        <v/>
      </c>
      <c r="O705">
        <f>IF(A705="","",IF(K705&lt;&gt;"",PROPER(K705),N705))</f>
        <v/>
      </c>
      <c r="P705">
        <f>IF(A705="","",ROUND(Settings!$B$5*MIN(1,LOG10(N(C705)+1)/LOG10(Settings!$B$7+1))+Settings!$B$6*(1-MIN(100,IF(D705="",50,N(D705)))/100)+IFERROR(INDEX(Settings!$B$10:$B$14,MATCH(O705,Settings!$A$10:$A$14,0)),0),0))</f>
        <v/>
      </c>
      <c r="Q705">
        <f>IF(OR(A705="",G705=""),"",COUNTIFS($M$3:$M$1002,M705,$G$3:$G$1002,"&lt;&gt;"&amp;SUBSTITUTE(SUBSTITUTE(G705,"?","~?"),"*","~*"),$G$3:$G$1002,"?*"))</f>
        <v/>
      </c>
      <c r="R705">
        <f>IF(Q705="","",IF(Q705&gt;0,"Yes","No"))</f>
        <v/>
      </c>
      <c r="S705">
        <f>IF(G705="","",COUNTIFS($G$3:$G$1002,SUBSTITUTE(SUBSTITUTE(G705,"?","~?"),"*","~*"),$J$3:$J$1002,"Primary"))</f>
        <v/>
      </c>
      <c r="T705">
        <f>IF(S705="","",IF(S705&gt;Settings!$B$4,"Yes","No"))</f>
        <v/>
      </c>
      <c r="U705">
        <f>IF(OR(G705="",B705=""),"",IF(COUNTIFS($G$3:$G$1002,SUBSTITUTE(SUBSTITUTE(G705,"?","~?"),"*","~*"),$B$3:$B$1002,"&lt;&gt;"&amp;SUBSTITUTE(SUBSTITUTE(B705,"?","~?"),"*","~*"),$B$3:$B$1002,"?*")&gt;0,"Yes","No"))</f>
        <v/>
      </c>
      <c r="V705">
        <f>IF(OR(G705="",I705="",O705="",O705="Unclassified"),"",IFERROR(INDEX(Settings!$E$5:$H$16,MATCH(I705,Settings!$D$5:$D$16,0),MATCH(O705,Settings!$E$4:$H$4,0)),"Check"))</f>
        <v/>
      </c>
      <c r="W705">
        <f>IF(V705="","",IF(V705="No","Yes","No"))</f>
        <v/>
      </c>
      <c r="X705">
        <f>IF(OR(E705="",G705=""),"",IF(LOWER(IF(RIGHT(TRIM(E705),1)="/",LEFT(TRIM(E705),LEN(TRIM(E705))-1),TRIM(E705)))&lt;&gt;LOWER(IF(RIGHT(TRIM(G705),1)="/",LEFT(TRIM(G705),LEN(TRIM(G705))-1),TRIM(G705))),"Yes","No"))</f>
        <v/>
      </c>
      <c r="Y705">
        <f>IF(A705="","",(N(Q705)&gt;0)+(T705="Yes")+(U705="Yes")+(W705="Yes")+(X705="Yes"))</f>
        <v/>
      </c>
      <c r="Z705">
        <f>IF(A705="","",IF(G705="","Not mapped",IF(Y705=0,"OK",MID(IF(N(Q705)&gt;0,"; Cannibalisation","")&amp;IF(T705="Yes","; Too many primary keywords on URL","")&amp;IF(U705="Yes","; URL spans 2+ clusters","")&amp;IF(W705="Yes","; Intent mismatch","")&amp;IF(X705="Yes","; Ranking URL is not the target",""),3,300))))</f>
        <v/>
      </c>
      <c r="AA705">
        <f>IF(G705="","",IF(COUNTIF($G$3:G705,SUBSTITUTE(SUBSTITUTE(G705,"?","~?"),"*","~*"))=1,MAX($AA$2:AA704)+1,""))</f>
        <v/>
      </c>
      <c r="AB705">
        <f>IF(B705="","",IF(COUNTIF($B$3:B705,SUBSTITUTE(SUBSTITUTE(B705,"?","~?"),"*","~*"))=1,MAX($AB$2:AB704)+1,""))</f>
        <v/>
      </c>
    </row>
    <row r="706">
      <c r="M706">
        <f>IF(A706="","",LOWER(TRIM(SUBSTITUTE(SUBSTITUTE(A706,"?",""),"*",""))))</f>
        <v/>
      </c>
      <c r="N706">
        <f>IF(M706="","",IF(SUMPRODUCT(ISNUMBER(SEARCH(" "&amp;Settings!$L$5:$L$124&amp;" "," "&amp;M706&amp;" "))*(Settings!$K$5:$K$124="Navigational")*(Settings!$L$5:$L$124&lt;&gt;""))&gt;0,"Navigational",IF(SUMPRODUCT(ISNUMBER(SEARCH(" "&amp;Settings!$L$5:$L$124&amp;" "," "&amp;M706&amp;" "))*(Settings!$K$5:$K$124="Transactional")*(Settings!$L$5:$L$124&lt;&gt;""))&gt;0,"Transactional",IF(SUMPRODUCT(ISNUMBER(SEARCH(" "&amp;Settings!$L$5:$L$124&amp;" "," "&amp;M706&amp;" "))*(Settings!$K$5:$K$124="Commercial")*(Settings!$L$5:$L$124&lt;&gt;""))&gt;0,"Commercial",IF(SUMPRODUCT(ISNUMBER(SEARCH(" "&amp;Settings!$L$5:$L$124&amp;" "," "&amp;M706&amp;" "))*(Settings!$K$5:$K$124="Informational")*(Settings!$L$5:$L$124&lt;&gt;""))&gt;0,"Informational","Unclassified")))))</f>
        <v/>
      </c>
      <c r="O706">
        <f>IF(A706="","",IF(K706&lt;&gt;"",PROPER(K706),N706))</f>
        <v/>
      </c>
      <c r="P706">
        <f>IF(A706="","",ROUND(Settings!$B$5*MIN(1,LOG10(N(C706)+1)/LOG10(Settings!$B$7+1))+Settings!$B$6*(1-MIN(100,IF(D706="",50,N(D706)))/100)+IFERROR(INDEX(Settings!$B$10:$B$14,MATCH(O706,Settings!$A$10:$A$14,0)),0),0))</f>
        <v/>
      </c>
      <c r="Q706">
        <f>IF(OR(A706="",G706=""),"",COUNTIFS($M$3:$M$1002,M706,$G$3:$G$1002,"&lt;&gt;"&amp;SUBSTITUTE(SUBSTITUTE(G706,"?","~?"),"*","~*"),$G$3:$G$1002,"?*"))</f>
        <v/>
      </c>
      <c r="R706">
        <f>IF(Q706="","",IF(Q706&gt;0,"Yes","No"))</f>
        <v/>
      </c>
      <c r="S706">
        <f>IF(G706="","",COUNTIFS($G$3:$G$1002,SUBSTITUTE(SUBSTITUTE(G706,"?","~?"),"*","~*"),$J$3:$J$1002,"Primary"))</f>
        <v/>
      </c>
      <c r="T706">
        <f>IF(S706="","",IF(S706&gt;Settings!$B$4,"Yes","No"))</f>
        <v/>
      </c>
      <c r="U706">
        <f>IF(OR(G706="",B706=""),"",IF(COUNTIFS($G$3:$G$1002,SUBSTITUTE(SUBSTITUTE(G706,"?","~?"),"*","~*"),$B$3:$B$1002,"&lt;&gt;"&amp;SUBSTITUTE(SUBSTITUTE(B706,"?","~?"),"*","~*"),$B$3:$B$1002,"?*")&gt;0,"Yes","No"))</f>
        <v/>
      </c>
      <c r="V706">
        <f>IF(OR(G706="",I706="",O706="",O706="Unclassified"),"",IFERROR(INDEX(Settings!$E$5:$H$16,MATCH(I706,Settings!$D$5:$D$16,0),MATCH(O706,Settings!$E$4:$H$4,0)),"Check"))</f>
        <v/>
      </c>
      <c r="W706">
        <f>IF(V706="","",IF(V706="No","Yes","No"))</f>
        <v/>
      </c>
      <c r="X706">
        <f>IF(OR(E706="",G706=""),"",IF(LOWER(IF(RIGHT(TRIM(E706),1)="/",LEFT(TRIM(E706),LEN(TRIM(E706))-1),TRIM(E706)))&lt;&gt;LOWER(IF(RIGHT(TRIM(G706),1)="/",LEFT(TRIM(G706),LEN(TRIM(G706))-1),TRIM(G706))),"Yes","No"))</f>
        <v/>
      </c>
      <c r="Y706">
        <f>IF(A706="","",(N(Q706)&gt;0)+(T706="Yes")+(U706="Yes")+(W706="Yes")+(X706="Yes"))</f>
        <v/>
      </c>
      <c r="Z706">
        <f>IF(A706="","",IF(G706="","Not mapped",IF(Y706=0,"OK",MID(IF(N(Q706)&gt;0,"; Cannibalisation","")&amp;IF(T706="Yes","; Too many primary keywords on URL","")&amp;IF(U706="Yes","; URL spans 2+ clusters","")&amp;IF(W706="Yes","; Intent mismatch","")&amp;IF(X706="Yes","; Ranking URL is not the target",""),3,300))))</f>
        <v/>
      </c>
      <c r="AA706">
        <f>IF(G706="","",IF(COUNTIF($G$3:G706,SUBSTITUTE(SUBSTITUTE(G706,"?","~?"),"*","~*"))=1,MAX($AA$2:AA705)+1,""))</f>
        <v/>
      </c>
      <c r="AB706">
        <f>IF(B706="","",IF(COUNTIF($B$3:B706,SUBSTITUTE(SUBSTITUTE(B706,"?","~?"),"*","~*"))=1,MAX($AB$2:AB705)+1,""))</f>
        <v/>
      </c>
    </row>
    <row r="707">
      <c r="M707">
        <f>IF(A707="","",LOWER(TRIM(SUBSTITUTE(SUBSTITUTE(A707,"?",""),"*",""))))</f>
        <v/>
      </c>
      <c r="N707">
        <f>IF(M707="","",IF(SUMPRODUCT(ISNUMBER(SEARCH(" "&amp;Settings!$L$5:$L$124&amp;" "," "&amp;M707&amp;" "))*(Settings!$K$5:$K$124="Navigational")*(Settings!$L$5:$L$124&lt;&gt;""))&gt;0,"Navigational",IF(SUMPRODUCT(ISNUMBER(SEARCH(" "&amp;Settings!$L$5:$L$124&amp;" "," "&amp;M707&amp;" "))*(Settings!$K$5:$K$124="Transactional")*(Settings!$L$5:$L$124&lt;&gt;""))&gt;0,"Transactional",IF(SUMPRODUCT(ISNUMBER(SEARCH(" "&amp;Settings!$L$5:$L$124&amp;" "," "&amp;M707&amp;" "))*(Settings!$K$5:$K$124="Commercial")*(Settings!$L$5:$L$124&lt;&gt;""))&gt;0,"Commercial",IF(SUMPRODUCT(ISNUMBER(SEARCH(" "&amp;Settings!$L$5:$L$124&amp;" "," "&amp;M707&amp;" "))*(Settings!$K$5:$K$124="Informational")*(Settings!$L$5:$L$124&lt;&gt;""))&gt;0,"Informational","Unclassified")))))</f>
        <v/>
      </c>
      <c r="O707">
        <f>IF(A707="","",IF(K707&lt;&gt;"",PROPER(K707),N707))</f>
        <v/>
      </c>
      <c r="P707">
        <f>IF(A707="","",ROUND(Settings!$B$5*MIN(1,LOG10(N(C707)+1)/LOG10(Settings!$B$7+1))+Settings!$B$6*(1-MIN(100,IF(D707="",50,N(D707)))/100)+IFERROR(INDEX(Settings!$B$10:$B$14,MATCH(O707,Settings!$A$10:$A$14,0)),0),0))</f>
        <v/>
      </c>
      <c r="Q707">
        <f>IF(OR(A707="",G707=""),"",COUNTIFS($M$3:$M$1002,M707,$G$3:$G$1002,"&lt;&gt;"&amp;SUBSTITUTE(SUBSTITUTE(G707,"?","~?"),"*","~*"),$G$3:$G$1002,"?*"))</f>
        <v/>
      </c>
      <c r="R707">
        <f>IF(Q707="","",IF(Q707&gt;0,"Yes","No"))</f>
        <v/>
      </c>
      <c r="S707">
        <f>IF(G707="","",COUNTIFS($G$3:$G$1002,SUBSTITUTE(SUBSTITUTE(G707,"?","~?"),"*","~*"),$J$3:$J$1002,"Primary"))</f>
        <v/>
      </c>
      <c r="T707">
        <f>IF(S707="","",IF(S707&gt;Settings!$B$4,"Yes","No"))</f>
        <v/>
      </c>
      <c r="U707">
        <f>IF(OR(G707="",B707=""),"",IF(COUNTIFS($G$3:$G$1002,SUBSTITUTE(SUBSTITUTE(G707,"?","~?"),"*","~*"),$B$3:$B$1002,"&lt;&gt;"&amp;SUBSTITUTE(SUBSTITUTE(B707,"?","~?"),"*","~*"),$B$3:$B$1002,"?*")&gt;0,"Yes","No"))</f>
        <v/>
      </c>
      <c r="V707">
        <f>IF(OR(G707="",I707="",O707="",O707="Unclassified"),"",IFERROR(INDEX(Settings!$E$5:$H$16,MATCH(I707,Settings!$D$5:$D$16,0),MATCH(O707,Settings!$E$4:$H$4,0)),"Check"))</f>
        <v/>
      </c>
      <c r="W707">
        <f>IF(V707="","",IF(V707="No","Yes","No"))</f>
        <v/>
      </c>
      <c r="X707">
        <f>IF(OR(E707="",G707=""),"",IF(LOWER(IF(RIGHT(TRIM(E707),1)="/",LEFT(TRIM(E707),LEN(TRIM(E707))-1),TRIM(E707)))&lt;&gt;LOWER(IF(RIGHT(TRIM(G707),1)="/",LEFT(TRIM(G707),LEN(TRIM(G707))-1),TRIM(G707))),"Yes","No"))</f>
        <v/>
      </c>
      <c r="Y707">
        <f>IF(A707="","",(N(Q707)&gt;0)+(T707="Yes")+(U707="Yes")+(W707="Yes")+(X707="Yes"))</f>
        <v/>
      </c>
      <c r="Z707">
        <f>IF(A707="","",IF(G707="","Not mapped",IF(Y707=0,"OK",MID(IF(N(Q707)&gt;0,"; Cannibalisation","")&amp;IF(T707="Yes","; Too many primary keywords on URL","")&amp;IF(U707="Yes","; URL spans 2+ clusters","")&amp;IF(W707="Yes","; Intent mismatch","")&amp;IF(X707="Yes","; Ranking URL is not the target",""),3,300))))</f>
        <v/>
      </c>
      <c r="AA707">
        <f>IF(G707="","",IF(COUNTIF($G$3:G707,SUBSTITUTE(SUBSTITUTE(G707,"?","~?"),"*","~*"))=1,MAX($AA$2:AA706)+1,""))</f>
        <v/>
      </c>
      <c r="AB707">
        <f>IF(B707="","",IF(COUNTIF($B$3:B707,SUBSTITUTE(SUBSTITUTE(B707,"?","~?"),"*","~*"))=1,MAX($AB$2:AB706)+1,""))</f>
        <v/>
      </c>
    </row>
    <row r="708">
      <c r="M708">
        <f>IF(A708="","",LOWER(TRIM(SUBSTITUTE(SUBSTITUTE(A708,"?",""),"*",""))))</f>
        <v/>
      </c>
      <c r="N708">
        <f>IF(M708="","",IF(SUMPRODUCT(ISNUMBER(SEARCH(" "&amp;Settings!$L$5:$L$124&amp;" "," "&amp;M708&amp;" "))*(Settings!$K$5:$K$124="Navigational")*(Settings!$L$5:$L$124&lt;&gt;""))&gt;0,"Navigational",IF(SUMPRODUCT(ISNUMBER(SEARCH(" "&amp;Settings!$L$5:$L$124&amp;" "," "&amp;M708&amp;" "))*(Settings!$K$5:$K$124="Transactional")*(Settings!$L$5:$L$124&lt;&gt;""))&gt;0,"Transactional",IF(SUMPRODUCT(ISNUMBER(SEARCH(" "&amp;Settings!$L$5:$L$124&amp;" "," "&amp;M708&amp;" "))*(Settings!$K$5:$K$124="Commercial")*(Settings!$L$5:$L$124&lt;&gt;""))&gt;0,"Commercial",IF(SUMPRODUCT(ISNUMBER(SEARCH(" "&amp;Settings!$L$5:$L$124&amp;" "," "&amp;M708&amp;" "))*(Settings!$K$5:$K$124="Informational")*(Settings!$L$5:$L$124&lt;&gt;""))&gt;0,"Informational","Unclassified")))))</f>
        <v/>
      </c>
      <c r="O708">
        <f>IF(A708="","",IF(K708&lt;&gt;"",PROPER(K708),N708))</f>
        <v/>
      </c>
      <c r="P708">
        <f>IF(A708="","",ROUND(Settings!$B$5*MIN(1,LOG10(N(C708)+1)/LOG10(Settings!$B$7+1))+Settings!$B$6*(1-MIN(100,IF(D708="",50,N(D708)))/100)+IFERROR(INDEX(Settings!$B$10:$B$14,MATCH(O708,Settings!$A$10:$A$14,0)),0),0))</f>
        <v/>
      </c>
      <c r="Q708">
        <f>IF(OR(A708="",G708=""),"",COUNTIFS($M$3:$M$1002,M708,$G$3:$G$1002,"&lt;&gt;"&amp;SUBSTITUTE(SUBSTITUTE(G708,"?","~?"),"*","~*"),$G$3:$G$1002,"?*"))</f>
        <v/>
      </c>
      <c r="R708">
        <f>IF(Q708="","",IF(Q708&gt;0,"Yes","No"))</f>
        <v/>
      </c>
      <c r="S708">
        <f>IF(G708="","",COUNTIFS($G$3:$G$1002,SUBSTITUTE(SUBSTITUTE(G708,"?","~?"),"*","~*"),$J$3:$J$1002,"Primary"))</f>
        <v/>
      </c>
      <c r="T708">
        <f>IF(S708="","",IF(S708&gt;Settings!$B$4,"Yes","No"))</f>
        <v/>
      </c>
      <c r="U708">
        <f>IF(OR(G708="",B708=""),"",IF(COUNTIFS($G$3:$G$1002,SUBSTITUTE(SUBSTITUTE(G708,"?","~?"),"*","~*"),$B$3:$B$1002,"&lt;&gt;"&amp;SUBSTITUTE(SUBSTITUTE(B708,"?","~?"),"*","~*"),$B$3:$B$1002,"?*")&gt;0,"Yes","No"))</f>
        <v/>
      </c>
      <c r="V708">
        <f>IF(OR(G708="",I708="",O708="",O708="Unclassified"),"",IFERROR(INDEX(Settings!$E$5:$H$16,MATCH(I708,Settings!$D$5:$D$16,0),MATCH(O708,Settings!$E$4:$H$4,0)),"Check"))</f>
        <v/>
      </c>
      <c r="W708">
        <f>IF(V708="","",IF(V708="No","Yes","No"))</f>
        <v/>
      </c>
      <c r="X708">
        <f>IF(OR(E708="",G708=""),"",IF(LOWER(IF(RIGHT(TRIM(E708),1)="/",LEFT(TRIM(E708),LEN(TRIM(E708))-1),TRIM(E708)))&lt;&gt;LOWER(IF(RIGHT(TRIM(G708),1)="/",LEFT(TRIM(G708),LEN(TRIM(G708))-1),TRIM(G708))),"Yes","No"))</f>
        <v/>
      </c>
      <c r="Y708">
        <f>IF(A708="","",(N(Q708)&gt;0)+(T708="Yes")+(U708="Yes")+(W708="Yes")+(X708="Yes"))</f>
        <v/>
      </c>
      <c r="Z708">
        <f>IF(A708="","",IF(G708="","Not mapped",IF(Y708=0,"OK",MID(IF(N(Q708)&gt;0,"; Cannibalisation","")&amp;IF(T708="Yes","; Too many primary keywords on URL","")&amp;IF(U708="Yes","; URL spans 2+ clusters","")&amp;IF(W708="Yes","; Intent mismatch","")&amp;IF(X708="Yes","; Ranking URL is not the target",""),3,300))))</f>
        <v/>
      </c>
      <c r="AA708">
        <f>IF(G708="","",IF(COUNTIF($G$3:G708,SUBSTITUTE(SUBSTITUTE(G708,"?","~?"),"*","~*"))=1,MAX($AA$2:AA707)+1,""))</f>
        <v/>
      </c>
      <c r="AB708">
        <f>IF(B708="","",IF(COUNTIF($B$3:B708,SUBSTITUTE(SUBSTITUTE(B708,"?","~?"),"*","~*"))=1,MAX($AB$2:AB707)+1,""))</f>
        <v/>
      </c>
    </row>
    <row r="709">
      <c r="M709">
        <f>IF(A709="","",LOWER(TRIM(SUBSTITUTE(SUBSTITUTE(A709,"?",""),"*",""))))</f>
        <v/>
      </c>
      <c r="N709">
        <f>IF(M709="","",IF(SUMPRODUCT(ISNUMBER(SEARCH(" "&amp;Settings!$L$5:$L$124&amp;" "," "&amp;M709&amp;" "))*(Settings!$K$5:$K$124="Navigational")*(Settings!$L$5:$L$124&lt;&gt;""))&gt;0,"Navigational",IF(SUMPRODUCT(ISNUMBER(SEARCH(" "&amp;Settings!$L$5:$L$124&amp;" "," "&amp;M709&amp;" "))*(Settings!$K$5:$K$124="Transactional")*(Settings!$L$5:$L$124&lt;&gt;""))&gt;0,"Transactional",IF(SUMPRODUCT(ISNUMBER(SEARCH(" "&amp;Settings!$L$5:$L$124&amp;" "," "&amp;M709&amp;" "))*(Settings!$K$5:$K$124="Commercial")*(Settings!$L$5:$L$124&lt;&gt;""))&gt;0,"Commercial",IF(SUMPRODUCT(ISNUMBER(SEARCH(" "&amp;Settings!$L$5:$L$124&amp;" "," "&amp;M709&amp;" "))*(Settings!$K$5:$K$124="Informational")*(Settings!$L$5:$L$124&lt;&gt;""))&gt;0,"Informational","Unclassified")))))</f>
        <v/>
      </c>
      <c r="O709">
        <f>IF(A709="","",IF(K709&lt;&gt;"",PROPER(K709),N709))</f>
        <v/>
      </c>
      <c r="P709">
        <f>IF(A709="","",ROUND(Settings!$B$5*MIN(1,LOG10(N(C709)+1)/LOG10(Settings!$B$7+1))+Settings!$B$6*(1-MIN(100,IF(D709="",50,N(D709)))/100)+IFERROR(INDEX(Settings!$B$10:$B$14,MATCH(O709,Settings!$A$10:$A$14,0)),0),0))</f>
        <v/>
      </c>
      <c r="Q709">
        <f>IF(OR(A709="",G709=""),"",COUNTIFS($M$3:$M$1002,M709,$G$3:$G$1002,"&lt;&gt;"&amp;SUBSTITUTE(SUBSTITUTE(G709,"?","~?"),"*","~*"),$G$3:$G$1002,"?*"))</f>
        <v/>
      </c>
      <c r="R709">
        <f>IF(Q709="","",IF(Q709&gt;0,"Yes","No"))</f>
        <v/>
      </c>
      <c r="S709">
        <f>IF(G709="","",COUNTIFS($G$3:$G$1002,SUBSTITUTE(SUBSTITUTE(G709,"?","~?"),"*","~*"),$J$3:$J$1002,"Primary"))</f>
        <v/>
      </c>
      <c r="T709">
        <f>IF(S709="","",IF(S709&gt;Settings!$B$4,"Yes","No"))</f>
        <v/>
      </c>
      <c r="U709">
        <f>IF(OR(G709="",B709=""),"",IF(COUNTIFS($G$3:$G$1002,SUBSTITUTE(SUBSTITUTE(G709,"?","~?"),"*","~*"),$B$3:$B$1002,"&lt;&gt;"&amp;SUBSTITUTE(SUBSTITUTE(B709,"?","~?"),"*","~*"),$B$3:$B$1002,"?*")&gt;0,"Yes","No"))</f>
        <v/>
      </c>
      <c r="V709">
        <f>IF(OR(G709="",I709="",O709="",O709="Unclassified"),"",IFERROR(INDEX(Settings!$E$5:$H$16,MATCH(I709,Settings!$D$5:$D$16,0),MATCH(O709,Settings!$E$4:$H$4,0)),"Check"))</f>
        <v/>
      </c>
      <c r="W709">
        <f>IF(V709="","",IF(V709="No","Yes","No"))</f>
        <v/>
      </c>
      <c r="X709">
        <f>IF(OR(E709="",G709=""),"",IF(LOWER(IF(RIGHT(TRIM(E709),1)="/",LEFT(TRIM(E709),LEN(TRIM(E709))-1),TRIM(E709)))&lt;&gt;LOWER(IF(RIGHT(TRIM(G709),1)="/",LEFT(TRIM(G709),LEN(TRIM(G709))-1),TRIM(G709))),"Yes","No"))</f>
        <v/>
      </c>
      <c r="Y709">
        <f>IF(A709="","",(N(Q709)&gt;0)+(T709="Yes")+(U709="Yes")+(W709="Yes")+(X709="Yes"))</f>
        <v/>
      </c>
      <c r="Z709">
        <f>IF(A709="","",IF(G709="","Not mapped",IF(Y709=0,"OK",MID(IF(N(Q709)&gt;0,"; Cannibalisation","")&amp;IF(T709="Yes","; Too many primary keywords on URL","")&amp;IF(U709="Yes","; URL spans 2+ clusters","")&amp;IF(W709="Yes","; Intent mismatch","")&amp;IF(X709="Yes","; Ranking URL is not the target",""),3,300))))</f>
        <v/>
      </c>
      <c r="AA709">
        <f>IF(G709="","",IF(COUNTIF($G$3:G709,SUBSTITUTE(SUBSTITUTE(G709,"?","~?"),"*","~*"))=1,MAX($AA$2:AA708)+1,""))</f>
        <v/>
      </c>
      <c r="AB709">
        <f>IF(B709="","",IF(COUNTIF($B$3:B709,SUBSTITUTE(SUBSTITUTE(B709,"?","~?"),"*","~*"))=1,MAX($AB$2:AB708)+1,""))</f>
        <v/>
      </c>
    </row>
    <row r="710">
      <c r="M710">
        <f>IF(A710="","",LOWER(TRIM(SUBSTITUTE(SUBSTITUTE(A710,"?",""),"*",""))))</f>
        <v/>
      </c>
      <c r="N710">
        <f>IF(M710="","",IF(SUMPRODUCT(ISNUMBER(SEARCH(" "&amp;Settings!$L$5:$L$124&amp;" "," "&amp;M710&amp;" "))*(Settings!$K$5:$K$124="Navigational")*(Settings!$L$5:$L$124&lt;&gt;""))&gt;0,"Navigational",IF(SUMPRODUCT(ISNUMBER(SEARCH(" "&amp;Settings!$L$5:$L$124&amp;" "," "&amp;M710&amp;" "))*(Settings!$K$5:$K$124="Transactional")*(Settings!$L$5:$L$124&lt;&gt;""))&gt;0,"Transactional",IF(SUMPRODUCT(ISNUMBER(SEARCH(" "&amp;Settings!$L$5:$L$124&amp;" "," "&amp;M710&amp;" "))*(Settings!$K$5:$K$124="Commercial")*(Settings!$L$5:$L$124&lt;&gt;""))&gt;0,"Commercial",IF(SUMPRODUCT(ISNUMBER(SEARCH(" "&amp;Settings!$L$5:$L$124&amp;" "," "&amp;M710&amp;" "))*(Settings!$K$5:$K$124="Informational")*(Settings!$L$5:$L$124&lt;&gt;""))&gt;0,"Informational","Unclassified")))))</f>
        <v/>
      </c>
      <c r="O710">
        <f>IF(A710="","",IF(K710&lt;&gt;"",PROPER(K710),N710))</f>
        <v/>
      </c>
      <c r="P710">
        <f>IF(A710="","",ROUND(Settings!$B$5*MIN(1,LOG10(N(C710)+1)/LOG10(Settings!$B$7+1))+Settings!$B$6*(1-MIN(100,IF(D710="",50,N(D710)))/100)+IFERROR(INDEX(Settings!$B$10:$B$14,MATCH(O710,Settings!$A$10:$A$14,0)),0),0))</f>
        <v/>
      </c>
      <c r="Q710">
        <f>IF(OR(A710="",G710=""),"",COUNTIFS($M$3:$M$1002,M710,$G$3:$G$1002,"&lt;&gt;"&amp;SUBSTITUTE(SUBSTITUTE(G710,"?","~?"),"*","~*"),$G$3:$G$1002,"?*"))</f>
        <v/>
      </c>
      <c r="R710">
        <f>IF(Q710="","",IF(Q710&gt;0,"Yes","No"))</f>
        <v/>
      </c>
      <c r="S710">
        <f>IF(G710="","",COUNTIFS($G$3:$G$1002,SUBSTITUTE(SUBSTITUTE(G710,"?","~?"),"*","~*"),$J$3:$J$1002,"Primary"))</f>
        <v/>
      </c>
      <c r="T710">
        <f>IF(S710="","",IF(S710&gt;Settings!$B$4,"Yes","No"))</f>
        <v/>
      </c>
      <c r="U710">
        <f>IF(OR(G710="",B710=""),"",IF(COUNTIFS($G$3:$G$1002,SUBSTITUTE(SUBSTITUTE(G710,"?","~?"),"*","~*"),$B$3:$B$1002,"&lt;&gt;"&amp;SUBSTITUTE(SUBSTITUTE(B710,"?","~?"),"*","~*"),$B$3:$B$1002,"?*")&gt;0,"Yes","No"))</f>
        <v/>
      </c>
      <c r="V710">
        <f>IF(OR(G710="",I710="",O710="",O710="Unclassified"),"",IFERROR(INDEX(Settings!$E$5:$H$16,MATCH(I710,Settings!$D$5:$D$16,0),MATCH(O710,Settings!$E$4:$H$4,0)),"Check"))</f>
        <v/>
      </c>
      <c r="W710">
        <f>IF(V710="","",IF(V710="No","Yes","No"))</f>
        <v/>
      </c>
      <c r="X710">
        <f>IF(OR(E710="",G710=""),"",IF(LOWER(IF(RIGHT(TRIM(E710),1)="/",LEFT(TRIM(E710),LEN(TRIM(E710))-1),TRIM(E710)))&lt;&gt;LOWER(IF(RIGHT(TRIM(G710),1)="/",LEFT(TRIM(G710),LEN(TRIM(G710))-1),TRIM(G710))),"Yes","No"))</f>
        <v/>
      </c>
      <c r="Y710">
        <f>IF(A710="","",(N(Q710)&gt;0)+(T710="Yes")+(U710="Yes")+(W710="Yes")+(X710="Yes"))</f>
        <v/>
      </c>
      <c r="Z710">
        <f>IF(A710="","",IF(G710="","Not mapped",IF(Y710=0,"OK",MID(IF(N(Q710)&gt;0,"; Cannibalisation","")&amp;IF(T710="Yes","; Too many primary keywords on URL","")&amp;IF(U710="Yes","; URL spans 2+ clusters","")&amp;IF(W710="Yes","; Intent mismatch","")&amp;IF(X710="Yes","; Ranking URL is not the target",""),3,300))))</f>
        <v/>
      </c>
      <c r="AA710">
        <f>IF(G710="","",IF(COUNTIF($G$3:G710,SUBSTITUTE(SUBSTITUTE(G710,"?","~?"),"*","~*"))=1,MAX($AA$2:AA709)+1,""))</f>
        <v/>
      </c>
      <c r="AB710">
        <f>IF(B710="","",IF(COUNTIF($B$3:B710,SUBSTITUTE(SUBSTITUTE(B710,"?","~?"),"*","~*"))=1,MAX($AB$2:AB709)+1,""))</f>
        <v/>
      </c>
    </row>
    <row r="711">
      <c r="M711">
        <f>IF(A711="","",LOWER(TRIM(SUBSTITUTE(SUBSTITUTE(A711,"?",""),"*",""))))</f>
        <v/>
      </c>
      <c r="N711">
        <f>IF(M711="","",IF(SUMPRODUCT(ISNUMBER(SEARCH(" "&amp;Settings!$L$5:$L$124&amp;" "," "&amp;M711&amp;" "))*(Settings!$K$5:$K$124="Navigational")*(Settings!$L$5:$L$124&lt;&gt;""))&gt;0,"Navigational",IF(SUMPRODUCT(ISNUMBER(SEARCH(" "&amp;Settings!$L$5:$L$124&amp;" "," "&amp;M711&amp;" "))*(Settings!$K$5:$K$124="Transactional")*(Settings!$L$5:$L$124&lt;&gt;""))&gt;0,"Transactional",IF(SUMPRODUCT(ISNUMBER(SEARCH(" "&amp;Settings!$L$5:$L$124&amp;" "," "&amp;M711&amp;" "))*(Settings!$K$5:$K$124="Commercial")*(Settings!$L$5:$L$124&lt;&gt;""))&gt;0,"Commercial",IF(SUMPRODUCT(ISNUMBER(SEARCH(" "&amp;Settings!$L$5:$L$124&amp;" "," "&amp;M711&amp;" "))*(Settings!$K$5:$K$124="Informational")*(Settings!$L$5:$L$124&lt;&gt;""))&gt;0,"Informational","Unclassified")))))</f>
        <v/>
      </c>
      <c r="O711">
        <f>IF(A711="","",IF(K711&lt;&gt;"",PROPER(K711),N711))</f>
        <v/>
      </c>
      <c r="P711">
        <f>IF(A711="","",ROUND(Settings!$B$5*MIN(1,LOG10(N(C711)+1)/LOG10(Settings!$B$7+1))+Settings!$B$6*(1-MIN(100,IF(D711="",50,N(D711)))/100)+IFERROR(INDEX(Settings!$B$10:$B$14,MATCH(O711,Settings!$A$10:$A$14,0)),0),0))</f>
        <v/>
      </c>
      <c r="Q711">
        <f>IF(OR(A711="",G711=""),"",COUNTIFS($M$3:$M$1002,M711,$G$3:$G$1002,"&lt;&gt;"&amp;SUBSTITUTE(SUBSTITUTE(G711,"?","~?"),"*","~*"),$G$3:$G$1002,"?*"))</f>
        <v/>
      </c>
      <c r="R711">
        <f>IF(Q711="","",IF(Q711&gt;0,"Yes","No"))</f>
        <v/>
      </c>
      <c r="S711">
        <f>IF(G711="","",COUNTIFS($G$3:$G$1002,SUBSTITUTE(SUBSTITUTE(G711,"?","~?"),"*","~*"),$J$3:$J$1002,"Primary"))</f>
        <v/>
      </c>
      <c r="T711">
        <f>IF(S711="","",IF(S711&gt;Settings!$B$4,"Yes","No"))</f>
        <v/>
      </c>
      <c r="U711">
        <f>IF(OR(G711="",B711=""),"",IF(COUNTIFS($G$3:$G$1002,SUBSTITUTE(SUBSTITUTE(G711,"?","~?"),"*","~*"),$B$3:$B$1002,"&lt;&gt;"&amp;SUBSTITUTE(SUBSTITUTE(B711,"?","~?"),"*","~*"),$B$3:$B$1002,"?*")&gt;0,"Yes","No"))</f>
        <v/>
      </c>
      <c r="V711">
        <f>IF(OR(G711="",I711="",O711="",O711="Unclassified"),"",IFERROR(INDEX(Settings!$E$5:$H$16,MATCH(I711,Settings!$D$5:$D$16,0),MATCH(O711,Settings!$E$4:$H$4,0)),"Check"))</f>
        <v/>
      </c>
      <c r="W711">
        <f>IF(V711="","",IF(V711="No","Yes","No"))</f>
        <v/>
      </c>
      <c r="X711">
        <f>IF(OR(E711="",G711=""),"",IF(LOWER(IF(RIGHT(TRIM(E711),1)="/",LEFT(TRIM(E711),LEN(TRIM(E711))-1),TRIM(E711)))&lt;&gt;LOWER(IF(RIGHT(TRIM(G711),1)="/",LEFT(TRIM(G711),LEN(TRIM(G711))-1),TRIM(G711))),"Yes","No"))</f>
        <v/>
      </c>
      <c r="Y711">
        <f>IF(A711="","",(N(Q711)&gt;0)+(T711="Yes")+(U711="Yes")+(W711="Yes")+(X711="Yes"))</f>
        <v/>
      </c>
      <c r="Z711">
        <f>IF(A711="","",IF(G711="","Not mapped",IF(Y711=0,"OK",MID(IF(N(Q711)&gt;0,"; Cannibalisation","")&amp;IF(T711="Yes","; Too many primary keywords on URL","")&amp;IF(U711="Yes","; URL spans 2+ clusters","")&amp;IF(W711="Yes","; Intent mismatch","")&amp;IF(X711="Yes","; Ranking URL is not the target",""),3,300))))</f>
        <v/>
      </c>
      <c r="AA711">
        <f>IF(G711="","",IF(COUNTIF($G$3:G711,SUBSTITUTE(SUBSTITUTE(G711,"?","~?"),"*","~*"))=1,MAX($AA$2:AA710)+1,""))</f>
        <v/>
      </c>
      <c r="AB711">
        <f>IF(B711="","",IF(COUNTIF($B$3:B711,SUBSTITUTE(SUBSTITUTE(B711,"?","~?"),"*","~*"))=1,MAX($AB$2:AB710)+1,""))</f>
        <v/>
      </c>
    </row>
    <row r="712">
      <c r="M712">
        <f>IF(A712="","",LOWER(TRIM(SUBSTITUTE(SUBSTITUTE(A712,"?",""),"*",""))))</f>
        <v/>
      </c>
      <c r="N712">
        <f>IF(M712="","",IF(SUMPRODUCT(ISNUMBER(SEARCH(" "&amp;Settings!$L$5:$L$124&amp;" "," "&amp;M712&amp;" "))*(Settings!$K$5:$K$124="Navigational")*(Settings!$L$5:$L$124&lt;&gt;""))&gt;0,"Navigational",IF(SUMPRODUCT(ISNUMBER(SEARCH(" "&amp;Settings!$L$5:$L$124&amp;" "," "&amp;M712&amp;" "))*(Settings!$K$5:$K$124="Transactional")*(Settings!$L$5:$L$124&lt;&gt;""))&gt;0,"Transactional",IF(SUMPRODUCT(ISNUMBER(SEARCH(" "&amp;Settings!$L$5:$L$124&amp;" "," "&amp;M712&amp;" "))*(Settings!$K$5:$K$124="Commercial")*(Settings!$L$5:$L$124&lt;&gt;""))&gt;0,"Commercial",IF(SUMPRODUCT(ISNUMBER(SEARCH(" "&amp;Settings!$L$5:$L$124&amp;" "," "&amp;M712&amp;" "))*(Settings!$K$5:$K$124="Informational")*(Settings!$L$5:$L$124&lt;&gt;""))&gt;0,"Informational","Unclassified")))))</f>
        <v/>
      </c>
      <c r="O712">
        <f>IF(A712="","",IF(K712&lt;&gt;"",PROPER(K712),N712))</f>
        <v/>
      </c>
      <c r="P712">
        <f>IF(A712="","",ROUND(Settings!$B$5*MIN(1,LOG10(N(C712)+1)/LOG10(Settings!$B$7+1))+Settings!$B$6*(1-MIN(100,IF(D712="",50,N(D712)))/100)+IFERROR(INDEX(Settings!$B$10:$B$14,MATCH(O712,Settings!$A$10:$A$14,0)),0),0))</f>
        <v/>
      </c>
      <c r="Q712">
        <f>IF(OR(A712="",G712=""),"",COUNTIFS($M$3:$M$1002,M712,$G$3:$G$1002,"&lt;&gt;"&amp;SUBSTITUTE(SUBSTITUTE(G712,"?","~?"),"*","~*"),$G$3:$G$1002,"?*"))</f>
        <v/>
      </c>
      <c r="R712">
        <f>IF(Q712="","",IF(Q712&gt;0,"Yes","No"))</f>
        <v/>
      </c>
      <c r="S712">
        <f>IF(G712="","",COUNTIFS($G$3:$G$1002,SUBSTITUTE(SUBSTITUTE(G712,"?","~?"),"*","~*"),$J$3:$J$1002,"Primary"))</f>
        <v/>
      </c>
      <c r="T712">
        <f>IF(S712="","",IF(S712&gt;Settings!$B$4,"Yes","No"))</f>
        <v/>
      </c>
      <c r="U712">
        <f>IF(OR(G712="",B712=""),"",IF(COUNTIFS($G$3:$G$1002,SUBSTITUTE(SUBSTITUTE(G712,"?","~?"),"*","~*"),$B$3:$B$1002,"&lt;&gt;"&amp;SUBSTITUTE(SUBSTITUTE(B712,"?","~?"),"*","~*"),$B$3:$B$1002,"?*")&gt;0,"Yes","No"))</f>
        <v/>
      </c>
      <c r="V712">
        <f>IF(OR(G712="",I712="",O712="",O712="Unclassified"),"",IFERROR(INDEX(Settings!$E$5:$H$16,MATCH(I712,Settings!$D$5:$D$16,0),MATCH(O712,Settings!$E$4:$H$4,0)),"Check"))</f>
        <v/>
      </c>
      <c r="W712">
        <f>IF(V712="","",IF(V712="No","Yes","No"))</f>
        <v/>
      </c>
      <c r="X712">
        <f>IF(OR(E712="",G712=""),"",IF(LOWER(IF(RIGHT(TRIM(E712),1)="/",LEFT(TRIM(E712),LEN(TRIM(E712))-1),TRIM(E712)))&lt;&gt;LOWER(IF(RIGHT(TRIM(G712),1)="/",LEFT(TRIM(G712),LEN(TRIM(G712))-1),TRIM(G712))),"Yes","No"))</f>
        <v/>
      </c>
      <c r="Y712">
        <f>IF(A712="","",(N(Q712)&gt;0)+(T712="Yes")+(U712="Yes")+(W712="Yes")+(X712="Yes"))</f>
        <v/>
      </c>
      <c r="Z712">
        <f>IF(A712="","",IF(G712="","Not mapped",IF(Y712=0,"OK",MID(IF(N(Q712)&gt;0,"; Cannibalisation","")&amp;IF(T712="Yes","; Too many primary keywords on URL","")&amp;IF(U712="Yes","; URL spans 2+ clusters","")&amp;IF(W712="Yes","; Intent mismatch","")&amp;IF(X712="Yes","; Ranking URL is not the target",""),3,300))))</f>
        <v/>
      </c>
      <c r="AA712">
        <f>IF(G712="","",IF(COUNTIF($G$3:G712,SUBSTITUTE(SUBSTITUTE(G712,"?","~?"),"*","~*"))=1,MAX($AA$2:AA711)+1,""))</f>
        <v/>
      </c>
      <c r="AB712">
        <f>IF(B712="","",IF(COUNTIF($B$3:B712,SUBSTITUTE(SUBSTITUTE(B712,"?","~?"),"*","~*"))=1,MAX($AB$2:AB711)+1,""))</f>
        <v/>
      </c>
    </row>
    <row r="713">
      <c r="M713">
        <f>IF(A713="","",LOWER(TRIM(SUBSTITUTE(SUBSTITUTE(A713,"?",""),"*",""))))</f>
        <v/>
      </c>
      <c r="N713">
        <f>IF(M713="","",IF(SUMPRODUCT(ISNUMBER(SEARCH(" "&amp;Settings!$L$5:$L$124&amp;" "," "&amp;M713&amp;" "))*(Settings!$K$5:$K$124="Navigational")*(Settings!$L$5:$L$124&lt;&gt;""))&gt;0,"Navigational",IF(SUMPRODUCT(ISNUMBER(SEARCH(" "&amp;Settings!$L$5:$L$124&amp;" "," "&amp;M713&amp;" "))*(Settings!$K$5:$K$124="Transactional")*(Settings!$L$5:$L$124&lt;&gt;""))&gt;0,"Transactional",IF(SUMPRODUCT(ISNUMBER(SEARCH(" "&amp;Settings!$L$5:$L$124&amp;" "," "&amp;M713&amp;" "))*(Settings!$K$5:$K$124="Commercial")*(Settings!$L$5:$L$124&lt;&gt;""))&gt;0,"Commercial",IF(SUMPRODUCT(ISNUMBER(SEARCH(" "&amp;Settings!$L$5:$L$124&amp;" "," "&amp;M713&amp;" "))*(Settings!$K$5:$K$124="Informational")*(Settings!$L$5:$L$124&lt;&gt;""))&gt;0,"Informational","Unclassified")))))</f>
        <v/>
      </c>
      <c r="O713">
        <f>IF(A713="","",IF(K713&lt;&gt;"",PROPER(K713),N713))</f>
        <v/>
      </c>
      <c r="P713">
        <f>IF(A713="","",ROUND(Settings!$B$5*MIN(1,LOG10(N(C713)+1)/LOG10(Settings!$B$7+1))+Settings!$B$6*(1-MIN(100,IF(D713="",50,N(D713)))/100)+IFERROR(INDEX(Settings!$B$10:$B$14,MATCH(O713,Settings!$A$10:$A$14,0)),0),0))</f>
        <v/>
      </c>
      <c r="Q713">
        <f>IF(OR(A713="",G713=""),"",COUNTIFS($M$3:$M$1002,M713,$G$3:$G$1002,"&lt;&gt;"&amp;SUBSTITUTE(SUBSTITUTE(G713,"?","~?"),"*","~*"),$G$3:$G$1002,"?*"))</f>
        <v/>
      </c>
      <c r="R713">
        <f>IF(Q713="","",IF(Q713&gt;0,"Yes","No"))</f>
        <v/>
      </c>
      <c r="S713">
        <f>IF(G713="","",COUNTIFS($G$3:$G$1002,SUBSTITUTE(SUBSTITUTE(G713,"?","~?"),"*","~*"),$J$3:$J$1002,"Primary"))</f>
        <v/>
      </c>
      <c r="T713">
        <f>IF(S713="","",IF(S713&gt;Settings!$B$4,"Yes","No"))</f>
        <v/>
      </c>
      <c r="U713">
        <f>IF(OR(G713="",B713=""),"",IF(COUNTIFS($G$3:$G$1002,SUBSTITUTE(SUBSTITUTE(G713,"?","~?"),"*","~*"),$B$3:$B$1002,"&lt;&gt;"&amp;SUBSTITUTE(SUBSTITUTE(B713,"?","~?"),"*","~*"),$B$3:$B$1002,"?*")&gt;0,"Yes","No"))</f>
        <v/>
      </c>
      <c r="V713">
        <f>IF(OR(G713="",I713="",O713="",O713="Unclassified"),"",IFERROR(INDEX(Settings!$E$5:$H$16,MATCH(I713,Settings!$D$5:$D$16,0),MATCH(O713,Settings!$E$4:$H$4,0)),"Check"))</f>
        <v/>
      </c>
      <c r="W713">
        <f>IF(V713="","",IF(V713="No","Yes","No"))</f>
        <v/>
      </c>
      <c r="X713">
        <f>IF(OR(E713="",G713=""),"",IF(LOWER(IF(RIGHT(TRIM(E713),1)="/",LEFT(TRIM(E713),LEN(TRIM(E713))-1),TRIM(E713)))&lt;&gt;LOWER(IF(RIGHT(TRIM(G713),1)="/",LEFT(TRIM(G713),LEN(TRIM(G713))-1),TRIM(G713))),"Yes","No"))</f>
        <v/>
      </c>
      <c r="Y713">
        <f>IF(A713="","",(N(Q713)&gt;0)+(T713="Yes")+(U713="Yes")+(W713="Yes")+(X713="Yes"))</f>
        <v/>
      </c>
      <c r="Z713">
        <f>IF(A713="","",IF(G713="","Not mapped",IF(Y713=0,"OK",MID(IF(N(Q713)&gt;0,"; Cannibalisation","")&amp;IF(T713="Yes","; Too many primary keywords on URL","")&amp;IF(U713="Yes","; URL spans 2+ clusters","")&amp;IF(W713="Yes","; Intent mismatch","")&amp;IF(X713="Yes","; Ranking URL is not the target",""),3,300))))</f>
        <v/>
      </c>
      <c r="AA713">
        <f>IF(G713="","",IF(COUNTIF($G$3:G713,SUBSTITUTE(SUBSTITUTE(G713,"?","~?"),"*","~*"))=1,MAX($AA$2:AA712)+1,""))</f>
        <v/>
      </c>
      <c r="AB713">
        <f>IF(B713="","",IF(COUNTIF($B$3:B713,SUBSTITUTE(SUBSTITUTE(B713,"?","~?"),"*","~*"))=1,MAX($AB$2:AB712)+1,""))</f>
        <v/>
      </c>
    </row>
    <row r="714">
      <c r="M714">
        <f>IF(A714="","",LOWER(TRIM(SUBSTITUTE(SUBSTITUTE(A714,"?",""),"*",""))))</f>
        <v/>
      </c>
      <c r="N714">
        <f>IF(M714="","",IF(SUMPRODUCT(ISNUMBER(SEARCH(" "&amp;Settings!$L$5:$L$124&amp;" "," "&amp;M714&amp;" "))*(Settings!$K$5:$K$124="Navigational")*(Settings!$L$5:$L$124&lt;&gt;""))&gt;0,"Navigational",IF(SUMPRODUCT(ISNUMBER(SEARCH(" "&amp;Settings!$L$5:$L$124&amp;" "," "&amp;M714&amp;" "))*(Settings!$K$5:$K$124="Transactional")*(Settings!$L$5:$L$124&lt;&gt;""))&gt;0,"Transactional",IF(SUMPRODUCT(ISNUMBER(SEARCH(" "&amp;Settings!$L$5:$L$124&amp;" "," "&amp;M714&amp;" "))*(Settings!$K$5:$K$124="Commercial")*(Settings!$L$5:$L$124&lt;&gt;""))&gt;0,"Commercial",IF(SUMPRODUCT(ISNUMBER(SEARCH(" "&amp;Settings!$L$5:$L$124&amp;" "," "&amp;M714&amp;" "))*(Settings!$K$5:$K$124="Informational")*(Settings!$L$5:$L$124&lt;&gt;""))&gt;0,"Informational","Unclassified")))))</f>
        <v/>
      </c>
      <c r="O714">
        <f>IF(A714="","",IF(K714&lt;&gt;"",PROPER(K714),N714))</f>
        <v/>
      </c>
      <c r="P714">
        <f>IF(A714="","",ROUND(Settings!$B$5*MIN(1,LOG10(N(C714)+1)/LOG10(Settings!$B$7+1))+Settings!$B$6*(1-MIN(100,IF(D714="",50,N(D714)))/100)+IFERROR(INDEX(Settings!$B$10:$B$14,MATCH(O714,Settings!$A$10:$A$14,0)),0),0))</f>
        <v/>
      </c>
      <c r="Q714">
        <f>IF(OR(A714="",G714=""),"",COUNTIFS($M$3:$M$1002,M714,$G$3:$G$1002,"&lt;&gt;"&amp;SUBSTITUTE(SUBSTITUTE(G714,"?","~?"),"*","~*"),$G$3:$G$1002,"?*"))</f>
        <v/>
      </c>
      <c r="R714">
        <f>IF(Q714="","",IF(Q714&gt;0,"Yes","No"))</f>
        <v/>
      </c>
      <c r="S714">
        <f>IF(G714="","",COUNTIFS($G$3:$G$1002,SUBSTITUTE(SUBSTITUTE(G714,"?","~?"),"*","~*"),$J$3:$J$1002,"Primary"))</f>
        <v/>
      </c>
      <c r="T714">
        <f>IF(S714="","",IF(S714&gt;Settings!$B$4,"Yes","No"))</f>
        <v/>
      </c>
      <c r="U714">
        <f>IF(OR(G714="",B714=""),"",IF(COUNTIFS($G$3:$G$1002,SUBSTITUTE(SUBSTITUTE(G714,"?","~?"),"*","~*"),$B$3:$B$1002,"&lt;&gt;"&amp;SUBSTITUTE(SUBSTITUTE(B714,"?","~?"),"*","~*"),$B$3:$B$1002,"?*")&gt;0,"Yes","No"))</f>
        <v/>
      </c>
      <c r="V714">
        <f>IF(OR(G714="",I714="",O714="",O714="Unclassified"),"",IFERROR(INDEX(Settings!$E$5:$H$16,MATCH(I714,Settings!$D$5:$D$16,0),MATCH(O714,Settings!$E$4:$H$4,0)),"Check"))</f>
        <v/>
      </c>
      <c r="W714">
        <f>IF(V714="","",IF(V714="No","Yes","No"))</f>
        <v/>
      </c>
      <c r="X714">
        <f>IF(OR(E714="",G714=""),"",IF(LOWER(IF(RIGHT(TRIM(E714),1)="/",LEFT(TRIM(E714),LEN(TRIM(E714))-1),TRIM(E714)))&lt;&gt;LOWER(IF(RIGHT(TRIM(G714),1)="/",LEFT(TRIM(G714),LEN(TRIM(G714))-1),TRIM(G714))),"Yes","No"))</f>
        <v/>
      </c>
      <c r="Y714">
        <f>IF(A714="","",(N(Q714)&gt;0)+(T714="Yes")+(U714="Yes")+(W714="Yes")+(X714="Yes"))</f>
        <v/>
      </c>
      <c r="Z714">
        <f>IF(A714="","",IF(G714="","Not mapped",IF(Y714=0,"OK",MID(IF(N(Q714)&gt;0,"; Cannibalisation","")&amp;IF(T714="Yes","; Too many primary keywords on URL","")&amp;IF(U714="Yes","; URL spans 2+ clusters","")&amp;IF(W714="Yes","; Intent mismatch","")&amp;IF(X714="Yes","; Ranking URL is not the target",""),3,300))))</f>
        <v/>
      </c>
      <c r="AA714">
        <f>IF(G714="","",IF(COUNTIF($G$3:G714,SUBSTITUTE(SUBSTITUTE(G714,"?","~?"),"*","~*"))=1,MAX($AA$2:AA713)+1,""))</f>
        <v/>
      </c>
      <c r="AB714">
        <f>IF(B714="","",IF(COUNTIF($B$3:B714,SUBSTITUTE(SUBSTITUTE(B714,"?","~?"),"*","~*"))=1,MAX($AB$2:AB713)+1,""))</f>
        <v/>
      </c>
    </row>
    <row r="715">
      <c r="M715">
        <f>IF(A715="","",LOWER(TRIM(SUBSTITUTE(SUBSTITUTE(A715,"?",""),"*",""))))</f>
        <v/>
      </c>
      <c r="N715">
        <f>IF(M715="","",IF(SUMPRODUCT(ISNUMBER(SEARCH(" "&amp;Settings!$L$5:$L$124&amp;" "," "&amp;M715&amp;" "))*(Settings!$K$5:$K$124="Navigational")*(Settings!$L$5:$L$124&lt;&gt;""))&gt;0,"Navigational",IF(SUMPRODUCT(ISNUMBER(SEARCH(" "&amp;Settings!$L$5:$L$124&amp;" "," "&amp;M715&amp;" "))*(Settings!$K$5:$K$124="Transactional")*(Settings!$L$5:$L$124&lt;&gt;""))&gt;0,"Transactional",IF(SUMPRODUCT(ISNUMBER(SEARCH(" "&amp;Settings!$L$5:$L$124&amp;" "," "&amp;M715&amp;" "))*(Settings!$K$5:$K$124="Commercial")*(Settings!$L$5:$L$124&lt;&gt;""))&gt;0,"Commercial",IF(SUMPRODUCT(ISNUMBER(SEARCH(" "&amp;Settings!$L$5:$L$124&amp;" "," "&amp;M715&amp;" "))*(Settings!$K$5:$K$124="Informational")*(Settings!$L$5:$L$124&lt;&gt;""))&gt;0,"Informational","Unclassified")))))</f>
        <v/>
      </c>
      <c r="O715">
        <f>IF(A715="","",IF(K715&lt;&gt;"",PROPER(K715),N715))</f>
        <v/>
      </c>
      <c r="P715">
        <f>IF(A715="","",ROUND(Settings!$B$5*MIN(1,LOG10(N(C715)+1)/LOG10(Settings!$B$7+1))+Settings!$B$6*(1-MIN(100,IF(D715="",50,N(D715)))/100)+IFERROR(INDEX(Settings!$B$10:$B$14,MATCH(O715,Settings!$A$10:$A$14,0)),0),0))</f>
        <v/>
      </c>
      <c r="Q715">
        <f>IF(OR(A715="",G715=""),"",COUNTIFS($M$3:$M$1002,M715,$G$3:$G$1002,"&lt;&gt;"&amp;SUBSTITUTE(SUBSTITUTE(G715,"?","~?"),"*","~*"),$G$3:$G$1002,"?*"))</f>
        <v/>
      </c>
      <c r="R715">
        <f>IF(Q715="","",IF(Q715&gt;0,"Yes","No"))</f>
        <v/>
      </c>
      <c r="S715">
        <f>IF(G715="","",COUNTIFS($G$3:$G$1002,SUBSTITUTE(SUBSTITUTE(G715,"?","~?"),"*","~*"),$J$3:$J$1002,"Primary"))</f>
        <v/>
      </c>
      <c r="T715">
        <f>IF(S715="","",IF(S715&gt;Settings!$B$4,"Yes","No"))</f>
        <v/>
      </c>
      <c r="U715">
        <f>IF(OR(G715="",B715=""),"",IF(COUNTIFS($G$3:$G$1002,SUBSTITUTE(SUBSTITUTE(G715,"?","~?"),"*","~*"),$B$3:$B$1002,"&lt;&gt;"&amp;SUBSTITUTE(SUBSTITUTE(B715,"?","~?"),"*","~*"),$B$3:$B$1002,"?*")&gt;0,"Yes","No"))</f>
        <v/>
      </c>
      <c r="V715">
        <f>IF(OR(G715="",I715="",O715="",O715="Unclassified"),"",IFERROR(INDEX(Settings!$E$5:$H$16,MATCH(I715,Settings!$D$5:$D$16,0),MATCH(O715,Settings!$E$4:$H$4,0)),"Check"))</f>
        <v/>
      </c>
      <c r="W715">
        <f>IF(V715="","",IF(V715="No","Yes","No"))</f>
        <v/>
      </c>
      <c r="X715">
        <f>IF(OR(E715="",G715=""),"",IF(LOWER(IF(RIGHT(TRIM(E715),1)="/",LEFT(TRIM(E715),LEN(TRIM(E715))-1),TRIM(E715)))&lt;&gt;LOWER(IF(RIGHT(TRIM(G715),1)="/",LEFT(TRIM(G715),LEN(TRIM(G715))-1),TRIM(G715))),"Yes","No"))</f>
        <v/>
      </c>
      <c r="Y715">
        <f>IF(A715="","",(N(Q715)&gt;0)+(T715="Yes")+(U715="Yes")+(W715="Yes")+(X715="Yes"))</f>
        <v/>
      </c>
      <c r="Z715">
        <f>IF(A715="","",IF(G715="","Not mapped",IF(Y715=0,"OK",MID(IF(N(Q715)&gt;0,"; Cannibalisation","")&amp;IF(T715="Yes","; Too many primary keywords on URL","")&amp;IF(U715="Yes","; URL spans 2+ clusters","")&amp;IF(W715="Yes","; Intent mismatch","")&amp;IF(X715="Yes","; Ranking URL is not the target",""),3,300))))</f>
        <v/>
      </c>
      <c r="AA715">
        <f>IF(G715="","",IF(COUNTIF($G$3:G715,SUBSTITUTE(SUBSTITUTE(G715,"?","~?"),"*","~*"))=1,MAX($AA$2:AA714)+1,""))</f>
        <v/>
      </c>
      <c r="AB715">
        <f>IF(B715="","",IF(COUNTIF($B$3:B715,SUBSTITUTE(SUBSTITUTE(B715,"?","~?"),"*","~*"))=1,MAX($AB$2:AB714)+1,""))</f>
        <v/>
      </c>
    </row>
    <row r="716">
      <c r="M716">
        <f>IF(A716="","",LOWER(TRIM(SUBSTITUTE(SUBSTITUTE(A716,"?",""),"*",""))))</f>
        <v/>
      </c>
      <c r="N716">
        <f>IF(M716="","",IF(SUMPRODUCT(ISNUMBER(SEARCH(" "&amp;Settings!$L$5:$L$124&amp;" "," "&amp;M716&amp;" "))*(Settings!$K$5:$K$124="Navigational")*(Settings!$L$5:$L$124&lt;&gt;""))&gt;0,"Navigational",IF(SUMPRODUCT(ISNUMBER(SEARCH(" "&amp;Settings!$L$5:$L$124&amp;" "," "&amp;M716&amp;" "))*(Settings!$K$5:$K$124="Transactional")*(Settings!$L$5:$L$124&lt;&gt;""))&gt;0,"Transactional",IF(SUMPRODUCT(ISNUMBER(SEARCH(" "&amp;Settings!$L$5:$L$124&amp;" "," "&amp;M716&amp;" "))*(Settings!$K$5:$K$124="Commercial")*(Settings!$L$5:$L$124&lt;&gt;""))&gt;0,"Commercial",IF(SUMPRODUCT(ISNUMBER(SEARCH(" "&amp;Settings!$L$5:$L$124&amp;" "," "&amp;M716&amp;" "))*(Settings!$K$5:$K$124="Informational")*(Settings!$L$5:$L$124&lt;&gt;""))&gt;0,"Informational","Unclassified")))))</f>
        <v/>
      </c>
      <c r="O716">
        <f>IF(A716="","",IF(K716&lt;&gt;"",PROPER(K716),N716))</f>
        <v/>
      </c>
      <c r="P716">
        <f>IF(A716="","",ROUND(Settings!$B$5*MIN(1,LOG10(N(C716)+1)/LOG10(Settings!$B$7+1))+Settings!$B$6*(1-MIN(100,IF(D716="",50,N(D716)))/100)+IFERROR(INDEX(Settings!$B$10:$B$14,MATCH(O716,Settings!$A$10:$A$14,0)),0),0))</f>
        <v/>
      </c>
      <c r="Q716">
        <f>IF(OR(A716="",G716=""),"",COUNTIFS($M$3:$M$1002,M716,$G$3:$G$1002,"&lt;&gt;"&amp;SUBSTITUTE(SUBSTITUTE(G716,"?","~?"),"*","~*"),$G$3:$G$1002,"?*"))</f>
        <v/>
      </c>
      <c r="R716">
        <f>IF(Q716="","",IF(Q716&gt;0,"Yes","No"))</f>
        <v/>
      </c>
      <c r="S716">
        <f>IF(G716="","",COUNTIFS($G$3:$G$1002,SUBSTITUTE(SUBSTITUTE(G716,"?","~?"),"*","~*"),$J$3:$J$1002,"Primary"))</f>
        <v/>
      </c>
      <c r="T716">
        <f>IF(S716="","",IF(S716&gt;Settings!$B$4,"Yes","No"))</f>
        <v/>
      </c>
      <c r="U716">
        <f>IF(OR(G716="",B716=""),"",IF(COUNTIFS($G$3:$G$1002,SUBSTITUTE(SUBSTITUTE(G716,"?","~?"),"*","~*"),$B$3:$B$1002,"&lt;&gt;"&amp;SUBSTITUTE(SUBSTITUTE(B716,"?","~?"),"*","~*"),$B$3:$B$1002,"?*")&gt;0,"Yes","No"))</f>
        <v/>
      </c>
      <c r="V716">
        <f>IF(OR(G716="",I716="",O716="",O716="Unclassified"),"",IFERROR(INDEX(Settings!$E$5:$H$16,MATCH(I716,Settings!$D$5:$D$16,0),MATCH(O716,Settings!$E$4:$H$4,0)),"Check"))</f>
        <v/>
      </c>
      <c r="W716">
        <f>IF(V716="","",IF(V716="No","Yes","No"))</f>
        <v/>
      </c>
      <c r="X716">
        <f>IF(OR(E716="",G716=""),"",IF(LOWER(IF(RIGHT(TRIM(E716),1)="/",LEFT(TRIM(E716),LEN(TRIM(E716))-1),TRIM(E716)))&lt;&gt;LOWER(IF(RIGHT(TRIM(G716),1)="/",LEFT(TRIM(G716),LEN(TRIM(G716))-1),TRIM(G716))),"Yes","No"))</f>
        <v/>
      </c>
      <c r="Y716">
        <f>IF(A716="","",(N(Q716)&gt;0)+(T716="Yes")+(U716="Yes")+(W716="Yes")+(X716="Yes"))</f>
        <v/>
      </c>
      <c r="Z716">
        <f>IF(A716="","",IF(G716="","Not mapped",IF(Y716=0,"OK",MID(IF(N(Q716)&gt;0,"; Cannibalisation","")&amp;IF(T716="Yes","; Too many primary keywords on URL","")&amp;IF(U716="Yes","; URL spans 2+ clusters","")&amp;IF(W716="Yes","; Intent mismatch","")&amp;IF(X716="Yes","; Ranking URL is not the target",""),3,300))))</f>
        <v/>
      </c>
      <c r="AA716">
        <f>IF(G716="","",IF(COUNTIF($G$3:G716,SUBSTITUTE(SUBSTITUTE(G716,"?","~?"),"*","~*"))=1,MAX($AA$2:AA715)+1,""))</f>
        <v/>
      </c>
      <c r="AB716">
        <f>IF(B716="","",IF(COUNTIF($B$3:B716,SUBSTITUTE(SUBSTITUTE(B716,"?","~?"),"*","~*"))=1,MAX($AB$2:AB715)+1,""))</f>
        <v/>
      </c>
    </row>
    <row r="717">
      <c r="M717">
        <f>IF(A717="","",LOWER(TRIM(SUBSTITUTE(SUBSTITUTE(A717,"?",""),"*",""))))</f>
        <v/>
      </c>
      <c r="N717">
        <f>IF(M717="","",IF(SUMPRODUCT(ISNUMBER(SEARCH(" "&amp;Settings!$L$5:$L$124&amp;" "," "&amp;M717&amp;" "))*(Settings!$K$5:$K$124="Navigational")*(Settings!$L$5:$L$124&lt;&gt;""))&gt;0,"Navigational",IF(SUMPRODUCT(ISNUMBER(SEARCH(" "&amp;Settings!$L$5:$L$124&amp;" "," "&amp;M717&amp;" "))*(Settings!$K$5:$K$124="Transactional")*(Settings!$L$5:$L$124&lt;&gt;""))&gt;0,"Transactional",IF(SUMPRODUCT(ISNUMBER(SEARCH(" "&amp;Settings!$L$5:$L$124&amp;" "," "&amp;M717&amp;" "))*(Settings!$K$5:$K$124="Commercial")*(Settings!$L$5:$L$124&lt;&gt;""))&gt;0,"Commercial",IF(SUMPRODUCT(ISNUMBER(SEARCH(" "&amp;Settings!$L$5:$L$124&amp;" "," "&amp;M717&amp;" "))*(Settings!$K$5:$K$124="Informational")*(Settings!$L$5:$L$124&lt;&gt;""))&gt;0,"Informational","Unclassified")))))</f>
        <v/>
      </c>
      <c r="O717">
        <f>IF(A717="","",IF(K717&lt;&gt;"",PROPER(K717),N717))</f>
        <v/>
      </c>
      <c r="P717">
        <f>IF(A717="","",ROUND(Settings!$B$5*MIN(1,LOG10(N(C717)+1)/LOG10(Settings!$B$7+1))+Settings!$B$6*(1-MIN(100,IF(D717="",50,N(D717)))/100)+IFERROR(INDEX(Settings!$B$10:$B$14,MATCH(O717,Settings!$A$10:$A$14,0)),0),0))</f>
        <v/>
      </c>
      <c r="Q717">
        <f>IF(OR(A717="",G717=""),"",COUNTIFS($M$3:$M$1002,M717,$G$3:$G$1002,"&lt;&gt;"&amp;SUBSTITUTE(SUBSTITUTE(G717,"?","~?"),"*","~*"),$G$3:$G$1002,"?*"))</f>
        <v/>
      </c>
      <c r="R717">
        <f>IF(Q717="","",IF(Q717&gt;0,"Yes","No"))</f>
        <v/>
      </c>
      <c r="S717">
        <f>IF(G717="","",COUNTIFS($G$3:$G$1002,SUBSTITUTE(SUBSTITUTE(G717,"?","~?"),"*","~*"),$J$3:$J$1002,"Primary"))</f>
        <v/>
      </c>
      <c r="T717">
        <f>IF(S717="","",IF(S717&gt;Settings!$B$4,"Yes","No"))</f>
        <v/>
      </c>
      <c r="U717">
        <f>IF(OR(G717="",B717=""),"",IF(COUNTIFS($G$3:$G$1002,SUBSTITUTE(SUBSTITUTE(G717,"?","~?"),"*","~*"),$B$3:$B$1002,"&lt;&gt;"&amp;SUBSTITUTE(SUBSTITUTE(B717,"?","~?"),"*","~*"),$B$3:$B$1002,"?*")&gt;0,"Yes","No"))</f>
        <v/>
      </c>
      <c r="V717">
        <f>IF(OR(G717="",I717="",O717="",O717="Unclassified"),"",IFERROR(INDEX(Settings!$E$5:$H$16,MATCH(I717,Settings!$D$5:$D$16,0),MATCH(O717,Settings!$E$4:$H$4,0)),"Check"))</f>
        <v/>
      </c>
      <c r="W717">
        <f>IF(V717="","",IF(V717="No","Yes","No"))</f>
        <v/>
      </c>
      <c r="X717">
        <f>IF(OR(E717="",G717=""),"",IF(LOWER(IF(RIGHT(TRIM(E717),1)="/",LEFT(TRIM(E717),LEN(TRIM(E717))-1),TRIM(E717)))&lt;&gt;LOWER(IF(RIGHT(TRIM(G717),1)="/",LEFT(TRIM(G717),LEN(TRIM(G717))-1),TRIM(G717))),"Yes","No"))</f>
        <v/>
      </c>
      <c r="Y717">
        <f>IF(A717="","",(N(Q717)&gt;0)+(T717="Yes")+(U717="Yes")+(W717="Yes")+(X717="Yes"))</f>
        <v/>
      </c>
      <c r="Z717">
        <f>IF(A717="","",IF(G717="","Not mapped",IF(Y717=0,"OK",MID(IF(N(Q717)&gt;0,"; Cannibalisation","")&amp;IF(T717="Yes","; Too many primary keywords on URL","")&amp;IF(U717="Yes","; URL spans 2+ clusters","")&amp;IF(W717="Yes","; Intent mismatch","")&amp;IF(X717="Yes","; Ranking URL is not the target",""),3,300))))</f>
        <v/>
      </c>
      <c r="AA717">
        <f>IF(G717="","",IF(COUNTIF($G$3:G717,SUBSTITUTE(SUBSTITUTE(G717,"?","~?"),"*","~*"))=1,MAX($AA$2:AA716)+1,""))</f>
        <v/>
      </c>
      <c r="AB717">
        <f>IF(B717="","",IF(COUNTIF($B$3:B717,SUBSTITUTE(SUBSTITUTE(B717,"?","~?"),"*","~*"))=1,MAX($AB$2:AB716)+1,""))</f>
        <v/>
      </c>
    </row>
    <row r="718">
      <c r="M718">
        <f>IF(A718="","",LOWER(TRIM(SUBSTITUTE(SUBSTITUTE(A718,"?",""),"*",""))))</f>
        <v/>
      </c>
      <c r="N718">
        <f>IF(M718="","",IF(SUMPRODUCT(ISNUMBER(SEARCH(" "&amp;Settings!$L$5:$L$124&amp;" "," "&amp;M718&amp;" "))*(Settings!$K$5:$K$124="Navigational")*(Settings!$L$5:$L$124&lt;&gt;""))&gt;0,"Navigational",IF(SUMPRODUCT(ISNUMBER(SEARCH(" "&amp;Settings!$L$5:$L$124&amp;" "," "&amp;M718&amp;" "))*(Settings!$K$5:$K$124="Transactional")*(Settings!$L$5:$L$124&lt;&gt;""))&gt;0,"Transactional",IF(SUMPRODUCT(ISNUMBER(SEARCH(" "&amp;Settings!$L$5:$L$124&amp;" "," "&amp;M718&amp;" "))*(Settings!$K$5:$K$124="Commercial")*(Settings!$L$5:$L$124&lt;&gt;""))&gt;0,"Commercial",IF(SUMPRODUCT(ISNUMBER(SEARCH(" "&amp;Settings!$L$5:$L$124&amp;" "," "&amp;M718&amp;" "))*(Settings!$K$5:$K$124="Informational")*(Settings!$L$5:$L$124&lt;&gt;""))&gt;0,"Informational","Unclassified")))))</f>
        <v/>
      </c>
      <c r="O718">
        <f>IF(A718="","",IF(K718&lt;&gt;"",PROPER(K718),N718))</f>
        <v/>
      </c>
      <c r="P718">
        <f>IF(A718="","",ROUND(Settings!$B$5*MIN(1,LOG10(N(C718)+1)/LOG10(Settings!$B$7+1))+Settings!$B$6*(1-MIN(100,IF(D718="",50,N(D718)))/100)+IFERROR(INDEX(Settings!$B$10:$B$14,MATCH(O718,Settings!$A$10:$A$14,0)),0),0))</f>
        <v/>
      </c>
      <c r="Q718">
        <f>IF(OR(A718="",G718=""),"",COUNTIFS($M$3:$M$1002,M718,$G$3:$G$1002,"&lt;&gt;"&amp;SUBSTITUTE(SUBSTITUTE(G718,"?","~?"),"*","~*"),$G$3:$G$1002,"?*"))</f>
        <v/>
      </c>
      <c r="R718">
        <f>IF(Q718="","",IF(Q718&gt;0,"Yes","No"))</f>
        <v/>
      </c>
      <c r="S718">
        <f>IF(G718="","",COUNTIFS($G$3:$G$1002,SUBSTITUTE(SUBSTITUTE(G718,"?","~?"),"*","~*"),$J$3:$J$1002,"Primary"))</f>
        <v/>
      </c>
      <c r="T718">
        <f>IF(S718="","",IF(S718&gt;Settings!$B$4,"Yes","No"))</f>
        <v/>
      </c>
      <c r="U718">
        <f>IF(OR(G718="",B718=""),"",IF(COUNTIFS($G$3:$G$1002,SUBSTITUTE(SUBSTITUTE(G718,"?","~?"),"*","~*"),$B$3:$B$1002,"&lt;&gt;"&amp;SUBSTITUTE(SUBSTITUTE(B718,"?","~?"),"*","~*"),$B$3:$B$1002,"?*")&gt;0,"Yes","No"))</f>
        <v/>
      </c>
      <c r="V718">
        <f>IF(OR(G718="",I718="",O718="",O718="Unclassified"),"",IFERROR(INDEX(Settings!$E$5:$H$16,MATCH(I718,Settings!$D$5:$D$16,0),MATCH(O718,Settings!$E$4:$H$4,0)),"Check"))</f>
        <v/>
      </c>
      <c r="W718">
        <f>IF(V718="","",IF(V718="No","Yes","No"))</f>
        <v/>
      </c>
      <c r="X718">
        <f>IF(OR(E718="",G718=""),"",IF(LOWER(IF(RIGHT(TRIM(E718),1)="/",LEFT(TRIM(E718),LEN(TRIM(E718))-1),TRIM(E718)))&lt;&gt;LOWER(IF(RIGHT(TRIM(G718),1)="/",LEFT(TRIM(G718),LEN(TRIM(G718))-1),TRIM(G718))),"Yes","No"))</f>
        <v/>
      </c>
      <c r="Y718">
        <f>IF(A718="","",(N(Q718)&gt;0)+(T718="Yes")+(U718="Yes")+(W718="Yes")+(X718="Yes"))</f>
        <v/>
      </c>
      <c r="Z718">
        <f>IF(A718="","",IF(G718="","Not mapped",IF(Y718=0,"OK",MID(IF(N(Q718)&gt;0,"; Cannibalisation","")&amp;IF(T718="Yes","; Too many primary keywords on URL","")&amp;IF(U718="Yes","; URL spans 2+ clusters","")&amp;IF(W718="Yes","; Intent mismatch","")&amp;IF(X718="Yes","; Ranking URL is not the target",""),3,300))))</f>
        <v/>
      </c>
      <c r="AA718">
        <f>IF(G718="","",IF(COUNTIF($G$3:G718,SUBSTITUTE(SUBSTITUTE(G718,"?","~?"),"*","~*"))=1,MAX($AA$2:AA717)+1,""))</f>
        <v/>
      </c>
      <c r="AB718">
        <f>IF(B718="","",IF(COUNTIF($B$3:B718,SUBSTITUTE(SUBSTITUTE(B718,"?","~?"),"*","~*"))=1,MAX($AB$2:AB717)+1,""))</f>
        <v/>
      </c>
    </row>
    <row r="719">
      <c r="M719">
        <f>IF(A719="","",LOWER(TRIM(SUBSTITUTE(SUBSTITUTE(A719,"?",""),"*",""))))</f>
        <v/>
      </c>
      <c r="N719">
        <f>IF(M719="","",IF(SUMPRODUCT(ISNUMBER(SEARCH(" "&amp;Settings!$L$5:$L$124&amp;" "," "&amp;M719&amp;" "))*(Settings!$K$5:$K$124="Navigational")*(Settings!$L$5:$L$124&lt;&gt;""))&gt;0,"Navigational",IF(SUMPRODUCT(ISNUMBER(SEARCH(" "&amp;Settings!$L$5:$L$124&amp;" "," "&amp;M719&amp;" "))*(Settings!$K$5:$K$124="Transactional")*(Settings!$L$5:$L$124&lt;&gt;""))&gt;0,"Transactional",IF(SUMPRODUCT(ISNUMBER(SEARCH(" "&amp;Settings!$L$5:$L$124&amp;" "," "&amp;M719&amp;" "))*(Settings!$K$5:$K$124="Commercial")*(Settings!$L$5:$L$124&lt;&gt;""))&gt;0,"Commercial",IF(SUMPRODUCT(ISNUMBER(SEARCH(" "&amp;Settings!$L$5:$L$124&amp;" "," "&amp;M719&amp;" "))*(Settings!$K$5:$K$124="Informational")*(Settings!$L$5:$L$124&lt;&gt;""))&gt;0,"Informational","Unclassified")))))</f>
        <v/>
      </c>
      <c r="O719">
        <f>IF(A719="","",IF(K719&lt;&gt;"",PROPER(K719),N719))</f>
        <v/>
      </c>
      <c r="P719">
        <f>IF(A719="","",ROUND(Settings!$B$5*MIN(1,LOG10(N(C719)+1)/LOG10(Settings!$B$7+1))+Settings!$B$6*(1-MIN(100,IF(D719="",50,N(D719)))/100)+IFERROR(INDEX(Settings!$B$10:$B$14,MATCH(O719,Settings!$A$10:$A$14,0)),0),0))</f>
        <v/>
      </c>
      <c r="Q719">
        <f>IF(OR(A719="",G719=""),"",COUNTIFS($M$3:$M$1002,M719,$G$3:$G$1002,"&lt;&gt;"&amp;SUBSTITUTE(SUBSTITUTE(G719,"?","~?"),"*","~*"),$G$3:$G$1002,"?*"))</f>
        <v/>
      </c>
      <c r="R719">
        <f>IF(Q719="","",IF(Q719&gt;0,"Yes","No"))</f>
        <v/>
      </c>
      <c r="S719">
        <f>IF(G719="","",COUNTIFS($G$3:$G$1002,SUBSTITUTE(SUBSTITUTE(G719,"?","~?"),"*","~*"),$J$3:$J$1002,"Primary"))</f>
        <v/>
      </c>
      <c r="T719">
        <f>IF(S719="","",IF(S719&gt;Settings!$B$4,"Yes","No"))</f>
        <v/>
      </c>
      <c r="U719">
        <f>IF(OR(G719="",B719=""),"",IF(COUNTIFS($G$3:$G$1002,SUBSTITUTE(SUBSTITUTE(G719,"?","~?"),"*","~*"),$B$3:$B$1002,"&lt;&gt;"&amp;SUBSTITUTE(SUBSTITUTE(B719,"?","~?"),"*","~*"),$B$3:$B$1002,"?*")&gt;0,"Yes","No"))</f>
        <v/>
      </c>
      <c r="V719">
        <f>IF(OR(G719="",I719="",O719="",O719="Unclassified"),"",IFERROR(INDEX(Settings!$E$5:$H$16,MATCH(I719,Settings!$D$5:$D$16,0),MATCH(O719,Settings!$E$4:$H$4,0)),"Check"))</f>
        <v/>
      </c>
      <c r="W719">
        <f>IF(V719="","",IF(V719="No","Yes","No"))</f>
        <v/>
      </c>
      <c r="X719">
        <f>IF(OR(E719="",G719=""),"",IF(LOWER(IF(RIGHT(TRIM(E719),1)="/",LEFT(TRIM(E719),LEN(TRIM(E719))-1),TRIM(E719)))&lt;&gt;LOWER(IF(RIGHT(TRIM(G719),1)="/",LEFT(TRIM(G719),LEN(TRIM(G719))-1),TRIM(G719))),"Yes","No"))</f>
        <v/>
      </c>
      <c r="Y719">
        <f>IF(A719="","",(N(Q719)&gt;0)+(T719="Yes")+(U719="Yes")+(W719="Yes")+(X719="Yes"))</f>
        <v/>
      </c>
      <c r="Z719">
        <f>IF(A719="","",IF(G719="","Not mapped",IF(Y719=0,"OK",MID(IF(N(Q719)&gt;0,"; Cannibalisation","")&amp;IF(T719="Yes","; Too many primary keywords on URL","")&amp;IF(U719="Yes","; URL spans 2+ clusters","")&amp;IF(W719="Yes","; Intent mismatch","")&amp;IF(X719="Yes","; Ranking URL is not the target",""),3,300))))</f>
        <v/>
      </c>
      <c r="AA719">
        <f>IF(G719="","",IF(COUNTIF($G$3:G719,SUBSTITUTE(SUBSTITUTE(G719,"?","~?"),"*","~*"))=1,MAX($AA$2:AA718)+1,""))</f>
        <v/>
      </c>
      <c r="AB719">
        <f>IF(B719="","",IF(COUNTIF($B$3:B719,SUBSTITUTE(SUBSTITUTE(B719,"?","~?"),"*","~*"))=1,MAX($AB$2:AB718)+1,""))</f>
        <v/>
      </c>
    </row>
    <row r="720">
      <c r="M720">
        <f>IF(A720="","",LOWER(TRIM(SUBSTITUTE(SUBSTITUTE(A720,"?",""),"*",""))))</f>
        <v/>
      </c>
      <c r="N720">
        <f>IF(M720="","",IF(SUMPRODUCT(ISNUMBER(SEARCH(" "&amp;Settings!$L$5:$L$124&amp;" "," "&amp;M720&amp;" "))*(Settings!$K$5:$K$124="Navigational")*(Settings!$L$5:$L$124&lt;&gt;""))&gt;0,"Navigational",IF(SUMPRODUCT(ISNUMBER(SEARCH(" "&amp;Settings!$L$5:$L$124&amp;" "," "&amp;M720&amp;" "))*(Settings!$K$5:$K$124="Transactional")*(Settings!$L$5:$L$124&lt;&gt;""))&gt;0,"Transactional",IF(SUMPRODUCT(ISNUMBER(SEARCH(" "&amp;Settings!$L$5:$L$124&amp;" "," "&amp;M720&amp;" "))*(Settings!$K$5:$K$124="Commercial")*(Settings!$L$5:$L$124&lt;&gt;""))&gt;0,"Commercial",IF(SUMPRODUCT(ISNUMBER(SEARCH(" "&amp;Settings!$L$5:$L$124&amp;" "," "&amp;M720&amp;" "))*(Settings!$K$5:$K$124="Informational")*(Settings!$L$5:$L$124&lt;&gt;""))&gt;0,"Informational","Unclassified")))))</f>
        <v/>
      </c>
      <c r="O720">
        <f>IF(A720="","",IF(K720&lt;&gt;"",PROPER(K720),N720))</f>
        <v/>
      </c>
      <c r="P720">
        <f>IF(A720="","",ROUND(Settings!$B$5*MIN(1,LOG10(N(C720)+1)/LOG10(Settings!$B$7+1))+Settings!$B$6*(1-MIN(100,IF(D720="",50,N(D720)))/100)+IFERROR(INDEX(Settings!$B$10:$B$14,MATCH(O720,Settings!$A$10:$A$14,0)),0),0))</f>
        <v/>
      </c>
      <c r="Q720">
        <f>IF(OR(A720="",G720=""),"",COUNTIFS($M$3:$M$1002,M720,$G$3:$G$1002,"&lt;&gt;"&amp;SUBSTITUTE(SUBSTITUTE(G720,"?","~?"),"*","~*"),$G$3:$G$1002,"?*"))</f>
        <v/>
      </c>
      <c r="R720">
        <f>IF(Q720="","",IF(Q720&gt;0,"Yes","No"))</f>
        <v/>
      </c>
      <c r="S720">
        <f>IF(G720="","",COUNTIFS($G$3:$G$1002,SUBSTITUTE(SUBSTITUTE(G720,"?","~?"),"*","~*"),$J$3:$J$1002,"Primary"))</f>
        <v/>
      </c>
      <c r="T720">
        <f>IF(S720="","",IF(S720&gt;Settings!$B$4,"Yes","No"))</f>
        <v/>
      </c>
      <c r="U720">
        <f>IF(OR(G720="",B720=""),"",IF(COUNTIFS($G$3:$G$1002,SUBSTITUTE(SUBSTITUTE(G720,"?","~?"),"*","~*"),$B$3:$B$1002,"&lt;&gt;"&amp;SUBSTITUTE(SUBSTITUTE(B720,"?","~?"),"*","~*"),$B$3:$B$1002,"?*")&gt;0,"Yes","No"))</f>
        <v/>
      </c>
      <c r="V720">
        <f>IF(OR(G720="",I720="",O720="",O720="Unclassified"),"",IFERROR(INDEX(Settings!$E$5:$H$16,MATCH(I720,Settings!$D$5:$D$16,0),MATCH(O720,Settings!$E$4:$H$4,0)),"Check"))</f>
        <v/>
      </c>
      <c r="W720">
        <f>IF(V720="","",IF(V720="No","Yes","No"))</f>
        <v/>
      </c>
      <c r="X720">
        <f>IF(OR(E720="",G720=""),"",IF(LOWER(IF(RIGHT(TRIM(E720),1)="/",LEFT(TRIM(E720),LEN(TRIM(E720))-1),TRIM(E720)))&lt;&gt;LOWER(IF(RIGHT(TRIM(G720),1)="/",LEFT(TRIM(G720),LEN(TRIM(G720))-1),TRIM(G720))),"Yes","No"))</f>
        <v/>
      </c>
      <c r="Y720">
        <f>IF(A720="","",(N(Q720)&gt;0)+(T720="Yes")+(U720="Yes")+(W720="Yes")+(X720="Yes"))</f>
        <v/>
      </c>
      <c r="Z720">
        <f>IF(A720="","",IF(G720="","Not mapped",IF(Y720=0,"OK",MID(IF(N(Q720)&gt;0,"; Cannibalisation","")&amp;IF(T720="Yes","; Too many primary keywords on URL","")&amp;IF(U720="Yes","; URL spans 2+ clusters","")&amp;IF(W720="Yes","; Intent mismatch","")&amp;IF(X720="Yes","; Ranking URL is not the target",""),3,300))))</f>
        <v/>
      </c>
      <c r="AA720">
        <f>IF(G720="","",IF(COUNTIF($G$3:G720,SUBSTITUTE(SUBSTITUTE(G720,"?","~?"),"*","~*"))=1,MAX($AA$2:AA719)+1,""))</f>
        <v/>
      </c>
      <c r="AB720">
        <f>IF(B720="","",IF(COUNTIF($B$3:B720,SUBSTITUTE(SUBSTITUTE(B720,"?","~?"),"*","~*"))=1,MAX($AB$2:AB719)+1,""))</f>
        <v/>
      </c>
    </row>
    <row r="721">
      <c r="M721">
        <f>IF(A721="","",LOWER(TRIM(SUBSTITUTE(SUBSTITUTE(A721,"?",""),"*",""))))</f>
        <v/>
      </c>
      <c r="N721">
        <f>IF(M721="","",IF(SUMPRODUCT(ISNUMBER(SEARCH(" "&amp;Settings!$L$5:$L$124&amp;" "," "&amp;M721&amp;" "))*(Settings!$K$5:$K$124="Navigational")*(Settings!$L$5:$L$124&lt;&gt;""))&gt;0,"Navigational",IF(SUMPRODUCT(ISNUMBER(SEARCH(" "&amp;Settings!$L$5:$L$124&amp;" "," "&amp;M721&amp;" "))*(Settings!$K$5:$K$124="Transactional")*(Settings!$L$5:$L$124&lt;&gt;""))&gt;0,"Transactional",IF(SUMPRODUCT(ISNUMBER(SEARCH(" "&amp;Settings!$L$5:$L$124&amp;" "," "&amp;M721&amp;" "))*(Settings!$K$5:$K$124="Commercial")*(Settings!$L$5:$L$124&lt;&gt;""))&gt;0,"Commercial",IF(SUMPRODUCT(ISNUMBER(SEARCH(" "&amp;Settings!$L$5:$L$124&amp;" "," "&amp;M721&amp;" "))*(Settings!$K$5:$K$124="Informational")*(Settings!$L$5:$L$124&lt;&gt;""))&gt;0,"Informational","Unclassified")))))</f>
        <v/>
      </c>
      <c r="O721">
        <f>IF(A721="","",IF(K721&lt;&gt;"",PROPER(K721),N721))</f>
        <v/>
      </c>
      <c r="P721">
        <f>IF(A721="","",ROUND(Settings!$B$5*MIN(1,LOG10(N(C721)+1)/LOG10(Settings!$B$7+1))+Settings!$B$6*(1-MIN(100,IF(D721="",50,N(D721)))/100)+IFERROR(INDEX(Settings!$B$10:$B$14,MATCH(O721,Settings!$A$10:$A$14,0)),0),0))</f>
        <v/>
      </c>
      <c r="Q721">
        <f>IF(OR(A721="",G721=""),"",COUNTIFS($M$3:$M$1002,M721,$G$3:$G$1002,"&lt;&gt;"&amp;SUBSTITUTE(SUBSTITUTE(G721,"?","~?"),"*","~*"),$G$3:$G$1002,"?*"))</f>
        <v/>
      </c>
      <c r="R721">
        <f>IF(Q721="","",IF(Q721&gt;0,"Yes","No"))</f>
        <v/>
      </c>
      <c r="S721">
        <f>IF(G721="","",COUNTIFS($G$3:$G$1002,SUBSTITUTE(SUBSTITUTE(G721,"?","~?"),"*","~*"),$J$3:$J$1002,"Primary"))</f>
        <v/>
      </c>
      <c r="T721">
        <f>IF(S721="","",IF(S721&gt;Settings!$B$4,"Yes","No"))</f>
        <v/>
      </c>
      <c r="U721">
        <f>IF(OR(G721="",B721=""),"",IF(COUNTIFS($G$3:$G$1002,SUBSTITUTE(SUBSTITUTE(G721,"?","~?"),"*","~*"),$B$3:$B$1002,"&lt;&gt;"&amp;SUBSTITUTE(SUBSTITUTE(B721,"?","~?"),"*","~*"),$B$3:$B$1002,"?*")&gt;0,"Yes","No"))</f>
        <v/>
      </c>
      <c r="V721">
        <f>IF(OR(G721="",I721="",O721="",O721="Unclassified"),"",IFERROR(INDEX(Settings!$E$5:$H$16,MATCH(I721,Settings!$D$5:$D$16,0),MATCH(O721,Settings!$E$4:$H$4,0)),"Check"))</f>
        <v/>
      </c>
      <c r="W721">
        <f>IF(V721="","",IF(V721="No","Yes","No"))</f>
        <v/>
      </c>
      <c r="X721">
        <f>IF(OR(E721="",G721=""),"",IF(LOWER(IF(RIGHT(TRIM(E721),1)="/",LEFT(TRIM(E721),LEN(TRIM(E721))-1),TRIM(E721)))&lt;&gt;LOWER(IF(RIGHT(TRIM(G721),1)="/",LEFT(TRIM(G721),LEN(TRIM(G721))-1),TRIM(G721))),"Yes","No"))</f>
        <v/>
      </c>
      <c r="Y721">
        <f>IF(A721="","",(N(Q721)&gt;0)+(T721="Yes")+(U721="Yes")+(W721="Yes")+(X721="Yes"))</f>
        <v/>
      </c>
      <c r="Z721">
        <f>IF(A721="","",IF(G721="","Not mapped",IF(Y721=0,"OK",MID(IF(N(Q721)&gt;0,"; Cannibalisation","")&amp;IF(T721="Yes","; Too many primary keywords on URL","")&amp;IF(U721="Yes","; URL spans 2+ clusters","")&amp;IF(W721="Yes","; Intent mismatch","")&amp;IF(X721="Yes","; Ranking URL is not the target",""),3,300))))</f>
        <v/>
      </c>
      <c r="AA721">
        <f>IF(G721="","",IF(COUNTIF($G$3:G721,SUBSTITUTE(SUBSTITUTE(G721,"?","~?"),"*","~*"))=1,MAX($AA$2:AA720)+1,""))</f>
        <v/>
      </c>
      <c r="AB721">
        <f>IF(B721="","",IF(COUNTIF($B$3:B721,SUBSTITUTE(SUBSTITUTE(B721,"?","~?"),"*","~*"))=1,MAX($AB$2:AB720)+1,""))</f>
        <v/>
      </c>
    </row>
    <row r="722">
      <c r="M722">
        <f>IF(A722="","",LOWER(TRIM(SUBSTITUTE(SUBSTITUTE(A722,"?",""),"*",""))))</f>
        <v/>
      </c>
      <c r="N722">
        <f>IF(M722="","",IF(SUMPRODUCT(ISNUMBER(SEARCH(" "&amp;Settings!$L$5:$L$124&amp;" "," "&amp;M722&amp;" "))*(Settings!$K$5:$K$124="Navigational")*(Settings!$L$5:$L$124&lt;&gt;""))&gt;0,"Navigational",IF(SUMPRODUCT(ISNUMBER(SEARCH(" "&amp;Settings!$L$5:$L$124&amp;" "," "&amp;M722&amp;" "))*(Settings!$K$5:$K$124="Transactional")*(Settings!$L$5:$L$124&lt;&gt;""))&gt;0,"Transactional",IF(SUMPRODUCT(ISNUMBER(SEARCH(" "&amp;Settings!$L$5:$L$124&amp;" "," "&amp;M722&amp;" "))*(Settings!$K$5:$K$124="Commercial")*(Settings!$L$5:$L$124&lt;&gt;""))&gt;0,"Commercial",IF(SUMPRODUCT(ISNUMBER(SEARCH(" "&amp;Settings!$L$5:$L$124&amp;" "," "&amp;M722&amp;" "))*(Settings!$K$5:$K$124="Informational")*(Settings!$L$5:$L$124&lt;&gt;""))&gt;0,"Informational","Unclassified")))))</f>
        <v/>
      </c>
      <c r="O722">
        <f>IF(A722="","",IF(K722&lt;&gt;"",PROPER(K722),N722))</f>
        <v/>
      </c>
      <c r="P722">
        <f>IF(A722="","",ROUND(Settings!$B$5*MIN(1,LOG10(N(C722)+1)/LOG10(Settings!$B$7+1))+Settings!$B$6*(1-MIN(100,IF(D722="",50,N(D722)))/100)+IFERROR(INDEX(Settings!$B$10:$B$14,MATCH(O722,Settings!$A$10:$A$14,0)),0),0))</f>
        <v/>
      </c>
      <c r="Q722">
        <f>IF(OR(A722="",G722=""),"",COUNTIFS($M$3:$M$1002,M722,$G$3:$G$1002,"&lt;&gt;"&amp;SUBSTITUTE(SUBSTITUTE(G722,"?","~?"),"*","~*"),$G$3:$G$1002,"?*"))</f>
        <v/>
      </c>
      <c r="R722">
        <f>IF(Q722="","",IF(Q722&gt;0,"Yes","No"))</f>
        <v/>
      </c>
      <c r="S722">
        <f>IF(G722="","",COUNTIFS($G$3:$G$1002,SUBSTITUTE(SUBSTITUTE(G722,"?","~?"),"*","~*"),$J$3:$J$1002,"Primary"))</f>
        <v/>
      </c>
      <c r="T722">
        <f>IF(S722="","",IF(S722&gt;Settings!$B$4,"Yes","No"))</f>
        <v/>
      </c>
      <c r="U722">
        <f>IF(OR(G722="",B722=""),"",IF(COUNTIFS($G$3:$G$1002,SUBSTITUTE(SUBSTITUTE(G722,"?","~?"),"*","~*"),$B$3:$B$1002,"&lt;&gt;"&amp;SUBSTITUTE(SUBSTITUTE(B722,"?","~?"),"*","~*"),$B$3:$B$1002,"?*")&gt;0,"Yes","No"))</f>
        <v/>
      </c>
      <c r="V722">
        <f>IF(OR(G722="",I722="",O722="",O722="Unclassified"),"",IFERROR(INDEX(Settings!$E$5:$H$16,MATCH(I722,Settings!$D$5:$D$16,0),MATCH(O722,Settings!$E$4:$H$4,0)),"Check"))</f>
        <v/>
      </c>
      <c r="W722">
        <f>IF(V722="","",IF(V722="No","Yes","No"))</f>
        <v/>
      </c>
      <c r="X722">
        <f>IF(OR(E722="",G722=""),"",IF(LOWER(IF(RIGHT(TRIM(E722),1)="/",LEFT(TRIM(E722),LEN(TRIM(E722))-1),TRIM(E722)))&lt;&gt;LOWER(IF(RIGHT(TRIM(G722),1)="/",LEFT(TRIM(G722),LEN(TRIM(G722))-1),TRIM(G722))),"Yes","No"))</f>
        <v/>
      </c>
      <c r="Y722">
        <f>IF(A722="","",(N(Q722)&gt;0)+(T722="Yes")+(U722="Yes")+(W722="Yes")+(X722="Yes"))</f>
        <v/>
      </c>
      <c r="Z722">
        <f>IF(A722="","",IF(G722="","Not mapped",IF(Y722=0,"OK",MID(IF(N(Q722)&gt;0,"; Cannibalisation","")&amp;IF(T722="Yes","; Too many primary keywords on URL","")&amp;IF(U722="Yes","; URL spans 2+ clusters","")&amp;IF(W722="Yes","; Intent mismatch","")&amp;IF(X722="Yes","; Ranking URL is not the target",""),3,300))))</f>
        <v/>
      </c>
      <c r="AA722">
        <f>IF(G722="","",IF(COUNTIF($G$3:G722,SUBSTITUTE(SUBSTITUTE(G722,"?","~?"),"*","~*"))=1,MAX($AA$2:AA721)+1,""))</f>
        <v/>
      </c>
      <c r="AB722">
        <f>IF(B722="","",IF(COUNTIF($B$3:B722,SUBSTITUTE(SUBSTITUTE(B722,"?","~?"),"*","~*"))=1,MAX($AB$2:AB721)+1,""))</f>
        <v/>
      </c>
    </row>
    <row r="723">
      <c r="M723">
        <f>IF(A723="","",LOWER(TRIM(SUBSTITUTE(SUBSTITUTE(A723,"?",""),"*",""))))</f>
        <v/>
      </c>
      <c r="N723">
        <f>IF(M723="","",IF(SUMPRODUCT(ISNUMBER(SEARCH(" "&amp;Settings!$L$5:$L$124&amp;" "," "&amp;M723&amp;" "))*(Settings!$K$5:$K$124="Navigational")*(Settings!$L$5:$L$124&lt;&gt;""))&gt;0,"Navigational",IF(SUMPRODUCT(ISNUMBER(SEARCH(" "&amp;Settings!$L$5:$L$124&amp;" "," "&amp;M723&amp;" "))*(Settings!$K$5:$K$124="Transactional")*(Settings!$L$5:$L$124&lt;&gt;""))&gt;0,"Transactional",IF(SUMPRODUCT(ISNUMBER(SEARCH(" "&amp;Settings!$L$5:$L$124&amp;" "," "&amp;M723&amp;" "))*(Settings!$K$5:$K$124="Commercial")*(Settings!$L$5:$L$124&lt;&gt;""))&gt;0,"Commercial",IF(SUMPRODUCT(ISNUMBER(SEARCH(" "&amp;Settings!$L$5:$L$124&amp;" "," "&amp;M723&amp;" "))*(Settings!$K$5:$K$124="Informational")*(Settings!$L$5:$L$124&lt;&gt;""))&gt;0,"Informational","Unclassified")))))</f>
        <v/>
      </c>
      <c r="O723">
        <f>IF(A723="","",IF(K723&lt;&gt;"",PROPER(K723),N723))</f>
        <v/>
      </c>
      <c r="P723">
        <f>IF(A723="","",ROUND(Settings!$B$5*MIN(1,LOG10(N(C723)+1)/LOG10(Settings!$B$7+1))+Settings!$B$6*(1-MIN(100,IF(D723="",50,N(D723)))/100)+IFERROR(INDEX(Settings!$B$10:$B$14,MATCH(O723,Settings!$A$10:$A$14,0)),0),0))</f>
        <v/>
      </c>
      <c r="Q723">
        <f>IF(OR(A723="",G723=""),"",COUNTIFS($M$3:$M$1002,M723,$G$3:$G$1002,"&lt;&gt;"&amp;SUBSTITUTE(SUBSTITUTE(G723,"?","~?"),"*","~*"),$G$3:$G$1002,"?*"))</f>
        <v/>
      </c>
      <c r="R723">
        <f>IF(Q723="","",IF(Q723&gt;0,"Yes","No"))</f>
        <v/>
      </c>
      <c r="S723">
        <f>IF(G723="","",COUNTIFS($G$3:$G$1002,SUBSTITUTE(SUBSTITUTE(G723,"?","~?"),"*","~*"),$J$3:$J$1002,"Primary"))</f>
        <v/>
      </c>
      <c r="T723">
        <f>IF(S723="","",IF(S723&gt;Settings!$B$4,"Yes","No"))</f>
        <v/>
      </c>
      <c r="U723">
        <f>IF(OR(G723="",B723=""),"",IF(COUNTIFS($G$3:$G$1002,SUBSTITUTE(SUBSTITUTE(G723,"?","~?"),"*","~*"),$B$3:$B$1002,"&lt;&gt;"&amp;SUBSTITUTE(SUBSTITUTE(B723,"?","~?"),"*","~*"),$B$3:$B$1002,"?*")&gt;0,"Yes","No"))</f>
        <v/>
      </c>
      <c r="V723">
        <f>IF(OR(G723="",I723="",O723="",O723="Unclassified"),"",IFERROR(INDEX(Settings!$E$5:$H$16,MATCH(I723,Settings!$D$5:$D$16,0),MATCH(O723,Settings!$E$4:$H$4,0)),"Check"))</f>
        <v/>
      </c>
      <c r="W723">
        <f>IF(V723="","",IF(V723="No","Yes","No"))</f>
        <v/>
      </c>
      <c r="X723">
        <f>IF(OR(E723="",G723=""),"",IF(LOWER(IF(RIGHT(TRIM(E723),1)="/",LEFT(TRIM(E723),LEN(TRIM(E723))-1),TRIM(E723)))&lt;&gt;LOWER(IF(RIGHT(TRIM(G723),1)="/",LEFT(TRIM(G723),LEN(TRIM(G723))-1),TRIM(G723))),"Yes","No"))</f>
        <v/>
      </c>
      <c r="Y723">
        <f>IF(A723="","",(N(Q723)&gt;0)+(T723="Yes")+(U723="Yes")+(W723="Yes")+(X723="Yes"))</f>
        <v/>
      </c>
      <c r="Z723">
        <f>IF(A723="","",IF(G723="","Not mapped",IF(Y723=0,"OK",MID(IF(N(Q723)&gt;0,"; Cannibalisation","")&amp;IF(T723="Yes","; Too many primary keywords on URL","")&amp;IF(U723="Yes","; URL spans 2+ clusters","")&amp;IF(W723="Yes","; Intent mismatch","")&amp;IF(X723="Yes","; Ranking URL is not the target",""),3,300))))</f>
        <v/>
      </c>
      <c r="AA723">
        <f>IF(G723="","",IF(COUNTIF($G$3:G723,SUBSTITUTE(SUBSTITUTE(G723,"?","~?"),"*","~*"))=1,MAX($AA$2:AA722)+1,""))</f>
        <v/>
      </c>
      <c r="AB723">
        <f>IF(B723="","",IF(COUNTIF($B$3:B723,SUBSTITUTE(SUBSTITUTE(B723,"?","~?"),"*","~*"))=1,MAX($AB$2:AB722)+1,""))</f>
        <v/>
      </c>
    </row>
    <row r="724">
      <c r="M724">
        <f>IF(A724="","",LOWER(TRIM(SUBSTITUTE(SUBSTITUTE(A724,"?",""),"*",""))))</f>
        <v/>
      </c>
      <c r="N724">
        <f>IF(M724="","",IF(SUMPRODUCT(ISNUMBER(SEARCH(" "&amp;Settings!$L$5:$L$124&amp;" "," "&amp;M724&amp;" "))*(Settings!$K$5:$K$124="Navigational")*(Settings!$L$5:$L$124&lt;&gt;""))&gt;0,"Navigational",IF(SUMPRODUCT(ISNUMBER(SEARCH(" "&amp;Settings!$L$5:$L$124&amp;" "," "&amp;M724&amp;" "))*(Settings!$K$5:$K$124="Transactional")*(Settings!$L$5:$L$124&lt;&gt;""))&gt;0,"Transactional",IF(SUMPRODUCT(ISNUMBER(SEARCH(" "&amp;Settings!$L$5:$L$124&amp;" "," "&amp;M724&amp;" "))*(Settings!$K$5:$K$124="Commercial")*(Settings!$L$5:$L$124&lt;&gt;""))&gt;0,"Commercial",IF(SUMPRODUCT(ISNUMBER(SEARCH(" "&amp;Settings!$L$5:$L$124&amp;" "," "&amp;M724&amp;" "))*(Settings!$K$5:$K$124="Informational")*(Settings!$L$5:$L$124&lt;&gt;""))&gt;0,"Informational","Unclassified")))))</f>
        <v/>
      </c>
      <c r="O724">
        <f>IF(A724="","",IF(K724&lt;&gt;"",PROPER(K724),N724))</f>
        <v/>
      </c>
      <c r="P724">
        <f>IF(A724="","",ROUND(Settings!$B$5*MIN(1,LOG10(N(C724)+1)/LOG10(Settings!$B$7+1))+Settings!$B$6*(1-MIN(100,IF(D724="",50,N(D724)))/100)+IFERROR(INDEX(Settings!$B$10:$B$14,MATCH(O724,Settings!$A$10:$A$14,0)),0),0))</f>
        <v/>
      </c>
      <c r="Q724">
        <f>IF(OR(A724="",G724=""),"",COUNTIFS($M$3:$M$1002,M724,$G$3:$G$1002,"&lt;&gt;"&amp;SUBSTITUTE(SUBSTITUTE(G724,"?","~?"),"*","~*"),$G$3:$G$1002,"?*"))</f>
        <v/>
      </c>
      <c r="R724">
        <f>IF(Q724="","",IF(Q724&gt;0,"Yes","No"))</f>
        <v/>
      </c>
      <c r="S724">
        <f>IF(G724="","",COUNTIFS($G$3:$G$1002,SUBSTITUTE(SUBSTITUTE(G724,"?","~?"),"*","~*"),$J$3:$J$1002,"Primary"))</f>
        <v/>
      </c>
      <c r="T724">
        <f>IF(S724="","",IF(S724&gt;Settings!$B$4,"Yes","No"))</f>
        <v/>
      </c>
      <c r="U724">
        <f>IF(OR(G724="",B724=""),"",IF(COUNTIFS($G$3:$G$1002,SUBSTITUTE(SUBSTITUTE(G724,"?","~?"),"*","~*"),$B$3:$B$1002,"&lt;&gt;"&amp;SUBSTITUTE(SUBSTITUTE(B724,"?","~?"),"*","~*"),$B$3:$B$1002,"?*")&gt;0,"Yes","No"))</f>
        <v/>
      </c>
      <c r="V724">
        <f>IF(OR(G724="",I724="",O724="",O724="Unclassified"),"",IFERROR(INDEX(Settings!$E$5:$H$16,MATCH(I724,Settings!$D$5:$D$16,0),MATCH(O724,Settings!$E$4:$H$4,0)),"Check"))</f>
        <v/>
      </c>
      <c r="W724">
        <f>IF(V724="","",IF(V724="No","Yes","No"))</f>
        <v/>
      </c>
      <c r="X724">
        <f>IF(OR(E724="",G724=""),"",IF(LOWER(IF(RIGHT(TRIM(E724),1)="/",LEFT(TRIM(E724),LEN(TRIM(E724))-1),TRIM(E724)))&lt;&gt;LOWER(IF(RIGHT(TRIM(G724),1)="/",LEFT(TRIM(G724),LEN(TRIM(G724))-1),TRIM(G724))),"Yes","No"))</f>
        <v/>
      </c>
      <c r="Y724">
        <f>IF(A724="","",(N(Q724)&gt;0)+(T724="Yes")+(U724="Yes")+(W724="Yes")+(X724="Yes"))</f>
        <v/>
      </c>
      <c r="Z724">
        <f>IF(A724="","",IF(G724="","Not mapped",IF(Y724=0,"OK",MID(IF(N(Q724)&gt;0,"; Cannibalisation","")&amp;IF(T724="Yes","; Too many primary keywords on URL","")&amp;IF(U724="Yes","; URL spans 2+ clusters","")&amp;IF(W724="Yes","; Intent mismatch","")&amp;IF(X724="Yes","; Ranking URL is not the target",""),3,300))))</f>
        <v/>
      </c>
      <c r="AA724">
        <f>IF(G724="","",IF(COUNTIF($G$3:G724,SUBSTITUTE(SUBSTITUTE(G724,"?","~?"),"*","~*"))=1,MAX($AA$2:AA723)+1,""))</f>
        <v/>
      </c>
      <c r="AB724">
        <f>IF(B724="","",IF(COUNTIF($B$3:B724,SUBSTITUTE(SUBSTITUTE(B724,"?","~?"),"*","~*"))=1,MAX($AB$2:AB723)+1,""))</f>
        <v/>
      </c>
    </row>
    <row r="725">
      <c r="M725">
        <f>IF(A725="","",LOWER(TRIM(SUBSTITUTE(SUBSTITUTE(A725,"?",""),"*",""))))</f>
        <v/>
      </c>
      <c r="N725">
        <f>IF(M725="","",IF(SUMPRODUCT(ISNUMBER(SEARCH(" "&amp;Settings!$L$5:$L$124&amp;" "," "&amp;M725&amp;" "))*(Settings!$K$5:$K$124="Navigational")*(Settings!$L$5:$L$124&lt;&gt;""))&gt;0,"Navigational",IF(SUMPRODUCT(ISNUMBER(SEARCH(" "&amp;Settings!$L$5:$L$124&amp;" "," "&amp;M725&amp;" "))*(Settings!$K$5:$K$124="Transactional")*(Settings!$L$5:$L$124&lt;&gt;""))&gt;0,"Transactional",IF(SUMPRODUCT(ISNUMBER(SEARCH(" "&amp;Settings!$L$5:$L$124&amp;" "," "&amp;M725&amp;" "))*(Settings!$K$5:$K$124="Commercial")*(Settings!$L$5:$L$124&lt;&gt;""))&gt;0,"Commercial",IF(SUMPRODUCT(ISNUMBER(SEARCH(" "&amp;Settings!$L$5:$L$124&amp;" "," "&amp;M725&amp;" "))*(Settings!$K$5:$K$124="Informational")*(Settings!$L$5:$L$124&lt;&gt;""))&gt;0,"Informational","Unclassified")))))</f>
        <v/>
      </c>
      <c r="O725">
        <f>IF(A725="","",IF(K725&lt;&gt;"",PROPER(K725),N725))</f>
        <v/>
      </c>
      <c r="P725">
        <f>IF(A725="","",ROUND(Settings!$B$5*MIN(1,LOG10(N(C725)+1)/LOG10(Settings!$B$7+1))+Settings!$B$6*(1-MIN(100,IF(D725="",50,N(D725)))/100)+IFERROR(INDEX(Settings!$B$10:$B$14,MATCH(O725,Settings!$A$10:$A$14,0)),0),0))</f>
        <v/>
      </c>
      <c r="Q725">
        <f>IF(OR(A725="",G725=""),"",COUNTIFS($M$3:$M$1002,M725,$G$3:$G$1002,"&lt;&gt;"&amp;SUBSTITUTE(SUBSTITUTE(G725,"?","~?"),"*","~*"),$G$3:$G$1002,"?*"))</f>
        <v/>
      </c>
      <c r="R725">
        <f>IF(Q725="","",IF(Q725&gt;0,"Yes","No"))</f>
        <v/>
      </c>
      <c r="S725">
        <f>IF(G725="","",COUNTIFS($G$3:$G$1002,SUBSTITUTE(SUBSTITUTE(G725,"?","~?"),"*","~*"),$J$3:$J$1002,"Primary"))</f>
        <v/>
      </c>
      <c r="T725">
        <f>IF(S725="","",IF(S725&gt;Settings!$B$4,"Yes","No"))</f>
        <v/>
      </c>
      <c r="U725">
        <f>IF(OR(G725="",B725=""),"",IF(COUNTIFS($G$3:$G$1002,SUBSTITUTE(SUBSTITUTE(G725,"?","~?"),"*","~*"),$B$3:$B$1002,"&lt;&gt;"&amp;SUBSTITUTE(SUBSTITUTE(B725,"?","~?"),"*","~*"),$B$3:$B$1002,"?*")&gt;0,"Yes","No"))</f>
        <v/>
      </c>
      <c r="V725">
        <f>IF(OR(G725="",I725="",O725="",O725="Unclassified"),"",IFERROR(INDEX(Settings!$E$5:$H$16,MATCH(I725,Settings!$D$5:$D$16,0),MATCH(O725,Settings!$E$4:$H$4,0)),"Check"))</f>
        <v/>
      </c>
      <c r="W725">
        <f>IF(V725="","",IF(V725="No","Yes","No"))</f>
        <v/>
      </c>
      <c r="X725">
        <f>IF(OR(E725="",G725=""),"",IF(LOWER(IF(RIGHT(TRIM(E725),1)="/",LEFT(TRIM(E725),LEN(TRIM(E725))-1),TRIM(E725)))&lt;&gt;LOWER(IF(RIGHT(TRIM(G725),1)="/",LEFT(TRIM(G725),LEN(TRIM(G725))-1),TRIM(G725))),"Yes","No"))</f>
        <v/>
      </c>
      <c r="Y725">
        <f>IF(A725="","",(N(Q725)&gt;0)+(T725="Yes")+(U725="Yes")+(W725="Yes")+(X725="Yes"))</f>
        <v/>
      </c>
      <c r="Z725">
        <f>IF(A725="","",IF(G725="","Not mapped",IF(Y725=0,"OK",MID(IF(N(Q725)&gt;0,"; Cannibalisation","")&amp;IF(T725="Yes","; Too many primary keywords on URL","")&amp;IF(U725="Yes","; URL spans 2+ clusters","")&amp;IF(W725="Yes","; Intent mismatch","")&amp;IF(X725="Yes","; Ranking URL is not the target",""),3,300))))</f>
        <v/>
      </c>
      <c r="AA725">
        <f>IF(G725="","",IF(COUNTIF($G$3:G725,SUBSTITUTE(SUBSTITUTE(G725,"?","~?"),"*","~*"))=1,MAX($AA$2:AA724)+1,""))</f>
        <v/>
      </c>
      <c r="AB725">
        <f>IF(B725="","",IF(COUNTIF($B$3:B725,SUBSTITUTE(SUBSTITUTE(B725,"?","~?"),"*","~*"))=1,MAX($AB$2:AB724)+1,""))</f>
        <v/>
      </c>
    </row>
    <row r="726">
      <c r="M726">
        <f>IF(A726="","",LOWER(TRIM(SUBSTITUTE(SUBSTITUTE(A726,"?",""),"*",""))))</f>
        <v/>
      </c>
      <c r="N726">
        <f>IF(M726="","",IF(SUMPRODUCT(ISNUMBER(SEARCH(" "&amp;Settings!$L$5:$L$124&amp;" "," "&amp;M726&amp;" "))*(Settings!$K$5:$K$124="Navigational")*(Settings!$L$5:$L$124&lt;&gt;""))&gt;0,"Navigational",IF(SUMPRODUCT(ISNUMBER(SEARCH(" "&amp;Settings!$L$5:$L$124&amp;" "," "&amp;M726&amp;" "))*(Settings!$K$5:$K$124="Transactional")*(Settings!$L$5:$L$124&lt;&gt;""))&gt;0,"Transactional",IF(SUMPRODUCT(ISNUMBER(SEARCH(" "&amp;Settings!$L$5:$L$124&amp;" "," "&amp;M726&amp;" "))*(Settings!$K$5:$K$124="Commercial")*(Settings!$L$5:$L$124&lt;&gt;""))&gt;0,"Commercial",IF(SUMPRODUCT(ISNUMBER(SEARCH(" "&amp;Settings!$L$5:$L$124&amp;" "," "&amp;M726&amp;" "))*(Settings!$K$5:$K$124="Informational")*(Settings!$L$5:$L$124&lt;&gt;""))&gt;0,"Informational","Unclassified")))))</f>
        <v/>
      </c>
      <c r="O726">
        <f>IF(A726="","",IF(K726&lt;&gt;"",PROPER(K726),N726))</f>
        <v/>
      </c>
      <c r="P726">
        <f>IF(A726="","",ROUND(Settings!$B$5*MIN(1,LOG10(N(C726)+1)/LOG10(Settings!$B$7+1))+Settings!$B$6*(1-MIN(100,IF(D726="",50,N(D726)))/100)+IFERROR(INDEX(Settings!$B$10:$B$14,MATCH(O726,Settings!$A$10:$A$14,0)),0),0))</f>
        <v/>
      </c>
      <c r="Q726">
        <f>IF(OR(A726="",G726=""),"",COUNTIFS($M$3:$M$1002,M726,$G$3:$G$1002,"&lt;&gt;"&amp;SUBSTITUTE(SUBSTITUTE(G726,"?","~?"),"*","~*"),$G$3:$G$1002,"?*"))</f>
        <v/>
      </c>
      <c r="R726">
        <f>IF(Q726="","",IF(Q726&gt;0,"Yes","No"))</f>
        <v/>
      </c>
      <c r="S726">
        <f>IF(G726="","",COUNTIFS($G$3:$G$1002,SUBSTITUTE(SUBSTITUTE(G726,"?","~?"),"*","~*"),$J$3:$J$1002,"Primary"))</f>
        <v/>
      </c>
      <c r="T726">
        <f>IF(S726="","",IF(S726&gt;Settings!$B$4,"Yes","No"))</f>
        <v/>
      </c>
      <c r="U726">
        <f>IF(OR(G726="",B726=""),"",IF(COUNTIFS($G$3:$G$1002,SUBSTITUTE(SUBSTITUTE(G726,"?","~?"),"*","~*"),$B$3:$B$1002,"&lt;&gt;"&amp;SUBSTITUTE(SUBSTITUTE(B726,"?","~?"),"*","~*"),$B$3:$B$1002,"?*")&gt;0,"Yes","No"))</f>
        <v/>
      </c>
      <c r="V726">
        <f>IF(OR(G726="",I726="",O726="",O726="Unclassified"),"",IFERROR(INDEX(Settings!$E$5:$H$16,MATCH(I726,Settings!$D$5:$D$16,0),MATCH(O726,Settings!$E$4:$H$4,0)),"Check"))</f>
        <v/>
      </c>
      <c r="W726">
        <f>IF(V726="","",IF(V726="No","Yes","No"))</f>
        <v/>
      </c>
      <c r="X726">
        <f>IF(OR(E726="",G726=""),"",IF(LOWER(IF(RIGHT(TRIM(E726),1)="/",LEFT(TRIM(E726),LEN(TRIM(E726))-1),TRIM(E726)))&lt;&gt;LOWER(IF(RIGHT(TRIM(G726),1)="/",LEFT(TRIM(G726),LEN(TRIM(G726))-1),TRIM(G726))),"Yes","No"))</f>
        <v/>
      </c>
      <c r="Y726">
        <f>IF(A726="","",(N(Q726)&gt;0)+(T726="Yes")+(U726="Yes")+(W726="Yes")+(X726="Yes"))</f>
        <v/>
      </c>
      <c r="Z726">
        <f>IF(A726="","",IF(G726="","Not mapped",IF(Y726=0,"OK",MID(IF(N(Q726)&gt;0,"; Cannibalisation","")&amp;IF(T726="Yes","; Too many primary keywords on URL","")&amp;IF(U726="Yes","; URL spans 2+ clusters","")&amp;IF(W726="Yes","; Intent mismatch","")&amp;IF(X726="Yes","; Ranking URL is not the target",""),3,300))))</f>
        <v/>
      </c>
      <c r="AA726">
        <f>IF(G726="","",IF(COUNTIF($G$3:G726,SUBSTITUTE(SUBSTITUTE(G726,"?","~?"),"*","~*"))=1,MAX($AA$2:AA725)+1,""))</f>
        <v/>
      </c>
      <c r="AB726">
        <f>IF(B726="","",IF(COUNTIF($B$3:B726,SUBSTITUTE(SUBSTITUTE(B726,"?","~?"),"*","~*"))=1,MAX($AB$2:AB725)+1,""))</f>
        <v/>
      </c>
    </row>
    <row r="727">
      <c r="M727">
        <f>IF(A727="","",LOWER(TRIM(SUBSTITUTE(SUBSTITUTE(A727,"?",""),"*",""))))</f>
        <v/>
      </c>
      <c r="N727">
        <f>IF(M727="","",IF(SUMPRODUCT(ISNUMBER(SEARCH(" "&amp;Settings!$L$5:$L$124&amp;" "," "&amp;M727&amp;" "))*(Settings!$K$5:$K$124="Navigational")*(Settings!$L$5:$L$124&lt;&gt;""))&gt;0,"Navigational",IF(SUMPRODUCT(ISNUMBER(SEARCH(" "&amp;Settings!$L$5:$L$124&amp;" "," "&amp;M727&amp;" "))*(Settings!$K$5:$K$124="Transactional")*(Settings!$L$5:$L$124&lt;&gt;""))&gt;0,"Transactional",IF(SUMPRODUCT(ISNUMBER(SEARCH(" "&amp;Settings!$L$5:$L$124&amp;" "," "&amp;M727&amp;" "))*(Settings!$K$5:$K$124="Commercial")*(Settings!$L$5:$L$124&lt;&gt;""))&gt;0,"Commercial",IF(SUMPRODUCT(ISNUMBER(SEARCH(" "&amp;Settings!$L$5:$L$124&amp;" "," "&amp;M727&amp;" "))*(Settings!$K$5:$K$124="Informational")*(Settings!$L$5:$L$124&lt;&gt;""))&gt;0,"Informational","Unclassified")))))</f>
        <v/>
      </c>
      <c r="O727">
        <f>IF(A727="","",IF(K727&lt;&gt;"",PROPER(K727),N727))</f>
        <v/>
      </c>
      <c r="P727">
        <f>IF(A727="","",ROUND(Settings!$B$5*MIN(1,LOG10(N(C727)+1)/LOG10(Settings!$B$7+1))+Settings!$B$6*(1-MIN(100,IF(D727="",50,N(D727)))/100)+IFERROR(INDEX(Settings!$B$10:$B$14,MATCH(O727,Settings!$A$10:$A$14,0)),0),0))</f>
        <v/>
      </c>
      <c r="Q727">
        <f>IF(OR(A727="",G727=""),"",COUNTIFS($M$3:$M$1002,M727,$G$3:$G$1002,"&lt;&gt;"&amp;SUBSTITUTE(SUBSTITUTE(G727,"?","~?"),"*","~*"),$G$3:$G$1002,"?*"))</f>
        <v/>
      </c>
      <c r="R727">
        <f>IF(Q727="","",IF(Q727&gt;0,"Yes","No"))</f>
        <v/>
      </c>
      <c r="S727">
        <f>IF(G727="","",COUNTIFS($G$3:$G$1002,SUBSTITUTE(SUBSTITUTE(G727,"?","~?"),"*","~*"),$J$3:$J$1002,"Primary"))</f>
        <v/>
      </c>
      <c r="T727">
        <f>IF(S727="","",IF(S727&gt;Settings!$B$4,"Yes","No"))</f>
        <v/>
      </c>
      <c r="U727">
        <f>IF(OR(G727="",B727=""),"",IF(COUNTIFS($G$3:$G$1002,SUBSTITUTE(SUBSTITUTE(G727,"?","~?"),"*","~*"),$B$3:$B$1002,"&lt;&gt;"&amp;SUBSTITUTE(SUBSTITUTE(B727,"?","~?"),"*","~*"),$B$3:$B$1002,"?*")&gt;0,"Yes","No"))</f>
        <v/>
      </c>
      <c r="V727">
        <f>IF(OR(G727="",I727="",O727="",O727="Unclassified"),"",IFERROR(INDEX(Settings!$E$5:$H$16,MATCH(I727,Settings!$D$5:$D$16,0),MATCH(O727,Settings!$E$4:$H$4,0)),"Check"))</f>
        <v/>
      </c>
      <c r="W727">
        <f>IF(V727="","",IF(V727="No","Yes","No"))</f>
        <v/>
      </c>
      <c r="X727">
        <f>IF(OR(E727="",G727=""),"",IF(LOWER(IF(RIGHT(TRIM(E727),1)="/",LEFT(TRIM(E727),LEN(TRIM(E727))-1),TRIM(E727)))&lt;&gt;LOWER(IF(RIGHT(TRIM(G727),1)="/",LEFT(TRIM(G727),LEN(TRIM(G727))-1),TRIM(G727))),"Yes","No"))</f>
        <v/>
      </c>
      <c r="Y727">
        <f>IF(A727="","",(N(Q727)&gt;0)+(T727="Yes")+(U727="Yes")+(W727="Yes")+(X727="Yes"))</f>
        <v/>
      </c>
      <c r="Z727">
        <f>IF(A727="","",IF(G727="","Not mapped",IF(Y727=0,"OK",MID(IF(N(Q727)&gt;0,"; Cannibalisation","")&amp;IF(T727="Yes","; Too many primary keywords on URL","")&amp;IF(U727="Yes","; URL spans 2+ clusters","")&amp;IF(W727="Yes","; Intent mismatch","")&amp;IF(X727="Yes","; Ranking URL is not the target",""),3,300))))</f>
        <v/>
      </c>
      <c r="AA727">
        <f>IF(G727="","",IF(COUNTIF($G$3:G727,SUBSTITUTE(SUBSTITUTE(G727,"?","~?"),"*","~*"))=1,MAX($AA$2:AA726)+1,""))</f>
        <v/>
      </c>
      <c r="AB727">
        <f>IF(B727="","",IF(COUNTIF($B$3:B727,SUBSTITUTE(SUBSTITUTE(B727,"?","~?"),"*","~*"))=1,MAX($AB$2:AB726)+1,""))</f>
        <v/>
      </c>
    </row>
    <row r="728">
      <c r="M728">
        <f>IF(A728="","",LOWER(TRIM(SUBSTITUTE(SUBSTITUTE(A728,"?",""),"*",""))))</f>
        <v/>
      </c>
      <c r="N728">
        <f>IF(M728="","",IF(SUMPRODUCT(ISNUMBER(SEARCH(" "&amp;Settings!$L$5:$L$124&amp;" "," "&amp;M728&amp;" "))*(Settings!$K$5:$K$124="Navigational")*(Settings!$L$5:$L$124&lt;&gt;""))&gt;0,"Navigational",IF(SUMPRODUCT(ISNUMBER(SEARCH(" "&amp;Settings!$L$5:$L$124&amp;" "," "&amp;M728&amp;" "))*(Settings!$K$5:$K$124="Transactional")*(Settings!$L$5:$L$124&lt;&gt;""))&gt;0,"Transactional",IF(SUMPRODUCT(ISNUMBER(SEARCH(" "&amp;Settings!$L$5:$L$124&amp;" "," "&amp;M728&amp;" "))*(Settings!$K$5:$K$124="Commercial")*(Settings!$L$5:$L$124&lt;&gt;""))&gt;0,"Commercial",IF(SUMPRODUCT(ISNUMBER(SEARCH(" "&amp;Settings!$L$5:$L$124&amp;" "," "&amp;M728&amp;" "))*(Settings!$K$5:$K$124="Informational")*(Settings!$L$5:$L$124&lt;&gt;""))&gt;0,"Informational","Unclassified")))))</f>
        <v/>
      </c>
      <c r="O728">
        <f>IF(A728="","",IF(K728&lt;&gt;"",PROPER(K728),N728))</f>
        <v/>
      </c>
      <c r="P728">
        <f>IF(A728="","",ROUND(Settings!$B$5*MIN(1,LOG10(N(C728)+1)/LOG10(Settings!$B$7+1))+Settings!$B$6*(1-MIN(100,IF(D728="",50,N(D728)))/100)+IFERROR(INDEX(Settings!$B$10:$B$14,MATCH(O728,Settings!$A$10:$A$14,0)),0),0))</f>
        <v/>
      </c>
      <c r="Q728">
        <f>IF(OR(A728="",G728=""),"",COUNTIFS($M$3:$M$1002,M728,$G$3:$G$1002,"&lt;&gt;"&amp;SUBSTITUTE(SUBSTITUTE(G728,"?","~?"),"*","~*"),$G$3:$G$1002,"?*"))</f>
        <v/>
      </c>
      <c r="R728">
        <f>IF(Q728="","",IF(Q728&gt;0,"Yes","No"))</f>
        <v/>
      </c>
      <c r="S728">
        <f>IF(G728="","",COUNTIFS($G$3:$G$1002,SUBSTITUTE(SUBSTITUTE(G728,"?","~?"),"*","~*"),$J$3:$J$1002,"Primary"))</f>
        <v/>
      </c>
      <c r="T728">
        <f>IF(S728="","",IF(S728&gt;Settings!$B$4,"Yes","No"))</f>
        <v/>
      </c>
      <c r="U728">
        <f>IF(OR(G728="",B728=""),"",IF(COUNTIFS($G$3:$G$1002,SUBSTITUTE(SUBSTITUTE(G728,"?","~?"),"*","~*"),$B$3:$B$1002,"&lt;&gt;"&amp;SUBSTITUTE(SUBSTITUTE(B728,"?","~?"),"*","~*"),$B$3:$B$1002,"?*")&gt;0,"Yes","No"))</f>
        <v/>
      </c>
      <c r="V728">
        <f>IF(OR(G728="",I728="",O728="",O728="Unclassified"),"",IFERROR(INDEX(Settings!$E$5:$H$16,MATCH(I728,Settings!$D$5:$D$16,0),MATCH(O728,Settings!$E$4:$H$4,0)),"Check"))</f>
        <v/>
      </c>
      <c r="W728">
        <f>IF(V728="","",IF(V728="No","Yes","No"))</f>
        <v/>
      </c>
      <c r="X728">
        <f>IF(OR(E728="",G728=""),"",IF(LOWER(IF(RIGHT(TRIM(E728),1)="/",LEFT(TRIM(E728),LEN(TRIM(E728))-1),TRIM(E728)))&lt;&gt;LOWER(IF(RIGHT(TRIM(G728),1)="/",LEFT(TRIM(G728),LEN(TRIM(G728))-1),TRIM(G728))),"Yes","No"))</f>
        <v/>
      </c>
      <c r="Y728">
        <f>IF(A728="","",(N(Q728)&gt;0)+(T728="Yes")+(U728="Yes")+(W728="Yes")+(X728="Yes"))</f>
        <v/>
      </c>
      <c r="Z728">
        <f>IF(A728="","",IF(G728="","Not mapped",IF(Y728=0,"OK",MID(IF(N(Q728)&gt;0,"; Cannibalisation","")&amp;IF(T728="Yes","; Too many primary keywords on URL","")&amp;IF(U728="Yes","; URL spans 2+ clusters","")&amp;IF(W728="Yes","; Intent mismatch","")&amp;IF(X728="Yes","; Ranking URL is not the target",""),3,300))))</f>
        <v/>
      </c>
      <c r="AA728">
        <f>IF(G728="","",IF(COUNTIF($G$3:G728,SUBSTITUTE(SUBSTITUTE(G728,"?","~?"),"*","~*"))=1,MAX($AA$2:AA727)+1,""))</f>
        <v/>
      </c>
      <c r="AB728">
        <f>IF(B728="","",IF(COUNTIF($B$3:B728,SUBSTITUTE(SUBSTITUTE(B728,"?","~?"),"*","~*"))=1,MAX($AB$2:AB727)+1,""))</f>
        <v/>
      </c>
    </row>
    <row r="729">
      <c r="M729">
        <f>IF(A729="","",LOWER(TRIM(SUBSTITUTE(SUBSTITUTE(A729,"?",""),"*",""))))</f>
        <v/>
      </c>
      <c r="N729">
        <f>IF(M729="","",IF(SUMPRODUCT(ISNUMBER(SEARCH(" "&amp;Settings!$L$5:$L$124&amp;" "," "&amp;M729&amp;" "))*(Settings!$K$5:$K$124="Navigational")*(Settings!$L$5:$L$124&lt;&gt;""))&gt;0,"Navigational",IF(SUMPRODUCT(ISNUMBER(SEARCH(" "&amp;Settings!$L$5:$L$124&amp;" "," "&amp;M729&amp;" "))*(Settings!$K$5:$K$124="Transactional")*(Settings!$L$5:$L$124&lt;&gt;""))&gt;0,"Transactional",IF(SUMPRODUCT(ISNUMBER(SEARCH(" "&amp;Settings!$L$5:$L$124&amp;" "," "&amp;M729&amp;" "))*(Settings!$K$5:$K$124="Commercial")*(Settings!$L$5:$L$124&lt;&gt;""))&gt;0,"Commercial",IF(SUMPRODUCT(ISNUMBER(SEARCH(" "&amp;Settings!$L$5:$L$124&amp;" "," "&amp;M729&amp;" "))*(Settings!$K$5:$K$124="Informational")*(Settings!$L$5:$L$124&lt;&gt;""))&gt;0,"Informational","Unclassified")))))</f>
        <v/>
      </c>
      <c r="O729">
        <f>IF(A729="","",IF(K729&lt;&gt;"",PROPER(K729),N729))</f>
        <v/>
      </c>
      <c r="P729">
        <f>IF(A729="","",ROUND(Settings!$B$5*MIN(1,LOG10(N(C729)+1)/LOG10(Settings!$B$7+1))+Settings!$B$6*(1-MIN(100,IF(D729="",50,N(D729)))/100)+IFERROR(INDEX(Settings!$B$10:$B$14,MATCH(O729,Settings!$A$10:$A$14,0)),0),0))</f>
        <v/>
      </c>
      <c r="Q729">
        <f>IF(OR(A729="",G729=""),"",COUNTIFS($M$3:$M$1002,M729,$G$3:$G$1002,"&lt;&gt;"&amp;SUBSTITUTE(SUBSTITUTE(G729,"?","~?"),"*","~*"),$G$3:$G$1002,"?*"))</f>
        <v/>
      </c>
      <c r="R729">
        <f>IF(Q729="","",IF(Q729&gt;0,"Yes","No"))</f>
        <v/>
      </c>
      <c r="S729">
        <f>IF(G729="","",COUNTIFS($G$3:$G$1002,SUBSTITUTE(SUBSTITUTE(G729,"?","~?"),"*","~*"),$J$3:$J$1002,"Primary"))</f>
        <v/>
      </c>
      <c r="T729">
        <f>IF(S729="","",IF(S729&gt;Settings!$B$4,"Yes","No"))</f>
        <v/>
      </c>
      <c r="U729">
        <f>IF(OR(G729="",B729=""),"",IF(COUNTIFS($G$3:$G$1002,SUBSTITUTE(SUBSTITUTE(G729,"?","~?"),"*","~*"),$B$3:$B$1002,"&lt;&gt;"&amp;SUBSTITUTE(SUBSTITUTE(B729,"?","~?"),"*","~*"),$B$3:$B$1002,"?*")&gt;0,"Yes","No"))</f>
        <v/>
      </c>
      <c r="V729">
        <f>IF(OR(G729="",I729="",O729="",O729="Unclassified"),"",IFERROR(INDEX(Settings!$E$5:$H$16,MATCH(I729,Settings!$D$5:$D$16,0),MATCH(O729,Settings!$E$4:$H$4,0)),"Check"))</f>
        <v/>
      </c>
      <c r="W729">
        <f>IF(V729="","",IF(V729="No","Yes","No"))</f>
        <v/>
      </c>
      <c r="X729">
        <f>IF(OR(E729="",G729=""),"",IF(LOWER(IF(RIGHT(TRIM(E729),1)="/",LEFT(TRIM(E729),LEN(TRIM(E729))-1),TRIM(E729)))&lt;&gt;LOWER(IF(RIGHT(TRIM(G729),1)="/",LEFT(TRIM(G729),LEN(TRIM(G729))-1),TRIM(G729))),"Yes","No"))</f>
        <v/>
      </c>
      <c r="Y729">
        <f>IF(A729="","",(N(Q729)&gt;0)+(T729="Yes")+(U729="Yes")+(W729="Yes")+(X729="Yes"))</f>
        <v/>
      </c>
      <c r="Z729">
        <f>IF(A729="","",IF(G729="","Not mapped",IF(Y729=0,"OK",MID(IF(N(Q729)&gt;0,"; Cannibalisation","")&amp;IF(T729="Yes","; Too many primary keywords on URL","")&amp;IF(U729="Yes","; URL spans 2+ clusters","")&amp;IF(W729="Yes","; Intent mismatch","")&amp;IF(X729="Yes","; Ranking URL is not the target",""),3,300))))</f>
        <v/>
      </c>
      <c r="AA729">
        <f>IF(G729="","",IF(COUNTIF($G$3:G729,SUBSTITUTE(SUBSTITUTE(G729,"?","~?"),"*","~*"))=1,MAX($AA$2:AA728)+1,""))</f>
        <v/>
      </c>
      <c r="AB729">
        <f>IF(B729="","",IF(COUNTIF($B$3:B729,SUBSTITUTE(SUBSTITUTE(B729,"?","~?"),"*","~*"))=1,MAX($AB$2:AB728)+1,""))</f>
        <v/>
      </c>
    </row>
    <row r="730">
      <c r="M730">
        <f>IF(A730="","",LOWER(TRIM(SUBSTITUTE(SUBSTITUTE(A730,"?",""),"*",""))))</f>
        <v/>
      </c>
      <c r="N730">
        <f>IF(M730="","",IF(SUMPRODUCT(ISNUMBER(SEARCH(" "&amp;Settings!$L$5:$L$124&amp;" "," "&amp;M730&amp;" "))*(Settings!$K$5:$K$124="Navigational")*(Settings!$L$5:$L$124&lt;&gt;""))&gt;0,"Navigational",IF(SUMPRODUCT(ISNUMBER(SEARCH(" "&amp;Settings!$L$5:$L$124&amp;" "," "&amp;M730&amp;" "))*(Settings!$K$5:$K$124="Transactional")*(Settings!$L$5:$L$124&lt;&gt;""))&gt;0,"Transactional",IF(SUMPRODUCT(ISNUMBER(SEARCH(" "&amp;Settings!$L$5:$L$124&amp;" "," "&amp;M730&amp;" "))*(Settings!$K$5:$K$124="Commercial")*(Settings!$L$5:$L$124&lt;&gt;""))&gt;0,"Commercial",IF(SUMPRODUCT(ISNUMBER(SEARCH(" "&amp;Settings!$L$5:$L$124&amp;" "," "&amp;M730&amp;" "))*(Settings!$K$5:$K$124="Informational")*(Settings!$L$5:$L$124&lt;&gt;""))&gt;0,"Informational","Unclassified")))))</f>
        <v/>
      </c>
      <c r="O730">
        <f>IF(A730="","",IF(K730&lt;&gt;"",PROPER(K730),N730))</f>
        <v/>
      </c>
      <c r="P730">
        <f>IF(A730="","",ROUND(Settings!$B$5*MIN(1,LOG10(N(C730)+1)/LOG10(Settings!$B$7+1))+Settings!$B$6*(1-MIN(100,IF(D730="",50,N(D730)))/100)+IFERROR(INDEX(Settings!$B$10:$B$14,MATCH(O730,Settings!$A$10:$A$14,0)),0),0))</f>
        <v/>
      </c>
      <c r="Q730">
        <f>IF(OR(A730="",G730=""),"",COUNTIFS($M$3:$M$1002,M730,$G$3:$G$1002,"&lt;&gt;"&amp;SUBSTITUTE(SUBSTITUTE(G730,"?","~?"),"*","~*"),$G$3:$G$1002,"?*"))</f>
        <v/>
      </c>
      <c r="R730">
        <f>IF(Q730="","",IF(Q730&gt;0,"Yes","No"))</f>
        <v/>
      </c>
      <c r="S730">
        <f>IF(G730="","",COUNTIFS($G$3:$G$1002,SUBSTITUTE(SUBSTITUTE(G730,"?","~?"),"*","~*"),$J$3:$J$1002,"Primary"))</f>
        <v/>
      </c>
      <c r="T730">
        <f>IF(S730="","",IF(S730&gt;Settings!$B$4,"Yes","No"))</f>
        <v/>
      </c>
      <c r="U730">
        <f>IF(OR(G730="",B730=""),"",IF(COUNTIFS($G$3:$G$1002,SUBSTITUTE(SUBSTITUTE(G730,"?","~?"),"*","~*"),$B$3:$B$1002,"&lt;&gt;"&amp;SUBSTITUTE(SUBSTITUTE(B730,"?","~?"),"*","~*"),$B$3:$B$1002,"?*")&gt;0,"Yes","No"))</f>
        <v/>
      </c>
      <c r="V730">
        <f>IF(OR(G730="",I730="",O730="",O730="Unclassified"),"",IFERROR(INDEX(Settings!$E$5:$H$16,MATCH(I730,Settings!$D$5:$D$16,0),MATCH(O730,Settings!$E$4:$H$4,0)),"Check"))</f>
        <v/>
      </c>
      <c r="W730">
        <f>IF(V730="","",IF(V730="No","Yes","No"))</f>
        <v/>
      </c>
      <c r="X730">
        <f>IF(OR(E730="",G730=""),"",IF(LOWER(IF(RIGHT(TRIM(E730),1)="/",LEFT(TRIM(E730),LEN(TRIM(E730))-1),TRIM(E730)))&lt;&gt;LOWER(IF(RIGHT(TRIM(G730),1)="/",LEFT(TRIM(G730),LEN(TRIM(G730))-1),TRIM(G730))),"Yes","No"))</f>
        <v/>
      </c>
      <c r="Y730">
        <f>IF(A730="","",(N(Q730)&gt;0)+(T730="Yes")+(U730="Yes")+(W730="Yes")+(X730="Yes"))</f>
        <v/>
      </c>
      <c r="Z730">
        <f>IF(A730="","",IF(G730="","Not mapped",IF(Y730=0,"OK",MID(IF(N(Q730)&gt;0,"; Cannibalisation","")&amp;IF(T730="Yes","; Too many primary keywords on URL","")&amp;IF(U730="Yes","; URL spans 2+ clusters","")&amp;IF(W730="Yes","; Intent mismatch","")&amp;IF(X730="Yes","; Ranking URL is not the target",""),3,300))))</f>
        <v/>
      </c>
      <c r="AA730">
        <f>IF(G730="","",IF(COUNTIF($G$3:G730,SUBSTITUTE(SUBSTITUTE(G730,"?","~?"),"*","~*"))=1,MAX($AA$2:AA729)+1,""))</f>
        <v/>
      </c>
      <c r="AB730">
        <f>IF(B730="","",IF(COUNTIF($B$3:B730,SUBSTITUTE(SUBSTITUTE(B730,"?","~?"),"*","~*"))=1,MAX($AB$2:AB729)+1,""))</f>
        <v/>
      </c>
    </row>
    <row r="731">
      <c r="M731">
        <f>IF(A731="","",LOWER(TRIM(SUBSTITUTE(SUBSTITUTE(A731,"?",""),"*",""))))</f>
        <v/>
      </c>
      <c r="N731">
        <f>IF(M731="","",IF(SUMPRODUCT(ISNUMBER(SEARCH(" "&amp;Settings!$L$5:$L$124&amp;" "," "&amp;M731&amp;" "))*(Settings!$K$5:$K$124="Navigational")*(Settings!$L$5:$L$124&lt;&gt;""))&gt;0,"Navigational",IF(SUMPRODUCT(ISNUMBER(SEARCH(" "&amp;Settings!$L$5:$L$124&amp;" "," "&amp;M731&amp;" "))*(Settings!$K$5:$K$124="Transactional")*(Settings!$L$5:$L$124&lt;&gt;""))&gt;0,"Transactional",IF(SUMPRODUCT(ISNUMBER(SEARCH(" "&amp;Settings!$L$5:$L$124&amp;" "," "&amp;M731&amp;" "))*(Settings!$K$5:$K$124="Commercial")*(Settings!$L$5:$L$124&lt;&gt;""))&gt;0,"Commercial",IF(SUMPRODUCT(ISNUMBER(SEARCH(" "&amp;Settings!$L$5:$L$124&amp;" "," "&amp;M731&amp;" "))*(Settings!$K$5:$K$124="Informational")*(Settings!$L$5:$L$124&lt;&gt;""))&gt;0,"Informational","Unclassified")))))</f>
        <v/>
      </c>
      <c r="O731">
        <f>IF(A731="","",IF(K731&lt;&gt;"",PROPER(K731),N731))</f>
        <v/>
      </c>
      <c r="P731">
        <f>IF(A731="","",ROUND(Settings!$B$5*MIN(1,LOG10(N(C731)+1)/LOG10(Settings!$B$7+1))+Settings!$B$6*(1-MIN(100,IF(D731="",50,N(D731)))/100)+IFERROR(INDEX(Settings!$B$10:$B$14,MATCH(O731,Settings!$A$10:$A$14,0)),0),0))</f>
        <v/>
      </c>
      <c r="Q731">
        <f>IF(OR(A731="",G731=""),"",COUNTIFS($M$3:$M$1002,M731,$G$3:$G$1002,"&lt;&gt;"&amp;SUBSTITUTE(SUBSTITUTE(G731,"?","~?"),"*","~*"),$G$3:$G$1002,"?*"))</f>
        <v/>
      </c>
      <c r="R731">
        <f>IF(Q731="","",IF(Q731&gt;0,"Yes","No"))</f>
        <v/>
      </c>
      <c r="S731">
        <f>IF(G731="","",COUNTIFS($G$3:$G$1002,SUBSTITUTE(SUBSTITUTE(G731,"?","~?"),"*","~*"),$J$3:$J$1002,"Primary"))</f>
        <v/>
      </c>
      <c r="T731">
        <f>IF(S731="","",IF(S731&gt;Settings!$B$4,"Yes","No"))</f>
        <v/>
      </c>
      <c r="U731">
        <f>IF(OR(G731="",B731=""),"",IF(COUNTIFS($G$3:$G$1002,SUBSTITUTE(SUBSTITUTE(G731,"?","~?"),"*","~*"),$B$3:$B$1002,"&lt;&gt;"&amp;SUBSTITUTE(SUBSTITUTE(B731,"?","~?"),"*","~*"),$B$3:$B$1002,"?*")&gt;0,"Yes","No"))</f>
        <v/>
      </c>
      <c r="V731">
        <f>IF(OR(G731="",I731="",O731="",O731="Unclassified"),"",IFERROR(INDEX(Settings!$E$5:$H$16,MATCH(I731,Settings!$D$5:$D$16,0),MATCH(O731,Settings!$E$4:$H$4,0)),"Check"))</f>
        <v/>
      </c>
      <c r="W731">
        <f>IF(V731="","",IF(V731="No","Yes","No"))</f>
        <v/>
      </c>
      <c r="X731">
        <f>IF(OR(E731="",G731=""),"",IF(LOWER(IF(RIGHT(TRIM(E731),1)="/",LEFT(TRIM(E731),LEN(TRIM(E731))-1),TRIM(E731)))&lt;&gt;LOWER(IF(RIGHT(TRIM(G731),1)="/",LEFT(TRIM(G731),LEN(TRIM(G731))-1),TRIM(G731))),"Yes","No"))</f>
        <v/>
      </c>
      <c r="Y731">
        <f>IF(A731="","",(N(Q731)&gt;0)+(T731="Yes")+(U731="Yes")+(W731="Yes")+(X731="Yes"))</f>
        <v/>
      </c>
      <c r="Z731">
        <f>IF(A731="","",IF(G731="","Not mapped",IF(Y731=0,"OK",MID(IF(N(Q731)&gt;0,"; Cannibalisation","")&amp;IF(T731="Yes","; Too many primary keywords on URL","")&amp;IF(U731="Yes","; URL spans 2+ clusters","")&amp;IF(W731="Yes","; Intent mismatch","")&amp;IF(X731="Yes","; Ranking URL is not the target",""),3,300))))</f>
        <v/>
      </c>
      <c r="AA731">
        <f>IF(G731="","",IF(COUNTIF($G$3:G731,SUBSTITUTE(SUBSTITUTE(G731,"?","~?"),"*","~*"))=1,MAX($AA$2:AA730)+1,""))</f>
        <v/>
      </c>
      <c r="AB731">
        <f>IF(B731="","",IF(COUNTIF($B$3:B731,SUBSTITUTE(SUBSTITUTE(B731,"?","~?"),"*","~*"))=1,MAX($AB$2:AB730)+1,""))</f>
        <v/>
      </c>
    </row>
    <row r="732">
      <c r="M732">
        <f>IF(A732="","",LOWER(TRIM(SUBSTITUTE(SUBSTITUTE(A732,"?",""),"*",""))))</f>
        <v/>
      </c>
      <c r="N732">
        <f>IF(M732="","",IF(SUMPRODUCT(ISNUMBER(SEARCH(" "&amp;Settings!$L$5:$L$124&amp;" "," "&amp;M732&amp;" "))*(Settings!$K$5:$K$124="Navigational")*(Settings!$L$5:$L$124&lt;&gt;""))&gt;0,"Navigational",IF(SUMPRODUCT(ISNUMBER(SEARCH(" "&amp;Settings!$L$5:$L$124&amp;" "," "&amp;M732&amp;" "))*(Settings!$K$5:$K$124="Transactional")*(Settings!$L$5:$L$124&lt;&gt;""))&gt;0,"Transactional",IF(SUMPRODUCT(ISNUMBER(SEARCH(" "&amp;Settings!$L$5:$L$124&amp;" "," "&amp;M732&amp;" "))*(Settings!$K$5:$K$124="Commercial")*(Settings!$L$5:$L$124&lt;&gt;""))&gt;0,"Commercial",IF(SUMPRODUCT(ISNUMBER(SEARCH(" "&amp;Settings!$L$5:$L$124&amp;" "," "&amp;M732&amp;" "))*(Settings!$K$5:$K$124="Informational")*(Settings!$L$5:$L$124&lt;&gt;""))&gt;0,"Informational","Unclassified")))))</f>
        <v/>
      </c>
      <c r="O732">
        <f>IF(A732="","",IF(K732&lt;&gt;"",PROPER(K732),N732))</f>
        <v/>
      </c>
      <c r="P732">
        <f>IF(A732="","",ROUND(Settings!$B$5*MIN(1,LOG10(N(C732)+1)/LOG10(Settings!$B$7+1))+Settings!$B$6*(1-MIN(100,IF(D732="",50,N(D732)))/100)+IFERROR(INDEX(Settings!$B$10:$B$14,MATCH(O732,Settings!$A$10:$A$14,0)),0),0))</f>
        <v/>
      </c>
      <c r="Q732">
        <f>IF(OR(A732="",G732=""),"",COUNTIFS($M$3:$M$1002,M732,$G$3:$G$1002,"&lt;&gt;"&amp;SUBSTITUTE(SUBSTITUTE(G732,"?","~?"),"*","~*"),$G$3:$G$1002,"?*"))</f>
        <v/>
      </c>
      <c r="R732">
        <f>IF(Q732="","",IF(Q732&gt;0,"Yes","No"))</f>
        <v/>
      </c>
      <c r="S732">
        <f>IF(G732="","",COUNTIFS($G$3:$G$1002,SUBSTITUTE(SUBSTITUTE(G732,"?","~?"),"*","~*"),$J$3:$J$1002,"Primary"))</f>
        <v/>
      </c>
      <c r="T732">
        <f>IF(S732="","",IF(S732&gt;Settings!$B$4,"Yes","No"))</f>
        <v/>
      </c>
      <c r="U732">
        <f>IF(OR(G732="",B732=""),"",IF(COUNTIFS($G$3:$G$1002,SUBSTITUTE(SUBSTITUTE(G732,"?","~?"),"*","~*"),$B$3:$B$1002,"&lt;&gt;"&amp;SUBSTITUTE(SUBSTITUTE(B732,"?","~?"),"*","~*"),$B$3:$B$1002,"?*")&gt;0,"Yes","No"))</f>
        <v/>
      </c>
      <c r="V732">
        <f>IF(OR(G732="",I732="",O732="",O732="Unclassified"),"",IFERROR(INDEX(Settings!$E$5:$H$16,MATCH(I732,Settings!$D$5:$D$16,0),MATCH(O732,Settings!$E$4:$H$4,0)),"Check"))</f>
        <v/>
      </c>
      <c r="W732">
        <f>IF(V732="","",IF(V732="No","Yes","No"))</f>
        <v/>
      </c>
      <c r="X732">
        <f>IF(OR(E732="",G732=""),"",IF(LOWER(IF(RIGHT(TRIM(E732),1)="/",LEFT(TRIM(E732),LEN(TRIM(E732))-1),TRIM(E732)))&lt;&gt;LOWER(IF(RIGHT(TRIM(G732),1)="/",LEFT(TRIM(G732),LEN(TRIM(G732))-1),TRIM(G732))),"Yes","No"))</f>
        <v/>
      </c>
      <c r="Y732">
        <f>IF(A732="","",(N(Q732)&gt;0)+(T732="Yes")+(U732="Yes")+(W732="Yes")+(X732="Yes"))</f>
        <v/>
      </c>
      <c r="Z732">
        <f>IF(A732="","",IF(G732="","Not mapped",IF(Y732=0,"OK",MID(IF(N(Q732)&gt;0,"; Cannibalisation","")&amp;IF(T732="Yes","; Too many primary keywords on URL","")&amp;IF(U732="Yes","; URL spans 2+ clusters","")&amp;IF(W732="Yes","; Intent mismatch","")&amp;IF(X732="Yes","; Ranking URL is not the target",""),3,300))))</f>
        <v/>
      </c>
      <c r="AA732">
        <f>IF(G732="","",IF(COUNTIF($G$3:G732,SUBSTITUTE(SUBSTITUTE(G732,"?","~?"),"*","~*"))=1,MAX($AA$2:AA731)+1,""))</f>
        <v/>
      </c>
      <c r="AB732">
        <f>IF(B732="","",IF(COUNTIF($B$3:B732,SUBSTITUTE(SUBSTITUTE(B732,"?","~?"),"*","~*"))=1,MAX($AB$2:AB731)+1,""))</f>
        <v/>
      </c>
    </row>
    <row r="733">
      <c r="M733">
        <f>IF(A733="","",LOWER(TRIM(SUBSTITUTE(SUBSTITUTE(A733,"?",""),"*",""))))</f>
        <v/>
      </c>
      <c r="N733">
        <f>IF(M733="","",IF(SUMPRODUCT(ISNUMBER(SEARCH(" "&amp;Settings!$L$5:$L$124&amp;" "," "&amp;M733&amp;" "))*(Settings!$K$5:$K$124="Navigational")*(Settings!$L$5:$L$124&lt;&gt;""))&gt;0,"Navigational",IF(SUMPRODUCT(ISNUMBER(SEARCH(" "&amp;Settings!$L$5:$L$124&amp;" "," "&amp;M733&amp;" "))*(Settings!$K$5:$K$124="Transactional")*(Settings!$L$5:$L$124&lt;&gt;""))&gt;0,"Transactional",IF(SUMPRODUCT(ISNUMBER(SEARCH(" "&amp;Settings!$L$5:$L$124&amp;" "," "&amp;M733&amp;" "))*(Settings!$K$5:$K$124="Commercial")*(Settings!$L$5:$L$124&lt;&gt;""))&gt;0,"Commercial",IF(SUMPRODUCT(ISNUMBER(SEARCH(" "&amp;Settings!$L$5:$L$124&amp;" "," "&amp;M733&amp;" "))*(Settings!$K$5:$K$124="Informational")*(Settings!$L$5:$L$124&lt;&gt;""))&gt;0,"Informational","Unclassified")))))</f>
        <v/>
      </c>
      <c r="O733">
        <f>IF(A733="","",IF(K733&lt;&gt;"",PROPER(K733),N733))</f>
        <v/>
      </c>
      <c r="P733">
        <f>IF(A733="","",ROUND(Settings!$B$5*MIN(1,LOG10(N(C733)+1)/LOG10(Settings!$B$7+1))+Settings!$B$6*(1-MIN(100,IF(D733="",50,N(D733)))/100)+IFERROR(INDEX(Settings!$B$10:$B$14,MATCH(O733,Settings!$A$10:$A$14,0)),0),0))</f>
        <v/>
      </c>
      <c r="Q733">
        <f>IF(OR(A733="",G733=""),"",COUNTIFS($M$3:$M$1002,M733,$G$3:$G$1002,"&lt;&gt;"&amp;SUBSTITUTE(SUBSTITUTE(G733,"?","~?"),"*","~*"),$G$3:$G$1002,"?*"))</f>
        <v/>
      </c>
      <c r="R733">
        <f>IF(Q733="","",IF(Q733&gt;0,"Yes","No"))</f>
        <v/>
      </c>
      <c r="S733">
        <f>IF(G733="","",COUNTIFS($G$3:$G$1002,SUBSTITUTE(SUBSTITUTE(G733,"?","~?"),"*","~*"),$J$3:$J$1002,"Primary"))</f>
        <v/>
      </c>
      <c r="T733">
        <f>IF(S733="","",IF(S733&gt;Settings!$B$4,"Yes","No"))</f>
        <v/>
      </c>
      <c r="U733">
        <f>IF(OR(G733="",B733=""),"",IF(COUNTIFS($G$3:$G$1002,SUBSTITUTE(SUBSTITUTE(G733,"?","~?"),"*","~*"),$B$3:$B$1002,"&lt;&gt;"&amp;SUBSTITUTE(SUBSTITUTE(B733,"?","~?"),"*","~*"),$B$3:$B$1002,"?*")&gt;0,"Yes","No"))</f>
        <v/>
      </c>
      <c r="V733">
        <f>IF(OR(G733="",I733="",O733="",O733="Unclassified"),"",IFERROR(INDEX(Settings!$E$5:$H$16,MATCH(I733,Settings!$D$5:$D$16,0),MATCH(O733,Settings!$E$4:$H$4,0)),"Check"))</f>
        <v/>
      </c>
      <c r="W733">
        <f>IF(V733="","",IF(V733="No","Yes","No"))</f>
        <v/>
      </c>
      <c r="X733">
        <f>IF(OR(E733="",G733=""),"",IF(LOWER(IF(RIGHT(TRIM(E733),1)="/",LEFT(TRIM(E733),LEN(TRIM(E733))-1),TRIM(E733)))&lt;&gt;LOWER(IF(RIGHT(TRIM(G733),1)="/",LEFT(TRIM(G733),LEN(TRIM(G733))-1),TRIM(G733))),"Yes","No"))</f>
        <v/>
      </c>
      <c r="Y733">
        <f>IF(A733="","",(N(Q733)&gt;0)+(T733="Yes")+(U733="Yes")+(W733="Yes")+(X733="Yes"))</f>
        <v/>
      </c>
      <c r="Z733">
        <f>IF(A733="","",IF(G733="","Not mapped",IF(Y733=0,"OK",MID(IF(N(Q733)&gt;0,"; Cannibalisation","")&amp;IF(T733="Yes","; Too many primary keywords on URL","")&amp;IF(U733="Yes","; URL spans 2+ clusters","")&amp;IF(W733="Yes","; Intent mismatch","")&amp;IF(X733="Yes","; Ranking URL is not the target",""),3,300))))</f>
        <v/>
      </c>
      <c r="AA733">
        <f>IF(G733="","",IF(COUNTIF($G$3:G733,SUBSTITUTE(SUBSTITUTE(G733,"?","~?"),"*","~*"))=1,MAX($AA$2:AA732)+1,""))</f>
        <v/>
      </c>
      <c r="AB733">
        <f>IF(B733="","",IF(COUNTIF($B$3:B733,SUBSTITUTE(SUBSTITUTE(B733,"?","~?"),"*","~*"))=1,MAX($AB$2:AB732)+1,""))</f>
        <v/>
      </c>
    </row>
    <row r="734">
      <c r="M734">
        <f>IF(A734="","",LOWER(TRIM(SUBSTITUTE(SUBSTITUTE(A734,"?",""),"*",""))))</f>
        <v/>
      </c>
      <c r="N734">
        <f>IF(M734="","",IF(SUMPRODUCT(ISNUMBER(SEARCH(" "&amp;Settings!$L$5:$L$124&amp;" "," "&amp;M734&amp;" "))*(Settings!$K$5:$K$124="Navigational")*(Settings!$L$5:$L$124&lt;&gt;""))&gt;0,"Navigational",IF(SUMPRODUCT(ISNUMBER(SEARCH(" "&amp;Settings!$L$5:$L$124&amp;" "," "&amp;M734&amp;" "))*(Settings!$K$5:$K$124="Transactional")*(Settings!$L$5:$L$124&lt;&gt;""))&gt;0,"Transactional",IF(SUMPRODUCT(ISNUMBER(SEARCH(" "&amp;Settings!$L$5:$L$124&amp;" "," "&amp;M734&amp;" "))*(Settings!$K$5:$K$124="Commercial")*(Settings!$L$5:$L$124&lt;&gt;""))&gt;0,"Commercial",IF(SUMPRODUCT(ISNUMBER(SEARCH(" "&amp;Settings!$L$5:$L$124&amp;" "," "&amp;M734&amp;" "))*(Settings!$K$5:$K$124="Informational")*(Settings!$L$5:$L$124&lt;&gt;""))&gt;0,"Informational","Unclassified")))))</f>
        <v/>
      </c>
      <c r="O734">
        <f>IF(A734="","",IF(K734&lt;&gt;"",PROPER(K734),N734))</f>
        <v/>
      </c>
      <c r="P734">
        <f>IF(A734="","",ROUND(Settings!$B$5*MIN(1,LOG10(N(C734)+1)/LOG10(Settings!$B$7+1))+Settings!$B$6*(1-MIN(100,IF(D734="",50,N(D734)))/100)+IFERROR(INDEX(Settings!$B$10:$B$14,MATCH(O734,Settings!$A$10:$A$14,0)),0),0))</f>
        <v/>
      </c>
      <c r="Q734">
        <f>IF(OR(A734="",G734=""),"",COUNTIFS($M$3:$M$1002,M734,$G$3:$G$1002,"&lt;&gt;"&amp;SUBSTITUTE(SUBSTITUTE(G734,"?","~?"),"*","~*"),$G$3:$G$1002,"?*"))</f>
        <v/>
      </c>
      <c r="R734">
        <f>IF(Q734="","",IF(Q734&gt;0,"Yes","No"))</f>
        <v/>
      </c>
      <c r="S734">
        <f>IF(G734="","",COUNTIFS($G$3:$G$1002,SUBSTITUTE(SUBSTITUTE(G734,"?","~?"),"*","~*"),$J$3:$J$1002,"Primary"))</f>
        <v/>
      </c>
      <c r="T734">
        <f>IF(S734="","",IF(S734&gt;Settings!$B$4,"Yes","No"))</f>
        <v/>
      </c>
      <c r="U734">
        <f>IF(OR(G734="",B734=""),"",IF(COUNTIFS($G$3:$G$1002,SUBSTITUTE(SUBSTITUTE(G734,"?","~?"),"*","~*"),$B$3:$B$1002,"&lt;&gt;"&amp;SUBSTITUTE(SUBSTITUTE(B734,"?","~?"),"*","~*"),$B$3:$B$1002,"?*")&gt;0,"Yes","No"))</f>
        <v/>
      </c>
      <c r="V734">
        <f>IF(OR(G734="",I734="",O734="",O734="Unclassified"),"",IFERROR(INDEX(Settings!$E$5:$H$16,MATCH(I734,Settings!$D$5:$D$16,0),MATCH(O734,Settings!$E$4:$H$4,0)),"Check"))</f>
        <v/>
      </c>
      <c r="W734">
        <f>IF(V734="","",IF(V734="No","Yes","No"))</f>
        <v/>
      </c>
      <c r="X734">
        <f>IF(OR(E734="",G734=""),"",IF(LOWER(IF(RIGHT(TRIM(E734),1)="/",LEFT(TRIM(E734),LEN(TRIM(E734))-1),TRIM(E734)))&lt;&gt;LOWER(IF(RIGHT(TRIM(G734),1)="/",LEFT(TRIM(G734),LEN(TRIM(G734))-1),TRIM(G734))),"Yes","No"))</f>
        <v/>
      </c>
      <c r="Y734">
        <f>IF(A734="","",(N(Q734)&gt;0)+(T734="Yes")+(U734="Yes")+(W734="Yes")+(X734="Yes"))</f>
        <v/>
      </c>
      <c r="Z734">
        <f>IF(A734="","",IF(G734="","Not mapped",IF(Y734=0,"OK",MID(IF(N(Q734)&gt;0,"; Cannibalisation","")&amp;IF(T734="Yes","; Too many primary keywords on URL","")&amp;IF(U734="Yes","; URL spans 2+ clusters","")&amp;IF(W734="Yes","; Intent mismatch","")&amp;IF(X734="Yes","; Ranking URL is not the target",""),3,300))))</f>
        <v/>
      </c>
      <c r="AA734">
        <f>IF(G734="","",IF(COUNTIF($G$3:G734,SUBSTITUTE(SUBSTITUTE(G734,"?","~?"),"*","~*"))=1,MAX($AA$2:AA733)+1,""))</f>
        <v/>
      </c>
      <c r="AB734">
        <f>IF(B734="","",IF(COUNTIF($B$3:B734,SUBSTITUTE(SUBSTITUTE(B734,"?","~?"),"*","~*"))=1,MAX($AB$2:AB733)+1,""))</f>
        <v/>
      </c>
    </row>
    <row r="735">
      <c r="M735">
        <f>IF(A735="","",LOWER(TRIM(SUBSTITUTE(SUBSTITUTE(A735,"?",""),"*",""))))</f>
        <v/>
      </c>
      <c r="N735">
        <f>IF(M735="","",IF(SUMPRODUCT(ISNUMBER(SEARCH(" "&amp;Settings!$L$5:$L$124&amp;" "," "&amp;M735&amp;" "))*(Settings!$K$5:$K$124="Navigational")*(Settings!$L$5:$L$124&lt;&gt;""))&gt;0,"Navigational",IF(SUMPRODUCT(ISNUMBER(SEARCH(" "&amp;Settings!$L$5:$L$124&amp;" "," "&amp;M735&amp;" "))*(Settings!$K$5:$K$124="Transactional")*(Settings!$L$5:$L$124&lt;&gt;""))&gt;0,"Transactional",IF(SUMPRODUCT(ISNUMBER(SEARCH(" "&amp;Settings!$L$5:$L$124&amp;" "," "&amp;M735&amp;" "))*(Settings!$K$5:$K$124="Commercial")*(Settings!$L$5:$L$124&lt;&gt;""))&gt;0,"Commercial",IF(SUMPRODUCT(ISNUMBER(SEARCH(" "&amp;Settings!$L$5:$L$124&amp;" "," "&amp;M735&amp;" "))*(Settings!$K$5:$K$124="Informational")*(Settings!$L$5:$L$124&lt;&gt;""))&gt;0,"Informational","Unclassified")))))</f>
        <v/>
      </c>
      <c r="O735">
        <f>IF(A735="","",IF(K735&lt;&gt;"",PROPER(K735),N735))</f>
        <v/>
      </c>
      <c r="P735">
        <f>IF(A735="","",ROUND(Settings!$B$5*MIN(1,LOG10(N(C735)+1)/LOG10(Settings!$B$7+1))+Settings!$B$6*(1-MIN(100,IF(D735="",50,N(D735)))/100)+IFERROR(INDEX(Settings!$B$10:$B$14,MATCH(O735,Settings!$A$10:$A$14,0)),0),0))</f>
        <v/>
      </c>
      <c r="Q735">
        <f>IF(OR(A735="",G735=""),"",COUNTIFS($M$3:$M$1002,M735,$G$3:$G$1002,"&lt;&gt;"&amp;SUBSTITUTE(SUBSTITUTE(G735,"?","~?"),"*","~*"),$G$3:$G$1002,"?*"))</f>
        <v/>
      </c>
      <c r="R735">
        <f>IF(Q735="","",IF(Q735&gt;0,"Yes","No"))</f>
        <v/>
      </c>
      <c r="S735">
        <f>IF(G735="","",COUNTIFS($G$3:$G$1002,SUBSTITUTE(SUBSTITUTE(G735,"?","~?"),"*","~*"),$J$3:$J$1002,"Primary"))</f>
        <v/>
      </c>
      <c r="T735">
        <f>IF(S735="","",IF(S735&gt;Settings!$B$4,"Yes","No"))</f>
        <v/>
      </c>
      <c r="U735">
        <f>IF(OR(G735="",B735=""),"",IF(COUNTIFS($G$3:$G$1002,SUBSTITUTE(SUBSTITUTE(G735,"?","~?"),"*","~*"),$B$3:$B$1002,"&lt;&gt;"&amp;SUBSTITUTE(SUBSTITUTE(B735,"?","~?"),"*","~*"),$B$3:$B$1002,"?*")&gt;0,"Yes","No"))</f>
        <v/>
      </c>
      <c r="V735">
        <f>IF(OR(G735="",I735="",O735="",O735="Unclassified"),"",IFERROR(INDEX(Settings!$E$5:$H$16,MATCH(I735,Settings!$D$5:$D$16,0),MATCH(O735,Settings!$E$4:$H$4,0)),"Check"))</f>
        <v/>
      </c>
      <c r="W735">
        <f>IF(V735="","",IF(V735="No","Yes","No"))</f>
        <v/>
      </c>
      <c r="X735">
        <f>IF(OR(E735="",G735=""),"",IF(LOWER(IF(RIGHT(TRIM(E735),1)="/",LEFT(TRIM(E735),LEN(TRIM(E735))-1),TRIM(E735)))&lt;&gt;LOWER(IF(RIGHT(TRIM(G735),1)="/",LEFT(TRIM(G735),LEN(TRIM(G735))-1),TRIM(G735))),"Yes","No"))</f>
        <v/>
      </c>
      <c r="Y735">
        <f>IF(A735="","",(N(Q735)&gt;0)+(T735="Yes")+(U735="Yes")+(W735="Yes")+(X735="Yes"))</f>
        <v/>
      </c>
      <c r="Z735">
        <f>IF(A735="","",IF(G735="","Not mapped",IF(Y735=0,"OK",MID(IF(N(Q735)&gt;0,"; Cannibalisation","")&amp;IF(T735="Yes","; Too many primary keywords on URL","")&amp;IF(U735="Yes","; URL spans 2+ clusters","")&amp;IF(W735="Yes","; Intent mismatch","")&amp;IF(X735="Yes","; Ranking URL is not the target",""),3,300))))</f>
        <v/>
      </c>
      <c r="AA735">
        <f>IF(G735="","",IF(COUNTIF($G$3:G735,SUBSTITUTE(SUBSTITUTE(G735,"?","~?"),"*","~*"))=1,MAX($AA$2:AA734)+1,""))</f>
        <v/>
      </c>
      <c r="AB735">
        <f>IF(B735="","",IF(COUNTIF($B$3:B735,SUBSTITUTE(SUBSTITUTE(B735,"?","~?"),"*","~*"))=1,MAX($AB$2:AB734)+1,""))</f>
        <v/>
      </c>
    </row>
    <row r="736">
      <c r="M736">
        <f>IF(A736="","",LOWER(TRIM(SUBSTITUTE(SUBSTITUTE(A736,"?",""),"*",""))))</f>
        <v/>
      </c>
      <c r="N736">
        <f>IF(M736="","",IF(SUMPRODUCT(ISNUMBER(SEARCH(" "&amp;Settings!$L$5:$L$124&amp;" "," "&amp;M736&amp;" "))*(Settings!$K$5:$K$124="Navigational")*(Settings!$L$5:$L$124&lt;&gt;""))&gt;0,"Navigational",IF(SUMPRODUCT(ISNUMBER(SEARCH(" "&amp;Settings!$L$5:$L$124&amp;" "," "&amp;M736&amp;" "))*(Settings!$K$5:$K$124="Transactional")*(Settings!$L$5:$L$124&lt;&gt;""))&gt;0,"Transactional",IF(SUMPRODUCT(ISNUMBER(SEARCH(" "&amp;Settings!$L$5:$L$124&amp;" "," "&amp;M736&amp;" "))*(Settings!$K$5:$K$124="Commercial")*(Settings!$L$5:$L$124&lt;&gt;""))&gt;0,"Commercial",IF(SUMPRODUCT(ISNUMBER(SEARCH(" "&amp;Settings!$L$5:$L$124&amp;" "," "&amp;M736&amp;" "))*(Settings!$K$5:$K$124="Informational")*(Settings!$L$5:$L$124&lt;&gt;""))&gt;0,"Informational","Unclassified")))))</f>
        <v/>
      </c>
      <c r="O736">
        <f>IF(A736="","",IF(K736&lt;&gt;"",PROPER(K736),N736))</f>
        <v/>
      </c>
      <c r="P736">
        <f>IF(A736="","",ROUND(Settings!$B$5*MIN(1,LOG10(N(C736)+1)/LOG10(Settings!$B$7+1))+Settings!$B$6*(1-MIN(100,IF(D736="",50,N(D736)))/100)+IFERROR(INDEX(Settings!$B$10:$B$14,MATCH(O736,Settings!$A$10:$A$14,0)),0),0))</f>
        <v/>
      </c>
      <c r="Q736">
        <f>IF(OR(A736="",G736=""),"",COUNTIFS($M$3:$M$1002,M736,$G$3:$G$1002,"&lt;&gt;"&amp;SUBSTITUTE(SUBSTITUTE(G736,"?","~?"),"*","~*"),$G$3:$G$1002,"?*"))</f>
        <v/>
      </c>
      <c r="R736">
        <f>IF(Q736="","",IF(Q736&gt;0,"Yes","No"))</f>
        <v/>
      </c>
      <c r="S736">
        <f>IF(G736="","",COUNTIFS($G$3:$G$1002,SUBSTITUTE(SUBSTITUTE(G736,"?","~?"),"*","~*"),$J$3:$J$1002,"Primary"))</f>
        <v/>
      </c>
      <c r="T736">
        <f>IF(S736="","",IF(S736&gt;Settings!$B$4,"Yes","No"))</f>
        <v/>
      </c>
      <c r="U736">
        <f>IF(OR(G736="",B736=""),"",IF(COUNTIFS($G$3:$G$1002,SUBSTITUTE(SUBSTITUTE(G736,"?","~?"),"*","~*"),$B$3:$B$1002,"&lt;&gt;"&amp;SUBSTITUTE(SUBSTITUTE(B736,"?","~?"),"*","~*"),$B$3:$B$1002,"?*")&gt;0,"Yes","No"))</f>
        <v/>
      </c>
      <c r="V736">
        <f>IF(OR(G736="",I736="",O736="",O736="Unclassified"),"",IFERROR(INDEX(Settings!$E$5:$H$16,MATCH(I736,Settings!$D$5:$D$16,0),MATCH(O736,Settings!$E$4:$H$4,0)),"Check"))</f>
        <v/>
      </c>
      <c r="W736">
        <f>IF(V736="","",IF(V736="No","Yes","No"))</f>
        <v/>
      </c>
      <c r="X736">
        <f>IF(OR(E736="",G736=""),"",IF(LOWER(IF(RIGHT(TRIM(E736),1)="/",LEFT(TRIM(E736),LEN(TRIM(E736))-1),TRIM(E736)))&lt;&gt;LOWER(IF(RIGHT(TRIM(G736),1)="/",LEFT(TRIM(G736),LEN(TRIM(G736))-1),TRIM(G736))),"Yes","No"))</f>
        <v/>
      </c>
      <c r="Y736">
        <f>IF(A736="","",(N(Q736)&gt;0)+(T736="Yes")+(U736="Yes")+(W736="Yes")+(X736="Yes"))</f>
        <v/>
      </c>
      <c r="Z736">
        <f>IF(A736="","",IF(G736="","Not mapped",IF(Y736=0,"OK",MID(IF(N(Q736)&gt;0,"; Cannibalisation","")&amp;IF(T736="Yes","; Too many primary keywords on URL","")&amp;IF(U736="Yes","; URL spans 2+ clusters","")&amp;IF(W736="Yes","; Intent mismatch","")&amp;IF(X736="Yes","; Ranking URL is not the target",""),3,300))))</f>
        <v/>
      </c>
      <c r="AA736">
        <f>IF(G736="","",IF(COUNTIF($G$3:G736,SUBSTITUTE(SUBSTITUTE(G736,"?","~?"),"*","~*"))=1,MAX($AA$2:AA735)+1,""))</f>
        <v/>
      </c>
      <c r="AB736">
        <f>IF(B736="","",IF(COUNTIF($B$3:B736,SUBSTITUTE(SUBSTITUTE(B736,"?","~?"),"*","~*"))=1,MAX($AB$2:AB735)+1,""))</f>
        <v/>
      </c>
    </row>
    <row r="737">
      <c r="M737">
        <f>IF(A737="","",LOWER(TRIM(SUBSTITUTE(SUBSTITUTE(A737,"?",""),"*",""))))</f>
        <v/>
      </c>
      <c r="N737">
        <f>IF(M737="","",IF(SUMPRODUCT(ISNUMBER(SEARCH(" "&amp;Settings!$L$5:$L$124&amp;" "," "&amp;M737&amp;" "))*(Settings!$K$5:$K$124="Navigational")*(Settings!$L$5:$L$124&lt;&gt;""))&gt;0,"Navigational",IF(SUMPRODUCT(ISNUMBER(SEARCH(" "&amp;Settings!$L$5:$L$124&amp;" "," "&amp;M737&amp;" "))*(Settings!$K$5:$K$124="Transactional")*(Settings!$L$5:$L$124&lt;&gt;""))&gt;0,"Transactional",IF(SUMPRODUCT(ISNUMBER(SEARCH(" "&amp;Settings!$L$5:$L$124&amp;" "," "&amp;M737&amp;" "))*(Settings!$K$5:$K$124="Commercial")*(Settings!$L$5:$L$124&lt;&gt;""))&gt;0,"Commercial",IF(SUMPRODUCT(ISNUMBER(SEARCH(" "&amp;Settings!$L$5:$L$124&amp;" "," "&amp;M737&amp;" "))*(Settings!$K$5:$K$124="Informational")*(Settings!$L$5:$L$124&lt;&gt;""))&gt;0,"Informational","Unclassified")))))</f>
        <v/>
      </c>
      <c r="O737">
        <f>IF(A737="","",IF(K737&lt;&gt;"",PROPER(K737),N737))</f>
        <v/>
      </c>
      <c r="P737">
        <f>IF(A737="","",ROUND(Settings!$B$5*MIN(1,LOG10(N(C737)+1)/LOG10(Settings!$B$7+1))+Settings!$B$6*(1-MIN(100,IF(D737="",50,N(D737)))/100)+IFERROR(INDEX(Settings!$B$10:$B$14,MATCH(O737,Settings!$A$10:$A$14,0)),0),0))</f>
        <v/>
      </c>
      <c r="Q737">
        <f>IF(OR(A737="",G737=""),"",COUNTIFS($M$3:$M$1002,M737,$G$3:$G$1002,"&lt;&gt;"&amp;SUBSTITUTE(SUBSTITUTE(G737,"?","~?"),"*","~*"),$G$3:$G$1002,"?*"))</f>
        <v/>
      </c>
      <c r="R737">
        <f>IF(Q737="","",IF(Q737&gt;0,"Yes","No"))</f>
        <v/>
      </c>
      <c r="S737">
        <f>IF(G737="","",COUNTIFS($G$3:$G$1002,SUBSTITUTE(SUBSTITUTE(G737,"?","~?"),"*","~*"),$J$3:$J$1002,"Primary"))</f>
        <v/>
      </c>
      <c r="T737">
        <f>IF(S737="","",IF(S737&gt;Settings!$B$4,"Yes","No"))</f>
        <v/>
      </c>
      <c r="U737">
        <f>IF(OR(G737="",B737=""),"",IF(COUNTIFS($G$3:$G$1002,SUBSTITUTE(SUBSTITUTE(G737,"?","~?"),"*","~*"),$B$3:$B$1002,"&lt;&gt;"&amp;SUBSTITUTE(SUBSTITUTE(B737,"?","~?"),"*","~*"),$B$3:$B$1002,"?*")&gt;0,"Yes","No"))</f>
        <v/>
      </c>
      <c r="V737">
        <f>IF(OR(G737="",I737="",O737="",O737="Unclassified"),"",IFERROR(INDEX(Settings!$E$5:$H$16,MATCH(I737,Settings!$D$5:$D$16,0),MATCH(O737,Settings!$E$4:$H$4,0)),"Check"))</f>
        <v/>
      </c>
      <c r="W737">
        <f>IF(V737="","",IF(V737="No","Yes","No"))</f>
        <v/>
      </c>
      <c r="X737">
        <f>IF(OR(E737="",G737=""),"",IF(LOWER(IF(RIGHT(TRIM(E737),1)="/",LEFT(TRIM(E737),LEN(TRIM(E737))-1),TRIM(E737)))&lt;&gt;LOWER(IF(RIGHT(TRIM(G737),1)="/",LEFT(TRIM(G737),LEN(TRIM(G737))-1),TRIM(G737))),"Yes","No"))</f>
        <v/>
      </c>
      <c r="Y737">
        <f>IF(A737="","",(N(Q737)&gt;0)+(T737="Yes")+(U737="Yes")+(W737="Yes")+(X737="Yes"))</f>
        <v/>
      </c>
      <c r="Z737">
        <f>IF(A737="","",IF(G737="","Not mapped",IF(Y737=0,"OK",MID(IF(N(Q737)&gt;0,"; Cannibalisation","")&amp;IF(T737="Yes","; Too many primary keywords on URL","")&amp;IF(U737="Yes","; URL spans 2+ clusters","")&amp;IF(W737="Yes","; Intent mismatch","")&amp;IF(X737="Yes","; Ranking URL is not the target",""),3,300))))</f>
        <v/>
      </c>
      <c r="AA737">
        <f>IF(G737="","",IF(COUNTIF($G$3:G737,SUBSTITUTE(SUBSTITUTE(G737,"?","~?"),"*","~*"))=1,MAX($AA$2:AA736)+1,""))</f>
        <v/>
      </c>
      <c r="AB737">
        <f>IF(B737="","",IF(COUNTIF($B$3:B737,SUBSTITUTE(SUBSTITUTE(B737,"?","~?"),"*","~*"))=1,MAX($AB$2:AB736)+1,""))</f>
        <v/>
      </c>
    </row>
    <row r="738">
      <c r="M738">
        <f>IF(A738="","",LOWER(TRIM(SUBSTITUTE(SUBSTITUTE(A738,"?",""),"*",""))))</f>
        <v/>
      </c>
      <c r="N738">
        <f>IF(M738="","",IF(SUMPRODUCT(ISNUMBER(SEARCH(" "&amp;Settings!$L$5:$L$124&amp;" "," "&amp;M738&amp;" "))*(Settings!$K$5:$K$124="Navigational")*(Settings!$L$5:$L$124&lt;&gt;""))&gt;0,"Navigational",IF(SUMPRODUCT(ISNUMBER(SEARCH(" "&amp;Settings!$L$5:$L$124&amp;" "," "&amp;M738&amp;" "))*(Settings!$K$5:$K$124="Transactional")*(Settings!$L$5:$L$124&lt;&gt;""))&gt;0,"Transactional",IF(SUMPRODUCT(ISNUMBER(SEARCH(" "&amp;Settings!$L$5:$L$124&amp;" "," "&amp;M738&amp;" "))*(Settings!$K$5:$K$124="Commercial")*(Settings!$L$5:$L$124&lt;&gt;""))&gt;0,"Commercial",IF(SUMPRODUCT(ISNUMBER(SEARCH(" "&amp;Settings!$L$5:$L$124&amp;" "," "&amp;M738&amp;" "))*(Settings!$K$5:$K$124="Informational")*(Settings!$L$5:$L$124&lt;&gt;""))&gt;0,"Informational","Unclassified")))))</f>
        <v/>
      </c>
      <c r="O738">
        <f>IF(A738="","",IF(K738&lt;&gt;"",PROPER(K738),N738))</f>
        <v/>
      </c>
      <c r="P738">
        <f>IF(A738="","",ROUND(Settings!$B$5*MIN(1,LOG10(N(C738)+1)/LOG10(Settings!$B$7+1))+Settings!$B$6*(1-MIN(100,IF(D738="",50,N(D738)))/100)+IFERROR(INDEX(Settings!$B$10:$B$14,MATCH(O738,Settings!$A$10:$A$14,0)),0),0))</f>
        <v/>
      </c>
      <c r="Q738">
        <f>IF(OR(A738="",G738=""),"",COUNTIFS($M$3:$M$1002,M738,$G$3:$G$1002,"&lt;&gt;"&amp;SUBSTITUTE(SUBSTITUTE(G738,"?","~?"),"*","~*"),$G$3:$G$1002,"?*"))</f>
        <v/>
      </c>
      <c r="R738">
        <f>IF(Q738="","",IF(Q738&gt;0,"Yes","No"))</f>
        <v/>
      </c>
      <c r="S738">
        <f>IF(G738="","",COUNTIFS($G$3:$G$1002,SUBSTITUTE(SUBSTITUTE(G738,"?","~?"),"*","~*"),$J$3:$J$1002,"Primary"))</f>
        <v/>
      </c>
      <c r="T738">
        <f>IF(S738="","",IF(S738&gt;Settings!$B$4,"Yes","No"))</f>
        <v/>
      </c>
      <c r="U738">
        <f>IF(OR(G738="",B738=""),"",IF(COUNTIFS($G$3:$G$1002,SUBSTITUTE(SUBSTITUTE(G738,"?","~?"),"*","~*"),$B$3:$B$1002,"&lt;&gt;"&amp;SUBSTITUTE(SUBSTITUTE(B738,"?","~?"),"*","~*"),$B$3:$B$1002,"?*")&gt;0,"Yes","No"))</f>
        <v/>
      </c>
      <c r="V738">
        <f>IF(OR(G738="",I738="",O738="",O738="Unclassified"),"",IFERROR(INDEX(Settings!$E$5:$H$16,MATCH(I738,Settings!$D$5:$D$16,0),MATCH(O738,Settings!$E$4:$H$4,0)),"Check"))</f>
        <v/>
      </c>
      <c r="W738">
        <f>IF(V738="","",IF(V738="No","Yes","No"))</f>
        <v/>
      </c>
      <c r="X738">
        <f>IF(OR(E738="",G738=""),"",IF(LOWER(IF(RIGHT(TRIM(E738),1)="/",LEFT(TRIM(E738),LEN(TRIM(E738))-1),TRIM(E738)))&lt;&gt;LOWER(IF(RIGHT(TRIM(G738),1)="/",LEFT(TRIM(G738),LEN(TRIM(G738))-1),TRIM(G738))),"Yes","No"))</f>
        <v/>
      </c>
      <c r="Y738">
        <f>IF(A738="","",(N(Q738)&gt;0)+(T738="Yes")+(U738="Yes")+(W738="Yes")+(X738="Yes"))</f>
        <v/>
      </c>
      <c r="Z738">
        <f>IF(A738="","",IF(G738="","Not mapped",IF(Y738=0,"OK",MID(IF(N(Q738)&gt;0,"; Cannibalisation","")&amp;IF(T738="Yes","; Too many primary keywords on URL","")&amp;IF(U738="Yes","; URL spans 2+ clusters","")&amp;IF(W738="Yes","; Intent mismatch","")&amp;IF(X738="Yes","; Ranking URL is not the target",""),3,300))))</f>
        <v/>
      </c>
      <c r="AA738">
        <f>IF(G738="","",IF(COUNTIF($G$3:G738,SUBSTITUTE(SUBSTITUTE(G738,"?","~?"),"*","~*"))=1,MAX($AA$2:AA737)+1,""))</f>
        <v/>
      </c>
      <c r="AB738">
        <f>IF(B738="","",IF(COUNTIF($B$3:B738,SUBSTITUTE(SUBSTITUTE(B738,"?","~?"),"*","~*"))=1,MAX($AB$2:AB737)+1,""))</f>
        <v/>
      </c>
    </row>
    <row r="739">
      <c r="M739">
        <f>IF(A739="","",LOWER(TRIM(SUBSTITUTE(SUBSTITUTE(A739,"?",""),"*",""))))</f>
        <v/>
      </c>
      <c r="N739">
        <f>IF(M739="","",IF(SUMPRODUCT(ISNUMBER(SEARCH(" "&amp;Settings!$L$5:$L$124&amp;" "," "&amp;M739&amp;" "))*(Settings!$K$5:$K$124="Navigational")*(Settings!$L$5:$L$124&lt;&gt;""))&gt;0,"Navigational",IF(SUMPRODUCT(ISNUMBER(SEARCH(" "&amp;Settings!$L$5:$L$124&amp;" "," "&amp;M739&amp;" "))*(Settings!$K$5:$K$124="Transactional")*(Settings!$L$5:$L$124&lt;&gt;""))&gt;0,"Transactional",IF(SUMPRODUCT(ISNUMBER(SEARCH(" "&amp;Settings!$L$5:$L$124&amp;" "," "&amp;M739&amp;" "))*(Settings!$K$5:$K$124="Commercial")*(Settings!$L$5:$L$124&lt;&gt;""))&gt;0,"Commercial",IF(SUMPRODUCT(ISNUMBER(SEARCH(" "&amp;Settings!$L$5:$L$124&amp;" "," "&amp;M739&amp;" "))*(Settings!$K$5:$K$124="Informational")*(Settings!$L$5:$L$124&lt;&gt;""))&gt;0,"Informational","Unclassified")))))</f>
        <v/>
      </c>
      <c r="O739">
        <f>IF(A739="","",IF(K739&lt;&gt;"",PROPER(K739),N739))</f>
        <v/>
      </c>
      <c r="P739">
        <f>IF(A739="","",ROUND(Settings!$B$5*MIN(1,LOG10(N(C739)+1)/LOG10(Settings!$B$7+1))+Settings!$B$6*(1-MIN(100,IF(D739="",50,N(D739)))/100)+IFERROR(INDEX(Settings!$B$10:$B$14,MATCH(O739,Settings!$A$10:$A$14,0)),0),0))</f>
        <v/>
      </c>
      <c r="Q739">
        <f>IF(OR(A739="",G739=""),"",COUNTIFS($M$3:$M$1002,M739,$G$3:$G$1002,"&lt;&gt;"&amp;SUBSTITUTE(SUBSTITUTE(G739,"?","~?"),"*","~*"),$G$3:$G$1002,"?*"))</f>
        <v/>
      </c>
      <c r="R739">
        <f>IF(Q739="","",IF(Q739&gt;0,"Yes","No"))</f>
        <v/>
      </c>
      <c r="S739">
        <f>IF(G739="","",COUNTIFS($G$3:$G$1002,SUBSTITUTE(SUBSTITUTE(G739,"?","~?"),"*","~*"),$J$3:$J$1002,"Primary"))</f>
        <v/>
      </c>
      <c r="T739">
        <f>IF(S739="","",IF(S739&gt;Settings!$B$4,"Yes","No"))</f>
        <v/>
      </c>
      <c r="U739">
        <f>IF(OR(G739="",B739=""),"",IF(COUNTIFS($G$3:$G$1002,SUBSTITUTE(SUBSTITUTE(G739,"?","~?"),"*","~*"),$B$3:$B$1002,"&lt;&gt;"&amp;SUBSTITUTE(SUBSTITUTE(B739,"?","~?"),"*","~*"),$B$3:$B$1002,"?*")&gt;0,"Yes","No"))</f>
        <v/>
      </c>
      <c r="V739">
        <f>IF(OR(G739="",I739="",O739="",O739="Unclassified"),"",IFERROR(INDEX(Settings!$E$5:$H$16,MATCH(I739,Settings!$D$5:$D$16,0),MATCH(O739,Settings!$E$4:$H$4,0)),"Check"))</f>
        <v/>
      </c>
      <c r="W739">
        <f>IF(V739="","",IF(V739="No","Yes","No"))</f>
        <v/>
      </c>
      <c r="X739">
        <f>IF(OR(E739="",G739=""),"",IF(LOWER(IF(RIGHT(TRIM(E739),1)="/",LEFT(TRIM(E739),LEN(TRIM(E739))-1),TRIM(E739)))&lt;&gt;LOWER(IF(RIGHT(TRIM(G739),1)="/",LEFT(TRIM(G739),LEN(TRIM(G739))-1),TRIM(G739))),"Yes","No"))</f>
        <v/>
      </c>
      <c r="Y739">
        <f>IF(A739="","",(N(Q739)&gt;0)+(T739="Yes")+(U739="Yes")+(W739="Yes")+(X739="Yes"))</f>
        <v/>
      </c>
      <c r="Z739">
        <f>IF(A739="","",IF(G739="","Not mapped",IF(Y739=0,"OK",MID(IF(N(Q739)&gt;0,"; Cannibalisation","")&amp;IF(T739="Yes","; Too many primary keywords on URL","")&amp;IF(U739="Yes","; URL spans 2+ clusters","")&amp;IF(W739="Yes","; Intent mismatch","")&amp;IF(X739="Yes","; Ranking URL is not the target",""),3,300))))</f>
        <v/>
      </c>
      <c r="AA739">
        <f>IF(G739="","",IF(COUNTIF($G$3:G739,SUBSTITUTE(SUBSTITUTE(G739,"?","~?"),"*","~*"))=1,MAX($AA$2:AA738)+1,""))</f>
        <v/>
      </c>
      <c r="AB739">
        <f>IF(B739="","",IF(COUNTIF($B$3:B739,SUBSTITUTE(SUBSTITUTE(B739,"?","~?"),"*","~*"))=1,MAX($AB$2:AB738)+1,""))</f>
        <v/>
      </c>
    </row>
    <row r="740">
      <c r="M740">
        <f>IF(A740="","",LOWER(TRIM(SUBSTITUTE(SUBSTITUTE(A740,"?",""),"*",""))))</f>
        <v/>
      </c>
      <c r="N740">
        <f>IF(M740="","",IF(SUMPRODUCT(ISNUMBER(SEARCH(" "&amp;Settings!$L$5:$L$124&amp;" "," "&amp;M740&amp;" "))*(Settings!$K$5:$K$124="Navigational")*(Settings!$L$5:$L$124&lt;&gt;""))&gt;0,"Navigational",IF(SUMPRODUCT(ISNUMBER(SEARCH(" "&amp;Settings!$L$5:$L$124&amp;" "," "&amp;M740&amp;" "))*(Settings!$K$5:$K$124="Transactional")*(Settings!$L$5:$L$124&lt;&gt;""))&gt;0,"Transactional",IF(SUMPRODUCT(ISNUMBER(SEARCH(" "&amp;Settings!$L$5:$L$124&amp;" "," "&amp;M740&amp;" "))*(Settings!$K$5:$K$124="Commercial")*(Settings!$L$5:$L$124&lt;&gt;""))&gt;0,"Commercial",IF(SUMPRODUCT(ISNUMBER(SEARCH(" "&amp;Settings!$L$5:$L$124&amp;" "," "&amp;M740&amp;" "))*(Settings!$K$5:$K$124="Informational")*(Settings!$L$5:$L$124&lt;&gt;""))&gt;0,"Informational","Unclassified")))))</f>
        <v/>
      </c>
      <c r="O740">
        <f>IF(A740="","",IF(K740&lt;&gt;"",PROPER(K740),N740))</f>
        <v/>
      </c>
      <c r="P740">
        <f>IF(A740="","",ROUND(Settings!$B$5*MIN(1,LOG10(N(C740)+1)/LOG10(Settings!$B$7+1))+Settings!$B$6*(1-MIN(100,IF(D740="",50,N(D740)))/100)+IFERROR(INDEX(Settings!$B$10:$B$14,MATCH(O740,Settings!$A$10:$A$14,0)),0),0))</f>
        <v/>
      </c>
      <c r="Q740">
        <f>IF(OR(A740="",G740=""),"",COUNTIFS($M$3:$M$1002,M740,$G$3:$G$1002,"&lt;&gt;"&amp;SUBSTITUTE(SUBSTITUTE(G740,"?","~?"),"*","~*"),$G$3:$G$1002,"?*"))</f>
        <v/>
      </c>
      <c r="R740">
        <f>IF(Q740="","",IF(Q740&gt;0,"Yes","No"))</f>
        <v/>
      </c>
      <c r="S740">
        <f>IF(G740="","",COUNTIFS($G$3:$G$1002,SUBSTITUTE(SUBSTITUTE(G740,"?","~?"),"*","~*"),$J$3:$J$1002,"Primary"))</f>
        <v/>
      </c>
      <c r="T740">
        <f>IF(S740="","",IF(S740&gt;Settings!$B$4,"Yes","No"))</f>
        <v/>
      </c>
      <c r="U740">
        <f>IF(OR(G740="",B740=""),"",IF(COUNTIFS($G$3:$G$1002,SUBSTITUTE(SUBSTITUTE(G740,"?","~?"),"*","~*"),$B$3:$B$1002,"&lt;&gt;"&amp;SUBSTITUTE(SUBSTITUTE(B740,"?","~?"),"*","~*"),$B$3:$B$1002,"?*")&gt;0,"Yes","No"))</f>
        <v/>
      </c>
      <c r="V740">
        <f>IF(OR(G740="",I740="",O740="",O740="Unclassified"),"",IFERROR(INDEX(Settings!$E$5:$H$16,MATCH(I740,Settings!$D$5:$D$16,0),MATCH(O740,Settings!$E$4:$H$4,0)),"Check"))</f>
        <v/>
      </c>
      <c r="W740">
        <f>IF(V740="","",IF(V740="No","Yes","No"))</f>
        <v/>
      </c>
      <c r="X740">
        <f>IF(OR(E740="",G740=""),"",IF(LOWER(IF(RIGHT(TRIM(E740),1)="/",LEFT(TRIM(E740),LEN(TRIM(E740))-1),TRIM(E740)))&lt;&gt;LOWER(IF(RIGHT(TRIM(G740),1)="/",LEFT(TRIM(G740),LEN(TRIM(G740))-1),TRIM(G740))),"Yes","No"))</f>
        <v/>
      </c>
      <c r="Y740">
        <f>IF(A740="","",(N(Q740)&gt;0)+(T740="Yes")+(U740="Yes")+(W740="Yes")+(X740="Yes"))</f>
        <v/>
      </c>
      <c r="Z740">
        <f>IF(A740="","",IF(G740="","Not mapped",IF(Y740=0,"OK",MID(IF(N(Q740)&gt;0,"; Cannibalisation","")&amp;IF(T740="Yes","; Too many primary keywords on URL","")&amp;IF(U740="Yes","; URL spans 2+ clusters","")&amp;IF(W740="Yes","; Intent mismatch","")&amp;IF(X740="Yes","; Ranking URL is not the target",""),3,300))))</f>
        <v/>
      </c>
      <c r="AA740">
        <f>IF(G740="","",IF(COUNTIF($G$3:G740,SUBSTITUTE(SUBSTITUTE(G740,"?","~?"),"*","~*"))=1,MAX($AA$2:AA739)+1,""))</f>
        <v/>
      </c>
      <c r="AB740">
        <f>IF(B740="","",IF(COUNTIF($B$3:B740,SUBSTITUTE(SUBSTITUTE(B740,"?","~?"),"*","~*"))=1,MAX($AB$2:AB739)+1,""))</f>
        <v/>
      </c>
    </row>
    <row r="741">
      <c r="M741">
        <f>IF(A741="","",LOWER(TRIM(SUBSTITUTE(SUBSTITUTE(A741,"?",""),"*",""))))</f>
        <v/>
      </c>
      <c r="N741">
        <f>IF(M741="","",IF(SUMPRODUCT(ISNUMBER(SEARCH(" "&amp;Settings!$L$5:$L$124&amp;" "," "&amp;M741&amp;" "))*(Settings!$K$5:$K$124="Navigational")*(Settings!$L$5:$L$124&lt;&gt;""))&gt;0,"Navigational",IF(SUMPRODUCT(ISNUMBER(SEARCH(" "&amp;Settings!$L$5:$L$124&amp;" "," "&amp;M741&amp;" "))*(Settings!$K$5:$K$124="Transactional")*(Settings!$L$5:$L$124&lt;&gt;""))&gt;0,"Transactional",IF(SUMPRODUCT(ISNUMBER(SEARCH(" "&amp;Settings!$L$5:$L$124&amp;" "," "&amp;M741&amp;" "))*(Settings!$K$5:$K$124="Commercial")*(Settings!$L$5:$L$124&lt;&gt;""))&gt;0,"Commercial",IF(SUMPRODUCT(ISNUMBER(SEARCH(" "&amp;Settings!$L$5:$L$124&amp;" "," "&amp;M741&amp;" "))*(Settings!$K$5:$K$124="Informational")*(Settings!$L$5:$L$124&lt;&gt;""))&gt;0,"Informational","Unclassified")))))</f>
        <v/>
      </c>
      <c r="O741">
        <f>IF(A741="","",IF(K741&lt;&gt;"",PROPER(K741),N741))</f>
        <v/>
      </c>
      <c r="P741">
        <f>IF(A741="","",ROUND(Settings!$B$5*MIN(1,LOG10(N(C741)+1)/LOG10(Settings!$B$7+1))+Settings!$B$6*(1-MIN(100,IF(D741="",50,N(D741)))/100)+IFERROR(INDEX(Settings!$B$10:$B$14,MATCH(O741,Settings!$A$10:$A$14,0)),0),0))</f>
        <v/>
      </c>
      <c r="Q741">
        <f>IF(OR(A741="",G741=""),"",COUNTIFS($M$3:$M$1002,M741,$G$3:$G$1002,"&lt;&gt;"&amp;SUBSTITUTE(SUBSTITUTE(G741,"?","~?"),"*","~*"),$G$3:$G$1002,"?*"))</f>
        <v/>
      </c>
      <c r="R741">
        <f>IF(Q741="","",IF(Q741&gt;0,"Yes","No"))</f>
        <v/>
      </c>
      <c r="S741">
        <f>IF(G741="","",COUNTIFS($G$3:$G$1002,SUBSTITUTE(SUBSTITUTE(G741,"?","~?"),"*","~*"),$J$3:$J$1002,"Primary"))</f>
        <v/>
      </c>
      <c r="T741">
        <f>IF(S741="","",IF(S741&gt;Settings!$B$4,"Yes","No"))</f>
        <v/>
      </c>
      <c r="U741">
        <f>IF(OR(G741="",B741=""),"",IF(COUNTIFS($G$3:$G$1002,SUBSTITUTE(SUBSTITUTE(G741,"?","~?"),"*","~*"),$B$3:$B$1002,"&lt;&gt;"&amp;SUBSTITUTE(SUBSTITUTE(B741,"?","~?"),"*","~*"),$B$3:$B$1002,"?*")&gt;0,"Yes","No"))</f>
        <v/>
      </c>
      <c r="V741">
        <f>IF(OR(G741="",I741="",O741="",O741="Unclassified"),"",IFERROR(INDEX(Settings!$E$5:$H$16,MATCH(I741,Settings!$D$5:$D$16,0),MATCH(O741,Settings!$E$4:$H$4,0)),"Check"))</f>
        <v/>
      </c>
      <c r="W741">
        <f>IF(V741="","",IF(V741="No","Yes","No"))</f>
        <v/>
      </c>
      <c r="X741">
        <f>IF(OR(E741="",G741=""),"",IF(LOWER(IF(RIGHT(TRIM(E741),1)="/",LEFT(TRIM(E741),LEN(TRIM(E741))-1),TRIM(E741)))&lt;&gt;LOWER(IF(RIGHT(TRIM(G741),1)="/",LEFT(TRIM(G741),LEN(TRIM(G741))-1),TRIM(G741))),"Yes","No"))</f>
        <v/>
      </c>
      <c r="Y741">
        <f>IF(A741="","",(N(Q741)&gt;0)+(T741="Yes")+(U741="Yes")+(W741="Yes")+(X741="Yes"))</f>
        <v/>
      </c>
      <c r="Z741">
        <f>IF(A741="","",IF(G741="","Not mapped",IF(Y741=0,"OK",MID(IF(N(Q741)&gt;0,"; Cannibalisation","")&amp;IF(T741="Yes","; Too many primary keywords on URL","")&amp;IF(U741="Yes","; URL spans 2+ clusters","")&amp;IF(W741="Yes","; Intent mismatch","")&amp;IF(X741="Yes","; Ranking URL is not the target",""),3,300))))</f>
        <v/>
      </c>
      <c r="AA741">
        <f>IF(G741="","",IF(COUNTIF($G$3:G741,SUBSTITUTE(SUBSTITUTE(G741,"?","~?"),"*","~*"))=1,MAX($AA$2:AA740)+1,""))</f>
        <v/>
      </c>
      <c r="AB741">
        <f>IF(B741="","",IF(COUNTIF($B$3:B741,SUBSTITUTE(SUBSTITUTE(B741,"?","~?"),"*","~*"))=1,MAX($AB$2:AB740)+1,""))</f>
        <v/>
      </c>
    </row>
    <row r="742">
      <c r="M742">
        <f>IF(A742="","",LOWER(TRIM(SUBSTITUTE(SUBSTITUTE(A742,"?",""),"*",""))))</f>
        <v/>
      </c>
      <c r="N742">
        <f>IF(M742="","",IF(SUMPRODUCT(ISNUMBER(SEARCH(" "&amp;Settings!$L$5:$L$124&amp;" "," "&amp;M742&amp;" "))*(Settings!$K$5:$K$124="Navigational")*(Settings!$L$5:$L$124&lt;&gt;""))&gt;0,"Navigational",IF(SUMPRODUCT(ISNUMBER(SEARCH(" "&amp;Settings!$L$5:$L$124&amp;" "," "&amp;M742&amp;" "))*(Settings!$K$5:$K$124="Transactional")*(Settings!$L$5:$L$124&lt;&gt;""))&gt;0,"Transactional",IF(SUMPRODUCT(ISNUMBER(SEARCH(" "&amp;Settings!$L$5:$L$124&amp;" "," "&amp;M742&amp;" "))*(Settings!$K$5:$K$124="Commercial")*(Settings!$L$5:$L$124&lt;&gt;""))&gt;0,"Commercial",IF(SUMPRODUCT(ISNUMBER(SEARCH(" "&amp;Settings!$L$5:$L$124&amp;" "," "&amp;M742&amp;" "))*(Settings!$K$5:$K$124="Informational")*(Settings!$L$5:$L$124&lt;&gt;""))&gt;0,"Informational","Unclassified")))))</f>
        <v/>
      </c>
      <c r="O742">
        <f>IF(A742="","",IF(K742&lt;&gt;"",PROPER(K742),N742))</f>
        <v/>
      </c>
      <c r="P742">
        <f>IF(A742="","",ROUND(Settings!$B$5*MIN(1,LOG10(N(C742)+1)/LOG10(Settings!$B$7+1))+Settings!$B$6*(1-MIN(100,IF(D742="",50,N(D742)))/100)+IFERROR(INDEX(Settings!$B$10:$B$14,MATCH(O742,Settings!$A$10:$A$14,0)),0),0))</f>
        <v/>
      </c>
      <c r="Q742">
        <f>IF(OR(A742="",G742=""),"",COUNTIFS($M$3:$M$1002,M742,$G$3:$G$1002,"&lt;&gt;"&amp;SUBSTITUTE(SUBSTITUTE(G742,"?","~?"),"*","~*"),$G$3:$G$1002,"?*"))</f>
        <v/>
      </c>
      <c r="R742">
        <f>IF(Q742="","",IF(Q742&gt;0,"Yes","No"))</f>
        <v/>
      </c>
      <c r="S742">
        <f>IF(G742="","",COUNTIFS($G$3:$G$1002,SUBSTITUTE(SUBSTITUTE(G742,"?","~?"),"*","~*"),$J$3:$J$1002,"Primary"))</f>
        <v/>
      </c>
      <c r="T742">
        <f>IF(S742="","",IF(S742&gt;Settings!$B$4,"Yes","No"))</f>
        <v/>
      </c>
      <c r="U742">
        <f>IF(OR(G742="",B742=""),"",IF(COUNTIFS($G$3:$G$1002,SUBSTITUTE(SUBSTITUTE(G742,"?","~?"),"*","~*"),$B$3:$B$1002,"&lt;&gt;"&amp;SUBSTITUTE(SUBSTITUTE(B742,"?","~?"),"*","~*"),$B$3:$B$1002,"?*")&gt;0,"Yes","No"))</f>
        <v/>
      </c>
      <c r="V742">
        <f>IF(OR(G742="",I742="",O742="",O742="Unclassified"),"",IFERROR(INDEX(Settings!$E$5:$H$16,MATCH(I742,Settings!$D$5:$D$16,0),MATCH(O742,Settings!$E$4:$H$4,0)),"Check"))</f>
        <v/>
      </c>
      <c r="W742">
        <f>IF(V742="","",IF(V742="No","Yes","No"))</f>
        <v/>
      </c>
      <c r="X742">
        <f>IF(OR(E742="",G742=""),"",IF(LOWER(IF(RIGHT(TRIM(E742),1)="/",LEFT(TRIM(E742),LEN(TRIM(E742))-1),TRIM(E742)))&lt;&gt;LOWER(IF(RIGHT(TRIM(G742),1)="/",LEFT(TRIM(G742),LEN(TRIM(G742))-1),TRIM(G742))),"Yes","No"))</f>
        <v/>
      </c>
      <c r="Y742">
        <f>IF(A742="","",(N(Q742)&gt;0)+(T742="Yes")+(U742="Yes")+(W742="Yes")+(X742="Yes"))</f>
        <v/>
      </c>
      <c r="Z742">
        <f>IF(A742="","",IF(G742="","Not mapped",IF(Y742=0,"OK",MID(IF(N(Q742)&gt;0,"; Cannibalisation","")&amp;IF(T742="Yes","; Too many primary keywords on URL","")&amp;IF(U742="Yes","; URL spans 2+ clusters","")&amp;IF(W742="Yes","; Intent mismatch","")&amp;IF(X742="Yes","; Ranking URL is not the target",""),3,300))))</f>
        <v/>
      </c>
      <c r="AA742">
        <f>IF(G742="","",IF(COUNTIF($G$3:G742,SUBSTITUTE(SUBSTITUTE(G742,"?","~?"),"*","~*"))=1,MAX($AA$2:AA741)+1,""))</f>
        <v/>
      </c>
      <c r="AB742">
        <f>IF(B742="","",IF(COUNTIF($B$3:B742,SUBSTITUTE(SUBSTITUTE(B742,"?","~?"),"*","~*"))=1,MAX($AB$2:AB741)+1,""))</f>
        <v/>
      </c>
    </row>
    <row r="743">
      <c r="M743">
        <f>IF(A743="","",LOWER(TRIM(SUBSTITUTE(SUBSTITUTE(A743,"?",""),"*",""))))</f>
        <v/>
      </c>
      <c r="N743">
        <f>IF(M743="","",IF(SUMPRODUCT(ISNUMBER(SEARCH(" "&amp;Settings!$L$5:$L$124&amp;" "," "&amp;M743&amp;" "))*(Settings!$K$5:$K$124="Navigational")*(Settings!$L$5:$L$124&lt;&gt;""))&gt;0,"Navigational",IF(SUMPRODUCT(ISNUMBER(SEARCH(" "&amp;Settings!$L$5:$L$124&amp;" "," "&amp;M743&amp;" "))*(Settings!$K$5:$K$124="Transactional")*(Settings!$L$5:$L$124&lt;&gt;""))&gt;0,"Transactional",IF(SUMPRODUCT(ISNUMBER(SEARCH(" "&amp;Settings!$L$5:$L$124&amp;" "," "&amp;M743&amp;" "))*(Settings!$K$5:$K$124="Commercial")*(Settings!$L$5:$L$124&lt;&gt;""))&gt;0,"Commercial",IF(SUMPRODUCT(ISNUMBER(SEARCH(" "&amp;Settings!$L$5:$L$124&amp;" "," "&amp;M743&amp;" "))*(Settings!$K$5:$K$124="Informational")*(Settings!$L$5:$L$124&lt;&gt;""))&gt;0,"Informational","Unclassified")))))</f>
        <v/>
      </c>
      <c r="O743">
        <f>IF(A743="","",IF(K743&lt;&gt;"",PROPER(K743),N743))</f>
        <v/>
      </c>
      <c r="P743">
        <f>IF(A743="","",ROUND(Settings!$B$5*MIN(1,LOG10(N(C743)+1)/LOG10(Settings!$B$7+1))+Settings!$B$6*(1-MIN(100,IF(D743="",50,N(D743)))/100)+IFERROR(INDEX(Settings!$B$10:$B$14,MATCH(O743,Settings!$A$10:$A$14,0)),0),0))</f>
        <v/>
      </c>
      <c r="Q743">
        <f>IF(OR(A743="",G743=""),"",COUNTIFS($M$3:$M$1002,M743,$G$3:$G$1002,"&lt;&gt;"&amp;SUBSTITUTE(SUBSTITUTE(G743,"?","~?"),"*","~*"),$G$3:$G$1002,"?*"))</f>
        <v/>
      </c>
      <c r="R743">
        <f>IF(Q743="","",IF(Q743&gt;0,"Yes","No"))</f>
        <v/>
      </c>
      <c r="S743">
        <f>IF(G743="","",COUNTIFS($G$3:$G$1002,SUBSTITUTE(SUBSTITUTE(G743,"?","~?"),"*","~*"),$J$3:$J$1002,"Primary"))</f>
        <v/>
      </c>
      <c r="T743">
        <f>IF(S743="","",IF(S743&gt;Settings!$B$4,"Yes","No"))</f>
        <v/>
      </c>
      <c r="U743">
        <f>IF(OR(G743="",B743=""),"",IF(COUNTIFS($G$3:$G$1002,SUBSTITUTE(SUBSTITUTE(G743,"?","~?"),"*","~*"),$B$3:$B$1002,"&lt;&gt;"&amp;SUBSTITUTE(SUBSTITUTE(B743,"?","~?"),"*","~*"),$B$3:$B$1002,"?*")&gt;0,"Yes","No"))</f>
        <v/>
      </c>
      <c r="V743">
        <f>IF(OR(G743="",I743="",O743="",O743="Unclassified"),"",IFERROR(INDEX(Settings!$E$5:$H$16,MATCH(I743,Settings!$D$5:$D$16,0),MATCH(O743,Settings!$E$4:$H$4,0)),"Check"))</f>
        <v/>
      </c>
      <c r="W743">
        <f>IF(V743="","",IF(V743="No","Yes","No"))</f>
        <v/>
      </c>
      <c r="X743">
        <f>IF(OR(E743="",G743=""),"",IF(LOWER(IF(RIGHT(TRIM(E743),1)="/",LEFT(TRIM(E743),LEN(TRIM(E743))-1),TRIM(E743)))&lt;&gt;LOWER(IF(RIGHT(TRIM(G743),1)="/",LEFT(TRIM(G743),LEN(TRIM(G743))-1),TRIM(G743))),"Yes","No"))</f>
        <v/>
      </c>
      <c r="Y743">
        <f>IF(A743="","",(N(Q743)&gt;0)+(T743="Yes")+(U743="Yes")+(W743="Yes")+(X743="Yes"))</f>
        <v/>
      </c>
      <c r="Z743">
        <f>IF(A743="","",IF(G743="","Not mapped",IF(Y743=0,"OK",MID(IF(N(Q743)&gt;0,"; Cannibalisation","")&amp;IF(T743="Yes","; Too many primary keywords on URL","")&amp;IF(U743="Yes","; URL spans 2+ clusters","")&amp;IF(W743="Yes","; Intent mismatch","")&amp;IF(X743="Yes","; Ranking URL is not the target",""),3,300))))</f>
        <v/>
      </c>
      <c r="AA743">
        <f>IF(G743="","",IF(COUNTIF($G$3:G743,SUBSTITUTE(SUBSTITUTE(G743,"?","~?"),"*","~*"))=1,MAX($AA$2:AA742)+1,""))</f>
        <v/>
      </c>
      <c r="AB743">
        <f>IF(B743="","",IF(COUNTIF($B$3:B743,SUBSTITUTE(SUBSTITUTE(B743,"?","~?"),"*","~*"))=1,MAX($AB$2:AB742)+1,""))</f>
        <v/>
      </c>
    </row>
    <row r="744">
      <c r="M744">
        <f>IF(A744="","",LOWER(TRIM(SUBSTITUTE(SUBSTITUTE(A744,"?",""),"*",""))))</f>
        <v/>
      </c>
      <c r="N744">
        <f>IF(M744="","",IF(SUMPRODUCT(ISNUMBER(SEARCH(" "&amp;Settings!$L$5:$L$124&amp;" "," "&amp;M744&amp;" "))*(Settings!$K$5:$K$124="Navigational")*(Settings!$L$5:$L$124&lt;&gt;""))&gt;0,"Navigational",IF(SUMPRODUCT(ISNUMBER(SEARCH(" "&amp;Settings!$L$5:$L$124&amp;" "," "&amp;M744&amp;" "))*(Settings!$K$5:$K$124="Transactional")*(Settings!$L$5:$L$124&lt;&gt;""))&gt;0,"Transactional",IF(SUMPRODUCT(ISNUMBER(SEARCH(" "&amp;Settings!$L$5:$L$124&amp;" "," "&amp;M744&amp;" "))*(Settings!$K$5:$K$124="Commercial")*(Settings!$L$5:$L$124&lt;&gt;""))&gt;0,"Commercial",IF(SUMPRODUCT(ISNUMBER(SEARCH(" "&amp;Settings!$L$5:$L$124&amp;" "," "&amp;M744&amp;" "))*(Settings!$K$5:$K$124="Informational")*(Settings!$L$5:$L$124&lt;&gt;""))&gt;0,"Informational","Unclassified")))))</f>
        <v/>
      </c>
      <c r="O744">
        <f>IF(A744="","",IF(K744&lt;&gt;"",PROPER(K744),N744))</f>
        <v/>
      </c>
      <c r="P744">
        <f>IF(A744="","",ROUND(Settings!$B$5*MIN(1,LOG10(N(C744)+1)/LOG10(Settings!$B$7+1))+Settings!$B$6*(1-MIN(100,IF(D744="",50,N(D744)))/100)+IFERROR(INDEX(Settings!$B$10:$B$14,MATCH(O744,Settings!$A$10:$A$14,0)),0),0))</f>
        <v/>
      </c>
      <c r="Q744">
        <f>IF(OR(A744="",G744=""),"",COUNTIFS($M$3:$M$1002,M744,$G$3:$G$1002,"&lt;&gt;"&amp;SUBSTITUTE(SUBSTITUTE(G744,"?","~?"),"*","~*"),$G$3:$G$1002,"?*"))</f>
        <v/>
      </c>
      <c r="R744">
        <f>IF(Q744="","",IF(Q744&gt;0,"Yes","No"))</f>
        <v/>
      </c>
      <c r="S744">
        <f>IF(G744="","",COUNTIFS($G$3:$G$1002,SUBSTITUTE(SUBSTITUTE(G744,"?","~?"),"*","~*"),$J$3:$J$1002,"Primary"))</f>
        <v/>
      </c>
      <c r="T744">
        <f>IF(S744="","",IF(S744&gt;Settings!$B$4,"Yes","No"))</f>
        <v/>
      </c>
      <c r="U744">
        <f>IF(OR(G744="",B744=""),"",IF(COUNTIFS($G$3:$G$1002,SUBSTITUTE(SUBSTITUTE(G744,"?","~?"),"*","~*"),$B$3:$B$1002,"&lt;&gt;"&amp;SUBSTITUTE(SUBSTITUTE(B744,"?","~?"),"*","~*"),$B$3:$B$1002,"?*")&gt;0,"Yes","No"))</f>
        <v/>
      </c>
      <c r="V744">
        <f>IF(OR(G744="",I744="",O744="",O744="Unclassified"),"",IFERROR(INDEX(Settings!$E$5:$H$16,MATCH(I744,Settings!$D$5:$D$16,0),MATCH(O744,Settings!$E$4:$H$4,0)),"Check"))</f>
        <v/>
      </c>
      <c r="W744">
        <f>IF(V744="","",IF(V744="No","Yes","No"))</f>
        <v/>
      </c>
      <c r="X744">
        <f>IF(OR(E744="",G744=""),"",IF(LOWER(IF(RIGHT(TRIM(E744),1)="/",LEFT(TRIM(E744),LEN(TRIM(E744))-1),TRIM(E744)))&lt;&gt;LOWER(IF(RIGHT(TRIM(G744),1)="/",LEFT(TRIM(G744),LEN(TRIM(G744))-1),TRIM(G744))),"Yes","No"))</f>
        <v/>
      </c>
      <c r="Y744">
        <f>IF(A744="","",(N(Q744)&gt;0)+(T744="Yes")+(U744="Yes")+(W744="Yes")+(X744="Yes"))</f>
        <v/>
      </c>
      <c r="Z744">
        <f>IF(A744="","",IF(G744="","Not mapped",IF(Y744=0,"OK",MID(IF(N(Q744)&gt;0,"; Cannibalisation","")&amp;IF(T744="Yes","; Too many primary keywords on URL","")&amp;IF(U744="Yes","; URL spans 2+ clusters","")&amp;IF(W744="Yes","; Intent mismatch","")&amp;IF(X744="Yes","; Ranking URL is not the target",""),3,300))))</f>
        <v/>
      </c>
      <c r="AA744">
        <f>IF(G744="","",IF(COUNTIF($G$3:G744,SUBSTITUTE(SUBSTITUTE(G744,"?","~?"),"*","~*"))=1,MAX($AA$2:AA743)+1,""))</f>
        <v/>
      </c>
      <c r="AB744">
        <f>IF(B744="","",IF(COUNTIF($B$3:B744,SUBSTITUTE(SUBSTITUTE(B744,"?","~?"),"*","~*"))=1,MAX($AB$2:AB743)+1,""))</f>
        <v/>
      </c>
    </row>
    <row r="745">
      <c r="M745">
        <f>IF(A745="","",LOWER(TRIM(SUBSTITUTE(SUBSTITUTE(A745,"?",""),"*",""))))</f>
        <v/>
      </c>
      <c r="N745">
        <f>IF(M745="","",IF(SUMPRODUCT(ISNUMBER(SEARCH(" "&amp;Settings!$L$5:$L$124&amp;" "," "&amp;M745&amp;" "))*(Settings!$K$5:$K$124="Navigational")*(Settings!$L$5:$L$124&lt;&gt;""))&gt;0,"Navigational",IF(SUMPRODUCT(ISNUMBER(SEARCH(" "&amp;Settings!$L$5:$L$124&amp;" "," "&amp;M745&amp;" "))*(Settings!$K$5:$K$124="Transactional")*(Settings!$L$5:$L$124&lt;&gt;""))&gt;0,"Transactional",IF(SUMPRODUCT(ISNUMBER(SEARCH(" "&amp;Settings!$L$5:$L$124&amp;" "," "&amp;M745&amp;" "))*(Settings!$K$5:$K$124="Commercial")*(Settings!$L$5:$L$124&lt;&gt;""))&gt;0,"Commercial",IF(SUMPRODUCT(ISNUMBER(SEARCH(" "&amp;Settings!$L$5:$L$124&amp;" "," "&amp;M745&amp;" "))*(Settings!$K$5:$K$124="Informational")*(Settings!$L$5:$L$124&lt;&gt;""))&gt;0,"Informational","Unclassified")))))</f>
        <v/>
      </c>
      <c r="O745">
        <f>IF(A745="","",IF(K745&lt;&gt;"",PROPER(K745),N745))</f>
        <v/>
      </c>
      <c r="P745">
        <f>IF(A745="","",ROUND(Settings!$B$5*MIN(1,LOG10(N(C745)+1)/LOG10(Settings!$B$7+1))+Settings!$B$6*(1-MIN(100,IF(D745="",50,N(D745)))/100)+IFERROR(INDEX(Settings!$B$10:$B$14,MATCH(O745,Settings!$A$10:$A$14,0)),0),0))</f>
        <v/>
      </c>
      <c r="Q745">
        <f>IF(OR(A745="",G745=""),"",COUNTIFS($M$3:$M$1002,M745,$G$3:$G$1002,"&lt;&gt;"&amp;SUBSTITUTE(SUBSTITUTE(G745,"?","~?"),"*","~*"),$G$3:$G$1002,"?*"))</f>
        <v/>
      </c>
      <c r="R745">
        <f>IF(Q745="","",IF(Q745&gt;0,"Yes","No"))</f>
        <v/>
      </c>
      <c r="S745">
        <f>IF(G745="","",COUNTIFS($G$3:$G$1002,SUBSTITUTE(SUBSTITUTE(G745,"?","~?"),"*","~*"),$J$3:$J$1002,"Primary"))</f>
        <v/>
      </c>
      <c r="T745">
        <f>IF(S745="","",IF(S745&gt;Settings!$B$4,"Yes","No"))</f>
        <v/>
      </c>
      <c r="U745">
        <f>IF(OR(G745="",B745=""),"",IF(COUNTIFS($G$3:$G$1002,SUBSTITUTE(SUBSTITUTE(G745,"?","~?"),"*","~*"),$B$3:$B$1002,"&lt;&gt;"&amp;SUBSTITUTE(SUBSTITUTE(B745,"?","~?"),"*","~*"),$B$3:$B$1002,"?*")&gt;0,"Yes","No"))</f>
        <v/>
      </c>
      <c r="V745">
        <f>IF(OR(G745="",I745="",O745="",O745="Unclassified"),"",IFERROR(INDEX(Settings!$E$5:$H$16,MATCH(I745,Settings!$D$5:$D$16,0),MATCH(O745,Settings!$E$4:$H$4,0)),"Check"))</f>
        <v/>
      </c>
      <c r="W745">
        <f>IF(V745="","",IF(V745="No","Yes","No"))</f>
        <v/>
      </c>
      <c r="X745">
        <f>IF(OR(E745="",G745=""),"",IF(LOWER(IF(RIGHT(TRIM(E745),1)="/",LEFT(TRIM(E745),LEN(TRIM(E745))-1),TRIM(E745)))&lt;&gt;LOWER(IF(RIGHT(TRIM(G745),1)="/",LEFT(TRIM(G745),LEN(TRIM(G745))-1),TRIM(G745))),"Yes","No"))</f>
        <v/>
      </c>
      <c r="Y745">
        <f>IF(A745="","",(N(Q745)&gt;0)+(T745="Yes")+(U745="Yes")+(W745="Yes")+(X745="Yes"))</f>
        <v/>
      </c>
      <c r="Z745">
        <f>IF(A745="","",IF(G745="","Not mapped",IF(Y745=0,"OK",MID(IF(N(Q745)&gt;0,"; Cannibalisation","")&amp;IF(T745="Yes","; Too many primary keywords on URL","")&amp;IF(U745="Yes","; URL spans 2+ clusters","")&amp;IF(W745="Yes","; Intent mismatch","")&amp;IF(X745="Yes","; Ranking URL is not the target",""),3,300))))</f>
        <v/>
      </c>
      <c r="AA745">
        <f>IF(G745="","",IF(COUNTIF($G$3:G745,SUBSTITUTE(SUBSTITUTE(G745,"?","~?"),"*","~*"))=1,MAX($AA$2:AA744)+1,""))</f>
        <v/>
      </c>
      <c r="AB745">
        <f>IF(B745="","",IF(COUNTIF($B$3:B745,SUBSTITUTE(SUBSTITUTE(B745,"?","~?"),"*","~*"))=1,MAX($AB$2:AB744)+1,""))</f>
        <v/>
      </c>
    </row>
    <row r="746">
      <c r="M746">
        <f>IF(A746="","",LOWER(TRIM(SUBSTITUTE(SUBSTITUTE(A746,"?",""),"*",""))))</f>
        <v/>
      </c>
      <c r="N746">
        <f>IF(M746="","",IF(SUMPRODUCT(ISNUMBER(SEARCH(" "&amp;Settings!$L$5:$L$124&amp;" "," "&amp;M746&amp;" "))*(Settings!$K$5:$K$124="Navigational")*(Settings!$L$5:$L$124&lt;&gt;""))&gt;0,"Navigational",IF(SUMPRODUCT(ISNUMBER(SEARCH(" "&amp;Settings!$L$5:$L$124&amp;" "," "&amp;M746&amp;" "))*(Settings!$K$5:$K$124="Transactional")*(Settings!$L$5:$L$124&lt;&gt;""))&gt;0,"Transactional",IF(SUMPRODUCT(ISNUMBER(SEARCH(" "&amp;Settings!$L$5:$L$124&amp;" "," "&amp;M746&amp;" "))*(Settings!$K$5:$K$124="Commercial")*(Settings!$L$5:$L$124&lt;&gt;""))&gt;0,"Commercial",IF(SUMPRODUCT(ISNUMBER(SEARCH(" "&amp;Settings!$L$5:$L$124&amp;" "," "&amp;M746&amp;" "))*(Settings!$K$5:$K$124="Informational")*(Settings!$L$5:$L$124&lt;&gt;""))&gt;0,"Informational","Unclassified")))))</f>
        <v/>
      </c>
      <c r="O746">
        <f>IF(A746="","",IF(K746&lt;&gt;"",PROPER(K746),N746))</f>
        <v/>
      </c>
      <c r="P746">
        <f>IF(A746="","",ROUND(Settings!$B$5*MIN(1,LOG10(N(C746)+1)/LOG10(Settings!$B$7+1))+Settings!$B$6*(1-MIN(100,IF(D746="",50,N(D746)))/100)+IFERROR(INDEX(Settings!$B$10:$B$14,MATCH(O746,Settings!$A$10:$A$14,0)),0),0))</f>
        <v/>
      </c>
      <c r="Q746">
        <f>IF(OR(A746="",G746=""),"",COUNTIFS($M$3:$M$1002,M746,$G$3:$G$1002,"&lt;&gt;"&amp;SUBSTITUTE(SUBSTITUTE(G746,"?","~?"),"*","~*"),$G$3:$G$1002,"?*"))</f>
        <v/>
      </c>
      <c r="R746">
        <f>IF(Q746="","",IF(Q746&gt;0,"Yes","No"))</f>
        <v/>
      </c>
      <c r="S746">
        <f>IF(G746="","",COUNTIFS($G$3:$G$1002,SUBSTITUTE(SUBSTITUTE(G746,"?","~?"),"*","~*"),$J$3:$J$1002,"Primary"))</f>
        <v/>
      </c>
      <c r="T746">
        <f>IF(S746="","",IF(S746&gt;Settings!$B$4,"Yes","No"))</f>
        <v/>
      </c>
      <c r="U746">
        <f>IF(OR(G746="",B746=""),"",IF(COUNTIFS($G$3:$G$1002,SUBSTITUTE(SUBSTITUTE(G746,"?","~?"),"*","~*"),$B$3:$B$1002,"&lt;&gt;"&amp;SUBSTITUTE(SUBSTITUTE(B746,"?","~?"),"*","~*"),$B$3:$B$1002,"?*")&gt;0,"Yes","No"))</f>
        <v/>
      </c>
      <c r="V746">
        <f>IF(OR(G746="",I746="",O746="",O746="Unclassified"),"",IFERROR(INDEX(Settings!$E$5:$H$16,MATCH(I746,Settings!$D$5:$D$16,0),MATCH(O746,Settings!$E$4:$H$4,0)),"Check"))</f>
        <v/>
      </c>
      <c r="W746">
        <f>IF(V746="","",IF(V746="No","Yes","No"))</f>
        <v/>
      </c>
      <c r="X746">
        <f>IF(OR(E746="",G746=""),"",IF(LOWER(IF(RIGHT(TRIM(E746),1)="/",LEFT(TRIM(E746),LEN(TRIM(E746))-1),TRIM(E746)))&lt;&gt;LOWER(IF(RIGHT(TRIM(G746),1)="/",LEFT(TRIM(G746),LEN(TRIM(G746))-1),TRIM(G746))),"Yes","No"))</f>
        <v/>
      </c>
      <c r="Y746">
        <f>IF(A746="","",(N(Q746)&gt;0)+(T746="Yes")+(U746="Yes")+(W746="Yes")+(X746="Yes"))</f>
        <v/>
      </c>
      <c r="Z746">
        <f>IF(A746="","",IF(G746="","Not mapped",IF(Y746=0,"OK",MID(IF(N(Q746)&gt;0,"; Cannibalisation","")&amp;IF(T746="Yes","; Too many primary keywords on URL","")&amp;IF(U746="Yes","; URL spans 2+ clusters","")&amp;IF(W746="Yes","; Intent mismatch","")&amp;IF(X746="Yes","; Ranking URL is not the target",""),3,300))))</f>
        <v/>
      </c>
      <c r="AA746">
        <f>IF(G746="","",IF(COUNTIF($G$3:G746,SUBSTITUTE(SUBSTITUTE(G746,"?","~?"),"*","~*"))=1,MAX($AA$2:AA745)+1,""))</f>
        <v/>
      </c>
      <c r="AB746">
        <f>IF(B746="","",IF(COUNTIF($B$3:B746,SUBSTITUTE(SUBSTITUTE(B746,"?","~?"),"*","~*"))=1,MAX($AB$2:AB745)+1,""))</f>
        <v/>
      </c>
    </row>
    <row r="747">
      <c r="M747">
        <f>IF(A747="","",LOWER(TRIM(SUBSTITUTE(SUBSTITUTE(A747,"?",""),"*",""))))</f>
        <v/>
      </c>
      <c r="N747">
        <f>IF(M747="","",IF(SUMPRODUCT(ISNUMBER(SEARCH(" "&amp;Settings!$L$5:$L$124&amp;" "," "&amp;M747&amp;" "))*(Settings!$K$5:$K$124="Navigational")*(Settings!$L$5:$L$124&lt;&gt;""))&gt;0,"Navigational",IF(SUMPRODUCT(ISNUMBER(SEARCH(" "&amp;Settings!$L$5:$L$124&amp;" "," "&amp;M747&amp;" "))*(Settings!$K$5:$K$124="Transactional")*(Settings!$L$5:$L$124&lt;&gt;""))&gt;0,"Transactional",IF(SUMPRODUCT(ISNUMBER(SEARCH(" "&amp;Settings!$L$5:$L$124&amp;" "," "&amp;M747&amp;" "))*(Settings!$K$5:$K$124="Commercial")*(Settings!$L$5:$L$124&lt;&gt;""))&gt;0,"Commercial",IF(SUMPRODUCT(ISNUMBER(SEARCH(" "&amp;Settings!$L$5:$L$124&amp;" "," "&amp;M747&amp;" "))*(Settings!$K$5:$K$124="Informational")*(Settings!$L$5:$L$124&lt;&gt;""))&gt;0,"Informational","Unclassified")))))</f>
        <v/>
      </c>
      <c r="O747">
        <f>IF(A747="","",IF(K747&lt;&gt;"",PROPER(K747),N747))</f>
        <v/>
      </c>
      <c r="P747">
        <f>IF(A747="","",ROUND(Settings!$B$5*MIN(1,LOG10(N(C747)+1)/LOG10(Settings!$B$7+1))+Settings!$B$6*(1-MIN(100,IF(D747="",50,N(D747)))/100)+IFERROR(INDEX(Settings!$B$10:$B$14,MATCH(O747,Settings!$A$10:$A$14,0)),0),0))</f>
        <v/>
      </c>
      <c r="Q747">
        <f>IF(OR(A747="",G747=""),"",COUNTIFS($M$3:$M$1002,M747,$G$3:$G$1002,"&lt;&gt;"&amp;SUBSTITUTE(SUBSTITUTE(G747,"?","~?"),"*","~*"),$G$3:$G$1002,"?*"))</f>
        <v/>
      </c>
      <c r="R747">
        <f>IF(Q747="","",IF(Q747&gt;0,"Yes","No"))</f>
        <v/>
      </c>
      <c r="S747">
        <f>IF(G747="","",COUNTIFS($G$3:$G$1002,SUBSTITUTE(SUBSTITUTE(G747,"?","~?"),"*","~*"),$J$3:$J$1002,"Primary"))</f>
        <v/>
      </c>
      <c r="T747">
        <f>IF(S747="","",IF(S747&gt;Settings!$B$4,"Yes","No"))</f>
        <v/>
      </c>
      <c r="U747">
        <f>IF(OR(G747="",B747=""),"",IF(COUNTIFS($G$3:$G$1002,SUBSTITUTE(SUBSTITUTE(G747,"?","~?"),"*","~*"),$B$3:$B$1002,"&lt;&gt;"&amp;SUBSTITUTE(SUBSTITUTE(B747,"?","~?"),"*","~*"),$B$3:$B$1002,"?*")&gt;0,"Yes","No"))</f>
        <v/>
      </c>
      <c r="V747">
        <f>IF(OR(G747="",I747="",O747="",O747="Unclassified"),"",IFERROR(INDEX(Settings!$E$5:$H$16,MATCH(I747,Settings!$D$5:$D$16,0),MATCH(O747,Settings!$E$4:$H$4,0)),"Check"))</f>
        <v/>
      </c>
      <c r="W747">
        <f>IF(V747="","",IF(V747="No","Yes","No"))</f>
        <v/>
      </c>
      <c r="X747">
        <f>IF(OR(E747="",G747=""),"",IF(LOWER(IF(RIGHT(TRIM(E747),1)="/",LEFT(TRIM(E747),LEN(TRIM(E747))-1),TRIM(E747)))&lt;&gt;LOWER(IF(RIGHT(TRIM(G747),1)="/",LEFT(TRIM(G747),LEN(TRIM(G747))-1),TRIM(G747))),"Yes","No"))</f>
        <v/>
      </c>
      <c r="Y747">
        <f>IF(A747="","",(N(Q747)&gt;0)+(T747="Yes")+(U747="Yes")+(W747="Yes")+(X747="Yes"))</f>
        <v/>
      </c>
      <c r="Z747">
        <f>IF(A747="","",IF(G747="","Not mapped",IF(Y747=0,"OK",MID(IF(N(Q747)&gt;0,"; Cannibalisation","")&amp;IF(T747="Yes","; Too many primary keywords on URL","")&amp;IF(U747="Yes","; URL spans 2+ clusters","")&amp;IF(W747="Yes","; Intent mismatch","")&amp;IF(X747="Yes","; Ranking URL is not the target",""),3,300))))</f>
        <v/>
      </c>
      <c r="AA747">
        <f>IF(G747="","",IF(COUNTIF($G$3:G747,SUBSTITUTE(SUBSTITUTE(G747,"?","~?"),"*","~*"))=1,MAX($AA$2:AA746)+1,""))</f>
        <v/>
      </c>
      <c r="AB747">
        <f>IF(B747="","",IF(COUNTIF($B$3:B747,SUBSTITUTE(SUBSTITUTE(B747,"?","~?"),"*","~*"))=1,MAX($AB$2:AB746)+1,""))</f>
        <v/>
      </c>
    </row>
    <row r="748">
      <c r="M748">
        <f>IF(A748="","",LOWER(TRIM(SUBSTITUTE(SUBSTITUTE(A748,"?",""),"*",""))))</f>
        <v/>
      </c>
      <c r="N748">
        <f>IF(M748="","",IF(SUMPRODUCT(ISNUMBER(SEARCH(" "&amp;Settings!$L$5:$L$124&amp;" "," "&amp;M748&amp;" "))*(Settings!$K$5:$K$124="Navigational")*(Settings!$L$5:$L$124&lt;&gt;""))&gt;0,"Navigational",IF(SUMPRODUCT(ISNUMBER(SEARCH(" "&amp;Settings!$L$5:$L$124&amp;" "," "&amp;M748&amp;" "))*(Settings!$K$5:$K$124="Transactional")*(Settings!$L$5:$L$124&lt;&gt;""))&gt;0,"Transactional",IF(SUMPRODUCT(ISNUMBER(SEARCH(" "&amp;Settings!$L$5:$L$124&amp;" "," "&amp;M748&amp;" "))*(Settings!$K$5:$K$124="Commercial")*(Settings!$L$5:$L$124&lt;&gt;""))&gt;0,"Commercial",IF(SUMPRODUCT(ISNUMBER(SEARCH(" "&amp;Settings!$L$5:$L$124&amp;" "," "&amp;M748&amp;" "))*(Settings!$K$5:$K$124="Informational")*(Settings!$L$5:$L$124&lt;&gt;""))&gt;0,"Informational","Unclassified")))))</f>
        <v/>
      </c>
      <c r="O748">
        <f>IF(A748="","",IF(K748&lt;&gt;"",PROPER(K748),N748))</f>
        <v/>
      </c>
      <c r="P748">
        <f>IF(A748="","",ROUND(Settings!$B$5*MIN(1,LOG10(N(C748)+1)/LOG10(Settings!$B$7+1))+Settings!$B$6*(1-MIN(100,IF(D748="",50,N(D748)))/100)+IFERROR(INDEX(Settings!$B$10:$B$14,MATCH(O748,Settings!$A$10:$A$14,0)),0),0))</f>
        <v/>
      </c>
      <c r="Q748">
        <f>IF(OR(A748="",G748=""),"",COUNTIFS($M$3:$M$1002,M748,$G$3:$G$1002,"&lt;&gt;"&amp;SUBSTITUTE(SUBSTITUTE(G748,"?","~?"),"*","~*"),$G$3:$G$1002,"?*"))</f>
        <v/>
      </c>
      <c r="R748">
        <f>IF(Q748="","",IF(Q748&gt;0,"Yes","No"))</f>
        <v/>
      </c>
      <c r="S748">
        <f>IF(G748="","",COUNTIFS($G$3:$G$1002,SUBSTITUTE(SUBSTITUTE(G748,"?","~?"),"*","~*"),$J$3:$J$1002,"Primary"))</f>
        <v/>
      </c>
      <c r="T748">
        <f>IF(S748="","",IF(S748&gt;Settings!$B$4,"Yes","No"))</f>
        <v/>
      </c>
      <c r="U748">
        <f>IF(OR(G748="",B748=""),"",IF(COUNTIFS($G$3:$G$1002,SUBSTITUTE(SUBSTITUTE(G748,"?","~?"),"*","~*"),$B$3:$B$1002,"&lt;&gt;"&amp;SUBSTITUTE(SUBSTITUTE(B748,"?","~?"),"*","~*"),$B$3:$B$1002,"?*")&gt;0,"Yes","No"))</f>
        <v/>
      </c>
      <c r="V748">
        <f>IF(OR(G748="",I748="",O748="",O748="Unclassified"),"",IFERROR(INDEX(Settings!$E$5:$H$16,MATCH(I748,Settings!$D$5:$D$16,0),MATCH(O748,Settings!$E$4:$H$4,0)),"Check"))</f>
        <v/>
      </c>
      <c r="W748">
        <f>IF(V748="","",IF(V748="No","Yes","No"))</f>
        <v/>
      </c>
      <c r="X748">
        <f>IF(OR(E748="",G748=""),"",IF(LOWER(IF(RIGHT(TRIM(E748),1)="/",LEFT(TRIM(E748),LEN(TRIM(E748))-1),TRIM(E748)))&lt;&gt;LOWER(IF(RIGHT(TRIM(G748),1)="/",LEFT(TRIM(G748),LEN(TRIM(G748))-1),TRIM(G748))),"Yes","No"))</f>
        <v/>
      </c>
      <c r="Y748">
        <f>IF(A748="","",(N(Q748)&gt;0)+(T748="Yes")+(U748="Yes")+(W748="Yes")+(X748="Yes"))</f>
        <v/>
      </c>
      <c r="Z748">
        <f>IF(A748="","",IF(G748="","Not mapped",IF(Y748=0,"OK",MID(IF(N(Q748)&gt;0,"; Cannibalisation","")&amp;IF(T748="Yes","; Too many primary keywords on URL","")&amp;IF(U748="Yes","; URL spans 2+ clusters","")&amp;IF(W748="Yes","; Intent mismatch","")&amp;IF(X748="Yes","; Ranking URL is not the target",""),3,300))))</f>
        <v/>
      </c>
      <c r="AA748">
        <f>IF(G748="","",IF(COUNTIF($G$3:G748,SUBSTITUTE(SUBSTITUTE(G748,"?","~?"),"*","~*"))=1,MAX($AA$2:AA747)+1,""))</f>
        <v/>
      </c>
      <c r="AB748">
        <f>IF(B748="","",IF(COUNTIF($B$3:B748,SUBSTITUTE(SUBSTITUTE(B748,"?","~?"),"*","~*"))=1,MAX($AB$2:AB747)+1,""))</f>
        <v/>
      </c>
    </row>
    <row r="749">
      <c r="M749">
        <f>IF(A749="","",LOWER(TRIM(SUBSTITUTE(SUBSTITUTE(A749,"?",""),"*",""))))</f>
        <v/>
      </c>
      <c r="N749">
        <f>IF(M749="","",IF(SUMPRODUCT(ISNUMBER(SEARCH(" "&amp;Settings!$L$5:$L$124&amp;" "," "&amp;M749&amp;" "))*(Settings!$K$5:$K$124="Navigational")*(Settings!$L$5:$L$124&lt;&gt;""))&gt;0,"Navigational",IF(SUMPRODUCT(ISNUMBER(SEARCH(" "&amp;Settings!$L$5:$L$124&amp;" "," "&amp;M749&amp;" "))*(Settings!$K$5:$K$124="Transactional")*(Settings!$L$5:$L$124&lt;&gt;""))&gt;0,"Transactional",IF(SUMPRODUCT(ISNUMBER(SEARCH(" "&amp;Settings!$L$5:$L$124&amp;" "," "&amp;M749&amp;" "))*(Settings!$K$5:$K$124="Commercial")*(Settings!$L$5:$L$124&lt;&gt;""))&gt;0,"Commercial",IF(SUMPRODUCT(ISNUMBER(SEARCH(" "&amp;Settings!$L$5:$L$124&amp;" "," "&amp;M749&amp;" "))*(Settings!$K$5:$K$124="Informational")*(Settings!$L$5:$L$124&lt;&gt;""))&gt;0,"Informational","Unclassified")))))</f>
        <v/>
      </c>
      <c r="O749">
        <f>IF(A749="","",IF(K749&lt;&gt;"",PROPER(K749),N749))</f>
        <v/>
      </c>
      <c r="P749">
        <f>IF(A749="","",ROUND(Settings!$B$5*MIN(1,LOG10(N(C749)+1)/LOG10(Settings!$B$7+1))+Settings!$B$6*(1-MIN(100,IF(D749="",50,N(D749)))/100)+IFERROR(INDEX(Settings!$B$10:$B$14,MATCH(O749,Settings!$A$10:$A$14,0)),0),0))</f>
        <v/>
      </c>
      <c r="Q749">
        <f>IF(OR(A749="",G749=""),"",COUNTIFS($M$3:$M$1002,M749,$G$3:$G$1002,"&lt;&gt;"&amp;SUBSTITUTE(SUBSTITUTE(G749,"?","~?"),"*","~*"),$G$3:$G$1002,"?*"))</f>
        <v/>
      </c>
      <c r="R749">
        <f>IF(Q749="","",IF(Q749&gt;0,"Yes","No"))</f>
        <v/>
      </c>
      <c r="S749">
        <f>IF(G749="","",COUNTIFS($G$3:$G$1002,SUBSTITUTE(SUBSTITUTE(G749,"?","~?"),"*","~*"),$J$3:$J$1002,"Primary"))</f>
        <v/>
      </c>
      <c r="T749">
        <f>IF(S749="","",IF(S749&gt;Settings!$B$4,"Yes","No"))</f>
        <v/>
      </c>
      <c r="U749">
        <f>IF(OR(G749="",B749=""),"",IF(COUNTIFS($G$3:$G$1002,SUBSTITUTE(SUBSTITUTE(G749,"?","~?"),"*","~*"),$B$3:$B$1002,"&lt;&gt;"&amp;SUBSTITUTE(SUBSTITUTE(B749,"?","~?"),"*","~*"),$B$3:$B$1002,"?*")&gt;0,"Yes","No"))</f>
        <v/>
      </c>
      <c r="V749">
        <f>IF(OR(G749="",I749="",O749="",O749="Unclassified"),"",IFERROR(INDEX(Settings!$E$5:$H$16,MATCH(I749,Settings!$D$5:$D$16,0),MATCH(O749,Settings!$E$4:$H$4,0)),"Check"))</f>
        <v/>
      </c>
      <c r="W749">
        <f>IF(V749="","",IF(V749="No","Yes","No"))</f>
        <v/>
      </c>
      <c r="X749">
        <f>IF(OR(E749="",G749=""),"",IF(LOWER(IF(RIGHT(TRIM(E749),1)="/",LEFT(TRIM(E749),LEN(TRIM(E749))-1),TRIM(E749)))&lt;&gt;LOWER(IF(RIGHT(TRIM(G749),1)="/",LEFT(TRIM(G749),LEN(TRIM(G749))-1),TRIM(G749))),"Yes","No"))</f>
        <v/>
      </c>
      <c r="Y749">
        <f>IF(A749="","",(N(Q749)&gt;0)+(T749="Yes")+(U749="Yes")+(W749="Yes")+(X749="Yes"))</f>
        <v/>
      </c>
      <c r="Z749">
        <f>IF(A749="","",IF(G749="","Not mapped",IF(Y749=0,"OK",MID(IF(N(Q749)&gt;0,"; Cannibalisation","")&amp;IF(T749="Yes","; Too many primary keywords on URL","")&amp;IF(U749="Yes","; URL spans 2+ clusters","")&amp;IF(W749="Yes","; Intent mismatch","")&amp;IF(X749="Yes","; Ranking URL is not the target",""),3,300))))</f>
        <v/>
      </c>
      <c r="AA749">
        <f>IF(G749="","",IF(COUNTIF($G$3:G749,SUBSTITUTE(SUBSTITUTE(G749,"?","~?"),"*","~*"))=1,MAX($AA$2:AA748)+1,""))</f>
        <v/>
      </c>
      <c r="AB749">
        <f>IF(B749="","",IF(COUNTIF($B$3:B749,SUBSTITUTE(SUBSTITUTE(B749,"?","~?"),"*","~*"))=1,MAX($AB$2:AB748)+1,""))</f>
        <v/>
      </c>
    </row>
    <row r="750">
      <c r="M750">
        <f>IF(A750="","",LOWER(TRIM(SUBSTITUTE(SUBSTITUTE(A750,"?",""),"*",""))))</f>
        <v/>
      </c>
      <c r="N750">
        <f>IF(M750="","",IF(SUMPRODUCT(ISNUMBER(SEARCH(" "&amp;Settings!$L$5:$L$124&amp;" "," "&amp;M750&amp;" "))*(Settings!$K$5:$K$124="Navigational")*(Settings!$L$5:$L$124&lt;&gt;""))&gt;0,"Navigational",IF(SUMPRODUCT(ISNUMBER(SEARCH(" "&amp;Settings!$L$5:$L$124&amp;" "," "&amp;M750&amp;" "))*(Settings!$K$5:$K$124="Transactional")*(Settings!$L$5:$L$124&lt;&gt;""))&gt;0,"Transactional",IF(SUMPRODUCT(ISNUMBER(SEARCH(" "&amp;Settings!$L$5:$L$124&amp;" "," "&amp;M750&amp;" "))*(Settings!$K$5:$K$124="Commercial")*(Settings!$L$5:$L$124&lt;&gt;""))&gt;0,"Commercial",IF(SUMPRODUCT(ISNUMBER(SEARCH(" "&amp;Settings!$L$5:$L$124&amp;" "," "&amp;M750&amp;" "))*(Settings!$K$5:$K$124="Informational")*(Settings!$L$5:$L$124&lt;&gt;""))&gt;0,"Informational","Unclassified")))))</f>
        <v/>
      </c>
      <c r="O750">
        <f>IF(A750="","",IF(K750&lt;&gt;"",PROPER(K750),N750))</f>
        <v/>
      </c>
      <c r="P750">
        <f>IF(A750="","",ROUND(Settings!$B$5*MIN(1,LOG10(N(C750)+1)/LOG10(Settings!$B$7+1))+Settings!$B$6*(1-MIN(100,IF(D750="",50,N(D750)))/100)+IFERROR(INDEX(Settings!$B$10:$B$14,MATCH(O750,Settings!$A$10:$A$14,0)),0),0))</f>
        <v/>
      </c>
      <c r="Q750">
        <f>IF(OR(A750="",G750=""),"",COUNTIFS($M$3:$M$1002,M750,$G$3:$G$1002,"&lt;&gt;"&amp;SUBSTITUTE(SUBSTITUTE(G750,"?","~?"),"*","~*"),$G$3:$G$1002,"?*"))</f>
        <v/>
      </c>
      <c r="R750">
        <f>IF(Q750="","",IF(Q750&gt;0,"Yes","No"))</f>
        <v/>
      </c>
      <c r="S750">
        <f>IF(G750="","",COUNTIFS($G$3:$G$1002,SUBSTITUTE(SUBSTITUTE(G750,"?","~?"),"*","~*"),$J$3:$J$1002,"Primary"))</f>
        <v/>
      </c>
      <c r="T750">
        <f>IF(S750="","",IF(S750&gt;Settings!$B$4,"Yes","No"))</f>
        <v/>
      </c>
      <c r="U750">
        <f>IF(OR(G750="",B750=""),"",IF(COUNTIFS($G$3:$G$1002,SUBSTITUTE(SUBSTITUTE(G750,"?","~?"),"*","~*"),$B$3:$B$1002,"&lt;&gt;"&amp;SUBSTITUTE(SUBSTITUTE(B750,"?","~?"),"*","~*"),$B$3:$B$1002,"?*")&gt;0,"Yes","No"))</f>
        <v/>
      </c>
      <c r="V750">
        <f>IF(OR(G750="",I750="",O750="",O750="Unclassified"),"",IFERROR(INDEX(Settings!$E$5:$H$16,MATCH(I750,Settings!$D$5:$D$16,0),MATCH(O750,Settings!$E$4:$H$4,0)),"Check"))</f>
        <v/>
      </c>
      <c r="W750">
        <f>IF(V750="","",IF(V750="No","Yes","No"))</f>
        <v/>
      </c>
      <c r="X750">
        <f>IF(OR(E750="",G750=""),"",IF(LOWER(IF(RIGHT(TRIM(E750),1)="/",LEFT(TRIM(E750),LEN(TRIM(E750))-1),TRIM(E750)))&lt;&gt;LOWER(IF(RIGHT(TRIM(G750),1)="/",LEFT(TRIM(G750),LEN(TRIM(G750))-1),TRIM(G750))),"Yes","No"))</f>
        <v/>
      </c>
      <c r="Y750">
        <f>IF(A750="","",(N(Q750)&gt;0)+(T750="Yes")+(U750="Yes")+(W750="Yes")+(X750="Yes"))</f>
        <v/>
      </c>
      <c r="Z750">
        <f>IF(A750="","",IF(G750="","Not mapped",IF(Y750=0,"OK",MID(IF(N(Q750)&gt;0,"; Cannibalisation","")&amp;IF(T750="Yes","; Too many primary keywords on URL","")&amp;IF(U750="Yes","; URL spans 2+ clusters","")&amp;IF(W750="Yes","; Intent mismatch","")&amp;IF(X750="Yes","; Ranking URL is not the target",""),3,300))))</f>
        <v/>
      </c>
      <c r="AA750">
        <f>IF(G750="","",IF(COUNTIF($G$3:G750,SUBSTITUTE(SUBSTITUTE(G750,"?","~?"),"*","~*"))=1,MAX($AA$2:AA749)+1,""))</f>
        <v/>
      </c>
      <c r="AB750">
        <f>IF(B750="","",IF(COUNTIF($B$3:B750,SUBSTITUTE(SUBSTITUTE(B750,"?","~?"),"*","~*"))=1,MAX($AB$2:AB749)+1,""))</f>
        <v/>
      </c>
    </row>
    <row r="751">
      <c r="M751">
        <f>IF(A751="","",LOWER(TRIM(SUBSTITUTE(SUBSTITUTE(A751,"?",""),"*",""))))</f>
        <v/>
      </c>
      <c r="N751">
        <f>IF(M751="","",IF(SUMPRODUCT(ISNUMBER(SEARCH(" "&amp;Settings!$L$5:$L$124&amp;" "," "&amp;M751&amp;" "))*(Settings!$K$5:$K$124="Navigational")*(Settings!$L$5:$L$124&lt;&gt;""))&gt;0,"Navigational",IF(SUMPRODUCT(ISNUMBER(SEARCH(" "&amp;Settings!$L$5:$L$124&amp;" "," "&amp;M751&amp;" "))*(Settings!$K$5:$K$124="Transactional")*(Settings!$L$5:$L$124&lt;&gt;""))&gt;0,"Transactional",IF(SUMPRODUCT(ISNUMBER(SEARCH(" "&amp;Settings!$L$5:$L$124&amp;" "," "&amp;M751&amp;" "))*(Settings!$K$5:$K$124="Commercial")*(Settings!$L$5:$L$124&lt;&gt;""))&gt;0,"Commercial",IF(SUMPRODUCT(ISNUMBER(SEARCH(" "&amp;Settings!$L$5:$L$124&amp;" "," "&amp;M751&amp;" "))*(Settings!$K$5:$K$124="Informational")*(Settings!$L$5:$L$124&lt;&gt;""))&gt;0,"Informational","Unclassified")))))</f>
        <v/>
      </c>
      <c r="O751">
        <f>IF(A751="","",IF(K751&lt;&gt;"",PROPER(K751),N751))</f>
        <v/>
      </c>
      <c r="P751">
        <f>IF(A751="","",ROUND(Settings!$B$5*MIN(1,LOG10(N(C751)+1)/LOG10(Settings!$B$7+1))+Settings!$B$6*(1-MIN(100,IF(D751="",50,N(D751)))/100)+IFERROR(INDEX(Settings!$B$10:$B$14,MATCH(O751,Settings!$A$10:$A$14,0)),0),0))</f>
        <v/>
      </c>
      <c r="Q751">
        <f>IF(OR(A751="",G751=""),"",COUNTIFS($M$3:$M$1002,M751,$G$3:$G$1002,"&lt;&gt;"&amp;SUBSTITUTE(SUBSTITUTE(G751,"?","~?"),"*","~*"),$G$3:$G$1002,"?*"))</f>
        <v/>
      </c>
      <c r="R751">
        <f>IF(Q751="","",IF(Q751&gt;0,"Yes","No"))</f>
        <v/>
      </c>
      <c r="S751">
        <f>IF(G751="","",COUNTIFS($G$3:$G$1002,SUBSTITUTE(SUBSTITUTE(G751,"?","~?"),"*","~*"),$J$3:$J$1002,"Primary"))</f>
        <v/>
      </c>
      <c r="T751">
        <f>IF(S751="","",IF(S751&gt;Settings!$B$4,"Yes","No"))</f>
        <v/>
      </c>
      <c r="U751">
        <f>IF(OR(G751="",B751=""),"",IF(COUNTIFS($G$3:$G$1002,SUBSTITUTE(SUBSTITUTE(G751,"?","~?"),"*","~*"),$B$3:$B$1002,"&lt;&gt;"&amp;SUBSTITUTE(SUBSTITUTE(B751,"?","~?"),"*","~*"),$B$3:$B$1002,"?*")&gt;0,"Yes","No"))</f>
        <v/>
      </c>
      <c r="V751">
        <f>IF(OR(G751="",I751="",O751="",O751="Unclassified"),"",IFERROR(INDEX(Settings!$E$5:$H$16,MATCH(I751,Settings!$D$5:$D$16,0),MATCH(O751,Settings!$E$4:$H$4,0)),"Check"))</f>
        <v/>
      </c>
      <c r="W751">
        <f>IF(V751="","",IF(V751="No","Yes","No"))</f>
        <v/>
      </c>
      <c r="X751">
        <f>IF(OR(E751="",G751=""),"",IF(LOWER(IF(RIGHT(TRIM(E751),1)="/",LEFT(TRIM(E751),LEN(TRIM(E751))-1),TRIM(E751)))&lt;&gt;LOWER(IF(RIGHT(TRIM(G751),1)="/",LEFT(TRIM(G751),LEN(TRIM(G751))-1),TRIM(G751))),"Yes","No"))</f>
        <v/>
      </c>
      <c r="Y751">
        <f>IF(A751="","",(N(Q751)&gt;0)+(T751="Yes")+(U751="Yes")+(W751="Yes")+(X751="Yes"))</f>
        <v/>
      </c>
      <c r="Z751">
        <f>IF(A751="","",IF(G751="","Not mapped",IF(Y751=0,"OK",MID(IF(N(Q751)&gt;0,"; Cannibalisation","")&amp;IF(T751="Yes","; Too many primary keywords on URL","")&amp;IF(U751="Yes","; URL spans 2+ clusters","")&amp;IF(W751="Yes","; Intent mismatch","")&amp;IF(X751="Yes","; Ranking URL is not the target",""),3,300))))</f>
        <v/>
      </c>
      <c r="AA751">
        <f>IF(G751="","",IF(COUNTIF($G$3:G751,SUBSTITUTE(SUBSTITUTE(G751,"?","~?"),"*","~*"))=1,MAX($AA$2:AA750)+1,""))</f>
        <v/>
      </c>
      <c r="AB751">
        <f>IF(B751="","",IF(COUNTIF($B$3:B751,SUBSTITUTE(SUBSTITUTE(B751,"?","~?"),"*","~*"))=1,MAX($AB$2:AB750)+1,""))</f>
        <v/>
      </c>
    </row>
    <row r="752">
      <c r="M752">
        <f>IF(A752="","",LOWER(TRIM(SUBSTITUTE(SUBSTITUTE(A752,"?",""),"*",""))))</f>
        <v/>
      </c>
      <c r="N752">
        <f>IF(M752="","",IF(SUMPRODUCT(ISNUMBER(SEARCH(" "&amp;Settings!$L$5:$L$124&amp;" "," "&amp;M752&amp;" "))*(Settings!$K$5:$K$124="Navigational")*(Settings!$L$5:$L$124&lt;&gt;""))&gt;0,"Navigational",IF(SUMPRODUCT(ISNUMBER(SEARCH(" "&amp;Settings!$L$5:$L$124&amp;" "," "&amp;M752&amp;" "))*(Settings!$K$5:$K$124="Transactional")*(Settings!$L$5:$L$124&lt;&gt;""))&gt;0,"Transactional",IF(SUMPRODUCT(ISNUMBER(SEARCH(" "&amp;Settings!$L$5:$L$124&amp;" "," "&amp;M752&amp;" "))*(Settings!$K$5:$K$124="Commercial")*(Settings!$L$5:$L$124&lt;&gt;""))&gt;0,"Commercial",IF(SUMPRODUCT(ISNUMBER(SEARCH(" "&amp;Settings!$L$5:$L$124&amp;" "," "&amp;M752&amp;" "))*(Settings!$K$5:$K$124="Informational")*(Settings!$L$5:$L$124&lt;&gt;""))&gt;0,"Informational","Unclassified")))))</f>
        <v/>
      </c>
      <c r="O752">
        <f>IF(A752="","",IF(K752&lt;&gt;"",PROPER(K752),N752))</f>
        <v/>
      </c>
      <c r="P752">
        <f>IF(A752="","",ROUND(Settings!$B$5*MIN(1,LOG10(N(C752)+1)/LOG10(Settings!$B$7+1))+Settings!$B$6*(1-MIN(100,IF(D752="",50,N(D752)))/100)+IFERROR(INDEX(Settings!$B$10:$B$14,MATCH(O752,Settings!$A$10:$A$14,0)),0),0))</f>
        <v/>
      </c>
      <c r="Q752">
        <f>IF(OR(A752="",G752=""),"",COUNTIFS($M$3:$M$1002,M752,$G$3:$G$1002,"&lt;&gt;"&amp;SUBSTITUTE(SUBSTITUTE(G752,"?","~?"),"*","~*"),$G$3:$G$1002,"?*"))</f>
        <v/>
      </c>
      <c r="R752">
        <f>IF(Q752="","",IF(Q752&gt;0,"Yes","No"))</f>
        <v/>
      </c>
      <c r="S752">
        <f>IF(G752="","",COUNTIFS($G$3:$G$1002,SUBSTITUTE(SUBSTITUTE(G752,"?","~?"),"*","~*"),$J$3:$J$1002,"Primary"))</f>
        <v/>
      </c>
      <c r="T752">
        <f>IF(S752="","",IF(S752&gt;Settings!$B$4,"Yes","No"))</f>
        <v/>
      </c>
      <c r="U752">
        <f>IF(OR(G752="",B752=""),"",IF(COUNTIFS($G$3:$G$1002,SUBSTITUTE(SUBSTITUTE(G752,"?","~?"),"*","~*"),$B$3:$B$1002,"&lt;&gt;"&amp;SUBSTITUTE(SUBSTITUTE(B752,"?","~?"),"*","~*"),$B$3:$B$1002,"?*")&gt;0,"Yes","No"))</f>
        <v/>
      </c>
      <c r="V752">
        <f>IF(OR(G752="",I752="",O752="",O752="Unclassified"),"",IFERROR(INDEX(Settings!$E$5:$H$16,MATCH(I752,Settings!$D$5:$D$16,0),MATCH(O752,Settings!$E$4:$H$4,0)),"Check"))</f>
        <v/>
      </c>
      <c r="W752">
        <f>IF(V752="","",IF(V752="No","Yes","No"))</f>
        <v/>
      </c>
      <c r="X752">
        <f>IF(OR(E752="",G752=""),"",IF(LOWER(IF(RIGHT(TRIM(E752),1)="/",LEFT(TRIM(E752),LEN(TRIM(E752))-1),TRIM(E752)))&lt;&gt;LOWER(IF(RIGHT(TRIM(G752),1)="/",LEFT(TRIM(G752),LEN(TRIM(G752))-1),TRIM(G752))),"Yes","No"))</f>
        <v/>
      </c>
      <c r="Y752">
        <f>IF(A752="","",(N(Q752)&gt;0)+(T752="Yes")+(U752="Yes")+(W752="Yes")+(X752="Yes"))</f>
        <v/>
      </c>
      <c r="Z752">
        <f>IF(A752="","",IF(G752="","Not mapped",IF(Y752=0,"OK",MID(IF(N(Q752)&gt;0,"; Cannibalisation","")&amp;IF(T752="Yes","; Too many primary keywords on URL","")&amp;IF(U752="Yes","; URL spans 2+ clusters","")&amp;IF(W752="Yes","; Intent mismatch","")&amp;IF(X752="Yes","; Ranking URL is not the target",""),3,300))))</f>
        <v/>
      </c>
      <c r="AA752">
        <f>IF(G752="","",IF(COUNTIF($G$3:G752,SUBSTITUTE(SUBSTITUTE(G752,"?","~?"),"*","~*"))=1,MAX($AA$2:AA751)+1,""))</f>
        <v/>
      </c>
      <c r="AB752">
        <f>IF(B752="","",IF(COUNTIF($B$3:B752,SUBSTITUTE(SUBSTITUTE(B752,"?","~?"),"*","~*"))=1,MAX($AB$2:AB751)+1,""))</f>
        <v/>
      </c>
    </row>
    <row r="753">
      <c r="M753">
        <f>IF(A753="","",LOWER(TRIM(SUBSTITUTE(SUBSTITUTE(A753,"?",""),"*",""))))</f>
        <v/>
      </c>
      <c r="N753">
        <f>IF(M753="","",IF(SUMPRODUCT(ISNUMBER(SEARCH(" "&amp;Settings!$L$5:$L$124&amp;" "," "&amp;M753&amp;" "))*(Settings!$K$5:$K$124="Navigational")*(Settings!$L$5:$L$124&lt;&gt;""))&gt;0,"Navigational",IF(SUMPRODUCT(ISNUMBER(SEARCH(" "&amp;Settings!$L$5:$L$124&amp;" "," "&amp;M753&amp;" "))*(Settings!$K$5:$K$124="Transactional")*(Settings!$L$5:$L$124&lt;&gt;""))&gt;0,"Transactional",IF(SUMPRODUCT(ISNUMBER(SEARCH(" "&amp;Settings!$L$5:$L$124&amp;" "," "&amp;M753&amp;" "))*(Settings!$K$5:$K$124="Commercial")*(Settings!$L$5:$L$124&lt;&gt;""))&gt;0,"Commercial",IF(SUMPRODUCT(ISNUMBER(SEARCH(" "&amp;Settings!$L$5:$L$124&amp;" "," "&amp;M753&amp;" "))*(Settings!$K$5:$K$124="Informational")*(Settings!$L$5:$L$124&lt;&gt;""))&gt;0,"Informational","Unclassified")))))</f>
        <v/>
      </c>
      <c r="O753">
        <f>IF(A753="","",IF(K753&lt;&gt;"",PROPER(K753),N753))</f>
        <v/>
      </c>
      <c r="P753">
        <f>IF(A753="","",ROUND(Settings!$B$5*MIN(1,LOG10(N(C753)+1)/LOG10(Settings!$B$7+1))+Settings!$B$6*(1-MIN(100,IF(D753="",50,N(D753)))/100)+IFERROR(INDEX(Settings!$B$10:$B$14,MATCH(O753,Settings!$A$10:$A$14,0)),0),0))</f>
        <v/>
      </c>
      <c r="Q753">
        <f>IF(OR(A753="",G753=""),"",COUNTIFS($M$3:$M$1002,M753,$G$3:$G$1002,"&lt;&gt;"&amp;SUBSTITUTE(SUBSTITUTE(G753,"?","~?"),"*","~*"),$G$3:$G$1002,"?*"))</f>
        <v/>
      </c>
      <c r="R753">
        <f>IF(Q753="","",IF(Q753&gt;0,"Yes","No"))</f>
        <v/>
      </c>
      <c r="S753">
        <f>IF(G753="","",COUNTIFS($G$3:$G$1002,SUBSTITUTE(SUBSTITUTE(G753,"?","~?"),"*","~*"),$J$3:$J$1002,"Primary"))</f>
        <v/>
      </c>
      <c r="T753">
        <f>IF(S753="","",IF(S753&gt;Settings!$B$4,"Yes","No"))</f>
        <v/>
      </c>
      <c r="U753">
        <f>IF(OR(G753="",B753=""),"",IF(COUNTIFS($G$3:$G$1002,SUBSTITUTE(SUBSTITUTE(G753,"?","~?"),"*","~*"),$B$3:$B$1002,"&lt;&gt;"&amp;SUBSTITUTE(SUBSTITUTE(B753,"?","~?"),"*","~*"),$B$3:$B$1002,"?*")&gt;0,"Yes","No"))</f>
        <v/>
      </c>
      <c r="V753">
        <f>IF(OR(G753="",I753="",O753="",O753="Unclassified"),"",IFERROR(INDEX(Settings!$E$5:$H$16,MATCH(I753,Settings!$D$5:$D$16,0),MATCH(O753,Settings!$E$4:$H$4,0)),"Check"))</f>
        <v/>
      </c>
      <c r="W753">
        <f>IF(V753="","",IF(V753="No","Yes","No"))</f>
        <v/>
      </c>
      <c r="X753">
        <f>IF(OR(E753="",G753=""),"",IF(LOWER(IF(RIGHT(TRIM(E753),1)="/",LEFT(TRIM(E753),LEN(TRIM(E753))-1),TRIM(E753)))&lt;&gt;LOWER(IF(RIGHT(TRIM(G753),1)="/",LEFT(TRIM(G753),LEN(TRIM(G753))-1),TRIM(G753))),"Yes","No"))</f>
        <v/>
      </c>
      <c r="Y753">
        <f>IF(A753="","",(N(Q753)&gt;0)+(T753="Yes")+(U753="Yes")+(W753="Yes")+(X753="Yes"))</f>
        <v/>
      </c>
      <c r="Z753">
        <f>IF(A753="","",IF(G753="","Not mapped",IF(Y753=0,"OK",MID(IF(N(Q753)&gt;0,"; Cannibalisation","")&amp;IF(T753="Yes","; Too many primary keywords on URL","")&amp;IF(U753="Yes","; URL spans 2+ clusters","")&amp;IF(W753="Yes","; Intent mismatch","")&amp;IF(X753="Yes","; Ranking URL is not the target",""),3,300))))</f>
        <v/>
      </c>
      <c r="AA753">
        <f>IF(G753="","",IF(COUNTIF($G$3:G753,SUBSTITUTE(SUBSTITUTE(G753,"?","~?"),"*","~*"))=1,MAX($AA$2:AA752)+1,""))</f>
        <v/>
      </c>
      <c r="AB753">
        <f>IF(B753="","",IF(COUNTIF($B$3:B753,SUBSTITUTE(SUBSTITUTE(B753,"?","~?"),"*","~*"))=1,MAX($AB$2:AB752)+1,""))</f>
        <v/>
      </c>
    </row>
    <row r="754">
      <c r="M754">
        <f>IF(A754="","",LOWER(TRIM(SUBSTITUTE(SUBSTITUTE(A754,"?",""),"*",""))))</f>
        <v/>
      </c>
      <c r="N754">
        <f>IF(M754="","",IF(SUMPRODUCT(ISNUMBER(SEARCH(" "&amp;Settings!$L$5:$L$124&amp;" "," "&amp;M754&amp;" "))*(Settings!$K$5:$K$124="Navigational")*(Settings!$L$5:$L$124&lt;&gt;""))&gt;0,"Navigational",IF(SUMPRODUCT(ISNUMBER(SEARCH(" "&amp;Settings!$L$5:$L$124&amp;" "," "&amp;M754&amp;" "))*(Settings!$K$5:$K$124="Transactional")*(Settings!$L$5:$L$124&lt;&gt;""))&gt;0,"Transactional",IF(SUMPRODUCT(ISNUMBER(SEARCH(" "&amp;Settings!$L$5:$L$124&amp;" "," "&amp;M754&amp;" "))*(Settings!$K$5:$K$124="Commercial")*(Settings!$L$5:$L$124&lt;&gt;""))&gt;0,"Commercial",IF(SUMPRODUCT(ISNUMBER(SEARCH(" "&amp;Settings!$L$5:$L$124&amp;" "," "&amp;M754&amp;" "))*(Settings!$K$5:$K$124="Informational")*(Settings!$L$5:$L$124&lt;&gt;""))&gt;0,"Informational","Unclassified")))))</f>
        <v/>
      </c>
      <c r="O754">
        <f>IF(A754="","",IF(K754&lt;&gt;"",PROPER(K754),N754))</f>
        <v/>
      </c>
      <c r="P754">
        <f>IF(A754="","",ROUND(Settings!$B$5*MIN(1,LOG10(N(C754)+1)/LOG10(Settings!$B$7+1))+Settings!$B$6*(1-MIN(100,IF(D754="",50,N(D754)))/100)+IFERROR(INDEX(Settings!$B$10:$B$14,MATCH(O754,Settings!$A$10:$A$14,0)),0),0))</f>
        <v/>
      </c>
      <c r="Q754">
        <f>IF(OR(A754="",G754=""),"",COUNTIFS($M$3:$M$1002,M754,$G$3:$G$1002,"&lt;&gt;"&amp;SUBSTITUTE(SUBSTITUTE(G754,"?","~?"),"*","~*"),$G$3:$G$1002,"?*"))</f>
        <v/>
      </c>
      <c r="R754">
        <f>IF(Q754="","",IF(Q754&gt;0,"Yes","No"))</f>
        <v/>
      </c>
      <c r="S754">
        <f>IF(G754="","",COUNTIFS($G$3:$G$1002,SUBSTITUTE(SUBSTITUTE(G754,"?","~?"),"*","~*"),$J$3:$J$1002,"Primary"))</f>
        <v/>
      </c>
      <c r="T754">
        <f>IF(S754="","",IF(S754&gt;Settings!$B$4,"Yes","No"))</f>
        <v/>
      </c>
      <c r="U754">
        <f>IF(OR(G754="",B754=""),"",IF(COUNTIFS($G$3:$G$1002,SUBSTITUTE(SUBSTITUTE(G754,"?","~?"),"*","~*"),$B$3:$B$1002,"&lt;&gt;"&amp;SUBSTITUTE(SUBSTITUTE(B754,"?","~?"),"*","~*"),$B$3:$B$1002,"?*")&gt;0,"Yes","No"))</f>
        <v/>
      </c>
      <c r="V754">
        <f>IF(OR(G754="",I754="",O754="",O754="Unclassified"),"",IFERROR(INDEX(Settings!$E$5:$H$16,MATCH(I754,Settings!$D$5:$D$16,0),MATCH(O754,Settings!$E$4:$H$4,0)),"Check"))</f>
        <v/>
      </c>
      <c r="W754">
        <f>IF(V754="","",IF(V754="No","Yes","No"))</f>
        <v/>
      </c>
      <c r="X754">
        <f>IF(OR(E754="",G754=""),"",IF(LOWER(IF(RIGHT(TRIM(E754),1)="/",LEFT(TRIM(E754),LEN(TRIM(E754))-1),TRIM(E754)))&lt;&gt;LOWER(IF(RIGHT(TRIM(G754),1)="/",LEFT(TRIM(G754),LEN(TRIM(G754))-1),TRIM(G754))),"Yes","No"))</f>
        <v/>
      </c>
      <c r="Y754">
        <f>IF(A754="","",(N(Q754)&gt;0)+(T754="Yes")+(U754="Yes")+(W754="Yes")+(X754="Yes"))</f>
        <v/>
      </c>
      <c r="Z754">
        <f>IF(A754="","",IF(G754="","Not mapped",IF(Y754=0,"OK",MID(IF(N(Q754)&gt;0,"; Cannibalisation","")&amp;IF(T754="Yes","; Too many primary keywords on URL","")&amp;IF(U754="Yes","; URL spans 2+ clusters","")&amp;IF(W754="Yes","; Intent mismatch","")&amp;IF(X754="Yes","; Ranking URL is not the target",""),3,300))))</f>
        <v/>
      </c>
      <c r="AA754">
        <f>IF(G754="","",IF(COUNTIF($G$3:G754,SUBSTITUTE(SUBSTITUTE(G754,"?","~?"),"*","~*"))=1,MAX($AA$2:AA753)+1,""))</f>
        <v/>
      </c>
      <c r="AB754">
        <f>IF(B754="","",IF(COUNTIF($B$3:B754,SUBSTITUTE(SUBSTITUTE(B754,"?","~?"),"*","~*"))=1,MAX($AB$2:AB753)+1,""))</f>
        <v/>
      </c>
    </row>
    <row r="755">
      <c r="M755">
        <f>IF(A755="","",LOWER(TRIM(SUBSTITUTE(SUBSTITUTE(A755,"?",""),"*",""))))</f>
        <v/>
      </c>
      <c r="N755">
        <f>IF(M755="","",IF(SUMPRODUCT(ISNUMBER(SEARCH(" "&amp;Settings!$L$5:$L$124&amp;" "," "&amp;M755&amp;" "))*(Settings!$K$5:$K$124="Navigational")*(Settings!$L$5:$L$124&lt;&gt;""))&gt;0,"Navigational",IF(SUMPRODUCT(ISNUMBER(SEARCH(" "&amp;Settings!$L$5:$L$124&amp;" "," "&amp;M755&amp;" "))*(Settings!$K$5:$K$124="Transactional")*(Settings!$L$5:$L$124&lt;&gt;""))&gt;0,"Transactional",IF(SUMPRODUCT(ISNUMBER(SEARCH(" "&amp;Settings!$L$5:$L$124&amp;" "," "&amp;M755&amp;" "))*(Settings!$K$5:$K$124="Commercial")*(Settings!$L$5:$L$124&lt;&gt;""))&gt;0,"Commercial",IF(SUMPRODUCT(ISNUMBER(SEARCH(" "&amp;Settings!$L$5:$L$124&amp;" "," "&amp;M755&amp;" "))*(Settings!$K$5:$K$124="Informational")*(Settings!$L$5:$L$124&lt;&gt;""))&gt;0,"Informational","Unclassified")))))</f>
        <v/>
      </c>
      <c r="O755">
        <f>IF(A755="","",IF(K755&lt;&gt;"",PROPER(K755),N755))</f>
        <v/>
      </c>
      <c r="P755">
        <f>IF(A755="","",ROUND(Settings!$B$5*MIN(1,LOG10(N(C755)+1)/LOG10(Settings!$B$7+1))+Settings!$B$6*(1-MIN(100,IF(D755="",50,N(D755)))/100)+IFERROR(INDEX(Settings!$B$10:$B$14,MATCH(O755,Settings!$A$10:$A$14,0)),0),0))</f>
        <v/>
      </c>
      <c r="Q755">
        <f>IF(OR(A755="",G755=""),"",COUNTIFS($M$3:$M$1002,M755,$G$3:$G$1002,"&lt;&gt;"&amp;SUBSTITUTE(SUBSTITUTE(G755,"?","~?"),"*","~*"),$G$3:$G$1002,"?*"))</f>
        <v/>
      </c>
      <c r="R755">
        <f>IF(Q755="","",IF(Q755&gt;0,"Yes","No"))</f>
        <v/>
      </c>
      <c r="S755">
        <f>IF(G755="","",COUNTIFS($G$3:$G$1002,SUBSTITUTE(SUBSTITUTE(G755,"?","~?"),"*","~*"),$J$3:$J$1002,"Primary"))</f>
        <v/>
      </c>
      <c r="T755">
        <f>IF(S755="","",IF(S755&gt;Settings!$B$4,"Yes","No"))</f>
        <v/>
      </c>
      <c r="U755">
        <f>IF(OR(G755="",B755=""),"",IF(COUNTIFS($G$3:$G$1002,SUBSTITUTE(SUBSTITUTE(G755,"?","~?"),"*","~*"),$B$3:$B$1002,"&lt;&gt;"&amp;SUBSTITUTE(SUBSTITUTE(B755,"?","~?"),"*","~*"),$B$3:$B$1002,"?*")&gt;0,"Yes","No"))</f>
        <v/>
      </c>
      <c r="V755">
        <f>IF(OR(G755="",I755="",O755="",O755="Unclassified"),"",IFERROR(INDEX(Settings!$E$5:$H$16,MATCH(I755,Settings!$D$5:$D$16,0),MATCH(O755,Settings!$E$4:$H$4,0)),"Check"))</f>
        <v/>
      </c>
      <c r="W755">
        <f>IF(V755="","",IF(V755="No","Yes","No"))</f>
        <v/>
      </c>
      <c r="X755">
        <f>IF(OR(E755="",G755=""),"",IF(LOWER(IF(RIGHT(TRIM(E755),1)="/",LEFT(TRIM(E755),LEN(TRIM(E755))-1),TRIM(E755)))&lt;&gt;LOWER(IF(RIGHT(TRIM(G755),1)="/",LEFT(TRIM(G755),LEN(TRIM(G755))-1),TRIM(G755))),"Yes","No"))</f>
        <v/>
      </c>
      <c r="Y755">
        <f>IF(A755="","",(N(Q755)&gt;0)+(T755="Yes")+(U755="Yes")+(W755="Yes")+(X755="Yes"))</f>
        <v/>
      </c>
      <c r="Z755">
        <f>IF(A755="","",IF(G755="","Not mapped",IF(Y755=0,"OK",MID(IF(N(Q755)&gt;0,"; Cannibalisation","")&amp;IF(T755="Yes","; Too many primary keywords on URL","")&amp;IF(U755="Yes","; URL spans 2+ clusters","")&amp;IF(W755="Yes","; Intent mismatch","")&amp;IF(X755="Yes","; Ranking URL is not the target",""),3,300))))</f>
        <v/>
      </c>
      <c r="AA755">
        <f>IF(G755="","",IF(COUNTIF($G$3:G755,SUBSTITUTE(SUBSTITUTE(G755,"?","~?"),"*","~*"))=1,MAX($AA$2:AA754)+1,""))</f>
        <v/>
      </c>
      <c r="AB755">
        <f>IF(B755="","",IF(COUNTIF($B$3:B755,SUBSTITUTE(SUBSTITUTE(B755,"?","~?"),"*","~*"))=1,MAX($AB$2:AB754)+1,""))</f>
        <v/>
      </c>
    </row>
    <row r="756">
      <c r="M756">
        <f>IF(A756="","",LOWER(TRIM(SUBSTITUTE(SUBSTITUTE(A756,"?",""),"*",""))))</f>
        <v/>
      </c>
      <c r="N756">
        <f>IF(M756="","",IF(SUMPRODUCT(ISNUMBER(SEARCH(" "&amp;Settings!$L$5:$L$124&amp;" "," "&amp;M756&amp;" "))*(Settings!$K$5:$K$124="Navigational")*(Settings!$L$5:$L$124&lt;&gt;""))&gt;0,"Navigational",IF(SUMPRODUCT(ISNUMBER(SEARCH(" "&amp;Settings!$L$5:$L$124&amp;" "," "&amp;M756&amp;" "))*(Settings!$K$5:$K$124="Transactional")*(Settings!$L$5:$L$124&lt;&gt;""))&gt;0,"Transactional",IF(SUMPRODUCT(ISNUMBER(SEARCH(" "&amp;Settings!$L$5:$L$124&amp;" "," "&amp;M756&amp;" "))*(Settings!$K$5:$K$124="Commercial")*(Settings!$L$5:$L$124&lt;&gt;""))&gt;0,"Commercial",IF(SUMPRODUCT(ISNUMBER(SEARCH(" "&amp;Settings!$L$5:$L$124&amp;" "," "&amp;M756&amp;" "))*(Settings!$K$5:$K$124="Informational")*(Settings!$L$5:$L$124&lt;&gt;""))&gt;0,"Informational","Unclassified")))))</f>
        <v/>
      </c>
      <c r="O756">
        <f>IF(A756="","",IF(K756&lt;&gt;"",PROPER(K756),N756))</f>
        <v/>
      </c>
      <c r="P756">
        <f>IF(A756="","",ROUND(Settings!$B$5*MIN(1,LOG10(N(C756)+1)/LOG10(Settings!$B$7+1))+Settings!$B$6*(1-MIN(100,IF(D756="",50,N(D756)))/100)+IFERROR(INDEX(Settings!$B$10:$B$14,MATCH(O756,Settings!$A$10:$A$14,0)),0),0))</f>
        <v/>
      </c>
      <c r="Q756">
        <f>IF(OR(A756="",G756=""),"",COUNTIFS($M$3:$M$1002,M756,$G$3:$G$1002,"&lt;&gt;"&amp;SUBSTITUTE(SUBSTITUTE(G756,"?","~?"),"*","~*"),$G$3:$G$1002,"?*"))</f>
        <v/>
      </c>
      <c r="R756">
        <f>IF(Q756="","",IF(Q756&gt;0,"Yes","No"))</f>
        <v/>
      </c>
      <c r="S756">
        <f>IF(G756="","",COUNTIFS($G$3:$G$1002,SUBSTITUTE(SUBSTITUTE(G756,"?","~?"),"*","~*"),$J$3:$J$1002,"Primary"))</f>
        <v/>
      </c>
      <c r="T756">
        <f>IF(S756="","",IF(S756&gt;Settings!$B$4,"Yes","No"))</f>
        <v/>
      </c>
      <c r="U756">
        <f>IF(OR(G756="",B756=""),"",IF(COUNTIFS($G$3:$G$1002,SUBSTITUTE(SUBSTITUTE(G756,"?","~?"),"*","~*"),$B$3:$B$1002,"&lt;&gt;"&amp;SUBSTITUTE(SUBSTITUTE(B756,"?","~?"),"*","~*"),$B$3:$B$1002,"?*")&gt;0,"Yes","No"))</f>
        <v/>
      </c>
      <c r="V756">
        <f>IF(OR(G756="",I756="",O756="",O756="Unclassified"),"",IFERROR(INDEX(Settings!$E$5:$H$16,MATCH(I756,Settings!$D$5:$D$16,0),MATCH(O756,Settings!$E$4:$H$4,0)),"Check"))</f>
        <v/>
      </c>
      <c r="W756">
        <f>IF(V756="","",IF(V756="No","Yes","No"))</f>
        <v/>
      </c>
      <c r="X756">
        <f>IF(OR(E756="",G756=""),"",IF(LOWER(IF(RIGHT(TRIM(E756),1)="/",LEFT(TRIM(E756),LEN(TRIM(E756))-1),TRIM(E756)))&lt;&gt;LOWER(IF(RIGHT(TRIM(G756),1)="/",LEFT(TRIM(G756),LEN(TRIM(G756))-1),TRIM(G756))),"Yes","No"))</f>
        <v/>
      </c>
      <c r="Y756">
        <f>IF(A756="","",(N(Q756)&gt;0)+(T756="Yes")+(U756="Yes")+(W756="Yes")+(X756="Yes"))</f>
        <v/>
      </c>
      <c r="Z756">
        <f>IF(A756="","",IF(G756="","Not mapped",IF(Y756=0,"OK",MID(IF(N(Q756)&gt;0,"; Cannibalisation","")&amp;IF(T756="Yes","; Too many primary keywords on URL","")&amp;IF(U756="Yes","; URL spans 2+ clusters","")&amp;IF(W756="Yes","; Intent mismatch","")&amp;IF(X756="Yes","; Ranking URL is not the target",""),3,300))))</f>
        <v/>
      </c>
      <c r="AA756">
        <f>IF(G756="","",IF(COUNTIF($G$3:G756,SUBSTITUTE(SUBSTITUTE(G756,"?","~?"),"*","~*"))=1,MAX($AA$2:AA755)+1,""))</f>
        <v/>
      </c>
      <c r="AB756">
        <f>IF(B756="","",IF(COUNTIF($B$3:B756,SUBSTITUTE(SUBSTITUTE(B756,"?","~?"),"*","~*"))=1,MAX($AB$2:AB755)+1,""))</f>
        <v/>
      </c>
    </row>
    <row r="757">
      <c r="M757">
        <f>IF(A757="","",LOWER(TRIM(SUBSTITUTE(SUBSTITUTE(A757,"?",""),"*",""))))</f>
        <v/>
      </c>
      <c r="N757">
        <f>IF(M757="","",IF(SUMPRODUCT(ISNUMBER(SEARCH(" "&amp;Settings!$L$5:$L$124&amp;" "," "&amp;M757&amp;" "))*(Settings!$K$5:$K$124="Navigational")*(Settings!$L$5:$L$124&lt;&gt;""))&gt;0,"Navigational",IF(SUMPRODUCT(ISNUMBER(SEARCH(" "&amp;Settings!$L$5:$L$124&amp;" "," "&amp;M757&amp;" "))*(Settings!$K$5:$K$124="Transactional")*(Settings!$L$5:$L$124&lt;&gt;""))&gt;0,"Transactional",IF(SUMPRODUCT(ISNUMBER(SEARCH(" "&amp;Settings!$L$5:$L$124&amp;" "," "&amp;M757&amp;" "))*(Settings!$K$5:$K$124="Commercial")*(Settings!$L$5:$L$124&lt;&gt;""))&gt;0,"Commercial",IF(SUMPRODUCT(ISNUMBER(SEARCH(" "&amp;Settings!$L$5:$L$124&amp;" "," "&amp;M757&amp;" "))*(Settings!$K$5:$K$124="Informational")*(Settings!$L$5:$L$124&lt;&gt;""))&gt;0,"Informational","Unclassified")))))</f>
        <v/>
      </c>
      <c r="O757">
        <f>IF(A757="","",IF(K757&lt;&gt;"",PROPER(K757),N757))</f>
        <v/>
      </c>
      <c r="P757">
        <f>IF(A757="","",ROUND(Settings!$B$5*MIN(1,LOG10(N(C757)+1)/LOG10(Settings!$B$7+1))+Settings!$B$6*(1-MIN(100,IF(D757="",50,N(D757)))/100)+IFERROR(INDEX(Settings!$B$10:$B$14,MATCH(O757,Settings!$A$10:$A$14,0)),0),0))</f>
        <v/>
      </c>
      <c r="Q757">
        <f>IF(OR(A757="",G757=""),"",COUNTIFS($M$3:$M$1002,M757,$G$3:$G$1002,"&lt;&gt;"&amp;SUBSTITUTE(SUBSTITUTE(G757,"?","~?"),"*","~*"),$G$3:$G$1002,"?*"))</f>
        <v/>
      </c>
      <c r="R757">
        <f>IF(Q757="","",IF(Q757&gt;0,"Yes","No"))</f>
        <v/>
      </c>
      <c r="S757">
        <f>IF(G757="","",COUNTIFS($G$3:$G$1002,SUBSTITUTE(SUBSTITUTE(G757,"?","~?"),"*","~*"),$J$3:$J$1002,"Primary"))</f>
        <v/>
      </c>
      <c r="T757">
        <f>IF(S757="","",IF(S757&gt;Settings!$B$4,"Yes","No"))</f>
        <v/>
      </c>
      <c r="U757">
        <f>IF(OR(G757="",B757=""),"",IF(COUNTIFS($G$3:$G$1002,SUBSTITUTE(SUBSTITUTE(G757,"?","~?"),"*","~*"),$B$3:$B$1002,"&lt;&gt;"&amp;SUBSTITUTE(SUBSTITUTE(B757,"?","~?"),"*","~*"),$B$3:$B$1002,"?*")&gt;0,"Yes","No"))</f>
        <v/>
      </c>
      <c r="V757">
        <f>IF(OR(G757="",I757="",O757="",O757="Unclassified"),"",IFERROR(INDEX(Settings!$E$5:$H$16,MATCH(I757,Settings!$D$5:$D$16,0),MATCH(O757,Settings!$E$4:$H$4,0)),"Check"))</f>
        <v/>
      </c>
      <c r="W757">
        <f>IF(V757="","",IF(V757="No","Yes","No"))</f>
        <v/>
      </c>
      <c r="X757">
        <f>IF(OR(E757="",G757=""),"",IF(LOWER(IF(RIGHT(TRIM(E757),1)="/",LEFT(TRIM(E757),LEN(TRIM(E757))-1),TRIM(E757)))&lt;&gt;LOWER(IF(RIGHT(TRIM(G757),1)="/",LEFT(TRIM(G757),LEN(TRIM(G757))-1),TRIM(G757))),"Yes","No"))</f>
        <v/>
      </c>
      <c r="Y757">
        <f>IF(A757="","",(N(Q757)&gt;0)+(T757="Yes")+(U757="Yes")+(W757="Yes")+(X757="Yes"))</f>
        <v/>
      </c>
      <c r="Z757">
        <f>IF(A757="","",IF(G757="","Not mapped",IF(Y757=0,"OK",MID(IF(N(Q757)&gt;0,"; Cannibalisation","")&amp;IF(T757="Yes","; Too many primary keywords on URL","")&amp;IF(U757="Yes","; URL spans 2+ clusters","")&amp;IF(W757="Yes","; Intent mismatch","")&amp;IF(X757="Yes","; Ranking URL is not the target",""),3,300))))</f>
        <v/>
      </c>
      <c r="AA757">
        <f>IF(G757="","",IF(COUNTIF($G$3:G757,SUBSTITUTE(SUBSTITUTE(G757,"?","~?"),"*","~*"))=1,MAX($AA$2:AA756)+1,""))</f>
        <v/>
      </c>
      <c r="AB757">
        <f>IF(B757="","",IF(COUNTIF($B$3:B757,SUBSTITUTE(SUBSTITUTE(B757,"?","~?"),"*","~*"))=1,MAX($AB$2:AB756)+1,""))</f>
        <v/>
      </c>
    </row>
    <row r="758">
      <c r="M758">
        <f>IF(A758="","",LOWER(TRIM(SUBSTITUTE(SUBSTITUTE(A758,"?",""),"*",""))))</f>
        <v/>
      </c>
      <c r="N758">
        <f>IF(M758="","",IF(SUMPRODUCT(ISNUMBER(SEARCH(" "&amp;Settings!$L$5:$L$124&amp;" "," "&amp;M758&amp;" "))*(Settings!$K$5:$K$124="Navigational")*(Settings!$L$5:$L$124&lt;&gt;""))&gt;0,"Navigational",IF(SUMPRODUCT(ISNUMBER(SEARCH(" "&amp;Settings!$L$5:$L$124&amp;" "," "&amp;M758&amp;" "))*(Settings!$K$5:$K$124="Transactional")*(Settings!$L$5:$L$124&lt;&gt;""))&gt;0,"Transactional",IF(SUMPRODUCT(ISNUMBER(SEARCH(" "&amp;Settings!$L$5:$L$124&amp;" "," "&amp;M758&amp;" "))*(Settings!$K$5:$K$124="Commercial")*(Settings!$L$5:$L$124&lt;&gt;""))&gt;0,"Commercial",IF(SUMPRODUCT(ISNUMBER(SEARCH(" "&amp;Settings!$L$5:$L$124&amp;" "," "&amp;M758&amp;" "))*(Settings!$K$5:$K$124="Informational")*(Settings!$L$5:$L$124&lt;&gt;""))&gt;0,"Informational","Unclassified")))))</f>
        <v/>
      </c>
      <c r="O758">
        <f>IF(A758="","",IF(K758&lt;&gt;"",PROPER(K758),N758))</f>
        <v/>
      </c>
      <c r="P758">
        <f>IF(A758="","",ROUND(Settings!$B$5*MIN(1,LOG10(N(C758)+1)/LOG10(Settings!$B$7+1))+Settings!$B$6*(1-MIN(100,IF(D758="",50,N(D758)))/100)+IFERROR(INDEX(Settings!$B$10:$B$14,MATCH(O758,Settings!$A$10:$A$14,0)),0),0))</f>
        <v/>
      </c>
      <c r="Q758">
        <f>IF(OR(A758="",G758=""),"",COUNTIFS($M$3:$M$1002,M758,$G$3:$G$1002,"&lt;&gt;"&amp;SUBSTITUTE(SUBSTITUTE(G758,"?","~?"),"*","~*"),$G$3:$G$1002,"?*"))</f>
        <v/>
      </c>
      <c r="R758">
        <f>IF(Q758="","",IF(Q758&gt;0,"Yes","No"))</f>
        <v/>
      </c>
      <c r="S758">
        <f>IF(G758="","",COUNTIFS($G$3:$G$1002,SUBSTITUTE(SUBSTITUTE(G758,"?","~?"),"*","~*"),$J$3:$J$1002,"Primary"))</f>
        <v/>
      </c>
      <c r="T758">
        <f>IF(S758="","",IF(S758&gt;Settings!$B$4,"Yes","No"))</f>
        <v/>
      </c>
      <c r="U758">
        <f>IF(OR(G758="",B758=""),"",IF(COUNTIFS($G$3:$G$1002,SUBSTITUTE(SUBSTITUTE(G758,"?","~?"),"*","~*"),$B$3:$B$1002,"&lt;&gt;"&amp;SUBSTITUTE(SUBSTITUTE(B758,"?","~?"),"*","~*"),$B$3:$B$1002,"?*")&gt;0,"Yes","No"))</f>
        <v/>
      </c>
      <c r="V758">
        <f>IF(OR(G758="",I758="",O758="",O758="Unclassified"),"",IFERROR(INDEX(Settings!$E$5:$H$16,MATCH(I758,Settings!$D$5:$D$16,0),MATCH(O758,Settings!$E$4:$H$4,0)),"Check"))</f>
        <v/>
      </c>
      <c r="W758">
        <f>IF(V758="","",IF(V758="No","Yes","No"))</f>
        <v/>
      </c>
      <c r="X758">
        <f>IF(OR(E758="",G758=""),"",IF(LOWER(IF(RIGHT(TRIM(E758),1)="/",LEFT(TRIM(E758),LEN(TRIM(E758))-1),TRIM(E758)))&lt;&gt;LOWER(IF(RIGHT(TRIM(G758),1)="/",LEFT(TRIM(G758),LEN(TRIM(G758))-1),TRIM(G758))),"Yes","No"))</f>
        <v/>
      </c>
      <c r="Y758">
        <f>IF(A758="","",(N(Q758)&gt;0)+(T758="Yes")+(U758="Yes")+(W758="Yes")+(X758="Yes"))</f>
        <v/>
      </c>
      <c r="Z758">
        <f>IF(A758="","",IF(G758="","Not mapped",IF(Y758=0,"OK",MID(IF(N(Q758)&gt;0,"; Cannibalisation","")&amp;IF(T758="Yes","; Too many primary keywords on URL","")&amp;IF(U758="Yes","; URL spans 2+ clusters","")&amp;IF(W758="Yes","; Intent mismatch","")&amp;IF(X758="Yes","; Ranking URL is not the target",""),3,300))))</f>
        <v/>
      </c>
      <c r="AA758">
        <f>IF(G758="","",IF(COUNTIF($G$3:G758,SUBSTITUTE(SUBSTITUTE(G758,"?","~?"),"*","~*"))=1,MAX($AA$2:AA757)+1,""))</f>
        <v/>
      </c>
      <c r="AB758">
        <f>IF(B758="","",IF(COUNTIF($B$3:B758,SUBSTITUTE(SUBSTITUTE(B758,"?","~?"),"*","~*"))=1,MAX($AB$2:AB757)+1,""))</f>
        <v/>
      </c>
    </row>
    <row r="759">
      <c r="M759">
        <f>IF(A759="","",LOWER(TRIM(SUBSTITUTE(SUBSTITUTE(A759,"?",""),"*",""))))</f>
        <v/>
      </c>
      <c r="N759">
        <f>IF(M759="","",IF(SUMPRODUCT(ISNUMBER(SEARCH(" "&amp;Settings!$L$5:$L$124&amp;" "," "&amp;M759&amp;" "))*(Settings!$K$5:$K$124="Navigational")*(Settings!$L$5:$L$124&lt;&gt;""))&gt;0,"Navigational",IF(SUMPRODUCT(ISNUMBER(SEARCH(" "&amp;Settings!$L$5:$L$124&amp;" "," "&amp;M759&amp;" "))*(Settings!$K$5:$K$124="Transactional")*(Settings!$L$5:$L$124&lt;&gt;""))&gt;0,"Transactional",IF(SUMPRODUCT(ISNUMBER(SEARCH(" "&amp;Settings!$L$5:$L$124&amp;" "," "&amp;M759&amp;" "))*(Settings!$K$5:$K$124="Commercial")*(Settings!$L$5:$L$124&lt;&gt;""))&gt;0,"Commercial",IF(SUMPRODUCT(ISNUMBER(SEARCH(" "&amp;Settings!$L$5:$L$124&amp;" "," "&amp;M759&amp;" "))*(Settings!$K$5:$K$124="Informational")*(Settings!$L$5:$L$124&lt;&gt;""))&gt;0,"Informational","Unclassified")))))</f>
        <v/>
      </c>
      <c r="O759">
        <f>IF(A759="","",IF(K759&lt;&gt;"",PROPER(K759),N759))</f>
        <v/>
      </c>
      <c r="P759">
        <f>IF(A759="","",ROUND(Settings!$B$5*MIN(1,LOG10(N(C759)+1)/LOG10(Settings!$B$7+1))+Settings!$B$6*(1-MIN(100,IF(D759="",50,N(D759)))/100)+IFERROR(INDEX(Settings!$B$10:$B$14,MATCH(O759,Settings!$A$10:$A$14,0)),0),0))</f>
        <v/>
      </c>
      <c r="Q759">
        <f>IF(OR(A759="",G759=""),"",COUNTIFS($M$3:$M$1002,M759,$G$3:$G$1002,"&lt;&gt;"&amp;SUBSTITUTE(SUBSTITUTE(G759,"?","~?"),"*","~*"),$G$3:$G$1002,"?*"))</f>
        <v/>
      </c>
      <c r="R759">
        <f>IF(Q759="","",IF(Q759&gt;0,"Yes","No"))</f>
        <v/>
      </c>
      <c r="S759">
        <f>IF(G759="","",COUNTIFS($G$3:$G$1002,SUBSTITUTE(SUBSTITUTE(G759,"?","~?"),"*","~*"),$J$3:$J$1002,"Primary"))</f>
        <v/>
      </c>
      <c r="T759">
        <f>IF(S759="","",IF(S759&gt;Settings!$B$4,"Yes","No"))</f>
        <v/>
      </c>
      <c r="U759">
        <f>IF(OR(G759="",B759=""),"",IF(COUNTIFS($G$3:$G$1002,SUBSTITUTE(SUBSTITUTE(G759,"?","~?"),"*","~*"),$B$3:$B$1002,"&lt;&gt;"&amp;SUBSTITUTE(SUBSTITUTE(B759,"?","~?"),"*","~*"),$B$3:$B$1002,"?*")&gt;0,"Yes","No"))</f>
        <v/>
      </c>
      <c r="V759">
        <f>IF(OR(G759="",I759="",O759="",O759="Unclassified"),"",IFERROR(INDEX(Settings!$E$5:$H$16,MATCH(I759,Settings!$D$5:$D$16,0),MATCH(O759,Settings!$E$4:$H$4,0)),"Check"))</f>
        <v/>
      </c>
      <c r="W759">
        <f>IF(V759="","",IF(V759="No","Yes","No"))</f>
        <v/>
      </c>
      <c r="X759">
        <f>IF(OR(E759="",G759=""),"",IF(LOWER(IF(RIGHT(TRIM(E759),1)="/",LEFT(TRIM(E759),LEN(TRIM(E759))-1),TRIM(E759)))&lt;&gt;LOWER(IF(RIGHT(TRIM(G759),1)="/",LEFT(TRIM(G759),LEN(TRIM(G759))-1),TRIM(G759))),"Yes","No"))</f>
        <v/>
      </c>
      <c r="Y759">
        <f>IF(A759="","",(N(Q759)&gt;0)+(T759="Yes")+(U759="Yes")+(W759="Yes")+(X759="Yes"))</f>
        <v/>
      </c>
      <c r="Z759">
        <f>IF(A759="","",IF(G759="","Not mapped",IF(Y759=0,"OK",MID(IF(N(Q759)&gt;0,"; Cannibalisation","")&amp;IF(T759="Yes","; Too many primary keywords on URL","")&amp;IF(U759="Yes","; URL spans 2+ clusters","")&amp;IF(W759="Yes","; Intent mismatch","")&amp;IF(X759="Yes","; Ranking URL is not the target",""),3,300))))</f>
        <v/>
      </c>
      <c r="AA759">
        <f>IF(G759="","",IF(COUNTIF($G$3:G759,SUBSTITUTE(SUBSTITUTE(G759,"?","~?"),"*","~*"))=1,MAX($AA$2:AA758)+1,""))</f>
        <v/>
      </c>
      <c r="AB759">
        <f>IF(B759="","",IF(COUNTIF($B$3:B759,SUBSTITUTE(SUBSTITUTE(B759,"?","~?"),"*","~*"))=1,MAX($AB$2:AB758)+1,""))</f>
        <v/>
      </c>
    </row>
    <row r="760">
      <c r="M760">
        <f>IF(A760="","",LOWER(TRIM(SUBSTITUTE(SUBSTITUTE(A760,"?",""),"*",""))))</f>
        <v/>
      </c>
      <c r="N760">
        <f>IF(M760="","",IF(SUMPRODUCT(ISNUMBER(SEARCH(" "&amp;Settings!$L$5:$L$124&amp;" "," "&amp;M760&amp;" "))*(Settings!$K$5:$K$124="Navigational")*(Settings!$L$5:$L$124&lt;&gt;""))&gt;0,"Navigational",IF(SUMPRODUCT(ISNUMBER(SEARCH(" "&amp;Settings!$L$5:$L$124&amp;" "," "&amp;M760&amp;" "))*(Settings!$K$5:$K$124="Transactional")*(Settings!$L$5:$L$124&lt;&gt;""))&gt;0,"Transactional",IF(SUMPRODUCT(ISNUMBER(SEARCH(" "&amp;Settings!$L$5:$L$124&amp;" "," "&amp;M760&amp;" "))*(Settings!$K$5:$K$124="Commercial")*(Settings!$L$5:$L$124&lt;&gt;""))&gt;0,"Commercial",IF(SUMPRODUCT(ISNUMBER(SEARCH(" "&amp;Settings!$L$5:$L$124&amp;" "," "&amp;M760&amp;" "))*(Settings!$K$5:$K$124="Informational")*(Settings!$L$5:$L$124&lt;&gt;""))&gt;0,"Informational","Unclassified")))))</f>
        <v/>
      </c>
      <c r="O760">
        <f>IF(A760="","",IF(K760&lt;&gt;"",PROPER(K760),N760))</f>
        <v/>
      </c>
      <c r="P760">
        <f>IF(A760="","",ROUND(Settings!$B$5*MIN(1,LOG10(N(C760)+1)/LOG10(Settings!$B$7+1))+Settings!$B$6*(1-MIN(100,IF(D760="",50,N(D760)))/100)+IFERROR(INDEX(Settings!$B$10:$B$14,MATCH(O760,Settings!$A$10:$A$14,0)),0),0))</f>
        <v/>
      </c>
      <c r="Q760">
        <f>IF(OR(A760="",G760=""),"",COUNTIFS($M$3:$M$1002,M760,$G$3:$G$1002,"&lt;&gt;"&amp;SUBSTITUTE(SUBSTITUTE(G760,"?","~?"),"*","~*"),$G$3:$G$1002,"?*"))</f>
        <v/>
      </c>
      <c r="R760">
        <f>IF(Q760="","",IF(Q760&gt;0,"Yes","No"))</f>
        <v/>
      </c>
      <c r="S760">
        <f>IF(G760="","",COUNTIFS($G$3:$G$1002,SUBSTITUTE(SUBSTITUTE(G760,"?","~?"),"*","~*"),$J$3:$J$1002,"Primary"))</f>
        <v/>
      </c>
      <c r="T760">
        <f>IF(S760="","",IF(S760&gt;Settings!$B$4,"Yes","No"))</f>
        <v/>
      </c>
      <c r="U760">
        <f>IF(OR(G760="",B760=""),"",IF(COUNTIFS($G$3:$G$1002,SUBSTITUTE(SUBSTITUTE(G760,"?","~?"),"*","~*"),$B$3:$B$1002,"&lt;&gt;"&amp;SUBSTITUTE(SUBSTITUTE(B760,"?","~?"),"*","~*"),$B$3:$B$1002,"?*")&gt;0,"Yes","No"))</f>
        <v/>
      </c>
      <c r="V760">
        <f>IF(OR(G760="",I760="",O760="",O760="Unclassified"),"",IFERROR(INDEX(Settings!$E$5:$H$16,MATCH(I760,Settings!$D$5:$D$16,0),MATCH(O760,Settings!$E$4:$H$4,0)),"Check"))</f>
        <v/>
      </c>
      <c r="W760">
        <f>IF(V760="","",IF(V760="No","Yes","No"))</f>
        <v/>
      </c>
      <c r="X760">
        <f>IF(OR(E760="",G760=""),"",IF(LOWER(IF(RIGHT(TRIM(E760),1)="/",LEFT(TRIM(E760),LEN(TRIM(E760))-1),TRIM(E760)))&lt;&gt;LOWER(IF(RIGHT(TRIM(G760),1)="/",LEFT(TRIM(G760),LEN(TRIM(G760))-1),TRIM(G760))),"Yes","No"))</f>
        <v/>
      </c>
      <c r="Y760">
        <f>IF(A760="","",(N(Q760)&gt;0)+(T760="Yes")+(U760="Yes")+(W760="Yes")+(X760="Yes"))</f>
        <v/>
      </c>
      <c r="Z760">
        <f>IF(A760="","",IF(G760="","Not mapped",IF(Y760=0,"OK",MID(IF(N(Q760)&gt;0,"; Cannibalisation","")&amp;IF(T760="Yes","; Too many primary keywords on URL","")&amp;IF(U760="Yes","; URL spans 2+ clusters","")&amp;IF(W760="Yes","; Intent mismatch","")&amp;IF(X760="Yes","; Ranking URL is not the target",""),3,300))))</f>
        <v/>
      </c>
      <c r="AA760">
        <f>IF(G760="","",IF(COUNTIF($G$3:G760,SUBSTITUTE(SUBSTITUTE(G760,"?","~?"),"*","~*"))=1,MAX($AA$2:AA759)+1,""))</f>
        <v/>
      </c>
      <c r="AB760">
        <f>IF(B760="","",IF(COUNTIF($B$3:B760,SUBSTITUTE(SUBSTITUTE(B760,"?","~?"),"*","~*"))=1,MAX($AB$2:AB759)+1,""))</f>
        <v/>
      </c>
    </row>
    <row r="761">
      <c r="M761">
        <f>IF(A761="","",LOWER(TRIM(SUBSTITUTE(SUBSTITUTE(A761,"?",""),"*",""))))</f>
        <v/>
      </c>
      <c r="N761">
        <f>IF(M761="","",IF(SUMPRODUCT(ISNUMBER(SEARCH(" "&amp;Settings!$L$5:$L$124&amp;" "," "&amp;M761&amp;" "))*(Settings!$K$5:$K$124="Navigational")*(Settings!$L$5:$L$124&lt;&gt;""))&gt;0,"Navigational",IF(SUMPRODUCT(ISNUMBER(SEARCH(" "&amp;Settings!$L$5:$L$124&amp;" "," "&amp;M761&amp;" "))*(Settings!$K$5:$K$124="Transactional")*(Settings!$L$5:$L$124&lt;&gt;""))&gt;0,"Transactional",IF(SUMPRODUCT(ISNUMBER(SEARCH(" "&amp;Settings!$L$5:$L$124&amp;" "," "&amp;M761&amp;" "))*(Settings!$K$5:$K$124="Commercial")*(Settings!$L$5:$L$124&lt;&gt;""))&gt;0,"Commercial",IF(SUMPRODUCT(ISNUMBER(SEARCH(" "&amp;Settings!$L$5:$L$124&amp;" "," "&amp;M761&amp;" "))*(Settings!$K$5:$K$124="Informational")*(Settings!$L$5:$L$124&lt;&gt;""))&gt;0,"Informational","Unclassified")))))</f>
        <v/>
      </c>
      <c r="O761">
        <f>IF(A761="","",IF(K761&lt;&gt;"",PROPER(K761),N761))</f>
        <v/>
      </c>
      <c r="P761">
        <f>IF(A761="","",ROUND(Settings!$B$5*MIN(1,LOG10(N(C761)+1)/LOG10(Settings!$B$7+1))+Settings!$B$6*(1-MIN(100,IF(D761="",50,N(D761)))/100)+IFERROR(INDEX(Settings!$B$10:$B$14,MATCH(O761,Settings!$A$10:$A$14,0)),0),0))</f>
        <v/>
      </c>
      <c r="Q761">
        <f>IF(OR(A761="",G761=""),"",COUNTIFS($M$3:$M$1002,M761,$G$3:$G$1002,"&lt;&gt;"&amp;SUBSTITUTE(SUBSTITUTE(G761,"?","~?"),"*","~*"),$G$3:$G$1002,"?*"))</f>
        <v/>
      </c>
      <c r="R761">
        <f>IF(Q761="","",IF(Q761&gt;0,"Yes","No"))</f>
        <v/>
      </c>
      <c r="S761">
        <f>IF(G761="","",COUNTIFS($G$3:$G$1002,SUBSTITUTE(SUBSTITUTE(G761,"?","~?"),"*","~*"),$J$3:$J$1002,"Primary"))</f>
        <v/>
      </c>
      <c r="T761">
        <f>IF(S761="","",IF(S761&gt;Settings!$B$4,"Yes","No"))</f>
        <v/>
      </c>
      <c r="U761">
        <f>IF(OR(G761="",B761=""),"",IF(COUNTIFS($G$3:$G$1002,SUBSTITUTE(SUBSTITUTE(G761,"?","~?"),"*","~*"),$B$3:$B$1002,"&lt;&gt;"&amp;SUBSTITUTE(SUBSTITUTE(B761,"?","~?"),"*","~*"),$B$3:$B$1002,"?*")&gt;0,"Yes","No"))</f>
        <v/>
      </c>
      <c r="V761">
        <f>IF(OR(G761="",I761="",O761="",O761="Unclassified"),"",IFERROR(INDEX(Settings!$E$5:$H$16,MATCH(I761,Settings!$D$5:$D$16,0),MATCH(O761,Settings!$E$4:$H$4,0)),"Check"))</f>
        <v/>
      </c>
      <c r="W761">
        <f>IF(V761="","",IF(V761="No","Yes","No"))</f>
        <v/>
      </c>
      <c r="X761">
        <f>IF(OR(E761="",G761=""),"",IF(LOWER(IF(RIGHT(TRIM(E761),1)="/",LEFT(TRIM(E761),LEN(TRIM(E761))-1),TRIM(E761)))&lt;&gt;LOWER(IF(RIGHT(TRIM(G761),1)="/",LEFT(TRIM(G761),LEN(TRIM(G761))-1),TRIM(G761))),"Yes","No"))</f>
        <v/>
      </c>
      <c r="Y761">
        <f>IF(A761="","",(N(Q761)&gt;0)+(T761="Yes")+(U761="Yes")+(W761="Yes")+(X761="Yes"))</f>
        <v/>
      </c>
      <c r="Z761">
        <f>IF(A761="","",IF(G761="","Not mapped",IF(Y761=0,"OK",MID(IF(N(Q761)&gt;0,"; Cannibalisation","")&amp;IF(T761="Yes","; Too many primary keywords on URL","")&amp;IF(U761="Yes","; URL spans 2+ clusters","")&amp;IF(W761="Yes","; Intent mismatch","")&amp;IF(X761="Yes","; Ranking URL is not the target",""),3,300))))</f>
        <v/>
      </c>
      <c r="AA761">
        <f>IF(G761="","",IF(COUNTIF($G$3:G761,SUBSTITUTE(SUBSTITUTE(G761,"?","~?"),"*","~*"))=1,MAX($AA$2:AA760)+1,""))</f>
        <v/>
      </c>
      <c r="AB761">
        <f>IF(B761="","",IF(COUNTIF($B$3:B761,SUBSTITUTE(SUBSTITUTE(B761,"?","~?"),"*","~*"))=1,MAX($AB$2:AB760)+1,""))</f>
        <v/>
      </c>
    </row>
    <row r="762">
      <c r="M762">
        <f>IF(A762="","",LOWER(TRIM(SUBSTITUTE(SUBSTITUTE(A762,"?",""),"*",""))))</f>
        <v/>
      </c>
      <c r="N762">
        <f>IF(M762="","",IF(SUMPRODUCT(ISNUMBER(SEARCH(" "&amp;Settings!$L$5:$L$124&amp;" "," "&amp;M762&amp;" "))*(Settings!$K$5:$K$124="Navigational")*(Settings!$L$5:$L$124&lt;&gt;""))&gt;0,"Navigational",IF(SUMPRODUCT(ISNUMBER(SEARCH(" "&amp;Settings!$L$5:$L$124&amp;" "," "&amp;M762&amp;" "))*(Settings!$K$5:$K$124="Transactional")*(Settings!$L$5:$L$124&lt;&gt;""))&gt;0,"Transactional",IF(SUMPRODUCT(ISNUMBER(SEARCH(" "&amp;Settings!$L$5:$L$124&amp;" "," "&amp;M762&amp;" "))*(Settings!$K$5:$K$124="Commercial")*(Settings!$L$5:$L$124&lt;&gt;""))&gt;0,"Commercial",IF(SUMPRODUCT(ISNUMBER(SEARCH(" "&amp;Settings!$L$5:$L$124&amp;" "," "&amp;M762&amp;" "))*(Settings!$K$5:$K$124="Informational")*(Settings!$L$5:$L$124&lt;&gt;""))&gt;0,"Informational","Unclassified")))))</f>
        <v/>
      </c>
      <c r="O762">
        <f>IF(A762="","",IF(K762&lt;&gt;"",PROPER(K762),N762))</f>
        <v/>
      </c>
      <c r="P762">
        <f>IF(A762="","",ROUND(Settings!$B$5*MIN(1,LOG10(N(C762)+1)/LOG10(Settings!$B$7+1))+Settings!$B$6*(1-MIN(100,IF(D762="",50,N(D762)))/100)+IFERROR(INDEX(Settings!$B$10:$B$14,MATCH(O762,Settings!$A$10:$A$14,0)),0),0))</f>
        <v/>
      </c>
      <c r="Q762">
        <f>IF(OR(A762="",G762=""),"",COUNTIFS($M$3:$M$1002,M762,$G$3:$G$1002,"&lt;&gt;"&amp;SUBSTITUTE(SUBSTITUTE(G762,"?","~?"),"*","~*"),$G$3:$G$1002,"?*"))</f>
        <v/>
      </c>
      <c r="R762">
        <f>IF(Q762="","",IF(Q762&gt;0,"Yes","No"))</f>
        <v/>
      </c>
      <c r="S762">
        <f>IF(G762="","",COUNTIFS($G$3:$G$1002,SUBSTITUTE(SUBSTITUTE(G762,"?","~?"),"*","~*"),$J$3:$J$1002,"Primary"))</f>
        <v/>
      </c>
      <c r="T762">
        <f>IF(S762="","",IF(S762&gt;Settings!$B$4,"Yes","No"))</f>
        <v/>
      </c>
      <c r="U762">
        <f>IF(OR(G762="",B762=""),"",IF(COUNTIFS($G$3:$G$1002,SUBSTITUTE(SUBSTITUTE(G762,"?","~?"),"*","~*"),$B$3:$B$1002,"&lt;&gt;"&amp;SUBSTITUTE(SUBSTITUTE(B762,"?","~?"),"*","~*"),$B$3:$B$1002,"?*")&gt;0,"Yes","No"))</f>
        <v/>
      </c>
      <c r="V762">
        <f>IF(OR(G762="",I762="",O762="",O762="Unclassified"),"",IFERROR(INDEX(Settings!$E$5:$H$16,MATCH(I762,Settings!$D$5:$D$16,0),MATCH(O762,Settings!$E$4:$H$4,0)),"Check"))</f>
        <v/>
      </c>
      <c r="W762">
        <f>IF(V762="","",IF(V762="No","Yes","No"))</f>
        <v/>
      </c>
      <c r="X762">
        <f>IF(OR(E762="",G762=""),"",IF(LOWER(IF(RIGHT(TRIM(E762),1)="/",LEFT(TRIM(E762),LEN(TRIM(E762))-1),TRIM(E762)))&lt;&gt;LOWER(IF(RIGHT(TRIM(G762),1)="/",LEFT(TRIM(G762),LEN(TRIM(G762))-1),TRIM(G762))),"Yes","No"))</f>
        <v/>
      </c>
      <c r="Y762">
        <f>IF(A762="","",(N(Q762)&gt;0)+(T762="Yes")+(U762="Yes")+(W762="Yes")+(X762="Yes"))</f>
        <v/>
      </c>
      <c r="Z762">
        <f>IF(A762="","",IF(G762="","Not mapped",IF(Y762=0,"OK",MID(IF(N(Q762)&gt;0,"; Cannibalisation","")&amp;IF(T762="Yes","; Too many primary keywords on URL","")&amp;IF(U762="Yes","; URL spans 2+ clusters","")&amp;IF(W762="Yes","; Intent mismatch","")&amp;IF(X762="Yes","; Ranking URL is not the target",""),3,300))))</f>
        <v/>
      </c>
      <c r="AA762">
        <f>IF(G762="","",IF(COUNTIF($G$3:G762,SUBSTITUTE(SUBSTITUTE(G762,"?","~?"),"*","~*"))=1,MAX($AA$2:AA761)+1,""))</f>
        <v/>
      </c>
      <c r="AB762">
        <f>IF(B762="","",IF(COUNTIF($B$3:B762,SUBSTITUTE(SUBSTITUTE(B762,"?","~?"),"*","~*"))=1,MAX($AB$2:AB761)+1,""))</f>
        <v/>
      </c>
    </row>
    <row r="763">
      <c r="M763">
        <f>IF(A763="","",LOWER(TRIM(SUBSTITUTE(SUBSTITUTE(A763,"?",""),"*",""))))</f>
        <v/>
      </c>
      <c r="N763">
        <f>IF(M763="","",IF(SUMPRODUCT(ISNUMBER(SEARCH(" "&amp;Settings!$L$5:$L$124&amp;" "," "&amp;M763&amp;" "))*(Settings!$K$5:$K$124="Navigational")*(Settings!$L$5:$L$124&lt;&gt;""))&gt;0,"Navigational",IF(SUMPRODUCT(ISNUMBER(SEARCH(" "&amp;Settings!$L$5:$L$124&amp;" "," "&amp;M763&amp;" "))*(Settings!$K$5:$K$124="Transactional")*(Settings!$L$5:$L$124&lt;&gt;""))&gt;0,"Transactional",IF(SUMPRODUCT(ISNUMBER(SEARCH(" "&amp;Settings!$L$5:$L$124&amp;" "," "&amp;M763&amp;" "))*(Settings!$K$5:$K$124="Commercial")*(Settings!$L$5:$L$124&lt;&gt;""))&gt;0,"Commercial",IF(SUMPRODUCT(ISNUMBER(SEARCH(" "&amp;Settings!$L$5:$L$124&amp;" "," "&amp;M763&amp;" "))*(Settings!$K$5:$K$124="Informational")*(Settings!$L$5:$L$124&lt;&gt;""))&gt;0,"Informational","Unclassified")))))</f>
        <v/>
      </c>
      <c r="O763">
        <f>IF(A763="","",IF(K763&lt;&gt;"",PROPER(K763),N763))</f>
        <v/>
      </c>
      <c r="P763">
        <f>IF(A763="","",ROUND(Settings!$B$5*MIN(1,LOG10(N(C763)+1)/LOG10(Settings!$B$7+1))+Settings!$B$6*(1-MIN(100,IF(D763="",50,N(D763)))/100)+IFERROR(INDEX(Settings!$B$10:$B$14,MATCH(O763,Settings!$A$10:$A$14,0)),0),0))</f>
        <v/>
      </c>
      <c r="Q763">
        <f>IF(OR(A763="",G763=""),"",COUNTIFS($M$3:$M$1002,M763,$G$3:$G$1002,"&lt;&gt;"&amp;SUBSTITUTE(SUBSTITUTE(G763,"?","~?"),"*","~*"),$G$3:$G$1002,"?*"))</f>
        <v/>
      </c>
      <c r="R763">
        <f>IF(Q763="","",IF(Q763&gt;0,"Yes","No"))</f>
        <v/>
      </c>
      <c r="S763">
        <f>IF(G763="","",COUNTIFS($G$3:$G$1002,SUBSTITUTE(SUBSTITUTE(G763,"?","~?"),"*","~*"),$J$3:$J$1002,"Primary"))</f>
        <v/>
      </c>
      <c r="T763">
        <f>IF(S763="","",IF(S763&gt;Settings!$B$4,"Yes","No"))</f>
        <v/>
      </c>
      <c r="U763">
        <f>IF(OR(G763="",B763=""),"",IF(COUNTIFS($G$3:$G$1002,SUBSTITUTE(SUBSTITUTE(G763,"?","~?"),"*","~*"),$B$3:$B$1002,"&lt;&gt;"&amp;SUBSTITUTE(SUBSTITUTE(B763,"?","~?"),"*","~*"),$B$3:$B$1002,"?*")&gt;0,"Yes","No"))</f>
        <v/>
      </c>
      <c r="V763">
        <f>IF(OR(G763="",I763="",O763="",O763="Unclassified"),"",IFERROR(INDEX(Settings!$E$5:$H$16,MATCH(I763,Settings!$D$5:$D$16,0),MATCH(O763,Settings!$E$4:$H$4,0)),"Check"))</f>
        <v/>
      </c>
      <c r="W763">
        <f>IF(V763="","",IF(V763="No","Yes","No"))</f>
        <v/>
      </c>
      <c r="X763">
        <f>IF(OR(E763="",G763=""),"",IF(LOWER(IF(RIGHT(TRIM(E763),1)="/",LEFT(TRIM(E763),LEN(TRIM(E763))-1),TRIM(E763)))&lt;&gt;LOWER(IF(RIGHT(TRIM(G763),1)="/",LEFT(TRIM(G763),LEN(TRIM(G763))-1),TRIM(G763))),"Yes","No"))</f>
        <v/>
      </c>
      <c r="Y763">
        <f>IF(A763="","",(N(Q763)&gt;0)+(T763="Yes")+(U763="Yes")+(W763="Yes")+(X763="Yes"))</f>
        <v/>
      </c>
      <c r="Z763">
        <f>IF(A763="","",IF(G763="","Not mapped",IF(Y763=0,"OK",MID(IF(N(Q763)&gt;0,"; Cannibalisation","")&amp;IF(T763="Yes","; Too many primary keywords on URL","")&amp;IF(U763="Yes","; URL spans 2+ clusters","")&amp;IF(W763="Yes","; Intent mismatch","")&amp;IF(X763="Yes","; Ranking URL is not the target",""),3,300))))</f>
        <v/>
      </c>
      <c r="AA763">
        <f>IF(G763="","",IF(COUNTIF($G$3:G763,SUBSTITUTE(SUBSTITUTE(G763,"?","~?"),"*","~*"))=1,MAX($AA$2:AA762)+1,""))</f>
        <v/>
      </c>
      <c r="AB763">
        <f>IF(B763="","",IF(COUNTIF($B$3:B763,SUBSTITUTE(SUBSTITUTE(B763,"?","~?"),"*","~*"))=1,MAX($AB$2:AB762)+1,""))</f>
        <v/>
      </c>
    </row>
    <row r="764">
      <c r="M764">
        <f>IF(A764="","",LOWER(TRIM(SUBSTITUTE(SUBSTITUTE(A764,"?",""),"*",""))))</f>
        <v/>
      </c>
      <c r="N764">
        <f>IF(M764="","",IF(SUMPRODUCT(ISNUMBER(SEARCH(" "&amp;Settings!$L$5:$L$124&amp;" "," "&amp;M764&amp;" "))*(Settings!$K$5:$K$124="Navigational")*(Settings!$L$5:$L$124&lt;&gt;""))&gt;0,"Navigational",IF(SUMPRODUCT(ISNUMBER(SEARCH(" "&amp;Settings!$L$5:$L$124&amp;" "," "&amp;M764&amp;" "))*(Settings!$K$5:$K$124="Transactional")*(Settings!$L$5:$L$124&lt;&gt;""))&gt;0,"Transactional",IF(SUMPRODUCT(ISNUMBER(SEARCH(" "&amp;Settings!$L$5:$L$124&amp;" "," "&amp;M764&amp;" "))*(Settings!$K$5:$K$124="Commercial")*(Settings!$L$5:$L$124&lt;&gt;""))&gt;0,"Commercial",IF(SUMPRODUCT(ISNUMBER(SEARCH(" "&amp;Settings!$L$5:$L$124&amp;" "," "&amp;M764&amp;" "))*(Settings!$K$5:$K$124="Informational")*(Settings!$L$5:$L$124&lt;&gt;""))&gt;0,"Informational","Unclassified")))))</f>
        <v/>
      </c>
      <c r="O764">
        <f>IF(A764="","",IF(K764&lt;&gt;"",PROPER(K764),N764))</f>
        <v/>
      </c>
      <c r="P764">
        <f>IF(A764="","",ROUND(Settings!$B$5*MIN(1,LOG10(N(C764)+1)/LOG10(Settings!$B$7+1))+Settings!$B$6*(1-MIN(100,IF(D764="",50,N(D764)))/100)+IFERROR(INDEX(Settings!$B$10:$B$14,MATCH(O764,Settings!$A$10:$A$14,0)),0),0))</f>
        <v/>
      </c>
      <c r="Q764">
        <f>IF(OR(A764="",G764=""),"",COUNTIFS($M$3:$M$1002,M764,$G$3:$G$1002,"&lt;&gt;"&amp;SUBSTITUTE(SUBSTITUTE(G764,"?","~?"),"*","~*"),$G$3:$G$1002,"?*"))</f>
        <v/>
      </c>
      <c r="R764">
        <f>IF(Q764="","",IF(Q764&gt;0,"Yes","No"))</f>
        <v/>
      </c>
      <c r="S764">
        <f>IF(G764="","",COUNTIFS($G$3:$G$1002,SUBSTITUTE(SUBSTITUTE(G764,"?","~?"),"*","~*"),$J$3:$J$1002,"Primary"))</f>
        <v/>
      </c>
      <c r="T764">
        <f>IF(S764="","",IF(S764&gt;Settings!$B$4,"Yes","No"))</f>
        <v/>
      </c>
      <c r="U764">
        <f>IF(OR(G764="",B764=""),"",IF(COUNTIFS($G$3:$G$1002,SUBSTITUTE(SUBSTITUTE(G764,"?","~?"),"*","~*"),$B$3:$B$1002,"&lt;&gt;"&amp;SUBSTITUTE(SUBSTITUTE(B764,"?","~?"),"*","~*"),$B$3:$B$1002,"?*")&gt;0,"Yes","No"))</f>
        <v/>
      </c>
      <c r="V764">
        <f>IF(OR(G764="",I764="",O764="",O764="Unclassified"),"",IFERROR(INDEX(Settings!$E$5:$H$16,MATCH(I764,Settings!$D$5:$D$16,0),MATCH(O764,Settings!$E$4:$H$4,0)),"Check"))</f>
        <v/>
      </c>
      <c r="W764">
        <f>IF(V764="","",IF(V764="No","Yes","No"))</f>
        <v/>
      </c>
      <c r="X764">
        <f>IF(OR(E764="",G764=""),"",IF(LOWER(IF(RIGHT(TRIM(E764),1)="/",LEFT(TRIM(E764),LEN(TRIM(E764))-1),TRIM(E764)))&lt;&gt;LOWER(IF(RIGHT(TRIM(G764),1)="/",LEFT(TRIM(G764),LEN(TRIM(G764))-1),TRIM(G764))),"Yes","No"))</f>
        <v/>
      </c>
      <c r="Y764">
        <f>IF(A764="","",(N(Q764)&gt;0)+(T764="Yes")+(U764="Yes")+(W764="Yes")+(X764="Yes"))</f>
        <v/>
      </c>
      <c r="Z764">
        <f>IF(A764="","",IF(G764="","Not mapped",IF(Y764=0,"OK",MID(IF(N(Q764)&gt;0,"; Cannibalisation","")&amp;IF(T764="Yes","; Too many primary keywords on URL","")&amp;IF(U764="Yes","; URL spans 2+ clusters","")&amp;IF(W764="Yes","; Intent mismatch","")&amp;IF(X764="Yes","; Ranking URL is not the target",""),3,300))))</f>
        <v/>
      </c>
      <c r="AA764">
        <f>IF(G764="","",IF(COUNTIF($G$3:G764,SUBSTITUTE(SUBSTITUTE(G764,"?","~?"),"*","~*"))=1,MAX($AA$2:AA763)+1,""))</f>
        <v/>
      </c>
      <c r="AB764">
        <f>IF(B764="","",IF(COUNTIF($B$3:B764,SUBSTITUTE(SUBSTITUTE(B764,"?","~?"),"*","~*"))=1,MAX($AB$2:AB763)+1,""))</f>
        <v/>
      </c>
    </row>
    <row r="765">
      <c r="M765">
        <f>IF(A765="","",LOWER(TRIM(SUBSTITUTE(SUBSTITUTE(A765,"?",""),"*",""))))</f>
        <v/>
      </c>
      <c r="N765">
        <f>IF(M765="","",IF(SUMPRODUCT(ISNUMBER(SEARCH(" "&amp;Settings!$L$5:$L$124&amp;" "," "&amp;M765&amp;" "))*(Settings!$K$5:$K$124="Navigational")*(Settings!$L$5:$L$124&lt;&gt;""))&gt;0,"Navigational",IF(SUMPRODUCT(ISNUMBER(SEARCH(" "&amp;Settings!$L$5:$L$124&amp;" "," "&amp;M765&amp;" "))*(Settings!$K$5:$K$124="Transactional")*(Settings!$L$5:$L$124&lt;&gt;""))&gt;0,"Transactional",IF(SUMPRODUCT(ISNUMBER(SEARCH(" "&amp;Settings!$L$5:$L$124&amp;" "," "&amp;M765&amp;" "))*(Settings!$K$5:$K$124="Commercial")*(Settings!$L$5:$L$124&lt;&gt;""))&gt;0,"Commercial",IF(SUMPRODUCT(ISNUMBER(SEARCH(" "&amp;Settings!$L$5:$L$124&amp;" "," "&amp;M765&amp;" "))*(Settings!$K$5:$K$124="Informational")*(Settings!$L$5:$L$124&lt;&gt;""))&gt;0,"Informational","Unclassified")))))</f>
        <v/>
      </c>
      <c r="O765">
        <f>IF(A765="","",IF(K765&lt;&gt;"",PROPER(K765),N765))</f>
        <v/>
      </c>
      <c r="P765">
        <f>IF(A765="","",ROUND(Settings!$B$5*MIN(1,LOG10(N(C765)+1)/LOG10(Settings!$B$7+1))+Settings!$B$6*(1-MIN(100,IF(D765="",50,N(D765)))/100)+IFERROR(INDEX(Settings!$B$10:$B$14,MATCH(O765,Settings!$A$10:$A$14,0)),0),0))</f>
        <v/>
      </c>
      <c r="Q765">
        <f>IF(OR(A765="",G765=""),"",COUNTIFS($M$3:$M$1002,M765,$G$3:$G$1002,"&lt;&gt;"&amp;SUBSTITUTE(SUBSTITUTE(G765,"?","~?"),"*","~*"),$G$3:$G$1002,"?*"))</f>
        <v/>
      </c>
      <c r="R765">
        <f>IF(Q765="","",IF(Q765&gt;0,"Yes","No"))</f>
        <v/>
      </c>
      <c r="S765">
        <f>IF(G765="","",COUNTIFS($G$3:$G$1002,SUBSTITUTE(SUBSTITUTE(G765,"?","~?"),"*","~*"),$J$3:$J$1002,"Primary"))</f>
        <v/>
      </c>
      <c r="T765">
        <f>IF(S765="","",IF(S765&gt;Settings!$B$4,"Yes","No"))</f>
        <v/>
      </c>
      <c r="U765">
        <f>IF(OR(G765="",B765=""),"",IF(COUNTIFS($G$3:$G$1002,SUBSTITUTE(SUBSTITUTE(G765,"?","~?"),"*","~*"),$B$3:$B$1002,"&lt;&gt;"&amp;SUBSTITUTE(SUBSTITUTE(B765,"?","~?"),"*","~*"),$B$3:$B$1002,"?*")&gt;0,"Yes","No"))</f>
        <v/>
      </c>
      <c r="V765">
        <f>IF(OR(G765="",I765="",O765="",O765="Unclassified"),"",IFERROR(INDEX(Settings!$E$5:$H$16,MATCH(I765,Settings!$D$5:$D$16,0),MATCH(O765,Settings!$E$4:$H$4,0)),"Check"))</f>
        <v/>
      </c>
      <c r="W765">
        <f>IF(V765="","",IF(V765="No","Yes","No"))</f>
        <v/>
      </c>
      <c r="X765">
        <f>IF(OR(E765="",G765=""),"",IF(LOWER(IF(RIGHT(TRIM(E765),1)="/",LEFT(TRIM(E765),LEN(TRIM(E765))-1),TRIM(E765)))&lt;&gt;LOWER(IF(RIGHT(TRIM(G765),1)="/",LEFT(TRIM(G765),LEN(TRIM(G765))-1),TRIM(G765))),"Yes","No"))</f>
        <v/>
      </c>
      <c r="Y765">
        <f>IF(A765="","",(N(Q765)&gt;0)+(T765="Yes")+(U765="Yes")+(W765="Yes")+(X765="Yes"))</f>
        <v/>
      </c>
      <c r="Z765">
        <f>IF(A765="","",IF(G765="","Not mapped",IF(Y765=0,"OK",MID(IF(N(Q765)&gt;0,"; Cannibalisation","")&amp;IF(T765="Yes","; Too many primary keywords on URL","")&amp;IF(U765="Yes","; URL spans 2+ clusters","")&amp;IF(W765="Yes","; Intent mismatch","")&amp;IF(X765="Yes","; Ranking URL is not the target",""),3,300))))</f>
        <v/>
      </c>
      <c r="AA765">
        <f>IF(G765="","",IF(COUNTIF($G$3:G765,SUBSTITUTE(SUBSTITUTE(G765,"?","~?"),"*","~*"))=1,MAX($AA$2:AA764)+1,""))</f>
        <v/>
      </c>
      <c r="AB765">
        <f>IF(B765="","",IF(COUNTIF($B$3:B765,SUBSTITUTE(SUBSTITUTE(B765,"?","~?"),"*","~*"))=1,MAX($AB$2:AB764)+1,""))</f>
        <v/>
      </c>
    </row>
    <row r="766">
      <c r="M766">
        <f>IF(A766="","",LOWER(TRIM(SUBSTITUTE(SUBSTITUTE(A766,"?",""),"*",""))))</f>
        <v/>
      </c>
      <c r="N766">
        <f>IF(M766="","",IF(SUMPRODUCT(ISNUMBER(SEARCH(" "&amp;Settings!$L$5:$L$124&amp;" "," "&amp;M766&amp;" "))*(Settings!$K$5:$K$124="Navigational")*(Settings!$L$5:$L$124&lt;&gt;""))&gt;0,"Navigational",IF(SUMPRODUCT(ISNUMBER(SEARCH(" "&amp;Settings!$L$5:$L$124&amp;" "," "&amp;M766&amp;" "))*(Settings!$K$5:$K$124="Transactional")*(Settings!$L$5:$L$124&lt;&gt;""))&gt;0,"Transactional",IF(SUMPRODUCT(ISNUMBER(SEARCH(" "&amp;Settings!$L$5:$L$124&amp;" "," "&amp;M766&amp;" "))*(Settings!$K$5:$K$124="Commercial")*(Settings!$L$5:$L$124&lt;&gt;""))&gt;0,"Commercial",IF(SUMPRODUCT(ISNUMBER(SEARCH(" "&amp;Settings!$L$5:$L$124&amp;" "," "&amp;M766&amp;" "))*(Settings!$K$5:$K$124="Informational")*(Settings!$L$5:$L$124&lt;&gt;""))&gt;0,"Informational","Unclassified")))))</f>
        <v/>
      </c>
      <c r="O766">
        <f>IF(A766="","",IF(K766&lt;&gt;"",PROPER(K766),N766))</f>
        <v/>
      </c>
      <c r="P766">
        <f>IF(A766="","",ROUND(Settings!$B$5*MIN(1,LOG10(N(C766)+1)/LOG10(Settings!$B$7+1))+Settings!$B$6*(1-MIN(100,IF(D766="",50,N(D766)))/100)+IFERROR(INDEX(Settings!$B$10:$B$14,MATCH(O766,Settings!$A$10:$A$14,0)),0),0))</f>
        <v/>
      </c>
      <c r="Q766">
        <f>IF(OR(A766="",G766=""),"",COUNTIFS($M$3:$M$1002,M766,$G$3:$G$1002,"&lt;&gt;"&amp;SUBSTITUTE(SUBSTITUTE(G766,"?","~?"),"*","~*"),$G$3:$G$1002,"?*"))</f>
        <v/>
      </c>
      <c r="R766">
        <f>IF(Q766="","",IF(Q766&gt;0,"Yes","No"))</f>
        <v/>
      </c>
      <c r="S766">
        <f>IF(G766="","",COUNTIFS($G$3:$G$1002,SUBSTITUTE(SUBSTITUTE(G766,"?","~?"),"*","~*"),$J$3:$J$1002,"Primary"))</f>
        <v/>
      </c>
      <c r="T766">
        <f>IF(S766="","",IF(S766&gt;Settings!$B$4,"Yes","No"))</f>
        <v/>
      </c>
      <c r="U766">
        <f>IF(OR(G766="",B766=""),"",IF(COUNTIFS($G$3:$G$1002,SUBSTITUTE(SUBSTITUTE(G766,"?","~?"),"*","~*"),$B$3:$B$1002,"&lt;&gt;"&amp;SUBSTITUTE(SUBSTITUTE(B766,"?","~?"),"*","~*"),$B$3:$B$1002,"?*")&gt;0,"Yes","No"))</f>
        <v/>
      </c>
      <c r="V766">
        <f>IF(OR(G766="",I766="",O766="",O766="Unclassified"),"",IFERROR(INDEX(Settings!$E$5:$H$16,MATCH(I766,Settings!$D$5:$D$16,0),MATCH(O766,Settings!$E$4:$H$4,0)),"Check"))</f>
        <v/>
      </c>
      <c r="W766">
        <f>IF(V766="","",IF(V766="No","Yes","No"))</f>
        <v/>
      </c>
      <c r="X766">
        <f>IF(OR(E766="",G766=""),"",IF(LOWER(IF(RIGHT(TRIM(E766),1)="/",LEFT(TRIM(E766),LEN(TRIM(E766))-1),TRIM(E766)))&lt;&gt;LOWER(IF(RIGHT(TRIM(G766),1)="/",LEFT(TRIM(G766),LEN(TRIM(G766))-1),TRIM(G766))),"Yes","No"))</f>
        <v/>
      </c>
      <c r="Y766">
        <f>IF(A766="","",(N(Q766)&gt;0)+(T766="Yes")+(U766="Yes")+(W766="Yes")+(X766="Yes"))</f>
        <v/>
      </c>
      <c r="Z766">
        <f>IF(A766="","",IF(G766="","Not mapped",IF(Y766=0,"OK",MID(IF(N(Q766)&gt;0,"; Cannibalisation","")&amp;IF(T766="Yes","; Too many primary keywords on URL","")&amp;IF(U766="Yes","; URL spans 2+ clusters","")&amp;IF(W766="Yes","; Intent mismatch","")&amp;IF(X766="Yes","; Ranking URL is not the target",""),3,300))))</f>
        <v/>
      </c>
      <c r="AA766">
        <f>IF(G766="","",IF(COUNTIF($G$3:G766,SUBSTITUTE(SUBSTITUTE(G766,"?","~?"),"*","~*"))=1,MAX($AA$2:AA765)+1,""))</f>
        <v/>
      </c>
      <c r="AB766">
        <f>IF(B766="","",IF(COUNTIF($B$3:B766,SUBSTITUTE(SUBSTITUTE(B766,"?","~?"),"*","~*"))=1,MAX($AB$2:AB765)+1,""))</f>
        <v/>
      </c>
    </row>
    <row r="767">
      <c r="M767">
        <f>IF(A767="","",LOWER(TRIM(SUBSTITUTE(SUBSTITUTE(A767,"?",""),"*",""))))</f>
        <v/>
      </c>
      <c r="N767">
        <f>IF(M767="","",IF(SUMPRODUCT(ISNUMBER(SEARCH(" "&amp;Settings!$L$5:$L$124&amp;" "," "&amp;M767&amp;" "))*(Settings!$K$5:$K$124="Navigational")*(Settings!$L$5:$L$124&lt;&gt;""))&gt;0,"Navigational",IF(SUMPRODUCT(ISNUMBER(SEARCH(" "&amp;Settings!$L$5:$L$124&amp;" "," "&amp;M767&amp;" "))*(Settings!$K$5:$K$124="Transactional")*(Settings!$L$5:$L$124&lt;&gt;""))&gt;0,"Transactional",IF(SUMPRODUCT(ISNUMBER(SEARCH(" "&amp;Settings!$L$5:$L$124&amp;" "," "&amp;M767&amp;" "))*(Settings!$K$5:$K$124="Commercial")*(Settings!$L$5:$L$124&lt;&gt;""))&gt;0,"Commercial",IF(SUMPRODUCT(ISNUMBER(SEARCH(" "&amp;Settings!$L$5:$L$124&amp;" "," "&amp;M767&amp;" "))*(Settings!$K$5:$K$124="Informational")*(Settings!$L$5:$L$124&lt;&gt;""))&gt;0,"Informational","Unclassified")))))</f>
        <v/>
      </c>
      <c r="O767">
        <f>IF(A767="","",IF(K767&lt;&gt;"",PROPER(K767),N767))</f>
        <v/>
      </c>
      <c r="P767">
        <f>IF(A767="","",ROUND(Settings!$B$5*MIN(1,LOG10(N(C767)+1)/LOG10(Settings!$B$7+1))+Settings!$B$6*(1-MIN(100,IF(D767="",50,N(D767)))/100)+IFERROR(INDEX(Settings!$B$10:$B$14,MATCH(O767,Settings!$A$10:$A$14,0)),0),0))</f>
        <v/>
      </c>
      <c r="Q767">
        <f>IF(OR(A767="",G767=""),"",COUNTIFS($M$3:$M$1002,M767,$G$3:$G$1002,"&lt;&gt;"&amp;SUBSTITUTE(SUBSTITUTE(G767,"?","~?"),"*","~*"),$G$3:$G$1002,"?*"))</f>
        <v/>
      </c>
      <c r="R767">
        <f>IF(Q767="","",IF(Q767&gt;0,"Yes","No"))</f>
        <v/>
      </c>
      <c r="S767">
        <f>IF(G767="","",COUNTIFS($G$3:$G$1002,SUBSTITUTE(SUBSTITUTE(G767,"?","~?"),"*","~*"),$J$3:$J$1002,"Primary"))</f>
        <v/>
      </c>
      <c r="T767">
        <f>IF(S767="","",IF(S767&gt;Settings!$B$4,"Yes","No"))</f>
        <v/>
      </c>
      <c r="U767">
        <f>IF(OR(G767="",B767=""),"",IF(COUNTIFS($G$3:$G$1002,SUBSTITUTE(SUBSTITUTE(G767,"?","~?"),"*","~*"),$B$3:$B$1002,"&lt;&gt;"&amp;SUBSTITUTE(SUBSTITUTE(B767,"?","~?"),"*","~*"),$B$3:$B$1002,"?*")&gt;0,"Yes","No"))</f>
        <v/>
      </c>
      <c r="V767">
        <f>IF(OR(G767="",I767="",O767="",O767="Unclassified"),"",IFERROR(INDEX(Settings!$E$5:$H$16,MATCH(I767,Settings!$D$5:$D$16,0),MATCH(O767,Settings!$E$4:$H$4,0)),"Check"))</f>
        <v/>
      </c>
      <c r="W767">
        <f>IF(V767="","",IF(V767="No","Yes","No"))</f>
        <v/>
      </c>
      <c r="X767">
        <f>IF(OR(E767="",G767=""),"",IF(LOWER(IF(RIGHT(TRIM(E767),1)="/",LEFT(TRIM(E767),LEN(TRIM(E767))-1),TRIM(E767)))&lt;&gt;LOWER(IF(RIGHT(TRIM(G767),1)="/",LEFT(TRIM(G767),LEN(TRIM(G767))-1),TRIM(G767))),"Yes","No"))</f>
        <v/>
      </c>
      <c r="Y767">
        <f>IF(A767="","",(N(Q767)&gt;0)+(T767="Yes")+(U767="Yes")+(W767="Yes")+(X767="Yes"))</f>
        <v/>
      </c>
      <c r="Z767">
        <f>IF(A767="","",IF(G767="","Not mapped",IF(Y767=0,"OK",MID(IF(N(Q767)&gt;0,"; Cannibalisation","")&amp;IF(T767="Yes","; Too many primary keywords on URL","")&amp;IF(U767="Yes","; URL spans 2+ clusters","")&amp;IF(W767="Yes","; Intent mismatch","")&amp;IF(X767="Yes","; Ranking URL is not the target",""),3,300))))</f>
        <v/>
      </c>
      <c r="AA767">
        <f>IF(G767="","",IF(COUNTIF($G$3:G767,SUBSTITUTE(SUBSTITUTE(G767,"?","~?"),"*","~*"))=1,MAX($AA$2:AA766)+1,""))</f>
        <v/>
      </c>
      <c r="AB767">
        <f>IF(B767="","",IF(COUNTIF($B$3:B767,SUBSTITUTE(SUBSTITUTE(B767,"?","~?"),"*","~*"))=1,MAX($AB$2:AB766)+1,""))</f>
        <v/>
      </c>
    </row>
    <row r="768">
      <c r="M768">
        <f>IF(A768="","",LOWER(TRIM(SUBSTITUTE(SUBSTITUTE(A768,"?",""),"*",""))))</f>
        <v/>
      </c>
      <c r="N768">
        <f>IF(M768="","",IF(SUMPRODUCT(ISNUMBER(SEARCH(" "&amp;Settings!$L$5:$L$124&amp;" "," "&amp;M768&amp;" "))*(Settings!$K$5:$K$124="Navigational")*(Settings!$L$5:$L$124&lt;&gt;""))&gt;0,"Navigational",IF(SUMPRODUCT(ISNUMBER(SEARCH(" "&amp;Settings!$L$5:$L$124&amp;" "," "&amp;M768&amp;" "))*(Settings!$K$5:$K$124="Transactional")*(Settings!$L$5:$L$124&lt;&gt;""))&gt;0,"Transactional",IF(SUMPRODUCT(ISNUMBER(SEARCH(" "&amp;Settings!$L$5:$L$124&amp;" "," "&amp;M768&amp;" "))*(Settings!$K$5:$K$124="Commercial")*(Settings!$L$5:$L$124&lt;&gt;""))&gt;0,"Commercial",IF(SUMPRODUCT(ISNUMBER(SEARCH(" "&amp;Settings!$L$5:$L$124&amp;" "," "&amp;M768&amp;" "))*(Settings!$K$5:$K$124="Informational")*(Settings!$L$5:$L$124&lt;&gt;""))&gt;0,"Informational","Unclassified")))))</f>
        <v/>
      </c>
      <c r="O768">
        <f>IF(A768="","",IF(K768&lt;&gt;"",PROPER(K768),N768))</f>
        <v/>
      </c>
      <c r="P768">
        <f>IF(A768="","",ROUND(Settings!$B$5*MIN(1,LOG10(N(C768)+1)/LOG10(Settings!$B$7+1))+Settings!$B$6*(1-MIN(100,IF(D768="",50,N(D768)))/100)+IFERROR(INDEX(Settings!$B$10:$B$14,MATCH(O768,Settings!$A$10:$A$14,0)),0),0))</f>
        <v/>
      </c>
      <c r="Q768">
        <f>IF(OR(A768="",G768=""),"",COUNTIFS($M$3:$M$1002,M768,$G$3:$G$1002,"&lt;&gt;"&amp;SUBSTITUTE(SUBSTITUTE(G768,"?","~?"),"*","~*"),$G$3:$G$1002,"?*"))</f>
        <v/>
      </c>
      <c r="R768">
        <f>IF(Q768="","",IF(Q768&gt;0,"Yes","No"))</f>
        <v/>
      </c>
      <c r="S768">
        <f>IF(G768="","",COUNTIFS($G$3:$G$1002,SUBSTITUTE(SUBSTITUTE(G768,"?","~?"),"*","~*"),$J$3:$J$1002,"Primary"))</f>
        <v/>
      </c>
      <c r="T768">
        <f>IF(S768="","",IF(S768&gt;Settings!$B$4,"Yes","No"))</f>
        <v/>
      </c>
      <c r="U768">
        <f>IF(OR(G768="",B768=""),"",IF(COUNTIFS($G$3:$G$1002,SUBSTITUTE(SUBSTITUTE(G768,"?","~?"),"*","~*"),$B$3:$B$1002,"&lt;&gt;"&amp;SUBSTITUTE(SUBSTITUTE(B768,"?","~?"),"*","~*"),$B$3:$B$1002,"?*")&gt;0,"Yes","No"))</f>
        <v/>
      </c>
      <c r="V768">
        <f>IF(OR(G768="",I768="",O768="",O768="Unclassified"),"",IFERROR(INDEX(Settings!$E$5:$H$16,MATCH(I768,Settings!$D$5:$D$16,0),MATCH(O768,Settings!$E$4:$H$4,0)),"Check"))</f>
        <v/>
      </c>
      <c r="W768">
        <f>IF(V768="","",IF(V768="No","Yes","No"))</f>
        <v/>
      </c>
      <c r="X768">
        <f>IF(OR(E768="",G768=""),"",IF(LOWER(IF(RIGHT(TRIM(E768),1)="/",LEFT(TRIM(E768),LEN(TRIM(E768))-1),TRIM(E768)))&lt;&gt;LOWER(IF(RIGHT(TRIM(G768),1)="/",LEFT(TRIM(G768),LEN(TRIM(G768))-1),TRIM(G768))),"Yes","No"))</f>
        <v/>
      </c>
      <c r="Y768">
        <f>IF(A768="","",(N(Q768)&gt;0)+(T768="Yes")+(U768="Yes")+(W768="Yes")+(X768="Yes"))</f>
        <v/>
      </c>
      <c r="Z768">
        <f>IF(A768="","",IF(G768="","Not mapped",IF(Y768=0,"OK",MID(IF(N(Q768)&gt;0,"; Cannibalisation","")&amp;IF(T768="Yes","; Too many primary keywords on URL","")&amp;IF(U768="Yes","; URL spans 2+ clusters","")&amp;IF(W768="Yes","; Intent mismatch","")&amp;IF(X768="Yes","; Ranking URL is not the target",""),3,300))))</f>
        <v/>
      </c>
      <c r="AA768">
        <f>IF(G768="","",IF(COUNTIF($G$3:G768,SUBSTITUTE(SUBSTITUTE(G768,"?","~?"),"*","~*"))=1,MAX($AA$2:AA767)+1,""))</f>
        <v/>
      </c>
      <c r="AB768">
        <f>IF(B768="","",IF(COUNTIF($B$3:B768,SUBSTITUTE(SUBSTITUTE(B768,"?","~?"),"*","~*"))=1,MAX($AB$2:AB767)+1,""))</f>
        <v/>
      </c>
    </row>
    <row r="769">
      <c r="M769">
        <f>IF(A769="","",LOWER(TRIM(SUBSTITUTE(SUBSTITUTE(A769,"?",""),"*",""))))</f>
        <v/>
      </c>
      <c r="N769">
        <f>IF(M769="","",IF(SUMPRODUCT(ISNUMBER(SEARCH(" "&amp;Settings!$L$5:$L$124&amp;" "," "&amp;M769&amp;" "))*(Settings!$K$5:$K$124="Navigational")*(Settings!$L$5:$L$124&lt;&gt;""))&gt;0,"Navigational",IF(SUMPRODUCT(ISNUMBER(SEARCH(" "&amp;Settings!$L$5:$L$124&amp;" "," "&amp;M769&amp;" "))*(Settings!$K$5:$K$124="Transactional")*(Settings!$L$5:$L$124&lt;&gt;""))&gt;0,"Transactional",IF(SUMPRODUCT(ISNUMBER(SEARCH(" "&amp;Settings!$L$5:$L$124&amp;" "," "&amp;M769&amp;" "))*(Settings!$K$5:$K$124="Commercial")*(Settings!$L$5:$L$124&lt;&gt;""))&gt;0,"Commercial",IF(SUMPRODUCT(ISNUMBER(SEARCH(" "&amp;Settings!$L$5:$L$124&amp;" "," "&amp;M769&amp;" "))*(Settings!$K$5:$K$124="Informational")*(Settings!$L$5:$L$124&lt;&gt;""))&gt;0,"Informational","Unclassified")))))</f>
        <v/>
      </c>
      <c r="O769">
        <f>IF(A769="","",IF(K769&lt;&gt;"",PROPER(K769),N769))</f>
        <v/>
      </c>
      <c r="P769">
        <f>IF(A769="","",ROUND(Settings!$B$5*MIN(1,LOG10(N(C769)+1)/LOG10(Settings!$B$7+1))+Settings!$B$6*(1-MIN(100,IF(D769="",50,N(D769)))/100)+IFERROR(INDEX(Settings!$B$10:$B$14,MATCH(O769,Settings!$A$10:$A$14,0)),0),0))</f>
        <v/>
      </c>
      <c r="Q769">
        <f>IF(OR(A769="",G769=""),"",COUNTIFS($M$3:$M$1002,M769,$G$3:$G$1002,"&lt;&gt;"&amp;SUBSTITUTE(SUBSTITUTE(G769,"?","~?"),"*","~*"),$G$3:$G$1002,"?*"))</f>
        <v/>
      </c>
      <c r="R769">
        <f>IF(Q769="","",IF(Q769&gt;0,"Yes","No"))</f>
        <v/>
      </c>
      <c r="S769">
        <f>IF(G769="","",COUNTIFS($G$3:$G$1002,SUBSTITUTE(SUBSTITUTE(G769,"?","~?"),"*","~*"),$J$3:$J$1002,"Primary"))</f>
        <v/>
      </c>
      <c r="T769">
        <f>IF(S769="","",IF(S769&gt;Settings!$B$4,"Yes","No"))</f>
        <v/>
      </c>
      <c r="U769">
        <f>IF(OR(G769="",B769=""),"",IF(COUNTIFS($G$3:$G$1002,SUBSTITUTE(SUBSTITUTE(G769,"?","~?"),"*","~*"),$B$3:$B$1002,"&lt;&gt;"&amp;SUBSTITUTE(SUBSTITUTE(B769,"?","~?"),"*","~*"),$B$3:$B$1002,"?*")&gt;0,"Yes","No"))</f>
        <v/>
      </c>
      <c r="V769">
        <f>IF(OR(G769="",I769="",O769="",O769="Unclassified"),"",IFERROR(INDEX(Settings!$E$5:$H$16,MATCH(I769,Settings!$D$5:$D$16,0),MATCH(O769,Settings!$E$4:$H$4,0)),"Check"))</f>
        <v/>
      </c>
      <c r="W769">
        <f>IF(V769="","",IF(V769="No","Yes","No"))</f>
        <v/>
      </c>
      <c r="X769">
        <f>IF(OR(E769="",G769=""),"",IF(LOWER(IF(RIGHT(TRIM(E769),1)="/",LEFT(TRIM(E769),LEN(TRIM(E769))-1),TRIM(E769)))&lt;&gt;LOWER(IF(RIGHT(TRIM(G769),1)="/",LEFT(TRIM(G769),LEN(TRIM(G769))-1),TRIM(G769))),"Yes","No"))</f>
        <v/>
      </c>
      <c r="Y769">
        <f>IF(A769="","",(N(Q769)&gt;0)+(T769="Yes")+(U769="Yes")+(W769="Yes")+(X769="Yes"))</f>
        <v/>
      </c>
      <c r="Z769">
        <f>IF(A769="","",IF(G769="","Not mapped",IF(Y769=0,"OK",MID(IF(N(Q769)&gt;0,"; Cannibalisation","")&amp;IF(T769="Yes","; Too many primary keywords on URL","")&amp;IF(U769="Yes","; URL spans 2+ clusters","")&amp;IF(W769="Yes","; Intent mismatch","")&amp;IF(X769="Yes","; Ranking URL is not the target",""),3,300))))</f>
        <v/>
      </c>
      <c r="AA769">
        <f>IF(G769="","",IF(COUNTIF($G$3:G769,SUBSTITUTE(SUBSTITUTE(G769,"?","~?"),"*","~*"))=1,MAX($AA$2:AA768)+1,""))</f>
        <v/>
      </c>
      <c r="AB769">
        <f>IF(B769="","",IF(COUNTIF($B$3:B769,SUBSTITUTE(SUBSTITUTE(B769,"?","~?"),"*","~*"))=1,MAX($AB$2:AB768)+1,""))</f>
        <v/>
      </c>
    </row>
    <row r="770">
      <c r="M770">
        <f>IF(A770="","",LOWER(TRIM(SUBSTITUTE(SUBSTITUTE(A770,"?",""),"*",""))))</f>
        <v/>
      </c>
      <c r="N770">
        <f>IF(M770="","",IF(SUMPRODUCT(ISNUMBER(SEARCH(" "&amp;Settings!$L$5:$L$124&amp;" "," "&amp;M770&amp;" "))*(Settings!$K$5:$K$124="Navigational")*(Settings!$L$5:$L$124&lt;&gt;""))&gt;0,"Navigational",IF(SUMPRODUCT(ISNUMBER(SEARCH(" "&amp;Settings!$L$5:$L$124&amp;" "," "&amp;M770&amp;" "))*(Settings!$K$5:$K$124="Transactional")*(Settings!$L$5:$L$124&lt;&gt;""))&gt;0,"Transactional",IF(SUMPRODUCT(ISNUMBER(SEARCH(" "&amp;Settings!$L$5:$L$124&amp;" "," "&amp;M770&amp;" "))*(Settings!$K$5:$K$124="Commercial")*(Settings!$L$5:$L$124&lt;&gt;""))&gt;0,"Commercial",IF(SUMPRODUCT(ISNUMBER(SEARCH(" "&amp;Settings!$L$5:$L$124&amp;" "," "&amp;M770&amp;" "))*(Settings!$K$5:$K$124="Informational")*(Settings!$L$5:$L$124&lt;&gt;""))&gt;0,"Informational","Unclassified")))))</f>
        <v/>
      </c>
      <c r="O770">
        <f>IF(A770="","",IF(K770&lt;&gt;"",PROPER(K770),N770))</f>
        <v/>
      </c>
      <c r="P770">
        <f>IF(A770="","",ROUND(Settings!$B$5*MIN(1,LOG10(N(C770)+1)/LOG10(Settings!$B$7+1))+Settings!$B$6*(1-MIN(100,IF(D770="",50,N(D770)))/100)+IFERROR(INDEX(Settings!$B$10:$B$14,MATCH(O770,Settings!$A$10:$A$14,0)),0),0))</f>
        <v/>
      </c>
      <c r="Q770">
        <f>IF(OR(A770="",G770=""),"",COUNTIFS($M$3:$M$1002,M770,$G$3:$G$1002,"&lt;&gt;"&amp;SUBSTITUTE(SUBSTITUTE(G770,"?","~?"),"*","~*"),$G$3:$G$1002,"?*"))</f>
        <v/>
      </c>
      <c r="R770">
        <f>IF(Q770="","",IF(Q770&gt;0,"Yes","No"))</f>
        <v/>
      </c>
      <c r="S770">
        <f>IF(G770="","",COUNTIFS($G$3:$G$1002,SUBSTITUTE(SUBSTITUTE(G770,"?","~?"),"*","~*"),$J$3:$J$1002,"Primary"))</f>
        <v/>
      </c>
      <c r="T770">
        <f>IF(S770="","",IF(S770&gt;Settings!$B$4,"Yes","No"))</f>
        <v/>
      </c>
      <c r="U770">
        <f>IF(OR(G770="",B770=""),"",IF(COUNTIFS($G$3:$G$1002,SUBSTITUTE(SUBSTITUTE(G770,"?","~?"),"*","~*"),$B$3:$B$1002,"&lt;&gt;"&amp;SUBSTITUTE(SUBSTITUTE(B770,"?","~?"),"*","~*"),$B$3:$B$1002,"?*")&gt;0,"Yes","No"))</f>
        <v/>
      </c>
      <c r="V770">
        <f>IF(OR(G770="",I770="",O770="",O770="Unclassified"),"",IFERROR(INDEX(Settings!$E$5:$H$16,MATCH(I770,Settings!$D$5:$D$16,0),MATCH(O770,Settings!$E$4:$H$4,0)),"Check"))</f>
        <v/>
      </c>
      <c r="W770">
        <f>IF(V770="","",IF(V770="No","Yes","No"))</f>
        <v/>
      </c>
      <c r="X770">
        <f>IF(OR(E770="",G770=""),"",IF(LOWER(IF(RIGHT(TRIM(E770),1)="/",LEFT(TRIM(E770),LEN(TRIM(E770))-1),TRIM(E770)))&lt;&gt;LOWER(IF(RIGHT(TRIM(G770),1)="/",LEFT(TRIM(G770),LEN(TRIM(G770))-1),TRIM(G770))),"Yes","No"))</f>
        <v/>
      </c>
      <c r="Y770">
        <f>IF(A770="","",(N(Q770)&gt;0)+(T770="Yes")+(U770="Yes")+(W770="Yes")+(X770="Yes"))</f>
        <v/>
      </c>
      <c r="Z770">
        <f>IF(A770="","",IF(G770="","Not mapped",IF(Y770=0,"OK",MID(IF(N(Q770)&gt;0,"; Cannibalisation","")&amp;IF(T770="Yes","; Too many primary keywords on URL","")&amp;IF(U770="Yes","; URL spans 2+ clusters","")&amp;IF(W770="Yes","; Intent mismatch","")&amp;IF(X770="Yes","; Ranking URL is not the target",""),3,300))))</f>
        <v/>
      </c>
      <c r="AA770">
        <f>IF(G770="","",IF(COUNTIF($G$3:G770,SUBSTITUTE(SUBSTITUTE(G770,"?","~?"),"*","~*"))=1,MAX($AA$2:AA769)+1,""))</f>
        <v/>
      </c>
      <c r="AB770">
        <f>IF(B770="","",IF(COUNTIF($B$3:B770,SUBSTITUTE(SUBSTITUTE(B770,"?","~?"),"*","~*"))=1,MAX($AB$2:AB769)+1,""))</f>
        <v/>
      </c>
    </row>
    <row r="771">
      <c r="M771">
        <f>IF(A771="","",LOWER(TRIM(SUBSTITUTE(SUBSTITUTE(A771,"?",""),"*",""))))</f>
        <v/>
      </c>
      <c r="N771">
        <f>IF(M771="","",IF(SUMPRODUCT(ISNUMBER(SEARCH(" "&amp;Settings!$L$5:$L$124&amp;" "," "&amp;M771&amp;" "))*(Settings!$K$5:$K$124="Navigational")*(Settings!$L$5:$L$124&lt;&gt;""))&gt;0,"Navigational",IF(SUMPRODUCT(ISNUMBER(SEARCH(" "&amp;Settings!$L$5:$L$124&amp;" "," "&amp;M771&amp;" "))*(Settings!$K$5:$K$124="Transactional")*(Settings!$L$5:$L$124&lt;&gt;""))&gt;0,"Transactional",IF(SUMPRODUCT(ISNUMBER(SEARCH(" "&amp;Settings!$L$5:$L$124&amp;" "," "&amp;M771&amp;" "))*(Settings!$K$5:$K$124="Commercial")*(Settings!$L$5:$L$124&lt;&gt;""))&gt;0,"Commercial",IF(SUMPRODUCT(ISNUMBER(SEARCH(" "&amp;Settings!$L$5:$L$124&amp;" "," "&amp;M771&amp;" "))*(Settings!$K$5:$K$124="Informational")*(Settings!$L$5:$L$124&lt;&gt;""))&gt;0,"Informational","Unclassified")))))</f>
        <v/>
      </c>
      <c r="O771">
        <f>IF(A771="","",IF(K771&lt;&gt;"",PROPER(K771),N771))</f>
        <v/>
      </c>
      <c r="P771">
        <f>IF(A771="","",ROUND(Settings!$B$5*MIN(1,LOG10(N(C771)+1)/LOG10(Settings!$B$7+1))+Settings!$B$6*(1-MIN(100,IF(D771="",50,N(D771)))/100)+IFERROR(INDEX(Settings!$B$10:$B$14,MATCH(O771,Settings!$A$10:$A$14,0)),0),0))</f>
        <v/>
      </c>
      <c r="Q771">
        <f>IF(OR(A771="",G771=""),"",COUNTIFS($M$3:$M$1002,M771,$G$3:$G$1002,"&lt;&gt;"&amp;SUBSTITUTE(SUBSTITUTE(G771,"?","~?"),"*","~*"),$G$3:$G$1002,"?*"))</f>
        <v/>
      </c>
      <c r="R771">
        <f>IF(Q771="","",IF(Q771&gt;0,"Yes","No"))</f>
        <v/>
      </c>
      <c r="S771">
        <f>IF(G771="","",COUNTIFS($G$3:$G$1002,SUBSTITUTE(SUBSTITUTE(G771,"?","~?"),"*","~*"),$J$3:$J$1002,"Primary"))</f>
        <v/>
      </c>
      <c r="T771">
        <f>IF(S771="","",IF(S771&gt;Settings!$B$4,"Yes","No"))</f>
        <v/>
      </c>
      <c r="U771">
        <f>IF(OR(G771="",B771=""),"",IF(COUNTIFS($G$3:$G$1002,SUBSTITUTE(SUBSTITUTE(G771,"?","~?"),"*","~*"),$B$3:$B$1002,"&lt;&gt;"&amp;SUBSTITUTE(SUBSTITUTE(B771,"?","~?"),"*","~*"),$B$3:$B$1002,"?*")&gt;0,"Yes","No"))</f>
        <v/>
      </c>
      <c r="V771">
        <f>IF(OR(G771="",I771="",O771="",O771="Unclassified"),"",IFERROR(INDEX(Settings!$E$5:$H$16,MATCH(I771,Settings!$D$5:$D$16,0),MATCH(O771,Settings!$E$4:$H$4,0)),"Check"))</f>
        <v/>
      </c>
      <c r="W771">
        <f>IF(V771="","",IF(V771="No","Yes","No"))</f>
        <v/>
      </c>
      <c r="X771">
        <f>IF(OR(E771="",G771=""),"",IF(LOWER(IF(RIGHT(TRIM(E771),1)="/",LEFT(TRIM(E771),LEN(TRIM(E771))-1),TRIM(E771)))&lt;&gt;LOWER(IF(RIGHT(TRIM(G771),1)="/",LEFT(TRIM(G771),LEN(TRIM(G771))-1),TRIM(G771))),"Yes","No"))</f>
        <v/>
      </c>
      <c r="Y771">
        <f>IF(A771="","",(N(Q771)&gt;0)+(T771="Yes")+(U771="Yes")+(W771="Yes")+(X771="Yes"))</f>
        <v/>
      </c>
      <c r="Z771">
        <f>IF(A771="","",IF(G771="","Not mapped",IF(Y771=0,"OK",MID(IF(N(Q771)&gt;0,"; Cannibalisation","")&amp;IF(T771="Yes","; Too many primary keywords on URL","")&amp;IF(U771="Yes","; URL spans 2+ clusters","")&amp;IF(W771="Yes","; Intent mismatch","")&amp;IF(X771="Yes","; Ranking URL is not the target",""),3,300))))</f>
        <v/>
      </c>
      <c r="AA771">
        <f>IF(G771="","",IF(COUNTIF($G$3:G771,SUBSTITUTE(SUBSTITUTE(G771,"?","~?"),"*","~*"))=1,MAX($AA$2:AA770)+1,""))</f>
        <v/>
      </c>
      <c r="AB771">
        <f>IF(B771="","",IF(COUNTIF($B$3:B771,SUBSTITUTE(SUBSTITUTE(B771,"?","~?"),"*","~*"))=1,MAX($AB$2:AB770)+1,""))</f>
        <v/>
      </c>
    </row>
    <row r="772">
      <c r="M772">
        <f>IF(A772="","",LOWER(TRIM(SUBSTITUTE(SUBSTITUTE(A772,"?",""),"*",""))))</f>
        <v/>
      </c>
      <c r="N772">
        <f>IF(M772="","",IF(SUMPRODUCT(ISNUMBER(SEARCH(" "&amp;Settings!$L$5:$L$124&amp;" "," "&amp;M772&amp;" "))*(Settings!$K$5:$K$124="Navigational")*(Settings!$L$5:$L$124&lt;&gt;""))&gt;0,"Navigational",IF(SUMPRODUCT(ISNUMBER(SEARCH(" "&amp;Settings!$L$5:$L$124&amp;" "," "&amp;M772&amp;" "))*(Settings!$K$5:$K$124="Transactional")*(Settings!$L$5:$L$124&lt;&gt;""))&gt;0,"Transactional",IF(SUMPRODUCT(ISNUMBER(SEARCH(" "&amp;Settings!$L$5:$L$124&amp;" "," "&amp;M772&amp;" "))*(Settings!$K$5:$K$124="Commercial")*(Settings!$L$5:$L$124&lt;&gt;""))&gt;0,"Commercial",IF(SUMPRODUCT(ISNUMBER(SEARCH(" "&amp;Settings!$L$5:$L$124&amp;" "," "&amp;M772&amp;" "))*(Settings!$K$5:$K$124="Informational")*(Settings!$L$5:$L$124&lt;&gt;""))&gt;0,"Informational","Unclassified")))))</f>
        <v/>
      </c>
      <c r="O772">
        <f>IF(A772="","",IF(K772&lt;&gt;"",PROPER(K772),N772))</f>
        <v/>
      </c>
      <c r="P772">
        <f>IF(A772="","",ROUND(Settings!$B$5*MIN(1,LOG10(N(C772)+1)/LOG10(Settings!$B$7+1))+Settings!$B$6*(1-MIN(100,IF(D772="",50,N(D772)))/100)+IFERROR(INDEX(Settings!$B$10:$B$14,MATCH(O772,Settings!$A$10:$A$14,0)),0),0))</f>
        <v/>
      </c>
      <c r="Q772">
        <f>IF(OR(A772="",G772=""),"",COUNTIFS($M$3:$M$1002,M772,$G$3:$G$1002,"&lt;&gt;"&amp;SUBSTITUTE(SUBSTITUTE(G772,"?","~?"),"*","~*"),$G$3:$G$1002,"?*"))</f>
        <v/>
      </c>
      <c r="R772">
        <f>IF(Q772="","",IF(Q772&gt;0,"Yes","No"))</f>
        <v/>
      </c>
      <c r="S772">
        <f>IF(G772="","",COUNTIFS($G$3:$G$1002,SUBSTITUTE(SUBSTITUTE(G772,"?","~?"),"*","~*"),$J$3:$J$1002,"Primary"))</f>
        <v/>
      </c>
      <c r="T772">
        <f>IF(S772="","",IF(S772&gt;Settings!$B$4,"Yes","No"))</f>
        <v/>
      </c>
      <c r="U772">
        <f>IF(OR(G772="",B772=""),"",IF(COUNTIFS($G$3:$G$1002,SUBSTITUTE(SUBSTITUTE(G772,"?","~?"),"*","~*"),$B$3:$B$1002,"&lt;&gt;"&amp;SUBSTITUTE(SUBSTITUTE(B772,"?","~?"),"*","~*"),$B$3:$B$1002,"?*")&gt;0,"Yes","No"))</f>
        <v/>
      </c>
      <c r="V772">
        <f>IF(OR(G772="",I772="",O772="",O772="Unclassified"),"",IFERROR(INDEX(Settings!$E$5:$H$16,MATCH(I772,Settings!$D$5:$D$16,0),MATCH(O772,Settings!$E$4:$H$4,0)),"Check"))</f>
        <v/>
      </c>
      <c r="W772">
        <f>IF(V772="","",IF(V772="No","Yes","No"))</f>
        <v/>
      </c>
      <c r="X772">
        <f>IF(OR(E772="",G772=""),"",IF(LOWER(IF(RIGHT(TRIM(E772),1)="/",LEFT(TRIM(E772),LEN(TRIM(E772))-1),TRIM(E772)))&lt;&gt;LOWER(IF(RIGHT(TRIM(G772),1)="/",LEFT(TRIM(G772),LEN(TRIM(G772))-1),TRIM(G772))),"Yes","No"))</f>
        <v/>
      </c>
      <c r="Y772">
        <f>IF(A772="","",(N(Q772)&gt;0)+(T772="Yes")+(U772="Yes")+(W772="Yes")+(X772="Yes"))</f>
        <v/>
      </c>
      <c r="Z772">
        <f>IF(A772="","",IF(G772="","Not mapped",IF(Y772=0,"OK",MID(IF(N(Q772)&gt;0,"; Cannibalisation","")&amp;IF(T772="Yes","; Too many primary keywords on URL","")&amp;IF(U772="Yes","; URL spans 2+ clusters","")&amp;IF(W772="Yes","; Intent mismatch","")&amp;IF(X772="Yes","; Ranking URL is not the target",""),3,300))))</f>
        <v/>
      </c>
      <c r="AA772">
        <f>IF(G772="","",IF(COUNTIF($G$3:G772,SUBSTITUTE(SUBSTITUTE(G772,"?","~?"),"*","~*"))=1,MAX($AA$2:AA771)+1,""))</f>
        <v/>
      </c>
      <c r="AB772">
        <f>IF(B772="","",IF(COUNTIF($B$3:B772,SUBSTITUTE(SUBSTITUTE(B772,"?","~?"),"*","~*"))=1,MAX($AB$2:AB771)+1,""))</f>
        <v/>
      </c>
    </row>
    <row r="773">
      <c r="M773">
        <f>IF(A773="","",LOWER(TRIM(SUBSTITUTE(SUBSTITUTE(A773,"?",""),"*",""))))</f>
        <v/>
      </c>
      <c r="N773">
        <f>IF(M773="","",IF(SUMPRODUCT(ISNUMBER(SEARCH(" "&amp;Settings!$L$5:$L$124&amp;" "," "&amp;M773&amp;" "))*(Settings!$K$5:$K$124="Navigational")*(Settings!$L$5:$L$124&lt;&gt;""))&gt;0,"Navigational",IF(SUMPRODUCT(ISNUMBER(SEARCH(" "&amp;Settings!$L$5:$L$124&amp;" "," "&amp;M773&amp;" "))*(Settings!$K$5:$K$124="Transactional")*(Settings!$L$5:$L$124&lt;&gt;""))&gt;0,"Transactional",IF(SUMPRODUCT(ISNUMBER(SEARCH(" "&amp;Settings!$L$5:$L$124&amp;" "," "&amp;M773&amp;" "))*(Settings!$K$5:$K$124="Commercial")*(Settings!$L$5:$L$124&lt;&gt;""))&gt;0,"Commercial",IF(SUMPRODUCT(ISNUMBER(SEARCH(" "&amp;Settings!$L$5:$L$124&amp;" "," "&amp;M773&amp;" "))*(Settings!$K$5:$K$124="Informational")*(Settings!$L$5:$L$124&lt;&gt;""))&gt;0,"Informational","Unclassified")))))</f>
        <v/>
      </c>
      <c r="O773">
        <f>IF(A773="","",IF(K773&lt;&gt;"",PROPER(K773),N773))</f>
        <v/>
      </c>
      <c r="P773">
        <f>IF(A773="","",ROUND(Settings!$B$5*MIN(1,LOG10(N(C773)+1)/LOG10(Settings!$B$7+1))+Settings!$B$6*(1-MIN(100,IF(D773="",50,N(D773)))/100)+IFERROR(INDEX(Settings!$B$10:$B$14,MATCH(O773,Settings!$A$10:$A$14,0)),0),0))</f>
        <v/>
      </c>
      <c r="Q773">
        <f>IF(OR(A773="",G773=""),"",COUNTIFS($M$3:$M$1002,M773,$G$3:$G$1002,"&lt;&gt;"&amp;SUBSTITUTE(SUBSTITUTE(G773,"?","~?"),"*","~*"),$G$3:$G$1002,"?*"))</f>
        <v/>
      </c>
      <c r="R773">
        <f>IF(Q773="","",IF(Q773&gt;0,"Yes","No"))</f>
        <v/>
      </c>
      <c r="S773">
        <f>IF(G773="","",COUNTIFS($G$3:$G$1002,SUBSTITUTE(SUBSTITUTE(G773,"?","~?"),"*","~*"),$J$3:$J$1002,"Primary"))</f>
        <v/>
      </c>
      <c r="T773">
        <f>IF(S773="","",IF(S773&gt;Settings!$B$4,"Yes","No"))</f>
        <v/>
      </c>
      <c r="U773">
        <f>IF(OR(G773="",B773=""),"",IF(COUNTIFS($G$3:$G$1002,SUBSTITUTE(SUBSTITUTE(G773,"?","~?"),"*","~*"),$B$3:$B$1002,"&lt;&gt;"&amp;SUBSTITUTE(SUBSTITUTE(B773,"?","~?"),"*","~*"),$B$3:$B$1002,"?*")&gt;0,"Yes","No"))</f>
        <v/>
      </c>
      <c r="V773">
        <f>IF(OR(G773="",I773="",O773="",O773="Unclassified"),"",IFERROR(INDEX(Settings!$E$5:$H$16,MATCH(I773,Settings!$D$5:$D$16,0),MATCH(O773,Settings!$E$4:$H$4,0)),"Check"))</f>
        <v/>
      </c>
      <c r="W773">
        <f>IF(V773="","",IF(V773="No","Yes","No"))</f>
        <v/>
      </c>
      <c r="X773">
        <f>IF(OR(E773="",G773=""),"",IF(LOWER(IF(RIGHT(TRIM(E773),1)="/",LEFT(TRIM(E773),LEN(TRIM(E773))-1),TRIM(E773)))&lt;&gt;LOWER(IF(RIGHT(TRIM(G773),1)="/",LEFT(TRIM(G773),LEN(TRIM(G773))-1),TRIM(G773))),"Yes","No"))</f>
        <v/>
      </c>
      <c r="Y773">
        <f>IF(A773="","",(N(Q773)&gt;0)+(T773="Yes")+(U773="Yes")+(W773="Yes")+(X773="Yes"))</f>
        <v/>
      </c>
      <c r="Z773">
        <f>IF(A773="","",IF(G773="","Not mapped",IF(Y773=0,"OK",MID(IF(N(Q773)&gt;0,"; Cannibalisation","")&amp;IF(T773="Yes","; Too many primary keywords on URL","")&amp;IF(U773="Yes","; URL spans 2+ clusters","")&amp;IF(W773="Yes","; Intent mismatch","")&amp;IF(X773="Yes","; Ranking URL is not the target",""),3,300))))</f>
        <v/>
      </c>
      <c r="AA773">
        <f>IF(G773="","",IF(COUNTIF($G$3:G773,SUBSTITUTE(SUBSTITUTE(G773,"?","~?"),"*","~*"))=1,MAX($AA$2:AA772)+1,""))</f>
        <v/>
      </c>
      <c r="AB773">
        <f>IF(B773="","",IF(COUNTIF($B$3:B773,SUBSTITUTE(SUBSTITUTE(B773,"?","~?"),"*","~*"))=1,MAX($AB$2:AB772)+1,""))</f>
        <v/>
      </c>
    </row>
    <row r="774">
      <c r="M774">
        <f>IF(A774="","",LOWER(TRIM(SUBSTITUTE(SUBSTITUTE(A774,"?",""),"*",""))))</f>
        <v/>
      </c>
      <c r="N774">
        <f>IF(M774="","",IF(SUMPRODUCT(ISNUMBER(SEARCH(" "&amp;Settings!$L$5:$L$124&amp;" "," "&amp;M774&amp;" "))*(Settings!$K$5:$K$124="Navigational")*(Settings!$L$5:$L$124&lt;&gt;""))&gt;0,"Navigational",IF(SUMPRODUCT(ISNUMBER(SEARCH(" "&amp;Settings!$L$5:$L$124&amp;" "," "&amp;M774&amp;" "))*(Settings!$K$5:$K$124="Transactional")*(Settings!$L$5:$L$124&lt;&gt;""))&gt;0,"Transactional",IF(SUMPRODUCT(ISNUMBER(SEARCH(" "&amp;Settings!$L$5:$L$124&amp;" "," "&amp;M774&amp;" "))*(Settings!$K$5:$K$124="Commercial")*(Settings!$L$5:$L$124&lt;&gt;""))&gt;0,"Commercial",IF(SUMPRODUCT(ISNUMBER(SEARCH(" "&amp;Settings!$L$5:$L$124&amp;" "," "&amp;M774&amp;" "))*(Settings!$K$5:$K$124="Informational")*(Settings!$L$5:$L$124&lt;&gt;""))&gt;0,"Informational","Unclassified")))))</f>
        <v/>
      </c>
      <c r="O774">
        <f>IF(A774="","",IF(K774&lt;&gt;"",PROPER(K774),N774))</f>
        <v/>
      </c>
      <c r="P774">
        <f>IF(A774="","",ROUND(Settings!$B$5*MIN(1,LOG10(N(C774)+1)/LOG10(Settings!$B$7+1))+Settings!$B$6*(1-MIN(100,IF(D774="",50,N(D774)))/100)+IFERROR(INDEX(Settings!$B$10:$B$14,MATCH(O774,Settings!$A$10:$A$14,0)),0),0))</f>
        <v/>
      </c>
      <c r="Q774">
        <f>IF(OR(A774="",G774=""),"",COUNTIFS($M$3:$M$1002,M774,$G$3:$G$1002,"&lt;&gt;"&amp;SUBSTITUTE(SUBSTITUTE(G774,"?","~?"),"*","~*"),$G$3:$G$1002,"?*"))</f>
        <v/>
      </c>
      <c r="R774">
        <f>IF(Q774="","",IF(Q774&gt;0,"Yes","No"))</f>
        <v/>
      </c>
      <c r="S774">
        <f>IF(G774="","",COUNTIFS($G$3:$G$1002,SUBSTITUTE(SUBSTITUTE(G774,"?","~?"),"*","~*"),$J$3:$J$1002,"Primary"))</f>
        <v/>
      </c>
      <c r="T774">
        <f>IF(S774="","",IF(S774&gt;Settings!$B$4,"Yes","No"))</f>
        <v/>
      </c>
      <c r="U774">
        <f>IF(OR(G774="",B774=""),"",IF(COUNTIFS($G$3:$G$1002,SUBSTITUTE(SUBSTITUTE(G774,"?","~?"),"*","~*"),$B$3:$B$1002,"&lt;&gt;"&amp;SUBSTITUTE(SUBSTITUTE(B774,"?","~?"),"*","~*"),$B$3:$B$1002,"?*")&gt;0,"Yes","No"))</f>
        <v/>
      </c>
      <c r="V774">
        <f>IF(OR(G774="",I774="",O774="",O774="Unclassified"),"",IFERROR(INDEX(Settings!$E$5:$H$16,MATCH(I774,Settings!$D$5:$D$16,0),MATCH(O774,Settings!$E$4:$H$4,0)),"Check"))</f>
        <v/>
      </c>
      <c r="W774">
        <f>IF(V774="","",IF(V774="No","Yes","No"))</f>
        <v/>
      </c>
      <c r="X774">
        <f>IF(OR(E774="",G774=""),"",IF(LOWER(IF(RIGHT(TRIM(E774),1)="/",LEFT(TRIM(E774),LEN(TRIM(E774))-1),TRIM(E774)))&lt;&gt;LOWER(IF(RIGHT(TRIM(G774),1)="/",LEFT(TRIM(G774),LEN(TRIM(G774))-1),TRIM(G774))),"Yes","No"))</f>
        <v/>
      </c>
      <c r="Y774">
        <f>IF(A774="","",(N(Q774)&gt;0)+(T774="Yes")+(U774="Yes")+(W774="Yes")+(X774="Yes"))</f>
        <v/>
      </c>
      <c r="Z774">
        <f>IF(A774="","",IF(G774="","Not mapped",IF(Y774=0,"OK",MID(IF(N(Q774)&gt;0,"; Cannibalisation","")&amp;IF(T774="Yes","; Too many primary keywords on URL","")&amp;IF(U774="Yes","; URL spans 2+ clusters","")&amp;IF(W774="Yes","; Intent mismatch","")&amp;IF(X774="Yes","; Ranking URL is not the target",""),3,300))))</f>
        <v/>
      </c>
      <c r="AA774">
        <f>IF(G774="","",IF(COUNTIF($G$3:G774,SUBSTITUTE(SUBSTITUTE(G774,"?","~?"),"*","~*"))=1,MAX($AA$2:AA773)+1,""))</f>
        <v/>
      </c>
      <c r="AB774">
        <f>IF(B774="","",IF(COUNTIF($B$3:B774,SUBSTITUTE(SUBSTITUTE(B774,"?","~?"),"*","~*"))=1,MAX($AB$2:AB773)+1,""))</f>
        <v/>
      </c>
    </row>
    <row r="775">
      <c r="M775">
        <f>IF(A775="","",LOWER(TRIM(SUBSTITUTE(SUBSTITUTE(A775,"?",""),"*",""))))</f>
        <v/>
      </c>
      <c r="N775">
        <f>IF(M775="","",IF(SUMPRODUCT(ISNUMBER(SEARCH(" "&amp;Settings!$L$5:$L$124&amp;" "," "&amp;M775&amp;" "))*(Settings!$K$5:$K$124="Navigational")*(Settings!$L$5:$L$124&lt;&gt;""))&gt;0,"Navigational",IF(SUMPRODUCT(ISNUMBER(SEARCH(" "&amp;Settings!$L$5:$L$124&amp;" "," "&amp;M775&amp;" "))*(Settings!$K$5:$K$124="Transactional")*(Settings!$L$5:$L$124&lt;&gt;""))&gt;0,"Transactional",IF(SUMPRODUCT(ISNUMBER(SEARCH(" "&amp;Settings!$L$5:$L$124&amp;" "," "&amp;M775&amp;" "))*(Settings!$K$5:$K$124="Commercial")*(Settings!$L$5:$L$124&lt;&gt;""))&gt;0,"Commercial",IF(SUMPRODUCT(ISNUMBER(SEARCH(" "&amp;Settings!$L$5:$L$124&amp;" "," "&amp;M775&amp;" "))*(Settings!$K$5:$K$124="Informational")*(Settings!$L$5:$L$124&lt;&gt;""))&gt;0,"Informational","Unclassified")))))</f>
        <v/>
      </c>
      <c r="O775">
        <f>IF(A775="","",IF(K775&lt;&gt;"",PROPER(K775),N775))</f>
        <v/>
      </c>
      <c r="P775">
        <f>IF(A775="","",ROUND(Settings!$B$5*MIN(1,LOG10(N(C775)+1)/LOG10(Settings!$B$7+1))+Settings!$B$6*(1-MIN(100,IF(D775="",50,N(D775)))/100)+IFERROR(INDEX(Settings!$B$10:$B$14,MATCH(O775,Settings!$A$10:$A$14,0)),0),0))</f>
        <v/>
      </c>
      <c r="Q775">
        <f>IF(OR(A775="",G775=""),"",COUNTIFS($M$3:$M$1002,M775,$G$3:$G$1002,"&lt;&gt;"&amp;SUBSTITUTE(SUBSTITUTE(G775,"?","~?"),"*","~*"),$G$3:$G$1002,"?*"))</f>
        <v/>
      </c>
      <c r="R775">
        <f>IF(Q775="","",IF(Q775&gt;0,"Yes","No"))</f>
        <v/>
      </c>
      <c r="S775">
        <f>IF(G775="","",COUNTIFS($G$3:$G$1002,SUBSTITUTE(SUBSTITUTE(G775,"?","~?"),"*","~*"),$J$3:$J$1002,"Primary"))</f>
        <v/>
      </c>
      <c r="T775">
        <f>IF(S775="","",IF(S775&gt;Settings!$B$4,"Yes","No"))</f>
        <v/>
      </c>
      <c r="U775">
        <f>IF(OR(G775="",B775=""),"",IF(COUNTIFS($G$3:$G$1002,SUBSTITUTE(SUBSTITUTE(G775,"?","~?"),"*","~*"),$B$3:$B$1002,"&lt;&gt;"&amp;SUBSTITUTE(SUBSTITUTE(B775,"?","~?"),"*","~*"),$B$3:$B$1002,"?*")&gt;0,"Yes","No"))</f>
        <v/>
      </c>
      <c r="V775">
        <f>IF(OR(G775="",I775="",O775="",O775="Unclassified"),"",IFERROR(INDEX(Settings!$E$5:$H$16,MATCH(I775,Settings!$D$5:$D$16,0),MATCH(O775,Settings!$E$4:$H$4,0)),"Check"))</f>
        <v/>
      </c>
      <c r="W775">
        <f>IF(V775="","",IF(V775="No","Yes","No"))</f>
        <v/>
      </c>
      <c r="X775">
        <f>IF(OR(E775="",G775=""),"",IF(LOWER(IF(RIGHT(TRIM(E775),1)="/",LEFT(TRIM(E775),LEN(TRIM(E775))-1),TRIM(E775)))&lt;&gt;LOWER(IF(RIGHT(TRIM(G775),1)="/",LEFT(TRIM(G775),LEN(TRIM(G775))-1),TRIM(G775))),"Yes","No"))</f>
        <v/>
      </c>
      <c r="Y775">
        <f>IF(A775="","",(N(Q775)&gt;0)+(T775="Yes")+(U775="Yes")+(W775="Yes")+(X775="Yes"))</f>
        <v/>
      </c>
      <c r="Z775">
        <f>IF(A775="","",IF(G775="","Not mapped",IF(Y775=0,"OK",MID(IF(N(Q775)&gt;0,"; Cannibalisation","")&amp;IF(T775="Yes","; Too many primary keywords on URL","")&amp;IF(U775="Yes","; URL spans 2+ clusters","")&amp;IF(W775="Yes","; Intent mismatch","")&amp;IF(X775="Yes","; Ranking URL is not the target",""),3,300))))</f>
        <v/>
      </c>
      <c r="AA775">
        <f>IF(G775="","",IF(COUNTIF($G$3:G775,SUBSTITUTE(SUBSTITUTE(G775,"?","~?"),"*","~*"))=1,MAX($AA$2:AA774)+1,""))</f>
        <v/>
      </c>
      <c r="AB775">
        <f>IF(B775="","",IF(COUNTIF($B$3:B775,SUBSTITUTE(SUBSTITUTE(B775,"?","~?"),"*","~*"))=1,MAX($AB$2:AB774)+1,""))</f>
        <v/>
      </c>
    </row>
    <row r="776">
      <c r="M776">
        <f>IF(A776="","",LOWER(TRIM(SUBSTITUTE(SUBSTITUTE(A776,"?",""),"*",""))))</f>
        <v/>
      </c>
      <c r="N776">
        <f>IF(M776="","",IF(SUMPRODUCT(ISNUMBER(SEARCH(" "&amp;Settings!$L$5:$L$124&amp;" "," "&amp;M776&amp;" "))*(Settings!$K$5:$K$124="Navigational")*(Settings!$L$5:$L$124&lt;&gt;""))&gt;0,"Navigational",IF(SUMPRODUCT(ISNUMBER(SEARCH(" "&amp;Settings!$L$5:$L$124&amp;" "," "&amp;M776&amp;" "))*(Settings!$K$5:$K$124="Transactional")*(Settings!$L$5:$L$124&lt;&gt;""))&gt;0,"Transactional",IF(SUMPRODUCT(ISNUMBER(SEARCH(" "&amp;Settings!$L$5:$L$124&amp;" "," "&amp;M776&amp;" "))*(Settings!$K$5:$K$124="Commercial")*(Settings!$L$5:$L$124&lt;&gt;""))&gt;0,"Commercial",IF(SUMPRODUCT(ISNUMBER(SEARCH(" "&amp;Settings!$L$5:$L$124&amp;" "," "&amp;M776&amp;" "))*(Settings!$K$5:$K$124="Informational")*(Settings!$L$5:$L$124&lt;&gt;""))&gt;0,"Informational","Unclassified")))))</f>
        <v/>
      </c>
      <c r="O776">
        <f>IF(A776="","",IF(K776&lt;&gt;"",PROPER(K776),N776))</f>
        <v/>
      </c>
      <c r="P776">
        <f>IF(A776="","",ROUND(Settings!$B$5*MIN(1,LOG10(N(C776)+1)/LOG10(Settings!$B$7+1))+Settings!$B$6*(1-MIN(100,IF(D776="",50,N(D776)))/100)+IFERROR(INDEX(Settings!$B$10:$B$14,MATCH(O776,Settings!$A$10:$A$14,0)),0),0))</f>
        <v/>
      </c>
      <c r="Q776">
        <f>IF(OR(A776="",G776=""),"",COUNTIFS($M$3:$M$1002,M776,$G$3:$G$1002,"&lt;&gt;"&amp;SUBSTITUTE(SUBSTITUTE(G776,"?","~?"),"*","~*"),$G$3:$G$1002,"?*"))</f>
        <v/>
      </c>
      <c r="R776">
        <f>IF(Q776="","",IF(Q776&gt;0,"Yes","No"))</f>
        <v/>
      </c>
      <c r="S776">
        <f>IF(G776="","",COUNTIFS($G$3:$G$1002,SUBSTITUTE(SUBSTITUTE(G776,"?","~?"),"*","~*"),$J$3:$J$1002,"Primary"))</f>
        <v/>
      </c>
      <c r="T776">
        <f>IF(S776="","",IF(S776&gt;Settings!$B$4,"Yes","No"))</f>
        <v/>
      </c>
      <c r="U776">
        <f>IF(OR(G776="",B776=""),"",IF(COUNTIFS($G$3:$G$1002,SUBSTITUTE(SUBSTITUTE(G776,"?","~?"),"*","~*"),$B$3:$B$1002,"&lt;&gt;"&amp;SUBSTITUTE(SUBSTITUTE(B776,"?","~?"),"*","~*"),$B$3:$B$1002,"?*")&gt;0,"Yes","No"))</f>
        <v/>
      </c>
      <c r="V776">
        <f>IF(OR(G776="",I776="",O776="",O776="Unclassified"),"",IFERROR(INDEX(Settings!$E$5:$H$16,MATCH(I776,Settings!$D$5:$D$16,0),MATCH(O776,Settings!$E$4:$H$4,0)),"Check"))</f>
        <v/>
      </c>
      <c r="W776">
        <f>IF(V776="","",IF(V776="No","Yes","No"))</f>
        <v/>
      </c>
      <c r="X776">
        <f>IF(OR(E776="",G776=""),"",IF(LOWER(IF(RIGHT(TRIM(E776),1)="/",LEFT(TRIM(E776),LEN(TRIM(E776))-1),TRIM(E776)))&lt;&gt;LOWER(IF(RIGHT(TRIM(G776),1)="/",LEFT(TRIM(G776),LEN(TRIM(G776))-1),TRIM(G776))),"Yes","No"))</f>
        <v/>
      </c>
      <c r="Y776">
        <f>IF(A776="","",(N(Q776)&gt;0)+(T776="Yes")+(U776="Yes")+(W776="Yes")+(X776="Yes"))</f>
        <v/>
      </c>
      <c r="Z776">
        <f>IF(A776="","",IF(G776="","Not mapped",IF(Y776=0,"OK",MID(IF(N(Q776)&gt;0,"; Cannibalisation","")&amp;IF(T776="Yes","; Too many primary keywords on URL","")&amp;IF(U776="Yes","; URL spans 2+ clusters","")&amp;IF(W776="Yes","; Intent mismatch","")&amp;IF(X776="Yes","; Ranking URL is not the target",""),3,300))))</f>
        <v/>
      </c>
      <c r="AA776">
        <f>IF(G776="","",IF(COUNTIF($G$3:G776,SUBSTITUTE(SUBSTITUTE(G776,"?","~?"),"*","~*"))=1,MAX($AA$2:AA775)+1,""))</f>
        <v/>
      </c>
      <c r="AB776">
        <f>IF(B776="","",IF(COUNTIF($B$3:B776,SUBSTITUTE(SUBSTITUTE(B776,"?","~?"),"*","~*"))=1,MAX($AB$2:AB775)+1,""))</f>
        <v/>
      </c>
    </row>
    <row r="777">
      <c r="M777">
        <f>IF(A777="","",LOWER(TRIM(SUBSTITUTE(SUBSTITUTE(A777,"?",""),"*",""))))</f>
        <v/>
      </c>
      <c r="N777">
        <f>IF(M777="","",IF(SUMPRODUCT(ISNUMBER(SEARCH(" "&amp;Settings!$L$5:$L$124&amp;" "," "&amp;M777&amp;" "))*(Settings!$K$5:$K$124="Navigational")*(Settings!$L$5:$L$124&lt;&gt;""))&gt;0,"Navigational",IF(SUMPRODUCT(ISNUMBER(SEARCH(" "&amp;Settings!$L$5:$L$124&amp;" "," "&amp;M777&amp;" "))*(Settings!$K$5:$K$124="Transactional")*(Settings!$L$5:$L$124&lt;&gt;""))&gt;0,"Transactional",IF(SUMPRODUCT(ISNUMBER(SEARCH(" "&amp;Settings!$L$5:$L$124&amp;" "," "&amp;M777&amp;" "))*(Settings!$K$5:$K$124="Commercial")*(Settings!$L$5:$L$124&lt;&gt;""))&gt;0,"Commercial",IF(SUMPRODUCT(ISNUMBER(SEARCH(" "&amp;Settings!$L$5:$L$124&amp;" "," "&amp;M777&amp;" "))*(Settings!$K$5:$K$124="Informational")*(Settings!$L$5:$L$124&lt;&gt;""))&gt;0,"Informational","Unclassified")))))</f>
        <v/>
      </c>
      <c r="O777">
        <f>IF(A777="","",IF(K777&lt;&gt;"",PROPER(K777),N777))</f>
        <v/>
      </c>
      <c r="P777">
        <f>IF(A777="","",ROUND(Settings!$B$5*MIN(1,LOG10(N(C777)+1)/LOG10(Settings!$B$7+1))+Settings!$B$6*(1-MIN(100,IF(D777="",50,N(D777)))/100)+IFERROR(INDEX(Settings!$B$10:$B$14,MATCH(O777,Settings!$A$10:$A$14,0)),0),0))</f>
        <v/>
      </c>
      <c r="Q777">
        <f>IF(OR(A777="",G777=""),"",COUNTIFS($M$3:$M$1002,M777,$G$3:$G$1002,"&lt;&gt;"&amp;SUBSTITUTE(SUBSTITUTE(G777,"?","~?"),"*","~*"),$G$3:$G$1002,"?*"))</f>
        <v/>
      </c>
      <c r="R777">
        <f>IF(Q777="","",IF(Q777&gt;0,"Yes","No"))</f>
        <v/>
      </c>
      <c r="S777">
        <f>IF(G777="","",COUNTIFS($G$3:$G$1002,SUBSTITUTE(SUBSTITUTE(G777,"?","~?"),"*","~*"),$J$3:$J$1002,"Primary"))</f>
        <v/>
      </c>
      <c r="T777">
        <f>IF(S777="","",IF(S777&gt;Settings!$B$4,"Yes","No"))</f>
        <v/>
      </c>
      <c r="U777">
        <f>IF(OR(G777="",B777=""),"",IF(COUNTIFS($G$3:$G$1002,SUBSTITUTE(SUBSTITUTE(G777,"?","~?"),"*","~*"),$B$3:$B$1002,"&lt;&gt;"&amp;SUBSTITUTE(SUBSTITUTE(B777,"?","~?"),"*","~*"),$B$3:$B$1002,"?*")&gt;0,"Yes","No"))</f>
        <v/>
      </c>
      <c r="V777">
        <f>IF(OR(G777="",I777="",O777="",O777="Unclassified"),"",IFERROR(INDEX(Settings!$E$5:$H$16,MATCH(I777,Settings!$D$5:$D$16,0),MATCH(O777,Settings!$E$4:$H$4,0)),"Check"))</f>
        <v/>
      </c>
      <c r="W777">
        <f>IF(V777="","",IF(V777="No","Yes","No"))</f>
        <v/>
      </c>
      <c r="X777">
        <f>IF(OR(E777="",G777=""),"",IF(LOWER(IF(RIGHT(TRIM(E777),1)="/",LEFT(TRIM(E777),LEN(TRIM(E777))-1),TRIM(E777)))&lt;&gt;LOWER(IF(RIGHT(TRIM(G777),1)="/",LEFT(TRIM(G777),LEN(TRIM(G777))-1),TRIM(G777))),"Yes","No"))</f>
        <v/>
      </c>
      <c r="Y777">
        <f>IF(A777="","",(N(Q777)&gt;0)+(T777="Yes")+(U777="Yes")+(W777="Yes")+(X777="Yes"))</f>
        <v/>
      </c>
      <c r="Z777">
        <f>IF(A777="","",IF(G777="","Not mapped",IF(Y777=0,"OK",MID(IF(N(Q777)&gt;0,"; Cannibalisation","")&amp;IF(T777="Yes","; Too many primary keywords on URL","")&amp;IF(U777="Yes","; URL spans 2+ clusters","")&amp;IF(W777="Yes","; Intent mismatch","")&amp;IF(X777="Yes","; Ranking URL is not the target",""),3,300))))</f>
        <v/>
      </c>
      <c r="AA777">
        <f>IF(G777="","",IF(COUNTIF($G$3:G777,SUBSTITUTE(SUBSTITUTE(G777,"?","~?"),"*","~*"))=1,MAX($AA$2:AA776)+1,""))</f>
        <v/>
      </c>
      <c r="AB777">
        <f>IF(B777="","",IF(COUNTIF($B$3:B777,SUBSTITUTE(SUBSTITUTE(B777,"?","~?"),"*","~*"))=1,MAX($AB$2:AB776)+1,""))</f>
        <v/>
      </c>
    </row>
    <row r="778">
      <c r="M778">
        <f>IF(A778="","",LOWER(TRIM(SUBSTITUTE(SUBSTITUTE(A778,"?",""),"*",""))))</f>
        <v/>
      </c>
      <c r="N778">
        <f>IF(M778="","",IF(SUMPRODUCT(ISNUMBER(SEARCH(" "&amp;Settings!$L$5:$L$124&amp;" "," "&amp;M778&amp;" "))*(Settings!$K$5:$K$124="Navigational")*(Settings!$L$5:$L$124&lt;&gt;""))&gt;0,"Navigational",IF(SUMPRODUCT(ISNUMBER(SEARCH(" "&amp;Settings!$L$5:$L$124&amp;" "," "&amp;M778&amp;" "))*(Settings!$K$5:$K$124="Transactional")*(Settings!$L$5:$L$124&lt;&gt;""))&gt;0,"Transactional",IF(SUMPRODUCT(ISNUMBER(SEARCH(" "&amp;Settings!$L$5:$L$124&amp;" "," "&amp;M778&amp;" "))*(Settings!$K$5:$K$124="Commercial")*(Settings!$L$5:$L$124&lt;&gt;""))&gt;0,"Commercial",IF(SUMPRODUCT(ISNUMBER(SEARCH(" "&amp;Settings!$L$5:$L$124&amp;" "," "&amp;M778&amp;" "))*(Settings!$K$5:$K$124="Informational")*(Settings!$L$5:$L$124&lt;&gt;""))&gt;0,"Informational","Unclassified")))))</f>
        <v/>
      </c>
      <c r="O778">
        <f>IF(A778="","",IF(K778&lt;&gt;"",PROPER(K778),N778))</f>
        <v/>
      </c>
      <c r="P778">
        <f>IF(A778="","",ROUND(Settings!$B$5*MIN(1,LOG10(N(C778)+1)/LOG10(Settings!$B$7+1))+Settings!$B$6*(1-MIN(100,IF(D778="",50,N(D778)))/100)+IFERROR(INDEX(Settings!$B$10:$B$14,MATCH(O778,Settings!$A$10:$A$14,0)),0),0))</f>
        <v/>
      </c>
      <c r="Q778">
        <f>IF(OR(A778="",G778=""),"",COUNTIFS($M$3:$M$1002,M778,$G$3:$G$1002,"&lt;&gt;"&amp;SUBSTITUTE(SUBSTITUTE(G778,"?","~?"),"*","~*"),$G$3:$G$1002,"?*"))</f>
        <v/>
      </c>
      <c r="R778">
        <f>IF(Q778="","",IF(Q778&gt;0,"Yes","No"))</f>
        <v/>
      </c>
      <c r="S778">
        <f>IF(G778="","",COUNTIFS($G$3:$G$1002,SUBSTITUTE(SUBSTITUTE(G778,"?","~?"),"*","~*"),$J$3:$J$1002,"Primary"))</f>
        <v/>
      </c>
      <c r="T778">
        <f>IF(S778="","",IF(S778&gt;Settings!$B$4,"Yes","No"))</f>
        <v/>
      </c>
      <c r="U778">
        <f>IF(OR(G778="",B778=""),"",IF(COUNTIFS($G$3:$G$1002,SUBSTITUTE(SUBSTITUTE(G778,"?","~?"),"*","~*"),$B$3:$B$1002,"&lt;&gt;"&amp;SUBSTITUTE(SUBSTITUTE(B778,"?","~?"),"*","~*"),$B$3:$B$1002,"?*")&gt;0,"Yes","No"))</f>
        <v/>
      </c>
      <c r="V778">
        <f>IF(OR(G778="",I778="",O778="",O778="Unclassified"),"",IFERROR(INDEX(Settings!$E$5:$H$16,MATCH(I778,Settings!$D$5:$D$16,0),MATCH(O778,Settings!$E$4:$H$4,0)),"Check"))</f>
        <v/>
      </c>
      <c r="W778">
        <f>IF(V778="","",IF(V778="No","Yes","No"))</f>
        <v/>
      </c>
      <c r="X778">
        <f>IF(OR(E778="",G778=""),"",IF(LOWER(IF(RIGHT(TRIM(E778),1)="/",LEFT(TRIM(E778),LEN(TRIM(E778))-1),TRIM(E778)))&lt;&gt;LOWER(IF(RIGHT(TRIM(G778),1)="/",LEFT(TRIM(G778),LEN(TRIM(G778))-1),TRIM(G778))),"Yes","No"))</f>
        <v/>
      </c>
      <c r="Y778">
        <f>IF(A778="","",(N(Q778)&gt;0)+(T778="Yes")+(U778="Yes")+(W778="Yes")+(X778="Yes"))</f>
        <v/>
      </c>
      <c r="Z778">
        <f>IF(A778="","",IF(G778="","Not mapped",IF(Y778=0,"OK",MID(IF(N(Q778)&gt;0,"; Cannibalisation","")&amp;IF(T778="Yes","; Too many primary keywords on URL","")&amp;IF(U778="Yes","; URL spans 2+ clusters","")&amp;IF(W778="Yes","; Intent mismatch","")&amp;IF(X778="Yes","; Ranking URL is not the target",""),3,300))))</f>
        <v/>
      </c>
      <c r="AA778">
        <f>IF(G778="","",IF(COUNTIF($G$3:G778,SUBSTITUTE(SUBSTITUTE(G778,"?","~?"),"*","~*"))=1,MAX($AA$2:AA777)+1,""))</f>
        <v/>
      </c>
      <c r="AB778">
        <f>IF(B778="","",IF(COUNTIF($B$3:B778,SUBSTITUTE(SUBSTITUTE(B778,"?","~?"),"*","~*"))=1,MAX($AB$2:AB777)+1,""))</f>
        <v/>
      </c>
    </row>
    <row r="779">
      <c r="M779">
        <f>IF(A779="","",LOWER(TRIM(SUBSTITUTE(SUBSTITUTE(A779,"?",""),"*",""))))</f>
        <v/>
      </c>
      <c r="N779">
        <f>IF(M779="","",IF(SUMPRODUCT(ISNUMBER(SEARCH(" "&amp;Settings!$L$5:$L$124&amp;" "," "&amp;M779&amp;" "))*(Settings!$K$5:$K$124="Navigational")*(Settings!$L$5:$L$124&lt;&gt;""))&gt;0,"Navigational",IF(SUMPRODUCT(ISNUMBER(SEARCH(" "&amp;Settings!$L$5:$L$124&amp;" "," "&amp;M779&amp;" "))*(Settings!$K$5:$K$124="Transactional")*(Settings!$L$5:$L$124&lt;&gt;""))&gt;0,"Transactional",IF(SUMPRODUCT(ISNUMBER(SEARCH(" "&amp;Settings!$L$5:$L$124&amp;" "," "&amp;M779&amp;" "))*(Settings!$K$5:$K$124="Commercial")*(Settings!$L$5:$L$124&lt;&gt;""))&gt;0,"Commercial",IF(SUMPRODUCT(ISNUMBER(SEARCH(" "&amp;Settings!$L$5:$L$124&amp;" "," "&amp;M779&amp;" "))*(Settings!$K$5:$K$124="Informational")*(Settings!$L$5:$L$124&lt;&gt;""))&gt;0,"Informational","Unclassified")))))</f>
        <v/>
      </c>
      <c r="O779">
        <f>IF(A779="","",IF(K779&lt;&gt;"",PROPER(K779),N779))</f>
        <v/>
      </c>
      <c r="P779">
        <f>IF(A779="","",ROUND(Settings!$B$5*MIN(1,LOG10(N(C779)+1)/LOG10(Settings!$B$7+1))+Settings!$B$6*(1-MIN(100,IF(D779="",50,N(D779)))/100)+IFERROR(INDEX(Settings!$B$10:$B$14,MATCH(O779,Settings!$A$10:$A$14,0)),0),0))</f>
        <v/>
      </c>
      <c r="Q779">
        <f>IF(OR(A779="",G779=""),"",COUNTIFS($M$3:$M$1002,M779,$G$3:$G$1002,"&lt;&gt;"&amp;SUBSTITUTE(SUBSTITUTE(G779,"?","~?"),"*","~*"),$G$3:$G$1002,"?*"))</f>
        <v/>
      </c>
      <c r="R779">
        <f>IF(Q779="","",IF(Q779&gt;0,"Yes","No"))</f>
        <v/>
      </c>
      <c r="S779">
        <f>IF(G779="","",COUNTIFS($G$3:$G$1002,SUBSTITUTE(SUBSTITUTE(G779,"?","~?"),"*","~*"),$J$3:$J$1002,"Primary"))</f>
        <v/>
      </c>
      <c r="T779">
        <f>IF(S779="","",IF(S779&gt;Settings!$B$4,"Yes","No"))</f>
        <v/>
      </c>
      <c r="U779">
        <f>IF(OR(G779="",B779=""),"",IF(COUNTIFS($G$3:$G$1002,SUBSTITUTE(SUBSTITUTE(G779,"?","~?"),"*","~*"),$B$3:$B$1002,"&lt;&gt;"&amp;SUBSTITUTE(SUBSTITUTE(B779,"?","~?"),"*","~*"),$B$3:$B$1002,"?*")&gt;0,"Yes","No"))</f>
        <v/>
      </c>
      <c r="V779">
        <f>IF(OR(G779="",I779="",O779="",O779="Unclassified"),"",IFERROR(INDEX(Settings!$E$5:$H$16,MATCH(I779,Settings!$D$5:$D$16,0),MATCH(O779,Settings!$E$4:$H$4,0)),"Check"))</f>
        <v/>
      </c>
      <c r="W779">
        <f>IF(V779="","",IF(V779="No","Yes","No"))</f>
        <v/>
      </c>
      <c r="X779">
        <f>IF(OR(E779="",G779=""),"",IF(LOWER(IF(RIGHT(TRIM(E779),1)="/",LEFT(TRIM(E779),LEN(TRIM(E779))-1),TRIM(E779)))&lt;&gt;LOWER(IF(RIGHT(TRIM(G779),1)="/",LEFT(TRIM(G779),LEN(TRIM(G779))-1),TRIM(G779))),"Yes","No"))</f>
        <v/>
      </c>
      <c r="Y779">
        <f>IF(A779="","",(N(Q779)&gt;0)+(T779="Yes")+(U779="Yes")+(W779="Yes")+(X779="Yes"))</f>
        <v/>
      </c>
      <c r="Z779">
        <f>IF(A779="","",IF(G779="","Not mapped",IF(Y779=0,"OK",MID(IF(N(Q779)&gt;0,"; Cannibalisation","")&amp;IF(T779="Yes","; Too many primary keywords on URL","")&amp;IF(U779="Yes","; URL spans 2+ clusters","")&amp;IF(W779="Yes","; Intent mismatch","")&amp;IF(X779="Yes","; Ranking URL is not the target",""),3,300))))</f>
        <v/>
      </c>
      <c r="AA779">
        <f>IF(G779="","",IF(COUNTIF($G$3:G779,SUBSTITUTE(SUBSTITUTE(G779,"?","~?"),"*","~*"))=1,MAX($AA$2:AA778)+1,""))</f>
        <v/>
      </c>
      <c r="AB779">
        <f>IF(B779="","",IF(COUNTIF($B$3:B779,SUBSTITUTE(SUBSTITUTE(B779,"?","~?"),"*","~*"))=1,MAX($AB$2:AB778)+1,""))</f>
        <v/>
      </c>
    </row>
    <row r="780">
      <c r="M780">
        <f>IF(A780="","",LOWER(TRIM(SUBSTITUTE(SUBSTITUTE(A780,"?",""),"*",""))))</f>
        <v/>
      </c>
      <c r="N780">
        <f>IF(M780="","",IF(SUMPRODUCT(ISNUMBER(SEARCH(" "&amp;Settings!$L$5:$L$124&amp;" "," "&amp;M780&amp;" "))*(Settings!$K$5:$K$124="Navigational")*(Settings!$L$5:$L$124&lt;&gt;""))&gt;0,"Navigational",IF(SUMPRODUCT(ISNUMBER(SEARCH(" "&amp;Settings!$L$5:$L$124&amp;" "," "&amp;M780&amp;" "))*(Settings!$K$5:$K$124="Transactional")*(Settings!$L$5:$L$124&lt;&gt;""))&gt;0,"Transactional",IF(SUMPRODUCT(ISNUMBER(SEARCH(" "&amp;Settings!$L$5:$L$124&amp;" "," "&amp;M780&amp;" "))*(Settings!$K$5:$K$124="Commercial")*(Settings!$L$5:$L$124&lt;&gt;""))&gt;0,"Commercial",IF(SUMPRODUCT(ISNUMBER(SEARCH(" "&amp;Settings!$L$5:$L$124&amp;" "," "&amp;M780&amp;" "))*(Settings!$K$5:$K$124="Informational")*(Settings!$L$5:$L$124&lt;&gt;""))&gt;0,"Informational","Unclassified")))))</f>
        <v/>
      </c>
      <c r="O780">
        <f>IF(A780="","",IF(K780&lt;&gt;"",PROPER(K780),N780))</f>
        <v/>
      </c>
      <c r="P780">
        <f>IF(A780="","",ROUND(Settings!$B$5*MIN(1,LOG10(N(C780)+1)/LOG10(Settings!$B$7+1))+Settings!$B$6*(1-MIN(100,IF(D780="",50,N(D780)))/100)+IFERROR(INDEX(Settings!$B$10:$B$14,MATCH(O780,Settings!$A$10:$A$14,0)),0),0))</f>
        <v/>
      </c>
      <c r="Q780">
        <f>IF(OR(A780="",G780=""),"",COUNTIFS($M$3:$M$1002,M780,$G$3:$G$1002,"&lt;&gt;"&amp;SUBSTITUTE(SUBSTITUTE(G780,"?","~?"),"*","~*"),$G$3:$G$1002,"?*"))</f>
        <v/>
      </c>
      <c r="R780">
        <f>IF(Q780="","",IF(Q780&gt;0,"Yes","No"))</f>
        <v/>
      </c>
      <c r="S780">
        <f>IF(G780="","",COUNTIFS($G$3:$G$1002,SUBSTITUTE(SUBSTITUTE(G780,"?","~?"),"*","~*"),$J$3:$J$1002,"Primary"))</f>
        <v/>
      </c>
      <c r="T780">
        <f>IF(S780="","",IF(S780&gt;Settings!$B$4,"Yes","No"))</f>
        <v/>
      </c>
      <c r="U780">
        <f>IF(OR(G780="",B780=""),"",IF(COUNTIFS($G$3:$G$1002,SUBSTITUTE(SUBSTITUTE(G780,"?","~?"),"*","~*"),$B$3:$B$1002,"&lt;&gt;"&amp;SUBSTITUTE(SUBSTITUTE(B780,"?","~?"),"*","~*"),$B$3:$B$1002,"?*")&gt;0,"Yes","No"))</f>
        <v/>
      </c>
      <c r="V780">
        <f>IF(OR(G780="",I780="",O780="",O780="Unclassified"),"",IFERROR(INDEX(Settings!$E$5:$H$16,MATCH(I780,Settings!$D$5:$D$16,0),MATCH(O780,Settings!$E$4:$H$4,0)),"Check"))</f>
        <v/>
      </c>
      <c r="W780">
        <f>IF(V780="","",IF(V780="No","Yes","No"))</f>
        <v/>
      </c>
      <c r="X780">
        <f>IF(OR(E780="",G780=""),"",IF(LOWER(IF(RIGHT(TRIM(E780),1)="/",LEFT(TRIM(E780),LEN(TRIM(E780))-1),TRIM(E780)))&lt;&gt;LOWER(IF(RIGHT(TRIM(G780),1)="/",LEFT(TRIM(G780),LEN(TRIM(G780))-1),TRIM(G780))),"Yes","No"))</f>
        <v/>
      </c>
      <c r="Y780">
        <f>IF(A780="","",(N(Q780)&gt;0)+(T780="Yes")+(U780="Yes")+(W780="Yes")+(X780="Yes"))</f>
        <v/>
      </c>
      <c r="Z780">
        <f>IF(A780="","",IF(G780="","Not mapped",IF(Y780=0,"OK",MID(IF(N(Q780)&gt;0,"; Cannibalisation","")&amp;IF(T780="Yes","; Too many primary keywords on URL","")&amp;IF(U780="Yes","; URL spans 2+ clusters","")&amp;IF(W780="Yes","; Intent mismatch","")&amp;IF(X780="Yes","; Ranking URL is not the target",""),3,300))))</f>
        <v/>
      </c>
      <c r="AA780">
        <f>IF(G780="","",IF(COUNTIF($G$3:G780,SUBSTITUTE(SUBSTITUTE(G780,"?","~?"),"*","~*"))=1,MAX($AA$2:AA779)+1,""))</f>
        <v/>
      </c>
      <c r="AB780">
        <f>IF(B780="","",IF(COUNTIF($B$3:B780,SUBSTITUTE(SUBSTITUTE(B780,"?","~?"),"*","~*"))=1,MAX($AB$2:AB779)+1,""))</f>
        <v/>
      </c>
    </row>
    <row r="781">
      <c r="M781">
        <f>IF(A781="","",LOWER(TRIM(SUBSTITUTE(SUBSTITUTE(A781,"?",""),"*",""))))</f>
        <v/>
      </c>
      <c r="N781">
        <f>IF(M781="","",IF(SUMPRODUCT(ISNUMBER(SEARCH(" "&amp;Settings!$L$5:$L$124&amp;" "," "&amp;M781&amp;" "))*(Settings!$K$5:$K$124="Navigational")*(Settings!$L$5:$L$124&lt;&gt;""))&gt;0,"Navigational",IF(SUMPRODUCT(ISNUMBER(SEARCH(" "&amp;Settings!$L$5:$L$124&amp;" "," "&amp;M781&amp;" "))*(Settings!$K$5:$K$124="Transactional")*(Settings!$L$5:$L$124&lt;&gt;""))&gt;0,"Transactional",IF(SUMPRODUCT(ISNUMBER(SEARCH(" "&amp;Settings!$L$5:$L$124&amp;" "," "&amp;M781&amp;" "))*(Settings!$K$5:$K$124="Commercial")*(Settings!$L$5:$L$124&lt;&gt;""))&gt;0,"Commercial",IF(SUMPRODUCT(ISNUMBER(SEARCH(" "&amp;Settings!$L$5:$L$124&amp;" "," "&amp;M781&amp;" "))*(Settings!$K$5:$K$124="Informational")*(Settings!$L$5:$L$124&lt;&gt;""))&gt;0,"Informational","Unclassified")))))</f>
        <v/>
      </c>
      <c r="O781">
        <f>IF(A781="","",IF(K781&lt;&gt;"",PROPER(K781),N781))</f>
        <v/>
      </c>
      <c r="P781">
        <f>IF(A781="","",ROUND(Settings!$B$5*MIN(1,LOG10(N(C781)+1)/LOG10(Settings!$B$7+1))+Settings!$B$6*(1-MIN(100,IF(D781="",50,N(D781)))/100)+IFERROR(INDEX(Settings!$B$10:$B$14,MATCH(O781,Settings!$A$10:$A$14,0)),0),0))</f>
        <v/>
      </c>
      <c r="Q781">
        <f>IF(OR(A781="",G781=""),"",COUNTIFS($M$3:$M$1002,M781,$G$3:$G$1002,"&lt;&gt;"&amp;SUBSTITUTE(SUBSTITUTE(G781,"?","~?"),"*","~*"),$G$3:$G$1002,"?*"))</f>
        <v/>
      </c>
      <c r="R781">
        <f>IF(Q781="","",IF(Q781&gt;0,"Yes","No"))</f>
        <v/>
      </c>
      <c r="S781">
        <f>IF(G781="","",COUNTIFS($G$3:$G$1002,SUBSTITUTE(SUBSTITUTE(G781,"?","~?"),"*","~*"),$J$3:$J$1002,"Primary"))</f>
        <v/>
      </c>
      <c r="T781">
        <f>IF(S781="","",IF(S781&gt;Settings!$B$4,"Yes","No"))</f>
        <v/>
      </c>
      <c r="U781">
        <f>IF(OR(G781="",B781=""),"",IF(COUNTIFS($G$3:$G$1002,SUBSTITUTE(SUBSTITUTE(G781,"?","~?"),"*","~*"),$B$3:$B$1002,"&lt;&gt;"&amp;SUBSTITUTE(SUBSTITUTE(B781,"?","~?"),"*","~*"),$B$3:$B$1002,"?*")&gt;0,"Yes","No"))</f>
        <v/>
      </c>
      <c r="V781">
        <f>IF(OR(G781="",I781="",O781="",O781="Unclassified"),"",IFERROR(INDEX(Settings!$E$5:$H$16,MATCH(I781,Settings!$D$5:$D$16,0),MATCH(O781,Settings!$E$4:$H$4,0)),"Check"))</f>
        <v/>
      </c>
      <c r="W781">
        <f>IF(V781="","",IF(V781="No","Yes","No"))</f>
        <v/>
      </c>
      <c r="X781">
        <f>IF(OR(E781="",G781=""),"",IF(LOWER(IF(RIGHT(TRIM(E781),1)="/",LEFT(TRIM(E781),LEN(TRIM(E781))-1),TRIM(E781)))&lt;&gt;LOWER(IF(RIGHT(TRIM(G781),1)="/",LEFT(TRIM(G781),LEN(TRIM(G781))-1),TRIM(G781))),"Yes","No"))</f>
        <v/>
      </c>
      <c r="Y781">
        <f>IF(A781="","",(N(Q781)&gt;0)+(T781="Yes")+(U781="Yes")+(W781="Yes")+(X781="Yes"))</f>
        <v/>
      </c>
      <c r="Z781">
        <f>IF(A781="","",IF(G781="","Not mapped",IF(Y781=0,"OK",MID(IF(N(Q781)&gt;0,"; Cannibalisation","")&amp;IF(T781="Yes","; Too many primary keywords on URL","")&amp;IF(U781="Yes","; URL spans 2+ clusters","")&amp;IF(W781="Yes","; Intent mismatch","")&amp;IF(X781="Yes","; Ranking URL is not the target",""),3,300))))</f>
        <v/>
      </c>
      <c r="AA781">
        <f>IF(G781="","",IF(COUNTIF($G$3:G781,SUBSTITUTE(SUBSTITUTE(G781,"?","~?"),"*","~*"))=1,MAX($AA$2:AA780)+1,""))</f>
        <v/>
      </c>
      <c r="AB781">
        <f>IF(B781="","",IF(COUNTIF($B$3:B781,SUBSTITUTE(SUBSTITUTE(B781,"?","~?"),"*","~*"))=1,MAX($AB$2:AB780)+1,""))</f>
        <v/>
      </c>
    </row>
    <row r="782">
      <c r="M782">
        <f>IF(A782="","",LOWER(TRIM(SUBSTITUTE(SUBSTITUTE(A782,"?",""),"*",""))))</f>
        <v/>
      </c>
      <c r="N782">
        <f>IF(M782="","",IF(SUMPRODUCT(ISNUMBER(SEARCH(" "&amp;Settings!$L$5:$L$124&amp;" "," "&amp;M782&amp;" "))*(Settings!$K$5:$K$124="Navigational")*(Settings!$L$5:$L$124&lt;&gt;""))&gt;0,"Navigational",IF(SUMPRODUCT(ISNUMBER(SEARCH(" "&amp;Settings!$L$5:$L$124&amp;" "," "&amp;M782&amp;" "))*(Settings!$K$5:$K$124="Transactional")*(Settings!$L$5:$L$124&lt;&gt;""))&gt;0,"Transactional",IF(SUMPRODUCT(ISNUMBER(SEARCH(" "&amp;Settings!$L$5:$L$124&amp;" "," "&amp;M782&amp;" "))*(Settings!$K$5:$K$124="Commercial")*(Settings!$L$5:$L$124&lt;&gt;""))&gt;0,"Commercial",IF(SUMPRODUCT(ISNUMBER(SEARCH(" "&amp;Settings!$L$5:$L$124&amp;" "," "&amp;M782&amp;" "))*(Settings!$K$5:$K$124="Informational")*(Settings!$L$5:$L$124&lt;&gt;""))&gt;0,"Informational","Unclassified")))))</f>
        <v/>
      </c>
      <c r="O782">
        <f>IF(A782="","",IF(K782&lt;&gt;"",PROPER(K782),N782))</f>
        <v/>
      </c>
      <c r="P782">
        <f>IF(A782="","",ROUND(Settings!$B$5*MIN(1,LOG10(N(C782)+1)/LOG10(Settings!$B$7+1))+Settings!$B$6*(1-MIN(100,IF(D782="",50,N(D782)))/100)+IFERROR(INDEX(Settings!$B$10:$B$14,MATCH(O782,Settings!$A$10:$A$14,0)),0),0))</f>
        <v/>
      </c>
      <c r="Q782">
        <f>IF(OR(A782="",G782=""),"",COUNTIFS($M$3:$M$1002,M782,$G$3:$G$1002,"&lt;&gt;"&amp;SUBSTITUTE(SUBSTITUTE(G782,"?","~?"),"*","~*"),$G$3:$G$1002,"?*"))</f>
        <v/>
      </c>
      <c r="R782">
        <f>IF(Q782="","",IF(Q782&gt;0,"Yes","No"))</f>
        <v/>
      </c>
      <c r="S782">
        <f>IF(G782="","",COUNTIFS($G$3:$G$1002,SUBSTITUTE(SUBSTITUTE(G782,"?","~?"),"*","~*"),$J$3:$J$1002,"Primary"))</f>
        <v/>
      </c>
      <c r="T782">
        <f>IF(S782="","",IF(S782&gt;Settings!$B$4,"Yes","No"))</f>
        <v/>
      </c>
      <c r="U782">
        <f>IF(OR(G782="",B782=""),"",IF(COUNTIFS($G$3:$G$1002,SUBSTITUTE(SUBSTITUTE(G782,"?","~?"),"*","~*"),$B$3:$B$1002,"&lt;&gt;"&amp;SUBSTITUTE(SUBSTITUTE(B782,"?","~?"),"*","~*"),$B$3:$B$1002,"?*")&gt;0,"Yes","No"))</f>
        <v/>
      </c>
      <c r="V782">
        <f>IF(OR(G782="",I782="",O782="",O782="Unclassified"),"",IFERROR(INDEX(Settings!$E$5:$H$16,MATCH(I782,Settings!$D$5:$D$16,0),MATCH(O782,Settings!$E$4:$H$4,0)),"Check"))</f>
        <v/>
      </c>
      <c r="W782">
        <f>IF(V782="","",IF(V782="No","Yes","No"))</f>
        <v/>
      </c>
      <c r="X782">
        <f>IF(OR(E782="",G782=""),"",IF(LOWER(IF(RIGHT(TRIM(E782),1)="/",LEFT(TRIM(E782),LEN(TRIM(E782))-1),TRIM(E782)))&lt;&gt;LOWER(IF(RIGHT(TRIM(G782),1)="/",LEFT(TRIM(G782),LEN(TRIM(G782))-1),TRIM(G782))),"Yes","No"))</f>
        <v/>
      </c>
      <c r="Y782">
        <f>IF(A782="","",(N(Q782)&gt;0)+(T782="Yes")+(U782="Yes")+(W782="Yes")+(X782="Yes"))</f>
        <v/>
      </c>
      <c r="Z782">
        <f>IF(A782="","",IF(G782="","Not mapped",IF(Y782=0,"OK",MID(IF(N(Q782)&gt;0,"; Cannibalisation","")&amp;IF(T782="Yes","; Too many primary keywords on URL","")&amp;IF(U782="Yes","; URL spans 2+ clusters","")&amp;IF(W782="Yes","; Intent mismatch","")&amp;IF(X782="Yes","; Ranking URL is not the target",""),3,300))))</f>
        <v/>
      </c>
      <c r="AA782">
        <f>IF(G782="","",IF(COUNTIF($G$3:G782,SUBSTITUTE(SUBSTITUTE(G782,"?","~?"),"*","~*"))=1,MAX($AA$2:AA781)+1,""))</f>
        <v/>
      </c>
      <c r="AB782">
        <f>IF(B782="","",IF(COUNTIF($B$3:B782,SUBSTITUTE(SUBSTITUTE(B782,"?","~?"),"*","~*"))=1,MAX($AB$2:AB781)+1,""))</f>
        <v/>
      </c>
    </row>
    <row r="783">
      <c r="M783">
        <f>IF(A783="","",LOWER(TRIM(SUBSTITUTE(SUBSTITUTE(A783,"?",""),"*",""))))</f>
        <v/>
      </c>
      <c r="N783">
        <f>IF(M783="","",IF(SUMPRODUCT(ISNUMBER(SEARCH(" "&amp;Settings!$L$5:$L$124&amp;" "," "&amp;M783&amp;" "))*(Settings!$K$5:$K$124="Navigational")*(Settings!$L$5:$L$124&lt;&gt;""))&gt;0,"Navigational",IF(SUMPRODUCT(ISNUMBER(SEARCH(" "&amp;Settings!$L$5:$L$124&amp;" "," "&amp;M783&amp;" "))*(Settings!$K$5:$K$124="Transactional")*(Settings!$L$5:$L$124&lt;&gt;""))&gt;0,"Transactional",IF(SUMPRODUCT(ISNUMBER(SEARCH(" "&amp;Settings!$L$5:$L$124&amp;" "," "&amp;M783&amp;" "))*(Settings!$K$5:$K$124="Commercial")*(Settings!$L$5:$L$124&lt;&gt;""))&gt;0,"Commercial",IF(SUMPRODUCT(ISNUMBER(SEARCH(" "&amp;Settings!$L$5:$L$124&amp;" "," "&amp;M783&amp;" "))*(Settings!$K$5:$K$124="Informational")*(Settings!$L$5:$L$124&lt;&gt;""))&gt;0,"Informational","Unclassified")))))</f>
        <v/>
      </c>
      <c r="O783">
        <f>IF(A783="","",IF(K783&lt;&gt;"",PROPER(K783),N783))</f>
        <v/>
      </c>
      <c r="P783">
        <f>IF(A783="","",ROUND(Settings!$B$5*MIN(1,LOG10(N(C783)+1)/LOG10(Settings!$B$7+1))+Settings!$B$6*(1-MIN(100,IF(D783="",50,N(D783)))/100)+IFERROR(INDEX(Settings!$B$10:$B$14,MATCH(O783,Settings!$A$10:$A$14,0)),0),0))</f>
        <v/>
      </c>
      <c r="Q783">
        <f>IF(OR(A783="",G783=""),"",COUNTIFS($M$3:$M$1002,M783,$G$3:$G$1002,"&lt;&gt;"&amp;SUBSTITUTE(SUBSTITUTE(G783,"?","~?"),"*","~*"),$G$3:$G$1002,"?*"))</f>
        <v/>
      </c>
      <c r="R783">
        <f>IF(Q783="","",IF(Q783&gt;0,"Yes","No"))</f>
        <v/>
      </c>
      <c r="S783">
        <f>IF(G783="","",COUNTIFS($G$3:$G$1002,SUBSTITUTE(SUBSTITUTE(G783,"?","~?"),"*","~*"),$J$3:$J$1002,"Primary"))</f>
        <v/>
      </c>
      <c r="T783">
        <f>IF(S783="","",IF(S783&gt;Settings!$B$4,"Yes","No"))</f>
        <v/>
      </c>
      <c r="U783">
        <f>IF(OR(G783="",B783=""),"",IF(COUNTIFS($G$3:$G$1002,SUBSTITUTE(SUBSTITUTE(G783,"?","~?"),"*","~*"),$B$3:$B$1002,"&lt;&gt;"&amp;SUBSTITUTE(SUBSTITUTE(B783,"?","~?"),"*","~*"),$B$3:$B$1002,"?*")&gt;0,"Yes","No"))</f>
        <v/>
      </c>
      <c r="V783">
        <f>IF(OR(G783="",I783="",O783="",O783="Unclassified"),"",IFERROR(INDEX(Settings!$E$5:$H$16,MATCH(I783,Settings!$D$5:$D$16,0),MATCH(O783,Settings!$E$4:$H$4,0)),"Check"))</f>
        <v/>
      </c>
      <c r="W783">
        <f>IF(V783="","",IF(V783="No","Yes","No"))</f>
        <v/>
      </c>
      <c r="X783">
        <f>IF(OR(E783="",G783=""),"",IF(LOWER(IF(RIGHT(TRIM(E783),1)="/",LEFT(TRIM(E783),LEN(TRIM(E783))-1),TRIM(E783)))&lt;&gt;LOWER(IF(RIGHT(TRIM(G783),1)="/",LEFT(TRIM(G783),LEN(TRIM(G783))-1),TRIM(G783))),"Yes","No"))</f>
        <v/>
      </c>
      <c r="Y783">
        <f>IF(A783="","",(N(Q783)&gt;0)+(T783="Yes")+(U783="Yes")+(W783="Yes")+(X783="Yes"))</f>
        <v/>
      </c>
      <c r="Z783">
        <f>IF(A783="","",IF(G783="","Not mapped",IF(Y783=0,"OK",MID(IF(N(Q783)&gt;0,"; Cannibalisation","")&amp;IF(T783="Yes","; Too many primary keywords on URL","")&amp;IF(U783="Yes","; URL spans 2+ clusters","")&amp;IF(W783="Yes","; Intent mismatch","")&amp;IF(X783="Yes","; Ranking URL is not the target",""),3,300))))</f>
        <v/>
      </c>
      <c r="AA783">
        <f>IF(G783="","",IF(COUNTIF($G$3:G783,SUBSTITUTE(SUBSTITUTE(G783,"?","~?"),"*","~*"))=1,MAX($AA$2:AA782)+1,""))</f>
        <v/>
      </c>
      <c r="AB783">
        <f>IF(B783="","",IF(COUNTIF($B$3:B783,SUBSTITUTE(SUBSTITUTE(B783,"?","~?"),"*","~*"))=1,MAX($AB$2:AB782)+1,""))</f>
        <v/>
      </c>
    </row>
    <row r="784">
      <c r="M784">
        <f>IF(A784="","",LOWER(TRIM(SUBSTITUTE(SUBSTITUTE(A784,"?",""),"*",""))))</f>
        <v/>
      </c>
      <c r="N784">
        <f>IF(M784="","",IF(SUMPRODUCT(ISNUMBER(SEARCH(" "&amp;Settings!$L$5:$L$124&amp;" "," "&amp;M784&amp;" "))*(Settings!$K$5:$K$124="Navigational")*(Settings!$L$5:$L$124&lt;&gt;""))&gt;0,"Navigational",IF(SUMPRODUCT(ISNUMBER(SEARCH(" "&amp;Settings!$L$5:$L$124&amp;" "," "&amp;M784&amp;" "))*(Settings!$K$5:$K$124="Transactional")*(Settings!$L$5:$L$124&lt;&gt;""))&gt;0,"Transactional",IF(SUMPRODUCT(ISNUMBER(SEARCH(" "&amp;Settings!$L$5:$L$124&amp;" "," "&amp;M784&amp;" "))*(Settings!$K$5:$K$124="Commercial")*(Settings!$L$5:$L$124&lt;&gt;""))&gt;0,"Commercial",IF(SUMPRODUCT(ISNUMBER(SEARCH(" "&amp;Settings!$L$5:$L$124&amp;" "," "&amp;M784&amp;" "))*(Settings!$K$5:$K$124="Informational")*(Settings!$L$5:$L$124&lt;&gt;""))&gt;0,"Informational","Unclassified")))))</f>
        <v/>
      </c>
      <c r="O784">
        <f>IF(A784="","",IF(K784&lt;&gt;"",PROPER(K784),N784))</f>
        <v/>
      </c>
      <c r="P784">
        <f>IF(A784="","",ROUND(Settings!$B$5*MIN(1,LOG10(N(C784)+1)/LOG10(Settings!$B$7+1))+Settings!$B$6*(1-MIN(100,IF(D784="",50,N(D784)))/100)+IFERROR(INDEX(Settings!$B$10:$B$14,MATCH(O784,Settings!$A$10:$A$14,0)),0),0))</f>
        <v/>
      </c>
      <c r="Q784">
        <f>IF(OR(A784="",G784=""),"",COUNTIFS($M$3:$M$1002,M784,$G$3:$G$1002,"&lt;&gt;"&amp;SUBSTITUTE(SUBSTITUTE(G784,"?","~?"),"*","~*"),$G$3:$G$1002,"?*"))</f>
        <v/>
      </c>
      <c r="R784">
        <f>IF(Q784="","",IF(Q784&gt;0,"Yes","No"))</f>
        <v/>
      </c>
      <c r="S784">
        <f>IF(G784="","",COUNTIFS($G$3:$G$1002,SUBSTITUTE(SUBSTITUTE(G784,"?","~?"),"*","~*"),$J$3:$J$1002,"Primary"))</f>
        <v/>
      </c>
      <c r="T784">
        <f>IF(S784="","",IF(S784&gt;Settings!$B$4,"Yes","No"))</f>
        <v/>
      </c>
      <c r="U784">
        <f>IF(OR(G784="",B784=""),"",IF(COUNTIFS($G$3:$G$1002,SUBSTITUTE(SUBSTITUTE(G784,"?","~?"),"*","~*"),$B$3:$B$1002,"&lt;&gt;"&amp;SUBSTITUTE(SUBSTITUTE(B784,"?","~?"),"*","~*"),$B$3:$B$1002,"?*")&gt;0,"Yes","No"))</f>
        <v/>
      </c>
      <c r="V784">
        <f>IF(OR(G784="",I784="",O784="",O784="Unclassified"),"",IFERROR(INDEX(Settings!$E$5:$H$16,MATCH(I784,Settings!$D$5:$D$16,0),MATCH(O784,Settings!$E$4:$H$4,0)),"Check"))</f>
        <v/>
      </c>
      <c r="W784">
        <f>IF(V784="","",IF(V784="No","Yes","No"))</f>
        <v/>
      </c>
      <c r="X784">
        <f>IF(OR(E784="",G784=""),"",IF(LOWER(IF(RIGHT(TRIM(E784),1)="/",LEFT(TRIM(E784),LEN(TRIM(E784))-1),TRIM(E784)))&lt;&gt;LOWER(IF(RIGHT(TRIM(G784),1)="/",LEFT(TRIM(G784),LEN(TRIM(G784))-1),TRIM(G784))),"Yes","No"))</f>
        <v/>
      </c>
      <c r="Y784">
        <f>IF(A784="","",(N(Q784)&gt;0)+(T784="Yes")+(U784="Yes")+(W784="Yes")+(X784="Yes"))</f>
        <v/>
      </c>
      <c r="Z784">
        <f>IF(A784="","",IF(G784="","Not mapped",IF(Y784=0,"OK",MID(IF(N(Q784)&gt;0,"; Cannibalisation","")&amp;IF(T784="Yes","; Too many primary keywords on URL","")&amp;IF(U784="Yes","; URL spans 2+ clusters","")&amp;IF(W784="Yes","; Intent mismatch","")&amp;IF(X784="Yes","; Ranking URL is not the target",""),3,300))))</f>
        <v/>
      </c>
      <c r="AA784">
        <f>IF(G784="","",IF(COUNTIF($G$3:G784,SUBSTITUTE(SUBSTITUTE(G784,"?","~?"),"*","~*"))=1,MAX($AA$2:AA783)+1,""))</f>
        <v/>
      </c>
      <c r="AB784">
        <f>IF(B784="","",IF(COUNTIF($B$3:B784,SUBSTITUTE(SUBSTITUTE(B784,"?","~?"),"*","~*"))=1,MAX($AB$2:AB783)+1,""))</f>
        <v/>
      </c>
    </row>
    <row r="785">
      <c r="M785">
        <f>IF(A785="","",LOWER(TRIM(SUBSTITUTE(SUBSTITUTE(A785,"?",""),"*",""))))</f>
        <v/>
      </c>
      <c r="N785">
        <f>IF(M785="","",IF(SUMPRODUCT(ISNUMBER(SEARCH(" "&amp;Settings!$L$5:$L$124&amp;" "," "&amp;M785&amp;" "))*(Settings!$K$5:$K$124="Navigational")*(Settings!$L$5:$L$124&lt;&gt;""))&gt;0,"Navigational",IF(SUMPRODUCT(ISNUMBER(SEARCH(" "&amp;Settings!$L$5:$L$124&amp;" "," "&amp;M785&amp;" "))*(Settings!$K$5:$K$124="Transactional")*(Settings!$L$5:$L$124&lt;&gt;""))&gt;0,"Transactional",IF(SUMPRODUCT(ISNUMBER(SEARCH(" "&amp;Settings!$L$5:$L$124&amp;" "," "&amp;M785&amp;" "))*(Settings!$K$5:$K$124="Commercial")*(Settings!$L$5:$L$124&lt;&gt;""))&gt;0,"Commercial",IF(SUMPRODUCT(ISNUMBER(SEARCH(" "&amp;Settings!$L$5:$L$124&amp;" "," "&amp;M785&amp;" "))*(Settings!$K$5:$K$124="Informational")*(Settings!$L$5:$L$124&lt;&gt;""))&gt;0,"Informational","Unclassified")))))</f>
        <v/>
      </c>
      <c r="O785">
        <f>IF(A785="","",IF(K785&lt;&gt;"",PROPER(K785),N785))</f>
        <v/>
      </c>
      <c r="P785">
        <f>IF(A785="","",ROUND(Settings!$B$5*MIN(1,LOG10(N(C785)+1)/LOG10(Settings!$B$7+1))+Settings!$B$6*(1-MIN(100,IF(D785="",50,N(D785)))/100)+IFERROR(INDEX(Settings!$B$10:$B$14,MATCH(O785,Settings!$A$10:$A$14,0)),0),0))</f>
        <v/>
      </c>
      <c r="Q785">
        <f>IF(OR(A785="",G785=""),"",COUNTIFS($M$3:$M$1002,M785,$G$3:$G$1002,"&lt;&gt;"&amp;SUBSTITUTE(SUBSTITUTE(G785,"?","~?"),"*","~*"),$G$3:$G$1002,"?*"))</f>
        <v/>
      </c>
      <c r="R785">
        <f>IF(Q785="","",IF(Q785&gt;0,"Yes","No"))</f>
        <v/>
      </c>
      <c r="S785">
        <f>IF(G785="","",COUNTIFS($G$3:$G$1002,SUBSTITUTE(SUBSTITUTE(G785,"?","~?"),"*","~*"),$J$3:$J$1002,"Primary"))</f>
        <v/>
      </c>
      <c r="T785">
        <f>IF(S785="","",IF(S785&gt;Settings!$B$4,"Yes","No"))</f>
        <v/>
      </c>
      <c r="U785">
        <f>IF(OR(G785="",B785=""),"",IF(COUNTIFS($G$3:$G$1002,SUBSTITUTE(SUBSTITUTE(G785,"?","~?"),"*","~*"),$B$3:$B$1002,"&lt;&gt;"&amp;SUBSTITUTE(SUBSTITUTE(B785,"?","~?"),"*","~*"),$B$3:$B$1002,"?*")&gt;0,"Yes","No"))</f>
        <v/>
      </c>
      <c r="V785">
        <f>IF(OR(G785="",I785="",O785="",O785="Unclassified"),"",IFERROR(INDEX(Settings!$E$5:$H$16,MATCH(I785,Settings!$D$5:$D$16,0),MATCH(O785,Settings!$E$4:$H$4,0)),"Check"))</f>
        <v/>
      </c>
      <c r="W785">
        <f>IF(V785="","",IF(V785="No","Yes","No"))</f>
        <v/>
      </c>
      <c r="X785">
        <f>IF(OR(E785="",G785=""),"",IF(LOWER(IF(RIGHT(TRIM(E785),1)="/",LEFT(TRIM(E785),LEN(TRIM(E785))-1),TRIM(E785)))&lt;&gt;LOWER(IF(RIGHT(TRIM(G785),1)="/",LEFT(TRIM(G785),LEN(TRIM(G785))-1),TRIM(G785))),"Yes","No"))</f>
        <v/>
      </c>
      <c r="Y785">
        <f>IF(A785="","",(N(Q785)&gt;0)+(T785="Yes")+(U785="Yes")+(W785="Yes")+(X785="Yes"))</f>
        <v/>
      </c>
      <c r="Z785">
        <f>IF(A785="","",IF(G785="","Not mapped",IF(Y785=0,"OK",MID(IF(N(Q785)&gt;0,"; Cannibalisation","")&amp;IF(T785="Yes","; Too many primary keywords on URL","")&amp;IF(U785="Yes","; URL spans 2+ clusters","")&amp;IF(W785="Yes","; Intent mismatch","")&amp;IF(X785="Yes","; Ranking URL is not the target",""),3,300))))</f>
        <v/>
      </c>
      <c r="AA785">
        <f>IF(G785="","",IF(COUNTIF($G$3:G785,SUBSTITUTE(SUBSTITUTE(G785,"?","~?"),"*","~*"))=1,MAX($AA$2:AA784)+1,""))</f>
        <v/>
      </c>
      <c r="AB785">
        <f>IF(B785="","",IF(COUNTIF($B$3:B785,SUBSTITUTE(SUBSTITUTE(B785,"?","~?"),"*","~*"))=1,MAX($AB$2:AB784)+1,""))</f>
        <v/>
      </c>
    </row>
    <row r="786">
      <c r="M786">
        <f>IF(A786="","",LOWER(TRIM(SUBSTITUTE(SUBSTITUTE(A786,"?",""),"*",""))))</f>
        <v/>
      </c>
      <c r="N786">
        <f>IF(M786="","",IF(SUMPRODUCT(ISNUMBER(SEARCH(" "&amp;Settings!$L$5:$L$124&amp;" "," "&amp;M786&amp;" "))*(Settings!$K$5:$K$124="Navigational")*(Settings!$L$5:$L$124&lt;&gt;""))&gt;0,"Navigational",IF(SUMPRODUCT(ISNUMBER(SEARCH(" "&amp;Settings!$L$5:$L$124&amp;" "," "&amp;M786&amp;" "))*(Settings!$K$5:$K$124="Transactional")*(Settings!$L$5:$L$124&lt;&gt;""))&gt;0,"Transactional",IF(SUMPRODUCT(ISNUMBER(SEARCH(" "&amp;Settings!$L$5:$L$124&amp;" "," "&amp;M786&amp;" "))*(Settings!$K$5:$K$124="Commercial")*(Settings!$L$5:$L$124&lt;&gt;""))&gt;0,"Commercial",IF(SUMPRODUCT(ISNUMBER(SEARCH(" "&amp;Settings!$L$5:$L$124&amp;" "," "&amp;M786&amp;" "))*(Settings!$K$5:$K$124="Informational")*(Settings!$L$5:$L$124&lt;&gt;""))&gt;0,"Informational","Unclassified")))))</f>
        <v/>
      </c>
      <c r="O786">
        <f>IF(A786="","",IF(K786&lt;&gt;"",PROPER(K786),N786))</f>
        <v/>
      </c>
      <c r="P786">
        <f>IF(A786="","",ROUND(Settings!$B$5*MIN(1,LOG10(N(C786)+1)/LOG10(Settings!$B$7+1))+Settings!$B$6*(1-MIN(100,IF(D786="",50,N(D786)))/100)+IFERROR(INDEX(Settings!$B$10:$B$14,MATCH(O786,Settings!$A$10:$A$14,0)),0),0))</f>
        <v/>
      </c>
      <c r="Q786">
        <f>IF(OR(A786="",G786=""),"",COUNTIFS($M$3:$M$1002,M786,$G$3:$G$1002,"&lt;&gt;"&amp;SUBSTITUTE(SUBSTITUTE(G786,"?","~?"),"*","~*"),$G$3:$G$1002,"?*"))</f>
        <v/>
      </c>
      <c r="R786">
        <f>IF(Q786="","",IF(Q786&gt;0,"Yes","No"))</f>
        <v/>
      </c>
      <c r="S786">
        <f>IF(G786="","",COUNTIFS($G$3:$G$1002,SUBSTITUTE(SUBSTITUTE(G786,"?","~?"),"*","~*"),$J$3:$J$1002,"Primary"))</f>
        <v/>
      </c>
      <c r="T786">
        <f>IF(S786="","",IF(S786&gt;Settings!$B$4,"Yes","No"))</f>
        <v/>
      </c>
      <c r="U786">
        <f>IF(OR(G786="",B786=""),"",IF(COUNTIFS($G$3:$G$1002,SUBSTITUTE(SUBSTITUTE(G786,"?","~?"),"*","~*"),$B$3:$B$1002,"&lt;&gt;"&amp;SUBSTITUTE(SUBSTITUTE(B786,"?","~?"),"*","~*"),$B$3:$B$1002,"?*")&gt;0,"Yes","No"))</f>
        <v/>
      </c>
      <c r="V786">
        <f>IF(OR(G786="",I786="",O786="",O786="Unclassified"),"",IFERROR(INDEX(Settings!$E$5:$H$16,MATCH(I786,Settings!$D$5:$D$16,0),MATCH(O786,Settings!$E$4:$H$4,0)),"Check"))</f>
        <v/>
      </c>
      <c r="W786">
        <f>IF(V786="","",IF(V786="No","Yes","No"))</f>
        <v/>
      </c>
      <c r="X786">
        <f>IF(OR(E786="",G786=""),"",IF(LOWER(IF(RIGHT(TRIM(E786),1)="/",LEFT(TRIM(E786),LEN(TRIM(E786))-1),TRIM(E786)))&lt;&gt;LOWER(IF(RIGHT(TRIM(G786),1)="/",LEFT(TRIM(G786),LEN(TRIM(G786))-1),TRIM(G786))),"Yes","No"))</f>
        <v/>
      </c>
      <c r="Y786">
        <f>IF(A786="","",(N(Q786)&gt;0)+(T786="Yes")+(U786="Yes")+(W786="Yes")+(X786="Yes"))</f>
        <v/>
      </c>
      <c r="Z786">
        <f>IF(A786="","",IF(G786="","Not mapped",IF(Y786=0,"OK",MID(IF(N(Q786)&gt;0,"; Cannibalisation","")&amp;IF(T786="Yes","; Too many primary keywords on URL","")&amp;IF(U786="Yes","; URL spans 2+ clusters","")&amp;IF(W786="Yes","; Intent mismatch","")&amp;IF(X786="Yes","; Ranking URL is not the target",""),3,300))))</f>
        <v/>
      </c>
      <c r="AA786">
        <f>IF(G786="","",IF(COUNTIF($G$3:G786,SUBSTITUTE(SUBSTITUTE(G786,"?","~?"),"*","~*"))=1,MAX($AA$2:AA785)+1,""))</f>
        <v/>
      </c>
      <c r="AB786">
        <f>IF(B786="","",IF(COUNTIF($B$3:B786,SUBSTITUTE(SUBSTITUTE(B786,"?","~?"),"*","~*"))=1,MAX($AB$2:AB785)+1,""))</f>
        <v/>
      </c>
    </row>
    <row r="787">
      <c r="M787">
        <f>IF(A787="","",LOWER(TRIM(SUBSTITUTE(SUBSTITUTE(A787,"?",""),"*",""))))</f>
        <v/>
      </c>
      <c r="N787">
        <f>IF(M787="","",IF(SUMPRODUCT(ISNUMBER(SEARCH(" "&amp;Settings!$L$5:$L$124&amp;" "," "&amp;M787&amp;" "))*(Settings!$K$5:$K$124="Navigational")*(Settings!$L$5:$L$124&lt;&gt;""))&gt;0,"Navigational",IF(SUMPRODUCT(ISNUMBER(SEARCH(" "&amp;Settings!$L$5:$L$124&amp;" "," "&amp;M787&amp;" "))*(Settings!$K$5:$K$124="Transactional")*(Settings!$L$5:$L$124&lt;&gt;""))&gt;0,"Transactional",IF(SUMPRODUCT(ISNUMBER(SEARCH(" "&amp;Settings!$L$5:$L$124&amp;" "," "&amp;M787&amp;" "))*(Settings!$K$5:$K$124="Commercial")*(Settings!$L$5:$L$124&lt;&gt;""))&gt;0,"Commercial",IF(SUMPRODUCT(ISNUMBER(SEARCH(" "&amp;Settings!$L$5:$L$124&amp;" "," "&amp;M787&amp;" "))*(Settings!$K$5:$K$124="Informational")*(Settings!$L$5:$L$124&lt;&gt;""))&gt;0,"Informational","Unclassified")))))</f>
        <v/>
      </c>
      <c r="O787">
        <f>IF(A787="","",IF(K787&lt;&gt;"",PROPER(K787),N787))</f>
        <v/>
      </c>
      <c r="P787">
        <f>IF(A787="","",ROUND(Settings!$B$5*MIN(1,LOG10(N(C787)+1)/LOG10(Settings!$B$7+1))+Settings!$B$6*(1-MIN(100,IF(D787="",50,N(D787)))/100)+IFERROR(INDEX(Settings!$B$10:$B$14,MATCH(O787,Settings!$A$10:$A$14,0)),0),0))</f>
        <v/>
      </c>
      <c r="Q787">
        <f>IF(OR(A787="",G787=""),"",COUNTIFS($M$3:$M$1002,M787,$G$3:$G$1002,"&lt;&gt;"&amp;SUBSTITUTE(SUBSTITUTE(G787,"?","~?"),"*","~*"),$G$3:$G$1002,"?*"))</f>
        <v/>
      </c>
      <c r="R787">
        <f>IF(Q787="","",IF(Q787&gt;0,"Yes","No"))</f>
        <v/>
      </c>
      <c r="S787">
        <f>IF(G787="","",COUNTIFS($G$3:$G$1002,SUBSTITUTE(SUBSTITUTE(G787,"?","~?"),"*","~*"),$J$3:$J$1002,"Primary"))</f>
        <v/>
      </c>
      <c r="T787">
        <f>IF(S787="","",IF(S787&gt;Settings!$B$4,"Yes","No"))</f>
        <v/>
      </c>
      <c r="U787">
        <f>IF(OR(G787="",B787=""),"",IF(COUNTIFS($G$3:$G$1002,SUBSTITUTE(SUBSTITUTE(G787,"?","~?"),"*","~*"),$B$3:$B$1002,"&lt;&gt;"&amp;SUBSTITUTE(SUBSTITUTE(B787,"?","~?"),"*","~*"),$B$3:$B$1002,"?*")&gt;0,"Yes","No"))</f>
        <v/>
      </c>
      <c r="V787">
        <f>IF(OR(G787="",I787="",O787="",O787="Unclassified"),"",IFERROR(INDEX(Settings!$E$5:$H$16,MATCH(I787,Settings!$D$5:$D$16,0),MATCH(O787,Settings!$E$4:$H$4,0)),"Check"))</f>
        <v/>
      </c>
      <c r="W787">
        <f>IF(V787="","",IF(V787="No","Yes","No"))</f>
        <v/>
      </c>
      <c r="X787">
        <f>IF(OR(E787="",G787=""),"",IF(LOWER(IF(RIGHT(TRIM(E787),1)="/",LEFT(TRIM(E787),LEN(TRIM(E787))-1),TRIM(E787)))&lt;&gt;LOWER(IF(RIGHT(TRIM(G787),1)="/",LEFT(TRIM(G787),LEN(TRIM(G787))-1),TRIM(G787))),"Yes","No"))</f>
        <v/>
      </c>
      <c r="Y787">
        <f>IF(A787="","",(N(Q787)&gt;0)+(T787="Yes")+(U787="Yes")+(W787="Yes")+(X787="Yes"))</f>
        <v/>
      </c>
      <c r="Z787">
        <f>IF(A787="","",IF(G787="","Not mapped",IF(Y787=0,"OK",MID(IF(N(Q787)&gt;0,"; Cannibalisation","")&amp;IF(T787="Yes","; Too many primary keywords on URL","")&amp;IF(U787="Yes","; URL spans 2+ clusters","")&amp;IF(W787="Yes","; Intent mismatch","")&amp;IF(X787="Yes","; Ranking URL is not the target",""),3,300))))</f>
        <v/>
      </c>
      <c r="AA787">
        <f>IF(G787="","",IF(COUNTIF($G$3:G787,SUBSTITUTE(SUBSTITUTE(G787,"?","~?"),"*","~*"))=1,MAX($AA$2:AA786)+1,""))</f>
        <v/>
      </c>
      <c r="AB787">
        <f>IF(B787="","",IF(COUNTIF($B$3:B787,SUBSTITUTE(SUBSTITUTE(B787,"?","~?"),"*","~*"))=1,MAX($AB$2:AB786)+1,""))</f>
        <v/>
      </c>
    </row>
    <row r="788">
      <c r="M788">
        <f>IF(A788="","",LOWER(TRIM(SUBSTITUTE(SUBSTITUTE(A788,"?",""),"*",""))))</f>
        <v/>
      </c>
      <c r="N788">
        <f>IF(M788="","",IF(SUMPRODUCT(ISNUMBER(SEARCH(" "&amp;Settings!$L$5:$L$124&amp;" "," "&amp;M788&amp;" "))*(Settings!$K$5:$K$124="Navigational")*(Settings!$L$5:$L$124&lt;&gt;""))&gt;0,"Navigational",IF(SUMPRODUCT(ISNUMBER(SEARCH(" "&amp;Settings!$L$5:$L$124&amp;" "," "&amp;M788&amp;" "))*(Settings!$K$5:$K$124="Transactional")*(Settings!$L$5:$L$124&lt;&gt;""))&gt;0,"Transactional",IF(SUMPRODUCT(ISNUMBER(SEARCH(" "&amp;Settings!$L$5:$L$124&amp;" "," "&amp;M788&amp;" "))*(Settings!$K$5:$K$124="Commercial")*(Settings!$L$5:$L$124&lt;&gt;""))&gt;0,"Commercial",IF(SUMPRODUCT(ISNUMBER(SEARCH(" "&amp;Settings!$L$5:$L$124&amp;" "," "&amp;M788&amp;" "))*(Settings!$K$5:$K$124="Informational")*(Settings!$L$5:$L$124&lt;&gt;""))&gt;0,"Informational","Unclassified")))))</f>
        <v/>
      </c>
      <c r="O788">
        <f>IF(A788="","",IF(K788&lt;&gt;"",PROPER(K788),N788))</f>
        <v/>
      </c>
      <c r="P788">
        <f>IF(A788="","",ROUND(Settings!$B$5*MIN(1,LOG10(N(C788)+1)/LOG10(Settings!$B$7+1))+Settings!$B$6*(1-MIN(100,IF(D788="",50,N(D788)))/100)+IFERROR(INDEX(Settings!$B$10:$B$14,MATCH(O788,Settings!$A$10:$A$14,0)),0),0))</f>
        <v/>
      </c>
      <c r="Q788">
        <f>IF(OR(A788="",G788=""),"",COUNTIFS($M$3:$M$1002,M788,$G$3:$G$1002,"&lt;&gt;"&amp;SUBSTITUTE(SUBSTITUTE(G788,"?","~?"),"*","~*"),$G$3:$G$1002,"?*"))</f>
        <v/>
      </c>
      <c r="R788">
        <f>IF(Q788="","",IF(Q788&gt;0,"Yes","No"))</f>
        <v/>
      </c>
      <c r="S788">
        <f>IF(G788="","",COUNTIFS($G$3:$G$1002,SUBSTITUTE(SUBSTITUTE(G788,"?","~?"),"*","~*"),$J$3:$J$1002,"Primary"))</f>
        <v/>
      </c>
      <c r="T788">
        <f>IF(S788="","",IF(S788&gt;Settings!$B$4,"Yes","No"))</f>
        <v/>
      </c>
      <c r="U788">
        <f>IF(OR(G788="",B788=""),"",IF(COUNTIFS($G$3:$G$1002,SUBSTITUTE(SUBSTITUTE(G788,"?","~?"),"*","~*"),$B$3:$B$1002,"&lt;&gt;"&amp;SUBSTITUTE(SUBSTITUTE(B788,"?","~?"),"*","~*"),$B$3:$B$1002,"?*")&gt;0,"Yes","No"))</f>
        <v/>
      </c>
      <c r="V788">
        <f>IF(OR(G788="",I788="",O788="",O788="Unclassified"),"",IFERROR(INDEX(Settings!$E$5:$H$16,MATCH(I788,Settings!$D$5:$D$16,0),MATCH(O788,Settings!$E$4:$H$4,0)),"Check"))</f>
        <v/>
      </c>
      <c r="W788">
        <f>IF(V788="","",IF(V788="No","Yes","No"))</f>
        <v/>
      </c>
      <c r="X788">
        <f>IF(OR(E788="",G788=""),"",IF(LOWER(IF(RIGHT(TRIM(E788),1)="/",LEFT(TRIM(E788),LEN(TRIM(E788))-1),TRIM(E788)))&lt;&gt;LOWER(IF(RIGHT(TRIM(G788),1)="/",LEFT(TRIM(G788),LEN(TRIM(G788))-1),TRIM(G788))),"Yes","No"))</f>
        <v/>
      </c>
      <c r="Y788">
        <f>IF(A788="","",(N(Q788)&gt;0)+(T788="Yes")+(U788="Yes")+(W788="Yes")+(X788="Yes"))</f>
        <v/>
      </c>
      <c r="Z788">
        <f>IF(A788="","",IF(G788="","Not mapped",IF(Y788=0,"OK",MID(IF(N(Q788)&gt;0,"; Cannibalisation","")&amp;IF(T788="Yes","; Too many primary keywords on URL","")&amp;IF(U788="Yes","; URL spans 2+ clusters","")&amp;IF(W788="Yes","; Intent mismatch","")&amp;IF(X788="Yes","; Ranking URL is not the target",""),3,300))))</f>
        <v/>
      </c>
      <c r="AA788">
        <f>IF(G788="","",IF(COUNTIF($G$3:G788,SUBSTITUTE(SUBSTITUTE(G788,"?","~?"),"*","~*"))=1,MAX($AA$2:AA787)+1,""))</f>
        <v/>
      </c>
      <c r="AB788">
        <f>IF(B788="","",IF(COUNTIF($B$3:B788,SUBSTITUTE(SUBSTITUTE(B788,"?","~?"),"*","~*"))=1,MAX($AB$2:AB787)+1,""))</f>
        <v/>
      </c>
    </row>
    <row r="789">
      <c r="M789">
        <f>IF(A789="","",LOWER(TRIM(SUBSTITUTE(SUBSTITUTE(A789,"?",""),"*",""))))</f>
        <v/>
      </c>
      <c r="N789">
        <f>IF(M789="","",IF(SUMPRODUCT(ISNUMBER(SEARCH(" "&amp;Settings!$L$5:$L$124&amp;" "," "&amp;M789&amp;" "))*(Settings!$K$5:$K$124="Navigational")*(Settings!$L$5:$L$124&lt;&gt;""))&gt;0,"Navigational",IF(SUMPRODUCT(ISNUMBER(SEARCH(" "&amp;Settings!$L$5:$L$124&amp;" "," "&amp;M789&amp;" "))*(Settings!$K$5:$K$124="Transactional")*(Settings!$L$5:$L$124&lt;&gt;""))&gt;0,"Transactional",IF(SUMPRODUCT(ISNUMBER(SEARCH(" "&amp;Settings!$L$5:$L$124&amp;" "," "&amp;M789&amp;" "))*(Settings!$K$5:$K$124="Commercial")*(Settings!$L$5:$L$124&lt;&gt;""))&gt;0,"Commercial",IF(SUMPRODUCT(ISNUMBER(SEARCH(" "&amp;Settings!$L$5:$L$124&amp;" "," "&amp;M789&amp;" "))*(Settings!$K$5:$K$124="Informational")*(Settings!$L$5:$L$124&lt;&gt;""))&gt;0,"Informational","Unclassified")))))</f>
        <v/>
      </c>
      <c r="O789">
        <f>IF(A789="","",IF(K789&lt;&gt;"",PROPER(K789),N789))</f>
        <v/>
      </c>
      <c r="P789">
        <f>IF(A789="","",ROUND(Settings!$B$5*MIN(1,LOG10(N(C789)+1)/LOG10(Settings!$B$7+1))+Settings!$B$6*(1-MIN(100,IF(D789="",50,N(D789)))/100)+IFERROR(INDEX(Settings!$B$10:$B$14,MATCH(O789,Settings!$A$10:$A$14,0)),0),0))</f>
        <v/>
      </c>
      <c r="Q789">
        <f>IF(OR(A789="",G789=""),"",COUNTIFS($M$3:$M$1002,M789,$G$3:$G$1002,"&lt;&gt;"&amp;SUBSTITUTE(SUBSTITUTE(G789,"?","~?"),"*","~*"),$G$3:$G$1002,"?*"))</f>
        <v/>
      </c>
      <c r="R789">
        <f>IF(Q789="","",IF(Q789&gt;0,"Yes","No"))</f>
        <v/>
      </c>
      <c r="S789">
        <f>IF(G789="","",COUNTIFS($G$3:$G$1002,SUBSTITUTE(SUBSTITUTE(G789,"?","~?"),"*","~*"),$J$3:$J$1002,"Primary"))</f>
        <v/>
      </c>
      <c r="T789">
        <f>IF(S789="","",IF(S789&gt;Settings!$B$4,"Yes","No"))</f>
        <v/>
      </c>
      <c r="U789">
        <f>IF(OR(G789="",B789=""),"",IF(COUNTIFS($G$3:$G$1002,SUBSTITUTE(SUBSTITUTE(G789,"?","~?"),"*","~*"),$B$3:$B$1002,"&lt;&gt;"&amp;SUBSTITUTE(SUBSTITUTE(B789,"?","~?"),"*","~*"),$B$3:$B$1002,"?*")&gt;0,"Yes","No"))</f>
        <v/>
      </c>
      <c r="V789">
        <f>IF(OR(G789="",I789="",O789="",O789="Unclassified"),"",IFERROR(INDEX(Settings!$E$5:$H$16,MATCH(I789,Settings!$D$5:$D$16,0),MATCH(O789,Settings!$E$4:$H$4,0)),"Check"))</f>
        <v/>
      </c>
      <c r="W789">
        <f>IF(V789="","",IF(V789="No","Yes","No"))</f>
        <v/>
      </c>
      <c r="X789">
        <f>IF(OR(E789="",G789=""),"",IF(LOWER(IF(RIGHT(TRIM(E789),1)="/",LEFT(TRIM(E789),LEN(TRIM(E789))-1),TRIM(E789)))&lt;&gt;LOWER(IF(RIGHT(TRIM(G789),1)="/",LEFT(TRIM(G789),LEN(TRIM(G789))-1),TRIM(G789))),"Yes","No"))</f>
        <v/>
      </c>
      <c r="Y789">
        <f>IF(A789="","",(N(Q789)&gt;0)+(T789="Yes")+(U789="Yes")+(W789="Yes")+(X789="Yes"))</f>
        <v/>
      </c>
      <c r="Z789">
        <f>IF(A789="","",IF(G789="","Not mapped",IF(Y789=0,"OK",MID(IF(N(Q789)&gt;0,"; Cannibalisation","")&amp;IF(T789="Yes","; Too many primary keywords on URL","")&amp;IF(U789="Yes","; URL spans 2+ clusters","")&amp;IF(W789="Yes","; Intent mismatch","")&amp;IF(X789="Yes","; Ranking URL is not the target",""),3,300))))</f>
        <v/>
      </c>
      <c r="AA789">
        <f>IF(G789="","",IF(COUNTIF($G$3:G789,SUBSTITUTE(SUBSTITUTE(G789,"?","~?"),"*","~*"))=1,MAX($AA$2:AA788)+1,""))</f>
        <v/>
      </c>
      <c r="AB789">
        <f>IF(B789="","",IF(COUNTIF($B$3:B789,SUBSTITUTE(SUBSTITUTE(B789,"?","~?"),"*","~*"))=1,MAX($AB$2:AB788)+1,""))</f>
        <v/>
      </c>
    </row>
    <row r="790">
      <c r="M790">
        <f>IF(A790="","",LOWER(TRIM(SUBSTITUTE(SUBSTITUTE(A790,"?",""),"*",""))))</f>
        <v/>
      </c>
      <c r="N790">
        <f>IF(M790="","",IF(SUMPRODUCT(ISNUMBER(SEARCH(" "&amp;Settings!$L$5:$L$124&amp;" "," "&amp;M790&amp;" "))*(Settings!$K$5:$K$124="Navigational")*(Settings!$L$5:$L$124&lt;&gt;""))&gt;0,"Navigational",IF(SUMPRODUCT(ISNUMBER(SEARCH(" "&amp;Settings!$L$5:$L$124&amp;" "," "&amp;M790&amp;" "))*(Settings!$K$5:$K$124="Transactional")*(Settings!$L$5:$L$124&lt;&gt;""))&gt;0,"Transactional",IF(SUMPRODUCT(ISNUMBER(SEARCH(" "&amp;Settings!$L$5:$L$124&amp;" "," "&amp;M790&amp;" "))*(Settings!$K$5:$K$124="Commercial")*(Settings!$L$5:$L$124&lt;&gt;""))&gt;0,"Commercial",IF(SUMPRODUCT(ISNUMBER(SEARCH(" "&amp;Settings!$L$5:$L$124&amp;" "," "&amp;M790&amp;" "))*(Settings!$K$5:$K$124="Informational")*(Settings!$L$5:$L$124&lt;&gt;""))&gt;0,"Informational","Unclassified")))))</f>
        <v/>
      </c>
      <c r="O790">
        <f>IF(A790="","",IF(K790&lt;&gt;"",PROPER(K790),N790))</f>
        <v/>
      </c>
      <c r="P790">
        <f>IF(A790="","",ROUND(Settings!$B$5*MIN(1,LOG10(N(C790)+1)/LOG10(Settings!$B$7+1))+Settings!$B$6*(1-MIN(100,IF(D790="",50,N(D790)))/100)+IFERROR(INDEX(Settings!$B$10:$B$14,MATCH(O790,Settings!$A$10:$A$14,0)),0),0))</f>
        <v/>
      </c>
      <c r="Q790">
        <f>IF(OR(A790="",G790=""),"",COUNTIFS($M$3:$M$1002,M790,$G$3:$G$1002,"&lt;&gt;"&amp;SUBSTITUTE(SUBSTITUTE(G790,"?","~?"),"*","~*"),$G$3:$G$1002,"?*"))</f>
        <v/>
      </c>
      <c r="R790">
        <f>IF(Q790="","",IF(Q790&gt;0,"Yes","No"))</f>
        <v/>
      </c>
      <c r="S790">
        <f>IF(G790="","",COUNTIFS($G$3:$G$1002,SUBSTITUTE(SUBSTITUTE(G790,"?","~?"),"*","~*"),$J$3:$J$1002,"Primary"))</f>
        <v/>
      </c>
      <c r="T790">
        <f>IF(S790="","",IF(S790&gt;Settings!$B$4,"Yes","No"))</f>
        <v/>
      </c>
      <c r="U790">
        <f>IF(OR(G790="",B790=""),"",IF(COUNTIFS($G$3:$G$1002,SUBSTITUTE(SUBSTITUTE(G790,"?","~?"),"*","~*"),$B$3:$B$1002,"&lt;&gt;"&amp;SUBSTITUTE(SUBSTITUTE(B790,"?","~?"),"*","~*"),$B$3:$B$1002,"?*")&gt;0,"Yes","No"))</f>
        <v/>
      </c>
      <c r="V790">
        <f>IF(OR(G790="",I790="",O790="",O790="Unclassified"),"",IFERROR(INDEX(Settings!$E$5:$H$16,MATCH(I790,Settings!$D$5:$D$16,0),MATCH(O790,Settings!$E$4:$H$4,0)),"Check"))</f>
        <v/>
      </c>
      <c r="W790">
        <f>IF(V790="","",IF(V790="No","Yes","No"))</f>
        <v/>
      </c>
      <c r="X790">
        <f>IF(OR(E790="",G790=""),"",IF(LOWER(IF(RIGHT(TRIM(E790),1)="/",LEFT(TRIM(E790),LEN(TRIM(E790))-1),TRIM(E790)))&lt;&gt;LOWER(IF(RIGHT(TRIM(G790),1)="/",LEFT(TRIM(G790),LEN(TRIM(G790))-1),TRIM(G790))),"Yes","No"))</f>
        <v/>
      </c>
      <c r="Y790">
        <f>IF(A790="","",(N(Q790)&gt;0)+(T790="Yes")+(U790="Yes")+(W790="Yes")+(X790="Yes"))</f>
        <v/>
      </c>
      <c r="Z790">
        <f>IF(A790="","",IF(G790="","Not mapped",IF(Y790=0,"OK",MID(IF(N(Q790)&gt;0,"; Cannibalisation","")&amp;IF(T790="Yes","; Too many primary keywords on URL","")&amp;IF(U790="Yes","; URL spans 2+ clusters","")&amp;IF(W790="Yes","; Intent mismatch","")&amp;IF(X790="Yes","; Ranking URL is not the target",""),3,300))))</f>
        <v/>
      </c>
      <c r="AA790">
        <f>IF(G790="","",IF(COUNTIF($G$3:G790,SUBSTITUTE(SUBSTITUTE(G790,"?","~?"),"*","~*"))=1,MAX($AA$2:AA789)+1,""))</f>
        <v/>
      </c>
      <c r="AB790">
        <f>IF(B790="","",IF(COUNTIF($B$3:B790,SUBSTITUTE(SUBSTITUTE(B790,"?","~?"),"*","~*"))=1,MAX($AB$2:AB789)+1,""))</f>
        <v/>
      </c>
    </row>
    <row r="791">
      <c r="M791">
        <f>IF(A791="","",LOWER(TRIM(SUBSTITUTE(SUBSTITUTE(A791,"?",""),"*",""))))</f>
        <v/>
      </c>
      <c r="N791">
        <f>IF(M791="","",IF(SUMPRODUCT(ISNUMBER(SEARCH(" "&amp;Settings!$L$5:$L$124&amp;" "," "&amp;M791&amp;" "))*(Settings!$K$5:$K$124="Navigational")*(Settings!$L$5:$L$124&lt;&gt;""))&gt;0,"Navigational",IF(SUMPRODUCT(ISNUMBER(SEARCH(" "&amp;Settings!$L$5:$L$124&amp;" "," "&amp;M791&amp;" "))*(Settings!$K$5:$K$124="Transactional")*(Settings!$L$5:$L$124&lt;&gt;""))&gt;0,"Transactional",IF(SUMPRODUCT(ISNUMBER(SEARCH(" "&amp;Settings!$L$5:$L$124&amp;" "," "&amp;M791&amp;" "))*(Settings!$K$5:$K$124="Commercial")*(Settings!$L$5:$L$124&lt;&gt;""))&gt;0,"Commercial",IF(SUMPRODUCT(ISNUMBER(SEARCH(" "&amp;Settings!$L$5:$L$124&amp;" "," "&amp;M791&amp;" "))*(Settings!$K$5:$K$124="Informational")*(Settings!$L$5:$L$124&lt;&gt;""))&gt;0,"Informational","Unclassified")))))</f>
        <v/>
      </c>
      <c r="O791">
        <f>IF(A791="","",IF(K791&lt;&gt;"",PROPER(K791),N791))</f>
        <v/>
      </c>
      <c r="P791">
        <f>IF(A791="","",ROUND(Settings!$B$5*MIN(1,LOG10(N(C791)+1)/LOG10(Settings!$B$7+1))+Settings!$B$6*(1-MIN(100,IF(D791="",50,N(D791)))/100)+IFERROR(INDEX(Settings!$B$10:$B$14,MATCH(O791,Settings!$A$10:$A$14,0)),0),0))</f>
        <v/>
      </c>
      <c r="Q791">
        <f>IF(OR(A791="",G791=""),"",COUNTIFS($M$3:$M$1002,M791,$G$3:$G$1002,"&lt;&gt;"&amp;SUBSTITUTE(SUBSTITUTE(G791,"?","~?"),"*","~*"),$G$3:$G$1002,"?*"))</f>
        <v/>
      </c>
      <c r="R791">
        <f>IF(Q791="","",IF(Q791&gt;0,"Yes","No"))</f>
        <v/>
      </c>
      <c r="S791">
        <f>IF(G791="","",COUNTIFS($G$3:$G$1002,SUBSTITUTE(SUBSTITUTE(G791,"?","~?"),"*","~*"),$J$3:$J$1002,"Primary"))</f>
        <v/>
      </c>
      <c r="T791">
        <f>IF(S791="","",IF(S791&gt;Settings!$B$4,"Yes","No"))</f>
        <v/>
      </c>
      <c r="U791">
        <f>IF(OR(G791="",B791=""),"",IF(COUNTIFS($G$3:$G$1002,SUBSTITUTE(SUBSTITUTE(G791,"?","~?"),"*","~*"),$B$3:$B$1002,"&lt;&gt;"&amp;SUBSTITUTE(SUBSTITUTE(B791,"?","~?"),"*","~*"),$B$3:$B$1002,"?*")&gt;0,"Yes","No"))</f>
        <v/>
      </c>
      <c r="V791">
        <f>IF(OR(G791="",I791="",O791="",O791="Unclassified"),"",IFERROR(INDEX(Settings!$E$5:$H$16,MATCH(I791,Settings!$D$5:$D$16,0),MATCH(O791,Settings!$E$4:$H$4,0)),"Check"))</f>
        <v/>
      </c>
      <c r="W791">
        <f>IF(V791="","",IF(V791="No","Yes","No"))</f>
        <v/>
      </c>
      <c r="X791">
        <f>IF(OR(E791="",G791=""),"",IF(LOWER(IF(RIGHT(TRIM(E791),1)="/",LEFT(TRIM(E791),LEN(TRIM(E791))-1),TRIM(E791)))&lt;&gt;LOWER(IF(RIGHT(TRIM(G791),1)="/",LEFT(TRIM(G791),LEN(TRIM(G791))-1),TRIM(G791))),"Yes","No"))</f>
        <v/>
      </c>
      <c r="Y791">
        <f>IF(A791="","",(N(Q791)&gt;0)+(T791="Yes")+(U791="Yes")+(W791="Yes")+(X791="Yes"))</f>
        <v/>
      </c>
      <c r="Z791">
        <f>IF(A791="","",IF(G791="","Not mapped",IF(Y791=0,"OK",MID(IF(N(Q791)&gt;0,"; Cannibalisation","")&amp;IF(T791="Yes","; Too many primary keywords on URL","")&amp;IF(U791="Yes","; URL spans 2+ clusters","")&amp;IF(W791="Yes","; Intent mismatch","")&amp;IF(X791="Yes","; Ranking URL is not the target",""),3,300))))</f>
        <v/>
      </c>
      <c r="AA791">
        <f>IF(G791="","",IF(COUNTIF($G$3:G791,SUBSTITUTE(SUBSTITUTE(G791,"?","~?"),"*","~*"))=1,MAX($AA$2:AA790)+1,""))</f>
        <v/>
      </c>
      <c r="AB791">
        <f>IF(B791="","",IF(COUNTIF($B$3:B791,SUBSTITUTE(SUBSTITUTE(B791,"?","~?"),"*","~*"))=1,MAX($AB$2:AB790)+1,""))</f>
        <v/>
      </c>
    </row>
    <row r="792">
      <c r="M792">
        <f>IF(A792="","",LOWER(TRIM(SUBSTITUTE(SUBSTITUTE(A792,"?",""),"*",""))))</f>
        <v/>
      </c>
      <c r="N792">
        <f>IF(M792="","",IF(SUMPRODUCT(ISNUMBER(SEARCH(" "&amp;Settings!$L$5:$L$124&amp;" "," "&amp;M792&amp;" "))*(Settings!$K$5:$K$124="Navigational")*(Settings!$L$5:$L$124&lt;&gt;""))&gt;0,"Navigational",IF(SUMPRODUCT(ISNUMBER(SEARCH(" "&amp;Settings!$L$5:$L$124&amp;" "," "&amp;M792&amp;" "))*(Settings!$K$5:$K$124="Transactional")*(Settings!$L$5:$L$124&lt;&gt;""))&gt;0,"Transactional",IF(SUMPRODUCT(ISNUMBER(SEARCH(" "&amp;Settings!$L$5:$L$124&amp;" "," "&amp;M792&amp;" "))*(Settings!$K$5:$K$124="Commercial")*(Settings!$L$5:$L$124&lt;&gt;""))&gt;0,"Commercial",IF(SUMPRODUCT(ISNUMBER(SEARCH(" "&amp;Settings!$L$5:$L$124&amp;" "," "&amp;M792&amp;" "))*(Settings!$K$5:$K$124="Informational")*(Settings!$L$5:$L$124&lt;&gt;""))&gt;0,"Informational","Unclassified")))))</f>
        <v/>
      </c>
      <c r="O792">
        <f>IF(A792="","",IF(K792&lt;&gt;"",PROPER(K792),N792))</f>
        <v/>
      </c>
      <c r="P792">
        <f>IF(A792="","",ROUND(Settings!$B$5*MIN(1,LOG10(N(C792)+1)/LOG10(Settings!$B$7+1))+Settings!$B$6*(1-MIN(100,IF(D792="",50,N(D792)))/100)+IFERROR(INDEX(Settings!$B$10:$B$14,MATCH(O792,Settings!$A$10:$A$14,0)),0),0))</f>
        <v/>
      </c>
      <c r="Q792">
        <f>IF(OR(A792="",G792=""),"",COUNTIFS($M$3:$M$1002,M792,$G$3:$G$1002,"&lt;&gt;"&amp;SUBSTITUTE(SUBSTITUTE(G792,"?","~?"),"*","~*"),$G$3:$G$1002,"?*"))</f>
        <v/>
      </c>
      <c r="R792">
        <f>IF(Q792="","",IF(Q792&gt;0,"Yes","No"))</f>
        <v/>
      </c>
      <c r="S792">
        <f>IF(G792="","",COUNTIFS($G$3:$G$1002,SUBSTITUTE(SUBSTITUTE(G792,"?","~?"),"*","~*"),$J$3:$J$1002,"Primary"))</f>
        <v/>
      </c>
      <c r="T792">
        <f>IF(S792="","",IF(S792&gt;Settings!$B$4,"Yes","No"))</f>
        <v/>
      </c>
      <c r="U792">
        <f>IF(OR(G792="",B792=""),"",IF(COUNTIFS($G$3:$G$1002,SUBSTITUTE(SUBSTITUTE(G792,"?","~?"),"*","~*"),$B$3:$B$1002,"&lt;&gt;"&amp;SUBSTITUTE(SUBSTITUTE(B792,"?","~?"),"*","~*"),$B$3:$B$1002,"?*")&gt;0,"Yes","No"))</f>
        <v/>
      </c>
      <c r="V792">
        <f>IF(OR(G792="",I792="",O792="",O792="Unclassified"),"",IFERROR(INDEX(Settings!$E$5:$H$16,MATCH(I792,Settings!$D$5:$D$16,0),MATCH(O792,Settings!$E$4:$H$4,0)),"Check"))</f>
        <v/>
      </c>
      <c r="W792">
        <f>IF(V792="","",IF(V792="No","Yes","No"))</f>
        <v/>
      </c>
      <c r="X792">
        <f>IF(OR(E792="",G792=""),"",IF(LOWER(IF(RIGHT(TRIM(E792),1)="/",LEFT(TRIM(E792),LEN(TRIM(E792))-1),TRIM(E792)))&lt;&gt;LOWER(IF(RIGHT(TRIM(G792),1)="/",LEFT(TRIM(G792),LEN(TRIM(G792))-1),TRIM(G792))),"Yes","No"))</f>
        <v/>
      </c>
      <c r="Y792">
        <f>IF(A792="","",(N(Q792)&gt;0)+(T792="Yes")+(U792="Yes")+(W792="Yes")+(X792="Yes"))</f>
        <v/>
      </c>
      <c r="Z792">
        <f>IF(A792="","",IF(G792="","Not mapped",IF(Y792=0,"OK",MID(IF(N(Q792)&gt;0,"; Cannibalisation","")&amp;IF(T792="Yes","; Too many primary keywords on URL","")&amp;IF(U792="Yes","; URL spans 2+ clusters","")&amp;IF(W792="Yes","; Intent mismatch","")&amp;IF(X792="Yes","; Ranking URL is not the target",""),3,300))))</f>
        <v/>
      </c>
      <c r="AA792">
        <f>IF(G792="","",IF(COUNTIF($G$3:G792,SUBSTITUTE(SUBSTITUTE(G792,"?","~?"),"*","~*"))=1,MAX($AA$2:AA791)+1,""))</f>
        <v/>
      </c>
      <c r="AB792">
        <f>IF(B792="","",IF(COUNTIF($B$3:B792,SUBSTITUTE(SUBSTITUTE(B792,"?","~?"),"*","~*"))=1,MAX($AB$2:AB791)+1,""))</f>
        <v/>
      </c>
    </row>
    <row r="793">
      <c r="M793">
        <f>IF(A793="","",LOWER(TRIM(SUBSTITUTE(SUBSTITUTE(A793,"?",""),"*",""))))</f>
        <v/>
      </c>
      <c r="N793">
        <f>IF(M793="","",IF(SUMPRODUCT(ISNUMBER(SEARCH(" "&amp;Settings!$L$5:$L$124&amp;" "," "&amp;M793&amp;" "))*(Settings!$K$5:$K$124="Navigational")*(Settings!$L$5:$L$124&lt;&gt;""))&gt;0,"Navigational",IF(SUMPRODUCT(ISNUMBER(SEARCH(" "&amp;Settings!$L$5:$L$124&amp;" "," "&amp;M793&amp;" "))*(Settings!$K$5:$K$124="Transactional")*(Settings!$L$5:$L$124&lt;&gt;""))&gt;0,"Transactional",IF(SUMPRODUCT(ISNUMBER(SEARCH(" "&amp;Settings!$L$5:$L$124&amp;" "," "&amp;M793&amp;" "))*(Settings!$K$5:$K$124="Commercial")*(Settings!$L$5:$L$124&lt;&gt;""))&gt;0,"Commercial",IF(SUMPRODUCT(ISNUMBER(SEARCH(" "&amp;Settings!$L$5:$L$124&amp;" "," "&amp;M793&amp;" "))*(Settings!$K$5:$K$124="Informational")*(Settings!$L$5:$L$124&lt;&gt;""))&gt;0,"Informational","Unclassified")))))</f>
        <v/>
      </c>
      <c r="O793">
        <f>IF(A793="","",IF(K793&lt;&gt;"",PROPER(K793),N793))</f>
        <v/>
      </c>
      <c r="P793">
        <f>IF(A793="","",ROUND(Settings!$B$5*MIN(1,LOG10(N(C793)+1)/LOG10(Settings!$B$7+1))+Settings!$B$6*(1-MIN(100,IF(D793="",50,N(D793)))/100)+IFERROR(INDEX(Settings!$B$10:$B$14,MATCH(O793,Settings!$A$10:$A$14,0)),0),0))</f>
        <v/>
      </c>
      <c r="Q793">
        <f>IF(OR(A793="",G793=""),"",COUNTIFS($M$3:$M$1002,M793,$G$3:$G$1002,"&lt;&gt;"&amp;SUBSTITUTE(SUBSTITUTE(G793,"?","~?"),"*","~*"),$G$3:$G$1002,"?*"))</f>
        <v/>
      </c>
      <c r="R793">
        <f>IF(Q793="","",IF(Q793&gt;0,"Yes","No"))</f>
        <v/>
      </c>
      <c r="S793">
        <f>IF(G793="","",COUNTIFS($G$3:$G$1002,SUBSTITUTE(SUBSTITUTE(G793,"?","~?"),"*","~*"),$J$3:$J$1002,"Primary"))</f>
        <v/>
      </c>
      <c r="T793">
        <f>IF(S793="","",IF(S793&gt;Settings!$B$4,"Yes","No"))</f>
        <v/>
      </c>
      <c r="U793">
        <f>IF(OR(G793="",B793=""),"",IF(COUNTIFS($G$3:$G$1002,SUBSTITUTE(SUBSTITUTE(G793,"?","~?"),"*","~*"),$B$3:$B$1002,"&lt;&gt;"&amp;SUBSTITUTE(SUBSTITUTE(B793,"?","~?"),"*","~*"),$B$3:$B$1002,"?*")&gt;0,"Yes","No"))</f>
        <v/>
      </c>
      <c r="V793">
        <f>IF(OR(G793="",I793="",O793="",O793="Unclassified"),"",IFERROR(INDEX(Settings!$E$5:$H$16,MATCH(I793,Settings!$D$5:$D$16,0),MATCH(O793,Settings!$E$4:$H$4,0)),"Check"))</f>
        <v/>
      </c>
      <c r="W793">
        <f>IF(V793="","",IF(V793="No","Yes","No"))</f>
        <v/>
      </c>
      <c r="X793">
        <f>IF(OR(E793="",G793=""),"",IF(LOWER(IF(RIGHT(TRIM(E793),1)="/",LEFT(TRIM(E793),LEN(TRIM(E793))-1),TRIM(E793)))&lt;&gt;LOWER(IF(RIGHT(TRIM(G793),1)="/",LEFT(TRIM(G793),LEN(TRIM(G793))-1),TRIM(G793))),"Yes","No"))</f>
        <v/>
      </c>
      <c r="Y793">
        <f>IF(A793="","",(N(Q793)&gt;0)+(T793="Yes")+(U793="Yes")+(W793="Yes")+(X793="Yes"))</f>
        <v/>
      </c>
      <c r="Z793">
        <f>IF(A793="","",IF(G793="","Not mapped",IF(Y793=0,"OK",MID(IF(N(Q793)&gt;0,"; Cannibalisation","")&amp;IF(T793="Yes","; Too many primary keywords on URL","")&amp;IF(U793="Yes","; URL spans 2+ clusters","")&amp;IF(W793="Yes","; Intent mismatch","")&amp;IF(X793="Yes","; Ranking URL is not the target",""),3,300))))</f>
        <v/>
      </c>
      <c r="AA793">
        <f>IF(G793="","",IF(COUNTIF($G$3:G793,SUBSTITUTE(SUBSTITUTE(G793,"?","~?"),"*","~*"))=1,MAX($AA$2:AA792)+1,""))</f>
        <v/>
      </c>
      <c r="AB793">
        <f>IF(B793="","",IF(COUNTIF($B$3:B793,SUBSTITUTE(SUBSTITUTE(B793,"?","~?"),"*","~*"))=1,MAX($AB$2:AB792)+1,""))</f>
        <v/>
      </c>
    </row>
    <row r="794">
      <c r="M794">
        <f>IF(A794="","",LOWER(TRIM(SUBSTITUTE(SUBSTITUTE(A794,"?",""),"*",""))))</f>
        <v/>
      </c>
      <c r="N794">
        <f>IF(M794="","",IF(SUMPRODUCT(ISNUMBER(SEARCH(" "&amp;Settings!$L$5:$L$124&amp;" "," "&amp;M794&amp;" "))*(Settings!$K$5:$K$124="Navigational")*(Settings!$L$5:$L$124&lt;&gt;""))&gt;0,"Navigational",IF(SUMPRODUCT(ISNUMBER(SEARCH(" "&amp;Settings!$L$5:$L$124&amp;" "," "&amp;M794&amp;" "))*(Settings!$K$5:$K$124="Transactional")*(Settings!$L$5:$L$124&lt;&gt;""))&gt;0,"Transactional",IF(SUMPRODUCT(ISNUMBER(SEARCH(" "&amp;Settings!$L$5:$L$124&amp;" "," "&amp;M794&amp;" "))*(Settings!$K$5:$K$124="Commercial")*(Settings!$L$5:$L$124&lt;&gt;""))&gt;0,"Commercial",IF(SUMPRODUCT(ISNUMBER(SEARCH(" "&amp;Settings!$L$5:$L$124&amp;" "," "&amp;M794&amp;" "))*(Settings!$K$5:$K$124="Informational")*(Settings!$L$5:$L$124&lt;&gt;""))&gt;0,"Informational","Unclassified")))))</f>
        <v/>
      </c>
      <c r="O794">
        <f>IF(A794="","",IF(K794&lt;&gt;"",PROPER(K794),N794))</f>
        <v/>
      </c>
      <c r="P794">
        <f>IF(A794="","",ROUND(Settings!$B$5*MIN(1,LOG10(N(C794)+1)/LOG10(Settings!$B$7+1))+Settings!$B$6*(1-MIN(100,IF(D794="",50,N(D794)))/100)+IFERROR(INDEX(Settings!$B$10:$B$14,MATCH(O794,Settings!$A$10:$A$14,0)),0),0))</f>
        <v/>
      </c>
      <c r="Q794">
        <f>IF(OR(A794="",G794=""),"",COUNTIFS($M$3:$M$1002,M794,$G$3:$G$1002,"&lt;&gt;"&amp;SUBSTITUTE(SUBSTITUTE(G794,"?","~?"),"*","~*"),$G$3:$G$1002,"?*"))</f>
        <v/>
      </c>
      <c r="R794">
        <f>IF(Q794="","",IF(Q794&gt;0,"Yes","No"))</f>
        <v/>
      </c>
      <c r="S794">
        <f>IF(G794="","",COUNTIFS($G$3:$G$1002,SUBSTITUTE(SUBSTITUTE(G794,"?","~?"),"*","~*"),$J$3:$J$1002,"Primary"))</f>
        <v/>
      </c>
      <c r="T794">
        <f>IF(S794="","",IF(S794&gt;Settings!$B$4,"Yes","No"))</f>
        <v/>
      </c>
      <c r="U794">
        <f>IF(OR(G794="",B794=""),"",IF(COUNTIFS($G$3:$G$1002,SUBSTITUTE(SUBSTITUTE(G794,"?","~?"),"*","~*"),$B$3:$B$1002,"&lt;&gt;"&amp;SUBSTITUTE(SUBSTITUTE(B794,"?","~?"),"*","~*"),$B$3:$B$1002,"?*")&gt;0,"Yes","No"))</f>
        <v/>
      </c>
      <c r="V794">
        <f>IF(OR(G794="",I794="",O794="",O794="Unclassified"),"",IFERROR(INDEX(Settings!$E$5:$H$16,MATCH(I794,Settings!$D$5:$D$16,0),MATCH(O794,Settings!$E$4:$H$4,0)),"Check"))</f>
        <v/>
      </c>
      <c r="W794">
        <f>IF(V794="","",IF(V794="No","Yes","No"))</f>
        <v/>
      </c>
      <c r="X794">
        <f>IF(OR(E794="",G794=""),"",IF(LOWER(IF(RIGHT(TRIM(E794),1)="/",LEFT(TRIM(E794),LEN(TRIM(E794))-1),TRIM(E794)))&lt;&gt;LOWER(IF(RIGHT(TRIM(G794),1)="/",LEFT(TRIM(G794),LEN(TRIM(G794))-1),TRIM(G794))),"Yes","No"))</f>
        <v/>
      </c>
      <c r="Y794">
        <f>IF(A794="","",(N(Q794)&gt;0)+(T794="Yes")+(U794="Yes")+(W794="Yes")+(X794="Yes"))</f>
        <v/>
      </c>
      <c r="Z794">
        <f>IF(A794="","",IF(G794="","Not mapped",IF(Y794=0,"OK",MID(IF(N(Q794)&gt;0,"; Cannibalisation","")&amp;IF(T794="Yes","; Too many primary keywords on URL","")&amp;IF(U794="Yes","; URL spans 2+ clusters","")&amp;IF(W794="Yes","; Intent mismatch","")&amp;IF(X794="Yes","; Ranking URL is not the target",""),3,300))))</f>
        <v/>
      </c>
      <c r="AA794">
        <f>IF(G794="","",IF(COUNTIF($G$3:G794,SUBSTITUTE(SUBSTITUTE(G794,"?","~?"),"*","~*"))=1,MAX($AA$2:AA793)+1,""))</f>
        <v/>
      </c>
      <c r="AB794">
        <f>IF(B794="","",IF(COUNTIF($B$3:B794,SUBSTITUTE(SUBSTITUTE(B794,"?","~?"),"*","~*"))=1,MAX($AB$2:AB793)+1,""))</f>
        <v/>
      </c>
    </row>
    <row r="795">
      <c r="M795">
        <f>IF(A795="","",LOWER(TRIM(SUBSTITUTE(SUBSTITUTE(A795,"?",""),"*",""))))</f>
        <v/>
      </c>
      <c r="N795">
        <f>IF(M795="","",IF(SUMPRODUCT(ISNUMBER(SEARCH(" "&amp;Settings!$L$5:$L$124&amp;" "," "&amp;M795&amp;" "))*(Settings!$K$5:$K$124="Navigational")*(Settings!$L$5:$L$124&lt;&gt;""))&gt;0,"Navigational",IF(SUMPRODUCT(ISNUMBER(SEARCH(" "&amp;Settings!$L$5:$L$124&amp;" "," "&amp;M795&amp;" "))*(Settings!$K$5:$K$124="Transactional")*(Settings!$L$5:$L$124&lt;&gt;""))&gt;0,"Transactional",IF(SUMPRODUCT(ISNUMBER(SEARCH(" "&amp;Settings!$L$5:$L$124&amp;" "," "&amp;M795&amp;" "))*(Settings!$K$5:$K$124="Commercial")*(Settings!$L$5:$L$124&lt;&gt;""))&gt;0,"Commercial",IF(SUMPRODUCT(ISNUMBER(SEARCH(" "&amp;Settings!$L$5:$L$124&amp;" "," "&amp;M795&amp;" "))*(Settings!$K$5:$K$124="Informational")*(Settings!$L$5:$L$124&lt;&gt;""))&gt;0,"Informational","Unclassified")))))</f>
        <v/>
      </c>
      <c r="O795">
        <f>IF(A795="","",IF(K795&lt;&gt;"",PROPER(K795),N795))</f>
        <v/>
      </c>
      <c r="P795">
        <f>IF(A795="","",ROUND(Settings!$B$5*MIN(1,LOG10(N(C795)+1)/LOG10(Settings!$B$7+1))+Settings!$B$6*(1-MIN(100,IF(D795="",50,N(D795)))/100)+IFERROR(INDEX(Settings!$B$10:$B$14,MATCH(O795,Settings!$A$10:$A$14,0)),0),0))</f>
        <v/>
      </c>
      <c r="Q795">
        <f>IF(OR(A795="",G795=""),"",COUNTIFS($M$3:$M$1002,M795,$G$3:$G$1002,"&lt;&gt;"&amp;SUBSTITUTE(SUBSTITUTE(G795,"?","~?"),"*","~*"),$G$3:$G$1002,"?*"))</f>
        <v/>
      </c>
      <c r="R795">
        <f>IF(Q795="","",IF(Q795&gt;0,"Yes","No"))</f>
        <v/>
      </c>
      <c r="S795">
        <f>IF(G795="","",COUNTIFS($G$3:$G$1002,SUBSTITUTE(SUBSTITUTE(G795,"?","~?"),"*","~*"),$J$3:$J$1002,"Primary"))</f>
        <v/>
      </c>
      <c r="T795">
        <f>IF(S795="","",IF(S795&gt;Settings!$B$4,"Yes","No"))</f>
        <v/>
      </c>
      <c r="U795">
        <f>IF(OR(G795="",B795=""),"",IF(COUNTIFS($G$3:$G$1002,SUBSTITUTE(SUBSTITUTE(G795,"?","~?"),"*","~*"),$B$3:$B$1002,"&lt;&gt;"&amp;SUBSTITUTE(SUBSTITUTE(B795,"?","~?"),"*","~*"),$B$3:$B$1002,"?*")&gt;0,"Yes","No"))</f>
        <v/>
      </c>
      <c r="V795">
        <f>IF(OR(G795="",I795="",O795="",O795="Unclassified"),"",IFERROR(INDEX(Settings!$E$5:$H$16,MATCH(I795,Settings!$D$5:$D$16,0),MATCH(O795,Settings!$E$4:$H$4,0)),"Check"))</f>
        <v/>
      </c>
      <c r="W795">
        <f>IF(V795="","",IF(V795="No","Yes","No"))</f>
        <v/>
      </c>
      <c r="X795">
        <f>IF(OR(E795="",G795=""),"",IF(LOWER(IF(RIGHT(TRIM(E795),1)="/",LEFT(TRIM(E795),LEN(TRIM(E795))-1),TRIM(E795)))&lt;&gt;LOWER(IF(RIGHT(TRIM(G795),1)="/",LEFT(TRIM(G795),LEN(TRIM(G795))-1),TRIM(G795))),"Yes","No"))</f>
        <v/>
      </c>
      <c r="Y795">
        <f>IF(A795="","",(N(Q795)&gt;0)+(T795="Yes")+(U795="Yes")+(W795="Yes")+(X795="Yes"))</f>
        <v/>
      </c>
      <c r="Z795">
        <f>IF(A795="","",IF(G795="","Not mapped",IF(Y795=0,"OK",MID(IF(N(Q795)&gt;0,"; Cannibalisation","")&amp;IF(T795="Yes","; Too many primary keywords on URL","")&amp;IF(U795="Yes","; URL spans 2+ clusters","")&amp;IF(W795="Yes","; Intent mismatch","")&amp;IF(X795="Yes","; Ranking URL is not the target",""),3,300))))</f>
        <v/>
      </c>
      <c r="AA795">
        <f>IF(G795="","",IF(COUNTIF($G$3:G795,SUBSTITUTE(SUBSTITUTE(G795,"?","~?"),"*","~*"))=1,MAX($AA$2:AA794)+1,""))</f>
        <v/>
      </c>
      <c r="AB795">
        <f>IF(B795="","",IF(COUNTIF($B$3:B795,SUBSTITUTE(SUBSTITUTE(B795,"?","~?"),"*","~*"))=1,MAX($AB$2:AB794)+1,""))</f>
        <v/>
      </c>
    </row>
    <row r="796">
      <c r="M796">
        <f>IF(A796="","",LOWER(TRIM(SUBSTITUTE(SUBSTITUTE(A796,"?",""),"*",""))))</f>
        <v/>
      </c>
      <c r="N796">
        <f>IF(M796="","",IF(SUMPRODUCT(ISNUMBER(SEARCH(" "&amp;Settings!$L$5:$L$124&amp;" "," "&amp;M796&amp;" "))*(Settings!$K$5:$K$124="Navigational")*(Settings!$L$5:$L$124&lt;&gt;""))&gt;0,"Navigational",IF(SUMPRODUCT(ISNUMBER(SEARCH(" "&amp;Settings!$L$5:$L$124&amp;" "," "&amp;M796&amp;" "))*(Settings!$K$5:$K$124="Transactional")*(Settings!$L$5:$L$124&lt;&gt;""))&gt;0,"Transactional",IF(SUMPRODUCT(ISNUMBER(SEARCH(" "&amp;Settings!$L$5:$L$124&amp;" "," "&amp;M796&amp;" "))*(Settings!$K$5:$K$124="Commercial")*(Settings!$L$5:$L$124&lt;&gt;""))&gt;0,"Commercial",IF(SUMPRODUCT(ISNUMBER(SEARCH(" "&amp;Settings!$L$5:$L$124&amp;" "," "&amp;M796&amp;" "))*(Settings!$K$5:$K$124="Informational")*(Settings!$L$5:$L$124&lt;&gt;""))&gt;0,"Informational","Unclassified")))))</f>
        <v/>
      </c>
      <c r="O796">
        <f>IF(A796="","",IF(K796&lt;&gt;"",PROPER(K796),N796))</f>
        <v/>
      </c>
      <c r="P796">
        <f>IF(A796="","",ROUND(Settings!$B$5*MIN(1,LOG10(N(C796)+1)/LOG10(Settings!$B$7+1))+Settings!$B$6*(1-MIN(100,IF(D796="",50,N(D796)))/100)+IFERROR(INDEX(Settings!$B$10:$B$14,MATCH(O796,Settings!$A$10:$A$14,0)),0),0))</f>
        <v/>
      </c>
      <c r="Q796">
        <f>IF(OR(A796="",G796=""),"",COUNTIFS($M$3:$M$1002,M796,$G$3:$G$1002,"&lt;&gt;"&amp;SUBSTITUTE(SUBSTITUTE(G796,"?","~?"),"*","~*"),$G$3:$G$1002,"?*"))</f>
        <v/>
      </c>
      <c r="R796">
        <f>IF(Q796="","",IF(Q796&gt;0,"Yes","No"))</f>
        <v/>
      </c>
      <c r="S796">
        <f>IF(G796="","",COUNTIFS($G$3:$G$1002,SUBSTITUTE(SUBSTITUTE(G796,"?","~?"),"*","~*"),$J$3:$J$1002,"Primary"))</f>
        <v/>
      </c>
      <c r="T796">
        <f>IF(S796="","",IF(S796&gt;Settings!$B$4,"Yes","No"))</f>
        <v/>
      </c>
      <c r="U796">
        <f>IF(OR(G796="",B796=""),"",IF(COUNTIFS($G$3:$G$1002,SUBSTITUTE(SUBSTITUTE(G796,"?","~?"),"*","~*"),$B$3:$B$1002,"&lt;&gt;"&amp;SUBSTITUTE(SUBSTITUTE(B796,"?","~?"),"*","~*"),$B$3:$B$1002,"?*")&gt;0,"Yes","No"))</f>
        <v/>
      </c>
      <c r="V796">
        <f>IF(OR(G796="",I796="",O796="",O796="Unclassified"),"",IFERROR(INDEX(Settings!$E$5:$H$16,MATCH(I796,Settings!$D$5:$D$16,0),MATCH(O796,Settings!$E$4:$H$4,0)),"Check"))</f>
        <v/>
      </c>
      <c r="W796">
        <f>IF(V796="","",IF(V796="No","Yes","No"))</f>
        <v/>
      </c>
      <c r="X796">
        <f>IF(OR(E796="",G796=""),"",IF(LOWER(IF(RIGHT(TRIM(E796),1)="/",LEFT(TRIM(E796),LEN(TRIM(E796))-1),TRIM(E796)))&lt;&gt;LOWER(IF(RIGHT(TRIM(G796),1)="/",LEFT(TRIM(G796),LEN(TRIM(G796))-1),TRIM(G796))),"Yes","No"))</f>
        <v/>
      </c>
      <c r="Y796">
        <f>IF(A796="","",(N(Q796)&gt;0)+(T796="Yes")+(U796="Yes")+(W796="Yes")+(X796="Yes"))</f>
        <v/>
      </c>
      <c r="Z796">
        <f>IF(A796="","",IF(G796="","Not mapped",IF(Y796=0,"OK",MID(IF(N(Q796)&gt;0,"; Cannibalisation","")&amp;IF(T796="Yes","; Too many primary keywords on URL","")&amp;IF(U796="Yes","; URL spans 2+ clusters","")&amp;IF(W796="Yes","; Intent mismatch","")&amp;IF(X796="Yes","; Ranking URL is not the target",""),3,300))))</f>
        <v/>
      </c>
      <c r="AA796">
        <f>IF(G796="","",IF(COUNTIF($G$3:G796,SUBSTITUTE(SUBSTITUTE(G796,"?","~?"),"*","~*"))=1,MAX($AA$2:AA795)+1,""))</f>
        <v/>
      </c>
      <c r="AB796">
        <f>IF(B796="","",IF(COUNTIF($B$3:B796,SUBSTITUTE(SUBSTITUTE(B796,"?","~?"),"*","~*"))=1,MAX($AB$2:AB795)+1,""))</f>
        <v/>
      </c>
    </row>
    <row r="797">
      <c r="M797">
        <f>IF(A797="","",LOWER(TRIM(SUBSTITUTE(SUBSTITUTE(A797,"?",""),"*",""))))</f>
        <v/>
      </c>
      <c r="N797">
        <f>IF(M797="","",IF(SUMPRODUCT(ISNUMBER(SEARCH(" "&amp;Settings!$L$5:$L$124&amp;" "," "&amp;M797&amp;" "))*(Settings!$K$5:$K$124="Navigational")*(Settings!$L$5:$L$124&lt;&gt;""))&gt;0,"Navigational",IF(SUMPRODUCT(ISNUMBER(SEARCH(" "&amp;Settings!$L$5:$L$124&amp;" "," "&amp;M797&amp;" "))*(Settings!$K$5:$K$124="Transactional")*(Settings!$L$5:$L$124&lt;&gt;""))&gt;0,"Transactional",IF(SUMPRODUCT(ISNUMBER(SEARCH(" "&amp;Settings!$L$5:$L$124&amp;" "," "&amp;M797&amp;" "))*(Settings!$K$5:$K$124="Commercial")*(Settings!$L$5:$L$124&lt;&gt;""))&gt;0,"Commercial",IF(SUMPRODUCT(ISNUMBER(SEARCH(" "&amp;Settings!$L$5:$L$124&amp;" "," "&amp;M797&amp;" "))*(Settings!$K$5:$K$124="Informational")*(Settings!$L$5:$L$124&lt;&gt;""))&gt;0,"Informational","Unclassified")))))</f>
        <v/>
      </c>
      <c r="O797">
        <f>IF(A797="","",IF(K797&lt;&gt;"",PROPER(K797),N797))</f>
        <v/>
      </c>
      <c r="P797">
        <f>IF(A797="","",ROUND(Settings!$B$5*MIN(1,LOG10(N(C797)+1)/LOG10(Settings!$B$7+1))+Settings!$B$6*(1-MIN(100,IF(D797="",50,N(D797)))/100)+IFERROR(INDEX(Settings!$B$10:$B$14,MATCH(O797,Settings!$A$10:$A$14,0)),0),0))</f>
        <v/>
      </c>
      <c r="Q797">
        <f>IF(OR(A797="",G797=""),"",COUNTIFS($M$3:$M$1002,M797,$G$3:$G$1002,"&lt;&gt;"&amp;SUBSTITUTE(SUBSTITUTE(G797,"?","~?"),"*","~*"),$G$3:$G$1002,"?*"))</f>
        <v/>
      </c>
      <c r="R797">
        <f>IF(Q797="","",IF(Q797&gt;0,"Yes","No"))</f>
        <v/>
      </c>
      <c r="S797">
        <f>IF(G797="","",COUNTIFS($G$3:$G$1002,SUBSTITUTE(SUBSTITUTE(G797,"?","~?"),"*","~*"),$J$3:$J$1002,"Primary"))</f>
        <v/>
      </c>
      <c r="T797">
        <f>IF(S797="","",IF(S797&gt;Settings!$B$4,"Yes","No"))</f>
        <v/>
      </c>
      <c r="U797">
        <f>IF(OR(G797="",B797=""),"",IF(COUNTIFS($G$3:$G$1002,SUBSTITUTE(SUBSTITUTE(G797,"?","~?"),"*","~*"),$B$3:$B$1002,"&lt;&gt;"&amp;SUBSTITUTE(SUBSTITUTE(B797,"?","~?"),"*","~*"),$B$3:$B$1002,"?*")&gt;0,"Yes","No"))</f>
        <v/>
      </c>
      <c r="V797">
        <f>IF(OR(G797="",I797="",O797="",O797="Unclassified"),"",IFERROR(INDEX(Settings!$E$5:$H$16,MATCH(I797,Settings!$D$5:$D$16,0),MATCH(O797,Settings!$E$4:$H$4,0)),"Check"))</f>
        <v/>
      </c>
      <c r="W797">
        <f>IF(V797="","",IF(V797="No","Yes","No"))</f>
        <v/>
      </c>
      <c r="X797">
        <f>IF(OR(E797="",G797=""),"",IF(LOWER(IF(RIGHT(TRIM(E797),1)="/",LEFT(TRIM(E797),LEN(TRIM(E797))-1),TRIM(E797)))&lt;&gt;LOWER(IF(RIGHT(TRIM(G797),1)="/",LEFT(TRIM(G797),LEN(TRIM(G797))-1),TRIM(G797))),"Yes","No"))</f>
        <v/>
      </c>
      <c r="Y797">
        <f>IF(A797="","",(N(Q797)&gt;0)+(T797="Yes")+(U797="Yes")+(W797="Yes")+(X797="Yes"))</f>
        <v/>
      </c>
      <c r="Z797">
        <f>IF(A797="","",IF(G797="","Not mapped",IF(Y797=0,"OK",MID(IF(N(Q797)&gt;0,"; Cannibalisation","")&amp;IF(T797="Yes","; Too many primary keywords on URL","")&amp;IF(U797="Yes","; URL spans 2+ clusters","")&amp;IF(W797="Yes","; Intent mismatch","")&amp;IF(X797="Yes","; Ranking URL is not the target",""),3,300))))</f>
        <v/>
      </c>
      <c r="AA797">
        <f>IF(G797="","",IF(COUNTIF($G$3:G797,SUBSTITUTE(SUBSTITUTE(G797,"?","~?"),"*","~*"))=1,MAX($AA$2:AA796)+1,""))</f>
        <v/>
      </c>
      <c r="AB797">
        <f>IF(B797="","",IF(COUNTIF($B$3:B797,SUBSTITUTE(SUBSTITUTE(B797,"?","~?"),"*","~*"))=1,MAX($AB$2:AB796)+1,""))</f>
        <v/>
      </c>
    </row>
    <row r="798">
      <c r="M798">
        <f>IF(A798="","",LOWER(TRIM(SUBSTITUTE(SUBSTITUTE(A798,"?",""),"*",""))))</f>
        <v/>
      </c>
      <c r="N798">
        <f>IF(M798="","",IF(SUMPRODUCT(ISNUMBER(SEARCH(" "&amp;Settings!$L$5:$L$124&amp;" "," "&amp;M798&amp;" "))*(Settings!$K$5:$K$124="Navigational")*(Settings!$L$5:$L$124&lt;&gt;""))&gt;0,"Navigational",IF(SUMPRODUCT(ISNUMBER(SEARCH(" "&amp;Settings!$L$5:$L$124&amp;" "," "&amp;M798&amp;" "))*(Settings!$K$5:$K$124="Transactional")*(Settings!$L$5:$L$124&lt;&gt;""))&gt;0,"Transactional",IF(SUMPRODUCT(ISNUMBER(SEARCH(" "&amp;Settings!$L$5:$L$124&amp;" "," "&amp;M798&amp;" "))*(Settings!$K$5:$K$124="Commercial")*(Settings!$L$5:$L$124&lt;&gt;""))&gt;0,"Commercial",IF(SUMPRODUCT(ISNUMBER(SEARCH(" "&amp;Settings!$L$5:$L$124&amp;" "," "&amp;M798&amp;" "))*(Settings!$K$5:$K$124="Informational")*(Settings!$L$5:$L$124&lt;&gt;""))&gt;0,"Informational","Unclassified")))))</f>
        <v/>
      </c>
      <c r="O798">
        <f>IF(A798="","",IF(K798&lt;&gt;"",PROPER(K798),N798))</f>
        <v/>
      </c>
      <c r="P798">
        <f>IF(A798="","",ROUND(Settings!$B$5*MIN(1,LOG10(N(C798)+1)/LOG10(Settings!$B$7+1))+Settings!$B$6*(1-MIN(100,IF(D798="",50,N(D798)))/100)+IFERROR(INDEX(Settings!$B$10:$B$14,MATCH(O798,Settings!$A$10:$A$14,0)),0),0))</f>
        <v/>
      </c>
      <c r="Q798">
        <f>IF(OR(A798="",G798=""),"",COUNTIFS($M$3:$M$1002,M798,$G$3:$G$1002,"&lt;&gt;"&amp;SUBSTITUTE(SUBSTITUTE(G798,"?","~?"),"*","~*"),$G$3:$G$1002,"?*"))</f>
        <v/>
      </c>
      <c r="R798">
        <f>IF(Q798="","",IF(Q798&gt;0,"Yes","No"))</f>
        <v/>
      </c>
      <c r="S798">
        <f>IF(G798="","",COUNTIFS($G$3:$G$1002,SUBSTITUTE(SUBSTITUTE(G798,"?","~?"),"*","~*"),$J$3:$J$1002,"Primary"))</f>
        <v/>
      </c>
      <c r="T798">
        <f>IF(S798="","",IF(S798&gt;Settings!$B$4,"Yes","No"))</f>
        <v/>
      </c>
      <c r="U798">
        <f>IF(OR(G798="",B798=""),"",IF(COUNTIFS($G$3:$G$1002,SUBSTITUTE(SUBSTITUTE(G798,"?","~?"),"*","~*"),$B$3:$B$1002,"&lt;&gt;"&amp;SUBSTITUTE(SUBSTITUTE(B798,"?","~?"),"*","~*"),$B$3:$B$1002,"?*")&gt;0,"Yes","No"))</f>
        <v/>
      </c>
      <c r="V798">
        <f>IF(OR(G798="",I798="",O798="",O798="Unclassified"),"",IFERROR(INDEX(Settings!$E$5:$H$16,MATCH(I798,Settings!$D$5:$D$16,0),MATCH(O798,Settings!$E$4:$H$4,0)),"Check"))</f>
        <v/>
      </c>
      <c r="W798">
        <f>IF(V798="","",IF(V798="No","Yes","No"))</f>
        <v/>
      </c>
      <c r="X798">
        <f>IF(OR(E798="",G798=""),"",IF(LOWER(IF(RIGHT(TRIM(E798),1)="/",LEFT(TRIM(E798),LEN(TRIM(E798))-1),TRIM(E798)))&lt;&gt;LOWER(IF(RIGHT(TRIM(G798),1)="/",LEFT(TRIM(G798),LEN(TRIM(G798))-1),TRIM(G798))),"Yes","No"))</f>
        <v/>
      </c>
      <c r="Y798">
        <f>IF(A798="","",(N(Q798)&gt;0)+(T798="Yes")+(U798="Yes")+(W798="Yes")+(X798="Yes"))</f>
        <v/>
      </c>
      <c r="Z798">
        <f>IF(A798="","",IF(G798="","Not mapped",IF(Y798=0,"OK",MID(IF(N(Q798)&gt;0,"; Cannibalisation","")&amp;IF(T798="Yes","; Too many primary keywords on URL","")&amp;IF(U798="Yes","; URL spans 2+ clusters","")&amp;IF(W798="Yes","; Intent mismatch","")&amp;IF(X798="Yes","; Ranking URL is not the target",""),3,300))))</f>
        <v/>
      </c>
      <c r="AA798">
        <f>IF(G798="","",IF(COUNTIF($G$3:G798,SUBSTITUTE(SUBSTITUTE(G798,"?","~?"),"*","~*"))=1,MAX($AA$2:AA797)+1,""))</f>
        <v/>
      </c>
      <c r="AB798">
        <f>IF(B798="","",IF(COUNTIF($B$3:B798,SUBSTITUTE(SUBSTITUTE(B798,"?","~?"),"*","~*"))=1,MAX($AB$2:AB797)+1,""))</f>
        <v/>
      </c>
    </row>
    <row r="799">
      <c r="M799">
        <f>IF(A799="","",LOWER(TRIM(SUBSTITUTE(SUBSTITUTE(A799,"?",""),"*",""))))</f>
        <v/>
      </c>
      <c r="N799">
        <f>IF(M799="","",IF(SUMPRODUCT(ISNUMBER(SEARCH(" "&amp;Settings!$L$5:$L$124&amp;" "," "&amp;M799&amp;" "))*(Settings!$K$5:$K$124="Navigational")*(Settings!$L$5:$L$124&lt;&gt;""))&gt;0,"Navigational",IF(SUMPRODUCT(ISNUMBER(SEARCH(" "&amp;Settings!$L$5:$L$124&amp;" "," "&amp;M799&amp;" "))*(Settings!$K$5:$K$124="Transactional")*(Settings!$L$5:$L$124&lt;&gt;""))&gt;0,"Transactional",IF(SUMPRODUCT(ISNUMBER(SEARCH(" "&amp;Settings!$L$5:$L$124&amp;" "," "&amp;M799&amp;" "))*(Settings!$K$5:$K$124="Commercial")*(Settings!$L$5:$L$124&lt;&gt;""))&gt;0,"Commercial",IF(SUMPRODUCT(ISNUMBER(SEARCH(" "&amp;Settings!$L$5:$L$124&amp;" "," "&amp;M799&amp;" "))*(Settings!$K$5:$K$124="Informational")*(Settings!$L$5:$L$124&lt;&gt;""))&gt;0,"Informational","Unclassified")))))</f>
        <v/>
      </c>
      <c r="O799">
        <f>IF(A799="","",IF(K799&lt;&gt;"",PROPER(K799),N799))</f>
        <v/>
      </c>
      <c r="P799">
        <f>IF(A799="","",ROUND(Settings!$B$5*MIN(1,LOG10(N(C799)+1)/LOG10(Settings!$B$7+1))+Settings!$B$6*(1-MIN(100,IF(D799="",50,N(D799)))/100)+IFERROR(INDEX(Settings!$B$10:$B$14,MATCH(O799,Settings!$A$10:$A$14,0)),0),0))</f>
        <v/>
      </c>
      <c r="Q799">
        <f>IF(OR(A799="",G799=""),"",COUNTIFS($M$3:$M$1002,M799,$G$3:$G$1002,"&lt;&gt;"&amp;SUBSTITUTE(SUBSTITUTE(G799,"?","~?"),"*","~*"),$G$3:$G$1002,"?*"))</f>
        <v/>
      </c>
      <c r="R799">
        <f>IF(Q799="","",IF(Q799&gt;0,"Yes","No"))</f>
        <v/>
      </c>
      <c r="S799">
        <f>IF(G799="","",COUNTIFS($G$3:$G$1002,SUBSTITUTE(SUBSTITUTE(G799,"?","~?"),"*","~*"),$J$3:$J$1002,"Primary"))</f>
        <v/>
      </c>
      <c r="T799">
        <f>IF(S799="","",IF(S799&gt;Settings!$B$4,"Yes","No"))</f>
        <v/>
      </c>
      <c r="U799">
        <f>IF(OR(G799="",B799=""),"",IF(COUNTIFS($G$3:$G$1002,SUBSTITUTE(SUBSTITUTE(G799,"?","~?"),"*","~*"),$B$3:$B$1002,"&lt;&gt;"&amp;SUBSTITUTE(SUBSTITUTE(B799,"?","~?"),"*","~*"),$B$3:$B$1002,"?*")&gt;0,"Yes","No"))</f>
        <v/>
      </c>
      <c r="V799">
        <f>IF(OR(G799="",I799="",O799="",O799="Unclassified"),"",IFERROR(INDEX(Settings!$E$5:$H$16,MATCH(I799,Settings!$D$5:$D$16,0),MATCH(O799,Settings!$E$4:$H$4,0)),"Check"))</f>
        <v/>
      </c>
      <c r="W799">
        <f>IF(V799="","",IF(V799="No","Yes","No"))</f>
        <v/>
      </c>
      <c r="X799">
        <f>IF(OR(E799="",G799=""),"",IF(LOWER(IF(RIGHT(TRIM(E799),1)="/",LEFT(TRIM(E799),LEN(TRIM(E799))-1),TRIM(E799)))&lt;&gt;LOWER(IF(RIGHT(TRIM(G799),1)="/",LEFT(TRIM(G799),LEN(TRIM(G799))-1),TRIM(G799))),"Yes","No"))</f>
        <v/>
      </c>
      <c r="Y799">
        <f>IF(A799="","",(N(Q799)&gt;0)+(T799="Yes")+(U799="Yes")+(W799="Yes")+(X799="Yes"))</f>
        <v/>
      </c>
      <c r="Z799">
        <f>IF(A799="","",IF(G799="","Not mapped",IF(Y799=0,"OK",MID(IF(N(Q799)&gt;0,"; Cannibalisation","")&amp;IF(T799="Yes","; Too many primary keywords on URL","")&amp;IF(U799="Yes","; URL spans 2+ clusters","")&amp;IF(W799="Yes","; Intent mismatch","")&amp;IF(X799="Yes","; Ranking URL is not the target",""),3,300))))</f>
        <v/>
      </c>
      <c r="AA799">
        <f>IF(G799="","",IF(COUNTIF($G$3:G799,SUBSTITUTE(SUBSTITUTE(G799,"?","~?"),"*","~*"))=1,MAX($AA$2:AA798)+1,""))</f>
        <v/>
      </c>
      <c r="AB799">
        <f>IF(B799="","",IF(COUNTIF($B$3:B799,SUBSTITUTE(SUBSTITUTE(B799,"?","~?"),"*","~*"))=1,MAX($AB$2:AB798)+1,""))</f>
        <v/>
      </c>
    </row>
    <row r="800">
      <c r="M800">
        <f>IF(A800="","",LOWER(TRIM(SUBSTITUTE(SUBSTITUTE(A800,"?",""),"*",""))))</f>
        <v/>
      </c>
      <c r="N800">
        <f>IF(M800="","",IF(SUMPRODUCT(ISNUMBER(SEARCH(" "&amp;Settings!$L$5:$L$124&amp;" "," "&amp;M800&amp;" "))*(Settings!$K$5:$K$124="Navigational")*(Settings!$L$5:$L$124&lt;&gt;""))&gt;0,"Navigational",IF(SUMPRODUCT(ISNUMBER(SEARCH(" "&amp;Settings!$L$5:$L$124&amp;" "," "&amp;M800&amp;" "))*(Settings!$K$5:$K$124="Transactional")*(Settings!$L$5:$L$124&lt;&gt;""))&gt;0,"Transactional",IF(SUMPRODUCT(ISNUMBER(SEARCH(" "&amp;Settings!$L$5:$L$124&amp;" "," "&amp;M800&amp;" "))*(Settings!$K$5:$K$124="Commercial")*(Settings!$L$5:$L$124&lt;&gt;""))&gt;0,"Commercial",IF(SUMPRODUCT(ISNUMBER(SEARCH(" "&amp;Settings!$L$5:$L$124&amp;" "," "&amp;M800&amp;" "))*(Settings!$K$5:$K$124="Informational")*(Settings!$L$5:$L$124&lt;&gt;""))&gt;0,"Informational","Unclassified")))))</f>
        <v/>
      </c>
      <c r="O800">
        <f>IF(A800="","",IF(K800&lt;&gt;"",PROPER(K800),N800))</f>
        <v/>
      </c>
      <c r="P800">
        <f>IF(A800="","",ROUND(Settings!$B$5*MIN(1,LOG10(N(C800)+1)/LOG10(Settings!$B$7+1))+Settings!$B$6*(1-MIN(100,IF(D800="",50,N(D800)))/100)+IFERROR(INDEX(Settings!$B$10:$B$14,MATCH(O800,Settings!$A$10:$A$14,0)),0),0))</f>
        <v/>
      </c>
      <c r="Q800">
        <f>IF(OR(A800="",G800=""),"",COUNTIFS($M$3:$M$1002,M800,$G$3:$G$1002,"&lt;&gt;"&amp;SUBSTITUTE(SUBSTITUTE(G800,"?","~?"),"*","~*"),$G$3:$G$1002,"?*"))</f>
        <v/>
      </c>
      <c r="R800">
        <f>IF(Q800="","",IF(Q800&gt;0,"Yes","No"))</f>
        <v/>
      </c>
      <c r="S800">
        <f>IF(G800="","",COUNTIFS($G$3:$G$1002,SUBSTITUTE(SUBSTITUTE(G800,"?","~?"),"*","~*"),$J$3:$J$1002,"Primary"))</f>
        <v/>
      </c>
      <c r="T800">
        <f>IF(S800="","",IF(S800&gt;Settings!$B$4,"Yes","No"))</f>
        <v/>
      </c>
      <c r="U800">
        <f>IF(OR(G800="",B800=""),"",IF(COUNTIFS($G$3:$G$1002,SUBSTITUTE(SUBSTITUTE(G800,"?","~?"),"*","~*"),$B$3:$B$1002,"&lt;&gt;"&amp;SUBSTITUTE(SUBSTITUTE(B800,"?","~?"),"*","~*"),$B$3:$B$1002,"?*")&gt;0,"Yes","No"))</f>
        <v/>
      </c>
      <c r="V800">
        <f>IF(OR(G800="",I800="",O800="",O800="Unclassified"),"",IFERROR(INDEX(Settings!$E$5:$H$16,MATCH(I800,Settings!$D$5:$D$16,0),MATCH(O800,Settings!$E$4:$H$4,0)),"Check"))</f>
        <v/>
      </c>
      <c r="W800">
        <f>IF(V800="","",IF(V800="No","Yes","No"))</f>
        <v/>
      </c>
      <c r="X800">
        <f>IF(OR(E800="",G800=""),"",IF(LOWER(IF(RIGHT(TRIM(E800),1)="/",LEFT(TRIM(E800),LEN(TRIM(E800))-1),TRIM(E800)))&lt;&gt;LOWER(IF(RIGHT(TRIM(G800),1)="/",LEFT(TRIM(G800),LEN(TRIM(G800))-1),TRIM(G800))),"Yes","No"))</f>
        <v/>
      </c>
      <c r="Y800">
        <f>IF(A800="","",(N(Q800)&gt;0)+(T800="Yes")+(U800="Yes")+(W800="Yes")+(X800="Yes"))</f>
        <v/>
      </c>
      <c r="Z800">
        <f>IF(A800="","",IF(G800="","Not mapped",IF(Y800=0,"OK",MID(IF(N(Q800)&gt;0,"; Cannibalisation","")&amp;IF(T800="Yes","; Too many primary keywords on URL","")&amp;IF(U800="Yes","; URL spans 2+ clusters","")&amp;IF(W800="Yes","; Intent mismatch","")&amp;IF(X800="Yes","; Ranking URL is not the target",""),3,300))))</f>
        <v/>
      </c>
      <c r="AA800">
        <f>IF(G800="","",IF(COUNTIF($G$3:G800,SUBSTITUTE(SUBSTITUTE(G800,"?","~?"),"*","~*"))=1,MAX($AA$2:AA799)+1,""))</f>
        <v/>
      </c>
      <c r="AB800">
        <f>IF(B800="","",IF(COUNTIF($B$3:B800,SUBSTITUTE(SUBSTITUTE(B800,"?","~?"),"*","~*"))=1,MAX($AB$2:AB799)+1,""))</f>
        <v/>
      </c>
    </row>
    <row r="801">
      <c r="M801">
        <f>IF(A801="","",LOWER(TRIM(SUBSTITUTE(SUBSTITUTE(A801,"?",""),"*",""))))</f>
        <v/>
      </c>
      <c r="N801">
        <f>IF(M801="","",IF(SUMPRODUCT(ISNUMBER(SEARCH(" "&amp;Settings!$L$5:$L$124&amp;" "," "&amp;M801&amp;" "))*(Settings!$K$5:$K$124="Navigational")*(Settings!$L$5:$L$124&lt;&gt;""))&gt;0,"Navigational",IF(SUMPRODUCT(ISNUMBER(SEARCH(" "&amp;Settings!$L$5:$L$124&amp;" "," "&amp;M801&amp;" "))*(Settings!$K$5:$K$124="Transactional")*(Settings!$L$5:$L$124&lt;&gt;""))&gt;0,"Transactional",IF(SUMPRODUCT(ISNUMBER(SEARCH(" "&amp;Settings!$L$5:$L$124&amp;" "," "&amp;M801&amp;" "))*(Settings!$K$5:$K$124="Commercial")*(Settings!$L$5:$L$124&lt;&gt;""))&gt;0,"Commercial",IF(SUMPRODUCT(ISNUMBER(SEARCH(" "&amp;Settings!$L$5:$L$124&amp;" "," "&amp;M801&amp;" "))*(Settings!$K$5:$K$124="Informational")*(Settings!$L$5:$L$124&lt;&gt;""))&gt;0,"Informational","Unclassified")))))</f>
        <v/>
      </c>
      <c r="O801">
        <f>IF(A801="","",IF(K801&lt;&gt;"",PROPER(K801),N801))</f>
        <v/>
      </c>
      <c r="P801">
        <f>IF(A801="","",ROUND(Settings!$B$5*MIN(1,LOG10(N(C801)+1)/LOG10(Settings!$B$7+1))+Settings!$B$6*(1-MIN(100,IF(D801="",50,N(D801)))/100)+IFERROR(INDEX(Settings!$B$10:$B$14,MATCH(O801,Settings!$A$10:$A$14,0)),0),0))</f>
        <v/>
      </c>
      <c r="Q801">
        <f>IF(OR(A801="",G801=""),"",COUNTIFS($M$3:$M$1002,M801,$G$3:$G$1002,"&lt;&gt;"&amp;SUBSTITUTE(SUBSTITUTE(G801,"?","~?"),"*","~*"),$G$3:$G$1002,"?*"))</f>
        <v/>
      </c>
      <c r="R801">
        <f>IF(Q801="","",IF(Q801&gt;0,"Yes","No"))</f>
        <v/>
      </c>
      <c r="S801">
        <f>IF(G801="","",COUNTIFS($G$3:$G$1002,SUBSTITUTE(SUBSTITUTE(G801,"?","~?"),"*","~*"),$J$3:$J$1002,"Primary"))</f>
        <v/>
      </c>
      <c r="T801">
        <f>IF(S801="","",IF(S801&gt;Settings!$B$4,"Yes","No"))</f>
        <v/>
      </c>
      <c r="U801">
        <f>IF(OR(G801="",B801=""),"",IF(COUNTIFS($G$3:$G$1002,SUBSTITUTE(SUBSTITUTE(G801,"?","~?"),"*","~*"),$B$3:$B$1002,"&lt;&gt;"&amp;SUBSTITUTE(SUBSTITUTE(B801,"?","~?"),"*","~*"),$B$3:$B$1002,"?*")&gt;0,"Yes","No"))</f>
        <v/>
      </c>
      <c r="V801">
        <f>IF(OR(G801="",I801="",O801="",O801="Unclassified"),"",IFERROR(INDEX(Settings!$E$5:$H$16,MATCH(I801,Settings!$D$5:$D$16,0),MATCH(O801,Settings!$E$4:$H$4,0)),"Check"))</f>
        <v/>
      </c>
      <c r="W801">
        <f>IF(V801="","",IF(V801="No","Yes","No"))</f>
        <v/>
      </c>
      <c r="X801">
        <f>IF(OR(E801="",G801=""),"",IF(LOWER(IF(RIGHT(TRIM(E801),1)="/",LEFT(TRIM(E801),LEN(TRIM(E801))-1),TRIM(E801)))&lt;&gt;LOWER(IF(RIGHT(TRIM(G801),1)="/",LEFT(TRIM(G801),LEN(TRIM(G801))-1),TRIM(G801))),"Yes","No"))</f>
        <v/>
      </c>
      <c r="Y801">
        <f>IF(A801="","",(N(Q801)&gt;0)+(T801="Yes")+(U801="Yes")+(W801="Yes")+(X801="Yes"))</f>
        <v/>
      </c>
      <c r="Z801">
        <f>IF(A801="","",IF(G801="","Not mapped",IF(Y801=0,"OK",MID(IF(N(Q801)&gt;0,"; Cannibalisation","")&amp;IF(T801="Yes","; Too many primary keywords on URL","")&amp;IF(U801="Yes","; URL spans 2+ clusters","")&amp;IF(W801="Yes","; Intent mismatch","")&amp;IF(X801="Yes","; Ranking URL is not the target",""),3,300))))</f>
        <v/>
      </c>
      <c r="AA801">
        <f>IF(G801="","",IF(COUNTIF($G$3:G801,SUBSTITUTE(SUBSTITUTE(G801,"?","~?"),"*","~*"))=1,MAX($AA$2:AA800)+1,""))</f>
        <v/>
      </c>
      <c r="AB801">
        <f>IF(B801="","",IF(COUNTIF($B$3:B801,SUBSTITUTE(SUBSTITUTE(B801,"?","~?"),"*","~*"))=1,MAX($AB$2:AB800)+1,""))</f>
        <v/>
      </c>
    </row>
    <row r="802">
      <c r="M802">
        <f>IF(A802="","",LOWER(TRIM(SUBSTITUTE(SUBSTITUTE(A802,"?",""),"*",""))))</f>
        <v/>
      </c>
      <c r="N802">
        <f>IF(M802="","",IF(SUMPRODUCT(ISNUMBER(SEARCH(" "&amp;Settings!$L$5:$L$124&amp;" "," "&amp;M802&amp;" "))*(Settings!$K$5:$K$124="Navigational")*(Settings!$L$5:$L$124&lt;&gt;""))&gt;0,"Navigational",IF(SUMPRODUCT(ISNUMBER(SEARCH(" "&amp;Settings!$L$5:$L$124&amp;" "," "&amp;M802&amp;" "))*(Settings!$K$5:$K$124="Transactional")*(Settings!$L$5:$L$124&lt;&gt;""))&gt;0,"Transactional",IF(SUMPRODUCT(ISNUMBER(SEARCH(" "&amp;Settings!$L$5:$L$124&amp;" "," "&amp;M802&amp;" "))*(Settings!$K$5:$K$124="Commercial")*(Settings!$L$5:$L$124&lt;&gt;""))&gt;0,"Commercial",IF(SUMPRODUCT(ISNUMBER(SEARCH(" "&amp;Settings!$L$5:$L$124&amp;" "," "&amp;M802&amp;" "))*(Settings!$K$5:$K$124="Informational")*(Settings!$L$5:$L$124&lt;&gt;""))&gt;0,"Informational","Unclassified")))))</f>
        <v/>
      </c>
      <c r="O802">
        <f>IF(A802="","",IF(K802&lt;&gt;"",PROPER(K802),N802))</f>
        <v/>
      </c>
      <c r="P802">
        <f>IF(A802="","",ROUND(Settings!$B$5*MIN(1,LOG10(N(C802)+1)/LOG10(Settings!$B$7+1))+Settings!$B$6*(1-MIN(100,IF(D802="",50,N(D802)))/100)+IFERROR(INDEX(Settings!$B$10:$B$14,MATCH(O802,Settings!$A$10:$A$14,0)),0),0))</f>
        <v/>
      </c>
      <c r="Q802">
        <f>IF(OR(A802="",G802=""),"",COUNTIFS($M$3:$M$1002,M802,$G$3:$G$1002,"&lt;&gt;"&amp;SUBSTITUTE(SUBSTITUTE(G802,"?","~?"),"*","~*"),$G$3:$G$1002,"?*"))</f>
        <v/>
      </c>
      <c r="R802">
        <f>IF(Q802="","",IF(Q802&gt;0,"Yes","No"))</f>
        <v/>
      </c>
      <c r="S802">
        <f>IF(G802="","",COUNTIFS($G$3:$G$1002,SUBSTITUTE(SUBSTITUTE(G802,"?","~?"),"*","~*"),$J$3:$J$1002,"Primary"))</f>
        <v/>
      </c>
      <c r="T802">
        <f>IF(S802="","",IF(S802&gt;Settings!$B$4,"Yes","No"))</f>
        <v/>
      </c>
      <c r="U802">
        <f>IF(OR(G802="",B802=""),"",IF(COUNTIFS($G$3:$G$1002,SUBSTITUTE(SUBSTITUTE(G802,"?","~?"),"*","~*"),$B$3:$B$1002,"&lt;&gt;"&amp;SUBSTITUTE(SUBSTITUTE(B802,"?","~?"),"*","~*"),$B$3:$B$1002,"?*")&gt;0,"Yes","No"))</f>
        <v/>
      </c>
      <c r="V802">
        <f>IF(OR(G802="",I802="",O802="",O802="Unclassified"),"",IFERROR(INDEX(Settings!$E$5:$H$16,MATCH(I802,Settings!$D$5:$D$16,0),MATCH(O802,Settings!$E$4:$H$4,0)),"Check"))</f>
        <v/>
      </c>
      <c r="W802">
        <f>IF(V802="","",IF(V802="No","Yes","No"))</f>
        <v/>
      </c>
      <c r="X802">
        <f>IF(OR(E802="",G802=""),"",IF(LOWER(IF(RIGHT(TRIM(E802),1)="/",LEFT(TRIM(E802),LEN(TRIM(E802))-1),TRIM(E802)))&lt;&gt;LOWER(IF(RIGHT(TRIM(G802),1)="/",LEFT(TRIM(G802),LEN(TRIM(G802))-1),TRIM(G802))),"Yes","No"))</f>
        <v/>
      </c>
      <c r="Y802">
        <f>IF(A802="","",(N(Q802)&gt;0)+(T802="Yes")+(U802="Yes")+(W802="Yes")+(X802="Yes"))</f>
        <v/>
      </c>
      <c r="Z802">
        <f>IF(A802="","",IF(G802="","Not mapped",IF(Y802=0,"OK",MID(IF(N(Q802)&gt;0,"; Cannibalisation","")&amp;IF(T802="Yes","; Too many primary keywords on URL","")&amp;IF(U802="Yes","; URL spans 2+ clusters","")&amp;IF(W802="Yes","; Intent mismatch","")&amp;IF(X802="Yes","; Ranking URL is not the target",""),3,300))))</f>
        <v/>
      </c>
      <c r="AA802">
        <f>IF(G802="","",IF(COUNTIF($G$3:G802,SUBSTITUTE(SUBSTITUTE(G802,"?","~?"),"*","~*"))=1,MAX($AA$2:AA801)+1,""))</f>
        <v/>
      </c>
      <c r="AB802">
        <f>IF(B802="","",IF(COUNTIF($B$3:B802,SUBSTITUTE(SUBSTITUTE(B802,"?","~?"),"*","~*"))=1,MAX($AB$2:AB801)+1,""))</f>
        <v/>
      </c>
    </row>
    <row r="803">
      <c r="M803">
        <f>IF(A803="","",LOWER(TRIM(SUBSTITUTE(SUBSTITUTE(A803,"?",""),"*",""))))</f>
        <v/>
      </c>
      <c r="N803">
        <f>IF(M803="","",IF(SUMPRODUCT(ISNUMBER(SEARCH(" "&amp;Settings!$L$5:$L$124&amp;" "," "&amp;M803&amp;" "))*(Settings!$K$5:$K$124="Navigational")*(Settings!$L$5:$L$124&lt;&gt;""))&gt;0,"Navigational",IF(SUMPRODUCT(ISNUMBER(SEARCH(" "&amp;Settings!$L$5:$L$124&amp;" "," "&amp;M803&amp;" "))*(Settings!$K$5:$K$124="Transactional")*(Settings!$L$5:$L$124&lt;&gt;""))&gt;0,"Transactional",IF(SUMPRODUCT(ISNUMBER(SEARCH(" "&amp;Settings!$L$5:$L$124&amp;" "," "&amp;M803&amp;" "))*(Settings!$K$5:$K$124="Commercial")*(Settings!$L$5:$L$124&lt;&gt;""))&gt;0,"Commercial",IF(SUMPRODUCT(ISNUMBER(SEARCH(" "&amp;Settings!$L$5:$L$124&amp;" "," "&amp;M803&amp;" "))*(Settings!$K$5:$K$124="Informational")*(Settings!$L$5:$L$124&lt;&gt;""))&gt;0,"Informational","Unclassified")))))</f>
        <v/>
      </c>
      <c r="O803">
        <f>IF(A803="","",IF(K803&lt;&gt;"",PROPER(K803),N803))</f>
        <v/>
      </c>
      <c r="P803">
        <f>IF(A803="","",ROUND(Settings!$B$5*MIN(1,LOG10(N(C803)+1)/LOG10(Settings!$B$7+1))+Settings!$B$6*(1-MIN(100,IF(D803="",50,N(D803)))/100)+IFERROR(INDEX(Settings!$B$10:$B$14,MATCH(O803,Settings!$A$10:$A$14,0)),0),0))</f>
        <v/>
      </c>
      <c r="Q803">
        <f>IF(OR(A803="",G803=""),"",COUNTIFS($M$3:$M$1002,M803,$G$3:$G$1002,"&lt;&gt;"&amp;SUBSTITUTE(SUBSTITUTE(G803,"?","~?"),"*","~*"),$G$3:$G$1002,"?*"))</f>
        <v/>
      </c>
      <c r="R803">
        <f>IF(Q803="","",IF(Q803&gt;0,"Yes","No"))</f>
        <v/>
      </c>
      <c r="S803">
        <f>IF(G803="","",COUNTIFS($G$3:$G$1002,SUBSTITUTE(SUBSTITUTE(G803,"?","~?"),"*","~*"),$J$3:$J$1002,"Primary"))</f>
        <v/>
      </c>
      <c r="T803">
        <f>IF(S803="","",IF(S803&gt;Settings!$B$4,"Yes","No"))</f>
        <v/>
      </c>
      <c r="U803">
        <f>IF(OR(G803="",B803=""),"",IF(COUNTIFS($G$3:$G$1002,SUBSTITUTE(SUBSTITUTE(G803,"?","~?"),"*","~*"),$B$3:$B$1002,"&lt;&gt;"&amp;SUBSTITUTE(SUBSTITUTE(B803,"?","~?"),"*","~*"),$B$3:$B$1002,"?*")&gt;0,"Yes","No"))</f>
        <v/>
      </c>
      <c r="V803">
        <f>IF(OR(G803="",I803="",O803="",O803="Unclassified"),"",IFERROR(INDEX(Settings!$E$5:$H$16,MATCH(I803,Settings!$D$5:$D$16,0),MATCH(O803,Settings!$E$4:$H$4,0)),"Check"))</f>
        <v/>
      </c>
      <c r="W803">
        <f>IF(V803="","",IF(V803="No","Yes","No"))</f>
        <v/>
      </c>
      <c r="X803">
        <f>IF(OR(E803="",G803=""),"",IF(LOWER(IF(RIGHT(TRIM(E803),1)="/",LEFT(TRIM(E803),LEN(TRIM(E803))-1),TRIM(E803)))&lt;&gt;LOWER(IF(RIGHT(TRIM(G803),1)="/",LEFT(TRIM(G803),LEN(TRIM(G803))-1),TRIM(G803))),"Yes","No"))</f>
        <v/>
      </c>
      <c r="Y803">
        <f>IF(A803="","",(N(Q803)&gt;0)+(T803="Yes")+(U803="Yes")+(W803="Yes")+(X803="Yes"))</f>
        <v/>
      </c>
      <c r="Z803">
        <f>IF(A803="","",IF(G803="","Not mapped",IF(Y803=0,"OK",MID(IF(N(Q803)&gt;0,"; Cannibalisation","")&amp;IF(T803="Yes","; Too many primary keywords on URL","")&amp;IF(U803="Yes","; URL spans 2+ clusters","")&amp;IF(W803="Yes","; Intent mismatch","")&amp;IF(X803="Yes","; Ranking URL is not the target",""),3,300))))</f>
        <v/>
      </c>
      <c r="AA803">
        <f>IF(G803="","",IF(COUNTIF($G$3:G803,SUBSTITUTE(SUBSTITUTE(G803,"?","~?"),"*","~*"))=1,MAX($AA$2:AA802)+1,""))</f>
        <v/>
      </c>
      <c r="AB803">
        <f>IF(B803="","",IF(COUNTIF($B$3:B803,SUBSTITUTE(SUBSTITUTE(B803,"?","~?"),"*","~*"))=1,MAX($AB$2:AB802)+1,""))</f>
        <v/>
      </c>
    </row>
    <row r="804">
      <c r="M804">
        <f>IF(A804="","",LOWER(TRIM(SUBSTITUTE(SUBSTITUTE(A804,"?",""),"*",""))))</f>
        <v/>
      </c>
      <c r="N804">
        <f>IF(M804="","",IF(SUMPRODUCT(ISNUMBER(SEARCH(" "&amp;Settings!$L$5:$L$124&amp;" "," "&amp;M804&amp;" "))*(Settings!$K$5:$K$124="Navigational")*(Settings!$L$5:$L$124&lt;&gt;""))&gt;0,"Navigational",IF(SUMPRODUCT(ISNUMBER(SEARCH(" "&amp;Settings!$L$5:$L$124&amp;" "," "&amp;M804&amp;" "))*(Settings!$K$5:$K$124="Transactional")*(Settings!$L$5:$L$124&lt;&gt;""))&gt;0,"Transactional",IF(SUMPRODUCT(ISNUMBER(SEARCH(" "&amp;Settings!$L$5:$L$124&amp;" "," "&amp;M804&amp;" "))*(Settings!$K$5:$K$124="Commercial")*(Settings!$L$5:$L$124&lt;&gt;""))&gt;0,"Commercial",IF(SUMPRODUCT(ISNUMBER(SEARCH(" "&amp;Settings!$L$5:$L$124&amp;" "," "&amp;M804&amp;" "))*(Settings!$K$5:$K$124="Informational")*(Settings!$L$5:$L$124&lt;&gt;""))&gt;0,"Informational","Unclassified")))))</f>
        <v/>
      </c>
      <c r="O804">
        <f>IF(A804="","",IF(K804&lt;&gt;"",PROPER(K804),N804))</f>
        <v/>
      </c>
      <c r="P804">
        <f>IF(A804="","",ROUND(Settings!$B$5*MIN(1,LOG10(N(C804)+1)/LOG10(Settings!$B$7+1))+Settings!$B$6*(1-MIN(100,IF(D804="",50,N(D804)))/100)+IFERROR(INDEX(Settings!$B$10:$B$14,MATCH(O804,Settings!$A$10:$A$14,0)),0),0))</f>
        <v/>
      </c>
      <c r="Q804">
        <f>IF(OR(A804="",G804=""),"",COUNTIFS($M$3:$M$1002,M804,$G$3:$G$1002,"&lt;&gt;"&amp;SUBSTITUTE(SUBSTITUTE(G804,"?","~?"),"*","~*"),$G$3:$G$1002,"?*"))</f>
        <v/>
      </c>
      <c r="R804">
        <f>IF(Q804="","",IF(Q804&gt;0,"Yes","No"))</f>
        <v/>
      </c>
      <c r="S804">
        <f>IF(G804="","",COUNTIFS($G$3:$G$1002,SUBSTITUTE(SUBSTITUTE(G804,"?","~?"),"*","~*"),$J$3:$J$1002,"Primary"))</f>
        <v/>
      </c>
      <c r="T804">
        <f>IF(S804="","",IF(S804&gt;Settings!$B$4,"Yes","No"))</f>
        <v/>
      </c>
      <c r="U804">
        <f>IF(OR(G804="",B804=""),"",IF(COUNTIFS($G$3:$G$1002,SUBSTITUTE(SUBSTITUTE(G804,"?","~?"),"*","~*"),$B$3:$B$1002,"&lt;&gt;"&amp;SUBSTITUTE(SUBSTITUTE(B804,"?","~?"),"*","~*"),$B$3:$B$1002,"?*")&gt;0,"Yes","No"))</f>
        <v/>
      </c>
      <c r="V804">
        <f>IF(OR(G804="",I804="",O804="",O804="Unclassified"),"",IFERROR(INDEX(Settings!$E$5:$H$16,MATCH(I804,Settings!$D$5:$D$16,0),MATCH(O804,Settings!$E$4:$H$4,0)),"Check"))</f>
        <v/>
      </c>
      <c r="W804">
        <f>IF(V804="","",IF(V804="No","Yes","No"))</f>
        <v/>
      </c>
      <c r="X804">
        <f>IF(OR(E804="",G804=""),"",IF(LOWER(IF(RIGHT(TRIM(E804),1)="/",LEFT(TRIM(E804),LEN(TRIM(E804))-1),TRIM(E804)))&lt;&gt;LOWER(IF(RIGHT(TRIM(G804),1)="/",LEFT(TRIM(G804),LEN(TRIM(G804))-1),TRIM(G804))),"Yes","No"))</f>
        <v/>
      </c>
      <c r="Y804">
        <f>IF(A804="","",(N(Q804)&gt;0)+(T804="Yes")+(U804="Yes")+(W804="Yes")+(X804="Yes"))</f>
        <v/>
      </c>
      <c r="Z804">
        <f>IF(A804="","",IF(G804="","Not mapped",IF(Y804=0,"OK",MID(IF(N(Q804)&gt;0,"; Cannibalisation","")&amp;IF(T804="Yes","; Too many primary keywords on URL","")&amp;IF(U804="Yes","; URL spans 2+ clusters","")&amp;IF(W804="Yes","; Intent mismatch","")&amp;IF(X804="Yes","; Ranking URL is not the target",""),3,300))))</f>
        <v/>
      </c>
      <c r="AA804">
        <f>IF(G804="","",IF(COUNTIF($G$3:G804,SUBSTITUTE(SUBSTITUTE(G804,"?","~?"),"*","~*"))=1,MAX($AA$2:AA803)+1,""))</f>
        <v/>
      </c>
      <c r="AB804">
        <f>IF(B804="","",IF(COUNTIF($B$3:B804,SUBSTITUTE(SUBSTITUTE(B804,"?","~?"),"*","~*"))=1,MAX($AB$2:AB803)+1,""))</f>
        <v/>
      </c>
    </row>
    <row r="805">
      <c r="M805">
        <f>IF(A805="","",LOWER(TRIM(SUBSTITUTE(SUBSTITUTE(A805,"?",""),"*",""))))</f>
        <v/>
      </c>
      <c r="N805">
        <f>IF(M805="","",IF(SUMPRODUCT(ISNUMBER(SEARCH(" "&amp;Settings!$L$5:$L$124&amp;" "," "&amp;M805&amp;" "))*(Settings!$K$5:$K$124="Navigational")*(Settings!$L$5:$L$124&lt;&gt;""))&gt;0,"Navigational",IF(SUMPRODUCT(ISNUMBER(SEARCH(" "&amp;Settings!$L$5:$L$124&amp;" "," "&amp;M805&amp;" "))*(Settings!$K$5:$K$124="Transactional")*(Settings!$L$5:$L$124&lt;&gt;""))&gt;0,"Transactional",IF(SUMPRODUCT(ISNUMBER(SEARCH(" "&amp;Settings!$L$5:$L$124&amp;" "," "&amp;M805&amp;" "))*(Settings!$K$5:$K$124="Commercial")*(Settings!$L$5:$L$124&lt;&gt;""))&gt;0,"Commercial",IF(SUMPRODUCT(ISNUMBER(SEARCH(" "&amp;Settings!$L$5:$L$124&amp;" "," "&amp;M805&amp;" "))*(Settings!$K$5:$K$124="Informational")*(Settings!$L$5:$L$124&lt;&gt;""))&gt;0,"Informational","Unclassified")))))</f>
        <v/>
      </c>
      <c r="O805">
        <f>IF(A805="","",IF(K805&lt;&gt;"",PROPER(K805),N805))</f>
        <v/>
      </c>
      <c r="P805">
        <f>IF(A805="","",ROUND(Settings!$B$5*MIN(1,LOG10(N(C805)+1)/LOG10(Settings!$B$7+1))+Settings!$B$6*(1-MIN(100,IF(D805="",50,N(D805)))/100)+IFERROR(INDEX(Settings!$B$10:$B$14,MATCH(O805,Settings!$A$10:$A$14,0)),0),0))</f>
        <v/>
      </c>
      <c r="Q805">
        <f>IF(OR(A805="",G805=""),"",COUNTIFS($M$3:$M$1002,M805,$G$3:$G$1002,"&lt;&gt;"&amp;SUBSTITUTE(SUBSTITUTE(G805,"?","~?"),"*","~*"),$G$3:$G$1002,"?*"))</f>
        <v/>
      </c>
      <c r="R805">
        <f>IF(Q805="","",IF(Q805&gt;0,"Yes","No"))</f>
        <v/>
      </c>
      <c r="S805">
        <f>IF(G805="","",COUNTIFS($G$3:$G$1002,SUBSTITUTE(SUBSTITUTE(G805,"?","~?"),"*","~*"),$J$3:$J$1002,"Primary"))</f>
        <v/>
      </c>
      <c r="T805">
        <f>IF(S805="","",IF(S805&gt;Settings!$B$4,"Yes","No"))</f>
        <v/>
      </c>
      <c r="U805">
        <f>IF(OR(G805="",B805=""),"",IF(COUNTIFS($G$3:$G$1002,SUBSTITUTE(SUBSTITUTE(G805,"?","~?"),"*","~*"),$B$3:$B$1002,"&lt;&gt;"&amp;SUBSTITUTE(SUBSTITUTE(B805,"?","~?"),"*","~*"),$B$3:$B$1002,"?*")&gt;0,"Yes","No"))</f>
        <v/>
      </c>
      <c r="V805">
        <f>IF(OR(G805="",I805="",O805="",O805="Unclassified"),"",IFERROR(INDEX(Settings!$E$5:$H$16,MATCH(I805,Settings!$D$5:$D$16,0),MATCH(O805,Settings!$E$4:$H$4,0)),"Check"))</f>
        <v/>
      </c>
      <c r="W805">
        <f>IF(V805="","",IF(V805="No","Yes","No"))</f>
        <v/>
      </c>
      <c r="X805">
        <f>IF(OR(E805="",G805=""),"",IF(LOWER(IF(RIGHT(TRIM(E805),1)="/",LEFT(TRIM(E805),LEN(TRIM(E805))-1),TRIM(E805)))&lt;&gt;LOWER(IF(RIGHT(TRIM(G805),1)="/",LEFT(TRIM(G805),LEN(TRIM(G805))-1),TRIM(G805))),"Yes","No"))</f>
        <v/>
      </c>
      <c r="Y805">
        <f>IF(A805="","",(N(Q805)&gt;0)+(T805="Yes")+(U805="Yes")+(W805="Yes")+(X805="Yes"))</f>
        <v/>
      </c>
      <c r="Z805">
        <f>IF(A805="","",IF(G805="","Not mapped",IF(Y805=0,"OK",MID(IF(N(Q805)&gt;0,"; Cannibalisation","")&amp;IF(T805="Yes","; Too many primary keywords on URL","")&amp;IF(U805="Yes","; URL spans 2+ clusters","")&amp;IF(W805="Yes","; Intent mismatch","")&amp;IF(X805="Yes","; Ranking URL is not the target",""),3,300))))</f>
        <v/>
      </c>
      <c r="AA805">
        <f>IF(G805="","",IF(COUNTIF($G$3:G805,SUBSTITUTE(SUBSTITUTE(G805,"?","~?"),"*","~*"))=1,MAX($AA$2:AA804)+1,""))</f>
        <v/>
      </c>
      <c r="AB805">
        <f>IF(B805="","",IF(COUNTIF($B$3:B805,SUBSTITUTE(SUBSTITUTE(B805,"?","~?"),"*","~*"))=1,MAX($AB$2:AB804)+1,""))</f>
        <v/>
      </c>
    </row>
    <row r="806">
      <c r="M806">
        <f>IF(A806="","",LOWER(TRIM(SUBSTITUTE(SUBSTITUTE(A806,"?",""),"*",""))))</f>
        <v/>
      </c>
      <c r="N806">
        <f>IF(M806="","",IF(SUMPRODUCT(ISNUMBER(SEARCH(" "&amp;Settings!$L$5:$L$124&amp;" "," "&amp;M806&amp;" "))*(Settings!$K$5:$K$124="Navigational")*(Settings!$L$5:$L$124&lt;&gt;""))&gt;0,"Navigational",IF(SUMPRODUCT(ISNUMBER(SEARCH(" "&amp;Settings!$L$5:$L$124&amp;" "," "&amp;M806&amp;" "))*(Settings!$K$5:$K$124="Transactional")*(Settings!$L$5:$L$124&lt;&gt;""))&gt;0,"Transactional",IF(SUMPRODUCT(ISNUMBER(SEARCH(" "&amp;Settings!$L$5:$L$124&amp;" "," "&amp;M806&amp;" "))*(Settings!$K$5:$K$124="Commercial")*(Settings!$L$5:$L$124&lt;&gt;""))&gt;0,"Commercial",IF(SUMPRODUCT(ISNUMBER(SEARCH(" "&amp;Settings!$L$5:$L$124&amp;" "," "&amp;M806&amp;" "))*(Settings!$K$5:$K$124="Informational")*(Settings!$L$5:$L$124&lt;&gt;""))&gt;0,"Informational","Unclassified")))))</f>
        <v/>
      </c>
      <c r="O806">
        <f>IF(A806="","",IF(K806&lt;&gt;"",PROPER(K806),N806))</f>
        <v/>
      </c>
      <c r="P806">
        <f>IF(A806="","",ROUND(Settings!$B$5*MIN(1,LOG10(N(C806)+1)/LOG10(Settings!$B$7+1))+Settings!$B$6*(1-MIN(100,IF(D806="",50,N(D806)))/100)+IFERROR(INDEX(Settings!$B$10:$B$14,MATCH(O806,Settings!$A$10:$A$14,0)),0),0))</f>
        <v/>
      </c>
      <c r="Q806">
        <f>IF(OR(A806="",G806=""),"",COUNTIFS($M$3:$M$1002,M806,$G$3:$G$1002,"&lt;&gt;"&amp;SUBSTITUTE(SUBSTITUTE(G806,"?","~?"),"*","~*"),$G$3:$G$1002,"?*"))</f>
        <v/>
      </c>
      <c r="R806">
        <f>IF(Q806="","",IF(Q806&gt;0,"Yes","No"))</f>
        <v/>
      </c>
      <c r="S806">
        <f>IF(G806="","",COUNTIFS($G$3:$G$1002,SUBSTITUTE(SUBSTITUTE(G806,"?","~?"),"*","~*"),$J$3:$J$1002,"Primary"))</f>
        <v/>
      </c>
      <c r="T806">
        <f>IF(S806="","",IF(S806&gt;Settings!$B$4,"Yes","No"))</f>
        <v/>
      </c>
      <c r="U806">
        <f>IF(OR(G806="",B806=""),"",IF(COUNTIFS($G$3:$G$1002,SUBSTITUTE(SUBSTITUTE(G806,"?","~?"),"*","~*"),$B$3:$B$1002,"&lt;&gt;"&amp;SUBSTITUTE(SUBSTITUTE(B806,"?","~?"),"*","~*"),$B$3:$B$1002,"?*")&gt;0,"Yes","No"))</f>
        <v/>
      </c>
      <c r="V806">
        <f>IF(OR(G806="",I806="",O806="",O806="Unclassified"),"",IFERROR(INDEX(Settings!$E$5:$H$16,MATCH(I806,Settings!$D$5:$D$16,0),MATCH(O806,Settings!$E$4:$H$4,0)),"Check"))</f>
        <v/>
      </c>
      <c r="W806">
        <f>IF(V806="","",IF(V806="No","Yes","No"))</f>
        <v/>
      </c>
      <c r="X806">
        <f>IF(OR(E806="",G806=""),"",IF(LOWER(IF(RIGHT(TRIM(E806),1)="/",LEFT(TRIM(E806),LEN(TRIM(E806))-1),TRIM(E806)))&lt;&gt;LOWER(IF(RIGHT(TRIM(G806),1)="/",LEFT(TRIM(G806),LEN(TRIM(G806))-1),TRIM(G806))),"Yes","No"))</f>
        <v/>
      </c>
      <c r="Y806">
        <f>IF(A806="","",(N(Q806)&gt;0)+(T806="Yes")+(U806="Yes")+(W806="Yes")+(X806="Yes"))</f>
        <v/>
      </c>
      <c r="Z806">
        <f>IF(A806="","",IF(G806="","Not mapped",IF(Y806=0,"OK",MID(IF(N(Q806)&gt;0,"; Cannibalisation","")&amp;IF(T806="Yes","; Too many primary keywords on URL","")&amp;IF(U806="Yes","; URL spans 2+ clusters","")&amp;IF(W806="Yes","; Intent mismatch","")&amp;IF(X806="Yes","; Ranking URL is not the target",""),3,300))))</f>
        <v/>
      </c>
      <c r="AA806">
        <f>IF(G806="","",IF(COUNTIF($G$3:G806,SUBSTITUTE(SUBSTITUTE(G806,"?","~?"),"*","~*"))=1,MAX($AA$2:AA805)+1,""))</f>
        <v/>
      </c>
      <c r="AB806">
        <f>IF(B806="","",IF(COUNTIF($B$3:B806,SUBSTITUTE(SUBSTITUTE(B806,"?","~?"),"*","~*"))=1,MAX($AB$2:AB805)+1,""))</f>
        <v/>
      </c>
    </row>
    <row r="807">
      <c r="M807">
        <f>IF(A807="","",LOWER(TRIM(SUBSTITUTE(SUBSTITUTE(A807,"?",""),"*",""))))</f>
        <v/>
      </c>
      <c r="N807">
        <f>IF(M807="","",IF(SUMPRODUCT(ISNUMBER(SEARCH(" "&amp;Settings!$L$5:$L$124&amp;" "," "&amp;M807&amp;" "))*(Settings!$K$5:$K$124="Navigational")*(Settings!$L$5:$L$124&lt;&gt;""))&gt;0,"Navigational",IF(SUMPRODUCT(ISNUMBER(SEARCH(" "&amp;Settings!$L$5:$L$124&amp;" "," "&amp;M807&amp;" "))*(Settings!$K$5:$K$124="Transactional")*(Settings!$L$5:$L$124&lt;&gt;""))&gt;0,"Transactional",IF(SUMPRODUCT(ISNUMBER(SEARCH(" "&amp;Settings!$L$5:$L$124&amp;" "," "&amp;M807&amp;" "))*(Settings!$K$5:$K$124="Commercial")*(Settings!$L$5:$L$124&lt;&gt;""))&gt;0,"Commercial",IF(SUMPRODUCT(ISNUMBER(SEARCH(" "&amp;Settings!$L$5:$L$124&amp;" "," "&amp;M807&amp;" "))*(Settings!$K$5:$K$124="Informational")*(Settings!$L$5:$L$124&lt;&gt;""))&gt;0,"Informational","Unclassified")))))</f>
        <v/>
      </c>
      <c r="O807">
        <f>IF(A807="","",IF(K807&lt;&gt;"",PROPER(K807),N807))</f>
        <v/>
      </c>
      <c r="P807">
        <f>IF(A807="","",ROUND(Settings!$B$5*MIN(1,LOG10(N(C807)+1)/LOG10(Settings!$B$7+1))+Settings!$B$6*(1-MIN(100,IF(D807="",50,N(D807)))/100)+IFERROR(INDEX(Settings!$B$10:$B$14,MATCH(O807,Settings!$A$10:$A$14,0)),0),0))</f>
        <v/>
      </c>
      <c r="Q807">
        <f>IF(OR(A807="",G807=""),"",COUNTIFS($M$3:$M$1002,M807,$G$3:$G$1002,"&lt;&gt;"&amp;SUBSTITUTE(SUBSTITUTE(G807,"?","~?"),"*","~*"),$G$3:$G$1002,"?*"))</f>
        <v/>
      </c>
      <c r="R807">
        <f>IF(Q807="","",IF(Q807&gt;0,"Yes","No"))</f>
        <v/>
      </c>
      <c r="S807">
        <f>IF(G807="","",COUNTIFS($G$3:$G$1002,SUBSTITUTE(SUBSTITUTE(G807,"?","~?"),"*","~*"),$J$3:$J$1002,"Primary"))</f>
        <v/>
      </c>
      <c r="T807">
        <f>IF(S807="","",IF(S807&gt;Settings!$B$4,"Yes","No"))</f>
        <v/>
      </c>
      <c r="U807">
        <f>IF(OR(G807="",B807=""),"",IF(COUNTIFS($G$3:$G$1002,SUBSTITUTE(SUBSTITUTE(G807,"?","~?"),"*","~*"),$B$3:$B$1002,"&lt;&gt;"&amp;SUBSTITUTE(SUBSTITUTE(B807,"?","~?"),"*","~*"),$B$3:$B$1002,"?*")&gt;0,"Yes","No"))</f>
        <v/>
      </c>
      <c r="V807">
        <f>IF(OR(G807="",I807="",O807="",O807="Unclassified"),"",IFERROR(INDEX(Settings!$E$5:$H$16,MATCH(I807,Settings!$D$5:$D$16,0),MATCH(O807,Settings!$E$4:$H$4,0)),"Check"))</f>
        <v/>
      </c>
      <c r="W807">
        <f>IF(V807="","",IF(V807="No","Yes","No"))</f>
        <v/>
      </c>
      <c r="X807">
        <f>IF(OR(E807="",G807=""),"",IF(LOWER(IF(RIGHT(TRIM(E807),1)="/",LEFT(TRIM(E807),LEN(TRIM(E807))-1),TRIM(E807)))&lt;&gt;LOWER(IF(RIGHT(TRIM(G807),1)="/",LEFT(TRIM(G807),LEN(TRIM(G807))-1),TRIM(G807))),"Yes","No"))</f>
        <v/>
      </c>
      <c r="Y807">
        <f>IF(A807="","",(N(Q807)&gt;0)+(T807="Yes")+(U807="Yes")+(W807="Yes")+(X807="Yes"))</f>
        <v/>
      </c>
      <c r="Z807">
        <f>IF(A807="","",IF(G807="","Not mapped",IF(Y807=0,"OK",MID(IF(N(Q807)&gt;0,"; Cannibalisation","")&amp;IF(T807="Yes","; Too many primary keywords on URL","")&amp;IF(U807="Yes","; URL spans 2+ clusters","")&amp;IF(W807="Yes","; Intent mismatch","")&amp;IF(X807="Yes","; Ranking URL is not the target",""),3,300))))</f>
        <v/>
      </c>
      <c r="AA807">
        <f>IF(G807="","",IF(COUNTIF($G$3:G807,SUBSTITUTE(SUBSTITUTE(G807,"?","~?"),"*","~*"))=1,MAX($AA$2:AA806)+1,""))</f>
        <v/>
      </c>
      <c r="AB807">
        <f>IF(B807="","",IF(COUNTIF($B$3:B807,SUBSTITUTE(SUBSTITUTE(B807,"?","~?"),"*","~*"))=1,MAX($AB$2:AB806)+1,""))</f>
        <v/>
      </c>
    </row>
    <row r="808">
      <c r="M808">
        <f>IF(A808="","",LOWER(TRIM(SUBSTITUTE(SUBSTITUTE(A808,"?",""),"*",""))))</f>
        <v/>
      </c>
      <c r="N808">
        <f>IF(M808="","",IF(SUMPRODUCT(ISNUMBER(SEARCH(" "&amp;Settings!$L$5:$L$124&amp;" "," "&amp;M808&amp;" "))*(Settings!$K$5:$K$124="Navigational")*(Settings!$L$5:$L$124&lt;&gt;""))&gt;0,"Navigational",IF(SUMPRODUCT(ISNUMBER(SEARCH(" "&amp;Settings!$L$5:$L$124&amp;" "," "&amp;M808&amp;" "))*(Settings!$K$5:$K$124="Transactional")*(Settings!$L$5:$L$124&lt;&gt;""))&gt;0,"Transactional",IF(SUMPRODUCT(ISNUMBER(SEARCH(" "&amp;Settings!$L$5:$L$124&amp;" "," "&amp;M808&amp;" "))*(Settings!$K$5:$K$124="Commercial")*(Settings!$L$5:$L$124&lt;&gt;""))&gt;0,"Commercial",IF(SUMPRODUCT(ISNUMBER(SEARCH(" "&amp;Settings!$L$5:$L$124&amp;" "," "&amp;M808&amp;" "))*(Settings!$K$5:$K$124="Informational")*(Settings!$L$5:$L$124&lt;&gt;""))&gt;0,"Informational","Unclassified")))))</f>
        <v/>
      </c>
      <c r="O808">
        <f>IF(A808="","",IF(K808&lt;&gt;"",PROPER(K808),N808))</f>
        <v/>
      </c>
      <c r="P808">
        <f>IF(A808="","",ROUND(Settings!$B$5*MIN(1,LOG10(N(C808)+1)/LOG10(Settings!$B$7+1))+Settings!$B$6*(1-MIN(100,IF(D808="",50,N(D808)))/100)+IFERROR(INDEX(Settings!$B$10:$B$14,MATCH(O808,Settings!$A$10:$A$14,0)),0),0))</f>
        <v/>
      </c>
      <c r="Q808">
        <f>IF(OR(A808="",G808=""),"",COUNTIFS($M$3:$M$1002,M808,$G$3:$G$1002,"&lt;&gt;"&amp;SUBSTITUTE(SUBSTITUTE(G808,"?","~?"),"*","~*"),$G$3:$G$1002,"?*"))</f>
        <v/>
      </c>
      <c r="R808">
        <f>IF(Q808="","",IF(Q808&gt;0,"Yes","No"))</f>
        <v/>
      </c>
      <c r="S808">
        <f>IF(G808="","",COUNTIFS($G$3:$G$1002,SUBSTITUTE(SUBSTITUTE(G808,"?","~?"),"*","~*"),$J$3:$J$1002,"Primary"))</f>
        <v/>
      </c>
      <c r="T808">
        <f>IF(S808="","",IF(S808&gt;Settings!$B$4,"Yes","No"))</f>
        <v/>
      </c>
      <c r="U808">
        <f>IF(OR(G808="",B808=""),"",IF(COUNTIFS($G$3:$G$1002,SUBSTITUTE(SUBSTITUTE(G808,"?","~?"),"*","~*"),$B$3:$B$1002,"&lt;&gt;"&amp;SUBSTITUTE(SUBSTITUTE(B808,"?","~?"),"*","~*"),$B$3:$B$1002,"?*")&gt;0,"Yes","No"))</f>
        <v/>
      </c>
      <c r="V808">
        <f>IF(OR(G808="",I808="",O808="",O808="Unclassified"),"",IFERROR(INDEX(Settings!$E$5:$H$16,MATCH(I808,Settings!$D$5:$D$16,0),MATCH(O808,Settings!$E$4:$H$4,0)),"Check"))</f>
        <v/>
      </c>
      <c r="W808">
        <f>IF(V808="","",IF(V808="No","Yes","No"))</f>
        <v/>
      </c>
      <c r="X808">
        <f>IF(OR(E808="",G808=""),"",IF(LOWER(IF(RIGHT(TRIM(E808),1)="/",LEFT(TRIM(E808),LEN(TRIM(E808))-1),TRIM(E808)))&lt;&gt;LOWER(IF(RIGHT(TRIM(G808),1)="/",LEFT(TRIM(G808),LEN(TRIM(G808))-1),TRIM(G808))),"Yes","No"))</f>
        <v/>
      </c>
      <c r="Y808">
        <f>IF(A808="","",(N(Q808)&gt;0)+(T808="Yes")+(U808="Yes")+(W808="Yes")+(X808="Yes"))</f>
        <v/>
      </c>
      <c r="Z808">
        <f>IF(A808="","",IF(G808="","Not mapped",IF(Y808=0,"OK",MID(IF(N(Q808)&gt;0,"; Cannibalisation","")&amp;IF(T808="Yes","; Too many primary keywords on URL","")&amp;IF(U808="Yes","; URL spans 2+ clusters","")&amp;IF(W808="Yes","; Intent mismatch","")&amp;IF(X808="Yes","; Ranking URL is not the target",""),3,300))))</f>
        <v/>
      </c>
      <c r="AA808">
        <f>IF(G808="","",IF(COUNTIF($G$3:G808,SUBSTITUTE(SUBSTITUTE(G808,"?","~?"),"*","~*"))=1,MAX($AA$2:AA807)+1,""))</f>
        <v/>
      </c>
      <c r="AB808">
        <f>IF(B808="","",IF(COUNTIF($B$3:B808,SUBSTITUTE(SUBSTITUTE(B808,"?","~?"),"*","~*"))=1,MAX($AB$2:AB807)+1,""))</f>
        <v/>
      </c>
    </row>
    <row r="809">
      <c r="M809">
        <f>IF(A809="","",LOWER(TRIM(SUBSTITUTE(SUBSTITUTE(A809,"?",""),"*",""))))</f>
        <v/>
      </c>
      <c r="N809">
        <f>IF(M809="","",IF(SUMPRODUCT(ISNUMBER(SEARCH(" "&amp;Settings!$L$5:$L$124&amp;" "," "&amp;M809&amp;" "))*(Settings!$K$5:$K$124="Navigational")*(Settings!$L$5:$L$124&lt;&gt;""))&gt;0,"Navigational",IF(SUMPRODUCT(ISNUMBER(SEARCH(" "&amp;Settings!$L$5:$L$124&amp;" "," "&amp;M809&amp;" "))*(Settings!$K$5:$K$124="Transactional")*(Settings!$L$5:$L$124&lt;&gt;""))&gt;0,"Transactional",IF(SUMPRODUCT(ISNUMBER(SEARCH(" "&amp;Settings!$L$5:$L$124&amp;" "," "&amp;M809&amp;" "))*(Settings!$K$5:$K$124="Commercial")*(Settings!$L$5:$L$124&lt;&gt;""))&gt;0,"Commercial",IF(SUMPRODUCT(ISNUMBER(SEARCH(" "&amp;Settings!$L$5:$L$124&amp;" "," "&amp;M809&amp;" "))*(Settings!$K$5:$K$124="Informational")*(Settings!$L$5:$L$124&lt;&gt;""))&gt;0,"Informational","Unclassified")))))</f>
        <v/>
      </c>
      <c r="O809">
        <f>IF(A809="","",IF(K809&lt;&gt;"",PROPER(K809),N809))</f>
        <v/>
      </c>
      <c r="P809">
        <f>IF(A809="","",ROUND(Settings!$B$5*MIN(1,LOG10(N(C809)+1)/LOG10(Settings!$B$7+1))+Settings!$B$6*(1-MIN(100,IF(D809="",50,N(D809)))/100)+IFERROR(INDEX(Settings!$B$10:$B$14,MATCH(O809,Settings!$A$10:$A$14,0)),0),0))</f>
        <v/>
      </c>
      <c r="Q809">
        <f>IF(OR(A809="",G809=""),"",COUNTIFS($M$3:$M$1002,M809,$G$3:$G$1002,"&lt;&gt;"&amp;SUBSTITUTE(SUBSTITUTE(G809,"?","~?"),"*","~*"),$G$3:$G$1002,"?*"))</f>
        <v/>
      </c>
      <c r="R809">
        <f>IF(Q809="","",IF(Q809&gt;0,"Yes","No"))</f>
        <v/>
      </c>
      <c r="S809">
        <f>IF(G809="","",COUNTIFS($G$3:$G$1002,SUBSTITUTE(SUBSTITUTE(G809,"?","~?"),"*","~*"),$J$3:$J$1002,"Primary"))</f>
        <v/>
      </c>
      <c r="T809">
        <f>IF(S809="","",IF(S809&gt;Settings!$B$4,"Yes","No"))</f>
        <v/>
      </c>
      <c r="U809">
        <f>IF(OR(G809="",B809=""),"",IF(COUNTIFS($G$3:$G$1002,SUBSTITUTE(SUBSTITUTE(G809,"?","~?"),"*","~*"),$B$3:$B$1002,"&lt;&gt;"&amp;SUBSTITUTE(SUBSTITUTE(B809,"?","~?"),"*","~*"),$B$3:$B$1002,"?*")&gt;0,"Yes","No"))</f>
        <v/>
      </c>
      <c r="V809">
        <f>IF(OR(G809="",I809="",O809="",O809="Unclassified"),"",IFERROR(INDEX(Settings!$E$5:$H$16,MATCH(I809,Settings!$D$5:$D$16,0),MATCH(O809,Settings!$E$4:$H$4,0)),"Check"))</f>
        <v/>
      </c>
      <c r="W809">
        <f>IF(V809="","",IF(V809="No","Yes","No"))</f>
        <v/>
      </c>
      <c r="X809">
        <f>IF(OR(E809="",G809=""),"",IF(LOWER(IF(RIGHT(TRIM(E809),1)="/",LEFT(TRIM(E809),LEN(TRIM(E809))-1),TRIM(E809)))&lt;&gt;LOWER(IF(RIGHT(TRIM(G809),1)="/",LEFT(TRIM(G809),LEN(TRIM(G809))-1),TRIM(G809))),"Yes","No"))</f>
        <v/>
      </c>
      <c r="Y809">
        <f>IF(A809="","",(N(Q809)&gt;0)+(T809="Yes")+(U809="Yes")+(W809="Yes")+(X809="Yes"))</f>
        <v/>
      </c>
      <c r="Z809">
        <f>IF(A809="","",IF(G809="","Not mapped",IF(Y809=0,"OK",MID(IF(N(Q809)&gt;0,"; Cannibalisation","")&amp;IF(T809="Yes","; Too many primary keywords on URL","")&amp;IF(U809="Yes","; URL spans 2+ clusters","")&amp;IF(W809="Yes","; Intent mismatch","")&amp;IF(X809="Yes","; Ranking URL is not the target",""),3,300))))</f>
        <v/>
      </c>
      <c r="AA809">
        <f>IF(G809="","",IF(COUNTIF($G$3:G809,SUBSTITUTE(SUBSTITUTE(G809,"?","~?"),"*","~*"))=1,MAX($AA$2:AA808)+1,""))</f>
        <v/>
      </c>
      <c r="AB809">
        <f>IF(B809="","",IF(COUNTIF($B$3:B809,SUBSTITUTE(SUBSTITUTE(B809,"?","~?"),"*","~*"))=1,MAX($AB$2:AB808)+1,""))</f>
        <v/>
      </c>
    </row>
    <row r="810">
      <c r="M810">
        <f>IF(A810="","",LOWER(TRIM(SUBSTITUTE(SUBSTITUTE(A810,"?",""),"*",""))))</f>
        <v/>
      </c>
      <c r="N810">
        <f>IF(M810="","",IF(SUMPRODUCT(ISNUMBER(SEARCH(" "&amp;Settings!$L$5:$L$124&amp;" "," "&amp;M810&amp;" "))*(Settings!$K$5:$K$124="Navigational")*(Settings!$L$5:$L$124&lt;&gt;""))&gt;0,"Navigational",IF(SUMPRODUCT(ISNUMBER(SEARCH(" "&amp;Settings!$L$5:$L$124&amp;" "," "&amp;M810&amp;" "))*(Settings!$K$5:$K$124="Transactional")*(Settings!$L$5:$L$124&lt;&gt;""))&gt;0,"Transactional",IF(SUMPRODUCT(ISNUMBER(SEARCH(" "&amp;Settings!$L$5:$L$124&amp;" "," "&amp;M810&amp;" "))*(Settings!$K$5:$K$124="Commercial")*(Settings!$L$5:$L$124&lt;&gt;""))&gt;0,"Commercial",IF(SUMPRODUCT(ISNUMBER(SEARCH(" "&amp;Settings!$L$5:$L$124&amp;" "," "&amp;M810&amp;" "))*(Settings!$K$5:$K$124="Informational")*(Settings!$L$5:$L$124&lt;&gt;""))&gt;0,"Informational","Unclassified")))))</f>
        <v/>
      </c>
      <c r="O810">
        <f>IF(A810="","",IF(K810&lt;&gt;"",PROPER(K810),N810))</f>
        <v/>
      </c>
      <c r="P810">
        <f>IF(A810="","",ROUND(Settings!$B$5*MIN(1,LOG10(N(C810)+1)/LOG10(Settings!$B$7+1))+Settings!$B$6*(1-MIN(100,IF(D810="",50,N(D810)))/100)+IFERROR(INDEX(Settings!$B$10:$B$14,MATCH(O810,Settings!$A$10:$A$14,0)),0),0))</f>
        <v/>
      </c>
      <c r="Q810">
        <f>IF(OR(A810="",G810=""),"",COUNTIFS($M$3:$M$1002,M810,$G$3:$G$1002,"&lt;&gt;"&amp;SUBSTITUTE(SUBSTITUTE(G810,"?","~?"),"*","~*"),$G$3:$G$1002,"?*"))</f>
        <v/>
      </c>
      <c r="R810">
        <f>IF(Q810="","",IF(Q810&gt;0,"Yes","No"))</f>
        <v/>
      </c>
      <c r="S810">
        <f>IF(G810="","",COUNTIFS($G$3:$G$1002,SUBSTITUTE(SUBSTITUTE(G810,"?","~?"),"*","~*"),$J$3:$J$1002,"Primary"))</f>
        <v/>
      </c>
      <c r="T810">
        <f>IF(S810="","",IF(S810&gt;Settings!$B$4,"Yes","No"))</f>
        <v/>
      </c>
      <c r="U810">
        <f>IF(OR(G810="",B810=""),"",IF(COUNTIFS($G$3:$G$1002,SUBSTITUTE(SUBSTITUTE(G810,"?","~?"),"*","~*"),$B$3:$B$1002,"&lt;&gt;"&amp;SUBSTITUTE(SUBSTITUTE(B810,"?","~?"),"*","~*"),$B$3:$B$1002,"?*")&gt;0,"Yes","No"))</f>
        <v/>
      </c>
      <c r="V810">
        <f>IF(OR(G810="",I810="",O810="",O810="Unclassified"),"",IFERROR(INDEX(Settings!$E$5:$H$16,MATCH(I810,Settings!$D$5:$D$16,0),MATCH(O810,Settings!$E$4:$H$4,0)),"Check"))</f>
        <v/>
      </c>
      <c r="W810">
        <f>IF(V810="","",IF(V810="No","Yes","No"))</f>
        <v/>
      </c>
      <c r="X810">
        <f>IF(OR(E810="",G810=""),"",IF(LOWER(IF(RIGHT(TRIM(E810),1)="/",LEFT(TRIM(E810),LEN(TRIM(E810))-1),TRIM(E810)))&lt;&gt;LOWER(IF(RIGHT(TRIM(G810),1)="/",LEFT(TRIM(G810),LEN(TRIM(G810))-1),TRIM(G810))),"Yes","No"))</f>
        <v/>
      </c>
      <c r="Y810">
        <f>IF(A810="","",(N(Q810)&gt;0)+(T810="Yes")+(U810="Yes")+(W810="Yes")+(X810="Yes"))</f>
        <v/>
      </c>
      <c r="Z810">
        <f>IF(A810="","",IF(G810="","Not mapped",IF(Y810=0,"OK",MID(IF(N(Q810)&gt;0,"; Cannibalisation","")&amp;IF(T810="Yes","; Too many primary keywords on URL","")&amp;IF(U810="Yes","; URL spans 2+ clusters","")&amp;IF(W810="Yes","; Intent mismatch","")&amp;IF(X810="Yes","; Ranking URL is not the target",""),3,300))))</f>
        <v/>
      </c>
      <c r="AA810">
        <f>IF(G810="","",IF(COUNTIF($G$3:G810,SUBSTITUTE(SUBSTITUTE(G810,"?","~?"),"*","~*"))=1,MAX($AA$2:AA809)+1,""))</f>
        <v/>
      </c>
      <c r="AB810">
        <f>IF(B810="","",IF(COUNTIF($B$3:B810,SUBSTITUTE(SUBSTITUTE(B810,"?","~?"),"*","~*"))=1,MAX($AB$2:AB809)+1,""))</f>
        <v/>
      </c>
    </row>
    <row r="811">
      <c r="M811">
        <f>IF(A811="","",LOWER(TRIM(SUBSTITUTE(SUBSTITUTE(A811,"?",""),"*",""))))</f>
        <v/>
      </c>
      <c r="N811">
        <f>IF(M811="","",IF(SUMPRODUCT(ISNUMBER(SEARCH(" "&amp;Settings!$L$5:$L$124&amp;" "," "&amp;M811&amp;" "))*(Settings!$K$5:$K$124="Navigational")*(Settings!$L$5:$L$124&lt;&gt;""))&gt;0,"Navigational",IF(SUMPRODUCT(ISNUMBER(SEARCH(" "&amp;Settings!$L$5:$L$124&amp;" "," "&amp;M811&amp;" "))*(Settings!$K$5:$K$124="Transactional")*(Settings!$L$5:$L$124&lt;&gt;""))&gt;0,"Transactional",IF(SUMPRODUCT(ISNUMBER(SEARCH(" "&amp;Settings!$L$5:$L$124&amp;" "," "&amp;M811&amp;" "))*(Settings!$K$5:$K$124="Commercial")*(Settings!$L$5:$L$124&lt;&gt;""))&gt;0,"Commercial",IF(SUMPRODUCT(ISNUMBER(SEARCH(" "&amp;Settings!$L$5:$L$124&amp;" "," "&amp;M811&amp;" "))*(Settings!$K$5:$K$124="Informational")*(Settings!$L$5:$L$124&lt;&gt;""))&gt;0,"Informational","Unclassified")))))</f>
        <v/>
      </c>
      <c r="O811">
        <f>IF(A811="","",IF(K811&lt;&gt;"",PROPER(K811),N811))</f>
        <v/>
      </c>
      <c r="P811">
        <f>IF(A811="","",ROUND(Settings!$B$5*MIN(1,LOG10(N(C811)+1)/LOG10(Settings!$B$7+1))+Settings!$B$6*(1-MIN(100,IF(D811="",50,N(D811)))/100)+IFERROR(INDEX(Settings!$B$10:$B$14,MATCH(O811,Settings!$A$10:$A$14,0)),0),0))</f>
        <v/>
      </c>
      <c r="Q811">
        <f>IF(OR(A811="",G811=""),"",COUNTIFS($M$3:$M$1002,M811,$G$3:$G$1002,"&lt;&gt;"&amp;SUBSTITUTE(SUBSTITUTE(G811,"?","~?"),"*","~*"),$G$3:$G$1002,"?*"))</f>
        <v/>
      </c>
      <c r="R811">
        <f>IF(Q811="","",IF(Q811&gt;0,"Yes","No"))</f>
        <v/>
      </c>
      <c r="S811">
        <f>IF(G811="","",COUNTIFS($G$3:$G$1002,SUBSTITUTE(SUBSTITUTE(G811,"?","~?"),"*","~*"),$J$3:$J$1002,"Primary"))</f>
        <v/>
      </c>
      <c r="T811">
        <f>IF(S811="","",IF(S811&gt;Settings!$B$4,"Yes","No"))</f>
        <v/>
      </c>
      <c r="U811">
        <f>IF(OR(G811="",B811=""),"",IF(COUNTIFS($G$3:$G$1002,SUBSTITUTE(SUBSTITUTE(G811,"?","~?"),"*","~*"),$B$3:$B$1002,"&lt;&gt;"&amp;SUBSTITUTE(SUBSTITUTE(B811,"?","~?"),"*","~*"),$B$3:$B$1002,"?*")&gt;0,"Yes","No"))</f>
        <v/>
      </c>
      <c r="V811">
        <f>IF(OR(G811="",I811="",O811="",O811="Unclassified"),"",IFERROR(INDEX(Settings!$E$5:$H$16,MATCH(I811,Settings!$D$5:$D$16,0),MATCH(O811,Settings!$E$4:$H$4,0)),"Check"))</f>
        <v/>
      </c>
      <c r="W811">
        <f>IF(V811="","",IF(V811="No","Yes","No"))</f>
        <v/>
      </c>
      <c r="X811">
        <f>IF(OR(E811="",G811=""),"",IF(LOWER(IF(RIGHT(TRIM(E811),1)="/",LEFT(TRIM(E811),LEN(TRIM(E811))-1),TRIM(E811)))&lt;&gt;LOWER(IF(RIGHT(TRIM(G811),1)="/",LEFT(TRIM(G811),LEN(TRIM(G811))-1),TRIM(G811))),"Yes","No"))</f>
        <v/>
      </c>
      <c r="Y811">
        <f>IF(A811="","",(N(Q811)&gt;0)+(T811="Yes")+(U811="Yes")+(W811="Yes")+(X811="Yes"))</f>
        <v/>
      </c>
      <c r="Z811">
        <f>IF(A811="","",IF(G811="","Not mapped",IF(Y811=0,"OK",MID(IF(N(Q811)&gt;0,"; Cannibalisation","")&amp;IF(T811="Yes","; Too many primary keywords on URL","")&amp;IF(U811="Yes","; URL spans 2+ clusters","")&amp;IF(W811="Yes","; Intent mismatch","")&amp;IF(X811="Yes","; Ranking URL is not the target",""),3,300))))</f>
        <v/>
      </c>
      <c r="AA811">
        <f>IF(G811="","",IF(COUNTIF($G$3:G811,SUBSTITUTE(SUBSTITUTE(G811,"?","~?"),"*","~*"))=1,MAX($AA$2:AA810)+1,""))</f>
        <v/>
      </c>
      <c r="AB811">
        <f>IF(B811="","",IF(COUNTIF($B$3:B811,SUBSTITUTE(SUBSTITUTE(B811,"?","~?"),"*","~*"))=1,MAX($AB$2:AB810)+1,""))</f>
        <v/>
      </c>
    </row>
    <row r="812">
      <c r="M812">
        <f>IF(A812="","",LOWER(TRIM(SUBSTITUTE(SUBSTITUTE(A812,"?",""),"*",""))))</f>
        <v/>
      </c>
      <c r="N812">
        <f>IF(M812="","",IF(SUMPRODUCT(ISNUMBER(SEARCH(" "&amp;Settings!$L$5:$L$124&amp;" "," "&amp;M812&amp;" "))*(Settings!$K$5:$K$124="Navigational")*(Settings!$L$5:$L$124&lt;&gt;""))&gt;0,"Navigational",IF(SUMPRODUCT(ISNUMBER(SEARCH(" "&amp;Settings!$L$5:$L$124&amp;" "," "&amp;M812&amp;" "))*(Settings!$K$5:$K$124="Transactional")*(Settings!$L$5:$L$124&lt;&gt;""))&gt;0,"Transactional",IF(SUMPRODUCT(ISNUMBER(SEARCH(" "&amp;Settings!$L$5:$L$124&amp;" "," "&amp;M812&amp;" "))*(Settings!$K$5:$K$124="Commercial")*(Settings!$L$5:$L$124&lt;&gt;""))&gt;0,"Commercial",IF(SUMPRODUCT(ISNUMBER(SEARCH(" "&amp;Settings!$L$5:$L$124&amp;" "," "&amp;M812&amp;" "))*(Settings!$K$5:$K$124="Informational")*(Settings!$L$5:$L$124&lt;&gt;""))&gt;0,"Informational","Unclassified")))))</f>
        <v/>
      </c>
      <c r="O812">
        <f>IF(A812="","",IF(K812&lt;&gt;"",PROPER(K812),N812))</f>
        <v/>
      </c>
      <c r="P812">
        <f>IF(A812="","",ROUND(Settings!$B$5*MIN(1,LOG10(N(C812)+1)/LOG10(Settings!$B$7+1))+Settings!$B$6*(1-MIN(100,IF(D812="",50,N(D812)))/100)+IFERROR(INDEX(Settings!$B$10:$B$14,MATCH(O812,Settings!$A$10:$A$14,0)),0),0))</f>
        <v/>
      </c>
      <c r="Q812">
        <f>IF(OR(A812="",G812=""),"",COUNTIFS($M$3:$M$1002,M812,$G$3:$G$1002,"&lt;&gt;"&amp;SUBSTITUTE(SUBSTITUTE(G812,"?","~?"),"*","~*"),$G$3:$G$1002,"?*"))</f>
        <v/>
      </c>
      <c r="R812">
        <f>IF(Q812="","",IF(Q812&gt;0,"Yes","No"))</f>
        <v/>
      </c>
      <c r="S812">
        <f>IF(G812="","",COUNTIFS($G$3:$G$1002,SUBSTITUTE(SUBSTITUTE(G812,"?","~?"),"*","~*"),$J$3:$J$1002,"Primary"))</f>
        <v/>
      </c>
      <c r="T812">
        <f>IF(S812="","",IF(S812&gt;Settings!$B$4,"Yes","No"))</f>
        <v/>
      </c>
      <c r="U812">
        <f>IF(OR(G812="",B812=""),"",IF(COUNTIFS($G$3:$G$1002,SUBSTITUTE(SUBSTITUTE(G812,"?","~?"),"*","~*"),$B$3:$B$1002,"&lt;&gt;"&amp;SUBSTITUTE(SUBSTITUTE(B812,"?","~?"),"*","~*"),$B$3:$B$1002,"?*")&gt;0,"Yes","No"))</f>
        <v/>
      </c>
      <c r="V812">
        <f>IF(OR(G812="",I812="",O812="",O812="Unclassified"),"",IFERROR(INDEX(Settings!$E$5:$H$16,MATCH(I812,Settings!$D$5:$D$16,0),MATCH(O812,Settings!$E$4:$H$4,0)),"Check"))</f>
        <v/>
      </c>
      <c r="W812">
        <f>IF(V812="","",IF(V812="No","Yes","No"))</f>
        <v/>
      </c>
      <c r="X812">
        <f>IF(OR(E812="",G812=""),"",IF(LOWER(IF(RIGHT(TRIM(E812),1)="/",LEFT(TRIM(E812),LEN(TRIM(E812))-1),TRIM(E812)))&lt;&gt;LOWER(IF(RIGHT(TRIM(G812),1)="/",LEFT(TRIM(G812),LEN(TRIM(G812))-1),TRIM(G812))),"Yes","No"))</f>
        <v/>
      </c>
      <c r="Y812">
        <f>IF(A812="","",(N(Q812)&gt;0)+(T812="Yes")+(U812="Yes")+(W812="Yes")+(X812="Yes"))</f>
        <v/>
      </c>
      <c r="Z812">
        <f>IF(A812="","",IF(G812="","Not mapped",IF(Y812=0,"OK",MID(IF(N(Q812)&gt;0,"; Cannibalisation","")&amp;IF(T812="Yes","; Too many primary keywords on URL","")&amp;IF(U812="Yes","; URL spans 2+ clusters","")&amp;IF(W812="Yes","; Intent mismatch","")&amp;IF(X812="Yes","; Ranking URL is not the target",""),3,300))))</f>
        <v/>
      </c>
      <c r="AA812">
        <f>IF(G812="","",IF(COUNTIF($G$3:G812,SUBSTITUTE(SUBSTITUTE(G812,"?","~?"),"*","~*"))=1,MAX($AA$2:AA811)+1,""))</f>
        <v/>
      </c>
      <c r="AB812">
        <f>IF(B812="","",IF(COUNTIF($B$3:B812,SUBSTITUTE(SUBSTITUTE(B812,"?","~?"),"*","~*"))=1,MAX($AB$2:AB811)+1,""))</f>
        <v/>
      </c>
    </row>
    <row r="813">
      <c r="M813">
        <f>IF(A813="","",LOWER(TRIM(SUBSTITUTE(SUBSTITUTE(A813,"?",""),"*",""))))</f>
        <v/>
      </c>
      <c r="N813">
        <f>IF(M813="","",IF(SUMPRODUCT(ISNUMBER(SEARCH(" "&amp;Settings!$L$5:$L$124&amp;" "," "&amp;M813&amp;" "))*(Settings!$K$5:$K$124="Navigational")*(Settings!$L$5:$L$124&lt;&gt;""))&gt;0,"Navigational",IF(SUMPRODUCT(ISNUMBER(SEARCH(" "&amp;Settings!$L$5:$L$124&amp;" "," "&amp;M813&amp;" "))*(Settings!$K$5:$K$124="Transactional")*(Settings!$L$5:$L$124&lt;&gt;""))&gt;0,"Transactional",IF(SUMPRODUCT(ISNUMBER(SEARCH(" "&amp;Settings!$L$5:$L$124&amp;" "," "&amp;M813&amp;" "))*(Settings!$K$5:$K$124="Commercial")*(Settings!$L$5:$L$124&lt;&gt;""))&gt;0,"Commercial",IF(SUMPRODUCT(ISNUMBER(SEARCH(" "&amp;Settings!$L$5:$L$124&amp;" "," "&amp;M813&amp;" "))*(Settings!$K$5:$K$124="Informational")*(Settings!$L$5:$L$124&lt;&gt;""))&gt;0,"Informational","Unclassified")))))</f>
        <v/>
      </c>
      <c r="O813">
        <f>IF(A813="","",IF(K813&lt;&gt;"",PROPER(K813),N813))</f>
        <v/>
      </c>
      <c r="P813">
        <f>IF(A813="","",ROUND(Settings!$B$5*MIN(1,LOG10(N(C813)+1)/LOG10(Settings!$B$7+1))+Settings!$B$6*(1-MIN(100,IF(D813="",50,N(D813)))/100)+IFERROR(INDEX(Settings!$B$10:$B$14,MATCH(O813,Settings!$A$10:$A$14,0)),0),0))</f>
        <v/>
      </c>
      <c r="Q813">
        <f>IF(OR(A813="",G813=""),"",COUNTIFS($M$3:$M$1002,M813,$G$3:$G$1002,"&lt;&gt;"&amp;SUBSTITUTE(SUBSTITUTE(G813,"?","~?"),"*","~*"),$G$3:$G$1002,"?*"))</f>
        <v/>
      </c>
      <c r="R813">
        <f>IF(Q813="","",IF(Q813&gt;0,"Yes","No"))</f>
        <v/>
      </c>
      <c r="S813">
        <f>IF(G813="","",COUNTIFS($G$3:$G$1002,SUBSTITUTE(SUBSTITUTE(G813,"?","~?"),"*","~*"),$J$3:$J$1002,"Primary"))</f>
        <v/>
      </c>
      <c r="T813">
        <f>IF(S813="","",IF(S813&gt;Settings!$B$4,"Yes","No"))</f>
        <v/>
      </c>
      <c r="U813">
        <f>IF(OR(G813="",B813=""),"",IF(COUNTIFS($G$3:$G$1002,SUBSTITUTE(SUBSTITUTE(G813,"?","~?"),"*","~*"),$B$3:$B$1002,"&lt;&gt;"&amp;SUBSTITUTE(SUBSTITUTE(B813,"?","~?"),"*","~*"),$B$3:$B$1002,"?*")&gt;0,"Yes","No"))</f>
        <v/>
      </c>
      <c r="V813">
        <f>IF(OR(G813="",I813="",O813="",O813="Unclassified"),"",IFERROR(INDEX(Settings!$E$5:$H$16,MATCH(I813,Settings!$D$5:$D$16,0),MATCH(O813,Settings!$E$4:$H$4,0)),"Check"))</f>
        <v/>
      </c>
      <c r="W813">
        <f>IF(V813="","",IF(V813="No","Yes","No"))</f>
        <v/>
      </c>
      <c r="X813">
        <f>IF(OR(E813="",G813=""),"",IF(LOWER(IF(RIGHT(TRIM(E813),1)="/",LEFT(TRIM(E813),LEN(TRIM(E813))-1),TRIM(E813)))&lt;&gt;LOWER(IF(RIGHT(TRIM(G813),1)="/",LEFT(TRIM(G813),LEN(TRIM(G813))-1),TRIM(G813))),"Yes","No"))</f>
        <v/>
      </c>
      <c r="Y813">
        <f>IF(A813="","",(N(Q813)&gt;0)+(T813="Yes")+(U813="Yes")+(W813="Yes")+(X813="Yes"))</f>
        <v/>
      </c>
      <c r="Z813">
        <f>IF(A813="","",IF(G813="","Not mapped",IF(Y813=0,"OK",MID(IF(N(Q813)&gt;0,"; Cannibalisation","")&amp;IF(T813="Yes","; Too many primary keywords on URL","")&amp;IF(U813="Yes","; URL spans 2+ clusters","")&amp;IF(W813="Yes","; Intent mismatch","")&amp;IF(X813="Yes","; Ranking URL is not the target",""),3,300))))</f>
        <v/>
      </c>
      <c r="AA813">
        <f>IF(G813="","",IF(COUNTIF($G$3:G813,SUBSTITUTE(SUBSTITUTE(G813,"?","~?"),"*","~*"))=1,MAX($AA$2:AA812)+1,""))</f>
        <v/>
      </c>
      <c r="AB813">
        <f>IF(B813="","",IF(COUNTIF($B$3:B813,SUBSTITUTE(SUBSTITUTE(B813,"?","~?"),"*","~*"))=1,MAX($AB$2:AB812)+1,""))</f>
        <v/>
      </c>
    </row>
    <row r="814">
      <c r="M814">
        <f>IF(A814="","",LOWER(TRIM(SUBSTITUTE(SUBSTITUTE(A814,"?",""),"*",""))))</f>
        <v/>
      </c>
      <c r="N814">
        <f>IF(M814="","",IF(SUMPRODUCT(ISNUMBER(SEARCH(" "&amp;Settings!$L$5:$L$124&amp;" "," "&amp;M814&amp;" "))*(Settings!$K$5:$K$124="Navigational")*(Settings!$L$5:$L$124&lt;&gt;""))&gt;0,"Navigational",IF(SUMPRODUCT(ISNUMBER(SEARCH(" "&amp;Settings!$L$5:$L$124&amp;" "," "&amp;M814&amp;" "))*(Settings!$K$5:$K$124="Transactional")*(Settings!$L$5:$L$124&lt;&gt;""))&gt;0,"Transactional",IF(SUMPRODUCT(ISNUMBER(SEARCH(" "&amp;Settings!$L$5:$L$124&amp;" "," "&amp;M814&amp;" "))*(Settings!$K$5:$K$124="Commercial")*(Settings!$L$5:$L$124&lt;&gt;""))&gt;0,"Commercial",IF(SUMPRODUCT(ISNUMBER(SEARCH(" "&amp;Settings!$L$5:$L$124&amp;" "," "&amp;M814&amp;" "))*(Settings!$K$5:$K$124="Informational")*(Settings!$L$5:$L$124&lt;&gt;""))&gt;0,"Informational","Unclassified")))))</f>
        <v/>
      </c>
      <c r="O814">
        <f>IF(A814="","",IF(K814&lt;&gt;"",PROPER(K814),N814))</f>
        <v/>
      </c>
      <c r="P814">
        <f>IF(A814="","",ROUND(Settings!$B$5*MIN(1,LOG10(N(C814)+1)/LOG10(Settings!$B$7+1))+Settings!$B$6*(1-MIN(100,IF(D814="",50,N(D814)))/100)+IFERROR(INDEX(Settings!$B$10:$B$14,MATCH(O814,Settings!$A$10:$A$14,0)),0),0))</f>
        <v/>
      </c>
      <c r="Q814">
        <f>IF(OR(A814="",G814=""),"",COUNTIFS($M$3:$M$1002,M814,$G$3:$G$1002,"&lt;&gt;"&amp;SUBSTITUTE(SUBSTITUTE(G814,"?","~?"),"*","~*"),$G$3:$G$1002,"?*"))</f>
        <v/>
      </c>
      <c r="R814">
        <f>IF(Q814="","",IF(Q814&gt;0,"Yes","No"))</f>
        <v/>
      </c>
      <c r="S814">
        <f>IF(G814="","",COUNTIFS($G$3:$G$1002,SUBSTITUTE(SUBSTITUTE(G814,"?","~?"),"*","~*"),$J$3:$J$1002,"Primary"))</f>
        <v/>
      </c>
      <c r="T814">
        <f>IF(S814="","",IF(S814&gt;Settings!$B$4,"Yes","No"))</f>
        <v/>
      </c>
      <c r="U814">
        <f>IF(OR(G814="",B814=""),"",IF(COUNTIFS($G$3:$G$1002,SUBSTITUTE(SUBSTITUTE(G814,"?","~?"),"*","~*"),$B$3:$B$1002,"&lt;&gt;"&amp;SUBSTITUTE(SUBSTITUTE(B814,"?","~?"),"*","~*"),$B$3:$B$1002,"?*")&gt;0,"Yes","No"))</f>
        <v/>
      </c>
      <c r="V814">
        <f>IF(OR(G814="",I814="",O814="",O814="Unclassified"),"",IFERROR(INDEX(Settings!$E$5:$H$16,MATCH(I814,Settings!$D$5:$D$16,0),MATCH(O814,Settings!$E$4:$H$4,0)),"Check"))</f>
        <v/>
      </c>
      <c r="W814">
        <f>IF(V814="","",IF(V814="No","Yes","No"))</f>
        <v/>
      </c>
      <c r="X814">
        <f>IF(OR(E814="",G814=""),"",IF(LOWER(IF(RIGHT(TRIM(E814),1)="/",LEFT(TRIM(E814),LEN(TRIM(E814))-1),TRIM(E814)))&lt;&gt;LOWER(IF(RIGHT(TRIM(G814),1)="/",LEFT(TRIM(G814),LEN(TRIM(G814))-1),TRIM(G814))),"Yes","No"))</f>
        <v/>
      </c>
      <c r="Y814">
        <f>IF(A814="","",(N(Q814)&gt;0)+(T814="Yes")+(U814="Yes")+(W814="Yes")+(X814="Yes"))</f>
        <v/>
      </c>
      <c r="Z814">
        <f>IF(A814="","",IF(G814="","Not mapped",IF(Y814=0,"OK",MID(IF(N(Q814)&gt;0,"; Cannibalisation","")&amp;IF(T814="Yes","; Too many primary keywords on URL","")&amp;IF(U814="Yes","; URL spans 2+ clusters","")&amp;IF(W814="Yes","; Intent mismatch","")&amp;IF(X814="Yes","; Ranking URL is not the target",""),3,300))))</f>
        <v/>
      </c>
      <c r="AA814">
        <f>IF(G814="","",IF(COUNTIF($G$3:G814,SUBSTITUTE(SUBSTITUTE(G814,"?","~?"),"*","~*"))=1,MAX($AA$2:AA813)+1,""))</f>
        <v/>
      </c>
      <c r="AB814">
        <f>IF(B814="","",IF(COUNTIF($B$3:B814,SUBSTITUTE(SUBSTITUTE(B814,"?","~?"),"*","~*"))=1,MAX($AB$2:AB813)+1,""))</f>
        <v/>
      </c>
    </row>
    <row r="815">
      <c r="M815">
        <f>IF(A815="","",LOWER(TRIM(SUBSTITUTE(SUBSTITUTE(A815,"?",""),"*",""))))</f>
        <v/>
      </c>
      <c r="N815">
        <f>IF(M815="","",IF(SUMPRODUCT(ISNUMBER(SEARCH(" "&amp;Settings!$L$5:$L$124&amp;" "," "&amp;M815&amp;" "))*(Settings!$K$5:$K$124="Navigational")*(Settings!$L$5:$L$124&lt;&gt;""))&gt;0,"Navigational",IF(SUMPRODUCT(ISNUMBER(SEARCH(" "&amp;Settings!$L$5:$L$124&amp;" "," "&amp;M815&amp;" "))*(Settings!$K$5:$K$124="Transactional")*(Settings!$L$5:$L$124&lt;&gt;""))&gt;0,"Transactional",IF(SUMPRODUCT(ISNUMBER(SEARCH(" "&amp;Settings!$L$5:$L$124&amp;" "," "&amp;M815&amp;" "))*(Settings!$K$5:$K$124="Commercial")*(Settings!$L$5:$L$124&lt;&gt;""))&gt;0,"Commercial",IF(SUMPRODUCT(ISNUMBER(SEARCH(" "&amp;Settings!$L$5:$L$124&amp;" "," "&amp;M815&amp;" "))*(Settings!$K$5:$K$124="Informational")*(Settings!$L$5:$L$124&lt;&gt;""))&gt;0,"Informational","Unclassified")))))</f>
        <v/>
      </c>
      <c r="O815">
        <f>IF(A815="","",IF(K815&lt;&gt;"",PROPER(K815),N815))</f>
        <v/>
      </c>
      <c r="P815">
        <f>IF(A815="","",ROUND(Settings!$B$5*MIN(1,LOG10(N(C815)+1)/LOG10(Settings!$B$7+1))+Settings!$B$6*(1-MIN(100,IF(D815="",50,N(D815)))/100)+IFERROR(INDEX(Settings!$B$10:$B$14,MATCH(O815,Settings!$A$10:$A$14,0)),0),0))</f>
        <v/>
      </c>
      <c r="Q815">
        <f>IF(OR(A815="",G815=""),"",COUNTIFS($M$3:$M$1002,M815,$G$3:$G$1002,"&lt;&gt;"&amp;SUBSTITUTE(SUBSTITUTE(G815,"?","~?"),"*","~*"),$G$3:$G$1002,"?*"))</f>
        <v/>
      </c>
      <c r="R815">
        <f>IF(Q815="","",IF(Q815&gt;0,"Yes","No"))</f>
        <v/>
      </c>
      <c r="S815">
        <f>IF(G815="","",COUNTIFS($G$3:$G$1002,SUBSTITUTE(SUBSTITUTE(G815,"?","~?"),"*","~*"),$J$3:$J$1002,"Primary"))</f>
        <v/>
      </c>
      <c r="T815">
        <f>IF(S815="","",IF(S815&gt;Settings!$B$4,"Yes","No"))</f>
        <v/>
      </c>
      <c r="U815">
        <f>IF(OR(G815="",B815=""),"",IF(COUNTIFS($G$3:$G$1002,SUBSTITUTE(SUBSTITUTE(G815,"?","~?"),"*","~*"),$B$3:$B$1002,"&lt;&gt;"&amp;SUBSTITUTE(SUBSTITUTE(B815,"?","~?"),"*","~*"),$B$3:$B$1002,"?*")&gt;0,"Yes","No"))</f>
        <v/>
      </c>
      <c r="V815">
        <f>IF(OR(G815="",I815="",O815="",O815="Unclassified"),"",IFERROR(INDEX(Settings!$E$5:$H$16,MATCH(I815,Settings!$D$5:$D$16,0),MATCH(O815,Settings!$E$4:$H$4,0)),"Check"))</f>
        <v/>
      </c>
      <c r="W815">
        <f>IF(V815="","",IF(V815="No","Yes","No"))</f>
        <v/>
      </c>
      <c r="X815">
        <f>IF(OR(E815="",G815=""),"",IF(LOWER(IF(RIGHT(TRIM(E815),1)="/",LEFT(TRIM(E815),LEN(TRIM(E815))-1),TRIM(E815)))&lt;&gt;LOWER(IF(RIGHT(TRIM(G815),1)="/",LEFT(TRIM(G815),LEN(TRIM(G815))-1),TRIM(G815))),"Yes","No"))</f>
        <v/>
      </c>
      <c r="Y815">
        <f>IF(A815="","",(N(Q815)&gt;0)+(T815="Yes")+(U815="Yes")+(W815="Yes")+(X815="Yes"))</f>
        <v/>
      </c>
      <c r="Z815">
        <f>IF(A815="","",IF(G815="","Not mapped",IF(Y815=0,"OK",MID(IF(N(Q815)&gt;0,"; Cannibalisation","")&amp;IF(T815="Yes","; Too many primary keywords on URL","")&amp;IF(U815="Yes","; URL spans 2+ clusters","")&amp;IF(W815="Yes","; Intent mismatch","")&amp;IF(X815="Yes","; Ranking URL is not the target",""),3,300))))</f>
        <v/>
      </c>
      <c r="AA815">
        <f>IF(G815="","",IF(COUNTIF($G$3:G815,SUBSTITUTE(SUBSTITUTE(G815,"?","~?"),"*","~*"))=1,MAX($AA$2:AA814)+1,""))</f>
        <v/>
      </c>
      <c r="AB815">
        <f>IF(B815="","",IF(COUNTIF($B$3:B815,SUBSTITUTE(SUBSTITUTE(B815,"?","~?"),"*","~*"))=1,MAX($AB$2:AB814)+1,""))</f>
        <v/>
      </c>
    </row>
    <row r="816">
      <c r="M816">
        <f>IF(A816="","",LOWER(TRIM(SUBSTITUTE(SUBSTITUTE(A816,"?",""),"*",""))))</f>
        <v/>
      </c>
      <c r="N816">
        <f>IF(M816="","",IF(SUMPRODUCT(ISNUMBER(SEARCH(" "&amp;Settings!$L$5:$L$124&amp;" "," "&amp;M816&amp;" "))*(Settings!$K$5:$K$124="Navigational")*(Settings!$L$5:$L$124&lt;&gt;""))&gt;0,"Navigational",IF(SUMPRODUCT(ISNUMBER(SEARCH(" "&amp;Settings!$L$5:$L$124&amp;" "," "&amp;M816&amp;" "))*(Settings!$K$5:$K$124="Transactional")*(Settings!$L$5:$L$124&lt;&gt;""))&gt;0,"Transactional",IF(SUMPRODUCT(ISNUMBER(SEARCH(" "&amp;Settings!$L$5:$L$124&amp;" "," "&amp;M816&amp;" "))*(Settings!$K$5:$K$124="Commercial")*(Settings!$L$5:$L$124&lt;&gt;""))&gt;0,"Commercial",IF(SUMPRODUCT(ISNUMBER(SEARCH(" "&amp;Settings!$L$5:$L$124&amp;" "," "&amp;M816&amp;" "))*(Settings!$K$5:$K$124="Informational")*(Settings!$L$5:$L$124&lt;&gt;""))&gt;0,"Informational","Unclassified")))))</f>
        <v/>
      </c>
      <c r="O816">
        <f>IF(A816="","",IF(K816&lt;&gt;"",PROPER(K816),N816))</f>
        <v/>
      </c>
      <c r="P816">
        <f>IF(A816="","",ROUND(Settings!$B$5*MIN(1,LOG10(N(C816)+1)/LOG10(Settings!$B$7+1))+Settings!$B$6*(1-MIN(100,IF(D816="",50,N(D816)))/100)+IFERROR(INDEX(Settings!$B$10:$B$14,MATCH(O816,Settings!$A$10:$A$14,0)),0),0))</f>
        <v/>
      </c>
      <c r="Q816">
        <f>IF(OR(A816="",G816=""),"",COUNTIFS($M$3:$M$1002,M816,$G$3:$G$1002,"&lt;&gt;"&amp;SUBSTITUTE(SUBSTITUTE(G816,"?","~?"),"*","~*"),$G$3:$G$1002,"?*"))</f>
        <v/>
      </c>
      <c r="R816">
        <f>IF(Q816="","",IF(Q816&gt;0,"Yes","No"))</f>
        <v/>
      </c>
      <c r="S816">
        <f>IF(G816="","",COUNTIFS($G$3:$G$1002,SUBSTITUTE(SUBSTITUTE(G816,"?","~?"),"*","~*"),$J$3:$J$1002,"Primary"))</f>
        <v/>
      </c>
      <c r="T816">
        <f>IF(S816="","",IF(S816&gt;Settings!$B$4,"Yes","No"))</f>
        <v/>
      </c>
      <c r="U816">
        <f>IF(OR(G816="",B816=""),"",IF(COUNTIFS($G$3:$G$1002,SUBSTITUTE(SUBSTITUTE(G816,"?","~?"),"*","~*"),$B$3:$B$1002,"&lt;&gt;"&amp;SUBSTITUTE(SUBSTITUTE(B816,"?","~?"),"*","~*"),$B$3:$B$1002,"?*")&gt;0,"Yes","No"))</f>
        <v/>
      </c>
      <c r="V816">
        <f>IF(OR(G816="",I816="",O816="",O816="Unclassified"),"",IFERROR(INDEX(Settings!$E$5:$H$16,MATCH(I816,Settings!$D$5:$D$16,0),MATCH(O816,Settings!$E$4:$H$4,0)),"Check"))</f>
        <v/>
      </c>
      <c r="W816">
        <f>IF(V816="","",IF(V816="No","Yes","No"))</f>
        <v/>
      </c>
      <c r="X816">
        <f>IF(OR(E816="",G816=""),"",IF(LOWER(IF(RIGHT(TRIM(E816),1)="/",LEFT(TRIM(E816),LEN(TRIM(E816))-1),TRIM(E816)))&lt;&gt;LOWER(IF(RIGHT(TRIM(G816),1)="/",LEFT(TRIM(G816),LEN(TRIM(G816))-1),TRIM(G816))),"Yes","No"))</f>
        <v/>
      </c>
      <c r="Y816">
        <f>IF(A816="","",(N(Q816)&gt;0)+(T816="Yes")+(U816="Yes")+(W816="Yes")+(X816="Yes"))</f>
        <v/>
      </c>
      <c r="Z816">
        <f>IF(A816="","",IF(G816="","Not mapped",IF(Y816=0,"OK",MID(IF(N(Q816)&gt;0,"; Cannibalisation","")&amp;IF(T816="Yes","; Too many primary keywords on URL","")&amp;IF(U816="Yes","; URL spans 2+ clusters","")&amp;IF(W816="Yes","; Intent mismatch","")&amp;IF(X816="Yes","; Ranking URL is not the target",""),3,300))))</f>
        <v/>
      </c>
      <c r="AA816">
        <f>IF(G816="","",IF(COUNTIF($G$3:G816,SUBSTITUTE(SUBSTITUTE(G816,"?","~?"),"*","~*"))=1,MAX($AA$2:AA815)+1,""))</f>
        <v/>
      </c>
      <c r="AB816">
        <f>IF(B816="","",IF(COUNTIF($B$3:B816,SUBSTITUTE(SUBSTITUTE(B816,"?","~?"),"*","~*"))=1,MAX($AB$2:AB815)+1,""))</f>
        <v/>
      </c>
    </row>
    <row r="817">
      <c r="M817">
        <f>IF(A817="","",LOWER(TRIM(SUBSTITUTE(SUBSTITUTE(A817,"?",""),"*",""))))</f>
        <v/>
      </c>
      <c r="N817">
        <f>IF(M817="","",IF(SUMPRODUCT(ISNUMBER(SEARCH(" "&amp;Settings!$L$5:$L$124&amp;" "," "&amp;M817&amp;" "))*(Settings!$K$5:$K$124="Navigational")*(Settings!$L$5:$L$124&lt;&gt;""))&gt;0,"Navigational",IF(SUMPRODUCT(ISNUMBER(SEARCH(" "&amp;Settings!$L$5:$L$124&amp;" "," "&amp;M817&amp;" "))*(Settings!$K$5:$K$124="Transactional")*(Settings!$L$5:$L$124&lt;&gt;""))&gt;0,"Transactional",IF(SUMPRODUCT(ISNUMBER(SEARCH(" "&amp;Settings!$L$5:$L$124&amp;" "," "&amp;M817&amp;" "))*(Settings!$K$5:$K$124="Commercial")*(Settings!$L$5:$L$124&lt;&gt;""))&gt;0,"Commercial",IF(SUMPRODUCT(ISNUMBER(SEARCH(" "&amp;Settings!$L$5:$L$124&amp;" "," "&amp;M817&amp;" "))*(Settings!$K$5:$K$124="Informational")*(Settings!$L$5:$L$124&lt;&gt;""))&gt;0,"Informational","Unclassified")))))</f>
        <v/>
      </c>
      <c r="O817">
        <f>IF(A817="","",IF(K817&lt;&gt;"",PROPER(K817),N817))</f>
        <v/>
      </c>
      <c r="P817">
        <f>IF(A817="","",ROUND(Settings!$B$5*MIN(1,LOG10(N(C817)+1)/LOG10(Settings!$B$7+1))+Settings!$B$6*(1-MIN(100,IF(D817="",50,N(D817)))/100)+IFERROR(INDEX(Settings!$B$10:$B$14,MATCH(O817,Settings!$A$10:$A$14,0)),0),0))</f>
        <v/>
      </c>
      <c r="Q817">
        <f>IF(OR(A817="",G817=""),"",COUNTIFS($M$3:$M$1002,M817,$G$3:$G$1002,"&lt;&gt;"&amp;SUBSTITUTE(SUBSTITUTE(G817,"?","~?"),"*","~*"),$G$3:$G$1002,"?*"))</f>
        <v/>
      </c>
      <c r="R817">
        <f>IF(Q817="","",IF(Q817&gt;0,"Yes","No"))</f>
        <v/>
      </c>
      <c r="S817">
        <f>IF(G817="","",COUNTIFS($G$3:$G$1002,SUBSTITUTE(SUBSTITUTE(G817,"?","~?"),"*","~*"),$J$3:$J$1002,"Primary"))</f>
        <v/>
      </c>
      <c r="T817">
        <f>IF(S817="","",IF(S817&gt;Settings!$B$4,"Yes","No"))</f>
        <v/>
      </c>
      <c r="U817">
        <f>IF(OR(G817="",B817=""),"",IF(COUNTIFS($G$3:$G$1002,SUBSTITUTE(SUBSTITUTE(G817,"?","~?"),"*","~*"),$B$3:$B$1002,"&lt;&gt;"&amp;SUBSTITUTE(SUBSTITUTE(B817,"?","~?"),"*","~*"),$B$3:$B$1002,"?*")&gt;0,"Yes","No"))</f>
        <v/>
      </c>
      <c r="V817">
        <f>IF(OR(G817="",I817="",O817="",O817="Unclassified"),"",IFERROR(INDEX(Settings!$E$5:$H$16,MATCH(I817,Settings!$D$5:$D$16,0),MATCH(O817,Settings!$E$4:$H$4,0)),"Check"))</f>
        <v/>
      </c>
      <c r="W817">
        <f>IF(V817="","",IF(V817="No","Yes","No"))</f>
        <v/>
      </c>
      <c r="X817">
        <f>IF(OR(E817="",G817=""),"",IF(LOWER(IF(RIGHT(TRIM(E817),1)="/",LEFT(TRIM(E817),LEN(TRIM(E817))-1),TRIM(E817)))&lt;&gt;LOWER(IF(RIGHT(TRIM(G817),1)="/",LEFT(TRIM(G817),LEN(TRIM(G817))-1),TRIM(G817))),"Yes","No"))</f>
        <v/>
      </c>
      <c r="Y817">
        <f>IF(A817="","",(N(Q817)&gt;0)+(T817="Yes")+(U817="Yes")+(W817="Yes")+(X817="Yes"))</f>
        <v/>
      </c>
      <c r="Z817">
        <f>IF(A817="","",IF(G817="","Not mapped",IF(Y817=0,"OK",MID(IF(N(Q817)&gt;0,"; Cannibalisation","")&amp;IF(T817="Yes","; Too many primary keywords on URL","")&amp;IF(U817="Yes","; URL spans 2+ clusters","")&amp;IF(W817="Yes","; Intent mismatch","")&amp;IF(X817="Yes","; Ranking URL is not the target",""),3,300))))</f>
        <v/>
      </c>
      <c r="AA817">
        <f>IF(G817="","",IF(COUNTIF($G$3:G817,SUBSTITUTE(SUBSTITUTE(G817,"?","~?"),"*","~*"))=1,MAX($AA$2:AA816)+1,""))</f>
        <v/>
      </c>
      <c r="AB817">
        <f>IF(B817="","",IF(COUNTIF($B$3:B817,SUBSTITUTE(SUBSTITUTE(B817,"?","~?"),"*","~*"))=1,MAX($AB$2:AB816)+1,""))</f>
        <v/>
      </c>
    </row>
    <row r="818">
      <c r="M818">
        <f>IF(A818="","",LOWER(TRIM(SUBSTITUTE(SUBSTITUTE(A818,"?",""),"*",""))))</f>
        <v/>
      </c>
      <c r="N818">
        <f>IF(M818="","",IF(SUMPRODUCT(ISNUMBER(SEARCH(" "&amp;Settings!$L$5:$L$124&amp;" "," "&amp;M818&amp;" "))*(Settings!$K$5:$K$124="Navigational")*(Settings!$L$5:$L$124&lt;&gt;""))&gt;0,"Navigational",IF(SUMPRODUCT(ISNUMBER(SEARCH(" "&amp;Settings!$L$5:$L$124&amp;" "," "&amp;M818&amp;" "))*(Settings!$K$5:$K$124="Transactional")*(Settings!$L$5:$L$124&lt;&gt;""))&gt;0,"Transactional",IF(SUMPRODUCT(ISNUMBER(SEARCH(" "&amp;Settings!$L$5:$L$124&amp;" "," "&amp;M818&amp;" "))*(Settings!$K$5:$K$124="Commercial")*(Settings!$L$5:$L$124&lt;&gt;""))&gt;0,"Commercial",IF(SUMPRODUCT(ISNUMBER(SEARCH(" "&amp;Settings!$L$5:$L$124&amp;" "," "&amp;M818&amp;" "))*(Settings!$K$5:$K$124="Informational")*(Settings!$L$5:$L$124&lt;&gt;""))&gt;0,"Informational","Unclassified")))))</f>
        <v/>
      </c>
      <c r="O818">
        <f>IF(A818="","",IF(K818&lt;&gt;"",PROPER(K818),N818))</f>
        <v/>
      </c>
      <c r="P818">
        <f>IF(A818="","",ROUND(Settings!$B$5*MIN(1,LOG10(N(C818)+1)/LOG10(Settings!$B$7+1))+Settings!$B$6*(1-MIN(100,IF(D818="",50,N(D818)))/100)+IFERROR(INDEX(Settings!$B$10:$B$14,MATCH(O818,Settings!$A$10:$A$14,0)),0),0))</f>
        <v/>
      </c>
      <c r="Q818">
        <f>IF(OR(A818="",G818=""),"",COUNTIFS($M$3:$M$1002,M818,$G$3:$G$1002,"&lt;&gt;"&amp;SUBSTITUTE(SUBSTITUTE(G818,"?","~?"),"*","~*"),$G$3:$G$1002,"?*"))</f>
        <v/>
      </c>
      <c r="R818">
        <f>IF(Q818="","",IF(Q818&gt;0,"Yes","No"))</f>
        <v/>
      </c>
      <c r="S818">
        <f>IF(G818="","",COUNTIFS($G$3:$G$1002,SUBSTITUTE(SUBSTITUTE(G818,"?","~?"),"*","~*"),$J$3:$J$1002,"Primary"))</f>
        <v/>
      </c>
      <c r="T818">
        <f>IF(S818="","",IF(S818&gt;Settings!$B$4,"Yes","No"))</f>
        <v/>
      </c>
      <c r="U818">
        <f>IF(OR(G818="",B818=""),"",IF(COUNTIFS($G$3:$G$1002,SUBSTITUTE(SUBSTITUTE(G818,"?","~?"),"*","~*"),$B$3:$B$1002,"&lt;&gt;"&amp;SUBSTITUTE(SUBSTITUTE(B818,"?","~?"),"*","~*"),$B$3:$B$1002,"?*")&gt;0,"Yes","No"))</f>
        <v/>
      </c>
      <c r="V818">
        <f>IF(OR(G818="",I818="",O818="",O818="Unclassified"),"",IFERROR(INDEX(Settings!$E$5:$H$16,MATCH(I818,Settings!$D$5:$D$16,0),MATCH(O818,Settings!$E$4:$H$4,0)),"Check"))</f>
        <v/>
      </c>
      <c r="W818">
        <f>IF(V818="","",IF(V818="No","Yes","No"))</f>
        <v/>
      </c>
      <c r="X818">
        <f>IF(OR(E818="",G818=""),"",IF(LOWER(IF(RIGHT(TRIM(E818),1)="/",LEFT(TRIM(E818),LEN(TRIM(E818))-1),TRIM(E818)))&lt;&gt;LOWER(IF(RIGHT(TRIM(G818),1)="/",LEFT(TRIM(G818),LEN(TRIM(G818))-1),TRIM(G818))),"Yes","No"))</f>
        <v/>
      </c>
      <c r="Y818">
        <f>IF(A818="","",(N(Q818)&gt;0)+(T818="Yes")+(U818="Yes")+(W818="Yes")+(X818="Yes"))</f>
        <v/>
      </c>
      <c r="Z818">
        <f>IF(A818="","",IF(G818="","Not mapped",IF(Y818=0,"OK",MID(IF(N(Q818)&gt;0,"; Cannibalisation","")&amp;IF(T818="Yes","; Too many primary keywords on URL","")&amp;IF(U818="Yes","; URL spans 2+ clusters","")&amp;IF(W818="Yes","; Intent mismatch","")&amp;IF(X818="Yes","; Ranking URL is not the target",""),3,300))))</f>
        <v/>
      </c>
      <c r="AA818">
        <f>IF(G818="","",IF(COUNTIF($G$3:G818,SUBSTITUTE(SUBSTITUTE(G818,"?","~?"),"*","~*"))=1,MAX($AA$2:AA817)+1,""))</f>
        <v/>
      </c>
      <c r="AB818">
        <f>IF(B818="","",IF(COUNTIF($B$3:B818,SUBSTITUTE(SUBSTITUTE(B818,"?","~?"),"*","~*"))=1,MAX($AB$2:AB817)+1,""))</f>
        <v/>
      </c>
    </row>
    <row r="819">
      <c r="M819">
        <f>IF(A819="","",LOWER(TRIM(SUBSTITUTE(SUBSTITUTE(A819,"?",""),"*",""))))</f>
        <v/>
      </c>
      <c r="N819">
        <f>IF(M819="","",IF(SUMPRODUCT(ISNUMBER(SEARCH(" "&amp;Settings!$L$5:$L$124&amp;" "," "&amp;M819&amp;" "))*(Settings!$K$5:$K$124="Navigational")*(Settings!$L$5:$L$124&lt;&gt;""))&gt;0,"Navigational",IF(SUMPRODUCT(ISNUMBER(SEARCH(" "&amp;Settings!$L$5:$L$124&amp;" "," "&amp;M819&amp;" "))*(Settings!$K$5:$K$124="Transactional")*(Settings!$L$5:$L$124&lt;&gt;""))&gt;0,"Transactional",IF(SUMPRODUCT(ISNUMBER(SEARCH(" "&amp;Settings!$L$5:$L$124&amp;" "," "&amp;M819&amp;" "))*(Settings!$K$5:$K$124="Commercial")*(Settings!$L$5:$L$124&lt;&gt;""))&gt;0,"Commercial",IF(SUMPRODUCT(ISNUMBER(SEARCH(" "&amp;Settings!$L$5:$L$124&amp;" "," "&amp;M819&amp;" "))*(Settings!$K$5:$K$124="Informational")*(Settings!$L$5:$L$124&lt;&gt;""))&gt;0,"Informational","Unclassified")))))</f>
        <v/>
      </c>
      <c r="O819">
        <f>IF(A819="","",IF(K819&lt;&gt;"",PROPER(K819),N819))</f>
        <v/>
      </c>
      <c r="P819">
        <f>IF(A819="","",ROUND(Settings!$B$5*MIN(1,LOG10(N(C819)+1)/LOG10(Settings!$B$7+1))+Settings!$B$6*(1-MIN(100,IF(D819="",50,N(D819)))/100)+IFERROR(INDEX(Settings!$B$10:$B$14,MATCH(O819,Settings!$A$10:$A$14,0)),0),0))</f>
        <v/>
      </c>
      <c r="Q819">
        <f>IF(OR(A819="",G819=""),"",COUNTIFS($M$3:$M$1002,M819,$G$3:$G$1002,"&lt;&gt;"&amp;SUBSTITUTE(SUBSTITUTE(G819,"?","~?"),"*","~*"),$G$3:$G$1002,"?*"))</f>
        <v/>
      </c>
      <c r="R819">
        <f>IF(Q819="","",IF(Q819&gt;0,"Yes","No"))</f>
        <v/>
      </c>
      <c r="S819">
        <f>IF(G819="","",COUNTIFS($G$3:$G$1002,SUBSTITUTE(SUBSTITUTE(G819,"?","~?"),"*","~*"),$J$3:$J$1002,"Primary"))</f>
        <v/>
      </c>
      <c r="T819">
        <f>IF(S819="","",IF(S819&gt;Settings!$B$4,"Yes","No"))</f>
        <v/>
      </c>
      <c r="U819">
        <f>IF(OR(G819="",B819=""),"",IF(COUNTIFS($G$3:$G$1002,SUBSTITUTE(SUBSTITUTE(G819,"?","~?"),"*","~*"),$B$3:$B$1002,"&lt;&gt;"&amp;SUBSTITUTE(SUBSTITUTE(B819,"?","~?"),"*","~*"),$B$3:$B$1002,"?*")&gt;0,"Yes","No"))</f>
        <v/>
      </c>
      <c r="V819">
        <f>IF(OR(G819="",I819="",O819="",O819="Unclassified"),"",IFERROR(INDEX(Settings!$E$5:$H$16,MATCH(I819,Settings!$D$5:$D$16,0),MATCH(O819,Settings!$E$4:$H$4,0)),"Check"))</f>
        <v/>
      </c>
      <c r="W819">
        <f>IF(V819="","",IF(V819="No","Yes","No"))</f>
        <v/>
      </c>
      <c r="X819">
        <f>IF(OR(E819="",G819=""),"",IF(LOWER(IF(RIGHT(TRIM(E819),1)="/",LEFT(TRIM(E819),LEN(TRIM(E819))-1),TRIM(E819)))&lt;&gt;LOWER(IF(RIGHT(TRIM(G819),1)="/",LEFT(TRIM(G819),LEN(TRIM(G819))-1),TRIM(G819))),"Yes","No"))</f>
        <v/>
      </c>
      <c r="Y819">
        <f>IF(A819="","",(N(Q819)&gt;0)+(T819="Yes")+(U819="Yes")+(W819="Yes")+(X819="Yes"))</f>
        <v/>
      </c>
      <c r="Z819">
        <f>IF(A819="","",IF(G819="","Not mapped",IF(Y819=0,"OK",MID(IF(N(Q819)&gt;0,"; Cannibalisation","")&amp;IF(T819="Yes","; Too many primary keywords on URL","")&amp;IF(U819="Yes","; URL spans 2+ clusters","")&amp;IF(W819="Yes","; Intent mismatch","")&amp;IF(X819="Yes","; Ranking URL is not the target",""),3,300))))</f>
        <v/>
      </c>
      <c r="AA819">
        <f>IF(G819="","",IF(COUNTIF($G$3:G819,SUBSTITUTE(SUBSTITUTE(G819,"?","~?"),"*","~*"))=1,MAX($AA$2:AA818)+1,""))</f>
        <v/>
      </c>
      <c r="AB819">
        <f>IF(B819="","",IF(COUNTIF($B$3:B819,SUBSTITUTE(SUBSTITUTE(B819,"?","~?"),"*","~*"))=1,MAX($AB$2:AB818)+1,""))</f>
        <v/>
      </c>
    </row>
    <row r="820">
      <c r="M820">
        <f>IF(A820="","",LOWER(TRIM(SUBSTITUTE(SUBSTITUTE(A820,"?",""),"*",""))))</f>
        <v/>
      </c>
      <c r="N820">
        <f>IF(M820="","",IF(SUMPRODUCT(ISNUMBER(SEARCH(" "&amp;Settings!$L$5:$L$124&amp;" "," "&amp;M820&amp;" "))*(Settings!$K$5:$K$124="Navigational")*(Settings!$L$5:$L$124&lt;&gt;""))&gt;0,"Navigational",IF(SUMPRODUCT(ISNUMBER(SEARCH(" "&amp;Settings!$L$5:$L$124&amp;" "," "&amp;M820&amp;" "))*(Settings!$K$5:$K$124="Transactional")*(Settings!$L$5:$L$124&lt;&gt;""))&gt;0,"Transactional",IF(SUMPRODUCT(ISNUMBER(SEARCH(" "&amp;Settings!$L$5:$L$124&amp;" "," "&amp;M820&amp;" "))*(Settings!$K$5:$K$124="Commercial")*(Settings!$L$5:$L$124&lt;&gt;""))&gt;0,"Commercial",IF(SUMPRODUCT(ISNUMBER(SEARCH(" "&amp;Settings!$L$5:$L$124&amp;" "," "&amp;M820&amp;" "))*(Settings!$K$5:$K$124="Informational")*(Settings!$L$5:$L$124&lt;&gt;""))&gt;0,"Informational","Unclassified")))))</f>
        <v/>
      </c>
      <c r="O820">
        <f>IF(A820="","",IF(K820&lt;&gt;"",PROPER(K820),N820))</f>
        <v/>
      </c>
      <c r="P820">
        <f>IF(A820="","",ROUND(Settings!$B$5*MIN(1,LOG10(N(C820)+1)/LOG10(Settings!$B$7+1))+Settings!$B$6*(1-MIN(100,IF(D820="",50,N(D820)))/100)+IFERROR(INDEX(Settings!$B$10:$B$14,MATCH(O820,Settings!$A$10:$A$14,0)),0),0))</f>
        <v/>
      </c>
      <c r="Q820">
        <f>IF(OR(A820="",G820=""),"",COUNTIFS($M$3:$M$1002,M820,$G$3:$G$1002,"&lt;&gt;"&amp;SUBSTITUTE(SUBSTITUTE(G820,"?","~?"),"*","~*"),$G$3:$G$1002,"?*"))</f>
        <v/>
      </c>
      <c r="R820">
        <f>IF(Q820="","",IF(Q820&gt;0,"Yes","No"))</f>
        <v/>
      </c>
      <c r="S820">
        <f>IF(G820="","",COUNTIFS($G$3:$G$1002,SUBSTITUTE(SUBSTITUTE(G820,"?","~?"),"*","~*"),$J$3:$J$1002,"Primary"))</f>
        <v/>
      </c>
      <c r="T820">
        <f>IF(S820="","",IF(S820&gt;Settings!$B$4,"Yes","No"))</f>
        <v/>
      </c>
      <c r="U820">
        <f>IF(OR(G820="",B820=""),"",IF(COUNTIFS($G$3:$G$1002,SUBSTITUTE(SUBSTITUTE(G820,"?","~?"),"*","~*"),$B$3:$B$1002,"&lt;&gt;"&amp;SUBSTITUTE(SUBSTITUTE(B820,"?","~?"),"*","~*"),$B$3:$B$1002,"?*")&gt;0,"Yes","No"))</f>
        <v/>
      </c>
      <c r="V820">
        <f>IF(OR(G820="",I820="",O820="",O820="Unclassified"),"",IFERROR(INDEX(Settings!$E$5:$H$16,MATCH(I820,Settings!$D$5:$D$16,0),MATCH(O820,Settings!$E$4:$H$4,0)),"Check"))</f>
        <v/>
      </c>
      <c r="W820">
        <f>IF(V820="","",IF(V820="No","Yes","No"))</f>
        <v/>
      </c>
      <c r="X820">
        <f>IF(OR(E820="",G820=""),"",IF(LOWER(IF(RIGHT(TRIM(E820),1)="/",LEFT(TRIM(E820),LEN(TRIM(E820))-1),TRIM(E820)))&lt;&gt;LOWER(IF(RIGHT(TRIM(G820),1)="/",LEFT(TRIM(G820),LEN(TRIM(G820))-1),TRIM(G820))),"Yes","No"))</f>
        <v/>
      </c>
      <c r="Y820">
        <f>IF(A820="","",(N(Q820)&gt;0)+(T820="Yes")+(U820="Yes")+(W820="Yes")+(X820="Yes"))</f>
        <v/>
      </c>
      <c r="Z820">
        <f>IF(A820="","",IF(G820="","Not mapped",IF(Y820=0,"OK",MID(IF(N(Q820)&gt;0,"; Cannibalisation","")&amp;IF(T820="Yes","; Too many primary keywords on URL","")&amp;IF(U820="Yes","; URL spans 2+ clusters","")&amp;IF(W820="Yes","; Intent mismatch","")&amp;IF(X820="Yes","; Ranking URL is not the target",""),3,300))))</f>
        <v/>
      </c>
      <c r="AA820">
        <f>IF(G820="","",IF(COUNTIF($G$3:G820,SUBSTITUTE(SUBSTITUTE(G820,"?","~?"),"*","~*"))=1,MAX($AA$2:AA819)+1,""))</f>
        <v/>
      </c>
      <c r="AB820">
        <f>IF(B820="","",IF(COUNTIF($B$3:B820,SUBSTITUTE(SUBSTITUTE(B820,"?","~?"),"*","~*"))=1,MAX($AB$2:AB819)+1,""))</f>
        <v/>
      </c>
    </row>
    <row r="821">
      <c r="M821">
        <f>IF(A821="","",LOWER(TRIM(SUBSTITUTE(SUBSTITUTE(A821,"?",""),"*",""))))</f>
        <v/>
      </c>
      <c r="N821">
        <f>IF(M821="","",IF(SUMPRODUCT(ISNUMBER(SEARCH(" "&amp;Settings!$L$5:$L$124&amp;" "," "&amp;M821&amp;" "))*(Settings!$K$5:$K$124="Navigational")*(Settings!$L$5:$L$124&lt;&gt;""))&gt;0,"Navigational",IF(SUMPRODUCT(ISNUMBER(SEARCH(" "&amp;Settings!$L$5:$L$124&amp;" "," "&amp;M821&amp;" "))*(Settings!$K$5:$K$124="Transactional")*(Settings!$L$5:$L$124&lt;&gt;""))&gt;0,"Transactional",IF(SUMPRODUCT(ISNUMBER(SEARCH(" "&amp;Settings!$L$5:$L$124&amp;" "," "&amp;M821&amp;" "))*(Settings!$K$5:$K$124="Commercial")*(Settings!$L$5:$L$124&lt;&gt;""))&gt;0,"Commercial",IF(SUMPRODUCT(ISNUMBER(SEARCH(" "&amp;Settings!$L$5:$L$124&amp;" "," "&amp;M821&amp;" "))*(Settings!$K$5:$K$124="Informational")*(Settings!$L$5:$L$124&lt;&gt;""))&gt;0,"Informational","Unclassified")))))</f>
        <v/>
      </c>
      <c r="O821">
        <f>IF(A821="","",IF(K821&lt;&gt;"",PROPER(K821),N821))</f>
        <v/>
      </c>
      <c r="P821">
        <f>IF(A821="","",ROUND(Settings!$B$5*MIN(1,LOG10(N(C821)+1)/LOG10(Settings!$B$7+1))+Settings!$B$6*(1-MIN(100,IF(D821="",50,N(D821)))/100)+IFERROR(INDEX(Settings!$B$10:$B$14,MATCH(O821,Settings!$A$10:$A$14,0)),0),0))</f>
        <v/>
      </c>
      <c r="Q821">
        <f>IF(OR(A821="",G821=""),"",COUNTIFS($M$3:$M$1002,M821,$G$3:$G$1002,"&lt;&gt;"&amp;SUBSTITUTE(SUBSTITUTE(G821,"?","~?"),"*","~*"),$G$3:$G$1002,"?*"))</f>
        <v/>
      </c>
      <c r="R821">
        <f>IF(Q821="","",IF(Q821&gt;0,"Yes","No"))</f>
        <v/>
      </c>
      <c r="S821">
        <f>IF(G821="","",COUNTIFS($G$3:$G$1002,SUBSTITUTE(SUBSTITUTE(G821,"?","~?"),"*","~*"),$J$3:$J$1002,"Primary"))</f>
        <v/>
      </c>
      <c r="T821">
        <f>IF(S821="","",IF(S821&gt;Settings!$B$4,"Yes","No"))</f>
        <v/>
      </c>
      <c r="U821">
        <f>IF(OR(G821="",B821=""),"",IF(COUNTIFS($G$3:$G$1002,SUBSTITUTE(SUBSTITUTE(G821,"?","~?"),"*","~*"),$B$3:$B$1002,"&lt;&gt;"&amp;SUBSTITUTE(SUBSTITUTE(B821,"?","~?"),"*","~*"),$B$3:$B$1002,"?*")&gt;0,"Yes","No"))</f>
        <v/>
      </c>
      <c r="V821">
        <f>IF(OR(G821="",I821="",O821="",O821="Unclassified"),"",IFERROR(INDEX(Settings!$E$5:$H$16,MATCH(I821,Settings!$D$5:$D$16,0),MATCH(O821,Settings!$E$4:$H$4,0)),"Check"))</f>
        <v/>
      </c>
      <c r="W821">
        <f>IF(V821="","",IF(V821="No","Yes","No"))</f>
        <v/>
      </c>
      <c r="X821">
        <f>IF(OR(E821="",G821=""),"",IF(LOWER(IF(RIGHT(TRIM(E821),1)="/",LEFT(TRIM(E821),LEN(TRIM(E821))-1),TRIM(E821)))&lt;&gt;LOWER(IF(RIGHT(TRIM(G821),1)="/",LEFT(TRIM(G821),LEN(TRIM(G821))-1),TRIM(G821))),"Yes","No"))</f>
        <v/>
      </c>
      <c r="Y821">
        <f>IF(A821="","",(N(Q821)&gt;0)+(T821="Yes")+(U821="Yes")+(W821="Yes")+(X821="Yes"))</f>
        <v/>
      </c>
      <c r="Z821">
        <f>IF(A821="","",IF(G821="","Not mapped",IF(Y821=0,"OK",MID(IF(N(Q821)&gt;0,"; Cannibalisation","")&amp;IF(T821="Yes","; Too many primary keywords on URL","")&amp;IF(U821="Yes","; URL spans 2+ clusters","")&amp;IF(W821="Yes","; Intent mismatch","")&amp;IF(X821="Yes","; Ranking URL is not the target",""),3,300))))</f>
        <v/>
      </c>
      <c r="AA821">
        <f>IF(G821="","",IF(COUNTIF($G$3:G821,SUBSTITUTE(SUBSTITUTE(G821,"?","~?"),"*","~*"))=1,MAX($AA$2:AA820)+1,""))</f>
        <v/>
      </c>
      <c r="AB821">
        <f>IF(B821="","",IF(COUNTIF($B$3:B821,SUBSTITUTE(SUBSTITUTE(B821,"?","~?"),"*","~*"))=1,MAX($AB$2:AB820)+1,""))</f>
        <v/>
      </c>
    </row>
    <row r="822">
      <c r="M822">
        <f>IF(A822="","",LOWER(TRIM(SUBSTITUTE(SUBSTITUTE(A822,"?",""),"*",""))))</f>
        <v/>
      </c>
      <c r="N822">
        <f>IF(M822="","",IF(SUMPRODUCT(ISNUMBER(SEARCH(" "&amp;Settings!$L$5:$L$124&amp;" "," "&amp;M822&amp;" "))*(Settings!$K$5:$K$124="Navigational")*(Settings!$L$5:$L$124&lt;&gt;""))&gt;0,"Navigational",IF(SUMPRODUCT(ISNUMBER(SEARCH(" "&amp;Settings!$L$5:$L$124&amp;" "," "&amp;M822&amp;" "))*(Settings!$K$5:$K$124="Transactional")*(Settings!$L$5:$L$124&lt;&gt;""))&gt;0,"Transactional",IF(SUMPRODUCT(ISNUMBER(SEARCH(" "&amp;Settings!$L$5:$L$124&amp;" "," "&amp;M822&amp;" "))*(Settings!$K$5:$K$124="Commercial")*(Settings!$L$5:$L$124&lt;&gt;""))&gt;0,"Commercial",IF(SUMPRODUCT(ISNUMBER(SEARCH(" "&amp;Settings!$L$5:$L$124&amp;" "," "&amp;M822&amp;" "))*(Settings!$K$5:$K$124="Informational")*(Settings!$L$5:$L$124&lt;&gt;""))&gt;0,"Informational","Unclassified")))))</f>
        <v/>
      </c>
      <c r="O822">
        <f>IF(A822="","",IF(K822&lt;&gt;"",PROPER(K822),N822))</f>
        <v/>
      </c>
      <c r="P822">
        <f>IF(A822="","",ROUND(Settings!$B$5*MIN(1,LOG10(N(C822)+1)/LOG10(Settings!$B$7+1))+Settings!$B$6*(1-MIN(100,IF(D822="",50,N(D822)))/100)+IFERROR(INDEX(Settings!$B$10:$B$14,MATCH(O822,Settings!$A$10:$A$14,0)),0),0))</f>
        <v/>
      </c>
      <c r="Q822">
        <f>IF(OR(A822="",G822=""),"",COUNTIFS($M$3:$M$1002,M822,$G$3:$G$1002,"&lt;&gt;"&amp;SUBSTITUTE(SUBSTITUTE(G822,"?","~?"),"*","~*"),$G$3:$G$1002,"?*"))</f>
        <v/>
      </c>
      <c r="R822">
        <f>IF(Q822="","",IF(Q822&gt;0,"Yes","No"))</f>
        <v/>
      </c>
      <c r="S822">
        <f>IF(G822="","",COUNTIFS($G$3:$G$1002,SUBSTITUTE(SUBSTITUTE(G822,"?","~?"),"*","~*"),$J$3:$J$1002,"Primary"))</f>
        <v/>
      </c>
      <c r="T822">
        <f>IF(S822="","",IF(S822&gt;Settings!$B$4,"Yes","No"))</f>
        <v/>
      </c>
      <c r="U822">
        <f>IF(OR(G822="",B822=""),"",IF(COUNTIFS($G$3:$G$1002,SUBSTITUTE(SUBSTITUTE(G822,"?","~?"),"*","~*"),$B$3:$B$1002,"&lt;&gt;"&amp;SUBSTITUTE(SUBSTITUTE(B822,"?","~?"),"*","~*"),$B$3:$B$1002,"?*")&gt;0,"Yes","No"))</f>
        <v/>
      </c>
      <c r="V822">
        <f>IF(OR(G822="",I822="",O822="",O822="Unclassified"),"",IFERROR(INDEX(Settings!$E$5:$H$16,MATCH(I822,Settings!$D$5:$D$16,0),MATCH(O822,Settings!$E$4:$H$4,0)),"Check"))</f>
        <v/>
      </c>
      <c r="W822">
        <f>IF(V822="","",IF(V822="No","Yes","No"))</f>
        <v/>
      </c>
      <c r="X822">
        <f>IF(OR(E822="",G822=""),"",IF(LOWER(IF(RIGHT(TRIM(E822),1)="/",LEFT(TRIM(E822),LEN(TRIM(E822))-1),TRIM(E822)))&lt;&gt;LOWER(IF(RIGHT(TRIM(G822),1)="/",LEFT(TRIM(G822),LEN(TRIM(G822))-1),TRIM(G822))),"Yes","No"))</f>
        <v/>
      </c>
      <c r="Y822">
        <f>IF(A822="","",(N(Q822)&gt;0)+(T822="Yes")+(U822="Yes")+(W822="Yes")+(X822="Yes"))</f>
        <v/>
      </c>
      <c r="Z822">
        <f>IF(A822="","",IF(G822="","Not mapped",IF(Y822=0,"OK",MID(IF(N(Q822)&gt;0,"; Cannibalisation","")&amp;IF(T822="Yes","; Too many primary keywords on URL","")&amp;IF(U822="Yes","; URL spans 2+ clusters","")&amp;IF(W822="Yes","; Intent mismatch","")&amp;IF(X822="Yes","; Ranking URL is not the target",""),3,300))))</f>
        <v/>
      </c>
      <c r="AA822">
        <f>IF(G822="","",IF(COUNTIF($G$3:G822,SUBSTITUTE(SUBSTITUTE(G822,"?","~?"),"*","~*"))=1,MAX($AA$2:AA821)+1,""))</f>
        <v/>
      </c>
      <c r="AB822">
        <f>IF(B822="","",IF(COUNTIF($B$3:B822,SUBSTITUTE(SUBSTITUTE(B822,"?","~?"),"*","~*"))=1,MAX($AB$2:AB821)+1,""))</f>
        <v/>
      </c>
    </row>
    <row r="823">
      <c r="M823">
        <f>IF(A823="","",LOWER(TRIM(SUBSTITUTE(SUBSTITUTE(A823,"?",""),"*",""))))</f>
        <v/>
      </c>
      <c r="N823">
        <f>IF(M823="","",IF(SUMPRODUCT(ISNUMBER(SEARCH(" "&amp;Settings!$L$5:$L$124&amp;" "," "&amp;M823&amp;" "))*(Settings!$K$5:$K$124="Navigational")*(Settings!$L$5:$L$124&lt;&gt;""))&gt;0,"Navigational",IF(SUMPRODUCT(ISNUMBER(SEARCH(" "&amp;Settings!$L$5:$L$124&amp;" "," "&amp;M823&amp;" "))*(Settings!$K$5:$K$124="Transactional")*(Settings!$L$5:$L$124&lt;&gt;""))&gt;0,"Transactional",IF(SUMPRODUCT(ISNUMBER(SEARCH(" "&amp;Settings!$L$5:$L$124&amp;" "," "&amp;M823&amp;" "))*(Settings!$K$5:$K$124="Commercial")*(Settings!$L$5:$L$124&lt;&gt;""))&gt;0,"Commercial",IF(SUMPRODUCT(ISNUMBER(SEARCH(" "&amp;Settings!$L$5:$L$124&amp;" "," "&amp;M823&amp;" "))*(Settings!$K$5:$K$124="Informational")*(Settings!$L$5:$L$124&lt;&gt;""))&gt;0,"Informational","Unclassified")))))</f>
        <v/>
      </c>
      <c r="O823">
        <f>IF(A823="","",IF(K823&lt;&gt;"",PROPER(K823),N823))</f>
        <v/>
      </c>
      <c r="P823">
        <f>IF(A823="","",ROUND(Settings!$B$5*MIN(1,LOG10(N(C823)+1)/LOG10(Settings!$B$7+1))+Settings!$B$6*(1-MIN(100,IF(D823="",50,N(D823)))/100)+IFERROR(INDEX(Settings!$B$10:$B$14,MATCH(O823,Settings!$A$10:$A$14,0)),0),0))</f>
        <v/>
      </c>
      <c r="Q823">
        <f>IF(OR(A823="",G823=""),"",COUNTIFS($M$3:$M$1002,M823,$G$3:$G$1002,"&lt;&gt;"&amp;SUBSTITUTE(SUBSTITUTE(G823,"?","~?"),"*","~*"),$G$3:$G$1002,"?*"))</f>
        <v/>
      </c>
      <c r="R823">
        <f>IF(Q823="","",IF(Q823&gt;0,"Yes","No"))</f>
        <v/>
      </c>
      <c r="S823">
        <f>IF(G823="","",COUNTIFS($G$3:$G$1002,SUBSTITUTE(SUBSTITUTE(G823,"?","~?"),"*","~*"),$J$3:$J$1002,"Primary"))</f>
        <v/>
      </c>
      <c r="T823">
        <f>IF(S823="","",IF(S823&gt;Settings!$B$4,"Yes","No"))</f>
        <v/>
      </c>
      <c r="U823">
        <f>IF(OR(G823="",B823=""),"",IF(COUNTIFS($G$3:$G$1002,SUBSTITUTE(SUBSTITUTE(G823,"?","~?"),"*","~*"),$B$3:$B$1002,"&lt;&gt;"&amp;SUBSTITUTE(SUBSTITUTE(B823,"?","~?"),"*","~*"),$B$3:$B$1002,"?*")&gt;0,"Yes","No"))</f>
        <v/>
      </c>
      <c r="V823">
        <f>IF(OR(G823="",I823="",O823="",O823="Unclassified"),"",IFERROR(INDEX(Settings!$E$5:$H$16,MATCH(I823,Settings!$D$5:$D$16,0),MATCH(O823,Settings!$E$4:$H$4,0)),"Check"))</f>
        <v/>
      </c>
      <c r="W823">
        <f>IF(V823="","",IF(V823="No","Yes","No"))</f>
        <v/>
      </c>
      <c r="X823">
        <f>IF(OR(E823="",G823=""),"",IF(LOWER(IF(RIGHT(TRIM(E823),1)="/",LEFT(TRIM(E823),LEN(TRIM(E823))-1),TRIM(E823)))&lt;&gt;LOWER(IF(RIGHT(TRIM(G823),1)="/",LEFT(TRIM(G823),LEN(TRIM(G823))-1),TRIM(G823))),"Yes","No"))</f>
        <v/>
      </c>
      <c r="Y823">
        <f>IF(A823="","",(N(Q823)&gt;0)+(T823="Yes")+(U823="Yes")+(W823="Yes")+(X823="Yes"))</f>
        <v/>
      </c>
      <c r="Z823">
        <f>IF(A823="","",IF(G823="","Not mapped",IF(Y823=0,"OK",MID(IF(N(Q823)&gt;0,"; Cannibalisation","")&amp;IF(T823="Yes","; Too many primary keywords on URL","")&amp;IF(U823="Yes","; URL spans 2+ clusters","")&amp;IF(W823="Yes","; Intent mismatch","")&amp;IF(X823="Yes","; Ranking URL is not the target",""),3,300))))</f>
        <v/>
      </c>
      <c r="AA823">
        <f>IF(G823="","",IF(COUNTIF($G$3:G823,SUBSTITUTE(SUBSTITUTE(G823,"?","~?"),"*","~*"))=1,MAX($AA$2:AA822)+1,""))</f>
        <v/>
      </c>
      <c r="AB823">
        <f>IF(B823="","",IF(COUNTIF($B$3:B823,SUBSTITUTE(SUBSTITUTE(B823,"?","~?"),"*","~*"))=1,MAX($AB$2:AB822)+1,""))</f>
        <v/>
      </c>
    </row>
    <row r="824">
      <c r="M824">
        <f>IF(A824="","",LOWER(TRIM(SUBSTITUTE(SUBSTITUTE(A824,"?",""),"*",""))))</f>
        <v/>
      </c>
      <c r="N824">
        <f>IF(M824="","",IF(SUMPRODUCT(ISNUMBER(SEARCH(" "&amp;Settings!$L$5:$L$124&amp;" "," "&amp;M824&amp;" "))*(Settings!$K$5:$K$124="Navigational")*(Settings!$L$5:$L$124&lt;&gt;""))&gt;0,"Navigational",IF(SUMPRODUCT(ISNUMBER(SEARCH(" "&amp;Settings!$L$5:$L$124&amp;" "," "&amp;M824&amp;" "))*(Settings!$K$5:$K$124="Transactional")*(Settings!$L$5:$L$124&lt;&gt;""))&gt;0,"Transactional",IF(SUMPRODUCT(ISNUMBER(SEARCH(" "&amp;Settings!$L$5:$L$124&amp;" "," "&amp;M824&amp;" "))*(Settings!$K$5:$K$124="Commercial")*(Settings!$L$5:$L$124&lt;&gt;""))&gt;0,"Commercial",IF(SUMPRODUCT(ISNUMBER(SEARCH(" "&amp;Settings!$L$5:$L$124&amp;" "," "&amp;M824&amp;" "))*(Settings!$K$5:$K$124="Informational")*(Settings!$L$5:$L$124&lt;&gt;""))&gt;0,"Informational","Unclassified")))))</f>
        <v/>
      </c>
      <c r="O824">
        <f>IF(A824="","",IF(K824&lt;&gt;"",PROPER(K824),N824))</f>
        <v/>
      </c>
      <c r="P824">
        <f>IF(A824="","",ROUND(Settings!$B$5*MIN(1,LOG10(N(C824)+1)/LOG10(Settings!$B$7+1))+Settings!$B$6*(1-MIN(100,IF(D824="",50,N(D824)))/100)+IFERROR(INDEX(Settings!$B$10:$B$14,MATCH(O824,Settings!$A$10:$A$14,0)),0),0))</f>
        <v/>
      </c>
      <c r="Q824">
        <f>IF(OR(A824="",G824=""),"",COUNTIFS($M$3:$M$1002,M824,$G$3:$G$1002,"&lt;&gt;"&amp;SUBSTITUTE(SUBSTITUTE(G824,"?","~?"),"*","~*"),$G$3:$G$1002,"?*"))</f>
        <v/>
      </c>
      <c r="R824">
        <f>IF(Q824="","",IF(Q824&gt;0,"Yes","No"))</f>
        <v/>
      </c>
      <c r="S824">
        <f>IF(G824="","",COUNTIFS($G$3:$G$1002,SUBSTITUTE(SUBSTITUTE(G824,"?","~?"),"*","~*"),$J$3:$J$1002,"Primary"))</f>
        <v/>
      </c>
      <c r="T824">
        <f>IF(S824="","",IF(S824&gt;Settings!$B$4,"Yes","No"))</f>
        <v/>
      </c>
      <c r="U824">
        <f>IF(OR(G824="",B824=""),"",IF(COUNTIFS($G$3:$G$1002,SUBSTITUTE(SUBSTITUTE(G824,"?","~?"),"*","~*"),$B$3:$B$1002,"&lt;&gt;"&amp;SUBSTITUTE(SUBSTITUTE(B824,"?","~?"),"*","~*"),$B$3:$B$1002,"?*")&gt;0,"Yes","No"))</f>
        <v/>
      </c>
      <c r="V824">
        <f>IF(OR(G824="",I824="",O824="",O824="Unclassified"),"",IFERROR(INDEX(Settings!$E$5:$H$16,MATCH(I824,Settings!$D$5:$D$16,0),MATCH(O824,Settings!$E$4:$H$4,0)),"Check"))</f>
        <v/>
      </c>
      <c r="W824">
        <f>IF(V824="","",IF(V824="No","Yes","No"))</f>
        <v/>
      </c>
      <c r="X824">
        <f>IF(OR(E824="",G824=""),"",IF(LOWER(IF(RIGHT(TRIM(E824),1)="/",LEFT(TRIM(E824),LEN(TRIM(E824))-1),TRIM(E824)))&lt;&gt;LOWER(IF(RIGHT(TRIM(G824),1)="/",LEFT(TRIM(G824),LEN(TRIM(G824))-1),TRIM(G824))),"Yes","No"))</f>
        <v/>
      </c>
      <c r="Y824">
        <f>IF(A824="","",(N(Q824)&gt;0)+(T824="Yes")+(U824="Yes")+(W824="Yes")+(X824="Yes"))</f>
        <v/>
      </c>
      <c r="Z824">
        <f>IF(A824="","",IF(G824="","Not mapped",IF(Y824=0,"OK",MID(IF(N(Q824)&gt;0,"; Cannibalisation","")&amp;IF(T824="Yes","; Too many primary keywords on URL","")&amp;IF(U824="Yes","; URL spans 2+ clusters","")&amp;IF(W824="Yes","; Intent mismatch","")&amp;IF(X824="Yes","; Ranking URL is not the target",""),3,300))))</f>
        <v/>
      </c>
      <c r="AA824">
        <f>IF(G824="","",IF(COUNTIF($G$3:G824,SUBSTITUTE(SUBSTITUTE(G824,"?","~?"),"*","~*"))=1,MAX($AA$2:AA823)+1,""))</f>
        <v/>
      </c>
      <c r="AB824">
        <f>IF(B824="","",IF(COUNTIF($B$3:B824,SUBSTITUTE(SUBSTITUTE(B824,"?","~?"),"*","~*"))=1,MAX($AB$2:AB823)+1,""))</f>
        <v/>
      </c>
    </row>
    <row r="825">
      <c r="M825">
        <f>IF(A825="","",LOWER(TRIM(SUBSTITUTE(SUBSTITUTE(A825,"?",""),"*",""))))</f>
        <v/>
      </c>
      <c r="N825">
        <f>IF(M825="","",IF(SUMPRODUCT(ISNUMBER(SEARCH(" "&amp;Settings!$L$5:$L$124&amp;" "," "&amp;M825&amp;" "))*(Settings!$K$5:$K$124="Navigational")*(Settings!$L$5:$L$124&lt;&gt;""))&gt;0,"Navigational",IF(SUMPRODUCT(ISNUMBER(SEARCH(" "&amp;Settings!$L$5:$L$124&amp;" "," "&amp;M825&amp;" "))*(Settings!$K$5:$K$124="Transactional")*(Settings!$L$5:$L$124&lt;&gt;""))&gt;0,"Transactional",IF(SUMPRODUCT(ISNUMBER(SEARCH(" "&amp;Settings!$L$5:$L$124&amp;" "," "&amp;M825&amp;" "))*(Settings!$K$5:$K$124="Commercial")*(Settings!$L$5:$L$124&lt;&gt;""))&gt;0,"Commercial",IF(SUMPRODUCT(ISNUMBER(SEARCH(" "&amp;Settings!$L$5:$L$124&amp;" "," "&amp;M825&amp;" "))*(Settings!$K$5:$K$124="Informational")*(Settings!$L$5:$L$124&lt;&gt;""))&gt;0,"Informational","Unclassified")))))</f>
        <v/>
      </c>
      <c r="O825">
        <f>IF(A825="","",IF(K825&lt;&gt;"",PROPER(K825),N825))</f>
        <v/>
      </c>
      <c r="P825">
        <f>IF(A825="","",ROUND(Settings!$B$5*MIN(1,LOG10(N(C825)+1)/LOG10(Settings!$B$7+1))+Settings!$B$6*(1-MIN(100,IF(D825="",50,N(D825)))/100)+IFERROR(INDEX(Settings!$B$10:$B$14,MATCH(O825,Settings!$A$10:$A$14,0)),0),0))</f>
        <v/>
      </c>
      <c r="Q825">
        <f>IF(OR(A825="",G825=""),"",COUNTIFS($M$3:$M$1002,M825,$G$3:$G$1002,"&lt;&gt;"&amp;SUBSTITUTE(SUBSTITUTE(G825,"?","~?"),"*","~*"),$G$3:$G$1002,"?*"))</f>
        <v/>
      </c>
      <c r="R825">
        <f>IF(Q825="","",IF(Q825&gt;0,"Yes","No"))</f>
        <v/>
      </c>
      <c r="S825">
        <f>IF(G825="","",COUNTIFS($G$3:$G$1002,SUBSTITUTE(SUBSTITUTE(G825,"?","~?"),"*","~*"),$J$3:$J$1002,"Primary"))</f>
        <v/>
      </c>
      <c r="T825">
        <f>IF(S825="","",IF(S825&gt;Settings!$B$4,"Yes","No"))</f>
        <v/>
      </c>
      <c r="U825">
        <f>IF(OR(G825="",B825=""),"",IF(COUNTIFS($G$3:$G$1002,SUBSTITUTE(SUBSTITUTE(G825,"?","~?"),"*","~*"),$B$3:$B$1002,"&lt;&gt;"&amp;SUBSTITUTE(SUBSTITUTE(B825,"?","~?"),"*","~*"),$B$3:$B$1002,"?*")&gt;0,"Yes","No"))</f>
        <v/>
      </c>
      <c r="V825">
        <f>IF(OR(G825="",I825="",O825="",O825="Unclassified"),"",IFERROR(INDEX(Settings!$E$5:$H$16,MATCH(I825,Settings!$D$5:$D$16,0),MATCH(O825,Settings!$E$4:$H$4,0)),"Check"))</f>
        <v/>
      </c>
      <c r="W825">
        <f>IF(V825="","",IF(V825="No","Yes","No"))</f>
        <v/>
      </c>
      <c r="X825">
        <f>IF(OR(E825="",G825=""),"",IF(LOWER(IF(RIGHT(TRIM(E825),1)="/",LEFT(TRIM(E825),LEN(TRIM(E825))-1),TRIM(E825)))&lt;&gt;LOWER(IF(RIGHT(TRIM(G825),1)="/",LEFT(TRIM(G825),LEN(TRIM(G825))-1),TRIM(G825))),"Yes","No"))</f>
        <v/>
      </c>
      <c r="Y825">
        <f>IF(A825="","",(N(Q825)&gt;0)+(T825="Yes")+(U825="Yes")+(W825="Yes")+(X825="Yes"))</f>
        <v/>
      </c>
      <c r="Z825">
        <f>IF(A825="","",IF(G825="","Not mapped",IF(Y825=0,"OK",MID(IF(N(Q825)&gt;0,"; Cannibalisation","")&amp;IF(T825="Yes","; Too many primary keywords on URL","")&amp;IF(U825="Yes","; URL spans 2+ clusters","")&amp;IF(W825="Yes","; Intent mismatch","")&amp;IF(X825="Yes","; Ranking URL is not the target",""),3,300))))</f>
        <v/>
      </c>
      <c r="AA825">
        <f>IF(G825="","",IF(COUNTIF($G$3:G825,SUBSTITUTE(SUBSTITUTE(G825,"?","~?"),"*","~*"))=1,MAX($AA$2:AA824)+1,""))</f>
        <v/>
      </c>
      <c r="AB825">
        <f>IF(B825="","",IF(COUNTIF($B$3:B825,SUBSTITUTE(SUBSTITUTE(B825,"?","~?"),"*","~*"))=1,MAX($AB$2:AB824)+1,""))</f>
        <v/>
      </c>
    </row>
    <row r="826">
      <c r="M826">
        <f>IF(A826="","",LOWER(TRIM(SUBSTITUTE(SUBSTITUTE(A826,"?",""),"*",""))))</f>
        <v/>
      </c>
      <c r="N826">
        <f>IF(M826="","",IF(SUMPRODUCT(ISNUMBER(SEARCH(" "&amp;Settings!$L$5:$L$124&amp;" "," "&amp;M826&amp;" "))*(Settings!$K$5:$K$124="Navigational")*(Settings!$L$5:$L$124&lt;&gt;""))&gt;0,"Navigational",IF(SUMPRODUCT(ISNUMBER(SEARCH(" "&amp;Settings!$L$5:$L$124&amp;" "," "&amp;M826&amp;" "))*(Settings!$K$5:$K$124="Transactional")*(Settings!$L$5:$L$124&lt;&gt;""))&gt;0,"Transactional",IF(SUMPRODUCT(ISNUMBER(SEARCH(" "&amp;Settings!$L$5:$L$124&amp;" "," "&amp;M826&amp;" "))*(Settings!$K$5:$K$124="Commercial")*(Settings!$L$5:$L$124&lt;&gt;""))&gt;0,"Commercial",IF(SUMPRODUCT(ISNUMBER(SEARCH(" "&amp;Settings!$L$5:$L$124&amp;" "," "&amp;M826&amp;" "))*(Settings!$K$5:$K$124="Informational")*(Settings!$L$5:$L$124&lt;&gt;""))&gt;0,"Informational","Unclassified")))))</f>
        <v/>
      </c>
      <c r="O826">
        <f>IF(A826="","",IF(K826&lt;&gt;"",PROPER(K826),N826))</f>
        <v/>
      </c>
      <c r="P826">
        <f>IF(A826="","",ROUND(Settings!$B$5*MIN(1,LOG10(N(C826)+1)/LOG10(Settings!$B$7+1))+Settings!$B$6*(1-MIN(100,IF(D826="",50,N(D826)))/100)+IFERROR(INDEX(Settings!$B$10:$B$14,MATCH(O826,Settings!$A$10:$A$14,0)),0),0))</f>
        <v/>
      </c>
      <c r="Q826">
        <f>IF(OR(A826="",G826=""),"",COUNTIFS($M$3:$M$1002,M826,$G$3:$G$1002,"&lt;&gt;"&amp;SUBSTITUTE(SUBSTITUTE(G826,"?","~?"),"*","~*"),$G$3:$G$1002,"?*"))</f>
        <v/>
      </c>
      <c r="R826">
        <f>IF(Q826="","",IF(Q826&gt;0,"Yes","No"))</f>
        <v/>
      </c>
      <c r="S826">
        <f>IF(G826="","",COUNTIFS($G$3:$G$1002,SUBSTITUTE(SUBSTITUTE(G826,"?","~?"),"*","~*"),$J$3:$J$1002,"Primary"))</f>
        <v/>
      </c>
      <c r="T826">
        <f>IF(S826="","",IF(S826&gt;Settings!$B$4,"Yes","No"))</f>
        <v/>
      </c>
      <c r="U826">
        <f>IF(OR(G826="",B826=""),"",IF(COUNTIFS($G$3:$G$1002,SUBSTITUTE(SUBSTITUTE(G826,"?","~?"),"*","~*"),$B$3:$B$1002,"&lt;&gt;"&amp;SUBSTITUTE(SUBSTITUTE(B826,"?","~?"),"*","~*"),$B$3:$B$1002,"?*")&gt;0,"Yes","No"))</f>
        <v/>
      </c>
      <c r="V826">
        <f>IF(OR(G826="",I826="",O826="",O826="Unclassified"),"",IFERROR(INDEX(Settings!$E$5:$H$16,MATCH(I826,Settings!$D$5:$D$16,0),MATCH(O826,Settings!$E$4:$H$4,0)),"Check"))</f>
        <v/>
      </c>
      <c r="W826">
        <f>IF(V826="","",IF(V826="No","Yes","No"))</f>
        <v/>
      </c>
      <c r="X826">
        <f>IF(OR(E826="",G826=""),"",IF(LOWER(IF(RIGHT(TRIM(E826),1)="/",LEFT(TRIM(E826),LEN(TRIM(E826))-1),TRIM(E826)))&lt;&gt;LOWER(IF(RIGHT(TRIM(G826),1)="/",LEFT(TRIM(G826),LEN(TRIM(G826))-1),TRIM(G826))),"Yes","No"))</f>
        <v/>
      </c>
      <c r="Y826">
        <f>IF(A826="","",(N(Q826)&gt;0)+(T826="Yes")+(U826="Yes")+(W826="Yes")+(X826="Yes"))</f>
        <v/>
      </c>
      <c r="Z826">
        <f>IF(A826="","",IF(G826="","Not mapped",IF(Y826=0,"OK",MID(IF(N(Q826)&gt;0,"; Cannibalisation","")&amp;IF(T826="Yes","; Too many primary keywords on URL","")&amp;IF(U826="Yes","; URL spans 2+ clusters","")&amp;IF(W826="Yes","; Intent mismatch","")&amp;IF(X826="Yes","; Ranking URL is not the target",""),3,300))))</f>
        <v/>
      </c>
      <c r="AA826">
        <f>IF(G826="","",IF(COUNTIF($G$3:G826,SUBSTITUTE(SUBSTITUTE(G826,"?","~?"),"*","~*"))=1,MAX($AA$2:AA825)+1,""))</f>
        <v/>
      </c>
      <c r="AB826">
        <f>IF(B826="","",IF(COUNTIF($B$3:B826,SUBSTITUTE(SUBSTITUTE(B826,"?","~?"),"*","~*"))=1,MAX($AB$2:AB825)+1,""))</f>
        <v/>
      </c>
    </row>
    <row r="827">
      <c r="M827">
        <f>IF(A827="","",LOWER(TRIM(SUBSTITUTE(SUBSTITUTE(A827,"?",""),"*",""))))</f>
        <v/>
      </c>
      <c r="N827">
        <f>IF(M827="","",IF(SUMPRODUCT(ISNUMBER(SEARCH(" "&amp;Settings!$L$5:$L$124&amp;" "," "&amp;M827&amp;" "))*(Settings!$K$5:$K$124="Navigational")*(Settings!$L$5:$L$124&lt;&gt;""))&gt;0,"Navigational",IF(SUMPRODUCT(ISNUMBER(SEARCH(" "&amp;Settings!$L$5:$L$124&amp;" "," "&amp;M827&amp;" "))*(Settings!$K$5:$K$124="Transactional")*(Settings!$L$5:$L$124&lt;&gt;""))&gt;0,"Transactional",IF(SUMPRODUCT(ISNUMBER(SEARCH(" "&amp;Settings!$L$5:$L$124&amp;" "," "&amp;M827&amp;" "))*(Settings!$K$5:$K$124="Commercial")*(Settings!$L$5:$L$124&lt;&gt;""))&gt;0,"Commercial",IF(SUMPRODUCT(ISNUMBER(SEARCH(" "&amp;Settings!$L$5:$L$124&amp;" "," "&amp;M827&amp;" "))*(Settings!$K$5:$K$124="Informational")*(Settings!$L$5:$L$124&lt;&gt;""))&gt;0,"Informational","Unclassified")))))</f>
        <v/>
      </c>
      <c r="O827">
        <f>IF(A827="","",IF(K827&lt;&gt;"",PROPER(K827),N827))</f>
        <v/>
      </c>
      <c r="P827">
        <f>IF(A827="","",ROUND(Settings!$B$5*MIN(1,LOG10(N(C827)+1)/LOG10(Settings!$B$7+1))+Settings!$B$6*(1-MIN(100,IF(D827="",50,N(D827)))/100)+IFERROR(INDEX(Settings!$B$10:$B$14,MATCH(O827,Settings!$A$10:$A$14,0)),0),0))</f>
        <v/>
      </c>
      <c r="Q827">
        <f>IF(OR(A827="",G827=""),"",COUNTIFS($M$3:$M$1002,M827,$G$3:$G$1002,"&lt;&gt;"&amp;SUBSTITUTE(SUBSTITUTE(G827,"?","~?"),"*","~*"),$G$3:$G$1002,"?*"))</f>
        <v/>
      </c>
      <c r="R827">
        <f>IF(Q827="","",IF(Q827&gt;0,"Yes","No"))</f>
        <v/>
      </c>
      <c r="S827">
        <f>IF(G827="","",COUNTIFS($G$3:$G$1002,SUBSTITUTE(SUBSTITUTE(G827,"?","~?"),"*","~*"),$J$3:$J$1002,"Primary"))</f>
        <v/>
      </c>
      <c r="T827">
        <f>IF(S827="","",IF(S827&gt;Settings!$B$4,"Yes","No"))</f>
        <v/>
      </c>
      <c r="U827">
        <f>IF(OR(G827="",B827=""),"",IF(COUNTIFS($G$3:$G$1002,SUBSTITUTE(SUBSTITUTE(G827,"?","~?"),"*","~*"),$B$3:$B$1002,"&lt;&gt;"&amp;SUBSTITUTE(SUBSTITUTE(B827,"?","~?"),"*","~*"),$B$3:$B$1002,"?*")&gt;0,"Yes","No"))</f>
        <v/>
      </c>
      <c r="V827">
        <f>IF(OR(G827="",I827="",O827="",O827="Unclassified"),"",IFERROR(INDEX(Settings!$E$5:$H$16,MATCH(I827,Settings!$D$5:$D$16,0),MATCH(O827,Settings!$E$4:$H$4,0)),"Check"))</f>
        <v/>
      </c>
      <c r="W827">
        <f>IF(V827="","",IF(V827="No","Yes","No"))</f>
        <v/>
      </c>
      <c r="X827">
        <f>IF(OR(E827="",G827=""),"",IF(LOWER(IF(RIGHT(TRIM(E827),1)="/",LEFT(TRIM(E827),LEN(TRIM(E827))-1),TRIM(E827)))&lt;&gt;LOWER(IF(RIGHT(TRIM(G827),1)="/",LEFT(TRIM(G827),LEN(TRIM(G827))-1),TRIM(G827))),"Yes","No"))</f>
        <v/>
      </c>
      <c r="Y827">
        <f>IF(A827="","",(N(Q827)&gt;0)+(T827="Yes")+(U827="Yes")+(W827="Yes")+(X827="Yes"))</f>
        <v/>
      </c>
      <c r="Z827">
        <f>IF(A827="","",IF(G827="","Not mapped",IF(Y827=0,"OK",MID(IF(N(Q827)&gt;0,"; Cannibalisation","")&amp;IF(T827="Yes","; Too many primary keywords on URL","")&amp;IF(U827="Yes","; URL spans 2+ clusters","")&amp;IF(W827="Yes","; Intent mismatch","")&amp;IF(X827="Yes","; Ranking URL is not the target",""),3,300))))</f>
        <v/>
      </c>
      <c r="AA827">
        <f>IF(G827="","",IF(COUNTIF($G$3:G827,SUBSTITUTE(SUBSTITUTE(G827,"?","~?"),"*","~*"))=1,MAX($AA$2:AA826)+1,""))</f>
        <v/>
      </c>
      <c r="AB827">
        <f>IF(B827="","",IF(COUNTIF($B$3:B827,SUBSTITUTE(SUBSTITUTE(B827,"?","~?"),"*","~*"))=1,MAX($AB$2:AB826)+1,""))</f>
        <v/>
      </c>
    </row>
    <row r="828">
      <c r="M828">
        <f>IF(A828="","",LOWER(TRIM(SUBSTITUTE(SUBSTITUTE(A828,"?",""),"*",""))))</f>
        <v/>
      </c>
      <c r="N828">
        <f>IF(M828="","",IF(SUMPRODUCT(ISNUMBER(SEARCH(" "&amp;Settings!$L$5:$L$124&amp;" "," "&amp;M828&amp;" "))*(Settings!$K$5:$K$124="Navigational")*(Settings!$L$5:$L$124&lt;&gt;""))&gt;0,"Navigational",IF(SUMPRODUCT(ISNUMBER(SEARCH(" "&amp;Settings!$L$5:$L$124&amp;" "," "&amp;M828&amp;" "))*(Settings!$K$5:$K$124="Transactional")*(Settings!$L$5:$L$124&lt;&gt;""))&gt;0,"Transactional",IF(SUMPRODUCT(ISNUMBER(SEARCH(" "&amp;Settings!$L$5:$L$124&amp;" "," "&amp;M828&amp;" "))*(Settings!$K$5:$K$124="Commercial")*(Settings!$L$5:$L$124&lt;&gt;""))&gt;0,"Commercial",IF(SUMPRODUCT(ISNUMBER(SEARCH(" "&amp;Settings!$L$5:$L$124&amp;" "," "&amp;M828&amp;" "))*(Settings!$K$5:$K$124="Informational")*(Settings!$L$5:$L$124&lt;&gt;""))&gt;0,"Informational","Unclassified")))))</f>
        <v/>
      </c>
      <c r="O828">
        <f>IF(A828="","",IF(K828&lt;&gt;"",PROPER(K828),N828))</f>
        <v/>
      </c>
      <c r="P828">
        <f>IF(A828="","",ROUND(Settings!$B$5*MIN(1,LOG10(N(C828)+1)/LOG10(Settings!$B$7+1))+Settings!$B$6*(1-MIN(100,IF(D828="",50,N(D828)))/100)+IFERROR(INDEX(Settings!$B$10:$B$14,MATCH(O828,Settings!$A$10:$A$14,0)),0),0))</f>
        <v/>
      </c>
      <c r="Q828">
        <f>IF(OR(A828="",G828=""),"",COUNTIFS($M$3:$M$1002,M828,$G$3:$G$1002,"&lt;&gt;"&amp;SUBSTITUTE(SUBSTITUTE(G828,"?","~?"),"*","~*"),$G$3:$G$1002,"?*"))</f>
        <v/>
      </c>
      <c r="R828">
        <f>IF(Q828="","",IF(Q828&gt;0,"Yes","No"))</f>
        <v/>
      </c>
      <c r="S828">
        <f>IF(G828="","",COUNTIFS($G$3:$G$1002,SUBSTITUTE(SUBSTITUTE(G828,"?","~?"),"*","~*"),$J$3:$J$1002,"Primary"))</f>
        <v/>
      </c>
      <c r="T828">
        <f>IF(S828="","",IF(S828&gt;Settings!$B$4,"Yes","No"))</f>
        <v/>
      </c>
      <c r="U828">
        <f>IF(OR(G828="",B828=""),"",IF(COUNTIFS($G$3:$G$1002,SUBSTITUTE(SUBSTITUTE(G828,"?","~?"),"*","~*"),$B$3:$B$1002,"&lt;&gt;"&amp;SUBSTITUTE(SUBSTITUTE(B828,"?","~?"),"*","~*"),$B$3:$B$1002,"?*")&gt;0,"Yes","No"))</f>
        <v/>
      </c>
      <c r="V828">
        <f>IF(OR(G828="",I828="",O828="",O828="Unclassified"),"",IFERROR(INDEX(Settings!$E$5:$H$16,MATCH(I828,Settings!$D$5:$D$16,0),MATCH(O828,Settings!$E$4:$H$4,0)),"Check"))</f>
        <v/>
      </c>
      <c r="W828">
        <f>IF(V828="","",IF(V828="No","Yes","No"))</f>
        <v/>
      </c>
      <c r="X828">
        <f>IF(OR(E828="",G828=""),"",IF(LOWER(IF(RIGHT(TRIM(E828),1)="/",LEFT(TRIM(E828),LEN(TRIM(E828))-1),TRIM(E828)))&lt;&gt;LOWER(IF(RIGHT(TRIM(G828),1)="/",LEFT(TRIM(G828),LEN(TRIM(G828))-1),TRIM(G828))),"Yes","No"))</f>
        <v/>
      </c>
      <c r="Y828">
        <f>IF(A828="","",(N(Q828)&gt;0)+(T828="Yes")+(U828="Yes")+(W828="Yes")+(X828="Yes"))</f>
        <v/>
      </c>
      <c r="Z828">
        <f>IF(A828="","",IF(G828="","Not mapped",IF(Y828=0,"OK",MID(IF(N(Q828)&gt;0,"; Cannibalisation","")&amp;IF(T828="Yes","; Too many primary keywords on URL","")&amp;IF(U828="Yes","; URL spans 2+ clusters","")&amp;IF(W828="Yes","; Intent mismatch","")&amp;IF(X828="Yes","; Ranking URL is not the target",""),3,300))))</f>
        <v/>
      </c>
      <c r="AA828">
        <f>IF(G828="","",IF(COUNTIF($G$3:G828,SUBSTITUTE(SUBSTITUTE(G828,"?","~?"),"*","~*"))=1,MAX($AA$2:AA827)+1,""))</f>
        <v/>
      </c>
      <c r="AB828">
        <f>IF(B828="","",IF(COUNTIF($B$3:B828,SUBSTITUTE(SUBSTITUTE(B828,"?","~?"),"*","~*"))=1,MAX($AB$2:AB827)+1,""))</f>
        <v/>
      </c>
    </row>
    <row r="829">
      <c r="M829">
        <f>IF(A829="","",LOWER(TRIM(SUBSTITUTE(SUBSTITUTE(A829,"?",""),"*",""))))</f>
        <v/>
      </c>
      <c r="N829">
        <f>IF(M829="","",IF(SUMPRODUCT(ISNUMBER(SEARCH(" "&amp;Settings!$L$5:$L$124&amp;" "," "&amp;M829&amp;" "))*(Settings!$K$5:$K$124="Navigational")*(Settings!$L$5:$L$124&lt;&gt;""))&gt;0,"Navigational",IF(SUMPRODUCT(ISNUMBER(SEARCH(" "&amp;Settings!$L$5:$L$124&amp;" "," "&amp;M829&amp;" "))*(Settings!$K$5:$K$124="Transactional")*(Settings!$L$5:$L$124&lt;&gt;""))&gt;0,"Transactional",IF(SUMPRODUCT(ISNUMBER(SEARCH(" "&amp;Settings!$L$5:$L$124&amp;" "," "&amp;M829&amp;" "))*(Settings!$K$5:$K$124="Commercial")*(Settings!$L$5:$L$124&lt;&gt;""))&gt;0,"Commercial",IF(SUMPRODUCT(ISNUMBER(SEARCH(" "&amp;Settings!$L$5:$L$124&amp;" "," "&amp;M829&amp;" "))*(Settings!$K$5:$K$124="Informational")*(Settings!$L$5:$L$124&lt;&gt;""))&gt;0,"Informational","Unclassified")))))</f>
        <v/>
      </c>
      <c r="O829">
        <f>IF(A829="","",IF(K829&lt;&gt;"",PROPER(K829),N829))</f>
        <v/>
      </c>
      <c r="P829">
        <f>IF(A829="","",ROUND(Settings!$B$5*MIN(1,LOG10(N(C829)+1)/LOG10(Settings!$B$7+1))+Settings!$B$6*(1-MIN(100,IF(D829="",50,N(D829)))/100)+IFERROR(INDEX(Settings!$B$10:$B$14,MATCH(O829,Settings!$A$10:$A$14,0)),0),0))</f>
        <v/>
      </c>
      <c r="Q829">
        <f>IF(OR(A829="",G829=""),"",COUNTIFS($M$3:$M$1002,M829,$G$3:$G$1002,"&lt;&gt;"&amp;SUBSTITUTE(SUBSTITUTE(G829,"?","~?"),"*","~*"),$G$3:$G$1002,"?*"))</f>
        <v/>
      </c>
      <c r="R829">
        <f>IF(Q829="","",IF(Q829&gt;0,"Yes","No"))</f>
        <v/>
      </c>
      <c r="S829">
        <f>IF(G829="","",COUNTIFS($G$3:$G$1002,SUBSTITUTE(SUBSTITUTE(G829,"?","~?"),"*","~*"),$J$3:$J$1002,"Primary"))</f>
        <v/>
      </c>
      <c r="T829">
        <f>IF(S829="","",IF(S829&gt;Settings!$B$4,"Yes","No"))</f>
        <v/>
      </c>
      <c r="U829">
        <f>IF(OR(G829="",B829=""),"",IF(COUNTIFS($G$3:$G$1002,SUBSTITUTE(SUBSTITUTE(G829,"?","~?"),"*","~*"),$B$3:$B$1002,"&lt;&gt;"&amp;SUBSTITUTE(SUBSTITUTE(B829,"?","~?"),"*","~*"),$B$3:$B$1002,"?*")&gt;0,"Yes","No"))</f>
        <v/>
      </c>
      <c r="V829">
        <f>IF(OR(G829="",I829="",O829="",O829="Unclassified"),"",IFERROR(INDEX(Settings!$E$5:$H$16,MATCH(I829,Settings!$D$5:$D$16,0),MATCH(O829,Settings!$E$4:$H$4,0)),"Check"))</f>
        <v/>
      </c>
      <c r="W829">
        <f>IF(V829="","",IF(V829="No","Yes","No"))</f>
        <v/>
      </c>
      <c r="X829">
        <f>IF(OR(E829="",G829=""),"",IF(LOWER(IF(RIGHT(TRIM(E829),1)="/",LEFT(TRIM(E829),LEN(TRIM(E829))-1),TRIM(E829)))&lt;&gt;LOWER(IF(RIGHT(TRIM(G829),1)="/",LEFT(TRIM(G829),LEN(TRIM(G829))-1),TRIM(G829))),"Yes","No"))</f>
        <v/>
      </c>
      <c r="Y829">
        <f>IF(A829="","",(N(Q829)&gt;0)+(T829="Yes")+(U829="Yes")+(W829="Yes")+(X829="Yes"))</f>
        <v/>
      </c>
      <c r="Z829">
        <f>IF(A829="","",IF(G829="","Not mapped",IF(Y829=0,"OK",MID(IF(N(Q829)&gt;0,"; Cannibalisation","")&amp;IF(T829="Yes","; Too many primary keywords on URL","")&amp;IF(U829="Yes","; URL spans 2+ clusters","")&amp;IF(W829="Yes","; Intent mismatch","")&amp;IF(X829="Yes","; Ranking URL is not the target",""),3,300))))</f>
        <v/>
      </c>
      <c r="AA829">
        <f>IF(G829="","",IF(COUNTIF($G$3:G829,SUBSTITUTE(SUBSTITUTE(G829,"?","~?"),"*","~*"))=1,MAX($AA$2:AA828)+1,""))</f>
        <v/>
      </c>
      <c r="AB829">
        <f>IF(B829="","",IF(COUNTIF($B$3:B829,SUBSTITUTE(SUBSTITUTE(B829,"?","~?"),"*","~*"))=1,MAX($AB$2:AB828)+1,""))</f>
        <v/>
      </c>
    </row>
    <row r="830">
      <c r="M830">
        <f>IF(A830="","",LOWER(TRIM(SUBSTITUTE(SUBSTITUTE(A830,"?",""),"*",""))))</f>
        <v/>
      </c>
      <c r="N830">
        <f>IF(M830="","",IF(SUMPRODUCT(ISNUMBER(SEARCH(" "&amp;Settings!$L$5:$L$124&amp;" "," "&amp;M830&amp;" "))*(Settings!$K$5:$K$124="Navigational")*(Settings!$L$5:$L$124&lt;&gt;""))&gt;0,"Navigational",IF(SUMPRODUCT(ISNUMBER(SEARCH(" "&amp;Settings!$L$5:$L$124&amp;" "," "&amp;M830&amp;" "))*(Settings!$K$5:$K$124="Transactional")*(Settings!$L$5:$L$124&lt;&gt;""))&gt;0,"Transactional",IF(SUMPRODUCT(ISNUMBER(SEARCH(" "&amp;Settings!$L$5:$L$124&amp;" "," "&amp;M830&amp;" "))*(Settings!$K$5:$K$124="Commercial")*(Settings!$L$5:$L$124&lt;&gt;""))&gt;0,"Commercial",IF(SUMPRODUCT(ISNUMBER(SEARCH(" "&amp;Settings!$L$5:$L$124&amp;" "," "&amp;M830&amp;" "))*(Settings!$K$5:$K$124="Informational")*(Settings!$L$5:$L$124&lt;&gt;""))&gt;0,"Informational","Unclassified")))))</f>
        <v/>
      </c>
      <c r="O830">
        <f>IF(A830="","",IF(K830&lt;&gt;"",PROPER(K830),N830))</f>
        <v/>
      </c>
      <c r="P830">
        <f>IF(A830="","",ROUND(Settings!$B$5*MIN(1,LOG10(N(C830)+1)/LOG10(Settings!$B$7+1))+Settings!$B$6*(1-MIN(100,IF(D830="",50,N(D830)))/100)+IFERROR(INDEX(Settings!$B$10:$B$14,MATCH(O830,Settings!$A$10:$A$14,0)),0),0))</f>
        <v/>
      </c>
      <c r="Q830">
        <f>IF(OR(A830="",G830=""),"",COUNTIFS($M$3:$M$1002,M830,$G$3:$G$1002,"&lt;&gt;"&amp;SUBSTITUTE(SUBSTITUTE(G830,"?","~?"),"*","~*"),$G$3:$G$1002,"?*"))</f>
        <v/>
      </c>
      <c r="R830">
        <f>IF(Q830="","",IF(Q830&gt;0,"Yes","No"))</f>
        <v/>
      </c>
      <c r="S830">
        <f>IF(G830="","",COUNTIFS($G$3:$G$1002,SUBSTITUTE(SUBSTITUTE(G830,"?","~?"),"*","~*"),$J$3:$J$1002,"Primary"))</f>
        <v/>
      </c>
      <c r="T830">
        <f>IF(S830="","",IF(S830&gt;Settings!$B$4,"Yes","No"))</f>
        <v/>
      </c>
      <c r="U830">
        <f>IF(OR(G830="",B830=""),"",IF(COUNTIFS($G$3:$G$1002,SUBSTITUTE(SUBSTITUTE(G830,"?","~?"),"*","~*"),$B$3:$B$1002,"&lt;&gt;"&amp;SUBSTITUTE(SUBSTITUTE(B830,"?","~?"),"*","~*"),$B$3:$B$1002,"?*")&gt;0,"Yes","No"))</f>
        <v/>
      </c>
      <c r="V830">
        <f>IF(OR(G830="",I830="",O830="",O830="Unclassified"),"",IFERROR(INDEX(Settings!$E$5:$H$16,MATCH(I830,Settings!$D$5:$D$16,0),MATCH(O830,Settings!$E$4:$H$4,0)),"Check"))</f>
        <v/>
      </c>
      <c r="W830">
        <f>IF(V830="","",IF(V830="No","Yes","No"))</f>
        <v/>
      </c>
      <c r="X830">
        <f>IF(OR(E830="",G830=""),"",IF(LOWER(IF(RIGHT(TRIM(E830),1)="/",LEFT(TRIM(E830),LEN(TRIM(E830))-1),TRIM(E830)))&lt;&gt;LOWER(IF(RIGHT(TRIM(G830),1)="/",LEFT(TRIM(G830),LEN(TRIM(G830))-1),TRIM(G830))),"Yes","No"))</f>
        <v/>
      </c>
      <c r="Y830">
        <f>IF(A830="","",(N(Q830)&gt;0)+(T830="Yes")+(U830="Yes")+(W830="Yes")+(X830="Yes"))</f>
        <v/>
      </c>
      <c r="Z830">
        <f>IF(A830="","",IF(G830="","Not mapped",IF(Y830=0,"OK",MID(IF(N(Q830)&gt;0,"; Cannibalisation","")&amp;IF(T830="Yes","; Too many primary keywords on URL","")&amp;IF(U830="Yes","; URL spans 2+ clusters","")&amp;IF(W830="Yes","; Intent mismatch","")&amp;IF(X830="Yes","; Ranking URL is not the target",""),3,300))))</f>
        <v/>
      </c>
      <c r="AA830">
        <f>IF(G830="","",IF(COUNTIF($G$3:G830,SUBSTITUTE(SUBSTITUTE(G830,"?","~?"),"*","~*"))=1,MAX($AA$2:AA829)+1,""))</f>
        <v/>
      </c>
      <c r="AB830">
        <f>IF(B830="","",IF(COUNTIF($B$3:B830,SUBSTITUTE(SUBSTITUTE(B830,"?","~?"),"*","~*"))=1,MAX($AB$2:AB829)+1,""))</f>
        <v/>
      </c>
    </row>
    <row r="831">
      <c r="M831">
        <f>IF(A831="","",LOWER(TRIM(SUBSTITUTE(SUBSTITUTE(A831,"?",""),"*",""))))</f>
        <v/>
      </c>
      <c r="N831">
        <f>IF(M831="","",IF(SUMPRODUCT(ISNUMBER(SEARCH(" "&amp;Settings!$L$5:$L$124&amp;" "," "&amp;M831&amp;" "))*(Settings!$K$5:$K$124="Navigational")*(Settings!$L$5:$L$124&lt;&gt;""))&gt;0,"Navigational",IF(SUMPRODUCT(ISNUMBER(SEARCH(" "&amp;Settings!$L$5:$L$124&amp;" "," "&amp;M831&amp;" "))*(Settings!$K$5:$K$124="Transactional")*(Settings!$L$5:$L$124&lt;&gt;""))&gt;0,"Transactional",IF(SUMPRODUCT(ISNUMBER(SEARCH(" "&amp;Settings!$L$5:$L$124&amp;" "," "&amp;M831&amp;" "))*(Settings!$K$5:$K$124="Commercial")*(Settings!$L$5:$L$124&lt;&gt;""))&gt;0,"Commercial",IF(SUMPRODUCT(ISNUMBER(SEARCH(" "&amp;Settings!$L$5:$L$124&amp;" "," "&amp;M831&amp;" "))*(Settings!$K$5:$K$124="Informational")*(Settings!$L$5:$L$124&lt;&gt;""))&gt;0,"Informational","Unclassified")))))</f>
        <v/>
      </c>
      <c r="O831">
        <f>IF(A831="","",IF(K831&lt;&gt;"",PROPER(K831),N831))</f>
        <v/>
      </c>
      <c r="P831">
        <f>IF(A831="","",ROUND(Settings!$B$5*MIN(1,LOG10(N(C831)+1)/LOG10(Settings!$B$7+1))+Settings!$B$6*(1-MIN(100,IF(D831="",50,N(D831)))/100)+IFERROR(INDEX(Settings!$B$10:$B$14,MATCH(O831,Settings!$A$10:$A$14,0)),0),0))</f>
        <v/>
      </c>
      <c r="Q831">
        <f>IF(OR(A831="",G831=""),"",COUNTIFS($M$3:$M$1002,M831,$G$3:$G$1002,"&lt;&gt;"&amp;SUBSTITUTE(SUBSTITUTE(G831,"?","~?"),"*","~*"),$G$3:$G$1002,"?*"))</f>
        <v/>
      </c>
      <c r="R831">
        <f>IF(Q831="","",IF(Q831&gt;0,"Yes","No"))</f>
        <v/>
      </c>
      <c r="S831">
        <f>IF(G831="","",COUNTIFS($G$3:$G$1002,SUBSTITUTE(SUBSTITUTE(G831,"?","~?"),"*","~*"),$J$3:$J$1002,"Primary"))</f>
        <v/>
      </c>
      <c r="T831">
        <f>IF(S831="","",IF(S831&gt;Settings!$B$4,"Yes","No"))</f>
        <v/>
      </c>
      <c r="U831">
        <f>IF(OR(G831="",B831=""),"",IF(COUNTIFS($G$3:$G$1002,SUBSTITUTE(SUBSTITUTE(G831,"?","~?"),"*","~*"),$B$3:$B$1002,"&lt;&gt;"&amp;SUBSTITUTE(SUBSTITUTE(B831,"?","~?"),"*","~*"),$B$3:$B$1002,"?*")&gt;0,"Yes","No"))</f>
        <v/>
      </c>
      <c r="V831">
        <f>IF(OR(G831="",I831="",O831="",O831="Unclassified"),"",IFERROR(INDEX(Settings!$E$5:$H$16,MATCH(I831,Settings!$D$5:$D$16,0),MATCH(O831,Settings!$E$4:$H$4,0)),"Check"))</f>
        <v/>
      </c>
      <c r="W831">
        <f>IF(V831="","",IF(V831="No","Yes","No"))</f>
        <v/>
      </c>
      <c r="X831">
        <f>IF(OR(E831="",G831=""),"",IF(LOWER(IF(RIGHT(TRIM(E831),1)="/",LEFT(TRIM(E831),LEN(TRIM(E831))-1),TRIM(E831)))&lt;&gt;LOWER(IF(RIGHT(TRIM(G831),1)="/",LEFT(TRIM(G831),LEN(TRIM(G831))-1),TRIM(G831))),"Yes","No"))</f>
        <v/>
      </c>
      <c r="Y831">
        <f>IF(A831="","",(N(Q831)&gt;0)+(T831="Yes")+(U831="Yes")+(W831="Yes")+(X831="Yes"))</f>
        <v/>
      </c>
      <c r="Z831">
        <f>IF(A831="","",IF(G831="","Not mapped",IF(Y831=0,"OK",MID(IF(N(Q831)&gt;0,"; Cannibalisation","")&amp;IF(T831="Yes","; Too many primary keywords on URL","")&amp;IF(U831="Yes","; URL spans 2+ clusters","")&amp;IF(W831="Yes","; Intent mismatch","")&amp;IF(X831="Yes","; Ranking URL is not the target",""),3,300))))</f>
        <v/>
      </c>
      <c r="AA831">
        <f>IF(G831="","",IF(COUNTIF($G$3:G831,SUBSTITUTE(SUBSTITUTE(G831,"?","~?"),"*","~*"))=1,MAX($AA$2:AA830)+1,""))</f>
        <v/>
      </c>
      <c r="AB831">
        <f>IF(B831="","",IF(COUNTIF($B$3:B831,SUBSTITUTE(SUBSTITUTE(B831,"?","~?"),"*","~*"))=1,MAX($AB$2:AB830)+1,""))</f>
        <v/>
      </c>
    </row>
    <row r="832">
      <c r="M832">
        <f>IF(A832="","",LOWER(TRIM(SUBSTITUTE(SUBSTITUTE(A832,"?",""),"*",""))))</f>
        <v/>
      </c>
      <c r="N832">
        <f>IF(M832="","",IF(SUMPRODUCT(ISNUMBER(SEARCH(" "&amp;Settings!$L$5:$L$124&amp;" "," "&amp;M832&amp;" "))*(Settings!$K$5:$K$124="Navigational")*(Settings!$L$5:$L$124&lt;&gt;""))&gt;0,"Navigational",IF(SUMPRODUCT(ISNUMBER(SEARCH(" "&amp;Settings!$L$5:$L$124&amp;" "," "&amp;M832&amp;" "))*(Settings!$K$5:$K$124="Transactional")*(Settings!$L$5:$L$124&lt;&gt;""))&gt;0,"Transactional",IF(SUMPRODUCT(ISNUMBER(SEARCH(" "&amp;Settings!$L$5:$L$124&amp;" "," "&amp;M832&amp;" "))*(Settings!$K$5:$K$124="Commercial")*(Settings!$L$5:$L$124&lt;&gt;""))&gt;0,"Commercial",IF(SUMPRODUCT(ISNUMBER(SEARCH(" "&amp;Settings!$L$5:$L$124&amp;" "," "&amp;M832&amp;" "))*(Settings!$K$5:$K$124="Informational")*(Settings!$L$5:$L$124&lt;&gt;""))&gt;0,"Informational","Unclassified")))))</f>
        <v/>
      </c>
      <c r="O832">
        <f>IF(A832="","",IF(K832&lt;&gt;"",PROPER(K832),N832))</f>
        <v/>
      </c>
      <c r="P832">
        <f>IF(A832="","",ROUND(Settings!$B$5*MIN(1,LOG10(N(C832)+1)/LOG10(Settings!$B$7+1))+Settings!$B$6*(1-MIN(100,IF(D832="",50,N(D832)))/100)+IFERROR(INDEX(Settings!$B$10:$B$14,MATCH(O832,Settings!$A$10:$A$14,0)),0),0))</f>
        <v/>
      </c>
      <c r="Q832">
        <f>IF(OR(A832="",G832=""),"",COUNTIFS($M$3:$M$1002,M832,$G$3:$G$1002,"&lt;&gt;"&amp;SUBSTITUTE(SUBSTITUTE(G832,"?","~?"),"*","~*"),$G$3:$G$1002,"?*"))</f>
        <v/>
      </c>
      <c r="R832">
        <f>IF(Q832="","",IF(Q832&gt;0,"Yes","No"))</f>
        <v/>
      </c>
      <c r="S832">
        <f>IF(G832="","",COUNTIFS($G$3:$G$1002,SUBSTITUTE(SUBSTITUTE(G832,"?","~?"),"*","~*"),$J$3:$J$1002,"Primary"))</f>
        <v/>
      </c>
      <c r="T832">
        <f>IF(S832="","",IF(S832&gt;Settings!$B$4,"Yes","No"))</f>
        <v/>
      </c>
      <c r="U832">
        <f>IF(OR(G832="",B832=""),"",IF(COUNTIFS($G$3:$G$1002,SUBSTITUTE(SUBSTITUTE(G832,"?","~?"),"*","~*"),$B$3:$B$1002,"&lt;&gt;"&amp;SUBSTITUTE(SUBSTITUTE(B832,"?","~?"),"*","~*"),$B$3:$B$1002,"?*")&gt;0,"Yes","No"))</f>
        <v/>
      </c>
      <c r="V832">
        <f>IF(OR(G832="",I832="",O832="",O832="Unclassified"),"",IFERROR(INDEX(Settings!$E$5:$H$16,MATCH(I832,Settings!$D$5:$D$16,0),MATCH(O832,Settings!$E$4:$H$4,0)),"Check"))</f>
        <v/>
      </c>
      <c r="W832">
        <f>IF(V832="","",IF(V832="No","Yes","No"))</f>
        <v/>
      </c>
      <c r="X832">
        <f>IF(OR(E832="",G832=""),"",IF(LOWER(IF(RIGHT(TRIM(E832),1)="/",LEFT(TRIM(E832),LEN(TRIM(E832))-1),TRIM(E832)))&lt;&gt;LOWER(IF(RIGHT(TRIM(G832),1)="/",LEFT(TRIM(G832),LEN(TRIM(G832))-1),TRIM(G832))),"Yes","No"))</f>
        <v/>
      </c>
      <c r="Y832">
        <f>IF(A832="","",(N(Q832)&gt;0)+(T832="Yes")+(U832="Yes")+(W832="Yes")+(X832="Yes"))</f>
        <v/>
      </c>
      <c r="Z832">
        <f>IF(A832="","",IF(G832="","Not mapped",IF(Y832=0,"OK",MID(IF(N(Q832)&gt;0,"; Cannibalisation","")&amp;IF(T832="Yes","; Too many primary keywords on URL","")&amp;IF(U832="Yes","; URL spans 2+ clusters","")&amp;IF(W832="Yes","; Intent mismatch","")&amp;IF(X832="Yes","; Ranking URL is not the target",""),3,300))))</f>
        <v/>
      </c>
      <c r="AA832">
        <f>IF(G832="","",IF(COUNTIF($G$3:G832,SUBSTITUTE(SUBSTITUTE(G832,"?","~?"),"*","~*"))=1,MAX($AA$2:AA831)+1,""))</f>
        <v/>
      </c>
      <c r="AB832">
        <f>IF(B832="","",IF(COUNTIF($B$3:B832,SUBSTITUTE(SUBSTITUTE(B832,"?","~?"),"*","~*"))=1,MAX($AB$2:AB831)+1,""))</f>
        <v/>
      </c>
    </row>
    <row r="833">
      <c r="M833">
        <f>IF(A833="","",LOWER(TRIM(SUBSTITUTE(SUBSTITUTE(A833,"?",""),"*",""))))</f>
        <v/>
      </c>
      <c r="N833">
        <f>IF(M833="","",IF(SUMPRODUCT(ISNUMBER(SEARCH(" "&amp;Settings!$L$5:$L$124&amp;" "," "&amp;M833&amp;" "))*(Settings!$K$5:$K$124="Navigational")*(Settings!$L$5:$L$124&lt;&gt;""))&gt;0,"Navigational",IF(SUMPRODUCT(ISNUMBER(SEARCH(" "&amp;Settings!$L$5:$L$124&amp;" "," "&amp;M833&amp;" "))*(Settings!$K$5:$K$124="Transactional")*(Settings!$L$5:$L$124&lt;&gt;""))&gt;0,"Transactional",IF(SUMPRODUCT(ISNUMBER(SEARCH(" "&amp;Settings!$L$5:$L$124&amp;" "," "&amp;M833&amp;" "))*(Settings!$K$5:$K$124="Commercial")*(Settings!$L$5:$L$124&lt;&gt;""))&gt;0,"Commercial",IF(SUMPRODUCT(ISNUMBER(SEARCH(" "&amp;Settings!$L$5:$L$124&amp;" "," "&amp;M833&amp;" "))*(Settings!$K$5:$K$124="Informational")*(Settings!$L$5:$L$124&lt;&gt;""))&gt;0,"Informational","Unclassified")))))</f>
        <v/>
      </c>
      <c r="O833">
        <f>IF(A833="","",IF(K833&lt;&gt;"",PROPER(K833),N833))</f>
        <v/>
      </c>
      <c r="P833">
        <f>IF(A833="","",ROUND(Settings!$B$5*MIN(1,LOG10(N(C833)+1)/LOG10(Settings!$B$7+1))+Settings!$B$6*(1-MIN(100,IF(D833="",50,N(D833)))/100)+IFERROR(INDEX(Settings!$B$10:$B$14,MATCH(O833,Settings!$A$10:$A$14,0)),0),0))</f>
        <v/>
      </c>
      <c r="Q833">
        <f>IF(OR(A833="",G833=""),"",COUNTIFS($M$3:$M$1002,M833,$G$3:$G$1002,"&lt;&gt;"&amp;SUBSTITUTE(SUBSTITUTE(G833,"?","~?"),"*","~*"),$G$3:$G$1002,"?*"))</f>
        <v/>
      </c>
      <c r="R833">
        <f>IF(Q833="","",IF(Q833&gt;0,"Yes","No"))</f>
        <v/>
      </c>
      <c r="S833">
        <f>IF(G833="","",COUNTIFS($G$3:$G$1002,SUBSTITUTE(SUBSTITUTE(G833,"?","~?"),"*","~*"),$J$3:$J$1002,"Primary"))</f>
        <v/>
      </c>
      <c r="T833">
        <f>IF(S833="","",IF(S833&gt;Settings!$B$4,"Yes","No"))</f>
        <v/>
      </c>
      <c r="U833">
        <f>IF(OR(G833="",B833=""),"",IF(COUNTIFS($G$3:$G$1002,SUBSTITUTE(SUBSTITUTE(G833,"?","~?"),"*","~*"),$B$3:$B$1002,"&lt;&gt;"&amp;SUBSTITUTE(SUBSTITUTE(B833,"?","~?"),"*","~*"),$B$3:$B$1002,"?*")&gt;0,"Yes","No"))</f>
        <v/>
      </c>
      <c r="V833">
        <f>IF(OR(G833="",I833="",O833="",O833="Unclassified"),"",IFERROR(INDEX(Settings!$E$5:$H$16,MATCH(I833,Settings!$D$5:$D$16,0),MATCH(O833,Settings!$E$4:$H$4,0)),"Check"))</f>
        <v/>
      </c>
      <c r="W833">
        <f>IF(V833="","",IF(V833="No","Yes","No"))</f>
        <v/>
      </c>
      <c r="X833">
        <f>IF(OR(E833="",G833=""),"",IF(LOWER(IF(RIGHT(TRIM(E833),1)="/",LEFT(TRIM(E833),LEN(TRIM(E833))-1),TRIM(E833)))&lt;&gt;LOWER(IF(RIGHT(TRIM(G833),1)="/",LEFT(TRIM(G833),LEN(TRIM(G833))-1),TRIM(G833))),"Yes","No"))</f>
        <v/>
      </c>
      <c r="Y833">
        <f>IF(A833="","",(N(Q833)&gt;0)+(T833="Yes")+(U833="Yes")+(W833="Yes")+(X833="Yes"))</f>
        <v/>
      </c>
      <c r="Z833">
        <f>IF(A833="","",IF(G833="","Not mapped",IF(Y833=0,"OK",MID(IF(N(Q833)&gt;0,"; Cannibalisation","")&amp;IF(T833="Yes","; Too many primary keywords on URL","")&amp;IF(U833="Yes","; URL spans 2+ clusters","")&amp;IF(W833="Yes","; Intent mismatch","")&amp;IF(X833="Yes","; Ranking URL is not the target",""),3,300))))</f>
        <v/>
      </c>
      <c r="AA833">
        <f>IF(G833="","",IF(COUNTIF($G$3:G833,SUBSTITUTE(SUBSTITUTE(G833,"?","~?"),"*","~*"))=1,MAX($AA$2:AA832)+1,""))</f>
        <v/>
      </c>
      <c r="AB833">
        <f>IF(B833="","",IF(COUNTIF($B$3:B833,SUBSTITUTE(SUBSTITUTE(B833,"?","~?"),"*","~*"))=1,MAX($AB$2:AB832)+1,""))</f>
        <v/>
      </c>
    </row>
    <row r="834">
      <c r="M834">
        <f>IF(A834="","",LOWER(TRIM(SUBSTITUTE(SUBSTITUTE(A834,"?",""),"*",""))))</f>
        <v/>
      </c>
      <c r="N834">
        <f>IF(M834="","",IF(SUMPRODUCT(ISNUMBER(SEARCH(" "&amp;Settings!$L$5:$L$124&amp;" "," "&amp;M834&amp;" "))*(Settings!$K$5:$K$124="Navigational")*(Settings!$L$5:$L$124&lt;&gt;""))&gt;0,"Navigational",IF(SUMPRODUCT(ISNUMBER(SEARCH(" "&amp;Settings!$L$5:$L$124&amp;" "," "&amp;M834&amp;" "))*(Settings!$K$5:$K$124="Transactional")*(Settings!$L$5:$L$124&lt;&gt;""))&gt;0,"Transactional",IF(SUMPRODUCT(ISNUMBER(SEARCH(" "&amp;Settings!$L$5:$L$124&amp;" "," "&amp;M834&amp;" "))*(Settings!$K$5:$K$124="Commercial")*(Settings!$L$5:$L$124&lt;&gt;""))&gt;0,"Commercial",IF(SUMPRODUCT(ISNUMBER(SEARCH(" "&amp;Settings!$L$5:$L$124&amp;" "," "&amp;M834&amp;" "))*(Settings!$K$5:$K$124="Informational")*(Settings!$L$5:$L$124&lt;&gt;""))&gt;0,"Informational","Unclassified")))))</f>
        <v/>
      </c>
      <c r="O834">
        <f>IF(A834="","",IF(K834&lt;&gt;"",PROPER(K834),N834))</f>
        <v/>
      </c>
      <c r="P834">
        <f>IF(A834="","",ROUND(Settings!$B$5*MIN(1,LOG10(N(C834)+1)/LOG10(Settings!$B$7+1))+Settings!$B$6*(1-MIN(100,IF(D834="",50,N(D834)))/100)+IFERROR(INDEX(Settings!$B$10:$B$14,MATCH(O834,Settings!$A$10:$A$14,0)),0),0))</f>
        <v/>
      </c>
      <c r="Q834">
        <f>IF(OR(A834="",G834=""),"",COUNTIFS($M$3:$M$1002,M834,$G$3:$G$1002,"&lt;&gt;"&amp;SUBSTITUTE(SUBSTITUTE(G834,"?","~?"),"*","~*"),$G$3:$G$1002,"?*"))</f>
        <v/>
      </c>
      <c r="R834">
        <f>IF(Q834="","",IF(Q834&gt;0,"Yes","No"))</f>
        <v/>
      </c>
      <c r="S834">
        <f>IF(G834="","",COUNTIFS($G$3:$G$1002,SUBSTITUTE(SUBSTITUTE(G834,"?","~?"),"*","~*"),$J$3:$J$1002,"Primary"))</f>
        <v/>
      </c>
      <c r="T834">
        <f>IF(S834="","",IF(S834&gt;Settings!$B$4,"Yes","No"))</f>
        <v/>
      </c>
      <c r="U834">
        <f>IF(OR(G834="",B834=""),"",IF(COUNTIFS($G$3:$G$1002,SUBSTITUTE(SUBSTITUTE(G834,"?","~?"),"*","~*"),$B$3:$B$1002,"&lt;&gt;"&amp;SUBSTITUTE(SUBSTITUTE(B834,"?","~?"),"*","~*"),$B$3:$B$1002,"?*")&gt;0,"Yes","No"))</f>
        <v/>
      </c>
      <c r="V834">
        <f>IF(OR(G834="",I834="",O834="",O834="Unclassified"),"",IFERROR(INDEX(Settings!$E$5:$H$16,MATCH(I834,Settings!$D$5:$D$16,0),MATCH(O834,Settings!$E$4:$H$4,0)),"Check"))</f>
        <v/>
      </c>
      <c r="W834">
        <f>IF(V834="","",IF(V834="No","Yes","No"))</f>
        <v/>
      </c>
      <c r="X834">
        <f>IF(OR(E834="",G834=""),"",IF(LOWER(IF(RIGHT(TRIM(E834),1)="/",LEFT(TRIM(E834),LEN(TRIM(E834))-1),TRIM(E834)))&lt;&gt;LOWER(IF(RIGHT(TRIM(G834),1)="/",LEFT(TRIM(G834),LEN(TRIM(G834))-1),TRIM(G834))),"Yes","No"))</f>
        <v/>
      </c>
      <c r="Y834">
        <f>IF(A834="","",(N(Q834)&gt;0)+(T834="Yes")+(U834="Yes")+(W834="Yes")+(X834="Yes"))</f>
        <v/>
      </c>
      <c r="Z834">
        <f>IF(A834="","",IF(G834="","Not mapped",IF(Y834=0,"OK",MID(IF(N(Q834)&gt;0,"; Cannibalisation","")&amp;IF(T834="Yes","; Too many primary keywords on URL","")&amp;IF(U834="Yes","; URL spans 2+ clusters","")&amp;IF(W834="Yes","; Intent mismatch","")&amp;IF(X834="Yes","; Ranking URL is not the target",""),3,300))))</f>
        <v/>
      </c>
      <c r="AA834">
        <f>IF(G834="","",IF(COUNTIF($G$3:G834,SUBSTITUTE(SUBSTITUTE(G834,"?","~?"),"*","~*"))=1,MAX($AA$2:AA833)+1,""))</f>
        <v/>
      </c>
      <c r="AB834">
        <f>IF(B834="","",IF(COUNTIF($B$3:B834,SUBSTITUTE(SUBSTITUTE(B834,"?","~?"),"*","~*"))=1,MAX($AB$2:AB833)+1,""))</f>
        <v/>
      </c>
    </row>
    <row r="835">
      <c r="M835">
        <f>IF(A835="","",LOWER(TRIM(SUBSTITUTE(SUBSTITUTE(A835,"?",""),"*",""))))</f>
        <v/>
      </c>
      <c r="N835">
        <f>IF(M835="","",IF(SUMPRODUCT(ISNUMBER(SEARCH(" "&amp;Settings!$L$5:$L$124&amp;" "," "&amp;M835&amp;" "))*(Settings!$K$5:$K$124="Navigational")*(Settings!$L$5:$L$124&lt;&gt;""))&gt;0,"Navigational",IF(SUMPRODUCT(ISNUMBER(SEARCH(" "&amp;Settings!$L$5:$L$124&amp;" "," "&amp;M835&amp;" "))*(Settings!$K$5:$K$124="Transactional")*(Settings!$L$5:$L$124&lt;&gt;""))&gt;0,"Transactional",IF(SUMPRODUCT(ISNUMBER(SEARCH(" "&amp;Settings!$L$5:$L$124&amp;" "," "&amp;M835&amp;" "))*(Settings!$K$5:$K$124="Commercial")*(Settings!$L$5:$L$124&lt;&gt;""))&gt;0,"Commercial",IF(SUMPRODUCT(ISNUMBER(SEARCH(" "&amp;Settings!$L$5:$L$124&amp;" "," "&amp;M835&amp;" "))*(Settings!$K$5:$K$124="Informational")*(Settings!$L$5:$L$124&lt;&gt;""))&gt;0,"Informational","Unclassified")))))</f>
        <v/>
      </c>
      <c r="O835">
        <f>IF(A835="","",IF(K835&lt;&gt;"",PROPER(K835),N835))</f>
        <v/>
      </c>
      <c r="P835">
        <f>IF(A835="","",ROUND(Settings!$B$5*MIN(1,LOG10(N(C835)+1)/LOG10(Settings!$B$7+1))+Settings!$B$6*(1-MIN(100,IF(D835="",50,N(D835)))/100)+IFERROR(INDEX(Settings!$B$10:$B$14,MATCH(O835,Settings!$A$10:$A$14,0)),0),0))</f>
        <v/>
      </c>
      <c r="Q835">
        <f>IF(OR(A835="",G835=""),"",COUNTIFS($M$3:$M$1002,M835,$G$3:$G$1002,"&lt;&gt;"&amp;SUBSTITUTE(SUBSTITUTE(G835,"?","~?"),"*","~*"),$G$3:$G$1002,"?*"))</f>
        <v/>
      </c>
      <c r="R835">
        <f>IF(Q835="","",IF(Q835&gt;0,"Yes","No"))</f>
        <v/>
      </c>
      <c r="S835">
        <f>IF(G835="","",COUNTIFS($G$3:$G$1002,SUBSTITUTE(SUBSTITUTE(G835,"?","~?"),"*","~*"),$J$3:$J$1002,"Primary"))</f>
        <v/>
      </c>
      <c r="T835">
        <f>IF(S835="","",IF(S835&gt;Settings!$B$4,"Yes","No"))</f>
        <v/>
      </c>
      <c r="U835">
        <f>IF(OR(G835="",B835=""),"",IF(COUNTIFS($G$3:$G$1002,SUBSTITUTE(SUBSTITUTE(G835,"?","~?"),"*","~*"),$B$3:$B$1002,"&lt;&gt;"&amp;SUBSTITUTE(SUBSTITUTE(B835,"?","~?"),"*","~*"),$B$3:$B$1002,"?*")&gt;0,"Yes","No"))</f>
        <v/>
      </c>
      <c r="V835">
        <f>IF(OR(G835="",I835="",O835="",O835="Unclassified"),"",IFERROR(INDEX(Settings!$E$5:$H$16,MATCH(I835,Settings!$D$5:$D$16,0),MATCH(O835,Settings!$E$4:$H$4,0)),"Check"))</f>
        <v/>
      </c>
      <c r="W835">
        <f>IF(V835="","",IF(V835="No","Yes","No"))</f>
        <v/>
      </c>
      <c r="X835">
        <f>IF(OR(E835="",G835=""),"",IF(LOWER(IF(RIGHT(TRIM(E835),1)="/",LEFT(TRIM(E835),LEN(TRIM(E835))-1),TRIM(E835)))&lt;&gt;LOWER(IF(RIGHT(TRIM(G835),1)="/",LEFT(TRIM(G835),LEN(TRIM(G835))-1),TRIM(G835))),"Yes","No"))</f>
        <v/>
      </c>
      <c r="Y835">
        <f>IF(A835="","",(N(Q835)&gt;0)+(T835="Yes")+(U835="Yes")+(W835="Yes")+(X835="Yes"))</f>
        <v/>
      </c>
      <c r="Z835">
        <f>IF(A835="","",IF(G835="","Not mapped",IF(Y835=0,"OK",MID(IF(N(Q835)&gt;0,"; Cannibalisation","")&amp;IF(T835="Yes","; Too many primary keywords on URL","")&amp;IF(U835="Yes","; URL spans 2+ clusters","")&amp;IF(W835="Yes","; Intent mismatch","")&amp;IF(X835="Yes","; Ranking URL is not the target",""),3,300))))</f>
        <v/>
      </c>
      <c r="AA835">
        <f>IF(G835="","",IF(COUNTIF($G$3:G835,SUBSTITUTE(SUBSTITUTE(G835,"?","~?"),"*","~*"))=1,MAX($AA$2:AA834)+1,""))</f>
        <v/>
      </c>
      <c r="AB835">
        <f>IF(B835="","",IF(COUNTIF($B$3:B835,SUBSTITUTE(SUBSTITUTE(B835,"?","~?"),"*","~*"))=1,MAX($AB$2:AB834)+1,""))</f>
        <v/>
      </c>
    </row>
    <row r="836">
      <c r="M836">
        <f>IF(A836="","",LOWER(TRIM(SUBSTITUTE(SUBSTITUTE(A836,"?",""),"*",""))))</f>
        <v/>
      </c>
      <c r="N836">
        <f>IF(M836="","",IF(SUMPRODUCT(ISNUMBER(SEARCH(" "&amp;Settings!$L$5:$L$124&amp;" "," "&amp;M836&amp;" "))*(Settings!$K$5:$K$124="Navigational")*(Settings!$L$5:$L$124&lt;&gt;""))&gt;0,"Navigational",IF(SUMPRODUCT(ISNUMBER(SEARCH(" "&amp;Settings!$L$5:$L$124&amp;" "," "&amp;M836&amp;" "))*(Settings!$K$5:$K$124="Transactional")*(Settings!$L$5:$L$124&lt;&gt;""))&gt;0,"Transactional",IF(SUMPRODUCT(ISNUMBER(SEARCH(" "&amp;Settings!$L$5:$L$124&amp;" "," "&amp;M836&amp;" "))*(Settings!$K$5:$K$124="Commercial")*(Settings!$L$5:$L$124&lt;&gt;""))&gt;0,"Commercial",IF(SUMPRODUCT(ISNUMBER(SEARCH(" "&amp;Settings!$L$5:$L$124&amp;" "," "&amp;M836&amp;" "))*(Settings!$K$5:$K$124="Informational")*(Settings!$L$5:$L$124&lt;&gt;""))&gt;0,"Informational","Unclassified")))))</f>
        <v/>
      </c>
      <c r="O836">
        <f>IF(A836="","",IF(K836&lt;&gt;"",PROPER(K836),N836))</f>
        <v/>
      </c>
      <c r="P836">
        <f>IF(A836="","",ROUND(Settings!$B$5*MIN(1,LOG10(N(C836)+1)/LOG10(Settings!$B$7+1))+Settings!$B$6*(1-MIN(100,IF(D836="",50,N(D836)))/100)+IFERROR(INDEX(Settings!$B$10:$B$14,MATCH(O836,Settings!$A$10:$A$14,0)),0),0))</f>
        <v/>
      </c>
      <c r="Q836">
        <f>IF(OR(A836="",G836=""),"",COUNTIFS($M$3:$M$1002,M836,$G$3:$G$1002,"&lt;&gt;"&amp;SUBSTITUTE(SUBSTITUTE(G836,"?","~?"),"*","~*"),$G$3:$G$1002,"?*"))</f>
        <v/>
      </c>
      <c r="R836">
        <f>IF(Q836="","",IF(Q836&gt;0,"Yes","No"))</f>
        <v/>
      </c>
      <c r="S836">
        <f>IF(G836="","",COUNTIFS($G$3:$G$1002,SUBSTITUTE(SUBSTITUTE(G836,"?","~?"),"*","~*"),$J$3:$J$1002,"Primary"))</f>
        <v/>
      </c>
      <c r="T836">
        <f>IF(S836="","",IF(S836&gt;Settings!$B$4,"Yes","No"))</f>
        <v/>
      </c>
      <c r="U836">
        <f>IF(OR(G836="",B836=""),"",IF(COUNTIFS($G$3:$G$1002,SUBSTITUTE(SUBSTITUTE(G836,"?","~?"),"*","~*"),$B$3:$B$1002,"&lt;&gt;"&amp;SUBSTITUTE(SUBSTITUTE(B836,"?","~?"),"*","~*"),$B$3:$B$1002,"?*")&gt;0,"Yes","No"))</f>
        <v/>
      </c>
      <c r="V836">
        <f>IF(OR(G836="",I836="",O836="",O836="Unclassified"),"",IFERROR(INDEX(Settings!$E$5:$H$16,MATCH(I836,Settings!$D$5:$D$16,0),MATCH(O836,Settings!$E$4:$H$4,0)),"Check"))</f>
        <v/>
      </c>
      <c r="W836">
        <f>IF(V836="","",IF(V836="No","Yes","No"))</f>
        <v/>
      </c>
      <c r="X836">
        <f>IF(OR(E836="",G836=""),"",IF(LOWER(IF(RIGHT(TRIM(E836),1)="/",LEFT(TRIM(E836),LEN(TRIM(E836))-1),TRIM(E836)))&lt;&gt;LOWER(IF(RIGHT(TRIM(G836),1)="/",LEFT(TRIM(G836),LEN(TRIM(G836))-1),TRIM(G836))),"Yes","No"))</f>
        <v/>
      </c>
      <c r="Y836">
        <f>IF(A836="","",(N(Q836)&gt;0)+(T836="Yes")+(U836="Yes")+(W836="Yes")+(X836="Yes"))</f>
        <v/>
      </c>
      <c r="Z836">
        <f>IF(A836="","",IF(G836="","Not mapped",IF(Y836=0,"OK",MID(IF(N(Q836)&gt;0,"; Cannibalisation","")&amp;IF(T836="Yes","; Too many primary keywords on URL","")&amp;IF(U836="Yes","; URL spans 2+ clusters","")&amp;IF(W836="Yes","; Intent mismatch","")&amp;IF(X836="Yes","; Ranking URL is not the target",""),3,300))))</f>
        <v/>
      </c>
      <c r="AA836">
        <f>IF(G836="","",IF(COUNTIF($G$3:G836,SUBSTITUTE(SUBSTITUTE(G836,"?","~?"),"*","~*"))=1,MAX($AA$2:AA835)+1,""))</f>
        <v/>
      </c>
      <c r="AB836">
        <f>IF(B836="","",IF(COUNTIF($B$3:B836,SUBSTITUTE(SUBSTITUTE(B836,"?","~?"),"*","~*"))=1,MAX($AB$2:AB835)+1,""))</f>
        <v/>
      </c>
    </row>
    <row r="837">
      <c r="M837">
        <f>IF(A837="","",LOWER(TRIM(SUBSTITUTE(SUBSTITUTE(A837,"?",""),"*",""))))</f>
        <v/>
      </c>
      <c r="N837">
        <f>IF(M837="","",IF(SUMPRODUCT(ISNUMBER(SEARCH(" "&amp;Settings!$L$5:$L$124&amp;" "," "&amp;M837&amp;" "))*(Settings!$K$5:$K$124="Navigational")*(Settings!$L$5:$L$124&lt;&gt;""))&gt;0,"Navigational",IF(SUMPRODUCT(ISNUMBER(SEARCH(" "&amp;Settings!$L$5:$L$124&amp;" "," "&amp;M837&amp;" "))*(Settings!$K$5:$K$124="Transactional")*(Settings!$L$5:$L$124&lt;&gt;""))&gt;0,"Transactional",IF(SUMPRODUCT(ISNUMBER(SEARCH(" "&amp;Settings!$L$5:$L$124&amp;" "," "&amp;M837&amp;" "))*(Settings!$K$5:$K$124="Commercial")*(Settings!$L$5:$L$124&lt;&gt;""))&gt;0,"Commercial",IF(SUMPRODUCT(ISNUMBER(SEARCH(" "&amp;Settings!$L$5:$L$124&amp;" "," "&amp;M837&amp;" "))*(Settings!$K$5:$K$124="Informational")*(Settings!$L$5:$L$124&lt;&gt;""))&gt;0,"Informational","Unclassified")))))</f>
        <v/>
      </c>
      <c r="O837">
        <f>IF(A837="","",IF(K837&lt;&gt;"",PROPER(K837),N837))</f>
        <v/>
      </c>
      <c r="P837">
        <f>IF(A837="","",ROUND(Settings!$B$5*MIN(1,LOG10(N(C837)+1)/LOG10(Settings!$B$7+1))+Settings!$B$6*(1-MIN(100,IF(D837="",50,N(D837)))/100)+IFERROR(INDEX(Settings!$B$10:$B$14,MATCH(O837,Settings!$A$10:$A$14,0)),0),0))</f>
        <v/>
      </c>
      <c r="Q837">
        <f>IF(OR(A837="",G837=""),"",COUNTIFS($M$3:$M$1002,M837,$G$3:$G$1002,"&lt;&gt;"&amp;SUBSTITUTE(SUBSTITUTE(G837,"?","~?"),"*","~*"),$G$3:$G$1002,"?*"))</f>
        <v/>
      </c>
      <c r="R837">
        <f>IF(Q837="","",IF(Q837&gt;0,"Yes","No"))</f>
        <v/>
      </c>
      <c r="S837">
        <f>IF(G837="","",COUNTIFS($G$3:$G$1002,SUBSTITUTE(SUBSTITUTE(G837,"?","~?"),"*","~*"),$J$3:$J$1002,"Primary"))</f>
        <v/>
      </c>
      <c r="T837">
        <f>IF(S837="","",IF(S837&gt;Settings!$B$4,"Yes","No"))</f>
        <v/>
      </c>
      <c r="U837">
        <f>IF(OR(G837="",B837=""),"",IF(COUNTIFS($G$3:$G$1002,SUBSTITUTE(SUBSTITUTE(G837,"?","~?"),"*","~*"),$B$3:$B$1002,"&lt;&gt;"&amp;SUBSTITUTE(SUBSTITUTE(B837,"?","~?"),"*","~*"),$B$3:$B$1002,"?*")&gt;0,"Yes","No"))</f>
        <v/>
      </c>
      <c r="V837">
        <f>IF(OR(G837="",I837="",O837="",O837="Unclassified"),"",IFERROR(INDEX(Settings!$E$5:$H$16,MATCH(I837,Settings!$D$5:$D$16,0),MATCH(O837,Settings!$E$4:$H$4,0)),"Check"))</f>
        <v/>
      </c>
      <c r="W837">
        <f>IF(V837="","",IF(V837="No","Yes","No"))</f>
        <v/>
      </c>
      <c r="X837">
        <f>IF(OR(E837="",G837=""),"",IF(LOWER(IF(RIGHT(TRIM(E837),1)="/",LEFT(TRIM(E837),LEN(TRIM(E837))-1),TRIM(E837)))&lt;&gt;LOWER(IF(RIGHT(TRIM(G837),1)="/",LEFT(TRIM(G837),LEN(TRIM(G837))-1),TRIM(G837))),"Yes","No"))</f>
        <v/>
      </c>
      <c r="Y837">
        <f>IF(A837="","",(N(Q837)&gt;0)+(T837="Yes")+(U837="Yes")+(W837="Yes")+(X837="Yes"))</f>
        <v/>
      </c>
      <c r="Z837">
        <f>IF(A837="","",IF(G837="","Not mapped",IF(Y837=0,"OK",MID(IF(N(Q837)&gt;0,"; Cannibalisation","")&amp;IF(T837="Yes","; Too many primary keywords on URL","")&amp;IF(U837="Yes","; URL spans 2+ clusters","")&amp;IF(W837="Yes","; Intent mismatch","")&amp;IF(X837="Yes","; Ranking URL is not the target",""),3,300))))</f>
        <v/>
      </c>
      <c r="AA837">
        <f>IF(G837="","",IF(COUNTIF($G$3:G837,SUBSTITUTE(SUBSTITUTE(G837,"?","~?"),"*","~*"))=1,MAX($AA$2:AA836)+1,""))</f>
        <v/>
      </c>
      <c r="AB837">
        <f>IF(B837="","",IF(COUNTIF($B$3:B837,SUBSTITUTE(SUBSTITUTE(B837,"?","~?"),"*","~*"))=1,MAX($AB$2:AB836)+1,""))</f>
        <v/>
      </c>
    </row>
    <row r="838">
      <c r="M838">
        <f>IF(A838="","",LOWER(TRIM(SUBSTITUTE(SUBSTITUTE(A838,"?",""),"*",""))))</f>
        <v/>
      </c>
      <c r="N838">
        <f>IF(M838="","",IF(SUMPRODUCT(ISNUMBER(SEARCH(" "&amp;Settings!$L$5:$L$124&amp;" "," "&amp;M838&amp;" "))*(Settings!$K$5:$K$124="Navigational")*(Settings!$L$5:$L$124&lt;&gt;""))&gt;0,"Navigational",IF(SUMPRODUCT(ISNUMBER(SEARCH(" "&amp;Settings!$L$5:$L$124&amp;" "," "&amp;M838&amp;" "))*(Settings!$K$5:$K$124="Transactional")*(Settings!$L$5:$L$124&lt;&gt;""))&gt;0,"Transactional",IF(SUMPRODUCT(ISNUMBER(SEARCH(" "&amp;Settings!$L$5:$L$124&amp;" "," "&amp;M838&amp;" "))*(Settings!$K$5:$K$124="Commercial")*(Settings!$L$5:$L$124&lt;&gt;""))&gt;0,"Commercial",IF(SUMPRODUCT(ISNUMBER(SEARCH(" "&amp;Settings!$L$5:$L$124&amp;" "," "&amp;M838&amp;" "))*(Settings!$K$5:$K$124="Informational")*(Settings!$L$5:$L$124&lt;&gt;""))&gt;0,"Informational","Unclassified")))))</f>
        <v/>
      </c>
      <c r="O838">
        <f>IF(A838="","",IF(K838&lt;&gt;"",PROPER(K838),N838))</f>
        <v/>
      </c>
      <c r="P838">
        <f>IF(A838="","",ROUND(Settings!$B$5*MIN(1,LOG10(N(C838)+1)/LOG10(Settings!$B$7+1))+Settings!$B$6*(1-MIN(100,IF(D838="",50,N(D838)))/100)+IFERROR(INDEX(Settings!$B$10:$B$14,MATCH(O838,Settings!$A$10:$A$14,0)),0),0))</f>
        <v/>
      </c>
      <c r="Q838">
        <f>IF(OR(A838="",G838=""),"",COUNTIFS($M$3:$M$1002,M838,$G$3:$G$1002,"&lt;&gt;"&amp;SUBSTITUTE(SUBSTITUTE(G838,"?","~?"),"*","~*"),$G$3:$G$1002,"?*"))</f>
        <v/>
      </c>
      <c r="R838">
        <f>IF(Q838="","",IF(Q838&gt;0,"Yes","No"))</f>
        <v/>
      </c>
      <c r="S838">
        <f>IF(G838="","",COUNTIFS($G$3:$G$1002,SUBSTITUTE(SUBSTITUTE(G838,"?","~?"),"*","~*"),$J$3:$J$1002,"Primary"))</f>
        <v/>
      </c>
      <c r="T838">
        <f>IF(S838="","",IF(S838&gt;Settings!$B$4,"Yes","No"))</f>
        <v/>
      </c>
      <c r="U838">
        <f>IF(OR(G838="",B838=""),"",IF(COUNTIFS($G$3:$G$1002,SUBSTITUTE(SUBSTITUTE(G838,"?","~?"),"*","~*"),$B$3:$B$1002,"&lt;&gt;"&amp;SUBSTITUTE(SUBSTITUTE(B838,"?","~?"),"*","~*"),$B$3:$B$1002,"?*")&gt;0,"Yes","No"))</f>
        <v/>
      </c>
      <c r="V838">
        <f>IF(OR(G838="",I838="",O838="",O838="Unclassified"),"",IFERROR(INDEX(Settings!$E$5:$H$16,MATCH(I838,Settings!$D$5:$D$16,0),MATCH(O838,Settings!$E$4:$H$4,0)),"Check"))</f>
        <v/>
      </c>
      <c r="W838">
        <f>IF(V838="","",IF(V838="No","Yes","No"))</f>
        <v/>
      </c>
      <c r="X838">
        <f>IF(OR(E838="",G838=""),"",IF(LOWER(IF(RIGHT(TRIM(E838),1)="/",LEFT(TRIM(E838),LEN(TRIM(E838))-1),TRIM(E838)))&lt;&gt;LOWER(IF(RIGHT(TRIM(G838),1)="/",LEFT(TRIM(G838),LEN(TRIM(G838))-1),TRIM(G838))),"Yes","No"))</f>
        <v/>
      </c>
      <c r="Y838">
        <f>IF(A838="","",(N(Q838)&gt;0)+(T838="Yes")+(U838="Yes")+(W838="Yes")+(X838="Yes"))</f>
        <v/>
      </c>
      <c r="Z838">
        <f>IF(A838="","",IF(G838="","Not mapped",IF(Y838=0,"OK",MID(IF(N(Q838)&gt;0,"; Cannibalisation","")&amp;IF(T838="Yes","; Too many primary keywords on URL","")&amp;IF(U838="Yes","; URL spans 2+ clusters","")&amp;IF(W838="Yes","; Intent mismatch","")&amp;IF(X838="Yes","; Ranking URL is not the target",""),3,300))))</f>
        <v/>
      </c>
      <c r="AA838">
        <f>IF(G838="","",IF(COUNTIF($G$3:G838,SUBSTITUTE(SUBSTITUTE(G838,"?","~?"),"*","~*"))=1,MAX($AA$2:AA837)+1,""))</f>
        <v/>
      </c>
      <c r="AB838">
        <f>IF(B838="","",IF(COUNTIF($B$3:B838,SUBSTITUTE(SUBSTITUTE(B838,"?","~?"),"*","~*"))=1,MAX($AB$2:AB837)+1,""))</f>
        <v/>
      </c>
    </row>
    <row r="839">
      <c r="M839">
        <f>IF(A839="","",LOWER(TRIM(SUBSTITUTE(SUBSTITUTE(A839,"?",""),"*",""))))</f>
        <v/>
      </c>
      <c r="N839">
        <f>IF(M839="","",IF(SUMPRODUCT(ISNUMBER(SEARCH(" "&amp;Settings!$L$5:$L$124&amp;" "," "&amp;M839&amp;" "))*(Settings!$K$5:$K$124="Navigational")*(Settings!$L$5:$L$124&lt;&gt;""))&gt;0,"Navigational",IF(SUMPRODUCT(ISNUMBER(SEARCH(" "&amp;Settings!$L$5:$L$124&amp;" "," "&amp;M839&amp;" "))*(Settings!$K$5:$K$124="Transactional")*(Settings!$L$5:$L$124&lt;&gt;""))&gt;0,"Transactional",IF(SUMPRODUCT(ISNUMBER(SEARCH(" "&amp;Settings!$L$5:$L$124&amp;" "," "&amp;M839&amp;" "))*(Settings!$K$5:$K$124="Commercial")*(Settings!$L$5:$L$124&lt;&gt;""))&gt;0,"Commercial",IF(SUMPRODUCT(ISNUMBER(SEARCH(" "&amp;Settings!$L$5:$L$124&amp;" "," "&amp;M839&amp;" "))*(Settings!$K$5:$K$124="Informational")*(Settings!$L$5:$L$124&lt;&gt;""))&gt;0,"Informational","Unclassified")))))</f>
        <v/>
      </c>
      <c r="O839">
        <f>IF(A839="","",IF(K839&lt;&gt;"",PROPER(K839),N839))</f>
        <v/>
      </c>
      <c r="P839">
        <f>IF(A839="","",ROUND(Settings!$B$5*MIN(1,LOG10(N(C839)+1)/LOG10(Settings!$B$7+1))+Settings!$B$6*(1-MIN(100,IF(D839="",50,N(D839)))/100)+IFERROR(INDEX(Settings!$B$10:$B$14,MATCH(O839,Settings!$A$10:$A$14,0)),0),0))</f>
        <v/>
      </c>
      <c r="Q839">
        <f>IF(OR(A839="",G839=""),"",COUNTIFS($M$3:$M$1002,M839,$G$3:$G$1002,"&lt;&gt;"&amp;SUBSTITUTE(SUBSTITUTE(G839,"?","~?"),"*","~*"),$G$3:$G$1002,"?*"))</f>
        <v/>
      </c>
      <c r="R839">
        <f>IF(Q839="","",IF(Q839&gt;0,"Yes","No"))</f>
        <v/>
      </c>
      <c r="S839">
        <f>IF(G839="","",COUNTIFS($G$3:$G$1002,SUBSTITUTE(SUBSTITUTE(G839,"?","~?"),"*","~*"),$J$3:$J$1002,"Primary"))</f>
        <v/>
      </c>
      <c r="T839">
        <f>IF(S839="","",IF(S839&gt;Settings!$B$4,"Yes","No"))</f>
        <v/>
      </c>
      <c r="U839">
        <f>IF(OR(G839="",B839=""),"",IF(COUNTIFS($G$3:$G$1002,SUBSTITUTE(SUBSTITUTE(G839,"?","~?"),"*","~*"),$B$3:$B$1002,"&lt;&gt;"&amp;SUBSTITUTE(SUBSTITUTE(B839,"?","~?"),"*","~*"),$B$3:$B$1002,"?*")&gt;0,"Yes","No"))</f>
        <v/>
      </c>
      <c r="V839">
        <f>IF(OR(G839="",I839="",O839="",O839="Unclassified"),"",IFERROR(INDEX(Settings!$E$5:$H$16,MATCH(I839,Settings!$D$5:$D$16,0),MATCH(O839,Settings!$E$4:$H$4,0)),"Check"))</f>
        <v/>
      </c>
      <c r="W839">
        <f>IF(V839="","",IF(V839="No","Yes","No"))</f>
        <v/>
      </c>
      <c r="X839">
        <f>IF(OR(E839="",G839=""),"",IF(LOWER(IF(RIGHT(TRIM(E839),1)="/",LEFT(TRIM(E839),LEN(TRIM(E839))-1),TRIM(E839)))&lt;&gt;LOWER(IF(RIGHT(TRIM(G839),1)="/",LEFT(TRIM(G839),LEN(TRIM(G839))-1),TRIM(G839))),"Yes","No"))</f>
        <v/>
      </c>
      <c r="Y839">
        <f>IF(A839="","",(N(Q839)&gt;0)+(T839="Yes")+(U839="Yes")+(W839="Yes")+(X839="Yes"))</f>
        <v/>
      </c>
      <c r="Z839">
        <f>IF(A839="","",IF(G839="","Not mapped",IF(Y839=0,"OK",MID(IF(N(Q839)&gt;0,"; Cannibalisation","")&amp;IF(T839="Yes","; Too many primary keywords on URL","")&amp;IF(U839="Yes","; URL spans 2+ clusters","")&amp;IF(W839="Yes","; Intent mismatch","")&amp;IF(X839="Yes","; Ranking URL is not the target",""),3,300))))</f>
        <v/>
      </c>
      <c r="AA839">
        <f>IF(G839="","",IF(COUNTIF($G$3:G839,SUBSTITUTE(SUBSTITUTE(G839,"?","~?"),"*","~*"))=1,MAX($AA$2:AA838)+1,""))</f>
        <v/>
      </c>
      <c r="AB839">
        <f>IF(B839="","",IF(COUNTIF($B$3:B839,SUBSTITUTE(SUBSTITUTE(B839,"?","~?"),"*","~*"))=1,MAX($AB$2:AB838)+1,""))</f>
        <v/>
      </c>
    </row>
    <row r="840">
      <c r="M840">
        <f>IF(A840="","",LOWER(TRIM(SUBSTITUTE(SUBSTITUTE(A840,"?",""),"*",""))))</f>
        <v/>
      </c>
      <c r="N840">
        <f>IF(M840="","",IF(SUMPRODUCT(ISNUMBER(SEARCH(" "&amp;Settings!$L$5:$L$124&amp;" "," "&amp;M840&amp;" "))*(Settings!$K$5:$K$124="Navigational")*(Settings!$L$5:$L$124&lt;&gt;""))&gt;0,"Navigational",IF(SUMPRODUCT(ISNUMBER(SEARCH(" "&amp;Settings!$L$5:$L$124&amp;" "," "&amp;M840&amp;" "))*(Settings!$K$5:$K$124="Transactional")*(Settings!$L$5:$L$124&lt;&gt;""))&gt;0,"Transactional",IF(SUMPRODUCT(ISNUMBER(SEARCH(" "&amp;Settings!$L$5:$L$124&amp;" "," "&amp;M840&amp;" "))*(Settings!$K$5:$K$124="Commercial")*(Settings!$L$5:$L$124&lt;&gt;""))&gt;0,"Commercial",IF(SUMPRODUCT(ISNUMBER(SEARCH(" "&amp;Settings!$L$5:$L$124&amp;" "," "&amp;M840&amp;" "))*(Settings!$K$5:$K$124="Informational")*(Settings!$L$5:$L$124&lt;&gt;""))&gt;0,"Informational","Unclassified")))))</f>
        <v/>
      </c>
      <c r="O840">
        <f>IF(A840="","",IF(K840&lt;&gt;"",PROPER(K840),N840))</f>
        <v/>
      </c>
      <c r="P840">
        <f>IF(A840="","",ROUND(Settings!$B$5*MIN(1,LOG10(N(C840)+1)/LOG10(Settings!$B$7+1))+Settings!$B$6*(1-MIN(100,IF(D840="",50,N(D840)))/100)+IFERROR(INDEX(Settings!$B$10:$B$14,MATCH(O840,Settings!$A$10:$A$14,0)),0),0))</f>
        <v/>
      </c>
      <c r="Q840">
        <f>IF(OR(A840="",G840=""),"",COUNTIFS($M$3:$M$1002,M840,$G$3:$G$1002,"&lt;&gt;"&amp;SUBSTITUTE(SUBSTITUTE(G840,"?","~?"),"*","~*"),$G$3:$G$1002,"?*"))</f>
        <v/>
      </c>
      <c r="R840">
        <f>IF(Q840="","",IF(Q840&gt;0,"Yes","No"))</f>
        <v/>
      </c>
      <c r="S840">
        <f>IF(G840="","",COUNTIFS($G$3:$G$1002,SUBSTITUTE(SUBSTITUTE(G840,"?","~?"),"*","~*"),$J$3:$J$1002,"Primary"))</f>
        <v/>
      </c>
      <c r="T840">
        <f>IF(S840="","",IF(S840&gt;Settings!$B$4,"Yes","No"))</f>
        <v/>
      </c>
      <c r="U840">
        <f>IF(OR(G840="",B840=""),"",IF(COUNTIFS($G$3:$G$1002,SUBSTITUTE(SUBSTITUTE(G840,"?","~?"),"*","~*"),$B$3:$B$1002,"&lt;&gt;"&amp;SUBSTITUTE(SUBSTITUTE(B840,"?","~?"),"*","~*"),$B$3:$B$1002,"?*")&gt;0,"Yes","No"))</f>
        <v/>
      </c>
      <c r="V840">
        <f>IF(OR(G840="",I840="",O840="",O840="Unclassified"),"",IFERROR(INDEX(Settings!$E$5:$H$16,MATCH(I840,Settings!$D$5:$D$16,0),MATCH(O840,Settings!$E$4:$H$4,0)),"Check"))</f>
        <v/>
      </c>
      <c r="W840">
        <f>IF(V840="","",IF(V840="No","Yes","No"))</f>
        <v/>
      </c>
      <c r="X840">
        <f>IF(OR(E840="",G840=""),"",IF(LOWER(IF(RIGHT(TRIM(E840),1)="/",LEFT(TRIM(E840),LEN(TRIM(E840))-1),TRIM(E840)))&lt;&gt;LOWER(IF(RIGHT(TRIM(G840),1)="/",LEFT(TRIM(G840),LEN(TRIM(G840))-1),TRIM(G840))),"Yes","No"))</f>
        <v/>
      </c>
      <c r="Y840">
        <f>IF(A840="","",(N(Q840)&gt;0)+(T840="Yes")+(U840="Yes")+(W840="Yes")+(X840="Yes"))</f>
        <v/>
      </c>
      <c r="Z840">
        <f>IF(A840="","",IF(G840="","Not mapped",IF(Y840=0,"OK",MID(IF(N(Q840)&gt;0,"; Cannibalisation","")&amp;IF(T840="Yes","; Too many primary keywords on URL","")&amp;IF(U840="Yes","; URL spans 2+ clusters","")&amp;IF(W840="Yes","; Intent mismatch","")&amp;IF(X840="Yes","; Ranking URL is not the target",""),3,300))))</f>
        <v/>
      </c>
      <c r="AA840">
        <f>IF(G840="","",IF(COUNTIF($G$3:G840,SUBSTITUTE(SUBSTITUTE(G840,"?","~?"),"*","~*"))=1,MAX($AA$2:AA839)+1,""))</f>
        <v/>
      </c>
      <c r="AB840">
        <f>IF(B840="","",IF(COUNTIF($B$3:B840,SUBSTITUTE(SUBSTITUTE(B840,"?","~?"),"*","~*"))=1,MAX($AB$2:AB839)+1,""))</f>
        <v/>
      </c>
    </row>
    <row r="841">
      <c r="M841">
        <f>IF(A841="","",LOWER(TRIM(SUBSTITUTE(SUBSTITUTE(A841,"?",""),"*",""))))</f>
        <v/>
      </c>
      <c r="N841">
        <f>IF(M841="","",IF(SUMPRODUCT(ISNUMBER(SEARCH(" "&amp;Settings!$L$5:$L$124&amp;" "," "&amp;M841&amp;" "))*(Settings!$K$5:$K$124="Navigational")*(Settings!$L$5:$L$124&lt;&gt;""))&gt;0,"Navigational",IF(SUMPRODUCT(ISNUMBER(SEARCH(" "&amp;Settings!$L$5:$L$124&amp;" "," "&amp;M841&amp;" "))*(Settings!$K$5:$K$124="Transactional")*(Settings!$L$5:$L$124&lt;&gt;""))&gt;0,"Transactional",IF(SUMPRODUCT(ISNUMBER(SEARCH(" "&amp;Settings!$L$5:$L$124&amp;" "," "&amp;M841&amp;" "))*(Settings!$K$5:$K$124="Commercial")*(Settings!$L$5:$L$124&lt;&gt;""))&gt;0,"Commercial",IF(SUMPRODUCT(ISNUMBER(SEARCH(" "&amp;Settings!$L$5:$L$124&amp;" "," "&amp;M841&amp;" "))*(Settings!$K$5:$K$124="Informational")*(Settings!$L$5:$L$124&lt;&gt;""))&gt;0,"Informational","Unclassified")))))</f>
        <v/>
      </c>
      <c r="O841">
        <f>IF(A841="","",IF(K841&lt;&gt;"",PROPER(K841),N841))</f>
        <v/>
      </c>
      <c r="P841">
        <f>IF(A841="","",ROUND(Settings!$B$5*MIN(1,LOG10(N(C841)+1)/LOG10(Settings!$B$7+1))+Settings!$B$6*(1-MIN(100,IF(D841="",50,N(D841)))/100)+IFERROR(INDEX(Settings!$B$10:$B$14,MATCH(O841,Settings!$A$10:$A$14,0)),0),0))</f>
        <v/>
      </c>
      <c r="Q841">
        <f>IF(OR(A841="",G841=""),"",COUNTIFS($M$3:$M$1002,M841,$G$3:$G$1002,"&lt;&gt;"&amp;SUBSTITUTE(SUBSTITUTE(G841,"?","~?"),"*","~*"),$G$3:$G$1002,"?*"))</f>
        <v/>
      </c>
      <c r="R841">
        <f>IF(Q841="","",IF(Q841&gt;0,"Yes","No"))</f>
        <v/>
      </c>
      <c r="S841">
        <f>IF(G841="","",COUNTIFS($G$3:$G$1002,SUBSTITUTE(SUBSTITUTE(G841,"?","~?"),"*","~*"),$J$3:$J$1002,"Primary"))</f>
        <v/>
      </c>
      <c r="T841">
        <f>IF(S841="","",IF(S841&gt;Settings!$B$4,"Yes","No"))</f>
        <v/>
      </c>
      <c r="U841">
        <f>IF(OR(G841="",B841=""),"",IF(COUNTIFS($G$3:$G$1002,SUBSTITUTE(SUBSTITUTE(G841,"?","~?"),"*","~*"),$B$3:$B$1002,"&lt;&gt;"&amp;SUBSTITUTE(SUBSTITUTE(B841,"?","~?"),"*","~*"),$B$3:$B$1002,"?*")&gt;0,"Yes","No"))</f>
        <v/>
      </c>
      <c r="V841">
        <f>IF(OR(G841="",I841="",O841="",O841="Unclassified"),"",IFERROR(INDEX(Settings!$E$5:$H$16,MATCH(I841,Settings!$D$5:$D$16,0),MATCH(O841,Settings!$E$4:$H$4,0)),"Check"))</f>
        <v/>
      </c>
      <c r="W841">
        <f>IF(V841="","",IF(V841="No","Yes","No"))</f>
        <v/>
      </c>
      <c r="X841">
        <f>IF(OR(E841="",G841=""),"",IF(LOWER(IF(RIGHT(TRIM(E841),1)="/",LEFT(TRIM(E841),LEN(TRIM(E841))-1),TRIM(E841)))&lt;&gt;LOWER(IF(RIGHT(TRIM(G841),1)="/",LEFT(TRIM(G841),LEN(TRIM(G841))-1),TRIM(G841))),"Yes","No"))</f>
        <v/>
      </c>
      <c r="Y841">
        <f>IF(A841="","",(N(Q841)&gt;0)+(T841="Yes")+(U841="Yes")+(W841="Yes")+(X841="Yes"))</f>
        <v/>
      </c>
      <c r="Z841">
        <f>IF(A841="","",IF(G841="","Not mapped",IF(Y841=0,"OK",MID(IF(N(Q841)&gt;0,"; Cannibalisation","")&amp;IF(T841="Yes","; Too many primary keywords on URL","")&amp;IF(U841="Yes","; URL spans 2+ clusters","")&amp;IF(W841="Yes","; Intent mismatch","")&amp;IF(X841="Yes","; Ranking URL is not the target",""),3,300))))</f>
        <v/>
      </c>
      <c r="AA841">
        <f>IF(G841="","",IF(COUNTIF($G$3:G841,SUBSTITUTE(SUBSTITUTE(G841,"?","~?"),"*","~*"))=1,MAX($AA$2:AA840)+1,""))</f>
        <v/>
      </c>
      <c r="AB841">
        <f>IF(B841="","",IF(COUNTIF($B$3:B841,SUBSTITUTE(SUBSTITUTE(B841,"?","~?"),"*","~*"))=1,MAX($AB$2:AB840)+1,""))</f>
        <v/>
      </c>
    </row>
    <row r="842">
      <c r="M842">
        <f>IF(A842="","",LOWER(TRIM(SUBSTITUTE(SUBSTITUTE(A842,"?",""),"*",""))))</f>
        <v/>
      </c>
      <c r="N842">
        <f>IF(M842="","",IF(SUMPRODUCT(ISNUMBER(SEARCH(" "&amp;Settings!$L$5:$L$124&amp;" "," "&amp;M842&amp;" "))*(Settings!$K$5:$K$124="Navigational")*(Settings!$L$5:$L$124&lt;&gt;""))&gt;0,"Navigational",IF(SUMPRODUCT(ISNUMBER(SEARCH(" "&amp;Settings!$L$5:$L$124&amp;" "," "&amp;M842&amp;" "))*(Settings!$K$5:$K$124="Transactional")*(Settings!$L$5:$L$124&lt;&gt;""))&gt;0,"Transactional",IF(SUMPRODUCT(ISNUMBER(SEARCH(" "&amp;Settings!$L$5:$L$124&amp;" "," "&amp;M842&amp;" "))*(Settings!$K$5:$K$124="Commercial")*(Settings!$L$5:$L$124&lt;&gt;""))&gt;0,"Commercial",IF(SUMPRODUCT(ISNUMBER(SEARCH(" "&amp;Settings!$L$5:$L$124&amp;" "," "&amp;M842&amp;" "))*(Settings!$K$5:$K$124="Informational")*(Settings!$L$5:$L$124&lt;&gt;""))&gt;0,"Informational","Unclassified")))))</f>
        <v/>
      </c>
      <c r="O842">
        <f>IF(A842="","",IF(K842&lt;&gt;"",PROPER(K842),N842))</f>
        <v/>
      </c>
      <c r="P842">
        <f>IF(A842="","",ROUND(Settings!$B$5*MIN(1,LOG10(N(C842)+1)/LOG10(Settings!$B$7+1))+Settings!$B$6*(1-MIN(100,IF(D842="",50,N(D842)))/100)+IFERROR(INDEX(Settings!$B$10:$B$14,MATCH(O842,Settings!$A$10:$A$14,0)),0),0))</f>
        <v/>
      </c>
      <c r="Q842">
        <f>IF(OR(A842="",G842=""),"",COUNTIFS($M$3:$M$1002,M842,$G$3:$G$1002,"&lt;&gt;"&amp;SUBSTITUTE(SUBSTITUTE(G842,"?","~?"),"*","~*"),$G$3:$G$1002,"?*"))</f>
        <v/>
      </c>
      <c r="R842">
        <f>IF(Q842="","",IF(Q842&gt;0,"Yes","No"))</f>
        <v/>
      </c>
      <c r="S842">
        <f>IF(G842="","",COUNTIFS($G$3:$G$1002,SUBSTITUTE(SUBSTITUTE(G842,"?","~?"),"*","~*"),$J$3:$J$1002,"Primary"))</f>
        <v/>
      </c>
      <c r="T842">
        <f>IF(S842="","",IF(S842&gt;Settings!$B$4,"Yes","No"))</f>
        <v/>
      </c>
      <c r="U842">
        <f>IF(OR(G842="",B842=""),"",IF(COUNTIFS($G$3:$G$1002,SUBSTITUTE(SUBSTITUTE(G842,"?","~?"),"*","~*"),$B$3:$B$1002,"&lt;&gt;"&amp;SUBSTITUTE(SUBSTITUTE(B842,"?","~?"),"*","~*"),$B$3:$B$1002,"?*")&gt;0,"Yes","No"))</f>
        <v/>
      </c>
      <c r="V842">
        <f>IF(OR(G842="",I842="",O842="",O842="Unclassified"),"",IFERROR(INDEX(Settings!$E$5:$H$16,MATCH(I842,Settings!$D$5:$D$16,0),MATCH(O842,Settings!$E$4:$H$4,0)),"Check"))</f>
        <v/>
      </c>
      <c r="W842">
        <f>IF(V842="","",IF(V842="No","Yes","No"))</f>
        <v/>
      </c>
      <c r="X842">
        <f>IF(OR(E842="",G842=""),"",IF(LOWER(IF(RIGHT(TRIM(E842),1)="/",LEFT(TRIM(E842),LEN(TRIM(E842))-1),TRIM(E842)))&lt;&gt;LOWER(IF(RIGHT(TRIM(G842),1)="/",LEFT(TRIM(G842),LEN(TRIM(G842))-1),TRIM(G842))),"Yes","No"))</f>
        <v/>
      </c>
      <c r="Y842">
        <f>IF(A842="","",(N(Q842)&gt;0)+(T842="Yes")+(U842="Yes")+(W842="Yes")+(X842="Yes"))</f>
        <v/>
      </c>
      <c r="Z842">
        <f>IF(A842="","",IF(G842="","Not mapped",IF(Y842=0,"OK",MID(IF(N(Q842)&gt;0,"; Cannibalisation","")&amp;IF(T842="Yes","; Too many primary keywords on URL","")&amp;IF(U842="Yes","; URL spans 2+ clusters","")&amp;IF(W842="Yes","; Intent mismatch","")&amp;IF(X842="Yes","; Ranking URL is not the target",""),3,300))))</f>
        <v/>
      </c>
      <c r="AA842">
        <f>IF(G842="","",IF(COUNTIF($G$3:G842,SUBSTITUTE(SUBSTITUTE(G842,"?","~?"),"*","~*"))=1,MAX($AA$2:AA841)+1,""))</f>
        <v/>
      </c>
      <c r="AB842">
        <f>IF(B842="","",IF(COUNTIF($B$3:B842,SUBSTITUTE(SUBSTITUTE(B842,"?","~?"),"*","~*"))=1,MAX($AB$2:AB841)+1,""))</f>
        <v/>
      </c>
    </row>
    <row r="843">
      <c r="M843">
        <f>IF(A843="","",LOWER(TRIM(SUBSTITUTE(SUBSTITUTE(A843,"?",""),"*",""))))</f>
        <v/>
      </c>
      <c r="N843">
        <f>IF(M843="","",IF(SUMPRODUCT(ISNUMBER(SEARCH(" "&amp;Settings!$L$5:$L$124&amp;" "," "&amp;M843&amp;" "))*(Settings!$K$5:$K$124="Navigational")*(Settings!$L$5:$L$124&lt;&gt;""))&gt;0,"Navigational",IF(SUMPRODUCT(ISNUMBER(SEARCH(" "&amp;Settings!$L$5:$L$124&amp;" "," "&amp;M843&amp;" "))*(Settings!$K$5:$K$124="Transactional")*(Settings!$L$5:$L$124&lt;&gt;""))&gt;0,"Transactional",IF(SUMPRODUCT(ISNUMBER(SEARCH(" "&amp;Settings!$L$5:$L$124&amp;" "," "&amp;M843&amp;" "))*(Settings!$K$5:$K$124="Commercial")*(Settings!$L$5:$L$124&lt;&gt;""))&gt;0,"Commercial",IF(SUMPRODUCT(ISNUMBER(SEARCH(" "&amp;Settings!$L$5:$L$124&amp;" "," "&amp;M843&amp;" "))*(Settings!$K$5:$K$124="Informational")*(Settings!$L$5:$L$124&lt;&gt;""))&gt;0,"Informational","Unclassified")))))</f>
        <v/>
      </c>
      <c r="O843">
        <f>IF(A843="","",IF(K843&lt;&gt;"",PROPER(K843),N843))</f>
        <v/>
      </c>
      <c r="P843">
        <f>IF(A843="","",ROUND(Settings!$B$5*MIN(1,LOG10(N(C843)+1)/LOG10(Settings!$B$7+1))+Settings!$B$6*(1-MIN(100,IF(D843="",50,N(D843)))/100)+IFERROR(INDEX(Settings!$B$10:$B$14,MATCH(O843,Settings!$A$10:$A$14,0)),0),0))</f>
        <v/>
      </c>
      <c r="Q843">
        <f>IF(OR(A843="",G843=""),"",COUNTIFS($M$3:$M$1002,M843,$G$3:$G$1002,"&lt;&gt;"&amp;SUBSTITUTE(SUBSTITUTE(G843,"?","~?"),"*","~*"),$G$3:$G$1002,"?*"))</f>
        <v/>
      </c>
      <c r="R843">
        <f>IF(Q843="","",IF(Q843&gt;0,"Yes","No"))</f>
        <v/>
      </c>
      <c r="S843">
        <f>IF(G843="","",COUNTIFS($G$3:$G$1002,SUBSTITUTE(SUBSTITUTE(G843,"?","~?"),"*","~*"),$J$3:$J$1002,"Primary"))</f>
        <v/>
      </c>
      <c r="T843">
        <f>IF(S843="","",IF(S843&gt;Settings!$B$4,"Yes","No"))</f>
        <v/>
      </c>
      <c r="U843">
        <f>IF(OR(G843="",B843=""),"",IF(COUNTIFS($G$3:$G$1002,SUBSTITUTE(SUBSTITUTE(G843,"?","~?"),"*","~*"),$B$3:$B$1002,"&lt;&gt;"&amp;SUBSTITUTE(SUBSTITUTE(B843,"?","~?"),"*","~*"),$B$3:$B$1002,"?*")&gt;0,"Yes","No"))</f>
        <v/>
      </c>
      <c r="V843">
        <f>IF(OR(G843="",I843="",O843="",O843="Unclassified"),"",IFERROR(INDEX(Settings!$E$5:$H$16,MATCH(I843,Settings!$D$5:$D$16,0),MATCH(O843,Settings!$E$4:$H$4,0)),"Check"))</f>
        <v/>
      </c>
      <c r="W843">
        <f>IF(V843="","",IF(V843="No","Yes","No"))</f>
        <v/>
      </c>
      <c r="X843">
        <f>IF(OR(E843="",G843=""),"",IF(LOWER(IF(RIGHT(TRIM(E843),1)="/",LEFT(TRIM(E843),LEN(TRIM(E843))-1),TRIM(E843)))&lt;&gt;LOWER(IF(RIGHT(TRIM(G843),1)="/",LEFT(TRIM(G843),LEN(TRIM(G843))-1),TRIM(G843))),"Yes","No"))</f>
        <v/>
      </c>
      <c r="Y843">
        <f>IF(A843="","",(N(Q843)&gt;0)+(T843="Yes")+(U843="Yes")+(W843="Yes")+(X843="Yes"))</f>
        <v/>
      </c>
      <c r="Z843">
        <f>IF(A843="","",IF(G843="","Not mapped",IF(Y843=0,"OK",MID(IF(N(Q843)&gt;0,"; Cannibalisation","")&amp;IF(T843="Yes","; Too many primary keywords on URL","")&amp;IF(U843="Yes","; URL spans 2+ clusters","")&amp;IF(W843="Yes","; Intent mismatch","")&amp;IF(X843="Yes","; Ranking URL is not the target",""),3,300))))</f>
        <v/>
      </c>
      <c r="AA843">
        <f>IF(G843="","",IF(COUNTIF($G$3:G843,SUBSTITUTE(SUBSTITUTE(G843,"?","~?"),"*","~*"))=1,MAX($AA$2:AA842)+1,""))</f>
        <v/>
      </c>
      <c r="AB843">
        <f>IF(B843="","",IF(COUNTIF($B$3:B843,SUBSTITUTE(SUBSTITUTE(B843,"?","~?"),"*","~*"))=1,MAX($AB$2:AB842)+1,""))</f>
        <v/>
      </c>
    </row>
    <row r="844">
      <c r="M844">
        <f>IF(A844="","",LOWER(TRIM(SUBSTITUTE(SUBSTITUTE(A844,"?",""),"*",""))))</f>
        <v/>
      </c>
      <c r="N844">
        <f>IF(M844="","",IF(SUMPRODUCT(ISNUMBER(SEARCH(" "&amp;Settings!$L$5:$L$124&amp;" "," "&amp;M844&amp;" "))*(Settings!$K$5:$K$124="Navigational")*(Settings!$L$5:$L$124&lt;&gt;""))&gt;0,"Navigational",IF(SUMPRODUCT(ISNUMBER(SEARCH(" "&amp;Settings!$L$5:$L$124&amp;" "," "&amp;M844&amp;" "))*(Settings!$K$5:$K$124="Transactional")*(Settings!$L$5:$L$124&lt;&gt;""))&gt;0,"Transactional",IF(SUMPRODUCT(ISNUMBER(SEARCH(" "&amp;Settings!$L$5:$L$124&amp;" "," "&amp;M844&amp;" "))*(Settings!$K$5:$K$124="Commercial")*(Settings!$L$5:$L$124&lt;&gt;""))&gt;0,"Commercial",IF(SUMPRODUCT(ISNUMBER(SEARCH(" "&amp;Settings!$L$5:$L$124&amp;" "," "&amp;M844&amp;" "))*(Settings!$K$5:$K$124="Informational")*(Settings!$L$5:$L$124&lt;&gt;""))&gt;0,"Informational","Unclassified")))))</f>
        <v/>
      </c>
      <c r="O844">
        <f>IF(A844="","",IF(K844&lt;&gt;"",PROPER(K844),N844))</f>
        <v/>
      </c>
      <c r="P844">
        <f>IF(A844="","",ROUND(Settings!$B$5*MIN(1,LOG10(N(C844)+1)/LOG10(Settings!$B$7+1))+Settings!$B$6*(1-MIN(100,IF(D844="",50,N(D844)))/100)+IFERROR(INDEX(Settings!$B$10:$B$14,MATCH(O844,Settings!$A$10:$A$14,0)),0),0))</f>
        <v/>
      </c>
      <c r="Q844">
        <f>IF(OR(A844="",G844=""),"",COUNTIFS($M$3:$M$1002,M844,$G$3:$G$1002,"&lt;&gt;"&amp;SUBSTITUTE(SUBSTITUTE(G844,"?","~?"),"*","~*"),$G$3:$G$1002,"?*"))</f>
        <v/>
      </c>
      <c r="R844">
        <f>IF(Q844="","",IF(Q844&gt;0,"Yes","No"))</f>
        <v/>
      </c>
      <c r="S844">
        <f>IF(G844="","",COUNTIFS($G$3:$G$1002,SUBSTITUTE(SUBSTITUTE(G844,"?","~?"),"*","~*"),$J$3:$J$1002,"Primary"))</f>
        <v/>
      </c>
      <c r="T844">
        <f>IF(S844="","",IF(S844&gt;Settings!$B$4,"Yes","No"))</f>
        <v/>
      </c>
      <c r="U844">
        <f>IF(OR(G844="",B844=""),"",IF(COUNTIFS($G$3:$G$1002,SUBSTITUTE(SUBSTITUTE(G844,"?","~?"),"*","~*"),$B$3:$B$1002,"&lt;&gt;"&amp;SUBSTITUTE(SUBSTITUTE(B844,"?","~?"),"*","~*"),$B$3:$B$1002,"?*")&gt;0,"Yes","No"))</f>
        <v/>
      </c>
      <c r="V844">
        <f>IF(OR(G844="",I844="",O844="",O844="Unclassified"),"",IFERROR(INDEX(Settings!$E$5:$H$16,MATCH(I844,Settings!$D$5:$D$16,0),MATCH(O844,Settings!$E$4:$H$4,0)),"Check"))</f>
        <v/>
      </c>
      <c r="W844">
        <f>IF(V844="","",IF(V844="No","Yes","No"))</f>
        <v/>
      </c>
      <c r="X844">
        <f>IF(OR(E844="",G844=""),"",IF(LOWER(IF(RIGHT(TRIM(E844),1)="/",LEFT(TRIM(E844),LEN(TRIM(E844))-1),TRIM(E844)))&lt;&gt;LOWER(IF(RIGHT(TRIM(G844),1)="/",LEFT(TRIM(G844),LEN(TRIM(G844))-1),TRIM(G844))),"Yes","No"))</f>
        <v/>
      </c>
      <c r="Y844">
        <f>IF(A844="","",(N(Q844)&gt;0)+(T844="Yes")+(U844="Yes")+(W844="Yes")+(X844="Yes"))</f>
        <v/>
      </c>
      <c r="Z844">
        <f>IF(A844="","",IF(G844="","Not mapped",IF(Y844=0,"OK",MID(IF(N(Q844)&gt;0,"; Cannibalisation","")&amp;IF(T844="Yes","; Too many primary keywords on URL","")&amp;IF(U844="Yes","; URL spans 2+ clusters","")&amp;IF(W844="Yes","; Intent mismatch","")&amp;IF(X844="Yes","; Ranking URL is not the target",""),3,300))))</f>
        <v/>
      </c>
      <c r="AA844">
        <f>IF(G844="","",IF(COUNTIF($G$3:G844,SUBSTITUTE(SUBSTITUTE(G844,"?","~?"),"*","~*"))=1,MAX($AA$2:AA843)+1,""))</f>
        <v/>
      </c>
      <c r="AB844">
        <f>IF(B844="","",IF(COUNTIF($B$3:B844,SUBSTITUTE(SUBSTITUTE(B844,"?","~?"),"*","~*"))=1,MAX($AB$2:AB843)+1,""))</f>
        <v/>
      </c>
    </row>
    <row r="845">
      <c r="M845">
        <f>IF(A845="","",LOWER(TRIM(SUBSTITUTE(SUBSTITUTE(A845,"?",""),"*",""))))</f>
        <v/>
      </c>
      <c r="N845">
        <f>IF(M845="","",IF(SUMPRODUCT(ISNUMBER(SEARCH(" "&amp;Settings!$L$5:$L$124&amp;" "," "&amp;M845&amp;" "))*(Settings!$K$5:$K$124="Navigational")*(Settings!$L$5:$L$124&lt;&gt;""))&gt;0,"Navigational",IF(SUMPRODUCT(ISNUMBER(SEARCH(" "&amp;Settings!$L$5:$L$124&amp;" "," "&amp;M845&amp;" "))*(Settings!$K$5:$K$124="Transactional")*(Settings!$L$5:$L$124&lt;&gt;""))&gt;0,"Transactional",IF(SUMPRODUCT(ISNUMBER(SEARCH(" "&amp;Settings!$L$5:$L$124&amp;" "," "&amp;M845&amp;" "))*(Settings!$K$5:$K$124="Commercial")*(Settings!$L$5:$L$124&lt;&gt;""))&gt;0,"Commercial",IF(SUMPRODUCT(ISNUMBER(SEARCH(" "&amp;Settings!$L$5:$L$124&amp;" "," "&amp;M845&amp;" "))*(Settings!$K$5:$K$124="Informational")*(Settings!$L$5:$L$124&lt;&gt;""))&gt;0,"Informational","Unclassified")))))</f>
        <v/>
      </c>
      <c r="O845">
        <f>IF(A845="","",IF(K845&lt;&gt;"",PROPER(K845),N845))</f>
        <v/>
      </c>
      <c r="P845">
        <f>IF(A845="","",ROUND(Settings!$B$5*MIN(1,LOG10(N(C845)+1)/LOG10(Settings!$B$7+1))+Settings!$B$6*(1-MIN(100,IF(D845="",50,N(D845)))/100)+IFERROR(INDEX(Settings!$B$10:$B$14,MATCH(O845,Settings!$A$10:$A$14,0)),0),0))</f>
        <v/>
      </c>
      <c r="Q845">
        <f>IF(OR(A845="",G845=""),"",COUNTIFS($M$3:$M$1002,M845,$G$3:$G$1002,"&lt;&gt;"&amp;SUBSTITUTE(SUBSTITUTE(G845,"?","~?"),"*","~*"),$G$3:$G$1002,"?*"))</f>
        <v/>
      </c>
      <c r="R845">
        <f>IF(Q845="","",IF(Q845&gt;0,"Yes","No"))</f>
        <v/>
      </c>
      <c r="S845">
        <f>IF(G845="","",COUNTIFS($G$3:$G$1002,SUBSTITUTE(SUBSTITUTE(G845,"?","~?"),"*","~*"),$J$3:$J$1002,"Primary"))</f>
        <v/>
      </c>
      <c r="T845">
        <f>IF(S845="","",IF(S845&gt;Settings!$B$4,"Yes","No"))</f>
        <v/>
      </c>
      <c r="U845">
        <f>IF(OR(G845="",B845=""),"",IF(COUNTIFS($G$3:$G$1002,SUBSTITUTE(SUBSTITUTE(G845,"?","~?"),"*","~*"),$B$3:$B$1002,"&lt;&gt;"&amp;SUBSTITUTE(SUBSTITUTE(B845,"?","~?"),"*","~*"),$B$3:$B$1002,"?*")&gt;0,"Yes","No"))</f>
        <v/>
      </c>
      <c r="V845">
        <f>IF(OR(G845="",I845="",O845="",O845="Unclassified"),"",IFERROR(INDEX(Settings!$E$5:$H$16,MATCH(I845,Settings!$D$5:$D$16,0),MATCH(O845,Settings!$E$4:$H$4,0)),"Check"))</f>
        <v/>
      </c>
      <c r="W845">
        <f>IF(V845="","",IF(V845="No","Yes","No"))</f>
        <v/>
      </c>
      <c r="X845">
        <f>IF(OR(E845="",G845=""),"",IF(LOWER(IF(RIGHT(TRIM(E845),1)="/",LEFT(TRIM(E845),LEN(TRIM(E845))-1),TRIM(E845)))&lt;&gt;LOWER(IF(RIGHT(TRIM(G845),1)="/",LEFT(TRIM(G845),LEN(TRIM(G845))-1),TRIM(G845))),"Yes","No"))</f>
        <v/>
      </c>
      <c r="Y845">
        <f>IF(A845="","",(N(Q845)&gt;0)+(T845="Yes")+(U845="Yes")+(W845="Yes")+(X845="Yes"))</f>
        <v/>
      </c>
      <c r="Z845">
        <f>IF(A845="","",IF(G845="","Not mapped",IF(Y845=0,"OK",MID(IF(N(Q845)&gt;0,"; Cannibalisation","")&amp;IF(T845="Yes","; Too many primary keywords on URL","")&amp;IF(U845="Yes","; URL spans 2+ clusters","")&amp;IF(W845="Yes","; Intent mismatch","")&amp;IF(X845="Yes","; Ranking URL is not the target",""),3,300))))</f>
        <v/>
      </c>
      <c r="AA845">
        <f>IF(G845="","",IF(COUNTIF($G$3:G845,SUBSTITUTE(SUBSTITUTE(G845,"?","~?"),"*","~*"))=1,MAX($AA$2:AA844)+1,""))</f>
        <v/>
      </c>
      <c r="AB845">
        <f>IF(B845="","",IF(COUNTIF($B$3:B845,SUBSTITUTE(SUBSTITUTE(B845,"?","~?"),"*","~*"))=1,MAX($AB$2:AB844)+1,""))</f>
        <v/>
      </c>
    </row>
    <row r="846">
      <c r="M846">
        <f>IF(A846="","",LOWER(TRIM(SUBSTITUTE(SUBSTITUTE(A846,"?",""),"*",""))))</f>
        <v/>
      </c>
      <c r="N846">
        <f>IF(M846="","",IF(SUMPRODUCT(ISNUMBER(SEARCH(" "&amp;Settings!$L$5:$L$124&amp;" "," "&amp;M846&amp;" "))*(Settings!$K$5:$K$124="Navigational")*(Settings!$L$5:$L$124&lt;&gt;""))&gt;0,"Navigational",IF(SUMPRODUCT(ISNUMBER(SEARCH(" "&amp;Settings!$L$5:$L$124&amp;" "," "&amp;M846&amp;" "))*(Settings!$K$5:$K$124="Transactional")*(Settings!$L$5:$L$124&lt;&gt;""))&gt;0,"Transactional",IF(SUMPRODUCT(ISNUMBER(SEARCH(" "&amp;Settings!$L$5:$L$124&amp;" "," "&amp;M846&amp;" "))*(Settings!$K$5:$K$124="Commercial")*(Settings!$L$5:$L$124&lt;&gt;""))&gt;0,"Commercial",IF(SUMPRODUCT(ISNUMBER(SEARCH(" "&amp;Settings!$L$5:$L$124&amp;" "," "&amp;M846&amp;" "))*(Settings!$K$5:$K$124="Informational")*(Settings!$L$5:$L$124&lt;&gt;""))&gt;0,"Informational","Unclassified")))))</f>
        <v/>
      </c>
      <c r="O846">
        <f>IF(A846="","",IF(K846&lt;&gt;"",PROPER(K846),N846))</f>
        <v/>
      </c>
      <c r="P846">
        <f>IF(A846="","",ROUND(Settings!$B$5*MIN(1,LOG10(N(C846)+1)/LOG10(Settings!$B$7+1))+Settings!$B$6*(1-MIN(100,IF(D846="",50,N(D846)))/100)+IFERROR(INDEX(Settings!$B$10:$B$14,MATCH(O846,Settings!$A$10:$A$14,0)),0),0))</f>
        <v/>
      </c>
      <c r="Q846">
        <f>IF(OR(A846="",G846=""),"",COUNTIFS($M$3:$M$1002,M846,$G$3:$G$1002,"&lt;&gt;"&amp;SUBSTITUTE(SUBSTITUTE(G846,"?","~?"),"*","~*"),$G$3:$G$1002,"?*"))</f>
        <v/>
      </c>
      <c r="R846">
        <f>IF(Q846="","",IF(Q846&gt;0,"Yes","No"))</f>
        <v/>
      </c>
      <c r="S846">
        <f>IF(G846="","",COUNTIFS($G$3:$G$1002,SUBSTITUTE(SUBSTITUTE(G846,"?","~?"),"*","~*"),$J$3:$J$1002,"Primary"))</f>
        <v/>
      </c>
      <c r="T846">
        <f>IF(S846="","",IF(S846&gt;Settings!$B$4,"Yes","No"))</f>
        <v/>
      </c>
      <c r="U846">
        <f>IF(OR(G846="",B846=""),"",IF(COUNTIFS($G$3:$G$1002,SUBSTITUTE(SUBSTITUTE(G846,"?","~?"),"*","~*"),$B$3:$B$1002,"&lt;&gt;"&amp;SUBSTITUTE(SUBSTITUTE(B846,"?","~?"),"*","~*"),$B$3:$B$1002,"?*")&gt;0,"Yes","No"))</f>
        <v/>
      </c>
      <c r="V846">
        <f>IF(OR(G846="",I846="",O846="",O846="Unclassified"),"",IFERROR(INDEX(Settings!$E$5:$H$16,MATCH(I846,Settings!$D$5:$D$16,0),MATCH(O846,Settings!$E$4:$H$4,0)),"Check"))</f>
        <v/>
      </c>
      <c r="W846">
        <f>IF(V846="","",IF(V846="No","Yes","No"))</f>
        <v/>
      </c>
      <c r="X846">
        <f>IF(OR(E846="",G846=""),"",IF(LOWER(IF(RIGHT(TRIM(E846),1)="/",LEFT(TRIM(E846),LEN(TRIM(E846))-1),TRIM(E846)))&lt;&gt;LOWER(IF(RIGHT(TRIM(G846),1)="/",LEFT(TRIM(G846),LEN(TRIM(G846))-1),TRIM(G846))),"Yes","No"))</f>
        <v/>
      </c>
      <c r="Y846">
        <f>IF(A846="","",(N(Q846)&gt;0)+(T846="Yes")+(U846="Yes")+(W846="Yes")+(X846="Yes"))</f>
        <v/>
      </c>
      <c r="Z846">
        <f>IF(A846="","",IF(G846="","Not mapped",IF(Y846=0,"OK",MID(IF(N(Q846)&gt;0,"; Cannibalisation","")&amp;IF(T846="Yes","; Too many primary keywords on URL","")&amp;IF(U846="Yes","; URL spans 2+ clusters","")&amp;IF(W846="Yes","; Intent mismatch","")&amp;IF(X846="Yes","; Ranking URL is not the target",""),3,300))))</f>
        <v/>
      </c>
      <c r="AA846">
        <f>IF(G846="","",IF(COUNTIF($G$3:G846,SUBSTITUTE(SUBSTITUTE(G846,"?","~?"),"*","~*"))=1,MAX($AA$2:AA845)+1,""))</f>
        <v/>
      </c>
      <c r="AB846">
        <f>IF(B846="","",IF(COUNTIF($B$3:B846,SUBSTITUTE(SUBSTITUTE(B846,"?","~?"),"*","~*"))=1,MAX($AB$2:AB845)+1,""))</f>
        <v/>
      </c>
    </row>
    <row r="847">
      <c r="M847">
        <f>IF(A847="","",LOWER(TRIM(SUBSTITUTE(SUBSTITUTE(A847,"?",""),"*",""))))</f>
        <v/>
      </c>
      <c r="N847">
        <f>IF(M847="","",IF(SUMPRODUCT(ISNUMBER(SEARCH(" "&amp;Settings!$L$5:$L$124&amp;" "," "&amp;M847&amp;" "))*(Settings!$K$5:$K$124="Navigational")*(Settings!$L$5:$L$124&lt;&gt;""))&gt;0,"Navigational",IF(SUMPRODUCT(ISNUMBER(SEARCH(" "&amp;Settings!$L$5:$L$124&amp;" "," "&amp;M847&amp;" "))*(Settings!$K$5:$K$124="Transactional")*(Settings!$L$5:$L$124&lt;&gt;""))&gt;0,"Transactional",IF(SUMPRODUCT(ISNUMBER(SEARCH(" "&amp;Settings!$L$5:$L$124&amp;" "," "&amp;M847&amp;" "))*(Settings!$K$5:$K$124="Commercial")*(Settings!$L$5:$L$124&lt;&gt;""))&gt;0,"Commercial",IF(SUMPRODUCT(ISNUMBER(SEARCH(" "&amp;Settings!$L$5:$L$124&amp;" "," "&amp;M847&amp;" "))*(Settings!$K$5:$K$124="Informational")*(Settings!$L$5:$L$124&lt;&gt;""))&gt;0,"Informational","Unclassified")))))</f>
        <v/>
      </c>
      <c r="O847">
        <f>IF(A847="","",IF(K847&lt;&gt;"",PROPER(K847),N847))</f>
        <v/>
      </c>
      <c r="P847">
        <f>IF(A847="","",ROUND(Settings!$B$5*MIN(1,LOG10(N(C847)+1)/LOG10(Settings!$B$7+1))+Settings!$B$6*(1-MIN(100,IF(D847="",50,N(D847)))/100)+IFERROR(INDEX(Settings!$B$10:$B$14,MATCH(O847,Settings!$A$10:$A$14,0)),0),0))</f>
        <v/>
      </c>
      <c r="Q847">
        <f>IF(OR(A847="",G847=""),"",COUNTIFS($M$3:$M$1002,M847,$G$3:$G$1002,"&lt;&gt;"&amp;SUBSTITUTE(SUBSTITUTE(G847,"?","~?"),"*","~*"),$G$3:$G$1002,"?*"))</f>
        <v/>
      </c>
      <c r="R847">
        <f>IF(Q847="","",IF(Q847&gt;0,"Yes","No"))</f>
        <v/>
      </c>
      <c r="S847">
        <f>IF(G847="","",COUNTIFS($G$3:$G$1002,SUBSTITUTE(SUBSTITUTE(G847,"?","~?"),"*","~*"),$J$3:$J$1002,"Primary"))</f>
        <v/>
      </c>
      <c r="T847">
        <f>IF(S847="","",IF(S847&gt;Settings!$B$4,"Yes","No"))</f>
        <v/>
      </c>
      <c r="U847">
        <f>IF(OR(G847="",B847=""),"",IF(COUNTIFS($G$3:$G$1002,SUBSTITUTE(SUBSTITUTE(G847,"?","~?"),"*","~*"),$B$3:$B$1002,"&lt;&gt;"&amp;SUBSTITUTE(SUBSTITUTE(B847,"?","~?"),"*","~*"),$B$3:$B$1002,"?*")&gt;0,"Yes","No"))</f>
        <v/>
      </c>
      <c r="V847">
        <f>IF(OR(G847="",I847="",O847="",O847="Unclassified"),"",IFERROR(INDEX(Settings!$E$5:$H$16,MATCH(I847,Settings!$D$5:$D$16,0),MATCH(O847,Settings!$E$4:$H$4,0)),"Check"))</f>
        <v/>
      </c>
      <c r="W847">
        <f>IF(V847="","",IF(V847="No","Yes","No"))</f>
        <v/>
      </c>
      <c r="X847">
        <f>IF(OR(E847="",G847=""),"",IF(LOWER(IF(RIGHT(TRIM(E847),1)="/",LEFT(TRIM(E847),LEN(TRIM(E847))-1),TRIM(E847)))&lt;&gt;LOWER(IF(RIGHT(TRIM(G847),1)="/",LEFT(TRIM(G847),LEN(TRIM(G847))-1),TRIM(G847))),"Yes","No"))</f>
        <v/>
      </c>
      <c r="Y847">
        <f>IF(A847="","",(N(Q847)&gt;0)+(T847="Yes")+(U847="Yes")+(W847="Yes")+(X847="Yes"))</f>
        <v/>
      </c>
      <c r="Z847">
        <f>IF(A847="","",IF(G847="","Not mapped",IF(Y847=0,"OK",MID(IF(N(Q847)&gt;0,"; Cannibalisation","")&amp;IF(T847="Yes","; Too many primary keywords on URL","")&amp;IF(U847="Yes","; URL spans 2+ clusters","")&amp;IF(W847="Yes","; Intent mismatch","")&amp;IF(X847="Yes","; Ranking URL is not the target",""),3,300))))</f>
        <v/>
      </c>
      <c r="AA847">
        <f>IF(G847="","",IF(COUNTIF($G$3:G847,SUBSTITUTE(SUBSTITUTE(G847,"?","~?"),"*","~*"))=1,MAX($AA$2:AA846)+1,""))</f>
        <v/>
      </c>
      <c r="AB847">
        <f>IF(B847="","",IF(COUNTIF($B$3:B847,SUBSTITUTE(SUBSTITUTE(B847,"?","~?"),"*","~*"))=1,MAX($AB$2:AB846)+1,""))</f>
        <v/>
      </c>
    </row>
    <row r="848">
      <c r="M848">
        <f>IF(A848="","",LOWER(TRIM(SUBSTITUTE(SUBSTITUTE(A848,"?",""),"*",""))))</f>
        <v/>
      </c>
      <c r="N848">
        <f>IF(M848="","",IF(SUMPRODUCT(ISNUMBER(SEARCH(" "&amp;Settings!$L$5:$L$124&amp;" "," "&amp;M848&amp;" "))*(Settings!$K$5:$K$124="Navigational")*(Settings!$L$5:$L$124&lt;&gt;""))&gt;0,"Navigational",IF(SUMPRODUCT(ISNUMBER(SEARCH(" "&amp;Settings!$L$5:$L$124&amp;" "," "&amp;M848&amp;" "))*(Settings!$K$5:$K$124="Transactional")*(Settings!$L$5:$L$124&lt;&gt;""))&gt;0,"Transactional",IF(SUMPRODUCT(ISNUMBER(SEARCH(" "&amp;Settings!$L$5:$L$124&amp;" "," "&amp;M848&amp;" "))*(Settings!$K$5:$K$124="Commercial")*(Settings!$L$5:$L$124&lt;&gt;""))&gt;0,"Commercial",IF(SUMPRODUCT(ISNUMBER(SEARCH(" "&amp;Settings!$L$5:$L$124&amp;" "," "&amp;M848&amp;" "))*(Settings!$K$5:$K$124="Informational")*(Settings!$L$5:$L$124&lt;&gt;""))&gt;0,"Informational","Unclassified")))))</f>
        <v/>
      </c>
      <c r="O848">
        <f>IF(A848="","",IF(K848&lt;&gt;"",PROPER(K848),N848))</f>
        <v/>
      </c>
      <c r="P848">
        <f>IF(A848="","",ROUND(Settings!$B$5*MIN(1,LOG10(N(C848)+1)/LOG10(Settings!$B$7+1))+Settings!$B$6*(1-MIN(100,IF(D848="",50,N(D848)))/100)+IFERROR(INDEX(Settings!$B$10:$B$14,MATCH(O848,Settings!$A$10:$A$14,0)),0),0))</f>
        <v/>
      </c>
      <c r="Q848">
        <f>IF(OR(A848="",G848=""),"",COUNTIFS($M$3:$M$1002,M848,$G$3:$G$1002,"&lt;&gt;"&amp;SUBSTITUTE(SUBSTITUTE(G848,"?","~?"),"*","~*"),$G$3:$G$1002,"?*"))</f>
        <v/>
      </c>
      <c r="R848">
        <f>IF(Q848="","",IF(Q848&gt;0,"Yes","No"))</f>
        <v/>
      </c>
      <c r="S848">
        <f>IF(G848="","",COUNTIFS($G$3:$G$1002,SUBSTITUTE(SUBSTITUTE(G848,"?","~?"),"*","~*"),$J$3:$J$1002,"Primary"))</f>
        <v/>
      </c>
      <c r="T848">
        <f>IF(S848="","",IF(S848&gt;Settings!$B$4,"Yes","No"))</f>
        <v/>
      </c>
      <c r="U848">
        <f>IF(OR(G848="",B848=""),"",IF(COUNTIFS($G$3:$G$1002,SUBSTITUTE(SUBSTITUTE(G848,"?","~?"),"*","~*"),$B$3:$B$1002,"&lt;&gt;"&amp;SUBSTITUTE(SUBSTITUTE(B848,"?","~?"),"*","~*"),$B$3:$B$1002,"?*")&gt;0,"Yes","No"))</f>
        <v/>
      </c>
      <c r="V848">
        <f>IF(OR(G848="",I848="",O848="",O848="Unclassified"),"",IFERROR(INDEX(Settings!$E$5:$H$16,MATCH(I848,Settings!$D$5:$D$16,0),MATCH(O848,Settings!$E$4:$H$4,0)),"Check"))</f>
        <v/>
      </c>
      <c r="W848">
        <f>IF(V848="","",IF(V848="No","Yes","No"))</f>
        <v/>
      </c>
      <c r="X848">
        <f>IF(OR(E848="",G848=""),"",IF(LOWER(IF(RIGHT(TRIM(E848),1)="/",LEFT(TRIM(E848),LEN(TRIM(E848))-1),TRIM(E848)))&lt;&gt;LOWER(IF(RIGHT(TRIM(G848),1)="/",LEFT(TRIM(G848),LEN(TRIM(G848))-1),TRIM(G848))),"Yes","No"))</f>
        <v/>
      </c>
      <c r="Y848">
        <f>IF(A848="","",(N(Q848)&gt;0)+(T848="Yes")+(U848="Yes")+(W848="Yes")+(X848="Yes"))</f>
        <v/>
      </c>
      <c r="Z848">
        <f>IF(A848="","",IF(G848="","Not mapped",IF(Y848=0,"OK",MID(IF(N(Q848)&gt;0,"; Cannibalisation","")&amp;IF(T848="Yes","; Too many primary keywords on URL","")&amp;IF(U848="Yes","; URL spans 2+ clusters","")&amp;IF(W848="Yes","; Intent mismatch","")&amp;IF(X848="Yes","; Ranking URL is not the target",""),3,300))))</f>
        <v/>
      </c>
      <c r="AA848">
        <f>IF(G848="","",IF(COUNTIF($G$3:G848,SUBSTITUTE(SUBSTITUTE(G848,"?","~?"),"*","~*"))=1,MAX($AA$2:AA847)+1,""))</f>
        <v/>
      </c>
      <c r="AB848">
        <f>IF(B848="","",IF(COUNTIF($B$3:B848,SUBSTITUTE(SUBSTITUTE(B848,"?","~?"),"*","~*"))=1,MAX($AB$2:AB847)+1,""))</f>
        <v/>
      </c>
    </row>
    <row r="849">
      <c r="M849">
        <f>IF(A849="","",LOWER(TRIM(SUBSTITUTE(SUBSTITUTE(A849,"?",""),"*",""))))</f>
        <v/>
      </c>
      <c r="N849">
        <f>IF(M849="","",IF(SUMPRODUCT(ISNUMBER(SEARCH(" "&amp;Settings!$L$5:$L$124&amp;" "," "&amp;M849&amp;" "))*(Settings!$K$5:$K$124="Navigational")*(Settings!$L$5:$L$124&lt;&gt;""))&gt;0,"Navigational",IF(SUMPRODUCT(ISNUMBER(SEARCH(" "&amp;Settings!$L$5:$L$124&amp;" "," "&amp;M849&amp;" "))*(Settings!$K$5:$K$124="Transactional")*(Settings!$L$5:$L$124&lt;&gt;""))&gt;0,"Transactional",IF(SUMPRODUCT(ISNUMBER(SEARCH(" "&amp;Settings!$L$5:$L$124&amp;" "," "&amp;M849&amp;" "))*(Settings!$K$5:$K$124="Commercial")*(Settings!$L$5:$L$124&lt;&gt;""))&gt;0,"Commercial",IF(SUMPRODUCT(ISNUMBER(SEARCH(" "&amp;Settings!$L$5:$L$124&amp;" "," "&amp;M849&amp;" "))*(Settings!$K$5:$K$124="Informational")*(Settings!$L$5:$L$124&lt;&gt;""))&gt;0,"Informational","Unclassified")))))</f>
        <v/>
      </c>
      <c r="O849">
        <f>IF(A849="","",IF(K849&lt;&gt;"",PROPER(K849),N849))</f>
        <v/>
      </c>
      <c r="P849">
        <f>IF(A849="","",ROUND(Settings!$B$5*MIN(1,LOG10(N(C849)+1)/LOG10(Settings!$B$7+1))+Settings!$B$6*(1-MIN(100,IF(D849="",50,N(D849)))/100)+IFERROR(INDEX(Settings!$B$10:$B$14,MATCH(O849,Settings!$A$10:$A$14,0)),0),0))</f>
        <v/>
      </c>
      <c r="Q849">
        <f>IF(OR(A849="",G849=""),"",COUNTIFS($M$3:$M$1002,M849,$G$3:$G$1002,"&lt;&gt;"&amp;SUBSTITUTE(SUBSTITUTE(G849,"?","~?"),"*","~*"),$G$3:$G$1002,"?*"))</f>
        <v/>
      </c>
      <c r="R849">
        <f>IF(Q849="","",IF(Q849&gt;0,"Yes","No"))</f>
        <v/>
      </c>
      <c r="S849">
        <f>IF(G849="","",COUNTIFS($G$3:$G$1002,SUBSTITUTE(SUBSTITUTE(G849,"?","~?"),"*","~*"),$J$3:$J$1002,"Primary"))</f>
        <v/>
      </c>
      <c r="T849">
        <f>IF(S849="","",IF(S849&gt;Settings!$B$4,"Yes","No"))</f>
        <v/>
      </c>
      <c r="U849">
        <f>IF(OR(G849="",B849=""),"",IF(COUNTIFS($G$3:$G$1002,SUBSTITUTE(SUBSTITUTE(G849,"?","~?"),"*","~*"),$B$3:$B$1002,"&lt;&gt;"&amp;SUBSTITUTE(SUBSTITUTE(B849,"?","~?"),"*","~*"),$B$3:$B$1002,"?*")&gt;0,"Yes","No"))</f>
        <v/>
      </c>
      <c r="V849">
        <f>IF(OR(G849="",I849="",O849="",O849="Unclassified"),"",IFERROR(INDEX(Settings!$E$5:$H$16,MATCH(I849,Settings!$D$5:$D$16,0),MATCH(O849,Settings!$E$4:$H$4,0)),"Check"))</f>
        <v/>
      </c>
      <c r="W849">
        <f>IF(V849="","",IF(V849="No","Yes","No"))</f>
        <v/>
      </c>
      <c r="X849">
        <f>IF(OR(E849="",G849=""),"",IF(LOWER(IF(RIGHT(TRIM(E849),1)="/",LEFT(TRIM(E849),LEN(TRIM(E849))-1),TRIM(E849)))&lt;&gt;LOWER(IF(RIGHT(TRIM(G849),1)="/",LEFT(TRIM(G849),LEN(TRIM(G849))-1),TRIM(G849))),"Yes","No"))</f>
        <v/>
      </c>
      <c r="Y849">
        <f>IF(A849="","",(N(Q849)&gt;0)+(T849="Yes")+(U849="Yes")+(W849="Yes")+(X849="Yes"))</f>
        <v/>
      </c>
      <c r="Z849">
        <f>IF(A849="","",IF(G849="","Not mapped",IF(Y849=0,"OK",MID(IF(N(Q849)&gt;0,"; Cannibalisation","")&amp;IF(T849="Yes","; Too many primary keywords on URL","")&amp;IF(U849="Yes","; URL spans 2+ clusters","")&amp;IF(W849="Yes","; Intent mismatch","")&amp;IF(X849="Yes","; Ranking URL is not the target",""),3,300))))</f>
        <v/>
      </c>
      <c r="AA849">
        <f>IF(G849="","",IF(COUNTIF($G$3:G849,SUBSTITUTE(SUBSTITUTE(G849,"?","~?"),"*","~*"))=1,MAX($AA$2:AA848)+1,""))</f>
        <v/>
      </c>
      <c r="AB849">
        <f>IF(B849="","",IF(COUNTIF($B$3:B849,SUBSTITUTE(SUBSTITUTE(B849,"?","~?"),"*","~*"))=1,MAX($AB$2:AB848)+1,""))</f>
        <v/>
      </c>
    </row>
    <row r="850">
      <c r="M850">
        <f>IF(A850="","",LOWER(TRIM(SUBSTITUTE(SUBSTITUTE(A850,"?",""),"*",""))))</f>
        <v/>
      </c>
      <c r="N850">
        <f>IF(M850="","",IF(SUMPRODUCT(ISNUMBER(SEARCH(" "&amp;Settings!$L$5:$L$124&amp;" "," "&amp;M850&amp;" "))*(Settings!$K$5:$K$124="Navigational")*(Settings!$L$5:$L$124&lt;&gt;""))&gt;0,"Navigational",IF(SUMPRODUCT(ISNUMBER(SEARCH(" "&amp;Settings!$L$5:$L$124&amp;" "," "&amp;M850&amp;" "))*(Settings!$K$5:$K$124="Transactional")*(Settings!$L$5:$L$124&lt;&gt;""))&gt;0,"Transactional",IF(SUMPRODUCT(ISNUMBER(SEARCH(" "&amp;Settings!$L$5:$L$124&amp;" "," "&amp;M850&amp;" "))*(Settings!$K$5:$K$124="Commercial")*(Settings!$L$5:$L$124&lt;&gt;""))&gt;0,"Commercial",IF(SUMPRODUCT(ISNUMBER(SEARCH(" "&amp;Settings!$L$5:$L$124&amp;" "," "&amp;M850&amp;" "))*(Settings!$K$5:$K$124="Informational")*(Settings!$L$5:$L$124&lt;&gt;""))&gt;0,"Informational","Unclassified")))))</f>
        <v/>
      </c>
      <c r="O850">
        <f>IF(A850="","",IF(K850&lt;&gt;"",PROPER(K850),N850))</f>
        <v/>
      </c>
      <c r="P850">
        <f>IF(A850="","",ROUND(Settings!$B$5*MIN(1,LOG10(N(C850)+1)/LOG10(Settings!$B$7+1))+Settings!$B$6*(1-MIN(100,IF(D850="",50,N(D850)))/100)+IFERROR(INDEX(Settings!$B$10:$B$14,MATCH(O850,Settings!$A$10:$A$14,0)),0),0))</f>
        <v/>
      </c>
      <c r="Q850">
        <f>IF(OR(A850="",G850=""),"",COUNTIFS($M$3:$M$1002,M850,$G$3:$G$1002,"&lt;&gt;"&amp;SUBSTITUTE(SUBSTITUTE(G850,"?","~?"),"*","~*"),$G$3:$G$1002,"?*"))</f>
        <v/>
      </c>
      <c r="R850">
        <f>IF(Q850="","",IF(Q850&gt;0,"Yes","No"))</f>
        <v/>
      </c>
      <c r="S850">
        <f>IF(G850="","",COUNTIFS($G$3:$G$1002,SUBSTITUTE(SUBSTITUTE(G850,"?","~?"),"*","~*"),$J$3:$J$1002,"Primary"))</f>
        <v/>
      </c>
      <c r="T850">
        <f>IF(S850="","",IF(S850&gt;Settings!$B$4,"Yes","No"))</f>
        <v/>
      </c>
      <c r="U850">
        <f>IF(OR(G850="",B850=""),"",IF(COUNTIFS($G$3:$G$1002,SUBSTITUTE(SUBSTITUTE(G850,"?","~?"),"*","~*"),$B$3:$B$1002,"&lt;&gt;"&amp;SUBSTITUTE(SUBSTITUTE(B850,"?","~?"),"*","~*"),$B$3:$B$1002,"?*")&gt;0,"Yes","No"))</f>
        <v/>
      </c>
      <c r="V850">
        <f>IF(OR(G850="",I850="",O850="",O850="Unclassified"),"",IFERROR(INDEX(Settings!$E$5:$H$16,MATCH(I850,Settings!$D$5:$D$16,0),MATCH(O850,Settings!$E$4:$H$4,0)),"Check"))</f>
        <v/>
      </c>
      <c r="W850">
        <f>IF(V850="","",IF(V850="No","Yes","No"))</f>
        <v/>
      </c>
      <c r="X850">
        <f>IF(OR(E850="",G850=""),"",IF(LOWER(IF(RIGHT(TRIM(E850),1)="/",LEFT(TRIM(E850),LEN(TRIM(E850))-1),TRIM(E850)))&lt;&gt;LOWER(IF(RIGHT(TRIM(G850),1)="/",LEFT(TRIM(G850),LEN(TRIM(G850))-1),TRIM(G850))),"Yes","No"))</f>
        <v/>
      </c>
      <c r="Y850">
        <f>IF(A850="","",(N(Q850)&gt;0)+(T850="Yes")+(U850="Yes")+(W850="Yes")+(X850="Yes"))</f>
        <v/>
      </c>
      <c r="Z850">
        <f>IF(A850="","",IF(G850="","Not mapped",IF(Y850=0,"OK",MID(IF(N(Q850)&gt;0,"; Cannibalisation","")&amp;IF(T850="Yes","; Too many primary keywords on URL","")&amp;IF(U850="Yes","; URL spans 2+ clusters","")&amp;IF(W850="Yes","; Intent mismatch","")&amp;IF(X850="Yes","; Ranking URL is not the target",""),3,300))))</f>
        <v/>
      </c>
      <c r="AA850">
        <f>IF(G850="","",IF(COUNTIF($G$3:G850,SUBSTITUTE(SUBSTITUTE(G850,"?","~?"),"*","~*"))=1,MAX($AA$2:AA849)+1,""))</f>
        <v/>
      </c>
      <c r="AB850">
        <f>IF(B850="","",IF(COUNTIF($B$3:B850,SUBSTITUTE(SUBSTITUTE(B850,"?","~?"),"*","~*"))=1,MAX($AB$2:AB849)+1,""))</f>
        <v/>
      </c>
    </row>
    <row r="851">
      <c r="M851">
        <f>IF(A851="","",LOWER(TRIM(SUBSTITUTE(SUBSTITUTE(A851,"?",""),"*",""))))</f>
        <v/>
      </c>
      <c r="N851">
        <f>IF(M851="","",IF(SUMPRODUCT(ISNUMBER(SEARCH(" "&amp;Settings!$L$5:$L$124&amp;" "," "&amp;M851&amp;" "))*(Settings!$K$5:$K$124="Navigational")*(Settings!$L$5:$L$124&lt;&gt;""))&gt;0,"Navigational",IF(SUMPRODUCT(ISNUMBER(SEARCH(" "&amp;Settings!$L$5:$L$124&amp;" "," "&amp;M851&amp;" "))*(Settings!$K$5:$K$124="Transactional")*(Settings!$L$5:$L$124&lt;&gt;""))&gt;0,"Transactional",IF(SUMPRODUCT(ISNUMBER(SEARCH(" "&amp;Settings!$L$5:$L$124&amp;" "," "&amp;M851&amp;" "))*(Settings!$K$5:$K$124="Commercial")*(Settings!$L$5:$L$124&lt;&gt;""))&gt;0,"Commercial",IF(SUMPRODUCT(ISNUMBER(SEARCH(" "&amp;Settings!$L$5:$L$124&amp;" "," "&amp;M851&amp;" "))*(Settings!$K$5:$K$124="Informational")*(Settings!$L$5:$L$124&lt;&gt;""))&gt;0,"Informational","Unclassified")))))</f>
        <v/>
      </c>
      <c r="O851">
        <f>IF(A851="","",IF(K851&lt;&gt;"",PROPER(K851),N851))</f>
        <v/>
      </c>
      <c r="P851">
        <f>IF(A851="","",ROUND(Settings!$B$5*MIN(1,LOG10(N(C851)+1)/LOG10(Settings!$B$7+1))+Settings!$B$6*(1-MIN(100,IF(D851="",50,N(D851)))/100)+IFERROR(INDEX(Settings!$B$10:$B$14,MATCH(O851,Settings!$A$10:$A$14,0)),0),0))</f>
        <v/>
      </c>
      <c r="Q851">
        <f>IF(OR(A851="",G851=""),"",COUNTIFS($M$3:$M$1002,M851,$G$3:$G$1002,"&lt;&gt;"&amp;SUBSTITUTE(SUBSTITUTE(G851,"?","~?"),"*","~*"),$G$3:$G$1002,"?*"))</f>
        <v/>
      </c>
      <c r="R851">
        <f>IF(Q851="","",IF(Q851&gt;0,"Yes","No"))</f>
        <v/>
      </c>
      <c r="S851">
        <f>IF(G851="","",COUNTIFS($G$3:$G$1002,SUBSTITUTE(SUBSTITUTE(G851,"?","~?"),"*","~*"),$J$3:$J$1002,"Primary"))</f>
        <v/>
      </c>
      <c r="T851">
        <f>IF(S851="","",IF(S851&gt;Settings!$B$4,"Yes","No"))</f>
        <v/>
      </c>
      <c r="U851">
        <f>IF(OR(G851="",B851=""),"",IF(COUNTIFS($G$3:$G$1002,SUBSTITUTE(SUBSTITUTE(G851,"?","~?"),"*","~*"),$B$3:$B$1002,"&lt;&gt;"&amp;SUBSTITUTE(SUBSTITUTE(B851,"?","~?"),"*","~*"),$B$3:$B$1002,"?*")&gt;0,"Yes","No"))</f>
        <v/>
      </c>
      <c r="V851">
        <f>IF(OR(G851="",I851="",O851="",O851="Unclassified"),"",IFERROR(INDEX(Settings!$E$5:$H$16,MATCH(I851,Settings!$D$5:$D$16,0),MATCH(O851,Settings!$E$4:$H$4,0)),"Check"))</f>
        <v/>
      </c>
      <c r="W851">
        <f>IF(V851="","",IF(V851="No","Yes","No"))</f>
        <v/>
      </c>
      <c r="X851">
        <f>IF(OR(E851="",G851=""),"",IF(LOWER(IF(RIGHT(TRIM(E851),1)="/",LEFT(TRIM(E851),LEN(TRIM(E851))-1),TRIM(E851)))&lt;&gt;LOWER(IF(RIGHT(TRIM(G851),1)="/",LEFT(TRIM(G851),LEN(TRIM(G851))-1),TRIM(G851))),"Yes","No"))</f>
        <v/>
      </c>
      <c r="Y851">
        <f>IF(A851="","",(N(Q851)&gt;0)+(T851="Yes")+(U851="Yes")+(W851="Yes")+(X851="Yes"))</f>
        <v/>
      </c>
      <c r="Z851">
        <f>IF(A851="","",IF(G851="","Not mapped",IF(Y851=0,"OK",MID(IF(N(Q851)&gt;0,"; Cannibalisation","")&amp;IF(T851="Yes","; Too many primary keywords on URL","")&amp;IF(U851="Yes","; URL spans 2+ clusters","")&amp;IF(W851="Yes","; Intent mismatch","")&amp;IF(X851="Yes","; Ranking URL is not the target",""),3,300))))</f>
        <v/>
      </c>
      <c r="AA851">
        <f>IF(G851="","",IF(COUNTIF($G$3:G851,SUBSTITUTE(SUBSTITUTE(G851,"?","~?"),"*","~*"))=1,MAX($AA$2:AA850)+1,""))</f>
        <v/>
      </c>
      <c r="AB851">
        <f>IF(B851="","",IF(COUNTIF($B$3:B851,SUBSTITUTE(SUBSTITUTE(B851,"?","~?"),"*","~*"))=1,MAX($AB$2:AB850)+1,""))</f>
        <v/>
      </c>
    </row>
    <row r="852">
      <c r="M852">
        <f>IF(A852="","",LOWER(TRIM(SUBSTITUTE(SUBSTITUTE(A852,"?",""),"*",""))))</f>
        <v/>
      </c>
      <c r="N852">
        <f>IF(M852="","",IF(SUMPRODUCT(ISNUMBER(SEARCH(" "&amp;Settings!$L$5:$L$124&amp;" "," "&amp;M852&amp;" "))*(Settings!$K$5:$K$124="Navigational")*(Settings!$L$5:$L$124&lt;&gt;""))&gt;0,"Navigational",IF(SUMPRODUCT(ISNUMBER(SEARCH(" "&amp;Settings!$L$5:$L$124&amp;" "," "&amp;M852&amp;" "))*(Settings!$K$5:$K$124="Transactional")*(Settings!$L$5:$L$124&lt;&gt;""))&gt;0,"Transactional",IF(SUMPRODUCT(ISNUMBER(SEARCH(" "&amp;Settings!$L$5:$L$124&amp;" "," "&amp;M852&amp;" "))*(Settings!$K$5:$K$124="Commercial")*(Settings!$L$5:$L$124&lt;&gt;""))&gt;0,"Commercial",IF(SUMPRODUCT(ISNUMBER(SEARCH(" "&amp;Settings!$L$5:$L$124&amp;" "," "&amp;M852&amp;" "))*(Settings!$K$5:$K$124="Informational")*(Settings!$L$5:$L$124&lt;&gt;""))&gt;0,"Informational","Unclassified")))))</f>
        <v/>
      </c>
      <c r="O852">
        <f>IF(A852="","",IF(K852&lt;&gt;"",PROPER(K852),N852))</f>
        <v/>
      </c>
      <c r="P852">
        <f>IF(A852="","",ROUND(Settings!$B$5*MIN(1,LOG10(N(C852)+1)/LOG10(Settings!$B$7+1))+Settings!$B$6*(1-MIN(100,IF(D852="",50,N(D852)))/100)+IFERROR(INDEX(Settings!$B$10:$B$14,MATCH(O852,Settings!$A$10:$A$14,0)),0),0))</f>
        <v/>
      </c>
      <c r="Q852">
        <f>IF(OR(A852="",G852=""),"",COUNTIFS($M$3:$M$1002,M852,$G$3:$G$1002,"&lt;&gt;"&amp;SUBSTITUTE(SUBSTITUTE(G852,"?","~?"),"*","~*"),$G$3:$G$1002,"?*"))</f>
        <v/>
      </c>
      <c r="R852">
        <f>IF(Q852="","",IF(Q852&gt;0,"Yes","No"))</f>
        <v/>
      </c>
      <c r="S852">
        <f>IF(G852="","",COUNTIFS($G$3:$G$1002,SUBSTITUTE(SUBSTITUTE(G852,"?","~?"),"*","~*"),$J$3:$J$1002,"Primary"))</f>
        <v/>
      </c>
      <c r="T852">
        <f>IF(S852="","",IF(S852&gt;Settings!$B$4,"Yes","No"))</f>
        <v/>
      </c>
      <c r="U852">
        <f>IF(OR(G852="",B852=""),"",IF(COUNTIFS($G$3:$G$1002,SUBSTITUTE(SUBSTITUTE(G852,"?","~?"),"*","~*"),$B$3:$B$1002,"&lt;&gt;"&amp;SUBSTITUTE(SUBSTITUTE(B852,"?","~?"),"*","~*"),$B$3:$B$1002,"?*")&gt;0,"Yes","No"))</f>
        <v/>
      </c>
      <c r="V852">
        <f>IF(OR(G852="",I852="",O852="",O852="Unclassified"),"",IFERROR(INDEX(Settings!$E$5:$H$16,MATCH(I852,Settings!$D$5:$D$16,0),MATCH(O852,Settings!$E$4:$H$4,0)),"Check"))</f>
        <v/>
      </c>
      <c r="W852">
        <f>IF(V852="","",IF(V852="No","Yes","No"))</f>
        <v/>
      </c>
      <c r="X852">
        <f>IF(OR(E852="",G852=""),"",IF(LOWER(IF(RIGHT(TRIM(E852),1)="/",LEFT(TRIM(E852),LEN(TRIM(E852))-1),TRIM(E852)))&lt;&gt;LOWER(IF(RIGHT(TRIM(G852),1)="/",LEFT(TRIM(G852),LEN(TRIM(G852))-1),TRIM(G852))),"Yes","No"))</f>
        <v/>
      </c>
      <c r="Y852">
        <f>IF(A852="","",(N(Q852)&gt;0)+(T852="Yes")+(U852="Yes")+(W852="Yes")+(X852="Yes"))</f>
        <v/>
      </c>
      <c r="Z852">
        <f>IF(A852="","",IF(G852="","Not mapped",IF(Y852=0,"OK",MID(IF(N(Q852)&gt;0,"; Cannibalisation","")&amp;IF(T852="Yes","; Too many primary keywords on URL","")&amp;IF(U852="Yes","; URL spans 2+ clusters","")&amp;IF(W852="Yes","; Intent mismatch","")&amp;IF(X852="Yes","; Ranking URL is not the target",""),3,300))))</f>
        <v/>
      </c>
      <c r="AA852">
        <f>IF(G852="","",IF(COUNTIF($G$3:G852,SUBSTITUTE(SUBSTITUTE(G852,"?","~?"),"*","~*"))=1,MAX($AA$2:AA851)+1,""))</f>
        <v/>
      </c>
      <c r="AB852">
        <f>IF(B852="","",IF(COUNTIF($B$3:B852,SUBSTITUTE(SUBSTITUTE(B852,"?","~?"),"*","~*"))=1,MAX($AB$2:AB851)+1,""))</f>
        <v/>
      </c>
    </row>
    <row r="853">
      <c r="M853">
        <f>IF(A853="","",LOWER(TRIM(SUBSTITUTE(SUBSTITUTE(A853,"?",""),"*",""))))</f>
        <v/>
      </c>
      <c r="N853">
        <f>IF(M853="","",IF(SUMPRODUCT(ISNUMBER(SEARCH(" "&amp;Settings!$L$5:$L$124&amp;" "," "&amp;M853&amp;" "))*(Settings!$K$5:$K$124="Navigational")*(Settings!$L$5:$L$124&lt;&gt;""))&gt;0,"Navigational",IF(SUMPRODUCT(ISNUMBER(SEARCH(" "&amp;Settings!$L$5:$L$124&amp;" "," "&amp;M853&amp;" "))*(Settings!$K$5:$K$124="Transactional")*(Settings!$L$5:$L$124&lt;&gt;""))&gt;0,"Transactional",IF(SUMPRODUCT(ISNUMBER(SEARCH(" "&amp;Settings!$L$5:$L$124&amp;" "," "&amp;M853&amp;" "))*(Settings!$K$5:$K$124="Commercial")*(Settings!$L$5:$L$124&lt;&gt;""))&gt;0,"Commercial",IF(SUMPRODUCT(ISNUMBER(SEARCH(" "&amp;Settings!$L$5:$L$124&amp;" "," "&amp;M853&amp;" "))*(Settings!$K$5:$K$124="Informational")*(Settings!$L$5:$L$124&lt;&gt;""))&gt;0,"Informational","Unclassified")))))</f>
        <v/>
      </c>
      <c r="O853">
        <f>IF(A853="","",IF(K853&lt;&gt;"",PROPER(K853),N853))</f>
        <v/>
      </c>
      <c r="P853">
        <f>IF(A853="","",ROUND(Settings!$B$5*MIN(1,LOG10(N(C853)+1)/LOG10(Settings!$B$7+1))+Settings!$B$6*(1-MIN(100,IF(D853="",50,N(D853)))/100)+IFERROR(INDEX(Settings!$B$10:$B$14,MATCH(O853,Settings!$A$10:$A$14,0)),0),0))</f>
        <v/>
      </c>
      <c r="Q853">
        <f>IF(OR(A853="",G853=""),"",COUNTIFS($M$3:$M$1002,M853,$G$3:$G$1002,"&lt;&gt;"&amp;SUBSTITUTE(SUBSTITUTE(G853,"?","~?"),"*","~*"),$G$3:$G$1002,"?*"))</f>
        <v/>
      </c>
      <c r="R853">
        <f>IF(Q853="","",IF(Q853&gt;0,"Yes","No"))</f>
        <v/>
      </c>
      <c r="S853">
        <f>IF(G853="","",COUNTIFS($G$3:$G$1002,SUBSTITUTE(SUBSTITUTE(G853,"?","~?"),"*","~*"),$J$3:$J$1002,"Primary"))</f>
        <v/>
      </c>
      <c r="T853">
        <f>IF(S853="","",IF(S853&gt;Settings!$B$4,"Yes","No"))</f>
        <v/>
      </c>
      <c r="U853">
        <f>IF(OR(G853="",B853=""),"",IF(COUNTIFS($G$3:$G$1002,SUBSTITUTE(SUBSTITUTE(G853,"?","~?"),"*","~*"),$B$3:$B$1002,"&lt;&gt;"&amp;SUBSTITUTE(SUBSTITUTE(B853,"?","~?"),"*","~*"),$B$3:$B$1002,"?*")&gt;0,"Yes","No"))</f>
        <v/>
      </c>
      <c r="V853">
        <f>IF(OR(G853="",I853="",O853="",O853="Unclassified"),"",IFERROR(INDEX(Settings!$E$5:$H$16,MATCH(I853,Settings!$D$5:$D$16,0),MATCH(O853,Settings!$E$4:$H$4,0)),"Check"))</f>
        <v/>
      </c>
      <c r="W853">
        <f>IF(V853="","",IF(V853="No","Yes","No"))</f>
        <v/>
      </c>
      <c r="X853">
        <f>IF(OR(E853="",G853=""),"",IF(LOWER(IF(RIGHT(TRIM(E853),1)="/",LEFT(TRIM(E853),LEN(TRIM(E853))-1),TRIM(E853)))&lt;&gt;LOWER(IF(RIGHT(TRIM(G853),1)="/",LEFT(TRIM(G853),LEN(TRIM(G853))-1),TRIM(G853))),"Yes","No"))</f>
        <v/>
      </c>
      <c r="Y853">
        <f>IF(A853="","",(N(Q853)&gt;0)+(T853="Yes")+(U853="Yes")+(W853="Yes")+(X853="Yes"))</f>
        <v/>
      </c>
      <c r="Z853">
        <f>IF(A853="","",IF(G853="","Not mapped",IF(Y853=0,"OK",MID(IF(N(Q853)&gt;0,"; Cannibalisation","")&amp;IF(T853="Yes","; Too many primary keywords on URL","")&amp;IF(U853="Yes","; URL spans 2+ clusters","")&amp;IF(W853="Yes","; Intent mismatch","")&amp;IF(X853="Yes","; Ranking URL is not the target",""),3,300))))</f>
        <v/>
      </c>
      <c r="AA853">
        <f>IF(G853="","",IF(COUNTIF($G$3:G853,SUBSTITUTE(SUBSTITUTE(G853,"?","~?"),"*","~*"))=1,MAX($AA$2:AA852)+1,""))</f>
        <v/>
      </c>
      <c r="AB853">
        <f>IF(B853="","",IF(COUNTIF($B$3:B853,SUBSTITUTE(SUBSTITUTE(B853,"?","~?"),"*","~*"))=1,MAX($AB$2:AB852)+1,""))</f>
        <v/>
      </c>
    </row>
    <row r="854">
      <c r="M854">
        <f>IF(A854="","",LOWER(TRIM(SUBSTITUTE(SUBSTITUTE(A854,"?",""),"*",""))))</f>
        <v/>
      </c>
      <c r="N854">
        <f>IF(M854="","",IF(SUMPRODUCT(ISNUMBER(SEARCH(" "&amp;Settings!$L$5:$L$124&amp;" "," "&amp;M854&amp;" "))*(Settings!$K$5:$K$124="Navigational")*(Settings!$L$5:$L$124&lt;&gt;""))&gt;0,"Navigational",IF(SUMPRODUCT(ISNUMBER(SEARCH(" "&amp;Settings!$L$5:$L$124&amp;" "," "&amp;M854&amp;" "))*(Settings!$K$5:$K$124="Transactional")*(Settings!$L$5:$L$124&lt;&gt;""))&gt;0,"Transactional",IF(SUMPRODUCT(ISNUMBER(SEARCH(" "&amp;Settings!$L$5:$L$124&amp;" "," "&amp;M854&amp;" "))*(Settings!$K$5:$K$124="Commercial")*(Settings!$L$5:$L$124&lt;&gt;""))&gt;0,"Commercial",IF(SUMPRODUCT(ISNUMBER(SEARCH(" "&amp;Settings!$L$5:$L$124&amp;" "," "&amp;M854&amp;" "))*(Settings!$K$5:$K$124="Informational")*(Settings!$L$5:$L$124&lt;&gt;""))&gt;0,"Informational","Unclassified")))))</f>
        <v/>
      </c>
      <c r="O854">
        <f>IF(A854="","",IF(K854&lt;&gt;"",PROPER(K854),N854))</f>
        <v/>
      </c>
      <c r="P854">
        <f>IF(A854="","",ROUND(Settings!$B$5*MIN(1,LOG10(N(C854)+1)/LOG10(Settings!$B$7+1))+Settings!$B$6*(1-MIN(100,IF(D854="",50,N(D854)))/100)+IFERROR(INDEX(Settings!$B$10:$B$14,MATCH(O854,Settings!$A$10:$A$14,0)),0),0))</f>
        <v/>
      </c>
      <c r="Q854">
        <f>IF(OR(A854="",G854=""),"",COUNTIFS($M$3:$M$1002,M854,$G$3:$G$1002,"&lt;&gt;"&amp;SUBSTITUTE(SUBSTITUTE(G854,"?","~?"),"*","~*"),$G$3:$G$1002,"?*"))</f>
        <v/>
      </c>
      <c r="R854">
        <f>IF(Q854="","",IF(Q854&gt;0,"Yes","No"))</f>
        <v/>
      </c>
      <c r="S854">
        <f>IF(G854="","",COUNTIFS($G$3:$G$1002,SUBSTITUTE(SUBSTITUTE(G854,"?","~?"),"*","~*"),$J$3:$J$1002,"Primary"))</f>
        <v/>
      </c>
      <c r="T854">
        <f>IF(S854="","",IF(S854&gt;Settings!$B$4,"Yes","No"))</f>
        <v/>
      </c>
      <c r="U854">
        <f>IF(OR(G854="",B854=""),"",IF(COUNTIFS($G$3:$G$1002,SUBSTITUTE(SUBSTITUTE(G854,"?","~?"),"*","~*"),$B$3:$B$1002,"&lt;&gt;"&amp;SUBSTITUTE(SUBSTITUTE(B854,"?","~?"),"*","~*"),$B$3:$B$1002,"?*")&gt;0,"Yes","No"))</f>
        <v/>
      </c>
      <c r="V854">
        <f>IF(OR(G854="",I854="",O854="",O854="Unclassified"),"",IFERROR(INDEX(Settings!$E$5:$H$16,MATCH(I854,Settings!$D$5:$D$16,0),MATCH(O854,Settings!$E$4:$H$4,0)),"Check"))</f>
        <v/>
      </c>
      <c r="W854">
        <f>IF(V854="","",IF(V854="No","Yes","No"))</f>
        <v/>
      </c>
      <c r="X854">
        <f>IF(OR(E854="",G854=""),"",IF(LOWER(IF(RIGHT(TRIM(E854),1)="/",LEFT(TRIM(E854),LEN(TRIM(E854))-1),TRIM(E854)))&lt;&gt;LOWER(IF(RIGHT(TRIM(G854),1)="/",LEFT(TRIM(G854),LEN(TRIM(G854))-1),TRIM(G854))),"Yes","No"))</f>
        <v/>
      </c>
      <c r="Y854">
        <f>IF(A854="","",(N(Q854)&gt;0)+(T854="Yes")+(U854="Yes")+(W854="Yes")+(X854="Yes"))</f>
        <v/>
      </c>
      <c r="Z854">
        <f>IF(A854="","",IF(G854="","Not mapped",IF(Y854=0,"OK",MID(IF(N(Q854)&gt;0,"; Cannibalisation","")&amp;IF(T854="Yes","; Too many primary keywords on URL","")&amp;IF(U854="Yes","; URL spans 2+ clusters","")&amp;IF(W854="Yes","; Intent mismatch","")&amp;IF(X854="Yes","; Ranking URL is not the target",""),3,300))))</f>
        <v/>
      </c>
      <c r="AA854">
        <f>IF(G854="","",IF(COUNTIF($G$3:G854,SUBSTITUTE(SUBSTITUTE(G854,"?","~?"),"*","~*"))=1,MAX($AA$2:AA853)+1,""))</f>
        <v/>
      </c>
      <c r="AB854">
        <f>IF(B854="","",IF(COUNTIF($B$3:B854,SUBSTITUTE(SUBSTITUTE(B854,"?","~?"),"*","~*"))=1,MAX($AB$2:AB853)+1,""))</f>
        <v/>
      </c>
    </row>
    <row r="855">
      <c r="M855">
        <f>IF(A855="","",LOWER(TRIM(SUBSTITUTE(SUBSTITUTE(A855,"?",""),"*",""))))</f>
        <v/>
      </c>
      <c r="N855">
        <f>IF(M855="","",IF(SUMPRODUCT(ISNUMBER(SEARCH(" "&amp;Settings!$L$5:$L$124&amp;" "," "&amp;M855&amp;" "))*(Settings!$K$5:$K$124="Navigational")*(Settings!$L$5:$L$124&lt;&gt;""))&gt;0,"Navigational",IF(SUMPRODUCT(ISNUMBER(SEARCH(" "&amp;Settings!$L$5:$L$124&amp;" "," "&amp;M855&amp;" "))*(Settings!$K$5:$K$124="Transactional")*(Settings!$L$5:$L$124&lt;&gt;""))&gt;0,"Transactional",IF(SUMPRODUCT(ISNUMBER(SEARCH(" "&amp;Settings!$L$5:$L$124&amp;" "," "&amp;M855&amp;" "))*(Settings!$K$5:$K$124="Commercial")*(Settings!$L$5:$L$124&lt;&gt;""))&gt;0,"Commercial",IF(SUMPRODUCT(ISNUMBER(SEARCH(" "&amp;Settings!$L$5:$L$124&amp;" "," "&amp;M855&amp;" "))*(Settings!$K$5:$K$124="Informational")*(Settings!$L$5:$L$124&lt;&gt;""))&gt;0,"Informational","Unclassified")))))</f>
        <v/>
      </c>
      <c r="O855">
        <f>IF(A855="","",IF(K855&lt;&gt;"",PROPER(K855),N855))</f>
        <v/>
      </c>
      <c r="P855">
        <f>IF(A855="","",ROUND(Settings!$B$5*MIN(1,LOG10(N(C855)+1)/LOG10(Settings!$B$7+1))+Settings!$B$6*(1-MIN(100,IF(D855="",50,N(D855)))/100)+IFERROR(INDEX(Settings!$B$10:$B$14,MATCH(O855,Settings!$A$10:$A$14,0)),0),0))</f>
        <v/>
      </c>
      <c r="Q855">
        <f>IF(OR(A855="",G855=""),"",COUNTIFS($M$3:$M$1002,M855,$G$3:$G$1002,"&lt;&gt;"&amp;SUBSTITUTE(SUBSTITUTE(G855,"?","~?"),"*","~*"),$G$3:$G$1002,"?*"))</f>
        <v/>
      </c>
      <c r="R855">
        <f>IF(Q855="","",IF(Q855&gt;0,"Yes","No"))</f>
        <v/>
      </c>
      <c r="S855">
        <f>IF(G855="","",COUNTIFS($G$3:$G$1002,SUBSTITUTE(SUBSTITUTE(G855,"?","~?"),"*","~*"),$J$3:$J$1002,"Primary"))</f>
        <v/>
      </c>
      <c r="T855">
        <f>IF(S855="","",IF(S855&gt;Settings!$B$4,"Yes","No"))</f>
        <v/>
      </c>
      <c r="U855">
        <f>IF(OR(G855="",B855=""),"",IF(COUNTIFS($G$3:$G$1002,SUBSTITUTE(SUBSTITUTE(G855,"?","~?"),"*","~*"),$B$3:$B$1002,"&lt;&gt;"&amp;SUBSTITUTE(SUBSTITUTE(B855,"?","~?"),"*","~*"),$B$3:$B$1002,"?*")&gt;0,"Yes","No"))</f>
        <v/>
      </c>
      <c r="V855">
        <f>IF(OR(G855="",I855="",O855="",O855="Unclassified"),"",IFERROR(INDEX(Settings!$E$5:$H$16,MATCH(I855,Settings!$D$5:$D$16,0),MATCH(O855,Settings!$E$4:$H$4,0)),"Check"))</f>
        <v/>
      </c>
      <c r="W855">
        <f>IF(V855="","",IF(V855="No","Yes","No"))</f>
        <v/>
      </c>
      <c r="X855">
        <f>IF(OR(E855="",G855=""),"",IF(LOWER(IF(RIGHT(TRIM(E855),1)="/",LEFT(TRIM(E855),LEN(TRIM(E855))-1),TRIM(E855)))&lt;&gt;LOWER(IF(RIGHT(TRIM(G855),1)="/",LEFT(TRIM(G855),LEN(TRIM(G855))-1),TRIM(G855))),"Yes","No"))</f>
        <v/>
      </c>
      <c r="Y855">
        <f>IF(A855="","",(N(Q855)&gt;0)+(T855="Yes")+(U855="Yes")+(W855="Yes")+(X855="Yes"))</f>
        <v/>
      </c>
      <c r="Z855">
        <f>IF(A855="","",IF(G855="","Not mapped",IF(Y855=0,"OK",MID(IF(N(Q855)&gt;0,"; Cannibalisation","")&amp;IF(T855="Yes","; Too many primary keywords on URL","")&amp;IF(U855="Yes","; URL spans 2+ clusters","")&amp;IF(W855="Yes","; Intent mismatch","")&amp;IF(X855="Yes","; Ranking URL is not the target",""),3,300))))</f>
        <v/>
      </c>
      <c r="AA855">
        <f>IF(G855="","",IF(COUNTIF($G$3:G855,SUBSTITUTE(SUBSTITUTE(G855,"?","~?"),"*","~*"))=1,MAX($AA$2:AA854)+1,""))</f>
        <v/>
      </c>
      <c r="AB855">
        <f>IF(B855="","",IF(COUNTIF($B$3:B855,SUBSTITUTE(SUBSTITUTE(B855,"?","~?"),"*","~*"))=1,MAX($AB$2:AB854)+1,""))</f>
        <v/>
      </c>
    </row>
    <row r="856">
      <c r="M856">
        <f>IF(A856="","",LOWER(TRIM(SUBSTITUTE(SUBSTITUTE(A856,"?",""),"*",""))))</f>
        <v/>
      </c>
      <c r="N856">
        <f>IF(M856="","",IF(SUMPRODUCT(ISNUMBER(SEARCH(" "&amp;Settings!$L$5:$L$124&amp;" "," "&amp;M856&amp;" "))*(Settings!$K$5:$K$124="Navigational")*(Settings!$L$5:$L$124&lt;&gt;""))&gt;0,"Navigational",IF(SUMPRODUCT(ISNUMBER(SEARCH(" "&amp;Settings!$L$5:$L$124&amp;" "," "&amp;M856&amp;" "))*(Settings!$K$5:$K$124="Transactional")*(Settings!$L$5:$L$124&lt;&gt;""))&gt;0,"Transactional",IF(SUMPRODUCT(ISNUMBER(SEARCH(" "&amp;Settings!$L$5:$L$124&amp;" "," "&amp;M856&amp;" "))*(Settings!$K$5:$K$124="Commercial")*(Settings!$L$5:$L$124&lt;&gt;""))&gt;0,"Commercial",IF(SUMPRODUCT(ISNUMBER(SEARCH(" "&amp;Settings!$L$5:$L$124&amp;" "," "&amp;M856&amp;" "))*(Settings!$K$5:$K$124="Informational")*(Settings!$L$5:$L$124&lt;&gt;""))&gt;0,"Informational","Unclassified")))))</f>
        <v/>
      </c>
      <c r="O856">
        <f>IF(A856="","",IF(K856&lt;&gt;"",PROPER(K856),N856))</f>
        <v/>
      </c>
      <c r="P856">
        <f>IF(A856="","",ROUND(Settings!$B$5*MIN(1,LOG10(N(C856)+1)/LOG10(Settings!$B$7+1))+Settings!$B$6*(1-MIN(100,IF(D856="",50,N(D856)))/100)+IFERROR(INDEX(Settings!$B$10:$B$14,MATCH(O856,Settings!$A$10:$A$14,0)),0),0))</f>
        <v/>
      </c>
      <c r="Q856">
        <f>IF(OR(A856="",G856=""),"",COUNTIFS($M$3:$M$1002,M856,$G$3:$G$1002,"&lt;&gt;"&amp;SUBSTITUTE(SUBSTITUTE(G856,"?","~?"),"*","~*"),$G$3:$G$1002,"?*"))</f>
        <v/>
      </c>
      <c r="R856">
        <f>IF(Q856="","",IF(Q856&gt;0,"Yes","No"))</f>
        <v/>
      </c>
      <c r="S856">
        <f>IF(G856="","",COUNTIFS($G$3:$G$1002,SUBSTITUTE(SUBSTITUTE(G856,"?","~?"),"*","~*"),$J$3:$J$1002,"Primary"))</f>
        <v/>
      </c>
      <c r="T856">
        <f>IF(S856="","",IF(S856&gt;Settings!$B$4,"Yes","No"))</f>
        <v/>
      </c>
      <c r="U856">
        <f>IF(OR(G856="",B856=""),"",IF(COUNTIFS($G$3:$G$1002,SUBSTITUTE(SUBSTITUTE(G856,"?","~?"),"*","~*"),$B$3:$B$1002,"&lt;&gt;"&amp;SUBSTITUTE(SUBSTITUTE(B856,"?","~?"),"*","~*"),$B$3:$B$1002,"?*")&gt;0,"Yes","No"))</f>
        <v/>
      </c>
      <c r="V856">
        <f>IF(OR(G856="",I856="",O856="",O856="Unclassified"),"",IFERROR(INDEX(Settings!$E$5:$H$16,MATCH(I856,Settings!$D$5:$D$16,0),MATCH(O856,Settings!$E$4:$H$4,0)),"Check"))</f>
        <v/>
      </c>
      <c r="W856">
        <f>IF(V856="","",IF(V856="No","Yes","No"))</f>
        <v/>
      </c>
      <c r="X856">
        <f>IF(OR(E856="",G856=""),"",IF(LOWER(IF(RIGHT(TRIM(E856),1)="/",LEFT(TRIM(E856),LEN(TRIM(E856))-1),TRIM(E856)))&lt;&gt;LOWER(IF(RIGHT(TRIM(G856),1)="/",LEFT(TRIM(G856),LEN(TRIM(G856))-1),TRIM(G856))),"Yes","No"))</f>
        <v/>
      </c>
      <c r="Y856">
        <f>IF(A856="","",(N(Q856)&gt;0)+(T856="Yes")+(U856="Yes")+(W856="Yes")+(X856="Yes"))</f>
        <v/>
      </c>
      <c r="Z856">
        <f>IF(A856="","",IF(G856="","Not mapped",IF(Y856=0,"OK",MID(IF(N(Q856)&gt;0,"; Cannibalisation","")&amp;IF(T856="Yes","; Too many primary keywords on URL","")&amp;IF(U856="Yes","; URL spans 2+ clusters","")&amp;IF(W856="Yes","; Intent mismatch","")&amp;IF(X856="Yes","; Ranking URL is not the target",""),3,300))))</f>
        <v/>
      </c>
      <c r="AA856">
        <f>IF(G856="","",IF(COUNTIF($G$3:G856,SUBSTITUTE(SUBSTITUTE(G856,"?","~?"),"*","~*"))=1,MAX($AA$2:AA855)+1,""))</f>
        <v/>
      </c>
      <c r="AB856">
        <f>IF(B856="","",IF(COUNTIF($B$3:B856,SUBSTITUTE(SUBSTITUTE(B856,"?","~?"),"*","~*"))=1,MAX($AB$2:AB855)+1,""))</f>
        <v/>
      </c>
    </row>
    <row r="857">
      <c r="M857">
        <f>IF(A857="","",LOWER(TRIM(SUBSTITUTE(SUBSTITUTE(A857,"?",""),"*",""))))</f>
        <v/>
      </c>
      <c r="N857">
        <f>IF(M857="","",IF(SUMPRODUCT(ISNUMBER(SEARCH(" "&amp;Settings!$L$5:$L$124&amp;" "," "&amp;M857&amp;" "))*(Settings!$K$5:$K$124="Navigational")*(Settings!$L$5:$L$124&lt;&gt;""))&gt;0,"Navigational",IF(SUMPRODUCT(ISNUMBER(SEARCH(" "&amp;Settings!$L$5:$L$124&amp;" "," "&amp;M857&amp;" "))*(Settings!$K$5:$K$124="Transactional")*(Settings!$L$5:$L$124&lt;&gt;""))&gt;0,"Transactional",IF(SUMPRODUCT(ISNUMBER(SEARCH(" "&amp;Settings!$L$5:$L$124&amp;" "," "&amp;M857&amp;" "))*(Settings!$K$5:$K$124="Commercial")*(Settings!$L$5:$L$124&lt;&gt;""))&gt;0,"Commercial",IF(SUMPRODUCT(ISNUMBER(SEARCH(" "&amp;Settings!$L$5:$L$124&amp;" "," "&amp;M857&amp;" "))*(Settings!$K$5:$K$124="Informational")*(Settings!$L$5:$L$124&lt;&gt;""))&gt;0,"Informational","Unclassified")))))</f>
        <v/>
      </c>
      <c r="O857">
        <f>IF(A857="","",IF(K857&lt;&gt;"",PROPER(K857),N857))</f>
        <v/>
      </c>
      <c r="P857">
        <f>IF(A857="","",ROUND(Settings!$B$5*MIN(1,LOG10(N(C857)+1)/LOG10(Settings!$B$7+1))+Settings!$B$6*(1-MIN(100,IF(D857="",50,N(D857)))/100)+IFERROR(INDEX(Settings!$B$10:$B$14,MATCH(O857,Settings!$A$10:$A$14,0)),0),0))</f>
        <v/>
      </c>
      <c r="Q857">
        <f>IF(OR(A857="",G857=""),"",COUNTIFS($M$3:$M$1002,M857,$G$3:$G$1002,"&lt;&gt;"&amp;SUBSTITUTE(SUBSTITUTE(G857,"?","~?"),"*","~*"),$G$3:$G$1002,"?*"))</f>
        <v/>
      </c>
      <c r="R857">
        <f>IF(Q857="","",IF(Q857&gt;0,"Yes","No"))</f>
        <v/>
      </c>
      <c r="S857">
        <f>IF(G857="","",COUNTIFS($G$3:$G$1002,SUBSTITUTE(SUBSTITUTE(G857,"?","~?"),"*","~*"),$J$3:$J$1002,"Primary"))</f>
        <v/>
      </c>
      <c r="T857">
        <f>IF(S857="","",IF(S857&gt;Settings!$B$4,"Yes","No"))</f>
        <v/>
      </c>
      <c r="U857">
        <f>IF(OR(G857="",B857=""),"",IF(COUNTIFS($G$3:$G$1002,SUBSTITUTE(SUBSTITUTE(G857,"?","~?"),"*","~*"),$B$3:$B$1002,"&lt;&gt;"&amp;SUBSTITUTE(SUBSTITUTE(B857,"?","~?"),"*","~*"),$B$3:$B$1002,"?*")&gt;0,"Yes","No"))</f>
        <v/>
      </c>
      <c r="V857">
        <f>IF(OR(G857="",I857="",O857="",O857="Unclassified"),"",IFERROR(INDEX(Settings!$E$5:$H$16,MATCH(I857,Settings!$D$5:$D$16,0),MATCH(O857,Settings!$E$4:$H$4,0)),"Check"))</f>
        <v/>
      </c>
      <c r="W857">
        <f>IF(V857="","",IF(V857="No","Yes","No"))</f>
        <v/>
      </c>
      <c r="X857">
        <f>IF(OR(E857="",G857=""),"",IF(LOWER(IF(RIGHT(TRIM(E857),1)="/",LEFT(TRIM(E857),LEN(TRIM(E857))-1),TRIM(E857)))&lt;&gt;LOWER(IF(RIGHT(TRIM(G857),1)="/",LEFT(TRIM(G857),LEN(TRIM(G857))-1),TRIM(G857))),"Yes","No"))</f>
        <v/>
      </c>
      <c r="Y857">
        <f>IF(A857="","",(N(Q857)&gt;0)+(T857="Yes")+(U857="Yes")+(W857="Yes")+(X857="Yes"))</f>
        <v/>
      </c>
      <c r="Z857">
        <f>IF(A857="","",IF(G857="","Not mapped",IF(Y857=0,"OK",MID(IF(N(Q857)&gt;0,"; Cannibalisation","")&amp;IF(T857="Yes","; Too many primary keywords on URL","")&amp;IF(U857="Yes","; URL spans 2+ clusters","")&amp;IF(W857="Yes","; Intent mismatch","")&amp;IF(X857="Yes","; Ranking URL is not the target",""),3,300))))</f>
        <v/>
      </c>
      <c r="AA857">
        <f>IF(G857="","",IF(COUNTIF($G$3:G857,SUBSTITUTE(SUBSTITUTE(G857,"?","~?"),"*","~*"))=1,MAX($AA$2:AA856)+1,""))</f>
        <v/>
      </c>
      <c r="AB857">
        <f>IF(B857="","",IF(COUNTIF($B$3:B857,SUBSTITUTE(SUBSTITUTE(B857,"?","~?"),"*","~*"))=1,MAX($AB$2:AB856)+1,""))</f>
        <v/>
      </c>
    </row>
    <row r="858">
      <c r="M858">
        <f>IF(A858="","",LOWER(TRIM(SUBSTITUTE(SUBSTITUTE(A858,"?",""),"*",""))))</f>
        <v/>
      </c>
      <c r="N858">
        <f>IF(M858="","",IF(SUMPRODUCT(ISNUMBER(SEARCH(" "&amp;Settings!$L$5:$L$124&amp;" "," "&amp;M858&amp;" "))*(Settings!$K$5:$K$124="Navigational")*(Settings!$L$5:$L$124&lt;&gt;""))&gt;0,"Navigational",IF(SUMPRODUCT(ISNUMBER(SEARCH(" "&amp;Settings!$L$5:$L$124&amp;" "," "&amp;M858&amp;" "))*(Settings!$K$5:$K$124="Transactional")*(Settings!$L$5:$L$124&lt;&gt;""))&gt;0,"Transactional",IF(SUMPRODUCT(ISNUMBER(SEARCH(" "&amp;Settings!$L$5:$L$124&amp;" "," "&amp;M858&amp;" "))*(Settings!$K$5:$K$124="Commercial")*(Settings!$L$5:$L$124&lt;&gt;""))&gt;0,"Commercial",IF(SUMPRODUCT(ISNUMBER(SEARCH(" "&amp;Settings!$L$5:$L$124&amp;" "," "&amp;M858&amp;" "))*(Settings!$K$5:$K$124="Informational")*(Settings!$L$5:$L$124&lt;&gt;""))&gt;0,"Informational","Unclassified")))))</f>
        <v/>
      </c>
      <c r="O858">
        <f>IF(A858="","",IF(K858&lt;&gt;"",PROPER(K858),N858))</f>
        <v/>
      </c>
      <c r="P858">
        <f>IF(A858="","",ROUND(Settings!$B$5*MIN(1,LOG10(N(C858)+1)/LOG10(Settings!$B$7+1))+Settings!$B$6*(1-MIN(100,IF(D858="",50,N(D858)))/100)+IFERROR(INDEX(Settings!$B$10:$B$14,MATCH(O858,Settings!$A$10:$A$14,0)),0),0))</f>
        <v/>
      </c>
      <c r="Q858">
        <f>IF(OR(A858="",G858=""),"",COUNTIFS($M$3:$M$1002,M858,$G$3:$G$1002,"&lt;&gt;"&amp;SUBSTITUTE(SUBSTITUTE(G858,"?","~?"),"*","~*"),$G$3:$G$1002,"?*"))</f>
        <v/>
      </c>
      <c r="R858">
        <f>IF(Q858="","",IF(Q858&gt;0,"Yes","No"))</f>
        <v/>
      </c>
      <c r="S858">
        <f>IF(G858="","",COUNTIFS($G$3:$G$1002,SUBSTITUTE(SUBSTITUTE(G858,"?","~?"),"*","~*"),$J$3:$J$1002,"Primary"))</f>
        <v/>
      </c>
      <c r="T858">
        <f>IF(S858="","",IF(S858&gt;Settings!$B$4,"Yes","No"))</f>
        <v/>
      </c>
      <c r="U858">
        <f>IF(OR(G858="",B858=""),"",IF(COUNTIFS($G$3:$G$1002,SUBSTITUTE(SUBSTITUTE(G858,"?","~?"),"*","~*"),$B$3:$B$1002,"&lt;&gt;"&amp;SUBSTITUTE(SUBSTITUTE(B858,"?","~?"),"*","~*"),$B$3:$B$1002,"?*")&gt;0,"Yes","No"))</f>
        <v/>
      </c>
      <c r="V858">
        <f>IF(OR(G858="",I858="",O858="",O858="Unclassified"),"",IFERROR(INDEX(Settings!$E$5:$H$16,MATCH(I858,Settings!$D$5:$D$16,0),MATCH(O858,Settings!$E$4:$H$4,0)),"Check"))</f>
        <v/>
      </c>
      <c r="W858">
        <f>IF(V858="","",IF(V858="No","Yes","No"))</f>
        <v/>
      </c>
      <c r="X858">
        <f>IF(OR(E858="",G858=""),"",IF(LOWER(IF(RIGHT(TRIM(E858),1)="/",LEFT(TRIM(E858),LEN(TRIM(E858))-1),TRIM(E858)))&lt;&gt;LOWER(IF(RIGHT(TRIM(G858),1)="/",LEFT(TRIM(G858),LEN(TRIM(G858))-1),TRIM(G858))),"Yes","No"))</f>
        <v/>
      </c>
      <c r="Y858">
        <f>IF(A858="","",(N(Q858)&gt;0)+(T858="Yes")+(U858="Yes")+(W858="Yes")+(X858="Yes"))</f>
        <v/>
      </c>
      <c r="Z858">
        <f>IF(A858="","",IF(G858="","Not mapped",IF(Y858=0,"OK",MID(IF(N(Q858)&gt;0,"; Cannibalisation","")&amp;IF(T858="Yes","; Too many primary keywords on URL","")&amp;IF(U858="Yes","; URL spans 2+ clusters","")&amp;IF(W858="Yes","; Intent mismatch","")&amp;IF(X858="Yes","; Ranking URL is not the target",""),3,300))))</f>
        <v/>
      </c>
      <c r="AA858">
        <f>IF(G858="","",IF(COUNTIF($G$3:G858,SUBSTITUTE(SUBSTITUTE(G858,"?","~?"),"*","~*"))=1,MAX($AA$2:AA857)+1,""))</f>
        <v/>
      </c>
      <c r="AB858">
        <f>IF(B858="","",IF(COUNTIF($B$3:B858,SUBSTITUTE(SUBSTITUTE(B858,"?","~?"),"*","~*"))=1,MAX($AB$2:AB857)+1,""))</f>
        <v/>
      </c>
    </row>
    <row r="859">
      <c r="M859">
        <f>IF(A859="","",LOWER(TRIM(SUBSTITUTE(SUBSTITUTE(A859,"?",""),"*",""))))</f>
        <v/>
      </c>
      <c r="N859">
        <f>IF(M859="","",IF(SUMPRODUCT(ISNUMBER(SEARCH(" "&amp;Settings!$L$5:$L$124&amp;" "," "&amp;M859&amp;" "))*(Settings!$K$5:$K$124="Navigational")*(Settings!$L$5:$L$124&lt;&gt;""))&gt;0,"Navigational",IF(SUMPRODUCT(ISNUMBER(SEARCH(" "&amp;Settings!$L$5:$L$124&amp;" "," "&amp;M859&amp;" "))*(Settings!$K$5:$K$124="Transactional")*(Settings!$L$5:$L$124&lt;&gt;""))&gt;0,"Transactional",IF(SUMPRODUCT(ISNUMBER(SEARCH(" "&amp;Settings!$L$5:$L$124&amp;" "," "&amp;M859&amp;" "))*(Settings!$K$5:$K$124="Commercial")*(Settings!$L$5:$L$124&lt;&gt;""))&gt;0,"Commercial",IF(SUMPRODUCT(ISNUMBER(SEARCH(" "&amp;Settings!$L$5:$L$124&amp;" "," "&amp;M859&amp;" "))*(Settings!$K$5:$K$124="Informational")*(Settings!$L$5:$L$124&lt;&gt;""))&gt;0,"Informational","Unclassified")))))</f>
        <v/>
      </c>
      <c r="O859">
        <f>IF(A859="","",IF(K859&lt;&gt;"",PROPER(K859),N859))</f>
        <v/>
      </c>
      <c r="P859">
        <f>IF(A859="","",ROUND(Settings!$B$5*MIN(1,LOG10(N(C859)+1)/LOG10(Settings!$B$7+1))+Settings!$B$6*(1-MIN(100,IF(D859="",50,N(D859)))/100)+IFERROR(INDEX(Settings!$B$10:$B$14,MATCH(O859,Settings!$A$10:$A$14,0)),0),0))</f>
        <v/>
      </c>
      <c r="Q859">
        <f>IF(OR(A859="",G859=""),"",COUNTIFS($M$3:$M$1002,M859,$G$3:$G$1002,"&lt;&gt;"&amp;SUBSTITUTE(SUBSTITUTE(G859,"?","~?"),"*","~*"),$G$3:$G$1002,"?*"))</f>
        <v/>
      </c>
      <c r="R859">
        <f>IF(Q859="","",IF(Q859&gt;0,"Yes","No"))</f>
        <v/>
      </c>
      <c r="S859">
        <f>IF(G859="","",COUNTIFS($G$3:$G$1002,SUBSTITUTE(SUBSTITUTE(G859,"?","~?"),"*","~*"),$J$3:$J$1002,"Primary"))</f>
        <v/>
      </c>
      <c r="T859">
        <f>IF(S859="","",IF(S859&gt;Settings!$B$4,"Yes","No"))</f>
        <v/>
      </c>
      <c r="U859">
        <f>IF(OR(G859="",B859=""),"",IF(COUNTIFS($G$3:$G$1002,SUBSTITUTE(SUBSTITUTE(G859,"?","~?"),"*","~*"),$B$3:$B$1002,"&lt;&gt;"&amp;SUBSTITUTE(SUBSTITUTE(B859,"?","~?"),"*","~*"),$B$3:$B$1002,"?*")&gt;0,"Yes","No"))</f>
        <v/>
      </c>
      <c r="V859">
        <f>IF(OR(G859="",I859="",O859="",O859="Unclassified"),"",IFERROR(INDEX(Settings!$E$5:$H$16,MATCH(I859,Settings!$D$5:$D$16,0),MATCH(O859,Settings!$E$4:$H$4,0)),"Check"))</f>
        <v/>
      </c>
      <c r="W859">
        <f>IF(V859="","",IF(V859="No","Yes","No"))</f>
        <v/>
      </c>
      <c r="X859">
        <f>IF(OR(E859="",G859=""),"",IF(LOWER(IF(RIGHT(TRIM(E859),1)="/",LEFT(TRIM(E859),LEN(TRIM(E859))-1),TRIM(E859)))&lt;&gt;LOWER(IF(RIGHT(TRIM(G859),1)="/",LEFT(TRIM(G859),LEN(TRIM(G859))-1),TRIM(G859))),"Yes","No"))</f>
        <v/>
      </c>
      <c r="Y859">
        <f>IF(A859="","",(N(Q859)&gt;0)+(T859="Yes")+(U859="Yes")+(W859="Yes")+(X859="Yes"))</f>
        <v/>
      </c>
      <c r="Z859">
        <f>IF(A859="","",IF(G859="","Not mapped",IF(Y859=0,"OK",MID(IF(N(Q859)&gt;0,"; Cannibalisation","")&amp;IF(T859="Yes","; Too many primary keywords on URL","")&amp;IF(U859="Yes","; URL spans 2+ clusters","")&amp;IF(W859="Yes","; Intent mismatch","")&amp;IF(X859="Yes","; Ranking URL is not the target",""),3,300))))</f>
        <v/>
      </c>
      <c r="AA859">
        <f>IF(G859="","",IF(COUNTIF($G$3:G859,SUBSTITUTE(SUBSTITUTE(G859,"?","~?"),"*","~*"))=1,MAX($AA$2:AA858)+1,""))</f>
        <v/>
      </c>
      <c r="AB859">
        <f>IF(B859="","",IF(COUNTIF($B$3:B859,SUBSTITUTE(SUBSTITUTE(B859,"?","~?"),"*","~*"))=1,MAX($AB$2:AB858)+1,""))</f>
        <v/>
      </c>
    </row>
    <row r="860">
      <c r="M860">
        <f>IF(A860="","",LOWER(TRIM(SUBSTITUTE(SUBSTITUTE(A860,"?",""),"*",""))))</f>
        <v/>
      </c>
      <c r="N860">
        <f>IF(M860="","",IF(SUMPRODUCT(ISNUMBER(SEARCH(" "&amp;Settings!$L$5:$L$124&amp;" "," "&amp;M860&amp;" "))*(Settings!$K$5:$K$124="Navigational")*(Settings!$L$5:$L$124&lt;&gt;""))&gt;0,"Navigational",IF(SUMPRODUCT(ISNUMBER(SEARCH(" "&amp;Settings!$L$5:$L$124&amp;" "," "&amp;M860&amp;" "))*(Settings!$K$5:$K$124="Transactional")*(Settings!$L$5:$L$124&lt;&gt;""))&gt;0,"Transactional",IF(SUMPRODUCT(ISNUMBER(SEARCH(" "&amp;Settings!$L$5:$L$124&amp;" "," "&amp;M860&amp;" "))*(Settings!$K$5:$K$124="Commercial")*(Settings!$L$5:$L$124&lt;&gt;""))&gt;0,"Commercial",IF(SUMPRODUCT(ISNUMBER(SEARCH(" "&amp;Settings!$L$5:$L$124&amp;" "," "&amp;M860&amp;" "))*(Settings!$K$5:$K$124="Informational")*(Settings!$L$5:$L$124&lt;&gt;""))&gt;0,"Informational","Unclassified")))))</f>
        <v/>
      </c>
      <c r="O860">
        <f>IF(A860="","",IF(K860&lt;&gt;"",PROPER(K860),N860))</f>
        <v/>
      </c>
      <c r="P860">
        <f>IF(A860="","",ROUND(Settings!$B$5*MIN(1,LOG10(N(C860)+1)/LOG10(Settings!$B$7+1))+Settings!$B$6*(1-MIN(100,IF(D860="",50,N(D860)))/100)+IFERROR(INDEX(Settings!$B$10:$B$14,MATCH(O860,Settings!$A$10:$A$14,0)),0),0))</f>
        <v/>
      </c>
      <c r="Q860">
        <f>IF(OR(A860="",G860=""),"",COUNTIFS($M$3:$M$1002,M860,$G$3:$G$1002,"&lt;&gt;"&amp;SUBSTITUTE(SUBSTITUTE(G860,"?","~?"),"*","~*"),$G$3:$G$1002,"?*"))</f>
        <v/>
      </c>
      <c r="R860">
        <f>IF(Q860="","",IF(Q860&gt;0,"Yes","No"))</f>
        <v/>
      </c>
      <c r="S860">
        <f>IF(G860="","",COUNTIFS($G$3:$G$1002,SUBSTITUTE(SUBSTITUTE(G860,"?","~?"),"*","~*"),$J$3:$J$1002,"Primary"))</f>
        <v/>
      </c>
      <c r="T860">
        <f>IF(S860="","",IF(S860&gt;Settings!$B$4,"Yes","No"))</f>
        <v/>
      </c>
      <c r="U860">
        <f>IF(OR(G860="",B860=""),"",IF(COUNTIFS($G$3:$G$1002,SUBSTITUTE(SUBSTITUTE(G860,"?","~?"),"*","~*"),$B$3:$B$1002,"&lt;&gt;"&amp;SUBSTITUTE(SUBSTITUTE(B860,"?","~?"),"*","~*"),$B$3:$B$1002,"?*")&gt;0,"Yes","No"))</f>
        <v/>
      </c>
      <c r="V860">
        <f>IF(OR(G860="",I860="",O860="",O860="Unclassified"),"",IFERROR(INDEX(Settings!$E$5:$H$16,MATCH(I860,Settings!$D$5:$D$16,0),MATCH(O860,Settings!$E$4:$H$4,0)),"Check"))</f>
        <v/>
      </c>
      <c r="W860">
        <f>IF(V860="","",IF(V860="No","Yes","No"))</f>
        <v/>
      </c>
      <c r="X860">
        <f>IF(OR(E860="",G860=""),"",IF(LOWER(IF(RIGHT(TRIM(E860),1)="/",LEFT(TRIM(E860),LEN(TRIM(E860))-1),TRIM(E860)))&lt;&gt;LOWER(IF(RIGHT(TRIM(G860),1)="/",LEFT(TRIM(G860),LEN(TRIM(G860))-1),TRIM(G860))),"Yes","No"))</f>
        <v/>
      </c>
      <c r="Y860">
        <f>IF(A860="","",(N(Q860)&gt;0)+(T860="Yes")+(U860="Yes")+(W860="Yes")+(X860="Yes"))</f>
        <v/>
      </c>
      <c r="Z860">
        <f>IF(A860="","",IF(G860="","Not mapped",IF(Y860=0,"OK",MID(IF(N(Q860)&gt;0,"; Cannibalisation","")&amp;IF(T860="Yes","; Too many primary keywords on URL","")&amp;IF(U860="Yes","; URL spans 2+ clusters","")&amp;IF(W860="Yes","; Intent mismatch","")&amp;IF(X860="Yes","; Ranking URL is not the target",""),3,300))))</f>
        <v/>
      </c>
      <c r="AA860">
        <f>IF(G860="","",IF(COUNTIF($G$3:G860,SUBSTITUTE(SUBSTITUTE(G860,"?","~?"),"*","~*"))=1,MAX($AA$2:AA859)+1,""))</f>
        <v/>
      </c>
      <c r="AB860">
        <f>IF(B860="","",IF(COUNTIF($B$3:B860,SUBSTITUTE(SUBSTITUTE(B860,"?","~?"),"*","~*"))=1,MAX($AB$2:AB859)+1,""))</f>
        <v/>
      </c>
    </row>
    <row r="861">
      <c r="M861">
        <f>IF(A861="","",LOWER(TRIM(SUBSTITUTE(SUBSTITUTE(A861,"?",""),"*",""))))</f>
        <v/>
      </c>
      <c r="N861">
        <f>IF(M861="","",IF(SUMPRODUCT(ISNUMBER(SEARCH(" "&amp;Settings!$L$5:$L$124&amp;" "," "&amp;M861&amp;" "))*(Settings!$K$5:$K$124="Navigational")*(Settings!$L$5:$L$124&lt;&gt;""))&gt;0,"Navigational",IF(SUMPRODUCT(ISNUMBER(SEARCH(" "&amp;Settings!$L$5:$L$124&amp;" "," "&amp;M861&amp;" "))*(Settings!$K$5:$K$124="Transactional")*(Settings!$L$5:$L$124&lt;&gt;""))&gt;0,"Transactional",IF(SUMPRODUCT(ISNUMBER(SEARCH(" "&amp;Settings!$L$5:$L$124&amp;" "," "&amp;M861&amp;" "))*(Settings!$K$5:$K$124="Commercial")*(Settings!$L$5:$L$124&lt;&gt;""))&gt;0,"Commercial",IF(SUMPRODUCT(ISNUMBER(SEARCH(" "&amp;Settings!$L$5:$L$124&amp;" "," "&amp;M861&amp;" "))*(Settings!$K$5:$K$124="Informational")*(Settings!$L$5:$L$124&lt;&gt;""))&gt;0,"Informational","Unclassified")))))</f>
        <v/>
      </c>
      <c r="O861">
        <f>IF(A861="","",IF(K861&lt;&gt;"",PROPER(K861),N861))</f>
        <v/>
      </c>
      <c r="P861">
        <f>IF(A861="","",ROUND(Settings!$B$5*MIN(1,LOG10(N(C861)+1)/LOG10(Settings!$B$7+1))+Settings!$B$6*(1-MIN(100,IF(D861="",50,N(D861)))/100)+IFERROR(INDEX(Settings!$B$10:$B$14,MATCH(O861,Settings!$A$10:$A$14,0)),0),0))</f>
        <v/>
      </c>
      <c r="Q861">
        <f>IF(OR(A861="",G861=""),"",COUNTIFS($M$3:$M$1002,M861,$G$3:$G$1002,"&lt;&gt;"&amp;SUBSTITUTE(SUBSTITUTE(G861,"?","~?"),"*","~*"),$G$3:$G$1002,"?*"))</f>
        <v/>
      </c>
      <c r="R861">
        <f>IF(Q861="","",IF(Q861&gt;0,"Yes","No"))</f>
        <v/>
      </c>
      <c r="S861">
        <f>IF(G861="","",COUNTIFS($G$3:$G$1002,SUBSTITUTE(SUBSTITUTE(G861,"?","~?"),"*","~*"),$J$3:$J$1002,"Primary"))</f>
        <v/>
      </c>
      <c r="T861">
        <f>IF(S861="","",IF(S861&gt;Settings!$B$4,"Yes","No"))</f>
        <v/>
      </c>
      <c r="U861">
        <f>IF(OR(G861="",B861=""),"",IF(COUNTIFS($G$3:$G$1002,SUBSTITUTE(SUBSTITUTE(G861,"?","~?"),"*","~*"),$B$3:$B$1002,"&lt;&gt;"&amp;SUBSTITUTE(SUBSTITUTE(B861,"?","~?"),"*","~*"),$B$3:$B$1002,"?*")&gt;0,"Yes","No"))</f>
        <v/>
      </c>
      <c r="V861">
        <f>IF(OR(G861="",I861="",O861="",O861="Unclassified"),"",IFERROR(INDEX(Settings!$E$5:$H$16,MATCH(I861,Settings!$D$5:$D$16,0),MATCH(O861,Settings!$E$4:$H$4,0)),"Check"))</f>
        <v/>
      </c>
      <c r="W861">
        <f>IF(V861="","",IF(V861="No","Yes","No"))</f>
        <v/>
      </c>
      <c r="X861">
        <f>IF(OR(E861="",G861=""),"",IF(LOWER(IF(RIGHT(TRIM(E861),1)="/",LEFT(TRIM(E861),LEN(TRIM(E861))-1),TRIM(E861)))&lt;&gt;LOWER(IF(RIGHT(TRIM(G861),1)="/",LEFT(TRIM(G861),LEN(TRIM(G861))-1),TRIM(G861))),"Yes","No"))</f>
        <v/>
      </c>
      <c r="Y861">
        <f>IF(A861="","",(N(Q861)&gt;0)+(T861="Yes")+(U861="Yes")+(W861="Yes")+(X861="Yes"))</f>
        <v/>
      </c>
      <c r="Z861">
        <f>IF(A861="","",IF(G861="","Not mapped",IF(Y861=0,"OK",MID(IF(N(Q861)&gt;0,"; Cannibalisation","")&amp;IF(T861="Yes","; Too many primary keywords on URL","")&amp;IF(U861="Yes","; URL spans 2+ clusters","")&amp;IF(W861="Yes","; Intent mismatch","")&amp;IF(X861="Yes","; Ranking URL is not the target",""),3,300))))</f>
        <v/>
      </c>
      <c r="AA861">
        <f>IF(G861="","",IF(COUNTIF($G$3:G861,SUBSTITUTE(SUBSTITUTE(G861,"?","~?"),"*","~*"))=1,MAX($AA$2:AA860)+1,""))</f>
        <v/>
      </c>
      <c r="AB861">
        <f>IF(B861="","",IF(COUNTIF($B$3:B861,SUBSTITUTE(SUBSTITUTE(B861,"?","~?"),"*","~*"))=1,MAX($AB$2:AB860)+1,""))</f>
        <v/>
      </c>
    </row>
    <row r="862">
      <c r="M862">
        <f>IF(A862="","",LOWER(TRIM(SUBSTITUTE(SUBSTITUTE(A862,"?",""),"*",""))))</f>
        <v/>
      </c>
      <c r="N862">
        <f>IF(M862="","",IF(SUMPRODUCT(ISNUMBER(SEARCH(" "&amp;Settings!$L$5:$L$124&amp;" "," "&amp;M862&amp;" "))*(Settings!$K$5:$K$124="Navigational")*(Settings!$L$5:$L$124&lt;&gt;""))&gt;0,"Navigational",IF(SUMPRODUCT(ISNUMBER(SEARCH(" "&amp;Settings!$L$5:$L$124&amp;" "," "&amp;M862&amp;" "))*(Settings!$K$5:$K$124="Transactional")*(Settings!$L$5:$L$124&lt;&gt;""))&gt;0,"Transactional",IF(SUMPRODUCT(ISNUMBER(SEARCH(" "&amp;Settings!$L$5:$L$124&amp;" "," "&amp;M862&amp;" "))*(Settings!$K$5:$K$124="Commercial")*(Settings!$L$5:$L$124&lt;&gt;""))&gt;0,"Commercial",IF(SUMPRODUCT(ISNUMBER(SEARCH(" "&amp;Settings!$L$5:$L$124&amp;" "," "&amp;M862&amp;" "))*(Settings!$K$5:$K$124="Informational")*(Settings!$L$5:$L$124&lt;&gt;""))&gt;0,"Informational","Unclassified")))))</f>
        <v/>
      </c>
      <c r="O862">
        <f>IF(A862="","",IF(K862&lt;&gt;"",PROPER(K862),N862))</f>
        <v/>
      </c>
      <c r="P862">
        <f>IF(A862="","",ROUND(Settings!$B$5*MIN(1,LOG10(N(C862)+1)/LOG10(Settings!$B$7+1))+Settings!$B$6*(1-MIN(100,IF(D862="",50,N(D862)))/100)+IFERROR(INDEX(Settings!$B$10:$B$14,MATCH(O862,Settings!$A$10:$A$14,0)),0),0))</f>
        <v/>
      </c>
      <c r="Q862">
        <f>IF(OR(A862="",G862=""),"",COUNTIFS($M$3:$M$1002,M862,$G$3:$G$1002,"&lt;&gt;"&amp;SUBSTITUTE(SUBSTITUTE(G862,"?","~?"),"*","~*"),$G$3:$G$1002,"?*"))</f>
        <v/>
      </c>
      <c r="R862">
        <f>IF(Q862="","",IF(Q862&gt;0,"Yes","No"))</f>
        <v/>
      </c>
      <c r="S862">
        <f>IF(G862="","",COUNTIFS($G$3:$G$1002,SUBSTITUTE(SUBSTITUTE(G862,"?","~?"),"*","~*"),$J$3:$J$1002,"Primary"))</f>
        <v/>
      </c>
      <c r="T862">
        <f>IF(S862="","",IF(S862&gt;Settings!$B$4,"Yes","No"))</f>
        <v/>
      </c>
      <c r="U862">
        <f>IF(OR(G862="",B862=""),"",IF(COUNTIFS($G$3:$G$1002,SUBSTITUTE(SUBSTITUTE(G862,"?","~?"),"*","~*"),$B$3:$B$1002,"&lt;&gt;"&amp;SUBSTITUTE(SUBSTITUTE(B862,"?","~?"),"*","~*"),$B$3:$B$1002,"?*")&gt;0,"Yes","No"))</f>
        <v/>
      </c>
      <c r="V862">
        <f>IF(OR(G862="",I862="",O862="",O862="Unclassified"),"",IFERROR(INDEX(Settings!$E$5:$H$16,MATCH(I862,Settings!$D$5:$D$16,0),MATCH(O862,Settings!$E$4:$H$4,0)),"Check"))</f>
        <v/>
      </c>
      <c r="W862">
        <f>IF(V862="","",IF(V862="No","Yes","No"))</f>
        <v/>
      </c>
      <c r="X862">
        <f>IF(OR(E862="",G862=""),"",IF(LOWER(IF(RIGHT(TRIM(E862),1)="/",LEFT(TRIM(E862),LEN(TRIM(E862))-1),TRIM(E862)))&lt;&gt;LOWER(IF(RIGHT(TRIM(G862),1)="/",LEFT(TRIM(G862),LEN(TRIM(G862))-1),TRIM(G862))),"Yes","No"))</f>
        <v/>
      </c>
      <c r="Y862">
        <f>IF(A862="","",(N(Q862)&gt;0)+(T862="Yes")+(U862="Yes")+(W862="Yes")+(X862="Yes"))</f>
        <v/>
      </c>
      <c r="Z862">
        <f>IF(A862="","",IF(G862="","Not mapped",IF(Y862=0,"OK",MID(IF(N(Q862)&gt;0,"; Cannibalisation","")&amp;IF(T862="Yes","; Too many primary keywords on URL","")&amp;IF(U862="Yes","; URL spans 2+ clusters","")&amp;IF(W862="Yes","; Intent mismatch","")&amp;IF(X862="Yes","; Ranking URL is not the target",""),3,300))))</f>
        <v/>
      </c>
      <c r="AA862">
        <f>IF(G862="","",IF(COUNTIF($G$3:G862,SUBSTITUTE(SUBSTITUTE(G862,"?","~?"),"*","~*"))=1,MAX($AA$2:AA861)+1,""))</f>
        <v/>
      </c>
      <c r="AB862">
        <f>IF(B862="","",IF(COUNTIF($B$3:B862,SUBSTITUTE(SUBSTITUTE(B862,"?","~?"),"*","~*"))=1,MAX($AB$2:AB861)+1,""))</f>
        <v/>
      </c>
    </row>
    <row r="863">
      <c r="M863">
        <f>IF(A863="","",LOWER(TRIM(SUBSTITUTE(SUBSTITUTE(A863,"?",""),"*",""))))</f>
        <v/>
      </c>
      <c r="N863">
        <f>IF(M863="","",IF(SUMPRODUCT(ISNUMBER(SEARCH(" "&amp;Settings!$L$5:$L$124&amp;" "," "&amp;M863&amp;" "))*(Settings!$K$5:$K$124="Navigational")*(Settings!$L$5:$L$124&lt;&gt;""))&gt;0,"Navigational",IF(SUMPRODUCT(ISNUMBER(SEARCH(" "&amp;Settings!$L$5:$L$124&amp;" "," "&amp;M863&amp;" "))*(Settings!$K$5:$K$124="Transactional")*(Settings!$L$5:$L$124&lt;&gt;""))&gt;0,"Transactional",IF(SUMPRODUCT(ISNUMBER(SEARCH(" "&amp;Settings!$L$5:$L$124&amp;" "," "&amp;M863&amp;" "))*(Settings!$K$5:$K$124="Commercial")*(Settings!$L$5:$L$124&lt;&gt;""))&gt;0,"Commercial",IF(SUMPRODUCT(ISNUMBER(SEARCH(" "&amp;Settings!$L$5:$L$124&amp;" "," "&amp;M863&amp;" "))*(Settings!$K$5:$K$124="Informational")*(Settings!$L$5:$L$124&lt;&gt;""))&gt;0,"Informational","Unclassified")))))</f>
        <v/>
      </c>
      <c r="O863">
        <f>IF(A863="","",IF(K863&lt;&gt;"",PROPER(K863),N863))</f>
        <v/>
      </c>
      <c r="P863">
        <f>IF(A863="","",ROUND(Settings!$B$5*MIN(1,LOG10(N(C863)+1)/LOG10(Settings!$B$7+1))+Settings!$B$6*(1-MIN(100,IF(D863="",50,N(D863)))/100)+IFERROR(INDEX(Settings!$B$10:$B$14,MATCH(O863,Settings!$A$10:$A$14,0)),0),0))</f>
        <v/>
      </c>
      <c r="Q863">
        <f>IF(OR(A863="",G863=""),"",COUNTIFS($M$3:$M$1002,M863,$G$3:$G$1002,"&lt;&gt;"&amp;SUBSTITUTE(SUBSTITUTE(G863,"?","~?"),"*","~*"),$G$3:$G$1002,"?*"))</f>
        <v/>
      </c>
      <c r="R863">
        <f>IF(Q863="","",IF(Q863&gt;0,"Yes","No"))</f>
        <v/>
      </c>
      <c r="S863">
        <f>IF(G863="","",COUNTIFS($G$3:$G$1002,SUBSTITUTE(SUBSTITUTE(G863,"?","~?"),"*","~*"),$J$3:$J$1002,"Primary"))</f>
        <v/>
      </c>
      <c r="T863">
        <f>IF(S863="","",IF(S863&gt;Settings!$B$4,"Yes","No"))</f>
        <v/>
      </c>
      <c r="U863">
        <f>IF(OR(G863="",B863=""),"",IF(COUNTIFS($G$3:$G$1002,SUBSTITUTE(SUBSTITUTE(G863,"?","~?"),"*","~*"),$B$3:$B$1002,"&lt;&gt;"&amp;SUBSTITUTE(SUBSTITUTE(B863,"?","~?"),"*","~*"),$B$3:$B$1002,"?*")&gt;0,"Yes","No"))</f>
        <v/>
      </c>
      <c r="V863">
        <f>IF(OR(G863="",I863="",O863="",O863="Unclassified"),"",IFERROR(INDEX(Settings!$E$5:$H$16,MATCH(I863,Settings!$D$5:$D$16,0),MATCH(O863,Settings!$E$4:$H$4,0)),"Check"))</f>
        <v/>
      </c>
      <c r="W863">
        <f>IF(V863="","",IF(V863="No","Yes","No"))</f>
        <v/>
      </c>
      <c r="X863">
        <f>IF(OR(E863="",G863=""),"",IF(LOWER(IF(RIGHT(TRIM(E863),1)="/",LEFT(TRIM(E863),LEN(TRIM(E863))-1),TRIM(E863)))&lt;&gt;LOWER(IF(RIGHT(TRIM(G863),1)="/",LEFT(TRIM(G863),LEN(TRIM(G863))-1),TRIM(G863))),"Yes","No"))</f>
        <v/>
      </c>
      <c r="Y863">
        <f>IF(A863="","",(N(Q863)&gt;0)+(T863="Yes")+(U863="Yes")+(W863="Yes")+(X863="Yes"))</f>
        <v/>
      </c>
      <c r="Z863">
        <f>IF(A863="","",IF(G863="","Not mapped",IF(Y863=0,"OK",MID(IF(N(Q863)&gt;0,"; Cannibalisation","")&amp;IF(T863="Yes","; Too many primary keywords on URL","")&amp;IF(U863="Yes","; URL spans 2+ clusters","")&amp;IF(W863="Yes","; Intent mismatch","")&amp;IF(X863="Yes","; Ranking URL is not the target",""),3,300))))</f>
        <v/>
      </c>
      <c r="AA863">
        <f>IF(G863="","",IF(COUNTIF($G$3:G863,SUBSTITUTE(SUBSTITUTE(G863,"?","~?"),"*","~*"))=1,MAX($AA$2:AA862)+1,""))</f>
        <v/>
      </c>
      <c r="AB863">
        <f>IF(B863="","",IF(COUNTIF($B$3:B863,SUBSTITUTE(SUBSTITUTE(B863,"?","~?"),"*","~*"))=1,MAX($AB$2:AB862)+1,""))</f>
        <v/>
      </c>
    </row>
    <row r="864">
      <c r="M864">
        <f>IF(A864="","",LOWER(TRIM(SUBSTITUTE(SUBSTITUTE(A864,"?",""),"*",""))))</f>
        <v/>
      </c>
      <c r="N864">
        <f>IF(M864="","",IF(SUMPRODUCT(ISNUMBER(SEARCH(" "&amp;Settings!$L$5:$L$124&amp;" "," "&amp;M864&amp;" "))*(Settings!$K$5:$K$124="Navigational")*(Settings!$L$5:$L$124&lt;&gt;""))&gt;0,"Navigational",IF(SUMPRODUCT(ISNUMBER(SEARCH(" "&amp;Settings!$L$5:$L$124&amp;" "," "&amp;M864&amp;" "))*(Settings!$K$5:$K$124="Transactional")*(Settings!$L$5:$L$124&lt;&gt;""))&gt;0,"Transactional",IF(SUMPRODUCT(ISNUMBER(SEARCH(" "&amp;Settings!$L$5:$L$124&amp;" "," "&amp;M864&amp;" "))*(Settings!$K$5:$K$124="Commercial")*(Settings!$L$5:$L$124&lt;&gt;""))&gt;0,"Commercial",IF(SUMPRODUCT(ISNUMBER(SEARCH(" "&amp;Settings!$L$5:$L$124&amp;" "," "&amp;M864&amp;" "))*(Settings!$K$5:$K$124="Informational")*(Settings!$L$5:$L$124&lt;&gt;""))&gt;0,"Informational","Unclassified")))))</f>
        <v/>
      </c>
      <c r="O864">
        <f>IF(A864="","",IF(K864&lt;&gt;"",PROPER(K864),N864))</f>
        <v/>
      </c>
      <c r="P864">
        <f>IF(A864="","",ROUND(Settings!$B$5*MIN(1,LOG10(N(C864)+1)/LOG10(Settings!$B$7+1))+Settings!$B$6*(1-MIN(100,IF(D864="",50,N(D864)))/100)+IFERROR(INDEX(Settings!$B$10:$B$14,MATCH(O864,Settings!$A$10:$A$14,0)),0),0))</f>
        <v/>
      </c>
      <c r="Q864">
        <f>IF(OR(A864="",G864=""),"",COUNTIFS($M$3:$M$1002,M864,$G$3:$G$1002,"&lt;&gt;"&amp;SUBSTITUTE(SUBSTITUTE(G864,"?","~?"),"*","~*"),$G$3:$G$1002,"?*"))</f>
        <v/>
      </c>
      <c r="R864">
        <f>IF(Q864="","",IF(Q864&gt;0,"Yes","No"))</f>
        <v/>
      </c>
      <c r="S864">
        <f>IF(G864="","",COUNTIFS($G$3:$G$1002,SUBSTITUTE(SUBSTITUTE(G864,"?","~?"),"*","~*"),$J$3:$J$1002,"Primary"))</f>
        <v/>
      </c>
      <c r="T864">
        <f>IF(S864="","",IF(S864&gt;Settings!$B$4,"Yes","No"))</f>
        <v/>
      </c>
      <c r="U864">
        <f>IF(OR(G864="",B864=""),"",IF(COUNTIFS($G$3:$G$1002,SUBSTITUTE(SUBSTITUTE(G864,"?","~?"),"*","~*"),$B$3:$B$1002,"&lt;&gt;"&amp;SUBSTITUTE(SUBSTITUTE(B864,"?","~?"),"*","~*"),$B$3:$B$1002,"?*")&gt;0,"Yes","No"))</f>
        <v/>
      </c>
      <c r="V864">
        <f>IF(OR(G864="",I864="",O864="",O864="Unclassified"),"",IFERROR(INDEX(Settings!$E$5:$H$16,MATCH(I864,Settings!$D$5:$D$16,0),MATCH(O864,Settings!$E$4:$H$4,0)),"Check"))</f>
        <v/>
      </c>
      <c r="W864">
        <f>IF(V864="","",IF(V864="No","Yes","No"))</f>
        <v/>
      </c>
      <c r="X864">
        <f>IF(OR(E864="",G864=""),"",IF(LOWER(IF(RIGHT(TRIM(E864),1)="/",LEFT(TRIM(E864),LEN(TRIM(E864))-1),TRIM(E864)))&lt;&gt;LOWER(IF(RIGHT(TRIM(G864),1)="/",LEFT(TRIM(G864),LEN(TRIM(G864))-1),TRIM(G864))),"Yes","No"))</f>
        <v/>
      </c>
      <c r="Y864">
        <f>IF(A864="","",(N(Q864)&gt;0)+(T864="Yes")+(U864="Yes")+(W864="Yes")+(X864="Yes"))</f>
        <v/>
      </c>
      <c r="Z864">
        <f>IF(A864="","",IF(G864="","Not mapped",IF(Y864=0,"OK",MID(IF(N(Q864)&gt;0,"; Cannibalisation","")&amp;IF(T864="Yes","; Too many primary keywords on URL","")&amp;IF(U864="Yes","; URL spans 2+ clusters","")&amp;IF(W864="Yes","; Intent mismatch","")&amp;IF(X864="Yes","; Ranking URL is not the target",""),3,300))))</f>
        <v/>
      </c>
      <c r="AA864">
        <f>IF(G864="","",IF(COUNTIF($G$3:G864,SUBSTITUTE(SUBSTITUTE(G864,"?","~?"),"*","~*"))=1,MAX($AA$2:AA863)+1,""))</f>
        <v/>
      </c>
      <c r="AB864">
        <f>IF(B864="","",IF(COUNTIF($B$3:B864,SUBSTITUTE(SUBSTITUTE(B864,"?","~?"),"*","~*"))=1,MAX($AB$2:AB863)+1,""))</f>
        <v/>
      </c>
    </row>
    <row r="865">
      <c r="M865">
        <f>IF(A865="","",LOWER(TRIM(SUBSTITUTE(SUBSTITUTE(A865,"?",""),"*",""))))</f>
        <v/>
      </c>
      <c r="N865">
        <f>IF(M865="","",IF(SUMPRODUCT(ISNUMBER(SEARCH(" "&amp;Settings!$L$5:$L$124&amp;" "," "&amp;M865&amp;" "))*(Settings!$K$5:$K$124="Navigational")*(Settings!$L$5:$L$124&lt;&gt;""))&gt;0,"Navigational",IF(SUMPRODUCT(ISNUMBER(SEARCH(" "&amp;Settings!$L$5:$L$124&amp;" "," "&amp;M865&amp;" "))*(Settings!$K$5:$K$124="Transactional")*(Settings!$L$5:$L$124&lt;&gt;""))&gt;0,"Transactional",IF(SUMPRODUCT(ISNUMBER(SEARCH(" "&amp;Settings!$L$5:$L$124&amp;" "," "&amp;M865&amp;" "))*(Settings!$K$5:$K$124="Commercial")*(Settings!$L$5:$L$124&lt;&gt;""))&gt;0,"Commercial",IF(SUMPRODUCT(ISNUMBER(SEARCH(" "&amp;Settings!$L$5:$L$124&amp;" "," "&amp;M865&amp;" "))*(Settings!$K$5:$K$124="Informational")*(Settings!$L$5:$L$124&lt;&gt;""))&gt;0,"Informational","Unclassified")))))</f>
        <v/>
      </c>
      <c r="O865">
        <f>IF(A865="","",IF(K865&lt;&gt;"",PROPER(K865),N865))</f>
        <v/>
      </c>
      <c r="P865">
        <f>IF(A865="","",ROUND(Settings!$B$5*MIN(1,LOG10(N(C865)+1)/LOG10(Settings!$B$7+1))+Settings!$B$6*(1-MIN(100,IF(D865="",50,N(D865)))/100)+IFERROR(INDEX(Settings!$B$10:$B$14,MATCH(O865,Settings!$A$10:$A$14,0)),0),0))</f>
        <v/>
      </c>
      <c r="Q865">
        <f>IF(OR(A865="",G865=""),"",COUNTIFS($M$3:$M$1002,M865,$G$3:$G$1002,"&lt;&gt;"&amp;SUBSTITUTE(SUBSTITUTE(G865,"?","~?"),"*","~*"),$G$3:$G$1002,"?*"))</f>
        <v/>
      </c>
      <c r="R865">
        <f>IF(Q865="","",IF(Q865&gt;0,"Yes","No"))</f>
        <v/>
      </c>
      <c r="S865">
        <f>IF(G865="","",COUNTIFS($G$3:$G$1002,SUBSTITUTE(SUBSTITUTE(G865,"?","~?"),"*","~*"),$J$3:$J$1002,"Primary"))</f>
        <v/>
      </c>
      <c r="T865">
        <f>IF(S865="","",IF(S865&gt;Settings!$B$4,"Yes","No"))</f>
        <v/>
      </c>
      <c r="U865">
        <f>IF(OR(G865="",B865=""),"",IF(COUNTIFS($G$3:$G$1002,SUBSTITUTE(SUBSTITUTE(G865,"?","~?"),"*","~*"),$B$3:$B$1002,"&lt;&gt;"&amp;SUBSTITUTE(SUBSTITUTE(B865,"?","~?"),"*","~*"),$B$3:$B$1002,"?*")&gt;0,"Yes","No"))</f>
        <v/>
      </c>
      <c r="V865">
        <f>IF(OR(G865="",I865="",O865="",O865="Unclassified"),"",IFERROR(INDEX(Settings!$E$5:$H$16,MATCH(I865,Settings!$D$5:$D$16,0),MATCH(O865,Settings!$E$4:$H$4,0)),"Check"))</f>
        <v/>
      </c>
      <c r="W865">
        <f>IF(V865="","",IF(V865="No","Yes","No"))</f>
        <v/>
      </c>
      <c r="X865">
        <f>IF(OR(E865="",G865=""),"",IF(LOWER(IF(RIGHT(TRIM(E865),1)="/",LEFT(TRIM(E865),LEN(TRIM(E865))-1),TRIM(E865)))&lt;&gt;LOWER(IF(RIGHT(TRIM(G865),1)="/",LEFT(TRIM(G865),LEN(TRIM(G865))-1),TRIM(G865))),"Yes","No"))</f>
        <v/>
      </c>
      <c r="Y865">
        <f>IF(A865="","",(N(Q865)&gt;0)+(T865="Yes")+(U865="Yes")+(W865="Yes")+(X865="Yes"))</f>
        <v/>
      </c>
      <c r="Z865">
        <f>IF(A865="","",IF(G865="","Not mapped",IF(Y865=0,"OK",MID(IF(N(Q865)&gt;0,"; Cannibalisation","")&amp;IF(T865="Yes","; Too many primary keywords on URL","")&amp;IF(U865="Yes","; URL spans 2+ clusters","")&amp;IF(W865="Yes","; Intent mismatch","")&amp;IF(X865="Yes","; Ranking URL is not the target",""),3,300))))</f>
        <v/>
      </c>
      <c r="AA865">
        <f>IF(G865="","",IF(COUNTIF($G$3:G865,SUBSTITUTE(SUBSTITUTE(G865,"?","~?"),"*","~*"))=1,MAX($AA$2:AA864)+1,""))</f>
        <v/>
      </c>
      <c r="AB865">
        <f>IF(B865="","",IF(COUNTIF($B$3:B865,SUBSTITUTE(SUBSTITUTE(B865,"?","~?"),"*","~*"))=1,MAX($AB$2:AB864)+1,""))</f>
        <v/>
      </c>
    </row>
    <row r="866">
      <c r="M866">
        <f>IF(A866="","",LOWER(TRIM(SUBSTITUTE(SUBSTITUTE(A866,"?",""),"*",""))))</f>
        <v/>
      </c>
      <c r="N866">
        <f>IF(M866="","",IF(SUMPRODUCT(ISNUMBER(SEARCH(" "&amp;Settings!$L$5:$L$124&amp;" "," "&amp;M866&amp;" "))*(Settings!$K$5:$K$124="Navigational")*(Settings!$L$5:$L$124&lt;&gt;""))&gt;0,"Navigational",IF(SUMPRODUCT(ISNUMBER(SEARCH(" "&amp;Settings!$L$5:$L$124&amp;" "," "&amp;M866&amp;" "))*(Settings!$K$5:$K$124="Transactional")*(Settings!$L$5:$L$124&lt;&gt;""))&gt;0,"Transactional",IF(SUMPRODUCT(ISNUMBER(SEARCH(" "&amp;Settings!$L$5:$L$124&amp;" "," "&amp;M866&amp;" "))*(Settings!$K$5:$K$124="Commercial")*(Settings!$L$5:$L$124&lt;&gt;""))&gt;0,"Commercial",IF(SUMPRODUCT(ISNUMBER(SEARCH(" "&amp;Settings!$L$5:$L$124&amp;" "," "&amp;M866&amp;" "))*(Settings!$K$5:$K$124="Informational")*(Settings!$L$5:$L$124&lt;&gt;""))&gt;0,"Informational","Unclassified")))))</f>
        <v/>
      </c>
      <c r="O866">
        <f>IF(A866="","",IF(K866&lt;&gt;"",PROPER(K866),N866))</f>
        <v/>
      </c>
      <c r="P866">
        <f>IF(A866="","",ROUND(Settings!$B$5*MIN(1,LOG10(N(C866)+1)/LOG10(Settings!$B$7+1))+Settings!$B$6*(1-MIN(100,IF(D866="",50,N(D866)))/100)+IFERROR(INDEX(Settings!$B$10:$B$14,MATCH(O866,Settings!$A$10:$A$14,0)),0),0))</f>
        <v/>
      </c>
      <c r="Q866">
        <f>IF(OR(A866="",G866=""),"",COUNTIFS($M$3:$M$1002,M866,$G$3:$G$1002,"&lt;&gt;"&amp;SUBSTITUTE(SUBSTITUTE(G866,"?","~?"),"*","~*"),$G$3:$G$1002,"?*"))</f>
        <v/>
      </c>
      <c r="R866">
        <f>IF(Q866="","",IF(Q866&gt;0,"Yes","No"))</f>
        <v/>
      </c>
      <c r="S866">
        <f>IF(G866="","",COUNTIFS($G$3:$G$1002,SUBSTITUTE(SUBSTITUTE(G866,"?","~?"),"*","~*"),$J$3:$J$1002,"Primary"))</f>
        <v/>
      </c>
      <c r="T866">
        <f>IF(S866="","",IF(S866&gt;Settings!$B$4,"Yes","No"))</f>
        <v/>
      </c>
      <c r="U866">
        <f>IF(OR(G866="",B866=""),"",IF(COUNTIFS($G$3:$G$1002,SUBSTITUTE(SUBSTITUTE(G866,"?","~?"),"*","~*"),$B$3:$B$1002,"&lt;&gt;"&amp;SUBSTITUTE(SUBSTITUTE(B866,"?","~?"),"*","~*"),$B$3:$B$1002,"?*")&gt;0,"Yes","No"))</f>
        <v/>
      </c>
      <c r="V866">
        <f>IF(OR(G866="",I866="",O866="",O866="Unclassified"),"",IFERROR(INDEX(Settings!$E$5:$H$16,MATCH(I866,Settings!$D$5:$D$16,0),MATCH(O866,Settings!$E$4:$H$4,0)),"Check"))</f>
        <v/>
      </c>
      <c r="W866">
        <f>IF(V866="","",IF(V866="No","Yes","No"))</f>
        <v/>
      </c>
      <c r="X866">
        <f>IF(OR(E866="",G866=""),"",IF(LOWER(IF(RIGHT(TRIM(E866),1)="/",LEFT(TRIM(E866),LEN(TRIM(E866))-1),TRIM(E866)))&lt;&gt;LOWER(IF(RIGHT(TRIM(G866),1)="/",LEFT(TRIM(G866),LEN(TRIM(G866))-1),TRIM(G866))),"Yes","No"))</f>
        <v/>
      </c>
      <c r="Y866">
        <f>IF(A866="","",(N(Q866)&gt;0)+(T866="Yes")+(U866="Yes")+(W866="Yes")+(X866="Yes"))</f>
        <v/>
      </c>
      <c r="Z866">
        <f>IF(A866="","",IF(G866="","Not mapped",IF(Y866=0,"OK",MID(IF(N(Q866)&gt;0,"; Cannibalisation","")&amp;IF(T866="Yes","; Too many primary keywords on URL","")&amp;IF(U866="Yes","; URL spans 2+ clusters","")&amp;IF(W866="Yes","; Intent mismatch","")&amp;IF(X866="Yes","; Ranking URL is not the target",""),3,300))))</f>
        <v/>
      </c>
      <c r="AA866">
        <f>IF(G866="","",IF(COUNTIF($G$3:G866,SUBSTITUTE(SUBSTITUTE(G866,"?","~?"),"*","~*"))=1,MAX($AA$2:AA865)+1,""))</f>
        <v/>
      </c>
      <c r="AB866">
        <f>IF(B866="","",IF(COUNTIF($B$3:B866,SUBSTITUTE(SUBSTITUTE(B866,"?","~?"),"*","~*"))=1,MAX($AB$2:AB865)+1,""))</f>
        <v/>
      </c>
    </row>
    <row r="867">
      <c r="M867">
        <f>IF(A867="","",LOWER(TRIM(SUBSTITUTE(SUBSTITUTE(A867,"?",""),"*",""))))</f>
        <v/>
      </c>
      <c r="N867">
        <f>IF(M867="","",IF(SUMPRODUCT(ISNUMBER(SEARCH(" "&amp;Settings!$L$5:$L$124&amp;" "," "&amp;M867&amp;" "))*(Settings!$K$5:$K$124="Navigational")*(Settings!$L$5:$L$124&lt;&gt;""))&gt;0,"Navigational",IF(SUMPRODUCT(ISNUMBER(SEARCH(" "&amp;Settings!$L$5:$L$124&amp;" "," "&amp;M867&amp;" "))*(Settings!$K$5:$K$124="Transactional")*(Settings!$L$5:$L$124&lt;&gt;""))&gt;0,"Transactional",IF(SUMPRODUCT(ISNUMBER(SEARCH(" "&amp;Settings!$L$5:$L$124&amp;" "," "&amp;M867&amp;" "))*(Settings!$K$5:$K$124="Commercial")*(Settings!$L$5:$L$124&lt;&gt;""))&gt;0,"Commercial",IF(SUMPRODUCT(ISNUMBER(SEARCH(" "&amp;Settings!$L$5:$L$124&amp;" "," "&amp;M867&amp;" "))*(Settings!$K$5:$K$124="Informational")*(Settings!$L$5:$L$124&lt;&gt;""))&gt;0,"Informational","Unclassified")))))</f>
        <v/>
      </c>
      <c r="O867">
        <f>IF(A867="","",IF(K867&lt;&gt;"",PROPER(K867),N867))</f>
        <v/>
      </c>
      <c r="P867">
        <f>IF(A867="","",ROUND(Settings!$B$5*MIN(1,LOG10(N(C867)+1)/LOG10(Settings!$B$7+1))+Settings!$B$6*(1-MIN(100,IF(D867="",50,N(D867)))/100)+IFERROR(INDEX(Settings!$B$10:$B$14,MATCH(O867,Settings!$A$10:$A$14,0)),0),0))</f>
        <v/>
      </c>
      <c r="Q867">
        <f>IF(OR(A867="",G867=""),"",COUNTIFS($M$3:$M$1002,M867,$G$3:$G$1002,"&lt;&gt;"&amp;SUBSTITUTE(SUBSTITUTE(G867,"?","~?"),"*","~*"),$G$3:$G$1002,"?*"))</f>
        <v/>
      </c>
      <c r="R867">
        <f>IF(Q867="","",IF(Q867&gt;0,"Yes","No"))</f>
        <v/>
      </c>
      <c r="S867">
        <f>IF(G867="","",COUNTIFS($G$3:$G$1002,SUBSTITUTE(SUBSTITUTE(G867,"?","~?"),"*","~*"),$J$3:$J$1002,"Primary"))</f>
        <v/>
      </c>
      <c r="T867">
        <f>IF(S867="","",IF(S867&gt;Settings!$B$4,"Yes","No"))</f>
        <v/>
      </c>
      <c r="U867">
        <f>IF(OR(G867="",B867=""),"",IF(COUNTIFS($G$3:$G$1002,SUBSTITUTE(SUBSTITUTE(G867,"?","~?"),"*","~*"),$B$3:$B$1002,"&lt;&gt;"&amp;SUBSTITUTE(SUBSTITUTE(B867,"?","~?"),"*","~*"),$B$3:$B$1002,"?*")&gt;0,"Yes","No"))</f>
        <v/>
      </c>
      <c r="V867">
        <f>IF(OR(G867="",I867="",O867="",O867="Unclassified"),"",IFERROR(INDEX(Settings!$E$5:$H$16,MATCH(I867,Settings!$D$5:$D$16,0),MATCH(O867,Settings!$E$4:$H$4,0)),"Check"))</f>
        <v/>
      </c>
      <c r="W867">
        <f>IF(V867="","",IF(V867="No","Yes","No"))</f>
        <v/>
      </c>
      <c r="X867">
        <f>IF(OR(E867="",G867=""),"",IF(LOWER(IF(RIGHT(TRIM(E867),1)="/",LEFT(TRIM(E867),LEN(TRIM(E867))-1),TRIM(E867)))&lt;&gt;LOWER(IF(RIGHT(TRIM(G867),1)="/",LEFT(TRIM(G867),LEN(TRIM(G867))-1),TRIM(G867))),"Yes","No"))</f>
        <v/>
      </c>
      <c r="Y867">
        <f>IF(A867="","",(N(Q867)&gt;0)+(T867="Yes")+(U867="Yes")+(W867="Yes")+(X867="Yes"))</f>
        <v/>
      </c>
      <c r="Z867">
        <f>IF(A867="","",IF(G867="","Not mapped",IF(Y867=0,"OK",MID(IF(N(Q867)&gt;0,"; Cannibalisation","")&amp;IF(T867="Yes","; Too many primary keywords on URL","")&amp;IF(U867="Yes","; URL spans 2+ clusters","")&amp;IF(W867="Yes","; Intent mismatch","")&amp;IF(X867="Yes","; Ranking URL is not the target",""),3,300))))</f>
        <v/>
      </c>
      <c r="AA867">
        <f>IF(G867="","",IF(COUNTIF($G$3:G867,SUBSTITUTE(SUBSTITUTE(G867,"?","~?"),"*","~*"))=1,MAX($AA$2:AA866)+1,""))</f>
        <v/>
      </c>
      <c r="AB867">
        <f>IF(B867="","",IF(COUNTIF($B$3:B867,SUBSTITUTE(SUBSTITUTE(B867,"?","~?"),"*","~*"))=1,MAX($AB$2:AB866)+1,""))</f>
        <v/>
      </c>
    </row>
    <row r="868">
      <c r="M868">
        <f>IF(A868="","",LOWER(TRIM(SUBSTITUTE(SUBSTITUTE(A868,"?",""),"*",""))))</f>
        <v/>
      </c>
      <c r="N868">
        <f>IF(M868="","",IF(SUMPRODUCT(ISNUMBER(SEARCH(" "&amp;Settings!$L$5:$L$124&amp;" "," "&amp;M868&amp;" "))*(Settings!$K$5:$K$124="Navigational")*(Settings!$L$5:$L$124&lt;&gt;""))&gt;0,"Navigational",IF(SUMPRODUCT(ISNUMBER(SEARCH(" "&amp;Settings!$L$5:$L$124&amp;" "," "&amp;M868&amp;" "))*(Settings!$K$5:$K$124="Transactional")*(Settings!$L$5:$L$124&lt;&gt;""))&gt;0,"Transactional",IF(SUMPRODUCT(ISNUMBER(SEARCH(" "&amp;Settings!$L$5:$L$124&amp;" "," "&amp;M868&amp;" "))*(Settings!$K$5:$K$124="Commercial")*(Settings!$L$5:$L$124&lt;&gt;""))&gt;0,"Commercial",IF(SUMPRODUCT(ISNUMBER(SEARCH(" "&amp;Settings!$L$5:$L$124&amp;" "," "&amp;M868&amp;" "))*(Settings!$K$5:$K$124="Informational")*(Settings!$L$5:$L$124&lt;&gt;""))&gt;0,"Informational","Unclassified")))))</f>
        <v/>
      </c>
      <c r="O868">
        <f>IF(A868="","",IF(K868&lt;&gt;"",PROPER(K868),N868))</f>
        <v/>
      </c>
      <c r="P868">
        <f>IF(A868="","",ROUND(Settings!$B$5*MIN(1,LOG10(N(C868)+1)/LOG10(Settings!$B$7+1))+Settings!$B$6*(1-MIN(100,IF(D868="",50,N(D868)))/100)+IFERROR(INDEX(Settings!$B$10:$B$14,MATCH(O868,Settings!$A$10:$A$14,0)),0),0))</f>
        <v/>
      </c>
      <c r="Q868">
        <f>IF(OR(A868="",G868=""),"",COUNTIFS($M$3:$M$1002,M868,$G$3:$G$1002,"&lt;&gt;"&amp;SUBSTITUTE(SUBSTITUTE(G868,"?","~?"),"*","~*"),$G$3:$G$1002,"?*"))</f>
        <v/>
      </c>
      <c r="R868">
        <f>IF(Q868="","",IF(Q868&gt;0,"Yes","No"))</f>
        <v/>
      </c>
      <c r="S868">
        <f>IF(G868="","",COUNTIFS($G$3:$G$1002,SUBSTITUTE(SUBSTITUTE(G868,"?","~?"),"*","~*"),$J$3:$J$1002,"Primary"))</f>
        <v/>
      </c>
      <c r="T868">
        <f>IF(S868="","",IF(S868&gt;Settings!$B$4,"Yes","No"))</f>
        <v/>
      </c>
      <c r="U868">
        <f>IF(OR(G868="",B868=""),"",IF(COUNTIFS($G$3:$G$1002,SUBSTITUTE(SUBSTITUTE(G868,"?","~?"),"*","~*"),$B$3:$B$1002,"&lt;&gt;"&amp;SUBSTITUTE(SUBSTITUTE(B868,"?","~?"),"*","~*"),$B$3:$B$1002,"?*")&gt;0,"Yes","No"))</f>
        <v/>
      </c>
      <c r="V868">
        <f>IF(OR(G868="",I868="",O868="",O868="Unclassified"),"",IFERROR(INDEX(Settings!$E$5:$H$16,MATCH(I868,Settings!$D$5:$D$16,0),MATCH(O868,Settings!$E$4:$H$4,0)),"Check"))</f>
        <v/>
      </c>
      <c r="W868">
        <f>IF(V868="","",IF(V868="No","Yes","No"))</f>
        <v/>
      </c>
      <c r="X868">
        <f>IF(OR(E868="",G868=""),"",IF(LOWER(IF(RIGHT(TRIM(E868),1)="/",LEFT(TRIM(E868),LEN(TRIM(E868))-1),TRIM(E868)))&lt;&gt;LOWER(IF(RIGHT(TRIM(G868),1)="/",LEFT(TRIM(G868),LEN(TRIM(G868))-1),TRIM(G868))),"Yes","No"))</f>
        <v/>
      </c>
      <c r="Y868">
        <f>IF(A868="","",(N(Q868)&gt;0)+(T868="Yes")+(U868="Yes")+(W868="Yes")+(X868="Yes"))</f>
        <v/>
      </c>
      <c r="Z868">
        <f>IF(A868="","",IF(G868="","Not mapped",IF(Y868=0,"OK",MID(IF(N(Q868)&gt;0,"; Cannibalisation","")&amp;IF(T868="Yes","; Too many primary keywords on URL","")&amp;IF(U868="Yes","; URL spans 2+ clusters","")&amp;IF(W868="Yes","; Intent mismatch","")&amp;IF(X868="Yes","; Ranking URL is not the target",""),3,300))))</f>
        <v/>
      </c>
      <c r="AA868">
        <f>IF(G868="","",IF(COUNTIF($G$3:G868,SUBSTITUTE(SUBSTITUTE(G868,"?","~?"),"*","~*"))=1,MAX($AA$2:AA867)+1,""))</f>
        <v/>
      </c>
      <c r="AB868">
        <f>IF(B868="","",IF(COUNTIF($B$3:B868,SUBSTITUTE(SUBSTITUTE(B868,"?","~?"),"*","~*"))=1,MAX($AB$2:AB867)+1,""))</f>
        <v/>
      </c>
    </row>
    <row r="869">
      <c r="M869">
        <f>IF(A869="","",LOWER(TRIM(SUBSTITUTE(SUBSTITUTE(A869,"?",""),"*",""))))</f>
        <v/>
      </c>
      <c r="N869">
        <f>IF(M869="","",IF(SUMPRODUCT(ISNUMBER(SEARCH(" "&amp;Settings!$L$5:$L$124&amp;" "," "&amp;M869&amp;" "))*(Settings!$K$5:$K$124="Navigational")*(Settings!$L$5:$L$124&lt;&gt;""))&gt;0,"Navigational",IF(SUMPRODUCT(ISNUMBER(SEARCH(" "&amp;Settings!$L$5:$L$124&amp;" "," "&amp;M869&amp;" "))*(Settings!$K$5:$K$124="Transactional")*(Settings!$L$5:$L$124&lt;&gt;""))&gt;0,"Transactional",IF(SUMPRODUCT(ISNUMBER(SEARCH(" "&amp;Settings!$L$5:$L$124&amp;" "," "&amp;M869&amp;" "))*(Settings!$K$5:$K$124="Commercial")*(Settings!$L$5:$L$124&lt;&gt;""))&gt;0,"Commercial",IF(SUMPRODUCT(ISNUMBER(SEARCH(" "&amp;Settings!$L$5:$L$124&amp;" "," "&amp;M869&amp;" "))*(Settings!$K$5:$K$124="Informational")*(Settings!$L$5:$L$124&lt;&gt;""))&gt;0,"Informational","Unclassified")))))</f>
        <v/>
      </c>
      <c r="O869">
        <f>IF(A869="","",IF(K869&lt;&gt;"",PROPER(K869),N869))</f>
        <v/>
      </c>
      <c r="P869">
        <f>IF(A869="","",ROUND(Settings!$B$5*MIN(1,LOG10(N(C869)+1)/LOG10(Settings!$B$7+1))+Settings!$B$6*(1-MIN(100,IF(D869="",50,N(D869)))/100)+IFERROR(INDEX(Settings!$B$10:$B$14,MATCH(O869,Settings!$A$10:$A$14,0)),0),0))</f>
        <v/>
      </c>
      <c r="Q869">
        <f>IF(OR(A869="",G869=""),"",COUNTIFS($M$3:$M$1002,M869,$G$3:$G$1002,"&lt;&gt;"&amp;SUBSTITUTE(SUBSTITUTE(G869,"?","~?"),"*","~*"),$G$3:$G$1002,"?*"))</f>
        <v/>
      </c>
      <c r="R869">
        <f>IF(Q869="","",IF(Q869&gt;0,"Yes","No"))</f>
        <v/>
      </c>
      <c r="S869">
        <f>IF(G869="","",COUNTIFS($G$3:$G$1002,SUBSTITUTE(SUBSTITUTE(G869,"?","~?"),"*","~*"),$J$3:$J$1002,"Primary"))</f>
        <v/>
      </c>
      <c r="T869">
        <f>IF(S869="","",IF(S869&gt;Settings!$B$4,"Yes","No"))</f>
        <v/>
      </c>
      <c r="U869">
        <f>IF(OR(G869="",B869=""),"",IF(COUNTIFS($G$3:$G$1002,SUBSTITUTE(SUBSTITUTE(G869,"?","~?"),"*","~*"),$B$3:$B$1002,"&lt;&gt;"&amp;SUBSTITUTE(SUBSTITUTE(B869,"?","~?"),"*","~*"),$B$3:$B$1002,"?*")&gt;0,"Yes","No"))</f>
        <v/>
      </c>
      <c r="V869">
        <f>IF(OR(G869="",I869="",O869="",O869="Unclassified"),"",IFERROR(INDEX(Settings!$E$5:$H$16,MATCH(I869,Settings!$D$5:$D$16,0),MATCH(O869,Settings!$E$4:$H$4,0)),"Check"))</f>
        <v/>
      </c>
      <c r="W869">
        <f>IF(V869="","",IF(V869="No","Yes","No"))</f>
        <v/>
      </c>
      <c r="X869">
        <f>IF(OR(E869="",G869=""),"",IF(LOWER(IF(RIGHT(TRIM(E869),1)="/",LEFT(TRIM(E869),LEN(TRIM(E869))-1),TRIM(E869)))&lt;&gt;LOWER(IF(RIGHT(TRIM(G869),1)="/",LEFT(TRIM(G869),LEN(TRIM(G869))-1),TRIM(G869))),"Yes","No"))</f>
        <v/>
      </c>
      <c r="Y869">
        <f>IF(A869="","",(N(Q869)&gt;0)+(T869="Yes")+(U869="Yes")+(W869="Yes")+(X869="Yes"))</f>
        <v/>
      </c>
      <c r="Z869">
        <f>IF(A869="","",IF(G869="","Not mapped",IF(Y869=0,"OK",MID(IF(N(Q869)&gt;0,"; Cannibalisation","")&amp;IF(T869="Yes","; Too many primary keywords on URL","")&amp;IF(U869="Yes","; URL spans 2+ clusters","")&amp;IF(W869="Yes","; Intent mismatch","")&amp;IF(X869="Yes","; Ranking URL is not the target",""),3,300))))</f>
        <v/>
      </c>
      <c r="AA869">
        <f>IF(G869="","",IF(COUNTIF($G$3:G869,SUBSTITUTE(SUBSTITUTE(G869,"?","~?"),"*","~*"))=1,MAX($AA$2:AA868)+1,""))</f>
        <v/>
      </c>
      <c r="AB869">
        <f>IF(B869="","",IF(COUNTIF($B$3:B869,SUBSTITUTE(SUBSTITUTE(B869,"?","~?"),"*","~*"))=1,MAX($AB$2:AB868)+1,""))</f>
        <v/>
      </c>
    </row>
    <row r="870">
      <c r="M870">
        <f>IF(A870="","",LOWER(TRIM(SUBSTITUTE(SUBSTITUTE(A870,"?",""),"*",""))))</f>
        <v/>
      </c>
      <c r="N870">
        <f>IF(M870="","",IF(SUMPRODUCT(ISNUMBER(SEARCH(" "&amp;Settings!$L$5:$L$124&amp;" "," "&amp;M870&amp;" "))*(Settings!$K$5:$K$124="Navigational")*(Settings!$L$5:$L$124&lt;&gt;""))&gt;0,"Navigational",IF(SUMPRODUCT(ISNUMBER(SEARCH(" "&amp;Settings!$L$5:$L$124&amp;" "," "&amp;M870&amp;" "))*(Settings!$K$5:$K$124="Transactional")*(Settings!$L$5:$L$124&lt;&gt;""))&gt;0,"Transactional",IF(SUMPRODUCT(ISNUMBER(SEARCH(" "&amp;Settings!$L$5:$L$124&amp;" "," "&amp;M870&amp;" "))*(Settings!$K$5:$K$124="Commercial")*(Settings!$L$5:$L$124&lt;&gt;""))&gt;0,"Commercial",IF(SUMPRODUCT(ISNUMBER(SEARCH(" "&amp;Settings!$L$5:$L$124&amp;" "," "&amp;M870&amp;" "))*(Settings!$K$5:$K$124="Informational")*(Settings!$L$5:$L$124&lt;&gt;""))&gt;0,"Informational","Unclassified")))))</f>
        <v/>
      </c>
      <c r="O870">
        <f>IF(A870="","",IF(K870&lt;&gt;"",PROPER(K870),N870))</f>
        <v/>
      </c>
      <c r="P870">
        <f>IF(A870="","",ROUND(Settings!$B$5*MIN(1,LOG10(N(C870)+1)/LOG10(Settings!$B$7+1))+Settings!$B$6*(1-MIN(100,IF(D870="",50,N(D870)))/100)+IFERROR(INDEX(Settings!$B$10:$B$14,MATCH(O870,Settings!$A$10:$A$14,0)),0),0))</f>
        <v/>
      </c>
      <c r="Q870">
        <f>IF(OR(A870="",G870=""),"",COUNTIFS($M$3:$M$1002,M870,$G$3:$G$1002,"&lt;&gt;"&amp;SUBSTITUTE(SUBSTITUTE(G870,"?","~?"),"*","~*"),$G$3:$G$1002,"?*"))</f>
        <v/>
      </c>
      <c r="R870">
        <f>IF(Q870="","",IF(Q870&gt;0,"Yes","No"))</f>
        <v/>
      </c>
      <c r="S870">
        <f>IF(G870="","",COUNTIFS($G$3:$G$1002,SUBSTITUTE(SUBSTITUTE(G870,"?","~?"),"*","~*"),$J$3:$J$1002,"Primary"))</f>
        <v/>
      </c>
      <c r="T870">
        <f>IF(S870="","",IF(S870&gt;Settings!$B$4,"Yes","No"))</f>
        <v/>
      </c>
      <c r="U870">
        <f>IF(OR(G870="",B870=""),"",IF(COUNTIFS($G$3:$G$1002,SUBSTITUTE(SUBSTITUTE(G870,"?","~?"),"*","~*"),$B$3:$B$1002,"&lt;&gt;"&amp;SUBSTITUTE(SUBSTITUTE(B870,"?","~?"),"*","~*"),$B$3:$B$1002,"?*")&gt;0,"Yes","No"))</f>
        <v/>
      </c>
      <c r="V870">
        <f>IF(OR(G870="",I870="",O870="",O870="Unclassified"),"",IFERROR(INDEX(Settings!$E$5:$H$16,MATCH(I870,Settings!$D$5:$D$16,0),MATCH(O870,Settings!$E$4:$H$4,0)),"Check"))</f>
        <v/>
      </c>
      <c r="W870">
        <f>IF(V870="","",IF(V870="No","Yes","No"))</f>
        <v/>
      </c>
      <c r="X870">
        <f>IF(OR(E870="",G870=""),"",IF(LOWER(IF(RIGHT(TRIM(E870),1)="/",LEFT(TRIM(E870),LEN(TRIM(E870))-1),TRIM(E870)))&lt;&gt;LOWER(IF(RIGHT(TRIM(G870),1)="/",LEFT(TRIM(G870),LEN(TRIM(G870))-1),TRIM(G870))),"Yes","No"))</f>
        <v/>
      </c>
      <c r="Y870">
        <f>IF(A870="","",(N(Q870)&gt;0)+(T870="Yes")+(U870="Yes")+(W870="Yes")+(X870="Yes"))</f>
        <v/>
      </c>
      <c r="Z870">
        <f>IF(A870="","",IF(G870="","Not mapped",IF(Y870=0,"OK",MID(IF(N(Q870)&gt;0,"; Cannibalisation","")&amp;IF(T870="Yes","; Too many primary keywords on URL","")&amp;IF(U870="Yes","; URL spans 2+ clusters","")&amp;IF(W870="Yes","; Intent mismatch","")&amp;IF(X870="Yes","; Ranking URL is not the target",""),3,300))))</f>
        <v/>
      </c>
      <c r="AA870">
        <f>IF(G870="","",IF(COUNTIF($G$3:G870,SUBSTITUTE(SUBSTITUTE(G870,"?","~?"),"*","~*"))=1,MAX($AA$2:AA869)+1,""))</f>
        <v/>
      </c>
      <c r="AB870">
        <f>IF(B870="","",IF(COUNTIF($B$3:B870,SUBSTITUTE(SUBSTITUTE(B870,"?","~?"),"*","~*"))=1,MAX($AB$2:AB869)+1,""))</f>
        <v/>
      </c>
    </row>
    <row r="871">
      <c r="M871">
        <f>IF(A871="","",LOWER(TRIM(SUBSTITUTE(SUBSTITUTE(A871,"?",""),"*",""))))</f>
        <v/>
      </c>
      <c r="N871">
        <f>IF(M871="","",IF(SUMPRODUCT(ISNUMBER(SEARCH(" "&amp;Settings!$L$5:$L$124&amp;" "," "&amp;M871&amp;" "))*(Settings!$K$5:$K$124="Navigational")*(Settings!$L$5:$L$124&lt;&gt;""))&gt;0,"Navigational",IF(SUMPRODUCT(ISNUMBER(SEARCH(" "&amp;Settings!$L$5:$L$124&amp;" "," "&amp;M871&amp;" "))*(Settings!$K$5:$K$124="Transactional")*(Settings!$L$5:$L$124&lt;&gt;""))&gt;0,"Transactional",IF(SUMPRODUCT(ISNUMBER(SEARCH(" "&amp;Settings!$L$5:$L$124&amp;" "," "&amp;M871&amp;" "))*(Settings!$K$5:$K$124="Commercial")*(Settings!$L$5:$L$124&lt;&gt;""))&gt;0,"Commercial",IF(SUMPRODUCT(ISNUMBER(SEARCH(" "&amp;Settings!$L$5:$L$124&amp;" "," "&amp;M871&amp;" "))*(Settings!$K$5:$K$124="Informational")*(Settings!$L$5:$L$124&lt;&gt;""))&gt;0,"Informational","Unclassified")))))</f>
        <v/>
      </c>
      <c r="O871">
        <f>IF(A871="","",IF(K871&lt;&gt;"",PROPER(K871),N871))</f>
        <v/>
      </c>
      <c r="P871">
        <f>IF(A871="","",ROUND(Settings!$B$5*MIN(1,LOG10(N(C871)+1)/LOG10(Settings!$B$7+1))+Settings!$B$6*(1-MIN(100,IF(D871="",50,N(D871)))/100)+IFERROR(INDEX(Settings!$B$10:$B$14,MATCH(O871,Settings!$A$10:$A$14,0)),0),0))</f>
        <v/>
      </c>
      <c r="Q871">
        <f>IF(OR(A871="",G871=""),"",COUNTIFS($M$3:$M$1002,M871,$G$3:$G$1002,"&lt;&gt;"&amp;SUBSTITUTE(SUBSTITUTE(G871,"?","~?"),"*","~*"),$G$3:$G$1002,"?*"))</f>
        <v/>
      </c>
      <c r="R871">
        <f>IF(Q871="","",IF(Q871&gt;0,"Yes","No"))</f>
        <v/>
      </c>
      <c r="S871">
        <f>IF(G871="","",COUNTIFS($G$3:$G$1002,SUBSTITUTE(SUBSTITUTE(G871,"?","~?"),"*","~*"),$J$3:$J$1002,"Primary"))</f>
        <v/>
      </c>
      <c r="T871">
        <f>IF(S871="","",IF(S871&gt;Settings!$B$4,"Yes","No"))</f>
        <v/>
      </c>
      <c r="U871">
        <f>IF(OR(G871="",B871=""),"",IF(COUNTIFS($G$3:$G$1002,SUBSTITUTE(SUBSTITUTE(G871,"?","~?"),"*","~*"),$B$3:$B$1002,"&lt;&gt;"&amp;SUBSTITUTE(SUBSTITUTE(B871,"?","~?"),"*","~*"),$B$3:$B$1002,"?*")&gt;0,"Yes","No"))</f>
        <v/>
      </c>
      <c r="V871">
        <f>IF(OR(G871="",I871="",O871="",O871="Unclassified"),"",IFERROR(INDEX(Settings!$E$5:$H$16,MATCH(I871,Settings!$D$5:$D$16,0),MATCH(O871,Settings!$E$4:$H$4,0)),"Check"))</f>
        <v/>
      </c>
      <c r="W871">
        <f>IF(V871="","",IF(V871="No","Yes","No"))</f>
        <v/>
      </c>
      <c r="X871">
        <f>IF(OR(E871="",G871=""),"",IF(LOWER(IF(RIGHT(TRIM(E871),1)="/",LEFT(TRIM(E871),LEN(TRIM(E871))-1),TRIM(E871)))&lt;&gt;LOWER(IF(RIGHT(TRIM(G871),1)="/",LEFT(TRIM(G871),LEN(TRIM(G871))-1),TRIM(G871))),"Yes","No"))</f>
        <v/>
      </c>
      <c r="Y871">
        <f>IF(A871="","",(N(Q871)&gt;0)+(T871="Yes")+(U871="Yes")+(W871="Yes")+(X871="Yes"))</f>
        <v/>
      </c>
      <c r="Z871">
        <f>IF(A871="","",IF(G871="","Not mapped",IF(Y871=0,"OK",MID(IF(N(Q871)&gt;0,"; Cannibalisation","")&amp;IF(T871="Yes","; Too many primary keywords on URL","")&amp;IF(U871="Yes","; URL spans 2+ clusters","")&amp;IF(W871="Yes","; Intent mismatch","")&amp;IF(X871="Yes","; Ranking URL is not the target",""),3,300))))</f>
        <v/>
      </c>
      <c r="AA871">
        <f>IF(G871="","",IF(COUNTIF($G$3:G871,SUBSTITUTE(SUBSTITUTE(G871,"?","~?"),"*","~*"))=1,MAX($AA$2:AA870)+1,""))</f>
        <v/>
      </c>
      <c r="AB871">
        <f>IF(B871="","",IF(COUNTIF($B$3:B871,SUBSTITUTE(SUBSTITUTE(B871,"?","~?"),"*","~*"))=1,MAX($AB$2:AB870)+1,""))</f>
        <v/>
      </c>
    </row>
    <row r="872">
      <c r="M872">
        <f>IF(A872="","",LOWER(TRIM(SUBSTITUTE(SUBSTITUTE(A872,"?",""),"*",""))))</f>
        <v/>
      </c>
      <c r="N872">
        <f>IF(M872="","",IF(SUMPRODUCT(ISNUMBER(SEARCH(" "&amp;Settings!$L$5:$L$124&amp;" "," "&amp;M872&amp;" "))*(Settings!$K$5:$K$124="Navigational")*(Settings!$L$5:$L$124&lt;&gt;""))&gt;0,"Navigational",IF(SUMPRODUCT(ISNUMBER(SEARCH(" "&amp;Settings!$L$5:$L$124&amp;" "," "&amp;M872&amp;" "))*(Settings!$K$5:$K$124="Transactional")*(Settings!$L$5:$L$124&lt;&gt;""))&gt;0,"Transactional",IF(SUMPRODUCT(ISNUMBER(SEARCH(" "&amp;Settings!$L$5:$L$124&amp;" "," "&amp;M872&amp;" "))*(Settings!$K$5:$K$124="Commercial")*(Settings!$L$5:$L$124&lt;&gt;""))&gt;0,"Commercial",IF(SUMPRODUCT(ISNUMBER(SEARCH(" "&amp;Settings!$L$5:$L$124&amp;" "," "&amp;M872&amp;" "))*(Settings!$K$5:$K$124="Informational")*(Settings!$L$5:$L$124&lt;&gt;""))&gt;0,"Informational","Unclassified")))))</f>
        <v/>
      </c>
      <c r="O872">
        <f>IF(A872="","",IF(K872&lt;&gt;"",PROPER(K872),N872))</f>
        <v/>
      </c>
      <c r="P872">
        <f>IF(A872="","",ROUND(Settings!$B$5*MIN(1,LOG10(N(C872)+1)/LOG10(Settings!$B$7+1))+Settings!$B$6*(1-MIN(100,IF(D872="",50,N(D872)))/100)+IFERROR(INDEX(Settings!$B$10:$B$14,MATCH(O872,Settings!$A$10:$A$14,0)),0),0))</f>
        <v/>
      </c>
      <c r="Q872">
        <f>IF(OR(A872="",G872=""),"",COUNTIFS($M$3:$M$1002,M872,$G$3:$G$1002,"&lt;&gt;"&amp;SUBSTITUTE(SUBSTITUTE(G872,"?","~?"),"*","~*"),$G$3:$G$1002,"?*"))</f>
        <v/>
      </c>
      <c r="R872">
        <f>IF(Q872="","",IF(Q872&gt;0,"Yes","No"))</f>
        <v/>
      </c>
      <c r="S872">
        <f>IF(G872="","",COUNTIFS($G$3:$G$1002,SUBSTITUTE(SUBSTITUTE(G872,"?","~?"),"*","~*"),$J$3:$J$1002,"Primary"))</f>
        <v/>
      </c>
      <c r="T872">
        <f>IF(S872="","",IF(S872&gt;Settings!$B$4,"Yes","No"))</f>
        <v/>
      </c>
      <c r="U872">
        <f>IF(OR(G872="",B872=""),"",IF(COUNTIFS($G$3:$G$1002,SUBSTITUTE(SUBSTITUTE(G872,"?","~?"),"*","~*"),$B$3:$B$1002,"&lt;&gt;"&amp;SUBSTITUTE(SUBSTITUTE(B872,"?","~?"),"*","~*"),$B$3:$B$1002,"?*")&gt;0,"Yes","No"))</f>
        <v/>
      </c>
      <c r="V872">
        <f>IF(OR(G872="",I872="",O872="",O872="Unclassified"),"",IFERROR(INDEX(Settings!$E$5:$H$16,MATCH(I872,Settings!$D$5:$D$16,0),MATCH(O872,Settings!$E$4:$H$4,0)),"Check"))</f>
        <v/>
      </c>
      <c r="W872">
        <f>IF(V872="","",IF(V872="No","Yes","No"))</f>
        <v/>
      </c>
      <c r="X872">
        <f>IF(OR(E872="",G872=""),"",IF(LOWER(IF(RIGHT(TRIM(E872),1)="/",LEFT(TRIM(E872),LEN(TRIM(E872))-1),TRIM(E872)))&lt;&gt;LOWER(IF(RIGHT(TRIM(G872),1)="/",LEFT(TRIM(G872),LEN(TRIM(G872))-1),TRIM(G872))),"Yes","No"))</f>
        <v/>
      </c>
      <c r="Y872">
        <f>IF(A872="","",(N(Q872)&gt;0)+(T872="Yes")+(U872="Yes")+(W872="Yes")+(X872="Yes"))</f>
        <v/>
      </c>
      <c r="Z872">
        <f>IF(A872="","",IF(G872="","Not mapped",IF(Y872=0,"OK",MID(IF(N(Q872)&gt;0,"; Cannibalisation","")&amp;IF(T872="Yes","; Too many primary keywords on URL","")&amp;IF(U872="Yes","; URL spans 2+ clusters","")&amp;IF(W872="Yes","; Intent mismatch","")&amp;IF(X872="Yes","; Ranking URL is not the target",""),3,300))))</f>
        <v/>
      </c>
      <c r="AA872">
        <f>IF(G872="","",IF(COUNTIF($G$3:G872,SUBSTITUTE(SUBSTITUTE(G872,"?","~?"),"*","~*"))=1,MAX($AA$2:AA871)+1,""))</f>
        <v/>
      </c>
      <c r="AB872">
        <f>IF(B872="","",IF(COUNTIF($B$3:B872,SUBSTITUTE(SUBSTITUTE(B872,"?","~?"),"*","~*"))=1,MAX($AB$2:AB871)+1,""))</f>
        <v/>
      </c>
    </row>
    <row r="873">
      <c r="M873">
        <f>IF(A873="","",LOWER(TRIM(SUBSTITUTE(SUBSTITUTE(A873,"?",""),"*",""))))</f>
        <v/>
      </c>
      <c r="N873">
        <f>IF(M873="","",IF(SUMPRODUCT(ISNUMBER(SEARCH(" "&amp;Settings!$L$5:$L$124&amp;" "," "&amp;M873&amp;" "))*(Settings!$K$5:$K$124="Navigational")*(Settings!$L$5:$L$124&lt;&gt;""))&gt;0,"Navigational",IF(SUMPRODUCT(ISNUMBER(SEARCH(" "&amp;Settings!$L$5:$L$124&amp;" "," "&amp;M873&amp;" "))*(Settings!$K$5:$K$124="Transactional")*(Settings!$L$5:$L$124&lt;&gt;""))&gt;0,"Transactional",IF(SUMPRODUCT(ISNUMBER(SEARCH(" "&amp;Settings!$L$5:$L$124&amp;" "," "&amp;M873&amp;" "))*(Settings!$K$5:$K$124="Commercial")*(Settings!$L$5:$L$124&lt;&gt;""))&gt;0,"Commercial",IF(SUMPRODUCT(ISNUMBER(SEARCH(" "&amp;Settings!$L$5:$L$124&amp;" "," "&amp;M873&amp;" "))*(Settings!$K$5:$K$124="Informational")*(Settings!$L$5:$L$124&lt;&gt;""))&gt;0,"Informational","Unclassified")))))</f>
        <v/>
      </c>
      <c r="O873">
        <f>IF(A873="","",IF(K873&lt;&gt;"",PROPER(K873),N873))</f>
        <v/>
      </c>
      <c r="P873">
        <f>IF(A873="","",ROUND(Settings!$B$5*MIN(1,LOG10(N(C873)+1)/LOG10(Settings!$B$7+1))+Settings!$B$6*(1-MIN(100,IF(D873="",50,N(D873)))/100)+IFERROR(INDEX(Settings!$B$10:$B$14,MATCH(O873,Settings!$A$10:$A$14,0)),0),0))</f>
        <v/>
      </c>
      <c r="Q873">
        <f>IF(OR(A873="",G873=""),"",COUNTIFS($M$3:$M$1002,M873,$G$3:$G$1002,"&lt;&gt;"&amp;SUBSTITUTE(SUBSTITUTE(G873,"?","~?"),"*","~*"),$G$3:$G$1002,"?*"))</f>
        <v/>
      </c>
      <c r="R873">
        <f>IF(Q873="","",IF(Q873&gt;0,"Yes","No"))</f>
        <v/>
      </c>
      <c r="S873">
        <f>IF(G873="","",COUNTIFS($G$3:$G$1002,SUBSTITUTE(SUBSTITUTE(G873,"?","~?"),"*","~*"),$J$3:$J$1002,"Primary"))</f>
        <v/>
      </c>
      <c r="T873">
        <f>IF(S873="","",IF(S873&gt;Settings!$B$4,"Yes","No"))</f>
        <v/>
      </c>
      <c r="U873">
        <f>IF(OR(G873="",B873=""),"",IF(COUNTIFS($G$3:$G$1002,SUBSTITUTE(SUBSTITUTE(G873,"?","~?"),"*","~*"),$B$3:$B$1002,"&lt;&gt;"&amp;SUBSTITUTE(SUBSTITUTE(B873,"?","~?"),"*","~*"),$B$3:$B$1002,"?*")&gt;0,"Yes","No"))</f>
        <v/>
      </c>
      <c r="V873">
        <f>IF(OR(G873="",I873="",O873="",O873="Unclassified"),"",IFERROR(INDEX(Settings!$E$5:$H$16,MATCH(I873,Settings!$D$5:$D$16,0),MATCH(O873,Settings!$E$4:$H$4,0)),"Check"))</f>
        <v/>
      </c>
      <c r="W873">
        <f>IF(V873="","",IF(V873="No","Yes","No"))</f>
        <v/>
      </c>
      <c r="X873">
        <f>IF(OR(E873="",G873=""),"",IF(LOWER(IF(RIGHT(TRIM(E873),1)="/",LEFT(TRIM(E873),LEN(TRIM(E873))-1),TRIM(E873)))&lt;&gt;LOWER(IF(RIGHT(TRIM(G873),1)="/",LEFT(TRIM(G873),LEN(TRIM(G873))-1),TRIM(G873))),"Yes","No"))</f>
        <v/>
      </c>
      <c r="Y873">
        <f>IF(A873="","",(N(Q873)&gt;0)+(T873="Yes")+(U873="Yes")+(W873="Yes")+(X873="Yes"))</f>
        <v/>
      </c>
      <c r="Z873">
        <f>IF(A873="","",IF(G873="","Not mapped",IF(Y873=0,"OK",MID(IF(N(Q873)&gt;0,"; Cannibalisation","")&amp;IF(T873="Yes","; Too many primary keywords on URL","")&amp;IF(U873="Yes","; URL spans 2+ clusters","")&amp;IF(W873="Yes","; Intent mismatch","")&amp;IF(X873="Yes","; Ranking URL is not the target",""),3,300))))</f>
        <v/>
      </c>
      <c r="AA873">
        <f>IF(G873="","",IF(COUNTIF($G$3:G873,SUBSTITUTE(SUBSTITUTE(G873,"?","~?"),"*","~*"))=1,MAX($AA$2:AA872)+1,""))</f>
        <v/>
      </c>
      <c r="AB873">
        <f>IF(B873="","",IF(COUNTIF($B$3:B873,SUBSTITUTE(SUBSTITUTE(B873,"?","~?"),"*","~*"))=1,MAX($AB$2:AB872)+1,""))</f>
        <v/>
      </c>
    </row>
    <row r="874">
      <c r="M874">
        <f>IF(A874="","",LOWER(TRIM(SUBSTITUTE(SUBSTITUTE(A874,"?",""),"*",""))))</f>
        <v/>
      </c>
      <c r="N874">
        <f>IF(M874="","",IF(SUMPRODUCT(ISNUMBER(SEARCH(" "&amp;Settings!$L$5:$L$124&amp;" "," "&amp;M874&amp;" "))*(Settings!$K$5:$K$124="Navigational")*(Settings!$L$5:$L$124&lt;&gt;""))&gt;0,"Navigational",IF(SUMPRODUCT(ISNUMBER(SEARCH(" "&amp;Settings!$L$5:$L$124&amp;" "," "&amp;M874&amp;" "))*(Settings!$K$5:$K$124="Transactional")*(Settings!$L$5:$L$124&lt;&gt;""))&gt;0,"Transactional",IF(SUMPRODUCT(ISNUMBER(SEARCH(" "&amp;Settings!$L$5:$L$124&amp;" "," "&amp;M874&amp;" "))*(Settings!$K$5:$K$124="Commercial")*(Settings!$L$5:$L$124&lt;&gt;""))&gt;0,"Commercial",IF(SUMPRODUCT(ISNUMBER(SEARCH(" "&amp;Settings!$L$5:$L$124&amp;" "," "&amp;M874&amp;" "))*(Settings!$K$5:$K$124="Informational")*(Settings!$L$5:$L$124&lt;&gt;""))&gt;0,"Informational","Unclassified")))))</f>
        <v/>
      </c>
      <c r="O874">
        <f>IF(A874="","",IF(K874&lt;&gt;"",PROPER(K874),N874))</f>
        <v/>
      </c>
      <c r="P874">
        <f>IF(A874="","",ROUND(Settings!$B$5*MIN(1,LOG10(N(C874)+1)/LOG10(Settings!$B$7+1))+Settings!$B$6*(1-MIN(100,IF(D874="",50,N(D874)))/100)+IFERROR(INDEX(Settings!$B$10:$B$14,MATCH(O874,Settings!$A$10:$A$14,0)),0),0))</f>
        <v/>
      </c>
      <c r="Q874">
        <f>IF(OR(A874="",G874=""),"",COUNTIFS($M$3:$M$1002,M874,$G$3:$G$1002,"&lt;&gt;"&amp;SUBSTITUTE(SUBSTITUTE(G874,"?","~?"),"*","~*"),$G$3:$G$1002,"?*"))</f>
        <v/>
      </c>
      <c r="R874">
        <f>IF(Q874="","",IF(Q874&gt;0,"Yes","No"))</f>
        <v/>
      </c>
      <c r="S874">
        <f>IF(G874="","",COUNTIFS($G$3:$G$1002,SUBSTITUTE(SUBSTITUTE(G874,"?","~?"),"*","~*"),$J$3:$J$1002,"Primary"))</f>
        <v/>
      </c>
      <c r="T874">
        <f>IF(S874="","",IF(S874&gt;Settings!$B$4,"Yes","No"))</f>
        <v/>
      </c>
      <c r="U874">
        <f>IF(OR(G874="",B874=""),"",IF(COUNTIFS($G$3:$G$1002,SUBSTITUTE(SUBSTITUTE(G874,"?","~?"),"*","~*"),$B$3:$B$1002,"&lt;&gt;"&amp;SUBSTITUTE(SUBSTITUTE(B874,"?","~?"),"*","~*"),$B$3:$B$1002,"?*")&gt;0,"Yes","No"))</f>
        <v/>
      </c>
      <c r="V874">
        <f>IF(OR(G874="",I874="",O874="",O874="Unclassified"),"",IFERROR(INDEX(Settings!$E$5:$H$16,MATCH(I874,Settings!$D$5:$D$16,0),MATCH(O874,Settings!$E$4:$H$4,0)),"Check"))</f>
        <v/>
      </c>
      <c r="W874">
        <f>IF(V874="","",IF(V874="No","Yes","No"))</f>
        <v/>
      </c>
      <c r="X874">
        <f>IF(OR(E874="",G874=""),"",IF(LOWER(IF(RIGHT(TRIM(E874),1)="/",LEFT(TRIM(E874),LEN(TRIM(E874))-1),TRIM(E874)))&lt;&gt;LOWER(IF(RIGHT(TRIM(G874),1)="/",LEFT(TRIM(G874),LEN(TRIM(G874))-1),TRIM(G874))),"Yes","No"))</f>
        <v/>
      </c>
      <c r="Y874">
        <f>IF(A874="","",(N(Q874)&gt;0)+(T874="Yes")+(U874="Yes")+(W874="Yes")+(X874="Yes"))</f>
        <v/>
      </c>
      <c r="Z874">
        <f>IF(A874="","",IF(G874="","Not mapped",IF(Y874=0,"OK",MID(IF(N(Q874)&gt;0,"; Cannibalisation","")&amp;IF(T874="Yes","; Too many primary keywords on URL","")&amp;IF(U874="Yes","; URL spans 2+ clusters","")&amp;IF(W874="Yes","; Intent mismatch","")&amp;IF(X874="Yes","; Ranking URL is not the target",""),3,300))))</f>
        <v/>
      </c>
      <c r="AA874">
        <f>IF(G874="","",IF(COUNTIF($G$3:G874,SUBSTITUTE(SUBSTITUTE(G874,"?","~?"),"*","~*"))=1,MAX($AA$2:AA873)+1,""))</f>
        <v/>
      </c>
      <c r="AB874">
        <f>IF(B874="","",IF(COUNTIF($B$3:B874,SUBSTITUTE(SUBSTITUTE(B874,"?","~?"),"*","~*"))=1,MAX($AB$2:AB873)+1,""))</f>
        <v/>
      </c>
    </row>
    <row r="875">
      <c r="M875">
        <f>IF(A875="","",LOWER(TRIM(SUBSTITUTE(SUBSTITUTE(A875,"?",""),"*",""))))</f>
        <v/>
      </c>
      <c r="N875">
        <f>IF(M875="","",IF(SUMPRODUCT(ISNUMBER(SEARCH(" "&amp;Settings!$L$5:$L$124&amp;" "," "&amp;M875&amp;" "))*(Settings!$K$5:$K$124="Navigational")*(Settings!$L$5:$L$124&lt;&gt;""))&gt;0,"Navigational",IF(SUMPRODUCT(ISNUMBER(SEARCH(" "&amp;Settings!$L$5:$L$124&amp;" "," "&amp;M875&amp;" "))*(Settings!$K$5:$K$124="Transactional")*(Settings!$L$5:$L$124&lt;&gt;""))&gt;0,"Transactional",IF(SUMPRODUCT(ISNUMBER(SEARCH(" "&amp;Settings!$L$5:$L$124&amp;" "," "&amp;M875&amp;" "))*(Settings!$K$5:$K$124="Commercial")*(Settings!$L$5:$L$124&lt;&gt;""))&gt;0,"Commercial",IF(SUMPRODUCT(ISNUMBER(SEARCH(" "&amp;Settings!$L$5:$L$124&amp;" "," "&amp;M875&amp;" "))*(Settings!$K$5:$K$124="Informational")*(Settings!$L$5:$L$124&lt;&gt;""))&gt;0,"Informational","Unclassified")))))</f>
        <v/>
      </c>
      <c r="O875">
        <f>IF(A875="","",IF(K875&lt;&gt;"",PROPER(K875),N875))</f>
        <v/>
      </c>
      <c r="P875">
        <f>IF(A875="","",ROUND(Settings!$B$5*MIN(1,LOG10(N(C875)+1)/LOG10(Settings!$B$7+1))+Settings!$B$6*(1-MIN(100,IF(D875="",50,N(D875)))/100)+IFERROR(INDEX(Settings!$B$10:$B$14,MATCH(O875,Settings!$A$10:$A$14,0)),0),0))</f>
        <v/>
      </c>
      <c r="Q875">
        <f>IF(OR(A875="",G875=""),"",COUNTIFS($M$3:$M$1002,M875,$G$3:$G$1002,"&lt;&gt;"&amp;SUBSTITUTE(SUBSTITUTE(G875,"?","~?"),"*","~*"),$G$3:$G$1002,"?*"))</f>
        <v/>
      </c>
      <c r="R875">
        <f>IF(Q875="","",IF(Q875&gt;0,"Yes","No"))</f>
        <v/>
      </c>
      <c r="S875">
        <f>IF(G875="","",COUNTIFS($G$3:$G$1002,SUBSTITUTE(SUBSTITUTE(G875,"?","~?"),"*","~*"),$J$3:$J$1002,"Primary"))</f>
        <v/>
      </c>
      <c r="T875">
        <f>IF(S875="","",IF(S875&gt;Settings!$B$4,"Yes","No"))</f>
        <v/>
      </c>
      <c r="U875">
        <f>IF(OR(G875="",B875=""),"",IF(COUNTIFS($G$3:$G$1002,SUBSTITUTE(SUBSTITUTE(G875,"?","~?"),"*","~*"),$B$3:$B$1002,"&lt;&gt;"&amp;SUBSTITUTE(SUBSTITUTE(B875,"?","~?"),"*","~*"),$B$3:$B$1002,"?*")&gt;0,"Yes","No"))</f>
        <v/>
      </c>
      <c r="V875">
        <f>IF(OR(G875="",I875="",O875="",O875="Unclassified"),"",IFERROR(INDEX(Settings!$E$5:$H$16,MATCH(I875,Settings!$D$5:$D$16,0),MATCH(O875,Settings!$E$4:$H$4,0)),"Check"))</f>
        <v/>
      </c>
      <c r="W875">
        <f>IF(V875="","",IF(V875="No","Yes","No"))</f>
        <v/>
      </c>
      <c r="X875">
        <f>IF(OR(E875="",G875=""),"",IF(LOWER(IF(RIGHT(TRIM(E875),1)="/",LEFT(TRIM(E875),LEN(TRIM(E875))-1),TRIM(E875)))&lt;&gt;LOWER(IF(RIGHT(TRIM(G875),1)="/",LEFT(TRIM(G875),LEN(TRIM(G875))-1),TRIM(G875))),"Yes","No"))</f>
        <v/>
      </c>
      <c r="Y875">
        <f>IF(A875="","",(N(Q875)&gt;0)+(T875="Yes")+(U875="Yes")+(W875="Yes")+(X875="Yes"))</f>
        <v/>
      </c>
      <c r="Z875">
        <f>IF(A875="","",IF(G875="","Not mapped",IF(Y875=0,"OK",MID(IF(N(Q875)&gt;0,"; Cannibalisation","")&amp;IF(T875="Yes","; Too many primary keywords on URL","")&amp;IF(U875="Yes","; URL spans 2+ clusters","")&amp;IF(W875="Yes","; Intent mismatch","")&amp;IF(X875="Yes","; Ranking URL is not the target",""),3,300))))</f>
        <v/>
      </c>
      <c r="AA875">
        <f>IF(G875="","",IF(COUNTIF($G$3:G875,SUBSTITUTE(SUBSTITUTE(G875,"?","~?"),"*","~*"))=1,MAX($AA$2:AA874)+1,""))</f>
        <v/>
      </c>
      <c r="AB875">
        <f>IF(B875="","",IF(COUNTIF($B$3:B875,SUBSTITUTE(SUBSTITUTE(B875,"?","~?"),"*","~*"))=1,MAX($AB$2:AB874)+1,""))</f>
        <v/>
      </c>
    </row>
    <row r="876">
      <c r="M876">
        <f>IF(A876="","",LOWER(TRIM(SUBSTITUTE(SUBSTITUTE(A876,"?",""),"*",""))))</f>
        <v/>
      </c>
      <c r="N876">
        <f>IF(M876="","",IF(SUMPRODUCT(ISNUMBER(SEARCH(" "&amp;Settings!$L$5:$L$124&amp;" "," "&amp;M876&amp;" "))*(Settings!$K$5:$K$124="Navigational")*(Settings!$L$5:$L$124&lt;&gt;""))&gt;0,"Navigational",IF(SUMPRODUCT(ISNUMBER(SEARCH(" "&amp;Settings!$L$5:$L$124&amp;" "," "&amp;M876&amp;" "))*(Settings!$K$5:$K$124="Transactional")*(Settings!$L$5:$L$124&lt;&gt;""))&gt;0,"Transactional",IF(SUMPRODUCT(ISNUMBER(SEARCH(" "&amp;Settings!$L$5:$L$124&amp;" "," "&amp;M876&amp;" "))*(Settings!$K$5:$K$124="Commercial")*(Settings!$L$5:$L$124&lt;&gt;""))&gt;0,"Commercial",IF(SUMPRODUCT(ISNUMBER(SEARCH(" "&amp;Settings!$L$5:$L$124&amp;" "," "&amp;M876&amp;" "))*(Settings!$K$5:$K$124="Informational")*(Settings!$L$5:$L$124&lt;&gt;""))&gt;0,"Informational","Unclassified")))))</f>
        <v/>
      </c>
      <c r="O876">
        <f>IF(A876="","",IF(K876&lt;&gt;"",PROPER(K876),N876))</f>
        <v/>
      </c>
      <c r="P876">
        <f>IF(A876="","",ROUND(Settings!$B$5*MIN(1,LOG10(N(C876)+1)/LOG10(Settings!$B$7+1))+Settings!$B$6*(1-MIN(100,IF(D876="",50,N(D876)))/100)+IFERROR(INDEX(Settings!$B$10:$B$14,MATCH(O876,Settings!$A$10:$A$14,0)),0),0))</f>
        <v/>
      </c>
      <c r="Q876">
        <f>IF(OR(A876="",G876=""),"",COUNTIFS($M$3:$M$1002,M876,$G$3:$G$1002,"&lt;&gt;"&amp;SUBSTITUTE(SUBSTITUTE(G876,"?","~?"),"*","~*"),$G$3:$G$1002,"?*"))</f>
        <v/>
      </c>
      <c r="R876">
        <f>IF(Q876="","",IF(Q876&gt;0,"Yes","No"))</f>
        <v/>
      </c>
      <c r="S876">
        <f>IF(G876="","",COUNTIFS($G$3:$G$1002,SUBSTITUTE(SUBSTITUTE(G876,"?","~?"),"*","~*"),$J$3:$J$1002,"Primary"))</f>
        <v/>
      </c>
      <c r="T876">
        <f>IF(S876="","",IF(S876&gt;Settings!$B$4,"Yes","No"))</f>
        <v/>
      </c>
      <c r="U876">
        <f>IF(OR(G876="",B876=""),"",IF(COUNTIFS($G$3:$G$1002,SUBSTITUTE(SUBSTITUTE(G876,"?","~?"),"*","~*"),$B$3:$B$1002,"&lt;&gt;"&amp;SUBSTITUTE(SUBSTITUTE(B876,"?","~?"),"*","~*"),$B$3:$B$1002,"?*")&gt;0,"Yes","No"))</f>
        <v/>
      </c>
      <c r="V876">
        <f>IF(OR(G876="",I876="",O876="",O876="Unclassified"),"",IFERROR(INDEX(Settings!$E$5:$H$16,MATCH(I876,Settings!$D$5:$D$16,0),MATCH(O876,Settings!$E$4:$H$4,0)),"Check"))</f>
        <v/>
      </c>
      <c r="W876">
        <f>IF(V876="","",IF(V876="No","Yes","No"))</f>
        <v/>
      </c>
      <c r="X876">
        <f>IF(OR(E876="",G876=""),"",IF(LOWER(IF(RIGHT(TRIM(E876),1)="/",LEFT(TRIM(E876),LEN(TRIM(E876))-1),TRIM(E876)))&lt;&gt;LOWER(IF(RIGHT(TRIM(G876),1)="/",LEFT(TRIM(G876),LEN(TRIM(G876))-1),TRIM(G876))),"Yes","No"))</f>
        <v/>
      </c>
      <c r="Y876">
        <f>IF(A876="","",(N(Q876)&gt;0)+(T876="Yes")+(U876="Yes")+(W876="Yes")+(X876="Yes"))</f>
        <v/>
      </c>
      <c r="Z876">
        <f>IF(A876="","",IF(G876="","Not mapped",IF(Y876=0,"OK",MID(IF(N(Q876)&gt;0,"; Cannibalisation","")&amp;IF(T876="Yes","; Too many primary keywords on URL","")&amp;IF(U876="Yes","; URL spans 2+ clusters","")&amp;IF(W876="Yes","; Intent mismatch","")&amp;IF(X876="Yes","; Ranking URL is not the target",""),3,300))))</f>
        <v/>
      </c>
      <c r="AA876">
        <f>IF(G876="","",IF(COUNTIF($G$3:G876,SUBSTITUTE(SUBSTITUTE(G876,"?","~?"),"*","~*"))=1,MAX($AA$2:AA875)+1,""))</f>
        <v/>
      </c>
      <c r="AB876">
        <f>IF(B876="","",IF(COUNTIF($B$3:B876,SUBSTITUTE(SUBSTITUTE(B876,"?","~?"),"*","~*"))=1,MAX($AB$2:AB875)+1,""))</f>
        <v/>
      </c>
    </row>
    <row r="877">
      <c r="M877">
        <f>IF(A877="","",LOWER(TRIM(SUBSTITUTE(SUBSTITUTE(A877,"?",""),"*",""))))</f>
        <v/>
      </c>
      <c r="N877">
        <f>IF(M877="","",IF(SUMPRODUCT(ISNUMBER(SEARCH(" "&amp;Settings!$L$5:$L$124&amp;" "," "&amp;M877&amp;" "))*(Settings!$K$5:$K$124="Navigational")*(Settings!$L$5:$L$124&lt;&gt;""))&gt;0,"Navigational",IF(SUMPRODUCT(ISNUMBER(SEARCH(" "&amp;Settings!$L$5:$L$124&amp;" "," "&amp;M877&amp;" "))*(Settings!$K$5:$K$124="Transactional")*(Settings!$L$5:$L$124&lt;&gt;""))&gt;0,"Transactional",IF(SUMPRODUCT(ISNUMBER(SEARCH(" "&amp;Settings!$L$5:$L$124&amp;" "," "&amp;M877&amp;" "))*(Settings!$K$5:$K$124="Commercial")*(Settings!$L$5:$L$124&lt;&gt;""))&gt;0,"Commercial",IF(SUMPRODUCT(ISNUMBER(SEARCH(" "&amp;Settings!$L$5:$L$124&amp;" "," "&amp;M877&amp;" "))*(Settings!$K$5:$K$124="Informational")*(Settings!$L$5:$L$124&lt;&gt;""))&gt;0,"Informational","Unclassified")))))</f>
        <v/>
      </c>
      <c r="O877">
        <f>IF(A877="","",IF(K877&lt;&gt;"",PROPER(K877),N877))</f>
        <v/>
      </c>
      <c r="P877">
        <f>IF(A877="","",ROUND(Settings!$B$5*MIN(1,LOG10(N(C877)+1)/LOG10(Settings!$B$7+1))+Settings!$B$6*(1-MIN(100,IF(D877="",50,N(D877)))/100)+IFERROR(INDEX(Settings!$B$10:$B$14,MATCH(O877,Settings!$A$10:$A$14,0)),0),0))</f>
        <v/>
      </c>
      <c r="Q877">
        <f>IF(OR(A877="",G877=""),"",COUNTIFS($M$3:$M$1002,M877,$G$3:$G$1002,"&lt;&gt;"&amp;SUBSTITUTE(SUBSTITUTE(G877,"?","~?"),"*","~*"),$G$3:$G$1002,"?*"))</f>
        <v/>
      </c>
      <c r="R877">
        <f>IF(Q877="","",IF(Q877&gt;0,"Yes","No"))</f>
        <v/>
      </c>
      <c r="S877">
        <f>IF(G877="","",COUNTIFS($G$3:$G$1002,SUBSTITUTE(SUBSTITUTE(G877,"?","~?"),"*","~*"),$J$3:$J$1002,"Primary"))</f>
        <v/>
      </c>
      <c r="T877">
        <f>IF(S877="","",IF(S877&gt;Settings!$B$4,"Yes","No"))</f>
        <v/>
      </c>
      <c r="U877">
        <f>IF(OR(G877="",B877=""),"",IF(COUNTIFS($G$3:$G$1002,SUBSTITUTE(SUBSTITUTE(G877,"?","~?"),"*","~*"),$B$3:$B$1002,"&lt;&gt;"&amp;SUBSTITUTE(SUBSTITUTE(B877,"?","~?"),"*","~*"),$B$3:$B$1002,"?*")&gt;0,"Yes","No"))</f>
        <v/>
      </c>
      <c r="V877">
        <f>IF(OR(G877="",I877="",O877="",O877="Unclassified"),"",IFERROR(INDEX(Settings!$E$5:$H$16,MATCH(I877,Settings!$D$5:$D$16,0),MATCH(O877,Settings!$E$4:$H$4,0)),"Check"))</f>
        <v/>
      </c>
      <c r="W877">
        <f>IF(V877="","",IF(V877="No","Yes","No"))</f>
        <v/>
      </c>
      <c r="X877">
        <f>IF(OR(E877="",G877=""),"",IF(LOWER(IF(RIGHT(TRIM(E877),1)="/",LEFT(TRIM(E877),LEN(TRIM(E877))-1),TRIM(E877)))&lt;&gt;LOWER(IF(RIGHT(TRIM(G877),1)="/",LEFT(TRIM(G877),LEN(TRIM(G877))-1),TRIM(G877))),"Yes","No"))</f>
        <v/>
      </c>
      <c r="Y877">
        <f>IF(A877="","",(N(Q877)&gt;0)+(T877="Yes")+(U877="Yes")+(W877="Yes")+(X877="Yes"))</f>
        <v/>
      </c>
      <c r="Z877">
        <f>IF(A877="","",IF(G877="","Not mapped",IF(Y877=0,"OK",MID(IF(N(Q877)&gt;0,"; Cannibalisation","")&amp;IF(T877="Yes","; Too many primary keywords on URL","")&amp;IF(U877="Yes","; URL spans 2+ clusters","")&amp;IF(W877="Yes","; Intent mismatch","")&amp;IF(X877="Yes","; Ranking URL is not the target",""),3,300))))</f>
        <v/>
      </c>
      <c r="AA877">
        <f>IF(G877="","",IF(COUNTIF($G$3:G877,SUBSTITUTE(SUBSTITUTE(G877,"?","~?"),"*","~*"))=1,MAX($AA$2:AA876)+1,""))</f>
        <v/>
      </c>
      <c r="AB877">
        <f>IF(B877="","",IF(COUNTIF($B$3:B877,SUBSTITUTE(SUBSTITUTE(B877,"?","~?"),"*","~*"))=1,MAX($AB$2:AB876)+1,""))</f>
        <v/>
      </c>
    </row>
    <row r="878">
      <c r="M878">
        <f>IF(A878="","",LOWER(TRIM(SUBSTITUTE(SUBSTITUTE(A878,"?",""),"*",""))))</f>
        <v/>
      </c>
      <c r="N878">
        <f>IF(M878="","",IF(SUMPRODUCT(ISNUMBER(SEARCH(" "&amp;Settings!$L$5:$L$124&amp;" "," "&amp;M878&amp;" "))*(Settings!$K$5:$K$124="Navigational")*(Settings!$L$5:$L$124&lt;&gt;""))&gt;0,"Navigational",IF(SUMPRODUCT(ISNUMBER(SEARCH(" "&amp;Settings!$L$5:$L$124&amp;" "," "&amp;M878&amp;" "))*(Settings!$K$5:$K$124="Transactional")*(Settings!$L$5:$L$124&lt;&gt;""))&gt;0,"Transactional",IF(SUMPRODUCT(ISNUMBER(SEARCH(" "&amp;Settings!$L$5:$L$124&amp;" "," "&amp;M878&amp;" "))*(Settings!$K$5:$K$124="Commercial")*(Settings!$L$5:$L$124&lt;&gt;""))&gt;0,"Commercial",IF(SUMPRODUCT(ISNUMBER(SEARCH(" "&amp;Settings!$L$5:$L$124&amp;" "," "&amp;M878&amp;" "))*(Settings!$K$5:$K$124="Informational")*(Settings!$L$5:$L$124&lt;&gt;""))&gt;0,"Informational","Unclassified")))))</f>
        <v/>
      </c>
      <c r="O878">
        <f>IF(A878="","",IF(K878&lt;&gt;"",PROPER(K878),N878))</f>
        <v/>
      </c>
      <c r="P878">
        <f>IF(A878="","",ROUND(Settings!$B$5*MIN(1,LOG10(N(C878)+1)/LOG10(Settings!$B$7+1))+Settings!$B$6*(1-MIN(100,IF(D878="",50,N(D878)))/100)+IFERROR(INDEX(Settings!$B$10:$B$14,MATCH(O878,Settings!$A$10:$A$14,0)),0),0))</f>
        <v/>
      </c>
      <c r="Q878">
        <f>IF(OR(A878="",G878=""),"",COUNTIFS($M$3:$M$1002,M878,$G$3:$G$1002,"&lt;&gt;"&amp;SUBSTITUTE(SUBSTITUTE(G878,"?","~?"),"*","~*"),$G$3:$G$1002,"?*"))</f>
        <v/>
      </c>
      <c r="R878">
        <f>IF(Q878="","",IF(Q878&gt;0,"Yes","No"))</f>
        <v/>
      </c>
      <c r="S878">
        <f>IF(G878="","",COUNTIFS($G$3:$G$1002,SUBSTITUTE(SUBSTITUTE(G878,"?","~?"),"*","~*"),$J$3:$J$1002,"Primary"))</f>
        <v/>
      </c>
      <c r="T878">
        <f>IF(S878="","",IF(S878&gt;Settings!$B$4,"Yes","No"))</f>
        <v/>
      </c>
      <c r="U878">
        <f>IF(OR(G878="",B878=""),"",IF(COUNTIFS($G$3:$G$1002,SUBSTITUTE(SUBSTITUTE(G878,"?","~?"),"*","~*"),$B$3:$B$1002,"&lt;&gt;"&amp;SUBSTITUTE(SUBSTITUTE(B878,"?","~?"),"*","~*"),$B$3:$B$1002,"?*")&gt;0,"Yes","No"))</f>
        <v/>
      </c>
      <c r="V878">
        <f>IF(OR(G878="",I878="",O878="",O878="Unclassified"),"",IFERROR(INDEX(Settings!$E$5:$H$16,MATCH(I878,Settings!$D$5:$D$16,0),MATCH(O878,Settings!$E$4:$H$4,0)),"Check"))</f>
        <v/>
      </c>
      <c r="W878">
        <f>IF(V878="","",IF(V878="No","Yes","No"))</f>
        <v/>
      </c>
      <c r="X878">
        <f>IF(OR(E878="",G878=""),"",IF(LOWER(IF(RIGHT(TRIM(E878),1)="/",LEFT(TRIM(E878),LEN(TRIM(E878))-1),TRIM(E878)))&lt;&gt;LOWER(IF(RIGHT(TRIM(G878),1)="/",LEFT(TRIM(G878),LEN(TRIM(G878))-1),TRIM(G878))),"Yes","No"))</f>
        <v/>
      </c>
      <c r="Y878">
        <f>IF(A878="","",(N(Q878)&gt;0)+(T878="Yes")+(U878="Yes")+(W878="Yes")+(X878="Yes"))</f>
        <v/>
      </c>
      <c r="Z878">
        <f>IF(A878="","",IF(G878="","Not mapped",IF(Y878=0,"OK",MID(IF(N(Q878)&gt;0,"; Cannibalisation","")&amp;IF(T878="Yes","; Too many primary keywords on URL","")&amp;IF(U878="Yes","; URL spans 2+ clusters","")&amp;IF(W878="Yes","; Intent mismatch","")&amp;IF(X878="Yes","; Ranking URL is not the target",""),3,300))))</f>
        <v/>
      </c>
      <c r="AA878">
        <f>IF(G878="","",IF(COUNTIF($G$3:G878,SUBSTITUTE(SUBSTITUTE(G878,"?","~?"),"*","~*"))=1,MAX($AA$2:AA877)+1,""))</f>
        <v/>
      </c>
      <c r="AB878">
        <f>IF(B878="","",IF(COUNTIF($B$3:B878,SUBSTITUTE(SUBSTITUTE(B878,"?","~?"),"*","~*"))=1,MAX($AB$2:AB877)+1,""))</f>
        <v/>
      </c>
    </row>
    <row r="879">
      <c r="M879">
        <f>IF(A879="","",LOWER(TRIM(SUBSTITUTE(SUBSTITUTE(A879,"?",""),"*",""))))</f>
        <v/>
      </c>
      <c r="N879">
        <f>IF(M879="","",IF(SUMPRODUCT(ISNUMBER(SEARCH(" "&amp;Settings!$L$5:$L$124&amp;" "," "&amp;M879&amp;" "))*(Settings!$K$5:$K$124="Navigational")*(Settings!$L$5:$L$124&lt;&gt;""))&gt;0,"Navigational",IF(SUMPRODUCT(ISNUMBER(SEARCH(" "&amp;Settings!$L$5:$L$124&amp;" "," "&amp;M879&amp;" "))*(Settings!$K$5:$K$124="Transactional")*(Settings!$L$5:$L$124&lt;&gt;""))&gt;0,"Transactional",IF(SUMPRODUCT(ISNUMBER(SEARCH(" "&amp;Settings!$L$5:$L$124&amp;" "," "&amp;M879&amp;" "))*(Settings!$K$5:$K$124="Commercial")*(Settings!$L$5:$L$124&lt;&gt;""))&gt;0,"Commercial",IF(SUMPRODUCT(ISNUMBER(SEARCH(" "&amp;Settings!$L$5:$L$124&amp;" "," "&amp;M879&amp;" "))*(Settings!$K$5:$K$124="Informational")*(Settings!$L$5:$L$124&lt;&gt;""))&gt;0,"Informational","Unclassified")))))</f>
        <v/>
      </c>
      <c r="O879">
        <f>IF(A879="","",IF(K879&lt;&gt;"",PROPER(K879),N879))</f>
        <v/>
      </c>
      <c r="P879">
        <f>IF(A879="","",ROUND(Settings!$B$5*MIN(1,LOG10(N(C879)+1)/LOG10(Settings!$B$7+1))+Settings!$B$6*(1-MIN(100,IF(D879="",50,N(D879)))/100)+IFERROR(INDEX(Settings!$B$10:$B$14,MATCH(O879,Settings!$A$10:$A$14,0)),0),0))</f>
        <v/>
      </c>
      <c r="Q879">
        <f>IF(OR(A879="",G879=""),"",COUNTIFS($M$3:$M$1002,M879,$G$3:$G$1002,"&lt;&gt;"&amp;SUBSTITUTE(SUBSTITUTE(G879,"?","~?"),"*","~*"),$G$3:$G$1002,"?*"))</f>
        <v/>
      </c>
      <c r="R879">
        <f>IF(Q879="","",IF(Q879&gt;0,"Yes","No"))</f>
        <v/>
      </c>
      <c r="S879">
        <f>IF(G879="","",COUNTIFS($G$3:$G$1002,SUBSTITUTE(SUBSTITUTE(G879,"?","~?"),"*","~*"),$J$3:$J$1002,"Primary"))</f>
        <v/>
      </c>
      <c r="T879">
        <f>IF(S879="","",IF(S879&gt;Settings!$B$4,"Yes","No"))</f>
        <v/>
      </c>
      <c r="U879">
        <f>IF(OR(G879="",B879=""),"",IF(COUNTIFS($G$3:$G$1002,SUBSTITUTE(SUBSTITUTE(G879,"?","~?"),"*","~*"),$B$3:$B$1002,"&lt;&gt;"&amp;SUBSTITUTE(SUBSTITUTE(B879,"?","~?"),"*","~*"),$B$3:$B$1002,"?*")&gt;0,"Yes","No"))</f>
        <v/>
      </c>
      <c r="V879">
        <f>IF(OR(G879="",I879="",O879="",O879="Unclassified"),"",IFERROR(INDEX(Settings!$E$5:$H$16,MATCH(I879,Settings!$D$5:$D$16,0),MATCH(O879,Settings!$E$4:$H$4,0)),"Check"))</f>
        <v/>
      </c>
      <c r="W879">
        <f>IF(V879="","",IF(V879="No","Yes","No"))</f>
        <v/>
      </c>
      <c r="X879">
        <f>IF(OR(E879="",G879=""),"",IF(LOWER(IF(RIGHT(TRIM(E879),1)="/",LEFT(TRIM(E879),LEN(TRIM(E879))-1),TRIM(E879)))&lt;&gt;LOWER(IF(RIGHT(TRIM(G879),1)="/",LEFT(TRIM(G879),LEN(TRIM(G879))-1),TRIM(G879))),"Yes","No"))</f>
        <v/>
      </c>
      <c r="Y879">
        <f>IF(A879="","",(N(Q879)&gt;0)+(T879="Yes")+(U879="Yes")+(W879="Yes")+(X879="Yes"))</f>
        <v/>
      </c>
      <c r="Z879">
        <f>IF(A879="","",IF(G879="","Not mapped",IF(Y879=0,"OK",MID(IF(N(Q879)&gt;0,"; Cannibalisation","")&amp;IF(T879="Yes","; Too many primary keywords on URL","")&amp;IF(U879="Yes","; URL spans 2+ clusters","")&amp;IF(W879="Yes","; Intent mismatch","")&amp;IF(X879="Yes","; Ranking URL is not the target",""),3,300))))</f>
        <v/>
      </c>
      <c r="AA879">
        <f>IF(G879="","",IF(COUNTIF($G$3:G879,SUBSTITUTE(SUBSTITUTE(G879,"?","~?"),"*","~*"))=1,MAX($AA$2:AA878)+1,""))</f>
        <v/>
      </c>
      <c r="AB879">
        <f>IF(B879="","",IF(COUNTIF($B$3:B879,SUBSTITUTE(SUBSTITUTE(B879,"?","~?"),"*","~*"))=1,MAX($AB$2:AB878)+1,""))</f>
        <v/>
      </c>
    </row>
    <row r="880">
      <c r="M880">
        <f>IF(A880="","",LOWER(TRIM(SUBSTITUTE(SUBSTITUTE(A880,"?",""),"*",""))))</f>
        <v/>
      </c>
      <c r="N880">
        <f>IF(M880="","",IF(SUMPRODUCT(ISNUMBER(SEARCH(" "&amp;Settings!$L$5:$L$124&amp;" "," "&amp;M880&amp;" "))*(Settings!$K$5:$K$124="Navigational")*(Settings!$L$5:$L$124&lt;&gt;""))&gt;0,"Navigational",IF(SUMPRODUCT(ISNUMBER(SEARCH(" "&amp;Settings!$L$5:$L$124&amp;" "," "&amp;M880&amp;" "))*(Settings!$K$5:$K$124="Transactional")*(Settings!$L$5:$L$124&lt;&gt;""))&gt;0,"Transactional",IF(SUMPRODUCT(ISNUMBER(SEARCH(" "&amp;Settings!$L$5:$L$124&amp;" "," "&amp;M880&amp;" "))*(Settings!$K$5:$K$124="Commercial")*(Settings!$L$5:$L$124&lt;&gt;""))&gt;0,"Commercial",IF(SUMPRODUCT(ISNUMBER(SEARCH(" "&amp;Settings!$L$5:$L$124&amp;" "," "&amp;M880&amp;" "))*(Settings!$K$5:$K$124="Informational")*(Settings!$L$5:$L$124&lt;&gt;""))&gt;0,"Informational","Unclassified")))))</f>
        <v/>
      </c>
      <c r="O880">
        <f>IF(A880="","",IF(K880&lt;&gt;"",PROPER(K880),N880))</f>
        <v/>
      </c>
      <c r="P880">
        <f>IF(A880="","",ROUND(Settings!$B$5*MIN(1,LOG10(N(C880)+1)/LOG10(Settings!$B$7+1))+Settings!$B$6*(1-MIN(100,IF(D880="",50,N(D880)))/100)+IFERROR(INDEX(Settings!$B$10:$B$14,MATCH(O880,Settings!$A$10:$A$14,0)),0),0))</f>
        <v/>
      </c>
      <c r="Q880">
        <f>IF(OR(A880="",G880=""),"",COUNTIFS($M$3:$M$1002,M880,$G$3:$G$1002,"&lt;&gt;"&amp;SUBSTITUTE(SUBSTITUTE(G880,"?","~?"),"*","~*"),$G$3:$G$1002,"?*"))</f>
        <v/>
      </c>
      <c r="R880">
        <f>IF(Q880="","",IF(Q880&gt;0,"Yes","No"))</f>
        <v/>
      </c>
      <c r="S880">
        <f>IF(G880="","",COUNTIFS($G$3:$G$1002,SUBSTITUTE(SUBSTITUTE(G880,"?","~?"),"*","~*"),$J$3:$J$1002,"Primary"))</f>
        <v/>
      </c>
      <c r="T880">
        <f>IF(S880="","",IF(S880&gt;Settings!$B$4,"Yes","No"))</f>
        <v/>
      </c>
      <c r="U880">
        <f>IF(OR(G880="",B880=""),"",IF(COUNTIFS($G$3:$G$1002,SUBSTITUTE(SUBSTITUTE(G880,"?","~?"),"*","~*"),$B$3:$B$1002,"&lt;&gt;"&amp;SUBSTITUTE(SUBSTITUTE(B880,"?","~?"),"*","~*"),$B$3:$B$1002,"?*")&gt;0,"Yes","No"))</f>
        <v/>
      </c>
      <c r="V880">
        <f>IF(OR(G880="",I880="",O880="",O880="Unclassified"),"",IFERROR(INDEX(Settings!$E$5:$H$16,MATCH(I880,Settings!$D$5:$D$16,0),MATCH(O880,Settings!$E$4:$H$4,0)),"Check"))</f>
        <v/>
      </c>
      <c r="W880">
        <f>IF(V880="","",IF(V880="No","Yes","No"))</f>
        <v/>
      </c>
      <c r="X880">
        <f>IF(OR(E880="",G880=""),"",IF(LOWER(IF(RIGHT(TRIM(E880),1)="/",LEFT(TRIM(E880),LEN(TRIM(E880))-1),TRIM(E880)))&lt;&gt;LOWER(IF(RIGHT(TRIM(G880),1)="/",LEFT(TRIM(G880),LEN(TRIM(G880))-1),TRIM(G880))),"Yes","No"))</f>
        <v/>
      </c>
      <c r="Y880">
        <f>IF(A880="","",(N(Q880)&gt;0)+(T880="Yes")+(U880="Yes")+(W880="Yes")+(X880="Yes"))</f>
        <v/>
      </c>
      <c r="Z880">
        <f>IF(A880="","",IF(G880="","Not mapped",IF(Y880=0,"OK",MID(IF(N(Q880)&gt;0,"; Cannibalisation","")&amp;IF(T880="Yes","; Too many primary keywords on URL","")&amp;IF(U880="Yes","; URL spans 2+ clusters","")&amp;IF(W880="Yes","; Intent mismatch","")&amp;IF(X880="Yes","; Ranking URL is not the target",""),3,300))))</f>
        <v/>
      </c>
      <c r="AA880">
        <f>IF(G880="","",IF(COUNTIF($G$3:G880,SUBSTITUTE(SUBSTITUTE(G880,"?","~?"),"*","~*"))=1,MAX($AA$2:AA879)+1,""))</f>
        <v/>
      </c>
      <c r="AB880">
        <f>IF(B880="","",IF(COUNTIF($B$3:B880,SUBSTITUTE(SUBSTITUTE(B880,"?","~?"),"*","~*"))=1,MAX($AB$2:AB879)+1,""))</f>
        <v/>
      </c>
    </row>
    <row r="881">
      <c r="M881">
        <f>IF(A881="","",LOWER(TRIM(SUBSTITUTE(SUBSTITUTE(A881,"?",""),"*",""))))</f>
        <v/>
      </c>
      <c r="N881">
        <f>IF(M881="","",IF(SUMPRODUCT(ISNUMBER(SEARCH(" "&amp;Settings!$L$5:$L$124&amp;" "," "&amp;M881&amp;" "))*(Settings!$K$5:$K$124="Navigational")*(Settings!$L$5:$L$124&lt;&gt;""))&gt;0,"Navigational",IF(SUMPRODUCT(ISNUMBER(SEARCH(" "&amp;Settings!$L$5:$L$124&amp;" "," "&amp;M881&amp;" "))*(Settings!$K$5:$K$124="Transactional")*(Settings!$L$5:$L$124&lt;&gt;""))&gt;0,"Transactional",IF(SUMPRODUCT(ISNUMBER(SEARCH(" "&amp;Settings!$L$5:$L$124&amp;" "," "&amp;M881&amp;" "))*(Settings!$K$5:$K$124="Commercial")*(Settings!$L$5:$L$124&lt;&gt;""))&gt;0,"Commercial",IF(SUMPRODUCT(ISNUMBER(SEARCH(" "&amp;Settings!$L$5:$L$124&amp;" "," "&amp;M881&amp;" "))*(Settings!$K$5:$K$124="Informational")*(Settings!$L$5:$L$124&lt;&gt;""))&gt;0,"Informational","Unclassified")))))</f>
        <v/>
      </c>
      <c r="O881">
        <f>IF(A881="","",IF(K881&lt;&gt;"",PROPER(K881),N881))</f>
        <v/>
      </c>
      <c r="P881">
        <f>IF(A881="","",ROUND(Settings!$B$5*MIN(1,LOG10(N(C881)+1)/LOG10(Settings!$B$7+1))+Settings!$B$6*(1-MIN(100,IF(D881="",50,N(D881)))/100)+IFERROR(INDEX(Settings!$B$10:$B$14,MATCH(O881,Settings!$A$10:$A$14,0)),0),0))</f>
        <v/>
      </c>
      <c r="Q881">
        <f>IF(OR(A881="",G881=""),"",COUNTIFS($M$3:$M$1002,M881,$G$3:$G$1002,"&lt;&gt;"&amp;SUBSTITUTE(SUBSTITUTE(G881,"?","~?"),"*","~*"),$G$3:$G$1002,"?*"))</f>
        <v/>
      </c>
      <c r="R881">
        <f>IF(Q881="","",IF(Q881&gt;0,"Yes","No"))</f>
        <v/>
      </c>
      <c r="S881">
        <f>IF(G881="","",COUNTIFS($G$3:$G$1002,SUBSTITUTE(SUBSTITUTE(G881,"?","~?"),"*","~*"),$J$3:$J$1002,"Primary"))</f>
        <v/>
      </c>
      <c r="T881">
        <f>IF(S881="","",IF(S881&gt;Settings!$B$4,"Yes","No"))</f>
        <v/>
      </c>
      <c r="U881">
        <f>IF(OR(G881="",B881=""),"",IF(COUNTIFS($G$3:$G$1002,SUBSTITUTE(SUBSTITUTE(G881,"?","~?"),"*","~*"),$B$3:$B$1002,"&lt;&gt;"&amp;SUBSTITUTE(SUBSTITUTE(B881,"?","~?"),"*","~*"),$B$3:$B$1002,"?*")&gt;0,"Yes","No"))</f>
        <v/>
      </c>
      <c r="V881">
        <f>IF(OR(G881="",I881="",O881="",O881="Unclassified"),"",IFERROR(INDEX(Settings!$E$5:$H$16,MATCH(I881,Settings!$D$5:$D$16,0),MATCH(O881,Settings!$E$4:$H$4,0)),"Check"))</f>
        <v/>
      </c>
      <c r="W881">
        <f>IF(V881="","",IF(V881="No","Yes","No"))</f>
        <v/>
      </c>
      <c r="X881">
        <f>IF(OR(E881="",G881=""),"",IF(LOWER(IF(RIGHT(TRIM(E881),1)="/",LEFT(TRIM(E881),LEN(TRIM(E881))-1),TRIM(E881)))&lt;&gt;LOWER(IF(RIGHT(TRIM(G881),1)="/",LEFT(TRIM(G881),LEN(TRIM(G881))-1),TRIM(G881))),"Yes","No"))</f>
        <v/>
      </c>
      <c r="Y881">
        <f>IF(A881="","",(N(Q881)&gt;0)+(T881="Yes")+(U881="Yes")+(W881="Yes")+(X881="Yes"))</f>
        <v/>
      </c>
      <c r="Z881">
        <f>IF(A881="","",IF(G881="","Not mapped",IF(Y881=0,"OK",MID(IF(N(Q881)&gt;0,"; Cannibalisation","")&amp;IF(T881="Yes","; Too many primary keywords on URL","")&amp;IF(U881="Yes","; URL spans 2+ clusters","")&amp;IF(W881="Yes","; Intent mismatch","")&amp;IF(X881="Yes","; Ranking URL is not the target",""),3,300))))</f>
        <v/>
      </c>
      <c r="AA881">
        <f>IF(G881="","",IF(COUNTIF($G$3:G881,SUBSTITUTE(SUBSTITUTE(G881,"?","~?"),"*","~*"))=1,MAX($AA$2:AA880)+1,""))</f>
        <v/>
      </c>
      <c r="AB881">
        <f>IF(B881="","",IF(COUNTIF($B$3:B881,SUBSTITUTE(SUBSTITUTE(B881,"?","~?"),"*","~*"))=1,MAX($AB$2:AB880)+1,""))</f>
        <v/>
      </c>
    </row>
    <row r="882">
      <c r="M882">
        <f>IF(A882="","",LOWER(TRIM(SUBSTITUTE(SUBSTITUTE(A882,"?",""),"*",""))))</f>
        <v/>
      </c>
      <c r="N882">
        <f>IF(M882="","",IF(SUMPRODUCT(ISNUMBER(SEARCH(" "&amp;Settings!$L$5:$L$124&amp;" "," "&amp;M882&amp;" "))*(Settings!$K$5:$K$124="Navigational")*(Settings!$L$5:$L$124&lt;&gt;""))&gt;0,"Navigational",IF(SUMPRODUCT(ISNUMBER(SEARCH(" "&amp;Settings!$L$5:$L$124&amp;" "," "&amp;M882&amp;" "))*(Settings!$K$5:$K$124="Transactional")*(Settings!$L$5:$L$124&lt;&gt;""))&gt;0,"Transactional",IF(SUMPRODUCT(ISNUMBER(SEARCH(" "&amp;Settings!$L$5:$L$124&amp;" "," "&amp;M882&amp;" "))*(Settings!$K$5:$K$124="Commercial")*(Settings!$L$5:$L$124&lt;&gt;""))&gt;0,"Commercial",IF(SUMPRODUCT(ISNUMBER(SEARCH(" "&amp;Settings!$L$5:$L$124&amp;" "," "&amp;M882&amp;" "))*(Settings!$K$5:$K$124="Informational")*(Settings!$L$5:$L$124&lt;&gt;""))&gt;0,"Informational","Unclassified")))))</f>
        <v/>
      </c>
      <c r="O882">
        <f>IF(A882="","",IF(K882&lt;&gt;"",PROPER(K882),N882))</f>
        <v/>
      </c>
      <c r="P882">
        <f>IF(A882="","",ROUND(Settings!$B$5*MIN(1,LOG10(N(C882)+1)/LOG10(Settings!$B$7+1))+Settings!$B$6*(1-MIN(100,IF(D882="",50,N(D882)))/100)+IFERROR(INDEX(Settings!$B$10:$B$14,MATCH(O882,Settings!$A$10:$A$14,0)),0),0))</f>
        <v/>
      </c>
      <c r="Q882">
        <f>IF(OR(A882="",G882=""),"",COUNTIFS($M$3:$M$1002,M882,$G$3:$G$1002,"&lt;&gt;"&amp;SUBSTITUTE(SUBSTITUTE(G882,"?","~?"),"*","~*"),$G$3:$G$1002,"?*"))</f>
        <v/>
      </c>
      <c r="R882">
        <f>IF(Q882="","",IF(Q882&gt;0,"Yes","No"))</f>
        <v/>
      </c>
      <c r="S882">
        <f>IF(G882="","",COUNTIFS($G$3:$G$1002,SUBSTITUTE(SUBSTITUTE(G882,"?","~?"),"*","~*"),$J$3:$J$1002,"Primary"))</f>
        <v/>
      </c>
      <c r="T882">
        <f>IF(S882="","",IF(S882&gt;Settings!$B$4,"Yes","No"))</f>
        <v/>
      </c>
      <c r="U882">
        <f>IF(OR(G882="",B882=""),"",IF(COUNTIFS($G$3:$G$1002,SUBSTITUTE(SUBSTITUTE(G882,"?","~?"),"*","~*"),$B$3:$B$1002,"&lt;&gt;"&amp;SUBSTITUTE(SUBSTITUTE(B882,"?","~?"),"*","~*"),$B$3:$B$1002,"?*")&gt;0,"Yes","No"))</f>
        <v/>
      </c>
      <c r="V882">
        <f>IF(OR(G882="",I882="",O882="",O882="Unclassified"),"",IFERROR(INDEX(Settings!$E$5:$H$16,MATCH(I882,Settings!$D$5:$D$16,0),MATCH(O882,Settings!$E$4:$H$4,0)),"Check"))</f>
        <v/>
      </c>
      <c r="W882">
        <f>IF(V882="","",IF(V882="No","Yes","No"))</f>
        <v/>
      </c>
      <c r="X882">
        <f>IF(OR(E882="",G882=""),"",IF(LOWER(IF(RIGHT(TRIM(E882),1)="/",LEFT(TRIM(E882),LEN(TRIM(E882))-1),TRIM(E882)))&lt;&gt;LOWER(IF(RIGHT(TRIM(G882),1)="/",LEFT(TRIM(G882),LEN(TRIM(G882))-1),TRIM(G882))),"Yes","No"))</f>
        <v/>
      </c>
      <c r="Y882">
        <f>IF(A882="","",(N(Q882)&gt;0)+(T882="Yes")+(U882="Yes")+(W882="Yes")+(X882="Yes"))</f>
        <v/>
      </c>
      <c r="Z882">
        <f>IF(A882="","",IF(G882="","Not mapped",IF(Y882=0,"OK",MID(IF(N(Q882)&gt;0,"; Cannibalisation","")&amp;IF(T882="Yes","; Too many primary keywords on URL","")&amp;IF(U882="Yes","; URL spans 2+ clusters","")&amp;IF(W882="Yes","; Intent mismatch","")&amp;IF(X882="Yes","; Ranking URL is not the target",""),3,300))))</f>
        <v/>
      </c>
      <c r="AA882">
        <f>IF(G882="","",IF(COUNTIF($G$3:G882,SUBSTITUTE(SUBSTITUTE(G882,"?","~?"),"*","~*"))=1,MAX($AA$2:AA881)+1,""))</f>
        <v/>
      </c>
      <c r="AB882">
        <f>IF(B882="","",IF(COUNTIF($B$3:B882,SUBSTITUTE(SUBSTITUTE(B882,"?","~?"),"*","~*"))=1,MAX($AB$2:AB881)+1,""))</f>
        <v/>
      </c>
    </row>
    <row r="883">
      <c r="M883">
        <f>IF(A883="","",LOWER(TRIM(SUBSTITUTE(SUBSTITUTE(A883,"?",""),"*",""))))</f>
        <v/>
      </c>
      <c r="N883">
        <f>IF(M883="","",IF(SUMPRODUCT(ISNUMBER(SEARCH(" "&amp;Settings!$L$5:$L$124&amp;" "," "&amp;M883&amp;" "))*(Settings!$K$5:$K$124="Navigational")*(Settings!$L$5:$L$124&lt;&gt;""))&gt;0,"Navigational",IF(SUMPRODUCT(ISNUMBER(SEARCH(" "&amp;Settings!$L$5:$L$124&amp;" "," "&amp;M883&amp;" "))*(Settings!$K$5:$K$124="Transactional")*(Settings!$L$5:$L$124&lt;&gt;""))&gt;0,"Transactional",IF(SUMPRODUCT(ISNUMBER(SEARCH(" "&amp;Settings!$L$5:$L$124&amp;" "," "&amp;M883&amp;" "))*(Settings!$K$5:$K$124="Commercial")*(Settings!$L$5:$L$124&lt;&gt;""))&gt;0,"Commercial",IF(SUMPRODUCT(ISNUMBER(SEARCH(" "&amp;Settings!$L$5:$L$124&amp;" "," "&amp;M883&amp;" "))*(Settings!$K$5:$K$124="Informational")*(Settings!$L$5:$L$124&lt;&gt;""))&gt;0,"Informational","Unclassified")))))</f>
        <v/>
      </c>
      <c r="O883">
        <f>IF(A883="","",IF(K883&lt;&gt;"",PROPER(K883),N883))</f>
        <v/>
      </c>
      <c r="P883">
        <f>IF(A883="","",ROUND(Settings!$B$5*MIN(1,LOG10(N(C883)+1)/LOG10(Settings!$B$7+1))+Settings!$B$6*(1-MIN(100,IF(D883="",50,N(D883)))/100)+IFERROR(INDEX(Settings!$B$10:$B$14,MATCH(O883,Settings!$A$10:$A$14,0)),0),0))</f>
        <v/>
      </c>
      <c r="Q883">
        <f>IF(OR(A883="",G883=""),"",COUNTIFS($M$3:$M$1002,M883,$G$3:$G$1002,"&lt;&gt;"&amp;SUBSTITUTE(SUBSTITUTE(G883,"?","~?"),"*","~*"),$G$3:$G$1002,"?*"))</f>
        <v/>
      </c>
      <c r="R883">
        <f>IF(Q883="","",IF(Q883&gt;0,"Yes","No"))</f>
        <v/>
      </c>
      <c r="S883">
        <f>IF(G883="","",COUNTIFS($G$3:$G$1002,SUBSTITUTE(SUBSTITUTE(G883,"?","~?"),"*","~*"),$J$3:$J$1002,"Primary"))</f>
        <v/>
      </c>
      <c r="T883">
        <f>IF(S883="","",IF(S883&gt;Settings!$B$4,"Yes","No"))</f>
        <v/>
      </c>
      <c r="U883">
        <f>IF(OR(G883="",B883=""),"",IF(COUNTIFS($G$3:$G$1002,SUBSTITUTE(SUBSTITUTE(G883,"?","~?"),"*","~*"),$B$3:$B$1002,"&lt;&gt;"&amp;SUBSTITUTE(SUBSTITUTE(B883,"?","~?"),"*","~*"),$B$3:$B$1002,"?*")&gt;0,"Yes","No"))</f>
        <v/>
      </c>
      <c r="V883">
        <f>IF(OR(G883="",I883="",O883="",O883="Unclassified"),"",IFERROR(INDEX(Settings!$E$5:$H$16,MATCH(I883,Settings!$D$5:$D$16,0),MATCH(O883,Settings!$E$4:$H$4,0)),"Check"))</f>
        <v/>
      </c>
      <c r="W883">
        <f>IF(V883="","",IF(V883="No","Yes","No"))</f>
        <v/>
      </c>
      <c r="X883">
        <f>IF(OR(E883="",G883=""),"",IF(LOWER(IF(RIGHT(TRIM(E883),1)="/",LEFT(TRIM(E883),LEN(TRIM(E883))-1),TRIM(E883)))&lt;&gt;LOWER(IF(RIGHT(TRIM(G883),1)="/",LEFT(TRIM(G883),LEN(TRIM(G883))-1),TRIM(G883))),"Yes","No"))</f>
        <v/>
      </c>
      <c r="Y883">
        <f>IF(A883="","",(N(Q883)&gt;0)+(T883="Yes")+(U883="Yes")+(W883="Yes")+(X883="Yes"))</f>
        <v/>
      </c>
      <c r="Z883">
        <f>IF(A883="","",IF(G883="","Not mapped",IF(Y883=0,"OK",MID(IF(N(Q883)&gt;0,"; Cannibalisation","")&amp;IF(T883="Yes","; Too many primary keywords on URL","")&amp;IF(U883="Yes","; URL spans 2+ clusters","")&amp;IF(W883="Yes","; Intent mismatch","")&amp;IF(X883="Yes","; Ranking URL is not the target",""),3,300))))</f>
        <v/>
      </c>
      <c r="AA883">
        <f>IF(G883="","",IF(COUNTIF($G$3:G883,SUBSTITUTE(SUBSTITUTE(G883,"?","~?"),"*","~*"))=1,MAX($AA$2:AA882)+1,""))</f>
        <v/>
      </c>
      <c r="AB883">
        <f>IF(B883="","",IF(COUNTIF($B$3:B883,SUBSTITUTE(SUBSTITUTE(B883,"?","~?"),"*","~*"))=1,MAX($AB$2:AB882)+1,""))</f>
        <v/>
      </c>
    </row>
    <row r="884">
      <c r="M884">
        <f>IF(A884="","",LOWER(TRIM(SUBSTITUTE(SUBSTITUTE(A884,"?",""),"*",""))))</f>
        <v/>
      </c>
      <c r="N884">
        <f>IF(M884="","",IF(SUMPRODUCT(ISNUMBER(SEARCH(" "&amp;Settings!$L$5:$L$124&amp;" "," "&amp;M884&amp;" "))*(Settings!$K$5:$K$124="Navigational")*(Settings!$L$5:$L$124&lt;&gt;""))&gt;0,"Navigational",IF(SUMPRODUCT(ISNUMBER(SEARCH(" "&amp;Settings!$L$5:$L$124&amp;" "," "&amp;M884&amp;" "))*(Settings!$K$5:$K$124="Transactional")*(Settings!$L$5:$L$124&lt;&gt;""))&gt;0,"Transactional",IF(SUMPRODUCT(ISNUMBER(SEARCH(" "&amp;Settings!$L$5:$L$124&amp;" "," "&amp;M884&amp;" "))*(Settings!$K$5:$K$124="Commercial")*(Settings!$L$5:$L$124&lt;&gt;""))&gt;0,"Commercial",IF(SUMPRODUCT(ISNUMBER(SEARCH(" "&amp;Settings!$L$5:$L$124&amp;" "," "&amp;M884&amp;" "))*(Settings!$K$5:$K$124="Informational")*(Settings!$L$5:$L$124&lt;&gt;""))&gt;0,"Informational","Unclassified")))))</f>
        <v/>
      </c>
      <c r="O884">
        <f>IF(A884="","",IF(K884&lt;&gt;"",PROPER(K884),N884))</f>
        <v/>
      </c>
      <c r="P884">
        <f>IF(A884="","",ROUND(Settings!$B$5*MIN(1,LOG10(N(C884)+1)/LOG10(Settings!$B$7+1))+Settings!$B$6*(1-MIN(100,IF(D884="",50,N(D884)))/100)+IFERROR(INDEX(Settings!$B$10:$B$14,MATCH(O884,Settings!$A$10:$A$14,0)),0),0))</f>
        <v/>
      </c>
      <c r="Q884">
        <f>IF(OR(A884="",G884=""),"",COUNTIFS($M$3:$M$1002,M884,$G$3:$G$1002,"&lt;&gt;"&amp;SUBSTITUTE(SUBSTITUTE(G884,"?","~?"),"*","~*"),$G$3:$G$1002,"?*"))</f>
        <v/>
      </c>
      <c r="R884">
        <f>IF(Q884="","",IF(Q884&gt;0,"Yes","No"))</f>
        <v/>
      </c>
      <c r="S884">
        <f>IF(G884="","",COUNTIFS($G$3:$G$1002,SUBSTITUTE(SUBSTITUTE(G884,"?","~?"),"*","~*"),$J$3:$J$1002,"Primary"))</f>
        <v/>
      </c>
      <c r="T884">
        <f>IF(S884="","",IF(S884&gt;Settings!$B$4,"Yes","No"))</f>
        <v/>
      </c>
      <c r="U884">
        <f>IF(OR(G884="",B884=""),"",IF(COUNTIFS($G$3:$G$1002,SUBSTITUTE(SUBSTITUTE(G884,"?","~?"),"*","~*"),$B$3:$B$1002,"&lt;&gt;"&amp;SUBSTITUTE(SUBSTITUTE(B884,"?","~?"),"*","~*"),$B$3:$B$1002,"?*")&gt;0,"Yes","No"))</f>
        <v/>
      </c>
      <c r="V884">
        <f>IF(OR(G884="",I884="",O884="",O884="Unclassified"),"",IFERROR(INDEX(Settings!$E$5:$H$16,MATCH(I884,Settings!$D$5:$D$16,0),MATCH(O884,Settings!$E$4:$H$4,0)),"Check"))</f>
        <v/>
      </c>
      <c r="W884">
        <f>IF(V884="","",IF(V884="No","Yes","No"))</f>
        <v/>
      </c>
      <c r="X884">
        <f>IF(OR(E884="",G884=""),"",IF(LOWER(IF(RIGHT(TRIM(E884),1)="/",LEFT(TRIM(E884),LEN(TRIM(E884))-1),TRIM(E884)))&lt;&gt;LOWER(IF(RIGHT(TRIM(G884),1)="/",LEFT(TRIM(G884),LEN(TRIM(G884))-1),TRIM(G884))),"Yes","No"))</f>
        <v/>
      </c>
      <c r="Y884">
        <f>IF(A884="","",(N(Q884)&gt;0)+(T884="Yes")+(U884="Yes")+(W884="Yes")+(X884="Yes"))</f>
        <v/>
      </c>
      <c r="Z884">
        <f>IF(A884="","",IF(G884="","Not mapped",IF(Y884=0,"OK",MID(IF(N(Q884)&gt;0,"; Cannibalisation","")&amp;IF(T884="Yes","; Too many primary keywords on URL","")&amp;IF(U884="Yes","; URL spans 2+ clusters","")&amp;IF(W884="Yes","; Intent mismatch","")&amp;IF(X884="Yes","; Ranking URL is not the target",""),3,300))))</f>
        <v/>
      </c>
      <c r="AA884">
        <f>IF(G884="","",IF(COUNTIF($G$3:G884,SUBSTITUTE(SUBSTITUTE(G884,"?","~?"),"*","~*"))=1,MAX($AA$2:AA883)+1,""))</f>
        <v/>
      </c>
      <c r="AB884">
        <f>IF(B884="","",IF(COUNTIF($B$3:B884,SUBSTITUTE(SUBSTITUTE(B884,"?","~?"),"*","~*"))=1,MAX($AB$2:AB883)+1,""))</f>
        <v/>
      </c>
    </row>
    <row r="885">
      <c r="M885">
        <f>IF(A885="","",LOWER(TRIM(SUBSTITUTE(SUBSTITUTE(A885,"?",""),"*",""))))</f>
        <v/>
      </c>
      <c r="N885">
        <f>IF(M885="","",IF(SUMPRODUCT(ISNUMBER(SEARCH(" "&amp;Settings!$L$5:$L$124&amp;" "," "&amp;M885&amp;" "))*(Settings!$K$5:$K$124="Navigational")*(Settings!$L$5:$L$124&lt;&gt;""))&gt;0,"Navigational",IF(SUMPRODUCT(ISNUMBER(SEARCH(" "&amp;Settings!$L$5:$L$124&amp;" "," "&amp;M885&amp;" "))*(Settings!$K$5:$K$124="Transactional")*(Settings!$L$5:$L$124&lt;&gt;""))&gt;0,"Transactional",IF(SUMPRODUCT(ISNUMBER(SEARCH(" "&amp;Settings!$L$5:$L$124&amp;" "," "&amp;M885&amp;" "))*(Settings!$K$5:$K$124="Commercial")*(Settings!$L$5:$L$124&lt;&gt;""))&gt;0,"Commercial",IF(SUMPRODUCT(ISNUMBER(SEARCH(" "&amp;Settings!$L$5:$L$124&amp;" "," "&amp;M885&amp;" "))*(Settings!$K$5:$K$124="Informational")*(Settings!$L$5:$L$124&lt;&gt;""))&gt;0,"Informational","Unclassified")))))</f>
        <v/>
      </c>
      <c r="O885">
        <f>IF(A885="","",IF(K885&lt;&gt;"",PROPER(K885),N885))</f>
        <v/>
      </c>
      <c r="P885">
        <f>IF(A885="","",ROUND(Settings!$B$5*MIN(1,LOG10(N(C885)+1)/LOG10(Settings!$B$7+1))+Settings!$B$6*(1-MIN(100,IF(D885="",50,N(D885)))/100)+IFERROR(INDEX(Settings!$B$10:$B$14,MATCH(O885,Settings!$A$10:$A$14,0)),0),0))</f>
        <v/>
      </c>
      <c r="Q885">
        <f>IF(OR(A885="",G885=""),"",COUNTIFS($M$3:$M$1002,M885,$G$3:$G$1002,"&lt;&gt;"&amp;SUBSTITUTE(SUBSTITUTE(G885,"?","~?"),"*","~*"),$G$3:$G$1002,"?*"))</f>
        <v/>
      </c>
      <c r="R885">
        <f>IF(Q885="","",IF(Q885&gt;0,"Yes","No"))</f>
        <v/>
      </c>
      <c r="S885">
        <f>IF(G885="","",COUNTIFS($G$3:$G$1002,SUBSTITUTE(SUBSTITUTE(G885,"?","~?"),"*","~*"),$J$3:$J$1002,"Primary"))</f>
        <v/>
      </c>
      <c r="T885">
        <f>IF(S885="","",IF(S885&gt;Settings!$B$4,"Yes","No"))</f>
        <v/>
      </c>
      <c r="U885">
        <f>IF(OR(G885="",B885=""),"",IF(COUNTIFS($G$3:$G$1002,SUBSTITUTE(SUBSTITUTE(G885,"?","~?"),"*","~*"),$B$3:$B$1002,"&lt;&gt;"&amp;SUBSTITUTE(SUBSTITUTE(B885,"?","~?"),"*","~*"),$B$3:$B$1002,"?*")&gt;0,"Yes","No"))</f>
        <v/>
      </c>
      <c r="V885">
        <f>IF(OR(G885="",I885="",O885="",O885="Unclassified"),"",IFERROR(INDEX(Settings!$E$5:$H$16,MATCH(I885,Settings!$D$5:$D$16,0),MATCH(O885,Settings!$E$4:$H$4,0)),"Check"))</f>
        <v/>
      </c>
      <c r="W885">
        <f>IF(V885="","",IF(V885="No","Yes","No"))</f>
        <v/>
      </c>
      <c r="X885">
        <f>IF(OR(E885="",G885=""),"",IF(LOWER(IF(RIGHT(TRIM(E885),1)="/",LEFT(TRIM(E885),LEN(TRIM(E885))-1),TRIM(E885)))&lt;&gt;LOWER(IF(RIGHT(TRIM(G885),1)="/",LEFT(TRIM(G885),LEN(TRIM(G885))-1),TRIM(G885))),"Yes","No"))</f>
        <v/>
      </c>
      <c r="Y885">
        <f>IF(A885="","",(N(Q885)&gt;0)+(T885="Yes")+(U885="Yes")+(W885="Yes")+(X885="Yes"))</f>
        <v/>
      </c>
      <c r="Z885">
        <f>IF(A885="","",IF(G885="","Not mapped",IF(Y885=0,"OK",MID(IF(N(Q885)&gt;0,"; Cannibalisation","")&amp;IF(T885="Yes","; Too many primary keywords on URL","")&amp;IF(U885="Yes","; URL spans 2+ clusters","")&amp;IF(W885="Yes","; Intent mismatch","")&amp;IF(X885="Yes","; Ranking URL is not the target",""),3,300))))</f>
        <v/>
      </c>
      <c r="AA885">
        <f>IF(G885="","",IF(COUNTIF($G$3:G885,SUBSTITUTE(SUBSTITUTE(G885,"?","~?"),"*","~*"))=1,MAX($AA$2:AA884)+1,""))</f>
        <v/>
      </c>
      <c r="AB885">
        <f>IF(B885="","",IF(COUNTIF($B$3:B885,SUBSTITUTE(SUBSTITUTE(B885,"?","~?"),"*","~*"))=1,MAX($AB$2:AB884)+1,""))</f>
        <v/>
      </c>
    </row>
    <row r="886">
      <c r="M886">
        <f>IF(A886="","",LOWER(TRIM(SUBSTITUTE(SUBSTITUTE(A886,"?",""),"*",""))))</f>
        <v/>
      </c>
      <c r="N886">
        <f>IF(M886="","",IF(SUMPRODUCT(ISNUMBER(SEARCH(" "&amp;Settings!$L$5:$L$124&amp;" "," "&amp;M886&amp;" "))*(Settings!$K$5:$K$124="Navigational")*(Settings!$L$5:$L$124&lt;&gt;""))&gt;0,"Navigational",IF(SUMPRODUCT(ISNUMBER(SEARCH(" "&amp;Settings!$L$5:$L$124&amp;" "," "&amp;M886&amp;" "))*(Settings!$K$5:$K$124="Transactional")*(Settings!$L$5:$L$124&lt;&gt;""))&gt;0,"Transactional",IF(SUMPRODUCT(ISNUMBER(SEARCH(" "&amp;Settings!$L$5:$L$124&amp;" "," "&amp;M886&amp;" "))*(Settings!$K$5:$K$124="Commercial")*(Settings!$L$5:$L$124&lt;&gt;""))&gt;0,"Commercial",IF(SUMPRODUCT(ISNUMBER(SEARCH(" "&amp;Settings!$L$5:$L$124&amp;" "," "&amp;M886&amp;" "))*(Settings!$K$5:$K$124="Informational")*(Settings!$L$5:$L$124&lt;&gt;""))&gt;0,"Informational","Unclassified")))))</f>
        <v/>
      </c>
      <c r="O886">
        <f>IF(A886="","",IF(K886&lt;&gt;"",PROPER(K886),N886))</f>
        <v/>
      </c>
      <c r="P886">
        <f>IF(A886="","",ROUND(Settings!$B$5*MIN(1,LOG10(N(C886)+1)/LOG10(Settings!$B$7+1))+Settings!$B$6*(1-MIN(100,IF(D886="",50,N(D886)))/100)+IFERROR(INDEX(Settings!$B$10:$B$14,MATCH(O886,Settings!$A$10:$A$14,0)),0),0))</f>
        <v/>
      </c>
      <c r="Q886">
        <f>IF(OR(A886="",G886=""),"",COUNTIFS($M$3:$M$1002,M886,$G$3:$G$1002,"&lt;&gt;"&amp;SUBSTITUTE(SUBSTITUTE(G886,"?","~?"),"*","~*"),$G$3:$G$1002,"?*"))</f>
        <v/>
      </c>
      <c r="R886">
        <f>IF(Q886="","",IF(Q886&gt;0,"Yes","No"))</f>
        <v/>
      </c>
      <c r="S886">
        <f>IF(G886="","",COUNTIFS($G$3:$G$1002,SUBSTITUTE(SUBSTITUTE(G886,"?","~?"),"*","~*"),$J$3:$J$1002,"Primary"))</f>
        <v/>
      </c>
      <c r="T886">
        <f>IF(S886="","",IF(S886&gt;Settings!$B$4,"Yes","No"))</f>
        <v/>
      </c>
      <c r="U886">
        <f>IF(OR(G886="",B886=""),"",IF(COUNTIFS($G$3:$G$1002,SUBSTITUTE(SUBSTITUTE(G886,"?","~?"),"*","~*"),$B$3:$B$1002,"&lt;&gt;"&amp;SUBSTITUTE(SUBSTITUTE(B886,"?","~?"),"*","~*"),$B$3:$B$1002,"?*")&gt;0,"Yes","No"))</f>
        <v/>
      </c>
      <c r="V886">
        <f>IF(OR(G886="",I886="",O886="",O886="Unclassified"),"",IFERROR(INDEX(Settings!$E$5:$H$16,MATCH(I886,Settings!$D$5:$D$16,0),MATCH(O886,Settings!$E$4:$H$4,0)),"Check"))</f>
        <v/>
      </c>
      <c r="W886">
        <f>IF(V886="","",IF(V886="No","Yes","No"))</f>
        <v/>
      </c>
      <c r="X886">
        <f>IF(OR(E886="",G886=""),"",IF(LOWER(IF(RIGHT(TRIM(E886),1)="/",LEFT(TRIM(E886),LEN(TRIM(E886))-1),TRIM(E886)))&lt;&gt;LOWER(IF(RIGHT(TRIM(G886),1)="/",LEFT(TRIM(G886),LEN(TRIM(G886))-1),TRIM(G886))),"Yes","No"))</f>
        <v/>
      </c>
      <c r="Y886">
        <f>IF(A886="","",(N(Q886)&gt;0)+(T886="Yes")+(U886="Yes")+(W886="Yes")+(X886="Yes"))</f>
        <v/>
      </c>
      <c r="Z886">
        <f>IF(A886="","",IF(G886="","Not mapped",IF(Y886=0,"OK",MID(IF(N(Q886)&gt;0,"; Cannibalisation","")&amp;IF(T886="Yes","; Too many primary keywords on URL","")&amp;IF(U886="Yes","; URL spans 2+ clusters","")&amp;IF(W886="Yes","; Intent mismatch","")&amp;IF(X886="Yes","; Ranking URL is not the target",""),3,300))))</f>
        <v/>
      </c>
      <c r="AA886">
        <f>IF(G886="","",IF(COUNTIF($G$3:G886,SUBSTITUTE(SUBSTITUTE(G886,"?","~?"),"*","~*"))=1,MAX($AA$2:AA885)+1,""))</f>
        <v/>
      </c>
      <c r="AB886">
        <f>IF(B886="","",IF(COUNTIF($B$3:B886,SUBSTITUTE(SUBSTITUTE(B886,"?","~?"),"*","~*"))=1,MAX($AB$2:AB885)+1,""))</f>
        <v/>
      </c>
    </row>
    <row r="887">
      <c r="M887">
        <f>IF(A887="","",LOWER(TRIM(SUBSTITUTE(SUBSTITUTE(A887,"?",""),"*",""))))</f>
        <v/>
      </c>
      <c r="N887">
        <f>IF(M887="","",IF(SUMPRODUCT(ISNUMBER(SEARCH(" "&amp;Settings!$L$5:$L$124&amp;" "," "&amp;M887&amp;" "))*(Settings!$K$5:$K$124="Navigational")*(Settings!$L$5:$L$124&lt;&gt;""))&gt;0,"Navigational",IF(SUMPRODUCT(ISNUMBER(SEARCH(" "&amp;Settings!$L$5:$L$124&amp;" "," "&amp;M887&amp;" "))*(Settings!$K$5:$K$124="Transactional")*(Settings!$L$5:$L$124&lt;&gt;""))&gt;0,"Transactional",IF(SUMPRODUCT(ISNUMBER(SEARCH(" "&amp;Settings!$L$5:$L$124&amp;" "," "&amp;M887&amp;" "))*(Settings!$K$5:$K$124="Commercial")*(Settings!$L$5:$L$124&lt;&gt;""))&gt;0,"Commercial",IF(SUMPRODUCT(ISNUMBER(SEARCH(" "&amp;Settings!$L$5:$L$124&amp;" "," "&amp;M887&amp;" "))*(Settings!$K$5:$K$124="Informational")*(Settings!$L$5:$L$124&lt;&gt;""))&gt;0,"Informational","Unclassified")))))</f>
        <v/>
      </c>
      <c r="O887">
        <f>IF(A887="","",IF(K887&lt;&gt;"",PROPER(K887),N887))</f>
        <v/>
      </c>
      <c r="P887">
        <f>IF(A887="","",ROUND(Settings!$B$5*MIN(1,LOG10(N(C887)+1)/LOG10(Settings!$B$7+1))+Settings!$B$6*(1-MIN(100,IF(D887="",50,N(D887)))/100)+IFERROR(INDEX(Settings!$B$10:$B$14,MATCH(O887,Settings!$A$10:$A$14,0)),0),0))</f>
        <v/>
      </c>
      <c r="Q887">
        <f>IF(OR(A887="",G887=""),"",COUNTIFS($M$3:$M$1002,M887,$G$3:$G$1002,"&lt;&gt;"&amp;SUBSTITUTE(SUBSTITUTE(G887,"?","~?"),"*","~*"),$G$3:$G$1002,"?*"))</f>
        <v/>
      </c>
      <c r="R887">
        <f>IF(Q887="","",IF(Q887&gt;0,"Yes","No"))</f>
        <v/>
      </c>
      <c r="S887">
        <f>IF(G887="","",COUNTIFS($G$3:$G$1002,SUBSTITUTE(SUBSTITUTE(G887,"?","~?"),"*","~*"),$J$3:$J$1002,"Primary"))</f>
        <v/>
      </c>
      <c r="T887">
        <f>IF(S887="","",IF(S887&gt;Settings!$B$4,"Yes","No"))</f>
        <v/>
      </c>
      <c r="U887">
        <f>IF(OR(G887="",B887=""),"",IF(COUNTIFS($G$3:$G$1002,SUBSTITUTE(SUBSTITUTE(G887,"?","~?"),"*","~*"),$B$3:$B$1002,"&lt;&gt;"&amp;SUBSTITUTE(SUBSTITUTE(B887,"?","~?"),"*","~*"),$B$3:$B$1002,"?*")&gt;0,"Yes","No"))</f>
        <v/>
      </c>
      <c r="V887">
        <f>IF(OR(G887="",I887="",O887="",O887="Unclassified"),"",IFERROR(INDEX(Settings!$E$5:$H$16,MATCH(I887,Settings!$D$5:$D$16,0),MATCH(O887,Settings!$E$4:$H$4,0)),"Check"))</f>
        <v/>
      </c>
      <c r="W887">
        <f>IF(V887="","",IF(V887="No","Yes","No"))</f>
        <v/>
      </c>
      <c r="X887">
        <f>IF(OR(E887="",G887=""),"",IF(LOWER(IF(RIGHT(TRIM(E887),1)="/",LEFT(TRIM(E887),LEN(TRIM(E887))-1),TRIM(E887)))&lt;&gt;LOWER(IF(RIGHT(TRIM(G887),1)="/",LEFT(TRIM(G887),LEN(TRIM(G887))-1),TRIM(G887))),"Yes","No"))</f>
        <v/>
      </c>
      <c r="Y887">
        <f>IF(A887="","",(N(Q887)&gt;0)+(T887="Yes")+(U887="Yes")+(W887="Yes")+(X887="Yes"))</f>
        <v/>
      </c>
      <c r="Z887">
        <f>IF(A887="","",IF(G887="","Not mapped",IF(Y887=0,"OK",MID(IF(N(Q887)&gt;0,"; Cannibalisation","")&amp;IF(T887="Yes","; Too many primary keywords on URL","")&amp;IF(U887="Yes","; URL spans 2+ clusters","")&amp;IF(W887="Yes","; Intent mismatch","")&amp;IF(X887="Yes","; Ranking URL is not the target",""),3,300))))</f>
        <v/>
      </c>
      <c r="AA887">
        <f>IF(G887="","",IF(COUNTIF($G$3:G887,SUBSTITUTE(SUBSTITUTE(G887,"?","~?"),"*","~*"))=1,MAX($AA$2:AA886)+1,""))</f>
        <v/>
      </c>
      <c r="AB887">
        <f>IF(B887="","",IF(COUNTIF($B$3:B887,SUBSTITUTE(SUBSTITUTE(B887,"?","~?"),"*","~*"))=1,MAX($AB$2:AB886)+1,""))</f>
        <v/>
      </c>
    </row>
    <row r="888">
      <c r="M888">
        <f>IF(A888="","",LOWER(TRIM(SUBSTITUTE(SUBSTITUTE(A888,"?",""),"*",""))))</f>
        <v/>
      </c>
      <c r="N888">
        <f>IF(M888="","",IF(SUMPRODUCT(ISNUMBER(SEARCH(" "&amp;Settings!$L$5:$L$124&amp;" "," "&amp;M888&amp;" "))*(Settings!$K$5:$K$124="Navigational")*(Settings!$L$5:$L$124&lt;&gt;""))&gt;0,"Navigational",IF(SUMPRODUCT(ISNUMBER(SEARCH(" "&amp;Settings!$L$5:$L$124&amp;" "," "&amp;M888&amp;" "))*(Settings!$K$5:$K$124="Transactional")*(Settings!$L$5:$L$124&lt;&gt;""))&gt;0,"Transactional",IF(SUMPRODUCT(ISNUMBER(SEARCH(" "&amp;Settings!$L$5:$L$124&amp;" "," "&amp;M888&amp;" "))*(Settings!$K$5:$K$124="Commercial")*(Settings!$L$5:$L$124&lt;&gt;""))&gt;0,"Commercial",IF(SUMPRODUCT(ISNUMBER(SEARCH(" "&amp;Settings!$L$5:$L$124&amp;" "," "&amp;M888&amp;" "))*(Settings!$K$5:$K$124="Informational")*(Settings!$L$5:$L$124&lt;&gt;""))&gt;0,"Informational","Unclassified")))))</f>
        <v/>
      </c>
      <c r="O888">
        <f>IF(A888="","",IF(K888&lt;&gt;"",PROPER(K888),N888))</f>
        <v/>
      </c>
      <c r="P888">
        <f>IF(A888="","",ROUND(Settings!$B$5*MIN(1,LOG10(N(C888)+1)/LOG10(Settings!$B$7+1))+Settings!$B$6*(1-MIN(100,IF(D888="",50,N(D888)))/100)+IFERROR(INDEX(Settings!$B$10:$B$14,MATCH(O888,Settings!$A$10:$A$14,0)),0),0))</f>
        <v/>
      </c>
      <c r="Q888">
        <f>IF(OR(A888="",G888=""),"",COUNTIFS($M$3:$M$1002,M888,$G$3:$G$1002,"&lt;&gt;"&amp;SUBSTITUTE(SUBSTITUTE(G888,"?","~?"),"*","~*"),$G$3:$G$1002,"?*"))</f>
        <v/>
      </c>
      <c r="R888">
        <f>IF(Q888="","",IF(Q888&gt;0,"Yes","No"))</f>
        <v/>
      </c>
      <c r="S888">
        <f>IF(G888="","",COUNTIFS($G$3:$G$1002,SUBSTITUTE(SUBSTITUTE(G888,"?","~?"),"*","~*"),$J$3:$J$1002,"Primary"))</f>
        <v/>
      </c>
      <c r="T888">
        <f>IF(S888="","",IF(S888&gt;Settings!$B$4,"Yes","No"))</f>
        <v/>
      </c>
      <c r="U888">
        <f>IF(OR(G888="",B888=""),"",IF(COUNTIFS($G$3:$G$1002,SUBSTITUTE(SUBSTITUTE(G888,"?","~?"),"*","~*"),$B$3:$B$1002,"&lt;&gt;"&amp;SUBSTITUTE(SUBSTITUTE(B888,"?","~?"),"*","~*"),$B$3:$B$1002,"?*")&gt;0,"Yes","No"))</f>
        <v/>
      </c>
      <c r="V888">
        <f>IF(OR(G888="",I888="",O888="",O888="Unclassified"),"",IFERROR(INDEX(Settings!$E$5:$H$16,MATCH(I888,Settings!$D$5:$D$16,0),MATCH(O888,Settings!$E$4:$H$4,0)),"Check"))</f>
        <v/>
      </c>
      <c r="W888">
        <f>IF(V888="","",IF(V888="No","Yes","No"))</f>
        <v/>
      </c>
      <c r="X888">
        <f>IF(OR(E888="",G888=""),"",IF(LOWER(IF(RIGHT(TRIM(E888),1)="/",LEFT(TRIM(E888),LEN(TRIM(E888))-1),TRIM(E888)))&lt;&gt;LOWER(IF(RIGHT(TRIM(G888),1)="/",LEFT(TRIM(G888),LEN(TRIM(G888))-1),TRIM(G888))),"Yes","No"))</f>
        <v/>
      </c>
      <c r="Y888">
        <f>IF(A888="","",(N(Q888)&gt;0)+(T888="Yes")+(U888="Yes")+(W888="Yes")+(X888="Yes"))</f>
        <v/>
      </c>
      <c r="Z888">
        <f>IF(A888="","",IF(G888="","Not mapped",IF(Y888=0,"OK",MID(IF(N(Q888)&gt;0,"; Cannibalisation","")&amp;IF(T888="Yes","; Too many primary keywords on URL","")&amp;IF(U888="Yes","; URL spans 2+ clusters","")&amp;IF(W888="Yes","; Intent mismatch","")&amp;IF(X888="Yes","; Ranking URL is not the target",""),3,300))))</f>
        <v/>
      </c>
      <c r="AA888">
        <f>IF(G888="","",IF(COUNTIF($G$3:G888,SUBSTITUTE(SUBSTITUTE(G888,"?","~?"),"*","~*"))=1,MAX($AA$2:AA887)+1,""))</f>
        <v/>
      </c>
      <c r="AB888">
        <f>IF(B888="","",IF(COUNTIF($B$3:B888,SUBSTITUTE(SUBSTITUTE(B888,"?","~?"),"*","~*"))=1,MAX($AB$2:AB887)+1,""))</f>
        <v/>
      </c>
    </row>
    <row r="889">
      <c r="M889">
        <f>IF(A889="","",LOWER(TRIM(SUBSTITUTE(SUBSTITUTE(A889,"?",""),"*",""))))</f>
        <v/>
      </c>
      <c r="N889">
        <f>IF(M889="","",IF(SUMPRODUCT(ISNUMBER(SEARCH(" "&amp;Settings!$L$5:$L$124&amp;" "," "&amp;M889&amp;" "))*(Settings!$K$5:$K$124="Navigational")*(Settings!$L$5:$L$124&lt;&gt;""))&gt;0,"Navigational",IF(SUMPRODUCT(ISNUMBER(SEARCH(" "&amp;Settings!$L$5:$L$124&amp;" "," "&amp;M889&amp;" "))*(Settings!$K$5:$K$124="Transactional")*(Settings!$L$5:$L$124&lt;&gt;""))&gt;0,"Transactional",IF(SUMPRODUCT(ISNUMBER(SEARCH(" "&amp;Settings!$L$5:$L$124&amp;" "," "&amp;M889&amp;" "))*(Settings!$K$5:$K$124="Commercial")*(Settings!$L$5:$L$124&lt;&gt;""))&gt;0,"Commercial",IF(SUMPRODUCT(ISNUMBER(SEARCH(" "&amp;Settings!$L$5:$L$124&amp;" "," "&amp;M889&amp;" "))*(Settings!$K$5:$K$124="Informational")*(Settings!$L$5:$L$124&lt;&gt;""))&gt;0,"Informational","Unclassified")))))</f>
        <v/>
      </c>
      <c r="O889">
        <f>IF(A889="","",IF(K889&lt;&gt;"",PROPER(K889),N889))</f>
        <v/>
      </c>
      <c r="P889">
        <f>IF(A889="","",ROUND(Settings!$B$5*MIN(1,LOG10(N(C889)+1)/LOG10(Settings!$B$7+1))+Settings!$B$6*(1-MIN(100,IF(D889="",50,N(D889)))/100)+IFERROR(INDEX(Settings!$B$10:$B$14,MATCH(O889,Settings!$A$10:$A$14,0)),0),0))</f>
        <v/>
      </c>
      <c r="Q889">
        <f>IF(OR(A889="",G889=""),"",COUNTIFS($M$3:$M$1002,M889,$G$3:$G$1002,"&lt;&gt;"&amp;SUBSTITUTE(SUBSTITUTE(G889,"?","~?"),"*","~*"),$G$3:$G$1002,"?*"))</f>
        <v/>
      </c>
      <c r="R889">
        <f>IF(Q889="","",IF(Q889&gt;0,"Yes","No"))</f>
        <v/>
      </c>
      <c r="S889">
        <f>IF(G889="","",COUNTIFS($G$3:$G$1002,SUBSTITUTE(SUBSTITUTE(G889,"?","~?"),"*","~*"),$J$3:$J$1002,"Primary"))</f>
        <v/>
      </c>
      <c r="T889">
        <f>IF(S889="","",IF(S889&gt;Settings!$B$4,"Yes","No"))</f>
        <v/>
      </c>
      <c r="U889">
        <f>IF(OR(G889="",B889=""),"",IF(COUNTIFS($G$3:$G$1002,SUBSTITUTE(SUBSTITUTE(G889,"?","~?"),"*","~*"),$B$3:$B$1002,"&lt;&gt;"&amp;SUBSTITUTE(SUBSTITUTE(B889,"?","~?"),"*","~*"),$B$3:$B$1002,"?*")&gt;0,"Yes","No"))</f>
        <v/>
      </c>
      <c r="V889">
        <f>IF(OR(G889="",I889="",O889="",O889="Unclassified"),"",IFERROR(INDEX(Settings!$E$5:$H$16,MATCH(I889,Settings!$D$5:$D$16,0),MATCH(O889,Settings!$E$4:$H$4,0)),"Check"))</f>
        <v/>
      </c>
      <c r="W889">
        <f>IF(V889="","",IF(V889="No","Yes","No"))</f>
        <v/>
      </c>
      <c r="X889">
        <f>IF(OR(E889="",G889=""),"",IF(LOWER(IF(RIGHT(TRIM(E889),1)="/",LEFT(TRIM(E889),LEN(TRIM(E889))-1),TRIM(E889)))&lt;&gt;LOWER(IF(RIGHT(TRIM(G889),1)="/",LEFT(TRIM(G889),LEN(TRIM(G889))-1),TRIM(G889))),"Yes","No"))</f>
        <v/>
      </c>
      <c r="Y889">
        <f>IF(A889="","",(N(Q889)&gt;0)+(T889="Yes")+(U889="Yes")+(W889="Yes")+(X889="Yes"))</f>
        <v/>
      </c>
      <c r="Z889">
        <f>IF(A889="","",IF(G889="","Not mapped",IF(Y889=0,"OK",MID(IF(N(Q889)&gt;0,"; Cannibalisation","")&amp;IF(T889="Yes","; Too many primary keywords on URL","")&amp;IF(U889="Yes","; URL spans 2+ clusters","")&amp;IF(W889="Yes","; Intent mismatch","")&amp;IF(X889="Yes","; Ranking URL is not the target",""),3,300))))</f>
        <v/>
      </c>
      <c r="AA889">
        <f>IF(G889="","",IF(COUNTIF($G$3:G889,SUBSTITUTE(SUBSTITUTE(G889,"?","~?"),"*","~*"))=1,MAX($AA$2:AA888)+1,""))</f>
        <v/>
      </c>
      <c r="AB889">
        <f>IF(B889="","",IF(COUNTIF($B$3:B889,SUBSTITUTE(SUBSTITUTE(B889,"?","~?"),"*","~*"))=1,MAX($AB$2:AB888)+1,""))</f>
        <v/>
      </c>
    </row>
    <row r="890">
      <c r="M890">
        <f>IF(A890="","",LOWER(TRIM(SUBSTITUTE(SUBSTITUTE(A890,"?",""),"*",""))))</f>
        <v/>
      </c>
      <c r="N890">
        <f>IF(M890="","",IF(SUMPRODUCT(ISNUMBER(SEARCH(" "&amp;Settings!$L$5:$L$124&amp;" "," "&amp;M890&amp;" "))*(Settings!$K$5:$K$124="Navigational")*(Settings!$L$5:$L$124&lt;&gt;""))&gt;0,"Navigational",IF(SUMPRODUCT(ISNUMBER(SEARCH(" "&amp;Settings!$L$5:$L$124&amp;" "," "&amp;M890&amp;" "))*(Settings!$K$5:$K$124="Transactional")*(Settings!$L$5:$L$124&lt;&gt;""))&gt;0,"Transactional",IF(SUMPRODUCT(ISNUMBER(SEARCH(" "&amp;Settings!$L$5:$L$124&amp;" "," "&amp;M890&amp;" "))*(Settings!$K$5:$K$124="Commercial")*(Settings!$L$5:$L$124&lt;&gt;""))&gt;0,"Commercial",IF(SUMPRODUCT(ISNUMBER(SEARCH(" "&amp;Settings!$L$5:$L$124&amp;" "," "&amp;M890&amp;" "))*(Settings!$K$5:$K$124="Informational")*(Settings!$L$5:$L$124&lt;&gt;""))&gt;0,"Informational","Unclassified")))))</f>
        <v/>
      </c>
      <c r="O890">
        <f>IF(A890="","",IF(K890&lt;&gt;"",PROPER(K890),N890))</f>
        <v/>
      </c>
      <c r="P890">
        <f>IF(A890="","",ROUND(Settings!$B$5*MIN(1,LOG10(N(C890)+1)/LOG10(Settings!$B$7+1))+Settings!$B$6*(1-MIN(100,IF(D890="",50,N(D890)))/100)+IFERROR(INDEX(Settings!$B$10:$B$14,MATCH(O890,Settings!$A$10:$A$14,0)),0),0))</f>
        <v/>
      </c>
      <c r="Q890">
        <f>IF(OR(A890="",G890=""),"",COUNTIFS($M$3:$M$1002,M890,$G$3:$G$1002,"&lt;&gt;"&amp;SUBSTITUTE(SUBSTITUTE(G890,"?","~?"),"*","~*"),$G$3:$G$1002,"?*"))</f>
        <v/>
      </c>
      <c r="R890">
        <f>IF(Q890="","",IF(Q890&gt;0,"Yes","No"))</f>
        <v/>
      </c>
      <c r="S890">
        <f>IF(G890="","",COUNTIFS($G$3:$G$1002,SUBSTITUTE(SUBSTITUTE(G890,"?","~?"),"*","~*"),$J$3:$J$1002,"Primary"))</f>
        <v/>
      </c>
      <c r="T890">
        <f>IF(S890="","",IF(S890&gt;Settings!$B$4,"Yes","No"))</f>
        <v/>
      </c>
      <c r="U890">
        <f>IF(OR(G890="",B890=""),"",IF(COUNTIFS($G$3:$G$1002,SUBSTITUTE(SUBSTITUTE(G890,"?","~?"),"*","~*"),$B$3:$B$1002,"&lt;&gt;"&amp;SUBSTITUTE(SUBSTITUTE(B890,"?","~?"),"*","~*"),$B$3:$B$1002,"?*")&gt;0,"Yes","No"))</f>
        <v/>
      </c>
      <c r="V890">
        <f>IF(OR(G890="",I890="",O890="",O890="Unclassified"),"",IFERROR(INDEX(Settings!$E$5:$H$16,MATCH(I890,Settings!$D$5:$D$16,0),MATCH(O890,Settings!$E$4:$H$4,0)),"Check"))</f>
        <v/>
      </c>
      <c r="W890">
        <f>IF(V890="","",IF(V890="No","Yes","No"))</f>
        <v/>
      </c>
      <c r="X890">
        <f>IF(OR(E890="",G890=""),"",IF(LOWER(IF(RIGHT(TRIM(E890),1)="/",LEFT(TRIM(E890),LEN(TRIM(E890))-1),TRIM(E890)))&lt;&gt;LOWER(IF(RIGHT(TRIM(G890),1)="/",LEFT(TRIM(G890),LEN(TRIM(G890))-1),TRIM(G890))),"Yes","No"))</f>
        <v/>
      </c>
      <c r="Y890">
        <f>IF(A890="","",(N(Q890)&gt;0)+(T890="Yes")+(U890="Yes")+(W890="Yes")+(X890="Yes"))</f>
        <v/>
      </c>
      <c r="Z890">
        <f>IF(A890="","",IF(G890="","Not mapped",IF(Y890=0,"OK",MID(IF(N(Q890)&gt;0,"; Cannibalisation","")&amp;IF(T890="Yes","; Too many primary keywords on URL","")&amp;IF(U890="Yes","; URL spans 2+ clusters","")&amp;IF(W890="Yes","; Intent mismatch","")&amp;IF(X890="Yes","; Ranking URL is not the target",""),3,300))))</f>
        <v/>
      </c>
      <c r="AA890">
        <f>IF(G890="","",IF(COUNTIF($G$3:G890,SUBSTITUTE(SUBSTITUTE(G890,"?","~?"),"*","~*"))=1,MAX($AA$2:AA889)+1,""))</f>
        <v/>
      </c>
      <c r="AB890">
        <f>IF(B890="","",IF(COUNTIF($B$3:B890,SUBSTITUTE(SUBSTITUTE(B890,"?","~?"),"*","~*"))=1,MAX($AB$2:AB889)+1,""))</f>
        <v/>
      </c>
    </row>
    <row r="891">
      <c r="M891">
        <f>IF(A891="","",LOWER(TRIM(SUBSTITUTE(SUBSTITUTE(A891,"?",""),"*",""))))</f>
        <v/>
      </c>
      <c r="N891">
        <f>IF(M891="","",IF(SUMPRODUCT(ISNUMBER(SEARCH(" "&amp;Settings!$L$5:$L$124&amp;" "," "&amp;M891&amp;" "))*(Settings!$K$5:$K$124="Navigational")*(Settings!$L$5:$L$124&lt;&gt;""))&gt;0,"Navigational",IF(SUMPRODUCT(ISNUMBER(SEARCH(" "&amp;Settings!$L$5:$L$124&amp;" "," "&amp;M891&amp;" "))*(Settings!$K$5:$K$124="Transactional")*(Settings!$L$5:$L$124&lt;&gt;""))&gt;0,"Transactional",IF(SUMPRODUCT(ISNUMBER(SEARCH(" "&amp;Settings!$L$5:$L$124&amp;" "," "&amp;M891&amp;" "))*(Settings!$K$5:$K$124="Commercial")*(Settings!$L$5:$L$124&lt;&gt;""))&gt;0,"Commercial",IF(SUMPRODUCT(ISNUMBER(SEARCH(" "&amp;Settings!$L$5:$L$124&amp;" "," "&amp;M891&amp;" "))*(Settings!$K$5:$K$124="Informational")*(Settings!$L$5:$L$124&lt;&gt;""))&gt;0,"Informational","Unclassified")))))</f>
        <v/>
      </c>
      <c r="O891">
        <f>IF(A891="","",IF(K891&lt;&gt;"",PROPER(K891),N891))</f>
        <v/>
      </c>
      <c r="P891">
        <f>IF(A891="","",ROUND(Settings!$B$5*MIN(1,LOG10(N(C891)+1)/LOG10(Settings!$B$7+1))+Settings!$B$6*(1-MIN(100,IF(D891="",50,N(D891)))/100)+IFERROR(INDEX(Settings!$B$10:$B$14,MATCH(O891,Settings!$A$10:$A$14,0)),0),0))</f>
        <v/>
      </c>
      <c r="Q891">
        <f>IF(OR(A891="",G891=""),"",COUNTIFS($M$3:$M$1002,M891,$G$3:$G$1002,"&lt;&gt;"&amp;SUBSTITUTE(SUBSTITUTE(G891,"?","~?"),"*","~*"),$G$3:$G$1002,"?*"))</f>
        <v/>
      </c>
      <c r="R891">
        <f>IF(Q891="","",IF(Q891&gt;0,"Yes","No"))</f>
        <v/>
      </c>
      <c r="S891">
        <f>IF(G891="","",COUNTIFS($G$3:$G$1002,SUBSTITUTE(SUBSTITUTE(G891,"?","~?"),"*","~*"),$J$3:$J$1002,"Primary"))</f>
        <v/>
      </c>
      <c r="T891">
        <f>IF(S891="","",IF(S891&gt;Settings!$B$4,"Yes","No"))</f>
        <v/>
      </c>
      <c r="U891">
        <f>IF(OR(G891="",B891=""),"",IF(COUNTIFS($G$3:$G$1002,SUBSTITUTE(SUBSTITUTE(G891,"?","~?"),"*","~*"),$B$3:$B$1002,"&lt;&gt;"&amp;SUBSTITUTE(SUBSTITUTE(B891,"?","~?"),"*","~*"),$B$3:$B$1002,"?*")&gt;0,"Yes","No"))</f>
        <v/>
      </c>
      <c r="V891">
        <f>IF(OR(G891="",I891="",O891="",O891="Unclassified"),"",IFERROR(INDEX(Settings!$E$5:$H$16,MATCH(I891,Settings!$D$5:$D$16,0),MATCH(O891,Settings!$E$4:$H$4,0)),"Check"))</f>
        <v/>
      </c>
      <c r="W891">
        <f>IF(V891="","",IF(V891="No","Yes","No"))</f>
        <v/>
      </c>
      <c r="X891">
        <f>IF(OR(E891="",G891=""),"",IF(LOWER(IF(RIGHT(TRIM(E891),1)="/",LEFT(TRIM(E891),LEN(TRIM(E891))-1),TRIM(E891)))&lt;&gt;LOWER(IF(RIGHT(TRIM(G891),1)="/",LEFT(TRIM(G891),LEN(TRIM(G891))-1),TRIM(G891))),"Yes","No"))</f>
        <v/>
      </c>
      <c r="Y891">
        <f>IF(A891="","",(N(Q891)&gt;0)+(T891="Yes")+(U891="Yes")+(W891="Yes")+(X891="Yes"))</f>
        <v/>
      </c>
      <c r="Z891">
        <f>IF(A891="","",IF(G891="","Not mapped",IF(Y891=0,"OK",MID(IF(N(Q891)&gt;0,"; Cannibalisation","")&amp;IF(T891="Yes","; Too many primary keywords on URL","")&amp;IF(U891="Yes","; URL spans 2+ clusters","")&amp;IF(W891="Yes","; Intent mismatch","")&amp;IF(X891="Yes","; Ranking URL is not the target",""),3,300))))</f>
        <v/>
      </c>
      <c r="AA891">
        <f>IF(G891="","",IF(COUNTIF($G$3:G891,SUBSTITUTE(SUBSTITUTE(G891,"?","~?"),"*","~*"))=1,MAX($AA$2:AA890)+1,""))</f>
        <v/>
      </c>
      <c r="AB891">
        <f>IF(B891="","",IF(COUNTIF($B$3:B891,SUBSTITUTE(SUBSTITUTE(B891,"?","~?"),"*","~*"))=1,MAX($AB$2:AB890)+1,""))</f>
        <v/>
      </c>
    </row>
    <row r="892">
      <c r="M892">
        <f>IF(A892="","",LOWER(TRIM(SUBSTITUTE(SUBSTITUTE(A892,"?",""),"*",""))))</f>
        <v/>
      </c>
      <c r="N892">
        <f>IF(M892="","",IF(SUMPRODUCT(ISNUMBER(SEARCH(" "&amp;Settings!$L$5:$L$124&amp;" "," "&amp;M892&amp;" "))*(Settings!$K$5:$K$124="Navigational")*(Settings!$L$5:$L$124&lt;&gt;""))&gt;0,"Navigational",IF(SUMPRODUCT(ISNUMBER(SEARCH(" "&amp;Settings!$L$5:$L$124&amp;" "," "&amp;M892&amp;" "))*(Settings!$K$5:$K$124="Transactional")*(Settings!$L$5:$L$124&lt;&gt;""))&gt;0,"Transactional",IF(SUMPRODUCT(ISNUMBER(SEARCH(" "&amp;Settings!$L$5:$L$124&amp;" "," "&amp;M892&amp;" "))*(Settings!$K$5:$K$124="Commercial")*(Settings!$L$5:$L$124&lt;&gt;""))&gt;0,"Commercial",IF(SUMPRODUCT(ISNUMBER(SEARCH(" "&amp;Settings!$L$5:$L$124&amp;" "," "&amp;M892&amp;" "))*(Settings!$K$5:$K$124="Informational")*(Settings!$L$5:$L$124&lt;&gt;""))&gt;0,"Informational","Unclassified")))))</f>
        <v/>
      </c>
      <c r="O892">
        <f>IF(A892="","",IF(K892&lt;&gt;"",PROPER(K892),N892))</f>
        <v/>
      </c>
      <c r="P892">
        <f>IF(A892="","",ROUND(Settings!$B$5*MIN(1,LOG10(N(C892)+1)/LOG10(Settings!$B$7+1))+Settings!$B$6*(1-MIN(100,IF(D892="",50,N(D892)))/100)+IFERROR(INDEX(Settings!$B$10:$B$14,MATCH(O892,Settings!$A$10:$A$14,0)),0),0))</f>
        <v/>
      </c>
      <c r="Q892">
        <f>IF(OR(A892="",G892=""),"",COUNTIFS($M$3:$M$1002,M892,$G$3:$G$1002,"&lt;&gt;"&amp;SUBSTITUTE(SUBSTITUTE(G892,"?","~?"),"*","~*"),$G$3:$G$1002,"?*"))</f>
        <v/>
      </c>
      <c r="R892">
        <f>IF(Q892="","",IF(Q892&gt;0,"Yes","No"))</f>
        <v/>
      </c>
      <c r="S892">
        <f>IF(G892="","",COUNTIFS($G$3:$G$1002,SUBSTITUTE(SUBSTITUTE(G892,"?","~?"),"*","~*"),$J$3:$J$1002,"Primary"))</f>
        <v/>
      </c>
      <c r="T892">
        <f>IF(S892="","",IF(S892&gt;Settings!$B$4,"Yes","No"))</f>
        <v/>
      </c>
      <c r="U892">
        <f>IF(OR(G892="",B892=""),"",IF(COUNTIFS($G$3:$G$1002,SUBSTITUTE(SUBSTITUTE(G892,"?","~?"),"*","~*"),$B$3:$B$1002,"&lt;&gt;"&amp;SUBSTITUTE(SUBSTITUTE(B892,"?","~?"),"*","~*"),$B$3:$B$1002,"?*")&gt;0,"Yes","No"))</f>
        <v/>
      </c>
      <c r="V892">
        <f>IF(OR(G892="",I892="",O892="",O892="Unclassified"),"",IFERROR(INDEX(Settings!$E$5:$H$16,MATCH(I892,Settings!$D$5:$D$16,0),MATCH(O892,Settings!$E$4:$H$4,0)),"Check"))</f>
        <v/>
      </c>
      <c r="W892">
        <f>IF(V892="","",IF(V892="No","Yes","No"))</f>
        <v/>
      </c>
      <c r="X892">
        <f>IF(OR(E892="",G892=""),"",IF(LOWER(IF(RIGHT(TRIM(E892),1)="/",LEFT(TRIM(E892),LEN(TRIM(E892))-1),TRIM(E892)))&lt;&gt;LOWER(IF(RIGHT(TRIM(G892),1)="/",LEFT(TRIM(G892),LEN(TRIM(G892))-1),TRIM(G892))),"Yes","No"))</f>
        <v/>
      </c>
      <c r="Y892">
        <f>IF(A892="","",(N(Q892)&gt;0)+(T892="Yes")+(U892="Yes")+(W892="Yes")+(X892="Yes"))</f>
        <v/>
      </c>
      <c r="Z892">
        <f>IF(A892="","",IF(G892="","Not mapped",IF(Y892=0,"OK",MID(IF(N(Q892)&gt;0,"; Cannibalisation","")&amp;IF(T892="Yes","; Too many primary keywords on URL","")&amp;IF(U892="Yes","; URL spans 2+ clusters","")&amp;IF(W892="Yes","; Intent mismatch","")&amp;IF(X892="Yes","; Ranking URL is not the target",""),3,300))))</f>
        <v/>
      </c>
      <c r="AA892">
        <f>IF(G892="","",IF(COUNTIF($G$3:G892,SUBSTITUTE(SUBSTITUTE(G892,"?","~?"),"*","~*"))=1,MAX($AA$2:AA891)+1,""))</f>
        <v/>
      </c>
      <c r="AB892">
        <f>IF(B892="","",IF(COUNTIF($B$3:B892,SUBSTITUTE(SUBSTITUTE(B892,"?","~?"),"*","~*"))=1,MAX($AB$2:AB891)+1,""))</f>
        <v/>
      </c>
    </row>
    <row r="893">
      <c r="M893">
        <f>IF(A893="","",LOWER(TRIM(SUBSTITUTE(SUBSTITUTE(A893,"?",""),"*",""))))</f>
        <v/>
      </c>
      <c r="N893">
        <f>IF(M893="","",IF(SUMPRODUCT(ISNUMBER(SEARCH(" "&amp;Settings!$L$5:$L$124&amp;" "," "&amp;M893&amp;" "))*(Settings!$K$5:$K$124="Navigational")*(Settings!$L$5:$L$124&lt;&gt;""))&gt;0,"Navigational",IF(SUMPRODUCT(ISNUMBER(SEARCH(" "&amp;Settings!$L$5:$L$124&amp;" "," "&amp;M893&amp;" "))*(Settings!$K$5:$K$124="Transactional")*(Settings!$L$5:$L$124&lt;&gt;""))&gt;0,"Transactional",IF(SUMPRODUCT(ISNUMBER(SEARCH(" "&amp;Settings!$L$5:$L$124&amp;" "," "&amp;M893&amp;" "))*(Settings!$K$5:$K$124="Commercial")*(Settings!$L$5:$L$124&lt;&gt;""))&gt;0,"Commercial",IF(SUMPRODUCT(ISNUMBER(SEARCH(" "&amp;Settings!$L$5:$L$124&amp;" "," "&amp;M893&amp;" "))*(Settings!$K$5:$K$124="Informational")*(Settings!$L$5:$L$124&lt;&gt;""))&gt;0,"Informational","Unclassified")))))</f>
        <v/>
      </c>
      <c r="O893">
        <f>IF(A893="","",IF(K893&lt;&gt;"",PROPER(K893),N893))</f>
        <v/>
      </c>
      <c r="P893">
        <f>IF(A893="","",ROUND(Settings!$B$5*MIN(1,LOG10(N(C893)+1)/LOG10(Settings!$B$7+1))+Settings!$B$6*(1-MIN(100,IF(D893="",50,N(D893)))/100)+IFERROR(INDEX(Settings!$B$10:$B$14,MATCH(O893,Settings!$A$10:$A$14,0)),0),0))</f>
        <v/>
      </c>
      <c r="Q893">
        <f>IF(OR(A893="",G893=""),"",COUNTIFS($M$3:$M$1002,M893,$G$3:$G$1002,"&lt;&gt;"&amp;SUBSTITUTE(SUBSTITUTE(G893,"?","~?"),"*","~*"),$G$3:$G$1002,"?*"))</f>
        <v/>
      </c>
      <c r="R893">
        <f>IF(Q893="","",IF(Q893&gt;0,"Yes","No"))</f>
        <v/>
      </c>
      <c r="S893">
        <f>IF(G893="","",COUNTIFS($G$3:$G$1002,SUBSTITUTE(SUBSTITUTE(G893,"?","~?"),"*","~*"),$J$3:$J$1002,"Primary"))</f>
        <v/>
      </c>
      <c r="T893">
        <f>IF(S893="","",IF(S893&gt;Settings!$B$4,"Yes","No"))</f>
        <v/>
      </c>
      <c r="U893">
        <f>IF(OR(G893="",B893=""),"",IF(COUNTIFS($G$3:$G$1002,SUBSTITUTE(SUBSTITUTE(G893,"?","~?"),"*","~*"),$B$3:$B$1002,"&lt;&gt;"&amp;SUBSTITUTE(SUBSTITUTE(B893,"?","~?"),"*","~*"),$B$3:$B$1002,"?*")&gt;0,"Yes","No"))</f>
        <v/>
      </c>
      <c r="V893">
        <f>IF(OR(G893="",I893="",O893="",O893="Unclassified"),"",IFERROR(INDEX(Settings!$E$5:$H$16,MATCH(I893,Settings!$D$5:$D$16,0),MATCH(O893,Settings!$E$4:$H$4,0)),"Check"))</f>
        <v/>
      </c>
      <c r="W893">
        <f>IF(V893="","",IF(V893="No","Yes","No"))</f>
        <v/>
      </c>
      <c r="X893">
        <f>IF(OR(E893="",G893=""),"",IF(LOWER(IF(RIGHT(TRIM(E893),1)="/",LEFT(TRIM(E893),LEN(TRIM(E893))-1),TRIM(E893)))&lt;&gt;LOWER(IF(RIGHT(TRIM(G893),1)="/",LEFT(TRIM(G893),LEN(TRIM(G893))-1),TRIM(G893))),"Yes","No"))</f>
        <v/>
      </c>
      <c r="Y893">
        <f>IF(A893="","",(N(Q893)&gt;0)+(T893="Yes")+(U893="Yes")+(W893="Yes")+(X893="Yes"))</f>
        <v/>
      </c>
      <c r="Z893">
        <f>IF(A893="","",IF(G893="","Not mapped",IF(Y893=0,"OK",MID(IF(N(Q893)&gt;0,"; Cannibalisation","")&amp;IF(T893="Yes","; Too many primary keywords on URL","")&amp;IF(U893="Yes","; URL spans 2+ clusters","")&amp;IF(W893="Yes","; Intent mismatch","")&amp;IF(X893="Yes","; Ranking URL is not the target",""),3,300))))</f>
        <v/>
      </c>
      <c r="AA893">
        <f>IF(G893="","",IF(COUNTIF($G$3:G893,SUBSTITUTE(SUBSTITUTE(G893,"?","~?"),"*","~*"))=1,MAX($AA$2:AA892)+1,""))</f>
        <v/>
      </c>
      <c r="AB893">
        <f>IF(B893="","",IF(COUNTIF($B$3:B893,SUBSTITUTE(SUBSTITUTE(B893,"?","~?"),"*","~*"))=1,MAX($AB$2:AB892)+1,""))</f>
        <v/>
      </c>
    </row>
    <row r="894">
      <c r="M894">
        <f>IF(A894="","",LOWER(TRIM(SUBSTITUTE(SUBSTITUTE(A894,"?",""),"*",""))))</f>
        <v/>
      </c>
      <c r="N894">
        <f>IF(M894="","",IF(SUMPRODUCT(ISNUMBER(SEARCH(" "&amp;Settings!$L$5:$L$124&amp;" "," "&amp;M894&amp;" "))*(Settings!$K$5:$K$124="Navigational")*(Settings!$L$5:$L$124&lt;&gt;""))&gt;0,"Navigational",IF(SUMPRODUCT(ISNUMBER(SEARCH(" "&amp;Settings!$L$5:$L$124&amp;" "," "&amp;M894&amp;" "))*(Settings!$K$5:$K$124="Transactional")*(Settings!$L$5:$L$124&lt;&gt;""))&gt;0,"Transactional",IF(SUMPRODUCT(ISNUMBER(SEARCH(" "&amp;Settings!$L$5:$L$124&amp;" "," "&amp;M894&amp;" "))*(Settings!$K$5:$K$124="Commercial")*(Settings!$L$5:$L$124&lt;&gt;""))&gt;0,"Commercial",IF(SUMPRODUCT(ISNUMBER(SEARCH(" "&amp;Settings!$L$5:$L$124&amp;" "," "&amp;M894&amp;" "))*(Settings!$K$5:$K$124="Informational")*(Settings!$L$5:$L$124&lt;&gt;""))&gt;0,"Informational","Unclassified")))))</f>
        <v/>
      </c>
      <c r="O894">
        <f>IF(A894="","",IF(K894&lt;&gt;"",PROPER(K894),N894))</f>
        <v/>
      </c>
      <c r="P894">
        <f>IF(A894="","",ROUND(Settings!$B$5*MIN(1,LOG10(N(C894)+1)/LOG10(Settings!$B$7+1))+Settings!$B$6*(1-MIN(100,IF(D894="",50,N(D894)))/100)+IFERROR(INDEX(Settings!$B$10:$B$14,MATCH(O894,Settings!$A$10:$A$14,0)),0),0))</f>
        <v/>
      </c>
      <c r="Q894">
        <f>IF(OR(A894="",G894=""),"",COUNTIFS($M$3:$M$1002,M894,$G$3:$G$1002,"&lt;&gt;"&amp;SUBSTITUTE(SUBSTITUTE(G894,"?","~?"),"*","~*"),$G$3:$G$1002,"?*"))</f>
        <v/>
      </c>
      <c r="R894">
        <f>IF(Q894="","",IF(Q894&gt;0,"Yes","No"))</f>
        <v/>
      </c>
      <c r="S894">
        <f>IF(G894="","",COUNTIFS($G$3:$G$1002,SUBSTITUTE(SUBSTITUTE(G894,"?","~?"),"*","~*"),$J$3:$J$1002,"Primary"))</f>
        <v/>
      </c>
      <c r="T894">
        <f>IF(S894="","",IF(S894&gt;Settings!$B$4,"Yes","No"))</f>
        <v/>
      </c>
      <c r="U894">
        <f>IF(OR(G894="",B894=""),"",IF(COUNTIFS($G$3:$G$1002,SUBSTITUTE(SUBSTITUTE(G894,"?","~?"),"*","~*"),$B$3:$B$1002,"&lt;&gt;"&amp;SUBSTITUTE(SUBSTITUTE(B894,"?","~?"),"*","~*"),$B$3:$B$1002,"?*")&gt;0,"Yes","No"))</f>
        <v/>
      </c>
      <c r="V894">
        <f>IF(OR(G894="",I894="",O894="",O894="Unclassified"),"",IFERROR(INDEX(Settings!$E$5:$H$16,MATCH(I894,Settings!$D$5:$D$16,0),MATCH(O894,Settings!$E$4:$H$4,0)),"Check"))</f>
        <v/>
      </c>
      <c r="W894">
        <f>IF(V894="","",IF(V894="No","Yes","No"))</f>
        <v/>
      </c>
      <c r="X894">
        <f>IF(OR(E894="",G894=""),"",IF(LOWER(IF(RIGHT(TRIM(E894),1)="/",LEFT(TRIM(E894),LEN(TRIM(E894))-1),TRIM(E894)))&lt;&gt;LOWER(IF(RIGHT(TRIM(G894),1)="/",LEFT(TRIM(G894),LEN(TRIM(G894))-1),TRIM(G894))),"Yes","No"))</f>
        <v/>
      </c>
      <c r="Y894">
        <f>IF(A894="","",(N(Q894)&gt;0)+(T894="Yes")+(U894="Yes")+(W894="Yes")+(X894="Yes"))</f>
        <v/>
      </c>
      <c r="Z894">
        <f>IF(A894="","",IF(G894="","Not mapped",IF(Y894=0,"OK",MID(IF(N(Q894)&gt;0,"; Cannibalisation","")&amp;IF(T894="Yes","; Too many primary keywords on URL","")&amp;IF(U894="Yes","; URL spans 2+ clusters","")&amp;IF(W894="Yes","; Intent mismatch","")&amp;IF(X894="Yes","; Ranking URL is not the target",""),3,300))))</f>
        <v/>
      </c>
      <c r="AA894">
        <f>IF(G894="","",IF(COUNTIF($G$3:G894,SUBSTITUTE(SUBSTITUTE(G894,"?","~?"),"*","~*"))=1,MAX($AA$2:AA893)+1,""))</f>
        <v/>
      </c>
      <c r="AB894">
        <f>IF(B894="","",IF(COUNTIF($B$3:B894,SUBSTITUTE(SUBSTITUTE(B894,"?","~?"),"*","~*"))=1,MAX($AB$2:AB893)+1,""))</f>
        <v/>
      </c>
    </row>
    <row r="895">
      <c r="M895">
        <f>IF(A895="","",LOWER(TRIM(SUBSTITUTE(SUBSTITUTE(A895,"?",""),"*",""))))</f>
        <v/>
      </c>
      <c r="N895">
        <f>IF(M895="","",IF(SUMPRODUCT(ISNUMBER(SEARCH(" "&amp;Settings!$L$5:$L$124&amp;" "," "&amp;M895&amp;" "))*(Settings!$K$5:$K$124="Navigational")*(Settings!$L$5:$L$124&lt;&gt;""))&gt;0,"Navigational",IF(SUMPRODUCT(ISNUMBER(SEARCH(" "&amp;Settings!$L$5:$L$124&amp;" "," "&amp;M895&amp;" "))*(Settings!$K$5:$K$124="Transactional")*(Settings!$L$5:$L$124&lt;&gt;""))&gt;0,"Transactional",IF(SUMPRODUCT(ISNUMBER(SEARCH(" "&amp;Settings!$L$5:$L$124&amp;" "," "&amp;M895&amp;" "))*(Settings!$K$5:$K$124="Commercial")*(Settings!$L$5:$L$124&lt;&gt;""))&gt;0,"Commercial",IF(SUMPRODUCT(ISNUMBER(SEARCH(" "&amp;Settings!$L$5:$L$124&amp;" "," "&amp;M895&amp;" "))*(Settings!$K$5:$K$124="Informational")*(Settings!$L$5:$L$124&lt;&gt;""))&gt;0,"Informational","Unclassified")))))</f>
        <v/>
      </c>
      <c r="O895">
        <f>IF(A895="","",IF(K895&lt;&gt;"",PROPER(K895),N895))</f>
        <v/>
      </c>
      <c r="P895">
        <f>IF(A895="","",ROUND(Settings!$B$5*MIN(1,LOG10(N(C895)+1)/LOG10(Settings!$B$7+1))+Settings!$B$6*(1-MIN(100,IF(D895="",50,N(D895)))/100)+IFERROR(INDEX(Settings!$B$10:$B$14,MATCH(O895,Settings!$A$10:$A$14,0)),0),0))</f>
        <v/>
      </c>
      <c r="Q895">
        <f>IF(OR(A895="",G895=""),"",COUNTIFS($M$3:$M$1002,M895,$G$3:$G$1002,"&lt;&gt;"&amp;SUBSTITUTE(SUBSTITUTE(G895,"?","~?"),"*","~*"),$G$3:$G$1002,"?*"))</f>
        <v/>
      </c>
      <c r="R895">
        <f>IF(Q895="","",IF(Q895&gt;0,"Yes","No"))</f>
        <v/>
      </c>
      <c r="S895">
        <f>IF(G895="","",COUNTIFS($G$3:$G$1002,SUBSTITUTE(SUBSTITUTE(G895,"?","~?"),"*","~*"),$J$3:$J$1002,"Primary"))</f>
        <v/>
      </c>
      <c r="T895">
        <f>IF(S895="","",IF(S895&gt;Settings!$B$4,"Yes","No"))</f>
        <v/>
      </c>
      <c r="U895">
        <f>IF(OR(G895="",B895=""),"",IF(COUNTIFS($G$3:$G$1002,SUBSTITUTE(SUBSTITUTE(G895,"?","~?"),"*","~*"),$B$3:$B$1002,"&lt;&gt;"&amp;SUBSTITUTE(SUBSTITUTE(B895,"?","~?"),"*","~*"),$B$3:$B$1002,"?*")&gt;0,"Yes","No"))</f>
        <v/>
      </c>
      <c r="V895">
        <f>IF(OR(G895="",I895="",O895="",O895="Unclassified"),"",IFERROR(INDEX(Settings!$E$5:$H$16,MATCH(I895,Settings!$D$5:$D$16,0),MATCH(O895,Settings!$E$4:$H$4,0)),"Check"))</f>
        <v/>
      </c>
      <c r="W895">
        <f>IF(V895="","",IF(V895="No","Yes","No"))</f>
        <v/>
      </c>
      <c r="X895">
        <f>IF(OR(E895="",G895=""),"",IF(LOWER(IF(RIGHT(TRIM(E895),1)="/",LEFT(TRIM(E895),LEN(TRIM(E895))-1),TRIM(E895)))&lt;&gt;LOWER(IF(RIGHT(TRIM(G895),1)="/",LEFT(TRIM(G895),LEN(TRIM(G895))-1),TRIM(G895))),"Yes","No"))</f>
        <v/>
      </c>
      <c r="Y895">
        <f>IF(A895="","",(N(Q895)&gt;0)+(T895="Yes")+(U895="Yes")+(W895="Yes")+(X895="Yes"))</f>
        <v/>
      </c>
      <c r="Z895">
        <f>IF(A895="","",IF(G895="","Not mapped",IF(Y895=0,"OK",MID(IF(N(Q895)&gt;0,"; Cannibalisation","")&amp;IF(T895="Yes","; Too many primary keywords on URL","")&amp;IF(U895="Yes","; URL spans 2+ clusters","")&amp;IF(W895="Yes","; Intent mismatch","")&amp;IF(X895="Yes","; Ranking URL is not the target",""),3,300))))</f>
        <v/>
      </c>
      <c r="AA895">
        <f>IF(G895="","",IF(COUNTIF($G$3:G895,SUBSTITUTE(SUBSTITUTE(G895,"?","~?"),"*","~*"))=1,MAX($AA$2:AA894)+1,""))</f>
        <v/>
      </c>
      <c r="AB895">
        <f>IF(B895="","",IF(COUNTIF($B$3:B895,SUBSTITUTE(SUBSTITUTE(B895,"?","~?"),"*","~*"))=1,MAX($AB$2:AB894)+1,""))</f>
        <v/>
      </c>
    </row>
    <row r="896">
      <c r="M896">
        <f>IF(A896="","",LOWER(TRIM(SUBSTITUTE(SUBSTITUTE(A896,"?",""),"*",""))))</f>
        <v/>
      </c>
      <c r="N896">
        <f>IF(M896="","",IF(SUMPRODUCT(ISNUMBER(SEARCH(" "&amp;Settings!$L$5:$L$124&amp;" "," "&amp;M896&amp;" "))*(Settings!$K$5:$K$124="Navigational")*(Settings!$L$5:$L$124&lt;&gt;""))&gt;0,"Navigational",IF(SUMPRODUCT(ISNUMBER(SEARCH(" "&amp;Settings!$L$5:$L$124&amp;" "," "&amp;M896&amp;" "))*(Settings!$K$5:$K$124="Transactional")*(Settings!$L$5:$L$124&lt;&gt;""))&gt;0,"Transactional",IF(SUMPRODUCT(ISNUMBER(SEARCH(" "&amp;Settings!$L$5:$L$124&amp;" "," "&amp;M896&amp;" "))*(Settings!$K$5:$K$124="Commercial")*(Settings!$L$5:$L$124&lt;&gt;""))&gt;0,"Commercial",IF(SUMPRODUCT(ISNUMBER(SEARCH(" "&amp;Settings!$L$5:$L$124&amp;" "," "&amp;M896&amp;" "))*(Settings!$K$5:$K$124="Informational")*(Settings!$L$5:$L$124&lt;&gt;""))&gt;0,"Informational","Unclassified")))))</f>
        <v/>
      </c>
      <c r="O896">
        <f>IF(A896="","",IF(K896&lt;&gt;"",PROPER(K896),N896))</f>
        <v/>
      </c>
      <c r="P896">
        <f>IF(A896="","",ROUND(Settings!$B$5*MIN(1,LOG10(N(C896)+1)/LOG10(Settings!$B$7+1))+Settings!$B$6*(1-MIN(100,IF(D896="",50,N(D896)))/100)+IFERROR(INDEX(Settings!$B$10:$B$14,MATCH(O896,Settings!$A$10:$A$14,0)),0),0))</f>
        <v/>
      </c>
      <c r="Q896">
        <f>IF(OR(A896="",G896=""),"",COUNTIFS($M$3:$M$1002,M896,$G$3:$G$1002,"&lt;&gt;"&amp;SUBSTITUTE(SUBSTITUTE(G896,"?","~?"),"*","~*"),$G$3:$G$1002,"?*"))</f>
        <v/>
      </c>
      <c r="R896">
        <f>IF(Q896="","",IF(Q896&gt;0,"Yes","No"))</f>
        <v/>
      </c>
      <c r="S896">
        <f>IF(G896="","",COUNTIFS($G$3:$G$1002,SUBSTITUTE(SUBSTITUTE(G896,"?","~?"),"*","~*"),$J$3:$J$1002,"Primary"))</f>
        <v/>
      </c>
      <c r="T896">
        <f>IF(S896="","",IF(S896&gt;Settings!$B$4,"Yes","No"))</f>
        <v/>
      </c>
      <c r="U896">
        <f>IF(OR(G896="",B896=""),"",IF(COUNTIFS($G$3:$G$1002,SUBSTITUTE(SUBSTITUTE(G896,"?","~?"),"*","~*"),$B$3:$B$1002,"&lt;&gt;"&amp;SUBSTITUTE(SUBSTITUTE(B896,"?","~?"),"*","~*"),$B$3:$B$1002,"?*")&gt;0,"Yes","No"))</f>
        <v/>
      </c>
      <c r="V896">
        <f>IF(OR(G896="",I896="",O896="",O896="Unclassified"),"",IFERROR(INDEX(Settings!$E$5:$H$16,MATCH(I896,Settings!$D$5:$D$16,0),MATCH(O896,Settings!$E$4:$H$4,0)),"Check"))</f>
        <v/>
      </c>
      <c r="W896">
        <f>IF(V896="","",IF(V896="No","Yes","No"))</f>
        <v/>
      </c>
      <c r="X896">
        <f>IF(OR(E896="",G896=""),"",IF(LOWER(IF(RIGHT(TRIM(E896),1)="/",LEFT(TRIM(E896),LEN(TRIM(E896))-1),TRIM(E896)))&lt;&gt;LOWER(IF(RIGHT(TRIM(G896),1)="/",LEFT(TRIM(G896),LEN(TRIM(G896))-1),TRIM(G896))),"Yes","No"))</f>
        <v/>
      </c>
      <c r="Y896">
        <f>IF(A896="","",(N(Q896)&gt;0)+(T896="Yes")+(U896="Yes")+(W896="Yes")+(X896="Yes"))</f>
        <v/>
      </c>
      <c r="Z896">
        <f>IF(A896="","",IF(G896="","Not mapped",IF(Y896=0,"OK",MID(IF(N(Q896)&gt;0,"; Cannibalisation","")&amp;IF(T896="Yes","; Too many primary keywords on URL","")&amp;IF(U896="Yes","; URL spans 2+ clusters","")&amp;IF(W896="Yes","; Intent mismatch","")&amp;IF(X896="Yes","; Ranking URL is not the target",""),3,300))))</f>
        <v/>
      </c>
      <c r="AA896">
        <f>IF(G896="","",IF(COUNTIF($G$3:G896,SUBSTITUTE(SUBSTITUTE(G896,"?","~?"),"*","~*"))=1,MAX($AA$2:AA895)+1,""))</f>
        <v/>
      </c>
      <c r="AB896">
        <f>IF(B896="","",IF(COUNTIF($B$3:B896,SUBSTITUTE(SUBSTITUTE(B896,"?","~?"),"*","~*"))=1,MAX($AB$2:AB895)+1,""))</f>
        <v/>
      </c>
    </row>
    <row r="897">
      <c r="M897">
        <f>IF(A897="","",LOWER(TRIM(SUBSTITUTE(SUBSTITUTE(A897,"?",""),"*",""))))</f>
        <v/>
      </c>
      <c r="N897">
        <f>IF(M897="","",IF(SUMPRODUCT(ISNUMBER(SEARCH(" "&amp;Settings!$L$5:$L$124&amp;" "," "&amp;M897&amp;" "))*(Settings!$K$5:$K$124="Navigational")*(Settings!$L$5:$L$124&lt;&gt;""))&gt;0,"Navigational",IF(SUMPRODUCT(ISNUMBER(SEARCH(" "&amp;Settings!$L$5:$L$124&amp;" "," "&amp;M897&amp;" "))*(Settings!$K$5:$K$124="Transactional")*(Settings!$L$5:$L$124&lt;&gt;""))&gt;0,"Transactional",IF(SUMPRODUCT(ISNUMBER(SEARCH(" "&amp;Settings!$L$5:$L$124&amp;" "," "&amp;M897&amp;" "))*(Settings!$K$5:$K$124="Commercial")*(Settings!$L$5:$L$124&lt;&gt;""))&gt;0,"Commercial",IF(SUMPRODUCT(ISNUMBER(SEARCH(" "&amp;Settings!$L$5:$L$124&amp;" "," "&amp;M897&amp;" "))*(Settings!$K$5:$K$124="Informational")*(Settings!$L$5:$L$124&lt;&gt;""))&gt;0,"Informational","Unclassified")))))</f>
        <v/>
      </c>
      <c r="O897">
        <f>IF(A897="","",IF(K897&lt;&gt;"",PROPER(K897),N897))</f>
        <v/>
      </c>
      <c r="P897">
        <f>IF(A897="","",ROUND(Settings!$B$5*MIN(1,LOG10(N(C897)+1)/LOG10(Settings!$B$7+1))+Settings!$B$6*(1-MIN(100,IF(D897="",50,N(D897)))/100)+IFERROR(INDEX(Settings!$B$10:$B$14,MATCH(O897,Settings!$A$10:$A$14,0)),0),0))</f>
        <v/>
      </c>
      <c r="Q897">
        <f>IF(OR(A897="",G897=""),"",COUNTIFS($M$3:$M$1002,M897,$G$3:$G$1002,"&lt;&gt;"&amp;SUBSTITUTE(SUBSTITUTE(G897,"?","~?"),"*","~*"),$G$3:$G$1002,"?*"))</f>
        <v/>
      </c>
      <c r="R897">
        <f>IF(Q897="","",IF(Q897&gt;0,"Yes","No"))</f>
        <v/>
      </c>
      <c r="S897">
        <f>IF(G897="","",COUNTIFS($G$3:$G$1002,SUBSTITUTE(SUBSTITUTE(G897,"?","~?"),"*","~*"),$J$3:$J$1002,"Primary"))</f>
        <v/>
      </c>
      <c r="T897">
        <f>IF(S897="","",IF(S897&gt;Settings!$B$4,"Yes","No"))</f>
        <v/>
      </c>
      <c r="U897">
        <f>IF(OR(G897="",B897=""),"",IF(COUNTIFS($G$3:$G$1002,SUBSTITUTE(SUBSTITUTE(G897,"?","~?"),"*","~*"),$B$3:$B$1002,"&lt;&gt;"&amp;SUBSTITUTE(SUBSTITUTE(B897,"?","~?"),"*","~*"),$B$3:$B$1002,"?*")&gt;0,"Yes","No"))</f>
        <v/>
      </c>
      <c r="V897">
        <f>IF(OR(G897="",I897="",O897="",O897="Unclassified"),"",IFERROR(INDEX(Settings!$E$5:$H$16,MATCH(I897,Settings!$D$5:$D$16,0),MATCH(O897,Settings!$E$4:$H$4,0)),"Check"))</f>
        <v/>
      </c>
      <c r="W897">
        <f>IF(V897="","",IF(V897="No","Yes","No"))</f>
        <v/>
      </c>
      <c r="X897">
        <f>IF(OR(E897="",G897=""),"",IF(LOWER(IF(RIGHT(TRIM(E897),1)="/",LEFT(TRIM(E897),LEN(TRIM(E897))-1),TRIM(E897)))&lt;&gt;LOWER(IF(RIGHT(TRIM(G897),1)="/",LEFT(TRIM(G897),LEN(TRIM(G897))-1),TRIM(G897))),"Yes","No"))</f>
        <v/>
      </c>
      <c r="Y897">
        <f>IF(A897="","",(N(Q897)&gt;0)+(T897="Yes")+(U897="Yes")+(W897="Yes")+(X897="Yes"))</f>
        <v/>
      </c>
      <c r="Z897">
        <f>IF(A897="","",IF(G897="","Not mapped",IF(Y897=0,"OK",MID(IF(N(Q897)&gt;0,"; Cannibalisation","")&amp;IF(T897="Yes","; Too many primary keywords on URL","")&amp;IF(U897="Yes","; URL spans 2+ clusters","")&amp;IF(W897="Yes","; Intent mismatch","")&amp;IF(X897="Yes","; Ranking URL is not the target",""),3,300))))</f>
        <v/>
      </c>
      <c r="AA897">
        <f>IF(G897="","",IF(COUNTIF($G$3:G897,SUBSTITUTE(SUBSTITUTE(G897,"?","~?"),"*","~*"))=1,MAX($AA$2:AA896)+1,""))</f>
        <v/>
      </c>
      <c r="AB897">
        <f>IF(B897="","",IF(COUNTIF($B$3:B897,SUBSTITUTE(SUBSTITUTE(B897,"?","~?"),"*","~*"))=1,MAX($AB$2:AB896)+1,""))</f>
        <v/>
      </c>
    </row>
    <row r="898">
      <c r="M898">
        <f>IF(A898="","",LOWER(TRIM(SUBSTITUTE(SUBSTITUTE(A898,"?",""),"*",""))))</f>
        <v/>
      </c>
      <c r="N898">
        <f>IF(M898="","",IF(SUMPRODUCT(ISNUMBER(SEARCH(" "&amp;Settings!$L$5:$L$124&amp;" "," "&amp;M898&amp;" "))*(Settings!$K$5:$K$124="Navigational")*(Settings!$L$5:$L$124&lt;&gt;""))&gt;0,"Navigational",IF(SUMPRODUCT(ISNUMBER(SEARCH(" "&amp;Settings!$L$5:$L$124&amp;" "," "&amp;M898&amp;" "))*(Settings!$K$5:$K$124="Transactional")*(Settings!$L$5:$L$124&lt;&gt;""))&gt;0,"Transactional",IF(SUMPRODUCT(ISNUMBER(SEARCH(" "&amp;Settings!$L$5:$L$124&amp;" "," "&amp;M898&amp;" "))*(Settings!$K$5:$K$124="Commercial")*(Settings!$L$5:$L$124&lt;&gt;""))&gt;0,"Commercial",IF(SUMPRODUCT(ISNUMBER(SEARCH(" "&amp;Settings!$L$5:$L$124&amp;" "," "&amp;M898&amp;" "))*(Settings!$K$5:$K$124="Informational")*(Settings!$L$5:$L$124&lt;&gt;""))&gt;0,"Informational","Unclassified")))))</f>
        <v/>
      </c>
      <c r="O898">
        <f>IF(A898="","",IF(K898&lt;&gt;"",PROPER(K898),N898))</f>
        <v/>
      </c>
      <c r="P898">
        <f>IF(A898="","",ROUND(Settings!$B$5*MIN(1,LOG10(N(C898)+1)/LOG10(Settings!$B$7+1))+Settings!$B$6*(1-MIN(100,IF(D898="",50,N(D898)))/100)+IFERROR(INDEX(Settings!$B$10:$B$14,MATCH(O898,Settings!$A$10:$A$14,0)),0),0))</f>
        <v/>
      </c>
      <c r="Q898">
        <f>IF(OR(A898="",G898=""),"",COUNTIFS($M$3:$M$1002,M898,$G$3:$G$1002,"&lt;&gt;"&amp;SUBSTITUTE(SUBSTITUTE(G898,"?","~?"),"*","~*"),$G$3:$G$1002,"?*"))</f>
        <v/>
      </c>
      <c r="R898">
        <f>IF(Q898="","",IF(Q898&gt;0,"Yes","No"))</f>
        <v/>
      </c>
      <c r="S898">
        <f>IF(G898="","",COUNTIFS($G$3:$G$1002,SUBSTITUTE(SUBSTITUTE(G898,"?","~?"),"*","~*"),$J$3:$J$1002,"Primary"))</f>
        <v/>
      </c>
      <c r="T898">
        <f>IF(S898="","",IF(S898&gt;Settings!$B$4,"Yes","No"))</f>
        <v/>
      </c>
      <c r="U898">
        <f>IF(OR(G898="",B898=""),"",IF(COUNTIFS($G$3:$G$1002,SUBSTITUTE(SUBSTITUTE(G898,"?","~?"),"*","~*"),$B$3:$B$1002,"&lt;&gt;"&amp;SUBSTITUTE(SUBSTITUTE(B898,"?","~?"),"*","~*"),$B$3:$B$1002,"?*")&gt;0,"Yes","No"))</f>
        <v/>
      </c>
      <c r="V898">
        <f>IF(OR(G898="",I898="",O898="",O898="Unclassified"),"",IFERROR(INDEX(Settings!$E$5:$H$16,MATCH(I898,Settings!$D$5:$D$16,0),MATCH(O898,Settings!$E$4:$H$4,0)),"Check"))</f>
        <v/>
      </c>
      <c r="W898">
        <f>IF(V898="","",IF(V898="No","Yes","No"))</f>
        <v/>
      </c>
      <c r="X898">
        <f>IF(OR(E898="",G898=""),"",IF(LOWER(IF(RIGHT(TRIM(E898),1)="/",LEFT(TRIM(E898),LEN(TRIM(E898))-1),TRIM(E898)))&lt;&gt;LOWER(IF(RIGHT(TRIM(G898),1)="/",LEFT(TRIM(G898),LEN(TRIM(G898))-1),TRIM(G898))),"Yes","No"))</f>
        <v/>
      </c>
      <c r="Y898">
        <f>IF(A898="","",(N(Q898)&gt;0)+(T898="Yes")+(U898="Yes")+(W898="Yes")+(X898="Yes"))</f>
        <v/>
      </c>
      <c r="Z898">
        <f>IF(A898="","",IF(G898="","Not mapped",IF(Y898=0,"OK",MID(IF(N(Q898)&gt;0,"; Cannibalisation","")&amp;IF(T898="Yes","; Too many primary keywords on URL","")&amp;IF(U898="Yes","; URL spans 2+ clusters","")&amp;IF(W898="Yes","; Intent mismatch","")&amp;IF(X898="Yes","; Ranking URL is not the target",""),3,300))))</f>
        <v/>
      </c>
      <c r="AA898">
        <f>IF(G898="","",IF(COUNTIF($G$3:G898,SUBSTITUTE(SUBSTITUTE(G898,"?","~?"),"*","~*"))=1,MAX($AA$2:AA897)+1,""))</f>
        <v/>
      </c>
      <c r="AB898">
        <f>IF(B898="","",IF(COUNTIF($B$3:B898,SUBSTITUTE(SUBSTITUTE(B898,"?","~?"),"*","~*"))=1,MAX($AB$2:AB897)+1,""))</f>
        <v/>
      </c>
    </row>
    <row r="899">
      <c r="M899">
        <f>IF(A899="","",LOWER(TRIM(SUBSTITUTE(SUBSTITUTE(A899,"?",""),"*",""))))</f>
        <v/>
      </c>
      <c r="N899">
        <f>IF(M899="","",IF(SUMPRODUCT(ISNUMBER(SEARCH(" "&amp;Settings!$L$5:$L$124&amp;" "," "&amp;M899&amp;" "))*(Settings!$K$5:$K$124="Navigational")*(Settings!$L$5:$L$124&lt;&gt;""))&gt;0,"Navigational",IF(SUMPRODUCT(ISNUMBER(SEARCH(" "&amp;Settings!$L$5:$L$124&amp;" "," "&amp;M899&amp;" "))*(Settings!$K$5:$K$124="Transactional")*(Settings!$L$5:$L$124&lt;&gt;""))&gt;0,"Transactional",IF(SUMPRODUCT(ISNUMBER(SEARCH(" "&amp;Settings!$L$5:$L$124&amp;" "," "&amp;M899&amp;" "))*(Settings!$K$5:$K$124="Commercial")*(Settings!$L$5:$L$124&lt;&gt;""))&gt;0,"Commercial",IF(SUMPRODUCT(ISNUMBER(SEARCH(" "&amp;Settings!$L$5:$L$124&amp;" "," "&amp;M899&amp;" "))*(Settings!$K$5:$K$124="Informational")*(Settings!$L$5:$L$124&lt;&gt;""))&gt;0,"Informational","Unclassified")))))</f>
        <v/>
      </c>
      <c r="O899">
        <f>IF(A899="","",IF(K899&lt;&gt;"",PROPER(K899),N899))</f>
        <v/>
      </c>
      <c r="P899">
        <f>IF(A899="","",ROUND(Settings!$B$5*MIN(1,LOG10(N(C899)+1)/LOG10(Settings!$B$7+1))+Settings!$B$6*(1-MIN(100,IF(D899="",50,N(D899)))/100)+IFERROR(INDEX(Settings!$B$10:$B$14,MATCH(O899,Settings!$A$10:$A$14,0)),0),0))</f>
        <v/>
      </c>
      <c r="Q899">
        <f>IF(OR(A899="",G899=""),"",COUNTIFS($M$3:$M$1002,M899,$G$3:$G$1002,"&lt;&gt;"&amp;SUBSTITUTE(SUBSTITUTE(G899,"?","~?"),"*","~*"),$G$3:$G$1002,"?*"))</f>
        <v/>
      </c>
      <c r="R899">
        <f>IF(Q899="","",IF(Q899&gt;0,"Yes","No"))</f>
        <v/>
      </c>
      <c r="S899">
        <f>IF(G899="","",COUNTIFS($G$3:$G$1002,SUBSTITUTE(SUBSTITUTE(G899,"?","~?"),"*","~*"),$J$3:$J$1002,"Primary"))</f>
        <v/>
      </c>
      <c r="T899">
        <f>IF(S899="","",IF(S899&gt;Settings!$B$4,"Yes","No"))</f>
        <v/>
      </c>
      <c r="U899">
        <f>IF(OR(G899="",B899=""),"",IF(COUNTIFS($G$3:$G$1002,SUBSTITUTE(SUBSTITUTE(G899,"?","~?"),"*","~*"),$B$3:$B$1002,"&lt;&gt;"&amp;SUBSTITUTE(SUBSTITUTE(B899,"?","~?"),"*","~*"),$B$3:$B$1002,"?*")&gt;0,"Yes","No"))</f>
        <v/>
      </c>
      <c r="V899">
        <f>IF(OR(G899="",I899="",O899="",O899="Unclassified"),"",IFERROR(INDEX(Settings!$E$5:$H$16,MATCH(I899,Settings!$D$5:$D$16,0),MATCH(O899,Settings!$E$4:$H$4,0)),"Check"))</f>
        <v/>
      </c>
      <c r="W899">
        <f>IF(V899="","",IF(V899="No","Yes","No"))</f>
        <v/>
      </c>
      <c r="X899">
        <f>IF(OR(E899="",G899=""),"",IF(LOWER(IF(RIGHT(TRIM(E899),1)="/",LEFT(TRIM(E899),LEN(TRIM(E899))-1),TRIM(E899)))&lt;&gt;LOWER(IF(RIGHT(TRIM(G899),1)="/",LEFT(TRIM(G899),LEN(TRIM(G899))-1),TRIM(G899))),"Yes","No"))</f>
        <v/>
      </c>
      <c r="Y899">
        <f>IF(A899="","",(N(Q899)&gt;0)+(T899="Yes")+(U899="Yes")+(W899="Yes")+(X899="Yes"))</f>
        <v/>
      </c>
      <c r="Z899">
        <f>IF(A899="","",IF(G899="","Not mapped",IF(Y899=0,"OK",MID(IF(N(Q899)&gt;0,"; Cannibalisation","")&amp;IF(T899="Yes","; Too many primary keywords on URL","")&amp;IF(U899="Yes","; URL spans 2+ clusters","")&amp;IF(W899="Yes","; Intent mismatch","")&amp;IF(X899="Yes","; Ranking URL is not the target",""),3,300))))</f>
        <v/>
      </c>
      <c r="AA899">
        <f>IF(G899="","",IF(COUNTIF($G$3:G899,SUBSTITUTE(SUBSTITUTE(G899,"?","~?"),"*","~*"))=1,MAX($AA$2:AA898)+1,""))</f>
        <v/>
      </c>
      <c r="AB899">
        <f>IF(B899="","",IF(COUNTIF($B$3:B899,SUBSTITUTE(SUBSTITUTE(B899,"?","~?"),"*","~*"))=1,MAX($AB$2:AB898)+1,""))</f>
        <v/>
      </c>
    </row>
    <row r="900">
      <c r="M900">
        <f>IF(A900="","",LOWER(TRIM(SUBSTITUTE(SUBSTITUTE(A900,"?",""),"*",""))))</f>
        <v/>
      </c>
      <c r="N900">
        <f>IF(M900="","",IF(SUMPRODUCT(ISNUMBER(SEARCH(" "&amp;Settings!$L$5:$L$124&amp;" "," "&amp;M900&amp;" "))*(Settings!$K$5:$K$124="Navigational")*(Settings!$L$5:$L$124&lt;&gt;""))&gt;0,"Navigational",IF(SUMPRODUCT(ISNUMBER(SEARCH(" "&amp;Settings!$L$5:$L$124&amp;" "," "&amp;M900&amp;" "))*(Settings!$K$5:$K$124="Transactional")*(Settings!$L$5:$L$124&lt;&gt;""))&gt;0,"Transactional",IF(SUMPRODUCT(ISNUMBER(SEARCH(" "&amp;Settings!$L$5:$L$124&amp;" "," "&amp;M900&amp;" "))*(Settings!$K$5:$K$124="Commercial")*(Settings!$L$5:$L$124&lt;&gt;""))&gt;0,"Commercial",IF(SUMPRODUCT(ISNUMBER(SEARCH(" "&amp;Settings!$L$5:$L$124&amp;" "," "&amp;M900&amp;" "))*(Settings!$K$5:$K$124="Informational")*(Settings!$L$5:$L$124&lt;&gt;""))&gt;0,"Informational","Unclassified")))))</f>
        <v/>
      </c>
      <c r="O900">
        <f>IF(A900="","",IF(K900&lt;&gt;"",PROPER(K900),N900))</f>
        <v/>
      </c>
      <c r="P900">
        <f>IF(A900="","",ROUND(Settings!$B$5*MIN(1,LOG10(N(C900)+1)/LOG10(Settings!$B$7+1))+Settings!$B$6*(1-MIN(100,IF(D900="",50,N(D900)))/100)+IFERROR(INDEX(Settings!$B$10:$B$14,MATCH(O900,Settings!$A$10:$A$14,0)),0),0))</f>
        <v/>
      </c>
      <c r="Q900">
        <f>IF(OR(A900="",G900=""),"",COUNTIFS($M$3:$M$1002,M900,$G$3:$G$1002,"&lt;&gt;"&amp;SUBSTITUTE(SUBSTITUTE(G900,"?","~?"),"*","~*"),$G$3:$G$1002,"?*"))</f>
        <v/>
      </c>
      <c r="R900">
        <f>IF(Q900="","",IF(Q900&gt;0,"Yes","No"))</f>
        <v/>
      </c>
      <c r="S900">
        <f>IF(G900="","",COUNTIFS($G$3:$G$1002,SUBSTITUTE(SUBSTITUTE(G900,"?","~?"),"*","~*"),$J$3:$J$1002,"Primary"))</f>
        <v/>
      </c>
      <c r="T900">
        <f>IF(S900="","",IF(S900&gt;Settings!$B$4,"Yes","No"))</f>
        <v/>
      </c>
      <c r="U900">
        <f>IF(OR(G900="",B900=""),"",IF(COUNTIFS($G$3:$G$1002,SUBSTITUTE(SUBSTITUTE(G900,"?","~?"),"*","~*"),$B$3:$B$1002,"&lt;&gt;"&amp;SUBSTITUTE(SUBSTITUTE(B900,"?","~?"),"*","~*"),$B$3:$B$1002,"?*")&gt;0,"Yes","No"))</f>
        <v/>
      </c>
      <c r="V900">
        <f>IF(OR(G900="",I900="",O900="",O900="Unclassified"),"",IFERROR(INDEX(Settings!$E$5:$H$16,MATCH(I900,Settings!$D$5:$D$16,0),MATCH(O900,Settings!$E$4:$H$4,0)),"Check"))</f>
        <v/>
      </c>
      <c r="W900">
        <f>IF(V900="","",IF(V900="No","Yes","No"))</f>
        <v/>
      </c>
      <c r="X900">
        <f>IF(OR(E900="",G900=""),"",IF(LOWER(IF(RIGHT(TRIM(E900),1)="/",LEFT(TRIM(E900),LEN(TRIM(E900))-1),TRIM(E900)))&lt;&gt;LOWER(IF(RIGHT(TRIM(G900),1)="/",LEFT(TRIM(G900),LEN(TRIM(G900))-1),TRIM(G900))),"Yes","No"))</f>
        <v/>
      </c>
      <c r="Y900">
        <f>IF(A900="","",(N(Q900)&gt;0)+(T900="Yes")+(U900="Yes")+(W900="Yes")+(X900="Yes"))</f>
        <v/>
      </c>
      <c r="Z900">
        <f>IF(A900="","",IF(G900="","Not mapped",IF(Y900=0,"OK",MID(IF(N(Q900)&gt;0,"; Cannibalisation","")&amp;IF(T900="Yes","; Too many primary keywords on URL","")&amp;IF(U900="Yes","; URL spans 2+ clusters","")&amp;IF(W900="Yes","; Intent mismatch","")&amp;IF(X900="Yes","; Ranking URL is not the target",""),3,300))))</f>
        <v/>
      </c>
      <c r="AA900">
        <f>IF(G900="","",IF(COUNTIF($G$3:G900,SUBSTITUTE(SUBSTITUTE(G900,"?","~?"),"*","~*"))=1,MAX($AA$2:AA899)+1,""))</f>
        <v/>
      </c>
      <c r="AB900">
        <f>IF(B900="","",IF(COUNTIF($B$3:B900,SUBSTITUTE(SUBSTITUTE(B900,"?","~?"),"*","~*"))=1,MAX($AB$2:AB899)+1,""))</f>
        <v/>
      </c>
    </row>
    <row r="901">
      <c r="M901">
        <f>IF(A901="","",LOWER(TRIM(SUBSTITUTE(SUBSTITUTE(A901,"?",""),"*",""))))</f>
        <v/>
      </c>
      <c r="N901">
        <f>IF(M901="","",IF(SUMPRODUCT(ISNUMBER(SEARCH(" "&amp;Settings!$L$5:$L$124&amp;" "," "&amp;M901&amp;" "))*(Settings!$K$5:$K$124="Navigational")*(Settings!$L$5:$L$124&lt;&gt;""))&gt;0,"Navigational",IF(SUMPRODUCT(ISNUMBER(SEARCH(" "&amp;Settings!$L$5:$L$124&amp;" "," "&amp;M901&amp;" "))*(Settings!$K$5:$K$124="Transactional")*(Settings!$L$5:$L$124&lt;&gt;""))&gt;0,"Transactional",IF(SUMPRODUCT(ISNUMBER(SEARCH(" "&amp;Settings!$L$5:$L$124&amp;" "," "&amp;M901&amp;" "))*(Settings!$K$5:$K$124="Commercial")*(Settings!$L$5:$L$124&lt;&gt;""))&gt;0,"Commercial",IF(SUMPRODUCT(ISNUMBER(SEARCH(" "&amp;Settings!$L$5:$L$124&amp;" "," "&amp;M901&amp;" "))*(Settings!$K$5:$K$124="Informational")*(Settings!$L$5:$L$124&lt;&gt;""))&gt;0,"Informational","Unclassified")))))</f>
        <v/>
      </c>
      <c r="O901">
        <f>IF(A901="","",IF(K901&lt;&gt;"",PROPER(K901),N901))</f>
        <v/>
      </c>
      <c r="P901">
        <f>IF(A901="","",ROUND(Settings!$B$5*MIN(1,LOG10(N(C901)+1)/LOG10(Settings!$B$7+1))+Settings!$B$6*(1-MIN(100,IF(D901="",50,N(D901)))/100)+IFERROR(INDEX(Settings!$B$10:$B$14,MATCH(O901,Settings!$A$10:$A$14,0)),0),0))</f>
        <v/>
      </c>
      <c r="Q901">
        <f>IF(OR(A901="",G901=""),"",COUNTIFS($M$3:$M$1002,M901,$G$3:$G$1002,"&lt;&gt;"&amp;SUBSTITUTE(SUBSTITUTE(G901,"?","~?"),"*","~*"),$G$3:$G$1002,"?*"))</f>
        <v/>
      </c>
      <c r="R901">
        <f>IF(Q901="","",IF(Q901&gt;0,"Yes","No"))</f>
        <v/>
      </c>
      <c r="S901">
        <f>IF(G901="","",COUNTIFS($G$3:$G$1002,SUBSTITUTE(SUBSTITUTE(G901,"?","~?"),"*","~*"),$J$3:$J$1002,"Primary"))</f>
        <v/>
      </c>
      <c r="T901">
        <f>IF(S901="","",IF(S901&gt;Settings!$B$4,"Yes","No"))</f>
        <v/>
      </c>
      <c r="U901">
        <f>IF(OR(G901="",B901=""),"",IF(COUNTIFS($G$3:$G$1002,SUBSTITUTE(SUBSTITUTE(G901,"?","~?"),"*","~*"),$B$3:$B$1002,"&lt;&gt;"&amp;SUBSTITUTE(SUBSTITUTE(B901,"?","~?"),"*","~*"),$B$3:$B$1002,"?*")&gt;0,"Yes","No"))</f>
        <v/>
      </c>
      <c r="V901">
        <f>IF(OR(G901="",I901="",O901="",O901="Unclassified"),"",IFERROR(INDEX(Settings!$E$5:$H$16,MATCH(I901,Settings!$D$5:$D$16,0),MATCH(O901,Settings!$E$4:$H$4,0)),"Check"))</f>
        <v/>
      </c>
      <c r="W901">
        <f>IF(V901="","",IF(V901="No","Yes","No"))</f>
        <v/>
      </c>
      <c r="X901">
        <f>IF(OR(E901="",G901=""),"",IF(LOWER(IF(RIGHT(TRIM(E901),1)="/",LEFT(TRIM(E901),LEN(TRIM(E901))-1),TRIM(E901)))&lt;&gt;LOWER(IF(RIGHT(TRIM(G901),1)="/",LEFT(TRIM(G901),LEN(TRIM(G901))-1),TRIM(G901))),"Yes","No"))</f>
        <v/>
      </c>
      <c r="Y901">
        <f>IF(A901="","",(N(Q901)&gt;0)+(T901="Yes")+(U901="Yes")+(W901="Yes")+(X901="Yes"))</f>
        <v/>
      </c>
      <c r="Z901">
        <f>IF(A901="","",IF(G901="","Not mapped",IF(Y901=0,"OK",MID(IF(N(Q901)&gt;0,"; Cannibalisation","")&amp;IF(T901="Yes","; Too many primary keywords on URL","")&amp;IF(U901="Yes","; URL spans 2+ clusters","")&amp;IF(W901="Yes","; Intent mismatch","")&amp;IF(X901="Yes","; Ranking URL is not the target",""),3,300))))</f>
        <v/>
      </c>
      <c r="AA901">
        <f>IF(G901="","",IF(COUNTIF($G$3:G901,SUBSTITUTE(SUBSTITUTE(G901,"?","~?"),"*","~*"))=1,MAX($AA$2:AA900)+1,""))</f>
        <v/>
      </c>
      <c r="AB901">
        <f>IF(B901="","",IF(COUNTIF($B$3:B901,SUBSTITUTE(SUBSTITUTE(B901,"?","~?"),"*","~*"))=1,MAX($AB$2:AB900)+1,""))</f>
        <v/>
      </c>
    </row>
    <row r="902">
      <c r="M902">
        <f>IF(A902="","",LOWER(TRIM(SUBSTITUTE(SUBSTITUTE(A902,"?",""),"*",""))))</f>
        <v/>
      </c>
      <c r="N902">
        <f>IF(M902="","",IF(SUMPRODUCT(ISNUMBER(SEARCH(" "&amp;Settings!$L$5:$L$124&amp;" "," "&amp;M902&amp;" "))*(Settings!$K$5:$K$124="Navigational")*(Settings!$L$5:$L$124&lt;&gt;""))&gt;0,"Navigational",IF(SUMPRODUCT(ISNUMBER(SEARCH(" "&amp;Settings!$L$5:$L$124&amp;" "," "&amp;M902&amp;" "))*(Settings!$K$5:$K$124="Transactional")*(Settings!$L$5:$L$124&lt;&gt;""))&gt;0,"Transactional",IF(SUMPRODUCT(ISNUMBER(SEARCH(" "&amp;Settings!$L$5:$L$124&amp;" "," "&amp;M902&amp;" "))*(Settings!$K$5:$K$124="Commercial")*(Settings!$L$5:$L$124&lt;&gt;""))&gt;0,"Commercial",IF(SUMPRODUCT(ISNUMBER(SEARCH(" "&amp;Settings!$L$5:$L$124&amp;" "," "&amp;M902&amp;" "))*(Settings!$K$5:$K$124="Informational")*(Settings!$L$5:$L$124&lt;&gt;""))&gt;0,"Informational","Unclassified")))))</f>
        <v/>
      </c>
      <c r="O902">
        <f>IF(A902="","",IF(K902&lt;&gt;"",PROPER(K902),N902))</f>
        <v/>
      </c>
      <c r="P902">
        <f>IF(A902="","",ROUND(Settings!$B$5*MIN(1,LOG10(N(C902)+1)/LOG10(Settings!$B$7+1))+Settings!$B$6*(1-MIN(100,IF(D902="",50,N(D902)))/100)+IFERROR(INDEX(Settings!$B$10:$B$14,MATCH(O902,Settings!$A$10:$A$14,0)),0),0))</f>
        <v/>
      </c>
      <c r="Q902">
        <f>IF(OR(A902="",G902=""),"",COUNTIFS($M$3:$M$1002,M902,$G$3:$G$1002,"&lt;&gt;"&amp;SUBSTITUTE(SUBSTITUTE(G902,"?","~?"),"*","~*"),$G$3:$G$1002,"?*"))</f>
        <v/>
      </c>
      <c r="R902">
        <f>IF(Q902="","",IF(Q902&gt;0,"Yes","No"))</f>
        <v/>
      </c>
      <c r="S902">
        <f>IF(G902="","",COUNTIFS($G$3:$G$1002,SUBSTITUTE(SUBSTITUTE(G902,"?","~?"),"*","~*"),$J$3:$J$1002,"Primary"))</f>
        <v/>
      </c>
      <c r="T902">
        <f>IF(S902="","",IF(S902&gt;Settings!$B$4,"Yes","No"))</f>
        <v/>
      </c>
      <c r="U902">
        <f>IF(OR(G902="",B902=""),"",IF(COUNTIFS($G$3:$G$1002,SUBSTITUTE(SUBSTITUTE(G902,"?","~?"),"*","~*"),$B$3:$B$1002,"&lt;&gt;"&amp;SUBSTITUTE(SUBSTITUTE(B902,"?","~?"),"*","~*"),$B$3:$B$1002,"?*")&gt;0,"Yes","No"))</f>
        <v/>
      </c>
      <c r="V902">
        <f>IF(OR(G902="",I902="",O902="",O902="Unclassified"),"",IFERROR(INDEX(Settings!$E$5:$H$16,MATCH(I902,Settings!$D$5:$D$16,0),MATCH(O902,Settings!$E$4:$H$4,0)),"Check"))</f>
        <v/>
      </c>
      <c r="W902">
        <f>IF(V902="","",IF(V902="No","Yes","No"))</f>
        <v/>
      </c>
      <c r="X902">
        <f>IF(OR(E902="",G902=""),"",IF(LOWER(IF(RIGHT(TRIM(E902),1)="/",LEFT(TRIM(E902),LEN(TRIM(E902))-1),TRIM(E902)))&lt;&gt;LOWER(IF(RIGHT(TRIM(G902),1)="/",LEFT(TRIM(G902),LEN(TRIM(G902))-1),TRIM(G902))),"Yes","No"))</f>
        <v/>
      </c>
      <c r="Y902">
        <f>IF(A902="","",(N(Q902)&gt;0)+(T902="Yes")+(U902="Yes")+(W902="Yes")+(X902="Yes"))</f>
        <v/>
      </c>
      <c r="Z902">
        <f>IF(A902="","",IF(G902="","Not mapped",IF(Y902=0,"OK",MID(IF(N(Q902)&gt;0,"; Cannibalisation","")&amp;IF(T902="Yes","; Too many primary keywords on URL","")&amp;IF(U902="Yes","; URL spans 2+ clusters","")&amp;IF(W902="Yes","; Intent mismatch","")&amp;IF(X902="Yes","; Ranking URL is not the target",""),3,300))))</f>
        <v/>
      </c>
      <c r="AA902">
        <f>IF(G902="","",IF(COUNTIF($G$3:G902,SUBSTITUTE(SUBSTITUTE(G902,"?","~?"),"*","~*"))=1,MAX($AA$2:AA901)+1,""))</f>
        <v/>
      </c>
      <c r="AB902">
        <f>IF(B902="","",IF(COUNTIF($B$3:B902,SUBSTITUTE(SUBSTITUTE(B902,"?","~?"),"*","~*"))=1,MAX($AB$2:AB901)+1,""))</f>
        <v/>
      </c>
    </row>
    <row r="903">
      <c r="M903">
        <f>IF(A903="","",LOWER(TRIM(SUBSTITUTE(SUBSTITUTE(A903,"?",""),"*",""))))</f>
        <v/>
      </c>
      <c r="N903">
        <f>IF(M903="","",IF(SUMPRODUCT(ISNUMBER(SEARCH(" "&amp;Settings!$L$5:$L$124&amp;" "," "&amp;M903&amp;" "))*(Settings!$K$5:$K$124="Navigational")*(Settings!$L$5:$L$124&lt;&gt;""))&gt;0,"Navigational",IF(SUMPRODUCT(ISNUMBER(SEARCH(" "&amp;Settings!$L$5:$L$124&amp;" "," "&amp;M903&amp;" "))*(Settings!$K$5:$K$124="Transactional")*(Settings!$L$5:$L$124&lt;&gt;""))&gt;0,"Transactional",IF(SUMPRODUCT(ISNUMBER(SEARCH(" "&amp;Settings!$L$5:$L$124&amp;" "," "&amp;M903&amp;" "))*(Settings!$K$5:$K$124="Commercial")*(Settings!$L$5:$L$124&lt;&gt;""))&gt;0,"Commercial",IF(SUMPRODUCT(ISNUMBER(SEARCH(" "&amp;Settings!$L$5:$L$124&amp;" "," "&amp;M903&amp;" "))*(Settings!$K$5:$K$124="Informational")*(Settings!$L$5:$L$124&lt;&gt;""))&gt;0,"Informational","Unclassified")))))</f>
        <v/>
      </c>
      <c r="O903">
        <f>IF(A903="","",IF(K903&lt;&gt;"",PROPER(K903),N903))</f>
        <v/>
      </c>
      <c r="P903">
        <f>IF(A903="","",ROUND(Settings!$B$5*MIN(1,LOG10(N(C903)+1)/LOG10(Settings!$B$7+1))+Settings!$B$6*(1-MIN(100,IF(D903="",50,N(D903)))/100)+IFERROR(INDEX(Settings!$B$10:$B$14,MATCH(O903,Settings!$A$10:$A$14,0)),0),0))</f>
        <v/>
      </c>
      <c r="Q903">
        <f>IF(OR(A903="",G903=""),"",COUNTIFS($M$3:$M$1002,M903,$G$3:$G$1002,"&lt;&gt;"&amp;SUBSTITUTE(SUBSTITUTE(G903,"?","~?"),"*","~*"),$G$3:$G$1002,"?*"))</f>
        <v/>
      </c>
      <c r="R903">
        <f>IF(Q903="","",IF(Q903&gt;0,"Yes","No"))</f>
        <v/>
      </c>
      <c r="S903">
        <f>IF(G903="","",COUNTIFS($G$3:$G$1002,SUBSTITUTE(SUBSTITUTE(G903,"?","~?"),"*","~*"),$J$3:$J$1002,"Primary"))</f>
        <v/>
      </c>
      <c r="T903">
        <f>IF(S903="","",IF(S903&gt;Settings!$B$4,"Yes","No"))</f>
        <v/>
      </c>
      <c r="U903">
        <f>IF(OR(G903="",B903=""),"",IF(COUNTIFS($G$3:$G$1002,SUBSTITUTE(SUBSTITUTE(G903,"?","~?"),"*","~*"),$B$3:$B$1002,"&lt;&gt;"&amp;SUBSTITUTE(SUBSTITUTE(B903,"?","~?"),"*","~*"),$B$3:$B$1002,"?*")&gt;0,"Yes","No"))</f>
        <v/>
      </c>
      <c r="V903">
        <f>IF(OR(G903="",I903="",O903="",O903="Unclassified"),"",IFERROR(INDEX(Settings!$E$5:$H$16,MATCH(I903,Settings!$D$5:$D$16,0),MATCH(O903,Settings!$E$4:$H$4,0)),"Check"))</f>
        <v/>
      </c>
      <c r="W903">
        <f>IF(V903="","",IF(V903="No","Yes","No"))</f>
        <v/>
      </c>
      <c r="X903">
        <f>IF(OR(E903="",G903=""),"",IF(LOWER(IF(RIGHT(TRIM(E903),1)="/",LEFT(TRIM(E903),LEN(TRIM(E903))-1),TRIM(E903)))&lt;&gt;LOWER(IF(RIGHT(TRIM(G903),1)="/",LEFT(TRIM(G903),LEN(TRIM(G903))-1),TRIM(G903))),"Yes","No"))</f>
        <v/>
      </c>
      <c r="Y903">
        <f>IF(A903="","",(N(Q903)&gt;0)+(T903="Yes")+(U903="Yes")+(W903="Yes")+(X903="Yes"))</f>
        <v/>
      </c>
      <c r="Z903">
        <f>IF(A903="","",IF(G903="","Not mapped",IF(Y903=0,"OK",MID(IF(N(Q903)&gt;0,"; Cannibalisation","")&amp;IF(T903="Yes","; Too many primary keywords on URL","")&amp;IF(U903="Yes","; URL spans 2+ clusters","")&amp;IF(W903="Yes","; Intent mismatch","")&amp;IF(X903="Yes","; Ranking URL is not the target",""),3,300))))</f>
        <v/>
      </c>
      <c r="AA903">
        <f>IF(G903="","",IF(COUNTIF($G$3:G903,SUBSTITUTE(SUBSTITUTE(G903,"?","~?"),"*","~*"))=1,MAX($AA$2:AA902)+1,""))</f>
        <v/>
      </c>
      <c r="AB903">
        <f>IF(B903="","",IF(COUNTIF($B$3:B903,SUBSTITUTE(SUBSTITUTE(B903,"?","~?"),"*","~*"))=1,MAX($AB$2:AB902)+1,""))</f>
        <v/>
      </c>
    </row>
    <row r="904">
      <c r="M904">
        <f>IF(A904="","",LOWER(TRIM(SUBSTITUTE(SUBSTITUTE(A904,"?",""),"*",""))))</f>
        <v/>
      </c>
      <c r="N904">
        <f>IF(M904="","",IF(SUMPRODUCT(ISNUMBER(SEARCH(" "&amp;Settings!$L$5:$L$124&amp;" "," "&amp;M904&amp;" "))*(Settings!$K$5:$K$124="Navigational")*(Settings!$L$5:$L$124&lt;&gt;""))&gt;0,"Navigational",IF(SUMPRODUCT(ISNUMBER(SEARCH(" "&amp;Settings!$L$5:$L$124&amp;" "," "&amp;M904&amp;" "))*(Settings!$K$5:$K$124="Transactional")*(Settings!$L$5:$L$124&lt;&gt;""))&gt;0,"Transactional",IF(SUMPRODUCT(ISNUMBER(SEARCH(" "&amp;Settings!$L$5:$L$124&amp;" "," "&amp;M904&amp;" "))*(Settings!$K$5:$K$124="Commercial")*(Settings!$L$5:$L$124&lt;&gt;""))&gt;0,"Commercial",IF(SUMPRODUCT(ISNUMBER(SEARCH(" "&amp;Settings!$L$5:$L$124&amp;" "," "&amp;M904&amp;" "))*(Settings!$K$5:$K$124="Informational")*(Settings!$L$5:$L$124&lt;&gt;""))&gt;0,"Informational","Unclassified")))))</f>
        <v/>
      </c>
      <c r="O904">
        <f>IF(A904="","",IF(K904&lt;&gt;"",PROPER(K904),N904))</f>
        <v/>
      </c>
      <c r="P904">
        <f>IF(A904="","",ROUND(Settings!$B$5*MIN(1,LOG10(N(C904)+1)/LOG10(Settings!$B$7+1))+Settings!$B$6*(1-MIN(100,IF(D904="",50,N(D904)))/100)+IFERROR(INDEX(Settings!$B$10:$B$14,MATCH(O904,Settings!$A$10:$A$14,0)),0),0))</f>
        <v/>
      </c>
      <c r="Q904">
        <f>IF(OR(A904="",G904=""),"",COUNTIFS($M$3:$M$1002,M904,$G$3:$G$1002,"&lt;&gt;"&amp;SUBSTITUTE(SUBSTITUTE(G904,"?","~?"),"*","~*"),$G$3:$G$1002,"?*"))</f>
        <v/>
      </c>
      <c r="R904">
        <f>IF(Q904="","",IF(Q904&gt;0,"Yes","No"))</f>
        <v/>
      </c>
      <c r="S904">
        <f>IF(G904="","",COUNTIFS($G$3:$G$1002,SUBSTITUTE(SUBSTITUTE(G904,"?","~?"),"*","~*"),$J$3:$J$1002,"Primary"))</f>
        <v/>
      </c>
      <c r="T904">
        <f>IF(S904="","",IF(S904&gt;Settings!$B$4,"Yes","No"))</f>
        <v/>
      </c>
      <c r="U904">
        <f>IF(OR(G904="",B904=""),"",IF(COUNTIFS($G$3:$G$1002,SUBSTITUTE(SUBSTITUTE(G904,"?","~?"),"*","~*"),$B$3:$B$1002,"&lt;&gt;"&amp;SUBSTITUTE(SUBSTITUTE(B904,"?","~?"),"*","~*"),$B$3:$B$1002,"?*")&gt;0,"Yes","No"))</f>
        <v/>
      </c>
      <c r="V904">
        <f>IF(OR(G904="",I904="",O904="",O904="Unclassified"),"",IFERROR(INDEX(Settings!$E$5:$H$16,MATCH(I904,Settings!$D$5:$D$16,0),MATCH(O904,Settings!$E$4:$H$4,0)),"Check"))</f>
        <v/>
      </c>
      <c r="W904">
        <f>IF(V904="","",IF(V904="No","Yes","No"))</f>
        <v/>
      </c>
      <c r="X904">
        <f>IF(OR(E904="",G904=""),"",IF(LOWER(IF(RIGHT(TRIM(E904),1)="/",LEFT(TRIM(E904),LEN(TRIM(E904))-1),TRIM(E904)))&lt;&gt;LOWER(IF(RIGHT(TRIM(G904),1)="/",LEFT(TRIM(G904),LEN(TRIM(G904))-1),TRIM(G904))),"Yes","No"))</f>
        <v/>
      </c>
      <c r="Y904">
        <f>IF(A904="","",(N(Q904)&gt;0)+(T904="Yes")+(U904="Yes")+(W904="Yes")+(X904="Yes"))</f>
        <v/>
      </c>
      <c r="Z904">
        <f>IF(A904="","",IF(G904="","Not mapped",IF(Y904=0,"OK",MID(IF(N(Q904)&gt;0,"; Cannibalisation","")&amp;IF(T904="Yes","; Too many primary keywords on URL","")&amp;IF(U904="Yes","; URL spans 2+ clusters","")&amp;IF(W904="Yes","; Intent mismatch","")&amp;IF(X904="Yes","; Ranking URL is not the target",""),3,300))))</f>
        <v/>
      </c>
      <c r="AA904">
        <f>IF(G904="","",IF(COUNTIF($G$3:G904,SUBSTITUTE(SUBSTITUTE(G904,"?","~?"),"*","~*"))=1,MAX($AA$2:AA903)+1,""))</f>
        <v/>
      </c>
      <c r="AB904">
        <f>IF(B904="","",IF(COUNTIF($B$3:B904,SUBSTITUTE(SUBSTITUTE(B904,"?","~?"),"*","~*"))=1,MAX($AB$2:AB903)+1,""))</f>
        <v/>
      </c>
    </row>
    <row r="905">
      <c r="M905">
        <f>IF(A905="","",LOWER(TRIM(SUBSTITUTE(SUBSTITUTE(A905,"?",""),"*",""))))</f>
        <v/>
      </c>
      <c r="N905">
        <f>IF(M905="","",IF(SUMPRODUCT(ISNUMBER(SEARCH(" "&amp;Settings!$L$5:$L$124&amp;" "," "&amp;M905&amp;" "))*(Settings!$K$5:$K$124="Navigational")*(Settings!$L$5:$L$124&lt;&gt;""))&gt;0,"Navigational",IF(SUMPRODUCT(ISNUMBER(SEARCH(" "&amp;Settings!$L$5:$L$124&amp;" "," "&amp;M905&amp;" "))*(Settings!$K$5:$K$124="Transactional")*(Settings!$L$5:$L$124&lt;&gt;""))&gt;0,"Transactional",IF(SUMPRODUCT(ISNUMBER(SEARCH(" "&amp;Settings!$L$5:$L$124&amp;" "," "&amp;M905&amp;" "))*(Settings!$K$5:$K$124="Commercial")*(Settings!$L$5:$L$124&lt;&gt;""))&gt;0,"Commercial",IF(SUMPRODUCT(ISNUMBER(SEARCH(" "&amp;Settings!$L$5:$L$124&amp;" "," "&amp;M905&amp;" "))*(Settings!$K$5:$K$124="Informational")*(Settings!$L$5:$L$124&lt;&gt;""))&gt;0,"Informational","Unclassified")))))</f>
        <v/>
      </c>
      <c r="O905">
        <f>IF(A905="","",IF(K905&lt;&gt;"",PROPER(K905),N905))</f>
        <v/>
      </c>
      <c r="P905">
        <f>IF(A905="","",ROUND(Settings!$B$5*MIN(1,LOG10(N(C905)+1)/LOG10(Settings!$B$7+1))+Settings!$B$6*(1-MIN(100,IF(D905="",50,N(D905)))/100)+IFERROR(INDEX(Settings!$B$10:$B$14,MATCH(O905,Settings!$A$10:$A$14,0)),0),0))</f>
        <v/>
      </c>
      <c r="Q905">
        <f>IF(OR(A905="",G905=""),"",COUNTIFS($M$3:$M$1002,M905,$G$3:$G$1002,"&lt;&gt;"&amp;SUBSTITUTE(SUBSTITUTE(G905,"?","~?"),"*","~*"),$G$3:$G$1002,"?*"))</f>
        <v/>
      </c>
      <c r="R905">
        <f>IF(Q905="","",IF(Q905&gt;0,"Yes","No"))</f>
        <v/>
      </c>
      <c r="S905">
        <f>IF(G905="","",COUNTIFS($G$3:$G$1002,SUBSTITUTE(SUBSTITUTE(G905,"?","~?"),"*","~*"),$J$3:$J$1002,"Primary"))</f>
        <v/>
      </c>
      <c r="T905">
        <f>IF(S905="","",IF(S905&gt;Settings!$B$4,"Yes","No"))</f>
        <v/>
      </c>
      <c r="U905">
        <f>IF(OR(G905="",B905=""),"",IF(COUNTIFS($G$3:$G$1002,SUBSTITUTE(SUBSTITUTE(G905,"?","~?"),"*","~*"),$B$3:$B$1002,"&lt;&gt;"&amp;SUBSTITUTE(SUBSTITUTE(B905,"?","~?"),"*","~*"),$B$3:$B$1002,"?*")&gt;0,"Yes","No"))</f>
        <v/>
      </c>
      <c r="V905">
        <f>IF(OR(G905="",I905="",O905="",O905="Unclassified"),"",IFERROR(INDEX(Settings!$E$5:$H$16,MATCH(I905,Settings!$D$5:$D$16,0),MATCH(O905,Settings!$E$4:$H$4,0)),"Check"))</f>
        <v/>
      </c>
      <c r="W905">
        <f>IF(V905="","",IF(V905="No","Yes","No"))</f>
        <v/>
      </c>
      <c r="X905">
        <f>IF(OR(E905="",G905=""),"",IF(LOWER(IF(RIGHT(TRIM(E905),1)="/",LEFT(TRIM(E905),LEN(TRIM(E905))-1),TRIM(E905)))&lt;&gt;LOWER(IF(RIGHT(TRIM(G905),1)="/",LEFT(TRIM(G905),LEN(TRIM(G905))-1),TRIM(G905))),"Yes","No"))</f>
        <v/>
      </c>
      <c r="Y905">
        <f>IF(A905="","",(N(Q905)&gt;0)+(T905="Yes")+(U905="Yes")+(W905="Yes")+(X905="Yes"))</f>
        <v/>
      </c>
      <c r="Z905">
        <f>IF(A905="","",IF(G905="","Not mapped",IF(Y905=0,"OK",MID(IF(N(Q905)&gt;0,"; Cannibalisation","")&amp;IF(T905="Yes","; Too many primary keywords on URL","")&amp;IF(U905="Yes","; URL spans 2+ clusters","")&amp;IF(W905="Yes","; Intent mismatch","")&amp;IF(X905="Yes","; Ranking URL is not the target",""),3,300))))</f>
        <v/>
      </c>
      <c r="AA905">
        <f>IF(G905="","",IF(COUNTIF($G$3:G905,SUBSTITUTE(SUBSTITUTE(G905,"?","~?"),"*","~*"))=1,MAX($AA$2:AA904)+1,""))</f>
        <v/>
      </c>
      <c r="AB905">
        <f>IF(B905="","",IF(COUNTIF($B$3:B905,SUBSTITUTE(SUBSTITUTE(B905,"?","~?"),"*","~*"))=1,MAX($AB$2:AB904)+1,""))</f>
        <v/>
      </c>
    </row>
    <row r="906">
      <c r="M906">
        <f>IF(A906="","",LOWER(TRIM(SUBSTITUTE(SUBSTITUTE(A906,"?",""),"*",""))))</f>
        <v/>
      </c>
      <c r="N906">
        <f>IF(M906="","",IF(SUMPRODUCT(ISNUMBER(SEARCH(" "&amp;Settings!$L$5:$L$124&amp;" "," "&amp;M906&amp;" "))*(Settings!$K$5:$K$124="Navigational")*(Settings!$L$5:$L$124&lt;&gt;""))&gt;0,"Navigational",IF(SUMPRODUCT(ISNUMBER(SEARCH(" "&amp;Settings!$L$5:$L$124&amp;" "," "&amp;M906&amp;" "))*(Settings!$K$5:$K$124="Transactional")*(Settings!$L$5:$L$124&lt;&gt;""))&gt;0,"Transactional",IF(SUMPRODUCT(ISNUMBER(SEARCH(" "&amp;Settings!$L$5:$L$124&amp;" "," "&amp;M906&amp;" "))*(Settings!$K$5:$K$124="Commercial")*(Settings!$L$5:$L$124&lt;&gt;""))&gt;0,"Commercial",IF(SUMPRODUCT(ISNUMBER(SEARCH(" "&amp;Settings!$L$5:$L$124&amp;" "," "&amp;M906&amp;" "))*(Settings!$K$5:$K$124="Informational")*(Settings!$L$5:$L$124&lt;&gt;""))&gt;0,"Informational","Unclassified")))))</f>
        <v/>
      </c>
      <c r="O906">
        <f>IF(A906="","",IF(K906&lt;&gt;"",PROPER(K906),N906))</f>
        <v/>
      </c>
      <c r="P906">
        <f>IF(A906="","",ROUND(Settings!$B$5*MIN(1,LOG10(N(C906)+1)/LOG10(Settings!$B$7+1))+Settings!$B$6*(1-MIN(100,IF(D906="",50,N(D906)))/100)+IFERROR(INDEX(Settings!$B$10:$B$14,MATCH(O906,Settings!$A$10:$A$14,0)),0),0))</f>
        <v/>
      </c>
      <c r="Q906">
        <f>IF(OR(A906="",G906=""),"",COUNTIFS($M$3:$M$1002,M906,$G$3:$G$1002,"&lt;&gt;"&amp;SUBSTITUTE(SUBSTITUTE(G906,"?","~?"),"*","~*"),$G$3:$G$1002,"?*"))</f>
        <v/>
      </c>
      <c r="R906">
        <f>IF(Q906="","",IF(Q906&gt;0,"Yes","No"))</f>
        <v/>
      </c>
      <c r="S906">
        <f>IF(G906="","",COUNTIFS($G$3:$G$1002,SUBSTITUTE(SUBSTITUTE(G906,"?","~?"),"*","~*"),$J$3:$J$1002,"Primary"))</f>
        <v/>
      </c>
      <c r="T906">
        <f>IF(S906="","",IF(S906&gt;Settings!$B$4,"Yes","No"))</f>
        <v/>
      </c>
      <c r="U906">
        <f>IF(OR(G906="",B906=""),"",IF(COUNTIFS($G$3:$G$1002,SUBSTITUTE(SUBSTITUTE(G906,"?","~?"),"*","~*"),$B$3:$B$1002,"&lt;&gt;"&amp;SUBSTITUTE(SUBSTITUTE(B906,"?","~?"),"*","~*"),$B$3:$B$1002,"?*")&gt;0,"Yes","No"))</f>
        <v/>
      </c>
      <c r="V906">
        <f>IF(OR(G906="",I906="",O906="",O906="Unclassified"),"",IFERROR(INDEX(Settings!$E$5:$H$16,MATCH(I906,Settings!$D$5:$D$16,0),MATCH(O906,Settings!$E$4:$H$4,0)),"Check"))</f>
        <v/>
      </c>
      <c r="W906">
        <f>IF(V906="","",IF(V906="No","Yes","No"))</f>
        <v/>
      </c>
      <c r="X906">
        <f>IF(OR(E906="",G906=""),"",IF(LOWER(IF(RIGHT(TRIM(E906),1)="/",LEFT(TRIM(E906),LEN(TRIM(E906))-1),TRIM(E906)))&lt;&gt;LOWER(IF(RIGHT(TRIM(G906),1)="/",LEFT(TRIM(G906),LEN(TRIM(G906))-1),TRIM(G906))),"Yes","No"))</f>
        <v/>
      </c>
      <c r="Y906">
        <f>IF(A906="","",(N(Q906)&gt;0)+(T906="Yes")+(U906="Yes")+(W906="Yes")+(X906="Yes"))</f>
        <v/>
      </c>
      <c r="Z906">
        <f>IF(A906="","",IF(G906="","Not mapped",IF(Y906=0,"OK",MID(IF(N(Q906)&gt;0,"; Cannibalisation","")&amp;IF(T906="Yes","; Too many primary keywords on URL","")&amp;IF(U906="Yes","; URL spans 2+ clusters","")&amp;IF(W906="Yes","; Intent mismatch","")&amp;IF(X906="Yes","; Ranking URL is not the target",""),3,300))))</f>
        <v/>
      </c>
      <c r="AA906">
        <f>IF(G906="","",IF(COUNTIF($G$3:G906,SUBSTITUTE(SUBSTITUTE(G906,"?","~?"),"*","~*"))=1,MAX($AA$2:AA905)+1,""))</f>
        <v/>
      </c>
      <c r="AB906">
        <f>IF(B906="","",IF(COUNTIF($B$3:B906,SUBSTITUTE(SUBSTITUTE(B906,"?","~?"),"*","~*"))=1,MAX($AB$2:AB905)+1,""))</f>
        <v/>
      </c>
    </row>
    <row r="907">
      <c r="M907">
        <f>IF(A907="","",LOWER(TRIM(SUBSTITUTE(SUBSTITUTE(A907,"?",""),"*",""))))</f>
        <v/>
      </c>
      <c r="N907">
        <f>IF(M907="","",IF(SUMPRODUCT(ISNUMBER(SEARCH(" "&amp;Settings!$L$5:$L$124&amp;" "," "&amp;M907&amp;" "))*(Settings!$K$5:$K$124="Navigational")*(Settings!$L$5:$L$124&lt;&gt;""))&gt;0,"Navigational",IF(SUMPRODUCT(ISNUMBER(SEARCH(" "&amp;Settings!$L$5:$L$124&amp;" "," "&amp;M907&amp;" "))*(Settings!$K$5:$K$124="Transactional")*(Settings!$L$5:$L$124&lt;&gt;""))&gt;0,"Transactional",IF(SUMPRODUCT(ISNUMBER(SEARCH(" "&amp;Settings!$L$5:$L$124&amp;" "," "&amp;M907&amp;" "))*(Settings!$K$5:$K$124="Commercial")*(Settings!$L$5:$L$124&lt;&gt;""))&gt;0,"Commercial",IF(SUMPRODUCT(ISNUMBER(SEARCH(" "&amp;Settings!$L$5:$L$124&amp;" "," "&amp;M907&amp;" "))*(Settings!$K$5:$K$124="Informational")*(Settings!$L$5:$L$124&lt;&gt;""))&gt;0,"Informational","Unclassified")))))</f>
        <v/>
      </c>
      <c r="O907">
        <f>IF(A907="","",IF(K907&lt;&gt;"",PROPER(K907),N907))</f>
        <v/>
      </c>
      <c r="P907">
        <f>IF(A907="","",ROUND(Settings!$B$5*MIN(1,LOG10(N(C907)+1)/LOG10(Settings!$B$7+1))+Settings!$B$6*(1-MIN(100,IF(D907="",50,N(D907)))/100)+IFERROR(INDEX(Settings!$B$10:$B$14,MATCH(O907,Settings!$A$10:$A$14,0)),0),0))</f>
        <v/>
      </c>
      <c r="Q907">
        <f>IF(OR(A907="",G907=""),"",COUNTIFS($M$3:$M$1002,M907,$G$3:$G$1002,"&lt;&gt;"&amp;SUBSTITUTE(SUBSTITUTE(G907,"?","~?"),"*","~*"),$G$3:$G$1002,"?*"))</f>
        <v/>
      </c>
      <c r="R907">
        <f>IF(Q907="","",IF(Q907&gt;0,"Yes","No"))</f>
        <v/>
      </c>
      <c r="S907">
        <f>IF(G907="","",COUNTIFS($G$3:$G$1002,SUBSTITUTE(SUBSTITUTE(G907,"?","~?"),"*","~*"),$J$3:$J$1002,"Primary"))</f>
        <v/>
      </c>
      <c r="T907">
        <f>IF(S907="","",IF(S907&gt;Settings!$B$4,"Yes","No"))</f>
        <v/>
      </c>
      <c r="U907">
        <f>IF(OR(G907="",B907=""),"",IF(COUNTIFS($G$3:$G$1002,SUBSTITUTE(SUBSTITUTE(G907,"?","~?"),"*","~*"),$B$3:$B$1002,"&lt;&gt;"&amp;SUBSTITUTE(SUBSTITUTE(B907,"?","~?"),"*","~*"),$B$3:$B$1002,"?*")&gt;0,"Yes","No"))</f>
        <v/>
      </c>
      <c r="V907">
        <f>IF(OR(G907="",I907="",O907="",O907="Unclassified"),"",IFERROR(INDEX(Settings!$E$5:$H$16,MATCH(I907,Settings!$D$5:$D$16,0),MATCH(O907,Settings!$E$4:$H$4,0)),"Check"))</f>
        <v/>
      </c>
      <c r="W907">
        <f>IF(V907="","",IF(V907="No","Yes","No"))</f>
        <v/>
      </c>
      <c r="X907">
        <f>IF(OR(E907="",G907=""),"",IF(LOWER(IF(RIGHT(TRIM(E907),1)="/",LEFT(TRIM(E907),LEN(TRIM(E907))-1),TRIM(E907)))&lt;&gt;LOWER(IF(RIGHT(TRIM(G907),1)="/",LEFT(TRIM(G907),LEN(TRIM(G907))-1),TRIM(G907))),"Yes","No"))</f>
        <v/>
      </c>
      <c r="Y907">
        <f>IF(A907="","",(N(Q907)&gt;0)+(T907="Yes")+(U907="Yes")+(W907="Yes")+(X907="Yes"))</f>
        <v/>
      </c>
      <c r="Z907">
        <f>IF(A907="","",IF(G907="","Not mapped",IF(Y907=0,"OK",MID(IF(N(Q907)&gt;0,"; Cannibalisation","")&amp;IF(T907="Yes","; Too many primary keywords on URL","")&amp;IF(U907="Yes","; URL spans 2+ clusters","")&amp;IF(W907="Yes","; Intent mismatch","")&amp;IF(X907="Yes","; Ranking URL is not the target",""),3,300))))</f>
        <v/>
      </c>
      <c r="AA907">
        <f>IF(G907="","",IF(COUNTIF($G$3:G907,SUBSTITUTE(SUBSTITUTE(G907,"?","~?"),"*","~*"))=1,MAX($AA$2:AA906)+1,""))</f>
        <v/>
      </c>
      <c r="AB907">
        <f>IF(B907="","",IF(COUNTIF($B$3:B907,SUBSTITUTE(SUBSTITUTE(B907,"?","~?"),"*","~*"))=1,MAX($AB$2:AB906)+1,""))</f>
        <v/>
      </c>
    </row>
    <row r="908">
      <c r="M908">
        <f>IF(A908="","",LOWER(TRIM(SUBSTITUTE(SUBSTITUTE(A908,"?",""),"*",""))))</f>
        <v/>
      </c>
      <c r="N908">
        <f>IF(M908="","",IF(SUMPRODUCT(ISNUMBER(SEARCH(" "&amp;Settings!$L$5:$L$124&amp;" "," "&amp;M908&amp;" "))*(Settings!$K$5:$K$124="Navigational")*(Settings!$L$5:$L$124&lt;&gt;""))&gt;0,"Navigational",IF(SUMPRODUCT(ISNUMBER(SEARCH(" "&amp;Settings!$L$5:$L$124&amp;" "," "&amp;M908&amp;" "))*(Settings!$K$5:$K$124="Transactional")*(Settings!$L$5:$L$124&lt;&gt;""))&gt;0,"Transactional",IF(SUMPRODUCT(ISNUMBER(SEARCH(" "&amp;Settings!$L$5:$L$124&amp;" "," "&amp;M908&amp;" "))*(Settings!$K$5:$K$124="Commercial")*(Settings!$L$5:$L$124&lt;&gt;""))&gt;0,"Commercial",IF(SUMPRODUCT(ISNUMBER(SEARCH(" "&amp;Settings!$L$5:$L$124&amp;" "," "&amp;M908&amp;" "))*(Settings!$K$5:$K$124="Informational")*(Settings!$L$5:$L$124&lt;&gt;""))&gt;0,"Informational","Unclassified")))))</f>
        <v/>
      </c>
      <c r="O908">
        <f>IF(A908="","",IF(K908&lt;&gt;"",PROPER(K908),N908))</f>
        <v/>
      </c>
      <c r="P908">
        <f>IF(A908="","",ROUND(Settings!$B$5*MIN(1,LOG10(N(C908)+1)/LOG10(Settings!$B$7+1))+Settings!$B$6*(1-MIN(100,IF(D908="",50,N(D908)))/100)+IFERROR(INDEX(Settings!$B$10:$B$14,MATCH(O908,Settings!$A$10:$A$14,0)),0),0))</f>
        <v/>
      </c>
      <c r="Q908">
        <f>IF(OR(A908="",G908=""),"",COUNTIFS($M$3:$M$1002,M908,$G$3:$G$1002,"&lt;&gt;"&amp;SUBSTITUTE(SUBSTITUTE(G908,"?","~?"),"*","~*"),$G$3:$G$1002,"?*"))</f>
        <v/>
      </c>
      <c r="R908">
        <f>IF(Q908="","",IF(Q908&gt;0,"Yes","No"))</f>
        <v/>
      </c>
      <c r="S908">
        <f>IF(G908="","",COUNTIFS($G$3:$G$1002,SUBSTITUTE(SUBSTITUTE(G908,"?","~?"),"*","~*"),$J$3:$J$1002,"Primary"))</f>
        <v/>
      </c>
      <c r="T908">
        <f>IF(S908="","",IF(S908&gt;Settings!$B$4,"Yes","No"))</f>
        <v/>
      </c>
      <c r="U908">
        <f>IF(OR(G908="",B908=""),"",IF(COUNTIFS($G$3:$G$1002,SUBSTITUTE(SUBSTITUTE(G908,"?","~?"),"*","~*"),$B$3:$B$1002,"&lt;&gt;"&amp;SUBSTITUTE(SUBSTITUTE(B908,"?","~?"),"*","~*"),$B$3:$B$1002,"?*")&gt;0,"Yes","No"))</f>
        <v/>
      </c>
      <c r="V908">
        <f>IF(OR(G908="",I908="",O908="",O908="Unclassified"),"",IFERROR(INDEX(Settings!$E$5:$H$16,MATCH(I908,Settings!$D$5:$D$16,0),MATCH(O908,Settings!$E$4:$H$4,0)),"Check"))</f>
        <v/>
      </c>
      <c r="W908">
        <f>IF(V908="","",IF(V908="No","Yes","No"))</f>
        <v/>
      </c>
      <c r="X908">
        <f>IF(OR(E908="",G908=""),"",IF(LOWER(IF(RIGHT(TRIM(E908),1)="/",LEFT(TRIM(E908),LEN(TRIM(E908))-1),TRIM(E908)))&lt;&gt;LOWER(IF(RIGHT(TRIM(G908),1)="/",LEFT(TRIM(G908),LEN(TRIM(G908))-1),TRIM(G908))),"Yes","No"))</f>
        <v/>
      </c>
      <c r="Y908">
        <f>IF(A908="","",(N(Q908)&gt;0)+(T908="Yes")+(U908="Yes")+(W908="Yes")+(X908="Yes"))</f>
        <v/>
      </c>
      <c r="Z908">
        <f>IF(A908="","",IF(G908="","Not mapped",IF(Y908=0,"OK",MID(IF(N(Q908)&gt;0,"; Cannibalisation","")&amp;IF(T908="Yes","; Too many primary keywords on URL","")&amp;IF(U908="Yes","; URL spans 2+ clusters","")&amp;IF(W908="Yes","; Intent mismatch","")&amp;IF(X908="Yes","; Ranking URL is not the target",""),3,300))))</f>
        <v/>
      </c>
      <c r="AA908">
        <f>IF(G908="","",IF(COUNTIF($G$3:G908,SUBSTITUTE(SUBSTITUTE(G908,"?","~?"),"*","~*"))=1,MAX($AA$2:AA907)+1,""))</f>
        <v/>
      </c>
      <c r="AB908">
        <f>IF(B908="","",IF(COUNTIF($B$3:B908,SUBSTITUTE(SUBSTITUTE(B908,"?","~?"),"*","~*"))=1,MAX($AB$2:AB907)+1,""))</f>
        <v/>
      </c>
    </row>
    <row r="909">
      <c r="M909">
        <f>IF(A909="","",LOWER(TRIM(SUBSTITUTE(SUBSTITUTE(A909,"?",""),"*",""))))</f>
        <v/>
      </c>
      <c r="N909">
        <f>IF(M909="","",IF(SUMPRODUCT(ISNUMBER(SEARCH(" "&amp;Settings!$L$5:$L$124&amp;" "," "&amp;M909&amp;" "))*(Settings!$K$5:$K$124="Navigational")*(Settings!$L$5:$L$124&lt;&gt;""))&gt;0,"Navigational",IF(SUMPRODUCT(ISNUMBER(SEARCH(" "&amp;Settings!$L$5:$L$124&amp;" "," "&amp;M909&amp;" "))*(Settings!$K$5:$K$124="Transactional")*(Settings!$L$5:$L$124&lt;&gt;""))&gt;0,"Transactional",IF(SUMPRODUCT(ISNUMBER(SEARCH(" "&amp;Settings!$L$5:$L$124&amp;" "," "&amp;M909&amp;" "))*(Settings!$K$5:$K$124="Commercial")*(Settings!$L$5:$L$124&lt;&gt;""))&gt;0,"Commercial",IF(SUMPRODUCT(ISNUMBER(SEARCH(" "&amp;Settings!$L$5:$L$124&amp;" "," "&amp;M909&amp;" "))*(Settings!$K$5:$K$124="Informational")*(Settings!$L$5:$L$124&lt;&gt;""))&gt;0,"Informational","Unclassified")))))</f>
        <v/>
      </c>
      <c r="O909">
        <f>IF(A909="","",IF(K909&lt;&gt;"",PROPER(K909),N909))</f>
        <v/>
      </c>
      <c r="P909">
        <f>IF(A909="","",ROUND(Settings!$B$5*MIN(1,LOG10(N(C909)+1)/LOG10(Settings!$B$7+1))+Settings!$B$6*(1-MIN(100,IF(D909="",50,N(D909)))/100)+IFERROR(INDEX(Settings!$B$10:$B$14,MATCH(O909,Settings!$A$10:$A$14,0)),0),0))</f>
        <v/>
      </c>
      <c r="Q909">
        <f>IF(OR(A909="",G909=""),"",COUNTIFS($M$3:$M$1002,M909,$G$3:$G$1002,"&lt;&gt;"&amp;SUBSTITUTE(SUBSTITUTE(G909,"?","~?"),"*","~*"),$G$3:$G$1002,"?*"))</f>
        <v/>
      </c>
      <c r="R909">
        <f>IF(Q909="","",IF(Q909&gt;0,"Yes","No"))</f>
        <v/>
      </c>
      <c r="S909">
        <f>IF(G909="","",COUNTIFS($G$3:$G$1002,SUBSTITUTE(SUBSTITUTE(G909,"?","~?"),"*","~*"),$J$3:$J$1002,"Primary"))</f>
        <v/>
      </c>
      <c r="T909">
        <f>IF(S909="","",IF(S909&gt;Settings!$B$4,"Yes","No"))</f>
        <v/>
      </c>
      <c r="U909">
        <f>IF(OR(G909="",B909=""),"",IF(COUNTIFS($G$3:$G$1002,SUBSTITUTE(SUBSTITUTE(G909,"?","~?"),"*","~*"),$B$3:$B$1002,"&lt;&gt;"&amp;SUBSTITUTE(SUBSTITUTE(B909,"?","~?"),"*","~*"),$B$3:$B$1002,"?*")&gt;0,"Yes","No"))</f>
        <v/>
      </c>
      <c r="V909">
        <f>IF(OR(G909="",I909="",O909="",O909="Unclassified"),"",IFERROR(INDEX(Settings!$E$5:$H$16,MATCH(I909,Settings!$D$5:$D$16,0),MATCH(O909,Settings!$E$4:$H$4,0)),"Check"))</f>
        <v/>
      </c>
      <c r="W909">
        <f>IF(V909="","",IF(V909="No","Yes","No"))</f>
        <v/>
      </c>
      <c r="X909">
        <f>IF(OR(E909="",G909=""),"",IF(LOWER(IF(RIGHT(TRIM(E909),1)="/",LEFT(TRIM(E909),LEN(TRIM(E909))-1),TRIM(E909)))&lt;&gt;LOWER(IF(RIGHT(TRIM(G909),1)="/",LEFT(TRIM(G909),LEN(TRIM(G909))-1),TRIM(G909))),"Yes","No"))</f>
        <v/>
      </c>
      <c r="Y909">
        <f>IF(A909="","",(N(Q909)&gt;0)+(T909="Yes")+(U909="Yes")+(W909="Yes")+(X909="Yes"))</f>
        <v/>
      </c>
      <c r="Z909">
        <f>IF(A909="","",IF(G909="","Not mapped",IF(Y909=0,"OK",MID(IF(N(Q909)&gt;0,"; Cannibalisation","")&amp;IF(T909="Yes","; Too many primary keywords on URL","")&amp;IF(U909="Yes","; URL spans 2+ clusters","")&amp;IF(W909="Yes","; Intent mismatch","")&amp;IF(X909="Yes","; Ranking URL is not the target",""),3,300))))</f>
        <v/>
      </c>
      <c r="AA909">
        <f>IF(G909="","",IF(COUNTIF($G$3:G909,SUBSTITUTE(SUBSTITUTE(G909,"?","~?"),"*","~*"))=1,MAX($AA$2:AA908)+1,""))</f>
        <v/>
      </c>
      <c r="AB909">
        <f>IF(B909="","",IF(COUNTIF($B$3:B909,SUBSTITUTE(SUBSTITUTE(B909,"?","~?"),"*","~*"))=1,MAX($AB$2:AB908)+1,""))</f>
        <v/>
      </c>
    </row>
    <row r="910">
      <c r="M910">
        <f>IF(A910="","",LOWER(TRIM(SUBSTITUTE(SUBSTITUTE(A910,"?",""),"*",""))))</f>
        <v/>
      </c>
      <c r="N910">
        <f>IF(M910="","",IF(SUMPRODUCT(ISNUMBER(SEARCH(" "&amp;Settings!$L$5:$L$124&amp;" "," "&amp;M910&amp;" "))*(Settings!$K$5:$K$124="Navigational")*(Settings!$L$5:$L$124&lt;&gt;""))&gt;0,"Navigational",IF(SUMPRODUCT(ISNUMBER(SEARCH(" "&amp;Settings!$L$5:$L$124&amp;" "," "&amp;M910&amp;" "))*(Settings!$K$5:$K$124="Transactional")*(Settings!$L$5:$L$124&lt;&gt;""))&gt;0,"Transactional",IF(SUMPRODUCT(ISNUMBER(SEARCH(" "&amp;Settings!$L$5:$L$124&amp;" "," "&amp;M910&amp;" "))*(Settings!$K$5:$K$124="Commercial")*(Settings!$L$5:$L$124&lt;&gt;""))&gt;0,"Commercial",IF(SUMPRODUCT(ISNUMBER(SEARCH(" "&amp;Settings!$L$5:$L$124&amp;" "," "&amp;M910&amp;" "))*(Settings!$K$5:$K$124="Informational")*(Settings!$L$5:$L$124&lt;&gt;""))&gt;0,"Informational","Unclassified")))))</f>
        <v/>
      </c>
      <c r="O910">
        <f>IF(A910="","",IF(K910&lt;&gt;"",PROPER(K910),N910))</f>
        <v/>
      </c>
      <c r="P910">
        <f>IF(A910="","",ROUND(Settings!$B$5*MIN(1,LOG10(N(C910)+1)/LOG10(Settings!$B$7+1))+Settings!$B$6*(1-MIN(100,IF(D910="",50,N(D910)))/100)+IFERROR(INDEX(Settings!$B$10:$B$14,MATCH(O910,Settings!$A$10:$A$14,0)),0),0))</f>
        <v/>
      </c>
      <c r="Q910">
        <f>IF(OR(A910="",G910=""),"",COUNTIFS($M$3:$M$1002,M910,$G$3:$G$1002,"&lt;&gt;"&amp;SUBSTITUTE(SUBSTITUTE(G910,"?","~?"),"*","~*"),$G$3:$G$1002,"?*"))</f>
        <v/>
      </c>
      <c r="R910">
        <f>IF(Q910="","",IF(Q910&gt;0,"Yes","No"))</f>
        <v/>
      </c>
      <c r="S910">
        <f>IF(G910="","",COUNTIFS($G$3:$G$1002,SUBSTITUTE(SUBSTITUTE(G910,"?","~?"),"*","~*"),$J$3:$J$1002,"Primary"))</f>
        <v/>
      </c>
      <c r="T910">
        <f>IF(S910="","",IF(S910&gt;Settings!$B$4,"Yes","No"))</f>
        <v/>
      </c>
      <c r="U910">
        <f>IF(OR(G910="",B910=""),"",IF(COUNTIFS($G$3:$G$1002,SUBSTITUTE(SUBSTITUTE(G910,"?","~?"),"*","~*"),$B$3:$B$1002,"&lt;&gt;"&amp;SUBSTITUTE(SUBSTITUTE(B910,"?","~?"),"*","~*"),$B$3:$B$1002,"?*")&gt;0,"Yes","No"))</f>
        <v/>
      </c>
      <c r="V910">
        <f>IF(OR(G910="",I910="",O910="",O910="Unclassified"),"",IFERROR(INDEX(Settings!$E$5:$H$16,MATCH(I910,Settings!$D$5:$D$16,0),MATCH(O910,Settings!$E$4:$H$4,0)),"Check"))</f>
        <v/>
      </c>
      <c r="W910">
        <f>IF(V910="","",IF(V910="No","Yes","No"))</f>
        <v/>
      </c>
      <c r="X910">
        <f>IF(OR(E910="",G910=""),"",IF(LOWER(IF(RIGHT(TRIM(E910),1)="/",LEFT(TRIM(E910),LEN(TRIM(E910))-1),TRIM(E910)))&lt;&gt;LOWER(IF(RIGHT(TRIM(G910),1)="/",LEFT(TRIM(G910),LEN(TRIM(G910))-1),TRIM(G910))),"Yes","No"))</f>
        <v/>
      </c>
      <c r="Y910">
        <f>IF(A910="","",(N(Q910)&gt;0)+(T910="Yes")+(U910="Yes")+(W910="Yes")+(X910="Yes"))</f>
        <v/>
      </c>
      <c r="Z910">
        <f>IF(A910="","",IF(G910="","Not mapped",IF(Y910=0,"OK",MID(IF(N(Q910)&gt;0,"; Cannibalisation","")&amp;IF(T910="Yes","; Too many primary keywords on URL","")&amp;IF(U910="Yes","; URL spans 2+ clusters","")&amp;IF(W910="Yes","; Intent mismatch","")&amp;IF(X910="Yes","; Ranking URL is not the target",""),3,300))))</f>
        <v/>
      </c>
      <c r="AA910">
        <f>IF(G910="","",IF(COUNTIF($G$3:G910,SUBSTITUTE(SUBSTITUTE(G910,"?","~?"),"*","~*"))=1,MAX($AA$2:AA909)+1,""))</f>
        <v/>
      </c>
      <c r="AB910">
        <f>IF(B910="","",IF(COUNTIF($B$3:B910,SUBSTITUTE(SUBSTITUTE(B910,"?","~?"),"*","~*"))=1,MAX($AB$2:AB909)+1,""))</f>
        <v/>
      </c>
    </row>
    <row r="911">
      <c r="M911">
        <f>IF(A911="","",LOWER(TRIM(SUBSTITUTE(SUBSTITUTE(A911,"?",""),"*",""))))</f>
        <v/>
      </c>
      <c r="N911">
        <f>IF(M911="","",IF(SUMPRODUCT(ISNUMBER(SEARCH(" "&amp;Settings!$L$5:$L$124&amp;" "," "&amp;M911&amp;" "))*(Settings!$K$5:$K$124="Navigational")*(Settings!$L$5:$L$124&lt;&gt;""))&gt;0,"Navigational",IF(SUMPRODUCT(ISNUMBER(SEARCH(" "&amp;Settings!$L$5:$L$124&amp;" "," "&amp;M911&amp;" "))*(Settings!$K$5:$K$124="Transactional")*(Settings!$L$5:$L$124&lt;&gt;""))&gt;0,"Transactional",IF(SUMPRODUCT(ISNUMBER(SEARCH(" "&amp;Settings!$L$5:$L$124&amp;" "," "&amp;M911&amp;" "))*(Settings!$K$5:$K$124="Commercial")*(Settings!$L$5:$L$124&lt;&gt;""))&gt;0,"Commercial",IF(SUMPRODUCT(ISNUMBER(SEARCH(" "&amp;Settings!$L$5:$L$124&amp;" "," "&amp;M911&amp;" "))*(Settings!$K$5:$K$124="Informational")*(Settings!$L$5:$L$124&lt;&gt;""))&gt;0,"Informational","Unclassified")))))</f>
        <v/>
      </c>
      <c r="O911">
        <f>IF(A911="","",IF(K911&lt;&gt;"",PROPER(K911),N911))</f>
        <v/>
      </c>
      <c r="P911">
        <f>IF(A911="","",ROUND(Settings!$B$5*MIN(1,LOG10(N(C911)+1)/LOG10(Settings!$B$7+1))+Settings!$B$6*(1-MIN(100,IF(D911="",50,N(D911)))/100)+IFERROR(INDEX(Settings!$B$10:$B$14,MATCH(O911,Settings!$A$10:$A$14,0)),0),0))</f>
        <v/>
      </c>
      <c r="Q911">
        <f>IF(OR(A911="",G911=""),"",COUNTIFS($M$3:$M$1002,M911,$G$3:$G$1002,"&lt;&gt;"&amp;SUBSTITUTE(SUBSTITUTE(G911,"?","~?"),"*","~*"),$G$3:$G$1002,"?*"))</f>
        <v/>
      </c>
      <c r="R911">
        <f>IF(Q911="","",IF(Q911&gt;0,"Yes","No"))</f>
        <v/>
      </c>
      <c r="S911">
        <f>IF(G911="","",COUNTIFS($G$3:$G$1002,SUBSTITUTE(SUBSTITUTE(G911,"?","~?"),"*","~*"),$J$3:$J$1002,"Primary"))</f>
        <v/>
      </c>
      <c r="T911">
        <f>IF(S911="","",IF(S911&gt;Settings!$B$4,"Yes","No"))</f>
        <v/>
      </c>
      <c r="U911">
        <f>IF(OR(G911="",B911=""),"",IF(COUNTIFS($G$3:$G$1002,SUBSTITUTE(SUBSTITUTE(G911,"?","~?"),"*","~*"),$B$3:$B$1002,"&lt;&gt;"&amp;SUBSTITUTE(SUBSTITUTE(B911,"?","~?"),"*","~*"),$B$3:$B$1002,"?*")&gt;0,"Yes","No"))</f>
        <v/>
      </c>
      <c r="V911">
        <f>IF(OR(G911="",I911="",O911="",O911="Unclassified"),"",IFERROR(INDEX(Settings!$E$5:$H$16,MATCH(I911,Settings!$D$5:$D$16,0),MATCH(O911,Settings!$E$4:$H$4,0)),"Check"))</f>
        <v/>
      </c>
      <c r="W911">
        <f>IF(V911="","",IF(V911="No","Yes","No"))</f>
        <v/>
      </c>
      <c r="X911">
        <f>IF(OR(E911="",G911=""),"",IF(LOWER(IF(RIGHT(TRIM(E911),1)="/",LEFT(TRIM(E911),LEN(TRIM(E911))-1),TRIM(E911)))&lt;&gt;LOWER(IF(RIGHT(TRIM(G911),1)="/",LEFT(TRIM(G911),LEN(TRIM(G911))-1),TRIM(G911))),"Yes","No"))</f>
        <v/>
      </c>
      <c r="Y911">
        <f>IF(A911="","",(N(Q911)&gt;0)+(T911="Yes")+(U911="Yes")+(W911="Yes")+(X911="Yes"))</f>
        <v/>
      </c>
      <c r="Z911">
        <f>IF(A911="","",IF(G911="","Not mapped",IF(Y911=0,"OK",MID(IF(N(Q911)&gt;0,"; Cannibalisation","")&amp;IF(T911="Yes","; Too many primary keywords on URL","")&amp;IF(U911="Yes","; URL spans 2+ clusters","")&amp;IF(W911="Yes","; Intent mismatch","")&amp;IF(X911="Yes","; Ranking URL is not the target",""),3,300))))</f>
        <v/>
      </c>
      <c r="AA911">
        <f>IF(G911="","",IF(COUNTIF($G$3:G911,SUBSTITUTE(SUBSTITUTE(G911,"?","~?"),"*","~*"))=1,MAX($AA$2:AA910)+1,""))</f>
        <v/>
      </c>
      <c r="AB911">
        <f>IF(B911="","",IF(COUNTIF($B$3:B911,SUBSTITUTE(SUBSTITUTE(B911,"?","~?"),"*","~*"))=1,MAX($AB$2:AB910)+1,""))</f>
        <v/>
      </c>
    </row>
    <row r="912">
      <c r="M912">
        <f>IF(A912="","",LOWER(TRIM(SUBSTITUTE(SUBSTITUTE(A912,"?",""),"*",""))))</f>
        <v/>
      </c>
      <c r="N912">
        <f>IF(M912="","",IF(SUMPRODUCT(ISNUMBER(SEARCH(" "&amp;Settings!$L$5:$L$124&amp;" "," "&amp;M912&amp;" "))*(Settings!$K$5:$K$124="Navigational")*(Settings!$L$5:$L$124&lt;&gt;""))&gt;0,"Navigational",IF(SUMPRODUCT(ISNUMBER(SEARCH(" "&amp;Settings!$L$5:$L$124&amp;" "," "&amp;M912&amp;" "))*(Settings!$K$5:$K$124="Transactional")*(Settings!$L$5:$L$124&lt;&gt;""))&gt;0,"Transactional",IF(SUMPRODUCT(ISNUMBER(SEARCH(" "&amp;Settings!$L$5:$L$124&amp;" "," "&amp;M912&amp;" "))*(Settings!$K$5:$K$124="Commercial")*(Settings!$L$5:$L$124&lt;&gt;""))&gt;0,"Commercial",IF(SUMPRODUCT(ISNUMBER(SEARCH(" "&amp;Settings!$L$5:$L$124&amp;" "," "&amp;M912&amp;" "))*(Settings!$K$5:$K$124="Informational")*(Settings!$L$5:$L$124&lt;&gt;""))&gt;0,"Informational","Unclassified")))))</f>
        <v/>
      </c>
      <c r="O912">
        <f>IF(A912="","",IF(K912&lt;&gt;"",PROPER(K912),N912))</f>
        <v/>
      </c>
      <c r="P912">
        <f>IF(A912="","",ROUND(Settings!$B$5*MIN(1,LOG10(N(C912)+1)/LOG10(Settings!$B$7+1))+Settings!$B$6*(1-MIN(100,IF(D912="",50,N(D912)))/100)+IFERROR(INDEX(Settings!$B$10:$B$14,MATCH(O912,Settings!$A$10:$A$14,0)),0),0))</f>
        <v/>
      </c>
      <c r="Q912">
        <f>IF(OR(A912="",G912=""),"",COUNTIFS($M$3:$M$1002,M912,$G$3:$G$1002,"&lt;&gt;"&amp;SUBSTITUTE(SUBSTITUTE(G912,"?","~?"),"*","~*"),$G$3:$G$1002,"?*"))</f>
        <v/>
      </c>
      <c r="R912">
        <f>IF(Q912="","",IF(Q912&gt;0,"Yes","No"))</f>
        <v/>
      </c>
      <c r="S912">
        <f>IF(G912="","",COUNTIFS($G$3:$G$1002,SUBSTITUTE(SUBSTITUTE(G912,"?","~?"),"*","~*"),$J$3:$J$1002,"Primary"))</f>
        <v/>
      </c>
      <c r="T912">
        <f>IF(S912="","",IF(S912&gt;Settings!$B$4,"Yes","No"))</f>
        <v/>
      </c>
      <c r="U912">
        <f>IF(OR(G912="",B912=""),"",IF(COUNTIFS($G$3:$G$1002,SUBSTITUTE(SUBSTITUTE(G912,"?","~?"),"*","~*"),$B$3:$B$1002,"&lt;&gt;"&amp;SUBSTITUTE(SUBSTITUTE(B912,"?","~?"),"*","~*"),$B$3:$B$1002,"?*")&gt;0,"Yes","No"))</f>
        <v/>
      </c>
      <c r="V912">
        <f>IF(OR(G912="",I912="",O912="",O912="Unclassified"),"",IFERROR(INDEX(Settings!$E$5:$H$16,MATCH(I912,Settings!$D$5:$D$16,0),MATCH(O912,Settings!$E$4:$H$4,0)),"Check"))</f>
        <v/>
      </c>
      <c r="W912">
        <f>IF(V912="","",IF(V912="No","Yes","No"))</f>
        <v/>
      </c>
      <c r="X912">
        <f>IF(OR(E912="",G912=""),"",IF(LOWER(IF(RIGHT(TRIM(E912),1)="/",LEFT(TRIM(E912),LEN(TRIM(E912))-1),TRIM(E912)))&lt;&gt;LOWER(IF(RIGHT(TRIM(G912),1)="/",LEFT(TRIM(G912),LEN(TRIM(G912))-1),TRIM(G912))),"Yes","No"))</f>
        <v/>
      </c>
      <c r="Y912">
        <f>IF(A912="","",(N(Q912)&gt;0)+(T912="Yes")+(U912="Yes")+(W912="Yes")+(X912="Yes"))</f>
        <v/>
      </c>
      <c r="Z912">
        <f>IF(A912="","",IF(G912="","Not mapped",IF(Y912=0,"OK",MID(IF(N(Q912)&gt;0,"; Cannibalisation","")&amp;IF(T912="Yes","; Too many primary keywords on URL","")&amp;IF(U912="Yes","; URL spans 2+ clusters","")&amp;IF(W912="Yes","; Intent mismatch","")&amp;IF(X912="Yes","; Ranking URL is not the target",""),3,300))))</f>
        <v/>
      </c>
      <c r="AA912">
        <f>IF(G912="","",IF(COUNTIF($G$3:G912,SUBSTITUTE(SUBSTITUTE(G912,"?","~?"),"*","~*"))=1,MAX($AA$2:AA911)+1,""))</f>
        <v/>
      </c>
      <c r="AB912">
        <f>IF(B912="","",IF(COUNTIF($B$3:B912,SUBSTITUTE(SUBSTITUTE(B912,"?","~?"),"*","~*"))=1,MAX($AB$2:AB911)+1,""))</f>
        <v/>
      </c>
    </row>
    <row r="913">
      <c r="M913">
        <f>IF(A913="","",LOWER(TRIM(SUBSTITUTE(SUBSTITUTE(A913,"?",""),"*",""))))</f>
        <v/>
      </c>
      <c r="N913">
        <f>IF(M913="","",IF(SUMPRODUCT(ISNUMBER(SEARCH(" "&amp;Settings!$L$5:$L$124&amp;" "," "&amp;M913&amp;" "))*(Settings!$K$5:$K$124="Navigational")*(Settings!$L$5:$L$124&lt;&gt;""))&gt;0,"Navigational",IF(SUMPRODUCT(ISNUMBER(SEARCH(" "&amp;Settings!$L$5:$L$124&amp;" "," "&amp;M913&amp;" "))*(Settings!$K$5:$K$124="Transactional")*(Settings!$L$5:$L$124&lt;&gt;""))&gt;0,"Transactional",IF(SUMPRODUCT(ISNUMBER(SEARCH(" "&amp;Settings!$L$5:$L$124&amp;" "," "&amp;M913&amp;" "))*(Settings!$K$5:$K$124="Commercial")*(Settings!$L$5:$L$124&lt;&gt;""))&gt;0,"Commercial",IF(SUMPRODUCT(ISNUMBER(SEARCH(" "&amp;Settings!$L$5:$L$124&amp;" "," "&amp;M913&amp;" "))*(Settings!$K$5:$K$124="Informational")*(Settings!$L$5:$L$124&lt;&gt;""))&gt;0,"Informational","Unclassified")))))</f>
        <v/>
      </c>
      <c r="O913">
        <f>IF(A913="","",IF(K913&lt;&gt;"",PROPER(K913),N913))</f>
        <v/>
      </c>
      <c r="P913">
        <f>IF(A913="","",ROUND(Settings!$B$5*MIN(1,LOG10(N(C913)+1)/LOG10(Settings!$B$7+1))+Settings!$B$6*(1-MIN(100,IF(D913="",50,N(D913)))/100)+IFERROR(INDEX(Settings!$B$10:$B$14,MATCH(O913,Settings!$A$10:$A$14,0)),0),0))</f>
        <v/>
      </c>
      <c r="Q913">
        <f>IF(OR(A913="",G913=""),"",COUNTIFS($M$3:$M$1002,M913,$G$3:$G$1002,"&lt;&gt;"&amp;SUBSTITUTE(SUBSTITUTE(G913,"?","~?"),"*","~*"),$G$3:$G$1002,"?*"))</f>
        <v/>
      </c>
      <c r="R913">
        <f>IF(Q913="","",IF(Q913&gt;0,"Yes","No"))</f>
        <v/>
      </c>
      <c r="S913">
        <f>IF(G913="","",COUNTIFS($G$3:$G$1002,SUBSTITUTE(SUBSTITUTE(G913,"?","~?"),"*","~*"),$J$3:$J$1002,"Primary"))</f>
        <v/>
      </c>
      <c r="T913">
        <f>IF(S913="","",IF(S913&gt;Settings!$B$4,"Yes","No"))</f>
        <v/>
      </c>
      <c r="U913">
        <f>IF(OR(G913="",B913=""),"",IF(COUNTIFS($G$3:$G$1002,SUBSTITUTE(SUBSTITUTE(G913,"?","~?"),"*","~*"),$B$3:$B$1002,"&lt;&gt;"&amp;SUBSTITUTE(SUBSTITUTE(B913,"?","~?"),"*","~*"),$B$3:$B$1002,"?*")&gt;0,"Yes","No"))</f>
        <v/>
      </c>
      <c r="V913">
        <f>IF(OR(G913="",I913="",O913="",O913="Unclassified"),"",IFERROR(INDEX(Settings!$E$5:$H$16,MATCH(I913,Settings!$D$5:$D$16,0),MATCH(O913,Settings!$E$4:$H$4,0)),"Check"))</f>
        <v/>
      </c>
      <c r="W913">
        <f>IF(V913="","",IF(V913="No","Yes","No"))</f>
        <v/>
      </c>
      <c r="X913">
        <f>IF(OR(E913="",G913=""),"",IF(LOWER(IF(RIGHT(TRIM(E913),1)="/",LEFT(TRIM(E913),LEN(TRIM(E913))-1),TRIM(E913)))&lt;&gt;LOWER(IF(RIGHT(TRIM(G913),1)="/",LEFT(TRIM(G913),LEN(TRIM(G913))-1),TRIM(G913))),"Yes","No"))</f>
        <v/>
      </c>
      <c r="Y913">
        <f>IF(A913="","",(N(Q913)&gt;0)+(T913="Yes")+(U913="Yes")+(W913="Yes")+(X913="Yes"))</f>
        <v/>
      </c>
      <c r="Z913">
        <f>IF(A913="","",IF(G913="","Not mapped",IF(Y913=0,"OK",MID(IF(N(Q913)&gt;0,"; Cannibalisation","")&amp;IF(T913="Yes","; Too many primary keywords on URL","")&amp;IF(U913="Yes","; URL spans 2+ clusters","")&amp;IF(W913="Yes","; Intent mismatch","")&amp;IF(X913="Yes","; Ranking URL is not the target",""),3,300))))</f>
        <v/>
      </c>
      <c r="AA913">
        <f>IF(G913="","",IF(COUNTIF($G$3:G913,SUBSTITUTE(SUBSTITUTE(G913,"?","~?"),"*","~*"))=1,MAX($AA$2:AA912)+1,""))</f>
        <v/>
      </c>
      <c r="AB913">
        <f>IF(B913="","",IF(COUNTIF($B$3:B913,SUBSTITUTE(SUBSTITUTE(B913,"?","~?"),"*","~*"))=1,MAX($AB$2:AB912)+1,""))</f>
        <v/>
      </c>
    </row>
    <row r="914">
      <c r="M914">
        <f>IF(A914="","",LOWER(TRIM(SUBSTITUTE(SUBSTITUTE(A914,"?",""),"*",""))))</f>
        <v/>
      </c>
      <c r="N914">
        <f>IF(M914="","",IF(SUMPRODUCT(ISNUMBER(SEARCH(" "&amp;Settings!$L$5:$L$124&amp;" "," "&amp;M914&amp;" "))*(Settings!$K$5:$K$124="Navigational")*(Settings!$L$5:$L$124&lt;&gt;""))&gt;0,"Navigational",IF(SUMPRODUCT(ISNUMBER(SEARCH(" "&amp;Settings!$L$5:$L$124&amp;" "," "&amp;M914&amp;" "))*(Settings!$K$5:$K$124="Transactional")*(Settings!$L$5:$L$124&lt;&gt;""))&gt;0,"Transactional",IF(SUMPRODUCT(ISNUMBER(SEARCH(" "&amp;Settings!$L$5:$L$124&amp;" "," "&amp;M914&amp;" "))*(Settings!$K$5:$K$124="Commercial")*(Settings!$L$5:$L$124&lt;&gt;""))&gt;0,"Commercial",IF(SUMPRODUCT(ISNUMBER(SEARCH(" "&amp;Settings!$L$5:$L$124&amp;" "," "&amp;M914&amp;" "))*(Settings!$K$5:$K$124="Informational")*(Settings!$L$5:$L$124&lt;&gt;""))&gt;0,"Informational","Unclassified")))))</f>
        <v/>
      </c>
      <c r="O914">
        <f>IF(A914="","",IF(K914&lt;&gt;"",PROPER(K914),N914))</f>
        <v/>
      </c>
      <c r="P914">
        <f>IF(A914="","",ROUND(Settings!$B$5*MIN(1,LOG10(N(C914)+1)/LOG10(Settings!$B$7+1))+Settings!$B$6*(1-MIN(100,IF(D914="",50,N(D914)))/100)+IFERROR(INDEX(Settings!$B$10:$B$14,MATCH(O914,Settings!$A$10:$A$14,0)),0),0))</f>
        <v/>
      </c>
      <c r="Q914">
        <f>IF(OR(A914="",G914=""),"",COUNTIFS($M$3:$M$1002,M914,$G$3:$G$1002,"&lt;&gt;"&amp;SUBSTITUTE(SUBSTITUTE(G914,"?","~?"),"*","~*"),$G$3:$G$1002,"?*"))</f>
        <v/>
      </c>
      <c r="R914">
        <f>IF(Q914="","",IF(Q914&gt;0,"Yes","No"))</f>
        <v/>
      </c>
      <c r="S914">
        <f>IF(G914="","",COUNTIFS($G$3:$G$1002,SUBSTITUTE(SUBSTITUTE(G914,"?","~?"),"*","~*"),$J$3:$J$1002,"Primary"))</f>
        <v/>
      </c>
      <c r="T914">
        <f>IF(S914="","",IF(S914&gt;Settings!$B$4,"Yes","No"))</f>
        <v/>
      </c>
      <c r="U914">
        <f>IF(OR(G914="",B914=""),"",IF(COUNTIFS($G$3:$G$1002,SUBSTITUTE(SUBSTITUTE(G914,"?","~?"),"*","~*"),$B$3:$B$1002,"&lt;&gt;"&amp;SUBSTITUTE(SUBSTITUTE(B914,"?","~?"),"*","~*"),$B$3:$B$1002,"?*")&gt;0,"Yes","No"))</f>
        <v/>
      </c>
      <c r="V914">
        <f>IF(OR(G914="",I914="",O914="",O914="Unclassified"),"",IFERROR(INDEX(Settings!$E$5:$H$16,MATCH(I914,Settings!$D$5:$D$16,0),MATCH(O914,Settings!$E$4:$H$4,0)),"Check"))</f>
        <v/>
      </c>
      <c r="W914">
        <f>IF(V914="","",IF(V914="No","Yes","No"))</f>
        <v/>
      </c>
      <c r="X914">
        <f>IF(OR(E914="",G914=""),"",IF(LOWER(IF(RIGHT(TRIM(E914),1)="/",LEFT(TRIM(E914),LEN(TRIM(E914))-1),TRIM(E914)))&lt;&gt;LOWER(IF(RIGHT(TRIM(G914),1)="/",LEFT(TRIM(G914),LEN(TRIM(G914))-1),TRIM(G914))),"Yes","No"))</f>
        <v/>
      </c>
      <c r="Y914">
        <f>IF(A914="","",(N(Q914)&gt;0)+(T914="Yes")+(U914="Yes")+(W914="Yes")+(X914="Yes"))</f>
        <v/>
      </c>
      <c r="Z914">
        <f>IF(A914="","",IF(G914="","Not mapped",IF(Y914=0,"OK",MID(IF(N(Q914)&gt;0,"; Cannibalisation","")&amp;IF(T914="Yes","; Too many primary keywords on URL","")&amp;IF(U914="Yes","; URL spans 2+ clusters","")&amp;IF(W914="Yes","; Intent mismatch","")&amp;IF(X914="Yes","; Ranking URL is not the target",""),3,300))))</f>
        <v/>
      </c>
      <c r="AA914">
        <f>IF(G914="","",IF(COUNTIF($G$3:G914,SUBSTITUTE(SUBSTITUTE(G914,"?","~?"),"*","~*"))=1,MAX($AA$2:AA913)+1,""))</f>
        <v/>
      </c>
      <c r="AB914">
        <f>IF(B914="","",IF(COUNTIF($B$3:B914,SUBSTITUTE(SUBSTITUTE(B914,"?","~?"),"*","~*"))=1,MAX($AB$2:AB913)+1,""))</f>
        <v/>
      </c>
    </row>
    <row r="915">
      <c r="M915">
        <f>IF(A915="","",LOWER(TRIM(SUBSTITUTE(SUBSTITUTE(A915,"?",""),"*",""))))</f>
        <v/>
      </c>
      <c r="N915">
        <f>IF(M915="","",IF(SUMPRODUCT(ISNUMBER(SEARCH(" "&amp;Settings!$L$5:$L$124&amp;" "," "&amp;M915&amp;" "))*(Settings!$K$5:$K$124="Navigational")*(Settings!$L$5:$L$124&lt;&gt;""))&gt;0,"Navigational",IF(SUMPRODUCT(ISNUMBER(SEARCH(" "&amp;Settings!$L$5:$L$124&amp;" "," "&amp;M915&amp;" "))*(Settings!$K$5:$K$124="Transactional")*(Settings!$L$5:$L$124&lt;&gt;""))&gt;0,"Transactional",IF(SUMPRODUCT(ISNUMBER(SEARCH(" "&amp;Settings!$L$5:$L$124&amp;" "," "&amp;M915&amp;" "))*(Settings!$K$5:$K$124="Commercial")*(Settings!$L$5:$L$124&lt;&gt;""))&gt;0,"Commercial",IF(SUMPRODUCT(ISNUMBER(SEARCH(" "&amp;Settings!$L$5:$L$124&amp;" "," "&amp;M915&amp;" "))*(Settings!$K$5:$K$124="Informational")*(Settings!$L$5:$L$124&lt;&gt;""))&gt;0,"Informational","Unclassified")))))</f>
        <v/>
      </c>
      <c r="O915">
        <f>IF(A915="","",IF(K915&lt;&gt;"",PROPER(K915),N915))</f>
        <v/>
      </c>
      <c r="P915">
        <f>IF(A915="","",ROUND(Settings!$B$5*MIN(1,LOG10(N(C915)+1)/LOG10(Settings!$B$7+1))+Settings!$B$6*(1-MIN(100,IF(D915="",50,N(D915)))/100)+IFERROR(INDEX(Settings!$B$10:$B$14,MATCH(O915,Settings!$A$10:$A$14,0)),0),0))</f>
        <v/>
      </c>
      <c r="Q915">
        <f>IF(OR(A915="",G915=""),"",COUNTIFS($M$3:$M$1002,M915,$G$3:$G$1002,"&lt;&gt;"&amp;SUBSTITUTE(SUBSTITUTE(G915,"?","~?"),"*","~*"),$G$3:$G$1002,"?*"))</f>
        <v/>
      </c>
      <c r="R915">
        <f>IF(Q915="","",IF(Q915&gt;0,"Yes","No"))</f>
        <v/>
      </c>
      <c r="S915">
        <f>IF(G915="","",COUNTIFS($G$3:$G$1002,SUBSTITUTE(SUBSTITUTE(G915,"?","~?"),"*","~*"),$J$3:$J$1002,"Primary"))</f>
        <v/>
      </c>
      <c r="T915">
        <f>IF(S915="","",IF(S915&gt;Settings!$B$4,"Yes","No"))</f>
        <v/>
      </c>
      <c r="U915">
        <f>IF(OR(G915="",B915=""),"",IF(COUNTIFS($G$3:$G$1002,SUBSTITUTE(SUBSTITUTE(G915,"?","~?"),"*","~*"),$B$3:$B$1002,"&lt;&gt;"&amp;SUBSTITUTE(SUBSTITUTE(B915,"?","~?"),"*","~*"),$B$3:$B$1002,"?*")&gt;0,"Yes","No"))</f>
        <v/>
      </c>
      <c r="V915">
        <f>IF(OR(G915="",I915="",O915="",O915="Unclassified"),"",IFERROR(INDEX(Settings!$E$5:$H$16,MATCH(I915,Settings!$D$5:$D$16,0),MATCH(O915,Settings!$E$4:$H$4,0)),"Check"))</f>
        <v/>
      </c>
      <c r="W915">
        <f>IF(V915="","",IF(V915="No","Yes","No"))</f>
        <v/>
      </c>
      <c r="X915">
        <f>IF(OR(E915="",G915=""),"",IF(LOWER(IF(RIGHT(TRIM(E915),1)="/",LEFT(TRIM(E915),LEN(TRIM(E915))-1),TRIM(E915)))&lt;&gt;LOWER(IF(RIGHT(TRIM(G915),1)="/",LEFT(TRIM(G915),LEN(TRIM(G915))-1),TRIM(G915))),"Yes","No"))</f>
        <v/>
      </c>
      <c r="Y915">
        <f>IF(A915="","",(N(Q915)&gt;0)+(T915="Yes")+(U915="Yes")+(W915="Yes")+(X915="Yes"))</f>
        <v/>
      </c>
      <c r="Z915">
        <f>IF(A915="","",IF(G915="","Not mapped",IF(Y915=0,"OK",MID(IF(N(Q915)&gt;0,"; Cannibalisation","")&amp;IF(T915="Yes","; Too many primary keywords on URL","")&amp;IF(U915="Yes","; URL spans 2+ clusters","")&amp;IF(W915="Yes","; Intent mismatch","")&amp;IF(X915="Yes","; Ranking URL is not the target",""),3,300))))</f>
        <v/>
      </c>
      <c r="AA915">
        <f>IF(G915="","",IF(COUNTIF($G$3:G915,SUBSTITUTE(SUBSTITUTE(G915,"?","~?"),"*","~*"))=1,MAX($AA$2:AA914)+1,""))</f>
        <v/>
      </c>
      <c r="AB915">
        <f>IF(B915="","",IF(COUNTIF($B$3:B915,SUBSTITUTE(SUBSTITUTE(B915,"?","~?"),"*","~*"))=1,MAX($AB$2:AB914)+1,""))</f>
        <v/>
      </c>
    </row>
    <row r="916">
      <c r="M916">
        <f>IF(A916="","",LOWER(TRIM(SUBSTITUTE(SUBSTITUTE(A916,"?",""),"*",""))))</f>
        <v/>
      </c>
      <c r="N916">
        <f>IF(M916="","",IF(SUMPRODUCT(ISNUMBER(SEARCH(" "&amp;Settings!$L$5:$L$124&amp;" "," "&amp;M916&amp;" "))*(Settings!$K$5:$K$124="Navigational")*(Settings!$L$5:$L$124&lt;&gt;""))&gt;0,"Navigational",IF(SUMPRODUCT(ISNUMBER(SEARCH(" "&amp;Settings!$L$5:$L$124&amp;" "," "&amp;M916&amp;" "))*(Settings!$K$5:$K$124="Transactional")*(Settings!$L$5:$L$124&lt;&gt;""))&gt;0,"Transactional",IF(SUMPRODUCT(ISNUMBER(SEARCH(" "&amp;Settings!$L$5:$L$124&amp;" "," "&amp;M916&amp;" "))*(Settings!$K$5:$K$124="Commercial")*(Settings!$L$5:$L$124&lt;&gt;""))&gt;0,"Commercial",IF(SUMPRODUCT(ISNUMBER(SEARCH(" "&amp;Settings!$L$5:$L$124&amp;" "," "&amp;M916&amp;" "))*(Settings!$K$5:$K$124="Informational")*(Settings!$L$5:$L$124&lt;&gt;""))&gt;0,"Informational","Unclassified")))))</f>
        <v/>
      </c>
      <c r="O916">
        <f>IF(A916="","",IF(K916&lt;&gt;"",PROPER(K916),N916))</f>
        <v/>
      </c>
      <c r="P916">
        <f>IF(A916="","",ROUND(Settings!$B$5*MIN(1,LOG10(N(C916)+1)/LOG10(Settings!$B$7+1))+Settings!$B$6*(1-MIN(100,IF(D916="",50,N(D916)))/100)+IFERROR(INDEX(Settings!$B$10:$B$14,MATCH(O916,Settings!$A$10:$A$14,0)),0),0))</f>
        <v/>
      </c>
      <c r="Q916">
        <f>IF(OR(A916="",G916=""),"",COUNTIFS($M$3:$M$1002,M916,$G$3:$G$1002,"&lt;&gt;"&amp;SUBSTITUTE(SUBSTITUTE(G916,"?","~?"),"*","~*"),$G$3:$G$1002,"?*"))</f>
        <v/>
      </c>
      <c r="R916">
        <f>IF(Q916="","",IF(Q916&gt;0,"Yes","No"))</f>
        <v/>
      </c>
      <c r="S916">
        <f>IF(G916="","",COUNTIFS($G$3:$G$1002,SUBSTITUTE(SUBSTITUTE(G916,"?","~?"),"*","~*"),$J$3:$J$1002,"Primary"))</f>
        <v/>
      </c>
      <c r="T916">
        <f>IF(S916="","",IF(S916&gt;Settings!$B$4,"Yes","No"))</f>
        <v/>
      </c>
      <c r="U916">
        <f>IF(OR(G916="",B916=""),"",IF(COUNTIFS($G$3:$G$1002,SUBSTITUTE(SUBSTITUTE(G916,"?","~?"),"*","~*"),$B$3:$B$1002,"&lt;&gt;"&amp;SUBSTITUTE(SUBSTITUTE(B916,"?","~?"),"*","~*"),$B$3:$B$1002,"?*")&gt;0,"Yes","No"))</f>
        <v/>
      </c>
      <c r="V916">
        <f>IF(OR(G916="",I916="",O916="",O916="Unclassified"),"",IFERROR(INDEX(Settings!$E$5:$H$16,MATCH(I916,Settings!$D$5:$D$16,0),MATCH(O916,Settings!$E$4:$H$4,0)),"Check"))</f>
        <v/>
      </c>
      <c r="W916">
        <f>IF(V916="","",IF(V916="No","Yes","No"))</f>
        <v/>
      </c>
      <c r="X916">
        <f>IF(OR(E916="",G916=""),"",IF(LOWER(IF(RIGHT(TRIM(E916),1)="/",LEFT(TRIM(E916),LEN(TRIM(E916))-1),TRIM(E916)))&lt;&gt;LOWER(IF(RIGHT(TRIM(G916),1)="/",LEFT(TRIM(G916),LEN(TRIM(G916))-1),TRIM(G916))),"Yes","No"))</f>
        <v/>
      </c>
      <c r="Y916">
        <f>IF(A916="","",(N(Q916)&gt;0)+(T916="Yes")+(U916="Yes")+(W916="Yes")+(X916="Yes"))</f>
        <v/>
      </c>
      <c r="Z916">
        <f>IF(A916="","",IF(G916="","Not mapped",IF(Y916=0,"OK",MID(IF(N(Q916)&gt;0,"; Cannibalisation","")&amp;IF(T916="Yes","; Too many primary keywords on URL","")&amp;IF(U916="Yes","; URL spans 2+ clusters","")&amp;IF(W916="Yes","; Intent mismatch","")&amp;IF(X916="Yes","; Ranking URL is not the target",""),3,300))))</f>
        <v/>
      </c>
      <c r="AA916">
        <f>IF(G916="","",IF(COUNTIF($G$3:G916,SUBSTITUTE(SUBSTITUTE(G916,"?","~?"),"*","~*"))=1,MAX($AA$2:AA915)+1,""))</f>
        <v/>
      </c>
      <c r="AB916">
        <f>IF(B916="","",IF(COUNTIF($B$3:B916,SUBSTITUTE(SUBSTITUTE(B916,"?","~?"),"*","~*"))=1,MAX($AB$2:AB915)+1,""))</f>
        <v/>
      </c>
    </row>
    <row r="917">
      <c r="M917">
        <f>IF(A917="","",LOWER(TRIM(SUBSTITUTE(SUBSTITUTE(A917,"?",""),"*",""))))</f>
        <v/>
      </c>
      <c r="N917">
        <f>IF(M917="","",IF(SUMPRODUCT(ISNUMBER(SEARCH(" "&amp;Settings!$L$5:$L$124&amp;" "," "&amp;M917&amp;" "))*(Settings!$K$5:$K$124="Navigational")*(Settings!$L$5:$L$124&lt;&gt;""))&gt;0,"Navigational",IF(SUMPRODUCT(ISNUMBER(SEARCH(" "&amp;Settings!$L$5:$L$124&amp;" "," "&amp;M917&amp;" "))*(Settings!$K$5:$K$124="Transactional")*(Settings!$L$5:$L$124&lt;&gt;""))&gt;0,"Transactional",IF(SUMPRODUCT(ISNUMBER(SEARCH(" "&amp;Settings!$L$5:$L$124&amp;" "," "&amp;M917&amp;" "))*(Settings!$K$5:$K$124="Commercial")*(Settings!$L$5:$L$124&lt;&gt;""))&gt;0,"Commercial",IF(SUMPRODUCT(ISNUMBER(SEARCH(" "&amp;Settings!$L$5:$L$124&amp;" "," "&amp;M917&amp;" "))*(Settings!$K$5:$K$124="Informational")*(Settings!$L$5:$L$124&lt;&gt;""))&gt;0,"Informational","Unclassified")))))</f>
        <v/>
      </c>
      <c r="O917">
        <f>IF(A917="","",IF(K917&lt;&gt;"",PROPER(K917),N917))</f>
        <v/>
      </c>
      <c r="P917">
        <f>IF(A917="","",ROUND(Settings!$B$5*MIN(1,LOG10(N(C917)+1)/LOG10(Settings!$B$7+1))+Settings!$B$6*(1-MIN(100,IF(D917="",50,N(D917)))/100)+IFERROR(INDEX(Settings!$B$10:$B$14,MATCH(O917,Settings!$A$10:$A$14,0)),0),0))</f>
        <v/>
      </c>
      <c r="Q917">
        <f>IF(OR(A917="",G917=""),"",COUNTIFS($M$3:$M$1002,M917,$G$3:$G$1002,"&lt;&gt;"&amp;SUBSTITUTE(SUBSTITUTE(G917,"?","~?"),"*","~*"),$G$3:$G$1002,"?*"))</f>
        <v/>
      </c>
      <c r="R917">
        <f>IF(Q917="","",IF(Q917&gt;0,"Yes","No"))</f>
        <v/>
      </c>
      <c r="S917">
        <f>IF(G917="","",COUNTIFS($G$3:$G$1002,SUBSTITUTE(SUBSTITUTE(G917,"?","~?"),"*","~*"),$J$3:$J$1002,"Primary"))</f>
        <v/>
      </c>
      <c r="T917">
        <f>IF(S917="","",IF(S917&gt;Settings!$B$4,"Yes","No"))</f>
        <v/>
      </c>
      <c r="U917">
        <f>IF(OR(G917="",B917=""),"",IF(COUNTIFS($G$3:$G$1002,SUBSTITUTE(SUBSTITUTE(G917,"?","~?"),"*","~*"),$B$3:$B$1002,"&lt;&gt;"&amp;SUBSTITUTE(SUBSTITUTE(B917,"?","~?"),"*","~*"),$B$3:$B$1002,"?*")&gt;0,"Yes","No"))</f>
        <v/>
      </c>
      <c r="V917">
        <f>IF(OR(G917="",I917="",O917="",O917="Unclassified"),"",IFERROR(INDEX(Settings!$E$5:$H$16,MATCH(I917,Settings!$D$5:$D$16,0),MATCH(O917,Settings!$E$4:$H$4,0)),"Check"))</f>
        <v/>
      </c>
      <c r="W917">
        <f>IF(V917="","",IF(V917="No","Yes","No"))</f>
        <v/>
      </c>
      <c r="X917">
        <f>IF(OR(E917="",G917=""),"",IF(LOWER(IF(RIGHT(TRIM(E917),1)="/",LEFT(TRIM(E917),LEN(TRIM(E917))-1),TRIM(E917)))&lt;&gt;LOWER(IF(RIGHT(TRIM(G917),1)="/",LEFT(TRIM(G917),LEN(TRIM(G917))-1),TRIM(G917))),"Yes","No"))</f>
        <v/>
      </c>
      <c r="Y917">
        <f>IF(A917="","",(N(Q917)&gt;0)+(T917="Yes")+(U917="Yes")+(W917="Yes")+(X917="Yes"))</f>
        <v/>
      </c>
      <c r="Z917">
        <f>IF(A917="","",IF(G917="","Not mapped",IF(Y917=0,"OK",MID(IF(N(Q917)&gt;0,"; Cannibalisation","")&amp;IF(T917="Yes","; Too many primary keywords on URL","")&amp;IF(U917="Yes","; URL spans 2+ clusters","")&amp;IF(W917="Yes","; Intent mismatch","")&amp;IF(X917="Yes","; Ranking URL is not the target",""),3,300))))</f>
        <v/>
      </c>
      <c r="AA917">
        <f>IF(G917="","",IF(COUNTIF($G$3:G917,SUBSTITUTE(SUBSTITUTE(G917,"?","~?"),"*","~*"))=1,MAX($AA$2:AA916)+1,""))</f>
        <v/>
      </c>
      <c r="AB917">
        <f>IF(B917="","",IF(COUNTIF($B$3:B917,SUBSTITUTE(SUBSTITUTE(B917,"?","~?"),"*","~*"))=1,MAX($AB$2:AB916)+1,""))</f>
        <v/>
      </c>
    </row>
    <row r="918">
      <c r="M918">
        <f>IF(A918="","",LOWER(TRIM(SUBSTITUTE(SUBSTITUTE(A918,"?",""),"*",""))))</f>
        <v/>
      </c>
      <c r="N918">
        <f>IF(M918="","",IF(SUMPRODUCT(ISNUMBER(SEARCH(" "&amp;Settings!$L$5:$L$124&amp;" "," "&amp;M918&amp;" "))*(Settings!$K$5:$K$124="Navigational")*(Settings!$L$5:$L$124&lt;&gt;""))&gt;0,"Navigational",IF(SUMPRODUCT(ISNUMBER(SEARCH(" "&amp;Settings!$L$5:$L$124&amp;" "," "&amp;M918&amp;" "))*(Settings!$K$5:$K$124="Transactional")*(Settings!$L$5:$L$124&lt;&gt;""))&gt;0,"Transactional",IF(SUMPRODUCT(ISNUMBER(SEARCH(" "&amp;Settings!$L$5:$L$124&amp;" "," "&amp;M918&amp;" "))*(Settings!$K$5:$K$124="Commercial")*(Settings!$L$5:$L$124&lt;&gt;""))&gt;0,"Commercial",IF(SUMPRODUCT(ISNUMBER(SEARCH(" "&amp;Settings!$L$5:$L$124&amp;" "," "&amp;M918&amp;" "))*(Settings!$K$5:$K$124="Informational")*(Settings!$L$5:$L$124&lt;&gt;""))&gt;0,"Informational","Unclassified")))))</f>
        <v/>
      </c>
      <c r="O918">
        <f>IF(A918="","",IF(K918&lt;&gt;"",PROPER(K918),N918))</f>
        <v/>
      </c>
      <c r="P918">
        <f>IF(A918="","",ROUND(Settings!$B$5*MIN(1,LOG10(N(C918)+1)/LOG10(Settings!$B$7+1))+Settings!$B$6*(1-MIN(100,IF(D918="",50,N(D918)))/100)+IFERROR(INDEX(Settings!$B$10:$B$14,MATCH(O918,Settings!$A$10:$A$14,0)),0),0))</f>
        <v/>
      </c>
      <c r="Q918">
        <f>IF(OR(A918="",G918=""),"",COUNTIFS($M$3:$M$1002,M918,$G$3:$G$1002,"&lt;&gt;"&amp;SUBSTITUTE(SUBSTITUTE(G918,"?","~?"),"*","~*"),$G$3:$G$1002,"?*"))</f>
        <v/>
      </c>
      <c r="R918">
        <f>IF(Q918="","",IF(Q918&gt;0,"Yes","No"))</f>
        <v/>
      </c>
      <c r="S918">
        <f>IF(G918="","",COUNTIFS($G$3:$G$1002,SUBSTITUTE(SUBSTITUTE(G918,"?","~?"),"*","~*"),$J$3:$J$1002,"Primary"))</f>
        <v/>
      </c>
      <c r="T918">
        <f>IF(S918="","",IF(S918&gt;Settings!$B$4,"Yes","No"))</f>
        <v/>
      </c>
      <c r="U918">
        <f>IF(OR(G918="",B918=""),"",IF(COUNTIFS($G$3:$G$1002,SUBSTITUTE(SUBSTITUTE(G918,"?","~?"),"*","~*"),$B$3:$B$1002,"&lt;&gt;"&amp;SUBSTITUTE(SUBSTITUTE(B918,"?","~?"),"*","~*"),$B$3:$B$1002,"?*")&gt;0,"Yes","No"))</f>
        <v/>
      </c>
      <c r="V918">
        <f>IF(OR(G918="",I918="",O918="",O918="Unclassified"),"",IFERROR(INDEX(Settings!$E$5:$H$16,MATCH(I918,Settings!$D$5:$D$16,0),MATCH(O918,Settings!$E$4:$H$4,0)),"Check"))</f>
        <v/>
      </c>
      <c r="W918">
        <f>IF(V918="","",IF(V918="No","Yes","No"))</f>
        <v/>
      </c>
      <c r="X918">
        <f>IF(OR(E918="",G918=""),"",IF(LOWER(IF(RIGHT(TRIM(E918),1)="/",LEFT(TRIM(E918),LEN(TRIM(E918))-1),TRIM(E918)))&lt;&gt;LOWER(IF(RIGHT(TRIM(G918),1)="/",LEFT(TRIM(G918),LEN(TRIM(G918))-1),TRIM(G918))),"Yes","No"))</f>
        <v/>
      </c>
      <c r="Y918">
        <f>IF(A918="","",(N(Q918)&gt;0)+(T918="Yes")+(U918="Yes")+(W918="Yes")+(X918="Yes"))</f>
        <v/>
      </c>
      <c r="Z918">
        <f>IF(A918="","",IF(G918="","Not mapped",IF(Y918=0,"OK",MID(IF(N(Q918)&gt;0,"; Cannibalisation","")&amp;IF(T918="Yes","; Too many primary keywords on URL","")&amp;IF(U918="Yes","; URL spans 2+ clusters","")&amp;IF(W918="Yes","; Intent mismatch","")&amp;IF(X918="Yes","; Ranking URL is not the target",""),3,300))))</f>
        <v/>
      </c>
      <c r="AA918">
        <f>IF(G918="","",IF(COUNTIF($G$3:G918,SUBSTITUTE(SUBSTITUTE(G918,"?","~?"),"*","~*"))=1,MAX($AA$2:AA917)+1,""))</f>
        <v/>
      </c>
      <c r="AB918">
        <f>IF(B918="","",IF(COUNTIF($B$3:B918,SUBSTITUTE(SUBSTITUTE(B918,"?","~?"),"*","~*"))=1,MAX($AB$2:AB917)+1,""))</f>
        <v/>
      </c>
    </row>
    <row r="919">
      <c r="M919">
        <f>IF(A919="","",LOWER(TRIM(SUBSTITUTE(SUBSTITUTE(A919,"?",""),"*",""))))</f>
        <v/>
      </c>
      <c r="N919">
        <f>IF(M919="","",IF(SUMPRODUCT(ISNUMBER(SEARCH(" "&amp;Settings!$L$5:$L$124&amp;" "," "&amp;M919&amp;" "))*(Settings!$K$5:$K$124="Navigational")*(Settings!$L$5:$L$124&lt;&gt;""))&gt;0,"Navigational",IF(SUMPRODUCT(ISNUMBER(SEARCH(" "&amp;Settings!$L$5:$L$124&amp;" "," "&amp;M919&amp;" "))*(Settings!$K$5:$K$124="Transactional")*(Settings!$L$5:$L$124&lt;&gt;""))&gt;0,"Transactional",IF(SUMPRODUCT(ISNUMBER(SEARCH(" "&amp;Settings!$L$5:$L$124&amp;" "," "&amp;M919&amp;" "))*(Settings!$K$5:$K$124="Commercial")*(Settings!$L$5:$L$124&lt;&gt;""))&gt;0,"Commercial",IF(SUMPRODUCT(ISNUMBER(SEARCH(" "&amp;Settings!$L$5:$L$124&amp;" "," "&amp;M919&amp;" "))*(Settings!$K$5:$K$124="Informational")*(Settings!$L$5:$L$124&lt;&gt;""))&gt;0,"Informational","Unclassified")))))</f>
        <v/>
      </c>
      <c r="O919">
        <f>IF(A919="","",IF(K919&lt;&gt;"",PROPER(K919),N919))</f>
        <v/>
      </c>
      <c r="P919">
        <f>IF(A919="","",ROUND(Settings!$B$5*MIN(1,LOG10(N(C919)+1)/LOG10(Settings!$B$7+1))+Settings!$B$6*(1-MIN(100,IF(D919="",50,N(D919)))/100)+IFERROR(INDEX(Settings!$B$10:$B$14,MATCH(O919,Settings!$A$10:$A$14,0)),0),0))</f>
        <v/>
      </c>
      <c r="Q919">
        <f>IF(OR(A919="",G919=""),"",COUNTIFS($M$3:$M$1002,M919,$G$3:$G$1002,"&lt;&gt;"&amp;SUBSTITUTE(SUBSTITUTE(G919,"?","~?"),"*","~*"),$G$3:$G$1002,"?*"))</f>
        <v/>
      </c>
      <c r="R919">
        <f>IF(Q919="","",IF(Q919&gt;0,"Yes","No"))</f>
        <v/>
      </c>
      <c r="S919">
        <f>IF(G919="","",COUNTIFS($G$3:$G$1002,SUBSTITUTE(SUBSTITUTE(G919,"?","~?"),"*","~*"),$J$3:$J$1002,"Primary"))</f>
        <v/>
      </c>
      <c r="T919">
        <f>IF(S919="","",IF(S919&gt;Settings!$B$4,"Yes","No"))</f>
        <v/>
      </c>
      <c r="U919">
        <f>IF(OR(G919="",B919=""),"",IF(COUNTIFS($G$3:$G$1002,SUBSTITUTE(SUBSTITUTE(G919,"?","~?"),"*","~*"),$B$3:$B$1002,"&lt;&gt;"&amp;SUBSTITUTE(SUBSTITUTE(B919,"?","~?"),"*","~*"),$B$3:$B$1002,"?*")&gt;0,"Yes","No"))</f>
        <v/>
      </c>
      <c r="V919">
        <f>IF(OR(G919="",I919="",O919="",O919="Unclassified"),"",IFERROR(INDEX(Settings!$E$5:$H$16,MATCH(I919,Settings!$D$5:$D$16,0),MATCH(O919,Settings!$E$4:$H$4,0)),"Check"))</f>
        <v/>
      </c>
      <c r="W919">
        <f>IF(V919="","",IF(V919="No","Yes","No"))</f>
        <v/>
      </c>
      <c r="X919">
        <f>IF(OR(E919="",G919=""),"",IF(LOWER(IF(RIGHT(TRIM(E919),1)="/",LEFT(TRIM(E919),LEN(TRIM(E919))-1),TRIM(E919)))&lt;&gt;LOWER(IF(RIGHT(TRIM(G919),1)="/",LEFT(TRIM(G919),LEN(TRIM(G919))-1),TRIM(G919))),"Yes","No"))</f>
        <v/>
      </c>
      <c r="Y919">
        <f>IF(A919="","",(N(Q919)&gt;0)+(T919="Yes")+(U919="Yes")+(W919="Yes")+(X919="Yes"))</f>
        <v/>
      </c>
      <c r="Z919">
        <f>IF(A919="","",IF(G919="","Not mapped",IF(Y919=0,"OK",MID(IF(N(Q919)&gt;0,"; Cannibalisation","")&amp;IF(T919="Yes","; Too many primary keywords on URL","")&amp;IF(U919="Yes","; URL spans 2+ clusters","")&amp;IF(W919="Yes","; Intent mismatch","")&amp;IF(X919="Yes","; Ranking URL is not the target",""),3,300))))</f>
        <v/>
      </c>
      <c r="AA919">
        <f>IF(G919="","",IF(COUNTIF($G$3:G919,SUBSTITUTE(SUBSTITUTE(G919,"?","~?"),"*","~*"))=1,MAX($AA$2:AA918)+1,""))</f>
        <v/>
      </c>
      <c r="AB919">
        <f>IF(B919="","",IF(COUNTIF($B$3:B919,SUBSTITUTE(SUBSTITUTE(B919,"?","~?"),"*","~*"))=1,MAX($AB$2:AB918)+1,""))</f>
        <v/>
      </c>
    </row>
    <row r="920">
      <c r="M920">
        <f>IF(A920="","",LOWER(TRIM(SUBSTITUTE(SUBSTITUTE(A920,"?",""),"*",""))))</f>
        <v/>
      </c>
      <c r="N920">
        <f>IF(M920="","",IF(SUMPRODUCT(ISNUMBER(SEARCH(" "&amp;Settings!$L$5:$L$124&amp;" "," "&amp;M920&amp;" "))*(Settings!$K$5:$K$124="Navigational")*(Settings!$L$5:$L$124&lt;&gt;""))&gt;0,"Navigational",IF(SUMPRODUCT(ISNUMBER(SEARCH(" "&amp;Settings!$L$5:$L$124&amp;" "," "&amp;M920&amp;" "))*(Settings!$K$5:$K$124="Transactional")*(Settings!$L$5:$L$124&lt;&gt;""))&gt;0,"Transactional",IF(SUMPRODUCT(ISNUMBER(SEARCH(" "&amp;Settings!$L$5:$L$124&amp;" "," "&amp;M920&amp;" "))*(Settings!$K$5:$K$124="Commercial")*(Settings!$L$5:$L$124&lt;&gt;""))&gt;0,"Commercial",IF(SUMPRODUCT(ISNUMBER(SEARCH(" "&amp;Settings!$L$5:$L$124&amp;" "," "&amp;M920&amp;" "))*(Settings!$K$5:$K$124="Informational")*(Settings!$L$5:$L$124&lt;&gt;""))&gt;0,"Informational","Unclassified")))))</f>
        <v/>
      </c>
      <c r="O920">
        <f>IF(A920="","",IF(K920&lt;&gt;"",PROPER(K920),N920))</f>
        <v/>
      </c>
      <c r="P920">
        <f>IF(A920="","",ROUND(Settings!$B$5*MIN(1,LOG10(N(C920)+1)/LOG10(Settings!$B$7+1))+Settings!$B$6*(1-MIN(100,IF(D920="",50,N(D920)))/100)+IFERROR(INDEX(Settings!$B$10:$B$14,MATCH(O920,Settings!$A$10:$A$14,0)),0),0))</f>
        <v/>
      </c>
      <c r="Q920">
        <f>IF(OR(A920="",G920=""),"",COUNTIFS($M$3:$M$1002,M920,$G$3:$G$1002,"&lt;&gt;"&amp;SUBSTITUTE(SUBSTITUTE(G920,"?","~?"),"*","~*"),$G$3:$G$1002,"?*"))</f>
        <v/>
      </c>
      <c r="R920">
        <f>IF(Q920="","",IF(Q920&gt;0,"Yes","No"))</f>
        <v/>
      </c>
      <c r="S920">
        <f>IF(G920="","",COUNTIFS($G$3:$G$1002,SUBSTITUTE(SUBSTITUTE(G920,"?","~?"),"*","~*"),$J$3:$J$1002,"Primary"))</f>
        <v/>
      </c>
      <c r="T920">
        <f>IF(S920="","",IF(S920&gt;Settings!$B$4,"Yes","No"))</f>
        <v/>
      </c>
      <c r="U920">
        <f>IF(OR(G920="",B920=""),"",IF(COUNTIFS($G$3:$G$1002,SUBSTITUTE(SUBSTITUTE(G920,"?","~?"),"*","~*"),$B$3:$B$1002,"&lt;&gt;"&amp;SUBSTITUTE(SUBSTITUTE(B920,"?","~?"),"*","~*"),$B$3:$B$1002,"?*")&gt;0,"Yes","No"))</f>
        <v/>
      </c>
      <c r="V920">
        <f>IF(OR(G920="",I920="",O920="",O920="Unclassified"),"",IFERROR(INDEX(Settings!$E$5:$H$16,MATCH(I920,Settings!$D$5:$D$16,0),MATCH(O920,Settings!$E$4:$H$4,0)),"Check"))</f>
        <v/>
      </c>
      <c r="W920">
        <f>IF(V920="","",IF(V920="No","Yes","No"))</f>
        <v/>
      </c>
      <c r="X920">
        <f>IF(OR(E920="",G920=""),"",IF(LOWER(IF(RIGHT(TRIM(E920),1)="/",LEFT(TRIM(E920),LEN(TRIM(E920))-1),TRIM(E920)))&lt;&gt;LOWER(IF(RIGHT(TRIM(G920),1)="/",LEFT(TRIM(G920),LEN(TRIM(G920))-1),TRIM(G920))),"Yes","No"))</f>
        <v/>
      </c>
      <c r="Y920">
        <f>IF(A920="","",(N(Q920)&gt;0)+(T920="Yes")+(U920="Yes")+(W920="Yes")+(X920="Yes"))</f>
        <v/>
      </c>
      <c r="Z920">
        <f>IF(A920="","",IF(G920="","Not mapped",IF(Y920=0,"OK",MID(IF(N(Q920)&gt;0,"; Cannibalisation","")&amp;IF(T920="Yes","; Too many primary keywords on URL","")&amp;IF(U920="Yes","; URL spans 2+ clusters","")&amp;IF(W920="Yes","; Intent mismatch","")&amp;IF(X920="Yes","; Ranking URL is not the target",""),3,300))))</f>
        <v/>
      </c>
      <c r="AA920">
        <f>IF(G920="","",IF(COUNTIF($G$3:G920,SUBSTITUTE(SUBSTITUTE(G920,"?","~?"),"*","~*"))=1,MAX($AA$2:AA919)+1,""))</f>
        <v/>
      </c>
      <c r="AB920">
        <f>IF(B920="","",IF(COUNTIF($B$3:B920,SUBSTITUTE(SUBSTITUTE(B920,"?","~?"),"*","~*"))=1,MAX($AB$2:AB919)+1,""))</f>
        <v/>
      </c>
    </row>
    <row r="921">
      <c r="M921">
        <f>IF(A921="","",LOWER(TRIM(SUBSTITUTE(SUBSTITUTE(A921,"?",""),"*",""))))</f>
        <v/>
      </c>
      <c r="N921">
        <f>IF(M921="","",IF(SUMPRODUCT(ISNUMBER(SEARCH(" "&amp;Settings!$L$5:$L$124&amp;" "," "&amp;M921&amp;" "))*(Settings!$K$5:$K$124="Navigational")*(Settings!$L$5:$L$124&lt;&gt;""))&gt;0,"Navigational",IF(SUMPRODUCT(ISNUMBER(SEARCH(" "&amp;Settings!$L$5:$L$124&amp;" "," "&amp;M921&amp;" "))*(Settings!$K$5:$K$124="Transactional")*(Settings!$L$5:$L$124&lt;&gt;""))&gt;0,"Transactional",IF(SUMPRODUCT(ISNUMBER(SEARCH(" "&amp;Settings!$L$5:$L$124&amp;" "," "&amp;M921&amp;" "))*(Settings!$K$5:$K$124="Commercial")*(Settings!$L$5:$L$124&lt;&gt;""))&gt;0,"Commercial",IF(SUMPRODUCT(ISNUMBER(SEARCH(" "&amp;Settings!$L$5:$L$124&amp;" "," "&amp;M921&amp;" "))*(Settings!$K$5:$K$124="Informational")*(Settings!$L$5:$L$124&lt;&gt;""))&gt;0,"Informational","Unclassified")))))</f>
        <v/>
      </c>
      <c r="O921">
        <f>IF(A921="","",IF(K921&lt;&gt;"",PROPER(K921),N921))</f>
        <v/>
      </c>
      <c r="P921">
        <f>IF(A921="","",ROUND(Settings!$B$5*MIN(1,LOG10(N(C921)+1)/LOG10(Settings!$B$7+1))+Settings!$B$6*(1-MIN(100,IF(D921="",50,N(D921)))/100)+IFERROR(INDEX(Settings!$B$10:$B$14,MATCH(O921,Settings!$A$10:$A$14,0)),0),0))</f>
        <v/>
      </c>
      <c r="Q921">
        <f>IF(OR(A921="",G921=""),"",COUNTIFS($M$3:$M$1002,M921,$G$3:$G$1002,"&lt;&gt;"&amp;SUBSTITUTE(SUBSTITUTE(G921,"?","~?"),"*","~*"),$G$3:$G$1002,"?*"))</f>
        <v/>
      </c>
      <c r="R921">
        <f>IF(Q921="","",IF(Q921&gt;0,"Yes","No"))</f>
        <v/>
      </c>
      <c r="S921">
        <f>IF(G921="","",COUNTIFS($G$3:$G$1002,SUBSTITUTE(SUBSTITUTE(G921,"?","~?"),"*","~*"),$J$3:$J$1002,"Primary"))</f>
        <v/>
      </c>
      <c r="T921">
        <f>IF(S921="","",IF(S921&gt;Settings!$B$4,"Yes","No"))</f>
        <v/>
      </c>
      <c r="U921">
        <f>IF(OR(G921="",B921=""),"",IF(COUNTIFS($G$3:$G$1002,SUBSTITUTE(SUBSTITUTE(G921,"?","~?"),"*","~*"),$B$3:$B$1002,"&lt;&gt;"&amp;SUBSTITUTE(SUBSTITUTE(B921,"?","~?"),"*","~*"),$B$3:$B$1002,"?*")&gt;0,"Yes","No"))</f>
        <v/>
      </c>
      <c r="V921">
        <f>IF(OR(G921="",I921="",O921="",O921="Unclassified"),"",IFERROR(INDEX(Settings!$E$5:$H$16,MATCH(I921,Settings!$D$5:$D$16,0),MATCH(O921,Settings!$E$4:$H$4,0)),"Check"))</f>
        <v/>
      </c>
      <c r="W921">
        <f>IF(V921="","",IF(V921="No","Yes","No"))</f>
        <v/>
      </c>
      <c r="X921">
        <f>IF(OR(E921="",G921=""),"",IF(LOWER(IF(RIGHT(TRIM(E921),1)="/",LEFT(TRIM(E921),LEN(TRIM(E921))-1),TRIM(E921)))&lt;&gt;LOWER(IF(RIGHT(TRIM(G921),1)="/",LEFT(TRIM(G921),LEN(TRIM(G921))-1),TRIM(G921))),"Yes","No"))</f>
        <v/>
      </c>
      <c r="Y921">
        <f>IF(A921="","",(N(Q921)&gt;0)+(T921="Yes")+(U921="Yes")+(W921="Yes")+(X921="Yes"))</f>
        <v/>
      </c>
      <c r="Z921">
        <f>IF(A921="","",IF(G921="","Not mapped",IF(Y921=0,"OK",MID(IF(N(Q921)&gt;0,"; Cannibalisation","")&amp;IF(T921="Yes","; Too many primary keywords on URL","")&amp;IF(U921="Yes","; URL spans 2+ clusters","")&amp;IF(W921="Yes","; Intent mismatch","")&amp;IF(X921="Yes","; Ranking URL is not the target",""),3,300))))</f>
        <v/>
      </c>
      <c r="AA921">
        <f>IF(G921="","",IF(COUNTIF($G$3:G921,SUBSTITUTE(SUBSTITUTE(G921,"?","~?"),"*","~*"))=1,MAX($AA$2:AA920)+1,""))</f>
        <v/>
      </c>
      <c r="AB921">
        <f>IF(B921="","",IF(COUNTIF($B$3:B921,SUBSTITUTE(SUBSTITUTE(B921,"?","~?"),"*","~*"))=1,MAX($AB$2:AB920)+1,""))</f>
        <v/>
      </c>
    </row>
    <row r="922">
      <c r="M922">
        <f>IF(A922="","",LOWER(TRIM(SUBSTITUTE(SUBSTITUTE(A922,"?",""),"*",""))))</f>
        <v/>
      </c>
      <c r="N922">
        <f>IF(M922="","",IF(SUMPRODUCT(ISNUMBER(SEARCH(" "&amp;Settings!$L$5:$L$124&amp;" "," "&amp;M922&amp;" "))*(Settings!$K$5:$K$124="Navigational")*(Settings!$L$5:$L$124&lt;&gt;""))&gt;0,"Navigational",IF(SUMPRODUCT(ISNUMBER(SEARCH(" "&amp;Settings!$L$5:$L$124&amp;" "," "&amp;M922&amp;" "))*(Settings!$K$5:$K$124="Transactional")*(Settings!$L$5:$L$124&lt;&gt;""))&gt;0,"Transactional",IF(SUMPRODUCT(ISNUMBER(SEARCH(" "&amp;Settings!$L$5:$L$124&amp;" "," "&amp;M922&amp;" "))*(Settings!$K$5:$K$124="Commercial")*(Settings!$L$5:$L$124&lt;&gt;""))&gt;0,"Commercial",IF(SUMPRODUCT(ISNUMBER(SEARCH(" "&amp;Settings!$L$5:$L$124&amp;" "," "&amp;M922&amp;" "))*(Settings!$K$5:$K$124="Informational")*(Settings!$L$5:$L$124&lt;&gt;""))&gt;0,"Informational","Unclassified")))))</f>
        <v/>
      </c>
      <c r="O922">
        <f>IF(A922="","",IF(K922&lt;&gt;"",PROPER(K922),N922))</f>
        <v/>
      </c>
      <c r="P922">
        <f>IF(A922="","",ROUND(Settings!$B$5*MIN(1,LOG10(N(C922)+1)/LOG10(Settings!$B$7+1))+Settings!$B$6*(1-MIN(100,IF(D922="",50,N(D922)))/100)+IFERROR(INDEX(Settings!$B$10:$B$14,MATCH(O922,Settings!$A$10:$A$14,0)),0),0))</f>
        <v/>
      </c>
      <c r="Q922">
        <f>IF(OR(A922="",G922=""),"",COUNTIFS($M$3:$M$1002,M922,$G$3:$G$1002,"&lt;&gt;"&amp;SUBSTITUTE(SUBSTITUTE(G922,"?","~?"),"*","~*"),$G$3:$G$1002,"?*"))</f>
        <v/>
      </c>
      <c r="R922">
        <f>IF(Q922="","",IF(Q922&gt;0,"Yes","No"))</f>
        <v/>
      </c>
      <c r="S922">
        <f>IF(G922="","",COUNTIFS($G$3:$G$1002,SUBSTITUTE(SUBSTITUTE(G922,"?","~?"),"*","~*"),$J$3:$J$1002,"Primary"))</f>
        <v/>
      </c>
      <c r="T922">
        <f>IF(S922="","",IF(S922&gt;Settings!$B$4,"Yes","No"))</f>
        <v/>
      </c>
      <c r="U922">
        <f>IF(OR(G922="",B922=""),"",IF(COUNTIFS($G$3:$G$1002,SUBSTITUTE(SUBSTITUTE(G922,"?","~?"),"*","~*"),$B$3:$B$1002,"&lt;&gt;"&amp;SUBSTITUTE(SUBSTITUTE(B922,"?","~?"),"*","~*"),$B$3:$B$1002,"?*")&gt;0,"Yes","No"))</f>
        <v/>
      </c>
      <c r="V922">
        <f>IF(OR(G922="",I922="",O922="",O922="Unclassified"),"",IFERROR(INDEX(Settings!$E$5:$H$16,MATCH(I922,Settings!$D$5:$D$16,0),MATCH(O922,Settings!$E$4:$H$4,0)),"Check"))</f>
        <v/>
      </c>
      <c r="W922">
        <f>IF(V922="","",IF(V922="No","Yes","No"))</f>
        <v/>
      </c>
      <c r="X922">
        <f>IF(OR(E922="",G922=""),"",IF(LOWER(IF(RIGHT(TRIM(E922),1)="/",LEFT(TRIM(E922),LEN(TRIM(E922))-1),TRIM(E922)))&lt;&gt;LOWER(IF(RIGHT(TRIM(G922),1)="/",LEFT(TRIM(G922),LEN(TRIM(G922))-1),TRIM(G922))),"Yes","No"))</f>
        <v/>
      </c>
      <c r="Y922">
        <f>IF(A922="","",(N(Q922)&gt;0)+(T922="Yes")+(U922="Yes")+(W922="Yes")+(X922="Yes"))</f>
        <v/>
      </c>
      <c r="Z922">
        <f>IF(A922="","",IF(G922="","Not mapped",IF(Y922=0,"OK",MID(IF(N(Q922)&gt;0,"; Cannibalisation","")&amp;IF(T922="Yes","; Too many primary keywords on URL","")&amp;IF(U922="Yes","; URL spans 2+ clusters","")&amp;IF(W922="Yes","; Intent mismatch","")&amp;IF(X922="Yes","; Ranking URL is not the target",""),3,300))))</f>
        <v/>
      </c>
      <c r="AA922">
        <f>IF(G922="","",IF(COUNTIF($G$3:G922,SUBSTITUTE(SUBSTITUTE(G922,"?","~?"),"*","~*"))=1,MAX($AA$2:AA921)+1,""))</f>
        <v/>
      </c>
      <c r="AB922">
        <f>IF(B922="","",IF(COUNTIF($B$3:B922,SUBSTITUTE(SUBSTITUTE(B922,"?","~?"),"*","~*"))=1,MAX($AB$2:AB921)+1,""))</f>
        <v/>
      </c>
    </row>
    <row r="923">
      <c r="M923">
        <f>IF(A923="","",LOWER(TRIM(SUBSTITUTE(SUBSTITUTE(A923,"?",""),"*",""))))</f>
        <v/>
      </c>
      <c r="N923">
        <f>IF(M923="","",IF(SUMPRODUCT(ISNUMBER(SEARCH(" "&amp;Settings!$L$5:$L$124&amp;" "," "&amp;M923&amp;" "))*(Settings!$K$5:$K$124="Navigational")*(Settings!$L$5:$L$124&lt;&gt;""))&gt;0,"Navigational",IF(SUMPRODUCT(ISNUMBER(SEARCH(" "&amp;Settings!$L$5:$L$124&amp;" "," "&amp;M923&amp;" "))*(Settings!$K$5:$K$124="Transactional")*(Settings!$L$5:$L$124&lt;&gt;""))&gt;0,"Transactional",IF(SUMPRODUCT(ISNUMBER(SEARCH(" "&amp;Settings!$L$5:$L$124&amp;" "," "&amp;M923&amp;" "))*(Settings!$K$5:$K$124="Commercial")*(Settings!$L$5:$L$124&lt;&gt;""))&gt;0,"Commercial",IF(SUMPRODUCT(ISNUMBER(SEARCH(" "&amp;Settings!$L$5:$L$124&amp;" "," "&amp;M923&amp;" "))*(Settings!$K$5:$K$124="Informational")*(Settings!$L$5:$L$124&lt;&gt;""))&gt;0,"Informational","Unclassified")))))</f>
        <v/>
      </c>
      <c r="O923">
        <f>IF(A923="","",IF(K923&lt;&gt;"",PROPER(K923),N923))</f>
        <v/>
      </c>
      <c r="P923">
        <f>IF(A923="","",ROUND(Settings!$B$5*MIN(1,LOG10(N(C923)+1)/LOG10(Settings!$B$7+1))+Settings!$B$6*(1-MIN(100,IF(D923="",50,N(D923)))/100)+IFERROR(INDEX(Settings!$B$10:$B$14,MATCH(O923,Settings!$A$10:$A$14,0)),0),0))</f>
        <v/>
      </c>
      <c r="Q923">
        <f>IF(OR(A923="",G923=""),"",COUNTIFS($M$3:$M$1002,M923,$G$3:$G$1002,"&lt;&gt;"&amp;SUBSTITUTE(SUBSTITUTE(G923,"?","~?"),"*","~*"),$G$3:$G$1002,"?*"))</f>
        <v/>
      </c>
      <c r="R923">
        <f>IF(Q923="","",IF(Q923&gt;0,"Yes","No"))</f>
        <v/>
      </c>
      <c r="S923">
        <f>IF(G923="","",COUNTIFS($G$3:$G$1002,SUBSTITUTE(SUBSTITUTE(G923,"?","~?"),"*","~*"),$J$3:$J$1002,"Primary"))</f>
        <v/>
      </c>
      <c r="T923">
        <f>IF(S923="","",IF(S923&gt;Settings!$B$4,"Yes","No"))</f>
        <v/>
      </c>
      <c r="U923">
        <f>IF(OR(G923="",B923=""),"",IF(COUNTIFS($G$3:$G$1002,SUBSTITUTE(SUBSTITUTE(G923,"?","~?"),"*","~*"),$B$3:$B$1002,"&lt;&gt;"&amp;SUBSTITUTE(SUBSTITUTE(B923,"?","~?"),"*","~*"),$B$3:$B$1002,"?*")&gt;0,"Yes","No"))</f>
        <v/>
      </c>
      <c r="V923">
        <f>IF(OR(G923="",I923="",O923="",O923="Unclassified"),"",IFERROR(INDEX(Settings!$E$5:$H$16,MATCH(I923,Settings!$D$5:$D$16,0),MATCH(O923,Settings!$E$4:$H$4,0)),"Check"))</f>
        <v/>
      </c>
      <c r="W923">
        <f>IF(V923="","",IF(V923="No","Yes","No"))</f>
        <v/>
      </c>
      <c r="X923">
        <f>IF(OR(E923="",G923=""),"",IF(LOWER(IF(RIGHT(TRIM(E923),1)="/",LEFT(TRIM(E923),LEN(TRIM(E923))-1),TRIM(E923)))&lt;&gt;LOWER(IF(RIGHT(TRIM(G923),1)="/",LEFT(TRIM(G923),LEN(TRIM(G923))-1),TRIM(G923))),"Yes","No"))</f>
        <v/>
      </c>
      <c r="Y923">
        <f>IF(A923="","",(N(Q923)&gt;0)+(T923="Yes")+(U923="Yes")+(W923="Yes")+(X923="Yes"))</f>
        <v/>
      </c>
      <c r="Z923">
        <f>IF(A923="","",IF(G923="","Not mapped",IF(Y923=0,"OK",MID(IF(N(Q923)&gt;0,"; Cannibalisation","")&amp;IF(T923="Yes","; Too many primary keywords on URL","")&amp;IF(U923="Yes","; URL spans 2+ clusters","")&amp;IF(W923="Yes","; Intent mismatch","")&amp;IF(X923="Yes","; Ranking URL is not the target",""),3,300))))</f>
        <v/>
      </c>
      <c r="AA923">
        <f>IF(G923="","",IF(COUNTIF($G$3:G923,SUBSTITUTE(SUBSTITUTE(G923,"?","~?"),"*","~*"))=1,MAX($AA$2:AA922)+1,""))</f>
        <v/>
      </c>
      <c r="AB923">
        <f>IF(B923="","",IF(COUNTIF($B$3:B923,SUBSTITUTE(SUBSTITUTE(B923,"?","~?"),"*","~*"))=1,MAX($AB$2:AB922)+1,""))</f>
        <v/>
      </c>
    </row>
    <row r="924">
      <c r="M924">
        <f>IF(A924="","",LOWER(TRIM(SUBSTITUTE(SUBSTITUTE(A924,"?",""),"*",""))))</f>
        <v/>
      </c>
      <c r="N924">
        <f>IF(M924="","",IF(SUMPRODUCT(ISNUMBER(SEARCH(" "&amp;Settings!$L$5:$L$124&amp;" "," "&amp;M924&amp;" "))*(Settings!$K$5:$K$124="Navigational")*(Settings!$L$5:$L$124&lt;&gt;""))&gt;0,"Navigational",IF(SUMPRODUCT(ISNUMBER(SEARCH(" "&amp;Settings!$L$5:$L$124&amp;" "," "&amp;M924&amp;" "))*(Settings!$K$5:$K$124="Transactional")*(Settings!$L$5:$L$124&lt;&gt;""))&gt;0,"Transactional",IF(SUMPRODUCT(ISNUMBER(SEARCH(" "&amp;Settings!$L$5:$L$124&amp;" "," "&amp;M924&amp;" "))*(Settings!$K$5:$K$124="Commercial")*(Settings!$L$5:$L$124&lt;&gt;""))&gt;0,"Commercial",IF(SUMPRODUCT(ISNUMBER(SEARCH(" "&amp;Settings!$L$5:$L$124&amp;" "," "&amp;M924&amp;" "))*(Settings!$K$5:$K$124="Informational")*(Settings!$L$5:$L$124&lt;&gt;""))&gt;0,"Informational","Unclassified")))))</f>
        <v/>
      </c>
      <c r="O924">
        <f>IF(A924="","",IF(K924&lt;&gt;"",PROPER(K924),N924))</f>
        <v/>
      </c>
      <c r="P924">
        <f>IF(A924="","",ROUND(Settings!$B$5*MIN(1,LOG10(N(C924)+1)/LOG10(Settings!$B$7+1))+Settings!$B$6*(1-MIN(100,IF(D924="",50,N(D924)))/100)+IFERROR(INDEX(Settings!$B$10:$B$14,MATCH(O924,Settings!$A$10:$A$14,0)),0),0))</f>
        <v/>
      </c>
      <c r="Q924">
        <f>IF(OR(A924="",G924=""),"",COUNTIFS($M$3:$M$1002,M924,$G$3:$G$1002,"&lt;&gt;"&amp;SUBSTITUTE(SUBSTITUTE(G924,"?","~?"),"*","~*"),$G$3:$G$1002,"?*"))</f>
        <v/>
      </c>
      <c r="R924">
        <f>IF(Q924="","",IF(Q924&gt;0,"Yes","No"))</f>
        <v/>
      </c>
      <c r="S924">
        <f>IF(G924="","",COUNTIFS($G$3:$G$1002,SUBSTITUTE(SUBSTITUTE(G924,"?","~?"),"*","~*"),$J$3:$J$1002,"Primary"))</f>
        <v/>
      </c>
      <c r="T924">
        <f>IF(S924="","",IF(S924&gt;Settings!$B$4,"Yes","No"))</f>
        <v/>
      </c>
      <c r="U924">
        <f>IF(OR(G924="",B924=""),"",IF(COUNTIFS($G$3:$G$1002,SUBSTITUTE(SUBSTITUTE(G924,"?","~?"),"*","~*"),$B$3:$B$1002,"&lt;&gt;"&amp;SUBSTITUTE(SUBSTITUTE(B924,"?","~?"),"*","~*"),$B$3:$B$1002,"?*")&gt;0,"Yes","No"))</f>
        <v/>
      </c>
      <c r="V924">
        <f>IF(OR(G924="",I924="",O924="",O924="Unclassified"),"",IFERROR(INDEX(Settings!$E$5:$H$16,MATCH(I924,Settings!$D$5:$D$16,0),MATCH(O924,Settings!$E$4:$H$4,0)),"Check"))</f>
        <v/>
      </c>
      <c r="W924">
        <f>IF(V924="","",IF(V924="No","Yes","No"))</f>
        <v/>
      </c>
      <c r="X924">
        <f>IF(OR(E924="",G924=""),"",IF(LOWER(IF(RIGHT(TRIM(E924),1)="/",LEFT(TRIM(E924),LEN(TRIM(E924))-1),TRIM(E924)))&lt;&gt;LOWER(IF(RIGHT(TRIM(G924),1)="/",LEFT(TRIM(G924),LEN(TRIM(G924))-1),TRIM(G924))),"Yes","No"))</f>
        <v/>
      </c>
      <c r="Y924">
        <f>IF(A924="","",(N(Q924)&gt;0)+(T924="Yes")+(U924="Yes")+(W924="Yes")+(X924="Yes"))</f>
        <v/>
      </c>
      <c r="Z924">
        <f>IF(A924="","",IF(G924="","Not mapped",IF(Y924=0,"OK",MID(IF(N(Q924)&gt;0,"; Cannibalisation","")&amp;IF(T924="Yes","; Too many primary keywords on URL","")&amp;IF(U924="Yes","; URL spans 2+ clusters","")&amp;IF(W924="Yes","; Intent mismatch","")&amp;IF(X924="Yes","; Ranking URL is not the target",""),3,300))))</f>
        <v/>
      </c>
      <c r="AA924">
        <f>IF(G924="","",IF(COUNTIF($G$3:G924,SUBSTITUTE(SUBSTITUTE(G924,"?","~?"),"*","~*"))=1,MAX($AA$2:AA923)+1,""))</f>
        <v/>
      </c>
      <c r="AB924">
        <f>IF(B924="","",IF(COUNTIF($B$3:B924,SUBSTITUTE(SUBSTITUTE(B924,"?","~?"),"*","~*"))=1,MAX($AB$2:AB923)+1,""))</f>
        <v/>
      </c>
    </row>
    <row r="925">
      <c r="M925">
        <f>IF(A925="","",LOWER(TRIM(SUBSTITUTE(SUBSTITUTE(A925,"?",""),"*",""))))</f>
        <v/>
      </c>
      <c r="N925">
        <f>IF(M925="","",IF(SUMPRODUCT(ISNUMBER(SEARCH(" "&amp;Settings!$L$5:$L$124&amp;" "," "&amp;M925&amp;" "))*(Settings!$K$5:$K$124="Navigational")*(Settings!$L$5:$L$124&lt;&gt;""))&gt;0,"Navigational",IF(SUMPRODUCT(ISNUMBER(SEARCH(" "&amp;Settings!$L$5:$L$124&amp;" "," "&amp;M925&amp;" "))*(Settings!$K$5:$K$124="Transactional")*(Settings!$L$5:$L$124&lt;&gt;""))&gt;0,"Transactional",IF(SUMPRODUCT(ISNUMBER(SEARCH(" "&amp;Settings!$L$5:$L$124&amp;" "," "&amp;M925&amp;" "))*(Settings!$K$5:$K$124="Commercial")*(Settings!$L$5:$L$124&lt;&gt;""))&gt;0,"Commercial",IF(SUMPRODUCT(ISNUMBER(SEARCH(" "&amp;Settings!$L$5:$L$124&amp;" "," "&amp;M925&amp;" "))*(Settings!$K$5:$K$124="Informational")*(Settings!$L$5:$L$124&lt;&gt;""))&gt;0,"Informational","Unclassified")))))</f>
        <v/>
      </c>
      <c r="O925">
        <f>IF(A925="","",IF(K925&lt;&gt;"",PROPER(K925),N925))</f>
        <v/>
      </c>
      <c r="P925">
        <f>IF(A925="","",ROUND(Settings!$B$5*MIN(1,LOG10(N(C925)+1)/LOG10(Settings!$B$7+1))+Settings!$B$6*(1-MIN(100,IF(D925="",50,N(D925)))/100)+IFERROR(INDEX(Settings!$B$10:$B$14,MATCH(O925,Settings!$A$10:$A$14,0)),0),0))</f>
        <v/>
      </c>
      <c r="Q925">
        <f>IF(OR(A925="",G925=""),"",COUNTIFS($M$3:$M$1002,M925,$G$3:$G$1002,"&lt;&gt;"&amp;SUBSTITUTE(SUBSTITUTE(G925,"?","~?"),"*","~*"),$G$3:$G$1002,"?*"))</f>
        <v/>
      </c>
      <c r="R925">
        <f>IF(Q925="","",IF(Q925&gt;0,"Yes","No"))</f>
        <v/>
      </c>
      <c r="S925">
        <f>IF(G925="","",COUNTIFS($G$3:$G$1002,SUBSTITUTE(SUBSTITUTE(G925,"?","~?"),"*","~*"),$J$3:$J$1002,"Primary"))</f>
        <v/>
      </c>
      <c r="T925">
        <f>IF(S925="","",IF(S925&gt;Settings!$B$4,"Yes","No"))</f>
        <v/>
      </c>
      <c r="U925">
        <f>IF(OR(G925="",B925=""),"",IF(COUNTIFS($G$3:$G$1002,SUBSTITUTE(SUBSTITUTE(G925,"?","~?"),"*","~*"),$B$3:$B$1002,"&lt;&gt;"&amp;SUBSTITUTE(SUBSTITUTE(B925,"?","~?"),"*","~*"),$B$3:$B$1002,"?*")&gt;0,"Yes","No"))</f>
        <v/>
      </c>
      <c r="V925">
        <f>IF(OR(G925="",I925="",O925="",O925="Unclassified"),"",IFERROR(INDEX(Settings!$E$5:$H$16,MATCH(I925,Settings!$D$5:$D$16,0),MATCH(O925,Settings!$E$4:$H$4,0)),"Check"))</f>
        <v/>
      </c>
      <c r="W925">
        <f>IF(V925="","",IF(V925="No","Yes","No"))</f>
        <v/>
      </c>
      <c r="X925">
        <f>IF(OR(E925="",G925=""),"",IF(LOWER(IF(RIGHT(TRIM(E925),1)="/",LEFT(TRIM(E925),LEN(TRIM(E925))-1),TRIM(E925)))&lt;&gt;LOWER(IF(RIGHT(TRIM(G925),1)="/",LEFT(TRIM(G925),LEN(TRIM(G925))-1),TRIM(G925))),"Yes","No"))</f>
        <v/>
      </c>
      <c r="Y925">
        <f>IF(A925="","",(N(Q925)&gt;0)+(T925="Yes")+(U925="Yes")+(W925="Yes")+(X925="Yes"))</f>
        <v/>
      </c>
      <c r="Z925">
        <f>IF(A925="","",IF(G925="","Not mapped",IF(Y925=0,"OK",MID(IF(N(Q925)&gt;0,"; Cannibalisation","")&amp;IF(T925="Yes","; Too many primary keywords on URL","")&amp;IF(U925="Yes","; URL spans 2+ clusters","")&amp;IF(W925="Yes","; Intent mismatch","")&amp;IF(X925="Yes","; Ranking URL is not the target",""),3,300))))</f>
        <v/>
      </c>
      <c r="AA925">
        <f>IF(G925="","",IF(COUNTIF($G$3:G925,SUBSTITUTE(SUBSTITUTE(G925,"?","~?"),"*","~*"))=1,MAX($AA$2:AA924)+1,""))</f>
        <v/>
      </c>
      <c r="AB925">
        <f>IF(B925="","",IF(COUNTIF($B$3:B925,SUBSTITUTE(SUBSTITUTE(B925,"?","~?"),"*","~*"))=1,MAX($AB$2:AB924)+1,""))</f>
        <v/>
      </c>
    </row>
    <row r="926">
      <c r="M926">
        <f>IF(A926="","",LOWER(TRIM(SUBSTITUTE(SUBSTITUTE(A926,"?",""),"*",""))))</f>
        <v/>
      </c>
      <c r="N926">
        <f>IF(M926="","",IF(SUMPRODUCT(ISNUMBER(SEARCH(" "&amp;Settings!$L$5:$L$124&amp;" "," "&amp;M926&amp;" "))*(Settings!$K$5:$K$124="Navigational")*(Settings!$L$5:$L$124&lt;&gt;""))&gt;0,"Navigational",IF(SUMPRODUCT(ISNUMBER(SEARCH(" "&amp;Settings!$L$5:$L$124&amp;" "," "&amp;M926&amp;" "))*(Settings!$K$5:$K$124="Transactional")*(Settings!$L$5:$L$124&lt;&gt;""))&gt;0,"Transactional",IF(SUMPRODUCT(ISNUMBER(SEARCH(" "&amp;Settings!$L$5:$L$124&amp;" "," "&amp;M926&amp;" "))*(Settings!$K$5:$K$124="Commercial")*(Settings!$L$5:$L$124&lt;&gt;""))&gt;0,"Commercial",IF(SUMPRODUCT(ISNUMBER(SEARCH(" "&amp;Settings!$L$5:$L$124&amp;" "," "&amp;M926&amp;" "))*(Settings!$K$5:$K$124="Informational")*(Settings!$L$5:$L$124&lt;&gt;""))&gt;0,"Informational","Unclassified")))))</f>
        <v/>
      </c>
      <c r="O926">
        <f>IF(A926="","",IF(K926&lt;&gt;"",PROPER(K926),N926))</f>
        <v/>
      </c>
      <c r="P926">
        <f>IF(A926="","",ROUND(Settings!$B$5*MIN(1,LOG10(N(C926)+1)/LOG10(Settings!$B$7+1))+Settings!$B$6*(1-MIN(100,IF(D926="",50,N(D926)))/100)+IFERROR(INDEX(Settings!$B$10:$B$14,MATCH(O926,Settings!$A$10:$A$14,0)),0),0))</f>
        <v/>
      </c>
      <c r="Q926">
        <f>IF(OR(A926="",G926=""),"",COUNTIFS($M$3:$M$1002,M926,$G$3:$G$1002,"&lt;&gt;"&amp;SUBSTITUTE(SUBSTITUTE(G926,"?","~?"),"*","~*"),$G$3:$G$1002,"?*"))</f>
        <v/>
      </c>
      <c r="R926">
        <f>IF(Q926="","",IF(Q926&gt;0,"Yes","No"))</f>
        <v/>
      </c>
      <c r="S926">
        <f>IF(G926="","",COUNTIFS($G$3:$G$1002,SUBSTITUTE(SUBSTITUTE(G926,"?","~?"),"*","~*"),$J$3:$J$1002,"Primary"))</f>
        <v/>
      </c>
      <c r="T926">
        <f>IF(S926="","",IF(S926&gt;Settings!$B$4,"Yes","No"))</f>
        <v/>
      </c>
      <c r="U926">
        <f>IF(OR(G926="",B926=""),"",IF(COUNTIFS($G$3:$G$1002,SUBSTITUTE(SUBSTITUTE(G926,"?","~?"),"*","~*"),$B$3:$B$1002,"&lt;&gt;"&amp;SUBSTITUTE(SUBSTITUTE(B926,"?","~?"),"*","~*"),$B$3:$B$1002,"?*")&gt;0,"Yes","No"))</f>
        <v/>
      </c>
      <c r="V926">
        <f>IF(OR(G926="",I926="",O926="",O926="Unclassified"),"",IFERROR(INDEX(Settings!$E$5:$H$16,MATCH(I926,Settings!$D$5:$D$16,0),MATCH(O926,Settings!$E$4:$H$4,0)),"Check"))</f>
        <v/>
      </c>
      <c r="W926">
        <f>IF(V926="","",IF(V926="No","Yes","No"))</f>
        <v/>
      </c>
      <c r="X926">
        <f>IF(OR(E926="",G926=""),"",IF(LOWER(IF(RIGHT(TRIM(E926),1)="/",LEFT(TRIM(E926),LEN(TRIM(E926))-1),TRIM(E926)))&lt;&gt;LOWER(IF(RIGHT(TRIM(G926),1)="/",LEFT(TRIM(G926),LEN(TRIM(G926))-1),TRIM(G926))),"Yes","No"))</f>
        <v/>
      </c>
      <c r="Y926">
        <f>IF(A926="","",(N(Q926)&gt;0)+(T926="Yes")+(U926="Yes")+(W926="Yes")+(X926="Yes"))</f>
        <v/>
      </c>
      <c r="Z926">
        <f>IF(A926="","",IF(G926="","Not mapped",IF(Y926=0,"OK",MID(IF(N(Q926)&gt;0,"; Cannibalisation","")&amp;IF(T926="Yes","; Too many primary keywords on URL","")&amp;IF(U926="Yes","; URL spans 2+ clusters","")&amp;IF(W926="Yes","; Intent mismatch","")&amp;IF(X926="Yes","; Ranking URL is not the target",""),3,300))))</f>
        <v/>
      </c>
      <c r="AA926">
        <f>IF(G926="","",IF(COUNTIF($G$3:G926,SUBSTITUTE(SUBSTITUTE(G926,"?","~?"),"*","~*"))=1,MAX($AA$2:AA925)+1,""))</f>
        <v/>
      </c>
      <c r="AB926">
        <f>IF(B926="","",IF(COUNTIF($B$3:B926,SUBSTITUTE(SUBSTITUTE(B926,"?","~?"),"*","~*"))=1,MAX($AB$2:AB925)+1,""))</f>
        <v/>
      </c>
    </row>
    <row r="927">
      <c r="M927">
        <f>IF(A927="","",LOWER(TRIM(SUBSTITUTE(SUBSTITUTE(A927,"?",""),"*",""))))</f>
        <v/>
      </c>
      <c r="N927">
        <f>IF(M927="","",IF(SUMPRODUCT(ISNUMBER(SEARCH(" "&amp;Settings!$L$5:$L$124&amp;" "," "&amp;M927&amp;" "))*(Settings!$K$5:$K$124="Navigational")*(Settings!$L$5:$L$124&lt;&gt;""))&gt;0,"Navigational",IF(SUMPRODUCT(ISNUMBER(SEARCH(" "&amp;Settings!$L$5:$L$124&amp;" "," "&amp;M927&amp;" "))*(Settings!$K$5:$K$124="Transactional")*(Settings!$L$5:$L$124&lt;&gt;""))&gt;0,"Transactional",IF(SUMPRODUCT(ISNUMBER(SEARCH(" "&amp;Settings!$L$5:$L$124&amp;" "," "&amp;M927&amp;" "))*(Settings!$K$5:$K$124="Commercial")*(Settings!$L$5:$L$124&lt;&gt;""))&gt;0,"Commercial",IF(SUMPRODUCT(ISNUMBER(SEARCH(" "&amp;Settings!$L$5:$L$124&amp;" "," "&amp;M927&amp;" "))*(Settings!$K$5:$K$124="Informational")*(Settings!$L$5:$L$124&lt;&gt;""))&gt;0,"Informational","Unclassified")))))</f>
        <v/>
      </c>
      <c r="O927">
        <f>IF(A927="","",IF(K927&lt;&gt;"",PROPER(K927),N927))</f>
        <v/>
      </c>
      <c r="P927">
        <f>IF(A927="","",ROUND(Settings!$B$5*MIN(1,LOG10(N(C927)+1)/LOG10(Settings!$B$7+1))+Settings!$B$6*(1-MIN(100,IF(D927="",50,N(D927)))/100)+IFERROR(INDEX(Settings!$B$10:$B$14,MATCH(O927,Settings!$A$10:$A$14,0)),0),0))</f>
        <v/>
      </c>
      <c r="Q927">
        <f>IF(OR(A927="",G927=""),"",COUNTIFS($M$3:$M$1002,M927,$G$3:$G$1002,"&lt;&gt;"&amp;SUBSTITUTE(SUBSTITUTE(G927,"?","~?"),"*","~*"),$G$3:$G$1002,"?*"))</f>
        <v/>
      </c>
      <c r="R927">
        <f>IF(Q927="","",IF(Q927&gt;0,"Yes","No"))</f>
        <v/>
      </c>
      <c r="S927">
        <f>IF(G927="","",COUNTIFS($G$3:$G$1002,SUBSTITUTE(SUBSTITUTE(G927,"?","~?"),"*","~*"),$J$3:$J$1002,"Primary"))</f>
        <v/>
      </c>
      <c r="T927">
        <f>IF(S927="","",IF(S927&gt;Settings!$B$4,"Yes","No"))</f>
        <v/>
      </c>
      <c r="U927">
        <f>IF(OR(G927="",B927=""),"",IF(COUNTIFS($G$3:$G$1002,SUBSTITUTE(SUBSTITUTE(G927,"?","~?"),"*","~*"),$B$3:$B$1002,"&lt;&gt;"&amp;SUBSTITUTE(SUBSTITUTE(B927,"?","~?"),"*","~*"),$B$3:$B$1002,"?*")&gt;0,"Yes","No"))</f>
        <v/>
      </c>
      <c r="V927">
        <f>IF(OR(G927="",I927="",O927="",O927="Unclassified"),"",IFERROR(INDEX(Settings!$E$5:$H$16,MATCH(I927,Settings!$D$5:$D$16,0),MATCH(O927,Settings!$E$4:$H$4,0)),"Check"))</f>
        <v/>
      </c>
      <c r="W927">
        <f>IF(V927="","",IF(V927="No","Yes","No"))</f>
        <v/>
      </c>
      <c r="X927">
        <f>IF(OR(E927="",G927=""),"",IF(LOWER(IF(RIGHT(TRIM(E927),1)="/",LEFT(TRIM(E927),LEN(TRIM(E927))-1),TRIM(E927)))&lt;&gt;LOWER(IF(RIGHT(TRIM(G927),1)="/",LEFT(TRIM(G927),LEN(TRIM(G927))-1),TRIM(G927))),"Yes","No"))</f>
        <v/>
      </c>
      <c r="Y927">
        <f>IF(A927="","",(N(Q927)&gt;0)+(T927="Yes")+(U927="Yes")+(W927="Yes")+(X927="Yes"))</f>
        <v/>
      </c>
      <c r="Z927">
        <f>IF(A927="","",IF(G927="","Not mapped",IF(Y927=0,"OK",MID(IF(N(Q927)&gt;0,"; Cannibalisation","")&amp;IF(T927="Yes","; Too many primary keywords on URL","")&amp;IF(U927="Yes","; URL spans 2+ clusters","")&amp;IF(W927="Yes","; Intent mismatch","")&amp;IF(X927="Yes","; Ranking URL is not the target",""),3,300))))</f>
        <v/>
      </c>
      <c r="AA927">
        <f>IF(G927="","",IF(COUNTIF($G$3:G927,SUBSTITUTE(SUBSTITUTE(G927,"?","~?"),"*","~*"))=1,MAX($AA$2:AA926)+1,""))</f>
        <v/>
      </c>
      <c r="AB927">
        <f>IF(B927="","",IF(COUNTIF($B$3:B927,SUBSTITUTE(SUBSTITUTE(B927,"?","~?"),"*","~*"))=1,MAX($AB$2:AB926)+1,""))</f>
        <v/>
      </c>
    </row>
    <row r="928">
      <c r="M928">
        <f>IF(A928="","",LOWER(TRIM(SUBSTITUTE(SUBSTITUTE(A928,"?",""),"*",""))))</f>
        <v/>
      </c>
      <c r="N928">
        <f>IF(M928="","",IF(SUMPRODUCT(ISNUMBER(SEARCH(" "&amp;Settings!$L$5:$L$124&amp;" "," "&amp;M928&amp;" "))*(Settings!$K$5:$K$124="Navigational")*(Settings!$L$5:$L$124&lt;&gt;""))&gt;0,"Navigational",IF(SUMPRODUCT(ISNUMBER(SEARCH(" "&amp;Settings!$L$5:$L$124&amp;" "," "&amp;M928&amp;" "))*(Settings!$K$5:$K$124="Transactional")*(Settings!$L$5:$L$124&lt;&gt;""))&gt;0,"Transactional",IF(SUMPRODUCT(ISNUMBER(SEARCH(" "&amp;Settings!$L$5:$L$124&amp;" "," "&amp;M928&amp;" "))*(Settings!$K$5:$K$124="Commercial")*(Settings!$L$5:$L$124&lt;&gt;""))&gt;0,"Commercial",IF(SUMPRODUCT(ISNUMBER(SEARCH(" "&amp;Settings!$L$5:$L$124&amp;" "," "&amp;M928&amp;" "))*(Settings!$K$5:$K$124="Informational")*(Settings!$L$5:$L$124&lt;&gt;""))&gt;0,"Informational","Unclassified")))))</f>
        <v/>
      </c>
      <c r="O928">
        <f>IF(A928="","",IF(K928&lt;&gt;"",PROPER(K928),N928))</f>
        <v/>
      </c>
      <c r="P928">
        <f>IF(A928="","",ROUND(Settings!$B$5*MIN(1,LOG10(N(C928)+1)/LOG10(Settings!$B$7+1))+Settings!$B$6*(1-MIN(100,IF(D928="",50,N(D928)))/100)+IFERROR(INDEX(Settings!$B$10:$B$14,MATCH(O928,Settings!$A$10:$A$14,0)),0),0))</f>
        <v/>
      </c>
      <c r="Q928">
        <f>IF(OR(A928="",G928=""),"",COUNTIFS($M$3:$M$1002,M928,$G$3:$G$1002,"&lt;&gt;"&amp;SUBSTITUTE(SUBSTITUTE(G928,"?","~?"),"*","~*"),$G$3:$G$1002,"?*"))</f>
        <v/>
      </c>
      <c r="R928">
        <f>IF(Q928="","",IF(Q928&gt;0,"Yes","No"))</f>
        <v/>
      </c>
      <c r="S928">
        <f>IF(G928="","",COUNTIFS($G$3:$G$1002,SUBSTITUTE(SUBSTITUTE(G928,"?","~?"),"*","~*"),$J$3:$J$1002,"Primary"))</f>
        <v/>
      </c>
      <c r="T928">
        <f>IF(S928="","",IF(S928&gt;Settings!$B$4,"Yes","No"))</f>
        <v/>
      </c>
      <c r="U928">
        <f>IF(OR(G928="",B928=""),"",IF(COUNTIFS($G$3:$G$1002,SUBSTITUTE(SUBSTITUTE(G928,"?","~?"),"*","~*"),$B$3:$B$1002,"&lt;&gt;"&amp;SUBSTITUTE(SUBSTITUTE(B928,"?","~?"),"*","~*"),$B$3:$B$1002,"?*")&gt;0,"Yes","No"))</f>
        <v/>
      </c>
      <c r="V928">
        <f>IF(OR(G928="",I928="",O928="",O928="Unclassified"),"",IFERROR(INDEX(Settings!$E$5:$H$16,MATCH(I928,Settings!$D$5:$D$16,0),MATCH(O928,Settings!$E$4:$H$4,0)),"Check"))</f>
        <v/>
      </c>
      <c r="W928">
        <f>IF(V928="","",IF(V928="No","Yes","No"))</f>
        <v/>
      </c>
      <c r="X928">
        <f>IF(OR(E928="",G928=""),"",IF(LOWER(IF(RIGHT(TRIM(E928),1)="/",LEFT(TRIM(E928),LEN(TRIM(E928))-1),TRIM(E928)))&lt;&gt;LOWER(IF(RIGHT(TRIM(G928),1)="/",LEFT(TRIM(G928),LEN(TRIM(G928))-1),TRIM(G928))),"Yes","No"))</f>
        <v/>
      </c>
      <c r="Y928">
        <f>IF(A928="","",(N(Q928)&gt;0)+(T928="Yes")+(U928="Yes")+(W928="Yes")+(X928="Yes"))</f>
        <v/>
      </c>
      <c r="Z928">
        <f>IF(A928="","",IF(G928="","Not mapped",IF(Y928=0,"OK",MID(IF(N(Q928)&gt;0,"; Cannibalisation","")&amp;IF(T928="Yes","; Too many primary keywords on URL","")&amp;IF(U928="Yes","; URL spans 2+ clusters","")&amp;IF(W928="Yes","; Intent mismatch","")&amp;IF(X928="Yes","; Ranking URL is not the target",""),3,300))))</f>
        <v/>
      </c>
      <c r="AA928">
        <f>IF(G928="","",IF(COUNTIF($G$3:G928,SUBSTITUTE(SUBSTITUTE(G928,"?","~?"),"*","~*"))=1,MAX($AA$2:AA927)+1,""))</f>
        <v/>
      </c>
      <c r="AB928">
        <f>IF(B928="","",IF(COUNTIF($B$3:B928,SUBSTITUTE(SUBSTITUTE(B928,"?","~?"),"*","~*"))=1,MAX($AB$2:AB927)+1,""))</f>
        <v/>
      </c>
    </row>
    <row r="929">
      <c r="M929">
        <f>IF(A929="","",LOWER(TRIM(SUBSTITUTE(SUBSTITUTE(A929,"?",""),"*",""))))</f>
        <v/>
      </c>
      <c r="N929">
        <f>IF(M929="","",IF(SUMPRODUCT(ISNUMBER(SEARCH(" "&amp;Settings!$L$5:$L$124&amp;" "," "&amp;M929&amp;" "))*(Settings!$K$5:$K$124="Navigational")*(Settings!$L$5:$L$124&lt;&gt;""))&gt;0,"Navigational",IF(SUMPRODUCT(ISNUMBER(SEARCH(" "&amp;Settings!$L$5:$L$124&amp;" "," "&amp;M929&amp;" "))*(Settings!$K$5:$K$124="Transactional")*(Settings!$L$5:$L$124&lt;&gt;""))&gt;0,"Transactional",IF(SUMPRODUCT(ISNUMBER(SEARCH(" "&amp;Settings!$L$5:$L$124&amp;" "," "&amp;M929&amp;" "))*(Settings!$K$5:$K$124="Commercial")*(Settings!$L$5:$L$124&lt;&gt;""))&gt;0,"Commercial",IF(SUMPRODUCT(ISNUMBER(SEARCH(" "&amp;Settings!$L$5:$L$124&amp;" "," "&amp;M929&amp;" "))*(Settings!$K$5:$K$124="Informational")*(Settings!$L$5:$L$124&lt;&gt;""))&gt;0,"Informational","Unclassified")))))</f>
        <v/>
      </c>
      <c r="O929">
        <f>IF(A929="","",IF(K929&lt;&gt;"",PROPER(K929),N929))</f>
        <v/>
      </c>
      <c r="P929">
        <f>IF(A929="","",ROUND(Settings!$B$5*MIN(1,LOG10(N(C929)+1)/LOG10(Settings!$B$7+1))+Settings!$B$6*(1-MIN(100,IF(D929="",50,N(D929)))/100)+IFERROR(INDEX(Settings!$B$10:$B$14,MATCH(O929,Settings!$A$10:$A$14,0)),0),0))</f>
        <v/>
      </c>
      <c r="Q929">
        <f>IF(OR(A929="",G929=""),"",COUNTIFS($M$3:$M$1002,M929,$G$3:$G$1002,"&lt;&gt;"&amp;SUBSTITUTE(SUBSTITUTE(G929,"?","~?"),"*","~*"),$G$3:$G$1002,"?*"))</f>
        <v/>
      </c>
      <c r="R929">
        <f>IF(Q929="","",IF(Q929&gt;0,"Yes","No"))</f>
        <v/>
      </c>
      <c r="S929">
        <f>IF(G929="","",COUNTIFS($G$3:$G$1002,SUBSTITUTE(SUBSTITUTE(G929,"?","~?"),"*","~*"),$J$3:$J$1002,"Primary"))</f>
        <v/>
      </c>
      <c r="T929">
        <f>IF(S929="","",IF(S929&gt;Settings!$B$4,"Yes","No"))</f>
        <v/>
      </c>
      <c r="U929">
        <f>IF(OR(G929="",B929=""),"",IF(COUNTIFS($G$3:$G$1002,SUBSTITUTE(SUBSTITUTE(G929,"?","~?"),"*","~*"),$B$3:$B$1002,"&lt;&gt;"&amp;SUBSTITUTE(SUBSTITUTE(B929,"?","~?"),"*","~*"),$B$3:$B$1002,"?*")&gt;0,"Yes","No"))</f>
        <v/>
      </c>
      <c r="V929">
        <f>IF(OR(G929="",I929="",O929="",O929="Unclassified"),"",IFERROR(INDEX(Settings!$E$5:$H$16,MATCH(I929,Settings!$D$5:$D$16,0),MATCH(O929,Settings!$E$4:$H$4,0)),"Check"))</f>
        <v/>
      </c>
      <c r="W929">
        <f>IF(V929="","",IF(V929="No","Yes","No"))</f>
        <v/>
      </c>
      <c r="X929">
        <f>IF(OR(E929="",G929=""),"",IF(LOWER(IF(RIGHT(TRIM(E929),1)="/",LEFT(TRIM(E929),LEN(TRIM(E929))-1),TRIM(E929)))&lt;&gt;LOWER(IF(RIGHT(TRIM(G929),1)="/",LEFT(TRIM(G929),LEN(TRIM(G929))-1),TRIM(G929))),"Yes","No"))</f>
        <v/>
      </c>
      <c r="Y929">
        <f>IF(A929="","",(N(Q929)&gt;0)+(T929="Yes")+(U929="Yes")+(W929="Yes")+(X929="Yes"))</f>
        <v/>
      </c>
      <c r="Z929">
        <f>IF(A929="","",IF(G929="","Not mapped",IF(Y929=0,"OK",MID(IF(N(Q929)&gt;0,"; Cannibalisation","")&amp;IF(T929="Yes","; Too many primary keywords on URL","")&amp;IF(U929="Yes","; URL spans 2+ clusters","")&amp;IF(W929="Yes","; Intent mismatch","")&amp;IF(X929="Yes","; Ranking URL is not the target",""),3,300))))</f>
        <v/>
      </c>
      <c r="AA929">
        <f>IF(G929="","",IF(COUNTIF($G$3:G929,SUBSTITUTE(SUBSTITUTE(G929,"?","~?"),"*","~*"))=1,MAX($AA$2:AA928)+1,""))</f>
        <v/>
      </c>
      <c r="AB929">
        <f>IF(B929="","",IF(COUNTIF($B$3:B929,SUBSTITUTE(SUBSTITUTE(B929,"?","~?"),"*","~*"))=1,MAX($AB$2:AB928)+1,""))</f>
        <v/>
      </c>
    </row>
    <row r="930">
      <c r="M930">
        <f>IF(A930="","",LOWER(TRIM(SUBSTITUTE(SUBSTITUTE(A930,"?",""),"*",""))))</f>
        <v/>
      </c>
      <c r="N930">
        <f>IF(M930="","",IF(SUMPRODUCT(ISNUMBER(SEARCH(" "&amp;Settings!$L$5:$L$124&amp;" "," "&amp;M930&amp;" "))*(Settings!$K$5:$K$124="Navigational")*(Settings!$L$5:$L$124&lt;&gt;""))&gt;0,"Navigational",IF(SUMPRODUCT(ISNUMBER(SEARCH(" "&amp;Settings!$L$5:$L$124&amp;" "," "&amp;M930&amp;" "))*(Settings!$K$5:$K$124="Transactional")*(Settings!$L$5:$L$124&lt;&gt;""))&gt;0,"Transactional",IF(SUMPRODUCT(ISNUMBER(SEARCH(" "&amp;Settings!$L$5:$L$124&amp;" "," "&amp;M930&amp;" "))*(Settings!$K$5:$K$124="Commercial")*(Settings!$L$5:$L$124&lt;&gt;""))&gt;0,"Commercial",IF(SUMPRODUCT(ISNUMBER(SEARCH(" "&amp;Settings!$L$5:$L$124&amp;" "," "&amp;M930&amp;" "))*(Settings!$K$5:$K$124="Informational")*(Settings!$L$5:$L$124&lt;&gt;""))&gt;0,"Informational","Unclassified")))))</f>
        <v/>
      </c>
      <c r="O930">
        <f>IF(A930="","",IF(K930&lt;&gt;"",PROPER(K930),N930))</f>
        <v/>
      </c>
      <c r="P930">
        <f>IF(A930="","",ROUND(Settings!$B$5*MIN(1,LOG10(N(C930)+1)/LOG10(Settings!$B$7+1))+Settings!$B$6*(1-MIN(100,IF(D930="",50,N(D930)))/100)+IFERROR(INDEX(Settings!$B$10:$B$14,MATCH(O930,Settings!$A$10:$A$14,0)),0),0))</f>
        <v/>
      </c>
      <c r="Q930">
        <f>IF(OR(A930="",G930=""),"",COUNTIFS($M$3:$M$1002,M930,$G$3:$G$1002,"&lt;&gt;"&amp;SUBSTITUTE(SUBSTITUTE(G930,"?","~?"),"*","~*"),$G$3:$G$1002,"?*"))</f>
        <v/>
      </c>
      <c r="R930">
        <f>IF(Q930="","",IF(Q930&gt;0,"Yes","No"))</f>
        <v/>
      </c>
      <c r="S930">
        <f>IF(G930="","",COUNTIFS($G$3:$G$1002,SUBSTITUTE(SUBSTITUTE(G930,"?","~?"),"*","~*"),$J$3:$J$1002,"Primary"))</f>
        <v/>
      </c>
      <c r="T930">
        <f>IF(S930="","",IF(S930&gt;Settings!$B$4,"Yes","No"))</f>
        <v/>
      </c>
      <c r="U930">
        <f>IF(OR(G930="",B930=""),"",IF(COUNTIFS($G$3:$G$1002,SUBSTITUTE(SUBSTITUTE(G930,"?","~?"),"*","~*"),$B$3:$B$1002,"&lt;&gt;"&amp;SUBSTITUTE(SUBSTITUTE(B930,"?","~?"),"*","~*"),$B$3:$B$1002,"?*")&gt;0,"Yes","No"))</f>
        <v/>
      </c>
      <c r="V930">
        <f>IF(OR(G930="",I930="",O930="",O930="Unclassified"),"",IFERROR(INDEX(Settings!$E$5:$H$16,MATCH(I930,Settings!$D$5:$D$16,0),MATCH(O930,Settings!$E$4:$H$4,0)),"Check"))</f>
        <v/>
      </c>
      <c r="W930">
        <f>IF(V930="","",IF(V930="No","Yes","No"))</f>
        <v/>
      </c>
      <c r="X930">
        <f>IF(OR(E930="",G930=""),"",IF(LOWER(IF(RIGHT(TRIM(E930),1)="/",LEFT(TRIM(E930),LEN(TRIM(E930))-1),TRIM(E930)))&lt;&gt;LOWER(IF(RIGHT(TRIM(G930),1)="/",LEFT(TRIM(G930),LEN(TRIM(G930))-1),TRIM(G930))),"Yes","No"))</f>
        <v/>
      </c>
      <c r="Y930">
        <f>IF(A930="","",(N(Q930)&gt;0)+(T930="Yes")+(U930="Yes")+(W930="Yes")+(X930="Yes"))</f>
        <v/>
      </c>
      <c r="Z930">
        <f>IF(A930="","",IF(G930="","Not mapped",IF(Y930=0,"OK",MID(IF(N(Q930)&gt;0,"; Cannibalisation","")&amp;IF(T930="Yes","; Too many primary keywords on URL","")&amp;IF(U930="Yes","; URL spans 2+ clusters","")&amp;IF(W930="Yes","; Intent mismatch","")&amp;IF(X930="Yes","; Ranking URL is not the target",""),3,300))))</f>
        <v/>
      </c>
      <c r="AA930">
        <f>IF(G930="","",IF(COUNTIF($G$3:G930,SUBSTITUTE(SUBSTITUTE(G930,"?","~?"),"*","~*"))=1,MAX($AA$2:AA929)+1,""))</f>
        <v/>
      </c>
      <c r="AB930">
        <f>IF(B930="","",IF(COUNTIF($B$3:B930,SUBSTITUTE(SUBSTITUTE(B930,"?","~?"),"*","~*"))=1,MAX($AB$2:AB929)+1,""))</f>
        <v/>
      </c>
    </row>
    <row r="931">
      <c r="M931">
        <f>IF(A931="","",LOWER(TRIM(SUBSTITUTE(SUBSTITUTE(A931,"?",""),"*",""))))</f>
        <v/>
      </c>
      <c r="N931">
        <f>IF(M931="","",IF(SUMPRODUCT(ISNUMBER(SEARCH(" "&amp;Settings!$L$5:$L$124&amp;" "," "&amp;M931&amp;" "))*(Settings!$K$5:$K$124="Navigational")*(Settings!$L$5:$L$124&lt;&gt;""))&gt;0,"Navigational",IF(SUMPRODUCT(ISNUMBER(SEARCH(" "&amp;Settings!$L$5:$L$124&amp;" "," "&amp;M931&amp;" "))*(Settings!$K$5:$K$124="Transactional")*(Settings!$L$5:$L$124&lt;&gt;""))&gt;0,"Transactional",IF(SUMPRODUCT(ISNUMBER(SEARCH(" "&amp;Settings!$L$5:$L$124&amp;" "," "&amp;M931&amp;" "))*(Settings!$K$5:$K$124="Commercial")*(Settings!$L$5:$L$124&lt;&gt;""))&gt;0,"Commercial",IF(SUMPRODUCT(ISNUMBER(SEARCH(" "&amp;Settings!$L$5:$L$124&amp;" "," "&amp;M931&amp;" "))*(Settings!$K$5:$K$124="Informational")*(Settings!$L$5:$L$124&lt;&gt;""))&gt;0,"Informational","Unclassified")))))</f>
        <v/>
      </c>
      <c r="O931">
        <f>IF(A931="","",IF(K931&lt;&gt;"",PROPER(K931),N931))</f>
        <v/>
      </c>
      <c r="P931">
        <f>IF(A931="","",ROUND(Settings!$B$5*MIN(1,LOG10(N(C931)+1)/LOG10(Settings!$B$7+1))+Settings!$B$6*(1-MIN(100,IF(D931="",50,N(D931)))/100)+IFERROR(INDEX(Settings!$B$10:$B$14,MATCH(O931,Settings!$A$10:$A$14,0)),0),0))</f>
        <v/>
      </c>
      <c r="Q931">
        <f>IF(OR(A931="",G931=""),"",COUNTIFS($M$3:$M$1002,M931,$G$3:$G$1002,"&lt;&gt;"&amp;SUBSTITUTE(SUBSTITUTE(G931,"?","~?"),"*","~*"),$G$3:$G$1002,"?*"))</f>
        <v/>
      </c>
      <c r="R931">
        <f>IF(Q931="","",IF(Q931&gt;0,"Yes","No"))</f>
        <v/>
      </c>
      <c r="S931">
        <f>IF(G931="","",COUNTIFS($G$3:$G$1002,SUBSTITUTE(SUBSTITUTE(G931,"?","~?"),"*","~*"),$J$3:$J$1002,"Primary"))</f>
        <v/>
      </c>
      <c r="T931">
        <f>IF(S931="","",IF(S931&gt;Settings!$B$4,"Yes","No"))</f>
        <v/>
      </c>
      <c r="U931">
        <f>IF(OR(G931="",B931=""),"",IF(COUNTIFS($G$3:$G$1002,SUBSTITUTE(SUBSTITUTE(G931,"?","~?"),"*","~*"),$B$3:$B$1002,"&lt;&gt;"&amp;SUBSTITUTE(SUBSTITUTE(B931,"?","~?"),"*","~*"),$B$3:$B$1002,"?*")&gt;0,"Yes","No"))</f>
        <v/>
      </c>
      <c r="V931">
        <f>IF(OR(G931="",I931="",O931="",O931="Unclassified"),"",IFERROR(INDEX(Settings!$E$5:$H$16,MATCH(I931,Settings!$D$5:$D$16,0),MATCH(O931,Settings!$E$4:$H$4,0)),"Check"))</f>
        <v/>
      </c>
      <c r="W931">
        <f>IF(V931="","",IF(V931="No","Yes","No"))</f>
        <v/>
      </c>
      <c r="X931">
        <f>IF(OR(E931="",G931=""),"",IF(LOWER(IF(RIGHT(TRIM(E931),1)="/",LEFT(TRIM(E931),LEN(TRIM(E931))-1),TRIM(E931)))&lt;&gt;LOWER(IF(RIGHT(TRIM(G931),1)="/",LEFT(TRIM(G931),LEN(TRIM(G931))-1),TRIM(G931))),"Yes","No"))</f>
        <v/>
      </c>
      <c r="Y931">
        <f>IF(A931="","",(N(Q931)&gt;0)+(T931="Yes")+(U931="Yes")+(W931="Yes")+(X931="Yes"))</f>
        <v/>
      </c>
      <c r="Z931">
        <f>IF(A931="","",IF(G931="","Not mapped",IF(Y931=0,"OK",MID(IF(N(Q931)&gt;0,"; Cannibalisation","")&amp;IF(T931="Yes","; Too many primary keywords on URL","")&amp;IF(U931="Yes","; URL spans 2+ clusters","")&amp;IF(W931="Yes","; Intent mismatch","")&amp;IF(X931="Yes","; Ranking URL is not the target",""),3,300))))</f>
        <v/>
      </c>
      <c r="AA931">
        <f>IF(G931="","",IF(COUNTIF($G$3:G931,SUBSTITUTE(SUBSTITUTE(G931,"?","~?"),"*","~*"))=1,MAX($AA$2:AA930)+1,""))</f>
        <v/>
      </c>
      <c r="AB931">
        <f>IF(B931="","",IF(COUNTIF($B$3:B931,SUBSTITUTE(SUBSTITUTE(B931,"?","~?"),"*","~*"))=1,MAX($AB$2:AB930)+1,""))</f>
        <v/>
      </c>
    </row>
    <row r="932">
      <c r="M932">
        <f>IF(A932="","",LOWER(TRIM(SUBSTITUTE(SUBSTITUTE(A932,"?",""),"*",""))))</f>
        <v/>
      </c>
      <c r="N932">
        <f>IF(M932="","",IF(SUMPRODUCT(ISNUMBER(SEARCH(" "&amp;Settings!$L$5:$L$124&amp;" "," "&amp;M932&amp;" "))*(Settings!$K$5:$K$124="Navigational")*(Settings!$L$5:$L$124&lt;&gt;""))&gt;0,"Navigational",IF(SUMPRODUCT(ISNUMBER(SEARCH(" "&amp;Settings!$L$5:$L$124&amp;" "," "&amp;M932&amp;" "))*(Settings!$K$5:$K$124="Transactional")*(Settings!$L$5:$L$124&lt;&gt;""))&gt;0,"Transactional",IF(SUMPRODUCT(ISNUMBER(SEARCH(" "&amp;Settings!$L$5:$L$124&amp;" "," "&amp;M932&amp;" "))*(Settings!$K$5:$K$124="Commercial")*(Settings!$L$5:$L$124&lt;&gt;""))&gt;0,"Commercial",IF(SUMPRODUCT(ISNUMBER(SEARCH(" "&amp;Settings!$L$5:$L$124&amp;" "," "&amp;M932&amp;" "))*(Settings!$K$5:$K$124="Informational")*(Settings!$L$5:$L$124&lt;&gt;""))&gt;0,"Informational","Unclassified")))))</f>
        <v/>
      </c>
      <c r="O932">
        <f>IF(A932="","",IF(K932&lt;&gt;"",PROPER(K932),N932))</f>
        <v/>
      </c>
      <c r="P932">
        <f>IF(A932="","",ROUND(Settings!$B$5*MIN(1,LOG10(N(C932)+1)/LOG10(Settings!$B$7+1))+Settings!$B$6*(1-MIN(100,IF(D932="",50,N(D932)))/100)+IFERROR(INDEX(Settings!$B$10:$B$14,MATCH(O932,Settings!$A$10:$A$14,0)),0),0))</f>
        <v/>
      </c>
      <c r="Q932">
        <f>IF(OR(A932="",G932=""),"",COUNTIFS($M$3:$M$1002,M932,$G$3:$G$1002,"&lt;&gt;"&amp;SUBSTITUTE(SUBSTITUTE(G932,"?","~?"),"*","~*"),$G$3:$G$1002,"?*"))</f>
        <v/>
      </c>
      <c r="R932">
        <f>IF(Q932="","",IF(Q932&gt;0,"Yes","No"))</f>
        <v/>
      </c>
      <c r="S932">
        <f>IF(G932="","",COUNTIFS($G$3:$G$1002,SUBSTITUTE(SUBSTITUTE(G932,"?","~?"),"*","~*"),$J$3:$J$1002,"Primary"))</f>
        <v/>
      </c>
      <c r="T932">
        <f>IF(S932="","",IF(S932&gt;Settings!$B$4,"Yes","No"))</f>
        <v/>
      </c>
      <c r="U932">
        <f>IF(OR(G932="",B932=""),"",IF(COUNTIFS($G$3:$G$1002,SUBSTITUTE(SUBSTITUTE(G932,"?","~?"),"*","~*"),$B$3:$B$1002,"&lt;&gt;"&amp;SUBSTITUTE(SUBSTITUTE(B932,"?","~?"),"*","~*"),$B$3:$B$1002,"?*")&gt;0,"Yes","No"))</f>
        <v/>
      </c>
      <c r="V932">
        <f>IF(OR(G932="",I932="",O932="",O932="Unclassified"),"",IFERROR(INDEX(Settings!$E$5:$H$16,MATCH(I932,Settings!$D$5:$D$16,0),MATCH(O932,Settings!$E$4:$H$4,0)),"Check"))</f>
        <v/>
      </c>
      <c r="W932">
        <f>IF(V932="","",IF(V932="No","Yes","No"))</f>
        <v/>
      </c>
      <c r="X932">
        <f>IF(OR(E932="",G932=""),"",IF(LOWER(IF(RIGHT(TRIM(E932),1)="/",LEFT(TRIM(E932),LEN(TRIM(E932))-1),TRIM(E932)))&lt;&gt;LOWER(IF(RIGHT(TRIM(G932),1)="/",LEFT(TRIM(G932),LEN(TRIM(G932))-1),TRIM(G932))),"Yes","No"))</f>
        <v/>
      </c>
      <c r="Y932">
        <f>IF(A932="","",(N(Q932)&gt;0)+(T932="Yes")+(U932="Yes")+(W932="Yes")+(X932="Yes"))</f>
        <v/>
      </c>
      <c r="Z932">
        <f>IF(A932="","",IF(G932="","Not mapped",IF(Y932=0,"OK",MID(IF(N(Q932)&gt;0,"; Cannibalisation","")&amp;IF(T932="Yes","; Too many primary keywords on URL","")&amp;IF(U932="Yes","; URL spans 2+ clusters","")&amp;IF(W932="Yes","; Intent mismatch","")&amp;IF(X932="Yes","; Ranking URL is not the target",""),3,300))))</f>
        <v/>
      </c>
      <c r="AA932">
        <f>IF(G932="","",IF(COUNTIF($G$3:G932,SUBSTITUTE(SUBSTITUTE(G932,"?","~?"),"*","~*"))=1,MAX($AA$2:AA931)+1,""))</f>
        <v/>
      </c>
      <c r="AB932">
        <f>IF(B932="","",IF(COUNTIF($B$3:B932,SUBSTITUTE(SUBSTITUTE(B932,"?","~?"),"*","~*"))=1,MAX($AB$2:AB931)+1,""))</f>
        <v/>
      </c>
    </row>
    <row r="933">
      <c r="M933">
        <f>IF(A933="","",LOWER(TRIM(SUBSTITUTE(SUBSTITUTE(A933,"?",""),"*",""))))</f>
        <v/>
      </c>
      <c r="N933">
        <f>IF(M933="","",IF(SUMPRODUCT(ISNUMBER(SEARCH(" "&amp;Settings!$L$5:$L$124&amp;" "," "&amp;M933&amp;" "))*(Settings!$K$5:$K$124="Navigational")*(Settings!$L$5:$L$124&lt;&gt;""))&gt;0,"Navigational",IF(SUMPRODUCT(ISNUMBER(SEARCH(" "&amp;Settings!$L$5:$L$124&amp;" "," "&amp;M933&amp;" "))*(Settings!$K$5:$K$124="Transactional")*(Settings!$L$5:$L$124&lt;&gt;""))&gt;0,"Transactional",IF(SUMPRODUCT(ISNUMBER(SEARCH(" "&amp;Settings!$L$5:$L$124&amp;" "," "&amp;M933&amp;" "))*(Settings!$K$5:$K$124="Commercial")*(Settings!$L$5:$L$124&lt;&gt;""))&gt;0,"Commercial",IF(SUMPRODUCT(ISNUMBER(SEARCH(" "&amp;Settings!$L$5:$L$124&amp;" "," "&amp;M933&amp;" "))*(Settings!$K$5:$K$124="Informational")*(Settings!$L$5:$L$124&lt;&gt;""))&gt;0,"Informational","Unclassified")))))</f>
        <v/>
      </c>
      <c r="O933">
        <f>IF(A933="","",IF(K933&lt;&gt;"",PROPER(K933),N933))</f>
        <v/>
      </c>
      <c r="P933">
        <f>IF(A933="","",ROUND(Settings!$B$5*MIN(1,LOG10(N(C933)+1)/LOG10(Settings!$B$7+1))+Settings!$B$6*(1-MIN(100,IF(D933="",50,N(D933)))/100)+IFERROR(INDEX(Settings!$B$10:$B$14,MATCH(O933,Settings!$A$10:$A$14,0)),0),0))</f>
        <v/>
      </c>
      <c r="Q933">
        <f>IF(OR(A933="",G933=""),"",COUNTIFS($M$3:$M$1002,M933,$G$3:$G$1002,"&lt;&gt;"&amp;SUBSTITUTE(SUBSTITUTE(G933,"?","~?"),"*","~*"),$G$3:$G$1002,"?*"))</f>
        <v/>
      </c>
      <c r="R933">
        <f>IF(Q933="","",IF(Q933&gt;0,"Yes","No"))</f>
        <v/>
      </c>
      <c r="S933">
        <f>IF(G933="","",COUNTIFS($G$3:$G$1002,SUBSTITUTE(SUBSTITUTE(G933,"?","~?"),"*","~*"),$J$3:$J$1002,"Primary"))</f>
        <v/>
      </c>
      <c r="T933">
        <f>IF(S933="","",IF(S933&gt;Settings!$B$4,"Yes","No"))</f>
        <v/>
      </c>
      <c r="U933">
        <f>IF(OR(G933="",B933=""),"",IF(COUNTIFS($G$3:$G$1002,SUBSTITUTE(SUBSTITUTE(G933,"?","~?"),"*","~*"),$B$3:$B$1002,"&lt;&gt;"&amp;SUBSTITUTE(SUBSTITUTE(B933,"?","~?"),"*","~*"),$B$3:$B$1002,"?*")&gt;0,"Yes","No"))</f>
        <v/>
      </c>
      <c r="V933">
        <f>IF(OR(G933="",I933="",O933="",O933="Unclassified"),"",IFERROR(INDEX(Settings!$E$5:$H$16,MATCH(I933,Settings!$D$5:$D$16,0),MATCH(O933,Settings!$E$4:$H$4,0)),"Check"))</f>
        <v/>
      </c>
      <c r="W933">
        <f>IF(V933="","",IF(V933="No","Yes","No"))</f>
        <v/>
      </c>
      <c r="X933">
        <f>IF(OR(E933="",G933=""),"",IF(LOWER(IF(RIGHT(TRIM(E933),1)="/",LEFT(TRIM(E933),LEN(TRIM(E933))-1),TRIM(E933)))&lt;&gt;LOWER(IF(RIGHT(TRIM(G933),1)="/",LEFT(TRIM(G933),LEN(TRIM(G933))-1),TRIM(G933))),"Yes","No"))</f>
        <v/>
      </c>
      <c r="Y933">
        <f>IF(A933="","",(N(Q933)&gt;0)+(T933="Yes")+(U933="Yes")+(W933="Yes")+(X933="Yes"))</f>
        <v/>
      </c>
      <c r="Z933">
        <f>IF(A933="","",IF(G933="","Not mapped",IF(Y933=0,"OK",MID(IF(N(Q933)&gt;0,"; Cannibalisation","")&amp;IF(T933="Yes","; Too many primary keywords on URL","")&amp;IF(U933="Yes","; URL spans 2+ clusters","")&amp;IF(W933="Yes","; Intent mismatch","")&amp;IF(X933="Yes","; Ranking URL is not the target",""),3,300))))</f>
        <v/>
      </c>
      <c r="AA933">
        <f>IF(G933="","",IF(COUNTIF($G$3:G933,SUBSTITUTE(SUBSTITUTE(G933,"?","~?"),"*","~*"))=1,MAX($AA$2:AA932)+1,""))</f>
        <v/>
      </c>
      <c r="AB933">
        <f>IF(B933="","",IF(COUNTIF($B$3:B933,SUBSTITUTE(SUBSTITUTE(B933,"?","~?"),"*","~*"))=1,MAX($AB$2:AB932)+1,""))</f>
        <v/>
      </c>
    </row>
    <row r="934">
      <c r="M934">
        <f>IF(A934="","",LOWER(TRIM(SUBSTITUTE(SUBSTITUTE(A934,"?",""),"*",""))))</f>
        <v/>
      </c>
      <c r="N934">
        <f>IF(M934="","",IF(SUMPRODUCT(ISNUMBER(SEARCH(" "&amp;Settings!$L$5:$L$124&amp;" "," "&amp;M934&amp;" "))*(Settings!$K$5:$K$124="Navigational")*(Settings!$L$5:$L$124&lt;&gt;""))&gt;0,"Navigational",IF(SUMPRODUCT(ISNUMBER(SEARCH(" "&amp;Settings!$L$5:$L$124&amp;" "," "&amp;M934&amp;" "))*(Settings!$K$5:$K$124="Transactional")*(Settings!$L$5:$L$124&lt;&gt;""))&gt;0,"Transactional",IF(SUMPRODUCT(ISNUMBER(SEARCH(" "&amp;Settings!$L$5:$L$124&amp;" "," "&amp;M934&amp;" "))*(Settings!$K$5:$K$124="Commercial")*(Settings!$L$5:$L$124&lt;&gt;""))&gt;0,"Commercial",IF(SUMPRODUCT(ISNUMBER(SEARCH(" "&amp;Settings!$L$5:$L$124&amp;" "," "&amp;M934&amp;" "))*(Settings!$K$5:$K$124="Informational")*(Settings!$L$5:$L$124&lt;&gt;""))&gt;0,"Informational","Unclassified")))))</f>
        <v/>
      </c>
      <c r="O934">
        <f>IF(A934="","",IF(K934&lt;&gt;"",PROPER(K934),N934))</f>
        <v/>
      </c>
      <c r="P934">
        <f>IF(A934="","",ROUND(Settings!$B$5*MIN(1,LOG10(N(C934)+1)/LOG10(Settings!$B$7+1))+Settings!$B$6*(1-MIN(100,IF(D934="",50,N(D934)))/100)+IFERROR(INDEX(Settings!$B$10:$B$14,MATCH(O934,Settings!$A$10:$A$14,0)),0),0))</f>
        <v/>
      </c>
      <c r="Q934">
        <f>IF(OR(A934="",G934=""),"",COUNTIFS($M$3:$M$1002,M934,$G$3:$G$1002,"&lt;&gt;"&amp;SUBSTITUTE(SUBSTITUTE(G934,"?","~?"),"*","~*"),$G$3:$G$1002,"?*"))</f>
        <v/>
      </c>
      <c r="R934">
        <f>IF(Q934="","",IF(Q934&gt;0,"Yes","No"))</f>
        <v/>
      </c>
      <c r="S934">
        <f>IF(G934="","",COUNTIFS($G$3:$G$1002,SUBSTITUTE(SUBSTITUTE(G934,"?","~?"),"*","~*"),$J$3:$J$1002,"Primary"))</f>
        <v/>
      </c>
      <c r="T934">
        <f>IF(S934="","",IF(S934&gt;Settings!$B$4,"Yes","No"))</f>
        <v/>
      </c>
      <c r="U934">
        <f>IF(OR(G934="",B934=""),"",IF(COUNTIFS($G$3:$G$1002,SUBSTITUTE(SUBSTITUTE(G934,"?","~?"),"*","~*"),$B$3:$B$1002,"&lt;&gt;"&amp;SUBSTITUTE(SUBSTITUTE(B934,"?","~?"),"*","~*"),$B$3:$B$1002,"?*")&gt;0,"Yes","No"))</f>
        <v/>
      </c>
      <c r="V934">
        <f>IF(OR(G934="",I934="",O934="",O934="Unclassified"),"",IFERROR(INDEX(Settings!$E$5:$H$16,MATCH(I934,Settings!$D$5:$D$16,0),MATCH(O934,Settings!$E$4:$H$4,0)),"Check"))</f>
        <v/>
      </c>
      <c r="W934">
        <f>IF(V934="","",IF(V934="No","Yes","No"))</f>
        <v/>
      </c>
      <c r="X934">
        <f>IF(OR(E934="",G934=""),"",IF(LOWER(IF(RIGHT(TRIM(E934),1)="/",LEFT(TRIM(E934),LEN(TRIM(E934))-1),TRIM(E934)))&lt;&gt;LOWER(IF(RIGHT(TRIM(G934),1)="/",LEFT(TRIM(G934),LEN(TRIM(G934))-1),TRIM(G934))),"Yes","No"))</f>
        <v/>
      </c>
      <c r="Y934">
        <f>IF(A934="","",(N(Q934)&gt;0)+(T934="Yes")+(U934="Yes")+(W934="Yes")+(X934="Yes"))</f>
        <v/>
      </c>
      <c r="Z934">
        <f>IF(A934="","",IF(G934="","Not mapped",IF(Y934=0,"OK",MID(IF(N(Q934)&gt;0,"; Cannibalisation","")&amp;IF(T934="Yes","; Too many primary keywords on URL","")&amp;IF(U934="Yes","; URL spans 2+ clusters","")&amp;IF(W934="Yes","; Intent mismatch","")&amp;IF(X934="Yes","; Ranking URL is not the target",""),3,300))))</f>
        <v/>
      </c>
      <c r="AA934">
        <f>IF(G934="","",IF(COUNTIF($G$3:G934,SUBSTITUTE(SUBSTITUTE(G934,"?","~?"),"*","~*"))=1,MAX($AA$2:AA933)+1,""))</f>
        <v/>
      </c>
      <c r="AB934">
        <f>IF(B934="","",IF(COUNTIF($B$3:B934,SUBSTITUTE(SUBSTITUTE(B934,"?","~?"),"*","~*"))=1,MAX($AB$2:AB933)+1,""))</f>
        <v/>
      </c>
    </row>
    <row r="935">
      <c r="M935">
        <f>IF(A935="","",LOWER(TRIM(SUBSTITUTE(SUBSTITUTE(A935,"?",""),"*",""))))</f>
        <v/>
      </c>
      <c r="N935">
        <f>IF(M935="","",IF(SUMPRODUCT(ISNUMBER(SEARCH(" "&amp;Settings!$L$5:$L$124&amp;" "," "&amp;M935&amp;" "))*(Settings!$K$5:$K$124="Navigational")*(Settings!$L$5:$L$124&lt;&gt;""))&gt;0,"Navigational",IF(SUMPRODUCT(ISNUMBER(SEARCH(" "&amp;Settings!$L$5:$L$124&amp;" "," "&amp;M935&amp;" "))*(Settings!$K$5:$K$124="Transactional")*(Settings!$L$5:$L$124&lt;&gt;""))&gt;0,"Transactional",IF(SUMPRODUCT(ISNUMBER(SEARCH(" "&amp;Settings!$L$5:$L$124&amp;" "," "&amp;M935&amp;" "))*(Settings!$K$5:$K$124="Commercial")*(Settings!$L$5:$L$124&lt;&gt;""))&gt;0,"Commercial",IF(SUMPRODUCT(ISNUMBER(SEARCH(" "&amp;Settings!$L$5:$L$124&amp;" "," "&amp;M935&amp;" "))*(Settings!$K$5:$K$124="Informational")*(Settings!$L$5:$L$124&lt;&gt;""))&gt;0,"Informational","Unclassified")))))</f>
        <v/>
      </c>
      <c r="O935">
        <f>IF(A935="","",IF(K935&lt;&gt;"",PROPER(K935),N935))</f>
        <v/>
      </c>
      <c r="P935">
        <f>IF(A935="","",ROUND(Settings!$B$5*MIN(1,LOG10(N(C935)+1)/LOG10(Settings!$B$7+1))+Settings!$B$6*(1-MIN(100,IF(D935="",50,N(D935)))/100)+IFERROR(INDEX(Settings!$B$10:$B$14,MATCH(O935,Settings!$A$10:$A$14,0)),0),0))</f>
        <v/>
      </c>
      <c r="Q935">
        <f>IF(OR(A935="",G935=""),"",COUNTIFS($M$3:$M$1002,M935,$G$3:$G$1002,"&lt;&gt;"&amp;SUBSTITUTE(SUBSTITUTE(G935,"?","~?"),"*","~*"),$G$3:$G$1002,"?*"))</f>
        <v/>
      </c>
      <c r="R935">
        <f>IF(Q935="","",IF(Q935&gt;0,"Yes","No"))</f>
        <v/>
      </c>
      <c r="S935">
        <f>IF(G935="","",COUNTIFS($G$3:$G$1002,SUBSTITUTE(SUBSTITUTE(G935,"?","~?"),"*","~*"),$J$3:$J$1002,"Primary"))</f>
        <v/>
      </c>
      <c r="T935">
        <f>IF(S935="","",IF(S935&gt;Settings!$B$4,"Yes","No"))</f>
        <v/>
      </c>
      <c r="U935">
        <f>IF(OR(G935="",B935=""),"",IF(COUNTIFS($G$3:$G$1002,SUBSTITUTE(SUBSTITUTE(G935,"?","~?"),"*","~*"),$B$3:$B$1002,"&lt;&gt;"&amp;SUBSTITUTE(SUBSTITUTE(B935,"?","~?"),"*","~*"),$B$3:$B$1002,"?*")&gt;0,"Yes","No"))</f>
        <v/>
      </c>
      <c r="V935">
        <f>IF(OR(G935="",I935="",O935="",O935="Unclassified"),"",IFERROR(INDEX(Settings!$E$5:$H$16,MATCH(I935,Settings!$D$5:$D$16,0),MATCH(O935,Settings!$E$4:$H$4,0)),"Check"))</f>
        <v/>
      </c>
      <c r="W935">
        <f>IF(V935="","",IF(V935="No","Yes","No"))</f>
        <v/>
      </c>
      <c r="X935">
        <f>IF(OR(E935="",G935=""),"",IF(LOWER(IF(RIGHT(TRIM(E935),1)="/",LEFT(TRIM(E935),LEN(TRIM(E935))-1),TRIM(E935)))&lt;&gt;LOWER(IF(RIGHT(TRIM(G935),1)="/",LEFT(TRIM(G935),LEN(TRIM(G935))-1),TRIM(G935))),"Yes","No"))</f>
        <v/>
      </c>
      <c r="Y935">
        <f>IF(A935="","",(N(Q935)&gt;0)+(T935="Yes")+(U935="Yes")+(W935="Yes")+(X935="Yes"))</f>
        <v/>
      </c>
      <c r="Z935">
        <f>IF(A935="","",IF(G935="","Not mapped",IF(Y935=0,"OK",MID(IF(N(Q935)&gt;0,"; Cannibalisation","")&amp;IF(T935="Yes","; Too many primary keywords on URL","")&amp;IF(U935="Yes","; URL spans 2+ clusters","")&amp;IF(W935="Yes","; Intent mismatch","")&amp;IF(X935="Yes","; Ranking URL is not the target",""),3,300))))</f>
        <v/>
      </c>
      <c r="AA935">
        <f>IF(G935="","",IF(COUNTIF($G$3:G935,SUBSTITUTE(SUBSTITUTE(G935,"?","~?"),"*","~*"))=1,MAX($AA$2:AA934)+1,""))</f>
        <v/>
      </c>
      <c r="AB935">
        <f>IF(B935="","",IF(COUNTIF($B$3:B935,SUBSTITUTE(SUBSTITUTE(B935,"?","~?"),"*","~*"))=1,MAX($AB$2:AB934)+1,""))</f>
        <v/>
      </c>
    </row>
    <row r="936">
      <c r="M936">
        <f>IF(A936="","",LOWER(TRIM(SUBSTITUTE(SUBSTITUTE(A936,"?",""),"*",""))))</f>
        <v/>
      </c>
      <c r="N936">
        <f>IF(M936="","",IF(SUMPRODUCT(ISNUMBER(SEARCH(" "&amp;Settings!$L$5:$L$124&amp;" "," "&amp;M936&amp;" "))*(Settings!$K$5:$K$124="Navigational")*(Settings!$L$5:$L$124&lt;&gt;""))&gt;0,"Navigational",IF(SUMPRODUCT(ISNUMBER(SEARCH(" "&amp;Settings!$L$5:$L$124&amp;" "," "&amp;M936&amp;" "))*(Settings!$K$5:$K$124="Transactional")*(Settings!$L$5:$L$124&lt;&gt;""))&gt;0,"Transactional",IF(SUMPRODUCT(ISNUMBER(SEARCH(" "&amp;Settings!$L$5:$L$124&amp;" "," "&amp;M936&amp;" "))*(Settings!$K$5:$K$124="Commercial")*(Settings!$L$5:$L$124&lt;&gt;""))&gt;0,"Commercial",IF(SUMPRODUCT(ISNUMBER(SEARCH(" "&amp;Settings!$L$5:$L$124&amp;" "," "&amp;M936&amp;" "))*(Settings!$K$5:$K$124="Informational")*(Settings!$L$5:$L$124&lt;&gt;""))&gt;0,"Informational","Unclassified")))))</f>
        <v/>
      </c>
      <c r="O936">
        <f>IF(A936="","",IF(K936&lt;&gt;"",PROPER(K936),N936))</f>
        <v/>
      </c>
      <c r="P936">
        <f>IF(A936="","",ROUND(Settings!$B$5*MIN(1,LOG10(N(C936)+1)/LOG10(Settings!$B$7+1))+Settings!$B$6*(1-MIN(100,IF(D936="",50,N(D936)))/100)+IFERROR(INDEX(Settings!$B$10:$B$14,MATCH(O936,Settings!$A$10:$A$14,0)),0),0))</f>
        <v/>
      </c>
      <c r="Q936">
        <f>IF(OR(A936="",G936=""),"",COUNTIFS($M$3:$M$1002,M936,$G$3:$G$1002,"&lt;&gt;"&amp;SUBSTITUTE(SUBSTITUTE(G936,"?","~?"),"*","~*"),$G$3:$G$1002,"?*"))</f>
        <v/>
      </c>
      <c r="R936">
        <f>IF(Q936="","",IF(Q936&gt;0,"Yes","No"))</f>
        <v/>
      </c>
      <c r="S936">
        <f>IF(G936="","",COUNTIFS($G$3:$G$1002,SUBSTITUTE(SUBSTITUTE(G936,"?","~?"),"*","~*"),$J$3:$J$1002,"Primary"))</f>
        <v/>
      </c>
      <c r="T936">
        <f>IF(S936="","",IF(S936&gt;Settings!$B$4,"Yes","No"))</f>
        <v/>
      </c>
      <c r="U936">
        <f>IF(OR(G936="",B936=""),"",IF(COUNTIFS($G$3:$G$1002,SUBSTITUTE(SUBSTITUTE(G936,"?","~?"),"*","~*"),$B$3:$B$1002,"&lt;&gt;"&amp;SUBSTITUTE(SUBSTITUTE(B936,"?","~?"),"*","~*"),$B$3:$B$1002,"?*")&gt;0,"Yes","No"))</f>
        <v/>
      </c>
      <c r="V936">
        <f>IF(OR(G936="",I936="",O936="",O936="Unclassified"),"",IFERROR(INDEX(Settings!$E$5:$H$16,MATCH(I936,Settings!$D$5:$D$16,0),MATCH(O936,Settings!$E$4:$H$4,0)),"Check"))</f>
        <v/>
      </c>
      <c r="W936">
        <f>IF(V936="","",IF(V936="No","Yes","No"))</f>
        <v/>
      </c>
      <c r="X936">
        <f>IF(OR(E936="",G936=""),"",IF(LOWER(IF(RIGHT(TRIM(E936),1)="/",LEFT(TRIM(E936),LEN(TRIM(E936))-1),TRIM(E936)))&lt;&gt;LOWER(IF(RIGHT(TRIM(G936),1)="/",LEFT(TRIM(G936),LEN(TRIM(G936))-1),TRIM(G936))),"Yes","No"))</f>
        <v/>
      </c>
      <c r="Y936">
        <f>IF(A936="","",(N(Q936)&gt;0)+(T936="Yes")+(U936="Yes")+(W936="Yes")+(X936="Yes"))</f>
        <v/>
      </c>
      <c r="Z936">
        <f>IF(A936="","",IF(G936="","Not mapped",IF(Y936=0,"OK",MID(IF(N(Q936)&gt;0,"; Cannibalisation","")&amp;IF(T936="Yes","; Too many primary keywords on URL","")&amp;IF(U936="Yes","; URL spans 2+ clusters","")&amp;IF(W936="Yes","; Intent mismatch","")&amp;IF(X936="Yes","; Ranking URL is not the target",""),3,300))))</f>
        <v/>
      </c>
      <c r="AA936">
        <f>IF(G936="","",IF(COUNTIF($G$3:G936,SUBSTITUTE(SUBSTITUTE(G936,"?","~?"),"*","~*"))=1,MAX($AA$2:AA935)+1,""))</f>
        <v/>
      </c>
      <c r="AB936">
        <f>IF(B936="","",IF(COUNTIF($B$3:B936,SUBSTITUTE(SUBSTITUTE(B936,"?","~?"),"*","~*"))=1,MAX($AB$2:AB935)+1,""))</f>
        <v/>
      </c>
    </row>
    <row r="937">
      <c r="M937">
        <f>IF(A937="","",LOWER(TRIM(SUBSTITUTE(SUBSTITUTE(A937,"?",""),"*",""))))</f>
        <v/>
      </c>
      <c r="N937">
        <f>IF(M937="","",IF(SUMPRODUCT(ISNUMBER(SEARCH(" "&amp;Settings!$L$5:$L$124&amp;" "," "&amp;M937&amp;" "))*(Settings!$K$5:$K$124="Navigational")*(Settings!$L$5:$L$124&lt;&gt;""))&gt;0,"Navigational",IF(SUMPRODUCT(ISNUMBER(SEARCH(" "&amp;Settings!$L$5:$L$124&amp;" "," "&amp;M937&amp;" "))*(Settings!$K$5:$K$124="Transactional")*(Settings!$L$5:$L$124&lt;&gt;""))&gt;0,"Transactional",IF(SUMPRODUCT(ISNUMBER(SEARCH(" "&amp;Settings!$L$5:$L$124&amp;" "," "&amp;M937&amp;" "))*(Settings!$K$5:$K$124="Commercial")*(Settings!$L$5:$L$124&lt;&gt;""))&gt;0,"Commercial",IF(SUMPRODUCT(ISNUMBER(SEARCH(" "&amp;Settings!$L$5:$L$124&amp;" "," "&amp;M937&amp;" "))*(Settings!$K$5:$K$124="Informational")*(Settings!$L$5:$L$124&lt;&gt;""))&gt;0,"Informational","Unclassified")))))</f>
        <v/>
      </c>
      <c r="O937">
        <f>IF(A937="","",IF(K937&lt;&gt;"",PROPER(K937),N937))</f>
        <v/>
      </c>
      <c r="P937">
        <f>IF(A937="","",ROUND(Settings!$B$5*MIN(1,LOG10(N(C937)+1)/LOG10(Settings!$B$7+1))+Settings!$B$6*(1-MIN(100,IF(D937="",50,N(D937)))/100)+IFERROR(INDEX(Settings!$B$10:$B$14,MATCH(O937,Settings!$A$10:$A$14,0)),0),0))</f>
        <v/>
      </c>
      <c r="Q937">
        <f>IF(OR(A937="",G937=""),"",COUNTIFS($M$3:$M$1002,M937,$G$3:$G$1002,"&lt;&gt;"&amp;SUBSTITUTE(SUBSTITUTE(G937,"?","~?"),"*","~*"),$G$3:$G$1002,"?*"))</f>
        <v/>
      </c>
      <c r="R937">
        <f>IF(Q937="","",IF(Q937&gt;0,"Yes","No"))</f>
        <v/>
      </c>
      <c r="S937">
        <f>IF(G937="","",COUNTIFS($G$3:$G$1002,SUBSTITUTE(SUBSTITUTE(G937,"?","~?"),"*","~*"),$J$3:$J$1002,"Primary"))</f>
        <v/>
      </c>
      <c r="T937">
        <f>IF(S937="","",IF(S937&gt;Settings!$B$4,"Yes","No"))</f>
        <v/>
      </c>
      <c r="U937">
        <f>IF(OR(G937="",B937=""),"",IF(COUNTIFS($G$3:$G$1002,SUBSTITUTE(SUBSTITUTE(G937,"?","~?"),"*","~*"),$B$3:$B$1002,"&lt;&gt;"&amp;SUBSTITUTE(SUBSTITUTE(B937,"?","~?"),"*","~*"),$B$3:$B$1002,"?*")&gt;0,"Yes","No"))</f>
        <v/>
      </c>
      <c r="V937">
        <f>IF(OR(G937="",I937="",O937="",O937="Unclassified"),"",IFERROR(INDEX(Settings!$E$5:$H$16,MATCH(I937,Settings!$D$5:$D$16,0),MATCH(O937,Settings!$E$4:$H$4,0)),"Check"))</f>
        <v/>
      </c>
      <c r="W937">
        <f>IF(V937="","",IF(V937="No","Yes","No"))</f>
        <v/>
      </c>
      <c r="X937">
        <f>IF(OR(E937="",G937=""),"",IF(LOWER(IF(RIGHT(TRIM(E937),1)="/",LEFT(TRIM(E937),LEN(TRIM(E937))-1),TRIM(E937)))&lt;&gt;LOWER(IF(RIGHT(TRIM(G937),1)="/",LEFT(TRIM(G937),LEN(TRIM(G937))-1),TRIM(G937))),"Yes","No"))</f>
        <v/>
      </c>
      <c r="Y937">
        <f>IF(A937="","",(N(Q937)&gt;0)+(T937="Yes")+(U937="Yes")+(W937="Yes")+(X937="Yes"))</f>
        <v/>
      </c>
      <c r="Z937">
        <f>IF(A937="","",IF(G937="","Not mapped",IF(Y937=0,"OK",MID(IF(N(Q937)&gt;0,"; Cannibalisation","")&amp;IF(T937="Yes","; Too many primary keywords on URL","")&amp;IF(U937="Yes","; URL spans 2+ clusters","")&amp;IF(W937="Yes","; Intent mismatch","")&amp;IF(X937="Yes","; Ranking URL is not the target",""),3,300))))</f>
        <v/>
      </c>
      <c r="AA937">
        <f>IF(G937="","",IF(COUNTIF($G$3:G937,SUBSTITUTE(SUBSTITUTE(G937,"?","~?"),"*","~*"))=1,MAX($AA$2:AA936)+1,""))</f>
        <v/>
      </c>
      <c r="AB937">
        <f>IF(B937="","",IF(COUNTIF($B$3:B937,SUBSTITUTE(SUBSTITUTE(B937,"?","~?"),"*","~*"))=1,MAX($AB$2:AB936)+1,""))</f>
        <v/>
      </c>
    </row>
    <row r="938">
      <c r="M938">
        <f>IF(A938="","",LOWER(TRIM(SUBSTITUTE(SUBSTITUTE(A938,"?",""),"*",""))))</f>
        <v/>
      </c>
      <c r="N938">
        <f>IF(M938="","",IF(SUMPRODUCT(ISNUMBER(SEARCH(" "&amp;Settings!$L$5:$L$124&amp;" "," "&amp;M938&amp;" "))*(Settings!$K$5:$K$124="Navigational")*(Settings!$L$5:$L$124&lt;&gt;""))&gt;0,"Navigational",IF(SUMPRODUCT(ISNUMBER(SEARCH(" "&amp;Settings!$L$5:$L$124&amp;" "," "&amp;M938&amp;" "))*(Settings!$K$5:$K$124="Transactional")*(Settings!$L$5:$L$124&lt;&gt;""))&gt;0,"Transactional",IF(SUMPRODUCT(ISNUMBER(SEARCH(" "&amp;Settings!$L$5:$L$124&amp;" "," "&amp;M938&amp;" "))*(Settings!$K$5:$K$124="Commercial")*(Settings!$L$5:$L$124&lt;&gt;""))&gt;0,"Commercial",IF(SUMPRODUCT(ISNUMBER(SEARCH(" "&amp;Settings!$L$5:$L$124&amp;" "," "&amp;M938&amp;" "))*(Settings!$K$5:$K$124="Informational")*(Settings!$L$5:$L$124&lt;&gt;""))&gt;0,"Informational","Unclassified")))))</f>
        <v/>
      </c>
      <c r="O938">
        <f>IF(A938="","",IF(K938&lt;&gt;"",PROPER(K938),N938))</f>
        <v/>
      </c>
      <c r="P938">
        <f>IF(A938="","",ROUND(Settings!$B$5*MIN(1,LOG10(N(C938)+1)/LOG10(Settings!$B$7+1))+Settings!$B$6*(1-MIN(100,IF(D938="",50,N(D938)))/100)+IFERROR(INDEX(Settings!$B$10:$B$14,MATCH(O938,Settings!$A$10:$A$14,0)),0),0))</f>
        <v/>
      </c>
      <c r="Q938">
        <f>IF(OR(A938="",G938=""),"",COUNTIFS($M$3:$M$1002,M938,$G$3:$G$1002,"&lt;&gt;"&amp;SUBSTITUTE(SUBSTITUTE(G938,"?","~?"),"*","~*"),$G$3:$G$1002,"?*"))</f>
        <v/>
      </c>
      <c r="R938">
        <f>IF(Q938="","",IF(Q938&gt;0,"Yes","No"))</f>
        <v/>
      </c>
      <c r="S938">
        <f>IF(G938="","",COUNTIFS($G$3:$G$1002,SUBSTITUTE(SUBSTITUTE(G938,"?","~?"),"*","~*"),$J$3:$J$1002,"Primary"))</f>
        <v/>
      </c>
      <c r="T938">
        <f>IF(S938="","",IF(S938&gt;Settings!$B$4,"Yes","No"))</f>
        <v/>
      </c>
      <c r="U938">
        <f>IF(OR(G938="",B938=""),"",IF(COUNTIFS($G$3:$G$1002,SUBSTITUTE(SUBSTITUTE(G938,"?","~?"),"*","~*"),$B$3:$B$1002,"&lt;&gt;"&amp;SUBSTITUTE(SUBSTITUTE(B938,"?","~?"),"*","~*"),$B$3:$B$1002,"?*")&gt;0,"Yes","No"))</f>
        <v/>
      </c>
      <c r="V938">
        <f>IF(OR(G938="",I938="",O938="",O938="Unclassified"),"",IFERROR(INDEX(Settings!$E$5:$H$16,MATCH(I938,Settings!$D$5:$D$16,0),MATCH(O938,Settings!$E$4:$H$4,0)),"Check"))</f>
        <v/>
      </c>
      <c r="W938">
        <f>IF(V938="","",IF(V938="No","Yes","No"))</f>
        <v/>
      </c>
      <c r="X938">
        <f>IF(OR(E938="",G938=""),"",IF(LOWER(IF(RIGHT(TRIM(E938),1)="/",LEFT(TRIM(E938),LEN(TRIM(E938))-1),TRIM(E938)))&lt;&gt;LOWER(IF(RIGHT(TRIM(G938),1)="/",LEFT(TRIM(G938),LEN(TRIM(G938))-1),TRIM(G938))),"Yes","No"))</f>
        <v/>
      </c>
      <c r="Y938">
        <f>IF(A938="","",(N(Q938)&gt;0)+(T938="Yes")+(U938="Yes")+(W938="Yes")+(X938="Yes"))</f>
        <v/>
      </c>
      <c r="Z938">
        <f>IF(A938="","",IF(G938="","Not mapped",IF(Y938=0,"OK",MID(IF(N(Q938)&gt;0,"; Cannibalisation","")&amp;IF(T938="Yes","; Too many primary keywords on URL","")&amp;IF(U938="Yes","; URL spans 2+ clusters","")&amp;IF(W938="Yes","; Intent mismatch","")&amp;IF(X938="Yes","; Ranking URL is not the target",""),3,300))))</f>
        <v/>
      </c>
      <c r="AA938">
        <f>IF(G938="","",IF(COUNTIF($G$3:G938,SUBSTITUTE(SUBSTITUTE(G938,"?","~?"),"*","~*"))=1,MAX($AA$2:AA937)+1,""))</f>
        <v/>
      </c>
      <c r="AB938">
        <f>IF(B938="","",IF(COUNTIF($B$3:B938,SUBSTITUTE(SUBSTITUTE(B938,"?","~?"),"*","~*"))=1,MAX($AB$2:AB937)+1,""))</f>
        <v/>
      </c>
    </row>
    <row r="939">
      <c r="M939">
        <f>IF(A939="","",LOWER(TRIM(SUBSTITUTE(SUBSTITUTE(A939,"?",""),"*",""))))</f>
        <v/>
      </c>
      <c r="N939">
        <f>IF(M939="","",IF(SUMPRODUCT(ISNUMBER(SEARCH(" "&amp;Settings!$L$5:$L$124&amp;" "," "&amp;M939&amp;" "))*(Settings!$K$5:$K$124="Navigational")*(Settings!$L$5:$L$124&lt;&gt;""))&gt;0,"Navigational",IF(SUMPRODUCT(ISNUMBER(SEARCH(" "&amp;Settings!$L$5:$L$124&amp;" "," "&amp;M939&amp;" "))*(Settings!$K$5:$K$124="Transactional")*(Settings!$L$5:$L$124&lt;&gt;""))&gt;0,"Transactional",IF(SUMPRODUCT(ISNUMBER(SEARCH(" "&amp;Settings!$L$5:$L$124&amp;" "," "&amp;M939&amp;" "))*(Settings!$K$5:$K$124="Commercial")*(Settings!$L$5:$L$124&lt;&gt;""))&gt;0,"Commercial",IF(SUMPRODUCT(ISNUMBER(SEARCH(" "&amp;Settings!$L$5:$L$124&amp;" "," "&amp;M939&amp;" "))*(Settings!$K$5:$K$124="Informational")*(Settings!$L$5:$L$124&lt;&gt;""))&gt;0,"Informational","Unclassified")))))</f>
        <v/>
      </c>
      <c r="O939">
        <f>IF(A939="","",IF(K939&lt;&gt;"",PROPER(K939),N939))</f>
        <v/>
      </c>
      <c r="P939">
        <f>IF(A939="","",ROUND(Settings!$B$5*MIN(1,LOG10(N(C939)+1)/LOG10(Settings!$B$7+1))+Settings!$B$6*(1-MIN(100,IF(D939="",50,N(D939)))/100)+IFERROR(INDEX(Settings!$B$10:$B$14,MATCH(O939,Settings!$A$10:$A$14,0)),0),0))</f>
        <v/>
      </c>
      <c r="Q939">
        <f>IF(OR(A939="",G939=""),"",COUNTIFS($M$3:$M$1002,M939,$G$3:$G$1002,"&lt;&gt;"&amp;SUBSTITUTE(SUBSTITUTE(G939,"?","~?"),"*","~*"),$G$3:$G$1002,"?*"))</f>
        <v/>
      </c>
      <c r="R939">
        <f>IF(Q939="","",IF(Q939&gt;0,"Yes","No"))</f>
        <v/>
      </c>
      <c r="S939">
        <f>IF(G939="","",COUNTIFS($G$3:$G$1002,SUBSTITUTE(SUBSTITUTE(G939,"?","~?"),"*","~*"),$J$3:$J$1002,"Primary"))</f>
        <v/>
      </c>
      <c r="T939">
        <f>IF(S939="","",IF(S939&gt;Settings!$B$4,"Yes","No"))</f>
        <v/>
      </c>
      <c r="U939">
        <f>IF(OR(G939="",B939=""),"",IF(COUNTIFS($G$3:$G$1002,SUBSTITUTE(SUBSTITUTE(G939,"?","~?"),"*","~*"),$B$3:$B$1002,"&lt;&gt;"&amp;SUBSTITUTE(SUBSTITUTE(B939,"?","~?"),"*","~*"),$B$3:$B$1002,"?*")&gt;0,"Yes","No"))</f>
        <v/>
      </c>
      <c r="V939">
        <f>IF(OR(G939="",I939="",O939="",O939="Unclassified"),"",IFERROR(INDEX(Settings!$E$5:$H$16,MATCH(I939,Settings!$D$5:$D$16,0),MATCH(O939,Settings!$E$4:$H$4,0)),"Check"))</f>
        <v/>
      </c>
      <c r="W939">
        <f>IF(V939="","",IF(V939="No","Yes","No"))</f>
        <v/>
      </c>
      <c r="X939">
        <f>IF(OR(E939="",G939=""),"",IF(LOWER(IF(RIGHT(TRIM(E939),1)="/",LEFT(TRIM(E939),LEN(TRIM(E939))-1),TRIM(E939)))&lt;&gt;LOWER(IF(RIGHT(TRIM(G939),1)="/",LEFT(TRIM(G939),LEN(TRIM(G939))-1),TRIM(G939))),"Yes","No"))</f>
        <v/>
      </c>
      <c r="Y939">
        <f>IF(A939="","",(N(Q939)&gt;0)+(T939="Yes")+(U939="Yes")+(W939="Yes")+(X939="Yes"))</f>
        <v/>
      </c>
      <c r="Z939">
        <f>IF(A939="","",IF(G939="","Not mapped",IF(Y939=0,"OK",MID(IF(N(Q939)&gt;0,"; Cannibalisation","")&amp;IF(T939="Yes","; Too many primary keywords on URL","")&amp;IF(U939="Yes","; URL spans 2+ clusters","")&amp;IF(W939="Yes","; Intent mismatch","")&amp;IF(X939="Yes","; Ranking URL is not the target",""),3,300))))</f>
        <v/>
      </c>
      <c r="AA939">
        <f>IF(G939="","",IF(COUNTIF($G$3:G939,SUBSTITUTE(SUBSTITUTE(G939,"?","~?"),"*","~*"))=1,MAX($AA$2:AA938)+1,""))</f>
        <v/>
      </c>
      <c r="AB939">
        <f>IF(B939="","",IF(COUNTIF($B$3:B939,SUBSTITUTE(SUBSTITUTE(B939,"?","~?"),"*","~*"))=1,MAX($AB$2:AB938)+1,""))</f>
        <v/>
      </c>
    </row>
    <row r="940">
      <c r="M940">
        <f>IF(A940="","",LOWER(TRIM(SUBSTITUTE(SUBSTITUTE(A940,"?",""),"*",""))))</f>
        <v/>
      </c>
      <c r="N940">
        <f>IF(M940="","",IF(SUMPRODUCT(ISNUMBER(SEARCH(" "&amp;Settings!$L$5:$L$124&amp;" "," "&amp;M940&amp;" "))*(Settings!$K$5:$K$124="Navigational")*(Settings!$L$5:$L$124&lt;&gt;""))&gt;0,"Navigational",IF(SUMPRODUCT(ISNUMBER(SEARCH(" "&amp;Settings!$L$5:$L$124&amp;" "," "&amp;M940&amp;" "))*(Settings!$K$5:$K$124="Transactional")*(Settings!$L$5:$L$124&lt;&gt;""))&gt;0,"Transactional",IF(SUMPRODUCT(ISNUMBER(SEARCH(" "&amp;Settings!$L$5:$L$124&amp;" "," "&amp;M940&amp;" "))*(Settings!$K$5:$K$124="Commercial")*(Settings!$L$5:$L$124&lt;&gt;""))&gt;0,"Commercial",IF(SUMPRODUCT(ISNUMBER(SEARCH(" "&amp;Settings!$L$5:$L$124&amp;" "," "&amp;M940&amp;" "))*(Settings!$K$5:$K$124="Informational")*(Settings!$L$5:$L$124&lt;&gt;""))&gt;0,"Informational","Unclassified")))))</f>
        <v/>
      </c>
      <c r="O940">
        <f>IF(A940="","",IF(K940&lt;&gt;"",PROPER(K940),N940))</f>
        <v/>
      </c>
      <c r="P940">
        <f>IF(A940="","",ROUND(Settings!$B$5*MIN(1,LOG10(N(C940)+1)/LOG10(Settings!$B$7+1))+Settings!$B$6*(1-MIN(100,IF(D940="",50,N(D940)))/100)+IFERROR(INDEX(Settings!$B$10:$B$14,MATCH(O940,Settings!$A$10:$A$14,0)),0),0))</f>
        <v/>
      </c>
      <c r="Q940">
        <f>IF(OR(A940="",G940=""),"",COUNTIFS($M$3:$M$1002,M940,$G$3:$G$1002,"&lt;&gt;"&amp;SUBSTITUTE(SUBSTITUTE(G940,"?","~?"),"*","~*"),$G$3:$G$1002,"?*"))</f>
        <v/>
      </c>
      <c r="R940">
        <f>IF(Q940="","",IF(Q940&gt;0,"Yes","No"))</f>
        <v/>
      </c>
      <c r="S940">
        <f>IF(G940="","",COUNTIFS($G$3:$G$1002,SUBSTITUTE(SUBSTITUTE(G940,"?","~?"),"*","~*"),$J$3:$J$1002,"Primary"))</f>
        <v/>
      </c>
      <c r="T940">
        <f>IF(S940="","",IF(S940&gt;Settings!$B$4,"Yes","No"))</f>
        <v/>
      </c>
      <c r="U940">
        <f>IF(OR(G940="",B940=""),"",IF(COUNTIFS($G$3:$G$1002,SUBSTITUTE(SUBSTITUTE(G940,"?","~?"),"*","~*"),$B$3:$B$1002,"&lt;&gt;"&amp;SUBSTITUTE(SUBSTITUTE(B940,"?","~?"),"*","~*"),$B$3:$B$1002,"?*")&gt;0,"Yes","No"))</f>
        <v/>
      </c>
      <c r="V940">
        <f>IF(OR(G940="",I940="",O940="",O940="Unclassified"),"",IFERROR(INDEX(Settings!$E$5:$H$16,MATCH(I940,Settings!$D$5:$D$16,0),MATCH(O940,Settings!$E$4:$H$4,0)),"Check"))</f>
        <v/>
      </c>
      <c r="W940">
        <f>IF(V940="","",IF(V940="No","Yes","No"))</f>
        <v/>
      </c>
      <c r="X940">
        <f>IF(OR(E940="",G940=""),"",IF(LOWER(IF(RIGHT(TRIM(E940),1)="/",LEFT(TRIM(E940),LEN(TRIM(E940))-1),TRIM(E940)))&lt;&gt;LOWER(IF(RIGHT(TRIM(G940),1)="/",LEFT(TRIM(G940),LEN(TRIM(G940))-1),TRIM(G940))),"Yes","No"))</f>
        <v/>
      </c>
      <c r="Y940">
        <f>IF(A940="","",(N(Q940)&gt;0)+(T940="Yes")+(U940="Yes")+(W940="Yes")+(X940="Yes"))</f>
        <v/>
      </c>
      <c r="Z940">
        <f>IF(A940="","",IF(G940="","Not mapped",IF(Y940=0,"OK",MID(IF(N(Q940)&gt;0,"; Cannibalisation","")&amp;IF(T940="Yes","; Too many primary keywords on URL","")&amp;IF(U940="Yes","; URL spans 2+ clusters","")&amp;IF(W940="Yes","; Intent mismatch","")&amp;IF(X940="Yes","; Ranking URL is not the target",""),3,300))))</f>
        <v/>
      </c>
      <c r="AA940">
        <f>IF(G940="","",IF(COUNTIF($G$3:G940,SUBSTITUTE(SUBSTITUTE(G940,"?","~?"),"*","~*"))=1,MAX($AA$2:AA939)+1,""))</f>
        <v/>
      </c>
      <c r="AB940">
        <f>IF(B940="","",IF(COUNTIF($B$3:B940,SUBSTITUTE(SUBSTITUTE(B940,"?","~?"),"*","~*"))=1,MAX($AB$2:AB939)+1,""))</f>
        <v/>
      </c>
    </row>
    <row r="941">
      <c r="M941">
        <f>IF(A941="","",LOWER(TRIM(SUBSTITUTE(SUBSTITUTE(A941,"?",""),"*",""))))</f>
        <v/>
      </c>
      <c r="N941">
        <f>IF(M941="","",IF(SUMPRODUCT(ISNUMBER(SEARCH(" "&amp;Settings!$L$5:$L$124&amp;" "," "&amp;M941&amp;" "))*(Settings!$K$5:$K$124="Navigational")*(Settings!$L$5:$L$124&lt;&gt;""))&gt;0,"Navigational",IF(SUMPRODUCT(ISNUMBER(SEARCH(" "&amp;Settings!$L$5:$L$124&amp;" "," "&amp;M941&amp;" "))*(Settings!$K$5:$K$124="Transactional")*(Settings!$L$5:$L$124&lt;&gt;""))&gt;0,"Transactional",IF(SUMPRODUCT(ISNUMBER(SEARCH(" "&amp;Settings!$L$5:$L$124&amp;" "," "&amp;M941&amp;" "))*(Settings!$K$5:$K$124="Commercial")*(Settings!$L$5:$L$124&lt;&gt;""))&gt;0,"Commercial",IF(SUMPRODUCT(ISNUMBER(SEARCH(" "&amp;Settings!$L$5:$L$124&amp;" "," "&amp;M941&amp;" "))*(Settings!$K$5:$K$124="Informational")*(Settings!$L$5:$L$124&lt;&gt;""))&gt;0,"Informational","Unclassified")))))</f>
        <v/>
      </c>
      <c r="O941">
        <f>IF(A941="","",IF(K941&lt;&gt;"",PROPER(K941),N941))</f>
        <v/>
      </c>
      <c r="P941">
        <f>IF(A941="","",ROUND(Settings!$B$5*MIN(1,LOG10(N(C941)+1)/LOG10(Settings!$B$7+1))+Settings!$B$6*(1-MIN(100,IF(D941="",50,N(D941)))/100)+IFERROR(INDEX(Settings!$B$10:$B$14,MATCH(O941,Settings!$A$10:$A$14,0)),0),0))</f>
        <v/>
      </c>
      <c r="Q941">
        <f>IF(OR(A941="",G941=""),"",COUNTIFS($M$3:$M$1002,M941,$G$3:$G$1002,"&lt;&gt;"&amp;SUBSTITUTE(SUBSTITUTE(G941,"?","~?"),"*","~*"),$G$3:$G$1002,"?*"))</f>
        <v/>
      </c>
      <c r="R941">
        <f>IF(Q941="","",IF(Q941&gt;0,"Yes","No"))</f>
        <v/>
      </c>
      <c r="S941">
        <f>IF(G941="","",COUNTIFS($G$3:$G$1002,SUBSTITUTE(SUBSTITUTE(G941,"?","~?"),"*","~*"),$J$3:$J$1002,"Primary"))</f>
        <v/>
      </c>
      <c r="T941">
        <f>IF(S941="","",IF(S941&gt;Settings!$B$4,"Yes","No"))</f>
        <v/>
      </c>
      <c r="U941">
        <f>IF(OR(G941="",B941=""),"",IF(COUNTIFS($G$3:$G$1002,SUBSTITUTE(SUBSTITUTE(G941,"?","~?"),"*","~*"),$B$3:$B$1002,"&lt;&gt;"&amp;SUBSTITUTE(SUBSTITUTE(B941,"?","~?"),"*","~*"),$B$3:$B$1002,"?*")&gt;0,"Yes","No"))</f>
        <v/>
      </c>
      <c r="V941">
        <f>IF(OR(G941="",I941="",O941="",O941="Unclassified"),"",IFERROR(INDEX(Settings!$E$5:$H$16,MATCH(I941,Settings!$D$5:$D$16,0),MATCH(O941,Settings!$E$4:$H$4,0)),"Check"))</f>
        <v/>
      </c>
      <c r="W941">
        <f>IF(V941="","",IF(V941="No","Yes","No"))</f>
        <v/>
      </c>
      <c r="X941">
        <f>IF(OR(E941="",G941=""),"",IF(LOWER(IF(RIGHT(TRIM(E941),1)="/",LEFT(TRIM(E941),LEN(TRIM(E941))-1),TRIM(E941)))&lt;&gt;LOWER(IF(RIGHT(TRIM(G941),1)="/",LEFT(TRIM(G941),LEN(TRIM(G941))-1),TRIM(G941))),"Yes","No"))</f>
        <v/>
      </c>
      <c r="Y941">
        <f>IF(A941="","",(N(Q941)&gt;0)+(T941="Yes")+(U941="Yes")+(W941="Yes")+(X941="Yes"))</f>
        <v/>
      </c>
      <c r="Z941">
        <f>IF(A941="","",IF(G941="","Not mapped",IF(Y941=0,"OK",MID(IF(N(Q941)&gt;0,"; Cannibalisation","")&amp;IF(T941="Yes","; Too many primary keywords on URL","")&amp;IF(U941="Yes","; URL spans 2+ clusters","")&amp;IF(W941="Yes","; Intent mismatch","")&amp;IF(X941="Yes","; Ranking URL is not the target",""),3,300))))</f>
        <v/>
      </c>
      <c r="AA941">
        <f>IF(G941="","",IF(COUNTIF($G$3:G941,SUBSTITUTE(SUBSTITUTE(G941,"?","~?"),"*","~*"))=1,MAX($AA$2:AA940)+1,""))</f>
        <v/>
      </c>
      <c r="AB941">
        <f>IF(B941="","",IF(COUNTIF($B$3:B941,SUBSTITUTE(SUBSTITUTE(B941,"?","~?"),"*","~*"))=1,MAX($AB$2:AB940)+1,""))</f>
        <v/>
      </c>
    </row>
    <row r="942">
      <c r="M942">
        <f>IF(A942="","",LOWER(TRIM(SUBSTITUTE(SUBSTITUTE(A942,"?",""),"*",""))))</f>
        <v/>
      </c>
      <c r="N942">
        <f>IF(M942="","",IF(SUMPRODUCT(ISNUMBER(SEARCH(" "&amp;Settings!$L$5:$L$124&amp;" "," "&amp;M942&amp;" "))*(Settings!$K$5:$K$124="Navigational")*(Settings!$L$5:$L$124&lt;&gt;""))&gt;0,"Navigational",IF(SUMPRODUCT(ISNUMBER(SEARCH(" "&amp;Settings!$L$5:$L$124&amp;" "," "&amp;M942&amp;" "))*(Settings!$K$5:$K$124="Transactional")*(Settings!$L$5:$L$124&lt;&gt;""))&gt;0,"Transactional",IF(SUMPRODUCT(ISNUMBER(SEARCH(" "&amp;Settings!$L$5:$L$124&amp;" "," "&amp;M942&amp;" "))*(Settings!$K$5:$K$124="Commercial")*(Settings!$L$5:$L$124&lt;&gt;""))&gt;0,"Commercial",IF(SUMPRODUCT(ISNUMBER(SEARCH(" "&amp;Settings!$L$5:$L$124&amp;" "," "&amp;M942&amp;" "))*(Settings!$K$5:$K$124="Informational")*(Settings!$L$5:$L$124&lt;&gt;""))&gt;0,"Informational","Unclassified")))))</f>
        <v/>
      </c>
      <c r="O942">
        <f>IF(A942="","",IF(K942&lt;&gt;"",PROPER(K942),N942))</f>
        <v/>
      </c>
      <c r="P942">
        <f>IF(A942="","",ROUND(Settings!$B$5*MIN(1,LOG10(N(C942)+1)/LOG10(Settings!$B$7+1))+Settings!$B$6*(1-MIN(100,IF(D942="",50,N(D942)))/100)+IFERROR(INDEX(Settings!$B$10:$B$14,MATCH(O942,Settings!$A$10:$A$14,0)),0),0))</f>
        <v/>
      </c>
      <c r="Q942">
        <f>IF(OR(A942="",G942=""),"",COUNTIFS($M$3:$M$1002,M942,$G$3:$G$1002,"&lt;&gt;"&amp;SUBSTITUTE(SUBSTITUTE(G942,"?","~?"),"*","~*"),$G$3:$G$1002,"?*"))</f>
        <v/>
      </c>
      <c r="R942">
        <f>IF(Q942="","",IF(Q942&gt;0,"Yes","No"))</f>
        <v/>
      </c>
      <c r="S942">
        <f>IF(G942="","",COUNTIFS($G$3:$G$1002,SUBSTITUTE(SUBSTITUTE(G942,"?","~?"),"*","~*"),$J$3:$J$1002,"Primary"))</f>
        <v/>
      </c>
      <c r="T942">
        <f>IF(S942="","",IF(S942&gt;Settings!$B$4,"Yes","No"))</f>
        <v/>
      </c>
      <c r="U942">
        <f>IF(OR(G942="",B942=""),"",IF(COUNTIFS($G$3:$G$1002,SUBSTITUTE(SUBSTITUTE(G942,"?","~?"),"*","~*"),$B$3:$B$1002,"&lt;&gt;"&amp;SUBSTITUTE(SUBSTITUTE(B942,"?","~?"),"*","~*"),$B$3:$B$1002,"?*")&gt;0,"Yes","No"))</f>
        <v/>
      </c>
      <c r="V942">
        <f>IF(OR(G942="",I942="",O942="",O942="Unclassified"),"",IFERROR(INDEX(Settings!$E$5:$H$16,MATCH(I942,Settings!$D$5:$D$16,0),MATCH(O942,Settings!$E$4:$H$4,0)),"Check"))</f>
        <v/>
      </c>
      <c r="W942">
        <f>IF(V942="","",IF(V942="No","Yes","No"))</f>
        <v/>
      </c>
      <c r="X942">
        <f>IF(OR(E942="",G942=""),"",IF(LOWER(IF(RIGHT(TRIM(E942),1)="/",LEFT(TRIM(E942),LEN(TRIM(E942))-1),TRIM(E942)))&lt;&gt;LOWER(IF(RIGHT(TRIM(G942),1)="/",LEFT(TRIM(G942),LEN(TRIM(G942))-1),TRIM(G942))),"Yes","No"))</f>
        <v/>
      </c>
      <c r="Y942">
        <f>IF(A942="","",(N(Q942)&gt;0)+(T942="Yes")+(U942="Yes")+(W942="Yes")+(X942="Yes"))</f>
        <v/>
      </c>
      <c r="Z942">
        <f>IF(A942="","",IF(G942="","Not mapped",IF(Y942=0,"OK",MID(IF(N(Q942)&gt;0,"; Cannibalisation","")&amp;IF(T942="Yes","; Too many primary keywords on URL","")&amp;IF(U942="Yes","; URL spans 2+ clusters","")&amp;IF(W942="Yes","; Intent mismatch","")&amp;IF(X942="Yes","; Ranking URL is not the target",""),3,300))))</f>
        <v/>
      </c>
      <c r="AA942">
        <f>IF(G942="","",IF(COUNTIF($G$3:G942,SUBSTITUTE(SUBSTITUTE(G942,"?","~?"),"*","~*"))=1,MAX($AA$2:AA941)+1,""))</f>
        <v/>
      </c>
      <c r="AB942">
        <f>IF(B942="","",IF(COUNTIF($B$3:B942,SUBSTITUTE(SUBSTITUTE(B942,"?","~?"),"*","~*"))=1,MAX($AB$2:AB941)+1,""))</f>
        <v/>
      </c>
    </row>
    <row r="943">
      <c r="M943">
        <f>IF(A943="","",LOWER(TRIM(SUBSTITUTE(SUBSTITUTE(A943,"?",""),"*",""))))</f>
        <v/>
      </c>
      <c r="N943">
        <f>IF(M943="","",IF(SUMPRODUCT(ISNUMBER(SEARCH(" "&amp;Settings!$L$5:$L$124&amp;" "," "&amp;M943&amp;" "))*(Settings!$K$5:$K$124="Navigational")*(Settings!$L$5:$L$124&lt;&gt;""))&gt;0,"Navigational",IF(SUMPRODUCT(ISNUMBER(SEARCH(" "&amp;Settings!$L$5:$L$124&amp;" "," "&amp;M943&amp;" "))*(Settings!$K$5:$K$124="Transactional")*(Settings!$L$5:$L$124&lt;&gt;""))&gt;0,"Transactional",IF(SUMPRODUCT(ISNUMBER(SEARCH(" "&amp;Settings!$L$5:$L$124&amp;" "," "&amp;M943&amp;" "))*(Settings!$K$5:$K$124="Commercial")*(Settings!$L$5:$L$124&lt;&gt;""))&gt;0,"Commercial",IF(SUMPRODUCT(ISNUMBER(SEARCH(" "&amp;Settings!$L$5:$L$124&amp;" "," "&amp;M943&amp;" "))*(Settings!$K$5:$K$124="Informational")*(Settings!$L$5:$L$124&lt;&gt;""))&gt;0,"Informational","Unclassified")))))</f>
        <v/>
      </c>
      <c r="O943">
        <f>IF(A943="","",IF(K943&lt;&gt;"",PROPER(K943),N943))</f>
        <v/>
      </c>
      <c r="P943">
        <f>IF(A943="","",ROUND(Settings!$B$5*MIN(1,LOG10(N(C943)+1)/LOG10(Settings!$B$7+1))+Settings!$B$6*(1-MIN(100,IF(D943="",50,N(D943)))/100)+IFERROR(INDEX(Settings!$B$10:$B$14,MATCH(O943,Settings!$A$10:$A$14,0)),0),0))</f>
        <v/>
      </c>
      <c r="Q943">
        <f>IF(OR(A943="",G943=""),"",COUNTIFS($M$3:$M$1002,M943,$G$3:$G$1002,"&lt;&gt;"&amp;SUBSTITUTE(SUBSTITUTE(G943,"?","~?"),"*","~*"),$G$3:$G$1002,"?*"))</f>
        <v/>
      </c>
      <c r="R943">
        <f>IF(Q943="","",IF(Q943&gt;0,"Yes","No"))</f>
        <v/>
      </c>
      <c r="S943">
        <f>IF(G943="","",COUNTIFS($G$3:$G$1002,SUBSTITUTE(SUBSTITUTE(G943,"?","~?"),"*","~*"),$J$3:$J$1002,"Primary"))</f>
        <v/>
      </c>
      <c r="T943">
        <f>IF(S943="","",IF(S943&gt;Settings!$B$4,"Yes","No"))</f>
        <v/>
      </c>
      <c r="U943">
        <f>IF(OR(G943="",B943=""),"",IF(COUNTIFS($G$3:$G$1002,SUBSTITUTE(SUBSTITUTE(G943,"?","~?"),"*","~*"),$B$3:$B$1002,"&lt;&gt;"&amp;SUBSTITUTE(SUBSTITUTE(B943,"?","~?"),"*","~*"),$B$3:$B$1002,"?*")&gt;0,"Yes","No"))</f>
        <v/>
      </c>
      <c r="V943">
        <f>IF(OR(G943="",I943="",O943="",O943="Unclassified"),"",IFERROR(INDEX(Settings!$E$5:$H$16,MATCH(I943,Settings!$D$5:$D$16,0),MATCH(O943,Settings!$E$4:$H$4,0)),"Check"))</f>
        <v/>
      </c>
      <c r="W943">
        <f>IF(V943="","",IF(V943="No","Yes","No"))</f>
        <v/>
      </c>
      <c r="X943">
        <f>IF(OR(E943="",G943=""),"",IF(LOWER(IF(RIGHT(TRIM(E943),1)="/",LEFT(TRIM(E943),LEN(TRIM(E943))-1),TRIM(E943)))&lt;&gt;LOWER(IF(RIGHT(TRIM(G943),1)="/",LEFT(TRIM(G943),LEN(TRIM(G943))-1),TRIM(G943))),"Yes","No"))</f>
        <v/>
      </c>
      <c r="Y943">
        <f>IF(A943="","",(N(Q943)&gt;0)+(T943="Yes")+(U943="Yes")+(W943="Yes")+(X943="Yes"))</f>
        <v/>
      </c>
      <c r="Z943">
        <f>IF(A943="","",IF(G943="","Not mapped",IF(Y943=0,"OK",MID(IF(N(Q943)&gt;0,"; Cannibalisation","")&amp;IF(T943="Yes","; Too many primary keywords on URL","")&amp;IF(U943="Yes","; URL spans 2+ clusters","")&amp;IF(W943="Yes","; Intent mismatch","")&amp;IF(X943="Yes","; Ranking URL is not the target",""),3,300))))</f>
        <v/>
      </c>
      <c r="AA943">
        <f>IF(G943="","",IF(COUNTIF($G$3:G943,SUBSTITUTE(SUBSTITUTE(G943,"?","~?"),"*","~*"))=1,MAX($AA$2:AA942)+1,""))</f>
        <v/>
      </c>
      <c r="AB943">
        <f>IF(B943="","",IF(COUNTIF($B$3:B943,SUBSTITUTE(SUBSTITUTE(B943,"?","~?"),"*","~*"))=1,MAX($AB$2:AB942)+1,""))</f>
        <v/>
      </c>
    </row>
    <row r="944">
      <c r="M944">
        <f>IF(A944="","",LOWER(TRIM(SUBSTITUTE(SUBSTITUTE(A944,"?",""),"*",""))))</f>
        <v/>
      </c>
      <c r="N944">
        <f>IF(M944="","",IF(SUMPRODUCT(ISNUMBER(SEARCH(" "&amp;Settings!$L$5:$L$124&amp;" "," "&amp;M944&amp;" "))*(Settings!$K$5:$K$124="Navigational")*(Settings!$L$5:$L$124&lt;&gt;""))&gt;0,"Navigational",IF(SUMPRODUCT(ISNUMBER(SEARCH(" "&amp;Settings!$L$5:$L$124&amp;" "," "&amp;M944&amp;" "))*(Settings!$K$5:$K$124="Transactional")*(Settings!$L$5:$L$124&lt;&gt;""))&gt;0,"Transactional",IF(SUMPRODUCT(ISNUMBER(SEARCH(" "&amp;Settings!$L$5:$L$124&amp;" "," "&amp;M944&amp;" "))*(Settings!$K$5:$K$124="Commercial")*(Settings!$L$5:$L$124&lt;&gt;""))&gt;0,"Commercial",IF(SUMPRODUCT(ISNUMBER(SEARCH(" "&amp;Settings!$L$5:$L$124&amp;" "," "&amp;M944&amp;" "))*(Settings!$K$5:$K$124="Informational")*(Settings!$L$5:$L$124&lt;&gt;""))&gt;0,"Informational","Unclassified")))))</f>
        <v/>
      </c>
      <c r="O944">
        <f>IF(A944="","",IF(K944&lt;&gt;"",PROPER(K944),N944))</f>
        <v/>
      </c>
      <c r="P944">
        <f>IF(A944="","",ROUND(Settings!$B$5*MIN(1,LOG10(N(C944)+1)/LOG10(Settings!$B$7+1))+Settings!$B$6*(1-MIN(100,IF(D944="",50,N(D944)))/100)+IFERROR(INDEX(Settings!$B$10:$B$14,MATCH(O944,Settings!$A$10:$A$14,0)),0),0))</f>
        <v/>
      </c>
      <c r="Q944">
        <f>IF(OR(A944="",G944=""),"",COUNTIFS($M$3:$M$1002,M944,$G$3:$G$1002,"&lt;&gt;"&amp;SUBSTITUTE(SUBSTITUTE(G944,"?","~?"),"*","~*"),$G$3:$G$1002,"?*"))</f>
        <v/>
      </c>
      <c r="R944">
        <f>IF(Q944="","",IF(Q944&gt;0,"Yes","No"))</f>
        <v/>
      </c>
      <c r="S944">
        <f>IF(G944="","",COUNTIFS($G$3:$G$1002,SUBSTITUTE(SUBSTITUTE(G944,"?","~?"),"*","~*"),$J$3:$J$1002,"Primary"))</f>
        <v/>
      </c>
      <c r="T944">
        <f>IF(S944="","",IF(S944&gt;Settings!$B$4,"Yes","No"))</f>
        <v/>
      </c>
      <c r="U944">
        <f>IF(OR(G944="",B944=""),"",IF(COUNTIFS($G$3:$G$1002,SUBSTITUTE(SUBSTITUTE(G944,"?","~?"),"*","~*"),$B$3:$B$1002,"&lt;&gt;"&amp;SUBSTITUTE(SUBSTITUTE(B944,"?","~?"),"*","~*"),$B$3:$B$1002,"?*")&gt;0,"Yes","No"))</f>
        <v/>
      </c>
      <c r="V944">
        <f>IF(OR(G944="",I944="",O944="",O944="Unclassified"),"",IFERROR(INDEX(Settings!$E$5:$H$16,MATCH(I944,Settings!$D$5:$D$16,0),MATCH(O944,Settings!$E$4:$H$4,0)),"Check"))</f>
        <v/>
      </c>
      <c r="W944">
        <f>IF(V944="","",IF(V944="No","Yes","No"))</f>
        <v/>
      </c>
      <c r="X944">
        <f>IF(OR(E944="",G944=""),"",IF(LOWER(IF(RIGHT(TRIM(E944),1)="/",LEFT(TRIM(E944),LEN(TRIM(E944))-1),TRIM(E944)))&lt;&gt;LOWER(IF(RIGHT(TRIM(G944),1)="/",LEFT(TRIM(G944),LEN(TRIM(G944))-1),TRIM(G944))),"Yes","No"))</f>
        <v/>
      </c>
      <c r="Y944">
        <f>IF(A944="","",(N(Q944)&gt;0)+(T944="Yes")+(U944="Yes")+(W944="Yes")+(X944="Yes"))</f>
        <v/>
      </c>
      <c r="Z944">
        <f>IF(A944="","",IF(G944="","Not mapped",IF(Y944=0,"OK",MID(IF(N(Q944)&gt;0,"; Cannibalisation","")&amp;IF(T944="Yes","; Too many primary keywords on URL","")&amp;IF(U944="Yes","; URL spans 2+ clusters","")&amp;IF(W944="Yes","; Intent mismatch","")&amp;IF(X944="Yes","; Ranking URL is not the target",""),3,300))))</f>
        <v/>
      </c>
      <c r="AA944">
        <f>IF(G944="","",IF(COUNTIF($G$3:G944,SUBSTITUTE(SUBSTITUTE(G944,"?","~?"),"*","~*"))=1,MAX($AA$2:AA943)+1,""))</f>
        <v/>
      </c>
      <c r="AB944">
        <f>IF(B944="","",IF(COUNTIF($B$3:B944,SUBSTITUTE(SUBSTITUTE(B944,"?","~?"),"*","~*"))=1,MAX($AB$2:AB943)+1,""))</f>
        <v/>
      </c>
    </row>
    <row r="945">
      <c r="M945">
        <f>IF(A945="","",LOWER(TRIM(SUBSTITUTE(SUBSTITUTE(A945,"?",""),"*",""))))</f>
        <v/>
      </c>
      <c r="N945">
        <f>IF(M945="","",IF(SUMPRODUCT(ISNUMBER(SEARCH(" "&amp;Settings!$L$5:$L$124&amp;" "," "&amp;M945&amp;" "))*(Settings!$K$5:$K$124="Navigational")*(Settings!$L$5:$L$124&lt;&gt;""))&gt;0,"Navigational",IF(SUMPRODUCT(ISNUMBER(SEARCH(" "&amp;Settings!$L$5:$L$124&amp;" "," "&amp;M945&amp;" "))*(Settings!$K$5:$K$124="Transactional")*(Settings!$L$5:$L$124&lt;&gt;""))&gt;0,"Transactional",IF(SUMPRODUCT(ISNUMBER(SEARCH(" "&amp;Settings!$L$5:$L$124&amp;" "," "&amp;M945&amp;" "))*(Settings!$K$5:$K$124="Commercial")*(Settings!$L$5:$L$124&lt;&gt;""))&gt;0,"Commercial",IF(SUMPRODUCT(ISNUMBER(SEARCH(" "&amp;Settings!$L$5:$L$124&amp;" "," "&amp;M945&amp;" "))*(Settings!$K$5:$K$124="Informational")*(Settings!$L$5:$L$124&lt;&gt;""))&gt;0,"Informational","Unclassified")))))</f>
        <v/>
      </c>
      <c r="O945">
        <f>IF(A945="","",IF(K945&lt;&gt;"",PROPER(K945),N945))</f>
        <v/>
      </c>
      <c r="P945">
        <f>IF(A945="","",ROUND(Settings!$B$5*MIN(1,LOG10(N(C945)+1)/LOG10(Settings!$B$7+1))+Settings!$B$6*(1-MIN(100,IF(D945="",50,N(D945)))/100)+IFERROR(INDEX(Settings!$B$10:$B$14,MATCH(O945,Settings!$A$10:$A$14,0)),0),0))</f>
        <v/>
      </c>
      <c r="Q945">
        <f>IF(OR(A945="",G945=""),"",COUNTIFS($M$3:$M$1002,M945,$G$3:$G$1002,"&lt;&gt;"&amp;SUBSTITUTE(SUBSTITUTE(G945,"?","~?"),"*","~*"),$G$3:$G$1002,"?*"))</f>
        <v/>
      </c>
      <c r="R945">
        <f>IF(Q945="","",IF(Q945&gt;0,"Yes","No"))</f>
        <v/>
      </c>
      <c r="S945">
        <f>IF(G945="","",COUNTIFS($G$3:$G$1002,SUBSTITUTE(SUBSTITUTE(G945,"?","~?"),"*","~*"),$J$3:$J$1002,"Primary"))</f>
        <v/>
      </c>
      <c r="T945">
        <f>IF(S945="","",IF(S945&gt;Settings!$B$4,"Yes","No"))</f>
        <v/>
      </c>
      <c r="U945">
        <f>IF(OR(G945="",B945=""),"",IF(COUNTIFS($G$3:$G$1002,SUBSTITUTE(SUBSTITUTE(G945,"?","~?"),"*","~*"),$B$3:$B$1002,"&lt;&gt;"&amp;SUBSTITUTE(SUBSTITUTE(B945,"?","~?"),"*","~*"),$B$3:$B$1002,"?*")&gt;0,"Yes","No"))</f>
        <v/>
      </c>
      <c r="V945">
        <f>IF(OR(G945="",I945="",O945="",O945="Unclassified"),"",IFERROR(INDEX(Settings!$E$5:$H$16,MATCH(I945,Settings!$D$5:$D$16,0),MATCH(O945,Settings!$E$4:$H$4,0)),"Check"))</f>
        <v/>
      </c>
      <c r="W945">
        <f>IF(V945="","",IF(V945="No","Yes","No"))</f>
        <v/>
      </c>
      <c r="X945">
        <f>IF(OR(E945="",G945=""),"",IF(LOWER(IF(RIGHT(TRIM(E945),1)="/",LEFT(TRIM(E945),LEN(TRIM(E945))-1),TRIM(E945)))&lt;&gt;LOWER(IF(RIGHT(TRIM(G945),1)="/",LEFT(TRIM(G945),LEN(TRIM(G945))-1),TRIM(G945))),"Yes","No"))</f>
        <v/>
      </c>
      <c r="Y945">
        <f>IF(A945="","",(N(Q945)&gt;0)+(T945="Yes")+(U945="Yes")+(W945="Yes")+(X945="Yes"))</f>
        <v/>
      </c>
      <c r="Z945">
        <f>IF(A945="","",IF(G945="","Not mapped",IF(Y945=0,"OK",MID(IF(N(Q945)&gt;0,"; Cannibalisation","")&amp;IF(T945="Yes","; Too many primary keywords on URL","")&amp;IF(U945="Yes","; URL spans 2+ clusters","")&amp;IF(W945="Yes","; Intent mismatch","")&amp;IF(X945="Yes","; Ranking URL is not the target",""),3,300))))</f>
        <v/>
      </c>
      <c r="AA945">
        <f>IF(G945="","",IF(COUNTIF($G$3:G945,SUBSTITUTE(SUBSTITUTE(G945,"?","~?"),"*","~*"))=1,MAX($AA$2:AA944)+1,""))</f>
        <v/>
      </c>
      <c r="AB945">
        <f>IF(B945="","",IF(COUNTIF($B$3:B945,SUBSTITUTE(SUBSTITUTE(B945,"?","~?"),"*","~*"))=1,MAX($AB$2:AB944)+1,""))</f>
        <v/>
      </c>
    </row>
    <row r="946">
      <c r="M946">
        <f>IF(A946="","",LOWER(TRIM(SUBSTITUTE(SUBSTITUTE(A946,"?",""),"*",""))))</f>
        <v/>
      </c>
      <c r="N946">
        <f>IF(M946="","",IF(SUMPRODUCT(ISNUMBER(SEARCH(" "&amp;Settings!$L$5:$L$124&amp;" "," "&amp;M946&amp;" "))*(Settings!$K$5:$K$124="Navigational")*(Settings!$L$5:$L$124&lt;&gt;""))&gt;0,"Navigational",IF(SUMPRODUCT(ISNUMBER(SEARCH(" "&amp;Settings!$L$5:$L$124&amp;" "," "&amp;M946&amp;" "))*(Settings!$K$5:$K$124="Transactional")*(Settings!$L$5:$L$124&lt;&gt;""))&gt;0,"Transactional",IF(SUMPRODUCT(ISNUMBER(SEARCH(" "&amp;Settings!$L$5:$L$124&amp;" "," "&amp;M946&amp;" "))*(Settings!$K$5:$K$124="Commercial")*(Settings!$L$5:$L$124&lt;&gt;""))&gt;0,"Commercial",IF(SUMPRODUCT(ISNUMBER(SEARCH(" "&amp;Settings!$L$5:$L$124&amp;" "," "&amp;M946&amp;" "))*(Settings!$K$5:$K$124="Informational")*(Settings!$L$5:$L$124&lt;&gt;""))&gt;0,"Informational","Unclassified")))))</f>
        <v/>
      </c>
      <c r="O946">
        <f>IF(A946="","",IF(K946&lt;&gt;"",PROPER(K946),N946))</f>
        <v/>
      </c>
      <c r="P946">
        <f>IF(A946="","",ROUND(Settings!$B$5*MIN(1,LOG10(N(C946)+1)/LOG10(Settings!$B$7+1))+Settings!$B$6*(1-MIN(100,IF(D946="",50,N(D946)))/100)+IFERROR(INDEX(Settings!$B$10:$B$14,MATCH(O946,Settings!$A$10:$A$14,0)),0),0))</f>
        <v/>
      </c>
      <c r="Q946">
        <f>IF(OR(A946="",G946=""),"",COUNTIFS($M$3:$M$1002,M946,$G$3:$G$1002,"&lt;&gt;"&amp;SUBSTITUTE(SUBSTITUTE(G946,"?","~?"),"*","~*"),$G$3:$G$1002,"?*"))</f>
        <v/>
      </c>
      <c r="R946">
        <f>IF(Q946="","",IF(Q946&gt;0,"Yes","No"))</f>
        <v/>
      </c>
      <c r="S946">
        <f>IF(G946="","",COUNTIFS($G$3:$G$1002,SUBSTITUTE(SUBSTITUTE(G946,"?","~?"),"*","~*"),$J$3:$J$1002,"Primary"))</f>
        <v/>
      </c>
      <c r="T946">
        <f>IF(S946="","",IF(S946&gt;Settings!$B$4,"Yes","No"))</f>
        <v/>
      </c>
      <c r="U946">
        <f>IF(OR(G946="",B946=""),"",IF(COUNTIFS($G$3:$G$1002,SUBSTITUTE(SUBSTITUTE(G946,"?","~?"),"*","~*"),$B$3:$B$1002,"&lt;&gt;"&amp;SUBSTITUTE(SUBSTITUTE(B946,"?","~?"),"*","~*"),$B$3:$B$1002,"?*")&gt;0,"Yes","No"))</f>
        <v/>
      </c>
      <c r="V946">
        <f>IF(OR(G946="",I946="",O946="",O946="Unclassified"),"",IFERROR(INDEX(Settings!$E$5:$H$16,MATCH(I946,Settings!$D$5:$D$16,0),MATCH(O946,Settings!$E$4:$H$4,0)),"Check"))</f>
        <v/>
      </c>
      <c r="W946">
        <f>IF(V946="","",IF(V946="No","Yes","No"))</f>
        <v/>
      </c>
      <c r="X946">
        <f>IF(OR(E946="",G946=""),"",IF(LOWER(IF(RIGHT(TRIM(E946),1)="/",LEFT(TRIM(E946),LEN(TRIM(E946))-1),TRIM(E946)))&lt;&gt;LOWER(IF(RIGHT(TRIM(G946),1)="/",LEFT(TRIM(G946),LEN(TRIM(G946))-1),TRIM(G946))),"Yes","No"))</f>
        <v/>
      </c>
      <c r="Y946">
        <f>IF(A946="","",(N(Q946)&gt;0)+(T946="Yes")+(U946="Yes")+(W946="Yes")+(X946="Yes"))</f>
        <v/>
      </c>
      <c r="Z946">
        <f>IF(A946="","",IF(G946="","Not mapped",IF(Y946=0,"OK",MID(IF(N(Q946)&gt;0,"; Cannibalisation","")&amp;IF(T946="Yes","; Too many primary keywords on URL","")&amp;IF(U946="Yes","; URL spans 2+ clusters","")&amp;IF(W946="Yes","; Intent mismatch","")&amp;IF(X946="Yes","; Ranking URL is not the target",""),3,300))))</f>
        <v/>
      </c>
      <c r="AA946">
        <f>IF(G946="","",IF(COUNTIF($G$3:G946,SUBSTITUTE(SUBSTITUTE(G946,"?","~?"),"*","~*"))=1,MAX($AA$2:AA945)+1,""))</f>
        <v/>
      </c>
      <c r="AB946">
        <f>IF(B946="","",IF(COUNTIF($B$3:B946,SUBSTITUTE(SUBSTITUTE(B946,"?","~?"),"*","~*"))=1,MAX($AB$2:AB945)+1,""))</f>
        <v/>
      </c>
    </row>
    <row r="947">
      <c r="M947">
        <f>IF(A947="","",LOWER(TRIM(SUBSTITUTE(SUBSTITUTE(A947,"?",""),"*",""))))</f>
        <v/>
      </c>
      <c r="N947">
        <f>IF(M947="","",IF(SUMPRODUCT(ISNUMBER(SEARCH(" "&amp;Settings!$L$5:$L$124&amp;" "," "&amp;M947&amp;" "))*(Settings!$K$5:$K$124="Navigational")*(Settings!$L$5:$L$124&lt;&gt;""))&gt;0,"Navigational",IF(SUMPRODUCT(ISNUMBER(SEARCH(" "&amp;Settings!$L$5:$L$124&amp;" "," "&amp;M947&amp;" "))*(Settings!$K$5:$K$124="Transactional")*(Settings!$L$5:$L$124&lt;&gt;""))&gt;0,"Transactional",IF(SUMPRODUCT(ISNUMBER(SEARCH(" "&amp;Settings!$L$5:$L$124&amp;" "," "&amp;M947&amp;" "))*(Settings!$K$5:$K$124="Commercial")*(Settings!$L$5:$L$124&lt;&gt;""))&gt;0,"Commercial",IF(SUMPRODUCT(ISNUMBER(SEARCH(" "&amp;Settings!$L$5:$L$124&amp;" "," "&amp;M947&amp;" "))*(Settings!$K$5:$K$124="Informational")*(Settings!$L$5:$L$124&lt;&gt;""))&gt;0,"Informational","Unclassified")))))</f>
        <v/>
      </c>
      <c r="O947">
        <f>IF(A947="","",IF(K947&lt;&gt;"",PROPER(K947),N947))</f>
        <v/>
      </c>
      <c r="P947">
        <f>IF(A947="","",ROUND(Settings!$B$5*MIN(1,LOG10(N(C947)+1)/LOG10(Settings!$B$7+1))+Settings!$B$6*(1-MIN(100,IF(D947="",50,N(D947)))/100)+IFERROR(INDEX(Settings!$B$10:$B$14,MATCH(O947,Settings!$A$10:$A$14,0)),0),0))</f>
        <v/>
      </c>
      <c r="Q947">
        <f>IF(OR(A947="",G947=""),"",COUNTIFS($M$3:$M$1002,M947,$G$3:$G$1002,"&lt;&gt;"&amp;SUBSTITUTE(SUBSTITUTE(G947,"?","~?"),"*","~*"),$G$3:$G$1002,"?*"))</f>
        <v/>
      </c>
      <c r="R947">
        <f>IF(Q947="","",IF(Q947&gt;0,"Yes","No"))</f>
        <v/>
      </c>
      <c r="S947">
        <f>IF(G947="","",COUNTIFS($G$3:$G$1002,SUBSTITUTE(SUBSTITUTE(G947,"?","~?"),"*","~*"),$J$3:$J$1002,"Primary"))</f>
        <v/>
      </c>
      <c r="T947">
        <f>IF(S947="","",IF(S947&gt;Settings!$B$4,"Yes","No"))</f>
        <v/>
      </c>
      <c r="U947">
        <f>IF(OR(G947="",B947=""),"",IF(COUNTIFS($G$3:$G$1002,SUBSTITUTE(SUBSTITUTE(G947,"?","~?"),"*","~*"),$B$3:$B$1002,"&lt;&gt;"&amp;SUBSTITUTE(SUBSTITUTE(B947,"?","~?"),"*","~*"),$B$3:$B$1002,"?*")&gt;0,"Yes","No"))</f>
        <v/>
      </c>
      <c r="V947">
        <f>IF(OR(G947="",I947="",O947="",O947="Unclassified"),"",IFERROR(INDEX(Settings!$E$5:$H$16,MATCH(I947,Settings!$D$5:$D$16,0),MATCH(O947,Settings!$E$4:$H$4,0)),"Check"))</f>
        <v/>
      </c>
      <c r="W947">
        <f>IF(V947="","",IF(V947="No","Yes","No"))</f>
        <v/>
      </c>
      <c r="X947">
        <f>IF(OR(E947="",G947=""),"",IF(LOWER(IF(RIGHT(TRIM(E947),1)="/",LEFT(TRIM(E947),LEN(TRIM(E947))-1),TRIM(E947)))&lt;&gt;LOWER(IF(RIGHT(TRIM(G947),1)="/",LEFT(TRIM(G947),LEN(TRIM(G947))-1),TRIM(G947))),"Yes","No"))</f>
        <v/>
      </c>
      <c r="Y947">
        <f>IF(A947="","",(N(Q947)&gt;0)+(T947="Yes")+(U947="Yes")+(W947="Yes")+(X947="Yes"))</f>
        <v/>
      </c>
      <c r="Z947">
        <f>IF(A947="","",IF(G947="","Not mapped",IF(Y947=0,"OK",MID(IF(N(Q947)&gt;0,"; Cannibalisation","")&amp;IF(T947="Yes","; Too many primary keywords on URL","")&amp;IF(U947="Yes","; URL spans 2+ clusters","")&amp;IF(W947="Yes","; Intent mismatch","")&amp;IF(X947="Yes","; Ranking URL is not the target",""),3,300))))</f>
        <v/>
      </c>
      <c r="AA947">
        <f>IF(G947="","",IF(COUNTIF($G$3:G947,SUBSTITUTE(SUBSTITUTE(G947,"?","~?"),"*","~*"))=1,MAX($AA$2:AA946)+1,""))</f>
        <v/>
      </c>
      <c r="AB947">
        <f>IF(B947="","",IF(COUNTIF($B$3:B947,SUBSTITUTE(SUBSTITUTE(B947,"?","~?"),"*","~*"))=1,MAX($AB$2:AB946)+1,""))</f>
        <v/>
      </c>
    </row>
    <row r="948">
      <c r="M948">
        <f>IF(A948="","",LOWER(TRIM(SUBSTITUTE(SUBSTITUTE(A948,"?",""),"*",""))))</f>
        <v/>
      </c>
      <c r="N948">
        <f>IF(M948="","",IF(SUMPRODUCT(ISNUMBER(SEARCH(" "&amp;Settings!$L$5:$L$124&amp;" "," "&amp;M948&amp;" "))*(Settings!$K$5:$K$124="Navigational")*(Settings!$L$5:$L$124&lt;&gt;""))&gt;0,"Navigational",IF(SUMPRODUCT(ISNUMBER(SEARCH(" "&amp;Settings!$L$5:$L$124&amp;" "," "&amp;M948&amp;" "))*(Settings!$K$5:$K$124="Transactional")*(Settings!$L$5:$L$124&lt;&gt;""))&gt;0,"Transactional",IF(SUMPRODUCT(ISNUMBER(SEARCH(" "&amp;Settings!$L$5:$L$124&amp;" "," "&amp;M948&amp;" "))*(Settings!$K$5:$K$124="Commercial")*(Settings!$L$5:$L$124&lt;&gt;""))&gt;0,"Commercial",IF(SUMPRODUCT(ISNUMBER(SEARCH(" "&amp;Settings!$L$5:$L$124&amp;" "," "&amp;M948&amp;" "))*(Settings!$K$5:$K$124="Informational")*(Settings!$L$5:$L$124&lt;&gt;""))&gt;0,"Informational","Unclassified")))))</f>
        <v/>
      </c>
      <c r="O948">
        <f>IF(A948="","",IF(K948&lt;&gt;"",PROPER(K948),N948))</f>
        <v/>
      </c>
      <c r="P948">
        <f>IF(A948="","",ROUND(Settings!$B$5*MIN(1,LOG10(N(C948)+1)/LOG10(Settings!$B$7+1))+Settings!$B$6*(1-MIN(100,IF(D948="",50,N(D948)))/100)+IFERROR(INDEX(Settings!$B$10:$B$14,MATCH(O948,Settings!$A$10:$A$14,0)),0),0))</f>
        <v/>
      </c>
      <c r="Q948">
        <f>IF(OR(A948="",G948=""),"",COUNTIFS($M$3:$M$1002,M948,$G$3:$G$1002,"&lt;&gt;"&amp;SUBSTITUTE(SUBSTITUTE(G948,"?","~?"),"*","~*"),$G$3:$G$1002,"?*"))</f>
        <v/>
      </c>
      <c r="R948">
        <f>IF(Q948="","",IF(Q948&gt;0,"Yes","No"))</f>
        <v/>
      </c>
      <c r="S948">
        <f>IF(G948="","",COUNTIFS($G$3:$G$1002,SUBSTITUTE(SUBSTITUTE(G948,"?","~?"),"*","~*"),$J$3:$J$1002,"Primary"))</f>
        <v/>
      </c>
      <c r="T948">
        <f>IF(S948="","",IF(S948&gt;Settings!$B$4,"Yes","No"))</f>
        <v/>
      </c>
      <c r="U948">
        <f>IF(OR(G948="",B948=""),"",IF(COUNTIFS($G$3:$G$1002,SUBSTITUTE(SUBSTITUTE(G948,"?","~?"),"*","~*"),$B$3:$B$1002,"&lt;&gt;"&amp;SUBSTITUTE(SUBSTITUTE(B948,"?","~?"),"*","~*"),$B$3:$B$1002,"?*")&gt;0,"Yes","No"))</f>
        <v/>
      </c>
      <c r="V948">
        <f>IF(OR(G948="",I948="",O948="",O948="Unclassified"),"",IFERROR(INDEX(Settings!$E$5:$H$16,MATCH(I948,Settings!$D$5:$D$16,0),MATCH(O948,Settings!$E$4:$H$4,0)),"Check"))</f>
        <v/>
      </c>
      <c r="W948">
        <f>IF(V948="","",IF(V948="No","Yes","No"))</f>
        <v/>
      </c>
      <c r="X948">
        <f>IF(OR(E948="",G948=""),"",IF(LOWER(IF(RIGHT(TRIM(E948),1)="/",LEFT(TRIM(E948),LEN(TRIM(E948))-1),TRIM(E948)))&lt;&gt;LOWER(IF(RIGHT(TRIM(G948),1)="/",LEFT(TRIM(G948),LEN(TRIM(G948))-1),TRIM(G948))),"Yes","No"))</f>
        <v/>
      </c>
      <c r="Y948">
        <f>IF(A948="","",(N(Q948)&gt;0)+(T948="Yes")+(U948="Yes")+(W948="Yes")+(X948="Yes"))</f>
        <v/>
      </c>
      <c r="Z948">
        <f>IF(A948="","",IF(G948="","Not mapped",IF(Y948=0,"OK",MID(IF(N(Q948)&gt;0,"; Cannibalisation","")&amp;IF(T948="Yes","; Too many primary keywords on URL","")&amp;IF(U948="Yes","; URL spans 2+ clusters","")&amp;IF(W948="Yes","; Intent mismatch","")&amp;IF(X948="Yes","; Ranking URL is not the target",""),3,300))))</f>
        <v/>
      </c>
      <c r="AA948">
        <f>IF(G948="","",IF(COUNTIF($G$3:G948,SUBSTITUTE(SUBSTITUTE(G948,"?","~?"),"*","~*"))=1,MAX($AA$2:AA947)+1,""))</f>
        <v/>
      </c>
      <c r="AB948">
        <f>IF(B948="","",IF(COUNTIF($B$3:B948,SUBSTITUTE(SUBSTITUTE(B948,"?","~?"),"*","~*"))=1,MAX($AB$2:AB947)+1,""))</f>
        <v/>
      </c>
    </row>
    <row r="949">
      <c r="M949">
        <f>IF(A949="","",LOWER(TRIM(SUBSTITUTE(SUBSTITUTE(A949,"?",""),"*",""))))</f>
        <v/>
      </c>
      <c r="N949">
        <f>IF(M949="","",IF(SUMPRODUCT(ISNUMBER(SEARCH(" "&amp;Settings!$L$5:$L$124&amp;" "," "&amp;M949&amp;" "))*(Settings!$K$5:$K$124="Navigational")*(Settings!$L$5:$L$124&lt;&gt;""))&gt;0,"Navigational",IF(SUMPRODUCT(ISNUMBER(SEARCH(" "&amp;Settings!$L$5:$L$124&amp;" "," "&amp;M949&amp;" "))*(Settings!$K$5:$K$124="Transactional")*(Settings!$L$5:$L$124&lt;&gt;""))&gt;0,"Transactional",IF(SUMPRODUCT(ISNUMBER(SEARCH(" "&amp;Settings!$L$5:$L$124&amp;" "," "&amp;M949&amp;" "))*(Settings!$K$5:$K$124="Commercial")*(Settings!$L$5:$L$124&lt;&gt;""))&gt;0,"Commercial",IF(SUMPRODUCT(ISNUMBER(SEARCH(" "&amp;Settings!$L$5:$L$124&amp;" "," "&amp;M949&amp;" "))*(Settings!$K$5:$K$124="Informational")*(Settings!$L$5:$L$124&lt;&gt;""))&gt;0,"Informational","Unclassified")))))</f>
        <v/>
      </c>
      <c r="O949">
        <f>IF(A949="","",IF(K949&lt;&gt;"",PROPER(K949),N949))</f>
        <v/>
      </c>
      <c r="P949">
        <f>IF(A949="","",ROUND(Settings!$B$5*MIN(1,LOG10(N(C949)+1)/LOG10(Settings!$B$7+1))+Settings!$B$6*(1-MIN(100,IF(D949="",50,N(D949)))/100)+IFERROR(INDEX(Settings!$B$10:$B$14,MATCH(O949,Settings!$A$10:$A$14,0)),0),0))</f>
        <v/>
      </c>
      <c r="Q949">
        <f>IF(OR(A949="",G949=""),"",COUNTIFS($M$3:$M$1002,M949,$G$3:$G$1002,"&lt;&gt;"&amp;SUBSTITUTE(SUBSTITUTE(G949,"?","~?"),"*","~*"),$G$3:$G$1002,"?*"))</f>
        <v/>
      </c>
      <c r="R949">
        <f>IF(Q949="","",IF(Q949&gt;0,"Yes","No"))</f>
        <v/>
      </c>
      <c r="S949">
        <f>IF(G949="","",COUNTIFS($G$3:$G$1002,SUBSTITUTE(SUBSTITUTE(G949,"?","~?"),"*","~*"),$J$3:$J$1002,"Primary"))</f>
        <v/>
      </c>
      <c r="T949">
        <f>IF(S949="","",IF(S949&gt;Settings!$B$4,"Yes","No"))</f>
        <v/>
      </c>
      <c r="U949">
        <f>IF(OR(G949="",B949=""),"",IF(COUNTIFS($G$3:$G$1002,SUBSTITUTE(SUBSTITUTE(G949,"?","~?"),"*","~*"),$B$3:$B$1002,"&lt;&gt;"&amp;SUBSTITUTE(SUBSTITUTE(B949,"?","~?"),"*","~*"),$B$3:$B$1002,"?*")&gt;0,"Yes","No"))</f>
        <v/>
      </c>
      <c r="V949">
        <f>IF(OR(G949="",I949="",O949="",O949="Unclassified"),"",IFERROR(INDEX(Settings!$E$5:$H$16,MATCH(I949,Settings!$D$5:$D$16,0),MATCH(O949,Settings!$E$4:$H$4,0)),"Check"))</f>
        <v/>
      </c>
      <c r="W949">
        <f>IF(V949="","",IF(V949="No","Yes","No"))</f>
        <v/>
      </c>
      <c r="X949">
        <f>IF(OR(E949="",G949=""),"",IF(LOWER(IF(RIGHT(TRIM(E949),1)="/",LEFT(TRIM(E949),LEN(TRIM(E949))-1),TRIM(E949)))&lt;&gt;LOWER(IF(RIGHT(TRIM(G949),1)="/",LEFT(TRIM(G949),LEN(TRIM(G949))-1),TRIM(G949))),"Yes","No"))</f>
        <v/>
      </c>
      <c r="Y949">
        <f>IF(A949="","",(N(Q949)&gt;0)+(T949="Yes")+(U949="Yes")+(W949="Yes")+(X949="Yes"))</f>
        <v/>
      </c>
      <c r="Z949">
        <f>IF(A949="","",IF(G949="","Not mapped",IF(Y949=0,"OK",MID(IF(N(Q949)&gt;0,"; Cannibalisation","")&amp;IF(T949="Yes","; Too many primary keywords on URL","")&amp;IF(U949="Yes","; URL spans 2+ clusters","")&amp;IF(W949="Yes","; Intent mismatch","")&amp;IF(X949="Yes","; Ranking URL is not the target",""),3,300))))</f>
        <v/>
      </c>
      <c r="AA949">
        <f>IF(G949="","",IF(COUNTIF($G$3:G949,SUBSTITUTE(SUBSTITUTE(G949,"?","~?"),"*","~*"))=1,MAX($AA$2:AA948)+1,""))</f>
        <v/>
      </c>
      <c r="AB949">
        <f>IF(B949="","",IF(COUNTIF($B$3:B949,SUBSTITUTE(SUBSTITUTE(B949,"?","~?"),"*","~*"))=1,MAX($AB$2:AB948)+1,""))</f>
        <v/>
      </c>
    </row>
    <row r="950">
      <c r="M950">
        <f>IF(A950="","",LOWER(TRIM(SUBSTITUTE(SUBSTITUTE(A950,"?",""),"*",""))))</f>
        <v/>
      </c>
      <c r="N950">
        <f>IF(M950="","",IF(SUMPRODUCT(ISNUMBER(SEARCH(" "&amp;Settings!$L$5:$L$124&amp;" "," "&amp;M950&amp;" "))*(Settings!$K$5:$K$124="Navigational")*(Settings!$L$5:$L$124&lt;&gt;""))&gt;0,"Navigational",IF(SUMPRODUCT(ISNUMBER(SEARCH(" "&amp;Settings!$L$5:$L$124&amp;" "," "&amp;M950&amp;" "))*(Settings!$K$5:$K$124="Transactional")*(Settings!$L$5:$L$124&lt;&gt;""))&gt;0,"Transactional",IF(SUMPRODUCT(ISNUMBER(SEARCH(" "&amp;Settings!$L$5:$L$124&amp;" "," "&amp;M950&amp;" "))*(Settings!$K$5:$K$124="Commercial")*(Settings!$L$5:$L$124&lt;&gt;""))&gt;0,"Commercial",IF(SUMPRODUCT(ISNUMBER(SEARCH(" "&amp;Settings!$L$5:$L$124&amp;" "," "&amp;M950&amp;" "))*(Settings!$K$5:$K$124="Informational")*(Settings!$L$5:$L$124&lt;&gt;""))&gt;0,"Informational","Unclassified")))))</f>
        <v/>
      </c>
      <c r="O950">
        <f>IF(A950="","",IF(K950&lt;&gt;"",PROPER(K950),N950))</f>
        <v/>
      </c>
      <c r="P950">
        <f>IF(A950="","",ROUND(Settings!$B$5*MIN(1,LOG10(N(C950)+1)/LOG10(Settings!$B$7+1))+Settings!$B$6*(1-MIN(100,IF(D950="",50,N(D950)))/100)+IFERROR(INDEX(Settings!$B$10:$B$14,MATCH(O950,Settings!$A$10:$A$14,0)),0),0))</f>
        <v/>
      </c>
      <c r="Q950">
        <f>IF(OR(A950="",G950=""),"",COUNTIFS($M$3:$M$1002,M950,$G$3:$G$1002,"&lt;&gt;"&amp;SUBSTITUTE(SUBSTITUTE(G950,"?","~?"),"*","~*"),$G$3:$G$1002,"?*"))</f>
        <v/>
      </c>
      <c r="R950">
        <f>IF(Q950="","",IF(Q950&gt;0,"Yes","No"))</f>
        <v/>
      </c>
      <c r="S950">
        <f>IF(G950="","",COUNTIFS($G$3:$G$1002,SUBSTITUTE(SUBSTITUTE(G950,"?","~?"),"*","~*"),$J$3:$J$1002,"Primary"))</f>
        <v/>
      </c>
      <c r="T950">
        <f>IF(S950="","",IF(S950&gt;Settings!$B$4,"Yes","No"))</f>
        <v/>
      </c>
      <c r="U950">
        <f>IF(OR(G950="",B950=""),"",IF(COUNTIFS($G$3:$G$1002,SUBSTITUTE(SUBSTITUTE(G950,"?","~?"),"*","~*"),$B$3:$B$1002,"&lt;&gt;"&amp;SUBSTITUTE(SUBSTITUTE(B950,"?","~?"),"*","~*"),$B$3:$B$1002,"?*")&gt;0,"Yes","No"))</f>
        <v/>
      </c>
      <c r="V950">
        <f>IF(OR(G950="",I950="",O950="",O950="Unclassified"),"",IFERROR(INDEX(Settings!$E$5:$H$16,MATCH(I950,Settings!$D$5:$D$16,0),MATCH(O950,Settings!$E$4:$H$4,0)),"Check"))</f>
        <v/>
      </c>
      <c r="W950">
        <f>IF(V950="","",IF(V950="No","Yes","No"))</f>
        <v/>
      </c>
      <c r="X950">
        <f>IF(OR(E950="",G950=""),"",IF(LOWER(IF(RIGHT(TRIM(E950),1)="/",LEFT(TRIM(E950),LEN(TRIM(E950))-1),TRIM(E950)))&lt;&gt;LOWER(IF(RIGHT(TRIM(G950),1)="/",LEFT(TRIM(G950),LEN(TRIM(G950))-1),TRIM(G950))),"Yes","No"))</f>
        <v/>
      </c>
      <c r="Y950">
        <f>IF(A950="","",(N(Q950)&gt;0)+(T950="Yes")+(U950="Yes")+(W950="Yes")+(X950="Yes"))</f>
        <v/>
      </c>
      <c r="Z950">
        <f>IF(A950="","",IF(G950="","Not mapped",IF(Y950=0,"OK",MID(IF(N(Q950)&gt;0,"; Cannibalisation","")&amp;IF(T950="Yes","; Too many primary keywords on URL","")&amp;IF(U950="Yes","; URL spans 2+ clusters","")&amp;IF(W950="Yes","; Intent mismatch","")&amp;IF(X950="Yes","; Ranking URL is not the target",""),3,300))))</f>
        <v/>
      </c>
      <c r="AA950">
        <f>IF(G950="","",IF(COUNTIF($G$3:G950,SUBSTITUTE(SUBSTITUTE(G950,"?","~?"),"*","~*"))=1,MAX($AA$2:AA949)+1,""))</f>
        <v/>
      </c>
      <c r="AB950">
        <f>IF(B950="","",IF(COUNTIF($B$3:B950,SUBSTITUTE(SUBSTITUTE(B950,"?","~?"),"*","~*"))=1,MAX($AB$2:AB949)+1,""))</f>
        <v/>
      </c>
    </row>
    <row r="951">
      <c r="M951">
        <f>IF(A951="","",LOWER(TRIM(SUBSTITUTE(SUBSTITUTE(A951,"?",""),"*",""))))</f>
        <v/>
      </c>
      <c r="N951">
        <f>IF(M951="","",IF(SUMPRODUCT(ISNUMBER(SEARCH(" "&amp;Settings!$L$5:$L$124&amp;" "," "&amp;M951&amp;" "))*(Settings!$K$5:$K$124="Navigational")*(Settings!$L$5:$L$124&lt;&gt;""))&gt;0,"Navigational",IF(SUMPRODUCT(ISNUMBER(SEARCH(" "&amp;Settings!$L$5:$L$124&amp;" "," "&amp;M951&amp;" "))*(Settings!$K$5:$K$124="Transactional")*(Settings!$L$5:$L$124&lt;&gt;""))&gt;0,"Transactional",IF(SUMPRODUCT(ISNUMBER(SEARCH(" "&amp;Settings!$L$5:$L$124&amp;" "," "&amp;M951&amp;" "))*(Settings!$K$5:$K$124="Commercial")*(Settings!$L$5:$L$124&lt;&gt;""))&gt;0,"Commercial",IF(SUMPRODUCT(ISNUMBER(SEARCH(" "&amp;Settings!$L$5:$L$124&amp;" "," "&amp;M951&amp;" "))*(Settings!$K$5:$K$124="Informational")*(Settings!$L$5:$L$124&lt;&gt;""))&gt;0,"Informational","Unclassified")))))</f>
        <v/>
      </c>
      <c r="O951">
        <f>IF(A951="","",IF(K951&lt;&gt;"",PROPER(K951),N951))</f>
        <v/>
      </c>
      <c r="P951">
        <f>IF(A951="","",ROUND(Settings!$B$5*MIN(1,LOG10(N(C951)+1)/LOG10(Settings!$B$7+1))+Settings!$B$6*(1-MIN(100,IF(D951="",50,N(D951)))/100)+IFERROR(INDEX(Settings!$B$10:$B$14,MATCH(O951,Settings!$A$10:$A$14,0)),0),0))</f>
        <v/>
      </c>
      <c r="Q951">
        <f>IF(OR(A951="",G951=""),"",COUNTIFS($M$3:$M$1002,M951,$G$3:$G$1002,"&lt;&gt;"&amp;SUBSTITUTE(SUBSTITUTE(G951,"?","~?"),"*","~*"),$G$3:$G$1002,"?*"))</f>
        <v/>
      </c>
      <c r="R951">
        <f>IF(Q951="","",IF(Q951&gt;0,"Yes","No"))</f>
        <v/>
      </c>
      <c r="S951">
        <f>IF(G951="","",COUNTIFS($G$3:$G$1002,SUBSTITUTE(SUBSTITUTE(G951,"?","~?"),"*","~*"),$J$3:$J$1002,"Primary"))</f>
        <v/>
      </c>
      <c r="T951">
        <f>IF(S951="","",IF(S951&gt;Settings!$B$4,"Yes","No"))</f>
        <v/>
      </c>
      <c r="U951">
        <f>IF(OR(G951="",B951=""),"",IF(COUNTIFS($G$3:$G$1002,SUBSTITUTE(SUBSTITUTE(G951,"?","~?"),"*","~*"),$B$3:$B$1002,"&lt;&gt;"&amp;SUBSTITUTE(SUBSTITUTE(B951,"?","~?"),"*","~*"),$B$3:$B$1002,"?*")&gt;0,"Yes","No"))</f>
        <v/>
      </c>
      <c r="V951">
        <f>IF(OR(G951="",I951="",O951="",O951="Unclassified"),"",IFERROR(INDEX(Settings!$E$5:$H$16,MATCH(I951,Settings!$D$5:$D$16,0),MATCH(O951,Settings!$E$4:$H$4,0)),"Check"))</f>
        <v/>
      </c>
      <c r="W951">
        <f>IF(V951="","",IF(V951="No","Yes","No"))</f>
        <v/>
      </c>
      <c r="X951">
        <f>IF(OR(E951="",G951=""),"",IF(LOWER(IF(RIGHT(TRIM(E951),1)="/",LEFT(TRIM(E951),LEN(TRIM(E951))-1),TRIM(E951)))&lt;&gt;LOWER(IF(RIGHT(TRIM(G951),1)="/",LEFT(TRIM(G951),LEN(TRIM(G951))-1),TRIM(G951))),"Yes","No"))</f>
        <v/>
      </c>
      <c r="Y951">
        <f>IF(A951="","",(N(Q951)&gt;0)+(T951="Yes")+(U951="Yes")+(W951="Yes")+(X951="Yes"))</f>
        <v/>
      </c>
      <c r="Z951">
        <f>IF(A951="","",IF(G951="","Not mapped",IF(Y951=0,"OK",MID(IF(N(Q951)&gt;0,"; Cannibalisation","")&amp;IF(T951="Yes","; Too many primary keywords on URL","")&amp;IF(U951="Yes","; URL spans 2+ clusters","")&amp;IF(W951="Yes","; Intent mismatch","")&amp;IF(X951="Yes","; Ranking URL is not the target",""),3,300))))</f>
        <v/>
      </c>
      <c r="AA951">
        <f>IF(G951="","",IF(COUNTIF($G$3:G951,SUBSTITUTE(SUBSTITUTE(G951,"?","~?"),"*","~*"))=1,MAX($AA$2:AA950)+1,""))</f>
        <v/>
      </c>
      <c r="AB951">
        <f>IF(B951="","",IF(COUNTIF($B$3:B951,SUBSTITUTE(SUBSTITUTE(B951,"?","~?"),"*","~*"))=1,MAX($AB$2:AB950)+1,""))</f>
        <v/>
      </c>
    </row>
    <row r="952">
      <c r="M952">
        <f>IF(A952="","",LOWER(TRIM(SUBSTITUTE(SUBSTITUTE(A952,"?",""),"*",""))))</f>
        <v/>
      </c>
      <c r="N952">
        <f>IF(M952="","",IF(SUMPRODUCT(ISNUMBER(SEARCH(" "&amp;Settings!$L$5:$L$124&amp;" "," "&amp;M952&amp;" "))*(Settings!$K$5:$K$124="Navigational")*(Settings!$L$5:$L$124&lt;&gt;""))&gt;0,"Navigational",IF(SUMPRODUCT(ISNUMBER(SEARCH(" "&amp;Settings!$L$5:$L$124&amp;" "," "&amp;M952&amp;" "))*(Settings!$K$5:$K$124="Transactional")*(Settings!$L$5:$L$124&lt;&gt;""))&gt;0,"Transactional",IF(SUMPRODUCT(ISNUMBER(SEARCH(" "&amp;Settings!$L$5:$L$124&amp;" "," "&amp;M952&amp;" "))*(Settings!$K$5:$K$124="Commercial")*(Settings!$L$5:$L$124&lt;&gt;""))&gt;0,"Commercial",IF(SUMPRODUCT(ISNUMBER(SEARCH(" "&amp;Settings!$L$5:$L$124&amp;" "," "&amp;M952&amp;" "))*(Settings!$K$5:$K$124="Informational")*(Settings!$L$5:$L$124&lt;&gt;""))&gt;0,"Informational","Unclassified")))))</f>
        <v/>
      </c>
      <c r="O952">
        <f>IF(A952="","",IF(K952&lt;&gt;"",PROPER(K952),N952))</f>
        <v/>
      </c>
      <c r="P952">
        <f>IF(A952="","",ROUND(Settings!$B$5*MIN(1,LOG10(N(C952)+1)/LOG10(Settings!$B$7+1))+Settings!$B$6*(1-MIN(100,IF(D952="",50,N(D952)))/100)+IFERROR(INDEX(Settings!$B$10:$B$14,MATCH(O952,Settings!$A$10:$A$14,0)),0),0))</f>
        <v/>
      </c>
      <c r="Q952">
        <f>IF(OR(A952="",G952=""),"",COUNTIFS($M$3:$M$1002,M952,$G$3:$G$1002,"&lt;&gt;"&amp;SUBSTITUTE(SUBSTITUTE(G952,"?","~?"),"*","~*"),$G$3:$G$1002,"?*"))</f>
        <v/>
      </c>
      <c r="R952">
        <f>IF(Q952="","",IF(Q952&gt;0,"Yes","No"))</f>
        <v/>
      </c>
      <c r="S952">
        <f>IF(G952="","",COUNTIFS($G$3:$G$1002,SUBSTITUTE(SUBSTITUTE(G952,"?","~?"),"*","~*"),$J$3:$J$1002,"Primary"))</f>
        <v/>
      </c>
      <c r="T952">
        <f>IF(S952="","",IF(S952&gt;Settings!$B$4,"Yes","No"))</f>
        <v/>
      </c>
      <c r="U952">
        <f>IF(OR(G952="",B952=""),"",IF(COUNTIFS($G$3:$G$1002,SUBSTITUTE(SUBSTITUTE(G952,"?","~?"),"*","~*"),$B$3:$B$1002,"&lt;&gt;"&amp;SUBSTITUTE(SUBSTITUTE(B952,"?","~?"),"*","~*"),$B$3:$B$1002,"?*")&gt;0,"Yes","No"))</f>
        <v/>
      </c>
      <c r="V952">
        <f>IF(OR(G952="",I952="",O952="",O952="Unclassified"),"",IFERROR(INDEX(Settings!$E$5:$H$16,MATCH(I952,Settings!$D$5:$D$16,0),MATCH(O952,Settings!$E$4:$H$4,0)),"Check"))</f>
        <v/>
      </c>
      <c r="W952">
        <f>IF(V952="","",IF(V952="No","Yes","No"))</f>
        <v/>
      </c>
      <c r="X952">
        <f>IF(OR(E952="",G952=""),"",IF(LOWER(IF(RIGHT(TRIM(E952),1)="/",LEFT(TRIM(E952),LEN(TRIM(E952))-1),TRIM(E952)))&lt;&gt;LOWER(IF(RIGHT(TRIM(G952),1)="/",LEFT(TRIM(G952),LEN(TRIM(G952))-1),TRIM(G952))),"Yes","No"))</f>
        <v/>
      </c>
      <c r="Y952">
        <f>IF(A952="","",(N(Q952)&gt;0)+(T952="Yes")+(U952="Yes")+(W952="Yes")+(X952="Yes"))</f>
        <v/>
      </c>
      <c r="Z952">
        <f>IF(A952="","",IF(G952="","Not mapped",IF(Y952=0,"OK",MID(IF(N(Q952)&gt;0,"; Cannibalisation","")&amp;IF(T952="Yes","; Too many primary keywords on URL","")&amp;IF(U952="Yes","; URL spans 2+ clusters","")&amp;IF(W952="Yes","; Intent mismatch","")&amp;IF(X952="Yes","; Ranking URL is not the target",""),3,300))))</f>
        <v/>
      </c>
      <c r="AA952">
        <f>IF(G952="","",IF(COUNTIF($G$3:G952,SUBSTITUTE(SUBSTITUTE(G952,"?","~?"),"*","~*"))=1,MAX($AA$2:AA951)+1,""))</f>
        <v/>
      </c>
      <c r="AB952">
        <f>IF(B952="","",IF(COUNTIF($B$3:B952,SUBSTITUTE(SUBSTITUTE(B952,"?","~?"),"*","~*"))=1,MAX($AB$2:AB951)+1,""))</f>
        <v/>
      </c>
    </row>
    <row r="953">
      <c r="M953">
        <f>IF(A953="","",LOWER(TRIM(SUBSTITUTE(SUBSTITUTE(A953,"?",""),"*",""))))</f>
        <v/>
      </c>
      <c r="N953">
        <f>IF(M953="","",IF(SUMPRODUCT(ISNUMBER(SEARCH(" "&amp;Settings!$L$5:$L$124&amp;" "," "&amp;M953&amp;" "))*(Settings!$K$5:$K$124="Navigational")*(Settings!$L$5:$L$124&lt;&gt;""))&gt;0,"Navigational",IF(SUMPRODUCT(ISNUMBER(SEARCH(" "&amp;Settings!$L$5:$L$124&amp;" "," "&amp;M953&amp;" "))*(Settings!$K$5:$K$124="Transactional")*(Settings!$L$5:$L$124&lt;&gt;""))&gt;0,"Transactional",IF(SUMPRODUCT(ISNUMBER(SEARCH(" "&amp;Settings!$L$5:$L$124&amp;" "," "&amp;M953&amp;" "))*(Settings!$K$5:$K$124="Commercial")*(Settings!$L$5:$L$124&lt;&gt;""))&gt;0,"Commercial",IF(SUMPRODUCT(ISNUMBER(SEARCH(" "&amp;Settings!$L$5:$L$124&amp;" "," "&amp;M953&amp;" "))*(Settings!$K$5:$K$124="Informational")*(Settings!$L$5:$L$124&lt;&gt;""))&gt;0,"Informational","Unclassified")))))</f>
        <v/>
      </c>
      <c r="O953">
        <f>IF(A953="","",IF(K953&lt;&gt;"",PROPER(K953),N953))</f>
        <v/>
      </c>
      <c r="P953">
        <f>IF(A953="","",ROUND(Settings!$B$5*MIN(1,LOG10(N(C953)+1)/LOG10(Settings!$B$7+1))+Settings!$B$6*(1-MIN(100,IF(D953="",50,N(D953)))/100)+IFERROR(INDEX(Settings!$B$10:$B$14,MATCH(O953,Settings!$A$10:$A$14,0)),0),0))</f>
        <v/>
      </c>
      <c r="Q953">
        <f>IF(OR(A953="",G953=""),"",COUNTIFS($M$3:$M$1002,M953,$G$3:$G$1002,"&lt;&gt;"&amp;SUBSTITUTE(SUBSTITUTE(G953,"?","~?"),"*","~*"),$G$3:$G$1002,"?*"))</f>
        <v/>
      </c>
      <c r="R953">
        <f>IF(Q953="","",IF(Q953&gt;0,"Yes","No"))</f>
        <v/>
      </c>
      <c r="S953">
        <f>IF(G953="","",COUNTIFS($G$3:$G$1002,SUBSTITUTE(SUBSTITUTE(G953,"?","~?"),"*","~*"),$J$3:$J$1002,"Primary"))</f>
        <v/>
      </c>
      <c r="T953">
        <f>IF(S953="","",IF(S953&gt;Settings!$B$4,"Yes","No"))</f>
        <v/>
      </c>
      <c r="U953">
        <f>IF(OR(G953="",B953=""),"",IF(COUNTIFS($G$3:$G$1002,SUBSTITUTE(SUBSTITUTE(G953,"?","~?"),"*","~*"),$B$3:$B$1002,"&lt;&gt;"&amp;SUBSTITUTE(SUBSTITUTE(B953,"?","~?"),"*","~*"),$B$3:$B$1002,"?*")&gt;0,"Yes","No"))</f>
        <v/>
      </c>
      <c r="V953">
        <f>IF(OR(G953="",I953="",O953="",O953="Unclassified"),"",IFERROR(INDEX(Settings!$E$5:$H$16,MATCH(I953,Settings!$D$5:$D$16,0),MATCH(O953,Settings!$E$4:$H$4,0)),"Check"))</f>
        <v/>
      </c>
      <c r="W953">
        <f>IF(V953="","",IF(V953="No","Yes","No"))</f>
        <v/>
      </c>
      <c r="X953">
        <f>IF(OR(E953="",G953=""),"",IF(LOWER(IF(RIGHT(TRIM(E953),1)="/",LEFT(TRIM(E953),LEN(TRIM(E953))-1),TRIM(E953)))&lt;&gt;LOWER(IF(RIGHT(TRIM(G953),1)="/",LEFT(TRIM(G953),LEN(TRIM(G953))-1),TRIM(G953))),"Yes","No"))</f>
        <v/>
      </c>
      <c r="Y953">
        <f>IF(A953="","",(N(Q953)&gt;0)+(T953="Yes")+(U953="Yes")+(W953="Yes")+(X953="Yes"))</f>
        <v/>
      </c>
      <c r="Z953">
        <f>IF(A953="","",IF(G953="","Not mapped",IF(Y953=0,"OK",MID(IF(N(Q953)&gt;0,"; Cannibalisation","")&amp;IF(T953="Yes","; Too many primary keywords on URL","")&amp;IF(U953="Yes","; URL spans 2+ clusters","")&amp;IF(W953="Yes","; Intent mismatch","")&amp;IF(X953="Yes","; Ranking URL is not the target",""),3,300))))</f>
        <v/>
      </c>
      <c r="AA953">
        <f>IF(G953="","",IF(COUNTIF($G$3:G953,SUBSTITUTE(SUBSTITUTE(G953,"?","~?"),"*","~*"))=1,MAX($AA$2:AA952)+1,""))</f>
        <v/>
      </c>
      <c r="AB953">
        <f>IF(B953="","",IF(COUNTIF($B$3:B953,SUBSTITUTE(SUBSTITUTE(B953,"?","~?"),"*","~*"))=1,MAX($AB$2:AB952)+1,""))</f>
        <v/>
      </c>
    </row>
    <row r="954">
      <c r="M954">
        <f>IF(A954="","",LOWER(TRIM(SUBSTITUTE(SUBSTITUTE(A954,"?",""),"*",""))))</f>
        <v/>
      </c>
      <c r="N954">
        <f>IF(M954="","",IF(SUMPRODUCT(ISNUMBER(SEARCH(" "&amp;Settings!$L$5:$L$124&amp;" "," "&amp;M954&amp;" "))*(Settings!$K$5:$K$124="Navigational")*(Settings!$L$5:$L$124&lt;&gt;""))&gt;0,"Navigational",IF(SUMPRODUCT(ISNUMBER(SEARCH(" "&amp;Settings!$L$5:$L$124&amp;" "," "&amp;M954&amp;" "))*(Settings!$K$5:$K$124="Transactional")*(Settings!$L$5:$L$124&lt;&gt;""))&gt;0,"Transactional",IF(SUMPRODUCT(ISNUMBER(SEARCH(" "&amp;Settings!$L$5:$L$124&amp;" "," "&amp;M954&amp;" "))*(Settings!$K$5:$K$124="Commercial")*(Settings!$L$5:$L$124&lt;&gt;""))&gt;0,"Commercial",IF(SUMPRODUCT(ISNUMBER(SEARCH(" "&amp;Settings!$L$5:$L$124&amp;" "," "&amp;M954&amp;" "))*(Settings!$K$5:$K$124="Informational")*(Settings!$L$5:$L$124&lt;&gt;""))&gt;0,"Informational","Unclassified")))))</f>
        <v/>
      </c>
      <c r="O954">
        <f>IF(A954="","",IF(K954&lt;&gt;"",PROPER(K954),N954))</f>
        <v/>
      </c>
      <c r="P954">
        <f>IF(A954="","",ROUND(Settings!$B$5*MIN(1,LOG10(N(C954)+1)/LOG10(Settings!$B$7+1))+Settings!$B$6*(1-MIN(100,IF(D954="",50,N(D954)))/100)+IFERROR(INDEX(Settings!$B$10:$B$14,MATCH(O954,Settings!$A$10:$A$14,0)),0),0))</f>
        <v/>
      </c>
      <c r="Q954">
        <f>IF(OR(A954="",G954=""),"",COUNTIFS($M$3:$M$1002,M954,$G$3:$G$1002,"&lt;&gt;"&amp;SUBSTITUTE(SUBSTITUTE(G954,"?","~?"),"*","~*"),$G$3:$G$1002,"?*"))</f>
        <v/>
      </c>
      <c r="R954">
        <f>IF(Q954="","",IF(Q954&gt;0,"Yes","No"))</f>
        <v/>
      </c>
      <c r="S954">
        <f>IF(G954="","",COUNTIFS($G$3:$G$1002,SUBSTITUTE(SUBSTITUTE(G954,"?","~?"),"*","~*"),$J$3:$J$1002,"Primary"))</f>
        <v/>
      </c>
      <c r="T954">
        <f>IF(S954="","",IF(S954&gt;Settings!$B$4,"Yes","No"))</f>
        <v/>
      </c>
      <c r="U954">
        <f>IF(OR(G954="",B954=""),"",IF(COUNTIFS($G$3:$G$1002,SUBSTITUTE(SUBSTITUTE(G954,"?","~?"),"*","~*"),$B$3:$B$1002,"&lt;&gt;"&amp;SUBSTITUTE(SUBSTITUTE(B954,"?","~?"),"*","~*"),$B$3:$B$1002,"?*")&gt;0,"Yes","No"))</f>
        <v/>
      </c>
      <c r="V954">
        <f>IF(OR(G954="",I954="",O954="",O954="Unclassified"),"",IFERROR(INDEX(Settings!$E$5:$H$16,MATCH(I954,Settings!$D$5:$D$16,0),MATCH(O954,Settings!$E$4:$H$4,0)),"Check"))</f>
        <v/>
      </c>
      <c r="W954">
        <f>IF(V954="","",IF(V954="No","Yes","No"))</f>
        <v/>
      </c>
      <c r="X954">
        <f>IF(OR(E954="",G954=""),"",IF(LOWER(IF(RIGHT(TRIM(E954),1)="/",LEFT(TRIM(E954),LEN(TRIM(E954))-1),TRIM(E954)))&lt;&gt;LOWER(IF(RIGHT(TRIM(G954),1)="/",LEFT(TRIM(G954),LEN(TRIM(G954))-1),TRIM(G954))),"Yes","No"))</f>
        <v/>
      </c>
      <c r="Y954">
        <f>IF(A954="","",(N(Q954)&gt;0)+(T954="Yes")+(U954="Yes")+(W954="Yes")+(X954="Yes"))</f>
        <v/>
      </c>
      <c r="Z954">
        <f>IF(A954="","",IF(G954="","Not mapped",IF(Y954=0,"OK",MID(IF(N(Q954)&gt;0,"; Cannibalisation","")&amp;IF(T954="Yes","; Too many primary keywords on URL","")&amp;IF(U954="Yes","; URL spans 2+ clusters","")&amp;IF(W954="Yes","; Intent mismatch","")&amp;IF(X954="Yes","; Ranking URL is not the target",""),3,300))))</f>
        <v/>
      </c>
      <c r="AA954">
        <f>IF(G954="","",IF(COUNTIF($G$3:G954,SUBSTITUTE(SUBSTITUTE(G954,"?","~?"),"*","~*"))=1,MAX($AA$2:AA953)+1,""))</f>
        <v/>
      </c>
      <c r="AB954">
        <f>IF(B954="","",IF(COUNTIF($B$3:B954,SUBSTITUTE(SUBSTITUTE(B954,"?","~?"),"*","~*"))=1,MAX($AB$2:AB953)+1,""))</f>
        <v/>
      </c>
    </row>
    <row r="955">
      <c r="M955">
        <f>IF(A955="","",LOWER(TRIM(SUBSTITUTE(SUBSTITUTE(A955,"?",""),"*",""))))</f>
        <v/>
      </c>
      <c r="N955">
        <f>IF(M955="","",IF(SUMPRODUCT(ISNUMBER(SEARCH(" "&amp;Settings!$L$5:$L$124&amp;" "," "&amp;M955&amp;" "))*(Settings!$K$5:$K$124="Navigational")*(Settings!$L$5:$L$124&lt;&gt;""))&gt;0,"Navigational",IF(SUMPRODUCT(ISNUMBER(SEARCH(" "&amp;Settings!$L$5:$L$124&amp;" "," "&amp;M955&amp;" "))*(Settings!$K$5:$K$124="Transactional")*(Settings!$L$5:$L$124&lt;&gt;""))&gt;0,"Transactional",IF(SUMPRODUCT(ISNUMBER(SEARCH(" "&amp;Settings!$L$5:$L$124&amp;" "," "&amp;M955&amp;" "))*(Settings!$K$5:$K$124="Commercial")*(Settings!$L$5:$L$124&lt;&gt;""))&gt;0,"Commercial",IF(SUMPRODUCT(ISNUMBER(SEARCH(" "&amp;Settings!$L$5:$L$124&amp;" "," "&amp;M955&amp;" "))*(Settings!$K$5:$K$124="Informational")*(Settings!$L$5:$L$124&lt;&gt;""))&gt;0,"Informational","Unclassified")))))</f>
        <v/>
      </c>
      <c r="O955">
        <f>IF(A955="","",IF(K955&lt;&gt;"",PROPER(K955),N955))</f>
        <v/>
      </c>
      <c r="P955">
        <f>IF(A955="","",ROUND(Settings!$B$5*MIN(1,LOG10(N(C955)+1)/LOG10(Settings!$B$7+1))+Settings!$B$6*(1-MIN(100,IF(D955="",50,N(D955)))/100)+IFERROR(INDEX(Settings!$B$10:$B$14,MATCH(O955,Settings!$A$10:$A$14,0)),0),0))</f>
        <v/>
      </c>
      <c r="Q955">
        <f>IF(OR(A955="",G955=""),"",COUNTIFS($M$3:$M$1002,M955,$G$3:$G$1002,"&lt;&gt;"&amp;SUBSTITUTE(SUBSTITUTE(G955,"?","~?"),"*","~*"),$G$3:$G$1002,"?*"))</f>
        <v/>
      </c>
      <c r="R955">
        <f>IF(Q955="","",IF(Q955&gt;0,"Yes","No"))</f>
        <v/>
      </c>
      <c r="S955">
        <f>IF(G955="","",COUNTIFS($G$3:$G$1002,SUBSTITUTE(SUBSTITUTE(G955,"?","~?"),"*","~*"),$J$3:$J$1002,"Primary"))</f>
        <v/>
      </c>
      <c r="T955">
        <f>IF(S955="","",IF(S955&gt;Settings!$B$4,"Yes","No"))</f>
        <v/>
      </c>
      <c r="U955">
        <f>IF(OR(G955="",B955=""),"",IF(COUNTIFS($G$3:$G$1002,SUBSTITUTE(SUBSTITUTE(G955,"?","~?"),"*","~*"),$B$3:$B$1002,"&lt;&gt;"&amp;SUBSTITUTE(SUBSTITUTE(B955,"?","~?"),"*","~*"),$B$3:$B$1002,"?*")&gt;0,"Yes","No"))</f>
        <v/>
      </c>
      <c r="V955">
        <f>IF(OR(G955="",I955="",O955="",O955="Unclassified"),"",IFERROR(INDEX(Settings!$E$5:$H$16,MATCH(I955,Settings!$D$5:$D$16,0),MATCH(O955,Settings!$E$4:$H$4,0)),"Check"))</f>
        <v/>
      </c>
      <c r="W955">
        <f>IF(V955="","",IF(V955="No","Yes","No"))</f>
        <v/>
      </c>
      <c r="X955">
        <f>IF(OR(E955="",G955=""),"",IF(LOWER(IF(RIGHT(TRIM(E955),1)="/",LEFT(TRIM(E955),LEN(TRIM(E955))-1),TRIM(E955)))&lt;&gt;LOWER(IF(RIGHT(TRIM(G955),1)="/",LEFT(TRIM(G955),LEN(TRIM(G955))-1),TRIM(G955))),"Yes","No"))</f>
        <v/>
      </c>
      <c r="Y955">
        <f>IF(A955="","",(N(Q955)&gt;0)+(T955="Yes")+(U955="Yes")+(W955="Yes")+(X955="Yes"))</f>
        <v/>
      </c>
      <c r="Z955">
        <f>IF(A955="","",IF(G955="","Not mapped",IF(Y955=0,"OK",MID(IF(N(Q955)&gt;0,"; Cannibalisation","")&amp;IF(T955="Yes","; Too many primary keywords on URL","")&amp;IF(U955="Yes","; URL spans 2+ clusters","")&amp;IF(W955="Yes","; Intent mismatch","")&amp;IF(X955="Yes","; Ranking URL is not the target",""),3,300))))</f>
        <v/>
      </c>
      <c r="AA955">
        <f>IF(G955="","",IF(COUNTIF($G$3:G955,SUBSTITUTE(SUBSTITUTE(G955,"?","~?"),"*","~*"))=1,MAX($AA$2:AA954)+1,""))</f>
        <v/>
      </c>
      <c r="AB955">
        <f>IF(B955="","",IF(COUNTIF($B$3:B955,SUBSTITUTE(SUBSTITUTE(B955,"?","~?"),"*","~*"))=1,MAX($AB$2:AB954)+1,""))</f>
        <v/>
      </c>
    </row>
    <row r="956">
      <c r="M956">
        <f>IF(A956="","",LOWER(TRIM(SUBSTITUTE(SUBSTITUTE(A956,"?",""),"*",""))))</f>
        <v/>
      </c>
      <c r="N956">
        <f>IF(M956="","",IF(SUMPRODUCT(ISNUMBER(SEARCH(" "&amp;Settings!$L$5:$L$124&amp;" "," "&amp;M956&amp;" "))*(Settings!$K$5:$K$124="Navigational")*(Settings!$L$5:$L$124&lt;&gt;""))&gt;0,"Navigational",IF(SUMPRODUCT(ISNUMBER(SEARCH(" "&amp;Settings!$L$5:$L$124&amp;" "," "&amp;M956&amp;" "))*(Settings!$K$5:$K$124="Transactional")*(Settings!$L$5:$L$124&lt;&gt;""))&gt;0,"Transactional",IF(SUMPRODUCT(ISNUMBER(SEARCH(" "&amp;Settings!$L$5:$L$124&amp;" "," "&amp;M956&amp;" "))*(Settings!$K$5:$K$124="Commercial")*(Settings!$L$5:$L$124&lt;&gt;""))&gt;0,"Commercial",IF(SUMPRODUCT(ISNUMBER(SEARCH(" "&amp;Settings!$L$5:$L$124&amp;" "," "&amp;M956&amp;" "))*(Settings!$K$5:$K$124="Informational")*(Settings!$L$5:$L$124&lt;&gt;""))&gt;0,"Informational","Unclassified")))))</f>
        <v/>
      </c>
      <c r="O956">
        <f>IF(A956="","",IF(K956&lt;&gt;"",PROPER(K956),N956))</f>
        <v/>
      </c>
      <c r="P956">
        <f>IF(A956="","",ROUND(Settings!$B$5*MIN(1,LOG10(N(C956)+1)/LOG10(Settings!$B$7+1))+Settings!$B$6*(1-MIN(100,IF(D956="",50,N(D956)))/100)+IFERROR(INDEX(Settings!$B$10:$B$14,MATCH(O956,Settings!$A$10:$A$14,0)),0),0))</f>
        <v/>
      </c>
      <c r="Q956">
        <f>IF(OR(A956="",G956=""),"",COUNTIFS($M$3:$M$1002,M956,$G$3:$G$1002,"&lt;&gt;"&amp;SUBSTITUTE(SUBSTITUTE(G956,"?","~?"),"*","~*"),$G$3:$G$1002,"?*"))</f>
        <v/>
      </c>
      <c r="R956">
        <f>IF(Q956="","",IF(Q956&gt;0,"Yes","No"))</f>
        <v/>
      </c>
      <c r="S956">
        <f>IF(G956="","",COUNTIFS($G$3:$G$1002,SUBSTITUTE(SUBSTITUTE(G956,"?","~?"),"*","~*"),$J$3:$J$1002,"Primary"))</f>
        <v/>
      </c>
      <c r="T956">
        <f>IF(S956="","",IF(S956&gt;Settings!$B$4,"Yes","No"))</f>
        <v/>
      </c>
      <c r="U956">
        <f>IF(OR(G956="",B956=""),"",IF(COUNTIFS($G$3:$G$1002,SUBSTITUTE(SUBSTITUTE(G956,"?","~?"),"*","~*"),$B$3:$B$1002,"&lt;&gt;"&amp;SUBSTITUTE(SUBSTITUTE(B956,"?","~?"),"*","~*"),$B$3:$B$1002,"?*")&gt;0,"Yes","No"))</f>
        <v/>
      </c>
      <c r="V956">
        <f>IF(OR(G956="",I956="",O956="",O956="Unclassified"),"",IFERROR(INDEX(Settings!$E$5:$H$16,MATCH(I956,Settings!$D$5:$D$16,0),MATCH(O956,Settings!$E$4:$H$4,0)),"Check"))</f>
        <v/>
      </c>
      <c r="W956">
        <f>IF(V956="","",IF(V956="No","Yes","No"))</f>
        <v/>
      </c>
      <c r="X956">
        <f>IF(OR(E956="",G956=""),"",IF(LOWER(IF(RIGHT(TRIM(E956),1)="/",LEFT(TRIM(E956),LEN(TRIM(E956))-1),TRIM(E956)))&lt;&gt;LOWER(IF(RIGHT(TRIM(G956),1)="/",LEFT(TRIM(G956),LEN(TRIM(G956))-1),TRIM(G956))),"Yes","No"))</f>
        <v/>
      </c>
      <c r="Y956">
        <f>IF(A956="","",(N(Q956)&gt;0)+(T956="Yes")+(U956="Yes")+(W956="Yes")+(X956="Yes"))</f>
        <v/>
      </c>
      <c r="Z956">
        <f>IF(A956="","",IF(G956="","Not mapped",IF(Y956=0,"OK",MID(IF(N(Q956)&gt;0,"; Cannibalisation","")&amp;IF(T956="Yes","; Too many primary keywords on URL","")&amp;IF(U956="Yes","; URL spans 2+ clusters","")&amp;IF(W956="Yes","; Intent mismatch","")&amp;IF(X956="Yes","; Ranking URL is not the target",""),3,300))))</f>
        <v/>
      </c>
      <c r="AA956">
        <f>IF(G956="","",IF(COUNTIF($G$3:G956,SUBSTITUTE(SUBSTITUTE(G956,"?","~?"),"*","~*"))=1,MAX($AA$2:AA955)+1,""))</f>
        <v/>
      </c>
      <c r="AB956">
        <f>IF(B956="","",IF(COUNTIF($B$3:B956,SUBSTITUTE(SUBSTITUTE(B956,"?","~?"),"*","~*"))=1,MAX($AB$2:AB955)+1,""))</f>
        <v/>
      </c>
    </row>
    <row r="957">
      <c r="M957">
        <f>IF(A957="","",LOWER(TRIM(SUBSTITUTE(SUBSTITUTE(A957,"?",""),"*",""))))</f>
        <v/>
      </c>
      <c r="N957">
        <f>IF(M957="","",IF(SUMPRODUCT(ISNUMBER(SEARCH(" "&amp;Settings!$L$5:$L$124&amp;" "," "&amp;M957&amp;" "))*(Settings!$K$5:$K$124="Navigational")*(Settings!$L$5:$L$124&lt;&gt;""))&gt;0,"Navigational",IF(SUMPRODUCT(ISNUMBER(SEARCH(" "&amp;Settings!$L$5:$L$124&amp;" "," "&amp;M957&amp;" "))*(Settings!$K$5:$K$124="Transactional")*(Settings!$L$5:$L$124&lt;&gt;""))&gt;0,"Transactional",IF(SUMPRODUCT(ISNUMBER(SEARCH(" "&amp;Settings!$L$5:$L$124&amp;" "," "&amp;M957&amp;" "))*(Settings!$K$5:$K$124="Commercial")*(Settings!$L$5:$L$124&lt;&gt;""))&gt;0,"Commercial",IF(SUMPRODUCT(ISNUMBER(SEARCH(" "&amp;Settings!$L$5:$L$124&amp;" "," "&amp;M957&amp;" "))*(Settings!$K$5:$K$124="Informational")*(Settings!$L$5:$L$124&lt;&gt;""))&gt;0,"Informational","Unclassified")))))</f>
        <v/>
      </c>
      <c r="O957">
        <f>IF(A957="","",IF(K957&lt;&gt;"",PROPER(K957),N957))</f>
        <v/>
      </c>
      <c r="P957">
        <f>IF(A957="","",ROUND(Settings!$B$5*MIN(1,LOG10(N(C957)+1)/LOG10(Settings!$B$7+1))+Settings!$B$6*(1-MIN(100,IF(D957="",50,N(D957)))/100)+IFERROR(INDEX(Settings!$B$10:$B$14,MATCH(O957,Settings!$A$10:$A$14,0)),0),0))</f>
        <v/>
      </c>
      <c r="Q957">
        <f>IF(OR(A957="",G957=""),"",COUNTIFS($M$3:$M$1002,M957,$G$3:$G$1002,"&lt;&gt;"&amp;SUBSTITUTE(SUBSTITUTE(G957,"?","~?"),"*","~*"),$G$3:$G$1002,"?*"))</f>
        <v/>
      </c>
      <c r="R957">
        <f>IF(Q957="","",IF(Q957&gt;0,"Yes","No"))</f>
        <v/>
      </c>
      <c r="S957">
        <f>IF(G957="","",COUNTIFS($G$3:$G$1002,SUBSTITUTE(SUBSTITUTE(G957,"?","~?"),"*","~*"),$J$3:$J$1002,"Primary"))</f>
        <v/>
      </c>
      <c r="T957">
        <f>IF(S957="","",IF(S957&gt;Settings!$B$4,"Yes","No"))</f>
        <v/>
      </c>
      <c r="U957">
        <f>IF(OR(G957="",B957=""),"",IF(COUNTIFS($G$3:$G$1002,SUBSTITUTE(SUBSTITUTE(G957,"?","~?"),"*","~*"),$B$3:$B$1002,"&lt;&gt;"&amp;SUBSTITUTE(SUBSTITUTE(B957,"?","~?"),"*","~*"),$B$3:$B$1002,"?*")&gt;0,"Yes","No"))</f>
        <v/>
      </c>
      <c r="V957">
        <f>IF(OR(G957="",I957="",O957="",O957="Unclassified"),"",IFERROR(INDEX(Settings!$E$5:$H$16,MATCH(I957,Settings!$D$5:$D$16,0),MATCH(O957,Settings!$E$4:$H$4,0)),"Check"))</f>
        <v/>
      </c>
      <c r="W957">
        <f>IF(V957="","",IF(V957="No","Yes","No"))</f>
        <v/>
      </c>
      <c r="X957">
        <f>IF(OR(E957="",G957=""),"",IF(LOWER(IF(RIGHT(TRIM(E957),1)="/",LEFT(TRIM(E957),LEN(TRIM(E957))-1),TRIM(E957)))&lt;&gt;LOWER(IF(RIGHT(TRIM(G957),1)="/",LEFT(TRIM(G957),LEN(TRIM(G957))-1),TRIM(G957))),"Yes","No"))</f>
        <v/>
      </c>
      <c r="Y957">
        <f>IF(A957="","",(N(Q957)&gt;0)+(T957="Yes")+(U957="Yes")+(W957="Yes")+(X957="Yes"))</f>
        <v/>
      </c>
      <c r="Z957">
        <f>IF(A957="","",IF(G957="","Not mapped",IF(Y957=0,"OK",MID(IF(N(Q957)&gt;0,"; Cannibalisation","")&amp;IF(T957="Yes","; Too many primary keywords on URL","")&amp;IF(U957="Yes","; URL spans 2+ clusters","")&amp;IF(W957="Yes","; Intent mismatch","")&amp;IF(X957="Yes","; Ranking URL is not the target",""),3,300))))</f>
        <v/>
      </c>
      <c r="AA957">
        <f>IF(G957="","",IF(COUNTIF($G$3:G957,SUBSTITUTE(SUBSTITUTE(G957,"?","~?"),"*","~*"))=1,MAX($AA$2:AA956)+1,""))</f>
        <v/>
      </c>
      <c r="AB957">
        <f>IF(B957="","",IF(COUNTIF($B$3:B957,SUBSTITUTE(SUBSTITUTE(B957,"?","~?"),"*","~*"))=1,MAX($AB$2:AB956)+1,""))</f>
        <v/>
      </c>
    </row>
    <row r="958">
      <c r="M958">
        <f>IF(A958="","",LOWER(TRIM(SUBSTITUTE(SUBSTITUTE(A958,"?",""),"*",""))))</f>
        <v/>
      </c>
      <c r="N958">
        <f>IF(M958="","",IF(SUMPRODUCT(ISNUMBER(SEARCH(" "&amp;Settings!$L$5:$L$124&amp;" "," "&amp;M958&amp;" "))*(Settings!$K$5:$K$124="Navigational")*(Settings!$L$5:$L$124&lt;&gt;""))&gt;0,"Navigational",IF(SUMPRODUCT(ISNUMBER(SEARCH(" "&amp;Settings!$L$5:$L$124&amp;" "," "&amp;M958&amp;" "))*(Settings!$K$5:$K$124="Transactional")*(Settings!$L$5:$L$124&lt;&gt;""))&gt;0,"Transactional",IF(SUMPRODUCT(ISNUMBER(SEARCH(" "&amp;Settings!$L$5:$L$124&amp;" "," "&amp;M958&amp;" "))*(Settings!$K$5:$K$124="Commercial")*(Settings!$L$5:$L$124&lt;&gt;""))&gt;0,"Commercial",IF(SUMPRODUCT(ISNUMBER(SEARCH(" "&amp;Settings!$L$5:$L$124&amp;" "," "&amp;M958&amp;" "))*(Settings!$K$5:$K$124="Informational")*(Settings!$L$5:$L$124&lt;&gt;""))&gt;0,"Informational","Unclassified")))))</f>
        <v/>
      </c>
      <c r="O958">
        <f>IF(A958="","",IF(K958&lt;&gt;"",PROPER(K958),N958))</f>
        <v/>
      </c>
      <c r="P958">
        <f>IF(A958="","",ROUND(Settings!$B$5*MIN(1,LOG10(N(C958)+1)/LOG10(Settings!$B$7+1))+Settings!$B$6*(1-MIN(100,IF(D958="",50,N(D958)))/100)+IFERROR(INDEX(Settings!$B$10:$B$14,MATCH(O958,Settings!$A$10:$A$14,0)),0),0))</f>
        <v/>
      </c>
      <c r="Q958">
        <f>IF(OR(A958="",G958=""),"",COUNTIFS($M$3:$M$1002,M958,$G$3:$G$1002,"&lt;&gt;"&amp;SUBSTITUTE(SUBSTITUTE(G958,"?","~?"),"*","~*"),$G$3:$G$1002,"?*"))</f>
        <v/>
      </c>
      <c r="R958">
        <f>IF(Q958="","",IF(Q958&gt;0,"Yes","No"))</f>
        <v/>
      </c>
      <c r="S958">
        <f>IF(G958="","",COUNTIFS($G$3:$G$1002,SUBSTITUTE(SUBSTITUTE(G958,"?","~?"),"*","~*"),$J$3:$J$1002,"Primary"))</f>
        <v/>
      </c>
      <c r="T958">
        <f>IF(S958="","",IF(S958&gt;Settings!$B$4,"Yes","No"))</f>
        <v/>
      </c>
      <c r="U958">
        <f>IF(OR(G958="",B958=""),"",IF(COUNTIFS($G$3:$G$1002,SUBSTITUTE(SUBSTITUTE(G958,"?","~?"),"*","~*"),$B$3:$B$1002,"&lt;&gt;"&amp;SUBSTITUTE(SUBSTITUTE(B958,"?","~?"),"*","~*"),$B$3:$B$1002,"?*")&gt;0,"Yes","No"))</f>
        <v/>
      </c>
      <c r="V958">
        <f>IF(OR(G958="",I958="",O958="",O958="Unclassified"),"",IFERROR(INDEX(Settings!$E$5:$H$16,MATCH(I958,Settings!$D$5:$D$16,0),MATCH(O958,Settings!$E$4:$H$4,0)),"Check"))</f>
        <v/>
      </c>
      <c r="W958">
        <f>IF(V958="","",IF(V958="No","Yes","No"))</f>
        <v/>
      </c>
      <c r="X958">
        <f>IF(OR(E958="",G958=""),"",IF(LOWER(IF(RIGHT(TRIM(E958),1)="/",LEFT(TRIM(E958),LEN(TRIM(E958))-1),TRIM(E958)))&lt;&gt;LOWER(IF(RIGHT(TRIM(G958),1)="/",LEFT(TRIM(G958),LEN(TRIM(G958))-1),TRIM(G958))),"Yes","No"))</f>
        <v/>
      </c>
      <c r="Y958">
        <f>IF(A958="","",(N(Q958)&gt;0)+(T958="Yes")+(U958="Yes")+(W958="Yes")+(X958="Yes"))</f>
        <v/>
      </c>
      <c r="Z958">
        <f>IF(A958="","",IF(G958="","Not mapped",IF(Y958=0,"OK",MID(IF(N(Q958)&gt;0,"; Cannibalisation","")&amp;IF(T958="Yes","; Too many primary keywords on URL","")&amp;IF(U958="Yes","; URL spans 2+ clusters","")&amp;IF(W958="Yes","; Intent mismatch","")&amp;IF(X958="Yes","; Ranking URL is not the target",""),3,300))))</f>
        <v/>
      </c>
      <c r="AA958">
        <f>IF(G958="","",IF(COUNTIF($G$3:G958,SUBSTITUTE(SUBSTITUTE(G958,"?","~?"),"*","~*"))=1,MAX($AA$2:AA957)+1,""))</f>
        <v/>
      </c>
      <c r="AB958">
        <f>IF(B958="","",IF(COUNTIF($B$3:B958,SUBSTITUTE(SUBSTITUTE(B958,"?","~?"),"*","~*"))=1,MAX($AB$2:AB957)+1,""))</f>
        <v/>
      </c>
    </row>
    <row r="959">
      <c r="M959">
        <f>IF(A959="","",LOWER(TRIM(SUBSTITUTE(SUBSTITUTE(A959,"?",""),"*",""))))</f>
        <v/>
      </c>
      <c r="N959">
        <f>IF(M959="","",IF(SUMPRODUCT(ISNUMBER(SEARCH(" "&amp;Settings!$L$5:$L$124&amp;" "," "&amp;M959&amp;" "))*(Settings!$K$5:$K$124="Navigational")*(Settings!$L$5:$L$124&lt;&gt;""))&gt;0,"Navigational",IF(SUMPRODUCT(ISNUMBER(SEARCH(" "&amp;Settings!$L$5:$L$124&amp;" "," "&amp;M959&amp;" "))*(Settings!$K$5:$K$124="Transactional")*(Settings!$L$5:$L$124&lt;&gt;""))&gt;0,"Transactional",IF(SUMPRODUCT(ISNUMBER(SEARCH(" "&amp;Settings!$L$5:$L$124&amp;" "," "&amp;M959&amp;" "))*(Settings!$K$5:$K$124="Commercial")*(Settings!$L$5:$L$124&lt;&gt;""))&gt;0,"Commercial",IF(SUMPRODUCT(ISNUMBER(SEARCH(" "&amp;Settings!$L$5:$L$124&amp;" "," "&amp;M959&amp;" "))*(Settings!$K$5:$K$124="Informational")*(Settings!$L$5:$L$124&lt;&gt;""))&gt;0,"Informational","Unclassified")))))</f>
        <v/>
      </c>
      <c r="O959">
        <f>IF(A959="","",IF(K959&lt;&gt;"",PROPER(K959),N959))</f>
        <v/>
      </c>
      <c r="P959">
        <f>IF(A959="","",ROUND(Settings!$B$5*MIN(1,LOG10(N(C959)+1)/LOG10(Settings!$B$7+1))+Settings!$B$6*(1-MIN(100,IF(D959="",50,N(D959)))/100)+IFERROR(INDEX(Settings!$B$10:$B$14,MATCH(O959,Settings!$A$10:$A$14,0)),0),0))</f>
        <v/>
      </c>
      <c r="Q959">
        <f>IF(OR(A959="",G959=""),"",COUNTIFS($M$3:$M$1002,M959,$G$3:$G$1002,"&lt;&gt;"&amp;SUBSTITUTE(SUBSTITUTE(G959,"?","~?"),"*","~*"),$G$3:$G$1002,"?*"))</f>
        <v/>
      </c>
      <c r="R959">
        <f>IF(Q959="","",IF(Q959&gt;0,"Yes","No"))</f>
        <v/>
      </c>
      <c r="S959">
        <f>IF(G959="","",COUNTIFS($G$3:$G$1002,SUBSTITUTE(SUBSTITUTE(G959,"?","~?"),"*","~*"),$J$3:$J$1002,"Primary"))</f>
        <v/>
      </c>
      <c r="T959">
        <f>IF(S959="","",IF(S959&gt;Settings!$B$4,"Yes","No"))</f>
        <v/>
      </c>
      <c r="U959">
        <f>IF(OR(G959="",B959=""),"",IF(COUNTIFS($G$3:$G$1002,SUBSTITUTE(SUBSTITUTE(G959,"?","~?"),"*","~*"),$B$3:$B$1002,"&lt;&gt;"&amp;SUBSTITUTE(SUBSTITUTE(B959,"?","~?"),"*","~*"),$B$3:$B$1002,"?*")&gt;0,"Yes","No"))</f>
        <v/>
      </c>
      <c r="V959">
        <f>IF(OR(G959="",I959="",O959="",O959="Unclassified"),"",IFERROR(INDEX(Settings!$E$5:$H$16,MATCH(I959,Settings!$D$5:$D$16,0),MATCH(O959,Settings!$E$4:$H$4,0)),"Check"))</f>
        <v/>
      </c>
      <c r="W959">
        <f>IF(V959="","",IF(V959="No","Yes","No"))</f>
        <v/>
      </c>
      <c r="X959">
        <f>IF(OR(E959="",G959=""),"",IF(LOWER(IF(RIGHT(TRIM(E959),1)="/",LEFT(TRIM(E959),LEN(TRIM(E959))-1),TRIM(E959)))&lt;&gt;LOWER(IF(RIGHT(TRIM(G959),1)="/",LEFT(TRIM(G959),LEN(TRIM(G959))-1),TRIM(G959))),"Yes","No"))</f>
        <v/>
      </c>
      <c r="Y959">
        <f>IF(A959="","",(N(Q959)&gt;0)+(T959="Yes")+(U959="Yes")+(W959="Yes")+(X959="Yes"))</f>
        <v/>
      </c>
      <c r="Z959">
        <f>IF(A959="","",IF(G959="","Not mapped",IF(Y959=0,"OK",MID(IF(N(Q959)&gt;0,"; Cannibalisation","")&amp;IF(T959="Yes","; Too many primary keywords on URL","")&amp;IF(U959="Yes","; URL spans 2+ clusters","")&amp;IF(W959="Yes","; Intent mismatch","")&amp;IF(X959="Yes","; Ranking URL is not the target",""),3,300))))</f>
        <v/>
      </c>
      <c r="AA959">
        <f>IF(G959="","",IF(COUNTIF($G$3:G959,SUBSTITUTE(SUBSTITUTE(G959,"?","~?"),"*","~*"))=1,MAX($AA$2:AA958)+1,""))</f>
        <v/>
      </c>
      <c r="AB959">
        <f>IF(B959="","",IF(COUNTIF($B$3:B959,SUBSTITUTE(SUBSTITUTE(B959,"?","~?"),"*","~*"))=1,MAX($AB$2:AB958)+1,""))</f>
        <v/>
      </c>
    </row>
    <row r="960">
      <c r="M960">
        <f>IF(A960="","",LOWER(TRIM(SUBSTITUTE(SUBSTITUTE(A960,"?",""),"*",""))))</f>
        <v/>
      </c>
      <c r="N960">
        <f>IF(M960="","",IF(SUMPRODUCT(ISNUMBER(SEARCH(" "&amp;Settings!$L$5:$L$124&amp;" "," "&amp;M960&amp;" "))*(Settings!$K$5:$K$124="Navigational")*(Settings!$L$5:$L$124&lt;&gt;""))&gt;0,"Navigational",IF(SUMPRODUCT(ISNUMBER(SEARCH(" "&amp;Settings!$L$5:$L$124&amp;" "," "&amp;M960&amp;" "))*(Settings!$K$5:$K$124="Transactional")*(Settings!$L$5:$L$124&lt;&gt;""))&gt;0,"Transactional",IF(SUMPRODUCT(ISNUMBER(SEARCH(" "&amp;Settings!$L$5:$L$124&amp;" "," "&amp;M960&amp;" "))*(Settings!$K$5:$K$124="Commercial")*(Settings!$L$5:$L$124&lt;&gt;""))&gt;0,"Commercial",IF(SUMPRODUCT(ISNUMBER(SEARCH(" "&amp;Settings!$L$5:$L$124&amp;" "," "&amp;M960&amp;" "))*(Settings!$K$5:$K$124="Informational")*(Settings!$L$5:$L$124&lt;&gt;""))&gt;0,"Informational","Unclassified")))))</f>
        <v/>
      </c>
      <c r="O960">
        <f>IF(A960="","",IF(K960&lt;&gt;"",PROPER(K960),N960))</f>
        <v/>
      </c>
      <c r="P960">
        <f>IF(A960="","",ROUND(Settings!$B$5*MIN(1,LOG10(N(C960)+1)/LOG10(Settings!$B$7+1))+Settings!$B$6*(1-MIN(100,IF(D960="",50,N(D960)))/100)+IFERROR(INDEX(Settings!$B$10:$B$14,MATCH(O960,Settings!$A$10:$A$14,0)),0),0))</f>
        <v/>
      </c>
      <c r="Q960">
        <f>IF(OR(A960="",G960=""),"",COUNTIFS($M$3:$M$1002,M960,$G$3:$G$1002,"&lt;&gt;"&amp;SUBSTITUTE(SUBSTITUTE(G960,"?","~?"),"*","~*"),$G$3:$G$1002,"?*"))</f>
        <v/>
      </c>
      <c r="R960">
        <f>IF(Q960="","",IF(Q960&gt;0,"Yes","No"))</f>
        <v/>
      </c>
      <c r="S960">
        <f>IF(G960="","",COUNTIFS($G$3:$G$1002,SUBSTITUTE(SUBSTITUTE(G960,"?","~?"),"*","~*"),$J$3:$J$1002,"Primary"))</f>
        <v/>
      </c>
      <c r="T960">
        <f>IF(S960="","",IF(S960&gt;Settings!$B$4,"Yes","No"))</f>
        <v/>
      </c>
      <c r="U960">
        <f>IF(OR(G960="",B960=""),"",IF(COUNTIFS($G$3:$G$1002,SUBSTITUTE(SUBSTITUTE(G960,"?","~?"),"*","~*"),$B$3:$B$1002,"&lt;&gt;"&amp;SUBSTITUTE(SUBSTITUTE(B960,"?","~?"),"*","~*"),$B$3:$B$1002,"?*")&gt;0,"Yes","No"))</f>
        <v/>
      </c>
      <c r="V960">
        <f>IF(OR(G960="",I960="",O960="",O960="Unclassified"),"",IFERROR(INDEX(Settings!$E$5:$H$16,MATCH(I960,Settings!$D$5:$D$16,0),MATCH(O960,Settings!$E$4:$H$4,0)),"Check"))</f>
        <v/>
      </c>
      <c r="W960">
        <f>IF(V960="","",IF(V960="No","Yes","No"))</f>
        <v/>
      </c>
      <c r="X960">
        <f>IF(OR(E960="",G960=""),"",IF(LOWER(IF(RIGHT(TRIM(E960),1)="/",LEFT(TRIM(E960),LEN(TRIM(E960))-1),TRIM(E960)))&lt;&gt;LOWER(IF(RIGHT(TRIM(G960),1)="/",LEFT(TRIM(G960),LEN(TRIM(G960))-1),TRIM(G960))),"Yes","No"))</f>
        <v/>
      </c>
      <c r="Y960">
        <f>IF(A960="","",(N(Q960)&gt;0)+(T960="Yes")+(U960="Yes")+(W960="Yes")+(X960="Yes"))</f>
        <v/>
      </c>
      <c r="Z960">
        <f>IF(A960="","",IF(G960="","Not mapped",IF(Y960=0,"OK",MID(IF(N(Q960)&gt;0,"; Cannibalisation","")&amp;IF(T960="Yes","; Too many primary keywords on URL","")&amp;IF(U960="Yes","; URL spans 2+ clusters","")&amp;IF(W960="Yes","; Intent mismatch","")&amp;IF(X960="Yes","; Ranking URL is not the target",""),3,300))))</f>
        <v/>
      </c>
      <c r="AA960">
        <f>IF(G960="","",IF(COUNTIF($G$3:G960,SUBSTITUTE(SUBSTITUTE(G960,"?","~?"),"*","~*"))=1,MAX($AA$2:AA959)+1,""))</f>
        <v/>
      </c>
      <c r="AB960">
        <f>IF(B960="","",IF(COUNTIF($B$3:B960,SUBSTITUTE(SUBSTITUTE(B960,"?","~?"),"*","~*"))=1,MAX($AB$2:AB959)+1,""))</f>
        <v/>
      </c>
    </row>
    <row r="961">
      <c r="M961">
        <f>IF(A961="","",LOWER(TRIM(SUBSTITUTE(SUBSTITUTE(A961,"?",""),"*",""))))</f>
        <v/>
      </c>
      <c r="N961">
        <f>IF(M961="","",IF(SUMPRODUCT(ISNUMBER(SEARCH(" "&amp;Settings!$L$5:$L$124&amp;" "," "&amp;M961&amp;" "))*(Settings!$K$5:$K$124="Navigational")*(Settings!$L$5:$L$124&lt;&gt;""))&gt;0,"Navigational",IF(SUMPRODUCT(ISNUMBER(SEARCH(" "&amp;Settings!$L$5:$L$124&amp;" "," "&amp;M961&amp;" "))*(Settings!$K$5:$K$124="Transactional")*(Settings!$L$5:$L$124&lt;&gt;""))&gt;0,"Transactional",IF(SUMPRODUCT(ISNUMBER(SEARCH(" "&amp;Settings!$L$5:$L$124&amp;" "," "&amp;M961&amp;" "))*(Settings!$K$5:$K$124="Commercial")*(Settings!$L$5:$L$124&lt;&gt;""))&gt;0,"Commercial",IF(SUMPRODUCT(ISNUMBER(SEARCH(" "&amp;Settings!$L$5:$L$124&amp;" "," "&amp;M961&amp;" "))*(Settings!$K$5:$K$124="Informational")*(Settings!$L$5:$L$124&lt;&gt;""))&gt;0,"Informational","Unclassified")))))</f>
        <v/>
      </c>
      <c r="O961">
        <f>IF(A961="","",IF(K961&lt;&gt;"",PROPER(K961),N961))</f>
        <v/>
      </c>
      <c r="P961">
        <f>IF(A961="","",ROUND(Settings!$B$5*MIN(1,LOG10(N(C961)+1)/LOG10(Settings!$B$7+1))+Settings!$B$6*(1-MIN(100,IF(D961="",50,N(D961)))/100)+IFERROR(INDEX(Settings!$B$10:$B$14,MATCH(O961,Settings!$A$10:$A$14,0)),0),0))</f>
        <v/>
      </c>
      <c r="Q961">
        <f>IF(OR(A961="",G961=""),"",COUNTIFS($M$3:$M$1002,M961,$G$3:$G$1002,"&lt;&gt;"&amp;SUBSTITUTE(SUBSTITUTE(G961,"?","~?"),"*","~*"),$G$3:$G$1002,"?*"))</f>
        <v/>
      </c>
      <c r="R961">
        <f>IF(Q961="","",IF(Q961&gt;0,"Yes","No"))</f>
        <v/>
      </c>
      <c r="S961">
        <f>IF(G961="","",COUNTIFS($G$3:$G$1002,SUBSTITUTE(SUBSTITUTE(G961,"?","~?"),"*","~*"),$J$3:$J$1002,"Primary"))</f>
        <v/>
      </c>
      <c r="T961">
        <f>IF(S961="","",IF(S961&gt;Settings!$B$4,"Yes","No"))</f>
        <v/>
      </c>
      <c r="U961">
        <f>IF(OR(G961="",B961=""),"",IF(COUNTIFS($G$3:$G$1002,SUBSTITUTE(SUBSTITUTE(G961,"?","~?"),"*","~*"),$B$3:$B$1002,"&lt;&gt;"&amp;SUBSTITUTE(SUBSTITUTE(B961,"?","~?"),"*","~*"),$B$3:$B$1002,"?*")&gt;0,"Yes","No"))</f>
        <v/>
      </c>
      <c r="V961">
        <f>IF(OR(G961="",I961="",O961="",O961="Unclassified"),"",IFERROR(INDEX(Settings!$E$5:$H$16,MATCH(I961,Settings!$D$5:$D$16,0),MATCH(O961,Settings!$E$4:$H$4,0)),"Check"))</f>
        <v/>
      </c>
      <c r="W961">
        <f>IF(V961="","",IF(V961="No","Yes","No"))</f>
        <v/>
      </c>
      <c r="X961">
        <f>IF(OR(E961="",G961=""),"",IF(LOWER(IF(RIGHT(TRIM(E961),1)="/",LEFT(TRIM(E961),LEN(TRIM(E961))-1),TRIM(E961)))&lt;&gt;LOWER(IF(RIGHT(TRIM(G961),1)="/",LEFT(TRIM(G961),LEN(TRIM(G961))-1),TRIM(G961))),"Yes","No"))</f>
        <v/>
      </c>
      <c r="Y961">
        <f>IF(A961="","",(N(Q961)&gt;0)+(T961="Yes")+(U961="Yes")+(W961="Yes")+(X961="Yes"))</f>
        <v/>
      </c>
      <c r="Z961">
        <f>IF(A961="","",IF(G961="","Not mapped",IF(Y961=0,"OK",MID(IF(N(Q961)&gt;0,"; Cannibalisation","")&amp;IF(T961="Yes","; Too many primary keywords on URL","")&amp;IF(U961="Yes","; URL spans 2+ clusters","")&amp;IF(W961="Yes","; Intent mismatch","")&amp;IF(X961="Yes","; Ranking URL is not the target",""),3,300))))</f>
        <v/>
      </c>
      <c r="AA961">
        <f>IF(G961="","",IF(COUNTIF($G$3:G961,SUBSTITUTE(SUBSTITUTE(G961,"?","~?"),"*","~*"))=1,MAX($AA$2:AA960)+1,""))</f>
        <v/>
      </c>
      <c r="AB961">
        <f>IF(B961="","",IF(COUNTIF($B$3:B961,SUBSTITUTE(SUBSTITUTE(B961,"?","~?"),"*","~*"))=1,MAX($AB$2:AB960)+1,""))</f>
        <v/>
      </c>
    </row>
    <row r="962">
      <c r="M962">
        <f>IF(A962="","",LOWER(TRIM(SUBSTITUTE(SUBSTITUTE(A962,"?",""),"*",""))))</f>
        <v/>
      </c>
      <c r="N962">
        <f>IF(M962="","",IF(SUMPRODUCT(ISNUMBER(SEARCH(" "&amp;Settings!$L$5:$L$124&amp;" "," "&amp;M962&amp;" "))*(Settings!$K$5:$K$124="Navigational")*(Settings!$L$5:$L$124&lt;&gt;""))&gt;0,"Navigational",IF(SUMPRODUCT(ISNUMBER(SEARCH(" "&amp;Settings!$L$5:$L$124&amp;" "," "&amp;M962&amp;" "))*(Settings!$K$5:$K$124="Transactional")*(Settings!$L$5:$L$124&lt;&gt;""))&gt;0,"Transactional",IF(SUMPRODUCT(ISNUMBER(SEARCH(" "&amp;Settings!$L$5:$L$124&amp;" "," "&amp;M962&amp;" "))*(Settings!$K$5:$K$124="Commercial")*(Settings!$L$5:$L$124&lt;&gt;""))&gt;0,"Commercial",IF(SUMPRODUCT(ISNUMBER(SEARCH(" "&amp;Settings!$L$5:$L$124&amp;" "," "&amp;M962&amp;" "))*(Settings!$K$5:$K$124="Informational")*(Settings!$L$5:$L$124&lt;&gt;""))&gt;0,"Informational","Unclassified")))))</f>
        <v/>
      </c>
      <c r="O962">
        <f>IF(A962="","",IF(K962&lt;&gt;"",PROPER(K962),N962))</f>
        <v/>
      </c>
      <c r="P962">
        <f>IF(A962="","",ROUND(Settings!$B$5*MIN(1,LOG10(N(C962)+1)/LOG10(Settings!$B$7+1))+Settings!$B$6*(1-MIN(100,IF(D962="",50,N(D962)))/100)+IFERROR(INDEX(Settings!$B$10:$B$14,MATCH(O962,Settings!$A$10:$A$14,0)),0),0))</f>
        <v/>
      </c>
      <c r="Q962">
        <f>IF(OR(A962="",G962=""),"",COUNTIFS($M$3:$M$1002,M962,$G$3:$G$1002,"&lt;&gt;"&amp;SUBSTITUTE(SUBSTITUTE(G962,"?","~?"),"*","~*"),$G$3:$G$1002,"?*"))</f>
        <v/>
      </c>
      <c r="R962">
        <f>IF(Q962="","",IF(Q962&gt;0,"Yes","No"))</f>
        <v/>
      </c>
      <c r="S962">
        <f>IF(G962="","",COUNTIFS($G$3:$G$1002,SUBSTITUTE(SUBSTITUTE(G962,"?","~?"),"*","~*"),$J$3:$J$1002,"Primary"))</f>
        <v/>
      </c>
      <c r="T962">
        <f>IF(S962="","",IF(S962&gt;Settings!$B$4,"Yes","No"))</f>
        <v/>
      </c>
      <c r="U962">
        <f>IF(OR(G962="",B962=""),"",IF(COUNTIFS($G$3:$G$1002,SUBSTITUTE(SUBSTITUTE(G962,"?","~?"),"*","~*"),$B$3:$B$1002,"&lt;&gt;"&amp;SUBSTITUTE(SUBSTITUTE(B962,"?","~?"),"*","~*"),$B$3:$B$1002,"?*")&gt;0,"Yes","No"))</f>
        <v/>
      </c>
      <c r="V962">
        <f>IF(OR(G962="",I962="",O962="",O962="Unclassified"),"",IFERROR(INDEX(Settings!$E$5:$H$16,MATCH(I962,Settings!$D$5:$D$16,0),MATCH(O962,Settings!$E$4:$H$4,0)),"Check"))</f>
        <v/>
      </c>
      <c r="W962">
        <f>IF(V962="","",IF(V962="No","Yes","No"))</f>
        <v/>
      </c>
      <c r="X962">
        <f>IF(OR(E962="",G962=""),"",IF(LOWER(IF(RIGHT(TRIM(E962),1)="/",LEFT(TRIM(E962),LEN(TRIM(E962))-1),TRIM(E962)))&lt;&gt;LOWER(IF(RIGHT(TRIM(G962),1)="/",LEFT(TRIM(G962),LEN(TRIM(G962))-1),TRIM(G962))),"Yes","No"))</f>
        <v/>
      </c>
      <c r="Y962">
        <f>IF(A962="","",(N(Q962)&gt;0)+(T962="Yes")+(U962="Yes")+(W962="Yes")+(X962="Yes"))</f>
        <v/>
      </c>
      <c r="Z962">
        <f>IF(A962="","",IF(G962="","Not mapped",IF(Y962=0,"OK",MID(IF(N(Q962)&gt;0,"; Cannibalisation","")&amp;IF(T962="Yes","; Too many primary keywords on URL","")&amp;IF(U962="Yes","; URL spans 2+ clusters","")&amp;IF(W962="Yes","; Intent mismatch","")&amp;IF(X962="Yes","; Ranking URL is not the target",""),3,300))))</f>
        <v/>
      </c>
      <c r="AA962">
        <f>IF(G962="","",IF(COUNTIF($G$3:G962,SUBSTITUTE(SUBSTITUTE(G962,"?","~?"),"*","~*"))=1,MAX($AA$2:AA961)+1,""))</f>
        <v/>
      </c>
      <c r="AB962">
        <f>IF(B962="","",IF(COUNTIF($B$3:B962,SUBSTITUTE(SUBSTITUTE(B962,"?","~?"),"*","~*"))=1,MAX($AB$2:AB961)+1,""))</f>
        <v/>
      </c>
    </row>
    <row r="963">
      <c r="M963">
        <f>IF(A963="","",LOWER(TRIM(SUBSTITUTE(SUBSTITUTE(A963,"?",""),"*",""))))</f>
        <v/>
      </c>
      <c r="N963">
        <f>IF(M963="","",IF(SUMPRODUCT(ISNUMBER(SEARCH(" "&amp;Settings!$L$5:$L$124&amp;" "," "&amp;M963&amp;" "))*(Settings!$K$5:$K$124="Navigational")*(Settings!$L$5:$L$124&lt;&gt;""))&gt;0,"Navigational",IF(SUMPRODUCT(ISNUMBER(SEARCH(" "&amp;Settings!$L$5:$L$124&amp;" "," "&amp;M963&amp;" "))*(Settings!$K$5:$K$124="Transactional")*(Settings!$L$5:$L$124&lt;&gt;""))&gt;0,"Transactional",IF(SUMPRODUCT(ISNUMBER(SEARCH(" "&amp;Settings!$L$5:$L$124&amp;" "," "&amp;M963&amp;" "))*(Settings!$K$5:$K$124="Commercial")*(Settings!$L$5:$L$124&lt;&gt;""))&gt;0,"Commercial",IF(SUMPRODUCT(ISNUMBER(SEARCH(" "&amp;Settings!$L$5:$L$124&amp;" "," "&amp;M963&amp;" "))*(Settings!$K$5:$K$124="Informational")*(Settings!$L$5:$L$124&lt;&gt;""))&gt;0,"Informational","Unclassified")))))</f>
        <v/>
      </c>
      <c r="O963">
        <f>IF(A963="","",IF(K963&lt;&gt;"",PROPER(K963),N963))</f>
        <v/>
      </c>
      <c r="P963">
        <f>IF(A963="","",ROUND(Settings!$B$5*MIN(1,LOG10(N(C963)+1)/LOG10(Settings!$B$7+1))+Settings!$B$6*(1-MIN(100,IF(D963="",50,N(D963)))/100)+IFERROR(INDEX(Settings!$B$10:$B$14,MATCH(O963,Settings!$A$10:$A$14,0)),0),0))</f>
        <v/>
      </c>
      <c r="Q963">
        <f>IF(OR(A963="",G963=""),"",COUNTIFS($M$3:$M$1002,M963,$G$3:$G$1002,"&lt;&gt;"&amp;SUBSTITUTE(SUBSTITUTE(G963,"?","~?"),"*","~*"),$G$3:$G$1002,"?*"))</f>
        <v/>
      </c>
      <c r="R963">
        <f>IF(Q963="","",IF(Q963&gt;0,"Yes","No"))</f>
        <v/>
      </c>
      <c r="S963">
        <f>IF(G963="","",COUNTIFS($G$3:$G$1002,SUBSTITUTE(SUBSTITUTE(G963,"?","~?"),"*","~*"),$J$3:$J$1002,"Primary"))</f>
        <v/>
      </c>
      <c r="T963">
        <f>IF(S963="","",IF(S963&gt;Settings!$B$4,"Yes","No"))</f>
        <v/>
      </c>
      <c r="U963">
        <f>IF(OR(G963="",B963=""),"",IF(COUNTIFS($G$3:$G$1002,SUBSTITUTE(SUBSTITUTE(G963,"?","~?"),"*","~*"),$B$3:$B$1002,"&lt;&gt;"&amp;SUBSTITUTE(SUBSTITUTE(B963,"?","~?"),"*","~*"),$B$3:$B$1002,"?*")&gt;0,"Yes","No"))</f>
        <v/>
      </c>
      <c r="V963">
        <f>IF(OR(G963="",I963="",O963="",O963="Unclassified"),"",IFERROR(INDEX(Settings!$E$5:$H$16,MATCH(I963,Settings!$D$5:$D$16,0),MATCH(O963,Settings!$E$4:$H$4,0)),"Check"))</f>
        <v/>
      </c>
      <c r="W963">
        <f>IF(V963="","",IF(V963="No","Yes","No"))</f>
        <v/>
      </c>
      <c r="X963">
        <f>IF(OR(E963="",G963=""),"",IF(LOWER(IF(RIGHT(TRIM(E963),1)="/",LEFT(TRIM(E963),LEN(TRIM(E963))-1),TRIM(E963)))&lt;&gt;LOWER(IF(RIGHT(TRIM(G963),1)="/",LEFT(TRIM(G963),LEN(TRIM(G963))-1),TRIM(G963))),"Yes","No"))</f>
        <v/>
      </c>
      <c r="Y963">
        <f>IF(A963="","",(N(Q963)&gt;0)+(T963="Yes")+(U963="Yes")+(W963="Yes")+(X963="Yes"))</f>
        <v/>
      </c>
      <c r="Z963">
        <f>IF(A963="","",IF(G963="","Not mapped",IF(Y963=0,"OK",MID(IF(N(Q963)&gt;0,"; Cannibalisation","")&amp;IF(T963="Yes","; Too many primary keywords on URL","")&amp;IF(U963="Yes","; URL spans 2+ clusters","")&amp;IF(W963="Yes","; Intent mismatch","")&amp;IF(X963="Yes","; Ranking URL is not the target",""),3,300))))</f>
        <v/>
      </c>
      <c r="AA963">
        <f>IF(G963="","",IF(COUNTIF($G$3:G963,SUBSTITUTE(SUBSTITUTE(G963,"?","~?"),"*","~*"))=1,MAX($AA$2:AA962)+1,""))</f>
        <v/>
      </c>
      <c r="AB963">
        <f>IF(B963="","",IF(COUNTIF($B$3:B963,SUBSTITUTE(SUBSTITUTE(B963,"?","~?"),"*","~*"))=1,MAX($AB$2:AB962)+1,""))</f>
        <v/>
      </c>
    </row>
    <row r="964">
      <c r="M964">
        <f>IF(A964="","",LOWER(TRIM(SUBSTITUTE(SUBSTITUTE(A964,"?",""),"*",""))))</f>
        <v/>
      </c>
      <c r="N964">
        <f>IF(M964="","",IF(SUMPRODUCT(ISNUMBER(SEARCH(" "&amp;Settings!$L$5:$L$124&amp;" "," "&amp;M964&amp;" "))*(Settings!$K$5:$K$124="Navigational")*(Settings!$L$5:$L$124&lt;&gt;""))&gt;0,"Navigational",IF(SUMPRODUCT(ISNUMBER(SEARCH(" "&amp;Settings!$L$5:$L$124&amp;" "," "&amp;M964&amp;" "))*(Settings!$K$5:$K$124="Transactional")*(Settings!$L$5:$L$124&lt;&gt;""))&gt;0,"Transactional",IF(SUMPRODUCT(ISNUMBER(SEARCH(" "&amp;Settings!$L$5:$L$124&amp;" "," "&amp;M964&amp;" "))*(Settings!$K$5:$K$124="Commercial")*(Settings!$L$5:$L$124&lt;&gt;""))&gt;0,"Commercial",IF(SUMPRODUCT(ISNUMBER(SEARCH(" "&amp;Settings!$L$5:$L$124&amp;" "," "&amp;M964&amp;" "))*(Settings!$K$5:$K$124="Informational")*(Settings!$L$5:$L$124&lt;&gt;""))&gt;0,"Informational","Unclassified")))))</f>
        <v/>
      </c>
      <c r="O964">
        <f>IF(A964="","",IF(K964&lt;&gt;"",PROPER(K964),N964))</f>
        <v/>
      </c>
      <c r="P964">
        <f>IF(A964="","",ROUND(Settings!$B$5*MIN(1,LOG10(N(C964)+1)/LOG10(Settings!$B$7+1))+Settings!$B$6*(1-MIN(100,IF(D964="",50,N(D964)))/100)+IFERROR(INDEX(Settings!$B$10:$B$14,MATCH(O964,Settings!$A$10:$A$14,0)),0),0))</f>
        <v/>
      </c>
      <c r="Q964">
        <f>IF(OR(A964="",G964=""),"",COUNTIFS($M$3:$M$1002,M964,$G$3:$G$1002,"&lt;&gt;"&amp;SUBSTITUTE(SUBSTITUTE(G964,"?","~?"),"*","~*"),$G$3:$G$1002,"?*"))</f>
        <v/>
      </c>
      <c r="R964">
        <f>IF(Q964="","",IF(Q964&gt;0,"Yes","No"))</f>
        <v/>
      </c>
      <c r="S964">
        <f>IF(G964="","",COUNTIFS($G$3:$G$1002,SUBSTITUTE(SUBSTITUTE(G964,"?","~?"),"*","~*"),$J$3:$J$1002,"Primary"))</f>
        <v/>
      </c>
      <c r="T964">
        <f>IF(S964="","",IF(S964&gt;Settings!$B$4,"Yes","No"))</f>
        <v/>
      </c>
      <c r="U964">
        <f>IF(OR(G964="",B964=""),"",IF(COUNTIFS($G$3:$G$1002,SUBSTITUTE(SUBSTITUTE(G964,"?","~?"),"*","~*"),$B$3:$B$1002,"&lt;&gt;"&amp;SUBSTITUTE(SUBSTITUTE(B964,"?","~?"),"*","~*"),$B$3:$B$1002,"?*")&gt;0,"Yes","No"))</f>
        <v/>
      </c>
      <c r="V964">
        <f>IF(OR(G964="",I964="",O964="",O964="Unclassified"),"",IFERROR(INDEX(Settings!$E$5:$H$16,MATCH(I964,Settings!$D$5:$D$16,0),MATCH(O964,Settings!$E$4:$H$4,0)),"Check"))</f>
        <v/>
      </c>
      <c r="W964">
        <f>IF(V964="","",IF(V964="No","Yes","No"))</f>
        <v/>
      </c>
      <c r="X964">
        <f>IF(OR(E964="",G964=""),"",IF(LOWER(IF(RIGHT(TRIM(E964),1)="/",LEFT(TRIM(E964),LEN(TRIM(E964))-1),TRIM(E964)))&lt;&gt;LOWER(IF(RIGHT(TRIM(G964),1)="/",LEFT(TRIM(G964),LEN(TRIM(G964))-1),TRIM(G964))),"Yes","No"))</f>
        <v/>
      </c>
      <c r="Y964">
        <f>IF(A964="","",(N(Q964)&gt;0)+(T964="Yes")+(U964="Yes")+(W964="Yes")+(X964="Yes"))</f>
        <v/>
      </c>
      <c r="Z964">
        <f>IF(A964="","",IF(G964="","Not mapped",IF(Y964=0,"OK",MID(IF(N(Q964)&gt;0,"; Cannibalisation","")&amp;IF(T964="Yes","; Too many primary keywords on URL","")&amp;IF(U964="Yes","; URL spans 2+ clusters","")&amp;IF(W964="Yes","; Intent mismatch","")&amp;IF(X964="Yes","; Ranking URL is not the target",""),3,300))))</f>
        <v/>
      </c>
      <c r="AA964">
        <f>IF(G964="","",IF(COUNTIF($G$3:G964,SUBSTITUTE(SUBSTITUTE(G964,"?","~?"),"*","~*"))=1,MAX($AA$2:AA963)+1,""))</f>
        <v/>
      </c>
      <c r="AB964">
        <f>IF(B964="","",IF(COUNTIF($B$3:B964,SUBSTITUTE(SUBSTITUTE(B964,"?","~?"),"*","~*"))=1,MAX($AB$2:AB963)+1,""))</f>
        <v/>
      </c>
    </row>
    <row r="965">
      <c r="M965">
        <f>IF(A965="","",LOWER(TRIM(SUBSTITUTE(SUBSTITUTE(A965,"?",""),"*",""))))</f>
        <v/>
      </c>
      <c r="N965">
        <f>IF(M965="","",IF(SUMPRODUCT(ISNUMBER(SEARCH(" "&amp;Settings!$L$5:$L$124&amp;" "," "&amp;M965&amp;" "))*(Settings!$K$5:$K$124="Navigational")*(Settings!$L$5:$L$124&lt;&gt;""))&gt;0,"Navigational",IF(SUMPRODUCT(ISNUMBER(SEARCH(" "&amp;Settings!$L$5:$L$124&amp;" "," "&amp;M965&amp;" "))*(Settings!$K$5:$K$124="Transactional")*(Settings!$L$5:$L$124&lt;&gt;""))&gt;0,"Transactional",IF(SUMPRODUCT(ISNUMBER(SEARCH(" "&amp;Settings!$L$5:$L$124&amp;" "," "&amp;M965&amp;" "))*(Settings!$K$5:$K$124="Commercial")*(Settings!$L$5:$L$124&lt;&gt;""))&gt;0,"Commercial",IF(SUMPRODUCT(ISNUMBER(SEARCH(" "&amp;Settings!$L$5:$L$124&amp;" "," "&amp;M965&amp;" "))*(Settings!$K$5:$K$124="Informational")*(Settings!$L$5:$L$124&lt;&gt;""))&gt;0,"Informational","Unclassified")))))</f>
        <v/>
      </c>
      <c r="O965">
        <f>IF(A965="","",IF(K965&lt;&gt;"",PROPER(K965),N965))</f>
        <v/>
      </c>
      <c r="P965">
        <f>IF(A965="","",ROUND(Settings!$B$5*MIN(1,LOG10(N(C965)+1)/LOG10(Settings!$B$7+1))+Settings!$B$6*(1-MIN(100,IF(D965="",50,N(D965)))/100)+IFERROR(INDEX(Settings!$B$10:$B$14,MATCH(O965,Settings!$A$10:$A$14,0)),0),0))</f>
        <v/>
      </c>
      <c r="Q965">
        <f>IF(OR(A965="",G965=""),"",COUNTIFS($M$3:$M$1002,M965,$G$3:$G$1002,"&lt;&gt;"&amp;SUBSTITUTE(SUBSTITUTE(G965,"?","~?"),"*","~*"),$G$3:$G$1002,"?*"))</f>
        <v/>
      </c>
      <c r="R965">
        <f>IF(Q965="","",IF(Q965&gt;0,"Yes","No"))</f>
        <v/>
      </c>
      <c r="S965">
        <f>IF(G965="","",COUNTIFS($G$3:$G$1002,SUBSTITUTE(SUBSTITUTE(G965,"?","~?"),"*","~*"),$J$3:$J$1002,"Primary"))</f>
        <v/>
      </c>
      <c r="T965">
        <f>IF(S965="","",IF(S965&gt;Settings!$B$4,"Yes","No"))</f>
        <v/>
      </c>
      <c r="U965">
        <f>IF(OR(G965="",B965=""),"",IF(COUNTIFS($G$3:$G$1002,SUBSTITUTE(SUBSTITUTE(G965,"?","~?"),"*","~*"),$B$3:$B$1002,"&lt;&gt;"&amp;SUBSTITUTE(SUBSTITUTE(B965,"?","~?"),"*","~*"),$B$3:$B$1002,"?*")&gt;0,"Yes","No"))</f>
        <v/>
      </c>
      <c r="V965">
        <f>IF(OR(G965="",I965="",O965="",O965="Unclassified"),"",IFERROR(INDEX(Settings!$E$5:$H$16,MATCH(I965,Settings!$D$5:$D$16,0),MATCH(O965,Settings!$E$4:$H$4,0)),"Check"))</f>
        <v/>
      </c>
      <c r="W965">
        <f>IF(V965="","",IF(V965="No","Yes","No"))</f>
        <v/>
      </c>
      <c r="X965">
        <f>IF(OR(E965="",G965=""),"",IF(LOWER(IF(RIGHT(TRIM(E965),1)="/",LEFT(TRIM(E965),LEN(TRIM(E965))-1),TRIM(E965)))&lt;&gt;LOWER(IF(RIGHT(TRIM(G965),1)="/",LEFT(TRIM(G965),LEN(TRIM(G965))-1),TRIM(G965))),"Yes","No"))</f>
        <v/>
      </c>
      <c r="Y965">
        <f>IF(A965="","",(N(Q965)&gt;0)+(T965="Yes")+(U965="Yes")+(W965="Yes")+(X965="Yes"))</f>
        <v/>
      </c>
      <c r="Z965">
        <f>IF(A965="","",IF(G965="","Not mapped",IF(Y965=0,"OK",MID(IF(N(Q965)&gt;0,"; Cannibalisation","")&amp;IF(T965="Yes","; Too many primary keywords on URL","")&amp;IF(U965="Yes","; URL spans 2+ clusters","")&amp;IF(W965="Yes","; Intent mismatch","")&amp;IF(X965="Yes","; Ranking URL is not the target",""),3,300))))</f>
        <v/>
      </c>
      <c r="AA965">
        <f>IF(G965="","",IF(COUNTIF($G$3:G965,SUBSTITUTE(SUBSTITUTE(G965,"?","~?"),"*","~*"))=1,MAX($AA$2:AA964)+1,""))</f>
        <v/>
      </c>
      <c r="AB965">
        <f>IF(B965="","",IF(COUNTIF($B$3:B965,SUBSTITUTE(SUBSTITUTE(B965,"?","~?"),"*","~*"))=1,MAX($AB$2:AB964)+1,""))</f>
        <v/>
      </c>
    </row>
    <row r="966">
      <c r="M966">
        <f>IF(A966="","",LOWER(TRIM(SUBSTITUTE(SUBSTITUTE(A966,"?",""),"*",""))))</f>
        <v/>
      </c>
      <c r="N966">
        <f>IF(M966="","",IF(SUMPRODUCT(ISNUMBER(SEARCH(" "&amp;Settings!$L$5:$L$124&amp;" "," "&amp;M966&amp;" "))*(Settings!$K$5:$K$124="Navigational")*(Settings!$L$5:$L$124&lt;&gt;""))&gt;0,"Navigational",IF(SUMPRODUCT(ISNUMBER(SEARCH(" "&amp;Settings!$L$5:$L$124&amp;" "," "&amp;M966&amp;" "))*(Settings!$K$5:$K$124="Transactional")*(Settings!$L$5:$L$124&lt;&gt;""))&gt;0,"Transactional",IF(SUMPRODUCT(ISNUMBER(SEARCH(" "&amp;Settings!$L$5:$L$124&amp;" "," "&amp;M966&amp;" "))*(Settings!$K$5:$K$124="Commercial")*(Settings!$L$5:$L$124&lt;&gt;""))&gt;0,"Commercial",IF(SUMPRODUCT(ISNUMBER(SEARCH(" "&amp;Settings!$L$5:$L$124&amp;" "," "&amp;M966&amp;" "))*(Settings!$K$5:$K$124="Informational")*(Settings!$L$5:$L$124&lt;&gt;""))&gt;0,"Informational","Unclassified")))))</f>
        <v/>
      </c>
      <c r="O966">
        <f>IF(A966="","",IF(K966&lt;&gt;"",PROPER(K966),N966))</f>
        <v/>
      </c>
      <c r="P966">
        <f>IF(A966="","",ROUND(Settings!$B$5*MIN(1,LOG10(N(C966)+1)/LOG10(Settings!$B$7+1))+Settings!$B$6*(1-MIN(100,IF(D966="",50,N(D966)))/100)+IFERROR(INDEX(Settings!$B$10:$B$14,MATCH(O966,Settings!$A$10:$A$14,0)),0),0))</f>
        <v/>
      </c>
      <c r="Q966">
        <f>IF(OR(A966="",G966=""),"",COUNTIFS($M$3:$M$1002,M966,$G$3:$G$1002,"&lt;&gt;"&amp;SUBSTITUTE(SUBSTITUTE(G966,"?","~?"),"*","~*"),$G$3:$G$1002,"?*"))</f>
        <v/>
      </c>
      <c r="R966">
        <f>IF(Q966="","",IF(Q966&gt;0,"Yes","No"))</f>
        <v/>
      </c>
      <c r="S966">
        <f>IF(G966="","",COUNTIFS($G$3:$G$1002,SUBSTITUTE(SUBSTITUTE(G966,"?","~?"),"*","~*"),$J$3:$J$1002,"Primary"))</f>
        <v/>
      </c>
      <c r="T966">
        <f>IF(S966="","",IF(S966&gt;Settings!$B$4,"Yes","No"))</f>
        <v/>
      </c>
      <c r="U966">
        <f>IF(OR(G966="",B966=""),"",IF(COUNTIFS($G$3:$G$1002,SUBSTITUTE(SUBSTITUTE(G966,"?","~?"),"*","~*"),$B$3:$B$1002,"&lt;&gt;"&amp;SUBSTITUTE(SUBSTITUTE(B966,"?","~?"),"*","~*"),$B$3:$B$1002,"?*")&gt;0,"Yes","No"))</f>
        <v/>
      </c>
      <c r="V966">
        <f>IF(OR(G966="",I966="",O966="",O966="Unclassified"),"",IFERROR(INDEX(Settings!$E$5:$H$16,MATCH(I966,Settings!$D$5:$D$16,0),MATCH(O966,Settings!$E$4:$H$4,0)),"Check"))</f>
        <v/>
      </c>
      <c r="W966">
        <f>IF(V966="","",IF(V966="No","Yes","No"))</f>
        <v/>
      </c>
      <c r="X966">
        <f>IF(OR(E966="",G966=""),"",IF(LOWER(IF(RIGHT(TRIM(E966),1)="/",LEFT(TRIM(E966),LEN(TRIM(E966))-1),TRIM(E966)))&lt;&gt;LOWER(IF(RIGHT(TRIM(G966),1)="/",LEFT(TRIM(G966),LEN(TRIM(G966))-1),TRIM(G966))),"Yes","No"))</f>
        <v/>
      </c>
      <c r="Y966">
        <f>IF(A966="","",(N(Q966)&gt;0)+(T966="Yes")+(U966="Yes")+(W966="Yes")+(X966="Yes"))</f>
        <v/>
      </c>
      <c r="Z966">
        <f>IF(A966="","",IF(G966="","Not mapped",IF(Y966=0,"OK",MID(IF(N(Q966)&gt;0,"; Cannibalisation","")&amp;IF(T966="Yes","; Too many primary keywords on URL","")&amp;IF(U966="Yes","; URL spans 2+ clusters","")&amp;IF(W966="Yes","; Intent mismatch","")&amp;IF(X966="Yes","; Ranking URL is not the target",""),3,300))))</f>
        <v/>
      </c>
      <c r="AA966">
        <f>IF(G966="","",IF(COUNTIF($G$3:G966,SUBSTITUTE(SUBSTITUTE(G966,"?","~?"),"*","~*"))=1,MAX($AA$2:AA965)+1,""))</f>
        <v/>
      </c>
      <c r="AB966">
        <f>IF(B966="","",IF(COUNTIF($B$3:B966,SUBSTITUTE(SUBSTITUTE(B966,"?","~?"),"*","~*"))=1,MAX($AB$2:AB965)+1,""))</f>
        <v/>
      </c>
    </row>
    <row r="967">
      <c r="M967">
        <f>IF(A967="","",LOWER(TRIM(SUBSTITUTE(SUBSTITUTE(A967,"?",""),"*",""))))</f>
        <v/>
      </c>
      <c r="N967">
        <f>IF(M967="","",IF(SUMPRODUCT(ISNUMBER(SEARCH(" "&amp;Settings!$L$5:$L$124&amp;" "," "&amp;M967&amp;" "))*(Settings!$K$5:$K$124="Navigational")*(Settings!$L$5:$L$124&lt;&gt;""))&gt;0,"Navigational",IF(SUMPRODUCT(ISNUMBER(SEARCH(" "&amp;Settings!$L$5:$L$124&amp;" "," "&amp;M967&amp;" "))*(Settings!$K$5:$K$124="Transactional")*(Settings!$L$5:$L$124&lt;&gt;""))&gt;0,"Transactional",IF(SUMPRODUCT(ISNUMBER(SEARCH(" "&amp;Settings!$L$5:$L$124&amp;" "," "&amp;M967&amp;" "))*(Settings!$K$5:$K$124="Commercial")*(Settings!$L$5:$L$124&lt;&gt;""))&gt;0,"Commercial",IF(SUMPRODUCT(ISNUMBER(SEARCH(" "&amp;Settings!$L$5:$L$124&amp;" "," "&amp;M967&amp;" "))*(Settings!$K$5:$K$124="Informational")*(Settings!$L$5:$L$124&lt;&gt;""))&gt;0,"Informational","Unclassified")))))</f>
        <v/>
      </c>
      <c r="O967">
        <f>IF(A967="","",IF(K967&lt;&gt;"",PROPER(K967),N967))</f>
        <v/>
      </c>
      <c r="P967">
        <f>IF(A967="","",ROUND(Settings!$B$5*MIN(1,LOG10(N(C967)+1)/LOG10(Settings!$B$7+1))+Settings!$B$6*(1-MIN(100,IF(D967="",50,N(D967)))/100)+IFERROR(INDEX(Settings!$B$10:$B$14,MATCH(O967,Settings!$A$10:$A$14,0)),0),0))</f>
        <v/>
      </c>
      <c r="Q967">
        <f>IF(OR(A967="",G967=""),"",COUNTIFS($M$3:$M$1002,M967,$G$3:$G$1002,"&lt;&gt;"&amp;SUBSTITUTE(SUBSTITUTE(G967,"?","~?"),"*","~*"),$G$3:$G$1002,"?*"))</f>
        <v/>
      </c>
      <c r="R967">
        <f>IF(Q967="","",IF(Q967&gt;0,"Yes","No"))</f>
        <v/>
      </c>
      <c r="S967">
        <f>IF(G967="","",COUNTIFS($G$3:$G$1002,SUBSTITUTE(SUBSTITUTE(G967,"?","~?"),"*","~*"),$J$3:$J$1002,"Primary"))</f>
        <v/>
      </c>
      <c r="T967">
        <f>IF(S967="","",IF(S967&gt;Settings!$B$4,"Yes","No"))</f>
        <v/>
      </c>
      <c r="U967">
        <f>IF(OR(G967="",B967=""),"",IF(COUNTIFS($G$3:$G$1002,SUBSTITUTE(SUBSTITUTE(G967,"?","~?"),"*","~*"),$B$3:$B$1002,"&lt;&gt;"&amp;SUBSTITUTE(SUBSTITUTE(B967,"?","~?"),"*","~*"),$B$3:$B$1002,"?*")&gt;0,"Yes","No"))</f>
        <v/>
      </c>
      <c r="V967">
        <f>IF(OR(G967="",I967="",O967="",O967="Unclassified"),"",IFERROR(INDEX(Settings!$E$5:$H$16,MATCH(I967,Settings!$D$5:$D$16,0),MATCH(O967,Settings!$E$4:$H$4,0)),"Check"))</f>
        <v/>
      </c>
      <c r="W967">
        <f>IF(V967="","",IF(V967="No","Yes","No"))</f>
        <v/>
      </c>
      <c r="X967">
        <f>IF(OR(E967="",G967=""),"",IF(LOWER(IF(RIGHT(TRIM(E967),1)="/",LEFT(TRIM(E967),LEN(TRIM(E967))-1),TRIM(E967)))&lt;&gt;LOWER(IF(RIGHT(TRIM(G967),1)="/",LEFT(TRIM(G967),LEN(TRIM(G967))-1),TRIM(G967))),"Yes","No"))</f>
        <v/>
      </c>
      <c r="Y967">
        <f>IF(A967="","",(N(Q967)&gt;0)+(T967="Yes")+(U967="Yes")+(W967="Yes")+(X967="Yes"))</f>
        <v/>
      </c>
      <c r="Z967">
        <f>IF(A967="","",IF(G967="","Not mapped",IF(Y967=0,"OK",MID(IF(N(Q967)&gt;0,"; Cannibalisation","")&amp;IF(T967="Yes","; Too many primary keywords on URL","")&amp;IF(U967="Yes","; URL spans 2+ clusters","")&amp;IF(W967="Yes","; Intent mismatch","")&amp;IF(X967="Yes","; Ranking URL is not the target",""),3,300))))</f>
        <v/>
      </c>
      <c r="AA967">
        <f>IF(G967="","",IF(COUNTIF($G$3:G967,SUBSTITUTE(SUBSTITUTE(G967,"?","~?"),"*","~*"))=1,MAX($AA$2:AA966)+1,""))</f>
        <v/>
      </c>
      <c r="AB967">
        <f>IF(B967="","",IF(COUNTIF($B$3:B967,SUBSTITUTE(SUBSTITUTE(B967,"?","~?"),"*","~*"))=1,MAX($AB$2:AB966)+1,""))</f>
        <v/>
      </c>
    </row>
    <row r="968">
      <c r="M968">
        <f>IF(A968="","",LOWER(TRIM(SUBSTITUTE(SUBSTITUTE(A968,"?",""),"*",""))))</f>
        <v/>
      </c>
      <c r="N968">
        <f>IF(M968="","",IF(SUMPRODUCT(ISNUMBER(SEARCH(" "&amp;Settings!$L$5:$L$124&amp;" "," "&amp;M968&amp;" "))*(Settings!$K$5:$K$124="Navigational")*(Settings!$L$5:$L$124&lt;&gt;""))&gt;0,"Navigational",IF(SUMPRODUCT(ISNUMBER(SEARCH(" "&amp;Settings!$L$5:$L$124&amp;" "," "&amp;M968&amp;" "))*(Settings!$K$5:$K$124="Transactional")*(Settings!$L$5:$L$124&lt;&gt;""))&gt;0,"Transactional",IF(SUMPRODUCT(ISNUMBER(SEARCH(" "&amp;Settings!$L$5:$L$124&amp;" "," "&amp;M968&amp;" "))*(Settings!$K$5:$K$124="Commercial")*(Settings!$L$5:$L$124&lt;&gt;""))&gt;0,"Commercial",IF(SUMPRODUCT(ISNUMBER(SEARCH(" "&amp;Settings!$L$5:$L$124&amp;" "," "&amp;M968&amp;" "))*(Settings!$K$5:$K$124="Informational")*(Settings!$L$5:$L$124&lt;&gt;""))&gt;0,"Informational","Unclassified")))))</f>
        <v/>
      </c>
      <c r="O968">
        <f>IF(A968="","",IF(K968&lt;&gt;"",PROPER(K968),N968))</f>
        <v/>
      </c>
      <c r="P968">
        <f>IF(A968="","",ROUND(Settings!$B$5*MIN(1,LOG10(N(C968)+1)/LOG10(Settings!$B$7+1))+Settings!$B$6*(1-MIN(100,IF(D968="",50,N(D968)))/100)+IFERROR(INDEX(Settings!$B$10:$B$14,MATCH(O968,Settings!$A$10:$A$14,0)),0),0))</f>
        <v/>
      </c>
      <c r="Q968">
        <f>IF(OR(A968="",G968=""),"",COUNTIFS($M$3:$M$1002,M968,$G$3:$G$1002,"&lt;&gt;"&amp;SUBSTITUTE(SUBSTITUTE(G968,"?","~?"),"*","~*"),$G$3:$G$1002,"?*"))</f>
        <v/>
      </c>
      <c r="R968">
        <f>IF(Q968="","",IF(Q968&gt;0,"Yes","No"))</f>
        <v/>
      </c>
      <c r="S968">
        <f>IF(G968="","",COUNTIFS($G$3:$G$1002,SUBSTITUTE(SUBSTITUTE(G968,"?","~?"),"*","~*"),$J$3:$J$1002,"Primary"))</f>
        <v/>
      </c>
      <c r="T968">
        <f>IF(S968="","",IF(S968&gt;Settings!$B$4,"Yes","No"))</f>
        <v/>
      </c>
      <c r="U968">
        <f>IF(OR(G968="",B968=""),"",IF(COUNTIFS($G$3:$G$1002,SUBSTITUTE(SUBSTITUTE(G968,"?","~?"),"*","~*"),$B$3:$B$1002,"&lt;&gt;"&amp;SUBSTITUTE(SUBSTITUTE(B968,"?","~?"),"*","~*"),$B$3:$B$1002,"?*")&gt;0,"Yes","No"))</f>
        <v/>
      </c>
      <c r="V968">
        <f>IF(OR(G968="",I968="",O968="",O968="Unclassified"),"",IFERROR(INDEX(Settings!$E$5:$H$16,MATCH(I968,Settings!$D$5:$D$16,0),MATCH(O968,Settings!$E$4:$H$4,0)),"Check"))</f>
        <v/>
      </c>
      <c r="W968">
        <f>IF(V968="","",IF(V968="No","Yes","No"))</f>
        <v/>
      </c>
      <c r="X968">
        <f>IF(OR(E968="",G968=""),"",IF(LOWER(IF(RIGHT(TRIM(E968),1)="/",LEFT(TRIM(E968),LEN(TRIM(E968))-1),TRIM(E968)))&lt;&gt;LOWER(IF(RIGHT(TRIM(G968),1)="/",LEFT(TRIM(G968),LEN(TRIM(G968))-1),TRIM(G968))),"Yes","No"))</f>
        <v/>
      </c>
      <c r="Y968">
        <f>IF(A968="","",(N(Q968)&gt;0)+(T968="Yes")+(U968="Yes")+(W968="Yes")+(X968="Yes"))</f>
        <v/>
      </c>
      <c r="Z968">
        <f>IF(A968="","",IF(G968="","Not mapped",IF(Y968=0,"OK",MID(IF(N(Q968)&gt;0,"; Cannibalisation","")&amp;IF(T968="Yes","; Too many primary keywords on URL","")&amp;IF(U968="Yes","; URL spans 2+ clusters","")&amp;IF(W968="Yes","; Intent mismatch","")&amp;IF(X968="Yes","; Ranking URL is not the target",""),3,300))))</f>
        <v/>
      </c>
      <c r="AA968">
        <f>IF(G968="","",IF(COUNTIF($G$3:G968,SUBSTITUTE(SUBSTITUTE(G968,"?","~?"),"*","~*"))=1,MAX($AA$2:AA967)+1,""))</f>
        <v/>
      </c>
      <c r="AB968">
        <f>IF(B968="","",IF(COUNTIF($B$3:B968,SUBSTITUTE(SUBSTITUTE(B968,"?","~?"),"*","~*"))=1,MAX($AB$2:AB967)+1,""))</f>
        <v/>
      </c>
    </row>
    <row r="969">
      <c r="M969">
        <f>IF(A969="","",LOWER(TRIM(SUBSTITUTE(SUBSTITUTE(A969,"?",""),"*",""))))</f>
        <v/>
      </c>
      <c r="N969">
        <f>IF(M969="","",IF(SUMPRODUCT(ISNUMBER(SEARCH(" "&amp;Settings!$L$5:$L$124&amp;" "," "&amp;M969&amp;" "))*(Settings!$K$5:$K$124="Navigational")*(Settings!$L$5:$L$124&lt;&gt;""))&gt;0,"Navigational",IF(SUMPRODUCT(ISNUMBER(SEARCH(" "&amp;Settings!$L$5:$L$124&amp;" "," "&amp;M969&amp;" "))*(Settings!$K$5:$K$124="Transactional")*(Settings!$L$5:$L$124&lt;&gt;""))&gt;0,"Transactional",IF(SUMPRODUCT(ISNUMBER(SEARCH(" "&amp;Settings!$L$5:$L$124&amp;" "," "&amp;M969&amp;" "))*(Settings!$K$5:$K$124="Commercial")*(Settings!$L$5:$L$124&lt;&gt;""))&gt;0,"Commercial",IF(SUMPRODUCT(ISNUMBER(SEARCH(" "&amp;Settings!$L$5:$L$124&amp;" "," "&amp;M969&amp;" "))*(Settings!$K$5:$K$124="Informational")*(Settings!$L$5:$L$124&lt;&gt;""))&gt;0,"Informational","Unclassified")))))</f>
        <v/>
      </c>
      <c r="O969">
        <f>IF(A969="","",IF(K969&lt;&gt;"",PROPER(K969),N969))</f>
        <v/>
      </c>
      <c r="P969">
        <f>IF(A969="","",ROUND(Settings!$B$5*MIN(1,LOG10(N(C969)+1)/LOG10(Settings!$B$7+1))+Settings!$B$6*(1-MIN(100,IF(D969="",50,N(D969)))/100)+IFERROR(INDEX(Settings!$B$10:$B$14,MATCH(O969,Settings!$A$10:$A$14,0)),0),0))</f>
        <v/>
      </c>
      <c r="Q969">
        <f>IF(OR(A969="",G969=""),"",COUNTIFS($M$3:$M$1002,M969,$G$3:$G$1002,"&lt;&gt;"&amp;SUBSTITUTE(SUBSTITUTE(G969,"?","~?"),"*","~*"),$G$3:$G$1002,"?*"))</f>
        <v/>
      </c>
      <c r="R969">
        <f>IF(Q969="","",IF(Q969&gt;0,"Yes","No"))</f>
        <v/>
      </c>
      <c r="S969">
        <f>IF(G969="","",COUNTIFS($G$3:$G$1002,SUBSTITUTE(SUBSTITUTE(G969,"?","~?"),"*","~*"),$J$3:$J$1002,"Primary"))</f>
        <v/>
      </c>
      <c r="T969">
        <f>IF(S969="","",IF(S969&gt;Settings!$B$4,"Yes","No"))</f>
        <v/>
      </c>
      <c r="U969">
        <f>IF(OR(G969="",B969=""),"",IF(COUNTIFS($G$3:$G$1002,SUBSTITUTE(SUBSTITUTE(G969,"?","~?"),"*","~*"),$B$3:$B$1002,"&lt;&gt;"&amp;SUBSTITUTE(SUBSTITUTE(B969,"?","~?"),"*","~*"),$B$3:$B$1002,"?*")&gt;0,"Yes","No"))</f>
        <v/>
      </c>
      <c r="V969">
        <f>IF(OR(G969="",I969="",O969="",O969="Unclassified"),"",IFERROR(INDEX(Settings!$E$5:$H$16,MATCH(I969,Settings!$D$5:$D$16,0),MATCH(O969,Settings!$E$4:$H$4,0)),"Check"))</f>
        <v/>
      </c>
      <c r="W969">
        <f>IF(V969="","",IF(V969="No","Yes","No"))</f>
        <v/>
      </c>
      <c r="X969">
        <f>IF(OR(E969="",G969=""),"",IF(LOWER(IF(RIGHT(TRIM(E969),1)="/",LEFT(TRIM(E969),LEN(TRIM(E969))-1),TRIM(E969)))&lt;&gt;LOWER(IF(RIGHT(TRIM(G969),1)="/",LEFT(TRIM(G969),LEN(TRIM(G969))-1),TRIM(G969))),"Yes","No"))</f>
        <v/>
      </c>
      <c r="Y969">
        <f>IF(A969="","",(N(Q969)&gt;0)+(T969="Yes")+(U969="Yes")+(W969="Yes")+(X969="Yes"))</f>
        <v/>
      </c>
      <c r="Z969">
        <f>IF(A969="","",IF(G969="","Not mapped",IF(Y969=0,"OK",MID(IF(N(Q969)&gt;0,"; Cannibalisation","")&amp;IF(T969="Yes","; Too many primary keywords on URL","")&amp;IF(U969="Yes","; URL spans 2+ clusters","")&amp;IF(W969="Yes","; Intent mismatch","")&amp;IF(X969="Yes","; Ranking URL is not the target",""),3,300))))</f>
        <v/>
      </c>
      <c r="AA969">
        <f>IF(G969="","",IF(COUNTIF($G$3:G969,SUBSTITUTE(SUBSTITUTE(G969,"?","~?"),"*","~*"))=1,MAX($AA$2:AA968)+1,""))</f>
        <v/>
      </c>
      <c r="AB969">
        <f>IF(B969="","",IF(COUNTIF($B$3:B969,SUBSTITUTE(SUBSTITUTE(B969,"?","~?"),"*","~*"))=1,MAX($AB$2:AB968)+1,""))</f>
        <v/>
      </c>
    </row>
    <row r="970">
      <c r="M970">
        <f>IF(A970="","",LOWER(TRIM(SUBSTITUTE(SUBSTITUTE(A970,"?",""),"*",""))))</f>
        <v/>
      </c>
      <c r="N970">
        <f>IF(M970="","",IF(SUMPRODUCT(ISNUMBER(SEARCH(" "&amp;Settings!$L$5:$L$124&amp;" "," "&amp;M970&amp;" "))*(Settings!$K$5:$K$124="Navigational")*(Settings!$L$5:$L$124&lt;&gt;""))&gt;0,"Navigational",IF(SUMPRODUCT(ISNUMBER(SEARCH(" "&amp;Settings!$L$5:$L$124&amp;" "," "&amp;M970&amp;" "))*(Settings!$K$5:$K$124="Transactional")*(Settings!$L$5:$L$124&lt;&gt;""))&gt;0,"Transactional",IF(SUMPRODUCT(ISNUMBER(SEARCH(" "&amp;Settings!$L$5:$L$124&amp;" "," "&amp;M970&amp;" "))*(Settings!$K$5:$K$124="Commercial")*(Settings!$L$5:$L$124&lt;&gt;""))&gt;0,"Commercial",IF(SUMPRODUCT(ISNUMBER(SEARCH(" "&amp;Settings!$L$5:$L$124&amp;" "," "&amp;M970&amp;" "))*(Settings!$K$5:$K$124="Informational")*(Settings!$L$5:$L$124&lt;&gt;""))&gt;0,"Informational","Unclassified")))))</f>
        <v/>
      </c>
      <c r="O970">
        <f>IF(A970="","",IF(K970&lt;&gt;"",PROPER(K970),N970))</f>
        <v/>
      </c>
      <c r="P970">
        <f>IF(A970="","",ROUND(Settings!$B$5*MIN(1,LOG10(N(C970)+1)/LOG10(Settings!$B$7+1))+Settings!$B$6*(1-MIN(100,IF(D970="",50,N(D970)))/100)+IFERROR(INDEX(Settings!$B$10:$B$14,MATCH(O970,Settings!$A$10:$A$14,0)),0),0))</f>
        <v/>
      </c>
      <c r="Q970">
        <f>IF(OR(A970="",G970=""),"",COUNTIFS($M$3:$M$1002,M970,$G$3:$G$1002,"&lt;&gt;"&amp;SUBSTITUTE(SUBSTITUTE(G970,"?","~?"),"*","~*"),$G$3:$G$1002,"?*"))</f>
        <v/>
      </c>
      <c r="R970">
        <f>IF(Q970="","",IF(Q970&gt;0,"Yes","No"))</f>
        <v/>
      </c>
      <c r="S970">
        <f>IF(G970="","",COUNTIFS($G$3:$G$1002,SUBSTITUTE(SUBSTITUTE(G970,"?","~?"),"*","~*"),$J$3:$J$1002,"Primary"))</f>
        <v/>
      </c>
      <c r="T970">
        <f>IF(S970="","",IF(S970&gt;Settings!$B$4,"Yes","No"))</f>
        <v/>
      </c>
      <c r="U970">
        <f>IF(OR(G970="",B970=""),"",IF(COUNTIFS($G$3:$G$1002,SUBSTITUTE(SUBSTITUTE(G970,"?","~?"),"*","~*"),$B$3:$B$1002,"&lt;&gt;"&amp;SUBSTITUTE(SUBSTITUTE(B970,"?","~?"),"*","~*"),$B$3:$B$1002,"?*")&gt;0,"Yes","No"))</f>
        <v/>
      </c>
      <c r="V970">
        <f>IF(OR(G970="",I970="",O970="",O970="Unclassified"),"",IFERROR(INDEX(Settings!$E$5:$H$16,MATCH(I970,Settings!$D$5:$D$16,0),MATCH(O970,Settings!$E$4:$H$4,0)),"Check"))</f>
        <v/>
      </c>
      <c r="W970">
        <f>IF(V970="","",IF(V970="No","Yes","No"))</f>
        <v/>
      </c>
      <c r="X970">
        <f>IF(OR(E970="",G970=""),"",IF(LOWER(IF(RIGHT(TRIM(E970),1)="/",LEFT(TRIM(E970),LEN(TRIM(E970))-1),TRIM(E970)))&lt;&gt;LOWER(IF(RIGHT(TRIM(G970),1)="/",LEFT(TRIM(G970),LEN(TRIM(G970))-1),TRIM(G970))),"Yes","No"))</f>
        <v/>
      </c>
      <c r="Y970">
        <f>IF(A970="","",(N(Q970)&gt;0)+(T970="Yes")+(U970="Yes")+(W970="Yes")+(X970="Yes"))</f>
        <v/>
      </c>
      <c r="Z970">
        <f>IF(A970="","",IF(G970="","Not mapped",IF(Y970=0,"OK",MID(IF(N(Q970)&gt;0,"; Cannibalisation","")&amp;IF(T970="Yes","; Too many primary keywords on URL","")&amp;IF(U970="Yes","; URL spans 2+ clusters","")&amp;IF(W970="Yes","; Intent mismatch","")&amp;IF(X970="Yes","; Ranking URL is not the target",""),3,300))))</f>
        <v/>
      </c>
      <c r="AA970">
        <f>IF(G970="","",IF(COUNTIF($G$3:G970,SUBSTITUTE(SUBSTITUTE(G970,"?","~?"),"*","~*"))=1,MAX($AA$2:AA969)+1,""))</f>
        <v/>
      </c>
      <c r="AB970">
        <f>IF(B970="","",IF(COUNTIF($B$3:B970,SUBSTITUTE(SUBSTITUTE(B970,"?","~?"),"*","~*"))=1,MAX($AB$2:AB969)+1,""))</f>
        <v/>
      </c>
    </row>
    <row r="971">
      <c r="M971">
        <f>IF(A971="","",LOWER(TRIM(SUBSTITUTE(SUBSTITUTE(A971,"?",""),"*",""))))</f>
        <v/>
      </c>
      <c r="N971">
        <f>IF(M971="","",IF(SUMPRODUCT(ISNUMBER(SEARCH(" "&amp;Settings!$L$5:$L$124&amp;" "," "&amp;M971&amp;" "))*(Settings!$K$5:$K$124="Navigational")*(Settings!$L$5:$L$124&lt;&gt;""))&gt;0,"Navigational",IF(SUMPRODUCT(ISNUMBER(SEARCH(" "&amp;Settings!$L$5:$L$124&amp;" "," "&amp;M971&amp;" "))*(Settings!$K$5:$K$124="Transactional")*(Settings!$L$5:$L$124&lt;&gt;""))&gt;0,"Transactional",IF(SUMPRODUCT(ISNUMBER(SEARCH(" "&amp;Settings!$L$5:$L$124&amp;" "," "&amp;M971&amp;" "))*(Settings!$K$5:$K$124="Commercial")*(Settings!$L$5:$L$124&lt;&gt;""))&gt;0,"Commercial",IF(SUMPRODUCT(ISNUMBER(SEARCH(" "&amp;Settings!$L$5:$L$124&amp;" "," "&amp;M971&amp;" "))*(Settings!$K$5:$K$124="Informational")*(Settings!$L$5:$L$124&lt;&gt;""))&gt;0,"Informational","Unclassified")))))</f>
        <v/>
      </c>
      <c r="O971">
        <f>IF(A971="","",IF(K971&lt;&gt;"",PROPER(K971),N971))</f>
        <v/>
      </c>
      <c r="P971">
        <f>IF(A971="","",ROUND(Settings!$B$5*MIN(1,LOG10(N(C971)+1)/LOG10(Settings!$B$7+1))+Settings!$B$6*(1-MIN(100,IF(D971="",50,N(D971)))/100)+IFERROR(INDEX(Settings!$B$10:$B$14,MATCH(O971,Settings!$A$10:$A$14,0)),0),0))</f>
        <v/>
      </c>
      <c r="Q971">
        <f>IF(OR(A971="",G971=""),"",COUNTIFS($M$3:$M$1002,M971,$G$3:$G$1002,"&lt;&gt;"&amp;SUBSTITUTE(SUBSTITUTE(G971,"?","~?"),"*","~*"),$G$3:$G$1002,"?*"))</f>
        <v/>
      </c>
      <c r="R971">
        <f>IF(Q971="","",IF(Q971&gt;0,"Yes","No"))</f>
        <v/>
      </c>
      <c r="S971">
        <f>IF(G971="","",COUNTIFS($G$3:$G$1002,SUBSTITUTE(SUBSTITUTE(G971,"?","~?"),"*","~*"),$J$3:$J$1002,"Primary"))</f>
        <v/>
      </c>
      <c r="T971">
        <f>IF(S971="","",IF(S971&gt;Settings!$B$4,"Yes","No"))</f>
        <v/>
      </c>
      <c r="U971">
        <f>IF(OR(G971="",B971=""),"",IF(COUNTIFS($G$3:$G$1002,SUBSTITUTE(SUBSTITUTE(G971,"?","~?"),"*","~*"),$B$3:$B$1002,"&lt;&gt;"&amp;SUBSTITUTE(SUBSTITUTE(B971,"?","~?"),"*","~*"),$B$3:$B$1002,"?*")&gt;0,"Yes","No"))</f>
        <v/>
      </c>
      <c r="V971">
        <f>IF(OR(G971="",I971="",O971="",O971="Unclassified"),"",IFERROR(INDEX(Settings!$E$5:$H$16,MATCH(I971,Settings!$D$5:$D$16,0),MATCH(O971,Settings!$E$4:$H$4,0)),"Check"))</f>
        <v/>
      </c>
      <c r="W971">
        <f>IF(V971="","",IF(V971="No","Yes","No"))</f>
        <v/>
      </c>
      <c r="X971">
        <f>IF(OR(E971="",G971=""),"",IF(LOWER(IF(RIGHT(TRIM(E971),1)="/",LEFT(TRIM(E971),LEN(TRIM(E971))-1),TRIM(E971)))&lt;&gt;LOWER(IF(RIGHT(TRIM(G971),1)="/",LEFT(TRIM(G971),LEN(TRIM(G971))-1),TRIM(G971))),"Yes","No"))</f>
        <v/>
      </c>
      <c r="Y971">
        <f>IF(A971="","",(N(Q971)&gt;0)+(T971="Yes")+(U971="Yes")+(W971="Yes")+(X971="Yes"))</f>
        <v/>
      </c>
      <c r="Z971">
        <f>IF(A971="","",IF(G971="","Not mapped",IF(Y971=0,"OK",MID(IF(N(Q971)&gt;0,"; Cannibalisation","")&amp;IF(T971="Yes","; Too many primary keywords on URL","")&amp;IF(U971="Yes","; URL spans 2+ clusters","")&amp;IF(W971="Yes","; Intent mismatch","")&amp;IF(X971="Yes","; Ranking URL is not the target",""),3,300))))</f>
        <v/>
      </c>
      <c r="AA971">
        <f>IF(G971="","",IF(COUNTIF($G$3:G971,SUBSTITUTE(SUBSTITUTE(G971,"?","~?"),"*","~*"))=1,MAX($AA$2:AA970)+1,""))</f>
        <v/>
      </c>
      <c r="AB971">
        <f>IF(B971="","",IF(COUNTIF($B$3:B971,SUBSTITUTE(SUBSTITUTE(B971,"?","~?"),"*","~*"))=1,MAX($AB$2:AB970)+1,""))</f>
        <v/>
      </c>
    </row>
    <row r="972">
      <c r="M972">
        <f>IF(A972="","",LOWER(TRIM(SUBSTITUTE(SUBSTITUTE(A972,"?",""),"*",""))))</f>
        <v/>
      </c>
      <c r="N972">
        <f>IF(M972="","",IF(SUMPRODUCT(ISNUMBER(SEARCH(" "&amp;Settings!$L$5:$L$124&amp;" "," "&amp;M972&amp;" "))*(Settings!$K$5:$K$124="Navigational")*(Settings!$L$5:$L$124&lt;&gt;""))&gt;0,"Navigational",IF(SUMPRODUCT(ISNUMBER(SEARCH(" "&amp;Settings!$L$5:$L$124&amp;" "," "&amp;M972&amp;" "))*(Settings!$K$5:$K$124="Transactional")*(Settings!$L$5:$L$124&lt;&gt;""))&gt;0,"Transactional",IF(SUMPRODUCT(ISNUMBER(SEARCH(" "&amp;Settings!$L$5:$L$124&amp;" "," "&amp;M972&amp;" "))*(Settings!$K$5:$K$124="Commercial")*(Settings!$L$5:$L$124&lt;&gt;""))&gt;0,"Commercial",IF(SUMPRODUCT(ISNUMBER(SEARCH(" "&amp;Settings!$L$5:$L$124&amp;" "," "&amp;M972&amp;" "))*(Settings!$K$5:$K$124="Informational")*(Settings!$L$5:$L$124&lt;&gt;""))&gt;0,"Informational","Unclassified")))))</f>
        <v/>
      </c>
      <c r="O972">
        <f>IF(A972="","",IF(K972&lt;&gt;"",PROPER(K972),N972))</f>
        <v/>
      </c>
      <c r="P972">
        <f>IF(A972="","",ROUND(Settings!$B$5*MIN(1,LOG10(N(C972)+1)/LOG10(Settings!$B$7+1))+Settings!$B$6*(1-MIN(100,IF(D972="",50,N(D972)))/100)+IFERROR(INDEX(Settings!$B$10:$B$14,MATCH(O972,Settings!$A$10:$A$14,0)),0),0))</f>
        <v/>
      </c>
      <c r="Q972">
        <f>IF(OR(A972="",G972=""),"",COUNTIFS($M$3:$M$1002,M972,$G$3:$G$1002,"&lt;&gt;"&amp;SUBSTITUTE(SUBSTITUTE(G972,"?","~?"),"*","~*"),$G$3:$G$1002,"?*"))</f>
        <v/>
      </c>
      <c r="R972">
        <f>IF(Q972="","",IF(Q972&gt;0,"Yes","No"))</f>
        <v/>
      </c>
      <c r="S972">
        <f>IF(G972="","",COUNTIFS($G$3:$G$1002,SUBSTITUTE(SUBSTITUTE(G972,"?","~?"),"*","~*"),$J$3:$J$1002,"Primary"))</f>
        <v/>
      </c>
      <c r="T972">
        <f>IF(S972="","",IF(S972&gt;Settings!$B$4,"Yes","No"))</f>
        <v/>
      </c>
      <c r="U972">
        <f>IF(OR(G972="",B972=""),"",IF(COUNTIFS($G$3:$G$1002,SUBSTITUTE(SUBSTITUTE(G972,"?","~?"),"*","~*"),$B$3:$B$1002,"&lt;&gt;"&amp;SUBSTITUTE(SUBSTITUTE(B972,"?","~?"),"*","~*"),$B$3:$B$1002,"?*")&gt;0,"Yes","No"))</f>
        <v/>
      </c>
      <c r="V972">
        <f>IF(OR(G972="",I972="",O972="",O972="Unclassified"),"",IFERROR(INDEX(Settings!$E$5:$H$16,MATCH(I972,Settings!$D$5:$D$16,0),MATCH(O972,Settings!$E$4:$H$4,0)),"Check"))</f>
        <v/>
      </c>
      <c r="W972">
        <f>IF(V972="","",IF(V972="No","Yes","No"))</f>
        <v/>
      </c>
      <c r="X972">
        <f>IF(OR(E972="",G972=""),"",IF(LOWER(IF(RIGHT(TRIM(E972),1)="/",LEFT(TRIM(E972),LEN(TRIM(E972))-1),TRIM(E972)))&lt;&gt;LOWER(IF(RIGHT(TRIM(G972),1)="/",LEFT(TRIM(G972),LEN(TRIM(G972))-1),TRIM(G972))),"Yes","No"))</f>
        <v/>
      </c>
      <c r="Y972">
        <f>IF(A972="","",(N(Q972)&gt;0)+(T972="Yes")+(U972="Yes")+(W972="Yes")+(X972="Yes"))</f>
        <v/>
      </c>
      <c r="Z972">
        <f>IF(A972="","",IF(G972="","Not mapped",IF(Y972=0,"OK",MID(IF(N(Q972)&gt;0,"; Cannibalisation","")&amp;IF(T972="Yes","; Too many primary keywords on URL","")&amp;IF(U972="Yes","; URL spans 2+ clusters","")&amp;IF(W972="Yes","; Intent mismatch","")&amp;IF(X972="Yes","; Ranking URL is not the target",""),3,300))))</f>
        <v/>
      </c>
      <c r="AA972">
        <f>IF(G972="","",IF(COUNTIF($G$3:G972,SUBSTITUTE(SUBSTITUTE(G972,"?","~?"),"*","~*"))=1,MAX($AA$2:AA971)+1,""))</f>
        <v/>
      </c>
      <c r="AB972">
        <f>IF(B972="","",IF(COUNTIF($B$3:B972,SUBSTITUTE(SUBSTITUTE(B972,"?","~?"),"*","~*"))=1,MAX($AB$2:AB971)+1,""))</f>
        <v/>
      </c>
    </row>
    <row r="973">
      <c r="M973">
        <f>IF(A973="","",LOWER(TRIM(SUBSTITUTE(SUBSTITUTE(A973,"?",""),"*",""))))</f>
        <v/>
      </c>
      <c r="N973">
        <f>IF(M973="","",IF(SUMPRODUCT(ISNUMBER(SEARCH(" "&amp;Settings!$L$5:$L$124&amp;" "," "&amp;M973&amp;" "))*(Settings!$K$5:$K$124="Navigational")*(Settings!$L$5:$L$124&lt;&gt;""))&gt;0,"Navigational",IF(SUMPRODUCT(ISNUMBER(SEARCH(" "&amp;Settings!$L$5:$L$124&amp;" "," "&amp;M973&amp;" "))*(Settings!$K$5:$K$124="Transactional")*(Settings!$L$5:$L$124&lt;&gt;""))&gt;0,"Transactional",IF(SUMPRODUCT(ISNUMBER(SEARCH(" "&amp;Settings!$L$5:$L$124&amp;" "," "&amp;M973&amp;" "))*(Settings!$K$5:$K$124="Commercial")*(Settings!$L$5:$L$124&lt;&gt;""))&gt;0,"Commercial",IF(SUMPRODUCT(ISNUMBER(SEARCH(" "&amp;Settings!$L$5:$L$124&amp;" "," "&amp;M973&amp;" "))*(Settings!$K$5:$K$124="Informational")*(Settings!$L$5:$L$124&lt;&gt;""))&gt;0,"Informational","Unclassified")))))</f>
        <v/>
      </c>
      <c r="O973">
        <f>IF(A973="","",IF(K973&lt;&gt;"",PROPER(K973),N973))</f>
        <v/>
      </c>
      <c r="P973">
        <f>IF(A973="","",ROUND(Settings!$B$5*MIN(1,LOG10(N(C973)+1)/LOG10(Settings!$B$7+1))+Settings!$B$6*(1-MIN(100,IF(D973="",50,N(D973)))/100)+IFERROR(INDEX(Settings!$B$10:$B$14,MATCH(O973,Settings!$A$10:$A$14,0)),0),0))</f>
        <v/>
      </c>
      <c r="Q973">
        <f>IF(OR(A973="",G973=""),"",COUNTIFS($M$3:$M$1002,M973,$G$3:$G$1002,"&lt;&gt;"&amp;SUBSTITUTE(SUBSTITUTE(G973,"?","~?"),"*","~*"),$G$3:$G$1002,"?*"))</f>
        <v/>
      </c>
      <c r="R973">
        <f>IF(Q973="","",IF(Q973&gt;0,"Yes","No"))</f>
        <v/>
      </c>
      <c r="S973">
        <f>IF(G973="","",COUNTIFS($G$3:$G$1002,SUBSTITUTE(SUBSTITUTE(G973,"?","~?"),"*","~*"),$J$3:$J$1002,"Primary"))</f>
        <v/>
      </c>
      <c r="T973">
        <f>IF(S973="","",IF(S973&gt;Settings!$B$4,"Yes","No"))</f>
        <v/>
      </c>
      <c r="U973">
        <f>IF(OR(G973="",B973=""),"",IF(COUNTIFS($G$3:$G$1002,SUBSTITUTE(SUBSTITUTE(G973,"?","~?"),"*","~*"),$B$3:$B$1002,"&lt;&gt;"&amp;SUBSTITUTE(SUBSTITUTE(B973,"?","~?"),"*","~*"),$B$3:$B$1002,"?*")&gt;0,"Yes","No"))</f>
        <v/>
      </c>
      <c r="V973">
        <f>IF(OR(G973="",I973="",O973="",O973="Unclassified"),"",IFERROR(INDEX(Settings!$E$5:$H$16,MATCH(I973,Settings!$D$5:$D$16,0),MATCH(O973,Settings!$E$4:$H$4,0)),"Check"))</f>
        <v/>
      </c>
      <c r="W973">
        <f>IF(V973="","",IF(V973="No","Yes","No"))</f>
        <v/>
      </c>
      <c r="X973">
        <f>IF(OR(E973="",G973=""),"",IF(LOWER(IF(RIGHT(TRIM(E973),1)="/",LEFT(TRIM(E973),LEN(TRIM(E973))-1),TRIM(E973)))&lt;&gt;LOWER(IF(RIGHT(TRIM(G973),1)="/",LEFT(TRIM(G973),LEN(TRIM(G973))-1),TRIM(G973))),"Yes","No"))</f>
        <v/>
      </c>
      <c r="Y973">
        <f>IF(A973="","",(N(Q973)&gt;0)+(T973="Yes")+(U973="Yes")+(W973="Yes")+(X973="Yes"))</f>
        <v/>
      </c>
      <c r="Z973">
        <f>IF(A973="","",IF(G973="","Not mapped",IF(Y973=0,"OK",MID(IF(N(Q973)&gt;0,"; Cannibalisation","")&amp;IF(T973="Yes","; Too many primary keywords on URL","")&amp;IF(U973="Yes","; URL spans 2+ clusters","")&amp;IF(W973="Yes","; Intent mismatch","")&amp;IF(X973="Yes","; Ranking URL is not the target",""),3,300))))</f>
        <v/>
      </c>
      <c r="AA973">
        <f>IF(G973="","",IF(COUNTIF($G$3:G973,SUBSTITUTE(SUBSTITUTE(G973,"?","~?"),"*","~*"))=1,MAX($AA$2:AA972)+1,""))</f>
        <v/>
      </c>
      <c r="AB973">
        <f>IF(B973="","",IF(COUNTIF($B$3:B973,SUBSTITUTE(SUBSTITUTE(B973,"?","~?"),"*","~*"))=1,MAX($AB$2:AB972)+1,""))</f>
        <v/>
      </c>
    </row>
    <row r="974">
      <c r="M974">
        <f>IF(A974="","",LOWER(TRIM(SUBSTITUTE(SUBSTITUTE(A974,"?",""),"*",""))))</f>
        <v/>
      </c>
      <c r="N974">
        <f>IF(M974="","",IF(SUMPRODUCT(ISNUMBER(SEARCH(" "&amp;Settings!$L$5:$L$124&amp;" "," "&amp;M974&amp;" "))*(Settings!$K$5:$K$124="Navigational")*(Settings!$L$5:$L$124&lt;&gt;""))&gt;0,"Navigational",IF(SUMPRODUCT(ISNUMBER(SEARCH(" "&amp;Settings!$L$5:$L$124&amp;" "," "&amp;M974&amp;" "))*(Settings!$K$5:$K$124="Transactional")*(Settings!$L$5:$L$124&lt;&gt;""))&gt;0,"Transactional",IF(SUMPRODUCT(ISNUMBER(SEARCH(" "&amp;Settings!$L$5:$L$124&amp;" "," "&amp;M974&amp;" "))*(Settings!$K$5:$K$124="Commercial")*(Settings!$L$5:$L$124&lt;&gt;""))&gt;0,"Commercial",IF(SUMPRODUCT(ISNUMBER(SEARCH(" "&amp;Settings!$L$5:$L$124&amp;" "," "&amp;M974&amp;" "))*(Settings!$K$5:$K$124="Informational")*(Settings!$L$5:$L$124&lt;&gt;""))&gt;0,"Informational","Unclassified")))))</f>
        <v/>
      </c>
      <c r="O974">
        <f>IF(A974="","",IF(K974&lt;&gt;"",PROPER(K974),N974))</f>
        <v/>
      </c>
      <c r="P974">
        <f>IF(A974="","",ROUND(Settings!$B$5*MIN(1,LOG10(N(C974)+1)/LOG10(Settings!$B$7+1))+Settings!$B$6*(1-MIN(100,IF(D974="",50,N(D974)))/100)+IFERROR(INDEX(Settings!$B$10:$B$14,MATCH(O974,Settings!$A$10:$A$14,0)),0),0))</f>
        <v/>
      </c>
      <c r="Q974">
        <f>IF(OR(A974="",G974=""),"",COUNTIFS($M$3:$M$1002,M974,$G$3:$G$1002,"&lt;&gt;"&amp;SUBSTITUTE(SUBSTITUTE(G974,"?","~?"),"*","~*"),$G$3:$G$1002,"?*"))</f>
        <v/>
      </c>
      <c r="R974">
        <f>IF(Q974="","",IF(Q974&gt;0,"Yes","No"))</f>
        <v/>
      </c>
      <c r="S974">
        <f>IF(G974="","",COUNTIFS($G$3:$G$1002,SUBSTITUTE(SUBSTITUTE(G974,"?","~?"),"*","~*"),$J$3:$J$1002,"Primary"))</f>
        <v/>
      </c>
      <c r="T974">
        <f>IF(S974="","",IF(S974&gt;Settings!$B$4,"Yes","No"))</f>
        <v/>
      </c>
      <c r="U974">
        <f>IF(OR(G974="",B974=""),"",IF(COUNTIFS($G$3:$G$1002,SUBSTITUTE(SUBSTITUTE(G974,"?","~?"),"*","~*"),$B$3:$B$1002,"&lt;&gt;"&amp;SUBSTITUTE(SUBSTITUTE(B974,"?","~?"),"*","~*"),$B$3:$B$1002,"?*")&gt;0,"Yes","No"))</f>
        <v/>
      </c>
      <c r="V974">
        <f>IF(OR(G974="",I974="",O974="",O974="Unclassified"),"",IFERROR(INDEX(Settings!$E$5:$H$16,MATCH(I974,Settings!$D$5:$D$16,0),MATCH(O974,Settings!$E$4:$H$4,0)),"Check"))</f>
        <v/>
      </c>
      <c r="W974">
        <f>IF(V974="","",IF(V974="No","Yes","No"))</f>
        <v/>
      </c>
      <c r="X974">
        <f>IF(OR(E974="",G974=""),"",IF(LOWER(IF(RIGHT(TRIM(E974),1)="/",LEFT(TRIM(E974),LEN(TRIM(E974))-1),TRIM(E974)))&lt;&gt;LOWER(IF(RIGHT(TRIM(G974),1)="/",LEFT(TRIM(G974),LEN(TRIM(G974))-1),TRIM(G974))),"Yes","No"))</f>
        <v/>
      </c>
      <c r="Y974">
        <f>IF(A974="","",(N(Q974)&gt;0)+(T974="Yes")+(U974="Yes")+(W974="Yes")+(X974="Yes"))</f>
        <v/>
      </c>
      <c r="Z974">
        <f>IF(A974="","",IF(G974="","Not mapped",IF(Y974=0,"OK",MID(IF(N(Q974)&gt;0,"; Cannibalisation","")&amp;IF(T974="Yes","; Too many primary keywords on URL","")&amp;IF(U974="Yes","; URL spans 2+ clusters","")&amp;IF(W974="Yes","; Intent mismatch","")&amp;IF(X974="Yes","; Ranking URL is not the target",""),3,300))))</f>
        <v/>
      </c>
      <c r="AA974">
        <f>IF(G974="","",IF(COUNTIF($G$3:G974,SUBSTITUTE(SUBSTITUTE(G974,"?","~?"),"*","~*"))=1,MAX($AA$2:AA973)+1,""))</f>
        <v/>
      </c>
      <c r="AB974">
        <f>IF(B974="","",IF(COUNTIF($B$3:B974,SUBSTITUTE(SUBSTITUTE(B974,"?","~?"),"*","~*"))=1,MAX($AB$2:AB973)+1,""))</f>
        <v/>
      </c>
    </row>
    <row r="975">
      <c r="M975">
        <f>IF(A975="","",LOWER(TRIM(SUBSTITUTE(SUBSTITUTE(A975,"?",""),"*",""))))</f>
        <v/>
      </c>
      <c r="N975">
        <f>IF(M975="","",IF(SUMPRODUCT(ISNUMBER(SEARCH(" "&amp;Settings!$L$5:$L$124&amp;" "," "&amp;M975&amp;" "))*(Settings!$K$5:$K$124="Navigational")*(Settings!$L$5:$L$124&lt;&gt;""))&gt;0,"Navigational",IF(SUMPRODUCT(ISNUMBER(SEARCH(" "&amp;Settings!$L$5:$L$124&amp;" "," "&amp;M975&amp;" "))*(Settings!$K$5:$K$124="Transactional")*(Settings!$L$5:$L$124&lt;&gt;""))&gt;0,"Transactional",IF(SUMPRODUCT(ISNUMBER(SEARCH(" "&amp;Settings!$L$5:$L$124&amp;" "," "&amp;M975&amp;" "))*(Settings!$K$5:$K$124="Commercial")*(Settings!$L$5:$L$124&lt;&gt;""))&gt;0,"Commercial",IF(SUMPRODUCT(ISNUMBER(SEARCH(" "&amp;Settings!$L$5:$L$124&amp;" "," "&amp;M975&amp;" "))*(Settings!$K$5:$K$124="Informational")*(Settings!$L$5:$L$124&lt;&gt;""))&gt;0,"Informational","Unclassified")))))</f>
        <v/>
      </c>
      <c r="O975">
        <f>IF(A975="","",IF(K975&lt;&gt;"",PROPER(K975),N975))</f>
        <v/>
      </c>
      <c r="P975">
        <f>IF(A975="","",ROUND(Settings!$B$5*MIN(1,LOG10(N(C975)+1)/LOG10(Settings!$B$7+1))+Settings!$B$6*(1-MIN(100,IF(D975="",50,N(D975)))/100)+IFERROR(INDEX(Settings!$B$10:$B$14,MATCH(O975,Settings!$A$10:$A$14,0)),0),0))</f>
        <v/>
      </c>
      <c r="Q975">
        <f>IF(OR(A975="",G975=""),"",COUNTIFS($M$3:$M$1002,M975,$G$3:$G$1002,"&lt;&gt;"&amp;SUBSTITUTE(SUBSTITUTE(G975,"?","~?"),"*","~*"),$G$3:$G$1002,"?*"))</f>
        <v/>
      </c>
      <c r="R975">
        <f>IF(Q975="","",IF(Q975&gt;0,"Yes","No"))</f>
        <v/>
      </c>
      <c r="S975">
        <f>IF(G975="","",COUNTIFS($G$3:$G$1002,SUBSTITUTE(SUBSTITUTE(G975,"?","~?"),"*","~*"),$J$3:$J$1002,"Primary"))</f>
        <v/>
      </c>
      <c r="T975">
        <f>IF(S975="","",IF(S975&gt;Settings!$B$4,"Yes","No"))</f>
        <v/>
      </c>
      <c r="U975">
        <f>IF(OR(G975="",B975=""),"",IF(COUNTIFS($G$3:$G$1002,SUBSTITUTE(SUBSTITUTE(G975,"?","~?"),"*","~*"),$B$3:$B$1002,"&lt;&gt;"&amp;SUBSTITUTE(SUBSTITUTE(B975,"?","~?"),"*","~*"),$B$3:$B$1002,"?*")&gt;0,"Yes","No"))</f>
        <v/>
      </c>
      <c r="V975">
        <f>IF(OR(G975="",I975="",O975="",O975="Unclassified"),"",IFERROR(INDEX(Settings!$E$5:$H$16,MATCH(I975,Settings!$D$5:$D$16,0),MATCH(O975,Settings!$E$4:$H$4,0)),"Check"))</f>
        <v/>
      </c>
      <c r="W975">
        <f>IF(V975="","",IF(V975="No","Yes","No"))</f>
        <v/>
      </c>
      <c r="X975">
        <f>IF(OR(E975="",G975=""),"",IF(LOWER(IF(RIGHT(TRIM(E975),1)="/",LEFT(TRIM(E975),LEN(TRIM(E975))-1),TRIM(E975)))&lt;&gt;LOWER(IF(RIGHT(TRIM(G975),1)="/",LEFT(TRIM(G975),LEN(TRIM(G975))-1),TRIM(G975))),"Yes","No"))</f>
        <v/>
      </c>
      <c r="Y975">
        <f>IF(A975="","",(N(Q975)&gt;0)+(T975="Yes")+(U975="Yes")+(W975="Yes")+(X975="Yes"))</f>
        <v/>
      </c>
      <c r="Z975">
        <f>IF(A975="","",IF(G975="","Not mapped",IF(Y975=0,"OK",MID(IF(N(Q975)&gt;0,"; Cannibalisation","")&amp;IF(T975="Yes","; Too many primary keywords on URL","")&amp;IF(U975="Yes","; URL spans 2+ clusters","")&amp;IF(W975="Yes","; Intent mismatch","")&amp;IF(X975="Yes","; Ranking URL is not the target",""),3,300))))</f>
        <v/>
      </c>
      <c r="AA975">
        <f>IF(G975="","",IF(COUNTIF($G$3:G975,SUBSTITUTE(SUBSTITUTE(G975,"?","~?"),"*","~*"))=1,MAX($AA$2:AA974)+1,""))</f>
        <v/>
      </c>
      <c r="AB975">
        <f>IF(B975="","",IF(COUNTIF($B$3:B975,SUBSTITUTE(SUBSTITUTE(B975,"?","~?"),"*","~*"))=1,MAX($AB$2:AB974)+1,""))</f>
        <v/>
      </c>
    </row>
    <row r="976">
      <c r="M976">
        <f>IF(A976="","",LOWER(TRIM(SUBSTITUTE(SUBSTITUTE(A976,"?",""),"*",""))))</f>
        <v/>
      </c>
      <c r="N976">
        <f>IF(M976="","",IF(SUMPRODUCT(ISNUMBER(SEARCH(" "&amp;Settings!$L$5:$L$124&amp;" "," "&amp;M976&amp;" "))*(Settings!$K$5:$K$124="Navigational")*(Settings!$L$5:$L$124&lt;&gt;""))&gt;0,"Navigational",IF(SUMPRODUCT(ISNUMBER(SEARCH(" "&amp;Settings!$L$5:$L$124&amp;" "," "&amp;M976&amp;" "))*(Settings!$K$5:$K$124="Transactional")*(Settings!$L$5:$L$124&lt;&gt;""))&gt;0,"Transactional",IF(SUMPRODUCT(ISNUMBER(SEARCH(" "&amp;Settings!$L$5:$L$124&amp;" "," "&amp;M976&amp;" "))*(Settings!$K$5:$K$124="Commercial")*(Settings!$L$5:$L$124&lt;&gt;""))&gt;0,"Commercial",IF(SUMPRODUCT(ISNUMBER(SEARCH(" "&amp;Settings!$L$5:$L$124&amp;" "," "&amp;M976&amp;" "))*(Settings!$K$5:$K$124="Informational")*(Settings!$L$5:$L$124&lt;&gt;""))&gt;0,"Informational","Unclassified")))))</f>
        <v/>
      </c>
      <c r="O976">
        <f>IF(A976="","",IF(K976&lt;&gt;"",PROPER(K976),N976))</f>
        <v/>
      </c>
      <c r="P976">
        <f>IF(A976="","",ROUND(Settings!$B$5*MIN(1,LOG10(N(C976)+1)/LOG10(Settings!$B$7+1))+Settings!$B$6*(1-MIN(100,IF(D976="",50,N(D976)))/100)+IFERROR(INDEX(Settings!$B$10:$B$14,MATCH(O976,Settings!$A$10:$A$14,0)),0),0))</f>
        <v/>
      </c>
      <c r="Q976">
        <f>IF(OR(A976="",G976=""),"",COUNTIFS($M$3:$M$1002,M976,$G$3:$G$1002,"&lt;&gt;"&amp;SUBSTITUTE(SUBSTITUTE(G976,"?","~?"),"*","~*"),$G$3:$G$1002,"?*"))</f>
        <v/>
      </c>
      <c r="R976">
        <f>IF(Q976="","",IF(Q976&gt;0,"Yes","No"))</f>
        <v/>
      </c>
      <c r="S976">
        <f>IF(G976="","",COUNTIFS($G$3:$G$1002,SUBSTITUTE(SUBSTITUTE(G976,"?","~?"),"*","~*"),$J$3:$J$1002,"Primary"))</f>
        <v/>
      </c>
      <c r="T976">
        <f>IF(S976="","",IF(S976&gt;Settings!$B$4,"Yes","No"))</f>
        <v/>
      </c>
      <c r="U976">
        <f>IF(OR(G976="",B976=""),"",IF(COUNTIFS($G$3:$G$1002,SUBSTITUTE(SUBSTITUTE(G976,"?","~?"),"*","~*"),$B$3:$B$1002,"&lt;&gt;"&amp;SUBSTITUTE(SUBSTITUTE(B976,"?","~?"),"*","~*"),$B$3:$B$1002,"?*")&gt;0,"Yes","No"))</f>
        <v/>
      </c>
      <c r="V976">
        <f>IF(OR(G976="",I976="",O976="",O976="Unclassified"),"",IFERROR(INDEX(Settings!$E$5:$H$16,MATCH(I976,Settings!$D$5:$D$16,0),MATCH(O976,Settings!$E$4:$H$4,0)),"Check"))</f>
        <v/>
      </c>
      <c r="W976">
        <f>IF(V976="","",IF(V976="No","Yes","No"))</f>
        <v/>
      </c>
      <c r="X976">
        <f>IF(OR(E976="",G976=""),"",IF(LOWER(IF(RIGHT(TRIM(E976),1)="/",LEFT(TRIM(E976),LEN(TRIM(E976))-1),TRIM(E976)))&lt;&gt;LOWER(IF(RIGHT(TRIM(G976),1)="/",LEFT(TRIM(G976),LEN(TRIM(G976))-1),TRIM(G976))),"Yes","No"))</f>
        <v/>
      </c>
      <c r="Y976">
        <f>IF(A976="","",(N(Q976)&gt;0)+(T976="Yes")+(U976="Yes")+(W976="Yes")+(X976="Yes"))</f>
        <v/>
      </c>
      <c r="Z976">
        <f>IF(A976="","",IF(G976="","Not mapped",IF(Y976=0,"OK",MID(IF(N(Q976)&gt;0,"; Cannibalisation","")&amp;IF(T976="Yes","; Too many primary keywords on URL","")&amp;IF(U976="Yes","; URL spans 2+ clusters","")&amp;IF(W976="Yes","; Intent mismatch","")&amp;IF(X976="Yes","; Ranking URL is not the target",""),3,300))))</f>
        <v/>
      </c>
      <c r="AA976">
        <f>IF(G976="","",IF(COUNTIF($G$3:G976,SUBSTITUTE(SUBSTITUTE(G976,"?","~?"),"*","~*"))=1,MAX($AA$2:AA975)+1,""))</f>
        <v/>
      </c>
      <c r="AB976">
        <f>IF(B976="","",IF(COUNTIF($B$3:B976,SUBSTITUTE(SUBSTITUTE(B976,"?","~?"),"*","~*"))=1,MAX($AB$2:AB975)+1,""))</f>
        <v/>
      </c>
    </row>
    <row r="977">
      <c r="M977">
        <f>IF(A977="","",LOWER(TRIM(SUBSTITUTE(SUBSTITUTE(A977,"?",""),"*",""))))</f>
        <v/>
      </c>
      <c r="N977">
        <f>IF(M977="","",IF(SUMPRODUCT(ISNUMBER(SEARCH(" "&amp;Settings!$L$5:$L$124&amp;" "," "&amp;M977&amp;" "))*(Settings!$K$5:$K$124="Navigational")*(Settings!$L$5:$L$124&lt;&gt;""))&gt;0,"Navigational",IF(SUMPRODUCT(ISNUMBER(SEARCH(" "&amp;Settings!$L$5:$L$124&amp;" "," "&amp;M977&amp;" "))*(Settings!$K$5:$K$124="Transactional")*(Settings!$L$5:$L$124&lt;&gt;""))&gt;0,"Transactional",IF(SUMPRODUCT(ISNUMBER(SEARCH(" "&amp;Settings!$L$5:$L$124&amp;" "," "&amp;M977&amp;" "))*(Settings!$K$5:$K$124="Commercial")*(Settings!$L$5:$L$124&lt;&gt;""))&gt;0,"Commercial",IF(SUMPRODUCT(ISNUMBER(SEARCH(" "&amp;Settings!$L$5:$L$124&amp;" "," "&amp;M977&amp;" "))*(Settings!$K$5:$K$124="Informational")*(Settings!$L$5:$L$124&lt;&gt;""))&gt;0,"Informational","Unclassified")))))</f>
        <v/>
      </c>
      <c r="O977">
        <f>IF(A977="","",IF(K977&lt;&gt;"",PROPER(K977),N977))</f>
        <v/>
      </c>
      <c r="P977">
        <f>IF(A977="","",ROUND(Settings!$B$5*MIN(1,LOG10(N(C977)+1)/LOG10(Settings!$B$7+1))+Settings!$B$6*(1-MIN(100,IF(D977="",50,N(D977)))/100)+IFERROR(INDEX(Settings!$B$10:$B$14,MATCH(O977,Settings!$A$10:$A$14,0)),0),0))</f>
        <v/>
      </c>
      <c r="Q977">
        <f>IF(OR(A977="",G977=""),"",COUNTIFS($M$3:$M$1002,M977,$G$3:$G$1002,"&lt;&gt;"&amp;SUBSTITUTE(SUBSTITUTE(G977,"?","~?"),"*","~*"),$G$3:$G$1002,"?*"))</f>
        <v/>
      </c>
      <c r="R977">
        <f>IF(Q977="","",IF(Q977&gt;0,"Yes","No"))</f>
        <v/>
      </c>
      <c r="S977">
        <f>IF(G977="","",COUNTIFS($G$3:$G$1002,SUBSTITUTE(SUBSTITUTE(G977,"?","~?"),"*","~*"),$J$3:$J$1002,"Primary"))</f>
        <v/>
      </c>
      <c r="T977">
        <f>IF(S977="","",IF(S977&gt;Settings!$B$4,"Yes","No"))</f>
        <v/>
      </c>
      <c r="U977">
        <f>IF(OR(G977="",B977=""),"",IF(COUNTIFS($G$3:$G$1002,SUBSTITUTE(SUBSTITUTE(G977,"?","~?"),"*","~*"),$B$3:$B$1002,"&lt;&gt;"&amp;SUBSTITUTE(SUBSTITUTE(B977,"?","~?"),"*","~*"),$B$3:$B$1002,"?*")&gt;0,"Yes","No"))</f>
        <v/>
      </c>
      <c r="V977">
        <f>IF(OR(G977="",I977="",O977="",O977="Unclassified"),"",IFERROR(INDEX(Settings!$E$5:$H$16,MATCH(I977,Settings!$D$5:$D$16,0),MATCH(O977,Settings!$E$4:$H$4,0)),"Check"))</f>
        <v/>
      </c>
      <c r="W977">
        <f>IF(V977="","",IF(V977="No","Yes","No"))</f>
        <v/>
      </c>
      <c r="X977">
        <f>IF(OR(E977="",G977=""),"",IF(LOWER(IF(RIGHT(TRIM(E977),1)="/",LEFT(TRIM(E977),LEN(TRIM(E977))-1),TRIM(E977)))&lt;&gt;LOWER(IF(RIGHT(TRIM(G977),1)="/",LEFT(TRIM(G977),LEN(TRIM(G977))-1),TRIM(G977))),"Yes","No"))</f>
        <v/>
      </c>
      <c r="Y977">
        <f>IF(A977="","",(N(Q977)&gt;0)+(T977="Yes")+(U977="Yes")+(W977="Yes")+(X977="Yes"))</f>
        <v/>
      </c>
      <c r="Z977">
        <f>IF(A977="","",IF(G977="","Not mapped",IF(Y977=0,"OK",MID(IF(N(Q977)&gt;0,"; Cannibalisation","")&amp;IF(T977="Yes","; Too many primary keywords on URL","")&amp;IF(U977="Yes","; URL spans 2+ clusters","")&amp;IF(W977="Yes","; Intent mismatch","")&amp;IF(X977="Yes","; Ranking URL is not the target",""),3,300))))</f>
        <v/>
      </c>
      <c r="AA977">
        <f>IF(G977="","",IF(COUNTIF($G$3:G977,SUBSTITUTE(SUBSTITUTE(G977,"?","~?"),"*","~*"))=1,MAX($AA$2:AA976)+1,""))</f>
        <v/>
      </c>
      <c r="AB977">
        <f>IF(B977="","",IF(COUNTIF($B$3:B977,SUBSTITUTE(SUBSTITUTE(B977,"?","~?"),"*","~*"))=1,MAX($AB$2:AB976)+1,""))</f>
        <v/>
      </c>
    </row>
    <row r="978">
      <c r="M978">
        <f>IF(A978="","",LOWER(TRIM(SUBSTITUTE(SUBSTITUTE(A978,"?",""),"*",""))))</f>
        <v/>
      </c>
      <c r="N978">
        <f>IF(M978="","",IF(SUMPRODUCT(ISNUMBER(SEARCH(" "&amp;Settings!$L$5:$L$124&amp;" "," "&amp;M978&amp;" "))*(Settings!$K$5:$K$124="Navigational")*(Settings!$L$5:$L$124&lt;&gt;""))&gt;0,"Navigational",IF(SUMPRODUCT(ISNUMBER(SEARCH(" "&amp;Settings!$L$5:$L$124&amp;" "," "&amp;M978&amp;" "))*(Settings!$K$5:$K$124="Transactional")*(Settings!$L$5:$L$124&lt;&gt;""))&gt;0,"Transactional",IF(SUMPRODUCT(ISNUMBER(SEARCH(" "&amp;Settings!$L$5:$L$124&amp;" "," "&amp;M978&amp;" "))*(Settings!$K$5:$K$124="Commercial")*(Settings!$L$5:$L$124&lt;&gt;""))&gt;0,"Commercial",IF(SUMPRODUCT(ISNUMBER(SEARCH(" "&amp;Settings!$L$5:$L$124&amp;" "," "&amp;M978&amp;" "))*(Settings!$K$5:$K$124="Informational")*(Settings!$L$5:$L$124&lt;&gt;""))&gt;0,"Informational","Unclassified")))))</f>
        <v/>
      </c>
      <c r="O978">
        <f>IF(A978="","",IF(K978&lt;&gt;"",PROPER(K978),N978))</f>
        <v/>
      </c>
      <c r="P978">
        <f>IF(A978="","",ROUND(Settings!$B$5*MIN(1,LOG10(N(C978)+1)/LOG10(Settings!$B$7+1))+Settings!$B$6*(1-MIN(100,IF(D978="",50,N(D978)))/100)+IFERROR(INDEX(Settings!$B$10:$B$14,MATCH(O978,Settings!$A$10:$A$14,0)),0),0))</f>
        <v/>
      </c>
      <c r="Q978">
        <f>IF(OR(A978="",G978=""),"",COUNTIFS($M$3:$M$1002,M978,$G$3:$G$1002,"&lt;&gt;"&amp;SUBSTITUTE(SUBSTITUTE(G978,"?","~?"),"*","~*"),$G$3:$G$1002,"?*"))</f>
        <v/>
      </c>
      <c r="R978">
        <f>IF(Q978="","",IF(Q978&gt;0,"Yes","No"))</f>
        <v/>
      </c>
      <c r="S978">
        <f>IF(G978="","",COUNTIFS($G$3:$G$1002,SUBSTITUTE(SUBSTITUTE(G978,"?","~?"),"*","~*"),$J$3:$J$1002,"Primary"))</f>
        <v/>
      </c>
      <c r="T978">
        <f>IF(S978="","",IF(S978&gt;Settings!$B$4,"Yes","No"))</f>
        <v/>
      </c>
      <c r="U978">
        <f>IF(OR(G978="",B978=""),"",IF(COUNTIFS($G$3:$G$1002,SUBSTITUTE(SUBSTITUTE(G978,"?","~?"),"*","~*"),$B$3:$B$1002,"&lt;&gt;"&amp;SUBSTITUTE(SUBSTITUTE(B978,"?","~?"),"*","~*"),$B$3:$B$1002,"?*")&gt;0,"Yes","No"))</f>
        <v/>
      </c>
      <c r="V978">
        <f>IF(OR(G978="",I978="",O978="",O978="Unclassified"),"",IFERROR(INDEX(Settings!$E$5:$H$16,MATCH(I978,Settings!$D$5:$D$16,0),MATCH(O978,Settings!$E$4:$H$4,0)),"Check"))</f>
        <v/>
      </c>
      <c r="W978">
        <f>IF(V978="","",IF(V978="No","Yes","No"))</f>
        <v/>
      </c>
      <c r="X978">
        <f>IF(OR(E978="",G978=""),"",IF(LOWER(IF(RIGHT(TRIM(E978),1)="/",LEFT(TRIM(E978),LEN(TRIM(E978))-1),TRIM(E978)))&lt;&gt;LOWER(IF(RIGHT(TRIM(G978),1)="/",LEFT(TRIM(G978),LEN(TRIM(G978))-1),TRIM(G978))),"Yes","No"))</f>
        <v/>
      </c>
      <c r="Y978">
        <f>IF(A978="","",(N(Q978)&gt;0)+(T978="Yes")+(U978="Yes")+(W978="Yes")+(X978="Yes"))</f>
        <v/>
      </c>
      <c r="Z978">
        <f>IF(A978="","",IF(G978="","Not mapped",IF(Y978=0,"OK",MID(IF(N(Q978)&gt;0,"; Cannibalisation","")&amp;IF(T978="Yes","; Too many primary keywords on URL","")&amp;IF(U978="Yes","; URL spans 2+ clusters","")&amp;IF(W978="Yes","; Intent mismatch","")&amp;IF(X978="Yes","; Ranking URL is not the target",""),3,300))))</f>
        <v/>
      </c>
      <c r="AA978">
        <f>IF(G978="","",IF(COUNTIF($G$3:G978,SUBSTITUTE(SUBSTITUTE(G978,"?","~?"),"*","~*"))=1,MAX($AA$2:AA977)+1,""))</f>
        <v/>
      </c>
      <c r="AB978">
        <f>IF(B978="","",IF(COUNTIF($B$3:B978,SUBSTITUTE(SUBSTITUTE(B978,"?","~?"),"*","~*"))=1,MAX($AB$2:AB977)+1,""))</f>
        <v/>
      </c>
    </row>
    <row r="979">
      <c r="M979">
        <f>IF(A979="","",LOWER(TRIM(SUBSTITUTE(SUBSTITUTE(A979,"?",""),"*",""))))</f>
        <v/>
      </c>
      <c r="N979">
        <f>IF(M979="","",IF(SUMPRODUCT(ISNUMBER(SEARCH(" "&amp;Settings!$L$5:$L$124&amp;" "," "&amp;M979&amp;" "))*(Settings!$K$5:$K$124="Navigational")*(Settings!$L$5:$L$124&lt;&gt;""))&gt;0,"Navigational",IF(SUMPRODUCT(ISNUMBER(SEARCH(" "&amp;Settings!$L$5:$L$124&amp;" "," "&amp;M979&amp;" "))*(Settings!$K$5:$K$124="Transactional")*(Settings!$L$5:$L$124&lt;&gt;""))&gt;0,"Transactional",IF(SUMPRODUCT(ISNUMBER(SEARCH(" "&amp;Settings!$L$5:$L$124&amp;" "," "&amp;M979&amp;" "))*(Settings!$K$5:$K$124="Commercial")*(Settings!$L$5:$L$124&lt;&gt;""))&gt;0,"Commercial",IF(SUMPRODUCT(ISNUMBER(SEARCH(" "&amp;Settings!$L$5:$L$124&amp;" "," "&amp;M979&amp;" "))*(Settings!$K$5:$K$124="Informational")*(Settings!$L$5:$L$124&lt;&gt;""))&gt;0,"Informational","Unclassified")))))</f>
        <v/>
      </c>
      <c r="O979">
        <f>IF(A979="","",IF(K979&lt;&gt;"",PROPER(K979),N979))</f>
        <v/>
      </c>
      <c r="P979">
        <f>IF(A979="","",ROUND(Settings!$B$5*MIN(1,LOG10(N(C979)+1)/LOG10(Settings!$B$7+1))+Settings!$B$6*(1-MIN(100,IF(D979="",50,N(D979)))/100)+IFERROR(INDEX(Settings!$B$10:$B$14,MATCH(O979,Settings!$A$10:$A$14,0)),0),0))</f>
        <v/>
      </c>
      <c r="Q979">
        <f>IF(OR(A979="",G979=""),"",COUNTIFS($M$3:$M$1002,M979,$G$3:$G$1002,"&lt;&gt;"&amp;SUBSTITUTE(SUBSTITUTE(G979,"?","~?"),"*","~*"),$G$3:$G$1002,"?*"))</f>
        <v/>
      </c>
      <c r="R979">
        <f>IF(Q979="","",IF(Q979&gt;0,"Yes","No"))</f>
        <v/>
      </c>
      <c r="S979">
        <f>IF(G979="","",COUNTIFS($G$3:$G$1002,SUBSTITUTE(SUBSTITUTE(G979,"?","~?"),"*","~*"),$J$3:$J$1002,"Primary"))</f>
        <v/>
      </c>
      <c r="T979">
        <f>IF(S979="","",IF(S979&gt;Settings!$B$4,"Yes","No"))</f>
        <v/>
      </c>
      <c r="U979">
        <f>IF(OR(G979="",B979=""),"",IF(COUNTIFS($G$3:$G$1002,SUBSTITUTE(SUBSTITUTE(G979,"?","~?"),"*","~*"),$B$3:$B$1002,"&lt;&gt;"&amp;SUBSTITUTE(SUBSTITUTE(B979,"?","~?"),"*","~*"),$B$3:$B$1002,"?*")&gt;0,"Yes","No"))</f>
        <v/>
      </c>
      <c r="V979">
        <f>IF(OR(G979="",I979="",O979="",O979="Unclassified"),"",IFERROR(INDEX(Settings!$E$5:$H$16,MATCH(I979,Settings!$D$5:$D$16,0),MATCH(O979,Settings!$E$4:$H$4,0)),"Check"))</f>
        <v/>
      </c>
      <c r="W979">
        <f>IF(V979="","",IF(V979="No","Yes","No"))</f>
        <v/>
      </c>
      <c r="X979">
        <f>IF(OR(E979="",G979=""),"",IF(LOWER(IF(RIGHT(TRIM(E979),1)="/",LEFT(TRIM(E979),LEN(TRIM(E979))-1),TRIM(E979)))&lt;&gt;LOWER(IF(RIGHT(TRIM(G979),1)="/",LEFT(TRIM(G979),LEN(TRIM(G979))-1),TRIM(G979))),"Yes","No"))</f>
        <v/>
      </c>
      <c r="Y979">
        <f>IF(A979="","",(N(Q979)&gt;0)+(T979="Yes")+(U979="Yes")+(W979="Yes")+(X979="Yes"))</f>
        <v/>
      </c>
      <c r="Z979">
        <f>IF(A979="","",IF(G979="","Not mapped",IF(Y979=0,"OK",MID(IF(N(Q979)&gt;0,"; Cannibalisation","")&amp;IF(T979="Yes","; Too many primary keywords on URL","")&amp;IF(U979="Yes","; URL spans 2+ clusters","")&amp;IF(W979="Yes","; Intent mismatch","")&amp;IF(X979="Yes","; Ranking URL is not the target",""),3,300))))</f>
        <v/>
      </c>
      <c r="AA979">
        <f>IF(G979="","",IF(COUNTIF($G$3:G979,SUBSTITUTE(SUBSTITUTE(G979,"?","~?"),"*","~*"))=1,MAX($AA$2:AA978)+1,""))</f>
        <v/>
      </c>
      <c r="AB979">
        <f>IF(B979="","",IF(COUNTIF($B$3:B979,SUBSTITUTE(SUBSTITUTE(B979,"?","~?"),"*","~*"))=1,MAX($AB$2:AB978)+1,""))</f>
        <v/>
      </c>
    </row>
    <row r="980">
      <c r="M980">
        <f>IF(A980="","",LOWER(TRIM(SUBSTITUTE(SUBSTITUTE(A980,"?",""),"*",""))))</f>
        <v/>
      </c>
      <c r="N980">
        <f>IF(M980="","",IF(SUMPRODUCT(ISNUMBER(SEARCH(" "&amp;Settings!$L$5:$L$124&amp;" "," "&amp;M980&amp;" "))*(Settings!$K$5:$K$124="Navigational")*(Settings!$L$5:$L$124&lt;&gt;""))&gt;0,"Navigational",IF(SUMPRODUCT(ISNUMBER(SEARCH(" "&amp;Settings!$L$5:$L$124&amp;" "," "&amp;M980&amp;" "))*(Settings!$K$5:$K$124="Transactional")*(Settings!$L$5:$L$124&lt;&gt;""))&gt;0,"Transactional",IF(SUMPRODUCT(ISNUMBER(SEARCH(" "&amp;Settings!$L$5:$L$124&amp;" "," "&amp;M980&amp;" "))*(Settings!$K$5:$K$124="Commercial")*(Settings!$L$5:$L$124&lt;&gt;""))&gt;0,"Commercial",IF(SUMPRODUCT(ISNUMBER(SEARCH(" "&amp;Settings!$L$5:$L$124&amp;" "," "&amp;M980&amp;" "))*(Settings!$K$5:$K$124="Informational")*(Settings!$L$5:$L$124&lt;&gt;""))&gt;0,"Informational","Unclassified")))))</f>
        <v/>
      </c>
      <c r="O980">
        <f>IF(A980="","",IF(K980&lt;&gt;"",PROPER(K980),N980))</f>
        <v/>
      </c>
      <c r="P980">
        <f>IF(A980="","",ROUND(Settings!$B$5*MIN(1,LOG10(N(C980)+1)/LOG10(Settings!$B$7+1))+Settings!$B$6*(1-MIN(100,IF(D980="",50,N(D980)))/100)+IFERROR(INDEX(Settings!$B$10:$B$14,MATCH(O980,Settings!$A$10:$A$14,0)),0),0))</f>
        <v/>
      </c>
      <c r="Q980">
        <f>IF(OR(A980="",G980=""),"",COUNTIFS($M$3:$M$1002,M980,$G$3:$G$1002,"&lt;&gt;"&amp;SUBSTITUTE(SUBSTITUTE(G980,"?","~?"),"*","~*"),$G$3:$G$1002,"?*"))</f>
        <v/>
      </c>
      <c r="R980">
        <f>IF(Q980="","",IF(Q980&gt;0,"Yes","No"))</f>
        <v/>
      </c>
      <c r="S980">
        <f>IF(G980="","",COUNTIFS($G$3:$G$1002,SUBSTITUTE(SUBSTITUTE(G980,"?","~?"),"*","~*"),$J$3:$J$1002,"Primary"))</f>
        <v/>
      </c>
      <c r="T980">
        <f>IF(S980="","",IF(S980&gt;Settings!$B$4,"Yes","No"))</f>
        <v/>
      </c>
      <c r="U980">
        <f>IF(OR(G980="",B980=""),"",IF(COUNTIFS($G$3:$G$1002,SUBSTITUTE(SUBSTITUTE(G980,"?","~?"),"*","~*"),$B$3:$B$1002,"&lt;&gt;"&amp;SUBSTITUTE(SUBSTITUTE(B980,"?","~?"),"*","~*"),$B$3:$B$1002,"?*")&gt;0,"Yes","No"))</f>
        <v/>
      </c>
      <c r="V980">
        <f>IF(OR(G980="",I980="",O980="",O980="Unclassified"),"",IFERROR(INDEX(Settings!$E$5:$H$16,MATCH(I980,Settings!$D$5:$D$16,0),MATCH(O980,Settings!$E$4:$H$4,0)),"Check"))</f>
        <v/>
      </c>
      <c r="W980">
        <f>IF(V980="","",IF(V980="No","Yes","No"))</f>
        <v/>
      </c>
      <c r="X980">
        <f>IF(OR(E980="",G980=""),"",IF(LOWER(IF(RIGHT(TRIM(E980),1)="/",LEFT(TRIM(E980),LEN(TRIM(E980))-1),TRIM(E980)))&lt;&gt;LOWER(IF(RIGHT(TRIM(G980),1)="/",LEFT(TRIM(G980),LEN(TRIM(G980))-1),TRIM(G980))),"Yes","No"))</f>
        <v/>
      </c>
      <c r="Y980">
        <f>IF(A980="","",(N(Q980)&gt;0)+(T980="Yes")+(U980="Yes")+(W980="Yes")+(X980="Yes"))</f>
        <v/>
      </c>
      <c r="Z980">
        <f>IF(A980="","",IF(G980="","Not mapped",IF(Y980=0,"OK",MID(IF(N(Q980)&gt;0,"; Cannibalisation","")&amp;IF(T980="Yes","; Too many primary keywords on URL","")&amp;IF(U980="Yes","; URL spans 2+ clusters","")&amp;IF(W980="Yes","; Intent mismatch","")&amp;IF(X980="Yes","; Ranking URL is not the target",""),3,300))))</f>
        <v/>
      </c>
      <c r="AA980">
        <f>IF(G980="","",IF(COUNTIF($G$3:G980,SUBSTITUTE(SUBSTITUTE(G980,"?","~?"),"*","~*"))=1,MAX($AA$2:AA979)+1,""))</f>
        <v/>
      </c>
      <c r="AB980">
        <f>IF(B980="","",IF(COUNTIF($B$3:B980,SUBSTITUTE(SUBSTITUTE(B980,"?","~?"),"*","~*"))=1,MAX($AB$2:AB979)+1,""))</f>
        <v/>
      </c>
    </row>
    <row r="981">
      <c r="M981">
        <f>IF(A981="","",LOWER(TRIM(SUBSTITUTE(SUBSTITUTE(A981,"?",""),"*",""))))</f>
        <v/>
      </c>
      <c r="N981">
        <f>IF(M981="","",IF(SUMPRODUCT(ISNUMBER(SEARCH(" "&amp;Settings!$L$5:$L$124&amp;" "," "&amp;M981&amp;" "))*(Settings!$K$5:$K$124="Navigational")*(Settings!$L$5:$L$124&lt;&gt;""))&gt;0,"Navigational",IF(SUMPRODUCT(ISNUMBER(SEARCH(" "&amp;Settings!$L$5:$L$124&amp;" "," "&amp;M981&amp;" "))*(Settings!$K$5:$K$124="Transactional")*(Settings!$L$5:$L$124&lt;&gt;""))&gt;0,"Transactional",IF(SUMPRODUCT(ISNUMBER(SEARCH(" "&amp;Settings!$L$5:$L$124&amp;" "," "&amp;M981&amp;" "))*(Settings!$K$5:$K$124="Commercial")*(Settings!$L$5:$L$124&lt;&gt;""))&gt;0,"Commercial",IF(SUMPRODUCT(ISNUMBER(SEARCH(" "&amp;Settings!$L$5:$L$124&amp;" "," "&amp;M981&amp;" "))*(Settings!$K$5:$K$124="Informational")*(Settings!$L$5:$L$124&lt;&gt;""))&gt;0,"Informational","Unclassified")))))</f>
        <v/>
      </c>
      <c r="O981">
        <f>IF(A981="","",IF(K981&lt;&gt;"",PROPER(K981),N981))</f>
        <v/>
      </c>
      <c r="P981">
        <f>IF(A981="","",ROUND(Settings!$B$5*MIN(1,LOG10(N(C981)+1)/LOG10(Settings!$B$7+1))+Settings!$B$6*(1-MIN(100,IF(D981="",50,N(D981)))/100)+IFERROR(INDEX(Settings!$B$10:$B$14,MATCH(O981,Settings!$A$10:$A$14,0)),0),0))</f>
        <v/>
      </c>
      <c r="Q981">
        <f>IF(OR(A981="",G981=""),"",COUNTIFS($M$3:$M$1002,M981,$G$3:$G$1002,"&lt;&gt;"&amp;SUBSTITUTE(SUBSTITUTE(G981,"?","~?"),"*","~*"),$G$3:$G$1002,"?*"))</f>
        <v/>
      </c>
      <c r="R981">
        <f>IF(Q981="","",IF(Q981&gt;0,"Yes","No"))</f>
        <v/>
      </c>
      <c r="S981">
        <f>IF(G981="","",COUNTIFS($G$3:$G$1002,SUBSTITUTE(SUBSTITUTE(G981,"?","~?"),"*","~*"),$J$3:$J$1002,"Primary"))</f>
        <v/>
      </c>
      <c r="T981">
        <f>IF(S981="","",IF(S981&gt;Settings!$B$4,"Yes","No"))</f>
        <v/>
      </c>
      <c r="U981">
        <f>IF(OR(G981="",B981=""),"",IF(COUNTIFS($G$3:$G$1002,SUBSTITUTE(SUBSTITUTE(G981,"?","~?"),"*","~*"),$B$3:$B$1002,"&lt;&gt;"&amp;SUBSTITUTE(SUBSTITUTE(B981,"?","~?"),"*","~*"),$B$3:$B$1002,"?*")&gt;0,"Yes","No"))</f>
        <v/>
      </c>
      <c r="V981">
        <f>IF(OR(G981="",I981="",O981="",O981="Unclassified"),"",IFERROR(INDEX(Settings!$E$5:$H$16,MATCH(I981,Settings!$D$5:$D$16,0),MATCH(O981,Settings!$E$4:$H$4,0)),"Check"))</f>
        <v/>
      </c>
      <c r="W981">
        <f>IF(V981="","",IF(V981="No","Yes","No"))</f>
        <v/>
      </c>
      <c r="X981">
        <f>IF(OR(E981="",G981=""),"",IF(LOWER(IF(RIGHT(TRIM(E981),1)="/",LEFT(TRIM(E981),LEN(TRIM(E981))-1),TRIM(E981)))&lt;&gt;LOWER(IF(RIGHT(TRIM(G981),1)="/",LEFT(TRIM(G981),LEN(TRIM(G981))-1),TRIM(G981))),"Yes","No"))</f>
        <v/>
      </c>
      <c r="Y981">
        <f>IF(A981="","",(N(Q981)&gt;0)+(T981="Yes")+(U981="Yes")+(W981="Yes")+(X981="Yes"))</f>
        <v/>
      </c>
      <c r="Z981">
        <f>IF(A981="","",IF(G981="","Not mapped",IF(Y981=0,"OK",MID(IF(N(Q981)&gt;0,"; Cannibalisation","")&amp;IF(T981="Yes","; Too many primary keywords on URL","")&amp;IF(U981="Yes","; URL spans 2+ clusters","")&amp;IF(W981="Yes","; Intent mismatch","")&amp;IF(X981="Yes","; Ranking URL is not the target",""),3,300))))</f>
        <v/>
      </c>
      <c r="AA981">
        <f>IF(G981="","",IF(COUNTIF($G$3:G981,SUBSTITUTE(SUBSTITUTE(G981,"?","~?"),"*","~*"))=1,MAX($AA$2:AA980)+1,""))</f>
        <v/>
      </c>
      <c r="AB981">
        <f>IF(B981="","",IF(COUNTIF($B$3:B981,SUBSTITUTE(SUBSTITUTE(B981,"?","~?"),"*","~*"))=1,MAX($AB$2:AB980)+1,""))</f>
        <v/>
      </c>
    </row>
    <row r="982">
      <c r="M982">
        <f>IF(A982="","",LOWER(TRIM(SUBSTITUTE(SUBSTITUTE(A982,"?",""),"*",""))))</f>
        <v/>
      </c>
      <c r="N982">
        <f>IF(M982="","",IF(SUMPRODUCT(ISNUMBER(SEARCH(" "&amp;Settings!$L$5:$L$124&amp;" "," "&amp;M982&amp;" "))*(Settings!$K$5:$K$124="Navigational")*(Settings!$L$5:$L$124&lt;&gt;""))&gt;0,"Navigational",IF(SUMPRODUCT(ISNUMBER(SEARCH(" "&amp;Settings!$L$5:$L$124&amp;" "," "&amp;M982&amp;" "))*(Settings!$K$5:$K$124="Transactional")*(Settings!$L$5:$L$124&lt;&gt;""))&gt;0,"Transactional",IF(SUMPRODUCT(ISNUMBER(SEARCH(" "&amp;Settings!$L$5:$L$124&amp;" "," "&amp;M982&amp;" "))*(Settings!$K$5:$K$124="Commercial")*(Settings!$L$5:$L$124&lt;&gt;""))&gt;0,"Commercial",IF(SUMPRODUCT(ISNUMBER(SEARCH(" "&amp;Settings!$L$5:$L$124&amp;" "," "&amp;M982&amp;" "))*(Settings!$K$5:$K$124="Informational")*(Settings!$L$5:$L$124&lt;&gt;""))&gt;0,"Informational","Unclassified")))))</f>
        <v/>
      </c>
      <c r="O982">
        <f>IF(A982="","",IF(K982&lt;&gt;"",PROPER(K982),N982))</f>
        <v/>
      </c>
      <c r="P982">
        <f>IF(A982="","",ROUND(Settings!$B$5*MIN(1,LOG10(N(C982)+1)/LOG10(Settings!$B$7+1))+Settings!$B$6*(1-MIN(100,IF(D982="",50,N(D982)))/100)+IFERROR(INDEX(Settings!$B$10:$B$14,MATCH(O982,Settings!$A$10:$A$14,0)),0),0))</f>
        <v/>
      </c>
      <c r="Q982">
        <f>IF(OR(A982="",G982=""),"",COUNTIFS($M$3:$M$1002,M982,$G$3:$G$1002,"&lt;&gt;"&amp;SUBSTITUTE(SUBSTITUTE(G982,"?","~?"),"*","~*"),$G$3:$G$1002,"?*"))</f>
        <v/>
      </c>
      <c r="R982">
        <f>IF(Q982="","",IF(Q982&gt;0,"Yes","No"))</f>
        <v/>
      </c>
      <c r="S982">
        <f>IF(G982="","",COUNTIFS($G$3:$G$1002,SUBSTITUTE(SUBSTITUTE(G982,"?","~?"),"*","~*"),$J$3:$J$1002,"Primary"))</f>
        <v/>
      </c>
      <c r="T982">
        <f>IF(S982="","",IF(S982&gt;Settings!$B$4,"Yes","No"))</f>
        <v/>
      </c>
      <c r="U982">
        <f>IF(OR(G982="",B982=""),"",IF(COUNTIFS($G$3:$G$1002,SUBSTITUTE(SUBSTITUTE(G982,"?","~?"),"*","~*"),$B$3:$B$1002,"&lt;&gt;"&amp;SUBSTITUTE(SUBSTITUTE(B982,"?","~?"),"*","~*"),$B$3:$B$1002,"?*")&gt;0,"Yes","No"))</f>
        <v/>
      </c>
      <c r="V982">
        <f>IF(OR(G982="",I982="",O982="",O982="Unclassified"),"",IFERROR(INDEX(Settings!$E$5:$H$16,MATCH(I982,Settings!$D$5:$D$16,0),MATCH(O982,Settings!$E$4:$H$4,0)),"Check"))</f>
        <v/>
      </c>
      <c r="W982">
        <f>IF(V982="","",IF(V982="No","Yes","No"))</f>
        <v/>
      </c>
      <c r="X982">
        <f>IF(OR(E982="",G982=""),"",IF(LOWER(IF(RIGHT(TRIM(E982),1)="/",LEFT(TRIM(E982),LEN(TRIM(E982))-1),TRIM(E982)))&lt;&gt;LOWER(IF(RIGHT(TRIM(G982),1)="/",LEFT(TRIM(G982),LEN(TRIM(G982))-1),TRIM(G982))),"Yes","No"))</f>
        <v/>
      </c>
      <c r="Y982">
        <f>IF(A982="","",(N(Q982)&gt;0)+(T982="Yes")+(U982="Yes")+(W982="Yes")+(X982="Yes"))</f>
        <v/>
      </c>
      <c r="Z982">
        <f>IF(A982="","",IF(G982="","Not mapped",IF(Y982=0,"OK",MID(IF(N(Q982)&gt;0,"; Cannibalisation","")&amp;IF(T982="Yes","; Too many primary keywords on URL","")&amp;IF(U982="Yes","; URL spans 2+ clusters","")&amp;IF(W982="Yes","; Intent mismatch","")&amp;IF(X982="Yes","; Ranking URL is not the target",""),3,300))))</f>
        <v/>
      </c>
      <c r="AA982">
        <f>IF(G982="","",IF(COUNTIF($G$3:G982,SUBSTITUTE(SUBSTITUTE(G982,"?","~?"),"*","~*"))=1,MAX($AA$2:AA981)+1,""))</f>
        <v/>
      </c>
      <c r="AB982">
        <f>IF(B982="","",IF(COUNTIF($B$3:B982,SUBSTITUTE(SUBSTITUTE(B982,"?","~?"),"*","~*"))=1,MAX($AB$2:AB981)+1,""))</f>
        <v/>
      </c>
    </row>
    <row r="983">
      <c r="M983">
        <f>IF(A983="","",LOWER(TRIM(SUBSTITUTE(SUBSTITUTE(A983,"?",""),"*",""))))</f>
        <v/>
      </c>
      <c r="N983">
        <f>IF(M983="","",IF(SUMPRODUCT(ISNUMBER(SEARCH(" "&amp;Settings!$L$5:$L$124&amp;" "," "&amp;M983&amp;" "))*(Settings!$K$5:$K$124="Navigational")*(Settings!$L$5:$L$124&lt;&gt;""))&gt;0,"Navigational",IF(SUMPRODUCT(ISNUMBER(SEARCH(" "&amp;Settings!$L$5:$L$124&amp;" "," "&amp;M983&amp;" "))*(Settings!$K$5:$K$124="Transactional")*(Settings!$L$5:$L$124&lt;&gt;""))&gt;0,"Transactional",IF(SUMPRODUCT(ISNUMBER(SEARCH(" "&amp;Settings!$L$5:$L$124&amp;" "," "&amp;M983&amp;" "))*(Settings!$K$5:$K$124="Commercial")*(Settings!$L$5:$L$124&lt;&gt;""))&gt;0,"Commercial",IF(SUMPRODUCT(ISNUMBER(SEARCH(" "&amp;Settings!$L$5:$L$124&amp;" "," "&amp;M983&amp;" "))*(Settings!$K$5:$K$124="Informational")*(Settings!$L$5:$L$124&lt;&gt;""))&gt;0,"Informational","Unclassified")))))</f>
        <v/>
      </c>
      <c r="O983">
        <f>IF(A983="","",IF(K983&lt;&gt;"",PROPER(K983),N983))</f>
        <v/>
      </c>
      <c r="P983">
        <f>IF(A983="","",ROUND(Settings!$B$5*MIN(1,LOG10(N(C983)+1)/LOG10(Settings!$B$7+1))+Settings!$B$6*(1-MIN(100,IF(D983="",50,N(D983)))/100)+IFERROR(INDEX(Settings!$B$10:$B$14,MATCH(O983,Settings!$A$10:$A$14,0)),0),0))</f>
        <v/>
      </c>
      <c r="Q983">
        <f>IF(OR(A983="",G983=""),"",COUNTIFS($M$3:$M$1002,M983,$G$3:$G$1002,"&lt;&gt;"&amp;SUBSTITUTE(SUBSTITUTE(G983,"?","~?"),"*","~*"),$G$3:$G$1002,"?*"))</f>
        <v/>
      </c>
      <c r="R983">
        <f>IF(Q983="","",IF(Q983&gt;0,"Yes","No"))</f>
        <v/>
      </c>
      <c r="S983">
        <f>IF(G983="","",COUNTIFS($G$3:$G$1002,SUBSTITUTE(SUBSTITUTE(G983,"?","~?"),"*","~*"),$J$3:$J$1002,"Primary"))</f>
        <v/>
      </c>
      <c r="T983">
        <f>IF(S983="","",IF(S983&gt;Settings!$B$4,"Yes","No"))</f>
        <v/>
      </c>
      <c r="U983">
        <f>IF(OR(G983="",B983=""),"",IF(COUNTIFS($G$3:$G$1002,SUBSTITUTE(SUBSTITUTE(G983,"?","~?"),"*","~*"),$B$3:$B$1002,"&lt;&gt;"&amp;SUBSTITUTE(SUBSTITUTE(B983,"?","~?"),"*","~*"),$B$3:$B$1002,"?*")&gt;0,"Yes","No"))</f>
        <v/>
      </c>
      <c r="V983">
        <f>IF(OR(G983="",I983="",O983="",O983="Unclassified"),"",IFERROR(INDEX(Settings!$E$5:$H$16,MATCH(I983,Settings!$D$5:$D$16,0),MATCH(O983,Settings!$E$4:$H$4,0)),"Check"))</f>
        <v/>
      </c>
      <c r="W983">
        <f>IF(V983="","",IF(V983="No","Yes","No"))</f>
        <v/>
      </c>
      <c r="X983">
        <f>IF(OR(E983="",G983=""),"",IF(LOWER(IF(RIGHT(TRIM(E983),1)="/",LEFT(TRIM(E983),LEN(TRIM(E983))-1),TRIM(E983)))&lt;&gt;LOWER(IF(RIGHT(TRIM(G983),1)="/",LEFT(TRIM(G983),LEN(TRIM(G983))-1),TRIM(G983))),"Yes","No"))</f>
        <v/>
      </c>
      <c r="Y983">
        <f>IF(A983="","",(N(Q983)&gt;0)+(T983="Yes")+(U983="Yes")+(W983="Yes")+(X983="Yes"))</f>
        <v/>
      </c>
      <c r="Z983">
        <f>IF(A983="","",IF(G983="","Not mapped",IF(Y983=0,"OK",MID(IF(N(Q983)&gt;0,"; Cannibalisation","")&amp;IF(T983="Yes","; Too many primary keywords on URL","")&amp;IF(U983="Yes","; URL spans 2+ clusters","")&amp;IF(W983="Yes","; Intent mismatch","")&amp;IF(X983="Yes","; Ranking URL is not the target",""),3,300))))</f>
        <v/>
      </c>
      <c r="AA983">
        <f>IF(G983="","",IF(COUNTIF($G$3:G983,SUBSTITUTE(SUBSTITUTE(G983,"?","~?"),"*","~*"))=1,MAX($AA$2:AA982)+1,""))</f>
        <v/>
      </c>
      <c r="AB983">
        <f>IF(B983="","",IF(COUNTIF($B$3:B983,SUBSTITUTE(SUBSTITUTE(B983,"?","~?"),"*","~*"))=1,MAX($AB$2:AB982)+1,""))</f>
        <v/>
      </c>
    </row>
    <row r="984">
      <c r="M984">
        <f>IF(A984="","",LOWER(TRIM(SUBSTITUTE(SUBSTITUTE(A984,"?",""),"*",""))))</f>
        <v/>
      </c>
      <c r="N984">
        <f>IF(M984="","",IF(SUMPRODUCT(ISNUMBER(SEARCH(" "&amp;Settings!$L$5:$L$124&amp;" "," "&amp;M984&amp;" "))*(Settings!$K$5:$K$124="Navigational")*(Settings!$L$5:$L$124&lt;&gt;""))&gt;0,"Navigational",IF(SUMPRODUCT(ISNUMBER(SEARCH(" "&amp;Settings!$L$5:$L$124&amp;" "," "&amp;M984&amp;" "))*(Settings!$K$5:$K$124="Transactional")*(Settings!$L$5:$L$124&lt;&gt;""))&gt;0,"Transactional",IF(SUMPRODUCT(ISNUMBER(SEARCH(" "&amp;Settings!$L$5:$L$124&amp;" "," "&amp;M984&amp;" "))*(Settings!$K$5:$K$124="Commercial")*(Settings!$L$5:$L$124&lt;&gt;""))&gt;0,"Commercial",IF(SUMPRODUCT(ISNUMBER(SEARCH(" "&amp;Settings!$L$5:$L$124&amp;" "," "&amp;M984&amp;" "))*(Settings!$K$5:$K$124="Informational")*(Settings!$L$5:$L$124&lt;&gt;""))&gt;0,"Informational","Unclassified")))))</f>
        <v/>
      </c>
      <c r="O984">
        <f>IF(A984="","",IF(K984&lt;&gt;"",PROPER(K984),N984))</f>
        <v/>
      </c>
      <c r="P984">
        <f>IF(A984="","",ROUND(Settings!$B$5*MIN(1,LOG10(N(C984)+1)/LOG10(Settings!$B$7+1))+Settings!$B$6*(1-MIN(100,IF(D984="",50,N(D984)))/100)+IFERROR(INDEX(Settings!$B$10:$B$14,MATCH(O984,Settings!$A$10:$A$14,0)),0),0))</f>
        <v/>
      </c>
      <c r="Q984">
        <f>IF(OR(A984="",G984=""),"",COUNTIFS($M$3:$M$1002,M984,$G$3:$G$1002,"&lt;&gt;"&amp;SUBSTITUTE(SUBSTITUTE(G984,"?","~?"),"*","~*"),$G$3:$G$1002,"?*"))</f>
        <v/>
      </c>
      <c r="R984">
        <f>IF(Q984="","",IF(Q984&gt;0,"Yes","No"))</f>
        <v/>
      </c>
      <c r="S984">
        <f>IF(G984="","",COUNTIFS($G$3:$G$1002,SUBSTITUTE(SUBSTITUTE(G984,"?","~?"),"*","~*"),$J$3:$J$1002,"Primary"))</f>
        <v/>
      </c>
      <c r="T984">
        <f>IF(S984="","",IF(S984&gt;Settings!$B$4,"Yes","No"))</f>
        <v/>
      </c>
      <c r="U984">
        <f>IF(OR(G984="",B984=""),"",IF(COUNTIFS($G$3:$G$1002,SUBSTITUTE(SUBSTITUTE(G984,"?","~?"),"*","~*"),$B$3:$B$1002,"&lt;&gt;"&amp;SUBSTITUTE(SUBSTITUTE(B984,"?","~?"),"*","~*"),$B$3:$B$1002,"?*")&gt;0,"Yes","No"))</f>
        <v/>
      </c>
      <c r="V984">
        <f>IF(OR(G984="",I984="",O984="",O984="Unclassified"),"",IFERROR(INDEX(Settings!$E$5:$H$16,MATCH(I984,Settings!$D$5:$D$16,0),MATCH(O984,Settings!$E$4:$H$4,0)),"Check"))</f>
        <v/>
      </c>
      <c r="W984">
        <f>IF(V984="","",IF(V984="No","Yes","No"))</f>
        <v/>
      </c>
      <c r="X984">
        <f>IF(OR(E984="",G984=""),"",IF(LOWER(IF(RIGHT(TRIM(E984),1)="/",LEFT(TRIM(E984),LEN(TRIM(E984))-1),TRIM(E984)))&lt;&gt;LOWER(IF(RIGHT(TRIM(G984),1)="/",LEFT(TRIM(G984),LEN(TRIM(G984))-1),TRIM(G984))),"Yes","No"))</f>
        <v/>
      </c>
      <c r="Y984">
        <f>IF(A984="","",(N(Q984)&gt;0)+(T984="Yes")+(U984="Yes")+(W984="Yes")+(X984="Yes"))</f>
        <v/>
      </c>
      <c r="Z984">
        <f>IF(A984="","",IF(G984="","Not mapped",IF(Y984=0,"OK",MID(IF(N(Q984)&gt;0,"; Cannibalisation","")&amp;IF(T984="Yes","; Too many primary keywords on URL","")&amp;IF(U984="Yes","; URL spans 2+ clusters","")&amp;IF(W984="Yes","; Intent mismatch","")&amp;IF(X984="Yes","; Ranking URL is not the target",""),3,300))))</f>
        <v/>
      </c>
      <c r="AA984">
        <f>IF(G984="","",IF(COUNTIF($G$3:G984,SUBSTITUTE(SUBSTITUTE(G984,"?","~?"),"*","~*"))=1,MAX($AA$2:AA983)+1,""))</f>
        <v/>
      </c>
      <c r="AB984">
        <f>IF(B984="","",IF(COUNTIF($B$3:B984,SUBSTITUTE(SUBSTITUTE(B984,"?","~?"),"*","~*"))=1,MAX($AB$2:AB983)+1,""))</f>
        <v/>
      </c>
    </row>
    <row r="985">
      <c r="M985">
        <f>IF(A985="","",LOWER(TRIM(SUBSTITUTE(SUBSTITUTE(A985,"?",""),"*",""))))</f>
        <v/>
      </c>
      <c r="N985">
        <f>IF(M985="","",IF(SUMPRODUCT(ISNUMBER(SEARCH(" "&amp;Settings!$L$5:$L$124&amp;" "," "&amp;M985&amp;" "))*(Settings!$K$5:$K$124="Navigational")*(Settings!$L$5:$L$124&lt;&gt;""))&gt;0,"Navigational",IF(SUMPRODUCT(ISNUMBER(SEARCH(" "&amp;Settings!$L$5:$L$124&amp;" "," "&amp;M985&amp;" "))*(Settings!$K$5:$K$124="Transactional")*(Settings!$L$5:$L$124&lt;&gt;""))&gt;0,"Transactional",IF(SUMPRODUCT(ISNUMBER(SEARCH(" "&amp;Settings!$L$5:$L$124&amp;" "," "&amp;M985&amp;" "))*(Settings!$K$5:$K$124="Commercial")*(Settings!$L$5:$L$124&lt;&gt;""))&gt;0,"Commercial",IF(SUMPRODUCT(ISNUMBER(SEARCH(" "&amp;Settings!$L$5:$L$124&amp;" "," "&amp;M985&amp;" "))*(Settings!$K$5:$K$124="Informational")*(Settings!$L$5:$L$124&lt;&gt;""))&gt;0,"Informational","Unclassified")))))</f>
        <v/>
      </c>
      <c r="O985">
        <f>IF(A985="","",IF(K985&lt;&gt;"",PROPER(K985),N985))</f>
        <v/>
      </c>
      <c r="P985">
        <f>IF(A985="","",ROUND(Settings!$B$5*MIN(1,LOG10(N(C985)+1)/LOG10(Settings!$B$7+1))+Settings!$B$6*(1-MIN(100,IF(D985="",50,N(D985)))/100)+IFERROR(INDEX(Settings!$B$10:$B$14,MATCH(O985,Settings!$A$10:$A$14,0)),0),0))</f>
        <v/>
      </c>
      <c r="Q985">
        <f>IF(OR(A985="",G985=""),"",COUNTIFS($M$3:$M$1002,M985,$G$3:$G$1002,"&lt;&gt;"&amp;SUBSTITUTE(SUBSTITUTE(G985,"?","~?"),"*","~*"),$G$3:$G$1002,"?*"))</f>
        <v/>
      </c>
      <c r="R985">
        <f>IF(Q985="","",IF(Q985&gt;0,"Yes","No"))</f>
        <v/>
      </c>
      <c r="S985">
        <f>IF(G985="","",COUNTIFS($G$3:$G$1002,SUBSTITUTE(SUBSTITUTE(G985,"?","~?"),"*","~*"),$J$3:$J$1002,"Primary"))</f>
        <v/>
      </c>
      <c r="T985">
        <f>IF(S985="","",IF(S985&gt;Settings!$B$4,"Yes","No"))</f>
        <v/>
      </c>
      <c r="U985">
        <f>IF(OR(G985="",B985=""),"",IF(COUNTIFS($G$3:$G$1002,SUBSTITUTE(SUBSTITUTE(G985,"?","~?"),"*","~*"),$B$3:$B$1002,"&lt;&gt;"&amp;SUBSTITUTE(SUBSTITUTE(B985,"?","~?"),"*","~*"),$B$3:$B$1002,"?*")&gt;0,"Yes","No"))</f>
        <v/>
      </c>
      <c r="V985">
        <f>IF(OR(G985="",I985="",O985="",O985="Unclassified"),"",IFERROR(INDEX(Settings!$E$5:$H$16,MATCH(I985,Settings!$D$5:$D$16,0),MATCH(O985,Settings!$E$4:$H$4,0)),"Check"))</f>
        <v/>
      </c>
      <c r="W985">
        <f>IF(V985="","",IF(V985="No","Yes","No"))</f>
        <v/>
      </c>
      <c r="X985">
        <f>IF(OR(E985="",G985=""),"",IF(LOWER(IF(RIGHT(TRIM(E985),1)="/",LEFT(TRIM(E985),LEN(TRIM(E985))-1),TRIM(E985)))&lt;&gt;LOWER(IF(RIGHT(TRIM(G985),1)="/",LEFT(TRIM(G985),LEN(TRIM(G985))-1),TRIM(G985))),"Yes","No"))</f>
        <v/>
      </c>
      <c r="Y985">
        <f>IF(A985="","",(N(Q985)&gt;0)+(T985="Yes")+(U985="Yes")+(W985="Yes")+(X985="Yes"))</f>
        <v/>
      </c>
      <c r="Z985">
        <f>IF(A985="","",IF(G985="","Not mapped",IF(Y985=0,"OK",MID(IF(N(Q985)&gt;0,"; Cannibalisation","")&amp;IF(T985="Yes","; Too many primary keywords on URL","")&amp;IF(U985="Yes","; URL spans 2+ clusters","")&amp;IF(W985="Yes","; Intent mismatch","")&amp;IF(X985="Yes","; Ranking URL is not the target",""),3,300))))</f>
        <v/>
      </c>
      <c r="AA985">
        <f>IF(G985="","",IF(COUNTIF($G$3:G985,SUBSTITUTE(SUBSTITUTE(G985,"?","~?"),"*","~*"))=1,MAX($AA$2:AA984)+1,""))</f>
        <v/>
      </c>
      <c r="AB985">
        <f>IF(B985="","",IF(COUNTIF($B$3:B985,SUBSTITUTE(SUBSTITUTE(B985,"?","~?"),"*","~*"))=1,MAX($AB$2:AB984)+1,""))</f>
        <v/>
      </c>
    </row>
    <row r="986">
      <c r="M986">
        <f>IF(A986="","",LOWER(TRIM(SUBSTITUTE(SUBSTITUTE(A986,"?",""),"*",""))))</f>
        <v/>
      </c>
      <c r="N986">
        <f>IF(M986="","",IF(SUMPRODUCT(ISNUMBER(SEARCH(" "&amp;Settings!$L$5:$L$124&amp;" "," "&amp;M986&amp;" "))*(Settings!$K$5:$K$124="Navigational")*(Settings!$L$5:$L$124&lt;&gt;""))&gt;0,"Navigational",IF(SUMPRODUCT(ISNUMBER(SEARCH(" "&amp;Settings!$L$5:$L$124&amp;" "," "&amp;M986&amp;" "))*(Settings!$K$5:$K$124="Transactional")*(Settings!$L$5:$L$124&lt;&gt;""))&gt;0,"Transactional",IF(SUMPRODUCT(ISNUMBER(SEARCH(" "&amp;Settings!$L$5:$L$124&amp;" "," "&amp;M986&amp;" "))*(Settings!$K$5:$K$124="Commercial")*(Settings!$L$5:$L$124&lt;&gt;""))&gt;0,"Commercial",IF(SUMPRODUCT(ISNUMBER(SEARCH(" "&amp;Settings!$L$5:$L$124&amp;" "," "&amp;M986&amp;" "))*(Settings!$K$5:$K$124="Informational")*(Settings!$L$5:$L$124&lt;&gt;""))&gt;0,"Informational","Unclassified")))))</f>
        <v/>
      </c>
      <c r="O986">
        <f>IF(A986="","",IF(K986&lt;&gt;"",PROPER(K986),N986))</f>
        <v/>
      </c>
      <c r="P986">
        <f>IF(A986="","",ROUND(Settings!$B$5*MIN(1,LOG10(N(C986)+1)/LOG10(Settings!$B$7+1))+Settings!$B$6*(1-MIN(100,IF(D986="",50,N(D986)))/100)+IFERROR(INDEX(Settings!$B$10:$B$14,MATCH(O986,Settings!$A$10:$A$14,0)),0),0))</f>
        <v/>
      </c>
      <c r="Q986">
        <f>IF(OR(A986="",G986=""),"",COUNTIFS($M$3:$M$1002,M986,$G$3:$G$1002,"&lt;&gt;"&amp;SUBSTITUTE(SUBSTITUTE(G986,"?","~?"),"*","~*"),$G$3:$G$1002,"?*"))</f>
        <v/>
      </c>
      <c r="R986">
        <f>IF(Q986="","",IF(Q986&gt;0,"Yes","No"))</f>
        <v/>
      </c>
      <c r="S986">
        <f>IF(G986="","",COUNTIFS($G$3:$G$1002,SUBSTITUTE(SUBSTITUTE(G986,"?","~?"),"*","~*"),$J$3:$J$1002,"Primary"))</f>
        <v/>
      </c>
      <c r="T986">
        <f>IF(S986="","",IF(S986&gt;Settings!$B$4,"Yes","No"))</f>
        <v/>
      </c>
      <c r="U986">
        <f>IF(OR(G986="",B986=""),"",IF(COUNTIFS($G$3:$G$1002,SUBSTITUTE(SUBSTITUTE(G986,"?","~?"),"*","~*"),$B$3:$B$1002,"&lt;&gt;"&amp;SUBSTITUTE(SUBSTITUTE(B986,"?","~?"),"*","~*"),$B$3:$B$1002,"?*")&gt;0,"Yes","No"))</f>
        <v/>
      </c>
      <c r="V986">
        <f>IF(OR(G986="",I986="",O986="",O986="Unclassified"),"",IFERROR(INDEX(Settings!$E$5:$H$16,MATCH(I986,Settings!$D$5:$D$16,0),MATCH(O986,Settings!$E$4:$H$4,0)),"Check"))</f>
        <v/>
      </c>
      <c r="W986">
        <f>IF(V986="","",IF(V986="No","Yes","No"))</f>
        <v/>
      </c>
      <c r="X986">
        <f>IF(OR(E986="",G986=""),"",IF(LOWER(IF(RIGHT(TRIM(E986),1)="/",LEFT(TRIM(E986),LEN(TRIM(E986))-1),TRIM(E986)))&lt;&gt;LOWER(IF(RIGHT(TRIM(G986),1)="/",LEFT(TRIM(G986),LEN(TRIM(G986))-1),TRIM(G986))),"Yes","No"))</f>
        <v/>
      </c>
      <c r="Y986">
        <f>IF(A986="","",(N(Q986)&gt;0)+(T986="Yes")+(U986="Yes")+(W986="Yes")+(X986="Yes"))</f>
        <v/>
      </c>
      <c r="Z986">
        <f>IF(A986="","",IF(G986="","Not mapped",IF(Y986=0,"OK",MID(IF(N(Q986)&gt;0,"; Cannibalisation","")&amp;IF(T986="Yes","; Too many primary keywords on URL","")&amp;IF(U986="Yes","; URL spans 2+ clusters","")&amp;IF(W986="Yes","; Intent mismatch","")&amp;IF(X986="Yes","; Ranking URL is not the target",""),3,300))))</f>
        <v/>
      </c>
      <c r="AA986">
        <f>IF(G986="","",IF(COUNTIF($G$3:G986,SUBSTITUTE(SUBSTITUTE(G986,"?","~?"),"*","~*"))=1,MAX($AA$2:AA985)+1,""))</f>
        <v/>
      </c>
      <c r="AB986">
        <f>IF(B986="","",IF(COUNTIF($B$3:B986,SUBSTITUTE(SUBSTITUTE(B986,"?","~?"),"*","~*"))=1,MAX($AB$2:AB985)+1,""))</f>
        <v/>
      </c>
    </row>
    <row r="987">
      <c r="M987">
        <f>IF(A987="","",LOWER(TRIM(SUBSTITUTE(SUBSTITUTE(A987,"?",""),"*",""))))</f>
        <v/>
      </c>
      <c r="N987">
        <f>IF(M987="","",IF(SUMPRODUCT(ISNUMBER(SEARCH(" "&amp;Settings!$L$5:$L$124&amp;" "," "&amp;M987&amp;" "))*(Settings!$K$5:$K$124="Navigational")*(Settings!$L$5:$L$124&lt;&gt;""))&gt;0,"Navigational",IF(SUMPRODUCT(ISNUMBER(SEARCH(" "&amp;Settings!$L$5:$L$124&amp;" "," "&amp;M987&amp;" "))*(Settings!$K$5:$K$124="Transactional")*(Settings!$L$5:$L$124&lt;&gt;""))&gt;0,"Transactional",IF(SUMPRODUCT(ISNUMBER(SEARCH(" "&amp;Settings!$L$5:$L$124&amp;" "," "&amp;M987&amp;" "))*(Settings!$K$5:$K$124="Commercial")*(Settings!$L$5:$L$124&lt;&gt;""))&gt;0,"Commercial",IF(SUMPRODUCT(ISNUMBER(SEARCH(" "&amp;Settings!$L$5:$L$124&amp;" "," "&amp;M987&amp;" "))*(Settings!$K$5:$K$124="Informational")*(Settings!$L$5:$L$124&lt;&gt;""))&gt;0,"Informational","Unclassified")))))</f>
        <v/>
      </c>
      <c r="O987">
        <f>IF(A987="","",IF(K987&lt;&gt;"",PROPER(K987),N987))</f>
        <v/>
      </c>
      <c r="P987">
        <f>IF(A987="","",ROUND(Settings!$B$5*MIN(1,LOG10(N(C987)+1)/LOG10(Settings!$B$7+1))+Settings!$B$6*(1-MIN(100,IF(D987="",50,N(D987)))/100)+IFERROR(INDEX(Settings!$B$10:$B$14,MATCH(O987,Settings!$A$10:$A$14,0)),0),0))</f>
        <v/>
      </c>
      <c r="Q987">
        <f>IF(OR(A987="",G987=""),"",COUNTIFS($M$3:$M$1002,M987,$G$3:$G$1002,"&lt;&gt;"&amp;SUBSTITUTE(SUBSTITUTE(G987,"?","~?"),"*","~*"),$G$3:$G$1002,"?*"))</f>
        <v/>
      </c>
      <c r="R987">
        <f>IF(Q987="","",IF(Q987&gt;0,"Yes","No"))</f>
        <v/>
      </c>
      <c r="S987">
        <f>IF(G987="","",COUNTIFS($G$3:$G$1002,SUBSTITUTE(SUBSTITUTE(G987,"?","~?"),"*","~*"),$J$3:$J$1002,"Primary"))</f>
        <v/>
      </c>
      <c r="T987">
        <f>IF(S987="","",IF(S987&gt;Settings!$B$4,"Yes","No"))</f>
        <v/>
      </c>
      <c r="U987">
        <f>IF(OR(G987="",B987=""),"",IF(COUNTIFS($G$3:$G$1002,SUBSTITUTE(SUBSTITUTE(G987,"?","~?"),"*","~*"),$B$3:$B$1002,"&lt;&gt;"&amp;SUBSTITUTE(SUBSTITUTE(B987,"?","~?"),"*","~*"),$B$3:$B$1002,"?*")&gt;0,"Yes","No"))</f>
        <v/>
      </c>
      <c r="V987">
        <f>IF(OR(G987="",I987="",O987="",O987="Unclassified"),"",IFERROR(INDEX(Settings!$E$5:$H$16,MATCH(I987,Settings!$D$5:$D$16,0),MATCH(O987,Settings!$E$4:$H$4,0)),"Check"))</f>
        <v/>
      </c>
      <c r="W987">
        <f>IF(V987="","",IF(V987="No","Yes","No"))</f>
        <v/>
      </c>
      <c r="X987">
        <f>IF(OR(E987="",G987=""),"",IF(LOWER(IF(RIGHT(TRIM(E987),1)="/",LEFT(TRIM(E987),LEN(TRIM(E987))-1),TRIM(E987)))&lt;&gt;LOWER(IF(RIGHT(TRIM(G987),1)="/",LEFT(TRIM(G987),LEN(TRIM(G987))-1),TRIM(G987))),"Yes","No"))</f>
        <v/>
      </c>
      <c r="Y987">
        <f>IF(A987="","",(N(Q987)&gt;0)+(T987="Yes")+(U987="Yes")+(W987="Yes")+(X987="Yes"))</f>
        <v/>
      </c>
      <c r="Z987">
        <f>IF(A987="","",IF(G987="","Not mapped",IF(Y987=0,"OK",MID(IF(N(Q987)&gt;0,"; Cannibalisation","")&amp;IF(T987="Yes","; Too many primary keywords on URL","")&amp;IF(U987="Yes","; URL spans 2+ clusters","")&amp;IF(W987="Yes","; Intent mismatch","")&amp;IF(X987="Yes","; Ranking URL is not the target",""),3,300))))</f>
        <v/>
      </c>
      <c r="AA987">
        <f>IF(G987="","",IF(COUNTIF($G$3:G987,SUBSTITUTE(SUBSTITUTE(G987,"?","~?"),"*","~*"))=1,MAX($AA$2:AA986)+1,""))</f>
        <v/>
      </c>
      <c r="AB987">
        <f>IF(B987="","",IF(COUNTIF($B$3:B987,SUBSTITUTE(SUBSTITUTE(B987,"?","~?"),"*","~*"))=1,MAX($AB$2:AB986)+1,""))</f>
        <v/>
      </c>
    </row>
    <row r="988">
      <c r="M988">
        <f>IF(A988="","",LOWER(TRIM(SUBSTITUTE(SUBSTITUTE(A988,"?",""),"*",""))))</f>
        <v/>
      </c>
      <c r="N988">
        <f>IF(M988="","",IF(SUMPRODUCT(ISNUMBER(SEARCH(" "&amp;Settings!$L$5:$L$124&amp;" "," "&amp;M988&amp;" "))*(Settings!$K$5:$K$124="Navigational")*(Settings!$L$5:$L$124&lt;&gt;""))&gt;0,"Navigational",IF(SUMPRODUCT(ISNUMBER(SEARCH(" "&amp;Settings!$L$5:$L$124&amp;" "," "&amp;M988&amp;" "))*(Settings!$K$5:$K$124="Transactional")*(Settings!$L$5:$L$124&lt;&gt;""))&gt;0,"Transactional",IF(SUMPRODUCT(ISNUMBER(SEARCH(" "&amp;Settings!$L$5:$L$124&amp;" "," "&amp;M988&amp;" "))*(Settings!$K$5:$K$124="Commercial")*(Settings!$L$5:$L$124&lt;&gt;""))&gt;0,"Commercial",IF(SUMPRODUCT(ISNUMBER(SEARCH(" "&amp;Settings!$L$5:$L$124&amp;" "," "&amp;M988&amp;" "))*(Settings!$K$5:$K$124="Informational")*(Settings!$L$5:$L$124&lt;&gt;""))&gt;0,"Informational","Unclassified")))))</f>
        <v/>
      </c>
      <c r="O988">
        <f>IF(A988="","",IF(K988&lt;&gt;"",PROPER(K988),N988))</f>
        <v/>
      </c>
      <c r="P988">
        <f>IF(A988="","",ROUND(Settings!$B$5*MIN(1,LOG10(N(C988)+1)/LOG10(Settings!$B$7+1))+Settings!$B$6*(1-MIN(100,IF(D988="",50,N(D988)))/100)+IFERROR(INDEX(Settings!$B$10:$B$14,MATCH(O988,Settings!$A$10:$A$14,0)),0),0))</f>
        <v/>
      </c>
      <c r="Q988">
        <f>IF(OR(A988="",G988=""),"",COUNTIFS($M$3:$M$1002,M988,$G$3:$G$1002,"&lt;&gt;"&amp;SUBSTITUTE(SUBSTITUTE(G988,"?","~?"),"*","~*"),$G$3:$G$1002,"?*"))</f>
        <v/>
      </c>
      <c r="R988">
        <f>IF(Q988="","",IF(Q988&gt;0,"Yes","No"))</f>
        <v/>
      </c>
      <c r="S988">
        <f>IF(G988="","",COUNTIFS($G$3:$G$1002,SUBSTITUTE(SUBSTITUTE(G988,"?","~?"),"*","~*"),$J$3:$J$1002,"Primary"))</f>
        <v/>
      </c>
      <c r="T988">
        <f>IF(S988="","",IF(S988&gt;Settings!$B$4,"Yes","No"))</f>
        <v/>
      </c>
      <c r="U988">
        <f>IF(OR(G988="",B988=""),"",IF(COUNTIFS($G$3:$G$1002,SUBSTITUTE(SUBSTITUTE(G988,"?","~?"),"*","~*"),$B$3:$B$1002,"&lt;&gt;"&amp;SUBSTITUTE(SUBSTITUTE(B988,"?","~?"),"*","~*"),$B$3:$B$1002,"?*")&gt;0,"Yes","No"))</f>
        <v/>
      </c>
      <c r="V988">
        <f>IF(OR(G988="",I988="",O988="",O988="Unclassified"),"",IFERROR(INDEX(Settings!$E$5:$H$16,MATCH(I988,Settings!$D$5:$D$16,0),MATCH(O988,Settings!$E$4:$H$4,0)),"Check"))</f>
        <v/>
      </c>
      <c r="W988">
        <f>IF(V988="","",IF(V988="No","Yes","No"))</f>
        <v/>
      </c>
      <c r="X988">
        <f>IF(OR(E988="",G988=""),"",IF(LOWER(IF(RIGHT(TRIM(E988),1)="/",LEFT(TRIM(E988),LEN(TRIM(E988))-1),TRIM(E988)))&lt;&gt;LOWER(IF(RIGHT(TRIM(G988),1)="/",LEFT(TRIM(G988),LEN(TRIM(G988))-1),TRIM(G988))),"Yes","No"))</f>
        <v/>
      </c>
      <c r="Y988">
        <f>IF(A988="","",(N(Q988)&gt;0)+(T988="Yes")+(U988="Yes")+(W988="Yes")+(X988="Yes"))</f>
        <v/>
      </c>
      <c r="Z988">
        <f>IF(A988="","",IF(G988="","Not mapped",IF(Y988=0,"OK",MID(IF(N(Q988)&gt;0,"; Cannibalisation","")&amp;IF(T988="Yes","; Too many primary keywords on URL","")&amp;IF(U988="Yes","; URL spans 2+ clusters","")&amp;IF(W988="Yes","; Intent mismatch","")&amp;IF(X988="Yes","; Ranking URL is not the target",""),3,300))))</f>
        <v/>
      </c>
      <c r="AA988">
        <f>IF(G988="","",IF(COUNTIF($G$3:G988,SUBSTITUTE(SUBSTITUTE(G988,"?","~?"),"*","~*"))=1,MAX($AA$2:AA987)+1,""))</f>
        <v/>
      </c>
      <c r="AB988">
        <f>IF(B988="","",IF(COUNTIF($B$3:B988,SUBSTITUTE(SUBSTITUTE(B988,"?","~?"),"*","~*"))=1,MAX($AB$2:AB987)+1,""))</f>
        <v/>
      </c>
    </row>
    <row r="989">
      <c r="M989">
        <f>IF(A989="","",LOWER(TRIM(SUBSTITUTE(SUBSTITUTE(A989,"?",""),"*",""))))</f>
        <v/>
      </c>
      <c r="N989">
        <f>IF(M989="","",IF(SUMPRODUCT(ISNUMBER(SEARCH(" "&amp;Settings!$L$5:$L$124&amp;" "," "&amp;M989&amp;" "))*(Settings!$K$5:$K$124="Navigational")*(Settings!$L$5:$L$124&lt;&gt;""))&gt;0,"Navigational",IF(SUMPRODUCT(ISNUMBER(SEARCH(" "&amp;Settings!$L$5:$L$124&amp;" "," "&amp;M989&amp;" "))*(Settings!$K$5:$K$124="Transactional")*(Settings!$L$5:$L$124&lt;&gt;""))&gt;0,"Transactional",IF(SUMPRODUCT(ISNUMBER(SEARCH(" "&amp;Settings!$L$5:$L$124&amp;" "," "&amp;M989&amp;" "))*(Settings!$K$5:$K$124="Commercial")*(Settings!$L$5:$L$124&lt;&gt;""))&gt;0,"Commercial",IF(SUMPRODUCT(ISNUMBER(SEARCH(" "&amp;Settings!$L$5:$L$124&amp;" "," "&amp;M989&amp;" "))*(Settings!$K$5:$K$124="Informational")*(Settings!$L$5:$L$124&lt;&gt;""))&gt;0,"Informational","Unclassified")))))</f>
        <v/>
      </c>
      <c r="O989">
        <f>IF(A989="","",IF(K989&lt;&gt;"",PROPER(K989),N989))</f>
        <v/>
      </c>
      <c r="P989">
        <f>IF(A989="","",ROUND(Settings!$B$5*MIN(1,LOG10(N(C989)+1)/LOG10(Settings!$B$7+1))+Settings!$B$6*(1-MIN(100,IF(D989="",50,N(D989)))/100)+IFERROR(INDEX(Settings!$B$10:$B$14,MATCH(O989,Settings!$A$10:$A$14,0)),0),0))</f>
        <v/>
      </c>
      <c r="Q989">
        <f>IF(OR(A989="",G989=""),"",COUNTIFS($M$3:$M$1002,M989,$G$3:$G$1002,"&lt;&gt;"&amp;SUBSTITUTE(SUBSTITUTE(G989,"?","~?"),"*","~*"),$G$3:$G$1002,"?*"))</f>
        <v/>
      </c>
      <c r="R989">
        <f>IF(Q989="","",IF(Q989&gt;0,"Yes","No"))</f>
        <v/>
      </c>
      <c r="S989">
        <f>IF(G989="","",COUNTIFS($G$3:$G$1002,SUBSTITUTE(SUBSTITUTE(G989,"?","~?"),"*","~*"),$J$3:$J$1002,"Primary"))</f>
        <v/>
      </c>
      <c r="T989">
        <f>IF(S989="","",IF(S989&gt;Settings!$B$4,"Yes","No"))</f>
        <v/>
      </c>
      <c r="U989">
        <f>IF(OR(G989="",B989=""),"",IF(COUNTIFS($G$3:$G$1002,SUBSTITUTE(SUBSTITUTE(G989,"?","~?"),"*","~*"),$B$3:$B$1002,"&lt;&gt;"&amp;SUBSTITUTE(SUBSTITUTE(B989,"?","~?"),"*","~*"),$B$3:$B$1002,"?*")&gt;0,"Yes","No"))</f>
        <v/>
      </c>
      <c r="V989">
        <f>IF(OR(G989="",I989="",O989="",O989="Unclassified"),"",IFERROR(INDEX(Settings!$E$5:$H$16,MATCH(I989,Settings!$D$5:$D$16,0),MATCH(O989,Settings!$E$4:$H$4,0)),"Check"))</f>
        <v/>
      </c>
      <c r="W989">
        <f>IF(V989="","",IF(V989="No","Yes","No"))</f>
        <v/>
      </c>
      <c r="X989">
        <f>IF(OR(E989="",G989=""),"",IF(LOWER(IF(RIGHT(TRIM(E989),1)="/",LEFT(TRIM(E989),LEN(TRIM(E989))-1),TRIM(E989)))&lt;&gt;LOWER(IF(RIGHT(TRIM(G989),1)="/",LEFT(TRIM(G989),LEN(TRIM(G989))-1),TRIM(G989))),"Yes","No"))</f>
        <v/>
      </c>
      <c r="Y989">
        <f>IF(A989="","",(N(Q989)&gt;0)+(T989="Yes")+(U989="Yes")+(W989="Yes")+(X989="Yes"))</f>
        <v/>
      </c>
      <c r="Z989">
        <f>IF(A989="","",IF(G989="","Not mapped",IF(Y989=0,"OK",MID(IF(N(Q989)&gt;0,"; Cannibalisation","")&amp;IF(T989="Yes","; Too many primary keywords on URL","")&amp;IF(U989="Yes","; URL spans 2+ clusters","")&amp;IF(W989="Yes","; Intent mismatch","")&amp;IF(X989="Yes","; Ranking URL is not the target",""),3,300))))</f>
        <v/>
      </c>
      <c r="AA989">
        <f>IF(G989="","",IF(COUNTIF($G$3:G989,SUBSTITUTE(SUBSTITUTE(G989,"?","~?"),"*","~*"))=1,MAX($AA$2:AA988)+1,""))</f>
        <v/>
      </c>
      <c r="AB989">
        <f>IF(B989="","",IF(COUNTIF($B$3:B989,SUBSTITUTE(SUBSTITUTE(B989,"?","~?"),"*","~*"))=1,MAX($AB$2:AB988)+1,""))</f>
        <v/>
      </c>
    </row>
    <row r="990">
      <c r="M990">
        <f>IF(A990="","",LOWER(TRIM(SUBSTITUTE(SUBSTITUTE(A990,"?",""),"*",""))))</f>
        <v/>
      </c>
      <c r="N990">
        <f>IF(M990="","",IF(SUMPRODUCT(ISNUMBER(SEARCH(" "&amp;Settings!$L$5:$L$124&amp;" "," "&amp;M990&amp;" "))*(Settings!$K$5:$K$124="Navigational")*(Settings!$L$5:$L$124&lt;&gt;""))&gt;0,"Navigational",IF(SUMPRODUCT(ISNUMBER(SEARCH(" "&amp;Settings!$L$5:$L$124&amp;" "," "&amp;M990&amp;" "))*(Settings!$K$5:$K$124="Transactional")*(Settings!$L$5:$L$124&lt;&gt;""))&gt;0,"Transactional",IF(SUMPRODUCT(ISNUMBER(SEARCH(" "&amp;Settings!$L$5:$L$124&amp;" "," "&amp;M990&amp;" "))*(Settings!$K$5:$K$124="Commercial")*(Settings!$L$5:$L$124&lt;&gt;""))&gt;0,"Commercial",IF(SUMPRODUCT(ISNUMBER(SEARCH(" "&amp;Settings!$L$5:$L$124&amp;" "," "&amp;M990&amp;" "))*(Settings!$K$5:$K$124="Informational")*(Settings!$L$5:$L$124&lt;&gt;""))&gt;0,"Informational","Unclassified")))))</f>
        <v/>
      </c>
      <c r="O990">
        <f>IF(A990="","",IF(K990&lt;&gt;"",PROPER(K990),N990))</f>
        <v/>
      </c>
      <c r="P990">
        <f>IF(A990="","",ROUND(Settings!$B$5*MIN(1,LOG10(N(C990)+1)/LOG10(Settings!$B$7+1))+Settings!$B$6*(1-MIN(100,IF(D990="",50,N(D990)))/100)+IFERROR(INDEX(Settings!$B$10:$B$14,MATCH(O990,Settings!$A$10:$A$14,0)),0),0))</f>
        <v/>
      </c>
      <c r="Q990">
        <f>IF(OR(A990="",G990=""),"",COUNTIFS($M$3:$M$1002,M990,$G$3:$G$1002,"&lt;&gt;"&amp;SUBSTITUTE(SUBSTITUTE(G990,"?","~?"),"*","~*"),$G$3:$G$1002,"?*"))</f>
        <v/>
      </c>
      <c r="R990">
        <f>IF(Q990="","",IF(Q990&gt;0,"Yes","No"))</f>
        <v/>
      </c>
      <c r="S990">
        <f>IF(G990="","",COUNTIFS($G$3:$G$1002,SUBSTITUTE(SUBSTITUTE(G990,"?","~?"),"*","~*"),$J$3:$J$1002,"Primary"))</f>
        <v/>
      </c>
      <c r="T990">
        <f>IF(S990="","",IF(S990&gt;Settings!$B$4,"Yes","No"))</f>
        <v/>
      </c>
      <c r="U990">
        <f>IF(OR(G990="",B990=""),"",IF(COUNTIFS($G$3:$G$1002,SUBSTITUTE(SUBSTITUTE(G990,"?","~?"),"*","~*"),$B$3:$B$1002,"&lt;&gt;"&amp;SUBSTITUTE(SUBSTITUTE(B990,"?","~?"),"*","~*"),$B$3:$B$1002,"?*")&gt;0,"Yes","No"))</f>
        <v/>
      </c>
      <c r="V990">
        <f>IF(OR(G990="",I990="",O990="",O990="Unclassified"),"",IFERROR(INDEX(Settings!$E$5:$H$16,MATCH(I990,Settings!$D$5:$D$16,0),MATCH(O990,Settings!$E$4:$H$4,0)),"Check"))</f>
        <v/>
      </c>
      <c r="W990">
        <f>IF(V990="","",IF(V990="No","Yes","No"))</f>
        <v/>
      </c>
      <c r="X990">
        <f>IF(OR(E990="",G990=""),"",IF(LOWER(IF(RIGHT(TRIM(E990),1)="/",LEFT(TRIM(E990),LEN(TRIM(E990))-1),TRIM(E990)))&lt;&gt;LOWER(IF(RIGHT(TRIM(G990),1)="/",LEFT(TRIM(G990),LEN(TRIM(G990))-1),TRIM(G990))),"Yes","No"))</f>
        <v/>
      </c>
      <c r="Y990">
        <f>IF(A990="","",(N(Q990)&gt;0)+(T990="Yes")+(U990="Yes")+(W990="Yes")+(X990="Yes"))</f>
        <v/>
      </c>
      <c r="Z990">
        <f>IF(A990="","",IF(G990="","Not mapped",IF(Y990=0,"OK",MID(IF(N(Q990)&gt;0,"; Cannibalisation","")&amp;IF(T990="Yes","; Too many primary keywords on URL","")&amp;IF(U990="Yes","; URL spans 2+ clusters","")&amp;IF(W990="Yes","; Intent mismatch","")&amp;IF(X990="Yes","; Ranking URL is not the target",""),3,300))))</f>
        <v/>
      </c>
      <c r="AA990">
        <f>IF(G990="","",IF(COUNTIF($G$3:G990,SUBSTITUTE(SUBSTITUTE(G990,"?","~?"),"*","~*"))=1,MAX($AA$2:AA989)+1,""))</f>
        <v/>
      </c>
      <c r="AB990">
        <f>IF(B990="","",IF(COUNTIF($B$3:B990,SUBSTITUTE(SUBSTITUTE(B990,"?","~?"),"*","~*"))=1,MAX($AB$2:AB989)+1,""))</f>
        <v/>
      </c>
    </row>
    <row r="991">
      <c r="M991">
        <f>IF(A991="","",LOWER(TRIM(SUBSTITUTE(SUBSTITUTE(A991,"?",""),"*",""))))</f>
        <v/>
      </c>
      <c r="N991">
        <f>IF(M991="","",IF(SUMPRODUCT(ISNUMBER(SEARCH(" "&amp;Settings!$L$5:$L$124&amp;" "," "&amp;M991&amp;" "))*(Settings!$K$5:$K$124="Navigational")*(Settings!$L$5:$L$124&lt;&gt;""))&gt;0,"Navigational",IF(SUMPRODUCT(ISNUMBER(SEARCH(" "&amp;Settings!$L$5:$L$124&amp;" "," "&amp;M991&amp;" "))*(Settings!$K$5:$K$124="Transactional")*(Settings!$L$5:$L$124&lt;&gt;""))&gt;0,"Transactional",IF(SUMPRODUCT(ISNUMBER(SEARCH(" "&amp;Settings!$L$5:$L$124&amp;" "," "&amp;M991&amp;" "))*(Settings!$K$5:$K$124="Commercial")*(Settings!$L$5:$L$124&lt;&gt;""))&gt;0,"Commercial",IF(SUMPRODUCT(ISNUMBER(SEARCH(" "&amp;Settings!$L$5:$L$124&amp;" "," "&amp;M991&amp;" "))*(Settings!$K$5:$K$124="Informational")*(Settings!$L$5:$L$124&lt;&gt;""))&gt;0,"Informational","Unclassified")))))</f>
        <v/>
      </c>
      <c r="O991">
        <f>IF(A991="","",IF(K991&lt;&gt;"",PROPER(K991),N991))</f>
        <v/>
      </c>
      <c r="P991">
        <f>IF(A991="","",ROUND(Settings!$B$5*MIN(1,LOG10(N(C991)+1)/LOG10(Settings!$B$7+1))+Settings!$B$6*(1-MIN(100,IF(D991="",50,N(D991)))/100)+IFERROR(INDEX(Settings!$B$10:$B$14,MATCH(O991,Settings!$A$10:$A$14,0)),0),0))</f>
        <v/>
      </c>
      <c r="Q991">
        <f>IF(OR(A991="",G991=""),"",COUNTIFS($M$3:$M$1002,M991,$G$3:$G$1002,"&lt;&gt;"&amp;SUBSTITUTE(SUBSTITUTE(G991,"?","~?"),"*","~*"),$G$3:$G$1002,"?*"))</f>
        <v/>
      </c>
      <c r="R991">
        <f>IF(Q991="","",IF(Q991&gt;0,"Yes","No"))</f>
        <v/>
      </c>
      <c r="S991">
        <f>IF(G991="","",COUNTIFS($G$3:$G$1002,SUBSTITUTE(SUBSTITUTE(G991,"?","~?"),"*","~*"),$J$3:$J$1002,"Primary"))</f>
        <v/>
      </c>
      <c r="T991">
        <f>IF(S991="","",IF(S991&gt;Settings!$B$4,"Yes","No"))</f>
        <v/>
      </c>
      <c r="U991">
        <f>IF(OR(G991="",B991=""),"",IF(COUNTIFS($G$3:$G$1002,SUBSTITUTE(SUBSTITUTE(G991,"?","~?"),"*","~*"),$B$3:$B$1002,"&lt;&gt;"&amp;SUBSTITUTE(SUBSTITUTE(B991,"?","~?"),"*","~*"),$B$3:$B$1002,"?*")&gt;0,"Yes","No"))</f>
        <v/>
      </c>
      <c r="V991">
        <f>IF(OR(G991="",I991="",O991="",O991="Unclassified"),"",IFERROR(INDEX(Settings!$E$5:$H$16,MATCH(I991,Settings!$D$5:$D$16,0),MATCH(O991,Settings!$E$4:$H$4,0)),"Check"))</f>
        <v/>
      </c>
      <c r="W991">
        <f>IF(V991="","",IF(V991="No","Yes","No"))</f>
        <v/>
      </c>
      <c r="X991">
        <f>IF(OR(E991="",G991=""),"",IF(LOWER(IF(RIGHT(TRIM(E991),1)="/",LEFT(TRIM(E991),LEN(TRIM(E991))-1),TRIM(E991)))&lt;&gt;LOWER(IF(RIGHT(TRIM(G991),1)="/",LEFT(TRIM(G991),LEN(TRIM(G991))-1),TRIM(G991))),"Yes","No"))</f>
        <v/>
      </c>
      <c r="Y991">
        <f>IF(A991="","",(N(Q991)&gt;0)+(T991="Yes")+(U991="Yes")+(W991="Yes")+(X991="Yes"))</f>
        <v/>
      </c>
      <c r="Z991">
        <f>IF(A991="","",IF(G991="","Not mapped",IF(Y991=0,"OK",MID(IF(N(Q991)&gt;0,"; Cannibalisation","")&amp;IF(T991="Yes","; Too many primary keywords on URL","")&amp;IF(U991="Yes","; URL spans 2+ clusters","")&amp;IF(W991="Yes","; Intent mismatch","")&amp;IF(X991="Yes","; Ranking URL is not the target",""),3,300))))</f>
        <v/>
      </c>
      <c r="AA991">
        <f>IF(G991="","",IF(COUNTIF($G$3:G991,SUBSTITUTE(SUBSTITUTE(G991,"?","~?"),"*","~*"))=1,MAX($AA$2:AA990)+1,""))</f>
        <v/>
      </c>
      <c r="AB991">
        <f>IF(B991="","",IF(COUNTIF($B$3:B991,SUBSTITUTE(SUBSTITUTE(B991,"?","~?"),"*","~*"))=1,MAX($AB$2:AB990)+1,""))</f>
        <v/>
      </c>
    </row>
    <row r="992">
      <c r="M992">
        <f>IF(A992="","",LOWER(TRIM(SUBSTITUTE(SUBSTITUTE(A992,"?",""),"*",""))))</f>
        <v/>
      </c>
      <c r="N992">
        <f>IF(M992="","",IF(SUMPRODUCT(ISNUMBER(SEARCH(" "&amp;Settings!$L$5:$L$124&amp;" "," "&amp;M992&amp;" "))*(Settings!$K$5:$K$124="Navigational")*(Settings!$L$5:$L$124&lt;&gt;""))&gt;0,"Navigational",IF(SUMPRODUCT(ISNUMBER(SEARCH(" "&amp;Settings!$L$5:$L$124&amp;" "," "&amp;M992&amp;" "))*(Settings!$K$5:$K$124="Transactional")*(Settings!$L$5:$L$124&lt;&gt;""))&gt;0,"Transactional",IF(SUMPRODUCT(ISNUMBER(SEARCH(" "&amp;Settings!$L$5:$L$124&amp;" "," "&amp;M992&amp;" "))*(Settings!$K$5:$K$124="Commercial")*(Settings!$L$5:$L$124&lt;&gt;""))&gt;0,"Commercial",IF(SUMPRODUCT(ISNUMBER(SEARCH(" "&amp;Settings!$L$5:$L$124&amp;" "," "&amp;M992&amp;" "))*(Settings!$K$5:$K$124="Informational")*(Settings!$L$5:$L$124&lt;&gt;""))&gt;0,"Informational","Unclassified")))))</f>
        <v/>
      </c>
      <c r="O992">
        <f>IF(A992="","",IF(K992&lt;&gt;"",PROPER(K992),N992))</f>
        <v/>
      </c>
      <c r="P992">
        <f>IF(A992="","",ROUND(Settings!$B$5*MIN(1,LOG10(N(C992)+1)/LOG10(Settings!$B$7+1))+Settings!$B$6*(1-MIN(100,IF(D992="",50,N(D992)))/100)+IFERROR(INDEX(Settings!$B$10:$B$14,MATCH(O992,Settings!$A$10:$A$14,0)),0),0))</f>
        <v/>
      </c>
      <c r="Q992">
        <f>IF(OR(A992="",G992=""),"",COUNTIFS($M$3:$M$1002,M992,$G$3:$G$1002,"&lt;&gt;"&amp;SUBSTITUTE(SUBSTITUTE(G992,"?","~?"),"*","~*"),$G$3:$G$1002,"?*"))</f>
        <v/>
      </c>
      <c r="R992">
        <f>IF(Q992="","",IF(Q992&gt;0,"Yes","No"))</f>
        <v/>
      </c>
      <c r="S992">
        <f>IF(G992="","",COUNTIFS($G$3:$G$1002,SUBSTITUTE(SUBSTITUTE(G992,"?","~?"),"*","~*"),$J$3:$J$1002,"Primary"))</f>
        <v/>
      </c>
      <c r="T992">
        <f>IF(S992="","",IF(S992&gt;Settings!$B$4,"Yes","No"))</f>
        <v/>
      </c>
      <c r="U992">
        <f>IF(OR(G992="",B992=""),"",IF(COUNTIFS($G$3:$G$1002,SUBSTITUTE(SUBSTITUTE(G992,"?","~?"),"*","~*"),$B$3:$B$1002,"&lt;&gt;"&amp;SUBSTITUTE(SUBSTITUTE(B992,"?","~?"),"*","~*"),$B$3:$B$1002,"?*")&gt;0,"Yes","No"))</f>
        <v/>
      </c>
      <c r="V992">
        <f>IF(OR(G992="",I992="",O992="",O992="Unclassified"),"",IFERROR(INDEX(Settings!$E$5:$H$16,MATCH(I992,Settings!$D$5:$D$16,0),MATCH(O992,Settings!$E$4:$H$4,0)),"Check"))</f>
        <v/>
      </c>
      <c r="W992">
        <f>IF(V992="","",IF(V992="No","Yes","No"))</f>
        <v/>
      </c>
      <c r="X992">
        <f>IF(OR(E992="",G992=""),"",IF(LOWER(IF(RIGHT(TRIM(E992),1)="/",LEFT(TRIM(E992),LEN(TRIM(E992))-1),TRIM(E992)))&lt;&gt;LOWER(IF(RIGHT(TRIM(G992),1)="/",LEFT(TRIM(G992),LEN(TRIM(G992))-1),TRIM(G992))),"Yes","No"))</f>
        <v/>
      </c>
      <c r="Y992">
        <f>IF(A992="","",(N(Q992)&gt;0)+(T992="Yes")+(U992="Yes")+(W992="Yes")+(X992="Yes"))</f>
        <v/>
      </c>
      <c r="Z992">
        <f>IF(A992="","",IF(G992="","Not mapped",IF(Y992=0,"OK",MID(IF(N(Q992)&gt;0,"; Cannibalisation","")&amp;IF(T992="Yes","; Too many primary keywords on URL","")&amp;IF(U992="Yes","; URL spans 2+ clusters","")&amp;IF(W992="Yes","; Intent mismatch","")&amp;IF(X992="Yes","; Ranking URL is not the target",""),3,300))))</f>
        <v/>
      </c>
      <c r="AA992">
        <f>IF(G992="","",IF(COUNTIF($G$3:G992,SUBSTITUTE(SUBSTITUTE(G992,"?","~?"),"*","~*"))=1,MAX($AA$2:AA991)+1,""))</f>
        <v/>
      </c>
      <c r="AB992">
        <f>IF(B992="","",IF(COUNTIF($B$3:B992,SUBSTITUTE(SUBSTITUTE(B992,"?","~?"),"*","~*"))=1,MAX($AB$2:AB991)+1,""))</f>
        <v/>
      </c>
    </row>
    <row r="993">
      <c r="M993">
        <f>IF(A993="","",LOWER(TRIM(SUBSTITUTE(SUBSTITUTE(A993,"?",""),"*",""))))</f>
        <v/>
      </c>
      <c r="N993">
        <f>IF(M993="","",IF(SUMPRODUCT(ISNUMBER(SEARCH(" "&amp;Settings!$L$5:$L$124&amp;" "," "&amp;M993&amp;" "))*(Settings!$K$5:$K$124="Navigational")*(Settings!$L$5:$L$124&lt;&gt;""))&gt;0,"Navigational",IF(SUMPRODUCT(ISNUMBER(SEARCH(" "&amp;Settings!$L$5:$L$124&amp;" "," "&amp;M993&amp;" "))*(Settings!$K$5:$K$124="Transactional")*(Settings!$L$5:$L$124&lt;&gt;""))&gt;0,"Transactional",IF(SUMPRODUCT(ISNUMBER(SEARCH(" "&amp;Settings!$L$5:$L$124&amp;" "," "&amp;M993&amp;" "))*(Settings!$K$5:$K$124="Commercial")*(Settings!$L$5:$L$124&lt;&gt;""))&gt;0,"Commercial",IF(SUMPRODUCT(ISNUMBER(SEARCH(" "&amp;Settings!$L$5:$L$124&amp;" "," "&amp;M993&amp;" "))*(Settings!$K$5:$K$124="Informational")*(Settings!$L$5:$L$124&lt;&gt;""))&gt;0,"Informational","Unclassified")))))</f>
        <v/>
      </c>
      <c r="O993">
        <f>IF(A993="","",IF(K993&lt;&gt;"",PROPER(K993),N993))</f>
        <v/>
      </c>
      <c r="P993">
        <f>IF(A993="","",ROUND(Settings!$B$5*MIN(1,LOG10(N(C993)+1)/LOG10(Settings!$B$7+1))+Settings!$B$6*(1-MIN(100,IF(D993="",50,N(D993)))/100)+IFERROR(INDEX(Settings!$B$10:$B$14,MATCH(O993,Settings!$A$10:$A$14,0)),0),0))</f>
        <v/>
      </c>
      <c r="Q993">
        <f>IF(OR(A993="",G993=""),"",COUNTIFS($M$3:$M$1002,M993,$G$3:$G$1002,"&lt;&gt;"&amp;SUBSTITUTE(SUBSTITUTE(G993,"?","~?"),"*","~*"),$G$3:$G$1002,"?*"))</f>
        <v/>
      </c>
      <c r="R993">
        <f>IF(Q993="","",IF(Q993&gt;0,"Yes","No"))</f>
        <v/>
      </c>
      <c r="S993">
        <f>IF(G993="","",COUNTIFS($G$3:$G$1002,SUBSTITUTE(SUBSTITUTE(G993,"?","~?"),"*","~*"),$J$3:$J$1002,"Primary"))</f>
        <v/>
      </c>
      <c r="T993">
        <f>IF(S993="","",IF(S993&gt;Settings!$B$4,"Yes","No"))</f>
        <v/>
      </c>
      <c r="U993">
        <f>IF(OR(G993="",B993=""),"",IF(COUNTIFS($G$3:$G$1002,SUBSTITUTE(SUBSTITUTE(G993,"?","~?"),"*","~*"),$B$3:$B$1002,"&lt;&gt;"&amp;SUBSTITUTE(SUBSTITUTE(B993,"?","~?"),"*","~*"),$B$3:$B$1002,"?*")&gt;0,"Yes","No"))</f>
        <v/>
      </c>
      <c r="V993">
        <f>IF(OR(G993="",I993="",O993="",O993="Unclassified"),"",IFERROR(INDEX(Settings!$E$5:$H$16,MATCH(I993,Settings!$D$5:$D$16,0),MATCH(O993,Settings!$E$4:$H$4,0)),"Check"))</f>
        <v/>
      </c>
      <c r="W993">
        <f>IF(V993="","",IF(V993="No","Yes","No"))</f>
        <v/>
      </c>
      <c r="X993">
        <f>IF(OR(E993="",G993=""),"",IF(LOWER(IF(RIGHT(TRIM(E993),1)="/",LEFT(TRIM(E993),LEN(TRIM(E993))-1),TRIM(E993)))&lt;&gt;LOWER(IF(RIGHT(TRIM(G993),1)="/",LEFT(TRIM(G993),LEN(TRIM(G993))-1),TRIM(G993))),"Yes","No"))</f>
        <v/>
      </c>
      <c r="Y993">
        <f>IF(A993="","",(N(Q993)&gt;0)+(T993="Yes")+(U993="Yes")+(W993="Yes")+(X993="Yes"))</f>
        <v/>
      </c>
      <c r="Z993">
        <f>IF(A993="","",IF(G993="","Not mapped",IF(Y993=0,"OK",MID(IF(N(Q993)&gt;0,"; Cannibalisation","")&amp;IF(T993="Yes","; Too many primary keywords on URL","")&amp;IF(U993="Yes","; URL spans 2+ clusters","")&amp;IF(W993="Yes","; Intent mismatch","")&amp;IF(X993="Yes","; Ranking URL is not the target",""),3,300))))</f>
        <v/>
      </c>
      <c r="AA993">
        <f>IF(G993="","",IF(COUNTIF($G$3:G993,SUBSTITUTE(SUBSTITUTE(G993,"?","~?"),"*","~*"))=1,MAX($AA$2:AA992)+1,""))</f>
        <v/>
      </c>
      <c r="AB993">
        <f>IF(B993="","",IF(COUNTIF($B$3:B993,SUBSTITUTE(SUBSTITUTE(B993,"?","~?"),"*","~*"))=1,MAX($AB$2:AB992)+1,""))</f>
        <v/>
      </c>
    </row>
    <row r="994">
      <c r="M994">
        <f>IF(A994="","",LOWER(TRIM(SUBSTITUTE(SUBSTITUTE(A994,"?",""),"*",""))))</f>
        <v/>
      </c>
      <c r="N994">
        <f>IF(M994="","",IF(SUMPRODUCT(ISNUMBER(SEARCH(" "&amp;Settings!$L$5:$L$124&amp;" "," "&amp;M994&amp;" "))*(Settings!$K$5:$K$124="Navigational")*(Settings!$L$5:$L$124&lt;&gt;""))&gt;0,"Navigational",IF(SUMPRODUCT(ISNUMBER(SEARCH(" "&amp;Settings!$L$5:$L$124&amp;" "," "&amp;M994&amp;" "))*(Settings!$K$5:$K$124="Transactional")*(Settings!$L$5:$L$124&lt;&gt;""))&gt;0,"Transactional",IF(SUMPRODUCT(ISNUMBER(SEARCH(" "&amp;Settings!$L$5:$L$124&amp;" "," "&amp;M994&amp;" "))*(Settings!$K$5:$K$124="Commercial")*(Settings!$L$5:$L$124&lt;&gt;""))&gt;0,"Commercial",IF(SUMPRODUCT(ISNUMBER(SEARCH(" "&amp;Settings!$L$5:$L$124&amp;" "," "&amp;M994&amp;" "))*(Settings!$K$5:$K$124="Informational")*(Settings!$L$5:$L$124&lt;&gt;""))&gt;0,"Informational","Unclassified")))))</f>
        <v/>
      </c>
      <c r="O994">
        <f>IF(A994="","",IF(K994&lt;&gt;"",PROPER(K994),N994))</f>
        <v/>
      </c>
      <c r="P994">
        <f>IF(A994="","",ROUND(Settings!$B$5*MIN(1,LOG10(N(C994)+1)/LOG10(Settings!$B$7+1))+Settings!$B$6*(1-MIN(100,IF(D994="",50,N(D994)))/100)+IFERROR(INDEX(Settings!$B$10:$B$14,MATCH(O994,Settings!$A$10:$A$14,0)),0),0))</f>
        <v/>
      </c>
      <c r="Q994">
        <f>IF(OR(A994="",G994=""),"",COUNTIFS($M$3:$M$1002,M994,$G$3:$G$1002,"&lt;&gt;"&amp;SUBSTITUTE(SUBSTITUTE(G994,"?","~?"),"*","~*"),$G$3:$G$1002,"?*"))</f>
        <v/>
      </c>
      <c r="R994">
        <f>IF(Q994="","",IF(Q994&gt;0,"Yes","No"))</f>
        <v/>
      </c>
      <c r="S994">
        <f>IF(G994="","",COUNTIFS($G$3:$G$1002,SUBSTITUTE(SUBSTITUTE(G994,"?","~?"),"*","~*"),$J$3:$J$1002,"Primary"))</f>
        <v/>
      </c>
      <c r="T994">
        <f>IF(S994="","",IF(S994&gt;Settings!$B$4,"Yes","No"))</f>
        <v/>
      </c>
      <c r="U994">
        <f>IF(OR(G994="",B994=""),"",IF(COUNTIFS($G$3:$G$1002,SUBSTITUTE(SUBSTITUTE(G994,"?","~?"),"*","~*"),$B$3:$B$1002,"&lt;&gt;"&amp;SUBSTITUTE(SUBSTITUTE(B994,"?","~?"),"*","~*"),$B$3:$B$1002,"?*")&gt;0,"Yes","No"))</f>
        <v/>
      </c>
      <c r="V994">
        <f>IF(OR(G994="",I994="",O994="",O994="Unclassified"),"",IFERROR(INDEX(Settings!$E$5:$H$16,MATCH(I994,Settings!$D$5:$D$16,0),MATCH(O994,Settings!$E$4:$H$4,0)),"Check"))</f>
        <v/>
      </c>
      <c r="W994">
        <f>IF(V994="","",IF(V994="No","Yes","No"))</f>
        <v/>
      </c>
      <c r="X994">
        <f>IF(OR(E994="",G994=""),"",IF(LOWER(IF(RIGHT(TRIM(E994),1)="/",LEFT(TRIM(E994),LEN(TRIM(E994))-1),TRIM(E994)))&lt;&gt;LOWER(IF(RIGHT(TRIM(G994),1)="/",LEFT(TRIM(G994),LEN(TRIM(G994))-1),TRIM(G994))),"Yes","No"))</f>
        <v/>
      </c>
      <c r="Y994">
        <f>IF(A994="","",(N(Q994)&gt;0)+(T994="Yes")+(U994="Yes")+(W994="Yes")+(X994="Yes"))</f>
        <v/>
      </c>
      <c r="Z994">
        <f>IF(A994="","",IF(G994="","Not mapped",IF(Y994=0,"OK",MID(IF(N(Q994)&gt;0,"; Cannibalisation","")&amp;IF(T994="Yes","; Too many primary keywords on URL","")&amp;IF(U994="Yes","; URL spans 2+ clusters","")&amp;IF(W994="Yes","; Intent mismatch","")&amp;IF(X994="Yes","; Ranking URL is not the target",""),3,300))))</f>
        <v/>
      </c>
      <c r="AA994">
        <f>IF(G994="","",IF(COUNTIF($G$3:G994,SUBSTITUTE(SUBSTITUTE(G994,"?","~?"),"*","~*"))=1,MAX($AA$2:AA993)+1,""))</f>
        <v/>
      </c>
      <c r="AB994">
        <f>IF(B994="","",IF(COUNTIF($B$3:B994,SUBSTITUTE(SUBSTITUTE(B994,"?","~?"),"*","~*"))=1,MAX($AB$2:AB993)+1,""))</f>
        <v/>
      </c>
    </row>
    <row r="995">
      <c r="M995">
        <f>IF(A995="","",LOWER(TRIM(SUBSTITUTE(SUBSTITUTE(A995,"?",""),"*",""))))</f>
        <v/>
      </c>
      <c r="N995">
        <f>IF(M995="","",IF(SUMPRODUCT(ISNUMBER(SEARCH(" "&amp;Settings!$L$5:$L$124&amp;" "," "&amp;M995&amp;" "))*(Settings!$K$5:$K$124="Navigational")*(Settings!$L$5:$L$124&lt;&gt;""))&gt;0,"Navigational",IF(SUMPRODUCT(ISNUMBER(SEARCH(" "&amp;Settings!$L$5:$L$124&amp;" "," "&amp;M995&amp;" "))*(Settings!$K$5:$K$124="Transactional")*(Settings!$L$5:$L$124&lt;&gt;""))&gt;0,"Transactional",IF(SUMPRODUCT(ISNUMBER(SEARCH(" "&amp;Settings!$L$5:$L$124&amp;" "," "&amp;M995&amp;" "))*(Settings!$K$5:$K$124="Commercial")*(Settings!$L$5:$L$124&lt;&gt;""))&gt;0,"Commercial",IF(SUMPRODUCT(ISNUMBER(SEARCH(" "&amp;Settings!$L$5:$L$124&amp;" "," "&amp;M995&amp;" "))*(Settings!$K$5:$K$124="Informational")*(Settings!$L$5:$L$124&lt;&gt;""))&gt;0,"Informational","Unclassified")))))</f>
        <v/>
      </c>
      <c r="O995">
        <f>IF(A995="","",IF(K995&lt;&gt;"",PROPER(K995),N995))</f>
        <v/>
      </c>
      <c r="P995">
        <f>IF(A995="","",ROUND(Settings!$B$5*MIN(1,LOG10(N(C995)+1)/LOG10(Settings!$B$7+1))+Settings!$B$6*(1-MIN(100,IF(D995="",50,N(D995)))/100)+IFERROR(INDEX(Settings!$B$10:$B$14,MATCH(O995,Settings!$A$10:$A$14,0)),0),0))</f>
        <v/>
      </c>
      <c r="Q995">
        <f>IF(OR(A995="",G995=""),"",COUNTIFS($M$3:$M$1002,M995,$G$3:$G$1002,"&lt;&gt;"&amp;SUBSTITUTE(SUBSTITUTE(G995,"?","~?"),"*","~*"),$G$3:$G$1002,"?*"))</f>
        <v/>
      </c>
      <c r="R995">
        <f>IF(Q995="","",IF(Q995&gt;0,"Yes","No"))</f>
        <v/>
      </c>
      <c r="S995">
        <f>IF(G995="","",COUNTIFS($G$3:$G$1002,SUBSTITUTE(SUBSTITUTE(G995,"?","~?"),"*","~*"),$J$3:$J$1002,"Primary"))</f>
        <v/>
      </c>
      <c r="T995">
        <f>IF(S995="","",IF(S995&gt;Settings!$B$4,"Yes","No"))</f>
        <v/>
      </c>
      <c r="U995">
        <f>IF(OR(G995="",B995=""),"",IF(COUNTIFS($G$3:$G$1002,SUBSTITUTE(SUBSTITUTE(G995,"?","~?"),"*","~*"),$B$3:$B$1002,"&lt;&gt;"&amp;SUBSTITUTE(SUBSTITUTE(B995,"?","~?"),"*","~*"),$B$3:$B$1002,"?*")&gt;0,"Yes","No"))</f>
        <v/>
      </c>
      <c r="V995">
        <f>IF(OR(G995="",I995="",O995="",O995="Unclassified"),"",IFERROR(INDEX(Settings!$E$5:$H$16,MATCH(I995,Settings!$D$5:$D$16,0),MATCH(O995,Settings!$E$4:$H$4,0)),"Check"))</f>
        <v/>
      </c>
      <c r="W995">
        <f>IF(V995="","",IF(V995="No","Yes","No"))</f>
        <v/>
      </c>
      <c r="X995">
        <f>IF(OR(E995="",G995=""),"",IF(LOWER(IF(RIGHT(TRIM(E995),1)="/",LEFT(TRIM(E995),LEN(TRIM(E995))-1),TRIM(E995)))&lt;&gt;LOWER(IF(RIGHT(TRIM(G995),1)="/",LEFT(TRIM(G995),LEN(TRIM(G995))-1),TRIM(G995))),"Yes","No"))</f>
        <v/>
      </c>
      <c r="Y995">
        <f>IF(A995="","",(N(Q995)&gt;0)+(T995="Yes")+(U995="Yes")+(W995="Yes")+(X995="Yes"))</f>
        <v/>
      </c>
      <c r="Z995">
        <f>IF(A995="","",IF(G995="","Not mapped",IF(Y995=0,"OK",MID(IF(N(Q995)&gt;0,"; Cannibalisation","")&amp;IF(T995="Yes","; Too many primary keywords on URL","")&amp;IF(U995="Yes","; URL spans 2+ clusters","")&amp;IF(W995="Yes","; Intent mismatch","")&amp;IF(X995="Yes","; Ranking URL is not the target",""),3,300))))</f>
        <v/>
      </c>
      <c r="AA995">
        <f>IF(G995="","",IF(COUNTIF($G$3:G995,SUBSTITUTE(SUBSTITUTE(G995,"?","~?"),"*","~*"))=1,MAX($AA$2:AA994)+1,""))</f>
        <v/>
      </c>
      <c r="AB995">
        <f>IF(B995="","",IF(COUNTIF($B$3:B995,SUBSTITUTE(SUBSTITUTE(B995,"?","~?"),"*","~*"))=1,MAX($AB$2:AB994)+1,""))</f>
        <v/>
      </c>
    </row>
    <row r="996">
      <c r="M996">
        <f>IF(A996="","",LOWER(TRIM(SUBSTITUTE(SUBSTITUTE(A996,"?",""),"*",""))))</f>
        <v/>
      </c>
      <c r="N996">
        <f>IF(M996="","",IF(SUMPRODUCT(ISNUMBER(SEARCH(" "&amp;Settings!$L$5:$L$124&amp;" "," "&amp;M996&amp;" "))*(Settings!$K$5:$K$124="Navigational")*(Settings!$L$5:$L$124&lt;&gt;""))&gt;0,"Navigational",IF(SUMPRODUCT(ISNUMBER(SEARCH(" "&amp;Settings!$L$5:$L$124&amp;" "," "&amp;M996&amp;" "))*(Settings!$K$5:$K$124="Transactional")*(Settings!$L$5:$L$124&lt;&gt;""))&gt;0,"Transactional",IF(SUMPRODUCT(ISNUMBER(SEARCH(" "&amp;Settings!$L$5:$L$124&amp;" "," "&amp;M996&amp;" "))*(Settings!$K$5:$K$124="Commercial")*(Settings!$L$5:$L$124&lt;&gt;""))&gt;0,"Commercial",IF(SUMPRODUCT(ISNUMBER(SEARCH(" "&amp;Settings!$L$5:$L$124&amp;" "," "&amp;M996&amp;" "))*(Settings!$K$5:$K$124="Informational")*(Settings!$L$5:$L$124&lt;&gt;""))&gt;0,"Informational","Unclassified")))))</f>
        <v/>
      </c>
      <c r="O996">
        <f>IF(A996="","",IF(K996&lt;&gt;"",PROPER(K996),N996))</f>
        <v/>
      </c>
      <c r="P996">
        <f>IF(A996="","",ROUND(Settings!$B$5*MIN(1,LOG10(N(C996)+1)/LOG10(Settings!$B$7+1))+Settings!$B$6*(1-MIN(100,IF(D996="",50,N(D996)))/100)+IFERROR(INDEX(Settings!$B$10:$B$14,MATCH(O996,Settings!$A$10:$A$14,0)),0),0))</f>
        <v/>
      </c>
      <c r="Q996">
        <f>IF(OR(A996="",G996=""),"",COUNTIFS($M$3:$M$1002,M996,$G$3:$G$1002,"&lt;&gt;"&amp;SUBSTITUTE(SUBSTITUTE(G996,"?","~?"),"*","~*"),$G$3:$G$1002,"?*"))</f>
        <v/>
      </c>
      <c r="R996">
        <f>IF(Q996="","",IF(Q996&gt;0,"Yes","No"))</f>
        <v/>
      </c>
      <c r="S996">
        <f>IF(G996="","",COUNTIFS($G$3:$G$1002,SUBSTITUTE(SUBSTITUTE(G996,"?","~?"),"*","~*"),$J$3:$J$1002,"Primary"))</f>
        <v/>
      </c>
      <c r="T996">
        <f>IF(S996="","",IF(S996&gt;Settings!$B$4,"Yes","No"))</f>
        <v/>
      </c>
      <c r="U996">
        <f>IF(OR(G996="",B996=""),"",IF(COUNTIFS($G$3:$G$1002,SUBSTITUTE(SUBSTITUTE(G996,"?","~?"),"*","~*"),$B$3:$B$1002,"&lt;&gt;"&amp;SUBSTITUTE(SUBSTITUTE(B996,"?","~?"),"*","~*"),$B$3:$B$1002,"?*")&gt;0,"Yes","No"))</f>
        <v/>
      </c>
      <c r="V996">
        <f>IF(OR(G996="",I996="",O996="",O996="Unclassified"),"",IFERROR(INDEX(Settings!$E$5:$H$16,MATCH(I996,Settings!$D$5:$D$16,0),MATCH(O996,Settings!$E$4:$H$4,0)),"Check"))</f>
        <v/>
      </c>
      <c r="W996">
        <f>IF(V996="","",IF(V996="No","Yes","No"))</f>
        <v/>
      </c>
      <c r="X996">
        <f>IF(OR(E996="",G996=""),"",IF(LOWER(IF(RIGHT(TRIM(E996),1)="/",LEFT(TRIM(E996),LEN(TRIM(E996))-1),TRIM(E996)))&lt;&gt;LOWER(IF(RIGHT(TRIM(G996),1)="/",LEFT(TRIM(G996),LEN(TRIM(G996))-1),TRIM(G996))),"Yes","No"))</f>
        <v/>
      </c>
      <c r="Y996">
        <f>IF(A996="","",(N(Q996)&gt;0)+(T996="Yes")+(U996="Yes")+(W996="Yes")+(X996="Yes"))</f>
        <v/>
      </c>
      <c r="Z996">
        <f>IF(A996="","",IF(G996="","Not mapped",IF(Y996=0,"OK",MID(IF(N(Q996)&gt;0,"; Cannibalisation","")&amp;IF(T996="Yes","; Too many primary keywords on URL","")&amp;IF(U996="Yes","; URL spans 2+ clusters","")&amp;IF(W996="Yes","; Intent mismatch","")&amp;IF(X996="Yes","; Ranking URL is not the target",""),3,300))))</f>
        <v/>
      </c>
      <c r="AA996">
        <f>IF(G996="","",IF(COUNTIF($G$3:G996,SUBSTITUTE(SUBSTITUTE(G996,"?","~?"),"*","~*"))=1,MAX($AA$2:AA995)+1,""))</f>
        <v/>
      </c>
      <c r="AB996">
        <f>IF(B996="","",IF(COUNTIF($B$3:B996,SUBSTITUTE(SUBSTITUTE(B996,"?","~?"),"*","~*"))=1,MAX($AB$2:AB995)+1,""))</f>
        <v/>
      </c>
    </row>
    <row r="997">
      <c r="M997">
        <f>IF(A997="","",LOWER(TRIM(SUBSTITUTE(SUBSTITUTE(A997,"?",""),"*",""))))</f>
        <v/>
      </c>
      <c r="N997">
        <f>IF(M997="","",IF(SUMPRODUCT(ISNUMBER(SEARCH(" "&amp;Settings!$L$5:$L$124&amp;" "," "&amp;M997&amp;" "))*(Settings!$K$5:$K$124="Navigational")*(Settings!$L$5:$L$124&lt;&gt;""))&gt;0,"Navigational",IF(SUMPRODUCT(ISNUMBER(SEARCH(" "&amp;Settings!$L$5:$L$124&amp;" "," "&amp;M997&amp;" "))*(Settings!$K$5:$K$124="Transactional")*(Settings!$L$5:$L$124&lt;&gt;""))&gt;0,"Transactional",IF(SUMPRODUCT(ISNUMBER(SEARCH(" "&amp;Settings!$L$5:$L$124&amp;" "," "&amp;M997&amp;" "))*(Settings!$K$5:$K$124="Commercial")*(Settings!$L$5:$L$124&lt;&gt;""))&gt;0,"Commercial",IF(SUMPRODUCT(ISNUMBER(SEARCH(" "&amp;Settings!$L$5:$L$124&amp;" "," "&amp;M997&amp;" "))*(Settings!$K$5:$K$124="Informational")*(Settings!$L$5:$L$124&lt;&gt;""))&gt;0,"Informational","Unclassified")))))</f>
        <v/>
      </c>
      <c r="O997">
        <f>IF(A997="","",IF(K997&lt;&gt;"",PROPER(K997),N997))</f>
        <v/>
      </c>
      <c r="P997">
        <f>IF(A997="","",ROUND(Settings!$B$5*MIN(1,LOG10(N(C997)+1)/LOG10(Settings!$B$7+1))+Settings!$B$6*(1-MIN(100,IF(D997="",50,N(D997)))/100)+IFERROR(INDEX(Settings!$B$10:$B$14,MATCH(O997,Settings!$A$10:$A$14,0)),0),0))</f>
        <v/>
      </c>
      <c r="Q997">
        <f>IF(OR(A997="",G997=""),"",COUNTIFS($M$3:$M$1002,M997,$G$3:$G$1002,"&lt;&gt;"&amp;SUBSTITUTE(SUBSTITUTE(G997,"?","~?"),"*","~*"),$G$3:$G$1002,"?*"))</f>
        <v/>
      </c>
      <c r="R997">
        <f>IF(Q997="","",IF(Q997&gt;0,"Yes","No"))</f>
        <v/>
      </c>
      <c r="S997">
        <f>IF(G997="","",COUNTIFS($G$3:$G$1002,SUBSTITUTE(SUBSTITUTE(G997,"?","~?"),"*","~*"),$J$3:$J$1002,"Primary"))</f>
        <v/>
      </c>
      <c r="T997">
        <f>IF(S997="","",IF(S997&gt;Settings!$B$4,"Yes","No"))</f>
        <v/>
      </c>
      <c r="U997">
        <f>IF(OR(G997="",B997=""),"",IF(COUNTIFS($G$3:$G$1002,SUBSTITUTE(SUBSTITUTE(G997,"?","~?"),"*","~*"),$B$3:$B$1002,"&lt;&gt;"&amp;SUBSTITUTE(SUBSTITUTE(B997,"?","~?"),"*","~*"),$B$3:$B$1002,"?*")&gt;0,"Yes","No"))</f>
        <v/>
      </c>
      <c r="V997">
        <f>IF(OR(G997="",I997="",O997="",O997="Unclassified"),"",IFERROR(INDEX(Settings!$E$5:$H$16,MATCH(I997,Settings!$D$5:$D$16,0),MATCH(O997,Settings!$E$4:$H$4,0)),"Check"))</f>
        <v/>
      </c>
      <c r="W997">
        <f>IF(V997="","",IF(V997="No","Yes","No"))</f>
        <v/>
      </c>
      <c r="X997">
        <f>IF(OR(E997="",G997=""),"",IF(LOWER(IF(RIGHT(TRIM(E997),1)="/",LEFT(TRIM(E997),LEN(TRIM(E997))-1),TRIM(E997)))&lt;&gt;LOWER(IF(RIGHT(TRIM(G997),1)="/",LEFT(TRIM(G997),LEN(TRIM(G997))-1),TRIM(G997))),"Yes","No"))</f>
        <v/>
      </c>
      <c r="Y997">
        <f>IF(A997="","",(N(Q997)&gt;0)+(T997="Yes")+(U997="Yes")+(W997="Yes")+(X997="Yes"))</f>
        <v/>
      </c>
      <c r="Z997">
        <f>IF(A997="","",IF(G997="","Not mapped",IF(Y997=0,"OK",MID(IF(N(Q997)&gt;0,"; Cannibalisation","")&amp;IF(T997="Yes","; Too many primary keywords on URL","")&amp;IF(U997="Yes","; URL spans 2+ clusters","")&amp;IF(W997="Yes","; Intent mismatch","")&amp;IF(X997="Yes","; Ranking URL is not the target",""),3,300))))</f>
        <v/>
      </c>
      <c r="AA997">
        <f>IF(G997="","",IF(COUNTIF($G$3:G997,SUBSTITUTE(SUBSTITUTE(G997,"?","~?"),"*","~*"))=1,MAX($AA$2:AA996)+1,""))</f>
        <v/>
      </c>
      <c r="AB997">
        <f>IF(B997="","",IF(COUNTIF($B$3:B997,SUBSTITUTE(SUBSTITUTE(B997,"?","~?"),"*","~*"))=1,MAX($AB$2:AB996)+1,""))</f>
        <v/>
      </c>
    </row>
    <row r="998">
      <c r="M998">
        <f>IF(A998="","",LOWER(TRIM(SUBSTITUTE(SUBSTITUTE(A998,"?",""),"*",""))))</f>
        <v/>
      </c>
      <c r="N998">
        <f>IF(M998="","",IF(SUMPRODUCT(ISNUMBER(SEARCH(" "&amp;Settings!$L$5:$L$124&amp;" "," "&amp;M998&amp;" "))*(Settings!$K$5:$K$124="Navigational")*(Settings!$L$5:$L$124&lt;&gt;""))&gt;0,"Navigational",IF(SUMPRODUCT(ISNUMBER(SEARCH(" "&amp;Settings!$L$5:$L$124&amp;" "," "&amp;M998&amp;" "))*(Settings!$K$5:$K$124="Transactional")*(Settings!$L$5:$L$124&lt;&gt;""))&gt;0,"Transactional",IF(SUMPRODUCT(ISNUMBER(SEARCH(" "&amp;Settings!$L$5:$L$124&amp;" "," "&amp;M998&amp;" "))*(Settings!$K$5:$K$124="Commercial")*(Settings!$L$5:$L$124&lt;&gt;""))&gt;0,"Commercial",IF(SUMPRODUCT(ISNUMBER(SEARCH(" "&amp;Settings!$L$5:$L$124&amp;" "," "&amp;M998&amp;" "))*(Settings!$K$5:$K$124="Informational")*(Settings!$L$5:$L$124&lt;&gt;""))&gt;0,"Informational","Unclassified")))))</f>
        <v/>
      </c>
      <c r="O998">
        <f>IF(A998="","",IF(K998&lt;&gt;"",PROPER(K998),N998))</f>
        <v/>
      </c>
      <c r="P998">
        <f>IF(A998="","",ROUND(Settings!$B$5*MIN(1,LOG10(N(C998)+1)/LOG10(Settings!$B$7+1))+Settings!$B$6*(1-MIN(100,IF(D998="",50,N(D998)))/100)+IFERROR(INDEX(Settings!$B$10:$B$14,MATCH(O998,Settings!$A$10:$A$14,0)),0),0))</f>
        <v/>
      </c>
      <c r="Q998">
        <f>IF(OR(A998="",G998=""),"",COUNTIFS($M$3:$M$1002,M998,$G$3:$G$1002,"&lt;&gt;"&amp;SUBSTITUTE(SUBSTITUTE(G998,"?","~?"),"*","~*"),$G$3:$G$1002,"?*"))</f>
        <v/>
      </c>
      <c r="R998">
        <f>IF(Q998="","",IF(Q998&gt;0,"Yes","No"))</f>
        <v/>
      </c>
      <c r="S998">
        <f>IF(G998="","",COUNTIFS($G$3:$G$1002,SUBSTITUTE(SUBSTITUTE(G998,"?","~?"),"*","~*"),$J$3:$J$1002,"Primary"))</f>
        <v/>
      </c>
      <c r="T998">
        <f>IF(S998="","",IF(S998&gt;Settings!$B$4,"Yes","No"))</f>
        <v/>
      </c>
      <c r="U998">
        <f>IF(OR(G998="",B998=""),"",IF(COUNTIFS($G$3:$G$1002,SUBSTITUTE(SUBSTITUTE(G998,"?","~?"),"*","~*"),$B$3:$B$1002,"&lt;&gt;"&amp;SUBSTITUTE(SUBSTITUTE(B998,"?","~?"),"*","~*"),$B$3:$B$1002,"?*")&gt;0,"Yes","No"))</f>
        <v/>
      </c>
      <c r="V998">
        <f>IF(OR(G998="",I998="",O998="",O998="Unclassified"),"",IFERROR(INDEX(Settings!$E$5:$H$16,MATCH(I998,Settings!$D$5:$D$16,0),MATCH(O998,Settings!$E$4:$H$4,0)),"Check"))</f>
        <v/>
      </c>
      <c r="W998">
        <f>IF(V998="","",IF(V998="No","Yes","No"))</f>
        <v/>
      </c>
      <c r="X998">
        <f>IF(OR(E998="",G998=""),"",IF(LOWER(IF(RIGHT(TRIM(E998),1)="/",LEFT(TRIM(E998),LEN(TRIM(E998))-1),TRIM(E998)))&lt;&gt;LOWER(IF(RIGHT(TRIM(G998),1)="/",LEFT(TRIM(G998),LEN(TRIM(G998))-1),TRIM(G998))),"Yes","No"))</f>
        <v/>
      </c>
      <c r="Y998">
        <f>IF(A998="","",(N(Q998)&gt;0)+(T998="Yes")+(U998="Yes")+(W998="Yes")+(X998="Yes"))</f>
        <v/>
      </c>
      <c r="Z998">
        <f>IF(A998="","",IF(G998="","Not mapped",IF(Y998=0,"OK",MID(IF(N(Q998)&gt;0,"; Cannibalisation","")&amp;IF(T998="Yes","; Too many primary keywords on URL","")&amp;IF(U998="Yes","; URL spans 2+ clusters","")&amp;IF(W998="Yes","; Intent mismatch","")&amp;IF(X998="Yes","; Ranking URL is not the target",""),3,300))))</f>
        <v/>
      </c>
      <c r="AA998">
        <f>IF(G998="","",IF(COUNTIF($G$3:G998,SUBSTITUTE(SUBSTITUTE(G998,"?","~?"),"*","~*"))=1,MAX($AA$2:AA997)+1,""))</f>
        <v/>
      </c>
      <c r="AB998">
        <f>IF(B998="","",IF(COUNTIF($B$3:B998,SUBSTITUTE(SUBSTITUTE(B998,"?","~?"),"*","~*"))=1,MAX($AB$2:AB997)+1,""))</f>
        <v/>
      </c>
    </row>
    <row r="999">
      <c r="M999">
        <f>IF(A999="","",LOWER(TRIM(SUBSTITUTE(SUBSTITUTE(A999,"?",""),"*",""))))</f>
        <v/>
      </c>
      <c r="N999">
        <f>IF(M999="","",IF(SUMPRODUCT(ISNUMBER(SEARCH(" "&amp;Settings!$L$5:$L$124&amp;" "," "&amp;M999&amp;" "))*(Settings!$K$5:$K$124="Navigational")*(Settings!$L$5:$L$124&lt;&gt;""))&gt;0,"Navigational",IF(SUMPRODUCT(ISNUMBER(SEARCH(" "&amp;Settings!$L$5:$L$124&amp;" "," "&amp;M999&amp;" "))*(Settings!$K$5:$K$124="Transactional")*(Settings!$L$5:$L$124&lt;&gt;""))&gt;0,"Transactional",IF(SUMPRODUCT(ISNUMBER(SEARCH(" "&amp;Settings!$L$5:$L$124&amp;" "," "&amp;M999&amp;" "))*(Settings!$K$5:$K$124="Commercial")*(Settings!$L$5:$L$124&lt;&gt;""))&gt;0,"Commercial",IF(SUMPRODUCT(ISNUMBER(SEARCH(" "&amp;Settings!$L$5:$L$124&amp;" "," "&amp;M999&amp;" "))*(Settings!$K$5:$K$124="Informational")*(Settings!$L$5:$L$124&lt;&gt;""))&gt;0,"Informational","Unclassified")))))</f>
        <v/>
      </c>
      <c r="O999">
        <f>IF(A999="","",IF(K999&lt;&gt;"",PROPER(K999),N999))</f>
        <v/>
      </c>
      <c r="P999">
        <f>IF(A999="","",ROUND(Settings!$B$5*MIN(1,LOG10(N(C999)+1)/LOG10(Settings!$B$7+1))+Settings!$B$6*(1-MIN(100,IF(D999="",50,N(D999)))/100)+IFERROR(INDEX(Settings!$B$10:$B$14,MATCH(O999,Settings!$A$10:$A$14,0)),0),0))</f>
        <v/>
      </c>
      <c r="Q999">
        <f>IF(OR(A999="",G999=""),"",COUNTIFS($M$3:$M$1002,M999,$G$3:$G$1002,"&lt;&gt;"&amp;SUBSTITUTE(SUBSTITUTE(G999,"?","~?"),"*","~*"),$G$3:$G$1002,"?*"))</f>
        <v/>
      </c>
      <c r="R999">
        <f>IF(Q999="","",IF(Q999&gt;0,"Yes","No"))</f>
        <v/>
      </c>
      <c r="S999">
        <f>IF(G999="","",COUNTIFS($G$3:$G$1002,SUBSTITUTE(SUBSTITUTE(G999,"?","~?"),"*","~*"),$J$3:$J$1002,"Primary"))</f>
        <v/>
      </c>
      <c r="T999">
        <f>IF(S999="","",IF(S999&gt;Settings!$B$4,"Yes","No"))</f>
        <v/>
      </c>
      <c r="U999">
        <f>IF(OR(G999="",B999=""),"",IF(COUNTIFS($G$3:$G$1002,SUBSTITUTE(SUBSTITUTE(G999,"?","~?"),"*","~*"),$B$3:$B$1002,"&lt;&gt;"&amp;SUBSTITUTE(SUBSTITUTE(B999,"?","~?"),"*","~*"),$B$3:$B$1002,"?*")&gt;0,"Yes","No"))</f>
        <v/>
      </c>
      <c r="V999">
        <f>IF(OR(G999="",I999="",O999="",O999="Unclassified"),"",IFERROR(INDEX(Settings!$E$5:$H$16,MATCH(I999,Settings!$D$5:$D$16,0),MATCH(O999,Settings!$E$4:$H$4,0)),"Check"))</f>
        <v/>
      </c>
      <c r="W999">
        <f>IF(V999="","",IF(V999="No","Yes","No"))</f>
        <v/>
      </c>
      <c r="X999">
        <f>IF(OR(E999="",G999=""),"",IF(LOWER(IF(RIGHT(TRIM(E999),1)="/",LEFT(TRIM(E999),LEN(TRIM(E999))-1),TRIM(E999)))&lt;&gt;LOWER(IF(RIGHT(TRIM(G999),1)="/",LEFT(TRIM(G999),LEN(TRIM(G999))-1),TRIM(G999))),"Yes","No"))</f>
        <v/>
      </c>
      <c r="Y999">
        <f>IF(A999="","",(N(Q999)&gt;0)+(T999="Yes")+(U999="Yes")+(W999="Yes")+(X999="Yes"))</f>
        <v/>
      </c>
      <c r="Z999">
        <f>IF(A999="","",IF(G999="","Not mapped",IF(Y999=0,"OK",MID(IF(N(Q999)&gt;0,"; Cannibalisation","")&amp;IF(T999="Yes","; Too many primary keywords on URL","")&amp;IF(U999="Yes","; URL spans 2+ clusters","")&amp;IF(W999="Yes","; Intent mismatch","")&amp;IF(X999="Yes","; Ranking URL is not the target",""),3,300))))</f>
        <v/>
      </c>
      <c r="AA999">
        <f>IF(G999="","",IF(COUNTIF($G$3:G999,SUBSTITUTE(SUBSTITUTE(G999,"?","~?"),"*","~*"))=1,MAX($AA$2:AA998)+1,""))</f>
        <v/>
      </c>
      <c r="AB999">
        <f>IF(B999="","",IF(COUNTIF($B$3:B999,SUBSTITUTE(SUBSTITUTE(B999,"?","~?"),"*","~*"))=1,MAX($AB$2:AB998)+1,""))</f>
        <v/>
      </c>
    </row>
    <row r="1000">
      <c r="M1000">
        <f>IF(A1000="","",LOWER(TRIM(SUBSTITUTE(SUBSTITUTE(A1000,"?",""),"*",""))))</f>
        <v/>
      </c>
      <c r="N1000">
        <f>IF(M1000="","",IF(SUMPRODUCT(ISNUMBER(SEARCH(" "&amp;Settings!$L$5:$L$124&amp;" "," "&amp;M1000&amp;" "))*(Settings!$K$5:$K$124="Navigational")*(Settings!$L$5:$L$124&lt;&gt;""))&gt;0,"Navigational",IF(SUMPRODUCT(ISNUMBER(SEARCH(" "&amp;Settings!$L$5:$L$124&amp;" "," "&amp;M1000&amp;" "))*(Settings!$K$5:$K$124="Transactional")*(Settings!$L$5:$L$124&lt;&gt;""))&gt;0,"Transactional",IF(SUMPRODUCT(ISNUMBER(SEARCH(" "&amp;Settings!$L$5:$L$124&amp;" "," "&amp;M1000&amp;" "))*(Settings!$K$5:$K$124="Commercial")*(Settings!$L$5:$L$124&lt;&gt;""))&gt;0,"Commercial",IF(SUMPRODUCT(ISNUMBER(SEARCH(" "&amp;Settings!$L$5:$L$124&amp;" "," "&amp;M1000&amp;" "))*(Settings!$K$5:$K$124="Informational")*(Settings!$L$5:$L$124&lt;&gt;""))&gt;0,"Informational","Unclassified")))))</f>
        <v/>
      </c>
      <c r="O1000">
        <f>IF(A1000="","",IF(K1000&lt;&gt;"",PROPER(K1000),N1000))</f>
        <v/>
      </c>
      <c r="P1000">
        <f>IF(A1000="","",ROUND(Settings!$B$5*MIN(1,LOG10(N(C1000)+1)/LOG10(Settings!$B$7+1))+Settings!$B$6*(1-MIN(100,IF(D1000="",50,N(D1000)))/100)+IFERROR(INDEX(Settings!$B$10:$B$14,MATCH(O1000,Settings!$A$10:$A$14,0)),0),0))</f>
        <v/>
      </c>
      <c r="Q1000">
        <f>IF(OR(A1000="",G1000=""),"",COUNTIFS($M$3:$M$1002,M1000,$G$3:$G$1002,"&lt;&gt;"&amp;SUBSTITUTE(SUBSTITUTE(G1000,"?","~?"),"*","~*"),$G$3:$G$1002,"?*"))</f>
        <v/>
      </c>
      <c r="R1000">
        <f>IF(Q1000="","",IF(Q1000&gt;0,"Yes","No"))</f>
        <v/>
      </c>
      <c r="S1000">
        <f>IF(G1000="","",COUNTIFS($G$3:$G$1002,SUBSTITUTE(SUBSTITUTE(G1000,"?","~?"),"*","~*"),$J$3:$J$1002,"Primary"))</f>
        <v/>
      </c>
      <c r="T1000">
        <f>IF(S1000="","",IF(S1000&gt;Settings!$B$4,"Yes","No"))</f>
        <v/>
      </c>
      <c r="U1000">
        <f>IF(OR(G1000="",B1000=""),"",IF(COUNTIFS($G$3:$G$1002,SUBSTITUTE(SUBSTITUTE(G1000,"?","~?"),"*","~*"),$B$3:$B$1002,"&lt;&gt;"&amp;SUBSTITUTE(SUBSTITUTE(B1000,"?","~?"),"*","~*"),$B$3:$B$1002,"?*")&gt;0,"Yes","No"))</f>
        <v/>
      </c>
      <c r="V1000">
        <f>IF(OR(G1000="",I1000="",O1000="",O1000="Unclassified"),"",IFERROR(INDEX(Settings!$E$5:$H$16,MATCH(I1000,Settings!$D$5:$D$16,0),MATCH(O1000,Settings!$E$4:$H$4,0)),"Check"))</f>
        <v/>
      </c>
      <c r="W1000">
        <f>IF(V1000="","",IF(V1000="No","Yes","No"))</f>
        <v/>
      </c>
      <c r="X1000">
        <f>IF(OR(E1000="",G1000=""),"",IF(LOWER(IF(RIGHT(TRIM(E1000),1)="/",LEFT(TRIM(E1000),LEN(TRIM(E1000))-1),TRIM(E1000)))&lt;&gt;LOWER(IF(RIGHT(TRIM(G1000),1)="/",LEFT(TRIM(G1000),LEN(TRIM(G1000))-1),TRIM(G1000))),"Yes","No"))</f>
        <v/>
      </c>
      <c r="Y1000">
        <f>IF(A1000="","",(N(Q1000)&gt;0)+(T1000="Yes")+(U1000="Yes")+(W1000="Yes")+(X1000="Yes"))</f>
        <v/>
      </c>
      <c r="Z1000">
        <f>IF(A1000="","",IF(G1000="","Not mapped",IF(Y1000=0,"OK",MID(IF(N(Q1000)&gt;0,"; Cannibalisation","")&amp;IF(T1000="Yes","; Too many primary keywords on URL","")&amp;IF(U1000="Yes","; URL spans 2+ clusters","")&amp;IF(W1000="Yes","; Intent mismatch","")&amp;IF(X1000="Yes","; Ranking URL is not the target",""),3,300))))</f>
        <v/>
      </c>
      <c r="AA1000">
        <f>IF(G1000="","",IF(COUNTIF($G$3:G1000,SUBSTITUTE(SUBSTITUTE(G1000,"?","~?"),"*","~*"))=1,MAX($AA$2:AA999)+1,""))</f>
        <v/>
      </c>
      <c r="AB1000">
        <f>IF(B1000="","",IF(COUNTIF($B$3:B1000,SUBSTITUTE(SUBSTITUTE(B1000,"?","~?"),"*","~*"))=1,MAX($AB$2:AB999)+1,""))</f>
        <v/>
      </c>
    </row>
    <row r="1001">
      <c r="M1001">
        <f>IF(A1001="","",LOWER(TRIM(SUBSTITUTE(SUBSTITUTE(A1001,"?",""),"*",""))))</f>
        <v/>
      </c>
      <c r="N1001">
        <f>IF(M1001="","",IF(SUMPRODUCT(ISNUMBER(SEARCH(" "&amp;Settings!$L$5:$L$124&amp;" "," "&amp;M1001&amp;" "))*(Settings!$K$5:$K$124="Navigational")*(Settings!$L$5:$L$124&lt;&gt;""))&gt;0,"Navigational",IF(SUMPRODUCT(ISNUMBER(SEARCH(" "&amp;Settings!$L$5:$L$124&amp;" "," "&amp;M1001&amp;" "))*(Settings!$K$5:$K$124="Transactional")*(Settings!$L$5:$L$124&lt;&gt;""))&gt;0,"Transactional",IF(SUMPRODUCT(ISNUMBER(SEARCH(" "&amp;Settings!$L$5:$L$124&amp;" "," "&amp;M1001&amp;" "))*(Settings!$K$5:$K$124="Commercial")*(Settings!$L$5:$L$124&lt;&gt;""))&gt;0,"Commercial",IF(SUMPRODUCT(ISNUMBER(SEARCH(" "&amp;Settings!$L$5:$L$124&amp;" "," "&amp;M1001&amp;" "))*(Settings!$K$5:$K$124="Informational")*(Settings!$L$5:$L$124&lt;&gt;""))&gt;0,"Informational","Unclassified")))))</f>
        <v/>
      </c>
      <c r="O1001">
        <f>IF(A1001="","",IF(K1001&lt;&gt;"",PROPER(K1001),N1001))</f>
        <v/>
      </c>
      <c r="P1001">
        <f>IF(A1001="","",ROUND(Settings!$B$5*MIN(1,LOG10(N(C1001)+1)/LOG10(Settings!$B$7+1))+Settings!$B$6*(1-MIN(100,IF(D1001="",50,N(D1001)))/100)+IFERROR(INDEX(Settings!$B$10:$B$14,MATCH(O1001,Settings!$A$10:$A$14,0)),0),0))</f>
        <v/>
      </c>
      <c r="Q1001">
        <f>IF(OR(A1001="",G1001=""),"",COUNTIFS($M$3:$M$1002,M1001,$G$3:$G$1002,"&lt;&gt;"&amp;SUBSTITUTE(SUBSTITUTE(G1001,"?","~?"),"*","~*"),$G$3:$G$1002,"?*"))</f>
        <v/>
      </c>
      <c r="R1001">
        <f>IF(Q1001="","",IF(Q1001&gt;0,"Yes","No"))</f>
        <v/>
      </c>
      <c r="S1001">
        <f>IF(G1001="","",COUNTIFS($G$3:$G$1002,SUBSTITUTE(SUBSTITUTE(G1001,"?","~?"),"*","~*"),$J$3:$J$1002,"Primary"))</f>
        <v/>
      </c>
      <c r="T1001">
        <f>IF(S1001="","",IF(S1001&gt;Settings!$B$4,"Yes","No"))</f>
        <v/>
      </c>
      <c r="U1001">
        <f>IF(OR(G1001="",B1001=""),"",IF(COUNTIFS($G$3:$G$1002,SUBSTITUTE(SUBSTITUTE(G1001,"?","~?"),"*","~*"),$B$3:$B$1002,"&lt;&gt;"&amp;SUBSTITUTE(SUBSTITUTE(B1001,"?","~?"),"*","~*"),$B$3:$B$1002,"?*")&gt;0,"Yes","No"))</f>
        <v/>
      </c>
      <c r="V1001">
        <f>IF(OR(G1001="",I1001="",O1001="",O1001="Unclassified"),"",IFERROR(INDEX(Settings!$E$5:$H$16,MATCH(I1001,Settings!$D$5:$D$16,0),MATCH(O1001,Settings!$E$4:$H$4,0)),"Check"))</f>
        <v/>
      </c>
      <c r="W1001">
        <f>IF(V1001="","",IF(V1001="No","Yes","No"))</f>
        <v/>
      </c>
      <c r="X1001">
        <f>IF(OR(E1001="",G1001=""),"",IF(LOWER(IF(RIGHT(TRIM(E1001),1)="/",LEFT(TRIM(E1001),LEN(TRIM(E1001))-1),TRIM(E1001)))&lt;&gt;LOWER(IF(RIGHT(TRIM(G1001),1)="/",LEFT(TRIM(G1001),LEN(TRIM(G1001))-1),TRIM(G1001))),"Yes","No"))</f>
        <v/>
      </c>
      <c r="Y1001">
        <f>IF(A1001="","",(N(Q1001)&gt;0)+(T1001="Yes")+(U1001="Yes")+(W1001="Yes")+(X1001="Yes"))</f>
        <v/>
      </c>
      <c r="Z1001">
        <f>IF(A1001="","",IF(G1001="","Not mapped",IF(Y1001=0,"OK",MID(IF(N(Q1001)&gt;0,"; Cannibalisation","")&amp;IF(T1001="Yes","; Too many primary keywords on URL","")&amp;IF(U1001="Yes","; URL spans 2+ clusters","")&amp;IF(W1001="Yes","; Intent mismatch","")&amp;IF(X1001="Yes","; Ranking URL is not the target",""),3,300))))</f>
        <v/>
      </c>
      <c r="AA1001">
        <f>IF(G1001="","",IF(COUNTIF($G$3:G1001,SUBSTITUTE(SUBSTITUTE(G1001,"?","~?"),"*","~*"))=1,MAX($AA$2:AA1000)+1,""))</f>
        <v/>
      </c>
      <c r="AB1001">
        <f>IF(B1001="","",IF(COUNTIF($B$3:B1001,SUBSTITUTE(SUBSTITUTE(B1001,"?","~?"),"*","~*"))=1,MAX($AB$2:AB1000)+1,""))</f>
        <v/>
      </c>
    </row>
    <row r="1002">
      <c r="M1002">
        <f>IF(A1002="","",LOWER(TRIM(SUBSTITUTE(SUBSTITUTE(A1002,"?",""),"*",""))))</f>
        <v/>
      </c>
      <c r="N1002">
        <f>IF(M1002="","",IF(SUMPRODUCT(ISNUMBER(SEARCH(" "&amp;Settings!$L$5:$L$124&amp;" "," "&amp;M1002&amp;" "))*(Settings!$K$5:$K$124="Navigational")*(Settings!$L$5:$L$124&lt;&gt;""))&gt;0,"Navigational",IF(SUMPRODUCT(ISNUMBER(SEARCH(" "&amp;Settings!$L$5:$L$124&amp;" "," "&amp;M1002&amp;" "))*(Settings!$K$5:$K$124="Transactional")*(Settings!$L$5:$L$124&lt;&gt;""))&gt;0,"Transactional",IF(SUMPRODUCT(ISNUMBER(SEARCH(" "&amp;Settings!$L$5:$L$124&amp;" "," "&amp;M1002&amp;" "))*(Settings!$K$5:$K$124="Commercial")*(Settings!$L$5:$L$124&lt;&gt;""))&gt;0,"Commercial",IF(SUMPRODUCT(ISNUMBER(SEARCH(" "&amp;Settings!$L$5:$L$124&amp;" "," "&amp;M1002&amp;" "))*(Settings!$K$5:$K$124="Informational")*(Settings!$L$5:$L$124&lt;&gt;""))&gt;0,"Informational","Unclassified")))))</f>
        <v/>
      </c>
      <c r="O1002">
        <f>IF(A1002="","",IF(K1002&lt;&gt;"",PROPER(K1002),N1002))</f>
        <v/>
      </c>
      <c r="P1002">
        <f>IF(A1002="","",ROUND(Settings!$B$5*MIN(1,LOG10(N(C1002)+1)/LOG10(Settings!$B$7+1))+Settings!$B$6*(1-MIN(100,IF(D1002="",50,N(D1002)))/100)+IFERROR(INDEX(Settings!$B$10:$B$14,MATCH(O1002,Settings!$A$10:$A$14,0)),0),0))</f>
        <v/>
      </c>
      <c r="Q1002">
        <f>IF(OR(A1002="",G1002=""),"",COUNTIFS($M$3:$M$1002,M1002,$G$3:$G$1002,"&lt;&gt;"&amp;SUBSTITUTE(SUBSTITUTE(G1002,"?","~?"),"*","~*"),$G$3:$G$1002,"?*"))</f>
        <v/>
      </c>
      <c r="R1002">
        <f>IF(Q1002="","",IF(Q1002&gt;0,"Yes","No"))</f>
        <v/>
      </c>
      <c r="S1002">
        <f>IF(G1002="","",COUNTIFS($G$3:$G$1002,SUBSTITUTE(SUBSTITUTE(G1002,"?","~?"),"*","~*"),$J$3:$J$1002,"Primary"))</f>
        <v/>
      </c>
      <c r="T1002">
        <f>IF(S1002="","",IF(S1002&gt;Settings!$B$4,"Yes","No"))</f>
        <v/>
      </c>
      <c r="U1002">
        <f>IF(OR(G1002="",B1002=""),"",IF(COUNTIFS($G$3:$G$1002,SUBSTITUTE(SUBSTITUTE(G1002,"?","~?"),"*","~*"),$B$3:$B$1002,"&lt;&gt;"&amp;SUBSTITUTE(SUBSTITUTE(B1002,"?","~?"),"*","~*"),$B$3:$B$1002,"?*")&gt;0,"Yes","No"))</f>
        <v/>
      </c>
      <c r="V1002">
        <f>IF(OR(G1002="",I1002="",O1002="",O1002="Unclassified"),"",IFERROR(INDEX(Settings!$E$5:$H$16,MATCH(I1002,Settings!$D$5:$D$16,0),MATCH(O1002,Settings!$E$4:$H$4,0)),"Check"))</f>
        <v/>
      </c>
      <c r="W1002">
        <f>IF(V1002="","",IF(V1002="No","Yes","No"))</f>
        <v/>
      </c>
      <c r="X1002">
        <f>IF(OR(E1002="",G1002=""),"",IF(LOWER(IF(RIGHT(TRIM(E1002),1)="/",LEFT(TRIM(E1002),LEN(TRIM(E1002))-1),TRIM(E1002)))&lt;&gt;LOWER(IF(RIGHT(TRIM(G1002),1)="/",LEFT(TRIM(G1002),LEN(TRIM(G1002))-1),TRIM(G1002))),"Yes","No"))</f>
        <v/>
      </c>
      <c r="Y1002">
        <f>IF(A1002="","",(N(Q1002)&gt;0)+(T1002="Yes")+(U1002="Yes")+(W1002="Yes")+(X1002="Yes"))</f>
        <v/>
      </c>
      <c r="Z1002">
        <f>IF(A1002="","",IF(G1002="","Not mapped",IF(Y1002=0,"OK",MID(IF(N(Q1002)&gt;0,"; Cannibalisation","")&amp;IF(T1002="Yes","; Too many primary keywords on URL","")&amp;IF(U1002="Yes","; URL spans 2+ clusters","")&amp;IF(W1002="Yes","; Intent mismatch","")&amp;IF(X1002="Yes","; Ranking URL is not the target",""),3,300))))</f>
        <v/>
      </c>
      <c r="AA1002">
        <f>IF(G1002="","",IF(COUNTIF($G$3:G1002,SUBSTITUTE(SUBSTITUTE(G1002,"?","~?"),"*","~*"))=1,MAX($AA$2:AA1001)+1,""))</f>
        <v/>
      </c>
      <c r="AB1002">
        <f>IF(B1002="","",IF(COUNTIF($B$3:B1002,SUBSTITUTE(SUBSTITUTE(B1002,"?","~?"),"*","~*"))=1,MAX($AB$2:AB1001)+1,""))</f>
        <v/>
      </c>
    </row>
  </sheetData>
  <autoFilter ref="A2:AB1002"/>
  <conditionalFormatting sqref="A3:L1002">
    <cfRule type="expression" priority="1" dxfId="0">
      <formula>AND($A3&lt;&gt;"",MOD(ROW(),2)=0)</formula>
    </cfRule>
  </conditionalFormatting>
  <conditionalFormatting sqref="R3:R1002">
    <cfRule type="expression" priority="2" dxfId="1">
      <formula>$R3="Yes"</formula>
    </cfRule>
  </conditionalFormatting>
  <conditionalFormatting sqref="T3:T1002">
    <cfRule type="expression" priority="3" dxfId="2">
      <formula>$T3="Yes"</formula>
    </cfRule>
  </conditionalFormatting>
  <conditionalFormatting sqref="U3:U1002">
    <cfRule type="expression" priority="4" dxfId="2">
      <formula>$U3="Yes"</formula>
    </cfRule>
  </conditionalFormatting>
  <conditionalFormatting sqref="W3:W1002">
    <cfRule type="expression" priority="5" dxfId="2">
      <formula>$W3="Yes"</formula>
    </cfRule>
  </conditionalFormatting>
  <conditionalFormatting sqref="X3:X1002">
    <cfRule type="expression" priority="6" dxfId="2">
      <formula>$X3="Yes"</formula>
    </cfRule>
  </conditionalFormatting>
  <conditionalFormatting sqref="Z3:Z1002">
    <cfRule type="expression" priority="7" dxfId="3">
      <formula>AND($Z3&lt;&gt;"",$Z3&lt;&gt;"OK",$Z3&lt;&gt;"Not mapped")</formula>
    </cfRule>
    <cfRule type="expression" priority="8" dxfId="0">
      <formula>$Z3="Not mapped"</formula>
    </cfRule>
  </conditionalFormatting>
  <dataValidations count="7">
    <dataValidation sqref="H3:H1002" showDropDown="0" showInputMessage="0" showErrorMessage="1" allowBlank="1" type="list" errorStyle="stop">
      <formula1>"Existing,Planned,Not mapped yet"</formula1>
    </dataValidation>
    <dataValidation sqref="I3:I1002" showDropDown="0" showInputMessage="0" showErrorMessage="1" allowBlank="1" type="list" errorStyle="stop">
      <formula1>=Settings!$D$5:$D$16</formula1>
    </dataValidation>
    <dataValidation sqref="J3:J1002" showDropDown="0" showInputMessage="0" showErrorMessage="1" allowBlank="1" type="list" errorStyle="stop">
      <formula1>"Primary,Secondary"</formula1>
    </dataValidation>
    <dataValidation sqref="K3:K1002" showDropDown="0" showInputMessage="1" showErrorMessage="1" allowBlank="1" promptTitle="Pick a value" prompt="Optional: paste the label from an intent classifier. Overrides the rule-based intent." type="list" errorStyle="warning">
      <formula1>"Informational,Commercial,Transactional,Navigational"</formula1>
    </dataValidation>
    <dataValidation sqref="C3:C1002" showDropDown="0" showInputMessage="0" showErrorMessage="1" allowBlank="1" type="decimal" errorStyle="warning" operator="greaterThanOrEqual">
      <formula1>0</formula1>
    </dataValidation>
    <dataValidation sqref="D3:D1002" showDropDown="0" showInputMessage="0" showErrorMessage="1" allowBlank="1" type="decimal" errorStyle="warning" operator="between">
      <formula1>0</formula1>
      <formula2>100</formula2>
    </dataValidation>
    <dataValidation sqref="F3:F1002" showDropDown="0" showInputMessage="0" showErrorMessage="1" allowBlank="1" type="decimal" errorStyle="warning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14" customWidth="1" min="4" max="4"/>
    <col width="11" customWidth="1" min="5" max="5"/>
    <col width="11" customWidth="1" min="6" max="6"/>
    <col width="14" customWidth="1" min="7" max="7"/>
    <col width="10" customWidth="1" min="8" max="8"/>
    <col width="13" customWidth="1" min="9" max="9"/>
    <col width="12" customWidth="1" min="10" max="10"/>
    <col width="26" customWidth="1" min="11" max="11"/>
  </cols>
  <sheetData>
    <row r="1">
      <c r="A1" s="1" t="inlineStr">
        <is>
          <t>URL Summary: one row per target URL</t>
        </is>
      </c>
    </row>
    <row r="2" ht="34" customHeight="1">
      <c r="A2" s="18" t="inlineStr">
        <is>
          <t>#</t>
        </is>
      </c>
      <c r="B2" s="18" t="inlineStr">
        <is>
          <t>Target URL</t>
        </is>
      </c>
      <c r="C2" s="18" t="inlineStr">
        <is>
          <t>Page type</t>
        </is>
      </c>
      <c r="D2" s="18" t="inlineStr">
        <is>
          <t>Page status</t>
        </is>
      </c>
      <c r="E2" s="18" t="inlineStr">
        <is>
          <t>Keywords mapped</t>
        </is>
      </c>
      <c r="F2" s="18" t="inlineStr">
        <is>
          <t>Primary keywords</t>
        </is>
      </c>
      <c r="G2" s="18" t="inlineStr">
        <is>
          <t>Search volume (all mapped)</t>
        </is>
      </c>
      <c r="H2" s="18" t="inlineStr">
        <is>
          <t>Avg priority</t>
        </is>
      </c>
      <c r="I2" s="18" t="inlineStr">
        <is>
          <t>Cannibalised keywords</t>
        </is>
      </c>
      <c r="J2" s="18" t="inlineStr">
        <is>
          <t>Intent mismatches</t>
        </is>
      </c>
      <c r="K2" s="18" t="inlineStr">
        <is>
          <t>Status</t>
        </is>
      </c>
    </row>
    <row r="3">
      <c r="A3">
        <f>ROW()-2</f>
        <v/>
      </c>
      <c r="B3">
        <f>IFERROR(INDEX('Keyword Map'!$G$3:$G$1002,MATCH(A3,'Keyword Map'!$AA$3:$AA$1002,0)),"")</f>
        <v/>
      </c>
      <c r="C3">
        <f>IF(B3="","",INDEX('Keyword Map'!$I$3:$I$1002,MATCH(A3,'Keyword Map'!$AA$3:$AA$1002,0))&amp;"")</f>
        <v/>
      </c>
      <c r="D3">
        <f>IF(B3="","",INDEX('Keyword Map'!$H$3:$H$1002,MATCH(A3,'Keyword Map'!$AA$3:$AA$1002,0))&amp;"")</f>
        <v/>
      </c>
      <c r="E3">
        <f>IF(B3="","",COUNTIF('Keyword Map'!$G$3:$G$1002,SUBSTITUTE(SUBSTITUTE(B3,"?","~?"),"*","~*")))</f>
        <v/>
      </c>
      <c r="F3">
        <f>IF(B3="","",COUNTIFS('Keyword Map'!$G$3:$G$1002,SUBSTITUTE(SUBSTITUTE(B3,"?","~?"),"*","~*"),'Keyword Map'!$J$3:$J$1002,"Primary"))</f>
        <v/>
      </c>
      <c r="G3">
        <f>IF(B3="","",SUMIFS('Keyword Map'!$C$3:$C$1002,'Keyword Map'!$G$3:$G$1002,SUBSTITUTE(SUBSTITUTE(B3,"?","~?"),"*","~*")))</f>
        <v/>
      </c>
      <c r="H3">
        <f>IF(B3="","",IFERROR(ROUND(AVERAGEIFS('Keyword Map'!$P$3:$P$1002,'Keyword Map'!$G$3:$G$1002,SUBSTITUTE(SUBSTITUTE(B3,"?","~?"),"*","~*")),0),""))</f>
        <v/>
      </c>
      <c r="I3">
        <f>IF(B3="","",COUNTIFS('Keyword Map'!$G$3:$G$1002,SUBSTITUTE(SUBSTITUTE(B3,"?","~?"),"*","~*"),'Keyword Map'!$R$3:$R$1002,"Yes"))</f>
        <v/>
      </c>
      <c r="J3">
        <f>IF(B3="","",COUNTIFS('Keyword Map'!$G$3:$G$1002,SUBSTITUTE(SUBSTITUTE(B3,"?","~?"),"*","~*"),'Keyword Map'!$W$3:$W$1002,"Yes"))</f>
        <v/>
      </c>
      <c r="K3">
        <f>IF(B3="","",IF(F3=0,"No primary keyword",IF(F3&gt;Settings!$B$4,"Too many primary keywords",IF(I3+J3&gt;0,"Check flags","OK"))))</f>
        <v/>
      </c>
    </row>
    <row r="4">
      <c r="A4">
        <f>ROW()-2</f>
        <v/>
      </c>
      <c r="B4">
        <f>IFERROR(INDEX('Keyword Map'!$G$3:$G$1002,MATCH(A4,'Keyword Map'!$AA$3:$AA$1002,0)),"")</f>
        <v/>
      </c>
      <c r="C4">
        <f>IF(B4="","",INDEX('Keyword Map'!$I$3:$I$1002,MATCH(A4,'Keyword Map'!$AA$3:$AA$1002,0))&amp;"")</f>
        <v/>
      </c>
      <c r="D4">
        <f>IF(B4="","",INDEX('Keyword Map'!$H$3:$H$1002,MATCH(A4,'Keyword Map'!$AA$3:$AA$1002,0))&amp;"")</f>
        <v/>
      </c>
      <c r="E4">
        <f>IF(B4="","",COUNTIF('Keyword Map'!$G$3:$G$1002,SUBSTITUTE(SUBSTITUTE(B4,"?","~?"),"*","~*")))</f>
        <v/>
      </c>
      <c r="F4">
        <f>IF(B4="","",COUNTIFS('Keyword Map'!$G$3:$G$1002,SUBSTITUTE(SUBSTITUTE(B4,"?","~?"),"*","~*"),'Keyword Map'!$J$3:$J$1002,"Primary"))</f>
        <v/>
      </c>
      <c r="G4">
        <f>IF(B4="","",SUMIFS('Keyword Map'!$C$3:$C$1002,'Keyword Map'!$G$3:$G$1002,SUBSTITUTE(SUBSTITUTE(B4,"?","~?"),"*","~*")))</f>
        <v/>
      </c>
      <c r="H4">
        <f>IF(B4="","",IFERROR(ROUND(AVERAGEIFS('Keyword Map'!$P$3:$P$1002,'Keyword Map'!$G$3:$G$1002,SUBSTITUTE(SUBSTITUTE(B4,"?","~?"),"*","~*")),0),""))</f>
        <v/>
      </c>
      <c r="I4">
        <f>IF(B4="","",COUNTIFS('Keyword Map'!$G$3:$G$1002,SUBSTITUTE(SUBSTITUTE(B4,"?","~?"),"*","~*"),'Keyword Map'!$R$3:$R$1002,"Yes"))</f>
        <v/>
      </c>
      <c r="J4">
        <f>IF(B4="","",COUNTIFS('Keyword Map'!$G$3:$G$1002,SUBSTITUTE(SUBSTITUTE(B4,"?","~?"),"*","~*"),'Keyword Map'!$W$3:$W$1002,"Yes"))</f>
        <v/>
      </c>
      <c r="K4">
        <f>IF(B4="","",IF(F4=0,"No primary keyword",IF(F4&gt;Settings!$B$4,"Too many primary keywords",IF(I4+J4&gt;0,"Check flags","OK"))))</f>
        <v/>
      </c>
    </row>
    <row r="5">
      <c r="A5">
        <f>ROW()-2</f>
        <v/>
      </c>
      <c r="B5">
        <f>IFERROR(INDEX('Keyword Map'!$G$3:$G$1002,MATCH(A5,'Keyword Map'!$AA$3:$AA$1002,0)),"")</f>
        <v/>
      </c>
      <c r="C5">
        <f>IF(B5="","",INDEX('Keyword Map'!$I$3:$I$1002,MATCH(A5,'Keyword Map'!$AA$3:$AA$1002,0))&amp;"")</f>
        <v/>
      </c>
      <c r="D5">
        <f>IF(B5="","",INDEX('Keyword Map'!$H$3:$H$1002,MATCH(A5,'Keyword Map'!$AA$3:$AA$1002,0))&amp;"")</f>
        <v/>
      </c>
      <c r="E5">
        <f>IF(B5="","",COUNTIF('Keyword Map'!$G$3:$G$1002,SUBSTITUTE(SUBSTITUTE(B5,"?","~?"),"*","~*")))</f>
        <v/>
      </c>
      <c r="F5">
        <f>IF(B5="","",COUNTIFS('Keyword Map'!$G$3:$G$1002,SUBSTITUTE(SUBSTITUTE(B5,"?","~?"),"*","~*"),'Keyword Map'!$J$3:$J$1002,"Primary"))</f>
        <v/>
      </c>
      <c r="G5">
        <f>IF(B5="","",SUMIFS('Keyword Map'!$C$3:$C$1002,'Keyword Map'!$G$3:$G$1002,SUBSTITUTE(SUBSTITUTE(B5,"?","~?"),"*","~*")))</f>
        <v/>
      </c>
      <c r="H5">
        <f>IF(B5="","",IFERROR(ROUND(AVERAGEIFS('Keyword Map'!$P$3:$P$1002,'Keyword Map'!$G$3:$G$1002,SUBSTITUTE(SUBSTITUTE(B5,"?","~?"),"*","~*")),0),""))</f>
        <v/>
      </c>
      <c r="I5">
        <f>IF(B5="","",COUNTIFS('Keyword Map'!$G$3:$G$1002,SUBSTITUTE(SUBSTITUTE(B5,"?","~?"),"*","~*"),'Keyword Map'!$R$3:$R$1002,"Yes"))</f>
        <v/>
      </c>
      <c r="J5">
        <f>IF(B5="","",COUNTIFS('Keyword Map'!$G$3:$G$1002,SUBSTITUTE(SUBSTITUTE(B5,"?","~?"),"*","~*"),'Keyword Map'!$W$3:$W$1002,"Yes"))</f>
        <v/>
      </c>
      <c r="K5">
        <f>IF(B5="","",IF(F5=0,"No primary keyword",IF(F5&gt;Settings!$B$4,"Too many primary keywords",IF(I5+J5&gt;0,"Check flags","OK"))))</f>
        <v/>
      </c>
    </row>
    <row r="6">
      <c r="A6">
        <f>ROW()-2</f>
        <v/>
      </c>
      <c r="B6">
        <f>IFERROR(INDEX('Keyword Map'!$G$3:$G$1002,MATCH(A6,'Keyword Map'!$AA$3:$AA$1002,0)),"")</f>
        <v/>
      </c>
      <c r="C6">
        <f>IF(B6="","",INDEX('Keyword Map'!$I$3:$I$1002,MATCH(A6,'Keyword Map'!$AA$3:$AA$1002,0))&amp;"")</f>
        <v/>
      </c>
      <c r="D6">
        <f>IF(B6="","",INDEX('Keyword Map'!$H$3:$H$1002,MATCH(A6,'Keyword Map'!$AA$3:$AA$1002,0))&amp;"")</f>
        <v/>
      </c>
      <c r="E6">
        <f>IF(B6="","",COUNTIF('Keyword Map'!$G$3:$G$1002,SUBSTITUTE(SUBSTITUTE(B6,"?","~?"),"*","~*")))</f>
        <v/>
      </c>
      <c r="F6">
        <f>IF(B6="","",COUNTIFS('Keyword Map'!$G$3:$G$1002,SUBSTITUTE(SUBSTITUTE(B6,"?","~?"),"*","~*"),'Keyword Map'!$J$3:$J$1002,"Primary"))</f>
        <v/>
      </c>
      <c r="G6">
        <f>IF(B6="","",SUMIFS('Keyword Map'!$C$3:$C$1002,'Keyword Map'!$G$3:$G$1002,SUBSTITUTE(SUBSTITUTE(B6,"?","~?"),"*","~*")))</f>
        <v/>
      </c>
      <c r="H6">
        <f>IF(B6="","",IFERROR(ROUND(AVERAGEIFS('Keyword Map'!$P$3:$P$1002,'Keyword Map'!$G$3:$G$1002,SUBSTITUTE(SUBSTITUTE(B6,"?","~?"),"*","~*")),0),""))</f>
        <v/>
      </c>
      <c r="I6">
        <f>IF(B6="","",COUNTIFS('Keyword Map'!$G$3:$G$1002,SUBSTITUTE(SUBSTITUTE(B6,"?","~?"),"*","~*"),'Keyword Map'!$R$3:$R$1002,"Yes"))</f>
        <v/>
      </c>
      <c r="J6">
        <f>IF(B6="","",COUNTIFS('Keyword Map'!$G$3:$G$1002,SUBSTITUTE(SUBSTITUTE(B6,"?","~?"),"*","~*"),'Keyword Map'!$W$3:$W$1002,"Yes"))</f>
        <v/>
      </c>
      <c r="K6">
        <f>IF(B6="","",IF(F6=0,"No primary keyword",IF(F6&gt;Settings!$B$4,"Too many primary keywords",IF(I6+J6&gt;0,"Check flags","OK"))))</f>
        <v/>
      </c>
    </row>
    <row r="7">
      <c r="A7">
        <f>ROW()-2</f>
        <v/>
      </c>
      <c r="B7">
        <f>IFERROR(INDEX('Keyword Map'!$G$3:$G$1002,MATCH(A7,'Keyword Map'!$AA$3:$AA$1002,0)),"")</f>
        <v/>
      </c>
      <c r="C7">
        <f>IF(B7="","",INDEX('Keyword Map'!$I$3:$I$1002,MATCH(A7,'Keyword Map'!$AA$3:$AA$1002,0))&amp;"")</f>
        <v/>
      </c>
      <c r="D7">
        <f>IF(B7="","",INDEX('Keyword Map'!$H$3:$H$1002,MATCH(A7,'Keyword Map'!$AA$3:$AA$1002,0))&amp;"")</f>
        <v/>
      </c>
      <c r="E7">
        <f>IF(B7="","",COUNTIF('Keyword Map'!$G$3:$G$1002,SUBSTITUTE(SUBSTITUTE(B7,"?","~?"),"*","~*")))</f>
        <v/>
      </c>
      <c r="F7">
        <f>IF(B7="","",COUNTIFS('Keyword Map'!$G$3:$G$1002,SUBSTITUTE(SUBSTITUTE(B7,"?","~?"),"*","~*"),'Keyword Map'!$J$3:$J$1002,"Primary"))</f>
        <v/>
      </c>
      <c r="G7">
        <f>IF(B7="","",SUMIFS('Keyword Map'!$C$3:$C$1002,'Keyword Map'!$G$3:$G$1002,SUBSTITUTE(SUBSTITUTE(B7,"?","~?"),"*","~*")))</f>
        <v/>
      </c>
      <c r="H7">
        <f>IF(B7="","",IFERROR(ROUND(AVERAGEIFS('Keyword Map'!$P$3:$P$1002,'Keyword Map'!$G$3:$G$1002,SUBSTITUTE(SUBSTITUTE(B7,"?","~?"),"*","~*")),0),""))</f>
        <v/>
      </c>
      <c r="I7">
        <f>IF(B7="","",COUNTIFS('Keyword Map'!$G$3:$G$1002,SUBSTITUTE(SUBSTITUTE(B7,"?","~?"),"*","~*"),'Keyword Map'!$R$3:$R$1002,"Yes"))</f>
        <v/>
      </c>
      <c r="J7">
        <f>IF(B7="","",COUNTIFS('Keyword Map'!$G$3:$G$1002,SUBSTITUTE(SUBSTITUTE(B7,"?","~?"),"*","~*"),'Keyword Map'!$W$3:$W$1002,"Yes"))</f>
        <v/>
      </c>
      <c r="K7">
        <f>IF(B7="","",IF(F7=0,"No primary keyword",IF(F7&gt;Settings!$B$4,"Too many primary keywords",IF(I7+J7&gt;0,"Check flags","OK"))))</f>
        <v/>
      </c>
    </row>
    <row r="8">
      <c r="A8">
        <f>ROW()-2</f>
        <v/>
      </c>
      <c r="B8">
        <f>IFERROR(INDEX('Keyword Map'!$G$3:$G$1002,MATCH(A8,'Keyword Map'!$AA$3:$AA$1002,0)),"")</f>
        <v/>
      </c>
      <c r="C8">
        <f>IF(B8="","",INDEX('Keyword Map'!$I$3:$I$1002,MATCH(A8,'Keyword Map'!$AA$3:$AA$1002,0))&amp;"")</f>
        <v/>
      </c>
      <c r="D8">
        <f>IF(B8="","",INDEX('Keyword Map'!$H$3:$H$1002,MATCH(A8,'Keyword Map'!$AA$3:$AA$1002,0))&amp;"")</f>
        <v/>
      </c>
      <c r="E8">
        <f>IF(B8="","",COUNTIF('Keyword Map'!$G$3:$G$1002,SUBSTITUTE(SUBSTITUTE(B8,"?","~?"),"*","~*")))</f>
        <v/>
      </c>
      <c r="F8">
        <f>IF(B8="","",COUNTIFS('Keyword Map'!$G$3:$G$1002,SUBSTITUTE(SUBSTITUTE(B8,"?","~?"),"*","~*"),'Keyword Map'!$J$3:$J$1002,"Primary"))</f>
        <v/>
      </c>
      <c r="G8">
        <f>IF(B8="","",SUMIFS('Keyword Map'!$C$3:$C$1002,'Keyword Map'!$G$3:$G$1002,SUBSTITUTE(SUBSTITUTE(B8,"?","~?"),"*","~*")))</f>
        <v/>
      </c>
      <c r="H8">
        <f>IF(B8="","",IFERROR(ROUND(AVERAGEIFS('Keyword Map'!$P$3:$P$1002,'Keyword Map'!$G$3:$G$1002,SUBSTITUTE(SUBSTITUTE(B8,"?","~?"),"*","~*")),0),""))</f>
        <v/>
      </c>
      <c r="I8">
        <f>IF(B8="","",COUNTIFS('Keyword Map'!$G$3:$G$1002,SUBSTITUTE(SUBSTITUTE(B8,"?","~?"),"*","~*"),'Keyword Map'!$R$3:$R$1002,"Yes"))</f>
        <v/>
      </c>
      <c r="J8">
        <f>IF(B8="","",COUNTIFS('Keyword Map'!$G$3:$G$1002,SUBSTITUTE(SUBSTITUTE(B8,"?","~?"),"*","~*"),'Keyword Map'!$W$3:$W$1002,"Yes"))</f>
        <v/>
      </c>
      <c r="K8">
        <f>IF(B8="","",IF(F8=0,"No primary keyword",IF(F8&gt;Settings!$B$4,"Too many primary keywords",IF(I8+J8&gt;0,"Check flags","OK"))))</f>
        <v/>
      </c>
    </row>
    <row r="9">
      <c r="A9">
        <f>ROW()-2</f>
        <v/>
      </c>
      <c r="B9">
        <f>IFERROR(INDEX('Keyword Map'!$G$3:$G$1002,MATCH(A9,'Keyword Map'!$AA$3:$AA$1002,0)),"")</f>
        <v/>
      </c>
      <c r="C9">
        <f>IF(B9="","",INDEX('Keyword Map'!$I$3:$I$1002,MATCH(A9,'Keyword Map'!$AA$3:$AA$1002,0))&amp;"")</f>
        <v/>
      </c>
      <c r="D9">
        <f>IF(B9="","",INDEX('Keyword Map'!$H$3:$H$1002,MATCH(A9,'Keyword Map'!$AA$3:$AA$1002,0))&amp;"")</f>
        <v/>
      </c>
      <c r="E9">
        <f>IF(B9="","",COUNTIF('Keyword Map'!$G$3:$G$1002,SUBSTITUTE(SUBSTITUTE(B9,"?","~?"),"*","~*")))</f>
        <v/>
      </c>
      <c r="F9">
        <f>IF(B9="","",COUNTIFS('Keyword Map'!$G$3:$G$1002,SUBSTITUTE(SUBSTITUTE(B9,"?","~?"),"*","~*"),'Keyword Map'!$J$3:$J$1002,"Primary"))</f>
        <v/>
      </c>
      <c r="G9">
        <f>IF(B9="","",SUMIFS('Keyword Map'!$C$3:$C$1002,'Keyword Map'!$G$3:$G$1002,SUBSTITUTE(SUBSTITUTE(B9,"?","~?"),"*","~*")))</f>
        <v/>
      </c>
      <c r="H9">
        <f>IF(B9="","",IFERROR(ROUND(AVERAGEIFS('Keyword Map'!$P$3:$P$1002,'Keyword Map'!$G$3:$G$1002,SUBSTITUTE(SUBSTITUTE(B9,"?","~?"),"*","~*")),0),""))</f>
        <v/>
      </c>
      <c r="I9">
        <f>IF(B9="","",COUNTIFS('Keyword Map'!$G$3:$G$1002,SUBSTITUTE(SUBSTITUTE(B9,"?","~?"),"*","~*"),'Keyword Map'!$R$3:$R$1002,"Yes"))</f>
        <v/>
      </c>
      <c r="J9">
        <f>IF(B9="","",COUNTIFS('Keyword Map'!$G$3:$G$1002,SUBSTITUTE(SUBSTITUTE(B9,"?","~?"),"*","~*"),'Keyword Map'!$W$3:$W$1002,"Yes"))</f>
        <v/>
      </c>
      <c r="K9">
        <f>IF(B9="","",IF(F9=0,"No primary keyword",IF(F9&gt;Settings!$B$4,"Too many primary keywords",IF(I9+J9&gt;0,"Check flags","OK"))))</f>
        <v/>
      </c>
    </row>
    <row r="10">
      <c r="A10">
        <f>ROW()-2</f>
        <v/>
      </c>
      <c r="B10">
        <f>IFERROR(INDEX('Keyword Map'!$G$3:$G$1002,MATCH(A10,'Keyword Map'!$AA$3:$AA$1002,0)),"")</f>
        <v/>
      </c>
      <c r="C10">
        <f>IF(B10="","",INDEX('Keyword Map'!$I$3:$I$1002,MATCH(A10,'Keyword Map'!$AA$3:$AA$1002,0))&amp;"")</f>
        <v/>
      </c>
      <c r="D10">
        <f>IF(B10="","",INDEX('Keyword Map'!$H$3:$H$1002,MATCH(A10,'Keyword Map'!$AA$3:$AA$1002,0))&amp;"")</f>
        <v/>
      </c>
      <c r="E10">
        <f>IF(B10="","",COUNTIF('Keyword Map'!$G$3:$G$1002,SUBSTITUTE(SUBSTITUTE(B10,"?","~?"),"*","~*")))</f>
        <v/>
      </c>
      <c r="F10">
        <f>IF(B10="","",COUNTIFS('Keyword Map'!$G$3:$G$1002,SUBSTITUTE(SUBSTITUTE(B10,"?","~?"),"*","~*"),'Keyword Map'!$J$3:$J$1002,"Primary"))</f>
        <v/>
      </c>
      <c r="G10">
        <f>IF(B10="","",SUMIFS('Keyword Map'!$C$3:$C$1002,'Keyword Map'!$G$3:$G$1002,SUBSTITUTE(SUBSTITUTE(B10,"?","~?"),"*","~*")))</f>
        <v/>
      </c>
      <c r="H10">
        <f>IF(B10="","",IFERROR(ROUND(AVERAGEIFS('Keyword Map'!$P$3:$P$1002,'Keyword Map'!$G$3:$G$1002,SUBSTITUTE(SUBSTITUTE(B10,"?","~?"),"*","~*")),0),""))</f>
        <v/>
      </c>
      <c r="I10">
        <f>IF(B10="","",COUNTIFS('Keyword Map'!$G$3:$G$1002,SUBSTITUTE(SUBSTITUTE(B10,"?","~?"),"*","~*"),'Keyword Map'!$R$3:$R$1002,"Yes"))</f>
        <v/>
      </c>
      <c r="J10">
        <f>IF(B10="","",COUNTIFS('Keyword Map'!$G$3:$G$1002,SUBSTITUTE(SUBSTITUTE(B10,"?","~?"),"*","~*"),'Keyword Map'!$W$3:$W$1002,"Yes"))</f>
        <v/>
      </c>
      <c r="K10">
        <f>IF(B10="","",IF(F10=0,"No primary keyword",IF(F10&gt;Settings!$B$4,"Too many primary keywords",IF(I10+J10&gt;0,"Check flags","OK"))))</f>
        <v/>
      </c>
    </row>
    <row r="11">
      <c r="A11">
        <f>ROW()-2</f>
        <v/>
      </c>
      <c r="B11">
        <f>IFERROR(INDEX('Keyword Map'!$G$3:$G$1002,MATCH(A11,'Keyword Map'!$AA$3:$AA$1002,0)),"")</f>
        <v/>
      </c>
      <c r="C11">
        <f>IF(B11="","",INDEX('Keyword Map'!$I$3:$I$1002,MATCH(A11,'Keyword Map'!$AA$3:$AA$1002,0))&amp;"")</f>
        <v/>
      </c>
      <c r="D11">
        <f>IF(B11="","",INDEX('Keyword Map'!$H$3:$H$1002,MATCH(A11,'Keyword Map'!$AA$3:$AA$1002,0))&amp;"")</f>
        <v/>
      </c>
      <c r="E11">
        <f>IF(B11="","",COUNTIF('Keyword Map'!$G$3:$G$1002,SUBSTITUTE(SUBSTITUTE(B11,"?","~?"),"*","~*")))</f>
        <v/>
      </c>
      <c r="F11">
        <f>IF(B11="","",COUNTIFS('Keyword Map'!$G$3:$G$1002,SUBSTITUTE(SUBSTITUTE(B11,"?","~?"),"*","~*"),'Keyword Map'!$J$3:$J$1002,"Primary"))</f>
        <v/>
      </c>
      <c r="G11">
        <f>IF(B11="","",SUMIFS('Keyword Map'!$C$3:$C$1002,'Keyword Map'!$G$3:$G$1002,SUBSTITUTE(SUBSTITUTE(B11,"?","~?"),"*","~*")))</f>
        <v/>
      </c>
      <c r="H11">
        <f>IF(B11="","",IFERROR(ROUND(AVERAGEIFS('Keyword Map'!$P$3:$P$1002,'Keyword Map'!$G$3:$G$1002,SUBSTITUTE(SUBSTITUTE(B11,"?","~?"),"*","~*")),0),""))</f>
        <v/>
      </c>
      <c r="I11">
        <f>IF(B11="","",COUNTIFS('Keyword Map'!$G$3:$G$1002,SUBSTITUTE(SUBSTITUTE(B11,"?","~?"),"*","~*"),'Keyword Map'!$R$3:$R$1002,"Yes"))</f>
        <v/>
      </c>
      <c r="J11">
        <f>IF(B11="","",COUNTIFS('Keyword Map'!$G$3:$G$1002,SUBSTITUTE(SUBSTITUTE(B11,"?","~?"),"*","~*"),'Keyword Map'!$W$3:$W$1002,"Yes"))</f>
        <v/>
      </c>
      <c r="K11">
        <f>IF(B11="","",IF(F11=0,"No primary keyword",IF(F11&gt;Settings!$B$4,"Too many primary keywords",IF(I11+J11&gt;0,"Check flags","OK"))))</f>
        <v/>
      </c>
    </row>
    <row r="12">
      <c r="A12">
        <f>ROW()-2</f>
        <v/>
      </c>
      <c r="B12">
        <f>IFERROR(INDEX('Keyword Map'!$G$3:$G$1002,MATCH(A12,'Keyword Map'!$AA$3:$AA$1002,0)),"")</f>
        <v/>
      </c>
      <c r="C12">
        <f>IF(B12="","",INDEX('Keyword Map'!$I$3:$I$1002,MATCH(A12,'Keyword Map'!$AA$3:$AA$1002,0))&amp;"")</f>
        <v/>
      </c>
      <c r="D12">
        <f>IF(B12="","",INDEX('Keyword Map'!$H$3:$H$1002,MATCH(A12,'Keyword Map'!$AA$3:$AA$1002,0))&amp;"")</f>
        <v/>
      </c>
      <c r="E12">
        <f>IF(B12="","",COUNTIF('Keyword Map'!$G$3:$G$1002,SUBSTITUTE(SUBSTITUTE(B12,"?","~?"),"*","~*")))</f>
        <v/>
      </c>
      <c r="F12">
        <f>IF(B12="","",COUNTIFS('Keyword Map'!$G$3:$G$1002,SUBSTITUTE(SUBSTITUTE(B12,"?","~?"),"*","~*"),'Keyword Map'!$J$3:$J$1002,"Primary"))</f>
        <v/>
      </c>
      <c r="G12">
        <f>IF(B12="","",SUMIFS('Keyword Map'!$C$3:$C$1002,'Keyword Map'!$G$3:$G$1002,SUBSTITUTE(SUBSTITUTE(B12,"?","~?"),"*","~*")))</f>
        <v/>
      </c>
      <c r="H12">
        <f>IF(B12="","",IFERROR(ROUND(AVERAGEIFS('Keyword Map'!$P$3:$P$1002,'Keyword Map'!$G$3:$G$1002,SUBSTITUTE(SUBSTITUTE(B12,"?","~?"),"*","~*")),0),""))</f>
        <v/>
      </c>
      <c r="I12">
        <f>IF(B12="","",COUNTIFS('Keyword Map'!$G$3:$G$1002,SUBSTITUTE(SUBSTITUTE(B12,"?","~?"),"*","~*"),'Keyword Map'!$R$3:$R$1002,"Yes"))</f>
        <v/>
      </c>
      <c r="J12">
        <f>IF(B12="","",COUNTIFS('Keyword Map'!$G$3:$G$1002,SUBSTITUTE(SUBSTITUTE(B12,"?","~?"),"*","~*"),'Keyword Map'!$W$3:$W$1002,"Yes"))</f>
        <v/>
      </c>
      <c r="K12">
        <f>IF(B12="","",IF(F12=0,"No primary keyword",IF(F12&gt;Settings!$B$4,"Too many primary keywords",IF(I12+J12&gt;0,"Check flags","OK"))))</f>
        <v/>
      </c>
    </row>
    <row r="13">
      <c r="A13">
        <f>ROW()-2</f>
        <v/>
      </c>
      <c r="B13">
        <f>IFERROR(INDEX('Keyword Map'!$G$3:$G$1002,MATCH(A13,'Keyword Map'!$AA$3:$AA$1002,0)),"")</f>
        <v/>
      </c>
      <c r="C13">
        <f>IF(B13="","",INDEX('Keyword Map'!$I$3:$I$1002,MATCH(A13,'Keyword Map'!$AA$3:$AA$1002,0))&amp;"")</f>
        <v/>
      </c>
      <c r="D13">
        <f>IF(B13="","",INDEX('Keyword Map'!$H$3:$H$1002,MATCH(A13,'Keyword Map'!$AA$3:$AA$1002,0))&amp;"")</f>
        <v/>
      </c>
      <c r="E13">
        <f>IF(B13="","",COUNTIF('Keyword Map'!$G$3:$G$1002,SUBSTITUTE(SUBSTITUTE(B13,"?","~?"),"*","~*")))</f>
        <v/>
      </c>
      <c r="F13">
        <f>IF(B13="","",COUNTIFS('Keyword Map'!$G$3:$G$1002,SUBSTITUTE(SUBSTITUTE(B13,"?","~?"),"*","~*"),'Keyword Map'!$J$3:$J$1002,"Primary"))</f>
        <v/>
      </c>
      <c r="G13">
        <f>IF(B13="","",SUMIFS('Keyword Map'!$C$3:$C$1002,'Keyword Map'!$G$3:$G$1002,SUBSTITUTE(SUBSTITUTE(B13,"?","~?"),"*","~*")))</f>
        <v/>
      </c>
      <c r="H13">
        <f>IF(B13="","",IFERROR(ROUND(AVERAGEIFS('Keyword Map'!$P$3:$P$1002,'Keyword Map'!$G$3:$G$1002,SUBSTITUTE(SUBSTITUTE(B13,"?","~?"),"*","~*")),0),""))</f>
        <v/>
      </c>
      <c r="I13">
        <f>IF(B13="","",COUNTIFS('Keyword Map'!$G$3:$G$1002,SUBSTITUTE(SUBSTITUTE(B13,"?","~?"),"*","~*"),'Keyword Map'!$R$3:$R$1002,"Yes"))</f>
        <v/>
      </c>
      <c r="J13">
        <f>IF(B13="","",COUNTIFS('Keyword Map'!$G$3:$G$1002,SUBSTITUTE(SUBSTITUTE(B13,"?","~?"),"*","~*"),'Keyword Map'!$W$3:$W$1002,"Yes"))</f>
        <v/>
      </c>
      <c r="K13">
        <f>IF(B13="","",IF(F13=0,"No primary keyword",IF(F13&gt;Settings!$B$4,"Too many primary keywords",IF(I13+J13&gt;0,"Check flags","OK"))))</f>
        <v/>
      </c>
    </row>
    <row r="14">
      <c r="A14">
        <f>ROW()-2</f>
        <v/>
      </c>
      <c r="B14">
        <f>IFERROR(INDEX('Keyword Map'!$G$3:$G$1002,MATCH(A14,'Keyword Map'!$AA$3:$AA$1002,0)),"")</f>
        <v/>
      </c>
      <c r="C14">
        <f>IF(B14="","",INDEX('Keyword Map'!$I$3:$I$1002,MATCH(A14,'Keyword Map'!$AA$3:$AA$1002,0))&amp;"")</f>
        <v/>
      </c>
      <c r="D14">
        <f>IF(B14="","",INDEX('Keyword Map'!$H$3:$H$1002,MATCH(A14,'Keyword Map'!$AA$3:$AA$1002,0))&amp;"")</f>
        <v/>
      </c>
      <c r="E14">
        <f>IF(B14="","",COUNTIF('Keyword Map'!$G$3:$G$1002,SUBSTITUTE(SUBSTITUTE(B14,"?","~?"),"*","~*")))</f>
        <v/>
      </c>
      <c r="F14">
        <f>IF(B14="","",COUNTIFS('Keyword Map'!$G$3:$G$1002,SUBSTITUTE(SUBSTITUTE(B14,"?","~?"),"*","~*"),'Keyword Map'!$J$3:$J$1002,"Primary"))</f>
        <v/>
      </c>
      <c r="G14">
        <f>IF(B14="","",SUMIFS('Keyword Map'!$C$3:$C$1002,'Keyword Map'!$G$3:$G$1002,SUBSTITUTE(SUBSTITUTE(B14,"?","~?"),"*","~*")))</f>
        <v/>
      </c>
      <c r="H14">
        <f>IF(B14="","",IFERROR(ROUND(AVERAGEIFS('Keyword Map'!$P$3:$P$1002,'Keyword Map'!$G$3:$G$1002,SUBSTITUTE(SUBSTITUTE(B14,"?","~?"),"*","~*")),0),""))</f>
        <v/>
      </c>
      <c r="I14">
        <f>IF(B14="","",COUNTIFS('Keyword Map'!$G$3:$G$1002,SUBSTITUTE(SUBSTITUTE(B14,"?","~?"),"*","~*"),'Keyword Map'!$R$3:$R$1002,"Yes"))</f>
        <v/>
      </c>
      <c r="J14">
        <f>IF(B14="","",COUNTIFS('Keyword Map'!$G$3:$G$1002,SUBSTITUTE(SUBSTITUTE(B14,"?","~?"),"*","~*"),'Keyword Map'!$W$3:$W$1002,"Yes"))</f>
        <v/>
      </c>
      <c r="K14">
        <f>IF(B14="","",IF(F14=0,"No primary keyword",IF(F14&gt;Settings!$B$4,"Too many primary keywords",IF(I14+J14&gt;0,"Check flags","OK"))))</f>
        <v/>
      </c>
    </row>
    <row r="15">
      <c r="A15">
        <f>ROW()-2</f>
        <v/>
      </c>
      <c r="B15">
        <f>IFERROR(INDEX('Keyword Map'!$G$3:$G$1002,MATCH(A15,'Keyword Map'!$AA$3:$AA$1002,0)),"")</f>
        <v/>
      </c>
      <c r="C15">
        <f>IF(B15="","",INDEX('Keyword Map'!$I$3:$I$1002,MATCH(A15,'Keyword Map'!$AA$3:$AA$1002,0))&amp;"")</f>
        <v/>
      </c>
      <c r="D15">
        <f>IF(B15="","",INDEX('Keyword Map'!$H$3:$H$1002,MATCH(A15,'Keyword Map'!$AA$3:$AA$1002,0))&amp;"")</f>
        <v/>
      </c>
      <c r="E15">
        <f>IF(B15="","",COUNTIF('Keyword Map'!$G$3:$G$1002,SUBSTITUTE(SUBSTITUTE(B15,"?","~?"),"*","~*")))</f>
        <v/>
      </c>
      <c r="F15">
        <f>IF(B15="","",COUNTIFS('Keyword Map'!$G$3:$G$1002,SUBSTITUTE(SUBSTITUTE(B15,"?","~?"),"*","~*"),'Keyword Map'!$J$3:$J$1002,"Primary"))</f>
        <v/>
      </c>
      <c r="G15">
        <f>IF(B15="","",SUMIFS('Keyword Map'!$C$3:$C$1002,'Keyword Map'!$G$3:$G$1002,SUBSTITUTE(SUBSTITUTE(B15,"?","~?"),"*","~*")))</f>
        <v/>
      </c>
      <c r="H15">
        <f>IF(B15="","",IFERROR(ROUND(AVERAGEIFS('Keyword Map'!$P$3:$P$1002,'Keyword Map'!$G$3:$G$1002,SUBSTITUTE(SUBSTITUTE(B15,"?","~?"),"*","~*")),0),""))</f>
        <v/>
      </c>
      <c r="I15">
        <f>IF(B15="","",COUNTIFS('Keyword Map'!$G$3:$G$1002,SUBSTITUTE(SUBSTITUTE(B15,"?","~?"),"*","~*"),'Keyword Map'!$R$3:$R$1002,"Yes"))</f>
        <v/>
      </c>
      <c r="J15">
        <f>IF(B15="","",COUNTIFS('Keyword Map'!$G$3:$G$1002,SUBSTITUTE(SUBSTITUTE(B15,"?","~?"),"*","~*"),'Keyword Map'!$W$3:$W$1002,"Yes"))</f>
        <v/>
      </c>
      <c r="K15">
        <f>IF(B15="","",IF(F15=0,"No primary keyword",IF(F15&gt;Settings!$B$4,"Too many primary keywords",IF(I15+J15&gt;0,"Check flags","OK"))))</f>
        <v/>
      </c>
    </row>
    <row r="16">
      <c r="A16">
        <f>ROW()-2</f>
        <v/>
      </c>
      <c r="B16">
        <f>IFERROR(INDEX('Keyword Map'!$G$3:$G$1002,MATCH(A16,'Keyword Map'!$AA$3:$AA$1002,0)),"")</f>
        <v/>
      </c>
      <c r="C16">
        <f>IF(B16="","",INDEX('Keyword Map'!$I$3:$I$1002,MATCH(A16,'Keyword Map'!$AA$3:$AA$1002,0))&amp;"")</f>
        <v/>
      </c>
      <c r="D16">
        <f>IF(B16="","",INDEX('Keyword Map'!$H$3:$H$1002,MATCH(A16,'Keyword Map'!$AA$3:$AA$1002,0))&amp;"")</f>
        <v/>
      </c>
      <c r="E16">
        <f>IF(B16="","",COUNTIF('Keyword Map'!$G$3:$G$1002,SUBSTITUTE(SUBSTITUTE(B16,"?","~?"),"*","~*")))</f>
        <v/>
      </c>
      <c r="F16">
        <f>IF(B16="","",COUNTIFS('Keyword Map'!$G$3:$G$1002,SUBSTITUTE(SUBSTITUTE(B16,"?","~?"),"*","~*"),'Keyword Map'!$J$3:$J$1002,"Primary"))</f>
        <v/>
      </c>
      <c r="G16">
        <f>IF(B16="","",SUMIFS('Keyword Map'!$C$3:$C$1002,'Keyword Map'!$G$3:$G$1002,SUBSTITUTE(SUBSTITUTE(B16,"?","~?"),"*","~*")))</f>
        <v/>
      </c>
      <c r="H16">
        <f>IF(B16="","",IFERROR(ROUND(AVERAGEIFS('Keyword Map'!$P$3:$P$1002,'Keyword Map'!$G$3:$G$1002,SUBSTITUTE(SUBSTITUTE(B16,"?","~?"),"*","~*")),0),""))</f>
        <v/>
      </c>
      <c r="I16">
        <f>IF(B16="","",COUNTIFS('Keyword Map'!$G$3:$G$1002,SUBSTITUTE(SUBSTITUTE(B16,"?","~?"),"*","~*"),'Keyword Map'!$R$3:$R$1002,"Yes"))</f>
        <v/>
      </c>
      <c r="J16">
        <f>IF(B16="","",COUNTIFS('Keyword Map'!$G$3:$G$1002,SUBSTITUTE(SUBSTITUTE(B16,"?","~?"),"*","~*"),'Keyword Map'!$W$3:$W$1002,"Yes"))</f>
        <v/>
      </c>
      <c r="K16">
        <f>IF(B16="","",IF(F16=0,"No primary keyword",IF(F16&gt;Settings!$B$4,"Too many primary keywords",IF(I16+J16&gt;0,"Check flags","OK"))))</f>
        <v/>
      </c>
    </row>
    <row r="17">
      <c r="A17">
        <f>ROW()-2</f>
        <v/>
      </c>
      <c r="B17">
        <f>IFERROR(INDEX('Keyword Map'!$G$3:$G$1002,MATCH(A17,'Keyword Map'!$AA$3:$AA$1002,0)),"")</f>
        <v/>
      </c>
      <c r="C17">
        <f>IF(B17="","",INDEX('Keyword Map'!$I$3:$I$1002,MATCH(A17,'Keyword Map'!$AA$3:$AA$1002,0))&amp;"")</f>
        <v/>
      </c>
      <c r="D17">
        <f>IF(B17="","",INDEX('Keyword Map'!$H$3:$H$1002,MATCH(A17,'Keyword Map'!$AA$3:$AA$1002,0))&amp;"")</f>
        <v/>
      </c>
      <c r="E17">
        <f>IF(B17="","",COUNTIF('Keyword Map'!$G$3:$G$1002,SUBSTITUTE(SUBSTITUTE(B17,"?","~?"),"*","~*")))</f>
        <v/>
      </c>
      <c r="F17">
        <f>IF(B17="","",COUNTIFS('Keyword Map'!$G$3:$G$1002,SUBSTITUTE(SUBSTITUTE(B17,"?","~?"),"*","~*"),'Keyword Map'!$J$3:$J$1002,"Primary"))</f>
        <v/>
      </c>
      <c r="G17">
        <f>IF(B17="","",SUMIFS('Keyword Map'!$C$3:$C$1002,'Keyword Map'!$G$3:$G$1002,SUBSTITUTE(SUBSTITUTE(B17,"?","~?"),"*","~*")))</f>
        <v/>
      </c>
      <c r="H17">
        <f>IF(B17="","",IFERROR(ROUND(AVERAGEIFS('Keyword Map'!$P$3:$P$1002,'Keyword Map'!$G$3:$G$1002,SUBSTITUTE(SUBSTITUTE(B17,"?","~?"),"*","~*")),0),""))</f>
        <v/>
      </c>
      <c r="I17">
        <f>IF(B17="","",COUNTIFS('Keyword Map'!$G$3:$G$1002,SUBSTITUTE(SUBSTITUTE(B17,"?","~?"),"*","~*"),'Keyword Map'!$R$3:$R$1002,"Yes"))</f>
        <v/>
      </c>
      <c r="J17">
        <f>IF(B17="","",COUNTIFS('Keyword Map'!$G$3:$G$1002,SUBSTITUTE(SUBSTITUTE(B17,"?","~?"),"*","~*"),'Keyword Map'!$W$3:$W$1002,"Yes"))</f>
        <v/>
      </c>
      <c r="K17">
        <f>IF(B17="","",IF(F17=0,"No primary keyword",IF(F17&gt;Settings!$B$4,"Too many primary keywords",IF(I17+J17&gt;0,"Check flags","OK"))))</f>
        <v/>
      </c>
    </row>
    <row r="18">
      <c r="A18">
        <f>ROW()-2</f>
        <v/>
      </c>
      <c r="B18">
        <f>IFERROR(INDEX('Keyword Map'!$G$3:$G$1002,MATCH(A18,'Keyword Map'!$AA$3:$AA$1002,0)),"")</f>
        <v/>
      </c>
      <c r="C18">
        <f>IF(B18="","",INDEX('Keyword Map'!$I$3:$I$1002,MATCH(A18,'Keyword Map'!$AA$3:$AA$1002,0))&amp;"")</f>
        <v/>
      </c>
      <c r="D18">
        <f>IF(B18="","",INDEX('Keyword Map'!$H$3:$H$1002,MATCH(A18,'Keyword Map'!$AA$3:$AA$1002,0))&amp;"")</f>
        <v/>
      </c>
      <c r="E18">
        <f>IF(B18="","",COUNTIF('Keyword Map'!$G$3:$G$1002,SUBSTITUTE(SUBSTITUTE(B18,"?","~?"),"*","~*")))</f>
        <v/>
      </c>
      <c r="F18">
        <f>IF(B18="","",COUNTIFS('Keyword Map'!$G$3:$G$1002,SUBSTITUTE(SUBSTITUTE(B18,"?","~?"),"*","~*"),'Keyword Map'!$J$3:$J$1002,"Primary"))</f>
        <v/>
      </c>
      <c r="G18">
        <f>IF(B18="","",SUMIFS('Keyword Map'!$C$3:$C$1002,'Keyword Map'!$G$3:$G$1002,SUBSTITUTE(SUBSTITUTE(B18,"?","~?"),"*","~*")))</f>
        <v/>
      </c>
      <c r="H18">
        <f>IF(B18="","",IFERROR(ROUND(AVERAGEIFS('Keyword Map'!$P$3:$P$1002,'Keyword Map'!$G$3:$G$1002,SUBSTITUTE(SUBSTITUTE(B18,"?","~?"),"*","~*")),0),""))</f>
        <v/>
      </c>
      <c r="I18">
        <f>IF(B18="","",COUNTIFS('Keyword Map'!$G$3:$G$1002,SUBSTITUTE(SUBSTITUTE(B18,"?","~?"),"*","~*"),'Keyword Map'!$R$3:$R$1002,"Yes"))</f>
        <v/>
      </c>
      <c r="J18">
        <f>IF(B18="","",COUNTIFS('Keyword Map'!$G$3:$G$1002,SUBSTITUTE(SUBSTITUTE(B18,"?","~?"),"*","~*"),'Keyword Map'!$W$3:$W$1002,"Yes"))</f>
        <v/>
      </c>
      <c r="K18">
        <f>IF(B18="","",IF(F18=0,"No primary keyword",IF(F18&gt;Settings!$B$4,"Too many primary keywords",IF(I18+J18&gt;0,"Check flags","OK"))))</f>
        <v/>
      </c>
    </row>
    <row r="19">
      <c r="A19">
        <f>ROW()-2</f>
        <v/>
      </c>
      <c r="B19">
        <f>IFERROR(INDEX('Keyword Map'!$G$3:$G$1002,MATCH(A19,'Keyword Map'!$AA$3:$AA$1002,0)),"")</f>
        <v/>
      </c>
      <c r="C19">
        <f>IF(B19="","",INDEX('Keyword Map'!$I$3:$I$1002,MATCH(A19,'Keyword Map'!$AA$3:$AA$1002,0))&amp;"")</f>
        <v/>
      </c>
      <c r="D19">
        <f>IF(B19="","",INDEX('Keyword Map'!$H$3:$H$1002,MATCH(A19,'Keyword Map'!$AA$3:$AA$1002,0))&amp;"")</f>
        <v/>
      </c>
      <c r="E19">
        <f>IF(B19="","",COUNTIF('Keyword Map'!$G$3:$G$1002,SUBSTITUTE(SUBSTITUTE(B19,"?","~?"),"*","~*")))</f>
        <v/>
      </c>
      <c r="F19">
        <f>IF(B19="","",COUNTIFS('Keyword Map'!$G$3:$G$1002,SUBSTITUTE(SUBSTITUTE(B19,"?","~?"),"*","~*"),'Keyword Map'!$J$3:$J$1002,"Primary"))</f>
        <v/>
      </c>
      <c r="G19">
        <f>IF(B19="","",SUMIFS('Keyword Map'!$C$3:$C$1002,'Keyword Map'!$G$3:$G$1002,SUBSTITUTE(SUBSTITUTE(B19,"?","~?"),"*","~*")))</f>
        <v/>
      </c>
      <c r="H19">
        <f>IF(B19="","",IFERROR(ROUND(AVERAGEIFS('Keyword Map'!$P$3:$P$1002,'Keyword Map'!$G$3:$G$1002,SUBSTITUTE(SUBSTITUTE(B19,"?","~?"),"*","~*")),0),""))</f>
        <v/>
      </c>
      <c r="I19">
        <f>IF(B19="","",COUNTIFS('Keyword Map'!$G$3:$G$1002,SUBSTITUTE(SUBSTITUTE(B19,"?","~?"),"*","~*"),'Keyword Map'!$R$3:$R$1002,"Yes"))</f>
        <v/>
      </c>
      <c r="J19">
        <f>IF(B19="","",COUNTIFS('Keyword Map'!$G$3:$G$1002,SUBSTITUTE(SUBSTITUTE(B19,"?","~?"),"*","~*"),'Keyword Map'!$W$3:$W$1002,"Yes"))</f>
        <v/>
      </c>
      <c r="K19">
        <f>IF(B19="","",IF(F19=0,"No primary keyword",IF(F19&gt;Settings!$B$4,"Too many primary keywords",IF(I19+J19&gt;0,"Check flags","OK"))))</f>
        <v/>
      </c>
    </row>
    <row r="20">
      <c r="A20">
        <f>ROW()-2</f>
        <v/>
      </c>
      <c r="B20">
        <f>IFERROR(INDEX('Keyword Map'!$G$3:$G$1002,MATCH(A20,'Keyword Map'!$AA$3:$AA$1002,0)),"")</f>
        <v/>
      </c>
      <c r="C20">
        <f>IF(B20="","",INDEX('Keyword Map'!$I$3:$I$1002,MATCH(A20,'Keyword Map'!$AA$3:$AA$1002,0))&amp;"")</f>
        <v/>
      </c>
      <c r="D20">
        <f>IF(B20="","",INDEX('Keyword Map'!$H$3:$H$1002,MATCH(A20,'Keyword Map'!$AA$3:$AA$1002,0))&amp;"")</f>
        <v/>
      </c>
      <c r="E20">
        <f>IF(B20="","",COUNTIF('Keyword Map'!$G$3:$G$1002,SUBSTITUTE(SUBSTITUTE(B20,"?","~?"),"*","~*")))</f>
        <v/>
      </c>
      <c r="F20">
        <f>IF(B20="","",COUNTIFS('Keyword Map'!$G$3:$G$1002,SUBSTITUTE(SUBSTITUTE(B20,"?","~?"),"*","~*"),'Keyword Map'!$J$3:$J$1002,"Primary"))</f>
        <v/>
      </c>
      <c r="G20">
        <f>IF(B20="","",SUMIFS('Keyword Map'!$C$3:$C$1002,'Keyword Map'!$G$3:$G$1002,SUBSTITUTE(SUBSTITUTE(B20,"?","~?"),"*","~*")))</f>
        <v/>
      </c>
      <c r="H20">
        <f>IF(B20="","",IFERROR(ROUND(AVERAGEIFS('Keyword Map'!$P$3:$P$1002,'Keyword Map'!$G$3:$G$1002,SUBSTITUTE(SUBSTITUTE(B20,"?","~?"),"*","~*")),0),""))</f>
        <v/>
      </c>
      <c r="I20">
        <f>IF(B20="","",COUNTIFS('Keyword Map'!$G$3:$G$1002,SUBSTITUTE(SUBSTITUTE(B20,"?","~?"),"*","~*"),'Keyword Map'!$R$3:$R$1002,"Yes"))</f>
        <v/>
      </c>
      <c r="J20">
        <f>IF(B20="","",COUNTIFS('Keyword Map'!$G$3:$G$1002,SUBSTITUTE(SUBSTITUTE(B20,"?","~?"),"*","~*"),'Keyword Map'!$W$3:$W$1002,"Yes"))</f>
        <v/>
      </c>
      <c r="K20">
        <f>IF(B20="","",IF(F20=0,"No primary keyword",IF(F20&gt;Settings!$B$4,"Too many primary keywords",IF(I20+J20&gt;0,"Check flags","OK"))))</f>
        <v/>
      </c>
    </row>
    <row r="21">
      <c r="A21">
        <f>ROW()-2</f>
        <v/>
      </c>
      <c r="B21">
        <f>IFERROR(INDEX('Keyword Map'!$G$3:$G$1002,MATCH(A21,'Keyword Map'!$AA$3:$AA$1002,0)),"")</f>
        <v/>
      </c>
      <c r="C21">
        <f>IF(B21="","",INDEX('Keyword Map'!$I$3:$I$1002,MATCH(A21,'Keyword Map'!$AA$3:$AA$1002,0))&amp;"")</f>
        <v/>
      </c>
      <c r="D21">
        <f>IF(B21="","",INDEX('Keyword Map'!$H$3:$H$1002,MATCH(A21,'Keyword Map'!$AA$3:$AA$1002,0))&amp;"")</f>
        <v/>
      </c>
      <c r="E21">
        <f>IF(B21="","",COUNTIF('Keyword Map'!$G$3:$G$1002,SUBSTITUTE(SUBSTITUTE(B21,"?","~?"),"*","~*")))</f>
        <v/>
      </c>
      <c r="F21">
        <f>IF(B21="","",COUNTIFS('Keyword Map'!$G$3:$G$1002,SUBSTITUTE(SUBSTITUTE(B21,"?","~?"),"*","~*"),'Keyword Map'!$J$3:$J$1002,"Primary"))</f>
        <v/>
      </c>
      <c r="G21">
        <f>IF(B21="","",SUMIFS('Keyword Map'!$C$3:$C$1002,'Keyword Map'!$G$3:$G$1002,SUBSTITUTE(SUBSTITUTE(B21,"?","~?"),"*","~*")))</f>
        <v/>
      </c>
      <c r="H21">
        <f>IF(B21="","",IFERROR(ROUND(AVERAGEIFS('Keyword Map'!$P$3:$P$1002,'Keyword Map'!$G$3:$G$1002,SUBSTITUTE(SUBSTITUTE(B21,"?","~?"),"*","~*")),0),""))</f>
        <v/>
      </c>
      <c r="I21">
        <f>IF(B21="","",COUNTIFS('Keyword Map'!$G$3:$G$1002,SUBSTITUTE(SUBSTITUTE(B21,"?","~?"),"*","~*"),'Keyword Map'!$R$3:$R$1002,"Yes"))</f>
        <v/>
      </c>
      <c r="J21">
        <f>IF(B21="","",COUNTIFS('Keyword Map'!$G$3:$G$1002,SUBSTITUTE(SUBSTITUTE(B21,"?","~?"),"*","~*"),'Keyword Map'!$W$3:$W$1002,"Yes"))</f>
        <v/>
      </c>
      <c r="K21">
        <f>IF(B21="","",IF(F21=0,"No primary keyword",IF(F21&gt;Settings!$B$4,"Too many primary keywords",IF(I21+J21&gt;0,"Check flags","OK"))))</f>
        <v/>
      </c>
    </row>
    <row r="22">
      <c r="A22">
        <f>ROW()-2</f>
        <v/>
      </c>
      <c r="B22">
        <f>IFERROR(INDEX('Keyword Map'!$G$3:$G$1002,MATCH(A22,'Keyword Map'!$AA$3:$AA$1002,0)),"")</f>
        <v/>
      </c>
      <c r="C22">
        <f>IF(B22="","",INDEX('Keyword Map'!$I$3:$I$1002,MATCH(A22,'Keyword Map'!$AA$3:$AA$1002,0))&amp;"")</f>
        <v/>
      </c>
      <c r="D22">
        <f>IF(B22="","",INDEX('Keyword Map'!$H$3:$H$1002,MATCH(A22,'Keyword Map'!$AA$3:$AA$1002,0))&amp;"")</f>
        <v/>
      </c>
      <c r="E22">
        <f>IF(B22="","",COUNTIF('Keyword Map'!$G$3:$G$1002,SUBSTITUTE(SUBSTITUTE(B22,"?","~?"),"*","~*")))</f>
        <v/>
      </c>
      <c r="F22">
        <f>IF(B22="","",COUNTIFS('Keyword Map'!$G$3:$G$1002,SUBSTITUTE(SUBSTITUTE(B22,"?","~?"),"*","~*"),'Keyword Map'!$J$3:$J$1002,"Primary"))</f>
        <v/>
      </c>
      <c r="G22">
        <f>IF(B22="","",SUMIFS('Keyword Map'!$C$3:$C$1002,'Keyword Map'!$G$3:$G$1002,SUBSTITUTE(SUBSTITUTE(B22,"?","~?"),"*","~*")))</f>
        <v/>
      </c>
      <c r="H22">
        <f>IF(B22="","",IFERROR(ROUND(AVERAGEIFS('Keyword Map'!$P$3:$P$1002,'Keyword Map'!$G$3:$G$1002,SUBSTITUTE(SUBSTITUTE(B22,"?","~?"),"*","~*")),0),""))</f>
        <v/>
      </c>
      <c r="I22">
        <f>IF(B22="","",COUNTIFS('Keyword Map'!$G$3:$G$1002,SUBSTITUTE(SUBSTITUTE(B22,"?","~?"),"*","~*"),'Keyword Map'!$R$3:$R$1002,"Yes"))</f>
        <v/>
      </c>
      <c r="J22">
        <f>IF(B22="","",COUNTIFS('Keyword Map'!$G$3:$G$1002,SUBSTITUTE(SUBSTITUTE(B22,"?","~?"),"*","~*"),'Keyword Map'!$W$3:$W$1002,"Yes"))</f>
        <v/>
      </c>
      <c r="K22">
        <f>IF(B22="","",IF(F22=0,"No primary keyword",IF(F22&gt;Settings!$B$4,"Too many primary keywords",IF(I22+J22&gt;0,"Check flags","OK"))))</f>
        <v/>
      </c>
    </row>
    <row r="23">
      <c r="A23">
        <f>ROW()-2</f>
        <v/>
      </c>
      <c r="B23">
        <f>IFERROR(INDEX('Keyword Map'!$G$3:$G$1002,MATCH(A23,'Keyword Map'!$AA$3:$AA$1002,0)),"")</f>
        <v/>
      </c>
      <c r="C23">
        <f>IF(B23="","",INDEX('Keyword Map'!$I$3:$I$1002,MATCH(A23,'Keyword Map'!$AA$3:$AA$1002,0))&amp;"")</f>
        <v/>
      </c>
      <c r="D23">
        <f>IF(B23="","",INDEX('Keyword Map'!$H$3:$H$1002,MATCH(A23,'Keyword Map'!$AA$3:$AA$1002,0))&amp;"")</f>
        <v/>
      </c>
      <c r="E23">
        <f>IF(B23="","",COUNTIF('Keyword Map'!$G$3:$G$1002,SUBSTITUTE(SUBSTITUTE(B23,"?","~?"),"*","~*")))</f>
        <v/>
      </c>
      <c r="F23">
        <f>IF(B23="","",COUNTIFS('Keyword Map'!$G$3:$G$1002,SUBSTITUTE(SUBSTITUTE(B23,"?","~?"),"*","~*"),'Keyword Map'!$J$3:$J$1002,"Primary"))</f>
        <v/>
      </c>
      <c r="G23">
        <f>IF(B23="","",SUMIFS('Keyword Map'!$C$3:$C$1002,'Keyword Map'!$G$3:$G$1002,SUBSTITUTE(SUBSTITUTE(B23,"?","~?"),"*","~*")))</f>
        <v/>
      </c>
      <c r="H23">
        <f>IF(B23="","",IFERROR(ROUND(AVERAGEIFS('Keyword Map'!$P$3:$P$1002,'Keyword Map'!$G$3:$G$1002,SUBSTITUTE(SUBSTITUTE(B23,"?","~?"),"*","~*")),0),""))</f>
        <v/>
      </c>
      <c r="I23">
        <f>IF(B23="","",COUNTIFS('Keyword Map'!$G$3:$G$1002,SUBSTITUTE(SUBSTITUTE(B23,"?","~?"),"*","~*"),'Keyword Map'!$R$3:$R$1002,"Yes"))</f>
        <v/>
      </c>
      <c r="J23">
        <f>IF(B23="","",COUNTIFS('Keyword Map'!$G$3:$G$1002,SUBSTITUTE(SUBSTITUTE(B23,"?","~?"),"*","~*"),'Keyword Map'!$W$3:$W$1002,"Yes"))</f>
        <v/>
      </c>
      <c r="K23">
        <f>IF(B23="","",IF(F23=0,"No primary keyword",IF(F23&gt;Settings!$B$4,"Too many primary keywords",IF(I23+J23&gt;0,"Check flags","OK"))))</f>
        <v/>
      </c>
    </row>
    <row r="24">
      <c r="A24">
        <f>ROW()-2</f>
        <v/>
      </c>
      <c r="B24">
        <f>IFERROR(INDEX('Keyword Map'!$G$3:$G$1002,MATCH(A24,'Keyword Map'!$AA$3:$AA$1002,0)),"")</f>
        <v/>
      </c>
      <c r="C24">
        <f>IF(B24="","",INDEX('Keyword Map'!$I$3:$I$1002,MATCH(A24,'Keyword Map'!$AA$3:$AA$1002,0))&amp;"")</f>
        <v/>
      </c>
      <c r="D24">
        <f>IF(B24="","",INDEX('Keyword Map'!$H$3:$H$1002,MATCH(A24,'Keyword Map'!$AA$3:$AA$1002,0))&amp;"")</f>
        <v/>
      </c>
      <c r="E24">
        <f>IF(B24="","",COUNTIF('Keyword Map'!$G$3:$G$1002,SUBSTITUTE(SUBSTITUTE(B24,"?","~?"),"*","~*")))</f>
        <v/>
      </c>
      <c r="F24">
        <f>IF(B24="","",COUNTIFS('Keyword Map'!$G$3:$G$1002,SUBSTITUTE(SUBSTITUTE(B24,"?","~?"),"*","~*"),'Keyword Map'!$J$3:$J$1002,"Primary"))</f>
        <v/>
      </c>
      <c r="G24">
        <f>IF(B24="","",SUMIFS('Keyword Map'!$C$3:$C$1002,'Keyword Map'!$G$3:$G$1002,SUBSTITUTE(SUBSTITUTE(B24,"?","~?"),"*","~*")))</f>
        <v/>
      </c>
      <c r="H24">
        <f>IF(B24="","",IFERROR(ROUND(AVERAGEIFS('Keyword Map'!$P$3:$P$1002,'Keyword Map'!$G$3:$G$1002,SUBSTITUTE(SUBSTITUTE(B24,"?","~?"),"*","~*")),0),""))</f>
        <v/>
      </c>
      <c r="I24">
        <f>IF(B24="","",COUNTIFS('Keyword Map'!$G$3:$G$1002,SUBSTITUTE(SUBSTITUTE(B24,"?","~?"),"*","~*"),'Keyword Map'!$R$3:$R$1002,"Yes"))</f>
        <v/>
      </c>
      <c r="J24">
        <f>IF(B24="","",COUNTIFS('Keyword Map'!$G$3:$G$1002,SUBSTITUTE(SUBSTITUTE(B24,"?","~?"),"*","~*"),'Keyword Map'!$W$3:$W$1002,"Yes"))</f>
        <v/>
      </c>
      <c r="K24">
        <f>IF(B24="","",IF(F24=0,"No primary keyword",IF(F24&gt;Settings!$B$4,"Too many primary keywords",IF(I24+J24&gt;0,"Check flags","OK"))))</f>
        <v/>
      </c>
    </row>
    <row r="25">
      <c r="A25">
        <f>ROW()-2</f>
        <v/>
      </c>
      <c r="B25">
        <f>IFERROR(INDEX('Keyword Map'!$G$3:$G$1002,MATCH(A25,'Keyword Map'!$AA$3:$AA$1002,0)),"")</f>
        <v/>
      </c>
      <c r="C25">
        <f>IF(B25="","",INDEX('Keyword Map'!$I$3:$I$1002,MATCH(A25,'Keyword Map'!$AA$3:$AA$1002,0))&amp;"")</f>
        <v/>
      </c>
      <c r="D25">
        <f>IF(B25="","",INDEX('Keyword Map'!$H$3:$H$1002,MATCH(A25,'Keyword Map'!$AA$3:$AA$1002,0))&amp;"")</f>
        <v/>
      </c>
      <c r="E25">
        <f>IF(B25="","",COUNTIF('Keyword Map'!$G$3:$G$1002,SUBSTITUTE(SUBSTITUTE(B25,"?","~?"),"*","~*")))</f>
        <v/>
      </c>
      <c r="F25">
        <f>IF(B25="","",COUNTIFS('Keyword Map'!$G$3:$G$1002,SUBSTITUTE(SUBSTITUTE(B25,"?","~?"),"*","~*"),'Keyword Map'!$J$3:$J$1002,"Primary"))</f>
        <v/>
      </c>
      <c r="G25">
        <f>IF(B25="","",SUMIFS('Keyword Map'!$C$3:$C$1002,'Keyword Map'!$G$3:$G$1002,SUBSTITUTE(SUBSTITUTE(B25,"?","~?"),"*","~*")))</f>
        <v/>
      </c>
      <c r="H25">
        <f>IF(B25="","",IFERROR(ROUND(AVERAGEIFS('Keyword Map'!$P$3:$P$1002,'Keyword Map'!$G$3:$G$1002,SUBSTITUTE(SUBSTITUTE(B25,"?","~?"),"*","~*")),0),""))</f>
        <v/>
      </c>
      <c r="I25">
        <f>IF(B25="","",COUNTIFS('Keyword Map'!$G$3:$G$1002,SUBSTITUTE(SUBSTITUTE(B25,"?","~?"),"*","~*"),'Keyword Map'!$R$3:$R$1002,"Yes"))</f>
        <v/>
      </c>
      <c r="J25">
        <f>IF(B25="","",COUNTIFS('Keyword Map'!$G$3:$G$1002,SUBSTITUTE(SUBSTITUTE(B25,"?","~?"),"*","~*"),'Keyword Map'!$W$3:$W$1002,"Yes"))</f>
        <v/>
      </c>
      <c r="K25">
        <f>IF(B25="","",IF(F25=0,"No primary keyword",IF(F25&gt;Settings!$B$4,"Too many primary keywords",IF(I25+J25&gt;0,"Check flags","OK"))))</f>
        <v/>
      </c>
    </row>
    <row r="26">
      <c r="A26">
        <f>ROW()-2</f>
        <v/>
      </c>
      <c r="B26">
        <f>IFERROR(INDEX('Keyword Map'!$G$3:$G$1002,MATCH(A26,'Keyword Map'!$AA$3:$AA$1002,0)),"")</f>
        <v/>
      </c>
      <c r="C26">
        <f>IF(B26="","",INDEX('Keyword Map'!$I$3:$I$1002,MATCH(A26,'Keyword Map'!$AA$3:$AA$1002,0))&amp;"")</f>
        <v/>
      </c>
      <c r="D26">
        <f>IF(B26="","",INDEX('Keyword Map'!$H$3:$H$1002,MATCH(A26,'Keyword Map'!$AA$3:$AA$1002,0))&amp;"")</f>
        <v/>
      </c>
      <c r="E26">
        <f>IF(B26="","",COUNTIF('Keyword Map'!$G$3:$G$1002,SUBSTITUTE(SUBSTITUTE(B26,"?","~?"),"*","~*")))</f>
        <v/>
      </c>
      <c r="F26">
        <f>IF(B26="","",COUNTIFS('Keyword Map'!$G$3:$G$1002,SUBSTITUTE(SUBSTITUTE(B26,"?","~?"),"*","~*"),'Keyword Map'!$J$3:$J$1002,"Primary"))</f>
        <v/>
      </c>
      <c r="G26">
        <f>IF(B26="","",SUMIFS('Keyword Map'!$C$3:$C$1002,'Keyword Map'!$G$3:$G$1002,SUBSTITUTE(SUBSTITUTE(B26,"?","~?"),"*","~*")))</f>
        <v/>
      </c>
      <c r="H26">
        <f>IF(B26="","",IFERROR(ROUND(AVERAGEIFS('Keyword Map'!$P$3:$P$1002,'Keyword Map'!$G$3:$G$1002,SUBSTITUTE(SUBSTITUTE(B26,"?","~?"),"*","~*")),0),""))</f>
        <v/>
      </c>
      <c r="I26">
        <f>IF(B26="","",COUNTIFS('Keyword Map'!$G$3:$G$1002,SUBSTITUTE(SUBSTITUTE(B26,"?","~?"),"*","~*"),'Keyword Map'!$R$3:$R$1002,"Yes"))</f>
        <v/>
      </c>
      <c r="J26">
        <f>IF(B26="","",COUNTIFS('Keyword Map'!$G$3:$G$1002,SUBSTITUTE(SUBSTITUTE(B26,"?","~?"),"*","~*"),'Keyword Map'!$W$3:$W$1002,"Yes"))</f>
        <v/>
      </c>
      <c r="K26">
        <f>IF(B26="","",IF(F26=0,"No primary keyword",IF(F26&gt;Settings!$B$4,"Too many primary keywords",IF(I26+J26&gt;0,"Check flags","OK"))))</f>
        <v/>
      </c>
    </row>
    <row r="27">
      <c r="A27">
        <f>ROW()-2</f>
        <v/>
      </c>
      <c r="B27">
        <f>IFERROR(INDEX('Keyword Map'!$G$3:$G$1002,MATCH(A27,'Keyword Map'!$AA$3:$AA$1002,0)),"")</f>
        <v/>
      </c>
      <c r="C27">
        <f>IF(B27="","",INDEX('Keyword Map'!$I$3:$I$1002,MATCH(A27,'Keyword Map'!$AA$3:$AA$1002,0))&amp;"")</f>
        <v/>
      </c>
      <c r="D27">
        <f>IF(B27="","",INDEX('Keyword Map'!$H$3:$H$1002,MATCH(A27,'Keyword Map'!$AA$3:$AA$1002,0))&amp;"")</f>
        <v/>
      </c>
      <c r="E27">
        <f>IF(B27="","",COUNTIF('Keyword Map'!$G$3:$G$1002,SUBSTITUTE(SUBSTITUTE(B27,"?","~?"),"*","~*")))</f>
        <v/>
      </c>
      <c r="F27">
        <f>IF(B27="","",COUNTIFS('Keyword Map'!$G$3:$G$1002,SUBSTITUTE(SUBSTITUTE(B27,"?","~?"),"*","~*"),'Keyword Map'!$J$3:$J$1002,"Primary"))</f>
        <v/>
      </c>
      <c r="G27">
        <f>IF(B27="","",SUMIFS('Keyword Map'!$C$3:$C$1002,'Keyword Map'!$G$3:$G$1002,SUBSTITUTE(SUBSTITUTE(B27,"?","~?"),"*","~*")))</f>
        <v/>
      </c>
      <c r="H27">
        <f>IF(B27="","",IFERROR(ROUND(AVERAGEIFS('Keyword Map'!$P$3:$P$1002,'Keyword Map'!$G$3:$G$1002,SUBSTITUTE(SUBSTITUTE(B27,"?","~?"),"*","~*")),0),""))</f>
        <v/>
      </c>
      <c r="I27">
        <f>IF(B27="","",COUNTIFS('Keyword Map'!$G$3:$G$1002,SUBSTITUTE(SUBSTITUTE(B27,"?","~?"),"*","~*"),'Keyword Map'!$R$3:$R$1002,"Yes"))</f>
        <v/>
      </c>
      <c r="J27">
        <f>IF(B27="","",COUNTIFS('Keyword Map'!$G$3:$G$1002,SUBSTITUTE(SUBSTITUTE(B27,"?","~?"),"*","~*"),'Keyword Map'!$W$3:$W$1002,"Yes"))</f>
        <v/>
      </c>
      <c r="K27">
        <f>IF(B27="","",IF(F27=0,"No primary keyword",IF(F27&gt;Settings!$B$4,"Too many primary keywords",IF(I27+J27&gt;0,"Check flags","OK"))))</f>
        <v/>
      </c>
    </row>
    <row r="28">
      <c r="A28">
        <f>ROW()-2</f>
        <v/>
      </c>
      <c r="B28">
        <f>IFERROR(INDEX('Keyword Map'!$G$3:$G$1002,MATCH(A28,'Keyword Map'!$AA$3:$AA$1002,0)),"")</f>
        <v/>
      </c>
      <c r="C28">
        <f>IF(B28="","",INDEX('Keyword Map'!$I$3:$I$1002,MATCH(A28,'Keyword Map'!$AA$3:$AA$1002,0))&amp;"")</f>
        <v/>
      </c>
      <c r="D28">
        <f>IF(B28="","",INDEX('Keyword Map'!$H$3:$H$1002,MATCH(A28,'Keyword Map'!$AA$3:$AA$1002,0))&amp;"")</f>
        <v/>
      </c>
      <c r="E28">
        <f>IF(B28="","",COUNTIF('Keyword Map'!$G$3:$G$1002,SUBSTITUTE(SUBSTITUTE(B28,"?","~?"),"*","~*")))</f>
        <v/>
      </c>
      <c r="F28">
        <f>IF(B28="","",COUNTIFS('Keyword Map'!$G$3:$G$1002,SUBSTITUTE(SUBSTITUTE(B28,"?","~?"),"*","~*"),'Keyword Map'!$J$3:$J$1002,"Primary"))</f>
        <v/>
      </c>
      <c r="G28">
        <f>IF(B28="","",SUMIFS('Keyword Map'!$C$3:$C$1002,'Keyword Map'!$G$3:$G$1002,SUBSTITUTE(SUBSTITUTE(B28,"?","~?"),"*","~*")))</f>
        <v/>
      </c>
      <c r="H28">
        <f>IF(B28="","",IFERROR(ROUND(AVERAGEIFS('Keyword Map'!$P$3:$P$1002,'Keyword Map'!$G$3:$G$1002,SUBSTITUTE(SUBSTITUTE(B28,"?","~?"),"*","~*")),0),""))</f>
        <v/>
      </c>
      <c r="I28">
        <f>IF(B28="","",COUNTIFS('Keyword Map'!$G$3:$G$1002,SUBSTITUTE(SUBSTITUTE(B28,"?","~?"),"*","~*"),'Keyword Map'!$R$3:$R$1002,"Yes"))</f>
        <v/>
      </c>
      <c r="J28">
        <f>IF(B28="","",COUNTIFS('Keyword Map'!$G$3:$G$1002,SUBSTITUTE(SUBSTITUTE(B28,"?","~?"),"*","~*"),'Keyword Map'!$W$3:$W$1002,"Yes"))</f>
        <v/>
      </c>
      <c r="K28">
        <f>IF(B28="","",IF(F28=0,"No primary keyword",IF(F28&gt;Settings!$B$4,"Too many primary keywords",IF(I28+J28&gt;0,"Check flags","OK"))))</f>
        <v/>
      </c>
    </row>
    <row r="29">
      <c r="A29">
        <f>ROW()-2</f>
        <v/>
      </c>
      <c r="B29">
        <f>IFERROR(INDEX('Keyword Map'!$G$3:$G$1002,MATCH(A29,'Keyword Map'!$AA$3:$AA$1002,0)),"")</f>
        <v/>
      </c>
      <c r="C29">
        <f>IF(B29="","",INDEX('Keyword Map'!$I$3:$I$1002,MATCH(A29,'Keyword Map'!$AA$3:$AA$1002,0))&amp;"")</f>
        <v/>
      </c>
      <c r="D29">
        <f>IF(B29="","",INDEX('Keyword Map'!$H$3:$H$1002,MATCH(A29,'Keyword Map'!$AA$3:$AA$1002,0))&amp;"")</f>
        <v/>
      </c>
      <c r="E29">
        <f>IF(B29="","",COUNTIF('Keyword Map'!$G$3:$G$1002,SUBSTITUTE(SUBSTITUTE(B29,"?","~?"),"*","~*")))</f>
        <v/>
      </c>
      <c r="F29">
        <f>IF(B29="","",COUNTIFS('Keyword Map'!$G$3:$G$1002,SUBSTITUTE(SUBSTITUTE(B29,"?","~?"),"*","~*"),'Keyword Map'!$J$3:$J$1002,"Primary"))</f>
        <v/>
      </c>
      <c r="G29">
        <f>IF(B29="","",SUMIFS('Keyword Map'!$C$3:$C$1002,'Keyword Map'!$G$3:$G$1002,SUBSTITUTE(SUBSTITUTE(B29,"?","~?"),"*","~*")))</f>
        <v/>
      </c>
      <c r="H29">
        <f>IF(B29="","",IFERROR(ROUND(AVERAGEIFS('Keyword Map'!$P$3:$P$1002,'Keyword Map'!$G$3:$G$1002,SUBSTITUTE(SUBSTITUTE(B29,"?","~?"),"*","~*")),0),""))</f>
        <v/>
      </c>
      <c r="I29">
        <f>IF(B29="","",COUNTIFS('Keyword Map'!$G$3:$G$1002,SUBSTITUTE(SUBSTITUTE(B29,"?","~?"),"*","~*"),'Keyword Map'!$R$3:$R$1002,"Yes"))</f>
        <v/>
      </c>
      <c r="J29">
        <f>IF(B29="","",COUNTIFS('Keyword Map'!$G$3:$G$1002,SUBSTITUTE(SUBSTITUTE(B29,"?","~?"),"*","~*"),'Keyword Map'!$W$3:$W$1002,"Yes"))</f>
        <v/>
      </c>
      <c r="K29">
        <f>IF(B29="","",IF(F29=0,"No primary keyword",IF(F29&gt;Settings!$B$4,"Too many primary keywords",IF(I29+J29&gt;0,"Check flags","OK"))))</f>
        <v/>
      </c>
    </row>
    <row r="30">
      <c r="A30">
        <f>ROW()-2</f>
        <v/>
      </c>
      <c r="B30">
        <f>IFERROR(INDEX('Keyword Map'!$G$3:$G$1002,MATCH(A30,'Keyword Map'!$AA$3:$AA$1002,0)),"")</f>
        <v/>
      </c>
      <c r="C30">
        <f>IF(B30="","",INDEX('Keyword Map'!$I$3:$I$1002,MATCH(A30,'Keyword Map'!$AA$3:$AA$1002,0))&amp;"")</f>
        <v/>
      </c>
      <c r="D30">
        <f>IF(B30="","",INDEX('Keyword Map'!$H$3:$H$1002,MATCH(A30,'Keyword Map'!$AA$3:$AA$1002,0))&amp;"")</f>
        <v/>
      </c>
      <c r="E30">
        <f>IF(B30="","",COUNTIF('Keyword Map'!$G$3:$G$1002,SUBSTITUTE(SUBSTITUTE(B30,"?","~?"),"*","~*")))</f>
        <v/>
      </c>
      <c r="F30">
        <f>IF(B30="","",COUNTIFS('Keyword Map'!$G$3:$G$1002,SUBSTITUTE(SUBSTITUTE(B30,"?","~?"),"*","~*"),'Keyword Map'!$J$3:$J$1002,"Primary"))</f>
        <v/>
      </c>
      <c r="G30">
        <f>IF(B30="","",SUMIFS('Keyword Map'!$C$3:$C$1002,'Keyword Map'!$G$3:$G$1002,SUBSTITUTE(SUBSTITUTE(B30,"?","~?"),"*","~*")))</f>
        <v/>
      </c>
      <c r="H30">
        <f>IF(B30="","",IFERROR(ROUND(AVERAGEIFS('Keyword Map'!$P$3:$P$1002,'Keyword Map'!$G$3:$G$1002,SUBSTITUTE(SUBSTITUTE(B30,"?","~?"),"*","~*")),0),""))</f>
        <v/>
      </c>
      <c r="I30">
        <f>IF(B30="","",COUNTIFS('Keyword Map'!$G$3:$G$1002,SUBSTITUTE(SUBSTITUTE(B30,"?","~?"),"*","~*"),'Keyword Map'!$R$3:$R$1002,"Yes"))</f>
        <v/>
      </c>
      <c r="J30">
        <f>IF(B30="","",COUNTIFS('Keyword Map'!$G$3:$G$1002,SUBSTITUTE(SUBSTITUTE(B30,"?","~?"),"*","~*"),'Keyword Map'!$W$3:$W$1002,"Yes"))</f>
        <v/>
      </c>
      <c r="K30">
        <f>IF(B30="","",IF(F30=0,"No primary keyword",IF(F30&gt;Settings!$B$4,"Too many primary keywords",IF(I30+J30&gt;0,"Check flags","OK"))))</f>
        <v/>
      </c>
    </row>
    <row r="31">
      <c r="A31">
        <f>ROW()-2</f>
        <v/>
      </c>
      <c r="B31">
        <f>IFERROR(INDEX('Keyword Map'!$G$3:$G$1002,MATCH(A31,'Keyword Map'!$AA$3:$AA$1002,0)),"")</f>
        <v/>
      </c>
      <c r="C31">
        <f>IF(B31="","",INDEX('Keyword Map'!$I$3:$I$1002,MATCH(A31,'Keyword Map'!$AA$3:$AA$1002,0))&amp;"")</f>
        <v/>
      </c>
      <c r="D31">
        <f>IF(B31="","",INDEX('Keyword Map'!$H$3:$H$1002,MATCH(A31,'Keyword Map'!$AA$3:$AA$1002,0))&amp;"")</f>
        <v/>
      </c>
      <c r="E31">
        <f>IF(B31="","",COUNTIF('Keyword Map'!$G$3:$G$1002,SUBSTITUTE(SUBSTITUTE(B31,"?","~?"),"*","~*")))</f>
        <v/>
      </c>
      <c r="F31">
        <f>IF(B31="","",COUNTIFS('Keyword Map'!$G$3:$G$1002,SUBSTITUTE(SUBSTITUTE(B31,"?","~?"),"*","~*"),'Keyword Map'!$J$3:$J$1002,"Primary"))</f>
        <v/>
      </c>
      <c r="G31">
        <f>IF(B31="","",SUMIFS('Keyword Map'!$C$3:$C$1002,'Keyword Map'!$G$3:$G$1002,SUBSTITUTE(SUBSTITUTE(B31,"?","~?"),"*","~*")))</f>
        <v/>
      </c>
      <c r="H31">
        <f>IF(B31="","",IFERROR(ROUND(AVERAGEIFS('Keyword Map'!$P$3:$P$1002,'Keyword Map'!$G$3:$G$1002,SUBSTITUTE(SUBSTITUTE(B31,"?","~?"),"*","~*")),0),""))</f>
        <v/>
      </c>
      <c r="I31">
        <f>IF(B31="","",COUNTIFS('Keyword Map'!$G$3:$G$1002,SUBSTITUTE(SUBSTITUTE(B31,"?","~?"),"*","~*"),'Keyword Map'!$R$3:$R$1002,"Yes"))</f>
        <v/>
      </c>
      <c r="J31">
        <f>IF(B31="","",COUNTIFS('Keyword Map'!$G$3:$G$1002,SUBSTITUTE(SUBSTITUTE(B31,"?","~?"),"*","~*"),'Keyword Map'!$W$3:$W$1002,"Yes"))</f>
        <v/>
      </c>
      <c r="K31">
        <f>IF(B31="","",IF(F31=0,"No primary keyword",IF(F31&gt;Settings!$B$4,"Too many primary keywords",IF(I31+J31&gt;0,"Check flags","OK"))))</f>
        <v/>
      </c>
    </row>
    <row r="32">
      <c r="A32">
        <f>ROW()-2</f>
        <v/>
      </c>
      <c r="B32">
        <f>IFERROR(INDEX('Keyword Map'!$G$3:$G$1002,MATCH(A32,'Keyword Map'!$AA$3:$AA$1002,0)),"")</f>
        <v/>
      </c>
      <c r="C32">
        <f>IF(B32="","",INDEX('Keyword Map'!$I$3:$I$1002,MATCH(A32,'Keyword Map'!$AA$3:$AA$1002,0))&amp;"")</f>
        <v/>
      </c>
      <c r="D32">
        <f>IF(B32="","",INDEX('Keyword Map'!$H$3:$H$1002,MATCH(A32,'Keyword Map'!$AA$3:$AA$1002,0))&amp;"")</f>
        <v/>
      </c>
      <c r="E32">
        <f>IF(B32="","",COUNTIF('Keyword Map'!$G$3:$G$1002,SUBSTITUTE(SUBSTITUTE(B32,"?","~?"),"*","~*")))</f>
        <v/>
      </c>
      <c r="F32">
        <f>IF(B32="","",COUNTIFS('Keyword Map'!$G$3:$G$1002,SUBSTITUTE(SUBSTITUTE(B32,"?","~?"),"*","~*"),'Keyword Map'!$J$3:$J$1002,"Primary"))</f>
        <v/>
      </c>
      <c r="G32">
        <f>IF(B32="","",SUMIFS('Keyword Map'!$C$3:$C$1002,'Keyword Map'!$G$3:$G$1002,SUBSTITUTE(SUBSTITUTE(B32,"?","~?"),"*","~*")))</f>
        <v/>
      </c>
      <c r="H32">
        <f>IF(B32="","",IFERROR(ROUND(AVERAGEIFS('Keyword Map'!$P$3:$P$1002,'Keyword Map'!$G$3:$G$1002,SUBSTITUTE(SUBSTITUTE(B32,"?","~?"),"*","~*")),0),""))</f>
        <v/>
      </c>
      <c r="I32">
        <f>IF(B32="","",COUNTIFS('Keyword Map'!$G$3:$G$1002,SUBSTITUTE(SUBSTITUTE(B32,"?","~?"),"*","~*"),'Keyword Map'!$R$3:$R$1002,"Yes"))</f>
        <v/>
      </c>
      <c r="J32">
        <f>IF(B32="","",COUNTIFS('Keyword Map'!$G$3:$G$1002,SUBSTITUTE(SUBSTITUTE(B32,"?","~?"),"*","~*"),'Keyword Map'!$W$3:$W$1002,"Yes"))</f>
        <v/>
      </c>
      <c r="K32">
        <f>IF(B32="","",IF(F32=0,"No primary keyword",IF(F32&gt;Settings!$B$4,"Too many primary keywords",IF(I32+J32&gt;0,"Check flags","OK"))))</f>
        <v/>
      </c>
    </row>
    <row r="33">
      <c r="A33">
        <f>ROW()-2</f>
        <v/>
      </c>
      <c r="B33">
        <f>IFERROR(INDEX('Keyword Map'!$G$3:$G$1002,MATCH(A33,'Keyword Map'!$AA$3:$AA$1002,0)),"")</f>
        <v/>
      </c>
      <c r="C33">
        <f>IF(B33="","",INDEX('Keyword Map'!$I$3:$I$1002,MATCH(A33,'Keyword Map'!$AA$3:$AA$1002,0))&amp;"")</f>
        <v/>
      </c>
      <c r="D33">
        <f>IF(B33="","",INDEX('Keyword Map'!$H$3:$H$1002,MATCH(A33,'Keyword Map'!$AA$3:$AA$1002,0))&amp;"")</f>
        <v/>
      </c>
      <c r="E33">
        <f>IF(B33="","",COUNTIF('Keyword Map'!$G$3:$G$1002,SUBSTITUTE(SUBSTITUTE(B33,"?","~?"),"*","~*")))</f>
        <v/>
      </c>
      <c r="F33">
        <f>IF(B33="","",COUNTIFS('Keyword Map'!$G$3:$G$1002,SUBSTITUTE(SUBSTITUTE(B33,"?","~?"),"*","~*"),'Keyword Map'!$J$3:$J$1002,"Primary"))</f>
        <v/>
      </c>
      <c r="G33">
        <f>IF(B33="","",SUMIFS('Keyword Map'!$C$3:$C$1002,'Keyword Map'!$G$3:$G$1002,SUBSTITUTE(SUBSTITUTE(B33,"?","~?"),"*","~*")))</f>
        <v/>
      </c>
      <c r="H33">
        <f>IF(B33="","",IFERROR(ROUND(AVERAGEIFS('Keyword Map'!$P$3:$P$1002,'Keyword Map'!$G$3:$G$1002,SUBSTITUTE(SUBSTITUTE(B33,"?","~?"),"*","~*")),0),""))</f>
        <v/>
      </c>
      <c r="I33">
        <f>IF(B33="","",COUNTIFS('Keyword Map'!$G$3:$G$1002,SUBSTITUTE(SUBSTITUTE(B33,"?","~?"),"*","~*"),'Keyword Map'!$R$3:$R$1002,"Yes"))</f>
        <v/>
      </c>
      <c r="J33">
        <f>IF(B33="","",COUNTIFS('Keyword Map'!$G$3:$G$1002,SUBSTITUTE(SUBSTITUTE(B33,"?","~?"),"*","~*"),'Keyword Map'!$W$3:$W$1002,"Yes"))</f>
        <v/>
      </c>
      <c r="K33">
        <f>IF(B33="","",IF(F33=0,"No primary keyword",IF(F33&gt;Settings!$B$4,"Too many primary keywords",IF(I33+J33&gt;0,"Check flags","OK"))))</f>
        <v/>
      </c>
    </row>
    <row r="34">
      <c r="A34">
        <f>ROW()-2</f>
        <v/>
      </c>
      <c r="B34">
        <f>IFERROR(INDEX('Keyword Map'!$G$3:$G$1002,MATCH(A34,'Keyword Map'!$AA$3:$AA$1002,0)),"")</f>
        <v/>
      </c>
      <c r="C34">
        <f>IF(B34="","",INDEX('Keyword Map'!$I$3:$I$1002,MATCH(A34,'Keyword Map'!$AA$3:$AA$1002,0))&amp;"")</f>
        <v/>
      </c>
      <c r="D34">
        <f>IF(B34="","",INDEX('Keyword Map'!$H$3:$H$1002,MATCH(A34,'Keyword Map'!$AA$3:$AA$1002,0))&amp;"")</f>
        <v/>
      </c>
      <c r="E34">
        <f>IF(B34="","",COUNTIF('Keyword Map'!$G$3:$G$1002,SUBSTITUTE(SUBSTITUTE(B34,"?","~?"),"*","~*")))</f>
        <v/>
      </c>
      <c r="F34">
        <f>IF(B34="","",COUNTIFS('Keyword Map'!$G$3:$G$1002,SUBSTITUTE(SUBSTITUTE(B34,"?","~?"),"*","~*"),'Keyword Map'!$J$3:$J$1002,"Primary"))</f>
        <v/>
      </c>
      <c r="G34">
        <f>IF(B34="","",SUMIFS('Keyword Map'!$C$3:$C$1002,'Keyword Map'!$G$3:$G$1002,SUBSTITUTE(SUBSTITUTE(B34,"?","~?"),"*","~*")))</f>
        <v/>
      </c>
      <c r="H34">
        <f>IF(B34="","",IFERROR(ROUND(AVERAGEIFS('Keyword Map'!$P$3:$P$1002,'Keyword Map'!$G$3:$G$1002,SUBSTITUTE(SUBSTITUTE(B34,"?","~?"),"*","~*")),0),""))</f>
        <v/>
      </c>
      <c r="I34">
        <f>IF(B34="","",COUNTIFS('Keyword Map'!$G$3:$G$1002,SUBSTITUTE(SUBSTITUTE(B34,"?","~?"),"*","~*"),'Keyword Map'!$R$3:$R$1002,"Yes"))</f>
        <v/>
      </c>
      <c r="J34">
        <f>IF(B34="","",COUNTIFS('Keyword Map'!$G$3:$G$1002,SUBSTITUTE(SUBSTITUTE(B34,"?","~?"),"*","~*"),'Keyword Map'!$W$3:$W$1002,"Yes"))</f>
        <v/>
      </c>
      <c r="K34">
        <f>IF(B34="","",IF(F34=0,"No primary keyword",IF(F34&gt;Settings!$B$4,"Too many primary keywords",IF(I34+J34&gt;0,"Check flags","OK"))))</f>
        <v/>
      </c>
    </row>
    <row r="35">
      <c r="A35">
        <f>ROW()-2</f>
        <v/>
      </c>
      <c r="B35">
        <f>IFERROR(INDEX('Keyword Map'!$G$3:$G$1002,MATCH(A35,'Keyword Map'!$AA$3:$AA$1002,0)),"")</f>
        <v/>
      </c>
      <c r="C35">
        <f>IF(B35="","",INDEX('Keyword Map'!$I$3:$I$1002,MATCH(A35,'Keyword Map'!$AA$3:$AA$1002,0))&amp;"")</f>
        <v/>
      </c>
      <c r="D35">
        <f>IF(B35="","",INDEX('Keyword Map'!$H$3:$H$1002,MATCH(A35,'Keyword Map'!$AA$3:$AA$1002,0))&amp;"")</f>
        <v/>
      </c>
      <c r="E35">
        <f>IF(B35="","",COUNTIF('Keyword Map'!$G$3:$G$1002,SUBSTITUTE(SUBSTITUTE(B35,"?","~?"),"*","~*")))</f>
        <v/>
      </c>
      <c r="F35">
        <f>IF(B35="","",COUNTIFS('Keyword Map'!$G$3:$G$1002,SUBSTITUTE(SUBSTITUTE(B35,"?","~?"),"*","~*"),'Keyword Map'!$J$3:$J$1002,"Primary"))</f>
        <v/>
      </c>
      <c r="G35">
        <f>IF(B35="","",SUMIFS('Keyword Map'!$C$3:$C$1002,'Keyword Map'!$G$3:$G$1002,SUBSTITUTE(SUBSTITUTE(B35,"?","~?"),"*","~*")))</f>
        <v/>
      </c>
      <c r="H35">
        <f>IF(B35="","",IFERROR(ROUND(AVERAGEIFS('Keyword Map'!$P$3:$P$1002,'Keyword Map'!$G$3:$G$1002,SUBSTITUTE(SUBSTITUTE(B35,"?","~?"),"*","~*")),0),""))</f>
        <v/>
      </c>
      <c r="I35">
        <f>IF(B35="","",COUNTIFS('Keyword Map'!$G$3:$G$1002,SUBSTITUTE(SUBSTITUTE(B35,"?","~?"),"*","~*"),'Keyword Map'!$R$3:$R$1002,"Yes"))</f>
        <v/>
      </c>
      <c r="J35">
        <f>IF(B35="","",COUNTIFS('Keyword Map'!$G$3:$G$1002,SUBSTITUTE(SUBSTITUTE(B35,"?","~?"),"*","~*"),'Keyword Map'!$W$3:$W$1002,"Yes"))</f>
        <v/>
      </c>
      <c r="K35">
        <f>IF(B35="","",IF(F35=0,"No primary keyword",IF(F35&gt;Settings!$B$4,"Too many primary keywords",IF(I35+J35&gt;0,"Check flags","OK"))))</f>
        <v/>
      </c>
    </row>
    <row r="36">
      <c r="A36">
        <f>ROW()-2</f>
        <v/>
      </c>
      <c r="B36">
        <f>IFERROR(INDEX('Keyword Map'!$G$3:$G$1002,MATCH(A36,'Keyword Map'!$AA$3:$AA$1002,0)),"")</f>
        <v/>
      </c>
      <c r="C36">
        <f>IF(B36="","",INDEX('Keyword Map'!$I$3:$I$1002,MATCH(A36,'Keyword Map'!$AA$3:$AA$1002,0))&amp;"")</f>
        <v/>
      </c>
      <c r="D36">
        <f>IF(B36="","",INDEX('Keyword Map'!$H$3:$H$1002,MATCH(A36,'Keyword Map'!$AA$3:$AA$1002,0))&amp;"")</f>
        <v/>
      </c>
      <c r="E36">
        <f>IF(B36="","",COUNTIF('Keyword Map'!$G$3:$G$1002,SUBSTITUTE(SUBSTITUTE(B36,"?","~?"),"*","~*")))</f>
        <v/>
      </c>
      <c r="F36">
        <f>IF(B36="","",COUNTIFS('Keyword Map'!$G$3:$G$1002,SUBSTITUTE(SUBSTITUTE(B36,"?","~?"),"*","~*"),'Keyword Map'!$J$3:$J$1002,"Primary"))</f>
        <v/>
      </c>
      <c r="G36">
        <f>IF(B36="","",SUMIFS('Keyword Map'!$C$3:$C$1002,'Keyword Map'!$G$3:$G$1002,SUBSTITUTE(SUBSTITUTE(B36,"?","~?"),"*","~*")))</f>
        <v/>
      </c>
      <c r="H36">
        <f>IF(B36="","",IFERROR(ROUND(AVERAGEIFS('Keyword Map'!$P$3:$P$1002,'Keyword Map'!$G$3:$G$1002,SUBSTITUTE(SUBSTITUTE(B36,"?","~?"),"*","~*")),0),""))</f>
        <v/>
      </c>
      <c r="I36">
        <f>IF(B36="","",COUNTIFS('Keyword Map'!$G$3:$G$1002,SUBSTITUTE(SUBSTITUTE(B36,"?","~?"),"*","~*"),'Keyword Map'!$R$3:$R$1002,"Yes"))</f>
        <v/>
      </c>
      <c r="J36">
        <f>IF(B36="","",COUNTIFS('Keyword Map'!$G$3:$G$1002,SUBSTITUTE(SUBSTITUTE(B36,"?","~?"),"*","~*"),'Keyword Map'!$W$3:$W$1002,"Yes"))</f>
        <v/>
      </c>
      <c r="K36">
        <f>IF(B36="","",IF(F36=0,"No primary keyword",IF(F36&gt;Settings!$B$4,"Too many primary keywords",IF(I36+J36&gt;0,"Check flags","OK"))))</f>
        <v/>
      </c>
    </row>
    <row r="37">
      <c r="A37">
        <f>ROW()-2</f>
        <v/>
      </c>
      <c r="B37">
        <f>IFERROR(INDEX('Keyword Map'!$G$3:$G$1002,MATCH(A37,'Keyword Map'!$AA$3:$AA$1002,0)),"")</f>
        <v/>
      </c>
      <c r="C37">
        <f>IF(B37="","",INDEX('Keyword Map'!$I$3:$I$1002,MATCH(A37,'Keyword Map'!$AA$3:$AA$1002,0))&amp;"")</f>
        <v/>
      </c>
      <c r="D37">
        <f>IF(B37="","",INDEX('Keyword Map'!$H$3:$H$1002,MATCH(A37,'Keyword Map'!$AA$3:$AA$1002,0))&amp;"")</f>
        <v/>
      </c>
      <c r="E37">
        <f>IF(B37="","",COUNTIF('Keyword Map'!$G$3:$G$1002,SUBSTITUTE(SUBSTITUTE(B37,"?","~?"),"*","~*")))</f>
        <v/>
      </c>
      <c r="F37">
        <f>IF(B37="","",COUNTIFS('Keyword Map'!$G$3:$G$1002,SUBSTITUTE(SUBSTITUTE(B37,"?","~?"),"*","~*"),'Keyword Map'!$J$3:$J$1002,"Primary"))</f>
        <v/>
      </c>
      <c r="G37">
        <f>IF(B37="","",SUMIFS('Keyword Map'!$C$3:$C$1002,'Keyword Map'!$G$3:$G$1002,SUBSTITUTE(SUBSTITUTE(B37,"?","~?"),"*","~*")))</f>
        <v/>
      </c>
      <c r="H37">
        <f>IF(B37="","",IFERROR(ROUND(AVERAGEIFS('Keyword Map'!$P$3:$P$1002,'Keyword Map'!$G$3:$G$1002,SUBSTITUTE(SUBSTITUTE(B37,"?","~?"),"*","~*")),0),""))</f>
        <v/>
      </c>
      <c r="I37">
        <f>IF(B37="","",COUNTIFS('Keyword Map'!$G$3:$G$1002,SUBSTITUTE(SUBSTITUTE(B37,"?","~?"),"*","~*"),'Keyword Map'!$R$3:$R$1002,"Yes"))</f>
        <v/>
      </c>
      <c r="J37">
        <f>IF(B37="","",COUNTIFS('Keyword Map'!$G$3:$G$1002,SUBSTITUTE(SUBSTITUTE(B37,"?","~?"),"*","~*"),'Keyword Map'!$W$3:$W$1002,"Yes"))</f>
        <v/>
      </c>
      <c r="K37">
        <f>IF(B37="","",IF(F37=0,"No primary keyword",IF(F37&gt;Settings!$B$4,"Too many primary keywords",IF(I37+J37&gt;0,"Check flags","OK"))))</f>
        <v/>
      </c>
    </row>
    <row r="38">
      <c r="A38">
        <f>ROW()-2</f>
        <v/>
      </c>
      <c r="B38">
        <f>IFERROR(INDEX('Keyword Map'!$G$3:$G$1002,MATCH(A38,'Keyword Map'!$AA$3:$AA$1002,0)),"")</f>
        <v/>
      </c>
      <c r="C38">
        <f>IF(B38="","",INDEX('Keyword Map'!$I$3:$I$1002,MATCH(A38,'Keyword Map'!$AA$3:$AA$1002,0))&amp;"")</f>
        <v/>
      </c>
      <c r="D38">
        <f>IF(B38="","",INDEX('Keyword Map'!$H$3:$H$1002,MATCH(A38,'Keyword Map'!$AA$3:$AA$1002,0))&amp;"")</f>
        <v/>
      </c>
      <c r="E38">
        <f>IF(B38="","",COUNTIF('Keyword Map'!$G$3:$G$1002,SUBSTITUTE(SUBSTITUTE(B38,"?","~?"),"*","~*")))</f>
        <v/>
      </c>
      <c r="F38">
        <f>IF(B38="","",COUNTIFS('Keyword Map'!$G$3:$G$1002,SUBSTITUTE(SUBSTITUTE(B38,"?","~?"),"*","~*"),'Keyword Map'!$J$3:$J$1002,"Primary"))</f>
        <v/>
      </c>
      <c r="G38">
        <f>IF(B38="","",SUMIFS('Keyword Map'!$C$3:$C$1002,'Keyword Map'!$G$3:$G$1002,SUBSTITUTE(SUBSTITUTE(B38,"?","~?"),"*","~*")))</f>
        <v/>
      </c>
      <c r="H38">
        <f>IF(B38="","",IFERROR(ROUND(AVERAGEIFS('Keyword Map'!$P$3:$P$1002,'Keyword Map'!$G$3:$G$1002,SUBSTITUTE(SUBSTITUTE(B38,"?","~?"),"*","~*")),0),""))</f>
        <v/>
      </c>
      <c r="I38">
        <f>IF(B38="","",COUNTIFS('Keyword Map'!$G$3:$G$1002,SUBSTITUTE(SUBSTITUTE(B38,"?","~?"),"*","~*"),'Keyword Map'!$R$3:$R$1002,"Yes"))</f>
        <v/>
      </c>
      <c r="J38">
        <f>IF(B38="","",COUNTIFS('Keyword Map'!$G$3:$G$1002,SUBSTITUTE(SUBSTITUTE(B38,"?","~?"),"*","~*"),'Keyword Map'!$W$3:$W$1002,"Yes"))</f>
        <v/>
      </c>
      <c r="K38">
        <f>IF(B38="","",IF(F38=0,"No primary keyword",IF(F38&gt;Settings!$B$4,"Too many primary keywords",IF(I38+J38&gt;0,"Check flags","OK"))))</f>
        <v/>
      </c>
    </row>
    <row r="39">
      <c r="A39">
        <f>ROW()-2</f>
        <v/>
      </c>
      <c r="B39">
        <f>IFERROR(INDEX('Keyword Map'!$G$3:$G$1002,MATCH(A39,'Keyword Map'!$AA$3:$AA$1002,0)),"")</f>
        <v/>
      </c>
      <c r="C39">
        <f>IF(B39="","",INDEX('Keyword Map'!$I$3:$I$1002,MATCH(A39,'Keyword Map'!$AA$3:$AA$1002,0))&amp;"")</f>
        <v/>
      </c>
      <c r="D39">
        <f>IF(B39="","",INDEX('Keyword Map'!$H$3:$H$1002,MATCH(A39,'Keyword Map'!$AA$3:$AA$1002,0))&amp;"")</f>
        <v/>
      </c>
      <c r="E39">
        <f>IF(B39="","",COUNTIF('Keyword Map'!$G$3:$G$1002,SUBSTITUTE(SUBSTITUTE(B39,"?","~?"),"*","~*")))</f>
        <v/>
      </c>
      <c r="F39">
        <f>IF(B39="","",COUNTIFS('Keyword Map'!$G$3:$G$1002,SUBSTITUTE(SUBSTITUTE(B39,"?","~?"),"*","~*"),'Keyword Map'!$J$3:$J$1002,"Primary"))</f>
        <v/>
      </c>
      <c r="G39">
        <f>IF(B39="","",SUMIFS('Keyword Map'!$C$3:$C$1002,'Keyword Map'!$G$3:$G$1002,SUBSTITUTE(SUBSTITUTE(B39,"?","~?"),"*","~*")))</f>
        <v/>
      </c>
      <c r="H39">
        <f>IF(B39="","",IFERROR(ROUND(AVERAGEIFS('Keyword Map'!$P$3:$P$1002,'Keyword Map'!$G$3:$G$1002,SUBSTITUTE(SUBSTITUTE(B39,"?","~?"),"*","~*")),0),""))</f>
        <v/>
      </c>
      <c r="I39">
        <f>IF(B39="","",COUNTIFS('Keyword Map'!$G$3:$G$1002,SUBSTITUTE(SUBSTITUTE(B39,"?","~?"),"*","~*"),'Keyword Map'!$R$3:$R$1002,"Yes"))</f>
        <v/>
      </c>
      <c r="J39">
        <f>IF(B39="","",COUNTIFS('Keyword Map'!$G$3:$G$1002,SUBSTITUTE(SUBSTITUTE(B39,"?","~?"),"*","~*"),'Keyword Map'!$W$3:$W$1002,"Yes"))</f>
        <v/>
      </c>
      <c r="K39">
        <f>IF(B39="","",IF(F39=0,"No primary keyword",IF(F39&gt;Settings!$B$4,"Too many primary keywords",IF(I39+J39&gt;0,"Check flags","OK"))))</f>
        <v/>
      </c>
    </row>
    <row r="40">
      <c r="A40">
        <f>ROW()-2</f>
        <v/>
      </c>
      <c r="B40">
        <f>IFERROR(INDEX('Keyword Map'!$G$3:$G$1002,MATCH(A40,'Keyword Map'!$AA$3:$AA$1002,0)),"")</f>
        <v/>
      </c>
      <c r="C40">
        <f>IF(B40="","",INDEX('Keyword Map'!$I$3:$I$1002,MATCH(A40,'Keyword Map'!$AA$3:$AA$1002,0))&amp;"")</f>
        <v/>
      </c>
      <c r="D40">
        <f>IF(B40="","",INDEX('Keyword Map'!$H$3:$H$1002,MATCH(A40,'Keyword Map'!$AA$3:$AA$1002,0))&amp;"")</f>
        <v/>
      </c>
      <c r="E40">
        <f>IF(B40="","",COUNTIF('Keyword Map'!$G$3:$G$1002,SUBSTITUTE(SUBSTITUTE(B40,"?","~?"),"*","~*")))</f>
        <v/>
      </c>
      <c r="F40">
        <f>IF(B40="","",COUNTIFS('Keyword Map'!$G$3:$G$1002,SUBSTITUTE(SUBSTITUTE(B40,"?","~?"),"*","~*"),'Keyword Map'!$J$3:$J$1002,"Primary"))</f>
        <v/>
      </c>
      <c r="G40">
        <f>IF(B40="","",SUMIFS('Keyword Map'!$C$3:$C$1002,'Keyword Map'!$G$3:$G$1002,SUBSTITUTE(SUBSTITUTE(B40,"?","~?"),"*","~*")))</f>
        <v/>
      </c>
      <c r="H40">
        <f>IF(B40="","",IFERROR(ROUND(AVERAGEIFS('Keyword Map'!$P$3:$P$1002,'Keyword Map'!$G$3:$G$1002,SUBSTITUTE(SUBSTITUTE(B40,"?","~?"),"*","~*")),0),""))</f>
        <v/>
      </c>
      <c r="I40">
        <f>IF(B40="","",COUNTIFS('Keyword Map'!$G$3:$G$1002,SUBSTITUTE(SUBSTITUTE(B40,"?","~?"),"*","~*"),'Keyword Map'!$R$3:$R$1002,"Yes"))</f>
        <v/>
      </c>
      <c r="J40">
        <f>IF(B40="","",COUNTIFS('Keyword Map'!$G$3:$G$1002,SUBSTITUTE(SUBSTITUTE(B40,"?","~?"),"*","~*"),'Keyword Map'!$W$3:$W$1002,"Yes"))</f>
        <v/>
      </c>
      <c r="K40">
        <f>IF(B40="","",IF(F40=0,"No primary keyword",IF(F40&gt;Settings!$B$4,"Too many primary keywords",IF(I40+J40&gt;0,"Check flags","OK"))))</f>
        <v/>
      </c>
    </row>
    <row r="41">
      <c r="A41">
        <f>ROW()-2</f>
        <v/>
      </c>
      <c r="B41">
        <f>IFERROR(INDEX('Keyword Map'!$G$3:$G$1002,MATCH(A41,'Keyword Map'!$AA$3:$AA$1002,0)),"")</f>
        <v/>
      </c>
      <c r="C41">
        <f>IF(B41="","",INDEX('Keyword Map'!$I$3:$I$1002,MATCH(A41,'Keyword Map'!$AA$3:$AA$1002,0))&amp;"")</f>
        <v/>
      </c>
      <c r="D41">
        <f>IF(B41="","",INDEX('Keyword Map'!$H$3:$H$1002,MATCH(A41,'Keyword Map'!$AA$3:$AA$1002,0))&amp;"")</f>
        <v/>
      </c>
      <c r="E41">
        <f>IF(B41="","",COUNTIF('Keyword Map'!$G$3:$G$1002,SUBSTITUTE(SUBSTITUTE(B41,"?","~?"),"*","~*")))</f>
        <v/>
      </c>
      <c r="F41">
        <f>IF(B41="","",COUNTIFS('Keyword Map'!$G$3:$G$1002,SUBSTITUTE(SUBSTITUTE(B41,"?","~?"),"*","~*"),'Keyword Map'!$J$3:$J$1002,"Primary"))</f>
        <v/>
      </c>
      <c r="G41">
        <f>IF(B41="","",SUMIFS('Keyword Map'!$C$3:$C$1002,'Keyword Map'!$G$3:$G$1002,SUBSTITUTE(SUBSTITUTE(B41,"?","~?"),"*","~*")))</f>
        <v/>
      </c>
      <c r="H41">
        <f>IF(B41="","",IFERROR(ROUND(AVERAGEIFS('Keyword Map'!$P$3:$P$1002,'Keyword Map'!$G$3:$G$1002,SUBSTITUTE(SUBSTITUTE(B41,"?","~?"),"*","~*")),0),""))</f>
        <v/>
      </c>
      <c r="I41">
        <f>IF(B41="","",COUNTIFS('Keyword Map'!$G$3:$G$1002,SUBSTITUTE(SUBSTITUTE(B41,"?","~?"),"*","~*"),'Keyword Map'!$R$3:$R$1002,"Yes"))</f>
        <v/>
      </c>
      <c r="J41">
        <f>IF(B41="","",COUNTIFS('Keyword Map'!$G$3:$G$1002,SUBSTITUTE(SUBSTITUTE(B41,"?","~?"),"*","~*"),'Keyword Map'!$W$3:$W$1002,"Yes"))</f>
        <v/>
      </c>
      <c r="K41">
        <f>IF(B41="","",IF(F41=0,"No primary keyword",IF(F41&gt;Settings!$B$4,"Too many primary keywords",IF(I41+J41&gt;0,"Check flags","OK"))))</f>
        <v/>
      </c>
    </row>
    <row r="42">
      <c r="A42">
        <f>ROW()-2</f>
        <v/>
      </c>
      <c r="B42">
        <f>IFERROR(INDEX('Keyword Map'!$G$3:$G$1002,MATCH(A42,'Keyword Map'!$AA$3:$AA$1002,0)),"")</f>
        <v/>
      </c>
      <c r="C42">
        <f>IF(B42="","",INDEX('Keyword Map'!$I$3:$I$1002,MATCH(A42,'Keyword Map'!$AA$3:$AA$1002,0))&amp;"")</f>
        <v/>
      </c>
      <c r="D42">
        <f>IF(B42="","",INDEX('Keyword Map'!$H$3:$H$1002,MATCH(A42,'Keyword Map'!$AA$3:$AA$1002,0))&amp;"")</f>
        <v/>
      </c>
      <c r="E42">
        <f>IF(B42="","",COUNTIF('Keyword Map'!$G$3:$G$1002,SUBSTITUTE(SUBSTITUTE(B42,"?","~?"),"*","~*")))</f>
        <v/>
      </c>
      <c r="F42">
        <f>IF(B42="","",COUNTIFS('Keyword Map'!$G$3:$G$1002,SUBSTITUTE(SUBSTITUTE(B42,"?","~?"),"*","~*"),'Keyword Map'!$J$3:$J$1002,"Primary"))</f>
        <v/>
      </c>
      <c r="G42">
        <f>IF(B42="","",SUMIFS('Keyword Map'!$C$3:$C$1002,'Keyword Map'!$G$3:$G$1002,SUBSTITUTE(SUBSTITUTE(B42,"?","~?"),"*","~*")))</f>
        <v/>
      </c>
      <c r="H42">
        <f>IF(B42="","",IFERROR(ROUND(AVERAGEIFS('Keyword Map'!$P$3:$P$1002,'Keyword Map'!$G$3:$G$1002,SUBSTITUTE(SUBSTITUTE(B42,"?","~?"),"*","~*")),0),""))</f>
        <v/>
      </c>
      <c r="I42">
        <f>IF(B42="","",COUNTIFS('Keyword Map'!$G$3:$G$1002,SUBSTITUTE(SUBSTITUTE(B42,"?","~?"),"*","~*"),'Keyword Map'!$R$3:$R$1002,"Yes"))</f>
        <v/>
      </c>
      <c r="J42">
        <f>IF(B42="","",COUNTIFS('Keyword Map'!$G$3:$G$1002,SUBSTITUTE(SUBSTITUTE(B42,"?","~?"),"*","~*"),'Keyword Map'!$W$3:$W$1002,"Yes"))</f>
        <v/>
      </c>
      <c r="K42">
        <f>IF(B42="","",IF(F42=0,"No primary keyword",IF(F42&gt;Settings!$B$4,"Too many primary keywords",IF(I42+J42&gt;0,"Check flags","OK"))))</f>
        <v/>
      </c>
    </row>
    <row r="43">
      <c r="A43">
        <f>ROW()-2</f>
        <v/>
      </c>
      <c r="B43">
        <f>IFERROR(INDEX('Keyword Map'!$G$3:$G$1002,MATCH(A43,'Keyword Map'!$AA$3:$AA$1002,0)),"")</f>
        <v/>
      </c>
      <c r="C43">
        <f>IF(B43="","",INDEX('Keyword Map'!$I$3:$I$1002,MATCH(A43,'Keyword Map'!$AA$3:$AA$1002,0))&amp;"")</f>
        <v/>
      </c>
      <c r="D43">
        <f>IF(B43="","",INDEX('Keyword Map'!$H$3:$H$1002,MATCH(A43,'Keyword Map'!$AA$3:$AA$1002,0))&amp;"")</f>
        <v/>
      </c>
      <c r="E43">
        <f>IF(B43="","",COUNTIF('Keyword Map'!$G$3:$G$1002,SUBSTITUTE(SUBSTITUTE(B43,"?","~?"),"*","~*")))</f>
        <v/>
      </c>
      <c r="F43">
        <f>IF(B43="","",COUNTIFS('Keyword Map'!$G$3:$G$1002,SUBSTITUTE(SUBSTITUTE(B43,"?","~?"),"*","~*"),'Keyword Map'!$J$3:$J$1002,"Primary"))</f>
        <v/>
      </c>
      <c r="G43">
        <f>IF(B43="","",SUMIFS('Keyword Map'!$C$3:$C$1002,'Keyword Map'!$G$3:$G$1002,SUBSTITUTE(SUBSTITUTE(B43,"?","~?"),"*","~*")))</f>
        <v/>
      </c>
      <c r="H43">
        <f>IF(B43="","",IFERROR(ROUND(AVERAGEIFS('Keyword Map'!$P$3:$P$1002,'Keyword Map'!$G$3:$G$1002,SUBSTITUTE(SUBSTITUTE(B43,"?","~?"),"*","~*")),0),""))</f>
        <v/>
      </c>
      <c r="I43">
        <f>IF(B43="","",COUNTIFS('Keyword Map'!$G$3:$G$1002,SUBSTITUTE(SUBSTITUTE(B43,"?","~?"),"*","~*"),'Keyword Map'!$R$3:$R$1002,"Yes"))</f>
        <v/>
      </c>
      <c r="J43">
        <f>IF(B43="","",COUNTIFS('Keyword Map'!$G$3:$G$1002,SUBSTITUTE(SUBSTITUTE(B43,"?","~?"),"*","~*"),'Keyword Map'!$W$3:$W$1002,"Yes"))</f>
        <v/>
      </c>
      <c r="K43">
        <f>IF(B43="","",IF(F43=0,"No primary keyword",IF(F43&gt;Settings!$B$4,"Too many primary keywords",IF(I43+J43&gt;0,"Check flags","OK"))))</f>
        <v/>
      </c>
    </row>
    <row r="44">
      <c r="A44">
        <f>ROW()-2</f>
        <v/>
      </c>
      <c r="B44">
        <f>IFERROR(INDEX('Keyword Map'!$G$3:$G$1002,MATCH(A44,'Keyword Map'!$AA$3:$AA$1002,0)),"")</f>
        <v/>
      </c>
      <c r="C44">
        <f>IF(B44="","",INDEX('Keyword Map'!$I$3:$I$1002,MATCH(A44,'Keyword Map'!$AA$3:$AA$1002,0))&amp;"")</f>
        <v/>
      </c>
      <c r="D44">
        <f>IF(B44="","",INDEX('Keyword Map'!$H$3:$H$1002,MATCH(A44,'Keyword Map'!$AA$3:$AA$1002,0))&amp;"")</f>
        <v/>
      </c>
      <c r="E44">
        <f>IF(B44="","",COUNTIF('Keyword Map'!$G$3:$G$1002,SUBSTITUTE(SUBSTITUTE(B44,"?","~?"),"*","~*")))</f>
        <v/>
      </c>
      <c r="F44">
        <f>IF(B44="","",COUNTIFS('Keyword Map'!$G$3:$G$1002,SUBSTITUTE(SUBSTITUTE(B44,"?","~?"),"*","~*"),'Keyword Map'!$J$3:$J$1002,"Primary"))</f>
        <v/>
      </c>
      <c r="G44">
        <f>IF(B44="","",SUMIFS('Keyword Map'!$C$3:$C$1002,'Keyword Map'!$G$3:$G$1002,SUBSTITUTE(SUBSTITUTE(B44,"?","~?"),"*","~*")))</f>
        <v/>
      </c>
      <c r="H44">
        <f>IF(B44="","",IFERROR(ROUND(AVERAGEIFS('Keyword Map'!$P$3:$P$1002,'Keyword Map'!$G$3:$G$1002,SUBSTITUTE(SUBSTITUTE(B44,"?","~?"),"*","~*")),0),""))</f>
        <v/>
      </c>
      <c r="I44">
        <f>IF(B44="","",COUNTIFS('Keyword Map'!$G$3:$G$1002,SUBSTITUTE(SUBSTITUTE(B44,"?","~?"),"*","~*"),'Keyword Map'!$R$3:$R$1002,"Yes"))</f>
        <v/>
      </c>
      <c r="J44">
        <f>IF(B44="","",COUNTIFS('Keyword Map'!$G$3:$G$1002,SUBSTITUTE(SUBSTITUTE(B44,"?","~?"),"*","~*"),'Keyword Map'!$W$3:$W$1002,"Yes"))</f>
        <v/>
      </c>
      <c r="K44">
        <f>IF(B44="","",IF(F44=0,"No primary keyword",IF(F44&gt;Settings!$B$4,"Too many primary keywords",IF(I44+J44&gt;0,"Check flags","OK"))))</f>
        <v/>
      </c>
    </row>
    <row r="45">
      <c r="A45">
        <f>ROW()-2</f>
        <v/>
      </c>
      <c r="B45">
        <f>IFERROR(INDEX('Keyword Map'!$G$3:$G$1002,MATCH(A45,'Keyword Map'!$AA$3:$AA$1002,0)),"")</f>
        <v/>
      </c>
      <c r="C45">
        <f>IF(B45="","",INDEX('Keyword Map'!$I$3:$I$1002,MATCH(A45,'Keyword Map'!$AA$3:$AA$1002,0))&amp;"")</f>
        <v/>
      </c>
      <c r="D45">
        <f>IF(B45="","",INDEX('Keyword Map'!$H$3:$H$1002,MATCH(A45,'Keyword Map'!$AA$3:$AA$1002,0))&amp;"")</f>
        <v/>
      </c>
      <c r="E45">
        <f>IF(B45="","",COUNTIF('Keyword Map'!$G$3:$G$1002,SUBSTITUTE(SUBSTITUTE(B45,"?","~?"),"*","~*")))</f>
        <v/>
      </c>
      <c r="F45">
        <f>IF(B45="","",COUNTIFS('Keyword Map'!$G$3:$G$1002,SUBSTITUTE(SUBSTITUTE(B45,"?","~?"),"*","~*"),'Keyword Map'!$J$3:$J$1002,"Primary"))</f>
        <v/>
      </c>
      <c r="G45">
        <f>IF(B45="","",SUMIFS('Keyword Map'!$C$3:$C$1002,'Keyword Map'!$G$3:$G$1002,SUBSTITUTE(SUBSTITUTE(B45,"?","~?"),"*","~*")))</f>
        <v/>
      </c>
      <c r="H45">
        <f>IF(B45="","",IFERROR(ROUND(AVERAGEIFS('Keyword Map'!$P$3:$P$1002,'Keyword Map'!$G$3:$G$1002,SUBSTITUTE(SUBSTITUTE(B45,"?","~?"),"*","~*")),0),""))</f>
        <v/>
      </c>
      <c r="I45">
        <f>IF(B45="","",COUNTIFS('Keyword Map'!$G$3:$G$1002,SUBSTITUTE(SUBSTITUTE(B45,"?","~?"),"*","~*"),'Keyword Map'!$R$3:$R$1002,"Yes"))</f>
        <v/>
      </c>
      <c r="J45">
        <f>IF(B45="","",COUNTIFS('Keyword Map'!$G$3:$G$1002,SUBSTITUTE(SUBSTITUTE(B45,"?","~?"),"*","~*"),'Keyword Map'!$W$3:$W$1002,"Yes"))</f>
        <v/>
      </c>
      <c r="K45">
        <f>IF(B45="","",IF(F45=0,"No primary keyword",IF(F45&gt;Settings!$B$4,"Too many primary keywords",IF(I45+J45&gt;0,"Check flags","OK"))))</f>
        <v/>
      </c>
    </row>
    <row r="46">
      <c r="A46">
        <f>ROW()-2</f>
        <v/>
      </c>
      <c r="B46">
        <f>IFERROR(INDEX('Keyword Map'!$G$3:$G$1002,MATCH(A46,'Keyword Map'!$AA$3:$AA$1002,0)),"")</f>
        <v/>
      </c>
      <c r="C46">
        <f>IF(B46="","",INDEX('Keyword Map'!$I$3:$I$1002,MATCH(A46,'Keyword Map'!$AA$3:$AA$1002,0))&amp;"")</f>
        <v/>
      </c>
      <c r="D46">
        <f>IF(B46="","",INDEX('Keyword Map'!$H$3:$H$1002,MATCH(A46,'Keyword Map'!$AA$3:$AA$1002,0))&amp;"")</f>
        <v/>
      </c>
      <c r="E46">
        <f>IF(B46="","",COUNTIF('Keyword Map'!$G$3:$G$1002,SUBSTITUTE(SUBSTITUTE(B46,"?","~?"),"*","~*")))</f>
        <v/>
      </c>
      <c r="F46">
        <f>IF(B46="","",COUNTIFS('Keyword Map'!$G$3:$G$1002,SUBSTITUTE(SUBSTITUTE(B46,"?","~?"),"*","~*"),'Keyword Map'!$J$3:$J$1002,"Primary"))</f>
        <v/>
      </c>
      <c r="G46">
        <f>IF(B46="","",SUMIFS('Keyword Map'!$C$3:$C$1002,'Keyword Map'!$G$3:$G$1002,SUBSTITUTE(SUBSTITUTE(B46,"?","~?"),"*","~*")))</f>
        <v/>
      </c>
      <c r="H46">
        <f>IF(B46="","",IFERROR(ROUND(AVERAGEIFS('Keyword Map'!$P$3:$P$1002,'Keyword Map'!$G$3:$G$1002,SUBSTITUTE(SUBSTITUTE(B46,"?","~?"),"*","~*")),0),""))</f>
        <v/>
      </c>
      <c r="I46">
        <f>IF(B46="","",COUNTIFS('Keyword Map'!$G$3:$G$1002,SUBSTITUTE(SUBSTITUTE(B46,"?","~?"),"*","~*"),'Keyword Map'!$R$3:$R$1002,"Yes"))</f>
        <v/>
      </c>
      <c r="J46">
        <f>IF(B46="","",COUNTIFS('Keyword Map'!$G$3:$G$1002,SUBSTITUTE(SUBSTITUTE(B46,"?","~?"),"*","~*"),'Keyword Map'!$W$3:$W$1002,"Yes"))</f>
        <v/>
      </c>
      <c r="K46">
        <f>IF(B46="","",IF(F46=0,"No primary keyword",IF(F46&gt;Settings!$B$4,"Too many primary keywords",IF(I46+J46&gt;0,"Check flags","OK"))))</f>
        <v/>
      </c>
    </row>
    <row r="47">
      <c r="A47">
        <f>ROW()-2</f>
        <v/>
      </c>
      <c r="B47">
        <f>IFERROR(INDEX('Keyword Map'!$G$3:$G$1002,MATCH(A47,'Keyword Map'!$AA$3:$AA$1002,0)),"")</f>
        <v/>
      </c>
      <c r="C47">
        <f>IF(B47="","",INDEX('Keyword Map'!$I$3:$I$1002,MATCH(A47,'Keyword Map'!$AA$3:$AA$1002,0))&amp;"")</f>
        <v/>
      </c>
      <c r="D47">
        <f>IF(B47="","",INDEX('Keyword Map'!$H$3:$H$1002,MATCH(A47,'Keyword Map'!$AA$3:$AA$1002,0))&amp;"")</f>
        <v/>
      </c>
      <c r="E47">
        <f>IF(B47="","",COUNTIF('Keyword Map'!$G$3:$G$1002,SUBSTITUTE(SUBSTITUTE(B47,"?","~?"),"*","~*")))</f>
        <v/>
      </c>
      <c r="F47">
        <f>IF(B47="","",COUNTIFS('Keyword Map'!$G$3:$G$1002,SUBSTITUTE(SUBSTITUTE(B47,"?","~?"),"*","~*"),'Keyword Map'!$J$3:$J$1002,"Primary"))</f>
        <v/>
      </c>
      <c r="G47">
        <f>IF(B47="","",SUMIFS('Keyword Map'!$C$3:$C$1002,'Keyword Map'!$G$3:$G$1002,SUBSTITUTE(SUBSTITUTE(B47,"?","~?"),"*","~*")))</f>
        <v/>
      </c>
      <c r="H47">
        <f>IF(B47="","",IFERROR(ROUND(AVERAGEIFS('Keyword Map'!$P$3:$P$1002,'Keyword Map'!$G$3:$G$1002,SUBSTITUTE(SUBSTITUTE(B47,"?","~?"),"*","~*")),0),""))</f>
        <v/>
      </c>
      <c r="I47">
        <f>IF(B47="","",COUNTIFS('Keyword Map'!$G$3:$G$1002,SUBSTITUTE(SUBSTITUTE(B47,"?","~?"),"*","~*"),'Keyword Map'!$R$3:$R$1002,"Yes"))</f>
        <v/>
      </c>
      <c r="J47">
        <f>IF(B47="","",COUNTIFS('Keyword Map'!$G$3:$G$1002,SUBSTITUTE(SUBSTITUTE(B47,"?","~?"),"*","~*"),'Keyword Map'!$W$3:$W$1002,"Yes"))</f>
        <v/>
      </c>
      <c r="K47">
        <f>IF(B47="","",IF(F47=0,"No primary keyword",IF(F47&gt;Settings!$B$4,"Too many primary keywords",IF(I47+J47&gt;0,"Check flags","OK"))))</f>
        <v/>
      </c>
    </row>
    <row r="48">
      <c r="A48">
        <f>ROW()-2</f>
        <v/>
      </c>
      <c r="B48">
        <f>IFERROR(INDEX('Keyword Map'!$G$3:$G$1002,MATCH(A48,'Keyword Map'!$AA$3:$AA$1002,0)),"")</f>
        <v/>
      </c>
      <c r="C48">
        <f>IF(B48="","",INDEX('Keyword Map'!$I$3:$I$1002,MATCH(A48,'Keyword Map'!$AA$3:$AA$1002,0))&amp;"")</f>
        <v/>
      </c>
      <c r="D48">
        <f>IF(B48="","",INDEX('Keyword Map'!$H$3:$H$1002,MATCH(A48,'Keyword Map'!$AA$3:$AA$1002,0))&amp;"")</f>
        <v/>
      </c>
      <c r="E48">
        <f>IF(B48="","",COUNTIF('Keyword Map'!$G$3:$G$1002,SUBSTITUTE(SUBSTITUTE(B48,"?","~?"),"*","~*")))</f>
        <v/>
      </c>
      <c r="F48">
        <f>IF(B48="","",COUNTIFS('Keyword Map'!$G$3:$G$1002,SUBSTITUTE(SUBSTITUTE(B48,"?","~?"),"*","~*"),'Keyword Map'!$J$3:$J$1002,"Primary"))</f>
        <v/>
      </c>
      <c r="G48">
        <f>IF(B48="","",SUMIFS('Keyword Map'!$C$3:$C$1002,'Keyword Map'!$G$3:$G$1002,SUBSTITUTE(SUBSTITUTE(B48,"?","~?"),"*","~*")))</f>
        <v/>
      </c>
      <c r="H48">
        <f>IF(B48="","",IFERROR(ROUND(AVERAGEIFS('Keyword Map'!$P$3:$P$1002,'Keyword Map'!$G$3:$G$1002,SUBSTITUTE(SUBSTITUTE(B48,"?","~?"),"*","~*")),0),""))</f>
        <v/>
      </c>
      <c r="I48">
        <f>IF(B48="","",COUNTIFS('Keyword Map'!$G$3:$G$1002,SUBSTITUTE(SUBSTITUTE(B48,"?","~?"),"*","~*"),'Keyword Map'!$R$3:$R$1002,"Yes"))</f>
        <v/>
      </c>
      <c r="J48">
        <f>IF(B48="","",COUNTIFS('Keyword Map'!$G$3:$G$1002,SUBSTITUTE(SUBSTITUTE(B48,"?","~?"),"*","~*"),'Keyword Map'!$W$3:$W$1002,"Yes"))</f>
        <v/>
      </c>
      <c r="K48">
        <f>IF(B48="","",IF(F48=0,"No primary keyword",IF(F48&gt;Settings!$B$4,"Too many primary keywords",IF(I48+J48&gt;0,"Check flags","OK"))))</f>
        <v/>
      </c>
    </row>
    <row r="49">
      <c r="A49">
        <f>ROW()-2</f>
        <v/>
      </c>
      <c r="B49">
        <f>IFERROR(INDEX('Keyword Map'!$G$3:$G$1002,MATCH(A49,'Keyword Map'!$AA$3:$AA$1002,0)),"")</f>
        <v/>
      </c>
      <c r="C49">
        <f>IF(B49="","",INDEX('Keyword Map'!$I$3:$I$1002,MATCH(A49,'Keyword Map'!$AA$3:$AA$1002,0))&amp;"")</f>
        <v/>
      </c>
      <c r="D49">
        <f>IF(B49="","",INDEX('Keyword Map'!$H$3:$H$1002,MATCH(A49,'Keyword Map'!$AA$3:$AA$1002,0))&amp;"")</f>
        <v/>
      </c>
      <c r="E49">
        <f>IF(B49="","",COUNTIF('Keyword Map'!$G$3:$G$1002,SUBSTITUTE(SUBSTITUTE(B49,"?","~?"),"*","~*")))</f>
        <v/>
      </c>
      <c r="F49">
        <f>IF(B49="","",COUNTIFS('Keyword Map'!$G$3:$G$1002,SUBSTITUTE(SUBSTITUTE(B49,"?","~?"),"*","~*"),'Keyword Map'!$J$3:$J$1002,"Primary"))</f>
        <v/>
      </c>
      <c r="G49">
        <f>IF(B49="","",SUMIFS('Keyword Map'!$C$3:$C$1002,'Keyword Map'!$G$3:$G$1002,SUBSTITUTE(SUBSTITUTE(B49,"?","~?"),"*","~*")))</f>
        <v/>
      </c>
      <c r="H49">
        <f>IF(B49="","",IFERROR(ROUND(AVERAGEIFS('Keyword Map'!$P$3:$P$1002,'Keyword Map'!$G$3:$G$1002,SUBSTITUTE(SUBSTITUTE(B49,"?","~?"),"*","~*")),0),""))</f>
        <v/>
      </c>
      <c r="I49">
        <f>IF(B49="","",COUNTIFS('Keyword Map'!$G$3:$G$1002,SUBSTITUTE(SUBSTITUTE(B49,"?","~?"),"*","~*"),'Keyword Map'!$R$3:$R$1002,"Yes"))</f>
        <v/>
      </c>
      <c r="J49">
        <f>IF(B49="","",COUNTIFS('Keyword Map'!$G$3:$G$1002,SUBSTITUTE(SUBSTITUTE(B49,"?","~?"),"*","~*"),'Keyword Map'!$W$3:$W$1002,"Yes"))</f>
        <v/>
      </c>
      <c r="K49">
        <f>IF(B49="","",IF(F49=0,"No primary keyword",IF(F49&gt;Settings!$B$4,"Too many primary keywords",IF(I49+J49&gt;0,"Check flags","OK"))))</f>
        <v/>
      </c>
    </row>
    <row r="50">
      <c r="A50">
        <f>ROW()-2</f>
        <v/>
      </c>
      <c r="B50">
        <f>IFERROR(INDEX('Keyword Map'!$G$3:$G$1002,MATCH(A50,'Keyword Map'!$AA$3:$AA$1002,0)),"")</f>
        <v/>
      </c>
      <c r="C50">
        <f>IF(B50="","",INDEX('Keyword Map'!$I$3:$I$1002,MATCH(A50,'Keyword Map'!$AA$3:$AA$1002,0))&amp;"")</f>
        <v/>
      </c>
      <c r="D50">
        <f>IF(B50="","",INDEX('Keyword Map'!$H$3:$H$1002,MATCH(A50,'Keyword Map'!$AA$3:$AA$1002,0))&amp;"")</f>
        <v/>
      </c>
      <c r="E50">
        <f>IF(B50="","",COUNTIF('Keyword Map'!$G$3:$G$1002,SUBSTITUTE(SUBSTITUTE(B50,"?","~?"),"*","~*")))</f>
        <v/>
      </c>
      <c r="F50">
        <f>IF(B50="","",COUNTIFS('Keyword Map'!$G$3:$G$1002,SUBSTITUTE(SUBSTITUTE(B50,"?","~?"),"*","~*"),'Keyword Map'!$J$3:$J$1002,"Primary"))</f>
        <v/>
      </c>
      <c r="G50">
        <f>IF(B50="","",SUMIFS('Keyword Map'!$C$3:$C$1002,'Keyword Map'!$G$3:$G$1002,SUBSTITUTE(SUBSTITUTE(B50,"?","~?"),"*","~*")))</f>
        <v/>
      </c>
      <c r="H50">
        <f>IF(B50="","",IFERROR(ROUND(AVERAGEIFS('Keyword Map'!$P$3:$P$1002,'Keyword Map'!$G$3:$G$1002,SUBSTITUTE(SUBSTITUTE(B50,"?","~?"),"*","~*")),0),""))</f>
        <v/>
      </c>
      <c r="I50">
        <f>IF(B50="","",COUNTIFS('Keyword Map'!$G$3:$G$1002,SUBSTITUTE(SUBSTITUTE(B50,"?","~?"),"*","~*"),'Keyword Map'!$R$3:$R$1002,"Yes"))</f>
        <v/>
      </c>
      <c r="J50">
        <f>IF(B50="","",COUNTIFS('Keyword Map'!$G$3:$G$1002,SUBSTITUTE(SUBSTITUTE(B50,"?","~?"),"*","~*"),'Keyword Map'!$W$3:$W$1002,"Yes"))</f>
        <v/>
      </c>
      <c r="K50">
        <f>IF(B50="","",IF(F50=0,"No primary keyword",IF(F50&gt;Settings!$B$4,"Too many primary keywords",IF(I50+J50&gt;0,"Check flags","OK"))))</f>
        <v/>
      </c>
    </row>
    <row r="51">
      <c r="A51">
        <f>ROW()-2</f>
        <v/>
      </c>
      <c r="B51">
        <f>IFERROR(INDEX('Keyword Map'!$G$3:$G$1002,MATCH(A51,'Keyword Map'!$AA$3:$AA$1002,0)),"")</f>
        <v/>
      </c>
      <c r="C51">
        <f>IF(B51="","",INDEX('Keyword Map'!$I$3:$I$1002,MATCH(A51,'Keyword Map'!$AA$3:$AA$1002,0))&amp;"")</f>
        <v/>
      </c>
      <c r="D51">
        <f>IF(B51="","",INDEX('Keyword Map'!$H$3:$H$1002,MATCH(A51,'Keyword Map'!$AA$3:$AA$1002,0))&amp;"")</f>
        <v/>
      </c>
      <c r="E51">
        <f>IF(B51="","",COUNTIF('Keyword Map'!$G$3:$G$1002,SUBSTITUTE(SUBSTITUTE(B51,"?","~?"),"*","~*")))</f>
        <v/>
      </c>
      <c r="F51">
        <f>IF(B51="","",COUNTIFS('Keyword Map'!$G$3:$G$1002,SUBSTITUTE(SUBSTITUTE(B51,"?","~?"),"*","~*"),'Keyword Map'!$J$3:$J$1002,"Primary"))</f>
        <v/>
      </c>
      <c r="G51">
        <f>IF(B51="","",SUMIFS('Keyword Map'!$C$3:$C$1002,'Keyword Map'!$G$3:$G$1002,SUBSTITUTE(SUBSTITUTE(B51,"?","~?"),"*","~*")))</f>
        <v/>
      </c>
      <c r="H51">
        <f>IF(B51="","",IFERROR(ROUND(AVERAGEIFS('Keyword Map'!$P$3:$P$1002,'Keyword Map'!$G$3:$G$1002,SUBSTITUTE(SUBSTITUTE(B51,"?","~?"),"*","~*")),0),""))</f>
        <v/>
      </c>
      <c r="I51">
        <f>IF(B51="","",COUNTIFS('Keyword Map'!$G$3:$G$1002,SUBSTITUTE(SUBSTITUTE(B51,"?","~?"),"*","~*"),'Keyword Map'!$R$3:$R$1002,"Yes"))</f>
        <v/>
      </c>
      <c r="J51">
        <f>IF(B51="","",COUNTIFS('Keyword Map'!$G$3:$G$1002,SUBSTITUTE(SUBSTITUTE(B51,"?","~?"),"*","~*"),'Keyword Map'!$W$3:$W$1002,"Yes"))</f>
        <v/>
      </c>
      <c r="K51">
        <f>IF(B51="","",IF(F51=0,"No primary keyword",IF(F51&gt;Settings!$B$4,"Too many primary keywords",IF(I51+J51&gt;0,"Check flags","OK"))))</f>
        <v/>
      </c>
    </row>
    <row r="52">
      <c r="A52">
        <f>ROW()-2</f>
        <v/>
      </c>
      <c r="B52">
        <f>IFERROR(INDEX('Keyword Map'!$G$3:$G$1002,MATCH(A52,'Keyword Map'!$AA$3:$AA$1002,0)),"")</f>
        <v/>
      </c>
      <c r="C52">
        <f>IF(B52="","",INDEX('Keyword Map'!$I$3:$I$1002,MATCH(A52,'Keyword Map'!$AA$3:$AA$1002,0))&amp;"")</f>
        <v/>
      </c>
      <c r="D52">
        <f>IF(B52="","",INDEX('Keyword Map'!$H$3:$H$1002,MATCH(A52,'Keyword Map'!$AA$3:$AA$1002,0))&amp;"")</f>
        <v/>
      </c>
      <c r="E52">
        <f>IF(B52="","",COUNTIF('Keyword Map'!$G$3:$G$1002,SUBSTITUTE(SUBSTITUTE(B52,"?","~?"),"*","~*")))</f>
        <v/>
      </c>
      <c r="F52">
        <f>IF(B52="","",COUNTIFS('Keyword Map'!$G$3:$G$1002,SUBSTITUTE(SUBSTITUTE(B52,"?","~?"),"*","~*"),'Keyword Map'!$J$3:$J$1002,"Primary"))</f>
        <v/>
      </c>
      <c r="G52">
        <f>IF(B52="","",SUMIFS('Keyword Map'!$C$3:$C$1002,'Keyword Map'!$G$3:$G$1002,SUBSTITUTE(SUBSTITUTE(B52,"?","~?"),"*","~*")))</f>
        <v/>
      </c>
      <c r="H52">
        <f>IF(B52="","",IFERROR(ROUND(AVERAGEIFS('Keyword Map'!$P$3:$P$1002,'Keyword Map'!$G$3:$G$1002,SUBSTITUTE(SUBSTITUTE(B52,"?","~?"),"*","~*")),0),""))</f>
        <v/>
      </c>
      <c r="I52">
        <f>IF(B52="","",COUNTIFS('Keyword Map'!$G$3:$G$1002,SUBSTITUTE(SUBSTITUTE(B52,"?","~?"),"*","~*"),'Keyword Map'!$R$3:$R$1002,"Yes"))</f>
        <v/>
      </c>
      <c r="J52">
        <f>IF(B52="","",COUNTIFS('Keyword Map'!$G$3:$G$1002,SUBSTITUTE(SUBSTITUTE(B52,"?","~?"),"*","~*"),'Keyword Map'!$W$3:$W$1002,"Yes"))</f>
        <v/>
      </c>
      <c r="K52">
        <f>IF(B52="","",IF(F52=0,"No primary keyword",IF(F52&gt;Settings!$B$4,"Too many primary keywords",IF(I52+J52&gt;0,"Check flags","OK"))))</f>
        <v/>
      </c>
    </row>
    <row r="53">
      <c r="A53">
        <f>ROW()-2</f>
        <v/>
      </c>
      <c r="B53">
        <f>IFERROR(INDEX('Keyword Map'!$G$3:$G$1002,MATCH(A53,'Keyword Map'!$AA$3:$AA$1002,0)),"")</f>
        <v/>
      </c>
      <c r="C53">
        <f>IF(B53="","",INDEX('Keyword Map'!$I$3:$I$1002,MATCH(A53,'Keyword Map'!$AA$3:$AA$1002,0))&amp;"")</f>
        <v/>
      </c>
      <c r="D53">
        <f>IF(B53="","",INDEX('Keyword Map'!$H$3:$H$1002,MATCH(A53,'Keyword Map'!$AA$3:$AA$1002,0))&amp;"")</f>
        <v/>
      </c>
      <c r="E53">
        <f>IF(B53="","",COUNTIF('Keyword Map'!$G$3:$G$1002,SUBSTITUTE(SUBSTITUTE(B53,"?","~?"),"*","~*")))</f>
        <v/>
      </c>
      <c r="F53">
        <f>IF(B53="","",COUNTIFS('Keyword Map'!$G$3:$G$1002,SUBSTITUTE(SUBSTITUTE(B53,"?","~?"),"*","~*"),'Keyword Map'!$J$3:$J$1002,"Primary"))</f>
        <v/>
      </c>
      <c r="G53">
        <f>IF(B53="","",SUMIFS('Keyword Map'!$C$3:$C$1002,'Keyword Map'!$G$3:$G$1002,SUBSTITUTE(SUBSTITUTE(B53,"?","~?"),"*","~*")))</f>
        <v/>
      </c>
      <c r="H53">
        <f>IF(B53="","",IFERROR(ROUND(AVERAGEIFS('Keyword Map'!$P$3:$P$1002,'Keyword Map'!$G$3:$G$1002,SUBSTITUTE(SUBSTITUTE(B53,"?","~?"),"*","~*")),0),""))</f>
        <v/>
      </c>
      <c r="I53">
        <f>IF(B53="","",COUNTIFS('Keyword Map'!$G$3:$G$1002,SUBSTITUTE(SUBSTITUTE(B53,"?","~?"),"*","~*"),'Keyword Map'!$R$3:$R$1002,"Yes"))</f>
        <v/>
      </c>
      <c r="J53">
        <f>IF(B53="","",COUNTIFS('Keyword Map'!$G$3:$G$1002,SUBSTITUTE(SUBSTITUTE(B53,"?","~?"),"*","~*"),'Keyword Map'!$W$3:$W$1002,"Yes"))</f>
        <v/>
      </c>
      <c r="K53">
        <f>IF(B53="","",IF(F53=0,"No primary keyword",IF(F53&gt;Settings!$B$4,"Too many primary keywords",IF(I53+J53&gt;0,"Check flags","OK"))))</f>
        <v/>
      </c>
    </row>
    <row r="54">
      <c r="A54">
        <f>ROW()-2</f>
        <v/>
      </c>
      <c r="B54">
        <f>IFERROR(INDEX('Keyword Map'!$G$3:$G$1002,MATCH(A54,'Keyword Map'!$AA$3:$AA$1002,0)),"")</f>
        <v/>
      </c>
      <c r="C54">
        <f>IF(B54="","",INDEX('Keyword Map'!$I$3:$I$1002,MATCH(A54,'Keyword Map'!$AA$3:$AA$1002,0))&amp;"")</f>
        <v/>
      </c>
      <c r="D54">
        <f>IF(B54="","",INDEX('Keyword Map'!$H$3:$H$1002,MATCH(A54,'Keyword Map'!$AA$3:$AA$1002,0))&amp;"")</f>
        <v/>
      </c>
      <c r="E54">
        <f>IF(B54="","",COUNTIF('Keyword Map'!$G$3:$G$1002,SUBSTITUTE(SUBSTITUTE(B54,"?","~?"),"*","~*")))</f>
        <v/>
      </c>
      <c r="F54">
        <f>IF(B54="","",COUNTIFS('Keyword Map'!$G$3:$G$1002,SUBSTITUTE(SUBSTITUTE(B54,"?","~?"),"*","~*"),'Keyword Map'!$J$3:$J$1002,"Primary"))</f>
        <v/>
      </c>
      <c r="G54">
        <f>IF(B54="","",SUMIFS('Keyword Map'!$C$3:$C$1002,'Keyword Map'!$G$3:$G$1002,SUBSTITUTE(SUBSTITUTE(B54,"?","~?"),"*","~*")))</f>
        <v/>
      </c>
      <c r="H54">
        <f>IF(B54="","",IFERROR(ROUND(AVERAGEIFS('Keyword Map'!$P$3:$P$1002,'Keyword Map'!$G$3:$G$1002,SUBSTITUTE(SUBSTITUTE(B54,"?","~?"),"*","~*")),0),""))</f>
        <v/>
      </c>
      <c r="I54">
        <f>IF(B54="","",COUNTIFS('Keyword Map'!$G$3:$G$1002,SUBSTITUTE(SUBSTITUTE(B54,"?","~?"),"*","~*"),'Keyword Map'!$R$3:$R$1002,"Yes"))</f>
        <v/>
      </c>
      <c r="J54">
        <f>IF(B54="","",COUNTIFS('Keyword Map'!$G$3:$G$1002,SUBSTITUTE(SUBSTITUTE(B54,"?","~?"),"*","~*"),'Keyword Map'!$W$3:$W$1002,"Yes"))</f>
        <v/>
      </c>
      <c r="K54">
        <f>IF(B54="","",IF(F54=0,"No primary keyword",IF(F54&gt;Settings!$B$4,"Too many primary keywords",IF(I54+J54&gt;0,"Check flags","OK"))))</f>
        <v/>
      </c>
    </row>
    <row r="55">
      <c r="A55">
        <f>ROW()-2</f>
        <v/>
      </c>
      <c r="B55">
        <f>IFERROR(INDEX('Keyword Map'!$G$3:$G$1002,MATCH(A55,'Keyword Map'!$AA$3:$AA$1002,0)),"")</f>
        <v/>
      </c>
      <c r="C55">
        <f>IF(B55="","",INDEX('Keyword Map'!$I$3:$I$1002,MATCH(A55,'Keyword Map'!$AA$3:$AA$1002,0))&amp;"")</f>
        <v/>
      </c>
      <c r="D55">
        <f>IF(B55="","",INDEX('Keyword Map'!$H$3:$H$1002,MATCH(A55,'Keyword Map'!$AA$3:$AA$1002,0))&amp;"")</f>
        <v/>
      </c>
      <c r="E55">
        <f>IF(B55="","",COUNTIF('Keyword Map'!$G$3:$G$1002,SUBSTITUTE(SUBSTITUTE(B55,"?","~?"),"*","~*")))</f>
        <v/>
      </c>
      <c r="F55">
        <f>IF(B55="","",COUNTIFS('Keyword Map'!$G$3:$G$1002,SUBSTITUTE(SUBSTITUTE(B55,"?","~?"),"*","~*"),'Keyword Map'!$J$3:$J$1002,"Primary"))</f>
        <v/>
      </c>
      <c r="G55">
        <f>IF(B55="","",SUMIFS('Keyword Map'!$C$3:$C$1002,'Keyword Map'!$G$3:$G$1002,SUBSTITUTE(SUBSTITUTE(B55,"?","~?"),"*","~*")))</f>
        <v/>
      </c>
      <c r="H55">
        <f>IF(B55="","",IFERROR(ROUND(AVERAGEIFS('Keyword Map'!$P$3:$P$1002,'Keyword Map'!$G$3:$G$1002,SUBSTITUTE(SUBSTITUTE(B55,"?","~?"),"*","~*")),0),""))</f>
        <v/>
      </c>
      <c r="I55">
        <f>IF(B55="","",COUNTIFS('Keyword Map'!$G$3:$G$1002,SUBSTITUTE(SUBSTITUTE(B55,"?","~?"),"*","~*"),'Keyword Map'!$R$3:$R$1002,"Yes"))</f>
        <v/>
      </c>
      <c r="J55">
        <f>IF(B55="","",COUNTIFS('Keyword Map'!$G$3:$G$1002,SUBSTITUTE(SUBSTITUTE(B55,"?","~?"),"*","~*"),'Keyword Map'!$W$3:$W$1002,"Yes"))</f>
        <v/>
      </c>
      <c r="K55">
        <f>IF(B55="","",IF(F55=0,"No primary keyword",IF(F55&gt;Settings!$B$4,"Too many primary keywords",IF(I55+J55&gt;0,"Check flags","OK"))))</f>
        <v/>
      </c>
    </row>
    <row r="56">
      <c r="A56">
        <f>ROW()-2</f>
        <v/>
      </c>
      <c r="B56">
        <f>IFERROR(INDEX('Keyword Map'!$G$3:$G$1002,MATCH(A56,'Keyword Map'!$AA$3:$AA$1002,0)),"")</f>
        <v/>
      </c>
      <c r="C56">
        <f>IF(B56="","",INDEX('Keyword Map'!$I$3:$I$1002,MATCH(A56,'Keyword Map'!$AA$3:$AA$1002,0))&amp;"")</f>
        <v/>
      </c>
      <c r="D56">
        <f>IF(B56="","",INDEX('Keyword Map'!$H$3:$H$1002,MATCH(A56,'Keyword Map'!$AA$3:$AA$1002,0))&amp;"")</f>
        <v/>
      </c>
      <c r="E56">
        <f>IF(B56="","",COUNTIF('Keyword Map'!$G$3:$G$1002,SUBSTITUTE(SUBSTITUTE(B56,"?","~?"),"*","~*")))</f>
        <v/>
      </c>
      <c r="F56">
        <f>IF(B56="","",COUNTIFS('Keyword Map'!$G$3:$G$1002,SUBSTITUTE(SUBSTITUTE(B56,"?","~?"),"*","~*"),'Keyword Map'!$J$3:$J$1002,"Primary"))</f>
        <v/>
      </c>
      <c r="G56">
        <f>IF(B56="","",SUMIFS('Keyword Map'!$C$3:$C$1002,'Keyword Map'!$G$3:$G$1002,SUBSTITUTE(SUBSTITUTE(B56,"?","~?"),"*","~*")))</f>
        <v/>
      </c>
      <c r="H56">
        <f>IF(B56="","",IFERROR(ROUND(AVERAGEIFS('Keyword Map'!$P$3:$P$1002,'Keyword Map'!$G$3:$G$1002,SUBSTITUTE(SUBSTITUTE(B56,"?","~?"),"*","~*")),0),""))</f>
        <v/>
      </c>
      <c r="I56">
        <f>IF(B56="","",COUNTIFS('Keyword Map'!$G$3:$G$1002,SUBSTITUTE(SUBSTITUTE(B56,"?","~?"),"*","~*"),'Keyword Map'!$R$3:$R$1002,"Yes"))</f>
        <v/>
      </c>
      <c r="J56">
        <f>IF(B56="","",COUNTIFS('Keyword Map'!$G$3:$G$1002,SUBSTITUTE(SUBSTITUTE(B56,"?","~?"),"*","~*"),'Keyword Map'!$W$3:$W$1002,"Yes"))</f>
        <v/>
      </c>
      <c r="K56">
        <f>IF(B56="","",IF(F56=0,"No primary keyword",IF(F56&gt;Settings!$B$4,"Too many primary keywords",IF(I56+J56&gt;0,"Check flags","OK"))))</f>
        <v/>
      </c>
    </row>
    <row r="57">
      <c r="A57">
        <f>ROW()-2</f>
        <v/>
      </c>
      <c r="B57">
        <f>IFERROR(INDEX('Keyword Map'!$G$3:$G$1002,MATCH(A57,'Keyword Map'!$AA$3:$AA$1002,0)),"")</f>
        <v/>
      </c>
      <c r="C57">
        <f>IF(B57="","",INDEX('Keyword Map'!$I$3:$I$1002,MATCH(A57,'Keyword Map'!$AA$3:$AA$1002,0))&amp;"")</f>
        <v/>
      </c>
      <c r="D57">
        <f>IF(B57="","",INDEX('Keyword Map'!$H$3:$H$1002,MATCH(A57,'Keyword Map'!$AA$3:$AA$1002,0))&amp;"")</f>
        <v/>
      </c>
      <c r="E57">
        <f>IF(B57="","",COUNTIF('Keyword Map'!$G$3:$G$1002,SUBSTITUTE(SUBSTITUTE(B57,"?","~?"),"*","~*")))</f>
        <v/>
      </c>
      <c r="F57">
        <f>IF(B57="","",COUNTIFS('Keyword Map'!$G$3:$G$1002,SUBSTITUTE(SUBSTITUTE(B57,"?","~?"),"*","~*"),'Keyword Map'!$J$3:$J$1002,"Primary"))</f>
        <v/>
      </c>
      <c r="G57">
        <f>IF(B57="","",SUMIFS('Keyword Map'!$C$3:$C$1002,'Keyword Map'!$G$3:$G$1002,SUBSTITUTE(SUBSTITUTE(B57,"?","~?"),"*","~*")))</f>
        <v/>
      </c>
      <c r="H57">
        <f>IF(B57="","",IFERROR(ROUND(AVERAGEIFS('Keyword Map'!$P$3:$P$1002,'Keyword Map'!$G$3:$G$1002,SUBSTITUTE(SUBSTITUTE(B57,"?","~?"),"*","~*")),0),""))</f>
        <v/>
      </c>
      <c r="I57">
        <f>IF(B57="","",COUNTIFS('Keyword Map'!$G$3:$G$1002,SUBSTITUTE(SUBSTITUTE(B57,"?","~?"),"*","~*"),'Keyword Map'!$R$3:$R$1002,"Yes"))</f>
        <v/>
      </c>
      <c r="J57">
        <f>IF(B57="","",COUNTIFS('Keyword Map'!$G$3:$G$1002,SUBSTITUTE(SUBSTITUTE(B57,"?","~?"),"*","~*"),'Keyword Map'!$W$3:$W$1002,"Yes"))</f>
        <v/>
      </c>
      <c r="K57">
        <f>IF(B57="","",IF(F57=0,"No primary keyword",IF(F57&gt;Settings!$B$4,"Too many primary keywords",IF(I57+J57&gt;0,"Check flags","OK"))))</f>
        <v/>
      </c>
    </row>
    <row r="58">
      <c r="A58">
        <f>ROW()-2</f>
        <v/>
      </c>
      <c r="B58">
        <f>IFERROR(INDEX('Keyword Map'!$G$3:$G$1002,MATCH(A58,'Keyword Map'!$AA$3:$AA$1002,0)),"")</f>
        <v/>
      </c>
      <c r="C58">
        <f>IF(B58="","",INDEX('Keyword Map'!$I$3:$I$1002,MATCH(A58,'Keyword Map'!$AA$3:$AA$1002,0))&amp;"")</f>
        <v/>
      </c>
      <c r="D58">
        <f>IF(B58="","",INDEX('Keyword Map'!$H$3:$H$1002,MATCH(A58,'Keyword Map'!$AA$3:$AA$1002,0))&amp;"")</f>
        <v/>
      </c>
      <c r="E58">
        <f>IF(B58="","",COUNTIF('Keyword Map'!$G$3:$G$1002,SUBSTITUTE(SUBSTITUTE(B58,"?","~?"),"*","~*")))</f>
        <v/>
      </c>
      <c r="F58">
        <f>IF(B58="","",COUNTIFS('Keyword Map'!$G$3:$G$1002,SUBSTITUTE(SUBSTITUTE(B58,"?","~?"),"*","~*"),'Keyword Map'!$J$3:$J$1002,"Primary"))</f>
        <v/>
      </c>
      <c r="G58">
        <f>IF(B58="","",SUMIFS('Keyword Map'!$C$3:$C$1002,'Keyword Map'!$G$3:$G$1002,SUBSTITUTE(SUBSTITUTE(B58,"?","~?"),"*","~*")))</f>
        <v/>
      </c>
      <c r="H58">
        <f>IF(B58="","",IFERROR(ROUND(AVERAGEIFS('Keyword Map'!$P$3:$P$1002,'Keyword Map'!$G$3:$G$1002,SUBSTITUTE(SUBSTITUTE(B58,"?","~?"),"*","~*")),0),""))</f>
        <v/>
      </c>
      <c r="I58">
        <f>IF(B58="","",COUNTIFS('Keyword Map'!$G$3:$G$1002,SUBSTITUTE(SUBSTITUTE(B58,"?","~?"),"*","~*"),'Keyword Map'!$R$3:$R$1002,"Yes"))</f>
        <v/>
      </c>
      <c r="J58">
        <f>IF(B58="","",COUNTIFS('Keyword Map'!$G$3:$G$1002,SUBSTITUTE(SUBSTITUTE(B58,"?","~?"),"*","~*"),'Keyword Map'!$W$3:$W$1002,"Yes"))</f>
        <v/>
      </c>
      <c r="K58">
        <f>IF(B58="","",IF(F58=0,"No primary keyword",IF(F58&gt;Settings!$B$4,"Too many primary keywords",IF(I58+J58&gt;0,"Check flags","OK"))))</f>
        <v/>
      </c>
    </row>
    <row r="59">
      <c r="A59">
        <f>ROW()-2</f>
        <v/>
      </c>
      <c r="B59">
        <f>IFERROR(INDEX('Keyword Map'!$G$3:$G$1002,MATCH(A59,'Keyword Map'!$AA$3:$AA$1002,0)),"")</f>
        <v/>
      </c>
      <c r="C59">
        <f>IF(B59="","",INDEX('Keyword Map'!$I$3:$I$1002,MATCH(A59,'Keyword Map'!$AA$3:$AA$1002,0))&amp;"")</f>
        <v/>
      </c>
      <c r="D59">
        <f>IF(B59="","",INDEX('Keyword Map'!$H$3:$H$1002,MATCH(A59,'Keyword Map'!$AA$3:$AA$1002,0))&amp;"")</f>
        <v/>
      </c>
      <c r="E59">
        <f>IF(B59="","",COUNTIF('Keyword Map'!$G$3:$G$1002,SUBSTITUTE(SUBSTITUTE(B59,"?","~?"),"*","~*")))</f>
        <v/>
      </c>
      <c r="F59">
        <f>IF(B59="","",COUNTIFS('Keyword Map'!$G$3:$G$1002,SUBSTITUTE(SUBSTITUTE(B59,"?","~?"),"*","~*"),'Keyword Map'!$J$3:$J$1002,"Primary"))</f>
        <v/>
      </c>
      <c r="G59">
        <f>IF(B59="","",SUMIFS('Keyword Map'!$C$3:$C$1002,'Keyword Map'!$G$3:$G$1002,SUBSTITUTE(SUBSTITUTE(B59,"?","~?"),"*","~*")))</f>
        <v/>
      </c>
      <c r="H59">
        <f>IF(B59="","",IFERROR(ROUND(AVERAGEIFS('Keyword Map'!$P$3:$P$1002,'Keyword Map'!$G$3:$G$1002,SUBSTITUTE(SUBSTITUTE(B59,"?","~?"),"*","~*")),0),""))</f>
        <v/>
      </c>
      <c r="I59">
        <f>IF(B59="","",COUNTIFS('Keyword Map'!$G$3:$G$1002,SUBSTITUTE(SUBSTITUTE(B59,"?","~?"),"*","~*"),'Keyword Map'!$R$3:$R$1002,"Yes"))</f>
        <v/>
      </c>
      <c r="J59">
        <f>IF(B59="","",COUNTIFS('Keyword Map'!$G$3:$G$1002,SUBSTITUTE(SUBSTITUTE(B59,"?","~?"),"*","~*"),'Keyword Map'!$W$3:$W$1002,"Yes"))</f>
        <v/>
      </c>
      <c r="K59">
        <f>IF(B59="","",IF(F59=0,"No primary keyword",IF(F59&gt;Settings!$B$4,"Too many primary keywords",IF(I59+J59&gt;0,"Check flags","OK"))))</f>
        <v/>
      </c>
    </row>
    <row r="60">
      <c r="A60">
        <f>ROW()-2</f>
        <v/>
      </c>
      <c r="B60">
        <f>IFERROR(INDEX('Keyword Map'!$G$3:$G$1002,MATCH(A60,'Keyword Map'!$AA$3:$AA$1002,0)),"")</f>
        <v/>
      </c>
      <c r="C60">
        <f>IF(B60="","",INDEX('Keyword Map'!$I$3:$I$1002,MATCH(A60,'Keyword Map'!$AA$3:$AA$1002,0))&amp;"")</f>
        <v/>
      </c>
      <c r="D60">
        <f>IF(B60="","",INDEX('Keyword Map'!$H$3:$H$1002,MATCH(A60,'Keyword Map'!$AA$3:$AA$1002,0))&amp;"")</f>
        <v/>
      </c>
      <c r="E60">
        <f>IF(B60="","",COUNTIF('Keyword Map'!$G$3:$G$1002,SUBSTITUTE(SUBSTITUTE(B60,"?","~?"),"*","~*")))</f>
        <v/>
      </c>
      <c r="F60">
        <f>IF(B60="","",COUNTIFS('Keyword Map'!$G$3:$G$1002,SUBSTITUTE(SUBSTITUTE(B60,"?","~?"),"*","~*"),'Keyword Map'!$J$3:$J$1002,"Primary"))</f>
        <v/>
      </c>
      <c r="G60">
        <f>IF(B60="","",SUMIFS('Keyword Map'!$C$3:$C$1002,'Keyword Map'!$G$3:$G$1002,SUBSTITUTE(SUBSTITUTE(B60,"?","~?"),"*","~*")))</f>
        <v/>
      </c>
      <c r="H60">
        <f>IF(B60="","",IFERROR(ROUND(AVERAGEIFS('Keyword Map'!$P$3:$P$1002,'Keyword Map'!$G$3:$G$1002,SUBSTITUTE(SUBSTITUTE(B60,"?","~?"),"*","~*")),0),""))</f>
        <v/>
      </c>
      <c r="I60">
        <f>IF(B60="","",COUNTIFS('Keyword Map'!$G$3:$G$1002,SUBSTITUTE(SUBSTITUTE(B60,"?","~?"),"*","~*"),'Keyword Map'!$R$3:$R$1002,"Yes"))</f>
        <v/>
      </c>
      <c r="J60">
        <f>IF(B60="","",COUNTIFS('Keyword Map'!$G$3:$G$1002,SUBSTITUTE(SUBSTITUTE(B60,"?","~?"),"*","~*"),'Keyword Map'!$W$3:$W$1002,"Yes"))</f>
        <v/>
      </c>
      <c r="K60">
        <f>IF(B60="","",IF(F60=0,"No primary keyword",IF(F60&gt;Settings!$B$4,"Too many primary keywords",IF(I60+J60&gt;0,"Check flags","OK"))))</f>
        <v/>
      </c>
    </row>
    <row r="61">
      <c r="A61">
        <f>ROW()-2</f>
        <v/>
      </c>
      <c r="B61">
        <f>IFERROR(INDEX('Keyword Map'!$G$3:$G$1002,MATCH(A61,'Keyword Map'!$AA$3:$AA$1002,0)),"")</f>
        <v/>
      </c>
      <c r="C61">
        <f>IF(B61="","",INDEX('Keyword Map'!$I$3:$I$1002,MATCH(A61,'Keyword Map'!$AA$3:$AA$1002,0))&amp;"")</f>
        <v/>
      </c>
      <c r="D61">
        <f>IF(B61="","",INDEX('Keyword Map'!$H$3:$H$1002,MATCH(A61,'Keyword Map'!$AA$3:$AA$1002,0))&amp;"")</f>
        <v/>
      </c>
      <c r="E61">
        <f>IF(B61="","",COUNTIF('Keyword Map'!$G$3:$G$1002,SUBSTITUTE(SUBSTITUTE(B61,"?","~?"),"*","~*")))</f>
        <v/>
      </c>
      <c r="F61">
        <f>IF(B61="","",COUNTIFS('Keyword Map'!$G$3:$G$1002,SUBSTITUTE(SUBSTITUTE(B61,"?","~?"),"*","~*"),'Keyword Map'!$J$3:$J$1002,"Primary"))</f>
        <v/>
      </c>
      <c r="G61">
        <f>IF(B61="","",SUMIFS('Keyword Map'!$C$3:$C$1002,'Keyword Map'!$G$3:$G$1002,SUBSTITUTE(SUBSTITUTE(B61,"?","~?"),"*","~*")))</f>
        <v/>
      </c>
      <c r="H61">
        <f>IF(B61="","",IFERROR(ROUND(AVERAGEIFS('Keyword Map'!$P$3:$P$1002,'Keyword Map'!$G$3:$G$1002,SUBSTITUTE(SUBSTITUTE(B61,"?","~?"),"*","~*")),0),""))</f>
        <v/>
      </c>
      <c r="I61">
        <f>IF(B61="","",COUNTIFS('Keyword Map'!$G$3:$G$1002,SUBSTITUTE(SUBSTITUTE(B61,"?","~?"),"*","~*"),'Keyword Map'!$R$3:$R$1002,"Yes"))</f>
        <v/>
      </c>
      <c r="J61">
        <f>IF(B61="","",COUNTIFS('Keyword Map'!$G$3:$G$1002,SUBSTITUTE(SUBSTITUTE(B61,"?","~?"),"*","~*"),'Keyword Map'!$W$3:$W$1002,"Yes"))</f>
        <v/>
      </c>
      <c r="K61">
        <f>IF(B61="","",IF(F61=0,"No primary keyword",IF(F61&gt;Settings!$B$4,"Too many primary keywords",IF(I61+J61&gt;0,"Check flags","OK"))))</f>
        <v/>
      </c>
    </row>
    <row r="62">
      <c r="A62">
        <f>ROW()-2</f>
        <v/>
      </c>
      <c r="B62">
        <f>IFERROR(INDEX('Keyword Map'!$G$3:$G$1002,MATCH(A62,'Keyword Map'!$AA$3:$AA$1002,0)),"")</f>
        <v/>
      </c>
      <c r="C62">
        <f>IF(B62="","",INDEX('Keyword Map'!$I$3:$I$1002,MATCH(A62,'Keyword Map'!$AA$3:$AA$1002,0))&amp;"")</f>
        <v/>
      </c>
      <c r="D62">
        <f>IF(B62="","",INDEX('Keyword Map'!$H$3:$H$1002,MATCH(A62,'Keyword Map'!$AA$3:$AA$1002,0))&amp;"")</f>
        <v/>
      </c>
      <c r="E62">
        <f>IF(B62="","",COUNTIF('Keyword Map'!$G$3:$G$1002,SUBSTITUTE(SUBSTITUTE(B62,"?","~?"),"*","~*")))</f>
        <v/>
      </c>
      <c r="F62">
        <f>IF(B62="","",COUNTIFS('Keyword Map'!$G$3:$G$1002,SUBSTITUTE(SUBSTITUTE(B62,"?","~?"),"*","~*"),'Keyword Map'!$J$3:$J$1002,"Primary"))</f>
        <v/>
      </c>
      <c r="G62">
        <f>IF(B62="","",SUMIFS('Keyword Map'!$C$3:$C$1002,'Keyword Map'!$G$3:$G$1002,SUBSTITUTE(SUBSTITUTE(B62,"?","~?"),"*","~*")))</f>
        <v/>
      </c>
      <c r="H62">
        <f>IF(B62="","",IFERROR(ROUND(AVERAGEIFS('Keyword Map'!$P$3:$P$1002,'Keyword Map'!$G$3:$G$1002,SUBSTITUTE(SUBSTITUTE(B62,"?","~?"),"*","~*")),0),""))</f>
        <v/>
      </c>
      <c r="I62">
        <f>IF(B62="","",COUNTIFS('Keyword Map'!$G$3:$G$1002,SUBSTITUTE(SUBSTITUTE(B62,"?","~?"),"*","~*"),'Keyword Map'!$R$3:$R$1002,"Yes"))</f>
        <v/>
      </c>
      <c r="J62">
        <f>IF(B62="","",COUNTIFS('Keyword Map'!$G$3:$G$1002,SUBSTITUTE(SUBSTITUTE(B62,"?","~?"),"*","~*"),'Keyword Map'!$W$3:$W$1002,"Yes"))</f>
        <v/>
      </c>
      <c r="K62">
        <f>IF(B62="","",IF(F62=0,"No primary keyword",IF(F62&gt;Settings!$B$4,"Too many primary keywords",IF(I62+J62&gt;0,"Check flags","OK"))))</f>
        <v/>
      </c>
    </row>
    <row r="63">
      <c r="A63">
        <f>ROW()-2</f>
        <v/>
      </c>
      <c r="B63">
        <f>IFERROR(INDEX('Keyword Map'!$G$3:$G$1002,MATCH(A63,'Keyword Map'!$AA$3:$AA$1002,0)),"")</f>
        <v/>
      </c>
      <c r="C63">
        <f>IF(B63="","",INDEX('Keyword Map'!$I$3:$I$1002,MATCH(A63,'Keyword Map'!$AA$3:$AA$1002,0))&amp;"")</f>
        <v/>
      </c>
      <c r="D63">
        <f>IF(B63="","",INDEX('Keyword Map'!$H$3:$H$1002,MATCH(A63,'Keyword Map'!$AA$3:$AA$1002,0))&amp;"")</f>
        <v/>
      </c>
      <c r="E63">
        <f>IF(B63="","",COUNTIF('Keyword Map'!$G$3:$G$1002,SUBSTITUTE(SUBSTITUTE(B63,"?","~?"),"*","~*")))</f>
        <v/>
      </c>
      <c r="F63">
        <f>IF(B63="","",COUNTIFS('Keyword Map'!$G$3:$G$1002,SUBSTITUTE(SUBSTITUTE(B63,"?","~?"),"*","~*"),'Keyword Map'!$J$3:$J$1002,"Primary"))</f>
        <v/>
      </c>
      <c r="G63">
        <f>IF(B63="","",SUMIFS('Keyword Map'!$C$3:$C$1002,'Keyword Map'!$G$3:$G$1002,SUBSTITUTE(SUBSTITUTE(B63,"?","~?"),"*","~*")))</f>
        <v/>
      </c>
      <c r="H63">
        <f>IF(B63="","",IFERROR(ROUND(AVERAGEIFS('Keyword Map'!$P$3:$P$1002,'Keyword Map'!$G$3:$G$1002,SUBSTITUTE(SUBSTITUTE(B63,"?","~?"),"*","~*")),0),""))</f>
        <v/>
      </c>
      <c r="I63">
        <f>IF(B63="","",COUNTIFS('Keyword Map'!$G$3:$G$1002,SUBSTITUTE(SUBSTITUTE(B63,"?","~?"),"*","~*"),'Keyword Map'!$R$3:$R$1002,"Yes"))</f>
        <v/>
      </c>
      <c r="J63">
        <f>IF(B63="","",COUNTIFS('Keyword Map'!$G$3:$G$1002,SUBSTITUTE(SUBSTITUTE(B63,"?","~?"),"*","~*"),'Keyword Map'!$W$3:$W$1002,"Yes"))</f>
        <v/>
      </c>
      <c r="K63">
        <f>IF(B63="","",IF(F63=0,"No primary keyword",IF(F63&gt;Settings!$B$4,"Too many primary keywords",IF(I63+J63&gt;0,"Check flags","OK"))))</f>
        <v/>
      </c>
    </row>
    <row r="64">
      <c r="A64">
        <f>ROW()-2</f>
        <v/>
      </c>
      <c r="B64">
        <f>IFERROR(INDEX('Keyword Map'!$G$3:$G$1002,MATCH(A64,'Keyword Map'!$AA$3:$AA$1002,0)),"")</f>
        <v/>
      </c>
      <c r="C64">
        <f>IF(B64="","",INDEX('Keyword Map'!$I$3:$I$1002,MATCH(A64,'Keyword Map'!$AA$3:$AA$1002,0))&amp;"")</f>
        <v/>
      </c>
      <c r="D64">
        <f>IF(B64="","",INDEX('Keyword Map'!$H$3:$H$1002,MATCH(A64,'Keyword Map'!$AA$3:$AA$1002,0))&amp;"")</f>
        <v/>
      </c>
      <c r="E64">
        <f>IF(B64="","",COUNTIF('Keyword Map'!$G$3:$G$1002,SUBSTITUTE(SUBSTITUTE(B64,"?","~?"),"*","~*")))</f>
        <v/>
      </c>
      <c r="F64">
        <f>IF(B64="","",COUNTIFS('Keyword Map'!$G$3:$G$1002,SUBSTITUTE(SUBSTITUTE(B64,"?","~?"),"*","~*"),'Keyword Map'!$J$3:$J$1002,"Primary"))</f>
        <v/>
      </c>
      <c r="G64">
        <f>IF(B64="","",SUMIFS('Keyword Map'!$C$3:$C$1002,'Keyword Map'!$G$3:$G$1002,SUBSTITUTE(SUBSTITUTE(B64,"?","~?"),"*","~*")))</f>
        <v/>
      </c>
      <c r="H64">
        <f>IF(B64="","",IFERROR(ROUND(AVERAGEIFS('Keyword Map'!$P$3:$P$1002,'Keyword Map'!$G$3:$G$1002,SUBSTITUTE(SUBSTITUTE(B64,"?","~?"),"*","~*")),0),""))</f>
        <v/>
      </c>
      <c r="I64">
        <f>IF(B64="","",COUNTIFS('Keyword Map'!$G$3:$G$1002,SUBSTITUTE(SUBSTITUTE(B64,"?","~?"),"*","~*"),'Keyword Map'!$R$3:$R$1002,"Yes"))</f>
        <v/>
      </c>
      <c r="J64">
        <f>IF(B64="","",COUNTIFS('Keyword Map'!$G$3:$G$1002,SUBSTITUTE(SUBSTITUTE(B64,"?","~?"),"*","~*"),'Keyword Map'!$W$3:$W$1002,"Yes"))</f>
        <v/>
      </c>
      <c r="K64">
        <f>IF(B64="","",IF(F64=0,"No primary keyword",IF(F64&gt;Settings!$B$4,"Too many primary keywords",IF(I64+J64&gt;0,"Check flags","OK"))))</f>
        <v/>
      </c>
    </row>
    <row r="65">
      <c r="A65">
        <f>ROW()-2</f>
        <v/>
      </c>
      <c r="B65">
        <f>IFERROR(INDEX('Keyword Map'!$G$3:$G$1002,MATCH(A65,'Keyword Map'!$AA$3:$AA$1002,0)),"")</f>
        <v/>
      </c>
      <c r="C65">
        <f>IF(B65="","",INDEX('Keyword Map'!$I$3:$I$1002,MATCH(A65,'Keyword Map'!$AA$3:$AA$1002,0))&amp;"")</f>
        <v/>
      </c>
      <c r="D65">
        <f>IF(B65="","",INDEX('Keyword Map'!$H$3:$H$1002,MATCH(A65,'Keyword Map'!$AA$3:$AA$1002,0))&amp;"")</f>
        <v/>
      </c>
      <c r="E65">
        <f>IF(B65="","",COUNTIF('Keyword Map'!$G$3:$G$1002,SUBSTITUTE(SUBSTITUTE(B65,"?","~?"),"*","~*")))</f>
        <v/>
      </c>
      <c r="F65">
        <f>IF(B65="","",COUNTIFS('Keyword Map'!$G$3:$G$1002,SUBSTITUTE(SUBSTITUTE(B65,"?","~?"),"*","~*"),'Keyword Map'!$J$3:$J$1002,"Primary"))</f>
        <v/>
      </c>
      <c r="G65">
        <f>IF(B65="","",SUMIFS('Keyword Map'!$C$3:$C$1002,'Keyword Map'!$G$3:$G$1002,SUBSTITUTE(SUBSTITUTE(B65,"?","~?"),"*","~*")))</f>
        <v/>
      </c>
      <c r="H65">
        <f>IF(B65="","",IFERROR(ROUND(AVERAGEIFS('Keyword Map'!$P$3:$P$1002,'Keyword Map'!$G$3:$G$1002,SUBSTITUTE(SUBSTITUTE(B65,"?","~?"),"*","~*")),0),""))</f>
        <v/>
      </c>
      <c r="I65">
        <f>IF(B65="","",COUNTIFS('Keyword Map'!$G$3:$G$1002,SUBSTITUTE(SUBSTITUTE(B65,"?","~?"),"*","~*"),'Keyword Map'!$R$3:$R$1002,"Yes"))</f>
        <v/>
      </c>
      <c r="J65">
        <f>IF(B65="","",COUNTIFS('Keyword Map'!$G$3:$G$1002,SUBSTITUTE(SUBSTITUTE(B65,"?","~?"),"*","~*"),'Keyword Map'!$W$3:$W$1002,"Yes"))</f>
        <v/>
      </c>
      <c r="K65">
        <f>IF(B65="","",IF(F65=0,"No primary keyword",IF(F65&gt;Settings!$B$4,"Too many primary keywords",IF(I65+J65&gt;0,"Check flags","OK"))))</f>
        <v/>
      </c>
    </row>
    <row r="66">
      <c r="A66">
        <f>ROW()-2</f>
        <v/>
      </c>
      <c r="B66">
        <f>IFERROR(INDEX('Keyword Map'!$G$3:$G$1002,MATCH(A66,'Keyword Map'!$AA$3:$AA$1002,0)),"")</f>
        <v/>
      </c>
      <c r="C66">
        <f>IF(B66="","",INDEX('Keyword Map'!$I$3:$I$1002,MATCH(A66,'Keyword Map'!$AA$3:$AA$1002,0))&amp;"")</f>
        <v/>
      </c>
      <c r="D66">
        <f>IF(B66="","",INDEX('Keyword Map'!$H$3:$H$1002,MATCH(A66,'Keyword Map'!$AA$3:$AA$1002,0))&amp;"")</f>
        <v/>
      </c>
      <c r="E66">
        <f>IF(B66="","",COUNTIF('Keyword Map'!$G$3:$G$1002,SUBSTITUTE(SUBSTITUTE(B66,"?","~?"),"*","~*")))</f>
        <v/>
      </c>
      <c r="F66">
        <f>IF(B66="","",COUNTIFS('Keyword Map'!$G$3:$G$1002,SUBSTITUTE(SUBSTITUTE(B66,"?","~?"),"*","~*"),'Keyword Map'!$J$3:$J$1002,"Primary"))</f>
        <v/>
      </c>
      <c r="G66">
        <f>IF(B66="","",SUMIFS('Keyword Map'!$C$3:$C$1002,'Keyword Map'!$G$3:$G$1002,SUBSTITUTE(SUBSTITUTE(B66,"?","~?"),"*","~*")))</f>
        <v/>
      </c>
      <c r="H66">
        <f>IF(B66="","",IFERROR(ROUND(AVERAGEIFS('Keyword Map'!$P$3:$P$1002,'Keyword Map'!$G$3:$G$1002,SUBSTITUTE(SUBSTITUTE(B66,"?","~?"),"*","~*")),0),""))</f>
        <v/>
      </c>
      <c r="I66">
        <f>IF(B66="","",COUNTIFS('Keyword Map'!$G$3:$G$1002,SUBSTITUTE(SUBSTITUTE(B66,"?","~?"),"*","~*"),'Keyword Map'!$R$3:$R$1002,"Yes"))</f>
        <v/>
      </c>
      <c r="J66">
        <f>IF(B66="","",COUNTIFS('Keyword Map'!$G$3:$G$1002,SUBSTITUTE(SUBSTITUTE(B66,"?","~?"),"*","~*"),'Keyword Map'!$W$3:$W$1002,"Yes"))</f>
        <v/>
      </c>
      <c r="K66">
        <f>IF(B66="","",IF(F66=0,"No primary keyword",IF(F66&gt;Settings!$B$4,"Too many primary keywords",IF(I66+J66&gt;0,"Check flags","OK"))))</f>
        <v/>
      </c>
    </row>
    <row r="67">
      <c r="A67">
        <f>ROW()-2</f>
        <v/>
      </c>
      <c r="B67">
        <f>IFERROR(INDEX('Keyword Map'!$G$3:$G$1002,MATCH(A67,'Keyword Map'!$AA$3:$AA$1002,0)),"")</f>
        <v/>
      </c>
      <c r="C67">
        <f>IF(B67="","",INDEX('Keyword Map'!$I$3:$I$1002,MATCH(A67,'Keyword Map'!$AA$3:$AA$1002,0))&amp;"")</f>
        <v/>
      </c>
      <c r="D67">
        <f>IF(B67="","",INDEX('Keyword Map'!$H$3:$H$1002,MATCH(A67,'Keyword Map'!$AA$3:$AA$1002,0))&amp;"")</f>
        <v/>
      </c>
      <c r="E67">
        <f>IF(B67="","",COUNTIF('Keyword Map'!$G$3:$G$1002,SUBSTITUTE(SUBSTITUTE(B67,"?","~?"),"*","~*")))</f>
        <v/>
      </c>
      <c r="F67">
        <f>IF(B67="","",COUNTIFS('Keyword Map'!$G$3:$G$1002,SUBSTITUTE(SUBSTITUTE(B67,"?","~?"),"*","~*"),'Keyword Map'!$J$3:$J$1002,"Primary"))</f>
        <v/>
      </c>
      <c r="G67">
        <f>IF(B67="","",SUMIFS('Keyword Map'!$C$3:$C$1002,'Keyword Map'!$G$3:$G$1002,SUBSTITUTE(SUBSTITUTE(B67,"?","~?"),"*","~*")))</f>
        <v/>
      </c>
      <c r="H67">
        <f>IF(B67="","",IFERROR(ROUND(AVERAGEIFS('Keyword Map'!$P$3:$P$1002,'Keyword Map'!$G$3:$G$1002,SUBSTITUTE(SUBSTITUTE(B67,"?","~?"),"*","~*")),0),""))</f>
        <v/>
      </c>
      <c r="I67">
        <f>IF(B67="","",COUNTIFS('Keyword Map'!$G$3:$G$1002,SUBSTITUTE(SUBSTITUTE(B67,"?","~?"),"*","~*"),'Keyword Map'!$R$3:$R$1002,"Yes"))</f>
        <v/>
      </c>
      <c r="J67">
        <f>IF(B67="","",COUNTIFS('Keyword Map'!$G$3:$G$1002,SUBSTITUTE(SUBSTITUTE(B67,"?","~?"),"*","~*"),'Keyword Map'!$W$3:$W$1002,"Yes"))</f>
        <v/>
      </c>
      <c r="K67">
        <f>IF(B67="","",IF(F67=0,"No primary keyword",IF(F67&gt;Settings!$B$4,"Too many primary keywords",IF(I67+J67&gt;0,"Check flags","OK"))))</f>
        <v/>
      </c>
    </row>
    <row r="68">
      <c r="A68">
        <f>ROW()-2</f>
        <v/>
      </c>
      <c r="B68">
        <f>IFERROR(INDEX('Keyword Map'!$G$3:$G$1002,MATCH(A68,'Keyword Map'!$AA$3:$AA$1002,0)),"")</f>
        <v/>
      </c>
      <c r="C68">
        <f>IF(B68="","",INDEX('Keyword Map'!$I$3:$I$1002,MATCH(A68,'Keyword Map'!$AA$3:$AA$1002,0))&amp;"")</f>
        <v/>
      </c>
      <c r="D68">
        <f>IF(B68="","",INDEX('Keyword Map'!$H$3:$H$1002,MATCH(A68,'Keyword Map'!$AA$3:$AA$1002,0))&amp;"")</f>
        <v/>
      </c>
      <c r="E68">
        <f>IF(B68="","",COUNTIF('Keyword Map'!$G$3:$G$1002,SUBSTITUTE(SUBSTITUTE(B68,"?","~?"),"*","~*")))</f>
        <v/>
      </c>
      <c r="F68">
        <f>IF(B68="","",COUNTIFS('Keyword Map'!$G$3:$G$1002,SUBSTITUTE(SUBSTITUTE(B68,"?","~?"),"*","~*"),'Keyword Map'!$J$3:$J$1002,"Primary"))</f>
        <v/>
      </c>
      <c r="G68">
        <f>IF(B68="","",SUMIFS('Keyword Map'!$C$3:$C$1002,'Keyword Map'!$G$3:$G$1002,SUBSTITUTE(SUBSTITUTE(B68,"?","~?"),"*","~*")))</f>
        <v/>
      </c>
      <c r="H68">
        <f>IF(B68="","",IFERROR(ROUND(AVERAGEIFS('Keyword Map'!$P$3:$P$1002,'Keyword Map'!$G$3:$G$1002,SUBSTITUTE(SUBSTITUTE(B68,"?","~?"),"*","~*")),0),""))</f>
        <v/>
      </c>
      <c r="I68">
        <f>IF(B68="","",COUNTIFS('Keyword Map'!$G$3:$G$1002,SUBSTITUTE(SUBSTITUTE(B68,"?","~?"),"*","~*"),'Keyword Map'!$R$3:$R$1002,"Yes"))</f>
        <v/>
      </c>
      <c r="J68">
        <f>IF(B68="","",COUNTIFS('Keyword Map'!$G$3:$G$1002,SUBSTITUTE(SUBSTITUTE(B68,"?","~?"),"*","~*"),'Keyword Map'!$W$3:$W$1002,"Yes"))</f>
        <v/>
      </c>
      <c r="K68">
        <f>IF(B68="","",IF(F68=0,"No primary keyword",IF(F68&gt;Settings!$B$4,"Too many primary keywords",IF(I68+J68&gt;0,"Check flags","OK"))))</f>
        <v/>
      </c>
    </row>
    <row r="69">
      <c r="A69">
        <f>ROW()-2</f>
        <v/>
      </c>
      <c r="B69">
        <f>IFERROR(INDEX('Keyword Map'!$G$3:$G$1002,MATCH(A69,'Keyword Map'!$AA$3:$AA$1002,0)),"")</f>
        <v/>
      </c>
      <c r="C69">
        <f>IF(B69="","",INDEX('Keyword Map'!$I$3:$I$1002,MATCH(A69,'Keyword Map'!$AA$3:$AA$1002,0))&amp;"")</f>
        <v/>
      </c>
      <c r="D69">
        <f>IF(B69="","",INDEX('Keyword Map'!$H$3:$H$1002,MATCH(A69,'Keyword Map'!$AA$3:$AA$1002,0))&amp;"")</f>
        <v/>
      </c>
      <c r="E69">
        <f>IF(B69="","",COUNTIF('Keyword Map'!$G$3:$G$1002,SUBSTITUTE(SUBSTITUTE(B69,"?","~?"),"*","~*")))</f>
        <v/>
      </c>
      <c r="F69">
        <f>IF(B69="","",COUNTIFS('Keyword Map'!$G$3:$G$1002,SUBSTITUTE(SUBSTITUTE(B69,"?","~?"),"*","~*"),'Keyword Map'!$J$3:$J$1002,"Primary"))</f>
        <v/>
      </c>
      <c r="G69">
        <f>IF(B69="","",SUMIFS('Keyword Map'!$C$3:$C$1002,'Keyword Map'!$G$3:$G$1002,SUBSTITUTE(SUBSTITUTE(B69,"?","~?"),"*","~*")))</f>
        <v/>
      </c>
      <c r="H69">
        <f>IF(B69="","",IFERROR(ROUND(AVERAGEIFS('Keyword Map'!$P$3:$P$1002,'Keyword Map'!$G$3:$G$1002,SUBSTITUTE(SUBSTITUTE(B69,"?","~?"),"*","~*")),0),""))</f>
        <v/>
      </c>
      <c r="I69">
        <f>IF(B69="","",COUNTIFS('Keyword Map'!$G$3:$G$1002,SUBSTITUTE(SUBSTITUTE(B69,"?","~?"),"*","~*"),'Keyword Map'!$R$3:$R$1002,"Yes"))</f>
        <v/>
      </c>
      <c r="J69">
        <f>IF(B69="","",COUNTIFS('Keyword Map'!$G$3:$G$1002,SUBSTITUTE(SUBSTITUTE(B69,"?","~?"),"*","~*"),'Keyword Map'!$W$3:$W$1002,"Yes"))</f>
        <v/>
      </c>
      <c r="K69">
        <f>IF(B69="","",IF(F69=0,"No primary keyword",IF(F69&gt;Settings!$B$4,"Too many primary keywords",IF(I69+J69&gt;0,"Check flags","OK"))))</f>
        <v/>
      </c>
    </row>
    <row r="70">
      <c r="A70">
        <f>ROW()-2</f>
        <v/>
      </c>
      <c r="B70">
        <f>IFERROR(INDEX('Keyword Map'!$G$3:$G$1002,MATCH(A70,'Keyword Map'!$AA$3:$AA$1002,0)),"")</f>
        <v/>
      </c>
      <c r="C70">
        <f>IF(B70="","",INDEX('Keyword Map'!$I$3:$I$1002,MATCH(A70,'Keyword Map'!$AA$3:$AA$1002,0))&amp;"")</f>
        <v/>
      </c>
      <c r="D70">
        <f>IF(B70="","",INDEX('Keyword Map'!$H$3:$H$1002,MATCH(A70,'Keyword Map'!$AA$3:$AA$1002,0))&amp;"")</f>
        <v/>
      </c>
      <c r="E70">
        <f>IF(B70="","",COUNTIF('Keyword Map'!$G$3:$G$1002,SUBSTITUTE(SUBSTITUTE(B70,"?","~?"),"*","~*")))</f>
        <v/>
      </c>
      <c r="F70">
        <f>IF(B70="","",COUNTIFS('Keyword Map'!$G$3:$G$1002,SUBSTITUTE(SUBSTITUTE(B70,"?","~?"),"*","~*"),'Keyword Map'!$J$3:$J$1002,"Primary"))</f>
        <v/>
      </c>
      <c r="G70">
        <f>IF(B70="","",SUMIFS('Keyword Map'!$C$3:$C$1002,'Keyword Map'!$G$3:$G$1002,SUBSTITUTE(SUBSTITUTE(B70,"?","~?"),"*","~*")))</f>
        <v/>
      </c>
      <c r="H70">
        <f>IF(B70="","",IFERROR(ROUND(AVERAGEIFS('Keyword Map'!$P$3:$P$1002,'Keyword Map'!$G$3:$G$1002,SUBSTITUTE(SUBSTITUTE(B70,"?","~?"),"*","~*")),0),""))</f>
        <v/>
      </c>
      <c r="I70">
        <f>IF(B70="","",COUNTIFS('Keyword Map'!$G$3:$G$1002,SUBSTITUTE(SUBSTITUTE(B70,"?","~?"),"*","~*"),'Keyword Map'!$R$3:$R$1002,"Yes"))</f>
        <v/>
      </c>
      <c r="J70">
        <f>IF(B70="","",COUNTIFS('Keyword Map'!$G$3:$G$1002,SUBSTITUTE(SUBSTITUTE(B70,"?","~?"),"*","~*"),'Keyword Map'!$W$3:$W$1002,"Yes"))</f>
        <v/>
      </c>
      <c r="K70">
        <f>IF(B70="","",IF(F70=0,"No primary keyword",IF(F70&gt;Settings!$B$4,"Too many primary keywords",IF(I70+J70&gt;0,"Check flags","OK"))))</f>
        <v/>
      </c>
    </row>
    <row r="71">
      <c r="A71">
        <f>ROW()-2</f>
        <v/>
      </c>
      <c r="B71">
        <f>IFERROR(INDEX('Keyword Map'!$G$3:$G$1002,MATCH(A71,'Keyword Map'!$AA$3:$AA$1002,0)),"")</f>
        <v/>
      </c>
      <c r="C71">
        <f>IF(B71="","",INDEX('Keyword Map'!$I$3:$I$1002,MATCH(A71,'Keyword Map'!$AA$3:$AA$1002,0))&amp;"")</f>
        <v/>
      </c>
      <c r="D71">
        <f>IF(B71="","",INDEX('Keyword Map'!$H$3:$H$1002,MATCH(A71,'Keyword Map'!$AA$3:$AA$1002,0))&amp;"")</f>
        <v/>
      </c>
      <c r="E71">
        <f>IF(B71="","",COUNTIF('Keyword Map'!$G$3:$G$1002,SUBSTITUTE(SUBSTITUTE(B71,"?","~?"),"*","~*")))</f>
        <v/>
      </c>
      <c r="F71">
        <f>IF(B71="","",COUNTIFS('Keyword Map'!$G$3:$G$1002,SUBSTITUTE(SUBSTITUTE(B71,"?","~?"),"*","~*"),'Keyword Map'!$J$3:$J$1002,"Primary"))</f>
        <v/>
      </c>
      <c r="G71">
        <f>IF(B71="","",SUMIFS('Keyword Map'!$C$3:$C$1002,'Keyword Map'!$G$3:$G$1002,SUBSTITUTE(SUBSTITUTE(B71,"?","~?"),"*","~*")))</f>
        <v/>
      </c>
      <c r="H71">
        <f>IF(B71="","",IFERROR(ROUND(AVERAGEIFS('Keyword Map'!$P$3:$P$1002,'Keyword Map'!$G$3:$G$1002,SUBSTITUTE(SUBSTITUTE(B71,"?","~?"),"*","~*")),0),""))</f>
        <v/>
      </c>
      <c r="I71">
        <f>IF(B71="","",COUNTIFS('Keyword Map'!$G$3:$G$1002,SUBSTITUTE(SUBSTITUTE(B71,"?","~?"),"*","~*"),'Keyword Map'!$R$3:$R$1002,"Yes"))</f>
        <v/>
      </c>
      <c r="J71">
        <f>IF(B71="","",COUNTIFS('Keyword Map'!$G$3:$G$1002,SUBSTITUTE(SUBSTITUTE(B71,"?","~?"),"*","~*"),'Keyword Map'!$W$3:$W$1002,"Yes"))</f>
        <v/>
      </c>
      <c r="K71">
        <f>IF(B71="","",IF(F71=0,"No primary keyword",IF(F71&gt;Settings!$B$4,"Too many primary keywords",IF(I71+J71&gt;0,"Check flags","OK"))))</f>
        <v/>
      </c>
    </row>
    <row r="72">
      <c r="A72">
        <f>ROW()-2</f>
        <v/>
      </c>
      <c r="B72">
        <f>IFERROR(INDEX('Keyword Map'!$G$3:$G$1002,MATCH(A72,'Keyword Map'!$AA$3:$AA$1002,0)),"")</f>
        <v/>
      </c>
      <c r="C72">
        <f>IF(B72="","",INDEX('Keyword Map'!$I$3:$I$1002,MATCH(A72,'Keyword Map'!$AA$3:$AA$1002,0))&amp;"")</f>
        <v/>
      </c>
      <c r="D72">
        <f>IF(B72="","",INDEX('Keyword Map'!$H$3:$H$1002,MATCH(A72,'Keyword Map'!$AA$3:$AA$1002,0))&amp;"")</f>
        <v/>
      </c>
      <c r="E72">
        <f>IF(B72="","",COUNTIF('Keyword Map'!$G$3:$G$1002,SUBSTITUTE(SUBSTITUTE(B72,"?","~?"),"*","~*")))</f>
        <v/>
      </c>
      <c r="F72">
        <f>IF(B72="","",COUNTIFS('Keyword Map'!$G$3:$G$1002,SUBSTITUTE(SUBSTITUTE(B72,"?","~?"),"*","~*"),'Keyword Map'!$J$3:$J$1002,"Primary"))</f>
        <v/>
      </c>
      <c r="G72">
        <f>IF(B72="","",SUMIFS('Keyword Map'!$C$3:$C$1002,'Keyword Map'!$G$3:$G$1002,SUBSTITUTE(SUBSTITUTE(B72,"?","~?"),"*","~*")))</f>
        <v/>
      </c>
      <c r="H72">
        <f>IF(B72="","",IFERROR(ROUND(AVERAGEIFS('Keyword Map'!$P$3:$P$1002,'Keyword Map'!$G$3:$G$1002,SUBSTITUTE(SUBSTITUTE(B72,"?","~?"),"*","~*")),0),""))</f>
        <v/>
      </c>
      <c r="I72">
        <f>IF(B72="","",COUNTIFS('Keyword Map'!$G$3:$G$1002,SUBSTITUTE(SUBSTITUTE(B72,"?","~?"),"*","~*"),'Keyword Map'!$R$3:$R$1002,"Yes"))</f>
        <v/>
      </c>
      <c r="J72">
        <f>IF(B72="","",COUNTIFS('Keyword Map'!$G$3:$G$1002,SUBSTITUTE(SUBSTITUTE(B72,"?","~?"),"*","~*"),'Keyword Map'!$W$3:$W$1002,"Yes"))</f>
        <v/>
      </c>
      <c r="K72">
        <f>IF(B72="","",IF(F72=0,"No primary keyword",IF(F72&gt;Settings!$B$4,"Too many primary keywords",IF(I72+J72&gt;0,"Check flags","OK"))))</f>
        <v/>
      </c>
    </row>
    <row r="73">
      <c r="A73">
        <f>ROW()-2</f>
        <v/>
      </c>
      <c r="B73">
        <f>IFERROR(INDEX('Keyword Map'!$G$3:$G$1002,MATCH(A73,'Keyword Map'!$AA$3:$AA$1002,0)),"")</f>
        <v/>
      </c>
      <c r="C73">
        <f>IF(B73="","",INDEX('Keyword Map'!$I$3:$I$1002,MATCH(A73,'Keyword Map'!$AA$3:$AA$1002,0))&amp;"")</f>
        <v/>
      </c>
      <c r="D73">
        <f>IF(B73="","",INDEX('Keyword Map'!$H$3:$H$1002,MATCH(A73,'Keyword Map'!$AA$3:$AA$1002,0))&amp;"")</f>
        <v/>
      </c>
      <c r="E73">
        <f>IF(B73="","",COUNTIF('Keyword Map'!$G$3:$G$1002,SUBSTITUTE(SUBSTITUTE(B73,"?","~?"),"*","~*")))</f>
        <v/>
      </c>
      <c r="F73">
        <f>IF(B73="","",COUNTIFS('Keyword Map'!$G$3:$G$1002,SUBSTITUTE(SUBSTITUTE(B73,"?","~?"),"*","~*"),'Keyword Map'!$J$3:$J$1002,"Primary"))</f>
        <v/>
      </c>
      <c r="G73">
        <f>IF(B73="","",SUMIFS('Keyword Map'!$C$3:$C$1002,'Keyword Map'!$G$3:$G$1002,SUBSTITUTE(SUBSTITUTE(B73,"?","~?"),"*","~*")))</f>
        <v/>
      </c>
      <c r="H73">
        <f>IF(B73="","",IFERROR(ROUND(AVERAGEIFS('Keyword Map'!$P$3:$P$1002,'Keyword Map'!$G$3:$G$1002,SUBSTITUTE(SUBSTITUTE(B73,"?","~?"),"*","~*")),0),""))</f>
        <v/>
      </c>
      <c r="I73">
        <f>IF(B73="","",COUNTIFS('Keyword Map'!$G$3:$G$1002,SUBSTITUTE(SUBSTITUTE(B73,"?","~?"),"*","~*"),'Keyword Map'!$R$3:$R$1002,"Yes"))</f>
        <v/>
      </c>
      <c r="J73">
        <f>IF(B73="","",COUNTIFS('Keyword Map'!$G$3:$G$1002,SUBSTITUTE(SUBSTITUTE(B73,"?","~?"),"*","~*"),'Keyword Map'!$W$3:$W$1002,"Yes"))</f>
        <v/>
      </c>
      <c r="K73">
        <f>IF(B73="","",IF(F73=0,"No primary keyword",IF(F73&gt;Settings!$B$4,"Too many primary keywords",IF(I73+J73&gt;0,"Check flags","OK"))))</f>
        <v/>
      </c>
    </row>
    <row r="74">
      <c r="A74">
        <f>ROW()-2</f>
        <v/>
      </c>
      <c r="B74">
        <f>IFERROR(INDEX('Keyword Map'!$G$3:$G$1002,MATCH(A74,'Keyword Map'!$AA$3:$AA$1002,0)),"")</f>
        <v/>
      </c>
      <c r="C74">
        <f>IF(B74="","",INDEX('Keyword Map'!$I$3:$I$1002,MATCH(A74,'Keyword Map'!$AA$3:$AA$1002,0))&amp;"")</f>
        <v/>
      </c>
      <c r="D74">
        <f>IF(B74="","",INDEX('Keyword Map'!$H$3:$H$1002,MATCH(A74,'Keyword Map'!$AA$3:$AA$1002,0))&amp;"")</f>
        <v/>
      </c>
      <c r="E74">
        <f>IF(B74="","",COUNTIF('Keyword Map'!$G$3:$G$1002,SUBSTITUTE(SUBSTITUTE(B74,"?","~?"),"*","~*")))</f>
        <v/>
      </c>
      <c r="F74">
        <f>IF(B74="","",COUNTIFS('Keyword Map'!$G$3:$G$1002,SUBSTITUTE(SUBSTITUTE(B74,"?","~?"),"*","~*"),'Keyword Map'!$J$3:$J$1002,"Primary"))</f>
        <v/>
      </c>
      <c r="G74">
        <f>IF(B74="","",SUMIFS('Keyword Map'!$C$3:$C$1002,'Keyword Map'!$G$3:$G$1002,SUBSTITUTE(SUBSTITUTE(B74,"?","~?"),"*","~*")))</f>
        <v/>
      </c>
      <c r="H74">
        <f>IF(B74="","",IFERROR(ROUND(AVERAGEIFS('Keyword Map'!$P$3:$P$1002,'Keyword Map'!$G$3:$G$1002,SUBSTITUTE(SUBSTITUTE(B74,"?","~?"),"*","~*")),0),""))</f>
        <v/>
      </c>
      <c r="I74">
        <f>IF(B74="","",COUNTIFS('Keyword Map'!$G$3:$G$1002,SUBSTITUTE(SUBSTITUTE(B74,"?","~?"),"*","~*"),'Keyword Map'!$R$3:$R$1002,"Yes"))</f>
        <v/>
      </c>
      <c r="J74">
        <f>IF(B74="","",COUNTIFS('Keyword Map'!$G$3:$G$1002,SUBSTITUTE(SUBSTITUTE(B74,"?","~?"),"*","~*"),'Keyword Map'!$W$3:$W$1002,"Yes"))</f>
        <v/>
      </c>
      <c r="K74">
        <f>IF(B74="","",IF(F74=0,"No primary keyword",IF(F74&gt;Settings!$B$4,"Too many primary keywords",IF(I74+J74&gt;0,"Check flags","OK"))))</f>
        <v/>
      </c>
    </row>
    <row r="75">
      <c r="A75">
        <f>ROW()-2</f>
        <v/>
      </c>
      <c r="B75">
        <f>IFERROR(INDEX('Keyword Map'!$G$3:$G$1002,MATCH(A75,'Keyword Map'!$AA$3:$AA$1002,0)),"")</f>
        <v/>
      </c>
      <c r="C75">
        <f>IF(B75="","",INDEX('Keyword Map'!$I$3:$I$1002,MATCH(A75,'Keyword Map'!$AA$3:$AA$1002,0))&amp;"")</f>
        <v/>
      </c>
      <c r="D75">
        <f>IF(B75="","",INDEX('Keyword Map'!$H$3:$H$1002,MATCH(A75,'Keyword Map'!$AA$3:$AA$1002,0))&amp;"")</f>
        <v/>
      </c>
      <c r="E75">
        <f>IF(B75="","",COUNTIF('Keyword Map'!$G$3:$G$1002,SUBSTITUTE(SUBSTITUTE(B75,"?","~?"),"*","~*")))</f>
        <v/>
      </c>
      <c r="F75">
        <f>IF(B75="","",COUNTIFS('Keyword Map'!$G$3:$G$1002,SUBSTITUTE(SUBSTITUTE(B75,"?","~?"),"*","~*"),'Keyword Map'!$J$3:$J$1002,"Primary"))</f>
        <v/>
      </c>
      <c r="G75">
        <f>IF(B75="","",SUMIFS('Keyword Map'!$C$3:$C$1002,'Keyword Map'!$G$3:$G$1002,SUBSTITUTE(SUBSTITUTE(B75,"?","~?"),"*","~*")))</f>
        <v/>
      </c>
      <c r="H75">
        <f>IF(B75="","",IFERROR(ROUND(AVERAGEIFS('Keyword Map'!$P$3:$P$1002,'Keyword Map'!$G$3:$G$1002,SUBSTITUTE(SUBSTITUTE(B75,"?","~?"),"*","~*")),0),""))</f>
        <v/>
      </c>
      <c r="I75">
        <f>IF(B75="","",COUNTIFS('Keyword Map'!$G$3:$G$1002,SUBSTITUTE(SUBSTITUTE(B75,"?","~?"),"*","~*"),'Keyword Map'!$R$3:$R$1002,"Yes"))</f>
        <v/>
      </c>
      <c r="J75">
        <f>IF(B75="","",COUNTIFS('Keyword Map'!$G$3:$G$1002,SUBSTITUTE(SUBSTITUTE(B75,"?","~?"),"*","~*"),'Keyword Map'!$W$3:$W$1002,"Yes"))</f>
        <v/>
      </c>
      <c r="K75">
        <f>IF(B75="","",IF(F75=0,"No primary keyword",IF(F75&gt;Settings!$B$4,"Too many primary keywords",IF(I75+J75&gt;0,"Check flags","OK"))))</f>
        <v/>
      </c>
    </row>
    <row r="76">
      <c r="A76">
        <f>ROW()-2</f>
        <v/>
      </c>
      <c r="B76">
        <f>IFERROR(INDEX('Keyword Map'!$G$3:$G$1002,MATCH(A76,'Keyword Map'!$AA$3:$AA$1002,0)),"")</f>
        <v/>
      </c>
      <c r="C76">
        <f>IF(B76="","",INDEX('Keyword Map'!$I$3:$I$1002,MATCH(A76,'Keyword Map'!$AA$3:$AA$1002,0))&amp;"")</f>
        <v/>
      </c>
      <c r="D76">
        <f>IF(B76="","",INDEX('Keyword Map'!$H$3:$H$1002,MATCH(A76,'Keyword Map'!$AA$3:$AA$1002,0))&amp;"")</f>
        <v/>
      </c>
      <c r="E76">
        <f>IF(B76="","",COUNTIF('Keyword Map'!$G$3:$G$1002,SUBSTITUTE(SUBSTITUTE(B76,"?","~?"),"*","~*")))</f>
        <v/>
      </c>
      <c r="F76">
        <f>IF(B76="","",COUNTIFS('Keyword Map'!$G$3:$G$1002,SUBSTITUTE(SUBSTITUTE(B76,"?","~?"),"*","~*"),'Keyword Map'!$J$3:$J$1002,"Primary"))</f>
        <v/>
      </c>
      <c r="G76">
        <f>IF(B76="","",SUMIFS('Keyword Map'!$C$3:$C$1002,'Keyword Map'!$G$3:$G$1002,SUBSTITUTE(SUBSTITUTE(B76,"?","~?"),"*","~*")))</f>
        <v/>
      </c>
      <c r="H76">
        <f>IF(B76="","",IFERROR(ROUND(AVERAGEIFS('Keyword Map'!$P$3:$P$1002,'Keyword Map'!$G$3:$G$1002,SUBSTITUTE(SUBSTITUTE(B76,"?","~?"),"*","~*")),0),""))</f>
        <v/>
      </c>
      <c r="I76">
        <f>IF(B76="","",COUNTIFS('Keyword Map'!$G$3:$G$1002,SUBSTITUTE(SUBSTITUTE(B76,"?","~?"),"*","~*"),'Keyword Map'!$R$3:$R$1002,"Yes"))</f>
        <v/>
      </c>
      <c r="J76">
        <f>IF(B76="","",COUNTIFS('Keyword Map'!$G$3:$G$1002,SUBSTITUTE(SUBSTITUTE(B76,"?","~?"),"*","~*"),'Keyword Map'!$W$3:$W$1002,"Yes"))</f>
        <v/>
      </c>
      <c r="K76">
        <f>IF(B76="","",IF(F76=0,"No primary keyword",IF(F76&gt;Settings!$B$4,"Too many primary keywords",IF(I76+J76&gt;0,"Check flags","OK"))))</f>
        <v/>
      </c>
    </row>
    <row r="77">
      <c r="A77">
        <f>ROW()-2</f>
        <v/>
      </c>
      <c r="B77">
        <f>IFERROR(INDEX('Keyword Map'!$G$3:$G$1002,MATCH(A77,'Keyword Map'!$AA$3:$AA$1002,0)),"")</f>
        <v/>
      </c>
      <c r="C77">
        <f>IF(B77="","",INDEX('Keyword Map'!$I$3:$I$1002,MATCH(A77,'Keyword Map'!$AA$3:$AA$1002,0))&amp;"")</f>
        <v/>
      </c>
      <c r="D77">
        <f>IF(B77="","",INDEX('Keyword Map'!$H$3:$H$1002,MATCH(A77,'Keyword Map'!$AA$3:$AA$1002,0))&amp;"")</f>
        <v/>
      </c>
      <c r="E77">
        <f>IF(B77="","",COUNTIF('Keyword Map'!$G$3:$G$1002,SUBSTITUTE(SUBSTITUTE(B77,"?","~?"),"*","~*")))</f>
        <v/>
      </c>
      <c r="F77">
        <f>IF(B77="","",COUNTIFS('Keyword Map'!$G$3:$G$1002,SUBSTITUTE(SUBSTITUTE(B77,"?","~?"),"*","~*"),'Keyword Map'!$J$3:$J$1002,"Primary"))</f>
        <v/>
      </c>
      <c r="G77">
        <f>IF(B77="","",SUMIFS('Keyword Map'!$C$3:$C$1002,'Keyword Map'!$G$3:$G$1002,SUBSTITUTE(SUBSTITUTE(B77,"?","~?"),"*","~*")))</f>
        <v/>
      </c>
      <c r="H77">
        <f>IF(B77="","",IFERROR(ROUND(AVERAGEIFS('Keyword Map'!$P$3:$P$1002,'Keyword Map'!$G$3:$G$1002,SUBSTITUTE(SUBSTITUTE(B77,"?","~?"),"*","~*")),0),""))</f>
        <v/>
      </c>
      <c r="I77">
        <f>IF(B77="","",COUNTIFS('Keyword Map'!$G$3:$G$1002,SUBSTITUTE(SUBSTITUTE(B77,"?","~?"),"*","~*"),'Keyword Map'!$R$3:$R$1002,"Yes"))</f>
        <v/>
      </c>
      <c r="J77">
        <f>IF(B77="","",COUNTIFS('Keyword Map'!$G$3:$G$1002,SUBSTITUTE(SUBSTITUTE(B77,"?","~?"),"*","~*"),'Keyword Map'!$W$3:$W$1002,"Yes"))</f>
        <v/>
      </c>
      <c r="K77">
        <f>IF(B77="","",IF(F77=0,"No primary keyword",IF(F77&gt;Settings!$B$4,"Too many primary keywords",IF(I77+J77&gt;0,"Check flags","OK"))))</f>
        <v/>
      </c>
    </row>
    <row r="78">
      <c r="A78">
        <f>ROW()-2</f>
        <v/>
      </c>
      <c r="B78">
        <f>IFERROR(INDEX('Keyword Map'!$G$3:$G$1002,MATCH(A78,'Keyword Map'!$AA$3:$AA$1002,0)),"")</f>
        <v/>
      </c>
      <c r="C78">
        <f>IF(B78="","",INDEX('Keyword Map'!$I$3:$I$1002,MATCH(A78,'Keyword Map'!$AA$3:$AA$1002,0))&amp;"")</f>
        <v/>
      </c>
      <c r="D78">
        <f>IF(B78="","",INDEX('Keyword Map'!$H$3:$H$1002,MATCH(A78,'Keyword Map'!$AA$3:$AA$1002,0))&amp;"")</f>
        <v/>
      </c>
      <c r="E78">
        <f>IF(B78="","",COUNTIF('Keyword Map'!$G$3:$G$1002,SUBSTITUTE(SUBSTITUTE(B78,"?","~?"),"*","~*")))</f>
        <v/>
      </c>
      <c r="F78">
        <f>IF(B78="","",COUNTIFS('Keyword Map'!$G$3:$G$1002,SUBSTITUTE(SUBSTITUTE(B78,"?","~?"),"*","~*"),'Keyword Map'!$J$3:$J$1002,"Primary"))</f>
        <v/>
      </c>
      <c r="G78">
        <f>IF(B78="","",SUMIFS('Keyword Map'!$C$3:$C$1002,'Keyword Map'!$G$3:$G$1002,SUBSTITUTE(SUBSTITUTE(B78,"?","~?"),"*","~*")))</f>
        <v/>
      </c>
      <c r="H78">
        <f>IF(B78="","",IFERROR(ROUND(AVERAGEIFS('Keyword Map'!$P$3:$P$1002,'Keyword Map'!$G$3:$G$1002,SUBSTITUTE(SUBSTITUTE(B78,"?","~?"),"*","~*")),0),""))</f>
        <v/>
      </c>
      <c r="I78">
        <f>IF(B78="","",COUNTIFS('Keyword Map'!$G$3:$G$1002,SUBSTITUTE(SUBSTITUTE(B78,"?","~?"),"*","~*"),'Keyword Map'!$R$3:$R$1002,"Yes"))</f>
        <v/>
      </c>
      <c r="J78">
        <f>IF(B78="","",COUNTIFS('Keyword Map'!$G$3:$G$1002,SUBSTITUTE(SUBSTITUTE(B78,"?","~?"),"*","~*"),'Keyword Map'!$W$3:$W$1002,"Yes"))</f>
        <v/>
      </c>
      <c r="K78">
        <f>IF(B78="","",IF(F78=0,"No primary keyword",IF(F78&gt;Settings!$B$4,"Too many primary keywords",IF(I78+J78&gt;0,"Check flags","OK"))))</f>
        <v/>
      </c>
    </row>
    <row r="79">
      <c r="A79">
        <f>ROW()-2</f>
        <v/>
      </c>
      <c r="B79">
        <f>IFERROR(INDEX('Keyword Map'!$G$3:$G$1002,MATCH(A79,'Keyword Map'!$AA$3:$AA$1002,0)),"")</f>
        <v/>
      </c>
      <c r="C79">
        <f>IF(B79="","",INDEX('Keyword Map'!$I$3:$I$1002,MATCH(A79,'Keyword Map'!$AA$3:$AA$1002,0))&amp;"")</f>
        <v/>
      </c>
      <c r="D79">
        <f>IF(B79="","",INDEX('Keyword Map'!$H$3:$H$1002,MATCH(A79,'Keyword Map'!$AA$3:$AA$1002,0))&amp;"")</f>
        <v/>
      </c>
      <c r="E79">
        <f>IF(B79="","",COUNTIF('Keyword Map'!$G$3:$G$1002,SUBSTITUTE(SUBSTITUTE(B79,"?","~?"),"*","~*")))</f>
        <v/>
      </c>
      <c r="F79">
        <f>IF(B79="","",COUNTIFS('Keyword Map'!$G$3:$G$1002,SUBSTITUTE(SUBSTITUTE(B79,"?","~?"),"*","~*"),'Keyword Map'!$J$3:$J$1002,"Primary"))</f>
        <v/>
      </c>
      <c r="G79">
        <f>IF(B79="","",SUMIFS('Keyword Map'!$C$3:$C$1002,'Keyword Map'!$G$3:$G$1002,SUBSTITUTE(SUBSTITUTE(B79,"?","~?"),"*","~*")))</f>
        <v/>
      </c>
      <c r="H79">
        <f>IF(B79="","",IFERROR(ROUND(AVERAGEIFS('Keyword Map'!$P$3:$P$1002,'Keyword Map'!$G$3:$G$1002,SUBSTITUTE(SUBSTITUTE(B79,"?","~?"),"*","~*")),0),""))</f>
        <v/>
      </c>
      <c r="I79">
        <f>IF(B79="","",COUNTIFS('Keyword Map'!$G$3:$G$1002,SUBSTITUTE(SUBSTITUTE(B79,"?","~?"),"*","~*"),'Keyword Map'!$R$3:$R$1002,"Yes"))</f>
        <v/>
      </c>
      <c r="J79">
        <f>IF(B79="","",COUNTIFS('Keyword Map'!$G$3:$G$1002,SUBSTITUTE(SUBSTITUTE(B79,"?","~?"),"*","~*"),'Keyword Map'!$W$3:$W$1002,"Yes"))</f>
        <v/>
      </c>
      <c r="K79">
        <f>IF(B79="","",IF(F79=0,"No primary keyword",IF(F79&gt;Settings!$B$4,"Too many primary keywords",IF(I79+J79&gt;0,"Check flags","OK"))))</f>
        <v/>
      </c>
    </row>
    <row r="80">
      <c r="A80">
        <f>ROW()-2</f>
        <v/>
      </c>
      <c r="B80">
        <f>IFERROR(INDEX('Keyword Map'!$G$3:$G$1002,MATCH(A80,'Keyword Map'!$AA$3:$AA$1002,0)),"")</f>
        <v/>
      </c>
      <c r="C80">
        <f>IF(B80="","",INDEX('Keyword Map'!$I$3:$I$1002,MATCH(A80,'Keyword Map'!$AA$3:$AA$1002,0))&amp;"")</f>
        <v/>
      </c>
      <c r="D80">
        <f>IF(B80="","",INDEX('Keyword Map'!$H$3:$H$1002,MATCH(A80,'Keyword Map'!$AA$3:$AA$1002,0))&amp;"")</f>
        <v/>
      </c>
      <c r="E80">
        <f>IF(B80="","",COUNTIF('Keyword Map'!$G$3:$G$1002,SUBSTITUTE(SUBSTITUTE(B80,"?","~?"),"*","~*")))</f>
        <v/>
      </c>
      <c r="F80">
        <f>IF(B80="","",COUNTIFS('Keyword Map'!$G$3:$G$1002,SUBSTITUTE(SUBSTITUTE(B80,"?","~?"),"*","~*"),'Keyword Map'!$J$3:$J$1002,"Primary"))</f>
        <v/>
      </c>
      <c r="G80">
        <f>IF(B80="","",SUMIFS('Keyword Map'!$C$3:$C$1002,'Keyword Map'!$G$3:$G$1002,SUBSTITUTE(SUBSTITUTE(B80,"?","~?"),"*","~*")))</f>
        <v/>
      </c>
      <c r="H80">
        <f>IF(B80="","",IFERROR(ROUND(AVERAGEIFS('Keyword Map'!$P$3:$P$1002,'Keyword Map'!$G$3:$G$1002,SUBSTITUTE(SUBSTITUTE(B80,"?","~?"),"*","~*")),0),""))</f>
        <v/>
      </c>
      <c r="I80">
        <f>IF(B80="","",COUNTIFS('Keyword Map'!$G$3:$G$1002,SUBSTITUTE(SUBSTITUTE(B80,"?","~?"),"*","~*"),'Keyword Map'!$R$3:$R$1002,"Yes"))</f>
        <v/>
      </c>
      <c r="J80">
        <f>IF(B80="","",COUNTIFS('Keyword Map'!$G$3:$G$1002,SUBSTITUTE(SUBSTITUTE(B80,"?","~?"),"*","~*"),'Keyword Map'!$W$3:$W$1002,"Yes"))</f>
        <v/>
      </c>
      <c r="K80">
        <f>IF(B80="","",IF(F80=0,"No primary keyword",IF(F80&gt;Settings!$B$4,"Too many primary keywords",IF(I80+J80&gt;0,"Check flags","OK"))))</f>
        <v/>
      </c>
    </row>
    <row r="81">
      <c r="A81">
        <f>ROW()-2</f>
        <v/>
      </c>
      <c r="B81">
        <f>IFERROR(INDEX('Keyword Map'!$G$3:$G$1002,MATCH(A81,'Keyword Map'!$AA$3:$AA$1002,0)),"")</f>
        <v/>
      </c>
      <c r="C81">
        <f>IF(B81="","",INDEX('Keyword Map'!$I$3:$I$1002,MATCH(A81,'Keyword Map'!$AA$3:$AA$1002,0))&amp;"")</f>
        <v/>
      </c>
      <c r="D81">
        <f>IF(B81="","",INDEX('Keyword Map'!$H$3:$H$1002,MATCH(A81,'Keyword Map'!$AA$3:$AA$1002,0))&amp;"")</f>
        <v/>
      </c>
      <c r="E81">
        <f>IF(B81="","",COUNTIF('Keyword Map'!$G$3:$G$1002,SUBSTITUTE(SUBSTITUTE(B81,"?","~?"),"*","~*")))</f>
        <v/>
      </c>
      <c r="F81">
        <f>IF(B81="","",COUNTIFS('Keyword Map'!$G$3:$G$1002,SUBSTITUTE(SUBSTITUTE(B81,"?","~?"),"*","~*"),'Keyword Map'!$J$3:$J$1002,"Primary"))</f>
        <v/>
      </c>
      <c r="G81">
        <f>IF(B81="","",SUMIFS('Keyword Map'!$C$3:$C$1002,'Keyword Map'!$G$3:$G$1002,SUBSTITUTE(SUBSTITUTE(B81,"?","~?"),"*","~*")))</f>
        <v/>
      </c>
      <c r="H81">
        <f>IF(B81="","",IFERROR(ROUND(AVERAGEIFS('Keyword Map'!$P$3:$P$1002,'Keyword Map'!$G$3:$G$1002,SUBSTITUTE(SUBSTITUTE(B81,"?","~?"),"*","~*")),0),""))</f>
        <v/>
      </c>
      <c r="I81">
        <f>IF(B81="","",COUNTIFS('Keyword Map'!$G$3:$G$1002,SUBSTITUTE(SUBSTITUTE(B81,"?","~?"),"*","~*"),'Keyword Map'!$R$3:$R$1002,"Yes"))</f>
        <v/>
      </c>
      <c r="J81">
        <f>IF(B81="","",COUNTIFS('Keyword Map'!$G$3:$G$1002,SUBSTITUTE(SUBSTITUTE(B81,"?","~?"),"*","~*"),'Keyword Map'!$W$3:$W$1002,"Yes"))</f>
        <v/>
      </c>
      <c r="K81">
        <f>IF(B81="","",IF(F81=0,"No primary keyword",IF(F81&gt;Settings!$B$4,"Too many primary keywords",IF(I81+J81&gt;0,"Check flags","OK"))))</f>
        <v/>
      </c>
    </row>
    <row r="82">
      <c r="A82">
        <f>ROW()-2</f>
        <v/>
      </c>
      <c r="B82">
        <f>IFERROR(INDEX('Keyword Map'!$G$3:$G$1002,MATCH(A82,'Keyword Map'!$AA$3:$AA$1002,0)),"")</f>
        <v/>
      </c>
      <c r="C82">
        <f>IF(B82="","",INDEX('Keyword Map'!$I$3:$I$1002,MATCH(A82,'Keyword Map'!$AA$3:$AA$1002,0))&amp;"")</f>
        <v/>
      </c>
      <c r="D82">
        <f>IF(B82="","",INDEX('Keyword Map'!$H$3:$H$1002,MATCH(A82,'Keyword Map'!$AA$3:$AA$1002,0))&amp;"")</f>
        <v/>
      </c>
      <c r="E82">
        <f>IF(B82="","",COUNTIF('Keyword Map'!$G$3:$G$1002,SUBSTITUTE(SUBSTITUTE(B82,"?","~?"),"*","~*")))</f>
        <v/>
      </c>
      <c r="F82">
        <f>IF(B82="","",COUNTIFS('Keyword Map'!$G$3:$G$1002,SUBSTITUTE(SUBSTITUTE(B82,"?","~?"),"*","~*"),'Keyword Map'!$J$3:$J$1002,"Primary"))</f>
        <v/>
      </c>
      <c r="G82">
        <f>IF(B82="","",SUMIFS('Keyword Map'!$C$3:$C$1002,'Keyword Map'!$G$3:$G$1002,SUBSTITUTE(SUBSTITUTE(B82,"?","~?"),"*","~*")))</f>
        <v/>
      </c>
      <c r="H82">
        <f>IF(B82="","",IFERROR(ROUND(AVERAGEIFS('Keyword Map'!$P$3:$P$1002,'Keyword Map'!$G$3:$G$1002,SUBSTITUTE(SUBSTITUTE(B82,"?","~?"),"*","~*")),0),""))</f>
        <v/>
      </c>
      <c r="I82">
        <f>IF(B82="","",COUNTIFS('Keyword Map'!$G$3:$G$1002,SUBSTITUTE(SUBSTITUTE(B82,"?","~?"),"*","~*"),'Keyword Map'!$R$3:$R$1002,"Yes"))</f>
        <v/>
      </c>
      <c r="J82">
        <f>IF(B82="","",COUNTIFS('Keyword Map'!$G$3:$G$1002,SUBSTITUTE(SUBSTITUTE(B82,"?","~?"),"*","~*"),'Keyword Map'!$W$3:$W$1002,"Yes"))</f>
        <v/>
      </c>
      <c r="K82">
        <f>IF(B82="","",IF(F82=0,"No primary keyword",IF(F82&gt;Settings!$B$4,"Too many primary keywords",IF(I82+J82&gt;0,"Check flags","OK"))))</f>
        <v/>
      </c>
    </row>
    <row r="83">
      <c r="A83">
        <f>ROW()-2</f>
        <v/>
      </c>
      <c r="B83">
        <f>IFERROR(INDEX('Keyword Map'!$G$3:$G$1002,MATCH(A83,'Keyword Map'!$AA$3:$AA$1002,0)),"")</f>
        <v/>
      </c>
      <c r="C83">
        <f>IF(B83="","",INDEX('Keyword Map'!$I$3:$I$1002,MATCH(A83,'Keyword Map'!$AA$3:$AA$1002,0))&amp;"")</f>
        <v/>
      </c>
      <c r="D83">
        <f>IF(B83="","",INDEX('Keyword Map'!$H$3:$H$1002,MATCH(A83,'Keyword Map'!$AA$3:$AA$1002,0))&amp;"")</f>
        <v/>
      </c>
      <c r="E83">
        <f>IF(B83="","",COUNTIF('Keyword Map'!$G$3:$G$1002,SUBSTITUTE(SUBSTITUTE(B83,"?","~?"),"*","~*")))</f>
        <v/>
      </c>
      <c r="F83">
        <f>IF(B83="","",COUNTIFS('Keyword Map'!$G$3:$G$1002,SUBSTITUTE(SUBSTITUTE(B83,"?","~?"),"*","~*"),'Keyword Map'!$J$3:$J$1002,"Primary"))</f>
        <v/>
      </c>
      <c r="G83">
        <f>IF(B83="","",SUMIFS('Keyword Map'!$C$3:$C$1002,'Keyword Map'!$G$3:$G$1002,SUBSTITUTE(SUBSTITUTE(B83,"?","~?"),"*","~*")))</f>
        <v/>
      </c>
      <c r="H83">
        <f>IF(B83="","",IFERROR(ROUND(AVERAGEIFS('Keyword Map'!$P$3:$P$1002,'Keyword Map'!$G$3:$G$1002,SUBSTITUTE(SUBSTITUTE(B83,"?","~?"),"*","~*")),0),""))</f>
        <v/>
      </c>
      <c r="I83">
        <f>IF(B83="","",COUNTIFS('Keyword Map'!$G$3:$G$1002,SUBSTITUTE(SUBSTITUTE(B83,"?","~?"),"*","~*"),'Keyword Map'!$R$3:$R$1002,"Yes"))</f>
        <v/>
      </c>
      <c r="J83">
        <f>IF(B83="","",COUNTIFS('Keyword Map'!$G$3:$G$1002,SUBSTITUTE(SUBSTITUTE(B83,"?","~?"),"*","~*"),'Keyword Map'!$W$3:$W$1002,"Yes"))</f>
        <v/>
      </c>
      <c r="K83">
        <f>IF(B83="","",IF(F83=0,"No primary keyword",IF(F83&gt;Settings!$B$4,"Too many primary keywords",IF(I83+J83&gt;0,"Check flags","OK"))))</f>
        <v/>
      </c>
    </row>
    <row r="84">
      <c r="A84">
        <f>ROW()-2</f>
        <v/>
      </c>
      <c r="B84">
        <f>IFERROR(INDEX('Keyword Map'!$G$3:$G$1002,MATCH(A84,'Keyword Map'!$AA$3:$AA$1002,0)),"")</f>
        <v/>
      </c>
      <c r="C84">
        <f>IF(B84="","",INDEX('Keyword Map'!$I$3:$I$1002,MATCH(A84,'Keyword Map'!$AA$3:$AA$1002,0))&amp;"")</f>
        <v/>
      </c>
      <c r="D84">
        <f>IF(B84="","",INDEX('Keyword Map'!$H$3:$H$1002,MATCH(A84,'Keyword Map'!$AA$3:$AA$1002,0))&amp;"")</f>
        <v/>
      </c>
      <c r="E84">
        <f>IF(B84="","",COUNTIF('Keyword Map'!$G$3:$G$1002,SUBSTITUTE(SUBSTITUTE(B84,"?","~?"),"*","~*")))</f>
        <v/>
      </c>
      <c r="F84">
        <f>IF(B84="","",COUNTIFS('Keyword Map'!$G$3:$G$1002,SUBSTITUTE(SUBSTITUTE(B84,"?","~?"),"*","~*"),'Keyword Map'!$J$3:$J$1002,"Primary"))</f>
        <v/>
      </c>
      <c r="G84">
        <f>IF(B84="","",SUMIFS('Keyword Map'!$C$3:$C$1002,'Keyword Map'!$G$3:$G$1002,SUBSTITUTE(SUBSTITUTE(B84,"?","~?"),"*","~*")))</f>
        <v/>
      </c>
      <c r="H84">
        <f>IF(B84="","",IFERROR(ROUND(AVERAGEIFS('Keyword Map'!$P$3:$P$1002,'Keyword Map'!$G$3:$G$1002,SUBSTITUTE(SUBSTITUTE(B84,"?","~?"),"*","~*")),0),""))</f>
        <v/>
      </c>
      <c r="I84">
        <f>IF(B84="","",COUNTIFS('Keyword Map'!$G$3:$G$1002,SUBSTITUTE(SUBSTITUTE(B84,"?","~?"),"*","~*"),'Keyword Map'!$R$3:$R$1002,"Yes"))</f>
        <v/>
      </c>
      <c r="J84">
        <f>IF(B84="","",COUNTIFS('Keyword Map'!$G$3:$G$1002,SUBSTITUTE(SUBSTITUTE(B84,"?","~?"),"*","~*"),'Keyword Map'!$W$3:$W$1002,"Yes"))</f>
        <v/>
      </c>
      <c r="K84">
        <f>IF(B84="","",IF(F84=0,"No primary keyword",IF(F84&gt;Settings!$B$4,"Too many primary keywords",IF(I84+J84&gt;0,"Check flags","OK"))))</f>
        <v/>
      </c>
    </row>
    <row r="85">
      <c r="A85">
        <f>ROW()-2</f>
        <v/>
      </c>
      <c r="B85">
        <f>IFERROR(INDEX('Keyword Map'!$G$3:$G$1002,MATCH(A85,'Keyword Map'!$AA$3:$AA$1002,0)),"")</f>
        <v/>
      </c>
      <c r="C85">
        <f>IF(B85="","",INDEX('Keyword Map'!$I$3:$I$1002,MATCH(A85,'Keyword Map'!$AA$3:$AA$1002,0))&amp;"")</f>
        <v/>
      </c>
      <c r="D85">
        <f>IF(B85="","",INDEX('Keyword Map'!$H$3:$H$1002,MATCH(A85,'Keyword Map'!$AA$3:$AA$1002,0))&amp;"")</f>
        <v/>
      </c>
      <c r="E85">
        <f>IF(B85="","",COUNTIF('Keyword Map'!$G$3:$G$1002,SUBSTITUTE(SUBSTITUTE(B85,"?","~?"),"*","~*")))</f>
        <v/>
      </c>
      <c r="F85">
        <f>IF(B85="","",COUNTIFS('Keyword Map'!$G$3:$G$1002,SUBSTITUTE(SUBSTITUTE(B85,"?","~?"),"*","~*"),'Keyword Map'!$J$3:$J$1002,"Primary"))</f>
        <v/>
      </c>
      <c r="G85">
        <f>IF(B85="","",SUMIFS('Keyword Map'!$C$3:$C$1002,'Keyword Map'!$G$3:$G$1002,SUBSTITUTE(SUBSTITUTE(B85,"?","~?"),"*","~*")))</f>
        <v/>
      </c>
      <c r="H85">
        <f>IF(B85="","",IFERROR(ROUND(AVERAGEIFS('Keyword Map'!$P$3:$P$1002,'Keyword Map'!$G$3:$G$1002,SUBSTITUTE(SUBSTITUTE(B85,"?","~?"),"*","~*")),0),""))</f>
        <v/>
      </c>
      <c r="I85">
        <f>IF(B85="","",COUNTIFS('Keyword Map'!$G$3:$G$1002,SUBSTITUTE(SUBSTITUTE(B85,"?","~?"),"*","~*"),'Keyword Map'!$R$3:$R$1002,"Yes"))</f>
        <v/>
      </c>
      <c r="J85">
        <f>IF(B85="","",COUNTIFS('Keyword Map'!$G$3:$G$1002,SUBSTITUTE(SUBSTITUTE(B85,"?","~?"),"*","~*"),'Keyword Map'!$W$3:$W$1002,"Yes"))</f>
        <v/>
      </c>
      <c r="K85">
        <f>IF(B85="","",IF(F85=0,"No primary keyword",IF(F85&gt;Settings!$B$4,"Too many primary keywords",IF(I85+J85&gt;0,"Check flags","OK"))))</f>
        <v/>
      </c>
    </row>
    <row r="86">
      <c r="A86">
        <f>ROW()-2</f>
        <v/>
      </c>
      <c r="B86">
        <f>IFERROR(INDEX('Keyword Map'!$G$3:$G$1002,MATCH(A86,'Keyword Map'!$AA$3:$AA$1002,0)),"")</f>
        <v/>
      </c>
      <c r="C86">
        <f>IF(B86="","",INDEX('Keyword Map'!$I$3:$I$1002,MATCH(A86,'Keyword Map'!$AA$3:$AA$1002,0))&amp;"")</f>
        <v/>
      </c>
      <c r="D86">
        <f>IF(B86="","",INDEX('Keyword Map'!$H$3:$H$1002,MATCH(A86,'Keyword Map'!$AA$3:$AA$1002,0))&amp;"")</f>
        <v/>
      </c>
      <c r="E86">
        <f>IF(B86="","",COUNTIF('Keyword Map'!$G$3:$G$1002,SUBSTITUTE(SUBSTITUTE(B86,"?","~?"),"*","~*")))</f>
        <v/>
      </c>
      <c r="F86">
        <f>IF(B86="","",COUNTIFS('Keyword Map'!$G$3:$G$1002,SUBSTITUTE(SUBSTITUTE(B86,"?","~?"),"*","~*"),'Keyword Map'!$J$3:$J$1002,"Primary"))</f>
        <v/>
      </c>
      <c r="G86">
        <f>IF(B86="","",SUMIFS('Keyword Map'!$C$3:$C$1002,'Keyword Map'!$G$3:$G$1002,SUBSTITUTE(SUBSTITUTE(B86,"?","~?"),"*","~*")))</f>
        <v/>
      </c>
      <c r="H86">
        <f>IF(B86="","",IFERROR(ROUND(AVERAGEIFS('Keyword Map'!$P$3:$P$1002,'Keyword Map'!$G$3:$G$1002,SUBSTITUTE(SUBSTITUTE(B86,"?","~?"),"*","~*")),0),""))</f>
        <v/>
      </c>
      <c r="I86">
        <f>IF(B86="","",COUNTIFS('Keyword Map'!$G$3:$G$1002,SUBSTITUTE(SUBSTITUTE(B86,"?","~?"),"*","~*"),'Keyword Map'!$R$3:$R$1002,"Yes"))</f>
        <v/>
      </c>
      <c r="J86">
        <f>IF(B86="","",COUNTIFS('Keyword Map'!$G$3:$G$1002,SUBSTITUTE(SUBSTITUTE(B86,"?","~?"),"*","~*"),'Keyword Map'!$W$3:$W$1002,"Yes"))</f>
        <v/>
      </c>
      <c r="K86">
        <f>IF(B86="","",IF(F86=0,"No primary keyword",IF(F86&gt;Settings!$B$4,"Too many primary keywords",IF(I86+J86&gt;0,"Check flags","OK"))))</f>
        <v/>
      </c>
    </row>
    <row r="87">
      <c r="A87">
        <f>ROW()-2</f>
        <v/>
      </c>
      <c r="B87">
        <f>IFERROR(INDEX('Keyword Map'!$G$3:$G$1002,MATCH(A87,'Keyword Map'!$AA$3:$AA$1002,0)),"")</f>
        <v/>
      </c>
      <c r="C87">
        <f>IF(B87="","",INDEX('Keyword Map'!$I$3:$I$1002,MATCH(A87,'Keyword Map'!$AA$3:$AA$1002,0))&amp;"")</f>
        <v/>
      </c>
      <c r="D87">
        <f>IF(B87="","",INDEX('Keyword Map'!$H$3:$H$1002,MATCH(A87,'Keyword Map'!$AA$3:$AA$1002,0))&amp;"")</f>
        <v/>
      </c>
      <c r="E87">
        <f>IF(B87="","",COUNTIF('Keyword Map'!$G$3:$G$1002,SUBSTITUTE(SUBSTITUTE(B87,"?","~?"),"*","~*")))</f>
        <v/>
      </c>
      <c r="F87">
        <f>IF(B87="","",COUNTIFS('Keyword Map'!$G$3:$G$1002,SUBSTITUTE(SUBSTITUTE(B87,"?","~?"),"*","~*"),'Keyword Map'!$J$3:$J$1002,"Primary"))</f>
        <v/>
      </c>
      <c r="G87">
        <f>IF(B87="","",SUMIFS('Keyword Map'!$C$3:$C$1002,'Keyword Map'!$G$3:$G$1002,SUBSTITUTE(SUBSTITUTE(B87,"?","~?"),"*","~*")))</f>
        <v/>
      </c>
      <c r="H87">
        <f>IF(B87="","",IFERROR(ROUND(AVERAGEIFS('Keyword Map'!$P$3:$P$1002,'Keyword Map'!$G$3:$G$1002,SUBSTITUTE(SUBSTITUTE(B87,"?","~?"),"*","~*")),0),""))</f>
        <v/>
      </c>
      <c r="I87">
        <f>IF(B87="","",COUNTIFS('Keyword Map'!$G$3:$G$1002,SUBSTITUTE(SUBSTITUTE(B87,"?","~?"),"*","~*"),'Keyword Map'!$R$3:$R$1002,"Yes"))</f>
        <v/>
      </c>
      <c r="J87">
        <f>IF(B87="","",COUNTIFS('Keyword Map'!$G$3:$G$1002,SUBSTITUTE(SUBSTITUTE(B87,"?","~?"),"*","~*"),'Keyword Map'!$W$3:$W$1002,"Yes"))</f>
        <v/>
      </c>
      <c r="K87">
        <f>IF(B87="","",IF(F87=0,"No primary keyword",IF(F87&gt;Settings!$B$4,"Too many primary keywords",IF(I87+J87&gt;0,"Check flags","OK"))))</f>
        <v/>
      </c>
    </row>
    <row r="88">
      <c r="A88">
        <f>ROW()-2</f>
        <v/>
      </c>
      <c r="B88">
        <f>IFERROR(INDEX('Keyword Map'!$G$3:$G$1002,MATCH(A88,'Keyword Map'!$AA$3:$AA$1002,0)),"")</f>
        <v/>
      </c>
      <c r="C88">
        <f>IF(B88="","",INDEX('Keyword Map'!$I$3:$I$1002,MATCH(A88,'Keyword Map'!$AA$3:$AA$1002,0))&amp;"")</f>
        <v/>
      </c>
      <c r="D88">
        <f>IF(B88="","",INDEX('Keyword Map'!$H$3:$H$1002,MATCH(A88,'Keyword Map'!$AA$3:$AA$1002,0))&amp;"")</f>
        <v/>
      </c>
      <c r="E88">
        <f>IF(B88="","",COUNTIF('Keyword Map'!$G$3:$G$1002,SUBSTITUTE(SUBSTITUTE(B88,"?","~?"),"*","~*")))</f>
        <v/>
      </c>
      <c r="F88">
        <f>IF(B88="","",COUNTIFS('Keyword Map'!$G$3:$G$1002,SUBSTITUTE(SUBSTITUTE(B88,"?","~?"),"*","~*"),'Keyword Map'!$J$3:$J$1002,"Primary"))</f>
        <v/>
      </c>
      <c r="G88">
        <f>IF(B88="","",SUMIFS('Keyword Map'!$C$3:$C$1002,'Keyword Map'!$G$3:$G$1002,SUBSTITUTE(SUBSTITUTE(B88,"?","~?"),"*","~*")))</f>
        <v/>
      </c>
      <c r="H88">
        <f>IF(B88="","",IFERROR(ROUND(AVERAGEIFS('Keyword Map'!$P$3:$P$1002,'Keyword Map'!$G$3:$G$1002,SUBSTITUTE(SUBSTITUTE(B88,"?","~?"),"*","~*")),0),""))</f>
        <v/>
      </c>
      <c r="I88">
        <f>IF(B88="","",COUNTIFS('Keyword Map'!$G$3:$G$1002,SUBSTITUTE(SUBSTITUTE(B88,"?","~?"),"*","~*"),'Keyword Map'!$R$3:$R$1002,"Yes"))</f>
        <v/>
      </c>
      <c r="J88">
        <f>IF(B88="","",COUNTIFS('Keyword Map'!$G$3:$G$1002,SUBSTITUTE(SUBSTITUTE(B88,"?","~?"),"*","~*"),'Keyword Map'!$W$3:$W$1002,"Yes"))</f>
        <v/>
      </c>
      <c r="K88">
        <f>IF(B88="","",IF(F88=0,"No primary keyword",IF(F88&gt;Settings!$B$4,"Too many primary keywords",IF(I88+J88&gt;0,"Check flags","OK"))))</f>
        <v/>
      </c>
    </row>
    <row r="89">
      <c r="A89">
        <f>ROW()-2</f>
        <v/>
      </c>
      <c r="B89">
        <f>IFERROR(INDEX('Keyword Map'!$G$3:$G$1002,MATCH(A89,'Keyword Map'!$AA$3:$AA$1002,0)),"")</f>
        <v/>
      </c>
      <c r="C89">
        <f>IF(B89="","",INDEX('Keyword Map'!$I$3:$I$1002,MATCH(A89,'Keyword Map'!$AA$3:$AA$1002,0))&amp;"")</f>
        <v/>
      </c>
      <c r="D89">
        <f>IF(B89="","",INDEX('Keyword Map'!$H$3:$H$1002,MATCH(A89,'Keyword Map'!$AA$3:$AA$1002,0))&amp;"")</f>
        <v/>
      </c>
      <c r="E89">
        <f>IF(B89="","",COUNTIF('Keyword Map'!$G$3:$G$1002,SUBSTITUTE(SUBSTITUTE(B89,"?","~?"),"*","~*")))</f>
        <v/>
      </c>
      <c r="F89">
        <f>IF(B89="","",COUNTIFS('Keyword Map'!$G$3:$G$1002,SUBSTITUTE(SUBSTITUTE(B89,"?","~?"),"*","~*"),'Keyword Map'!$J$3:$J$1002,"Primary"))</f>
        <v/>
      </c>
      <c r="G89">
        <f>IF(B89="","",SUMIFS('Keyword Map'!$C$3:$C$1002,'Keyword Map'!$G$3:$G$1002,SUBSTITUTE(SUBSTITUTE(B89,"?","~?"),"*","~*")))</f>
        <v/>
      </c>
      <c r="H89">
        <f>IF(B89="","",IFERROR(ROUND(AVERAGEIFS('Keyword Map'!$P$3:$P$1002,'Keyword Map'!$G$3:$G$1002,SUBSTITUTE(SUBSTITUTE(B89,"?","~?"),"*","~*")),0),""))</f>
        <v/>
      </c>
      <c r="I89">
        <f>IF(B89="","",COUNTIFS('Keyword Map'!$G$3:$G$1002,SUBSTITUTE(SUBSTITUTE(B89,"?","~?"),"*","~*"),'Keyword Map'!$R$3:$R$1002,"Yes"))</f>
        <v/>
      </c>
      <c r="J89">
        <f>IF(B89="","",COUNTIFS('Keyword Map'!$G$3:$G$1002,SUBSTITUTE(SUBSTITUTE(B89,"?","~?"),"*","~*"),'Keyword Map'!$W$3:$W$1002,"Yes"))</f>
        <v/>
      </c>
      <c r="K89">
        <f>IF(B89="","",IF(F89=0,"No primary keyword",IF(F89&gt;Settings!$B$4,"Too many primary keywords",IF(I89+J89&gt;0,"Check flags","OK"))))</f>
        <v/>
      </c>
    </row>
    <row r="90">
      <c r="A90">
        <f>ROW()-2</f>
        <v/>
      </c>
      <c r="B90">
        <f>IFERROR(INDEX('Keyword Map'!$G$3:$G$1002,MATCH(A90,'Keyword Map'!$AA$3:$AA$1002,0)),"")</f>
        <v/>
      </c>
      <c r="C90">
        <f>IF(B90="","",INDEX('Keyword Map'!$I$3:$I$1002,MATCH(A90,'Keyword Map'!$AA$3:$AA$1002,0))&amp;"")</f>
        <v/>
      </c>
      <c r="D90">
        <f>IF(B90="","",INDEX('Keyword Map'!$H$3:$H$1002,MATCH(A90,'Keyword Map'!$AA$3:$AA$1002,0))&amp;"")</f>
        <v/>
      </c>
      <c r="E90">
        <f>IF(B90="","",COUNTIF('Keyword Map'!$G$3:$G$1002,SUBSTITUTE(SUBSTITUTE(B90,"?","~?"),"*","~*")))</f>
        <v/>
      </c>
      <c r="F90">
        <f>IF(B90="","",COUNTIFS('Keyword Map'!$G$3:$G$1002,SUBSTITUTE(SUBSTITUTE(B90,"?","~?"),"*","~*"),'Keyword Map'!$J$3:$J$1002,"Primary"))</f>
        <v/>
      </c>
      <c r="G90">
        <f>IF(B90="","",SUMIFS('Keyword Map'!$C$3:$C$1002,'Keyword Map'!$G$3:$G$1002,SUBSTITUTE(SUBSTITUTE(B90,"?","~?"),"*","~*")))</f>
        <v/>
      </c>
      <c r="H90">
        <f>IF(B90="","",IFERROR(ROUND(AVERAGEIFS('Keyword Map'!$P$3:$P$1002,'Keyword Map'!$G$3:$G$1002,SUBSTITUTE(SUBSTITUTE(B90,"?","~?"),"*","~*")),0),""))</f>
        <v/>
      </c>
      <c r="I90">
        <f>IF(B90="","",COUNTIFS('Keyword Map'!$G$3:$G$1002,SUBSTITUTE(SUBSTITUTE(B90,"?","~?"),"*","~*"),'Keyword Map'!$R$3:$R$1002,"Yes"))</f>
        <v/>
      </c>
      <c r="J90">
        <f>IF(B90="","",COUNTIFS('Keyword Map'!$G$3:$G$1002,SUBSTITUTE(SUBSTITUTE(B90,"?","~?"),"*","~*"),'Keyword Map'!$W$3:$W$1002,"Yes"))</f>
        <v/>
      </c>
      <c r="K90">
        <f>IF(B90="","",IF(F90=0,"No primary keyword",IF(F90&gt;Settings!$B$4,"Too many primary keywords",IF(I90+J90&gt;0,"Check flags","OK"))))</f>
        <v/>
      </c>
    </row>
    <row r="91">
      <c r="A91">
        <f>ROW()-2</f>
        <v/>
      </c>
      <c r="B91">
        <f>IFERROR(INDEX('Keyword Map'!$G$3:$G$1002,MATCH(A91,'Keyword Map'!$AA$3:$AA$1002,0)),"")</f>
        <v/>
      </c>
      <c r="C91">
        <f>IF(B91="","",INDEX('Keyword Map'!$I$3:$I$1002,MATCH(A91,'Keyword Map'!$AA$3:$AA$1002,0))&amp;"")</f>
        <v/>
      </c>
      <c r="D91">
        <f>IF(B91="","",INDEX('Keyword Map'!$H$3:$H$1002,MATCH(A91,'Keyword Map'!$AA$3:$AA$1002,0))&amp;"")</f>
        <v/>
      </c>
      <c r="E91">
        <f>IF(B91="","",COUNTIF('Keyword Map'!$G$3:$G$1002,SUBSTITUTE(SUBSTITUTE(B91,"?","~?"),"*","~*")))</f>
        <v/>
      </c>
      <c r="F91">
        <f>IF(B91="","",COUNTIFS('Keyword Map'!$G$3:$G$1002,SUBSTITUTE(SUBSTITUTE(B91,"?","~?"),"*","~*"),'Keyword Map'!$J$3:$J$1002,"Primary"))</f>
        <v/>
      </c>
      <c r="G91">
        <f>IF(B91="","",SUMIFS('Keyword Map'!$C$3:$C$1002,'Keyword Map'!$G$3:$G$1002,SUBSTITUTE(SUBSTITUTE(B91,"?","~?"),"*","~*")))</f>
        <v/>
      </c>
      <c r="H91">
        <f>IF(B91="","",IFERROR(ROUND(AVERAGEIFS('Keyword Map'!$P$3:$P$1002,'Keyword Map'!$G$3:$G$1002,SUBSTITUTE(SUBSTITUTE(B91,"?","~?"),"*","~*")),0),""))</f>
        <v/>
      </c>
      <c r="I91">
        <f>IF(B91="","",COUNTIFS('Keyword Map'!$G$3:$G$1002,SUBSTITUTE(SUBSTITUTE(B91,"?","~?"),"*","~*"),'Keyword Map'!$R$3:$R$1002,"Yes"))</f>
        <v/>
      </c>
      <c r="J91">
        <f>IF(B91="","",COUNTIFS('Keyword Map'!$G$3:$G$1002,SUBSTITUTE(SUBSTITUTE(B91,"?","~?"),"*","~*"),'Keyword Map'!$W$3:$W$1002,"Yes"))</f>
        <v/>
      </c>
      <c r="K91">
        <f>IF(B91="","",IF(F91=0,"No primary keyword",IF(F91&gt;Settings!$B$4,"Too many primary keywords",IF(I91+J91&gt;0,"Check flags","OK"))))</f>
        <v/>
      </c>
    </row>
    <row r="92">
      <c r="A92">
        <f>ROW()-2</f>
        <v/>
      </c>
      <c r="B92">
        <f>IFERROR(INDEX('Keyword Map'!$G$3:$G$1002,MATCH(A92,'Keyword Map'!$AA$3:$AA$1002,0)),"")</f>
        <v/>
      </c>
      <c r="C92">
        <f>IF(B92="","",INDEX('Keyword Map'!$I$3:$I$1002,MATCH(A92,'Keyword Map'!$AA$3:$AA$1002,0))&amp;"")</f>
        <v/>
      </c>
      <c r="D92">
        <f>IF(B92="","",INDEX('Keyword Map'!$H$3:$H$1002,MATCH(A92,'Keyword Map'!$AA$3:$AA$1002,0))&amp;"")</f>
        <v/>
      </c>
      <c r="E92">
        <f>IF(B92="","",COUNTIF('Keyword Map'!$G$3:$G$1002,SUBSTITUTE(SUBSTITUTE(B92,"?","~?"),"*","~*")))</f>
        <v/>
      </c>
      <c r="F92">
        <f>IF(B92="","",COUNTIFS('Keyword Map'!$G$3:$G$1002,SUBSTITUTE(SUBSTITUTE(B92,"?","~?"),"*","~*"),'Keyword Map'!$J$3:$J$1002,"Primary"))</f>
        <v/>
      </c>
      <c r="G92">
        <f>IF(B92="","",SUMIFS('Keyword Map'!$C$3:$C$1002,'Keyword Map'!$G$3:$G$1002,SUBSTITUTE(SUBSTITUTE(B92,"?","~?"),"*","~*")))</f>
        <v/>
      </c>
      <c r="H92">
        <f>IF(B92="","",IFERROR(ROUND(AVERAGEIFS('Keyword Map'!$P$3:$P$1002,'Keyword Map'!$G$3:$G$1002,SUBSTITUTE(SUBSTITUTE(B92,"?","~?"),"*","~*")),0),""))</f>
        <v/>
      </c>
      <c r="I92">
        <f>IF(B92="","",COUNTIFS('Keyword Map'!$G$3:$G$1002,SUBSTITUTE(SUBSTITUTE(B92,"?","~?"),"*","~*"),'Keyword Map'!$R$3:$R$1002,"Yes"))</f>
        <v/>
      </c>
      <c r="J92">
        <f>IF(B92="","",COUNTIFS('Keyword Map'!$G$3:$G$1002,SUBSTITUTE(SUBSTITUTE(B92,"?","~?"),"*","~*"),'Keyword Map'!$W$3:$W$1002,"Yes"))</f>
        <v/>
      </c>
      <c r="K92">
        <f>IF(B92="","",IF(F92=0,"No primary keyword",IF(F92&gt;Settings!$B$4,"Too many primary keywords",IF(I92+J92&gt;0,"Check flags","OK"))))</f>
        <v/>
      </c>
    </row>
    <row r="93">
      <c r="A93">
        <f>ROW()-2</f>
        <v/>
      </c>
      <c r="B93">
        <f>IFERROR(INDEX('Keyword Map'!$G$3:$G$1002,MATCH(A93,'Keyword Map'!$AA$3:$AA$1002,0)),"")</f>
        <v/>
      </c>
      <c r="C93">
        <f>IF(B93="","",INDEX('Keyword Map'!$I$3:$I$1002,MATCH(A93,'Keyword Map'!$AA$3:$AA$1002,0))&amp;"")</f>
        <v/>
      </c>
      <c r="D93">
        <f>IF(B93="","",INDEX('Keyword Map'!$H$3:$H$1002,MATCH(A93,'Keyword Map'!$AA$3:$AA$1002,0))&amp;"")</f>
        <v/>
      </c>
      <c r="E93">
        <f>IF(B93="","",COUNTIF('Keyword Map'!$G$3:$G$1002,SUBSTITUTE(SUBSTITUTE(B93,"?","~?"),"*","~*")))</f>
        <v/>
      </c>
      <c r="F93">
        <f>IF(B93="","",COUNTIFS('Keyword Map'!$G$3:$G$1002,SUBSTITUTE(SUBSTITUTE(B93,"?","~?"),"*","~*"),'Keyword Map'!$J$3:$J$1002,"Primary"))</f>
        <v/>
      </c>
      <c r="G93">
        <f>IF(B93="","",SUMIFS('Keyword Map'!$C$3:$C$1002,'Keyword Map'!$G$3:$G$1002,SUBSTITUTE(SUBSTITUTE(B93,"?","~?"),"*","~*")))</f>
        <v/>
      </c>
      <c r="H93">
        <f>IF(B93="","",IFERROR(ROUND(AVERAGEIFS('Keyword Map'!$P$3:$P$1002,'Keyword Map'!$G$3:$G$1002,SUBSTITUTE(SUBSTITUTE(B93,"?","~?"),"*","~*")),0),""))</f>
        <v/>
      </c>
      <c r="I93">
        <f>IF(B93="","",COUNTIFS('Keyword Map'!$G$3:$G$1002,SUBSTITUTE(SUBSTITUTE(B93,"?","~?"),"*","~*"),'Keyword Map'!$R$3:$R$1002,"Yes"))</f>
        <v/>
      </c>
      <c r="J93">
        <f>IF(B93="","",COUNTIFS('Keyword Map'!$G$3:$G$1002,SUBSTITUTE(SUBSTITUTE(B93,"?","~?"),"*","~*"),'Keyword Map'!$W$3:$W$1002,"Yes"))</f>
        <v/>
      </c>
      <c r="K93">
        <f>IF(B93="","",IF(F93=0,"No primary keyword",IF(F93&gt;Settings!$B$4,"Too many primary keywords",IF(I93+J93&gt;0,"Check flags","OK"))))</f>
        <v/>
      </c>
    </row>
    <row r="94">
      <c r="A94">
        <f>ROW()-2</f>
        <v/>
      </c>
      <c r="B94">
        <f>IFERROR(INDEX('Keyword Map'!$G$3:$G$1002,MATCH(A94,'Keyword Map'!$AA$3:$AA$1002,0)),"")</f>
        <v/>
      </c>
      <c r="C94">
        <f>IF(B94="","",INDEX('Keyword Map'!$I$3:$I$1002,MATCH(A94,'Keyword Map'!$AA$3:$AA$1002,0))&amp;"")</f>
        <v/>
      </c>
      <c r="D94">
        <f>IF(B94="","",INDEX('Keyword Map'!$H$3:$H$1002,MATCH(A94,'Keyword Map'!$AA$3:$AA$1002,0))&amp;"")</f>
        <v/>
      </c>
      <c r="E94">
        <f>IF(B94="","",COUNTIF('Keyword Map'!$G$3:$G$1002,SUBSTITUTE(SUBSTITUTE(B94,"?","~?"),"*","~*")))</f>
        <v/>
      </c>
      <c r="F94">
        <f>IF(B94="","",COUNTIFS('Keyword Map'!$G$3:$G$1002,SUBSTITUTE(SUBSTITUTE(B94,"?","~?"),"*","~*"),'Keyword Map'!$J$3:$J$1002,"Primary"))</f>
        <v/>
      </c>
      <c r="G94">
        <f>IF(B94="","",SUMIFS('Keyword Map'!$C$3:$C$1002,'Keyword Map'!$G$3:$G$1002,SUBSTITUTE(SUBSTITUTE(B94,"?","~?"),"*","~*")))</f>
        <v/>
      </c>
      <c r="H94">
        <f>IF(B94="","",IFERROR(ROUND(AVERAGEIFS('Keyword Map'!$P$3:$P$1002,'Keyword Map'!$G$3:$G$1002,SUBSTITUTE(SUBSTITUTE(B94,"?","~?"),"*","~*")),0),""))</f>
        <v/>
      </c>
      <c r="I94">
        <f>IF(B94="","",COUNTIFS('Keyword Map'!$G$3:$G$1002,SUBSTITUTE(SUBSTITUTE(B94,"?","~?"),"*","~*"),'Keyword Map'!$R$3:$R$1002,"Yes"))</f>
        <v/>
      </c>
      <c r="J94">
        <f>IF(B94="","",COUNTIFS('Keyword Map'!$G$3:$G$1002,SUBSTITUTE(SUBSTITUTE(B94,"?","~?"),"*","~*"),'Keyword Map'!$W$3:$W$1002,"Yes"))</f>
        <v/>
      </c>
      <c r="K94">
        <f>IF(B94="","",IF(F94=0,"No primary keyword",IF(F94&gt;Settings!$B$4,"Too many primary keywords",IF(I94+J94&gt;0,"Check flags","OK"))))</f>
        <v/>
      </c>
    </row>
    <row r="95">
      <c r="A95">
        <f>ROW()-2</f>
        <v/>
      </c>
      <c r="B95">
        <f>IFERROR(INDEX('Keyword Map'!$G$3:$G$1002,MATCH(A95,'Keyword Map'!$AA$3:$AA$1002,0)),"")</f>
        <v/>
      </c>
      <c r="C95">
        <f>IF(B95="","",INDEX('Keyword Map'!$I$3:$I$1002,MATCH(A95,'Keyword Map'!$AA$3:$AA$1002,0))&amp;"")</f>
        <v/>
      </c>
      <c r="D95">
        <f>IF(B95="","",INDEX('Keyword Map'!$H$3:$H$1002,MATCH(A95,'Keyword Map'!$AA$3:$AA$1002,0))&amp;"")</f>
        <v/>
      </c>
      <c r="E95">
        <f>IF(B95="","",COUNTIF('Keyword Map'!$G$3:$G$1002,SUBSTITUTE(SUBSTITUTE(B95,"?","~?"),"*","~*")))</f>
        <v/>
      </c>
      <c r="F95">
        <f>IF(B95="","",COUNTIFS('Keyword Map'!$G$3:$G$1002,SUBSTITUTE(SUBSTITUTE(B95,"?","~?"),"*","~*"),'Keyword Map'!$J$3:$J$1002,"Primary"))</f>
        <v/>
      </c>
      <c r="G95">
        <f>IF(B95="","",SUMIFS('Keyword Map'!$C$3:$C$1002,'Keyword Map'!$G$3:$G$1002,SUBSTITUTE(SUBSTITUTE(B95,"?","~?"),"*","~*")))</f>
        <v/>
      </c>
      <c r="H95">
        <f>IF(B95="","",IFERROR(ROUND(AVERAGEIFS('Keyword Map'!$P$3:$P$1002,'Keyword Map'!$G$3:$G$1002,SUBSTITUTE(SUBSTITUTE(B95,"?","~?"),"*","~*")),0),""))</f>
        <v/>
      </c>
      <c r="I95">
        <f>IF(B95="","",COUNTIFS('Keyword Map'!$G$3:$G$1002,SUBSTITUTE(SUBSTITUTE(B95,"?","~?"),"*","~*"),'Keyword Map'!$R$3:$R$1002,"Yes"))</f>
        <v/>
      </c>
      <c r="J95">
        <f>IF(B95="","",COUNTIFS('Keyword Map'!$G$3:$G$1002,SUBSTITUTE(SUBSTITUTE(B95,"?","~?"),"*","~*"),'Keyword Map'!$W$3:$W$1002,"Yes"))</f>
        <v/>
      </c>
      <c r="K95">
        <f>IF(B95="","",IF(F95=0,"No primary keyword",IF(F95&gt;Settings!$B$4,"Too many primary keywords",IF(I95+J95&gt;0,"Check flags","OK"))))</f>
        <v/>
      </c>
    </row>
    <row r="96">
      <c r="A96">
        <f>ROW()-2</f>
        <v/>
      </c>
      <c r="B96">
        <f>IFERROR(INDEX('Keyword Map'!$G$3:$G$1002,MATCH(A96,'Keyword Map'!$AA$3:$AA$1002,0)),"")</f>
        <v/>
      </c>
      <c r="C96">
        <f>IF(B96="","",INDEX('Keyword Map'!$I$3:$I$1002,MATCH(A96,'Keyword Map'!$AA$3:$AA$1002,0))&amp;"")</f>
        <v/>
      </c>
      <c r="D96">
        <f>IF(B96="","",INDEX('Keyword Map'!$H$3:$H$1002,MATCH(A96,'Keyword Map'!$AA$3:$AA$1002,0))&amp;"")</f>
        <v/>
      </c>
      <c r="E96">
        <f>IF(B96="","",COUNTIF('Keyword Map'!$G$3:$G$1002,SUBSTITUTE(SUBSTITUTE(B96,"?","~?"),"*","~*")))</f>
        <v/>
      </c>
      <c r="F96">
        <f>IF(B96="","",COUNTIFS('Keyword Map'!$G$3:$G$1002,SUBSTITUTE(SUBSTITUTE(B96,"?","~?"),"*","~*"),'Keyword Map'!$J$3:$J$1002,"Primary"))</f>
        <v/>
      </c>
      <c r="G96">
        <f>IF(B96="","",SUMIFS('Keyword Map'!$C$3:$C$1002,'Keyword Map'!$G$3:$G$1002,SUBSTITUTE(SUBSTITUTE(B96,"?","~?"),"*","~*")))</f>
        <v/>
      </c>
      <c r="H96">
        <f>IF(B96="","",IFERROR(ROUND(AVERAGEIFS('Keyword Map'!$P$3:$P$1002,'Keyword Map'!$G$3:$G$1002,SUBSTITUTE(SUBSTITUTE(B96,"?","~?"),"*","~*")),0),""))</f>
        <v/>
      </c>
      <c r="I96">
        <f>IF(B96="","",COUNTIFS('Keyword Map'!$G$3:$G$1002,SUBSTITUTE(SUBSTITUTE(B96,"?","~?"),"*","~*"),'Keyword Map'!$R$3:$R$1002,"Yes"))</f>
        <v/>
      </c>
      <c r="J96">
        <f>IF(B96="","",COUNTIFS('Keyword Map'!$G$3:$G$1002,SUBSTITUTE(SUBSTITUTE(B96,"?","~?"),"*","~*"),'Keyword Map'!$W$3:$W$1002,"Yes"))</f>
        <v/>
      </c>
      <c r="K96">
        <f>IF(B96="","",IF(F96=0,"No primary keyword",IF(F96&gt;Settings!$B$4,"Too many primary keywords",IF(I96+J96&gt;0,"Check flags","OK"))))</f>
        <v/>
      </c>
    </row>
    <row r="97">
      <c r="A97">
        <f>ROW()-2</f>
        <v/>
      </c>
      <c r="B97">
        <f>IFERROR(INDEX('Keyword Map'!$G$3:$G$1002,MATCH(A97,'Keyword Map'!$AA$3:$AA$1002,0)),"")</f>
        <v/>
      </c>
      <c r="C97">
        <f>IF(B97="","",INDEX('Keyword Map'!$I$3:$I$1002,MATCH(A97,'Keyword Map'!$AA$3:$AA$1002,0))&amp;"")</f>
        <v/>
      </c>
      <c r="D97">
        <f>IF(B97="","",INDEX('Keyword Map'!$H$3:$H$1002,MATCH(A97,'Keyword Map'!$AA$3:$AA$1002,0))&amp;"")</f>
        <v/>
      </c>
      <c r="E97">
        <f>IF(B97="","",COUNTIF('Keyword Map'!$G$3:$G$1002,SUBSTITUTE(SUBSTITUTE(B97,"?","~?"),"*","~*")))</f>
        <v/>
      </c>
      <c r="F97">
        <f>IF(B97="","",COUNTIFS('Keyword Map'!$G$3:$G$1002,SUBSTITUTE(SUBSTITUTE(B97,"?","~?"),"*","~*"),'Keyword Map'!$J$3:$J$1002,"Primary"))</f>
        <v/>
      </c>
      <c r="G97">
        <f>IF(B97="","",SUMIFS('Keyword Map'!$C$3:$C$1002,'Keyword Map'!$G$3:$G$1002,SUBSTITUTE(SUBSTITUTE(B97,"?","~?"),"*","~*")))</f>
        <v/>
      </c>
      <c r="H97">
        <f>IF(B97="","",IFERROR(ROUND(AVERAGEIFS('Keyword Map'!$P$3:$P$1002,'Keyword Map'!$G$3:$G$1002,SUBSTITUTE(SUBSTITUTE(B97,"?","~?"),"*","~*")),0),""))</f>
        <v/>
      </c>
      <c r="I97">
        <f>IF(B97="","",COUNTIFS('Keyword Map'!$G$3:$G$1002,SUBSTITUTE(SUBSTITUTE(B97,"?","~?"),"*","~*"),'Keyword Map'!$R$3:$R$1002,"Yes"))</f>
        <v/>
      </c>
      <c r="J97">
        <f>IF(B97="","",COUNTIFS('Keyword Map'!$G$3:$G$1002,SUBSTITUTE(SUBSTITUTE(B97,"?","~?"),"*","~*"),'Keyword Map'!$W$3:$W$1002,"Yes"))</f>
        <v/>
      </c>
      <c r="K97">
        <f>IF(B97="","",IF(F97=0,"No primary keyword",IF(F97&gt;Settings!$B$4,"Too many primary keywords",IF(I97+J97&gt;0,"Check flags","OK"))))</f>
        <v/>
      </c>
    </row>
    <row r="98">
      <c r="A98">
        <f>ROW()-2</f>
        <v/>
      </c>
      <c r="B98">
        <f>IFERROR(INDEX('Keyword Map'!$G$3:$G$1002,MATCH(A98,'Keyword Map'!$AA$3:$AA$1002,0)),"")</f>
        <v/>
      </c>
      <c r="C98">
        <f>IF(B98="","",INDEX('Keyword Map'!$I$3:$I$1002,MATCH(A98,'Keyword Map'!$AA$3:$AA$1002,0))&amp;"")</f>
        <v/>
      </c>
      <c r="D98">
        <f>IF(B98="","",INDEX('Keyword Map'!$H$3:$H$1002,MATCH(A98,'Keyword Map'!$AA$3:$AA$1002,0))&amp;"")</f>
        <v/>
      </c>
      <c r="E98">
        <f>IF(B98="","",COUNTIF('Keyword Map'!$G$3:$G$1002,SUBSTITUTE(SUBSTITUTE(B98,"?","~?"),"*","~*")))</f>
        <v/>
      </c>
      <c r="F98">
        <f>IF(B98="","",COUNTIFS('Keyword Map'!$G$3:$G$1002,SUBSTITUTE(SUBSTITUTE(B98,"?","~?"),"*","~*"),'Keyword Map'!$J$3:$J$1002,"Primary"))</f>
        <v/>
      </c>
      <c r="G98">
        <f>IF(B98="","",SUMIFS('Keyword Map'!$C$3:$C$1002,'Keyword Map'!$G$3:$G$1002,SUBSTITUTE(SUBSTITUTE(B98,"?","~?"),"*","~*")))</f>
        <v/>
      </c>
      <c r="H98">
        <f>IF(B98="","",IFERROR(ROUND(AVERAGEIFS('Keyword Map'!$P$3:$P$1002,'Keyword Map'!$G$3:$G$1002,SUBSTITUTE(SUBSTITUTE(B98,"?","~?"),"*","~*")),0),""))</f>
        <v/>
      </c>
      <c r="I98">
        <f>IF(B98="","",COUNTIFS('Keyword Map'!$G$3:$G$1002,SUBSTITUTE(SUBSTITUTE(B98,"?","~?"),"*","~*"),'Keyword Map'!$R$3:$R$1002,"Yes"))</f>
        <v/>
      </c>
      <c r="J98">
        <f>IF(B98="","",COUNTIFS('Keyword Map'!$G$3:$G$1002,SUBSTITUTE(SUBSTITUTE(B98,"?","~?"),"*","~*"),'Keyword Map'!$W$3:$W$1002,"Yes"))</f>
        <v/>
      </c>
      <c r="K98">
        <f>IF(B98="","",IF(F98=0,"No primary keyword",IF(F98&gt;Settings!$B$4,"Too many primary keywords",IF(I98+J98&gt;0,"Check flags","OK"))))</f>
        <v/>
      </c>
    </row>
    <row r="99">
      <c r="A99">
        <f>ROW()-2</f>
        <v/>
      </c>
      <c r="B99">
        <f>IFERROR(INDEX('Keyword Map'!$G$3:$G$1002,MATCH(A99,'Keyword Map'!$AA$3:$AA$1002,0)),"")</f>
        <v/>
      </c>
      <c r="C99">
        <f>IF(B99="","",INDEX('Keyword Map'!$I$3:$I$1002,MATCH(A99,'Keyword Map'!$AA$3:$AA$1002,0))&amp;"")</f>
        <v/>
      </c>
      <c r="D99">
        <f>IF(B99="","",INDEX('Keyword Map'!$H$3:$H$1002,MATCH(A99,'Keyword Map'!$AA$3:$AA$1002,0))&amp;"")</f>
        <v/>
      </c>
      <c r="E99">
        <f>IF(B99="","",COUNTIF('Keyword Map'!$G$3:$G$1002,SUBSTITUTE(SUBSTITUTE(B99,"?","~?"),"*","~*")))</f>
        <v/>
      </c>
      <c r="F99">
        <f>IF(B99="","",COUNTIFS('Keyword Map'!$G$3:$G$1002,SUBSTITUTE(SUBSTITUTE(B99,"?","~?"),"*","~*"),'Keyword Map'!$J$3:$J$1002,"Primary"))</f>
        <v/>
      </c>
      <c r="G99">
        <f>IF(B99="","",SUMIFS('Keyword Map'!$C$3:$C$1002,'Keyword Map'!$G$3:$G$1002,SUBSTITUTE(SUBSTITUTE(B99,"?","~?"),"*","~*")))</f>
        <v/>
      </c>
      <c r="H99">
        <f>IF(B99="","",IFERROR(ROUND(AVERAGEIFS('Keyword Map'!$P$3:$P$1002,'Keyword Map'!$G$3:$G$1002,SUBSTITUTE(SUBSTITUTE(B99,"?","~?"),"*","~*")),0),""))</f>
        <v/>
      </c>
      <c r="I99">
        <f>IF(B99="","",COUNTIFS('Keyword Map'!$G$3:$G$1002,SUBSTITUTE(SUBSTITUTE(B99,"?","~?"),"*","~*"),'Keyword Map'!$R$3:$R$1002,"Yes"))</f>
        <v/>
      </c>
      <c r="J99">
        <f>IF(B99="","",COUNTIFS('Keyword Map'!$G$3:$G$1002,SUBSTITUTE(SUBSTITUTE(B99,"?","~?"),"*","~*"),'Keyword Map'!$W$3:$W$1002,"Yes"))</f>
        <v/>
      </c>
      <c r="K99">
        <f>IF(B99="","",IF(F99=0,"No primary keyword",IF(F99&gt;Settings!$B$4,"Too many primary keywords",IF(I99+J99&gt;0,"Check flags","OK"))))</f>
        <v/>
      </c>
    </row>
    <row r="100">
      <c r="A100">
        <f>ROW()-2</f>
        <v/>
      </c>
      <c r="B100">
        <f>IFERROR(INDEX('Keyword Map'!$G$3:$G$1002,MATCH(A100,'Keyword Map'!$AA$3:$AA$1002,0)),"")</f>
        <v/>
      </c>
      <c r="C100">
        <f>IF(B100="","",INDEX('Keyword Map'!$I$3:$I$1002,MATCH(A100,'Keyword Map'!$AA$3:$AA$1002,0))&amp;"")</f>
        <v/>
      </c>
      <c r="D100">
        <f>IF(B100="","",INDEX('Keyword Map'!$H$3:$H$1002,MATCH(A100,'Keyword Map'!$AA$3:$AA$1002,0))&amp;"")</f>
        <v/>
      </c>
      <c r="E100">
        <f>IF(B100="","",COUNTIF('Keyword Map'!$G$3:$G$1002,SUBSTITUTE(SUBSTITUTE(B100,"?","~?"),"*","~*")))</f>
        <v/>
      </c>
      <c r="F100">
        <f>IF(B100="","",COUNTIFS('Keyword Map'!$G$3:$G$1002,SUBSTITUTE(SUBSTITUTE(B100,"?","~?"),"*","~*"),'Keyword Map'!$J$3:$J$1002,"Primary"))</f>
        <v/>
      </c>
      <c r="G100">
        <f>IF(B100="","",SUMIFS('Keyword Map'!$C$3:$C$1002,'Keyword Map'!$G$3:$G$1002,SUBSTITUTE(SUBSTITUTE(B100,"?","~?"),"*","~*")))</f>
        <v/>
      </c>
      <c r="H100">
        <f>IF(B100="","",IFERROR(ROUND(AVERAGEIFS('Keyword Map'!$P$3:$P$1002,'Keyword Map'!$G$3:$G$1002,SUBSTITUTE(SUBSTITUTE(B100,"?","~?"),"*","~*")),0),""))</f>
        <v/>
      </c>
      <c r="I100">
        <f>IF(B100="","",COUNTIFS('Keyword Map'!$G$3:$G$1002,SUBSTITUTE(SUBSTITUTE(B100,"?","~?"),"*","~*"),'Keyword Map'!$R$3:$R$1002,"Yes"))</f>
        <v/>
      </c>
      <c r="J100">
        <f>IF(B100="","",COUNTIFS('Keyword Map'!$G$3:$G$1002,SUBSTITUTE(SUBSTITUTE(B100,"?","~?"),"*","~*"),'Keyword Map'!$W$3:$W$1002,"Yes"))</f>
        <v/>
      </c>
      <c r="K100">
        <f>IF(B100="","",IF(F100=0,"No primary keyword",IF(F100&gt;Settings!$B$4,"Too many primary keywords",IF(I100+J100&gt;0,"Check flags","OK"))))</f>
        <v/>
      </c>
    </row>
    <row r="101">
      <c r="A101">
        <f>ROW()-2</f>
        <v/>
      </c>
      <c r="B101">
        <f>IFERROR(INDEX('Keyword Map'!$G$3:$G$1002,MATCH(A101,'Keyword Map'!$AA$3:$AA$1002,0)),"")</f>
        <v/>
      </c>
      <c r="C101">
        <f>IF(B101="","",INDEX('Keyword Map'!$I$3:$I$1002,MATCH(A101,'Keyword Map'!$AA$3:$AA$1002,0))&amp;"")</f>
        <v/>
      </c>
      <c r="D101">
        <f>IF(B101="","",INDEX('Keyword Map'!$H$3:$H$1002,MATCH(A101,'Keyword Map'!$AA$3:$AA$1002,0))&amp;"")</f>
        <v/>
      </c>
      <c r="E101">
        <f>IF(B101="","",COUNTIF('Keyword Map'!$G$3:$G$1002,SUBSTITUTE(SUBSTITUTE(B101,"?","~?"),"*","~*")))</f>
        <v/>
      </c>
      <c r="F101">
        <f>IF(B101="","",COUNTIFS('Keyword Map'!$G$3:$G$1002,SUBSTITUTE(SUBSTITUTE(B101,"?","~?"),"*","~*"),'Keyword Map'!$J$3:$J$1002,"Primary"))</f>
        <v/>
      </c>
      <c r="G101">
        <f>IF(B101="","",SUMIFS('Keyword Map'!$C$3:$C$1002,'Keyword Map'!$G$3:$G$1002,SUBSTITUTE(SUBSTITUTE(B101,"?","~?"),"*","~*")))</f>
        <v/>
      </c>
      <c r="H101">
        <f>IF(B101="","",IFERROR(ROUND(AVERAGEIFS('Keyword Map'!$P$3:$P$1002,'Keyword Map'!$G$3:$G$1002,SUBSTITUTE(SUBSTITUTE(B101,"?","~?"),"*","~*")),0),""))</f>
        <v/>
      </c>
      <c r="I101">
        <f>IF(B101="","",COUNTIFS('Keyword Map'!$G$3:$G$1002,SUBSTITUTE(SUBSTITUTE(B101,"?","~?"),"*","~*"),'Keyword Map'!$R$3:$R$1002,"Yes"))</f>
        <v/>
      </c>
      <c r="J101">
        <f>IF(B101="","",COUNTIFS('Keyword Map'!$G$3:$G$1002,SUBSTITUTE(SUBSTITUTE(B101,"?","~?"),"*","~*"),'Keyword Map'!$W$3:$W$1002,"Yes"))</f>
        <v/>
      </c>
      <c r="K101">
        <f>IF(B101="","",IF(F101=0,"No primary keyword",IF(F101&gt;Settings!$B$4,"Too many primary keywords",IF(I101+J101&gt;0,"Check flags","OK"))))</f>
        <v/>
      </c>
    </row>
    <row r="102">
      <c r="A102">
        <f>ROW()-2</f>
        <v/>
      </c>
      <c r="B102">
        <f>IFERROR(INDEX('Keyword Map'!$G$3:$G$1002,MATCH(A102,'Keyword Map'!$AA$3:$AA$1002,0)),"")</f>
        <v/>
      </c>
      <c r="C102">
        <f>IF(B102="","",INDEX('Keyword Map'!$I$3:$I$1002,MATCH(A102,'Keyword Map'!$AA$3:$AA$1002,0))&amp;"")</f>
        <v/>
      </c>
      <c r="D102">
        <f>IF(B102="","",INDEX('Keyword Map'!$H$3:$H$1002,MATCH(A102,'Keyword Map'!$AA$3:$AA$1002,0))&amp;"")</f>
        <v/>
      </c>
      <c r="E102">
        <f>IF(B102="","",COUNTIF('Keyword Map'!$G$3:$G$1002,SUBSTITUTE(SUBSTITUTE(B102,"?","~?"),"*","~*")))</f>
        <v/>
      </c>
      <c r="F102">
        <f>IF(B102="","",COUNTIFS('Keyword Map'!$G$3:$G$1002,SUBSTITUTE(SUBSTITUTE(B102,"?","~?"),"*","~*"),'Keyword Map'!$J$3:$J$1002,"Primary"))</f>
        <v/>
      </c>
      <c r="G102">
        <f>IF(B102="","",SUMIFS('Keyword Map'!$C$3:$C$1002,'Keyword Map'!$G$3:$G$1002,SUBSTITUTE(SUBSTITUTE(B102,"?","~?"),"*","~*")))</f>
        <v/>
      </c>
      <c r="H102">
        <f>IF(B102="","",IFERROR(ROUND(AVERAGEIFS('Keyword Map'!$P$3:$P$1002,'Keyword Map'!$G$3:$G$1002,SUBSTITUTE(SUBSTITUTE(B102,"?","~?"),"*","~*")),0),""))</f>
        <v/>
      </c>
      <c r="I102">
        <f>IF(B102="","",COUNTIFS('Keyword Map'!$G$3:$G$1002,SUBSTITUTE(SUBSTITUTE(B102,"?","~?"),"*","~*"),'Keyword Map'!$R$3:$R$1002,"Yes"))</f>
        <v/>
      </c>
      <c r="J102">
        <f>IF(B102="","",COUNTIFS('Keyword Map'!$G$3:$G$1002,SUBSTITUTE(SUBSTITUTE(B102,"?","~?"),"*","~*"),'Keyword Map'!$W$3:$W$1002,"Yes"))</f>
        <v/>
      </c>
      <c r="K102">
        <f>IF(B102="","",IF(F102=0,"No primary keyword",IF(F102&gt;Settings!$B$4,"Too many primary keywords",IF(I102+J102&gt;0,"Check flags","OK"))))</f>
        <v/>
      </c>
    </row>
    <row r="103">
      <c r="A103">
        <f>ROW()-2</f>
        <v/>
      </c>
      <c r="B103">
        <f>IFERROR(INDEX('Keyword Map'!$G$3:$G$1002,MATCH(A103,'Keyword Map'!$AA$3:$AA$1002,0)),"")</f>
        <v/>
      </c>
      <c r="C103">
        <f>IF(B103="","",INDEX('Keyword Map'!$I$3:$I$1002,MATCH(A103,'Keyword Map'!$AA$3:$AA$1002,0))&amp;"")</f>
        <v/>
      </c>
      <c r="D103">
        <f>IF(B103="","",INDEX('Keyword Map'!$H$3:$H$1002,MATCH(A103,'Keyword Map'!$AA$3:$AA$1002,0))&amp;"")</f>
        <v/>
      </c>
      <c r="E103">
        <f>IF(B103="","",COUNTIF('Keyword Map'!$G$3:$G$1002,SUBSTITUTE(SUBSTITUTE(B103,"?","~?"),"*","~*")))</f>
        <v/>
      </c>
      <c r="F103">
        <f>IF(B103="","",COUNTIFS('Keyword Map'!$G$3:$G$1002,SUBSTITUTE(SUBSTITUTE(B103,"?","~?"),"*","~*"),'Keyword Map'!$J$3:$J$1002,"Primary"))</f>
        <v/>
      </c>
      <c r="G103">
        <f>IF(B103="","",SUMIFS('Keyword Map'!$C$3:$C$1002,'Keyword Map'!$G$3:$G$1002,SUBSTITUTE(SUBSTITUTE(B103,"?","~?"),"*","~*")))</f>
        <v/>
      </c>
      <c r="H103">
        <f>IF(B103="","",IFERROR(ROUND(AVERAGEIFS('Keyword Map'!$P$3:$P$1002,'Keyword Map'!$G$3:$G$1002,SUBSTITUTE(SUBSTITUTE(B103,"?","~?"),"*","~*")),0),""))</f>
        <v/>
      </c>
      <c r="I103">
        <f>IF(B103="","",COUNTIFS('Keyword Map'!$G$3:$G$1002,SUBSTITUTE(SUBSTITUTE(B103,"?","~?"),"*","~*"),'Keyword Map'!$R$3:$R$1002,"Yes"))</f>
        <v/>
      </c>
      <c r="J103">
        <f>IF(B103="","",COUNTIFS('Keyword Map'!$G$3:$G$1002,SUBSTITUTE(SUBSTITUTE(B103,"?","~?"),"*","~*"),'Keyword Map'!$W$3:$W$1002,"Yes"))</f>
        <v/>
      </c>
      <c r="K103">
        <f>IF(B103="","",IF(F103=0,"No primary keyword",IF(F103&gt;Settings!$B$4,"Too many primary keywords",IF(I103+J103&gt;0,"Check flags","OK"))))</f>
        <v/>
      </c>
    </row>
    <row r="104">
      <c r="A104">
        <f>ROW()-2</f>
        <v/>
      </c>
      <c r="B104">
        <f>IFERROR(INDEX('Keyword Map'!$G$3:$G$1002,MATCH(A104,'Keyword Map'!$AA$3:$AA$1002,0)),"")</f>
        <v/>
      </c>
      <c r="C104">
        <f>IF(B104="","",INDEX('Keyword Map'!$I$3:$I$1002,MATCH(A104,'Keyword Map'!$AA$3:$AA$1002,0))&amp;"")</f>
        <v/>
      </c>
      <c r="D104">
        <f>IF(B104="","",INDEX('Keyword Map'!$H$3:$H$1002,MATCH(A104,'Keyword Map'!$AA$3:$AA$1002,0))&amp;"")</f>
        <v/>
      </c>
      <c r="E104">
        <f>IF(B104="","",COUNTIF('Keyword Map'!$G$3:$G$1002,SUBSTITUTE(SUBSTITUTE(B104,"?","~?"),"*","~*")))</f>
        <v/>
      </c>
      <c r="F104">
        <f>IF(B104="","",COUNTIFS('Keyword Map'!$G$3:$G$1002,SUBSTITUTE(SUBSTITUTE(B104,"?","~?"),"*","~*"),'Keyword Map'!$J$3:$J$1002,"Primary"))</f>
        <v/>
      </c>
      <c r="G104">
        <f>IF(B104="","",SUMIFS('Keyword Map'!$C$3:$C$1002,'Keyword Map'!$G$3:$G$1002,SUBSTITUTE(SUBSTITUTE(B104,"?","~?"),"*","~*")))</f>
        <v/>
      </c>
      <c r="H104">
        <f>IF(B104="","",IFERROR(ROUND(AVERAGEIFS('Keyword Map'!$P$3:$P$1002,'Keyword Map'!$G$3:$G$1002,SUBSTITUTE(SUBSTITUTE(B104,"?","~?"),"*","~*")),0),""))</f>
        <v/>
      </c>
      <c r="I104">
        <f>IF(B104="","",COUNTIFS('Keyword Map'!$G$3:$G$1002,SUBSTITUTE(SUBSTITUTE(B104,"?","~?"),"*","~*"),'Keyword Map'!$R$3:$R$1002,"Yes"))</f>
        <v/>
      </c>
      <c r="J104">
        <f>IF(B104="","",COUNTIFS('Keyword Map'!$G$3:$G$1002,SUBSTITUTE(SUBSTITUTE(B104,"?","~?"),"*","~*"),'Keyword Map'!$W$3:$W$1002,"Yes"))</f>
        <v/>
      </c>
      <c r="K104">
        <f>IF(B104="","",IF(F104=0,"No primary keyword",IF(F104&gt;Settings!$B$4,"Too many primary keywords",IF(I104+J104&gt;0,"Check flags","OK"))))</f>
        <v/>
      </c>
    </row>
    <row r="105">
      <c r="A105">
        <f>ROW()-2</f>
        <v/>
      </c>
      <c r="B105">
        <f>IFERROR(INDEX('Keyword Map'!$G$3:$G$1002,MATCH(A105,'Keyword Map'!$AA$3:$AA$1002,0)),"")</f>
        <v/>
      </c>
      <c r="C105">
        <f>IF(B105="","",INDEX('Keyword Map'!$I$3:$I$1002,MATCH(A105,'Keyword Map'!$AA$3:$AA$1002,0))&amp;"")</f>
        <v/>
      </c>
      <c r="D105">
        <f>IF(B105="","",INDEX('Keyword Map'!$H$3:$H$1002,MATCH(A105,'Keyword Map'!$AA$3:$AA$1002,0))&amp;"")</f>
        <v/>
      </c>
      <c r="E105">
        <f>IF(B105="","",COUNTIF('Keyword Map'!$G$3:$G$1002,SUBSTITUTE(SUBSTITUTE(B105,"?","~?"),"*","~*")))</f>
        <v/>
      </c>
      <c r="F105">
        <f>IF(B105="","",COUNTIFS('Keyword Map'!$G$3:$G$1002,SUBSTITUTE(SUBSTITUTE(B105,"?","~?"),"*","~*"),'Keyword Map'!$J$3:$J$1002,"Primary"))</f>
        <v/>
      </c>
      <c r="G105">
        <f>IF(B105="","",SUMIFS('Keyword Map'!$C$3:$C$1002,'Keyword Map'!$G$3:$G$1002,SUBSTITUTE(SUBSTITUTE(B105,"?","~?"),"*","~*")))</f>
        <v/>
      </c>
      <c r="H105">
        <f>IF(B105="","",IFERROR(ROUND(AVERAGEIFS('Keyword Map'!$P$3:$P$1002,'Keyword Map'!$G$3:$G$1002,SUBSTITUTE(SUBSTITUTE(B105,"?","~?"),"*","~*")),0),""))</f>
        <v/>
      </c>
      <c r="I105">
        <f>IF(B105="","",COUNTIFS('Keyword Map'!$G$3:$G$1002,SUBSTITUTE(SUBSTITUTE(B105,"?","~?"),"*","~*"),'Keyword Map'!$R$3:$R$1002,"Yes"))</f>
        <v/>
      </c>
      <c r="J105">
        <f>IF(B105="","",COUNTIFS('Keyword Map'!$G$3:$G$1002,SUBSTITUTE(SUBSTITUTE(B105,"?","~?"),"*","~*"),'Keyword Map'!$W$3:$W$1002,"Yes"))</f>
        <v/>
      </c>
      <c r="K105">
        <f>IF(B105="","",IF(F105=0,"No primary keyword",IF(F105&gt;Settings!$B$4,"Too many primary keywords",IF(I105+J105&gt;0,"Check flags","OK"))))</f>
        <v/>
      </c>
    </row>
    <row r="106">
      <c r="A106">
        <f>ROW()-2</f>
        <v/>
      </c>
      <c r="B106">
        <f>IFERROR(INDEX('Keyword Map'!$G$3:$G$1002,MATCH(A106,'Keyword Map'!$AA$3:$AA$1002,0)),"")</f>
        <v/>
      </c>
      <c r="C106">
        <f>IF(B106="","",INDEX('Keyword Map'!$I$3:$I$1002,MATCH(A106,'Keyword Map'!$AA$3:$AA$1002,0))&amp;"")</f>
        <v/>
      </c>
      <c r="D106">
        <f>IF(B106="","",INDEX('Keyword Map'!$H$3:$H$1002,MATCH(A106,'Keyword Map'!$AA$3:$AA$1002,0))&amp;"")</f>
        <v/>
      </c>
      <c r="E106">
        <f>IF(B106="","",COUNTIF('Keyword Map'!$G$3:$G$1002,SUBSTITUTE(SUBSTITUTE(B106,"?","~?"),"*","~*")))</f>
        <v/>
      </c>
      <c r="F106">
        <f>IF(B106="","",COUNTIFS('Keyword Map'!$G$3:$G$1002,SUBSTITUTE(SUBSTITUTE(B106,"?","~?"),"*","~*"),'Keyword Map'!$J$3:$J$1002,"Primary"))</f>
        <v/>
      </c>
      <c r="G106">
        <f>IF(B106="","",SUMIFS('Keyword Map'!$C$3:$C$1002,'Keyword Map'!$G$3:$G$1002,SUBSTITUTE(SUBSTITUTE(B106,"?","~?"),"*","~*")))</f>
        <v/>
      </c>
      <c r="H106">
        <f>IF(B106="","",IFERROR(ROUND(AVERAGEIFS('Keyword Map'!$P$3:$P$1002,'Keyword Map'!$G$3:$G$1002,SUBSTITUTE(SUBSTITUTE(B106,"?","~?"),"*","~*")),0),""))</f>
        <v/>
      </c>
      <c r="I106">
        <f>IF(B106="","",COUNTIFS('Keyword Map'!$G$3:$G$1002,SUBSTITUTE(SUBSTITUTE(B106,"?","~?"),"*","~*"),'Keyword Map'!$R$3:$R$1002,"Yes"))</f>
        <v/>
      </c>
      <c r="J106">
        <f>IF(B106="","",COUNTIFS('Keyword Map'!$G$3:$G$1002,SUBSTITUTE(SUBSTITUTE(B106,"?","~?"),"*","~*"),'Keyword Map'!$W$3:$W$1002,"Yes"))</f>
        <v/>
      </c>
      <c r="K106">
        <f>IF(B106="","",IF(F106=0,"No primary keyword",IF(F106&gt;Settings!$B$4,"Too many primary keywords",IF(I106+J106&gt;0,"Check flags","OK"))))</f>
        <v/>
      </c>
    </row>
    <row r="107">
      <c r="A107">
        <f>ROW()-2</f>
        <v/>
      </c>
      <c r="B107">
        <f>IFERROR(INDEX('Keyword Map'!$G$3:$G$1002,MATCH(A107,'Keyword Map'!$AA$3:$AA$1002,0)),"")</f>
        <v/>
      </c>
      <c r="C107">
        <f>IF(B107="","",INDEX('Keyword Map'!$I$3:$I$1002,MATCH(A107,'Keyword Map'!$AA$3:$AA$1002,0))&amp;"")</f>
        <v/>
      </c>
      <c r="D107">
        <f>IF(B107="","",INDEX('Keyword Map'!$H$3:$H$1002,MATCH(A107,'Keyword Map'!$AA$3:$AA$1002,0))&amp;"")</f>
        <v/>
      </c>
      <c r="E107">
        <f>IF(B107="","",COUNTIF('Keyword Map'!$G$3:$G$1002,SUBSTITUTE(SUBSTITUTE(B107,"?","~?"),"*","~*")))</f>
        <v/>
      </c>
      <c r="F107">
        <f>IF(B107="","",COUNTIFS('Keyword Map'!$G$3:$G$1002,SUBSTITUTE(SUBSTITUTE(B107,"?","~?"),"*","~*"),'Keyword Map'!$J$3:$J$1002,"Primary"))</f>
        <v/>
      </c>
      <c r="G107">
        <f>IF(B107="","",SUMIFS('Keyword Map'!$C$3:$C$1002,'Keyword Map'!$G$3:$G$1002,SUBSTITUTE(SUBSTITUTE(B107,"?","~?"),"*","~*")))</f>
        <v/>
      </c>
      <c r="H107">
        <f>IF(B107="","",IFERROR(ROUND(AVERAGEIFS('Keyword Map'!$P$3:$P$1002,'Keyword Map'!$G$3:$G$1002,SUBSTITUTE(SUBSTITUTE(B107,"?","~?"),"*","~*")),0),""))</f>
        <v/>
      </c>
      <c r="I107">
        <f>IF(B107="","",COUNTIFS('Keyword Map'!$G$3:$G$1002,SUBSTITUTE(SUBSTITUTE(B107,"?","~?"),"*","~*"),'Keyword Map'!$R$3:$R$1002,"Yes"))</f>
        <v/>
      </c>
      <c r="J107">
        <f>IF(B107="","",COUNTIFS('Keyword Map'!$G$3:$G$1002,SUBSTITUTE(SUBSTITUTE(B107,"?","~?"),"*","~*"),'Keyword Map'!$W$3:$W$1002,"Yes"))</f>
        <v/>
      </c>
      <c r="K107">
        <f>IF(B107="","",IF(F107=0,"No primary keyword",IF(F107&gt;Settings!$B$4,"Too many primary keywords",IF(I107+J107&gt;0,"Check flags","OK"))))</f>
        <v/>
      </c>
    </row>
    <row r="108">
      <c r="A108">
        <f>ROW()-2</f>
        <v/>
      </c>
      <c r="B108">
        <f>IFERROR(INDEX('Keyword Map'!$G$3:$G$1002,MATCH(A108,'Keyword Map'!$AA$3:$AA$1002,0)),"")</f>
        <v/>
      </c>
      <c r="C108">
        <f>IF(B108="","",INDEX('Keyword Map'!$I$3:$I$1002,MATCH(A108,'Keyword Map'!$AA$3:$AA$1002,0))&amp;"")</f>
        <v/>
      </c>
      <c r="D108">
        <f>IF(B108="","",INDEX('Keyword Map'!$H$3:$H$1002,MATCH(A108,'Keyword Map'!$AA$3:$AA$1002,0))&amp;"")</f>
        <v/>
      </c>
      <c r="E108">
        <f>IF(B108="","",COUNTIF('Keyword Map'!$G$3:$G$1002,SUBSTITUTE(SUBSTITUTE(B108,"?","~?"),"*","~*")))</f>
        <v/>
      </c>
      <c r="F108">
        <f>IF(B108="","",COUNTIFS('Keyword Map'!$G$3:$G$1002,SUBSTITUTE(SUBSTITUTE(B108,"?","~?"),"*","~*"),'Keyword Map'!$J$3:$J$1002,"Primary"))</f>
        <v/>
      </c>
      <c r="G108">
        <f>IF(B108="","",SUMIFS('Keyword Map'!$C$3:$C$1002,'Keyword Map'!$G$3:$G$1002,SUBSTITUTE(SUBSTITUTE(B108,"?","~?"),"*","~*")))</f>
        <v/>
      </c>
      <c r="H108">
        <f>IF(B108="","",IFERROR(ROUND(AVERAGEIFS('Keyword Map'!$P$3:$P$1002,'Keyword Map'!$G$3:$G$1002,SUBSTITUTE(SUBSTITUTE(B108,"?","~?"),"*","~*")),0),""))</f>
        <v/>
      </c>
      <c r="I108">
        <f>IF(B108="","",COUNTIFS('Keyword Map'!$G$3:$G$1002,SUBSTITUTE(SUBSTITUTE(B108,"?","~?"),"*","~*"),'Keyword Map'!$R$3:$R$1002,"Yes"))</f>
        <v/>
      </c>
      <c r="J108">
        <f>IF(B108="","",COUNTIFS('Keyword Map'!$G$3:$G$1002,SUBSTITUTE(SUBSTITUTE(B108,"?","~?"),"*","~*"),'Keyword Map'!$W$3:$W$1002,"Yes"))</f>
        <v/>
      </c>
      <c r="K108">
        <f>IF(B108="","",IF(F108=0,"No primary keyword",IF(F108&gt;Settings!$B$4,"Too many primary keywords",IF(I108+J108&gt;0,"Check flags","OK"))))</f>
        <v/>
      </c>
    </row>
    <row r="109">
      <c r="A109">
        <f>ROW()-2</f>
        <v/>
      </c>
      <c r="B109">
        <f>IFERROR(INDEX('Keyword Map'!$G$3:$G$1002,MATCH(A109,'Keyword Map'!$AA$3:$AA$1002,0)),"")</f>
        <v/>
      </c>
      <c r="C109">
        <f>IF(B109="","",INDEX('Keyword Map'!$I$3:$I$1002,MATCH(A109,'Keyword Map'!$AA$3:$AA$1002,0))&amp;"")</f>
        <v/>
      </c>
      <c r="D109">
        <f>IF(B109="","",INDEX('Keyword Map'!$H$3:$H$1002,MATCH(A109,'Keyword Map'!$AA$3:$AA$1002,0))&amp;"")</f>
        <v/>
      </c>
      <c r="E109">
        <f>IF(B109="","",COUNTIF('Keyword Map'!$G$3:$G$1002,SUBSTITUTE(SUBSTITUTE(B109,"?","~?"),"*","~*")))</f>
        <v/>
      </c>
      <c r="F109">
        <f>IF(B109="","",COUNTIFS('Keyword Map'!$G$3:$G$1002,SUBSTITUTE(SUBSTITUTE(B109,"?","~?"),"*","~*"),'Keyword Map'!$J$3:$J$1002,"Primary"))</f>
        <v/>
      </c>
      <c r="G109">
        <f>IF(B109="","",SUMIFS('Keyword Map'!$C$3:$C$1002,'Keyword Map'!$G$3:$G$1002,SUBSTITUTE(SUBSTITUTE(B109,"?","~?"),"*","~*")))</f>
        <v/>
      </c>
      <c r="H109">
        <f>IF(B109="","",IFERROR(ROUND(AVERAGEIFS('Keyword Map'!$P$3:$P$1002,'Keyword Map'!$G$3:$G$1002,SUBSTITUTE(SUBSTITUTE(B109,"?","~?"),"*","~*")),0),""))</f>
        <v/>
      </c>
      <c r="I109">
        <f>IF(B109="","",COUNTIFS('Keyword Map'!$G$3:$G$1002,SUBSTITUTE(SUBSTITUTE(B109,"?","~?"),"*","~*"),'Keyword Map'!$R$3:$R$1002,"Yes"))</f>
        <v/>
      </c>
      <c r="J109">
        <f>IF(B109="","",COUNTIFS('Keyword Map'!$G$3:$G$1002,SUBSTITUTE(SUBSTITUTE(B109,"?","~?"),"*","~*"),'Keyword Map'!$W$3:$W$1002,"Yes"))</f>
        <v/>
      </c>
      <c r="K109">
        <f>IF(B109="","",IF(F109=0,"No primary keyword",IF(F109&gt;Settings!$B$4,"Too many primary keywords",IF(I109+J109&gt;0,"Check flags","OK"))))</f>
        <v/>
      </c>
    </row>
    <row r="110">
      <c r="A110">
        <f>ROW()-2</f>
        <v/>
      </c>
      <c r="B110">
        <f>IFERROR(INDEX('Keyword Map'!$G$3:$G$1002,MATCH(A110,'Keyword Map'!$AA$3:$AA$1002,0)),"")</f>
        <v/>
      </c>
      <c r="C110">
        <f>IF(B110="","",INDEX('Keyword Map'!$I$3:$I$1002,MATCH(A110,'Keyword Map'!$AA$3:$AA$1002,0))&amp;"")</f>
        <v/>
      </c>
      <c r="D110">
        <f>IF(B110="","",INDEX('Keyword Map'!$H$3:$H$1002,MATCH(A110,'Keyword Map'!$AA$3:$AA$1002,0))&amp;"")</f>
        <v/>
      </c>
      <c r="E110">
        <f>IF(B110="","",COUNTIF('Keyword Map'!$G$3:$G$1002,SUBSTITUTE(SUBSTITUTE(B110,"?","~?"),"*","~*")))</f>
        <v/>
      </c>
      <c r="F110">
        <f>IF(B110="","",COUNTIFS('Keyword Map'!$G$3:$G$1002,SUBSTITUTE(SUBSTITUTE(B110,"?","~?"),"*","~*"),'Keyword Map'!$J$3:$J$1002,"Primary"))</f>
        <v/>
      </c>
      <c r="G110">
        <f>IF(B110="","",SUMIFS('Keyword Map'!$C$3:$C$1002,'Keyword Map'!$G$3:$G$1002,SUBSTITUTE(SUBSTITUTE(B110,"?","~?"),"*","~*")))</f>
        <v/>
      </c>
      <c r="H110">
        <f>IF(B110="","",IFERROR(ROUND(AVERAGEIFS('Keyword Map'!$P$3:$P$1002,'Keyword Map'!$G$3:$G$1002,SUBSTITUTE(SUBSTITUTE(B110,"?","~?"),"*","~*")),0),""))</f>
        <v/>
      </c>
      <c r="I110">
        <f>IF(B110="","",COUNTIFS('Keyword Map'!$G$3:$G$1002,SUBSTITUTE(SUBSTITUTE(B110,"?","~?"),"*","~*"),'Keyword Map'!$R$3:$R$1002,"Yes"))</f>
        <v/>
      </c>
      <c r="J110">
        <f>IF(B110="","",COUNTIFS('Keyword Map'!$G$3:$G$1002,SUBSTITUTE(SUBSTITUTE(B110,"?","~?"),"*","~*"),'Keyword Map'!$W$3:$W$1002,"Yes"))</f>
        <v/>
      </c>
      <c r="K110">
        <f>IF(B110="","",IF(F110=0,"No primary keyword",IF(F110&gt;Settings!$B$4,"Too many primary keywords",IF(I110+J110&gt;0,"Check flags","OK"))))</f>
        <v/>
      </c>
    </row>
    <row r="111">
      <c r="A111">
        <f>ROW()-2</f>
        <v/>
      </c>
      <c r="B111">
        <f>IFERROR(INDEX('Keyword Map'!$G$3:$G$1002,MATCH(A111,'Keyword Map'!$AA$3:$AA$1002,0)),"")</f>
        <v/>
      </c>
      <c r="C111">
        <f>IF(B111="","",INDEX('Keyword Map'!$I$3:$I$1002,MATCH(A111,'Keyword Map'!$AA$3:$AA$1002,0))&amp;"")</f>
        <v/>
      </c>
      <c r="D111">
        <f>IF(B111="","",INDEX('Keyword Map'!$H$3:$H$1002,MATCH(A111,'Keyword Map'!$AA$3:$AA$1002,0))&amp;"")</f>
        <v/>
      </c>
      <c r="E111">
        <f>IF(B111="","",COUNTIF('Keyword Map'!$G$3:$G$1002,SUBSTITUTE(SUBSTITUTE(B111,"?","~?"),"*","~*")))</f>
        <v/>
      </c>
      <c r="F111">
        <f>IF(B111="","",COUNTIFS('Keyword Map'!$G$3:$G$1002,SUBSTITUTE(SUBSTITUTE(B111,"?","~?"),"*","~*"),'Keyword Map'!$J$3:$J$1002,"Primary"))</f>
        <v/>
      </c>
      <c r="G111">
        <f>IF(B111="","",SUMIFS('Keyword Map'!$C$3:$C$1002,'Keyword Map'!$G$3:$G$1002,SUBSTITUTE(SUBSTITUTE(B111,"?","~?"),"*","~*")))</f>
        <v/>
      </c>
      <c r="H111">
        <f>IF(B111="","",IFERROR(ROUND(AVERAGEIFS('Keyword Map'!$P$3:$P$1002,'Keyword Map'!$G$3:$G$1002,SUBSTITUTE(SUBSTITUTE(B111,"?","~?"),"*","~*")),0),""))</f>
        <v/>
      </c>
      <c r="I111">
        <f>IF(B111="","",COUNTIFS('Keyword Map'!$G$3:$G$1002,SUBSTITUTE(SUBSTITUTE(B111,"?","~?"),"*","~*"),'Keyword Map'!$R$3:$R$1002,"Yes"))</f>
        <v/>
      </c>
      <c r="J111">
        <f>IF(B111="","",COUNTIFS('Keyword Map'!$G$3:$G$1002,SUBSTITUTE(SUBSTITUTE(B111,"?","~?"),"*","~*"),'Keyword Map'!$W$3:$W$1002,"Yes"))</f>
        <v/>
      </c>
      <c r="K111">
        <f>IF(B111="","",IF(F111=0,"No primary keyword",IF(F111&gt;Settings!$B$4,"Too many primary keywords",IF(I111+J111&gt;0,"Check flags","OK"))))</f>
        <v/>
      </c>
    </row>
    <row r="112">
      <c r="A112">
        <f>ROW()-2</f>
        <v/>
      </c>
      <c r="B112">
        <f>IFERROR(INDEX('Keyword Map'!$G$3:$G$1002,MATCH(A112,'Keyword Map'!$AA$3:$AA$1002,0)),"")</f>
        <v/>
      </c>
      <c r="C112">
        <f>IF(B112="","",INDEX('Keyword Map'!$I$3:$I$1002,MATCH(A112,'Keyword Map'!$AA$3:$AA$1002,0))&amp;"")</f>
        <v/>
      </c>
      <c r="D112">
        <f>IF(B112="","",INDEX('Keyword Map'!$H$3:$H$1002,MATCH(A112,'Keyword Map'!$AA$3:$AA$1002,0))&amp;"")</f>
        <v/>
      </c>
      <c r="E112">
        <f>IF(B112="","",COUNTIF('Keyword Map'!$G$3:$G$1002,SUBSTITUTE(SUBSTITUTE(B112,"?","~?"),"*","~*")))</f>
        <v/>
      </c>
      <c r="F112">
        <f>IF(B112="","",COUNTIFS('Keyword Map'!$G$3:$G$1002,SUBSTITUTE(SUBSTITUTE(B112,"?","~?"),"*","~*"),'Keyword Map'!$J$3:$J$1002,"Primary"))</f>
        <v/>
      </c>
      <c r="G112">
        <f>IF(B112="","",SUMIFS('Keyword Map'!$C$3:$C$1002,'Keyword Map'!$G$3:$G$1002,SUBSTITUTE(SUBSTITUTE(B112,"?","~?"),"*","~*")))</f>
        <v/>
      </c>
      <c r="H112">
        <f>IF(B112="","",IFERROR(ROUND(AVERAGEIFS('Keyword Map'!$P$3:$P$1002,'Keyword Map'!$G$3:$G$1002,SUBSTITUTE(SUBSTITUTE(B112,"?","~?"),"*","~*")),0),""))</f>
        <v/>
      </c>
      <c r="I112">
        <f>IF(B112="","",COUNTIFS('Keyword Map'!$G$3:$G$1002,SUBSTITUTE(SUBSTITUTE(B112,"?","~?"),"*","~*"),'Keyword Map'!$R$3:$R$1002,"Yes"))</f>
        <v/>
      </c>
      <c r="J112">
        <f>IF(B112="","",COUNTIFS('Keyword Map'!$G$3:$G$1002,SUBSTITUTE(SUBSTITUTE(B112,"?","~?"),"*","~*"),'Keyword Map'!$W$3:$W$1002,"Yes"))</f>
        <v/>
      </c>
      <c r="K112">
        <f>IF(B112="","",IF(F112=0,"No primary keyword",IF(F112&gt;Settings!$B$4,"Too many primary keywords",IF(I112+J112&gt;0,"Check flags","OK"))))</f>
        <v/>
      </c>
    </row>
    <row r="113">
      <c r="A113">
        <f>ROW()-2</f>
        <v/>
      </c>
      <c r="B113">
        <f>IFERROR(INDEX('Keyword Map'!$G$3:$G$1002,MATCH(A113,'Keyword Map'!$AA$3:$AA$1002,0)),"")</f>
        <v/>
      </c>
      <c r="C113">
        <f>IF(B113="","",INDEX('Keyword Map'!$I$3:$I$1002,MATCH(A113,'Keyword Map'!$AA$3:$AA$1002,0))&amp;"")</f>
        <v/>
      </c>
      <c r="D113">
        <f>IF(B113="","",INDEX('Keyword Map'!$H$3:$H$1002,MATCH(A113,'Keyword Map'!$AA$3:$AA$1002,0))&amp;"")</f>
        <v/>
      </c>
      <c r="E113">
        <f>IF(B113="","",COUNTIF('Keyword Map'!$G$3:$G$1002,SUBSTITUTE(SUBSTITUTE(B113,"?","~?"),"*","~*")))</f>
        <v/>
      </c>
      <c r="F113">
        <f>IF(B113="","",COUNTIFS('Keyword Map'!$G$3:$G$1002,SUBSTITUTE(SUBSTITUTE(B113,"?","~?"),"*","~*"),'Keyword Map'!$J$3:$J$1002,"Primary"))</f>
        <v/>
      </c>
      <c r="G113">
        <f>IF(B113="","",SUMIFS('Keyword Map'!$C$3:$C$1002,'Keyword Map'!$G$3:$G$1002,SUBSTITUTE(SUBSTITUTE(B113,"?","~?"),"*","~*")))</f>
        <v/>
      </c>
      <c r="H113">
        <f>IF(B113="","",IFERROR(ROUND(AVERAGEIFS('Keyword Map'!$P$3:$P$1002,'Keyword Map'!$G$3:$G$1002,SUBSTITUTE(SUBSTITUTE(B113,"?","~?"),"*","~*")),0),""))</f>
        <v/>
      </c>
      <c r="I113">
        <f>IF(B113="","",COUNTIFS('Keyword Map'!$G$3:$G$1002,SUBSTITUTE(SUBSTITUTE(B113,"?","~?"),"*","~*"),'Keyword Map'!$R$3:$R$1002,"Yes"))</f>
        <v/>
      </c>
      <c r="J113">
        <f>IF(B113="","",COUNTIFS('Keyword Map'!$G$3:$G$1002,SUBSTITUTE(SUBSTITUTE(B113,"?","~?"),"*","~*"),'Keyword Map'!$W$3:$W$1002,"Yes"))</f>
        <v/>
      </c>
      <c r="K113">
        <f>IF(B113="","",IF(F113=0,"No primary keyword",IF(F113&gt;Settings!$B$4,"Too many primary keywords",IF(I113+J113&gt;0,"Check flags","OK"))))</f>
        <v/>
      </c>
    </row>
    <row r="114">
      <c r="A114">
        <f>ROW()-2</f>
        <v/>
      </c>
      <c r="B114">
        <f>IFERROR(INDEX('Keyword Map'!$G$3:$G$1002,MATCH(A114,'Keyword Map'!$AA$3:$AA$1002,0)),"")</f>
        <v/>
      </c>
      <c r="C114">
        <f>IF(B114="","",INDEX('Keyword Map'!$I$3:$I$1002,MATCH(A114,'Keyword Map'!$AA$3:$AA$1002,0))&amp;"")</f>
        <v/>
      </c>
      <c r="D114">
        <f>IF(B114="","",INDEX('Keyword Map'!$H$3:$H$1002,MATCH(A114,'Keyword Map'!$AA$3:$AA$1002,0))&amp;"")</f>
        <v/>
      </c>
      <c r="E114">
        <f>IF(B114="","",COUNTIF('Keyword Map'!$G$3:$G$1002,SUBSTITUTE(SUBSTITUTE(B114,"?","~?"),"*","~*")))</f>
        <v/>
      </c>
      <c r="F114">
        <f>IF(B114="","",COUNTIFS('Keyword Map'!$G$3:$G$1002,SUBSTITUTE(SUBSTITUTE(B114,"?","~?"),"*","~*"),'Keyword Map'!$J$3:$J$1002,"Primary"))</f>
        <v/>
      </c>
      <c r="G114">
        <f>IF(B114="","",SUMIFS('Keyword Map'!$C$3:$C$1002,'Keyword Map'!$G$3:$G$1002,SUBSTITUTE(SUBSTITUTE(B114,"?","~?"),"*","~*")))</f>
        <v/>
      </c>
      <c r="H114">
        <f>IF(B114="","",IFERROR(ROUND(AVERAGEIFS('Keyword Map'!$P$3:$P$1002,'Keyword Map'!$G$3:$G$1002,SUBSTITUTE(SUBSTITUTE(B114,"?","~?"),"*","~*")),0),""))</f>
        <v/>
      </c>
      <c r="I114">
        <f>IF(B114="","",COUNTIFS('Keyword Map'!$G$3:$G$1002,SUBSTITUTE(SUBSTITUTE(B114,"?","~?"),"*","~*"),'Keyword Map'!$R$3:$R$1002,"Yes"))</f>
        <v/>
      </c>
      <c r="J114">
        <f>IF(B114="","",COUNTIFS('Keyword Map'!$G$3:$G$1002,SUBSTITUTE(SUBSTITUTE(B114,"?","~?"),"*","~*"),'Keyword Map'!$W$3:$W$1002,"Yes"))</f>
        <v/>
      </c>
      <c r="K114">
        <f>IF(B114="","",IF(F114=0,"No primary keyword",IF(F114&gt;Settings!$B$4,"Too many primary keywords",IF(I114+J114&gt;0,"Check flags","OK"))))</f>
        <v/>
      </c>
    </row>
    <row r="115">
      <c r="A115">
        <f>ROW()-2</f>
        <v/>
      </c>
      <c r="B115">
        <f>IFERROR(INDEX('Keyword Map'!$G$3:$G$1002,MATCH(A115,'Keyword Map'!$AA$3:$AA$1002,0)),"")</f>
        <v/>
      </c>
      <c r="C115">
        <f>IF(B115="","",INDEX('Keyword Map'!$I$3:$I$1002,MATCH(A115,'Keyword Map'!$AA$3:$AA$1002,0))&amp;"")</f>
        <v/>
      </c>
      <c r="D115">
        <f>IF(B115="","",INDEX('Keyword Map'!$H$3:$H$1002,MATCH(A115,'Keyword Map'!$AA$3:$AA$1002,0))&amp;"")</f>
        <v/>
      </c>
      <c r="E115">
        <f>IF(B115="","",COUNTIF('Keyword Map'!$G$3:$G$1002,SUBSTITUTE(SUBSTITUTE(B115,"?","~?"),"*","~*")))</f>
        <v/>
      </c>
      <c r="F115">
        <f>IF(B115="","",COUNTIFS('Keyword Map'!$G$3:$G$1002,SUBSTITUTE(SUBSTITUTE(B115,"?","~?"),"*","~*"),'Keyword Map'!$J$3:$J$1002,"Primary"))</f>
        <v/>
      </c>
      <c r="G115">
        <f>IF(B115="","",SUMIFS('Keyword Map'!$C$3:$C$1002,'Keyword Map'!$G$3:$G$1002,SUBSTITUTE(SUBSTITUTE(B115,"?","~?"),"*","~*")))</f>
        <v/>
      </c>
      <c r="H115">
        <f>IF(B115="","",IFERROR(ROUND(AVERAGEIFS('Keyword Map'!$P$3:$P$1002,'Keyword Map'!$G$3:$G$1002,SUBSTITUTE(SUBSTITUTE(B115,"?","~?"),"*","~*")),0),""))</f>
        <v/>
      </c>
      <c r="I115">
        <f>IF(B115="","",COUNTIFS('Keyword Map'!$G$3:$G$1002,SUBSTITUTE(SUBSTITUTE(B115,"?","~?"),"*","~*"),'Keyword Map'!$R$3:$R$1002,"Yes"))</f>
        <v/>
      </c>
      <c r="J115">
        <f>IF(B115="","",COUNTIFS('Keyword Map'!$G$3:$G$1002,SUBSTITUTE(SUBSTITUTE(B115,"?","~?"),"*","~*"),'Keyword Map'!$W$3:$W$1002,"Yes"))</f>
        <v/>
      </c>
      <c r="K115">
        <f>IF(B115="","",IF(F115=0,"No primary keyword",IF(F115&gt;Settings!$B$4,"Too many primary keywords",IF(I115+J115&gt;0,"Check flags","OK"))))</f>
        <v/>
      </c>
    </row>
    <row r="116">
      <c r="A116">
        <f>ROW()-2</f>
        <v/>
      </c>
      <c r="B116">
        <f>IFERROR(INDEX('Keyword Map'!$G$3:$G$1002,MATCH(A116,'Keyword Map'!$AA$3:$AA$1002,0)),"")</f>
        <v/>
      </c>
      <c r="C116">
        <f>IF(B116="","",INDEX('Keyword Map'!$I$3:$I$1002,MATCH(A116,'Keyword Map'!$AA$3:$AA$1002,0))&amp;"")</f>
        <v/>
      </c>
      <c r="D116">
        <f>IF(B116="","",INDEX('Keyword Map'!$H$3:$H$1002,MATCH(A116,'Keyword Map'!$AA$3:$AA$1002,0))&amp;"")</f>
        <v/>
      </c>
      <c r="E116">
        <f>IF(B116="","",COUNTIF('Keyword Map'!$G$3:$G$1002,SUBSTITUTE(SUBSTITUTE(B116,"?","~?"),"*","~*")))</f>
        <v/>
      </c>
      <c r="F116">
        <f>IF(B116="","",COUNTIFS('Keyword Map'!$G$3:$G$1002,SUBSTITUTE(SUBSTITUTE(B116,"?","~?"),"*","~*"),'Keyword Map'!$J$3:$J$1002,"Primary"))</f>
        <v/>
      </c>
      <c r="G116">
        <f>IF(B116="","",SUMIFS('Keyword Map'!$C$3:$C$1002,'Keyword Map'!$G$3:$G$1002,SUBSTITUTE(SUBSTITUTE(B116,"?","~?"),"*","~*")))</f>
        <v/>
      </c>
      <c r="H116">
        <f>IF(B116="","",IFERROR(ROUND(AVERAGEIFS('Keyword Map'!$P$3:$P$1002,'Keyword Map'!$G$3:$G$1002,SUBSTITUTE(SUBSTITUTE(B116,"?","~?"),"*","~*")),0),""))</f>
        <v/>
      </c>
      <c r="I116">
        <f>IF(B116="","",COUNTIFS('Keyword Map'!$G$3:$G$1002,SUBSTITUTE(SUBSTITUTE(B116,"?","~?"),"*","~*"),'Keyword Map'!$R$3:$R$1002,"Yes"))</f>
        <v/>
      </c>
      <c r="J116">
        <f>IF(B116="","",COUNTIFS('Keyword Map'!$G$3:$G$1002,SUBSTITUTE(SUBSTITUTE(B116,"?","~?"),"*","~*"),'Keyword Map'!$W$3:$W$1002,"Yes"))</f>
        <v/>
      </c>
      <c r="K116">
        <f>IF(B116="","",IF(F116=0,"No primary keyword",IF(F116&gt;Settings!$B$4,"Too many primary keywords",IF(I116+J116&gt;0,"Check flags","OK"))))</f>
        <v/>
      </c>
    </row>
    <row r="117">
      <c r="A117">
        <f>ROW()-2</f>
        <v/>
      </c>
      <c r="B117">
        <f>IFERROR(INDEX('Keyword Map'!$G$3:$G$1002,MATCH(A117,'Keyword Map'!$AA$3:$AA$1002,0)),"")</f>
        <v/>
      </c>
      <c r="C117">
        <f>IF(B117="","",INDEX('Keyword Map'!$I$3:$I$1002,MATCH(A117,'Keyword Map'!$AA$3:$AA$1002,0))&amp;"")</f>
        <v/>
      </c>
      <c r="D117">
        <f>IF(B117="","",INDEX('Keyword Map'!$H$3:$H$1002,MATCH(A117,'Keyword Map'!$AA$3:$AA$1002,0))&amp;"")</f>
        <v/>
      </c>
      <c r="E117">
        <f>IF(B117="","",COUNTIF('Keyword Map'!$G$3:$G$1002,SUBSTITUTE(SUBSTITUTE(B117,"?","~?"),"*","~*")))</f>
        <v/>
      </c>
      <c r="F117">
        <f>IF(B117="","",COUNTIFS('Keyword Map'!$G$3:$G$1002,SUBSTITUTE(SUBSTITUTE(B117,"?","~?"),"*","~*"),'Keyword Map'!$J$3:$J$1002,"Primary"))</f>
        <v/>
      </c>
      <c r="G117">
        <f>IF(B117="","",SUMIFS('Keyword Map'!$C$3:$C$1002,'Keyword Map'!$G$3:$G$1002,SUBSTITUTE(SUBSTITUTE(B117,"?","~?"),"*","~*")))</f>
        <v/>
      </c>
      <c r="H117">
        <f>IF(B117="","",IFERROR(ROUND(AVERAGEIFS('Keyword Map'!$P$3:$P$1002,'Keyword Map'!$G$3:$G$1002,SUBSTITUTE(SUBSTITUTE(B117,"?","~?"),"*","~*")),0),""))</f>
        <v/>
      </c>
      <c r="I117">
        <f>IF(B117="","",COUNTIFS('Keyword Map'!$G$3:$G$1002,SUBSTITUTE(SUBSTITUTE(B117,"?","~?"),"*","~*"),'Keyword Map'!$R$3:$R$1002,"Yes"))</f>
        <v/>
      </c>
      <c r="J117">
        <f>IF(B117="","",COUNTIFS('Keyword Map'!$G$3:$G$1002,SUBSTITUTE(SUBSTITUTE(B117,"?","~?"),"*","~*"),'Keyword Map'!$W$3:$W$1002,"Yes"))</f>
        <v/>
      </c>
      <c r="K117">
        <f>IF(B117="","",IF(F117=0,"No primary keyword",IF(F117&gt;Settings!$B$4,"Too many primary keywords",IF(I117+J117&gt;0,"Check flags","OK"))))</f>
        <v/>
      </c>
    </row>
    <row r="118">
      <c r="A118">
        <f>ROW()-2</f>
        <v/>
      </c>
      <c r="B118">
        <f>IFERROR(INDEX('Keyword Map'!$G$3:$G$1002,MATCH(A118,'Keyword Map'!$AA$3:$AA$1002,0)),"")</f>
        <v/>
      </c>
      <c r="C118">
        <f>IF(B118="","",INDEX('Keyword Map'!$I$3:$I$1002,MATCH(A118,'Keyword Map'!$AA$3:$AA$1002,0))&amp;"")</f>
        <v/>
      </c>
      <c r="D118">
        <f>IF(B118="","",INDEX('Keyword Map'!$H$3:$H$1002,MATCH(A118,'Keyword Map'!$AA$3:$AA$1002,0))&amp;"")</f>
        <v/>
      </c>
      <c r="E118">
        <f>IF(B118="","",COUNTIF('Keyword Map'!$G$3:$G$1002,SUBSTITUTE(SUBSTITUTE(B118,"?","~?"),"*","~*")))</f>
        <v/>
      </c>
      <c r="F118">
        <f>IF(B118="","",COUNTIFS('Keyword Map'!$G$3:$G$1002,SUBSTITUTE(SUBSTITUTE(B118,"?","~?"),"*","~*"),'Keyword Map'!$J$3:$J$1002,"Primary"))</f>
        <v/>
      </c>
      <c r="G118">
        <f>IF(B118="","",SUMIFS('Keyword Map'!$C$3:$C$1002,'Keyword Map'!$G$3:$G$1002,SUBSTITUTE(SUBSTITUTE(B118,"?","~?"),"*","~*")))</f>
        <v/>
      </c>
      <c r="H118">
        <f>IF(B118="","",IFERROR(ROUND(AVERAGEIFS('Keyword Map'!$P$3:$P$1002,'Keyword Map'!$G$3:$G$1002,SUBSTITUTE(SUBSTITUTE(B118,"?","~?"),"*","~*")),0),""))</f>
        <v/>
      </c>
      <c r="I118">
        <f>IF(B118="","",COUNTIFS('Keyword Map'!$G$3:$G$1002,SUBSTITUTE(SUBSTITUTE(B118,"?","~?"),"*","~*"),'Keyword Map'!$R$3:$R$1002,"Yes"))</f>
        <v/>
      </c>
      <c r="J118">
        <f>IF(B118="","",COUNTIFS('Keyword Map'!$G$3:$G$1002,SUBSTITUTE(SUBSTITUTE(B118,"?","~?"),"*","~*"),'Keyword Map'!$W$3:$W$1002,"Yes"))</f>
        <v/>
      </c>
      <c r="K118">
        <f>IF(B118="","",IF(F118=0,"No primary keyword",IF(F118&gt;Settings!$B$4,"Too many primary keywords",IF(I118+J118&gt;0,"Check flags","OK"))))</f>
        <v/>
      </c>
    </row>
    <row r="119">
      <c r="A119">
        <f>ROW()-2</f>
        <v/>
      </c>
      <c r="B119">
        <f>IFERROR(INDEX('Keyword Map'!$G$3:$G$1002,MATCH(A119,'Keyword Map'!$AA$3:$AA$1002,0)),"")</f>
        <v/>
      </c>
      <c r="C119">
        <f>IF(B119="","",INDEX('Keyword Map'!$I$3:$I$1002,MATCH(A119,'Keyword Map'!$AA$3:$AA$1002,0))&amp;"")</f>
        <v/>
      </c>
      <c r="D119">
        <f>IF(B119="","",INDEX('Keyword Map'!$H$3:$H$1002,MATCH(A119,'Keyword Map'!$AA$3:$AA$1002,0))&amp;"")</f>
        <v/>
      </c>
      <c r="E119">
        <f>IF(B119="","",COUNTIF('Keyword Map'!$G$3:$G$1002,SUBSTITUTE(SUBSTITUTE(B119,"?","~?"),"*","~*")))</f>
        <v/>
      </c>
      <c r="F119">
        <f>IF(B119="","",COUNTIFS('Keyword Map'!$G$3:$G$1002,SUBSTITUTE(SUBSTITUTE(B119,"?","~?"),"*","~*"),'Keyword Map'!$J$3:$J$1002,"Primary"))</f>
        <v/>
      </c>
      <c r="G119">
        <f>IF(B119="","",SUMIFS('Keyword Map'!$C$3:$C$1002,'Keyword Map'!$G$3:$G$1002,SUBSTITUTE(SUBSTITUTE(B119,"?","~?"),"*","~*")))</f>
        <v/>
      </c>
      <c r="H119">
        <f>IF(B119="","",IFERROR(ROUND(AVERAGEIFS('Keyword Map'!$P$3:$P$1002,'Keyword Map'!$G$3:$G$1002,SUBSTITUTE(SUBSTITUTE(B119,"?","~?"),"*","~*")),0),""))</f>
        <v/>
      </c>
      <c r="I119">
        <f>IF(B119="","",COUNTIFS('Keyword Map'!$G$3:$G$1002,SUBSTITUTE(SUBSTITUTE(B119,"?","~?"),"*","~*"),'Keyword Map'!$R$3:$R$1002,"Yes"))</f>
        <v/>
      </c>
      <c r="J119">
        <f>IF(B119="","",COUNTIFS('Keyword Map'!$G$3:$G$1002,SUBSTITUTE(SUBSTITUTE(B119,"?","~?"),"*","~*"),'Keyword Map'!$W$3:$W$1002,"Yes"))</f>
        <v/>
      </c>
      <c r="K119">
        <f>IF(B119="","",IF(F119=0,"No primary keyword",IF(F119&gt;Settings!$B$4,"Too many primary keywords",IF(I119+J119&gt;0,"Check flags","OK"))))</f>
        <v/>
      </c>
    </row>
    <row r="120">
      <c r="A120">
        <f>ROW()-2</f>
        <v/>
      </c>
      <c r="B120">
        <f>IFERROR(INDEX('Keyword Map'!$G$3:$G$1002,MATCH(A120,'Keyword Map'!$AA$3:$AA$1002,0)),"")</f>
        <v/>
      </c>
      <c r="C120">
        <f>IF(B120="","",INDEX('Keyword Map'!$I$3:$I$1002,MATCH(A120,'Keyword Map'!$AA$3:$AA$1002,0))&amp;"")</f>
        <v/>
      </c>
      <c r="D120">
        <f>IF(B120="","",INDEX('Keyword Map'!$H$3:$H$1002,MATCH(A120,'Keyword Map'!$AA$3:$AA$1002,0))&amp;"")</f>
        <v/>
      </c>
      <c r="E120">
        <f>IF(B120="","",COUNTIF('Keyword Map'!$G$3:$G$1002,SUBSTITUTE(SUBSTITUTE(B120,"?","~?"),"*","~*")))</f>
        <v/>
      </c>
      <c r="F120">
        <f>IF(B120="","",COUNTIFS('Keyword Map'!$G$3:$G$1002,SUBSTITUTE(SUBSTITUTE(B120,"?","~?"),"*","~*"),'Keyword Map'!$J$3:$J$1002,"Primary"))</f>
        <v/>
      </c>
      <c r="G120">
        <f>IF(B120="","",SUMIFS('Keyword Map'!$C$3:$C$1002,'Keyword Map'!$G$3:$G$1002,SUBSTITUTE(SUBSTITUTE(B120,"?","~?"),"*","~*")))</f>
        <v/>
      </c>
      <c r="H120">
        <f>IF(B120="","",IFERROR(ROUND(AVERAGEIFS('Keyword Map'!$P$3:$P$1002,'Keyword Map'!$G$3:$G$1002,SUBSTITUTE(SUBSTITUTE(B120,"?","~?"),"*","~*")),0),""))</f>
        <v/>
      </c>
      <c r="I120">
        <f>IF(B120="","",COUNTIFS('Keyword Map'!$G$3:$G$1002,SUBSTITUTE(SUBSTITUTE(B120,"?","~?"),"*","~*"),'Keyword Map'!$R$3:$R$1002,"Yes"))</f>
        <v/>
      </c>
      <c r="J120">
        <f>IF(B120="","",COUNTIFS('Keyword Map'!$G$3:$G$1002,SUBSTITUTE(SUBSTITUTE(B120,"?","~?"),"*","~*"),'Keyword Map'!$W$3:$W$1002,"Yes"))</f>
        <v/>
      </c>
      <c r="K120">
        <f>IF(B120="","",IF(F120=0,"No primary keyword",IF(F120&gt;Settings!$B$4,"Too many primary keywords",IF(I120+J120&gt;0,"Check flags","OK"))))</f>
        <v/>
      </c>
    </row>
    <row r="121">
      <c r="A121">
        <f>ROW()-2</f>
        <v/>
      </c>
      <c r="B121">
        <f>IFERROR(INDEX('Keyword Map'!$G$3:$G$1002,MATCH(A121,'Keyword Map'!$AA$3:$AA$1002,0)),"")</f>
        <v/>
      </c>
      <c r="C121">
        <f>IF(B121="","",INDEX('Keyword Map'!$I$3:$I$1002,MATCH(A121,'Keyword Map'!$AA$3:$AA$1002,0))&amp;"")</f>
        <v/>
      </c>
      <c r="D121">
        <f>IF(B121="","",INDEX('Keyword Map'!$H$3:$H$1002,MATCH(A121,'Keyword Map'!$AA$3:$AA$1002,0))&amp;"")</f>
        <v/>
      </c>
      <c r="E121">
        <f>IF(B121="","",COUNTIF('Keyword Map'!$G$3:$G$1002,SUBSTITUTE(SUBSTITUTE(B121,"?","~?"),"*","~*")))</f>
        <v/>
      </c>
      <c r="F121">
        <f>IF(B121="","",COUNTIFS('Keyword Map'!$G$3:$G$1002,SUBSTITUTE(SUBSTITUTE(B121,"?","~?"),"*","~*"),'Keyword Map'!$J$3:$J$1002,"Primary"))</f>
        <v/>
      </c>
      <c r="G121">
        <f>IF(B121="","",SUMIFS('Keyword Map'!$C$3:$C$1002,'Keyword Map'!$G$3:$G$1002,SUBSTITUTE(SUBSTITUTE(B121,"?","~?"),"*","~*")))</f>
        <v/>
      </c>
      <c r="H121">
        <f>IF(B121="","",IFERROR(ROUND(AVERAGEIFS('Keyword Map'!$P$3:$P$1002,'Keyword Map'!$G$3:$G$1002,SUBSTITUTE(SUBSTITUTE(B121,"?","~?"),"*","~*")),0),""))</f>
        <v/>
      </c>
      <c r="I121">
        <f>IF(B121="","",COUNTIFS('Keyword Map'!$G$3:$G$1002,SUBSTITUTE(SUBSTITUTE(B121,"?","~?"),"*","~*"),'Keyword Map'!$R$3:$R$1002,"Yes"))</f>
        <v/>
      </c>
      <c r="J121">
        <f>IF(B121="","",COUNTIFS('Keyword Map'!$G$3:$G$1002,SUBSTITUTE(SUBSTITUTE(B121,"?","~?"),"*","~*"),'Keyword Map'!$W$3:$W$1002,"Yes"))</f>
        <v/>
      </c>
      <c r="K121">
        <f>IF(B121="","",IF(F121=0,"No primary keyword",IF(F121&gt;Settings!$B$4,"Too many primary keywords",IF(I121+J121&gt;0,"Check flags","OK"))))</f>
        <v/>
      </c>
    </row>
    <row r="122">
      <c r="A122">
        <f>ROW()-2</f>
        <v/>
      </c>
      <c r="B122">
        <f>IFERROR(INDEX('Keyword Map'!$G$3:$G$1002,MATCH(A122,'Keyword Map'!$AA$3:$AA$1002,0)),"")</f>
        <v/>
      </c>
      <c r="C122">
        <f>IF(B122="","",INDEX('Keyword Map'!$I$3:$I$1002,MATCH(A122,'Keyword Map'!$AA$3:$AA$1002,0))&amp;"")</f>
        <v/>
      </c>
      <c r="D122">
        <f>IF(B122="","",INDEX('Keyword Map'!$H$3:$H$1002,MATCH(A122,'Keyword Map'!$AA$3:$AA$1002,0))&amp;"")</f>
        <v/>
      </c>
      <c r="E122">
        <f>IF(B122="","",COUNTIF('Keyword Map'!$G$3:$G$1002,SUBSTITUTE(SUBSTITUTE(B122,"?","~?"),"*","~*")))</f>
        <v/>
      </c>
      <c r="F122">
        <f>IF(B122="","",COUNTIFS('Keyword Map'!$G$3:$G$1002,SUBSTITUTE(SUBSTITUTE(B122,"?","~?"),"*","~*"),'Keyword Map'!$J$3:$J$1002,"Primary"))</f>
        <v/>
      </c>
      <c r="G122">
        <f>IF(B122="","",SUMIFS('Keyword Map'!$C$3:$C$1002,'Keyword Map'!$G$3:$G$1002,SUBSTITUTE(SUBSTITUTE(B122,"?","~?"),"*","~*")))</f>
        <v/>
      </c>
      <c r="H122">
        <f>IF(B122="","",IFERROR(ROUND(AVERAGEIFS('Keyword Map'!$P$3:$P$1002,'Keyword Map'!$G$3:$G$1002,SUBSTITUTE(SUBSTITUTE(B122,"?","~?"),"*","~*")),0),""))</f>
        <v/>
      </c>
      <c r="I122">
        <f>IF(B122="","",COUNTIFS('Keyword Map'!$G$3:$G$1002,SUBSTITUTE(SUBSTITUTE(B122,"?","~?"),"*","~*"),'Keyword Map'!$R$3:$R$1002,"Yes"))</f>
        <v/>
      </c>
      <c r="J122">
        <f>IF(B122="","",COUNTIFS('Keyword Map'!$G$3:$G$1002,SUBSTITUTE(SUBSTITUTE(B122,"?","~?"),"*","~*"),'Keyword Map'!$W$3:$W$1002,"Yes"))</f>
        <v/>
      </c>
      <c r="K122">
        <f>IF(B122="","",IF(F122=0,"No primary keyword",IF(F122&gt;Settings!$B$4,"Too many primary keywords",IF(I122+J122&gt;0,"Check flags","OK"))))</f>
        <v/>
      </c>
    </row>
    <row r="123">
      <c r="A123">
        <f>ROW()-2</f>
        <v/>
      </c>
      <c r="B123">
        <f>IFERROR(INDEX('Keyword Map'!$G$3:$G$1002,MATCH(A123,'Keyword Map'!$AA$3:$AA$1002,0)),"")</f>
        <v/>
      </c>
      <c r="C123">
        <f>IF(B123="","",INDEX('Keyword Map'!$I$3:$I$1002,MATCH(A123,'Keyword Map'!$AA$3:$AA$1002,0))&amp;"")</f>
        <v/>
      </c>
      <c r="D123">
        <f>IF(B123="","",INDEX('Keyword Map'!$H$3:$H$1002,MATCH(A123,'Keyword Map'!$AA$3:$AA$1002,0))&amp;"")</f>
        <v/>
      </c>
      <c r="E123">
        <f>IF(B123="","",COUNTIF('Keyword Map'!$G$3:$G$1002,SUBSTITUTE(SUBSTITUTE(B123,"?","~?"),"*","~*")))</f>
        <v/>
      </c>
      <c r="F123">
        <f>IF(B123="","",COUNTIFS('Keyword Map'!$G$3:$G$1002,SUBSTITUTE(SUBSTITUTE(B123,"?","~?"),"*","~*"),'Keyword Map'!$J$3:$J$1002,"Primary"))</f>
        <v/>
      </c>
      <c r="G123">
        <f>IF(B123="","",SUMIFS('Keyword Map'!$C$3:$C$1002,'Keyword Map'!$G$3:$G$1002,SUBSTITUTE(SUBSTITUTE(B123,"?","~?"),"*","~*")))</f>
        <v/>
      </c>
      <c r="H123">
        <f>IF(B123="","",IFERROR(ROUND(AVERAGEIFS('Keyword Map'!$P$3:$P$1002,'Keyword Map'!$G$3:$G$1002,SUBSTITUTE(SUBSTITUTE(B123,"?","~?"),"*","~*")),0),""))</f>
        <v/>
      </c>
      <c r="I123">
        <f>IF(B123="","",COUNTIFS('Keyword Map'!$G$3:$G$1002,SUBSTITUTE(SUBSTITUTE(B123,"?","~?"),"*","~*"),'Keyword Map'!$R$3:$R$1002,"Yes"))</f>
        <v/>
      </c>
      <c r="J123">
        <f>IF(B123="","",COUNTIFS('Keyword Map'!$G$3:$G$1002,SUBSTITUTE(SUBSTITUTE(B123,"?","~?"),"*","~*"),'Keyword Map'!$W$3:$W$1002,"Yes"))</f>
        <v/>
      </c>
      <c r="K123">
        <f>IF(B123="","",IF(F123=0,"No primary keyword",IF(F123&gt;Settings!$B$4,"Too many primary keywords",IF(I123+J123&gt;0,"Check flags","OK"))))</f>
        <v/>
      </c>
    </row>
    <row r="124">
      <c r="A124">
        <f>ROW()-2</f>
        <v/>
      </c>
      <c r="B124">
        <f>IFERROR(INDEX('Keyword Map'!$G$3:$G$1002,MATCH(A124,'Keyword Map'!$AA$3:$AA$1002,0)),"")</f>
        <v/>
      </c>
      <c r="C124">
        <f>IF(B124="","",INDEX('Keyword Map'!$I$3:$I$1002,MATCH(A124,'Keyword Map'!$AA$3:$AA$1002,0))&amp;"")</f>
        <v/>
      </c>
      <c r="D124">
        <f>IF(B124="","",INDEX('Keyword Map'!$H$3:$H$1002,MATCH(A124,'Keyword Map'!$AA$3:$AA$1002,0))&amp;"")</f>
        <v/>
      </c>
      <c r="E124">
        <f>IF(B124="","",COUNTIF('Keyword Map'!$G$3:$G$1002,SUBSTITUTE(SUBSTITUTE(B124,"?","~?"),"*","~*")))</f>
        <v/>
      </c>
      <c r="F124">
        <f>IF(B124="","",COUNTIFS('Keyword Map'!$G$3:$G$1002,SUBSTITUTE(SUBSTITUTE(B124,"?","~?"),"*","~*"),'Keyword Map'!$J$3:$J$1002,"Primary"))</f>
        <v/>
      </c>
      <c r="G124">
        <f>IF(B124="","",SUMIFS('Keyword Map'!$C$3:$C$1002,'Keyword Map'!$G$3:$G$1002,SUBSTITUTE(SUBSTITUTE(B124,"?","~?"),"*","~*")))</f>
        <v/>
      </c>
      <c r="H124">
        <f>IF(B124="","",IFERROR(ROUND(AVERAGEIFS('Keyword Map'!$P$3:$P$1002,'Keyword Map'!$G$3:$G$1002,SUBSTITUTE(SUBSTITUTE(B124,"?","~?"),"*","~*")),0),""))</f>
        <v/>
      </c>
      <c r="I124">
        <f>IF(B124="","",COUNTIFS('Keyword Map'!$G$3:$G$1002,SUBSTITUTE(SUBSTITUTE(B124,"?","~?"),"*","~*"),'Keyword Map'!$R$3:$R$1002,"Yes"))</f>
        <v/>
      </c>
      <c r="J124">
        <f>IF(B124="","",COUNTIFS('Keyword Map'!$G$3:$G$1002,SUBSTITUTE(SUBSTITUTE(B124,"?","~?"),"*","~*"),'Keyword Map'!$W$3:$W$1002,"Yes"))</f>
        <v/>
      </c>
      <c r="K124">
        <f>IF(B124="","",IF(F124=0,"No primary keyword",IF(F124&gt;Settings!$B$4,"Too many primary keywords",IF(I124+J124&gt;0,"Check flags","OK"))))</f>
        <v/>
      </c>
    </row>
    <row r="125">
      <c r="A125">
        <f>ROW()-2</f>
        <v/>
      </c>
      <c r="B125">
        <f>IFERROR(INDEX('Keyword Map'!$G$3:$G$1002,MATCH(A125,'Keyword Map'!$AA$3:$AA$1002,0)),"")</f>
        <v/>
      </c>
      <c r="C125">
        <f>IF(B125="","",INDEX('Keyword Map'!$I$3:$I$1002,MATCH(A125,'Keyword Map'!$AA$3:$AA$1002,0))&amp;"")</f>
        <v/>
      </c>
      <c r="D125">
        <f>IF(B125="","",INDEX('Keyword Map'!$H$3:$H$1002,MATCH(A125,'Keyword Map'!$AA$3:$AA$1002,0))&amp;"")</f>
        <v/>
      </c>
      <c r="E125">
        <f>IF(B125="","",COUNTIF('Keyword Map'!$G$3:$G$1002,SUBSTITUTE(SUBSTITUTE(B125,"?","~?"),"*","~*")))</f>
        <v/>
      </c>
      <c r="F125">
        <f>IF(B125="","",COUNTIFS('Keyword Map'!$G$3:$G$1002,SUBSTITUTE(SUBSTITUTE(B125,"?","~?"),"*","~*"),'Keyword Map'!$J$3:$J$1002,"Primary"))</f>
        <v/>
      </c>
      <c r="G125">
        <f>IF(B125="","",SUMIFS('Keyword Map'!$C$3:$C$1002,'Keyword Map'!$G$3:$G$1002,SUBSTITUTE(SUBSTITUTE(B125,"?","~?"),"*","~*")))</f>
        <v/>
      </c>
      <c r="H125">
        <f>IF(B125="","",IFERROR(ROUND(AVERAGEIFS('Keyword Map'!$P$3:$P$1002,'Keyword Map'!$G$3:$G$1002,SUBSTITUTE(SUBSTITUTE(B125,"?","~?"),"*","~*")),0),""))</f>
        <v/>
      </c>
      <c r="I125">
        <f>IF(B125="","",COUNTIFS('Keyword Map'!$G$3:$G$1002,SUBSTITUTE(SUBSTITUTE(B125,"?","~?"),"*","~*"),'Keyword Map'!$R$3:$R$1002,"Yes"))</f>
        <v/>
      </c>
      <c r="J125">
        <f>IF(B125="","",COUNTIFS('Keyword Map'!$G$3:$G$1002,SUBSTITUTE(SUBSTITUTE(B125,"?","~?"),"*","~*"),'Keyword Map'!$W$3:$W$1002,"Yes"))</f>
        <v/>
      </c>
      <c r="K125">
        <f>IF(B125="","",IF(F125=0,"No primary keyword",IF(F125&gt;Settings!$B$4,"Too many primary keywords",IF(I125+J125&gt;0,"Check flags","OK"))))</f>
        <v/>
      </c>
    </row>
    <row r="126">
      <c r="A126">
        <f>ROW()-2</f>
        <v/>
      </c>
      <c r="B126">
        <f>IFERROR(INDEX('Keyword Map'!$G$3:$G$1002,MATCH(A126,'Keyword Map'!$AA$3:$AA$1002,0)),"")</f>
        <v/>
      </c>
      <c r="C126">
        <f>IF(B126="","",INDEX('Keyword Map'!$I$3:$I$1002,MATCH(A126,'Keyword Map'!$AA$3:$AA$1002,0))&amp;"")</f>
        <v/>
      </c>
      <c r="D126">
        <f>IF(B126="","",INDEX('Keyword Map'!$H$3:$H$1002,MATCH(A126,'Keyword Map'!$AA$3:$AA$1002,0))&amp;"")</f>
        <v/>
      </c>
      <c r="E126">
        <f>IF(B126="","",COUNTIF('Keyword Map'!$G$3:$G$1002,SUBSTITUTE(SUBSTITUTE(B126,"?","~?"),"*","~*")))</f>
        <v/>
      </c>
      <c r="F126">
        <f>IF(B126="","",COUNTIFS('Keyword Map'!$G$3:$G$1002,SUBSTITUTE(SUBSTITUTE(B126,"?","~?"),"*","~*"),'Keyword Map'!$J$3:$J$1002,"Primary"))</f>
        <v/>
      </c>
      <c r="G126">
        <f>IF(B126="","",SUMIFS('Keyword Map'!$C$3:$C$1002,'Keyword Map'!$G$3:$G$1002,SUBSTITUTE(SUBSTITUTE(B126,"?","~?"),"*","~*")))</f>
        <v/>
      </c>
      <c r="H126">
        <f>IF(B126="","",IFERROR(ROUND(AVERAGEIFS('Keyword Map'!$P$3:$P$1002,'Keyword Map'!$G$3:$G$1002,SUBSTITUTE(SUBSTITUTE(B126,"?","~?"),"*","~*")),0),""))</f>
        <v/>
      </c>
      <c r="I126">
        <f>IF(B126="","",COUNTIFS('Keyword Map'!$G$3:$G$1002,SUBSTITUTE(SUBSTITUTE(B126,"?","~?"),"*","~*"),'Keyword Map'!$R$3:$R$1002,"Yes"))</f>
        <v/>
      </c>
      <c r="J126">
        <f>IF(B126="","",COUNTIFS('Keyword Map'!$G$3:$G$1002,SUBSTITUTE(SUBSTITUTE(B126,"?","~?"),"*","~*"),'Keyword Map'!$W$3:$W$1002,"Yes"))</f>
        <v/>
      </c>
      <c r="K126">
        <f>IF(B126="","",IF(F126=0,"No primary keyword",IF(F126&gt;Settings!$B$4,"Too many primary keywords",IF(I126+J126&gt;0,"Check flags","OK"))))</f>
        <v/>
      </c>
    </row>
    <row r="127">
      <c r="A127">
        <f>ROW()-2</f>
        <v/>
      </c>
      <c r="B127">
        <f>IFERROR(INDEX('Keyword Map'!$G$3:$G$1002,MATCH(A127,'Keyword Map'!$AA$3:$AA$1002,0)),"")</f>
        <v/>
      </c>
      <c r="C127">
        <f>IF(B127="","",INDEX('Keyword Map'!$I$3:$I$1002,MATCH(A127,'Keyword Map'!$AA$3:$AA$1002,0))&amp;"")</f>
        <v/>
      </c>
      <c r="D127">
        <f>IF(B127="","",INDEX('Keyword Map'!$H$3:$H$1002,MATCH(A127,'Keyword Map'!$AA$3:$AA$1002,0))&amp;"")</f>
        <v/>
      </c>
      <c r="E127">
        <f>IF(B127="","",COUNTIF('Keyword Map'!$G$3:$G$1002,SUBSTITUTE(SUBSTITUTE(B127,"?","~?"),"*","~*")))</f>
        <v/>
      </c>
      <c r="F127">
        <f>IF(B127="","",COUNTIFS('Keyword Map'!$G$3:$G$1002,SUBSTITUTE(SUBSTITUTE(B127,"?","~?"),"*","~*"),'Keyword Map'!$J$3:$J$1002,"Primary"))</f>
        <v/>
      </c>
      <c r="G127">
        <f>IF(B127="","",SUMIFS('Keyword Map'!$C$3:$C$1002,'Keyword Map'!$G$3:$G$1002,SUBSTITUTE(SUBSTITUTE(B127,"?","~?"),"*","~*")))</f>
        <v/>
      </c>
      <c r="H127">
        <f>IF(B127="","",IFERROR(ROUND(AVERAGEIFS('Keyword Map'!$P$3:$P$1002,'Keyword Map'!$G$3:$G$1002,SUBSTITUTE(SUBSTITUTE(B127,"?","~?"),"*","~*")),0),""))</f>
        <v/>
      </c>
      <c r="I127">
        <f>IF(B127="","",COUNTIFS('Keyword Map'!$G$3:$G$1002,SUBSTITUTE(SUBSTITUTE(B127,"?","~?"),"*","~*"),'Keyword Map'!$R$3:$R$1002,"Yes"))</f>
        <v/>
      </c>
      <c r="J127">
        <f>IF(B127="","",COUNTIFS('Keyword Map'!$G$3:$G$1002,SUBSTITUTE(SUBSTITUTE(B127,"?","~?"),"*","~*"),'Keyword Map'!$W$3:$W$1002,"Yes"))</f>
        <v/>
      </c>
      <c r="K127">
        <f>IF(B127="","",IF(F127=0,"No primary keyword",IF(F127&gt;Settings!$B$4,"Too many primary keywords",IF(I127+J127&gt;0,"Check flags","OK"))))</f>
        <v/>
      </c>
    </row>
    <row r="128">
      <c r="A128">
        <f>ROW()-2</f>
        <v/>
      </c>
      <c r="B128">
        <f>IFERROR(INDEX('Keyword Map'!$G$3:$G$1002,MATCH(A128,'Keyword Map'!$AA$3:$AA$1002,0)),"")</f>
        <v/>
      </c>
      <c r="C128">
        <f>IF(B128="","",INDEX('Keyword Map'!$I$3:$I$1002,MATCH(A128,'Keyword Map'!$AA$3:$AA$1002,0))&amp;"")</f>
        <v/>
      </c>
      <c r="D128">
        <f>IF(B128="","",INDEX('Keyword Map'!$H$3:$H$1002,MATCH(A128,'Keyword Map'!$AA$3:$AA$1002,0))&amp;"")</f>
        <v/>
      </c>
      <c r="E128">
        <f>IF(B128="","",COUNTIF('Keyword Map'!$G$3:$G$1002,SUBSTITUTE(SUBSTITUTE(B128,"?","~?"),"*","~*")))</f>
        <v/>
      </c>
      <c r="F128">
        <f>IF(B128="","",COUNTIFS('Keyword Map'!$G$3:$G$1002,SUBSTITUTE(SUBSTITUTE(B128,"?","~?"),"*","~*"),'Keyword Map'!$J$3:$J$1002,"Primary"))</f>
        <v/>
      </c>
      <c r="G128">
        <f>IF(B128="","",SUMIFS('Keyword Map'!$C$3:$C$1002,'Keyword Map'!$G$3:$G$1002,SUBSTITUTE(SUBSTITUTE(B128,"?","~?"),"*","~*")))</f>
        <v/>
      </c>
      <c r="H128">
        <f>IF(B128="","",IFERROR(ROUND(AVERAGEIFS('Keyword Map'!$P$3:$P$1002,'Keyword Map'!$G$3:$G$1002,SUBSTITUTE(SUBSTITUTE(B128,"?","~?"),"*","~*")),0),""))</f>
        <v/>
      </c>
      <c r="I128">
        <f>IF(B128="","",COUNTIFS('Keyword Map'!$G$3:$G$1002,SUBSTITUTE(SUBSTITUTE(B128,"?","~?"),"*","~*"),'Keyword Map'!$R$3:$R$1002,"Yes"))</f>
        <v/>
      </c>
      <c r="J128">
        <f>IF(B128="","",COUNTIFS('Keyword Map'!$G$3:$G$1002,SUBSTITUTE(SUBSTITUTE(B128,"?","~?"),"*","~*"),'Keyword Map'!$W$3:$W$1002,"Yes"))</f>
        <v/>
      </c>
      <c r="K128">
        <f>IF(B128="","",IF(F128=0,"No primary keyword",IF(F128&gt;Settings!$B$4,"Too many primary keywords",IF(I128+J128&gt;0,"Check flags","OK"))))</f>
        <v/>
      </c>
    </row>
    <row r="129">
      <c r="A129">
        <f>ROW()-2</f>
        <v/>
      </c>
      <c r="B129">
        <f>IFERROR(INDEX('Keyword Map'!$G$3:$G$1002,MATCH(A129,'Keyword Map'!$AA$3:$AA$1002,0)),"")</f>
        <v/>
      </c>
      <c r="C129">
        <f>IF(B129="","",INDEX('Keyword Map'!$I$3:$I$1002,MATCH(A129,'Keyword Map'!$AA$3:$AA$1002,0))&amp;"")</f>
        <v/>
      </c>
      <c r="D129">
        <f>IF(B129="","",INDEX('Keyword Map'!$H$3:$H$1002,MATCH(A129,'Keyword Map'!$AA$3:$AA$1002,0))&amp;"")</f>
        <v/>
      </c>
      <c r="E129">
        <f>IF(B129="","",COUNTIF('Keyword Map'!$G$3:$G$1002,SUBSTITUTE(SUBSTITUTE(B129,"?","~?"),"*","~*")))</f>
        <v/>
      </c>
      <c r="F129">
        <f>IF(B129="","",COUNTIFS('Keyword Map'!$G$3:$G$1002,SUBSTITUTE(SUBSTITUTE(B129,"?","~?"),"*","~*"),'Keyword Map'!$J$3:$J$1002,"Primary"))</f>
        <v/>
      </c>
      <c r="G129">
        <f>IF(B129="","",SUMIFS('Keyword Map'!$C$3:$C$1002,'Keyword Map'!$G$3:$G$1002,SUBSTITUTE(SUBSTITUTE(B129,"?","~?"),"*","~*")))</f>
        <v/>
      </c>
      <c r="H129">
        <f>IF(B129="","",IFERROR(ROUND(AVERAGEIFS('Keyword Map'!$P$3:$P$1002,'Keyword Map'!$G$3:$G$1002,SUBSTITUTE(SUBSTITUTE(B129,"?","~?"),"*","~*")),0),""))</f>
        <v/>
      </c>
      <c r="I129">
        <f>IF(B129="","",COUNTIFS('Keyword Map'!$G$3:$G$1002,SUBSTITUTE(SUBSTITUTE(B129,"?","~?"),"*","~*"),'Keyword Map'!$R$3:$R$1002,"Yes"))</f>
        <v/>
      </c>
      <c r="J129">
        <f>IF(B129="","",COUNTIFS('Keyword Map'!$G$3:$G$1002,SUBSTITUTE(SUBSTITUTE(B129,"?","~?"),"*","~*"),'Keyword Map'!$W$3:$W$1002,"Yes"))</f>
        <v/>
      </c>
      <c r="K129">
        <f>IF(B129="","",IF(F129=0,"No primary keyword",IF(F129&gt;Settings!$B$4,"Too many primary keywords",IF(I129+J129&gt;0,"Check flags","OK"))))</f>
        <v/>
      </c>
    </row>
    <row r="130">
      <c r="A130">
        <f>ROW()-2</f>
        <v/>
      </c>
      <c r="B130">
        <f>IFERROR(INDEX('Keyword Map'!$G$3:$G$1002,MATCH(A130,'Keyword Map'!$AA$3:$AA$1002,0)),"")</f>
        <v/>
      </c>
      <c r="C130">
        <f>IF(B130="","",INDEX('Keyword Map'!$I$3:$I$1002,MATCH(A130,'Keyword Map'!$AA$3:$AA$1002,0))&amp;"")</f>
        <v/>
      </c>
      <c r="D130">
        <f>IF(B130="","",INDEX('Keyword Map'!$H$3:$H$1002,MATCH(A130,'Keyword Map'!$AA$3:$AA$1002,0))&amp;"")</f>
        <v/>
      </c>
      <c r="E130">
        <f>IF(B130="","",COUNTIF('Keyword Map'!$G$3:$G$1002,SUBSTITUTE(SUBSTITUTE(B130,"?","~?"),"*","~*")))</f>
        <v/>
      </c>
      <c r="F130">
        <f>IF(B130="","",COUNTIFS('Keyword Map'!$G$3:$G$1002,SUBSTITUTE(SUBSTITUTE(B130,"?","~?"),"*","~*"),'Keyword Map'!$J$3:$J$1002,"Primary"))</f>
        <v/>
      </c>
      <c r="G130">
        <f>IF(B130="","",SUMIFS('Keyword Map'!$C$3:$C$1002,'Keyword Map'!$G$3:$G$1002,SUBSTITUTE(SUBSTITUTE(B130,"?","~?"),"*","~*")))</f>
        <v/>
      </c>
      <c r="H130">
        <f>IF(B130="","",IFERROR(ROUND(AVERAGEIFS('Keyword Map'!$P$3:$P$1002,'Keyword Map'!$G$3:$G$1002,SUBSTITUTE(SUBSTITUTE(B130,"?","~?"),"*","~*")),0),""))</f>
        <v/>
      </c>
      <c r="I130">
        <f>IF(B130="","",COUNTIFS('Keyword Map'!$G$3:$G$1002,SUBSTITUTE(SUBSTITUTE(B130,"?","~?"),"*","~*"),'Keyword Map'!$R$3:$R$1002,"Yes"))</f>
        <v/>
      </c>
      <c r="J130">
        <f>IF(B130="","",COUNTIFS('Keyword Map'!$G$3:$G$1002,SUBSTITUTE(SUBSTITUTE(B130,"?","~?"),"*","~*"),'Keyword Map'!$W$3:$W$1002,"Yes"))</f>
        <v/>
      </c>
      <c r="K130">
        <f>IF(B130="","",IF(F130=0,"No primary keyword",IF(F130&gt;Settings!$B$4,"Too many primary keywords",IF(I130+J130&gt;0,"Check flags","OK"))))</f>
        <v/>
      </c>
    </row>
    <row r="131">
      <c r="A131">
        <f>ROW()-2</f>
        <v/>
      </c>
      <c r="B131">
        <f>IFERROR(INDEX('Keyword Map'!$G$3:$G$1002,MATCH(A131,'Keyword Map'!$AA$3:$AA$1002,0)),"")</f>
        <v/>
      </c>
      <c r="C131">
        <f>IF(B131="","",INDEX('Keyword Map'!$I$3:$I$1002,MATCH(A131,'Keyword Map'!$AA$3:$AA$1002,0))&amp;"")</f>
        <v/>
      </c>
      <c r="D131">
        <f>IF(B131="","",INDEX('Keyword Map'!$H$3:$H$1002,MATCH(A131,'Keyword Map'!$AA$3:$AA$1002,0))&amp;"")</f>
        <v/>
      </c>
      <c r="E131">
        <f>IF(B131="","",COUNTIF('Keyword Map'!$G$3:$G$1002,SUBSTITUTE(SUBSTITUTE(B131,"?","~?"),"*","~*")))</f>
        <v/>
      </c>
      <c r="F131">
        <f>IF(B131="","",COUNTIFS('Keyword Map'!$G$3:$G$1002,SUBSTITUTE(SUBSTITUTE(B131,"?","~?"),"*","~*"),'Keyword Map'!$J$3:$J$1002,"Primary"))</f>
        <v/>
      </c>
      <c r="G131">
        <f>IF(B131="","",SUMIFS('Keyword Map'!$C$3:$C$1002,'Keyword Map'!$G$3:$G$1002,SUBSTITUTE(SUBSTITUTE(B131,"?","~?"),"*","~*")))</f>
        <v/>
      </c>
      <c r="H131">
        <f>IF(B131="","",IFERROR(ROUND(AVERAGEIFS('Keyword Map'!$P$3:$P$1002,'Keyword Map'!$G$3:$G$1002,SUBSTITUTE(SUBSTITUTE(B131,"?","~?"),"*","~*")),0),""))</f>
        <v/>
      </c>
      <c r="I131">
        <f>IF(B131="","",COUNTIFS('Keyword Map'!$G$3:$G$1002,SUBSTITUTE(SUBSTITUTE(B131,"?","~?"),"*","~*"),'Keyword Map'!$R$3:$R$1002,"Yes"))</f>
        <v/>
      </c>
      <c r="J131">
        <f>IF(B131="","",COUNTIFS('Keyword Map'!$G$3:$G$1002,SUBSTITUTE(SUBSTITUTE(B131,"?","~?"),"*","~*"),'Keyword Map'!$W$3:$W$1002,"Yes"))</f>
        <v/>
      </c>
      <c r="K131">
        <f>IF(B131="","",IF(F131=0,"No primary keyword",IF(F131&gt;Settings!$B$4,"Too many primary keywords",IF(I131+J131&gt;0,"Check flags","OK"))))</f>
        <v/>
      </c>
    </row>
    <row r="132">
      <c r="A132">
        <f>ROW()-2</f>
        <v/>
      </c>
      <c r="B132">
        <f>IFERROR(INDEX('Keyword Map'!$G$3:$G$1002,MATCH(A132,'Keyword Map'!$AA$3:$AA$1002,0)),"")</f>
        <v/>
      </c>
      <c r="C132">
        <f>IF(B132="","",INDEX('Keyword Map'!$I$3:$I$1002,MATCH(A132,'Keyword Map'!$AA$3:$AA$1002,0))&amp;"")</f>
        <v/>
      </c>
      <c r="D132">
        <f>IF(B132="","",INDEX('Keyword Map'!$H$3:$H$1002,MATCH(A132,'Keyword Map'!$AA$3:$AA$1002,0))&amp;"")</f>
        <v/>
      </c>
      <c r="E132">
        <f>IF(B132="","",COUNTIF('Keyword Map'!$G$3:$G$1002,SUBSTITUTE(SUBSTITUTE(B132,"?","~?"),"*","~*")))</f>
        <v/>
      </c>
      <c r="F132">
        <f>IF(B132="","",COUNTIFS('Keyword Map'!$G$3:$G$1002,SUBSTITUTE(SUBSTITUTE(B132,"?","~?"),"*","~*"),'Keyword Map'!$J$3:$J$1002,"Primary"))</f>
        <v/>
      </c>
      <c r="G132">
        <f>IF(B132="","",SUMIFS('Keyword Map'!$C$3:$C$1002,'Keyword Map'!$G$3:$G$1002,SUBSTITUTE(SUBSTITUTE(B132,"?","~?"),"*","~*")))</f>
        <v/>
      </c>
      <c r="H132">
        <f>IF(B132="","",IFERROR(ROUND(AVERAGEIFS('Keyword Map'!$P$3:$P$1002,'Keyword Map'!$G$3:$G$1002,SUBSTITUTE(SUBSTITUTE(B132,"?","~?"),"*","~*")),0),""))</f>
        <v/>
      </c>
      <c r="I132">
        <f>IF(B132="","",COUNTIFS('Keyword Map'!$G$3:$G$1002,SUBSTITUTE(SUBSTITUTE(B132,"?","~?"),"*","~*"),'Keyword Map'!$R$3:$R$1002,"Yes"))</f>
        <v/>
      </c>
      <c r="J132">
        <f>IF(B132="","",COUNTIFS('Keyword Map'!$G$3:$G$1002,SUBSTITUTE(SUBSTITUTE(B132,"?","~?"),"*","~*"),'Keyword Map'!$W$3:$W$1002,"Yes"))</f>
        <v/>
      </c>
      <c r="K132">
        <f>IF(B132="","",IF(F132=0,"No primary keyword",IF(F132&gt;Settings!$B$4,"Too many primary keywords",IF(I132+J132&gt;0,"Check flags","OK"))))</f>
        <v/>
      </c>
    </row>
    <row r="133">
      <c r="A133">
        <f>ROW()-2</f>
        <v/>
      </c>
      <c r="B133">
        <f>IFERROR(INDEX('Keyword Map'!$G$3:$G$1002,MATCH(A133,'Keyword Map'!$AA$3:$AA$1002,0)),"")</f>
        <v/>
      </c>
      <c r="C133">
        <f>IF(B133="","",INDEX('Keyword Map'!$I$3:$I$1002,MATCH(A133,'Keyword Map'!$AA$3:$AA$1002,0))&amp;"")</f>
        <v/>
      </c>
      <c r="D133">
        <f>IF(B133="","",INDEX('Keyword Map'!$H$3:$H$1002,MATCH(A133,'Keyword Map'!$AA$3:$AA$1002,0))&amp;"")</f>
        <v/>
      </c>
      <c r="E133">
        <f>IF(B133="","",COUNTIF('Keyword Map'!$G$3:$G$1002,SUBSTITUTE(SUBSTITUTE(B133,"?","~?"),"*","~*")))</f>
        <v/>
      </c>
      <c r="F133">
        <f>IF(B133="","",COUNTIFS('Keyword Map'!$G$3:$G$1002,SUBSTITUTE(SUBSTITUTE(B133,"?","~?"),"*","~*"),'Keyword Map'!$J$3:$J$1002,"Primary"))</f>
        <v/>
      </c>
      <c r="G133">
        <f>IF(B133="","",SUMIFS('Keyword Map'!$C$3:$C$1002,'Keyword Map'!$G$3:$G$1002,SUBSTITUTE(SUBSTITUTE(B133,"?","~?"),"*","~*")))</f>
        <v/>
      </c>
      <c r="H133">
        <f>IF(B133="","",IFERROR(ROUND(AVERAGEIFS('Keyword Map'!$P$3:$P$1002,'Keyword Map'!$G$3:$G$1002,SUBSTITUTE(SUBSTITUTE(B133,"?","~?"),"*","~*")),0),""))</f>
        <v/>
      </c>
      <c r="I133">
        <f>IF(B133="","",COUNTIFS('Keyword Map'!$G$3:$G$1002,SUBSTITUTE(SUBSTITUTE(B133,"?","~?"),"*","~*"),'Keyword Map'!$R$3:$R$1002,"Yes"))</f>
        <v/>
      </c>
      <c r="J133">
        <f>IF(B133="","",COUNTIFS('Keyword Map'!$G$3:$G$1002,SUBSTITUTE(SUBSTITUTE(B133,"?","~?"),"*","~*"),'Keyword Map'!$W$3:$W$1002,"Yes"))</f>
        <v/>
      </c>
      <c r="K133">
        <f>IF(B133="","",IF(F133=0,"No primary keyword",IF(F133&gt;Settings!$B$4,"Too many primary keywords",IF(I133+J133&gt;0,"Check flags","OK"))))</f>
        <v/>
      </c>
    </row>
    <row r="134">
      <c r="A134">
        <f>ROW()-2</f>
        <v/>
      </c>
      <c r="B134">
        <f>IFERROR(INDEX('Keyword Map'!$G$3:$G$1002,MATCH(A134,'Keyword Map'!$AA$3:$AA$1002,0)),"")</f>
        <v/>
      </c>
      <c r="C134">
        <f>IF(B134="","",INDEX('Keyword Map'!$I$3:$I$1002,MATCH(A134,'Keyword Map'!$AA$3:$AA$1002,0))&amp;"")</f>
        <v/>
      </c>
      <c r="D134">
        <f>IF(B134="","",INDEX('Keyword Map'!$H$3:$H$1002,MATCH(A134,'Keyword Map'!$AA$3:$AA$1002,0))&amp;"")</f>
        <v/>
      </c>
      <c r="E134">
        <f>IF(B134="","",COUNTIF('Keyword Map'!$G$3:$G$1002,SUBSTITUTE(SUBSTITUTE(B134,"?","~?"),"*","~*")))</f>
        <v/>
      </c>
      <c r="F134">
        <f>IF(B134="","",COUNTIFS('Keyword Map'!$G$3:$G$1002,SUBSTITUTE(SUBSTITUTE(B134,"?","~?"),"*","~*"),'Keyword Map'!$J$3:$J$1002,"Primary"))</f>
        <v/>
      </c>
      <c r="G134">
        <f>IF(B134="","",SUMIFS('Keyword Map'!$C$3:$C$1002,'Keyword Map'!$G$3:$G$1002,SUBSTITUTE(SUBSTITUTE(B134,"?","~?"),"*","~*")))</f>
        <v/>
      </c>
      <c r="H134">
        <f>IF(B134="","",IFERROR(ROUND(AVERAGEIFS('Keyword Map'!$P$3:$P$1002,'Keyword Map'!$G$3:$G$1002,SUBSTITUTE(SUBSTITUTE(B134,"?","~?"),"*","~*")),0),""))</f>
        <v/>
      </c>
      <c r="I134">
        <f>IF(B134="","",COUNTIFS('Keyword Map'!$G$3:$G$1002,SUBSTITUTE(SUBSTITUTE(B134,"?","~?"),"*","~*"),'Keyword Map'!$R$3:$R$1002,"Yes"))</f>
        <v/>
      </c>
      <c r="J134">
        <f>IF(B134="","",COUNTIFS('Keyword Map'!$G$3:$G$1002,SUBSTITUTE(SUBSTITUTE(B134,"?","~?"),"*","~*"),'Keyword Map'!$W$3:$W$1002,"Yes"))</f>
        <v/>
      </c>
      <c r="K134">
        <f>IF(B134="","",IF(F134=0,"No primary keyword",IF(F134&gt;Settings!$B$4,"Too many primary keywords",IF(I134+J134&gt;0,"Check flags","OK"))))</f>
        <v/>
      </c>
    </row>
    <row r="135">
      <c r="A135">
        <f>ROW()-2</f>
        <v/>
      </c>
      <c r="B135">
        <f>IFERROR(INDEX('Keyword Map'!$G$3:$G$1002,MATCH(A135,'Keyword Map'!$AA$3:$AA$1002,0)),"")</f>
        <v/>
      </c>
      <c r="C135">
        <f>IF(B135="","",INDEX('Keyword Map'!$I$3:$I$1002,MATCH(A135,'Keyword Map'!$AA$3:$AA$1002,0))&amp;"")</f>
        <v/>
      </c>
      <c r="D135">
        <f>IF(B135="","",INDEX('Keyword Map'!$H$3:$H$1002,MATCH(A135,'Keyword Map'!$AA$3:$AA$1002,0))&amp;"")</f>
        <v/>
      </c>
      <c r="E135">
        <f>IF(B135="","",COUNTIF('Keyword Map'!$G$3:$G$1002,SUBSTITUTE(SUBSTITUTE(B135,"?","~?"),"*","~*")))</f>
        <v/>
      </c>
      <c r="F135">
        <f>IF(B135="","",COUNTIFS('Keyword Map'!$G$3:$G$1002,SUBSTITUTE(SUBSTITUTE(B135,"?","~?"),"*","~*"),'Keyword Map'!$J$3:$J$1002,"Primary"))</f>
        <v/>
      </c>
      <c r="G135">
        <f>IF(B135="","",SUMIFS('Keyword Map'!$C$3:$C$1002,'Keyword Map'!$G$3:$G$1002,SUBSTITUTE(SUBSTITUTE(B135,"?","~?"),"*","~*")))</f>
        <v/>
      </c>
      <c r="H135">
        <f>IF(B135="","",IFERROR(ROUND(AVERAGEIFS('Keyword Map'!$P$3:$P$1002,'Keyword Map'!$G$3:$G$1002,SUBSTITUTE(SUBSTITUTE(B135,"?","~?"),"*","~*")),0),""))</f>
        <v/>
      </c>
      <c r="I135">
        <f>IF(B135="","",COUNTIFS('Keyword Map'!$G$3:$G$1002,SUBSTITUTE(SUBSTITUTE(B135,"?","~?"),"*","~*"),'Keyword Map'!$R$3:$R$1002,"Yes"))</f>
        <v/>
      </c>
      <c r="J135">
        <f>IF(B135="","",COUNTIFS('Keyword Map'!$G$3:$G$1002,SUBSTITUTE(SUBSTITUTE(B135,"?","~?"),"*","~*"),'Keyword Map'!$W$3:$W$1002,"Yes"))</f>
        <v/>
      </c>
      <c r="K135">
        <f>IF(B135="","",IF(F135=0,"No primary keyword",IF(F135&gt;Settings!$B$4,"Too many primary keywords",IF(I135+J135&gt;0,"Check flags","OK"))))</f>
        <v/>
      </c>
    </row>
    <row r="136">
      <c r="A136">
        <f>ROW()-2</f>
        <v/>
      </c>
      <c r="B136">
        <f>IFERROR(INDEX('Keyword Map'!$G$3:$G$1002,MATCH(A136,'Keyword Map'!$AA$3:$AA$1002,0)),"")</f>
        <v/>
      </c>
      <c r="C136">
        <f>IF(B136="","",INDEX('Keyword Map'!$I$3:$I$1002,MATCH(A136,'Keyword Map'!$AA$3:$AA$1002,0))&amp;"")</f>
        <v/>
      </c>
      <c r="D136">
        <f>IF(B136="","",INDEX('Keyword Map'!$H$3:$H$1002,MATCH(A136,'Keyword Map'!$AA$3:$AA$1002,0))&amp;"")</f>
        <v/>
      </c>
      <c r="E136">
        <f>IF(B136="","",COUNTIF('Keyword Map'!$G$3:$G$1002,SUBSTITUTE(SUBSTITUTE(B136,"?","~?"),"*","~*")))</f>
        <v/>
      </c>
      <c r="F136">
        <f>IF(B136="","",COUNTIFS('Keyword Map'!$G$3:$G$1002,SUBSTITUTE(SUBSTITUTE(B136,"?","~?"),"*","~*"),'Keyword Map'!$J$3:$J$1002,"Primary"))</f>
        <v/>
      </c>
      <c r="G136">
        <f>IF(B136="","",SUMIFS('Keyword Map'!$C$3:$C$1002,'Keyword Map'!$G$3:$G$1002,SUBSTITUTE(SUBSTITUTE(B136,"?","~?"),"*","~*")))</f>
        <v/>
      </c>
      <c r="H136">
        <f>IF(B136="","",IFERROR(ROUND(AVERAGEIFS('Keyword Map'!$P$3:$P$1002,'Keyword Map'!$G$3:$G$1002,SUBSTITUTE(SUBSTITUTE(B136,"?","~?"),"*","~*")),0),""))</f>
        <v/>
      </c>
      <c r="I136">
        <f>IF(B136="","",COUNTIFS('Keyword Map'!$G$3:$G$1002,SUBSTITUTE(SUBSTITUTE(B136,"?","~?"),"*","~*"),'Keyword Map'!$R$3:$R$1002,"Yes"))</f>
        <v/>
      </c>
      <c r="J136">
        <f>IF(B136="","",COUNTIFS('Keyword Map'!$G$3:$G$1002,SUBSTITUTE(SUBSTITUTE(B136,"?","~?"),"*","~*"),'Keyword Map'!$W$3:$W$1002,"Yes"))</f>
        <v/>
      </c>
      <c r="K136">
        <f>IF(B136="","",IF(F136=0,"No primary keyword",IF(F136&gt;Settings!$B$4,"Too many primary keywords",IF(I136+J136&gt;0,"Check flags","OK"))))</f>
        <v/>
      </c>
    </row>
    <row r="137">
      <c r="A137">
        <f>ROW()-2</f>
        <v/>
      </c>
      <c r="B137">
        <f>IFERROR(INDEX('Keyword Map'!$G$3:$G$1002,MATCH(A137,'Keyword Map'!$AA$3:$AA$1002,0)),"")</f>
        <v/>
      </c>
      <c r="C137">
        <f>IF(B137="","",INDEX('Keyword Map'!$I$3:$I$1002,MATCH(A137,'Keyword Map'!$AA$3:$AA$1002,0))&amp;"")</f>
        <v/>
      </c>
      <c r="D137">
        <f>IF(B137="","",INDEX('Keyword Map'!$H$3:$H$1002,MATCH(A137,'Keyword Map'!$AA$3:$AA$1002,0))&amp;"")</f>
        <v/>
      </c>
      <c r="E137">
        <f>IF(B137="","",COUNTIF('Keyword Map'!$G$3:$G$1002,SUBSTITUTE(SUBSTITUTE(B137,"?","~?"),"*","~*")))</f>
        <v/>
      </c>
      <c r="F137">
        <f>IF(B137="","",COUNTIFS('Keyword Map'!$G$3:$G$1002,SUBSTITUTE(SUBSTITUTE(B137,"?","~?"),"*","~*"),'Keyword Map'!$J$3:$J$1002,"Primary"))</f>
        <v/>
      </c>
      <c r="G137">
        <f>IF(B137="","",SUMIFS('Keyword Map'!$C$3:$C$1002,'Keyword Map'!$G$3:$G$1002,SUBSTITUTE(SUBSTITUTE(B137,"?","~?"),"*","~*")))</f>
        <v/>
      </c>
      <c r="H137">
        <f>IF(B137="","",IFERROR(ROUND(AVERAGEIFS('Keyword Map'!$P$3:$P$1002,'Keyword Map'!$G$3:$G$1002,SUBSTITUTE(SUBSTITUTE(B137,"?","~?"),"*","~*")),0),""))</f>
        <v/>
      </c>
      <c r="I137">
        <f>IF(B137="","",COUNTIFS('Keyword Map'!$G$3:$G$1002,SUBSTITUTE(SUBSTITUTE(B137,"?","~?"),"*","~*"),'Keyword Map'!$R$3:$R$1002,"Yes"))</f>
        <v/>
      </c>
      <c r="J137">
        <f>IF(B137="","",COUNTIFS('Keyword Map'!$G$3:$G$1002,SUBSTITUTE(SUBSTITUTE(B137,"?","~?"),"*","~*"),'Keyword Map'!$W$3:$W$1002,"Yes"))</f>
        <v/>
      </c>
      <c r="K137">
        <f>IF(B137="","",IF(F137=0,"No primary keyword",IF(F137&gt;Settings!$B$4,"Too many primary keywords",IF(I137+J137&gt;0,"Check flags","OK"))))</f>
        <v/>
      </c>
    </row>
    <row r="138">
      <c r="A138">
        <f>ROW()-2</f>
        <v/>
      </c>
      <c r="B138">
        <f>IFERROR(INDEX('Keyword Map'!$G$3:$G$1002,MATCH(A138,'Keyword Map'!$AA$3:$AA$1002,0)),"")</f>
        <v/>
      </c>
      <c r="C138">
        <f>IF(B138="","",INDEX('Keyword Map'!$I$3:$I$1002,MATCH(A138,'Keyword Map'!$AA$3:$AA$1002,0))&amp;"")</f>
        <v/>
      </c>
      <c r="D138">
        <f>IF(B138="","",INDEX('Keyword Map'!$H$3:$H$1002,MATCH(A138,'Keyword Map'!$AA$3:$AA$1002,0))&amp;"")</f>
        <v/>
      </c>
      <c r="E138">
        <f>IF(B138="","",COUNTIF('Keyword Map'!$G$3:$G$1002,SUBSTITUTE(SUBSTITUTE(B138,"?","~?"),"*","~*")))</f>
        <v/>
      </c>
      <c r="F138">
        <f>IF(B138="","",COUNTIFS('Keyword Map'!$G$3:$G$1002,SUBSTITUTE(SUBSTITUTE(B138,"?","~?"),"*","~*"),'Keyword Map'!$J$3:$J$1002,"Primary"))</f>
        <v/>
      </c>
      <c r="G138">
        <f>IF(B138="","",SUMIFS('Keyword Map'!$C$3:$C$1002,'Keyword Map'!$G$3:$G$1002,SUBSTITUTE(SUBSTITUTE(B138,"?","~?"),"*","~*")))</f>
        <v/>
      </c>
      <c r="H138">
        <f>IF(B138="","",IFERROR(ROUND(AVERAGEIFS('Keyword Map'!$P$3:$P$1002,'Keyword Map'!$G$3:$G$1002,SUBSTITUTE(SUBSTITUTE(B138,"?","~?"),"*","~*")),0),""))</f>
        <v/>
      </c>
      <c r="I138">
        <f>IF(B138="","",COUNTIFS('Keyword Map'!$G$3:$G$1002,SUBSTITUTE(SUBSTITUTE(B138,"?","~?"),"*","~*"),'Keyword Map'!$R$3:$R$1002,"Yes"))</f>
        <v/>
      </c>
      <c r="J138">
        <f>IF(B138="","",COUNTIFS('Keyword Map'!$G$3:$G$1002,SUBSTITUTE(SUBSTITUTE(B138,"?","~?"),"*","~*"),'Keyword Map'!$W$3:$W$1002,"Yes"))</f>
        <v/>
      </c>
      <c r="K138">
        <f>IF(B138="","",IF(F138=0,"No primary keyword",IF(F138&gt;Settings!$B$4,"Too many primary keywords",IF(I138+J138&gt;0,"Check flags","OK"))))</f>
        <v/>
      </c>
    </row>
    <row r="139">
      <c r="A139">
        <f>ROW()-2</f>
        <v/>
      </c>
      <c r="B139">
        <f>IFERROR(INDEX('Keyword Map'!$G$3:$G$1002,MATCH(A139,'Keyword Map'!$AA$3:$AA$1002,0)),"")</f>
        <v/>
      </c>
      <c r="C139">
        <f>IF(B139="","",INDEX('Keyword Map'!$I$3:$I$1002,MATCH(A139,'Keyword Map'!$AA$3:$AA$1002,0))&amp;"")</f>
        <v/>
      </c>
      <c r="D139">
        <f>IF(B139="","",INDEX('Keyword Map'!$H$3:$H$1002,MATCH(A139,'Keyword Map'!$AA$3:$AA$1002,0))&amp;"")</f>
        <v/>
      </c>
      <c r="E139">
        <f>IF(B139="","",COUNTIF('Keyword Map'!$G$3:$G$1002,SUBSTITUTE(SUBSTITUTE(B139,"?","~?"),"*","~*")))</f>
        <v/>
      </c>
      <c r="F139">
        <f>IF(B139="","",COUNTIFS('Keyword Map'!$G$3:$G$1002,SUBSTITUTE(SUBSTITUTE(B139,"?","~?"),"*","~*"),'Keyword Map'!$J$3:$J$1002,"Primary"))</f>
        <v/>
      </c>
      <c r="G139">
        <f>IF(B139="","",SUMIFS('Keyword Map'!$C$3:$C$1002,'Keyword Map'!$G$3:$G$1002,SUBSTITUTE(SUBSTITUTE(B139,"?","~?"),"*","~*")))</f>
        <v/>
      </c>
      <c r="H139">
        <f>IF(B139="","",IFERROR(ROUND(AVERAGEIFS('Keyword Map'!$P$3:$P$1002,'Keyword Map'!$G$3:$G$1002,SUBSTITUTE(SUBSTITUTE(B139,"?","~?"),"*","~*")),0),""))</f>
        <v/>
      </c>
      <c r="I139">
        <f>IF(B139="","",COUNTIFS('Keyword Map'!$G$3:$G$1002,SUBSTITUTE(SUBSTITUTE(B139,"?","~?"),"*","~*"),'Keyword Map'!$R$3:$R$1002,"Yes"))</f>
        <v/>
      </c>
      <c r="J139">
        <f>IF(B139="","",COUNTIFS('Keyword Map'!$G$3:$G$1002,SUBSTITUTE(SUBSTITUTE(B139,"?","~?"),"*","~*"),'Keyword Map'!$W$3:$W$1002,"Yes"))</f>
        <v/>
      </c>
      <c r="K139">
        <f>IF(B139="","",IF(F139=0,"No primary keyword",IF(F139&gt;Settings!$B$4,"Too many primary keywords",IF(I139+J139&gt;0,"Check flags","OK"))))</f>
        <v/>
      </c>
    </row>
    <row r="140">
      <c r="A140">
        <f>ROW()-2</f>
        <v/>
      </c>
      <c r="B140">
        <f>IFERROR(INDEX('Keyword Map'!$G$3:$G$1002,MATCH(A140,'Keyword Map'!$AA$3:$AA$1002,0)),"")</f>
        <v/>
      </c>
      <c r="C140">
        <f>IF(B140="","",INDEX('Keyword Map'!$I$3:$I$1002,MATCH(A140,'Keyword Map'!$AA$3:$AA$1002,0))&amp;"")</f>
        <v/>
      </c>
      <c r="D140">
        <f>IF(B140="","",INDEX('Keyword Map'!$H$3:$H$1002,MATCH(A140,'Keyword Map'!$AA$3:$AA$1002,0))&amp;"")</f>
        <v/>
      </c>
      <c r="E140">
        <f>IF(B140="","",COUNTIF('Keyword Map'!$G$3:$G$1002,SUBSTITUTE(SUBSTITUTE(B140,"?","~?"),"*","~*")))</f>
        <v/>
      </c>
      <c r="F140">
        <f>IF(B140="","",COUNTIFS('Keyword Map'!$G$3:$G$1002,SUBSTITUTE(SUBSTITUTE(B140,"?","~?"),"*","~*"),'Keyword Map'!$J$3:$J$1002,"Primary"))</f>
        <v/>
      </c>
      <c r="G140">
        <f>IF(B140="","",SUMIFS('Keyword Map'!$C$3:$C$1002,'Keyword Map'!$G$3:$G$1002,SUBSTITUTE(SUBSTITUTE(B140,"?","~?"),"*","~*")))</f>
        <v/>
      </c>
      <c r="H140">
        <f>IF(B140="","",IFERROR(ROUND(AVERAGEIFS('Keyword Map'!$P$3:$P$1002,'Keyword Map'!$G$3:$G$1002,SUBSTITUTE(SUBSTITUTE(B140,"?","~?"),"*","~*")),0),""))</f>
        <v/>
      </c>
      <c r="I140">
        <f>IF(B140="","",COUNTIFS('Keyword Map'!$G$3:$G$1002,SUBSTITUTE(SUBSTITUTE(B140,"?","~?"),"*","~*"),'Keyword Map'!$R$3:$R$1002,"Yes"))</f>
        <v/>
      </c>
      <c r="J140">
        <f>IF(B140="","",COUNTIFS('Keyword Map'!$G$3:$G$1002,SUBSTITUTE(SUBSTITUTE(B140,"?","~?"),"*","~*"),'Keyword Map'!$W$3:$W$1002,"Yes"))</f>
        <v/>
      </c>
      <c r="K140">
        <f>IF(B140="","",IF(F140=0,"No primary keyword",IF(F140&gt;Settings!$B$4,"Too many primary keywords",IF(I140+J140&gt;0,"Check flags","OK"))))</f>
        <v/>
      </c>
    </row>
    <row r="141">
      <c r="A141">
        <f>ROW()-2</f>
        <v/>
      </c>
      <c r="B141">
        <f>IFERROR(INDEX('Keyword Map'!$G$3:$G$1002,MATCH(A141,'Keyword Map'!$AA$3:$AA$1002,0)),"")</f>
        <v/>
      </c>
      <c r="C141">
        <f>IF(B141="","",INDEX('Keyword Map'!$I$3:$I$1002,MATCH(A141,'Keyword Map'!$AA$3:$AA$1002,0))&amp;"")</f>
        <v/>
      </c>
      <c r="D141">
        <f>IF(B141="","",INDEX('Keyword Map'!$H$3:$H$1002,MATCH(A141,'Keyword Map'!$AA$3:$AA$1002,0))&amp;"")</f>
        <v/>
      </c>
      <c r="E141">
        <f>IF(B141="","",COUNTIF('Keyword Map'!$G$3:$G$1002,SUBSTITUTE(SUBSTITUTE(B141,"?","~?"),"*","~*")))</f>
        <v/>
      </c>
      <c r="F141">
        <f>IF(B141="","",COUNTIFS('Keyword Map'!$G$3:$G$1002,SUBSTITUTE(SUBSTITUTE(B141,"?","~?"),"*","~*"),'Keyword Map'!$J$3:$J$1002,"Primary"))</f>
        <v/>
      </c>
      <c r="G141">
        <f>IF(B141="","",SUMIFS('Keyword Map'!$C$3:$C$1002,'Keyword Map'!$G$3:$G$1002,SUBSTITUTE(SUBSTITUTE(B141,"?","~?"),"*","~*")))</f>
        <v/>
      </c>
      <c r="H141">
        <f>IF(B141="","",IFERROR(ROUND(AVERAGEIFS('Keyword Map'!$P$3:$P$1002,'Keyword Map'!$G$3:$G$1002,SUBSTITUTE(SUBSTITUTE(B141,"?","~?"),"*","~*")),0),""))</f>
        <v/>
      </c>
      <c r="I141">
        <f>IF(B141="","",COUNTIFS('Keyword Map'!$G$3:$G$1002,SUBSTITUTE(SUBSTITUTE(B141,"?","~?"),"*","~*"),'Keyword Map'!$R$3:$R$1002,"Yes"))</f>
        <v/>
      </c>
      <c r="J141">
        <f>IF(B141="","",COUNTIFS('Keyword Map'!$G$3:$G$1002,SUBSTITUTE(SUBSTITUTE(B141,"?","~?"),"*","~*"),'Keyword Map'!$W$3:$W$1002,"Yes"))</f>
        <v/>
      </c>
      <c r="K141">
        <f>IF(B141="","",IF(F141=0,"No primary keyword",IF(F141&gt;Settings!$B$4,"Too many primary keywords",IF(I141+J141&gt;0,"Check flags","OK"))))</f>
        <v/>
      </c>
    </row>
    <row r="142">
      <c r="A142">
        <f>ROW()-2</f>
        <v/>
      </c>
      <c r="B142">
        <f>IFERROR(INDEX('Keyword Map'!$G$3:$G$1002,MATCH(A142,'Keyword Map'!$AA$3:$AA$1002,0)),"")</f>
        <v/>
      </c>
      <c r="C142">
        <f>IF(B142="","",INDEX('Keyword Map'!$I$3:$I$1002,MATCH(A142,'Keyword Map'!$AA$3:$AA$1002,0))&amp;"")</f>
        <v/>
      </c>
      <c r="D142">
        <f>IF(B142="","",INDEX('Keyword Map'!$H$3:$H$1002,MATCH(A142,'Keyword Map'!$AA$3:$AA$1002,0))&amp;"")</f>
        <v/>
      </c>
      <c r="E142">
        <f>IF(B142="","",COUNTIF('Keyword Map'!$G$3:$G$1002,SUBSTITUTE(SUBSTITUTE(B142,"?","~?"),"*","~*")))</f>
        <v/>
      </c>
      <c r="F142">
        <f>IF(B142="","",COUNTIFS('Keyword Map'!$G$3:$G$1002,SUBSTITUTE(SUBSTITUTE(B142,"?","~?"),"*","~*"),'Keyword Map'!$J$3:$J$1002,"Primary"))</f>
        <v/>
      </c>
      <c r="G142">
        <f>IF(B142="","",SUMIFS('Keyword Map'!$C$3:$C$1002,'Keyword Map'!$G$3:$G$1002,SUBSTITUTE(SUBSTITUTE(B142,"?","~?"),"*","~*")))</f>
        <v/>
      </c>
      <c r="H142">
        <f>IF(B142="","",IFERROR(ROUND(AVERAGEIFS('Keyword Map'!$P$3:$P$1002,'Keyword Map'!$G$3:$G$1002,SUBSTITUTE(SUBSTITUTE(B142,"?","~?"),"*","~*")),0),""))</f>
        <v/>
      </c>
      <c r="I142">
        <f>IF(B142="","",COUNTIFS('Keyword Map'!$G$3:$G$1002,SUBSTITUTE(SUBSTITUTE(B142,"?","~?"),"*","~*"),'Keyword Map'!$R$3:$R$1002,"Yes"))</f>
        <v/>
      </c>
      <c r="J142">
        <f>IF(B142="","",COUNTIFS('Keyword Map'!$G$3:$G$1002,SUBSTITUTE(SUBSTITUTE(B142,"?","~?"),"*","~*"),'Keyword Map'!$W$3:$W$1002,"Yes"))</f>
        <v/>
      </c>
      <c r="K142">
        <f>IF(B142="","",IF(F142=0,"No primary keyword",IF(F142&gt;Settings!$B$4,"Too many primary keywords",IF(I142+J142&gt;0,"Check flags","OK"))))</f>
        <v/>
      </c>
    </row>
    <row r="143">
      <c r="A143">
        <f>ROW()-2</f>
        <v/>
      </c>
      <c r="B143">
        <f>IFERROR(INDEX('Keyword Map'!$G$3:$G$1002,MATCH(A143,'Keyword Map'!$AA$3:$AA$1002,0)),"")</f>
        <v/>
      </c>
      <c r="C143">
        <f>IF(B143="","",INDEX('Keyword Map'!$I$3:$I$1002,MATCH(A143,'Keyword Map'!$AA$3:$AA$1002,0))&amp;"")</f>
        <v/>
      </c>
      <c r="D143">
        <f>IF(B143="","",INDEX('Keyword Map'!$H$3:$H$1002,MATCH(A143,'Keyword Map'!$AA$3:$AA$1002,0))&amp;"")</f>
        <v/>
      </c>
      <c r="E143">
        <f>IF(B143="","",COUNTIF('Keyword Map'!$G$3:$G$1002,SUBSTITUTE(SUBSTITUTE(B143,"?","~?"),"*","~*")))</f>
        <v/>
      </c>
      <c r="F143">
        <f>IF(B143="","",COUNTIFS('Keyword Map'!$G$3:$G$1002,SUBSTITUTE(SUBSTITUTE(B143,"?","~?"),"*","~*"),'Keyword Map'!$J$3:$J$1002,"Primary"))</f>
        <v/>
      </c>
      <c r="G143">
        <f>IF(B143="","",SUMIFS('Keyword Map'!$C$3:$C$1002,'Keyword Map'!$G$3:$G$1002,SUBSTITUTE(SUBSTITUTE(B143,"?","~?"),"*","~*")))</f>
        <v/>
      </c>
      <c r="H143">
        <f>IF(B143="","",IFERROR(ROUND(AVERAGEIFS('Keyword Map'!$P$3:$P$1002,'Keyword Map'!$G$3:$G$1002,SUBSTITUTE(SUBSTITUTE(B143,"?","~?"),"*","~*")),0),""))</f>
        <v/>
      </c>
      <c r="I143">
        <f>IF(B143="","",COUNTIFS('Keyword Map'!$G$3:$G$1002,SUBSTITUTE(SUBSTITUTE(B143,"?","~?"),"*","~*"),'Keyword Map'!$R$3:$R$1002,"Yes"))</f>
        <v/>
      </c>
      <c r="J143">
        <f>IF(B143="","",COUNTIFS('Keyword Map'!$G$3:$G$1002,SUBSTITUTE(SUBSTITUTE(B143,"?","~?"),"*","~*"),'Keyword Map'!$W$3:$W$1002,"Yes"))</f>
        <v/>
      </c>
      <c r="K143">
        <f>IF(B143="","",IF(F143=0,"No primary keyword",IF(F143&gt;Settings!$B$4,"Too many primary keywords",IF(I143+J143&gt;0,"Check flags","OK"))))</f>
        <v/>
      </c>
    </row>
    <row r="144">
      <c r="A144">
        <f>ROW()-2</f>
        <v/>
      </c>
      <c r="B144">
        <f>IFERROR(INDEX('Keyword Map'!$G$3:$G$1002,MATCH(A144,'Keyword Map'!$AA$3:$AA$1002,0)),"")</f>
        <v/>
      </c>
      <c r="C144">
        <f>IF(B144="","",INDEX('Keyword Map'!$I$3:$I$1002,MATCH(A144,'Keyword Map'!$AA$3:$AA$1002,0))&amp;"")</f>
        <v/>
      </c>
      <c r="D144">
        <f>IF(B144="","",INDEX('Keyword Map'!$H$3:$H$1002,MATCH(A144,'Keyword Map'!$AA$3:$AA$1002,0))&amp;"")</f>
        <v/>
      </c>
      <c r="E144">
        <f>IF(B144="","",COUNTIF('Keyword Map'!$G$3:$G$1002,SUBSTITUTE(SUBSTITUTE(B144,"?","~?"),"*","~*")))</f>
        <v/>
      </c>
      <c r="F144">
        <f>IF(B144="","",COUNTIFS('Keyword Map'!$G$3:$G$1002,SUBSTITUTE(SUBSTITUTE(B144,"?","~?"),"*","~*"),'Keyword Map'!$J$3:$J$1002,"Primary"))</f>
        <v/>
      </c>
      <c r="G144">
        <f>IF(B144="","",SUMIFS('Keyword Map'!$C$3:$C$1002,'Keyword Map'!$G$3:$G$1002,SUBSTITUTE(SUBSTITUTE(B144,"?","~?"),"*","~*")))</f>
        <v/>
      </c>
      <c r="H144">
        <f>IF(B144="","",IFERROR(ROUND(AVERAGEIFS('Keyword Map'!$P$3:$P$1002,'Keyword Map'!$G$3:$G$1002,SUBSTITUTE(SUBSTITUTE(B144,"?","~?"),"*","~*")),0),""))</f>
        <v/>
      </c>
      <c r="I144">
        <f>IF(B144="","",COUNTIFS('Keyword Map'!$G$3:$G$1002,SUBSTITUTE(SUBSTITUTE(B144,"?","~?"),"*","~*"),'Keyword Map'!$R$3:$R$1002,"Yes"))</f>
        <v/>
      </c>
      <c r="J144">
        <f>IF(B144="","",COUNTIFS('Keyword Map'!$G$3:$G$1002,SUBSTITUTE(SUBSTITUTE(B144,"?","~?"),"*","~*"),'Keyword Map'!$W$3:$W$1002,"Yes"))</f>
        <v/>
      </c>
      <c r="K144">
        <f>IF(B144="","",IF(F144=0,"No primary keyword",IF(F144&gt;Settings!$B$4,"Too many primary keywords",IF(I144+J144&gt;0,"Check flags","OK"))))</f>
        <v/>
      </c>
    </row>
    <row r="145">
      <c r="A145">
        <f>ROW()-2</f>
        <v/>
      </c>
      <c r="B145">
        <f>IFERROR(INDEX('Keyword Map'!$G$3:$G$1002,MATCH(A145,'Keyword Map'!$AA$3:$AA$1002,0)),"")</f>
        <v/>
      </c>
      <c r="C145">
        <f>IF(B145="","",INDEX('Keyword Map'!$I$3:$I$1002,MATCH(A145,'Keyword Map'!$AA$3:$AA$1002,0))&amp;"")</f>
        <v/>
      </c>
      <c r="D145">
        <f>IF(B145="","",INDEX('Keyword Map'!$H$3:$H$1002,MATCH(A145,'Keyword Map'!$AA$3:$AA$1002,0))&amp;"")</f>
        <v/>
      </c>
      <c r="E145">
        <f>IF(B145="","",COUNTIF('Keyword Map'!$G$3:$G$1002,SUBSTITUTE(SUBSTITUTE(B145,"?","~?"),"*","~*")))</f>
        <v/>
      </c>
      <c r="F145">
        <f>IF(B145="","",COUNTIFS('Keyword Map'!$G$3:$G$1002,SUBSTITUTE(SUBSTITUTE(B145,"?","~?"),"*","~*"),'Keyword Map'!$J$3:$J$1002,"Primary"))</f>
        <v/>
      </c>
      <c r="G145">
        <f>IF(B145="","",SUMIFS('Keyword Map'!$C$3:$C$1002,'Keyword Map'!$G$3:$G$1002,SUBSTITUTE(SUBSTITUTE(B145,"?","~?"),"*","~*")))</f>
        <v/>
      </c>
      <c r="H145">
        <f>IF(B145="","",IFERROR(ROUND(AVERAGEIFS('Keyword Map'!$P$3:$P$1002,'Keyword Map'!$G$3:$G$1002,SUBSTITUTE(SUBSTITUTE(B145,"?","~?"),"*","~*")),0),""))</f>
        <v/>
      </c>
      <c r="I145">
        <f>IF(B145="","",COUNTIFS('Keyword Map'!$G$3:$G$1002,SUBSTITUTE(SUBSTITUTE(B145,"?","~?"),"*","~*"),'Keyword Map'!$R$3:$R$1002,"Yes"))</f>
        <v/>
      </c>
      <c r="J145">
        <f>IF(B145="","",COUNTIFS('Keyword Map'!$G$3:$G$1002,SUBSTITUTE(SUBSTITUTE(B145,"?","~?"),"*","~*"),'Keyword Map'!$W$3:$W$1002,"Yes"))</f>
        <v/>
      </c>
      <c r="K145">
        <f>IF(B145="","",IF(F145=0,"No primary keyword",IF(F145&gt;Settings!$B$4,"Too many primary keywords",IF(I145+J145&gt;0,"Check flags","OK"))))</f>
        <v/>
      </c>
    </row>
    <row r="146">
      <c r="A146">
        <f>ROW()-2</f>
        <v/>
      </c>
      <c r="B146">
        <f>IFERROR(INDEX('Keyword Map'!$G$3:$G$1002,MATCH(A146,'Keyword Map'!$AA$3:$AA$1002,0)),"")</f>
        <v/>
      </c>
      <c r="C146">
        <f>IF(B146="","",INDEX('Keyword Map'!$I$3:$I$1002,MATCH(A146,'Keyword Map'!$AA$3:$AA$1002,0))&amp;"")</f>
        <v/>
      </c>
      <c r="D146">
        <f>IF(B146="","",INDEX('Keyword Map'!$H$3:$H$1002,MATCH(A146,'Keyword Map'!$AA$3:$AA$1002,0))&amp;"")</f>
        <v/>
      </c>
      <c r="E146">
        <f>IF(B146="","",COUNTIF('Keyword Map'!$G$3:$G$1002,SUBSTITUTE(SUBSTITUTE(B146,"?","~?"),"*","~*")))</f>
        <v/>
      </c>
      <c r="F146">
        <f>IF(B146="","",COUNTIFS('Keyword Map'!$G$3:$G$1002,SUBSTITUTE(SUBSTITUTE(B146,"?","~?"),"*","~*"),'Keyword Map'!$J$3:$J$1002,"Primary"))</f>
        <v/>
      </c>
      <c r="G146">
        <f>IF(B146="","",SUMIFS('Keyword Map'!$C$3:$C$1002,'Keyword Map'!$G$3:$G$1002,SUBSTITUTE(SUBSTITUTE(B146,"?","~?"),"*","~*")))</f>
        <v/>
      </c>
      <c r="H146">
        <f>IF(B146="","",IFERROR(ROUND(AVERAGEIFS('Keyword Map'!$P$3:$P$1002,'Keyword Map'!$G$3:$G$1002,SUBSTITUTE(SUBSTITUTE(B146,"?","~?"),"*","~*")),0),""))</f>
        <v/>
      </c>
      <c r="I146">
        <f>IF(B146="","",COUNTIFS('Keyword Map'!$G$3:$G$1002,SUBSTITUTE(SUBSTITUTE(B146,"?","~?"),"*","~*"),'Keyword Map'!$R$3:$R$1002,"Yes"))</f>
        <v/>
      </c>
      <c r="J146">
        <f>IF(B146="","",COUNTIFS('Keyword Map'!$G$3:$G$1002,SUBSTITUTE(SUBSTITUTE(B146,"?","~?"),"*","~*"),'Keyword Map'!$W$3:$W$1002,"Yes"))</f>
        <v/>
      </c>
      <c r="K146">
        <f>IF(B146="","",IF(F146=0,"No primary keyword",IF(F146&gt;Settings!$B$4,"Too many primary keywords",IF(I146+J146&gt;0,"Check flags","OK"))))</f>
        <v/>
      </c>
    </row>
    <row r="147">
      <c r="A147">
        <f>ROW()-2</f>
        <v/>
      </c>
      <c r="B147">
        <f>IFERROR(INDEX('Keyword Map'!$G$3:$G$1002,MATCH(A147,'Keyword Map'!$AA$3:$AA$1002,0)),"")</f>
        <v/>
      </c>
      <c r="C147">
        <f>IF(B147="","",INDEX('Keyword Map'!$I$3:$I$1002,MATCH(A147,'Keyword Map'!$AA$3:$AA$1002,0))&amp;"")</f>
        <v/>
      </c>
      <c r="D147">
        <f>IF(B147="","",INDEX('Keyword Map'!$H$3:$H$1002,MATCH(A147,'Keyword Map'!$AA$3:$AA$1002,0))&amp;"")</f>
        <v/>
      </c>
      <c r="E147">
        <f>IF(B147="","",COUNTIF('Keyword Map'!$G$3:$G$1002,SUBSTITUTE(SUBSTITUTE(B147,"?","~?"),"*","~*")))</f>
        <v/>
      </c>
      <c r="F147">
        <f>IF(B147="","",COUNTIFS('Keyword Map'!$G$3:$G$1002,SUBSTITUTE(SUBSTITUTE(B147,"?","~?"),"*","~*"),'Keyword Map'!$J$3:$J$1002,"Primary"))</f>
        <v/>
      </c>
      <c r="G147">
        <f>IF(B147="","",SUMIFS('Keyword Map'!$C$3:$C$1002,'Keyword Map'!$G$3:$G$1002,SUBSTITUTE(SUBSTITUTE(B147,"?","~?"),"*","~*")))</f>
        <v/>
      </c>
      <c r="H147">
        <f>IF(B147="","",IFERROR(ROUND(AVERAGEIFS('Keyword Map'!$P$3:$P$1002,'Keyword Map'!$G$3:$G$1002,SUBSTITUTE(SUBSTITUTE(B147,"?","~?"),"*","~*")),0),""))</f>
        <v/>
      </c>
      <c r="I147">
        <f>IF(B147="","",COUNTIFS('Keyword Map'!$G$3:$G$1002,SUBSTITUTE(SUBSTITUTE(B147,"?","~?"),"*","~*"),'Keyword Map'!$R$3:$R$1002,"Yes"))</f>
        <v/>
      </c>
      <c r="J147">
        <f>IF(B147="","",COUNTIFS('Keyword Map'!$G$3:$G$1002,SUBSTITUTE(SUBSTITUTE(B147,"?","~?"),"*","~*"),'Keyword Map'!$W$3:$W$1002,"Yes"))</f>
        <v/>
      </c>
      <c r="K147">
        <f>IF(B147="","",IF(F147=0,"No primary keyword",IF(F147&gt;Settings!$B$4,"Too many primary keywords",IF(I147+J147&gt;0,"Check flags","OK"))))</f>
        <v/>
      </c>
    </row>
    <row r="148">
      <c r="A148">
        <f>ROW()-2</f>
        <v/>
      </c>
      <c r="B148">
        <f>IFERROR(INDEX('Keyword Map'!$G$3:$G$1002,MATCH(A148,'Keyword Map'!$AA$3:$AA$1002,0)),"")</f>
        <v/>
      </c>
      <c r="C148">
        <f>IF(B148="","",INDEX('Keyword Map'!$I$3:$I$1002,MATCH(A148,'Keyword Map'!$AA$3:$AA$1002,0))&amp;"")</f>
        <v/>
      </c>
      <c r="D148">
        <f>IF(B148="","",INDEX('Keyword Map'!$H$3:$H$1002,MATCH(A148,'Keyword Map'!$AA$3:$AA$1002,0))&amp;"")</f>
        <v/>
      </c>
      <c r="E148">
        <f>IF(B148="","",COUNTIF('Keyword Map'!$G$3:$G$1002,SUBSTITUTE(SUBSTITUTE(B148,"?","~?"),"*","~*")))</f>
        <v/>
      </c>
      <c r="F148">
        <f>IF(B148="","",COUNTIFS('Keyword Map'!$G$3:$G$1002,SUBSTITUTE(SUBSTITUTE(B148,"?","~?"),"*","~*"),'Keyword Map'!$J$3:$J$1002,"Primary"))</f>
        <v/>
      </c>
      <c r="G148">
        <f>IF(B148="","",SUMIFS('Keyword Map'!$C$3:$C$1002,'Keyword Map'!$G$3:$G$1002,SUBSTITUTE(SUBSTITUTE(B148,"?","~?"),"*","~*")))</f>
        <v/>
      </c>
      <c r="H148">
        <f>IF(B148="","",IFERROR(ROUND(AVERAGEIFS('Keyword Map'!$P$3:$P$1002,'Keyword Map'!$G$3:$G$1002,SUBSTITUTE(SUBSTITUTE(B148,"?","~?"),"*","~*")),0),""))</f>
        <v/>
      </c>
      <c r="I148">
        <f>IF(B148="","",COUNTIFS('Keyword Map'!$G$3:$G$1002,SUBSTITUTE(SUBSTITUTE(B148,"?","~?"),"*","~*"),'Keyword Map'!$R$3:$R$1002,"Yes"))</f>
        <v/>
      </c>
      <c r="J148">
        <f>IF(B148="","",COUNTIFS('Keyword Map'!$G$3:$G$1002,SUBSTITUTE(SUBSTITUTE(B148,"?","~?"),"*","~*"),'Keyword Map'!$W$3:$W$1002,"Yes"))</f>
        <v/>
      </c>
      <c r="K148">
        <f>IF(B148="","",IF(F148=0,"No primary keyword",IF(F148&gt;Settings!$B$4,"Too many primary keywords",IF(I148+J148&gt;0,"Check flags","OK"))))</f>
        <v/>
      </c>
    </row>
    <row r="149">
      <c r="A149">
        <f>ROW()-2</f>
        <v/>
      </c>
      <c r="B149">
        <f>IFERROR(INDEX('Keyword Map'!$G$3:$G$1002,MATCH(A149,'Keyword Map'!$AA$3:$AA$1002,0)),"")</f>
        <v/>
      </c>
      <c r="C149">
        <f>IF(B149="","",INDEX('Keyword Map'!$I$3:$I$1002,MATCH(A149,'Keyword Map'!$AA$3:$AA$1002,0))&amp;"")</f>
        <v/>
      </c>
      <c r="D149">
        <f>IF(B149="","",INDEX('Keyword Map'!$H$3:$H$1002,MATCH(A149,'Keyword Map'!$AA$3:$AA$1002,0))&amp;"")</f>
        <v/>
      </c>
      <c r="E149">
        <f>IF(B149="","",COUNTIF('Keyword Map'!$G$3:$G$1002,SUBSTITUTE(SUBSTITUTE(B149,"?","~?"),"*","~*")))</f>
        <v/>
      </c>
      <c r="F149">
        <f>IF(B149="","",COUNTIFS('Keyword Map'!$G$3:$G$1002,SUBSTITUTE(SUBSTITUTE(B149,"?","~?"),"*","~*"),'Keyword Map'!$J$3:$J$1002,"Primary"))</f>
        <v/>
      </c>
      <c r="G149">
        <f>IF(B149="","",SUMIFS('Keyword Map'!$C$3:$C$1002,'Keyword Map'!$G$3:$G$1002,SUBSTITUTE(SUBSTITUTE(B149,"?","~?"),"*","~*")))</f>
        <v/>
      </c>
      <c r="H149">
        <f>IF(B149="","",IFERROR(ROUND(AVERAGEIFS('Keyword Map'!$P$3:$P$1002,'Keyword Map'!$G$3:$G$1002,SUBSTITUTE(SUBSTITUTE(B149,"?","~?"),"*","~*")),0),""))</f>
        <v/>
      </c>
      <c r="I149">
        <f>IF(B149="","",COUNTIFS('Keyword Map'!$G$3:$G$1002,SUBSTITUTE(SUBSTITUTE(B149,"?","~?"),"*","~*"),'Keyword Map'!$R$3:$R$1002,"Yes"))</f>
        <v/>
      </c>
      <c r="J149">
        <f>IF(B149="","",COUNTIFS('Keyword Map'!$G$3:$G$1002,SUBSTITUTE(SUBSTITUTE(B149,"?","~?"),"*","~*"),'Keyword Map'!$W$3:$W$1002,"Yes"))</f>
        <v/>
      </c>
      <c r="K149">
        <f>IF(B149="","",IF(F149=0,"No primary keyword",IF(F149&gt;Settings!$B$4,"Too many primary keywords",IF(I149+J149&gt;0,"Check flags","OK"))))</f>
        <v/>
      </c>
    </row>
    <row r="150">
      <c r="A150">
        <f>ROW()-2</f>
        <v/>
      </c>
      <c r="B150">
        <f>IFERROR(INDEX('Keyword Map'!$G$3:$G$1002,MATCH(A150,'Keyword Map'!$AA$3:$AA$1002,0)),"")</f>
        <v/>
      </c>
      <c r="C150">
        <f>IF(B150="","",INDEX('Keyword Map'!$I$3:$I$1002,MATCH(A150,'Keyword Map'!$AA$3:$AA$1002,0))&amp;"")</f>
        <v/>
      </c>
      <c r="D150">
        <f>IF(B150="","",INDEX('Keyword Map'!$H$3:$H$1002,MATCH(A150,'Keyword Map'!$AA$3:$AA$1002,0))&amp;"")</f>
        <v/>
      </c>
      <c r="E150">
        <f>IF(B150="","",COUNTIF('Keyword Map'!$G$3:$G$1002,SUBSTITUTE(SUBSTITUTE(B150,"?","~?"),"*","~*")))</f>
        <v/>
      </c>
      <c r="F150">
        <f>IF(B150="","",COUNTIFS('Keyword Map'!$G$3:$G$1002,SUBSTITUTE(SUBSTITUTE(B150,"?","~?"),"*","~*"),'Keyword Map'!$J$3:$J$1002,"Primary"))</f>
        <v/>
      </c>
      <c r="G150">
        <f>IF(B150="","",SUMIFS('Keyword Map'!$C$3:$C$1002,'Keyword Map'!$G$3:$G$1002,SUBSTITUTE(SUBSTITUTE(B150,"?","~?"),"*","~*")))</f>
        <v/>
      </c>
      <c r="H150">
        <f>IF(B150="","",IFERROR(ROUND(AVERAGEIFS('Keyword Map'!$P$3:$P$1002,'Keyword Map'!$G$3:$G$1002,SUBSTITUTE(SUBSTITUTE(B150,"?","~?"),"*","~*")),0),""))</f>
        <v/>
      </c>
      <c r="I150">
        <f>IF(B150="","",COUNTIFS('Keyword Map'!$G$3:$G$1002,SUBSTITUTE(SUBSTITUTE(B150,"?","~?"),"*","~*"),'Keyword Map'!$R$3:$R$1002,"Yes"))</f>
        <v/>
      </c>
      <c r="J150">
        <f>IF(B150="","",COUNTIFS('Keyword Map'!$G$3:$G$1002,SUBSTITUTE(SUBSTITUTE(B150,"?","~?"),"*","~*"),'Keyword Map'!$W$3:$W$1002,"Yes"))</f>
        <v/>
      </c>
      <c r="K150">
        <f>IF(B150="","",IF(F150=0,"No primary keyword",IF(F150&gt;Settings!$B$4,"Too many primary keywords",IF(I150+J150&gt;0,"Check flags","OK"))))</f>
        <v/>
      </c>
    </row>
    <row r="151">
      <c r="A151">
        <f>ROW()-2</f>
        <v/>
      </c>
      <c r="B151">
        <f>IFERROR(INDEX('Keyword Map'!$G$3:$G$1002,MATCH(A151,'Keyword Map'!$AA$3:$AA$1002,0)),"")</f>
        <v/>
      </c>
      <c r="C151">
        <f>IF(B151="","",INDEX('Keyword Map'!$I$3:$I$1002,MATCH(A151,'Keyword Map'!$AA$3:$AA$1002,0))&amp;"")</f>
        <v/>
      </c>
      <c r="D151">
        <f>IF(B151="","",INDEX('Keyword Map'!$H$3:$H$1002,MATCH(A151,'Keyword Map'!$AA$3:$AA$1002,0))&amp;"")</f>
        <v/>
      </c>
      <c r="E151">
        <f>IF(B151="","",COUNTIF('Keyword Map'!$G$3:$G$1002,SUBSTITUTE(SUBSTITUTE(B151,"?","~?"),"*","~*")))</f>
        <v/>
      </c>
      <c r="F151">
        <f>IF(B151="","",COUNTIFS('Keyword Map'!$G$3:$G$1002,SUBSTITUTE(SUBSTITUTE(B151,"?","~?"),"*","~*"),'Keyword Map'!$J$3:$J$1002,"Primary"))</f>
        <v/>
      </c>
      <c r="G151">
        <f>IF(B151="","",SUMIFS('Keyword Map'!$C$3:$C$1002,'Keyword Map'!$G$3:$G$1002,SUBSTITUTE(SUBSTITUTE(B151,"?","~?"),"*","~*")))</f>
        <v/>
      </c>
      <c r="H151">
        <f>IF(B151="","",IFERROR(ROUND(AVERAGEIFS('Keyword Map'!$P$3:$P$1002,'Keyword Map'!$G$3:$G$1002,SUBSTITUTE(SUBSTITUTE(B151,"?","~?"),"*","~*")),0),""))</f>
        <v/>
      </c>
      <c r="I151">
        <f>IF(B151="","",COUNTIFS('Keyword Map'!$G$3:$G$1002,SUBSTITUTE(SUBSTITUTE(B151,"?","~?"),"*","~*"),'Keyword Map'!$R$3:$R$1002,"Yes"))</f>
        <v/>
      </c>
      <c r="J151">
        <f>IF(B151="","",COUNTIFS('Keyword Map'!$G$3:$G$1002,SUBSTITUTE(SUBSTITUTE(B151,"?","~?"),"*","~*"),'Keyword Map'!$W$3:$W$1002,"Yes"))</f>
        <v/>
      </c>
      <c r="K151">
        <f>IF(B151="","",IF(F151=0,"No primary keyword",IF(F151&gt;Settings!$B$4,"Too many primary keywords",IF(I151+J151&gt;0,"Check flags","OK"))))</f>
        <v/>
      </c>
    </row>
    <row r="152">
      <c r="A152">
        <f>ROW()-2</f>
        <v/>
      </c>
      <c r="B152">
        <f>IFERROR(INDEX('Keyword Map'!$G$3:$G$1002,MATCH(A152,'Keyword Map'!$AA$3:$AA$1002,0)),"")</f>
        <v/>
      </c>
      <c r="C152">
        <f>IF(B152="","",INDEX('Keyword Map'!$I$3:$I$1002,MATCH(A152,'Keyword Map'!$AA$3:$AA$1002,0))&amp;"")</f>
        <v/>
      </c>
      <c r="D152">
        <f>IF(B152="","",INDEX('Keyword Map'!$H$3:$H$1002,MATCH(A152,'Keyword Map'!$AA$3:$AA$1002,0))&amp;"")</f>
        <v/>
      </c>
      <c r="E152">
        <f>IF(B152="","",COUNTIF('Keyword Map'!$G$3:$G$1002,SUBSTITUTE(SUBSTITUTE(B152,"?","~?"),"*","~*")))</f>
        <v/>
      </c>
      <c r="F152">
        <f>IF(B152="","",COUNTIFS('Keyword Map'!$G$3:$G$1002,SUBSTITUTE(SUBSTITUTE(B152,"?","~?"),"*","~*"),'Keyword Map'!$J$3:$J$1002,"Primary"))</f>
        <v/>
      </c>
      <c r="G152">
        <f>IF(B152="","",SUMIFS('Keyword Map'!$C$3:$C$1002,'Keyword Map'!$G$3:$G$1002,SUBSTITUTE(SUBSTITUTE(B152,"?","~?"),"*","~*")))</f>
        <v/>
      </c>
      <c r="H152">
        <f>IF(B152="","",IFERROR(ROUND(AVERAGEIFS('Keyword Map'!$P$3:$P$1002,'Keyword Map'!$G$3:$G$1002,SUBSTITUTE(SUBSTITUTE(B152,"?","~?"),"*","~*")),0),""))</f>
        <v/>
      </c>
      <c r="I152">
        <f>IF(B152="","",COUNTIFS('Keyword Map'!$G$3:$G$1002,SUBSTITUTE(SUBSTITUTE(B152,"?","~?"),"*","~*"),'Keyword Map'!$R$3:$R$1002,"Yes"))</f>
        <v/>
      </c>
      <c r="J152">
        <f>IF(B152="","",COUNTIFS('Keyword Map'!$G$3:$G$1002,SUBSTITUTE(SUBSTITUTE(B152,"?","~?"),"*","~*"),'Keyword Map'!$W$3:$W$1002,"Yes"))</f>
        <v/>
      </c>
      <c r="K152">
        <f>IF(B152="","",IF(F152=0,"No primary keyword",IF(F152&gt;Settings!$B$4,"Too many primary keywords",IF(I152+J152&gt;0,"Check flags","OK"))))</f>
        <v/>
      </c>
    </row>
    <row r="153">
      <c r="A153">
        <f>ROW()-2</f>
        <v/>
      </c>
      <c r="B153">
        <f>IFERROR(INDEX('Keyword Map'!$G$3:$G$1002,MATCH(A153,'Keyword Map'!$AA$3:$AA$1002,0)),"")</f>
        <v/>
      </c>
      <c r="C153">
        <f>IF(B153="","",INDEX('Keyword Map'!$I$3:$I$1002,MATCH(A153,'Keyword Map'!$AA$3:$AA$1002,0))&amp;"")</f>
        <v/>
      </c>
      <c r="D153">
        <f>IF(B153="","",INDEX('Keyword Map'!$H$3:$H$1002,MATCH(A153,'Keyword Map'!$AA$3:$AA$1002,0))&amp;"")</f>
        <v/>
      </c>
      <c r="E153">
        <f>IF(B153="","",COUNTIF('Keyword Map'!$G$3:$G$1002,SUBSTITUTE(SUBSTITUTE(B153,"?","~?"),"*","~*")))</f>
        <v/>
      </c>
      <c r="F153">
        <f>IF(B153="","",COUNTIFS('Keyword Map'!$G$3:$G$1002,SUBSTITUTE(SUBSTITUTE(B153,"?","~?"),"*","~*"),'Keyword Map'!$J$3:$J$1002,"Primary"))</f>
        <v/>
      </c>
      <c r="G153">
        <f>IF(B153="","",SUMIFS('Keyword Map'!$C$3:$C$1002,'Keyword Map'!$G$3:$G$1002,SUBSTITUTE(SUBSTITUTE(B153,"?","~?"),"*","~*")))</f>
        <v/>
      </c>
      <c r="H153">
        <f>IF(B153="","",IFERROR(ROUND(AVERAGEIFS('Keyword Map'!$P$3:$P$1002,'Keyword Map'!$G$3:$G$1002,SUBSTITUTE(SUBSTITUTE(B153,"?","~?"),"*","~*")),0),""))</f>
        <v/>
      </c>
      <c r="I153">
        <f>IF(B153="","",COUNTIFS('Keyword Map'!$G$3:$G$1002,SUBSTITUTE(SUBSTITUTE(B153,"?","~?"),"*","~*"),'Keyword Map'!$R$3:$R$1002,"Yes"))</f>
        <v/>
      </c>
      <c r="J153">
        <f>IF(B153="","",COUNTIFS('Keyword Map'!$G$3:$G$1002,SUBSTITUTE(SUBSTITUTE(B153,"?","~?"),"*","~*"),'Keyword Map'!$W$3:$W$1002,"Yes"))</f>
        <v/>
      </c>
      <c r="K153">
        <f>IF(B153="","",IF(F153=0,"No primary keyword",IF(F153&gt;Settings!$B$4,"Too many primary keywords",IF(I153+J153&gt;0,"Check flags","OK"))))</f>
        <v/>
      </c>
    </row>
    <row r="154">
      <c r="A154">
        <f>ROW()-2</f>
        <v/>
      </c>
      <c r="B154">
        <f>IFERROR(INDEX('Keyword Map'!$G$3:$G$1002,MATCH(A154,'Keyword Map'!$AA$3:$AA$1002,0)),"")</f>
        <v/>
      </c>
      <c r="C154">
        <f>IF(B154="","",INDEX('Keyword Map'!$I$3:$I$1002,MATCH(A154,'Keyword Map'!$AA$3:$AA$1002,0))&amp;"")</f>
        <v/>
      </c>
      <c r="D154">
        <f>IF(B154="","",INDEX('Keyword Map'!$H$3:$H$1002,MATCH(A154,'Keyword Map'!$AA$3:$AA$1002,0))&amp;"")</f>
        <v/>
      </c>
      <c r="E154">
        <f>IF(B154="","",COUNTIF('Keyword Map'!$G$3:$G$1002,SUBSTITUTE(SUBSTITUTE(B154,"?","~?"),"*","~*")))</f>
        <v/>
      </c>
      <c r="F154">
        <f>IF(B154="","",COUNTIFS('Keyword Map'!$G$3:$G$1002,SUBSTITUTE(SUBSTITUTE(B154,"?","~?"),"*","~*"),'Keyword Map'!$J$3:$J$1002,"Primary"))</f>
        <v/>
      </c>
      <c r="G154">
        <f>IF(B154="","",SUMIFS('Keyword Map'!$C$3:$C$1002,'Keyword Map'!$G$3:$G$1002,SUBSTITUTE(SUBSTITUTE(B154,"?","~?"),"*","~*")))</f>
        <v/>
      </c>
      <c r="H154">
        <f>IF(B154="","",IFERROR(ROUND(AVERAGEIFS('Keyword Map'!$P$3:$P$1002,'Keyword Map'!$G$3:$G$1002,SUBSTITUTE(SUBSTITUTE(B154,"?","~?"),"*","~*")),0),""))</f>
        <v/>
      </c>
      <c r="I154">
        <f>IF(B154="","",COUNTIFS('Keyword Map'!$G$3:$G$1002,SUBSTITUTE(SUBSTITUTE(B154,"?","~?"),"*","~*"),'Keyword Map'!$R$3:$R$1002,"Yes"))</f>
        <v/>
      </c>
      <c r="J154">
        <f>IF(B154="","",COUNTIFS('Keyword Map'!$G$3:$G$1002,SUBSTITUTE(SUBSTITUTE(B154,"?","~?"),"*","~*"),'Keyword Map'!$W$3:$W$1002,"Yes"))</f>
        <v/>
      </c>
      <c r="K154">
        <f>IF(B154="","",IF(F154=0,"No primary keyword",IF(F154&gt;Settings!$B$4,"Too many primary keywords",IF(I154+J154&gt;0,"Check flags","OK"))))</f>
        <v/>
      </c>
    </row>
    <row r="155">
      <c r="A155">
        <f>ROW()-2</f>
        <v/>
      </c>
      <c r="B155">
        <f>IFERROR(INDEX('Keyword Map'!$G$3:$G$1002,MATCH(A155,'Keyword Map'!$AA$3:$AA$1002,0)),"")</f>
        <v/>
      </c>
      <c r="C155">
        <f>IF(B155="","",INDEX('Keyword Map'!$I$3:$I$1002,MATCH(A155,'Keyword Map'!$AA$3:$AA$1002,0))&amp;"")</f>
        <v/>
      </c>
      <c r="D155">
        <f>IF(B155="","",INDEX('Keyword Map'!$H$3:$H$1002,MATCH(A155,'Keyword Map'!$AA$3:$AA$1002,0))&amp;"")</f>
        <v/>
      </c>
      <c r="E155">
        <f>IF(B155="","",COUNTIF('Keyword Map'!$G$3:$G$1002,SUBSTITUTE(SUBSTITUTE(B155,"?","~?"),"*","~*")))</f>
        <v/>
      </c>
      <c r="F155">
        <f>IF(B155="","",COUNTIFS('Keyword Map'!$G$3:$G$1002,SUBSTITUTE(SUBSTITUTE(B155,"?","~?"),"*","~*"),'Keyword Map'!$J$3:$J$1002,"Primary"))</f>
        <v/>
      </c>
      <c r="G155">
        <f>IF(B155="","",SUMIFS('Keyword Map'!$C$3:$C$1002,'Keyword Map'!$G$3:$G$1002,SUBSTITUTE(SUBSTITUTE(B155,"?","~?"),"*","~*")))</f>
        <v/>
      </c>
      <c r="H155">
        <f>IF(B155="","",IFERROR(ROUND(AVERAGEIFS('Keyword Map'!$P$3:$P$1002,'Keyword Map'!$G$3:$G$1002,SUBSTITUTE(SUBSTITUTE(B155,"?","~?"),"*","~*")),0),""))</f>
        <v/>
      </c>
      <c r="I155">
        <f>IF(B155="","",COUNTIFS('Keyword Map'!$G$3:$G$1002,SUBSTITUTE(SUBSTITUTE(B155,"?","~?"),"*","~*"),'Keyword Map'!$R$3:$R$1002,"Yes"))</f>
        <v/>
      </c>
      <c r="J155">
        <f>IF(B155="","",COUNTIFS('Keyword Map'!$G$3:$G$1002,SUBSTITUTE(SUBSTITUTE(B155,"?","~?"),"*","~*"),'Keyword Map'!$W$3:$W$1002,"Yes"))</f>
        <v/>
      </c>
      <c r="K155">
        <f>IF(B155="","",IF(F155=0,"No primary keyword",IF(F155&gt;Settings!$B$4,"Too many primary keywords",IF(I155+J155&gt;0,"Check flags","OK"))))</f>
        <v/>
      </c>
    </row>
    <row r="156">
      <c r="A156">
        <f>ROW()-2</f>
        <v/>
      </c>
      <c r="B156">
        <f>IFERROR(INDEX('Keyword Map'!$G$3:$G$1002,MATCH(A156,'Keyword Map'!$AA$3:$AA$1002,0)),"")</f>
        <v/>
      </c>
      <c r="C156">
        <f>IF(B156="","",INDEX('Keyword Map'!$I$3:$I$1002,MATCH(A156,'Keyword Map'!$AA$3:$AA$1002,0))&amp;"")</f>
        <v/>
      </c>
      <c r="D156">
        <f>IF(B156="","",INDEX('Keyword Map'!$H$3:$H$1002,MATCH(A156,'Keyword Map'!$AA$3:$AA$1002,0))&amp;"")</f>
        <v/>
      </c>
      <c r="E156">
        <f>IF(B156="","",COUNTIF('Keyword Map'!$G$3:$G$1002,SUBSTITUTE(SUBSTITUTE(B156,"?","~?"),"*","~*")))</f>
        <v/>
      </c>
      <c r="F156">
        <f>IF(B156="","",COUNTIFS('Keyword Map'!$G$3:$G$1002,SUBSTITUTE(SUBSTITUTE(B156,"?","~?"),"*","~*"),'Keyword Map'!$J$3:$J$1002,"Primary"))</f>
        <v/>
      </c>
      <c r="G156">
        <f>IF(B156="","",SUMIFS('Keyword Map'!$C$3:$C$1002,'Keyword Map'!$G$3:$G$1002,SUBSTITUTE(SUBSTITUTE(B156,"?","~?"),"*","~*")))</f>
        <v/>
      </c>
      <c r="H156">
        <f>IF(B156="","",IFERROR(ROUND(AVERAGEIFS('Keyword Map'!$P$3:$P$1002,'Keyword Map'!$G$3:$G$1002,SUBSTITUTE(SUBSTITUTE(B156,"?","~?"),"*","~*")),0),""))</f>
        <v/>
      </c>
      <c r="I156">
        <f>IF(B156="","",COUNTIFS('Keyword Map'!$G$3:$G$1002,SUBSTITUTE(SUBSTITUTE(B156,"?","~?"),"*","~*"),'Keyword Map'!$R$3:$R$1002,"Yes"))</f>
        <v/>
      </c>
      <c r="J156">
        <f>IF(B156="","",COUNTIFS('Keyword Map'!$G$3:$G$1002,SUBSTITUTE(SUBSTITUTE(B156,"?","~?"),"*","~*"),'Keyword Map'!$W$3:$W$1002,"Yes"))</f>
        <v/>
      </c>
      <c r="K156">
        <f>IF(B156="","",IF(F156=0,"No primary keyword",IF(F156&gt;Settings!$B$4,"Too many primary keywords",IF(I156+J156&gt;0,"Check flags","OK"))))</f>
        <v/>
      </c>
    </row>
    <row r="157">
      <c r="A157">
        <f>ROW()-2</f>
        <v/>
      </c>
      <c r="B157">
        <f>IFERROR(INDEX('Keyword Map'!$G$3:$G$1002,MATCH(A157,'Keyword Map'!$AA$3:$AA$1002,0)),"")</f>
        <v/>
      </c>
      <c r="C157">
        <f>IF(B157="","",INDEX('Keyword Map'!$I$3:$I$1002,MATCH(A157,'Keyword Map'!$AA$3:$AA$1002,0))&amp;"")</f>
        <v/>
      </c>
      <c r="D157">
        <f>IF(B157="","",INDEX('Keyword Map'!$H$3:$H$1002,MATCH(A157,'Keyword Map'!$AA$3:$AA$1002,0))&amp;"")</f>
        <v/>
      </c>
      <c r="E157">
        <f>IF(B157="","",COUNTIF('Keyword Map'!$G$3:$G$1002,SUBSTITUTE(SUBSTITUTE(B157,"?","~?"),"*","~*")))</f>
        <v/>
      </c>
      <c r="F157">
        <f>IF(B157="","",COUNTIFS('Keyword Map'!$G$3:$G$1002,SUBSTITUTE(SUBSTITUTE(B157,"?","~?"),"*","~*"),'Keyword Map'!$J$3:$J$1002,"Primary"))</f>
        <v/>
      </c>
      <c r="G157">
        <f>IF(B157="","",SUMIFS('Keyword Map'!$C$3:$C$1002,'Keyword Map'!$G$3:$G$1002,SUBSTITUTE(SUBSTITUTE(B157,"?","~?"),"*","~*")))</f>
        <v/>
      </c>
      <c r="H157">
        <f>IF(B157="","",IFERROR(ROUND(AVERAGEIFS('Keyword Map'!$P$3:$P$1002,'Keyword Map'!$G$3:$G$1002,SUBSTITUTE(SUBSTITUTE(B157,"?","~?"),"*","~*")),0),""))</f>
        <v/>
      </c>
      <c r="I157">
        <f>IF(B157="","",COUNTIFS('Keyword Map'!$G$3:$G$1002,SUBSTITUTE(SUBSTITUTE(B157,"?","~?"),"*","~*"),'Keyword Map'!$R$3:$R$1002,"Yes"))</f>
        <v/>
      </c>
      <c r="J157">
        <f>IF(B157="","",COUNTIFS('Keyword Map'!$G$3:$G$1002,SUBSTITUTE(SUBSTITUTE(B157,"?","~?"),"*","~*"),'Keyword Map'!$W$3:$W$1002,"Yes"))</f>
        <v/>
      </c>
      <c r="K157">
        <f>IF(B157="","",IF(F157=0,"No primary keyword",IF(F157&gt;Settings!$B$4,"Too many primary keywords",IF(I157+J157&gt;0,"Check flags","OK"))))</f>
        <v/>
      </c>
    </row>
    <row r="158">
      <c r="A158">
        <f>ROW()-2</f>
        <v/>
      </c>
      <c r="B158">
        <f>IFERROR(INDEX('Keyword Map'!$G$3:$G$1002,MATCH(A158,'Keyword Map'!$AA$3:$AA$1002,0)),"")</f>
        <v/>
      </c>
      <c r="C158">
        <f>IF(B158="","",INDEX('Keyword Map'!$I$3:$I$1002,MATCH(A158,'Keyword Map'!$AA$3:$AA$1002,0))&amp;"")</f>
        <v/>
      </c>
      <c r="D158">
        <f>IF(B158="","",INDEX('Keyword Map'!$H$3:$H$1002,MATCH(A158,'Keyword Map'!$AA$3:$AA$1002,0))&amp;"")</f>
        <v/>
      </c>
      <c r="E158">
        <f>IF(B158="","",COUNTIF('Keyword Map'!$G$3:$G$1002,SUBSTITUTE(SUBSTITUTE(B158,"?","~?"),"*","~*")))</f>
        <v/>
      </c>
      <c r="F158">
        <f>IF(B158="","",COUNTIFS('Keyword Map'!$G$3:$G$1002,SUBSTITUTE(SUBSTITUTE(B158,"?","~?"),"*","~*"),'Keyword Map'!$J$3:$J$1002,"Primary"))</f>
        <v/>
      </c>
      <c r="G158">
        <f>IF(B158="","",SUMIFS('Keyword Map'!$C$3:$C$1002,'Keyword Map'!$G$3:$G$1002,SUBSTITUTE(SUBSTITUTE(B158,"?","~?"),"*","~*")))</f>
        <v/>
      </c>
      <c r="H158">
        <f>IF(B158="","",IFERROR(ROUND(AVERAGEIFS('Keyword Map'!$P$3:$P$1002,'Keyword Map'!$G$3:$G$1002,SUBSTITUTE(SUBSTITUTE(B158,"?","~?"),"*","~*")),0),""))</f>
        <v/>
      </c>
      <c r="I158">
        <f>IF(B158="","",COUNTIFS('Keyword Map'!$G$3:$G$1002,SUBSTITUTE(SUBSTITUTE(B158,"?","~?"),"*","~*"),'Keyword Map'!$R$3:$R$1002,"Yes"))</f>
        <v/>
      </c>
      <c r="J158">
        <f>IF(B158="","",COUNTIFS('Keyword Map'!$G$3:$G$1002,SUBSTITUTE(SUBSTITUTE(B158,"?","~?"),"*","~*"),'Keyword Map'!$W$3:$W$1002,"Yes"))</f>
        <v/>
      </c>
      <c r="K158">
        <f>IF(B158="","",IF(F158=0,"No primary keyword",IF(F158&gt;Settings!$B$4,"Too many primary keywords",IF(I158+J158&gt;0,"Check flags","OK"))))</f>
        <v/>
      </c>
    </row>
    <row r="159">
      <c r="A159">
        <f>ROW()-2</f>
        <v/>
      </c>
      <c r="B159">
        <f>IFERROR(INDEX('Keyword Map'!$G$3:$G$1002,MATCH(A159,'Keyword Map'!$AA$3:$AA$1002,0)),"")</f>
        <v/>
      </c>
      <c r="C159">
        <f>IF(B159="","",INDEX('Keyword Map'!$I$3:$I$1002,MATCH(A159,'Keyword Map'!$AA$3:$AA$1002,0))&amp;"")</f>
        <v/>
      </c>
      <c r="D159">
        <f>IF(B159="","",INDEX('Keyword Map'!$H$3:$H$1002,MATCH(A159,'Keyword Map'!$AA$3:$AA$1002,0))&amp;"")</f>
        <v/>
      </c>
      <c r="E159">
        <f>IF(B159="","",COUNTIF('Keyword Map'!$G$3:$G$1002,SUBSTITUTE(SUBSTITUTE(B159,"?","~?"),"*","~*")))</f>
        <v/>
      </c>
      <c r="F159">
        <f>IF(B159="","",COUNTIFS('Keyword Map'!$G$3:$G$1002,SUBSTITUTE(SUBSTITUTE(B159,"?","~?"),"*","~*"),'Keyword Map'!$J$3:$J$1002,"Primary"))</f>
        <v/>
      </c>
      <c r="G159">
        <f>IF(B159="","",SUMIFS('Keyword Map'!$C$3:$C$1002,'Keyword Map'!$G$3:$G$1002,SUBSTITUTE(SUBSTITUTE(B159,"?","~?"),"*","~*")))</f>
        <v/>
      </c>
      <c r="H159">
        <f>IF(B159="","",IFERROR(ROUND(AVERAGEIFS('Keyword Map'!$P$3:$P$1002,'Keyword Map'!$G$3:$G$1002,SUBSTITUTE(SUBSTITUTE(B159,"?","~?"),"*","~*")),0),""))</f>
        <v/>
      </c>
      <c r="I159">
        <f>IF(B159="","",COUNTIFS('Keyword Map'!$G$3:$G$1002,SUBSTITUTE(SUBSTITUTE(B159,"?","~?"),"*","~*"),'Keyword Map'!$R$3:$R$1002,"Yes"))</f>
        <v/>
      </c>
      <c r="J159">
        <f>IF(B159="","",COUNTIFS('Keyword Map'!$G$3:$G$1002,SUBSTITUTE(SUBSTITUTE(B159,"?","~?"),"*","~*"),'Keyword Map'!$W$3:$W$1002,"Yes"))</f>
        <v/>
      </c>
      <c r="K159">
        <f>IF(B159="","",IF(F159=0,"No primary keyword",IF(F159&gt;Settings!$B$4,"Too many primary keywords",IF(I159+J159&gt;0,"Check flags","OK"))))</f>
        <v/>
      </c>
    </row>
    <row r="160">
      <c r="A160">
        <f>ROW()-2</f>
        <v/>
      </c>
      <c r="B160">
        <f>IFERROR(INDEX('Keyword Map'!$G$3:$G$1002,MATCH(A160,'Keyword Map'!$AA$3:$AA$1002,0)),"")</f>
        <v/>
      </c>
      <c r="C160">
        <f>IF(B160="","",INDEX('Keyword Map'!$I$3:$I$1002,MATCH(A160,'Keyword Map'!$AA$3:$AA$1002,0))&amp;"")</f>
        <v/>
      </c>
      <c r="D160">
        <f>IF(B160="","",INDEX('Keyword Map'!$H$3:$H$1002,MATCH(A160,'Keyword Map'!$AA$3:$AA$1002,0))&amp;"")</f>
        <v/>
      </c>
      <c r="E160">
        <f>IF(B160="","",COUNTIF('Keyword Map'!$G$3:$G$1002,SUBSTITUTE(SUBSTITUTE(B160,"?","~?"),"*","~*")))</f>
        <v/>
      </c>
      <c r="F160">
        <f>IF(B160="","",COUNTIFS('Keyword Map'!$G$3:$G$1002,SUBSTITUTE(SUBSTITUTE(B160,"?","~?"),"*","~*"),'Keyword Map'!$J$3:$J$1002,"Primary"))</f>
        <v/>
      </c>
      <c r="G160">
        <f>IF(B160="","",SUMIFS('Keyword Map'!$C$3:$C$1002,'Keyword Map'!$G$3:$G$1002,SUBSTITUTE(SUBSTITUTE(B160,"?","~?"),"*","~*")))</f>
        <v/>
      </c>
      <c r="H160">
        <f>IF(B160="","",IFERROR(ROUND(AVERAGEIFS('Keyword Map'!$P$3:$P$1002,'Keyword Map'!$G$3:$G$1002,SUBSTITUTE(SUBSTITUTE(B160,"?","~?"),"*","~*")),0),""))</f>
        <v/>
      </c>
      <c r="I160">
        <f>IF(B160="","",COUNTIFS('Keyword Map'!$G$3:$G$1002,SUBSTITUTE(SUBSTITUTE(B160,"?","~?"),"*","~*"),'Keyword Map'!$R$3:$R$1002,"Yes"))</f>
        <v/>
      </c>
      <c r="J160">
        <f>IF(B160="","",COUNTIFS('Keyword Map'!$G$3:$G$1002,SUBSTITUTE(SUBSTITUTE(B160,"?","~?"),"*","~*"),'Keyword Map'!$W$3:$W$1002,"Yes"))</f>
        <v/>
      </c>
      <c r="K160">
        <f>IF(B160="","",IF(F160=0,"No primary keyword",IF(F160&gt;Settings!$B$4,"Too many primary keywords",IF(I160+J160&gt;0,"Check flags","OK"))))</f>
        <v/>
      </c>
    </row>
    <row r="161">
      <c r="A161">
        <f>ROW()-2</f>
        <v/>
      </c>
      <c r="B161">
        <f>IFERROR(INDEX('Keyword Map'!$G$3:$G$1002,MATCH(A161,'Keyword Map'!$AA$3:$AA$1002,0)),"")</f>
        <v/>
      </c>
      <c r="C161">
        <f>IF(B161="","",INDEX('Keyword Map'!$I$3:$I$1002,MATCH(A161,'Keyword Map'!$AA$3:$AA$1002,0))&amp;"")</f>
        <v/>
      </c>
      <c r="D161">
        <f>IF(B161="","",INDEX('Keyword Map'!$H$3:$H$1002,MATCH(A161,'Keyword Map'!$AA$3:$AA$1002,0))&amp;"")</f>
        <v/>
      </c>
      <c r="E161">
        <f>IF(B161="","",COUNTIF('Keyword Map'!$G$3:$G$1002,SUBSTITUTE(SUBSTITUTE(B161,"?","~?"),"*","~*")))</f>
        <v/>
      </c>
      <c r="F161">
        <f>IF(B161="","",COUNTIFS('Keyword Map'!$G$3:$G$1002,SUBSTITUTE(SUBSTITUTE(B161,"?","~?"),"*","~*"),'Keyword Map'!$J$3:$J$1002,"Primary"))</f>
        <v/>
      </c>
      <c r="G161">
        <f>IF(B161="","",SUMIFS('Keyword Map'!$C$3:$C$1002,'Keyword Map'!$G$3:$G$1002,SUBSTITUTE(SUBSTITUTE(B161,"?","~?"),"*","~*")))</f>
        <v/>
      </c>
      <c r="H161">
        <f>IF(B161="","",IFERROR(ROUND(AVERAGEIFS('Keyword Map'!$P$3:$P$1002,'Keyword Map'!$G$3:$G$1002,SUBSTITUTE(SUBSTITUTE(B161,"?","~?"),"*","~*")),0),""))</f>
        <v/>
      </c>
      <c r="I161">
        <f>IF(B161="","",COUNTIFS('Keyword Map'!$G$3:$G$1002,SUBSTITUTE(SUBSTITUTE(B161,"?","~?"),"*","~*"),'Keyword Map'!$R$3:$R$1002,"Yes"))</f>
        <v/>
      </c>
      <c r="J161">
        <f>IF(B161="","",COUNTIFS('Keyword Map'!$G$3:$G$1002,SUBSTITUTE(SUBSTITUTE(B161,"?","~?"),"*","~*"),'Keyword Map'!$W$3:$W$1002,"Yes"))</f>
        <v/>
      </c>
      <c r="K161">
        <f>IF(B161="","",IF(F161=0,"No primary keyword",IF(F161&gt;Settings!$B$4,"Too many primary keywords",IF(I161+J161&gt;0,"Check flags","OK"))))</f>
        <v/>
      </c>
    </row>
    <row r="162">
      <c r="A162">
        <f>ROW()-2</f>
        <v/>
      </c>
      <c r="B162">
        <f>IFERROR(INDEX('Keyword Map'!$G$3:$G$1002,MATCH(A162,'Keyword Map'!$AA$3:$AA$1002,0)),"")</f>
        <v/>
      </c>
      <c r="C162">
        <f>IF(B162="","",INDEX('Keyword Map'!$I$3:$I$1002,MATCH(A162,'Keyword Map'!$AA$3:$AA$1002,0))&amp;"")</f>
        <v/>
      </c>
      <c r="D162">
        <f>IF(B162="","",INDEX('Keyword Map'!$H$3:$H$1002,MATCH(A162,'Keyword Map'!$AA$3:$AA$1002,0))&amp;"")</f>
        <v/>
      </c>
      <c r="E162">
        <f>IF(B162="","",COUNTIF('Keyword Map'!$G$3:$G$1002,SUBSTITUTE(SUBSTITUTE(B162,"?","~?"),"*","~*")))</f>
        <v/>
      </c>
      <c r="F162">
        <f>IF(B162="","",COUNTIFS('Keyword Map'!$G$3:$G$1002,SUBSTITUTE(SUBSTITUTE(B162,"?","~?"),"*","~*"),'Keyword Map'!$J$3:$J$1002,"Primary"))</f>
        <v/>
      </c>
      <c r="G162">
        <f>IF(B162="","",SUMIFS('Keyword Map'!$C$3:$C$1002,'Keyword Map'!$G$3:$G$1002,SUBSTITUTE(SUBSTITUTE(B162,"?","~?"),"*","~*")))</f>
        <v/>
      </c>
      <c r="H162">
        <f>IF(B162="","",IFERROR(ROUND(AVERAGEIFS('Keyword Map'!$P$3:$P$1002,'Keyword Map'!$G$3:$G$1002,SUBSTITUTE(SUBSTITUTE(B162,"?","~?"),"*","~*")),0),""))</f>
        <v/>
      </c>
      <c r="I162">
        <f>IF(B162="","",COUNTIFS('Keyword Map'!$G$3:$G$1002,SUBSTITUTE(SUBSTITUTE(B162,"?","~?"),"*","~*"),'Keyword Map'!$R$3:$R$1002,"Yes"))</f>
        <v/>
      </c>
      <c r="J162">
        <f>IF(B162="","",COUNTIFS('Keyword Map'!$G$3:$G$1002,SUBSTITUTE(SUBSTITUTE(B162,"?","~?"),"*","~*"),'Keyword Map'!$W$3:$W$1002,"Yes"))</f>
        <v/>
      </c>
      <c r="K162">
        <f>IF(B162="","",IF(F162=0,"No primary keyword",IF(F162&gt;Settings!$B$4,"Too many primary keywords",IF(I162+J162&gt;0,"Check flags","OK"))))</f>
        <v/>
      </c>
    </row>
    <row r="163">
      <c r="A163">
        <f>ROW()-2</f>
        <v/>
      </c>
      <c r="B163">
        <f>IFERROR(INDEX('Keyword Map'!$G$3:$G$1002,MATCH(A163,'Keyword Map'!$AA$3:$AA$1002,0)),"")</f>
        <v/>
      </c>
      <c r="C163">
        <f>IF(B163="","",INDEX('Keyword Map'!$I$3:$I$1002,MATCH(A163,'Keyword Map'!$AA$3:$AA$1002,0))&amp;"")</f>
        <v/>
      </c>
      <c r="D163">
        <f>IF(B163="","",INDEX('Keyword Map'!$H$3:$H$1002,MATCH(A163,'Keyword Map'!$AA$3:$AA$1002,0))&amp;"")</f>
        <v/>
      </c>
      <c r="E163">
        <f>IF(B163="","",COUNTIF('Keyword Map'!$G$3:$G$1002,SUBSTITUTE(SUBSTITUTE(B163,"?","~?"),"*","~*")))</f>
        <v/>
      </c>
      <c r="F163">
        <f>IF(B163="","",COUNTIFS('Keyword Map'!$G$3:$G$1002,SUBSTITUTE(SUBSTITUTE(B163,"?","~?"),"*","~*"),'Keyword Map'!$J$3:$J$1002,"Primary"))</f>
        <v/>
      </c>
      <c r="G163">
        <f>IF(B163="","",SUMIFS('Keyword Map'!$C$3:$C$1002,'Keyword Map'!$G$3:$G$1002,SUBSTITUTE(SUBSTITUTE(B163,"?","~?"),"*","~*")))</f>
        <v/>
      </c>
      <c r="H163">
        <f>IF(B163="","",IFERROR(ROUND(AVERAGEIFS('Keyword Map'!$P$3:$P$1002,'Keyword Map'!$G$3:$G$1002,SUBSTITUTE(SUBSTITUTE(B163,"?","~?"),"*","~*")),0),""))</f>
        <v/>
      </c>
      <c r="I163">
        <f>IF(B163="","",COUNTIFS('Keyword Map'!$G$3:$G$1002,SUBSTITUTE(SUBSTITUTE(B163,"?","~?"),"*","~*"),'Keyword Map'!$R$3:$R$1002,"Yes"))</f>
        <v/>
      </c>
      <c r="J163">
        <f>IF(B163="","",COUNTIFS('Keyword Map'!$G$3:$G$1002,SUBSTITUTE(SUBSTITUTE(B163,"?","~?"),"*","~*"),'Keyword Map'!$W$3:$W$1002,"Yes"))</f>
        <v/>
      </c>
      <c r="K163">
        <f>IF(B163="","",IF(F163=0,"No primary keyword",IF(F163&gt;Settings!$B$4,"Too many primary keywords",IF(I163+J163&gt;0,"Check flags","OK"))))</f>
        <v/>
      </c>
    </row>
    <row r="164">
      <c r="A164">
        <f>ROW()-2</f>
        <v/>
      </c>
      <c r="B164">
        <f>IFERROR(INDEX('Keyword Map'!$G$3:$G$1002,MATCH(A164,'Keyword Map'!$AA$3:$AA$1002,0)),"")</f>
        <v/>
      </c>
      <c r="C164">
        <f>IF(B164="","",INDEX('Keyword Map'!$I$3:$I$1002,MATCH(A164,'Keyword Map'!$AA$3:$AA$1002,0))&amp;"")</f>
        <v/>
      </c>
      <c r="D164">
        <f>IF(B164="","",INDEX('Keyword Map'!$H$3:$H$1002,MATCH(A164,'Keyword Map'!$AA$3:$AA$1002,0))&amp;"")</f>
        <v/>
      </c>
      <c r="E164">
        <f>IF(B164="","",COUNTIF('Keyword Map'!$G$3:$G$1002,SUBSTITUTE(SUBSTITUTE(B164,"?","~?"),"*","~*")))</f>
        <v/>
      </c>
      <c r="F164">
        <f>IF(B164="","",COUNTIFS('Keyword Map'!$G$3:$G$1002,SUBSTITUTE(SUBSTITUTE(B164,"?","~?"),"*","~*"),'Keyword Map'!$J$3:$J$1002,"Primary"))</f>
        <v/>
      </c>
      <c r="G164">
        <f>IF(B164="","",SUMIFS('Keyword Map'!$C$3:$C$1002,'Keyword Map'!$G$3:$G$1002,SUBSTITUTE(SUBSTITUTE(B164,"?","~?"),"*","~*")))</f>
        <v/>
      </c>
      <c r="H164">
        <f>IF(B164="","",IFERROR(ROUND(AVERAGEIFS('Keyword Map'!$P$3:$P$1002,'Keyword Map'!$G$3:$G$1002,SUBSTITUTE(SUBSTITUTE(B164,"?","~?"),"*","~*")),0),""))</f>
        <v/>
      </c>
      <c r="I164">
        <f>IF(B164="","",COUNTIFS('Keyword Map'!$G$3:$G$1002,SUBSTITUTE(SUBSTITUTE(B164,"?","~?"),"*","~*"),'Keyword Map'!$R$3:$R$1002,"Yes"))</f>
        <v/>
      </c>
      <c r="J164">
        <f>IF(B164="","",COUNTIFS('Keyword Map'!$G$3:$G$1002,SUBSTITUTE(SUBSTITUTE(B164,"?","~?"),"*","~*"),'Keyword Map'!$W$3:$W$1002,"Yes"))</f>
        <v/>
      </c>
      <c r="K164">
        <f>IF(B164="","",IF(F164=0,"No primary keyword",IF(F164&gt;Settings!$B$4,"Too many primary keywords",IF(I164+J164&gt;0,"Check flags","OK"))))</f>
        <v/>
      </c>
    </row>
    <row r="165">
      <c r="A165">
        <f>ROW()-2</f>
        <v/>
      </c>
      <c r="B165">
        <f>IFERROR(INDEX('Keyword Map'!$G$3:$G$1002,MATCH(A165,'Keyword Map'!$AA$3:$AA$1002,0)),"")</f>
        <v/>
      </c>
      <c r="C165">
        <f>IF(B165="","",INDEX('Keyword Map'!$I$3:$I$1002,MATCH(A165,'Keyword Map'!$AA$3:$AA$1002,0))&amp;"")</f>
        <v/>
      </c>
      <c r="D165">
        <f>IF(B165="","",INDEX('Keyword Map'!$H$3:$H$1002,MATCH(A165,'Keyword Map'!$AA$3:$AA$1002,0))&amp;"")</f>
        <v/>
      </c>
      <c r="E165">
        <f>IF(B165="","",COUNTIF('Keyword Map'!$G$3:$G$1002,SUBSTITUTE(SUBSTITUTE(B165,"?","~?"),"*","~*")))</f>
        <v/>
      </c>
      <c r="F165">
        <f>IF(B165="","",COUNTIFS('Keyword Map'!$G$3:$G$1002,SUBSTITUTE(SUBSTITUTE(B165,"?","~?"),"*","~*"),'Keyword Map'!$J$3:$J$1002,"Primary"))</f>
        <v/>
      </c>
      <c r="G165">
        <f>IF(B165="","",SUMIFS('Keyword Map'!$C$3:$C$1002,'Keyword Map'!$G$3:$G$1002,SUBSTITUTE(SUBSTITUTE(B165,"?","~?"),"*","~*")))</f>
        <v/>
      </c>
      <c r="H165">
        <f>IF(B165="","",IFERROR(ROUND(AVERAGEIFS('Keyword Map'!$P$3:$P$1002,'Keyword Map'!$G$3:$G$1002,SUBSTITUTE(SUBSTITUTE(B165,"?","~?"),"*","~*")),0),""))</f>
        <v/>
      </c>
      <c r="I165">
        <f>IF(B165="","",COUNTIFS('Keyword Map'!$G$3:$G$1002,SUBSTITUTE(SUBSTITUTE(B165,"?","~?"),"*","~*"),'Keyword Map'!$R$3:$R$1002,"Yes"))</f>
        <v/>
      </c>
      <c r="J165">
        <f>IF(B165="","",COUNTIFS('Keyword Map'!$G$3:$G$1002,SUBSTITUTE(SUBSTITUTE(B165,"?","~?"),"*","~*"),'Keyword Map'!$W$3:$W$1002,"Yes"))</f>
        <v/>
      </c>
      <c r="K165">
        <f>IF(B165="","",IF(F165=0,"No primary keyword",IF(F165&gt;Settings!$B$4,"Too many primary keywords",IF(I165+J165&gt;0,"Check flags","OK"))))</f>
        <v/>
      </c>
    </row>
    <row r="166">
      <c r="A166">
        <f>ROW()-2</f>
        <v/>
      </c>
      <c r="B166">
        <f>IFERROR(INDEX('Keyword Map'!$G$3:$G$1002,MATCH(A166,'Keyword Map'!$AA$3:$AA$1002,0)),"")</f>
        <v/>
      </c>
      <c r="C166">
        <f>IF(B166="","",INDEX('Keyword Map'!$I$3:$I$1002,MATCH(A166,'Keyword Map'!$AA$3:$AA$1002,0))&amp;"")</f>
        <v/>
      </c>
      <c r="D166">
        <f>IF(B166="","",INDEX('Keyword Map'!$H$3:$H$1002,MATCH(A166,'Keyword Map'!$AA$3:$AA$1002,0))&amp;"")</f>
        <v/>
      </c>
      <c r="E166">
        <f>IF(B166="","",COUNTIF('Keyword Map'!$G$3:$G$1002,SUBSTITUTE(SUBSTITUTE(B166,"?","~?"),"*","~*")))</f>
        <v/>
      </c>
      <c r="F166">
        <f>IF(B166="","",COUNTIFS('Keyword Map'!$G$3:$G$1002,SUBSTITUTE(SUBSTITUTE(B166,"?","~?"),"*","~*"),'Keyword Map'!$J$3:$J$1002,"Primary"))</f>
        <v/>
      </c>
      <c r="G166">
        <f>IF(B166="","",SUMIFS('Keyword Map'!$C$3:$C$1002,'Keyword Map'!$G$3:$G$1002,SUBSTITUTE(SUBSTITUTE(B166,"?","~?"),"*","~*")))</f>
        <v/>
      </c>
      <c r="H166">
        <f>IF(B166="","",IFERROR(ROUND(AVERAGEIFS('Keyword Map'!$P$3:$P$1002,'Keyword Map'!$G$3:$G$1002,SUBSTITUTE(SUBSTITUTE(B166,"?","~?"),"*","~*")),0),""))</f>
        <v/>
      </c>
      <c r="I166">
        <f>IF(B166="","",COUNTIFS('Keyword Map'!$G$3:$G$1002,SUBSTITUTE(SUBSTITUTE(B166,"?","~?"),"*","~*"),'Keyword Map'!$R$3:$R$1002,"Yes"))</f>
        <v/>
      </c>
      <c r="J166">
        <f>IF(B166="","",COUNTIFS('Keyword Map'!$G$3:$G$1002,SUBSTITUTE(SUBSTITUTE(B166,"?","~?"),"*","~*"),'Keyword Map'!$W$3:$W$1002,"Yes"))</f>
        <v/>
      </c>
      <c r="K166">
        <f>IF(B166="","",IF(F166=0,"No primary keyword",IF(F166&gt;Settings!$B$4,"Too many primary keywords",IF(I166+J166&gt;0,"Check flags","OK"))))</f>
        <v/>
      </c>
    </row>
    <row r="167">
      <c r="A167">
        <f>ROW()-2</f>
        <v/>
      </c>
      <c r="B167">
        <f>IFERROR(INDEX('Keyword Map'!$G$3:$G$1002,MATCH(A167,'Keyword Map'!$AA$3:$AA$1002,0)),"")</f>
        <v/>
      </c>
      <c r="C167">
        <f>IF(B167="","",INDEX('Keyword Map'!$I$3:$I$1002,MATCH(A167,'Keyword Map'!$AA$3:$AA$1002,0))&amp;"")</f>
        <v/>
      </c>
      <c r="D167">
        <f>IF(B167="","",INDEX('Keyword Map'!$H$3:$H$1002,MATCH(A167,'Keyword Map'!$AA$3:$AA$1002,0))&amp;"")</f>
        <v/>
      </c>
      <c r="E167">
        <f>IF(B167="","",COUNTIF('Keyword Map'!$G$3:$G$1002,SUBSTITUTE(SUBSTITUTE(B167,"?","~?"),"*","~*")))</f>
        <v/>
      </c>
      <c r="F167">
        <f>IF(B167="","",COUNTIFS('Keyword Map'!$G$3:$G$1002,SUBSTITUTE(SUBSTITUTE(B167,"?","~?"),"*","~*"),'Keyword Map'!$J$3:$J$1002,"Primary"))</f>
        <v/>
      </c>
      <c r="G167">
        <f>IF(B167="","",SUMIFS('Keyword Map'!$C$3:$C$1002,'Keyword Map'!$G$3:$G$1002,SUBSTITUTE(SUBSTITUTE(B167,"?","~?"),"*","~*")))</f>
        <v/>
      </c>
      <c r="H167">
        <f>IF(B167="","",IFERROR(ROUND(AVERAGEIFS('Keyword Map'!$P$3:$P$1002,'Keyword Map'!$G$3:$G$1002,SUBSTITUTE(SUBSTITUTE(B167,"?","~?"),"*","~*")),0),""))</f>
        <v/>
      </c>
      <c r="I167">
        <f>IF(B167="","",COUNTIFS('Keyword Map'!$G$3:$G$1002,SUBSTITUTE(SUBSTITUTE(B167,"?","~?"),"*","~*"),'Keyword Map'!$R$3:$R$1002,"Yes"))</f>
        <v/>
      </c>
      <c r="J167">
        <f>IF(B167="","",COUNTIFS('Keyword Map'!$G$3:$G$1002,SUBSTITUTE(SUBSTITUTE(B167,"?","~?"),"*","~*"),'Keyword Map'!$W$3:$W$1002,"Yes"))</f>
        <v/>
      </c>
      <c r="K167">
        <f>IF(B167="","",IF(F167=0,"No primary keyword",IF(F167&gt;Settings!$B$4,"Too many primary keywords",IF(I167+J167&gt;0,"Check flags","OK"))))</f>
        <v/>
      </c>
    </row>
    <row r="168">
      <c r="A168">
        <f>ROW()-2</f>
        <v/>
      </c>
      <c r="B168">
        <f>IFERROR(INDEX('Keyword Map'!$G$3:$G$1002,MATCH(A168,'Keyword Map'!$AA$3:$AA$1002,0)),"")</f>
        <v/>
      </c>
      <c r="C168">
        <f>IF(B168="","",INDEX('Keyword Map'!$I$3:$I$1002,MATCH(A168,'Keyword Map'!$AA$3:$AA$1002,0))&amp;"")</f>
        <v/>
      </c>
      <c r="D168">
        <f>IF(B168="","",INDEX('Keyword Map'!$H$3:$H$1002,MATCH(A168,'Keyword Map'!$AA$3:$AA$1002,0))&amp;"")</f>
        <v/>
      </c>
      <c r="E168">
        <f>IF(B168="","",COUNTIF('Keyword Map'!$G$3:$G$1002,SUBSTITUTE(SUBSTITUTE(B168,"?","~?"),"*","~*")))</f>
        <v/>
      </c>
      <c r="F168">
        <f>IF(B168="","",COUNTIFS('Keyword Map'!$G$3:$G$1002,SUBSTITUTE(SUBSTITUTE(B168,"?","~?"),"*","~*"),'Keyword Map'!$J$3:$J$1002,"Primary"))</f>
        <v/>
      </c>
      <c r="G168">
        <f>IF(B168="","",SUMIFS('Keyword Map'!$C$3:$C$1002,'Keyword Map'!$G$3:$G$1002,SUBSTITUTE(SUBSTITUTE(B168,"?","~?"),"*","~*")))</f>
        <v/>
      </c>
      <c r="H168">
        <f>IF(B168="","",IFERROR(ROUND(AVERAGEIFS('Keyword Map'!$P$3:$P$1002,'Keyword Map'!$G$3:$G$1002,SUBSTITUTE(SUBSTITUTE(B168,"?","~?"),"*","~*")),0),""))</f>
        <v/>
      </c>
      <c r="I168">
        <f>IF(B168="","",COUNTIFS('Keyword Map'!$G$3:$G$1002,SUBSTITUTE(SUBSTITUTE(B168,"?","~?"),"*","~*"),'Keyword Map'!$R$3:$R$1002,"Yes"))</f>
        <v/>
      </c>
      <c r="J168">
        <f>IF(B168="","",COUNTIFS('Keyword Map'!$G$3:$G$1002,SUBSTITUTE(SUBSTITUTE(B168,"?","~?"),"*","~*"),'Keyword Map'!$W$3:$W$1002,"Yes"))</f>
        <v/>
      </c>
      <c r="K168">
        <f>IF(B168="","",IF(F168=0,"No primary keyword",IF(F168&gt;Settings!$B$4,"Too many primary keywords",IF(I168+J168&gt;0,"Check flags","OK"))))</f>
        <v/>
      </c>
    </row>
    <row r="169">
      <c r="A169">
        <f>ROW()-2</f>
        <v/>
      </c>
      <c r="B169">
        <f>IFERROR(INDEX('Keyword Map'!$G$3:$G$1002,MATCH(A169,'Keyword Map'!$AA$3:$AA$1002,0)),"")</f>
        <v/>
      </c>
      <c r="C169">
        <f>IF(B169="","",INDEX('Keyword Map'!$I$3:$I$1002,MATCH(A169,'Keyword Map'!$AA$3:$AA$1002,0))&amp;"")</f>
        <v/>
      </c>
      <c r="D169">
        <f>IF(B169="","",INDEX('Keyword Map'!$H$3:$H$1002,MATCH(A169,'Keyword Map'!$AA$3:$AA$1002,0))&amp;"")</f>
        <v/>
      </c>
      <c r="E169">
        <f>IF(B169="","",COUNTIF('Keyword Map'!$G$3:$G$1002,SUBSTITUTE(SUBSTITUTE(B169,"?","~?"),"*","~*")))</f>
        <v/>
      </c>
      <c r="F169">
        <f>IF(B169="","",COUNTIFS('Keyword Map'!$G$3:$G$1002,SUBSTITUTE(SUBSTITUTE(B169,"?","~?"),"*","~*"),'Keyword Map'!$J$3:$J$1002,"Primary"))</f>
        <v/>
      </c>
      <c r="G169">
        <f>IF(B169="","",SUMIFS('Keyword Map'!$C$3:$C$1002,'Keyword Map'!$G$3:$G$1002,SUBSTITUTE(SUBSTITUTE(B169,"?","~?"),"*","~*")))</f>
        <v/>
      </c>
      <c r="H169">
        <f>IF(B169="","",IFERROR(ROUND(AVERAGEIFS('Keyword Map'!$P$3:$P$1002,'Keyword Map'!$G$3:$G$1002,SUBSTITUTE(SUBSTITUTE(B169,"?","~?"),"*","~*")),0),""))</f>
        <v/>
      </c>
      <c r="I169">
        <f>IF(B169="","",COUNTIFS('Keyword Map'!$G$3:$G$1002,SUBSTITUTE(SUBSTITUTE(B169,"?","~?"),"*","~*"),'Keyword Map'!$R$3:$R$1002,"Yes"))</f>
        <v/>
      </c>
      <c r="J169">
        <f>IF(B169="","",COUNTIFS('Keyword Map'!$G$3:$G$1002,SUBSTITUTE(SUBSTITUTE(B169,"?","~?"),"*","~*"),'Keyword Map'!$W$3:$W$1002,"Yes"))</f>
        <v/>
      </c>
      <c r="K169">
        <f>IF(B169="","",IF(F169=0,"No primary keyword",IF(F169&gt;Settings!$B$4,"Too many primary keywords",IF(I169+J169&gt;0,"Check flags","OK"))))</f>
        <v/>
      </c>
    </row>
    <row r="170">
      <c r="A170">
        <f>ROW()-2</f>
        <v/>
      </c>
      <c r="B170">
        <f>IFERROR(INDEX('Keyword Map'!$G$3:$G$1002,MATCH(A170,'Keyword Map'!$AA$3:$AA$1002,0)),"")</f>
        <v/>
      </c>
      <c r="C170">
        <f>IF(B170="","",INDEX('Keyword Map'!$I$3:$I$1002,MATCH(A170,'Keyword Map'!$AA$3:$AA$1002,0))&amp;"")</f>
        <v/>
      </c>
      <c r="D170">
        <f>IF(B170="","",INDEX('Keyword Map'!$H$3:$H$1002,MATCH(A170,'Keyword Map'!$AA$3:$AA$1002,0))&amp;"")</f>
        <v/>
      </c>
      <c r="E170">
        <f>IF(B170="","",COUNTIF('Keyword Map'!$G$3:$G$1002,SUBSTITUTE(SUBSTITUTE(B170,"?","~?"),"*","~*")))</f>
        <v/>
      </c>
      <c r="F170">
        <f>IF(B170="","",COUNTIFS('Keyword Map'!$G$3:$G$1002,SUBSTITUTE(SUBSTITUTE(B170,"?","~?"),"*","~*"),'Keyword Map'!$J$3:$J$1002,"Primary"))</f>
        <v/>
      </c>
      <c r="G170">
        <f>IF(B170="","",SUMIFS('Keyword Map'!$C$3:$C$1002,'Keyword Map'!$G$3:$G$1002,SUBSTITUTE(SUBSTITUTE(B170,"?","~?"),"*","~*")))</f>
        <v/>
      </c>
      <c r="H170">
        <f>IF(B170="","",IFERROR(ROUND(AVERAGEIFS('Keyword Map'!$P$3:$P$1002,'Keyword Map'!$G$3:$G$1002,SUBSTITUTE(SUBSTITUTE(B170,"?","~?"),"*","~*")),0),""))</f>
        <v/>
      </c>
      <c r="I170">
        <f>IF(B170="","",COUNTIFS('Keyword Map'!$G$3:$G$1002,SUBSTITUTE(SUBSTITUTE(B170,"?","~?"),"*","~*"),'Keyword Map'!$R$3:$R$1002,"Yes"))</f>
        <v/>
      </c>
      <c r="J170">
        <f>IF(B170="","",COUNTIFS('Keyword Map'!$G$3:$G$1002,SUBSTITUTE(SUBSTITUTE(B170,"?","~?"),"*","~*"),'Keyword Map'!$W$3:$W$1002,"Yes"))</f>
        <v/>
      </c>
      <c r="K170">
        <f>IF(B170="","",IF(F170=0,"No primary keyword",IF(F170&gt;Settings!$B$4,"Too many primary keywords",IF(I170+J170&gt;0,"Check flags","OK"))))</f>
        <v/>
      </c>
    </row>
    <row r="171">
      <c r="A171">
        <f>ROW()-2</f>
        <v/>
      </c>
      <c r="B171">
        <f>IFERROR(INDEX('Keyword Map'!$G$3:$G$1002,MATCH(A171,'Keyword Map'!$AA$3:$AA$1002,0)),"")</f>
        <v/>
      </c>
      <c r="C171">
        <f>IF(B171="","",INDEX('Keyword Map'!$I$3:$I$1002,MATCH(A171,'Keyword Map'!$AA$3:$AA$1002,0))&amp;"")</f>
        <v/>
      </c>
      <c r="D171">
        <f>IF(B171="","",INDEX('Keyword Map'!$H$3:$H$1002,MATCH(A171,'Keyword Map'!$AA$3:$AA$1002,0))&amp;"")</f>
        <v/>
      </c>
      <c r="E171">
        <f>IF(B171="","",COUNTIF('Keyword Map'!$G$3:$G$1002,SUBSTITUTE(SUBSTITUTE(B171,"?","~?"),"*","~*")))</f>
        <v/>
      </c>
      <c r="F171">
        <f>IF(B171="","",COUNTIFS('Keyword Map'!$G$3:$G$1002,SUBSTITUTE(SUBSTITUTE(B171,"?","~?"),"*","~*"),'Keyword Map'!$J$3:$J$1002,"Primary"))</f>
        <v/>
      </c>
      <c r="G171">
        <f>IF(B171="","",SUMIFS('Keyword Map'!$C$3:$C$1002,'Keyword Map'!$G$3:$G$1002,SUBSTITUTE(SUBSTITUTE(B171,"?","~?"),"*","~*")))</f>
        <v/>
      </c>
      <c r="H171">
        <f>IF(B171="","",IFERROR(ROUND(AVERAGEIFS('Keyword Map'!$P$3:$P$1002,'Keyword Map'!$G$3:$G$1002,SUBSTITUTE(SUBSTITUTE(B171,"?","~?"),"*","~*")),0),""))</f>
        <v/>
      </c>
      <c r="I171">
        <f>IF(B171="","",COUNTIFS('Keyword Map'!$G$3:$G$1002,SUBSTITUTE(SUBSTITUTE(B171,"?","~?"),"*","~*"),'Keyword Map'!$R$3:$R$1002,"Yes"))</f>
        <v/>
      </c>
      <c r="J171">
        <f>IF(B171="","",COUNTIFS('Keyword Map'!$G$3:$G$1002,SUBSTITUTE(SUBSTITUTE(B171,"?","~?"),"*","~*"),'Keyword Map'!$W$3:$W$1002,"Yes"))</f>
        <v/>
      </c>
      <c r="K171">
        <f>IF(B171="","",IF(F171=0,"No primary keyword",IF(F171&gt;Settings!$B$4,"Too many primary keywords",IF(I171+J171&gt;0,"Check flags","OK"))))</f>
        <v/>
      </c>
    </row>
    <row r="172">
      <c r="A172">
        <f>ROW()-2</f>
        <v/>
      </c>
      <c r="B172">
        <f>IFERROR(INDEX('Keyword Map'!$G$3:$G$1002,MATCH(A172,'Keyword Map'!$AA$3:$AA$1002,0)),"")</f>
        <v/>
      </c>
      <c r="C172">
        <f>IF(B172="","",INDEX('Keyword Map'!$I$3:$I$1002,MATCH(A172,'Keyword Map'!$AA$3:$AA$1002,0))&amp;"")</f>
        <v/>
      </c>
      <c r="D172">
        <f>IF(B172="","",INDEX('Keyword Map'!$H$3:$H$1002,MATCH(A172,'Keyword Map'!$AA$3:$AA$1002,0))&amp;"")</f>
        <v/>
      </c>
      <c r="E172">
        <f>IF(B172="","",COUNTIF('Keyword Map'!$G$3:$G$1002,SUBSTITUTE(SUBSTITUTE(B172,"?","~?"),"*","~*")))</f>
        <v/>
      </c>
      <c r="F172">
        <f>IF(B172="","",COUNTIFS('Keyword Map'!$G$3:$G$1002,SUBSTITUTE(SUBSTITUTE(B172,"?","~?"),"*","~*"),'Keyword Map'!$J$3:$J$1002,"Primary"))</f>
        <v/>
      </c>
      <c r="G172">
        <f>IF(B172="","",SUMIFS('Keyword Map'!$C$3:$C$1002,'Keyword Map'!$G$3:$G$1002,SUBSTITUTE(SUBSTITUTE(B172,"?","~?"),"*","~*")))</f>
        <v/>
      </c>
      <c r="H172">
        <f>IF(B172="","",IFERROR(ROUND(AVERAGEIFS('Keyword Map'!$P$3:$P$1002,'Keyword Map'!$G$3:$G$1002,SUBSTITUTE(SUBSTITUTE(B172,"?","~?"),"*","~*")),0),""))</f>
        <v/>
      </c>
      <c r="I172">
        <f>IF(B172="","",COUNTIFS('Keyword Map'!$G$3:$G$1002,SUBSTITUTE(SUBSTITUTE(B172,"?","~?"),"*","~*"),'Keyword Map'!$R$3:$R$1002,"Yes"))</f>
        <v/>
      </c>
      <c r="J172">
        <f>IF(B172="","",COUNTIFS('Keyword Map'!$G$3:$G$1002,SUBSTITUTE(SUBSTITUTE(B172,"?","~?"),"*","~*"),'Keyword Map'!$W$3:$W$1002,"Yes"))</f>
        <v/>
      </c>
      <c r="K172">
        <f>IF(B172="","",IF(F172=0,"No primary keyword",IF(F172&gt;Settings!$B$4,"Too many primary keywords",IF(I172+J172&gt;0,"Check flags","OK"))))</f>
        <v/>
      </c>
    </row>
    <row r="173">
      <c r="A173">
        <f>ROW()-2</f>
        <v/>
      </c>
      <c r="B173">
        <f>IFERROR(INDEX('Keyword Map'!$G$3:$G$1002,MATCH(A173,'Keyword Map'!$AA$3:$AA$1002,0)),"")</f>
        <v/>
      </c>
      <c r="C173">
        <f>IF(B173="","",INDEX('Keyword Map'!$I$3:$I$1002,MATCH(A173,'Keyword Map'!$AA$3:$AA$1002,0))&amp;"")</f>
        <v/>
      </c>
      <c r="D173">
        <f>IF(B173="","",INDEX('Keyword Map'!$H$3:$H$1002,MATCH(A173,'Keyword Map'!$AA$3:$AA$1002,0))&amp;"")</f>
        <v/>
      </c>
      <c r="E173">
        <f>IF(B173="","",COUNTIF('Keyword Map'!$G$3:$G$1002,SUBSTITUTE(SUBSTITUTE(B173,"?","~?"),"*","~*")))</f>
        <v/>
      </c>
      <c r="F173">
        <f>IF(B173="","",COUNTIFS('Keyword Map'!$G$3:$G$1002,SUBSTITUTE(SUBSTITUTE(B173,"?","~?"),"*","~*"),'Keyword Map'!$J$3:$J$1002,"Primary"))</f>
        <v/>
      </c>
      <c r="G173">
        <f>IF(B173="","",SUMIFS('Keyword Map'!$C$3:$C$1002,'Keyword Map'!$G$3:$G$1002,SUBSTITUTE(SUBSTITUTE(B173,"?","~?"),"*","~*")))</f>
        <v/>
      </c>
      <c r="H173">
        <f>IF(B173="","",IFERROR(ROUND(AVERAGEIFS('Keyword Map'!$P$3:$P$1002,'Keyword Map'!$G$3:$G$1002,SUBSTITUTE(SUBSTITUTE(B173,"?","~?"),"*","~*")),0),""))</f>
        <v/>
      </c>
      <c r="I173">
        <f>IF(B173="","",COUNTIFS('Keyword Map'!$G$3:$G$1002,SUBSTITUTE(SUBSTITUTE(B173,"?","~?"),"*","~*"),'Keyword Map'!$R$3:$R$1002,"Yes"))</f>
        <v/>
      </c>
      <c r="J173">
        <f>IF(B173="","",COUNTIFS('Keyword Map'!$G$3:$G$1002,SUBSTITUTE(SUBSTITUTE(B173,"?","~?"),"*","~*"),'Keyword Map'!$W$3:$W$1002,"Yes"))</f>
        <v/>
      </c>
      <c r="K173">
        <f>IF(B173="","",IF(F173=0,"No primary keyword",IF(F173&gt;Settings!$B$4,"Too many primary keywords",IF(I173+J173&gt;0,"Check flags","OK"))))</f>
        <v/>
      </c>
    </row>
    <row r="174">
      <c r="A174">
        <f>ROW()-2</f>
        <v/>
      </c>
      <c r="B174">
        <f>IFERROR(INDEX('Keyword Map'!$G$3:$G$1002,MATCH(A174,'Keyword Map'!$AA$3:$AA$1002,0)),"")</f>
        <v/>
      </c>
      <c r="C174">
        <f>IF(B174="","",INDEX('Keyword Map'!$I$3:$I$1002,MATCH(A174,'Keyword Map'!$AA$3:$AA$1002,0))&amp;"")</f>
        <v/>
      </c>
      <c r="D174">
        <f>IF(B174="","",INDEX('Keyword Map'!$H$3:$H$1002,MATCH(A174,'Keyword Map'!$AA$3:$AA$1002,0))&amp;"")</f>
        <v/>
      </c>
      <c r="E174">
        <f>IF(B174="","",COUNTIF('Keyword Map'!$G$3:$G$1002,SUBSTITUTE(SUBSTITUTE(B174,"?","~?"),"*","~*")))</f>
        <v/>
      </c>
      <c r="F174">
        <f>IF(B174="","",COUNTIFS('Keyword Map'!$G$3:$G$1002,SUBSTITUTE(SUBSTITUTE(B174,"?","~?"),"*","~*"),'Keyword Map'!$J$3:$J$1002,"Primary"))</f>
        <v/>
      </c>
      <c r="G174">
        <f>IF(B174="","",SUMIFS('Keyword Map'!$C$3:$C$1002,'Keyword Map'!$G$3:$G$1002,SUBSTITUTE(SUBSTITUTE(B174,"?","~?"),"*","~*")))</f>
        <v/>
      </c>
      <c r="H174">
        <f>IF(B174="","",IFERROR(ROUND(AVERAGEIFS('Keyword Map'!$P$3:$P$1002,'Keyword Map'!$G$3:$G$1002,SUBSTITUTE(SUBSTITUTE(B174,"?","~?"),"*","~*")),0),""))</f>
        <v/>
      </c>
      <c r="I174">
        <f>IF(B174="","",COUNTIFS('Keyword Map'!$G$3:$G$1002,SUBSTITUTE(SUBSTITUTE(B174,"?","~?"),"*","~*"),'Keyword Map'!$R$3:$R$1002,"Yes"))</f>
        <v/>
      </c>
      <c r="J174">
        <f>IF(B174="","",COUNTIFS('Keyword Map'!$G$3:$G$1002,SUBSTITUTE(SUBSTITUTE(B174,"?","~?"),"*","~*"),'Keyword Map'!$W$3:$W$1002,"Yes"))</f>
        <v/>
      </c>
      <c r="K174">
        <f>IF(B174="","",IF(F174=0,"No primary keyword",IF(F174&gt;Settings!$B$4,"Too many primary keywords",IF(I174+J174&gt;0,"Check flags","OK"))))</f>
        <v/>
      </c>
    </row>
    <row r="175">
      <c r="A175">
        <f>ROW()-2</f>
        <v/>
      </c>
      <c r="B175">
        <f>IFERROR(INDEX('Keyword Map'!$G$3:$G$1002,MATCH(A175,'Keyword Map'!$AA$3:$AA$1002,0)),"")</f>
        <v/>
      </c>
      <c r="C175">
        <f>IF(B175="","",INDEX('Keyword Map'!$I$3:$I$1002,MATCH(A175,'Keyword Map'!$AA$3:$AA$1002,0))&amp;"")</f>
        <v/>
      </c>
      <c r="D175">
        <f>IF(B175="","",INDEX('Keyword Map'!$H$3:$H$1002,MATCH(A175,'Keyword Map'!$AA$3:$AA$1002,0))&amp;"")</f>
        <v/>
      </c>
      <c r="E175">
        <f>IF(B175="","",COUNTIF('Keyword Map'!$G$3:$G$1002,SUBSTITUTE(SUBSTITUTE(B175,"?","~?"),"*","~*")))</f>
        <v/>
      </c>
      <c r="F175">
        <f>IF(B175="","",COUNTIFS('Keyword Map'!$G$3:$G$1002,SUBSTITUTE(SUBSTITUTE(B175,"?","~?"),"*","~*"),'Keyword Map'!$J$3:$J$1002,"Primary"))</f>
        <v/>
      </c>
      <c r="G175">
        <f>IF(B175="","",SUMIFS('Keyword Map'!$C$3:$C$1002,'Keyword Map'!$G$3:$G$1002,SUBSTITUTE(SUBSTITUTE(B175,"?","~?"),"*","~*")))</f>
        <v/>
      </c>
      <c r="H175">
        <f>IF(B175="","",IFERROR(ROUND(AVERAGEIFS('Keyword Map'!$P$3:$P$1002,'Keyword Map'!$G$3:$G$1002,SUBSTITUTE(SUBSTITUTE(B175,"?","~?"),"*","~*")),0),""))</f>
        <v/>
      </c>
      <c r="I175">
        <f>IF(B175="","",COUNTIFS('Keyword Map'!$G$3:$G$1002,SUBSTITUTE(SUBSTITUTE(B175,"?","~?"),"*","~*"),'Keyword Map'!$R$3:$R$1002,"Yes"))</f>
        <v/>
      </c>
      <c r="J175">
        <f>IF(B175="","",COUNTIFS('Keyword Map'!$G$3:$G$1002,SUBSTITUTE(SUBSTITUTE(B175,"?","~?"),"*","~*"),'Keyword Map'!$W$3:$W$1002,"Yes"))</f>
        <v/>
      </c>
      <c r="K175">
        <f>IF(B175="","",IF(F175=0,"No primary keyword",IF(F175&gt;Settings!$B$4,"Too many primary keywords",IF(I175+J175&gt;0,"Check flags","OK"))))</f>
        <v/>
      </c>
    </row>
    <row r="176">
      <c r="A176">
        <f>ROW()-2</f>
        <v/>
      </c>
      <c r="B176">
        <f>IFERROR(INDEX('Keyword Map'!$G$3:$G$1002,MATCH(A176,'Keyword Map'!$AA$3:$AA$1002,0)),"")</f>
        <v/>
      </c>
      <c r="C176">
        <f>IF(B176="","",INDEX('Keyword Map'!$I$3:$I$1002,MATCH(A176,'Keyword Map'!$AA$3:$AA$1002,0))&amp;"")</f>
        <v/>
      </c>
      <c r="D176">
        <f>IF(B176="","",INDEX('Keyword Map'!$H$3:$H$1002,MATCH(A176,'Keyword Map'!$AA$3:$AA$1002,0))&amp;"")</f>
        <v/>
      </c>
      <c r="E176">
        <f>IF(B176="","",COUNTIF('Keyword Map'!$G$3:$G$1002,SUBSTITUTE(SUBSTITUTE(B176,"?","~?"),"*","~*")))</f>
        <v/>
      </c>
      <c r="F176">
        <f>IF(B176="","",COUNTIFS('Keyword Map'!$G$3:$G$1002,SUBSTITUTE(SUBSTITUTE(B176,"?","~?"),"*","~*"),'Keyword Map'!$J$3:$J$1002,"Primary"))</f>
        <v/>
      </c>
      <c r="G176">
        <f>IF(B176="","",SUMIFS('Keyword Map'!$C$3:$C$1002,'Keyword Map'!$G$3:$G$1002,SUBSTITUTE(SUBSTITUTE(B176,"?","~?"),"*","~*")))</f>
        <v/>
      </c>
      <c r="H176">
        <f>IF(B176="","",IFERROR(ROUND(AVERAGEIFS('Keyword Map'!$P$3:$P$1002,'Keyword Map'!$G$3:$G$1002,SUBSTITUTE(SUBSTITUTE(B176,"?","~?"),"*","~*")),0),""))</f>
        <v/>
      </c>
      <c r="I176">
        <f>IF(B176="","",COUNTIFS('Keyword Map'!$G$3:$G$1002,SUBSTITUTE(SUBSTITUTE(B176,"?","~?"),"*","~*"),'Keyword Map'!$R$3:$R$1002,"Yes"))</f>
        <v/>
      </c>
      <c r="J176">
        <f>IF(B176="","",COUNTIFS('Keyword Map'!$G$3:$G$1002,SUBSTITUTE(SUBSTITUTE(B176,"?","~?"),"*","~*"),'Keyword Map'!$W$3:$W$1002,"Yes"))</f>
        <v/>
      </c>
      <c r="K176">
        <f>IF(B176="","",IF(F176=0,"No primary keyword",IF(F176&gt;Settings!$B$4,"Too many primary keywords",IF(I176+J176&gt;0,"Check flags","OK"))))</f>
        <v/>
      </c>
    </row>
    <row r="177">
      <c r="A177">
        <f>ROW()-2</f>
        <v/>
      </c>
      <c r="B177">
        <f>IFERROR(INDEX('Keyword Map'!$G$3:$G$1002,MATCH(A177,'Keyword Map'!$AA$3:$AA$1002,0)),"")</f>
        <v/>
      </c>
      <c r="C177">
        <f>IF(B177="","",INDEX('Keyword Map'!$I$3:$I$1002,MATCH(A177,'Keyword Map'!$AA$3:$AA$1002,0))&amp;"")</f>
        <v/>
      </c>
      <c r="D177">
        <f>IF(B177="","",INDEX('Keyword Map'!$H$3:$H$1002,MATCH(A177,'Keyword Map'!$AA$3:$AA$1002,0))&amp;"")</f>
        <v/>
      </c>
      <c r="E177">
        <f>IF(B177="","",COUNTIF('Keyword Map'!$G$3:$G$1002,SUBSTITUTE(SUBSTITUTE(B177,"?","~?"),"*","~*")))</f>
        <v/>
      </c>
      <c r="F177">
        <f>IF(B177="","",COUNTIFS('Keyword Map'!$G$3:$G$1002,SUBSTITUTE(SUBSTITUTE(B177,"?","~?"),"*","~*"),'Keyword Map'!$J$3:$J$1002,"Primary"))</f>
        <v/>
      </c>
      <c r="G177">
        <f>IF(B177="","",SUMIFS('Keyword Map'!$C$3:$C$1002,'Keyword Map'!$G$3:$G$1002,SUBSTITUTE(SUBSTITUTE(B177,"?","~?"),"*","~*")))</f>
        <v/>
      </c>
      <c r="H177">
        <f>IF(B177="","",IFERROR(ROUND(AVERAGEIFS('Keyword Map'!$P$3:$P$1002,'Keyword Map'!$G$3:$G$1002,SUBSTITUTE(SUBSTITUTE(B177,"?","~?"),"*","~*")),0),""))</f>
        <v/>
      </c>
      <c r="I177">
        <f>IF(B177="","",COUNTIFS('Keyword Map'!$G$3:$G$1002,SUBSTITUTE(SUBSTITUTE(B177,"?","~?"),"*","~*"),'Keyword Map'!$R$3:$R$1002,"Yes"))</f>
        <v/>
      </c>
      <c r="J177">
        <f>IF(B177="","",COUNTIFS('Keyword Map'!$G$3:$G$1002,SUBSTITUTE(SUBSTITUTE(B177,"?","~?"),"*","~*"),'Keyword Map'!$W$3:$W$1002,"Yes"))</f>
        <v/>
      </c>
      <c r="K177">
        <f>IF(B177="","",IF(F177=0,"No primary keyword",IF(F177&gt;Settings!$B$4,"Too many primary keywords",IF(I177+J177&gt;0,"Check flags","OK"))))</f>
        <v/>
      </c>
    </row>
    <row r="178">
      <c r="A178">
        <f>ROW()-2</f>
        <v/>
      </c>
      <c r="B178">
        <f>IFERROR(INDEX('Keyword Map'!$G$3:$G$1002,MATCH(A178,'Keyword Map'!$AA$3:$AA$1002,0)),"")</f>
        <v/>
      </c>
      <c r="C178">
        <f>IF(B178="","",INDEX('Keyword Map'!$I$3:$I$1002,MATCH(A178,'Keyword Map'!$AA$3:$AA$1002,0))&amp;"")</f>
        <v/>
      </c>
      <c r="D178">
        <f>IF(B178="","",INDEX('Keyword Map'!$H$3:$H$1002,MATCH(A178,'Keyword Map'!$AA$3:$AA$1002,0))&amp;"")</f>
        <v/>
      </c>
      <c r="E178">
        <f>IF(B178="","",COUNTIF('Keyword Map'!$G$3:$G$1002,SUBSTITUTE(SUBSTITUTE(B178,"?","~?"),"*","~*")))</f>
        <v/>
      </c>
      <c r="F178">
        <f>IF(B178="","",COUNTIFS('Keyword Map'!$G$3:$G$1002,SUBSTITUTE(SUBSTITUTE(B178,"?","~?"),"*","~*"),'Keyword Map'!$J$3:$J$1002,"Primary"))</f>
        <v/>
      </c>
      <c r="G178">
        <f>IF(B178="","",SUMIFS('Keyword Map'!$C$3:$C$1002,'Keyword Map'!$G$3:$G$1002,SUBSTITUTE(SUBSTITUTE(B178,"?","~?"),"*","~*")))</f>
        <v/>
      </c>
      <c r="H178">
        <f>IF(B178="","",IFERROR(ROUND(AVERAGEIFS('Keyword Map'!$P$3:$P$1002,'Keyword Map'!$G$3:$G$1002,SUBSTITUTE(SUBSTITUTE(B178,"?","~?"),"*","~*")),0),""))</f>
        <v/>
      </c>
      <c r="I178">
        <f>IF(B178="","",COUNTIFS('Keyword Map'!$G$3:$G$1002,SUBSTITUTE(SUBSTITUTE(B178,"?","~?"),"*","~*"),'Keyword Map'!$R$3:$R$1002,"Yes"))</f>
        <v/>
      </c>
      <c r="J178">
        <f>IF(B178="","",COUNTIFS('Keyword Map'!$G$3:$G$1002,SUBSTITUTE(SUBSTITUTE(B178,"?","~?"),"*","~*"),'Keyword Map'!$W$3:$W$1002,"Yes"))</f>
        <v/>
      </c>
      <c r="K178">
        <f>IF(B178="","",IF(F178=0,"No primary keyword",IF(F178&gt;Settings!$B$4,"Too many primary keywords",IF(I178+J178&gt;0,"Check flags","OK"))))</f>
        <v/>
      </c>
    </row>
    <row r="179">
      <c r="A179">
        <f>ROW()-2</f>
        <v/>
      </c>
      <c r="B179">
        <f>IFERROR(INDEX('Keyword Map'!$G$3:$G$1002,MATCH(A179,'Keyword Map'!$AA$3:$AA$1002,0)),"")</f>
        <v/>
      </c>
      <c r="C179">
        <f>IF(B179="","",INDEX('Keyword Map'!$I$3:$I$1002,MATCH(A179,'Keyword Map'!$AA$3:$AA$1002,0))&amp;"")</f>
        <v/>
      </c>
      <c r="D179">
        <f>IF(B179="","",INDEX('Keyword Map'!$H$3:$H$1002,MATCH(A179,'Keyword Map'!$AA$3:$AA$1002,0))&amp;"")</f>
        <v/>
      </c>
      <c r="E179">
        <f>IF(B179="","",COUNTIF('Keyword Map'!$G$3:$G$1002,SUBSTITUTE(SUBSTITUTE(B179,"?","~?"),"*","~*")))</f>
        <v/>
      </c>
      <c r="F179">
        <f>IF(B179="","",COUNTIFS('Keyword Map'!$G$3:$G$1002,SUBSTITUTE(SUBSTITUTE(B179,"?","~?"),"*","~*"),'Keyword Map'!$J$3:$J$1002,"Primary"))</f>
        <v/>
      </c>
      <c r="G179">
        <f>IF(B179="","",SUMIFS('Keyword Map'!$C$3:$C$1002,'Keyword Map'!$G$3:$G$1002,SUBSTITUTE(SUBSTITUTE(B179,"?","~?"),"*","~*")))</f>
        <v/>
      </c>
      <c r="H179">
        <f>IF(B179="","",IFERROR(ROUND(AVERAGEIFS('Keyword Map'!$P$3:$P$1002,'Keyword Map'!$G$3:$G$1002,SUBSTITUTE(SUBSTITUTE(B179,"?","~?"),"*","~*")),0),""))</f>
        <v/>
      </c>
      <c r="I179">
        <f>IF(B179="","",COUNTIFS('Keyword Map'!$G$3:$G$1002,SUBSTITUTE(SUBSTITUTE(B179,"?","~?"),"*","~*"),'Keyword Map'!$R$3:$R$1002,"Yes"))</f>
        <v/>
      </c>
      <c r="J179">
        <f>IF(B179="","",COUNTIFS('Keyword Map'!$G$3:$G$1002,SUBSTITUTE(SUBSTITUTE(B179,"?","~?"),"*","~*"),'Keyword Map'!$W$3:$W$1002,"Yes"))</f>
        <v/>
      </c>
      <c r="K179">
        <f>IF(B179="","",IF(F179=0,"No primary keyword",IF(F179&gt;Settings!$B$4,"Too many primary keywords",IF(I179+J179&gt;0,"Check flags","OK"))))</f>
        <v/>
      </c>
    </row>
    <row r="180">
      <c r="A180">
        <f>ROW()-2</f>
        <v/>
      </c>
      <c r="B180">
        <f>IFERROR(INDEX('Keyword Map'!$G$3:$G$1002,MATCH(A180,'Keyword Map'!$AA$3:$AA$1002,0)),"")</f>
        <v/>
      </c>
      <c r="C180">
        <f>IF(B180="","",INDEX('Keyword Map'!$I$3:$I$1002,MATCH(A180,'Keyword Map'!$AA$3:$AA$1002,0))&amp;"")</f>
        <v/>
      </c>
      <c r="D180">
        <f>IF(B180="","",INDEX('Keyword Map'!$H$3:$H$1002,MATCH(A180,'Keyword Map'!$AA$3:$AA$1002,0))&amp;"")</f>
        <v/>
      </c>
      <c r="E180">
        <f>IF(B180="","",COUNTIF('Keyword Map'!$G$3:$G$1002,SUBSTITUTE(SUBSTITUTE(B180,"?","~?"),"*","~*")))</f>
        <v/>
      </c>
      <c r="F180">
        <f>IF(B180="","",COUNTIFS('Keyword Map'!$G$3:$G$1002,SUBSTITUTE(SUBSTITUTE(B180,"?","~?"),"*","~*"),'Keyword Map'!$J$3:$J$1002,"Primary"))</f>
        <v/>
      </c>
      <c r="G180">
        <f>IF(B180="","",SUMIFS('Keyword Map'!$C$3:$C$1002,'Keyword Map'!$G$3:$G$1002,SUBSTITUTE(SUBSTITUTE(B180,"?","~?"),"*","~*")))</f>
        <v/>
      </c>
      <c r="H180">
        <f>IF(B180="","",IFERROR(ROUND(AVERAGEIFS('Keyword Map'!$P$3:$P$1002,'Keyword Map'!$G$3:$G$1002,SUBSTITUTE(SUBSTITUTE(B180,"?","~?"),"*","~*")),0),""))</f>
        <v/>
      </c>
      <c r="I180">
        <f>IF(B180="","",COUNTIFS('Keyword Map'!$G$3:$G$1002,SUBSTITUTE(SUBSTITUTE(B180,"?","~?"),"*","~*"),'Keyword Map'!$R$3:$R$1002,"Yes"))</f>
        <v/>
      </c>
      <c r="J180">
        <f>IF(B180="","",COUNTIFS('Keyword Map'!$G$3:$G$1002,SUBSTITUTE(SUBSTITUTE(B180,"?","~?"),"*","~*"),'Keyword Map'!$W$3:$W$1002,"Yes"))</f>
        <v/>
      </c>
      <c r="K180">
        <f>IF(B180="","",IF(F180=0,"No primary keyword",IF(F180&gt;Settings!$B$4,"Too many primary keywords",IF(I180+J180&gt;0,"Check flags","OK"))))</f>
        <v/>
      </c>
    </row>
    <row r="181">
      <c r="A181">
        <f>ROW()-2</f>
        <v/>
      </c>
      <c r="B181">
        <f>IFERROR(INDEX('Keyword Map'!$G$3:$G$1002,MATCH(A181,'Keyword Map'!$AA$3:$AA$1002,0)),"")</f>
        <v/>
      </c>
      <c r="C181">
        <f>IF(B181="","",INDEX('Keyword Map'!$I$3:$I$1002,MATCH(A181,'Keyword Map'!$AA$3:$AA$1002,0))&amp;"")</f>
        <v/>
      </c>
      <c r="D181">
        <f>IF(B181="","",INDEX('Keyword Map'!$H$3:$H$1002,MATCH(A181,'Keyword Map'!$AA$3:$AA$1002,0))&amp;"")</f>
        <v/>
      </c>
      <c r="E181">
        <f>IF(B181="","",COUNTIF('Keyword Map'!$G$3:$G$1002,SUBSTITUTE(SUBSTITUTE(B181,"?","~?"),"*","~*")))</f>
        <v/>
      </c>
      <c r="F181">
        <f>IF(B181="","",COUNTIFS('Keyword Map'!$G$3:$G$1002,SUBSTITUTE(SUBSTITUTE(B181,"?","~?"),"*","~*"),'Keyword Map'!$J$3:$J$1002,"Primary"))</f>
        <v/>
      </c>
      <c r="G181">
        <f>IF(B181="","",SUMIFS('Keyword Map'!$C$3:$C$1002,'Keyword Map'!$G$3:$G$1002,SUBSTITUTE(SUBSTITUTE(B181,"?","~?"),"*","~*")))</f>
        <v/>
      </c>
      <c r="H181">
        <f>IF(B181="","",IFERROR(ROUND(AVERAGEIFS('Keyword Map'!$P$3:$P$1002,'Keyword Map'!$G$3:$G$1002,SUBSTITUTE(SUBSTITUTE(B181,"?","~?"),"*","~*")),0),""))</f>
        <v/>
      </c>
      <c r="I181">
        <f>IF(B181="","",COUNTIFS('Keyword Map'!$G$3:$G$1002,SUBSTITUTE(SUBSTITUTE(B181,"?","~?"),"*","~*"),'Keyword Map'!$R$3:$R$1002,"Yes"))</f>
        <v/>
      </c>
      <c r="J181">
        <f>IF(B181="","",COUNTIFS('Keyword Map'!$G$3:$G$1002,SUBSTITUTE(SUBSTITUTE(B181,"?","~?"),"*","~*"),'Keyword Map'!$W$3:$W$1002,"Yes"))</f>
        <v/>
      </c>
      <c r="K181">
        <f>IF(B181="","",IF(F181=0,"No primary keyword",IF(F181&gt;Settings!$B$4,"Too many primary keywords",IF(I181+J181&gt;0,"Check flags","OK"))))</f>
        <v/>
      </c>
    </row>
    <row r="182">
      <c r="A182">
        <f>ROW()-2</f>
        <v/>
      </c>
      <c r="B182">
        <f>IFERROR(INDEX('Keyword Map'!$G$3:$G$1002,MATCH(A182,'Keyword Map'!$AA$3:$AA$1002,0)),"")</f>
        <v/>
      </c>
      <c r="C182">
        <f>IF(B182="","",INDEX('Keyword Map'!$I$3:$I$1002,MATCH(A182,'Keyword Map'!$AA$3:$AA$1002,0))&amp;"")</f>
        <v/>
      </c>
      <c r="D182">
        <f>IF(B182="","",INDEX('Keyword Map'!$H$3:$H$1002,MATCH(A182,'Keyword Map'!$AA$3:$AA$1002,0))&amp;"")</f>
        <v/>
      </c>
      <c r="E182">
        <f>IF(B182="","",COUNTIF('Keyword Map'!$G$3:$G$1002,SUBSTITUTE(SUBSTITUTE(B182,"?","~?"),"*","~*")))</f>
        <v/>
      </c>
      <c r="F182">
        <f>IF(B182="","",COUNTIFS('Keyword Map'!$G$3:$G$1002,SUBSTITUTE(SUBSTITUTE(B182,"?","~?"),"*","~*"),'Keyword Map'!$J$3:$J$1002,"Primary"))</f>
        <v/>
      </c>
      <c r="G182">
        <f>IF(B182="","",SUMIFS('Keyword Map'!$C$3:$C$1002,'Keyword Map'!$G$3:$G$1002,SUBSTITUTE(SUBSTITUTE(B182,"?","~?"),"*","~*")))</f>
        <v/>
      </c>
      <c r="H182">
        <f>IF(B182="","",IFERROR(ROUND(AVERAGEIFS('Keyword Map'!$P$3:$P$1002,'Keyword Map'!$G$3:$G$1002,SUBSTITUTE(SUBSTITUTE(B182,"?","~?"),"*","~*")),0),""))</f>
        <v/>
      </c>
      <c r="I182">
        <f>IF(B182="","",COUNTIFS('Keyword Map'!$G$3:$G$1002,SUBSTITUTE(SUBSTITUTE(B182,"?","~?"),"*","~*"),'Keyword Map'!$R$3:$R$1002,"Yes"))</f>
        <v/>
      </c>
      <c r="J182">
        <f>IF(B182="","",COUNTIFS('Keyword Map'!$G$3:$G$1002,SUBSTITUTE(SUBSTITUTE(B182,"?","~?"),"*","~*"),'Keyword Map'!$W$3:$W$1002,"Yes"))</f>
        <v/>
      </c>
      <c r="K182">
        <f>IF(B182="","",IF(F182=0,"No primary keyword",IF(F182&gt;Settings!$B$4,"Too many primary keywords",IF(I182+J182&gt;0,"Check flags","OK"))))</f>
        <v/>
      </c>
    </row>
    <row r="183">
      <c r="A183">
        <f>ROW()-2</f>
        <v/>
      </c>
      <c r="B183">
        <f>IFERROR(INDEX('Keyword Map'!$G$3:$G$1002,MATCH(A183,'Keyword Map'!$AA$3:$AA$1002,0)),"")</f>
        <v/>
      </c>
      <c r="C183">
        <f>IF(B183="","",INDEX('Keyword Map'!$I$3:$I$1002,MATCH(A183,'Keyword Map'!$AA$3:$AA$1002,0))&amp;"")</f>
        <v/>
      </c>
      <c r="D183">
        <f>IF(B183="","",INDEX('Keyword Map'!$H$3:$H$1002,MATCH(A183,'Keyword Map'!$AA$3:$AA$1002,0))&amp;"")</f>
        <v/>
      </c>
      <c r="E183">
        <f>IF(B183="","",COUNTIF('Keyword Map'!$G$3:$G$1002,SUBSTITUTE(SUBSTITUTE(B183,"?","~?"),"*","~*")))</f>
        <v/>
      </c>
      <c r="F183">
        <f>IF(B183="","",COUNTIFS('Keyword Map'!$G$3:$G$1002,SUBSTITUTE(SUBSTITUTE(B183,"?","~?"),"*","~*"),'Keyword Map'!$J$3:$J$1002,"Primary"))</f>
        <v/>
      </c>
      <c r="G183">
        <f>IF(B183="","",SUMIFS('Keyword Map'!$C$3:$C$1002,'Keyword Map'!$G$3:$G$1002,SUBSTITUTE(SUBSTITUTE(B183,"?","~?"),"*","~*")))</f>
        <v/>
      </c>
      <c r="H183">
        <f>IF(B183="","",IFERROR(ROUND(AVERAGEIFS('Keyword Map'!$P$3:$P$1002,'Keyword Map'!$G$3:$G$1002,SUBSTITUTE(SUBSTITUTE(B183,"?","~?"),"*","~*")),0),""))</f>
        <v/>
      </c>
      <c r="I183">
        <f>IF(B183="","",COUNTIFS('Keyword Map'!$G$3:$G$1002,SUBSTITUTE(SUBSTITUTE(B183,"?","~?"),"*","~*"),'Keyword Map'!$R$3:$R$1002,"Yes"))</f>
        <v/>
      </c>
      <c r="J183">
        <f>IF(B183="","",COUNTIFS('Keyword Map'!$G$3:$G$1002,SUBSTITUTE(SUBSTITUTE(B183,"?","~?"),"*","~*"),'Keyword Map'!$W$3:$W$1002,"Yes"))</f>
        <v/>
      </c>
      <c r="K183">
        <f>IF(B183="","",IF(F183=0,"No primary keyword",IF(F183&gt;Settings!$B$4,"Too many primary keywords",IF(I183+J183&gt;0,"Check flags","OK"))))</f>
        <v/>
      </c>
    </row>
    <row r="184">
      <c r="A184">
        <f>ROW()-2</f>
        <v/>
      </c>
      <c r="B184">
        <f>IFERROR(INDEX('Keyword Map'!$G$3:$G$1002,MATCH(A184,'Keyword Map'!$AA$3:$AA$1002,0)),"")</f>
        <v/>
      </c>
      <c r="C184">
        <f>IF(B184="","",INDEX('Keyword Map'!$I$3:$I$1002,MATCH(A184,'Keyword Map'!$AA$3:$AA$1002,0))&amp;"")</f>
        <v/>
      </c>
      <c r="D184">
        <f>IF(B184="","",INDEX('Keyword Map'!$H$3:$H$1002,MATCH(A184,'Keyword Map'!$AA$3:$AA$1002,0))&amp;"")</f>
        <v/>
      </c>
      <c r="E184">
        <f>IF(B184="","",COUNTIF('Keyword Map'!$G$3:$G$1002,SUBSTITUTE(SUBSTITUTE(B184,"?","~?"),"*","~*")))</f>
        <v/>
      </c>
      <c r="F184">
        <f>IF(B184="","",COUNTIFS('Keyword Map'!$G$3:$G$1002,SUBSTITUTE(SUBSTITUTE(B184,"?","~?"),"*","~*"),'Keyword Map'!$J$3:$J$1002,"Primary"))</f>
        <v/>
      </c>
      <c r="G184">
        <f>IF(B184="","",SUMIFS('Keyword Map'!$C$3:$C$1002,'Keyword Map'!$G$3:$G$1002,SUBSTITUTE(SUBSTITUTE(B184,"?","~?"),"*","~*")))</f>
        <v/>
      </c>
      <c r="H184">
        <f>IF(B184="","",IFERROR(ROUND(AVERAGEIFS('Keyword Map'!$P$3:$P$1002,'Keyword Map'!$G$3:$G$1002,SUBSTITUTE(SUBSTITUTE(B184,"?","~?"),"*","~*")),0),""))</f>
        <v/>
      </c>
      <c r="I184">
        <f>IF(B184="","",COUNTIFS('Keyword Map'!$G$3:$G$1002,SUBSTITUTE(SUBSTITUTE(B184,"?","~?"),"*","~*"),'Keyword Map'!$R$3:$R$1002,"Yes"))</f>
        <v/>
      </c>
      <c r="J184">
        <f>IF(B184="","",COUNTIFS('Keyword Map'!$G$3:$G$1002,SUBSTITUTE(SUBSTITUTE(B184,"?","~?"),"*","~*"),'Keyword Map'!$W$3:$W$1002,"Yes"))</f>
        <v/>
      </c>
      <c r="K184">
        <f>IF(B184="","",IF(F184=0,"No primary keyword",IF(F184&gt;Settings!$B$4,"Too many primary keywords",IF(I184+J184&gt;0,"Check flags","OK"))))</f>
        <v/>
      </c>
    </row>
    <row r="185">
      <c r="A185">
        <f>ROW()-2</f>
        <v/>
      </c>
      <c r="B185">
        <f>IFERROR(INDEX('Keyword Map'!$G$3:$G$1002,MATCH(A185,'Keyword Map'!$AA$3:$AA$1002,0)),"")</f>
        <v/>
      </c>
      <c r="C185">
        <f>IF(B185="","",INDEX('Keyword Map'!$I$3:$I$1002,MATCH(A185,'Keyword Map'!$AA$3:$AA$1002,0))&amp;"")</f>
        <v/>
      </c>
      <c r="D185">
        <f>IF(B185="","",INDEX('Keyword Map'!$H$3:$H$1002,MATCH(A185,'Keyword Map'!$AA$3:$AA$1002,0))&amp;"")</f>
        <v/>
      </c>
      <c r="E185">
        <f>IF(B185="","",COUNTIF('Keyword Map'!$G$3:$G$1002,SUBSTITUTE(SUBSTITUTE(B185,"?","~?"),"*","~*")))</f>
        <v/>
      </c>
      <c r="F185">
        <f>IF(B185="","",COUNTIFS('Keyword Map'!$G$3:$G$1002,SUBSTITUTE(SUBSTITUTE(B185,"?","~?"),"*","~*"),'Keyword Map'!$J$3:$J$1002,"Primary"))</f>
        <v/>
      </c>
      <c r="G185">
        <f>IF(B185="","",SUMIFS('Keyword Map'!$C$3:$C$1002,'Keyword Map'!$G$3:$G$1002,SUBSTITUTE(SUBSTITUTE(B185,"?","~?"),"*","~*")))</f>
        <v/>
      </c>
      <c r="H185">
        <f>IF(B185="","",IFERROR(ROUND(AVERAGEIFS('Keyword Map'!$P$3:$P$1002,'Keyword Map'!$G$3:$G$1002,SUBSTITUTE(SUBSTITUTE(B185,"?","~?"),"*","~*")),0),""))</f>
        <v/>
      </c>
      <c r="I185">
        <f>IF(B185="","",COUNTIFS('Keyword Map'!$G$3:$G$1002,SUBSTITUTE(SUBSTITUTE(B185,"?","~?"),"*","~*"),'Keyword Map'!$R$3:$R$1002,"Yes"))</f>
        <v/>
      </c>
      <c r="J185">
        <f>IF(B185="","",COUNTIFS('Keyword Map'!$G$3:$G$1002,SUBSTITUTE(SUBSTITUTE(B185,"?","~?"),"*","~*"),'Keyword Map'!$W$3:$W$1002,"Yes"))</f>
        <v/>
      </c>
      <c r="K185">
        <f>IF(B185="","",IF(F185=0,"No primary keyword",IF(F185&gt;Settings!$B$4,"Too many primary keywords",IF(I185+J185&gt;0,"Check flags","OK"))))</f>
        <v/>
      </c>
    </row>
    <row r="186">
      <c r="A186">
        <f>ROW()-2</f>
        <v/>
      </c>
      <c r="B186">
        <f>IFERROR(INDEX('Keyword Map'!$G$3:$G$1002,MATCH(A186,'Keyword Map'!$AA$3:$AA$1002,0)),"")</f>
        <v/>
      </c>
      <c r="C186">
        <f>IF(B186="","",INDEX('Keyword Map'!$I$3:$I$1002,MATCH(A186,'Keyword Map'!$AA$3:$AA$1002,0))&amp;"")</f>
        <v/>
      </c>
      <c r="D186">
        <f>IF(B186="","",INDEX('Keyword Map'!$H$3:$H$1002,MATCH(A186,'Keyword Map'!$AA$3:$AA$1002,0))&amp;"")</f>
        <v/>
      </c>
      <c r="E186">
        <f>IF(B186="","",COUNTIF('Keyword Map'!$G$3:$G$1002,SUBSTITUTE(SUBSTITUTE(B186,"?","~?"),"*","~*")))</f>
        <v/>
      </c>
      <c r="F186">
        <f>IF(B186="","",COUNTIFS('Keyword Map'!$G$3:$G$1002,SUBSTITUTE(SUBSTITUTE(B186,"?","~?"),"*","~*"),'Keyword Map'!$J$3:$J$1002,"Primary"))</f>
        <v/>
      </c>
      <c r="G186">
        <f>IF(B186="","",SUMIFS('Keyword Map'!$C$3:$C$1002,'Keyword Map'!$G$3:$G$1002,SUBSTITUTE(SUBSTITUTE(B186,"?","~?"),"*","~*")))</f>
        <v/>
      </c>
      <c r="H186">
        <f>IF(B186="","",IFERROR(ROUND(AVERAGEIFS('Keyword Map'!$P$3:$P$1002,'Keyword Map'!$G$3:$G$1002,SUBSTITUTE(SUBSTITUTE(B186,"?","~?"),"*","~*")),0),""))</f>
        <v/>
      </c>
      <c r="I186">
        <f>IF(B186="","",COUNTIFS('Keyword Map'!$G$3:$G$1002,SUBSTITUTE(SUBSTITUTE(B186,"?","~?"),"*","~*"),'Keyword Map'!$R$3:$R$1002,"Yes"))</f>
        <v/>
      </c>
      <c r="J186">
        <f>IF(B186="","",COUNTIFS('Keyword Map'!$G$3:$G$1002,SUBSTITUTE(SUBSTITUTE(B186,"?","~?"),"*","~*"),'Keyword Map'!$W$3:$W$1002,"Yes"))</f>
        <v/>
      </c>
      <c r="K186">
        <f>IF(B186="","",IF(F186=0,"No primary keyword",IF(F186&gt;Settings!$B$4,"Too many primary keywords",IF(I186+J186&gt;0,"Check flags","OK"))))</f>
        <v/>
      </c>
    </row>
    <row r="187">
      <c r="A187">
        <f>ROW()-2</f>
        <v/>
      </c>
      <c r="B187">
        <f>IFERROR(INDEX('Keyword Map'!$G$3:$G$1002,MATCH(A187,'Keyword Map'!$AA$3:$AA$1002,0)),"")</f>
        <v/>
      </c>
      <c r="C187">
        <f>IF(B187="","",INDEX('Keyword Map'!$I$3:$I$1002,MATCH(A187,'Keyword Map'!$AA$3:$AA$1002,0))&amp;"")</f>
        <v/>
      </c>
      <c r="D187">
        <f>IF(B187="","",INDEX('Keyword Map'!$H$3:$H$1002,MATCH(A187,'Keyword Map'!$AA$3:$AA$1002,0))&amp;"")</f>
        <v/>
      </c>
      <c r="E187">
        <f>IF(B187="","",COUNTIF('Keyword Map'!$G$3:$G$1002,SUBSTITUTE(SUBSTITUTE(B187,"?","~?"),"*","~*")))</f>
        <v/>
      </c>
      <c r="F187">
        <f>IF(B187="","",COUNTIFS('Keyword Map'!$G$3:$G$1002,SUBSTITUTE(SUBSTITUTE(B187,"?","~?"),"*","~*"),'Keyword Map'!$J$3:$J$1002,"Primary"))</f>
        <v/>
      </c>
      <c r="G187">
        <f>IF(B187="","",SUMIFS('Keyword Map'!$C$3:$C$1002,'Keyword Map'!$G$3:$G$1002,SUBSTITUTE(SUBSTITUTE(B187,"?","~?"),"*","~*")))</f>
        <v/>
      </c>
      <c r="H187">
        <f>IF(B187="","",IFERROR(ROUND(AVERAGEIFS('Keyword Map'!$P$3:$P$1002,'Keyword Map'!$G$3:$G$1002,SUBSTITUTE(SUBSTITUTE(B187,"?","~?"),"*","~*")),0),""))</f>
        <v/>
      </c>
      <c r="I187">
        <f>IF(B187="","",COUNTIFS('Keyword Map'!$G$3:$G$1002,SUBSTITUTE(SUBSTITUTE(B187,"?","~?"),"*","~*"),'Keyword Map'!$R$3:$R$1002,"Yes"))</f>
        <v/>
      </c>
      <c r="J187">
        <f>IF(B187="","",COUNTIFS('Keyword Map'!$G$3:$G$1002,SUBSTITUTE(SUBSTITUTE(B187,"?","~?"),"*","~*"),'Keyword Map'!$W$3:$W$1002,"Yes"))</f>
        <v/>
      </c>
      <c r="K187">
        <f>IF(B187="","",IF(F187=0,"No primary keyword",IF(F187&gt;Settings!$B$4,"Too many primary keywords",IF(I187+J187&gt;0,"Check flags","OK"))))</f>
        <v/>
      </c>
    </row>
    <row r="188">
      <c r="A188">
        <f>ROW()-2</f>
        <v/>
      </c>
      <c r="B188">
        <f>IFERROR(INDEX('Keyword Map'!$G$3:$G$1002,MATCH(A188,'Keyword Map'!$AA$3:$AA$1002,0)),"")</f>
        <v/>
      </c>
      <c r="C188">
        <f>IF(B188="","",INDEX('Keyword Map'!$I$3:$I$1002,MATCH(A188,'Keyword Map'!$AA$3:$AA$1002,0))&amp;"")</f>
        <v/>
      </c>
      <c r="D188">
        <f>IF(B188="","",INDEX('Keyword Map'!$H$3:$H$1002,MATCH(A188,'Keyword Map'!$AA$3:$AA$1002,0))&amp;"")</f>
        <v/>
      </c>
      <c r="E188">
        <f>IF(B188="","",COUNTIF('Keyword Map'!$G$3:$G$1002,SUBSTITUTE(SUBSTITUTE(B188,"?","~?"),"*","~*")))</f>
        <v/>
      </c>
      <c r="F188">
        <f>IF(B188="","",COUNTIFS('Keyword Map'!$G$3:$G$1002,SUBSTITUTE(SUBSTITUTE(B188,"?","~?"),"*","~*"),'Keyword Map'!$J$3:$J$1002,"Primary"))</f>
        <v/>
      </c>
      <c r="G188">
        <f>IF(B188="","",SUMIFS('Keyword Map'!$C$3:$C$1002,'Keyword Map'!$G$3:$G$1002,SUBSTITUTE(SUBSTITUTE(B188,"?","~?"),"*","~*")))</f>
        <v/>
      </c>
      <c r="H188">
        <f>IF(B188="","",IFERROR(ROUND(AVERAGEIFS('Keyword Map'!$P$3:$P$1002,'Keyword Map'!$G$3:$G$1002,SUBSTITUTE(SUBSTITUTE(B188,"?","~?"),"*","~*")),0),""))</f>
        <v/>
      </c>
      <c r="I188">
        <f>IF(B188="","",COUNTIFS('Keyword Map'!$G$3:$G$1002,SUBSTITUTE(SUBSTITUTE(B188,"?","~?"),"*","~*"),'Keyword Map'!$R$3:$R$1002,"Yes"))</f>
        <v/>
      </c>
      <c r="J188">
        <f>IF(B188="","",COUNTIFS('Keyword Map'!$G$3:$G$1002,SUBSTITUTE(SUBSTITUTE(B188,"?","~?"),"*","~*"),'Keyword Map'!$W$3:$W$1002,"Yes"))</f>
        <v/>
      </c>
      <c r="K188">
        <f>IF(B188="","",IF(F188=0,"No primary keyword",IF(F188&gt;Settings!$B$4,"Too many primary keywords",IF(I188+J188&gt;0,"Check flags","OK"))))</f>
        <v/>
      </c>
    </row>
    <row r="189">
      <c r="A189">
        <f>ROW()-2</f>
        <v/>
      </c>
      <c r="B189">
        <f>IFERROR(INDEX('Keyword Map'!$G$3:$G$1002,MATCH(A189,'Keyword Map'!$AA$3:$AA$1002,0)),"")</f>
        <v/>
      </c>
      <c r="C189">
        <f>IF(B189="","",INDEX('Keyword Map'!$I$3:$I$1002,MATCH(A189,'Keyword Map'!$AA$3:$AA$1002,0))&amp;"")</f>
        <v/>
      </c>
      <c r="D189">
        <f>IF(B189="","",INDEX('Keyword Map'!$H$3:$H$1002,MATCH(A189,'Keyword Map'!$AA$3:$AA$1002,0))&amp;"")</f>
        <v/>
      </c>
      <c r="E189">
        <f>IF(B189="","",COUNTIF('Keyword Map'!$G$3:$G$1002,SUBSTITUTE(SUBSTITUTE(B189,"?","~?"),"*","~*")))</f>
        <v/>
      </c>
      <c r="F189">
        <f>IF(B189="","",COUNTIFS('Keyword Map'!$G$3:$G$1002,SUBSTITUTE(SUBSTITUTE(B189,"?","~?"),"*","~*"),'Keyword Map'!$J$3:$J$1002,"Primary"))</f>
        <v/>
      </c>
      <c r="G189">
        <f>IF(B189="","",SUMIFS('Keyword Map'!$C$3:$C$1002,'Keyword Map'!$G$3:$G$1002,SUBSTITUTE(SUBSTITUTE(B189,"?","~?"),"*","~*")))</f>
        <v/>
      </c>
      <c r="H189">
        <f>IF(B189="","",IFERROR(ROUND(AVERAGEIFS('Keyword Map'!$P$3:$P$1002,'Keyword Map'!$G$3:$G$1002,SUBSTITUTE(SUBSTITUTE(B189,"?","~?"),"*","~*")),0),""))</f>
        <v/>
      </c>
      <c r="I189">
        <f>IF(B189="","",COUNTIFS('Keyword Map'!$G$3:$G$1002,SUBSTITUTE(SUBSTITUTE(B189,"?","~?"),"*","~*"),'Keyword Map'!$R$3:$R$1002,"Yes"))</f>
        <v/>
      </c>
      <c r="J189">
        <f>IF(B189="","",COUNTIFS('Keyword Map'!$G$3:$G$1002,SUBSTITUTE(SUBSTITUTE(B189,"?","~?"),"*","~*"),'Keyword Map'!$W$3:$W$1002,"Yes"))</f>
        <v/>
      </c>
      <c r="K189">
        <f>IF(B189="","",IF(F189=0,"No primary keyword",IF(F189&gt;Settings!$B$4,"Too many primary keywords",IF(I189+J189&gt;0,"Check flags","OK"))))</f>
        <v/>
      </c>
    </row>
    <row r="190">
      <c r="A190">
        <f>ROW()-2</f>
        <v/>
      </c>
      <c r="B190">
        <f>IFERROR(INDEX('Keyword Map'!$G$3:$G$1002,MATCH(A190,'Keyword Map'!$AA$3:$AA$1002,0)),"")</f>
        <v/>
      </c>
      <c r="C190">
        <f>IF(B190="","",INDEX('Keyword Map'!$I$3:$I$1002,MATCH(A190,'Keyword Map'!$AA$3:$AA$1002,0))&amp;"")</f>
        <v/>
      </c>
      <c r="D190">
        <f>IF(B190="","",INDEX('Keyword Map'!$H$3:$H$1002,MATCH(A190,'Keyword Map'!$AA$3:$AA$1002,0))&amp;"")</f>
        <v/>
      </c>
      <c r="E190">
        <f>IF(B190="","",COUNTIF('Keyword Map'!$G$3:$G$1002,SUBSTITUTE(SUBSTITUTE(B190,"?","~?"),"*","~*")))</f>
        <v/>
      </c>
      <c r="F190">
        <f>IF(B190="","",COUNTIFS('Keyword Map'!$G$3:$G$1002,SUBSTITUTE(SUBSTITUTE(B190,"?","~?"),"*","~*"),'Keyword Map'!$J$3:$J$1002,"Primary"))</f>
        <v/>
      </c>
      <c r="G190">
        <f>IF(B190="","",SUMIFS('Keyword Map'!$C$3:$C$1002,'Keyword Map'!$G$3:$G$1002,SUBSTITUTE(SUBSTITUTE(B190,"?","~?"),"*","~*")))</f>
        <v/>
      </c>
      <c r="H190">
        <f>IF(B190="","",IFERROR(ROUND(AVERAGEIFS('Keyword Map'!$P$3:$P$1002,'Keyword Map'!$G$3:$G$1002,SUBSTITUTE(SUBSTITUTE(B190,"?","~?"),"*","~*")),0),""))</f>
        <v/>
      </c>
      <c r="I190">
        <f>IF(B190="","",COUNTIFS('Keyword Map'!$G$3:$G$1002,SUBSTITUTE(SUBSTITUTE(B190,"?","~?"),"*","~*"),'Keyword Map'!$R$3:$R$1002,"Yes"))</f>
        <v/>
      </c>
      <c r="J190">
        <f>IF(B190="","",COUNTIFS('Keyword Map'!$G$3:$G$1002,SUBSTITUTE(SUBSTITUTE(B190,"?","~?"),"*","~*"),'Keyword Map'!$W$3:$W$1002,"Yes"))</f>
        <v/>
      </c>
      <c r="K190">
        <f>IF(B190="","",IF(F190=0,"No primary keyword",IF(F190&gt;Settings!$B$4,"Too many primary keywords",IF(I190+J190&gt;0,"Check flags","OK"))))</f>
        <v/>
      </c>
    </row>
    <row r="191">
      <c r="A191">
        <f>ROW()-2</f>
        <v/>
      </c>
      <c r="B191">
        <f>IFERROR(INDEX('Keyword Map'!$G$3:$G$1002,MATCH(A191,'Keyword Map'!$AA$3:$AA$1002,0)),"")</f>
        <v/>
      </c>
      <c r="C191">
        <f>IF(B191="","",INDEX('Keyword Map'!$I$3:$I$1002,MATCH(A191,'Keyword Map'!$AA$3:$AA$1002,0))&amp;"")</f>
        <v/>
      </c>
      <c r="D191">
        <f>IF(B191="","",INDEX('Keyword Map'!$H$3:$H$1002,MATCH(A191,'Keyword Map'!$AA$3:$AA$1002,0))&amp;"")</f>
        <v/>
      </c>
      <c r="E191">
        <f>IF(B191="","",COUNTIF('Keyword Map'!$G$3:$G$1002,SUBSTITUTE(SUBSTITUTE(B191,"?","~?"),"*","~*")))</f>
        <v/>
      </c>
      <c r="F191">
        <f>IF(B191="","",COUNTIFS('Keyword Map'!$G$3:$G$1002,SUBSTITUTE(SUBSTITUTE(B191,"?","~?"),"*","~*"),'Keyword Map'!$J$3:$J$1002,"Primary"))</f>
        <v/>
      </c>
      <c r="G191">
        <f>IF(B191="","",SUMIFS('Keyword Map'!$C$3:$C$1002,'Keyword Map'!$G$3:$G$1002,SUBSTITUTE(SUBSTITUTE(B191,"?","~?"),"*","~*")))</f>
        <v/>
      </c>
      <c r="H191">
        <f>IF(B191="","",IFERROR(ROUND(AVERAGEIFS('Keyword Map'!$P$3:$P$1002,'Keyword Map'!$G$3:$G$1002,SUBSTITUTE(SUBSTITUTE(B191,"?","~?"),"*","~*")),0),""))</f>
        <v/>
      </c>
      <c r="I191">
        <f>IF(B191="","",COUNTIFS('Keyword Map'!$G$3:$G$1002,SUBSTITUTE(SUBSTITUTE(B191,"?","~?"),"*","~*"),'Keyword Map'!$R$3:$R$1002,"Yes"))</f>
        <v/>
      </c>
      <c r="J191">
        <f>IF(B191="","",COUNTIFS('Keyword Map'!$G$3:$G$1002,SUBSTITUTE(SUBSTITUTE(B191,"?","~?"),"*","~*"),'Keyword Map'!$W$3:$W$1002,"Yes"))</f>
        <v/>
      </c>
      <c r="K191">
        <f>IF(B191="","",IF(F191=0,"No primary keyword",IF(F191&gt;Settings!$B$4,"Too many primary keywords",IF(I191+J191&gt;0,"Check flags","OK"))))</f>
        <v/>
      </c>
    </row>
    <row r="192">
      <c r="A192">
        <f>ROW()-2</f>
        <v/>
      </c>
      <c r="B192">
        <f>IFERROR(INDEX('Keyword Map'!$G$3:$G$1002,MATCH(A192,'Keyword Map'!$AA$3:$AA$1002,0)),"")</f>
        <v/>
      </c>
      <c r="C192">
        <f>IF(B192="","",INDEX('Keyword Map'!$I$3:$I$1002,MATCH(A192,'Keyword Map'!$AA$3:$AA$1002,0))&amp;"")</f>
        <v/>
      </c>
      <c r="D192">
        <f>IF(B192="","",INDEX('Keyword Map'!$H$3:$H$1002,MATCH(A192,'Keyword Map'!$AA$3:$AA$1002,0))&amp;"")</f>
        <v/>
      </c>
      <c r="E192">
        <f>IF(B192="","",COUNTIF('Keyword Map'!$G$3:$G$1002,SUBSTITUTE(SUBSTITUTE(B192,"?","~?"),"*","~*")))</f>
        <v/>
      </c>
      <c r="F192">
        <f>IF(B192="","",COUNTIFS('Keyword Map'!$G$3:$G$1002,SUBSTITUTE(SUBSTITUTE(B192,"?","~?"),"*","~*"),'Keyword Map'!$J$3:$J$1002,"Primary"))</f>
        <v/>
      </c>
      <c r="G192">
        <f>IF(B192="","",SUMIFS('Keyword Map'!$C$3:$C$1002,'Keyword Map'!$G$3:$G$1002,SUBSTITUTE(SUBSTITUTE(B192,"?","~?"),"*","~*")))</f>
        <v/>
      </c>
      <c r="H192">
        <f>IF(B192="","",IFERROR(ROUND(AVERAGEIFS('Keyword Map'!$P$3:$P$1002,'Keyword Map'!$G$3:$G$1002,SUBSTITUTE(SUBSTITUTE(B192,"?","~?"),"*","~*")),0),""))</f>
        <v/>
      </c>
      <c r="I192">
        <f>IF(B192="","",COUNTIFS('Keyword Map'!$G$3:$G$1002,SUBSTITUTE(SUBSTITUTE(B192,"?","~?"),"*","~*"),'Keyword Map'!$R$3:$R$1002,"Yes"))</f>
        <v/>
      </c>
      <c r="J192">
        <f>IF(B192="","",COUNTIFS('Keyword Map'!$G$3:$G$1002,SUBSTITUTE(SUBSTITUTE(B192,"?","~?"),"*","~*"),'Keyword Map'!$W$3:$W$1002,"Yes"))</f>
        <v/>
      </c>
      <c r="K192">
        <f>IF(B192="","",IF(F192=0,"No primary keyword",IF(F192&gt;Settings!$B$4,"Too many primary keywords",IF(I192+J192&gt;0,"Check flags","OK"))))</f>
        <v/>
      </c>
    </row>
    <row r="193">
      <c r="A193">
        <f>ROW()-2</f>
        <v/>
      </c>
      <c r="B193">
        <f>IFERROR(INDEX('Keyword Map'!$G$3:$G$1002,MATCH(A193,'Keyword Map'!$AA$3:$AA$1002,0)),"")</f>
        <v/>
      </c>
      <c r="C193">
        <f>IF(B193="","",INDEX('Keyword Map'!$I$3:$I$1002,MATCH(A193,'Keyword Map'!$AA$3:$AA$1002,0))&amp;"")</f>
        <v/>
      </c>
      <c r="D193">
        <f>IF(B193="","",INDEX('Keyword Map'!$H$3:$H$1002,MATCH(A193,'Keyword Map'!$AA$3:$AA$1002,0))&amp;"")</f>
        <v/>
      </c>
      <c r="E193">
        <f>IF(B193="","",COUNTIF('Keyword Map'!$G$3:$G$1002,SUBSTITUTE(SUBSTITUTE(B193,"?","~?"),"*","~*")))</f>
        <v/>
      </c>
      <c r="F193">
        <f>IF(B193="","",COUNTIFS('Keyword Map'!$G$3:$G$1002,SUBSTITUTE(SUBSTITUTE(B193,"?","~?"),"*","~*"),'Keyword Map'!$J$3:$J$1002,"Primary"))</f>
        <v/>
      </c>
      <c r="G193">
        <f>IF(B193="","",SUMIFS('Keyword Map'!$C$3:$C$1002,'Keyword Map'!$G$3:$G$1002,SUBSTITUTE(SUBSTITUTE(B193,"?","~?"),"*","~*")))</f>
        <v/>
      </c>
      <c r="H193">
        <f>IF(B193="","",IFERROR(ROUND(AVERAGEIFS('Keyword Map'!$P$3:$P$1002,'Keyword Map'!$G$3:$G$1002,SUBSTITUTE(SUBSTITUTE(B193,"?","~?"),"*","~*")),0),""))</f>
        <v/>
      </c>
      <c r="I193">
        <f>IF(B193="","",COUNTIFS('Keyword Map'!$G$3:$G$1002,SUBSTITUTE(SUBSTITUTE(B193,"?","~?"),"*","~*"),'Keyword Map'!$R$3:$R$1002,"Yes"))</f>
        <v/>
      </c>
      <c r="J193">
        <f>IF(B193="","",COUNTIFS('Keyword Map'!$G$3:$G$1002,SUBSTITUTE(SUBSTITUTE(B193,"?","~?"),"*","~*"),'Keyword Map'!$W$3:$W$1002,"Yes"))</f>
        <v/>
      </c>
      <c r="K193">
        <f>IF(B193="","",IF(F193=0,"No primary keyword",IF(F193&gt;Settings!$B$4,"Too many primary keywords",IF(I193+J193&gt;0,"Check flags","OK"))))</f>
        <v/>
      </c>
    </row>
    <row r="194">
      <c r="A194">
        <f>ROW()-2</f>
        <v/>
      </c>
      <c r="B194">
        <f>IFERROR(INDEX('Keyword Map'!$G$3:$G$1002,MATCH(A194,'Keyword Map'!$AA$3:$AA$1002,0)),"")</f>
        <v/>
      </c>
      <c r="C194">
        <f>IF(B194="","",INDEX('Keyword Map'!$I$3:$I$1002,MATCH(A194,'Keyword Map'!$AA$3:$AA$1002,0))&amp;"")</f>
        <v/>
      </c>
      <c r="D194">
        <f>IF(B194="","",INDEX('Keyword Map'!$H$3:$H$1002,MATCH(A194,'Keyword Map'!$AA$3:$AA$1002,0))&amp;"")</f>
        <v/>
      </c>
      <c r="E194">
        <f>IF(B194="","",COUNTIF('Keyword Map'!$G$3:$G$1002,SUBSTITUTE(SUBSTITUTE(B194,"?","~?"),"*","~*")))</f>
        <v/>
      </c>
      <c r="F194">
        <f>IF(B194="","",COUNTIFS('Keyword Map'!$G$3:$G$1002,SUBSTITUTE(SUBSTITUTE(B194,"?","~?"),"*","~*"),'Keyword Map'!$J$3:$J$1002,"Primary"))</f>
        <v/>
      </c>
      <c r="G194">
        <f>IF(B194="","",SUMIFS('Keyword Map'!$C$3:$C$1002,'Keyword Map'!$G$3:$G$1002,SUBSTITUTE(SUBSTITUTE(B194,"?","~?"),"*","~*")))</f>
        <v/>
      </c>
      <c r="H194">
        <f>IF(B194="","",IFERROR(ROUND(AVERAGEIFS('Keyword Map'!$P$3:$P$1002,'Keyword Map'!$G$3:$G$1002,SUBSTITUTE(SUBSTITUTE(B194,"?","~?"),"*","~*")),0),""))</f>
        <v/>
      </c>
      <c r="I194">
        <f>IF(B194="","",COUNTIFS('Keyword Map'!$G$3:$G$1002,SUBSTITUTE(SUBSTITUTE(B194,"?","~?"),"*","~*"),'Keyword Map'!$R$3:$R$1002,"Yes"))</f>
        <v/>
      </c>
      <c r="J194">
        <f>IF(B194="","",COUNTIFS('Keyword Map'!$G$3:$G$1002,SUBSTITUTE(SUBSTITUTE(B194,"?","~?"),"*","~*"),'Keyword Map'!$W$3:$W$1002,"Yes"))</f>
        <v/>
      </c>
      <c r="K194">
        <f>IF(B194="","",IF(F194=0,"No primary keyword",IF(F194&gt;Settings!$B$4,"Too many primary keywords",IF(I194+J194&gt;0,"Check flags","OK"))))</f>
        <v/>
      </c>
    </row>
    <row r="195">
      <c r="A195">
        <f>ROW()-2</f>
        <v/>
      </c>
      <c r="B195">
        <f>IFERROR(INDEX('Keyword Map'!$G$3:$G$1002,MATCH(A195,'Keyword Map'!$AA$3:$AA$1002,0)),"")</f>
        <v/>
      </c>
      <c r="C195">
        <f>IF(B195="","",INDEX('Keyword Map'!$I$3:$I$1002,MATCH(A195,'Keyword Map'!$AA$3:$AA$1002,0))&amp;"")</f>
        <v/>
      </c>
      <c r="D195">
        <f>IF(B195="","",INDEX('Keyword Map'!$H$3:$H$1002,MATCH(A195,'Keyword Map'!$AA$3:$AA$1002,0))&amp;"")</f>
        <v/>
      </c>
      <c r="E195">
        <f>IF(B195="","",COUNTIF('Keyword Map'!$G$3:$G$1002,SUBSTITUTE(SUBSTITUTE(B195,"?","~?"),"*","~*")))</f>
        <v/>
      </c>
      <c r="F195">
        <f>IF(B195="","",COUNTIFS('Keyword Map'!$G$3:$G$1002,SUBSTITUTE(SUBSTITUTE(B195,"?","~?"),"*","~*"),'Keyword Map'!$J$3:$J$1002,"Primary"))</f>
        <v/>
      </c>
      <c r="G195">
        <f>IF(B195="","",SUMIFS('Keyword Map'!$C$3:$C$1002,'Keyword Map'!$G$3:$G$1002,SUBSTITUTE(SUBSTITUTE(B195,"?","~?"),"*","~*")))</f>
        <v/>
      </c>
      <c r="H195">
        <f>IF(B195="","",IFERROR(ROUND(AVERAGEIFS('Keyword Map'!$P$3:$P$1002,'Keyword Map'!$G$3:$G$1002,SUBSTITUTE(SUBSTITUTE(B195,"?","~?"),"*","~*")),0),""))</f>
        <v/>
      </c>
      <c r="I195">
        <f>IF(B195="","",COUNTIFS('Keyword Map'!$G$3:$G$1002,SUBSTITUTE(SUBSTITUTE(B195,"?","~?"),"*","~*"),'Keyword Map'!$R$3:$R$1002,"Yes"))</f>
        <v/>
      </c>
      <c r="J195">
        <f>IF(B195="","",COUNTIFS('Keyword Map'!$G$3:$G$1002,SUBSTITUTE(SUBSTITUTE(B195,"?","~?"),"*","~*"),'Keyword Map'!$W$3:$W$1002,"Yes"))</f>
        <v/>
      </c>
      <c r="K195">
        <f>IF(B195="","",IF(F195=0,"No primary keyword",IF(F195&gt;Settings!$B$4,"Too many primary keywords",IF(I195+J195&gt;0,"Check flags","OK"))))</f>
        <v/>
      </c>
    </row>
    <row r="196">
      <c r="A196">
        <f>ROW()-2</f>
        <v/>
      </c>
      <c r="B196">
        <f>IFERROR(INDEX('Keyword Map'!$G$3:$G$1002,MATCH(A196,'Keyword Map'!$AA$3:$AA$1002,0)),"")</f>
        <v/>
      </c>
      <c r="C196">
        <f>IF(B196="","",INDEX('Keyword Map'!$I$3:$I$1002,MATCH(A196,'Keyword Map'!$AA$3:$AA$1002,0))&amp;"")</f>
        <v/>
      </c>
      <c r="D196">
        <f>IF(B196="","",INDEX('Keyword Map'!$H$3:$H$1002,MATCH(A196,'Keyword Map'!$AA$3:$AA$1002,0))&amp;"")</f>
        <v/>
      </c>
      <c r="E196">
        <f>IF(B196="","",COUNTIF('Keyword Map'!$G$3:$G$1002,SUBSTITUTE(SUBSTITUTE(B196,"?","~?"),"*","~*")))</f>
        <v/>
      </c>
      <c r="F196">
        <f>IF(B196="","",COUNTIFS('Keyword Map'!$G$3:$G$1002,SUBSTITUTE(SUBSTITUTE(B196,"?","~?"),"*","~*"),'Keyword Map'!$J$3:$J$1002,"Primary"))</f>
        <v/>
      </c>
      <c r="G196">
        <f>IF(B196="","",SUMIFS('Keyword Map'!$C$3:$C$1002,'Keyword Map'!$G$3:$G$1002,SUBSTITUTE(SUBSTITUTE(B196,"?","~?"),"*","~*")))</f>
        <v/>
      </c>
      <c r="H196">
        <f>IF(B196="","",IFERROR(ROUND(AVERAGEIFS('Keyword Map'!$P$3:$P$1002,'Keyword Map'!$G$3:$G$1002,SUBSTITUTE(SUBSTITUTE(B196,"?","~?"),"*","~*")),0),""))</f>
        <v/>
      </c>
      <c r="I196">
        <f>IF(B196="","",COUNTIFS('Keyword Map'!$G$3:$G$1002,SUBSTITUTE(SUBSTITUTE(B196,"?","~?"),"*","~*"),'Keyword Map'!$R$3:$R$1002,"Yes"))</f>
        <v/>
      </c>
      <c r="J196">
        <f>IF(B196="","",COUNTIFS('Keyword Map'!$G$3:$G$1002,SUBSTITUTE(SUBSTITUTE(B196,"?","~?"),"*","~*"),'Keyword Map'!$W$3:$W$1002,"Yes"))</f>
        <v/>
      </c>
      <c r="K196">
        <f>IF(B196="","",IF(F196=0,"No primary keyword",IF(F196&gt;Settings!$B$4,"Too many primary keywords",IF(I196+J196&gt;0,"Check flags","OK"))))</f>
        <v/>
      </c>
    </row>
    <row r="197">
      <c r="A197">
        <f>ROW()-2</f>
        <v/>
      </c>
      <c r="B197">
        <f>IFERROR(INDEX('Keyword Map'!$G$3:$G$1002,MATCH(A197,'Keyword Map'!$AA$3:$AA$1002,0)),"")</f>
        <v/>
      </c>
      <c r="C197">
        <f>IF(B197="","",INDEX('Keyword Map'!$I$3:$I$1002,MATCH(A197,'Keyword Map'!$AA$3:$AA$1002,0))&amp;"")</f>
        <v/>
      </c>
      <c r="D197">
        <f>IF(B197="","",INDEX('Keyword Map'!$H$3:$H$1002,MATCH(A197,'Keyword Map'!$AA$3:$AA$1002,0))&amp;"")</f>
        <v/>
      </c>
      <c r="E197">
        <f>IF(B197="","",COUNTIF('Keyword Map'!$G$3:$G$1002,SUBSTITUTE(SUBSTITUTE(B197,"?","~?"),"*","~*")))</f>
        <v/>
      </c>
      <c r="F197">
        <f>IF(B197="","",COUNTIFS('Keyword Map'!$G$3:$G$1002,SUBSTITUTE(SUBSTITUTE(B197,"?","~?"),"*","~*"),'Keyword Map'!$J$3:$J$1002,"Primary"))</f>
        <v/>
      </c>
      <c r="G197">
        <f>IF(B197="","",SUMIFS('Keyword Map'!$C$3:$C$1002,'Keyword Map'!$G$3:$G$1002,SUBSTITUTE(SUBSTITUTE(B197,"?","~?"),"*","~*")))</f>
        <v/>
      </c>
      <c r="H197">
        <f>IF(B197="","",IFERROR(ROUND(AVERAGEIFS('Keyword Map'!$P$3:$P$1002,'Keyword Map'!$G$3:$G$1002,SUBSTITUTE(SUBSTITUTE(B197,"?","~?"),"*","~*")),0),""))</f>
        <v/>
      </c>
      <c r="I197">
        <f>IF(B197="","",COUNTIFS('Keyword Map'!$G$3:$G$1002,SUBSTITUTE(SUBSTITUTE(B197,"?","~?"),"*","~*"),'Keyword Map'!$R$3:$R$1002,"Yes"))</f>
        <v/>
      </c>
      <c r="J197">
        <f>IF(B197="","",COUNTIFS('Keyword Map'!$G$3:$G$1002,SUBSTITUTE(SUBSTITUTE(B197,"?","~?"),"*","~*"),'Keyword Map'!$W$3:$W$1002,"Yes"))</f>
        <v/>
      </c>
      <c r="K197">
        <f>IF(B197="","",IF(F197=0,"No primary keyword",IF(F197&gt;Settings!$B$4,"Too many primary keywords",IF(I197+J197&gt;0,"Check flags","OK"))))</f>
        <v/>
      </c>
    </row>
    <row r="198">
      <c r="A198">
        <f>ROW()-2</f>
        <v/>
      </c>
      <c r="B198">
        <f>IFERROR(INDEX('Keyword Map'!$G$3:$G$1002,MATCH(A198,'Keyword Map'!$AA$3:$AA$1002,0)),"")</f>
        <v/>
      </c>
      <c r="C198">
        <f>IF(B198="","",INDEX('Keyword Map'!$I$3:$I$1002,MATCH(A198,'Keyword Map'!$AA$3:$AA$1002,0))&amp;"")</f>
        <v/>
      </c>
      <c r="D198">
        <f>IF(B198="","",INDEX('Keyword Map'!$H$3:$H$1002,MATCH(A198,'Keyword Map'!$AA$3:$AA$1002,0))&amp;"")</f>
        <v/>
      </c>
      <c r="E198">
        <f>IF(B198="","",COUNTIF('Keyword Map'!$G$3:$G$1002,SUBSTITUTE(SUBSTITUTE(B198,"?","~?"),"*","~*")))</f>
        <v/>
      </c>
      <c r="F198">
        <f>IF(B198="","",COUNTIFS('Keyword Map'!$G$3:$G$1002,SUBSTITUTE(SUBSTITUTE(B198,"?","~?"),"*","~*"),'Keyword Map'!$J$3:$J$1002,"Primary"))</f>
        <v/>
      </c>
      <c r="G198">
        <f>IF(B198="","",SUMIFS('Keyword Map'!$C$3:$C$1002,'Keyword Map'!$G$3:$G$1002,SUBSTITUTE(SUBSTITUTE(B198,"?","~?"),"*","~*")))</f>
        <v/>
      </c>
      <c r="H198">
        <f>IF(B198="","",IFERROR(ROUND(AVERAGEIFS('Keyword Map'!$P$3:$P$1002,'Keyword Map'!$G$3:$G$1002,SUBSTITUTE(SUBSTITUTE(B198,"?","~?"),"*","~*")),0),""))</f>
        <v/>
      </c>
      <c r="I198">
        <f>IF(B198="","",COUNTIFS('Keyword Map'!$G$3:$G$1002,SUBSTITUTE(SUBSTITUTE(B198,"?","~?"),"*","~*"),'Keyword Map'!$R$3:$R$1002,"Yes"))</f>
        <v/>
      </c>
      <c r="J198">
        <f>IF(B198="","",COUNTIFS('Keyword Map'!$G$3:$G$1002,SUBSTITUTE(SUBSTITUTE(B198,"?","~?"),"*","~*"),'Keyword Map'!$W$3:$W$1002,"Yes"))</f>
        <v/>
      </c>
      <c r="K198">
        <f>IF(B198="","",IF(F198=0,"No primary keyword",IF(F198&gt;Settings!$B$4,"Too many primary keywords",IF(I198+J198&gt;0,"Check flags","OK"))))</f>
        <v/>
      </c>
    </row>
    <row r="199">
      <c r="A199">
        <f>ROW()-2</f>
        <v/>
      </c>
      <c r="B199">
        <f>IFERROR(INDEX('Keyword Map'!$G$3:$G$1002,MATCH(A199,'Keyword Map'!$AA$3:$AA$1002,0)),"")</f>
        <v/>
      </c>
      <c r="C199">
        <f>IF(B199="","",INDEX('Keyword Map'!$I$3:$I$1002,MATCH(A199,'Keyword Map'!$AA$3:$AA$1002,0))&amp;"")</f>
        <v/>
      </c>
      <c r="D199">
        <f>IF(B199="","",INDEX('Keyword Map'!$H$3:$H$1002,MATCH(A199,'Keyword Map'!$AA$3:$AA$1002,0))&amp;"")</f>
        <v/>
      </c>
      <c r="E199">
        <f>IF(B199="","",COUNTIF('Keyword Map'!$G$3:$G$1002,SUBSTITUTE(SUBSTITUTE(B199,"?","~?"),"*","~*")))</f>
        <v/>
      </c>
      <c r="F199">
        <f>IF(B199="","",COUNTIFS('Keyword Map'!$G$3:$G$1002,SUBSTITUTE(SUBSTITUTE(B199,"?","~?"),"*","~*"),'Keyword Map'!$J$3:$J$1002,"Primary"))</f>
        <v/>
      </c>
      <c r="G199">
        <f>IF(B199="","",SUMIFS('Keyword Map'!$C$3:$C$1002,'Keyword Map'!$G$3:$G$1002,SUBSTITUTE(SUBSTITUTE(B199,"?","~?"),"*","~*")))</f>
        <v/>
      </c>
      <c r="H199">
        <f>IF(B199="","",IFERROR(ROUND(AVERAGEIFS('Keyword Map'!$P$3:$P$1002,'Keyword Map'!$G$3:$G$1002,SUBSTITUTE(SUBSTITUTE(B199,"?","~?"),"*","~*")),0),""))</f>
        <v/>
      </c>
      <c r="I199">
        <f>IF(B199="","",COUNTIFS('Keyword Map'!$G$3:$G$1002,SUBSTITUTE(SUBSTITUTE(B199,"?","~?"),"*","~*"),'Keyword Map'!$R$3:$R$1002,"Yes"))</f>
        <v/>
      </c>
      <c r="J199">
        <f>IF(B199="","",COUNTIFS('Keyword Map'!$G$3:$G$1002,SUBSTITUTE(SUBSTITUTE(B199,"?","~?"),"*","~*"),'Keyword Map'!$W$3:$W$1002,"Yes"))</f>
        <v/>
      </c>
      <c r="K199">
        <f>IF(B199="","",IF(F199=0,"No primary keyword",IF(F199&gt;Settings!$B$4,"Too many primary keywords",IF(I199+J199&gt;0,"Check flags","OK"))))</f>
        <v/>
      </c>
    </row>
    <row r="200">
      <c r="A200">
        <f>ROW()-2</f>
        <v/>
      </c>
      <c r="B200">
        <f>IFERROR(INDEX('Keyword Map'!$G$3:$G$1002,MATCH(A200,'Keyword Map'!$AA$3:$AA$1002,0)),"")</f>
        <v/>
      </c>
      <c r="C200">
        <f>IF(B200="","",INDEX('Keyword Map'!$I$3:$I$1002,MATCH(A200,'Keyword Map'!$AA$3:$AA$1002,0))&amp;"")</f>
        <v/>
      </c>
      <c r="D200">
        <f>IF(B200="","",INDEX('Keyword Map'!$H$3:$H$1002,MATCH(A200,'Keyword Map'!$AA$3:$AA$1002,0))&amp;"")</f>
        <v/>
      </c>
      <c r="E200">
        <f>IF(B200="","",COUNTIF('Keyword Map'!$G$3:$G$1002,SUBSTITUTE(SUBSTITUTE(B200,"?","~?"),"*","~*")))</f>
        <v/>
      </c>
      <c r="F200">
        <f>IF(B200="","",COUNTIFS('Keyword Map'!$G$3:$G$1002,SUBSTITUTE(SUBSTITUTE(B200,"?","~?"),"*","~*"),'Keyword Map'!$J$3:$J$1002,"Primary"))</f>
        <v/>
      </c>
      <c r="G200">
        <f>IF(B200="","",SUMIFS('Keyword Map'!$C$3:$C$1002,'Keyword Map'!$G$3:$G$1002,SUBSTITUTE(SUBSTITUTE(B200,"?","~?"),"*","~*")))</f>
        <v/>
      </c>
      <c r="H200">
        <f>IF(B200="","",IFERROR(ROUND(AVERAGEIFS('Keyword Map'!$P$3:$P$1002,'Keyword Map'!$G$3:$G$1002,SUBSTITUTE(SUBSTITUTE(B200,"?","~?"),"*","~*")),0),""))</f>
        <v/>
      </c>
      <c r="I200">
        <f>IF(B200="","",COUNTIFS('Keyword Map'!$G$3:$G$1002,SUBSTITUTE(SUBSTITUTE(B200,"?","~?"),"*","~*"),'Keyword Map'!$R$3:$R$1002,"Yes"))</f>
        <v/>
      </c>
      <c r="J200">
        <f>IF(B200="","",COUNTIFS('Keyword Map'!$G$3:$G$1002,SUBSTITUTE(SUBSTITUTE(B200,"?","~?"),"*","~*"),'Keyword Map'!$W$3:$W$1002,"Yes"))</f>
        <v/>
      </c>
      <c r="K200">
        <f>IF(B200="","",IF(F200=0,"No primary keyword",IF(F200&gt;Settings!$B$4,"Too many primary keywords",IF(I200+J200&gt;0,"Check flags","OK"))))</f>
        <v/>
      </c>
    </row>
    <row r="201">
      <c r="A201">
        <f>ROW()-2</f>
        <v/>
      </c>
      <c r="B201">
        <f>IFERROR(INDEX('Keyword Map'!$G$3:$G$1002,MATCH(A201,'Keyword Map'!$AA$3:$AA$1002,0)),"")</f>
        <v/>
      </c>
      <c r="C201">
        <f>IF(B201="","",INDEX('Keyword Map'!$I$3:$I$1002,MATCH(A201,'Keyword Map'!$AA$3:$AA$1002,0))&amp;"")</f>
        <v/>
      </c>
      <c r="D201">
        <f>IF(B201="","",INDEX('Keyword Map'!$H$3:$H$1002,MATCH(A201,'Keyword Map'!$AA$3:$AA$1002,0))&amp;"")</f>
        <v/>
      </c>
      <c r="E201">
        <f>IF(B201="","",COUNTIF('Keyword Map'!$G$3:$G$1002,SUBSTITUTE(SUBSTITUTE(B201,"?","~?"),"*","~*")))</f>
        <v/>
      </c>
      <c r="F201">
        <f>IF(B201="","",COUNTIFS('Keyword Map'!$G$3:$G$1002,SUBSTITUTE(SUBSTITUTE(B201,"?","~?"),"*","~*"),'Keyword Map'!$J$3:$J$1002,"Primary"))</f>
        <v/>
      </c>
      <c r="G201">
        <f>IF(B201="","",SUMIFS('Keyword Map'!$C$3:$C$1002,'Keyword Map'!$G$3:$G$1002,SUBSTITUTE(SUBSTITUTE(B201,"?","~?"),"*","~*")))</f>
        <v/>
      </c>
      <c r="H201">
        <f>IF(B201="","",IFERROR(ROUND(AVERAGEIFS('Keyword Map'!$P$3:$P$1002,'Keyword Map'!$G$3:$G$1002,SUBSTITUTE(SUBSTITUTE(B201,"?","~?"),"*","~*")),0),""))</f>
        <v/>
      </c>
      <c r="I201">
        <f>IF(B201="","",COUNTIFS('Keyword Map'!$G$3:$G$1002,SUBSTITUTE(SUBSTITUTE(B201,"?","~?"),"*","~*"),'Keyword Map'!$R$3:$R$1002,"Yes"))</f>
        <v/>
      </c>
      <c r="J201">
        <f>IF(B201="","",COUNTIFS('Keyword Map'!$G$3:$G$1002,SUBSTITUTE(SUBSTITUTE(B201,"?","~?"),"*","~*"),'Keyword Map'!$W$3:$W$1002,"Yes"))</f>
        <v/>
      </c>
      <c r="K201">
        <f>IF(B201="","",IF(F201=0,"No primary keyword",IF(F201&gt;Settings!$B$4,"Too many primary keywords",IF(I201+J201&gt;0,"Check flags","OK"))))</f>
        <v/>
      </c>
    </row>
    <row r="202">
      <c r="A202">
        <f>ROW()-2</f>
        <v/>
      </c>
      <c r="B202">
        <f>IFERROR(INDEX('Keyword Map'!$G$3:$G$1002,MATCH(A202,'Keyword Map'!$AA$3:$AA$1002,0)),"")</f>
        <v/>
      </c>
      <c r="C202">
        <f>IF(B202="","",INDEX('Keyword Map'!$I$3:$I$1002,MATCH(A202,'Keyword Map'!$AA$3:$AA$1002,0))&amp;"")</f>
        <v/>
      </c>
      <c r="D202">
        <f>IF(B202="","",INDEX('Keyword Map'!$H$3:$H$1002,MATCH(A202,'Keyword Map'!$AA$3:$AA$1002,0))&amp;"")</f>
        <v/>
      </c>
      <c r="E202">
        <f>IF(B202="","",COUNTIF('Keyword Map'!$G$3:$G$1002,SUBSTITUTE(SUBSTITUTE(B202,"?","~?"),"*","~*")))</f>
        <v/>
      </c>
      <c r="F202">
        <f>IF(B202="","",COUNTIFS('Keyword Map'!$G$3:$G$1002,SUBSTITUTE(SUBSTITUTE(B202,"?","~?"),"*","~*"),'Keyword Map'!$J$3:$J$1002,"Primary"))</f>
        <v/>
      </c>
      <c r="G202">
        <f>IF(B202="","",SUMIFS('Keyword Map'!$C$3:$C$1002,'Keyword Map'!$G$3:$G$1002,SUBSTITUTE(SUBSTITUTE(B202,"?","~?"),"*","~*")))</f>
        <v/>
      </c>
      <c r="H202">
        <f>IF(B202="","",IFERROR(ROUND(AVERAGEIFS('Keyword Map'!$P$3:$P$1002,'Keyword Map'!$G$3:$G$1002,SUBSTITUTE(SUBSTITUTE(B202,"?","~?"),"*","~*")),0),""))</f>
        <v/>
      </c>
      <c r="I202">
        <f>IF(B202="","",COUNTIFS('Keyword Map'!$G$3:$G$1002,SUBSTITUTE(SUBSTITUTE(B202,"?","~?"),"*","~*"),'Keyword Map'!$R$3:$R$1002,"Yes"))</f>
        <v/>
      </c>
      <c r="J202">
        <f>IF(B202="","",COUNTIFS('Keyword Map'!$G$3:$G$1002,SUBSTITUTE(SUBSTITUTE(B202,"?","~?"),"*","~*"),'Keyword Map'!$W$3:$W$1002,"Yes"))</f>
        <v/>
      </c>
      <c r="K202">
        <f>IF(B202="","",IF(F202=0,"No primary keyword",IF(F202&gt;Settings!$B$4,"Too many primary keywords",IF(I202+J202&gt;0,"Check flags","OK"))))</f>
        <v/>
      </c>
    </row>
    <row r="203">
      <c r="A203">
        <f>ROW()-2</f>
        <v/>
      </c>
      <c r="B203">
        <f>IFERROR(INDEX('Keyword Map'!$G$3:$G$1002,MATCH(A203,'Keyword Map'!$AA$3:$AA$1002,0)),"")</f>
        <v/>
      </c>
      <c r="C203">
        <f>IF(B203="","",INDEX('Keyword Map'!$I$3:$I$1002,MATCH(A203,'Keyword Map'!$AA$3:$AA$1002,0))&amp;"")</f>
        <v/>
      </c>
      <c r="D203">
        <f>IF(B203="","",INDEX('Keyword Map'!$H$3:$H$1002,MATCH(A203,'Keyword Map'!$AA$3:$AA$1002,0))&amp;"")</f>
        <v/>
      </c>
      <c r="E203">
        <f>IF(B203="","",COUNTIF('Keyword Map'!$G$3:$G$1002,SUBSTITUTE(SUBSTITUTE(B203,"?","~?"),"*","~*")))</f>
        <v/>
      </c>
      <c r="F203">
        <f>IF(B203="","",COUNTIFS('Keyword Map'!$G$3:$G$1002,SUBSTITUTE(SUBSTITUTE(B203,"?","~?"),"*","~*"),'Keyword Map'!$J$3:$J$1002,"Primary"))</f>
        <v/>
      </c>
      <c r="G203">
        <f>IF(B203="","",SUMIFS('Keyword Map'!$C$3:$C$1002,'Keyword Map'!$G$3:$G$1002,SUBSTITUTE(SUBSTITUTE(B203,"?","~?"),"*","~*")))</f>
        <v/>
      </c>
      <c r="H203">
        <f>IF(B203="","",IFERROR(ROUND(AVERAGEIFS('Keyword Map'!$P$3:$P$1002,'Keyword Map'!$G$3:$G$1002,SUBSTITUTE(SUBSTITUTE(B203,"?","~?"),"*","~*")),0),""))</f>
        <v/>
      </c>
      <c r="I203">
        <f>IF(B203="","",COUNTIFS('Keyword Map'!$G$3:$G$1002,SUBSTITUTE(SUBSTITUTE(B203,"?","~?"),"*","~*"),'Keyword Map'!$R$3:$R$1002,"Yes"))</f>
        <v/>
      </c>
      <c r="J203">
        <f>IF(B203="","",COUNTIFS('Keyword Map'!$G$3:$G$1002,SUBSTITUTE(SUBSTITUTE(B203,"?","~?"),"*","~*"),'Keyword Map'!$W$3:$W$1002,"Yes"))</f>
        <v/>
      </c>
      <c r="K203">
        <f>IF(B203="","",IF(F203=0,"No primary keyword",IF(F203&gt;Settings!$B$4,"Too many primary keywords",IF(I203+J203&gt;0,"Check flags","OK"))))</f>
        <v/>
      </c>
    </row>
    <row r="204">
      <c r="A204">
        <f>ROW()-2</f>
        <v/>
      </c>
      <c r="B204">
        <f>IFERROR(INDEX('Keyword Map'!$G$3:$G$1002,MATCH(A204,'Keyword Map'!$AA$3:$AA$1002,0)),"")</f>
        <v/>
      </c>
      <c r="C204">
        <f>IF(B204="","",INDEX('Keyword Map'!$I$3:$I$1002,MATCH(A204,'Keyword Map'!$AA$3:$AA$1002,0))&amp;"")</f>
        <v/>
      </c>
      <c r="D204">
        <f>IF(B204="","",INDEX('Keyword Map'!$H$3:$H$1002,MATCH(A204,'Keyword Map'!$AA$3:$AA$1002,0))&amp;"")</f>
        <v/>
      </c>
      <c r="E204">
        <f>IF(B204="","",COUNTIF('Keyword Map'!$G$3:$G$1002,SUBSTITUTE(SUBSTITUTE(B204,"?","~?"),"*","~*")))</f>
        <v/>
      </c>
      <c r="F204">
        <f>IF(B204="","",COUNTIFS('Keyword Map'!$G$3:$G$1002,SUBSTITUTE(SUBSTITUTE(B204,"?","~?"),"*","~*"),'Keyword Map'!$J$3:$J$1002,"Primary"))</f>
        <v/>
      </c>
      <c r="G204">
        <f>IF(B204="","",SUMIFS('Keyword Map'!$C$3:$C$1002,'Keyword Map'!$G$3:$G$1002,SUBSTITUTE(SUBSTITUTE(B204,"?","~?"),"*","~*")))</f>
        <v/>
      </c>
      <c r="H204">
        <f>IF(B204="","",IFERROR(ROUND(AVERAGEIFS('Keyword Map'!$P$3:$P$1002,'Keyword Map'!$G$3:$G$1002,SUBSTITUTE(SUBSTITUTE(B204,"?","~?"),"*","~*")),0),""))</f>
        <v/>
      </c>
      <c r="I204">
        <f>IF(B204="","",COUNTIFS('Keyword Map'!$G$3:$G$1002,SUBSTITUTE(SUBSTITUTE(B204,"?","~?"),"*","~*"),'Keyword Map'!$R$3:$R$1002,"Yes"))</f>
        <v/>
      </c>
      <c r="J204">
        <f>IF(B204="","",COUNTIFS('Keyword Map'!$G$3:$G$1002,SUBSTITUTE(SUBSTITUTE(B204,"?","~?"),"*","~*"),'Keyword Map'!$W$3:$W$1002,"Yes"))</f>
        <v/>
      </c>
      <c r="K204">
        <f>IF(B204="","",IF(F204=0,"No primary keyword",IF(F204&gt;Settings!$B$4,"Too many primary keywords",IF(I204+J204&gt;0,"Check flags","OK"))))</f>
        <v/>
      </c>
    </row>
    <row r="205">
      <c r="A205">
        <f>ROW()-2</f>
        <v/>
      </c>
      <c r="B205">
        <f>IFERROR(INDEX('Keyword Map'!$G$3:$G$1002,MATCH(A205,'Keyword Map'!$AA$3:$AA$1002,0)),"")</f>
        <v/>
      </c>
      <c r="C205">
        <f>IF(B205="","",INDEX('Keyword Map'!$I$3:$I$1002,MATCH(A205,'Keyword Map'!$AA$3:$AA$1002,0))&amp;"")</f>
        <v/>
      </c>
      <c r="D205">
        <f>IF(B205="","",INDEX('Keyword Map'!$H$3:$H$1002,MATCH(A205,'Keyword Map'!$AA$3:$AA$1002,0))&amp;"")</f>
        <v/>
      </c>
      <c r="E205">
        <f>IF(B205="","",COUNTIF('Keyword Map'!$G$3:$G$1002,SUBSTITUTE(SUBSTITUTE(B205,"?","~?"),"*","~*")))</f>
        <v/>
      </c>
      <c r="F205">
        <f>IF(B205="","",COUNTIFS('Keyword Map'!$G$3:$G$1002,SUBSTITUTE(SUBSTITUTE(B205,"?","~?"),"*","~*"),'Keyword Map'!$J$3:$J$1002,"Primary"))</f>
        <v/>
      </c>
      <c r="G205">
        <f>IF(B205="","",SUMIFS('Keyword Map'!$C$3:$C$1002,'Keyword Map'!$G$3:$G$1002,SUBSTITUTE(SUBSTITUTE(B205,"?","~?"),"*","~*")))</f>
        <v/>
      </c>
      <c r="H205">
        <f>IF(B205="","",IFERROR(ROUND(AVERAGEIFS('Keyword Map'!$P$3:$P$1002,'Keyword Map'!$G$3:$G$1002,SUBSTITUTE(SUBSTITUTE(B205,"?","~?"),"*","~*")),0),""))</f>
        <v/>
      </c>
      <c r="I205">
        <f>IF(B205="","",COUNTIFS('Keyword Map'!$G$3:$G$1002,SUBSTITUTE(SUBSTITUTE(B205,"?","~?"),"*","~*"),'Keyword Map'!$R$3:$R$1002,"Yes"))</f>
        <v/>
      </c>
      <c r="J205">
        <f>IF(B205="","",COUNTIFS('Keyword Map'!$G$3:$G$1002,SUBSTITUTE(SUBSTITUTE(B205,"?","~?"),"*","~*"),'Keyword Map'!$W$3:$W$1002,"Yes"))</f>
        <v/>
      </c>
      <c r="K205">
        <f>IF(B205="","",IF(F205=0,"No primary keyword",IF(F205&gt;Settings!$B$4,"Too many primary keywords",IF(I205+J205&gt;0,"Check flags","OK"))))</f>
        <v/>
      </c>
    </row>
    <row r="206">
      <c r="A206">
        <f>ROW()-2</f>
        <v/>
      </c>
      <c r="B206">
        <f>IFERROR(INDEX('Keyword Map'!$G$3:$G$1002,MATCH(A206,'Keyword Map'!$AA$3:$AA$1002,0)),"")</f>
        <v/>
      </c>
      <c r="C206">
        <f>IF(B206="","",INDEX('Keyword Map'!$I$3:$I$1002,MATCH(A206,'Keyword Map'!$AA$3:$AA$1002,0))&amp;"")</f>
        <v/>
      </c>
      <c r="D206">
        <f>IF(B206="","",INDEX('Keyword Map'!$H$3:$H$1002,MATCH(A206,'Keyword Map'!$AA$3:$AA$1002,0))&amp;"")</f>
        <v/>
      </c>
      <c r="E206">
        <f>IF(B206="","",COUNTIF('Keyword Map'!$G$3:$G$1002,SUBSTITUTE(SUBSTITUTE(B206,"?","~?"),"*","~*")))</f>
        <v/>
      </c>
      <c r="F206">
        <f>IF(B206="","",COUNTIFS('Keyword Map'!$G$3:$G$1002,SUBSTITUTE(SUBSTITUTE(B206,"?","~?"),"*","~*"),'Keyword Map'!$J$3:$J$1002,"Primary"))</f>
        <v/>
      </c>
      <c r="G206">
        <f>IF(B206="","",SUMIFS('Keyword Map'!$C$3:$C$1002,'Keyword Map'!$G$3:$G$1002,SUBSTITUTE(SUBSTITUTE(B206,"?","~?"),"*","~*")))</f>
        <v/>
      </c>
      <c r="H206">
        <f>IF(B206="","",IFERROR(ROUND(AVERAGEIFS('Keyword Map'!$P$3:$P$1002,'Keyword Map'!$G$3:$G$1002,SUBSTITUTE(SUBSTITUTE(B206,"?","~?"),"*","~*")),0),""))</f>
        <v/>
      </c>
      <c r="I206">
        <f>IF(B206="","",COUNTIFS('Keyword Map'!$G$3:$G$1002,SUBSTITUTE(SUBSTITUTE(B206,"?","~?"),"*","~*"),'Keyword Map'!$R$3:$R$1002,"Yes"))</f>
        <v/>
      </c>
      <c r="J206">
        <f>IF(B206="","",COUNTIFS('Keyword Map'!$G$3:$G$1002,SUBSTITUTE(SUBSTITUTE(B206,"?","~?"),"*","~*"),'Keyword Map'!$W$3:$W$1002,"Yes"))</f>
        <v/>
      </c>
      <c r="K206">
        <f>IF(B206="","",IF(F206=0,"No primary keyword",IF(F206&gt;Settings!$B$4,"Too many primary keywords",IF(I206+J206&gt;0,"Check flags","OK"))))</f>
        <v/>
      </c>
    </row>
    <row r="207">
      <c r="A207">
        <f>ROW()-2</f>
        <v/>
      </c>
      <c r="B207">
        <f>IFERROR(INDEX('Keyword Map'!$G$3:$G$1002,MATCH(A207,'Keyword Map'!$AA$3:$AA$1002,0)),"")</f>
        <v/>
      </c>
      <c r="C207">
        <f>IF(B207="","",INDEX('Keyword Map'!$I$3:$I$1002,MATCH(A207,'Keyword Map'!$AA$3:$AA$1002,0))&amp;"")</f>
        <v/>
      </c>
      <c r="D207">
        <f>IF(B207="","",INDEX('Keyword Map'!$H$3:$H$1002,MATCH(A207,'Keyword Map'!$AA$3:$AA$1002,0))&amp;"")</f>
        <v/>
      </c>
      <c r="E207">
        <f>IF(B207="","",COUNTIF('Keyword Map'!$G$3:$G$1002,SUBSTITUTE(SUBSTITUTE(B207,"?","~?"),"*","~*")))</f>
        <v/>
      </c>
      <c r="F207">
        <f>IF(B207="","",COUNTIFS('Keyword Map'!$G$3:$G$1002,SUBSTITUTE(SUBSTITUTE(B207,"?","~?"),"*","~*"),'Keyword Map'!$J$3:$J$1002,"Primary"))</f>
        <v/>
      </c>
      <c r="G207">
        <f>IF(B207="","",SUMIFS('Keyword Map'!$C$3:$C$1002,'Keyword Map'!$G$3:$G$1002,SUBSTITUTE(SUBSTITUTE(B207,"?","~?"),"*","~*")))</f>
        <v/>
      </c>
      <c r="H207">
        <f>IF(B207="","",IFERROR(ROUND(AVERAGEIFS('Keyword Map'!$P$3:$P$1002,'Keyword Map'!$G$3:$G$1002,SUBSTITUTE(SUBSTITUTE(B207,"?","~?"),"*","~*")),0),""))</f>
        <v/>
      </c>
      <c r="I207">
        <f>IF(B207="","",COUNTIFS('Keyword Map'!$G$3:$G$1002,SUBSTITUTE(SUBSTITUTE(B207,"?","~?"),"*","~*"),'Keyword Map'!$R$3:$R$1002,"Yes"))</f>
        <v/>
      </c>
      <c r="J207">
        <f>IF(B207="","",COUNTIFS('Keyword Map'!$G$3:$G$1002,SUBSTITUTE(SUBSTITUTE(B207,"?","~?"),"*","~*"),'Keyword Map'!$W$3:$W$1002,"Yes"))</f>
        <v/>
      </c>
      <c r="K207">
        <f>IF(B207="","",IF(F207=0,"No primary keyword",IF(F207&gt;Settings!$B$4,"Too many primary keywords",IF(I207+J207&gt;0,"Check flags","OK"))))</f>
        <v/>
      </c>
    </row>
    <row r="208">
      <c r="A208">
        <f>ROW()-2</f>
        <v/>
      </c>
      <c r="B208">
        <f>IFERROR(INDEX('Keyword Map'!$G$3:$G$1002,MATCH(A208,'Keyword Map'!$AA$3:$AA$1002,0)),"")</f>
        <v/>
      </c>
      <c r="C208">
        <f>IF(B208="","",INDEX('Keyword Map'!$I$3:$I$1002,MATCH(A208,'Keyword Map'!$AA$3:$AA$1002,0))&amp;"")</f>
        <v/>
      </c>
      <c r="D208">
        <f>IF(B208="","",INDEX('Keyword Map'!$H$3:$H$1002,MATCH(A208,'Keyword Map'!$AA$3:$AA$1002,0))&amp;"")</f>
        <v/>
      </c>
      <c r="E208">
        <f>IF(B208="","",COUNTIF('Keyword Map'!$G$3:$G$1002,SUBSTITUTE(SUBSTITUTE(B208,"?","~?"),"*","~*")))</f>
        <v/>
      </c>
      <c r="F208">
        <f>IF(B208="","",COUNTIFS('Keyword Map'!$G$3:$G$1002,SUBSTITUTE(SUBSTITUTE(B208,"?","~?"),"*","~*"),'Keyword Map'!$J$3:$J$1002,"Primary"))</f>
        <v/>
      </c>
      <c r="G208">
        <f>IF(B208="","",SUMIFS('Keyword Map'!$C$3:$C$1002,'Keyword Map'!$G$3:$G$1002,SUBSTITUTE(SUBSTITUTE(B208,"?","~?"),"*","~*")))</f>
        <v/>
      </c>
      <c r="H208">
        <f>IF(B208="","",IFERROR(ROUND(AVERAGEIFS('Keyword Map'!$P$3:$P$1002,'Keyword Map'!$G$3:$G$1002,SUBSTITUTE(SUBSTITUTE(B208,"?","~?"),"*","~*")),0),""))</f>
        <v/>
      </c>
      <c r="I208">
        <f>IF(B208="","",COUNTIFS('Keyword Map'!$G$3:$G$1002,SUBSTITUTE(SUBSTITUTE(B208,"?","~?"),"*","~*"),'Keyword Map'!$R$3:$R$1002,"Yes"))</f>
        <v/>
      </c>
      <c r="J208">
        <f>IF(B208="","",COUNTIFS('Keyword Map'!$G$3:$G$1002,SUBSTITUTE(SUBSTITUTE(B208,"?","~?"),"*","~*"),'Keyword Map'!$W$3:$W$1002,"Yes"))</f>
        <v/>
      </c>
      <c r="K208">
        <f>IF(B208="","",IF(F208=0,"No primary keyword",IF(F208&gt;Settings!$B$4,"Too many primary keywords",IF(I208+J208&gt;0,"Check flags","OK"))))</f>
        <v/>
      </c>
    </row>
    <row r="209">
      <c r="A209">
        <f>ROW()-2</f>
        <v/>
      </c>
      <c r="B209">
        <f>IFERROR(INDEX('Keyword Map'!$G$3:$G$1002,MATCH(A209,'Keyword Map'!$AA$3:$AA$1002,0)),"")</f>
        <v/>
      </c>
      <c r="C209">
        <f>IF(B209="","",INDEX('Keyword Map'!$I$3:$I$1002,MATCH(A209,'Keyword Map'!$AA$3:$AA$1002,0))&amp;"")</f>
        <v/>
      </c>
      <c r="D209">
        <f>IF(B209="","",INDEX('Keyword Map'!$H$3:$H$1002,MATCH(A209,'Keyword Map'!$AA$3:$AA$1002,0))&amp;"")</f>
        <v/>
      </c>
      <c r="E209">
        <f>IF(B209="","",COUNTIF('Keyword Map'!$G$3:$G$1002,SUBSTITUTE(SUBSTITUTE(B209,"?","~?"),"*","~*")))</f>
        <v/>
      </c>
      <c r="F209">
        <f>IF(B209="","",COUNTIFS('Keyword Map'!$G$3:$G$1002,SUBSTITUTE(SUBSTITUTE(B209,"?","~?"),"*","~*"),'Keyword Map'!$J$3:$J$1002,"Primary"))</f>
        <v/>
      </c>
      <c r="G209">
        <f>IF(B209="","",SUMIFS('Keyword Map'!$C$3:$C$1002,'Keyword Map'!$G$3:$G$1002,SUBSTITUTE(SUBSTITUTE(B209,"?","~?"),"*","~*")))</f>
        <v/>
      </c>
      <c r="H209">
        <f>IF(B209="","",IFERROR(ROUND(AVERAGEIFS('Keyword Map'!$P$3:$P$1002,'Keyword Map'!$G$3:$G$1002,SUBSTITUTE(SUBSTITUTE(B209,"?","~?"),"*","~*")),0),""))</f>
        <v/>
      </c>
      <c r="I209">
        <f>IF(B209="","",COUNTIFS('Keyword Map'!$G$3:$G$1002,SUBSTITUTE(SUBSTITUTE(B209,"?","~?"),"*","~*"),'Keyword Map'!$R$3:$R$1002,"Yes"))</f>
        <v/>
      </c>
      <c r="J209">
        <f>IF(B209="","",COUNTIFS('Keyword Map'!$G$3:$G$1002,SUBSTITUTE(SUBSTITUTE(B209,"?","~?"),"*","~*"),'Keyword Map'!$W$3:$W$1002,"Yes"))</f>
        <v/>
      </c>
      <c r="K209">
        <f>IF(B209="","",IF(F209=0,"No primary keyword",IF(F209&gt;Settings!$B$4,"Too many primary keywords",IF(I209+J209&gt;0,"Check flags","OK"))))</f>
        <v/>
      </c>
    </row>
    <row r="210">
      <c r="A210">
        <f>ROW()-2</f>
        <v/>
      </c>
      <c r="B210">
        <f>IFERROR(INDEX('Keyword Map'!$G$3:$G$1002,MATCH(A210,'Keyword Map'!$AA$3:$AA$1002,0)),"")</f>
        <v/>
      </c>
      <c r="C210">
        <f>IF(B210="","",INDEX('Keyword Map'!$I$3:$I$1002,MATCH(A210,'Keyword Map'!$AA$3:$AA$1002,0))&amp;"")</f>
        <v/>
      </c>
      <c r="D210">
        <f>IF(B210="","",INDEX('Keyword Map'!$H$3:$H$1002,MATCH(A210,'Keyword Map'!$AA$3:$AA$1002,0))&amp;"")</f>
        <v/>
      </c>
      <c r="E210">
        <f>IF(B210="","",COUNTIF('Keyword Map'!$G$3:$G$1002,SUBSTITUTE(SUBSTITUTE(B210,"?","~?"),"*","~*")))</f>
        <v/>
      </c>
      <c r="F210">
        <f>IF(B210="","",COUNTIFS('Keyword Map'!$G$3:$G$1002,SUBSTITUTE(SUBSTITUTE(B210,"?","~?"),"*","~*"),'Keyword Map'!$J$3:$J$1002,"Primary"))</f>
        <v/>
      </c>
      <c r="G210">
        <f>IF(B210="","",SUMIFS('Keyword Map'!$C$3:$C$1002,'Keyword Map'!$G$3:$G$1002,SUBSTITUTE(SUBSTITUTE(B210,"?","~?"),"*","~*")))</f>
        <v/>
      </c>
      <c r="H210">
        <f>IF(B210="","",IFERROR(ROUND(AVERAGEIFS('Keyword Map'!$P$3:$P$1002,'Keyword Map'!$G$3:$G$1002,SUBSTITUTE(SUBSTITUTE(B210,"?","~?"),"*","~*")),0),""))</f>
        <v/>
      </c>
      <c r="I210">
        <f>IF(B210="","",COUNTIFS('Keyword Map'!$G$3:$G$1002,SUBSTITUTE(SUBSTITUTE(B210,"?","~?"),"*","~*"),'Keyword Map'!$R$3:$R$1002,"Yes"))</f>
        <v/>
      </c>
      <c r="J210">
        <f>IF(B210="","",COUNTIFS('Keyword Map'!$G$3:$G$1002,SUBSTITUTE(SUBSTITUTE(B210,"?","~?"),"*","~*"),'Keyword Map'!$W$3:$W$1002,"Yes"))</f>
        <v/>
      </c>
      <c r="K210">
        <f>IF(B210="","",IF(F210=0,"No primary keyword",IF(F210&gt;Settings!$B$4,"Too many primary keywords",IF(I210+J210&gt;0,"Check flags","OK"))))</f>
        <v/>
      </c>
    </row>
    <row r="211">
      <c r="A211">
        <f>ROW()-2</f>
        <v/>
      </c>
      <c r="B211">
        <f>IFERROR(INDEX('Keyword Map'!$G$3:$G$1002,MATCH(A211,'Keyword Map'!$AA$3:$AA$1002,0)),"")</f>
        <v/>
      </c>
      <c r="C211">
        <f>IF(B211="","",INDEX('Keyword Map'!$I$3:$I$1002,MATCH(A211,'Keyword Map'!$AA$3:$AA$1002,0))&amp;"")</f>
        <v/>
      </c>
      <c r="D211">
        <f>IF(B211="","",INDEX('Keyword Map'!$H$3:$H$1002,MATCH(A211,'Keyword Map'!$AA$3:$AA$1002,0))&amp;"")</f>
        <v/>
      </c>
      <c r="E211">
        <f>IF(B211="","",COUNTIF('Keyword Map'!$G$3:$G$1002,SUBSTITUTE(SUBSTITUTE(B211,"?","~?"),"*","~*")))</f>
        <v/>
      </c>
      <c r="F211">
        <f>IF(B211="","",COUNTIFS('Keyword Map'!$G$3:$G$1002,SUBSTITUTE(SUBSTITUTE(B211,"?","~?"),"*","~*"),'Keyword Map'!$J$3:$J$1002,"Primary"))</f>
        <v/>
      </c>
      <c r="G211">
        <f>IF(B211="","",SUMIFS('Keyword Map'!$C$3:$C$1002,'Keyword Map'!$G$3:$G$1002,SUBSTITUTE(SUBSTITUTE(B211,"?","~?"),"*","~*")))</f>
        <v/>
      </c>
      <c r="H211">
        <f>IF(B211="","",IFERROR(ROUND(AVERAGEIFS('Keyword Map'!$P$3:$P$1002,'Keyword Map'!$G$3:$G$1002,SUBSTITUTE(SUBSTITUTE(B211,"?","~?"),"*","~*")),0),""))</f>
        <v/>
      </c>
      <c r="I211">
        <f>IF(B211="","",COUNTIFS('Keyword Map'!$G$3:$G$1002,SUBSTITUTE(SUBSTITUTE(B211,"?","~?"),"*","~*"),'Keyword Map'!$R$3:$R$1002,"Yes"))</f>
        <v/>
      </c>
      <c r="J211">
        <f>IF(B211="","",COUNTIFS('Keyword Map'!$G$3:$G$1002,SUBSTITUTE(SUBSTITUTE(B211,"?","~?"),"*","~*"),'Keyword Map'!$W$3:$W$1002,"Yes"))</f>
        <v/>
      </c>
      <c r="K211">
        <f>IF(B211="","",IF(F211=0,"No primary keyword",IF(F211&gt;Settings!$B$4,"Too many primary keywords",IF(I211+J211&gt;0,"Check flags","OK"))))</f>
        <v/>
      </c>
    </row>
    <row r="212">
      <c r="A212">
        <f>ROW()-2</f>
        <v/>
      </c>
      <c r="B212">
        <f>IFERROR(INDEX('Keyword Map'!$G$3:$G$1002,MATCH(A212,'Keyword Map'!$AA$3:$AA$1002,0)),"")</f>
        <v/>
      </c>
      <c r="C212">
        <f>IF(B212="","",INDEX('Keyword Map'!$I$3:$I$1002,MATCH(A212,'Keyword Map'!$AA$3:$AA$1002,0))&amp;"")</f>
        <v/>
      </c>
      <c r="D212">
        <f>IF(B212="","",INDEX('Keyword Map'!$H$3:$H$1002,MATCH(A212,'Keyword Map'!$AA$3:$AA$1002,0))&amp;"")</f>
        <v/>
      </c>
      <c r="E212">
        <f>IF(B212="","",COUNTIF('Keyword Map'!$G$3:$G$1002,SUBSTITUTE(SUBSTITUTE(B212,"?","~?"),"*","~*")))</f>
        <v/>
      </c>
      <c r="F212">
        <f>IF(B212="","",COUNTIFS('Keyword Map'!$G$3:$G$1002,SUBSTITUTE(SUBSTITUTE(B212,"?","~?"),"*","~*"),'Keyword Map'!$J$3:$J$1002,"Primary"))</f>
        <v/>
      </c>
      <c r="G212">
        <f>IF(B212="","",SUMIFS('Keyword Map'!$C$3:$C$1002,'Keyword Map'!$G$3:$G$1002,SUBSTITUTE(SUBSTITUTE(B212,"?","~?"),"*","~*")))</f>
        <v/>
      </c>
      <c r="H212">
        <f>IF(B212="","",IFERROR(ROUND(AVERAGEIFS('Keyword Map'!$P$3:$P$1002,'Keyword Map'!$G$3:$G$1002,SUBSTITUTE(SUBSTITUTE(B212,"?","~?"),"*","~*")),0),""))</f>
        <v/>
      </c>
      <c r="I212">
        <f>IF(B212="","",COUNTIFS('Keyword Map'!$G$3:$G$1002,SUBSTITUTE(SUBSTITUTE(B212,"?","~?"),"*","~*"),'Keyword Map'!$R$3:$R$1002,"Yes"))</f>
        <v/>
      </c>
      <c r="J212">
        <f>IF(B212="","",COUNTIFS('Keyword Map'!$G$3:$G$1002,SUBSTITUTE(SUBSTITUTE(B212,"?","~?"),"*","~*"),'Keyword Map'!$W$3:$W$1002,"Yes"))</f>
        <v/>
      </c>
      <c r="K212">
        <f>IF(B212="","",IF(F212=0,"No primary keyword",IF(F212&gt;Settings!$B$4,"Too many primary keywords",IF(I212+J212&gt;0,"Check flags","OK"))))</f>
        <v/>
      </c>
    </row>
    <row r="213">
      <c r="A213">
        <f>ROW()-2</f>
        <v/>
      </c>
      <c r="B213">
        <f>IFERROR(INDEX('Keyword Map'!$G$3:$G$1002,MATCH(A213,'Keyword Map'!$AA$3:$AA$1002,0)),"")</f>
        <v/>
      </c>
      <c r="C213">
        <f>IF(B213="","",INDEX('Keyword Map'!$I$3:$I$1002,MATCH(A213,'Keyword Map'!$AA$3:$AA$1002,0))&amp;"")</f>
        <v/>
      </c>
      <c r="D213">
        <f>IF(B213="","",INDEX('Keyword Map'!$H$3:$H$1002,MATCH(A213,'Keyword Map'!$AA$3:$AA$1002,0))&amp;"")</f>
        <v/>
      </c>
      <c r="E213">
        <f>IF(B213="","",COUNTIF('Keyword Map'!$G$3:$G$1002,SUBSTITUTE(SUBSTITUTE(B213,"?","~?"),"*","~*")))</f>
        <v/>
      </c>
      <c r="F213">
        <f>IF(B213="","",COUNTIFS('Keyword Map'!$G$3:$G$1002,SUBSTITUTE(SUBSTITUTE(B213,"?","~?"),"*","~*"),'Keyword Map'!$J$3:$J$1002,"Primary"))</f>
        <v/>
      </c>
      <c r="G213">
        <f>IF(B213="","",SUMIFS('Keyword Map'!$C$3:$C$1002,'Keyword Map'!$G$3:$G$1002,SUBSTITUTE(SUBSTITUTE(B213,"?","~?"),"*","~*")))</f>
        <v/>
      </c>
      <c r="H213">
        <f>IF(B213="","",IFERROR(ROUND(AVERAGEIFS('Keyword Map'!$P$3:$P$1002,'Keyword Map'!$G$3:$G$1002,SUBSTITUTE(SUBSTITUTE(B213,"?","~?"),"*","~*")),0),""))</f>
        <v/>
      </c>
      <c r="I213">
        <f>IF(B213="","",COUNTIFS('Keyword Map'!$G$3:$G$1002,SUBSTITUTE(SUBSTITUTE(B213,"?","~?"),"*","~*"),'Keyword Map'!$R$3:$R$1002,"Yes"))</f>
        <v/>
      </c>
      <c r="J213">
        <f>IF(B213="","",COUNTIFS('Keyword Map'!$G$3:$G$1002,SUBSTITUTE(SUBSTITUTE(B213,"?","~?"),"*","~*"),'Keyword Map'!$W$3:$W$1002,"Yes"))</f>
        <v/>
      </c>
      <c r="K213">
        <f>IF(B213="","",IF(F213=0,"No primary keyword",IF(F213&gt;Settings!$B$4,"Too many primary keywords",IF(I213+J213&gt;0,"Check flags","OK"))))</f>
        <v/>
      </c>
    </row>
    <row r="214">
      <c r="A214">
        <f>ROW()-2</f>
        <v/>
      </c>
      <c r="B214">
        <f>IFERROR(INDEX('Keyword Map'!$G$3:$G$1002,MATCH(A214,'Keyword Map'!$AA$3:$AA$1002,0)),"")</f>
        <v/>
      </c>
      <c r="C214">
        <f>IF(B214="","",INDEX('Keyword Map'!$I$3:$I$1002,MATCH(A214,'Keyword Map'!$AA$3:$AA$1002,0))&amp;"")</f>
        <v/>
      </c>
      <c r="D214">
        <f>IF(B214="","",INDEX('Keyword Map'!$H$3:$H$1002,MATCH(A214,'Keyword Map'!$AA$3:$AA$1002,0))&amp;"")</f>
        <v/>
      </c>
      <c r="E214">
        <f>IF(B214="","",COUNTIF('Keyword Map'!$G$3:$G$1002,SUBSTITUTE(SUBSTITUTE(B214,"?","~?"),"*","~*")))</f>
        <v/>
      </c>
      <c r="F214">
        <f>IF(B214="","",COUNTIFS('Keyword Map'!$G$3:$G$1002,SUBSTITUTE(SUBSTITUTE(B214,"?","~?"),"*","~*"),'Keyword Map'!$J$3:$J$1002,"Primary"))</f>
        <v/>
      </c>
      <c r="G214">
        <f>IF(B214="","",SUMIFS('Keyword Map'!$C$3:$C$1002,'Keyword Map'!$G$3:$G$1002,SUBSTITUTE(SUBSTITUTE(B214,"?","~?"),"*","~*")))</f>
        <v/>
      </c>
      <c r="H214">
        <f>IF(B214="","",IFERROR(ROUND(AVERAGEIFS('Keyword Map'!$P$3:$P$1002,'Keyword Map'!$G$3:$G$1002,SUBSTITUTE(SUBSTITUTE(B214,"?","~?"),"*","~*")),0),""))</f>
        <v/>
      </c>
      <c r="I214">
        <f>IF(B214="","",COUNTIFS('Keyword Map'!$G$3:$G$1002,SUBSTITUTE(SUBSTITUTE(B214,"?","~?"),"*","~*"),'Keyword Map'!$R$3:$R$1002,"Yes"))</f>
        <v/>
      </c>
      <c r="J214">
        <f>IF(B214="","",COUNTIFS('Keyword Map'!$G$3:$G$1002,SUBSTITUTE(SUBSTITUTE(B214,"?","~?"),"*","~*"),'Keyword Map'!$W$3:$W$1002,"Yes"))</f>
        <v/>
      </c>
      <c r="K214">
        <f>IF(B214="","",IF(F214=0,"No primary keyword",IF(F214&gt;Settings!$B$4,"Too many primary keywords",IF(I214+J214&gt;0,"Check flags","OK"))))</f>
        <v/>
      </c>
    </row>
    <row r="215">
      <c r="A215">
        <f>ROW()-2</f>
        <v/>
      </c>
      <c r="B215">
        <f>IFERROR(INDEX('Keyword Map'!$G$3:$G$1002,MATCH(A215,'Keyword Map'!$AA$3:$AA$1002,0)),"")</f>
        <v/>
      </c>
      <c r="C215">
        <f>IF(B215="","",INDEX('Keyword Map'!$I$3:$I$1002,MATCH(A215,'Keyword Map'!$AA$3:$AA$1002,0))&amp;"")</f>
        <v/>
      </c>
      <c r="D215">
        <f>IF(B215="","",INDEX('Keyword Map'!$H$3:$H$1002,MATCH(A215,'Keyword Map'!$AA$3:$AA$1002,0))&amp;"")</f>
        <v/>
      </c>
      <c r="E215">
        <f>IF(B215="","",COUNTIF('Keyword Map'!$G$3:$G$1002,SUBSTITUTE(SUBSTITUTE(B215,"?","~?"),"*","~*")))</f>
        <v/>
      </c>
      <c r="F215">
        <f>IF(B215="","",COUNTIFS('Keyword Map'!$G$3:$G$1002,SUBSTITUTE(SUBSTITUTE(B215,"?","~?"),"*","~*"),'Keyword Map'!$J$3:$J$1002,"Primary"))</f>
        <v/>
      </c>
      <c r="G215">
        <f>IF(B215="","",SUMIFS('Keyword Map'!$C$3:$C$1002,'Keyword Map'!$G$3:$G$1002,SUBSTITUTE(SUBSTITUTE(B215,"?","~?"),"*","~*")))</f>
        <v/>
      </c>
      <c r="H215">
        <f>IF(B215="","",IFERROR(ROUND(AVERAGEIFS('Keyword Map'!$P$3:$P$1002,'Keyword Map'!$G$3:$G$1002,SUBSTITUTE(SUBSTITUTE(B215,"?","~?"),"*","~*")),0),""))</f>
        <v/>
      </c>
      <c r="I215">
        <f>IF(B215="","",COUNTIFS('Keyword Map'!$G$3:$G$1002,SUBSTITUTE(SUBSTITUTE(B215,"?","~?"),"*","~*"),'Keyword Map'!$R$3:$R$1002,"Yes"))</f>
        <v/>
      </c>
      <c r="J215">
        <f>IF(B215="","",COUNTIFS('Keyword Map'!$G$3:$G$1002,SUBSTITUTE(SUBSTITUTE(B215,"?","~?"),"*","~*"),'Keyword Map'!$W$3:$W$1002,"Yes"))</f>
        <v/>
      </c>
      <c r="K215">
        <f>IF(B215="","",IF(F215=0,"No primary keyword",IF(F215&gt;Settings!$B$4,"Too many primary keywords",IF(I215+J215&gt;0,"Check flags","OK"))))</f>
        <v/>
      </c>
    </row>
    <row r="216">
      <c r="A216">
        <f>ROW()-2</f>
        <v/>
      </c>
      <c r="B216">
        <f>IFERROR(INDEX('Keyword Map'!$G$3:$G$1002,MATCH(A216,'Keyword Map'!$AA$3:$AA$1002,0)),"")</f>
        <v/>
      </c>
      <c r="C216">
        <f>IF(B216="","",INDEX('Keyword Map'!$I$3:$I$1002,MATCH(A216,'Keyword Map'!$AA$3:$AA$1002,0))&amp;"")</f>
        <v/>
      </c>
      <c r="D216">
        <f>IF(B216="","",INDEX('Keyword Map'!$H$3:$H$1002,MATCH(A216,'Keyword Map'!$AA$3:$AA$1002,0))&amp;"")</f>
        <v/>
      </c>
      <c r="E216">
        <f>IF(B216="","",COUNTIF('Keyword Map'!$G$3:$G$1002,SUBSTITUTE(SUBSTITUTE(B216,"?","~?"),"*","~*")))</f>
        <v/>
      </c>
      <c r="F216">
        <f>IF(B216="","",COUNTIFS('Keyword Map'!$G$3:$G$1002,SUBSTITUTE(SUBSTITUTE(B216,"?","~?"),"*","~*"),'Keyword Map'!$J$3:$J$1002,"Primary"))</f>
        <v/>
      </c>
      <c r="G216">
        <f>IF(B216="","",SUMIFS('Keyword Map'!$C$3:$C$1002,'Keyword Map'!$G$3:$G$1002,SUBSTITUTE(SUBSTITUTE(B216,"?","~?"),"*","~*")))</f>
        <v/>
      </c>
      <c r="H216">
        <f>IF(B216="","",IFERROR(ROUND(AVERAGEIFS('Keyword Map'!$P$3:$P$1002,'Keyword Map'!$G$3:$G$1002,SUBSTITUTE(SUBSTITUTE(B216,"?","~?"),"*","~*")),0),""))</f>
        <v/>
      </c>
      <c r="I216">
        <f>IF(B216="","",COUNTIFS('Keyword Map'!$G$3:$G$1002,SUBSTITUTE(SUBSTITUTE(B216,"?","~?"),"*","~*"),'Keyword Map'!$R$3:$R$1002,"Yes"))</f>
        <v/>
      </c>
      <c r="J216">
        <f>IF(B216="","",COUNTIFS('Keyword Map'!$G$3:$G$1002,SUBSTITUTE(SUBSTITUTE(B216,"?","~?"),"*","~*"),'Keyword Map'!$W$3:$W$1002,"Yes"))</f>
        <v/>
      </c>
      <c r="K216">
        <f>IF(B216="","",IF(F216=0,"No primary keyword",IF(F216&gt;Settings!$B$4,"Too many primary keywords",IF(I216+J216&gt;0,"Check flags","OK"))))</f>
        <v/>
      </c>
    </row>
    <row r="217">
      <c r="A217">
        <f>ROW()-2</f>
        <v/>
      </c>
      <c r="B217">
        <f>IFERROR(INDEX('Keyword Map'!$G$3:$G$1002,MATCH(A217,'Keyword Map'!$AA$3:$AA$1002,0)),"")</f>
        <v/>
      </c>
      <c r="C217">
        <f>IF(B217="","",INDEX('Keyword Map'!$I$3:$I$1002,MATCH(A217,'Keyword Map'!$AA$3:$AA$1002,0))&amp;"")</f>
        <v/>
      </c>
      <c r="D217">
        <f>IF(B217="","",INDEX('Keyword Map'!$H$3:$H$1002,MATCH(A217,'Keyword Map'!$AA$3:$AA$1002,0))&amp;"")</f>
        <v/>
      </c>
      <c r="E217">
        <f>IF(B217="","",COUNTIF('Keyword Map'!$G$3:$G$1002,SUBSTITUTE(SUBSTITUTE(B217,"?","~?"),"*","~*")))</f>
        <v/>
      </c>
      <c r="F217">
        <f>IF(B217="","",COUNTIFS('Keyword Map'!$G$3:$G$1002,SUBSTITUTE(SUBSTITUTE(B217,"?","~?"),"*","~*"),'Keyword Map'!$J$3:$J$1002,"Primary"))</f>
        <v/>
      </c>
      <c r="G217">
        <f>IF(B217="","",SUMIFS('Keyword Map'!$C$3:$C$1002,'Keyword Map'!$G$3:$G$1002,SUBSTITUTE(SUBSTITUTE(B217,"?","~?"),"*","~*")))</f>
        <v/>
      </c>
      <c r="H217">
        <f>IF(B217="","",IFERROR(ROUND(AVERAGEIFS('Keyword Map'!$P$3:$P$1002,'Keyword Map'!$G$3:$G$1002,SUBSTITUTE(SUBSTITUTE(B217,"?","~?"),"*","~*")),0),""))</f>
        <v/>
      </c>
      <c r="I217">
        <f>IF(B217="","",COUNTIFS('Keyword Map'!$G$3:$G$1002,SUBSTITUTE(SUBSTITUTE(B217,"?","~?"),"*","~*"),'Keyword Map'!$R$3:$R$1002,"Yes"))</f>
        <v/>
      </c>
      <c r="J217">
        <f>IF(B217="","",COUNTIFS('Keyword Map'!$G$3:$G$1002,SUBSTITUTE(SUBSTITUTE(B217,"?","~?"),"*","~*"),'Keyword Map'!$W$3:$W$1002,"Yes"))</f>
        <v/>
      </c>
      <c r="K217">
        <f>IF(B217="","",IF(F217=0,"No primary keyword",IF(F217&gt;Settings!$B$4,"Too many primary keywords",IF(I217+J217&gt;0,"Check flags","OK"))))</f>
        <v/>
      </c>
    </row>
    <row r="218">
      <c r="A218">
        <f>ROW()-2</f>
        <v/>
      </c>
      <c r="B218">
        <f>IFERROR(INDEX('Keyword Map'!$G$3:$G$1002,MATCH(A218,'Keyword Map'!$AA$3:$AA$1002,0)),"")</f>
        <v/>
      </c>
      <c r="C218">
        <f>IF(B218="","",INDEX('Keyword Map'!$I$3:$I$1002,MATCH(A218,'Keyword Map'!$AA$3:$AA$1002,0))&amp;"")</f>
        <v/>
      </c>
      <c r="D218">
        <f>IF(B218="","",INDEX('Keyword Map'!$H$3:$H$1002,MATCH(A218,'Keyword Map'!$AA$3:$AA$1002,0))&amp;"")</f>
        <v/>
      </c>
      <c r="E218">
        <f>IF(B218="","",COUNTIF('Keyword Map'!$G$3:$G$1002,SUBSTITUTE(SUBSTITUTE(B218,"?","~?"),"*","~*")))</f>
        <v/>
      </c>
      <c r="F218">
        <f>IF(B218="","",COUNTIFS('Keyword Map'!$G$3:$G$1002,SUBSTITUTE(SUBSTITUTE(B218,"?","~?"),"*","~*"),'Keyword Map'!$J$3:$J$1002,"Primary"))</f>
        <v/>
      </c>
      <c r="G218">
        <f>IF(B218="","",SUMIFS('Keyword Map'!$C$3:$C$1002,'Keyword Map'!$G$3:$G$1002,SUBSTITUTE(SUBSTITUTE(B218,"?","~?"),"*","~*")))</f>
        <v/>
      </c>
      <c r="H218">
        <f>IF(B218="","",IFERROR(ROUND(AVERAGEIFS('Keyword Map'!$P$3:$P$1002,'Keyword Map'!$G$3:$G$1002,SUBSTITUTE(SUBSTITUTE(B218,"?","~?"),"*","~*")),0),""))</f>
        <v/>
      </c>
      <c r="I218">
        <f>IF(B218="","",COUNTIFS('Keyword Map'!$G$3:$G$1002,SUBSTITUTE(SUBSTITUTE(B218,"?","~?"),"*","~*"),'Keyword Map'!$R$3:$R$1002,"Yes"))</f>
        <v/>
      </c>
      <c r="J218">
        <f>IF(B218="","",COUNTIFS('Keyword Map'!$G$3:$G$1002,SUBSTITUTE(SUBSTITUTE(B218,"?","~?"),"*","~*"),'Keyword Map'!$W$3:$W$1002,"Yes"))</f>
        <v/>
      </c>
      <c r="K218">
        <f>IF(B218="","",IF(F218=0,"No primary keyword",IF(F218&gt;Settings!$B$4,"Too many primary keywords",IF(I218+J218&gt;0,"Check flags","OK"))))</f>
        <v/>
      </c>
    </row>
    <row r="219">
      <c r="A219">
        <f>ROW()-2</f>
        <v/>
      </c>
      <c r="B219">
        <f>IFERROR(INDEX('Keyword Map'!$G$3:$G$1002,MATCH(A219,'Keyword Map'!$AA$3:$AA$1002,0)),"")</f>
        <v/>
      </c>
      <c r="C219">
        <f>IF(B219="","",INDEX('Keyword Map'!$I$3:$I$1002,MATCH(A219,'Keyword Map'!$AA$3:$AA$1002,0))&amp;"")</f>
        <v/>
      </c>
      <c r="D219">
        <f>IF(B219="","",INDEX('Keyword Map'!$H$3:$H$1002,MATCH(A219,'Keyword Map'!$AA$3:$AA$1002,0))&amp;"")</f>
        <v/>
      </c>
      <c r="E219">
        <f>IF(B219="","",COUNTIF('Keyword Map'!$G$3:$G$1002,SUBSTITUTE(SUBSTITUTE(B219,"?","~?"),"*","~*")))</f>
        <v/>
      </c>
      <c r="F219">
        <f>IF(B219="","",COUNTIFS('Keyword Map'!$G$3:$G$1002,SUBSTITUTE(SUBSTITUTE(B219,"?","~?"),"*","~*"),'Keyword Map'!$J$3:$J$1002,"Primary"))</f>
        <v/>
      </c>
      <c r="G219">
        <f>IF(B219="","",SUMIFS('Keyword Map'!$C$3:$C$1002,'Keyword Map'!$G$3:$G$1002,SUBSTITUTE(SUBSTITUTE(B219,"?","~?"),"*","~*")))</f>
        <v/>
      </c>
      <c r="H219">
        <f>IF(B219="","",IFERROR(ROUND(AVERAGEIFS('Keyword Map'!$P$3:$P$1002,'Keyword Map'!$G$3:$G$1002,SUBSTITUTE(SUBSTITUTE(B219,"?","~?"),"*","~*")),0),""))</f>
        <v/>
      </c>
      <c r="I219">
        <f>IF(B219="","",COUNTIFS('Keyword Map'!$G$3:$G$1002,SUBSTITUTE(SUBSTITUTE(B219,"?","~?"),"*","~*"),'Keyword Map'!$R$3:$R$1002,"Yes"))</f>
        <v/>
      </c>
      <c r="J219">
        <f>IF(B219="","",COUNTIFS('Keyword Map'!$G$3:$G$1002,SUBSTITUTE(SUBSTITUTE(B219,"?","~?"),"*","~*"),'Keyword Map'!$W$3:$W$1002,"Yes"))</f>
        <v/>
      </c>
      <c r="K219">
        <f>IF(B219="","",IF(F219=0,"No primary keyword",IF(F219&gt;Settings!$B$4,"Too many primary keywords",IF(I219+J219&gt;0,"Check flags","OK"))))</f>
        <v/>
      </c>
    </row>
    <row r="220">
      <c r="A220">
        <f>ROW()-2</f>
        <v/>
      </c>
      <c r="B220">
        <f>IFERROR(INDEX('Keyword Map'!$G$3:$G$1002,MATCH(A220,'Keyword Map'!$AA$3:$AA$1002,0)),"")</f>
        <v/>
      </c>
      <c r="C220">
        <f>IF(B220="","",INDEX('Keyword Map'!$I$3:$I$1002,MATCH(A220,'Keyword Map'!$AA$3:$AA$1002,0))&amp;"")</f>
        <v/>
      </c>
      <c r="D220">
        <f>IF(B220="","",INDEX('Keyword Map'!$H$3:$H$1002,MATCH(A220,'Keyword Map'!$AA$3:$AA$1002,0))&amp;"")</f>
        <v/>
      </c>
      <c r="E220">
        <f>IF(B220="","",COUNTIF('Keyword Map'!$G$3:$G$1002,SUBSTITUTE(SUBSTITUTE(B220,"?","~?"),"*","~*")))</f>
        <v/>
      </c>
      <c r="F220">
        <f>IF(B220="","",COUNTIFS('Keyword Map'!$G$3:$G$1002,SUBSTITUTE(SUBSTITUTE(B220,"?","~?"),"*","~*"),'Keyword Map'!$J$3:$J$1002,"Primary"))</f>
        <v/>
      </c>
      <c r="G220">
        <f>IF(B220="","",SUMIFS('Keyword Map'!$C$3:$C$1002,'Keyword Map'!$G$3:$G$1002,SUBSTITUTE(SUBSTITUTE(B220,"?","~?"),"*","~*")))</f>
        <v/>
      </c>
      <c r="H220">
        <f>IF(B220="","",IFERROR(ROUND(AVERAGEIFS('Keyword Map'!$P$3:$P$1002,'Keyword Map'!$G$3:$G$1002,SUBSTITUTE(SUBSTITUTE(B220,"?","~?"),"*","~*")),0),""))</f>
        <v/>
      </c>
      <c r="I220">
        <f>IF(B220="","",COUNTIFS('Keyword Map'!$G$3:$G$1002,SUBSTITUTE(SUBSTITUTE(B220,"?","~?"),"*","~*"),'Keyword Map'!$R$3:$R$1002,"Yes"))</f>
        <v/>
      </c>
      <c r="J220">
        <f>IF(B220="","",COUNTIFS('Keyword Map'!$G$3:$G$1002,SUBSTITUTE(SUBSTITUTE(B220,"?","~?"),"*","~*"),'Keyword Map'!$W$3:$W$1002,"Yes"))</f>
        <v/>
      </c>
      <c r="K220">
        <f>IF(B220="","",IF(F220=0,"No primary keyword",IF(F220&gt;Settings!$B$4,"Too many primary keywords",IF(I220+J220&gt;0,"Check flags","OK"))))</f>
        <v/>
      </c>
    </row>
    <row r="221">
      <c r="A221">
        <f>ROW()-2</f>
        <v/>
      </c>
      <c r="B221">
        <f>IFERROR(INDEX('Keyword Map'!$G$3:$G$1002,MATCH(A221,'Keyword Map'!$AA$3:$AA$1002,0)),"")</f>
        <v/>
      </c>
      <c r="C221">
        <f>IF(B221="","",INDEX('Keyword Map'!$I$3:$I$1002,MATCH(A221,'Keyword Map'!$AA$3:$AA$1002,0))&amp;"")</f>
        <v/>
      </c>
      <c r="D221">
        <f>IF(B221="","",INDEX('Keyword Map'!$H$3:$H$1002,MATCH(A221,'Keyword Map'!$AA$3:$AA$1002,0))&amp;"")</f>
        <v/>
      </c>
      <c r="E221">
        <f>IF(B221="","",COUNTIF('Keyword Map'!$G$3:$G$1002,SUBSTITUTE(SUBSTITUTE(B221,"?","~?"),"*","~*")))</f>
        <v/>
      </c>
      <c r="F221">
        <f>IF(B221="","",COUNTIFS('Keyword Map'!$G$3:$G$1002,SUBSTITUTE(SUBSTITUTE(B221,"?","~?"),"*","~*"),'Keyword Map'!$J$3:$J$1002,"Primary"))</f>
        <v/>
      </c>
      <c r="G221">
        <f>IF(B221="","",SUMIFS('Keyword Map'!$C$3:$C$1002,'Keyword Map'!$G$3:$G$1002,SUBSTITUTE(SUBSTITUTE(B221,"?","~?"),"*","~*")))</f>
        <v/>
      </c>
      <c r="H221">
        <f>IF(B221="","",IFERROR(ROUND(AVERAGEIFS('Keyword Map'!$P$3:$P$1002,'Keyword Map'!$G$3:$G$1002,SUBSTITUTE(SUBSTITUTE(B221,"?","~?"),"*","~*")),0),""))</f>
        <v/>
      </c>
      <c r="I221">
        <f>IF(B221="","",COUNTIFS('Keyword Map'!$G$3:$G$1002,SUBSTITUTE(SUBSTITUTE(B221,"?","~?"),"*","~*"),'Keyword Map'!$R$3:$R$1002,"Yes"))</f>
        <v/>
      </c>
      <c r="J221">
        <f>IF(B221="","",COUNTIFS('Keyword Map'!$G$3:$G$1002,SUBSTITUTE(SUBSTITUTE(B221,"?","~?"),"*","~*"),'Keyword Map'!$W$3:$W$1002,"Yes"))</f>
        <v/>
      </c>
      <c r="K221">
        <f>IF(B221="","",IF(F221=0,"No primary keyword",IF(F221&gt;Settings!$B$4,"Too many primary keywords",IF(I221+J221&gt;0,"Check flags","OK"))))</f>
        <v/>
      </c>
    </row>
    <row r="222">
      <c r="A222">
        <f>ROW()-2</f>
        <v/>
      </c>
      <c r="B222">
        <f>IFERROR(INDEX('Keyword Map'!$G$3:$G$1002,MATCH(A222,'Keyword Map'!$AA$3:$AA$1002,0)),"")</f>
        <v/>
      </c>
      <c r="C222">
        <f>IF(B222="","",INDEX('Keyword Map'!$I$3:$I$1002,MATCH(A222,'Keyword Map'!$AA$3:$AA$1002,0))&amp;"")</f>
        <v/>
      </c>
      <c r="D222">
        <f>IF(B222="","",INDEX('Keyword Map'!$H$3:$H$1002,MATCH(A222,'Keyword Map'!$AA$3:$AA$1002,0))&amp;"")</f>
        <v/>
      </c>
      <c r="E222">
        <f>IF(B222="","",COUNTIF('Keyword Map'!$G$3:$G$1002,SUBSTITUTE(SUBSTITUTE(B222,"?","~?"),"*","~*")))</f>
        <v/>
      </c>
      <c r="F222">
        <f>IF(B222="","",COUNTIFS('Keyword Map'!$G$3:$G$1002,SUBSTITUTE(SUBSTITUTE(B222,"?","~?"),"*","~*"),'Keyword Map'!$J$3:$J$1002,"Primary"))</f>
        <v/>
      </c>
      <c r="G222">
        <f>IF(B222="","",SUMIFS('Keyword Map'!$C$3:$C$1002,'Keyword Map'!$G$3:$G$1002,SUBSTITUTE(SUBSTITUTE(B222,"?","~?"),"*","~*")))</f>
        <v/>
      </c>
      <c r="H222">
        <f>IF(B222="","",IFERROR(ROUND(AVERAGEIFS('Keyword Map'!$P$3:$P$1002,'Keyword Map'!$G$3:$G$1002,SUBSTITUTE(SUBSTITUTE(B222,"?","~?"),"*","~*")),0),""))</f>
        <v/>
      </c>
      <c r="I222">
        <f>IF(B222="","",COUNTIFS('Keyword Map'!$G$3:$G$1002,SUBSTITUTE(SUBSTITUTE(B222,"?","~?"),"*","~*"),'Keyword Map'!$R$3:$R$1002,"Yes"))</f>
        <v/>
      </c>
      <c r="J222">
        <f>IF(B222="","",COUNTIFS('Keyword Map'!$G$3:$G$1002,SUBSTITUTE(SUBSTITUTE(B222,"?","~?"),"*","~*"),'Keyword Map'!$W$3:$W$1002,"Yes"))</f>
        <v/>
      </c>
      <c r="K222">
        <f>IF(B222="","",IF(F222=0,"No primary keyword",IF(F222&gt;Settings!$B$4,"Too many primary keywords",IF(I222+J222&gt;0,"Check flags","OK"))))</f>
        <v/>
      </c>
    </row>
    <row r="223">
      <c r="A223">
        <f>ROW()-2</f>
        <v/>
      </c>
      <c r="B223">
        <f>IFERROR(INDEX('Keyword Map'!$G$3:$G$1002,MATCH(A223,'Keyword Map'!$AA$3:$AA$1002,0)),"")</f>
        <v/>
      </c>
      <c r="C223">
        <f>IF(B223="","",INDEX('Keyword Map'!$I$3:$I$1002,MATCH(A223,'Keyword Map'!$AA$3:$AA$1002,0))&amp;"")</f>
        <v/>
      </c>
      <c r="D223">
        <f>IF(B223="","",INDEX('Keyword Map'!$H$3:$H$1002,MATCH(A223,'Keyword Map'!$AA$3:$AA$1002,0))&amp;"")</f>
        <v/>
      </c>
      <c r="E223">
        <f>IF(B223="","",COUNTIF('Keyword Map'!$G$3:$G$1002,SUBSTITUTE(SUBSTITUTE(B223,"?","~?"),"*","~*")))</f>
        <v/>
      </c>
      <c r="F223">
        <f>IF(B223="","",COUNTIFS('Keyword Map'!$G$3:$G$1002,SUBSTITUTE(SUBSTITUTE(B223,"?","~?"),"*","~*"),'Keyword Map'!$J$3:$J$1002,"Primary"))</f>
        <v/>
      </c>
      <c r="G223">
        <f>IF(B223="","",SUMIFS('Keyword Map'!$C$3:$C$1002,'Keyword Map'!$G$3:$G$1002,SUBSTITUTE(SUBSTITUTE(B223,"?","~?"),"*","~*")))</f>
        <v/>
      </c>
      <c r="H223">
        <f>IF(B223="","",IFERROR(ROUND(AVERAGEIFS('Keyword Map'!$P$3:$P$1002,'Keyword Map'!$G$3:$G$1002,SUBSTITUTE(SUBSTITUTE(B223,"?","~?"),"*","~*")),0),""))</f>
        <v/>
      </c>
      <c r="I223">
        <f>IF(B223="","",COUNTIFS('Keyword Map'!$G$3:$G$1002,SUBSTITUTE(SUBSTITUTE(B223,"?","~?"),"*","~*"),'Keyword Map'!$R$3:$R$1002,"Yes"))</f>
        <v/>
      </c>
      <c r="J223">
        <f>IF(B223="","",COUNTIFS('Keyword Map'!$G$3:$G$1002,SUBSTITUTE(SUBSTITUTE(B223,"?","~?"),"*","~*"),'Keyword Map'!$W$3:$W$1002,"Yes"))</f>
        <v/>
      </c>
      <c r="K223">
        <f>IF(B223="","",IF(F223=0,"No primary keyword",IF(F223&gt;Settings!$B$4,"Too many primary keywords",IF(I223+J223&gt;0,"Check flags","OK"))))</f>
        <v/>
      </c>
    </row>
    <row r="224">
      <c r="A224">
        <f>ROW()-2</f>
        <v/>
      </c>
      <c r="B224">
        <f>IFERROR(INDEX('Keyword Map'!$G$3:$G$1002,MATCH(A224,'Keyword Map'!$AA$3:$AA$1002,0)),"")</f>
        <v/>
      </c>
      <c r="C224">
        <f>IF(B224="","",INDEX('Keyword Map'!$I$3:$I$1002,MATCH(A224,'Keyword Map'!$AA$3:$AA$1002,0))&amp;"")</f>
        <v/>
      </c>
      <c r="D224">
        <f>IF(B224="","",INDEX('Keyword Map'!$H$3:$H$1002,MATCH(A224,'Keyword Map'!$AA$3:$AA$1002,0))&amp;"")</f>
        <v/>
      </c>
      <c r="E224">
        <f>IF(B224="","",COUNTIF('Keyword Map'!$G$3:$G$1002,SUBSTITUTE(SUBSTITUTE(B224,"?","~?"),"*","~*")))</f>
        <v/>
      </c>
      <c r="F224">
        <f>IF(B224="","",COUNTIFS('Keyword Map'!$G$3:$G$1002,SUBSTITUTE(SUBSTITUTE(B224,"?","~?"),"*","~*"),'Keyword Map'!$J$3:$J$1002,"Primary"))</f>
        <v/>
      </c>
      <c r="G224">
        <f>IF(B224="","",SUMIFS('Keyword Map'!$C$3:$C$1002,'Keyword Map'!$G$3:$G$1002,SUBSTITUTE(SUBSTITUTE(B224,"?","~?"),"*","~*")))</f>
        <v/>
      </c>
      <c r="H224">
        <f>IF(B224="","",IFERROR(ROUND(AVERAGEIFS('Keyword Map'!$P$3:$P$1002,'Keyword Map'!$G$3:$G$1002,SUBSTITUTE(SUBSTITUTE(B224,"?","~?"),"*","~*")),0),""))</f>
        <v/>
      </c>
      <c r="I224">
        <f>IF(B224="","",COUNTIFS('Keyword Map'!$G$3:$G$1002,SUBSTITUTE(SUBSTITUTE(B224,"?","~?"),"*","~*"),'Keyword Map'!$R$3:$R$1002,"Yes"))</f>
        <v/>
      </c>
      <c r="J224">
        <f>IF(B224="","",COUNTIFS('Keyword Map'!$G$3:$G$1002,SUBSTITUTE(SUBSTITUTE(B224,"?","~?"),"*","~*"),'Keyword Map'!$W$3:$W$1002,"Yes"))</f>
        <v/>
      </c>
      <c r="K224">
        <f>IF(B224="","",IF(F224=0,"No primary keyword",IF(F224&gt;Settings!$B$4,"Too many primary keywords",IF(I224+J224&gt;0,"Check flags","OK"))))</f>
        <v/>
      </c>
    </row>
    <row r="225">
      <c r="A225">
        <f>ROW()-2</f>
        <v/>
      </c>
      <c r="B225">
        <f>IFERROR(INDEX('Keyword Map'!$G$3:$G$1002,MATCH(A225,'Keyword Map'!$AA$3:$AA$1002,0)),"")</f>
        <v/>
      </c>
      <c r="C225">
        <f>IF(B225="","",INDEX('Keyword Map'!$I$3:$I$1002,MATCH(A225,'Keyword Map'!$AA$3:$AA$1002,0))&amp;"")</f>
        <v/>
      </c>
      <c r="D225">
        <f>IF(B225="","",INDEX('Keyword Map'!$H$3:$H$1002,MATCH(A225,'Keyword Map'!$AA$3:$AA$1002,0))&amp;"")</f>
        <v/>
      </c>
      <c r="E225">
        <f>IF(B225="","",COUNTIF('Keyword Map'!$G$3:$G$1002,SUBSTITUTE(SUBSTITUTE(B225,"?","~?"),"*","~*")))</f>
        <v/>
      </c>
      <c r="F225">
        <f>IF(B225="","",COUNTIFS('Keyword Map'!$G$3:$G$1002,SUBSTITUTE(SUBSTITUTE(B225,"?","~?"),"*","~*"),'Keyword Map'!$J$3:$J$1002,"Primary"))</f>
        <v/>
      </c>
      <c r="G225">
        <f>IF(B225="","",SUMIFS('Keyword Map'!$C$3:$C$1002,'Keyword Map'!$G$3:$G$1002,SUBSTITUTE(SUBSTITUTE(B225,"?","~?"),"*","~*")))</f>
        <v/>
      </c>
      <c r="H225">
        <f>IF(B225="","",IFERROR(ROUND(AVERAGEIFS('Keyword Map'!$P$3:$P$1002,'Keyword Map'!$G$3:$G$1002,SUBSTITUTE(SUBSTITUTE(B225,"?","~?"),"*","~*")),0),""))</f>
        <v/>
      </c>
      <c r="I225">
        <f>IF(B225="","",COUNTIFS('Keyword Map'!$G$3:$G$1002,SUBSTITUTE(SUBSTITUTE(B225,"?","~?"),"*","~*"),'Keyword Map'!$R$3:$R$1002,"Yes"))</f>
        <v/>
      </c>
      <c r="J225">
        <f>IF(B225="","",COUNTIFS('Keyword Map'!$G$3:$G$1002,SUBSTITUTE(SUBSTITUTE(B225,"?","~?"),"*","~*"),'Keyword Map'!$W$3:$W$1002,"Yes"))</f>
        <v/>
      </c>
      <c r="K225">
        <f>IF(B225="","",IF(F225=0,"No primary keyword",IF(F225&gt;Settings!$B$4,"Too many primary keywords",IF(I225+J225&gt;0,"Check flags","OK"))))</f>
        <v/>
      </c>
    </row>
    <row r="226">
      <c r="A226">
        <f>ROW()-2</f>
        <v/>
      </c>
      <c r="B226">
        <f>IFERROR(INDEX('Keyword Map'!$G$3:$G$1002,MATCH(A226,'Keyword Map'!$AA$3:$AA$1002,0)),"")</f>
        <v/>
      </c>
      <c r="C226">
        <f>IF(B226="","",INDEX('Keyword Map'!$I$3:$I$1002,MATCH(A226,'Keyword Map'!$AA$3:$AA$1002,0))&amp;"")</f>
        <v/>
      </c>
      <c r="D226">
        <f>IF(B226="","",INDEX('Keyword Map'!$H$3:$H$1002,MATCH(A226,'Keyword Map'!$AA$3:$AA$1002,0))&amp;"")</f>
        <v/>
      </c>
      <c r="E226">
        <f>IF(B226="","",COUNTIF('Keyword Map'!$G$3:$G$1002,SUBSTITUTE(SUBSTITUTE(B226,"?","~?"),"*","~*")))</f>
        <v/>
      </c>
      <c r="F226">
        <f>IF(B226="","",COUNTIFS('Keyword Map'!$G$3:$G$1002,SUBSTITUTE(SUBSTITUTE(B226,"?","~?"),"*","~*"),'Keyword Map'!$J$3:$J$1002,"Primary"))</f>
        <v/>
      </c>
      <c r="G226">
        <f>IF(B226="","",SUMIFS('Keyword Map'!$C$3:$C$1002,'Keyword Map'!$G$3:$G$1002,SUBSTITUTE(SUBSTITUTE(B226,"?","~?"),"*","~*")))</f>
        <v/>
      </c>
      <c r="H226">
        <f>IF(B226="","",IFERROR(ROUND(AVERAGEIFS('Keyword Map'!$P$3:$P$1002,'Keyword Map'!$G$3:$G$1002,SUBSTITUTE(SUBSTITUTE(B226,"?","~?"),"*","~*")),0),""))</f>
        <v/>
      </c>
      <c r="I226">
        <f>IF(B226="","",COUNTIFS('Keyword Map'!$G$3:$G$1002,SUBSTITUTE(SUBSTITUTE(B226,"?","~?"),"*","~*"),'Keyword Map'!$R$3:$R$1002,"Yes"))</f>
        <v/>
      </c>
      <c r="J226">
        <f>IF(B226="","",COUNTIFS('Keyword Map'!$G$3:$G$1002,SUBSTITUTE(SUBSTITUTE(B226,"?","~?"),"*","~*"),'Keyword Map'!$W$3:$W$1002,"Yes"))</f>
        <v/>
      </c>
      <c r="K226">
        <f>IF(B226="","",IF(F226=0,"No primary keyword",IF(F226&gt;Settings!$B$4,"Too many primary keywords",IF(I226+J226&gt;0,"Check flags","OK"))))</f>
        <v/>
      </c>
    </row>
    <row r="227">
      <c r="A227">
        <f>ROW()-2</f>
        <v/>
      </c>
      <c r="B227">
        <f>IFERROR(INDEX('Keyword Map'!$G$3:$G$1002,MATCH(A227,'Keyword Map'!$AA$3:$AA$1002,0)),"")</f>
        <v/>
      </c>
      <c r="C227">
        <f>IF(B227="","",INDEX('Keyword Map'!$I$3:$I$1002,MATCH(A227,'Keyword Map'!$AA$3:$AA$1002,0))&amp;"")</f>
        <v/>
      </c>
      <c r="D227">
        <f>IF(B227="","",INDEX('Keyword Map'!$H$3:$H$1002,MATCH(A227,'Keyword Map'!$AA$3:$AA$1002,0))&amp;"")</f>
        <v/>
      </c>
      <c r="E227">
        <f>IF(B227="","",COUNTIF('Keyword Map'!$G$3:$G$1002,SUBSTITUTE(SUBSTITUTE(B227,"?","~?"),"*","~*")))</f>
        <v/>
      </c>
      <c r="F227">
        <f>IF(B227="","",COUNTIFS('Keyword Map'!$G$3:$G$1002,SUBSTITUTE(SUBSTITUTE(B227,"?","~?"),"*","~*"),'Keyword Map'!$J$3:$J$1002,"Primary"))</f>
        <v/>
      </c>
      <c r="G227">
        <f>IF(B227="","",SUMIFS('Keyword Map'!$C$3:$C$1002,'Keyword Map'!$G$3:$G$1002,SUBSTITUTE(SUBSTITUTE(B227,"?","~?"),"*","~*")))</f>
        <v/>
      </c>
      <c r="H227">
        <f>IF(B227="","",IFERROR(ROUND(AVERAGEIFS('Keyword Map'!$P$3:$P$1002,'Keyword Map'!$G$3:$G$1002,SUBSTITUTE(SUBSTITUTE(B227,"?","~?"),"*","~*")),0),""))</f>
        <v/>
      </c>
      <c r="I227">
        <f>IF(B227="","",COUNTIFS('Keyword Map'!$G$3:$G$1002,SUBSTITUTE(SUBSTITUTE(B227,"?","~?"),"*","~*"),'Keyword Map'!$R$3:$R$1002,"Yes"))</f>
        <v/>
      </c>
      <c r="J227">
        <f>IF(B227="","",COUNTIFS('Keyword Map'!$G$3:$G$1002,SUBSTITUTE(SUBSTITUTE(B227,"?","~?"),"*","~*"),'Keyword Map'!$W$3:$W$1002,"Yes"))</f>
        <v/>
      </c>
      <c r="K227">
        <f>IF(B227="","",IF(F227=0,"No primary keyword",IF(F227&gt;Settings!$B$4,"Too many primary keywords",IF(I227+J227&gt;0,"Check flags","OK"))))</f>
        <v/>
      </c>
    </row>
    <row r="228">
      <c r="A228">
        <f>ROW()-2</f>
        <v/>
      </c>
      <c r="B228">
        <f>IFERROR(INDEX('Keyword Map'!$G$3:$G$1002,MATCH(A228,'Keyword Map'!$AA$3:$AA$1002,0)),"")</f>
        <v/>
      </c>
      <c r="C228">
        <f>IF(B228="","",INDEX('Keyword Map'!$I$3:$I$1002,MATCH(A228,'Keyword Map'!$AA$3:$AA$1002,0))&amp;"")</f>
        <v/>
      </c>
      <c r="D228">
        <f>IF(B228="","",INDEX('Keyword Map'!$H$3:$H$1002,MATCH(A228,'Keyword Map'!$AA$3:$AA$1002,0))&amp;"")</f>
        <v/>
      </c>
      <c r="E228">
        <f>IF(B228="","",COUNTIF('Keyword Map'!$G$3:$G$1002,SUBSTITUTE(SUBSTITUTE(B228,"?","~?"),"*","~*")))</f>
        <v/>
      </c>
      <c r="F228">
        <f>IF(B228="","",COUNTIFS('Keyword Map'!$G$3:$G$1002,SUBSTITUTE(SUBSTITUTE(B228,"?","~?"),"*","~*"),'Keyword Map'!$J$3:$J$1002,"Primary"))</f>
        <v/>
      </c>
      <c r="G228">
        <f>IF(B228="","",SUMIFS('Keyword Map'!$C$3:$C$1002,'Keyword Map'!$G$3:$G$1002,SUBSTITUTE(SUBSTITUTE(B228,"?","~?"),"*","~*")))</f>
        <v/>
      </c>
      <c r="H228">
        <f>IF(B228="","",IFERROR(ROUND(AVERAGEIFS('Keyword Map'!$P$3:$P$1002,'Keyword Map'!$G$3:$G$1002,SUBSTITUTE(SUBSTITUTE(B228,"?","~?"),"*","~*")),0),""))</f>
        <v/>
      </c>
      <c r="I228">
        <f>IF(B228="","",COUNTIFS('Keyword Map'!$G$3:$G$1002,SUBSTITUTE(SUBSTITUTE(B228,"?","~?"),"*","~*"),'Keyword Map'!$R$3:$R$1002,"Yes"))</f>
        <v/>
      </c>
      <c r="J228">
        <f>IF(B228="","",COUNTIFS('Keyword Map'!$G$3:$G$1002,SUBSTITUTE(SUBSTITUTE(B228,"?","~?"),"*","~*"),'Keyword Map'!$W$3:$W$1002,"Yes"))</f>
        <v/>
      </c>
      <c r="K228">
        <f>IF(B228="","",IF(F228=0,"No primary keyword",IF(F228&gt;Settings!$B$4,"Too many primary keywords",IF(I228+J228&gt;0,"Check flags","OK"))))</f>
        <v/>
      </c>
    </row>
    <row r="229">
      <c r="A229">
        <f>ROW()-2</f>
        <v/>
      </c>
      <c r="B229">
        <f>IFERROR(INDEX('Keyword Map'!$G$3:$G$1002,MATCH(A229,'Keyword Map'!$AA$3:$AA$1002,0)),"")</f>
        <v/>
      </c>
      <c r="C229">
        <f>IF(B229="","",INDEX('Keyword Map'!$I$3:$I$1002,MATCH(A229,'Keyword Map'!$AA$3:$AA$1002,0))&amp;"")</f>
        <v/>
      </c>
      <c r="D229">
        <f>IF(B229="","",INDEX('Keyword Map'!$H$3:$H$1002,MATCH(A229,'Keyword Map'!$AA$3:$AA$1002,0))&amp;"")</f>
        <v/>
      </c>
      <c r="E229">
        <f>IF(B229="","",COUNTIF('Keyword Map'!$G$3:$G$1002,SUBSTITUTE(SUBSTITUTE(B229,"?","~?"),"*","~*")))</f>
        <v/>
      </c>
      <c r="F229">
        <f>IF(B229="","",COUNTIFS('Keyword Map'!$G$3:$G$1002,SUBSTITUTE(SUBSTITUTE(B229,"?","~?"),"*","~*"),'Keyword Map'!$J$3:$J$1002,"Primary"))</f>
        <v/>
      </c>
      <c r="G229">
        <f>IF(B229="","",SUMIFS('Keyword Map'!$C$3:$C$1002,'Keyword Map'!$G$3:$G$1002,SUBSTITUTE(SUBSTITUTE(B229,"?","~?"),"*","~*")))</f>
        <v/>
      </c>
      <c r="H229">
        <f>IF(B229="","",IFERROR(ROUND(AVERAGEIFS('Keyword Map'!$P$3:$P$1002,'Keyword Map'!$G$3:$G$1002,SUBSTITUTE(SUBSTITUTE(B229,"?","~?"),"*","~*")),0),""))</f>
        <v/>
      </c>
      <c r="I229">
        <f>IF(B229="","",COUNTIFS('Keyword Map'!$G$3:$G$1002,SUBSTITUTE(SUBSTITUTE(B229,"?","~?"),"*","~*"),'Keyword Map'!$R$3:$R$1002,"Yes"))</f>
        <v/>
      </c>
      <c r="J229">
        <f>IF(B229="","",COUNTIFS('Keyword Map'!$G$3:$G$1002,SUBSTITUTE(SUBSTITUTE(B229,"?","~?"),"*","~*"),'Keyword Map'!$W$3:$W$1002,"Yes"))</f>
        <v/>
      </c>
      <c r="K229">
        <f>IF(B229="","",IF(F229=0,"No primary keyword",IF(F229&gt;Settings!$B$4,"Too many primary keywords",IF(I229+J229&gt;0,"Check flags","OK"))))</f>
        <v/>
      </c>
    </row>
    <row r="230">
      <c r="A230">
        <f>ROW()-2</f>
        <v/>
      </c>
      <c r="B230">
        <f>IFERROR(INDEX('Keyword Map'!$G$3:$G$1002,MATCH(A230,'Keyword Map'!$AA$3:$AA$1002,0)),"")</f>
        <v/>
      </c>
      <c r="C230">
        <f>IF(B230="","",INDEX('Keyword Map'!$I$3:$I$1002,MATCH(A230,'Keyword Map'!$AA$3:$AA$1002,0))&amp;"")</f>
        <v/>
      </c>
      <c r="D230">
        <f>IF(B230="","",INDEX('Keyword Map'!$H$3:$H$1002,MATCH(A230,'Keyword Map'!$AA$3:$AA$1002,0))&amp;"")</f>
        <v/>
      </c>
      <c r="E230">
        <f>IF(B230="","",COUNTIF('Keyword Map'!$G$3:$G$1002,SUBSTITUTE(SUBSTITUTE(B230,"?","~?"),"*","~*")))</f>
        <v/>
      </c>
      <c r="F230">
        <f>IF(B230="","",COUNTIFS('Keyword Map'!$G$3:$G$1002,SUBSTITUTE(SUBSTITUTE(B230,"?","~?"),"*","~*"),'Keyword Map'!$J$3:$J$1002,"Primary"))</f>
        <v/>
      </c>
      <c r="G230">
        <f>IF(B230="","",SUMIFS('Keyword Map'!$C$3:$C$1002,'Keyword Map'!$G$3:$G$1002,SUBSTITUTE(SUBSTITUTE(B230,"?","~?"),"*","~*")))</f>
        <v/>
      </c>
      <c r="H230">
        <f>IF(B230="","",IFERROR(ROUND(AVERAGEIFS('Keyword Map'!$P$3:$P$1002,'Keyword Map'!$G$3:$G$1002,SUBSTITUTE(SUBSTITUTE(B230,"?","~?"),"*","~*")),0),""))</f>
        <v/>
      </c>
      <c r="I230">
        <f>IF(B230="","",COUNTIFS('Keyword Map'!$G$3:$G$1002,SUBSTITUTE(SUBSTITUTE(B230,"?","~?"),"*","~*"),'Keyword Map'!$R$3:$R$1002,"Yes"))</f>
        <v/>
      </c>
      <c r="J230">
        <f>IF(B230="","",COUNTIFS('Keyword Map'!$G$3:$G$1002,SUBSTITUTE(SUBSTITUTE(B230,"?","~?"),"*","~*"),'Keyword Map'!$W$3:$W$1002,"Yes"))</f>
        <v/>
      </c>
      <c r="K230">
        <f>IF(B230="","",IF(F230=0,"No primary keyword",IF(F230&gt;Settings!$B$4,"Too many primary keywords",IF(I230+J230&gt;0,"Check flags","OK"))))</f>
        <v/>
      </c>
    </row>
    <row r="231">
      <c r="A231">
        <f>ROW()-2</f>
        <v/>
      </c>
      <c r="B231">
        <f>IFERROR(INDEX('Keyword Map'!$G$3:$G$1002,MATCH(A231,'Keyword Map'!$AA$3:$AA$1002,0)),"")</f>
        <v/>
      </c>
      <c r="C231">
        <f>IF(B231="","",INDEX('Keyword Map'!$I$3:$I$1002,MATCH(A231,'Keyword Map'!$AA$3:$AA$1002,0))&amp;"")</f>
        <v/>
      </c>
      <c r="D231">
        <f>IF(B231="","",INDEX('Keyword Map'!$H$3:$H$1002,MATCH(A231,'Keyword Map'!$AA$3:$AA$1002,0))&amp;"")</f>
        <v/>
      </c>
      <c r="E231">
        <f>IF(B231="","",COUNTIF('Keyword Map'!$G$3:$G$1002,SUBSTITUTE(SUBSTITUTE(B231,"?","~?"),"*","~*")))</f>
        <v/>
      </c>
      <c r="F231">
        <f>IF(B231="","",COUNTIFS('Keyword Map'!$G$3:$G$1002,SUBSTITUTE(SUBSTITUTE(B231,"?","~?"),"*","~*"),'Keyword Map'!$J$3:$J$1002,"Primary"))</f>
        <v/>
      </c>
      <c r="G231">
        <f>IF(B231="","",SUMIFS('Keyword Map'!$C$3:$C$1002,'Keyword Map'!$G$3:$G$1002,SUBSTITUTE(SUBSTITUTE(B231,"?","~?"),"*","~*")))</f>
        <v/>
      </c>
      <c r="H231">
        <f>IF(B231="","",IFERROR(ROUND(AVERAGEIFS('Keyword Map'!$P$3:$P$1002,'Keyword Map'!$G$3:$G$1002,SUBSTITUTE(SUBSTITUTE(B231,"?","~?"),"*","~*")),0),""))</f>
        <v/>
      </c>
      <c r="I231">
        <f>IF(B231="","",COUNTIFS('Keyword Map'!$G$3:$G$1002,SUBSTITUTE(SUBSTITUTE(B231,"?","~?"),"*","~*"),'Keyword Map'!$R$3:$R$1002,"Yes"))</f>
        <v/>
      </c>
      <c r="J231">
        <f>IF(B231="","",COUNTIFS('Keyword Map'!$G$3:$G$1002,SUBSTITUTE(SUBSTITUTE(B231,"?","~?"),"*","~*"),'Keyword Map'!$W$3:$W$1002,"Yes"))</f>
        <v/>
      </c>
      <c r="K231">
        <f>IF(B231="","",IF(F231=0,"No primary keyword",IF(F231&gt;Settings!$B$4,"Too many primary keywords",IF(I231+J231&gt;0,"Check flags","OK"))))</f>
        <v/>
      </c>
    </row>
    <row r="232">
      <c r="A232">
        <f>ROW()-2</f>
        <v/>
      </c>
      <c r="B232">
        <f>IFERROR(INDEX('Keyword Map'!$G$3:$G$1002,MATCH(A232,'Keyword Map'!$AA$3:$AA$1002,0)),"")</f>
        <v/>
      </c>
      <c r="C232">
        <f>IF(B232="","",INDEX('Keyword Map'!$I$3:$I$1002,MATCH(A232,'Keyword Map'!$AA$3:$AA$1002,0))&amp;"")</f>
        <v/>
      </c>
      <c r="D232">
        <f>IF(B232="","",INDEX('Keyword Map'!$H$3:$H$1002,MATCH(A232,'Keyword Map'!$AA$3:$AA$1002,0))&amp;"")</f>
        <v/>
      </c>
      <c r="E232">
        <f>IF(B232="","",COUNTIF('Keyword Map'!$G$3:$G$1002,SUBSTITUTE(SUBSTITUTE(B232,"?","~?"),"*","~*")))</f>
        <v/>
      </c>
      <c r="F232">
        <f>IF(B232="","",COUNTIFS('Keyword Map'!$G$3:$G$1002,SUBSTITUTE(SUBSTITUTE(B232,"?","~?"),"*","~*"),'Keyword Map'!$J$3:$J$1002,"Primary"))</f>
        <v/>
      </c>
      <c r="G232">
        <f>IF(B232="","",SUMIFS('Keyword Map'!$C$3:$C$1002,'Keyword Map'!$G$3:$G$1002,SUBSTITUTE(SUBSTITUTE(B232,"?","~?"),"*","~*")))</f>
        <v/>
      </c>
      <c r="H232">
        <f>IF(B232="","",IFERROR(ROUND(AVERAGEIFS('Keyword Map'!$P$3:$P$1002,'Keyword Map'!$G$3:$G$1002,SUBSTITUTE(SUBSTITUTE(B232,"?","~?"),"*","~*")),0),""))</f>
        <v/>
      </c>
      <c r="I232">
        <f>IF(B232="","",COUNTIFS('Keyword Map'!$G$3:$G$1002,SUBSTITUTE(SUBSTITUTE(B232,"?","~?"),"*","~*"),'Keyword Map'!$R$3:$R$1002,"Yes"))</f>
        <v/>
      </c>
      <c r="J232">
        <f>IF(B232="","",COUNTIFS('Keyword Map'!$G$3:$G$1002,SUBSTITUTE(SUBSTITUTE(B232,"?","~?"),"*","~*"),'Keyword Map'!$W$3:$W$1002,"Yes"))</f>
        <v/>
      </c>
      <c r="K232">
        <f>IF(B232="","",IF(F232=0,"No primary keyword",IF(F232&gt;Settings!$B$4,"Too many primary keywords",IF(I232+J232&gt;0,"Check flags","OK"))))</f>
        <v/>
      </c>
    </row>
    <row r="233">
      <c r="A233">
        <f>ROW()-2</f>
        <v/>
      </c>
      <c r="B233">
        <f>IFERROR(INDEX('Keyword Map'!$G$3:$G$1002,MATCH(A233,'Keyword Map'!$AA$3:$AA$1002,0)),"")</f>
        <v/>
      </c>
      <c r="C233">
        <f>IF(B233="","",INDEX('Keyword Map'!$I$3:$I$1002,MATCH(A233,'Keyword Map'!$AA$3:$AA$1002,0))&amp;"")</f>
        <v/>
      </c>
      <c r="D233">
        <f>IF(B233="","",INDEX('Keyword Map'!$H$3:$H$1002,MATCH(A233,'Keyword Map'!$AA$3:$AA$1002,0))&amp;"")</f>
        <v/>
      </c>
      <c r="E233">
        <f>IF(B233="","",COUNTIF('Keyword Map'!$G$3:$G$1002,SUBSTITUTE(SUBSTITUTE(B233,"?","~?"),"*","~*")))</f>
        <v/>
      </c>
      <c r="F233">
        <f>IF(B233="","",COUNTIFS('Keyword Map'!$G$3:$G$1002,SUBSTITUTE(SUBSTITUTE(B233,"?","~?"),"*","~*"),'Keyword Map'!$J$3:$J$1002,"Primary"))</f>
        <v/>
      </c>
      <c r="G233">
        <f>IF(B233="","",SUMIFS('Keyword Map'!$C$3:$C$1002,'Keyword Map'!$G$3:$G$1002,SUBSTITUTE(SUBSTITUTE(B233,"?","~?"),"*","~*")))</f>
        <v/>
      </c>
      <c r="H233">
        <f>IF(B233="","",IFERROR(ROUND(AVERAGEIFS('Keyword Map'!$P$3:$P$1002,'Keyword Map'!$G$3:$G$1002,SUBSTITUTE(SUBSTITUTE(B233,"?","~?"),"*","~*")),0),""))</f>
        <v/>
      </c>
      <c r="I233">
        <f>IF(B233="","",COUNTIFS('Keyword Map'!$G$3:$G$1002,SUBSTITUTE(SUBSTITUTE(B233,"?","~?"),"*","~*"),'Keyword Map'!$R$3:$R$1002,"Yes"))</f>
        <v/>
      </c>
      <c r="J233">
        <f>IF(B233="","",COUNTIFS('Keyword Map'!$G$3:$G$1002,SUBSTITUTE(SUBSTITUTE(B233,"?","~?"),"*","~*"),'Keyword Map'!$W$3:$W$1002,"Yes"))</f>
        <v/>
      </c>
      <c r="K233">
        <f>IF(B233="","",IF(F233=0,"No primary keyword",IF(F233&gt;Settings!$B$4,"Too many primary keywords",IF(I233+J233&gt;0,"Check flags","OK"))))</f>
        <v/>
      </c>
    </row>
    <row r="234">
      <c r="A234">
        <f>ROW()-2</f>
        <v/>
      </c>
      <c r="B234">
        <f>IFERROR(INDEX('Keyword Map'!$G$3:$G$1002,MATCH(A234,'Keyword Map'!$AA$3:$AA$1002,0)),"")</f>
        <v/>
      </c>
      <c r="C234">
        <f>IF(B234="","",INDEX('Keyword Map'!$I$3:$I$1002,MATCH(A234,'Keyword Map'!$AA$3:$AA$1002,0))&amp;"")</f>
        <v/>
      </c>
      <c r="D234">
        <f>IF(B234="","",INDEX('Keyword Map'!$H$3:$H$1002,MATCH(A234,'Keyword Map'!$AA$3:$AA$1002,0))&amp;"")</f>
        <v/>
      </c>
      <c r="E234">
        <f>IF(B234="","",COUNTIF('Keyword Map'!$G$3:$G$1002,SUBSTITUTE(SUBSTITUTE(B234,"?","~?"),"*","~*")))</f>
        <v/>
      </c>
      <c r="F234">
        <f>IF(B234="","",COUNTIFS('Keyword Map'!$G$3:$G$1002,SUBSTITUTE(SUBSTITUTE(B234,"?","~?"),"*","~*"),'Keyword Map'!$J$3:$J$1002,"Primary"))</f>
        <v/>
      </c>
      <c r="G234">
        <f>IF(B234="","",SUMIFS('Keyword Map'!$C$3:$C$1002,'Keyword Map'!$G$3:$G$1002,SUBSTITUTE(SUBSTITUTE(B234,"?","~?"),"*","~*")))</f>
        <v/>
      </c>
      <c r="H234">
        <f>IF(B234="","",IFERROR(ROUND(AVERAGEIFS('Keyword Map'!$P$3:$P$1002,'Keyword Map'!$G$3:$G$1002,SUBSTITUTE(SUBSTITUTE(B234,"?","~?"),"*","~*")),0),""))</f>
        <v/>
      </c>
      <c r="I234">
        <f>IF(B234="","",COUNTIFS('Keyword Map'!$G$3:$G$1002,SUBSTITUTE(SUBSTITUTE(B234,"?","~?"),"*","~*"),'Keyword Map'!$R$3:$R$1002,"Yes"))</f>
        <v/>
      </c>
      <c r="J234">
        <f>IF(B234="","",COUNTIFS('Keyword Map'!$G$3:$G$1002,SUBSTITUTE(SUBSTITUTE(B234,"?","~?"),"*","~*"),'Keyword Map'!$W$3:$W$1002,"Yes"))</f>
        <v/>
      </c>
      <c r="K234">
        <f>IF(B234="","",IF(F234=0,"No primary keyword",IF(F234&gt;Settings!$B$4,"Too many primary keywords",IF(I234+J234&gt;0,"Check flags","OK"))))</f>
        <v/>
      </c>
    </row>
    <row r="235">
      <c r="A235">
        <f>ROW()-2</f>
        <v/>
      </c>
      <c r="B235">
        <f>IFERROR(INDEX('Keyword Map'!$G$3:$G$1002,MATCH(A235,'Keyword Map'!$AA$3:$AA$1002,0)),"")</f>
        <v/>
      </c>
      <c r="C235">
        <f>IF(B235="","",INDEX('Keyword Map'!$I$3:$I$1002,MATCH(A235,'Keyword Map'!$AA$3:$AA$1002,0))&amp;"")</f>
        <v/>
      </c>
      <c r="D235">
        <f>IF(B235="","",INDEX('Keyword Map'!$H$3:$H$1002,MATCH(A235,'Keyword Map'!$AA$3:$AA$1002,0))&amp;"")</f>
        <v/>
      </c>
      <c r="E235">
        <f>IF(B235="","",COUNTIF('Keyword Map'!$G$3:$G$1002,SUBSTITUTE(SUBSTITUTE(B235,"?","~?"),"*","~*")))</f>
        <v/>
      </c>
      <c r="F235">
        <f>IF(B235="","",COUNTIFS('Keyword Map'!$G$3:$G$1002,SUBSTITUTE(SUBSTITUTE(B235,"?","~?"),"*","~*"),'Keyword Map'!$J$3:$J$1002,"Primary"))</f>
        <v/>
      </c>
      <c r="G235">
        <f>IF(B235="","",SUMIFS('Keyword Map'!$C$3:$C$1002,'Keyword Map'!$G$3:$G$1002,SUBSTITUTE(SUBSTITUTE(B235,"?","~?"),"*","~*")))</f>
        <v/>
      </c>
      <c r="H235">
        <f>IF(B235="","",IFERROR(ROUND(AVERAGEIFS('Keyword Map'!$P$3:$P$1002,'Keyword Map'!$G$3:$G$1002,SUBSTITUTE(SUBSTITUTE(B235,"?","~?"),"*","~*")),0),""))</f>
        <v/>
      </c>
      <c r="I235">
        <f>IF(B235="","",COUNTIFS('Keyword Map'!$G$3:$G$1002,SUBSTITUTE(SUBSTITUTE(B235,"?","~?"),"*","~*"),'Keyword Map'!$R$3:$R$1002,"Yes"))</f>
        <v/>
      </c>
      <c r="J235">
        <f>IF(B235="","",COUNTIFS('Keyword Map'!$G$3:$G$1002,SUBSTITUTE(SUBSTITUTE(B235,"?","~?"),"*","~*"),'Keyword Map'!$W$3:$W$1002,"Yes"))</f>
        <v/>
      </c>
      <c r="K235">
        <f>IF(B235="","",IF(F235=0,"No primary keyword",IF(F235&gt;Settings!$B$4,"Too many primary keywords",IF(I235+J235&gt;0,"Check flags","OK"))))</f>
        <v/>
      </c>
    </row>
    <row r="236">
      <c r="A236">
        <f>ROW()-2</f>
        <v/>
      </c>
      <c r="B236">
        <f>IFERROR(INDEX('Keyword Map'!$G$3:$G$1002,MATCH(A236,'Keyword Map'!$AA$3:$AA$1002,0)),"")</f>
        <v/>
      </c>
      <c r="C236">
        <f>IF(B236="","",INDEX('Keyword Map'!$I$3:$I$1002,MATCH(A236,'Keyword Map'!$AA$3:$AA$1002,0))&amp;"")</f>
        <v/>
      </c>
      <c r="D236">
        <f>IF(B236="","",INDEX('Keyword Map'!$H$3:$H$1002,MATCH(A236,'Keyword Map'!$AA$3:$AA$1002,0))&amp;"")</f>
        <v/>
      </c>
      <c r="E236">
        <f>IF(B236="","",COUNTIF('Keyword Map'!$G$3:$G$1002,SUBSTITUTE(SUBSTITUTE(B236,"?","~?"),"*","~*")))</f>
        <v/>
      </c>
      <c r="F236">
        <f>IF(B236="","",COUNTIFS('Keyword Map'!$G$3:$G$1002,SUBSTITUTE(SUBSTITUTE(B236,"?","~?"),"*","~*"),'Keyword Map'!$J$3:$J$1002,"Primary"))</f>
        <v/>
      </c>
      <c r="G236">
        <f>IF(B236="","",SUMIFS('Keyword Map'!$C$3:$C$1002,'Keyword Map'!$G$3:$G$1002,SUBSTITUTE(SUBSTITUTE(B236,"?","~?"),"*","~*")))</f>
        <v/>
      </c>
      <c r="H236">
        <f>IF(B236="","",IFERROR(ROUND(AVERAGEIFS('Keyword Map'!$P$3:$P$1002,'Keyword Map'!$G$3:$G$1002,SUBSTITUTE(SUBSTITUTE(B236,"?","~?"),"*","~*")),0),""))</f>
        <v/>
      </c>
      <c r="I236">
        <f>IF(B236="","",COUNTIFS('Keyword Map'!$G$3:$G$1002,SUBSTITUTE(SUBSTITUTE(B236,"?","~?"),"*","~*"),'Keyword Map'!$R$3:$R$1002,"Yes"))</f>
        <v/>
      </c>
      <c r="J236">
        <f>IF(B236="","",COUNTIFS('Keyword Map'!$G$3:$G$1002,SUBSTITUTE(SUBSTITUTE(B236,"?","~?"),"*","~*"),'Keyword Map'!$W$3:$W$1002,"Yes"))</f>
        <v/>
      </c>
      <c r="K236">
        <f>IF(B236="","",IF(F236=0,"No primary keyword",IF(F236&gt;Settings!$B$4,"Too many primary keywords",IF(I236+J236&gt;0,"Check flags","OK"))))</f>
        <v/>
      </c>
    </row>
    <row r="237">
      <c r="A237">
        <f>ROW()-2</f>
        <v/>
      </c>
      <c r="B237">
        <f>IFERROR(INDEX('Keyword Map'!$G$3:$G$1002,MATCH(A237,'Keyword Map'!$AA$3:$AA$1002,0)),"")</f>
        <v/>
      </c>
      <c r="C237">
        <f>IF(B237="","",INDEX('Keyword Map'!$I$3:$I$1002,MATCH(A237,'Keyword Map'!$AA$3:$AA$1002,0))&amp;"")</f>
        <v/>
      </c>
      <c r="D237">
        <f>IF(B237="","",INDEX('Keyword Map'!$H$3:$H$1002,MATCH(A237,'Keyword Map'!$AA$3:$AA$1002,0))&amp;"")</f>
        <v/>
      </c>
      <c r="E237">
        <f>IF(B237="","",COUNTIF('Keyword Map'!$G$3:$G$1002,SUBSTITUTE(SUBSTITUTE(B237,"?","~?"),"*","~*")))</f>
        <v/>
      </c>
      <c r="F237">
        <f>IF(B237="","",COUNTIFS('Keyword Map'!$G$3:$G$1002,SUBSTITUTE(SUBSTITUTE(B237,"?","~?"),"*","~*"),'Keyword Map'!$J$3:$J$1002,"Primary"))</f>
        <v/>
      </c>
      <c r="G237">
        <f>IF(B237="","",SUMIFS('Keyword Map'!$C$3:$C$1002,'Keyword Map'!$G$3:$G$1002,SUBSTITUTE(SUBSTITUTE(B237,"?","~?"),"*","~*")))</f>
        <v/>
      </c>
      <c r="H237">
        <f>IF(B237="","",IFERROR(ROUND(AVERAGEIFS('Keyword Map'!$P$3:$P$1002,'Keyword Map'!$G$3:$G$1002,SUBSTITUTE(SUBSTITUTE(B237,"?","~?"),"*","~*")),0),""))</f>
        <v/>
      </c>
      <c r="I237">
        <f>IF(B237="","",COUNTIFS('Keyword Map'!$G$3:$G$1002,SUBSTITUTE(SUBSTITUTE(B237,"?","~?"),"*","~*"),'Keyword Map'!$R$3:$R$1002,"Yes"))</f>
        <v/>
      </c>
      <c r="J237">
        <f>IF(B237="","",COUNTIFS('Keyword Map'!$G$3:$G$1002,SUBSTITUTE(SUBSTITUTE(B237,"?","~?"),"*","~*"),'Keyword Map'!$W$3:$W$1002,"Yes"))</f>
        <v/>
      </c>
      <c r="K237">
        <f>IF(B237="","",IF(F237=0,"No primary keyword",IF(F237&gt;Settings!$B$4,"Too many primary keywords",IF(I237+J237&gt;0,"Check flags","OK"))))</f>
        <v/>
      </c>
    </row>
    <row r="238">
      <c r="A238">
        <f>ROW()-2</f>
        <v/>
      </c>
      <c r="B238">
        <f>IFERROR(INDEX('Keyword Map'!$G$3:$G$1002,MATCH(A238,'Keyword Map'!$AA$3:$AA$1002,0)),"")</f>
        <v/>
      </c>
      <c r="C238">
        <f>IF(B238="","",INDEX('Keyword Map'!$I$3:$I$1002,MATCH(A238,'Keyword Map'!$AA$3:$AA$1002,0))&amp;"")</f>
        <v/>
      </c>
      <c r="D238">
        <f>IF(B238="","",INDEX('Keyword Map'!$H$3:$H$1002,MATCH(A238,'Keyword Map'!$AA$3:$AA$1002,0))&amp;"")</f>
        <v/>
      </c>
      <c r="E238">
        <f>IF(B238="","",COUNTIF('Keyword Map'!$G$3:$G$1002,SUBSTITUTE(SUBSTITUTE(B238,"?","~?"),"*","~*")))</f>
        <v/>
      </c>
      <c r="F238">
        <f>IF(B238="","",COUNTIFS('Keyword Map'!$G$3:$G$1002,SUBSTITUTE(SUBSTITUTE(B238,"?","~?"),"*","~*"),'Keyword Map'!$J$3:$J$1002,"Primary"))</f>
        <v/>
      </c>
      <c r="G238">
        <f>IF(B238="","",SUMIFS('Keyword Map'!$C$3:$C$1002,'Keyword Map'!$G$3:$G$1002,SUBSTITUTE(SUBSTITUTE(B238,"?","~?"),"*","~*")))</f>
        <v/>
      </c>
      <c r="H238">
        <f>IF(B238="","",IFERROR(ROUND(AVERAGEIFS('Keyword Map'!$P$3:$P$1002,'Keyword Map'!$G$3:$G$1002,SUBSTITUTE(SUBSTITUTE(B238,"?","~?"),"*","~*")),0),""))</f>
        <v/>
      </c>
      <c r="I238">
        <f>IF(B238="","",COUNTIFS('Keyword Map'!$G$3:$G$1002,SUBSTITUTE(SUBSTITUTE(B238,"?","~?"),"*","~*"),'Keyword Map'!$R$3:$R$1002,"Yes"))</f>
        <v/>
      </c>
      <c r="J238">
        <f>IF(B238="","",COUNTIFS('Keyword Map'!$G$3:$G$1002,SUBSTITUTE(SUBSTITUTE(B238,"?","~?"),"*","~*"),'Keyword Map'!$W$3:$W$1002,"Yes"))</f>
        <v/>
      </c>
      <c r="K238">
        <f>IF(B238="","",IF(F238=0,"No primary keyword",IF(F238&gt;Settings!$B$4,"Too many primary keywords",IF(I238+J238&gt;0,"Check flags","OK"))))</f>
        <v/>
      </c>
    </row>
    <row r="239">
      <c r="A239">
        <f>ROW()-2</f>
        <v/>
      </c>
      <c r="B239">
        <f>IFERROR(INDEX('Keyword Map'!$G$3:$G$1002,MATCH(A239,'Keyword Map'!$AA$3:$AA$1002,0)),"")</f>
        <v/>
      </c>
      <c r="C239">
        <f>IF(B239="","",INDEX('Keyword Map'!$I$3:$I$1002,MATCH(A239,'Keyword Map'!$AA$3:$AA$1002,0))&amp;"")</f>
        <v/>
      </c>
      <c r="D239">
        <f>IF(B239="","",INDEX('Keyword Map'!$H$3:$H$1002,MATCH(A239,'Keyword Map'!$AA$3:$AA$1002,0))&amp;"")</f>
        <v/>
      </c>
      <c r="E239">
        <f>IF(B239="","",COUNTIF('Keyword Map'!$G$3:$G$1002,SUBSTITUTE(SUBSTITUTE(B239,"?","~?"),"*","~*")))</f>
        <v/>
      </c>
      <c r="F239">
        <f>IF(B239="","",COUNTIFS('Keyword Map'!$G$3:$G$1002,SUBSTITUTE(SUBSTITUTE(B239,"?","~?"),"*","~*"),'Keyword Map'!$J$3:$J$1002,"Primary"))</f>
        <v/>
      </c>
      <c r="G239">
        <f>IF(B239="","",SUMIFS('Keyword Map'!$C$3:$C$1002,'Keyword Map'!$G$3:$G$1002,SUBSTITUTE(SUBSTITUTE(B239,"?","~?"),"*","~*")))</f>
        <v/>
      </c>
      <c r="H239">
        <f>IF(B239="","",IFERROR(ROUND(AVERAGEIFS('Keyword Map'!$P$3:$P$1002,'Keyword Map'!$G$3:$G$1002,SUBSTITUTE(SUBSTITUTE(B239,"?","~?"),"*","~*")),0),""))</f>
        <v/>
      </c>
      <c r="I239">
        <f>IF(B239="","",COUNTIFS('Keyword Map'!$G$3:$G$1002,SUBSTITUTE(SUBSTITUTE(B239,"?","~?"),"*","~*"),'Keyword Map'!$R$3:$R$1002,"Yes"))</f>
        <v/>
      </c>
      <c r="J239">
        <f>IF(B239="","",COUNTIFS('Keyword Map'!$G$3:$G$1002,SUBSTITUTE(SUBSTITUTE(B239,"?","~?"),"*","~*"),'Keyword Map'!$W$3:$W$1002,"Yes"))</f>
        <v/>
      </c>
      <c r="K239">
        <f>IF(B239="","",IF(F239=0,"No primary keyword",IF(F239&gt;Settings!$B$4,"Too many primary keywords",IF(I239+J239&gt;0,"Check flags","OK"))))</f>
        <v/>
      </c>
    </row>
    <row r="240">
      <c r="A240">
        <f>ROW()-2</f>
        <v/>
      </c>
      <c r="B240">
        <f>IFERROR(INDEX('Keyword Map'!$G$3:$G$1002,MATCH(A240,'Keyword Map'!$AA$3:$AA$1002,0)),"")</f>
        <v/>
      </c>
      <c r="C240">
        <f>IF(B240="","",INDEX('Keyword Map'!$I$3:$I$1002,MATCH(A240,'Keyword Map'!$AA$3:$AA$1002,0))&amp;"")</f>
        <v/>
      </c>
      <c r="D240">
        <f>IF(B240="","",INDEX('Keyword Map'!$H$3:$H$1002,MATCH(A240,'Keyword Map'!$AA$3:$AA$1002,0))&amp;"")</f>
        <v/>
      </c>
      <c r="E240">
        <f>IF(B240="","",COUNTIF('Keyword Map'!$G$3:$G$1002,SUBSTITUTE(SUBSTITUTE(B240,"?","~?"),"*","~*")))</f>
        <v/>
      </c>
      <c r="F240">
        <f>IF(B240="","",COUNTIFS('Keyword Map'!$G$3:$G$1002,SUBSTITUTE(SUBSTITUTE(B240,"?","~?"),"*","~*"),'Keyword Map'!$J$3:$J$1002,"Primary"))</f>
        <v/>
      </c>
      <c r="G240">
        <f>IF(B240="","",SUMIFS('Keyword Map'!$C$3:$C$1002,'Keyword Map'!$G$3:$G$1002,SUBSTITUTE(SUBSTITUTE(B240,"?","~?"),"*","~*")))</f>
        <v/>
      </c>
      <c r="H240">
        <f>IF(B240="","",IFERROR(ROUND(AVERAGEIFS('Keyword Map'!$P$3:$P$1002,'Keyword Map'!$G$3:$G$1002,SUBSTITUTE(SUBSTITUTE(B240,"?","~?"),"*","~*")),0),""))</f>
        <v/>
      </c>
      <c r="I240">
        <f>IF(B240="","",COUNTIFS('Keyword Map'!$G$3:$G$1002,SUBSTITUTE(SUBSTITUTE(B240,"?","~?"),"*","~*"),'Keyword Map'!$R$3:$R$1002,"Yes"))</f>
        <v/>
      </c>
      <c r="J240">
        <f>IF(B240="","",COUNTIFS('Keyword Map'!$G$3:$G$1002,SUBSTITUTE(SUBSTITUTE(B240,"?","~?"),"*","~*"),'Keyword Map'!$W$3:$W$1002,"Yes"))</f>
        <v/>
      </c>
      <c r="K240">
        <f>IF(B240="","",IF(F240=0,"No primary keyword",IF(F240&gt;Settings!$B$4,"Too many primary keywords",IF(I240+J240&gt;0,"Check flags","OK"))))</f>
        <v/>
      </c>
    </row>
    <row r="241">
      <c r="A241">
        <f>ROW()-2</f>
        <v/>
      </c>
      <c r="B241">
        <f>IFERROR(INDEX('Keyword Map'!$G$3:$G$1002,MATCH(A241,'Keyword Map'!$AA$3:$AA$1002,0)),"")</f>
        <v/>
      </c>
      <c r="C241">
        <f>IF(B241="","",INDEX('Keyword Map'!$I$3:$I$1002,MATCH(A241,'Keyword Map'!$AA$3:$AA$1002,0))&amp;"")</f>
        <v/>
      </c>
      <c r="D241">
        <f>IF(B241="","",INDEX('Keyword Map'!$H$3:$H$1002,MATCH(A241,'Keyword Map'!$AA$3:$AA$1002,0))&amp;"")</f>
        <v/>
      </c>
      <c r="E241">
        <f>IF(B241="","",COUNTIF('Keyword Map'!$G$3:$G$1002,SUBSTITUTE(SUBSTITUTE(B241,"?","~?"),"*","~*")))</f>
        <v/>
      </c>
      <c r="F241">
        <f>IF(B241="","",COUNTIFS('Keyword Map'!$G$3:$G$1002,SUBSTITUTE(SUBSTITUTE(B241,"?","~?"),"*","~*"),'Keyword Map'!$J$3:$J$1002,"Primary"))</f>
        <v/>
      </c>
      <c r="G241">
        <f>IF(B241="","",SUMIFS('Keyword Map'!$C$3:$C$1002,'Keyword Map'!$G$3:$G$1002,SUBSTITUTE(SUBSTITUTE(B241,"?","~?"),"*","~*")))</f>
        <v/>
      </c>
      <c r="H241">
        <f>IF(B241="","",IFERROR(ROUND(AVERAGEIFS('Keyword Map'!$P$3:$P$1002,'Keyword Map'!$G$3:$G$1002,SUBSTITUTE(SUBSTITUTE(B241,"?","~?"),"*","~*")),0),""))</f>
        <v/>
      </c>
      <c r="I241">
        <f>IF(B241="","",COUNTIFS('Keyword Map'!$G$3:$G$1002,SUBSTITUTE(SUBSTITUTE(B241,"?","~?"),"*","~*"),'Keyword Map'!$R$3:$R$1002,"Yes"))</f>
        <v/>
      </c>
      <c r="J241">
        <f>IF(B241="","",COUNTIFS('Keyword Map'!$G$3:$G$1002,SUBSTITUTE(SUBSTITUTE(B241,"?","~?"),"*","~*"),'Keyword Map'!$W$3:$W$1002,"Yes"))</f>
        <v/>
      </c>
      <c r="K241">
        <f>IF(B241="","",IF(F241=0,"No primary keyword",IF(F241&gt;Settings!$B$4,"Too many primary keywords",IF(I241+J241&gt;0,"Check flags","OK"))))</f>
        <v/>
      </c>
    </row>
    <row r="242">
      <c r="A242">
        <f>ROW()-2</f>
        <v/>
      </c>
      <c r="B242">
        <f>IFERROR(INDEX('Keyword Map'!$G$3:$G$1002,MATCH(A242,'Keyword Map'!$AA$3:$AA$1002,0)),"")</f>
        <v/>
      </c>
      <c r="C242">
        <f>IF(B242="","",INDEX('Keyword Map'!$I$3:$I$1002,MATCH(A242,'Keyword Map'!$AA$3:$AA$1002,0))&amp;"")</f>
        <v/>
      </c>
      <c r="D242">
        <f>IF(B242="","",INDEX('Keyword Map'!$H$3:$H$1002,MATCH(A242,'Keyword Map'!$AA$3:$AA$1002,0))&amp;"")</f>
        <v/>
      </c>
      <c r="E242">
        <f>IF(B242="","",COUNTIF('Keyword Map'!$G$3:$G$1002,SUBSTITUTE(SUBSTITUTE(B242,"?","~?"),"*","~*")))</f>
        <v/>
      </c>
      <c r="F242">
        <f>IF(B242="","",COUNTIFS('Keyword Map'!$G$3:$G$1002,SUBSTITUTE(SUBSTITUTE(B242,"?","~?"),"*","~*"),'Keyword Map'!$J$3:$J$1002,"Primary"))</f>
        <v/>
      </c>
      <c r="G242">
        <f>IF(B242="","",SUMIFS('Keyword Map'!$C$3:$C$1002,'Keyword Map'!$G$3:$G$1002,SUBSTITUTE(SUBSTITUTE(B242,"?","~?"),"*","~*")))</f>
        <v/>
      </c>
      <c r="H242">
        <f>IF(B242="","",IFERROR(ROUND(AVERAGEIFS('Keyword Map'!$P$3:$P$1002,'Keyword Map'!$G$3:$G$1002,SUBSTITUTE(SUBSTITUTE(B242,"?","~?"),"*","~*")),0),""))</f>
        <v/>
      </c>
      <c r="I242">
        <f>IF(B242="","",COUNTIFS('Keyword Map'!$G$3:$G$1002,SUBSTITUTE(SUBSTITUTE(B242,"?","~?"),"*","~*"),'Keyword Map'!$R$3:$R$1002,"Yes"))</f>
        <v/>
      </c>
      <c r="J242">
        <f>IF(B242="","",COUNTIFS('Keyword Map'!$G$3:$G$1002,SUBSTITUTE(SUBSTITUTE(B242,"?","~?"),"*","~*"),'Keyword Map'!$W$3:$W$1002,"Yes"))</f>
        <v/>
      </c>
      <c r="K242">
        <f>IF(B242="","",IF(F242=0,"No primary keyword",IF(F242&gt;Settings!$B$4,"Too many primary keywords",IF(I242+J242&gt;0,"Check flags","OK"))))</f>
        <v/>
      </c>
    </row>
    <row r="243">
      <c r="A243">
        <f>ROW()-2</f>
        <v/>
      </c>
      <c r="B243">
        <f>IFERROR(INDEX('Keyword Map'!$G$3:$G$1002,MATCH(A243,'Keyword Map'!$AA$3:$AA$1002,0)),"")</f>
        <v/>
      </c>
      <c r="C243">
        <f>IF(B243="","",INDEX('Keyword Map'!$I$3:$I$1002,MATCH(A243,'Keyword Map'!$AA$3:$AA$1002,0))&amp;"")</f>
        <v/>
      </c>
      <c r="D243">
        <f>IF(B243="","",INDEX('Keyword Map'!$H$3:$H$1002,MATCH(A243,'Keyword Map'!$AA$3:$AA$1002,0))&amp;"")</f>
        <v/>
      </c>
      <c r="E243">
        <f>IF(B243="","",COUNTIF('Keyword Map'!$G$3:$G$1002,SUBSTITUTE(SUBSTITUTE(B243,"?","~?"),"*","~*")))</f>
        <v/>
      </c>
      <c r="F243">
        <f>IF(B243="","",COUNTIFS('Keyword Map'!$G$3:$G$1002,SUBSTITUTE(SUBSTITUTE(B243,"?","~?"),"*","~*"),'Keyword Map'!$J$3:$J$1002,"Primary"))</f>
        <v/>
      </c>
      <c r="G243">
        <f>IF(B243="","",SUMIFS('Keyword Map'!$C$3:$C$1002,'Keyword Map'!$G$3:$G$1002,SUBSTITUTE(SUBSTITUTE(B243,"?","~?"),"*","~*")))</f>
        <v/>
      </c>
      <c r="H243">
        <f>IF(B243="","",IFERROR(ROUND(AVERAGEIFS('Keyword Map'!$P$3:$P$1002,'Keyword Map'!$G$3:$G$1002,SUBSTITUTE(SUBSTITUTE(B243,"?","~?"),"*","~*")),0),""))</f>
        <v/>
      </c>
      <c r="I243">
        <f>IF(B243="","",COUNTIFS('Keyword Map'!$G$3:$G$1002,SUBSTITUTE(SUBSTITUTE(B243,"?","~?"),"*","~*"),'Keyword Map'!$R$3:$R$1002,"Yes"))</f>
        <v/>
      </c>
      <c r="J243">
        <f>IF(B243="","",COUNTIFS('Keyword Map'!$G$3:$G$1002,SUBSTITUTE(SUBSTITUTE(B243,"?","~?"),"*","~*"),'Keyword Map'!$W$3:$W$1002,"Yes"))</f>
        <v/>
      </c>
      <c r="K243">
        <f>IF(B243="","",IF(F243=0,"No primary keyword",IF(F243&gt;Settings!$B$4,"Too many primary keywords",IF(I243+J243&gt;0,"Check flags","OK"))))</f>
        <v/>
      </c>
    </row>
    <row r="244">
      <c r="A244">
        <f>ROW()-2</f>
        <v/>
      </c>
      <c r="B244">
        <f>IFERROR(INDEX('Keyword Map'!$G$3:$G$1002,MATCH(A244,'Keyword Map'!$AA$3:$AA$1002,0)),"")</f>
        <v/>
      </c>
      <c r="C244">
        <f>IF(B244="","",INDEX('Keyword Map'!$I$3:$I$1002,MATCH(A244,'Keyword Map'!$AA$3:$AA$1002,0))&amp;"")</f>
        <v/>
      </c>
      <c r="D244">
        <f>IF(B244="","",INDEX('Keyword Map'!$H$3:$H$1002,MATCH(A244,'Keyword Map'!$AA$3:$AA$1002,0))&amp;"")</f>
        <v/>
      </c>
      <c r="E244">
        <f>IF(B244="","",COUNTIF('Keyword Map'!$G$3:$G$1002,SUBSTITUTE(SUBSTITUTE(B244,"?","~?"),"*","~*")))</f>
        <v/>
      </c>
      <c r="F244">
        <f>IF(B244="","",COUNTIFS('Keyword Map'!$G$3:$G$1002,SUBSTITUTE(SUBSTITUTE(B244,"?","~?"),"*","~*"),'Keyword Map'!$J$3:$J$1002,"Primary"))</f>
        <v/>
      </c>
      <c r="G244">
        <f>IF(B244="","",SUMIFS('Keyword Map'!$C$3:$C$1002,'Keyword Map'!$G$3:$G$1002,SUBSTITUTE(SUBSTITUTE(B244,"?","~?"),"*","~*")))</f>
        <v/>
      </c>
      <c r="H244">
        <f>IF(B244="","",IFERROR(ROUND(AVERAGEIFS('Keyword Map'!$P$3:$P$1002,'Keyword Map'!$G$3:$G$1002,SUBSTITUTE(SUBSTITUTE(B244,"?","~?"),"*","~*")),0),""))</f>
        <v/>
      </c>
      <c r="I244">
        <f>IF(B244="","",COUNTIFS('Keyword Map'!$G$3:$G$1002,SUBSTITUTE(SUBSTITUTE(B244,"?","~?"),"*","~*"),'Keyword Map'!$R$3:$R$1002,"Yes"))</f>
        <v/>
      </c>
      <c r="J244">
        <f>IF(B244="","",COUNTIFS('Keyword Map'!$G$3:$G$1002,SUBSTITUTE(SUBSTITUTE(B244,"?","~?"),"*","~*"),'Keyword Map'!$W$3:$W$1002,"Yes"))</f>
        <v/>
      </c>
      <c r="K244">
        <f>IF(B244="","",IF(F244=0,"No primary keyword",IF(F244&gt;Settings!$B$4,"Too many primary keywords",IF(I244+J244&gt;0,"Check flags","OK"))))</f>
        <v/>
      </c>
    </row>
    <row r="245">
      <c r="A245">
        <f>ROW()-2</f>
        <v/>
      </c>
      <c r="B245">
        <f>IFERROR(INDEX('Keyword Map'!$G$3:$G$1002,MATCH(A245,'Keyword Map'!$AA$3:$AA$1002,0)),"")</f>
        <v/>
      </c>
      <c r="C245">
        <f>IF(B245="","",INDEX('Keyword Map'!$I$3:$I$1002,MATCH(A245,'Keyword Map'!$AA$3:$AA$1002,0))&amp;"")</f>
        <v/>
      </c>
      <c r="D245">
        <f>IF(B245="","",INDEX('Keyword Map'!$H$3:$H$1002,MATCH(A245,'Keyword Map'!$AA$3:$AA$1002,0))&amp;"")</f>
        <v/>
      </c>
      <c r="E245">
        <f>IF(B245="","",COUNTIF('Keyword Map'!$G$3:$G$1002,SUBSTITUTE(SUBSTITUTE(B245,"?","~?"),"*","~*")))</f>
        <v/>
      </c>
      <c r="F245">
        <f>IF(B245="","",COUNTIFS('Keyword Map'!$G$3:$G$1002,SUBSTITUTE(SUBSTITUTE(B245,"?","~?"),"*","~*"),'Keyword Map'!$J$3:$J$1002,"Primary"))</f>
        <v/>
      </c>
      <c r="G245">
        <f>IF(B245="","",SUMIFS('Keyword Map'!$C$3:$C$1002,'Keyword Map'!$G$3:$G$1002,SUBSTITUTE(SUBSTITUTE(B245,"?","~?"),"*","~*")))</f>
        <v/>
      </c>
      <c r="H245">
        <f>IF(B245="","",IFERROR(ROUND(AVERAGEIFS('Keyword Map'!$P$3:$P$1002,'Keyword Map'!$G$3:$G$1002,SUBSTITUTE(SUBSTITUTE(B245,"?","~?"),"*","~*")),0),""))</f>
        <v/>
      </c>
      <c r="I245">
        <f>IF(B245="","",COUNTIFS('Keyword Map'!$G$3:$G$1002,SUBSTITUTE(SUBSTITUTE(B245,"?","~?"),"*","~*"),'Keyword Map'!$R$3:$R$1002,"Yes"))</f>
        <v/>
      </c>
      <c r="J245">
        <f>IF(B245="","",COUNTIFS('Keyword Map'!$G$3:$G$1002,SUBSTITUTE(SUBSTITUTE(B245,"?","~?"),"*","~*"),'Keyword Map'!$W$3:$W$1002,"Yes"))</f>
        <v/>
      </c>
      <c r="K245">
        <f>IF(B245="","",IF(F245=0,"No primary keyword",IF(F245&gt;Settings!$B$4,"Too many primary keywords",IF(I245+J245&gt;0,"Check flags","OK"))))</f>
        <v/>
      </c>
    </row>
    <row r="246">
      <c r="A246">
        <f>ROW()-2</f>
        <v/>
      </c>
      <c r="B246">
        <f>IFERROR(INDEX('Keyword Map'!$G$3:$G$1002,MATCH(A246,'Keyword Map'!$AA$3:$AA$1002,0)),"")</f>
        <v/>
      </c>
      <c r="C246">
        <f>IF(B246="","",INDEX('Keyword Map'!$I$3:$I$1002,MATCH(A246,'Keyword Map'!$AA$3:$AA$1002,0))&amp;"")</f>
        <v/>
      </c>
      <c r="D246">
        <f>IF(B246="","",INDEX('Keyword Map'!$H$3:$H$1002,MATCH(A246,'Keyword Map'!$AA$3:$AA$1002,0))&amp;"")</f>
        <v/>
      </c>
      <c r="E246">
        <f>IF(B246="","",COUNTIF('Keyword Map'!$G$3:$G$1002,SUBSTITUTE(SUBSTITUTE(B246,"?","~?"),"*","~*")))</f>
        <v/>
      </c>
      <c r="F246">
        <f>IF(B246="","",COUNTIFS('Keyword Map'!$G$3:$G$1002,SUBSTITUTE(SUBSTITUTE(B246,"?","~?"),"*","~*"),'Keyword Map'!$J$3:$J$1002,"Primary"))</f>
        <v/>
      </c>
      <c r="G246">
        <f>IF(B246="","",SUMIFS('Keyword Map'!$C$3:$C$1002,'Keyword Map'!$G$3:$G$1002,SUBSTITUTE(SUBSTITUTE(B246,"?","~?"),"*","~*")))</f>
        <v/>
      </c>
      <c r="H246">
        <f>IF(B246="","",IFERROR(ROUND(AVERAGEIFS('Keyword Map'!$P$3:$P$1002,'Keyword Map'!$G$3:$G$1002,SUBSTITUTE(SUBSTITUTE(B246,"?","~?"),"*","~*")),0),""))</f>
        <v/>
      </c>
      <c r="I246">
        <f>IF(B246="","",COUNTIFS('Keyword Map'!$G$3:$G$1002,SUBSTITUTE(SUBSTITUTE(B246,"?","~?"),"*","~*"),'Keyword Map'!$R$3:$R$1002,"Yes"))</f>
        <v/>
      </c>
      <c r="J246">
        <f>IF(B246="","",COUNTIFS('Keyword Map'!$G$3:$G$1002,SUBSTITUTE(SUBSTITUTE(B246,"?","~?"),"*","~*"),'Keyword Map'!$W$3:$W$1002,"Yes"))</f>
        <v/>
      </c>
      <c r="K246">
        <f>IF(B246="","",IF(F246=0,"No primary keyword",IF(F246&gt;Settings!$B$4,"Too many primary keywords",IF(I246+J246&gt;0,"Check flags","OK"))))</f>
        <v/>
      </c>
    </row>
    <row r="247">
      <c r="A247">
        <f>ROW()-2</f>
        <v/>
      </c>
      <c r="B247">
        <f>IFERROR(INDEX('Keyword Map'!$G$3:$G$1002,MATCH(A247,'Keyword Map'!$AA$3:$AA$1002,0)),"")</f>
        <v/>
      </c>
      <c r="C247">
        <f>IF(B247="","",INDEX('Keyword Map'!$I$3:$I$1002,MATCH(A247,'Keyword Map'!$AA$3:$AA$1002,0))&amp;"")</f>
        <v/>
      </c>
      <c r="D247">
        <f>IF(B247="","",INDEX('Keyword Map'!$H$3:$H$1002,MATCH(A247,'Keyword Map'!$AA$3:$AA$1002,0))&amp;"")</f>
        <v/>
      </c>
      <c r="E247">
        <f>IF(B247="","",COUNTIF('Keyword Map'!$G$3:$G$1002,SUBSTITUTE(SUBSTITUTE(B247,"?","~?"),"*","~*")))</f>
        <v/>
      </c>
      <c r="F247">
        <f>IF(B247="","",COUNTIFS('Keyword Map'!$G$3:$G$1002,SUBSTITUTE(SUBSTITUTE(B247,"?","~?"),"*","~*"),'Keyword Map'!$J$3:$J$1002,"Primary"))</f>
        <v/>
      </c>
      <c r="G247">
        <f>IF(B247="","",SUMIFS('Keyword Map'!$C$3:$C$1002,'Keyword Map'!$G$3:$G$1002,SUBSTITUTE(SUBSTITUTE(B247,"?","~?"),"*","~*")))</f>
        <v/>
      </c>
      <c r="H247">
        <f>IF(B247="","",IFERROR(ROUND(AVERAGEIFS('Keyword Map'!$P$3:$P$1002,'Keyword Map'!$G$3:$G$1002,SUBSTITUTE(SUBSTITUTE(B247,"?","~?"),"*","~*")),0),""))</f>
        <v/>
      </c>
      <c r="I247">
        <f>IF(B247="","",COUNTIFS('Keyword Map'!$G$3:$G$1002,SUBSTITUTE(SUBSTITUTE(B247,"?","~?"),"*","~*"),'Keyword Map'!$R$3:$R$1002,"Yes"))</f>
        <v/>
      </c>
      <c r="J247">
        <f>IF(B247="","",COUNTIFS('Keyword Map'!$G$3:$G$1002,SUBSTITUTE(SUBSTITUTE(B247,"?","~?"),"*","~*"),'Keyword Map'!$W$3:$W$1002,"Yes"))</f>
        <v/>
      </c>
      <c r="K247">
        <f>IF(B247="","",IF(F247=0,"No primary keyword",IF(F247&gt;Settings!$B$4,"Too many primary keywords",IF(I247+J247&gt;0,"Check flags","OK"))))</f>
        <v/>
      </c>
    </row>
    <row r="248">
      <c r="A248">
        <f>ROW()-2</f>
        <v/>
      </c>
      <c r="B248">
        <f>IFERROR(INDEX('Keyword Map'!$G$3:$G$1002,MATCH(A248,'Keyword Map'!$AA$3:$AA$1002,0)),"")</f>
        <v/>
      </c>
      <c r="C248">
        <f>IF(B248="","",INDEX('Keyword Map'!$I$3:$I$1002,MATCH(A248,'Keyword Map'!$AA$3:$AA$1002,0))&amp;"")</f>
        <v/>
      </c>
      <c r="D248">
        <f>IF(B248="","",INDEX('Keyword Map'!$H$3:$H$1002,MATCH(A248,'Keyword Map'!$AA$3:$AA$1002,0))&amp;"")</f>
        <v/>
      </c>
      <c r="E248">
        <f>IF(B248="","",COUNTIF('Keyword Map'!$G$3:$G$1002,SUBSTITUTE(SUBSTITUTE(B248,"?","~?"),"*","~*")))</f>
        <v/>
      </c>
      <c r="F248">
        <f>IF(B248="","",COUNTIFS('Keyword Map'!$G$3:$G$1002,SUBSTITUTE(SUBSTITUTE(B248,"?","~?"),"*","~*"),'Keyword Map'!$J$3:$J$1002,"Primary"))</f>
        <v/>
      </c>
      <c r="G248">
        <f>IF(B248="","",SUMIFS('Keyword Map'!$C$3:$C$1002,'Keyword Map'!$G$3:$G$1002,SUBSTITUTE(SUBSTITUTE(B248,"?","~?"),"*","~*")))</f>
        <v/>
      </c>
      <c r="H248">
        <f>IF(B248="","",IFERROR(ROUND(AVERAGEIFS('Keyword Map'!$P$3:$P$1002,'Keyword Map'!$G$3:$G$1002,SUBSTITUTE(SUBSTITUTE(B248,"?","~?"),"*","~*")),0),""))</f>
        <v/>
      </c>
      <c r="I248">
        <f>IF(B248="","",COUNTIFS('Keyword Map'!$G$3:$G$1002,SUBSTITUTE(SUBSTITUTE(B248,"?","~?"),"*","~*"),'Keyword Map'!$R$3:$R$1002,"Yes"))</f>
        <v/>
      </c>
      <c r="J248">
        <f>IF(B248="","",COUNTIFS('Keyword Map'!$G$3:$G$1002,SUBSTITUTE(SUBSTITUTE(B248,"?","~?"),"*","~*"),'Keyword Map'!$W$3:$W$1002,"Yes"))</f>
        <v/>
      </c>
      <c r="K248">
        <f>IF(B248="","",IF(F248=0,"No primary keyword",IF(F248&gt;Settings!$B$4,"Too many primary keywords",IF(I248+J248&gt;0,"Check flags","OK"))))</f>
        <v/>
      </c>
    </row>
    <row r="249">
      <c r="A249">
        <f>ROW()-2</f>
        <v/>
      </c>
      <c r="B249">
        <f>IFERROR(INDEX('Keyword Map'!$G$3:$G$1002,MATCH(A249,'Keyword Map'!$AA$3:$AA$1002,0)),"")</f>
        <v/>
      </c>
      <c r="C249">
        <f>IF(B249="","",INDEX('Keyword Map'!$I$3:$I$1002,MATCH(A249,'Keyword Map'!$AA$3:$AA$1002,0))&amp;"")</f>
        <v/>
      </c>
      <c r="D249">
        <f>IF(B249="","",INDEX('Keyword Map'!$H$3:$H$1002,MATCH(A249,'Keyword Map'!$AA$3:$AA$1002,0))&amp;"")</f>
        <v/>
      </c>
      <c r="E249">
        <f>IF(B249="","",COUNTIF('Keyword Map'!$G$3:$G$1002,SUBSTITUTE(SUBSTITUTE(B249,"?","~?"),"*","~*")))</f>
        <v/>
      </c>
      <c r="F249">
        <f>IF(B249="","",COUNTIFS('Keyword Map'!$G$3:$G$1002,SUBSTITUTE(SUBSTITUTE(B249,"?","~?"),"*","~*"),'Keyword Map'!$J$3:$J$1002,"Primary"))</f>
        <v/>
      </c>
      <c r="G249">
        <f>IF(B249="","",SUMIFS('Keyword Map'!$C$3:$C$1002,'Keyword Map'!$G$3:$G$1002,SUBSTITUTE(SUBSTITUTE(B249,"?","~?"),"*","~*")))</f>
        <v/>
      </c>
      <c r="H249">
        <f>IF(B249="","",IFERROR(ROUND(AVERAGEIFS('Keyword Map'!$P$3:$P$1002,'Keyword Map'!$G$3:$G$1002,SUBSTITUTE(SUBSTITUTE(B249,"?","~?"),"*","~*")),0),""))</f>
        <v/>
      </c>
      <c r="I249">
        <f>IF(B249="","",COUNTIFS('Keyword Map'!$G$3:$G$1002,SUBSTITUTE(SUBSTITUTE(B249,"?","~?"),"*","~*"),'Keyword Map'!$R$3:$R$1002,"Yes"))</f>
        <v/>
      </c>
      <c r="J249">
        <f>IF(B249="","",COUNTIFS('Keyword Map'!$G$3:$G$1002,SUBSTITUTE(SUBSTITUTE(B249,"?","~?"),"*","~*"),'Keyword Map'!$W$3:$W$1002,"Yes"))</f>
        <v/>
      </c>
      <c r="K249">
        <f>IF(B249="","",IF(F249=0,"No primary keyword",IF(F249&gt;Settings!$B$4,"Too many primary keywords",IF(I249+J249&gt;0,"Check flags","OK"))))</f>
        <v/>
      </c>
    </row>
    <row r="250">
      <c r="A250">
        <f>ROW()-2</f>
        <v/>
      </c>
      <c r="B250">
        <f>IFERROR(INDEX('Keyword Map'!$G$3:$G$1002,MATCH(A250,'Keyword Map'!$AA$3:$AA$1002,0)),"")</f>
        <v/>
      </c>
      <c r="C250">
        <f>IF(B250="","",INDEX('Keyword Map'!$I$3:$I$1002,MATCH(A250,'Keyword Map'!$AA$3:$AA$1002,0))&amp;"")</f>
        <v/>
      </c>
      <c r="D250">
        <f>IF(B250="","",INDEX('Keyword Map'!$H$3:$H$1002,MATCH(A250,'Keyword Map'!$AA$3:$AA$1002,0))&amp;"")</f>
        <v/>
      </c>
      <c r="E250">
        <f>IF(B250="","",COUNTIF('Keyword Map'!$G$3:$G$1002,SUBSTITUTE(SUBSTITUTE(B250,"?","~?"),"*","~*")))</f>
        <v/>
      </c>
      <c r="F250">
        <f>IF(B250="","",COUNTIFS('Keyword Map'!$G$3:$G$1002,SUBSTITUTE(SUBSTITUTE(B250,"?","~?"),"*","~*"),'Keyword Map'!$J$3:$J$1002,"Primary"))</f>
        <v/>
      </c>
      <c r="G250">
        <f>IF(B250="","",SUMIFS('Keyword Map'!$C$3:$C$1002,'Keyword Map'!$G$3:$G$1002,SUBSTITUTE(SUBSTITUTE(B250,"?","~?"),"*","~*")))</f>
        <v/>
      </c>
      <c r="H250">
        <f>IF(B250="","",IFERROR(ROUND(AVERAGEIFS('Keyword Map'!$P$3:$P$1002,'Keyword Map'!$G$3:$G$1002,SUBSTITUTE(SUBSTITUTE(B250,"?","~?"),"*","~*")),0),""))</f>
        <v/>
      </c>
      <c r="I250">
        <f>IF(B250="","",COUNTIFS('Keyword Map'!$G$3:$G$1002,SUBSTITUTE(SUBSTITUTE(B250,"?","~?"),"*","~*"),'Keyword Map'!$R$3:$R$1002,"Yes"))</f>
        <v/>
      </c>
      <c r="J250">
        <f>IF(B250="","",COUNTIFS('Keyword Map'!$G$3:$G$1002,SUBSTITUTE(SUBSTITUTE(B250,"?","~?"),"*","~*"),'Keyword Map'!$W$3:$W$1002,"Yes"))</f>
        <v/>
      </c>
      <c r="K250">
        <f>IF(B250="","",IF(F250=0,"No primary keyword",IF(F250&gt;Settings!$B$4,"Too many primary keywords",IF(I250+J250&gt;0,"Check flags","OK"))))</f>
        <v/>
      </c>
    </row>
    <row r="251">
      <c r="A251">
        <f>ROW()-2</f>
        <v/>
      </c>
      <c r="B251">
        <f>IFERROR(INDEX('Keyword Map'!$G$3:$G$1002,MATCH(A251,'Keyword Map'!$AA$3:$AA$1002,0)),"")</f>
        <v/>
      </c>
      <c r="C251">
        <f>IF(B251="","",INDEX('Keyword Map'!$I$3:$I$1002,MATCH(A251,'Keyword Map'!$AA$3:$AA$1002,0))&amp;"")</f>
        <v/>
      </c>
      <c r="D251">
        <f>IF(B251="","",INDEX('Keyword Map'!$H$3:$H$1002,MATCH(A251,'Keyword Map'!$AA$3:$AA$1002,0))&amp;"")</f>
        <v/>
      </c>
      <c r="E251">
        <f>IF(B251="","",COUNTIF('Keyword Map'!$G$3:$G$1002,SUBSTITUTE(SUBSTITUTE(B251,"?","~?"),"*","~*")))</f>
        <v/>
      </c>
      <c r="F251">
        <f>IF(B251="","",COUNTIFS('Keyword Map'!$G$3:$G$1002,SUBSTITUTE(SUBSTITUTE(B251,"?","~?"),"*","~*"),'Keyword Map'!$J$3:$J$1002,"Primary"))</f>
        <v/>
      </c>
      <c r="G251">
        <f>IF(B251="","",SUMIFS('Keyword Map'!$C$3:$C$1002,'Keyword Map'!$G$3:$G$1002,SUBSTITUTE(SUBSTITUTE(B251,"?","~?"),"*","~*")))</f>
        <v/>
      </c>
      <c r="H251">
        <f>IF(B251="","",IFERROR(ROUND(AVERAGEIFS('Keyword Map'!$P$3:$P$1002,'Keyword Map'!$G$3:$G$1002,SUBSTITUTE(SUBSTITUTE(B251,"?","~?"),"*","~*")),0),""))</f>
        <v/>
      </c>
      <c r="I251">
        <f>IF(B251="","",COUNTIFS('Keyword Map'!$G$3:$G$1002,SUBSTITUTE(SUBSTITUTE(B251,"?","~?"),"*","~*"),'Keyword Map'!$R$3:$R$1002,"Yes"))</f>
        <v/>
      </c>
      <c r="J251">
        <f>IF(B251="","",COUNTIFS('Keyword Map'!$G$3:$G$1002,SUBSTITUTE(SUBSTITUTE(B251,"?","~?"),"*","~*"),'Keyword Map'!$W$3:$W$1002,"Yes"))</f>
        <v/>
      </c>
      <c r="K251">
        <f>IF(B251="","",IF(F251=0,"No primary keyword",IF(F251&gt;Settings!$B$4,"Too many primary keywords",IF(I251+J251&gt;0,"Check flags","OK"))))</f>
        <v/>
      </c>
    </row>
    <row r="252">
      <c r="A252">
        <f>ROW()-2</f>
        <v/>
      </c>
      <c r="B252">
        <f>IFERROR(INDEX('Keyword Map'!$G$3:$G$1002,MATCH(A252,'Keyword Map'!$AA$3:$AA$1002,0)),"")</f>
        <v/>
      </c>
      <c r="C252">
        <f>IF(B252="","",INDEX('Keyword Map'!$I$3:$I$1002,MATCH(A252,'Keyword Map'!$AA$3:$AA$1002,0))&amp;"")</f>
        <v/>
      </c>
      <c r="D252">
        <f>IF(B252="","",INDEX('Keyword Map'!$H$3:$H$1002,MATCH(A252,'Keyword Map'!$AA$3:$AA$1002,0))&amp;"")</f>
        <v/>
      </c>
      <c r="E252">
        <f>IF(B252="","",COUNTIF('Keyword Map'!$G$3:$G$1002,SUBSTITUTE(SUBSTITUTE(B252,"?","~?"),"*","~*")))</f>
        <v/>
      </c>
      <c r="F252">
        <f>IF(B252="","",COUNTIFS('Keyword Map'!$G$3:$G$1002,SUBSTITUTE(SUBSTITUTE(B252,"?","~?"),"*","~*"),'Keyword Map'!$J$3:$J$1002,"Primary"))</f>
        <v/>
      </c>
      <c r="G252">
        <f>IF(B252="","",SUMIFS('Keyword Map'!$C$3:$C$1002,'Keyword Map'!$G$3:$G$1002,SUBSTITUTE(SUBSTITUTE(B252,"?","~?"),"*","~*")))</f>
        <v/>
      </c>
      <c r="H252">
        <f>IF(B252="","",IFERROR(ROUND(AVERAGEIFS('Keyword Map'!$P$3:$P$1002,'Keyword Map'!$G$3:$G$1002,SUBSTITUTE(SUBSTITUTE(B252,"?","~?"),"*","~*")),0),""))</f>
        <v/>
      </c>
      <c r="I252">
        <f>IF(B252="","",COUNTIFS('Keyword Map'!$G$3:$G$1002,SUBSTITUTE(SUBSTITUTE(B252,"?","~?"),"*","~*"),'Keyword Map'!$R$3:$R$1002,"Yes"))</f>
        <v/>
      </c>
      <c r="J252">
        <f>IF(B252="","",COUNTIFS('Keyword Map'!$G$3:$G$1002,SUBSTITUTE(SUBSTITUTE(B252,"?","~?"),"*","~*"),'Keyword Map'!$W$3:$W$1002,"Yes"))</f>
        <v/>
      </c>
      <c r="K252">
        <f>IF(B252="","",IF(F252=0,"No primary keyword",IF(F252&gt;Settings!$B$4,"Too many primary keywords",IF(I252+J252&gt;0,"Check flags","OK"))))</f>
        <v/>
      </c>
    </row>
    <row r="253">
      <c r="A253">
        <f>ROW()-2</f>
        <v/>
      </c>
      <c r="B253">
        <f>IFERROR(INDEX('Keyword Map'!$G$3:$G$1002,MATCH(A253,'Keyword Map'!$AA$3:$AA$1002,0)),"")</f>
        <v/>
      </c>
      <c r="C253">
        <f>IF(B253="","",INDEX('Keyword Map'!$I$3:$I$1002,MATCH(A253,'Keyword Map'!$AA$3:$AA$1002,0))&amp;"")</f>
        <v/>
      </c>
      <c r="D253">
        <f>IF(B253="","",INDEX('Keyword Map'!$H$3:$H$1002,MATCH(A253,'Keyword Map'!$AA$3:$AA$1002,0))&amp;"")</f>
        <v/>
      </c>
      <c r="E253">
        <f>IF(B253="","",COUNTIF('Keyword Map'!$G$3:$G$1002,SUBSTITUTE(SUBSTITUTE(B253,"?","~?"),"*","~*")))</f>
        <v/>
      </c>
      <c r="F253">
        <f>IF(B253="","",COUNTIFS('Keyword Map'!$G$3:$G$1002,SUBSTITUTE(SUBSTITUTE(B253,"?","~?"),"*","~*"),'Keyword Map'!$J$3:$J$1002,"Primary"))</f>
        <v/>
      </c>
      <c r="G253">
        <f>IF(B253="","",SUMIFS('Keyword Map'!$C$3:$C$1002,'Keyword Map'!$G$3:$G$1002,SUBSTITUTE(SUBSTITUTE(B253,"?","~?"),"*","~*")))</f>
        <v/>
      </c>
      <c r="H253">
        <f>IF(B253="","",IFERROR(ROUND(AVERAGEIFS('Keyword Map'!$P$3:$P$1002,'Keyword Map'!$G$3:$G$1002,SUBSTITUTE(SUBSTITUTE(B253,"?","~?"),"*","~*")),0),""))</f>
        <v/>
      </c>
      <c r="I253">
        <f>IF(B253="","",COUNTIFS('Keyword Map'!$G$3:$G$1002,SUBSTITUTE(SUBSTITUTE(B253,"?","~?"),"*","~*"),'Keyword Map'!$R$3:$R$1002,"Yes"))</f>
        <v/>
      </c>
      <c r="J253">
        <f>IF(B253="","",COUNTIFS('Keyword Map'!$G$3:$G$1002,SUBSTITUTE(SUBSTITUTE(B253,"?","~?"),"*","~*"),'Keyword Map'!$W$3:$W$1002,"Yes"))</f>
        <v/>
      </c>
      <c r="K253">
        <f>IF(B253="","",IF(F253=0,"No primary keyword",IF(F253&gt;Settings!$B$4,"Too many primary keywords",IF(I253+J253&gt;0,"Check flags","OK"))))</f>
        <v/>
      </c>
    </row>
    <row r="254">
      <c r="A254">
        <f>ROW()-2</f>
        <v/>
      </c>
      <c r="B254">
        <f>IFERROR(INDEX('Keyword Map'!$G$3:$G$1002,MATCH(A254,'Keyword Map'!$AA$3:$AA$1002,0)),"")</f>
        <v/>
      </c>
      <c r="C254">
        <f>IF(B254="","",INDEX('Keyword Map'!$I$3:$I$1002,MATCH(A254,'Keyword Map'!$AA$3:$AA$1002,0))&amp;"")</f>
        <v/>
      </c>
      <c r="D254">
        <f>IF(B254="","",INDEX('Keyword Map'!$H$3:$H$1002,MATCH(A254,'Keyword Map'!$AA$3:$AA$1002,0))&amp;"")</f>
        <v/>
      </c>
      <c r="E254">
        <f>IF(B254="","",COUNTIF('Keyword Map'!$G$3:$G$1002,SUBSTITUTE(SUBSTITUTE(B254,"?","~?"),"*","~*")))</f>
        <v/>
      </c>
      <c r="F254">
        <f>IF(B254="","",COUNTIFS('Keyword Map'!$G$3:$G$1002,SUBSTITUTE(SUBSTITUTE(B254,"?","~?"),"*","~*"),'Keyword Map'!$J$3:$J$1002,"Primary"))</f>
        <v/>
      </c>
      <c r="G254">
        <f>IF(B254="","",SUMIFS('Keyword Map'!$C$3:$C$1002,'Keyword Map'!$G$3:$G$1002,SUBSTITUTE(SUBSTITUTE(B254,"?","~?"),"*","~*")))</f>
        <v/>
      </c>
      <c r="H254">
        <f>IF(B254="","",IFERROR(ROUND(AVERAGEIFS('Keyword Map'!$P$3:$P$1002,'Keyword Map'!$G$3:$G$1002,SUBSTITUTE(SUBSTITUTE(B254,"?","~?"),"*","~*")),0),""))</f>
        <v/>
      </c>
      <c r="I254">
        <f>IF(B254="","",COUNTIFS('Keyword Map'!$G$3:$G$1002,SUBSTITUTE(SUBSTITUTE(B254,"?","~?"),"*","~*"),'Keyword Map'!$R$3:$R$1002,"Yes"))</f>
        <v/>
      </c>
      <c r="J254">
        <f>IF(B254="","",COUNTIFS('Keyword Map'!$G$3:$G$1002,SUBSTITUTE(SUBSTITUTE(B254,"?","~?"),"*","~*"),'Keyword Map'!$W$3:$W$1002,"Yes"))</f>
        <v/>
      </c>
      <c r="K254">
        <f>IF(B254="","",IF(F254=0,"No primary keyword",IF(F254&gt;Settings!$B$4,"Too many primary keywords",IF(I254+J254&gt;0,"Check flags","OK"))))</f>
        <v/>
      </c>
    </row>
    <row r="255">
      <c r="A255">
        <f>ROW()-2</f>
        <v/>
      </c>
      <c r="B255">
        <f>IFERROR(INDEX('Keyword Map'!$G$3:$G$1002,MATCH(A255,'Keyword Map'!$AA$3:$AA$1002,0)),"")</f>
        <v/>
      </c>
      <c r="C255">
        <f>IF(B255="","",INDEX('Keyword Map'!$I$3:$I$1002,MATCH(A255,'Keyword Map'!$AA$3:$AA$1002,0))&amp;"")</f>
        <v/>
      </c>
      <c r="D255">
        <f>IF(B255="","",INDEX('Keyword Map'!$H$3:$H$1002,MATCH(A255,'Keyword Map'!$AA$3:$AA$1002,0))&amp;"")</f>
        <v/>
      </c>
      <c r="E255">
        <f>IF(B255="","",COUNTIF('Keyword Map'!$G$3:$G$1002,SUBSTITUTE(SUBSTITUTE(B255,"?","~?"),"*","~*")))</f>
        <v/>
      </c>
      <c r="F255">
        <f>IF(B255="","",COUNTIFS('Keyword Map'!$G$3:$G$1002,SUBSTITUTE(SUBSTITUTE(B255,"?","~?"),"*","~*"),'Keyword Map'!$J$3:$J$1002,"Primary"))</f>
        <v/>
      </c>
      <c r="G255">
        <f>IF(B255="","",SUMIFS('Keyword Map'!$C$3:$C$1002,'Keyword Map'!$G$3:$G$1002,SUBSTITUTE(SUBSTITUTE(B255,"?","~?"),"*","~*")))</f>
        <v/>
      </c>
      <c r="H255">
        <f>IF(B255="","",IFERROR(ROUND(AVERAGEIFS('Keyword Map'!$P$3:$P$1002,'Keyword Map'!$G$3:$G$1002,SUBSTITUTE(SUBSTITUTE(B255,"?","~?"),"*","~*")),0),""))</f>
        <v/>
      </c>
      <c r="I255">
        <f>IF(B255="","",COUNTIFS('Keyword Map'!$G$3:$G$1002,SUBSTITUTE(SUBSTITUTE(B255,"?","~?"),"*","~*"),'Keyword Map'!$R$3:$R$1002,"Yes"))</f>
        <v/>
      </c>
      <c r="J255">
        <f>IF(B255="","",COUNTIFS('Keyword Map'!$G$3:$G$1002,SUBSTITUTE(SUBSTITUTE(B255,"?","~?"),"*","~*"),'Keyword Map'!$W$3:$W$1002,"Yes"))</f>
        <v/>
      </c>
      <c r="K255">
        <f>IF(B255="","",IF(F255=0,"No primary keyword",IF(F255&gt;Settings!$B$4,"Too many primary keywords",IF(I255+J255&gt;0,"Check flags","OK"))))</f>
        <v/>
      </c>
    </row>
    <row r="256">
      <c r="A256">
        <f>ROW()-2</f>
        <v/>
      </c>
      <c r="B256">
        <f>IFERROR(INDEX('Keyword Map'!$G$3:$G$1002,MATCH(A256,'Keyword Map'!$AA$3:$AA$1002,0)),"")</f>
        <v/>
      </c>
      <c r="C256">
        <f>IF(B256="","",INDEX('Keyword Map'!$I$3:$I$1002,MATCH(A256,'Keyword Map'!$AA$3:$AA$1002,0))&amp;"")</f>
        <v/>
      </c>
      <c r="D256">
        <f>IF(B256="","",INDEX('Keyword Map'!$H$3:$H$1002,MATCH(A256,'Keyword Map'!$AA$3:$AA$1002,0))&amp;"")</f>
        <v/>
      </c>
      <c r="E256">
        <f>IF(B256="","",COUNTIF('Keyword Map'!$G$3:$G$1002,SUBSTITUTE(SUBSTITUTE(B256,"?","~?"),"*","~*")))</f>
        <v/>
      </c>
      <c r="F256">
        <f>IF(B256="","",COUNTIFS('Keyword Map'!$G$3:$G$1002,SUBSTITUTE(SUBSTITUTE(B256,"?","~?"),"*","~*"),'Keyword Map'!$J$3:$J$1002,"Primary"))</f>
        <v/>
      </c>
      <c r="G256">
        <f>IF(B256="","",SUMIFS('Keyword Map'!$C$3:$C$1002,'Keyword Map'!$G$3:$G$1002,SUBSTITUTE(SUBSTITUTE(B256,"?","~?"),"*","~*")))</f>
        <v/>
      </c>
      <c r="H256">
        <f>IF(B256="","",IFERROR(ROUND(AVERAGEIFS('Keyword Map'!$P$3:$P$1002,'Keyword Map'!$G$3:$G$1002,SUBSTITUTE(SUBSTITUTE(B256,"?","~?"),"*","~*")),0),""))</f>
        <v/>
      </c>
      <c r="I256">
        <f>IF(B256="","",COUNTIFS('Keyword Map'!$G$3:$G$1002,SUBSTITUTE(SUBSTITUTE(B256,"?","~?"),"*","~*"),'Keyword Map'!$R$3:$R$1002,"Yes"))</f>
        <v/>
      </c>
      <c r="J256">
        <f>IF(B256="","",COUNTIFS('Keyword Map'!$G$3:$G$1002,SUBSTITUTE(SUBSTITUTE(B256,"?","~?"),"*","~*"),'Keyword Map'!$W$3:$W$1002,"Yes"))</f>
        <v/>
      </c>
      <c r="K256">
        <f>IF(B256="","",IF(F256=0,"No primary keyword",IF(F256&gt;Settings!$B$4,"Too many primary keywords",IF(I256+J256&gt;0,"Check flags","OK"))))</f>
        <v/>
      </c>
    </row>
    <row r="257">
      <c r="A257">
        <f>ROW()-2</f>
        <v/>
      </c>
      <c r="B257">
        <f>IFERROR(INDEX('Keyword Map'!$G$3:$G$1002,MATCH(A257,'Keyword Map'!$AA$3:$AA$1002,0)),"")</f>
        <v/>
      </c>
      <c r="C257">
        <f>IF(B257="","",INDEX('Keyword Map'!$I$3:$I$1002,MATCH(A257,'Keyword Map'!$AA$3:$AA$1002,0))&amp;"")</f>
        <v/>
      </c>
      <c r="D257">
        <f>IF(B257="","",INDEX('Keyword Map'!$H$3:$H$1002,MATCH(A257,'Keyword Map'!$AA$3:$AA$1002,0))&amp;"")</f>
        <v/>
      </c>
      <c r="E257">
        <f>IF(B257="","",COUNTIF('Keyword Map'!$G$3:$G$1002,SUBSTITUTE(SUBSTITUTE(B257,"?","~?"),"*","~*")))</f>
        <v/>
      </c>
      <c r="F257">
        <f>IF(B257="","",COUNTIFS('Keyword Map'!$G$3:$G$1002,SUBSTITUTE(SUBSTITUTE(B257,"?","~?"),"*","~*"),'Keyword Map'!$J$3:$J$1002,"Primary"))</f>
        <v/>
      </c>
      <c r="G257">
        <f>IF(B257="","",SUMIFS('Keyword Map'!$C$3:$C$1002,'Keyword Map'!$G$3:$G$1002,SUBSTITUTE(SUBSTITUTE(B257,"?","~?"),"*","~*")))</f>
        <v/>
      </c>
      <c r="H257">
        <f>IF(B257="","",IFERROR(ROUND(AVERAGEIFS('Keyword Map'!$P$3:$P$1002,'Keyword Map'!$G$3:$G$1002,SUBSTITUTE(SUBSTITUTE(B257,"?","~?"),"*","~*")),0),""))</f>
        <v/>
      </c>
      <c r="I257">
        <f>IF(B257="","",COUNTIFS('Keyword Map'!$G$3:$G$1002,SUBSTITUTE(SUBSTITUTE(B257,"?","~?"),"*","~*"),'Keyword Map'!$R$3:$R$1002,"Yes"))</f>
        <v/>
      </c>
      <c r="J257">
        <f>IF(B257="","",COUNTIFS('Keyword Map'!$G$3:$G$1002,SUBSTITUTE(SUBSTITUTE(B257,"?","~?"),"*","~*"),'Keyword Map'!$W$3:$W$1002,"Yes"))</f>
        <v/>
      </c>
      <c r="K257">
        <f>IF(B257="","",IF(F257=0,"No primary keyword",IF(F257&gt;Settings!$B$4,"Too many primary keywords",IF(I257+J257&gt;0,"Check flags","OK"))))</f>
        <v/>
      </c>
    </row>
    <row r="258">
      <c r="A258">
        <f>ROW()-2</f>
        <v/>
      </c>
      <c r="B258">
        <f>IFERROR(INDEX('Keyword Map'!$G$3:$G$1002,MATCH(A258,'Keyword Map'!$AA$3:$AA$1002,0)),"")</f>
        <v/>
      </c>
      <c r="C258">
        <f>IF(B258="","",INDEX('Keyword Map'!$I$3:$I$1002,MATCH(A258,'Keyword Map'!$AA$3:$AA$1002,0))&amp;"")</f>
        <v/>
      </c>
      <c r="D258">
        <f>IF(B258="","",INDEX('Keyword Map'!$H$3:$H$1002,MATCH(A258,'Keyword Map'!$AA$3:$AA$1002,0))&amp;"")</f>
        <v/>
      </c>
      <c r="E258">
        <f>IF(B258="","",COUNTIF('Keyword Map'!$G$3:$G$1002,SUBSTITUTE(SUBSTITUTE(B258,"?","~?"),"*","~*")))</f>
        <v/>
      </c>
      <c r="F258">
        <f>IF(B258="","",COUNTIFS('Keyword Map'!$G$3:$G$1002,SUBSTITUTE(SUBSTITUTE(B258,"?","~?"),"*","~*"),'Keyword Map'!$J$3:$J$1002,"Primary"))</f>
        <v/>
      </c>
      <c r="G258">
        <f>IF(B258="","",SUMIFS('Keyword Map'!$C$3:$C$1002,'Keyword Map'!$G$3:$G$1002,SUBSTITUTE(SUBSTITUTE(B258,"?","~?"),"*","~*")))</f>
        <v/>
      </c>
      <c r="H258">
        <f>IF(B258="","",IFERROR(ROUND(AVERAGEIFS('Keyword Map'!$P$3:$P$1002,'Keyword Map'!$G$3:$G$1002,SUBSTITUTE(SUBSTITUTE(B258,"?","~?"),"*","~*")),0),""))</f>
        <v/>
      </c>
      <c r="I258">
        <f>IF(B258="","",COUNTIFS('Keyword Map'!$G$3:$G$1002,SUBSTITUTE(SUBSTITUTE(B258,"?","~?"),"*","~*"),'Keyword Map'!$R$3:$R$1002,"Yes"))</f>
        <v/>
      </c>
      <c r="J258">
        <f>IF(B258="","",COUNTIFS('Keyword Map'!$G$3:$G$1002,SUBSTITUTE(SUBSTITUTE(B258,"?","~?"),"*","~*"),'Keyword Map'!$W$3:$W$1002,"Yes"))</f>
        <v/>
      </c>
      <c r="K258">
        <f>IF(B258="","",IF(F258=0,"No primary keyword",IF(F258&gt;Settings!$B$4,"Too many primary keywords",IF(I258+J258&gt;0,"Check flags","OK"))))</f>
        <v/>
      </c>
    </row>
    <row r="259">
      <c r="A259">
        <f>ROW()-2</f>
        <v/>
      </c>
      <c r="B259">
        <f>IFERROR(INDEX('Keyword Map'!$G$3:$G$1002,MATCH(A259,'Keyword Map'!$AA$3:$AA$1002,0)),"")</f>
        <v/>
      </c>
      <c r="C259">
        <f>IF(B259="","",INDEX('Keyword Map'!$I$3:$I$1002,MATCH(A259,'Keyword Map'!$AA$3:$AA$1002,0))&amp;"")</f>
        <v/>
      </c>
      <c r="D259">
        <f>IF(B259="","",INDEX('Keyword Map'!$H$3:$H$1002,MATCH(A259,'Keyword Map'!$AA$3:$AA$1002,0))&amp;"")</f>
        <v/>
      </c>
      <c r="E259">
        <f>IF(B259="","",COUNTIF('Keyword Map'!$G$3:$G$1002,SUBSTITUTE(SUBSTITUTE(B259,"?","~?"),"*","~*")))</f>
        <v/>
      </c>
      <c r="F259">
        <f>IF(B259="","",COUNTIFS('Keyword Map'!$G$3:$G$1002,SUBSTITUTE(SUBSTITUTE(B259,"?","~?"),"*","~*"),'Keyword Map'!$J$3:$J$1002,"Primary"))</f>
        <v/>
      </c>
      <c r="G259">
        <f>IF(B259="","",SUMIFS('Keyword Map'!$C$3:$C$1002,'Keyword Map'!$G$3:$G$1002,SUBSTITUTE(SUBSTITUTE(B259,"?","~?"),"*","~*")))</f>
        <v/>
      </c>
      <c r="H259">
        <f>IF(B259="","",IFERROR(ROUND(AVERAGEIFS('Keyword Map'!$P$3:$P$1002,'Keyword Map'!$G$3:$G$1002,SUBSTITUTE(SUBSTITUTE(B259,"?","~?"),"*","~*")),0),""))</f>
        <v/>
      </c>
      <c r="I259">
        <f>IF(B259="","",COUNTIFS('Keyword Map'!$G$3:$G$1002,SUBSTITUTE(SUBSTITUTE(B259,"?","~?"),"*","~*"),'Keyword Map'!$R$3:$R$1002,"Yes"))</f>
        <v/>
      </c>
      <c r="J259">
        <f>IF(B259="","",COUNTIFS('Keyword Map'!$G$3:$G$1002,SUBSTITUTE(SUBSTITUTE(B259,"?","~?"),"*","~*"),'Keyword Map'!$W$3:$W$1002,"Yes"))</f>
        <v/>
      </c>
      <c r="K259">
        <f>IF(B259="","",IF(F259=0,"No primary keyword",IF(F259&gt;Settings!$B$4,"Too many primary keywords",IF(I259+J259&gt;0,"Check flags","OK"))))</f>
        <v/>
      </c>
    </row>
    <row r="260">
      <c r="A260">
        <f>ROW()-2</f>
        <v/>
      </c>
      <c r="B260">
        <f>IFERROR(INDEX('Keyword Map'!$G$3:$G$1002,MATCH(A260,'Keyword Map'!$AA$3:$AA$1002,0)),"")</f>
        <v/>
      </c>
      <c r="C260">
        <f>IF(B260="","",INDEX('Keyword Map'!$I$3:$I$1002,MATCH(A260,'Keyword Map'!$AA$3:$AA$1002,0))&amp;"")</f>
        <v/>
      </c>
      <c r="D260">
        <f>IF(B260="","",INDEX('Keyword Map'!$H$3:$H$1002,MATCH(A260,'Keyword Map'!$AA$3:$AA$1002,0))&amp;"")</f>
        <v/>
      </c>
      <c r="E260">
        <f>IF(B260="","",COUNTIF('Keyword Map'!$G$3:$G$1002,SUBSTITUTE(SUBSTITUTE(B260,"?","~?"),"*","~*")))</f>
        <v/>
      </c>
      <c r="F260">
        <f>IF(B260="","",COUNTIFS('Keyword Map'!$G$3:$G$1002,SUBSTITUTE(SUBSTITUTE(B260,"?","~?"),"*","~*"),'Keyword Map'!$J$3:$J$1002,"Primary"))</f>
        <v/>
      </c>
      <c r="G260">
        <f>IF(B260="","",SUMIFS('Keyword Map'!$C$3:$C$1002,'Keyword Map'!$G$3:$G$1002,SUBSTITUTE(SUBSTITUTE(B260,"?","~?"),"*","~*")))</f>
        <v/>
      </c>
      <c r="H260">
        <f>IF(B260="","",IFERROR(ROUND(AVERAGEIFS('Keyword Map'!$P$3:$P$1002,'Keyword Map'!$G$3:$G$1002,SUBSTITUTE(SUBSTITUTE(B260,"?","~?"),"*","~*")),0),""))</f>
        <v/>
      </c>
      <c r="I260">
        <f>IF(B260="","",COUNTIFS('Keyword Map'!$G$3:$G$1002,SUBSTITUTE(SUBSTITUTE(B260,"?","~?"),"*","~*"),'Keyword Map'!$R$3:$R$1002,"Yes"))</f>
        <v/>
      </c>
      <c r="J260">
        <f>IF(B260="","",COUNTIFS('Keyword Map'!$G$3:$G$1002,SUBSTITUTE(SUBSTITUTE(B260,"?","~?"),"*","~*"),'Keyword Map'!$W$3:$W$1002,"Yes"))</f>
        <v/>
      </c>
      <c r="K260">
        <f>IF(B260="","",IF(F260=0,"No primary keyword",IF(F260&gt;Settings!$B$4,"Too many primary keywords",IF(I260+J260&gt;0,"Check flags","OK"))))</f>
        <v/>
      </c>
    </row>
    <row r="261">
      <c r="A261">
        <f>ROW()-2</f>
        <v/>
      </c>
      <c r="B261">
        <f>IFERROR(INDEX('Keyword Map'!$G$3:$G$1002,MATCH(A261,'Keyword Map'!$AA$3:$AA$1002,0)),"")</f>
        <v/>
      </c>
      <c r="C261">
        <f>IF(B261="","",INDEX('Keyword Map'!$I$3:$I$1002,MATCH(A261,'Keyword Map'!$AA$3:$AA$1002,0))&amp;"")</f>
        <v/>
      </c>
      <c r="D261">
        <f>IF(B261="","",INDEX('Keyword Map'!$H$3:$H$1002,MATCH(A261,'Keyword Map'!$AA$3:$AA$1002,0))&amp;"")</f>
        <v/>
      </c>
      <c r="E261">
        <f>IF(B261="","",COUNTIF('Keyword Map'!$G$3:$G$1002,SUBSTITUTE(SUBSTITUTE(B261,"?","~?"),"*","~*")))</f>
        <v/>
      </c>
      <c r="F261">
        <f>IF(B261="","",COUNTIFS('Keyword Map'!$G$3:$G$1002,SUBSTITUTE(SUBSTITUTE(B261,"?","~?"),"*","~*"),'Keyword Map'!$J$3:$J$1002,"Primary"))</f>
        <v/>
      </c>
      <c r="G261">
        <f>IF(B261="","",SUMIFS('Keyword Map'!$C$3:$C$1002,'Keyword Map'!$G$3:$G$1002,SUBSTITUTE(SUBSTITUTE(B261,"?","~?"),"*","~*")))</f>
        <v/>
      </c>
      <c r="H261">
        <f>IF(B261="","",IFERROR(ROUND(AVERAGEIFS('Keyword Map'!$P$3:$P$1002,'Keyword Map'!$G$3:$G$1002,SUBSTITUTE(SUBSTITUTE(B261,"?","~?"),"*","~*")),0),""))</f>
        <v/>
      </c>
      <c r="I261">
        <f>IF(B261="","",COUNTIFS('Keyword Map'!$G$3:$G$1002,SUBSTITUTE(SUBSTITUTE(B261,"?","~?"),"*","~*"),'Keyword Map'!$R$3:$R$1002,"Yes"))</f>
        <v/>
      </c>
      <c r="J261">
        <f>IF(B261="","",COUNTIFS('Keyword Map'!$G$3:$G$1002,SUBSTITUTE(SUBSTITUTE(B261,"?","~?"),"*","~*"),'Keyword Map'!$W$3:$W$1002,"Yes"))</f>
        <v/>
      </c>
      <c r="K261">
        <f>IF(B261="","",IF(F261=0,"No primary keyword",IF(F261&gt;Settings!$B$4,"Too many primary keywords",IF(I261+J261&gt;0,"Check flags","OK"))))</f>
        <v/>
      </c>
    </row>
    <row r="262">
      <c r="A262">
        <f>ROW()-2</f>
        <v/>
      </c>
      <c r="B262">
        <f>IFERROR(INDEX('Keyword Map'!$G$3:$G$1002,MATCH(A262,'Keyword Map'!$AA$3:$AA$1002,0)),"")</f>
        <v/>
      </c>
      <c r="C262">
        <f>IF(B262="","",INDEX('Keyword Map'!$I$3:$I$1002,MATCH(A262,'Keyword Map'!$AA$3:$AA$1002,0))&amp;"")</f>
        <v/>
      </c>
      <c r="D262">
        <f>IF(B262="","",INDEX('Keyword Map'!$H$3:$H$1002,MATCH(A262,'Keyword Map'!$AA$3:$AA$1002,0))&amp;"")</f>
        <v/>
      </c>
      <c r="E262">
        <f>IF(B262="","",COUNTIF('Keyword Map'!$G$3:$G$1002,SUBSTITUTE(SUBSTITUTE(B262,"?","~?"),"*","~*")))</f>
        <v/>
      </c>
      <c r="F262">
        <f>IF(B262="","",COUNTIFS('Keyword Map'!$G$3:$G$1002,SUBSTITUTE(SUBSTITUTE(B262,"?","~?"),"*","~*"),'Keyword Map'!$J$3:$J$1002,"Primary"))</f>
        <v/>
      </c>
      <c r="G262">
        <f>IF(B262="","",SUMIFS('Keyword Map'!$C$3:$C$1002,'Keyword Map'!$G$3:$G$1002,SUBSTITUTE(SUBSTITUTE(B262,"?","~?"),"*","~*")))</f>
        <v/>
      </c>
      <c r="H262">
        <f>IF(B262="","",IFERROR(ROUND(AVERAGEIFS('Keyword Map'!$P$3:$P$1002,'Keyword Map'!$G$3:$G$1002,SUBSTITUTE(SUBSTITUTE(B262,"?","~?"),"*","~*")),0),""))</f>
        <v/>
      </c>
      <c r="I262">
        <f>IF(B262="","",COUNTIFS('Keyword Map'!$G$3:$G$1002,SUBSTITUTE(SUBSTITUTE(B262,"?","~?"),"*","~*"),'Keyword Map'!$R$3:$R$1002,"Yes"))</f>
        <v/>
      </c>
      <c r="J262">
        <f>IF(B262="","",COUNTIFS('Keyword Map'!$G$3:$G$1002,SUBSTITUTE(SUBSTITUTE(B262,"?","~?"),"*","~*"),'Keyword Map'!$W$3:$W$1002,"Yes"))</f>
        <v/>
      </c>
      <c r="K262">
        <f>IF(B262="","",IF(F262=0,"No primary keyword",IF(F262&gt;Settings!$B$4,"Too many primary keywords",IF(I262+J262&gt;0,"Check flags","OK"))))</f>
        <v/>
      </c>
    </row>
    <row r="263">
      <c r="A263">
        <f>ROW()-2</f>
        <v/>
      </c>
      <c r="B263">
        <f>IFERROR(INDEX('Keyword Map'!$G$3:$G$1002,MATCH(A263,'Keyword Map'!$AA$3:$AA$1002,0)),"")</f>
        <v/>
      </c>
      <c r="C263">
        <f>IF(B263="","",INDEX('Keyword Map'!$I$3:$I$1002,MATCH(A263,'Keyword Map'!$AA$3:$AA$1002,0))&amp;"")</f>
        <v/>
      </c>
      <c r="D263">
        <f>IF(B263="","",INDEX('Keyword Map'!$H$3:$H$1002,MATCH(A263,'Keyword Map'!$AA$3:$AA$1002,0))&amp;"")</f>
        <v/>
      </c>
      <c r="E263">
        <f>IF(B263="","",COUNTIF('Keyword Map'!$G$3:$G$1002,SUBSTITUTE(SUBSTITUTE(B263,"?","~?"),"*","~*")))</f>
        <v/>
      </c>
      <c r="F263">
        <f>IF(B263="","",COUNTIFS('Keyword Map'!$G$3:$G$1002,SUBSTITUTE(SUBSTITUTE(B263,"?","~?"),"*","~*"),'Keyword Map'!$J$3:$J$1002,"Primary"))</f>
        <v/>
      </c>
      <c r="G263">
        <f>IF(B263="","",SUMIFS('Keyword Map'!$C$3:$C$1002,'Keyword Map'!$G$3:$G$1002,SUBSTITUTE(SUBSTITUTE(B263,"?","~?"),"*","~*")))</f>
        <v/>
      </c>
      <c r="H263">
        <f>IF(B263="","",IFERROR(ROUND(AVERAGEIFS('Keyword Map'!$P$3:$P$1002,'Keyword Map'!$G$3:$G$1002,SUBSTITUTE(SUBSTITUTE(B263,"?","~?"),"*","~*")),0),""))</f>
        <v/>
      </c>
      <c r="I263">
        <f>IF(B263="","",COUNTIFS('Keyword Map'!$G$3:$G$1002,SUBSTITUTE(SUBSTITUTE(B263,"?","~?"),"*","~*"),'Keyword Map'!$R$3:$R$1002,"Yes"))</f>
        <v/>
      </c>
      <c r="J263">
        <f>IF(B263="","",COUNTIFS('Keyword Map'!$G$3:$G$1002,SUBSTITUTE(SUBSTITUTE(B263,"?","~?"),"*","~*"),'Keyword Map'!$W$3:$W$1002,"Yes"))</f>
        <v/>
      </c>
      <c r="K263">
        <f>IF(B263="","",IF(F263=0,"No primary keyword",IF(F263&gt;Settings!$B$4,"Too many primary keywords",IF(I263+J263&gt;0,"Check flags","OK"))))</f>
        <v/>
      </c>
    </row>
    <row r="264">
      <c r="A264">
        <f>ROW()-2</f>
        <v/>
      </c>
      <c r="B264">
        <f>IFERROR(INDEX('Keyword Map'!$G$3:$G$1002,MATCH(A264,'Keyword Map'!$AA$3:$AA$1002,0)),"")</f>
        <v/>
      </c>
      <c r="C264">
        <f>IF(B264="","",INDEX('Keyword Map'!$I$3:$I$1002,MATCH(A264,'Keyword Map'!$AA$3:$AA$1002,0))&amp;"")</f>
        <v/>
      </c>
      <c r="D264">
        <f>IF(B264="","",INDEX('Keyword Map'!$H$3:$H$1002,MATCH(A264,'Keyword Map'!$AA$3:$AA$1002,0))&amp;"")</f>
        <v/>
      </c>
      <c r="E264">
        <f>IF(B264="","",COUNTIF('Keyword Map'!$G$3:$G$1002,SUBSTITUTE(SUBSTITUTE(B264,"?","~?"),"*","~*")))</f>
        <v/>
      </c>
      <c r="F264">
        <f>IF(B264="","",COUNTIFS('Keyword Map'!$G$3:$G$1002,SUBSTITUTE(SUBSTITUTE(B264,"?","~?"),"*","~*"),'Keyword Map'!$J$3:$J$1002,"Primary"))</f>
        <v/>
      </c>
      <c r="G264">
        <f>IF(B264="","",SUMIFS('Keyword Map'!$C$3:$C$1002,'Keyword Map'!$G$3:$G$1002,SUBSTITUTE(SUBSTITUTE(B264,"?","~?"),"*","~*")))</f>
        <v/>
      </c>
      <c r="H264">
        <f>IF(B264="","",IFERROR(ROUND(AVERAGEIFS('Keyword Map'!$P$3:$P$1002,'Keyword Map'!$G$3:$G$1002,SUBSTITUTE(SUBSTITUTE(B264,"?","~?"),"*","~*")),0),""))</f>
        <v/>
      </c>
      <c r="I264">
        <f>IF(B264="","",COUNTIFS('Keyword Map'!$G$3:$G$1002,SUBSTITUTE(SUBSTITUTE(B264,"?","~?"),"*","~*"),'Keyword Map'!$R$3:$R$1002,"Yes"))</f>
        <v/>
      </c>
      <c r="J264">
        <f>IF(B264="","",COUNTIFS('Keyword Map'!$G$3:$G$1002,SUBSTITUTE(SUBSTITUTE(B264,"?","~?"),"*","~*"),'Keyword Map'!$W$3:$W$1002,"Yes"))</f>
        <v/>
      </c>
      <c r="K264">
        <f>IF(B264="","",IF(F264=0,"No primary keyword",IF(F264&gt;Settings!$B$4,"Too many primary keywords",IF(I264+J264&gt;0,"Check flags","OK"))))</f>
        <v/>
      </c>
    </row>
    <row r="265">
      <c r="A265">
        <f>ROW()-2</f>
        <v/>
      </c>
      <c r="B265">
        <f>IFERROR(INDEX('Keyword Map'!$G$3:$G$1002,MATCH(A265,'Keyword Map'!$AA$3:$AA$1002,0)),"")</f>
        <v/>
      </c>
      <c r="C265">
        <f>IF(B265="","",INDEX('Keyword Map'!$I$3:$I$1002,MATCH(A265,'Keyword Map'!$AA$3:$AA$1002,0))&amp;"")</f>
        <v/>
      </c>
      <c r="D265">
        <f>IF(B265="","",INDEX('Keyword Map'!$H$3:$H$1002,MATCH(A265,'Keyword Map'!$AA$3:$AA$1002,0))&amp;"")</f>
        <v/>
      </c>
      <c r="E265">
        <f>IF(B265="","",COUNTIF('Keyword Map'!$G$3:$G$1002,SUBSTITUTE(SUBSTITUTE(B265,"?","~?"),"*","~*")))</f>
        <v/>
      </c>
      <c r="F265">
        <f>IF(B265="","",COUNTIFS('Keyword Map'!$G$3:$G$1002,SUBSTITUTE(SUBSTITUTE(B265,"?","~?"),"*","~*"),'Keyword Map'!$J$3:$J$1002,"Primary"))</f>
        <v/>
      </c>
      <c r="G265">
        <f>IF(B265="","",SUMIFS('Keyword Map'!$C$3:$C$1002,'Keyword Map'!$G$3:$G$1002,SUBSTITUTE(SUBSTITUTE(B265,"?","~?"),"*","~*")))</f>
        <v/>
      </c>
      <c r="H265">
        <f>IF(B265="","",IFERROR(ROUND(AVERAGEIFS('Keyword Map'!$P$3:$P$1002,'Keyword Map'!$G$3:$G$1002,SUBSTITUTE(SUBSTITUTE(B265,"?","~?"),"*","~*")),0),""))</f>
        <v/>
      </c>
      <c r="I265">
        <f>IF(B265="","",COUNTIFS('Keyword Map'!$G$3:$G$1002,SUBSTITUTE(SUBSTITUTE(B265,"?","~?"),"*","~*"),'Keyword Map'!$R$3:$R$1002,"Yes"))</f>
        <v/>
      </c>
      <c r="J265">
        <f>IF(B265="","",COUNTIFS('Keyword Map'!$G$3:$G$1002,SUBSTITUTE(SUBSTITUTE(B265,"?","~?"),"*","~*"),'Keyword Map'!$W$3:$W$1002,"Yes"))</f>
        <v/>
      </c>
      <c r="K265">
        <f>IF(B265="","",IF(F265=0,"No primary keyword",IF(F265&gt;Settings!$B$4,"Too many primary keywords",IF(I265+J265&gt;0,"Check flags","OK"))))</f>
        <v/>
      </c>
    </row>
    <row r="266">
      <c r="A266">
        <f>ROW()-2</f>
        <v/>
      </c>
      <c r="B266">
        <f>IFERROR(INDEX('Keyword Map'!$G$3:$G$1002,MATCH(A266,'Keyword Map'!$AA$3:$AA$1002,0)),"")</f>
        <v/>
      </c>
      <c r="C266">
        <f>IF(B266="","",INDEX('Keyword Map'!$I$3:$I$1002,MATCH(A266,'Keyword Map'!$AA$3:$AA$1002,0))&amp;"")</f>
        <v/>
      </c>
      <c r="D266">
        <f>IF(B266="","",INDEX('Keyword Map'!$H$3:$H$1002,MATCH(A266,'Keyword Map'!$AA$3:$AA$1002,0))&amp;"")</f>
        <v/>
      </c>
      <c r="E266">
        <f>IF(B266="","",COUNTIF('Keyword Map'!$G$3:$G$1002,SUBSTITUTE(SUBSTITUTE(B266,"?","~?"),"*","~*")))</f>
        <v/>
      </c>
      <c r="F266">
        <f>IF(B266="","",COUNTIFS('Keyword Map'!$G$3:$G$1002,SUBSTITUTE(SUBSTITUTE(B266,"?","~?"),"*","~*"),'Keyword Map'!$J$3:$J$1002,"Primary"))</f>
        <v/>
      </c>
      <c r="G266">
        <f>IF(B266="","",SUMIFS('Keyword Map'!$C$3:$C$1002,'Keyword Map'!$G$3:$G$1002,SUBSTITUTE(SUBSTITUTE(B266,"?","~?"),"*","~*")))</f>
        <v/>
      </c>
      <c r="H266">
        <f>IF(B266="","",IFERROR(ROUND(AVERAGEIFS('Keyword Map'!$P$3:$P$1002,'Keyword Map'!$G$3:$G$1002,SUBSTITUTE(SUBSTITUTE(B266,"?","~?"),"*","~*")),0),""))</f>
        <v/>
      </c>
      <c r="I266">
        <f>IF(B266="","",COUNTIFS('Keyword Map'!$G$3:$G$1002,SUBSTITUTE(SUBSTITUTE(B266,"?","~?"),"*","~*"),'Keyword Map'!$R$3:$R$1002,"Yes"))</f>
        <v/>
      </c>
      <c r="J266">
        <f>IF(B266="","",COUNTIFS('Keyword Map'!$G$3:$G$1002,SUBSTITUTE(SUBSTITUTE(B266,"?","~?"),"*","~*"),'Keyword Map'!$W$3:$W$1002,"Yes"))</f>
        <v/>
      </c>
      <c r="K266">
        <f>IF(B266="","",IF(F266=0,"No primary keyword",IF(F266&gt;Settings!$B$4,"Too many primary keywords",IF(I266+J266&gt;0,"Check flags","OK"))))</f>
        <v/>
      </c>
    </row>
    <row r="267">
      <c r="A267">
        <f>ROW()-2</f>
        <v/>
      </c>
      <c r="B267">
        <f>IFERROR(INDEX('Keyword Map'!$G$3:$G$1002,MATCH(A267,'Keyword Map'!$AA$3:$AA$1002,0)),"")</f>
        <v/>
      </c>
      <c r="C267">
        <f>IF(B267="","",INDEX('Keyword Map'!$I$3:$I$1002,MATCH(A267,'Keyword Map'!$AA$3:$AA$1002,0))&amp;"")</f>
        <v/>
      </c>
      <c r="D267">
        <f>IF(B267="","",INDEX('Keyword Map'!$H$3:$H$1002,MATCH(A267,'Keyword Map'!$AA$3:$AA$1002,0))&amp;"")</f>
        <v/>
      </c>
      <c r="E267">
        <f>IF(B267="","",COUNTIF('Keyword Map'!$G$3:$G$1002,SUBSTITUTE(SUBSTITUTE(B267,"?","~?"),"*","~*")))</f>
        <v/>
      </c>
      <c r="F267">
        <f>IF(B267="","",COUNTIFS('Keyword Map'!$G$3:$G$1002,SUBSTITUTE(SUBSTITUTE(B267,"?","~?"),"*","~*"),'Keyword Map'!$J$3:$J$1002,"Primary"))</f>
        <v/>
      </c>
      <c r="G267">
        <f>IF(B267="","",SUMIFS('Keyword Map'!$C$3:$C$1002,'Keyword Map'!$G$3:$G$1002,SUBSTITUTE(SUBSTITUTE(B267,"?","~?"),"*","~*")))</f>
        <v/>
      </c>
      <c r="H267">
        <f>IF(B267="","",IFERROR(ROUND(AVERAGEIFS('Keyword Map'!$P$3:$P$1002,'Keyword Map'!$G$3:$G$1002,SUBSTITUTE(SUBSTITUTE(B267,"?","~?"),"*","~*")),0),""))</f>
        <v/>
      </c>
      <c r="I267">
        <f>IF(B267="","",COUNTIFS('Keyword Map'!$G$3:$G$1002,SUBSTITUTE(SUBSTITUTE(B267,"?","~?"),"*","~*"),'Keyword Map'!$R$3:$R$1002,"Yes"))</f>
        <v/>
      </c>
      <c r="J267">
        <f>IF(B267="","",COUNTIFS('Keyword Map'!$G$3:$G$1002,SUBSTITUTE(SUBSTITUTE(B267,"?","~?"),"*","~*"),'Keyword Map'!$W$3:$W$1002,"Yes"))</f>
        <v/>
      </c>
      <c r="K267">
        <f>IF(B267="","",IF(F267=0,"No primary keyword",IF(F267&gt;Settings!$B$4,"Too many primary keywords",IF(I267+J267&gt;0,"Check flags","OK"))))</f>
        <v/>
      </c>
    </row>
    <row r="268">
      <c r="A268">
        <f>ROW()-2</f>
        <v/>
      </c>
      <c r="B268">
        <f>IFERROR(INDEX('Keyword Map'!$G$3:$G$1002,MATCH(A268,'Keyword Map'!$AA$3:$AA$1002,0)),"")</f>
        <v/>
      </c>
      <c r="C268">
        <f>IF(B268="","",INDEX('Keyword Map'!$I$3:$I$1002,MATCH(A268,'Keyword Map'!$AA$3:$AA$1002,0))&amp;"")</f>
        <v/>
      </c>
      <c r="D268">
        <f>IF(B268="","",INDEX('Keyword Map'!$H$3:$H$1002,MATCH(A268,'Keyword Map'!$AA$3:$AA$1002,0))&amp;"")</f>
        <v/>
      </c>
      <c r="E268">
        <f>IF(B268="","",COUNTIF('Keyword Map'!$G$3:$G$1002,SUBSTITUTE(SUBSTITUTE(B268,"?","~?"),"*","~*")))</f>
        <v/>
      </c>
      <c r="F268">
        <f>IF(B268="","",COUNTIFS('Keyword Map'!$G$3:$G$1002,SUBSTITUTE(SUBSTITUTE(B268,"?","~?"),"*","~*"),'Keyword Map'!$J$3:$J$1002,"Primary"))</f>
        <v/>
      </c>
      <c r="G268">
        <f>IF(B268="","",SUMIFS('Keyword Map'!$C$3:$C$1002,'Keyword Map'!$G$3:$G$1002,SUBSTITUTE(SUBSTITUTE(B268,"?","~?"),"*","~*")))</f>
        <v/>
      </c>
      <c r="H268">
        <f>IF(B268="","",IFERROR(ROUND(AVERAGEIFS('Keyword Map'!$P$3:$P$1002,'Keyword Map'!$G$3:$G$1002,SUBSTITUTE(SUBSTITUTE(B268,"?","~?"),"*","~*")),0),""))</f>
        <v/>
      </c>
      <c r="I268">
        <f>IF(B268="","",COUNTIFS('Keyword Map'!$G$3:$G$1002,SUBSTITUTE(SUBSTITUTE(B268,"?","~?"),"*","~*"),'Keyword Map'!$R$3:$R$1002,"Yes"))</f>
        <v/>
      </c>
      <c r="J268">
        <f>IF(B268="","",COUNTIFS('Keyword Map'!$G$3:$G$1002,SUBSTITUTE(SUBSTITUTE(B268,"?","~?"),"*","~*"),'Keyword Map'!$W$3:$W$1002,"Yes"))</f>
        <v/>
      </c>
      <c r="K268">
        <f>IF(B268="","",IF(F268=0,"No primary keyword",IF(F268&gt;Settings!$B$4,"Too many primary keywords",IF(I268+J268&gt;0,"Check flags","OK"))))</f>
        <v/>
      </c>
    </row>
    <row r="269">
      <c r="A269">
        <f>ROW()-2</f>
        <v/>
      </c>
      <c r="B269">
        <f>IFERROR(INDEX('Keyword Map'!$G$3:$G$1002,MATCH(A269,'Keyword Map'!$AA$3:$AA$1002,0)),"")</f>
        <v/>
      </c>
      <c r="C269">
        <f>IF(B269="","",INDEX('Keyword Map'!$I$3:$I$1002,MATCH(A269,'Keyword Map'!$AA$3:$AA$1002,0))&amp;"")</f>
        <v/>
      </c>
      <c r="D269">
        <f>IF(B269="","",INDEX('Keyword Map'!$H$3:$H$1002,MATCH(A269,'Keyword Map'!$AA$3:$AA$1002,0))&amp;"")</f>
        <v/>
      </c>
      <c r="E269">
        <f>IF(B269="","",COUNTIF('Keyword Map'!$G$3:$G$1002,SUBSTITUTE(SUBSTITUTE(B269,"?","~?"),"*","~*")))</f>
        <v/>
      </c>
      <c r="F269">
        <f>IF(B269="","",COUNTIFS('Keyword Map'!$G$3:$G$1002,SUBSTITUTE(SUBSTITUTE(B269,"?","~?"),"*","~*"),'Keyword Map'!$J$3:$J$1002,"Primary"))</f>
        <v/>
      </c>
      <c r="G269">
        <f>IF(B269="","",SUMIFS('Keyword Map'!$C$3:$C$1002,'Keyword Map'!$G$3:$G$1002,SUBSTITUTE(SUBSTITUTE(B269,"?","~?"),"*","~*")))</f>
        <v/>
      </c>
      <c r="H269">
        <f>IF(B269="","",IFERROR(ROUND(AVERAGEIFS('Keyword Map'!$P$3:$P$1002,'Keyword Map'!$G$3:$G$1002,SUBSTITUTE(SUBSTITUTE(B269,"?","~?"),"*","~*")),0),""))</f>
        <v/>
      </c>
      <c r="I269">
        <f>IF(B269="","",COUNTIFS('Keyword Map'!$G$3:$G$1002,SUBSTITUTE(SUBSTITUTE(B269,"?","~?"),"*","~*"),'Keyword Map'!$R$3:$R$1002,"Yes"))</f>
        <v/>
      </c>
      <c r="J269">
        <f>IF(B269="","",COUNTIFS('Keyword Map'!$G$3:$G$1002,SUBSTITUTE(SUBSTITUTE(B269,"?","~?"),"*","~*"),'Keyword Map'!$W$3:$W$1002,"Yes"))</f>
        <v/>
      </c>
      <c r="K269">
        <f>IF(B269="","",IF(F269=0,"No primary keyword",IF(F269&gt;Settings!$B$4,"Too many primary keywords",IF(I269+J269&gt;0,"Check flags","OK"))))</f>
        <v/>
      </c>
    </row>
    <row r="270">
      <c r="A270">
        <f>ROW()-2</f>
        <v/>
      </c>
      <c r="B270">
        <f>IFERROR(INDEX('Keyword Map'!$G$3:$G$1002,MATCH(A270,'Keyword Map'!$AA$3:$AA$1002,0)),"")</f>
        <v/>
      </c>
      <c r="C270">
        <f>IF(B270="","",INDEX('Keyword Map'!$I$3:$I$1002,MATCH(A270,'Keyword Map'!$AA$3:$AA$1002,0))&amp;"")</f>
        <v/>
      </c>
      <c r="D270">
        <f>IF(B270="","",INDEX('Keyword Map'!$H$3:$H$1002,MATCH(A270,'Keyword Map'!$AA$3:$AA$1002,0))&amp;"")</f>
        <v/>
      </c>
      <c r="E270">
        <f>IF(B270="","",COUNTIF('Keyword Map'!$G$3:$G$1002,SUBSTITUTE(SUBSTITUTE(B270,"?","~?"),"*","~*")))</f>
        <v/>
      </c>
      <c r="F270">
        <f>IF(B270="","",COUNTIFS('Keyword Map'!$G$3:$G$1002,SUBSTITUTE(SUBSTITUTE(B270,"?","~?"),"*","~*"),'Keyword Map'!$J$3:$J$1002,"Primary"))</f>
        <v/>
      </c>
      <c r="G270">
        <f>IF(B270="","",SUMIFS('Keyword Map'!$C$3:$C$1002,'Keyword Map'!$G$3:$G$1002,SUBSTITUTE(SUBSTITUTE(B270,"?","~?"),"*","~*")))</f>
        <v/>
      </c>
      <c r="H270">
        <f>IF(B270="","",IFERROR(ROUND(AVERAGEIFS('Keyword Map'!$P$3:$P$1002,'Keyword Map'!$G$3:$G$1002,SUBSTITUTE(SUBSTITUTE(B270,"?","~?"),"*","~*")),0),""))</f>
        <v/>
      </c>
      <c r="I270">
        <f>IF(B270="","",COUNTIFS('Keyword Map'!$G$3:$G$1002,SUBSTITUTE(SUBSTITUTE(B270,"?","~?"),"*","~*"),'Keyword Map'!$R$3:$R$1002,"Yes"))</f>
        <v/>
      </c>
      <c r="J270">
        <f>IF(B270="","",COUNTIFS('Keyword Map'!$G$3:$G$1002,SUBSTITUTE(SUBSTITUTE(B270,"?","~?"),"*","~*"),'Keyword Map'!$W$3:$W$1002,"Yes"))</f>
        <v/>
      </c>
      <c r="K270">
        <f>IF(B270="","",IF(F270=0,"No primary keyword",IF(F270&gt;Settings!$B$4,"Too many primary keywords",IF(I270+J270&gt;0,"Check flags","OK"))))</f>
        <v/>
      </c>
    </row>
    <row r="271">
      <c r="A271">
        <f>ROW()-2</f>
        <v/>
      </c>
      <c r="B271">
        <f>IFERROR(INDEX('Keyword Map'!$G$3:$G$1002,MATCH(A271,'Keyword Map'!$AA$3:$AA$1002,0)),"")</f>
        <v/>
      </c>
      <c r="C271">
        <f>IF(B271="","",INDEX('Keyword Map'!$I$3:$I$1002,MATCH(A271,'Keyword Map'!$AA$3:$AA$1002,0))&amp;"")</f>
        <v/>
      </c>
      <c r="D271">
        <f>IF(B271="","",INDEX('Keyword Map'!$H$3:$H$1002,MATCH(A271,'Keyword Map'!$AA$3:$AA$1002,0))&amp;"")</f>
        <v/>
      </c>
      <c r="E271">
        <f>IF(B271="","",COUNTIF('Keyword Map'!$G$3:$G$1002,SUBSTITUTE(SUBSTITUTE(B271,"?","~?"),"*","~*")))</f>
        <v/>
      </c>
      <c r="F271">
        <f>IF(B271="","",COUNTIFS('Keyword Map'!$G$3:$G$1002,SUBSTITUTE(SUBSTITUTE(B271,"?","~?"),"*","~*"),'Keyword Map'!$J$3:$J$1002,"Primary"))</f>
        <v/>
      </c>
      <c r="G271">
        <f>IF(B271="","",SUMIFS('Keyword Map'!$C$3:$C$1002,'Keyword Map'!$G$3:$G$1002,SUBSTITUTE(SUBSTITUTE(B271,"?","~?"),"*","~*")))</f>
        <v/>
      </c>
      <c r="H271">
        <f>IF(B271="","",IFERROR(ROUND(AVERAGEIFS('Keyword Map'!$P$3:$P$1002,'Keyword Map'!$G$3:$G$1002,SUBSTITUTE(SUBSTITUTE(B271,"?","~?"),"*","~*")),0),""))</f>
        <v/>
      </c>
      <c r="I271">
        <f>IF(B271="","",COUNTIFS('Keyword Map'!$G$3:$G$1002,SUBSTITUTE(SUBSTITUTE(B271,"?","~?"),"*","~*"),'Keyword Map'!$R$3:$R$1002,"Yes"))</f>
        <v/>
      </c>
      <c r="J271">
        <f>IF(B271="","",COUNTIFS('Keyword Map'!$G$3:$G$1002,SUBSTITUTE(SUBSTITUTE(B271,"?","~?"),"*","~*"),'Keyword Map'!$W$3:$W$1002,"Yes"))</f>
        <v/>
      </c>
      <c r="K271">
        <f>IF(B271="","",IF(F271=0,"No primary keyword",IF(F271&gt;Settings!$B$4,"Too many primary keywords",IF(I271+J271&gt;0,"Check flags","OK"))))</f>
        <v/>
      </c>
    </row>
    <row r="272">
      <c r="A272">
        <f>ROW()-2</f>
        <v/>
      </c>
      <c r="B272">
        <f>IFERROR(INDEX('Keyword Map'!$G$3:$G$1002,MATCH(A272,'Keyword Map'!$AA$3:$AA$1002,0)),"")</f>
        <v/>
      </c>
      <c r="C272">
        <f>IF(B272="","",INDEX('Keyword Map'!$I$3:$I$1002,MATCH(A272,'Keyword Map'!$AA$3:$AA$1002,0))&amp;"")</f>
        <v/>
      </c>
      <c r="D272">
        <f>IF(B272="","",INDEX('Keyword Map'!$H$3:$H$1002,MATCH(A272,'Keyword Map'!$AA$3:$AA$1002,0))&amp;"")</f>
        <v/>
      </c>
      <c r="E272">
        <f>IF(B272="","",COUNTIF('Keyword Map'!$G$3:$G$1002,SUBSTITUTE(SUBSTITUTE(B272,"?","~?"),"*","~*")))</f>
        <v/>
      </c>
      <c r="F272">
        <f>IF(B272="","",COUNTIFS('Keyword Map'!$G$3:$G$1002,SUBSTITUTE(SUBSTITUTE(B272,"?","~?"),"*","~*"),'Keyword Map'!$J$3:$J$1002,"Primary"))</f>
        <v/>
      </c>
      <c r="G272">
        <f>IF(B272="","",SUMIFS('Keyword Map'!$C$3:$C$1002,'Keyword Map'!$G$3:$G$1002,SUBSTITUTE(SUBSTITUTE(B272,"?","~?"),"*","~*")))</f>
        <v/>
      </c>
      <c r="H272">
        <f>IF(B272="","",IFERROR(ROUND(AVERAGEIFS('Keyword Map'!$P$3:$P$1002,'Keyword Map'!$G$3:$G$1002,SUBSTITUTE(SUBSTITUTE(B272,"?","~?"),"*","~*")),0),""))</f>
        <v/>
      </c>
      <c r="I272">
        <f>IF(B272="","",COUNTIFS('Keyword Map'!$G$3:$G$1002,SUBSTITUTE(SUBSTITUTE(B272,"?","~?"),"*","~*"),'Keyword Map'!$R$3:$R$1002,"Yes"))</f>
        <v/>
      </c>
      <c r="J272">
        <f>IF(B272="","",COUNTIFS('Keyword Map'!$G$3:$G$1002,SUBSTITUTE(SUBSTITUTE(B272,"?","~?"),"*","~*"),'Keyword Map'!$W$3:$W$1002,"Yes"))</f>
        <v/>
      </c>
      <c r="K272">
        <f>IF(B272="","",IF(F272=0,"No primary keyword",IF(F272&gt;Settings!$B$4,"Too many primary keywords",IF(I272+J272&gt;0,"Check flags","OK"))))</f>
        <v/>
      </c>
    </row>
    <row r="273">
      <c r="A273">
        <f>ROW()-2</f>
        <v/>
      </c>
      <c r="B273">
        <f>IFERROR(INDEX('Keyword Map'!$G$3:$G$1002,MATCH(A273,'Keyword Map'!$AA$3:$AA$1002,0)),"")</f>
        <v/>
      </c>
      <c r="C273">
        <f>IF(B273="","",INDEX('Keyword Map'!$I$3:$I$1002,MATCH(A273,'Keyword Map'!$AA$3:$AA$1002,0))&amp;"")</f>
        <v/>
      </c>
      <c r="D273">
        <f>IF(B273="","",INDEX('Keyword Map'!$H$3:$H$1002,MATCH(A273,'Keyword Map'!$AA$3:$AA$1002,0))&amp;"")</f>
        <v/>
      </c>
      <c r="E273">
        <f>IF(B273="","",COUNTIF('Keyword Map'!$G$3:$G$1002,SUBSTITUTE(SUBSTITUTE(B273,"?","~?"),"*","~*")))</f>
        <v/>
      </c>
      <c r="F273">
        <f>IF(B273="","",COUNTIFS('Keyword Map'!$G$3:$G$1002,SUBSTITUTE(SUBSTITUTE(B273,"?","~?"),"*","~*"),'Keyword Map'!$J$3:$J$1002,"Primary"))</f>
        <v/>
      </c>
      <c r="G273">
        <f>IF(B273="","",SUMIFS('Keyword Map'!$C$3:$C$1002,'Keyword Map'!$G$3:$G$1002,SUBSTITUTE(SUBSTITUTE(B273,"?","~?"),"*","~*")))</f>
        <v/>
      </c>
      <c r="H273">
        <f>IF(B273="","",IFERROR(ROUND(AVERAGEIFS('Keyword Map'!$P$3:$P$1002,'Keyword Map'!$G$3:$G$1002,SUBSTITUTE(SUBSTITUTE(B273,"?","~?"),"*","~*")),0),""))</f>
        <v/>
      </c>
      <c r="I273">
        <f>IF(B273="","",COUNTIFS('Keyword Map'!$G$3:$G$1002,SUBSTITUTE(SUBSTITUTE(B273,"?","~?"),"*","~*"),'Keyword Map'!$R$3:$R$1002,"Yes"))</f>
        <v/>
      </c>
      <c r="J273">
        <f>IF(B273="","",COUNTIFS('Keyword Map'!$G$3:$G$1002,SUBSTITUTE(SUBSTITUTE(B273,"?","~?"),"*","~*"),'Keyword Map'!$W$3:$W$1002,"Yes"))</f>
        <v/>
      </c>
      <c r="K273">
        <f>IF(B273="","",IF(F273=0,"No primary keyword",IF(F273&gt;Settings!$B$4,"Too many primary keywords",IF(I273+J273&gt;0,"Check flags","OK"))))</f>
        <v/>
      </c>
    </row>
    <row r="274">
      <c r="A274">
        <f>ROW()-2</f>
        <v/>
      </c>
      <c r="B274">
        <f>IFERROR(INDEX('Keyword Map'!$G$3:$G$1002,MATCH(A274,'Keyword Map'!$AA$3:$AA$1002,0)),"")</f>
        <v/>
      </c>
      <c r="C274">
        <f>IF(B274="","",INDEX('Keyword Map'!$I$3:$I$1002,MATCH(A274,'Keyword Map'!$AA$3:$AA$1002,0))&amp;"")</f>
        <v/>
      </c>
      <c r="D274">
        <f>IF(B274="","",INDEX('Keyword Map'!$H$3:$H$1002,MATCH(A274,'Keyword Map'!$AA$3:$AA$1002,0))&amp;"")</f>
        <v/>
      </c>
      <c r="E274">
        <f>IF(B274="","",COUNTIF('Keyword Map'!$G$3:$G$1002,SUBSTITUTE(SUBSTITUTE(B274,"?","~?"),"*","~*")))</f>
        <v/>
      </c>
      <c r="F274">
        <f>IF(B274="","",COUNTIFS('Keyword Map'!$G$3:$G$1002,SUBSTITUTE(SUBSTITUTE(B274,"?","~?"),"*","~*"),'Keyword Map'!$J$3:$J$1002,"Primary"))</f>
        <v/>
      </c>
      <c r="G274">
        <f>IF(B274="","",SUMIFS('Keyword Map'!$C$3:$C$1002,'Keyword Map'!$G$3:$G$1002,SUBSTITUTE(SUBSTITUTE(B274,"?","~?"),"*","~*")))</f>
        <v/>
      </c>
      <c r="H274">
        <f>IF(B274="","",IFERROR(ROUND(AVERAGEIFS('Keyword Map'!$P$3:$P$1002,'Keyword Map'!$G$3:$G$1002,SUBSTITUTE(SUBSTITUTE(B274,"?","~?"),"*","~*")),0),""))</f>
        <v/>
      </c>
      <c r="I274">
        <f>IF(B274="","",COUNTIFS('Keyword Map'!$G$3:$G$1002,SUBSTITUTE(SUBSTITUTE(B274,"?","~?"),"*","~*"),'Keyword Map'!$R$3:$R$1002,"Yes"))</f>
        <v/>
      </c>
      <c r="J274">
        <f>IF(B274="","",COUNTIFS('Keyword Map'!$G$3:$G$1002,SUBSTITUTE(SUBSTITUTE(B274,"?","~?"),"*","~*"),'Keyword Map'!$W$3:$W$1002,"Yes"))</f>
        <v/>
      </c>
      <c r="K274">
        <f>IF(B274="","",IF(F274=0,"No primary keyword",IF(F274&gt;Settings!$B$4,"Too many primary keywords",IF(I274+J274&gt;0,"Check flags","OK"))))</f>
        <v/>
      </c>
    </row>
    <row r="275">
      <c r="A275">
        <f>ROW()-2</f>
        <v/>
      </c>
      <c r="B275">
        <f>IFERROR(INDEX('Keyword Map'!$G$3:$G$1002,MATCH(A275,'Keyword Map'!$AA$3:$AA$1002,0)),"")</f>
        <v/>
      </c>
      <c r="C275">
        <f>IF(B275="","",INDEX('Keyword Map'!$I$3:$I$1002,MATCH(A275,'Keyword Map'!$AA$3:$AA$1002,0))&amp;"")</f>
        <v/>
      </c>
      <c r="D275">
        <f>IF(B275="","",INDEX('Keyword Map'!$H$3:$H$1002,MATCH(A275,'Keyword Map'!$AA$3:$AA$1002,0))&amp;"")</f>
        <v/>
      </c>
      <c r="E275">
        <f>IF(B275="","",COUNTIF('Keyword Map'!$G$3:$G$1002,SUBSTITUTE(SUBSTITUTE(B275,"?","~?"),"*","~*")))</f>
        <v/>
      </c>
      <c r="F275">
        <f>IF(B275="","",COUNTIFS('Keyword Map'!$G$3:$G$1002,SUBSTITUTE(SUBSTITUTE(B275,"?","~?"),"*","~*"),'Keyword Map'!$J$3:$J$1002,"Primary"))</f>
        <v/>
      </c>
      <c r="G275">
        <f>IF(B275="","",SUMIFS('Keyword Map'!$C$3:$C$1002,'Keyword Map'!$G$3:$G$1002,SUBSTITUTE(SUBSTITUTE(B275,"?","~?"),"*","~*")))</f>
        <v/>
      </c>
      <c r="H275">
        <f>IF(B275="","",IFERROR(ROUND(AVERAGEIFS('Keyword Map'!$P$3:$P$1002,'Keyword Map'!$G$3:$G$1002,SUBSTITUTE(SUBSTITUTE(B275,"?","~?"),"*","~*")),0),""))</f>
        <v/>
      </c>
      <c r="I275">
        <f>IF(B275="","",COUNTIFS('Keyword Map'!$G$3:$G$1002,SUBSTITUTE(SUBSTITUTE(B275,"?","~?"),"*","~*"),'Keyword Map'!$R$3:$R$1002,"Yes"))</f>
        <v/>
      </c>
      <c r="J275">
        <f>IF(B275="","",COUNTIFS('Keyword Map'!$G$3:$G$1002,SUBSTITUTE(SUBSTITUTE(B275,"?","~?"),"*","~*"),'Keyword Map'!$W$3:$W$1002,"Yes"))</f>
        <v/>
      </c>
      <c r="K275">
        <f>IF(B275="","",IF(F275=0,"No primary keyword",IF(F275&gt;Settings!$B$4,"Too many primary keywords",IF(I275+J275&gt;0,"Check flags","OK"))))</f>
        <v/>
      </c>
    </row>
    <row r="276">
      <c r="A276">
        <f>ROW()-2</f>
        <v/>
      </c>
      <c r="B276">
        <f>IFERROR(INDEX('Keyword Map'!$G$3:$G$1002,MATCH(A276,'Keyword Map'!$AA$3:$AA$1002,0)),"")</f>
        <v/>
      </c>
      <c r="C276">
        <f>IF(B276="","",INDEX('Keyword Map'!$I$3:$I$1002,MATCH(A276,'Keyword Map'!$AA$3:$AA$1002,0))&amp;"")</f>
        <v/>
      </c>
      <c r="D276">
        <f>IF(B276="","",INDEX('Keyword Map'!$H$3:$H$1002,MATCH(A276,'Keyword Map'!$AA$3:$AA$1002,0))&amp;"")</f>
        <v/>
      </c>
      <c r="E276">
        <f>IF(B276="","",COUNTIF('Keyword Map'!$G$3:$G$1002,SUBSTITUTE(SUBSTITUTE(B276,"?","~?"),"*","~*")))</f>
        <v/>
      </c>
      <c r="F276">
        <f>IF(B276="","",COUNTIFS('Keyword Map'!$G$3:$G$1002,SUBSTITUTE(SUBSTITUTE(B276,"?","~?"),"*","~*"),'Keyword Map'!$J$3:$J$1002,"Primary"))</f>
        <v/>
      </c>
      <c r="G276">
        <f>IF(B276="","",SUMIFS('Keyword Map'!$C$3:$C$1002,'Keyword Map'!$G$3:$G$1002,SUBSTITUTE(SUBSTITUTE(B276,"?","~?"),"*","~*")))</f>
        <v/>
      </c>
      <c r="H276">
        <f>IF(B276="","",IFERROR(ROUND(AVERAGEIFS('Keyword Map'!$P$3:$P$1002,'Keyword Map'!$G$3:$G$1002,SUBSTITUTE(SUBSTITUTE(B276,"?","~?"),"*","~*")),0),""))</f>
        <v/>
      </c>
      <c r="I276">
        <f>IF(B276="","",COUNTIFS('Keyword Map'!$G$3:$G$1002,SUBSTITUTE(SUBSTITUTE(B276,"?","~?"),"*","~*"),'Keyword Map'!$R$3:$R$1002,"Yes"))</f>
        <v/>
      </c>
      <c r="J276">
        <f>IF(B276="","",COUNTIFS('Keyword Map'!$G$3:$G$1002,SUBSTITUTE(SUBSTITUTE(B276,"?","~?"),"*","~*"),'Keyword Map'!$W$3:$W$1002,"Yes"))</f>
        <v/>
      </c>
      <c r="K276">
        <f>IF(B276="","",IF(F276=0,"No primary keyword",IF(F276&gt;Settings!$B$4,"Too many primary keywords",IF(I276+J276&gt;0,"Check flags","OK"))))</f>
        <v/>
      </c>
    </row>
    <row r="277">
      <c r="A277">
        <f>ROW()-2</f>
        <v/>
      </c>
      <c r="B277">
        <f>IFERROR(INDEX('Keyword Map'!$G$3:$G$1002,MATCH(A277,'Keyword Map'!$AA$3:$AA$1002,0)),"")</f>
        <v/>
      </c>
      <c r="C277">
        <f>IF(B277="","",INDEX('Keyword Map'!$I$3:$I$1002,MATCH(A277,'Keyword Map'!$AA$3:$AA$1002,0))&amp;"")</f>
        <v/>
      </c>
      <c r="D277">
        <f>IF(B277="","",INDEX('Keyword Map'!$H$3:$H$1002,MATCH(A277,'Keyword Map'!$AA$3:$AA$1002,0))&amp;"")</f>
        <v/>
      </c>
      <c r="E277">
        <f>IF(B277="","",COUNTIF('Keyword Map'!$G$3:$G$1002,SUBSTITUTE(SUBSTITUTE(B277,"?","~?"),"*","~*")))</f>
        <v/>
      </c>
      <c r="F277">
        <f>IF(B277="","",COUNTIFS('Keyword Map'!$G$3:$G$1002,SUBSTITUTE(SUBSTITUTE(B277,"?","~?"),"*","~*"),'Keyword Map'!$J$3:$J$1002,"Primary"))</f>
        <v/>
      </c>
      <c r="G277">
        <f>IF(B277="","",SUMIFS('Keyword Map'!$C$3:$C$1002,'Keyword Map'!$G$3:$G$1002,SUBSTITUTE(SUBSTITUTE(B277,"?","~?"),"*","~*")))</f>
        <v/>
      </c>
      <c r="H277">
        <f>IF(B277="","",IFERROR(ROUND(AVERAGEIFS('Keyword Map'!$P$3:$P$1002,'Keyword Map'!$G$3:$G$1002,SUBSTITUTE(SUBSTITUTE(B277,"?","~?"),"*","~*")),0),""))</f>
        <v/>
      </c>
      <c r="I277">
        <f>IF(B277="","",COUNTIFS('Keyword Map'!$G$3:$G$1002,SUBSTITUTE(SUBSTITUTE(B277,"?","~?"),"*","~*"),'Keyword Map'!$R$3:$R$1002,"Yes"))</f>
        <v/>
      </c>
      <c r="J277">
        <f>IF(B277="","",COUNTIFS('Keyword Map'!$G$3:$G$1002,SUBSTITUTE(SUBSTITUTE(B277,"?","~?"),"*","~*"),'Keyword Map'!$W$3:$W$1002,"Yes"))</f>
        <v/>
      </c>
      <c r="K277">
        <f>IF(B277="","",IF(F277=0,"No primary keyword",IF(F277&gt;Settings!$B$4,"Too many primary keywords",IF(I277+J277&gt;0,"Check flags","OK"))))</f>
        <v/>
      </c>
    </row>
    <row r="278">
      <c r="A278">
        <f>ROW()-2</f>
        <v/>
      </c>
      <c r="B278">
        <f>IFERROR(INDEX('Keyword Map'!$G$3:$G$1002,MATCH(A278,'Keyword Map'!$AA$3:$AA$1002,0)),"")</f>
        <v/>
      </c>
      <c r="C278">
        <f>IF(B278="","",INDEX('Keyword Map'!$I$3:$I$1002,MATCH(A278,'Keyword Map'!$AA$3:$AA$1002,0))&amp;"")</f>
        <v/>
      </c>
      <c r="D278">
        <f>IF(B278="","",INDEX('Keyword Map'!$H$3:$H$1002,MATCH(A278,'Keyword Map'!$AA$3:$AA$1002,0))&amp;"")</f>
        <v/>
      </c>
      <c r="E278">
        <f>IF(B278="","",COUNTIF('Keyword Map'!$G$3:$G$1002,SUBSTITUTE(SUBSTITUTE(B278,"?","~?"),"*","~*")))</f>
        <v/>
      </c>
      <c r="F278">
        <f>IF(B278="","",COUNTIFS('Keyword Map'!$G$3:$G$1002,SUBSTITUTE(SUBSTITUTE(B278,"?","~?"),"*","~*"),'Keyword Map'!$J$3:$J$1002,"Primary"))</f>
        <v/>
      </c>
      <c r="G278">
        <f>IF(B278="","",SUMIFS('Keyword Map'!$C$3:$C$1002,'Keyword Map'!$G$3:$G$1002,SUBSTITUTE(SUBSTITUTE(B278,"?","~?"),"*","~*")))</f>
        <v/>
      </c>
      <c r="H278">
        <f>IF(B278="","",IFERROR(ROUND(AVERAGEIFS('Keyword Map'!$P$3:$P$1002,'Keyword Map'!$G$3:$G$1002,SUBSTITUTE(SUBSTITUTE(B278,"?","~?"),"*","~*")),0),""))</f>
        <v/>
      </c>
      <c r="I278">
        <f>IF(B278="","",COUNTIFS('Keyword Map'!$G$3:$G$1002,SUBSTITUTE(SUBSTITUTE(B278,"?","~?"),"*","~*"),'Keyword Map'!$R$3:$R$1002,"Yes"))</f>
        <v/>
      </c>
      <c r="J278">
        <f>IF(B278="","",COUNTIFS('Keyword Map'!$G$3:$G$1002,SUBSTITUTE(SUBSTITUTE(B278,"?","~?"),"*","~*"),'Keyword Map'!$W$3:$W$1002,"Yes"))</f>
        <v/>
      </c>
      <c r="K278">
        <f>IF(B278="","",IF(F278=0,"No primary keyword",IF(F278&gt;Settings!$B$4,"Too many primary keywords",IF(I278+J278&gt;0,"Check flags","OK"))))</f>
        <v/>
      </c>
    </row>
    <row r="279">
      <c r="A279">
        <f>ROW()-2</f>
        <v/>
      </c>
      <c r="B279">
        <f>IFERROR(INDEX('Keyword Map'!$G$3:$G$1002,MATCH(A279,'Keyword Map'!$AA$3:$AA$1002,0)),"")</f>
        <v/>
      </c>
      <c r="C279">
        <f>IF(B279="","",INDEX('Keyword Map'!$I$3:$I$1002,MATCH(A279,'Keyword Map'!$AA$3:$AA$1002,0))&amp;"")</f>
        <v/>
      </c>
      <c r="D279">
        <f>IF(B279="","",INDEX('Keyword Map'!$H$3:$H$1002,MATCH(A279,'Keyword Map'!$AA$3:$AA$1002,0))&amp;"")</f>
        <v/>
      </c>
      <c r="E279">
        <f>IF(B279="","",COUNTIF('Keyword Map'!$G$3:$G$1002,SUBSTITUTE(SUBSTITUTE(B279,"?","~?"),"*","~*")))</f>
        <v/>
      </c>
      <c r="F279">
        <f>IF(B279="","",COUNTIFS('Keyword Map'!$G$3:$G$1002,SUBSTITUTE(SUBSTITUTE(B279,"?","~?"),"*","~*"),'Keyword Map'!$J$3:$J$1002,"Primary"))</f>
        <v/>
      </c>
      <c r="G279">
        <f>IF(B279="","",SUMIFS('Keyword Map'!$C$3:$C$1002,'Keyword Map'!$G$3:$G$1002,SUBSTITUTE(SUBSTITUTE(B279,"?","~?"),"*","~*")))</f>
        <v/>
      </c>
      <c r="H279">
        <f>IF(B279="","",IFERROR(ROUND(AVERAGEIFS('Keyword Map'!$P$3:$P$1002,'Keyword Map'!$G$3:$G$1002,SUBSTITUTE(SUBSTITUTE(B279,"?","~?"),"*","~*")),0),""))</f>
        <v/>
      </c>
      <c r="I279">
        <f>IF(B279="","",COUNTIFS('Keyword Map'!$G$3:$G$1002,SUBSTITUTE(SUBSTITUTE(B279,"?","~?"),"*","~*"),'Keyword Map'!$R$3:$R$1002,"Yes"))</f>
        <v/>
      </c>
      <c r="J279">
        <f>IF(B279="","",COUNTIFS('Keyword Map'!$G$3:$G$1002,SUBSTITUTE(SUBSTITUTE(B279,"?","~?"),"*","~*"),'Keyword Map'!$W$3:$W$1002,"Yes"))</f>
        <v/>
      </c>
      <c r="K279">
        <f>IF(B279="","",IF(F279=0,"No primary keyword",IF(F279&gt;Settings!$B$4,"Too many primary keywords",IF(I279+J279&gt;0,"Check flags","OK"))))</f>
        <v/>
      </c>
    </row>
    <row r="280">
      <c r="A280">
        <f>ROW()-2</f>
        <v/>
      </c>
      <c r="B280">
        <f>IFERROR(INDEX('Keyword Map'!$G$3:$G$1002,MATCH(A280,'Keyword Map'!$AA$3:$AA$1002,0)),"")</f>
        <v/>
      </c>
      <c r="C280">
        <f>IF(B280="","",INDEX('Keyword Map'!$I$3:$I$1002,MATCH(A280,'Keyword Map'!$AA$3:$AA$1002,0))&amp;"")</f>
        <v/>
      </c>
      <c r="D280">
        <f>IF(B280="","",INDEX('Keyword Map'!$H$3:$H$1002,MATCH(A280,'Keyword Map'!$AA$3:$AA$1002,0))&amp;"")</f>
        <v/>
      </c>
      <c r="E280">
        <f>IF(B280="","",COUNTIF('Keyword Map'!$G$3:$G$1002,SUBSTITUTE(SUBSTITUTE(B280,"?","~?"),"*","~*")))</f>
        <v/>
      </c>
      <c r="F280">
        <f>IF(B280="","",COUNTIFS('Keyword Map'!$G$3:$G$1002,SUBSTITUTE(SUBSTITUTE(B280,"?","~?"),"*","~*"),'Keyword Map'!$J$3:$J$1002,"Primary"))</f>
        <v/>
      </c>
      <c r="G280">
        <f>IF(B280="","",SUMIFS('Keyword Map'!$C$3:$C$1002,'Keyword Map'!$G$3:$G$1002,SUBSTITUTE(SUBSTITUTE(B280,"?","~?"),"*","~*")))</f>
        <v/>
      </c>
      <c r="H280">
        <f>IF(B280="","",IFERROR(ROUND(AVERAGEIFS('Keyword Map'!$P$3:$P$1002,'Keyword Map'!$G$3:$G$1002,SUBSTITUTE(SUBSTITUTE(B280,"?","~?"),"*","~*")),0),""))</f>
        <v/>
      </c>
      <c r="I280">
        <f>IF(B280="","",COUNTIFS('Keyword Map'!$G$3:$G$1002,SUBSTITUTE(SUBSTITUTE(B280,"?","~?"),"*","~*"),'Keyword Map'!$R$3:$R$1002,"Yes"))</f>
        <v/>
      </c>
      <c r="J280">
        <f>IF(B280="","",COUNTIFS('Keyword Map'!$G$3:$G$1002,SUBSTITUTE(SUBSTITUTE(B280,"?","~?"),"*","~*"),'Keyword Map'!$W$3:$W$1002,"Yes"))</f>
        <v/>
      </c>
      <c r="K280">
        <f>IF(B280="","",IF(F280=0,"No primary keyword",IF(F280&gt;Settings!$B$4,"Too many primary keywords",IF(I280+J280&gt;0,"Check flags","OK"))))</f>
        <v/>
      </c>
    </row>
    <row r="281">
      <c r="A281">
        <f>ROW()-2</f>
        <v/>
      </c>
      <c r="B281">
        <f>IFERROR(INDEX('Keyword Map'!$G$3:$G$1002,MATCH(A281,'Keyword Map'!$AA$3:$AA$1002,0)),"")</f>
        <v/>
      </c>
      <c r="C281">
        <f>IF(B281="","",INDEX('Keyword Map'!$I$3:$I$1002,MATCH(A281,'Keyword Map'!$AA$3:$AA$1002,0))&amp;"")</f>
        <v/>
      </c>
      <c r="D281">
        <f>IF(B281="","",INDEX('Keyword Map'!$H$3:$H$1002,MATCH(A281,'Keyword Map'!$AA$3:$AA$1002,0))&amp;"")</f>
        <v/>
      </c>
      <c r="E281">
        <f>IF(B281="","",COUNTIF('Keyword Map'!$G$3:$G$1002,SUBSTITUTE(SUBSTITUTE(B281,"?","~?"),"*","~*")))</f>
        <v/>
      </c>
      <c r="F281">
        <f>IF(B281="","",COUNTIFS('Keyword Map'!$G$3:$G$1002,SUBSTITUTE(SUBSTITUTE(B281,"?","~?"),"*","~*"),'Keyword Map'!$J$3:$J$1002,"Primary"))</f>
        <v/>
      </c>
      <c r="G281">
        <f>IF(B281="","",SUMIFS('Keyword Map'!$C$3:$C$1002,'Keyword Map'!$G$3:$G$1002,SUBSTITUTE(SUBSTITUTE(B281,"?","~?"),"*","~*")))</f>
        <v/>
      </c>
      <c r="H281">
        <f>IF(B281="","",IFERROR(ROUND(AVERAGEIFS('Keyword Map'!$P$3:$P$1002,'Keyword Map'!$G$3:$G$1002,SUBSTITUTE(SUBSTITUTE(B281,"?","~?"),"*","~*")),0),""))</f>
        <v/>
      </c>
      <c r="I281">
        <f>IF(B281="","",COUNTIFS('Keyword Map'!$G$3:$G$1002,SUBSTITUTE(SUBSTITUTE(B281,"?","~?"),"*","~*"),'Keyword Map'!$R$3:$R$1002,"Yes"))</f>
        <v/>
      </c>
      <c r="J281">
        <f>IF(B281="","",COUNTIFS('Keyword Map'!$G$3:$G$1002,SUBSTITUTE(SUBSTITUTE(B281,"?","~?"),"*","~*"),'Keyword Map'!$W$3:$W$1002,"Yes"))</f>
        <v/>
      </c>
      <c r="K281">
        <f>IF(B281="","",IF(F281=0,"No primary keyword",IF(F281&gt;Settings!$B$4,"Too many primary keywords",IF(I281+J281&gt;0,"Check flags","OK"))))</f>
        <v/>
      </c>
    </row>
    <row r="282">
      <c r="A282">
        <f>ROW()-2</f>
        <v/>
      </c>
      <c r="B282">
        <f>IFERROR(INDEX('Keyword Map'!$G$3:$G$1002,MATCH(A282,'Keyword Map'!$AA$3:$AA$1002,0)),"")</f>
        <v/>
      </c>
      <c r="C282">
        <f>IF(B282="","",INDEX('Keyword Map'!$I$3:$I$1002,MATCH(A282,'Keyword Map'!$AA$3:$AA$1002,0))&amp;"")</f>
        <v/>
      </c>
      <c r="D282">
        <f>IF(B282="","",INDEX('Keyword Map'!$H$3:$H$1002,MATCH(A282,'Keyword Map'!$AA$3:$AA$1002,0))&amp;"")</f>
        <v/>
      </c>
      <c r="E282">
        <f>IF(B282="","",COUNTIF('Keyword Map'!$G$3:$G$1002,SUBSTITUTE(SUBSTITUTE(B282,"?","~?"),"*","~*")))</f>
        <v/>
      </c>
      <c r="F282">
        <f>IF(B282="","",COUNTIFS('Keyword Map'!$G$3:$G$1002,SUBSTITUTE(SUBSTITUTE(B282,"?","~?"),"*","~*"),'Keyword Map'!$J$3:$J$1002,"Primary"))</f>
        <v/>
      </c>
      <c r="G282">
        <f>IF(B282="","",SUMIFS('Keyword Map'!$C$3:$C$1002,'Keyword Map'!$G$3:$G$1002,SUBSTITUTE(SUBSTITUTE(B282,"?","~?"),"*","~*")))</f>
        <v/>
      </c>
      <c r="H282">
        <f>IF(B282="","",IFERROR(ROUND(AVERAGEIFS('Keyword Map'!$P$3:$P$1002,'Keyword Map'!$G$3:$G$1002,SUBSTITUTE(SUBSTITUTE(B282,"?","~?"),"*","~*")),0),""))</f>
        <v/>
      </c>
      <c r="I282">
        <f>IF(B282="","",COUNTIFS('Keyword Map'!$G$3:$G$1002,SUBSTITUTE(SUBSTITUTE(B282,"?","~?"),"*","~*"),'Keyword Map'!$R$3:$R$1002,"Yes"))</f>
        <v/>
      </c>
      <c r="J282">
        <f>IF(B282="","",COUNTIFS('Keyword Map'!$G$3:$G$1002,SUBSTITUTE(SUBSTITUTE(B282,"?","~?"),"*","~*"),'Keyword Map'!$W$3:$W$1002,"Yes"))</f>
        <v/>
      </c>
      <c r="K282">
        <f>IF(B282="","",IF(F282=0,"No primary keyword",IF(F282&gt;Settings!$B$4,"Too many primary keywords",IF(I282+J282&gt;0,"Check flags","OK"))))</f>
        <v/>
      </c>
    </row>
    <row r="283">
      <c r="A283">
        <f>ROW()-2</f>
        <v/>
      </c>
      <c r="B283">
        <f>IFERROR(INDEX('Keyword Map'!$G$3:$G$1002,MATCH(A283,'Keyword Map'!$AA$3:$AA$1002,0)),"")</f>
        <v/>
      </c>
      <c r="C283">
        <f>IF(B283="","",INDEX('Keyword Map'!$I$3:$I$1002,MATCH(A283,'Keyword Map'!$AA$3:$AA$1002,0))&amp;"")</f>
        <v/>
      </c>
      <c r="D283">
        <f>IF(B283="","",INDEX('Keyword Map'!$H$3:$H$1002,MATCH(A283,'Keyword Map'!$AA$3:$AA$1002,0))&amp;"")</f>
        <v/>
      </c>
      <c r="E283">
        <f>IF(B283="","",COUNTIF('Keyword Map'!$G$3:$G$1002,SUBSTITUTE(SUBSTITUTE(B283,"?","~?"),"*","~*")))</f>
        <v/>
      </c>
      <c r="F283">
        <f>IF(B283="","",COUNTIFS('Keyword Map'!$G$3:$G$1002,SUBSTITUTE(SUBSTITUTE(B283,"?","~?"),"*","~*"),'Keyword Map'!$J$3:$J$1002,"Primary"))</f>
        <v/>
      </c>
      <c r="G283">
        <f>IF(B283="","",SUMIFS('Keyword Map'!$C$3:$C$1002,'Keyword Map'!$G$3:$G$1002,SUBSTITUTE(SUBSTITUTE(B283,"?","~?"),"*","~*")))</f>
        <v/>
      </c>
      <c r="H283">
        <f>IF(B283="","",IFERROR(ROUND(AVERAGEIFS('Keyword Map'!$P$3:$P$1002,'Keyword Map'!$G$3:$G$1002,SUBSTITUTE(SUBSTITUTE(B283,"?","~?"),"*","~*")),0),""))</f>
        <v/>
      </c>
      <c r="I283">
        <f>IF(B283="","",COUNTIFS('Keyword Map'!$G$3:$G$1002,SUBSTITUTE(SUBSTITUTE(B283,"?","~?"),"*","~*"),'Keyword Map'!$R$3:$R$1002,"Yes"))</f>
        <v/>
      </c>
      <c r="J283">
        <f>IF(B283="","",COUNTIFS('Keyword Map'!$G$3:$G$1002,SUBSTITUTE(SUBSTITUTE(B283,"?","~?"),"*","~*"),'Keyword Map'!$W$3:$W$1002,"Yes"))</f>
        <v/>
      </c>
      <c r="K283">
        <f>IF(B283="","",IF(F283=0,"No primary keyword",IF(F283&gt;Settings!$B$4,"Too many primary keywords",IF(I283+J283&gt;0,"Check flags","OK"))))</f>
        <v/>
      </c>
    </row>
    <row r="284">
      <c r="A284">
        <f>ROW()-2</f>
        <v/>
      </c>
      <c r="B284">
        <f>IFERROR(INDEX('Keyword Map'!$G$3:$G$1002,MATCH(A284,'Keyword Map'!$AA$3:$AA$1002,0)),"")</f>
        <v/>
      </c>
      <c r="C284">
        <f>IF(B284="","",INDEX('Keyword Map'!$I$3:$I$1002,MATCH(A284,'Keyword Map'!$AA$3:$AA$1002,0))&amp;"")</f>
        <v/>
      </c>
      <c r="D284">
        <f>IF(B284="","",INDEX('Keyword Map'!$H$3:$H$1002,MATCH(A284,'Keyword Map'!$AA$3:$AA$1002,0))&amp;"")</f>
        <v/>
      </c>
      <c r="E284">
        <f>IF(B284="","",COUNTIF('Keyword Map'!$G$3:$G$1002,SUBSTITUTE(SUBSTITUTE(B284,"?","~?"),"*","~*")))</f>
        <v/>
      </c>
      <c r="F284">
        <f>IF(B284="","",COUNTIFS('Keyword Map'!$G$3:$G$1002,SUBSTITUTE(SUBSTITUTE(B284,"?","~?"),"*","~*"),'Keyword Map'!$J$3:$J$1002,"Primary"))</f>
        <v/>
      </c>
      <c r="G284">
        <f>IF(B284="","",SUMIFS('Keyword Map'!$C$3:$C$1002,'Keyword Map'!$G$3:$G$1002,SUBSTITUTE(SUBSTITUTE(B284,"?","~?"),"*","~*")))</f>
        <v/>
      </c>
      <c r="H284">
        <f>IF(B284="","",IFERROR(ROUND(AVERAGEIFS('Keyword Map'!$P$3:$P$1002,'Keyword Map'!$G$3:$G$1002,SUBSTITUTE(SUBSTITUTE(B284,"?","~?"),"*","~*")),0),""))</f>
        <v/>
      </c>
      <c r="I284">
        <f>IF(B284="","",COUNTIFS('Keyword Map'!$G$3:$G$1002,SUBSTITUTE(SUBSTITUTE(B284,"?","~?"),"*","~*"),'Keyword Map'!$R$3:$R$1002,"Yes"))</f>
        <v/>
      </c>
      <c r="J284">
        <f>IF(B284="","",COUNTIFS('Keyword Map'!$G$3:$G$1002,SUBSTITUTE(SUBSTITUTE(B284,"?","~?"),"*","~*"),'Keyword Map'!$W$3:$W$1002,"Yes"))</f>
        <v/>
      </c>
      <c r="K284">
        <f>IF(B284="","",IF(F284=0,"No primary keyword",IF(F284&gt;Settings!$B$4,"Too many primary keywords",IF(I284+J284&gt;0,"Check flags","OK"))))</f>
        <v/>
      </c>
    </row>
    <row r="285">
      <c r="A285">
        <f>ROW()-2</f>
        <v/>
      </c>
      <c r="B285">
        <f>IFERROR(INDEX('Keyword Map'!$G$3:$G$1002,MATCH(A285,'Keyword Map'!$AA$3:$AA$1002,0)),"")</f>
        <v/>
      </c>
      <c r="C285">
        <f>IF(B285="","",INDEX('Keyword Map'!$I$3:$I$1002,MATCH(A285,'Keyword Map'!$AA$3:$AA$1002,0))&amp;"")</f>
        <v/>
      </c>
      <c r="D285">
        <f>IF(B285="","",INDEX('Keyword Map'!$H$3:$H$1002,MATCH(A285,'Keyword Map'!$AA$3:$AA$1002,0))&amp;"")</f>
        <v/>
      </c>
      <c r="E285">
        <f>IF(B285="","",COUNTIF('Keyword Map'!$G$3:$G$1002,SUBSTITUTE(SUBSTITUTE(B285,"?","~?"),"*","~*")))</f>
        <v/>
      </c>
      <c r="F285">
        <f>IF(B285="","",COUNTIFS('Keyword Map'!$G$3:$G$1002,SUBSTITUTE(SUBSTITUTE(B285,"?","~?"),"*","~*"),'Keyword Map'!$J$3:$J$1002,"Primary"))</f>
        <v/>
      </c>
      <c r="G285">
        <f>IF(B285="","",SUMIFS('Keyword Map'!$C$3:$C$1002,'Keyword Map'!$G$3:$G$1002,SUBSTITUTE(SUBSTITUTE(B285,"?","~?"),"*","~*")))</f>
        <v/>
      </c>
      <c r="H285">
        <f>IF(B285="","",IFERROR(ROUND(AVERAGEIFS('Keyword Map'!$P$3:$P$1002,'Keyword Map'!$G$3:$G$1002,SUBSTITUTE(SUBSTITUTE(B285,"?","~?"),"*","~*")),0),""))</f>
        <v/>
      </c>
      <c r="I285">
        <f>IF(B285="","",COUNTIFS('Keyword Map'!$G$3:$G$1002,SUBSTITUTE(SUBSTITUTE(B285,"?","~?"),"*","~*"),'Keyword Map'!$R$3:$R$1002,"Yes"))</f>
        <v/>
      </c>
      <c r="J285">
        <f>IF(B285="","",COUNTIFS('Keyword Map'!$G$3:$G$1002,SUBSTITUTE(SUBSTITUTE(B285,"?","~?"),"*","~*"),'Keyword Map'!$W$3:$W$1002,"Yes"))</f>
        <v/>
      </c>
      <c r="K285">
        <f>IF(B285="","",IF(F285=0,"No primary keyword",IF(F285&gt;Settings!$B$4,"Too many primary keywords",IF(I285+J285&gt;0,"Check flags","OK"))))</f>
        <v/>
      </c>
    </row>
    <row r="286">
      <c r="A286">
        <f>ROW()-2</f>
        <v/>
      </c>
      <c r="B286">
        <f>IFERROR(INDEX('Keyword Map'!$G$3:$G$1002,MATCH(A286,'Keyword Map'!$AA$3:$AA$1002,0)),"")</f>
        <v/>
      </c>
      <c r="C286">
        <f>IF(B286="","",INDEX('Keyword Map'!$I$3:$I$1002,MATCH(A286,'Keyword Map'!$AA$3:$AA$1002,0))&amp;"")</f>
        <v/>
      </c>
      <c r="D286">
        <f>IF(B286="","",INDEX('Keyword Map'!$H$3:$H$1002,MATCH(A286,'Keyword Map'!$AA$3:$AA$1002,0))&amp;"")</f>
        <v/>
      </c>
      <c r="E286">
        <f>IF(B286="","",COUNTIF('Keyword Map'!$G$3:$G$1002,SUBSTITUTE(SUBSTITUTE(B286,"?","~?"),"*","~*")))</f>
        <v/>
      </c>
      <c r="F286">
        <f>IF(B286="","",COUNTIFS('Keyword Map'!$G$3:$G$1002,SUBSTITUTE(SUBSTITUTE(B286,"?","~?"),"*","~*"),'Keyword Map'!$J$3:$J$1002,"Primary"))</f>
        <v/>
      </c>
      <c r="G286">
        <f>IF(B286="","",SUMIFS('Keyword Map'!$C$3:$C$1002,'Keyword Map'!$G$3:$G$1002,SUBSTITUTE(SUBSTITUTE(B286,"?","~?"),"*","~*")))</f>
        <v/>
      </c>
      <c r="H286">
        <f>IF(B286="","",IFERROR(ROUND(AVERAGEIFS('Keyword Map'!$P$3:$P$1002,'Keyword Map'!$G$3:$G$1002,SUBSTITUTE(SUBSTITUTE(B286,"?","~?"),"*","~*")),0),""))</f>
        <v/>
      </c>
      <c r="I286">
        <f>IF(B286="","",COUNTIFS('Keyword Map'!$G$3:$G$1002,SUBSTITUTE(SUBSTITUTE(B286,"?","~?"),"*","~*"),'Keyword Map'!$R$3:$R$1002,"Yes"))</f>
        <v/>
      </c>
      <c r="J286">
        <f>IF(B286="","",COUNTIFS('Keyword Map'!$G$3:$G$1002,SUBSTITUTE(SUBSTITUTE(B286,"?","~?"),"*","~*"),'Keyword Map'!$W$3:$W$1002,"Yes"))</f>
        <v/>
      </c>
      <c r="K286">
        <f>IF(B286="","",IF(F286=0,"No primary keyword",IF(F286&gt;Settings!$B$4,"Too many primary keywords",IF(I286+J286&gt;0,"Check flags","OK"))))</f>
        <v/>
      </c>
    </row>
    <row r="287">
      <c r="A287">
        <f>ROW()-2</f>
        <v/>
      </c>
      <c r="B287">
        <f>IFERROR(INDEX('Keyword Map'!$G$3:$G$1002,MATCH(A287,'Keyword Map'!$AA$3:$AA$1002,0)),"")</f>
        <v/>
      </c>
      <c r="C287">
        <f>IF(B287="","",INDEX('Keyword Map'!$I$3:$I$1002,MATCH(A287,'Keyword Map'!$AA$3:$AA$1002,0))&amp;"")</f>
        <v/>
      </c>
      <c r="D287">
        <f>IF(B287="","",INDEX('Keyword Map'!$H$3:$H$1002,MATCH(A287,'Keyword Map'!$AA$3:$AA$1002,0))&amp;"")</f>
        <v/>
      </c>
      <c r="E287">
        <f>IF(B287="","",COUNTIF('Keyword Map'!$G$3:$G$1002,SUBSTITUTE(SUBSTITUTE(B287,"?","~?"),"*","~*")))</f>
        <v/>
      </c>
      <c r="F287">
        <f>IF(B287="","",COUNTIFS('Keyword Map'!$G$3:$G$1002,SUBSTITUTE(SUBSTITUTE(B287,"?","~?"),"*","~*"),'Keyword Map'!$J$3:$J$1002,"Primary"))</f>
        <v/>
      </c>
      <c r="G287">
        <f>IF(B287="","",SUMIFS('Keyword Map'!$C$3:$C$1002,'Keyword Map'!$G$3:$G$1002,SUBSTITUTE(SUBSTITUTE(B287,"?","~?"),"*","~*")))</f>
        <v/>
      </c>
      <c r="H287">
        <f>IF(B287="","",IFERROR(ROUND(AVERAGEIFS('Keyword Map'!$P$3:$P$1002,'Keyword Map'!$G$3:$G$1002,SUBSTITUTE(SUBSTITUTE(B287,"?","~?"),"*","~*")),0),""))</f>
        <v/>
      </c>
      <c r="I287">
        <f>IF(B287="","",COUNTIFS('Keyword Map'!$G$3:$G$1002,SUBSTITUTE(SUBSTITUTE(B287,"?","~?"),"*","~*"),'Keyword Map'!$R$3:$R$1002,"Yes"))</f>
        <v/>
      </c>
      <c r="J287">
        <f>IF(B287="","",COUNTIFS('Keyword Map'!$G$3:$G$1002,SUBSTITUTE(SUBSTITUTE(B287,"?","~?"),"*","~*"),'Keyword Map'!$W$3:$W$1002,"Yes"))</f>
        <v/>
      </c>
      <c r="K287">
        <f>IF(B287="","",IF(F287=0,"No primary keyword",IF(F287&gt;Settings!$B$4,"Too many primary keywords",IF(I287+J287&gt;0,"Check flags","OK"))))</f>
        <v/>
      </c>
    </row>
    <row r="288">
      <c r="A288">
        <f>ROW()-2</f>
        <v/>
      </c>
      <c r="B288">
        <f>IFERROR(INDEX('Keyword Map'!$G$3:$G$1002,MATCH(A288,'Keyword Map'!$AA$3:$AA$1002,0)),"")</f>
        <v/>
      </c>
      <c r="C288">
        <f>IF(B288="","",INDEX('Keyword Map'!$I$3:$I$1002,MATCH(A288,'Keyword Map'!$AA$3:$AA$1002,0))&amp;"")</f>
        <v/>
      </c>
      <c r="D288">
        <f>IF(B288="","",INDEX('Keyword Map'!$H$3:$H$1002,MATCH(A288,'Keyword Map'!$AA$3:$AA$1002,0))&amp;"")</f>
        <v/>
      </c>
      <c r="E288">
        <f>IF(B288="","",COUNTIF('Keyword Map'!$G$3:$G$1002,SUBSTITUTE(SUBSTITUTE(B288,"?","~?"),"*","~*")))</f>
        <v/>
      </c>
      <c r="F288">
        <f>IF(B288="","",COUNTIFS('Keyword Map'!$G$3:$G$1002,SUBSTITUTE(SUBSTITUTE(B288,"?","~?"),"*","~*"),'Keyword Map'!$J$3:$J$1002,"Primary"))</f>
        <v/>
      </c>
      <c r="G288">
        <f>IF(B288="","",SUMIFS('Keyword Map'!$C$3:$C$1002,'Keyword Map'!$G$3:$G$1002,SUBSTITUTE(SUBSTITUTE(B288,"?","~?"),"*","~*")))</f>
        <v/>
      </c>
      <c r="H288">
        <f>IF(B288="","",IFERROR(ROUND(AVERAGEIFS('Keyword Map'!$P$3:$P$1002,'Keyword Map'!$G$3:$G$1002,SUBSTITUTE(SUBSTITUTE(B288,"?","~?"),"*","~*")),0),""))</f>
        <v/>
      </c>
      <c r="I288">
        <f>IF(B288="","",COUNTIFS('Keyword Map'!$G$3:$G$1002,SUBSTITUTE(SUBSTITUTE(B288,"?","~?"),"*","~*"),'Keyword Map'!$R$3:$R$1002,"Yes"))</f>
        <v/>
      </c>
      <c r="J288">
        <f>IF(B288="","",COUNTIFS('Keyword Map'!$G$3:$G$1002,SUBSTITUTE(SUBSTITUTE(B288,"?","~?"),"*","~*"),'Keyword Map'!$W$3:$W$1002,"Yes"))</f>
        <v/>
      </c>
      <c r="K288">
        <f>IF(B288="","",IF(F288=0,"No primary keyword",IF(F288&gt;Settings!$B$4,"Too many primary keywords",IF(I288+J288&gt;0,"Check flags","OK"))))</f>
        <v/>
      </c>
    </row>
    <row r="289">
      <c r="A289">
        <f>ROW()-2</f>
        <v/>
      </c>
      <c r="B289">
        <f>IFERROR(INDEX('Keyword Map'!$G$3:$G$1002,MATCH(A289,'Keyword Map'!$AA$3:$AA$1002,0)),"")</f>
        <v/>
      </c>
      <c r="C289">
        <f>IF(B289="","",INDEX('Keyword Map'!$I$3:$I$1002,MATCH(A289,'Keyword Map'!$AA$3:$AA$1002,0))&amp;"")</f>
        <v/>
      </c>
      <c r="D289">
        <f>IF(B289="","",INDEX('Keyword Map'!$H$3:$H$1002,MATCH(A289,'Keyword Map'!$AA$3:$AA$1002,0))&amp;"")</f>
        <v/>
      </c>
      <c r="E289">
        <f>IF(B289="","",COUNTIF('Keyword Map'!$G$3:$G$1002,SUBSTITUTE(SUBSTITUTE(B289,"?","~?"),"*","~*")))</f>
        <v/>
      </c>
      <c r="F289">
        <f>IF(B289="","",COUNTIFS('Keyword Map'!$G$3:$G$1002,SUBSTITUTE(SUBSTITUTE(B289,"?","~?"),"*","~*"),'Keyword Map'!$J$3:$J$1002,"Primary"))</f>
        <v/>
      </c>
      <c r="G289">
        <f>IF(B289="","",SUMIFS('Keyword Map'!$C$3:$C$1002,'Keyword Map'!$G$3:$G$1002,SUBSTITUTE(SUBSTITUTE(B289,"?","~?"),"*","~*")))</f>
        <v/>
      </c>
      <c r="H289">
        <f>IF(B289="","",IFERROR(ROUND(AVERAGEIFS('Keyword Map'!$P$3:$P$1002,'Keyword Map'!$G$3:$G$1002,SUBSTITUTE(SUBSTITUTE(B289,"?","~?"),"*","~*")),0),""))</f>
        <v/>
      </c>
      <c r="I289">
        <f>IF(B289="","",COUNTIFS('Keyword Map'!$G$3:$G$1002,SUBSTITUTE(SUBSTITUTE(B289,"?","~?"),"*","~*"),'Keyword Map'!$R$3:$R$1002,"Yes"))</f>
        <v/>
      </c>
      <c r="J289">
        <f>IF(B289="","",COUNTIFS('Keyword Map'!$G$3:$G$1002,SUBSTITUTE(SUBSTITUTE(B289,"?","~?"),"*","~*"),'Keyword Map'!$W$3:$W$1002,"Yes"))</f>
        <v/>
      </c>
      <c r="K289">
        <f>IF(B289="","",IF(F289=0,"No primary keyword",IF(F289&gt;Settings!$B$4,"Too many primary keywords",IF(I289+J289&gt;0,"Check flags","OK"))))</f>
        <v/>
      </c>
    </row>
    <row r="290">
      <c r="A290">
        <f>ROW()-2</f>
        <v/>
      </c>
      <c r="B290">
        <f>IFERROR(INDEX('Keyword Map'!$G$3:$G$1002,MATCH(A290,'Keyword Map'!$AA$3:$AA$1002,0)),"")</f>
        <v/>
      </c>
      <c r="C290">
        <f>IF(B290="","",INDEX('Keyword Map'!$I$3:$I$1002,MATCH(A290,'Keyword Map'!$AA$3:$AA$1002,0))&amp;"")</f>
        <v/>
      </c>
      <c r="D290">
        <f>IF(B290="","",INDEX('Keyword Map'!$H$3:$H$1002,MATCH(A290,'Keyword Map'!$AA$3:$AA$1002,0))&amp;"")</f>
        <v/>
      </c>
      <c r="E290">
        <f>IF(B290="","",COUNTIF('Keyword Map'!$G$3:$G$1002,SUBSTITUTE(SUBSTITUTE(B290,"?","~?"),"*","~*")))</f>
        <v/>
      </c>
      <c r="F290">
        <f>IF(B290="","",COUNTIFS('Keyword Map'!$G$3:$G$1002,SUBSTITUTE(SUBSTITUTE(B290,"?","~?"),"*","~*"),'Keyword Map'!$J$3:$J$1002,"Primary"))</f>
        <v/>
      </c>
      <c r="G290">
        <f>IF(B290="","",SUMIFS('Keyword Map'!$C$3:$C$1002,'Keyword Map'!$G$3:$G$1002,SUBSTITUTE(SUBSTITUTE(B290,"?","~?"),"*","~*")))</f>
        <v/>
      </c>
      <c r="H290">
        <f>IF(B290="","",IFERROR(ROUND(AVERAGEIFS('Keyword Map'!$P$3:$P$1002,'Keyword Map'!$G$3:$G$1002,SUBSTITUTE(SUBSTITUTE(B290,"?","~?"),"*","~*")),0),""))</f>
        <v/>
      </c>
      <c r="I290">
        <f>IF(B290="","",COUNTIFS('Keyword Map'!$G$3:$G$1002,SUBSTITUTE(SUBSTITUTE(B290,"?","~?"),"*","~*"),'Keyword Map'!$R$3:$R$1002,"Yes"))</f>
        <v/>
      </c>
      <c r="J290">
        <f>IF(B290="","",COUNTIFS('Keyword Map'!$G$3:$G$1002,SUBSTITUTE(SUBSTITUTE(B290,"?","~?"),"*","~*"),'Keyword Map'!$W$3:$W$1002,"Yes"))</f>
        <v/>
      </c>
      <c r="K290">
        <f>IF(B290="","",IF(F290=0,"No primary keyword",IF(F290&gt;Settings!$B$4,"Too many primary keywords",IF(I290+J290&gt;0,"Check flags","OK"))))</f>
        <v/>
      </c>
    </row>
    <row r="291">
      <c r="A291">
        <f>ROW()-2</f>
        <v/>
      </c>
      <c r="B291">
        <f>IFERROR(INDEX('Keyword Map'!$G$3:$G$1002,MATCH(A291,'Keyword Map'!$AA$3:$AA$1002,0)),"")</f>
        <v/>
      </c>
      <c r="C291">
        <f>IF(B291="","",INDEX('Keyword Map'!$I$3:$I$1002,MATCH(A291,'Keyword Map'!$AA$3:$AA$1002,0))&amp;"")</f>
        <v/>
      </c>
      <c r="D291">
        <f>IF(B291="","",INDEX('Keyword Map'!$H$3:$H$1002,MATCH(A291,'Keyword Map'!$AA$3:$AA$1002,0))&amp;"")</f>
        <v/>
      </c>
      <c r="E291">
        <f>IF(B291="","",COUNTIF('Keyword Map'!$G$3:$G$1002,SUBSTITUTE(SUBSTITUTE(B291,"?","~?"),"*","~*")))</f>
        <v/>
      </c>
      <c r="F291">
        <f>IF(B291="","",COUNTIFS('Keyword Map'!$G$3:$G$1002,SUBSTITUTE(SUBSTITUTE(B291,"?","~?"),"*","~*"),'Keyword Map'!$J$3:$J$1002,"Primary"))</f>
        <v/>
      </c>
      <c r="G291">
        <f>IF(B291="","",SUMIFS('Keyword Map'!$C$3:$C$1002,'Keyword Map'!$G$3:$G$1002,SUBSTITUTE(SUBSTITUTE(B291,"?","~?"),"*","~*")))</f>
        <v/>
      </c>
      <c r="H291">
        <f>IF(B291="","",IFERROR(ROUND(AVERAGEIFS('Keyword Map'!$P$3:$P$1002,'Keyword Map'!$G$3:$G$1002,SUBSTITUTE(SUBSTITUTE(B291,"?","~?"),"*","~*")),0),""))</f>
        <v/>
      </c>
      <c r="I291">
        <f>IF(B291="","",COUNTIFS('Keyword Map'!$G$3:$G$1002,SUBSTITUTE(SUBSTITUTE(B291,"?","~?"),"*","~*"),'Keyword Map'!$R$3:$R$1002,"Yes"))</f>
        <v/>
      </c>
      <c r="J291">
        <f>IF(B291="","",COUNTIFS('Keyword Map'!$G$3:$G$1002,SUBSTITUTE(SUBSTITUTE(B291,"?","~?"),"*","~*"),'Keyword Map'!$W$3:$W$1002,"Yes"))</f>
        <v/>
      </c>
      <c r="K291">
        <f>IF(B291="","",IF(F291=0,"No primary keyword",IF(F291&gt;Settings!$B$4,"Too many primary keywords",IF(I291+J291&gt;0,"Check flags","OK"))))</f>
        <v/>
      </c>
    </row>
    <row r="292">
      <c r="A292">
        <f>ROW()-2</f>
        <v/>
      </c>
      <c r="B292">
        <f>IFERROR(INDEX('Keyword Map'!$G$3:$G$1002,MATCH(A292,'Keyword Map'!$AA$3:$AA$1002,0)),"")</f>
        <v/>
      </c>
      <c r="C292">
        <f>IF(B292="","",INDEX('Keyword Map'!$I$3:$I$1002,MATCH(A292,'Keyword Map'!$AA$3:$AA$1002,0))&amp;"")</f>
        <v/>
      </c>
      <c r="D292">
        <f>IF(B292="","",INDEX('Keyword Map'!$H$3:$H$1002,MATCH(A292,'Keyword Map'!$AA$3:$AA$1002,0))&amp;"")</f>
        <v/>
      </c>
      <c r="E292">
        <f>IF(B292="","",COUNTIF('Keyword Map'!$G$3:$G$1002,SUBSTITUTE(SUBSTITUTE(B292,"?","~?"),"*","~*")))</f>
        <v/>
      </c>
      <c r="F292">
        <f>IF(B292="","",COUNTIFS('Keyword Map'!$G$3:$G$1002,SUBSTITUTE(SUBSTITUTE(B292,"?","~?"),"*","~*"),'Keyword Map'!$J$3:$J$1002,"Primary"))</f>
        <v/>
      </c>
      <c r="G292">
        <f>IF(B292="","",SUMIFS('Keyword Map'!$C$3:$C$1002,'Keyword Map'!$G$3:$G$1002,SUBSTITUTE(SUBSTITUTE(B292,"?","~?"),"*","~*")))</f>
        <v/>
      </c>
      <c r="H292">
        <f>IF(B292="","",IFERROR(ROUND(AVERAGEIFS('Keyword Map'!$P$3:$P$1002,'Keyword Map'!$G$3:$G$1002,SUBSTITUTE(SUBSTITUTE(B292,"?","~?"),"*","~*")),0),""))</f>
        <v/>
      </c>
      <c r="I292">
        <f>IF(B292="","",COUNTIFS('Keyword Map'!$G$3:$G$1002,SUBSTITUTE(SUBSTITUTE(B292,"?","~?"),"*","~*"),'Keyword Map'!$R$3:$R$1002,"Yes"))</f>
        <v/>
      </c>
      <c r="J292">
        <f>IF(B292="","",COUNTIFS('Keyword Map'!$G$3:$G$1002,SUBSTITUTE(SUBSTITUTE(B292,"?","~?"),"*","~*"),'Keyword Map'!$W$3:$W$1002,"Yes"))</f>
        <v/>
      </c>
      <c r="K292">
        <f>IF(B292="","",IF(F292=0,"No primary keyword",IF(F292&gt;Settings!$B$4,"Too many primary keywords",IF(I292+J292&gt;0,"Check flags","OK"))))</f>
        <v/>
      </c>
    </row>
    <row r="293">
      <c r="A293">
        <f>ROW()-2</f>
        <v/>
      </c>
      <c r="B293">
        <f>IFERROR(INDEX('Keyword Map'!$G$3:$G$1002,MATCH(A293,'Keyword Map'!$AA$3:$AA$1002,0)),"")</f>
        <v/>
      </c>
      <c r="C293">
        <f>IF(B293="","",INDEX('Keyword Map'!$I$3:$I$1002,MATCH(A293,'Keyword Map'!$AA$3:$AA$1002,0))&amp;"")</f>
        <v/>
      </c>
      <c r="D293">
        <f>IF(B293="","",INDEX('Keyword Map'!$H$3:$H$1002,MATCH(A293,'Keyword Map'!$AA$3:$AA$1002,0))&amp;"")</f>
        <v/>
      </c>
      <c r="E293">
        <f>IF(B293="","",COUNTIF('Keyword Map'!$G$3:$G$1002,SUBSTITUTE(SUBSTITUTE(B293,"?","~?"),"*","~*")))</f>
        <v/>
      </c>
      <c r="F293">
        <f>IF(B293="","",COUNTIFS('Keyword Map'!$G$3:$G$1002,SUBSTITUTE(SUBSTITUTE(B293,"?","~?"),"*","~*"),'Keyword Map'!$J$3:$J$1002,"Primary"))</f>
        <v/>
      </c>
      <c r="G293">
        <f>IF(B293="","",SUMIFS('Keyword Map'!$C$3:$C$1002,'Keyword Map'!$G$3:$G$1002,SUBSTITUTE(SUBSTITUTE(B293,"?","~?"),"*","~*")))</f>
        <v/>
      </c>
      <c r="H293">
        <f>IF(B293="","",IFERROR(ROUND(AVERAGEIFS('Keyword Map'!$P$3:$P$1002,'Keyword Map'!$G$3:$G$1002,SUBSTITUTE(SUBSTITUTE(B293,"?","~?"),"*","~*")),0),""))</f>
        <v/>
      </c>
      <c r="I293">
        <f>IF(B293="","",COUNTIFS('Keyword Map'!$G$3:$G$1002,SUBSTITUTE(SUBSTITUTE(B293,"?","~?"),"*","~*"),'Keyword Map'!$R$3:$R$1002,"Yes"))</f>
        <v/>
      </c>
      <c r="J293">
        <f>IF(B293="","",COUNTIFS('Keyword Map'!$G$3:$G$1002,SUBSTITUTE(SUBSTITUTE(B293,"?","~?"),"*","~*"),'Keyword Map'!$W$3:$W$1002,"Yes"))</f>
        <v/>
      </c>
      <c r="K293">
        <f>IF(B293="","",IF(F293=0,"No primary keyword",IF(F293&gt;Settings!$B$4,"Too many primary keywords",IF(I293+J293&gt;0,"Check flags","OK"))))</f>
        <v/>
      </c>
    </row>
    <row r="294">
      <c r="A294">
        <f>ROW()-2</f>
        <v/>
      </c>
      <c r="B294">
        <f>IFERROR(INDEX('Keyword Map'!$G$3:$G$1002,MATCH(A294,'Keyword Map'!$AA$3:$AA$1002,0)),"")</f>
        <v/>
      </c>
      <c r="C294">
        <f>IF(B294="","",INDEX('Keyword Map'!$I$3:$I$1002,MATCH(A294,'Keyword Map'!$AA$3:$AA$1002,0))&amp;"")</f>
        <v/>
      </c>
      <c r="D294">
        <f>IF(B294="","",INDEX('Keyword Map'!$H$3:$H$1002,MATCH(A294,'Keyword Map'!$AA$3:$AA$1002,0))&amp;"")</f>
        <v/>
      </c>
      <c r="E294">
        <f>IF(B294="","",COUNTIF('Keyword Map'!$G$3:$G$1002,SUBSTITUTE(SUBSTITUTE(B294,"?","~?"),"*","~*")))</f>
        <v/>
      </c>
      <c r="F294">
        <f>IF(B294="","",COUNTIFS('Keyword Map'!$G$3:$G$1002,SUBSTITUTE(SUBSTITUTE(B294,"?","~?"),"*","~*"),'Keyword Map'!$J$3:$J$1002,"Primary"))</f>
        <v/>
      </c>
      <c r="G294">
        <f>IF(B294="","",SUMIFS('Keyword Map'!$C$3:$C$1002,'Keyword Map'!$G$3:$G$1002,SUBSTITUTE(SUBSTITUTE(B294,"?","~?"),"*","~*")))</f>
        <v/>
      </c>
      <c r="H294">
        <f>IF(B294="","",IFERROR(ROUND(AVERAGEIFS('Keyword Map'!$P$3:$P$1002,'Keyword Map'!$G$3:$G$1002,SUBSTITUTE(SUBSTITUTE(B294,"?","~?"),"*","~*")),0),""))</f>
        <v/>
      </c>
      <c r="I294">
        <f>IF(B294="","",COUNTIFS('Keyword Map'!$G$3:$G$1002,SUBSTITUTE(SUBSTITUTE(B294,"?","~?"),"*","~*"),'Keyword Map'!$R$3:$R$1002,"Yes"))</f>
        <v/>
      </c>
      <c r="J294">
        <f>IF(B294="","",COUNTIFS('Keyword Map'!$G$3:$G$1002,SUBSTITUTE(SUBSTITUTE(B294,"?","~?"),"*","~*"),'Keyword Map'!$W$3:$W$1002,"Yes"))</f>
        <v/>
      </c>
      <c r="K294">
        <f>IF(B294="","",IF(F294=0,"No primary keyword",IF(F294&gt;Settings!$B$4,"Too many primary keywords",IF(I294+J294&gt;0,"Check flags","OK"))))</f>
        <v/>
      </c>
    </row>
    <row r="295">
      <c r="A295">
        <f>ROW()-2</f>
        <v/>
      </c>
      <c r="B295">
        <f>IFERROR(INDEX('Keyword Map'!$G$3:$G$1002,MATCH(A295,'Keyword Map'!$AA$3:$AA$1002,0)),"")</f>
        <v/>
      </c>
      <c r="C295">
        <f>IF(B295="","",INDEX('Keyword Map'!$I$3:$I$1002,MATCH(A295,'Keyword Map'!$AA$3:$AA$1002,0))&amp;"")</f>
        <v/>
      </c>
      <c r="D295">
        <f>IF(B295="","",INDEX('Keyword Map'!$H$3:$H$1002,MATCH(A295,'Keyword Map'!$AA$3:$AA$1002,0))&amp;"")</f>
        <v/>
      </c>
      <c r="E295">
        <f>IF(B295="","",COUNTIF('Keyword Map'!$G$3:$G$1002,SUBSTITUTE(SUBSTITUTE(B295,"?","~?"),"*","~*")))</f>
        <v/>
      </c>
      <c r="F295">
        <f>IF(B295="","",COUNTIFS('Keyword Map'!$G$3:$G$1002,SUBSTITUTE(SUBSTITUTE(B295,"?","~?"),"*","~*"),'Keyword Map'!$J$3:$J$1002,"Primary"))</f>
        <v/>
      </c>
      <c r="G295">
        <f>IF(B295="","",SUMIFS('Keyword Map'!$C$3:$C$1002,'Keyword Map'!$G$3:$G$1002,SUBSTITUTE(SUBSTITUTE(B295,"?","~?"),"*","~*")))</f>
        <v/>
      </c>
      <c r="H295">
        <f>IF(B295="","",IFERROR(ROUND(AVERAGEIFS('Keyword Map'!$P$3:$P$1002,'Keyword Map'!$G$3:$G$1002,SUBSTITUTE(SUBSTITUTE(B295,"?","~?"),"*","~*")),0),""))</f>
        <v/>
      </c>
      <c r="I295">
        <f>IF(B295="","",COUNTIFS('Keyword Map'!$G$3:$G$1002,SUBSTITUTE(SUBSTITUTE(B295,"?","~?"),"*","~*"),'Keyword Map'!$R$3:$R$1002,"Yes"))</f>
        <v/>
      </c>
      <c r="J295">
        <f>IF(B295="","",COUNTIFS('Keyword Map'!$G$3:$G$1002,SUBSTITUTE(SUBSTITUTE(B295,"?","~?"),"*","~*"),'Keyword Map'!$W$3:$W$1002,"Yes"))</f>
        <v/>
      </c>
      <c r="K295">
        <f>IF(B295="","",IF(F295=0,"No primary keyword",IF(F295&gt;Settings!$B$4,"Too many primary keywords",IF(I295+J295&gt;0,"Check flags","OK"))))</f>
        <v/>
      </c>
    </row>
    <row r="296">
      <c r="A296">
        <f>ROW()-2</f>
        <v/>
      </c>
      <c r="B296">
        <f>IFERROR(INDEX('Keyword Map'!$G$3:$G$1002,MATCH(A296,'Keyword Map'!$AA$3:$AA$1002,0)),"")</f>
        <v/>
      </c>
      <c r="C296">
        <f>IF(B296="","",INDEX('Keyword Map'!$I$3:$I$1002,MATCH(A296,'Keyword Map'!$AA$3:$AA$1002,0))&amp;"")</f>
        <v/>
      </c>
      <c r="D296">
        <f>IF(B296="","",INDEX('Keyword Map'!$H$3:$H$1002,MATCH(A296,'Keyword Map'!$AA$3:$AA$1002,0))&amp;"")</f>
        <v/>
      </c>
      <c r="E296">
        <f>IF(B296="","",COUNTIF('Keyword Map'!$G$3:$G$1002,SUBSTITUTE(SUBSTITUTE(B296,"?","~?"),"*","~*")))</f>
        <v/>
      </c>
      <c r="F296">
        <f>IF(B296="","",COUNTIFS('Keyword Map'!$G$3:$G$1002,SUBSTITUTE(SUBSTITUTE(B296,"?","~?"),"*","~*"),'Keyword Map'!$J$3:$J$1002,"Primary"))</f>
        <v/>
      </c>
      <c r="G296">
        <f>IF(B296="","",SUMIFS('Keyword Map'!$C$3:$C$1002,'Keyword Map'!$G$3:$G$1002,SUBSTITUTE(SUBSTITUTE(B296,"?","~?"),"*","~*")))</f>
        <v/>
      </c>
      <c r="H296">
        <f>IF(B296="","",IFERROR(ROUND(AVERAGEIFS('Keyword Map'!$P$3:$P$1002,'Keyword Map'!$G$3:$G$1002,SUBSTITUTE(SUBSTITUTE(B296,"?","~?"),"*","~*")),0),""))</f>
        <v/>
      </c>
      <c r="I296">
        <f>IF(B296="","",COUNTIFS('Keyword Map'!$G$3:$G$1002,SUBSTITUTE(SUBSTITUTE(B296,"?","~?"),"*","~*"),'Keyword Map'!$R$3:$R$1002,"Yes"))</f>
        <v/>
      </c>
      <c r="J296">
        <f>IF(B296="","",COUNTIFS('Keyword Map'!$G$3:$G$1002,SUBSTITUTE(SUBSTITUTE(B296,"?","~?"),"*","~*"),'Keyword Map'!$W$3:$W$1002,"Yes"))</f>
        <v/>
      </c>
      <c r="K296">
        <f>IF(B296="","",IF(F296=0,"No primary keyword",IF(F296&gt;Settings!$B$4,"Too many primary keywords",IF(I296+J296&gt;0,"Check flags","OK"))))</f>
        <v/>
      </c>
    </row>
    <row r="297">
      <c r="A297">
        <f>ROW()-2</f>
        <v/>
      </c>
      <c r="B297">
        <f>IFERROR(INDEX('Keyword Map'!$G$3:$G$1002,MATCH(A297,'Keyword Map'!$AA$3:$AA$1002,0)),"")</f>
        <v/>
      </c>
      <c r="C297">
        <f>IF(B297="","",INDEX('Keyword Map'!$I$3:$I$1002,MATCH(A297,'Keyword Map'!$AA$3:$AA$1002,0))&amp;"")</f>
        <v/>
      </c>
      <c r="D297">
        <f>IF(B297="","",INDEX('Keyword Map'!$H$3:$H$1002,MATCH(A297,'Keyword Map'!$AA$3:$AA$1002,0))&amp;"")</f>
        <v/>
      </c>
      <c r="E297">
        <f>IF(B297="","",COUNTIF('Keyword Map'!$G$3:$G$1002,SUBSTITUTE(SUBSTITUTE(B297,"?","~?"),"*","~*")))</f>
        <v/>
      </c>
      <c r="F297">
        <f>IF(B297="","",COUNTIFS('Keyword Map'!$G$3:$G$1002,SUBSTITUTE(SUBSTITUTE(B297,"?","~?"),"*","~*"),'Keyword Map'!$J$3:$J$1002,"Primary"))</f>
        <v/>
      </c>
      <c r="G297">
        <f>IF(B297="","",SUMIFS('Keyword Map'!$C$3:$C$1002,'Keyword Map'!$G$3:$G$1002,SUBSTITUTE(SUBSTITUTE(B297,"?","~?"),"*","~*")))</f>
        <v/>
      </c>
      <c r="H297">
        <f>IF(B297="","",IFERROR(ROUND(AVERAGEIFS('Keyword Map'!$P$3:$P$1002,'Keyword Map'!$G$3:$G$1002,SUBSTITUTE(SUBSTITUTE(B297,"?","~?"),"*","~*")),0),""))</f>
        <v/>
      </c>
      <c r="I297">
        <f>IF(B297="","",COUNTIFS('Keyword Map'!$G$3:$G$1002,SUBSTITUTE(SUBSTITUTE(B297,"?","~?"),"*","~*"),'Keyword Map'!$R$3:$R$1002,"Yes"))</f>
        <v/>
      </c>
      <c r="J297">
        <f>IF(B297="","",COUNTIFS('Keyword Map'!$G$3:$G$1002,SUBSTITUTE(SUBSTITUTE(B297,"?","~?"),"*","~*"),'Keyword Map'!$W$3:$W$1002,"Yes"))</f>
        <v/>
      </c>
      <c r="K297">
        <f>IF(B297="","",IF(F297=0,"No primary keyword",IF(F297&gt;Settings!$B$4,"Too many primary keywords",IF(I297+J297&gt;0,"Check flags","OK"))))</f>
        <v/>
      </c>
    </row>
    <row r="298">
      <c r="A298">
        <f>ROW()-2</f>
        <v/>
      </c>
      <c r="B298">
        <f>IFERROR(INDEX('Keyword Map'!$G$3:$G$1002,MATCH(A298,'Keyword Map'!$AA$3:$AA$1002,0)),"")</f>
        <v/>
      </c>
      <c r="C298">
        <f>IF(B298="","",INDEX('Keyword Map'!$I$3:$I$1002,MATCH(A298,'Keyword Map'!$AA$3:$AA$1002,0))&amp;"")</f>
        <v/>
      </c>
      <c r="D298">
        <f>IF(B298="","",INDEX('Keyword Map'!$H$3:$H$1002,MATCH(A298,'Keyword Map'!$AA$3:$AA$1002,0))&amp;"")</f>
        <v/>
      </c>
      <c r="E298">
        <f>IF(B298="","",COUNTIF('Keyword Map'!$G$3:$G$1002,SUBSTITUTE(SUBSTITUTE(B298,"?","~?"),"*","~*")))</f>
        <v/>
      </c>
      <c r="F298">
        <f>IF(B298="","",COUNTIFS('Keyword Map'!$G$3:$G$1002,SUBSTITUTE(SUBSTITUTE(B298,"?","~?"),"*","~*"),'Keyword Map'!$J$3:$J$1002,"Primary"))</f>
        <v/>
      </c>
      <c r="G298">
        <f>IF(B298="","",SUMIFS('Keyword Map'!$C$3:$C$1002,'Keyword Map'!$G$3:$G$1002,SUBSTITUTE(SUBSTITUTE(B298,"?","~?"),"*","~*")))</f>
        <v/>
      </c>
      <c r="H298">
        <f>IF(B298="","",IFERROR(ROUND(AVERAGEIFS('Keyword Map'!$P$3:$P$1002,'Keyword Map'!$G$3:$G$1002,SUBSTITUTE(SUBSTITUTE(B298,"?","~?"),"*","~*")),0),""))</f>
        <v/>
      </c>
      <c r="I298">
        <f>IF(B298="","",COUNTIFS('Keyword Map'!$G$3:$G$1002,SUBSTITUTE(SUBSTITUTE(B298,"?","~?"),"*","~*"),'Keyword Map'!$R$3:$R$1002,"Yes"))</f>
        <v/>
      </c>
      <c r="J298">
        <f>IF(B298="","",COUNTIFS('Keyword Map'!$G$3:$G$1002,SUBSTITUTE(SUBSTITUTE(B298,"?","~?"),"*","~*"),'Keyword Map'!$W$3:$W$1002,"Yes"))</f>
        <v/>
      </c>
      <c r="K298">
        <f>IF(B298="","",IF(F298=0,"No primary keyword",IF(F298&gt;Settings!$B$4,"Too many primary keywords",IF(I298+J298&gt;0,"Check flags","OK"))))</f>
        <v/>
      </c>
    </row>
    <row r="299">
      <c r="A299">
        <f>ROW()-2</f>
        <v/>
      </c>
      <c r="B299">
        <f>IFERROR(INDEX('Keyword Map'!$G$3:$G$1002,MATCH(A299,'Keyword Map'!$AA$3:$AA$1002,0)),"")</f>
        <v/>
      </c>
      <c r="C299">
        <f>IF(B299="","",INDEX('Keyword Map'!$I$3:$I$1002,MATCH(A299,'Keyword Map'!$AA$3:$AA$1002,0))&amp;"")</f>
        <v/>
      </c>
      <c r="D299">
        <f>IF(B299="","",INDEX('Keyword Map'!$H$3:$H$1002,MATCH(A299,'Keyword Map'!$AA$3:$AA$1002,0))&amp;"")</f>
        <v/>
      </c>
      <c r="E299">
        <f>IF(B299="","",COUNTIF('Keyword Map'!$G$3:$G$1002,SUBSTITUTE(SUBSTITUTE(B299,"?","~?"),"*","~*")))</f>
        <v/>
      </c>
      <c r="F299">
        <f>IF(B299="","",COUNTIFS('Keyword Map'!$G$3:$G$1002,SUBSTITUTE(SUBSTITUTE(B299,"?","~?"),"*","~*"),'Keyword Map'!$J$3:$J$1002,"Primary"))</f>
        <v/>
      </c>
      <c r="G299">
        <f>IF(B299="","",SUMIFS('Keyword Map'!$C$3:$C$1002,'Keyword Map'!$G$3:$G$1002,SUBSTITUTE(SUBSTITUTE(B299,"?","~?"),"*","~*")))</f>
        <v/>
      </c>
      <c r="H299">
        <f>IF(B299="","",IFERROR(ROUND(AVERAGEIFS('Keyword Map'!$P$3:$P$1002,'Keyword Map'!$G$3:$G$1002,SUBSTITUTE(SUBSTITUTE(B299,"?","~?"),"*","~*")),0),""))</f>
        <v/>
      </c>
      <c r="I299">
        <f>IF(B299="","",COUNTIFS('Keyword Map'!$G$3:$G$1002,SUBSTITUTE(SUBSTITUTE(B299,"?","~?"),"*","~*"),'Keyword Map'!$R$3:$R$1002,"Yes"))</f>
        <v/>
      </c>
      <c r="J299">
        <f>IF(B299="","",COUNTIFS('Keyword Map'!$G$3:$G$1002,SUBSTITUTE(SUBSTITUTE(B299,"?","~?"),"*","~*"),'Keyword Map'!$W$3:$W$1002,"Yes"))</f>
        <v/>
      </c>
      <c r="K299">
        <f>IF(B299="","",IF(F299=0,"No primary keyword",IF(F299&gt;Settings!$B$4,"Too many primary keywords",IF(I299+J299&gt;0,"Check flags","OK"))))</f>
        <v/>
      </c>
    </row>
    <row r="300">
      <c r="A300">
        <f>ROW()-2</f>
        <v/>
      </c>
      <c r="B300">
        <f>IFERROR(INDEX('Keyword Map'!$G$3:$G$1002,MATCH(A300,'Keyword Map'!$AA$3:$AA$1002,0)),"")</f>
        <v/>
      </c>
      <c r="C300">
        <f>IF(B300="","",INDEX('Keyword Map'!$I$3:$I$1002,MATCH(A300,'Keyword Map'!$AA$3:$AA$1002,0))&amp;"")</f>
        <v/>
      </c>
      <c r="D300">
        <f>IF(B300="","",INDEX('Keyword Map'!$H$3:$H$1002,MATCH(A300,'Keyword Map'!$AA$3:$AA$1002,0))&amp;"")</f>
        <v/>
      </c>
      <c r="E300">
        <f>IF(B300="","",COUNTIF('Keyword Map'!$G$3:$G$1002,SUBSTITUTE(SUBSTITUTE(B300,"?","~?"),"*","~*")))</f>
        <v/>
      </c>
      <c r="F300">
        <f>IF(B300="","",COUNTIFS('Keyword Map'!$G$3:$G$1002,SUBSTITUTE(SUBSTITUTE(B300,"?","~?"),"*","~*"),'Keyword Map'!$J$3:$J$1002,"Primary"))</f>
        <v/>
      </c>
      <c r="G300">
        <f>IF(B300="","",SUMIFS('Keyword Map'!$C$3:$C$1002,'Keyword Map'!$G$3:$G$1002,SUBSTITUTE(SUBSTITUTE(B300,"?","~?"),"*","~*")))</f>
        <v/>
      </c>
      <c r="H300">
        <f>IF(B300="","",IFERROR(ROUND(AVERAGEIFS('Keyword Map'!$P$3:$P$1002,'Keyword Map'!$G$3:$G$1002,SUBSTITUTE(SUBSTITUTE(B300,"?","~?"),"*","~*")),0),""))</f>
        <v/>
      </c>
      <c r="I300">
        <f>IF(B300="","",COUNTIFS('Keyword Map'!$G$3:$G$1002,SUBSTITUTE(SUBSTITUTE(B300,"?","~?"),"*","~*"),'Keyword Map'!$R$3:$R$1002,"Yes"))</f>
        <v/>
      </c>
      <c r="J300">
        <f>IF(B300="","",COUNTIFS('Keyword Map'!$G$3:$G$1002,SUBSTITUTE(SUBSTITUTE(B300,"?","~?"),"*","~*"),'Keyword Map'!$W$3:$W$1002,"Yes"))</f>
        <v/>
      </c>
      <c r="K300">
        <f>IF(B300="","",IF(F300=0,"No primary keyword",IF(F300&gt;Settings!$B$4,"Too many primary keywords",IF(I300+J300&gt;0,"Check flags","OK"))))</f>
        <v/>
      </c>
    </row>
    <row r="301">
      <c r="A301">
        <f>ROW()-2</f>
        <v/>
      </c>
      <c r="B301">
        <f>IFERROR(INDEX('Keyword Map'!$G$3:$G$1002,MATCH(A301,'Keyword Map'!$AA$3:$AA$1002,0)),"")</f>
        <v/>
      </c>
      <c r="C301">
        <f>IF(B301="","",INDEX('Keyword Map'!$I$3:$I$1002,MATCH(A301,'Keyword Map'!$AA$3:$AA$1002,0))&amp;"")</f>
        <v/>
      </c>
      <c r="D301">
        <f>IF(B301="","",INDEX('Keyword Map'!$H$3:$H$1002,MATCH(A301,'Keyword Map'!$AA$3:$AA$1002,0))&amp;"")</f>
        <v/>
      </c>
      <c r="E301">
        <f>IF(B301="","",COUNTIF('Keyword Map'!$G$3:$G$1002,SUBSTITUTE(SUBSTITUTE(B301,"?","~?"),"*","~*")))</f>
        <v/>
      </c>
      <c r="F301">
        <f>IF(B301="","",COUNTIFS('Keyword Map'!$G$3:$G$1002,SUBSTITUTE(SUBSTITUTE(B301,"?","~?"),"*","~*"),'Keyword Map'!$J$3:$J$1002,"Primary"))</f>
        <v/>
      </c>
      <c r="G301">
        <f>IF(B301="","",SUMIFS('Keyword Map'!$C$3:$C$1002,'Keyword Map'!$G$3:$G$1002,SUBSTITUTE(SUBSTITUTE(B301,"?","~?"),"*","~*")))</f>
        <v/>
      </c>
      <c r="H301">
        <f>IF(B301="","",IFERROR(ROUND(AVERAGEIFS('Keyword Map'!$P$3:$P$1002,'Keyword Map'!$G$3:$G$1002,SUBSTITUTE(SUBSTITUTE(B301,"?","~?"),"*","~*")),0),""))</f>
        <v/>
      </c>
      <c r="I301">
        <f>IF(B301="","",COUNTIFS('Keyword Map'!$G$3:$G$1002,SUBSTITUTE(SUBSTITUTE(B301,"?","~?"),"*","~*"),'Keyword Map'!$R$3:$R$1002,"Yes"))</f>
        <v/>
      </c>
      <c r="J301">
        <f>IF(B301="","",COUNTIFS('Keyword Map'!$G$3:$G$1002,SUBSTITUTE(SUBSTITUTE(B301,"?","~?"),"*","~*"),'Keyword Map'!$W$3:$W$1002,"Yes"))</f>
        <v/>
      </c>
      <c r="K301">
        <f>IF(B301="","",IF(F301=0,"No primary keyword",IF(F301&gt;Settings!$B$4,"Too many primary keywords",IF(I301+J301&gt;0,"Check flags","OK"))))</f>
        <v/>
      </c>
    </row>
    <row r="302">
      <c r="A302">
        <f>ROW()-2</f>
        <v/>
      </c>
      <c r="B302">
        <f>IFERROR(INDEX('Keyword Map'!$G$3:$G$1002,MATCH(A302,'Keyword Map'!$AA$3:$AA$1002,0)),"")</f>
        <v/>
      </c>
      <c r="C302">
        <f>IF(B302="","",INDEX('Keyword Map'!$I$3:$I$1002,MATCH(A302,'Keyword Map'!$AA$3:$AA$1002,0))&amp;"")</f>
        <v/>
      </c>
      <c r="D302">
        <f>IF(B302="","",INDEX('Keyword Map'!$H$3:$H$1002,MATCH(A302,'Keyword Map'!$AA$3:$AA$1002,0))&amp;"")</f>
        <v/>
      </c>
      <c r="E302">
        <f>IF(B302="","",COUNTIF('Keyword Map'!$G$3:$G$1002,SUBSTITUTE(SUBSTITUTE(B302,"?","~?"),"*","~*")))</f>
        <v/>
      </c>
      <c r="F302">
        <f>IF(B302="","",COUNTIFS('Keyword Map'!$G$3:$G$1002,SUBSTITUTE(SUBSTITUTE(B302,"?","~?"),"*","~*"),'Keyword Map'!$J$3:$J$1002,"Primary"))</f>
        <v/>
      </c>
      <c r="G302">
        <f>IF(B302="","",SUMIFS('Keyword Map'!$C$3:$C$1002,'Keyword Map'!$G$3:$G$1002,SUBSTITUTE(SUBSTITUTE(B302,"?","~?"),"*","~*")))</f>
        <v/>
      </c>
      <c r="H302">
        <f>IF(B302="","",IFERROR(ROUND(AVERAGEIFS('Keyword Map'!$P$3:$P$1002,'Keyword Map'!$G$3:$G$1002,SUBSTITUTE(SUBSTITUTE(B302,"?","~?"),"*","~*")),0),""))</f>
        <v/>
      </c>
      <c r="I302">
        <f>IF(B302="","",COUNTIFS('Keyword Map'!$G$3:$G$1002,SUBSTITUTE(SUBSTITUTE(B302,"?","~?"),"*","~*"),'Keyword Map'!$R$3:$R$1002,"Yes"))</f>
        <v/>
      </c>
      <c r="J302">
        <f>IF(B302="","",COUNTIFS('Keyword Map'!$G$3:$G$1002,SUBSTITUTE(SUBSTITUTE(B302,"?","~?"),"*","~*"),'Keyword Map'!$W$3:$W$1002,"Yes"))</f>
        <v/>
      </c>
      <c r="K302">
        <f>IF(B302="","",IF(F302=0,"No primary keyword",IF(F302&gt;Settings!$B$4,"Too many primary keywords",IF(I302+J302&gt;0,"Check flags","OK"))))</f>
        <v/>
      </c>
    </row>
    <row r="303">
      <c r="A303">
        <f>ROW()-2</f>
        <v/>
      </c>
      <c r="B303">
        <f>IFERROR(INDEX('Keyword Map'!$G$3:$G$1002,MATCH(A303,'Keyword Map'!$AA$3:$AA$1002,0)),"")</f>
        <v/>
      </c>
      <c r="C303">
        <f>IF(B303="","",INDEX('Keyword Map'!$I$3:$I$1002,MATCH(A303,'Keyword Map'!$AA$3:$AA$1002,0))&amp;"")</f>
        <v/>
      </c>
      <c r="D303">
        <f>IF(B303="","",INDEX('Keyword Map'!$H$3:$H$1002,MATCH(A303,'Keyword Map'!$AA$3:$AA$1002,0))&amp;"")</f>
        <v/>
      </c>
      <c r="E303">
        <f>IF(B303="","",COUNTIF('Keyword Map'!$G$3:$G$1002,SUBSTITUTE(SUBSTITUTE(B303,"?","~?"),"*","~*")))</f>
        <v/>
      </c>
      <c r="F303">
        <f>IF(B303="","",COUNTIFS('Keyword Map'!$G$3:$G$1002,SUBSTITUTE(SUBSTITUTE(B303,"?","~?"),"*","~*"),'Keyword Map'!$J$3:$J$1002,"Primary"))</f>
        <v/>
      </c>
      <c r="G303">
        <f>IF(B303="","",SUMIFS('Keyword Map'!$C$3:$C$1002,'Keyword Map'!$G$3:$G$1002,SUBSTITUTE(SUBSTITUTE(B303,"?","~?"),"*","~*")))</f>
        <v/>
      </c>
      <c r="H303">
        <f>IF(B303="","",IFERROR(ROUND(AVERAGEIFS('Keyword Map'!$P$3:$P$1002,'Keyword Map'!$G$3:$G$1002,SUBSTITUTE(SUBSTITUTE(B303,"?","~?"),"*","~*")),0),""))</f>
        <v/>
      </c>
      <c r="I303">
        <f>IF(B303="","",COUNTIFS('Keyword Map'!$G$3:$G$1002,SUBSTITUTE(SUBSTITUTE(B303,"?","~?"),"*","~*"),'Keyword Map'!$R$3:$R$1002,"Yes"))</f>
        <v/>
      </c>
      <c r="J303">
        <f>IF(B303="","",COUNTIFS('Keyword Map'!$G$3:$G$1002,SUBSTITUTE(SUBSTITUTE(B303,"?","~?"),"*","~*"),'Keyword Map'!$W$3:$W$1002,"Yes"))</f>
        <v/>
      </c>
      <c r="K303">
        <f>IF(B303="","",IF(F303=0,"No primary keyword",IF(F303&gt;Settings!$B$4,"Too many primary keywords",IF(I303+J303&gt;0,"Check flags","OK"))))</f>
        <v/>
      </c>
    </row>
    <row r="304">
      <c r="A304">
        <f>ROW()-2</f>
        <v/>
      </c>
      <c r="B304">
        <f>IFERROR(INDEX('Keyword Map'!$G$3:$G$1002,MATCH(A304,'Keyword Map'!$AA$3:$AA$1002,0)),"")</f>
        <v/>
      </c>
      <c r="C304">
        <f>IF(B304="","",INDEX('Keyword Map'!$I$3:$I$1002,MATCH(A304,'Keyword Map'!$AA$3:$AA$1002,0))&amp;"")</f>
        <v/>
      </c>
      <c r="D304">
        <f>IF(B304="","",INDEX('Keyword Map'!$H$3:$H$1002,MATCH(A304,'Keyword Map'!$AA$3:$AA$1002,0))&amp;"")</f>
        <v/>
      </c>
      <c r="E304">
        <f>IF(B304="","",COUNTIF('Keyword Map'!$G$3:$G$1002,SUBSTITUTE(SUBSTITUTE(B304,"?","~?"),"*","~*")))</f>
        <v/>
      </c>
      <c r="F304">
        <f>IF(B304="","",COUNTIFS('Keyword Map'!$G$3:$G$1002,SUBSTITUTE(SUBSTITUTE(B304,"?","~?"),"*","~*"),'Keyword Map'!$J$3:$J$1002,"Primary"))</f>
        <v/>
      </c>
      <c r="G304">
        <f>IF(B304="","",SUMIFS('Keyword Map'!$C$3:$C$1002,'Keyword Map'!$G$3:$G$1002,SUBSTITUTE(SUBSTITUTE(B304,"?","~?"),"*","~*")))</f>
        <v/>
      </c>
      <c r="H304">
        <f>IF(B304="","",IFERROR(ROUND(AVERAGEIFS('Keyword Map'!$P$3:$P$1002,'Keyword Map'!$G$3:$G$1002,SUBSTITUTE(SUBSTITUTE(B304,"?","~?"),"*","~*")),0),""))</f>
        <v/>
      </c>
      <c r="I304">
        <f>IF(B304="","",COUNTIFS('Keyword Map'!$G$3:$G$1002,SUBSTITUTE(SUBSTITUTE(B304,"?","~?"),"*","~*"),'Keyword Map'!$R$3:$R$1002,"Yes"))</f>
        <v/>
      </c>
      <c r="J304">
        <f>IF(B304="","",COUNTIFS('Keyword Map'!$G$3:$G$1002,SUBSTITUTE(SUBSTITUTE(B304,"?","~?"),"*","~*"),'Keyword Map'!$W$3:$W$1002,"Yes"))</f>
        <v/>
      </c>
      <c r="K304">
        <f>IF(B304="","",IF(F304=0,"No primary keyword",IF(F304&gt;Settings!$B$4,"Too many primary keywords",IF(I304+J304&gt;0,"Check flags","OK"))))</f>
        <v/>
      </c>
    </row>
    <row r="305">
      <c r="A305">
        <f>ROW()-2</f>
        <v/>
      </c>
      <c r="B305">
        <f>IFERROR(INDEX('Keyword Map'!$G$3:$G$1002,MATCH(A305,'Keyword Map'!$AA$3:$AA$1002,0)),"")</f>
        <v/>
      </c>
      <c r="C305">
        <f>IF(B305="","",INDEX('Keyword Map'!$I$3:$I$1002,MATCH(A305,'Keyword Map'!$AA$3:$AA$1002,0))&amp;"")</f>
        <v/>
      </c>
      <c r="D305">
        <f>IF(B305="","",INDEX('Keyword Map'!$H$3:$H$1002,MATCH(A305,'Keyword Map'!$AA$3:$AA$1002,0))&amp;"")</f>
        <v/>
      </c>
      <c r="E305">
        <f>IF(B305="","",COUNTIF('Keyword Map'!$G$3:$G$1002,SUBSTITUTE(SUBSTITUTE(B305,"?","~?"),"*","~*")))</f>
        <v/>
      </c>
      <c r="F305">
        <f>IF(B305="","",COUNTIFS('Keyword Map'!$G$3:$G$1002,SUBSTITUTE(SUBSTITUTE(B305,"?","~?"),"*","~*"),'Keyword Map'!$J$3:$J$1002,"Primary"))</f>
        <v/>
      </c>
      <c r="G305">
        <f>IF(B305="","",SUMIFS('Keyword Map'!$C$3:$C$1002,'Keyword Map'!$G$3:$G$1002,SUBSTITUTE(SUBSTITUTE(B305,"?","~?"),"*","~*")))</f>
        <v/>
      </c>
      <c r="H305">
        <f>IF(B305="","",IFERROR(ROUND(AVERAGEIFS('Keyword Map'!$P$3:$P$1002,'Keyword Map'!$G$3:$G$1002,SUBSTITUTE(SUBSTITUTE(B305,"?","~?"),"*","~*")),0),""))</f>
        <v/>
      </c>
      <c r="I305">
        <f>IF(B305="","",COUNTIFS('Keyword Map'!$G$3:$G$1002,SUBSTITUTE(SUBSTITUTE(B305,"?","~?"),"*","~*"),'Keyword Map'!$R$3:$R$1002,"Yes"))</f>
        <v/>
      </c>
      <c r="J305">
        <f>IF(B305="","",COUNTIFS('Keyword Map'!$G$3:$G$1002,SUBSTITUTE(SUBSTITUTE(B305,"?","~?"),"*","~*"),'Keyword Map'!$W$3:$W$1002,"Yes"))</f>
        <v/>
      </c>
      <c r="K305">
        <f>IF(B305="","",IF(F305=0,"No primary keyword",IF(F305&gt;Settings!$B$4,"Too many primary keywords",IF(I305+J305&gt;0,"Check flags","OK"))))</f>
        <v/>
      </c>
    </row>
    <row r="306">
      <c r="A306">
        <f>ROW()-2</f>
        <v/>
      </c>
      <c r="B306">
        <f>IFERROR(INDEX('Keyword Map'!$G$3:$G$1002,MATCH(A306,'Keyword Map'!$AA$3:$AA$1002,0)),"")</f>
        <v/>
      </c>
      <c r="C306">
        <f>IF(B306="","",INDEX('Keyword Map'!$I$3:$I$1002,MATCH(A306,'Keyword Map'!$AA$3:$AA$1002,0))&amp;"")</f>
        <v/>
      </c>
      <c r="D306">
        <f>IF(B306="","",INDEX('Keyword Map'!$H$3:$H$1002,MATCH(A306,'Keyword Map'!$AA$3:$AA$1002,0))&amp;"")</f>
        <v/>
      </c>
      <c r="E306">
        <f>IF(B306="","",COUNTIF('Keyword Map'!$G$3:$G$1002,SUBSTITUTE(SUBSTITUTE(B306,"?","~?"),"*","~*")))</f>
        <v/>
      </c>
      <c r="F306">
        <f>IF(B306="","",COUNTIFS('Keyword Map'!$G$3:$G$1002,SUBSTITUTE(SUBSTITUTE(B306,"?","~?"),"*","~*"),'Keyword Map'!$J$3:$J$1002,"Primary"))</f>
        <v/>
      </c>
      <c r="G306">
        <f>IF(B306="","",SUMIFS('Keyword Map'!$C$3:$C$1002,'Keyword Map'!$G$3:$G$1002,SUBSTITUTE(SUBSTITUTE(B306,"?","~?"),"*","~*")))</f>
        <v/>
      </c>
      <c r="H306">
        <f>IF(B306="","",IFERROR(ROUND(AVERAGEIFS('Keyword Map'!$P$3:$P$1002,'Keyword Map'!$G$3:$G$1002,SUBSTITUTE(SUBSTITUTE(B306,"?","~?"),"*","~*")),0),""))</f>
        <v/>
      </c>
      <c r="I306">
        <f>IF(B306="","",COUNTIFS('Keyword Map'!$G$3:$G$1002,SUBSTITUTE(SUBSTITUTE(B306,"?","~?"),"*","~*"),'Keyword Map'!$R$3:$R$1002,"Yes"))</f>
        <v/>
      </c>
      <c r="J306">
        <f>IF(B306="","",COUNTIFS('Keyword Map'!$G$3:$G$1002,SUBSTITUTE(SUBSTITUTE(B306,"?","~?"),"*","~*"),'Keyword Map'!$W$3:$W$1002,"Yes"))</f>
        <v/>
      </c>
      <c r="K306">
        <f>IF(B306="","",IF(F306=0,"No primary keyword",IF(F306&gt;Settings!$B$4,"Too many primary keywords",IF(I306+J306&gt;0,"Check flags","OK"))))</f>
        <v/>
      </c>
    </row>
    <row r="307">
      <c r="A307">
        <f>ROW()-2</f>
        <v/>
      </c>
      <c r="B307">
        <f>IFERROR(INDEX('Keyword Map'!$G$3:$G$1002,MATCH(A307,'Keyword Map'!$AA$3:$AA$1002,0)),"")</f>
        <v/>
      </c>
      <c r="C307">
        <f>IF(B307="","",INDEX('Keyword Map'!$I$3:$I$1002,MATCH(A307,'Keyword Map'!$AA$3:$AA$1002,0))&amp;"")</f>
        <v/>
      </c>
      <c r="D307">
        <f>IF(B307="","",INDEX('Keyword Map'!$H$3:$H$1002,MATCH(A307,'Keyword Map'!$AA$3:$AA$1002,0))&amp;"")</f>
        <v/>
      </c>
      <c r="E307">
        <f>IF(B307="","",COUNTIF('Keyword Map'!$G$3:$G$1002,SUBSTITUTE(SUBSTITUTE(B307,"?","~?"),"*","~*")))</f>
        <v/>
      </c>
      <c r="F307">
        <f>IF(B307="","",COUNTIFS('Keyword Map'!$G$3:$G$1002,SUBSTITUTE(SUBSTITUTE(B307,"?","~?"),"*","~*"),'Keyword Map'!$J$3:$J$1002,"Primary"))</f>
        <v/>
      </c>
      <c r="G307">
        <f>IF(B307="","",SUMIFS('Keyword Map'!$C$3:$C$1002,'Keyword Map'!$G$3:$G$1002,SUBSTITUTE(SUBSTITUTE(B307,"?","~?"),"*","~*")))</f>
        <v/>
      </c>
      <c r="H307">
        <f>IF(B307="","",IFERROR(ROUND(AVERAGEIFS('Keyword Map'!$P$3:$P$1002,'Keyword Map'!$G$3:$G$1002,SUBSTITUTE(SUBSTITUTE(B307,"?","~?"),"*","~*")),0),""))</f>
        <v/>
      </c>
      <c r="I307">
        <f>IF(B307="","",COUNTIFS('Keyword Map'!$G$3:$G$1002,SUBSTITUTE(SUBSTITUTE(B307,"?","~?"),"*","~*"),'Keyword Map'!$R$3:$R$1002,"Yes"))</f>
        <v/>
      </c>
      <c r="J307">
        <f>IF(B307="","",COUNTIFS('Keyword Map'!$G$3:$G$1002,SUBSTITUTE(SUBSTITUTE(B307,"?","~?"),"*","~*"),'Keyword Map'!$W$3:$W$1002,"Yes"))</f>
        <v/>
      </c>
      <c r="K307">
        <f>IF(B307="","",IF(F307=0,"No primary keyword",IF(F307&gt;Settings!$B$4,"Too many primary keywords",IF(I307+J307&gt;0,"Check flags","OK"))))</f>
        <v/>
      </c>
    </row>
    <row r="308">
      <c r="A308">
        <f>ROW()-2</f>
        <v/>
      </c>
      <c r="B308">
        <f>IFERROR(INDEX('Keyword Map'!$G$3:$G$1002,MATCH(A308,'Keyword Map'!$AA$3:$AA$1002,0)),"")</f>
        <v/>
      </c>
      <c r="C308">
        <f>IF(B308="","",INDEX('Keyword Map'!$I$3:$I$1002,MATCH(A308,'Keyword Map'!$AA$3:$AA$1002,0))&amp;"")</f>
        <v/>
      </c>
      <c r="D308">
        <f>IF(B308="","",INDEX('Keyword Map'!$H$3:$H$1002,MATCH(A308,'Keyword Map'!$AA$3:$AA$1002,0))&amp;"")</f>
        <v/>
      </c>
      <c r="E308">
        <f>IF(B308="","",COUNTIF('Keyword Map'!$G$3:$G$1002,SUBSTITUTE(SUBSTITUTE(B308,"?","~?"),"*","~*")))</f>
        <v/>
      </c>
      <c r="F308">
        <f>IF(B308="","",COUNTIFS('Keyword Map'!$G$3:$G$1002,SUBSTITUTE(SUBSTITUTE(B308,"?","~?"),"*","~*"),'Keyword Map'!$J$3:$J$1002,"Primary"))</f>
        <v/>
      </c>
      <c r="G308">
        <f>IF(B308="","",SUMIFS('Keyword Map'!$C$3:$C$1002,'Keyword Map'!$G$3:$G$1002,SUBSTITUTE(SUBSTITUTE(B308,"?","~?"),"*","~*")))</f>
        <v/>
      </c>
      <c r="H308">
        <f>IF(B308="","",IFERROR(ROUND(AVERAGEIFS('Keyword Map'!$P$3:$P$1002,'Keyword Map'!$G$3:$G$1002,SUBSTITUTE(SUBSTITUTE(B308,"?","~?"),"*","~*")),0),""))</f>
        <v/>
      </c>
      <c r="I308">
        <f>IF(B308="","",COUNTIFS('Keyword Map'!$G$3:$G$1002,SUBSTITUTE(SUBSTITUTE(B308,"?","~?"),"*","~*"),'Keyword Map'!$R$3:$R$1002,"Yes"))</f>
        <v/>
      </c>
      <c r="J308">
        <f>IF(B308="","",COUNTIFS('Keyword Map'!$G$3:$G$1002,SUBSTITUTE(SUBSTITUTE(B308,"?","~?"),"*","~*"),'Keyword Map'!$W$3:$W$1002,"Yes"))</f>
        <v/>
      </c>
      <c r="K308">
        <f>IF(B308="","",IF(F308=0,"No primary keyword",IF(F308&gt;Settings!$B$4,"Too many primary keywords",IF(I308+J308&gt;0,"Check flags","OK"))))</f>
        <v/>
      </c>
    </row>
    <row r="309">
      <c r="A309">
        <f>ROW()-2</f>
        <v/>
      </c>
      <c r="B309">
        <f>IFERROR(INDEX('Keyword Map'!$G$3:$G$1002,MATCH(A309,'Keyword Map'!$AA$3:$AA$1002,0)),"")</f>
        <v/>
      </c>
      <c r="C309">
        <f>IF(B309="","",INDEX('Keyword Map'!$I$3:$I$1002,MATCH(A309,'Keyword Map'!$AA$3:$AA$1002,0))&amp;"")</f>
        <v/>
      </c>
      <c r="D309">
        <f>IF(B309="","",INDEX('Keyword Map'!$H$3:$H$1002,MATCH(A309,'Keyword Map'!$AA$3:$AA$1002,0))&amp;"")</f>
        <v/>
      </c>
      <c r="E309">
        <f>IF(B309="","",COUNTIF('Keyword Map'!$G$3:$G$1002,SUBSTITUTE(SUBSTITUTE(B309,"?","~?"),"*","~*")))</f>
        <v/>
      </c>
      <c r="F309">
        <f>IF(B309="","",COUNTIFS('Keyword Map'!$G$3:$G$1002,SUBSTITUTE(SUBSTITUTE(B309,"?","~?"),"*","~*"),'Keyword Map'!$J$3:$J$1002,"Primary"))</f>
        <v/>
      </c>
      <c r="G309">
        <f>IF(B309="","",SUMIFS('Keyword Map'!$C$3:$C$1002,'Keyword Map'!$G$3:$G$1002,SUBSTITUTE(SUBSTITUTE(B309,"?","~?"),"*","~*")))</f>
        <v/>
      </c>
      <c r="H309">
        <f>IF(B309="","",IFERROR(ROUND(AVERAGEIFS('Keyword Map'!$P$3:$P$1002,'Keyword Map'!$G$3:$G$1002,SUBSTITUTE(SUBSTITUTE(B309,"?","~?"),"*","~*")),0),""))</f>
        <v/>
      </c>
      <c r="I309">
        <f>IF(B309="","",COUNTIFS('Keyword Map'!$G$3:$G$1002,SUBSTITUTE(SUBSTITUTE(B309,"?","~?"),"*","~*"),'Keyword Map'!$R$3:$R$1002,"Yes"))</f>
        <v/>
      </c>
      <c r="J309">
        <f>IF(B309="","",COUNTIFS('Keyword Map'!$G$3:$G$1002,SUBSTITUTE(SUBSTITUTE(B309,"?","~?"),"*","~*"),'Keyword Map'!$W$3:$W$1002,"Yes"))</f>
        <v/>
      </c>
      <c r="K309">
        <f>IF(B309="","",IF(F309=0,"No primary keyword",IF(F309&gt;Settings!$B$4,"Too many primary keywords",IF(I309+J309&gt;0,"Check flags","OK"))))</f>
        <v/>
      </c>
    </row>
    <row r="310">
      <c r="A310">
        <f>ROW()-2</f>
        <v/>
      </c>
      <c r="B310">
        <f>IFERROR(INDEX('Keyword Map'!$G$3:$G$1002,MATCH(A310,'Keyword Map'!$AA$3:$AA$1002,0)),"")</f>
        <v/>
      </c>
      <c r="C310">
        <f>IF(B310="","",INDEX('Keyword Map'!$I$3:$I$1002,MATCH(A310,'Keyword Map'!$AA$3:$AA$1002,0))&amp;"")</f>
        <v/>
      </c>
      <c r="D310">
        <f>IF(B310="","",INDEX('Keyword Map'!$H$3:$H$1002,MATCH(A310,'Keyword Map'!$AA$3:$AA$1002,0))&amp;"")</f>
        <v/>
      </c>
      <c r="E310">
        <f>IF(B310="","",COUNTIF('Keyword Map'!$G$3:$G$1002,SUBSTITUTE(SUBSTITUTE(B310,"?","~?"),"*","~*")))</f>
        <v/>
      </c>
      <c r="F310">
        <f>IF(B310="","",COUNTIFS('Keyword Map'!$G$3:$G$1002,SUBSTITUTE(SUBSTITUTE(B310,"?","~?"),"*","~*"),'Keyword Map'!$J$3:$J$1002,"Primary"))</f>
        <v/>
      </c>
      <c r="G310">
        <f>IF(B310="","",SUMIFS('Keyword Map'!$C$3:$C$1002,'Keyword Map'!$G$3:$G$1002,SUBSTITUTE(SUBSTITUTE(B310,"?","~?"),"*","~*")))</f>
        <v/>
      </c>
      <c r="H310">
        <f>IF(B310="","",IFERROR(ROUND(AVERAGEIFS('Keyword Map'!$P$3:$P$1002,'Keyword Map'!$G$3:$G$1002,SUBSTITUTE(SUBSTITUTE(B310,"?","~?"),"*","~*")),0),""))</f>
        <v/>
      </c>
      <c r="I310">
        <f>IF(B310="","",COUNTIFS('Keyword Map'!$G$3:$G$1002,SUBSTITUTE(SUBSTITUTE(B310,"?","~?"),"*","~*"),'Keyword Map'!$R$3:$R$1002,"Yes"))</f>
        <v/>
      </c>
      <c r="J310">
        <f>IF(B310="","",COUNTIFS('Keyword Map'!$G$3:$G$1002,SUBSTITUTE(SUBSTITUTE(B310,"?","~?"),"*","~*"),'Keyword Map'!$W$3:$W$1002,"Yes"))</f>
        <v/>
      </c>
      <c r="K310">
        <f>IF(B310="","",IF(F310=0,"No primary keyword",IF(F310&gt;Settings!$B$4,"Too many primary keywords",IF(I310+J310&gt;0,"Check flags","OK"))))</f>
        <v/>
      </c>
    </row>
    <row r="311">
      <c r="A311">
        <f>ROW()-2</f>
        <v/>
      </c>
      <c r="B311">
        <f>IFERROR(INDEX('Keyword Map'!$G$3:$G$1002,MATCH(A311,'Keyword Map'!$AA$3:$AA$1002,0)),"")</f>
        <v/>
      </c>
      <c r="C311">
        <f>IF(B311="","",INDEX('Keyword Map'!$I$3:$I$1002,MATCH(A311,'Keyword Map'!$AA$3:$AA$1002,0))&amp;"")</f>
        <v/>
      </c>
      <c r="D311">
        <f>IF(B311="","",INDEX('Keyword Map'!$H$3:$H$1002,MATCH(A311,'Keyword Map'!$AA$3:$AA$1002,0))&amp;"")</f>
        <v/>
      </c>
      <c r="E311">
        <f>IF(B311="","",COUNTIF('Keyword Map'!$G$3:$G$1002,SUBSTITUTE(SUBSTITUTE(B311,"?","~?"),"*","~*")))</f>
        <v/>
      </c>
      <c r="F311">
        <f>IF(B311="","",COUNTIFS('Keyword Map'!$G$3:$G$1002,SUBSTITUTE(SUBSTITUTE(B311,"?","~?"),"*","~*"),'Keyword Map'!$J$3:$J$1002,"Primary"))</f>
        <v/>
      </c>
      <c r="G311">
        <f>IF(B311="","",SUMIFS('Keyword Map'!$C$3:$C$1002,'Keyword Map'!$G$3:$G$1002,SUBSTITUTE(SUBSTITUTE(B311,"?","~?"),"*","~*")))</f>
        <v/>
      </c>
      <c r="H311">
        <f>IF(B311="","",IFERROR(ROUND(AVERAGEIFS('Keyword Map'!$P$3:$P$1002,'Keyword Map'!$G$3:$G$1002,SUBSTITUTE(SUBSTITUTE(B311,"?","~?"),"*","~*")),0),""))</f>
        <v/>
      </c>
      <c r="I311">
        <f>IF(B311="","",COUNTIFS('Keyword Map'!$G$3:$G$1002,SUBSTITUTE(SUBSTITUTE(B311,"?","~?"),"*","~*"),'Keyword Map'!$R$3:$R$1002,"Yes"))</f>
        <v/>
      </c>
      <c r="J311">
        <f>IF(B311="","",COUNTIFS('Keyword Map'!$G$3:$G$1002,SUBSTITUTE(SUBSTITUTE(B311,"?","~?"),"*","~*"),'Keyword Map'!$W$3:$W$1002,"Yes"))</f>
        <v/>
      </c>
      <c r="K311">
        <f>IF(B311="","",IF(F311=0,"No primary keyword",IF(F311&gt;Settings!$B$4,"Too many primary keywords",IF(I311+J311&gt;0,"Check flags","OK"))))</f>
        <v/>
      </c>
    </row>
    <row r="312">
      <c r="A312">
        <f>ROW()-2</f>
        <v/>
      </c>
      <c r="B312">
        <f>IFERROR(INDEX('Keyword Map'!$G$3:$G$1002,MATCH(A312,'Keyword Map'!$AA$3:$AA$1002,0)),"")</f>
        <v/>
      </c>
      <c r="C312">
        <f>IF(B312="","",INDEX('Keyword Map'!$I$3:$I$1002,MATCH(A312,'Keyword Map'!$AA$3:$AA$1002,0))&amp;"")</f>
        <v/>
      </c>
      <c r="D312">
        <f>IF(B312="","",INDEX('Keyword Map'!$H$3:$H$1002,MATCH(A312,'Keyword Map'!$AA$3:$AA$1002,0))&amp;"")</f>
        <v/>
      </c>
      <c r="E312">
        <f>IF(B312="","",COUNTIF('Keyword Map'!$G$3:$G$1002,SUBSTITUTE(SUBSTITUTE(B312,"?","~?"),"*","~*")))</f>
        <v/>
      </c>
      <c r="F312">
        <f>IF(B312="","",COUNTIFS('Keyword Map'!$G$3:$G$1002,SUBSTITUTE(SUBSTITUTE(B312,"?","~?"),"*","~*"),'Keyword Map'!$J$3:$J$1002,"Primary"))</f>
        <v/>
      </c>
      <c r="G312">
        <f>IF(B312="","",SUMIFS('Keyword Map'!$C$3:$C$1002,'Keyword Map'!$G$3:$G$1002,SUBSTITUTE(SUBSTITUTE(B312,"?","~?"),"*","~*")))</f>
        <v/>
      </c>
      <c r="H312">
        <f>IF(B312="","",IFERROR(ROUND(AVERAGEIFS('Keyword Map'!$P$3:$P$1002,'Keyword Map'!$G$3:$G$1002,SUBSTITUTE(SUBSTITUTE(B312,"?","~?"),"*","~*")),0),""))</f>
        <v/>
      </c>
      <c r="I312">
        <f>IF(B312="","",COUNTIFS('Keyword Map'!$G$3:$G$1002,SUBSTITUTE(SUBSTITUTE(B312,"?","~?"),"*","~*"),'Keyword Map'!$R$3:$R$1002,"Yes"))</f>
        <v/>
      </c>
      <c r="J312">
        <f>IF(B312="","",COUNTIFS('Keyword Map'!$G$3:$G$1002,SUBSTITUTE(SUBSTITUTE(B312,"?","~?"),"*","~*"),'Keyword Map'!$W$3:$W$1002,"Yes"))</f>
        <v/>
      </c>
      <c r="K312">
        <f>IF(B312="","",IF(F312=0,"No primary keyword",IF(F312&gt;Settings!$B$4,"Too many primary keywords",IF(I312+J312&gt;0,"Check flags","OK"))))</f>
        <v/>
      </c>
    </row>
    <row r="313">
      <c r="A313">
        <f>ROW()-2</f>
        <v/>
      </c>
      <c r="B313">
        <f>IFERROR(INDEX('Keyword Map'!$G$3:$G$1002,MATCH(A313,'Keyword Map'!$AA$3:$AA$1002,0)),"")</f>
        <v/>
      </c>
      <c r="C313">
        <f>IF(B313="","",INDEX('Keyword Map'!$I$3:$I$1002,MATCH(A313,'Keyword Map'!$AA$3:$AA$1002,0))&amp;"")</f>
        <v/>
      </c>
      <c r="D313">
        <f>IF(B313="","",INDEX('Keyword Map'!$H$3:$H$1002,MATCH(A313,'Keyword Map'!$AA$3:$AA$1002,0))&amp;"")</f>
        <v/>
      </c>
      <c r="E313">
        <f>IF(B313="","",COUNTIF('Keyword Map'!$G$3:$G$1002,SUBSTITUTE(SUBSTITUTE(B313,"?","~?"),"*","~*")))</f>
        <v/>
      </c>
      <c r="F313">
        <f>IF(B313="","",COUNTIFS('Keyword Map'!$G$3:$G$1002,SUBSTITUTE(SUBSTITUTE(B313,"?","~?"),"*","~*"),'Keyword Map'!$J$3:$J$1002,"Primary"))</f>
        <v/>
      </c>
      <c r="G313">
        <f>IF(B313="","",SUMIFS('Keyword Map'!$C$3:$C$1002,'Keyword Map'!$G$3:$G$1002,SUBSTITUTE(SUBSTITUTE(B313,"?","~?"),"*","~*")))</f>
        <v/>
      </c>
      <c r="H313">
        <f>IF(B313="","",IFERROR(ROUND(AVERAGEIFS('Keyword Map'!$P$3:$P$1002,'Keyword Map'!$G$3:$G$1002,SUBSTITUTE(SUBSTITUTE(B313,"?","~?"),"*","~*")),0),""))</f>
        <v/>
      </c>
      <c r="I313">
        <f>IF(B313="","",COUNTIFS('Keyword Map'!$G$3:$G$1002,SUBSTITUTE(SUBSTITUTE(B313,"?","~?"),"*","~*"),'Keyword Map'!$R$3:$R$1002,"Yes"))</f>
        <v/>
      </c>
      <c r="J313">
        <f>IF(B313="","",COUNTIFS('Keyword Map'!$G$3:$G$1002,SUBSTITUTE(SUBSTITUTE(B313,"?","~?"),"*","~*"),'Keyword Map'!$W$3:$W$1002,"Yes"))</f>
        <v/>
      </c>
      <c r="K313">
        <f>IF(B313="","",IF(F313=0,"No primary keyword",IF(F313&gt;Settings!$B$4,"Too many primary keywords",IF(I313+J313&gt;0,"Check flags","OK"))))</f>
        <v/>
      </c>
    </row>
    <row r="314">
      <c r="A314">
        <f>ROW()-2</f>
        <v/>
      </c>
      <c r="B314">
        <f>IFERROR(INDEX('Keyword Map'!$G$3:$G$1002,MATCH(A314,'Keyword Map'!$AA$3:$AA$1002,0)),"")</f>
        <v/>
      </c>
      <c r="C314">
        <f>IF(B314="","",INDEX('Keyword Map'!$I$3:$I$1002,MATCH(A314,'Keyword Map'!$AA$3:$AA$1002,0))&amp;"")</f>
        <v/>
      </c>
      <c r="D314">
        <f>IF(B314="","",INDEX('Keyword Map'!$H$3:$H$1002,MATCH(A314,'Keyword Map'!$AA$3:$AA$1002,0))&amp;"")</f>
        <v/>
      </c>
      <c r="E314">
        <f>IF(B314="","",COUNTIF('Keyword Map'!$G$3:$G$1002,SUBSTITUTE(SUBSTITUTE(B314,"?","~?"),"*","~*")))</f>
        <v/>
      </c>
      <c r="F314">
        <f>IF(B314="","",COUNTIFS('Keyword Map'!$G$3:$G$1002,SUBSTITUTE(SUBSTITUTE(B314,"?","~?"),"*","~*"),'Keyword Map'!$J$3:$J$1002,"Primary"))</f>
        <v/>
      </c>
      <c r="G314">
        <f>IF(B314="","",SUMIFS('Keyword Map'!$C$3:$C$1002,'Keyword Map'!$G$3:$G$1002,SUBSTITUTE(SUBSTITUTE(B314,"?","~?"),"*","~*")))</f>
        <v/>
      </c>
      <c r="H314">
        <f>IF(B314="","",IFERROR(ROUND(AVERAGEIFS('Keyword Map'!$P$3:$P$1002,'Keyword Map'!$G$3:$G$1002,SUBSTITUTE(SUBSTITUTE(B314,"?","~?"),"*","~*")),0),""))</f>
        <v/>
      </c>
      <c r="I314">
        <f>IF(B314="","",COUNTIFS('Keyword Map'!$G$3:$G$1002,SUBSTITUTE(SUBSTITUTE(B314,"?","~?"),"*","~*"),'Keyword Map'!$R$3:$R$1002,"Yes"))</f>
        <v/>
      </c>
      <c r="J314">
        <f>IF(B314="","",COUNTIFS('Keyword Map'!$G$3:$G$1002,SUBSTITUTE(SUBSTITUTE(B314,"?","~?"),"*","~*"),'Keyword Map'!$W$3:$W$1002,"Yes"))</f>
        <v/>
      </c>
      <c r="K314">
        <f>IF(B314="","",IF(F314=0,"No primary keyword",IF(F314&gt;Settings!$B$4,"Too many primary keywords",IF(I314+J314&gt;0,"Check flags","OK"))))</f>
        <v/>
      </c>
    </row>
    <row r="315">
      <c r="A315">
        <f>ROW()-2</f>
        <v/>
      </c>
      <c r="B315">
        <f>IFERROR(INDEX('Keyword Map'!$G$3:$G$1002,MATCH(A315,'Keyword Map'!$AA$3:$AA$1002,0)),"")</f>
        <v/>
      </c>
      <c r="C315">
        <f>IF(B315="","",INDEX('Keyword Map'!$I$3:$I$1002,MATCH(A315,'Keyword Map'!$AA$3:$AA$1002,0))&amp;"")</f>
        <v/>
      </c>
      <c r="D315">
        <f>IF(B315="","",INDEX('Keyword Map'!$H$3:$H$1002,MATCH(A315,'Keyword Map'!$AA$3:$AA$1002,0))&amp;"")</f>
        <v/>
      </c>
      <c r="E315">
        <f>IF(B315="","",COUNTIF('Keyword Map'!$G$3:$G$1002,SUBSTITUTE(SUBSTITUTE(B315,"?","~?"),"*","~*")))</f>
        <v/>
      </c>
      <c r="F315">
        <f>IF(B315="","",COUNTIFS('Keyword Map'!$G$3:$G$1002,SUBSTITUTE(SUBSTITUTE(B315,"?","~?"),"*","~*"),'Keyword Map'!$J$3:$J$1002,"Primary"))</f>
        <v/>
      </c>
      <c r="G315">
        <f>IF(B315="","",SUMIFS('Keyword Map'!$C$3:$C$1002,'Keyword Map'!$G$3:$G$1002,SUBSTITUTE(SUBSTITUTE(B315,"?","~?"),"*","~*")))</f>
        <v/>
      </c>
      <c r="H315">
        <f>IF(B315="","",IFERROR(ROUND(AVERAGEIFS('Keyword Map'!$P$3:$P$1002,'Keyword Map'!$G$3:$G$1002,SUBSTITUTE(SUBSTITUTE(B315,"?","~?"),"*","~*")),0),""))</f>
        <v/>
      </c>
      <c r="I315">
        <f>IF(B315="","",COUNTIFS('Keyword Map'!$G$3:$G$1002,SUBSTITUTE(SUBSTITUTE(B315,"?","~?"),"*","~*"),'Keyword Map'!$R$3:$R$1002,"Yes"))</f>
        <v/>
      </c>
      <c r="J315">
        <f>IF(B315="","",COUNTIFS('Keyword Map'!$G$3:$G$1002,SUBSTITUTE(SUBSTITUTE(B315,"?","~?"),"*","~*"),'Keyword Map'!$W$3:$W$1002,"Yes"))</f>
        <v/>
      </c>
      <c r="K315">
        <f>IF(B315="","",IF(F315=0,"No primary keyword",IF(F315&gt;Settings!$B$4,"Too many primary keywords",IF(I315+J315&gt;0,"Check flags","OK"))))</f>
        <v/>
      </c>
    </row>
    <row r="316">
      <c r="A316">
        <f>ROW()-2</f>
        <v/>
      </c>
      <c r="B316">
        <f>IFERROR(INDEX('Keyword Map'!$G$3:$G$1002,MATCH(A316,'Keyword Map'!$AA$3:$AA$1002,0)),"")</f>
        <v/>
      </c>
      <c r="C316">
        <f>IF(B316="","",INDEX('Keyword Map'!$I$3:$I$1002,MATCH(A316,'Keyword Map'!$AA$3:$AA$1002,0))&amp;"")</f>
        <v/>
      </c>
      <c r="D316">
        <f>IF(B316="","",INDEX('Keyword Map'!$H$3:$H$1002,MATCH(A316,'Keyword Map'!$AA$3:$AA$1002,0))&amp;"")</f>
        <v/>
      </c>
      <c r="E316">
        <f>IF(B316="","",COUNTIF('Keyword Map'!$G$3:$G$1002,SUBSTITUTE(SUBSTITUTE(B316,"?","~?"),"*","~*")))</f>
        <v/>
      </c>
      <c r="F316">
        <f>IF(B316="","",COUNTIFS('Keyword Map'!$G$3:$G$1002,SUBSTITUTE(SUBSTITUTE(B316,"?","~?"),"*","~*"),'Keyword Map'!$J$3:$J$1002,"Primary"))</f>
        <v/>
      </c>
      <c r="G316">
        <f>IF(B316="","",SUMIFS('Keyword Map'!$C$3:$C$1002,'Keyword Map'!$G$3:$G$1002,SUBSTITUTE(SUBSTITUTE(B316,"?","~?"),"*","~*")))</f>
        <v/>
      </c>
      <c r="H316">
        <f>IF(B316="","",IFERROR(ROUND(AVERAGEIFS('Keyword Map'!$P$3:$P$1002,'Keyword Map'!$G$3:$G$1002,SUBSTITUTE(SUBSTITUTE(B316,"?","~?"),"*","~*")),0),""))</f>
        <v/>
      </c>
      <c r="I316">
        <f>IF(B316="","",COUNTIFS('Keyword Map'!$G$3:$G$1002,SUBSTITUTE(SUBSTITUTE(B316,"?","~?"),"*","~*"),'Keyword Map'!$R$3:$R$1002,"Yes"))</f>
        <v/>
      </c>
      <c r="J316">
        <f>IF(B316="","",COUNTIFS('Keyword Map'!$G$3:$G$1002,SUBSTITUTE(SUBSTITUTE(B316,"?","~?"),"*","~*"),'Keyword Map'!$W$3:$W$1002,"Yes"))</f>
        <v/>
      </c>
      <c r="K316">
        <f>IF(B316="","",IF(F316=0,"No primary keyword",IF(F316&gt;Settings!$B$4,"Too many primary keywords",IF(I316+J316&gt;0,"Check flags","OK"))))</f>
        <v/>
      </c>
    </row>
    <row r="317">
      <c r="A317">
        <f>ROW()-2</f>
        <v/>
      </c>
      <c r="B317">
        <f>IFERROR(INDEX('Keyword Map'!$G$3:$G$1002,MATCH(A317,'Keyword Map'!$AA$3:$AA$1002,0)),"")</f>
        <v/>
      </c>
      <c r="C317">
        <f>IF(B317="","",INDEX('Keyword Map'!$I$3:$I$1002,MATCH(A317,'Keyword Map'!$AA$3:$AA$1002,0))&amp;"")</f>
        <v/>
      </c>
      <c r="D317">
        <f>IF(B317="","",INDEX('Keyword Map'!$H$3:$H$1002,MATCH(A317,'Keyword Map'!$AA$3:$AA$1002,0))&amp;"")</f>
        <v/>
      </c>
      <c r="E317">
        <f>IF(B317="","",COUNTIF('Keyword Map'!$G$3:$G$1002,SUBSTITUTE(SUBSTITUTE(B317,"?","~?"),"*","~*")))</f>
        <v/>
      </c>
      <c r="F317">
        <f>IF(B317="","",COUNTIFS('Keyword Map'!$G$3:$G$1002,SUBSTITUTE(SUBSTITUTE(B317,"?","~?"),"*","~*"),'Keyword Map'!$J$3:$J$1002,"Primary"))</f>
        <v/>
      </c>
      <c r="G317">
        <f>IF(B317="","",SUMIFS('Keyword Map'!$C$3:$C$1002,'Keyword Map'!$G$3:$G$1002,SUBSTITUTE(SUBSTITUTE(B317,"?","~?"),"*","~*")))</f>
        <v/>
      </c>
      <c r="H317">
        <f>IF(B317="","",IFERROR(ROUND(AVERAGEIFS('Keyword Map'!$P$3:$P$1002,'Keyword Map'!$G$3:$G$1002,SUBSTITUTE(SUBSTITUTE(B317,"?","~?"),"*","~*")),0),""))</f>
        <v/>
      </c>
      <c r="I317">
        <f>IF(B317="","",COUNTIFS('Keyword Map'!$G$3:$G$1002,SUBSTITUTE(SUBSTITUTE(B317,"?","~?"),"*","~*"),'Keyword Map'!$R$3:$R$1002,"Yes"))</f>
        <v/>
      </c>
      <c r="J317">
        <f>IF(B317="","",COUNTIFS('Keyword Map'!$G$3:$G$1002,SUBSTITUTE(SUBSTITUTE(B317,"?","~?"),"*","~*"),'Keyword Map'!$W$3:$W$1002,"Yes"))</f>
        <v/>
      </c>
      <c r="K317">
        <f>IF(B317="","",IF(F317=0,"No primary keyword",IF(F317&gt;Settings!$B$4,"Too many primary keywords",IF(I317+J317&gt;0,"Check flags","OK"))))</f>
        <v/>
      </c>
    </row>
    <row r="318">
      <c r="A318">
        <f>ROW()-2</f>
        <v/>
      </c>
      <c r="B318">
        <f>IFERROR(INDEX('Keyword Map'!$G$3:$G$1002,MATCH(A318,'Keyword Map'!$AA$3:$AA$1002,0)),"")</f>
        <v/>
      </c>
      <c r="C318">
        <f>IF(B318="","",INDEX('Keyword Map'!$I$3:$I$1002,MATCH(A318,'Keyword Map'!$AA$3:$AA$1002,0))&amp;"")</f>
        <v/>
      </c>
      <c r="D318">
        <f>IF(B318="","",INDEX('Keyword Map'!$H$3:$H$1002,MATCH(A318,'Keyword Map'!$AA$3:$AA$1002,0))&amp;"")</f>
        <v/>
      </c>
      <c r="E318">
        <f>IF(B318="","",COUNTIF('Keyword Map'!$G$3:$G$1002,SUBSTITUTE(SUBSTITUTE(B318,"?","~?"),"*","~*")))</f>
        <v/>
      </c>
      <c r="F318">
        <f>IF(B318="","",COUNTIFS('Keyword Map'!$G$3:$G$1002,SUBSTITUTE(SUBSTITUTE(B318,"?","~?"),"*","~*"),'Keyword Map'!$J$3:$J$1002,"Primary"))</f>
        <v/>
      </c>
      <c r="G318">
        <f>IF(B318="","",SUMIFS('Keyword Map'!$C$3:$C$1002,'Keyword Map'!$G$3:$G$1002,SUBSTITUTE(SUBSTITUTE(B318,"?","~?"),"*","~*")))</f>
        <v/>
      </c>
      <c r="H318">
        <f>IF(B318="","",IFERROR(ROUND(AVERAGEIFS('Keyword Map'!$P$3:$P$1002,'Keyword Map'!$G$3:$G$1002,SUBSTITUTE(SUBSTITUTE(B318,"?","~?"),"*","~*")),0),""))</f>
        <v/>
      </c>
      <c r="I318">
        <f>IF(B318="","",COUNTIFS('Keyword Map'!$G$3:$G$1002,SUBSTITUTE(SUBSTITUTE(B318,"?","~?"),"*","~*"),'Keyword Map'!$R$3:$R$1002,"Yes"))</f>
        <v/>
      </c>
      <c r="J318">
        <f>IF(B318="","",COUNTIFS('Keyword Map'!$G$3:$G$1002,SUBSTITUTE(SUBSTITUTE(B318,"?","~?"),"*","~*"),'Keyword Map'!$W$3:$W$1002,"Yes"))</f>
        <v/>
      </c>
      <c r="K318">
        <f>IF(B318="","",IF(F318=0,"No primary keyword",IF(F318&gt;Settings!$B$4,"Too many primary keywords",IF(I318+J318&gt;0,"Check flags","OK"))))</f>
        <v/>
      </c>
    </row>
    <row r="319">
      <c r="A319">
        <f>ROW()-2</f>
        <v/>
      </c>
      <c r="B319">
        <f>IFERROR(INDEX('Keyword Map'!$G$3:$G$1002,MATCH(A319,'Keyword Map'!$AA$3:$AA$1002,0)),"")</f>
        <v/>
      </c>
      <c r="C319">
        <f>IF(B319="","",INDEX('Keyword Map'!$I$3:$I$1002,MATCH(A319,'Keyword Map'!$AA$3:$AA$1002,0))&amp;"")</f>
        <v/>
      </c>
      <c r="D319">
        <f>IF(B319="","",INDEX('Keyword Map'!$H$3:$H$1002,MATCH(A319,'Keyword Map'!$AA$3:$AA$1002,0))&amp;"")</f>
        <v/>
      </c>
      <c r="E319">
        <f>IF(B319="","",COUNTIF('Keyword Map'!$G$3:$G$1002,SUBSTITUTE(SUBSTITUTE(B319,"?","~?"),"*","~*")))</f>
        <v/>
      </c>
      <c r="F319">
        <f>IF(B319="","",COUNTIFS('Keyword Map'!$G$3:$G$1002,SUBSTITUTE(SUBSTITUTE(B319,"?","~?"),"*","~*"),'Keyword Map'!$J$3:$J$1002,"Primary"))</f>
        <v/>
      </c>
      <c r="G319">
        <f>IF(B319="","",SUMIFS('Keyword Map'!$C$3:$C$1002,'Keyword Map'!$G$3:$G$1002,SUBSTITUTE(SUBSTITUTE(B319,"?","~?"),"*","~*")))</f>
        <v/>
      </c>
      <c r="H319">
        <f>IF(B319="","",IFERROR(ROUND(AVERAGEIFS('Keyword Map'!$P$3:$P$1002,'Keyword Map'!$G$3:$G$1002,SUBSTITUTE(SUBSTITUTE(B319,"?","~?"),"*","~*")),0),""))</f>
        <v/>
      </c>
      <c r="I319">
        <f>IF(B319="","",COUNTIFS('Keyword Map'!$G$3:$G$1002,SUBSTITUTE(SUBSTITUTE(B319,"?","~?"),"*","~*"),'Keyword Map'!$R$3:$R$1002,"Yes"))</f>
        <v/>
      </c>
      <c r="J319">
        <f>IF(B319="","",COUNTIFS('Keyword Map'!$G$3:$G$1002,SUBSTITUTE(SUBSTITUTE(B319,"?","~?"),"*","~*"),'Keyword Map'!$W$3:$W$1002,"Yes"))</f>
        <v/>
      </c>
      <c r="K319">
        <f>IF(B319="","",IF(F319=0,"No primary keyword",IF(F319&gt;Settings!$B$4,"Too many primary keywords",IF(I319+J319&gt;0,"Check flags","OK"))))</f>
        <v/>
      </c>
    </row>
    <row r="320">
      <c r="A320">
        <f>ROW()-2</f>
        <v/>
      </c>
      <c r="B320">
        <f>IFERROR(INDEX('Keyword Map'!$G$3:$G$1002,MATCH(A320,'Keyword Map'!$AA$3:$AA$1002,0)),"")</f>
        <v/>
      </c>
      <c r="C320">
        <f>IF(B320="","",INDEX('Keyword Map'!$I$3:$I$1002,MATCH(A320,'Keyword Map'!$AA$3:$AA$1002,0))&amp;"")</f>
        <v/>
      </c>
      <c r="D320">
        <f>IF(B320="","",INDEX('Keyword Map'!$H$3:$H$1002,MATCH(A320,'Keyword Map'!$AA$3:$AA$1002,0))&amp;"")</f>
        <v/>
      </c>
      <c r="E320">
        <f>IF(B320="","",COUNTIF('Keyword Map'!$G$3:$G$1002,SUBSTITUTE(SUBSTITUTE(B320,"?","~?"),"*","~*")))</f>
        <v/>
      </c>
      <c r="F320">
        <f>IF(B320="","",COUNTIFS('Keyword Map'!$G$3:$G$1002,SUBSTITUTE(SUBSTITUTE(B320,"?","~?"),"*","~*"),'Keyword Map'!$J$3:$J$1002,"Primary"))</f>
        <v/>
      </c>
      <c r="G320">
        <f>IF(B320="","",SUMIFS('Keyword Map'!$C$3:$C$1002,'Keyword Map'!$G$3:$G$1002,SUBSTITUTE(SUBSTITUTE(B320,"?","~?"),"*","~*")))</f>
        <v/>
      </c>
      <c r="H320">
        <f>IF(B320="","",IFERROR(ROUND(AVERAGEIFS('Keyword Map'!$P$3:$P$1002,'Keyword Map'!$G$3:$G$1002,SUBSTITUTE(SUBSTITUTE(B320,"?","~?"),"*","~*")),0),""))</f>
        <v/>
      </c>
      <c r="I320">
        <f>IF(B320="","",COUNTIFS('Keyword Map'!$G$3:$G$1002,SUBSTITUTE(SUBSTITUTE(B320,"?","~?"),"*","~*"),'Keyword Map'!$R$3:$R$1002,"Yes"))</f>
        <v/>
      </c>
      <c r="J320">
        <f>IF(B320="","",COUNTIFS('Keyword Map'!$G$3:$G$1002,SUBSTITUTE(SUBSTITUTE(B320,"?","~?"),"*","~*"),'Keyword Map'!$W$3:$W$1002,"Yes"))</f>
        <v/>
      </c>
      <c r="K320">
        <f>IF(B320="","",IF(F320=0,"No primary keyword",IF(F320&gt;Settings!$B$4,"Too many primary keywords",IF(I320+J320&gt;0,"Check flags","OK"))))</f>
        <v/>
      </c>
    </row>
    <row r="321">
      <c r="A321">
        <f>ROW()-2</f>
        <v/>
      </c>
      <c r="B321">
        <f>IFERROR(INDEX('Keyword Map'!$G$3:$G$1002,MATCH(A321,'Keyword Map'!$AA$3:$AA$1002,0)),"")</f>
        <v/>
      </c>
      <c r="C321">
        <f>IF(B321="","",INDEX('Keyword Map'!$I$3:$I$1002,MATCH(A321,'Keyword Map'!$AA$3:$AA$1002,0))&amp;"")</f>
        <v/>
      </c>
      <c r="D321">
        <f>IF(B321="","",INDEX('Keyword Map'!$H$3:$H$1002,MATCH(A321,'Keyword Map'!$AA$3:$AA$1002,0))&amp;"")</f>
        <v/>
      </c>
      <c r="E321">
        <f>IF(B321="","",COUNTIF('Keyword Map'!$G$3:$G$1002,SUBSTITUTE(SUBSTITUTE(B321,"?","~?"),"*","~*")))</f>
        <v/>
      </c>
      <c r="F321">
        <f>IF(B321="","",COUNTIFS('Keyword Map'!$G$3:$G$1002,SUBSTITUTE(SUBSTITUTE(B321,"?","~?"),"*","~*"),'Keyword Map'!$J$3:$J$1002,"Primary"))</f>
        <v/>
      </c>
      <c r="G321">
        <f>IF(B321="","",SUMIFS('Keyword Map'!$C$3:$C$1002,'Keyword Map'!$G$3:$G$1002,SUBSTITUTE(SUBSTITUTE(B321,"?","~?"),"*","~*")))</f>
        <v/>
      </c>
      <c r="H321">
        <f>IF(B321="","",IFERROR(ROUND(AVERAGEIFS('Keyword Map'!$P$3:$P$1002,'Keyword Map'!$G$3:$G$1002,SUBSTITUTE(SUBSTITUTE(B321,"?","~?"),"*","~*")),0),""))</f>
        <v/>
      </c>
      <c r="I321">
        <f>IF(B321="","",COUNTIFS('Keyword Map'!$G$3:$G$1002,SUBSTITUTE(SUBSTITUTE(B321,"?","~?"),"*","~*"),'Keyword Map'!$R$3:$R$1002,"Yes"))</f>
        <v/>
      </c>
      <c r="J321">
        <f>IF(B321="","",COUNTIFS('Keyword Map'!$G$3:$G$1002,SUBSTITUTE(SUBSTITUTE(B321,"?","~?"),"*","~*"),'Keyword Map'!$W$3:$W$1002,"Yes"))</f>
        <v/>
      </c>
      <c r="K321">
        <f>IF(B321="","",IF(F321=0,"No primary keyword",IF(F321&gt;Settings!$B$4,"Too many primary keywords",IF(I321+J321&gt;0,"Check flags","OK"))))</f>
        <v/>
      </c>
    </row>
    <row r="322">
      <c r="A322">
        <f>ROW()-2</f>
        <v/>
      </c>
      <c r="B322">
        <f>IFERROR(INDEX('Keyword Map'!$G$3:$G$1002,MATCH(A322,'Keyword Map'!$AA$3:$AA$1002,0)),"")</f>
        <v/>
      </c>
      <c r="C322">
        <f>IF(B322="","",INDEX('Keyword Map'!$I$3:$I$1002,MATCH(A322,'Keyword Map'!$AA$3:$AA$1002,0))&amp;"")</f>
        <v/>
      </c>
      <c r="D322">
        <f>IF(B322="","",INDEX('Keyword Map'!$H$3:$H$1002,MATCH(A322,'Keyword Map'!$AA$3:$AA$1002,0))&amp;"")</f>
        <v/>
      </c>
      <c r="E322">
        <f>IF(B322="","",COUNTIF('Keyword Map'!$G$3:$G$1002,SUBSTITUTE(SUBSTITUTE(B322,"?","~?"),"*","~*")))</f>
        <v/>
      </c>
      <c r="F322">
        <f>IF(B322="","",COUNTIFS('Keyword Map'!$G$3:$G$1002,SUBSTITUTE(SUBSTITUTE(B322,"?","~?"),"*","~*"),'Keyword Map'!$J$3:$J$1002,"Primary"))</f>
        <v/>
      </c>
      <c r="G322">
        <f>IF(B322="","",SUMIFS('Keyword Map'!$C$3:$C$1002,'Keyword Map'!$G$3:$G$1002,SUBSTITUTE(SUBSTITUTE(B322,"?","~?"),"*","~*")))</f>
        <v/>
      </c>
      <c r="H322">
        <f>IF(B322="","",IFERROR(ROUND(AVERAGEIFS('Keyword Map'!$P$3:$P$1002,'Keyword Map'!$G$3:$G$1002,SUBSTITUTE(SUBSTITUTE(B322,"?","~?"),"*","~*")),0),""))</f>
        <v/>
      </c>
      <c r="I322">
        <f>IF(B322="","",COUNTIFS('Keyword Map'!$G$3:$G$1002,SUBSTITUTE(SUBSTITUTE(B322,"?","~?"),"*","~*"),'Keyword Map'!$R$3:$R$1002,"Yes"))</f>
        <v/>
      </c>
      <c r="J322">
        <f>IF(B322="","",COUNTIFS('Keyword Map'!$G$3:$G$1002,SUBSTITUTE(SUBSTITUTE(B322,"?","~?"),"*","~*"),'Keyword Map'!$W$3:$W$1002,"Yes"))</f>
        <v/>
      </c>
      <c r="K322">
        <f>IF(B322="","",IF(F322=0,"No primary keyword",IF(F322&gt;Settings!$B$4,"Too many primary keywords",IF(I322+J322&gt;0,"Check flags","OK"))))</f>
        <v/>
      </c>
    </row>
    <row r="323">
      <c r="A323">
        <f>ROW()-2</f>
        <v/>
      </c>
      <c r="B323">
        <f>IFERROR(INDEX('Keyword Map'!$G$3:$G$1002,MATCH(A323,'Keyword Map'!$AA$3:$AA$1002,0)),"")</f>
        <v/>
      </c>
      <c r="C323">
        <f>IF(B323="","",INDEX('Keyword Map'!$I$3:$I$1002,MATCH(A323,'Keyword Map'!$AA$3:$AA$1002,0))&amp;"")</f>
        <v/>
      </c>
      <c r="D323">
        <f>IF(B323="","",INDEX('Keyword Map'!$H$3:$H$1002,MATCH(A323,'Keyword Map'!$AA$3:$AA$1002,0))&amp;"")</f>
        <v/>
      </c>
      <c r="E323">
        <f>IF(B323="","",COUNTIF('Keyword Map'!$G$3:$G$1002,SUBSTITUTE(SUBSTITUTE(B323,"?","~?"),"*","~*")))</f>
        <v/>
      </c>
      <c r="F323">
        <f>IF(B323="","",COUNTIFS('Keyword Map'!$G$3:$G$1002,SUBSTITUTE(SUBSTITUTE(B323,"?","~?"),"*","~*"),'Keyword Map'!$J$3:$J$1002,"Primary"))</f>
        <v/>
      </c>
      <c r="G323">
        <f>IF(B323="","",SUMIFS('Keyword Map'!$C$3:$C$1002,'Keyword Map'!$G$3:$G$1002,SUBSTITUTE(SUBSTITUTE(B323,"?","~?"),"*","~*")))</f>
        <v/>
      </c>
      <c r="H323">
        <f>IF(B323="","",IFERROR(ROUND(AVERAGEIFS('Keyword Map'!$P$3:$P$1002,'Keyword Map'!$G$3:$G$1002,SUBSTITUTE(SUBSTITUTE(B323,"?","~?"),"*","~*")),0),""))</f>
        <v/>
      </c>
      <c r="I323">
        <f>IF(B323="","",COUNTIFS('Keyword Map'!$G$3:$G$1002,SUBSTITUTE(SUBSTITUTE(B323,"?","~?"),"*","~*"),'Keyword Map'!$R$3:$R$1002,"Yes"))</f>
        <v/>
      </c>
      <c r="J323">
        <f>IF(B323="","",COUNTIFS('Keyword Map'!$G$3:$G$1002,SUBSTITUTE(SUBSTITUTE(B323,"?","~?"),"*","~*"),'Keyword Map'!$W$3:$W$1002,"Yes"))</f>
        <v/>
      </c>
      <c r="K323">
        <f>IF(B323="","",IF(F323=0,"No primary keyword",IF(F323&gt;Settings!$B$4,"Too many primary keywords",IF(I323+J323&gt;0,"Check flags","OK"))))</f>
        <v/>
      </c>
    </row>
    <row r="324">
      <c r="A324">
        <f>ROW()-2</f>
        <v/>
      </c>
      <c r="B324">
        <f>IFERROR(INDEX('Keyword Map'!$G$3:$G$1002,MATCH(A324,'Keyword Map'!$AA$3:$AA$1002,0)),"")</f>
        <v/>
      </c>
      <c r="C324">
        <f>IF(B324="","",INDEX('Keyword Map'!$I$3:$I$1002,MATCH(A324,'Keyword Map'!$AA$3:$AA$1002,0))&amp;"")</f>
        <v/>
      </c>
      <c r="D324">
        <f>IF(B324="","",INDEX('Keyword Map'!$H$3:$H$1002,MATCH(A324,'Keyword Map'!$AA$3:$AA$1002,0))&amp;"")</f>
        <v/>
      </c>
      <c r="E324">
        <f>IF(B324="","",COUNTIF('Keyword Map'!$G$3:$G$1002,SUBSTITUTE(SUBSTITUTE(B324,"?","~?"),"*","~*")))</f>
        <v/>
      </c>
      <c r="F324">
        <f>IF(B324="","",COUNTIFS('Keyword Map'!$G$3:$G$1002,SUBSTITUTE(SUBSTITUTE(B324,"?","~?"),"*","~*"),'Keyword Map'!$J$3:$J$1002,"Primary"))</f>
        <v/>
      </c>
      <c r="G324">
        <f>IF(B324="","",SUMIFS('Keyword Map'!$C$3:$C$1002,'Keyword Map'!$G$3:$G$1002,SUBSTITUTE(SUBSTITUTE(B324,"?","~?"),"*","~*")))</f>
        <v/>
      </c>
      <c r="H324">
        <f>IF(B324="","",IFERROR(ROUND(AVERAGEIFS('Keyword Map'!$P$3:$P$1002,'Keyword Map'!$G$3:$G$1002,SUBSTITUTE(SUBSTITUTE(B324,"?","~?"),"*","~*")),0),""))</f>
        <v/>
      </c>
      <c r="I324">
        <f>IF(B324="","",COUNTIFS('Keyword Map'!$G$3:$G$1002,SUBSTITUTE(SUBSTITUTE(B324,"?","~?"),"*","~*"),'Keyword Map'!$R$3:$R$1002,"Yes"))</f>
        <v/>
      </c>
      <c r="J324">
        <f>IF(B324="","",COUNTIFS('Keyword Map'!$G$3:$G$1002,SUBSTITUTE(SUBSTITUTE(B324,"?","~?"),"*","~*"),'Keyword Map'!$W$3:$W$1002,"Yes"))</f>
        <v/>
      </c>
      <c r="K324">
        <f>IF(B324="","",IF(F324=0,"No primary keyword",IF(F324&gt;Settings!$B$4,"Too many primary keywords",IF(I324+J324&gt;0,"Check flags","OK"))))</f>
        <v/>
      </c>
    </row>
    <row r="325">
      <c r="A325">
        <f>ROW()-2</f>
        <v/>
      </c>
      <c r="B325">
        <f>IFERROR(INDEX('Keyword Map'!$G$3:$G$1002,MATCH(A325,'Keyword Map'!$AA$3:$AA$1002,0)),"")</f>
        <v/>
      </c>
      <c r="C325">
        <f>IF(B325="","",INDEX('Keyword Map'!$I$3:$I$1002,MATCH(A325,'Keyword Map'!$AA$3:$AA$1002,0))&amp;"")</f>
        <v/>
      </c>
      <c r="D325">
        <f>IF(B325="","",INDEX('Keyword Map'!$H$3:$H$1002,MATCH(A325,'Keyword Map'!$AA$3:$AA$1002,0))&amp;"")</f>
        <v/>
      </c>
      <c r="E325">
        <f>IF(B325="","",COUNTIF('Keyword Map'!$G$3:$G$1002,SUBSTITUTE(SUBSTITUTE(B325,"?","~?"),"*","~*")))</f>
        <v/>
      </c>
      <c r="F325">
        <f>IF(B325="","",COUNTIFS('Keyword Map'!$G$3:$G$1002,SUBSTITUTE(SUBSTITUTE(B325,"?","~?"),"*","~*"),'Keyword Map'!$J$3:$J$1002,"Primary"))</f>
        <v/>
      </c>
      <c r="G325">
        <f>IF(B325="","",SUMIFS('Keyword Map'!$C$3:$C$1002,'Keyword Map'!$G$3:$G$1002,SUBSTITUTE(SUBSTITUTE(B325,"?","~?"),"*","~*")))</f>
        <v/>
      </c>
      <c r="H325">
        <f>IF(B325="","",IFERROR(ROUND(AVERAGEIFS('Keyword Map'!$P$3:$P$1002,'Keyword Map'!$G$3:$G$1002,SUBSTITUTE(SUBSTITUTE(B325,"?","~?"),"*","~*")),0),""))</f>
        <v/>
      </c>
      <c r="I325">
        <f>IF(B325="","",COUNTIFS('Keyword Map'!$G$3:$G$1002,SUBSTITUTE(SUBSTITUTE(B325,"?","~?"),"*","~*"),'Keyword Map'!$R$3:$R$1002,"Yes"))</f>
        <v/>
      </c>
      <c r="J325">
        <f>IF(B325="","",COUNTIFS('Keyword Map'!$G$3:$G$1002,SUBSTITUTE(SUBSTITUTE(B325,"?","~?"),"*","~*"),'Keyword Map'!$W$3:$W$1002,"Yes"))</f>
        <v/>
      </c>
      <c r="K325">
        <f>IF(B325="","",IF(F325=0,"No primary keyword",IF(F325&gt;Settings!$B$4,"Too many primary keywords",IF(I325+J325&gt;0,"Check flags","OK"))))</f>
        <v/>
      </c>
    </row>
    <row r="326">
      <c r="A326">
        <f>ROW()-2</f>
        <v/>
      </c>
      <c r="B326">
        <f>IFERROR(INDEX('Keyword Map'!$G$3:$G$1002,MATCH(A326,'Keyword Map'!$AA$3:$AA$1002,0)),"")</f>
        <v/>
      </c>
      <c r="C326">
        <f>IF(B326="","",INDEX('Keyword Map'!$I$3:$I$1002,MATCH(A326,'Keyword Map'!$AA$3:$AA$1002,0))&amp;"")</f>
        <v/>
      </c>
      <c r="D326">
        <f>IF(B326="","",INDEX('Keyword Map'!$H$3:$H$1002,MATCH(A326,'Keyword Map'!$AA$3:$AA$1002,0))&amp;"")</f>
        <v/>
      </c>
      <c r="E326">
        <f>IF(B326="","",COUNTIF('Keyword Map'!$G$3:$G$1002,SUBSTITUTE(SUBSTITUTE(B326,"?","~?"),"*","~*")))</f>
        <v/>
      </c>
      <c r="F326">
        <f>IF(B326="","",COUNTIFS('Keyword Map'!$G$3:$G$1002,SUBSTITUTE(SUBSTITUTE(B326,"?","~?"),"*","~*"),'Keyword Map'!$J$3:$J$1002,"Primary"))</f>
        <v/>
      </c>
      <c r="G326">
        <f>IF(B326="","",SUMIFS('Keyword Map'!$C$3:$C$1002,'Keyword Map'!$G$3:$G$1002,SUBSTITUTE(SUBSTITUTE(B326,"?","~?"),"*","~*")))</f>
        <v/>
      </c>
      <c r="H326">
        <f>IF(B326="","",IFERROR(ROUND(AVERAGEIFS('Keyword Map'!$P$3:$P$1002,'Keyword Map'!$G$3:$G$1002,SUBSTITUTE(SUBSTITUTE(B326,"?","~?"),"*","~*")),0),""))</f>
        <v/>
      </c>
      <c r="I326">
        <f>IF(B326="","",COUNTIFS('Keyword Map'!$G$3:$G$1002,SUBSTITUTE(SUBSTITUTE(B326,"?","~?"),"*","~*"),'Keyword Map'!$R$3:$R$1002,"Yes"))</f>
        <v/>
      </c>
      <c r="J326">
        <f>IF(B326="","",COUNTIFS('Keyword Map'!$G$3:$G$1002,SUBSTITUTE(SUBSTITUTE(B326,"?","~?"),"*","~*"),'Keyword Map'!$W$3:$W$1002,"Yes"))</f>
        <v/>
      </c>
      <c r="K326">
        <f>IF(B326="","",IF(F326=0,"No primary keyword",IF(F326&gt;Settings!$B$4,"Too many primary keywords",IF(I326+J326&gt;0,"Check flags","OK"))))</f>
        <v/>
      </c>
    </row>
    <row r="327">
      <c r="A327">
        <f>ROW()-2</f>
        <v/>
      </c>
      <c r="B327">
        <f>IFERROR(INDEX('Keyword Map'!$G$3:$G$1002,MATCH(A327,'Keyword Map'!$AA$3:$AA$1002,0)),"")</f>
        <v/>
      </c>
      <c r="C327">
        <f>IF(B327="","",INDEX('Keyword Map'!$I$3:$I$1002,MATCH(A327,'Keyword Map'!$AA$3:$AA$1002,0))&amp;"")</f>
        <v/>
      </c>
      <c r="D327">
        <f>IF(B327="","",INDEX('Keyword Map'!$H$3:$H$1002,MATCH(A327,'Keyword Map'!$AA$3:$AA$1002,0))&amp;"")</f>
        <v/>
      </c>
      <c r="E327">
        <f>IF(B327="","",COUNTIF('Keyword Map'!$G$3:$G$1002,SUBSTITUTE(SUBSTITUTE(B327,"?","~?"),"*","~*")))</f>
        <v/>
      </c>
      <c r="F327">
        <f>IF(B327="","",COUNTIFS('Keyword Map'!$G$3:$G$1002,SUBSTITUTE(SUBSTITUTE(B327,"?","~?"),"*","~*"),'Keyword Map'!$J$3:$J$1002,"Primary"))</f>
        <v/>
      </c>
      <c r="G327">
        <f>IF(B327="","",SUMIFS('Keyword Map'!$C$3:$C$1002,'Keyword Map'!$G$3:$G$1002,SUBSTITUTE(SUBSTITUTE(B327,"?","~?"),"*","~*")))</f>
        <v/>
      </c>
      <c r="H327">
        <f>IF(B327="","",IFERROR(ROUND(AVERAGEIFS('Keyword Map'!$P$3:$P$1002,'Keyword Map'!$G$3:$G$1002,SUBSTITUTE(SUBSTITUTE(B327,"?","~?"),"*","~*")),0),""))</f>
        <v/>
      </c>
      <c r="I327">
        <f>IF(B327="","",COUNTIFS('Keyword Map'!$G$3:$G$1002,SUBSTITUTE(SUBSTITUTE(B327,"?","~?"),"*","~*"),'Keyword Map'!$R$3:$R$1002,"Yes"))</f>
        <v/>
      </c>
      <c r="J327">
        <f>IF(B327="","",COUNTIFS('Keyword Map'!$G$3:$G$1002,SUBSTITUTE(SUBSTITUTE(B327,"?","~?"),"*","~*"),'Keyword Map'!$W$3:$W$1002,"Yes"))</f>
        <v/>
      </c>
      <c r="K327">
        <f>IF(B327="","",IF(F327=0,"No primary keyword",IF(F327&gt;Settings!$B$4,"Too many primary keywords",IF(I327+J327&gt;0,"Check flags","OK"))))</f>
        <v/>
      </c>
    </row>
    <row r="328">
      <c r="A328">
        <f>ROW()-2</f>
        <v/>
      </c>
      <c r="B328">
        <f>IFERROR(INDEX('Keyword Map'!$G$3:$G$1002,MATCH(A328,'Keyword Map'!$AA$3:$AA$1002,0)),"")</f>
        <v/>
      </c>
      <c r="C328">
        <f>IF(B328="","",INDEX('Keyword Map'!$I$3:$I$1002,MATCH(A328,'Keyword Map'!$AA$3:$AA$1002,0))&amp;"")</f>
        <v/>
      </c>
      <c r="D328">
        <f>IF(B328="","",INDEX('Keyword Map'!$H$3:$H$1002,MATCH(A328,'Keyword Map'!$AA$3:$AA$1002,0))&amp;"")</f>
        <v/>
      </c>
      <c r="E328">
        <f>IF(B328="","",COUNTIF('Keyword Map'!$G$3:$G$1002,SUBSTITUTE(SUBSTITUTE(B328,"?","~?"),"*","~*")))</f>
        <v/>
      </c>
      <c r="F328">
        <f>IF(B328="","",COUNTIFS('Keyword Map'!$G$3:$G$1002,SUBSTITUTE(SUBSTITUTE(B328,"?","~?"),"*","~*"),'Keyword Map'!$J$3:$J$1002,"Primary"))</f>
        <v/>
      </c>
      <c r="G328">
        <f>IF(B328="","",SUMIFS('Keyword Map'!$C$3:$C$1002,'Keyword Map'!$G$3:$G$1002,SUBSTITUTE(SUBSTITUTE(B328,"?","~?"),"*","~*")))</f>
        <v/>
      </c>
      <c r="H328">
        <f>IF(B328="","",IFERROR(ROUND(AVERAGEIFS('Keyword Map'!$P$3:$P$1002,'Keyword Map'!$G$3:$G$1002,SUBSTITUTE(SUBSTITUTE(B328,"?","~?"),"*","~*")),0),""))</f>
        <v/>
      </c>
      <c r="I328">
        <f>IF(B328="","",COUNTIFS('Keyword Map'!$G$3:$G$1002,SUBSTITUTE(SUBSTITUTE(B328,"?","~?"),"*","~*"),'Keyword Map'!$R$3:$R$1002,"Yes"))</f>
        <v/>
      </c>
      <c r="J328">
        <f>IF(B328="","",COUNTIFS('Keyword Map'!$G$3:$G$1002,SUBSTITUTE(SUBSTITUTE(B328,"?","~?"),"*","~*"),'Keyword Map'!$W$3:$W$1002,"Yes"))</f>
        <v/>
      </c>
      <c r="K328">
        <f>IF(B328="","",IF(F328=0,"No primary keyword",IF(F328&gt;Settings!$B$4,"Too many primary keywords",IF(I328+J328&gt;0,"Check flags","OK"))))</f>
        <v/>
      </c>
    </row>
    <row r="329">
      <c r="A329">
        <f>ROW()-2</f>
        <v/>
      </c>
      <c r="B329">
        <f>IFERROR(INDEX('Keyword Map'!$G$3:$G$1002,MATCH(A329,'Keyword Map'!$AA$3:$AA$1002,0)),"")</f>
        <v/>
      </c>
      <c r="C329">
        <f>IF(B329="","",INDEX('Keyword Map'!$I$3:$I$1002,MATCH(A329,'Keyword Map'!$AA$3:$AA$1002,0))&amp;"")</f>
        <v/>
      </c>
      <c r="D329">
        <f>IF(B329="","",INDEX('Keyword Map'!$H$3:$H$1002,MATCH(A329,'Keyword Map'!$AA$3:$AA$1002,0))&amp;"")</f>
        <v/>
      </c>
      <c r="E329">
        <f>IF(B329="","",COUNTIF('Keyword Map'!$G$3:$G$1002,SUBSTITUTE(SUBSTITUTE(B329,"?","~?"),"*","~*")))</f>
        <v/>
      </c>
      <c r="F329">
        <f>IF(B329="","",COUNTIFS('Keyword Map'!$G$3:$G$1002,SUBSTITUTE(SUBSTITUTE(B329,"?","~?"),"*","~*"),'Keyword Map'!$J$3:$J$1002,"Primary"))</f>
        <v/>
      </c>
      <c r="G329">
        <f>IF(B329="","",SUMIFS('Keyword Map'!$C$3:$C$1002,'Keyword Map'!$G$3:$G$1002,SUBSTITUTE(SUBSTITUTE(B329,"?","~?"),"*","~*")))</f>
        <v/>
      </c>
      <c r="H329">
        <f>IF(B329="","",IFERROR(ROUND(AVERAGEIFS('Keyword Map'!$P$3:$P$1002,'Keyword Map'!$G$3:$G$1002,SUBSTITUTE(SUBSTITUTE(B329,"?","~?"),"*","~*")),0),""))</f>
        <v/>
      </c>
      <c r="I329">
        <f>IF(B329="","",COUNTIFS('Keyword Map'!$G$3:$G$1002,SUBSTITUTE(SUBSTITUTE(B329,"?","~?"),"*","~*"),'Keyword Map'!$R$3:$R$1002,"Yes"))</f>
        <v/>
      </c>
      <c r="J329">
        <f>IF(B329="","",COUNTIFS('Keyword Map'!$G$3:$G$1002,SUBSTITUTE(SUBSTITUTE(B329,"?","~?"),"*","~*"),'Keyword Map'!$W$3:$W$1002,"Yes"))</f>
        <v/>
      </c>
      <c r="K329">
        <f>IF(B329="","",IF(F329=0,"No primary keyword",IF(F329&gt;Settings!$B$4,"Too many primary keywords",IF(I329+J329&gt;0,"Check flags","OK"))))</f>
        <v/>
      </c>
    </row>
    <row r="330">
      <c r="A330">
        <f>ROW()-2</f>
        <v/>
      </c>
      <c r="B330">
        <f>IFERROR(INDEX('Keyword Map'!$G$3:$G$1002,MATCH(A330,'Keyword Map'!$AA$3:$AA$1002,0)),"")</f>
        <v/>
      </c>
      <c r="C330">
        <f>IF(B330="","",INDEX('Keyword Map'!$I$3:$I$1002,MATCH(A330,'Keyword Map'!$AA$3:$AA$1002,0))&amp;"")</f>
        <v/>
      </c>
      <c r="D330">
        <f>IF(B330="","",INDEX('Keyword Map'!$H$3:$H$1002,MATCH(A330,'Keyword Map'!$AA$3:$AA$1002,0))&amp;"")</f>
        <v/>
      </c>
      <c r="E330">
        <f>IF(B330="","",COUNTIF('Keyword Map'!$G$3:$G$1002,SUBSTITUTE(SUBSTITUTE(B330,"?","~?"),"*","~*")))</f>
        <v/>
      </c>
      <c r="F330">
        <f>IF(B330="","",COUNTIFS('Keyword Map'!$G$3:$G$1002,SUBSTITUTE(SUBSTITUTE(B330,"?","~?"),"*","~*"),'Keyword Map'!$J$3:$J$1002,"Primary"))</f>
        <v/>
      </c>
      <c r="G330">
        <f>IF(B330="","",SUMIFS('Keyword Map'!$C$3:$C$1002,'Keyword Map'!$G$3:$G$1002,SUBSTITUTE(SUBSTITUTE(B330,"?","~?"),"*","~*")))</f>
        <v/>
      </c>
      <c r="H330">
        <f>IF(B330="","",IFERROR(ROUND(AVERAGEIFS('Keyword Map'!$P$3:$P$1002,'Keyword Map'!$G$3:$G$1002,SUBSTITUTE(SUBSTITUTE(B330,"?","~?"),"*","~*")),0),""))</f>
        <v/>
      </c>
      <c r="I330">
        <f>IF(B330="","",COUNTIFS('Keyword Map'!$G$3:$G$1002,SUBSTITUTE(SUBSTITUTE(B330,"?","~?"),"*","~*"),'Keyword Map'!$R$3:$R$1002,"Yes"))</f>
        <v/>
      </c>
      <c r="J330">
        <f>IF(B330="","",COUNTIFS('Keyword Map'!$G$3:$G$1002,SUBSTITUTE(SUBSTITUTE(B330,"?","~?"),"*","~*"),'Keyword Map'!$W$3:$W$1002,"Yes"))</f>
        <v/>
      </c>
      <c r="K330">
        <f>IF(B330="","",IF(F330=0,"No primary keyword",IF(F330&gt;Settings!$B$4,"Too many primary keywords",IF(I330+J330&gt;0,"Check flags","OK"))))</f>
        <v/>
      </c>
    </row>
    <row r="331">
      <c r="A331">
        <f>ROW()-2</f>
        <v/>
      </c>
      <c r="B331">
        <f>IFERROR(INDEX('Keyword Map'!$G$3:$G$1002,MATCH(A331,'Keyword Map'!$AA$3:$AA$1002,0)),"")</f>
        <v/>
      </c>
      <c r="C331">
        <f>IF(B331="","",INDEX('Keyword Map'!$I$3:$I$1002,MATCH(A331,'Keyword Map'!$AA$3:$AA$1002,0))&amp;"")</f>
        <v/>
      </c>
      <c r="D331">
        <f>IF(B331="","",INDEX('Keyword Map'!$H$3:$H$1002,MATCH(A331,'Keyword Map'!$AA$3:$AA$1002,0))&amp;"")</f>
        <v/>
      </c>
      <c r="E331">
        <f>IF(B331="","",COUNTIF('Keyword Map'!$G$3:$G$1002,SUBSTITUTE(SUBSTITUTE(B331,"?","~?"),"*","~*")))</f>
        <v/>
      </c>
      <c r="F331">
        <f>IF(B331="","",COUNTIFS('Keyword Map'!$G$3:$G$1002,SUBSTITUTE(SUBSTITUTE(B331,"?","~?"),"*","~*"),'Keyword Map'!$J$3:$J$1002,"Primary"))</f>
        <v/>
      </c>
      <c r="G331">
        <f>IF(B331="","",SUMIFS('Keyword Map'!$C$3:$C$1002,'Keyword Map'!$G$3:$G$1002,SUBSTITUTE(SUBSTITUTE(B331,"?","~?"),"*","~*")))</f>
        <v/>
      </c>
      <c r="H331">
        <f>IF(B331="","",IFERROR(ROUND(AVERAGEIFS('Keyword Map'!$P$3:$P$1002,'Keyword Map'!$G$3:$G$1002,SUBSTITUTE(SUBSTITUTE(B331,"?","~?"),"*","~*")),0),""))</f>
        <v/>
      </c>
      <c r="I331">
        <f>IF(B331="","",COUNTIFS('Keyword Map'!$G$3:$G$1002,SUBSTITUTE(SUBSTITUTE(B331,"?","~?"),"*","~*"),'Keyword Map'!$R$3:$R$1002,"Yes"))</f>
        <v/>
      </c>
      <c r="J331">
        <f>IF(B331="","",COUNTIFS('Keyword Map'!$G$3:$G$1002,SUBSTITUTE(SUBSTITUTE(B331,"?","~?"),"*","~*"),'Keyword Map'!$W$3:$W$1002,"Yes"))</f>
        <v/>
      </c>
      <c r="K331">
        <f>IF(B331="","",IF(F331=0,"No primary keyword",IF(F331&gt;Settings!$B$4,"Too many primary keywords",IF(I331+J331&gt;0,"Check flags","OK"))))</f>
        <v/>
      </c>
    </row>
    <row r="332">
      <c r="A332">
        <f>ROW()-2</f>
        <v/>
      </c>
      <c r="B332">
        <f>IFERROR(INDEX('Keyword Map'!$G$3:$G$1002,MATCH(A332,'Keyword Map'!$AA$3:$AA$1002,0)),"")</f>
        <v/>
      </c>
      <c r="C332">
        <f>IF(B332="","",INDEX('Keyword Map'!$I$3:$I$1002,MATCH(A332,'Keyword Map'!$AA$3:$AA$1002,0))&amp;"")</f>
        <v/>
      </c>
      <c r="D332">
        <f>IF(B332="","",INDEX('Keyword Map'!$H$3:$H$1002,MATCH(A332,'Keyword Map'!$AA$3:$AA$1002,0))&amp;"")</f>
        <v/>
      </c>
      <c r="E332">
        <f>IF(B332="","",COUNTIF('Keyword Map'!$G$3:$G$1002,SUBSTITUTE(SUBSTITUTE(B332,"?","~?"),"*","~*")))</f>
        <v/>
      </c>
      <c r="F332">
        <f>IF(B332="","",COUNTIFS('Keyword Map'!$G$3:$G$1002,SUBSTITUTE(SUBSTITUTE(B332,"?","~?"),"*","~*"),'Keyword Map'!$J$3:$J$1002,"Primary"))</f>
        <v/>
      </c>
      <c r="G332">
        <f>IF(B332="","",SUMIFS('Keyword Map'!$C$3:$C$1002,'Keyword Map'!$G$3:$G$1002,SUBSTITUTE(SUBSTITUTE(B332,"?","~?"),"*","~*")))</f>
        <v/>
      </c>
      <c r="H332">
        <f>IF(B332="","",IFERROR(ROUND(AVERAGEIFS('Keyword Map'!$P$3:$P$1002,'Keyword Map'!$G$3:$G$1002,SUBSTITUTE(SUBSTITUTE(B332,"?","~?"),"*","~*")),0),""))</f>
        <v/>
      </c>
      <c r="I332">
        <f>IF(B332="","",COUNTIFS('Keyword Map'!$G$3:$G$1002,SUBSTITUTE(SUBSTITUTE(B332,"?","~?"),"*","~*"),'Keyword Map'!$R$3:$R$1002,"Yes"))</f>
        <v/>
      </c>
      <c r="J332">
        <f>IF(B332="","",COUNTIFS('Keyword Map'!$G$3:$G$1002,SUBSTITUTE(SUBSTITUTE(B332,"?","~?"),"*","~*"),'Keyword Map'!$W$3:$W$1002,"Yes"))</f>
        <v/>
      </c>
      <c r="K332">
        <f>IF(B332="","",IF(F332=0,"No primary keyword",IF(F332&gt;Settings!$B$4,"Too many primary keywords",IF(I332+J332&gt;0,"Check flags","OK"))))</f>
        <v/>
      </c>
    </row>
    <row r="333">
      <c r="A333">
        <f>ROW()-2</f>
        <v/>
      </c>
      <c r="B333">
        <f>IFERROR(INDEX('Keyword Map'!$G$3:$G$1002,MATCH(A333,'Keyword Map'!$AA$3:$AA$1002,0)),"")</f>
        <v/>
      </c>
      <c r="C333">
        <f>IF(B333="","",INDEX('Keyword Map'!$I$3:$I$1002,MATCH(A333,'Keyword Map'!$AA$3:$AA$1002,0))&amp;"")</f>
        <v/>
      </c>
      <c r="D333">
        <f>IF(B333="","",INDEX('Keyword Map'!$H$3:$H$1002,MATCH(A333,'Keyword Map'!$AA$3:$AA$1002,0))&amp;"")</f>
        <v/>
      </c>
      <c r="E333">
        <f>IF(B333="","",COUNTIF('Keyword Map'!$G$3:$G$1002,SUBSTITUTE(SUBSTITUTE(B333,"?","~?"),"*","~*")))</f>
        <v/>
      </c>
      <c r="F333">
        <f>IF(B333="","",COUNTIFS('Keyword Map'!$G$3:$G$1002,SUBSTITUTE(SUBSTITUTE(B333,"?","~?"),"*","~*"),'Keyword Map'!$J$3:$J$1002,"Primary"))</f>
        <v/>
      </c>
      <c r="G333">
        <f>IF(B333="","",SUMIFS('Keyword Map'!$C$3:$C$1002,'Keyword Map'!$G$3:$G$1002,SUBSTITUTE(SUBSTITUTE(B333,"?","~?"),"*","~*")))</f>
        <v/>
      </c>
      <c r="H333">
        <f>IF(B333="","",IFERROR(ROUND(AVERAGEIFS('Keyword Map'!$P$3:$P$1002,'Keyword Map'!$G$3:$G$1002,SUBSTITUTE(SUBSTITUTE(B333,"?","~?"),"*","~*")),0),""))</f>
        <v/>
      </c>
      <c r="I333">
        <f>IF(B333="","",COUNTIFS('Keyword Map'!$G$3:$G$1002,SUBSTITUTE(SUBSTITUTE(B333,"?","~?"),"*","~*"),'Keyword Map'!$R$3:$R$1002,"Yes"))</f>
        <v/>
      </c>
      <c r="J333">
        <f>IF(B333="","",COUNTIFS('Keyword Map'!$G$3:$G$1002,SUBSTITUTE(SUBSTITUTE(B333,"?","~?"),"*","~*"),'Keyword Map'!$W$3:$W$1002,"Yes"))</f>
        <v/>
      </c>
      <c r="K333">
        <f>IF(B333="","",IF(F333=0,"No primary keyword",IF(F333&gt;Settings!$B$4,"Too many primary keywords",IF(I333+J333&gt;0,"Check flags","OK"))))</f>
        <v/>
      </c>
    </row>
    <row r="334">
      <c r="A334">
        <f>ROW()-2</f>
        <v/>
      </c>
      <c r="B334">
        <f>IFERROR(INDEX('Keyword Map'!$G$3:$G$1002,MATCH(A334,'Keyword Map'!$AA$3:$AA$1002,0)),"")</f>
        <v/>
      </c>
      <c r="C334">
        <f>IF(B334="","",INDEX('Keyword Map'!$I$3:$I$1002,MATCH(A334,'Keyword Map'!$AA$3:$AA$1002,0))&amp;"")</f>
        <v/>
      </c>
      <c r="D334">
        <f>IF(B334="","",INDEX('Keyword Map'!$H$3:$H$1002,MATCH(A334,'Keyword Map'!$AA$3:$AA$1002,0))&amp;"")</f>
        <v/>
      </c>
      <c r="E334">
        <f>IF(B334="","",COUNTIF('Keyword Map'!$G$3:$G$1002,SUBSTITUTE(SUBSTITUTE(B334,"?","~?"),"*","~*")))</f>
        <v/>
      </c>
      <c r="F334">
        <f>IF(B334="","",COUNTIFS('Keyword Map'!$G$3:$G$1002,SUBSTITUTE(SUBSTITUTE(B334,"?","~?"),"*","~*"),'Keyword Map'!$J$3:$J$1002,"Primary"))</f>
        <v/>
      </c>
      <c r="G334">
        <f>IF(B334="","",SUMIFS('Keyword Map'!$C$3:$C$1002,'Keyword Map'!$G$3:$G$1002,SUBSTITUTE(SUBSTITUTE(B334,"?","~?"),"*","~*")))</f>
        <v/>
      </c>
      <c r="H334">
        <f>IF(B334="","",IFERROR(ROUND(AVERAGEIFS('Keyword Map'!$P$3:$P$1002,'Keyword Map'!$G$3:$G$1002,SUBSTITUTE(SUBSTITUTE(B334,"?","~?"),"*","~*")),0),""))</f>
        <v/>
      </c>
      <c r="I334">
        <f>IF(B334="","",COUNTIFS('Keyword Map'!$G$3:$G$1002,SUBSTITUTE(SUBSTITUTE(B334,"?","~?"),"*","~*"),'Keyword Map'!$R$3:$R$1002,"Yes"))</f>
        <v/>
      </c>
      <c r="J334">
        <f>IF(B334="","",COUNTIFS('Keyword Map'!$G$3:$G$1002,SUBSTITUTE(SUBSTITUTE(B334,"?","~?"),"*","~*"),'Keyword Map'!$W$3:$W$1002,"Yes"))</f>
        <v/>
      </c>
      <c r="K334">
        <f>IF(B334="","",IF(F334=0,"No primary keyword",IF(F334&gt;Settings!$B$4,"Too many primary keywords",IF(I334+J334&gt;0,"Check flags","OK"))))</f>
        <v/>
      </c>
    </row>
    <row r="335">
      <c r="A335">
        <f>ROW()-2</f>
        <v/>
      </c>
      <c r="B335">
        <f>IFERROR(INDEX('Keyword Map'!$G$3:$G$1002,MATCH(A335,'Keyword Map'!$AA$3:$AA$1002,0)),"")</f>
        <v/>
      </c>
      <c r="C335">
        <f>IF(B335="","",INDEX('Keyword Map'!$I$3:$I$1002,MATCH(A335,'Keyword Map'!$AA$3:$AA$1002,0))&amp;"")</f>
        <v/>
      </c>
      <c r="D335">
        <f>IF(B335="","",INDEX('Keyword Map'!$H$3:$H$1002,MATCH(A335,'Keyword Map'!$AA$3:$AA$1002,0))&amp;"")</f>
        <v/>
      </c>
      <c r="E335">
        <f>IF(B335="","",COUNTIF('Keyword Map'!$G$3:$G$1002,SUBSTITUTE(SUBSTITUTE(B335,"?","~?"),"*","~*")))</f>
        <v/>
      </c>
      <c r="F335">
        <f>IF(B335="","",COUNTIFS('Keyword Map'!$G$3:$G$1002,SUBSTITUTE(SUBSTITUTE(B335,"?","~?"),"*","~*"),'Keyword Map'!$J$3:$J$1002,"Primary"))</f>
        <v/>
      </c>
      <c r="G335">
        <f>IF(B335="","",SUMIFS('Keyword Map'!$C$3:$C$1002,'Keyword Map'!$G$3:$G$1002,SUBSTITUTE(SUBSTITUTE(B335,"?","~?"),"*","~*")))</f>
        <v/>
      </c>
      <c r="H335">
        <f>IF(B335="","",IFERROR(ROUND(AVERAGEIFS('Keyword Map'!$P$3:$P$1002,'Keyword Map'!$G$3:$G$1002,SUBSTITUTE(SUBSTITUTE(B335,"?","~?"),"*","~*")),0),""))</f>
        <v/>
      </c>
      <c r="I335">
        <f>IF(B335="","",COUNTIFS('Keyword Map'!$G$3:$G$1002,SUBSTITUTE(SUBSTITUTE(B335,"?","~?"),"*","~*"),'Keyword Map'!$R$3:$R$1002,"Yes"))</f>
        <v/>
      </c>
      <c r="J335">
        <f>IF(B335="","",COUNTIFS('Keyword Map'!$G$3:$G$1002,SUBSTITUTE(SUBSTITUTE(B335,"?","~?"),"*","~*"),'Keyword Map'!$W$3:$W$1002,"Yes"))</f>
        <v/>
      </c>
      <c r="K335">
        <f>IF(B335="","",IF(F335=0,"No primary keyword",IF(F335&gt;Settings!$B$4,"Too many primary keywords",IF(I335+J335&gt;0,"Check flags","OK"))))</f>
        <v/>
      </c>
    </row>
    <row r="336">
      <c r="A336">
        <f>ROW()-2</f>
        <v/>
      </c>
      <c r="B336">
        <f>IFERROR(INDEX('Keyword Map'!$G$3:$G$1002,MATCH(A336,'Keyword Map'!$AA$3:$AA$1002,0)),"")</f>
        <v/>
      </c>
      <c r="C336">
        <f>IF(B336="","",INDEX('Keyword Map'!$I$3:$I$1002,MATCH(A336,'Keyword Map'!$AA$3:$AA$1002,0))&amp;"")</f>
        <v/>
      </c>
      <c r="D336">
        <f>IF(B336="","",INDEX('Keyword Map'!$H$3:$H$1002,MATCH(A336,'Keyword Map'!$AA$3:$AA$1002,0))&amp;"")</f>
        <v/>
      </c>
      <c r="E336">
        <f>IF(B336="","",COUNTIF('Keyword Map'!$G$3:$G$1002,SUBSTITUTE(SUBSTITUTE(B336,"?","~?"),"*","~*")))</f>
        <v/>
      </c>
      <c r="F336">
        <f>IF(B336="","",COUNTIFS('Keyword Map'!$G$3:$G$1002,SUBSTITUTE(SUBSTITUTE(B336,"?","~?"),"*","~*"),'Keyword Map'!$J$3:$J$1002,"Primary"))</f>
        <v/>
      </c>
      <c r="G336">
        <f>IF(B336="","",SUMIFS('Keyword Map'!$C$3:$C$1002,'Keyword Map'!$G$3:$G$1002,SUBSTITUTE(SUBSTITUTE(B336,"?","~?"),"*","~*")))</f>
        <v/>
      </c>
      <c r="H336">
        <f>IF(B336="","",IFERROR(ROUND(AVERAGEIFS('Keyword Map'!$P$3:$P$1002,'Keyword Map'!$G$3:$G$1002,SUBSTITUTE(SUBSTITUTE(B336,"?","~?"),"*","~*")),0),""))</f>
        <v/>
      </c>
      <c r="I336">
        <f>IF(B336="","",COUNTIFS('Keyword Map'!$G$3:$G$1002,SUBSTITUTE(SUBSTITUTE(B336,"?","~?"),"*","~*"),'Keyword Map'!$R$3:$R$1002,"Yes"))</f>
        <v/>
      </c>
      <c r="J336">
        <f>IF(B336="","",COUNTIFS('Keyword Map'!$G$3:$G$1002,SUBSTITUTE(SUBSTITUTE(B336,"?","~?"),"*","~*"),'Keyword Map'!$W$3:$W$1002,"Yes"))</f>
        <v/>
      </c>
      <c r="K336">
        <f>IF(B336="","",IF(F336=0,"No primary keyword",IF(F336&gt;Settings!$B$4,"Too many primary keywords",IF(I336+J336&gt;0,"Check flags","OK"))))</f>
        <v/>
      </c>
    </row>
    <row r="337">
      <c r="A337">
        <f>ROW()-2</f>
        <v/>
      </c>
      <c r="B337">
        <f>IFERROR(INDEX('Keyword Map'!$G$3:$G$1002,MATCH(A337,'Keyword Map'!$AA$3:$AA$1002,0)),"")</f>
        <v/>
      </c>
      <c r="C337">
        <f>IF(B337="","",INDEX('Keyword Map'!$I$3:$I$1002,MATCH(A337,'Keyword Map'!$AA$3:$AA$1002,0))&amp;"")</f>
        <v/>
      </c>
      <c r="D337">
        <f>IF(B337="","",INDEX('Keyword Map'!$H$3:$H$1002,MATCH(A337,'Keyword Map'!$AA$3:$AA$1002,0))&amp;"")</f>
        <v/>
      </c>
      <c r="E337">
        <f>IF(B337="","",COUNTIF('Keyword Map'!$G$3:$G$1002,SUBSTITUTE(SUBSTITUTE(B337,"?","~?"),"*","~*")))</f>
        <v/>
      </c>
      <c r="F337">
        <f>IF(B337="","",COUNTIFS('Keyword Map'!$G$3:$G$1002,SUBSTITUTE(SUBSTITUTE(B337,"?","~?"),"*","~*"),'Keyword Map'!$J$3:$J$1002,"Primary"))</f>
        <v/>
      </c>
      <c r="G337">
        <f>IF(B337="","",SUMIFS('Keyword Map'!$C$3:$C$1002,'Keyword Map'!$G$3:$G$1002,SUBSTITUTE(SUBSTITUTE(B337,"?","~?"),"*","~*")))</f>
        <v/>
      </c>
      <c r="H337">
        <f>IF(B337="","",IFERROR(ROUND(AVERAGEIFS('Keyword Map'!$P$3:$P$1002,'Keyword Map'!$G$3:$G$1002,SUBSTITUTE(SUBSTITUTE(B337,"?","~?"),"*","~*")),0),""))</f>
        <v/>
      </c>
      <c r="I337">
        <f>IF(B337="","",COUNTIFS('Keyword Map'!$G$3:$G$1002,SUBSTITUTE(SUBSTITUTE(B337,"?","~?"),"*","~*"),'Keyword Map'!$R$3:$R$1002,"Yes"))</f>
        <v/>
      </c>
      <c r="J337">
        <f>IF(B337="","",COUNTIFS('Keyword Map'!$G$3:$G$1002,SUBSTITUTE(SUBSTITUTE(B337,"?","~?"),"*","~*"),'Keyword Map'!$W$3:$W$1002,"Yes"))</f>
        <v/>
      </c>
      <c r="K337">
        <f>IF(B337="","",IF(F337=0,"No primary keyword",IF(F337&gt;Settings!$B$4,"Too many primary keywords",IF(I337+J337&gt;0,"Check flags","OK"))))</f>
        <v/>
      </c>
    </row>
    <row r="338">
      <c r="A338">
        <f>ROW()-2</f>
        <v/>
      </c>
      <c r="B338">
        <f>IFERROR(INDEX('Keyword Map'!$G$3:$G$1002,MATCH(A338,'Keyword Map'!$AA$3:$AA$1002,0)),"")</f>
        <v/>
      </c>
      <c r="C338">
        <f>IF(B338="","",INDEX('Keyword Map'!$I$3:$I$1002,MATCH(A338,'Keyword Map'!$AA$3:$AA$1002,0))&amp;"")</f>
        <v/>
      </c>
      <c r="D338">
        <f>IF(B338="","",INDEX('Keyword Map'!$H$3:$H$1002,MATCH(A338,'Keyword Map'!$AA$3:$AA$1002,0))&amp;"")</f>
        <v/>
      </c>
      <c r="E338">
        <f>IF(B338="","",COUNTIF('Keyword Map'!$G$3:$G$1002,SUBSTITUTE(SUBSTITUTE(B338,"?","~?"),"*","~*")))</f>
        <v/>
      </c>
      <c r="F338">
        <f>IF(B338="","",COUNTIFS('Keyword Map'!$G$3:$G$1002,SUBSTITUTE(SUBSTITUTE(B338,"?","~?"),"*","~*"),'Keyword Map'!$J$3:$J$1002,"Primary"))</f>
        <v/>
      </c>
      <c r="G338">
        <f>IF(B338="","",SUMIFS('Keyword Map'!$C$3:$C$1002,'Keyword Map'!$G$3:$G$1002,SUBSTITUTE(SUBSTITUTE(B338,"?","~?"),"*","~*")))</f>
        <v/>
      </c>
      <c r="H338">
        <f>IF(B338="","",IFERROR(ROUND(AVERAGEIFS('Keyword Map'!$P$3:$P$1002,'Keyword Map'!$G$3:$G$1002,SUBSTITUTE(SUBSTITUTE(B338,"?","~?"),"*","~*")),0),""))</f>
        <v/>
      </c>
      <c r="I338">
        <f>IF(B338="","",COUNTIFS('Keyword Map'!$G$3:$G$1002,SUBSTITUTE(SUBSTITUTE(B338,"?","~?"),"*","~*"),'Keyword Map'!$R$3:$R$1002,"Yes"))</f>
        <v/>
      </c>
      <c r="J338">
        <f>IF(B338="","",COUNTIFS('Keyword Map'!$G$3:$G$1002,SUBSTITUTE(SUBSTITUTE(B338,"?","~?"),"*","~*"),'Keyword Map'!$W$3:$W$1002,"Yes"))</f>
        <v/>
      </c>
      <c r="K338">
        <f>IF(B338="","",IF(F338=0,"No primary keyword",IF(F338&gt;Settings!$B$4,"Too many primary keywords",IF(I338+J338&gt;0,"Check flags","OK"))))</f>
        <v/>
      </c>
    </row>
    <row r="339">
      <c r="A339">
        <f>ROW()-2</f>
        <v/>
      </c>
      <c r="B339">
        <f>IFERROR(INDEX('Keyword Map'!$G$3:$G$1002,MATCH(A339,'Keyword Map'!$AA$3:$AA$1002,0)),"")</f>
        <v/>
      </c>
      <c r="C339">
        <f>IF(B339="","",INDEX('Keyword Map'!$I$3:$I$1002,MATCH(A339,'Keyword Map'!$AA$3:$AA$1002,0))&amp;"")</f>
        <v/>
      </c>
      <c r="D339">
        <f>IF(B339="","",INDEX('Keyword Map'!$H$3:$H$1002,MATCH(A339,'Keyword Map'!$AA$3:$AA$1002,0))&amp;"")</f>
        <v/>
      </c>
      <c r="E339">
        <f>IF(B339="","",COUNTIF('Keyword Map'!$G$3:$G$1002,SUBSTITUTE(SUBSTITUTE(B339,"?","~?"),"*","~*")))</f>
        <v/>
      </c>
      <c r="F339">
        <f>IF(B339="","",COUNTIFS('Keyword Map'!$G$3:$G$1002,SUBSTITUTE(SUBSTITUTE(B339,"?","~?"),"*","~*"),'Keyword Map'!$J$3:$J$1002,"Primary"))</f>
        <v/>
      </c>
      <c r="G339">
        <f>IF(B339="","",SUMIFS('Keyword Map'!$C$3:$C$1002,'Keyword Map'!$G$3:$G$1002,SUBSTITUTE(SUBSTITUTE(B339,"?","~?"),"*","~*")))</f>
        <v/>
      </c>
      <c r="H339">
        <f>IF(B339="","",IFERROR(ROUND(AVERAGEIFS('Keyword Map'!$P$3:$P$1002,'Keyword Map'!$G$3:$G$1002,SUBSTITUTE(SUBSTITUTE(B339,"?","~?"),"*","~*")),0),""))</f>
        <v/>
      </c>
      <c r="I339">
        <f>IF(B339="","",COUNTIFS('Keyword Map'!$G$3:$G$1002,SUBSTITUTE(SUBSTITUTE(B339,"?","~?"),"*","~*"),'Keyword Map'!$R$3:$R$1002,"Yes"))</f>
        <v/>
      </c>
      <c r="J339">
        <f>IF(B339="","",COUNTIFS('Keyword Map'!$G$3:$G$1002,SUBSTITUTE(SUBSTITUTE(B339,"?","~?"),"*","~*"),'Keyword Map'!$W$3:$W$1002,"Yes"))</f>
        <v/>
      </c>
      <c r="K339">
        <f>IF(B339="","",IF(F339=0,"No primary keyword",IF(F339&gt;Settings!$B$4,"Too many primary keywords",IF(I339+J339&gt;0,"Check flags","OK"))))</f>
        <v/>
      </c>
    </row>
    <row r="340">
      <c r="A340">
        <f>ROW()-2</f>
        <v/>
      </c>
      <c r="B340">
        <f>IFERROR(INDEX('Keyword Map'!$G$3:$G$1002,MATCH(A340,'Keyword Map'!$AA$3:$AA$1002,0)),"")</f>
        <v/>
      </c>
      <c r="C340">
        <f>IF(B340="","",INDEX('Keyword Map'!$I$3:$I$1002,MATCH(A340,'Keyword Map'!$AA$3:$AA$1002,0))&amp;"")</f>
        <v/>
      </c>
      <c r="D340">
        <f>IF(B340="","",INDEX('Keyword Map'!$H$3:$H$1002,MATCH(A340,'Keyword Map'!$AA$3:$AA$1002,0))&amp;"")</f>
        <v/>
      </c>
      <c r="E340">
        <f>IF(B340="","",COUNTIF('Keyword Map'!$G$3:$G$1002,SUBSTITUTE(SUBSTITUTE(B340,"?","~?"),"*","~*")))</f>
        <v/>
      </c>
      <c r="F340">
        <f>IF(B340="","",COUNTIFS('Keyword Map'!$G$3:$G$1002,SUBSTITUTE(SUBSTITUTE(B340,"?","~?"),"*","~*"),'Keyword Map'!$J$3:$J$1002,"Primary"))</f>
        <v/>
      </c>
      <c r="G340">
        <f>IF(B340="","",SUMIFS('Keyword Map'!$C$3:$C$1002,'Keyword Map'!$G$3:$G$1002,SUBSTITUTE(SUBSTITUTE(B340,"?","~?"),"*","~*")))</f>
        <v/>
      </c>
      <c r="H340">
        <f>IF(B340="","",IFERROR(ROUND(AVERAGEIFS('Keyword Map'!$P$3:$P$1002,'Keyword Map'!$G$3:$G$1002,SUBSTITUTE(SUBSTITUTE(B340,"?","~?"),"*","~*")),0),""))</f>
        <v/>
      </c>
      <c r="I340">
        <f>IF(B340="","",COUNTIFS('Keyword Map'!$G$3:$G$1002,SUBSTITUTE(SUBSTITUTE(B340,"?","~?"),"*","~*"),'Keyword Map'!$R$3:$R$1002,"Yes"))</f>
        <v/>
      </c>
      <c r="J340">
        <f>IF(B340="","",COUNTIFS('Keyword Map'!$G$3:$G$1002,SUBSTITUTE(SUBSTITUTE(B340,"?","~?"),"*","~*"),'Keyword Map'!$W$3:$W$1002,"Yes"))</f>
        <v/>
      </c>
      <c r="K340">
        <f>IF(B340="","",IF(F340=0,"No primary keyword",IF(F340&gt;Settings!$B$4,"Too many primary keywords",IF(I340+J340&gt;0,"Check flags","OK"))))</f>
        <v/>
      </c>
    </row>
    <row r="341">
      <c r="A341">
        <f>ROW()-2</f>
        <v/>
      </c>
      <c r="B341">
        <f>IFERROR(INDEX('Keyword Map'!$G$3:$G$1002,MATCH(A341,'Keyword Map'!$AA$3:$AA$1002,0)),"")</f>
        <v/>
      </c>
      <c r="C341">
        <f>IF(B341="","",INDEX('Keyword Map'!$I$3:$I$1002,MATCH(A341,'Keyword Map'!$AA$3:$AA$1002,0))&amp;"")</f>
        <v/>
      </c>
      <c r="D341">
        <f>IF(B341="","",INDEX('Keyword Map'!$H$3:$H$1002,MATCH(A341,'Keyword Map'!$AA$3:$AA$1002,0))&amp;"")</f>
        <v/>
      </c>
      <c r="E341">
        <f>IF(B341="","",COUNTIF('Keyword Map'!$G$3:$G$1002,SUBSTITUTE(SUBSTITUTE(B341,"?","~?"),"*","~*")))</f>
        <v/>
      </c>
      <c r="F341">
        <f>IF(B341="","",COUNTIFS('Keyword Map'!$G$3:$G$1002,SUBSTITUTE(SUBSTITUTE(B341,"?","~?"),"*","~*"),'Keyword Map'!$J$3:$J$1002,"Primary"))</f>
        <v/>
      </c>
      <c r="G341">
        <f>IF(B341="","",SUMIFS('Keyword Map'!$C$3:$C$1002,'Keyword Map'!$G$3:$G$1002,SUBSTITUTE(SUBSTITUTE(B341,"?","~?"),"*","~*")))</f>
        <v/>
      </c>
      <c r="H341">
        <f>IF(B341="","",IFERROR(ROUND(AVERAGEIFS('Keyword Map'!$P$3:$P$1002,'Keyword Map'!$G$3:$G$1002,SUBSTITUTE(SUBSTITUTE(B341,"?","~?"),"*","~*")),0),""))</f>
        <v/>
      </c>
      <c r="I341">
        <f>IF(B341="","",COUNTIFS('Keyword Map'!$G$3:$G$1002,SUBSTITUTE(SUBSTITUTE(B341,"?","~?"),"*","~*"),'Keyword Map'!$R$3:$R$1002,"Yes"))</f>
        <v/>
      </c>
      <c r="J341">
        <f>IF(B341="","",COUNTIFS('Keyword Map'!$G$3:$G$1002,SUBSTITUTE(SUBSTITUTE(B341,"?","~?"),"*","~*"),'Keyword Map'!$W$3:$W$1002,"Yes"))</f>
        <v/>
      </c>
      <c r="K341">
        <f>IF(B341="","",IF(F341=0,"No primary keyword",IF(F341&gt;Settings!$B$4,"Too many primary keywords",IF(I341+J341&gt;0,"Check flags","OK"))))</f>
        <v/>
      </c>
    </row>
    <row r="342">
      <c r="A342">
        <f>ROW()-2</f>
        <v/>
      </c>
      <c r="B342">
        <f>IFERROR(INDEX('Keyword Map'!$G$3:$G$1002,MATCH(A342,'Keyword Map'!$AA$3:$AA$1002,0)),"")</f>
        <v/>
      </c>
      <c r="C342">
        <f>IF(B342="","",INDEX('Keyword Map'!$I$3:$I$1002,MATCH(A342,'Keyword Map'!$AA$3:$AA$1002,0))&amp;"")</f>
        <v/>
      </c>
      <c r="D342">
        <f>IF(B342="","",INDEX('Keyword Map'!$H$3:$H$1002,MATCH(A342,'Keyword Map'!$AA$3:$AA$1002,0))&amp;"")</f>
        <v/>
      </c>
      <c r="E342">
        <f>IF(B342="","",COUNTIF('Keyword Map'!$G$3:$G$1002,SUBSTITUTE(SUBSTITUTE(B342,"?","~?"),"*","~*")))</f>
        <v/>
      </c>
      <c r="F342">
        <f>IF(B342="","",COUNTIFS('Keyword Map'!$G$3:$G$1002,SUBSTITUTE(SUBSTITUTE(B342,"?","~?"),"*","~*"),'Keyword Map'!$J$3:$J$1002,"Primary"))</f>
        <v/>
      </c>
      <c r="G342">
        <f>IF(B342="","",SUMIFS('Keyword Map'!$C$3:$C$1002,'Keyword Map'!$G$3:$G$1002,SUBSTITUTE(SUBSTITUTE(B342,"?","~?"),"*","~*")))</f>
        <v/>
      </c>
      <c r="H342">
        <f>IF(B342="","",IFERROR(ROUND(AVERAGEIFS('Keyword Map'!$P$3:$P$1002,'Keyword Map'!$G$3:$G$1002,SUBSTITUTE(SUBSTITUTE(B342,"?","~?"),"*","~*")),0),""))</f>
        <v/>
      </c>
      <c r="I342">
        <f>IF(B342="","",COUNTIFS('Keyword Map'!$G$3:$G$1002,SUBSTITUTE(SUBSTITUTE(B342,"?","~?"),"*","~*"),'Keyword Map'!$R$3:$R$1002,"Yes"))</f>
        <v/>
      </c>
      <c r="J342">
        <f>IF(B342="","",COUNTIFS('Keyword Map'!$G$3:$G$1002,SUBSTITUTE(SUBSTITUTE(B342,"?","~?"),"*","~*"),'Keyword Map'!$W$3:$W$1002,"Yes"))</f>
        <v/>
      </c>
      <c r="K342">
        <f>IF(B342="","",IF(F342=0,"No primary keyword",IF(F342&gt;Settings!$B$4,"Too many primary keywords",IF(I342+J342&gt;0,"Check flags","OK"))))</f>
        <v/>
      </c>
    </row>
    <row r="343">
      <c r="A343">
        <f>ROW()-2</f>
        <v/>
      </c>
      <c r="B343">
        <f>IFERROR(INDEX('Keyword Map'!$G$3:$G$1002,MATCH(A343,'Keyword Map'!$AA$3:$AA$1002,0)),"")</f>
        <v/>
      </c>
      <c r="C343">
        <f>IF(B343="","",INDEX('Keyword Map'!$I$3:$I$1002,MATCH(A343,'Keyword Map'!$AA$3:$AA$1002,0))&amp;"")</f>
        <v/>
      </c>
      <c r="D343">
        <f>IF(B343="","",INDEX('Keyword Map'!$H$3:$H$1002,MATCH(A343,'Keyword Map'!$AA$3:$AA$1002,0))&amp;"")</f>
        <v/>
      </c>
      <c r="E343">
        <f>IF(B343="","",COUNTIF('Keyword Map'!$G$3:$G$1002,SUBSTITUTE(SUBSTITUTE(B343,"?","~?"),"*","~*")))</f>
        <v/>
      </c>
      <c r="F343">
        <f>IF(B343="","",COUNTIFS('Keyword Map'!$G$3:$G$1002,SUBSTITUTE(SUBSTITUTE(B343,"?","~?"),"*","~*"),'Keyword Map'!$J$3:$J$1002,"Primary"))</f>
        <v/>
      </c>
      <c r="G343">
        <f>IF(B343="","",SUMIFS('Keyword Map'!$C$3:$C$1002,'Keyword Map'!$G$3:$G$1002,SUBSTITUTE(SUBSTITUTE(B343,"?","~?"),"*","~*")))</f>
        <v/>
      </c>
      <c r="H343">
        <f>IF(B343="","",IFERROR(ROUND(AVERAGEIFS('Keyword Map'!$P$3:$P$1002,'Keyword Map'!$G$3:$G$1002,SUBSTITUTE(SUBSTITUTE(B343,"?","~?"),"*","~*")),0),""))</f>
        <v/>
      </c>
      <c r="I343">
        <f>IF(B343="","",COUNTIFS('Keyword Map'!$G$3:$G$1002,SUBSTITUTE(SUBSTITUTE(B343,"?","~?"),"*","~*"),'Keyword Map'!$R$3:$R$1002,"Yes"))</f>
        <v/>
      </c>
      <c r="J343">
        <f>IF(B343="","",COUNTIFS('Keyword Map'!$G$3:$G$1002,SUBSTITUTE(SUBSTITUTE(B343,"?","~?"),"*","~*"),'Keyword Map'!$W$3:$W$1002,"Yes"))</f>
        <v/>
      </c>
      <c r="K343">
        <f>IF(B343="","",IF(F343=0,"No primary keyword",IF(F343&gt;Settings!$B$4,"Too many primary keywords",IF(I343+J343&gt;0,"Check flags","OK"))))</f>
        <v/>
      </c>
    </row>
    <row r="344">
      <c r="A344">
        <f>ROW()-2</f>
        <v/>
      </c>
      <c r="B344">
        <f>IFERROR(INDEX('Keyword Map'!$G$3:$G$1002,MATCH(A344,'Keyword Map'!$AA$3:$AA$1002,0)),"")</f>
        <v/>
      </c>
      <c r="C344">
        <f>IF(B344="","",INDEX('Keyword Map'!$I$3:$I$1002,MATCH(A344,'Keyword Map'!$AA$3:$AA$1002,0))&amp;"")</f>
        <v/>
      </c>
      <c r="D344">
        <f>IF(B344="","",INDEX('Keyword Map'!$H$3:$H$1002,MATCH(A344,'Keyword Map'!$AA$3:$AA$1002,0))&amp;"")</f>
        <v/>
      </c>
      <c r="E344">
        <f>IF(B344="","",COUNTIF('Keyword Map'!$G$3:$G$1002,SUBSTITUTE(SUBSTITUTE(B344,"?","~?"),"*","~*")))</f>
        <v/>
      </c>
      <c r="F344">
        <f>IF(B344="","",COUNTIFS('Keyword Map'!$G$3:$G$1002,SUBSTITUTE(SUBSTITUTE(B344,"?","~?"),"*","~*"),'Keyword Map'!$J$3:$J$1002,"Primary"))</f>
        <v/>
      </c>
      <c r="G344">
        <f>IF(B344="","",SUMIFS('Keyword Map'!$C$3:$C$1002,'Keyword Map'!$G$3:$G$1002,SUBSTITUTE(SUBSTITUTE(B344,"?","~?"),"*","~*")))</f>
        <v/>
      </c>
      <c r="H344">
        <f>IF(B344="","",IFERROR(ROUND(AVERAGEIFS('Keyword Map'!$P$3:$P$1002,'Keyword Map'!$G$3:$G$1002,SUBSTITUTE(SUBSTITUTE(B344,"?","~?"),"*","~*")),0),""))</f>
        <v/>
      </c>
      <c r="I344">
        <f>IF(B344="","",COUNTIFS('Keyword Map'!$G$3:$G$1002,SUBSTITUTE(SUBSTITUTE(B344,"?","~?"),"*","~*"),'Keyword Map'!$R$3:$R$1002,"Yes"))</f>
        <v/>
      </c>
      <c r="J344">
        <f>IF(B344="","",COUNTIFS('Keyword Map'!$G$3:$G$1002,SUBSTITUTE(SUBSTITUTE(B344,"?","~?"),"*","~*"),'Keyword Map'!$W$3:$W$1002,"Yes"))</f>
        <v/>
      </c>
      <c r="K344">
        <f>IF(B344="","",IF(F344=0,"No primary keyword",IF(F344&gt;Settings!$B$4,"Too many primary keywords",IF(I344+J344&gt;0,"Check flags","OK"))))</f>
        <v/>
      </c>
    </row>
    <row r="345">
      <c r="A345">
        <f>ROW()-2</f>
        <v/>
      </c>
      <c r="B345">
        <f>IFERROR(INDEX('Keyword Map'!$G$3:$G$1002,MATCH(A345,'Keyword Map'!$AA$3:$AA$1002,0)),"")</f>
        <v/>
      </c>
      <c r="C345">
        <f>IF(B345="","",INDEX('Keyword Map'!$I$3:$I$1002,MATCH(A345,'Keyword Map'!$AA$3:$AA$1002,0))&amp;"")</f>
        <v/>
      </c>
      <c r="D345">
        <f>IF(B345="","",INDEX('Keyword Map'!$H$3:$H$1002,MATCH(A345,'Keyword Map'!$AA$3:$AA$1002,0))&amp;"")</f>
        <v/>
      </c>
      <c r="E345">
        <f>IF(B345="","",COUNTIF('Keyword Map'!$G$3:$G$1002,SUBSTITUTE(SUBSTITUTE(B345,"?","~?"),"*","~*")))</f>
        <v/>
      </c>
      <c r="F345">
        <f>IF(B345="","",COUNTIFS('Keyword Map'!$G$3:$G$1002,SUBSTITUTE(SUBSTITUTE(B345,"?","~?"),"*","~*"),'Keyword Map'!$J$3:$J$1002,"Primary"))</f>
        <v/>
      </c>
      <c r="G345">
        <f>IF(B345="","",SUMIFS('Keyword Map'!$C$3:$C$1002,'Keyword Map'!$G$3:$G$1002,SUBSTITUTE(SUBSTITUTE(B345,"?","~?"),"*","~*")))</f>
        <v/>
      </c>
      <c r="H345">
        <f>IF(B345="","",IFERROR(ROUND(AVERAGEIFS('Keyword Map'!$P$3:$P$1002,'Keyword Map'!$G$3:$G$1002,SUBSTITUTE(SUBSTITUTE(B345,"?","~?"),"*","~*")),0),""))</f>
        <v/>
      </c>
      <c r="I345">
        <f>IF(B345="","",COUNTIFS('Keyword Map'!$G$3:$G$1002,SUBSTITUTE(SUBSTITUTE(B345,"?","~?"),"*","~*"),'Keyword Map'!$R$3:$R$1002,"Yes"))</f>
        <v/>
      </c>
      <c r="J345">
        <f>IF(B345="","",COUNTIFS('Keyword Map'!$G$3:$G$1002,SUBSTITUTE(SUBSTITUTE(B345,"?","~?"),"*","~*"),'Keyword Map'!$W$3:$W$1002,"Yes"))</f>
        <v/>
      </c>
      <c r="K345">
        <f>IF(B345="","",IF(F345=0,"No primary keyword",IF(F345&gt;Settings!$B$4,"Too many primary keywords",IF(I345+J345&gt;0,"Check flags","OK"))))</f>
        <v/>
      </c>
    </row>
    <row r="346">
      <c r="A346">
        <f>ROW()-2</f>
        <v/>
      </c>
      <c r="B346">
        <f>IFERROR(INDEX('Keyword Map'!$G$3:$G$1002,MATCH(A346,'Keyword Map'!$AA$3:$AA$1002,0)),"")</f>
        <v/>
      </c>
      <c r="C346">
        <f>IF(B346="","",INDEX('Keyword Map'!$I$3:$I$1002,MATCH(A346,'Keyword Map'!$AA$3:$AA$1002,0))&amp;"")</f>
        <v/>
      </c>
      <c r="D346">
        <f>IF(B346="","",INDEX('Keyword Map'!$H$3:$H$1002,MATCH(A346,'Keyword Map'!$AA$3:$AA$1002,0))&amp;"")</f>
        <v/>
      </c>
      <c r="E346">
        <f>IF(B346="","",COUNTIF('Keyword Map'!$G$3:$G$1002,SUBSTITUTE(SUBSTITUTE(B346,"?","~?"),"*","~*")))</f>
        <v/>
      </c>
      <c r="F346">
        <f>IF(B346="","",COUNTIFS('Keyword Map'!$G$3:$G$1002,SUBSTITUTE(SUBSTITUTE(B346,"?","~?"),"*","~*"),'Keyword Map'!$J$3:$J$1002,"Primary"))</f>
        <v/>
      </c>
      <c r="G346">
        <f>IF(B346="","",SUMIFS('Keyword Map'!$C$3:$C$1002,'Keyword Map'!$G$3:$G$1002,SUBSTITUTE(SUBSTITUTE(B346,"?","~?"),"*","~*")))</f>
        <v/>
      </c>
      <c r="H346">
        <f>IF(B346="","",IFERROR(ROUND(AVERAGEIFS('Keyword Map'!$P$3:$P$1002,'Keyword Map'!$G$3:$G$1002,SUBSTITUTE(SUBSTITUTE(B346,"?","~?"),"*","~*")),0),""))</f>
        <v/>
      </c>
      <c r="I346">
        <f>IF(B346="","",COUNTIFS('Keyword Map'!$G$3:$G$1002,SUBSTITUTE(SUBSTITUTE(B346,"?","~?"),"*","~*"),'Keyword Map'!$R$3:$R$1002,"Yes"))</f>
        <v/>
      </c>
      <c r="J346">
        <f>IF(B346="","",COUNTIFS('Keyword Map'!$G$3:$G$1002,SUBSTITUTE(SUBSTITUTE(B346,"?","~?"),"*","~*"),'Keyword Map'!$W$3:$W$1002,"Yes"))</f>
        <v/>
      </c>
      <c r="K346">
        <f>IF(B346="","",IF(F346=0,"No primary keyword",IF(F346&gt;Settings!$B$4,"Too many primary keywords",IF(I346+J346&gt;0,"Check flags","OK"))))</f>
        <v/>
      </c>
    </row>
    <row r="347">
      <c r="A347">
        <f>ROW()-2</f>
        <v/>
      </c>
      <c r="B347">
        <f>IFERROR(INDEX('Keyword Map'!$G$3:$G$1002,MATCH(A347,'Keyword Map'!$AA$3:$AA$1002,0)),"")</f>
        <v/>
      </c>
      <c r="C347">
        <f>IF(B347="","",INDEX('Keyword Map'!$I$3:$I$1002,MATCH(A347,'Keyword Map'!$AA$3:$AA$1002,0))&amp;"")</f>
        <v/>
      </c>
      <c r="D347">
        <f>IF(B347="","",INDEX('Keyword Map'!$H$3:$H$1002,MATCH(A347,'Keyword Map'!$AA$3:$AA$1002,0))&amp;"")</f>
        <v/>
      </c>
      <c r="E347">
        <f>IF(B347="","",COUNTIF('Keyword Map'!$G$3:$G$1002,SUBSTITUTE(SUBSTITUTE(B347,"?","~?"),"*","~*")))</f>
        <v/>
      </c>
      <c r="F347">
        <f>IF(B347="","",COUNTIFS('Keyword Map'!$G$3:$G$1002,SUBSTITUTE(SUBSTITUTE(B347,"?","~?"),"*","~*"),'Keyword Map'!$J$3:$J$1002,"Primary"))</f>
        <v/>
      </c>
      <c r="G347">
        <f>IF(B347="","",SUMIFS('Keyword Map'!$C$3:$C$1002,'Keyword Map'!$G$3:$G$1002,SUBSTITUTE(SUBSTITUTE(B347,"?","~?"),"*","~*")))</f>
        <v/>
      </c>
      <c r="H347">
        <f>IF(B347="","",IFERROR(ROUND(AVERAGEIFS('Keyword Map'!$P$3:$P$1002,'Keyword Map'!$G$3:$G$1002,SUBSTITUTE(SUBSTITUTE(B347,"?","~?"),"*","~*")),0),""))</f>
        <v/>
      </c>
      <c r="I347">
        <f>IF(B347="","",COUNTIFS('Keyword Map'!$G$3:$G$1002,SUBSTITUTE(SUBSTITUTE(B347,"?","~?"),"*","~*"),'Keyword Map'!$R$3:$R$1002,"Yes"))</f>
        <v/>
      </c>
      <c r="J347">
        <f>IF(B347="","",COUNTIFS('Keyword Map'!$G$3:$G$1002,SUBSTITUTE(SUBSTITUTE(B347,"?","~?"),"*","~*"),'Keyword Map'!$W$3:$W$1002,"Yes"))</f>
        <v/>
      </c>
      <c r="K347">
        <f>IF(B347="","",IF(F347=0,"No primary keyword",IF(F347&gt;Settings!$B$4,"Too many primary keywords",IF(I347+J347&gt;0,"Check flags","OK"))))</f>
        <v/>
      </c>
    </row>
    <row r="348">
      <c r="A348">
        <f>ROW()-2</f>
        <v/>
      </c>
      <c r="B348">
        <f>IFERROR(INDEX('Keyword Map'!$G$3:$G$1002,MATCH(A348,'Keyword Map'!$AA$3:$AA$1002,0)),"")</f>
        <v/>
      </c>
      <c r="C348">
        <f>IF(B348="","",INDEX('Keyword Map'!$I$3:$I$1002,MATCH(A348,'Keyword Map'!$AA$3:$AA$1002,0))&amp;"")</f>
        <v/>
      </c>
      <c r="D348">
        <f>IF(B348="","",INDEX('Keyword Map'!$H$3:$H$1002,MATCH(A348,'Keyword Map'!$AA$3:$AA$1002,0))&amp;"")</f>
        <v/>
      </c>
      <c r="E348">
        <f>IF(B348="","",COUNTIF('Keyword Map'!$G$3:$G$1002,SUBSTITUTE(SUBSTITUTE(B348,"?","~?"),"*","~*")))</f>
        <v/>
      </c>
      <c r="F348">
        <f>IF(B348="","",COUNTIFS('Keyword Map'!$G$3:$G$1002,SUBSTITUTE(SUBSTITUTE(B348,"?","~?"),"*","~*"),'Keyword Map'!$J$3:$J$1002,"Primary"))</f>
        <v/>
      </c>
      <c r="G348">
        <f>IF(B348="","",SUMIFS('Keyword Map'!$C$3:$C$1002,'Keyword Map'!$G$3:$G$1002,SUBSTITUTE(SUBSTITUTE(B348,"?","~?"),"*","~*")))</f>
        <v/>
      </c>
      <c r="H348">
        <f>IF(B348="","",IFERROR(ROUND(AVERAGEIFS('Keyword Map'!$P$3:$P$1002,'Keyword Map'!$G$3:$G$1002,SUBSTITUTE(SUBSTITUTE(B348,"?","~?"),"*","~*")),0),""))</f>
        <v/>
      </c>
      <c r="I348">
        <f>IF(B348="","",COUNTIFS('Keyword Map'!$G$3:$G$1002,SUBSTITUTE(SUBSTITUTE(B348,"?","~?"),"*","~*"),'Keyword Map'!$R$3:$R$1002,"Yes"))</f>
        <v/>
      </c>
      <c r="J348">
        <f>IF(B348="","",COUNTIFS('Keyword Map'!$G$3:$G$1002,SUBSTITUTE(SUBSTITUTE(B348,"?","~?"),"*","~*"),'Keyword Map'!$W$3:$W$1002,"Yes"))</f>
        <v/>
      </c>
      <c r="K348">
        <f>IF(B348="","",IF(F348=0,"No primary keyword",IF(F348&gt;Settings!$B$4,"Too many primary keywords",IF(I348+J348&gt;0,"Check flags","OK"))))</f>
        <v/>
      </c>
    </row>
    <row r="349">
      <c r="A349">
        <f>ROW()-2</f>
        <v/>
      </c>
      <c r="B349">
        <f>IFERROR(INDEX('Keyword Map'!$G$3:$G$1002,MATCH(A349,'Keyword Map'!$AA$3:$AA$1002,0)),"")</f>
        <v/>
      </c>
      <c r="C349">
        <f>IF(B349="","",INDEX('Keyword Map'!$I$3:$I$1002,MATCH(A349,'Keyword Map'!$AA$3:$AA$1002,0))&amp;"")</f>
        <v/>
      </c>
      <c r="D349">
        <f>IF(B349="","",INDEX('Keyword Map'!$H$3:$H$1002,MATCH(A349,'Keyword Map'!$AA$3:$AA$1002,0))&amp;"")</f>
        <v/>
      </c>
      <c r="E349">
        <f>IF(B349="","",COUNTIF('Keyword Map'!$G$3:$G$1002,SUBSTITUTE(SUBSTITUTE(B349,"?","~?"),"*","~*")))</f>
        <v/>
      </c>
      <c r="F349">
        <f>IF(B349="","",COUNTIFS('Keyword Map'!$G$3:$G$1002,SUBSTITUTE(SUBSTITUTE(B349,"?","~?"),"*","~*"),'Keyword Map'!$J$3:$J$1002,"Primary"))</f>
        <v/>
      </c>
      <c r="G349">
        <f>IF(B349="","",SUMIFS('Keyword Map'!$C$3:$C$1002,'Keyword Map'!$G$3:$G$1002,SUBSTITUTE(SUBSTITUTE(B349,"?","~?"),"*","~*")))</f>
        <v/>
      </c>
      <c r="H349">
        <f>IF(B349="","",IFERROR(ROUND(AVERAGEIFS('Keyword Map'!$P$3:$P$1002,'Keyword Map'!$G$3:$G$1002,SUBSTITUTE(SUBSTITUTE(B349,"?","~?"),"*","~*")),0),""))</f>
        <v/>
      </c>
      <c r="I349">
        <f>IF(B349="","",COUNTIFS('Keyword Map'!$G$3:$G$1002,SUBSTITUTE(SUBSTITUTE(B349,"?","~?"),"*","~*"),'Keyword Map'!$R$3:$R$1002,"Yes"))</f>
        <v/>
      </c>
      <c r="J349">
        <f>IF(B349="","",COUNTIFS('Keyword Map'!$G$3:$G$1002,SUBSTITUTE(SUBSTITUTE(B349,"?","~?"),"*","~*"),'Keyword Map'!$W$3:$W$1002,"Yes"))</f>
        <v/>
      </c>
      <c r="K349">
        <f>IF(B349="","",IF(F349=0,"No primary keyword",IF(F349&gt;Settings!$B$4,"Too many primary keywords",IF(I349+J349&gt;0,"Check flags","OK"))))</f>
        <v/>
      </c>
    </row>
    <row r="350">
      <c r="A350">
        <f>ROW()-2</f>
        <v/>
      </c>
      <c r="B350">
        <f>IFERROR(INDEX('Keyword Map'!$G$3:$G$1002,MATCH(A350,'Keyword Map'!$AA$3:$AA$1002,0)),"")</f>
        <v/>
      </c>
      <c r="C350">
        <f>IF(B350="","",INDEX('Keyword Map'!$I$3:$I$1002,MATCH(A350,'Keyword Map'!$AA$3:$AA$1002,0))&amp;"")</f>
        <v/>
      </c>
      <c r="D350">
        <f>IF(B350="","",INDEX('Keyword Map'!$H$3:$H$1002,MATCH(A350,'Keyword Map'!$AA$3:$AA$1002,0))&amp;"")</f>
        <v/>
      </c>
      <c r="E350">
        <f>IF(B350="","",COUNTIF('Keyword Map'!$G$3:$G$1002,SUBSTITUTE(SUBSTITUTE(B350,"?","~?"),"*","~*")))</f>
        <v/>
      </c>
      <c r="F350">
        <f>IF(B350="","",COUNTIFS('Keyword Map'!$G$3:$G$1002,SUBSTITUTE(SUBSTITUTE(B350,"?","~?"),"*","~*"),'Keyword Map'!$J$3:$J$1002,"Primary"))</f>
        <v/>
      </c>
      <c r="G350">
        <f>IF(B350="","",SUMIFS('Keyword Map'!$C$3:$C$1002,'Keyword Map'!$G$3:$G$1002,SUBSTITUTE(SUBSTITUTE(B350,"?","~?"),"*","~*")))</f>
        <v/>
      </c>
      <c r="H350">
        <f>IF(B350="","",IFERROR(ROUND(AVERAGEIFS('Keyword Map'!$P$3:$P$1002,'Keyword Map'!$G$3:$G$1002,SUBSTITUTE(SUBSTITUTE(B350,"?","~?"),"*","~*")),0),""))</f>
        <v/>
      </c>
      <c r="I350">
        <f>IF(B350="","",COUNTIFS('Keyword Map'!$G$3:$G$1002,SUBSTITUTE(SUBSTITUTE(B350,"?","~?"),"*","~*"),'Keyword Map'!$R$3:$R$1002,"Yes"))</f>
        <v/>
      </c>
      <c r="J350">
        <f>IF(B350="","",COUNTIFS('Keyword Map'!$G$3:$G$1002,SUBSTITUTE(SUBSTITUTE(B350,"?","~?"),"*","~*"),'Keyword Map'!$W$3:$W$1002,"Yes"))</f>
        <v/>
      </c>
      <c r="K350">
        <f>IF(B350="","",IF(F350=0,"No primary keyword",IF(F350&gt;Settings!$B$4,"Too many primary keywords",IF(I350+J350&gt;0,"Check flags","OK"))))</f>
        <v/>
      </c>
    </row>
    <row r="351">
      <c r="A351">
        <f>ROW()-2</f>
        <v/>
      </c>
      <c r="B351">
        <f>IFERROR(INDEX('Keyword Map'!$G$3:$G$1002,MATCH(A351,'Keyword Map'!$AA$3:$AA$1002,0)),"")</f>
        <v/>
      </c>
      <c r="C351">
        <f>IF(B351="","",INDEX('Keyword Map'!$I$3:$I$1002,MATCH(A351,'Keyword Map'!$AA$3:$AA$1002,0))&amp;"")</f>
        <v/>
      </c>
      <c r="D351">
        <f>IF(B351="","",INDEX('Keyword Map'!$H$3:$H$1002,MATCH(A351,'Keyword Map'!$AA$3:$AA$1002,0))&amp;"")</f>
        <v/>
      </c>
      <c r="E351">
        <f>IF(B351="","",COUNTIF('Keyword Map'!$G$3:$G$1002,SUBSTITUTE(SUBSTITUTE(B351,"?","~?"),"*","~*")))</f>
        <v/>
      </c>
      <c r="F351">
        <f>IF(B351="","",COUNTIFS('Keyword Map'!$G$3:$G$1002,SUBSTITUTE(SUBSTITUTE(B351,"?","~?"),"*","~*"),'Keyword Map'!$J$3:$J$1002,"Primary"))</f>
        <v/>
      </c>
      <c r="G351">
        <f>IF(B351="","",SUMIFS('Keyword Map'!$C$3:$C$1002,'Keyword Map'!$G$3:$G$1002,SUBSTITUTE(SUBSTITUTE(B351,"?","~?"),"*","~*")))</f>
        <v/>
      </c>
      <c r="H351">
        <f>IF(B351="","",IFERROR(ROUND(AVERAGEIFS('Keyword Map'!$P$3:$P$1002,'Keyword Map'!$G$3:$G$1002,SUBSTITUTE(SUBSTITUTE(B351,"?","~?"),"*","~*")),0),""))</f>
        <v/>
      </c>
      <c r="I351">
        <f>IF(B351="","",COUNTIFS('Keyword Map'!$G$3:$G$1002,SUBSTITUTE(SUBSTITUTE(B351,"?","~?"),"*","~*"),'Keyword Map'!$R$3:$R$1002,"Yes"))</f>
        <v/>
      </c>
      <c r="J351">
        <f>IF(B351="","",COUNTIFS('Keyword Map'!$G$3:$G$1002,SUBSTITUTE(SUBSTITUTE(B351,"?","~?"),"*","~*"),'Keyword Map'!$W$3:$W$1002,"Yes"))</f>
        <v/>
      </c>
      <c r="K351">
        <f>IF(B351="","",IF(F351=0,"No primary keyword",IF(F351&gt;Settings!$B$4,"Too many primary keywords",IF(I351+J351&gt;0,"Check flags","OK"))))</f>
        <v/>
      </c>
    </row>
    <row r="352">
      <c r="A352">
        <f>ROW()-2</f>
        <v/>
      </c>
      <c r="B352">
        <f>IFERROR(INDEX('Keyword Map'!$G$3:$G$1002,MATCH(A352,'Keyword Map'!$AA$3:$AA$1002,0)),"")</f>
        <v/>
      </c>
      <c r="C352">
        <f>IF(B352="","",INDEX('Keyword Map'!$I$3:$I$1002,MATCH(A352,'Keyword Map'!$AA$3:$AA$1002,0))&amp;"")</f>
        <v/>
      </c>
      <c r="D352">
        <f>IF(B352="","",INDEX('Keyword Map'!$H$3:$H$1002,MATCH(A352,'Keyword Map'!$AA$3:$AA$1002,0))&amp;"")</f>
        <v/>
      </c>
      <c r="E352">
        <f>IF(B352="","",COUNTIF('Keyword Map'!$G$3:$G$1002,SUBSTITUTE(SUBSTITUTE(B352,"?","~?"),"*","~*")))</f>
        <v/>
      </c>
      <c r="F352">
        <f>IF(B352="","",COUNTIFS('Keyword Map'!$G$3:$G$1002,SUBSTITUTE(SUBSTITUTE(B352,"?","~?"),"*","~*"),'Keyword Map'!$J$3:$J$1002,"Primary"))</f>
        <v/>
      </c>
      <c r="G352">
        <f>IF(B352="","",SUMIFS('Keyword Map'!$C$3:$C$1002,'Keyword Map'!$G$3:$G$1002,SUBSTITUTE(SUBSTITUTE(B352,"?","~?"),"*","~*")))</f>
        <v/>
      </c>
      <c r="H352">
        <f>IF(B352="","",IFERROR(ROUND(AVERAGEIFS('Keyword Map'!$P$3:$P$1002,'Keyword Map'!$G$3:$G$1002,SUBSTITUTE(SUBSTITUTE(B352,"?","~?"),"*","~*")),0),""))</f>
        <v/>
      </c>
      <c r="I352">
        <f>IF(B352="","",COUNTIFS('Keyword Map'!$G$3:$G$1002,SUBSTITUTE(SUBSTITUTE(B352,"?","~?"),"*","~*"),'Keyword Map'!$R$3:$R$1002,"Yes"))</f>
        <v/>
      </c>
      <c r="J352">
        <f>IF(B352="","",COUNTIFS('Keyword Map'!$G$3:$G$1002,SUBSTITUTE(SUBSTITUTE(B352,"?","~?"),"*","~*"),'Keyword Map'!$W$3:$W$1002,"Yes"))</f>
        <v/>
      </c>
      <c r="K352">
        <f>IF(B352="","",IF(F352=0,"No primary keyword",IF(F352&gt;Settings!$B$4,"Too many primary keywords",IF(I352+J352&gt;0,"Check flags","OK"))))</f>
        <v/>
      </c>
    </row>
    <row r="353">
      <c r="A353">
        <f>ROW()-2</f>
        <v/>
      </c>
      <c r="B353">
        <f>IFERROR(INDEX('Keyword Map'!$G$3:$G$1002,MATCH(A353,'Keyword Map'!$AA$3:$AA$1002,0)),"")</f>
        <v/>
      </c>
      <c r="C353">
        <f>IF(B353="","",INDEX('Keyword Map'!$I$3:$I$1002,MATCH(A353,'Keyword Map'!$AA$3:$AA$1002,0))&amp;"")</f>
        <v/>
      </c>
      <c r="D353">
        <f>IF(B353="","",INDEX('Keyword Map'!$H$3:$H$1002,MATCH(A353,'Keyword Map'!$AA$3:$AA$1002,0))&amp;"")</f>
        <v/>
      </c>
      <c r="E353">
        <f>IF(B353="","",COUNTIF('Keyword Map'!$G$3:$G$1002,SUBSTITUTE(SUBSTITUTE(B353,"?","~?"),"*","~*")))</f>
        <v/>
      </c>
      <c r="F353">
        <f>IF(B353="","",COUNTIFS('Keyword Map'!$G$3:$G$1002,SUBSTITUTE(SUBSTITUTE(B353,"?","~?"),"*","~*"),'Keyword Map'!$J$3:$J$1002,"Primary"))</f>
        <v/>
      </c>
      <c r="G353">
        <f>IF(B353="","",SUMIFS('Keyword Map'!$C$3:$C$1002,'Keyword Map'!$G$3:$G$1002,SUBSTITUTE(SUBSTITUTE(B353,"?","~?"),"*","~*")))</f>
        <v/>
      </c>
      <c r="H353">
        <f>IF(B353="","",IFERROR(ROUND(AVERAGEIFS('Keyword Map'!$P$3:$P$1002,'Keyword Map'!$G$3:$G$1002,SUBSTITUTE(SUBSTITUTE(B353,"?","~?"),"*","~*")),0),""))</f>
        <v/>
      </c>
      <c r="I353">
        <f>IF(B353="","",COUNTIFS('Keyword Map'!$G$3:$G$1002,SUBSTITUTE(SUBSTITUTE(B353,"?","~?"),"*","~*"),'Keyword Map'!$R$3:$R$1002,"Yes"))</f>
        <v/>
      </c>
      <c r="J353">
        <f>IF(B353="","",COUNTIFS('Keyword Map'!$G$3:$G$1002,SUBSTITUTE(SUBSTITUTE(B353,"?","~?"),"*","~*"),'Keyword Map'!$W$3:$W$1002,"Yes"))</f>
        <v/>
      </c>
      <c r="K353">
        <f>IF(B353="","",IF(F353=0,"No primary keyword",IF(F353&gt;Settings!$B$4,"Too many primary keywords",IF(I353+J353&gt;0,"Check flags","OK"))))</f>
        <v/>
      </c>
    </row>
    <row r="354">
      <c r="A354">
        <f>ROW()-2</f>
        <v/>
      </c>
      <c r="B354">
        <f>IFERROR(INDEX('Keyword Map'!$G$3:$G$1002,MATCH(A354,'Keyword Map'!$AA$3:$AA$1002,0)),"")</f>
        <v/>
      </c>
      <c r="C354">
        <f>IF(B354="","",INDEX('Keyword Map'!$I$3:$I$1002,MATCH(A354,'Keyword Map'!$AA$3:$AA$1002,0))&amp;"")</f>
        <v/>
      </c>
      <c r="D354">
        <f>IF(B354="","",INDEX('Keyword Map'!$H$3:$H$1002,MATCH(A354,'Keyword Map'!$AA$3:$AA$1002,0))&amp;"")</f>
        <v/>
      </c>
      <c r="E354">
        <f>IF(B354="","",COUNTIF('Keyword Map'!$G$3:$G$1002,SUBSTITUTE(SUBSTITUTE(B354,"?","~?"),"*","~*")))</f>
        <v/>
      </c>
      <c r="F354">
        <f>IF(B354="","",COUNTIFS('Keyword Map'!$G$3:$G$1002,SUBSTITUTE(SUBSTITUTE(B354,"?","~?"),"*","~*"),'Keyword Map'!$J$3:$J$1002,"Primary"))</f>
        <v/>
      </c>
      <c r="G354">
        <f>IF(B354="","",SUMIFS('Keyword Map'!$C$3:$C$1002,'Keyword Map'!$G$3:$G$1002,SUBSTITUTE(SUBSTITUTE(B354,"?","~?"),"*","~*")))</f>
        <v/>
      </c>
      <c r="H354">
        <f>IF(B354="","",IFERROR(ROUND(AVERAGEIFS('Keyword Map'!$P$3:$P$1002,'Keyword Map'!$G$3:$G$1002,SUBSTITUTE(SUBSTITUTE(B354,"?","~?"),"*","~*")),0),""))</f>
        <v/>
      </c>
      <c r="I354">
        <f>IF(B354="","",COUNTIFS('Keyword Map'!$G$3:$G$1002,SUBSTITUTE(SUBSTITUTE(B354,"?","~?"),"*","~*"),'Keyword Map'!$R$3:$R$1002,"Yes"))</f>
        <v/>
      </c>
      <c r="J354">
        <f>IF(B354="","",COUNTIFS('Keyword Map'!$G$3:$G$1002,SUBSTITUTE(SUBSTITUTE(B354,"?","~?"),"*","~*"),'Keyword Map'!$W$3:$W$1002,"Yes"))</f>
        <v/>
      </c>
      <c r="K354">
        <f>IF(B354="","",IF(F354=0,"No primary keyword",IF(F354&gt;Settings!$B$4,"Too many primary keywords",IF(I354+J354&gt;0,"Check flags","OK"))))</f>
        <v/>
      </c>
    </row>
    <row r="355">
      <c r="A355">
        <f>ROW()-2</f>
        <v/>
      </c>
      <c r="B355">
        <f>IFERROR(INDEX('Keyword Map'!$G$3:$G$1002,MATCH(A355,'Keyword Map'!$AA$3:$AA$1002,0)),"")</f>
        <v/>
      </c>
      <c r="C355">
        <f>IF(B355="","",INDEX('Keyword Map'!$I$3:$I$1002,MATCH(A355,'Keyword Map'!$AA$3:$AA$1002,0))&amp;"")</f>
        <v/>
      </c>
      <c r="D355">
        <f>IF(B355="","",INDEX('Keyword Map'!$H$3:$H$1002,MATCH(A355,'Keyword Map'!$AA$3:$AA$1002,0))&amp;"")</f>
        <v/>
      </c>
      <c r="E355">
        <f>IF(B355="","",COUNTIF('Keyword Map'!$G$3:$G$1002,SUBSTITUTE(SUBSTITUTE(B355,"?","~?"),"*","~*")))</f>
        <v/>
      </c>
      <c r="F355">
        <f>IF(B355="","",COUNTIFS('Keyword Map'!$G$3:$G$1002,SUBSTITUTE(SUBSTITUTE(B355,"?","~?"),"*","~*"),'Keyword Map'!$J$3:$J$1002,"Primary"))</f>
        <v/>
      </c>
      <c r="G355">
        <f>IF(B355="","",SUMIFS('Keyword Map'!$C$3:$C$1002,'Keyword Map'!$G$3:$G$1002,SUBSTITUTE(SUBSTITUTE(B355,"?","~?"),"*","~*")))</f>
        <v/>
      </c>
      <c r="H355">
        <f>IF(B355="","",IFERROR(ROUND(AVERAGEIFS('Keyword Map'!$P$3:$P$1002,'Keyword Map'!$G$3:$G$1002,SUBSTITUTE(SUBSTITUTE(B355,"?","~?"),"*","~*")),0),""))</f>
        <v/>
      </c>
      <c r="I355">
        <f>IF(B355="","",COUNTIFS('Keyword Map'!$G$3:$G$1002,SUBSTITUTE(SUBSTITUTE(B355,"?","~?"),"*","~*"),'Keyword Map'!$R$3:$R$1002,"Yes"))</f>
        <v/>
      </c>
      <c r="J355">
        <f>IF(B355="","",COUNTIFS('Keyword Map'!$G$3:$G$1002,SUBSTITUTE(SUBSTITUTE(B355,"?","~?"),"*","~*"),'Keyword Map'!$W$3:$W$1002,"Yes"))</f>
        <v/>
      </c>
      <c r="K355">
        <f>IF(B355="","",IF(F355=0,"No primary keyword",IF(F355&gt;Settings!$B$4,"Too many primary keywords",IF(I355+J355&gt;0,"Check flags","OK"))))</f>
        <v/>
      </c>
    </row>
    <row r="356">
      <c r="A356">
        <f>ROW()-2</f>
        <v/>
      </c>
      <c r="B356">
        <f>IFERROR(INDEX('Keyword Map'!$G$3:$G$1002,MATCH(A356,'Keyword Map'!$AA$3:$AA$1002,0)),"")</f>
        <v/>
      </c>
      <c r="C356">
        <f>IF(B356="","",INDEX('Keyword Map'!$I$3:$I$1002,MATCH(A356,'Keyword Map'!$AA$3:$AA$1002,0))&amp;"")</f>
        <v/>
      </c>
      <c r="D356">
        <f>IF(B356="","",INDEX('Keyword Map'!$H$3:$H$1002,MATCH(A356,'Keyword Map'!$AA$3:$AA$1002,0))&amp;"")</f>
        <v/>
      </c>
      <c r="E356">
        <f>IF(B356="","",COUNTIF('Keyword Map'!$G$3:$G$1002,SUBSTITUTE(SUBSTITUTE(B356,"?","~?"),"*","~*")))</f>
        <v/>
      </c>
      <c r="F356">
        <f>IF(B356="","",COUNTIFS('Keyword Map'!$G$3:$G$1002,SUBSTITUTE(SUBSTITUTE(B356,"?","~?"),"*","~*"),'Keyword Map'!$J$3:$J$1002,"Primary"))</f>
        <v/>
      </c>
      <c r="G356">
        <f>IF(B356="","",SUMIFS('Keyword Map'!$C$3:$C$1002,'Keyword Map'!$G$3:$G$1002,SUBSTITUTE(SUBSTITUTE(B356,"?","~?"),"*","~*")))</f>
        <v/>
      </c>
      <c r="H356">
        <f>IF(B356="","",IFERROR(ROUND(AVERAGEIFS('Keyword Map'!$P$3:$P$1002,'Keyword Map'!$G$3:$G$1002,SUBSTITUTE(SUBSTITUTE(B356,"?","~?"),"*","~*")),0),""))</f>
        <v/>
      </c>
      <c r="I356">
        <f>IF(B356="","",COUNTIFS('Keyword Map'!$G$3:$G$1002,SUBSTITUTE(SUBSTITUTE(B356,"?","~?"),"*","~*"),'Keyword Map'!$R$3:$R$1002,"Yes"))</f>
        <v/>
      </c>
      <c r="J356">
        <f>IF(B356="","",COUNTIFS('Keyword Map'!$G$3:$G$1002,SUBSTITUTE(SUBSTITUTE(B356,"?","~?"),"*","~*"),'Keyword Map'!$W$3:$W$1002,"Yes"))</f>
        <v/>
      </c>
      <c r="K356">
        <f>IF(B356="","",IF(F356=0,"No primary keyword",IF(F356&gt;Settings!$B$4,"Too many primary keywords",IF(I356+J356&gt;0,"Check flags","OK"))))</f>
        <v/>
      </c>
    </row>
    <row r="357">
      <c r="A357">
        <f>ROW()-2</f>
        <v/>
      </c>
      <c r="B357">
        <f>IFERROR(INDEX('Keyword Map'!$G$3:$G$1002,MATCH(A357,'Keyword Map'!$AA$3:$AA$1002,0)),"")</f>
        <v/>
      </c>
      <c r="C357">
        <f>IF(B357="","",INDEX('Keyword Map'!$I$3:$I$1002,MATCH(A357,'Keyword Map'!$AA$3:$AA$1002,0))&amp;"")</f>
        <v/>
      </c>
      <c r="D357">
        <f>IF(B357="","",INDEX('Keyword Map'!$H$3:$H$1002,MATCH(A357,'Keyword Map'!$AA$3:$AA$1002,0))&amp;"")</f>
        <v/>
      </c>
      <c r="E357">
        <f>IF(B357="","",COUNTIF('Keyword Map'!$G$3:$G$1002,SUBSTITUTE(SUBSTITUTE(B357,"?","~?"),"*","~*")))</f>
        <v/>
      </c>
      <c r="F357">
        <f>IF(B357="","",COUNTIFS('Keyword Map'!$G$3:$G$1002,SUBSTITUTE(SUBSTITUTE(B357,"?","~?"),"*","~*"),'Keyword Map'!$J$3:$J$1002,"Primary"))</f>
        <v/>
      </c>
      <c r="G357">
        <f>IF(B357="","",SUMIFS('Keyword Map'!$C$3:$C$1002,'Keyword Map'!$G$3:$G$1002,SUBSTITUTE(SUBSTITUTE(B357,"?","~?"),"*","~*")))</f>
        <v/>
      </c>
      <c r="H357">
        <f>IF(B357="","",IFERROR(ROUND(AVERAGEIFS('Keyword Map'!$P$3:$P$1002,'Keyword Map'!$G$3:$G$1002,SUBSTITUTE(SUBSTITUTE(B357,"?","~?"),"*","~*")),0),""))</f>
        <v/>
      </c>
      <c r="I357">
        <f>IF(B357="","",COUNTIFS('Keyword Map'!$G$3:$G$1002,SUBSTITUTE(SUBSTITUTE(B357,"?","~?"),"*","~*"),'Keyword Map'!$R$3:$R$1002,"Yes"))</f>
        <v/>
      </c>
      <c r="J357">
        <f>IF(B357="","",COUNTIFS('Keyword Map'!$G$3:$G$1002,SUBSTITUTE(SUBSTITUTE(B357,"?","~?"),"*","~*"),'Keyword Map'!$W$3:$W$1002,"Yes"))</f>
        <v/>
      </c>
      <c r="K357">
        <f>IF(B357="","",IF(F357=0,"No primary keyword",IF(F357&gt;Settings!$B$4,"Too many primary keywords",IF(I357+J357&gt;0,"Check flags","OK"))))</f>
        <v/>
      </c>
    </row>
    <row r="358">
      <c r="A358">
        <f>ROW()-2</f>
        <v/>
      </c>
      <c r="B358">
        <f>IFERROR(INDEX('Keyword Map'!$G$3:$G$1002,MATCH(A358,'Keyword Map'!$AA$3:$AA$1002,0)),"")</f>
        <v/>
      </c>
      <c r="C358">
        <f>IF(B358="","",INDEX('Keyword Map'!$I$3:$I$1002,MATCH(A358,'Keyword Map'!$AA$3:$AA$1002,0))&amp;"")</f>
        <v/>
      </c>
      <c r="D358">
        <f>IF(B358="","",INDEX('Keyword Map'!$H$3:$H$1002,MATCH(A358,'Keyword Map'!$AA$3:$AA$1002,0))&amp;"")</f>
        <v/>
      </c>
      <c r="E358">
        <f>IF(B358="","",COUNTIF('Keyword Map'!$G$3:$G$1002,SUBSTITUTE(SUBSTITUTE(B358,"?","~?"),"*","~*")))</f>
        <v/>
      </c>
      <c r="F358">
        <f>IF(B358="","",COUNTIFS('Keyword Map'!$G$3:$G$1002,SUBSTITUTE(SUBSTITUTE(B358,"?","~?"),"*","~*"),'Keyword Map'!$J$3:$J$1002,"Primary"))</f>
        <v/>
      </c>
      <c r="G358">
        <f>IF(B358="","",SUMIFS('Keyword Map'!$C$3:$C$1002,'Keyword Map'!$G$3:$G$1002,SUBSTITUTE(SUBSTITUTE(B358,"?","~?"),"*","~*")))</f>
        <v/>
      </c>
      <c r="H358">
        <f>IF(B358="","",IFERROR(ROUND(AVERAGEIFS('Keyword Map'!$P$3:$P$1002,'Keyword Map'!$G$3:$G$1002,SUBSTITUTE(SUBSTITUTE(B358,"?","~?"),"*","~*")),0),""))</f>
        <v/>
      </c>
      <c r="I358">
        <f>IF(B358="","",COUNTIFS('Keyword Map'!$G$3:$G$1002,SUBSTITUTE(SUBSTITUTE(B358,"?","~?"),"*","~*"),'Keyword Map'!$R$3:$R$1002,"Yes"))</f>
        <v/>
      </c>
      <c r="J358">
        <f>IF(B358="","",COUNTIFS('Keyword Map'!$G$3:$G$1002,SUBSTITUTE(SUBSTITUTE(B358,"?","~?"),"*","~*"),'Keyword Map'!$W$3:$W$1002,"Yes"))</f>
        <v/>
      </c>
      <c r="K358">
        <f>IF(B358="","",IF(F358=0,"No primary keyword",IF(F358&gt;Settings!$B$4,"Too many primary keywords",IF(I358+J358&gt;0,"Check flags","OK"))))</f>
        <v/>
      </c>
    </row>
    <row r="359">
      <c r="A359">
        <f>ROW()-2</f>
        <v/>
      </c>
      <c r="B359">
        <f>IFERROR(INDEX('Keyword Map'!$G$3:$G$1002,MATCH(A359,'Keyword Map'!$AA$3:$AA$1002,0)),"")</f>
        <v/>
      </c>
      <c r="C359">
        <f>IF(B359="","",INDEX('Keyword Map'!$I$3:$I$1002,MATCH(A359,'Keyword Map'!$AA$3:$AA$1002,0))&amp;"")</f>
        <v/>
      </c>
      <c r="D359">
        <f>IF(B359="","",INDEX('Keyword Map'!$H$3:$H$1002,MATCH(A359,'Keyword Map'!$AA$3:$AA$1002,0))&amp;"")</f>
        <v/>
      </c>
      <c r="E359">
        <f>IF(B359="","",COUNTIF('Keyword Map'!$G$3:$G$1002,SUBSTITUTE(SUBSTITUTE(B359,"?","~?"),"*","~*")))</f>
        <v/>
      </c>
      <c r="F359">
        <f>IF(B359="","",COUNTIFS('Keyword Map'!$G$3:$G$1002,SUBSTITUTE(SUBSTITUTE(B359,"?","~?"),"*","~*"),'Keyword Map'!$J$3:$J$1002,"Primary"))</f>
        <v/>
      </c>
      <c r="G359">
        <f>IF(B359="","",SUMIFS('Keyword Map'!$C$3:$C$1002,'Keyword Map'!$G$3:$G$1002,SUBSTITUTE(SUBSTITUTE(B359,"?","~?"),"*","~*")))</f>
        <v/>
      </c>
      <c r="H359">
        <f>IF(B359="","",IFERROR(ROUND(AVERAGEIFS('Keyword Map'!$P$3:$P$1002,'Keyword Map'!$G$3:$G$1002,SUBSTITUTE(SUBSTITUTE(B359,"?","~?"),"*","~*")),0),""))</f>
        <v/>
      </c>
      <c r="I359">
        <f>IF(B359="","",COUNTIFS('Keyword Map'!$G$3:$G$1002,SUBSTITUTE(SUBSTITUTE(B359,"?","~?"),"*","~*"),'Keyword Map'!$R$3:$R$1002,"Yes"))</f>
        <v/>
      </c>
      <c r="J359">
        <f>IF(B359="","",COUNTIFS('Keyword Map'!$G$3:$G$1002,SUBSTITUTE(SUBSTITUTE(B359,"?","~?"),"*","~*"),'Keyword Map'!$W$3:$W$1002,"Yes"))</f>
        <v/>
      </c>
      <c r="K359">
        <f>IF(B359="","",IF(F359=0,"No primary keyword",IF(F359&gt;Settings!$B$4,"Too many primary keywords",IF(I359+J359&gt;0,"Check flags","OK"))))</f>
        <v/>
      </c>
    </row>
    <row r="360">
      <c r="A360">
        <f>ROW()-2</f>
        <v/>
      </c>
      <c r="B360">
        <f>IFERROR(INDEX('Keyword Map'!$G$3:$G$1002,MATCH(A360,'Keyword Map'!$AA$3:$AA$1002,0)),"")</f>
        <v/>
      </c>
      <c r="C360">
        <f>IF(B360="","",INDEX('Keyword Map'!$I$3:$I$1002,MATCH(A360,'Keyword Map'!$AA$3:$AA$1002,0))&amp;"")</f>
        <v/>
      </c>
      <c r="D360">
        <f>IF(B360="","",INDEX('Keyword Map'!$H$3:$H$1002,MATCH(A360,'Keyword Map'!$AA$3:$AA$1002,0))&amp;"")</f>
        <v/>
      </c>
      <c r="E360">
        <f>IF(B360="","",COUNTIF('Keyword Map'!$G$3:$G$1002,SUBSTITUTE(SUBSTITUTE(B360,"?","~?"),"*","~*")))</f>
        <v/>
      </c>
      <c r="F360">
        <f>IF(B360="","",COUNTIFS('Keyword Map'!$G$3:$G$1002,SUBSTITUTE(SUBSTITUTE(B360,"?","~?"),"*","~*"),'Keyword Map'!$J$3:$J$1002,"Primary"))</f>
        <v/>
      </c>
      <c r="G360">
        <f>IF(B360="","",SUMIFS('Keyword Map'!$C$3:$C$1002,'Keyword Map'!$G$3:$G$1002,SUBSTITUTE(SUBSTITUTE(B360,"?","~?"),"*","~*")))</f>
        <v/>
      </c>
      <c r="H360">
        <f>IF(B360="","",IFERROR(ROUND(AVERAGEIFS('Keyword Map'!$P$3:$P$1002,'Keyword Map'!$G$3:$G$1002,SUBSTITUTE(SUBSTITUTE(B360,"?","~?"),"*","~*")),0),""))</f>
        <v/>
      </c>
      <c r="I360">
        <f>IF(B360="","",COUNTIFS('Keyword Map'!$G$3:$G$1002,SUBSTITUTE(SUBSTITUTE(B360,"?","~?"),"*","~*"),'Keyword Map'!$R$3:$R$1002,"Yes"))</f>
        <v/>
      </c>
      <c r="J360">
        <f>IF(B360="","",COUNTIFS('Keyword Map'!$G$3:$G$1002,SUBSTITUTE(SUBSTITUTE(B360,"?","~?"),"*","~*"),'Keyword Map'!$W$3:$W$1002,"Yes"))</f>
        <v/>
      </c>
      <c r="K360">
        <f>IF(B360="","",IF(F360=0,"No primary keyword",IF(F360&gt;Settings!$B$4,"Too many primary keywords",IF(I360+J360&gt;0,"Check flags","OK"))))</f>
        <v/>
      </c>
    </row>
    <row r="361">
      <c r="A361">
        <f>ROW()-2</f>
        <v/>
      </c>
      <c r="B361">
        <f>IFERROR(INDEX('Keyword Map'!$G$3:$G$1002,MATCH(A361,'Keyword Map'!$AA$3:$AA$1002,0)),"")</f>
        <v/>
      </c>
      <c r="C361">
        <f>IF(B361="","",INDEX('Keyword Map'!$I$3:$I$1002,MATCH(A361,'Keyword Map'!$AA$3:$AA$1002,0))&amp;"")</f>
        <v/>
      </c>
      <c r="D361">
        <f>IF(B361="","",INDEX('Keyword Map'!$H$3:$H$1002,MATCH(A361,'Keyword Map'!$AA$3:$AA$1002,0))&amp;"")</f>
        <v/>
      </c>
      <c r="E361">
        <f>IF(B361="","",COUNTIF('Keyword Map'!$G$3:$G$1002,SUBSTITUTE(SUBSTITUTE(B361,"?","~?"),"*","~*")))</f>
        <v/>
      </c>
      <c r="F361">
        <f>IF(B361="","",COUNTIFS('Keyword Map'!$G$3:$G$1002,SUBSTITUTE(SUBSTITUTE(B361,"?","~?"),"*","~*"),'Keyword Map'!$J$3:$J$1002,"Primary"))</f>
        <v/>
      </c>
      <c r="G361">
        <f>IF(B361="","",SUMIFS('Keyword Map'!$C$3:$C$1002,'Keyword Map'!$G$3:$G$1002,SUBSTITUTE(SUBSTITUTE(B361,"?","~?"),"*","~*")))</f>
        <v/>
      </c>
      <c r="H361">
        <f>IF(B361="","",IFERROR(ROUND(AVERAGEIFS('Keyword Map'!$P$3:$P$1002,'Keyword Map'!$G$3:$G$1002,SUBSTITUTE(SUBSTITUTE(B361,"?","~?"),"*","~*")),0),""))</f>
        <v/>
      </c>
      <c r="I361">
        <f>IF(B361="","",COUNTIFS('Keyword Map'!$G$3:$G$1002,SUBSTITUTE(SUBSTITUTE(B361,"?","~?"),"*","~*"),'Keyword Map'!$R$3:$R$1002,"Yes"))</f>
        <v/>
      </c>
      <c r="J361">
        <f>IF(B361="","",COUNTIFS('Keyword Map'!$G$3:$G$1002,SUBSTITUTE(SUBSTITUTE(B361,"?","~?"),"*","~*"),'Keyword Map'!$W$3:$W$1002,"Yes"))</f>
        <v/>
      </c>
      <c r="K361">
        <f>IF(B361="","",IF(F361=0,"No primary keyword",IF(F361&gt;Settings!$B$4,"Too many primary keywords",IF(I361+J361&gt;0,"Check flags","OK"))))</f>
        <v/>
      </c>
    </row>
    <row r="362">
      <c r="A362">
        <f>ROW()-2</f>
        <v/>
      </c>
      <c r="B362">
        <f>IFERROR(INDEX('Keyword Map'!$G$3:$G$1002,MATCH(A362,'Keyword Map'!$AA$3:$AA$1002,0)),"")</f>
        <v/>
      </c>
      <c r="C362">
        <f>IF(B362="","",INDEX('Keyword Map'!$I$3:$I$1002,MATCH(A362,'Keyword Map'!$AA$3:$AA$1002,0))&amp;"")</f>
        <v/>
      </c>
      <c r="D362">
        <f>IF(B362="","",INDEX('Keyword Map'!$H$3:$H$1002,MATCH(A362,'Keyword Map'!$AA$3:$AA$1002,0))&amp;"")</f>
        <v/>
      </c>
      <c r="E362">
        <f>IF(B362="","",COUNTIF('Keyword Map'!$G$3:$G$1002,SUBSTITUTE(SUBSTITUTE(B362,"?","~?"),"*","~*")))</f>
        <v/>
      </c>
      <c r="F362">
        <f>IF(B362="","",COUNTIFS('Keyword Map'!$G$3:$G$1002,SUBSTITUTE(SUBSTITUTE(B362,"?","~?"),"*","~*"),'Keyword Map'!$J$3:$J$1002,"Primary"))</f>
        <v/>
      </c>
      <c r="G362">
        <f>IF(B362="","",SUMIFS('Keyword Map'!$C$3:$C$1002,'Keyword Map'!$G$3:$G$1002,SUBSTITUTE(SUBSTITUTE(B362,"?","~?"),"*","~*")))</f>
        <v/>
      </c>
      <c r="H362">
        <f>IF(B362="","",IFERROR(ROUND(AVERAGEIFS('Keyword Map'!$P$3:$P$1002,'Keyword Map'!$G$3:$G$1002,SUBSTITUTE(SUBSTITUTE(B362,"?","~?"),"*","~*")),0),""))</f>
        <v/>
      </c>
      <c r="I362">
        <f>IF(B362="","",COUNTIFS('Keyword Map'!$G$3:$G$1002,SUBSTITUTE(SUBSTITUTE(B362,"?","~?"),"*","~*"),'Keyword Map'!$R$3:$R$1002,"Yes"))</f>
        <v/>
      </c>
      <c r="J362">
        <f>IF(B362="","",COUNTIFS('Keyword Map'!$G$3:$G$1002,SUBSTITUTE(SUBSTITUTE(B362,"?","~?"),"*","~*"),'Keyword Map'!$W$3:$W$1002,"Yes"))</f>
        <v/>
      </c>
      <c r="K362">
        <f>IF(B362="","",IF(F362=0,"No primary keyword",IF(F362&gt;Settings!$B$4,"Too many primary keywords",IF(I362+J362&gt;0,"Check flags","OK"))))</f>
        <v/>
      </c>
    </row>
    <row r="363">
      <c r="A363">
        <f>ROW()-2</f>
        <v/>
      </c>
      <c r="B363">
        <f>IFERROR(INDEX('Keyword Map'!$G$3:$G$1002,MATCH(A363,'Keyword Map'!$AA$3:$AA$1002,0)),"")</f>
        <v/>
      </c>
      <c r="C363">
        <f>IF(B363="","",INDEX('Keyword Map'!$I$3:$I$1002,MATCH(A363,'Keyword Map'!$AA$3:$AA$1002,0))&amp;"")</f>
        <v/>
      </c>
      <c r="D363">
        <f>IF(B363="","",INDEX('Keyword Map'!$H$3:$H$1002,MATCH(A363,'Keyword Map'!$AA$3:$AA$1002,0))&amp;"")</f>
        <v/>
      </c>
      <c r="E363">
        <f>IF(B363="","",COUNTIF('Keyword Map'!$G$3:$G$1002,SUBSTITUTE(SUBSTITUTE(B363,"?","~?"),"*","~*")))</f>
        <v/>
      </c>
      <c r="F363">
        <f>IF(B363="","",COUNTIFS('Keyword Map'!$G$3:$G$1002,SUBSTITUTE(SUBSTITUTE(B363,"?","~?"),"*","~*"),'Keyword Map'!$J$3:$J$1002,"Primary"))</f>
        <v/>
      </c>
      <c r="G363">
        <f>IF(B363="","",SUMIFS('Keyword Map'!$C$3:$C$1002,'Keyword Map'!$G$3:$G$1002,SUBSTITUTE(SUBSTITUTE(B363,"?","~?"),"*","~*")))</f>
        <v/>
      </c>
      <c r="H363">
        <f>IF(B363="","",IFERROR(ROUND(AVERAGEIFS('Keyword Map'!$P$3:$P$1002,'Keyword Map'!$G$3:$G$1002,SUBSTITUTE(SUBSTITUTE(B363,"?","~?"),"*","~*")),0),""))</f>
        <v/>
      </c>
      <c r="I363">
        <f>IF(B363="","",COUNTIFS('Keyword Map'!$G$3:$G$1002,SUBSTITUTE(SUBSTITUTE(B363,"?","~?"),"*","~*"),'Keyword Map'!$R$3:$R$1002,"Yes"))</f>
        <v/>
      </c>
      <c r="J363">
        <f>IF(B363="","",COUNTIFS('Keyword Map'!$G$3:$G$1002,SUBSTITUTE(SUBSTITUTE(B363,"?","~?"),"*","~*"),'Keyword Map'!$W$3:$W$1002,"Yes"))</f>
        <v/>
      </c>
      <c r="K363">
        <f>IF(B363="","",IF(F363=0,"No primary keyword",IF(F363&gt;Settings!$B$4,"Too many primary keywords",IF(I363+J363&gt;0,"Check flags","OK"))))</f>
        <v/>
      </c>
    </row>
    <row r="364">
      <c r="A364">
        <f>ROW()-2</f>
        <v/>
      </c>
      <c r="B364">
        <f>IFERROR(INDEX('Keyword Map'!$G$3:$G$1002,MATCH(A364,'Keyword Map'!$AA$3:$AA$1002,0)),"")</f>
        <v/>
      </c>
      <c r="C364">
        <f>IF(B364="","",INDEX('Keyword Map'!$I$3:$I$1002,MATCH(A364,'Keyword Map'!$AA$3:$AA$1002,0))&amp;"")</f>
        <v/>
      </c>
      <c r="D364">
        <f>IF(B364="","",INDEX('Keyword Map'!$H$3:$H$1002,MATCH(A364,'Keyword Map'!$AA$3:$AA$1002,0))&amp;"")</f>
        <v/>
      </c>
      <c r="E364">
        <f>IF(B364="","",COUNTIF('Keyword Map'!$G$3:$G$1002,SUBSTITUTE(SUBSTITUTE(B364,"?","~?"),"*","~*")))</f>
        <v/>
      </c>
      <c r="F364">
        <f>IF(B364="","",COUNTIFS('Keyword Map'!$G$3:$G$1002,SUBSTITUTE(SUBSTITUTE(B364,"?","~?"),"*","~*"),'Keyword Map'!$J$3:$J$1002,"Primary"))</f>
        <v/>
      </c>
      <c r="G364">
        <f>IF(B364="","",SUMIFS('Keyword Map'!$C$3:$C$1002,'Keyword Map'!$G$3:$G$1002,SUBSTITUTE(SUBSTITUTE(B364,"?","~?"),"*","~*")))</f>
        <v/>
      </c>
      <c r="H364">
        <f>IF(B364="","",IFERROR(ROUND(AVERAGEIFS('Keyword Map'!$P$3:$P$1002,'Keyword Map'!$G$3:$G$1002,SUBSTITUTE(SUBSTITUTE(B364,"?","~?"),"*","~*")),0),""))</f>
        <v/>
      </c>
      <c r="I364">
        <f>IF(B364="","",COUNTIFS('Keyword Map'!$G$3:$G$1002,SUBSTITUTE(SUBSTITUTE(B364,"?","~?"),"*","~*"),'Keyword Map'!$R$3:$R$1002,"Yes"))</f>
        <v/>
      </c>
      <c r="J364">
        <f>IF(B364="","",COUNTIFS('Keyword Map'!$G$3:$G$1002,SUBSTITUTE(SUBSTITUTE(B364,"?","~?"),"*","~*"),'Keyword Map'!$W$3:$W$1002,"Yes"))</f>
        <v/>
      </c>
      <c r="K364">
        <f>IF(B364="","",IF(F364=0,"No primary keyword",IF(F364&gt;Settings!$B$4,"Too many primary keywords",IF(I364+J364&gt;0,"Check flags","OK"))))</f>
        <v/>
      </c>
    </row>
    <row r="365">
      <c r="A365">
        <f>ROW()-2</f>
        <v/>
      </c>
      <c r="B365">
        <f>IFERROR(INDEX('Keyword Map'!$G$3:$G$1002,MATCH(A365,'Keyword Map'!$AA$3:$AA$1002,0)),"")</f>
        <v/>
      </c>
      <c r="C365">
        <f>IF(B365="","",INDEX('Keyword Map'!$I$3:$I$1002,MATCH(A365,'Keyword Map'!$AA$3:$AA$1002,0))&amp;"")</f>
        <v/>
      </c>
      <c r="D365">
        <f>IF(B365="","",INDEX('Keyword Map'!$H$3:$H$1002,MATCH(A365,'Keyword Map'!$AA$3:$AA$1002,0))&amp;"")</f>
        <v/>
      </c>
      <c r="E365">
        <f>IF(B365="","",COUNTIF('Keyword Map'!$G$3:$G$1002,SUBSTITUTE(SUBSTITUTE(B365,"?","~?"),"*","~*")))</f>
        <v/>
      </c>
      <c r="F365">
        <f>IF(B365="","",COUNTIFS('Keyword Map'!$G$3:$G$1002,SUBSTITUTE(SUBSTITUTE(B365,"?","~?"),"*","~*"),'Keyword Map'!$J$3:$J$1002,"Primary"))</f>
        <v/>
      </c>
      <c r="G365">
        <f>IF(B365="","",SUMIFS('Keyword Map'!$C$3:$C$1002,'Keyword Map'!$G$3:$G$1002,SUBSTITUTE(SUBSTITUTE(B365,"?","~?"),"*","~*")))</f>
        <v/>
      </c>
      <c r="H365">
        <f>IF(B365="","",IFERROR(ROUND(AVERAGEIFS('Keyword Map'!$P$3:$P$1002,'Keyword Map'!$G$3:$G$1002,SUBSTITUTE(SUBSTITUTE(B365,"?","~?"),"*","~*")),0),""))</f>
        <v/>
      </c>
      <c r="I365">
        <f>IF(B365="","",COUNTIFS('Keyword Map'!$G$3:$G$1002,SUBSTITUTE(SUBSTITUTE(B365,"?","~?"),"*","~*"),'Keyword Map'!$R$3:$R$1002,"Yes"))</f>
        <v/>
      </c>
      <c r="J365">
        <f>IF(B365="","",COUNTIFS('Keyword Map'!$G$3:$G$1002,SUBSTITUTE(SUBSTITUTE(B365,"?","~?"),"*","~*"),'Keyword Map'!$W$3:$W$1002,"Yes"))</f>
        <v/>
      </c>
      <c r="K365">
        <f>IF(B365="","",IF(F365=0,"No primary keyword",IF(F365&gt;Settings!$B$4,"Too many primary keywords",IF(I365+J365&gt;0,"Check flags","OK"))))</f>
        <v/>
      </c>
    </row>
    <row r="366">
      <c r="A366">
        <f>ROW()-2</f>
        <v/>
      </c>
      <c r="B366">
        <f>IFERROR(INDEX('Keyword Map'!$G$3:$G$1002,MATCH(A366,'Keyword Map'!$AA$3:$AA$1002,0)),"")</f>
        <v/>
      </c>
      <c r="C366">
        <f>IF(B366="","",INDEX('Keyword Map'!$I$3:$I$1002,MATCH(A366,'Keyword Map'!$AA$3:$AA$1002,0))&amp;"")</f>
        <v/>
      </c>
      <c r="D366">
        <f>IF(B366="","",INDEX('Keyword Map'!$H$3:$H$1002,MATCH(A366,'Keyword Map'!$AA$3:$AA$1002,0))&amp;"")</f>
        <v/>
      </c>
      <c r="E366">
        <f>IF(B366="","",COUNTIF('Keyword Map'!$G$3:$G$1002,SUBSTITUTE(SUBSTITUTE(B366,"?","~?"),"*","~*")))</f>
        <v/>
      </c>
      <c r="F366">
        <f>IF(B366="","",COUNTIFS('Keyword Map'!$G$3:$G$1002,SUBSTITUTE(SUBSTITUTE(B366,"?","~?"),"*","~*"),'Keyword Map'!$J$3:$J$1002,"Primary"))</f>
        <v/>
      </c>
      <c r="G366">
        <f>IF(B366="","",SUMIFS('Keyword Map'!$C$3:$C$1002,'Keyword Map'!$G$3:$G$1002,SUBSTITUTE(SUBSTITUTE(B366,"?","~?"),"*","~*")))</f>
        <v/>
      </c>
      <c r="H366">
        <f>IF(B366="","",IFERROR(ROUND(AVERAGEIFS('Keyword Map'!$P$3:$P$1002,'Keyword Map'!$G$3:$G$1002,SUBSTITUTE(SUBSTITUTE(B366,"?","~?"),"*","~*")),0),""))</f>
        <v/>
      </c>
      <c r="I366">
        <f>IF(B366="","",COUNTIFS('Keyword Map'!$G$3:$G$1002,SUBSTITUTE(SUBSTITUTE(B366,"?","~?"),"*","~*"),'Keyword Map'!$R$3:$R$1002,"Yes"))</f>
        <v/>
      </c>
      <c r="J366">
        <f>IF(B366="","",COUNTIFS('Keyword Map'!$G$3:$G$1002,SUBSTITUTE(SUBSTITUTE(B366,"?","~?"),"*","~*"),'Keyword Map'!$W$3:$W$1002,"Yes"))</f>
        <v/>
      </c>
      <c r="K366">
        <f>IF(B366="","",IF(F366=0,"No primary keyword",IF(F366&gt;Settings!$B$4,"Too many primary keywords",IF(I366+J366&gt;0,"Check flags","OK"))))</f>
        <v/>
      </c>
    </row>
    <row r="367">
      <c r="A367">
        <f>ROW()-2</f>
        <v/>
      </c>
      <c r="B367">
        <f>IFERROR(INDEX('Keyword Map'!$G$3:$G$1002,MATCH(A367,'Keyword Map'!$AA$3:$AA$1002,0)),"")</f>
        <v/>
      </c>
      <c r="C367">
        <f>IF(B367="","",INDEX('Keyword Map'!$I$3:$I$1002,MATCH(A367,'Keyword Map'!$AA$3:$AA$1002,0))&amp;"")</f>
        <v/>
      </c>
      <c r="D367">
        <f>IF(B367="","",INDEX('Keyword Map'!$H$3:$H$1002,MATCH(A367,'Keyword Map'!$AA$3:$AA$1002,0))&amp;"")</f>
        <v/>
      </c>
      <c r="E367">
        <f>IF(B367="","",COUNTIF('Keyword Map'!$G$3:$G$1002,SUBSTITUTE(SUBSTITUTE(B367,"?","~?"),"*","~*")))</f>
        <v/>
      </c>
      <c r="F367">
        <f>IF(B367="","",COUNTIFS('Keyword Map'!$G$3:$G$1002,SUBSTITUTE(SUBSTITUTE(B367,"?","~?"),"*","~*"),'Keyword Map'!$J$3:$J$1002,"Primary"))</f>
        <v/>
      </c>
      <c r="G367">
        <f>IF(B367="","",SUMIFS('Keyword Map'!$C$3:$C$1002,'Keyword Map'!$G$3:$G$1002,SUBSTITUTE(SUBSTITUTE(B367,"?","~?"),"*","~*")))</f>
        <v/>
      </c>
      <c r="H367">
        <f>IF(B367="","",IFERROR(ROUND(AVERAGEIFS('Keyword Map'!$P$3:$P$1002,'Keyword Map'!$G$3:$G$1002,SUBSTITUTE(SUBSTITUTE(B367,"?","~?"),"*","~*")),0),""))</f>
        <v/>
      </c>
      <c r="I367">
        <f>IF(B367="","",COUNTIFS('Keyword Map'!$G$3:$G$1002,SUBSTITUTE(SUBSTITUTE(B367,"?","~?"),"*","~*"),'Keyword Map'!$R$3:$R$1002,"Yes"))</f>
        <v/>
      </c>
      <c r="J367">
        <f>IF(B367="","",COUNTIFS('Keyword Map'!$G$3:$G$1002,SUBSTITUTE(SUBSTITUTE(B367,"?","~?"),"*","~*"),'Keyword Map'!$W$3:$W$1002,"Yes"))</f>
        <v/>
      </c>
      <c r="K367">
        <f>IF(B367="","",IF(F367=0,"No primary keyword",IF(F367&gt;Settings!$B$4,"Too many primary keywords",IF(I367+J367&gt;0,"Check flags","OK"))))</f>
        <v/>
      </c>
    </row>
    <row r="368">
      <c r="A368">
        <f>ROW()-2</f>
        <v/>
      </c>
      <c r="B368">
        <f>IFERROR(INDEX('Keyword Map'!$G$3:$G$1002,MATCH(A368,'Keyword Map'!$AA$3:$AA$1002,0)),"")</f>
        <v/>
      </c>
      <c r="C368">
        <f>IF(B368="","",INDEX('Keyword Map'!$I$3:$I$1002,MATCH(A368,'Keyword Map'!$AA$3:$AA$1002,0))&amp;"")</f>
        <v/>
      </c>
      <c r="D368">
        <f>IF(B368="","",INDEX('Keyword Map'!$H$3:$H$1002,MATCH(A368,'Keyword Map'!$AA$3:$AA$1002,0))&amp;"")</f>
        <v/>
      </c>
      <c r="E368">
        <f>IF(B368="","",COUNTIF('Keyword Map'!$G$3:$G$1002,SUBSTITUTE(SUBSTITUTE(B368,"?","~?"),"*","~*")))</f>
        <v/>
      </c>
      <c r="F368">
        <f>IF(B368="","",COUNTIFS('Keyword Map'!$G$3:$G$1002,SUBSTITUTE(SUBSTITUTE(B368,"?","~?"),"*","~*"),'Keyword Map'!$J$3:$J$1002,"Primary"))</f>
        <v/>
      </c>
      <c r="G368">
        <f>IF(B368="","",SUMIFS('Keyword Map'!$C$3:$C$1002,'Keyword Map'!$G$3:$G$1002,SUBSTITUTE(SUBSTITUTE(B368,"?","~?"),"*","~*")))</f>
        <v/>
      </c>
      <c r="H368">
        <f>IF(B368="","",IFERROR(ROUND(AVERAGEIFS('Keyword Map'!$P$3:$P$1002,'Keyword Map'!$G$3:$G$1002,SUBSTITUTE(SUBSTITUTE(B368,"?","~?"),"*","~*")),0),""))</f>
        <v/>
      </c>
      <c r="I368">
        <f>IF(B368="","",COUNTIFS('Keyword Map'!$G$3:$G$1002,SUBSTITUTE(SUBSTITUTE(B368,"?","~?"),"*","~*"),'Keyword Map'!$R$3:$R$1002,"Yes"))</f>
        <v/>
      </c>
      <c r="J368">
        <f>IF(B368="","",COUNTIFS('Keyword Map'!$G$3:$G$1002,SUBSTITUTE(SUBSTITUTE(B368,"?","~?"),"*","~*"),'Keyword Map'!$W$3:$W$1002,"Yes"))</f>
        <v/>
      </c>
      <c r="K368">
        <f>IF(B368="","",IF(F368=0,"No primary keyword",IF(F368&gt;Settings!$B$4,"Too many primary keywords",IF(I368+J368&gt;0,"Check flags","OK"))))</f>
        <v/>
      </c>
    </row>
    <row r="369">
      <c r="A369">
        <f>ROW()-2</f>
        <v/>
      </c>
      <c r="B369">
        <f>IFERROR(INDEX('Keyword Map'!$G$3:$G$1002,MATCH(A369,'Keyword Map'!$AA$3:$AA$1002,0)),"")</f>
        <v/>
      </c>
      <c r="C369">
        <f>IF(B369="","",INDEX('Keyword Map'!$I$3:$I$1002,MATCH(A369,'Keyword Map'!$AA$3:$AA$1002,0))&amp;"")</f>
        <v/>
      </c>
      <c r="D369">
        <f>IF(B369="","",INDEX('Keyword Map'!$H$3:$H$1002,MATCH(A369,'Keyword Map'!$AA$3:$AA$1002,0))&amp;"")</f>
        <v/>
      </c>
      <c r="E369">
        <f>IF(B369="","",COUNTIF('Keyword Map'!$G$3:$G$1002,SUBSTITUTE(SUBSTITUTE(B369,"?","~?"),"*","~*")))</f>
        <v/>
      </c>
      <c r="F369">
        <f>IF(B369="","",COUNTIFS('Keyword Map'!$G$3:$G$1002,SUBSTITUTE(SUBSTITUTE(B369,"?","~?"),"*","~*"),'Keyword Map'!$J$3:$J$1002,"Primary"))</f>
        <v/>
      </c>
      <c r="G369">
        <f>IF(B369="","",SUMIFS('Keyword Map'!$C$3:$C$1002,'Keyword Map'!$G$3:$G$1002,SUBSTITUTE(SUBSTITUTE(B369,"?","~?"),"*","~*")))</f>
        <v/>
      </c>
      <c r="H369">
        <f>IF(B369="","",IFERROR(ROUND(AVERAGEIFS('Keyword Map'!$P$3:$P$1002,'Keyword Map'!$G$3:$G$1002,SUBSTITUTE(SUBSTITUTE(B369,"?","~?"),"*","~*")),0),""))</f>
        <v/>
      </c>
      <c r="I369">
        <f>IF(B369="","",COUNTIFS('Keyword Map'!$G$3:$G$1002,SUBSTITUTE(SUBSTITUTE(B369,"?","~?"),"*","~*"),'Keyword Map'!$R$3:$R$1002,"Yes"))</f>
        <v/>
      </c>
      <c r="J369">
        <f>IF(B369="","",COUNTIFS('Keyword Map'!$G$3:$G$1002,SUBSTITUTE(SUBSTITUTE(B369,"?","~?"),"*","~*"),'Keyword Map'!$W$3:$W$1002,"Yes"))</f>
        <v/>
      </c>
      <c r="K369">
        <f>IF(B369="","",IF(F369=0,"No primary keyword",IF(F369&gt;Settings!$B$4,"Too many primary keywords",IF(I369+J369&gt;0,"Check flags","OK"))))</f>
        <v/>
      </c>
    </row>
    <row r="370">
      <c r="A370">
        <f>ROW()-2</f>
        <v/>
      </c>
      <c r="B370">
        <f>IFERROR(INDEX('Keyword Map'!$G$3:$G$1002,MATCH(A370,'Keyword Map'!$AA$3:$AA$1002,0)),"")</f>
        <v/>
      </c>
      <c r="C370">
        <f>IF(B370="","",INDEX('Keyword Map'!$I$3:$I$1002,MATCH(A370,'Keyword Map'!$AA$3:$AA$1002,0))&amp;"")</f>
        <v/>
      </c>
      <c r="D370">
        <f>IF(B370="","",INDEX('Keyword Map'!$H$3:$H$1002,MATCH(A370,'Keyword Map'!$AA$3:$AA$1002,0))&amp;"")</f>
        <v/>
      </c>
      <c r="E370">
        <f>IF(B370="","",COUNTIF('Keyword Map'!$G$3:$G$1002,SUBSTITUTE(SUBSTITUTE(B370,"?","~?"),"*","~*")))</f>
        <v/>
      </c>
      <c r="F370">
        <f>IF(B370="","",COUNTIFS('Keyword Map'!$G$3:$G$1002,SUBSTITUTE(SUBSTITUTE(B370,"?","~?"),"*","~*"),'Keyword Map'!$J$3:$J$1002,"Primary"))</f>
        <v/>
      </c>
      <c r="G370">
        <f>IF(B370="","",SUMIFS('Keyword Map'!$C$3:$C$1002,'Keyword Map'!$G$3:$G$1002,SUBSTITUTE(SUBSTITUTE(B370,"?","~?"),"*","~*")))</f>
        <v/>
      </c>
      <c r="H370">
        <f>IF(B370="","",IFERROR(ROUND(AVERAGEIFS('Keyword Map'!$P$3:$P$1002,'Keyword Map'!$G$3:$G$1002,SUBSTITUTE(SUBSTITUTE(B370,"?","~?"),"*","~*")),0),""))</f>
        <v/>
      </c>
      <c r="I370">
        <f>IF(B370="","",COUNTIFS('Keyword Map'!$G$3:$G$1002,SUBSTITUTE(SUBSTITUTE(B370,"?","~?"),"*","~*"),'Keyword Map'!$R$3:$R$1002,"Yes"))</f>
        <v/>
      </c>
      <c r="J370">
        <f>IF(B370="","",COUNTIFS('Keyword Map'!$G$3:$G$1002,SUBSTITUTE(SUBSTITUTE(B370,"?","~?"),"*","~*"),'Keyword Map'!$W$3:$W$1002,"Yes"))</f>
        <v/>
      </c>
      <c r="K370">
        <f>IF(B370="","",IF(F370=0,"No primary keyword",IF(F370&gt;Settings!$B$4,"Too many primary keywords",IF(I370+J370&gt;0,"Check flags","OK"))))</f>
        <v/>
      </c>
    </row>
    <row r="371">
      <c r="A371">
        <f>ROW()-2</f>
        <v/>
      </c>
      <c r="B371">
        <f>IFERROR(INDEX('Keyword Map'!$G$3:$G$1002,MATCH(A371,'Keyword Map'!$AA$3:$AA$1002,0)),"")</f>
        <v/>
      </c>
      <c r="C371">
        <f>IF(B371="","",INDEX('Keyword Map'!$I$3:$I$1002,MATCH(A371,'Keyword Map'!$AA$3:$AA$1002,0))&amp;"")</f>
        <v/>
      </c>
      <c r="D371">
        <f>IF(B371="","",INDEX('Keyword Map'!$H$3:$H$1002,MATCH(A371,'Keyword Map'!$AA$3:$AA$1002,0))&amp;"")</f>
        <v/>
      </c>
      <c r="E371">
        <f>IF(B371="","",COUNTIF('Keyword Map'!$G$3:$G$1002,SUBSTITUTE(SUBSTITUTE(B371,"?","~?"),"*","~*")))</f>
        <v/>
      </c>
      <c r="F371">
        <f>IF(B371="","",COUNTIFS('Keyword Map'!$G$3:$G$1002,SUBSTITUTE(SUBSTITUTE(B371,"?","~?"),"*","~*"),'Keyword Map'!$J$3:$J$1002,"Primary"))</f>
        <v/>
      </c>
      <c r="G371">
        <f>IF(B371="","",SUMIFS('Keyword Map'!$C$3:$C$1002,'Keyword Map'!$G$3:$G$1002,SUBSTITUTE(SUBSTITUTE(B371,"?","~?"),"*","~*")))</f>
        <v/>
      </c>
      <c r="H371">
        <f>IF(B371="","",IFERROR(ROUND(AVERAGEIFS('Keyword Map'!$P$3:$P$1002,'Keyword Map'!$G$3:$G$1002,SUBSTITUTE(SUBSTITUTE(B371,"?","~?"),"*","~*")),0),""))</f>
        <v/>
      </c>
      <c r="I371">
        <f>IF(B371="","",COUNTIFS('Keyword Map'!$G$3:$G$1002,SUBSTITUTE(SUBSTITUTE(B371,"?","~?"),"*","~*"),'Keyword Map'!$R$3:$R$1002,"Yes"))</f>
        <v/>
      </c>
      <c r="J371">
        <f>IF(B371="","",COUNTIFS('Keyword Map'!$G$3:$G$1002,SUBSTITUTE(SUBSTITUTE(B371,"?","~?"),"*","~*"),'Keyword Map'!$W$3:$W$1002,"Yes"))</f>
        <v/>
      </c>
      <c r="K371">
        <f>IF(B371="","",IF(F371=0,"No primary keyword",IF(F371&gt;Settings!$B$4,"Too many primary keywords",IF(I371+J371&gt;0,"Check flags","OK"))))</f>
        <v/>
      </c>
    </row>
    <row r="372">
      <c r="A372">
        <f>ROW()-2</f>
        <v/>
      </c>
      <c r="B372">
        <f>IFERROR(INDEX('Keyword Map'!$G$3:$G$1002,MATCH(A372,'Keyword Map'!$AA$3:$AA$1002,0)),"")</f>
        <v/>
      </c>
      <c r="C372">
        <f>IF(B372="","",INDEX('Keyword Map'!$I$3:$I$1002,MATCH(A372,'Keyword Map'!$AA$3:$AA$1002,0))&amp;"")</f>
        <v/>
      </c>
      <c r="D372">
        <f>IF(B372="","",INDEX('Keyword Map'!$H$3:$H$1002,MATCH(A372,'Keyword Map'!$AA$3:$AA$1002,0))&amp;"")</f>
        <v/>
      </c>
      <c r="E372">
        <f>IF(B372="","",COUNTIF('Keyword Map'!$G$3:$G$1002,SUBSTITUTE(SUBSTITUTE(B372,"?","~?"),"*","~*")))</f>
        <v/>
      </c>
      <c r="F372">
        <f>IF(B372="","",COUNTIFS('Keyword Map'!$G$3:$G$1002,SUBSTITUTE(SUBSTITUTE(B372,"?","~?"),"*","~*"),'Keyword Map'!$J$3:$J$1002,"Primary"))</f>
        <v/>
      </c>
      <c r="G372">
        <f>IF(B372="","",SUMIFS('Keyword Map'!$C$3:$C$1002,'Keyword Map'!$G$3:$G$1002,SUBSTITUTE(SUBSTITUTE(B372,"?","~?"),"*","~*")))</f>
        <v/>
      </c>
      <c r="H372">
        <f>IF(B372="","",IFERROR(ROUND(AVERAGEIFS('Keyword Map'!$P$3:$P$1002,'Keyword Map'!$G$3:$G$1002,SUBSTITUTE(SUBSTITUTE(B372,"?","~?"),"*","~*")),0),""))</f>
        <v/>
      </c>
      <c r="I372">
        <f>IF(B372="","",COUNTIFS('Keyword Map'!$G$3:$G$1002,SUBSTITUTE(SUBSTITUTE(B372,"?","~?"),"*","~*"),'Keyword Map'!$R$3:$R$1002,"Yes"))</f>
        <v/>
      </c>
      <c r="J372">
        <f>IF(B372="","",COUNTIFS('Keyword Map'!$G$3:$G$1002,SUBSTITUTE(SUBSTITUTE(B372,"?","~?"),"*","~*"),'Keyword Map'!$W$3:$W$1002,"Yes"))</f>
        <v/>
      </c>
      <c r="K372">
        <f>IF(B372="","",IF(F372=0,"No primary keyword",IF(F372&gt;Settings!$B$4,"Too many primary keywords",IF(I372+J372&gt;0,"Check flags","OK"))))</f>
        <v/>
      </c>
    </row>
    <row r="373">
      <c r="A373">
        <f>ROW()-2</f>
        <v/>
      </c>
      <c r="B373">
        <f>IFERROR(INDEX('Keyword Map'!$G$3:$G$1002,MATCH(A373,'Keyword Map'!$AA$3:$AA$1002,0)),"")</f>
        <v/>
      </c>
      <c r="C373">
        <f>IF(B373="","",INDEX('Keyword Map'!$I$3:$I$1002,MATCH(A373,'Keyword Map'!$AA$3:$AA$1002,0))&amp;"")</f>
        <v/>
      </c>
      <c r="D373">
        <f>IF(B373="","",INDEX('Keyword Map'!$H$3:$H$1002,MATCH(A373,'Keyword Map'!$AA$3:$AA$1002,0))&amp;"")</f>
        <v/>
      </c>
      <c r="E373">
        <f>IF(B373="","",COUNTIF('Keyword Map'!$G$3:$G$1002,SUBSTITUTE(SUBSTITUTE(B373,"?","~?"),"*","~*")))</f>
        <v/>
      </c>
      <c r="F373">
        <f>IF(B373="","",COUNTIFS('Keyword Map'!$G$3:$G$1002,SUBSTITUTE(SUBSTITUTE(B373,"?","~?"),"*","~*"),'Keyword Map'!$J$3:$J$1002,"Primary"))</f>
        <v/>
      </c>
      <c r="G373">
        <f>IF(B373="","",SUMIFS('Keyword Map'!$C$3:$C$1002,'Keyword Map'!$G$3:$G$1002,SUBSTITUTE(SUBSTITUTE(B373,"?","~?"),"*","~*")))</f>
        <v/>
      </c>
      <c r="H373">
        <f>IF(B373="","",IFERROR(ROUND(AVERAGEIFS('Keyword Map'!$P$3:$P$1002,'Keyword Map'!$G$3:$G$1002,SUBSTITUTE(SUBSTITUTE(B373,"?","~?"),"*","~*")),0),""))</f>
        <v/>
      </c>
      <c r="I373">
        <f>IF(B373="","",COUNTIFS('Keyword Map'!$G$3:$G$1002,SUBSTITUTE(SUBSTITUTE(B373,"?","~?"),"*","~*"),'Keyword Map'!$R$3:$R$1002,"Yes"))</f>
        <v/>
      </c>
      <c r="J373">
        <f>IF(B373="","",COUNTIFS('Keyword Map'!$G$3:$G$1002,SUBSTITUTE(SUBSTITUTE(B373,"?","~?"),"*","~*"),'Keyword Map'!$W$3:$W$1002,"Yes"))</f>
        <v/>
      </c>
      <c r="K373">
        <f>IF(B373="","",IF(F373=0,"No primary keyword",IF(F373&gt;Settings!$B$4,"Too many primary keywords",IF(I373+J373&gt;0,"Check flags","OK"))))</f>
        <v/>
      </c>
    </row>
    <row r="374">
      <c r="A374">
        <f>ROW()-2</f>
        <v/>
      </c>
      <c r="B374">
        <f>IFERROR(INDEX('Keyword Map'!$G$3:$G$1002,MATCH(A374,'Keyword Map'!$AA$3:$AA$1002,0)),"")</f>
        <v/>
      </c>
      <c r="C374">
        <f>IF(B374="","",INDEX('Keyword Map'!$I$3:$I$1002,MATCH(A374,'Keyword Map'!$AA$3:$AA$1002,0))&amp;"")</f>
        <v/>
      </c>
      <c r="D374">
        <f>IF(B374="","",INDEX('Keyword Map'!$H$3:$H$1002,MATCH(A374,'Keyword Map'!$AA$3:$AA$1002,0))&amp;"")</f>
        <v/>
      </c>
      <c r="E374">
        <f>IF(B374="","",COUNTIF('Keyword Map'!$G$3:$G$1002,SUBSTITUTE(SUBSTITUTE(B374,"?","~?"),"*","~*")))</f>
        <v/>
      </c>
      <c r="F374">
        <f>IF(B374="","",COUNTIFS('Keyword Map'!$G$3:$G$1002,SUBSTITUTE(SUBSTITUTE(B374,"?","~?"),"*","~*"),'Keyword Map'!$J$3:$J$1002,"Primary"))</f>
        <v/>
      </c>
      <c r="G374">
        <f>IF(B374="","",SUMIFS('Keyword Map'!$C$3:$C$1002,'Keyword Map'!$G$3:$G$1002,SUBSTITUTE(SUBSTITUTE(B374,"?","~?"),"*","~*")))</f>
        <v/>
      </c>
      <c r="H374">
        <f>IF(B374="","",IFERROR(ROUND(AVERAGEIFS('Keyword Map'!$P$3:$P$1002,'Keyword Map'!$G$3:$G$1002,SUBSTITUTE(SUBSTITUTE(B374,"?","~?"),"*","~*")),0),""))</f>
        <v/>
      </c>
      <c r="I374">
        <f>IF(B374="","",COUNTIFS('Keyword Map'!$G$3:$G$1002,SUBSTITUTE(SUBSTITUTE(B374,"?","~?"),"*","~*"),'Keyword Map'!$R$3:$R$1002,"Yes"))</f>
        <v/>
      </c>
      <c r="J374">
        <f>IF(B374="","",COUNTIFS('Keyword Map'!$G$3:$G$1002,SUBSTITUTE(SUBSTITUTE(B374,"?","~?"),"*","~*"),'Keyword Map'!$W$3:$W$1002,"Yes"))</f>
        <v/>
      </c>
      <c r="K374">
        <f>IF(B374="","",IF(F374=0,"No primary keyword",IF(F374&gt;Settings!$B$4,"Too many primary keywords",IF(I374+J374&gt;0,"Check flags","OK"))))</f>
        <v/>
      </c>
    </row>
    <row r="375">
      <c r="A375">
        <f>ROW()-2</f>
        <v/>
      </c>
      <c r="B375">
        <f>IFERROR(INDEX('Keyword Map'!$G$3:$G$1002,MATCH(A375,'Keyword Map'!$AA$3:$AA$1002,0)),"")</f>
        <v/>
      </c>
      <c r="C375">
        <f>IF(B375="","",INDEX('Keyword Map'!$I$3:$I$1002,MATCH(A375,'Keyword Map'!$AA$3:$AA$1002,0))&amp;"")</f>
        <v/>
      </c>
      <c r="D375">
        <f>IF(B375="","",INDEX('Keyword Map'!$H$3:$H$1002,MATCH(A375,'Keyword Map'!$AA$3:$AA$1002,0))&amp;"")</f>
        <v/>
      </c>
      <c r="E375">
        <f>IF(B375="","",COUNTIF('Keyword Map'!$G$3:$G$1002,SUBSTITUTE(SUBSTITUTE(B375,"?","~?"),"*","~*")))</f>
        <v/>
      </c>
      <c r="F375">
        <f>IF(B375="","",COUNTIFS('Keyword Map'!$G$3:$G$1002,SUBSTITUTE(SUBSTITUTE(B375,"?","~?"),"*","~*"),'Keyword Map'!$J$3:$J$1002,"Primary"))</f>
        <v/>
      </c>
      <c r="G375">
        <f>IF(B375="","",SUMIFS('Keyword Map'!$C$3:$C$1002,'Keyword Map'!$G$3:$G$1002,SUBSTITUTE(SUBSTITUTE(B375,"?","~?"),"*","~*")))</f>
        <v/>
      </c>
      <c r="H375">
        <f>IF(B375="","",IFERROR(ROUND(AVERAGEIFS('Keyword Map'!$P$3:$P$1002,'Keyword Map'!$G$3:$G$1002,SUBSTITUTE(SUBSTITUTE(B375,"?","~?"),"*","~*")),0),""))</f>
        <v/>
      </c>
      <c r="I375">
        <f>IF(B375="","",COUNTIFS('Keyword Map'!$G$3:$G$1002,SUBSTITUTE(SUBSTITUTE(B375,"?","~?"),"*","~*"),'Keyword Map'!$R$3:$R$1002,"Yes"))</f>
        <v/>
      </c>
      <c r="J375">
        <f>IF(B375="","",COUNTIFS('Keyword Map'!$G$3:$G$1002,SUBSTITUTE(SUBSTITUTE(B375,"?","~?"),"*","~*"),'Keyword Map'!$W$3:$W$1002,"Yes"))</f>
        <v/>
      </c>
      <c r="K375">
        <f>IF(B375="","",IF(F375=0,"No primary keyword",IF(F375&gt;Settings!$B$4,"Too many primary keywords",IF(I375+J375&gt;0,"Check flags","OK"))))</f>
        <v/>
      </c>
    </row>
    <row r="376">
      <c r="A376">
        <f>ROW()-2</f>
        <v/>
      </c>
      <c r="B376">
        <f>IFERROR(INDEX('Keyword Map'!$G$3:$G$1002,MATCH(A376,'Keyword Map'!$AA$3:$AA$1002,0)),"")</f>
        <v/>
      </c>
      <c r="C376">
        <f>IF(B376="","",INDEX('Keyword Map'!$I$3:$I$1002,MATCH(A376,'Keyword Map'!$AA$3:$AA$1002,0))&amp;"")</f>
        <v/>
      </c>
      <c r="D376">
        <f>IF(B376="","",INDEX('Keyword Map'!$H$3:$H$1002,MATCH(A376,'Keyword Map'!$AA$3:$AA$1002,0))&amp;"")</f>
        <v/>
      </c>
      <c r="E376">
        <f>IF(B376="","",COUNTIF('Keyword Map'!$G$3:$G$1002,SUBSTITUTE(SUBSTITUTE(B376,"?","~?"),"*","~*")))</f>
        <v/>
      </c>
      <c r="F376">
        <f>IF(B376="","",COUNTIFS('Keyword Map'!$G$3:$G$1002,SUBSTITUTE(SUBSTITUTE(B376,"?","~?"),"*","~*"),'Keyword Map'!$J$3:$J$1002,"Primary"))</f>
        <v/>
      </c>
      <c r="G376">
        <f>IF(B376="","",SUMIFS('Keyword Map'!$C$3:$C$1002,'Keyword Map'!$G$3:$G$1002,SUBSTITUTE(SUBSTITUTE(B376,"?","~?"),"*","~*")))</f>
        <v/>
      </c>
      <c r="H376">
        <f>IF(B376="","",IFERROR(ROUND(AVERAGEIFS('Keyword Map'!$P$3:$P$1002,'Keyword Map'!$G$3:$G$1002,SUBSTITUTE(SUBSTITUTE(B376,"?","~?"),"*","~*")),0),""))</f>
        <v/>
      </c>
      <c r="I376">
        <f>IF(B376="","",COUNTIFS('Keyword Map'!$G$3:$G$1002,SUBSTITUTE(SUBSTITUTE(B376,"?","~?"),"*","~*"),'Keyword Map'!$R$3:$R$1002,"Yes"))</f>
        <v/>
      </c>
      <c r="J376">
        <f>IF(B376="","",COUNTIFS('Keyword Map'!$G$3:$G$1002,SUBSTITUTE(SUBSTITUTE(B376,"?","~?"),"*","~*"),'Keyword Map'!$W$3:$W$1002,"Yes"))</f>
        <v/>
      </c>
      <c r="K376">
        <f>IF(B376="","",IF(F376=0,"No primary keyword",IF(F376&gt;Settings!$B$4,"Too many primary keywords",IF(I376+J376&gt;0,"Check flags","OK"))))</f>
        <v/>
      </c>
    </row>
    <row r="377">
      <c r="A377">
        <f>ROW()-2</f>
        <v/>
      </c>
      <c r="B377">
        <f>IFERROR(INDEX('Keyword Map'!$G$3:$G$1002,MATCH(A377,'Keyword Map'!$AA$3:$AA$1002,0)),"")</f>
        <v/>
      </c>
      <c r="C377">
        <f>IF(B377="","",INDEX('Keyword Map'!$I$3:$I$1002,MATCH(A377,'Keyword Map'!$AA$3:$AA$1002,0))&amp;"")</f>
        <v/>
      </c>
      <c r="D377">
        <f>IF(B377="","",INDEX('Keyword Map'!$H$3:$H$1002,MATCH(A377,'Keyword Map'!$AA$3:$AA$1002,0))&amp;"")</f>
        <v/>
      </c>
      <c r="E377">
        <f>IF(B377="","",COUNTIF('Keyword Map'!$G$3:$G$1002,SUBSTITUTE(SUBSTITUTE(B377,"?","~?"),"*","~*")))</f>
        <v/>
      </c>
      <c r="F377">
        <f>IF(B377="","",COUNTIFS('Keyword Map'!$G$3:$G$1002,SUBSTITUTE(SUBSTITUTE(B377,"?","~?"),"*","~*"),'Keyword Map'!$J$3:$J$1002,"Primary"))</f>
        <v/>
      </c>
      <c r="G377">
        <f>IF(B377="","",SUMIFS('Keyword Map'!$C$3:$C$1002,'Keyword Map'!$G$3:$G$1002,SUBSTITUTE(SUBSTITUTE(B377,"?","~?"),"*","~*")))</f>
        <v/>
      </c>
      <c r="H377">
        <f>IF(B377="","",IFERROR(ROUND(AVERAGEIFS('Keyword Map'!$P$3:$P$1002,'Keyword Map'!$G$3:$G$1002,SUBSTITUTE(SUBSTITUTE(B377,"?","~?"),"*","~*")),0),""))</f>
        <v/>
      </c>
      <c r="I377">
        <f>IF(B377="","",COUNTIFS('Keyword Map'!$G$3:$G$1002,SUBSTITUTE(SUBSTITUTE(B377,"?","~?"),"*","~*"),'Keyword Map'!$R$3:$R$1002,"Yes"))</f>
        <v/>
      </c>
      <c r="J377">
        <f>IF(B377="","",COUNTIFS('Keyword Map'!$G$3:$G$1002,SUBSTITUTE(SUBSTITUTE(B377,"?","~?"),"*","~*"),'Keyword Map'!$W$3:$W$1002,"Yes"))</f>
        <v/>
      </c>
      <c r="K377">
        <f>IF(B377="","",IF(F377=0,"No primary keyword",IF(F377&gt;Settings!$B$4,"Too many primary keywords",IF(I377+J377&gt;0,"Check flags","OK"))))</f>
        <v/>
      </c>
    </row>
    <row r="378">
      <c r="A378">
        <f>ROW()-2</f>
        <v/>
      </c>
      <c r="B378">
        <f>IFERROR(INDEX('Keyword Map'!$G$3:$G$1002,MATCH(A378,'Keyword Map'!$AA$3:$AA$1002,0)),"")</f>
        <v/>
      </c>
      <c r="C378">
        <f>IF(B378="","",INDEX('Keyword Map'!$I$3:$I$1002,MATCH(A378,'Keyword Map'!$AA$3:$AA$1002,0))&amp;"")</f>
        <v/>
      </c>
      <c r="D378">
        <f>IF(B378="","",INDEX('Keyword Map'!$H$3:$H$1002,MATCH(A378,'Keyword Map'!$AA$3:$AA$1002,0))&amp;"")</f>
        <v/>
      </c>
      <c r="E378">
        <f>IF(B378="","",COUNTIF('Keyword Map'!$G$3:$G$1002,SUBSTITUTE(SUBSTITUTE(B378,"?","~?"),"*","~*")))</f>
        <v/>
      </c>
      <c r="F378">
        <f>IF(B378="","",COUNTIFS('Keyword Map'!$G$3:$G$1002,SUBSTITUTE(SUBSTITUTE(B378,"?","~?"),"*","~*"),'Keyword Map'!$J$3:$J$1002,"Primary"))</f>
        <v/>
      </c>
      <c r="G378">
        <f>IF(B378="","",SUMIFS('Keyword Map'!$C$3:$C$1002,'Keyword Map'!$G$3:$G$1002,SUBSTITUTE(SUBSTITUTE(B378,"?","~?"),"*","~*")))</f>
        <v/>
      </c>
      <c r="H378">
        <f>IF(B378="","",IFERROR(ROUND(AVERAGEIFS('Keyword Map'!$P$3:$P$1002,'Keyword Map'!$G$3:$G$1002,SUBSTITUTE(SUBSTITUTE(B378,"?","~?"),"*","~*")),0),""))</f>
        <v/>
      </c>
      <c r="I378">
        <f>IF(B378="","",COUNTIFS('Keyword Map'!$G$3:$G$1002,SUBSTITUTE(SUBSTITUTE(B378,"?","~?"),"*","~*"),'Keyword Map'!$R$3:$R$1002,"Yes"))</f>
        <v/>
      </c>
      <c r="J378">
        <f>IF(B378="","",COUNTIFS('Keyword Map'!$G$3:$G$1002,SUBSTITUTE(SUBSTITUTE(B378,"?","~?"),"*","~*"),'Keyword Map'!$W$3:$W$1002,"Yes"))</f>
        <v/>
      </c>
      <c r="K378">
        <f>IF(B378="","",IF(F378=0,"No primary keyword",IF(F378&gt;Settings!$B$4,"Too many primary keywords",IF(I378+J378&gt;0,"Check flags","OK"))))</f>
        <v/>
      </c>
    </row>
    <row r="379">
      <c r="A379">
        <f>ROW()-2</f>
        <v/>
      </c>
      <c r="B379">
        <f>IFERROR(INDEX('Keyword Map'!$G$3:$G$1002,MATCH(A379,'Keyword Map'!$AA$3:$AA$1002,0)),"")</f>
        <v/>
      </c>
      <c r="C379">
        <f>IF(B379="","",INDEX('Keyword Map'!$I$3:$I$1002,MATCH(A379,'Keyword Map'!$AA$3:$AA$1002,0))&amp;"")</f>
        <v/>
      </c>
      <c r="D379">
        <f>IF(B379="","",INDEX('Keyword Map'!$H$3:$H$1002,MATCH(A379,'Keyword Map'!$AA$3:$AA$1002,0))&amp;"")</f>
        <v/>
      </c>
      <c r="E379">
        <f>IF(B379="","",COUNTIF('Keyword Map'!$G$3:$G$1002,SUBSTITUTE(SUBSTITUTE(B379,"?","~?"),"*","~*")))</f>
        <v/>
      </c>
      <c r="F379">
        <f>IF(B379="","",COUNTIFS('Keyword Map'!$G$3:$G$1002,SUBSTITUTE(SUBSTITUTE(B379,"?","~?"),"*","~*"),'Keyword Map'!$J$3:$J$1002,"Primary"))</f>
        <v/>
      </c>
      <c r="G379">
        <f>IF(B379="","",SUMIFS('Keyword Map'!$C$3:$C$1002,'Keyword Map'!$G$3:$G$1002,SUBSTITUTE(SUBSTITUTE(B379,"?","~?"),"*","~*")))</f>
        <v/>
      </c>
      <c r="H379">
        <f>IF(B379="","",IFERROR(ROUND(AVERAGEIFS('Keyword Map'!$P$3:$P$1002,'Keyword Map'!$G$3:$G$1002,SUBSTITUTE(SUBSTITUTE(B379,"?","~?"),"*","~*")),0),""))</f>
        <v/>
      </c>
      <c r="I379">
        <f>IF(B379="","",COUNTIFS('Keyword Map'!$G$3:$G$1002,SUBSTITUTE(SUBSTITUTE(B379,"?","~?"),"*","~*"),'Keyword Map'!$R$3:$R$1002,"Yes"))</f>
        <v/>
      </c>
      <c r="J379">
        <f>IF(B379="","",COUNTIFS('Keyword Map'!$G$3:$G$1002,SUBSTITUTE(SUBSTITUTE(B379,"?","~?"),"*","~*"),'Keyword Map'!$W$3:$W$1002,"Yes"))</f>
        <v/>
      </c>
      <c r="K379">
        <f>IF(B379="","",IF(F379=0,"No primary keyword",IF(F379&gt;Settings!$B$4,"Too many primary keywords",IF(I379+J379&gt;0,"Check flags","OK"))))</f>
        <v/>
      </c>
    </row>
    <row r="380">
      <c r="A380">
        <f>ROW()-2</f>
        <v/>
      </c>
      <c r="B380">
        <f>IFERROR(INDEX('Keyword Map'!$G$3:$G$1002,MATCH(A380,'Keyword Map'!$AA$3:$AA$1002,0)),"")</f>
        <v/>
      </c>
      <c r="C380">
        <f>IF(B380="","",INDEX('Keyword Map'!$I$3:$I$1002,MATCH(A380,'Keyword Map'!$AA$3:$AA$1002,0))&amp;"")</f>
        <v/>
      </c>
      <c r="D380">
        <f>IF(B380="","",INDEX('Keyword Map'!$H$3:$H$1002,MATCH(A380,'Keyword Map'!$AA$3:$AA$1002,0))&amp;"")</f>
        <v/>
      </c>
      <c r="E380">
        <f>IF(B380="","",COUNTIF('Keyword Map'!$G$3:$G$1002,SUBSTITUTE(SUBSTITUTE(B380,"?","~?"),"*","~*")))</f>
        <v/>
      </c>
      <c r="F380">
        <f>IF(B380="","",COUNTIFS('Keyword Map'!$G$3:$G$1002,SUBSTITUTE(SUBSTITUTE(B380,"?","~?"),"*","~*"),'Keyword Map'!$J$3:$J$1002,"Primary"))</f>
        <v/>
      </c>
      <c r="G380">
        <f>IF(B380="","",SUMIFS('Keyword Map'!$C$3:$C$1002,'Keyword Map'!$G$3:$G$1002,SUBSTITUTE(SUBSTITUTE(B380,"?","~?"),"*","~*")))</f>
        <v/>
      </c>
      <c r="H380">
        <f>IF(B380="","",IFERROR(ROUND(AVERAGEIFS('Keyword Map'!$P$3:$P$1002,'Keyword Map'!$G$3:$G$1002,SUBSTITUTE(SUBSTITUTE(B380,"?","~?"),"*","~*")),0),""))</f>
        <v/>
      </c>
      <c r="I380">
        <f>IF(B380="","",COUNTIFS('Keyword Map'!$G$3:$G$1002,SUBSTITUTE(SUBSTITUTE(B380,"?","~?"),"*","~*"),'Keyword Map'!$R$3:$R$1002,"Yes"))</f>
        <v/>
      </c>
      <c r="J380">
        <f>IF(B380="","",COUNTIFS('Keyword Map'!$G$3:$G$1002,SUBSTITUTE(SUBSTITUTE(B380,"?","~?"),"*","~*"),'Keyword Map'!$W$3:$W$1002,"Yes"))</f>
        <v/>
      </c>
      <c r="K380">
        <f>IF(B380="","",IF(F380=0,"No primary keyword",IF(F380&gt;Settings!$B$4,"Too many primary keywords",IF(I380+J380&gt;0,"Check flags","OK"))))</f>
        <v/>
      </c>
    </row>
    <row r="381">
      <c r="A381">
        <f>ROW()-2</f>
        <v/>
      </c>
      <c r="B381">
        <f>IFERROR(INDEX('Keyword Map'!$G$3:$G$1002,MATCH(A381,'Keyword Map'!$AA$3:$AA$1002,0)),"")</f>
        <v/>
      </c>
      <c r="C381">
        <f>IF(B381="","",INDEX('Keyword Map'!$I$3:$I$1002,MATCH(A381,'Keyword Map'!$AA$3:$AA$1002,0))&amp;"")</f>
        <v/>
      </c>
      <c r="D381">
        <f>IF(B381="","",INDEX('Keyword Map'!$H$3:$H$1002,MATCH(A381,'Keyword Map'!$AA$3:$AA$1002,0))&amp;"")</f>
        <v/>
      </c>
      <c r="E381">
        <f>IF(B381="","",COUNTIF('Keyword Map'!$G$3:$G$1002,SUBSTITUTE(SUBSTITUTE(B381,"?","~?"),"*","~*")))</f>
        <v/>
      </c>
      <c r="F381">
        <f>IF(B381="","",COUNTIFS('Keyword Map'!$G$3:$G$1002,SUBSTITUTE(SUBSTITUTE(B381,"?","~?"),"*","~*"),'Keyword Map'!$J$3:$J$1002,"Primary"))</f>
        <v/>
      </c>
      <c r="G381">
        <f>IF(B381="","",SUMIFS('Keyword Map'!$C$3:$C$1002,'Keyword Map'!$G$3:$G$1002,SUBSTITUTE(SUBSTITUTE(B381,"?","~?"),"*","~*")))</f>
        <v/>
      </c>
      <c r="H381">
        <f>IF(B381="","",IFERROR(ROUND(AVERAGEIFS('Keyword Map'!$P$3:$P$1002,'Keyword Map'!$G$3:$G$1002,SUBSTITUTE(SUBSTITUTE(B381,"?","~?"),"*","~*")),0),""))</f>
        <v/>
      </c>
      <c r="I381">
        <f>IF(B381="","",COUNTIFS('Keyword Map'!$G$3:$G$1002,SUBSTITUTE(SUBSTITUTE(B381,"?","~?"),"*","~*"),'Keyword Map'!$R$3:$R$1002,"Yes"))</f>
        <v/>
      </c>
      <c r="J381">
        <f>IF(B381="","",COUNTIFS('Keyword Map'!$G$3:$G$1002,SUBSTITUTE(SUBSTITUTE(B381,"?","~?"),"*","~*"),'Keyword Map'!$W$3:$W$1002,"Yes"))</f>
        <v/>
      </c>
      <c r="K381">
        <f>IF(B381="","",IF(F381=0,"No primary keyword",IF(F381&gt;Settings!$B$4,"Too many primary keywords",IF(I381+J381&gt;0,"Check flags","OK"))))</f>
        <v/>
      </c>
    </row>
    <row r="382">
      <c r="A382">
        <f>ROW()-2</f>
        <v/>
      </c>
      <c r="B382">
        <f>IFERROR(INDEX('Keyword Map'!$G$3:$G$1002,MATCH(A382,'Keyword Map'!$AA$3:$AA$1002,0)),"")</f>
        <v/>
      </c>
      <c r="C382">
        <f>IF(B382="","",INDEX('Keyword Map'!$I$3:$I$1002,MATCH(A382,'Keyword Map'!$AA$3:$AA$1002,0))&amp;"")</f>
        <v/>
      </c>
      <c r="D382">
        <f>IF(B382="","",INDEX('Keyword Map'!$H$3:$H$1002,MATCH(A382,'Keyword Map'!$AA$3:$AA$1002,0))&amp;"")</f>
        <v/>
      </c>
      <c r="E382">
        <f>IF(B382="","",COUNTIF('Keyword Map'!$G$3:$G$1002,SUBSTITUTE(SUBSTITUTE(B382,"?","~?"),"*","~*")))</f>
        <v/>
      </c>
      <c r="F382">
        <f>IF(B382="","",COUNTIFS('Keyword Map'!$G$3:$G$1002,SUBSTITUTE(SUBSTITUTE(B382,"?","~?"),"*","~*"),'Keyword Map'!$J$3:$J$1002,"Primary"))</f>
        <v/>
      </c>
      <c r="G382">
        <f>IF(B382="","",SUMIFS('Keyword Map'!$C$3:$C$1002,'Keyword Map'!$G$3:$G$1002,SUBSTITUTE(SUBSTITUTE(B382,"?","~?"),"*","~*")))</f>
        <v/>
      </c>
      <c r="H382">
        <f>IF(B382="","",IFERROR(ROUND(AVERAGEIFS('Keyword Map'!$P$3:$P$1002,'Keyword Map'!$G$3:$G$1002,SUBSTITUTE(SUBSTITUTE(B382,"?","~?"),"*","~*")),0),""))</f>
        <v/>
      </c>
      <c r="I382">
        <f>IF(B382="","",COUNTIFS('Keyword Map'!$G$3:$G$1002,SUBSTITUTE(SUBSTITUTE(B382,"?","~?"),"*","~*"),'Keyword Map'!$R$3:$R$1002,"Yes"))</f>
        <v/>
      </c>
      <c r="J382">
        <f>IF(B382="","",COUNTIFS('Keyword Map'!$G$3:$G$1002,SUBSTITUTE(SUBSTITUTE(B382,"?","~?"),"*","~*"),'Keyword Map'!$W$3:$W$1002,"Yes"))</f>
        <v/>
      </c>
      <c r="K382">
        <f>IF(B382="","",IF(F382=0,"No primary keyword",IF(F382&gt;Settings!$B$4,"Too many primary keywords",IF(I382+J382&gt;0,"Check flags","OK"))))</f>
        <v/>
      </c>
    </row>
    <row r="383">
      <c r="A383">
        <f>ROW()-2</f>
        <v/>
      </c>
      <c r="B383">
        <f>IFERROR(INDEX('Keyword Map'!$G$3:$G$1002,MATCH(A383,'Keyword Map'!$AA$3:$AA$1002,0)),"")</f>
        <v/>
      </c>
      <c r="C383">
        <f>IF(B383="","",INDEX('Keyword Map'!$I$3:$I$1002,MATCH(A383,'Keyword Map'!$AA$3:$AA$1002,0))&amp;"")</f>
        <v/>
      </c>
      <c r="D383">
        <f>IF(B383="","",INDEX('Keyword Map'!$H$3:$H$1002,MATCH(A383,'Keyword Map'!$AA$3:$AA$1002,0))&amp;"")</f>
        <v/>
      </c>
      <c r="E383">
        <f>IF(B383="","",COUNTIF('Keyword Map'!$G$3:$G$1002,SUBSTITUTE(SUBSTITUTE(B383,"?","~?"),"*","~*")))</f>
        <v/>
      </c>
      <c r="F383">
        <f>IF(B383="","",COUNTIFS('Keyword Map'!$G$3:$G$1002,SUBSTITUTE(SUBSTITUTE(B383,"?","~?"),"*","~*"),'Keyword Map'!$J$3:$J$1002,"Primary"))</f>
        <v/>
      </c>
      <c r="G383">
        <f>IF(B383="","",SUMIFS('Keyword Map'!$C$3:$C$1002,'Keyword Map'!$G$3:$G$1002,SUBSTITUTE(SUBSTITUTE(B383,"?","~?"),"*","~*")))</f>
        <v/>
      </c>
      <c r="H383">
        <f>IF(B383="","",IFERROR(ROUND(AVERAGEIFS('Keyword Map'!$P$3:$P$1002,'Keyword Map'!$G$3:$G$1002,SUBSTITUTE(SUBSTITUTE(B383,"?","~?"),"*","~*")),0),""))</f>
        <v/>
      </c>
      <c r="I383">
        <f>IF(B383="","",COUNTIFS('Keyword Map'!$G$3:$G$1002,SUBSTITUTE(SUBSTITUTE(B383,"?","~?"),"*","~*"),'Keyword Map'!$R$3:$R$1002,"Yes"))</f>
        <v/>
      </c>
      <c r="J383">
        <f>IF(B383="","",COUNTIFS('Keyword Map'!$G$3:$G$1002,SUBSTITUTE(SUBSTITUTE(B383,"?","~?"),"*","~*"),'Keyword Map'!$W$3:$W$1002,"Yes"))</f>
        <v/>
      </c>
      <c r="K383">
        <f>IF(B383="","",IF(F383=0,"No primary keyword",IF(F383&gt;Settings!$B$4,"Too many primary keywords",IF(I383+J383&gt;0,"Check flags","OK"))))</f>
        <v/>
      </c>
    </row>
    <row r="384">
      <c r="A384">
        <f>ROW()-2</f>
        <v/>
      </c>
      <c r="B384">
        <f>IFERROR(INDEX('Keyword Map'!$G$3:$G$1002,MATCH(A384,'Keyword Map'!$AA$3:$AA$1002,0)),"")</f>
        <v/>
      </c>
      <c r="C384">
        <f>IF(B384="","",INDEX('Keyword Map'!$I$3:$I$1002,MATCH(A384,'Keyword Map'!$AA$3:$AA$1002,0))&amp;"")</f>
        <v/>
      </c>
      <c r="D384">
        <f>IF(B384="","",INDEX('Keyword Map'!$H$3:$H$1002,MATCH(A384,'Keyword Map'!$AA$3:$AA$1002,0))&amp;"")</f>
        <v/>
      </c>
      <c r="E384">
        <f>IF(B384="","",COUNTIF('Keyword Map'!$G$3:$G$1002,SUBSTITUTE(SUBSTITUTE(B384,"?","~?"),"*","~*")))</f>
        <v/>
      </c>
      <c r="F384">
        <f>IF(B384="","",COUNTIFS('Keyword Map'!$G$3:$G$1002,SUBSTITUTE(SUBSTITUTE(B384,"?","~?"),"*","~*"),'Keyword Map'!$J$3:$J$1002,"Primary"))</f>
        <v/>
      </c>
      <c r="G384">
        <f>IF(B384="","",SUMIFS('Keyword Map'!$C$3:$C$1002,'Keyword Map'!$G$3:$G$1002,SUBSTITUTE(SUBSTITUTE(B384,"?","~?"),"*","~*")))</f>
        <v/>
      </c>
      <c r="H384">
        <f>IF(B384="","",IFERROR(ROUND(AVERAGEIFS('Keyword Map'!$P$3:$P$1002,'Keyword Map'!$G$3:$G$1002,SUBSTITUTE(SUBSTITUTE(B384,"?","~?"),"*","~*")),0),""))</f>
        <v/>
      </c>
      <c r="I384">
        <f>IF(B384="","",COUNTIFS('Keyword Map'!$G$3:$G$1002,SUBSTITUTE(SUBSTITUTE(B384,"?","~?"),"*","~*"),'Keyword Map'!$R$3:$R$1002,"Yes"))</f>
        <v/>
      </c>
      <c r="J384">
        <f>IF(B384="","",COUNTIFS('Keyword Map'!$G$3:$G$1002,SUBSTITUTE(SUBSTITUTE(B384,"?","~?"),"*","~*"),'Keyword Map'!$W$3:$W$1002,"Yes"))</f>
        <v/>
      </c>
      <c r="K384">
        <f>IF(B384="","",IF(F384=0,"No primary keyword",IF(F384&gt;Settings!$B$4,"Too many primary keywords",IF(I384+J384&gt;0,"Check flags","OK"))))</f>
        <v/>
      </c>
    </row>
    <row r="385">
      <c r="A385">
        <f>ROW()-2</f>
        <v/>
      </c>
      <c r="B385">
        <f>IFERROR(INDEX('Keyword Map'!$G$3:$G$1002,MATCH(A385,'Keyword Map'!$AA$3:$AA$1002,0)),"")</f>
        <v/>
      </c>
      <c r="C385">
        <f>IF(B385="","",INDEX('Keyword Map'!$I$3:$I$1002,MATCH(A385,'Keyword Map'!$AA$3:$AA$1002,0))&amp;"")</f>
        <v/>
      </c>
      <c r="D385">
        <f>IF(B385="","",INDEX('Keyword Map'!$H$3:$H$1002,MATCH(A385,'Keyword Map'!$AA$3:$AA$1002,0))&amp;"")</f>
        <v/>
      </c>
      <c r="E385">
        <f>IF(B385="","",COUNTIF('Keyword Map'!$G$3:$G$1002,SUBSTITUTE(SUBSTITUTE(B385,"?","~?"),"*","~*")))</f>
        <v/>
      </c>
      <c r="F385">
        <f>IF(B385="","",COUNTIFS('Keyword Map'!$G$3:$G$1002,SUBSTITUTE(SUBSTITUTE(B385,"?","~?"),"*","~*"),'Keyword Map'!$J$3:$J$1002,"Primary"))</f>
        <v/>
      </c>
      <c r="G385">
        <f>IF(B385="","",SUMIFS('Keyword Map'!$C$3:$C$1002,'Keyword Map'!$G$3:$G$1002,SUBSTITUTE(SUBSTITUTE(B385,"?","~?"),"*","~*")))</f>
        <v/>
      </c>
      <c r="H385">
        <f>IF(B385="","",IFERROR(ROUND(AVERAGEIFS('Keyword Map'!$P$3:$P$1002,'Keyword Map'!$G$3:$G$1002,SUBSTITUTE(SUBSTITUTE(B385,"?","~?"),"*","~*")),0),""))</f>
        <v/>
      </c>
      <c r="I385">
        <f>IF(B385="","",COUNTIFS('Keyword Map'!$G$3:$G$1002,SUBSTITUTE(SUBSTITUTE(B385,"?","~?"),"*","~*"),'Keyword Map'!$R$3:$R$1002,"Yes"))</f>
        <v/>
      </c>
      <c r="J385">
        <f>IF(B385="","",COUNTIFS('Keyword Map'!$G$3:$G$1002,SUBSTITUTE(SUBSTITUTE(B385,"?","~?"),"*","~*"),'Keyword Map'!$W$3:$W$1002,"Yes"))</f>
        <v/>
      </c>
      <c r="K385">
        <f>IF(B385="","",IF(F385=0,"No primary keyword",IF(F385&gt;Settings!$B$4,"Too many primary keywords",IF(I385+J385&gt;0,"Check flags","OK"))))</f>
        <v/>
      </c>
    </row>
    <row r="386">
      <c r="A386">
        <f>ROW()-2</f>
        <v/>
      </c>
      <c r="B386">
        <f>IFERROR(INDEX('Keyword Map'!$G$3:$G$1002,MATCH(A386,'Keyword Map'!$AA$3:$AA$1002,0)),"")</f>
        <v/>
      </c>
      <c r="C386">
        <f>IF(B386="","",INDEX('Keyword Map'!$I$3:$I$1002,MATCH(A386,'Keyword Map'!$AA$3:$AA$1002,0))&amp;"")</f>
        <v/>
      </c>
      <c r="D386">
        <f>IF(B386="","",INDEX('Keyword Map'!$H$3:$H$1002,MATCH(A386,'Keyword Map'!$AA$3:$AA$1002,0))&amp;"")</f>
        <v/>
      </c>
      <c r="E386">
        <f>IF(B386="","",COUNTIF('Keyword Map'!$G$3:$G$1002,SUBSTITUTE(SUBSTITUTE(B386,"?","~?"),"*","~*")))</f>
        <v/>
      </c>
      <c r="F386">
        <f>IF(B386="","",COUNTIFS('Keyword Map'!$G$3:$G$1002,SUBSTITUTE(SUBSTITUTE(B386,"?","~?"),"*","~*"),'Keyword Map'!$J$3:$J$1002,"Primary"))</f>
        <v/>
      </c>
      <c r="G386">
        <f>IF(B386="","",SUMIFS('Keyword Map'!$C$3:$C$1002,'Keyword Map'!$G$3:$G$1002,SUBSTITUTE(SUBSTITUTE(B386,"?","~?"),"*","~*")))</f>
        <v/>
      </c>
      <c r="H386">
        <f>IF(B386="","",IFERROR(ROUND(AVERAGEIFS('Keyword Map'!$P$3:$P$1002,'Keyword Map'!$G$3:$G$1002,SUBSTITUTE(SUBSTITUTE(B386,"?","~?"),"*","~*")),0),""))</f>
        <v/>
      </c>
      <c r="I386">
        <f>IF(B386="","",COUNTIFS('Keyword Map'!$G$3:$G$1002,SUBSTITUTE(SUBSTITUTE(B386,"?","~?"),"*","~*"),'Keyword Map'!$R$3:$R$1002,"Yes"))</f>
        <v/>
      </c>
      <c r="J386">
        <f>IF(B386="","",COUNTIFS('Keyword Map'!$G$3:$G$1002,SUBSTITUTE(SUBSTITUTE(B386,"?","~?"),"*","~*"),'Keyword Map'!$W$3:$W$1002,"Yes"))</f>
        <v/>
      </c>
      <c r="K386">
        <f>IF(B386="","",IF(F386=0,"No primary keyword",IF(F386&gt;Settings!$B$4,"Too many primary keywords",IF(I386+J386&gt;0,"Check flags","OK"))))</f>
        <v/>
      </c>
    </row>
    <row r="387">
      <c r="A387">
        <f>ROW()-2</f>
        <v/>
      </c>
      <c r="B387">
        <f>IFERROR(INDEX('Keyword Map'!$G$3:$G$1002,MATCH(A387,'Keyword Map'!$AA$3:$AA$1002,0)),"")</f>
        <v/>
      </c>
      <c r="C387">
        <f>IF(B387="","",INDEX('Keyword Map'!$I$3:$I$1002,MATCH(A387,'Keyword Map'!$AA$3:$AA$1002,0))&amp;"")</f>
        <v/>
      </c>
      <c r="D387">
        <f>IF(B387="","",INDEX('Keyword Map'!$H$3:$H$1002,MATCH(A387,'Keyword Map'!$AA$3:$AA$1002,0))&amp;"")</f>
        <v/>
      </c>
      <c r="E387">
        <f>IF(B387="","",COUNTIF('Keyword Map'!$G$3:$G$1002,SUBSTITUTE(SUBSTITUTE(B387,"?","~?"),"*","~*")))</f>
        <v/>
      </c>
      <c r="F387">
        <f>IF(B387="","",COUNTIFS('Keyword Map'!$G$3:$G$1002,SUBSTITUTE(SUBSTITUTE(B387,"?","~?"),"*","~*"),'Keyword Map'!$J$3:$J$1002,"Primary"))</f>
        <v/>
      </c>
      <c r="G387">
        <f>IF(B387="","",SUMIFS('Keyword Map'!$C$3:$C$1002,'Keyword Map'!$G$3:$G$1002,SUBSTITUTE(SUBSTITUTE(B387,"?","~?"),"*","~*")))</f>
        <v/>
      </c>
      <c r="H387">
        <f>IF(B387="","",IFERROR(ROUND(AVERAGEIFS('Keyword Map'!$P$3:$P$1002,'Keyword Map'!$G$3:$G$1002,SUBSTITUTE(SUBSTITUTE(B387,"?","~?"),"*","~*")),0),""))</f>
        <v/>
      </c>
      <c r="I387">
        <f>IF(B387="","",COUNTIFS('Keyword Map'!$G$3:$G$1002,SUBSTITUTE(SUBSTITUTE(B387,"?","~?"),"*","~*"),'Keyword Map'!$R$3:$R$1002,"Yes"))</f>
        <v/>
      </c>
      <c r="J387">
        <f>IF(B387="","",COUNTIFS('Keyword Map'!$G$3:$G$1002,SUBSTITUTE(SUBSTITUTE(B387,"?","~?"),"*","~*"),'Keyword Map'!$W$3:$W$1002,"Yes"))</f>
        <v/>
      </c>
      <c r="K387">
        <f>IF(B387="","",IF(F387=0,"No primary keyword",IF(F387&gt;Settings!$B$4,"Too many primary keywords",IF(I387+J387&gt;0,"Check flags","OK"))))</f>
        <v/>
      </c>
    </row>
    <row r="388">
      <c r="A388">
        <f>ROW()-2</f>
        <v/>
      </c>
      <c r="B388">
        <f>IFERROR(INDEX('Keyword Map'!$G$3:$G$1002,MATCH(A388,'Keyword Map'!$AA$3:$AA$1002,0)),"")</f>
        <v/>
      </c>
      <c r="C388">
        <f>IF(B388="","",INDEX('Keyword Map'!$I$3:$I$1002,MATCH(A388,'Keyword Map'!$AA$3:$AA$1002,0))&amp;"")</f>
        <v/>
      </c>
      <c r="D388">
        <f>IF(B388="","",INDEX('Keyword Map'!$H$3:$H$1002,MATCH(A388,'Keyword Map'!$AA$3:$AA$1002,0))&amp;"")</f>
        <v/>
      </c>
      <c r="E388">
        <f>IF(B388="","",COUNTIF('Keyword Map'!$G$3:$G$1002,SUBSTITUTE(SUBSTITUTE(B388,"?","~?"),"*","~*")))</f>
        <v/>
      </c>
      <c r="F388">
        <f>IF(B388="","",COUNTIFS('Keyword Map'!$G$3:$G$1002,SUBSTITUTE(SUBSTITUTE(B388,"?","~?"),"*","~*"),'Keyword Map'!$J$3:$J$1002,"Primary"))</f>
        <v/>
      </c>
      <c r="G388">
        <f>IF(B388="","",SUMIFS('Keyword Map'!$C$3:$C$1002,'Keyword Map'!$G$3:$G$1002,SUBSTITUTE(SUBSTITUTE(B388,"?","~?"),"*","~*")))</f>
        <v/>
      </c>
      <c r="H388">
        <f>IF(B388="","",IFERROR(ROUND(AVERAGEIFS('Keyword Map'!$P$3:$P$1002,'Keyword Map'!$G$3:$G$1002,SUBSTITUTE(SUBSTITUTE(B388,"?","~?"),"*","~*")),0),""))</f>
        <v/>
      </c>
      <c r="I388">
        <f>IF(B388="","",COUNTIFS('Keyword Map'!$G$3:$G$1002,SUBSTITUTE(SUBSTITUTE(B388,"?","~?"),"*","~*"),'Keyword Map'!$R$3:$R$1002,"Yes"))</f>
        <v/>
      </c>
      <c r="J388">
        <f>IF(B388="","",COUNTIFS('Keyword Map'!$G$3:$G$1002,SUBSTITUTE(SUBSTITUTE(B388,"?","~?"),"*","~*"),'Keyword Map'!$W$3:$W$1002,"Yes"))</f>
        <v/>
      </c>
      <c r="K388">
        <f>IF(B388="","",IF(F388=0,"No primary keyword",IF(F388&gt;Settings!$B$4,"Too many primary keywords",IF(I388+J388&gt;0,"Check flags","OK"))))</f>
        <v/>
      </c>
    </row>
    <row r="389">
      <c r="A389">
        <f>ROW()-2</f>
        <v/>
      </c>
      <c r="B389">
        <f>IFERROR(INDEX('Keyword Map'!$G$3:$G$1002,MATCH(A389,'Keyword Map'!$AA$3:$AA$1002,0)),"")</f>
        <v/>
      </c>
      <c r="C389">
        <f>IF(B389="","",INDEX('Keyword Map'!$I$3:$I$1002,MATCH(A389,'Keyword Map'!$AA$3:$AA$1002,0))&amp;"")</f>
        <v/>
      </c>
      <c r="D389">
        <f>IF(B389="","",INDEX('Keyword Map'!$H$3:$H$1002,MATCH(A389,'Keyword Map'!$AA$3:$AA$1002,0))&amp;"")</f>
        <v/>
      </c>
      <c r="E389">
        <f>IF(B389="","",COUNTIF('Keyword Map'!$G$3:$G$1002,SUBSTITUTE(SUBSTITUTE(B389,"?","~?"),"*","~*")))</f>
        <v/>
      </c>
      <c r="F389">
        <f>IF(B389="","",COUNTIFS('Keyword Map'!$G$3:$G$1002,SUBSTITUTE(SUBSTITUTE(B389,"?","~?"),"*","~*"),'Keyword Map'!$J$3:$J$1002,"Primary"))</f>
        <v/>
      </c>
      <c r="G389">
        <f>IF(B389="","",SUMIFS('Keyword Map'!$C$3:$C$1002,'Keyword Map'!$G$3:$G$1002,SUBSTITUTE(SUBSTITUTE(B389,"?","~?"),"*","~*")))</f>
        <v/>
      </c>
      <c r="H389">
        <f>IF(B389="","",IFERROR(ROUND(AVERAGEIFS('Keyword Map'!$P$3:$P$1002,'Keyword Map'!$G$3:$G$1002,SUBSTITUTE(SUBSTITUTE(B389,"?","~?"),"*","~*")),0),""))</f>
        <v/>
      </c>
      <c r="I389">
        <f>IF(B389="","",COUNTIFS('Keyword Map'!$G$3:$G$1002,SUBSTITUTE(SUBSTITUTE(B389,"?","~?"),"*","~*"),'Keyword Map'!$R$3:$R$1002,"Yes"))</f>
        <v/>
      </c>
      <c r="J389">
        <f>IF(B389="","",COUNTIFS('Keyword Map'!$G$3:$G$1002,SUBSTITUTE(SUBSTITUTE(B389,"?","~?"),"*","~*"),'Keyword Map'!$W$3:$W$1002,"Yes"))</f>
        <v/>
      </c>
      <c r="K389">
        <f>IF(B389="","",IF(F389=0,"No primary keyword",IF(F389&gt;Settings!$B$4,"Too many primary keywords",IF(I389+J389&gt;0,"Check flags","OK"))))</f>
        <v/>
      </c>
    </row>
    <row r="390">
      <c r="A390">
        <f>ROW()-2</f>
        <v/>
      </c>
      <c r="B390">
        <f>IFERROR(INDEX('Keyword Map'!$G$3:$G$1002,MATCH(A390,'Keyword Map'!$AA$3:$AA$1002,0)),"")</f>
        <v/>
      </c>
      <c r="C390">
        <f>IF(B390="","",INDEX('Keyword Map'!$I$3:$I$1002,MATCH(A390,'Keyword Map'!$AA$3:$AA$1002,0))&amp;"")</f>
        <v/>
      </c>
      <c r="D390">
        <f>IF(B390="","",INDEX('Keyword Map'!$H$3:$H$1002,MATCH(A390,'Keyword Map'!$AA$3:$AA$1002,0))&amp;"")</f>
        <v/>
      </c>
      <c r="E390">
        <f>IF(B390="","",COUNTIF('Keyword Map'!$G$3:$G$1002,SUBSTITUTE(SUBSTITUTE(B390,"?","~?"),"*","~*")))</f>
        <v/>
      </c>
      <c r="F390">
        <f>IF(B390="","",COUNTIFS('Keyword Map'!$G$3:$G$1002,SUBSTITUTE(SUBSTITUTE(B390,"?","~?"),"*","~*"),'Keyword Map'!$J$3:$J$1002,"Primary"))</f>
        <v/>
      </c>
      <c r="G390">
        <f>IF(B390="","",SUMIFS('Keyword Map'!$C$3:$C$1002,'Keyword Map'!$G$3:$G$1002,SUBSTITUTE(SUBSTITUTE(B390,"?","~?"),"*","~*")))</f>
        <v/>
      </c>
      <c r="H390">
        <f>IF(B390="","",IFERROR(ROUND(AVERAGEIFS('Keyword Map'!$P$3:$P$1002,'Keyword Map'!$G$3:$G$1002,SUBSTITUTE(SUBSTITUTE(B390,"?","~?"),"*","~*")),0),""))</f>
        <v/>
      </c>
      <c r="I390">
        <f>IF(B390="","",COUNTIFS('Keyword Map'!$G$3:$G$1002,SUBSTITUTE(SUBSTITUTE(B390,"?","~?"),"*","~*"),'Keyword Map'!$R$3:$R$1002,"Yes"))</f>
        <v/>
      </c>
      <c r="J390">
        <f>IF(B390="","",COUNTIFS('Keyword Map'!$G$3:$G$1002,SUBSTITUTE(SUBSTITUTE(B390,"?","~?"),"*","~*"),'Keyword Map'!$W$3:$W$1002,"Yes"))</f>
        <v/>
      </c>
      <c r="K390">
        <f>IF(B390="","",IF(F390=0,"No primary keyword",IF(F390&gt;Settings!$B$4,"Too many primary keywords",IF(I390+J390&gt;0,"Check flags","OK"))))</f>
        <v/>
      </c>
    </row>
    <row r="391">
      <c r="A391">
        <f>ROW()-2</f>
        <v/>
      </c>
      <c r="B391">
        <f>IFERROR(INDEX('Keyword Map'!$G$3:$G$1002,MATCH(A391,'Keyword Map'!$AA$3:$AA$1002,0)),"")</f>
        <v/>
      </c>
      <c r="C391">
        <f>IF(B391="","",INDEX('Keyword Map'!$I$3:$I$1002,MATCH(A391,'Keyword Map'!$AA$3:$AA$1002,0))&amp;"")</f>
        <v/>
      </c>
      <c r="D391">
        <f>IF(B391="","",INDEX('Keyword Map'!$H$3:$H$1002,MATCH(A391,'Keyword Map'!$AA$3:$AA$1002,0))&amp;"")</f>
        <v/>
      </c>
      <c r="E391">
        <f>IF(B391="","",COUNTIF('Keyword Map'!$G$3:$G$1002,SUBSTITUTE(SUBSTITUTE(B391,"?","~?"),"*","~*")))</f>
        <v/>
      </c>
      <c r="F391">
        <f>IF(B391="","",COUNTIFS('Keyword Map'!$G$3:$G$1002,SUBSTITUTE(SUBSTITUTE(B391,"?","~?"),"*","~*"),'Keyword Map'!$J$3:$J$1002,"Primary"))</f>
        <v/>
      </c>
      <c r="G391">
        <f>IF(B391="","",SUMIFS('Keyword Map'!$C$3:$C$1002,'Keyword Map'!$G$3:$G$1002,SUBSTITUTE(SUBSTITUTE(B391,"?","~?"),"*","~*")))</f>
        <v/>
      </c>
      <c r="H391">
        <f>IF(B391="","",IFERROR(ROUND(AVERAGEIFS('Keyword Map'!$P$3:$P$1002,'Keyword Map'!$G$3:$G$1002,SUBSTITUTE(SUBSTITUTE(B391,"?","~?"),"*","~*")),0),""))</f>
        <v/>
      </c>
      <c r="I391">
        <f>IF(B391="","",COUNTIFS('Keyword Map'!$G$3:$G$1002,SUBSTITUTE(SUBSTITUTE(B391,"?","~?"),"*","~*"),'Keyword Map'!$R$3:$R$1002,"Yes"))</f>
        <v/>
      </c>
      <c r="J391">
        <f>IF(B391="","",COUNTIFS('Keyword Map'!$G$3:$G$1002,SUBSTITUTE(SUBSTITUTE(B391,"?","~?"),"*","~*"),'Keyword Map'!$W$3:$W$1002,"Yes"))</f>
        <v/>
      </c>
      <c r="K391">
        <f>IF(B391="","",IF(F391=0,"No primary keyword",IF(F391&gt;Settings!$B$4,"Too many primary keywords",IF(I391+J391&gt;0,"Check flags","OK"))))</f>
        <v/>
      </c>
    </row>
    <row r="392">
      <c r="A392">
        <f>ROW()-2</f>
        <v/>
      </c>
      <c r="B392">
        <f>IFERROR(INDEX('Keyword Map'!$G$3:$G$1002,MATCH(A392,'Keyword Map'!$AA$3:$AA$1002,0)),"")</f>
        <v/>
      </c>
      <c r="C392">
        <f>IF(B392="","",INDEX('Keyword Map'!$I$3:$I$1002,MATCH(A392,'Keyword Map'!$AA$3:$AA$1002,0))&amp;"")</f>
        <v/>
      </c>
      <c r="D392">
        <f>IF(B392="","",INDEX('Keyword Map'!$H$3:$H$1002,MATCH(A392,'Keyword Map'!$AA$3:$AA$1002,0))&amp;"")</f>
        <v/>
      </c>
      <c r="E392">
        <f>IF(B392="","",COUNTIF('Keyword Map'!$G$3:$G$1002,SUBSTITUTE(SUBSTITUTE(B392,"?","~?"),"*","~*")))</f>
        <v/>
      </c>
      <c r="F392">
        <f>IF(B392="","",COUNTIFS('Keyword Map'!$G$3:$G$1002,SUBSTITUTE(SUBSTITUTE(B392,"?","~?"),"*","~*"),'Keyword Map'!$J$3:$J$1002,"Primary"))</f>
        <v/>
      </c>
      <c r="G392">
        <f>IF(B392="","",SUMIFS('Keyword Map'!$C$3:$C$1002,'Keyword Map'!$G$3:$G$1002,SUBSTITUTE(SUBSTITUTE(B392,"?","~?"),"*","~*")))</f>
        <v/>
      </c>
      <c r="H392">
        <f>IF(B392="","",IFERROR(ROUND(AVERAGEIFS('Keyword Map'!$P$3:$P$1002,'Keyword Map'!$G$3:$G$1002,SUBSTITUTE(SUBSTITUTE(B392,"?","~?"),"*","~*")),0),""))</f>
        <v/>
      </c>
      <c r="I392">
        <f>IF(B392="","",COUNTIFS('Keyword Map'!$G$3:$G$1002,SUBSTITUTE(SUBSTITUTE(B392,"?","~?"),"*","~*"),'Keyword Map'!$R$3:$R$1002,"Yes"))</f>
        <v/>
      </c>
      <c r="J392">
        <f>IF(B392="","",COUNTIFS('Keyword Map'!$G$3:$G$1002,SUBSTITUTE(SUBSTITUTE(B392,"?","~?"),"*","~*"),'Keyword Map'!$W$3:$W$1002,"Yes"))</f>
        <v/>
      </c>
      <c r="K392">
        <f>IF(B392="","",IF(F392=0,"No primary keyword",IF(F392&gt;Settings!$B$4,"Too many primary keywords",IF(I392+J392&gt;0,"Check flags","OK"))))</f>
        <v/>
      </c>
    </row>
    <row r="393">
      <c r="A393">
        <f>ROW()-2</f>
        <v/>
      </c>
      <c r="B393">
        <f>IFERROR(INDEX('Keyword Map'!$G$3:$G$1002,MATCH(A393,'Keyword Map'!$AA$3:$AA$1002,0)),"")</f>
        <v/>
      </c>
      <c r="C393">
        <f>IF(B393="","",INDEX('Keyword Map'!$I$3:$I$1002,MATCH(A393,'Keyword Map'!$AA$3:$AA$1002,0))&amp;"")</f>
        <v/>
      </c>
      <c r="D393">
        <f>IF(B393="","",INDEX('Keyword Map'!$H$3:$H$1002,MATCH(A393,'Keyword Map'!$AA$3:$AA$1002,0))&amp;"")</f>
        <v/>
      </c>
      <c r="E393">
        <f>IF(B393="","",COUNTIF('Keyword Map'!$G$3:$G$1002,SUBSTITUTE(SUBSTITUTE(B393,"?","~?"),"*","~*")))</f>
        <v/>
      </c>
      <c r="F393">
        <f>IF(B393="","",COUNTIFS('Keyword Map'!$G$3:$G$1002,SUBSTITUTE(SUBSTITUTE(B393,"?","~?"),"*","~*"),'Keyword Map'!$J$3:$J$1002,"Primary"))</f>
        <v/>
      </c>
      <c r="G393">
        <f>IF(B393="","",SUMIFS('Keyword Map'!$C$3:$C$1002,'Keyword Map'!$G$3:$G$1002,SUBSTITUTE(SUBSTITUTE(B393,"?","~?"),"*","~*")))</f>
        <v/>
      </c>
      <c r="H393">
        <f>IF(B393="","",IFERROR(ROUND(AVERAGEIFS('Keyword Map'!$P$3:$P$1002,'Keyword Map'!$G$3:$G$1002,SUBSTITUTE(SUBSTITUTE(B393,"?","~?"),"*","~*")),0),""))</f>
        <v/>
      </c>
      <c r="I393">
        <f>IF(B393="","",COUNTIFS('Keyword Map'!$G$3:$G$1002,SUBSTITUTE(SUBSTITUTE(B393,"?","~?"),"*","~*"),'Keyword Map'!$R$3:$R$1002,"Yes"))</f>
        <v/>
      </c>
      <c r="J393">
        <f>IF(B393="","",COUNTIFS('Keyword Map'!$G$3:$G$1002,SUBSTITUTE(SUBSTITUTE(B393,"?","~?"),"*","~*"),'Keyword Map'!$W$3:$W$1002,"Yes"))</f>
        <v/>
      </c>
      <c r="K393">
        <f>IF(B393="","",IF(F393=0,"No primary keyword",IF(F393&gt;Settings!$B$4,"Too many primary keywords",IF(I393+J393&gt;0,"Check flags","OK"))))</f>
        <v/>
      </c>
    </row>
    <row r="394">
      <c r="A394">
        <f>ROW()-2</f>
        <v/>
      </c>
      <c r="B394">
        <f>IFERROR(INDEX('Keyword Map'!$G$3:$G$1002,MATCH(A394,'Keyword Map'!$AA$3:$AA$1002,0)),"")</f>
        <v/>
      </c>
      <c r="C394">
        <f>IF(B394="","",INDEX('Keyword Map'!$I$3:$I$1002,MATCH(A394,'Keyword Map'!$AA$3:$AA$1002,0))&amp;"")</f>
        <v/>
      </c>
      <c r="D394">
        <f>IF(B394="","",INDEX('Keyword Map'!$H$3:$H$1002,MATCH(A394,'Keyword Map'!$AA$3:$AA$1002,0))&amp;"")</f>
        <v/>
      </c>
      <c r="E394">
        <f>IF(B394="","",COUNTIF('Keyword Map'!$G$3:$G$1002,SUBSTITUTE(SUBSTITUTE(B394,"?","~?"),"*","~*")))</f>
        <v/>
      </c>
      <c r="F394">
        <f>IF(B394="","",COUNTIFS('Keyword Map'!$G$3:$G$1002,SUBSTITUTE(SUBSTITUTE(B394,"?","~?"),"*","~*"),'Keyword Map'!$J$3:$J$1002,"Primary"))</f>
        <v/>
      </c>
      <c r="G394">
        <f>IF(B394="","",SUMIFS('Keyword Map'!$C$3:$C$1002,'Keyword Map'!$G$3:$G$1002,SUBSTITUTE(SUBSTITUTE(B394,"?","~?"),"*","~*")))</f>
        <v/>
      </c>
      <c r="H394">
        <f>IF(B394="","",IFERROR(ROUND(AVERAGEIFS('Keyword Map'!$P$3:$P$1002,'Keyword Map'!$G$3:$G$1002,SUBSTITUTE(SUBSTITUTE(B394,"?","~?"),"*","~*")),0),""))</f>
        <v/>
      </c>
      <c r="I394">
        <f>IF(B394="","",COUNTIFS('Keyword Map'!$G$3:$G$1002,SUBSTITUTE(SUBSTITUTE(B394,"?","~?"),"*","~*"),'Keyword Map'!$R$3:$R$1002,"Yes"))</f>
        <v/>
      </c>
      <c r="J394">
        <f>IF(B394="","",COUNTIFS('Keyword Map'!$G$3:$G$1002,SUBSTITUTE(SUBSTITUTE(B394,"?","~?"),"*","~*"),'Keyword Map'!$W$3:$W$1002,"Yes"))</f>
        <v/>
      </c>
      <c r="K394">
        <f>IF(B394="","",IF(F394=0,"No primary keyword",IF(F394&gt;Settings!$B$4,"Too many primary keywords",IF(I394+J394&gt;0,"Check flags","OK"))))</f>
        <v/>
      </c>
    </row>
    <row r="395">
      <c r="A395">
        <f>ROW()-2</f>
        <v/>
      </c>
      <c r="B395">
        <f>IFERROR(INDEX('Keyword Map'!$G$3:$G$1002,MATCH(A395,'Keyword Map'!$AA$3:$AA$1002,0)),"")</f>
        <v/>
      </c>
      <c r="C395">
        <f>IF(B395="","",INDEX('Keyword Map'!$I$3:$I$1002,MATCH(A395,'Keyword Map'!$AA$3:$AA$1002,0))&amp;"")</f>
        <v/>
      </c>
      <c r="D395">
        <f>IF(B395="","",INDEX('Keyword Map'!$H$3:$H$1002,MATCH(A395,'Keyword Map'!$AA$3:$AA$1002,0))&amp;"")</f>
        <v/>
      </c>
      <c r="E395">
        <f>IF(B395="","",COUNTIF('Keyword Map'!$G$3:$G$1002,SUBSTITUTE(SUBSTITUTE(B395,"?","~?"),"*","~*")))</f>
        <v/>
      </c>
      <c r="F395">
        <f>IF(B395="","",COUNTIFS('Keyword Map'!$G$3:$G$1002,SUBSTITUTE(SUBSTITUTE(B395,"?","~?"),"*","~*"),'Keyword Map'!$J$3:$J$1002,"Primary"))</f>
        <v/>
      </c>
      <c r="G395">
        <f>IF(B395="","",SUMIFS('Keyword Map'!$C$3:$C$1002,'Keyword Map'!$G$3:$G$1002,SUBSTITUTE(SUBSTITUTE(B395,"?","~?"),"*","~*")))</f>
        <v/>
      </c>
      <c r="H395">
        <f>IF(B395="","",IFERROR(ROUND(AVERAGEIFS('Keyword Map'!$P$3:$P$1002,'Keyword Map'!$G$3:$G$1002,SUBSTITUTE(SUBSTITUTE(B395,"?","~?"),"*","~*")),0),""))</f>
        <v/>
      </c>
      <c r="I395">
        <f>IF(B395="","",COUNTIFS('Keyword Map'!$G$3:$G$1002,SUBSTITUTE(SUBSTITUTE(B395,"?","~?"),"*","~*"),'Keyword Map'!$R$3:$R$1002,"Yes"))</f>
        <v/>
      </c>
      <c r="J395">
        <f>IF(B395="","",COUNTIFS('Keyword Map'!$G$3:$G$1002,SUBSTITUTE(SUBSTITUTE(B395,"?","~?"),"*","~*"),'Keyword Map'!$W$3:$W$1002,"Yes"))</f>
        <v/>
      </c>
      <c r="K395">
        <f>IF(B395="","",IF(F395=0,"No primary keyword",IF(F395&gt;Settings!$B$4,"Too many primary keywords",IF(I395+J395&gt;0,"Check flags","OK"))))</f>
        <v/>
      </c>
    </row>
    <row r="396">
      <c r="A396">
        <f>ROW()-2</f>
        <v/>
      </c>
      <c r="B396">
        <f>IFERROR(INDEX('Keyword Map'!$G$3:$G$1002,MATCH(A396,'Keyword Map'!$AA$3:$AA$1002,0)),"")</f>
        <v/>
      </c>
      <c r="C396">
        <f>IF(B396="","",INDEX('Keyword Map'!$I$3:$I$1002,MATCH(A396,'Keyword Map'!$AA$3:$AA$1002,0))&amp;"")</f>
        <v/>
      </c>
      <c r="D396">
        <f>IF(B396="","",INDEX('Keyword Map'!$H$3:$H$1002,MATCH(A396,'Keyword Map'!$AA$3:$AA$1002,0))&amp;"")</f>
        <v/>
      </c>
      <c r="E396">
        <f>IF(B396="","",COUNTIF('Keyword Map'!$G$3:$G$1002,SUBSTITUTE(SUBSTITUTE(B396,"?","~?"),"*","~*")))</f>
        <v/>
      </c>
      <c r="F396">
        <f>IF(B396="","",COUNTIFS('Keyword Map'!$G$3:$G$1002,SUBSTITUTE(SUBSTITUTE(B396,"?","~?"),"*","~*"),'Keyword Map'!$J$3:$J$1002,"Primary"))</f>
        <v/>
      </c>
      <c r="G396">
        <f>IF(B396="","",SUMIFS('Keyword Map'!$C$3:$C$1002,'Keyword Map'!$G$3:$G$1002,SUBSTITUTE(SUBSTITUTE(B396,"?","~?"),"*","~*")))</f>
        <v/>
      </c>
      <c r="H396">
        <f>IF(B396="","",IFERROR(ROUND(AVERAGEIFS('Keyword Map'!$P$3:$P$1002,'Keyword Map'!$G$3:$G$1002,SUBSTITUTE(SUBSTITUTE(B396,"?","~?"),"*","~*")),0),""))</f>
        <v/>
      </c>
      <c r="I396">
        <f>IF(B396="","",COUNTIFS('Keyword Map'!$G$3:$G$1002,SUBSTITUTE(SUBSTITUTE(B396,"?","~?"),"*","~*"),'Keyword Map'!$R$3:$R$1002,"Yes"))</f>
        <v/>
      </c>
      <c r="J396">
        <f>IF(B396="","",COUNTIFS('Keyword Map'!$G$3:$G$1002,SUBSTITUTE(SUBSTITUTE(B396,"?","~?"),"*","~*"),'Keyword Map'!$W$3:$W$1002,"Yes"))</f>
        <v/>
      </c>
      <c r="K396">
        <f>IF(B396="","",IF(F396=0,"No primary keyword",IF(F396&gt;Settings!$B$4,"Too many primary keywords",IF(I396+J396&gt;0,"Check flags","OK"))))</f>
        <v/>
      </c>
    </row>
    <row r="397">
      <c r="A397">
        <f>ROW()-2</f>
        <v/>
      </c>
      <c r="B397">
        <f>IFERROR(INDEX('Keyword Map'!$G$3:$G$1002,MATCH(A397,'Keyword Map'!$AA$3:$AA$1002,0)),"")</f>
        <v/>
      </c>
      <c r="C397">
        <f>IF(B397="","",INDEX('Keyword Map'!$I$3:$I$1002,MATCH(A397,'Keyword Map'!$AA$3:$AA$1002,0))&amp;"")</f>
        <v/>
      </c>
      <c r="D397">
        <f>IF(B397="","",INDEX('Keyword Map'!$H$3:$H$1002,MATCH(A397,'Keyword Map'!$AA$3:$AA$1002,0))&amp;"")</f>
        <v/>
      </c>
      <c r="E397">
        <f>IF(B397="","",COUNTIF('Keyword Map'!$G$3:$G$1002,SUBSTITUTE(SUBSTITUTE(B397,"?","~?"),"*","~*")))</f>
        <v/>
      </c>
      <c r="F397">
        <f>IF(B397="","",COUNTIFS('Keyword Map'!$G$3:$G$1002,SUBSTITUTE(SUBSTITUTE(B397,"?","~?"),"*","~*"),'Keyword Map'!$J$3:$J$1002,"Primary"))</f>
        <v/>
      </c>
      <c r="G397">
        <f>IF(B397="","",SUMIFS('Keyword Map'!$C$3:$C$1002,'Keyword Map'!$G$3:$G$1002,SUBSTITUTE(SUBSTITUTE(B397,"?","~?"),"*","~*")))</f>
        <v/>
      </c>
      <c r="H397">
        <f>IF(B397="","",IFERROR(ROUND(AVERAGEIFS('Keyword Map'!$P$3:$P$1002,'Keyword Map'!$G$3:$G$1002,SUBSTITUTE(SUBSTITUTE(B397,"?","~?"),"*","~*")),0),""))</f>
        <v/>
      </c>
      <c r="I397">
        <f>IF(B397="","",COUNTIFS('Keyword Map'!$G$3:$G$1002,SUBSTITUTE(SUBSTITUTE(B397,"?","~?"),"*","~*"),'Keyword Map'!$R$3:$R$1002,"Yes"))</f>
        <v/>
      </c>
      <c r="J397">
        <f>IF(B397="","",COUNTIFS('Keyword Map'!$G$3:$G$1002,SUBSTITUTE(SUBSTITUTE(B397,"?","~?"),"*","~*"),'Keyword Map'!$W$3:$W$1002,"Yes"))</f>
        <v/>
      </c>
      <c r="K397">
        <f>IF(B397="","",IF(F397=0,"No primary keyword",IF(F397&gt;Settings!$B$4,"Too many primary keywords",IF(I397+J397&gt;0,"Check flags","OK"))))</f>
        <v/>
      </c>
    </row>
    <row r="398">
      <c r="A398">
        <f>ROW()-2</f>
        <v/>
      </c>
      <c r="B398">
        <f>IFERROR(INDEX('Keyword Map'!$G$3:$G$1002,MATCH(A398,'Keyword Map'!$AA$3:$AA$1002,0)),"")</f>
        <v/>
      </c>
      <c r="C398">
        <f>IF(B398="","",INDEX('Keyword Map'!$I$3:$I$1002,MATCH(A398,'Keyword Map'!$AA$3:$AA$1002,0))&amp;"")</f>
        <v/>
      </c>
      <c r="D398">
        <f>IF(B398="","",INDEX('Keyword Map'!$H$3:$H$1002,MATCH(A398,'Keyword Map'!$AA$3:$AA$1002,0))&amp;"")</f>
        <v/>
      </c>
      <c r="E398">
        <f>IF(B398="","",COUNTIF('Keyword Map'!$G$3:$G$1002,SUBSTITUTE(SUBSTITUTE(B398,"?","~?"),"*","~*")))</f>
        <v/>
      </c>
      <c r="F398">
        <f>IF(B398="","",COUNTIFS('Keyword Map'!$G$3:$G$1002,SUBSTITUTE(SUBSTITUTE(B398,"?","~?"),"*","~*"),'Keyword Map'!$J$3:$J$1002,"Primary"))</f>
        <v/>
      </c>
      <c r="G398">
        <f>IF(B398="","",SUMIFS('Keyword Map'!$C$3:$C$1002,'Keyword Map'!$G$3:$G$1002,SUBSTITUTE(SUBSTITUTE(B398,"?","~?"),"*","~*")))</f>
        <v/>
      </c>
      <c r="H398">
        <f>IF(B398="","",IFERROR(ROUND(AVERAGEIFS('Keyword Map'!$P$3:$P$1002,'Keyword Map'!$G$3:$G$1002,SUBSTITUTE(SUBSTITUTE(B398,"?","~?"),"*","~*")),0),""))</f>
        <v/>
      </c>
      <c r="I398">
        <f>IF(B398="","",COUNTIFS('Keyword Map'!$G$3:$G$1002,SUBSTITUTE(SUBSTITUTE(B398,"?","~?"),"*","~*"),'Keyword Map'!$R$3:$R$1002,"Yes"))</f>
        <v/>
      </c>
      <c r="J398">
        <f>IF(B398="","",COUNTIFS('Keyword Map'!$G$3:$G$1002,SUBSTITUTE(SUBSTITUTE(B398,"?","~?"),"*","~*"),'Keyword Map'!$W$3:$W$1002,"Yes"))</f>
        <v/>
      </c>
      <c r="K398">
        <f>IF(B398="","",IF(F398=0,"No primary keyword",IF(F398&gt;Settings!$B$4,"Too many primary keywords",IF(I398+J398&gt;0,"Check flags","OK"))))</f>
        <v/>
      </c>
    </row>
    <row r="399">
      <c r="A399">
        <f>ROW()-2</f>
        <v/>
      </c>
      <c r="B399">
        <f>IFERROR(INDEX('Keyword Map'!$G$3:$G$1002,MATCH(A399,'Keyword Map'!$AA$3:$AA$1002,0)),"")</f>
        <v/>
      </c>
      <c r="C399">
        <f>IF(B399="","",INDEX('Keyword Map'!$I$3:$I$1002,MATCH(A399,'Keyword Map'!$AA$3:$AA$1002,0))&amp;"")</f>
        <v/>
      </c>
      <c r="D399">
        <f>IF(B399="","",INDEX('Keyword Map'!$H$3:$H$1002,MATCH(A399,'Keyword Map'!$AA$3:$AA$1002,0))&amp;"")</f>
        <v/>
      </c>
      <c r="E399">
        <f>IF(B399="","",COUNTIF('Keyword Map'!$G$3:$G$1002,SUBSTITUTE(SUBSTITUTE(B399,"?","~?"),"*","~*")))</f>
        <v/>
      </c>
      <c r="F399">
        <f>IF(B399="","",COUNTIFS('Keyword Map'!$G$3:$G$1002,SUBSTITUTE(SUBSTITUTE(B399,"?","~?"),"*","~*"),'Keyword Map'!$J$3:$J$1002,"Primary"))</f>
        <v/>
      </c>
      <c r="G399">
        <f>IF(B399="","",SUMIFS('Keyword Map'!$C$3:$C$1002,'Keyword Map'!$G$3:$G$1002,SUBSTITUTE(SUBSTITUTE(B399,"?","~?"),"*","~*")))</f>
        <v/>
      </c>
      <c r="H399">
        <f>IF(B399="","",IFERROR(ROUND(AVERAGEIFS('Keyword Map'!$P$3:$P$1002,'Keyword Map'!$G$3:$G$1002,SUBSTITUTE(SUBSTITUTE(B399,"?","~?"),"*","~*")),0),""))</f>
        <v/>
      </c>
      <c r="I399">
        <f>IF(B399="","",COUNTIFS('Keyword Map'!$G$3:$G$1002,SUBSTITUTE(SUBSTITUTE(B399,"?","~?"),"*","~*"),'Keyword Map'!$R$3:$R$1002,"Yes"))</f>
        <v/>
      </c>
      <c r="J399">
        <f>IF(B399="","",COUNTIFS('Keyword Map'!$G$3:$G$1002,SUBSTITUTE(SUBSTITUTE(B399,"?","~?"),"*","~*"),'Keyword Map'!$W$3:$W$1002,"Yes"))</f>
        <v/>
      </c>
      <c r="K399">
        <f>IF(B399="","",IF(F399=0,"No primary keyword",IF(F399&gt;Settings!$B$4,"Too many primary keywords",IF(I399+J399&gt;0,"Check flags","OK"))))</f>
        <v/>
      </c>
    </row>
    <row r="400">
      <c r="A400">
        <f>ROW()-2</f>
        <v/>
      </c>
      <c r="B400">
        <f>IFERROR(INDEX('Keyword Map'!$G$3:$G$1002,MATCH(A400,'Keyword Map'!$AA$3:$AA$1002,0)),"")</f>
        <v/>
      </c>
      <c r="C400">
        <f>IF(B400="","",INDEX('Keyword Map'!$I$3:$I$1002,MATCH(A400,'Keyword Map'!$AA$3:$AA$1002,0))&amp;"")</f>
        <v/>
      </c>
      <c r="D400">
        <f>IF(B400="","",INDEX('Keyword Map'!$H$3:$H$1002,MATCH(A400,'Keyword Map'!$AA$3:$AA$1002,0))&amp;"")</f>
        <v/>
      </c>
      <c r="E400">
        <f>IF(B400="","",COUNTIF('Keyword Map'!$G$3:$G$1002,SUBSTITUTE(SUBSTITUTE(B400,"?","~?"),"*","~*")))</f>
        <v/>
      </c>
      <c r="F400">
        <f>IF(B400="","",COUNTIFS('Keyword Map'!$G$3:$G$1002,SUBSTITUTE(SUBSTITUTE(B400,"?","~?"),"*","~*"),'Keyword Map'!$J$3:$J$1002,"Primary"))</f>
        <v/>
      </c>
      <c r="G400">
        <f>IF(B400="","",SUMIFS('Keyword Map'!$C$3:$C$1002,'Keyword Map'!$G$3:$G$1002,SUBSTITUTE(SUBSTITUTE(B400,"?","~?"),"*","~*")))</f>
        <v/>
      </c>
      <c r="H400">
        <f>IF(B400="","",IFERROR(ROUND(AVERAGEIFS('Keyword Map'!$P$3:$P$1002,'Keyword Map'!$G$3:$G$1002,SUBSTITUTE(SUBSTITUTE(B400,"?","~?"),"*","~*")),0),""))</f>
        <v/>
      </c>
      <c r="I400">
        <f>IF(B400="","",COUNTIFS('Keyword Map'!$G$3:$G$1002,SUBSTITUTE(SUBSTITUTE(B400,"?","~?"),"*","~*"),'Keyword Map'!$R$3:$R$1002,"Yes"))</f>
        <v/>
      </c>
      <c r="J400">
        <f>IF(B400="","",COUNTIFS('Keyword Map'!$G$3:$G$1002,SUBSTITUTE(SUBSTITUTE(B400,"?","~?"),"*","~*"),'Keyword Map'!$W$3:$W$1002,"Yes"))</f>
        <v/>
      </c>
      <c r="K400">
        <f>IF(B400="","",IF(F400=0,"No primary keyword",IF(F400&gt;Settings!$B$4,"Too many primary keywords",IF(I400+J400&gt;0,"Check flags","OK"))))</f>
        <v/>
      </c>
    </row>
    <row r="401">
      <c r="A401">
        <f>ROW()-2</f>
        <v/>
      </c>
      <c r="B401">
        <f>IFERROR(INDEX('Keyword Map'!$G$3:$G$1002,MATCH(A401,'Keyword Map'!$AA$3:$AA$1002,0)),"")</f>
        <v/>
      </c>
      <c r="C401">
        <f>IF(B401="","",INDEX('Keyword Map'!$I$3:$I$1002,MATCH(A401,'Keyword Map'!$AA$3:$AA$1002,0))&amp;"")</f>
        <v/>
      </c>
      <c r="D401">
        <f>IF(B401="","",INDEX('Keyword Map'!$H$3:$H$1002,MATCH(A401,'Keyword Map'!$AA$3:$AA$1002,0))&amp;"")</f>
        <v/>
      </c>
      <c r="E401">
        <f>IF(B401="","",COUNTIF('Keyword Map'!$G$3:$G$1002,SUBSTITUTE(SUBSTITUTE(B401,"?","~?"),"*","~*")))</f>
        <v/>
      </c>
      <c r="F401">
        <f>IF(B401="","",COUNTIFS('Keyword Map'!$G$3:$G$1002,SUBSTITUTE(SUBSTITUTE(B401,"?","~?"),"*","~*"),'Keyword Map'!$J$3:$J$1002,"Primary"))</f>
        <v/>
      </c>
      <c r="G401">
        <f>IF(B401="","",SUMIFS('Keyword Map'!$C$3:$C$1002,'Keyword Map'!$G$3:$G$1002,SUBSTITUTE(SUBSTITUTE(B401,"?","~?"),"*","~*")))</f>
        <v/>
      </c>
      <c r="H401">
        <f>IF(B401="","",IFERROR(ROUND(AVERAGEIFS('Keyword Map'!$P$3:$P$1002,'Keyword Map'!$G$3:$G$1002,SUBSTITUTE(SUBSTITUTE(B401,"?","~?"),"*","~*")),0),""))</f>
        <v/>
      </c>
      <c r="I401">
        <f>IF(B401="","",COUNTIFS('Keyword Map'!$G$3:$G$1002,SUBSTITUTE(SUBSTITUTE(B401,"?","~?"),"*","~*"),'Keyword Map'!$R$3:$R$1002,"Yes"))</f>
        <v/>
      </c>
      <c r="J401">
        <f>IF(B401="","",COUNTIFS('Keyword Map'!$G$3:$G$1002,SUBSTITUTE(SUBSTITUTE(B401,"?","~?"),"*","~*"),'Keyword Map'!$W$3:$W$1002,"Yes"))</f>
        <v/>
      </c>
      <c r="K401">
        <f>IF(B401="","",IF(F401=0,"No primary keyword",IF(F401&gt;Settings!$B$4,"Too many primary keywords",IF(I401+J401&gt;0,"Check flags","OK"))))</f>
        <v/>
      </c>
    </row>
    <row r="402">
      <c r="A402">
        <f>ROW()-2</f>
        <v/>
      </c>
      <c r="B402">
        <f>IFERROR(INDEX('Keyword Map'!$G$3:$G$1002,MATCH(A402,'Keyword Map'!$AA$3:$AA$1002,0)),"")</f>
        <v/>
      </c>
      <c r="C402">
        <f>IF(B402="","",INDEX('Keyword Map'!$I$3:$I$1002,MATCH(A402,'Keyword Map'!$AA$3:$AA$1002,0))&amp;"")</f>
        <v/>
      </c>
      <c r="D402">
        <f>IF(B402="","",INDEX('Keyword Map'!$H$3:$H$1002,MATCH(A402,'Keyword Map'!$AA$3:$AA$1002,0))&amp;"")</f>
        <v/>
      </c>
      <c r="E402">
        <f>IF(B402="","",COUNTIF('Keyword Map'!$G$3:$G$1002,SUBSTITUTE(SUBSTITUTE(B402,"?","~?"),"*","~*")))</f>
        <v/>
      </c>
      <c r="F402">
        <f>IF(B402="","",COUNTIFS('Keyword Map'!$G$3:$G$1002,SUBSTITUTE(SUBSTITUTE(B402,"?","~?"),"*","~*"),'Keyword Map'!$J$3:$J$1002,"Primary"))</f>
        <v/>
      </c>
      <c r="G402">
        <f>IF(B402="","",SUMIFS('Keyword Map'!$C$3:$C$1002,'Keyword Map'!$G$3:$G$1002,SUBSTITUTE(SUBSTITUTE(B402,"?","~?"),"*","~*")))</f>
        <v/>
      </c>
      <c r="H402">
        <f>IF(B402="","",IFERROR(ROUND(AVERAGEIFS('Keyword Map'!$P$3:$P$1002,'Keyword Map'!$G$3:$G$1002,SUBSTITUTE(SUBSTITUTE(B402,"?","~?"),"*","~*")),0),""))</f>
        <v/>
      </c>
      <c r="I402">
        <f>IF(B402="","",COUNTIFS('Keyword Map'!$G$3:$G$1002,SUBSTITUTE(SUBSTITUTE(B402,"?","~?"),"*","~*"),'Keyword Map'!$R$3:$R$1002,"Yes"))</f>
        <v/>
      </c>
      <c r="J402">
        <f>IF(B402="","",COUNTIFS('Keyword Map'!$G$3:$G$1002,SUBSTITUTE(SUBSTITUTE(B402,"?","~?"),"*","~*"),'Keyword Map'!$W$3:$W$1002,"Yes"))</f>
        <v/>
      </c>
      <c r="K402">
        <f>IF(B402="","",IF(F402=0,"No primary keyword",IF(F402&gt;Settings!$B$4,"Too many primary keywords",IF(I402+J402&gt;0,"Check flags","OK"))))</f>
        <v/>
      </c>
    </row>
    <row r="403">
      <c r="A403">
        <f>ROW()-2</f>
        <v/>
      </c>
      <c r="B403">
        <f>IFERROR(INDEX('Keyword Map'!$G$3:$G$1002,MATCH(A403,'Keyword Map'!$AA$3:$AA$1002,0)),"")</f>
        <v/>
      </c>
      <c r="C403">
        <f>IF(B403="","",INDEX('Keyword Map'!$I$3:$I$1002,MATCH(A403,'Keyword Map'!$AA$3:$AA$1002,0))&amp;"")</f>
        <v/>
      </c>
      <c r="D403">
        <f>IF(B403="","",INDEX('Keyword Map'!$H$3:$H$1002,MATCH(A403,'Keyword Map'!$AA$3:$AA$1002,0))&amp;"")</f>
        <v/>
      </c>
      <c r="E403">
        <f>IF(B403="","",COUNTIF('Keyword Map'!$G$3:$G$1002,SUBSTITUTE(SUBSTITUTE(B403,"?","~?"),"*","~*")))</f>
        <v/>
      </c>
      <c r="F403">
        <f>IF(B403="","",COUNTIFS('Keyword Map'!$G$3:$G$1002,SUBSTITUTE(SUBSTITUTE(B403,"?","~?"),"*","~*"),'Keyword Map'!$J$3:$J$1002,"Primary"))</f>
        <v/>
      </c>
      <c r="G403">
        <f>IF(B403="","",SUMIFS('Keyword Map'!$C$3:$C$1002,'Keyword Map'!$G$3:$G$1002,SUBSTITUTE(SUBSTITUTE(B403,"?","~?"),"*","~*")))</f>
        <v/>
      </c>
      <c r="H403">
        <f>IF(B403="","",IFERROR(ROUND(AVERAGEIFS('Keyword Map'!$P$3:$P$1002,'Keyword Map'!$G$3:$G$1002,SUBSTITUTE(SUBSTITUTE(B403,"?","~?"),"*","~*")),0),""))</f>
        <v/>
      </c>
      <c r="I403">
        <f>IF(B403="","",COUNTIFS('Keyword Map'!$G$3:$G$1002,SUBSTITUTE(SUBSTITUTE(B403,"?","~?"),"*","~*"),'Keyword Map'!$R$3:$R$1002,"Yes"))</f>
        <v/>
      </c>
      <c r="J403">
        <f>IF(B403="","",COUNTIFS('Keyword Map'!$G$3:$G$1002,SUBSTITUTE(SUBSTITUTE(B403,"?","~?"),"*","~*"),'Keyword Map'!$W$3:$W$1002,"Yes"))</f>
        <v/>
      </c>
      <c r="K403">
        <f>IF(B403="","",IF(F403=0,"No primary keyword",IF(F403&gt;Settings!$B$4,"Too many primary keywords",IF(I403+J403&gt;0,"Check flags","OK"))))</f>
        <v/>
      </c>
    </row>
    <row r="404">
      <c r="A404">
        <f>ROW()-2</f>
        <v/>
      </c>
      <c r="B404">
        <f>IFERROR(INDEX('Keyword Map'!$G$3:$G$1002,MATCH(A404,'Keyword Map'!$AA$3:$AA$1002,0)),"")</f>
        <v/>
      </c>
      <c r="C404">
        <f>IF(B404="","",INDEX('Keyword Map'!$I$3:$I$1002,MATCH(A404,'Keyword Map'!$AA$3:$AA$1002,0))&amp;"")</f>
        <v/>
      </c>
      <c r="D404">
        <f>IF(B404="","",INDEX('Keyword Map'!$H$3:$H$1002,MATCH(A404,'Keyword Map'!$AA$3:$AA$1002,0))&amp;"")</f>
        <v/>
      </c>
      <c r="E404">
        <f>IF(B404="","",COUNTIF('Keyword Map'!$G$3:$G$1002,SUBSTITUTE(SUBSTITUTE(B404,"?","~?"),"*","~*")))</f>
        <v/>
      </c>
      <c r="F404">
        <f>IF(B404="","",COUNTIFS('Keyword Map'!$G$3:$G$1002,SUBSTITUTE(SUBSTITUTE(B404,"?","~?"),"*","~*"),'Keyword Map'!$J$3:$J$1002,"Primary"))</f>
        <v/>
      </c>
      <c r="G404">
        <f>IF(B404="","",SUMIFS('Keyword Map'!$C$3:$C$1002,'Keyword Map'!$G$3:$G$1002,SUBSTITUTE(SUBSTITUTE(B404,"?","~?"),"*","~*")))</f>
        <v/>
      </c>
      <c r="H404">
        <f>IF(B404="","",IFERROR(ROUND(AVERAGEIFS('Keyword Map'!$P$3:$P$1002,'Keyword Map'!$G$3:$G$1002,SUBSTITUTE(SUBSTITUTE(B404,"?","~?"),"*","~*")),0),""))</f>
        <v/>
      </c>
      <c r="I404">
        <f>IF(B404="","",COUNTIFS('Keyword Map'!$G$3:$G$1002,SUBSTITUTE(SUBSTITUTE(B404,"?","~?"),"*","~*"),'Keyword Map'!$R$3:$R$1002,"Yes"))</f>
        <v/>
      </c>
      <c r="J404">
        <f>IF(B404="","",COUNTIFS('Keyword Map'!$G$3:$G$1002,SUBSTITUTE(SUBSTITUTE(B404,"?","~?"),"*","~*"),'Keyword Map'!$W$3:$W$1002,"Yes"))</f>
        <v/>
      </c>
      <c r="K404">
        <f>IF(B404="","",IF(F404=0,"No primary keyword",IF(F404&gt;Settings!$B$4,"Too many primary keywords",IF(I404+J404&gt;0,"Check flags","OK"))))</f>
        <v/>
      </c>
    </row>
    <row r="405">
      <c r="A405">
        <f>ROW()-2</f>
        <v/>
      </c>
      <c r="B405">
        <f>IFERROR(INDEX('Keyword Map'!$G$3:$G$1002,MATCH(A405,'Keyword Map'!$AA$3:$AA$1002,0)),"")</f>
        <v/>
      </c>
      <c r="C405">
        <f>IF(B405="","",INDEX('Keyword Map'!$I$3:$I$1002,MATCH(A405,'Keyword Map'!$AA$3:$AA$1002,0))&amp;"")</f>
        <v/>
      </c>
      <c r="D405">
        <f>IF(B405="","",INDEX('Keyword Map'!$H$3:$H$1002,MATCH(A405,'Keyword Map'!$AA$3:$AA$1002,0))&amp;"")</f>
        <v/>
      </c>
      <c r="E405">
        <f>IF(B405="","",COUNTIF('Keyword Map'!$G$3:$G$1002,SUBSTITUTE(SUBSTITUTE(B405,"?","~?"),"*","~*")))</f>
        <v/>
      </c>
      <c r="F405">
        <f>IF(B405="","",COUNTIFS('Keyword Map'!$G$3:$G$1002,SUBSTITUTE(SUBSTITUTE(B405,"?","~?"),"*","~*"),'Keyword Map'!$J$3:$J$1002,"Primary"))</f>
        <v/>
      </c>
      <c r="G405">
        <f>IF(B405="","",SUMIFS('Keyword Map'!$C$3:$C$1002,'Keyword Map'!$G$3:$G$1002,SUBSTITUTE(SUBSTITUTE(B405,"?","~?"),"*","~*")))</f>
        <v/>
      </c>
      <c r="H405">
        <f>IF(B405="","",IFERROR(ROUND(AVERAGEIFS('Keyword Map'!$P$3:$P$1002,'Keyword Map'!$G$3:$G$1002,SUBSTITUTE(SUBSTITUTE(B405,"?","~?"),"*","~*")),0),""))</f>
        <v/>
      </c>
      <c r="I405">
        <f>IF(B405="","",COUNTIFS('Keyword Map'!$G$3:$G$1002,SUBSTITUTE(SUBSTITUTE(B405,"?","~?"),"*","~*"),'Keyword Map'!$R$3:$R$1002,"Yes"))</f>
        <v/>
      </c>
      <c r="J405">
        <f>IF(B405="","",COUNTIFS('Keyword Map'!$G$3:$G$1002,SUBSTITUTE(SUBSTITUTE(B405,"?","~?"),"*","~*"),'Keyword Map'!$W$3:$W$1002,"Yes"))</f>
        <v/>
      </c>
      <c r="K405">
        <f>IF(B405="","",IF(F405=0,"No primary keyword",IF(F405&gt;Settings!$B$4,"Too many primary keywords",IF(I405+J405&gt;0,"Check flags","OK"))))</f>
        <v/>
      </c>
    </row>
    <row r="406">
      <c r="A406">
        <f>ROW()-2</f>
        <v/>
      </c>
      <c r="B406">
        <f>IFERROR(INDEX('Keyword Map'!$G$3:$G$1002,MATCH(A406,'Keyword Map'!$AA$3:$AA$1002,0)),"")</f>
        <v/>
      </c>
      <c r="C406">
        <f>IF(B406="","",INDEX('Keyword Map'!$I$3:$I$1002,MATCH(A406,'Keyword Map'!$AA$3:$AA$1002,0))&amp;"")</f>
        <v/>
      </c>
      <c r="D406">
        <f>IF(B406="","",INDEX('Keyword Map'!$H$3:$H$1002,MATCH(A406,'Keyword Map'!$AA$3:$AA$1002,0))&amp;"")</f>
        <v/>
      </c>
      <c r="E406">
        <f>IF(B406="","",COUNTIF('Keyword Map'!$G$3:$G$1002,SUBSTITUTE(SUBSTITUTE(B406,"?","~?"),"*","~*")))</f>
        <v/>
      </c>
      <c r="F406">
        <f>IF(B406="","",COUNTIFS('Keyword Map'!$G$3:$G$1002,SUBSTITUTE(SUBSTITUTE(B406,"?","~?"),"*","~*"),'Keyword Map'!$J$3:$J$1002,"Primary"))</f>
        <v/>
      </c>
      <c r="G406">
        <f>IF(B406="","",SUMIFS('Keyword Map'!$C$3:$C$1002,'Keyword Map'!$G$3:$G$1002,SUBSTITUTE(SUBSTITUTE(B406,"?","~?"),"*","~*")))</f>
        <v/>
      </c>
      <c r="H406">
        <f>IF(B406="","",IFERROR(ROUND(AVERAGEIFS('Keyword Map'!$P$3:$P$1002,'Keyword Map'!$G$3:$G$1002,SUBSTITUTE(SUBSTITUTE(B406,"?","~?"),"*","~*")),0),""))</f>
        <v/>
      </c>
      <c r="I406">
        <f>IF(B406="","",COUNTIFS('Keyword Map'!$G$3:$G$1002,SUBSTITUTE(SUBSTITUTE(B406,"?","~?"),"*","~*"),'Keyword Map'!$R$3:$R$1002,"Yes"))</f>
        <v/>
      </c>
      <c r="J406">
        <f>IF(B406="","",COUNTIFS('Keyword Map'!$G$3:$G$1002,SUBSTITUTE(SUBSTITUTE(B406,"?","~?"),"*","~*"),'Keyword Map'!$W$3:$W$1002,"Yes"))</f>
        <v/>
      </c>
      <c r="K406">
        <f>IF(B406="","",IF(F406=0,"No primary keyword",IF(F406&gt;Settings!$B$4,"Too many primary keywords",IF(I406+J406&gt;0,"Check flags","OK"))))</f>
        <v/>
      </c>
    </row>
    <row r="407">
      <c r="A407">
        <f>ROW()-2</f>
        <v/>
      </c>
      <c r="B407">
        <f>IFERROR(INDEX('Keyword Map'!$G$3:$G$1002,MATCH(A407,'Keyword Map'!$AA$3:$AA$1002,0)),"")</f>
        <v/>
      </c>
      <c r="C407">
        <f>IF(B407="","",INDEX('Keyword Map'!$I$3:$I$1002,MATCH(A407,'Keyword Map'!$AA$3:$AA$1002,0))&amp;"")</f>
        <v/>
      </c>
      <c r="D407">
        <f>IF(B407="","",INDEX('Keyword Map'!$H$3:$H$1002,MATCH(A407,'Keyword Map'!$AA$3:$AA$1002,0))&amp;"")</f>
        <v/>
      </c>
      <c r="E407">
        <f>IF(B407="","",COUNTIF('Keyword Map'!$G$3:$G$1002,SUBSTITUTE(SUBSTITUTE(B407,"?","~?"),"*","~*")))</f>
        <v/>
      </c>
      <c r="F407">
        <f>IF(B407="","",COUNTIFS('Keyword Map'!$G$3:$G$1002,SUBSTITUTE(SUBSTITUTE(B407,"?","~?"),"*","~*"),'Keyword Map'!$J$3:$J$1002,"Primary"))</f>
        <v/>
      </c>
      <c r="G407">
        <f>IF(B407="","",SUMIFS('Keyword Map'!$C$3:$C$1002,'Keyword Map'!$G$3:$G$1002,SUBSTITUTE(SUBSTITUTE(B407,"?","~?"),"*","~*")))</f>
        <v/>
      </c>
      <c r="H407">
        <f>IF(B407="","",IFERROR(ROUND(AVERAGEIFS('Keyword Map'!$P$3:$P$1002,'Keyword Map'!$G$3:$G$1002,SUBSTITUTE(SUBSTITUTE(B407,"?","~?"),"*","~*")),0),""))</f>
        <v/>
      </c>
      <c r="I407">
        <f>IF(B407="","",COUNTIFS('Keyword Map'!$G$3:$G$1002,SUBSTITUTE(SUBSTITUTE(B407,"?","~?"),"*","~*"),'Keyword Map'!$R$3:$R$1002,"Yes"))</f>
        <v/>
      </c>
      <c r="J407">
        <f>IF(B407="","",COUNTIFS('Keyword Map'!$G$3:$G$1002,SUBSTITUTE(SUBSTITUTE(B407,"?","~?"),"*","~*"),'Keyword Map'!$W$3:$W$1002,"Yes"))</f>
        <v/>
      </c>
      <c r="K407">
        <f>IF(B407="","",IF(F407=0,"No primary keyword",IF(F407&gt;Settings!$B$4,"Too many primary keywords",IF(I407+J407&gt;0,"Check flags","OK"))))</f>
        <v/>
      </c>
    </row>
    <row r="408">
      <c r="A408">
        <f>ROW()-2</f>
        <v/>
      </c>
      <c r="B408">
        <f>IFERROR(INDEX('Keyword Map'!$G$3:$G$1002,MATCH(A408,'Keyword Map'!$AA$3:$AA$1002,0)),"")</f>
        <v/>
      </c>
      <c r="C408">
        <f>IF(B408="","",INDEX('Keyword Map'!$I$3:$I$1002,MATCH(A408,'Keyword Map'!$AA$3:$AA$1002,0))&amp;"")</f>
        <v/>
      </c>
      <c r="D408">
        <f>IF(B408="","",INDEX('Keyword Map'!$H$3:$H$1002,MATCH(A408,'Keyword Map'!$AA$3:$AA$1002,0))&amp;"")</f>
        <v/>
      </c>
      <c r="E408">
        <f>IF(B408="","",COUNTIF('Keyword Map'!$G$3:$G$1002,SUBSTITUTE(SUBSTITUTE(B408,"?","~?"),"*","~*")))</f>
        <v/>
      </c>
      <c r="F408">
        <f>IF(B408="","",COUNTIFS('Keyword Map'!$G$3:$G$1002,SUBSTITUTE(SUBSTITUTE(B408,"?","~?"),"*","~*"),'Keyword Map'!$J$3:$J$1002,"Primary"))</f>
        <v/>
      </c>
      <c r="G408">
        <f>IF(B408="","",SUMIFS('Keyword Map'!$C$3:$C$1002,'Keyword Map'!$G$3:$G$1002,SUBSTITUTE(SUBSTITUTE(B408,"?","~?"),"*","~*")))</f>
        <v/>
      </c>
      <c r="H408">
        <f>IF(B408="","",IFERROR(ROUND(AVERAGEIFS('Keyword Map'!$P$3:$P$1002,'Keyword Map'!$G$3:$G$1002,SUBSTITUTE(SUBSTITUTE(B408,"?","~?"),"*","~*")),0),""))</f>
        <v/>
      </c>
      <c r="I408">
        <f>IF(B408="","",COUNTIFS('Keyword Map'!$G$3:$G$1002,SUBSTITUTE(SUBSTITUTE(B408,"?","~?"),"*","~*"),'Keyword Map'!$R$3:$R$1002,"Yes"))</f>
        <v/>
      </c>
      <c r="J408">
        <f>IF(B408="","",COUNTIFS('Keyword Map'!$G$3:$G$1002,SUBSTITUTE(SUBSTITUTE(B408,"?","~?"),"*","~*"),'Keyword Map'!$W$3:$W$1002,"Yes"))</f>
        <v/>
      </c>
      <c r="K408">
        <f>IF(B408="","",IF(F408=0,"No primary keyword",IF(F408&gt;Settings!$B$4,"Too many primary keywords",IF(I408+J408&gt;0,"Check flags","OK"))))</f>
        <v/>
      </c>
    </row>
    <row r="409">
      <c r="A409">
        <f>ROW()-2</f>
        <v/>
      </c>
      <c r="B409">
        <f>IFERROR(INDEX('Keyword Map'!$G$3:$G$1002,MATCH(A409,'Keyword Map'!$AA$3:$AA$1002,0)),"")</f>
        <v/>
      </c>
      <c r="C409">
        <f>IF(B409="","",INDEX('Keyword Map'!$I$3:$I$1002,MATCH(A409,'Keyword Map'!$AA$3:$AA$1002,0))&amp;"")</f>
        <v/>
      </c>
      <c r="D409">
        <f>IF(B409="","",INDEX('Keyword Map'!$H$3:$H$1002,MATCH(A409,'Keyword Map'!$AA$3:$AA$1002,0))&amp;"")</f>
        <v/>
      </c>
      <c r="E409">
        <f>IF(B409="","",COUNTIF('Keyword Map'!$G$3:$G$1002,SUBSTITUTE(SUBSTITUTE(B409,"?","~?"),"*","~*")))</f>
        <v/>
      </c>
      <c r="F409">
        <f>IF(B409="","",COUNTIFS('Keyword Map'!$G$3:$G$1002,SUBSTITUTE(SUBSTITUTE(B409,"?","~?"),"*","~*"),'Keyword Map'!$J$3:$J$1002,"Primary"))</f>
        <v/>
      </c>
      <c r="G409">
        <f>IF(B409="","",SUMIFS('Keyword Map'!$C$3:$C$1002,'Keyword Map'!$G$3:$G$1002,SUBSTITUTE(SUBSTITUTE(B409,"?","~?"),"*","~*")))</f>
        <v/>
      </c>
      <c r="H409">
        <f>IF(B409="","",IFERROR(ROUND(AVERAGEIFS('Keyword Map'!$P$3:$P$1002,'Keyword Map'!$G$3:$G$1002,SUBSTITUTE(SUBSTITUTE(B409,"?","~?"),"*","~*")),0),""))</f>
        <v/>
      </c>
      <c r="I409">
        <f>IF(B409="","",COUNTIFS('Keyword Map'!$G$3:$G$1002,SUBSTITUTE(SUBSTITUTE(B409,"?","~?"),"*","~*"),'Keyword Map'!$R$3:$R$1002,"Yes"))</f>
        <v/>
      </c>
      <c r="J409">
        <f>IF(B409="","",COUNTIFS('Keyword Map'!$G$3:$G$1002,SUBSTITUTE(SUBSTITUTE(B409,"?","~?"),"*","~*"),'Keyword Map'!$W$3:$W$1002,"Yes"))</f>
        <v/>
      </c>
      <c r="K409">
        <f>IF(B409="","",IF(F409=0,"No primary keyword",IF(F409&gt;Settings!$B$4,"Too many primary keywords",IF(I409+J409&gt;0,"Check flags","OK"))))</f>
        <v/>
      </c>
    </row>
    <row r="410">
      <c r="A410">
        <f>ROW()-2</f>
        <v/>
      </c>
      <c r="B410">
        <f>IFERROR(INDEX('Keyword Map'!$G$3:$G$1002,MATCH(A410,'Keyword Map'!$AA$3:$AA$1002,0)),"")</f>
        <v/>
      </c>
      <c r="C410">
        <f>IF(B410="","",INDEX('Keyword Map'!$I$3:$I$1002,MATCH(A410,'Keyword Map'!$AA$3:$AA$1002,0))&amp;"")</f>
        <v/>
      </c>
      <c r="D410">
        <f>IF(B410="","",INDEX('Keyword Map'!$H$3:$H$1002,MATCH(A410,'Keyword Map'!$AA$3:$AA$1002,0))&amp;"")</f>
        <v/>
      </c>
      <c r="E410">
        <f>IF(B410="","",COUNTIF('Keyword Map'!$G$3:$G$1002,SUBSTITUTE(SUBSTITUTE(B410,"?","~?"),"*","~*")))</f>
        <v/>
      </c>
      <c r="F410">
        <f>IF(B410="","",COUNTIFS('Keyword Map'!$G$3:$G$1002,SUBSTITUTE(SUBSTITUTE(B410,"?","~?"),"*","~*"),'Keyword Map'!$J$3:$J$1002,"Primary"))</f>
        <v/>
      </c>
      <c r="G410">
        <f>IF(B410="","",SUMIFS('Keyword Map'!$C$3:$C$1002,'Keyword Map'!$G$3:$G$1002,SUBSTITUTE(SUBSTITUTE(B410,"?","~?"),"*","~*")))</f>
        <v/>
      </c>
      <c r="H410">
        <f>IF(B410="","",IFERROR(ROUND(AVERAGEIFS('Keyword Map'!$P$3:$P$1002,'Keyword Map'!$G$3:$G$1002,SUBSTITUTE(SUBSTITUTE(B410,"?","~?"),"*","~*")),0),""))</f>
        <v/>
      </c>
      <c r="I410">
        <f>IF(B410="","",COUNTIFS('Keyword Map'!$G$3:$G$1002,SUBSTITUTE(SUBSTITUTE(B410,"?","~?"),"*","~*"),'Keyword Map'!$R$3:$R$1002,"Yes"))</f>
        <v/>
      </c>
      <c r="J410">
        <f>IF(B410="","",COUNTIFS('Keyword Map'!$G$3:$G$1002,SUBSTITUTE(SUBSTITUTE(B410,"?","~?"),"*","~*"),'Keyword Map'!$W$3:$W$1002,"Yes"))</f>
        <v/>
      </c>
      <c r="K410">
        <f>IF(B410="","",IF(F410=0,"No primary keyword",IF(F410&gt;Settings!$B$4,"Too many primary keywords",IF(I410+J410&gt;0,"Check flags","OK"))))</f>
        <v/>
      </c>
    </row>
    <row r="411">
      <c r="A411">
        <f>ROW()-2</f>
        <v/>
      </c>
      <c r="B411">
        <f>IFERROR(INDEX('Keyword Map'!$G$3:$G$1002,MATCH(A411,'Keyword Map'!$AA$3:$AA$1002,0)),"")</f>
        <v/>
      </c>
      <c r="C411">
        <f>IF(B411="","",INDEX('Keyword Map'!$I$3:$I$1002,MATCH(A411,'Keyword Map'!$AA$3:$AA$1002,0))&amp;"")</f>
        <v/>
      </c>
      <c r="D411">
        <f>IF(B411="","",INDEX('Keyword Map'!$H$3:$H$1002,MATCH(A411,'Keyword Map'!$AA$3:$AA$1002,0))&amp;"")</f>
        <v/>
      </c>
      <c r="E411">
        <f>IF(B411="","",COUNTIF('Keyword Map'!$G$3:$G$1002,SUBSTITUTE(SUBSTITUTE(B411,"?","~?"),"*","~*")))</f>
        <v/>
      </c>
      <c r="F411">
        <f>IF(B411="","",COUNTIFS('Keyword Map'!$G$3:$G$1002,SUBSTITUTE(SUBSTITUTE(B411,"?","~?"),"*","~*"),'Keyword Map'!$J$3:$J$1002,"Primary"))</f>
        <v/>
      </c>
      <c r="G411">
        <f>IF(B411="","",SUMIFS('Keyword Map'!$C$3:$C$1002,'Keyword Map'!$G$3:$G$1002,SUBSTITUTE(SUBSTITUTE(B411,"?","~?"),"*","~*")))</f>
        <v/>
      </c>
      <c r="H411">
        <f>IF(B411="","",IFERROR(ROUND(AVERAGEIFS('Keyword Map'!$P$3:$P$1002,'Keyword Map'!$G$3:$G$1002,SUBSTITUTE(SUBSTITUTE(B411,"?","~?"),"*","~*")),0),""))</f>
        <v/>
      </c>
      <c r="I411">
        <f>IF(B411="","",COUNTIFS('Keyword Map'!$G$3:$G$1002,SUBSTITUTE(SUBSTITUTE(B411,"?","~?"),"*","~*"),'Keyword Map'!$R$3:$R$1002,"Yes"))</f>
        <v/>
      </c>
      <c r="J411">
        <f>IF(B411="","",COUNTIFS('Keyword Map'!$G$3:$G$1002,SUBSTITUTE(SUBSTITUTE(B411,"?","~?"),"*","~*"),'Keyword Map'!$W$3:$W$1002,"Yes"))</f>
        <v/>
      </c>
      <c r="K411">
        <f>IF(B411="","",IF(F411=0,"No primary keyword",IF(F411&gt;Settings!$B$4,"Too many primary keywords",IF(I411+J411&gt;0,"Check flags","OK"))))</f>
        <v/>
      </c>
    </row>
    <row r="412">
      <c r="A412">
        <f>ROW()-2</f>
        <v/>
      </c>
      <c r="B412">
        <f>IFERROR(INDEX('Keyword Map'!$G$3:$G$1002,MATCH(A412,'Keyword Map'!$AA$3:$AA$1002,0)),"")</f>
        <v/>
      </c>
      <c r="C412">
        <f>IF(B412="","",INDEX('Keyword Map'!$I$3:$I$1002,MATCH(A412,'Keyword Map'!$AA$3:$AA$1002,0))&amp;"")</f>
        <v/>
      </c>
      <c r="D412">
        <f>IF(B412="","",INDEX('Keyword Map'!$H$3:$H$1002,MATCH(A412,'Keyword Map'!$AA$3:$AA$1002,0))&amp;"")</f>
        <v/>
      </c>
      <c r="E412">
        <f>IF(B412="","",COUNTIF('Keyword Map'!$G$3:$G$1002,SUBSTITUTE(SUBSTITUTE(B412,"?","~?"),"*","~*")))</f>
        <v/>
      </c>
      <c r="F412">
        <f>IF(B412="","",COUNTIFS('Keyword Map'!$G$3:$G$1002,SUBSTITUTE(SUBSTITUTE(B412,"?","~?"),"*","~*"),'Keyword Map'!$J$3:$J$1002,"Primary"))</f>
        <v/>
      </c>
      <c r="G412">
        <f>IF(B412="","",SUMIFS('Keyword Map'!$C$3:$C$1002,'Keyword Map'!$G$3:$G$1002,SUBSTITUTE(SUBSTITUTE(B412,"?","~?"),"*","~*")))</f>
        <v/>
      </c>
      <c r="H412">
        <f>IF(B412="","",IFERROR(ROUND(AVERAGEIFS('Keyword Map'!$P$3:$P$1002,'Keyword Map'!$G$3:$G$1002,SUBSTITUTE(SUBSTITUTE(B412,"?","~?"),"*","~*")),0),""))</f>
        <v/>
      </c>
      <c r="I412">
        <f>IF(B412="","",COUNTIFS('Keyword Map'!$G$3:$G$1002,SUBSTITUTE(SUBSTITUTE(B412,"?","~?"),"*","~*"),'Keyword Map'!$R$3:$R$1002,"Yes"))</f>
        <v/>
      </c>
      <c r="J412">
        <f>IF(B412="","",COUNTIFS('Keyword Map'!$G$3:$G$1002,SUBSTITUTE(SUBSTITUTE(B412,"?","~?"),"*","~*"),'Keyword Map'!$W$3:$W$1002,"Yes"))</f>
        <v/>
      </c>
      <c r="K412">
        <f>IF(B412="","",IF(F412=0,"No primary keyword",IF(F412&gt;Settings!$B$4,"Too many primary keywords",IF(I412+J412&gt;0,"Check flags","OK"))))</f>
        <v/>
      </c>
    </row>
    <row r="413">
      <c r="A413">
        <f>ROW()-2</f>
        <v/>
      </c>
      <c r="B413">
        <f>IFERROR(INDEX('Keyword Map'!$G$3:$G$1002,MATCH(A413,'Keyword Map'!$AA$3:$AA$1002,0)),"")</f>
        <v/>
      </c>
      <c r="C413">
        <f>IF(B413="","",INDEX('Keyword Map'!$I$3:$I$1002,MATCH(A413,'Keyword Map'!$AA$3:$AA$1002,0))&amp;"")</f>
        <v/>
      </c>
      <c r="D413">
        <f>IF(B413="","",INDEX('Keyword Map'!$H$3:$H$1002,MATCH(A413,'Keyword Map'!$AA$3:$AA$1002,0))&amp;"")</f>
        <v/>
      </c>
      <c r="E413">
        <f>IF(B413="","",COUNTIF('Keyword Map'!$G$3:$G$1002,SUBSTITUTE(SUBSTITUTE(B413,"?","~?"),"*","~*")))</f>
        <v/>
      </c>
      <c r="F413">
        <f>IF(B413="","",COUNTIFS('Keyword Map'!$G$3:$G$1002,SUBSTITUTE(SUBSTITUTE(B413,"?","~?"),"*","~*"),'Keyword Map'!$J$3:$J$1002,"Primary"))</f>
        <v/>
      </c>
      <c r="G413">
        <f>IF(B413="","",SUMIFS('Keyword Map'!$C$3:$C$1002,'Keyword Map'!$G$3:$G$1002,SUBSTITUTE(SUBSTITUTE(B413,"?","~?"),"*","~*")))</f>
        <v/>
      </c>
      <c r="H413">
        <f>IF(B413="","",IFERROR(ROUND(AVERAGEIFS('Keyword Map'!$P$3:$P$1002,'Keyword Map'!$G$3:$G$1002,SUBSTITUTE(SUBSTITUTE(B413,"?","~?"),"*","~*")),0),""))</f>
        <v/>
      </c>
      <c r="I413">
        <f>IF(B413="","",COUNTIFS('Keyword Map'!$G$3:$G$1002,SUBSTITUTE(SUBSTITUTE(B413,"?","~?"),"*","~*"),'Keyword Map'!$R$3:$R$1002,"Yes"))</f>
        <v/>
      </c>
      <c r="J413">
        <f>IF(B413="","",COUNTIFS('Keyword Map'!$G$3:$G$1002,SUBSTITUTE(SUBSTITUTE(B413,"?","~?"),"*","~*"),'Keyword Map'!$W$3:$W$1002,"Yes"))</f>
        <v/>
      </c>
      <c r="K413">
        <f>IF(B413="","",IF(F413=0,"No primary keyword",IF(F413&gt;Settings!$B$4,"Too many primary keywords",IF(I413+J413&gt;0,"Check flags","OK"))))</f>
        <v/>
      </c>
    </row>
    <row r="414">
      <c r="A414">
        <f>ROW()-2</f>
        <v/>
      </c>
      <c r="B414">
        <f>IFERROR(INDEX('Keyword Map'!$G$3:$G$1002,MATCH(A414,'Keyword Map'!$AA$3:$AA$1002,0)),"")</f>
        <v/>
      </c>
      <c r="C414">
        <f>IF(B414="","",INDEX('Keyword Map'!$I$3:$I$1002,MATCH(A414,'Keyword Map'!$AA$3:$AA$1002,0))&amp;"")</f>
        <v/>
      </c>
      <c r="D414">
        <f>IF(B414="","",INDEX('Keyword Map'!$H$3:$H$1002,MATCH(A414,'Keyword Map'!$AA$3:$AA$1002,0))&amp;"")</f>
        <v/>
      </c>
      <c r="E414">
        <f>IF(B414="","",COUNTIF('Keyword Map'!$G$3:$G$1002,SUBSTITUTE(SUBSTITUTE(B414,"?","~?"),"*","~*")))</f>
        <v/>
      </c>
      <c r="F414">
        <f>IF(B414="","",COUNTIFS('Keyword Map'!$G$3:$G$1002,SUBSTITUTE(SUBSTITUTE(B414,"?","~?"),"*","~*"),'Keyword Map'!$J$3:$J$1002,"Primary"))</f>
        <v/>
      </c>
      <c r="G414">
        <f>IF(B414="","",SUMIFS('Keyword Map'!$C$3:$C$1002,'Keyword Map'!$G$3:$G$1002,SUBSTITUTE(SUBSTITUTE(B414,"?","~?"),"*","~*")))</f>
        <v/>
      </c>
      <c r="H414">
        <f>IF(B414="","",IFERROR(ROUND(AVERAGEIFS('Keyword Map'!$P$3:$P$1002,'Keyword Map'!$G$3:$G$1002,SUBSTITUTE(SUBSTITUTE(B414,"?","~?"),"*","~*")),0),""))</f>
        <v/>
      </c>
      <c r="I414">
        <f>IF(B414="","",COUNTIFS('Keyword Map'!$G$3:$G$1002,SUBSTITUTE(SUBSTITUTE(B414,"?","~?"),"*","~*"),'Keyword Map'!$R$3:$R$1002,"Yes"))</f>
        <v/>
      </c>
      <c r="J414">
        <f>IF(B414="","",COUNTIFS('Keyword Map'!$G$3:$G$1002,SUBSTITUTE(SUBSTITUTE(B414,"?","~?"),"*","~*"),'Keyword Map'!$W$3:$W$1002,"Yes"))</f>
        <v/>
      </c>
      <c r="K414">
        <f>IF(B414="","",IF(F414=0,"No primary keyword",IF(F414&gt;Settings!$B$4,"Too many primary keywords",IF(I414+J414&gt;0,"Check flags","OK"))))</f>
        <v/>
      </c>
    </row>
    <row r="415">
      <c r="A415">
        <f>ROW()-2</f>
        <v/>
      </c>
      <c r="B415">
        <f>IFERROR(INDEX('Keyword Map'!$G$3:$G$1002,MATCH(A415,'Keyword Map'!$AA$3:$AA$1002,0)),"")</f>
        <v/>
      </c>
      <c r="C415">
        <f>IF(B415="","",INDEX('Keyword Map'!$I$3:$I$1002,MATCH(A415,'Keyword Map'!$AA$3:$AA$1002,0))&amp;"")</f>
        <v/>
      </c>
      <c r="D415">
        <f>IF(B415="","",INDEX('Keyword Map'!$H$3:$H$1002,MATCH(A415,'Keyword Map'!$AA$3:$AA$1002,0))&amp;"")</f>
        <v/>
      </c>
      <c r="E415">
        <f>IF(B415="","",COUNTIF('Keyword Map'!$G$3:$G$1002,SUBSTITUTE(SUBSTITUTE(B415,"?","~?"),"*","~*")))</f>
        <v/>
      </c>
      <c r="F415">
        <f>IF(B415="","",COUNTIFS('Keyword Map'!$G$3:$G$1002,SUBSTITUTE(SUBSTITUTE(B415,"?","~?"),"*","~*"),'Keyword Map'!$J$3:$J$1002,"Primary"))</f>
        <v/>
      </c>
      <c r="G415">
        <f>IF(B415="","",SUMIFS('Keyword Map'!$C$3:$C$1002,'Keyword Map'!$G$3:$G$1002,SUBSTITUTE(SUBSTITUTE(B415,"?","~?"),"*","~*")))</f>
        <v/>
      </c>
      <c r="H415">
        <f>IF(B415="","",IFERROR(ROUND(AVERAGEIFS('Keyword Map'!$P$3:$P$1002,'Keyword Map'!$G$3:$G$1002,SUBSTITUTE(SUBSTITUTE(B415,"?","~?"),"*","~*")),0),""))</f>
        <v/>
      </c>
      <c r="I415">
        <f>IF(B415="","",COUNTIFS('Keyword Map'!$G$3:$G$1002,SUBSTITUTE(SUBSTITUTE(B415,"?","~?"),"*","~*"),'Keyword Map'!$R$3:$R$1002,"Yes"))</f>
        <v/>
      </c>
      <c r="J415">
        <f>IF(B415="","",COUNTIFS('Keyword Map'!$G$3:$G$1002,SUBSTITUTE(SUBSTITUTE(B415,"?","~?"),"*","~*"),'Keyword Map'!$W$3:$W$1002,"Yes"))</f>
        <v/>
      </c>
      <c r="K415">
        <f>IF(B415="","",IF(F415=0,"No primary keyword",IF(F415&gt;Settings!$B$4,"Too many primary keywords",IF(I415+J415&gt;0,"Check flags","OK"))))</f>
        <v/>
      </c>
    </row>
    <row r="416">
      <c r="A416">
        <f>ROW()-2</f>
        <v/>
      </c>
      <c r="B416">
        <f>IFERROR(INDEX('Keyword Map'!$G$3:$G$1002,MATCH(A416,'Keyword Map'!$AA$3:$AA$1002,0)),"")</f>
        <v/>
      </c>
      <c r="C416">
        <f>IF(B416="","",INDEX('Keyword Map'!$I$3:$I$1002,MATCH(A416,'Keyword Map'!$AA$3:$AA$1002,0))&amp;"")</f>
        <v/>
      </c>
      <c r="D416">
        <f>IF(B416="","",INDEX('Keyword Map'!$H$3:$H$1002,MATCH(A416,'Keyword Map'!$AA$3:$AA$1002,0))&amp;"")</f>
        <v/>
      </c>
      <c r="E416">
        <f>IF(B416="","",COUNTIF('Keyword Map'!$G$3:$G$1002,SUBSTITUTE(SUBSTITUTE(B416,"?","~?"),"*","~*")))</f>
        <v/>
      </c>
      <c r="F416">
        <f>IF(B416="","",COUNTIFS('Keyword Map'!$G$3:$G$1002,SUBSTITUTE(SUBSTITUTE(B416,"?","~?"),"*","~*"),'Keyword Map'!$J$3:$J$1002,"Primary"))</f>
        <v/>
      </c>
      <c r="G416">
        <f>IF(B416="","",SUMIFS('Keyword Map'!$C$3:$C$1002,'Keyword Map'!$G$3:$G$1002,SUBSTITUTE(SUBSTITUTE(B416,"?","~?"),"*","~*")))</f>
        <v/>
      </c>
      <c r="H416">
        <f>IF(B416="","",IFERROR(ROUND(AVERAGEIFS('Keyword Map'!$P$3:$P$1002,'Keyword Map'!$G$3:$G$1002,SUBSTITUTE(SUBSTITUTE(B416,"?","~?"),"*","~*")),0),""))</f>
        <v/>
      </c>
      <c r="I416">
        <f>IF(B416="","",COUNTIFS('Keyword Map'!$G$3:$G$1002,SUBSTITUTE(SUBSTITUTE(B416,"?","~?"),"*","~*"),'Keyword Map'!$R$3:$R$1002,"Yes"))</f>
        <v/>
      </c>
      <c r="J416">
        <f>IF(B416="","",COUNTIFS('Keyword Map'!$G$3:$G$1002,SUBSTITUTE(SUBSTITUTE(B416,"?","~?"),"*","~*"),'Keyword Map'!$W$3:$W$1002,"Yes"))</f>
        <v/>
      </c>
      <c r="K416">
        <f>IF(B416="","",IF(F416=0,"No primary keyword",IF(F416&gt;Settings!$B$4,"Too many primary keywords",IF(I416+J416&gt;0,"Check flags","OK"))))</f>
        <v/>
      </c>
    </row>
    <row r="417">
      <c r="A417">
        <f>ROW()-2</f>
        <v/>
      </c>
      <c r="B417">
        <f>IFERROR(INDEX('Keyword Map'!$G$3:$G$1002,MATCH(A417,'Keyword Map'!$AA$3:$AA$1002,0)),"")</f>
        <v/>
      </c>
      <c r="C417">
        <f>IF(B417="","",INDEX('Keyword Map'!$I$3:$I$1002,MATCH(A417,'Keyword Map'!$AA$3:$AA$1002,0))&amp;"")</f>
        <v/>
      </c>
      <c r="D417">
        <f>IF(B417="","",INDEX('Keyword Map'!$H$3:$H$1002,MATCH(A417,'Keyword Map'!$AA$3:$AA$1002,0))&amp;"")</f>
        <v/>
      </c>
      <c r="E417">
        <f>IF(B417="","",COUNTIF('Keyword Map'!$G$3:$G$1002,SUBSTITUTE(SUBSTITUTE(B417,"?","~?"),"*","~*")))</f>
        <v/>
      </c>
      <c r="F417">
        <f>IF(B417="","",COUNTIFS('Keyword Map'!$G$3:$G$1002,SUBSTITUTE(SUBSTITUTE(B417,"?","~?"),"*","~*"),'Keyword Map'!$J$3:$J$1002,"Primary"))</f>
        <v/>
      </c>
      <c r="G417">
        <f>IF(B417="","",SUMIFS('Keyword Map'!$C$3:$C$1002,'Keyword Map'!$G$3:$G$1002,SUBSTITUTE(SUBSTITUTE(B417,"?","~?"),"*","~*")))</f>
        <v/>
      </c>
      <c r="H417">
        <f>IF(B417="","",IFERROR(ROUND(AVERAGEIFS('Keyword Map'!$P$3:$P$1002,'Keyword Map'!$G$3:$G$1002,SUBSTITUTE(SUBSTITUTE(B417,"?","~?"),"*","~*")),0),""))</f>
        <v/>
      </c>
      <c r="I417">
        <f>IF(B417="","",COUNTIFS('Keyword Map'!$G$3:$G$1002,SUBSTITUTE(SUBSTITUTE(B417,"?","~?"),"*","~*"),'Keyword Map'!$R$3:$R$1002,"Yes"))</f>
        <v/>
      </c>
      <c r="J417">
        <f>IF(B417="","",COUNTIFS('Keyword Map'!$G$3:$G$1002,SUBSTITUTE(SUBSTITUTE(B417,"?","~?"),"*","~*"),'Keyword Map'!$W$3:$W$1002,"Yes"))</f>
        <v/>
      </c>
      <c r="K417">
        <f>IF(B417="","",IF(F417=0,"No primary keyword",IF(F417&gt;Settings!$B$4,"Too many primary keywords",IF(I417+J417&gt;0,"Check flags","OK"))))</f>
        <v/>
      </c>
    </row>
    <row r="418">
      <c r="A418">
        <f>ROW()-2</f>
        <v/>
      </c>
      <c r="B418">
        <f>IFERROR(INDEX('Keyword Map'!$G$3:$G$1002,MATCH(A418,'Keyword Map'!$AA$3:$AA$1002,0)),"")</f>
        <v/>
      </c>
      <c r="C418">
        <f>IF(B418="","",INDEX('Keyword Map'!$I$3:$I$1002,MATCH(A418,'Keyword Map'!$AA$3:$AA$1002,0))&amp;"")</f>
        <v/>
      </c>
      <c r="D418">
        <f>IF(B418="","",INDEX('Keyword Map'!$H$3:$H$1002,MATCH(A418,'Keyword Map'!$AA$3:$AA$1002,0))&amp;"")</f>
        <v/>
      </c>
      <c r="E418">
        <f>IF(B418="","",COUNTIF('Keyword Map'!$G$3:$G$1002,SUBSTITUTE(SUBSTITUTE(B418,"?","~?"),"*","~*")))</f>
        <v/>
      </c>
      <c r="F418">
        <f>IF(B418="","",COUNTIFS('Keyword Map'!$G$3:$G$1002,SUBSTITUTE(SUBSTITUTE(B418,"?","~?"),"*","~*"),'Keyword Map'!$J$3:$J$1002,"Primary"))</f>
        <v/>
      </c>
      <c r="G418">
        <f>IF(B418="","",SUMIFS('Keyword Map'!$C$3:$C$1002,'Keyword Map'!$G$3:$G$1002,SUBSTITUTE(SUBSTITUTE(B418,"?","~?"),"*","~*")))</f>
        <v/>
      </c>
      <c r="H418">
        <f>IF(B418="","",IFERROR(ROUND(AVERAGEIFS('Keyword Map'!$P$3:$P$1002,'Keyword Map'!$G$3:$G$1002,SUBSTITUTE(SUBSTITUTE(B418,"?","~?"),"*","~*")),0),""))</f>
        <v/>
      </c>
      <c r="I418">
        <f>IF(B418="","",COUNTIFS('Keyword Map'!$G$3:$G$1002,SUBSTITUTE(SUBSTITUTE(B418,"?","~?"),"*","~*"),'Keyword Map'!$R$3:$R$1002,"Yes"))</f>
        <v/>
      </c>
      <c r="J418">
        <f>IF(B418="","",COUNTIFS('Keyword Map'!$G$3:$G$1002,SUBSTITUTE(SUBSTITUTE(B418,"?","~?"),"*","~*"),'Keyword Map'!$W$3:$W$1002,"Yes"))</f>
        <v/>
      </c>
      <c r="K418">
        <f>IF(B418="","",IF(F418=0,"No primary keyword",IF(F418&gt;Settings!$B$4,"Too many primary keywords",IF(I418+J418&gt;0,"Check flags","OK"))))</f>
        <v/>
      </c>
    </row>
    <row r="419">
      <c r="A419">
        <f>ROW()-2</f>
        <v/>
      </c>
      <c r="B419">
        <f>IFERROR(INDEX('Keyword Map'!$G$3:$G$1002,MATCH(A419,'Keyword Map'!$AA$3:$AA$1002,0)),"")</f>
        <v/>
      </c>
      <c r="C419">
        <f>IF(B419="","",INDEX('Keyword Map'!$I$3:$I$1002,MATCH(A419,'Keyword Map'!$AA$3:$AA$1002,0))&amp;"")</f>
        <v/>
      </c>
      <c r="D419">
        <f>IF(B419="","",INDEX('Keyword Map'!$H$3:$H$1002,MATCH(A419,'Keyword Map'!$AA$3:$AA$1002,0))&amp;"")</f>
        <v/>
      </c>
      <c r="E419">
        <f>IF(B419="","",COUNTIF('Keyword Map'!$G$3:$G$1002,SUBSTITUTE(SUBSTITUTE(B419,"?","~?"),"*","~*")))</f>
        <v/>
      </c>
      <c r="F419">
        <f>IF(B419="","",COUNTIFS('Keyword Map'!$G$3:$G$1002,SUBSTITUTE(SUBSTITUTE(B419,"?","~?"),"*","~*"),'Keyword Map'!$J$3:$J$1002,"Primary"))</f>
        <v/>
      </c>
      <c r="G419">
        <f>IF(B419="","",SUMIFS('Keyword Map'!$C$3:$C$1002,'Keyword Map'!$G$3:$G$1002,SUBSTITUTE(SUBSTITUTE(B419,"?","~?"),"*","~*")))</f>
        <v/>
      </c>
      <c r="H419">
        <f>IF(B419="","",IFERROR(ROUND(AVERAGEIFS('Keyword Map'!$P$3:$P$1002,'Keyword Map'!$G$3:$G$1002,SUBSTITUTE(SUBSTITUTE(B419,"?","~?"),"*","~*")),0),""))</f>
        <v/>
      </c>
      <c r="I419">
        <f>IF(B419="","",COUNTIFS('Keyword Map'!$G$3:$G$1002,SUBSTITUTE(SUBSTITUTE(B419,"?","~?"),"*","~*"),'Keyword Map'!$R$3:$R$1002,"Yes"))</f>
        <v/>
      </c>
      <c r="J419">
        <f>IF(B419="","",COUNTIFS('Keyword Map'!$G$3:$G$1002,SUBSTITUTE(SUBSTITUTE(B419,"?","~?"),"*","~*"),'Keyword Map'!$W$3:$W$1002,"Yes"))</f>
        <v/>
      </c>
      <c r="K419">
        <f>IF(B419="","",IF(F419=0,"No primary keyword",IF(F419&gt;Settings!$B$4,"Too many primary keywords",IF(I419+J419&gt;0,"Check flags","OK"))))</f>
        <v/>
      </c>
    </row>
    <row r="420">
      <c r="A420">
        <f>ROW()-2</f>
        <v/>
      </c>
      <c r="B420">
        <f>IFERROR(INDEX('Keyword Map'!$G$3:$G$1002,MATCH(A420,'Keyword Map'!$AA$3:$AA$1002,0)),"")</f>
        <v/>
      </c>
      <c r="C420">
        <f>IF(B420="","",INDEX('Keyword Map'!$I$3:$I$1002,MATCH(A420,'Keyword Map'!$AA$3:$AA$1002,0))&amp;"")</f>
        <v/>
      </c>
      <c r="D420">
        <f>IF(B420="","",INDEX('Keyword Map'!$H$3:$H$1002,MATCH(A420,'Keyword Map'!$AA$3:$AA$1002,0))&amp;"")</f>
        <v/>
      </c>
      <c r="E420">
        <f>IF(B420="","",COUNTIF('Keyword Map'!$G$3:$G$1002,SUBSTITUTE(SUBSTITUTE(B420,"?","~?"),"*","~*")))</f>
        <v/>
      </c>
      <c r="F420">
        <f>IF(B420="","",COUNTIFS('Keyword Map'!$G$3:$G$1002,SUBSTITUTE(SUBSTITUTE(B420,"?","~?"),"*","~*"),'Keyword Map'!$J$3:$J$1002,"Primary"))</f>
        <v/>
      </c>
      <c r="G420">
        <f>IF(B420="","",SUMIFS('Keyword Map'!$C$3:$C$1002,'Keyword Map'!$G$3:$G$1002,SUBSTITUTE(SUBSTITUTE(B420,"?","~?"),"*","~*")))</f>
        <v/>
      </c>
      <c r="H420">
        <f>IF(B420="","",IFERROR(ROUND(AVERAGEIFS('Keyword Map'!$P$3:$P$1002,'Keyword Map'!$G$3:$G$1002,SUBSTITUTE(SUBSTITUTE(B420,"?","~?"),"*","~*")),0),""))</f>
        <v/>
      </c>
      <c r="I420">
        <f>IF(B420="","",COUNTIFS('Keyword Map'!$G$3:$G$1002,SUBSTITUTE(SUBSTITUTE(B420,"?","~?"),"*","~*"),'Keyword Map'!$R$3:$R$1002,"Yes"))</f>
        <v/>
      </c>
      <c r="J420">
        <f>IF(B420="","",COUNTIFS('Keyword Map'!$G$3:$G$1002,SUBSTITUTE(SUBSTITUTE(B420,"?","~?"),"*","~*"),'Keyword Map'!$W$3:$W$1002,"Yes"))</f>
        <v/>
      </c>
      <c r="K420">
        <f>IF(B420="","",IF(F420=0,"No primary keyword",IF(F420&gt;Settings!$B$4,"Too many primary keywords",IF(I420+J420&gt;0,"Check flags","OK"))))</f>
        <v/>
      </c>
    </row>
    <row r="421">
      <c r="A421">
        <f>ROW()-2</f>
        <v/>
      </c>
      <c r="B421">
        <f>IFERROR(INDEX('Keyword Map'!$G$3:$G$1002,MATCH(A421,'Keyword Map'!$AA$3:$AA$1002,0)),"")</f>
        <v/>
      </c>
      <c r="C421">
        <f>IF(B421="","",INDEX('Keyword Map'!$I$3:$I$1002,MATCH(A421,'Keyword Map'!$AA$3:$AA$1002,0))&amp;"")</f>
        <v/>
      </c>
      <c r="D421">
        <f>IF(B421="","",INDEX('Keyword Map'!$H$3:$H$1002,MATCH(A421,'Keyword Map'!$AA$3:$AA$1002,0))&amp;"")</f>
        <v/>
      </c>
      <c r="E421">
        <f>IF(B421="","",COUNTIF('Keyword Map'!$G$3:$G$1002,SUBSTITUTE(SUBSTITUTE(B421,"?","~?"),"*","~*")))</f>
        <v/>
      </c>
      <c r="F421">
        <f>IF(B421="","",COUNTIFS('Keyword Map'!$G$3:$G$1002,SUBSTITUTE(SUBSTITUTE(B421,"?","~?"),"*","~*"),'Keyword Map'!$J$3:$J$1002,"Primary"))</f>
        <v/>
      </c>
      <c r="G421">
        <f>IF(B421="","",SUMIFS('Keyword Map'!$C$3:$C$1002,'Keyword Map'!$G$3:$G$1002,SUBSTITUTE(SUBSTITUTE(B421,"?","~?"),"*","~*")))</f>
        <v/>
      </c>
      <c r="H421">
        <f>IF(B421="","",IFERROR(ROUND(AVERAGEIFS('Keyword Map'!$P$3:$P$1002,'Keyword Map'!$G$3:$G$1002,SUBSTITUTE(SUBSTITUTE(B421,"?","~?"),"*","~*")),0),""))</f>
        <v/>
      </c>
      <c r="I421">
        <f>IF(B421="","",COUNTIFS('Keyword Map'!$G$3:$G$1002,SUBSTITUTE(SUBSTITUTE(B421,"?","~?"),"*","~*"),'Keyword Map'!$R$3:$R$1002,"Yes"))</f>
        <v/>
      </c>
      <c r="J421">
        <f>IF(B421="","",COUNTIFS('Keyword Map'!$G$3:$G$1002,SUBSTITUTE(SUBSTITUTE(B421,"?","~?"),"*","~*"),'Keyword Map'!$W$3:$W$1002,"Yes"))</f>
        <v/>
      </c>
      <c r="K421">
        <f>IF(B421="","",IF(F421=0,"No primary keyword",IF(F421&gt;Settings!$B$4,"Too many primary keywords",IF(I421+J421&gt;0,"Check flags","OK"))))</f>
        <v/>
      </c>
    </row>
    <row r="422">
      <c r="A422">
        <f>ROW()-2</f>
        <v/>
      </c>
      <c r="B422">
        <f>IFERROR(INDEX('Keyword Map'!$G$3:$G$1002,MATCH(A422,'Keyword Map'!$AA$3:$AA$1002,0)),"")</f>
        <v/>
      </c>
      <c r="C422">
        <f>IF(B422="","",INDEX('Keyword Map'!$I$3:$I$1002,MATCH(A422,'Keyword Map'!$AA$3:$AA$1002,0))&amp;"")</f>
        <v/>
      </c>
      <c r="D422">
        <f>IF(B422="","",INDEX('Keyword Map'!$H$3:$H$1002,MATCH(A422,'Keyword Map'!$AA$3:$AA$1002,0))&amp;"")</f>
        <v/>
      </c>
      <c r="E422">
        <f>IF(B422="","",COUNTIF('Keyword Map'!$G$3:$G$1002,SUBSTITUTE(SUBSTITUTE(B422,"?","~?"),"*","~*")))</f>
        <v/>
      </c>
      <c r="F422">
        <f>IF(B422="","",COUNTIFS('Keyword Map'!$G$3:$G$1002,SUBSTITUTE(SUBSTITUTE(B422,"?","~?"),"*","~*"),'Keyword Map'!$J$3:$J$1002,"Primary"))</f>
        <v/>
      </c>
      <c r="G422">
        <f>IF(B422="","",SUMIFS('Keyword Map'!$C$3:$C$1002,'Keyword Map'!$G$3:$G$1002,SUBSTITUTE(SUBSTITUTE(B422,"?","~?"),"*","~*")))</f>
        <v/>
      </c>
      <c r="H422">
        <f>IF(B422="","",IFERROR(ROUND(AVERAGEIFS('Keyword Map'!$P$3:$P$1002,'Keyword Map'!$G$3:$G$1002,SUBSTITUTE(SUBSTITUTE(B422,"?","~?"),"*","~*")),0),""))</f>
        <v/>
      </c>
      <c r="I422">
        <f>IF(B422="","",COUNTIFS('Keyword Map'!$G$3:$G$1002,SUBSTITUTE(SUBSTITUTE(B422,"?","~?"),"*","~*"),'Keyword Map'!$R$3:$R$1002,"Yes"))</f>
        <v/>
      </c>
      <c r="J422">
        <f>IF(B422="","",COUNTIFS('Keyword Map'!$G$3:$G$1002,SUBSTITUTE(SUBSTITUTE(B422,"?","~?"),"*","~*"),'Keyword Map'!$W$3:$W$1002,"Yes"))</f>
        <v/>
      </c>
      <c r="K422">
        <f>IF(B422="","",IF(F422=0,"No primary keyword",IF(F422&gt;Settings!$B$4,"Too many primary keywords",IF(I422+J422&gt;0,"Check flags","OK"))))</f>
        <v/>
      </c>
    </row>
    <row r="423">
      <c r="A423">
        <f>ROW()-2</f>
        <v/>
      </c>
      <c r="B423">
        <f>IFERROR(INDEX('Keyword Map'!$G$3:$G$1002,MATCH(A423,'Keyword Map'!$AA$3:$AA$1002,0)),"")</f>
        <v/>
      </c>
      <c r="C423">
        <f>IF(B423="","",INDEX('Keyword Map'!$I$3:$I$1002,MATCH(A423,'Keyword Map'!$AA$3:$AA$1002,0))&amp;"")</f>
        <v/>
      </c>
      <c r="D423">
        <f>IF(B423="","",INDEX('Keyword Map'!$H$3:$H$1002,MATCH(A423,'Keyword Map'!$AA$3:$AA$1002,0))&amp;"")</f>
        <v/>
      </c>
      <c r="E423">
        <f>IF(B423="","",COUNTIF('Keyword Map'!$G$3:$G$1002,SUBSTITUTE(SUBSTITUTE(B423,"?","~?"),"*","~*")))</f>
        <v/>
      </c>
      <c r="F423">
        <f>IF(B423="","",COUNTIFS('Keyword Map'!$G$3:$G$1002,SUBSTITUTE(SUBSTITUTE(B423,"?","~?"),"*","~*"),'Keyword Map'!$J$3:$J$1002,"Primary"))</f>
        <v/>
      </c>
      <c r="G423">
        <f>IF(B423="","",SUMIFS('Keyword Map'!$C$3:$C$1002,'Keyword Map'!$G$3:$G$1002,SUBSTITUTE(SUBSTITUTE(B423,"?","~?"),"*","~*")))</f>
        <v/>
      </c>
      <c r="H423">
        <f>IF(B423="","",IFERROR(ROUND(AVERAGEIFS('Keyword Map'!$P$3:$P$1002,'Keyword Map'!$G$3:$G$1002,SUBSTITUTE(SUBSTITUTE(B423,"?","~?"),"*","~*")),0),""))</f>
        <v/>
      </c>
      <c r="I423">
        <f>IF(B423="","",COUNTIFS('Keyword Map'!$G$3:$G$1002,SUBSTITUTE(SUBSTITUTE(B423,"?","~?"),"*","~*"),'Keyword Map'!$R$3:$R$1002,"Yes"))</f>
        <v/>
      </c>
      <c r="J423">
        <f>IF(B423="","",COUNTIFS('Keyword Map'!$G$3:$G$1002,SUBSTITUTE(SUBSTITUTE(B423,"?","~?"),"*","~*"),'Keyword Map'!$W$3:$W$1002,"Yes"))</f>
        <v/>
      </c>
      <c r="K423">
        <f>IF(B423="","",IF(F423=0,"No primary keyword",IF(F423&gt;Settings!$B$4,"Too many primary keywords",IF(I423+J423&gt;0,"Check flags","OK"))))</f>
        <v/>
      </c>
    </row>
    <row r="424">
      <c r="A424">
        <f>ROW()-2</f>
        <v/>
      </c>
      <c r="B424">
        <f>IFERROR(INDEX('Keyword Map'!$G$3:$G$1002,MATCH(A424,'Keyword Map'!$AA$3:$AA$1002,0)),"")</f>
        <v/>
      </c>
      <c r="C424">
        <f>IF(B424="","",INDEX('Keyword Map'!$I$3:$I$1002,MATCH(A424,'Keyword Map'!$AA$3:$AA$1002,0))&amp;"")</f>
        <v/>
      </c>
      <c r="D424">
        <f>IF(B424="","",INDEX('Keyword Map'!$H$3:$H$1002,MATCH(A424,'Keyword Map'!$AA$3:$AA$1002,0))&amp;"")</f>
        <v/>
      </c>
      <c r="E424">
        <f>IF(B424="","",COUNTIF('Keyword Map'!$G$3:$G$1002,SUBSTITUTE(SUBSTITUTE(B424,"?","~?"),"*","~*")))</f>
        <v/>
      </c>
      <c r="F424">
        <f>IF(B424="","",COUNTIFS('Keyword Map'!$G$3:$G$1002,SUBSTITUTE(SUBSTITUTE(B424,"?","~?"),"*","~*"),'Keyword Map'!$J$3:$J$1002,"Primary"))</f>
        <v/>
      </c>
      <c r="G424">
        <f>IF(B424="","",SUMIFS('Keyword Map'!$C$3:$C$1002,'Keyword Map'!$G$3:$G$1002,SUBSTITUTE(SUBSTITUTE(B424,"?","~?"),"*","~*")))</f>
        <v/>
      </c>
      <c r="H424">
        <f>IF(B424="","",IFERROR(ROUND(AVERAGEIFS('Keyword Map'!$P$3:$P$1002,'Keyword Map'!$G$3:$G$1002,SUBSTITUTE(SUBSTITUTE(B424,"?","~?"),"*","~*")),0),""))</f>
        <v/>
      </c>
      <c r="I424">
        <f>IF(B424="","",COUNTIFS('Keyword Map'!$G$3:$G$1002,SUBSTITUTE(SUBSTITUTE(B424,"?","~?"),"*","~*"),'Keyword Map'!$R$3:$R$1002,"Yes"))</f>
        <v/>
      </c>
      <c r="J424">
        <f>IF(B424="","",COUNTIFS('Keyword Map'!$G$3:$G$1002,SUBSTITUTE(SUBSTITUTE(B424,"?","~?"),"*","~*"),'Keyword Map'!$W$3:$W$1002,"Yes"))</f>
        <v/>
      </c>
      <c r="K424">
        <f>IF(B424="","",IF(F424=0,"No primary keyword",IF(F424&gt;Settings!$B$4,"Too many primary keywords",IF(I424+J424&gt;0,"Check flags","OK"))))</f>
        <v/>
      </c>
    </row>
    <row r="425">
      <c r="A425">
        <f>ROW()-2</f>
        <v/>
      </c>
      <c r="B425">
        <f>IFERROR(INDEX('Keyword Map'!$G$3:$G$1002,MATCH(A425,'Keyword Map'!$AA$3:$AA$1002,0)),"")</f>
        <v/>
      </c>
      <c r="C425">
        <f>IF(B425="","",INDEX('Keyword Map'!$I$3:$I$1002,MATCH(A425,'Keyword Map'!$AA$3:$AA$1002,0))&amp;"")</f>
        <v/>
      </c>
      <c r="D425">
        <f>IF(B425="","",INDEX('Keyword Map'!$H$3:$H$1002,MATCH(A425,'Keyword Map'!$AA$3:$AA$1002,0))&amp;"")</f>
        <v/>
      </c>
      <c r="E425">
        <f>IF(B425="","",COUNTIF('Keyword Map'!$G$3:$G$1002,SUBSTITUTE(SUBSTITUTE(B425,"?","~?"),"*","~*")))</f>
        <v/>
      </c>
      <c r="F425">
        <f>IF(B425="","",COUNTIFS('Keyword Map'!$G$3:$G$1002,SUBSTITUTE(SUBSTITUTE(B425,"?","~?"),"*","~*"),'Keyword Map'!$J$3:$J$1002,"Primary"))</f>
        <v/>
      </c>
      <c r="G425">
        <f>IF(B425="","",SUMIFS('Keyword Map'!$C$3:$C$1002,'Keyword Map'!$G$3:$G$1002,SUBSTITUTE(SUBSTITUTE(B425,"?","~?"),"*","~*")))</f>
        <v/>
      </c>
      <c r="H425">
        <f>IF(B425="","",IFERROR(ROUND(AVERAGEIFS('Keyword Map'!$P$3:$P$1002,'Keyword Map'!$G$3:$G$1002,SUBSTITUTE(SUBSTITUTE(B425,"?","~?"),"*","~*")),0),""))</f>
        <v/>
      </c>
      <c r="I425">
        <f>IF(B425="","",COUNTIFS('Keyword Map'!$G$3:$G$1002,SUBSTITUTE(SUBSTITUTE(B425,"?","~?"),"*","~*"),'Keyword Map'!$R$3:$R$1002,"Yes"))</f>
        <v/>
      </c>
      <c r="J425">
        <f>IF(B425="","",COUNTIFS('Keyword Map'!$G$3:$G$1002,SUBSTITUTE(SUBSTITUTE(B425,"?","~?"),"*","~*"),'Keyword Map'!$W$3:$W$1002,"Yes"))</f>
        <v/>
      </c>
      <c r="K425">
        <f>IF(B425="","",IF(F425=0,"No primary keyword",IF(F425&gt;Settings!$B$4,"Too many primary keywords",IF(I425+J425&gt;0,"Check flags","OK"))))</f>
        <v/>
      </c>
    </row>
    <row r="426">
      <c r="A426">
        <f>ROW()-2</f>
        <v/>
      </c>
      <c r="B426">
        <f>IFERROR(INDEX('Keyword Map'!$G$3:$G$1002,MATCH(A426,'Keyword Map'!$AA$3:$AA$1002,0)),"")</f>
        <v/>
      </c>
      <c r="C426">
        <f>IF(B426="","",INDEX('Keyword Map'!$I$3:$I$1002,MATCH(A426,'Keyword Map'!$AA$3:$AA$1002,0))&amp;"")</f>
        <v/>
      </c>
      <c r="D426">
        <f>IF(B426="","",INDEX('Keyword Map'!$H$3:$H$1002,MATCH(A426,'Keyword Map'!$AA$3:$AA$1002,0))&amp;"")</f>
        <v/>
      </c>
      <c r="E426">
        <f>IF(B426="","",COUNTIF('Keyword Map'!$G$3:$G$1002,SUBSTITUTE(SUBSTITUTE(B426,"?","~?"),"*","~*")))</f>
        <v/>
      </c>
      <c r="F426">
        <f>IF(B426="","",COUNTIFS('Keyword Map'!$G$3:$G$1002,SUBSTITUTE(SUBSTITUTE(B426,"?","~?"),"*","~*"),'Keyword Map'!$J$3:$J$1002,"Primary"))</f>
        <v/>
      </c>
      <c r="G426">
        <f>IF(B426="","",SUMIFS('Keyword Map'!$C$3:$C$1002,'Keyword Map'!$G$3:$G$1002,SUBSTITUTE(SUBSTITUTE(B426,"?","~?"),"*","~*")))</f>
        <v/>
      </c>
      <c r="H426">
        <f>IF(B426="","",IFERROR(ROUND(AVERAGEIFS('Keyword Map'!$P$3:$P$1002,'Keyword Map'!$G$3:$G$1002,SUBSTITUTE(SUBSTITUTE(B426,"?","~?"),"*","~*")),0),""))</f>
        <v/>
      </c>
      <c r="I426">
        <f>IF(B426="","",COUNTIFS('Keyword Map'!$G$3:$G$1002,SUBSTITUTE(SUBSTITUTE(B426,"?","~?"),"*","~*"),'Keyword Map'!$R$3:$R$1002,"Yes"))</f>
        <v/>
      </c>
      <c r="J426">
        <f>IF(B426="","",COUNTIFS('Keyword Map'!$G$3:$G$1002,SUBSTITUTE(SUBSTITUTE(B426,"?","~?"),"*","~*"),'Keyword Map'!$W$3:$W$1002,"Yes"))</f>
        <v/>
      </c>
      <c r="K426">
        <f>IF(B426="","",IF(F426=0,"No primary keyword",IF(F426&gt;Settings!$B$4,"Too many primary keywords",IF(I426+J426&gt;0,"Check flags","OK"))))</f>
        <v/>
      </c>
    </row>
    <row r="427">
      <c r="A427">
        <f>ROW()-2</f>
        <v/>
      </c>
      <c r="B427">
        <f>IFERROR(INDEX('Keyword Map'!$G$3:$G$1002,MATCH(A427,'Keyword Map'!$AA$3:$AA$1002,0)),"")</f>
        <v/>
      </c>
      <c r="C427">
        <f>IF(B427="","",INDEX('Keyword Map'!$I$3:$I$1002,MATCH(A427,'Keyword Map'!$AA$3:$AA$1002,0))&amp;"")</f>
        <v/>
      </c>
      <c r="D427">
        <f>IF(B427="","",INDEX('Keyword Map'!$H$3:$H$1002,MATCH(A427,'Keyword Map'!$AA$3:$AA$1002,0))&amp;"")</f>
        <v/>
      </c>
      <c r="E427">
        <f>IF(B427="","",COUNTIF('Keyword Map'!$G$3:$G$1002,SUBSTITUTE(SUBSTITUTE(B427,"?","~?"),"*","~*")))</f>
        <v/>
      </c>
      <c r="F427">
        <f>IF(B427="","",COUNTIFS('Keyword Map'!$G$3:$G$1002,SUBSTITUTE(SUBSTITUTE(B427,"?","~?"),"*","~*"),'Keyword Map'!$J$3:$J$1002,"Primary"))</f>
        <v/>
      </c>
      <c r="G427">
        <f>IF(B427="","",SUMIFS('Keyword Map'!$C$3:$C$1002,'Keyword Map'!$G$3:$G$1002,SUBSTITUTE(SUBSTITUTE(B427,"?","~?"),"*","~*")))</f>
        <v/>
      </c>
      <c r="H427">
        <f>IF(B427="","",IFERROR(ROUND(AVERAGEIFS('Keyword Map'!$P$3:$P$1002,'Keyword Map'!$G$3:$G$1002,SUBSTITUTE(SUBSTITUTE(B427,"?","~?"),"*","~*")),0),""))</f>
        <v/>
      </c>
      <c r="I427">
        <f>IF(B427="","",COUNTIFS('Keyword Map'!$G$3:$G$1002,SUBSTITUTE(SUBSTITUTE(B427,"?","~?"),"*","~*"),'Keyword Map'!$R$3:$R$1002,"Yes"))</f>
        <v/>
      </c>
      <c r="J427">
        <f>IF(B427="","",COUNTIFS('Keyword Map'!$G$3:$G$1002,SUBSTITUTE(SUBSTITUTE(B427,"?","~?"),"*","~*"),'Keyword Map'!$W$3:$W$1002,"Yes"))</f>
        <v/>
      </c>
      <c r="K427">
        <f>IF(B427="","",IF(F427=0,"No primary keyword",IF(F427&gt;Settings!$B$4,"Too many primary keywords",IF(I427+J427&gt;0,"Check flags","OK"))))</f>
        <v/>
      </c>
    </row>
    <row r="428">
      <c r="A428">
        <f>ROW()-2</f>
        <v/>
      </c>
      <c r="B428">
        <f>IFERROR(INDEX('Keyword Map'!$G$3:$G$1002,MATCH(A428,'Keyword Map'!$AA$3:$AA$1002,0)),"")</f>
        <v/>
      </c>
      <c r="C428">
        <f>IF(B428="","",INDEX('Keyword Map'!$I$3:$I$1002,MATCH(A428,'Keyword Map'!$AA$3:$AA$1002,0))&amp;"")</f>
        <v/>
      </c>
      <c r="D428">
        <f>IF(B428="","",INDEX('Keyword Map'!$H$3:$H$1002,MATCH(A428,'Keyword Map'!$AA$3:$AA$1002,0))&amp;"")</f>
        <v/>
      </c>
      <c r="E428">
        <f>IF(B428="","",COUNTIF('Keyword Map'!$G$3:$G$1002,SUBSTITUTE(SUBSTITUTE(B428,"?","~?"),"*","~*")))</f>
        <v/>
      </c>
      <c r="F428">
        <f>IF(B428="","",COUNTIFS('Keyword Map'!$G$3:$G$1002,SUBSTITUTE(SUBSTITUTE(B428,"?","~?"),"*","~*"),'Keyword Map'!$J$3:$J$1002,"Primary"))</f>
        <v/>
      </c>
      <c r="G428">
        <f>IF(B428="","",SUMIFS('Keyword Map'!$C$3:$C$1002,'Keyword Map'!$G$3:$G$1002,SUBSTITUTE(SUBSTITUTE(B428,"?","~?"),"*","~*")))</f>
        <v/>
      </c>
      <c r="H428">
        <f>IF(B428="","",IFERROR(ROUND(AVERAGEIFS('Keyword Map'!$P$3:$P$1002,'Keyword Map'!$G$3:$G$1002,SUBSTITUTE(SUBSTITUTE(B428,"?","~?"),"*","~*")),0),""))</f>
        <v/>
      </c>
      <c r="I428">
        <f>IF(B428="","",COUNTIFS('Keyword Map'!$G$3:$G$1002,SUBSTITUTE(SUBSTITUTE(B428,"?","~?"),"*","~*"),'Keyword Map'!$R$3:$R$1002,"Yes"))</f>
        <v/>
      </c>
      <c r="J428">
        <f>IF(B428="","",COUNTIFS('Keyword Map'!$G$3:$G$1002,SUBSTITUTE(SUBSTITUTE(B428,"?","~?"),"*","~*"),'Keyword Map'!$W$3:$W$1002,"Yes"))</f>
        <v/>
      </c>
      <c r="K428">
        <f>IF(B428="","",IF(F428=0,"No primary keyword",IF(F428&gt;Settings!$B$4,"Too many primary keywords",IF(I428+J428&gt;0,"Check flags","OK"))))</f>
        <v/>
      </c>
    </row>
    <row r="429">
      <c r="A429">
        <f>ROW()-2</f>
        <v/>
      </c>
      <c r="B429">
        <f>IFERROR(INDEX('Keyword Map'!$G$3:$G$1002,MATCH(A429,'Keyword Map'!$AA$3:$AA$1002,0)),"")</f>
        <v/>
      </c>
      <c r="C429">
        <f>IF(B429="","",INDEX('Keyword Map'!$I$3:$I$1002,MATCH(A429,'Keyword Map'!$AA$3:$AA$1002,0))&amp;"")</f>
        <v/>
      </c>
      <c r="D429">
        <f>IF(B429="","",INDEX('Keyword Map'!$H$3:$H$1002,MATCH(A429,'Keyword Map'!$AA$3:$AA$1002,0))&amp;"")</f>
        <v/>
      </c>
      <c r="E429">
        <f>IF(B429="","",COUNTIF('Keyword Map'!$G$3:$G$1002,SUBSTITUTE(SUBSTITUTE(B429,"?","~?"),"*","~*")))</f>
        <v/>
      </c>
      <c r="F429">
        <f>IF(B429="","",COUNTIFS('Keyword Map'!$G$3:$G$1002,SUBSTITUTE(SUBSTITUTE(B429,"?","~?"),"*","~*"),'Keyword Map'!$J$3:$J$1002,"Primary"))</f>
        <v/>
      </c>
      <c r="G429">
        <f>IF(B429="","",SUMIFS('Keyword Map'!$C$3:$C$1002,'Keyword Map'!$G$3:$G$1002,SUBSTITUTE(SUBSTITUTE(B429,"?","~?"),"*","~*")))</f>
        <v/>
      </c>
      <c r="H429">
        <f>IF(B429="","",IFERROR(ROUND(AVERAGEIFS('Keyword Map'!$P$3:$P$1002,'Keyword Map'!$G$3:$G$1002,SUBSTITUTE(SUBSTITUTE(B429,"?","~?"),"*","~*")),0),""))</f>
        <v/>
      </c>
      <c r="I429">
        <f>IF(B429="","",COUNTIFS('Keyword Map'!$G$3:$G$1002,SUBSTITUTE(SUBSTITUTE(B429,"?","~?"),"*","~*"),'Keyword Map'!$R$3:$R$1002,"Yes"))</f>
        <v/>
      </c>
      <c r="J429">
        <f>IF(B429="","",COUNTIFS('Keyword Map'!$G$3:$G$1002,SUBSTITUTE(SUBSTITUTE(B429,"?","~?"),"*","~*"),'Keyword Map'!$W$3:$W$1002,"Yes"))</f>
        <v/>
      </c>
      <c r="K429">
        <f>IF(B429="","",IF(F429=0,"No primary keyword",IF(F429&gt;Settings!$B$4,"Too many primary keywords",IF(I429+J429&gt;0,"Check flags","OK"))))</f>
        <v/>
      </c>
    </row>
    <row r="430">
      <c r="A430">
        <f>ROW()-2</f>
        <v/>
      </c>
      <c r="B430">
        <f>IFERROR(INDEX('Keyword Map'!$G$3:$G$1002,MATCH(A430,'Keyword Map'!$AA$3:$AA$1002,0)),"")</f>
        <v/>
      </c>
      <c r="C430">
        <f>IF(B430="","",INDEX('Keyword Map'!$I$3:$I$1002,MATCH(A430,'Keyword Map'!$AA$3:$AA$1002,0))&amp;"")</f>
        <v/>
      </c>
      <c r="D430">
        <f>IF(B430="","",INDEX('Keyword Map'!$H$3:$H$1002,MATCH(A430,'Keyword Map'!$AA$3:$AA$1002,0))&amp;"")</f>
        <v/>
      </c>
      <c r="E430">
        <f>IF(B430="","",COUNTIF('Keyword Map'!$G$3:$G$1002,SUBSTITUTE(SUBSTITUTE(B430,"?","~?"),"*","~*")))</f>
        <v/>
      </c>
      <c r="F430">
        <f>IF(B430="","",COUNTIFS('Keyword Map'!$G$3:$G$1002,SUBSTITUTE(SUBSTITUTE(B430,"?","~?"),"*","~*"),'Keyword Map'!$J$3:$J$1002,"Primary"))</f>
        <v/>
      </c>
      <c r="G430">
        <f>IF(B430="","",SUMIFS('Keyword Map'!$C$3:$C$1002,'Keyword Map'!$G$3:$G$1002,SUBSTITUTE(SUBSTITUTE(B430,"?","~?"),"*","~*")))</f>
        <v/>
      </c>
      <c r="H430">
        <f>IF(B430="","",IFERROR(ROUND(AVERAGEIFS('Keyword Map'!$P$3:$P$1002,'Keyword Map'!$G$3:$G$1002,SUBSTITUTE(SUBSTITUTE(B430,"?","~?"),"*","~*")),0),""))</f>
        <v/>
      </c>
      <c r="I430">
        <f>IF(B430="","",COUNTIFS('Keyword Map'!$G$3:$G$1002,SUBSTITUTE(SUBSTITUTE(B430,"?","~?"),"*","~*"),'Keyword Map'!$R$3:$R$1002,"Yes"))</f>
        <v/>
      </c>
      <c r="J430">
        <f>IF(B430="","",COUNTIFS('Keyword Map'!$G$3:$G$1002,SUBSTITUTE(SUBSTITUTE(B430,"?","~?"),"*","~*"),'Keyword Map'!$W$3:$W$1002,"Yes"))</f>
        <v/>
      </c>
      <c r="K430">
        <f>IF(B430="","",IF(F430=0,"No primary keyword",IF(F430&gt;Settings!$B$4,"Too many primary keywords",IF(I430+J430&gt;0,"Check flags","OK"))))</f>
        <v/>
      </c>
    </row>
    <row r="431">
      <c r="A431">
        <f>ROW()-2</f>
        <v/>
      </c>
      <c r="B431">
        <f>IFERROR(INDEX('Keyword Map'!$G$3:$G$1002,MATCH(A431,'Keyword Map'!$AA$3:$AA$1002,0)),"")</f>
        <v/>
      </c>
      <c r="C431">
        <f>IF(B431="","",INDEX('Keyword Map'!$I$3:$I$1002,MATCH(A431,'Keyword Map'!$AA$3:$AA$1002,0))&amp;"")</f>
        <v/>
      </c>
      <c r="D431">
        <f>IF(B431="","",INDEX('Keyword Map'!$H$3:$H$1002,MATCH(A431,'Keyword Map'!$AA$3:$AA$1002,0))&amp;"")</f>
        <v/>
      </c>
      <c r="E431">
        <f>IF(B431="","",COUNTIF('Keyword Map'!$G$3:$G$1002,SUBSTITUTE(SUBSTITUTE(B431,"?","~?"),"*","~*")))</f>
        <v/>
      </c>
      <c r="F431">
        <f>IF(B431="","",COUNTIFS('Keyword Map'!$G$3:$G$1002,SUBSTITUTE(SUBSTITUTE(B431,"?","~?"),"*","~*"),'Keyword Map'!$J$3:$J$1002,"Primary"))</f>
        <v/>
      </c>
      <c r="G431">
        <f>IF(B431="","",SUMIFS('Keyword Map'!$C$3:$C$1002,'Keyword Map'!$G$3:$G$1002,SUBSTITUTE(SUBSTITUTE(B431,"?","~?"),"*","~*")))</f>
        <v/>
      </c>
      <c r="H431">
        <f>IF(B431="","",IFERROR(ROUND(AVERAGEIFS('Keyword Map'!$P$3:$P$1002,'Keyword Map'!$G$3:$G$1002,SUBSTITUTE(SUBSTITUTE(B431,"?","~?"),"*","~*")),0),""))</f>
        <v/>
      </c>
      <c r="I431">
        <f>IF(B431="","",COUNTIFS('Keyword Map'!$G$3:$G$1002,SUBSTITUTE(SUBSTITUTE(B431,"?","~?"),"*","~*"),'Keyword Map'!$R$3:$R$1002,"Yes"))</f>
        <v/>
      </c>
      <c r="J431">
        <f>IF(B431="","",COUNTIFS('Keyword Map'!$G$3:$G$1002,SUBSTITUTE(SUBSTITUTE(B431,"?","~?"),"*","~*"),'Keyword Map'!$W$3:$W$1002,"Yes"))</f>
        <v/>
      </c>
      <c r="K431">
        <f>IF(B431="","",IF(F431=0,"No primary keyword",IF(F431&gt;Settings!$B$4,"Too many primary keywords",IF(I431+J431&gt;0,"Check flags","OK"))))</f>
        <v/>
      </c>
    </row>
    <row r="432">
      <c r="A432">
        <f>ROW()-2</f>
        <v/>
      </c>
      <c r="B432">
        <f>IFERROR(INDEX('Keyword Map'!$G$3:$G$1002,MATCH(A432,'Keyword Map'!$AA$3:$AA$1002,0)),"")</f>
        <v/>
      </c>
      <c r="C432">
        <f>IF(B432="","",INDEX('Keyword Map'!$I$3:$I$1002,MATCH(A432,'Keyword Map'!$AA$3:$AA$1002,0))&amp;"")</f>
        <v/>
      </c>
      <c r="D432">
        <f>IF(B432="","",INDEX('Keyword Map'!$H$3:$H$1002,MATCH(A432,'Keyword Map'!$AA$3:$AA$1002,0))&amp;"")</f>
        <v/>
      </c>
      <c r="E432">
        <f>IF(B432="","",COUNTIF('Keyword Map'!$G$3:$G$1002,SUBSTITUTE(SUBSTITUTE(B432,"?","~?"),"*","~*")))</f>
        <v/>
      </c>
      <c r="F432">
        <f>IF(B432="","",COUNTIFS('Keyword Map'!$G$3:$G$1002,SUBSTITUTE(SUBSTITUTE(B432,"?","~?"),"*","~*"),'Keyword Map'!$J$3:$J$1002,"Primary"))</f>
        <v/>
      </c>
      <c r="G432">
        <f>IF(B432="","",SUMIFS('Keyword Map'!$C$3:$C$1002,'Keyword Map'!$G$3:$G$1002,SUBSTITUTE(SUBSTITUTE(B432,"?","~?"),"*","~*")))</f>
        <v/>
      </c>
      <c r="H432">
        <f>IF(B432="","",IFERROR(ROUND(AVERAGEIFS('Keyword Map'!$P$3:$P$1002,'Keyword Map'!$G$3:$G$1002,SUBSTITUTE(SUBSTITUTE(B432,"?","~?"),"*","~*")),0),""))</f>
        <v/>
      </c>
      <c r="I432">
        <f>IF(B432="","",COUNTIFS('Keyword Map'!$G$3:$G$1002,SUBSTITUTE(SUBSTITUTE(B432,"?","~?"),"*","~*"),'Keyword Map'!$R$3:$R$1002,"Yes"))</f>
        <v/>
      </c>
      <c r="J432">
        <f>IF(B432="","",COUNTIFS('Keyword Map'!$G$3:$G$1002,SUBSTITUTE(SUBSTITUTE(B432,"?","~?"),"*","~*"),'Keyword Map'!$W$3:$W$1002,"Yes"))</f>
        <v/>
      </c>
      <c r="K432">
        <f>IF(B432="","",IF(F432=0,"No primary keyword",IF(F432&gt;Settings!$B$4,"Too many primary keywords",IF(I432+J432&gt;0,"Check flags","OK"))))</f>
        <v/>
      </c>
    </row>
    <row r="433">
      <c r="A433">
        <f>ROW()-2</f>
        <v/>
      </c>
      <c r="B433">
        <f>IFERROR(INDEX('Keyword Map'!$G$3:$G$1002,MATCH(A433,'Keyword Map'!$AA$3:$AA$1002,0)),"")</f>
        <v/>
      </c>
      <c r="C433">
        <f>IF(B433="","",INDEX('Keyword Map'!$I$3:$I$1002,MATCH(A433,'Keyword Map'!$AA$3:$AA$1002,0))&amp;"")</f>
        <v/>
      </c>
      <c r="D433">
        <f>IF(B433="","",INDEX('Keyword Map'!$H$3:$H$1002,MATCH(A433,'Keyword Map'!$AA$3:$AA$1002,0))&amp;"")</f>
        <v/>
      </c>
      <c r="E433">
        <f>IF(B433="","",COUNTIF('Keyword Map'!$G$3:$G$1002,SUBSTITUTE(SUBSTITUTE(B433,"?","~?"),"*","~*")))</f>
        <v/>
      </c>
      <c r="F433">
        <f>IF(B433="","",COUNTIFS('Keyword Map'!$G$3:$G$1002,SUBSTITUTE(SUBSTITUTE(B433,"?","~?"),"*","~*"),'Keyword Map'!$J$3:$J$1002,"Primary"))</f>
        <v/>
      </c>
      <c r="G433">
        <f>IF(B433="","",SUMIFS('Keyword Map'!$C$3:$C$1002,'Keyword Map'!$G$3:$G$1002,SUBSTITUTE(SUBSTITUTE(B433,"?","~?"),"*","~*")))</f>
        <v/>
      </c>
      <c r="H433">
        <f>IF(B433="","",IFERROR(ROUND(AVERAGEIFS('Keyword Map'!$P$3:$P$1002,'Keyword Map'!$G$3:$G$1002,SUBSTITUTE(SUBSTITUTE(B433,"?","~?"),"*","~*")),0),""))</f>
        <v/>
      </c>
      <c r="I433">
        <f>IF(B433="","",COUNTIFS('Keyword Map'!$G$3:$G$1002,SUBSTITUTE(SUBSTITUTE(B433,"?","~?"),"*","~*"),'Keyword Map'!$R$3:$R$1002,"Yes"))</f>
        <v/>
      </c>
      <c r="J433">
        <f>IF(B433="","",COUNTIFS('Keyword Map'!$G$3:$G$1002,SUBSTITUTE(SUBSTITUTE(B433,"?","~?"),"*","~*"),'Keyword Map'!$W$3:$W$1002,"Yes"))</f>
        <v/>
      </c>
      <c r="K433">
        <f>IF(B433="","",IF(F433=0,"No primary keyword",IF(F433&gt;Settings!$B$4,"Too many primary keywords",IF(I433+J433&gt;0,"Check flags","OK"))))</f>
        <v/>
      </c>
    </row>
    <row r="434">
      <c r="A434">
        <f>ROW()-2</f>
        <v/>
      </c>
      <c r="B434">
        <f>IFERROR(INDEX('Keyword Map'!$G$3:$G$1002,MATCH(A434,'Keyword Map'!$AA$3:$AA$1002,0)),"")</f>
        <v/>
      </c>
      <c r="C434">
        <f>IF(B434="","",INDEX('Keyword Map'!$I$3:$I$1002,MATCH(A434,'Keyword Map'!$AA$3:$AA$1002,0))&amp;"")</f>
        <v/>
      </c>
      <c r="D434">
        <f>IF(B434="","",INDEX('Keyword Map'!$H$3:$H$1002,MATCH(A434,'Keyword Map'!$AA$3:$AA$1002,0))&amp;"")</f>
        <v/>
      </c>
      <c r="E434">
        <f>IF(B434="","",COUNTIF('Keyword Map'!$G$3:$G$1002,SUBSTITUTE(SUBSTITUTE(B434,"?","~?"),"*","~*")))</f>
        <v/>
      </c>
      <c r="F434">
        <f>IF(B434="","",COUNTIFS('Keyword Map'!$G$3:$G$1002,SUBSTITUTE(SUBSTITUTE(B434,"?","~?"),"*","~*"),'Keyword Map'!$J$3:$J$1002,"Primary"))</f>
        <v/>
      </c>
      <c r="G434">
        <f>IF(B434="","",SUMIFS('Keyword Map'!$C$3:$C$1002,'Keyword Map'!$G$3:$G$1002,SUBSTITUTE(SUBSTITUTE(B434,"?","~?"),"*","~*")))</f>
        <v/>
      </c>
      <c r="H434">
        <f>IF(B434="","",IFERROR(ROUND(AVERAGEIFS('Keyword Map'!$P$3:$P$1002,'Keyword Map'!$G$3:$G$1002,SUBSTITUTE(SUBSTITUTE(B434,"?","~?"),"*","~*")),0),""))</f>
        <v/>
      </c>
      <c r="I434">
        <f>IF(B434="","",COUNTIFS('Keyword Map'!$G$3:$G$1002,SUBSTITUTE(SUBSTITUTE(B434,"?","~?"),"*","~*"),'Keyword Map'!$R$3:$R$1002,"Yes"))</f>
        <v/>
      </c>
      <c r="J434">
        <f>IF(B434="","",COUNTIFS('Keyword Map'!$G$3:$G$1002,SUBSTITUTE(SUBSTITUTE(B434,"?","~?"),"*","~*"),'Keyword Map'!$W$3:$W$1002,"Yes"))</f>
        <v/>
      </c>
      <c r="K434">
        <f>IF(B434="","",IF(F434=0,"No primary keyword",IF(F434&gt;Settings!$B$4,"Too many primary keywords",IF(I434+J434&gt;0,"Check flags","OK"))))</f>
        <v/>
      </c>
    </row>
    <row r="435">
      <c r="A435">
        <f>ROW()-2</f>
        <v/>
      </c>
      <c r="B435">
        <f>IFERROR(INDEX('Keyword Map'!$G$3:$G$1002,MATCH(A435,'Keyword Map'!$AA$3:$AA$1002,0)),"")</f>
        <v/>
      </c>
      <c r="C435">
        <f>IF(B435="","",INDEX('Keyword Map'!$I$3:$I$1002,MATCH(A435,'Keyword Map'!$AA$3:$AA$1002,0))&amp;"")</f>
        <v/>
      </c>
      <c r="D435">
        <f>IF(B435="","",INDEX('Keyword Map'!$H$3:$H$1002,MATCH(A435,'Keyword Map'!$AA$3:$AA$1002,0))&amp;"")</f>
        <v/>
      </c>
      <c r="E435">
        <f>IF(B435="","",COUNTIF('Keyword Map'!$G$3:$G$1002,SUBSTITUTE(SUBSTITUTE(B435,"?","~?"),"*","~*")))</f>
        <v/>
      </c>
      <c r="F435">
        <f>IF(B435="","",COUNTIFS('Keyword Map'!$G$3:$G$1002,SUBSTITUTE(SUBSTITUTE(B435,"?","~?"),"*","~*"),'Keyword Map'!$J$3:$J$1002,"Primary"))</f>
        <v/>
      </c>
      <c r="G435">
        <f>IF(B435="","",SUMIFS('Keyword Map'!$C$3:$C$1002,'Keyword Map'!$G$3:$G$1002,SUBSTITUTE(SUBSTITUTE(B435,"?","~?"),"*","~*")))</f>
        <v/>
      </c>
      <c r="H435">
        <f>IF(B435="","",IFERROR(ROUND(AVERAGEIFS('Keyword Map'!$P$3:$P$1002,'Keyword Map'!$G$3:$G$1002,SUBSTITUTE(SUBSTITUTE(B435,"?","~?"),"*","~*")),0),""))</f>
        <v/>
      </c>
      <c r="I435">
        <f>IF(B435="","",COUNTIFS('Keyword Map'!$G$3:$G$1002,SUBSTITUTE(SUBSTITUTE(B435,"?","~?"),"*","~*"),'Keyword Map'!$R$3:$R$1002,"Yes"))</f>
        <v/>
      </c>
      <c r="J435">
        <f>IF(B435="","",COUNTIFS('Keyword Map'!$G$3:$G$1002,SUBSTITUTE(SUBSTITUTE(B435,"?","~?"),"*","~*"),'Keyword Map'!$W$3:$W$1002,"Yes"))</f>
        <v/>
      </c>
      <c r="K435">
        <f>IF(B435="","",IF(F435=0,"No primary keyword",IF(F435&gt;Settings!$B$4,"Too many primary keywords",IF(I435+J435&gt;0,"Check flags","OK"))))</f>
        <v/>
      </c>
    </row>
    <row r="436">
      <c r="A436">
        <f>ROW()-2</f>
        <v/>
      </c>
      <c r="B436">
        <f>IFERROR(INDEX('Keyword Map'!$G$3:$G$1002,MATCH(A436,'Keyword Map'!$AA$3:$AA$1002,0)),"")</f>
        <v/>
      </c>
      <c r="C436">
        <f>IF(B436="","",INDEX('Keyword Map'!$I$3:$I$1002,MATCH(A436,'Keyword Map'!$AA$3:$AA$1002,0))&amp;"")</f>
        <v/>
      </c>
      <c r="D436">
        <f>IF(B436="","",INDEX('Keyword Map'!$H$3:$H$1002,MATCH(A436,'Keyword Map'!$AA$3:$AA$1002,0))&amp;"")</f>
        <v/>
      </c>
      <c r="E436">
        <f>IF(B436="","",COUNTIF('Keyword Map'!$G$3:$G$1002,SUBSTITUTE(SUBSTITUTE(B436,"?","~?"),"*","~*")))</f>
        <v/>
      </c>
      <c r="F436">
        <f>IF(B436="","",COUNTIFS('Keyword Map'!$G$3:$G$1002,SUBSTITUTE(SUBSTITUTE(B436,"?","~?"),"*","~*"),'Keyword Map'!$J$3:$J$1002,"Primary"))</f>
        <v/>
      </c>
      <c r="G436">
        <f>IF(B436="","",SUMIFS('Keyword Map'!$C$3:$C$1002,'Keyword Map'!$G$3:$G$1002,SUBSTITUTE(SUBSTITUTE(B436,"?","~?"),"*","~*")))</f>
        <v/>
      </c>
      <c r="H436">
        <f>IF(B436="","",IFERROR(ROUND(AVERAGEIFS('Keyword Map'!$P$3:$P$1002,'Keyword Map'!$G$3:$G$1002,SUBSTITUTE(SUBSTITUTE(B436,"?","~?"),"*","~*")),0),""))</f>
        <v/>
      </c>
      <c r="I436">
        <f>IF(B436="","",COUNTIFS('Keyword Map'!$G$3:$G$1002,SUBSTITUTE(SUBSTITUTE(B436,"?","~?"),"*","~*"),'Keyword Map'!$R$3:$R$1002,"Yes"))</f>
        <v/>
      </c>
      <c r="J436">
        <f>IF(B436="","",COUNTIFS('Keyword Map'!$G$3:$G$1002,SUBSTITUTE(SUBSTITUTE(B436,"?","~?"),"*","~*"),'Keyword Map'!$W$3:$W$1002,"Yes"))</f>
        <v/>
      </c>
      <c r="K436">
        <f>IF(B436="","",IF(F436=0,"No primary keyword",IF(F436&gt;Settings!$B$4,"Too many primary keywords",IF(I436+J436&gt;0,"Check flags","OK"))))</f>
        <v/>
      </c>
    </row>
    <row r="437">
      <c r="A437">
        <f>ROW()-2</f>
        <v/>
      </c>
      <c r="B437">
        <f>IFERROR(INDEX('Keyword Map'!$G$3:$G$1002,MATCH(A437,'Keyword Map'!$AA$3:$AA$1002,0)),"")</f>
        <v/>
      </c>
      <c r="C437">
        <f>IF(B437="","",INDEX('Keyword Map'!$I$3:$I$1002,MATCH(A437,'Keyword Map'!$AA$3:$AA$1002,0))&amp;"")</f>
        <v/>
      </c>
      <c r="D437">
        <f>IF(B437="","",INDEX('Keyword Map'!$H$3:$H$1002,MATCH(A437,'Keyword Map'!$AA$3:$AA$1002,0))&amp;"")</f>
        <v/>
      </c>
      <c r="E437">
        <f>IF(B437="","",COUNTIF('Keyword Map'!$G$3:$G$1002,SUBSTITUTE(SUBSTITUTE(B437,"?","~?"),"*","~*")))</f>
        <v/>
      </c>
      <c r="F437">
        <f>IF(B437="","",COUNTIFS('Keyword Map'!$G$3:$G$1002,SUBSTITUTE(SUBSTITUTE(B437,"?","~?"),"*","~*"),'Keyword Map'!$J$3:$J$1002,"Primary"))</f>
        <v/>
      </c>
      <c r="G437">
        <f>IF(B437="","",SUMIFS('Keyword Map'!$C$3:$C$1002,'Keyword Map'!$G$3:$G$1002,SUBSTITUTE(SUBSTITUTE(B437,"?","~?"),"*","~*")))</f>
        <v/>
      </c>
      <c r="H437">
        <f>IF(B437="","",IFERROR(ROUND(AVERAGEIFS('Keyword Map'!$P$3:$P$1002,'Keyword Map'!$G$3:$G$1002,SUBSTITUTE(SUBSTITUTE(B437,"?","~?"),"*","~*")),0),""))</f>
        <v/>
      </c>
      <c r="I437">
        <f>IF(B437="","",COUNTIFS('Keyword Map'!$G$3:$G$1002,SUBSTITUTE(SUBSTITUTE(B437,"?","~?"),"*","~*"),'Keyword Map'!$R$3:$R$1002,"Yes"))</f>
        <v/>
      </c>
      <c r="J437">
        <f>IF(B437="","",COUNTIFS('Keyword Map'!$G$3:$G$1002,SUBSTITUTE(SUBSTITUTE(B437,"?","~?"),"*","~*"),'Keyword Map'!$W$3:$W$1002,"Yes"))</f>
        <v/>
      </c>
      <c r="K437">
        <f>IF(B437="","",IF(F437=0,"No primary keyword",IF(F437&gt;Settings!$B$4,"Too many primary keywords",IF(I437+J437&gt;0,"Check flags","OK"))))</f>
        <v/>
      </c>
    </row>
    <row r="438">
      <c r="A438">
        <f>ROW()-2</f>
        <v/>
      </c>
      <c r="B438">
        <f>IFERROR(INDEX('Keyword Map'!$G$3:$G$1002,MATCH(A438,'Keyword Map'!$AA$3:$AA$1002,0)),"")</f>
        <v/>
      </c>
      <c r="C438">
        <f>IF(B438="","",INDEX('Keyword Map'!$I$3:$I$1002,MATCH(A438,'Keyword Map'!$AA$3:$AA$1002,0))&amp;"")</f>
        <v/>
      </c>
      <c r="D438">
        <f>IF(B438="","",INDEX('Keyword Map'!$H$3:$H$1002,MATCH(A438,'Keyword Map'!$AA$3:$AA$1002,0))&amp;"")</f>
        <v/>
      </c>
      <c r="E438">
        <f>IF(B438="","",COUNTIF('Keyword Map'!$G$3:$G$1002,SUBSTITUTE(SUBSTITUTE(B438,"?","~?"),"*","~*")))</f>
        <v/>
      </c>
      <c r="F438">
        <f>IF(B438="","",COUNTIFS('Keyword Map'!$G$3:$G$1002,SUBSTITUTE(SUBSTITUTE(B438,"?","~?"),"*","~*"),'Keyword Map'!$J$3:$J$1002,"Primary"))</f>
        <v/>
      </c>
      <c r="G438">
        <f>IF(B438="","",SUMIFS('Keyword Map'!$C$3:$C$1002,'Keyword Map'!$G$3:$G$1002,SUBSTITUTE(SUBSTITUTE(B438,"?","~?"),"*","~*")))</f>
        <v/>
      </c>
      <c r="H438">
        <f>IF(B438="","",IFERROR(ROUND(AVERAGEIFS('Keyword Map'!$P$3:$P$1002,'Keyword Map'!$G$3:$G$1002,SUBSTITUTE(SUBSTITUTE(B438,"?","~?"),"*","~*")),0),""))</f>
        <v/>
      </c>
      <c r="I438">
        <f>IF(B438="","",COUNTIFS('Keyword Map'!$G$3:$G$1002,SUBSTITUTE(SUBSTITUTE(B438,"?","~?"),"*","~*"),'Keyword Map'!$R$3:$R$1002,"Yes"))</f>
        <v/>
      </c>
      <c r="J438">
        <f>IF(B438="","",COUNTIFS('Keyword Map'!$G$3:$G$1002,SUBSTITUTE(SUBSTITUTE(B438,"?","~?"),"*","~*"),'Keyword Map'!$W$3:$W$1002,"Yes"))</f>
        <v/>
      </c>
      <c r="K438">
        <f>IF(B438="","",IF(F438=0,"No primary keyword",IF(F438&gt;Settings!$B$4,"Too many primary keywords",IF(I438+J438&gt;0,"Check flags","OK"))))</f>
        <v/>
      </c>
    </row>
    <row r="439">
      <c r="A439">
        <f>ROW()-2</f>
        <v/>
      </c>
      <c r="B439">
        <f>IFERROR(INDEX('Keyword Map'!$G$3:$G$1002,MATCH(A439,'Keyword Map'!$AA$3:$AA$1002,0)),"")</f>
        <v/>
      </c>
      <c r="C439">
        <f>IF(B439="","",INDEX('Keyword Map'!$I$3:$I$1002,MATCH(A439,'Keyword Map'!$AA$3:$AA$1002,0))&amp;"")</f>
        <v/>
      </c>
      <c r="D439">
        <f>IF(B439="","",INDEX('Keyword Map'!$H$3:$H$1002,MATCH(A439,'Keyword Map'!$AA$3:$AA$1002,0))&amp;"")</f>
        <v/>
      </c>
      <c r="E439">
        <f>IF(B439="","",COUNTIF('Keyword Map'!$G$3:$G$1002,SUBSTITUTE(SUBSTITUTE(B439,"?","~?"),"*","~*")))</f>
        <v/>
      </c>
      <c r="F439">
        <f>IF(B439="","",COUNTIFS('Keyword Map'!$G$3:$G$1002,SUBSTITUTE(SUBSTITUTE(B439,"?","~?"),"*","~*"),'Keyword Map'!$J$3:$J$1002,"Primary"))</f>
        <v/>
      </c>
      <c r="G439">
        <f>IF(B439="","",SUMIFS('Keyword Map'!$C$3:$C$1002,'Keyword Map'!$G$3:$G$1002,SUBSTITUTE(SUBSTITUTE(B439,"?","~?"),"*","~*")))</f>
        <v/>
      </c>
      <c r="H439">
        <f>IF(B439="","",IFERROR(ROUND(AVERAGEIFS('Keyword Map'!$P$3:$P$1002,'Keyword Map'!$G$3:$G$1002,SUBSTITUTE(SUBSTITUTE(B439,"?","~?"),"*","~*")),0),""))</f>
        <v/>
      </c>
      <c r="I439">
        <f>IF(B439="","",COUNTIFS('Keyword Map'!$G$3:$G$1002,SUBSTITUTE(SUBSTITUTE(B439,"?","~?"),"*","~*"),'Keyword Map'!$R$3:$R$1002,"Yes"))</f>
        <v/>
      </c>
      <c r="J439">
        <f>IF(B439="","",COUNTIFS('Keyword Map'!$G$3:$G$1002,SUBSTITUTE(SUBSTITUTE(B439,"?","~?"),"*","~*"),'Keyword Map'!$W$3:$W$1002,"Yes"))</f>
        <v/>
      </c>
      <c r="K439">
        <f>IF(B439="","",IF(F439=0,"No primary keyword",IF(F439&gt;Settings!$B$4,"Too many primary keywords",IF(I439+J439&gt;0,"Check flags","OK"))))</f>
        <v/>
      </c>
    </row>
    <row r="440">
      <c r="A440">
        <f>ROW()-2</f>
        <v/>
      </c>
      <c r="B440">
        <f>IFERROR(INDEX('Keyword Map'!$G$3:$G$1002,MATCH(A440,'Keyword Map'!$AA$3:$AA$1002,0)),"")</f>
        <v/>
      </c>
      <c r="C440">
        <f>IF(B440="","",INDEX('Keyword Map'!$I$3:$I$1002,MATCH(A440,'Keyword Map'!$AA$3:$AA$1002,0))&amp;"")</f>
        <v/>
      </c>
      <c r="D440">
        <f>IF(B440="","",INDEX('Keyword Map'!$H$3:$H$1002,MATCH(A440,'Keyword Map'!$AA$3:$AA$1002,0))&amp;"")</f>
        <v/>
      </c>
      <c r="E440">
        <f>IF(B440="","",COUNTIF('Keyword Map'!$G$3:$G$1002,SUBSTITUTE(SUBSTITUTE(B440,"?","~?"),"*","~*")))</f>
        <v/>
      </c>
      <c r="F440">
        <f>IF(B440="","",COUNTIFS('Keyword Map'!$G$3:$G$1002,SUBSTITUTE(SUBSTITUTE(B440,"?","~?"),"*","~*"),'Keyword Map'!$J$3:$J$1002,"Primary"))</f>
        <v/>
      </c>
      <c r="G440">
        <f>IF(B440="","",SUMIFS('Keyword Map'!$C$3:$C$1002,'Keyword Map'!$G$3:$G$1002,SUBSTITUTE(SUBSTITUTE(B440,"?","~?"),"*","~*")))</f>
        <v/>
      </c>
      <c r="H440">
        <f>IF(B440="","",IFERROR(ROUND(AVERAGEIFS('Keyword Map'!$P$3:$P$1002,'Keyword Map'!$G$3:$G$1002,SUBSTITUTE(SUBSTITUTE(B440,"?","~?"),"*","~*")),0),""))</f>
        <v/>
      </c>
      <c r="I440">
        <f>IF(B440="","",COUNTIFS('Keyword Map'!$G$3:$G$1002,SUBSTITUTE(SUBSTITUTE(B440,"?","~?"),"*","~*"),'Keyword Map'!$R$3:$R$1002,"Yes"))</f>
        <v/>
      </c>
      <c r="J440">
        <f>IF(B440="","",COUNTIFS('Keyword Map'!$G$3:$G$1002,SUBSTITUTE(SUBSTITUTE(B440,"?","~?"),"*","~*"),'Keyword Map'!$W$3:$W$1002,"Yes"))</f>
        <v/>
      </c>
      <c r="K440">
        <f>IF(B440="","",IF(F440=0,"No primary keyword",IF(F440&gt;Settings!$B$4,"Too many primary keywords",IF(I440+J440&gt;0,"Check flags","OK"))))</f>
        <v/>
      </c>
    </row>
    <row r="441">
      <c r="A441">
        <f>ROW()-2</f>
        <v/>
      </c>
      <c r="B441">
        <f>IFERROR(INDEX('Keyword Map'!$G$3:$G$1002,MATCH(A441,'Keyword Map'!$AA$3:$AA$1002,0)),"")</f>
        <v/>
      </c>
      <c r="C441">
        <f>IF(B441="","",INDEX('Keyword Map'!$I$3:$I$1002,MATCH(A441,'Keyword Map'!$AA$3:$AA$1002,0))&amp;"")</f>
        <v/>
      </c>
      <c r="D441">
        <f>IF(B441="","",INDEX('Keyword Map'!$H$3:$H$1002,MATCH(A441,'Keyword Map'!$AA$3:$AA$1002,0))&amp;"")</f>
        <v/>
      </c>
      <c r="E441">
        <f>IF(B441="","",COUNTIF('Keyword Map'!$G$3:$G$1002,SUBSTITUTE(SUBSTITUTE(B441,"?","~?"),"*","~*")))</f>
        <v/>
      </c>
      <c r="F441">
        <f>IF(B441="","",COUNTIFS('Keyword Map'!$G$3:$G$1002,SUBSTITUTE(SUBSTITUTE(B441,"?","~?"),"*","~*"),'Keyword Map'!$J$3:$J$1002,"Primary"))</f>
        <v/>
      </c>
      <c r="G441">
        <f>IF(B441="","",SUMIFS('Keyword Map'!$C$3:$C$1002,'Keyword Map'!$G$3:$G$1002,SUBSTITUTE(SUBSTITUTE(B441,"?","~?"),"*","~*")))</f>
        <v/>
      </c>
      <c r="H441">
        <f>IF(B441="","",IFERROR(ROUND(AVERAGEIFS('Keyword Map'!$P$3:$P$1002,'Keyword Map'!$G$3:$G$1002,SUBSTITUTE(SUBSTITUTE(B441,"?","~?"),"*","~*")),0),""))</f>
        <v/>
      </c>
      <c r="I441">
        <f>IF(B441="","",COUNTIFS('Keyword Map'!$G$3:$G$1002,SUBSTITUTE(SUBSTITUTE(B441,"?","~?"),"*","~*"),'Keyword Map'!$R$3:$R$1002,"Yes"))</f>
        <v/>
      </c>
      <c r="J441">
        <f>IF(B441="","",COUNTIFS('Keyword Map'!$G$3:$G$1002,SUBSTITUTE(SUBSTITUTE(B441,"?","~?"),"*","~*"),'Keyword Map'!$W$3:$W$1002,"Yes"))</f>
        <v/>
      </c>
      <c r="K441">
        <f>IF(B441="","",IF(F441=0,"No primary keyword",IF(F441&gt;Settings!$B$4,"Too many primary keywords",IF(I441+J441&gt;0,"Check flags","OK"))))</f>
        <v/>
      </c>
    </row>
    <row r="442">
      <c r="A442">
        <f>ROW()-2</f>
        <v/>
      </c>
      <c r="B442">
        <f>IFERROR(INDEX('Keyword Map'!$G$3:$G$1002,MATCH(A442,'Keyword Map'!$AA$3:$AA$1002,0)),"")</f>
        <v/>
      </c>
      <c r="C442">
        <f>IF(B442="","",INDEX('Keyword Map'!$I$3:$I$1002,MATCH(A442,'Keyword Map'!$AA$3:$AA$1002,0))&amp;"")</f>
        <v/>
      </c>
      <c r="D442">
        <f>IF(B442="","",INDEX('Keyword Map'!$H$3:$H$1002,MATCH(A442,'Keyword Map'!$AA$3:$AA$1002,0))&amp;"")</f>
        <v/>
      </c>
      <c r="E442">
        <f>IF(B442="","",COUNTIF('Keyword Map'!$G$3:$G$1002,SUBSTITUTE(SUBSTITUTE(B442,"?","~?"),"*","~*")))</f>
        <v/>
      </c>
      <c r="F442">
        <f>IF(B442="","",COUNTIFS('Keyword Map'!$G$3:$G$1002,SUBSTITUTE(SUBSTITUTE(B442,"?","~?"),"*","~*"),'Keyword Map'!$J$3:$J$1002,"Primary"))</f>
        <v/>
      </c>
      <c r="G442">
        <f>IF(B442="","",SUMIFS('Keyword Map'!$C$3:$C$1002,'Keyword Map'!$G$3:$G$1002,SUBSTITUTE(SUBSTITUTE(B442,"?","~?"),"*","~*")))</f>
        <v/>
      </c>
      <c r="H442">
        <f>IF(B442="","",IFERROR(ROUND(AVERAGEIFS('Keyword Map'!$P$3:$P$1002,'Keyword Map'!$G$3:$G$1002,SUBSTITUTE(SUBSTITUTE(B442,"?","~?"),"*","~*")),0),""))</f>
        <v/>
      </c>
      <c r="I442">
        <f>IF(B442="","",COUNTIFS('Keyword Map'!$G$3:$G$1002,SUBSTITUTE(SUBSTITUTE(B442,"?","~?"),"*","~*"),'Keyword Map'!$R$3:$R$1002,"Yes"))</f>
        <v/>
      </c>
      <c r="J442">
        <f>IF(B442="","",COUNTIFS('Keyword Map'!$G$3:$G$1002,SUBSTITUTE(SUBSTITUTE(B442,"?","~?"),"*","~*"),'Keyword Map'!$W$3:$W$1002,"Yes"))</f>
        <v/>
      </c>
      <c r="K442">
        <f>IF(B442="","",IF(F442=0,"No primary keyword",IF(F442&gt;Settings!$B$4,"Too many primary keywords",IF(I442+J442&gt;0,"Check flags","OK"))))</f>
        <v/>
      </c>
    </row>
    <row r="443">
      <c r="A443">
        <f>ROW()-2</f>
        <v/>
      </c>
      <c r="B443">
        <f>IFERROR(INDEX('Keyword Map'!$G$3:$G$1002,MATCH(A443,'Keyword Map'!$AA$3:$AA$1002,0)),"")</f>
        <v/>
      </c>
      <c r="C443">
        <f>IF(B443="","",INDEX('Keyword Map'!$I$3:$I$1002,MATCH(A443,'Keyword Map'!$AA$3:$AA$1002,0))&amp;"")</f>
        <v/>
      </c>
      <c r="D443">
        <f>IF(B443="","",INDEX('Keyword Map'!$H$3:$H$1002,MATCH(A443,'Keyword Map'!$AA$3:$AA$1002,0))&amp;"")</f>
        <v/>
      </c>
      <c r="E443">
        <f>IF(B443="","",COUNTIF('Keyword Map'!$G$3:$G$1002,SUBSTITUTE(SUBSTITUTE(B443,"?","~?"),"*","~*")))</f>
        <v/>
      </c>
      <c r="F443">
        <f>IF(B443="","",COUNTIFS('Keyword Map'!$G$3:$G$1002,SUBSTITUTE(SUBSTITUTE(B443,"?","~?"),"*","~*"),'Keyword Map'!$J$3:$J$1002,"Primary"))</f>
        <v/>
      </c>
      <c r="G443">
        <f>IF(B443="","",SUMIFS('Keyword Map'!$C$3:$C$1002,'Keyword Map'!$G$3:$G$1002,SUBSTITUTE(SUBSTITUTE(B443,"?","~?"),"*","~*")))</f>
        <v/>
      </c>
      <c r="H443">
        <f>IF(B443="","",IFERROR(ROUND(AVERAGEIFS('Keyword Map'!$P$3:$P$1002,'Keyword Map'!$G$3:$G$1002,SUBSTITUTE(SUBSTITUTE(B443,"?","~?"),"*","~*")),0),""))</f>
        <v/>
      </c>
      <c r="I443">
        <f>IF(B443="","",COUNTIFS('Keyword Map'!$G$3:$G$1002,SUBSTITUTE(SUBSTITUTE(B443,"?","~?"),"*","~*"),'Keyword Map'!$R$3:$R$1002,"Yes"))</f>
        <v/>
      </c>
      <c r="J443">
        <f>IF(B443="","",COUNTIFS('Keyword Map'!$G$3:$G$1002,SUBSTITUTE(SUBSTITUTE(B443,"?","~?"),"*","~*"),'Keyword Map'!$W$3:$W$1002,"Yes"))</f>
        <v/>
      </c>
      <c r="K443">
        <f>IF(B443="","",IF(F443=0,"No primary keyword",IF(F443&gt;Settings!$B$4,"Too many primary keywords",IF(I443+J443&gt;0,"Check flags","OK"))))</f>
        <v/>
      </c>
    </row>
    <row r="444">
      <c r="A444">
        <f>ROW()-2</f>
        <v/>
      </c>
      <c r="B444">
        <f>IFERROR(INDEX('Keyword Map'!$G$3:$G$1002,MATCH(A444,'Keyword Map'!$AA$3:$AA$1002,0)),"")</f>
        <v/>
      </c>
      <c r="C444">
        <f>IF(B444="","",INDEX('Keyword Map'!$I$3:$I$1002,MATCH(A444,'Keyword Map'!$AA$3:$AA$1002,0))&amp;"")</f>
        <v/>
      </c>
      <c r="D444">
        <f>IF(B444="","",INDEX('Keyword Map'!$H$3:$H$1002,MATCH(A444,'Keyword Map'!$AA$3:$AA$1002,0))&amp;"")</f>
        <v/>
      </c>
      <c r="E444">
        <f>IF(B444="","",COUNTIF('Keyword Map'!$G$3:$G$1002,SUBSTITUTE(SUBSTITUTE(B444,"?","~?"),"*","~*")))</f>
        <v/>
      </c>
      <c r="F444">
        <f>IF(B444="","",COUNTIFS('Keyword Map'!$G$3:$G$1002,SUBSTITUTE(SUBSTITUTE(B444,"?","~?"),"*","~*"),'Keyword Map'!$J$3:$J$1002,"Primary"))</f>
        <v/>
      </c>
      <c r="G444">
        <f>IF(B444="","",SUMIFS('Keyword Map'!$C$3:$C$1002,'Keyword Map'!$G$3:$G$1002,SUBSTITUTE(SUBSTITUTE(B444,"?","~?"),"*","~*")))</f>
        <v/>
      </c>
      <c r="H444">
        <f>IF(B444="","",IFERROR(ROUND(AVERAGEIFS('Keyword Map'!$P$3:$P$1002,'Keyword Map'!$G$3:$G$1002,SUBSTITUTE(SUBSTITUTE(B444,"?","~?"),"*","~*")),0),""))</f>
        <v/>
      </c>
      <c r="I444">
        <f>IF(B444="","",COUNTIFS('Keyword Map'!$G$3:$G$1002,SUBSTITUTE(SUBSTITUTE(B444,"?","~?"),"*","~*"),'Keyword Map'!$R$3:$R$1002,"Yes"))</f>
        <v/>
      </c>
      <c r="J444">
        <f>IF(B444="","",COUNTIFS('Keyword Map'!$G$3:$G$1002,SUBSTITUTE(SUBSTITUTE(B444,"?","~?"),"*","~*"),'Keyword Map'!$W$3:$W$1002,"Yes"))</f>
        <v/>
      </c>
      <c r="K444">
        <f>IF(B444="","",IF(F444=0,"No primary keyword",IF(F444&gt;Settings!$B$4,"Too many primary keywords",IF(I444+J444&gt;0,"Check flags","OK"))))</f>
        <v/>
      </c>
    </row>
    <row r="445">
      <c r="A445">
        <f>ROW()-2</f>
        <v/>
      </c>
      <c r="B445">
        <f>IFERROR(INDEX('Keyword Map'!$G$3:$G$1002,MATCH(A445,'Keyword Map'!$AA$3:$AA$1002,0)),"")</f>
        <v/>
      </c>
      <c r="C445">
        <f>IF(B445="","",INDEX('Keyword Map'!$I$3:$I$1002,MATCH(A445,'Keyword Map'!$AA$3:$AA$1002,0))&amp;"")</f>
        <v/>
      </c>
      <c r="D445">
        <f>IF(B445="","",INDEX('Keyword Map'!$H$3:$H$1002,MATCH(A445,'Keyword Map'!$AA$3:$AA$1002,0))&amp;"")</f>
        <v/>
      </c>
      <c r="E445">
        <f>IF(B445="","",COUNTIF('Keyword Map'!$G$3:$G$1002,SUBSTITUTE(SUBSTITUTE(B445,"?","~?"),"*","~*")))</f>
        <v/>
      </c>
      <c r="F445">
        <f>IF(B445="","",COUNTIFS('Keyword Map'!$G$3:$G$1002,SUBSTITUTE(SUBSTITUTE(B445,"?","~?"),"*","~*"),'Keyword Map'!$J$3:$J$1002,"Primary"))</f>
        <v/>
      </c>
      <c r="G445">
        <f>IF(B445="","",SUMIFS('Keyword Map'!$C$3:$C$1002,'Keyword Map'!$G$3:$G$1002,SUBSTITUTE(SUBSTITUTE(B445,"?","~?"),"*","~*")))</f>
        <v/>
      </c>
      <c r="H445">
        <f>IF(B445="","",IFERROR(ROUND(AVERAGEIFS('Keyword Map'!$P$3:$P$1002,'Keyword Map'!$G$3:$G$1002,SUBSTITUTE(SUBSTITUTE(B445,"?","~?"),"*","~*")),0),""))</f>
        <v/>
      </c>
      <c r="I445">
        <f>IF(B445="","",COUNTIFS('Keyword Map'!$G$3:$G$1002,SUBSTITUTE(SUBSTITUTE(B445,"?","~?"),"*","~*"),'Keyword Map'!$R$3:$R$1002,"Yes"))</f>
        <v/>
      </c>
      <c r="J445">
        <f>IF(B445="","",COUNTIFS('Keyword Map'!$G$3:$G$1002,SUBSTITUTE(SUBSTITUTE(B445,"?","~?"),"*","~*"),'Keyword Map'!$W$3:$W$1002,"Yes"))</f>
        <v/>
      </c>
      <c r="K445">
        <f>IF(B445="","",IF(F445=0,"No primary keyword",IF(F445&gt;Settings!$B$4,"Too many primary keywords",IF(I445+J445&gt;0,"Check flags","OK"))))</f>
        <v/>
      </c>
    </row>
    <row r="446">
      <c r="A446">
        <f>ROW()-2</f>
        <v/>
      </c>
      <c r="B446">
        <f>IFERROR(INDEX('Keyword Map'!$G$3:$G$1002,MATCH(A446,'Keyword Map'!$AA$3:$AA$1002,0)),"")</f>
        <v/>
      </c>
      <c r="C446">
        <f>IF(B446="","",INDEX('Keyword Map'!$I$3:$I$1002,MATCH(A446,'Keyword Map'!$AA$3:$AA$1002,0))&amp;"")</f>
        <v/>
      </c>
      <c r="D446">
        <f>IF(B446="","",INDEX('Keyword Map'!$H$3:$H$1002,MATCH(A446,'Keyword Map'!$AA$3:$AA$1002,0))&amp;"")</f>
        <v/>
      </c>
      <c r="E446">
        <f>IF(B446="","",COUNTIF('Keyword Map'!$G$3:$G$1002,SUBSTITUTE(SUBSTITUTE(B446,"?","~?"),"*","~*")))</f>
        <v/>
      </c>
      <c r="F446">
        <f>IF(B446="","",COUNTIFS('Keyword Map'!$G$3:$G$1002,SUBSTITUTE(SUBSTITUTE(B446,"?","~?"),"*","~*"),'Keyword Map'!$J$3:$J$1002,"Primary"))</f>
        <v/>
      </c>
      <c r="G446">
        <f>IF(B446="","",SUMIFS('Keyword Map'!$C$3:$C$1002,'Keyword Map'!$G$3:$G$1002,SUBSTITUTE(SUBSTITUTE(B446,"?","~?"),"*","~*")))</f>
        <v/>
      </c>
      <c r="H446">
        <f>IF(B446="","",IFERROR(ROUND(AVERAGEIFS('Keyword Map'!$P$3:$P$1002,'Keyword Map'!$G$3:$G$1002,SUBSTITUTE(SUBSTITUTE(B446,"?","~?"),"*","~*")),0),""))</f>
        <v/>
      </c>
      <c r="I446">
        <f>IF(B446="","",COUNTIFS('Keyword Map'!$G$3:$G$1002,SUBSTITUTE(SUBSTITUTE(B446,"?","~?"),"*","~*"),'Keyword Map'!$R$3:$R$1002,"Yes"))</f>
        <v/>
      </c>
      <c r="J446">
        <f>IF(B446="","",COUNTIFS('Keyword Map'!$G$3:$G$1002,SUBSTITUTE(SUBSTITUTE(B446,"?","~?"),"*","~*"),'Keyword Map'!$W$3:$W$1002,"Yes"))</f>
        <v/>
      </c>
      <c r="K446">
        <f>IF(B446="","",IF(F446=0,"No primary keyword",IF(F446&gt;Settings!$B$4,"Too many primary keywords",IF(I446+J446&gt;0,"Check flags","OK"))))</f>
        <v/>
      </c>
    </row>
    <row r="447">
      <c r="A447">
        <f>ROW()-2</f>
        <v/>
      </c>
      <c r="B447">
        <f>IFERROR(INDEX('Keyword Map'!$G$3:$G$1002,MATCH(A447,'Keyword Map'!$AA$3:$AA$1002,0)),"")</f>
        <v/>
      </c>
      <c r="C447">
        <f>IF(B447="","",INDEX('Keyword Map'!$I$3:$I$1002,MATCH(A447,'Keyword Map'!$AA$3:$AA$1002,0))&amp;"")</f>
        <v/>
      </c>
      <c r="D447">
        <f>IF(B447="","",INDEX('Keyword Map'!$H$3:$H$1002,MATCH(A447,'Keyword Map'!$AA$3:$AA$1002,0))&amp;"")</f>
        <v/>
      </c>
      <c r="E447">
        <f>IF(B447="","",COUNTIF('Keyword Map'!$G$3:$G$1002,SUBSTITUTE(SUBSTITUTE(B447,"?","~?"),"*","~*")))</f>
        <v/>
      </c>
      <c r="F447">
        <f>IF(B447="","",COUNTIFS('Keyword Map'!$G$3:$G$1002,SUBSTITUTE(SUBSTITUTE(B447,"?","~?"),"*","~*"),'Keyword Map'!$J$3:$J$1002,"Primary"))</f>
        <v/>
      </c>
      <c r="G447">
        <f>IF(B447="","",SUMIFS('Keyword Map'!$C$3:$C$1002,'Keyword Map'!$G$3:$G$1002,SUBSTITUTE(SUBSTITUTE(B447,"?","~?"),"*","~*")))</f>
        <v/>
      </c>
      <c r="H447">
        <f>IF(B447="","",IFERROR(ROUND(AVERAGEIFS('Keyword Map'!$P$3:$P$1002,'Keyword Map'!$G$3:$G$1002,SUBSTITUTE(SUBSTITUTE(B447,"?","~?"),"*","~*")),0),""))</f>
        <v/>
      </c>
      <c r="I447">
        <f>IF(B447="","",COUNTIFS('Keyword Map'!$G$3:$G$1002,SUBSTITUTE(SUBSTITUTE(B447,"?","~?"),"*","~*"),'Keyword Map'!$R$3:$R$1002,"Yes"))</f>
        <v/>
      </c>
      <c r="J447">
        <f>IF(B447="","",COUNTIFS('Keyword Map'!$G$3:$G$1002,SUBSTITUTE(SUBSTITUTE(B447,"?","~?"),"*","~*"),'Keyword Map'!$W$3:$W$1002,"Yes"))</f>
        <v/>
      </c>
      <c r="K447">
        <f>IF(B447="","",IF(F447=0,"No primary keyword",IF(F447&gt;Settings!$B$4,"Too many primary keywords",IF(I447+J447&gt;0,"Check flags","OK"))))</f>
        <v/>
      </c>
    </row>
    <row r="448">
      <c r="A448">
        <f>ROW()-2</f>
        <v/>
      </c>
      <c r="B448">
        <f>IFERROR(INDEX('Keyword Map'!$G$3:$G$1002,MATCH(A448,'Keyword Map'!$AA$3:$AA$1002,0)),"")</f>
        <v/>
      </c>
      <c r="C448">
        <f>IF(B448="","",INDEX('Keyword Map'!$I$3:$I$1002,MATCH(A448,'Keyword Map'!$AA$3:$AA$1002,0))&amp;"")</f>
        <v/>
      </c>
      <c r="D448">
        <f>IF(B448="","",INDEX('Keyword Map'!$H$3:$H$1002,MATCH(A448,'Keyword Map'!$AA$3:$AA$1002,0))&amp;"")</f>
        <v/>
      </c>
      <c r="E448">
        <f>IF(B448="","",COUNTIF('Keyword Map'!$G$3:$G$1002,SUBSTITUTE(SUBSTITUTE(B448,"?","~?"),"*","~*")))</f>
        <v/>
      </c>
      <c r="F448">
        <f>IF(B448="","",COUNTIFS('Keyword Map'!$G$3:$G$1002,SUBSTITUTE(SUBSTITUTE(B448,"?","~?"),"*","~*"),'Keyword Map'!$J$3:$J$1002,"Primary"))</f>
        <v/>
      </c>
      <c r="G448">
        <f>IF(B448="","",SUMIFS('Keyword Map'!$C$3:$C$1002,'Keyword Map'!$G$3:$G$1002,SUBSTITUTE(SUBSTITUTE(B448,"?","~?"),"*","~*")))</f>
        <v/>
      </c>
      <c r="H448">
        <f>IF(B448="","",IFERROR(ROUND(AVERAGEIFS('Keyword Map'!$P$3:$P$1002,'Keyword Map'!$G$3:$G$1002,SUBSTITUTE(SUBSTITUTE(B448,"?","~?"),"*","~*")),0),""))</f>
        <v/>
      </c>
      <c r="I448">
        <f>IF(B448="","",COUNTIFS('Keyword Map'!$G$3:$G$1002,SUBSTITUTE(SUBSTITUTE(B448,"?","~?"),"*","~*"),'Keyword Map'!$R$3:$R$1002,"Yes"))</f>
        <v/>
      </c>
      <c r="J448">
        <f>IF(B448="","",COUNTIFS('Keyword Map'!$G$3:$G$1002,SUBSTITUTE(SUBSTITUTE(B448,"?","~?"),"*","~*"),'Keyword Map'!$W$3:$W$1002,"Yes"))</f>
        <v/>
      </c>
      <c r="K448">
        <f>IF(B448="","",IF(F448=0,"No primary keyword",IF(F448&gt;Settings!$B$4,"Too many primary keywords",IF(I448+J448&gt;0,"Check flags","OK"))))</f>
        <v/>
      </c>
    </row>
    <row r="449">
      <c r="A449">
        <f>ROW()-2</f>
        <v/>
      </c>
      <c r="B449">
        <f>IFERROR(INDEX('Keyword Map'!$G$3:$G$1002,MATCH(A449,'Keyword Map'!$AA$3:$AA$1002,0)),"")</f>
        <v/>
      </c>
      <c r="C449">
        <f>IF(B449="","",INDEX('Keyword Map'!$I$3:$I$1002,MATCH(A449,'Keyword Map'!$AA$3:$AA$1002,0))&amp;"")</f>
        <v/>
      </c>
      <c r="D449">
        <f>IF(B449="","",INDEX('Keyword Map'!$H$3:$H$1002,MATCH(A449,'Keyword Map'!$AA$3:$AA$1002,0))&amp;"")</f>
        <v/>
      </c>
      <c r="E449">
        <f>IF(B449="","",COUNTIF('Keyword Map'!$G$3:$G$1002,SUBSTITUTE(SUBSTITUTE(B449,"?","~?"),"*","~*")))</f>
        <v/>
      </c>
      <c r="F449">
        <f>IF(B449="","",COUNTIFS('Keyword Map'!$G$3:$G$1002,SUBSTITUTE(SUBSTITUTE(B449,"?","~?"),"*","~*"),'Keyword Map'!$J$3:$J$1002,"Primary"))</f>
        <v/>
      </c>
      <c r="G449">
        <f>IF(B449="","",SUMIFS('Keyword Map'!$C$3:$C$1002,'Keyword Map'!$G$3:$G$1002,SUBSTITUTE(SUBSTITUTE(B449,"?","~?"),"*","~*")))</f>
        <v/>
      </c>
      <c r="H449">
        <f>IF(B449="","",IFERROR(ROUND(AVERAGEIFS('Keyword Map'!$P$3:$P$1002,'Keyword Map'!$G$3:$G$1002,SUBSTITUTE(SUBSTITUTE(B449,"?","~?"),"*","~*")),0),""))</f>
        <v/>
      </c>
      <c r="I449">
        <f>IF(B449="","",COUNTIFS('Keyword Map'!$G$3:$G$1002,SUBSTITUTE(SUBSTITUTE(B449,"?","~?"),"*","~*"),'Keyword Map'!$R$3:$R$1002,"Yes"))</f>
        <v/>
      </c>
      <c r="J449">
        <f>IF(B449="","",COUNTIFS('Keyword Map'!$G$3:$G$1002,SUBSTITUTE(SUBSTITUTE(B449,"?","~?"),"*","~*"),'Keyword Map'!$W$3:$W$1002,"Yes"))</f>
        <v/>
      </c>
      <c r="K449">
        <f>IF(B449="","",IF(F449=0,"No primary keyword",IF(F449&gt;Settings!$B$4,"Too many primary keywords",IF(I449+J449&gt;0,"Check flags","OK"))))</f>
        <v/>
      </c>
    </row>
    <row r="450">
      <c r="A450">
        <f>ROW()-2</f>
        <v/>
      </c>
      <c r="B450">
        <f>IFERROR(INDEX('Keyword Map'!$G$3:$G$1002,MATCH(A450,'Keyword Map'!$AA$3:$AA$1002,0)),"")</f>
        <v/>
      </c>
      <c r="C450">
        <f>IF(B450="","",INDEX('Keyword Map'!$I$3:$I$1002,MATCH(A450,'Keyword Map'!$AA$3:$AA$1002,0))&amp;"")</f>
        <v/>
      </c>
      <c r="D450">
        <f>IF(B450="","",INDEX('Keyword Map'!$H$3:$H$1002,MATCH(A450,'Keyword Map'!$AA$3:$AA$1002,0))&amp;"")</f>
        <v/>
      </c>
      <c r="E450">
        <f>IF(B450="","",COUNTIF('Keyword Map'!$G$3:$G$1002,SUBSTITUTE(SUBSTITUTE(B450,"?","~?"),"*","~*")))</f>
        <v/>
      </c>
      <c r="F450">
        <f>IF(B450="","",COUNTIFS('Keyword Map'!$G$3:$G$1002,SUBSTITUTE(SUBSTITUTE(B450,"?","~?"),"*","~*"),'Keyword Map'!$J$3:$J$1002,"Primary"))</f>
        <v/>
      </c>
      <c r="G450">
        <f>IF(B450="","",SUMIFS('Keyword Map'!$C$3:$C$1002,'Keyword Map'!$G$3:$G$1002,SUBSTITUTE(SUBSTITUTE(B450,"?","~?"),"*","~*")))</f>
        <v/>
      </c>
      <c r="H450">
        <f>IF(B450="","",IFERROR(ROUND(AVERAGEIFS('Keyword Map'!$P$3:$P$1002,'Keyword Map'!$G$3:$G$1002,SUBSTITUTE(SUBSTITUTE(B450,"?","~?"),"*","~*")),0),""))</f>
        <v/>
      </c>
      <c r="I450">
        <f>IF(B450="","",COUNTIFS('Keyword Map'!$G$3:$G$1002,SUBSTITUTE(SUBSTITUTE(B450,"?","~?"),"*","~*"),'Keyword Map'!$R$3:$R$1002,"Yes"))</f>
        <v/>
      </c>
      <c r="J450">
        <f>IF(B450="","",COUNTIFS('Keyword Map'!$G$3:$G$1002,SUBSTITUTE(SUBSTITUTE(B450,"?","~?"),"*","~*"),'Keyword Map'!$W$3:$W$1002,"Yes"))</f>
        <v/>
      </c>
      <c r="K450">
        <f>IF(B450="","",IF(F450=0,"No primary keyword",IF(F450&gt;Settings!$B$4,"Too many primary keywords",IF(I450+J450&gt;0,"Check flags","OK"))))</f>
        <v/>
      </c>
    </row>
    <row r="451">
      <c r="A451">
        <f>ROW()-2</f>
        <v/>
      </c>
      <c r="B451">
        <f>IFERROR(INDEX('Keyword Map'!$G$3:$G$1002,MATCH(A451,'Keyword Map'!$AA$3:$AA$1002,0)),"")</f>
        <v/>
      </c>
      <c r="C451">
        <f>IF(B451="","",INDEX('Keyword Map'!$I$3:$I$1002,MATCH(A451,'Keyword Map'!$AA$3:$AA$1002,0))&amp;"")</f>
        <v/>
      </c>
      <c r="D451">
        <f>IF(B451="","",INDEX('Keyword Map'!$H$3:$H$1002,MATCH(A451,'Keyword Map'!$AA$3:$AA$1002,0))&amp;"")</f>
        <v/>
      </c>
      <c r="E451">
        <f>IF(B451="","",COUNTIF('Keyword Map'!$G$3:$G$1002,SUBSTITUTE(SUBSTITUTE(B451,"?","~?"),"*","~*")))</f>
        <v/>
      </c>
      <c r="F451">
        <f>IF(B451="","",COUNTIFS('Keyword Map'!$G$3:$G$1002,SUBSTITUTE(SUBSTITUTE(B451,"?","~?"),"*","~*"),'Keyword Map'!$J$3:$J$1002,"Primary"))</f>
        <v/>
      </c>
      <c r="G451">
        <f>IF(B451="","",SUMIFS('Keyword Map'!$C$3:$C$1002,'Keyword Map'!$G$3:$G$1002,SUBSTITUTE(SUBSTITUTE(B451,"?","~?"),"*","~*")))</f>
        <v/>
      </c>
      <c r="H451">
        <f>IF(B451="","",IFERROR(ROUND(AVERAGEIFS('Keyword Map'!$P$3:$P$1002,'Keyword Map'!$G$3:$G$1002,SUBSTITUTE(SUBSTITUTE(B451,"?","~?"),"*","~*")),0),""))</f>
        <v/>
      </c>
      <c r="I451">
        <f>IF(B451="","",COUNTIFS('Keyword Map'!$G$3:$G$1002,SUBSTITUTE(SUBSTITUTE(B451,"?","~?"),"*","~*"),'Keyword Map'!$R$3:$R$1002,"Yes"))</f>
        <v/>
      </c>
      <c r="J451">
        <f>IF(B451="","",COUNTIFS('Keyword Map'!$G$3:$G$1002,SUBSTITUTE(SUBSTITUTE(B451,"?","~?"),"*","~*"),'Keyword Map'!$W$3:$W$1002,"Yes"))</f>
        <v/>
      </c>
      <c r="K451">
        <f>IF(B451="","",IF(F451=0,"No primary keyword",IF(F451&gt;Settings!$B$4,"Too many primary keywords",IF(I451+J451&gt;0,"Check flags","OK"))))</f>
        <v/>
      </c>
    </row>
    <row r="452">
      <c r="A452">
        <f>ROW()-2</f>
        <v/>
      </c>
      <c r="B452">
        <f>IFERROR(INDEX('Keyword Map'!$G$3:$G$1002,MATCH(A452,'Keyword Map'!$AA$3:$AA$1002,0)),"")</f>
        <v/>
      </c>
      <c r="C452">
        <f>IF(B452="","",INDEX('Keyword Map'!$I$3:$I$1002,MATCH(A452,'Keyword Map'!$AA$3:$AA$1002,0))&amp;"")</f>
        <v/>
      </c>
      <c r="D452">
        <f>IF(B452="","",INDEX('Keyword Map'!$H$3:$H$1002,MATCH(A452,'Keyword Map'!$AA$3:$AA$1002,0))&amp;"")</f>
        <v/>
      </c>
      <c r="E452">
        <f>IF(B452="","",COUNTIF('Keyword Map'!$G$3:$G$1002,SUBSTITUTE(SUBSTITUTE(B452,"?","~?"),"*","~*")))</f>
        <v/>
      </c>
      <c r="F452">
        <f>IF(B452="","",COUNTIFS('Keyword Map'!$G$3:$G$1002,SUBSTITUTE(SUBSTITUTE(B452,"?","~?"),"*","~*"),'Keyword Map'!$J$3:$J$1002,"Primary"))</f>
        <v/>
      </c>
      <c r="G452">
        <f>IF(B452="","",SUMIFS('Keyword Map'!$C$3:$C$1002,'Keyword Map'!$G$3:$G$1002,SUBSTITUTE(SUBSTITUTE(B452,"?","~?"),"*","~*")))</f>
        <v/>
      </c>
      <c r="H452">
        <f>IF(B452="","",IFERROR(ROUND(AVERAGEIFS('Keyword Map'!$P$3:$P$1002,'Keyword Map'!$G$3:$G$1002,SUBSTITUTE(SUBSTITUTE(B452,"?","~?"),"*","~*")),0),""))</f>
        <v/>
      </c>
      <c r="I452">
        <f>IF(B452="","",COUNTIFS('Keyword Map'!$G$3:$G$1002,SUBSTITUTE(SUBSTITUTE(B452,"?","~?"),"*","~*"),'Keyword Map'!$R$3:$R$1002,"Yes"))</f>
        <v/>
      </c>
      <c r="J452">
        <f>IF(B452="","",COUNTIFS('Keyword Map'!$G$3:$G$1002,SUBSTITUTE(SUBSTITUTE(B452,"?","~?"),"*","~*"),'Keyword Map'!$W$3:$W$1002,"Yes"))</f>
        <v/>
      </c>
      <c r="K452">
        <f>IF(B452="","",IF(F452=0,"No primary keyword",IF(F452&gt;Settings!$B$4,"Too many primary keywords",IF(I452+J452&gt;0,"Check flags","OK"))))</f>
        <v/>
      </c>
    </row>
    <row r="453">
      <c r="A453">
        <f>ROW()-2</f>
        <v/>
      </c>
      <c r="B453">
        <f>IFERROR(INDEX('Keyword Map'!$G$3:$G$1002,MATCH(A453,'Keyword Map'!$AA$3:$AA$1002,0)),"")</f>
        <v/>
      </c>
      <c r="C453">
        <f>IF(B453="","",INDEX('Keyword Map'!$I$3:$I$1002,MATCH(A453,'Keyword Map'!$AA$3:$AA$1002,0))&amp;"")</f>
        <v/>
      </c>
      <c r="D453">
        <f>IF(B453="","",INDEX('Keyword Map'!$H$3:$H$1002,MATCH(A453,'Keyword Map'!$AA$3:$AA$1002,0))&amp;"")</f>
        <v/>
      </c>
      <c r="E453">
        <f>IF(B453="","",COUNTIF('Keyword Map'!$G$3:$G$1002,SUBSTITUTE(SUBSTITUTE(B453,"?","~?"),"*","~*")))</f>
        <v/>
      </c>
      <c r="F453">
        <f>IF(B453="","",COUNTIFS('Keyword Map'!$G$3:$G$1002,SUBSTITUTE(SUBSTITUTE(B453,"?","~?"),"*","~*"),'Keyword Map'!$J$3:$J$1002,"Primary"))</f>
        <v/>
      </c>
      <c r="G453">
        <f>IF(B453="","",SUMIFS('Keyword Map'!$C$3:$C$1002,'Keyword Map'!$G$3:$G$1002,SUBSTITUTE(SUBSTITUTE(B453,"?","~?"),"*","~*")))</f>
        <v/>
      </c>
      <c r="H453">
        <f>IF(B453="","",IFERROR(ROUND(AVERAGEIFS('Keyword Map'!$P$3:$P$1002,'Keyword Map'!$G$3:$G$1002,SUBSTITUTE(SUBSTITUTE(B453,"?","~?"),"*","~*")),0),""))</f>
        <v/>
      </c>
      <c r="I453">
        <f>IF(B453="","",COUNTIFS('Keyword Map'!$G$3:$G$1002,SUBSTITUTE(SUBSTITUTE(B453,"?","~?"),"*","~*"),'Keyword Map'!$R$3:$R$1002,"Yes"))</f>
        <v/>
      </c>
      <c r="J453">
        <f>IF(B453="","",COUNTIFS('Keyword Map'!$G$3:$G$1002,SUBSTITUTE(SUBSTITUTE(B453,"?","~?"),"*","~*"),'Keyword Map'!$W$3:$W$1002,"Yes"))</f>
        <v/>
      </c>
      <c r="K453">
        <f>IF(B453="","",IF(F453=0,"No primary keyword",IF(F453&gt;Settings!$B$4,"Too many primary keywords",IF(I453+J453&gt;0,"Check flags","OK"))))</f>
        <v/>
      </c>
    </row>
    <row r="454">
      <c r="A454">
        <f>ROW()-2</f>
        <v/>
      </c>
      <c r="B454">
        <f>IFERROR(INDEX('Keyword Map'!$G$3:$G$1002,MATCH(A454,'Keyword Map'!$AA$3:$AA$1002,0)),"")</f>
        <v/>
      </c>
      <c r="C454">
        <f>IF(B454="","",INDEX('Keyword Map'!$I$3:$I$1002,MATCH(A454,'Keyword Map'!$AA$3:$AA$1002,0))&amp;"")</f>
        <v/>
      </c>
      <c r="D454">
        <f>IF(B454="","",INDEX('Keyword Map'!$H$3:$H$1002,MATCH(A454,'Keyword Map'!$AA$3:$AA$1002,0))&amp;"")</f>
        <v/>
      </c>
      <c r="E454">
        <f>IF(B454="","",COUNTIF('Keyword Map'!$G$3:$G$1002,SUBSTITUTE(SUBSTITUTE(B454,"?","~?"),"*","~*")))</f>
        <v/>
      </c>
      <c r="F454">
        <f>IF(B454="","",COUNTIFS('Keyword Map'!$G$3:$G$1002,SUBSTITUTE(SUBSTITUTE(B454,"?","~?"),"*","~*"),'Keyword Map'!$J$3:$J$1002,"Primary"))</f>
        <v/>
      </c>
      <c r="G454">
        <f>IF(B454="","",SUMIFS('Keyword Map'!$C$3:$C$1002,'Keyword Map'!$G$3:$G$1002,SUBSTITUTE(SUBSTITUTE(B454,"?","~?"),"*","~*")))</f>
        <v/>
      </c>
      <c r="H454">
        <f>IF(B454="","",IFERROR(ROUND(AVERAGEIFS('Keyword Map'!$P$3:$P$1002,'Keyword Map'!$G$3:$G$1002,SUBSTITUTE(SUBSTITUTE(B454,"?","~?"),"*","~*")),0),""))</f>
        <v/>
      </c>
      <c r="I454">
        <f>IF(B454="","",COUNTIFS('Keyword Map'!$G$3:$G$1002,SUBSTITUTE(SUBSTITUTE(B454,"?","~?"),"*","~*"),'Keyword Map'!$R$3:$R$1002,"Yes"))</f>
        <v/>
      </c>
      <c r="J454">
        <f>IF(B454="","",COUNTIFS('Keyword Map'!$G$3:$G$1002,SUBSTITUTE(SUBSTITUTE(B454,"?","~?"),"*","~*"),'Keyword Map'!$W$3:$W$1002,"Yes"))</f>
        <v/>
      </c>
      <c r="K454">
        <f>IF(B454="","",IF(F454=0,"No primary keyword",IF(F454&gt;Settings!$B$4,"Too many primary keywords",IF(I454+J454&gt;0,"Check flags","OK"))))</f>
        <v/>
      </c>
    </row>
    <row r="455">
      <c r="A455">
        <f>ROW()-2</f>
        <v/>
      </c>
      <c r="B455">
        <f>IFERROR(INDEX('Keyword Map'!$G$3:$G$1002,MATCH(A455,'Keyword Map'!$AA$3:$AA$1002,0)),"")</f>
        <v/>
      </c>
      <c r="C455">
        <f>IF(B455="","",INDEX('Keyword Map'!$I$3:$I$1002,MATCH(A455,'Keyword Map'!$AA$3:$AA$1002,0))&amp;"")</f>
        <v/>
      </c>
      <c r="D455">
        <f>IF(B455="","",INDEX('Keyword Map'!$H$3:$H$1002,MATCH(A455,'Keyword Map'!$AA$3:$AA$1002,0))&amp;"")</f>
        <v/>
      </c>
      <c r="E455">
        <f>IF(B455="","",COUNTIF('Keyword Map'!$G$3:$G$1002,SUBSTITUTE(SUBSTITUTE(B455,"?","~?"),"*","~*")))</f>
        <v/>
      </c>
      <c r="F455">
        <f>IF(B455="","",COUNTIFS('Keyword Map'!$G$3:$G$1002,SUBSTITUTE(SUBSTITUTE(B455,"?","~?"),"*","~*"),'Keyword Map'!$J$3:$J$1002,"Primary"))</f>
        <v/>
      </c>
      <c r="G455">
        <f>IF(B455="","",SUMIFS('Keyword Map'!$C$3:$C$1002,'Keyword Map'!$G$3:$G$1002,SUBSTITUTE(SUBSTITUTE(B455,"?","~?"),"*","~*")))</f>
        <v/>
      </c>
      <c r="H455">
        <f>IF(B455="","",IFERROR(ROUND(AVERAGEIFS('Keyword Map'!$P$3:$P$1002,'Keyword Map'!$G$3:$G$1002,SUBSTITUTE(SUBSTITUTE(B455,"?","~?"),"*","~*")),0),""))</f>
        <v/>
      </c>
      <c r="I455">
        <f>IF(B455="","",COUNTIFS('Keyword Map'!$G$3:$G$1002,SUBSTITUTE(SUBSTITUTE(B455,"?","~?"),"*","~*"),'Keyword Map'!$R$3:$R$1002,"Yes"))</f>
        <v/>
      </c>
      <c r="J455">
        <f>IF(B455="","",COUNTIFS('Keyword Map'!$G$3:$G$1002,SUBSTITUTE(SUBSTITUTE(B455,"?","~?"),"*","~*"),'Keyword Map'!$W$3:$W$1002,"Yes"))</f>
        <v/>
      </c>
      <c r="K455">
        <f>IF(B455="","",IF(F455=0,"No primary keyword",IF(F455&gt;Settings!$B$4,"Too many primary keywords",IF(I455+J455&gt;0,"Check flags","OK"))))</f>
        <v/>
      </c>
    </row>
    <row r="456">
      <c r="A456">
        <f>ROW()-2</f>
        <v/>
      </c>
      <c r="B456">
        <f>IFERROR(INDEX('Keyword Map'!$G$3:$G$1002,MATCH(A456,'Keyword Map'!$AA$3:$AA$1002,0)),"")</f>
        <v/>
      </c>
      <c r="C456">
        <f>IF(B456="","",INDEX('Keyword Map'!$I$3:$I$1002,MATCH(A456,'Keyword Map'!$AA$3:$AA$1002,0))&amp;"")</f>
        <v/>
      </c>
      <c r="D456">
        <f>IF(B456="","",INDEX('Keyword Map'!$H$3:$H$1002,MATCH(A456,'Keyword Map'!$AA$3:$AA$1002,0))&amp;"")</f>
        <v/>
      </c>
      <c r="E456">
        <f>IF(B456="","",COUNTIF('Keyword Map'!$G$3:$G$1002,SUBSTITUTE(SUBSTITUTE(B456,"?","~?"),"*","~*")))</f>
        <v/>
      </c>
      <c r="F456">
        <f>IF(B456="","",COUNTIFS('Keyword Map'!$G$3:$G$1002,SUBSTITUTE(SUBSTITUTE(B456,"?","~?"),"*","~*"),'Keyword Map'!$J$3:$J$1002,"Primary"))</f>
        <v/>
      </c>
      <c r="G456">
        <f>IF(B456="","",SUMIFS('Keyword Map'!$C$3:$C$1002,'Keyword Map'!$G$3:$G$1002,SUBSTITUTE(SUBSTITUTE(B456,"?","~?"),"*","~*")))</f>
        <v/>
      </c>
      <c r="H456">
        <f>IF(B456="","",IFERROR(ROUND(AVERAGEIFS('Keyword Map'!$P$3:$P$1002,'Keyword Map'!$G$3:$G$1002,SUBSTITUTE(SUBSTITUTE(B456,"?","~?"),"*","~*")),0),""))</f>
        <v/>
      </c>
      <c r="I456">
        <f>IF(B456="","",COUNTIFS('Keyword Map'!$G$3:$G$1002,SUBSTITUTE(SUBSTITUTE(B456,"?","~?"),"*","~*"),'Keyword Map'!$R$3:$R$1002,"Yes"))</f>
        <v/>
      </c>
      <c r="J456">
        <f>IF(B456="","",COUNTIFS('Keyword Map'!$G$3:$G$1002,SUBSTITUTE(SUBSTITUTE(B456,"?","~?"),"*","~*"),'Keyword Map'!$W$3:$W$1002,"Yes"))</f>
        <v/>
      </c>
      <c r="K456">
        <f>IF(B456="","",IF(F456=0,"No primary keyword",IF(F456&gt;Settings!$B$4,"Too many primary keywords",IF(I456+J456&gt;0,"Check flags","OK"))))</f>
        <v/>
      </c>
    </row>
    <row r="457">
      <c r="A457">
        <f>ROW()-2</f>
        <v/>
      </c>
      <c r="B457">
        <f>IFERROR(INDEX('Keyword Map'!$G$3:$G$1002,MATCH(A457,'Keyword Map'!$AA$3:$AA$1002,0)),"")</f>
        <v/>
      </c>
      <c r="C457">
        <f>IF(B457="","",INDEX('Keyword Map'!$I$3:$I$1002,MATCH(A457,'Keyword Map'!$AA$3:$AA$1002,0))&amp;"")</f>
        <v/>
      </c>
      <c r="D457">
        <f>IF(B457="","",INDEX('Keyword Map'!$H$3:$H$1002,MATCH(A457,'Keyword Map'!$AA$3:$AA$1002,0))&amp;"")</f>
        <v/>
      </c>
      <c r="E457">
        <f>IF(B457="","",COUNTIF('Keyword Map'!$G$3:$G$1002,SUBSTITUTE(SUBSTITUTE(B457,"?","~?"),"*","~*")))</f>
        <v/>
      </c>
      <c r="F457">
        <f>IF(B457="","",COUNTIFS('Keyword Map'!$G$3:$G$1002,SUBSTITUTE(SUBSTITUTE(B457,"?","~?"),"*","~*"),'Keyword Map'!$J$3:$J$1002,"Primary"))</f>
        <v/>
      </c>
      <c r="G457">
        <f>IF(B457="","",SUMIFS('Keyword Map'!$C$3:$C$1002,'Keyword Map'!$G$3:$G$1002,SUBSTITUTE(SUBSTITUTE(B457,"?","~?"),"*","~*")))</f>
        <v/>
      </c>
      <c r="H457">
        <f>IF(B457="","",IFERROR(ROUND(AVERAGEIFS('Keyword Map'!$P$3:$P$1002,'Keyword Map'!$G$3:$G$1002,SUBSTITUTE(SUBSTITUTE(B457,"?","~?"),"*","~*")),0),""))</f>
        <v/>
      </c>
      <c r="I457">
        <f>IF(B457="","",COUNTIFS('Keyword Map'!$G$3:$G$1002,SUBSTITUTE(SUBSTITUTE(B457,"?","~?"),"*","~*"),'Keyword Map'!$R$3:$R$1002,"Yes"))</f>
        <v/>
      </c>
      <c r="J457">
        <f>IF(B457="","",COUNTIFS('Keyword Map'!$G$3:$G$1002,SUBSTITUTE(SUBSTITUTE(B457,"?","~?"),"*","~*"),'Keyword Map'!$W$3:$W$1002,"Yes"))</f>
        <v/>
      </c>
      <c r="K457">
        <f>IF(B457="","",IF(F457=0,"No primary keyword",IF(F457&gt;Settings!$B$4,"Too many primary keywords",IF(I457+J457&gt;0,"Check flags","OK"))))</f>
        <v/>
      </c>
    </row>
    <row r="458">
      <c r="A458">
        <f>ROW()-2</f>
        <v/>
      </c>
      <c r="B458">
        <f>IFERROR(INDEX('Keyword Map'!$G$3:$G$1002,MATCH(A458,'Keyword Map'!$AA$3:$AA$1002,0)),"")</f>
        <v/>
      </c>
      <c r="C458">
        <f>IF(B458="","",INDEX('Keyword Map'!$I$3:$I$1002,MATCH(A458,'Keyword Map'!$AA$3:$AA$1002,0))&amp;"")</f>
        <v/>
      </c>
      <c r="D458">
        <f>IF(B458="","",INDEX('Keyword Map'!$H$3:$H$1002,MATCH(A458,'Keyword Map'!$AA$3:$AA$1002,0))&amp;"")</f>
        <v/>
      </c>
      <c r="E458">
        <f>IF(B458="","",COUNTIF('Keyword Map'!$G$3:$G$1002,SUBSTITUTE(SUBSTITUTE(B458,"?","~?"),"*","~*")))</f>
        <v/>
      </c>
      <c r="F458">
        <f>IF(B458="","",COUNTIFS('Keyword Map'!$G$3:$G$1002,SUBSTITUTE(SUBSTITUTE(B458,"?","~?"),"*","~*"),'Keyword Map'!$J$3:$J$1002,"Primary"))</f>
        <v/>
      </c>
      <c r="G458">
        <f>IF(B458="","",SUMIFS('Keyword Map'!$C$3:$C$1002,'Keyword Map'!$G$3:$G$1002,SUBSTITUTE(SUBSTITUTE(B458,"?","~?"),"*","~*")))</f>
        <v/>
      </c>
      <c r="H458">
        <f>IF(B458="","",IFERROR(ROUND(AVERAGEIFS('Keyword Map'!$P$3:$P$1002,'Keyword Map'!$G$3:$G$1002,SUBSTITUTE(SUBSTITUTE(B458,"?","~?"),"*","~*")),0),""))</f>
        <v/>
      </c>
      <c r="I458">
        <f>IF(B458="","",COUNTIFS('Keyword Map'!$G$3:$G$1002,SUBSTITUTE(SUBSTITUTE(B458,"?","~?"),"*","~*"),'Keyword Map'!$R$3:$R$1002,"Yes"))</f>
        <v/>
      </c>
      <c r="J458">
        <f>IF(B458="","",COUNTIFS('Keyword Map'!$G$3:$G$1002,SUBSTITUTE(SUBSTITUTE(B458,"?","~?"),"*","~*"),'Keyword Map'!$W$3:$W$1002,"Yes"))</f>
        <v/>
      </c>
      <c r="K458">
        <f>IF(B458="","",IF(F458=0,"No primary keyword",IF(F458&gt;Settings!$B$4,"Too many primary keywords",IF(I458+J458&gt;0,"Check flags","OK"))))</f>
        <v/>
      </c>
    </row>
    <row r="459">
      <c r="A459">
        <f>ROW()-2</f>
        <v/>
      </c>
      <c r="B459">
        <f>IFERROR(INDEX('Keyword Map'!$G$3:$G$1002,MATCH(A459,'Keyword Map'!$AA$3:$AA$1002,0)),"")</f>
        <v/>
      </c>
      <c r="C459">
        <f>IF(B459="","",INDEX('Keyword Map'!$I$3:$I$1002,MATCH(A459,'Keyword Map'!$AA$3:$AA$1002,0))&amp;"")</f>
        <v/>
      </c>
      <c r="D459">
        <f>IF(B459="","",INDEX('Keyword Map'!$H$3:$H$1002,MATCH(A459,'Keyword Map'!$AA$3:$AA$1002,0))&amp;"")</f>
        <v/>
      </c>
      <c r="E459">
        <f>IF(B459="","",COUNTIF('Keyword Map'!$G$3:$G$1002,SUBSTITUTE(SUBSTITUTE(B459,"?","~?"),"*","~*")))</f>
        <v/>
      </c>
      <c r="F459">
        <f>IF(B459="","",COUNTIFS('Keyword Map'!$G$3:$G$1002,SUBSTITUTE(SUBSTITUTE(B459,"?","~?"),"*","~*"),'Keyword Map'!$J$3:$J$1002,"Primary"))</f>
        <v/>
      </c>
      <c r="G459">
        <f>IF(B459="","",SUMIFS('Keyword Map'!$C$3:$C$1002,'Keyword Map'!$G$3:$G$1002,SUBSTITUTE(SUBSTITUTE(B459,"?","~?"),"*","~*")))</f>
        <v/>
      </c>
      <c r="H459">
        <f>IF(B459="","",IFERROR(ROUND(AVERAGEIFS('Keyword Map'!$P$3:$P$1002,'Keyword Map'!$G$3:$G$1002,SUBSTITUTE(SUBSTITUTE(B459,"?","~?"),"*","~*")),0),""))</f>
        <v/>
      </c>
      <c r="I459">
        <f>IF(B459="","",COUNTIFS('Keyword Map'!$G$3:$G$1002,SUBSTITUTE(SUBSTITUTE(B459,"?","~?"),"*","~*"),'Keyword Map'!$R$3:$R$1002,"Yes"))</f>
        <v/>
      </c>
      <c r="J459">
        <f>IF(B459="","",COUNTIFS('Keyword Map'!$G$3:$G$1002,SUBSTITUTE(SUBSTITUTE(B459,"?","~?"),"*","~*"),'Keyword Map'!$W$3:$W$1002,"Yes"))</f>
        <v/>
      </c>
      <c r="K459">
        <f>IF(B459="","",IF(F459=0,"No primary keyword",IF(F459&gt;Settings!$B$4,"Too many primary keywords",IF(I459+J459&gt;0,"Check flags","OK"))))</f>
        <v/>
      </c>
    </row>
    <row r="460">
      <c r="A460">
        <f>ROW()-2</f>
        <v/>
      </c>
      <c r="B460">
        <f>IFERROR(INDEX('Keyword Map'!$G$3:$G$1002,MATCH(A460,'Keyword Map'!$AA$3:$AA$1002,0)),"")</f>
        <v/>
      </c>
      <c r="C460">
        <f>IF(B460="","",INDEX('Keyword Map'!$I$3:$I$1002,MATCH(A460,'Keyword Map'!$AA$3:$AA$1002,0))&amp;"")</f>
        <v/>
      </c>
      <c r="D460">
        <f>IF(B460="","",INDEX('Keyword Map'!$H$3:$H$1002,MATCH(A460,'Keyword Map'!$AA$3:$AA$1002,0))&amp;"")</f>
        <v/>
      </c>
      <c r="E460">
        <f>IF(B460="","",COUNTIF('Keyword Map'!$G$3:$G$1002,SUBSTITUTE(SUBSTITUTE(B460,"?","~?"),"*","~*")))</f>
        <v/>
      </c>
      <c r="F460">
        <f>IF(B460="","",COUNTIFS('Keyword Map'!$G$3:$G$1002,SUBSTITUTE(SUBSTITUTE(B460,"?","~?"),"*","~*"),'Keyword Map'!$J$3:$J$1002,"Primary"))</f>
        <v/>
      </c>
      <c r="G460">
        <f>IF(B460="","",SUMIFS('Keyword Map'!$C$3:$C$1002,'Keyword Map'!$G$3:$G$1002,SUBSTITUTE(SUBSTITUTE(B460,"?","~?"),"*","~*")))</f>
        <v/>
      </c>
      <c r="H460">
        <f>IF(B460="","",IFERROR(ROUND(AVERAGEIFS('Keyword Map'!$P$3:$P$1002,'Keyword Map'!$G$3:$G$1002,SUBSTITUTE(SUBSTITUTE(B460,"?","~?"),"*","~*")),0),""))</f>
        <v/>
      </c>
      <c r="I460">
        <f>IF(B460="","",COUNTIFS('Keyword Map'!$G$3:$G$1002,SUBSTITUTE(SUBSTITUTE(B460,"?","~?"),"*","~*"),'Keyword Map'!$R$3:$R$1002,"Yes"))</f>
        <v/>
      </c>
      <c r="J460">
        <f>IF(B460="","",COUNTIFS('Keyword Map'!$G$3:$G$1002,SUBSTITUTE(SUBSTITUTE(B460,"?","~?"),"*","~*"),'Keyword Map'!$W$3:$W$1002,"Yes"))</f>
        <v/>
      </c>
      <c r="K460">
        <f>IF(B460="","",IF(F460=0,"No primary keyword",IF(F460&gt;Settings!$B$4,"Too many primary keywords",IF(I460+J460&gt;0,"Check flags","OK"))))</f>
        <v/>
      </c>
    </row>
    <row r="461">
      <c r="A461">
        <f>ROW()-2</f>
        <v/>
      </c>
      <c r="B461">
        <f>IFERROR(INDEX('Keyword Map'!$G$3:$G$1002,MATCH(A461,'Keyword Map'!$AA$3:$AA$1002,0)),"")</f>
        <v/>
      </c>
      <c r="C461">
        <f>IF(B461="","",INDEX('Keyword Map'!$I$3:$I$1002,MATCH(A461,'Keyword Map'!$AA$3:$AA$1002,0))&amp;"")</f>
        <v/>
      </c>
      <c r="D461">
        <f>IF(B461="","",INDEX('Keyword Map'!$H$3:$H$1002,MATCH(A461,'Keyword Map'!$AA$3:$AA$1002,0))&amp;"")</f>
        <v/>
      </c>
      <c r="E461">
        <f>IF(B461="","",COUNTIF('Keyword Map'!$G$3:$G$1002,SUBSTITUTE(SUBSTITUTE(B461,"?","~?"),"*","~*")))</f>
        <v/>
      </c>
      <c r="F461">
        <f>IF(B461="","",COUNTIFS('Keyword Map'!$G$3:$G$1002,SUBSTITUTE(SUBSTITUTE(B461,"?","~?"),"*","~*"),'Keyword Map'!$J$3:$J$1002,"Primary"))</f>
        <v/>
      </c>
      <c r="G461">
        <f>IF(B461="","",SUMIFS('Keyword Map'!$C$3:$C$1002,'Keyword Map'!$G$3:$G$1002,SUBSTITUTE(SUBSTITUTE(B461,"?","~?"),"*","~*")))</f>
        <v/>
      </c>
      <c r="H461">
        <f>IF(B461="","",IFERROR(ROUND(AVERAGEIFS('Keyword Map'!$P$3:$P$1002,'Keyword Map'!$G$3:$G$1002,SUBSTITUTE(SUBSTITUTE(B461,"?","~?"),"*","~*")),0),""))</f>
        <v/>
      </c>
      <c r="I461">
        <f>IF(B461="","",COUNTIFS('Keyword Map'!$G$3:$G$1002,SUBSTITUTE(SUBSTITUTE(B461,"?","~?"),"*","~*"),'Keyword Map'!$R$3:$R$1002,"Yes"))</f>
        <v/>
      </c>
      <c r="J461">
        <f>IF(B461="","",COUNTIFS('Keyword Map'!$G$3:$G$1002,SUBSTITUTE(SUBSTITUTE(B461,"?","~?"),"*","~*"),'Keyword Map'!$W$3:$W$1002,"Yes"))</f>
        <v/>
      </c>
      <c r="K461">
        <f>IF(B461="","",IF(F461=0,"No primary keyword",IF(F461&gt;Settings!$B$4,"Too many primary keywords",IF(I461+J461&gt;0,"Check flags","OK"))))</f>
        <v/>
      </c>
    </row>
    <row r="462">
      <c r="A462">
        <f>ROW()-2</f>
        <v/>
      </c>
      <c r="B462">
        <f>IFERROR(INDEX('Keyword Map'!$G$3:$G$1002,MATCH(A462,'Keyword Map'!$AA$3:$AA$1002,0)),"")</f>
        <v/>
      </c>
      <c r="C462">
        <f>IF(B462="","",INDEX('Keyword Map'!$I$3:$I$1002,MATCH(A462,'Keyword Map'!$AA$3:$AA$1002,0))&amp;"")</f>
        <v/>
      </c>
      <c r="D462">
        <f>IF(B462="","",INDEX('Keyword Map'!$H$3:$H$1002,MATCH(A462,'Keyword Map'!$AA$3:$AA$1002,0))&amp;"")</f>
        <v/>
      </c>
      <c r="E462">
        <f>IF(B462="","",COUNTIF('Keyword Map'!$G$3:$G$1002,SUBSTITUTE(SUBSTITUTE(B462,"?","~?"),"*","~*")))</f>
        <v/>
      </c>
      <c r="F462">
        <f>IF(B462="","",COUNTIFS('Keyword Map'!$G$3:$G$1002,SUBSTITUTE(SUBSTITUTE(B462,"?","~?"),"*","~*"),'Keyword Map'!$J$3:$J$1002,"Primary"))</f>
        <v/>
      </c>
      <c r="G462">
        <f>IF(B462="","",SUMIFS('Keyword Map'!$C$3:$C$1002,'Keyword Map'!$G$3:$G$1002,SUBSTITUTE(SUBSTITUTE(B462,"?","~?"),"*","~*")))</f>
        <v/>
      </c>
      <c r="H462">
        <f>IF(B462="","",IFERROR(ROUND(AVERAGEIFS('Keyword Map'!$P$3:$P$1002,'Keyword Map'!$G$3:$G$1002,SUBSTITUTE(SUBSTITUTE(B462,"?","~?"),"*","~*")),0),""))</f>
        <v/>
      </c>
      <c r="I462">
        <f>IF(B462="","",COUNTIFS('Keyword Map'!$G$3:$G$1002,SUBSTITUTE(SUBSTITUTE(B462,"?","~?"),"*","~*"),'Keyword Map'!$R$3:$R$1002,"Yes"))</f>
        <v/>
      </c>
      <c r="J462">
        <f>IF(B462="","",COUNTIFS('Keyword Map'!$G$3:$G$1002,SUBSTITUTE(SUBSTITUTE(B462,"?","~?"),"*","~*"),'Keyword Map'!$W$3:$W$1002,"Yes"))</f>
        <v/>
      </c>
      <c r="K462">
        <f>IF(B462="","",IF(F462=0,"No primary keyword",IF(F462&gt;Settings!$B$4,"Too many primary keywords",IF(I462+J462&gt;0,"Check flags","OK"))))</f>
        <v/>
      </c>
    </row>
    <row r="463">
      <c r="A463">
        <f>ROW()-2</f>
        <v/>
      </c>
      <c r="B463">
        <f>IFERROR(INDEX('Keyword Map'!$G$3:$G$1002,MATCH(A463,'Keyword Map'!$AA$3:$AA$1002,0)),"")</f>
        <v/>
      </c>
      <c r="C463">
        <f>IF(B463="","",INDEX('Keyword Map'!$I$3:$I$1002,MATCH(A463,'Keyword Map'!$AA$3:$AA$1002,0))&amp;"")</f>
        <v/>
      </c>
      <c r="D463">
        <f>IF(B463="","",INDEX('Keyword Map'!$H$3:$H$1002,MATCH(A463,'Keyword Map'!$AA$3:$AA$1002,0))&amp;"")</f>
        <v/>
      </c>
      <c r="E463">
        <f>IF(B463="","",COUNTIF('Keyword Map'!$G$3:$G$1002,SUBSTITUTE(SUBSTITUTE(B463,"?","~?"),"*","~*")))</f>
        <v/>
      </c>
      <c r="F463">
        <f>IF(B463="","",COUNTIFS('Keyword Map'!$G$3:$G$1002,SUBSTITUTE(SUBSTITUTE(B463,"?","~?"),"*","~*"),'Keyword Map'!$J$3:$J$1002,"Primary"))</f>
        <v/>
      </c>
      <c r="G463">
        <f>IF(B463="","",SUMIFS('Keyword Map'!$C$3:$C$1002,'Keyword Map'!$G$3:$G$1002,SUBSTITUTE(SUBSTITUTE(B463,"?","~?"),"*","~*")))</f>
        <v/>
      </c>
      <c r="H463">
        <f>IF(B463="","",IFERROR(ROUND(AVERAGEIFS('Keyword Map'!$P$3:$P$1002,'Keyword Map'!$G$3:$G$1002,SUBSTITUTE(SUBSTITUTE(B463,"?","~?"),"*","~*")),0),""))</f>
        <v/>
      </c>
      <c r="I463">
        <f>IF(B463="","",COUNTIFS('Keyword Map'!$G$3:$G$1002,SUBSTITUTE(SUBSTITUTE(B463,"?","~?"),"*","~*"),'Keyword Map'!$R$3:$R$1002,"Yes"))</f>
        <v/>
      </c>
      <c r="J463">
        <f>IF(B463="","",COUNTIFS('Keyword Map'!$G$3:$G$1002,SUBSTITUTE(SUBSTITUTE(B463,"?","~?"),"*","~*"),'Keyword Map'!$W$3:$W$1002,"Yes"))</f>
        <v/>
      </c>
      <c r="K463">
        <f>IF(B463="","",IF(F463=0,"No primary keyword",IF(F463&gt;Settings!$B$4,"Too many primary keywords",IF(I463+J463&gt;0,"Check flags","OK"))))</f>
        <v/>
      </c>
    </row>
    <row r="464">
      <c r="A464">
        <f>ROW()-2</f>
        <v/>
      </c>
      <c r="B464">
        <f>IFERROR(INDEX('Keyword Map'!$G$3:$G$1002,MATCH(A464,'Keyword Map'!$AA$3:$AA$1002,0)),"")</f>
        <v/>
      </c>
      <c r="C464">
        <f>IF(B464="","",INDEX('Keyword Map'!$I$3:$I$1002,MATCH(A464,'Keyword Map'!$AA$3:$AA$1002,0))&amp;"")</f>
        <v/>
      </c>
      <c r="D464">
        <f>IF(B464="","",INDEX('Keyword Map'!$H$3:$H$1002,MATCH(A464,'Keyword Map'!$AA$3:$AA$1002,0))&amp;"")</f>
        <v/>
      </c>
      <c r="E464">
        <f>IF(B464="","",COUNTIF('Keyword Map'!$G$3:$G$1002,SUBSTITUTE(SUBSTITUTE(B464,"?","~?"),"*","~*")))</f>
        <v/>
      </c>
      <c r="F464">
        <f>IF(B464="","",COUNTIFS('Keyword Map'!$G$3:$G$1002,SUBSTITUTE(SUBSTITUTE(B464,"?","~?"),"*","~*"),'Keyword Map'!$J$3:$J$1002,"Primary"))</f>
        <v/>
      </c>
      <c r="G464">
        <f>IF(B464="","",SUMIFS('Keyword Map'!$C$3:$C$1002,'Keyword Map'!$G$3:$G$1002,SUBSTITUTE(SUBSTITUTE(B464,"?","~?"),"*","~*")))</f>
        <v/>
      </c>
      <c r="H464">
        <f>IF(B464="","",IFERROR(ROUND(AVERAGEIFS('Keyword Map'!$P$3:$P$1002,'Keyword Map'!$G$3:$G$1002,SUBSTITUTE(SUBSTITUTE(B464,"?","~?"),"*","~*")),0),""))</f>
        <v/>
      </c>
      <c r="I464">
        <f>IF(B464="","",COUNTIFS('Keyword Map'!$G$3:$G$1002,SUBSTITUTE(SUBSTITUTE(B464,"?","~?"),"*","~*"),'Keyword Map'!$R$3:$R$1002,"Yes"))</f>
        <v/>
      </c>
      <c r="J464">
        <f>IF(B464="","",COUNTIFS('Keyword Map'!$G$3:$G$1002,SUBSTITUTE(SUBSTITUTE(B464,"?","~?"),"*","~*"),'Keyword Map'!$W$3:$W$1002,"Yes"))</f>
        <v/>
      </c>
      <c r="K464">
        <f>IF(B464="","",IF(F464=0,"No primary keyword",IF(F464&gt;Settings!$B$4,"Too many primary keywords",IF(I464+J464&gt;0,"Check flags","OK"))))</f>
        <v/>
      </c>
    </row>
    <row r="465">
      <c r="A465">
        <f>ROW()-2</f>
        <v/>
      </c>
      <c r="B465">
        <f>IFERROR(INDEX('Keyword Map'!$G$3:$G$1002,MATCH(A465,'Keyword Map'!$AA$3:$AA$1002,0)),"")</f>
        <v/>
      </c>
      <c r="C465">
        <f>IF(B465="","",INDEX('Keyword Map'!$I$3:$I$1002,MATCH(A465,'Keyword Map'!$AA$3:$AA$1002,0))&amp;"")</f>
        <v/>
      </c>
      <c r="D465">
        <f>IF(B465="","",INDEX('Keyword Map'!$H$3:$H$1002,MATCH(A465,'Keyword Map'!$AA$3:$AA$1002,0))&amp;"")</f>
        <v/>
      </c>
      <c r="E465">
        <f>IF(B465="","",COUNTIF('Keyword Map'!$G$3:$G$1002,SUBSTITUTE(SUBSTITUTE(B465,"?","~?"),"*","~*")))</f>
        <v/>
      </c>
      <c r="F465">
        <f>IF(B465="","",COUNTIFS('Keyword Map'!$G$3:$G$1002,SUBSTITUTE(SUBSTITUTE(B465,"?","~?"),"*","~*"),'Keyword Map'!$J$3:$J$1002,"Primary"))</f>
        <v/>
      </c>
      <c r="G465">
        <f>IF(B465="","",SUMIFS('Keyword Map'!$C$3:$C$1002,'Keyword Map'!$G$3:$G$1002,SUBSTITUTE(SUBSTITUTE(B465,"?","~?"),"*","~*")))</f>
        <v/>
      </c>
      <c r="H465">
        <f>IF(B465="","",IFERROR(ROUND(AVERAGEIFS('Keyword Map'!$P$3:$P$1002,'Keyword Map'!$G$3:$G$1002,SUBSTITUTE(SUBSTITUTE(B465,"?","~?"),"*","~*")),0),""))</f>
        <v/>
      </c>
      <c r="I465">
        <f>IF(B465="","",COUNTIFS('Keyword Map'!$G$3:$G$1002,SUBSTITUTE(SUBSTITUTE(B465,"?","~?"),"*","~*"),'Keyword Map'!$R$3:$R$1002,"Yes"))</f>
        <v/>
      </c>
      <c r="J465">
        <f>IF(B465="","",COUNTIFS('Keyword Map'!$G$3:$G$1002,SUBSTITUTE(SUBSTITUTE(B465,"?","~?"),"*","~*"),'Keyword Map'!$W$3:$W$1002,"Yes"))</f>
        <v/>
      </c>
      <c r="K465">
        <f>IF(B465="","",IF(F465=0,"No primary keyword",IF(F465&gt;Settings!$B$4,"Too many primary keywords",IF(I465+J465&gt;0,"Check flags","OK"))))</f>
        <v/>
      </c>
    </row>
    <row r="466">
      <c r="A466">
        <f>ROW()-2</f>
        <v/>
      </c>
      <c r="B466">
        <f>IFERROR(INDEX('Keyword Map'!$G$3:$G$1002,MATCH(A466,'Keyword Map'!$AA$3:$AA$1002,0)),"")</f>
        <v/>
      </c>
      <c r="C466">
        <f>IF(B466="","",INDEX('Keyword Map'!$I$3:$I$1002,MATCH(A466,'Keyword Map'!$AA$3:$AA$1002,0))&amp;"")</f>
        <v/>
      </c>
      <c r="D466">
        <f>IF(B466="","",INDEX('Keyword Map'!$H$3:$H$1002,MATCH(A466,'Keyword Map'!$AA$3:$AA$1002,0))&amp;"")</f>
        <v/>
      </c>
      <c r="E466">
        <f>IF(B466="","",COUNTIF('Keyword Map'!$G$3:$G$1002,SUBSTITUTE(SUBSTITUTE(B466,"?","~?"),"*","~*")))</f>
        <v/>
      </c>
      <c r="F466">
        <f>IF(B466="","",COUNTIFS('Keyword Map'!$G$3:$G$1002,SUBSTITUTE(SUBSTITUTE(B466,"?","~?"),"*","~*"),'Keyword Map'!$J$3:$J$1002,"Primary"))</f>
        <v/>
      </c>
      <c r="G466">
        <f>IF(B466="","",SUMIFS('Keyword Map'!$C$3:$C$1002,'Keyword Map'!$G$3:$G$1002,SUBSTITUTE(SUBSTITUTE(B466,"?","~?"),"*","~*")))</f>
        <v/>
      </c>
      <c r="H466">
        <f>IF(B466="","",IFERROR(ROUND(AVERAGEIFS('Keyword Map'!$P$3:$P$1002,'Keyword Map'!$G$3:$G$1002,SUBSTITUTE(SUBSTITUTE(B466,"?","~?"),"*","~*")),0),""))</f>
        <v/>
      </c>
      <c r="I466">
        <f>IF(B466="","",COUNTIFS('Keyword Map'!$G$3:$G$1002,SUBSTITUTE(SUBSTITUTE(B466,"?","~?"),"*","~*"),'Keyword Map'!$R$3:$R$1002,"Yes"))</f>
        <v/>
      </c>
      <c r="J466">
        <f>IF(B466="","",COUNTIFS('Keyword Map'!$G$3:$G$1002,SUBSTITUTE(SUBSTITUTE(B466,"?","~?"),"*","~*"),'Keyword Map'!$W$3:$W$1002,"Yes"))</f>
        <v/>
      </c>
      <c r="K466">
        <f>IF(B466="","",IF(F466=0,"No primary keyword",IF(F466&gt;Settings!$B$4,"Too many primary keywords",IF(I466+J466&gt;0,"Check flags","OK"))))</f>
        <v/>
      </c>
    </row>
    <row r="467">
      <c r="A467">
        <f>ROW()-2</f>
        <v/>
      </c>
      <c r="B467">
        <f>IFERROR(INDEX('Keyword Map'!$G$3:$G$1002,MATCH(A467,'Keyword Map'!$AA$3:$AA$1002,0)),"")</f>
        <v/>
      </c>
      <c r="C467">
        <f>IF(B467="","",INDEX('Keyword Map'!$I$3:$I$1002,MATCH(A467,'Keyword Map'!$AA$3:$AA$1002,0))&amp;"")</f>
        <v/>
      </c>
      <c r="D467">
        <f>IF(B467="","",INDEX('Keyword Map'!$H$3:$H$1002,MATCH(A467,'Keyword Map'!$AA$3:$AA$1002,0))&amp;"")</f>
        <v/>
      </c>
      <c r="E467">
        <f>IF(B467="","",COUNTIF('Keyword Map'!$G$3:$G$1002,SUBSTITUTE(SUBSTITUTE(B467,"?","~?"),"*","~*")))</f>
        <v/>
      </c>
      <c r="F467">
        <f>IF(B467="","",COUNTIFS('Keyword Map'!$G$3:$G$1002,SUBSTITUTE(SUBSTITUTE(B467,"?","~?"),"*","~*"),'Keyword Map'!$J$3:$J$1002,"Primary"))</f>
        <v/>
      </c>
      <c r="G467">
        <f>IF(B467="","",SUMIFS('Keyword Map'!$C$3:$C$1002,'Keyword Map'!$G$3:$G$1002,SUBSTITUTE(SUBSTITUTE(B467,"?","~?"),"*","~*")))</f>
        <v/>
      </c>
      <c r="H467">
        <f>IF(B467="","",IFERROR(ROUND(AVERAGEIFS('Keyword Map'!$P$3:$P$1002,'Keyword Map'!$G$3:$G$1002,SUBSTITUTE(SUBSTITUTE(B467,"?","~?"),"*","~*")),0),""))</f>
        <v/>
      </c>
      <c r="I467">
        <f>IF(B467="","",COUNTIFS('Keyword Map'!$G$3:$G$1002,SUBSTITUTE(SUBSTITUTE(B467,"?","~?"),"*","~*"),'Keyword Map'!$R$3:$R$1002,"Yes"))</f>
        <v/>
      </c>
      <c r="J467">
        <f>IF(B467="","",COUNTIFS('Keyword Map'!$G$3:$G$1002,SUBSTITUTE(SUBSTITUTE(B467,"?","~?"),"*","~*"),'Keyword Map'!$W$3:$W$1002,"Yes"))</f>
        <v/>
      </c>
      <c r="K467">
        <f>IF(B467="","",IF(F467=0,"No primary keyword",IF(F467&gt;Settings!$B$4,"Too many primary keywords",IF(I467+J467&gt;0,"Check flags","OK"))))</f>
        <v/>
      </c>
    </row>
    <row r="468">
      <c r="A468">
        <f>ROW()-2</f>
        <v/>
      </c>
      <c r="B468">
        <f>IFERROR(INDEX('Keyword Map'!$G$3:$G$1002,MATCH(A468,'Keyword Map'!$AA$3:$AA$1002,0)),"")</f>
        <v/>
      </c>
      <c r="C468">
        <f>IF(B468="","",INDEX('Keyword Map'!$I$3:$I$1002,MATCH(A468,'Keyword Map'!$AA$3:$AA$1002,0))&amp;"")</f>
        <v/>
      </c>
      <c r="D468">
        <f>IF(B468="","",INDEX('Keyword Map'!$H$3:$H$1002,MATCH(A468,'Keyword Map'!$AA$3:$AA$1002,0))&amp;"")</f>
        <v/>
      </c>
      <c r="E468">
        <f>IF(B468="","",COUNTIF('Keyword Map'!$G$3:$G$1002,SUBSTITUTE(SUBSTITUTE(B468,"?","~?"),"*","~*")))</f>
        <v/>
      </c>
      <c r="F468">
        <f>IF(B468="","",COUNTIFS('Keyword Map'!$G$3:$G$1002,SUBSTITUTE(SUBSTITUTE(B468,"?","~?"),"*","~*"),'Keyword Map'!$J$3:$J$1002,"Primary"))</f>
        <v/>
      </c>
      <c r="G468">
        <f>IF(B468="","",SUMIFS('Keyword Map'!$C$3:$C$1002,'Keyword Map'!$G$3:$G$1002,SUBSTITUTE(SUBSTITUTE(B468,"?","~?"),"*","~*")))</f>
        <v/>
      </c>
      <c r="H468">
        <f>IF(B468="","",IFERROR(ROUND(AVERAGEIFS('Keyword Map'!$P$3:$P$1002,'Keyword Map'!$G$3:$G$1002,SUBSTITUTE(SUBSTITUTE(B468,"?","~?"),"*","~*")),0),""))</f>
        <v/>
      </c>
      <c r="I468">
        <f>IF(B468="","",COUNTIFS('Keyword Map'!$G$3:$G$1002,SUBSTITUTE(SUBSTITUTE(B468,"?","~?"),"*","~*"),'Keyword Map'!$R$3:$R$1002,"Yes"))</f>
        <v/>
      </c>
      <c r="J468">
        <f>IF(B468="","",COUNTIFS('Keyword Map'!$G$3:$G$1002,SUBSTITUTE(SUBSTITUTE(B468,"?","~?"),"*","~*"),'Keyword Map'!$W$3:$W$1002,"Yes"))</f>
        <v/>
      </c>
      <c r="K468">
        <f>IF(B468="","",IF(F468=0,"No primary keyword",IF(F468&gt;Settings!$B$4,"Too many primary keywords",IF(I468+J468&gt;0,"Check flags","OK"))))</f>
        <v/>
      </c>
    </row>
    <row r="469">
      <c r="A469">
        <f>ROW()-2</f>
        <v/>
      </c>
      <c r="B469">
        <f>IFERROR(INDEX('Keyword Map'!$G$3:$G$1002,MATCH(A469,'Keyword Map'!$AA$3:$AA$1002,0)),"")</f>
        <v/>
      </c>
      <c r="C469">
        <f>IF(B469="","",INDEX('Keyword Map'!$I$3:$I$1002,MATCH(A469,'Keyword Map'!$AA$3:$AA$1002,0))&amp;"")</f>
        <v/>
      </c>
      <c r="D469">
        <f>IF(B469="","",INDEX('Keyword Map'!$H$3:$H$1002,MATCH(A469,'Keyword Map'!$AA$3:$AA$1002,0))&amp;"")</f>
        <v/>
      </c>
      <c r="E469">
        <f>IF(B469="","",COUNTIF('Keyword Map'!$G$3:$G$1002,SUBSTITUTE(SUBSTITUTE(B469,"?","~?"),"*","~*")))</f>
        <v/>
      </c>
      <c r="F469">
        <f>IF(B469="","",COUNTIFS('Keyword Map'!$G$3:$G$1002,SUBSTITUTE(SUBSTITUTE(B469,"?","~?"),"*","~*"),'Keyword Map'!$J$3:$J$1002,"Primary"))</f>
        <v/>
      </c>
      <c r="G469">
        <f>IF(B469="","",SUMIFS('Keyword Map'!$C$3:$C$1002,'Keyword Map'!$G$3:$G$1002,SUBSTITUTE(SUBSTITUTE(B469,"?","~?"),"*","~*")))</f>
        <v/>
      </c>
      <c r="H469">
        <f>IF(B469="","",IFERROR(ROUND(AVERAGEIFS('Keyword Map'!$P$3:$P$1002,'Keyword Map'!$G$3:$G$1002,SUBSTITUTE(SUBSTITUTE(B469,"?","~?"),"*","~*")),0),""))</f>
        <v/>
      </c>
      <c r="I469">
        <f>IF(B469="","",COUNTIFS('Keyword Map'!$G$3:$G$1002,SUBSTITUTE(SUBSTITUTE(B469,"?","~?"),"*","~*"),'Keyword Map'!$R$3:$R$1002,"Yes"))</f>
        <v/>
      </c>
      <c r="J469">
        <f>IF(B469="","",COUNTIFS('Keyword Map'!$G$3:$G$1002,SUBSTITUTE(SUBSTITUTE(B469,"?","~?"),"*","~*"),'Keyword Map'!$W$3:$W$1002,"Yes"))</f>
        <v/>
      </c>
      <c r="K469">
        <f>IF(B469="","",IF(F469=0,"No primary keyword",IF(F469&gt;Settings!$B$4,"Too many primary keywords",IF(I469+J469&gt;0,"Check flags","OK"))))</f>
        <v/>
      </c>
    </row>
    <row r="470">
      <c r="A470">
        <f>ROW()-2</f>
        <v/>
      </c>
      <c r="B470">
        <f>IFERROR(INDEX('Keyword Map'!$G$3:$G$1002,MATCH(A470,'Keyword Map'!$AA$3:$AA$1002,0)),"")</f>
        <v/>
      </c>
      <c r="C470">
        <f>IF(B470="","",INDEX('Keyword Map'!$I$3:$I$1002,MATCH(A470,'Keyword Map'!$AA$3:$AA$1002,0))&amp;"")</f>
        <v/>
      </c>
      <c r="D470">
        <f>IF(B470="","",INDEX('Keyword Map'!$H$3:$H$1002,MATCH(A470,'Keyword Map'!$AA$3:$AA$1002,0))&amp;"")</f>
        <v/>
      </c>
      <c r="E470">
        <f>IF(B470="","",COUNTIF('Keyword Map'!$G$3:$G$1002,SUBSTITUTE(SUBSTITUTE(B470,"?","~?"),"*","~*")))</f>
        <v/>
      </c>
      <c r="F470">
        <f>IF(B470="","",COUNTIFS('Keyword Map'!$G$3:$G$1002,SUBSTITUTE(SUBSTITUTE(B470,"?","~?"),"*","~*"),'Keyword Map'!$J$3:$J$1002,"Primary"))</f>
        <v/>
      </c>
      <c r="G470">
        <f>IF(B470="","",SUMIFS('Keyword Map'!$C$3:$C$1002,'Keyword Map'!$G$3:$G$1002,SUBSTITUTE(SUBSTITUTE(B470,"?","~?"),"*","~*")))</f>
        <v/>
      </c>
      <c r="H470">
        <f>IF(B470="","",IFERROR(ROUND(AVERAGEIFS('Keyword Map'!$P$3:$P$1002,'Keyword Map'!$G$3:$G$1002,SUBSTITUTE(SUBSTITUTE(B470,"?","~?"),"*","~*")),0),""))</f>
        <v/>
      </c>
      <c r="I470">
        <f>IF(B470="","",COUNTIFS('Keyword Map'!$G$3:$G$1002,SUBSTITUTE(SUBSTITUTE(B470,"?","~?"),"*","~*"),'Keyword Map'!$R$3:$R$1002,"Yes"))</f>
        <v/>
      </c>
      <c r="J470">
        <f>IF(B470="","",COUNTIFS('Keyword Map'!$G$3:$G$1002,SUBSTITUTE(SUBSTITUTE(B470,"?","~?"),"*","~*"),'Keyword Map'!$W$3:$W$1002,"Yes"))</f>
        <v/>
      </c>
      <c r="K470">
        <f>IF(B470="","",IF(F470=0,"No primary keyword",IF(F470&gt;Settings!$B$4,"Too many primary keywords",IF(I470+J470&gt;0,"Check flags","OK"))))</f>
        <v/>
      </c>
    </row>
    <row r="471">
      <c r="A471">
        <f>ROW()-2</f>
        <v/>
      </c>
      <c r="B471">
        <f>IFERROR(INDEX('Keyword Map'!$G$3:$G$1002,MATCH(A471,'Keyword Map'!$AA$3:$AA$1002,0)),"")</f>
        <v/>
      </c>
      <c r="C471">
        <f>IF(B471="","",INDEX('Keyword Map'!$I$3:$I$1002,MATCH(A471,'Keyword Map'!$AA$3:$AA$1002,0))&amp;"")</f>
        <v/>
      </c>
      <c r="D471">
        <f>IF(B471="","",INDEX('Keyword Map'!$H$3:$H$1002,MATCH(A471,'Keyword Map'!$AA$3:$AA$1002,0))&amp;"")</f>
        <v/>
      </c>
      <c r="E471">
        <f>IF(B471="","",COUNTIF('Keyword Map'!$G$3:$G$1002,SUBSTITUTE(SUBSTITUTE(B471,"?","~?"),"*","~*")))</f>
        <v/>
      </c>
      <c r="F471">
        <f>IF(B471="","",COUNTIFS('Keyword Map'!$G$3:$G$1002,SUBSTITUTE(SUBSTITUTE(B471,"?","~?"),"*","~*"),'Keyword Map'!$J$3:$J$1002,"Primary"))</f>
        <v/>
      </c>
      <c r="G471">
        <f>IF(B471="","",SUMIFS('Keyword Map'!$C$3:$C$1002,'Keyword Map'!$G$3:$G$1002,SUBSTITUTE(SUBSTITUTE(B471,"?","~?"),"*","~*")))</f>
        <v/>
      </c>
      <c r="H471">
        <f>IF(B471="","",IFERROR(ROUND(AVERAGEIFS('Keyword Map'!$P$3:$P$1002,'Keyword Map'!$G$3:$G$1002,SUBSTITUTE(SUBSTITUTE(B471,"?","~?"),"*","~*")),0),""))</f>
        <v/>
      </c>
      <c r="I471">
        <f>IF(B471="","",COUNTIFS('Keyword Map'!$G$3:$G$1002,SUBSTITUTE(SUBSTITUTE(B471,"?","~?"),"*","~*"),'Keyword Map'!$R$3:$R$1002,"Yes"))</f>
        <v/>
      </c>
      <c r="J471">
        <f>IF(B471="","",COUNTIFS('Keyword Map'!$G$3:$G$1002,SUBSTITUTE(SUBSTITUTE(B471,"?","~?"),"*","~*"),'Keyword Map'!$W$3:$W$1002,"Yes"))</f>
        <v/>
      </c>
      <c r="K471">
        <f>IF(B471="","",IF(F471=0,"No primary keyword",IF(F471&gt;Settings!$B$4,"Too many primary keywords",IF(I471+J471&gt;0,"Check flags","OK"))))</f>
        <v/>
      </c>
    </row>
    <row r="472">
      <c r="A472">
        <f>ROW()-2</f>
        <v/>
      </c>
      <c r="B472">
        <f>IFERROR(INDEX('Keyword Map'!$G$3:$G$1002,MATCH(A472,'Keyword Map'!$AA$3:$AA$1002,0)),"")</f>
        <v/>
      </c>
      <c r="C472">
        <f>IF(B472="","",INDEX('Keyword Map'!$I$3:$I$1002,MATCH(A472,'Keyword Map'!$AA$3:$AA$1002,0))&amp;"")</f>
        <v/>
      </c>
      <c r="D472">
        <f>IF(B472="","",INDEX('Keyword Map'!$H$3:$H$1002,MATCH(A472,'Keyword Map'!$AA$3:$AA$1002,0))&amp;"")</f>
        <v/>
      </c>
      <c r="E472">
        <f>IF(B472="","",COUNTIF('Keyword Map'!$G$3:$G$1002,SUBSTITUTE(SUBSTITUTE(B472,"?","~?"),"*","~*")))</f>
        <v/>
      </c>
      <c r="F472">
        <f>IF(B472="","",COUNTIFS('Keyword Map'!$G$3:$G$1002,SUBSTITUTE(SUBSTITUTE(B472,"?","~?"),"*","~*"),'Keyword Map'!$J$3:$J$1002,"Primary"))</f>
        <v/>
      </c>
      <c r="G472">
        <f>IF(B472="","",SUMIFS('Keyword Map'!$C$3:$C$1002,'Keyword Map'!$G$3:$G$1002,SUBSTITUTE(SUBSTITUTE(B472,"?","~?"),"*","~*")))</f>
        <v/>
      </c>
      <c r="H472">
        <f>IF(B472="","",IFERROR(ROUND(AVERAGEIFS('Keyword Map'!$P$3:$P$1002,'Keyword Map'!$G$3:$G$1002,SUBSTITUTE(SUBSTITUTE(B472,"?","~?"),"*","~*")),0),""))</f>
        <v/>
      </c>
      <c r="I472">
        <f>IF(B472="","",COUNTIFS('Keyword Map'!$G$3:$G$1002,SUBSTITUTE(SUBSTITUTE(B472,"?","~?"),"*","~*"),'Keyword Map'!$R$3:$R$1002,"Yes"))</f>
        <v/>
      </c>
      <c r="J472">
        <f>IF(B472="","",COUNTIFS('Keyword Map'!$G$3:$G$1002,SUBSTITUTE(SUBSTITUTE(B472,"?","~?"),"*","~*"),'Keyword Map'!$W$3:$W$1002,"Yes"))</f>
        <v/>
      </c>
      <c r="K472">
        <f>IF(B472="","",IF(F472=0,"No primary keyword",IF(F472&gt;Settings!$B$4,"Too many primary keywords",IF(I472+J472&gt;0,"Check flags","OK"))))</f>
        <v/>
      </c>
    </row>
    <row r="473">
      <c r="A473">
        <f>ROW()-2</f>
        <v/>
      </c>
      <c r="B473">
        <f>IFERROR(INDEX('Keyword Map'!$G$3:$G$1002,MATCH(A473,'Keyword Map'!$AA$3:$AA$1002,0)),"")</f>
        <v/>
      </c>
      <c r="C473">
        <f>IF(B473="","",INDEX('Keyword Map'!$I$3:$I$1002,MATCH(A473,'Keyword Map'!$AA$3:$AA$1002,0))&amp;"")</f>
        <v/>
      </c>
      <c r="D473">
        <f>IF(B473="","",INDEX('Keyword Map'!$H$3:$H$1002,MATCH(A473,'Keyword Map'!$AA$3:$AA$1002,0))&amp;"")</f>
        <v/>
      </c>
      <c r="E473">
        <f>IF(B473="","",COUNTIF('Keyword Map'!$G$3:$G$1002,SUBSTITUTE(SUBSTITUTE(B473,"?","~?"),"*","~*")))</f>
        <v/>
      </c>
      <c r="F473">
        <f>IF(B473="","",COUNTIFS('Keyword Map'!$G$3:$G$1002,SUBSTITUTE(SUBSTITUTE(B473,"?","~?"),"*","~*"),'Keyword Map'!$J$3:$J$1002,"Primary"))</f>
        <v/>
      </c>
      <c r="G473">
        <f>IF(B473="","",SUMIFS('Keyword Map'!$C$3:$C$1002,'Keyword Map'!$G$3:$G$1002,SUBSTITUTE(SUBSTITUTE(B473,"?","~?"),"*","~*")))</f>
        <v/>
      </c>
      <c r="H473">
        <f>IF(B473="","",IFERROR(ROUND(AVERAGEIFS('Keyword Map'!$P$3:$P$1002,'Keyword Map'!$G$3:$G$1002,SUBSTITUTE(SUBSTITUTE(B473,"?","~?"),"*","~*")),0),""))</f>
        <v/>
      </c>
      <c r="I473">
        <f>IF(B473="","",COUNTIFS('Keyword Map'!$G$3:$G$1002,SUBSTITUTE(SUBSTITUTE(B473,"?","~?"),"*","~*"),'Keyword Map'!$R$3:$R$1002,"Yes"))</f>
        <v/>
      </c>
      <c r="J473">
        <f>IF(B473="","",COUNTIFS('Keyword Map'!$G$3:$G$1002,SUBSTITUTE(SUBSTITUTE(B473,"?","~?"),"*","~*"),'Keyword Map'!$W$3:$W$1002,"Yes"))</f>
        <v/>
      </c>
      <c r="K473">
        <f>IF(B473="","",IF(F473=0,"No primary keyword",IF(F473&gt;Settings!$B$4,"Too many primary keywords",IF(I473+J473&gt;0,"Check flags","OK"))))</f>
        <v/>
      </c>
    </row>
    <row r="474">
      <c r="A474">
        <f>ROW()-2</f>
        <v/>
      </c>
      <c r="B474">
        <f>IFERROR(INDEX('Keyword Map'!$G$3:$G$1002,MATCH(A474,'Keyword Map'!$AA$3:$AA$1002,0)),"")</f>
        <v/>
      </c>
      <c r="C474">
        <f>IF(B474="","",INDEX('Keyword Map'!$I$3:$I$1002,MATCH(A474,'Keyword Map'!$AA$3:$AA$1002,0))&amp;"")</f>
        <v/>
      </c>
      <c r="D474">
        <f>IF(B474="","",INDEX('Keyword Map'!$H$3:$H$1002,MATCH(A474,'Keyword Map'!$AA$3:$AA$1002,0))&amp;"")</f>
        <v/>
      </c>
      <c r="E474">
        <f>IF(B474="","",COUNTIF('Keyword Map'!$G$3:$G$1002,SUBSTITUTE(SUBSTITUTE(B474,"?","~?"),"*","~*")))</f>
        <v/>
      </c>
      <c r="F474">
        <f>IF(B474="","",COUNTIFS('Keyword Map'!$G$3:$G$1002,SUBSTITUTE(SUBSTITUTE(B474,"?","~?"),"*","~*"),'Keyword Map'!$J$3:$J$1002,"Primary"))</f>
        <v/>
      </c>
      <c r="G474">
        <f>IF(B474="","",SUMIFS('Keyword Map'!$C$3:$C$1002,'Keyword Map'!$G$3:$G$1002,SUBSTITUTE(SUBSTITUTE(B474,"?","~?"),"*","~*")))</f>
        <v/>
      </c>
      <c r="H474">
        <f>IF(B474="","",IFERROR(ROUND(AVERAGEIFS('Keyword Map'!$P$3:$P$1002,'Keyword Map'!$G$3:$G$1002,SUBSTITUTE(SUBSTITUTE(B474,"?","~?"),"*","~*")),0),""))</f>
        <v/>
      </c>
      <c r="I474">
        <f>IF(B474="","",COUNTIFS('Keyword Map'!$G$3:$G$1002,SUBSTITUTE(SUBSTITUTE(B474,"?","~?"),"*","~*"),'Keyword Map'!$R$3:$R$1002,"Yes"))</f>
        <v/>
      </c>
      <c r="J474">
        <f>IF(B474="","",COUNTIFS('Keyword Map'!$G$3:$G$1002,SUBSTITUTE(SUBSTITUTE(B474,"?","~?"),"*","~*"),'Keyword Map'!$W$3:$W$1002,"Yes"))</f>
        <v/>
      </c>
      <c r="K474">
        <f>IF(B474="","",IF(F474=0,"No primary keyword",IF(F474&gt;Settings!$B$4,"Too many primary keywords",IF(I474+J474&gt;0,"Check flags","OK"))))</f>
        <v/>
      </c>
    </row>
    <row r="475">
      <c r="A475">
        <f>ROW()-2</f>
        <v/>
      </c>
      <c r="B475">
        <f>IFERROR(INDEX('Keyword Map'!$G$3:$G$1002,MATCH(A475,'Keyword Map'!$AA$3:$AA$1002,0)),"")</f>
        <v/>
      </c>
      <c r="C475">
        <f>IF(B475="","",INDEX('Keyword Map'!$I$3:$I$1002,MATCH(A475,'Keyword Map'!$AA$3:$AA$1002,0))&amp;"")</f>
        <v/>
      </c>
      <c r="D475">
        <f>IF(B475="","",INDEX('Keyword Map'!$H$3:$H$1002,MATCH(A475,'Keyword Map'!$AA$3:$AA$1002,0))&amp;"")</f>
        <v/>
      </c>
      <c r="E475">
        <f>IF(B475="","",COUNTIF('Keyword Map'!$G$3:$G$1002,SUBSTITUTE(SUBSTITUTE(B475,"?","~?"),"*","~*")))</f>
        <v/>
      </c>
      <c r="F475">
        <f>IF(B475="","",COUNTIFS('Keyword Map'!$G$3:$G$1002,SUBSTITUTE(SUBSTITUTE(B475,"?","~?"),"*","~*"),'Keyword Map'!$J$3:$J$1002,"Primary"))</f>
        <v/>
      </c>
      <c r="G475">
        <f>IF(B475="","",SUMIFS('Keyword Map'!$C$3:$C$1002,'Keyword Map'!$G$3:$G$1002,SUBSTITUTE(SUBSTITUTE(B475,"?","~?"),"*","~*")))</f>
        <v/>
      </c>
      <c r="H475">
        <f>IF(B475="","",IFERROR(ROUND(AVERAGEIFS('Keyword Map'!$P$3:$P$1002,'Keyword Map'!$G$3:$G$1002,SUBSTITUTE(SUBSTITUTE(B475,"?","~?"),"*","~*")),0),""))</f>
        <v/>
      </c>
      <c r="I475">
        <f>IF(B475="","",COUNTIFS('Keyword Map'!$G$3:$G$1002,SUBSTITUTE(SUBSTITUTE(B475,"?","~?"),"*","~*"),'Keyword Map'!$R$3:$R$1002,"Yes"))</f>
        <v/>
      </c>
      <c r="J475">
        <f>IF(B475="","",COUNTIFS('Keyword Map'!$G$3:$G$1002,SUBSTITUTE(SUBSTITUTE(B475,"?","~?"),"*","~*"),'Keyword Map'!$W$3:$W$1002,"Yes"))</f>
        <v/>
      </c>
      <c r="K475">
        <f>IF(B475="","",IF(F475=0,"No primary keyword",IF(F475&gt;Settings!$B$4,"Too many primary keywords",IF(I475+J475&gt;0,"Check flags","OK"))))</f>
        <v/>
      </c>
    </row>
    <row r="476">
      <c r="A476">
        <f>ROW()-2</f>
        <v/>
      </c>
      <c r="B476">
        <f>IFERROR(INDEX('Keyword Map'!$G$3:$G$1002,MATCH(A476,'Keyword Map'!$AA$3:$AA$1002,0)),"")</f>
        <v/>
      </c>
      <c r="C476">
        <f>IF(B476="","",INDEX('Keyword Map'!$I$3:$I$1002,MATCH(A476,'Keyword Map'!$AA$3:$AA$1002,0))&amp;"")</f>
        <v/>
      </c>
      <c r="D476">
        <f>IF(B476="","",INDEX('Keyword Map'!$H$3:$H$1002,MATCH(A476,'Keyword Map'!$AA$3:$AA$1002,0))&amp;"")</f>
        <v/>
      </c>
      <c r="E476">
        <f>IF(B476="","",COUNTIF('Keyword Map'!$G$3:$G$1002,SUBSTITUTE(SUBSTITUTE(B476,"?","~?"),"*","~*")))</f>
        <v/>
      </c>
      <c r="F476">
        <f>IF(B476="","",COUNTIFS('Keyword Map'!$G$3:$G$1002,SUBSTITUTE(SUBSTITUTE(B476,"?","~?"),"*","~*"),'Keyword Map'!$J$3:$J$1002,"Primary"))</f>
        <v/>
      </c>
      <c r="G476">
        <f>IF(B476="","",SUMIFS('Keyword Map'!$C$3:$C$1002,'Keyword Map'!$G$3:$G$1002,SUBSTITUTE(SUBSTITUTE(B476,"?","~?"),"*","~*")))</f>
        <v/>
      </c>
      <c r="H476">
        <f>IF(B476="","",IFERROR(ROUND(AVERAGEIFS('Keyword Map'!$P$3:$P$1002,'Keyword Map'!$G$3:$G$1002,SUBSTITUTE(SUBSTITUTE(B476,"?","~?"),"*","~*")),0),""))</f>
        <v/>
      </c>
      <c r="I476">
        <f>IF(B476="","",COUNTIFS('Keyword Map'!$G$3:$G$1002,SUBSTITUTE(SUBSTITUTE(B476,"?","~?"),"*","~*"),'Keyword Map'!$R$3:$R$1002,"Yes"))</f>
        <v/>
      </c>
      <c r="J476">
        <f>IF(B476="","",COUNTIFS('Keyword Map'!$G$3:$G$1002,SUBSTITUTE(SUBSTITUTE(B476,"?","~?"),"*","~*"),'Keyword Map'!$W$3:$W$1002,"Yes"))</f>
        <v/>
      </c>
      <c r="K476">
        <f>IF(B476="","",IF(F476=0,"No primary keyword",IF(F476&gt;Settings!$B$4,"Too many primary keywords",IF(I476+J476&gt;0,"Check flags","OK"))))</f>
        <v/>
      </c>
    </row>
    <row r="477">
      <c r="A477">
        <f>ROW()-2</f>
        <v/>
      </c>
      <c r="B477">
        <f>IFERROR(INDEX('Keyword Map'!$G$3:$G$1002,MATCH(A477,'Keyword Map'!$AA$3:$AA$1002,0)),"")</f>
        <v/>
      </c>
      <c r="C477">
        <f>IF(B477="","",INDEX('Keyword Map'!$I$3:$I$1002,MATCH(A477,'Keyword Map'!$AA$3:$AA$1002,0))&amp;"")</f>
        <v/>
      </c>
      <c r="D477">
        <f>IF(B477="","",INDEX('Keyword Map'!$H$3:$H$1002,MATCH(A477,'Keyword Map'!$AA$3:$AA$1002,0))&amp;"")</f>
        <v/>
      </c>
      <c r="E477">
        <f>IF(B477="","",COUNTIF('Keyword Map'!$G$3:$G$1002,SUBSTITUTE(SUBSTITUTE(B477,"?","~?"),"*","~*")))</f>
        <v/>
      </c>
      <c r="F477">
        <f>IF(B477="","",COUNTIFS('Keyword Map'!$G$3:$G$1002,SUBSTITUTE(SUBSTITUTE(B477,"?","~?"),"*","~*"),'Keyword Map'!$J$3:$J$1002,"Primary"))</f>
        <v/>
      </c>
      <c r="G477">
        <f>IF(B477="","",SUMIFS('Keyword Map'!$C$3:$C$1002,'Keyword Map'!$G$3:$G$1002,SUBSTITUTE(SUBSTITUTE(B477,"?","~?"),"*","~*")))</f>
        <v/>
      </c>
      <c r="H477">
        <f>IF(B477="","",IFERROR(ROUND(AVERAGEIFS('Keyword Map'!$P$3:$P$1002,'Keyword Map'!$G$3:$G$1002,SUBSTITUTE(SUBSTITUTE(B477,"?","~?"),"*","~*")),0),""))</f>
        <v/>
      </c>
      <c r="I477">
        <f>IF(B477="","",COUNTIFS('Keyword Map'!$G$3:$G$1002,SUBSTITUTE(SUBSTITUTE(B477,"?","~?"),"*","~*"),'Keyword Map'!$R$3:$R$1002,"Yes"))</f>
        <v/>
      </c>
      <c r="J477">
        <f>IF(B477="","",COUNTIFS('Keyword Map'!$G$3:$G$1002,SUBSTITUTE(SUBSTITUTE(B477,"?","~?"),"*","~*"),'Keyword Map'!$W$3:$W$1002,"Yes"))</f>
        <v/>
      </c>
      <c r="K477">
        <f>IF(B477="","",IF(F477=0,"No primary keyword",IF(F477&gt;Settings!$B$4,"Too many primary keywords",IF(I477+J477&gt;0,"Check flags","OK"))))</f>
        <v/>
      </c>
    </row>
    <row r="478">
      <c r="A478">
        <f>ROW()-2</f>
        <v/>
      </c>
      <c r="B478">
        <f>IFERROR(INDEX('Keyword Map'!$G$3:$G$1002,MATCH(A478,'Keyword Map'!$AA$3:$AA$1002,0)),"")</f>
        <v/>
      </c>
      <c r="C478">
        <f>IF(B478="","",INDEX('Keyword Map'!$I$3:$I$1002,MATCH(A478,'Keyword Map'!$AA$3:$AA$1002,0))&amp;"")</f>
        <v/>
      </c>
      <c r="D478">
        <f>IF(B478="","",INDEX('Keyword Map'!$H$3:$H$1002,MATCH(A478,'Keyword Map'!$AA$3:$AA$1002,0))&amp;"")</f>
        <v/>
      </c>
      <c r="E478">
        <f>IF(B478="","",COUNTIF('Keyword Map'!$G$3:$G$1002,SUBSTITUTE(SUBSTITUTE(B478,"?","~?"),"*","~*")))</f>
        <v/>
      </c>
      <c r="F478">
        <f>IF(B478="","",COUNTIFS('Keyword Map'!$G$3:$G$1002,SUBSTITUTE(SUBSTITUTE(B478,"?","~?"),"*","~*"),'Keyword Map'!$J$3:$J$1002,"Primary"))</f>
        <v/>
      </c>
      <c r="G478">
        <f>IF(B478="","",SUMIFS('Keyword Map'!$C$3:$C$1002,'Keyword Map'!$G$3:$G$1002,SUBSTITUTE(SUBSTITUTE(B478,"?","~?"),"*","~*")))</f>
        <v/>
      </c>
      <c r="H478">
        <f>IF(B478="","",IFERROR(ROUND(AVERAGEIFS('Keyword Map'!$P$3:$P$1002,'Keyword Map'!$G$3:$G$1002,SUBSTITUTE(SUBSTITUTE(B478,"?","~?"),"*","~*")),0),""))</f>
        <v/>
      </c>
      <c r="I478">
        <f>IF(B478="","",COUNTIFS('Keyword Map'!$G$3:$G$1002,SUBSTITUTE(SUBSTITUTE(B478,"?","~?"),"*","~*"),'Keyword Map'!$R$3:$R$1002,"Yes"))</f>
        <v/>
      </c>
      <c r="J478">
        <f>IF(B478="","",COUNTIFS('Keyword Map'!$G$3:$G$1002,SUBSTITUTE(SUBSTITUTE(B478,"?","~?"),"*","~*"),'Keyword Map'!$W$3:$W$1002,"Yes"))</f>
        <v/>
      </c>
      <c r="K478">
        <f>IF(B478="","",IF(F478=0,"No primary keyword",IF(F478&gt;Settings!$B$4,"Too many primary keywords",IF(I478+J478&gt;0,"Check flags","OK"))))</f>
        <v/>
      </c>
    </row>
    <row r="479">
      <c r="A479">
        <f>ROW()-2</f>
        <v/>
      </c>
      <c r="B479">
        <f>IFERROR(INDEX('Keyword Map'!$G$3:$G$1002,MATCH(A479,'Keyword Map'!$AA$3:$AA$1002,0)),"")</f>
        <v/>
      </c>
      <c r="C479">
        <f>IF(B479="","",INDEX('Keyword Map'!$I$3:$I$1002,MATCH(A479,'Keyword Map'!$AA$3:$AA$1002,0))&amp;"")</f>
        <v/>
      </c>
      <c r="D479">
        <f>IF(B479="","",INDEX('Keyword Map'!$H$3:$H$1002,MATCH(A479,'Keyword Map'!$AA$3:$AA$1002,0))&amp;"")</f>
        <v/>
      </c>
      <c r="E479">
        <f>IF(B479="","",COUNTIF('Keyword Map'!$G$3:$G$1002,SUBSTITUTE(SUBSTITUTE(B479,"?","~?"),"*","~*")))</f>
        <v/>
      </c>
      <c r="F479">
        <f>IF(B479="","",COUNTIFS('Keyword Map'!$G$3:$G$1002,SUBSTITUTE(SUBSTITUTE(B479,"?","~?"),"*","~*"),'Keyword Map'!$J$3:$J$1002,"Primary"))</f>
        <v/>
      </c>
      <c r="G479">
        <f>IF(B479="","",SUMIFS('Keyword Map'!$C$3:$C$1002,'Keyword Map'!$G$3:$G$1002,SUBSTITUTE(SUBSTITUTE(B479,"?","~?"),"*","~*")))</f>
        <v/>
      </c>
      <c r="H479">
        <f>IF(B479="","",IFERROR(ROUND(AVERAGEIFS('Keyword Map'!$P$3:$P$1002,'Keyword Map'!$G$3:$G$1002,SUBSTITUTE(SUBSTITUTE(B479,"?","~?"),"*","~*")),0),""))</f>
        <v/>
      </c>
      <c r="I479">
        <f>IF(B479="","",COUNTIFS('Keyword Map'!$G$3:$G$1002,SUBSTITUTE(SUBSTITUTE(B479,"?","~?"),"*","~*"),'Keyword Map'!$R$3:$R$1002,"Yes"))</f>
        <v/>
      </c>
      <c r="J479">
        <f>IF(B479="","",COUNTIFS('Keyword Map'!$G$3:$G$1002,SUBSTITUTE(SUBSTITUTE(B479,"?","~?"),"*","~*"),'Keyword Map'!$W$3:$W$1002,"Yes"))</f>
        <v/>
      </c>
      <c r="K479">
        <f>IF(B479="","",IF(F479=0,"No primary keyword",IF(F479&gt;Settings!$B$4,"Too many primary keywords",IF(I479+J479&gt;0,"Check flags","OK"))))</f>
        <v/>
      </c>
    </row>
    <row r="480">
      <c r="A480">
        <f>ROW()-2</f>
        <v/>
      </c>
      <c r="B480">
        <f>IFERROR(INDEX('Keyword Map'!$G$3:$G$1002,MATCH(A480,'Keyword Map'!$AA$3:$AA$1002,0)),"")</f>
        <v/>
      </c>
      <c r="C480">
        <f>IF(B480="","",INDEX('Keyword Map'!$I$3:$I$1002,MATCH(A480,'Keyword Map'!$AA$3:$AA$1002,0))&amp;"")</f>
        <v/>
      </c>
      <c r="D480">
        <f>IF(B480="","",INDEX('Keyword Map'!$H$3:$H$1002,MATCH(A480,'Keyword Map'!$AA$3:$AA$1002,0))&amp;"")</f>
        <v/>
      </c>
      <c r="E480">
        <f>IF(B480="","",COUNTIF('Keyword Map'!$G$3:$G$1002,SUBSTITUTE(SUBSTITUTE(B480,"?","~?"),"*","~*")))</f>
        <v/>
      </c>
      <c r="F480">
        <f>IF(B480="","",COUNTIFS('Keyword Map'!$G$3:$G$1002,SUBSTITUTE(SUBSTITUTE(B480,"?","~?"),"*","~*"),'Keyword Map'!$J$3:$J$1002,"Primary"))</f>
        <v/>
      </c>
      <c r="G480">
        <f>IF(B480="","",SUMIFS('Keyword Map'!$C$3:$C$1002,'Keyword Map'!$G$3:$G$1002,SUBSTITUTE(SUBSTITUTE(B480,"?","~?"),"*","~*")))</f>
        <v/>
      </c>
      <c r="H480">
        <f>IF(B480="","",IFERROR(ROUND(AVERAGEIFS('Keyword Map'!$P$3:$P$1002,'Keyword Map'!$G$3:$G$1002,SUBSTITUTE(SUBSTITUTE(B480,"?","~?"),"*","~*")),0),""))</f>
        <v/>
      </c>
      <c r="I480">
        <f>IF(B480="","",COUNTIFS('Keyword Map'!$G$3:$G$1002,SUBSTITUTE(SUBSTITUTE(B480,"?","~?"),"*","~*"),'Keyword Map'!$R$3:$R$1002,"Yes"))</f>
        <v/>
      </c>
      <c r="J480">
        <f>IF(B480="","",COUNTIFS('Keyword Map'!$G$3:$G$1002,SUBSTITUTE(SUBSTITUTE(B480,"?","~?"),"*","~*"),'Keyword Map'!$W$3:$W$1002,"Yes"))</f>
        <v/>
      </c>
      <c r="K480">
        <f>IF(B480="","",IF(F480=0,"No primary keyword",IF(F480&gt;Settings!$B$4,"Too many primary keywords",IF(I480+J480&gt;0,"Check flags","OK"))))</f>
        <v/>
      </c>
    </row>
    <row r="481">
      <c r="A481">
        <f>ROW()-2</f>
        <v/>
      </c>
      <c r="B481">
        <f>IFERROR(INDEX('Keyword Map'!$G$3:$G$1002,MATCH(A481,'Keyword Map'!$AA$3:$AA$1002,0)),"")</f>
        <v/>
      </c>
      <c r="C481">
        <f>IF(B481="","",INDEX('Keyword Map'!$I$3:$I$1002,MATCH(A481,'Keyword Map'!$AA$3:$AA$1002,0))&amp;"")</f>
        <v/>
      </c>
      <c r="D481">
        <f>IF(B481="","",INDEX('Keyword Map'!$H$3:$H$1002,MATCH(A481,'Keyword Map'!$AA$3:$AA$1002,0))&amp;"")</f>
        <v/>
      </c>
      <c r="E481">
        <f>IF(B481="","",COUNTIF('Keyword Map'!$G$3:$G$1002,SUBSTITUTE(SUBSTITUTE(B481,"?","~?"),"*","~*")))</f>
        <v/>
      </c>
      <c r="F481">
        <f>IF(B481="","",COUNTIFS('Keyword Map'!$G$3:$G$1002,SUBSTITUTE(SUBSTITUTE(B481,"?","~?"),"*","~*"),'Keyword Map'!$J$3:$J$1002,"Primary"))</f>
        <v/>
      </c>
      <c r="G481">
        <f>IF(B481="","",SUMIFS('Keyword Map'!$C$3:$C$1002,'Keyword Map'!$G$3:$G$1002,SUBSTITUTE(SUBSTITUTE(B481,"?","~?"),"*","~*")))</f>
        <v/>
      </c>
      <c r="H481">
        <f>IF(B481="","",IFERROR(ROUND(AVERAGEIFS('Keyword Map'!$P$3:$P$1002,'Keyword Map'!$G$3:$G$1002,SUBSTITUTE(SUBSTITUTE(B481,"?","~?"),"*","~*")),0),""))</f>
        <v/>
      </c>
      <c r="I481">
        <f>IF(B481="","",COUNTIFS('Keyword Map'!$G$3:$G$1002,SUBSTITUTE(SUBSTITUTE(B481,"?","~?"),"*","~*"),'Keyword Map'!$R$3:$R$1002,"Yes"))</f>
        <v/>
      </c>
      <c r="J481">
        <f>IF(B481="","",COUNTIFS('Keyword Map'!$G$3:$G$1002,SUBSTITUTE(SUBSTITUTE(B481,"?","~?"),"*","~*"),'Keyword Map'!$W$3:$W$1002,"Yes"))</f>
        <v/>
      </c>
      <c r="K481">
        <f>IF(B481="","",IF(F481=0,"No primary keyword",IF(F481&gt;Settings!$B$4,"Too many primary keywords",IF(I481+J481&gt;0,"Check flags","OK"))))</f>
        <v/>
      </c>
    </row>
    <row r="482">
      <c r="A482">
        <f>ROW()-2</f>
        <v/>
      </c>
      <c r="B482">
        <f>IFERROR(INDEX('Keyword Map'!$G$3:$G$1002,MATCH(A482,'Keyword Map'!$AA$3:$AA$1002,0)),"")</f>
        <v/>
      </c>
      <c r="C482">
        <f>IF(B482="","",INDEX('Keyword Map'!$I$3:$I$1002,MATCH(A482,'Keyword Map'!$AA$3:$AA$1002,0))&amp;"")</f>
        <v/>
      </c>
      <c r="D482">
        <f>IF(B482="","",INDEX('Keyword Map'!$H$3:$H$1002,MATCH(A482,'Keyword Map'!$AA$3:$AA$1002,0))&amp;"")</f>
        <v/>
      </c>
      <c r="E482">
        <f>IF(B482="","",COUNTIF('Keyword Map'!$G$3:$G$1002,SUBSTITUTE(SUBSTITUTE(B482,"?","~?"),"*","~*")))</f>
        <v/>
      </c>
      <c r="F482">
        <f>IF(B482="","",COUNTIFS('Keyword Map'!$G$3:$G$1002,SUBSTITUTE(SUBSTITUTE(B482,"?","~?"),"*","~*"),'Keyword Map'!$J$3:$J$1002,"Primary"))</f>
        <v/>
      </c>
      <c r="G482">
        <f>IF(B482="","",SUMIFS('Keyword Map'!$C$3:$C$1002,'Keyword Map'!$G$3:$G$1002,SUBSTITUTE(SUBSTITUTE(B482,"?","~?"),"*","~*")))</f>
        <v/>
      </c>
      <c r="H482">
        <f>IF(B482="","",IFERROR(ROUND(AVERAGEIFS('Keyword Map'!$P$3:$P$1002,'Keyword Map'!$G$3:$G$1002,SUBSTITUTE(SUBSTITUTE(B482,"?","~?"),"*","~*")),0),""))</f>
        <v/>
      </c>
      <c r="I482">
        <f>IF(B482="","",COUNTIFS('Keyword Map'!$G$3:$G$1002,SUBSTITUTE(SUBSTITUTE(B482,"?","~?"),"*","~*"),'Keyword Map'!$R$3:$R$1002,"Yes"))</f>
        <v/>
      </c>
      <c r="J482">
        <f>IF(B482="","",COUNTIFS('Keyword Map'!$G$3:$G$1002,SUBSTITUTE(SUBSTITUTE(B482,"?","~?"),"*","~*"),'Keyword Map'!$W$3:$W$1002,"Yes"))</f>
        <v/>
      </c>
      <c r="K482">
        <f>IF(B482="","",IF(F482=0,"No primary keyword",IF(F482&gt;Settings!$B$4,"Too many primary keywords",IF(I482+J482&gt;0,"Check flags","OK"))))</f>
        <v/>
      </c>
    </row>
    <row r="483">
      <c r="A483">
        <f>ROW()-2</f>
        <v/>
      </c>
      <c r="B483">
        <f>IFERROR(INDEX('Keyword Map'!$G$3:$G$1002,MATCH(A483,'Keyword Map'!$AA$3:$AA$1002,0)),"")</f>
        <v/>
      </c>
      <c r="C483">
        <f>IF(B483="","",INDEX('Keyword Map'!$I$3:$I$1002,MATCH(A483,'Keyword Map'!$AA$3:$AA$1002,0))&amp;"")</f>
        <v/>
      </c>
      <c r="D483">
        <f>IF(B483="","",INDEX('Keyword Map'!$H$3:$H$1002,MATCH(A483,'Keyword Map'!$AA$3:$AA$1002,0))&amp;"")</f>
        <v/>
      </c>
      <c r="E483">
        <f>IF(B483="","",COUNTIF('Keyword Map'!$G$3:$G$1002,SUBSTITUTE(SUBSTITUTE(B483,"?","~?"),"*","~*")))</f>
        <v/>
      </c>
      <c r="F483">
        <f>IF(B483="","",COUNTIFS('Keyword Map'!$G$3:$G$1002,SUBSTITUTE(SUBSTITUTE(B483,"?","~?"),"*","~*"),'Keyword Map'!$J$3:$J$1002,"Primary"))</f>
        <v/>
      </c>
      <c r="G483">
        <f>IF(B483="","",SUMIFS('Keyword Map'!$C$3:$C$1002,'Keyword Map'!$G$3:$G$1002,SUBSTITUTE(SUBSTITUTE(B483,"?","~?"),"*","~*")))</f>
        <v/>
      </c>
      <c r="H483">
        <f>IF(B483="","",IFERROR(ROUND(AVERAGEIFS('Keyword Map'!$P$3:$P$1002,'Keyword Map'!$G$3:$G$1002,SUBSTITUTE(SUBSTITUTE(B483,"?","~?"),"*","~*")),0),""))</f>
        <v/>
      </c>
      <c r="I483">
        <f>IF(B483="","",COUNTIFS('Keyword Map'!$G$3:$G$1002,SUBSTITUTE(SUBSTITUTE(B483,"?","~?"),"*","~*"),'Keyword Map'!$R$3:$R$1002,"Yes"))</f>
        <v/>
      </c>
      <c r="J483">
        <f>IF(B483="","",COUNTIFS('Keyword Map'!$G$3:$G$1002,SUBSTITUTE(SUBSTITUTE(B483,"?","~?"),"*","~*"),'Keyword Map'!$W$3:$W$1002,"Yes"))</f>
        <v/>
      </c>
      <c r="K483">
        <f>IF(B483="","",IF(F483=0,"No primary keyword",IF(F483&gt;Settings!$B$4,"Too many primary keywords",IF(I483+J483&gt;0,"Check flags","OK"))))</f>
        <v/>
      </c>
    </row>
    <row r="484">
      <c r="A484">
        <f>ROW()-2</f>
        <v/>
      </c>
      <c r="B484">
        <f>IFERROR(INDEX('Keyword Map'!$G$3:$G$1002,MATCH(A484,'Keyword Map'!$AA$3:$AA$1002,0)),"")</f>
        <v/>
      </c>
      <c r="C484">
        <f>IF(B484="","",INDEX('Keyword Map'!$I$3:$I$1002,MATCH(A484,'Keyword Map'!$AA$3:$AA$1002,0))&amp;"")</f>
        <v/>
      </c>
      <c r="D484">
        <f>IF(B484="","",INDEX('Keyword Map'!$H$3:$H$1002,MATCH(A484,'Keyword Map'!$AA$3:$AA$1002,0))&amp;"")</f>
        <v/>
      </c>
      <c r="E484">
        <f>IF(B484="","",COUNTIF('Keyword Map'!$G$3:$G$1002,SUBSTITUTE(SUBSTITUTE(B484,"?","~?"),"*","~*")))</f>
        <v/>
      </c>
      <c r="F484">
        <f>IF(B484="","",COUNTIFS('Keyword Map'!$G$3:$G$1002,SUBSTITUTE(SUBSTITUTE(B484,"?","~?"),"*","~*"),'Keyword Map'!$J$3:$J$1002,"Primary"))</f>
        <v/>
      </c>
      <c r="G484">
        <f>IF(B484="","",SUMIFS('Keyword Map'!$C$3:$C$1002,'Keyword Map'!$G$3:$G$1002,SUBSTITUTE(SUBSTITUTE(B484,"?","~?"),"*","~*")))</f>
        <v/>
      </c>
      <c r="H484">
        <f>IF(B484="","",IFERROR(ROUND(AVERAGEIFS('Keyword Map'!$P$3:$P$1002,'Keyword Map'!$G$3:$G$1002,SUBSTITUTE(SUBSTITUTE(B484,"?","~?"),"*","~*")),0),""))</f>
        <v/>
      </c>
      <c r="I484">
        <f>IF(B484="","",COUNTIFS('Keyword Map'!$G$3:$G$1002,SUBSTITUTE(SUBSTITUTE(B484,"?","~?"),"*","~*"),'Keyword Map'!$R$3:$R$1002,"Yes"))</f>
        <v/>
      </c>
      <c r="J484">
        <f>IF(B484="","",COUNTIFS('Keyword Map'!$G$3:$G$1002,SUBSTITUTE(SUBSTITUTE(B484,"?","~?"),"*","~*"),'Keyword Map'!$W$3:$W$1002,"Yes"))</f>
        <v/>
      </c>
      <c r="K484">
        <f>IF(B484="","",IF(F484=0,"No primary keyword",IF(F484&gt;Settings!$B$4,"Too many primary keywords",IF(I484+J484&gt;0,"Check flags","OK"))))</f>
        <v/>
      </c>
    </row>
    <row r="485">
      <c r="A485">
        <f>ROW()-2</f>
        <v/>
      </c>
      <c r="B485">
        <f>IFERROR(INDEX('Keyword Map'!$G$3:$G$1002,MATCH(A485,'Keyword Map'!$AA$3:$AA$1002,0)),"")</f>
        <v/>
      </c>
      <c r="C485">
        <f>IF(B485="","",INDEX('Keyword Map'!$I$3:$I$1002,MATCH(A485,'Keyword Map'!$AA$3:$AA$1002,0))&amp;"")</f>
        <v/>
      </c>
      <c r="D485">
        <f>IF(B485="","",INDEX('Keyword Map'!$H$3:$H$1002,MATCH(A485,'Keyword Map'!$AA$3:$AA$1002,0))&amp;"")</f>
        <v/>
      </c>
      <c r="E485">
        <f>IF(B485="","",COUNTIF('Keyword Map'!$G$3:$G$1002,SUBSTITUTE(SUBSTITUTE(B485,"?","~?"),"*","~*")))</f>
        <v/>
      </c>
      <c r="F485">
        <f>IF(B485="","",COUNTIFS('Keyword Map'!$G$3:$G$1002,SUBSTITUTE(SUBSTITUTE(B485,"?","~?"),"*","~*"),'Keyword Map'!$J$3:$J$1002,"Primary"))</f>
        <v/>
      </c>
      <c r="G485">
        <f>IF(B485="","",SUMIFS('Keyword Map'!$C$3:$C$1002,'Keyword Map'!$G$3:$G$1002,SUBSTITUTE(SUBSTITUTE(B485,"?","~?"),"*","~*")))</f>
        <v/>
      </c>
      <c r="H485">
        <f>IF(B485="","",IFERROR(ROUND(AVERAGEIFS('Keyword Map'!$P$3:$P$1002,'Keyword Map'!$G$3:$G$1002,SUBSTITUTE(SUBSTITUTE(B485,"?","~?"),"*","~*")),0),""))</f>
        <v/>
      </c>
      <c r="I485">
        <f>IF(B485="","",COUNTIFS('Keyword Map'!$G$3:$G$1002,SUBSTITUTE(SUBSTITUTE(B485,"?","~?"),"*","~*"),'Keyword Map'!$R$3:$R$1002,"Yes"))</f>
        <v/>
      </c>
      <c r="J485">
        <f>IF(B485="","",COUNTIFS('Keyword Map'!$G$3:$G$1002,SUBSTITUTE(SUBSTITUTE(B485,"?","~?"),"*","~*"),'Keyword Map'!$W$3:$W$1002,"Yes"))</f>
        <v/>
      </c>
      <c r="K485">
        <f>IF(B485="","",IF(F485=0,"No primary keyword",IF(F485&gt;Settings!$B$4,"Too many primary keywords",IF(I485+J485&gt;0,"Check flags","OK"))))</f>
        <v/>
      </c>
    </row>
    <row r="486">
      <c r="A486">
        <f>ROW()-2</f>
        <v/>
      </c>
      <c r="B486">
        <f>IFERROR(INDEX('Keyword Map'!$G$3:$G$1002,MATCH(A486,'Keyword Map'!$AA$3:$AA$1002,0)),"")</f>
        <v/>
      </c>
      <c r="C486">
        <f>IF(B486="","",INDEX('Keyword Map'!$I$3:$I$1002,MATCH(A486,'Keyword Map'!$AA$3:$AA$1002,0))&amp;"")</f>
        <v/>
      </c>
      <c r="D486">
        <f>IF(B486="","",INDEX('Keyword Map'!$H$3:$H$1002,MATCH(A486,'Keyword Map'!$AA$3:$AA$1002,0))&amp;"")</f>
        <v/>
      </c>
      <c r="E486">
        <f>IF(B486="","",COUNTIF('Keyword Map'!$G$3:$G$1002,SUBSTITUTE(SUBSTITUTE(B486,"?","~?"),"*","~*")))</f>
        <v/>
      </c>
      <c r="F486">
        <f>IF(B486="","",COUNTIFS('Keyword Map'!$G$3:$G$1002,SUBSTITUTE(SUBSTITUTE(B486,"?","~?"),"*","~*"),'Keyword Map'!$J$3:$J$1002,"Primary"))</f>
        <v/>
      </c>
      <c r="G486">
        <f>IF(B486="","",SUMIFS('Keyword Map'!$C$3:$C$1002,'Keyword Map'!$G$3:$G$1002,SUBSTITUTE(SUBSTITUTE(B486,"?","~?"),"*","~*")))</f>
        <v/>
      </c>
      <c r="H486">
        <f>IF(B486="","",IFERROR(ROUND(AVERAGEIFS('Keyword Map'!$P$3:$P$1002,'Keyword Map'!$G$3:$G$1002,SUBSTITUTE(SUBSTITUTE(B486,"?","~?"),"*","~*")),0),""))</f>
        <v/>
      </c>
      <c r="I486">
        <f>IF(B486="","",COUNTIFS('Keyword Map'!$G$3:$G$1002,SUBSTITUTE(SUBSTITUTE(B486,"?","~?"),"*","~*"),'Keyword Map'!$R$3:$R$1002,"Yes"))</f>
        <v/>
      </c>
      <c r="J486">
        <f>IF(B486="","",COUNTIFS('Keyword Map'!$G$3:$G$1002,SUBSTITUTE(SUBSTITUTE(B486,"?","~?"),"*","~*"),'Keyword Map'!$W$3:$W$1002,"Yes"))</f>
        <v/>
      </c>
      <c r="K486">
        <f>IF(B486="","",IF(F486=0,"No primary keyword",IF(F486&gt;Settings!$B$4,"Too many primary keywords",IF(I486+J486&gt;0,"Check flags","OK"))))</f>
        <v/>
      </c>
    </row>
    <row r="487">
      <c r="A487">
        <f>ROW()-2</f>
        <v/>
      </c>
      <c r="B487">
        <f>IFERROR(INDEX('Keyword Map'!$G$3:$G$1002,MATCH(A487,'Keyword Map'!$AA$3:$AA$1002,0)),"")</f>
        <v/>
      </c>
      <c r="C487">
        <f>IF(B487="","",INDEX('Keyword Map'!$I$3:$I$1002,MATCH(A487,'Keyword Map'!$AA$3:$AA$1002,0))&amp;"")</f>
        <v/>
      </c>
      <c r="D487">
        <f>IF(B487="","",INDEX('Keyword Map'!$H$3:$H$1002,MATCH(A487,'Keyword Map'!$AA$3:$AA$1002,0))&amp;"")</f>
        <v/>
      </c>
      <c r="E487">
        <f>IF(B487="","",COUNTIF('Keyword Map'!$G$3:$G$1002,SUBSTITUTE(SUBSTITUTE(B487,"?","~?"),"*","~*")))</f>
        <v/>
      </c>
      <c r="F487">
        <f>IF(B487="","",COUNTIFS('Keyword Map'!$G$3:$G$1002,SUBSTITUTE(SUBSTITUTE(B487,"?","~?"),"*","~*"),'Keyword Map'!$J$3:$J$1002,"Primary"))</f>
        <v/>
      </c>
      <c r="G487">
        <f>IF(B487="","",SUMIFS('Keyword Map'!$C$3:$C$1002,'Keyword Map'!$G$3:$G$1002,SUBSTITUTE(SUBSTITUTE(B487,"?","~?"),"*","~*")))</f>
        <v/>
      </c>
      <c r="H487">
        <f>IF(B487="","",IFERROR(ROUND(AVERAGEIFS('Keyword Map'!$P$3:$P$1002,'Keyword Map'!$G$3:$G$1002,SUBSTITUTE(SUBSTITUTE(B487,"?","~?"),"*","~*")),0),""))</f>
        <v/>
      </c>
      <c r="I487">
        <f>IF(B487="","",COUNTIFS('Keyword Map'!$G$3:$G$1002,SUBSTITUTE(SUBSTITUTE(B487,"?","~?"),"*","~*"),'Keyword Map'!$R$3:$R$1002,"Yes"))</f>
        <v/>
      </c>
      <c r="J487">
        <f>IF(B487="","",COUNTIFS('Keyword Map'!$G$3:$G$1002,SUBSTITUTE(SUBSTITUTE(B487,"?","~?"),"*","~*"),'Keyword Map'!$W$3:$W$1002,"Yes"))</f>
        <v/>
      </c>
      <c r="K487">
        <f>IF(B487="","",IF(F487=0,"No primary keyword",IF(F487&gt;Settings!$B$4,"Too many primary keywords",IF(I487+J487&gt;0,"Check flags","OK"))))</f>
        <v/>
      </c>
    </row>
    <row r="488">
      <c r="A488">
        <f>ROW()-2</f>
        <v/>
      </c>
      <c r="B488">
        <f>IFERROR(INDEX('Keyword Map'!$G$3:$G$1002,MATCH(A488,'Keyword Map'!$AA$3:$AA$1002,0)),"")</f>
        <v/>
      </c>
      <c r="C488">
        <f>IF(B488="","",INDEX('Keyword Map'!$I$3:$I$1002,MATCH(A488,'Keyword Map'!$AA$3:$AA$1002,0))&amp;"")</f>
        <v/>
      </c>
      <c r="D488">
        <f>IF(B488="","",INDEX('Keyword Map'!$H$3:$H$1002,MATCH(A488,'Keyword Map'!$AA$3:$AA$1002,0))&amp;"")</f>
        <v/>
      </c>
      <c r="E488">
        <f>IF(B488="","",COUNTIF('Keyword Map'!$G$3:$G$1002,SUBSTITUTE(SUBSTITUTE(B488,"?","~?"),"*","~*")))</f>
        <v/>
      </c>
      <c r="F488">
        <f>IF(B488="","",COUNTIFS('Keyword Map'!$G$3:$G$1002,SUBSTITUTE(SUBSTITUTE(B488,"?","~?"),"*","~*"),'Keyword Map'!$J$3:$J$1002,"Primary"))</f>
        <v/>
      </c>
      <c r="G488">
        <f>IF(B488="","",SUMIFS('Keyword Map'!$C$3:$C$1002,'Keyword Map'!$G$3:$G$1002,SUBSTITUTE(SUBSTITUTE(B488,"?","~?"),"*","~*")))</f>
        <v/>
      </c>
      <c r="H488">
        <f>IF(B488="","",IFERROR(ROUND(AVERAGEIFS('Keyword Map'!$P$3:$P$1002,'Keyword Map'!$G$3:$G$1002,SUBSTITUTE(SUBSTITUTE(B488,"?","~?"),"*","~*")),0),""))</f>
        <v/>
      </c>
      <c r="I488">
        <f>IF(B488="","",COUNTIFS('Keyword Map'!$G$3:$G$1002,SUBSTITUTE(SUBSTITUTE(B488,"?","~?"),"*","~*"),'Keyword Map'!$R$3:$R$1002,"Yes"))</f>
        <v/>
      </c>
      <c r="J488">
        <f>IF(B488="","",COUNTIFS('Keyword Map'!$G$3:$G$1002,SUBSTITUTE(SUBSTITUTE(B488,"?","~?"),"*","~*"),'Keyword Map'!$W$3:$W$1002,"Yes"))</f>
        <v/>
      </c>
      <c r="K488">
        <f>IF(B488="","",IF(F488=0,"No primary keyword",IF(F488&gt;Settings!$B$4,"Too many primary keywords",IF(I488+J488&gt;0,"Check flags","OK"))))</f>
        <v/>
      </c>
    </row>
    <row r="489">
      <c r="A489">
        <f>ROW()-2</f>
        <v/>
      </c>
      <c r="B489">
        <f>IFERROR(INDEX('Keyword Map'!$G$3:$G$1002,MATCH(A489,'Keyword Map'!$AA$3:$AA$1002,0)),"")</f>
        <v/>
      </c>
      <c r="C489">
        <f>IF(B489="","",INDEX('Keyword Map'!$I$3:$I$1002,MATCH(A489,'Keyword Map'!$AA$3:$AA$1002,0))&amp;"")</f>
        <v/>
      </c>
      <c r="D489">
        <f>IF(B489="","",INDEX('Keyword Map'!$H$3:$H$1002,MATCH(A489,'Keyword Map'!$AA$3:$AA$1002,0))&amp;"")</f>
        <v/>
      </c>
      <c r="E489">
        <f>IF(B489="","",COUNTIF('Keyword Map'!$G$3:$G$1002,SUBSTITUTE(SUBSTITUTE(B489,"?","~?"),"*","~*")))</f>
        <v/>
      </c>
      <c r="F489">
        <f>IF(B489="","",COUNTIFS('Keyword Map'!$G$3:$G$1002,SUBSTITUTE(SUBSTITUTE(B489,"?","~?"),"*","~*"),'Keyword Map'!$J$3:$J$1002,"Primary"))</f>
        <v/>
      </c>
      <c r="G489">
        <f>IF(B489="","",SUMIFS('Keyword Map'!$C$3:$C$1002,'Keyword Map'!$G$3:$G$1002,SUBSTITUTE(SUBSTITUTE(B489,"?","~?"),"*","~*")))</f>
        <v/>
      </c>
      <c r="H489">
        <f>IF(B489="","",IFERROR(ROUND(AVERAGEIFS('Keyword Map'!$P$3:$P$1002,'Keyword Map'!$G$3:$G$1002,SUBSTITUTE(SUBSTITUTE(B489,"?","~?"),"*","~*")),0),""))</f>
        <v/>
      </c>
      <c r="I489">
        <f>IF(B489="","",COUNTIFS('Keyword Map'!$G$3:$G$1002,SUBSTITUTE(SUBSTITUTE(B489,"?","~?"),"*","~*"),'Keyword Map'!$R$3:$R$1002,"Yes"))</f>
        <v/>
      </c>
      <c r="J489">
        <f>IF(B489="","",COUNTIFS('Keyword Map'!$G$3:$G$1002,SUBSTITUTE(SUBSTITUTE(B489,"?","~?"),"*","~*"),'Keyword Map'!$W$3:$W$1002,"Yes"))</f>
        <v/>
      </c>
      <c r="K489">
        <f>IF(B489="","",IF(F489=0,"No primary keyword",IF(F489&gt;Settings!$B$4,"Too many primary keywords",IF(I489+J489&gt;0,"Check flags","OK"))))</f>
        <v/>
      </c>
    </row>
    <row r="490">
      <c r="A490">
        <f>ROW()-2</f>
        <v/>
      </c>
      <c r="B490">
        <f>IFERROR(INDEX('Keyword Map'!$G$3:$G$1002,MATCH(A490,'Keyword Map'!$AA$3:$AA$1002,0)),"")</f>
        <v/>
      </c>
      <c r="C490">
        <f>IF(B490="","",INDEX('Keyword Map'!$I$3:$I$1002,MATCH(A490,'Keyword Map'!$AA$3:$AA$1002,0))&amp;"")</f>
        <v/>
      </c>
      <c r="D490">
        <f>IF(B490="","",INDEX('Keyword Map'!$H$3:$H$1002,MATCH(A490,'Keyword Map'!$AA$3:$AA$1002,0))&amp;"")</f>
        <v/>
      </c>
      <c r="E490">
        <f>IF(B490="","",COUNTIF('Keyword Map'!$G$3:$G$1002,SUBSTITUTE(SUBSTITUTE(B490,"?","~?"),"*","~*")))</f>
        <v/>
      </c>
      <c r="F490">
        <f>IF(B490="","",COUNTIFS('Keyword Map'!$G$3:$G$1002,SUBSTITUTE(SUBSTITUTE(B490,"?","~?"),"*","~*"),'Keyword Map'!$J$3:$J$1002,"Primary"))</f>
        <v/>
      </c>
      <c r="G490">
        <f>IF(B490="","",SUMIFS('Keyword Map'!$C$3:$C$1002,'Keyword Map'!$G$3:$G$1002,SUBSTITUTE(SUBSTITUTE(B490,"?","~?"),"*","~*")))</f>
        <v/>
      </c>
      <c r="H490">
        <f>IF(B490="","",IFERROR(ROUND(AVERAGEIFS('Keyword Map'!$P$3:$P$1002,'Keyword Map'!$G$3:$G$1002,SUBSTITUTE(SUBSTITUTE(B490,"?","~?"),"*","~*")),0),""))</f>
        <v/>
      </c>
      <c r="I490">
        <f>IF(B490="","",COUNTIFS('Keyword Map'!$G$3:$G$1002,SUBSTITUTE(SUBSTITUTE(B490,"?","~?"),"*","~*"),'Keyword Map'!$R$3:$R$1002,"Yes"))</f>
        <v/>
      </c>
      <c r="J490">
        <f>IF(B490="","",COUNTIFS('Keyword Map'!$G$3:$G$1002,SUBSTITUTE(SUBSTITUTE(B490,"?","~?"),"*","~*"),'Keyword Map'!$W$3:$W$1002,"Yes"))</f>
        <v/>
      </c>
      <c r="K490">
        <f>IF(B490="","",IF(F490=0,"No primary keyword",IF(F490&gt;Settings!$B$4,"Too many primary keywords",IF(I490+J490&gt;0,"Check flags","OK"))))</f>
        <v/>
      </c>
    </row>
    <row r="491">
      <c r="A491">
        <f>ROW()-2</f>
        <v/>
      </c>
      <c r="B491">
        <f>IFERROR(INDEX('Keyword Map'!$G$3:$G$1002,MATCH(A491,'Keyword Map'!$AA$3:$AA$1002,0)),"")</f>
        <v/>
      </c>
      <c r="C491">
        <f>IF(B491="","",INDEX('Keyword Map'!$I$3:$I$1002,MATCH(A491,'Keyword Map'!$AA$3:$AA$1002,0))&amp;"")</f>
        <v/>
      </c>
      <c r="D491">
        <f>IF(B491="","",INDEX('Keyword Map'!$H$3:$H$1002,MATCH(A491,'Keyword Map'!$AA$3:$AA$1002,0))&amp;"")</f>
        <v/>
      </c>
      <c r="E491">
        <f>IF(B491="","",COUNTIF('Keyword Map'!$G$3:$G$1002,SUBSTITUTE(SUBSTITUTE(B491,"?","~?"),"*","~*")))</f>
        <v/>
      </c>
      <c r="F491">
        <f>IF(B491="","",COUNTIFS('Keyword Map'!$G$3:$G$1002,SUBSTITUTE(SUBSTITUTE(B491,"?","~?"),"*","~*"),'Keyword Map'!$J$3:$J$1002,"Primary"))</f>
        <v/>
      </c>
      <c r="G491">
        <f>IF(B491="","",SUMIFS('Keyword Map'!$C$3:$C$1002,'Keyword Map'!$G$3:$G$1002,SUBSTITUTE(SUBSTITUTE(B491,"?","~?"),"*","~*")))</f>
        <v/>
      </c>
      <c r="H491">
        <f>IF(B491="","",IFERROR(ROUND(AVERAGEIFS('Keyword Map'!$P$3:$P$1002,'Keyword Map'!$G$3:$G$1002,SUBSTITUTE(SUBSTITUTE(B491,"?","~?"),"*","~*")),0),""))</f>
        <v/>
      </c>
      <c r="I491">
        <f>IF(B491="","",COUNTIFS('Keyword Map'!$G$3:$G$1002,SUBSTITUTE(SUBSTITUTE(B491,"?","~?"),"*","~*"),'Keyword Map'!$R$3:$R$1002,"Yes"))</f>
        <v/>
      </c>
      <c r="J491">
        <f>IF(B491="","",COUNTIFS('Keyword Map'!$G$3:$G$1002,SUBSTITUTE(SUBSTITUTE(B491,"?","~?"),"*","~*"),'Keyword Map'!$W$3:$W$1002,"Yes"))</f>
        <v/>
      </c>
      <c r="K491">
        <f>IF(B491="","",IF(F491=0,"No primary keyword",IF(F491&gt;Settings!$B$4,"Too many primary keywords",IF(I491+J491&gt;0,"Check flags","OK"))))</f>
        <v/>
      </c>
    </row>
    <row r="492">
      <c r="A492">
        <f>ROW()-2</f>
        <v/>
      </c>
      <c r="B492">
        <f>IFERROR(INDEX('Keyword Map'!$G$3:$G$1002,MATCH(A492,'Keyword Map'!$AA$3:$AA$1002,0)),"")</f>
        <v/>
      </c>
      <c r="C492">
        <f>IF(B492="","",INDEX('Keyword Map'!$I$3:$I$1002,MATCH(A492,'Keyword Map'!$AA$3:$AA$1002,0))&amp;"")</f>
        <v/>
      </c>
      <c r="D492">
        <f>IF(B492="","",INDEX('Keyword Map'!$H$3:$H$1002,MATCH(A492,'Keyword Map'!$AA$3:$AA$1002,0))&amp;"")</f>
        <v/>
      </c>
      <c r="E492">
        <f>IF(B492="","",COUNTIF('Keyword Map'!$G$3:$G$1002,SUBSTITUTE(SUBSTITUTE(B492,"?","~?"),"*","~*")))</f>
        <v/>
      </c>
      <c r="F492">
        <f>IF(B492="","",COUNTIFS('Keyword Map'!$G$3:$G$1002,SUBSTITUTE(SUBSTITUTE(B492,"?","~?"),"*","~*"),'Keyword Map'!$J$3:$J$1002,"Primary"))</f>
        <v/>
      </c>
      <c r="G492">
        <f>IF(B492="","",SUMIFS('Keyword Map'!$C$3:$C$1002,'Keyword Map'!$G$3:$G$1002,SUBSTITUTE(SUBSTITUTE(B492,"?","~?"),"*","~*")))</f>
        <v/>
      </c>
      <c r="H492">
        <f>IF(B492="","",IFERROR(ROUND(AVERAGEIFS('Keyword Map'!$P$3:$P$1002,'Keyword Map'!$G$3:$G$1002,SUBSTITUTE(SUBSTITUTE(B492,"?","~?"),"*","~*")),0),""))</f>
        <v/>
      </c>
      <c r="I492">
        <f>IF(B492="","",COUNTIFS('Keyword Map'!$G$3:$G$1002,SUBSTITUTE(SUBSTITUTE(B492,"?","~?"),"*","~*"),'Keyword Map'!$R$3:$R$1002,"Yes"))</f>
        <v/>
      </c>
      <c r="J492">
        <f>IF(B492="","",COUNTIFS('Keyword Map'!$G$3:$G$1002,SUBSTITUTE(SUBSTITUTE(B492,"?","~?"),"*","~*"),'Keyword Map'!$W$3:$W$1002,"Yes"))</f>
        <v/>
      </c>
      <c r="K492">
        <f>IF(B492="","",IF(F492=0,"No primary keyword",IF(F492&gt;Settings!$B$4,"Too many primary keywords",IF(I492+J492&gt;0,"Check flags","OK"))))</f>
        <v/>
      </c>
    </row>
    <row r="493">
      <c r="A493">
        <f>ROW()-2</f>
        <v/>
      </c>
      <c r="B493">
        <f>IFERROR(INDEX('Keyword Map'!$G$3:$G$1002,MATCH(A493,'Keyword Map'!$AA$3:$AA$1002,0)),"")</f>
        <v/>
      </c>
      <c r="C493">
        <f>IF(B493="","",INDEX('Keyword Map'!$I$3:$I$1002,MATCH(A493,'Keyword Map'!$AA$3:$AA$1002,0))&amp;"")</f>
        <v/>
      </c>
      <c r="D493">
        <f>IF(B493="","",INDEX('Keyword Map'!$H$3:$H$1002,MATCH(A493,'Keyword Map'!$AA$3:$AA$1002,0))&amp;"")</f>
        <v/>
      </c>
      <c r="E493">
        <f>IF(B493="","",COUNTIF('Keyword Map'!$G$3:$G$1002,SUBSTITUTE(SUBSTITUTE(B493,"?","~?"),"*","~*")))</f>
        <v/>
      </c>
      <c r="F493">
        <f>IF(B493="","",COUNTIFS('Keyword Map'!$G$3:$G$1002,SUBSTITUTE(SUBSTITUTE(B493,"?","~?"),"*","~*"),'Keyword Map'!$J$3:$J$1002,"Primary"))</f>
        <v/>
      </c>
      <c r="G493">
        <f>IF(B493="","",SUMIFS('Keyword Map'!$C$3:$C$1002,'Keyword Map'!$G$3:$G$1002,SUBSTITUTE(SUBSTITUTE(B493,"?","~?"),"*","~*")))</f>
        <v/>
      </c>
      <c r="H493">
        <f>IF(B493="","",IFERROR(ROUND(AVERAGEIFS('Keyword Map'!$P$3:$P$1002,'Keyword Map'!$G$3:$G$1002,SUBSTITUTE(SUBSTITUTE(B493,"?","~?"),"*","~*")),0),""))</f>
        <v/>
      </c>
      <c r="I493">
        <f>IF(B493="","",COUNTIFS('Keyword Map'!$G$3:$G$1002,SUBSTITUTE(SUBSTITUTE(B493,"?","~?"),"*","~*"),'Keyword Map'!$R$3:$R$1002,"Yes"))</f>
        <v/>
      </c>
      <c r="J493">
        <f>IF(B493="","",COUNTIFS('Keyword Map'!$G$3:$G$1002,SUBSTITUTE(SUBSTITUTE(B493,"?","~?"),"*","~*"),'Keyword Map'!$W$3:$W$1002,"Yes"))</f>
        <v/>
      </c>
      <c r="K493">
        <f>IF(B493="","",IF(F493=0,"No primary keyword",IF(F493&gt;Settings!$B$4,"Too many primary keywords",IF(I493+J493&gt;0,"Check flags","OK"))))</f>
        <v/>
      </c>
    </row>
    <row r="494">
      <c r="A494">
        <f>ROW()-2</f>
        <v/>
      </c>
      <c r="B494">
        <f>IFERROR(INDEX('Keyword Map'!$G$3:$G$1002,MATCH(A494,'Keyword Map'!$AA$3:$AA$1002,0)),"")</f>
        <v/>
      </c>
      <c r="C494">
        <f>IF(B494="","",INDEX('Keyword Map'!$I$3:$I$1002,MATCH(A494,'Keyword Map'!$AA$3:$AA$1002,0))&amp;"")</f>
        <v/>
      </c>
      <c r="D494">
        <f>IF(B494="","",INDEX('Keyword Map'!$H$3:$H$1002,MATCH(A494,'Keyword Map'!$AA$3:$AA$1002,0))&amp;"")</f>
        <v/>
      </c>
      <c r="E494">
        <f>IF(B494="","",COUNTIF('Keyword Map'!$G$3:$G$1002,SUBSTITUTE(SUBSTITUTE(B494,"?","~?"),"*","~*")))</f>
        <v/>
      </c>
      <c r="F494">
        <f>IF(B494="","",COUNTIFS('Keyword Map'!$G$3:$G$1002,SUBSTITUTE(SUBSTITUTE(B494,"?","~?"),"*","~*"),'Keyword Map'!$J$3:$J$1002,"Primary"))</f>
        <v/>
      </c>
      <c r="G494">
        <f>IF(B494="","",SUMIFS('Keyword Map'!$C$3:$C$1002,'Keyword Map'!$G$3:$G$1002,SUBSTITUTE(SUBSTITUTE(B494,"?","~?"),"*","~*")))</f>
        <v/>
      </c>
      <c r="H494">
        <f>IF(B494="","",IFERROR(ROUND(AVERAGEIFS('Keyword Map'!$P$3:$P$1002,'Keyword Map'!$G$3:$G$1002,SUBSTITUTE(SUBSTITUTE(B494,"?","~?"),"*","~*")),0),""))</f>
        <v/>
      </c>
      <c r="I494">
        <f>IF(B494="","",COUNTIFS('Keyword Map'!$G$3:$G$1002,SUBSTITUTE(SUBSTITUTE(B494,"?","~?"),"*","~*"),'Keyword Map'!$R$3:$R$1002,"Yes"))</f>
        <v/>
      </c>
      <c r="J494">
        <f>IF(B494="","",COUNTIFS('Keyword Map'!$G$3:$G$1002,SUBSTITUTE(SUBSTITUTE(B494,"?","~?"),"*","~*"),'Keyword Map'!$W$3:$W$1002,"Yes"))</f>
        <v/>
      </c>
      <c r="K494">
        <f>IF(B494="","",IF(F494=0,"No primary keyword",IF(F494&gt;Settings!$B$4,"Too many primary keywords",IF(I494+J494&gt;0,"Check flags","OK"))))</f>
        <v/>
      </c>
    </row>
    <row r="495">
      <c r="A495">
        <f>ROW()-2</f>
        <v/>
      </c>
      <c r="B495">
        <f>IFERROR(INDEX('Keyword Map'!$G$3:$G$1002,MATCH(A495,'Keyword Map'!$AA$3:$AA$1002,0)),"")</f>
        <v/>
      </c>
      <c r="C495">
        <f>IF(B495="","",INDEX('Keyword Map'!$I$3:$I$1002,MATCH(A495,'Keyword Map'!$AA$3:$AA$1002,0))&amp;"")</f>
        <v/>
      </c>
      <c r="D495">
        <f>IF(B495="","",INDEX('Keyword Map'!$H$3:$H$1002,MATCH(A495,'Keyword Map'!$AA$3:$AA$1002,0))&amp;"")</f>
        <v/>
      </c>
      <c r="E495">
        <f>IF(B495="","",COUNTIF('Keyword Map'!$G$3:$G$1002,SUBSTITUTE(SUBSTITUTE(B495,"?","~?"),"*","~*")))</f>
        <v/>
      </c>
      <c r="F495">
        <f>IF(B495="","",COUNTIFS('Keyword Map'!$G$3:$G$1002,SUBSTITUTE(SUBSTITUTE(B495,"?","~?"),"*","~*"),'Keyword Map'!$J$3:$J$1002,"Primary"))</f>
        <v/>
      </c>
      <c r="G495">
        <f>IF(B495="","",SUMIFS('Keyword Map'!$C$3:$C$1002,'Keyword Map'!$G$3:$G$1002,SUBSTITUTE(SUBSTITUTE(B495,"?","~?"),"*","~*")))</f>
        <v/>
      </c>
      <c r="H495">
        <f>IF(B495="","",IFERROR(ROUND(AVERAGEIFS('Keyword Map'!$P$3:$P$1002,'Keyword Map'!$G$3:$G$1002,SUBSTITUTE(SUBSTITUTE(B495,"?","~?"),"*","~*")),0),""))</f>
        <v/>
      </c>
      <c r="I495">
        <f>IF(B495="","",COUNTIFS('Keyword Map'!$G$3:$G$1002,SUBSTITUTE(SUBSTITUTE(B495,"?","~?"),"*","~*"),'Keyword Map'!$R$3:$R$1002,"Yes"))</f>
        <v/>
      </c>
      <c r="J495">
        <f>IF(B495="","",COUNTIFS('Keyword Map'!$G$3:$G$1002,SUBSTITUTE(SUBSTITUTE(B495,"?","~?"),"*","~*"),'Keyword Map'!$W$3:$W$1002,"Yes"))</f>
        <v/>
      </c>
      <c r="K495">
        <f>IF(B495="","",IF(F495=0,"No primary keyword",IF(F495&gt;Settings!$B$4,"Too many primary keywords",IF(I495+J495&gt;0,"Check flags","OK"))))</f>
        <v/>
      </c>
    </row>
    <row r="496">
      <c r="A496">
        <f>ROW()-2</f>
        <v/>
      </c>
      <c r="B496">
        <f>IFERROR(INDEX('Keyword Map'!$G$3:$G$1002,MATCH(A496,'Keyword Map'!$AA$3:$AA$1002,0)),"")</f>
        <v/>
      </c>
      <c r="C496">
        <f>IF(B496="","",INDEX('Keyword Map'!$I$3:$I$1002,MATCH(A496,'Keyword Map'!$AA$3:$AA$1002,0))&amp;"")</f>
        <v/>
      </c>
      <c r="D496">
        <f>IF(B496="","",INDEX('Keyword Map'!$H$3:$H$1002,MATCH(A496,'Keyword Map'!$AA$3:$AA$1002,0))&amp;"")</f>
        <v/>
      </c>
      <c r="E496">
        <f>IF(B496="","",COUNTIF('Keyword Map'!$G$3:$G$1002,SUBSTITUTE(SUBSTITUTE(B496,"?","~?"),"*","~*")))</f>
        <v/>
      </c>
      <c r="F496">
        <f>IF(B496="","",COUNTIFS('Keyword Map'!$G$3:$G$1002,SUBSTITUTE(SUBSTITUTE(B496,"?","~?"),"*","~*"),'Keyword Map'!$J$3:$J$1002,"Primary"))</f>
        <v/>
      </c>
      <c r="G496">
        <f>IF(B496="","",SUMIFS('Keyword Map'!$C$3:$C$1002,'Keyword Map'!$G$3:$G$1002,SUBSTITUTE(SUBSTITUTE(B496,"?","~?"),"*","~*")))</f>
        <v/>
      </c>
      <c r="H496">
        <f>IF(B496="","",IFERROR(ROUND(AVERAGEIFS('Keyword Map'!$P$3:$P$1002,'Keyword Map'!$G$3:$G$1002,SUBSTITUTE(SUBSTITUTE(B496,"?","~?"),"*","~*")),0),""))</f>
        <v/>
      </c>
      <c r="I496">
        <f>IF(B496="","",COUNTIFS('Keyword Map'!$G$3:$G$1002,SUBSTITUTE(SUBSTITUTE(B496,"?","~?"),"*","~*"),'Keyword Map'!$R$3:$R$1002,"Yes"))</f>
        <v/>
      </c>
      <c r="J496">
        <f>IF(B496="","",COUNTIFS('Keyword Map'!$G$3:$G$1002,SUBSTITUTE(SUBSTITUTE(B496,"?","~?"),"*","~*"),'Keyword Map'!$W$3:$W$1002,"Yes"))</f>
        <v/>
      </c>
      <c r="K496">
        <f>IF(B496="","",IF(F496=0,"No primary keyword",IF(F496&gt;Settings!$B$4,"Too many primary keywords",IF(I496+J496&gt;0,"Check flags","OK"))))</f>
        <v/>
      </c>
    </row>
    <row r="497">
      <c r="A497">
        <f>ROW()-2</f>
        <v/>
      </c>
      <c r="B497">
        <f>IFERROR(INDEX('Keyword Map'!$G$3:$G$1002,MATCH(A497,'Keyword Map'!$AA$3:$AA$1002,0)),"")</f>
        <v/>
      </c>
      <c r="C497">
        <f>IF(B497="","",INDEX('Keyword Map'!$I$3:$I$1002,MATCH(A497,'Keyword Map'!$AA$3:$AA$1002,0))&amp;"")</f>
        <v/>
      </c>
      <c r="D497">
        <f>IF(B497="","",INDEX('Keyword Map'!$H$3:$H$1002,MATCH(A497,'Keyword Map'!$AA$3:$AA$1002,0))&amp;"")</f>
        <v/>
      </c>
      <c r="E497">
        <f>IF(B497="","",COUNTIF('Keyword Map'!$G$3:$G$1002,SUBSTITUTE(SUBSTITUTE(B497,"?","~?"),"*","~*")))</f>
        <v/>
      </c>
      <c r="F497">
        <f>IF(B497="","",COUNTIFS('Keyword Map'!$G$3:$G$1002,SUBSTITUTE(SUBSTITUTE(B497,"?","~?"),"*","~*"),'Keyword Map'!$J$3:$J$1002,"Primary"))</f>
        <v/>
      </c>
      <c r="G497">
        <f>IF(B497="","",SUMIFS('Keyword Map'!$C$3:$C$1002,'Keyword Map'!$G$3:$G$1002,SUBSTITUTE(SUBSTITUTE(B497,"?","~?"),"*","~*")))</f>
        <v/>
      </c>
      <c r="H497">
        <f>IF(B497="","",IFERROR(ROUND(AVERAGEIFS('Keyword Map'!$P$3:$P$1002,'Keyword Map'!$G$3:$G$1002,SUBSTITUTE(SUBSTITUTE(B497,"?","~?"),"*","~*")),0),""))</f>
        <v/>
      </c>
      <c r="I497">
        <f>IF(B497="","",COUNTIFS('Keyword Map'!$G$3:$G$1002,SUBSTITUTE(SUBSTITUTE(B497,"?","~?"),"*","~*"),'Keyword Map'!$R$3:$R$1002,"Yes"))</f>
        <v/>
      </c>
      <c r="J497">
        <f>IF(B497="","",COUNTIFS('Keyword Map'!$G$3:$G$1002,SUBSTITUTE(SUBSTITUTE(B497,"?","~?"),"*","~*"),'Keyword Map'!$W$3:$W$1002,"Yes"))</f>
        <v/>
      </c>
      <c r="K497">
        <f>IF(B497="","",IF(F497=0,"No primary keyword",IF(F497&gt;Settings!$B$4,"Too many primary keywords",IF(I497+J497&gt;0,"Check flags","OK"))))</f>
        <v/>
      </c>
    </row>
    <row r="498">
      <c r="A498">
        <f>ROW()-2</f>
        <v/>
      </c>
      <c r="B498">
        <f>IFERROR(INDEX('Keyword Map'!$G$3:$G$1002,MATCH(A498,'Keyword Map'!$AA$3:$AA$1002,0)),"")</f>
        <v/>
      </c>
      <c r="C498">
        <f>IF(B498="","",INDEX('Keyword Map'!$I$3:$I$1002,MATCH(A498,'Keyword Map'!$AA$3:$AA$1002,0))&amp;"")</f>
        <v/>
      </c>
      <c r="D498">
        <f>IF(B498="","",INDEX('Keyword Map'!$H$3:$H$1002,MATCH(A498,'Keyword Map'!$AA$3:$AA$1002,0))&amp;"")</f>
        <v/>
      </c>
      <c r="E498">
        <f>IF(B498="","",COUNTIF('Keyword Map'!$G$3:$G$1002,SUBSTITUTE(SUBSTITUTE(B498,"?","~?"),"*","~*")))</f>
        <v/>
      </c>
      <c r="F498">
        <f>IF(B498="","",COUNTIFS('Keyword Map'!$G$3:$G$1002,SUBSTITUTE(SUBSTITUTE(B498,"?","~?"),"*","~*"),'Keyword Map'!$J$3:$J$1002,"Primary"))</f>
        <v/>
      </c>
      <c r="G498">
        <f>IF(B498="","",SUMIFS('Keyword Map'!$C$3:$C$1002,'Keyword Map'!$G$3:$G$1002,SUBSTITUTE(SUBSTITUTE(B498,"?","~?"),"*","~*")))</f>
        <v/>
      </c>
      <c r="H498">
        <f>IF(B498="","",IFERROR(ROUND(AVERAGEIFS('Keyword Map'!$P$3:$P$1002,'Keyword Map'!$G$3:$G$1002,SUBSTITUTE(SUBSTITUTE(B498,"?","~?"),"*","~*")),0),""))</f>
        <v/>
      </c>
      <c r="I498">
        <f>IF(B498="","",COUNTIFS('Keyword Map'!$G$3:$G$1002,SUBSTITUTE(SUBSTITUTE(B498,"?","~?"),"*","~*"),'Keyword Map'!$R$3:$R$1002,"Yes"))</f>
        <v/>
      </c>
      <c r="J498">
        <f>IF(B498="","",COUNTIFS('Keyword Map'!$G$3:$G$1002,SUBSTITUTE(SUBSTITUTE(B498,"?","~?"),"*","~*"),'Keyword Map'!$W$3:$W$1002,"Yes"))</f>
        <v/>
      </c>
      <c r="K498">
        <f>IF(B498="","",IF(F498=0,"No primary keyword",IF(F498&gt;Settings!$B$4,"Too many primary keywords",IF(I498+J498&gt;0,"Check flags","OK"))))</f>
        <v/>
      </c>
    </row>
    <row r="499">
      <c r="A499">
        <f>ROW()-2</f>
        <v/>
      </c>
      <c r="B499">
        <f>IFERROR(INDEX('Keyword Map'!$G$3:$G$1002,MATCH(A499,'Keyword Map'!$AA$3:$AA$1002,0)),"")</f>
        <v/>
      </c>
      <c r="C499">
        <f>IF(B499="","",INDEX('Keyword Map'!$I$3:$I$1002,MATCH(A499,'Keyword Map'!$AA$3:$AA$1002,0))&amp;"")</f>
        <v/>
      </c>
      <c r="D499">
        <f>IF(B499="","",INDEX('Keyword Map'!$H$3:$H$1002,MATCH(A499,'Keyword Map'!$AA$3:$AA$1002,0))&amp;"")</f>
        <v/>
      </c>
      <c r="E499">
        <f>IF(B499="","",COUNTIF('Keyword Map'!$G$3:$G$1002,SUBSTITUTE(SUBSTITUTE(B499,"?","~?"),"*","~*")))</f>
        <v/>
      </c>
      <c r="F499">
        <f>IF(B499="","",COUNTIFS('Keyword Map'!$G$3:$G$1002,SUBSTITUTE(SUBSTITUTE(B499,"?","~?"),"*","~*"),'Keyword Map'!$J$3:$J$1002,"Primary"))</f>
        <v/>
      </c>
      <c r="G499">
        <f>IF(B499="","",SUMIFS('Keyword Map'!$C$3:$C$1002,'Keyword Map'!$G$3:$G$1002,SUBSTITUTE(SUBSTITUTE(B499,"?","~?"),"*","~*")))</f>
        <v/>
      </c>
      <c r="H499">
        <f>IF(B499="","",IFERROR(ROUND(AVERAGEIFS('Keyword Map'!$P$3:$P$1002,'Keyword Map'!$G$3:$G$1002,SUBSTITUTE(SUBSTITUTE(B499,"?","~?"),"*","~*")),0),""))</f>
        <v/>
      </c>
      <c r="I499">
        <f>IF(B499="","",COUNTIFS('Keyword Map'!$G$3:$G$1002,SUBSTITUTE(SUBSTITUTE(B499,"?","~?"),"*","~*"),'Keyword Map'!$R$3:$R$1002,"Yes"))</f>
        <v/>
      </c>
      <c r="J499">
        <f>IF(B499="","",COUNTIFS('Keyword Map'!$G$3:$G$1002,SUBSTITUTE(SUBSTITUTE(B499,"?","~?"),"*","~*"),'Keyword Map'!$W$3:$W$1002,"Yes"))</f>
        <v/>
      </c>
      <c r="K499">
        <f>IF(B499="","",IF(F499=0,"No primary keyword",IF(F499&gt;Settings!$B$4,"Too many primary keywords",IF(I499+J499&gt;0,"Check flags","OK"))))</f>
        <v/>
      </c>
    </row>
    <row r="500">
      <c r="A500">
        <f>ROW()-2</f>
        <v/>
      </c>
      <c r="B500">
        <f>IFERROR(INDEX('Keyword Map'!$G$3:$G$1002,MATCH(A500,'Keyword Map'!$AA$3:$AA$1002,0)),"")</f>
        <v/>
      </c>
      <c r="C500">
        <f>IF(B500="","",INDEX('Keyword Map'!$I$3:$I$1002,MATCH(A500,'Keyword Map'!$AA$3:$AA$1002,0))&amp;"")</f>
        <v/>
      </c>
      <c r="D500">
        <f>IF(B500="","",INDEX('Keyword Map'!$H$3:$H$1002,MATCH(A500,'Keyword Map'!$AA$3:$AA$1002,0))&amp;"")</f>
        <v/>
      </c>
      <c r="E500">
        <f>IF(B500="","",COUNTIF('Keyword Map'!$G$3:$G$1002,SUBSTITUTE(SUBSTITUTE(B500,"?","~?"),"*","~*")))</f>
        <v/>
      </c>
      <c r="F500">
        <f>IF(B500="","",COUNTIFS('Keyword Map'!$G$3:$G$1002,SUBSTITUTE(SUBSTITUTE(B500,"?","~?"),"*","~*"),'Keyword Map'!$J$3:$J$1002,"Primary"))</f>
        <v/>
      </c>
      <c r="G500">
        <f>IF(B500="","",SUMIFS('Keyword Map'!$C$3:$C$1002,'Keyword Map'!$G$3:$G$1002,SUBSTITUTE(SUBSTITUTE(B500,"?","~?"),"*","~*")))</f>
        <v/>
      </c>
      <c r="H500">
        <f>IF(B500="","",IFERROR(ROUND(AVERAGEIFS('Keyword Map'!$P$3:$P$1002,'Keyword Map'!$G$3:$G$1002,SUBSTITUTE(SUBSTITUTE(B500,"?","~?"),"*","~*")),0),""))</f>
        <v/>
      </c>
      <c r="I500">
        <f>IF(B500="","",COUNTIFS('Keyword Map'!$G$3:$G$1002,SUBSTITUTE(SUBSTITUTE(B500,"?","~?"),"*","~*"),'Keyword Map'!$R$3:$R$1002,"Yes"))</f>
        <v/>
      </c>
      <c r="J500">
        <f>IF(B500="","",COUNTIFS('Keyword Map'!$G$3:$G$1002,SUBSTITUTE(SUBSTITUTE(B500,"?","~?"),"*","~*"),'Keyword Map'!$W$3:$W$1002,"Yes"))</f>
        <v/>
      </c>
      <c r="K500">
        <f>IF(B500="","",IF(F500=0,"No primary keyword",IF(F500&gt;Settings!$B$4,"Too many primary keywords",IF(I500+J500&gt;0,"Check flags","OK"))))</f>
        <v/>
      </c>
    </row>
    <row r="501">
      <c r="A501">
        <f>ROW()-2</f>
        <v/>
      </c>
      <c r="B501">
        <f>IFERROR(INDEX('Keyword Map'!$G$3:$G$1002,MATCH(A501,'Keyword Map'!$AA$3:$AA$1002,0)),"")</f>
        <v/>
      </c>
      <c r="C501">
        <f>IF(B501="","",INDEX('Keyword Map'!$I$3:$I$1002,MATCH(A501,'Keyword Map'!$AA$3:$AA$1002,0))&amp;"")</f>
        <v/>
      </c>
      <c r="D501">
        <f>IF(B501="","",INDEX('Keyword Map'!$H$3:$H$1002,MATCH(A501,'Keyword Map'!$AA$3:$AA$1002,0))&amp;"")</f>
        <v/>
      </c>
      <c r="E501">
        <f>IF(B501="","",COUNTIF('Keyword Map'!$G$3:$G$1002,SUBSTITUTE(SUBSTITUTE(B501,"?","~?"),"*","~*")))</f>
        <v/>
      </c>
      <c r="F501">
        <f>IF(B501="","",COUNTIFS('Keyword Map'!$G$3:$G$1002,SUBSTITUTE(SUBSTITUTE(B501,"?","~?"),"*","~*"),'Keyword Map'!$J$3:$J$1002,"Primary"))</f>
        <v/>
      </c>
      <c r="G501">
        <f>IF(B501="","",SUMIFS('Keyword Map'!$C$3:$C$1002,'Keyword Map'!$G$3:$G$1002,SUBSTITUTE(SUBSTITUTE(B501,"?","~?"),"*","~*")))</f>
        <v/>
      </c>
      <c r="H501">
        <f>IF(B501="","",IFERROR(ROUND(AVERAGEIFS('Keyword Map'!$P$3:$P$1002,'Keyword Map'!$G$3:$G$1002,SUBSTITUTE(SUBSTITUTE(B501,"?","~?"),"*","~*")),0),""))</f>
        <v/>
      </c>
      <c r="I501">
        <f>IF(B501="","",COUNTIFS('Keyword Map'!$G$3:$G$1002,SUBSTITUTE(SUBSTITUTE(B501,"?","~?"),"*","~*"),'Keyword Map'!$R$3:$R$1002,"Yes"))</f>
        <v/>
      </c>
      <c r="J501">
        <f>IF(B501="","",COUNTIFS('Keyword Map'!$G$3:$G$1002,SUBSTITUTE(SUBSTITUTE(B501,"?","~?"),"*","~*"),'Keyword Map'!$W$3:$W$1002,"Yes"))</f>
        <v/>
      </c>
      <c r="K501">
        <f>IF(B501="","",IF(F501=0,"No primary keyword",IF(F501&gt;Settings!$B$4,"Too many primary keywords",IF(I501+J501&gt;0,"Check flags","OK"))))</f>
        <v/>
      </c>
    </row>
    <row r="502">
      <c r="A502">
        <f>ROW()-2</f>
        <v/>
      </c>
      <c r="B502">
        <f>IFERROR(INDEX('Keyword Map'!$G$3:$G$1002,MATCH(A502,'Keyword Map'!$AA$3:$AA$1002,0)),"")</f>
        <v/>
      </c>
      <c r="C502">
        <f>IF(B502="","",INDEX('Keyword Map'!$I$3:$I$1002,MATCH(A502,'Keyword Map'!$AA$3:$AA$1002,0))&amp;"")</f>
        <v/>
      </c>
      <c r="D502">
        <f>IF(B502="","",INDEX('Keyword Map'!$H$3:$H$1002,MATCH(A502,'Keyword Map'!$AA$3:$AA$1002,0))&amp;"")</f>
        <v/>
      </c>
      <c r="E502">
        <f>IF(B502="","",COUNTIF('Keyword Map'!$G$3:$G$1002,SUBSTITUTE(SUBSTITUTE(B502,"?","~?"),"*","~*")))</f>
        <v/>
      </c>
      <c r="F502">
        <f>IF(B502="","",COUNTIFS('Keyword Map'!$G$3:$G$1002,SUBSTITUTE(SUBSTITUTE(B502,"?","~?"),"*","~*"),'Keyword Map'!$J$3:$J$1002,"Primary"))</f>
        <v/>
      </c>
      <c r="G502">
        <f>IF(B502="","",SUMIFS('Keyword Map'!$C$3:$C$1002,'Keyword Map'!$G$3:$G$1002,SUBSTITUTE(SUBSTITUTE(B502,"?","~?"),"*","~*")))</f>
        <v/>
      </c>
      <c r="H502">
        <f>IF(B502="","",IFERROR(ROUND(AVERAGEIFS('Keyword Map'!$P$3:$P$1002,'Keyword Map'!$G$3:$G$1002,SUBSTITUTE(SUBSTITUTE(B502,"?","~?"),"*","~*")),0),""))</f>
        <v/>
      </c>
      <c r="I502">
        <f>IF(B502="","",COUNTIFS('Keyword Map'!$G$3:$G$1002,SUBSTITUTE(SUBSTITUTE(B502,"?","~?"),"*","~*"),'Keyword Map'!$R$3:$R$1002,"Yes"))</f>
        <v/>
      </c>
      <c r="J502">
        <f>IF(B502="","",COUNTIFS('Keyword Map'!$G$3:$G$1002,SUBSTITUTE(SUBSTITUTE(B502,"?","~?"),"*","~*"),'Keyword Map'!$W$3:$W$1002,"Yes"))</f>
        <v/>
      </c>
      <c r="K502">
        <f>IF(B502="","",IF(F502=0,"No primary keyword",IF(F502&gt;Settings!$B$4,"Too many primary keywords",IF(I502+J502&gt;0,"Check flags","OK"))))</f>
        <v/>
      </c>
    </row>
  </sheetData>
  <autoFilter ref="A2:K502"/>
  <conditionalFormatting sqref="A3:K502">
    <cfRule type="expression" priority="1" dxfId="0">
      <formula>AND($B3&lt;&gt;"",MOD(ROW(),2)=0)</formula>
    </cfRule>
  </conditionalFormatting>
  <conditionalFormatting sqref="K3:K502">
    <cfRule type="expression" priority="2" dxfId="1">
      <formula>$K3="Too many primary keywords"</formula>
    </cfRule>
    <cfRule type="expression" priority="3" dxfId="2">
      <formula>OR($K3="Check flags",$K3="No primary keyword")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14" customWidth="1" min="4" max="4"/>
    <col width="14" customWidth="1" min="5" max="5"/>
    <col width="12" customWidth="1" min="6" max="6"/>
    <col width="14" customWidth="1" min="7" max="7"/>
    <col width="13" customWidth="1" min="8" max="8"/>
    <col width="11" customWidth="1" min="9" max="9"/>
  </cols>
  <sheetData>
    <row r="1">
      <c r="A1" s="1" t="inlineStr">
        <is>
          <t>Cluster Summary</t>
        </is>
      </c>
    </row>
    <row r="2" ht="34" customHeight="1">
      <c r="A2" s="18" t="inlineStr">
        <is>
          <t>#</t>
        </is>
      </c>
      <c r="B2" s="18" t="inlineStr">
        <is>
          <t>Cluster</t>
        </is>
      </c>
      <c r="C2" s="18" t="inlineStr">
        <is>
          <t>Keywords</t>
        </is>
      </c>
      <c r="D2" s="18" t="inlineStr">
        <is>
          <t>Search volume</t>
        </is>
      </c>
      <c r="E2" s="18" t="inlineStr">
        <is>
          <t>Mapped to a URL</t>
        </is>
      </c>
      <c r="F2" s="18" t="inlineStr">
        <is>
          <t>Not mapped</t>
        </is>
      </c>
      <c r="G2" s="18" t="inlineStr">
        <is>
          <t>Cannibalised keywords</t>
        </is>
      </c>
      <c r="H2" s="18" t="inlineStr">
        <is>
          <t>Intent mismatches</t>
        </is>
      </c>
      <c r="I2" s="18" t="inlineStr">
        <is>
          <t>Avg priority</t>
        </is>
      </c>
    </row>
    <row r="3">
      <c r="A3">
        <f>ROW()-2</f>
        <v/>
      </c>
      <c r="B3">
        <f>IFERROR(INDEX('Keyword Map'!$B$3:$B$1002,MATCH(A3,'Keyword Map'!$AB$3:$AB$1002,0)),"")</f>
        <v/>
      </c>
      <c r="C3">
        <f>IF(B3="","",COUNTIF('Keyword Map'!$B$3:$B$1002,SUBSTITUTE(SUBSTITUTE(B3,"?","~?"),"*","~*")))</f>
        <v/>
      </c>
      <c r="D3">
        <f>IF(B3="","",SUMIFS('Keyword Map'!$C$3:$C$1002,'Keyword Map'!$B$3:$B$1002,SUBSTITUTE(SUBSTITUTE(B3,"?","~?"),"*","~*")))</f>
        <v/>
      </c>
      <c r="E3">
        <f>IF(B3="","",SUMPRODUCT(('Keyword Map'!$B$3:$B$1002=B3)*(LEN('Keyword Map'!$G$3:$G$1002)&gt;0)))</f>
        <v/>
      </c>
      <c r="F3">
        <f>IF(B3="","",C3-E3)</f>
        <v/>
      </c>
      <c r="G3">
        <f>IF(B3="","",COUNTIFS('Keyword Map'!$B$3:$B$1002,SUBSTITUTE(SUBSTITUTE(B3,"?","~?"),"*","~*"),'Keyword Map'!$R$3:$R$1002,"Yes"))</f>
        <v/>
      </c>
      <c r="H3">
        <f>IF(B3="","",COUNTIFS('Keyword Map'!$B$3:$B$1002,SUBSTITUTE(SUBSTITUTE(B3,"?","~?"),"*","~*"),'Keyword Map'!$W$3:$W$1002,"Yes"))</f>
        <v/>
      </c>
      <c r="I3">
        <f>IF(B3="","",IFERROR(ROUND(AVERAGEIFS('Keyword Map'!$P$3:$P$1002,'Keyword Map'!$B$3:$B$1002,SUBSTITUTE(SUBSTITUTE(B3,"?","~?"),"*","~*")),0),""))</f>
        <v/>
      </c>
    </row>
    <row r="4">
      <c r="A4">
        <f>ROW()-2</f>
        <v/>
      </c>
      <c r="B4">
        <f>IFERROR(INDEX('Keyword Map'!$B$3:$B$1002,MATCH(A4,'Keyword Map'!$AB$3:$AB$1002,0)),"")</f>
        <v/>
      </c>
      <c r="C4">
        <f>IF(B4="","",COUNTIF('Keyword Map'!$B$3:$B$1002,SUBSTITUTE(SUBSTITUTE(B4,"?","~?"),"*","~*")))</f>
        <v/>
      </c>
      <c r="D4">
        <f>IF(B4="","",SUMIFS('Keyword Map'!$C$3:$C$1002,'Keyword Map'!$B$3:$B$1002,SUBSTITUTE(SUBSTITUTE(B4,"?","~?"),"*","~*")))</f>
        <v/>
      </c>
      <c r="E4">
        <f>IF(B4="","",SUMPRODUCT(('Keyword Map'!$B$3:$B$1002=B4)*(LEN('Keyword Map'!$G$3:$G$1002)&gt;0)))</f>
        <v/>
      </c>
      <c r="F4">
        <f>IF(B4="","",C4-E4)</f>
        <v/>
      </c>
      <c r="G4">
        <f>IF(B4="","",COUNTIFS('Keyword Map'!$B$3:$B$1002,SUBSTITUTE(SUBSTITUTE(B4,"?","~?"),"*","~*"),'Keyword Map'!$R$3:$R$1002,"Yes"))</f>
        <v/>
      </c>
      <c r="H4">
        <f>IF(B4="","",COUNTIFS('Keyword Map'!$B$3:$B$1002,SUBSTITUTE(SUBSTITUTE(B4,"?","~?"),"*","~*"),'Keyword Map'!$W$3:$W$1002,"Yes"))</f>
        <v/>
      </c>
      <c r="I4">
        <f>IF(B4="","",IFERROR(ROUND(AVERAGEIFS('Keyword Map'!$P$3:$P$1002,'Keyword Map'!$B$3:$B$1002,SUBSTITUTE(SUBSTITUTE(B4,"?","~?"),"*","~*")),0),""))</f>
        <v/>
      </c>
    </row>
    <row r="5">
      <c r="A5">
        <f>ROW()-2</f>
        <v/>
      </c>
      <c r="B5">
        <f>IFERROR(INDEX('Keyword Map'!$B$3:$B$1002,MATCH(A5,'Keyword Map'!$AB$3:$AB$1002,0)),"")</f>
        <v/>
      </c>
      <c r="C5">
        <f>IF(B5="","",COUNTIF('Keyword Map'!$B$3:$B$1002,SUBSTITUTE(SUBSTITUTE(B5,"?","~?"),"*","~*")))</f>
        <v/>
      </c>
      <c r="D5">
        <f>IF(B5="","",SUMIFS('Keyword Map'!$C$3:$C$1002,'Keyword Map'!$B$3:$B$1002,SUBSTITUTE(SUBSTITUTE(B5,"?","~?"),"*","~*")))</f>
        <v/>
      </c>
      <c r="E5">
        <f>IF(B5="","",SUMPRODUCT(('Keyword Map'!$B$3:$B$1002=B5)*(LEN('Keyword Map'!$G$3:$G$1002)&gt;0)))</f>
        <v/>
      </c>
      <c r="F5">
        <f>IF(B5="","",C5-E5)</f>
        <v/>
      </c>
      <c r="G5">
        <f>IF(B5="","",COUNTIFS('Keyword Map'!$B$3:$B$1002,SUBSTITUTE(SUBSTITUTE(B5,"?","~?"),"*","~*"),'Keyword Map'!$R$3:$R$1002,"Yes"))</f>
        <v/>
      </c>
      <c r="H5">
        <f>IF(B5="","",COUNTIFS('Keyword Map'!$B$3:$B$1002,SUBSTITUTE(SUBSTITUTE(B5,"?","~?"),"*","~*"),'Keyword Map'!$W$3:$W$1002,"Yes"))</f>
        <v/>
      </c>
      <c r="I5">
        <f>IF(B5="","",IFERROR(ROUND(AVERAGEIFS('Keyword Map'!$P$3:$P$1002,'Keyword Map'!$B$3:$B$1002,SUBSTITUTE(SUBSTITUTE(B5,"?","~?"),"*","~*")),0),""))</f>
        <v/>
      </c>
    </row>
    <row r="6">
      <c r="A6">
        <f>ROW()-2</f>
        <v/>
      </c>
      <c r="B6">
        <f>IFERROR(INDEX('Keyword Map'!$B$3:$B$1002,MATCH(A6,'Keyword Map'!$AB$3:$AB$1002,0)),"")</f>
        <v/>
      </c>
      <c r="C6">
        <f>IF(B6="","",COUNTIF('Keyword Map'!$B$3:$B$1002,SUBSTITUTE(SUBSTITUTE(B6,"?","~?"),"*","~*")))</f>
        <v/>
      </c>
      <c r="D6">
        <f>IF(B6="","",SUMIFS('Keyword Map'!$C$3:$C$1002,'Keyword Map'!$B$3:$B$1002,SUBSTITUTE(SUBSTITUTE(B6,"?","~?"),"*","~*")))</f>
        <v/>
      </c>
      <c r="E6">
        <f>IF(B6="","",SUMPRODUCT(('Keyword Map'!$B$3:$B$1002=B6)*(LEN('Keyword Map'!$G$3:$G$1002)&gt;0)))</f>
        <v/>
      </c>
      <c r="F6">
        <f>IF(B6="","",C6-E6)</f>
        <v/>
      </c>
      <c r="G6">
        <f>IF(B6="","",COUNTIFS('Keyword Map'!$B$3:$B$1002,SUBSTITUTE(SUBSTITUTE(B6,"?","~?"),"*","~*"),'Keyword Map'!$R$3:$R$1002,"Yes"))</f>
        <v/>
      </c>
      <c r="H6">
        <f>IF(B6="","",COUNTIFS('Keyword Map'!$B$3:$B$1002,SUBSTITUTE(SUBSTITUTE(B6,"?","~?"),"*","~*"),'Keyword Map'!$W$3:$W$1002,"Yes"))</f>
        <v/>
      </c>
      <c r="I6">
        <f>IF(B6="","",IFERROR(ROUND(AVERAGEIFS('Keyword Map'!$P$3:$P$1002,'Keyword Map'!$B$3:$B$1002,SUBSTITUTE(SUBSTITUTE(B6,"?","~?"),"*","~*")),0),""))</f>
        <v/>
      </c>
    </row>
    <row r="7">
      <c r="A7">
        <f>ROW()-2</f>
        <v/>
      </c>
      <c r="B7">
        <f>IFERROR(INDEX('Keyword Map'!$B$3:$B$1002,MATCH(A7,'Keyword Map'!$AB$3:$AB$1002,0)),"")</f>
        <v/>
      </c>
      <c r="C7">
        <f>IF(B7="","",COUNTIF('Keyword Map'!$B$3:$B$1002,SUBSTITUTE(SUBSTITUTE(B7,"?","~?"),"*","~*")))</f>
        <v/>
      </c>
      <c r="D7">
        <f>IF(B7="","",SUMIFS('Keyword Map'!$C$3:$C$1002,'Keyword Map'!$B$3:$B$1002,SUBSTITUTE(SUBSTITUTE(B7,"?","~?"),"*","~*")))</f>
        <v/>
      </c>
      <c r="E7">
        <f>IF(B7="","",SUMPRODUCT(('Keyword Map'!$B$3:$B$1002=B7)*(LEN('Keyword Map'!$G$3:$G$1002)&gt;0)))</f>
        <v/>
      </c>
      <c r="F7">
        <f>IF(B7="","",C7-E7)</f>
        <v/>
      </c>
      <c r="G7">
        <f>IF(B7="","",COUNTIFS('Keyword Map'!$B$3:$B$1002,SUBSTITUTE(SUBSTITUTE(B7,"?","~?"),"*","~*"),'Keyword Map'!$R$3:$R$1002,"Yes"))</f>
        <v/>
      </c>
      <c r="H7">
        <f>IF(B7="","",COUNTIFS('Keyword Map'!$B$3:$B$1002,SUBSTITUTE(SUBSTITUTE(B7,"?","~?"),"*","~*"),'Keyword Map'!$W$3:$W$1002,"Yes"))</f>
        <v/>
      </c>
      <c r="I7">
        <f>IF(B7="","",IFERROR(ROUND(AVERAGEIFS('Keyword Map'!$P$3:$P$1002,'Keyword Map'!$B$3:$B$1002,SUBSTITUTE(SUBSTITUTE(B7,"?","~?"),"*","~*")),0),""))</f>
        <v/>
      </c>
    </row>
    <row r="8">
      <c r="A8">
        <f>ROW()-2</f>
        <v/>
      </c>
      <c r="B8">
        <f>IFERROR(INDEX('Keyword Map'!$B$3:$B$1002,MATCH(A8,'Keyword Map'!$AB$3:$AB$1002,0)),"")</f>
        <v/>
      </c>
      <c r="C8">
        <f>IF(B8="","",COUNTIF('Keyword Map'!$B$3:$B$1002,SUBSTITUTE(SUBSTITUTE(B8,"?","~?"),"*","~*")))</f>
        <v/>
      </c>
      <c r="D8">
        <f>IF(B8="","",SUMIFS('Keyword Map'!$C$3:$C$1002,'Keyword Map'!$B$3:$B$1002,SUBSTITUTE(SUBSTITUTE(B8,"?","~?"),"*","~*")))</f>
        <v/>
      </c>
      <c r="E8">
        <f>IF(B8="","",SUMPRODUCT(('Keyword Map'!$B$3:$B$1002=B8)*(LEN('Keyword Map'!$G$3:$G$1002)&gt;0)))</f>
        <v/>
      </c>
      <c r="F8">
        <f>IF(B8="","",C8-E8)</f>
        <v/>
      </c>
      <c r="G8">
        <f>IF(B8="","",COUNTIFS('Keyword Map'!$B$3:$B$1002,SUBSTITUTE(SUBSTITUTE(B8,"?","~?"),"*","~*"),'Keyword Map'!$R$3:$R$1002,"Yes"))</f>
        <v/>
      </c>
      <c r="H8">
        <f>IF(B8="","",COUNTIFS('Keyword Map'!$B$3:$B$1002,SUBSTITUTE(SUBSTITUTE(B8,"?","~?"),"*","~*"),'Keyword Map'!$W$3:$W$1002,"Yes"))</f>
        <v/>
      </c>
      <c r="I8">
        <f>IF(B8="","",IFERROR(ROUND(AVERAGEIFS('Keyword Map'!$P$3:$P$1002,'Keyword Map'!$B$3:$B$1002,SUBSTITUTE(SUBSTITUTE(B8,"?","~?"),"*","~*")),0),""))</f>
        <v/>
      </c>
    </row>
    <row r="9">
      <c r="A9">
        <f>ROW()-2</f>
        <v/>
      </c>
      <c r="B9">
        <f>IFERROR(INDEX('Keyword Map'!$B$3:$B$1002,MATCH(A9,'Keyword Map'!$AB$3:$AB$1002,0)),"")</f>
        <v/>
      </c>
      <c r="C9">
        <f>IF(B9="","",COUNTIF('Keyword Map'!$B$3:$B$1002,SUBSTITUTE(SUBSTITUTE(B9,"?","~?"),"*","~*")))</f>
        <v/>
      </c>
      <c r="D9">
        <f>IF(B9="","",SUMIFS('Keyword Map'!$C$3:$C$1002,'Keyword Map'!$B$3:$B$1002,SUBSTITUTE(SUBSTITUTE(B9,"?","~?"),"*","~*")))</f>
        <v/>
      </c>
      <c r="E9">
        <f>IF(B9="","",SUMPRODUCT(('Keyword Map'!$B$3:$B$1002=B9)*(LEN('Keyword Map'!$G$3:$G$1002)&gt;0)))</f>
        <v/>
      </c>
      <c r="F9">
        <f>IF(B9="","",C9-E9)</f>
        <v/>
      </c>
      <c r="G9">
        <f>IF(B9="","",COUNTIFS('Keyword Map'!$B$3:$B$1002,SUBSTITUTE(SUBSTITUTE(B9,"?","~?"),"*","~*"),'Keyword Map'!$R$3:$R$1002,"Yes"))</f>
        <v/>
      </c>
      <c r="H9">
        <f>IF(B9="","",COUNTIFS('Keyword Map'!$B$3:$B$1002,SUBSTITUTE(SUBSTITUTE(B9,"?","~?"),"*","~*"),'Keyword Map'!$W$3:$W$1002,"Yes"))</f>
        <v/>
      </c>
      <c r="I9">
        <f>IF(B9="","",IFERROR(ROUND(AVERAGEIFS('Keyword Map'!$P$3:$P$1002,'Keyword Map'!$B$3:$B$1002,SUBSTITUTE(SUBSTITUTE(B9,"?","~?"),"*","~*")),0),""))</f>
        <v/>
      </c>
    </row>
    <row r="10">
      <c r="A10">
        <f>ROW()-2</f>
        <v/>
      </c>
      <c r="B10">
        <f>IFERROR(INDEX('Keyword Map'!$B$3:$B$1002,MATCH(A10,'Keyword Map'!$AB$3:$AB$1002,0)),"")</f>
        <v/>
      </c>
      <c r="C10">
        <f>IF(B10="","",COUNTIF('Keyword Map'!$B$3:$B$1002,SUBSTITUTE(SUBSTITUTE(B10,"?","~?"),"*","~*")))</f>
        <v/>
      </c>
      <c r="D10">
        <f>IF(B10="","",SUMIFS('Keyword Map'!$C$3:$C$1002,'Keyword Map'!$B$3:$B$1002,SUBSTITUTE(SUBSTITUTE(B10,"?","~?"),"*","~*")))</f>
        <v/>
      </c>
      <c r="E10">
        <f>IF(B10="","",SUMPRODUCT(('Keyword Map'!$B$3:$B$1002=B10)*(LEN('Keyword Map'!$G$3:$G$1002)&gt;0)))</f>
        <v/>
      </c>
      <c r="F10">
        <f>IF(B10="","",C10-E10)</f>
        <v/>
      </c>
      <c r="G10">
        <f>IF(B10="","",COUNTIFS('Keyword Map'!$B$3:$B$1002,SUBSTITUTE(SUBSTITUTE(B10,"?","~?"),"*","~*"),'Keyword Map'!$R$3:$R$1002,"Yes"))</f>
        <v/>
      </c>
      <c r="H10">
        <f>IF(B10="","",COUNTIFS('Keyword Map'!$B$3:$B$1002,SUBSTITUTE(SUBSTITUTE(B10,"?","~?"),"*","~*"),'Keyword Map'!$W$3:$W$1002,"Yes"))</f>
        <v/>
      </c>
      <c r="I10">
        <f>IF(B10="","",IFERROR(ROUND(AVERAGEIFS('Keyword Map'!$P$3:$P$1002,'Keyword Map'!$B$3:$B$1002,SUBSTITUTE(SUBSTITUTE(B10,"?","~?"),"*","~*")),0),""))</f>
        <v/>
      </c>
    </row>
    <row r="11">
      <c r="A11">
        <f>ROW()-2</f>
        <v/>
      </c>
      <c r="B11">
        <f>IFERROR(INDEX('Keyword Map'!$B$3:$B$1002,MATCH(A11,'Keyword Map'!$AB$3:$AB$1002,0)),"")</f>
        <v/>
      </c>
      <c r="C11">
        <f>IF(B11="","",COUNTIF('Keyword Map'!$B$3:$B$1002,SUBSTITUTE(SUBSTITUTE(B11,"?","~?"),"*","~*")))</f>
        <v/>
      </c>
      <c r="D11">
        <f>IF(B11="","",SUMIFS('Keyword Map'!$C$3:$C$1002,'Keyword Map'!$B$3:$B$1002,SUBSTITUTE(SUBSTITUTE(B11,"?","~?"),"*","~*")))</f>
        <v/>
      </c>
      <c r="E11">
        <f>IF(B11="","",SUMPRODUCT(('Keyword Map'!$B$3:$B$1002=B11)*(LEN('Keyword Map'!$G$3:$G$1002)&gt;0)))</f>
        <v/>
      </c>
      <c r="F11">
        <f>IF(B11="","",C11-E11)</f>
        <v/>
      </c>
      <c r="G11">
        <f>IF(B11="","",COUNTIFS('Keyword Map'!$B$3:$B$1002,SUBSTITUTE(SUBSTITUTE(B11,"?","~?"),"*","~*"),'Keyword Map'!$R$3:$R$1002,"Yes"))</f>
        <v/>
      </c>
      <c r="H11">
        <f>IF(B11="","",COUNTIFS('Keyword Map'!$B$3:$B$1002,SUBSTITUTE(SUBSTITUTE(B11,"?","~?"),"*","~*"),'Keyword Map'!$W$3:$W$1002,"Yes"))</f>
        <v/>
      </c>
      <c r="I11">
        <f>IF(B11="","",IFERROR(ROUND(AVERAGEIFS('Keyword Map'!$P$3:$P$1002,'Keyword Map'!$B$3:$B$1002,SUBSTITUTE(SUBSTITUTE(B11,"?","~?"),"*","~*")),0),""))</f>
        <v/>
      </c>
    </row>
    <row r="12">
      <c r="A12">
        <f>ROW()-2</f>
        <v/>
      </c>
      <c r="B12">
        <f>IFERROR(INDEX('Keyword Map'!$B$3:$B$1002,MATCH(A12,'Keyword Map'!$AB$3:$AB$1002,0)),"")</f>
        <v/>
      </c>
      <c r="C12">
        <f>IF(B12="","",COUNTIF('Keyword Map'!$B$3:$B$1002,SUBSTITUTE(SUBSTITUTE(B12,"?","~?"),"*","~*")))</f>
        <v/>
      </c>
      <c r="D12">
        <f>IF(B12="","",SUMIFS('Keyword Map'!$C$3:$C$1002,'Keyword Map'!$B$3:$B$1002,SUBSTITUTE(SUBSTITUTE(B12,"?","~?"),"*","~*")))</f>
        <v/>
      </c>
      <c r="E12">
        <f>IF(B12="","",SUMPRODUCT(('Keyword Map'!$B$3:$B$1002=B12)*(LEN('Keyword Map'!$G$3:$G$1002)&gt;0)))</f>
        <v/>
      </c>
      <c r="F12">
        <f>IF(B12="","",C12-E12)</f>
        <v/>
      </c>
      <c r="G12">
        <f>IF(B12="","",COUNTIFS('Keyword Map'!$B$3:$B$1002,SUBSTITUTE(SUBSTITUTE(B12,"?","~?"),"*","~*"),'Keyword Map'!$R$3:$R$1002,"Yes"))</f>
        <v/>
      </c>
      <c r="H12">
        <f>IF(B12="","",COUNTIFS('Keyword Map'!$B$3:$B$1002,SUBSTITUTE(SUBSTITUTE(B12,"?","~?"),"*","~*"),'Keyword Map'!$W$3:$W$1002,"Yes"))</f>
        <v/>
      </c>
      <c r="I12">
        <f>IF(B12="","",IFERROR(ROUND(AVERAGEIFS('Keyword Map'!$P$3:$P$1002,'Keyword Map'!$B$3:$B$1002,SUBSTITUTE(SUBSTITUTE(B12,"?","~?"),"*","~*")),0),""))</f>
        <v/>
      </c>
    </row>
    <row r="13">
      <c r="A13">
        <f>ROW()-2</f>
        <v/>
      </c>
      <c r="B13">
        <f>IFERROR(INDEX('Keyword Map'!$B$3:$B$1002,MATCH(A13,'Keyword Map'!$AB$3:$AB$1002,0)),"")</f>
        <v/>
      </c>
      <c r="C13">
        <f>IF(B13="","",COUNTIF('Keyword Map'!$B$3:$B$1002,SUBSTITUTE(SUBSTITUTE(B13,"?","~?"),"*","~*")))</f>
        <v/>
      </c>
      <c r="D13">
        <f>IF(B13="","",SUMIFS('Keyword Map'!$C$3:$C$1002,'Keyword Map'!$B$3:$B$1002,SUBSTITUTE(SUBSTITUTE(B13,"?","~?"),"*","~*")))</f>
        <v/>
      </c>
      <c r="E13">
        <f>IF(B13="","",SUMPRODUCT(('Keyword Map'!$B$3:$B$1002=B13)*(LEN('Keyword Map'!$G$3:$G$1002)&gt;0)))</f>
        <v/>
      </c>
      <c r="F13">
        <f>IF(B13="","",C13-E13)</f>
        <v/>
      </c>
      <c r="G13">
        <f>IF(B13="","",COUNTIFS('Keyword Map'!$B$3:$B$1002,SUBSTITUTE(SUBSTITUTE(B13,"?","~?"),"*","~*"),'Keyword Map'!$R$3:$R$1002,"Yes"))</f>
        <v/>
      </c>
      <c r="H13">
        <f>IF(B13="","",COUNTIFS('Keyword Map'!$B$3:$B$1002,SUBSTITUTE(SUBSTITUTE(B13,"?","~?"),"*","~*"),'Keyword Map'!$W$3:$W$1002,"Yes"))</f>
        <v/>
      </c>
      <c r="I13">
        <f>IF(B13="","",IFERROR(ROUND(AVERAGEIFS('Keyword Map'!$P$3:$P$1002,'Keyword Map'!$B$3:$B$1002,SUBSTITUTE(SUBSTITUTE(B13,"?","~?"),"*","~*")),0),""))</f>
        <v/>
      </c>
    </row>
    <row r="14">
      <c r="A14">
        <f>ROW()-2</f>
        <v/>
      </c>
      <c r="B14">
        <f>IFERROR(INDEX('Keyword Map'!$B$3:$B$1002,MATCH(A14,'Keyword Map'!$AB$3:$AB$1002,0)),"")</f>
        <v/>
      </c>
      <c r="C14">
        <f>IF(B14="","",COUNTIF('Keyword Map'!$B$3:$B$1002,SUBSTITUTE(SUBSTITUTE(B14,"?","~?"),"*","~*")))</f>
        <v/>
      </c>
      <c r="D14">
        <f>IF(B14="","",SUMIFS('Keyword Map'!$C$3:$C$1002,'Keyword Map'!$B$3:$B$1002,SUBSTITUTE(SUBSTITUTE(B14,"?","~?"),"*","~*")))</f>
        <v/>
      </c>
      <c r="E14">
        <f>IF(B14="","",SUMPRODUCT(('Keyword Map'!$B$3:$B$1002=B14)*(LEN('Keyword Map'!$G$3:$G$1002)&gt;0)))</f>
        <v/>
      </c>
      <c r="F14">
        <f>IF(B14="","",C14-E14)</f>
        <v/>
      </c>
      <c r="G14">
        <f>IF(B14="","",COUNTIFS('Keyword Map'!$B$3:$B$1002,SUBSTITUTE(SUBSTITUTE(B14,"?","~?"),"*","~*"),'Keyword Map'!$R$3:$R$1002,"Yes"))</f>
        <v/>
      </c>
      <c r="H14">
        <f>IF(B14="","",COUNTIFS('Keyword Map'!$B$3:$B$1002,SUBSTITUTE(SUBSTITUTE(B14,"?","~?"),"*","~*"),'Keyword Map'!$W$3:$W$1002,"Yes"))</f>
        <v/>
      </c>
      <c r="I14">
        <f>IF(B14="","",IFERROR(ROUND(AVERAGEIFS('Keyword Map'!$P$3:$P$1002,'Keyword Map'!$B$3:$B$1002,SUBSTITUTE(SUBSTITUTE(B14,"?","~?"),"*","~*")),0),""))</f>
        <v/>
      </c>
    </row>
    <row r="15">
      <c r="A15">
        <f>ROW()-2</f>
        <v/>
      </c>
      <c r="B15">
        <f>IFERROR(INDEX('Keyword Map'!$B$3:$B$1002,MATCH(A15,'Keyword Map'!$AB$3:$AB$1002,0)),"")</f>
        <v/>
      </c>
      <c r="C15">
        <f>IF(B15="","",COUNTIF('Keyword Map'!$B$3:$B$1002,SUBSTITUTE(SUBSTITUTE(B15,"?","~?"),"*","~*")))</f>
        <v/>
      </c>
      <c r="D15">
        <f>IF(B15="","",SUMIFS('Keyword Map'!$C$3:$C$1002,'Keyword Map'!$B$3:$B$1002,SUBSTITUTE(SUBSTITUTE(B15,"?","~?"),"*","~*")))</f>
        <v/>
      </c>
      <c r="E15">
        <f>IF(B15="","",SUMPRODUCT(('Keyword Map'!$B$3:$B$1002=B15)*(LEN('Keyword Map'!$G$3:$G$1002)&gt;0)))</f>
        <v/>
      </c>
      <c r="F15">
        <f>IF(B15="","",C15-E15)</f>
        <v/>
      </c>
      <c r="G15">
        <f>IF(B15="","",COUNTIFS('Keyword Map'!$B$3:$B$1002,SUBSTITUTE(SUBSTITUTE(B15,"?","~?"),"*","~*"),'Keyword Map'!$R$3:$R$1002,"Yes"))</f>
        <v/>
      </c>
      <c r="H15">
        <f>IF(B15="","",COUNTIFS('Keyword Map'!$B$3:$B$1002,SUBSTITUTE(SUBSTITUTE(B15,"?","~?"),"*","~*"),'Keyword Map'!$W$3:$W$1002,"Yes"))</f>
        <v/>
      </c>
      <c r="I15">
        <f>IF(B15="","",IFERROR(ROUND(AVERAGEIFS('Keyword Map'!$P$3:$P$1002,'Keyword Map'!$B$3:$B$1002,SUBSTITUTE(SUBSTITUTE(B15,"?","~?"),"*","~*")),0),""))</f>
        <v/>
      </c>
    </row>
    <row r="16">
      <c r="A16">
        <f>ROW()-2</f>
        <v/>
      </c>
      <c r="B16">
        <f>IFERROR(INDEX('Keyword Map'!$B$3:$B$1002,MATCH(A16,'Keyword Map'!$AB$3:$AB$1002,0)),"")</f>
        <v/>
      </c>
      <c r="C16">
        <f>IF(B16="","",COUNTIF('Keyword Map'!$B$3:$B$1002,SUBSTITUTE(SUBSTITUTE(B16,"?","~?"),"*","~*")))</f>
        <v/>
      </c>
      <c r="D16">
        <f>IF(B16="","",SUMIFS('Keyword Map'!$C$3:$C$1002,'Keyword Map'!$B$3:$B$1002,SUBSTITUTE(SUBSTITUTE(B16,"?","~?"),"*","~*")))</f>
        <v/>
      </c>
      <c r="E16">
        <f>IF(B16="","",SUMPRODUCT(('Keyword Map'!$B$3:$B$1002=B16)*(LEN('Keyword Map'!$G$3:$G$1002)&gt;0)))</f>
        <v/>
      </c>
      <c r="F16">
        <f>IF(B16="","",C16-E16)</f>
        <v/>
      </c>
      <c r="G16">
        <f>IF(B16="","",COUNTIFS('Keyword Map'!$B$3:$B$1002,SUBSTITUTE(SUBSTITUTE(B16,"?","~?"),"*","~*"),'Keyword Map'!$R$3:$R$1002,"Yes"))</f>
        <v/>
      </c>
      <c r="H16">
        <f>IF(B16="","",COUNTIFS('Keyword Map'!$B$3:$B$1002,SUBSTITUTE(SUBSTITUTE(B16,"?","~?"),"*","~*"),'Keyword Map'!$W$3:$W$1002,"Yes"))</f>
        <v/>
      </c>
      <c r="I16">
        <f>IF(B16="","",IFERROR(ROUND(AVERAGEIFS('Keyword Map'!$P$3:$P$1002,'Keyword Map'!$B$3:$B$1002,SUBSTITUTE(SUBSTITUTE(B16,"?","~?"),"*","~*")),0),""))</f>
        <v/>
      </c>
    </row>
    <row r="17">
      <c r="A17">
        <f>ROW()-2</f>
        <v/>
      </c>
      <c r="B17">
        <f>IFERROR(INDEX('Keyword Map'!$B$3:$B$1002,MATCH(A17,'Keyword Map'!$AB$3:$AB$1002,0)),"")</f>
        <v/>
      </c>
      <c r="C17">
        <f>IF(B17="","",COUNTIF('Keyword Map'!$B$3:$B$1002,SUBSTITUTE(SUBSTITUTE(B17,"?","~?"),"*","~*")))</f>
        <v/>
      </c>
      <c r="D17">
        <f>IF(B17="","",SUMIFS('Keyword Map'!$C$3:$C$1002,'Keyword Map'!$B$3:$B$1002,SUBSTITUTE(SUBSTITUTE(B17,"?","~?"),"*","~*")))</f>
        <v/>
      </c>
      <c r="E17">
        <f>IF(B17="","",SUMPRODUCT(('Keyword Map'!$B$3:$B$1002=B17)*(LEN('Keyword Map'!$G$3:$G$1002)&gt;0)))</f>
        <v/>
      </c>
      <c r="F17">
        <f>IF(B17="","",C17-E17)</f>
        <v/>
      </c>
      <c r="G17">
        <f>IF(B17="","",COUNTIFS('Keyword Map'!$B$3:$B$1002,SUBSTITUTE(SUBSTITUTE(B17,"?","~?"),"*","~*"),'Keyword Map'!$R$3:$R$1002,"Yes"))</f>
        <v/>
      </c>
      <c r="H17">
        <f>IF(B17="","",COUNTIFS('Keyword Map'!$B$3:$B$1002,SUBSTITUTE(SUBSTITUTE(B17,"?","~?"),"*","~*"),'Keyword Map'!$W$3:$W$1002,"Yes"))</f>
        <v/>
      </c>
      <c r="I17">
        <f>IF(B17="","",IFERROR(ROUND(AVERAGEIFS('Keyword Map'!$P$3:$P$1002,'Keyword Map'!$B$3:$B$1002,SUBSTITUTE(SUBSTITUTE(B17,"?","~?"),"*","~*")),0),""))</f>
        <v/>
      </c>
    </row>
    <row r="18">
      <c r="A18">
        <f>ROW()-2</f>
        <v/>
      </c>
      <c r="B18">
        <f>IFERROR(INDEX('Keyword Map'!$B$3:$B$1002,MATCH(A18,'Keyword Map'!$AB$3:$AB$1002,0)),"")</f>
        <v/>
      </c>
      <c r="C18">
        <f>IF(B18="","",COUNTIF('Keyword Map'!$B$3:$B$1002,SUBSTITUTE(SUBSTITUTE(B18,"?","~?"),"*","~*")))</f>
        <v/>
      </c>
      <c r="D18">
        <f>IF(B18="","",SUMIFS('Keyword Map'!$C$3:$C$1002,'Keyword Map'!$B$3:$B$1002,SUBSTITUTE(SUBSTITUTE(B18,"?","~?"),"*","~*")))</f>
        <v/>
      </c>
      <c r="E18">
        <f>IF(B18="","",SUMPRODUCT(('Keyword Map'!$B$3:$B$1002=B18)*(LEN('Keyword Map'!$G$3:$G$1002)&gt;0)))</f>
        <v/>
      </c>
      <c r="F18">
        <f>IF(B18="","",C18-E18)</f>
        <v/>
      </c>
      <c r="G18">
        <f>IF(B18="","",COUNTIFS('Keyword Map'!$B$3:$B$1002,SUBSTITUTE(SUBSTITUTE(B18,"?","~?"),"*","~*"),'Keyword Map'!$R$3:$R$1002,"Yes"))</f>
        <v/>
      </c>
      <c r="H18">
        <f>IF(B18="","",COUNTIFS('Keyword Map'!$B$3:$B$1002,SUBSTITUTE(SUBSTITUTE(B18,"?","~?"),"*","~*"),'Keyword Map'!$W$3:$W$1002,"Yes"))</f>
        <v/>
      </c>
      <c r="I18">
        <f>IF(B18="","",IFERROR(ROUND(AVERAGEIFS('Keyword Map'!$P$3:$P$1002,'Keyword Map'!$B$3:$B$1002,SUBSTITUTE(SUBSTITUTE(B18,"?","~?"),"*","~*")),0),""))</f>
        <v/>
      </c>
    </row>
    <row r="19">
      <c r="A19">
        <f>ROW()-2</f>
        <v/>
      </c>
      <c r="B19">
        <f>IFERROR(INDEX('Keyword Map'!$B$3:$B$1002,MATCH(A19,'Keyword Map'!$AB$3:$AB$1002,0)),"")</f>
        <v/>
      </c>
      <c r="C19">
        <f>IF(B19="","",COUNTIF('Keyword Map'!$B$3:$B$1002,SUBSTITUTE(SUBSTITUTE(B19,"?","~?"),"*","~*")))</f>
        <v/>
      </c>
      <c r="D19">
        <f>IF(B19="","",SUMIFS('Keyword Map'!$C$3:$C$1002,'Keyword Map'!$B$3:$B$1002,SUBSTITUTE(SUBSTITUTE(B19,"?","~?"),"*","~*")))</f>
        <v/>
      </c>
      <c r="E19">
        <f>IF(B19="","",SUMPRODUCT(('Keyword Map'!$B$3:$B$1002=B19)*(LEN('Keyword Map'!$G$3:$G$1002)&gt;0)))</f>
        <v/>
      </c>
      <c r="F19">
        <f>IF(B19="","",C19-E19)</f>
        <v/>
      </c>
      <c r="G19">
        <f>IF(B19="","",COUNTIFS('Keyword Map'!$B$3:$B$1002,SUBSTITUTE(SUBSTITUTE(B19,"?","~?"),"*","~*"),'Keyword Map'!$R$3:$R$1002,"Yes"))</f>
        <v/>
      </c>
      <c r="H19">
        <f>IF(B19="","",COUNTIFS('Keyword Map'!$B$3:$B$1002,SUBSTITUTE(SUBSTITUTE(B19,"?","~?"),"*","~*"),'Keyword Map'!$W$3:$W$1002,"Yes"))</f>
        <v/>
      </c>
      <c r="I19">
        <f>IF(B19="","",IFERROR(ROUND(AVERAGEIFS('Keyword Map'!$P$3:$P$1002,'Keyword Map'!$B$3:$B$1002,SUBSTITUTE(SUBSTITUTE(B19,"?","~?"),"*","~*")),0),""))</f>
        <v/>
      </c>
    </row>
    <row r="20">
      <c r="A20">
        <f>ROW()-2</f>
        <v/>
      </c>
      <c r="B20">
        <f>IFERROR(INDEX('Keyword Map'!$B$3:$B$1002,MATCH(A20,'Keyword Map'!$AB$3:$AB$1002,0)),"")</f>
        <v/>
      </c>
      <c r="C20">
        <f>IF(B20="","",COUNTIF('Keyword Map'!$B$3:$B$1002,SUBSTITUTE(SUBSTITUTE(B20,"?","~?"),"*","~*")))</f>
        <v/>
      </c>
      <c r="D20">
        <f>IF(B20="","",SUMIFS('Keyword Map'!$C$3:$C$1002,'Keyword Map'!$B$3:$B$1002,SUBSTITUTE(SUBSTITUTE(B20,"?","~?"),"*","~*")))</f>
        <v/>
      </c>
      <c r="E20">
        <f>IF(B20="","",SUMPRODUCT(('Keyword Map'!$B$3:$B$1002=B20)*(LEN('Keyword Map'!$G$3:$G$1002)&gt;0)))</f>
        <v/>
      </c>
      <c r="F20">
        <f>IF(B20="","",C20-E20)</f>
        <v/>
      </c>
      <c r="G20">
        <f>IF(B20="","",COUNTIFS('Keyword Map'!$B$3:$B$1002,SUBSTITUTE(SUBSTITUTE(B20,"?","~?"),"*","~*"),'Keyword Map'!$R$3:$R$1002,"Yes"))</f>
        <v/>
      </c>
      <c r="H20">
        <f>IF(B20="","",COUNTIFS('Keyword Map'!$B$3:$B$1002,SUBSTITUTE(SUBSTITUTE(B20,"?","~?"),"*","~*"),'Keyword Map'!$W$3:$W$1002,"Yes"))</f>
        <v/>
      </c>
      <c r="I20">
        <f>IF(B20="","",IFERROR(ROUND(AVERAGEIFS('Keyword Map'!$P$3:$P$1002,'Keyword Map'!$B$3:$B$1002,SUBSTITUTE(SUBSTITUTE(B20,"?","~?"),"*","~*")),0),""))</f>
        <v/>
      </c>
    </row>
    <row r="21">
      <c r="A21">
        <f>ROW()-2</f>
        <v/>
      </c>
      <c r="B21">
        <f>IFERROR(INDEX('Keyword Map'!$B$3:$B$1002,MATCH(A21,'Keyword Map'!$AB$3:$AB$1002,0)),"")</f>
        <v/>
      </c>
      <c r="C21">
        <f>IF(B21="","",COUNTIF('Keyword Map'!$B$3:$B$1002,SUBSTITUTE(SUBSTITUTE(B21,"?","~?"),"*","~*")))</f>
        <v/>
      </c>
      <c r="D21">
        <f>IF(B21="","",SUMIFS('Keyword Map'!$C$3:$C$1002,'Keyword Map'!$B$3:$B$1002,SUBSTITUTE(SUBSTITUTE(B21,"?","~?"),"*","~*")))</f>
        <v/>
      </c>
      <c r="E21">
        <f>IF(B21="","",SUMPRODUCT(('Keyword Map'!$B$3:$B$1002=B21)*(LEN('Keyword Map'!$G$3:$G$1002)&gt;0)))</f>
        <v/>
      </c>
      <c r="F21">
        <f>IF(B21="","",C21-E21)</f>
        <v/>
      </c>
      <c r="G21">
        <f>IF(B21="","",COUNTIFS('Keyword Map'!$B$3:$B$1002,SUBSTITUTE(SUBSTITUTE(B21,"?","~?"),"*","~*"),'Keyword Map'!$R$3:$R$1002,"Yes"))</f>
        <v/>
      </c>
      <c r="H21">
        <f>IF(B21="","",COUNTIFS('Keyword Map'!$B$3:$B$1002,SUBSTITUTE(SUBSTITUTE(B21,"?","~?"),"*","~*"),'Keyword Map'!$W$3:$W$1002,"Yes"))</f>
        <v/>
      </c>
      <c r="I21">
        <f>IF(B21="","",IFERROR(ROUND(AVERAGEIFS('Keyword Map'!$P$3:$P$1002,'Keyword Map'!$B$3:$B$1002,SUBSTITUTE(SUBSTITUTE(B21,"?","~?"),"*","~*")),0),""))</f>
        <v/>
      </c>
    </row>
    <row r="22">
      <c r="A22">
        <f>ROW()-2</f>
        <v/>
      </c>
      <c r="B22">
        <f>IFERROR(INDEX('Keyword Map'!$B$3:$B$1002,MATCH(A22,'Keyword Map'!$AB$3:$AB$1002,0)),"")</f>
        <v/>
      </c>
      <c r="C22">
        <f>IF(B22="","",COUNTIF('Keyword Map'!$B$3:$B$1002,SUBSTITUTE(SUBSTITUTE(B22,"?","~?"),"*","~*")))</f>
        <v/>
      </c>
      <c r="D22">
        <f>IF(B22="","",SUMIFS('Keyword Map'!$C$3:$C$1002,'Keyword Map'!$B$3:$B$1002,SUBSTITUTE(SUBSTITUTE(B22,"?","~?"),"*","~*")))</f>
        <v/>
      </c>
      <c r="E22">
        <f>IF(B22="","",SUMPRODUCT(('Keyword Map'!$B$3:$B$1002=B22)*(LEN('Keyword Map'!$G$3:$G$1002)&gt;0)))</f>
        <v/>
      </c>
      <c r="F22">
        <f>IF(B22="","",C22-E22)</f>
        <v/>
      </c>
      <c r="G22">
        <f>IF(B22="","",COUNTIFS('Keyword Map'!$B$3:$B$1002,SUBSTITUTE(SUBSTITUTE(B22,"?","~?"),"*","~*"),'Keyword Map'!$R$3:$R$1002,"Yes"))</f>
        <v/>
      </c>
      <c r="H22">
        <f>IF(B22="","",COUNTIFS('Keyword Map'!$B$3:$B$1002,SUBSTITUTE(SUBSTITUTE(B22,"?","~?"),"*","~*"),'Keyword Map'!$W$3:$W$1002,"Yes"))</f>
        <v/>
      </c>
      <c r="I22">
        <f>IF(B22="","",IFERROR(ROUND(AVERAGEIFS('Keyword Map'!$P$3:$P$1002,'Keyword Map'!$B$3:$B$1002,SUBSTITUTE(SUBSTITUTE(B22,"?","~?"),"*","~*")),0),""))</f>
        <v/>
      </c>
    </row>
    <row r="23">
      <c r="A23">
        <f>ROW()-2</f>
        <v/>
      </c>
      <c r="B23">
        <f>IFERROR(INDEX('Keyword Map'!$B$3:$B$1002,MATCH(A23,'Keyword Map'!$AB$3:$AB$1002,0)),"")</f>
        <v/>
      </c>
      <c r="C23">
        <f>IF(B23="","",COUNTIF('Keyword Map'!$B$3:$B$1002,SUBSTITUTE(SUBSTITUTE(B23,"?","~?"),"*","~*")))</f>
        <v/>
      </c>
      <c r="D23">
        <f>IF(B23="","",SUMIFS('Keyword Map'!$C$3:$C$1002,'Keyword Map'!$B$3:$B$1002,SUBSTITUTE(SUBSTITUTE(B23,"?","~?"),"*","~*")))</f>
        <v/>
      </c>
      <c r="E23">
        <f>IF(B23="","",SUMPRODUCT(('Keyword Map'!$B$3:$B$1002=B23)*(LEN('Keyword Map'!$G$3:$G$1002)&gt;0)))</f>
        <v/>
      </c>
      <c r="F23">
        <f>IF(B23="","",C23-E23)</f>
        <v/>
      </c>
      <c r="G23">
        <f>IF(B23="","",COUNTIFS('Keyword Map'!$B$3:$B$1002,SUBSTITUTE(SUBSTITUTE(B23,"?","~?"),"*","~*"),'Keyword Map'!$R$3:$R$1002,"Yes"))</f>
        <v/>
      </c>
      <c r="H23">
        <f>IF(B23="","",COUNTIFS('Keyword Map'!$B$3:$B$1002,SUBSTITUTE(SUBSTITUTE(B23,"?","~?"),"*","~*"),'Keyword Map'!$W$3:$W$1002,"Yes"))</f>
        <v/>
      </c>
      <c r="I23">
        <f>IF(B23="","",IFERROR(ROUND(AVERAGEIFS('Keyword Map'!$P$3:$P$1002,'Keyword Map'!$B$3:$B$1002,SUBSTITUTE(SUBSTITUTE(B23,"?","~?"),"*","~*")),0),""))</f>
        <v/>
      </c>
    </row>
    <row r="24">
      <c r="A24">
        <f>ROW()-2</f>
        <v/>
      </c>
      <c r="B24">
        <f>IFERROR(INDEX('Keyword Map'!$B$3:$B$1002,MATCH(A24,'Keyword Map'!$AB$3:$AB$1002,0)),"")</f>
        <v/>
      </c>
      <c r="C24">
        <f>IF(B24="","",COUNTIF('Keyword Map'!$B$3:$B$1002,SUBSTITUTE(SUBSTITUTE(B24,"?","~?"),"*","~*")))</f>
        <v/>
      </c>
      <c r="D24">
        <f>IF(B24="","",SUMIFS('Keyword Map'!$C$3:$C$1002,'Keyword Map'!$B$3:$B$1002,SUBSTITUTE(SUBSTITUTE(B24,"?","~?"),"*","~*")))</f>
        <v/>
      </c>
      <c r="E24">
        <f>IF(B24="","",SUMPRODUCT(('Keyword Map'!$B$3:$B$1002=B24)*(LEN('Keyword Map'!$G$3:$G$1002)&gt;0)))</f>
        <v/>
      </c>
      <c r="F24">
        <f>IF(B24="","",C24-E24)</f>
        <v/>
      </c>
      <c r="G24">
        <f>IF(B24="","",COUNTIFS('Keyword Map'!$B$3:$B$1002,SUBSTITUTE(SUBSTITUTE(B24,"?","~?"),"*","~*"),'Keyword Map'!$R$3:$R$1002,"Yes"))</f>
        <v/>
      </c>
      <c r="H24">
        <f>IF(B24="","",COUNTIFS('Keyword Map'!$B$3:$B$1002,SUBSTITUTE(SUBSTITUTE(B24,"?","~?"),"*","~*"),'Keyword Map'!$W$3:$W$1002,"Yes"))</f>
        <v/>
      </c>
      <c r="I24">
        <f>IF(B24="","",IFERROR(ROUND(AVERAGEIFS('Keyword Map'!$P$3:$P$1002,'Keyword Map'!$B$3:$B$1002,SUBSTITUTE(SUBSTITUTE(B24,"?","~?"),"*","~*")),0),""))</f>
        <v/>
      </c>
    </row>
    <row r="25">
      <c r="A25">
        <f>ROW()-2</f>
        <v/>
      </c>
      <c r="B25">
        <f>IFERROR(INDEX('Keyword Map'!$B$3:$B$1002,MATCH(A25,'Keyword Map'!$AB$3:$AB$1002,0)),"")</f>
        <v/>
      </c>
      <c r="C25">
        <f>IF(B25="","",COUNTIF('Keyword Map'!$B$3:$B$1002,SUBSTITUTE(SUBSTITUTE(B25,"?","~?"),"*","~*")))</f>
        <v/>
      </c>
      <c r="D25">
        <f>IF(B25="","",SUMIFS('Keyword Map'!$C$3:$C$1002,'Keyword Map'!$B$3:$B$1002,SUBSTITUTE(SUBSTITUTE(B25,"?","~?"),"*","~*")))</f>
        <v/>
      </c>
      <c r="E25">
        <f>IF(B25="","",SUMPRODUCT(('Keyword Map'!$B$3:$B$1002=B25)*(LEN('Keyword Map'!$G$3:$G$1002)&gt;0)))</f>
        <v/>
      </c>
      <c r="F25">
        <f>IF(B25="","",C25-E25)</f>
        <v/>
      </c>
      <c r="G25">
        <f>IF(B25="","",COUNTIFS('Keyword Map'!$B$3:$B$1002,SUBSTITUTE(SUBSTITUTE(B25,"?","~?"),"*","~*"),'Keyword Map'!$R$3:$R$1002,"Yes"))</f>
        <v/>
      </c>
      <c r="H25">
        <f>IF(B25="","",COUNTIFS('Keyword Map'!$B$3:$B$1002,SUBSTITUTE(SUBSTITUTE(B25,"?","~?"),"*","~*"),'Keyword Map'!$W$3:$W$1002,"Yes"))</f>
        <v/>
      </c>
      <c r="I25">
        <f>IF(B25="","",IFERROR(ROUND(AVERAGEIFS('Keyword Map'!$P$3:$P$1002,'Keyword Map'!$B$3:$B$1002,SUBSTITUTE(SUBSTITUTE(B25,"?","~?"),"*","~*")),0),""))</f>
        <v/>
      </c>
    </row>
    <row r="26">
      <c r="A26">
        <f>ROW()-2</f>
        <v/>
      </c>
      <c r="B26">
        <f>IFERROR(INDEX('Keyword Map'!$B$3:$B$1002,MATCH(A26,'Keyword Map'!$AB$3:$AB$1002,0)),"")</f>
        <v/>
      </c>
      <c r="C26">
        <f>IF(B26="","",COUNTIF('Keyword Map'!$B$3:$B$1002,SUBSTITUTE(SUBSTITUTE(B26,"?","~?"),"*","~*")))</f>
        <v/>
      </c>
      <c r="D26">
        <f>IF(B26="","",SUMIFS('Keyword Map'!$C$3:$C$1002,'Keyword Map'!$B$3:$B$1002,SUBSTITUTE(SUBSTITUTE(B26,"?","~?"),"*","~*")))</f>
        <v/>
      </c>
      <c r="E26">
        <f>IF(B26="","",SUMPRODUCT(('Keyword Map'!$B$3:$B$1002=B26)*(LEN('Keyword Map'!$G$3:$G$1002)&gt;0)))</f>
        <v/>
      </c>
      <c r="F26">
        <f>IF(B26="","",C26-E26)</f>
        <v/>
      </c>
      <c r="G26">
        <f>IF(B26="","",COUNTIFS('Keyword Map'!$B$3:$B$1002,SUBSTITUTE(SUBSTITUTE(B26,"?","~?"),"*","~*"),'Keyword Map'!$R$3:$R$1002,"Yes"))</f>
        <v/>
      </c>
      <c r="H26">
        <f>IF(B26="","",COUNTIFS('Keyword Map'!$B$3:$B$1002,SUBSTITUTE(SUBSTITUTE(B26,"?","~?"),"*","~*"),'Keyword Map'!$W$3:$W$1002,"Yes"))</f>
        <v/>
      </c>
      <c r="I26">
        <f>IF(B26="","",IFERROR(ROUND(AVERAGEIFS('Keyword Map'!$P$3:$P$1002,'Keyword Map'!$B$3:$B$1002,SUBSTITUTE(SUBSTITUTE(B26,"?","~?"),"*","~*")),0),""))</f>
        <v/>
      </c>
    </row>
    <row r="27">
      <c r="A27">
        <f>ROW()-2</f>
        <v/>
      </c>
      <c r="B27">
        <f>IFERROR(INDEX('Keyword Map'!$B$3:$B$1002,MATCH(A27,'Keyword Map'!$AB$3:$AB$1002,0)),"")</f>
        <v/>
      </c>
      <c r="C27">
        <f>IF(B27="","",COUNTIF('Keyword Map'!$B$3:$B$1002,SUBSTITUTE(SUBSTITUTE(B27,"?","~?"),"*","~*")))</f>
        <v/>
      </c>
      <c r="D27">
        <f>IF(B27="","",SUMIFS('Keyword Map'!$C$3:$C$1002,'Keyword Map'!$B$3:$B$1002,SUBSTITUTE(SUBSTITUTE(B27,"?","~?"),"*","~*")))</f>
        <v/>
      </c>
      <c r="E27">
        <f>IF(B27="","",SUMPRODUCT(('Keyword Map'!$B$3:$B$1002=B27)*(LEN('Keyword Map'!$G$3:$G$1002)&gt;0)))</f>
        <v/>
      </c>
      <c r="F27">
        <f>IF(B27="","",C27-E27)</f>
        <v/>
      </c>
      <c r="G27">
        <f>IF(B27="","",COUNTIFS('Keyword Map'!$B$3:$B$1002,SUBSTITUTE(SUBSTITUTE(B27,"?","~?"),"*","~*"),'Keyword Map'!$R$3:$R$1002,"Yes"))</f>
        <v/>
      </c>
      <c r="H27">
        <f>IF(B27="","",COUNTIFS('Keyword Map'!$B$3:$B$1002,SUBSTITUTE(SUBSTITUTE(B27,"?","~?"),"*","~*"),'Keyword Map'!$W$3:$W$1002,"Yes"))</f>
        <v/>
      </c>
      <c r="I27">
        <f>IF(B27="","",IFERROR(ROUND(AVERAGEIFS('Keyword Map'!$P$3:$P$1002,'Keyword Map'!$B$3:$B$1002,SUBSTITUTE(SUBSTITUTE(B27,"?","~?"),"*","~*")),0),""))</f>
        <v/>
      </c>
    </row>
    <row r="28">
      <c r="A28">
        <f>ROW()-2</f>
        <v/>
      </c>
      <c r="B28">
        <f>IFERROR(INDEX('Keyword Map'!$B$3:$B$1002,MATCH(A28,'Keyword Map'!$AB$3:$AB$1002,0)),"")</f>
        <v/>
      </c>
      <c r="C28">
        <f>IF(B28="","",COUNTIF('Keyword Map'!$B$3:$B$1002,SUBSTITUTE(SUBSTITUTE(B28,"?","~?"),"*","~*")))</f>
        <v/>
      </c>
      <c r="D28">
        <f>IF(B28="","",SUMIFS('Keyword Map'!$C$3:$C$1002,'Keyword Map'!$B$3:$B$1002,SUBSTITUTE(SUBSTITUTE(B28,"?","~?"),"*","~*")))</f>
        <v/>
      </c>
      <c r="E28">
        <f>IF(B28="","",SUMPRODUCT(('Keyword Map'!$B$3:$B$1002=B28)*(LEN('Keyword Map'!$G$3:$G$1002)&gt;0)))</f>
        <v/>
      </c>
      <c r="F28">
        <f>IF(B28="","",C28-E28)</f>
        <v/>
      </c>
      <c r="G28">
        <f>IF(B28="","",COUNTIFS('Keyword Map'!$B$3:$B$1002,SUBSTITUTE(SUBSTITUTE(B28,"?","~?"),"*","~*"),'Keyword Map'!$R$3:$R$1002,"Yes"))</f>
        <v/>
      </c>
      <c r="H28">
        <f>IF(B28="","",COUNTIFS('Keyword Map'!$B$3:$B$1002,SUBSTITUTE(SUBSTITUTE(B28,"?","~?"),"*","~*"),'Keyword Map'!$W$3:$W$1002,"Yes"))</f>
        <v/>
      </c>
      <c r="I28">
        <f>IF(B28="","",IFERROR(ROUND(AVERAGEIFS('Keyword Map'!$P$3:$P$1002,'Keyword Map'!$B$3:$B$1002,SUBSTITUTE(SUBSTITUTE(B28,"?","~?"),"*","~*")),0),""))</f>
        <v/>
      </c>
    </row>
    <row r="29">
      <c r="A29">
        <f>ROW()-2</f>
        <v/>
      </c>
      <c r="B29">
        <f>IFERROR(INDEX('Keyword Map'!$B$3:$B$1002,MATCH(A29,'Keyword Map'!$AB$3:$AB$1002,0)),"")</f>
        <v/>
      </c>
      <c r="C29">
        <f>IF(B29="","",COUNTIF('Keyword Map'!$B$3:$B$1002,SUBSTITUTE(SUBSTITUTE(B29,"?","~?"),"*","~*")))</f>
        <v/>
      </c>
      <c r="D29">
        <f>IF(B29="","",SUMIFS('Keyword Map'!$C$3:$C$1002,'Keyword Map'!$B$3:$B$1002,SUBSTITUTE(SUBSTITUTE(B29,"?","~?"),"*","~*")))</f>
        <v/>
      </c>
      <c r="E29">
        <f>IF(B29="","",SUMPRODUCT(('Keyword Map'!$B$3:$B$1002=B29)*(LEN('Keyword Map'!$G$3:$G$1002)&gt;0)))</f>
        <v/>
      </c>
      <c r="F29">
        <f>IF(B29="","",C29-E29)</f>
        <v/>
      </c>
      <c r="G29">
        <f>IF(B29="","",COUNTIFS('Keyword Map'!$B$3:$B$1002,SUBSTITUTE(SUBSTITUTE(B29,"?","~?"),"*","~*"),'Keyword Map'!$R$3:$R$1002,"Yes"))</f>
        <v/>
      </c>
      <c r="H29">
        <f>IF(B29="","",COUNTIFS('Keyword Map'!$B$3:$B$1002,SUBSTITUTE(SUBSTITUTE(B29,"?","~?"),"*","~*"),'Keyword Map'!$W$3:$W$1002,"Yes"))</f>
        <v/>
      </c>
      <c r="I29">
        <f>IF(B29="","",IFERROR(ROUND(AVERAGEIFS('Keyword Map'!$P$3:$P$1002,'Keyword Map'!$B$3:$B$1002,SUBSTITUTE(SUBSTITUTE(B29,"?","~?"),"*","~*")),0),""))</f>
        <v/>
      </c>
    </row>
    <row r="30">
      <c r="A30">
        <f>ROW()-2</f>
        <v/>
      </c>
      <c r="B30">
        <f>IFERROR(INDEX('Keyword Map'!$B$3:$B$1002,MATCH(A30,'Keyword Map'!$AB$3:$AB$1002,0)),"")</f>
        <v/>
      </c>
      <c r="C30">
        <f>IF(B30="","",COUNTIF('Keyword Map'!$B$3:$B$1002,SUBSTITUTE(SUBSTITUTE(B30,"?","~?"),"*","~*")))</f>
        <v/>
      </c>
      <c r="D30">
        <f>IF(B30="","",SUMIFS('Keyword Map'!$C$3:$C$1002,'Keyword Map'!$B$3:$B$1002,SUBSTITUTE(SUBSTITUTE(B30,"?","~?"),"*","~*")))</f>
        <v/>
      </c>
      <c r="E30">
        <f>IF(B30="","",SUMPRODUCT(('Keyword Map'!$B$3:$B$1002=B30)*(LEN('Keyword Map'!$G$3:$G$1002)&gt;0)))</f>
        <v/>
      </c>
      <c r="F30">
        <f>IF(B30="","",C30-E30)</f>
        <v/>
      </c>
      <c r="G30">
        <f>IF(B30="","",COUNTIFS('Keyword Map'!$B$3:$B$1002,SUBSTITUTE(SUBSTITUTE(B30,"?","~?"),"*","~*"),'Keyword Map'!$R$3:$R$1002,"Yes"))</f>
        <v/>
      </c>
      <c r="H30">
        <f>IF(B30="","",COUNTIFS('Keyword Map'!$B$3:$B$1002,SUBSTITUTE(SUBSTITUTE(B30,"?","~?"),"*","~*"),'Keyword Map'!$W$3:$W$1002,"Yes"))</f>
        <v/>
      </c>
      <c r="I30">
        <f>IF(B30="","",IFERROR(ROUND(AVERAGEIFS('Keyword Map'!$P$3:$P$1002,'Keyword Map'!$B$3:$B$1002,SUBSTITUTE(SUBSTITUTE(B30,"?","~?"),"*","~*")),0),""))</f>
        <v/>
      </c>
    </row>
    <row r="31">
      <c r="A31">
        <f>ROW()-2</f>
        <v/>
      </c>
      <c r="B31">
        <f>IFERROR(INDEX('Keyword Map'!$B$3:$B$1002,MATCH(A31,'Keyword Map'!$AB$3:$AB$1002,0)),"")</f>
        <v/>
      </c>
      <c r="C31">
        <f>IF(B31="","",COUNTIF('Keyword Map'!$B$3:$B$1002,SUBSTITUTE(SUBSTITUTE(B31,"?","~?"),"*","~*")))</f>
        <v/>
      </c>
      <c r="D31">
        <f>IF(B31="","",SUMIFS('Keyword Map'!$C$3:$C$1002,'Keyword Map'!$B$3:$B$1002,SUBSTITUTE(SUBSTITUTE(B31,"?","~?"),"*","~*")))</f>
        <v/>
      </c>
      <c r="E31">
        <f>IF(B31="","",SUMPRODUCT(('Keyword Map'!$B$3:$B$1002=B31)*(LEN('Keyword Map'!$G$3:$G$1002)&gt;0)))</f>
        <v/>
      </c>
      <c r="F31">
        <f>IF(B31="","",C31-E31)</f>
        <v/>
      </c>
      <c r="G31">
        <f>IF(B31="","",COUNTIFS('Keyword Map'!$B$3:$B$1002,SUBSTITUTE(SUBSTITUTE(B31,"?","~?"),"*","~*"),'Keyword Map'!$R$3:$R$1002,"Yes"))</f>
        <v/>
      </c>
      <c r="H31">
        <f>IF(B31="","",COUNTIFS('Keyword Map'!$B$3:$B$1002,SUBSTITUTE(SUBSTITUTE(B31,"?","~?"),"*","~*"),'Keyword Map'!$W$3:$W$1002,"Yes"))</f>
        <v/>
      </c>
      <c r="I31">
        <f>IF(B31="","",IFERROR(ROUND(AVERAGEIFS('Keyword Map'!$P$3:$P$1002,'Keyword Map'!$B$3:$B$1002,SUBSTITUTE(SUBSTITUTE(B31,"?","~?"),"*","~*")),0),""))</f>
        <v/>
      </c>
    </row>
    <row r="32">
      <c r="A32">
        <f>ROW()-2</f>
        <v/>
      </c>
      <c r="B32">
        <f>IFERROR(INDEX('Keyword Map'!$B$3:$B$1002,MATCH(A32,'Keyword Map'!$AB$3:$AB$1002,0)),"")</f>
        <v/>
      </c>
      <c r="C32">
        <f>IF(B32="","",COUNTIF('Keyword Map'!$B$3:$B$1002,SUBSTITUTE(SUBSTITUTE(B32,"?","~?"),"*","~*")))</f>
        <v/>
      </c>
      <c r="D32">
        <f>IF(B32="","",SUMIFS('Keyword Map'!$C$3:$C$1002,'Keyword Map'!$B$3:$B$1002,SUBSTITUTE(SUBSTITUTE(B32,"?","~?"),"*","~*")))</f>
        <v/>
      </c>
      <c r="E32">
        <f>IF(B32="","",SUMPRODUCT(('Keyword Map'!$B$3:$B$1002=B32)*(LEN('Keyword Map'!$G$3:$G$1002)&gt;0)))</f>
        <v/>
      </c>
      <c r="F32">
        <f>IF(B32="","",C32-E32)</f>
        <v/>
      </c>
      <c r="G32">
        <f>IF(B32="","",COUNTIFS('Keyword Map'!$B$3:$B$1002,SUBSTITUTE(SUBSTITUTE(B32,"?","~?"),"*","~*"),'Keyword Map'!$R$3:$R$1002,"Yes"))</f>
        <v/>
      </c>
      <c r="H32">
        <f>IF(B32="","",COUNTIFS('Keyword Map'!$B$3:$B$1002,SUBSTITUTE(SUBSTITUTE(B32,"?","~?"),"*","~*"),'Keyword Map'!$W$3:$W$1002,"Yes"))</f>
        <v/>
      </c>
      <c r="I32">
        <f>IF(B32="","",IFERROR(ROUND(AVERAGEIFS('Keyword Map'!$P$3:$P$1002,'Keyword Map'!$B$3:$B$1002,SUBSTITUTE(SUBSTITUTE(B32,"?","~?"),"*","~*")),0),""))</f>
        <v/>
      </c>
    </row>
    <row r="33">
      <c r="A33">
        <f>ROW()-2</f>
        <v/>
      </c>
      <c r="B33">
        <f>IFERROR(INDEX('Keyword Map'!$B$3:$B$1002,MATCH(A33,'Keyword Map'!$AB$3:$AB$1002,0)),"")</f>
        <v/>
      </c>
      <c r="C33">
        <f>IF(B33="","",COUNTIF('Keyword Map'!$B$3:$B$1002,SUBSTITUTE(SUBSTITUTE(B33,"?","~?"),"*","~*")))</f>
        <v/>
      </c>
      <c r="D33">
        <f>IF(B33="","",SUMIFS('Keyword Map'!$C$3:$C$1002,'Keyword Map'!$B$3:$B$1002,SUBSTITUTE(SUBSTITUTE(B33,"?","~?"),"*","~*")))</f>
        <v/>
      </c>
      <c r="E33">
        <f>IF(B33="","",SUMPRODUCT(('Keyword Map'!$B$3:$B$1002=B33)*(LEN('Keyword Map'!$G$3:$G$1002)&gt;0)))</f>
        <v/>
      </c>
      <c r="F33">
        <f>IF(B33="","",C33-E33)</f>
        <v/>
      </c>
      <c r="G33">
        <f>IF(B33="","",COUNTIFS('Keyword Map'!$B$3:$B$1002,SUBSTITUTE(SUBSTITUTE(B33,"?","~?"),"*","~*"),'Keyword Map'!$R$3:$R$1002,"Yes"))</f>
        <v/>
      </c>
      <c r="H33">
        <f>IF(B33="","",COUNTIFS('Keyword Map'!$B$3:$B$1002,SUBSTITUTE(SUBSTITUTE(B33,"?","~?"),"*","~*"),'Keyword Map'!$W$3:$W$1002,"Yes"))</f>
        <v/>
      </c>
      <c r="I33">
        <f>IF(B33="","",IFERROR(ROUND(AVERAGEIFS('Keyword Map'!$P$3:$P$1002,'Keyword Map'!$B$3:$B$1002,SUBSTITUTE(SUBSTITUTE(B33,"?","~?"),"*","~*")),0),""))</f>
        <v/>
      </c>
    </row>
    <row r="34">
      <c r="A34">
        <f>ROW()-2</f>
        <v/>
      </c>
      <c r="B34">
        <f>IFERROR(INDEX('Keyword Map'!$B$3:$B$1002,MATCH(A34,'Keyword Map'!$AB$3:$AB$1002,0)),"")</f>
        <v/>
      </c>
      <c r="C34">
        <f>IF(B34="","",COUNTIF('Keyword Map'!$B$3:$B$1002,SUBSTITUTE(SUBSTITUTE(B34,"?","~?"),"*","~*")))</f>
        <v/>
      </c>
      <c r="D34">
        <f>IF(B34="","",SUMIFS('Keyword Map'!$C$3:$C$1002,'Keyword Map'!$B$3:$B$1002,SUBSTITUTE(SUBSTITUTE(B34,"?","~?"),"*","~*")))</f>
        <v/>
      </c>
      <c r="E34">
        <f>IF(B34="","",SUMPRODUCT(('Keyword Map'!$B$3:$B$1002=B34)*(LEN('Keyword Map'!$G$3:$G$1002)&gt;0)))</f>
        <v/>
      </c>
      <c r="F34">
        <f>IF(B34="","",C34-E34)</f>
        <v/>
      </c>
      <c r="G34">
        <f>IF(B34="","",COUNTIFS('Keyword Map'!$B$3:$B$1002,SUBSTITUTE(SUBSTITUTE(B34,"?","~?"),"*","~*"),'Keyword Map'!$R$3:$R$1002,"Yes"))</f>
        <v/>
      </c>
      <c r="H34">
        <f>IF(B34="","",COUNTIFS('Keyword Map'!$B$3:$B$1002,SUBSTITUTE(SUBSTITUTE(B34,"?","~?"),"*","~*"),'Keyword Map'!$W$3:$W$1002,"Yes"))</f>
        <v/>
      </c>
      <c r="I34">
        <f>IF(B34="","",IFERROR(ROUND(AVERAGEIFS('Keyword Map'!$P$3:$P$1002,'Keyword Map'!$B$3:$B$1002,SUBSTITUTE(SUBSTITUTE(B34,"?","~?"),"*","~*")),0),""))</f>
        <v/>
      </c>
    </row>
    <row r="35">
      <c r="A35">
        <f>ROW()-2</f>
        <v/>
      </c>
      <c r="B35">
        <f>IFERROR(INDEX('Keyword Map'!$B$3:$B$1002,MATCH(A35,'Keyword Map'!$AB$3:$AB$1002,0)),"")</f>
        <v/>
      </c>
      <c r="C35">
        <f>IF(B35="","",COUNTIF('Keyword Map'!$B$3:$B$1002,SUBSTITUTE(SUBSTITUTE(B35,"?","~?"),"*","~*")))</f>
        <v/>
      </c>
      <c r="D35">
        <f>IF(B35="","",SUMIFS('Keyword Map'!$C$3:$C$1002,'Keyword Map'!$B$3:$B$1002,SUBSTITUTE(SUBSTITUTE(B35,"?","~?"),"*","~*")))</f>
        <v/>
      </c>
      <c r="E35">
        <f>IF(B35="","",SUMPRODUCT(('Keyword Map'!$B$3:$B$1002=B35)*(LEN('Keyword Map'!$G$3:$G$1002)&gt;0)))</f>
        <v/>
      </c>
      <c r="F35">
        <f>IF(B35="","",C35-E35)</f>
        <v/>
      </c>
      <c r="G35">
        <f>IF(B35="","",COUNTIFS('Keyword Map'!$B$3:$B$1002,SUBSTITUTE(SUBSTITUTE(B35,"?","~?"),"*","~*"),'Keyword Map'!$R$3:$R$1002,"Yes"))</f>
        <v/>
      </c>
      <c r="H35">
        <f>IF(B35="","",COUNTIFS('Keyword Map'!$B$3:$B$1002,SUBSTITUTE(SUBSTITUTE(B35,"?","~?"),"*","~*"),'Keyword Map'!$W$3:$W$1002,"Yes"))</f>
        <v/>
      </c>
      <c r="I35">
        <f>IF(B35="","",IFERROR(ROUND(AVERAGEIFS('Keyword Map'!$P$3:$P$1002,'Keyword Map'!$B$3:$B$1002,SUBSTITUTE(SUBSTITUTE(B35,"?","~?"),"*","~*")),0),""))</f>
        <v/>
      </c>
    </row>
    <row r="36">
      <c r="A36">
        <f>ROW()-2</f>
        <v/>
      </c>
      <c r="B36">
        <f>IFERROR(INDEX('Keyword Map'!$B$3:$B$1002,MATCH(A36,'Keyword Map'!$AB$3:$AB$1002,0)),"")</f>
        <v/>
      </c>
      <c r="C36">
        <f>IF(B36="","",COUNTIF('Keyword Map'!$B$3:$B$1002,SUBSTITUTE(SUBSTITUTE(B36,"?","~?"),"*","~*")))</f>
        <v/>
      </c>
      <c r="D36">
        <f>IF(B36="","",SUMIFS('Keyword Map'!$C$3:$C$1002,'Keyword Map'!$B$3:$B$1002,SUBSTITUTE(SUBSTITUTE(B36,"?","~?"),"*","~*")))</f>
        <v/>
      </c>
      <c r="E36">
        <f>IF(B36="","",SUMPRODUCT(('Keyword Map'!$B$3:$B$1002=B36)*(LEN('Keyword Map'!$G$3:$G$1002)&gt;0)))</f>
        <v/>
      </c>
      <c r="F36">
        <f>IF(B36="","",C36-E36)</f>
        <v/>
      </c>
      <c r="G36">
        <f>IF(B36="","",COUNTIFS('Keyword Map'!$B$3:$B$1002,SUBSTITUTE(SUBSTITUTE(B36,"?","~?"),"*","~*"),'Keyword Map'!$R$3:$R$1002,"Yes"))</f>
        <v/>
      </c>
      <c r="H36">
        <f>IF(B36="","",COUNTIFS('Keyword Map'!$B$3:$B$1002,SUBSTITUTE(SUBSTITUTE(B36,"?","~?"),"*","~*"),'Keyword Map'!$W$3:$W$1002,"Yes"))</f>
        <v/>
      </c>
      <c r="I36">
        <f>IF(B36="","",IFERROR(ROUND(AVERAGEIFS('Keyword Map'!$P$3:$P$1002,'Keyword Map'!$B$3:$B$1002,SUBSTITUTE(SUBSTITUTE(B36,"?","~?"),"*","~*")),0),""))</f>
        <v/>
      </c>
    </row>
    <row r="37">
      <c r="A37">
        <f>ROW()-2</f>
        <v/>
      </c>
      <c r="B37">
        <f>IFERROR(INDEX('Keyword Map'!$B$3:$B$1002,MATCH(A37,'Keyword Map'!$AB$3:$AB$1002,0)),"")</f>
        <v/>
      </c>
      <c r="C37">
        <f>IF(B37="","",COUNTIF('Keyword Map'!$B$3:$B$1002,SUBSTITUTE(SUBSTITUTE(B37,"?","~?"),"*","~*")))</f>
        <v/>
      </c>
      <c r="D37">
        <f>IF(B37="","",SUMIFS('Keyword Map'!$C$3:$C$1002,'Keyword Map'!$B$3:$B$1002,SUBSTITUTE(SUBSTITUTE(B37,"?","~?"),"*","~*")))</f>
        <v/>
      </c>
      <c r="E37">
        <f>IF(B37="","",SUMPRODUCT(('Keyword Map'!$B$3:$B$1002=B37)*(LEN('Keyword Map'!$G$3:$G$1002)&gt;0)))</f>
        <v/>
      </c>
      <c r="F37">
        <f>IF(B37="","",C37-E37)</f>
        <v/>
      </c>
      <c r="G37">
        <f>IF(B37="","",COUNTIFS('Keyword Map'!$B$3:$B$1002,SUBSTITUTE(SUBSTITUTE(B37,"?","~?"),"*","~*"),'Keyword Map'!$R$3:$R$1002,"Yes"))</f>
        <v/>
      </c>
      <c r="H37">
        <f>IF(B37="","",COUNTIFS('Keyword Map'!$B$3:$B$1002,SUBSTITUTE(SUBSTITUTE(B37,"?","~?"),"*","~*"),'Keyword Map'!$W$3:$W$1002,"Yes"))</f>
        <v/>
      </c>
      <c r="I37">
        <f>IF(B37="","",IFERROR(ROUND(AVERAGEIFS('Keyword Map'!$P$3:$P$1002,'Keyword Map'!$B$3:$B$1002,SUBSTITUTE(SUBSTITUTE(B37,"?","~?"),"*","~*")),0),""))</f>
        <v/>
      </c>
    </row>
    <row r="38">
      <c r="A38">
        <f>ROW()-2</f>
        <v/>
      </c>
      <c r="B38">
        <f>IFERROR(INDEX('Keyword Map'!$B$3:$B$1002,MATCH(A38,'Keyword Map'!$AB$3:$AB$1002,0)),"")</f>
        <v/>
      </c>
      <c r="C38">
        <f>IF(B38="","",COUNTIF('Keyword Map'!$B$3:$B$1002,SUBSTITUTE(SUBSTITUTE(B38,"?","~?"),"*","~*")))</f>
        <v/>
      </c>
      <c r="D38">
        <f>IF(B38="","",SUMIFS('Keyword Map'!$C$3:$C$1002,'Keyword Map'!$B$3:$B$1002,SUBSTITUTE(SUBSTITUTE(B38,"?","~?"),"*","~*")))</f>
        <v/>
      </c>
      <c r="E38">
        <f>IF(B38="","",SUMPRODUCT(('Keyword Map'!$B$3:$B$1002=B38)*(LEN('Keyword Map'!$G$3:$G$1002)&gt;0)))</f>
        <v/>
      </c>
      <c r="F38">
        <f>IF(B38="","",C38-E38)</f>
        <v/>
      </c>
      <c r="G38">
        <f>IF(B38="","",COUNTIFS('Keyword Map'!$B$3:$B$1002,SUBSTITUTE(SUBSTITUTE(B38,"?","~?"),"*","~*"),'Keyword Map'!$R$3:$R$1002,"Yes"))</f>
        <v/>
      </c>
      <c r="H38">
        <f>IF(B38="","",COUNTIFS('Keyword Map'!$B$3:$B$1002,SUBSTITUTE(SUBSTITUTE(B38,"?","~?"),"*","~*"),'Keyword Map'!$W$3:$W$1002,"Yes"))</f>
        <v/>
      </c>
      <c r="I38">
        <f>IF(B38="","",IFERROR(ROUND(AVERAGEIFS('Keyword Map'!$P$3:$P$1002,'Keyword Map'!$B$3:$B$1002,SUBSTITUTE(SUBSTITUTE(B38,"?","~?"),"*","~*")),0),""))</f>
        <v/>
      </c>
    </row>
    <row r="39">
      <c r="A39">
        <f>ROW()-2</f>
        <v/>
      </c>
      <c r="B39">
        <f>IFERROR(INDEX('Keyword Map'!$B$3:$B$1002,MATCH(A39,'Keyword Map'!$AB$3:$AB$1002,0)),"")</f>
        <v/>
      </c>
      <c r="C39">
        <f>IF(B39="","",COUNTIF('Keyword Map'!$B$3:$B$1002,SUBSTITUTE(SUBSTITUTE(B39,"?","~?"),"*","~*")))</f>
        <v/>
      </c>
      <c r="D39">
        <f>IF(B39="","",SUMIFS('Keyword Map'!$C$3:$C$1002,'Keyword Map'!$B$3:$B$1002,SUBSTITUTE(SUBSTITUTE(B39,"?","~?"),"*","~*")))</f>
        <v/>
      </c>
      <c r="E39">
        <f>IF(B39="","",SUMPRODUCT(('Keyword Map'!$B$3:$B$1002=B39)*(LEN('Keyword Map'!$G$3:$G$1002)&gt;0)))</f>
        <v/>
      </c>
      <c r="F39">
        <f>IF(B39="","",C39-E39)</f>
        <v/>
      </c>
      <c r="G39">
        <f>IF(B39="","",COUNTIFS('Keyword Map'!$B$3:$B$1002,SUBSTITUTE(SUBSTITUTE(B39,"?","~?"),"*","~*"),'Keyword Map'!$R$3:$R$1002,"Yes"))</f>
        <v/>
      </c>
      <c r="H39">
        <f>IF(B39="","",COUNTIFS('Keyword Map'!$B$3:$B$1002,SUBSTITUTE(SUBSTITUTE(B39,"?","~?"),"*","~*"),'Keyword Map'!$W$3:$W$1002,"Yes"))</f>
        <v/>
      </c>
      <c r="I39">
        <f>IF(B39="","",IFERROR(ROUND(AVERAGEIFS('Keyword Map'!$P$3:$P$1002,'Keyword Map'!$B$3:$B$1002,SUBSTITUTE(SUBSTITUTE(B39,"?","~?"),"*","~*")),0),""))</f>
        <v/>
      </c>
    </row>
    <row r="40">
      <c r="A40">
        <f>ROW()-2</f>
        <v/>
      </c>
      <c r="B40">
        <f>IFERROR(INDEX('Keyword Map'!$B$3:$B$1002,MATCH(A40,'Keyword Map'!$AB$3:$AB$1002,0)),"")</f>
        <v/>
      </c>
      <c r="C40">
        <f>IF(B40="","",COUNTIF('Keyword Map'!$B$3:$B$1002,SUBSTITUTE(SUBSTITUTE(B40,"?","~?"),"*","~*")))</f>
        <v/>
      </c>
      <c r="D40">
        <f>IF(B40="","",SUMIFS('Keyword Map'!$C$3:$C$1002,'Keyword Map'!$B$3:$B$1002,SUBSTITUTE(SUBSTITUTE(B40,"?","~?"),"*","~*")))</f>
        <v/>
      </c>
      <c r="E40">
        <f>IF(B40="","",SUMPRODUCT(('Keyword Map'!$B$3:$B$1002=B40)*(LEN('Keyword Map'!$G$3:$G$1002)&gt;0)))</f>
        <v/>
      </c>
      <c r="F40">
        <f>IF(B40="","",C40-E40)</f>
        <v/>
      </c>
      <c r="G40">
        <f>IF(B40="","",COUNTIFS('Keyword Map'!$B$3:$B$1002,SUBSTITUTE(SUBSTITUTE(B40,"?","~?"),"*","~*"),'Keyword Map'!$R$3:$R$1002,"Yes"))</f>
        <v/>
      </c>
      <c r="H40">
        <f>IF(B40="","",COUNTIFS('Keyword Map'!$B$3:$B$1002,SUBSTITUTE(SUBSTITUTE(B40,"?","~?"),"*","~*"),'Keyword Map'!$W$3:$W$1002,"Yes"))</f>
        <v/>
      </c>
      <c r="I40">
        <f>IF(B40="","",IFERROR(ROUND(AVERAGEIFS('Keyword Map'!$P$3:$P$1002,'Keyword Map'!$B$3:$B$1002,SUBSTITUTE(SUBSTITUTE(B40,"?","~?"),"*","~*")),0),""))</f>
        <v/>
      </c>
    </row>
    <row r="41">
      <c r="A41">
        <f>ROW()-2</f>
        <v/>
      </c>
      <c r="B41">
        <f>IFERROR(INDEX('Keyword Map'!$B$3:$B$1002,MATCH(A41,'Keyword Map'!$AB$3:$AB$1002,0)),"")</f>
        <v/>
      </c>
      <c r="C41">
        <f>IF(B41="","",COUNTIF('Keyword Map'!$B$3:$B$1002,SUBSTITUTE(SUBSTITUTE(B41,"?","~?"),"*","~*")))</f>
        <v/>
      </c>
      <c r="D41">
        <f>IF(B41="","",SUMIFS('Keyword Map'!$C$3:$C$1002,'Keyword Map'!$B$3:$B$1002,SUBSTITUTE(SUBSTITUTE(B41,"?","~?"),"*","~*")))</f>
        <v/>
      </c>
      <c r="E41">
        <f>IF(B41="","",SUMPRODUCT(('Keyword Map'!$B$3:$B$1002=B41)*(LEN('Keyword Map'!$G$3:$G$1002)&gt;0)))</f>
        <v/>
      </c>
      <c r="F41">
        <f>IF(B41="","",C41-E41)</f>
        <v/>
      </c>
      <c r="G41">
        <f>IF(B41="","",COUNTIFS('Keyword Map'!$B$3:$B$1002,SUBSTITUTE(SUBSTITUTE(B41,"?","~?"),"*","~*"),'Keyword Map'!$R$3:$R$1002,"Yes"))</f>
        <v/>
      </c>
      <c r="H41">
        <f>IF(B41="","",COUNTIFS('Keyword Map'!$B$3:$B$1002,SUBSTITUTE(SUBSTITUTE(B41,"?","~?"),"*","~*"),'Keyword Map'!$W$3:$W$1002,"Yes"))</f>
        <v/>
      </c>
      <c r="I41">
        <f>IF(B41="","",IFERROR(ROUND(AVERAGEIFS('Keyword Map'!$P$3:$P$1002,'Keyword Map'!$B$3:$B$1002,SUBSTITUTE(SUBSTITUTE(B41,"?","~?"),"*","~*")),0),""))</f>
        <v/>
      </c>
    </row>
    <row r="42">
      <c r="A42">
        <f>ROW()-2</f>
        <v/>
      </c>
      <c r="B42">
        <f>IFERROR(INDEX('Keyword Map'!$B$3:$B$1002,MATCH(A42,'Keyword Map'!$AB$3:$AB$1002,0)),"")</f>
        <v/>
      </c>
      <c r="C42">
        <f>IF(B42="","",COUNTIF('Keyword Map'!$B$3:$B$1002,SUBSTITUTE(SUBSTITUTE(B42,"?","~?"),"*","~*")))</f>
        <v/>
      </c>
      <c r="D42">
        <f>IF(B42="","",SUMIFS('Keyword Map'!$C$3:$C$1002,'Keyword Map'!$B$3:$B$1002,SUBSTITUTE(SUBSTITUTE(B42,"?","~?"),"*","~*")))</f>
        <v/>
      </c>
      <c r="E42">
        <f>IF(B42="","",SUMPRODUCT(('Keyword Map'!$B$3:$B$1002=B42)*(LEN('Keyword Map'!$G$3:$G$1002)&gt;0)))</f>
        <v/>
      </c>
      <c r="F42">
        <f>IF(B42="","",C42-E42)</f>
        <v/>
      </c>
      <c r="G42">
        <f>IF(B42="","",COUNTIFS('Keyword Map'!$B$3:$B$1002,SUBSTITUTE(SUBSTITUTE(B42,"?","~?"),"*","~*"),'Keyword Map'!$R$3:$R$1002,"Yes"))</f>
        <v/>
      </c>
      <c r="H42">
        <f>IF(B42="","",COUNTIFS('Keyword Map'!$B$3:$B$1002,SUBSTITUTE(SUBSTITUTE(B42,"?","~?"),"*","~*"),'Keyword Map'!$W$3:$W$1002,"Yes"))</f>
        <v/>
      </c>
      <c r="I42">
        <f>IF(B42="","",IFERROR(ROUND(AVERAGEIFS('Keyword Map'!$P$3:$P$1002,'Keyword Map'!$B$3:$B$1002,SUBSTITUTE(SUBSTITUTE(B42,"?","~?"),"*","~*")),0),""))</f>
        <v/>
      </c>
    </row>
    <row r="43">
      <c r="A43">
        <f>ROW()-2</f>
        <v/>
      </c>
      <c r="B43">
        <f>IFERROR(INDEX('Keyword Map'!$B$3:$B$1002,MATCH(A43,'Keyword Map'!$AB$3:$AB$1002,0)),"")</f>
        <v/>
      </c>
      <c r="C43">
        <f>IF(B43="","",COUNTIF('Keyword Map'!$B$3:$B$1002,SUBSTITUTE(SUBSTITUTE(B43,"?","~?"),"*","~*")))</f>
        <v/>
      </c>
      <c r="D43">
        <f>IF(B43="","",SUMIFS('Keyword Map'!$C$3:$C$1002,'Keyword Map'!$B$3:$B$1002,SUBSTITUTE(SUBSTITUTE(B43,"?","~?"),"*","~*")))</f>
        <v/>
      </c>
      <c r="E43">
        <f>IF(B43="","",SUMPRODUCT(('Keyword Map'!$B$3:$B$1002=B43)*(LEN('Keyword Map'!$G$3:$G$1002)&gt;0)))</f>
        <v/>
      </c>
      <c r="F43">
        <f>IF(B43="","",C43-E43)</f>
        <v/>
      </c>
      <c r="G43">
        <f>IF(B43="","",COUNTIFS('Keyword Map'!$B$3:$B$1002,SUBSTITUTE(SUBSTITUTE(B43,"?","~?"),"*","~*"),'Keyword Map'!$R$3:$R$1002,"Yes"))</f>
        <v/>
      </c>
      <c r="H43">
        <f>IF(B43="","",COUNTIFS('Keyword Map'!$B$3:$B$1002,SUBSTITUTE(SUBSTITUTE(B43,"?","~?"),"*","~*"),'Keyword Map'!$W$3:$W$1002,"Yes"))</f>
        <v/>
      </c>
      <c r="I43">
        <f>IF(B43="","",IFERROR(ROUND(AVERAGEIFS('Keyword Map'!$P$3:$P$1002,'Keyword Map'!$B$3:$B$1002,SUBSTITUTE(SUBSTITUTE(B43,"?","~?"),"*","~*")),0),""))</f>
        <v/>
      </c>
    </row>
    <row r="44">
      <c r="A44">
        <f>ROW()-2</f>
        <v/>
      </c>
      <c r="B44">
        <f>IFERROR(INDEX('Keyword Map'!$B$3:$B$1002,MATCH(A44,'Keyword Map'!$AB$3:$AB$1002,0)),"")</f>
        <v/>
      </c>
      <c r="C44">
        <f>IF(B44="","",COUNTIF('Keyword Map'!$B$3:$B$1002,SUBSTITUTE(SUBSTITUTE(B44,"?","~?"),"*","~*")))</f>
        <v/>
      </c>
      <c r="D44">
        <f>IF(B44="","",SUMIFS('Keyword Map'!$C$3:$C$1002,'Keyword Map'!$B$3:$B$1002,SUBSTITUTE(SUBSTITUTE(B44,"?","~?"),"*","~*")))</f>
        <v/>
      </c>
      <c r="E44">
        <f>IF(B44="","",SUMPRODUCT(('Keyword Map'!$B$3:$B$1002=B44)*(LEN('Keyword Map'!$G$3:$G$1002)&gt;0)))</f>
        <v/>
      </c>
      <c r="F44">
        <f>IF(B44="","",C44-E44)</f>
        <v/>
      </c>
      <c r="G44">
        <f>IF(B44="","",COUNTIFS('Keyword Map'!$B$3:$B$1002,SUBSTITUTE(SUBSTITUTE(B44,"?","~?"),"*","~*"),'Keyword Map'!$R$3:$R$1002,"Yes"))</f>
        <v/>
      </c>
      <c r="H44">
        <f>IF(B44="","",COUNTIFS('Keyword Map'!$B$3:$B$1002,SUBSTITUTE(SUBSTITUTE(B44,"?","~?"),"*","~*"),'Keyword Map'!$W$3:$W$1002,"Yes"))</f>
        <v/>
      </c>
      <c r="I44">
        <f>IF(B44="","",IFERROR(ROUND(AVERAGEIFS('Keyword Map'!$P$3:$P$1002,'Keyword Map'!$B$3:$B$1002,SUBSTITUTE(SUBSTITUTE(B44,"?","~?"),"*","~*")),0),""))</f>
        <v/>
      </c>
    </row>
    <row r="45">
      <c r="A45">
        <f>ROW()-2</f>
        <v/>
      </c>
      <c r="B45">
        <f>IFERROR(INDEX('Keyword Map'!$B$3:$B$1002,MATCH(A45,'Keyword Map'!$AB$3:$AB$1002,0)),"")</f>
        <v/>
      </c>
      <c r="C45">
        <f>IF(B45="","",COUNTIF('Keyword Map'!$B$3:$B$1002,SUBSTITUTE(SUBSTITUTE(B45,"?","~?"),"*","~*")))</f>
        <v/>
      </c>
      <c r="D45">
        <f>IF(B45="","",SUMIFS('Keyword Map'!$C$3:$C$1002,'Keyword Map'!$B$3:$B$1002,SUBSTITUTE(SUBSTITUTE(B45,"?","~?"),"*","~*")))</f>
        <v/>
      </c>
      <c r="E45">
        <f>IF(B45="","",SUMPRODUCT(('Keyword Map'!$B$3:$B$1002=B45)*(LEN('Keyword Map'!$G$3:$G$1002)&gt;0)))</f>
        <v/>
      </c>
      <c r="F45">
        <f>IF(B45="","",C45-E45)</f>
        <v/>
      </c>
      <c r="G45">
        <f>IF(B45="","",COUNTIFS('Keyword Map'!$B$3:$B$1002,SUBSTITUTE(SUBSTITUTE(B45,"?","~?"),"*","~*"),'Keyword Map'!$R$3:$R$1002,"Yes"))</f>
        <v/>
      </c>
      <c r="H45">
        <f>IF(B45="","",COUNTIFS('Keyword Map'!$B$3:$B$1002,SUBSTITUTE(SUBSTITUTE(B45,"?","~?"),"*","~*"),'Keyword Map'!$W$3:$W$1002,"Yes"))</f>
        <v/>
      </c>
      <c r="I45">
        <f>IF(B45="","",IFERROR(ROUND(AVERAGEIFS('Keyword Map'!$P$3:$P$1002,'Keyword Map'!$B$3:$B$1002,SUBSTITUTE(SUBSTITUTE(B45,"?","~?"),"*","~*")),0),""))</f>
        <v/>
      </c>
    </row>
    <row r="46">
      <c r="A46">
        <f>ROW()-2</f>
        <v/>
      </c>
      <c r="B46">
        <f>IFERROR(INDEX('Keyword Map'!$B$3:$B$1002,MATCH(A46,'Keyword Map'!$AB$3:$AB$1002,0)),"")</f>
        <v/>
      </c>
      <c r="C46">
        <f>IF(B46="","",COUNTIF('Keyword Map'!$B$3:$B$1002,SUBSTITUTE(SUBSTITUTE(B46,"?","~?"),"*","~*")))</f>
        <v/>
      </c>
      <c r="D46">
        <f>IF(B46="","",SUMIFS('Keyword Map'!$C$3:$C$1002,'Keyword Map'!$B$3:$B$1002,SUBSTITUTE(SUBSTITUTE(B46,"?","~?"),"*","~*")))</f>
        <v/>
      </c>
      <c r="E46">
        <f>IF(B46="","",SUMPRODUCT(('Keyword Map'!$B$3:$B$1002=B46)*(LEN('Keyword Map'!$G$3:$G$1002)&gt;0)))</f>
        <v/>
      </c>
      <c r="F46">
        <f>IF(B46="","",C46-E46)</f>
        <v/>
      </c>
      <c r="G46">
        <f>IF(B46="","",COUNTIFS('Keyword Map'!$B$3:$B$1002,SUBSTITUTE(SUBSTITUTE(B46,"?","~?"),"*","~*"),'Keyword Map'!$R$3:$R$1002,"Yes"))</f>
        <v/>
      </c>
      <c r="H46">
        <f>IF(B46="","",COUNTIFS('Keyword Map'!$B$3:$B$1002,SUBSTITUTE(SUBSTITUTE(B46,"?","~?"),"*","~*"),'Keyword Map'!$W$3:$W$1002,"Yes"))</f>
        <v/>
      </c>
      <c r="I46">
        <f>IF(B46="","",IFERROR(ROUND(AVERAGEIFS('Keyword Map'!$P$3:$P$1002,'Keyword Map'!$B$3:$B$1002,SUBSTITUTE(SUBSTITUTE(B46,"?","~?"),"*","~*")),0),""))</f>
        <v/>
      </c>
    </row>
    <row r="47">
      <c r="A47">
        <f>ROW()-2</f>
        <v/>
      </c>
      <c r="B47">
        <f>IFERROR(INDEX('Keyword Map'!$B$3:$B$1002,MATCH(A47,'Keyword Map'!$AB$3:$AB$1002,0)),"")</f>
        <v/>
      </c>
      <c r="C47">
        <f>IF(B47="","",COUNTIF('Keyword Map'!$B$3:$B$1002,SUBSTITUTE(SUBSTITUTE(B47,"?","~?"),"*","~*")))</f>
        <v/>
      </c>
      <c r="D47">
        <f>IF(B47="","",SUMIFS('Keyword Map'!$C$3:$C$1002,'Keyword Map'!$B$3:$B$1002,SUBSTITUTE(SUBSTITUTE(B47,"?","~?"),"*","~*")))</f>
        <v/>
      </c>
      <c r="E47">
        <f>IF(B47="","",SUMPRODUCT(('Keyword Map'!$B$3:$B$1002=B47)*(LEN('Keyword Map'!$G$3:$G$1002)&gt;0)))</f>
        <v/>
      </c>
      <c r="F47">
        <f>IF(B47="","",C47-E47)</f>
        <v/>
      </c>
      <c r="G47">
        <f>IF(B47="","",COUNTIFS('Keyword Map'!$B$3:$B$1002,SUBSTITUTE(SUBSTITUTE(B47,"?","~?"),"*","~*"),'Keyword Map'!$R$3:$R$1002,"Yes"))</f>
        <v/>
      </c>
      <c r="H47">
        <f>IF(B47="","",COUNTIFS('Keyword Map'!$B$3:$B$1002,SUBSTITUTE(SUBSTITUTE(B47,"?","~?"),"*","~*"),'Keyword Map'!$W$3:$W$1002,"Yes"))</f>
        <v/>
      </c>
      <c r="I47">
        <f>IF(B47="","",IFERROR(ROUND(AVERAGEIFS('Keyword Map'!$P$3:$P$1002,'Keyword Map'!$B$3:$B$1002,SUBSTITUTE(SUBSTITUTE(B47,"?","~?"),"*","~*")),0),""))</f>
        <v/>
      </c>
    </row>
    <row r="48">
      <c r="A48">
        <f>ROW()-2</f>
        <v/>
      </c>
      <c r="B48">
        <f>IFERROR(INDEX('Keyword Map'!$B$3:$B$1002,MATCH(A48,'Keyword Map'!$AB$3:$AB$1002,0)),"")</f>
        <v/>
      </c>
      <c r="C48">
        <f>IF(B48="","",COUNTIF('Keyword Map'!$B$3:$B$1002,SUBSTITUTE(SUBSTITUTE(B48,"?","~?"),"*","~*")))</f>
        <v/>
      </c>
      <c r="D48">
        <f>IF(B48="","",SUMIFS('Keyword Map'!$C$3:$C$1002,'Keyword Map'!$B$3:$B$1002,SUBSTITUTE(SUBSTITUTE(B48,"?","~?"),"*","~*")))</f>
        <v/>
      </c>
      <c r="E48">
        <f>IF(B48="","",SUMPRODUCT(('Keyword Map'!$B$3:$B$1002=B48)*(LEN('Keyword Map'!$G$3:$G$1002)&gt;0)))</f>
        <v/>
      </c>
      <c r="F48">
        <f>IF(B48="","",C48-E48)</f>
        <v/>
      </c>
      <c r="G48">
        <f>IF(B48="","",COUNTIFS('Keyword Map'!$B$3:$B$1002,SUBSTITUTE(SUBSTITUTE(B48,"?","~?"),"*","~*"),'Keyword Map'!$R$3:$R$1002,"Yes"))</f>
        <v/>
      </c>
      <c r="H48">
        <f>IF(B48="","",COUNTIFS('Keyword Map'!$B$3:$B$1002,SUBSTITUTE(SUBSTITUTE(B48,"?","~?"),"*","~*"),'Keyword Map'!$W$3:$W$1002,"Yes"))</f>
        <v/>
      </c>
      <c r="I48">
        <f>IF(B48="","",IFERROR(ROUND(AVERAGEIFS('Keyword Map'!$P$3:$P$1002,'Keyword Map'!$B$3:$B$1002,SUBSTITUTE(SUBSTITUTE(B48,"?","~?"),"*","~*")),0),""))</f>
        <v/>
      </c>
    </row>
    <row r="49">
      <c r="A49">
        <f>ROW()-2</f>
        <v/>
      </c>
      <c r="B49">
        <f>IFERROR(INDEX('Keyword Map'!$B$3:$B$1002,MATCH(A49,'Keyword Map'!$AB$3:$AB$1002,0)),"")</f>
        <v/>
      </c>
      <c r="C49">
        <f>IF(B49="","",COUNTIF('Keyword Map'!$B$3:$B$1002,SUBSTITUTE(SUBSTITUTE(B49,"?","~?"),"*","~*")))</f>
        <v/>
      </c>
      <c r="D49">
        <f>IF(B49="","",SUMIFS('Keyword Map'!$C$3:$C$1002,'Keyword Map'!$B$3:$B$1002,SUBSTITUTE(SUBSTITUTE(B49,"?","~?"),"*","~*")))</f>
        <v/>
      </c>
      <c r="E49">
        <f>IF(B49="","",SUMPRODUCT(('Keyword Map'!$B$3:$B$1002=B49)*(LEN('Keyword Map'!$G$3:$G$1002)&gt;0)))</f>
        <v/>
      </c>
      <c r="F49">
        <f>IF(B49="","",C49-E49)</f>
        <v/>
      </c>
      <c r="G49">
        <f>IF(B49="","",COUNTIFS('Keyword Map'!$B$3:$B$1002,SUBSTITUTE(SUBSTITUTE(B49,"?","~?"),"*","~*"),'Keyword Map'!$R$3:$R$1002,"Yes"))</f>
        <v/>
      </c>
      <c r="H49">
        <f>IF(B49="","",COUNTIFS('Keyword Map'!$B$3:$B$1002,SUBSTITUTE(SUBSTITUTE(B49,"?","~?"),"*","~*"),'Keyword Map'!$W$3:$W$1002,"Yes"))</f>
        <v/>
      </c>
      <c r="I49">
        <f>IF(B49="","",IFERROR(ROUND(AVERAGEIFS('Keyword Map'!$P$3:$P$1002,'Keyword Map'!$B$3:$B$1002,SUBSTITUTE(SUBSTITUTE(B49,"?","~?"),"*","~*")),0),""))</f>
        <v/>
      </c>
    </row>
    <row r="50">
      <c r="A50">
        <f>ROW()-2</f>
        <v/>
      </c>
      <c r="B50">
        <f>IFERROR(INDEX('Keyword Map'!$B$3:$B$1002,MATCH(A50,'Keyword Map'!$AB$3:$AB$1002,0)),"")</f>
        <v/>
      </c>
      <c r="C50">
        <f>IF(B50="","",COUNTIF('Keyword Map'!$B$3:$B$1002,SUBSTITUTE(SUBSTITUTE(B50,"?","~?"),"*","~*")))</f>
        <v/>
      </c>
      <c r="D50">
        <f>IF(B50="","",SUMIFS('Keyword Map'!$C$3:$C$1002,'Keyword Map'!$B$3:$B$1002,SUBSTITUTE(SUBSTITUTE(B50,"?","~?"),"*","~*")))</f>
        <v/>
      </c>
      <c r="E50">
        <f>IF(B50="","",SUMPRODUCT(('Keyword Map'!$B$3:$B$1002=B50)*(LEN('Keyword Map'!$G$3:$G$1002)&gt;0)))</f>
        <v/>
      </c>
      <c r="F50">
        <f>IF(B50="","",C50-E50)</f>
        <v/>
      </c>
      <c r="G50">
        <f>IF(B50="","",COUNTIFS('Keyword Map'!$B$3:$B$1002,SUBSTITUTE(SUBSTITUTE(B50,"?","~?"),"*","~*"),'Keyword Map'!$R$3:$R$1002,"Yes"))</f>
        <v/>
      </c>
      <c r="H50">
        <f>IF(B50="","",COUNTIFS('Keyword Map'!$B$3:$B$1002,SUBSTITUTE(SUBSTITUTE(B50,"?","~?"),"*","~*"),'Keyword Map'!$W$3:$W$1002,"Yes"))</f>
        <v/>
      </c>
      <c r="I50">
        <f>IF(B50="","",IFERROR(ROUND(AVERAGEIFS('Keyword Map'!$P$3:$P$1002,'Keyword Map'!$B$3:$B$1002,SUBSTITUTE(SUBSTITUTE(B50,"?","~?"),"*","~*")),0),""))</f>
        <v/>
      </c>
    </row>
    <row r="51">
      <c r="A51">
        <f>ROW()-2</f>
        <v/>
      </c>
      <c r="B51">
        <f>IFERROR(INDEX('Keyword Map'!$B$3:$B$1002,MATCH(A51,'Keyword Map'!$AB$3:$AB$1002,0)),"")</f>
        <v/>
      </c>
      <c r="C51">
        <f>IF(B51="","",COUNTIF('Keyword Map'!$B$3:$B$1002,SUBSTITUTE(SUBSTITUTE(B51,"?","~?"),"*","~*")))</f>
        <v/>
      </c>
      <c r="D51">
        <f>IF(B51="","",SUMIFS('Keyword Map'!$C$3:$C$1002,'Keyword Map'!$B$3:$B$1002,SUBSTITUTE(SUBSTITUTE(B51,"?","~?"),"*","~*")))</f>
        <v/>
      </c>
      <c r="E51">
        <f>IF(B51="","",SUMPRODUCT(('Keyword Map'!$B$3:$B$1002=B51)*(LEN('Keyword Map'!$G$3:$G$1002)&gt;0)))</f>
        <v/>
      </c>
      <c r="F51">
        <f>IF(B51="","",C51-E51)</f>
        <v/>
      </c>
      <c r="G51">
        <f>IF(B51="","",COUNTIFS('Keyword Map'!$B$3:$B$1002,SUBSTITUTE(SUBSTITUTE(B51,"?","~?"),"*","~*"),'Keyword Map'!$R$3:$R$1002,"Yes"))</f>
        <v/>
      </c>
      <c r="H51">
        <f>IF(B51="","",COUNTIFS('Keyword Map'!$B$3:$B$1002,SUBSTITUTE(SUBSTITUTE(B51,"?","~?"),"*","~*"),'Keyword Map'!$W$3:$W$1002,"Yes"))</f>
        <v/>
      </c>
      <c r="I51">
        <f>IF(B51="","",IFERROR(ROUND(AVERAGEIFS('Keyword Map'!$P$3:$P$1002,'Keyword Map'!$B$3:$B$1002,SUBSTITUTE(SUBSTITUTE(B51,"?","~?"),"*","~*")),0),""))</f>
        <v/>
      </c>
    </row>
    <row r="52">
      <c r="A52">
        <f>ROW()-2</f>
        <v/>
      </c>
      <c r="B52">
        <f>IFERROR(INDEX('Keyword Map'!$B$3:$B$1002,MATCH(A52,'Keyword Map'!$AB$3:$AB$1002,0)),"")</f>
        <v/>
      </c>
      <c r="C52">
        <f>IF(B52="","",COUNTIF('Keyword Map'!$B$3:$B$1002,SUBSTITUTE(SUBSTITUTE(B52,"?","~?"),"*","~*")))</f>
        <v/>
      </c>
      <c r="D52">
        <f>IF(B52="","",SUMIFS('Keyword Map'!$C$3:$C$1002,'Keyword Map'!$B$3:$B$1002,SUBSTITUTE(SUBSTITUTE(B52,"?","~?"),"*","~*")))</f>
        <v/>
      </c>
      <c r="E52">
        <f>IF(B52="","",SUMPRODUCT(('Keyword Map'!$B$3:$B$1002=B52)*(LEN('Keyword Map'!$G$3:$G$1002)&gt;0)))</f>
        <v/>
      </c>
      <c r="F52">
        <f>IF(B52="","",C52-E52)</f>
        <v/>
      </c>
      <c r="G52">
        <f>IF(B52="","",COUNTIFS('Keyword Map'!$B$3:$B$1002,SUBSTITUTE(SUBSTITUTE(B52,"?","~?"),"*","~*"),'Keyword Map'!$R$3:$R$1002,"Yes"))</f>
        <v/>
      </c>
      <c r="H52">
        <f>IF(B52="","",COUNTIFS('Keyword Map'!$B$3:$B$1002,SUBSTITUTE(SUBSTITUTE(B52,"?","~?"),"*","~*"),'Keyword Map'!$W$3:$W$1002,"Yes"))</f>
        <v/>
      </c>
      <c r="I52">
        <f>IF(B52="","",IFERROR(ROUND(AVERAGEIFS('Keyword Map'!$P$3:$P$1002,'Keyword Map'!$B$3:$B$1002,SUBSTITUTE(SUBSTITUTE(B52,"?","~?"),"*","~*")),0),""))</f>
        <v/>
      </c>
    </row>
    <row r="53">
      <c r="A53">
        <f>ROW()-2</f>
        <v/>
      </c>
      <c r="B53">
        <f>IFERROR(INDEX('Keyword Map'!$B$3:$B$1002,MATCH(A53,'Keyword Map'!$AB$3:$AB$1002,0)),"")</f>
        <v/>
      </c>
      <c r="C53">
        <f>IF(B53="","",COUNTIF('Keyword Map'!$B$3:$B$1002,SUBSTITUTE(SUBSTITUTE(B53,"?","~?"),"*","~*")))</f>
        <v/>
      </c>
      <c r="D53">
        <f>IF(B53="","",SUMIFS('Keyword Map'!$C$3:$C$1002,'Keyword Map'!$B$3:$B$1002,SUBSTITUTE(SUBSTITUTE(B53,"?","~?"),"*","~*")))</f>
        <v/>
      </c>
      <c r="E53">
        <f>IF(B53="","",SUMPRODUCT(('Keyword Map'!$B$3:$B$1002=B53)*(LEN('Keyword Map'!$G$3:$G$1002)&gt;0)))</f>
        <v/>
      </c>
      <c r="F53">
        <f>IF(B53="","",C53-E53)</f>
        <v/>
      </c>
      <c r="G53">
        <f>IF(B53="","",COUNTIFS('Keyword Map'!$B$3:$B$1002,SUBSTITUTE(SUBSTITUTE(B53,"?","~?"),"*","~*"),'Keyword Map'!$R$3:$R$1002,"Yes"))</f>
        <v/>
      </c>
      <c r="H53">
        <f>IF(B53="","",COUNTIFS('Keyword Map'!$B$3:$B$1002,SUBSTITUTE(SUBSTITUTE(B53,"?","~?"),"*","~*"),'Keyword Map'!$W$3:$W$1002,"Yes"))</f>
        <v/>
      </c>
      <c r="I53">
        <f>IF(B53="","",IFERROR(ROUND(AVERAGEIFS('Keyword Map'!$P$3:$P$1002,'Keyword Map'!$B$3:$B$1002,SUBSTITUTE(SUBSTITUTE(B53,"?","~?"),"*","~*")),0),""))</f>
        <v/>
      </c>
    </row>
    <row r="54">
      <c r="A54">
        <f>ROW()-2</f>
        <v/>
      </c>
      <c r="B54">
        <f>IFERROR(INDEX('Keyword Map'!$B$3:$B$1002,MATCH(A54,'Keyword Map'!$AB$3:$AB$1002,0)),"")</f>
        <v/>
      </c>
      <c r="C54">
        <f>IF(B54="","",COUNTIF('Keyword Map'!$B$3:$B$1002,SUBSTITUTE(SUBSTITUTE(B54,"?","~?"),"*","~*")))</f>
        <v/>
      </c>
      <c r="D54">
        <f>IF(B54="","",SUMIFS('Keyword Map'!$C$3:$C$1002,'Keyword Map'!$B$3:$B$1002,SUBSTITUTE(SUBSTITUTE(B54,"?","~?"),"*","~*")))</f>
        <v/>
      </c>
      <c r="E54">
        <f>IF(B54="","",SUMPRODUCT(('Keyword Map'!$B$3:$B$1002=B54)*(LEN('Keyword Map'!$G$3:$G$1002)&gt;0)))</f>
        <v/>
      </c>
      <c r="F54">
        <f>IF(B54="","",C54-E54)</f>
        <v/>
      </c>
      <c r="G54">
        <f>IF(B54="","",COUNTIFS('Keyword Map'!$B$3:$B$1002,SUBSTITUTE(SUBSTITUTE(B54,"?","~?"),"*","~*"),'Keyword Map'!$R$3:$R$1002,"Yes"))</f>
        <v/>
      </c>
      <c r="H54">
        <f>IF(B54="","",COUNTIFS('Keyword Map'!$B$3:$B$1002,SUBSTITUTE(SUBSTITUTE(B54,"?","~?"),"*","~*"),'Keyword Map'!$W$3:$W$1002,"Yes"))</f>
        <v/>
      </c>
      <c r="I54">
        <f>IF(B54="","",IFERROR(ROUND(AVERAGEIFS('Keyword Map'!$P$3:$P$1002,'Keyword Map'!$B$3:$B$1002,SUBSTITUTE(SUBSTITUTE(B54,"?","~?"),"*","~*")),0),""))</f>
        <v/>
      </c>
    </row>
    <row r="55">
      <c r="A55">
        <f>ROW()-2</f>
        <v/>
      </c>
      <c r="B55">
        <f>IFERROR(INDEX('Keyword Map'!$B$3:$B$1002,MATCH(A55,'Keyword Map'!$AB$3:$AB$1002,0)),"")</f>
        <v/>
      </c>
      <c r="C55">
        <f>IF(B55="","",COUNTIF('Keyword Map'!$B$3:$B$1002,SUBSTITUTE(SUBSTITUTE(B55,"?","~?"),"*","~*")))</f>
        <v/>
      </c>
      <c r="D55">
        <f>IF(B55="","",SUMIFS('Keyword Map'!$C$3:$C$1002,'Keyword Map'!$B$3:$B$1002,SUBSTITUTE(SUBSTITUTE(B55,"?","~?"),"*","~*")))</f>
        <v/>
      </c>
      <c r="E55">
        <f>IF(B55="","",SUMPRODUCT(('Keyword Map'!$B$3:$B$1002=B55)*(LEN('Keyword Map'!$G$3:$G$1002)&gt;0)))</f>
        <v/>
      </c>
      <c r="F55">
        <f>IF(B55="","",C55-E55)</f>
        <v/>
      </c>
      <c r="G55">
        <f>IF(B55="","",COUNTIFS('Keyword Map'!$B$3:$B$1002,SUBSTITUTE(SUBSTITUTE(B55,"?","~?"),"*","~*"),'Keyword Map'!$R$3:$R$1002,"Yes"))</f>
        <v/>
      </c>
      <c r="H55">
        <f>IF(B55="","",COUNTIFS('Keyword Map'!$B$3:$B$1002,SUBSTITUTE(SUBSTITUTE(B55,"?","~?"),"*","~*"),'Keyword Map'!$W$3:$W$1002,"Yes"))</f>
        <v/>
      </c>
      <c r="I55">
        <f>IF(B55="","",IFERROR(ROUND(AVERAGEIFS('Keyword Map'!$P$3:$P$1002,'Keyword Map'!$B$3:$B$1002,SUBSTITUTE(SUBSTITUTE(B55,"?","~?"),"*","~*")),0),""))</f>
        <v/>
      </c>
    </row>
    <row r="56">
      <c r="A56">
        <f>ROW()-2</f>
        <v/>
      </c>
      <c r="B56">
        <f>IFERROR(INDEX('Keyword Map'!$B$3:$B$1002,MATCH(A56,'Keyword Map'!$AB$3:$AB$1002,0)),"")</f>
        <v/>
      </c>
      <c r="C56">
        <f>IF(B56="","",COUNTIF('Keyword Map'!$B$3:$B$1002,SUBSTITUTE(SUBSTITUTE(B56,"?","~?"),"*","~*")))</f>
        <v/>
      </c>
      <c r="D56">
        <f>IF(B56="","",SUMIFS('Keyword Map'!$C$3:$C$1002,'Keyword Map'!$B$3:$B$1002,SUBSTITUTE(SUBSTITUTE(B56,"?","~?"),"*","~*")))</f>
        <v/>
      </c>
      <c r="E56">
        <f>IF(B56="","",SUMPRODUCT(('Keyword Map'!$B$3:$B$1002=B56)*(LEN('Keyword Map'!$G$3:$G$1002)&gt;0)))</f>
        <v/>
      </c>
      <c r="F56">
        <f>IF(B56="","",C56-E56)</f>
        <v/>
      </c>
      <c r="G56">
        <f>IF(B56="","",COUNTIFS('Keyword Map'!$B$3:$B$1002,SUBSTITUTE(SUBSTITUTE(B56,"?","~?"),"*","~*"),'Keyword Map'!$R$3:$R$1002,"Yes"))</f>
        <v/>
      </c>
      <c r="H56">
        <f>IF(B56="","",COUNTIFS('Keyword Map'!$B$3:$B$1002,SUBSTITUTE(SUBSTITUTE(B56,"?","~?"),"*","~*"),'Keyword Map'!$W$3:$W$1002,"Yes"))</f>
        <v/>
      </c>
      <c r="I56">
        <f>IF(B56="","",IFERROR(ROUND(AVERAGEIFS('Keyword Map'!$P$3:$P$1002,'Keyword Map'!$B$3:$B$1002,SUBSTITUTE(SUBSTITUTE(B56,"?","~?"),"*","~*")),0),""))</f>
        <v/>
      </c>
    </row>
    <row r="57">
      <c r="A57">
        <f>ROW()-2</f>
        <v/>
      </c>
      <c r="B57">
        <f>IFERROR(INDEX('Keyword Map'!$B$3:$B$1002,MATCH(A57,'Keyword Map'!$AB$3:$AB$1002,0)),"")</f>
        <v/>
      </c>
      <c r="C57">
        <f>IF(B57="","",COUNTIF('Keyword Map'!$B$3:$B$1002,SUBSTITUTE(SUBSTITUTE(B57,"?","~?"),"*","~*")))</f>
        <v/>
      </c>
      <c r="D57">
        <f>IF(B57="","",SUMIFS('Keyword Map'!$C$3:$C$1002,'Keyword Map'!$B$3:$B$1002,SUBSTITUTE(SUBSTITUTE(B57,"?","~?"),"*","~*")))</f>
        <v/>
      </c>
      <c r="E57">
        <f>IF(B57="","",SUMPRODUCT(('Keyword Map'!$B$3:$B$1002=B57)*(LEN('Keyword Map'!$G$3:$G$1002)&gt;0)))</f>
        <v/>
      </c>
      <c r="F57">
        <f>IF(B57="","",C57-E57)</f>
        <v/>
      </c>
      <c r="G57">
        <f>IF(B57="","",COUNTIFS('Keyword Map'!$B$3:$B$1002,SUBSTITUTE(SUBSTITUTE(B57,"?","~?"),"*","~*"),'Keyword Map'!$R$3:$R$1002,"Yes"))</f>
        <v/>
      </c>
      <c r="H57">
        <f>IF(B57="","",COUNTIFS('Keyword Map'!$B$3:$B$1002,SUBSTITUTE(SUBSTITUTE(B57,"?","~?"),"*","~*"),'Keyword Map'!$W$3:$W$1002,"Yes"))</f>
        <v/>
      </c>
      <c r="I57">
        <f>IF(B57="","",IFERROR(ROUND(AVERAGEIFS('Keyword Map'!$P$3:$P$1002,'Keyword Map'!$B$3:$B$1002,SUBSTITUTE(SUBSTITUTE(B57,"?","~?"),"*","~*")),0),""))</f>
        <v/>
      </c>
    </row>
    <row r="58">
      <c r="A58">
        <f>ROW()-2</f>
        <v/>
      </c>
      <c r="B58">
        <f>IFERROR(INDEX('Keyword Map'!$B$3:$B$1002,MATCH(A58,'Keyword Map'!$AB$3:$AB$1002,0)),"")</f>
        <v/>
      </c>
      <c r="C58">
        <f>IF(B58="","",COUNTIF('Keyword Map'!$B$3:$B$1002,SUBSTITUTE(SUBSTITUTE(B58,"?","~?"),"*","~*")))</f>
        <v/>
      </c>
      <c r="D58">
        <f>IF(B58="","",SUMIFS('Keyword Map'!$C$3:$C$1002,'Keyword Map'!$B$3:$B$1002,SUBSTITUTE(SUBSTITUTE(B58,"?","~?"),"*","~*")))</f>
        <v/>
      </c>
      <c r="E58">
        <f>IF(B58="","",SUMPRODUCT(('Keyword Map'!$B$3:$B$1002=B58)*(LEN('Keyword Map'!$G$3:$G$1002)&gt;0)))</f>
        <v/>
      </c>
      <c r="F58">
        <f>IF(B58="","",C58-E58)</f>
        <v/>
      </c>
      <c r="G58">
        <f>IF(B58="","",COUNTIFS('Keyword Map'!$B$3:$B$1002,SUBSTITUTE(SUBSTITUTE(B58,"?","~?"),"*","~*"),'Keyword Map'!$R$3:$R$1002,"Yes"))</f>
        <v/>
      </c>
      <c r="H58">
        <f>IF(B58="","",COUNTIFS('Keyword Map'!$B$3:$B$1002,SUBSTITUTE(SUBSTITUTE(B58,"?","~?"),"*","~*"),'Keyword Map'!$W$3:$W$1002,"Yes"))</f>
        <v/>
      </c>
      <c r="I58">
        <f>IF(B58="","",IFERROR(ROUND(AVERAGEIFS('Keyword Map'!$P$3:$P$1002,'Keyword Map'!$B$3:$B$1002,SUBSTITUTE(SUBSTITUTE(B58,"?","~?"),"*","~*")),0),""))</f>
        <v/>
      </c>
    </row>
    <row r="59">
      <c r="A59">
        <f>ROW()-2</f>
        <v/>
      </c>
      <c r="B59">
        <f>IFERROR(INDEX('Keyword Map'!$B$3:$B$1002,MATCH(A59,'Keyword Map'!$AB$3:$AB$1002,0)),"")</f>
        <v/>
      </c>
      <c r="C59">
        <f>IF(B59="","",COUNTIF('Keyword Map'!$B$3:$B$1002,SUBSTITUTE(SUBSTITUTE(B59,"?","~?"),"*","~*")))</f>
        <v/>
      </c>
      <c r="D59">
        <f>IF(B59="","",SUMIFS('Keyword Map'!$C$3:$C$1002,'Keyword Map'!$B$3:$B$1002,SUBSTITUTE(SUBSTITUTE(B59,"?","~?"),"*","~*")))</f>
        <v/>
      </c>
      <c r="E59">
        <f>IF(B59="","",SUMPRODUCT(('Keyword Map'!$B$3:$B$1002=B59)*(LEN('Keyword Map'!$G$3:$G$1002)&gt;0)))</f>
        <v/>
      </c>
      <c r="F59">
        <f>IF(B59="","",C59-E59)</f>
        <v/>
      </c>
      <c r="G59">
        <f>IF(B59="","",COUNTIFS('Keyword Map'!$B$3:$B$1002,SUBSTITUTE(SUBSTITUTE(B59,"?","~?"),"*","~*"),'Keyword Map'!$R$3:$R$1002,"Yes"))</f>
        <v/>
      </c>
      <c r="H59">
        <f>IF(B59="","",COUNTIFS('Keyword Map'!$B$3:$B$1002,SUBSTITUTE(SUBSTITUTE(B59,"?","~?"),"*","~*"),'Keyword Map'!$W$3:$W$1002,"Yes"))</f>
        <v/>
      </c>
      <c r="I59">
        <f>IF(B59="","",IFERROR(ROUND(AVERAGEIFS('Keyword Map'!$P$3:$P$1002,'Keyword Map'!$B$3:$B$1002,SUBSTITUTE(SUBSTITUTE(B59,"?","~?"),"*","~*")),0),""))</f>
        <v/>
      </c>
    </row>
    <row r="60">
      <c r="A60">
        <f>ROW()-2</f>
        <v/>
      </c>
      <c r="B60">
        <f>IFERROR(INDEX('Keyword Map'!$B$3:$B$1002,MATCH(A60,'Keyword Map'!$AB$3:$AB$1002,0)),"")</f>
        <v/>
      </c>
      <c r="C60">
        <f>IF(B60="","",COUNTIF('Keyword Map'!$B$3:$B$1002,SUBSTITUTE(SUBSTITUTE(B60,"?","~?"),"*","~*")))</f>
        <v/>
      </c>
      <c r="D60">
        <f>IF(B60="","",SUMIFS('Keyword Map'!$C$3:$C$1002,'Keyword Map'!$B$3:$B$1002,SUBSTITUTE(SUBSTITUTE(B60,"?","~?"),"*","~*")))</f>
        <v/>
      </c>
      <c r="E60">
        <f>IF(B60="","",SUMPRODUCT(('Keyword Map'!$B$3:$B$1002=B60)*(LEN('Keyword Map'!$G$3:$G$1002)&gt;0)))</f>
        <v/>
      </c>
      <c r="F60">
        <f>IF(B60="","",C60-E60)</f>
        <v/>
      </c>
      <c r="G60">
        <f>IF(B60="","",COUNTIFS('Keyword Map'!$B$3:$B$1002,SUBSTITUTE(SUBSTITUTE(B60,"?","~?"),"*","~*"),'Keyword Map'!$R$3:$R$1002,"Yes"))</f>
        <v/>
      </c>
      <c r="H60">
        <f>IF(B60="","",COUNTIFS('Keyword Map'!$B$3:$B$1002,SUBSTITUTE(SUBSTITUTE(B60,"?","~?"),"*","~*"),'Keyword Map'!$W$3:$W$1002,"Yes"))</f>
        <v/>
      </c>
      <c r="I60">
        <f>IF(B60="","",IFERROR(ROUND(AVERAGEIFS('Keyword Map'!$P$3:$P$1002,'Keyword Map'!$B$3:$B$1002,SUBSTITUTE(SUBSTITUTE(B60,"?","~?"),"*","~*")),0),""))</f>
        <v/>
      </c>
    </row>
    <row r="61">
      <c r="A61">
        <f>ROW()-2</f>
        <v/>
      </c>
      <c r="B61">
        <f>IFERROR(INDEX('Keyword Map'!$B$3:$B$1002,MATCH(A61,'Keyword Map'!$AB$3:$AB$1002,0)),"")</f>
        <v/>
      </c>
      <c r="C61">
        <f>IF(B61="","",COUNTIF('Keyword Map'!$B$3:$B$1002,SUBSTITUTE(SUBSTITUTE(B61,"?","~?"),"*","~*")))</f>
        <v/>
      </c>
      <c r="D61">
        <f>IF(B61="","",SUMIFS('Keyword Map'!$C$3:$C$1002,'Keyword Map'!$B$3:$B$1002,SUBSTITUTE(SUBSTITUTE(B61,"?","~?"),"*","~*")))</f>
        <v/>
      </c>
      <c r="E61">
        <f>IF(B61="","",SUMPRODUCT(('Keyword Map'!$B$3:$B$1002=B61)*(LEN('Keyword Map'!$G$3:$G$1002)&gt;0)))</f>
        <v/>
      </c>
      <c r="F61">
        <f>IF(B61="","",C61-E61)</f>
        <v/>
      </c>
      <c r="G61">
        <f>IF(B61="","",COUNTIFS('Keyword Map'!$B$3:$B$1002,SUBSTITUTE(SUBSTITUTE(B61,"?","~?"),"*","~*"),'Keyword Map'!$R$3:$R$1002,"Yes"))</f>
        <v/>
      </c>
      <c r="H61">
        <f>IF(B61="","",COUNTIFS('Keyword Map'!$B$3:$B$1002,SUBSTITUTE(SUBSTITUTE(B61,"?","~?"),"*","~*"),'Keyword Map'!$W$3:$W$1002,"Yes"))</f>
        <v/>
      </c>
      <c r="I61">
        <f>IF(B61="","",IFERROR(ROUND(AVERAGEIFS('Keyword Map'!$P$3:$P$1002,'Keyword Map'!$B$3:$B$1002,SUBSTITUTE(SUBSTITUTE(B61,"?","~?"),"*","~*")),0),""))</f>
        <v/>
      </c>
    </row>
    <row r="62">
      <c r="A62">
        <f>ROW()-2</f>
        <v/>
      </c>
      <c r="B62">
        <f>IFERROR(INDEX('Keyword Map'!$B$3:$B$1002,MATCH(A62,'Keyword Map'!$AB$3:$AB$1002,0)),"")</f>
        <v/>
      </c>
      <c r="C62">
        <f>IF(B62="","",COUNTIF('Keyword Map'!$B$3:$B$1002,SUBSTITUTE(SUBSTITUTE(B62,"?","~?"),"*","~*")))</f>
        <v/>
      </c>
      <c r="D62">
        <f>IF(B62="","",SUMIFS('Keyword Map'!$C$3:$C$1002,'Keyword Map'!$B$3:$B$1002,SUBSTITUTE(SUBSTITUTE(B62,"?","~?"),"*","~*")))</f>
        <v/>
      </c>
      <c r="E62">
        <f>IF(B62="","",SUMPRODUCT(('Keyword Map'!$B$3:$B$1002=B62)*(LEN('Keyword Map'!$G$3:$G$1002)&gt;0)))</f>
        <v/>
      </c>
      <c r="F62">
        <f>IF(B62="","",C62-E62)</f>
        <v/>
      </c>
      <c r="G62">
        <f>IF(B62="","",COUNTIFS('Keyword Map'!$B$3:$B$1002,SUBSTITUTE(SUBSTITUTE(B62,"?","~?"),"*","~*"),'Keyword Map'!$R$3:$R$1002,"Yes"))</f>
        <v/>
      </c>
      <c r="H62">
        <f>IF(B62="","",COUNTIFS('Keyword Map'!$B$3:$B$1002,SUBSTITUTE(SUBSTITUTE(B62,"?","~?"),"*","~*"),'Keyword Map'!$W$3:$W$1002,"Yes"))</f>
        <v/>
      </c>
      <c r="I62">
        <f>IF(B62="","",IFERROR(ROUND(AVERAGEIFS('Keyword Map'!$P$3:$P$1002,'Keyword Map'!$B$3:$B$1002,SUBSTITUTE(SUBSTITUTE(B62,"?","~?"),"*","~*")),0),""))</f>
        <v/>
      </c>
    </row>
    <row r="63">
      <c r="A63">
        <f>ROW()-2</f>
        <v/>
      </c>
      <c r="B63">
        <f>IFERROR(INDEX('Keyword Map'!$B$3:$B$1002,MATCH(A63,'Keyword Map'!$AB$3:$AB$1002,0)),"")</f>
        <v/>
      </c>
      <c r="C63">
        <f>IF(B63="","",COUNTIF('Keyword Map'!$B$3:$B$1002,SUBSTITUTE(SUBSTITUTE(B63,"?","~?"),"*","~*")))</f>
        <v/>
      </c>
      <c r="D63">
        <f>IF(B63="","",SUMIFS('Keyword Map'!$C$3:$C$1002,'Keyword Map'!$B$3:$B$1002,SUBSTITUTE(SUBSTITUTE(B63,"?","~?"),"*","~*")))</f>
        <v/>
      </c>
      <c r="E63">
        <f>IF(B63="","",SUMPRODUCT(('Keyword Map'!$B$3:$B$1002=B63)*(LEN('Keyword Map'!$G$3:$G$1002)&gt;0)))</f>
        <v/>
      </c>
      <c r="F63">
        <f>IF(B63="","",C63-E63)</f>
        <v/>
      </c>
      <c r="G63">
        <f>IF(B63="","",COUNTIFS('Keyword Map'!$B$3:$B$1002,SUBSTITUTE(SUBSTITUTE(B63,"?","~?"),"*","~*"),'Keyword Map'!$R$3:$R$1002,"Yes"))</f>
        <v/>
      </c>
      <c r="H63">
        <f>IF(B63="","",COUNTIFS('Keyword Map'!$B$3:$B$1002,SUBSTITUTE(SUBSTITUTE(B63,"?","~?"),"*","~*"),'Keyword Map'!$W$3:$W$1002,"Yes"))</f>
        <v/>
      </c>
      <c r="I63">
        <f>IF(B63="","",IFERROR(ROUND(AVERAGEIFS('Keyword Map'!$P$3:$P$1002,'Keyword Map'!$B$3:$B$1002,SUBSTITUTE(SUBSTITUTE(B63,"?","~?"),"*","~*")),0),""))</f>
        <v/>
      </c>
    </row>
    <row r="64">
      <c r="A64">
        <f>ROW()-2</f>
        <v/>
      </c>
      <c r="B64">
        <f>IFERROR(INDEX('Keyword Map'!$B$3:$B$1002,MATCH(A64,'Keyword Map'!$AB$3:$AB$1002,0)),"")</f>
        <v/>
      </c>
      <c r="C64">
        <f>IF(B64="","",COUNTIF('Keyword Map'!$B$3:$B$1002,SUBSTITUTE(SUBSTITUTE(B64,"?","~?"),"*","~*")))</f>
        <v/>
      </c>
      <c r="D64">
        <f>IF(B64="","",SUMIFS('Keyword Map'!$C$3:$C$1002,'Keyword Map'!$B$3:$B$1002,SUBSTITUTE(SUBSTITUTE(B64,"?","~?"),"*","~*")))</f>
        <v/>
      </c>
      <c r="E64">
        <f>IF(B64="","",SUMPRODUCT(('Keyword Map'!$B$3:$B$1002=B64)*(LEN('Keyword Map'!$G$3:$G$1002)&gt;0)))</f>
        <v/>
      </c>
      <c r="F64">
        <f>IF(B64="","",C64-E64)</f>
        <v/>
      </c>
      <c r="G64">
        <f>IF(B64="","",COUNTIFS('Keyword Map'!$B$3:$B$1002,SUBSTITUTE(SUBSTITUTE(B64,"?","~?"),"*","~*"),'Keyword Map'!$R$3:$R$1002,"Yes"))</f>
        <v/>
      </c>
      <c r="H64">
        <f>IF(B64="","",COUNTIFS('Keyword Map'!$B$3:$B$1002,SUBSTITUTE(SUBSTITUTE(B64,"?","~?"),"*","~*"),'Keyword Map'!$W$3:$W$1002,"Yes"))</f>
        <v/>
      </c>
      <c r="I64">
        <f>IF(B64="","",IFERROR(ROUND(AVERAGEIFS('Keyword Map'!$P$3:$P$1002,'Keyword Map'!$B$3:$B$1002,SUBSTITUTE(SUBSTITUTE(B64,"?","~?"),"*","~*")),0),""))</f>
        <v/>
      </c>
    </row>
    <row r="65">
      <c r="A65">
        <f>ROW()-2</f>
        <v/>
      </c>
      <c r="B65">
        <f>IFERROR(INDEX('Keyword Map'!$B$3:$B$1002,MATCH(A65,'Keyword Map'!$AB$3:$AB$1002,0)),"")</f>
        <v/>
      </c>
      <c r="C65">
        <f>IF(B65="","",COUNTIF('Keyword Map'!$B$3:$B$1002,SUBSTITUTE(SUBSTITUTE(B65,"?","~?"),"*","~*")))</f>
        <v/>
      </c>
      <c r="D65">
        <f>IF(B65="","",SUMIFS('Keyword Map'!$C$3:$C$1002,'Keyword Map'!$B$3:$B$1002,SUBSTITUTE(SUBSTITUTE(B65,"?","~?"),"*","~*")))</f>
        <v/>
      </c>
      <c r="E65">
        <f>IF(B65="","",SUMPRODUCT(('Keyword Map'!$B$3:$B$1002=B65)*(LEN('Keyword Map'!$G$3:$G$1002)&gt;0)))</f>
        <v/>
      </c>
      <c r="F65">
        <f>IF(B65="","",C65-E65)</f>
        <v/>
      </c>
      <c r="G65">
        <f>IF(B65="","",COUNTIFS('Keyword Map'!$B$3:$B$1002,SUBSTITUTE(SUBSTITUTE(B65,"?","~?"),"*","~*"),'Keyword Map'!$R$3:$R$1002,"Yes"))</f>
        <v/>
      </c>
      <c r="H65">
        <f>IF(B65="","",COUNTIFS('Keyword Map'!$B$3:$B$1002,SUBSTITUTE(SUBSTITUTE(B65,"?","~?"),"*","~*"),'Keyword Map'!$W$3:$W$1002,"Yes"))</f>
        <v/>
      </c>
      <c r="I65">
        <f>IF(B65="","",IFERROR(ROUND(AVERAGEIFS('Keyword Map'!$P$3:$P$1002,'Keyword Map'!$B$3:$B$1002,SUBSTITUTE(SUBSTITUTE(B65,"?","~?"),"*","~*")),0),""))</f>
        <v/>
      </c>
    </row>
    <row r="66">
      <c r="A66">
        <f>ROW()-2</f>
        <v/>
      </c>
      <c r="B66">
        <f>IFERROR(INDEX('Keyword Map'!$B$3:$B$1002,MATCH(A66,'Keyword Map'!$AB$3:$AB$1002,0)),"")</f>
        <v/>
      </c>
      <c r="C66">
        <f>IF(B66="","",COUNTIF('Keyword Map'!$B$3:$B$1002,SUBSTITUTE(SUBSTITUTE(B66,"?","~?"),"*","~*")))</f>
        <v/>
      </c>
      <c r="D66">
        <f>IF(B66="","",SUMIFS('Keyword Map'!$C$3:$C$1002,'Keyword Map'!$B$3:$B$1002,SUBSTITUTE(SUBSTITUTE(B66,"?","~?"),"*","~*")))</f>
        <v/>
      </c>
      <c r="E66">
        <f>IF(B66="","",SUMPRODUCT(('Keyword Map'!$B$3:$B$1002=B66)*(LEN('Keyword Map'!$G$3:$G$1002)&gt;0)))</f>
        <v/>
      </c>
      <c r="F66">
        <f>IF(B66="","",C66-E66)</f>
        <v/>
      </c>
      <c r="G66">
        <f>IF(B66="","",COUNTIFS('Keyword Map'!$B$3:$B$1002,SUBSTITUTE(SUBSTITUTE(B66,"?","~?"),"*","~*"),'Keyword Map'!$R$3:$R$1002,"Yes"))</f>
        <v/>
      </c>
      <c r="H66">
        <f>IF(B66="","",COUNTIFS('Keyword Map'!$B$3:$B$1002,SUBSTITUTE(SUBSTITUTE(B66,"?","~?"),"*","~*"),'Keyword Map'!$W$3:$W$1002,"Yes"))</f>
        <v/>
      </c>
      <c r="I66">
        <f>IF(B66="","",IFERROR(ROUND(AVERAGEIFS('Keyword Map'!$P$3:$P$1002,'Keyword Map'!$B$3:$B$1002,SUBSTITUTE(SUBSTITUTE(B66,"?","~?"),"*","~*")),0),""))</f>
        <v/>
      </c>
    </row>
    <row r="67">
      <c r="A67">
        <f>ROW()-2</f>
        <v/>
      </c>
      <c r="B67">
        <f>IFERROR(INDEX('Keyword Map'!$B$3:$B$1002,MATCH(A67,'Keyword Map'!$AB$3:$AB$1002,0)),"")</f>
        <v/>
      </c>
      <c r="C67">
        <f>IF(B67="","",COUNTIF('Keyword Map'!$B$3:$B$1002,SUBSTITUTE(SUBSTITUTE(B67,"?","~?"),"*","~*")))</f>
        <v/>
      </c>
      <c r="D67">
        <f>IF(B67="","",SUMIFS('Keyword Map'!$C$3:$C$1002,'Keyword Map'!$B$3:$B$1002,SUBSTITUTE(SUBSTITUTE(B67,"?","~?"),"*","~*")))</f>
        <v/>
      </c>
      <c r="E67">
        <f>IF(B67="","",SUMPRODUCT(('Keyword Map'!$B$3:$B$1002=B67)*(LEN('Keyword Map'!$G$3:$G$1002)&gt;0)))</f>
        <v/>
      </c>
      <c r="F67">
        <f>IF(B67="","",C67-E67)</f>
        <v/>
      </c>
      <c r="G67">
        <f>IF(B67="","",COUNTIFS('Keyword Map'!$B$3:$B$1002,SUBSTITUTE(SUBSTITUTE(B67,"?","~?"),"*","~*"),'Keyword Map'!$R$3:$R$1002,"Yes"))</f>
        <v/>
      </c>
      <c r="H67">
        <f>IF(B67="","",COUNTIFS('Keyword Map'!$B$3:$B$1002,SUBSTITUTE(SUBSTITUTE(B67,"?","~?"),"*","~*"),'Keyword Map'!$W$3:$W$1002,"Yes"))</f>
        <v/>
      </c>
      <c r="I67">
        <f>IF(B67="","",IFERROR(ROUND(AVERAGEIFS('Keyword Map'!$P$3:$P$1002,'Keyword Map'!$B$3:$B$1002,SUBSTITUTE(SUBSTITUTE(B67,"?","~?"),"*","~*")),0),""))</f>
        <v/>
      </c>
    </row>
    <row r="68">
      <c r="A68">
        <f>ROW()-2</f>
        <v/>
      </c>
      <c r="B68">
        <f>IFERROR(INDEX('Keyword Map'!$B$3:$B$1002,MATCH(A68,'Keyword Map'!$AB$3:$AB$1002,0)),"")</f>
        <v/>
      </c>
      <c r="C68">
        <f>IF(B68="","",COUNTIF('Keyword Map'!$B$3:$B$1002,SUBSTITUTE(SUBSTITUTE(B68,"?","~?"),"*","~*")))</f>
        <v/>
      </c>
      <c r="D68">
        <f>IF(B68="","",SUMIFS('Keyword Map'!$C$3:$C$1002,'Keyword Map'!$B$3:$B$1002,SUBSTITUTE(SUBSTITUTE(B68,"?","~?"),"*","~*")))</f>
        <v/>
      </c>
      <c r="E68">
        <f>IF(B68="","",SUMPRODUCT(('Keyword Map'!$B$3:$B$1002=B68)*(LEN('Keyword Map'!$G$3:$G$1002)&gt;0)))</f>
        <v/>
      </c>
      <c r="F68">
        <f>IF(B68="","",C68-E68)</f>
        <v/>
      </c>
      <c r="G68">
        <f>IF(B68="","",COUNTIFS('Keyword Map'!$B$3:$B$1002,SUBSTITUTE(SUBSTITUTE(B68,"?","~?"),"*","~*"),'Keyword Map'!$R$3:$R$1002,"Yes"))</f>
        <v/>
      </c>
      <c r="H68">
        <f>IF(B68="","",COUNTIFS('Keyword Map'!$B$3:$B$1002,SUBSTITUTE(SUBSTITUTE(B68,"?","~?"),"*","~*"),'Keyword Map'!$W$3:$W$1002,"Yes"))</f>
        <v/>
      </c>
      <c r="I68">
        <f>IF(B68="","",IFERROR(ROUND(AVERAGEIFS('Keyword Map'!$P$3:$P$1002,'Keyword Map'!$B$3:$B$1002,SUBSTITUTE(SUBSTITUTE(B68,"?","~?"),"*","~*")),0),""))</f>
        <v/>
      </c>
    </row>
    <row r="69">
      <c r="A69">
        <f>ROW()-2</f>
        <v/>
      </c>
      <c r="B69">
        <f>IFERROR(INDEX('Keyword Map'!$B$3:$B$1002,MATCH(A69,'Keyword Map'!$AB$3:$AB$1002,0)),"")</f>
        <v/>
      </c>
      <c r="C69">
        <f>IF(B69="","",COUNTIF('Keyword Map'!$B$3:$B$1002,SUBSTITUTE(SUBSTITUTE(B69,"?","~?"),"*","~*")))</f>
        <v/>
      </c>
      <c r="D69">
        <f>IF(B69="","",SUMIFS('Keyword Map'!$C$3:$C$1002,'Keyword Map'!$B$3:$B$1002,SUBSTITUTE(SUBSTITUTE(B69,"?","~?"),"*","~*")))</f>
        <v/>
      </c>
      <c r="E69">
        <f>IF(B69="","",SUMPRODUCT(('Keyword Map'!$B$3:$B$1002=B69)*(LEN('Keyword Map'!$G$3:$G$1002)&gt;0)))</f>
        <v/>
      </c>
      <c r="F69">
        <f>IF(B69="","",C69-E69)</f>
        <v/>
      </c>
      <c r="G69">
        <f>IF(B69="","",COUNTIFS('Keyword Map'!$B$3:$B$1002,SUBSTITUTE(SUBSTITUTE(B69,"?","~?"),"*","~*"),'Keyword Map'!$R$3:$R$1002,"Yes"))</f>
        <v/>
      </c>
      <c r="H69">
        <f>IF(B69="","",COUNTIFS('Keyword Map'!$B$3:$B$1002,SUBSTITUTE(SUBSTITUTE(B69,"?","~?"),"*","~*"),'Keyword Map'!$W$3:$W$1002,"Yes"))</f>
        <v/>
      </c>
      <c r="I69">
        <f>IF(B69="","",IFERROR(ROUND(AVERAGEIFS('Keyword Map'!$P$3:$P$1002,'Keyword Map'!$B$3:$B$1002,SUBSTITUTE(SUBSTITUTE(B69,"?","~?"),"*","~*")),0),""))</f>
        <v/>
      </c>
    </row>
    <row r="70">
      <c r="A70">
        <f>ROW()-2</f>
        <v/>
      </c>
      <c r="B70">
        <f>IFERROR(INDEX('Keyword Map'!$B$3:$B$1002,MATCH(A70,'Keyword Map'!$AB$3:$AB$1002,0)),"")</f>
        <v/>
      </c>
      <c r="C70">
        <f>IF(B70="","",COUNTIF('Keyword Map'!$B$3:$B$1002,SUBSTITUTE(SUBSTITUTE(B70,"?","~?"),"*","~*")))</f>
        <v/>
      </c>
      <c r="D70">
        <f>IF(B70="","",SUMIFS('Keyword Map'!$C$3:$C$1002,'Keyword Map'!$B$3:$B$1002,SUBSTITUTE(SUBSTITUTE(B70,"?","~?"),"*","~*")))</f>
        <v/>
      </c>
      <c r="E70">
        <f>IF(B70="","",SUMPRODUCT(('Keyword Map'!$B$3:$B$1002=B70)*(LEN('Keyword Map'!$G$3:$G$1002)&gt;0)))</f>
        <v/>
      </c>
      <c r="F70">
        <f>IF(B70="","",C70-E70)</f>
        <v/>
      </c>
      <c r="G70">
        <f>IF(B70="","",COUNTIFS('Keyword Map'!$B$3:$B$1002,SUBSTITUTE(SUBSTITUTE(B70,"?","~?"),"*","~*"),'Keyword Map'!$R$3:$R$1002,"Yes"))</f>
        <v/>
      </c>
      <c r="H70">
        <f>IF(B70="","",COUNTIFS('Keyword Map'!$B$3:$B$1002,SUBSTITUTE(SUBSTITUTE(B70,"?","~?"),"*","~*"),'Keyword Map'!$W$3:$W$1002,"Yes"))</f>
        <v/>
      </c>
      <c r="I70">
        <f>IF(B70="","",IFERROR(ROUND(AVERAGEIFS('Keyword Map'!$P$3:$P$1002,'Keyword Map'!$B$3:$B$1002,SUBSTITUTE(SUBSTITUTE(B70,"?","~?"),"*","~*")),0),""))</f>
        <v/>
      </c>
    </row>
    <row r="71">
      <c r="A71">
        <f>ROW()-2</f>
        <v/>
      </c>
      <c r="B71">
        <f>IFERROR(INDEX('Keyword Map'!$B$3:$B$1002,MATCH(A71,'Keyword Map'!$AB$3:$AB$1002,0)),"")</f>
        <v/>
      </c>
      <c r="C71">
        <f>IF(B71="","",COUNTIF('Keyword Map'!$B$3:$B$1002,SUBSTITUTE(SUBSTITUTE(B71,"?","~?"),"*","~*")))</f>
        <v/>
      </c>
      <c r="D71">
        <f>IF(B71="","",SUMIFS('Keyword Map'!$C$3:$C$1002,'Keyword Map'!$B$3:$B$1002,SUBSTITUTE(SUBSTITUTE(B71,"?","~?"),"*","~*")))</f>
        <v/>
      </c>
      <c r="E71">
        <f>IF(B71="","",SUMPRODUCT(('Keyword Map'!$B$3:$B$1002=B71)*(LEN('Keyword Map'!$G$3:$G$1002)&gt;0)))</f>
        <v/>
      </c>
      <c r="F71">
        <f>IF(B71="","",C71-E71)</f>
        <v/>
      </c>
      <c r="G71">
        <f>IF(B71="","",COUNTIFS('Keyword Map'!$B$3:$B$1002,SUBSTITUTE(SUBSTITUTE(B71,"?","~?"),"*","~*"),'Keyword Map'!$R$3:$R$1002,"Yes"))</f>
        <v/>
      </c>
      <c r="H71">
        <f>IF(B71="","",COUNTIFS('Keyword Map'!$B$3:$B$1002,SUBSTITUTE(SUBSTITUTE(B71,"?","~?"),"*","~*"),'Keyword Map'!$W$3:$W$1002,"Yes"))</f>
        <v/>
      </c>
      <c r="I71">
        <f>IF(B71="","",IFERROR(ROUND(AVERAGEIFS('Keyword Map'!$P$3:$P$1002,'Keyword Map'!$B$3:$B$1002,SUBSTITUTE(SUBSTITUTE(B71,"?","~?"),"*","~*")),0),""))</f>
        <v/>
      </c>
    </row>
    <row r="72">
      <c r="A72">
        <f>ROW()-2</f>
        <v/>
      </c>
      <c r="B72">
        <f>IFERROR(INDEX('Keyword Map'!$B$3:$B$1002,MATCH(A72,'Keyword Map'!$AB$3:$AB$1002,0)),"")</f>
        <v/>
      </c>
      <c r="C72">
        <f>IF(B72="","",COUNTIF('Keyword Map'!$B$3:$B$1002,SUBSTITUTE(SUBSTITUTE(B72,"?","~?"),"*","~*")))</f>
        <v/>
      </c>
      <c r="D72">
        <f>IF(B72="","",SUMIFS('Keyword Map'!$C$3:$C$1002,'Keyword Map'!$B$3:$B$1002,SUBSTITUTE(SUBSTITUTE(B72,"?","~?"),"*","~*")))</f>
        <v/>
      </c>
      <c r="E72">
        <f>IF(B72="","",SUMPRODUCT(('Keyword Map'!$B$3:$B$1002=B72)*(LEN('Keyword Map'!$G$3:$G$1002)&gt;0)))</f>
        <v/>
      </c>
      <c r="F72">
        <f>IF(B72="","",C72-E72)</f>
        <v/>
      </c>
      <c r="G72">
        <f>IF(B72="","",COUNTIFS('Keyword Map'!$B$3:$B$1002,SUBSTITUTE(SUBSTITUTE(B72,"?","~?"),"*","~*"),'Keyword Map'!$R$3:$R$1002,"Yes"))</f>
        <v/>
      </c>
      <c r="H72">
        <f>IF(B72="","",COUNTIFS('Keyword Map'!$B$3:$B$1002,SUBSTITUTE(SUBSTITUTE(B72,"?","~?"),"*","~*"),'Keyword Map'!$W$3:$W$1002,"Yes"))</f>
        <v/>
      </c>
      <c r="I72">
        <f>IF(B72="","",IFERROR(ROUND(AVERAGEIFS('Keyword Map'!$P$3:$P$1002,'Keyword Map'!$B$3:$B$1002,SUBSTITUTE(SUBSTITUTE(B72,"?","~?"),"*","~*")),0),""))</f>
        <v/>
      </c>
    </row>
    <row r="73">
      <c r="A73">
        <f>ROW()-2</f>
        <v/>
      </c>
      <c r="B73">
        <f>IFERROR(INDEX('Keyword Map'!$B$3:$B$1002,MATCH(A73,'Keyword Map'!$AB$3:$AB$1002,0)),"")</f>
        <v/>
      </c>
      <c r="C73">
        <f>IF(B73="","",COUNTIF('Keyword Map'!$B$3:$B$1002,SUBSTITUTE(SUBSTITUTE(B73,"?","~?"),"*","~*")))</f>
        <v/>
      </c>
      <c r="D73">
        <f>IF(B73="","",SUMIFS('Keyword Map'!$C$3:$C$1002,'Keyword Map'!$B$3:$B$1002,SUBSTITUTE(SUBSTITUTE(B73,"?","~?"),"*","~*")))</f>
        <v/>
      </c>
      <c r="E73">
        <f>IF(B73="","",SUMPRODUCT(('Keyword Map'!$B$3:$B$1002=B73)*(LEN('Keyword Map'!$G$3:$G$1002)&gt;0)))</f>
        <v/>
      </c>
      <c r="F73">
        <f>IF(B73="","",C73-E73)</f>
        <v/>
      </c>
      <c r="G73">
        <f>IF(B73="","",COUNTIFS('Keyword Map'!$B$3:$B$1002,SUBSTITUTE(SUBSTITUTE(B73,"?","~?"),"*","~*"),'Keyword Map'!$R$3:$R$1002,"Yes"))</f>
        <v/>
      </c>
      <c r="H73">
        <f>IF(B73="","",COUNTIFS('Keyword Map'!$B$3:$B$1002,SUBSTITUTE(SUBSTITUTE(B73,"?","~?"),"*","~*"),'Keyword Map'!$W$3:$W$1002,"Yes"))</f>
        <v/>
      </c>
      <c r="I73">
        <f>IF(B73="","",IFERROR(ROUND(AVERAGEIFS('Keyword Map'!$P$3:$P$1002,'Keyword Map'!$B$3:$B$1002,SUBSTITUTE(SUBSTITUTE(B73,"?","~?"),"*","~*")),0),""))</f>
        <v/>
      </c>
    </row>
    <row r="74">
      <c r="A74">
        <f>ROW()-2</f>
        <v/>
      </c>
      <c r="B74">
        <f>IFERROR(INDEX('Keyword Map'!$B$3:$B$1002,MATCH(A74,'Keyword Map'!$AB$3:$AB$1002,0)),"")</f>
        <v/>
      </c>
      <c r="C74">
        <f>IF(B74="","",COUNTIF('Keyword Map'!$B$3:$B$1002,SUBSTITUTE(SUBSTITUTE(B74,"?","~?"),"*","~*")))</f>
        <v/>
      </c>
      <c r="D74">
        <f>IF(B74="","",SUMIFS('Keyword Map'!$C$3:$C$1002,'Keyword Map'!$B$3:$B$1002,SUBSTITUTE(SUBSTITUTE(B74,"?","~?"),"*","~*")))</f>
        <v/>
      </c>
      <c r="E74">
        <f>IF(B74="","",SUMPRODUCT(('Keyword Map'!$B$3:$B$1002=B74)*(LEN('Keyword Map'!$G$3:$G$1002)&gt;0)))</f>
        <v/>
      </c>
      <c r="F74">
        <f>IF(B74="","",C74-E74)</f>
        <v/>
      </c>
      <c r="G74">
        <f>IF(B74="","",COUNTIFS('Keyword Map'!$B$3:$B$1002,SUBSTITUTE(SUBSTITUTE(B74,"?","~?"),"*","~*"),'Keyword Map'!$R$3:$R$1002,"Yes"))</f>
        <v/>
      </c>
      <c r="H74">
        <f>IF(B74="","",COUNTIFS('Keyword Map'!$B$3:$B$1002,SUBSTITUTE(SUBSTITUTE(B74,"?","~?"),"*","~*"),'Keyword Map'!$W$3:$W$1002,"Yes"))</f>
        <v/>
      </c>
      <c r="I74">
        <f>IF(B74="","",IFERROR(ROUND(AVERAGEIFS('Keyword Map'!$P$3:$P$1002,'Keyword Map'!$B$3:$B$1002,SUBSTITUTE(SUBSTITUTE(B74,"?","~?"),"*","~*")),0),""))</f>
        <v/>
      </c>
    </row>
    <row r="75">
      <c r="A75">
        <f>ROW()-2</f>
        <v/>
      </c>
      <c r="B75">
        <f>IFERROR(INDEX('Keyword Map'!$B$3:$B$1002,MATCH(A75,'Keyword Map'!$AB$3:$AB$1002,0)),"")</f>
        <v/>
      </c>
      <c r="C75">
        <f>IF(B75="","",COUNTIF('Keyword Map'!$B$3:$B$1002,SUBSTITUTE(SUBSTITUTE(B75,"?","~?"),"*","~*")))</f>
        <v/>
      </c>
      <c r="D75">
        <f>IF(B75="","",SUMIFS('Keyword Map'!$C$3:$C$1002,'Keyword Map'!$B$3:$B$1002,SUBSTITUTE(SUBSTITUTE(B75,"?","~?"),"*","~*")))</f>
        <v/>
      </c>
      <c r="E75">
        <f>IF(B75="","",SUMPRODUCT(('Keyword Map'!$B$3:$B$1002=B75)*(LEN('Keyword Map'!$G$3:$G$1002)&gt;0)))</f>
        <v/>
      </c>
      <c r="F75">
        <f>IF(B75="","",C75-E75)</f>
        <v/>
      </c>
      <c r="G75">
        <f>IF(B75="","",COUNTIFS('Keyword Map'!$B$3:$B$1002,SUBSTITUTE(SUBSTITUTE(B75,"?","~?"),"*","~*"),'Keyword Map'!$R$3:$R$1002,"Yes"))</f>
        <v/>
      </c>
      <c r="H75">
        <f>IF(B75="","",COUNTIFS('Keyword Map'!$B$3:$B$1002,SUBSTITUTE(SUBSTITUTE(B75,"?","~?"),"*","~*"),'Keyword Map'!$W$3:$W$1002,"Yes"))</f>
        <v/>
      </c>
      <c r="I75">
        <f>IF(B75="","",IFERROR(ROUND(AVERAGEIFS('Keyword Map'!$P$3:$P$1002,'Keyword Map'!$B$3:$B$1002,SUBSTITUTE(SUBSTITUTE(B75,"?","~?"),"*","~*")),0),""))</f>
        <v/>
      </c>
    </row>
    <row r="76">
      <c r="A76">
        <f>ROW()-2</f>
        <v/>
      </c>
      <c r="B76">
        <f>IFERROR(INDEX('Keyword Map'!$B$3:$B$1002,MATCH(A76,'Keyword Map'!$AB$3:$AB$1002,0)),"")</f>
        <v/>
      </c>
      <c r="C76">
        <f>IF(B76="","",COUNTIF('Keyword Map'!$B$3:$B$1002,SUBSTITUTE(SUBSTITUTE(B76,"?","~?"),"*","~*")))</f>
        <v/>
      </c>
      <c r="D76">
        <f>IF(B76="","",SUMIFS('Keyword Map'!$C$3:$C$1002,'Keyword Map'!$B$3:$B$1002,SUBSTITUTE(SUBSTITUTE(B76,"?","~?"),"*","~*")))</f>
        <v/>
      </c>
      <c r="E76">
        <f>IF(B76="","",SUMPRODUCT(('Keyword Map'!$B$3:$B$1002=B76)*(LEN('Keyword Map'!$G$3:$G$1002)&gt;0)))</f>
        <v/>
      </c>
      <c r="F76">
        <f>IF(B76="","",C76-E76)</f>
        <v/>
      </c>
      <c r="G76">
        <f>IF(B76="","",COUNTIFS('Keyword Map'!$B$3:$B$1002,SUBSTITUTE(SUBSTITUTE(B76,"?","~?"),"*","~*"),'Keyword Map'!$R$3:$R$1002,"Yes"))</f>
        <v/>
      </c>
      <c r="H76">
        <f>IF(B76="","",COUNTIFS('Keyword Map'!$B$3:$B$1002,SUBSTITUTE(SUBSTITUTE(B76,"?","~?"),"*","~*"),'Keyword Map'!$W$3:$W$1002,"Yes"))</f>
        <v/>
      </c>
      <c r="I76">
        <f>IF(B76="","",IFERROR(ROUND(AVERAGEIFS('Keyword Map'!$P$3:$P$1002,'Keyword Map'!$B$3:$B$1002,SUBSTITUTE(SUBSTITUTE(B76,"?","~?"),"*","~*")),0),""))</f>
        <v/>
      </c>
    </row>
    <row r="77">
      <c r="A77">
        <f>ROW()-2</f>
        <v/>
      </c>
      <c r="B77">
        <f>IFERROR(INDEX('Keyword Map'!$B$3:$B$1002,MATCH(A77,'Keyword Map'!$AB$3:$AB$1002,0)),"")</f>
        <v/>
      </c>
      <c r="C77">
        <f>IF(B77="","",COUNTIF('Keyword Map'!$B$3:$B$1002,SUBSTITUTE(SUBSTITUTE(B77,"?","~?"),"*","~*")))</f>
        <v/>
      </c>
      <c r="D77">
        <f>IF(B77="","",SUMIFS('Keyword Map'!$C$3:$C$1002,'Keyword Map'!$B$3:$B$1002,SUBSTITUTE(SUBSTITUTE(B77,"?","~?"),"*","~*")))</f>
        <v/>
      </c>
      <c r="E77">
        <f>IF(B77="","",SUMPRODUCT(('Keyword Map'!$B$3:$B$1002=B77)*(LEN('Keyword Map'!$G$3:$G$1002)&gt;0)))</f>
        <v/>
      </c>
      <c r="F77">
        <f>IF(B77="","",C77-E77)</f>
        <v/>
      </c>
      <c r="G77">
        <f>IF(B77="","",COUNTIFS('Keyword Map'!$B$3:$B$1002,SUBSTITUTE(SUBSTITUTE(B77,"?","~?"),"*","~*"),'Keyword Map'!$R$3:$R$1002,"Yes"))</f>
        <v/>
      </c>
      <c r="H77">
        <f>IF(B77="","",COUNTIFS('Keyword Map'!$B$3:$B$1002,SUBSTITUTE(SUBSTITUTE(B77,"?","~?"),"*","~*"),'Keyword Map'!$W$3:$W$1002,"Yes"))</f>
        <v/>
      </c>
      <c r="I77">
        <f>IF(B77="","",IFERROR(ROUND(AVERAGEIFS('Keyword Map'!$P$3:$P$1002,'Keyword Map'!$B$3:$B$1002,SUBSTITUTE(SUBSTITUTE(B77,"?","~?"),"*","~*")),0),""))</f>
        <v/>
      </c>
    </row>
    <row r="78">
      <c r="A78">
        <f>ROW()-2</f>
        <v/>
      </c>
      <c r="B78">
        <f>IFERROR(INDEX('Keyword Map'!$B$3:$B$1002,MATCH(A78,'Keyword Map'!$AB$3:$AB$1002,0)),"")</f>
        <v/>
      </c>
      <c r="C78">
        <f>IF(B78="","",COUNTIF('Keyword Map'!$B$3:$B$1002,SUBSTITUTE(SUBSTITUTE(B78,"?","~?"),"*","~*")))</f>
        <v/>
      </c>
      <c r="D78">
        <f>IF(B78="","",SUMIFS('Keyword Map'!$C$3:$C$1002,'Keyword Map'!$B$3:$B$1002,SUBSTITUTE(SUBSTITUTE(B78,"?","~?"),"*","~*")))</f>
        <v/>
      </c>
      <c r="E78">
        <f>IF(B78="","",SUMPRODUCT(('Keyword Map'!$B$3:$B$1002=B78)*(LEN('Keyword Map'!$G$3:$G$1002)&gt;0)))</f>
        <v/>
      </c>
      <c r="F78">
        <f>IF(B78="","",C78-E78)</f>
        <v/>
      </c>
      <c r="G78">
        <f>IF(B78="","",COUNTIFS('Keyword Map'!$B$3:$B$1002,SUBSTITUTE(SUBSTITUTE(B78,"?","~?"),"*","~*"),'Keyword Map'!$R$3:$R$1002,"Yes"))</f>
        <v/>
      </c>
      <c r="H78">
        <f>IF(B78="","",COUNTIFS('Keyword Map'!$B$3:$B$1002,SUBSTITUTE(SUBSTITUTE(B78,"?","~?"),"*","~*"),'Keyword Map'!$W$3:$W$1002,"Yes"))</f>
        <v/>
      </c>
      <c r="I78">
        <f>IF(B78="","",IFERROR(ROUND(AVERAGEIFS('Keyword Map'!$P$3:$P$1002,'Keyword Map'!$B$3:$B$1002,SUBSTITUTE(SUBSTITUTE(B78,"?","~?"),"*","~*")),0),""))</f>
        <v/>
      </c>
    </row>
    <row r="79">
      <c r="A79">
        <f>ROW()-2</f>
        <v/>
      </c>
      <c r="B79">
        <f>IFERROR(INDEX('Keyword Map'!$B$3:$B$1002,MATCH(A79,'Keyword Map'!$AB$3:$AB$1002,0)),"")</f>
        <v/>
      </c>
      <c r="C79">
        <f>IF(B79="","",COUNTIF('Keyword Map'!$B$3:$B$1002,SUBSTITUTE(SUBSTITUTE(B79,"?","~?"),"*","~*")))</f>
        <v/>
      </c>
      <c r="D79">
        <f>IF(B79="","",SUMIFS('Keyword Map'!$C$3:$C$1002,'Keyword Map'!$B$3:$B$1002,SUBSTITUTE(SUBSTITUTE(B79,"?","~?"),"*","~*")))</f>
        <v/>
      </c>
      <c r="E79">
        <f>IF(B79="","",SUMPRODUCT(('Keyword Map'!$B$3:$B$1002=B79)*(LEN('Keyword Map'!$G$3:$G$1002)&gt;0)))</f>
        <v/>
      </c>
      <c r="F79">
        <f>IF(B79="","",C79-E79)</f>
        <v/>
      </c>
      <c r="G79">
        <f>IF(B79="","",COUNTIFS('Keyword Map'!$B$3:$B$1002,SUBSTITUTE(SUBSTITUTE(B79,"?","~?"),"*","~*"),'Keyword Map'!$R$3:$R$1002,"Yes"))</f>
        <v/>
      </c>
      <c r="H79">
        <f>IF(B79="","",COUNTIFS('Keyword Map'!$B$3:$B$1002,SUBSTITUTE(SUBSTITUTE(B79,"?","~?"),"*","~*"),'Keyword Map'!$W$3:$W$1002,"Yes"))</f>
        <v/>
      </c>
      <c r="I79">
        <f>IF(B79="","",IFERROR(ROUND(AVERAGEIFS('Keyword Map'!$P$3:$P$1002,'Keyword Map'!$B$3:$B$1002,SUBSTITUTE(SUBSTITUTE(B79,"?","~?"),"*","~*")),0),""))</f>
        <v/>
      </c>
    </row>
    <row r="80">
      <c r="A80">
        <f>ROW()-2</f>
        <v/>
      </c>
      <c r="B80">
        <f>IFERROR(INDEX('Keyword Map'!$B$3:$B$1002,MATCH(A80,'Keyword Map'!$AB$3:$AB$1002,0)),"")</f>
        <v/>
      </c>
      <c r="C80">
        <f>IF(B80="","",COUNTIF('Keyword Map'!$B$3:$B$1002,SUBSTITUTE(SUBSTITUTE(B80,"?","~?"),"*","~*")))</f>
        <v/>
      </c>
      <c r="D80">
        <f>IF(B80="","",SUMIFS('Keyword Map'!$C$3:$C$1002,'Keyword Map'!$B$3:$B$1002,SUBSTITUTE(SUBSTITUTE(B80,"?","~?"),"*","~*")))</f>
        <v/>
      </c>
      <c r="E80">
        <f>IF(B80="","",SUMPRODUCT(('Keyword Map'!$B$3:$B$1002=B80)*(LEN('Keyword Map'!$G$3:$G$1002)&gt;0)))</f>
        <v/>
      </c>
      <c r="F80">
        <f>IF(B80="","",C80-E80)</f>
        <v/>
      </c>
      <c r="G80">
        <f>IF(B80="","",COUNTIFS('Keyword Map'!$B$3:$B$1002,SUBSTITUTE(SUBSTITUTE(B80,"?","~?"),"*","~*"),'Keyword Map'!$R$3:$R$1002,"Yes"))</f>
        <v/>
      </c>
      <c r="H80">
        <f>IF(B80="","",COUNTIFS('Keyword Map'!$B$3:$B$1002,SUBSTITUTE(SUBSTITUTE(B80,"?","~?"),"*","~*"),'Keyword Map'!$W$3:$W$1002,"Yes"))</f>
        <v/>
      </c>
      <c r="I80">
        <f>IF(B80="","",IFERROR(ROUND(AVERAGEIFS('Keyword Map'!$P$3:$P$1002,'Keyword Map'!$B$3:$B$1002,SUBSTITUTE(SUBSTITUTE(B80,"?","~?"),"*","~*")),0),""))</f>
        <v/>
      </c>
    </row>
    <row r="81">
      <c r="A81">
        <f>ROW()-2</f>
        <v/>
      </c>
      <c r="B81">
        <f>IFERROR(INDEX('Keyword Map'!$B$3:$B$1002,MATCH(A81,'Keyword Map'!$AB$3:$AB$1002,0)),"")</f>
        <v/>
      </c>
      <c r="C81">
        <f>IF(B81="","",COUNTIF('Keyword Map'!$B$3:$B$1002,SUBSTITUTE(SUBSTITUTE(B81,"?","~?"),"*","~*")))</f>
        <v/>
      </c>
      <c r="D81">
        <f>IF(B81="","",SUMIFS('Keyword Map'!$C$3:$C$1002,'Keyword Map'!$B$3:$B$1002,SUBSTITUTE(SUBSTITUTE(B81,"?","~?"),"*","~*")))</f>
        <v/>
      </c>
      <c r="E81">
        <f>IF(B81="","",SUMPRODUCT(('Keyword Map'!$B$3:$B$1002=B81)*(LEN('Keyword Map'!$G$3:$G$1002)&gt;0)))</f>
        <v/>
      </c>
      <c r="F81">
        <f>IF(B81="","",C81-E81)</f>
        <v/>
      </c>
      <c r="G81">
        <f>IF(B81="","",COUNTIFS('Keyword Map'!$B$3:$B$1002,SUBSTITUTE(SUBSTITUTE(B81,"?","~?"),"*","~*"),'Keyword Map'!$R$3:$R$1002,"Yes"))</f>
        <v/>
      </c>
      <c r="H81">
        <f>IF(B81="","",COUNTIFS('Keyword Map'!$B$3:$B$1002,SUBSTITUTE(SUBSTITUTE(B81,"?","~?"),"*","~*"),'Keyword Map'!$W$3:$W$1002,"Yes"))</f>
        <v/>
      </c>
      <c r="I81">
        <f>IF(B81="","",IFERROR(ROUND(AVERAGEIFS('Keyword Map'!$P$3:$P$1002,'Keyword Map'!$B$3:$B$1002,SUBSTITUTE(SUBSTITUTE(B81,"?","~?"),"*","~*")),0),""))</f>
        <v/>
      </c>
    </row>
    <row r="82">
      <c r="A82">
        <f>ROW()-2</f>
        <v/>
      </c>
      <c r="B82">
        <f>IFERROR(INDEX('Keyword Map'!$B$3:$B$1002,MATCH(A82,'Keyword Map'!$AB$3:$AB$1002,0)),"")</f>
        <v/>
      </c>
      <c r="C82">
        <f>IF(B82="","",COUNTIF('Keyword Map'!$B$3:$B$1002,SUBSTITUTE(SUBSTITUTE(B82,"?","~?"),"*","~*")))</f>
        <v/>
      </c>
      <c r="D82">
        <f>IF(B82="","",SUMIFS('Keyword Map'!$C$3:$C$1002,'Keyword Map'!$B$3:$B$1002,SUBSTITUTE(SUBSTITUTE(B82,"?","~?"),"*","~*")))</f>
        <v/>
      </c>
      <c r="E82">
        <f>IF(B82="","",SUMPRODUCT(('Keyword Map'!$B$3:$B$1002=B82)*(LEN('Keyword Map'!$G$3:$G$1002)&gt;0)))</f>
        <v/>
      </c>
      <c r="F82">
        <f>IF(B82="","",C82-E82)</f>
        <v/>
      </c>
      <c r="G82">
        <f>IF(B82="","",COUNTIFS('Keyword Map'!$B$3:$B$1002,SUBSTITUTE(SUBSTITUTE(B82,"?","~?"),"*","~*"),'Keyword Map'!$R$3:$R$1002,"Yes"))</f>
        <v/>
      </c>
      <c r="H82">
        <f>IF(B82="","",COUNTIFS('Keyword Map'!$B$3:$B$1002,SUBSTITUTE(SUBSTITUTE(B82,"?","~?"),"*","~*"),'Keyword Map'!$W$3:$W$1002,"Yes"))</f>
        <v/>
      </c>
      <c r="I82">
        <f>IF(B82="","",IFERROR(ROUND(AVERAGEIFS('Keyword Map'!$P$3:$P$1002,'Keyword Map'!$B$3:$B$1002,SUBSTITUTE(SUBSTITUTE(B82,"?","~?"),"*","~*")),0),""))</f>
        <v/>
      </c>
    </row>
    <row r="83">
      <c r="A83">
        <f>ROW()-2</f>
        <v/>
      </c>
      <c r="B83">
        <f>IFERROR(INDEX('Keyword Map'!$B$3:$B$1002,MATCH(A83,'Keyword Map'!$AB$3:$AB$1002,0)),"")</f>
        <v/>
      </c>
      <c r="C83">
        <f>IF(B83="","",COUNTIF('Keyword Map'!$B$3:$B$1002,SUBSTITUTE(SUBSTITUTE(B83,"?","~?"),"*","~*")))</f>
        <v/>
      </c>
      <c r="D83">
        <f>IF(B83="","",SUMIFS('Keyword Map'!$C$3:$C$1002,'Keyword Map'!$B$3:$B$1002,SUBSTITUTE(SUBSTITUTE(B83,"?","~?"),"*","~*")))</f>
        <v/>
      </c>
      <c r="E83">
        <f>IF(B83="","",SUMPRODUCT(('Keyword Map'!$B$3:$B$1002=B83)*(LEN('Keyword Map'!$G$3:$G$1002)&gt;0)))</f>
        <v/>
      </c>
      <c r="F83">
        <f>IF(B83="","",C83-E83)</f>
        <v/>
      </c>
      <c r="G83">
        <f>IF(B83="","",COUNTIFS('Keyword Map'!$B$3:$B$1002,SUBSTITUTE(SUBSTITUTE(B83,"?","~?"),"*","~*"),'Keyword Map'!$R$3:$R$1002,"Yes"))</f>
        <v/>
      </c>
      <c r="H83">
        <f>IF(B83="","",COUNTIFS('Keyword Map'!$B$3:$B$1002,SUBSTITUTE(SUBSTITUTE(B83,"?","~?"),"*","~*"),'Keyword Map'!$W$3:$W$1002,"Yes"))</f>
        <v/>
      </c>
      <c r="I83">
        <f>IF(B83="","",IFERROR(ROUND(AVERAGEIFS('Keyword Map'!$P$3:$P$1002,'Keyword Map'!$B$3:$B$1002,SUBSTITUTE(SUBSTITUTE(B83,"?","~?"),"*","~*")),0),""))</f>
        <v/>
      </c>
    </row>
    <row r="84">
      <c r="A84">
        <f>ROW()-2</f>
        <v/>
      </c>
      <c r="B84">
        <f>IFERROR(INDEX('Keyword Map'!$B$3:$B$1002,MATCH(A84,'Keyword Map'!$AB$3:$AB$1002,0)),"")</f>
        <v/>
      </c>
      <c r="C84">
        <f>IF(B84="","",COUNTIF('Keyword Map'!$B$3:$B$1002,SUBSTITUTE(SUBSTITUTE(B84,"?","~?"),"*","~*")))</f>
        <v/>
      </c>
      <c r="D84">
        <f>IF(B84="","",SUMIFS('Keyword Map'!$C$3:$C$1002,'Keyword Map'!$B$3:$B$1002,SUBSTITUTE(SUBSTITUTE(B84,"?","~?"),"*","~*")))</f>
        <v/>
      </c>
      <c r="E84">
        <f>IF(B84="","",SUMPRODUCT(('Keyword Map'!$B$3:$B$1002=B84)*(LEN('Keyword Map'!$G$3:$G$1002)&gt;0)))</f>
        <v/>
      </c>
      <c r="F84">
        <f>IF(B84="","",C84-E84)</f>
        <v/>
      </c>
      <c r="G84">
        <f>IF(B84="","",COUNTIFS('Keyword Map'!$B$3:$B$1002,SUBSTITUTE(SUBSTITUTE(B84,"?","~?"),"*","~*"),'Keyword Map'!$R$3:$R$1002,"Yes"))</f>
        <v/>
      </c>
      <c r="H84">
        <f>IF(B84="","",COUNTIFS('Keyword Map'!$B$3:$B$1002,SUBSTITUTE(SUBSTITUTE(B84,"?","~?"),"*","~*"),'Keyword Map'!$W$3:$W$1002,"Yes"))</f>
        <v/>
      </c>
      <c r="I84">
        <f>IF(B84="","",IFERROR(ROUND(AVERAGEIFS('Keyword Map'!$P$3:$P$1002,'Keyword Map'!$B$3:$B$1002,SUBSTITUTE(SUBSTITUTE(B84,"?","~?"),"*","~*")),0),""))</f>
        <v/>
      </c>
    </row>
    <row r="85">
      <c r="A85">
        <f>ROW()-2</f>
        <v/>
      </c>
      <c r="B85">
        <f>IFERROR(INDEX('Keyword Map'!$B$3:$B$1002,MATCH(A85,'Keyword Map'!$AB$3:$AB$1002,0)),"")</f>
        <v/>
      </c>
      <c r="C85">
        <f>IF(B85="","",COUNTIF('Keyword Map'!$B$3:$B$1002,SUBSTITUTE(SUBSTITUTE(B85,"?","~?"),"*","~*")))</f>
        <v/>
      </c>
      <c r="D85">
        <f>IF(B85="","",SUMIFS('Keyword Map'!$C$3:$C$1002,'Keyword Map'!$B$3:$B$1002,SUBSTITUTE(SUBSTITUTE(B85,"?","~?"),"*","~*")))</f>
        <v/>
      </c>
      <c r="E85">
        <f>IF(B85="","",SUMPRODUCT(('Keyword Map'!$B$3:$B$1002=B85)*(LEN('Keyword Map'!$G$3:$G$1002)&gt;0)))</f>
        <v/>
      </c>
      <c r="F85">
        <f>IF(B85="","",C85-E85)</f>
        <v/>
      </c>
      <c r="G85">
        <f>IF(B85="","",COUNTIFS('Keyword Map'!$B$3:$B$1002,SUBSTITUTE(SUBSTITUTE(B85,"?","~?"),"*","~*"),'Keyword Map'!$R$3:$R$1002,"Yes"))</f>
        <v/>
      </c>
      <c r="H85">
        <f>IF(B85="","",COUNTIFS('Keyword Map'!$B$3:$B$1002,SUBSTITUTE(SUBSTITUTE(B85,"?","~?"),"*","~*"),'Keyword Map'!$W$3:$W$1002,"Yes"))</f>
        <v/>
      </c>
      <c r="I85">
        <f>IF(B85="","",IFERROR(ROUND(AVERAGEIFS('Keyword Map'!$P$3:$P$1002,'Keyword Map'!$B$3:$B$1002,SUBSTITUTE(SUBSTITUTE(B85,"?","~?"),"*","~*")),0),""))</f>
        <v/>
      </c>
    </row>
    <row r="86">
      <c r="A86">
        <f>ROW()-2</f>
        <v/>
      </c>
      <c r="B86">
        <f>IFERROR(INDEX('Keyword Map'!$B$3:$B$1002,MATCH(A86,'Keyword Map'!$AB$3:$AB$1002,0)),"")</f>
        <v/>
      </c>
      <c r="C86">
        <f>IF(B86="","",COUNTIF('Keyword Map'!$B$3:$B$1002,SUBSTITUTE(SUBSTITUTE(B86,"?","~?"),"*","~*")))</f>
        <v/>
      </c>
      <c r="D86">
        <f>IF(B86="","",SUMIFS('Keyword Map'!$C$3:$C$1002,'Keyword Map'!$B$3:$B$1002,SUBSTITUTE(SUBSTITUTE(B86,"?","~?"),"*","~*")))</f>
        <v/>
      </c>
      <c r="E86">
        <f>IF(B86="","",SUMPRODUCT(('Keyword Map'!$B$3:$B$1002=B86)*(LEN('Keyword Map'!$G$3:$G$1002)&gt;0)))</f>
        <v/>
      </c>
      <c r="F86">
        <f>IF(B86="","",C86-E86)</f>
        <v/>
      </c>
      <c r="G86">
        <f>IF(B86="","",COUNTIFS('Keyword Map'!$B$3:$B$1002,SUBSTITUTE(SUBSTITUTE(B86,"?","~?"),"*","~*"),'Keyword Map'!$R$3:$R$1002,"Yes"))</f>
        <v/>
      </c>
      <c r="H86">
        <f>IF(B86="","",COUNTIFS('Keyword Map'!$B$3:$B$1002,SUBSTITUTE(SUBSTITUTE(B86,"?","~?"),"*","~*"),'Keyword Map'!$W$3:$W$1002,"Yes"))</f>
        <v/>
      </c>
      <c r="I86">
        <f>IF(B86="","",IFERROR(ROUND(AVERAGEIFS('Keyword Map'!$P$3:$P$1002,'Keyword Map'!$B$3:$B$1002,SUBSTITUTE(SUBSTITUTE(B86,"?","~?"),"*","~*")),0),""))</f>
        <v/>
      </c>
    </row>
    <row r="87">
      <c r="A87">
        <f>ROW()-2</f>
        <v/>
      </c>
      <c r="B87">
        <f>IFERROR(INDEX('Keyword Map'!$B$3:$B$1002,MATCH(A87,'Keyword Map'!$AB$3:$AB$1002,0)),"")</f>
        <v/>
      </c>
      <c r="C87">
        <f>IF(B87="","",COUNTIF('Keyword Map'!$B$3:$B$1002,SUBSTITUTE(SUBSTITUTE(B87,"?","~?"),"*","~*")))</f>
        <v/>
      </c>
      <c r="D87">
        <f>IF(B87="","",SUMIFS('Keyword Map'!$C$3:$C$1002,'Keyword Map'!$B$3:$B$1002,SUBSTITUTE(SUBSTITUTE(B87,"?","~?"),"*","~*")))</f>
        <v/>
      </c>
      <c r="E87">
        <f>IF(B87="","",SUMPRODUCT(('Keyword Map'!$B$3:$B$1002=B87)*(LEN('Keyword Map'!$G$3:$G$1002)&gt;0)))</f>
        <v/>
      </c>
      <c r="F87">
        <f>IF(B87="","",C87-E87)</f>
        <v/>
      </c>
      <c r="G87">
        <f>IF(B87="","",COUNTIFS('Keyword Map'!$B$3:$B$1002,SUBSTITUTE(SUBSTITUTE(B87,"?","~?"),"*","~*"),'Keyword Map'!$R$3:$R$1002,"Yes"))</f>
        <v/>
      </c>
      <c r="H87">
        <f>IF(B87="","",COUNTIFS('Keyword Map'!$B$3:$B$1002,SUBSTITUTE(SUBSTITUTE(B87,"?","~?"),"*","~*"),'Keyword Map'!$W$3:$W$1002,"Yes"))</f>
        <v/>
      </c>
      <c r="I87">
        <f>IF(B87="","",IFERROR(ROUND(AVERAGEIFS('Keyword Map'!$P$3:$P$1002,'Keyword Map'!$B$3:$B$1002,SUBSTITUTE(SUBSTITUTE(B87,"?","~?"),"*","~*")),0),""))</f>
        <v/>
      </c>
    </row>
    <row r="88">
      <c r="A88">
        <f>ROW()-2</f>
        <v/>
      </c>
      <c r="B88">
        <f>IFERROR(INDEX('Keyword Map'!$B$3:$B$1002,MATCH(A88,'Keyword Map'!$AB$3:$AB$1002,0)),"")</f>
        <v/>
      </c>
      <c r="C88">
        <f>IF(B88="","",COUNTIF('Keyword Map'!$B$3:$B$1002,SUBSTITUTE(SUBSTITUTE(B88,"?","~?"),"*","~*")))</f>
        <v/>
      </c>
      <c r="D88">
        <f>IF(B88="","",SUMIFS('Keyword Map'!$C$3:$C$1002,'Keyword Map'!$B$3:$B$1002,SUBSTITUTE(SUBSTITUTE(B88,"?","~?"),"*","~*")))</f>
        <v/>
      </c>
      <c r="E88">
        <f>IF(B88="","",SUMPRODUCT(('Keyword Map'!$B$3:$B$1002=B88)*(LEN('Keyword Map'!$G$3:$G$1002)&gt;0)))</f>
        <v/>
      </c>
      <c r="F88">
        <f>IF(B88="","",C88-E88)</f>
        <v/>
      </c>
      <c r="G88">
        <f>IF(B88="","",COUNTIFS('Keyword Map'!$B$3:$B$1002,SUBSTITUTE(SUBSTITUTE(B88,"?","~?"),"*","~*"),'Keyword Map'!$R$3:$R$1002,"Yes"))</f>
        <v/>
      </c>
      <c r="H88">
        <f>IF(B88="","",COUNTIFS('Keyword Map'!$B$3:$B$1002,SUBSTITUTE(SUBSTITUTE(B88,"?","~?"),"*","~*"),'Keyword Map'!$W$3:$W$1002,"Yes"))</f>
        <v/>
      </c>
      <c r="I88">
        <f>IF(B88="","",IFERROR(ROUND(AVERAGEIFS('Keyword Map'!$P$3:$P$1002,'Keyword Map'!$B$3:$B$1002,SUBSTITUTE(SUBSTITUTE(B88,"?","~?"),"*","~*")),0),""))</f>
        <v/>
      </c>
    </row>
    <row r="89">
      <c r="A89">
        <f>ROW()-2</f>
        <v/>
      </c>
      <c r="B89">
        <f>IFERROR(INDEX('Keyword Map'!$B$3:$B$1002,MATCH(A89,'Keyword Map'!$AB$3:$AB$1002,0)),"")</f>
        <v/>
      </c>
      <c r="C89">
        <f>IF(B89="","",COUNTIF('Keyword Map'!$B$3:$B$1002,SUBSTITUTE(SUBSTITUTE(B89,"?","~?"),"*","~*")))</f>
        <v/>
      </c>
      <c r="D89">
        <f>IF(B89="","",SUMIFS('Keyword Map'!$C$3:$C$1002,'Keyword Map'!$B$3:$B$1002,SUBSTITUTE(SUBSTITUTE(B89,"?","~?"),"*","~*")))</f>
        <v/>
      </c>
      <c r="E89">
        <f>IF(B89="","",SUMPRODUCT(('Keyword Map'!$B$3:$B$1002=B89)*(LEN('Keyword Map'!$G$3:$G$1002)&gt;0)))</f>
        <v/>
      </c>
      <c r="F89">
        <f>IF(B89="","",C89-E89)</f>
        <v/>
      </c>
      <c r="G89">
        <f>IF(B89="","",COUNTIFS('Keyword Map'!$B$3:$B$1002,SUBSTITUTE(SUBSTITUTE(B89,"?","~?"),"*","~*"),'Keyword Map'!$R$3:$R$1002,"Yes"))</f>
        <v/>
      </c>
      <c r="H89">
        <f>IF(B89="","",COUNTIFS('Keyword Map'!$B$3:$B$1002,SUBSTITUTE(SUBSTITUTE(B89,"?","~?"),"*","~*"),'Keyword Map'!$W$3:$W$1002,"Yes"))</f>
        <v/>
      </c>
      <c r="I89">
        <f>IF(B89="","",IFERROR(ROUND(AVERAGEIFS('Keyword Map'!$P$3:$P$1002,'Keyword Map'!$B$3:$B$1002,SUBSTITUTE(SUBSTITUTE(B89,"?","~?"),"*","~*")),0),""))</f>
        <v/>
      </c>
    </row>
    <row r="90">
      <c r="A90">
        <f>ROW()-2</f>
        <v/>
      </c>
      <c r="B90">
        <f>IFERROR(INDEX('Keyword Map'!$B$3:$B$1002,MATCH(A90,'Keyword Map'!$AB$3:$AB$1002,0)),"")</f>
        <v/>
      </c>
      <c r="C90">
        <f>IF(B90="","",COUNTIF('Keyword Map'!$B$3:$B$1002,SUBSTITUTE(SUBSTITUTE(B90,"?","~?"),"*","~*")))</f>
        <v/>
      </c>
      <c r="D90">
        <f>IF(B90="","",SUMIFS('Keyword Map'!$C$3:$C$1002,'Keyword Map'!$B$3:$B$1002,SUBSTITUTE(SUBSTITUTE(B90,"?","~?"),"*","~*")))</f>
        <v/>
      </c>
      <c r="E90">
        <f>IF(B90="","",SUMPRODUCT(('Keyword Map'!$B$3:$B$1002=B90)*(LEN('Keyword Map'!$G$3:$G$1002)&gt;0)))</f>
        <v/>
      </c>
      <c r="F90">
        <f>IF(B90="","",C90-E90)</f>
        <v/>
      </c>
      <c r="G90">
        <f>IF(B90="","",COUNTIFS('Keyword Map'!$B$3:$B$1002,SUBSTITUTE(SUBSTITUTE(B90,"?","~?"),"*","~*"),'Keyword Map'!$R$3:$R$1002,"Yes"))</f>
        <v/>
      </c>
      <c r="H90">
        <f>IF(B90="","",COUNTIFS('Keyword Map'!$B$3:$B$1002,SUBSTITUTE(SUBSTITUTE(B90,"?","~?"),"*","~*"),'Keyword Map'!$W$3:$W$1002,"Yes"))</f>
        <v/>
      </c>
      <c r="I90">
        <f>IF(B90="","",IFERROR(ROUND(AVERAGEIFS('Keyword Map'!$P$3:$P$1002,'Keyword Map'!$B$3:$B$1002,SUBSTITUTE(SUBSTITUTE(B90,"?","~?"),"*","~*")),0),""))</f>
        <v/>
      </c>
    </row>
    <row r="91">
      <c r="A91">
        <f>ROW()-2</f>
        <v/>
      </c>
      <c r="B91">
        <f>IFERROR(INDEX('Keyword Map'!$B$3:$B$1002,MATCH(A91,'Keyword Map'!$AB$3:$AB$1002,0)),"")</f>
        <v/>
      </c>
      <c r="C91">
        <f>IF(B91="","",COUNTIF('Keyword Map'!$B$3:$B$1002,SUBSTITUTE(SUBSTITUTE(B91,"?","~?"),"*","~*")))</f>
        <v/>
      </c>
      <c r="D91">
        <f>IF(B91="","",SUMIFS('Keyword Map'!$C$3:$C$1002,'Keyword Map'!$B$3:$B$1002,SUBSTITUTE(SUBSTITUTE(B91,"?","~?"),"*","~*")))</f>
        <v/>
      </c>
      <c r="E91">
        <f>IF(B91="","",SUMPRODUCT(('Keyword Map'!$B$3:$B$1002=B91)*(LEN('Keyword Map'!$G$3:$G$1002)&gt;0)))</f>
        <v/>
      </c>
      <c r="F91">
        <f>IF(B91="","",C91-E91)</f>
        <v/>
      </c>
      <c r="G91">
        <f>IF(B91="","",COUNTIFS('Keyword Map'!$B$3:$B$1002,SUBSTITUTE(SUBSTITUTE(B91,"?","~?"),"*","~*"),'Keyword Map'!$R$3:$R$1002,"Yes"))</f>
        <v/>
      </c>
      <c r="H91">
        <f>IF(B91="","",COUNTIFS('Keyword Map'!$B$3:$B$1002,SUBSTITUTE(SUBSTITUTE(B91,"?","~?"),"*","~*"),'Keyword Map'!$W$3:$W$1002,"Yes"))</f>
        <v/>
      </c>
      <c r="I91">
        <f>IF(B91="","",IFERROR(ROUND(AVERAGEIFS('Keyword Map'!$P$3:$P$1002,'Keyword Map'!$B$3:$B$1002,SUBSTITUTE(SUBSTITUTE(B91,"?","~?"),"*","~*")),0),""))</f>
        <v/>
      </c>
    </row>
    <row r="92">
      <c r="A92">
        <f>ROW()-2</f>
        <v/>
      </c>
      <c r="B92">
        <f>IFERROR(INDEX('Keyword Map'!$B$3:$B$1002,MATCH(A92,'Keyword Map'!$AB$3:$AB$1002,0)),"")</f>
        <v/>
      </c>
      <c r="C92">
        <f>IF(B92="","",COUNTIF('Keyword Map'!$B$3:$B$1002,SUBSTITUTE(SUBSTITUTE(B92,"?","~?"),"*","~*")))</f>
        <v/>
      </c>
      <c r="D92">
        <f>IF(B92="","",SUMIFS('Keyword Map'!$C$3:$C$1002,'Keyword Map'!$B$3:$B$1002,SUBSTITUTE(SUBSTITUTE(B92,"?","~?"),"*","~*")))</f>
        <v/>
      </c>
      <c r="E92">
        <f>IF(B92="","",SUMPRODUCT(('Keyword Map'!$B$3:$B$1002=B92)*(LEN('Keyword Map'!$G$3:$G$1002)&gt;0)))</f>
        <v/>
      </c>
      <c r="F92">
        <f>IF(B92="","",C92-E92)</f>
        <v/>
      </c>
      <c r="G92">
        <f>IF(B92="","",COUNTIFS('Keyword Map'!$B$3:$B$1002,SUBSTITUTE(SUBSTITUTE(B92,"?","~?"),"*","~*"),'Keyword Map'!$R$3:$R$1002,"Yes"))</f>
        <v/>
      </c>
      <c r="H92">
        <f>IF(B92="","",COUNTIFS('Keyword Map'!$B$3:$B$1002,SUBSTITUTE(SUBSTITUTE(B92,"?","~?"),"*","~*"),'Keyword Map'!$W$3:$W$1002,"Yes"))</f>
        <v/>
      </c>
      <c r="I92">
        <f>IF(B92="","",IFERROR(ROUND(AVERAGEIFS('Keyword Map'!$P$3:$P$1002,'Keyword Map'!$B$3:$B$1002,SUBSTITUTE(SUBSTITUTE(B92,"?","~?"),"*","~*")),0),""))</f>
        <v/>
      </c>
    </row>
    <row r="93">
      <c r="A93">
        <f>ROW()-2</f>
        <v/>
      </c>
      <c r="B93">
        <f>IFERROR(INDEX('Keyword Map'!$B$3:$B$1002,MATCH(A93,'Keyword Map'!$AB$3:$AB$1002,0)),"")</f>
        <v/>
      </c>
      <c r="C93">
        <f>IF(B93="","",COUNTIF('Keyword Map'!$B$3:$B$1002,SUBSTITUTE(SUBSTITUTE(B93,"?","~?"),"*","~*")))</f>
        <v/>
      </c>
      <c r="D93">
        <f>IF(B93="","",SUMIFS('Keyword Map'!$C$3:$C$1002,'Keyword Map'!$B$3:$B$1002,SUBSTITUTE(SUBSTITUTE(B93,"?","~?"),"*","~*")))</f>
        <v/>
      </c>
      <c r="E93">
        <f>IF(B93="","",SUMPRODUCT(('Keyword Map'!$B$3:$B$1002=B93)*(LEN('Keyword Map'!$G$3:$G$1002)&gt;0)))</f>
        <v/>
      </c>
      <c r="F93">
        <f>IF(B93="","",C93-E93)</f>
        <v/>
      </c>
      <c r="G93">
        <f>IF(B93="","",COUNTIFS('Keyword Map'!$B$3:$B$1002,SUBSTITUTE(SUBSTITUTE(B93,"?","~?"),"*","~*"),'Keyword Map'!$R$3:$R$1002,"Yes"))</f>
        <v/>
      </c>
      <c r="H93">
        <f>IF(B93="","",COUNTIFS('Keyword Map'!$B$3:$B$1002,SUBSTITUTE(SUBSTITUTE(B93,"?","~?"),"*","~*"),'Keyword Map'!$W$3:$W$1002,"Yes"))</f>
        <v/>
      </c>
      <c r="I93">
        <f>IF(B93="","",IFERROR(ROUND(AVERAGEIFS('Keyword Map'!$P$3:$P$1002,'Keyword Map'!$B$3:$B$1002,SUBSTITUTE(SUBSTITUTE(B93,"?","~?"),"*","~*")),0),""))</f>
        <v/>
      </c>
    </row>
    <row r="94">
      <c r="A94">
        <f>ROW()-2</f>
        <v/>
      </c>
      <c r="B94">
        <f>IFERROR(INDEX('Keyword Map'!$B$3:$B$1002,MATCH(A94,'Keyword Map'!$AB$3:$AB$1002,0)),"")</f>
        <v/>
      </c>
      <c r="C94">
        <f>IF(B94="","",COUNTIF('Keyword Map'!$B$3:$B$1002,SUBSTITUTE(SUBSTITUTE(B94,"?","~?"),"*","~*")))</f>
        <v/>
      </c>
      <c r="D94">
        <f>IF(B94="","",SUMIFS('Keyword Map'!$C$3:$C$1002,'Keyword Map'!$B$3:$B$1002,SUBSTITUTE(SUBSTITUTE(B94,"?","~?"),"*","~*")))</f>
        <v/>
      </c>
      <c r="E94">
        <f>IF(B94="","",SUMPRODUCT(('Keyword Map'!$B$3:$B$1002=B94)*(LEN('Keyword Map'!$G$3:$G$1002)&gt;0)))</f>
        <v/>
      </c>
      <c r="F94">
        <f>IF(B94="","",C94-E94)</f>
        <v/>
      </c>
      <c r="G94">
        <f>IF(B94="","",COUNTIFS('Keyword Map'!$B$3:$B$1002,SUBSTITUTE(SUBSTITUTE(B94,"?","~?"),"*","~*"),'Keyword Map'!$R$3:$R$1002,"Yes"))</f>
        <v/>
      </c>
      <c r="H94">
        <f>IF(B94="","",COUNTIFS('Keyword Map'!$B$3:$B$1002,SUBSTITUTE(SUBSTITUTE(B94,"?","~?"),"*","~*"),'Keyword Map'!$W$3:$W$1002,"Yes"))</f>
        <v/>
      </c>
      <c r="I94">
        <f>IF(B94="","",IFERROR(ROUND(AVERAGEIFS('Keyword Map'!$P$3:$P$1002,'Keyword Map'!$B$3:$B$1002,SUBSTITUTE(SUBSTITUTE(B94,"?","~?"),"*","~*")),0),""))</f>
        <v/>
      </c>
    </row>
    <row r="95">
      <c r="A95">
        <f>ROW()-2</f>
        <v/>
      </c>
      <c r="B95">
        <f>IFERROR(INDEX('Keyword Map'!$B$3:$B$1002,MATCH(A95,'Keyword Map'!$AB$3:$AB$1002,0)),"")</f>
        <v/>
      </c>
      <c r="C95">
        <f>IF(B95="","",COUNTIF('Keyword Map'!$B$3:$B$1002,SUBSTITUTE(SUBSTITUTE(B95,"?","~?"),"*","~*")))</f>
        <v/>
      </c>
      <c r="D95">
        <f>IF(B95="","",SUMIFS('Keyword Map'!$C$3:$C$1002,'Keyword Map'!$B$3:$B$1002,SUBSTITUTE(SUBSTITUTE(B95,"?","~?"),"*","~*")))</f>
        <v/>
      </c>
      <c r="E95">
        <f>IF(B95="","",SUMPRODUCT(('Keyword Map'!$B$3:$B$1002=B95)*(LEN('Keyword Map'!$G$3:$G$1002)&gt;0)))</f>
        <v/>
      </c>
      <c r="F95">
        <f>IF(B95="","",C95-E95)</f>
        <v/>
      </c>
      <c r="G95">
        <f>IF(B95="","",COUNTIFS('Keyword Map'!$B$3:$B$1002,SUBSTITUTE(SUBSTITUTE(B95,"?","~?"),"*","~*"),'Keyword Map'!$R$3:$R$1002,"Yes"))</f>
        <v/>
      </c>
      <c r="H95">
        <f>IF(B95="","",COUNTIFS('Keyword Map'!$B$3:$B$1002,SUBSTITUTE(SUBSTITUTE(B95,"?","~?"),"*","~*"),'Keyword Map'!$W$3:$W$1002,"Yes"))</f>
        <v/>
      </c>
      <c r="I95">
        <f>IF(B95="","",IFERROR(ROUND(AVERAGEIFS('Keyword Map'!$P$3:$P$1002,'Keyword Map'!$B$3:$B$1002,SUBSTITUTE(SUBSTITUTE(B95,"?","~?"),"*","~*")),0),""))</f>
        <v/>
      </c>
    </row>
    <row r="96">
      <c r="A96">
        <f>ROW()-2</f>
        <v/>
      </c>
      <c r="B96">
        <f>IFERROR(INDEX('Keyword Map'!$B$3:$B$1002,MATCH(A96,'Keyword Map'!$AB$3:$AB$1002,0)),"")</f>
        <v/>
      </c>
      <c r="C96">
        <f>IF(B96="","",COUNTIF('Keyword Map'!$B$3:$B$1002,SUBSTITUTE(SUBSTITUTE(B96,"?","~?"),"*","~*")))</f>
        <v/>
      </c>
      <c r="D96">
        <f>IF(B96="","",SUMIFS('Keyword Map'!$C$3:$C$1002,'Keyword Map'!$B$3:$B$1002,SUBSTITUTE(SUBSTITUTE(B96,"?","~?"),"*","~*")))</f>
        <v/>
      </c>
      <c r="E96">
        <f>IF(B96="","",SUMPRODUCT(('Keyword Map'!$B$3:$B$1002=B96)*(LEN('Keyword Map'!$G$3:$G$1002)&gt;0)))</f>
        <v/>
      </c>
      <c r="F96">
        <f>IF(B96="","",C96-E96)</f>
        <v/>
      </c>
      <c r="G96">
        <f>IF(B96="","",COUNTIFS('Keyword Map'!$B$3:$B$1002,SUBSTITUTE(SUBSTITUTE(B96,"?","~?"),"*","~*"),'Keyword Map'!$R$3:$R$1002,"Yes"))</f>
        <v/>
      </c>
      <c r="H96">
        <f>IF(B96="","",COUNTIFS('Keyword Map'!$B$3:$B$1002,SUBSTITUTE(SUBSTITUTE(B96,"?","~?"),"*","~*"),'Keyword Map'!$W$3:$W$1002,"Yes"))</f>
        <v/>
      </c>
      <c r="I96">
        <f>IF(B96="","",IFERROR(ROUND(AVERAGEIFS('Keyword Map'!$P$3:$P$1002,'Keyword Map'!$B$3:$B$1002,SUBSTITUTE(SUBSTITUTE(B96,"?","~?"),"*","~*")),0),""))</f>
        <v/>
      </c>
    </row>
    <row r="97">
      <c r="A97">
        <f>ROW()-2</f>
        <v/>
      </c>
      <c r="B97">
        <f>IFERROR(INDEX('Keyword Map'!$B$3:$B$1002,MATCH(A97,'Keyword Map'!$AB$3:$AB$1002,0)),"")</f>
        <v/>
      </c>
      <c r="C97">
        <f>IF(B97="","",COUNTIF('Keyword Map'!$B$3:$B$1002,SUBSTITUTE(SUBSTITUTE(B97,"?","~?"),"*","~*")))</f>
        <v/>
      </c>
      <c r="D97">
        <f>IF(B97="","",SUMIFS('Keyword Map'!$C$3:$C$1002,'Keyword Map'!$B$3:$B$1002,SUBSTITUTE(SUBSTITUTE(B97,"?","~?"),"*","~*")))</f>
        <v/>
      </c>
      <c r="E97">
        <f>IF(B97="","",SUMPRODUCT(('Keyword Map'!$B$3:$B$1002=B97)*(LEN('Keyword Map'!$G$3:$G$1002)&gt;0)))</f>
        <v/>
      </c>
      <c r="F97">
        <f>IF(B97="","",C97-E97)</f>
        <v/>
      </c>
      <c r="G97">
        <f>IF(B97="","",COUNTIFS('Keyword Map'!$B$3:$B$1002,SUBSTITUTE(SUBSTITUTE(B97,"?","~?"),"*","~*"),'Keyword Map'!$R$3:$R$1002,"Yes"))</f>
        <v/>
      </c>
      <c r="H97">
        <f>IF(B97="","",COUNTIFS('Keyword Map'!$B$3:$B$1002,SUBSTITUTE(SUBSTITUTE(B97,"?","~?"),"*","~*"),'Keyword Map'!$W$3:$W$1002,"Yes"))</f>
        <v/>
      </c>
      <c r="I97">
        <f>IF(B97="","",IFERROR(ROUND(AVERAGEIFS('Keyword Map'!$P$3:$P$1002,'Keyword Map'!$B$3:$B$1002,SUBSTITUTE(SUBSTITUTE(B97,"?","~?"),"*","~*")),0),""))</f>
        <v/>
      </c>
    </row>
    <row r="98">
      <c r="A98">
        <f>ROW()-2</f>
        <v/>
      </c>
      <c r="B98">
        <f>IFERROR(INDEX('Keyword Map'!$B$3:$B$1002,MATCH(A98,'Keyword Map'!$AB$3:$AB$1002,0)),"")</f>
        <v/>
      </c>
      <c r="C98">
        <f>IF(B98="","",COUNTIF('Keyword Map'!$B$3:$B$1002,SUBSTITUTE(SUBSTITUTE(B98,"?","~?"),"*","~*")))</f>
        <v/>
      </c>
      <c r="D98">
        <f>IF(B98="","",SUMIFS('Keyword Map'!$C$3:$C$1002,'Keyword Map'!$B$3:$B$1002,SUBSTITUTE(SUBSTITUTE(B98,"?","~?"),"*","~*")))</f>
        <v/>
      </c>
      <c r="E98">
        <f>IF(B98="","",SUMPRODUCT(('Keyword Map'!$B$3:$B$1002=B98)*(LEN('Keyword Map'!$G$3:$G$1002)&gt;0)))</f>
        <v/>
      </c>
      <c r="F98">
        <f>IF(B98="","",C98-E98)</f>
        <v/>
      </c>
      <c r="G98">
        <f>IF(B98="","",COUNTIFS('Keyword Map'!$B$3:$B$1002,SUBSTITUTE(SUBSTITUTE(B98,"?","~?"),"*","~*"),'Keyword Map'!$R$3:$R$1002,"Yes"))</f>
        <v/>
      </c>
      <c r="H98">
        <f>IF(B98="","",COUNTIFS('Keyword Map'!$B$3:$B$1002,SUBSTITUTE(SUBSTITUTE(B98,"?","~?"),"*","~*"),'Keyword Map'!$W$3:$W$1002,"Yes"))</f>
        <v/>
      </c>
      <c r="I98">
        <f>IF(B98="","",IFERROR(ROUND(AVERAGEIFS('Keyword Map'!$P$3:$P$1002,'Keyword Map'!$B$3:$B$1002,SUBSTITUTE(SUBSTITUTE(B98,"?","~?"),"*","~*")),0),""))</f>
        <v/>
      </c>
    </row>
    <row r="99">
      <c r="A99">
        <f>ROW()-2</f>
        <v/>
      </c>
      <c r="B99">
        <f>IFERROR(INDEX('Keyword Map'!$B$3:$B$1002,MATCH(A99,'Keyword Map'!$AB$3:$AB$1002,0)),"")</f>
        <v/>
      </c>
      <c r="C99">
        <f>IF(B99="","",COUNTIF('Keyword Map'!$B$3:$B$1002,SUBSTITUTE(SUBSTITUTE(B99,"?","~?"),"*","~*")))</f>
        <v/>
      </c>
      <c r="D99">
        <f>IF(B99="","",SUMIFS('Keyword Map'!$C$3:$C$1002,'Keyword Map'!$B$3:$B$1002,SUBSTITUTE(SUBSTITUTE(B99,"?","~?"),"*","~*")))</f>
        <v/>
      </c>
      <c r="E99">
        <f>IF(B99="","",SUMPRODUCT(('Keyword Map'!$B$3:$B$1002=B99)*(LEN('Keyword Map'!$G$3:$G$1002)&gt;0)))</f>
        <v/>
      </c>
      <c r="F99">
        <f>IF(B99="","",C99-E99)</f>
        <v/>
      </c>
      <c r="G99">
        <f>IF(B99="","",COUNTIFS('Keyword Map'!$B$3:$B$1002,SUBSTITUTE(SUBSTITUTE(B99,"?","~?"),"*","~*"),'Keyword Map'!$R$3:$R$1002,"Yes"))</f>
        <v/>
      </c>
      <c r="H99">
        <f>IF(B99="","",COUNTIFS('Keyword Map'!$B$3:$B$1002,SUBSTITUTE(SUBSTITUTE(B99,"?","~?"),"*","~*"),'Keyword Map'!$W$3:$W$1002,"Yes"))</f>
        <v/>
      </c>
      <c r="I99">
        <f>IF(B99="","",IFERROR(ROUND(AVERAGEIFS('Keyword Map'!$P$3:$P$1002,'Keyword Map'!$B$3:$B$1002,SUBSTITUTE(SUBSTITUTE(B99,"?","~?"),"*","~*")),0),""))</f>
        <v/>
      </c>
    </row>
    <row r="100">
      <c r="A100">
        <f>ROW()-2</f>
        <v/>
      </c>
      <c r="B100">
        <f>IFERROR(INDEX('Keyword Map'!$B$3:$B$1002,MATCH(A100,'Keyword Map'!$AB$3:$AB$1002,0)),"")</f>
        <v/>
      </c>
      <c r="C100">
        <f>IF(B100="","",COUNTIF('Keyword Map'!$B$3:$B$1002,SUBSTITUTE(SUBSTITUTE(B100,"?","~?"),"*","~*")))</f>
        <v/>
      </c>
      <c r="D100">
        <f>IF(B100="","",SUMIFS('Keyword Map'!$C$3:$C$1002,'Keyword Map'!$B$3:$B$1002,SUBSTITUTE(SUBSTITUTE(B100,"?","~?"),"*","~*")))</f>
        <v/>
      </c>
      <c r="E100">
        <f>IF(B100="","",SUMPRODUCT(('Keyword Map'!$B$3:$B$1002=B100)*(LEN('Keyword Map'!$G$3:$G$1002)&gt;0)))</f>
        <v/>
      </c>
      <c r="F100">
        <f>IF(B100="","",C100-E100)</f>
        <v/>
      </c>
      <c r="G100">
        <f>IF(B100="","",COUNTIFS('Keyword Map'!$B$3:$B$1002,SUBSTITUTE(SUBSTITUTE(B100,"?","~?"),"*","~*"),'Keyword Map'!$R$3:$R$1002,"Yes"))</f>
        <v/>
      </c>
      <c r="H100">
        <f>IF(B100="","",COUNTIFS('Keyword Map'!$B$3:$B$1002,SUBSTITUTE(SUBSTITUTE(B100,"?","~?"),"*","~*"),'Keyword Map'!$W$3:$W$1002,"Yes"))</f>
        <v/>
      </c>
      <c r="I100">
        <f>IF(B100="","",IFERROR(ROUND(AVERAGEIFS('Keyword Map'!$P$3:$P$1002,'Keyword Map'!$B$3:$B$1002,SUBSTITUTE(SUBSTITUTE(B100,"?","~?"),"*","~*")),0),""))</f>
        <v/>
      </c>
    </row>
    <row r="101">
      <c r="A101">
        <f>ROW()-2</f>
        <v/>
      </c>
      <c r="B101">
        <f>IFERROR(INDEX('Keyword Map'!$B$3:$B$1002,MATCH(A101,'Keyword Map'!$AB$3:$AB$1002,0)),"")</f>
        <v/>
      </c>
      <c r="C101">
        <f>IF(B101="","",COUNTIF('Keyword Map'!$B$3:$B$1002,SUBSTITUTE(SUBSTITUTE(B101,"?","~?"),"*","~*")))</f>
        <v/>
      </c>
      <c r="D101">
        <f>IF(B101="","",SUMIFS('Keyword Map'!$C$3:$C$1002,'Keyword Map'!$B$3:$B$1002,SUBSTITUTE(SUBSTITUTE(B101,"?","~?"),"*","~*")))</f>
        <v/>
      </c>
      <c r="E101">
        <f>IF(B101="","",SUMPRODUCT(('Keyword Map'!$B$3:$B$1002=B101)*(LEN('Keyword Map'!$G$3:$G$1002)&gt;0)))</f>
        <v/>
      </c>
      <c r="F101">
        <f>IF(B101="","",C101-E101)</f>
        <v/>
      </c>
      <c r="G101">
        <f>IF(B101="","",COUNTIFS('Keyword Map'!$B$3:$B$1002,SUBSTITUTE(SUBSTITUTE(B101,"?","~?"),"*","~*"),'Keyword Map'!$R$3:$R$1002,"Yes"))</f>
        <v/>
      </c>
      <c r="H101">
        <f>IF(B101="","",COUNTIFS('Keyword Map'!$B$3:$B$1002,SUBSTITUTE(SUBSTITUTE(B101,"?","~?"),"*","~*"),'Keyword Map'!$W$3:$W$1002,"Yes"))</f>
        <v/>
      </c>
      <c r="I101">
        <f>IF(B101="","",IFERROR(ROUND(AVERAGEIFS('Keyword Map'!$P$3:$P$1002,'Keyword Map'!$B$3:$B$1002,SUBSTITUTE(SUBSTITUTE(B101,"?","~?"),"*","~*")),0),""))</f>
        <v/>
      </c>
    </row>
    <row r="102">
      <c r="A102">
        <f>ROW()-2</f>
        <v/>
      </c>
      <c r="B102">
        <f>IFERROR(INDEX('Keyword Map'!$B$3:$B$1002,MATCH(A102,'Keyword Map'!$AB$3:$AB$1002,0)),"")</f>
        <v/>
      </c>
      <c r="C102">
        <f>IF(B102="","",COUNTIF('Keyword Map'!$B$3:$B$1002,SUBSTITUTE(SUBSTITUTE(B102,"?","~?"),"*","~*")))</f>
        <v/>
      </c>
      <c r="D102">
        <f>IF(B102="","",SUMIFS('Keyword Map'!$C$3:$C$1002,'Keyword Map'!$B$3:$B$1002,SUBSTITUTE(SUBSTITUTE(B102,"?","~?"),"*","~*")))</f>
        <v/>
      </c>
      <c r="E102">
        <f>IF(B102="","",SUMPRODUCT(('Keyword Map'!$B$3:$B$1002=B102)*(LEN('Keyword Map'!$G$3:$G$1002)&gt;0)))</f>
        <v/>
      </c>
      <c r="F102">
        <f>IF(B102="","",C102-E102)</f>
        <v/>
      </c>
      <c r="G102">
        <f>IF(B102="","",COUNTIFS('Keyword Map'!$B$3:$B$1002,SUBSTITUTE(SUBSTITUTE(B102,"?","~?"),"*","~*"),'Keyword Map'!$R$3:$R$1002,"Yes"))</f>
        <v/>
      </c>
      <c r="H102">
        <f>IF(B102="","",COUNTIFS('Keyword Map'!$B$3:$B$1002,SUBSTITUTE(SUBSTITUTE(B102,"?","~?"),"*","~*"),'Keyword Map'!$W$3:$W$1002,"Yes"))</f>
        <v/>
      </c>
      <c r="I102">
        <f>IF(B102="","",IFERROR(ROUND(AVERAGEIFS('Keyword Map'!$P$3:$P$1002,'Keyword Map'!$B$3:$B$1002,SUBSTITUTE(SUBSTITUTE(B102,"?","~?"),"*","~*")),0),""))</f>
        <v/>
      </c>
    </row>
    <row r="103">
      <c r="A103">
        <f>ROW()-2</f>
        <v/>
      </c>
      <c r="B103">
        <f>IFERROR(INDEX('Keyword Map'!$B$3:$B$1002,MATCH(A103,'Keyword Map'!$AB$3:$AB$1002,0)),"")</f>
        <v/>
      </c>
      <c r="C103">
        <f>IF(B103="","",COUNTIF('Keyword Map'!$B$3:$B$1002,SUBSTITUTE(SUBSTITUTE(B103,"?","~?"),"*","~*")))</f>
        <v/>
      </c>
      <c r="D103">
        <f>IF(B103="","",SUMIFS('Keyword Map'!$C$3:$C$1002,'Keyword Map'!$B$3:$B$1002,SUBSTITUTE(SUBSTITUTE(B103,"?","~?"),"*","~*")))</f>
        <v/>
      </c>
      <c r="E103">
        <f>IF(B103="","",SUMPRODUCT(('Keyword Map'!$B$3:$B$1002=B103)*(LEN('Keyword Map'!$G$3:$G$1002)&gt;0)))</f>
        <v/>
      </c>
      <c r="F103">
        <f>IF(B103="","",C103-E103)</f>
        <v/>
      </c>
      <c r="G103">
        <f>IF(B103="","",COUNTIFS('Keyword Map'!$B$3:$B$1002,SUBSTITUTE(SUBSTITUTE(B103,"?","~?"),"*","~*"),'Keyword Map'!$R$3:$R$1002,"Yes"))</f>
        <v/>
      </c>
      <c r="H103">
        <f>IF(B103="","",COUNTIFS('Keyword Map'!$B$3:$B$1002,SUBSTITUTE(SUBSTITUTE(B103,"?","~?"),"*","~*"),'Keyword Map'!$W$3:$W$1002,"Yes"))</f>
        <v/>
      </c>
      <c r="I103">
        <f>IF(B103="","",IFERROR(ROUND(AVERAGEIFS('Keyword Map'!$P$3:$P$1002,'Keyword Map'!$B$3:$B$1002,SUBSTITUTE(SUBSTITUTE(B103,"?","~?"),"*","~*")),0),""))</f>
        <v/>
      </c>
    </row>
    <row r="104">
      <c r="A104">
        <f>ROW()-2</f>
        <v/>
      </c>
      <c r="B104">
        <f>IFERROR(INDEX('Keyword Map'!$B$3:$B$1002,MATCH(A104,'Keyword Map'!$AB$3:$AB$1002,0)),"")</f>
        <v/>
      </c>
      <c r="C104">
        <f>IF(B104="","",COUNTIF('Keyword Map'!$B$3:$B$1002,SUBSTITUTE(SUBSTITUTE(B104,"?","~?"),"*","~*")))</f>
        <v/>
      </c>
      <c r="D104">
        <f>IF(B104="","",SUMIFS('Keyword Map'!$C$3:$C$1002,'Keyword Map'!$B$3:$B$1002,SUBSTITUTE(SUBSTITUTE(B104,"?","~?"),"*","~*")))</f>
        <v/>
      </c>
      <c r="E104">
        <f>IF(B104="","",SUMPRODUCT(('Keyword Map'!$B$3:$B$1002=B104)*(LEN('Keyword Map'!$G$3:$G$1002)&gt;0)))</f>
        <v/>
      </c>
      <c r="F104">
        <f>IF(B104="","",C104-E104)</f>
        <v/>
      </c>
      <c r="G104">
        <f>IF(B104="","",COUNTIFS('Keyword Map'!$B$3:$B$1002,SUBSTITUTE(SUBSTITUTE(B104,"?","~?"),"*","~*"),'Keyword Map'!$R$3:$R$1002,"Yes"))</f>
        <v/>
      </c>
      <c r="H104">
        <f>IF(B104="","",COUNTIFS('Keyword Map'!$B$3:$B$1002,SUBSTITUTE(SUBSTITUTE(B104,"?","~?"),"*","~*"),'Keyword Map'!$W$3:$W$1002,"Yes"))</f>
        <v/>
      </c>
      <c r="I104">
        <f>IF(B104="","",IFERROR(ROUND(AVERAGEIFS('Keyword Map'!$P$3:$P$1002,'Keyword Map'!$B$3:$B$1002,SUBSTITUTE(SUBSTITUTE(B104,"?","~?"),"*","~*")),0),""))</f>
        <v/>
      </c>
    </row>
    <row r="105">
      <c r="A105">
        <f>ROW()-2</f>
        <v/>
      </c>
      <c r="B105">
        <f>IFERROR(INDEX('Keyword Map'!$B$3:$B$1002,MATCH(A105,'Keyword Map'!$AB$3:$AB$1002,0)),"")</f>
        <v/>
      </c>
      <c r="C105">
        <f>IF(B105="","",COUNTIF('Keyword Map'!$B$3:$B$1002,SUBSTITUTE(SUBSTITUTE(B105,"?","~?"),"*","~*")))</f>
        <v/>
      </c>
      <c r="D105">
        <f>IF(B105="","",SUMIFS('Keyword Map'!$C$3:$C$1002,'Keyword Map'!$B$3:$B$1002,SUBSTITUTE(SUBSTITUTE(B105,"?","~?"),"*","~*")))</f>
        <v/>
      </c>
      <c r="E105">
        <f>IF(B105="","",SUMPRODUCT(('Keyword Map'!$B$3:$B$1002=B105)*(LEN('Keyword Map'!$G$3:$G$1002)&gt;0)))</f>
        <v/>
      </c>
      <c r="F105">
        <f>IF(B105="","",C105-E105)</f>
        <v/>
      </c>
      <c r="G105">
        <f>IF(B105="","",COUNTIFS('Keyword Map'!$B$3:$B$1002,SUBSTITUTE(SUBSTITUTE(B105,"?","~?"),"*","~*"),'Keyword Map'!$R$3:$R$1002,"Yes"))</f>
        <v/>
      </c>
      <c r="H105">
        <f>IF(B105="","",COUNTIFS('Keyword Map'!$B$3:$B$1002,SUBSTITUTE(SUBSTITUTE(B105,"?","~?"),"*","~*"),'Keyword Map'!$W$3:$W$1002,"Yes"))</f>
        <v/>
      </c>
      <c r="I105">
        <f>IF(B105="","",IFERROR(ROUND(AVERAGEIFS('Keyword Map'!$P$3:$P$1002,'Keyword Map'!$B$3:$B$1002,SUBSTITUTE(SUBSTITUTE(B105,"?","~?"),"*","~*")),0),""))</f>
        <v/>
      </c>
    </row>
    <row r="106">
      <c r="A106">
        <f>ROW()-2</f>
        <v/>
      </c>
      <c r="B106">
        <f>IFERROR(INDEX('Keyword Map'!$B$3:$B$1002,MATCH(A106,'Keyword Map'!$AB$3:$AB$1002,0)),"")</f>
        <v/>
      </c>
      <c r="C106">
        <f>IF(B106="","",COUNTIF('Keyword Map'!$B$3:$B$1002,SUBSTITUTE(SUBSTITUTE(B106,"?","~?"),"*","~*")))</f>
        <v/>
      </c>
      <c r="D106">
        <f>IF(B106="","",SUMIFS('Keyword Map'!$C$3:$C$1002,'Keyword Map'!$B$3:$B$1002,SUBSTITUTE(SUBSTITUTE(B106,"?","~?"),"*","~*")))</f>
        <v/>
      </c>
      <c r="E106">
        <f>IF(B106="","",SUMPRODUCT(('Keyword Map'!$B$3:$B$1002=B106)*(LEN('Keyword Map'!$G$3:$G$1002)&gt;0)))</f>
        <v/>
      </c>
      <c r="F106">
        <f>IF(B106="","",C106-E106)</f>
        <v/>
      </c>
      <c r="G106">
        <f>IF(B106="","",COUNTIFS('Keyword Map'!$B$3:$B$1002,SUBSTITUTE(SUBSTITUTE(B106,"?","~?"),"*","~*"),'Keyword Map'!$R$3:$R$1002,"Yes"))</f>
        <v/>
      </c>
      <c r="H106">
        <f>IF(B106="","",COUNTIFS('Keyword Map'!$B$3:$B$1002,SUBSTITUTE(SUBSTITUTE(B106,"?","~?"),"*","~*"),'Keyword Map'!$W$3:$W$1002,"Yes"))</f>
        <v/>
      </c>
      <c r="I106">
        <f>IF(B106="","",IFERROR(ROUND(AVERAGEIFS('Keyword Map'!$P$3:$P$1002,'Keyword Map'!$B$3:$B$1002,SUBSTITUTE(SUBSTITUTE(B106,"?","~?"),"*","~*")),0),""))</f>
        <v/>
      </c>
    </row>
    <row r="107">
      <c r="A107">
        <f>ROW()-2</f>
        <v/>
      </c>
      <c r="B107">
        <f>IFERROR(INDEX('Keyword Map'!$B$3:$B$1002,MATCH(A107,'Keyword Map'!$AB$3:$AB$1002,0)),"")</f>
        <v/>
      </c>
      <c r="C107">
        <f>IF(B107="","",COUNTIF('Keyword Map'!$B$3:$B$1002,SUBSTITUTE(SUBSTITUTE(B107,"?","~?"),"*","~*")))</f>
        <v/>
      </c>
      <c r="D107">
        <f>IF(B107="","",SUMIFS('Keyword Map'!$C$3:$C$1002,'Keyword Map'!$B$3:$B$1002,SUBSTITUTE(SUBSTITUTE(B107,"?","~?"),"*","~*")))</f>
        <v/>
      </c>
      <c r="E107">
        <f>IF(B107="","",SUMPRODUCT(('Keyword Map'!$B$3:$B$1002=B107)*(LEN('Keyword Map'!$G$3:$G$1002)&gt;0)))</f>
        <v/>
      </c>
      <c r="F107">
        <f>IF(B107="","",C107-E107)</f>
        <v/>
      </c>
      <c r="G107">
        <f>IF(B107="","",COUNTIFS('Keyword Map'!$B$3:$B$1002,SUBSTITUTE(SUBSTITUTE(B107,"?","~?"),"*","~*"),'Keyword Map'!$R$3:$R$1002,"Yes"))</f>
        <v/>
      </c>
      <c r="H107">
        <f>IF(B107="","",COUNTIFS('Keyword Map'!$B$3:$B$1002,SUBSTITUTE(SUBSTITUTE(B107,"?","~?"),"*","~*"),'Keyword Map'!$W$3:$W$1002,"Yes"))</f>
        <v/>
      </c>
      <c r="I107">
        <f>IF(B107="","",IFERROR(ROUND(AVERAGEIFS('Keyword Map'!$P$3:$P$1002,'Keyword Map'!$B$3:$B$1002,SUBSTITUTE(SUBSTITUTE(B107,"?","~?"),"*","~*")),0),""))</f>
        <v/>
      </c>
    </row>
    <row r="108">
      <c r="A108">
        <f>ROW()-2</f>
        <v/>
      </c>
      <c r="B108">
        <f>IFERROR(INDEX('Keyword Map'!$B$3:$B$1002,MATCH(A108,'Keyword Map'!$AB$3:$AB$1002,0)),"")</f>
        <v/>
      </c>
      <c r="C108">
        <f>IF(B108="","",COUNTIF('Keyword Map'!$B$3:$B$1002,SUBSTITUTE(SUBSTITUTE(B108,"?","~?"),"*","~*")))</f>
        <v/>
      </c>
      <c r="D108">
        <f>IF(B108="","",SUMIFS('Keyword Map'!$C$3:$C$1002,'Keyword Map'!$B$3:$B$1002,SUBSTITUTE(SUBSTITUTE(B108,"?","~?"),"*","~*")))</f>
        <v/>
      </c>
      <c r="E108">
        <f>IF(B108="","",SUMPRODUCT(('Keyword Map'!$B$3:$B$1002=B108)*(LEN('Keyword Map'!$G$3:$G$1002)&gt;0)))</f>
        <v/>
      </c>
      <c r="F108">
        <f>IF(B108="","",C108-E108)</f>
        <v/>
      </c>
      <c r="G108">
        <f>IF(B108="","",COUNTIFS('Keyword Map'!$B$3:$B$1002,SUBSTITUTE(SUBSTITUTE(B108,"?","~?"),"*","~*"),'Keyword Map'!$R$3:$R$1002,"Yes"))</f>
        <v/>
      </c>
      <c r="H108">
        <f>IF(B108="","",COUNTIFS('Keyword Map'!$B$3:$B$1002,SUBSTITUTE(SUBSTITUTE(B108,"?","~?"),"*","~*"),'Keyword Map'!$W$3:$W$1002,"Yes"))</f>
        <v/>
      </c>
      <c r="I108">
        <f>IF(B108="","",IFERROR(ROUND(AVERAGEIFS('Keyword Map'!$P$3:$P$1002,'Keyword Map'!$B$3:$B$1002,SUBSTITUTE(SUBSTITUTE(B108,"?","~?"),"*","~*")),0),""))</f>
        <v/>
      </c>
    </row>
    <row r="109">
      <c r="A109">
        <f>ROW()-2</f>
        <v/>
      </c>
      <c r="B109">
        <f>IFERROR(INDEX('Keyword Map'!$B$3:$B$1002,MATCH(A109,'Keyword Map'!$AB$3:$AB$1002,0)),"")</f>
        <v/>
      </c>
      <c r="C109">
        <f>IF(B109="","",COUNTIF('Keyword Map'!$B$3:$B$1002,SUBSTITUTE(SUBSTITUTE(B109,"?","~?"),"*","~*")))</f>
        <v/>
      </c>
      <c r="D109">
        <f>IF(B109="","",SUMIFS('Keyword Map'!$C$3:$C$1002,'Keyword Map'!$B$3:$B$1002,SUBSTITUTE(SUBSTITUTE(B109,"?","~?"),"*","~*")))</f>
        <v/>
      </c>
      <c r="E109">
        <f>IF(B109="","",SUMPRODUCT(('Keyword Map'!$B$3:$B$1002=B109)*(LEN('Keyword Map'!$G$3:$G$1002)&gt;0)))</f>
        <v/>
      </c>
      <c r="F109">
        <f>IF(B109="","",C109-E109)</f>
        <v/>
      </c>
      <c r="G109">
        <f>IF(B109="","",COUNTIFS('Keyword Map'!$B$3:$B$1002,SUBSTITUTE(SUBSTITUTE(B109,"?","~?"),"*","~*"),'Keyword Map'!$R$3:$R$1002,"Yes"))</f>
        <v/>
      </c>
      <c r="H109">
        <f>IF(B109="","",COUNTIFS('Keyword Map'!$B$3:$B$1002,SUBSTITUTE(SUBSTITUTE(B109,"?","~?"),"*","~*"),'Keyword Map'!$W$3:$W$1002,"Yes"))</f>
        <v/>
      </c>
      <c r="I109">
        <f>IF(B109="","",IFERROR(ROUND(AVERAGEIFS('Keyword Map'!$P$3:$P$1002,'Keyword Map'!$B$3:$B$1002,SUBSTITUTE(SUBSTITUTE(B109,"?","~?"),"*","~*")),0),""))</f>
        <v/>
      </c>
    </row>
    <row r="110">
      <c r="A110">
        <f>ROW()-2</f>
        <v/>
      </c>
      <c r="B110">
        <f>IFERROR(INDEX('Keyword Map'!$B$3:$B$1002,MATCH(A110,'Keyword Map'!$AB$3:$AB$1002,0)),"")</f>
        <v/>
      </c>
      <c r="C110">
        <f>IF(B110="","",COUNTIF('Keyword Map'!$B$3:$B$1002,SUBSTITUTE(SUBSTITUTE(B110,"?","~?"),"*","~*")))</f>
        <v/>
      </c>
      <c r="D110">
        <f>IF(B110="","",SUMIFS('Keyword Map'!$C$3:$C$1002,'Keyword Map'!$B$3:$B$1002,SUBSTITUTE(SUBSTITUTE(B110,"?","~?"),"*","~*")))</f>
        <v/>
      </c>
      <c r="E110">
        <f>IF(B110="","",SUMPRODUCT(('Keyword Map'!$B$3:$B$1002=B110)*(LEN('Keyword Map'!$G$3:$G$1002)&gt;0)))</f>
        <v/>
      </c>
      <c r="F110">
        <f>IF(B110="","",C110-E110)</f>
        <v/>
      </c>
      <c r="G110">
        <f>IF(B110="","",COUNTIFS('Keyword Map'!$B$3:$B$1002,SUBSTITUTE(SUBSTITUTE(B110,"?","~?"),"*","~*"),'Keyword Map'!$R$3:$R$1002,"Yes"))</f>
        <v/>
      </c>
      <c r="H110">
        <f>IF(B110="","",COUNTIFS('Keyword Map'!$B$3:$B$1002,SUBSTITUTE(SUBSTITUTE(B110,"?","~?"),"*","~*"),'Keyword Map'!$W$3:$W$1002,"Yes"))</f>
        <v/>
      </c>
      <c r="I110">
        <f>IF(B110="","",IFERROR(ROUND(AVERAGEIFS('Keyword Map'!$P$3:$P$1002,'Keyword Map'!$B$3:$B$1002,SUBSTITUTE(SUBSTITUTE(B110,"?","~?"),"*","~*")),0),""))</f>
        <v/>
      </c>
    </row>
    <row r="111">
      <c r="A111">
        <f>ROW()-2</f>
        <v/>
      </c>
      <c r="B111">
        <f>IFERROR(INDEX('Keyword Map'!$B$3:$B$1002,MATCH(A111,'Keyword Map'!$AB$3:$AB$1002,0)),"")</f>
        <v/>
      </c>
      <c r="C111">
        <f>IF(B111="","",COUNTIF('Keyword Map'!$B$3:$B$1002,SUBSTITUTE(SUBSTITUTE(B111,"?","~?"),"*","~*")))</f>
        <v/>
      </c>
      <c r="D111">
        <f>IF(B111="","",SUMIFS('Keyword Map'!$C$3:$C$1002,'Keyword Map'!$B$3:$B$1002,SUBSTITUTE(SUBSTITUTE(B111,"?","~?"),"*","~*")))</f>
        <v/>
      </c>
      <c r="E111">
        <f>IF(B111="","",SUMPRODUCT(('Keyword Map'!$B$3:$B$1002=B111)*(LEN('Keyword Map'!$G$3:$G$1002)&gt;0)))</f>
        <v/>
      </c>
      <c r="F111">
        <f>IF(B111="","",C111-E111)</f>
        <v/>
      </c>
      <c r="G111">
        <f>IF(B111="","",COUNTIFS('Keyword Map'!$B$3:$B$1002,SUBSTITUTE(SUBSTITUTE(B111,"?","~?"),"*","~*"),'Keyword Map'!$R$3:$R$1002,"Yes"))</f>
        <v/>
      </c>
      <c r="H111">
        <f>IF(B111="","",COUNTIFS('Keyword Map'!$B$3:$B$1002,SUBSTITUTE(SUBSTITUTE(B111,"?","~?"),"*","~*"),'Keyword Map'!$W$3:$W$1002,"Yes"))</f>
        <v/>
      </c>
      <c r="I111">
        <f>IF(B111="","",IFERROR(ROUND(AVERAGEIFS('Keyword Map'!$P$3:$P$1002,'Keyword Map'!$B$3:$B$1002,SUBSTITUTE(SUBSTITUTE(B111,"?","~?"),"*","~*")),0),""))</f>
        <v/>
      </c>
    </row>
    <row r="112">
      <c r="A112">
        <f>ROW()-2</f>
        <v/>
      </c>
      <c r="B112">
        <f>IFERROR(INDEX('Keyword Map'!$B$3:$B$1002,MATCH(A112,'Keyword Map'!$AB$3:$AB$1002,0)),"")</f>
        <v/>
      </c>
      <c r="C112">
        <f>IF(B112="","",COUNTIF('Keyword Map'!$B$3:$B$1002,SUBSTITUTE(SUBSTITUTE(B112,"?","~?"),"*","~*")))</f>
        <v/>
      </c>
      <c r="D112">
        <f>IF(B112="","",SUMIFS('Keyword Map'!$C$3:$C$1002,'Keyword Map'!$B$3:$B$1002,SUBSTITUTE(SUBSTITUTE(B112,"?","~?"),"*","~*")))</f>
        <v/>
      </c>
      <c r="E112">
        <f>IF(B112="","",SUMPRODUCT(('Keyword Map'!$B$3:$B$1002=B112)*(LEN('Keyword Map'!$G$3:$G$1002)&gt;0)))</f>
        <v/>
      </c>
      <c r="F112">
        <f>IF(B112="","",C112-E112)</f>
        <v/>
      </c>
      <c r="G112">
        <f>IF(B112="","",COUNTIFS('Keyword Map'!$B$3:$B$1002,SUBSTITUTE(SUBSTITUTE(B112,"?","~?"),"*","~*"),'Keyword Map'!$R$3:$R$1002,"Yes"))</f>
        <v/>
      </c>
      <c r="H112">
        <f>IF(B112="","",COUNTIFS('Keyword Map'!$B$3:$B$1002,SUBSTITUTE(SUBSTITUTE(B112,"?","~?"),"*","~*"),'Keyword Map'!$W$3:$W$1002,"Yes"))</f>
        <v/>
      </c>
      <c r="I112">
        <f>IF(B112="","",IFERROR(ROUND(AVERAGEIFS('Keyword Map'!$P$3:$P$1002,'Keyword Map'!$B$3:$B$1002,SUBSTITUTE(SUBSTITUTE(B112,"?","~?"),"*","~*")),0),""))</f>
        <v/>
      </c>
    </row>
    <row r="113">
      <c r="A113">
        <f>ROW()-2</f>
        <v/>
      </c>
      <c r="B113">
        <f>IFERROR(INDEX('Keyword Map'!$B$3:$B$1002,MATCH(A113,'Keyword Map'!$AB$3:$AB$1002,0)),"")</f>
        <v/>
      </c>
      <c r="C113">
        <f>IF(B113="","",COUNTIF('Keyword Map'!$B$3:$B$1002,SUBSTITUTE(SUBSTITUTE(B113,"?","~?"),"*","~*")))</f>
        <v/>
      </c>
      <c r="D113">
        <f>IF(B113="","",SUMIFS('Keyword Map'!$C$3:$C$1002,'Keyword Map'!$B$3:$B$1002,SUBSTITUTE(SUBSTITUTE(B113,"?","~?"),"*","~*")))</f>
        <v/>
      </c>
      <c r="E113">
        <f>IF(B113="","",SUMPRODUCT(('Keyword Map'!$B$3:$B$1002=B113)*(LEN('Keyword Map'!$G$3:$G$1002)&gt;0)))</f>
        <v/>
      </c>
      <c r="F113">
        <f>IF(B113="","",C113-E113)</f>
        <v/>
      </c>
      <c r="G113">
        <f>IF(B113="","",COUNTIFS('Keyword Map'!$B$3:$B$1002,SUBSTITUTE(SUBSTITUTE(B113,"?","~?"),"*","~*"),'Keyword Map'!$R$3:$R$1002,"Yes"))</f>
        <v/>
      </c>
      <c r="H113">
        <f>IF(B113="","",COUNTIFS('Keyword Map'!$B$3:$B$1002,SUBSTITUTE(SUBSTITUTE(B113,"?","~?"),"*","~*"),'Keyword Map'!$W$3:$W$1002,"Yes"))</f>
        <v/>
      </c>
      <c r="I113">
        <f>IF(B113="","",IFERROR(ROUND(AVERAGEIFS('Keyword Map'!$P$3:$P$1002,'Keyword Map'!$B$3:$B$1002,SUBSTITUTE(SUBSTITUTE(B113,"?","~?"),"*","~*")),0),""))</f>
        <v/>
      </c>
    </row>
    <row r="114">
      <c r="A114">
        <f>ROW()-2</f>
        <v/>
      </c>
      <c r="B114">
        <f>IFERROR(INDEX('Keyword Map'!$B$3:$B$1002,MATCH(A114,'Keyword Map'!$AB$3:$AB$1002,0)),"")</f>
        <v/>
      </c>
      <c r="C114">
        <f>IF(B114="","",COUNTIF('Keyword Map'!$B$3:$B$1002,SUBSTITUTE(SUBSTITUTE(B114,"?","~?"),"*","~*")))</f>
        <v/>
      </c>
      <c r="D114">
        <f>IF(B114="","",SUMIFS('Keyword Map'!$C$3:$C$1002,'Keyword Map'!$B$3:$B$1002,SUBSTITUTE(SUBSTITUTE(B114,"?","~?"),"*","~*")))</f>
        <v/>
      </c>
      <c r="E114">
        <f>IF(B114="","",SUMPRODUCT(('Keyword Map'!$B$3:$B$1002=B114)*(LEN('Keyword Map'!$G$3:$G$1002)&gt;0)))</f>
        <v/>
      </c>
      <c r="F114">
        <f>IF(B114="","",C114-E114)</f>
        <v/>
      </c>
      <c r="G114">
        <f>IF(B114="","",COUNTIFS('Keyword Map'!$B$3:$B$1002,SUBSTITUTE(SUBSTITUTE(B114,"?","~?"),"*","~*"),'Keyword Map'!$R$3:$R$1002,"Yes"))</f>
        <v/>
      </c>
      <c r="H114">
        <f>IF(B114="","",COUNTIFS('Keyword Map'!$B$3:$B$1002,SUBSTITUTE(SUBSTITUTE(B114,"?","~?"),"*","~*"),'Keyword Map'!$W$3:$W$1002,"Yes"))</f>
        <v/>
      </c>
      <c r="I114">
        <f>IF(B114="","",IFERROR(ROUND(AVERAGEIFS('Keyword Map'!$P$3:$P$1002,'Keyword Map'!$B$3:$B$1002,SUBSTITUTE(SUBSTITUTE(B114,"?","~?"),"*","~*")),0),""))</f>
        <v/>
      </c>
    </row>
    <row r="115">
      <c r="A115">
        <f>ROW()-2</f>
        <v/>
      </c>
      <c r="B115">
        <f>IFERROR(INDEX('Keyword Map'!$B$3:$B$1002,MATCH(A115,'Keyword Map'!$AB$3:$AB$1002,0)),"")</f>
        <v/>
      </c>
      <c r="C115">
        <f>IF(B115="","",COUNTIF('Keyword Map'!$B$3:$B$1002,SUBSTITUTE(SUBSTITUTE(B115,"?","~?"),"*","~*")))</f>
        <v/>
      </c>
      <c r="D115">
        <f>IF(B115="","",SUMIFS('Keyword Map'!$C$3:$C$1002,'Keyword Map'!$B$3:$B$1002,SUBSTITUTE(SUBSTITUTE(B115,"?","~?"),"*","~*")))</f>
        <v/>
      </c>
      <c r="E115">
        <f>IF(B115="","",SUMPRODUCT(('Keyword Map'!$B$3:$B$1002=B115)*(LEN('Keyword Map'!$G$3:$G$1002)&gt;0)))</f>
        <v/>
      </c>
      <c r="F115">
        <f>IF(B115="","",C115-E115)</f>
        <v/>
      </c>
      <c r="G115">
        <f>IF(B115="","",COUNTIFS('Keyword Map'!$B$3:$B$1002,SUBSTITUTE(SUBSTITUTE(B115,"?","~?"),"*","~*"),'Keyword Map'!$R$3:$R$1002,"Yes"))</f>
        <v/>
      </c>
      <c r="H115">
        <f>IF(B115="","",COUNTIFS('Keyword Map'!$B$3:$B$1002,SUBSTITUTE(SUBSTITUTE(B115,"?","~?"),"*","~*"),'Keyword Map'!$W$3:$W$1002,"Yes"))</f>
        <v/>
      </c>
      <c r="I115">
        <f>IF(B115="","",IFERROR(ROUND(AVERAGEIFS('Keyword Map'!$P$3:$P$1002,'Keyword Map'!$B$3:$B$1002,SUBSTITUTE(SUBSTITUTE(B115,"?","~?"),"*","~*")),0),""))</f>
        <v/>
      </c>
    </row>
    <row r="116">
      <c r="A116">
        <f>ROW()-2</f>
        <v/>
      </c>
      <c r="B116">
        <f>IFERROR(INDEX('Keyword Map'!$B$3:$B$1002,MATCH(A116,'Keyword Map'!$AB$3:$AB$1002,0)),"")</f>
        <v/>
      </c>
      <c r="C116">
        <f>IF(B116="","",COUNTIF('Keyword Map'!$B$3:$B$1002,SUBSTITUTE(SUBSTITUTE(B116,"?","~?"),"*","~*")))</f>
        <v/>
      </c>
      <c r="D116">
        <f>IF(B116="","",SUMIFS('Keyword Map'!$C$3:$C$1002,'Keyword Map'!$B$3:$B$1002,SUBSTITUTE(SUBSTITUTE(B116,"?","~?"),"*","~*")))</f>
        <v/>
      </c>
      <c r="E116">
        <f>IF(B116="","",SUMPRODUCT(('Keyword Map'!$B$3:$B$1002=B116)*(LEN('Keyword Map'!$G$3:$G$1002)&gt;0)))</f>
        <v/>
      </c>
      <c r="F116">
        <f>IF(B116="","",C116-E116)</f>
        <v/>
      </c>
      <c r="G116">
        <f>IF(B116="","",COUNTIFS('Keyword Map'!$B$3:$B$1002,SUBSTITUTE(SUBSTITUTE(B116,"?","~?"),"*","~*"),'Keyword Map'!$R$3:$R$1002,"Yes"))</f>
        <v/>
      </c>
      <c r="H116">
        <f>IF(B116="","",COUNTIFS('Keyword Map'!$B$3:$B$1002,SUBSTITUTE(SUBSTITUTE(B116,"?","~?"),"*","~*"),'Keyword Map'!$W$3:$W$1002,"Yes"))</f>
        <v/>
      </c>
      <c r="I116">
        <f>IF(B116="","",IFERROR(ROUND(AVERAGEIFS('Keyword Map'!$P$3:$P$1002,'Keyword Map'!$B$3:$B$1002,SUBSTITUTE(SUBSTITUTE(B116,"?","~?"),"*","~*")),0),""))</f>
        <v/>
      </c>
    </row>
    <row r="117">
      <c r="A117">
        <f>ROW()-2</f>
        <v/>
      </c>
      <c r="B117">
        <f>IFERROR(INDEX('Keyword Map'!$B$3:$B$1002,MATCH(A117,'Keyword Map'!$AB$3:$AB$1002,0)),"")</f>
        <v/>
      </c>
      <c r="C117">
        <f>IF(B117="","",COUNTIF('Keyword Map'!$B$3:$B$1002,SUBSTITUTE(SUBSTITUTE(B117,"?","~?"),"*","~*")))</f>
        <v/>
      </c>
      <c r="D117">
        <f>IF(B117="","",SUMIFS('Keyword Map'!$C$3:$C$1002,'Keyword Map'!$B$3:$B$1002,SUBSTITUTE(SUBSTITUTE(B117,"?","~?"),"*","~*")))</f>
        <v/>
      </c>
      <c r="E117">
        <f>IF(B117="","",SUMPRODUCT(('Keyword Map'!$B$3:$B$1002=B117)*(LEN('Keyword Map'!$G$3:$G$1002)&gt;0)))</f>
        <v/>
      </c>
      <c r="F117">
        <f>IF(B117="","",C117-E117)</f>
        <v/>
      </c>
      <c r="G117">
        <f>IF(B117="","",COUNTIFS('Keyword Map'!$B$3:$B$1002,SUBSTITUTE(SUBSTITUTE(B117,"?","~?"),"*","~*"),'Keyword Map'!$R$3:$R$1002,"Yes"))</f>
        <v/>
      </c>
      <c r="H117">
        <f>IF(B117="","",COUNTIFS('Keyword Map'!$B$3:$B$1002,SUBSTITUTE(SUBSTITUTE(B117,"?","~?"),"*","~*"),'Keyword Map'!$W$3:$W$1002,"Yes"))</f>
        <v/>
      </c>
      <c r="I117">
        <f>IF(B117="","",IFERROR(ROUND(AVERAGEIFS('Keyword Map'!$P$3:$P$1002,'Keyword Map'!$B$3:$B$1002,SUBSTITUTE(SUBSTITUTE(B117,"?","~?"),"*","~*")),0),""))</f>
        <v/>
      </c>
    </row>
    <row r="118">
      <c r="A118">
        <f>ROW()-2</f>
        <v/>
      </c>
      <c r="B118">
        <f>IFERROR(INDEX('Keyword Map'!$B$3:$B$1002,MATCH(A118,'Keyword Map'!$AB$3:$AB$1002,0)),"")</f>
        <v/>
      </c>
      <c r="C118">
        <f>IF(B118="","",COUNTIF('Keyword Map'!$B$3:$B$1002,SUBSTITUTE(SUBSTITUTE(B118,"?","~?"),"*","~*")))</f>
        <v/>
      </c>
      <c r="D118">
        <f>IF(B118="","",SUMIFS('Keyword Map'!$C$3:$C$1002,'Keyword Map'!$B$3:$B$1002,SUBSTITUTE(SUBSTITUTE(B118,"?","~?"),"*","~*")))</f>
        <v/>
      </c>
      <c r="E118">
        <f>IF(B118="","",SUMPRODUCT(('Keyword Map'!$B$3:$B$1002=B118)*(LEN('Keyword Map'!$G$3:$G$1002)&gt;0)))</f>
        <v/>
      </c>
      <c r="F118">
        <f>IF(B118="","",C118-E118)</f>
        <v/>
      </c>
      <c r="G118">
        <f>IF(B118="","",COUNTIFS('Keyword Map'!$B$3:$B$1002,SUBSTITUTE(SUBSTITUTE(B118,"?","~?"),"*","~*"),'Keyword Map'!$R$3:$R$1002,"Yes"))</f>
        <v/>
      </c>
      <c r="H118">
        <f>IF(B118="","",COUNTIFS('Keyword Map'!$B$3:$B$1002,SUBSTITUTE(SUBSTITUTE(B118,"?","~?"),"*","~*"),'Keyword Map'!$W$3:$W$1002,"Yes"))</f>
        <v/>
      </c>
      <c r="I118">
        <f>IF(B118="","",IFERROR(ROUND(AVERAGEIFS('Keyword Map'!$P$3:$P$1002,'Keyword Map'!$B$3:$B$1002,SUBSTITUTE(SUBSTITUTE(B118,"?","~?"),"*","~*")),0),""))</f>
        <v/>
      </c>
    </row>
    <row r="119">
      <c r="A119">
        <f>ROW()-2</f>
        <v/>
      </c>
      <c r="B119">
        <f>IFERROR(INDEX('Keyword Map'!$B$3:$B$1002,MATCH(A119,'Keyword Map'!$AB$3:$AB$1002,0)),"")</f>
        <v/>
      </c>
      <c r="C119">
        <f>IF(B119="","",COUNTIF('Keyword Map'!$B$3:$B$1002,SUBSTITUTE(SUBSTITUTE(B119,"?","~?"),"*","~*")))</f>
        <v/>
      </c>
      <c r="D119">
        <f>IF(B119="","",SUMIFS('Keyword Map'!$C$3:$C$1002,'Keyword Map'!$B$3:$B$1002,SUBSTITUTE(SUBSTITUTE(B119,"?","~?"),"*","~*")))</f>
        <v/>
      </c>
      <c r="E119">
        <f>IF(B119="","",SUMPRODUCT(('Keyword Map'!$B$3:$B$1002=B119)*(LEN('Keyword Map'!$G$3:$G$1002)&gt;0)))</f>
        <v/>
      </c>
      <c r="F119">
        <f>IF(B119="","",C119-E119)</f>
        <v/>
      </c>
      <c r="G119">
        <f>IF(B119="","",COUNTIFS('Keyword Map'!$B$3:$B$1002,SUBSTITUTE(SUBSTITUTE(B119,"?","~?"),"*","~*"),'Keyword Map'!$R$3:$R$1002,"Yes"))</f>
        <v/>
      </c>
      <c r="H119">
        <f>IF(B119="","",COUNTIFS('Keyword Map'!$B$3:$B$1002,SUBSTITUTE(SUBSTITUTE(B119,"?","~?"),"*","~*"),'Keyword Map'!$W$3:$W$1002,"Yes"))</f>
        <v/>
      </c>
      <c r="I119">
        <f>IF(B119="","",IFERROR(ROUND(AVERAGEIFS('Keyword Map'!$P$3:$P$1002,'Keyword Map'!$B$3:$B$1002,SUBSTITUTE(SUBSTITUTE(B119,"?","~?"),"*","~*")),0),""))</f>
        <v/>
      </c>
    </row>
    <row r="120">
      <c r="A120">
        <f>ROW()-2</f>
        <v/>
      </c>
      <c r="B120">
        <f>IFERROR(INDEX('Keyword Map'!$B$3:$B$1002,MATCH(A120,'Keyword Map'!$AB$3:$AB$1002,0)),"")</f>
        <v/>
      </c>
      <c r="C120">
        <f>IF(B120="","",COUNTIF('Keyword Map'!$B$3:$B$1002,SUBSTITUTE(SUBSTITUTE(B120,"?","~?"),"*","~*")))</f>
        <v/>
      </c>
      <c r="D120">
        <f>IF(B120="","",SUMIFS('Keyword Map'!$C$3:$C$1002,'Keyword Map'!$B$3:$B$1002,SUBSTITUTE(SUBSTITUTE(B120,"?","~?"),"*","~*")))</f>
        <v/>
      </c>
      <c r="E120">
        <f>IF(B120="","",SUMPRODUCT(('Keyword Map'!$B$3:$B$1002=B120)*(LEN('Keyword Map'!$G$3:$G$1002)&gt;0)))</f>
        <v/>
      </c>
      <c r="F120">
        <f>IF(B120="","",C120-E120)</f>
        <v/>
      </c>
      <c r="G120">
        <f>IF(B120="","",COUNTIFS('Keyword Map'!$B$3:$B$1002,SUBSTITUTE(SUBSTITUTE(B120,"?","~?"),"*","~*"),'Keyword Map'!$R$3:$R$1002,"Yes"))</f>
        <v/>
      </c>
      <c r="H120">
        <f>IF(B120="","",COUNTIFS('Keyword Map'!$B$3:$B$1002,SUBSTITUTE(SUBSTITUTE(B120,"?","~?"),"*","~*"),'Keyword Map'!$W$3:$W$1002,"Yes"))</f>
        <v/>
      </c>
      <c r="I120">
        <f>IF(B120="","",IFERROR(ROUND(AVERAGEIFS('Keyword Map'!$P$3:$P$1002,'Keyword Map'!$B$3:$B$1002,SUBSTITUTE(SUBSTITUTE(B120,"?","~?"),"*","~*")),0),""))</f>
        <v/>
      </c>
    </row>
    <row r="121">
      <c r="A121">
        <f>ROW()-2</f>
        <v/>
      </c>
      <c r="B121">
        <f>IFERROR(INDEX('Keyword Map'!$B$3:$B$1002,MATCH(A121,'Keyword Map'!$AB$3:$AB$1002,0)),"")</f>
        <v/>
      </c>
      <c r="C121">
        <f>IF(B121="","",COUNTIF('Keyword Map'!$B$3:$B$1002,SUBSTITUTE(SUBSTITUTE(B121,"?","~?"),"*","~*")))</f>
        <v/>
      </c>
      <c r="D121">
        <f>IF(B121="","",SUMIFS('Keyword Map'!$C$3:$C$1002,'Keyword Map'!$B$3:$B$1002,SUBSTITUTE(SUBSTITUTE(B121,"?","~?"),"*","~*")))</f>
        <v/>
      </c>
      <c r="E121">
        <f>IF(B121="","",SUMPRODUCT(('Keyword Map'!$B$3:$B$1002=B121)*(LEN('Keyword Map'!$G$3:$G$1002)&gt;0)))</f>
        <v/>
      </c>
      <c r="F121">
        <f>IF(B121="","",C121-E121)</f>
        <v/>
      </c>
      <c r="G121">
        <f>IF(B121="","",COUNTIFS('Keyword Map'!$B$3:$B$1002,SUBSTITUTE(SUBSTITUTE(B121,"?","~?"),"*","~*"),'Keyword Map'!$R$3:$R$1002,"Yes"))</f>
        <v/>
      </c>
      <c r="H121">
        <f>IF(B121="","",COUNTIFS('Keyword Map'!$B$3:$B$1002,SUBSTITUTE(SUBSTITUTE(B121,"?","~?"),"*","~*"),'Keyword Map'!$W$3:$W$1002,"Yes"))</f>
        <v/>
      </c>
      <c r="I121">
        <f>IF(B121="","",IFERROR(ROUND(AVERAGEIFS('Keyword Map'!$P$3:$P$1002,'Keyword Map'!$B$3:$B$1002,SUBSTITUTE(SUBSTITUTE(B121,"?","~?"),"*","~*")),0),""))</f>
        <v/>
      </c>
    </row>
    <row r="122">
      <c r="A122">
        <f>ROW()-2</f>
        <v/>
      </c>
      <c r="B122">
        <f>IFERROR(INDEX('Keyword Map'!$B$3:$B$1002,MATCH(A122,'Keyword Map'!$AB$3:$AB$1002,0)),"")</f>
        <v/>
      </c>
      <c r="C122">
        <f>IF(B122="","",COUNTIF('Keyword Map'!$B$3:$B$1002,SUBSTITUTE(SUBSTITUTE(B122,"?","~?"),"*","~*")))</f>
        <v/>
      </c>
      <c r="D122">
        <f>IF(B122="","",SUMIFS('Keyword Map'!$C$3:$C$1002,'Keyword Map'!$B$3:$B$1002,SUBSTITUTE(SUBSTITUTE(B122,"?","~?"),"*","~*")))</f>
        <v/>
      </c>
      <c r="E122">
        <f>IF(B122="","",SUMPRODUCT(('Keyword Map'!$B$3:$B$1002=B122)*(LEN('Keyword Map'!$G$3:$G$1002)&gt;0)))</f>
        <v/>
      </c>
      <c r="F122">
        <f>IF(B122="","",C122-E122)</f>
        <v/>
      </c>
      <c r="G122">
        <f>IF(B122="","",COUNTIFS('Keyword Map'!$B$3:$B$1002,SUBSTITUTE(SUBSTITUTE(B122,"?","~?"),"*","~*"),'Keyword Map'!$R$3:$R$1002,"Yes"))</f>
        <v/>
      </c>
      <c r="H122">
        <f>IF(B122="","",COUNTIFS('Keyword Map'!$B$3:$B$1002,SUBSTITUTE(SUBSTITUTE(B122,"?","~?"),"*","~*"),'Keyword Map'!$W$3:$W$1002,"Yes"))</f>
        <v/>
      </c>
      <c r="I122">
        <f>IF(B122="","",IFERROR(ROUND(AVERAGEIFS('Keyword Map'!$P$3:$P$1002,'Keyword Map'!$B$3:$B$1002,SUBSTITUTE(SUBSTITUTE(B122,"?","~?"),"*","~*")),0),""))</f>
        <v/>
      </c>
    </row>
    <row r="123">
      <c r="A123">
        <f>ROW()-2</f>
        <v/>
      </c>
      <c r="B123">
        <f>IFERROR(INDEX('Keyword Map'!$B$3:$B$1002,MATCH(A123,'Keyword Map'!$AB$3:$AB$1002,0)),"")</f>
        <v/>
      </c>
      <c r="C123">
        <f>IF(B123="","",COUNTIF('Keyword Map'!$B$3:$B$1002,SUBSTITUTE(SUBSTITUTE(B123,"?","~?"),"*","~*")))</f>
        <v/>
      </c>
      <c r="D123">
        <f>IF(B123="","",SUMIFS('Keyword Map'!$C$3:$C$1002,'Keyword Map'!$B$3:$B$1002,SUBSTITUTE(SUBSTITUTE(B123,"?","~?"),"*","~*")))</f>
        <v/>
      </c>
      <c r="E123">
        <f>IF(B123="","",SUMPRODUCT(('Keyword Map'!$B$3:$B$1002=B123)*(LEN('Keyword Map'!$G$3:$G$1002)&gt;0)))</f>
        <v/>
      </c>
      <c r="F123">
        <f>IF(B123="","",C123-E123)</f>
        <v/>
      </c>
      <c r="G123">
        <f>IF(B123="","",COUNTIFS('Keyword Map'!$B$3:$B$1002,SUBSTITUTE(SUBSTITUTE(B123,"?","~?"),"*","~*"),'Keyword Map'!$R$3:$R$1002,"Yes"))</f>
        <v/>
      </c>
      <c r="H123">
        <f>IF(B123="","",COUNTIFS('Keyword Map'!$B$3:$B$1002,SUBSTITUTE(SUBSTITUTE(B123,"?","~?"),"*","~*"),'Keyword Map'!$W$3:$W$1002,"Yes"))</f>
        <v/>
      </c>
      <c r="I123">
        <f>IF(B123="","",IFERROR(ROUND(AVERAGEIFS('Keyword Map'!$P$3:$P$1002,'Keyword Map'!$B$3:$B$1002,SUBSTITUTE(SUBSTITUTE(B123,"?","~?"),"*","~*")),0),""))</f>
        <v/>
      </c>
    </row>
    <row r="124">
      <c r="A124">
        <f>ROW()-2</f>
        <v/>
      </c>
      <c r="B124">
        <f>IFERROR(INDEX('Keyword Map'!$B$3:$B$1002,MATCH(A124,'Keyword Map'!$AB$3:$AB$1002,0)),"")</f>
        <v/>
      </c>
      <c r="C124">
        <f>IF(B124="","",COUNTIF('Keyword Map'!$B$3:$B$1002,SUBSTITUTE(SUBSTITUTE(B124,"?","~?"),"*","~*")))</f>
        <v/>
      </c>
      <c r="D124">
        <f>IF(B124="","",SUMIFS('Keyword Map'!$C$3:$C$1002,'Keyword Map'!$B$3:$B$1002,SUBSTITUTE(SUBSTITUTE(B124,"?","~?"),"*","~*")))</f>
        <v/>
      </c>
      <c r="E124">
        <f>IF(B124="","",SUMPRODUCT(('Keyword Map'!$B$3:$B$1002=B124)*(LEN('Keyword Map'!$G$3:$G$1002)&gt;0)))</f>
        <v/>
      </c>
      <c r="F124">
        <f>IF(B124="","",C124-E124)</f>
        <v/>
      </c>
      <c r="G124">
        <f>IF(B124="","",COUNTIFS('Keyword Map'!$B$3:$B$1002,SUBSTITUTE(SUBSTITUTE(B124,"?","~?"),"*","~*"),'Keyword Map'!$R$3:$R$1002,"Yes"))</f>
        <v/>
      </c>
      <c r="H124">
        <f>IF(B124="","",COUNTIFS('Keyword Map'!$B$3:$B$1002,SUBSTITUTE(SUBSTITUTE(B124,"?","~?"),"*","~*"),'Keyword Map'!$W$3:$W$1002,"Yes"))</f>
        <v/>
      </c>
      <c r="I124">
        <f>IF(B124="","",IFERROR(ROUND(AVERAGEIFS('Keyword Map'!$P$3:$P$1002,'Keyword Map'!$B$3:$B$1002,SUBSTITUTE(SUBSTITUTE(B124,"?","~?"),"*","~*")),0),""))</f>
        <v/>
      </c>
    </row>
    <row r="125">
      <c r="A125">
        <f>ROW()-2</f>
        <v/>
      </c>
      <c r="B125">
        <f>IFERROR(INDEX('Keyword Map'!$B$3:$B$1002,MATCH(A125,'Keyword Map'!$AB$3:$AB$1002,0)),"")</f>
        <v/>
      </c>
      <c r="C125">
        <f>IF(B125="","",COUNTIF('Keyword Map'!$B$3:$B$1002,SUBSTITUTE(SUBSTITUTE(B125,"?","~?"),"*","~*")))</f>
        <v/>
      </c>
      <c r="D125">
        <f>IF(B125="","",SUMIFS('Keyword Map'!$C$3:$C$1002,'Keyword Map'!$B$3:$B$1002,SUBSTITUTE(SUBSTITUTE(B125,"?","~?"),"*","~*")))</f>
        <v/>
      </c>
      <c r="E125">
        <f>IF(B125="","",SUMPRODUCT(('Keyword Map'!$B$3:$B$1002=B125)*(LEN('Keyword Map'!$G$3:$G$1002)&gt;0)))</f>
        <v/>
      </c>
      <c r="F125">
        <f>IF(B125="","",C125-E125)</f>
        <v/>
      </c>
      <c r="G125">
        <f>IF(B125="","",COUNTIFS('Keyword Map'!$B$3:$B$1002,SUBSTITUTE(SUBSTITUTE(B125,"?","~?"),"*","~*"),'Keyword Map'!$R$3:$R$1002,"Yes"))</f>
        <v/>
      </c>
      <c r="H125">
        <f>IF(B125="","",COUNTIFS('Keyword Map'!$B$3:$B$1002,SUBSTITUTE(SUBSTITUTE(B125,"?","~?"),"*","~*"),'Keyword Map'!$W$3:$W$1002,"Yes"))</f>
        <v/>
      </c>
      <c r="I125">
        <f>IF(B125="","",IFERROR(ROUND(AVERAGEIFS('Keyword Map'!$P$3:$P$1002,'Keyword Map'!$B$3:$B$1002,SUBSTITUTE(SUBSTITUTE(B125,"?","~?"),"*","~*")),0),""))</f>
        <v/>
      </c>
    </row>
    <row r="126">
      <c r="A126">
        <f>ROW()-2</f>
        <v/>
      </c>
      <c r="B126">
        <f>IFERROR(INDEX('Keyword Map'!$B$3:$B$1002,MATCH(A126,'Keyword Map'!$AB$3:$AB$1002,0)),"")</f>
        <v/>
      </c>
      <c r="C126">
        <f>IF(B126="","",COUNTIF('Keyword Map'!$B$3:$B$1002,SUBSTITUTE(SUBSTITUTE(B126,"?","~?"),"*","~*")))</f>
        <v/>
      </c>
      <c r="D126">
        <f>IF(B126="","",SUMIFS('Keyword Map'!$C$3:$C$1002,'Keyword Map'!$B$3:$B$1002,SUBSTITUTE(SUBSTITUTE(B126,"?","~?"),"*","~*")))</f>
        <v/>
      </c>
      <c r="E126">
        <f>IF(B126="","",SUMPRODUCT(('Keyword Map'!$B$3:$B$1002=B126)*(LEN('Keyword Map'!$G$3:$G$1002)&gt;0)))</f>
        <v/>
      </c>
      <c r="F126">
        <f>IF(B126="","",C126-E126)</f>
        <v/>
      </c>
      <c r="G126">
        <f>IF(B126="","",COUNTIFS('Keyword Map'!$B$3:$B$1002,SUBSTITUTE(SUBSTITUTE(B126,"?","~?"),"*","~*"),'Keyword Map'!$R$3:$R$1002,"Yes"))</f>
        <v/>
      </c>
      <c r="H126">
        <f>IF(B126="","",COUNTIFS('Keyword Map'!$B$3:$B$1002,SUBSTITUTE(SUBSTITUTE(B126,"?","~?"),"*","~*"),'Keyword Map'!$W$3:$W$1002,"Yes"))</f>
        <v/>
      </c>
      <c r="I126">
        <f>IF(B126="","",IFERROR(ROUND(AVERAGEIFS('Keyword Map'!$P$3:$P$1002,'Keyword Map'!$B$3:$B$1002,SUBSTITUTE(SUBSTITUTE(B126,"?","~?"),"*","~*")),0),""))</f>
        <v/>
      </c>
    </row>
    <row r="127">
      <c r="A127">
        <f>ROW()-2</f>
        <v/>
      </c>
      <c r="B127">
        <f>IFERROR(INDEX('Keyword Map'!$B$3:$B$1002,MATCH(A127,'Keyword Map'!$AB$3:$AB$1002,0)),"")</f>
        <v/>
      </c>
      <c r="C127">
        <f>IF(B127="","",COUNTIF('Keyword Map'!$B$3:$B$1002,SUBSTITUTE(SUBSTITUTE(B127,"?","~?"),"*","~*")))</f>
        <v/>
      </c>
      <c r="D127">
        <f>IF(B127="","",SUMIFS('Keyword Map'!$C$3:$C$1002,'Keyword Map'!$B$3:$B$1002,SUBSTITUTE(SUBSTITUTE(B127,"?","~?"),"*","~*")))</f>
        <v/>
      </c>
      <c r="E127">
        <f>IF(B127="","",SUMPRODUCT(('Keyword Map'!$B$3:$B$1002=B127)*(LEN('Keyword Map'!$G$3:$G$1002)&gt;0)))</f>
        <v/>
      </c>
      <c r="F127">
        <f>IF(B127="","",C127-E127)</f>
        <v/>
      </c>
      <c r="G127">
        <f>IF(B127="","",COUNTIFS('Keyword Map'!$B$3:$B$1002,SUBSTITUTE(SUBSTITUTE(B127,"?","~?"),"*","~*"),'Keyword Map'!$R$3:$R$1002,"Yes"))</f>
        <v/>
      </c>
      <c r="H127">
        <f>IF(B127="","",COUNTIFS('Keyword Map'!$B$3:$B$1002,SUBSTITUTE(SUBSTITUTE(B127,"?","~?"),"*","~*"),'Keyword Map'!$W$3:$W$1002,"Yes"))</f>
        <v/>
      </c>
      <c r="I127">
        <f>IF(B127="","",IFERROR(ROUND(AVERAGEIFS('Keyword Map'!$P$3:$P$1002,'Keyword Map'!$B$3:$B$1002,SUBSTITUTE(SUBSTITUTE(B127,"?","~?"),"*","~*")),0),""))</f>
        <v/>
      </c>
    </row>
    <row r="128">
      <c r="A128">
        <f>ROW()-2</f>
        <v/>
      </c>
      <c r="B128">
        <f>IFERROR(INDEX('Keyword Map'!$B$3:$B$1002,MATCH(A128,'Keyword Map'!$AB$3:$AB$1002,0)),"")</f>
        <v/>
      </c>
      <c r="C128">
        <f>IF(B128="","",COUNTIF('Keyword Map'!$B$3:$B$1002,SUBSTITUTE(SUBSTITUTE(B128,"?","~?"),"*","~*")))</f>
        <v/>
      </c>
      <c r="D128">
        <f>IF(B128="","",SUMIFS('Keyword Map'!$C$3:$C$1002,'Keyword Map'!$B$3:$B$1002,SUBSTITUTE(SUBSTITUTE(B128,"?","~?"),"*","~*")))</f>
        <v/>
      </c>
      <c r="E128">
        <f>IF(B128="","",SUMPRODUCT(('Keyword Map'!$B$3:$B$1002=B128)*(LEN('Keyword Map'!$G$3:$G$1002)&gt;0)))</f>
        <v/>
      </c>
      <c r="F128">
        <f>IF(B128="","",C128-E128)</f>
        <v/>
      </c>
      <c r="G128">
        <f>IF(B128="","",COUNTIFS('Keyword Map'!$B$3:$B$1002,SUBSTITUTE(SUBSTITUTE(B128,"?","~?"),"*","~*"),'Keyword Map'!$R$3:$R$1002,"Yes"))</f>
        <v/>
      </c>
      <c r="H128">
        <f>IF(B128="","",COUNTIFS('Keyword Map'!$B$3:$B$1002,SUBSTITUTE(SUBSTITUTE(B128,"?","~?"),"*","~*"),'Keyword Map'!$W$3:$W$1002,"Yes"))</f>
        <v/>
      </c>
      <c r="I128">
        <f>IF(B128="","",IFERROR(ROUND(AVERAGEIFS('Keyword Map'!$P$3:$P$1002,'Keyword Map'!$B$3:$B$1002,SUBSTITUTE(SUBSTITUTE(B128,"?","~?"),"*","~*")),0),""))</f>
        <v/>
      </c>
    </row>
    <row r="129">
      <c r="A129">
        <f>ROW()-2</f>
        <v/>
      </c>
      <c r="B129">
        <f>IFERROR(INDEX('Keyword Map'!$B$3:$B$1002,MATCH(A129,'Keyword Map'!$AB$3:$AB$1002,0)),"")</f>
        <v/>
      </c>
      <c r="C129">
        <f>IF(B129="","",COUNTIF('Keyword Map'!$B$3:$B$1002,SUBSTITUTE(SUBSTITUTE(B129,"?","~?"),"*","~*")))</f>
        <v/>
      </c>
      <c r="D129">
        <f>IF(B129="","",SUMIFS('Keyword Map'!$C$3:$C$1002,'Keyword Map'!$B$3:$B$1002,SUBSTITUTE(SUBSTITUTE(B129,"?","~?"),"*","~*")))</f>
        <v/>
      </c>
      <c r="E129">
        <f>IF(B129="","",SUMPRODUCT(('Keyword Map'!$B$3:$B$1002=B129)*(LEN('Keyword Map'!$G$3:$G$1002)&gt;0)))</f>
        <v/>
      </c>
      <c r="F129">
        <f>IF(B129="","",C129-E129)</f>
        <v/>
      </c>
      <c r="G129">
        <f>IF(B129="","",COUNTIFS('Keyword Map'!$B$3:$B$1002,SUBSTITUTE(SUBSTITUTE(B129,"?","~?"),"*","~*"),'Keyword Map'!$R$3:$R$1002,"Yes"))</f>
        <v/>
      </c>
      <c r="H129">
        <f>IF(B129="","",COUNTIFS('Keyword Map'!$B$3:$B$1002,SUBSTITUTE(SUBSTITUTE(B129,"?","~?"),"*","~*"),'Keyword Map'!$W$3:$W$1002,"Yes"))</f>
        <v/>
      </c>
      <c r="I129">
        <f>IF(B129="","",IFERROR(ROUND(AVERAGEIFS('Keyword Map'!$P$3:$P$1002,'Keyword Map'!$B$3:$B$1002,SUBSTITUTE(SUBSTITUTE(B129,"?","~?"),"*","~*")),0),""))</f>
        <v/>
      </c>
    </row>
    <row r="130">
      <c r="A130">
        <f>ROW()-2</f>
        <v/>
      </c>
      <c r="B130">
        <f>IFERROR(INDEX('Keyword Map'!$B$3:$B$1002,MATCH(A130,'Keyword Map'!$AB$3:$AB$1002,0)),"")</f>
        <v/>
      </c>
      <c r="C130">
        <f>IF(B130="","",COUNTIF('Keyword Map'!$B$3:$B$1002,SUBSTITUTE(SUBSTITUTE(B130,"?","~?"),"*","~*")))</f>
        <v/>
      </c>
      <c r="D130">
        <f>IF(B130="","",SUMIFS('Keyword Map'!$C$3:$C$1002,'Keyword Map'!$B$3:$B$1002,SUBSTITUTE(SUBSTITUTE(B130,"?","~?"),"*","~*")))</f>
        <v/>
      </c>
      <c r="E130">
        <f>IF(B130="","",SUMPRODUCT(('Keyword Map'!$B$3:$B$1002=B130)*(LEN('Keyword Map'!$G$3:$G$1002)&gt;0)))</f>
        <v/>
      </c>
      <c r="F130">
        <f>IF(B130="","",C130-E130)</f>
        <v/>
      </c>
      <c r="G130">
        <f>IF(B130="","",COUNTIFS('Keyword Map'!$B$3:$B$1002,SUBSTITUTE(SUBSTITUTE(B130,"?","~?"),"*","~*"),'Keyword Map'!$R$3:$R$1002,"Yes"))</f>
        <v/>
      </c>
      <c r="H130">
        <f>IF(B130="","",COUNTIFS('Keyword Map'!$B$3:$B$1002,SUBSTITUTE(SUBSTITUTE(B130,"?","~?"),"*","~*"),'Keyword Map'!$W$3:$W$1002,"Yes"))</f>
        <v/>
      </c>
      <c r="I130">
        <f>IF(B130="","",IFERROR(ROUND(AVERAGEIFS('Keyword Map'!$P$3:$P$1002,'Keyword Map'!$B$3:$B$1002,SUBSTITUTE(SUBSTITUTE(B130,"?","~?"),"*","~*")),0),""))</f>
        <v/>
      </c>
    </row>
    <row r="131">
      <c r="A131">
        <f>ROW()-2</f>
        <v/>
      </c>
      <c r="B131">
        <f>IFERROR(INDEX('Keyword Map'!$B$3:$B$1002,MATCH(A131,'Keyword Map'!$AB$3:$AB$1002,0)),"")</f>
        <v/>
      </c>
      <c r="C131">
        <f>IF(B131="","",COUNTIF('Keyword Map'!$B$3:$B$1002,SUBSTITUTE(SUBSTITUTE(B131,"?","~?"),"*","~*")))</f>
        <v/>
      </c>
      <c r="D131">
        <f>IF(B131="","",SUMIFS('Keyword Map'!$C$3:$C$1002,'Keyword Map'!$B$3:$B$1002,SUBSTITUTE(SUBSTITUTE(B131,"?","~?"),"*","~*")))</f>
        <v/>
      </c>
      <c r="E131">
        <f>IF(B131="","",SUMPRODUCT(('Keyword Map'!$B$3:$B$1002=B131)*(LEN('Keyword Map'!$G$3:$G$1002)&gt;0)))</f>
        <v/>
      </c>
      <c r="F131">
        <f>IF(B131="","",C131-E131)</f>
        <v/>
      </c>
      <c r="G131">
        <f>IF(B131="","",COUNTIFS('Keyword Map'!$B$3:$B$1002,SUBSTITUTE(SUBSTITUTE(B131,"?","~?"),"*","~*"),'Keyword Map'!$R$3:$R$1002,"Yes"))</f>
        <v/>
      </c>
      <c r="H131">
        <f>IF(B131="","",COUNTIFS('Keyword Map'!$B$3:$B$1002,SUBSTITUTE(SUBSTITUTE(B131,"?","~?"),"*","~*"),'Keyword Map'!$W$3:$W$1002,"Yes"))</f>
        <v/>
      </c>
      <c r="I131">
        <f>IF(B131="","",IFERROR(ROUND(AVERAGEIFS('Keyword Map'!$P$3:$P$1002,'Keyword Map'!$B$3:$B$1002,SUBSTITUTE(SUBSTITUTE(B131,"?","~?"),"*","~*")),0),""))</f>
        <v/>
      </c>
    </row>
    <row r="132">
      <c r="A132">
        <f>ROW()-2</f>
        <v/>
      </c>
      <c r="B132">
        <f>IFERROR(INDEX('Keyword Map'!$B$3:$B$1002,MATCH(A132,'Keyword Map'!$AB$3:$AB$1002,0)),"")</f>
        <v/>
      </c>
      <c r="C132">
        <f>IF(B132="","",COUNTIF('Keyword Map'!$B$3:$B$1002,SUBSTITUTE(SUBSTITUTE(B132,"?","~?"),"*","~*")))</f>
        <v/>
      </c>
      <c r="D132">
        <f>IF(B132="","",SUMIFS('Keyword Map'!$C$3:$C$1002,'Keyword Map'!$B$3:$B$1002,SUBSTITUTE(SUBSTITUTE(B132,"?","~?"),"*","~*")))</f>
        <v/>
      </c>
      <c r="E132">
        <f>IF(B132="","",SUMPRODUCT(('Keyword Map'!$B$3:$B$1002=B132)*(LEN('Keyword Map'!$G$3:$G$1002)&gt;0)))</f>
        <v/>
      </c>
      <c r="F132">
        <f>IF(B132="","",C132-E132)</f>
        <v/>
      </c>
      <c r="G132">
        <f>IF(B132="","",COUNTIFS('Keyword Map'!$B$3:$B$1002,SUBSTITUTE(SUBSTITUTE(B132,"?","~?"),"*","~*"),'Keyword Map'!$R$3:$R$1002,"Yes"))</f>
        <v/>
      </c>
      <c r="H132">
        <f>IF(B132="","",COUNTIFS('Keyword Map'!$B$3:$B$1002,SUBSTITUTE(SUBSTITUTE(B132,"?","~?"),"*","~*"),'Keyword Map'!$W$3:$W$1002,"Yes"))</f>
        <v/>
      </c>
      <c r="I132">
        <f>IF(B132="","",IFERROR(ROUND(AVERAGEIFS('Keyword Map'!$P$3:$P$1002,'Keyword Map'!$B$3:$B$1002,SUBSTITUTE(SUBSTITUTE(B132,"?","~?"),"*","~*")),0),""))</f>
        <v/>
      </c>
    </row>
    <row r="133">
      <c r="A133">
        <f>ROW()-2</f>
        <v/>
      </c>
      <c r="B133">
        <f>IFERROR(INDEX('Keyword Map'!$B$3:$B$1002,MATCH(A133,'Keyword Map'!$AB$3:$AB$1002,0)),"")</f>
        <v/>
      </c>
      <c r="C133">
        <f>IF(B133="","",COUNTIF('Keyword Map'!$B$3:$B$1002,SUBSTITUTE(SUBSTITUTE(B133,"?","~?"),"*","~*")))</f>
        <v/>
      </c>
      <c r="D133">
        <f>IF(B133="","",SUMIFS('Keyword Map'!$C$3:$C$1002,'Keyword Map'!$B$3:$B$1002,SUBSTITUTE(SUBSTITUTE(B133,"?","~?"),"*","~*")))</f>
        <v/>
      </c>
      <c r="E133">
        <f>IF(B133="","",SUMPRODUCT(('Keyword Map'!$B$3:$B$1002=B133)*(LEN('Keyword Map'!$G$3:$G$1002)&gt;0)))</f>
        <v/>
      </c>
      <c r="F133">
        <f>IF(B133="","",C133-E133)</f>
        <v/>
      </c>
      <c r="G133">
        <f>IF(B133="","",COUNTIFS('Keyword Map'!$B$3:$B$1002,SUBSTITUTE(SUBSTITUTE(B133,"?","~?"),"*","~*"),'Keyword Map'!$R$3:$R$1002,"Yes"))</f>
        <v/>
      </c>
      <c r="H133">
        <f>IF(B133="","",COUNTIFS('Keyword Map'!$B$3:$B$1002,SUBSTITUTE(SUBSTITUTE(B133,"?","~?"),"*","~*"),'Keyword Map'!$W$3:$W$1002,"Yes"))</f>
        <v/>
      </c>
      <c r="I133">
        <f>IF(B133="","",IFERROR(ROUND(AVERAGEIFS('Keyword Map'!$P$3:$P$1002,'Keyword Map'!$B$3:$B$1002,SUBSTITUTE(SUBSTITUTE(B133,"?","~?"),"*","~*")),0),""))</f>
        <v/>
      </c>
    </row>
    <row r="134">
      <c r="A134">
        <f>ROW()-2</f>
        <v/>
      </c>
      <c r="B134">
        <f>IFERROR(INDEX('Keyword Map'!$B$3:$B$1002,MATCH(A134,'Keyword Map'!$AB$3:$AB$1002,0)),"")</f>
        <v/>
      </c>
      <c r="C134">
        <f>IF(B134="","",COUNTIF('Keyword Map'!$B$3:$B$1002,SUBSTITUTE(SUBSTITUTE(B134,"?","~?"),"*","~*")))</f>
        <v/>
      </c>
      <c r="D134">
        <f>IF(B134="","",SUMIFS('Keyword Map'!$C$3:$C$1002,'Keyword Map'!$B$3:$B$1002,SUBSTITUTE(SUBSTITUTE(B134,"?","~?"),"*","~*")))</f>
        <v/>
      </c>
      <c r="E134">
        <f>IF(B134="","",SUMPRODUCT(('Keyword Map'!$B$3:$B$1002=B134)*(LEN('Keyword Map'!$G$3:$G$1002)&gt;0)))</f>
        <v/>
      </c>
      <c r="F134">
        <f>IF(B134="","",C134-E134)</f>
        <v/>
      </c>
      <c r="G134">
        <f>IF(B134="","",COUNTIFS('Keyword Map'!$B$3:$B$1002,SUBSTITUTE(SUBSTITUTE(B134,"?","~?"),"*","~*"),'Keyword Map'!$R$3:$R$1002,"Yes"))</f>
        <v/>
      </c>
      <c r="H134">
        <f>IF(B134="","",COUNTIFS('Keyword Map'!$B$3:$B$1002,SUBSTITUTE(SUBSTITUTE(B134,"?","~?"),"*","~*"),'Keyword Map'!$W$3:$W$1002,"Yes"))</f>
        <v/>
      </c>
      <c r="I134">
        <f>IF(B134="","",IFERROR(ROUND(AVERAGEIFS('Keyword Map'!$P$3:$P$1002,'Keyword Map'!$B$3:$B$1002,SUBSTITUTE(SUBSTITUTE(B134,"?","~?"),"*","~*")),0),""))</f>
        <v/>
      </c>
    </row>
    <row r="135">
      <c r="A135">
        <f>ROW()-2</f>
        <v/>
      </c>
      <c r="B135">
        <f>IFERROR(INDEX('Keyword Map'!$B$3:$B$1002,MATCH(A135,'Keyword Map'!$AB$3:$AB$1002,0)),"")</f>
        <v/>
      </c>
      <c r="C135">
        <f>IF(B135="","",COUNTIF('Keyword Map'!$B$3:$B$1002,SUBSTITUTE(SUBSTITUTE(B135,"?","~?"),"*","~*")))</f>
        <v/>
      </c>
      <c r="D135">
        <f>IF(B135="","",SUMIFS('Keyword Map'!$C$3:$C$1002,'Keyword Map'!$B$3:$B$1002,SUBSTITUTE(SUBSTITUTE(B135,"?","~?"),"*","~*")))</f>
        <v/>
      </c>
      <c r="E135">
        <f>IF(B135="","",SUMPRODUCT(('Keyword Map'!$B$3:$B$1002=B135)*(LEN('Keyword Map'!$G$3:$G$1002)&gt;0)))</f>
        <v/>
      </c>
      <c r="F135">
        <f>IF(B135="","",C135-E135)</f>
        <v/>
      </c>
      <c r="G135">
        <f>IF(B135="","",COUNTIFS('Keyword Map'!$B$3:$B$1002,SUBSTITUTE(SUBSTITUTE(B135,"?","~?"),"*","~*"),'Keyword Map'!$R$3:$R$1002,"Yes"))</f>
        <v/>
      </c>
      <c r="H135">
        <f>IF(B135="","",COUNTIFS('Keyword Map'!$B$3:$B$1002,SUBSTITUTE(SUBSTITUTE(B135,"?","~?"),"*","~*"),'Keyword Map'!$W$3:$W$1002,"Yes"))</f>
        <v/>
      </c>
      <c r="I135">
        <f>IF(B135="","",IFERROR(ROUND(AVERAGEIFS('Keyword Map'!$P$3:$P$1002,'Keyword Map'!$B$3:$B$1002,SUBSTITUTE(SUBSTITUTE(B135,"?","~?"),"*","~*")),0),""))</f>
        <v/>
      </c>
    </row>
    <row r="136">
      <c r="A136">
        <f>ROW()-2</f>
        <v/>
      </c>
      <c r="B136">
        <f>IFERROR(INDEX('Keyword Map'!$B$3:$B$1002,MATCH(A136,'Keyword Map'!$AB$3:$AB$1002,0)),"")</f>
        <v/>
      </c>
      <c r="C136">
        <f>IF(B136="","",COUNTIF('Keyword Map'!$B$3:$B$1002,SUBSTITUTE(SUBSTITUTE(B136,"?","~?"),"*","~*")))</f>
        <v/>
      </c>
      <c r="D136">
        <f>IF(B136="","",SUMIFS('Keyword Map'!$C$3:$C$1002,'Keyword Map'!$B$3:$B$1002,SUBSTITUTE(SUBSTITUTE(B136,"?","~?"),"*","~*")))</f>
        <v/>
      </c>
      <c r="E136">
        <f>IF(B136="","",SUMPRODUCT(('Keyword Map'!$B$3:$B$1002=B136)*(LEN('Keyword Map'!$G$3:$G$1002)&gt;0)))</f>
        <v/>
      </c>
      <c r="F136">
        <f>IF(B136="","",C136-E136)</f>
        <v/>
      </c>
      <c r="G136">
        <f>IF(B136="","",COUNTIFS('Keyword Map'!$B$3:$B$1002,SUBSTITUTE(SUBSTITUTE(B136,"?","~?"),"*","~*"),'Keyword Map'!$R$3:$R$1002,"Yes"))</f>
        <v/>
      </c>
      <c r="H136">
        <f>IF(B136="","",COUNTIFS('Keyword Map'!$B$3:$B$1002,SUBSTITUTE(SUBSTITUTE(B136,"?","~?"),"*","~*"),'Keyword Map'!$W$3:$W$1002,"Yes"))</f>
        <v/>
      </c>
      <c r="I136">
        <f>IF(B136="","",IFERROR(ROUND(AVERAGEIFS('Keyword Map'!$P$3:$P$1002,'Keyword Map'!$B$3:$B$1002,SUBSTITUTE(SUBSTITUTE(B136,"?","~?"),"*","~*")),0),""))</f>
        <v/>
      </c>
    </row>
    <row r="137">
      <c r="A137">
        <f>ROW()-2</f>
        <v/>
      </c>
      <c r="B137">
        <f>IFERROR(INDEX('Keyword Map'!$B$3:$B$1002,MATCH(A137,'Keyword Map'!$AB$3:$AB$1002,0)),"")</f>
        <v/>
      </c>
      <c r="C137">
        <f>IF(B137="","",COUNTIF('Keyword Map'!$B$3:$B$1002,SUBSTITUTE(SUBSTITUTE(B137,"?","~?"),"*","~*")))</f>
        <v/>
      </c>
      <c r="D137">
        <f>IF(B137="","",SUMIFS('Keyword Map'!$C$3:$C$1002,'Keyword Map'!$B$3:$B$1002,SUBSTITUTE(SUBSTITUTE(B137,"?","~?"),"*","~*")))</f>
        <v/>
      </c>
      <c r="E137">
        <f>IF(B137="","",SUMPRODUCT(('Keyword Map'!$B$3:$B$1002=B137)*(LEN('Keyword Map'!$G$3:$G$1002)&gt;0)))</f>
        <v/>
      </c>
      <c r="F137">
        <f>IF(B137="","",C137-E137)</f>
        <v/>
      </c>
      <c r="G137">
        <f>IF(B137="","",COUNTIFS('Keyword Map'!$B$3:$B$1002,SUBSTITUTE(SUBSTITUTE(B137,"?","~?"),"*","~*"),'Keyword Map'!$R$3:$R$1002,"Yes"))</f>
        <v/>
      </c>
      <c r="H137">
        <f>IF(B137="","",COUNTIFS('Keyword Map'!$B$3:$B$1002,SUBSTITUTE(SUBSTITUTE(B137,"?","~?"),"*","~*"),'Keyword Map'!$W$3:$W$1002,"Yes"))</f>
        <v/>
      </c>
      <c r="I137">
        <f>IF(B137="","",IFERROR(ROUND(AVERAGEIFS('Keyword Map'!$P$3:$P$1002,'Keyword Map'!$B$3:$B$1002,SUBSTITUTE(SUBSTITUTE(B137,"?","~?"),"*","~*")),0),""))</f>
        <v/>
      </c>
    </row>
    <row r="138">
      <c r="A138">
        <f>ROW()-2</f>
        <v/>
      </c>
      <c r="B138">
        <f>IFERROR(INDEX('Keyword Map'!$B$3:$B$1002,MATCH(A138,'Keyword Map'!$AB$3:$AB$1002,0)),"")</f>
        <v/>
      </c>
      <c r="C138">
        <f>IF(B138="","",COUNTIF('Keyword Map'!$B$3:$B$1002,SUBSTITUTE(SUBSTITUTE(B138,"?","~?"),"*","~*")))</f>
        <v/>
      </c>
      <c r="D138">
        <f>IF(B138="","",SUMIFS('Keyword Map'!$C$3:$C$1002,'Keyword Map'!$B$3:$B$1002,SUBSTITUTE(SUBSTITUTE(B138,"?","~?"),"*","~*")))</f>
        <v/>
      </c>
      <c r="E138">
        <f>IF(B138="","",SUMPRODUCT(('Keyword Map'!$B$3:$B$1002=B138)*(LEN('Keyword Map'!$G$3:$G$1002)&gt;0)))</f>
        <v/>
      </c>
      <c r="F138">
        <f>IF(B138="","",C138-E138)</f>
        <v/>
      </c>
      <c r="G138">
        <f>IF(B138="","",COUNTIFS('Keyword Map'!$B$3:$B$1002,SUBSTITUTE(SUBSTITUTE(B138,"?","~?"),"*","~*"),'Keyword Map'!$R$3:$R$1002,"Yes"))</f>
        <v/>
      </c>
      <c r="H138">
        <f>IF(B138="","",COUNTIFS('Keyword Map'!$B$3:$B$1002,SUBSTITUTE(SUBSTITUTE(B138,"?","~?"),"*","~*"),'Keyword Map'!$W$3:$W$1002,"Yes"))</f>
        <v/>
      </c>
      <c r="I138">
        <f>IF(B138="","",IFERROR(ROUND(AVERAGEIFS('Keyword Map'!$P$3:$P$1002,'Keyword Map'!$B$3:$B$1002,SUBSTITUTE(SUBSTITUTE(B138,"?","~?"),"*","~*")),0),""))</f>
        <v/>
      </c>
    </row>
    <row r="139">
      <c r="A139">
        <f>ROW()-2</f>
        <v/>
      </c>
      <c r="B139">
        <f>IFERROR(INDEX('Keyword Map'!$B$3:$B$1002,MATCH(A139,'Keyword Map'!$AB$3:$AB$1002,0)),"")</f>
        <v/>
      </c>
      <c r="C139">
        <f>IF(B139="","",COUNTIF('Keyword Map'!$B$3:$B$1002,SUBSTITUTE(SUBSTITUTE(B139,"?","~?"),"*","~*")))</f>
        <v/>
      </c>
      <c r="D139">
        <f>IF(B139="","",SUMIFS('Keyword Map'!$C$3:$C$1002,'Keyword Map'!$B$3:$B$1002,SUBSTITUTE(SUBSTITUTE(B139,"?","~?"),"*","~*")))</f>
        <v/>
      </c>
      <c r="E139">
        <f>IF(B139="","",SUMPRODUCT(('Keyword Map'!$B$3:$B$1002=B139)*(LEN('Keyword Map'!$G$3:$G$1002)&gt;0)))</f>
        <v/>
      </c>
      <c r="F139">
        <f>IF(B139="","",C139-E139)</f>
        <v/>
      </c>
      <c r="G139">
        <f>IF(B139="","",COUNTIFS('Keyword Map'!$B$3:$B$1002,SUBSTITUTE(SUBSTITUTE(B139,"?","~?"),"*","~*"),'Keyword Map'!$R$3:$R$1002,"Yes"))</f>
        <v/>
      </c>
      <c r="H139">
        <f>IF(B139="","",COUNTIFS('Keyword Map'!$B$3:$B$1002,SUBSTITUTE(SUBSTITUTE(B139,"?","~?"),"*","~*"),'Keyword Map'!$W$3:$W$1002,"Yes"))</f>
        <v/>
      </c>
      <c r="I139">
        <f>IF(B139="","",IFERROR(ROUND(AVERAGEIFS('Keyword Map'!$P$3:$P$1002,'Keyword Map'!$B$3:$B$1002,SUBSTITUTE(SUBSTITUTE(B139,"?","~?"),"*","~*")),0),""))</f>
        <v/>
      </c>
    </row>
    <row r="140">
      <c r="A140">
        <f>ROW()-2</f>
        <v/>
      </c>
      <c r="B140">
        <f>IFERROR(INDEX('Keyword Map'!$B$3:$B$1002,MATCH(A140,'Keyword Map'!$AB$3:$AB$1002,0)),"")</f>
        <v/>
      </c>
      <c r="C140">
        <f>IF(B140="","",COUNTIF('Keyword Map'!$B$3:$B$1002,SUBSTITUTE(SUBSTITUTE(B140,"?","~?"),"*","~*")))</f>
        <v/>
      </c>
      <c r="D140">
        <f>IF(B140="","",SUMIFS('Keyword Map'!$C$3:$C$1002,'Keyword Map'!$B$3:$B$1002,SUBSTITUTE(SUBSTITUTE(B140,"?","~?"),"*","~*")))</f>
        <v/>
      </c>
      <c r="E140">
        <f>IF(B140="","",SUMPRODUCT(('Keyword Map'!$B$3:$B$1002=B140)*(LEN('Keyword Map'!$G$3:$G$1002)&gt;0)))</f>
        <v/>
      </c>
      <c r="F140">
        <f>IF(B140="","",C140-E140)</f>
        <v/>
      </c>
      <c r="G140">
        <f>IF(B140="","",COUNTIFS('Keyword Map'!$B$3:$B$1002,SUBSTITUTE(SUBSTITUTE(B140,"?","~?"),"*","~*"),'Keyword Map'!$R$3:$R$1002,"Yes"))</f>
        <v/>
      </c>
      <c r="H140">
        <f>IF(B140="","",COUNTIFS('Keyword Map'!$B$3:$B$1002,SUBSTITUTE(SUBSTITUTE(B140,"?","~?"),"*","~*"),'Keyword Map'!$W$3:$W$1002,"Yes"))</f>
        <v/>
      </c>
      <c r="I140">
        <f>IF(B140="","",IFERROR(ROUND(AVERAGEIFS('Keyword Map'!$P$3:$P$1002,'Keyword Map'!$B$3:$B$1002,SUBSTITUTE(SUBSTITUTE(B140,"?","~?"),"*","~*")),0),""))</f>
        <v/>
      </c>
    </row>
    <row r="141">
      <c r="A141">
        <f>ROW()-2</f>
        <v/>
      </c>
      <c r="B141">
        <f>IFERROR(INDEX('Keyword Map'!$B$3:$B$1002,MATCH(A141,'Keyword Map'!$AB$3:$AB$1002,0)),"")</f>
        <v/>
      </c>
      <c r="C141">
        <f>IF(B141="","",COUNTIF('Keyword Map'!$B$3:$B$1002,SUBSTITUTE(SUBSTITUTE(B141,"?","~?"),"*","~*")))</f>
        <v/>
      </c>
      <c r="D141">
        <f>IF(B141="","",SUMIFS('Keyword Map'!$C$3:$C$1002,'Keyword Map'!$B$3:$B$1002,SUBSTITUTE(SUBSTITUTE(B141,"?","~?"),"*","~*")))</f>
        <v/>
      </c>
      <c r="E141">
        <f>IF(B141="","",SUMPRODUCT(('Keyword Map'!$B$3:$B$1002=B141)*(LEN('Keyword Map'!$G$3:$G$1002)&gt;0)))</f>
        <v/>
      </c>
      <c r="F141">
        <f>IF(B141="","",C141-E141)</f>
        <v/>
      </c>
      <c r="G141">
        <f>IF(B141="","",COUNTIFS('Keyword Map'!$B$3:$B$1002,SUBSTITUTE(SUBSTITUTE(B141,"?","~?"),"*","~*"),'Keyword Map'!$R$3:$R$1002,"Yes"))</f>
        <v/>
      </c>
      <c r="H141">
        <f>IF(B141="","",COUNTIFS('Keyword Map'!$B$3:$B$1002,SUBSTITUTE(SUBSTITUTE(B141,"?","~?"),"*","~*"),'Keyword Map'!$W$3:$W$1002,"Yes"))</f>
        <v/>
      </c>
      <c r="I141">
        <f>IF(B141="","",IFERROR(ROUND(AVERAGEIFS('Keyword Map'!$P$3:$P$1002,'Keyword Map'!$B$3:$B$1002,SUBSTITUTE(SUBSTITUTE(B141,"?","~?"),"*","~*")),0),""))</f>
        <v/>
      </c>
    </row>
    <row r="142">
      <c r="A142">
        <f>ROW()-2</f>
        <v/>
      </c>
      <c r="B142">
        <f>IFERROR(INDEX('Keyword Map'!$B$3:$B$1002,MATCH(A142,'Keyword Map'!$AB$3:$AB$1002,0)),"")</f>
        <v/>
      </c>
      <c r="C142">
        <f>IF(B142="","",COUNTIF('Keyword Map'!$B$3:$B$1002,SUBSTITUTE(SUBSTITUTE(B142,"?","~?"),"*","~*")))</f>
        <v/>
      </c>
      <c r="D142">
        <f>IF(B142="","",SUMIFS('Keyword Map'!$C$3:$C$1002,'Keyword Map'!$B$3:$B$1002,SUBSTITUTE(SUBSTITUTE(B142,"?","~?"),"*","~*")))</f>
        <v/>
      </c>
      <c r="E142">
        <f>IF(B142="","",SUMPRODUCT(('Keyword Map'!$B$3:$B$1002=B142)*(LEN('Keyword Map'!$G$3:$G$1002)&gt;0)))</f>
        <v/>
      </c>
      <c r="F142">
        <f>IF(B142="","",C142-E142)</f>
        <v/>
      </c>
      <c r="G142">
        <f>IF(B142="","",COUNTIFS('Keyword Map'!$B$3:$B$1002,SUBSTITUTE(SUBSTITUTE(B142,"?","~?"),"*","~*"),'Keyword Map'!$R$3:$R$1002,"Yes"))</f>
        <v/>
      </c>
      <c r="H142">
        <f>IF(B142="","",COUNTIFS('Keyword Map'!$B$3:$B$1002,SUBSTITUTE(SUBSTITUTE(B142,"?","~?"),"*","~*"),'Keyword Map'!$W$3:$W$1002,"Yes"))</f>
        <v/>
      </c>
      <c r="I142">
        <f>IF(B142="","",IFERROR(ROUND(AVERAGEIFS('Keyword Map'!$P$3:$P$1002,'Keyword Map'!$B$3:$B$1002,SUBSTITUTE(SUBSTITUTE(B142,"?","~?"),"*","~*")),0),""))</f>
        <v/>
      </c>
    </row>
    <row r="143">
      <c r="A143">
        <f>ROW()-2</f>
        <v/>
      </c>
      <c r="B143">
        <f>IFERROR(INDEX('Keyword Map'!$B$3:$B$1002,MATCH(A143,'Keyword Map'!$AB$3:$AB$1002,0)),"")</f>
        <v/>
      </c>
      <c r="C143">
        <f>IF(B143="","",COUNTIF('Keyword Map'!$B$3:$B$1002,SUBSTITUTE(SUBSTITUTE(B143,"?","~?"),"*","~*")))</f>
        <v/>
      </c>
      <c r="D143">
        <f>IF(B143="","",SUMIFS('Keyword Map'!$C$3:$C$1002,'Keyword Map'!$B$3:$B$1002,SUBSTITUTE(SUBSTITUTE(B143,"?","~?"),"*","~*")))</f>
        <v/>
      </c>
      <c r="E143">
        <f>IF(B143="","",SUMPRODUCT(('Keyword Map'!$B$3:$B$1002=B143)*(LEN('Keyword Map'!$G$3:$G$1002)&gt;0)))</f>
        <v/>
      </c>
      <c r="F143">
        <f>IF(B143="","",C143-E143)</f>
        <v/>
      </c>
      <c r="G143">
        <f>IF(B143="","",COUNTIFS('Keyword Map'!$B$3:$B$1002,SUBSTITUTE(SUBSTITUTE(B143,"?","~?"),"*","~*"),'Keyword Map'!$R$3:$R$1002,"Yes"))</f>
        <v/>
      </c>
      <c r="H143">
        <f>IF(B143="","",COUNTIFS('Keyword Map'!$B$3:$B$1002,SUBSTITUTE(SUBSTITUTE(B143,"?","~?"),"*","~*"),'Keyword Map'!$W$3:$W$1002,"Yes"))</f>
        <v/>
      </c>
      <c r="I143">
        <f>IF(B143="","",IFERROR(ROUND(AVERAGEIFS('Keyword Map'!$P$3:$P$1002,'Keyword Map'!$B$3:$B$1002,SUBSTITUTE(SUBSTITUTE(B143,"?","~?"),"*","~*")),0),""))</f>
        <v/>
      </c>
    </row>
    <row r="144">
      <c r="A144">
        <f>ROW()-2</f>
        <v/>
      </c>
      <c r="B144">
        <f>IFERROR(INDEX('Keyword Map'!$B$3:$B$1002,MATCH(A144,'Keyword Map'!$AB$3:$AB$1002,0)),"")</f>
        <v/>
      </c>
      <c r="C144">
        <f>IF(B144="","",COUNTIF('Keyword Map'!$B$3:$B$1002,SUBSTITUTE(SUBSTITUTE(B144,"?","~?"),"*","~*")))</f>
        <v/>
      </c>
      <c r="D144">
        <f>IF(B144="","",SUMIFS('Keyword Map'!$C$3:$C$1002,'Keyword Map'!$B$3:$B$1002,SUBSTITUTE(SUBSTITUTE(B144,"?","~?"),"*","~*")))</f>
        <v/>
      </c>
      <c r="E144">
        <f>IF(B144="","",SUMPRODUCT(('Keyword Map'!$B$3:$B$1002=B144)*(LEN('Keyword Map'!$G$3:$G$1002)&gt;0)))</f>
        <v/>
      </c>
      <c r="F144">
        <f>IF(B144="","",C144-E144)</f>
        <v/>
      </c>
      <c r="G144">
        <f>IF(B144="","",COUNTIFS('Keyword Map'!$B$3:$B$1002,SUBSTITUTE(SUBSTITUTE(B144,"?","~?"),"*","~*"),'Keyword Map'!$R$3:$R$1002,"Yes"))</f>
        <v/>
      </c>
      <c r="H144">
        <f>IF(B144="","",COUNTIFS('Keyword Map'!$B$3:$B$1002,SUBSTITUTE(SUBSTITUTE(B144,"?","~?"),"*","~*"),'Keyword Map'!$W$3:$W$1002,"Yes"))</f>
        <v/>
      </c>
      <c r="I144">
        <f>IF(B144="","",IFERROR(ROUND(AVERAGEIFS('Keyword Map'!$P$3:$P$1002,'Keyword Map'!$B$3:$B$1002,SUBSTITUTE(SUBSTITUTE(B144,"?","~?"),"*","~*")),0),""))</f>
        <v/>
      </c>
    </row>
    <row r="145">
      <c r="A145">
        <f>ROW()-2</f>
        <v/>
      </c>
      <c r="B145">
        <f>IFERROR(INDEX('Keyword Map'!$B$3:$B$1002,MATCH(A145,'Keyword Map'!$AB$3:$AB$1002,0)),"")</f>
        <v/>
      </c>
      <c r="C145">
        <f>IF(B145="","",COUNTIF('Keyword Map'!$B$3:$B$1002,SUBSTITUTE(SUBSTITUTE(B145,"?","~?"),"*","~*")))</f>
        <v/>
      </c>
      <c r="D145">
        <f>IF(B145="","",SUMIFS('Keyword Map'!$C$3:$C$1002,'Keyword Map'!$B$3:$B$1002,SUBSTITUTE(SUBSTITUTE(B145,"?","~?"),"*","~*")))</f>
        <v/>
      </c>
      <c r="E145">
        <f>IF(B145="","",SUMPRODUCT(('Keyword Map'!$B$3:$B$1002=B145)*(LEN('Keyword Map'!$G$3:$G$1002)&gt;0)))</f>
        <v/>
      </c>
      <c r="F145">
        <f>IF(B145="","",C145-E145)</f>
        <v/>
      </c>
      <c r="G145">
        <f>IF(B145="","",COUNTIFS('Keyword Map'!$B$3:$B$1002,SUBSTITUTE(SUBSTITUTE(B145,"?","~?"),"*","~*"),'Keyword Map'!$R$3:$R$1002,"Yes"))</f>
        <v/>
      </c>
      <c r="H145">
        <f>IF(B145="","",COUNTIFS('Keyword Map'!$B$3:$B$1002,SUBSTITUTE(SUBSTITUTE(B145,"?","~?"),"*","~*"),'Keyword Map'!$W$3:$W$1002,"Yes"))</f>
        <v/>
      </c>
      <c r="I145">
        <f>IF(B145="","",IFERROR(ROUND(AVERAGEIFS('Keyword Map'!$P$3:$P$1002,'Keyword Map'!$B$3:$B$1002,SUBSTITUTE(SUBSTITUTE(B145,"?","~?"),"*","~*")),0),""))</f>
        <v/>
      </c>
    </row>
    <row r="146">
      <c r="A146">
        <f>ROW()-2</f>
        <v/>
      </c>
      <c r="B146">
        <f>IFERROR(INDEX('Keyword Map'!$B$3:$B$1002,MATCH(A146,'Keyword Map'!$AB$3:$AB$1002,0)),"")</f>
        <v/>
      </c>
      <c r="C146">
        <f>IF(B146="","",COUNTIF('Keyword Map'!$B$3:$B$1002,SUBSTITUTE(SUBSTITUTE(B146,"?","~?"),"*","~*")))</f>
        <v/>
      </c>
      <c r="D146">
        <f>IF(B146="","",SUMIFS('Keyword Map'!$C$3:$C$1002,'Keyword Map'!$B$3:$B$1002,SUBSTITUTE(SUBSTITUTE(B146,"?","~?"),"*","~*")))</f>
        <v/>
      </c>
      <c r="E146">
        <f>IF(B146="","",SUMPRODUCT(('Keyword Map'!$B$3:$B$1002=B146)*(LEN('Keyword Map'!$G$3:$G$1002)&gt;0)))</f>
        <v/>
      </c>
      <c r="F146">
        <f>IF(B146="","",C146-E146)</f>
        <v/>
      </c>
      <c r="G146">
        <f>IF(B146="","",COUNTIFS('Keyword Map'!$B$3:$B$1002,SUBSTITUTE(SUBSTITUTE(B146,"?","~?"),"*","~*"),'Keyword Map'!$R$3:$R$1002,"Yes"))</f>
        <v/>
      </c>
      <c r="H146">
        <f>IF(B146="","",COUNTIFS('Keyword Map'!$B$3:$B$1002,SUBSTITUTE(SUBSTITUTE(B146,"?","~?"),"*","~*"),'Keyword Map'!$W$3:$W$1002,"Yes"))</f>
        <v/>
      </c>
      <c r="I146">
        <f>IF(B146="","",IFERROR(ROUND(AVERAGEIFS('Keyword Map'!$P$3:$P$1002,'Keyword Map'!$B$3:$B$1002,SUBSTITUTE(SUBSTITUTE(B146,"?","~?"),"*","~*")),0),""))</f>
        <v/>
      </c>
    </row>
    <row r="147">
      <c r="A147">
        <f>ROW()-2</f>
        <v/>
      </c>
      <c r="B147">
        <f>IFERROR(INDEX('Keyword Map'!$B$3:$B$1002,MATCH(A147,'Keyword Map'!$AB$3:$AB$1002,0)),"")</f>
        <v/>
      </c>
      <c r="C147">
        <f>IF(B147="","",COUNTIF('Keyword Map'!$B$3:$B$1002,SUBSTITUTE(SUBSTITUTE(B147,"?","~?"),"*","~*")))</f>
        <v/>
      </c>
      <c r="D147">
        <f>IF(B147="","",SUMIFS('Keyword Map'!$C$3:$C$1002,'Keyword Map'!$B$3:$B$1002,SUBSTITUTE(SUBSTITUTE(B147,"?","~?"),"*","~*")))</f>
        <v/>
      </c>
      <c r="E147">
        <f>IF(B147="","",SUMPRODUCT(('Keyword Map'!$B$3:$B$1002=B147)*(LEN('Keyword Map'!$G$3:$G$1002)&gt;0)))</f>
        <v/>
      </c>
      <c r="F147">
        <f>IF(B147="","",C147-E147)</f>
        <v/>
      </c>
      <c r="G147">
        <f>IF(B147="","",COUNTIFS('Keyword Map'!$B$3:$B$1002,SUBSTITUTE(SUBSTITUTE(B147,"?","~?"),"*","~*"),'Keyword Map'!$R$3:$R$1002,"Yes"))</f>
        <v/>
      </c>
      <c r="H147">
        <f>IF(B147="","",COUNTIFS('Keyword Map'!$B$3:$B$1002,SUBSTITUTE(SUBSTITUTE(B147,"?","~?"),"*","~*"),'Keyword Map'!$W$3:$W$1002,"Yes"))</f>
        <v/>
      </c>
      <c r="I147">
        <f>IF(B147="","",IFERROR(ROUND(AVERAGEIFS('Keyword Map'!$P$3:$P$1002,'Keyword Map'!$B$3:$B$1002,SUBSTITUTE(SUBSTITUTE(B147,"?","~?"),"*","~*")),0),""))</f>
        <v/>
      </c>
    </row>
    <row r="148">
      <c r="A148">
        <f>ROW()-2</f>
        <v/>
      </c>
      <c r="B148">
        <f>IFERROR(INDEX('Keyword Map'!$B$3:$B$1002,MATCH(A148,'Keyword Map'!$AB$3:$AB$1002,0)),"")</f>
        <v/>
      </c>
      <c r="C148">
        <f>IF(B148="","",COUNTIF('Keyword Map'!$B$3:$B$1002,SUBSTITUTE(SUBSTITUTE(B148,"?","~?"),"*","~*")))</f>
        <v/>
      </c>
      <c r="D148">
        <f>IF(B148="","",SUMIFS('Keyword Map'!$C$3:$C$1002,'Keyword Map'!$B$3:$B$1002,SUBSTITUTE(SUBSTITUTE(B148,"?","~?"),"*","~*")))</f>
        <v/>
      </c>
      <c r="E148">
        <f>IF(B148="","",SUMPRODUCT(('Keyword Map'!$B$3:$B$1002=B148)*(LEN('Keyword Map'!$G$3:$G$1002)&gt;0)))</f>
        <v/>
      </c>
      <c r="F148">
        <f>IF(B148="","",C148-E148)</f>
        <v/>
      </c>
      <c r="G148">
        <f>IF(B148="","",COUNTIFS('Keyword Map'!$B$3:$B$1002,SUBSTITUTE(SUBSTITUTE(B148,"?","~?"),"*","~*"),'Keyword Map'!$R$3:$R$1002,"Yes"))</f>
        <v/>
      </c>
      <c r="H148">
        <f>IF(B148="","",COUNTIFS('Keyword Map'!$B$3:$B$1002,SUBSTITUTE(SUBSTITUTE(B148,"?","~?"),"*","~*"),'Keyword Map'!$W$3:$W$1002,"Yes"))</f>
        <v/>
      </c>
      <c r="I148">
        <f>IF(B148="","",IFERROR(ROUND(AVERAGEIFS('Keyword Map'!$P$3:$P$1002,'Keyword Map'!$B$3:$B$1002,SUBSTITUTE(SUBSTITUTE(B148,"?","~?"),"*","~*")),0),""))</f>
        <v/>
      </c>
    </row>
    <row r="149">
      <c r="A149">
        <f>ROW()-2</f>
        <v/>
      </c>
      <c r="B149">
        <f>IFERROR(INDEX('Keyword Map'!$B$3:$B$1002,MATCH(A149,'Keyword Map'!$AB$3:$AB$1002,0)),"")</f>
        <v/>
      </c>
      <c r="C149">
        <f>IF(B149="","",COUNTIF('Keyword Map'!$B$3:$B$1002,SUBSTITUTE(SUBSTITUTE(B149,"?","~?"),"*","~*")))</f>
        <v/>
      </c>
      <c r="D149">
        <f>IF(B149="","",SUMIFS('Keyword Map'!$C$3:$C$1002,'Keyword Map'!$B$3:$B$1002,SUBSTITUTE(SUBSTITUTE(B149,"?","~?"),"*","~*")))</f>
        <v/>
      </c>
      <c r="E149">
        <f>IF(B149="","",SUMPRODUCT(('Keyword Map'!$B$3:$B$1002=B149)*(LEN('Keyword Map'!$G$3:$G$1002)&gt;0)))</f>
        <v/>
      </c>
      <c r="F149">
        <f>IF(B149="","",C149-E149)</f>
        <v/>
      </c>
      <c r="G149">
        <f>IF(B149="","",COUNTIFS('Keyword Map'!$B$3:$B$1002,SUBSTITUTE(SUBSTITUTE(B149,"?","~?"),"*","~*"),'Keyword Map'!$R$3:$R$1002,"Yes"))</f>
        <v/>
      </c>
      <c r="H149">
        <f>IF(B149="","",COUNTIFS('Keyword Map'!$B$3:$B$1002,SUBSTITUTE(SUBSTITUTE(B149,"?","~?"),"*","~*"),'Keyword Map'!$W$3:$W$1002,"Yes"))</f>
        <v/>
      </c>
      <c r="I149">
        <f>IF(B149="","",IFERROR(ROUND(AVERAGEIFS('Keyword Map'!$P$3:$P$1002,'Keyword Map'!$B$3:$B$1002,SUBSTITUTE(SUBSTITUTE(B149,"?","~?"),"*","~*")),0),""))</f>
        <v/>
      </c>
    </row>
    <row r="150">
      <c r="A150">
        <f>ROW()-2</f>
        <v/>
      </c>
      <c r="B150">
        <f>IFERROR(INDEX('Keyword Map'!$B$3:$B$1002,MATCH(A150,'Keyword Map'!$AB$3:$AB$1002,0)),"")</f>
        <v/>
      </c>
      <c r="C150">
        <f>IF(B150="","",COUNTIF('Keyword Map'!$B$3:$B$1002,SUBSTITUTE(SUBSTITUTE(B150,"?","~?"),"*","~*")))</f>
        <v/>
      </c>
      <c r="D150">
        <f>IF(B150="","",SUMIFS('Keyword Map'!$C$3:$C$1002,'Keyword Map'!$B$3:$B$1002,SUBSTITUTE(SUBSTITUTE(B150,"?","~?"),"*","~*")))</f>
        <v/>
      </c>
      <c r="E150">
        <f>IF(B150="","",SUMPRODUCT(('Keyword Map'!$B$3:$B$1002=B150)*(LEN('Keyword Map'!$G$3:$G$1002)&gt;0)))</f>
        <v/>
      </c>
      <c r="F150">
        <f>IF(B150="","",C150-E150)</f>
        <v/>
      </c>
      <c r="G150">
        <f>IF(B150="","",COUNTIFS('Keyword Map'!$B$3:$B$1002,SUBSTITUTE(SUBSTITUTE(B150,"?","~?"),"*","~*"),'Keyword Map'!$R$3:$R$1002,"Yes"))</f>
        <v/>
      </c>
      <c r="H150">
        <f>IF(B150="","",COUNTIFS('Keyword Map'!$B$3:$B$1002,SUBSTITUTE(SUBSTITUTE(B150,"?","~?"),"*","~*"),'Keyword Map'!$W$3:$W$1002,"Yes"))</f>
        <v/>
      </c>
      <c r="I150">
        <f>IF(B150="","",IFERROR(ROUND(AVERAGEIFS('Keyword Map'!$P$3:$P$1002,'Keyword Map'!$B$3:$B$1002,SUBSTITUTE(SUBSTITUTE(B150,"?","~?"),"*","~*")),0),""))</f>
        <v/>
      </c>
    </row>
    <row r="151">
      <c r="A151">
        <f>ROW()-2</f>
        <v/>
      </c>
      <c r="B151">
        <f>IFERROR(INDEX('Keyword Map'!$B$3:$B$1002,MATCH(A151,'Keyword Map'!$AB$3:$AB$1002,0)),"")</f>
        <v/>
      </c>
      <c r="C151">
        <f>IF(B151="","",COUNTIF('Keyword Map'!$B$3:$B$1002,SUBSTITUTE(SUBSTITUTE(B151,"?","~?"),"*","~*")))</f>
        <v/>
      </c>
      <c r="D151">
        <f>IF(B151="","",SUMIFS('Keyword Map'!$C$3:$C$1002,'Keyword Map'!$B$3:$B$1002,SUBSTITUTE(SUBSTITUTE(B151,"?","~?"),"*","~*")))</f>
        <v/>
      </c>
      <c r="E151">
        <f>IF(B151="","",SUMPRODUCT(('Keyword Map'!$B$3:$B$1002=B151)*(LEN('Keyword Map'!$G$3:$G$1002)&gt;0)))</f>
        <v/>
      </c>
      <c r="F151">
        <f>IF(B151="","",C151-E151)</f>
        <v/>
      </c>
      <c r="G151">
        <f>IF(B151="","",COUNTIFS('Keyword Map'!$B$3:$B$1002,SUBSTITUTE(SUBSTITUTE(B151,"?","~?"),"*","~*"),'Keyword Map'!$R$3:$R$1002,"Yes"))</f>
        <v/>
      </c>
      <c r="H151">
        <f>IF(B151="","",COUNTIFS('Keyword Map'!$B$3:$B$1002,SUBSTITUTE(SUBSTITUTE(B151,"?","~?"),"*","~*"),'Keyword Map'!$W$3:$W$1002,"Yes"))</f>
        <v/>
      </c>
      <c r="I151">
        <f>IF(B151="","",IFERROR(ROUND(AVERAGEIFS('Keyword Map'!$P$3:$P$1002,'Keyword Map'!$B$3:$B$1002,SUBSTITUTE(SUBSTITUTE(B151,"?","~?"),"*","~*")),0),""))</f>
        <v/>
      </c>
    </row>
    <row r="152">
      <c r="A152">
        <f>ROW()-2</f>
        <v/>
      </c>
      <c r="B152">
        <f>IFERROR(INDEX('Keyword Map'!$B$3:$B$1002,MATCH(A152,'Keyword Map'!$AB$3:$AB$1002,0)),"")</f>
        <v/>
      </c>
      <c r="C152">
        <f>IF(B152="","",COUNTIF('Keyword Map'!$B$3:$B$1002,SUBSTITUTE(SUBSTITUTE(B152,"?","~?"),"*","~*")))</f>
        <v/>
      </c>
      <c r="D152">
        <f>IF(B152="","",SUMIFS('Keyword Map'!$C$3:$C$1002,'Keyword Map'!$B$3:$B$1002,SUBSTITUTE(SUBSTITUTE(B152,"?","~?"),"*","~*")))</f>
        <v/>
      </c>
      <c r="E152">
        <f>IF(B152="","",SUMPRODUCT(('Keyword Map'!$B$3:$B$1002=B152)*(LEN('Keyword Map'!$G$3:$G$1002)&gt;0)))</f>
        <v/>
      </c>
      <c r="F152">
        <f>IF(B152="","",C152-E152)</f>
        <v/>
      </c>
      <c r="G152">
        <f>IF(B152="","",COUNTIFS('Keyword Map'!$B$3:$B$1002,SUBSTITUTE(SUBSTITUTE(B152,"?","~?"),"*","~*"),'Keyword Map'!$R$3:$R$1002,"Yes"))</f>
        <v/>
      </c>
      <c r="H152">
        <f>IF(B152="","",COUNTIFS('Keyword Map'!$B$3:$B$1002,SUBSTITUTE(SUBSTITUTE(B152,"?","~?"),"*","~*"),'Keyword Map'!$W$3:$W$1002,"Yes"))</f>
        <v/>
      </c>
      <c r="I152">
        <f>IF(B152="","",IFERROR(ROUND(AVERAGEIFS('Keyword Map'!$P$3:$P$1002,'Keyword Map'!$B$3:$B$1002,SUBSTITUTE(SUBSTITUTE(B152,"?","~?"),"*","~*")),0),""))</f>
        <v/>
      </c>
    </row>
    <row r="153">
      <c r="A153">
        <f>ROW()-2</f>
        <v/>
      </c>
      <c r="B153">
        <f>IFERROR(INDEX('Keyword Map'!$B$3:$B$1002,MATCH(A153,'Keyword Map'!$AB$3:$AB$1002,0)),"")</f>
        <v/>
      </c>
      <c r="C153">
        <f>IF(B153="","",COUNTIF('Keyword Map'!$B$3:$B$1002,SUBSTITUTE(SUBSTITUTE(B153,"?","~?"),"*","~*")))</f>
        <v/>
      </c>
      <c r="D153">
        <f>IF(B153="","",SUMIFS('Keyword Map'!$C$3:$C$1002,'Keyword Map'!$B$3:$B$1002,SUBSTITUTE(SUBSTITUTE(B153,"?","~?"),"*","~*")))</f>
        <v/>
      </c>
      <c r="E153">
        <f>IF(B153="","",SUMPRODUCT(('Keyword Map'!$B$3:$B$1002=B153)*(LEN('Keyword Map'!$G$3:$G$1002)&gt;0)))</f>
        <v/>
      </c>
      <c r="F153">
        <f>IF(B153="","",C153-E153)</f>
        <v/>
      </c>
      <c r="G153">
        <f>IF(B153="","",COUNTIFS('Keyword Map'!$B$3:$B$1002,SUBSTITUTE(SUBSTITUTE(B153,"?","~?"),"*","~*"),'Keyword Map'!$R$3:$R$1002,"Yes"))</f>
        <v/>
      </c>
      <c r="H153">
        <f>IF(B153="","",COUNTIFS('Keyword Map'!$B$3:$B$1002,SUBSTITUTE(SUBSTITUTE(B153,"?","~?"),"*","~*"),'Keyword Map'!$W$3:$W$1002,"Yes"))</f>
        <v/>
      </c>
      <c r="I153">
        <f>IF(B153="","",IFERROR(ROUND(AVERAGEIFS('Keyword Map'!$P$3:$P$1002,'Keyword Map'!$B$3:$B$1002,SUBSTITUTE(SUBSTITUTE(B153,"?","~?"),"*","~*")),0),""))</f>
        <v/>
      </c>
    </row>
    <row r="154">
      <c r="A154">
        <f>ROW()-2</f>
        <v/>
      </c>
      <c r="B154">
        <f>IFERROR(INDEX('Keyword Map'!$B$3:$B$1002,MATCH(A154,'Keyword Map'!$AB$3:$AB$1002,0)),"")</f>
        <v/>
      </c>
      <c r="C154">
        <f>IF(B154="","",COUNTIF('Keyword Map'!$B$3:$B$1002,SUBSTITUTE(SUBSTITUTE(B154,"?","~?"),"*","~*")))</f>
        <v/>
      </c>
      <c r="D154">
        <f>IF(B154="","",SUMIFS('Keyword Map'!$C$3:$C$1002,'Keyword Map'!$B$3:$B$1002,SUBSTITUTE(SUBSTITUTE(B154,"?","~?"),"*","~*")))</f>
        <v/>
      </c>
      <c r="E154">
        <f>IF(B154="","",SUMPRODUCT(('Keyword Map'!$B$3:$B$1002=B154)*(LEN('Keyword Map'!$G$3:$G$1002)&gt;0)))</f>
        <v/>
      </c>
      <c r="F154">
        <f>IF(B154="","",C154-E154)</f>
        <v/>
      </c>
      <c r="G154">
        <f>IF(B154="","",COUNTIFS('Keyword Map'!$B$3:$B$1002,SUBSTITUTE(SUBSTITUTE(B154,"?","~?"),"*","~*"),'Keyword Map'!$R$3:$R$1002,"Yes"))</f>
        <v/>
      </c>
      <c r="H154">
        <f>IF(B154="","",COUNTIFS('Keyword Map'!$B$3:$B$1002,SUBSTITUTE(SUBSTITUTE(B154,"?","~?"),"*","~*"),'Keyword Map'!$W$3:$W$1002,"Yes"))</f>
        <v/>
      </c>
      <c r="I154">
        <f>IF(B154="","",IFERROR(ROUND(AVERAGEIFS('Keyword Map'!$P$3:$P$1002,'Keyword Map'!$B$3:$B$1002,SUBSTITUTE(SUBSTITUTE(B154,"?","~?"),"*","~*")),0),""))</f>
        <v/>
      </c>
    </row>
    <row r="155">
      <c r="A155">
        <f>ROW()-2</f>
        <v/>
      </c>
      <c r="B155">
        <f>IFERROR(INDEX('Keyword Map'!$B$3:$B$1002,MATCH(A155,'Keyword Map'!$AB$3:$AB$1002,0)),"")</f>
        <v/>
      </c>
      <c r="C155">
        <f>IF(B155="","",COUNTIF('Keyword Map'!$B$3:$B$1002,SUBSTITUTE(SUBSTITUTE(B155,"?","~?"),"*","~*")))</f>
        <v/>
      </c>
      <c r="D155">
        <f>IF(B155="","",SUMIFS('Keyword Map'!$C$3:$C$1002,'Keyword Map'!$B$3:$B$1002,SUBSTITUTE(SUBSTITUTE(B155,"?","~?"),"*","~*")))</f>
        <v/>
      </c>
      <c r="E155">
        <f>IF(B155="","",SUMPRODUCT(('Keyword Map'!$B$3:$B$1002=B155)*(LEN('Keyword Map'!$G$3:$G$1002)&gt;0)))</f>
        <v/>
      </c>
      <c r="F155">
        <f>IF(B155="","",C155-E155)</f>
        <v/>
      </c>
      <c r="G155">
        <f>IF(B155="","",COUNTIFS('Keyword Map'!$B$3:$B$1002,SUBSTITUTE(SUBSTITUTE(B155,"?","~?"),"*","~*"),'Keyword Map'!$R$3:$R$1002,"Yes"))</f>
        <v/>
      </c>
      <c r="H155">
        <f>IF(B155="","",COUNTIFS('Keyword Map'!$B$3:$B$1002,SUBSTITUTE(SUBSTITUTE(B155,"?","~?"),"*","~*"),'Keyword Map'!$W$3:$W$1002,"Yes"))</f>
        <v/>
      </c>
      <c r="I155">
        <f>IF(B155="","",IFERROR(ROUND(AVERAGEIFS('Keyword Map'!$P$3:$P$1002,'Keyword Map'!$B$3:$B$1002,SUBSTITUTE(SUBSTITUTE(B155,"?","~?"),"*","~*")),0),""))</f>
        <v/>
      </c>
    </row>
    <row r="156">
      <c r="A156">
        <f>ROW()-2</f>
        <v/>
      </c>
      <c r="B156">
        <f>IFERROR(INDEX('Keyword Map'!$B$3:$B$1002,MATCH(A156,'Keyword Map'!$AB$3:$AB$1002,0)),"")</f>
        <v/>
      </c>
      <c r="C156">
        <f>IF(B156="","",COUNTIF('Keyword Map'!$B$3:$B$1002,SUBSTITUTE(SUBSTITUTE(B156,"?","~?"),"*","~*")))</f>
        <v/>
      </c>
      <c r="D156">
        <f>IF(B156="","",SUMIFS('Keyword Map'!$C$3:$C$1002,'Keyword Map'!$B$3:$B$1002,SUBSTITUTE(SUBSTITUTE(B156,"?","~?"),"*","~*")))</f>
        <v/>
      </c>
      <c r="E156">
        <f>IF(B156="","",SUMPRODUCT(('Keyword Map'!$B$3:$B$1002=B156)*(LEN('Keyword Map'!$G$3:$G$1002)&gt;0)))</f>
        <v/>
      </c>
      <c r="F156">
        <f>IF(B156="","",C156-E156)</f>
        <v/>
      </c>
      <c r="G156">
        <f>IF(B156="","",COUNTIFS('Keyword Map'!$B$3:$B$1002,SUBSTITUTE(SUBSTITUTE(B156,"?","~?"),"*","~*"),'Keyword Map'!$R$3:$R$1002,"Yes"))</f>
        <v/>
      </c>
      <c r="H156">
        <f>IF(B156="","",COUNTIFS('Keyword Map'!$B$3:$B$1002,SUBSTITUTE(SUBSTITUTE(B156,"?","~?"),"*","~*"),'Keyword Map'!$W$3:$W$1002,"Yes"))</f>
        <v/>
      </c>
      <c r="I156">
        <f>IF(B156="","",IFERROR(ROUND(AVERAGEIFS('Keyword Map'!$P$3:$P$1002,'Keyword Map'!$B$3:$B$1002,SUBSTITUTE(SUBSTITUTE(B156,"?","~?"),"*","~*")),0),""))</f>
        <v/>
      </c>
    </row>
    <row r="157">
      <c r="A157">
        <f>ROW()-2</f>
        <v/>
      </c>
      <c r="B157">
        <f>IFERROR(INDEX('Keyword Map'!$B$3:$B$1002,MATCH(A157,'Keyword Map'!$AB$3:$AB$1002,0)),"")</f>
        <v/>
      </c>
      <c r="C157">
        <f>IF(B157="","",COUNTIF('Keyword Map'!$B$3:$B$1002,SUBSTITUTE(SUBSTITUTE(B157,"?","~?"),"*","~*")))</f>
        <v/>
      </c>
      <c r="D157">
        <f>IF(B157="","",SUMIFS('Keyword Map'!$C$3:$C$1002,'Keyword Map'!$B$3:$B$1002,SUBSTITUTE(SUBSTITUTE(B157,"?","~?"),"*","~*")))</f>
        <v/>
      </c>
      <c r="E157">
        <f>IF(B157="","",SUMPRODUCT(('Keyword Map'!$B$3:$B$1002=B157)*(LEN('Keyword Map'!$G$3:$G$1002)&gt;0)))</f>
        <v/>
      </c>
      <c r="F157">
        <f>IF(B157="","",C157-E157)</f>
        <v/>
      </c>
      <c r="G157">
        <f>IF(B157="","",COUNTIFS('Keyword Map'!$B$3:$B$1002,SUBSTITUTE(SUBSTITUTE(B157,"?","~?"),"*","~*"),'Keyword Map'!$R$3:$R$1002,"Yes"))</f>
        <v/>
      </c>
      <c r="H157">
        <f>IF(B157="","",COUNTIFS('Keyword Map'!$B$3:$B$1002,SUBSTITUTE(SUBSTITUTE(B157,"?","~?"),"*","~*"),'Keyword Map'!$W$3:$W$1002,"Yes"))</f>
        <v/>
      </c>
      <c r="I157">
        <f>IF(B157="","",IFERROR(ROUND(AVERAGEIFS('Keyword Map'!$P$3:$P$1002,'Keyword Map'!$B$3:$B$1002,SUBSTITUTE(SUBSTITUTE(B157,"?","~?"),"*","~*")),0),""))</f>
        <v/>
      </c>
    </row>
    <row r="158">
      <c r="A158">
        <f>ROW()-2</f>
        <v/>
      </c>
      <c r="B158">
        <f>IFERROR(INDEX('Keyword Map'!$B$3:$B$1002,MATCH(A158,'Keyword Map'!$AB$3:$AB$1002,0)),"")</f>
        <v/>
      </c>
      <c r="C158">
        <f>IF(B158="","",COUNTIF('Keyword Map'!$B$3:$B$1002,SUBSTITUTE(SUBSTITUTE(B158,"?","~?"),"*","~*")))</f>
        <v/>
      </c>
      <c r="D158">
        <f>IF(B158="","",SUMIFS('Keyword Map'!$C$3:$C$1002,'Keyword Map'!$B$3:$B$1002,SUBSTITUTE(SUBSTITUTE(B158,"?","~?"),"*","~*")))</f>
        <v/>
      </c>
      <c r="E158">
        <f>IF(B158="","",SUMPRODUCT(('Keyword Map'!$B$3:$B$1002=B158)*(LEN('Keyword Map'!$G$3:$G$1002)&gt;0)))</f>
        <v/>
      </c>
      <c r="F158">
        <f>IF(B158="","",C158-E158)</f>
        <v/>
      </c>
      <c r="G158">
        <f>IF(B158="","",COUNTIFS('Keyword Map'!$B$3:$B$1002,SUBSTITUTE(SUBSTITUTE(B158,"?","~?"),"*","~*"),'Keyword Map'!$R$3:$R$1002,"Yes"))</f>
        <v/>
      </c>
      <c r="H158">
        <f>IF(B158="","",COUNTIFS('Keyword Map'!$B$3:$B$1002,SUBSTITUTE(SUBSTITUTE(B158,"?","~?"),"*","~*"),'Keyword Map'!$W$3:$W$1002,"Yes"))</f>
        <v/>
      </c>
      <c r="I158">
        <f>IF(B158="","",IFERROR(ROUND(AVERAGEIFS('Keyword Map'!$P$3:$P$1002,'Keyword Map'!$B$3:$B$1002,SUBSTITUTE(SUBSTITUTE(B158,"?","~?"),"*","~*")),0),""))</f>
        <v/>
      </c>
    </row>
    <row r="159">
      <c r="A159">
        <f>ROW()-2</f>
        <v/>
      </c>
      <c r="B159">
        <f>IFERROR(INDEX('Keyword Map'!$B$3:$B$1002,MATCH(A159,'Keyword Map'!$AB$3:$AB$1002,0)),"")</f>
        <v/>
      </c>
      <c r="C159">
        <f>IF(B159="","",COUNTIF('Keyword Map'!$B$3:$B$1002,SUBSTITUTE(SUBSTITUTE(B159,"?","~?"),"*","~*")))</f>
        <v/>
      </c>
      <c r="D159">
        <f>IF(B159="","",SUMIFS('Keyword Map'!$C$3:$C$1002,'Keyword Map'!$B$3:$B$1002,SUBSTITUTE(SUBSTITUTE(B159,"?","~?"),"*","~*")))</f>
        <v/>
      </c>
      <c r="E159">
        <f>IF(B159="","",SUMPRODUCT(('Keyword Map'!$B$3:$B$1002=B159)*(LEN('Keyword Map'!$G$3:$G$1002)&gt;0)))</f>
        <v/>
      </c>
      <c r="F159">
        <f>IF(B159="","",C159-E159)</f>
        <v/>
      </c>
      <c r="G159">
        <f>IF(B159="","",COUNTIFS('Keyword Map'!$B$3:$B$1002,SUBSTITUTE(SUBSTITUTE(B159,"?","~?"),"*","~*"),'Keyword Map'!$R$3:$R$1002,"Yes"))</f>
        <v/>
      </c>
      <c r="H159">
        <f>IF(B159="","",COUNTIFS('Keyword Map'!$B$3:$B$1002,SUBSTITUTE(SUBSTITUTE(B159,"?","~?"),"*","~*"),'Keyword Map'!$W$3:$W$1002,"Yes"))</f>
        <v/>
      </c>
      <c r="I159">
        <f>IF(B159="","",IFERROR(ROUND(AVERAGEIFS('Keyword Map'!$P$3:$P$1002,'Keyword Map'!$B$3:$B$1002,SUBSTITUTE(SUBSTITUTE(B159,"?","~?"),"*","~*")),0),""))</f>
        <v/>
      </c>
    </row>
    <row r="160">
      <c r="A160">
        <f>ROW()-2</f>
        <v/>
      </c>
      <c r="B160">
        <f>IFERROR(INDEX('Keyword Map'!$B$3:$B$1002,MATCH(A160,'Keyword Map'!$AB$3:$AB$1002,0)),"")</f>
        <v/>
      </c>
      <c r="C160">
        <f>IF(B160="","",COUNTIF('Keyword Map'!$B$3:$B$1002,SUBSTITUTE(SUBSTITUTE(B160,"?","~?"),"*","~*")))</f>
        <v/>
      </c>
      <c r="D160">
        <f>IF(B160="","",SUMIFS('Keyword Map'!$C$3:$C$1002,'Keyword Map'!$B$3:$B$1002,SUBSTITUTE(SUBSTITUTE(B160,"?","~?"),"*","~*")))</f>
        <v/>
      </c>
      <c r="E160">
        <f>IF(B160="","",SUMPRODUCT(('Keyword Map'!$B$3:$B$1002=B160)*(LEN('Keyword Map'!$G$3:$G$1002)&gt;0)))</f>
        <v/>
      </c>
      <c r="F160">
        <f>IF(B160="","",C160-E160)</f>
        <v/>
      </c>
      <c r="G160">
        <f>IF(B160="","",COUNTIFS('Keyword Map'!$B$3:$B$1002,SUBSTITUTE(SUBSTITUTE(B160,"?","~?"),"*","~*"),'Keyword Map'!$R$3:$R$1002,"Yes"))</f>
        <v/>
      </c>
      <c r="H160">
        <f>IF(B160="","",COUNTIFS('Keyword Map'!$B$3:$B$1002,SUBSTITUTE(SUBSTITUTE(B160,"?","~?"),"*","~*"),'Keyword Map'!$W$3:$W$1002,"Yes"))</f>
        <v/>
      </c>
      <c r="I160">
        <f>IF(B160="","",IFERROR(ROUND(AVERAGEIFS('Keyword Map'!$P$3:$P$1002,'Keyword Map'!$B$3:$B$1002,SUBSTITUTE(SUBSTITUTE(B160,"?","~?"),"*","~*")),0),""))</f>
        <v/>
      </c>
    </row>
    <row r="161">
      <c r="A161">
        <f>ROW()-2</f>
        <v/>
      </c>
      <c r="B161">
        <f>IFERROR(INDEX('Keyword Map'!$B$3:$B$1002,MATCH(A161,'Keyword Map'!$AB$3:$AB$1002,0)),"")</f>
        <v/>
      </c>
      <c r="C161">
        <f>IF(B161="","",COUNTIF('Keyword Map'!$B$3:$B$1002,SUBSTITUTE(SUBSTITUTE(B161,"?","~?"),"*","~*")))</f>
        <v/>
      </c>
      <c r="D161">
        <f>IF(B161="","",SUMIFS('Keyword Map'!$C$3:$C$1002,'Keyword Map'!$B$3:$B$1002,SUBSTITUTE(SUBSTITUTE(B161,"?","~?"),"*","~*")))</f>
        <v/>
      </c>
      <c r="E161">
        <f>IF(B161="","",SUMPRODUCT(('Keyword Map'!$B$3:$B$1002=B161)*(LEN('Keyword Map'!$G$3:$G$1002)&gt;0)))</f>
        <v/>
      </c>
      <c r="F161">
        <f>IF(B161="","",C161-E161)</f>
        <v/>
      </c>
      <c r="G161">
        <f>IF(B161="","",COUNTIFS('Keyword Map'!$B$3:$B$1002,SUBSTITUTE(SUBSTITUTE(B161,"?","~?"),"*","~*"),'Keyword Map'!$R$3:$R$1002,"Yes"))</f>
        <v/>
      </c>
      <c r="H161">
        <f>IF(B161="","",COUNTIFS('Keyword Map'!$B$3:$B$1002,SUBSTITUTE(SUBSTITUTE(B161,"?","~?"),"*","~*"),'Keyword Map'!$W$3:$W$1002,"Yes"))</f>
        <v/>
      </c>
      <c r="I161">
        <f>IF(B161="","",IFERROR(ROUND(AVERAGEIFS('Keyword Map'!$P$3:$P$1002,'Keyword Map'!$B$3:$B$1002,SUBSTITUTE(SUBSTITUTE(B161,"?","~?"),"*","~*")),0),""))</f>
        <v/>
      </c>
    </row>
    <row r="162">
      <c r="A162">
        <f>ROW()-2</f>
        <v/>
      </c>
      <c r="B162">
        <f>IFERROR(INDEX('Keyword Map'!$B$3:$B$1002,MATCH(A162,'Keyword Map'!$AB$3:$AB$1002,0)),"")</f>
        <v/>
      </c>
      <c r="C162">
        <f>IF(B162="","",COUNTIF('Keyword Map'!$B$3:$B$1002,SUBSTITUTE(SUBSTITUTE(B162,"?","~?"),"*","~*")))</f>
        <v/>
      </c>
      <c r="D162">
        <f>IF(B162="","",SUMIFS('Keyword Map'!$C$3:$C$1002,'Keyword Map'!$B$3:$B$1002,SUBSTITUTE(SUBSTITUTE(B162,"?","~?"),"*","~*")))</f>
        <v/>
      </c>
      <c r="E162">
        <f>IF(B162="","",SUMPRODUCT(('Keyword Map'!$B$3:$B$1002=B162)*(LEN('Keyword Map'!$G$3:$G$1002)&gt;0)))</f>
        <v/>
      </c>
      <c r="F162">
        <f>IF(B162="","",C162-E162)</f>
        <v/>
      </c>
      <c r="G162">
        <f>IF(B162="","",COUNTIFS('Keyword Map'!$B$3:$B$1002,SUBSTITUTE(SUBSTITUTE(B162,"?","~?"),"*","~*"),'Keyword Map'!$R$3:$R$1002,"Yes"))</f>
        <v/>
      </c>
      <c r="H162">
        <f>IF(B162="","",COUNTIFS('Keyword Map'!$B$3:$B$1002,SUBSTITUTE(SUBSTITUTE(B162,"?","~?"),"*","~*"),'Keyword Map'!$W$3:$W$1002,"Yes"))</f>
        <v/>
      </c>
      <c r="I162">
        <f>IF(B162="","",IFERROR(ROUND(AVERAGEIFS('Keyword Map'!$P$3:$P$1002,'Keyword Map'!$B$3:$B$1002,SUBSTITUTE(SUBSTITUTE(B162,"?","~?"),"*","~*")),0),""))</f>
        <v/>
      </c>
    </row>
    <row r="163">
      <c r="A163">
        <f>ROW()-2</f>
        <v/>
      </c>
      <c r="B163">
        <f>IFERROR(INDEX('Keyword Map'!$B$3:$B$1002,MATCH(A163,'Keyword Map'!$AB$3:$AB$1002,0)),"")</f>
        <v/>
      </c>
      <c r="C163">
        <f>IF(B163="","",COUNTIF('Keyword Map'!$B$3:$B$1002,SUBSTITUTE(SUBSTITUTE(B163,"?","~?"),"*","~*")))</f>
        <v/>
      </c>
      <c r="D163">
        <f>IF(B163="","",SUMIFS('Keyword Map'!$C$3:$C$1002,'Keyword Map'!$B$3:$B$1002,SUBSTITUTE(SUBSTITUTE(B163,"?","~?"),"*","~*")))</f>
        <v/>
      </c>
      <c r="E163">
        <f>IF(B163="","",SUMPRODUCT(('Keyword Map'!$B$3:$B$1002=B163)*(LEN('Keyword Map'!$G$3:$G$1002)&gt;0)))</f>
        <v/>
      </c>
      <c r="F163">
        <f>IF(B163="","",C163-E163)</f>
        <v/>
      </c>
      <c r="G163">
        <f>IF(B163="","",COUNTIFS('Keyword Map'!$B$3:$B$1002,SUBSTITUTE(SUBSTITUTE(B163,"?","~?"),"*","~*"),'Keyword Map'!$R$3:$R$1002,"Yes"))</f>
        <v/>
      </c>
      <c r="H163">
        <f>IF(B163="","",COUNTIFS('Keyword Map'!$B$3:$B$1002,SUBSTITUTE(SUBSTITUTE(B163,"?","~?"),"*","~*"),'Keyword Map'!$W$3:$W$1002,"Yes"))</f>
        <v/>
      </c>
      <c r="I163">
        <f>IF(B163="","",IFERROR(ROUND(AVERAGEIFS('Keyword Map'!$P$3:$P$1002,'Keyword Map'!$B$3:$B$1002,SUBSTITUTE(SUBSTITUTE(B163,"?","~?"),"*","~*")),0),""))</f>
        <v/>
      </c>
    </row>
    <row r="164">
      <c r="A164">
        <f>ROW()-2</f>
        <v/>
      </c>
      <c r="B164">
        <f>IFERROR(INDEX('Keyword Map'!$B$3:$B$1002,MATCH(A164,'Keyword Map'!$AB$3:$AB$1002,0)),"")</f>
        <v/>
      </c>
      <c r="C164">
        <f>IF(B164="","",COUNTIF('Keyword Map'!$B$3:$B$1002,SUBSTITUTE(SUBSTITUTE(B164,"?","~?"),"*","~*")))</f>
        <v/>
      </c>
      <c r="D164">
        <f>IF(B164="","",SUMIFS('Keyword Map'!$C$3:$C$1002,'Keyword Map'!$B$3:$B$1002,SUBSTITUTE(SUBSTITUTE(B164,"?","~?"),"*","~*")))</f>
        <v/>
      </c>
      <c r="E164">
        <f>IF(B164="","",SUMPRODUCT(('Keyword Map'!$B$3:$B$1002=B164)*(LEN('Keyword Map'!$G$3:$G$1002)&gt;0)))</f>
        <v/>
      </c>
      <c r="F164">
        <f>IF(B164="","",C164-E164)</f>
        <v/>
      </c>
      <c r="G164">
        <f>IF(B164="","",COUNTIFS('Keyword Map'!$B$3:$B$1002,SUBSTITUTE(SUBSTITUTE(B164,"?","~?"),"*","~*"),'Keyword Map'!$R$3:$R$1002,"Yes"))</f>
        <v/>
      </c>
      <c r="H164">
        <f>IF(B164="","",COUNTIFS('Keyword Map'!$B$3:$B$1002,SUBSTITUTE(SUBSTITUTE(B164,"?","~?"),"*","~*"),'Keyword Map'!$W$3:$W$1002,"Yes"))</f>
        <v/>
      </c>
      <c r="I164">
        <f>IF(B164="","",IFERROR(ROUND(AVERAGEIFS('Keyword Map'!$P$3:$P$1002,'Keyword Map'!$B$3:$B$1002,SUBSTITUTE(SUBSTITUTE(B164,"?","~?"),"*","~*")),0),""))</f>
        <v/>
      </c>
    </row>
    <row r="165">
      <c r="A165">
        <f>ROW()-2</f>
        <v/>
      </c>
      <c r="B165">
        <f>IFERROR(INDEX('Keyword Map'!$B$3:$B$1002,MATCH(A165,'Keyword Map'!$AB$3:$AB$1002,0)),"")</f>
        <v/>
      </c>
      <c r="C165">
        <f>IF(B165="","",COUNTIF('Keyword Map'!$B$3:$B$1002,SUBSTITUTE(SUBSTITUTE(B165,"?","~?"),"*","~*")))</f>
        <v/>
      </c>
      <c r="D165">
        <f>IF(B165="","",SUMIFS('Keyword Map'!$C$3:$C$1002,'Keyword Map'!$B$3:$B$1002,SUBSTITUTE(SUBSTITUTE(B165,"?","~?"),"*","~*")))</f>
        <v/>
      </c>
      <c r="E165">
        <f>IF(B165="","",SUMPRODUCT(('Keyword Map'!$B$3:$B$1002=B165)*(LEN('Keyword Map'!$G$3:$G$1002)&gt;0)))</f>
        <v/>
      </c>
      <c r="F165">
        <f>IF(B165="","",C165-E165)</f>
        <v/>
      </c>
      <c r="G165">
        <f>IF(B165="","",COUNTIFS('Keyword Map'!$B$3:$B$1002,SUBSTITUTE(SUBSTITUTE(B165,"?","~?"),"*","~*"),'Keyword Map'!$R$3:$R$1002,"Yes"))</f>
        <v/>
      </c>
      <c r="H165">
        <f>IF(B165="","",COUNTIFS('Keyword Map'!$B$3:$B$1002,SUBSTITUTE(SUBSTITUTE(B165,"?","~?"),"*","~*"),'Keyword Map'!$W$3:$W$1002,"Yes"))</f>
        <v/>
      </c>
      <c r="I165">
        <f>IF(B165="","",IFERROR(ROUND(AVERAGEIFS('Keyword Map'!$P$3:$P$1002,'Keyword Map'!$B$3:$B$1002,SUBSTITUTE(SUBSTITUTE(B165,"?","~?"),"*","~*")),0),""))</f>
        <v/>
      </c>
    </row>
    <row r="166">
      <c r="A166">
        <f>ROW()-2</f>
        <v/>
      </c>
      <c r="B166">
        <f>IFERROR(INDEX('Keyword Map'!$B$3:$B$1002,MATCH(A166,'Keyword Map'!$AB$3:$AB$1002,0)),"")</f>
        <v/>
      </c>
      <c r="C166">
        <f>IF(B166="","",COUNTIF('Keyword Map'!$B$3:$B$1002,SUBSTITUTE(SUBSTITUTE(B166,"?","~?"),"*","~*")))</f>
        <v/>
      </c>
      <c r="D166">
        <f>IF(B166="","",SUMIFS('Keyword Map'!$C$3:$C$1002,'Keyword Map'!$B$3:$B$1002,SUBSTITUTE(SUBSTITUTE(B166,"?","~?"),"*","~*")))</f>
        <v/>
      </c>
      <c r="E166">
        <f>IF(B166="","",SUMPRODUCT(('Keyword Map'!$B$3:$B$1002=B166)*(LEN('Keyword Map'!$G$3:$G$1002)&gt;0)))</f>
        <v/>
      </c>
      <c r="F166">
        <f>IF(B166="","",C166-E166)</f>
        <v/>
      </c>
      <c r="G166">
        <f>IF(B166="","",COUNTIFS('Keyword Map'!$B$3:$B$1002,SUBSTITUTE(SUBSTITUTE(B166,"?","~?"),"*","~*"),'Keyword Map'!$R$3:$R$1002,"Yes"))</f>
        <v/>
      </c>
      <c r="H166">
        <f>IF(B166="","",COUNTIFS('Keyword Map'!$B$3:$B$1002,SUBSTITUTE(SUBSTITUTE(B166,"?","~?"),"*","~*"),'Keyword Map'!$W$3:$W$1002,"Yes"))</f>
        <v/>
      </c>
      <c r="I166">
        <f>IF(B166="","",IFERROR(ROUND(AVERAGEIFS('Keyword Map'!$P$3:$P$1002,'Keyword Map'!$B$3:$B$1002,SUBSTITUTE(SUBSTITUTE(B166,"?","~?"),"*","~*")),0),""))</f>
        <v/>
      </c>
    </row>
    <row r="167">
      <c r="A167">
        <f>ROW()-2</f>
        <v/>
      </c>
      <c r="B167">
        <f>IFERROR(INDEX('Keyword Map'!$B$3:$B$1002,MATCH(A167,'Keyword Map'!$AB$3:$AB$1002,0)),"")</f>
        <v/>
      </c>
      <c r="C167">
        <f>IF(B167="","",COUNTIF('Keyword Map'!$B$3:$B$1002,SUBSTITUTE(SUBSTITUTE(B167,"?","~?"),"*","~*")))</f>
        <v/>
      </c>
      <c r="D167">
        <f>IF(B167="","",SUMIFS('Keyword Map'!$C$3:$C$1002,'Keyword Map'!$B$3:$B$1002,SUBSTITUTE(SUBSTITUTE(B167,"?","~?"),"*","~*")))</f>
        <v/>
      </c>
      <c r="E167">
        <f>IF(B167="","",SUMPRODUCT(('Keyword Map'!$B$3:$B$1002=B167)*(LEN('Keyword Map'!$G$3:$G$1002)&gt;0)))</f>
        <v/>
      </c>
      <c r="F167">
        <f>IF(B167="","",C167-E167)</f>
        <v/>
      </c>
      <c r="G167">
        <f>IF(B167="","",COUNTIFS('Keyword Map'!$B$3:$B$1002,SUBSTITUTE(SUBSTITUTE(B167,"?","~?"),"*","~*"),'Keyword Map'!$R$3:$R$1002,"Yes"))</f>
        <v/>
      </c>
      <c r="H167">
        <f>IF(B167="","",COUNTIFS('Keyword Map'!$B$3:$B$1002,SUBSTITUTE(SUBSTITUTE(B167,"?","~?"),"*","~*"),'Keyword Map'!$W$3:$W$1002,"Yes"))</f>
        <v/>
      </c>
      <c r="I167">
        <f>IF(B167="","",IFERROR(ROUND(AVERAGEIFS('Keyword Map'!$P$3:$P$1002,'Keyword Map'!$B$3:$B$1002,SUBSTITUTE(SUBSTITUTE(B167,"?","~?"),"*","~*")),0),""))</f>
        <v/>
      </c>
    </row>
    <row r="168">
      <c r="A168">
        <f>ROW()-2</f>
        <v/>
      </c>
      <c r="B168">
        <f>IFERROR(INDEX('Keyword Map'!$B$3:$B$1002,MATCH(A168,'Keyword Map'!$AB$3:$AB$1002,0)),"")</f>
        <v/>
      </c>
      <c r="C168">
        <f>IF(B168="","",COUNTIF('Keyword Map'!$B$3:$B$1002,SUBSTITUTE(SUBSTITUTE(B168,"?","~?"),"*","~*")))</f>
        <v/>
      </c>
      <c r="D168">
        <f>IF(B168="","",SUMIFS('Keyword Map'!$C$3:$C$1002,'Keyword Map'!$B$3:$B$1002,SUBSTITUTE(SUBSTITUTE(B168,"?","~?"),"*","~*")))</f>
        <v/>
      </c>
      <c r="E168">
        <f>IF(B168="","",SUMPRODUCT(('Keyword Map'!$B$3:$B$1002=B168)*(LEN('Keyword Map'!$G$3:$G$1002)&gt;0)))</f>
        <v/>
      </c>
      <c r="F168">
        <f>IF(B168="","",C168-E168)</f>
        <v/>
      </c>
      <c r="G168">
        <f>IF(B168="","",COUNTIFS('Keyword Map'!$B$3:$B$1002,SUBSTITUTE(SUBSTITUTE(B168,"?","~?"),"*","~*"),'Keyword Map'!$R$3:$R$1002,"Yes"))</f>
        <v/>
      </c>
      <c r="H168">
        <f>IF(B168="","",COUNTIFS('Keyword Map'!$B$3:$B$1002,SUBSTITUTE(SUBSTITUTE(B168,"?","~?"),"*","~*"),'Keyword Map'!$W$3:$W$1002,"Yes"))</f>
        <v/>
      </c>
      <c r="I168">
        <f>IF(B168="","",IFERROR(ROUND(AVERAGEIFS('Keyword Map'!$P$3:$P$1002,'Keyword Map'!$B$3:$B$1002,SUBSTITUTE(SUBSTITUTE(B168,"?","~?"),"*","~*")),0),""))</f>
        <v/>
      </c>
    </row>
    <row r="169">
      <c r="A169">
        <f>ROW()-2</f>
        <v/>
      </c>
      <c r="B169">
        <f>IFERROR(INDEX('Keyword Map'!$B$3:$B$1002,MATCH(A169,'Keyword Map'!$AB$3:$AB$1002,0)),"")</f>
        <v/>
      </c>
      <c r="C169">
        <f>IF(B169="","",COUNTIF('Keyword Map'!$B$3:$B$1002,SUBSTITUTE(SUBSTITUTE(B169,"?","~?"),"*","~*")))</f>
        <v/>
      </c>
      <c r="D169">
        <f>IF(B169="","",SUMIFS('Keyword Map'!$C$3:$C$1002,'Keyword Map'!$B$3:$B$1002,SUBSTITUTE(SUBSTITUTE(B169,"?","~?"),"*","~*")))</f>
        <v/>
      </c>
      <c r="E169">
        <f>IF(B169="","",SUMPRODUCT(('Keyword Map'!$B$3:$B$1002=B169)*(LEN('Keyword Map'!$G$3:$G$1002)&gt;0)))</f>
        <v/>
      </c>
      <c r="F169">
        <f>IF(B169="","",C169-E169)</f>
        <v/>
      </c>
      <c r="G169">
        <f>IF(B169="","",COUNTIFS('Keyword Map'!$B$3:$B$1002,SUBSTITUTE(SUBSTITUTE(B169,"?","~?"),"*","~*"),'Keyword Map'!$R$3:$R$1002,"Yes"))</f>
        <v/>
      </c>
      <c r="H169">
        <f>IF(B169="","",COUNTIFS('Keyword Map'!$B$3:$B$1002,SUBSTITUTE(SUBSTITUTE(B169,"?","~?"),"*","~*"),'Keyword Map'!$W$3:$W$1002,"Yes"))</f>
        <v/>
      </c>
      <c r="I169">
        <f>IF(B169="","",IFERROR(ROUND(AVERAGEIFS('Keyword Map'!$P$3:$P$1002,'Keyword Map'!$B$3:$B$1002,SUBSTITUTE(SUBSTITUTE(B169,"?","~?"),"*","~*")),0),""))</f>
        <v/>
      </c>
    </row>
    <row r="170">
      <c r="A170">
        <f>ROW()-2</f>
        <v/>
      </c>
      <c r="B170">
        <f>IFERROR(INDEX('Keyword Map'!$B$3:$B$1002,MATCH(A170,'Keyword Map'!$AB$3:$AB$1002,0)),"")</f>
        <v/>
      </c>
      <c r="C170">
        <f>IF(B170="","",COUNTIF('Keyword Map'!$B$3:$B$1002,SUBSTITUTE(SUBSTITUTE(B170,"?","~?"),"*","~*")))</f>
        <v/>
      </c>
      <c r="D170">
        <f>IF(B170="","",SUMIFS('Keyword Map'!$C$3:$C$1002,'Keyword Map'!$B$3:$B$1002,SUBSTITUTE(SUBSTITUTE(B170,"?","~?"),"*","~*")))</f>
        <v/>
      </c>
      <c r="E170">
        <f>IF(B170="","",SUMPRODUCT(('Keyword Map'!$B$3:$B$1002=B170)*(LEN('Keyword Map'!$G$3:$G$1002)&gt;0)))</f>
        <v/>
      </c>
      <c r="F170">
        <f>IF(B170="","",C170-E170)</f>
        <v/>
      </c>
      <c r="G170">
        <f>IF(B170="","",COUNTIFS('Keyword Map'!$B$3:$B$1002,SUBSTITUTE(SUBSTITUTE(B170,"?","~?"),"*","~*"),'Keyword Map'!$R$3:$R$1002,"Yes"))</f>
        <v/>
      </c>
      <c r="H170">
        <f>IF(B170="","",COUNTIFS('Keyword Map'!$B$3:$B$1002,SUBSTITUTE(SUBSTITUTE(B170,"?","~?"),"*","~*"),'Keyword Map'!$W$3:$W$1002,"Yes"))</f>
        <v/>
      </c>
      <c r="I170">
        <f>IF(B170="","",IFERROR(ROUND(AVERAGEIFS('Keyword Map'!$P$3:$P$1002,'Keyword Map'!$B$3:$B$1002,SUBSTITUTE(SUBSTITUTE(B170,"?","~?"),"*","~*")),0),""))</f>
        <v/>
      </c>
    </row>
    <row r="171">
      <c r="A171">
        <f>ROW()-2</f>
        <v/>
      </c>
      <c r="B171">
        <f>IFERROR(INDEX('Keyword Map'!$B$3:$B$1002,MATCH(A171,'Keyword Map'!$AB$3:$AB$1002,0)),"")</f>
        <v/>
      </c>
      <c r="C171">
        <f>IF(B171="","",COUNTIF('Keyword Map'!$B$3:$B$1002,SUBSTITUTE(SUBSTITUTE(B171,"?","~?"),"*","~*")))</f>
        <v/>
      </c>
      <c r="D171">
        <f>IF(B171="","",SUMIFS('Keyword Map'!$C$3:$C$1002,'Keyword Map'!$B$3:$B$1002,SUBSTITUTE(SUBSTITUTE(B171,"?","~?"),"*","~*")))</f>
        <v/>
      </c>
      <c r="E171">
        <f>IF(B171="","",SUMPRODUCT(('Keyword Map'!$B$3:$B$1002=B171)*(LEN('Keyword Map'!$G$3:$G$1002)&gt;0)))</f>
        <v/>
      </c>
      <c r="F171">
        <f>IF(B171="","",C171-E171)</f>
        <v/>
      </c>
      <c r="G171">
        <f>IF(B171="","",COUNTIFS('Keyword Map'!$B$3:$B$1002,SUBSTITUTE(SUBSTITUTE(B171,"?","~?"),"*","~*"),'Keyword Map'!$R$3:$R$1002,"Yes"))</f>
        <v/>
      </c>
      <c r="H171">
        <f>IF(B171="","",COUNTIFS('Keyword Map'!$B$3:$B$1002,SUBSTITUTE(SUBSTITUTE(B171,"?","~?"),"*","~*"),'Keyword Map'!$W$3:$W$1002,"Yes"))</f>
        <v/>
      </c>
      <c r="I171">
        <f>IF(B171="","",IFERROR(ROUND(AVERAGEIFS('Keyword Map'!$P$3:$P$1002,'Keyword Map'!$B$3:$B$1002,SUBSTITUTE(SUBSTITUTE(B171,"?","~?"),"*","~*")),0),""))</f>
        <v/>
      </c>
    </row>
    <row r="172">
      <c r="A172">
        <f>ROW()-2</f>
        <v/>
      </c>
      <c r="B172">
        <f>IFERROR(INDEX('Keyword Map'!$B$3:$B$1002,MATCH(A172,'Keyword Map'!$AB$3:$AB$1002,0)),"")</f>
        <v/>
      </c>
      <c r="C172">
        <f>IF(B172="","",COUNTIF('Keyword Map'!$B$3:$B$1002,SUBSTITUTE(SUBSTITUTE(B172,"?","~?"),"*","~*")))</f>
        <v/>
      </c>
      <c r="D172">
        <f>IF(B172="","",SUMIFS('Keyword Map'!$C$3:$C$1002,'Keyword Map'!$B$3:$B$1002,SUBSTITUTE(SUBSTITUTE(B172,"?","~?"),"*","~*")))</f>
        <v/>
      </c>
      <c r="E172">
        <f>IF(B172="","",SUMPRODUCT(('Keyword Map'!$B$3:$B$1002=B172)*(LEN('Keyword Map'!$G$3:$G$1002)&gt;0)))</f>
        <v/>
      </c>
      <c r="F172">
        <f>IF(B172="","",C172-E172)</f>
        <v/>
      </c>
      <c r="G172">
        <f>IF(B172="","",COUNTIFS('Keyword Map'!$B$3:$B$1002,SUBSTITUTE(SUBSTITUTE(B172,"?","~?"),"*","~*"),'Keyword Map'!$R$3:$R$1002,"Yes"))</f>
        <v/>
      </c>
      <c r="H172">
        <f>IF(B172="","",COUNTIFS('Keyword Map'!$B$3:$B$1002,SUBSTITUTE(SUBSTITUTE(B172,"?","~?"),"*","~*"),'Keyword Map'!$W$3:$W$1002,"Yes"))</f>
        <v/>
      </c>
      <c r="I172">
        <f>IF(B172="","",IFERROR(ROUND(AVERAGEIFS('Keyword Map'!$P$3:$P$1002,'Keyword Map'!$B$3:$B$1002,SUBSTITUTE(SUBSTITUTE(B172,"?","~?"),"*","~*")),0),""))</f>
        <v/>
      </c>
    </row>
    <row r="173">
      <c r="A173">
        <f>ROW()-2</f>
        <v/>
      </c>
      <c r="B173">
        <f>IFERROR(INDEX('Keyword Map'!$B$3:$B$1002,MATCH(A173,'Keyword Map'!$AB$3:$AB$1002,0)),"")</f>
        <v/>
      </c>
      <c r="C173">
        <f>IF(B173="","",COUNTIF('Keyword Map'!$B$3:$B$1002,SUBSTITUTE(SUBSTITUTE(B173,"?","~?"),"*","~*")))</f>
        <v/>
      </c>
      <c r="D173">
        <f>IF(B173="","",SUMIFS('Keyword Map'!$C$3:$C$1002,'Keyword Map'!$B$3:$B$1002,SUBSTITUTE(SUBSTITUTE(B173,"?","~?"),"*","~*")))</f>
        <v/>
      </c>
      <c r="E173">
        <f>IF(B173="","",SUMPRODUCT(('Keyword Map'!$B$3:$B$1002=B173)*(LEN('Keyword Map'!$G$3:$G$1002)&gt;0)))</f>
        <v/>
      </c>
      <c r="F173">
        <f>IF(B173="","",C173-E173)</f>
        <v/>
      </c>
      <c r="G173">
        <f>IF(B173="","",COUNTIFS('Keyword Map'!$B$3:$B$1002,SUBSTITUTE(SUBSTITUTE(B173,"?","~?"),"*","~*"),'Keyword Map'!$R$3:$R$1002,"Yes"))</f>
        <v/>
      </c>
      <c r="H173">
        <f>IF(B173="","",COUNTIFS('Keyword Map'!$B$3:$B$1002,SUBSTITUTE(SUBSTITUTE(B173,"?","~?"),"*","~*"),'Keyword Map'!$W$3:$W$1002,"Yes"))</f>
        <v/>
      </c>
      <c r="I173">
        <f>IF(B173="","",IFERROR(ROUND(AVERAGEIFS('Keyword Map'!$P$3:$P$1002,'Keyword Map'!$B$3:$B$1002,SUBSTITUTE(SUBSTITUTE(B173,"?","~?"),"*","~*")),0),""))</f>
        <v/>
      </c>
    </row>
    <row r="174">
      <c r="A174">
        <f>ROW()-2</f>
        <v/>
      </c>
      <c r="B174">
        <f>IFERROR(INDEX('Keyword Map'!$B$3:$B$1002,MATCH(A174,'Keyword Map'!$AB$3:$AB$1002,0)),"")</f>
        <v/>
      </c>
      <c r="C174">
        <f>IF(B174="","",COUNTIF('Keyword Map'!$B$3:$B$1002,SUBSTITUTE(SUBSTITUTE(B174,"?","~?"),"*","~*")))</f>
        <v/>
      </c>
      <c r="D174">
        <f>IF(B174="","",SUMIFS('Keyword Map'!$C$3:$C$1002,'Keyword Map'!$B$3:$B$1002,SUBSTITUTE(SUBSTITUTE(B174,"?","~?"),"*","~*")))</f>
        <v/>
      </c>
      <c r="E174">
        <f>IF(B174="","",SUMPRODUCT(('Keyword Map'!$B$3:$B$1002=B174)*(LEN('Keyword Map'!$G$3:$G$1002)&gt;0)))</f>
        <v/>
      </c>
      <c r="F174">
        <f>IF(B174="","",C174-E174)</f>
        <v/>
      </c>
      <c r="G174">
        <f>IF(B174="","",COUNTIFS('Keyword Map'!$B$3:$B$1002,SUBSTITUTE(SUBSTITUTE(B174,"?","~?"),"*","~*"),'Keyword Map'!$R$3:$R$1002,"Yes"))</f>
        <v/>
      </c>
      <c r="H174">
        <f>IF(B174="","",COUNTIFS('Keyword Map'!$B$3:$B$1002,SUBSTITUTE(SUBSTITUTE(B174,"?","~?"),"*","~*"),'Keyword Map'!$W$3:$W$1002,"Yes"))</f>
        <v/>
      </c>
      <c r="I174">
        <f>IF(B174="","",IFERROR(ROUND(AVERAGEIFS('Keyword Map'!$P$3:$P$1002,'Keyword Map'!$B$3:$B$1002,SUBSTITUTE(SUBSTITUTE(B174,"?","~?"),"*","~*")),0),""))</f>
        <v/>
      </c>
    </row>
    <row r="175">
      <c r="A175">
        <f>ROW()-2</f>
        <v/>
      </c>
      <c r="B175">
        <f>IFERROR(INDEX('Keyword Map'!$B$3:$B$1002,MATCH(A175,'Keyword Map'!$AB$3:$AB$1002,0)),"")</f>
        <v/>
      </c>
      <c r="C175">
        <f>IF(B175="","",COUNTIF('Keyword Map'!$B$3:$B$1002,SUBSTITUTE(SUBSTITUTE(B175,"?","~?"),"*","~*")))</f>
        <v/>
      </c>
      <c r="D175">
        <f>IF(B175="","",SUMIFS('Keyword Map'!$C$3:$C$1002,'Keyword Map'!$B$3:$B$1002,SUBSTITUTE(SUBSTITUTE(B175,"?","~?"),"*","~*")))</f>
        <v/>
      </c>
      <c r="E175">
        <f>IF(B175="","",SUMPRODUCT(('Keyword Map'!$B$3:$B$1002=B175)*(LEN('Keyword Map'!$G$3:$G$1002)&gt;0)))</f>
        <v/>
      </c>
      <c r="F175">
        <f>IF(B175="","",C175-E175)</f>
        <v/>
      </c>
      <c r="G175">
        <f>IF(B175="","",COUNTIFS('Keyword Map'!$B$3:$B$1002,SUBSTITUTE(SUBSTITUTE(B175,"?","~?"),"*","~*"),'Keyword Map'!$R$3:$R$1002,"Yes"))</f>
        <v/>
      </c>
      <c r="H175">
        <f>IF(B175="","",COUNTIFS('Keyword Map'!$B$3:$B$1002,SUBSTITUTE(SUBSTITUTE(B175,"?","~?"),"*","~*"),'Keyword Map'!$W$3:$W$1002,"Yes"))</f>
        <v/>
      </c>
      <c r="I175">
        <f>IF(B175="","",IFERROR(ROUND(AVERAGEIFS('Keyword Map'!$P$3:$P$1002,'Keyword Map'!$B$3:$B$1002,SUBSTITUTE(SUBSTITUTE(B175,"?","~?"),"*","~*")),0),""))</f>
        <v/>
      </c>
    </row>
    <row r="176">
      <c r="A176">
        <f>ROW()-2</f>
        <v/>
      </c>
      <c r="B176">
        <f>IFERROR(INDEX('Keyword Map'!$B$3:$B$1002,MATCH(A176,'Keyword Map'!$AB$3:$AB$1002,0)),"")</f>
        <v/>
      </c>
      <c r="C176">
        <f>IF(B176="","",COUNTIF('Keyword Map'!$B$3:$B$1002,SUBSTITUTE(SUBSTITUTE(B176,"?","~?"),"*","~*")))</f>
        <v/>
      </c>
      <c r="D176">
        <f>IF(B176="","",SUMIFS('Keyword Map'!$C$3:$C$1002,'Keyword Map'!$B$3:$B$1002,SUBSTITUTE(SUBSTITUTE(B176,"?","~?"),"*","~*")))</f>
        <v/>
      </c>
      <c r="E176">
        <f>IF(B176="","",SUMPRODUCT(('Keyword Map'!$B$3:$B$1002=B176)*(LEN('Keyword Map'!$G$3:$G$1002)&gt;0)))</f>
        <v/>
      </c>
      <c r="F176">
        <f>IF(B176="","",C176-E176)</f>
        <v/>
      </c>
      <c r="G176">
        <f>IF(B176="","",COUNTIFS('Keyword Map'!$B$3:$B$1002,SUBSTITUTE(SUBSTITUTE(B176,"?","~?"),"*","~*"),'Keyword Map'!$R$3:$R$1002,"Yes"))</f>
        <v/>
      </c>
      <c r="H176">
        <f>IF(B176="","",COUNTIFS('Keyword Map'!$B$3:$B$1002,SUBSTITUTE(SUBSTITUTE(B176,"?","~?"),"*","~*"),'Keyword Map'!$W$3:$W$1002,"Yes"))</f>
        <v/>
      </c>
      <c r="I176">
        <f>IF(B176="","",IFERROR(ROUND(AVERAGEIFS('Keyword Map'!$P$3:$P$1002,'Keyword Map'!$B$3:$B$1002,SUBSTITUTE(SUBSTITUTE(B176,"?","~?"),"*","~*")),0),""))</f>
        <v/>
      </c>
    </row>
    <row r="177">
      <c r="A177">
        <f>ROW()-2</f>
        <v/>
      </c>
      <c r="B177">
        <f>IFERROR(INDEX('Keyword Map'!$B$3:$B$1002,MATCH(A177,'Keyword Map'!$AB$3:$AB$1002,0)),"")</f>
        <v/>
      </c>
      <c r="C177">
        <f>IF(B177="","",COUNTIF('Keyword Map'!$B$3:$B$1002,SUBSTITUTE(SUBSTITUTE(B177,"?","~?"),"*","~*")))</f>
        <v/>
      </c>
      <c r="D177">
        <f>IF(B177="","",SUMIFS('Keyword Map'!$C$3:$C$1002,'Keyword Map'!$B$3:$B$1002,SUBSTITUTE(SUBSTITUTE(B177,"?","~?"),"*","~*")))</f>
        <v/>
      </c>
      <c r="E177">
        <f>IF(B177="","",SUMPRODUCT(('Keyword Map'!$B$3:$B$1002=B177)*(LEN('Keyword Map'!$G$3:$G$1002)&gt;0)))</f>
        <v/>
      </c>
      <c r="F177">
        <f>IF(B177="","",C177-E177)</f>
        <v/>
      </c>
      <c r="G177">
        <f>IF(B177="","",COUNTIFS('Keyword Map'!$B$3:$B$1002,SUBSTITUTE(SUBSTITUTE(B177,"?","~?"),"*","~*"),'Keyword Map'!$R$3:$R$1002,"Yes"))</f>
        <v/>
      </c>
      <c r="H177">
        <f>IF(B177="","",COUNTIFS('Keyword Map'!$B$3:$B$1002,SUBSTITUTE(SUBSTITUTE(B177,"?","~?"),"*","~*"),'Keyword Map'!$W$3:$W$1002,"Yes"))</f>
        <v/>
      </c>
      <c r="I177">
        <f>IF(B177="","",IFERROR(ROUND(AVERAGEIFS('Keyword Map'!$P$3:$P$1002,'Keyword Map'!$B$3:$B$1002,SUBSTITUTE(SUBSTITUTE(B177,"?","~?"),"*","~*")),0),""))</f>
        <v/>
      </c>
    </row>
    <row r="178">
      <c r="A178">
        <f>ROW()-2</f>
        <v/>
      </c>
      <c r="B178">
        <f>IFERROR(INDEX('Keyword Map'!$B$3:$B$1002,MATCH(A178,'Keyword Map'!$AB$3:$AB$1002,0)),"")</f>
        <v/>
      </c>
      <c r="C178">
        <f>IF(B178="","",COUNTIF('Keyword Map'!$B$3:$B$1002,SUBSTITUTE(SUBSTITUTE(B178,"?","~?"),"*","~*")))</f>
        <v/>
      </c>
      <c r="D178">
        <f>IF(B178="","",SUMIFS('Keyword Map'!$C$3:$C$1002,'Keyword Map'!$B$3:$B$1002,SUBSTITUTE(SUBSTITUTE(B178,"?","~?"),"*","~*")))</f>
        <v/>
      </c>
      <c r="E178">
        <f>IF(B178="","",SUMPRODUCT(('Keyword Map'!$B$3:$B$1002=B178)*(LEN('Keyword Map'!$G$3:$G$1002)&gt;0)))</f>
        <v/>
      </c>
      <c r="F178">
        <f>IF(B178="","",C178-E178)</f>
        <v/>
      </c>
      <c r="G178">
        <f>IF(B178="","",COUNTIFS('Keyword Map'!$B$3:$B$1002,SUBSTITUTE(SUBSTITUTE(B178,"?","~?"),"*","~*"),'Keyword Map'!$R$3:$R$1002,"Yes"))</f>
        <v/>
      </c>
      <c r="H178">
        <f>IF(B178="","",COUNTIFS('Keyword Map'!$B$3:$B$1002,SUBSTITUTE(SUBSTITUTE(B178,"?","~?"),"*","~*"),'Keyword Map'!$W$3:$W$1002,"Yes"))</f>
        <v/>
      </c>
      <c r="I178">
        <f>IF(B178="","",IFERROR(ROUND(AVERAGEIFS('Keyword Map'!$P$3:$P$1002,'Keyword Map'!$B$3:$B$1002,SUBSTITUTE(SUBSTITUTE(B178,"?","~?"),"*","~*")),0),""))</f>
        <v/>
      </c>
    </row>
    <row r="179">
      <c r="A179">
        <f>ROW()-2</f>
        <v/>
      </c>
      <c r="B179">
        <f>IFERROR(INDEX('Keyword Map'!$B$3:$B$1002,MATCH(A179,'Keyword Map'!$AB$3:$AB$1002,0)),"")</f>
        <v/>
      </c>
      <c r="C179">
        <f>IF(B179="","",COUNTIF('Keyword Map'!$B$3:$B$1002,SUBSTITUTE(SUBSTITUTE(B179,"?","~?"),"*","~*")))</f>
        <v/>
      </c>
      <c r="D179">
        <f>IF(B179="","",SUMIFS('Keyword Map'!$C$3:$C$1002,'Keyword Map'!$B$3:$B$1002,SUBSTITUTE(SUBSTITUTE(B179,"?","~?"),"*","~*")))</f>
        <v/>
      </c>
      <c r="E179">
        <f>IF(B179="","",SUMPRODUCT(('Keyword Map'!$B$3:$B$1002=B179)*(LEN('Keyword Map'!$G$3:$G$1002)&gt;0)))</f>
        <v/>
      </c>
      <c r="F179">
        <f>IF(B179="","",C179-E179)</f>
        <v/>
      </c>
      <c r="G179">
        <f>IF(B179="","",COUNTIFS('Keyword Map'!$B$3:$B$1002,SUBSTITUTE(SUBSTITUTE(B179,"?","~?"),"*","~*"),'Keyword Map'!$R$3:$R$1002,"Yes"))</f>
        <v/>
      </c>
      <c r="H179">
        <f>IF(B179="","",COUNTIFS('Keyword Map'!$B$3:$B$1002,SUBSTITUTE(SUBSTITUTE(B179,"?","~?"),"*","~*"),'Keyword Map'!$W$3:$W$1002,"Yes"))</f>
        <v/>
      </c>
      <c r="I179">
        <f>IF(B179="","",IFERROR(ROUND(AVERAGEIFS('Keyword Map'!$P$3:$P$1002,'Keyword Map'!$B$3:$B$1002,SUBSTITUTE(SUBSTITUTE(B179,"?","~?"),"*","~*")),0),""))</f>
        <v/>
      </c>
    </row>
    <row r="180">
      <c r="A180">
        <f>ROW()-2</f>
        <v/>
      </c>
      <c r="B180">
        <f>IFERROR(INDEX('Keyword Map'!$B$3:$B$1002,MATCH(A180,'Keyword Map'!$AB$3:$AB$1002,0)),"")</f>
        <v/>
      </c>
      <c r="C180">
        <f>IF(B180="","",COUNTIF('Keyword Map'!$B$3:$B$1002,SUBSTITUTE(SUBSTITUTE(B180,"?","~?"),"*","~*")))</f>
        <v/>
      </c>
      <c r="D180">
        <f>IF(B180="","",SUMIFS('Keyword Map'!$C$3:$C$1002,'Keyword Map'!$B$3:$B$1002,SUBSTITUTE(SUBSTITUTE(B180,"?","~?"),"*","~*")))</f>
        <v/>
      </c>
      <c r="E180">
        <f>IF(B180="","",SUMPRODUCT(('Keyword Map'!$B$3:$B$1002=B180)*(LEN('Keyword Map'!$G$3:$G$1002)&gt;0)))</f>
        <v/>
      </c>
      <c r="F180">
        <f>IF(B180="","",C180-E180)</f>
        <v/>
      </c>
      <c r="G180">
        <f>IF(B180="","",COUNTIFS('Keyword Map'!$B$3:$B$1002,SUBSTITUTE(SUBSTITUTE(B180,"?","~?"),"*","~*"),'Keyword Map'!$R$3:$R$1002,"Yes"))</f>
        <v/>
      </c>
      <c r="H180">
        <f>IF(B180="","",COUNTIFS('Keyword Map'!$B$3:$B$1002,SUBSTITUTE(SUBSTITUTE(B180,"?","~?"),"*","~*"),'Keyword Map'!$W$3:$W$1002,"Yes"))</f>
        <v/>
      </c>
      <c r="I180">
        <f>IF(B180="","",IFERROR(ROUND(AVERAGEIFS('Keyword Map'!$P$3:$P$1002,'Keyword Map'!$B$3:$B$1002,SUBSTITUTE(SUBSTITUTE(B180,"?","~?"),"*","~*")),0),""))</f>
        <v/>
      </c>
    </row>
    <row r="181">
      <c r="A181">
        <f>ROW()-2</f>
        <v/>
      </c>
      <c r="B181">
        <f>IFERROR(INDEX('Keyword Map'!$B$3:$B$1002,MATCH(A181,'Keyword Map'!$AB$3:$AB$1002,0)),"")</f>
        <v/>
      </c>
      <c r="C181">
        <f>IF(B181="","",COUNTIF('Keyword Map'!$B$3:$B$1002,SUBSTITUTE(SUBSTITUTE(B181,"?","~?"),"*","~*")))</f>
        <v/>
      </c>
      <c r="D181">
        <f>IF(B181="","",SUMIFS('Keyword Map'!$C$3:$C$1002,'Keyword Map'!$B$3:$B$1002,SUBSTITUTE(SUBSTITUTE(B181,"?","~?"),"*","~*")))</f>
        <v/>
      </c>
      <c r="E181">
        <f>IF(B181="","",SUMPRODUCT(('Keyword Map'!$B$3:$B$1002=B181)*(LEN('Keyword Map'!$G$3:$G$1002)&gt;0)))</f>
        <v/>
      </c>
      <c r="F181">
        <f>IF(B181="","",C181-E181)</f>
        <v/>
      </c>
      <c r="G181">
        <f>IF(B181="","",COUNTIFS('Keyword Map'!$B$3:$B$1002,SUBSTITUTE(SUBSTITUTE(B181,"?","~?"),"*","~*"),'Keyword Map'!$R$3:$R$1002,"Yes"))</f>
        <v/>
      </c>
      <c r="H181">
        <f>IF(B181="","",COUNTIFS('Keyword Map'!$B$3:$B$1002,SUBSTITUTE(SUBSTITUTE(B181,"?","~?"),"*","~*"),'Keyword Map'!$W$3:$W$1002,"Yes"))</f>
        <v/>
      </c>
      <c r="I181">
        <f>IF(B181="","",IFERROR(ROUND(AVERAGEIFS('Keyword Map'!$P$3:$P$1002,'Keyword Map'!$B$3:$B$1002,SUBSTITUTE(SUBSTITUTE(B181,"?","~?"),"*","~*")),0),""))</f>
        <v/>
      </c>
    </row>
    <row r="182">
      <c r="A182">
        <f>ROW()-2</f>
        <v/>
      </c>
      <c r="B182">
        <f>IFERROR(INDEX('Keyword Map'!$B$3:$B$1002,MATCH(A182,'Keyword Map'!$AB$3:$AB$1002,0)),"")</f>
        <v/>
      </c>
      <c r="C182">
        <f>IF(B182="","",COUNTIF('Keyword Map'!$B$3:$B$1002,SUBSTITUTE(SUBSTITUTE(B182,"?","~?"),"*","~*")))</f>
        <v/>
      </c>
      <c r="D182">
        <f>IF(B182="","",SUMIFS('Keyword Map'!$C$3:$C$1002,'Keyword Map'!$B$3:$B$1002,SUBSTITUTE(SUBSTITUTE(B182,"?","~?"),"*","~*")))</f>
        <v/>
      </c>
      <c r="E182">
        <f>IF(B182="","",SUMPRODUCT(('Keyword Map'!$B$3:$B$1002=B182)*(LEN('Keyword Map'!$G$3:$G$1002)&gt;0)))</f>
        <v/>
      </c>
      <c r="F182">
        <f>IF(B182="","",C182-E182)</f>
        <v/>
      </c>
      <c r="G182">
        <f>IF(B182="","",COUNTIFS('Keyword Map'!$B$3:$B$1002,SUBSTITUTE(SUBSTITUTE(B182,"?","~?"),"*","~*"),'Keyword Map'!$R$3:$R$1002,"Yes"))</f>
        <v/>
      </c>
      <c r="H182">
        <f>IF(B182="","",COUNTIFS('Keyword Map'!$B$3:$B$1002,SUBSTITUTE(SUBSTITUTE(B182,"?","~?"),"*","~*"),'Keyword Map'!$W$3:$W$1002,"Yes"))</f>
        <v/>
      </c>
      <c r="I182">
        <f>IF(B182="","",IFERROR(ROUND(AVERAGEIFS('Keyword Map'!$P$3:$P$1002,'Keyword Map'!$B$3:$B$1002,SUBSTITUTE(SUBSTITUTE(B182,"?","~?"),"*","~*")),0),""))</f>
        <v/>
      </c>
    </row>
    <row r="183">
      <c r="A183">
        <f>ROW()-2</f>
        <v/>
      </c>
      <c r="B183">
        <f>IFERROR(INDEX('Keyword Map'!$B$3:$B$1002,MATCH(A183,'Keyword Map'!$AB$3:$AB$1002,0)),"")</f>
        <v/>
      </c>
      <c r="C183">
        <f>IF(B183="","",COUNTIF('Keyword Map'!$B$3:$B$1002,SUBSTITUTE(SUBSTITUTE(B183,"?","~?"),"*","~*")))</f>
        <v/>
      </c>
      <c r="D183">
        <f>IF(B183="","",SUMIFS('Keyword Map'!$C$3:$C$1002,'Keyword Map'!$B$3:$B$1002,SUBSTITUTE(SUBSTITUTE(B183,"?","~?"),"*","~*")))</f>
        <v/>
      </c>
      <c r="E183">
        <f>IF(B183="","",SUMPRODUCT(('Keyword Map'!$B$3:$B$1002=B183)*(LEN('Keyword Map'!$G$3:$G$1002)&gt;0)))</f>
        <v/>
      </c>
      <c r="F183">
        <f>IF(B183="","",C183-E183)</f>
        <v/>
      </c>
      <c r="G183">
        <f>IF(B183="","",COUNTIFS('Keyword Map'!$B$3:$B$1002,SUBSTITUTE(SUBSTITUTE(B183,"?","~?"),"*","~*"),'Keyword Map'!$R$3:$R$1002,"Yes"))</f>
        <v/>
      </c>
      <c r="H183">
        <f>IF(B183="","",COUNTIFS('Keyword Map'!$B$3:$B$1002,SUBSTITUTE(SUBSTITUTE(B183,"?","~?"),"*","~*"),'Keyword Map'!$W$3:$W$1002,"Yes"))</f>
        <v/>
      </c>
      <c r="I183">
        <f>IF(B183="","",IFERROR(ROUND(AVERAGEIFS('Keyword Map'!$P$3:$P$1002,'Keyword Map'!$B$3:$B$1002,SUBSTITUTE(SUBSTITUTE(B183,"?","~?"),"*","~*")),0),""))</f>
        <v/>
      </c>
    </row>
    <row r="184">
      <c r="A184">
        <f>ROW()-2</f>
        <v/>
      </c>
      <c r="B184">
        <f>IFERROR(INDEX('Keyword Map'!$B$3:$B$1002,MATCH(A184,'Keyword Map'!$AB$3:$AB$1002,0)),"")</f>
        <v/>
      </c>
      <c r="C184">
        <f>IF(B184="","",COUNTIF('Keyword Map'!$B$3:$B$1002,SUBSTITUTE(SUBSTITUTE(B184,"?","~?"),"*","~*")))</f>
        <v/>
      </c>
      <c r="D184">
        <f>IF(B184="","",SUMIFS('Keyword Map'!$C$3:$C$1002,'Keyword Map'!$B$3:$B$1002,SUBSTITUTE(SUBSTITUTE(B184,"?","~?"),"*","~*")))</f>
        <v/>
      </c>
      <c r="E184">
        <f>IF(B184="","",SUMPRODUCT(('Keyword Map'!$B$3:$B$1002=B184)*(LEN('Keyword Map'!$G$3:$G$1002)&gt;0)))</f>
        <v/>
      </c>
      <c r="F184">
        <f>IF(B184="","",C184-E184)</f>
        <v/>
      </c>
      <c r="G184">
        <f>IF(B184="","",COUNTIFS('Keyword Map'!$B$3:$B$1002,SUBSTITUTE(SUBSTITUTE(B184,"?","~?"),"*","~*"),'Keyword Map'!$R$3:$R$1002,"Yes"))</f>
        <v/>
      </c>
      <c r="H184">
        <f>IF(B184="","",COUNTIFS('Keyword Map'!$B$3:$B$1002,SUBSTITUTE(SUBSTITUTE(B184,"?","~?"),"*","~*"),'Keyword Map'!$W$3:$W$1002,"Yes"))</f>
        <v/>
      </c>
      <c r="I184">
        <f>IF(B184="","",IFERROR(ROUND(AVERAGEIFS('Keyword Map'!$P$3:$P$1002,'Keyword Map'!$B$3:$B$1002,SUBSTITUTE(SUBSTITUTE(B184,"?","~?"),"*","~*")),0),""))</f>
        <v/>
      </c>
    </row>
    <row r="185">
      <c r="A185">
        <f>ROW()-2</f>
        <v/>
      </c>
      <c r="B185">
        <f>IFERROR(INDEX('Keyword Map'!$B$3:$B$1002,MATCH(A185,'Keyword Map'!$AB$3:$AB$1002,0)),"")</f>
        <v/>
      </c>
      <c r="C185">
        <f>IF(B185="","",COUNTIF('Keyword Map'!$B$3:$B$1002,SUBSTITUTE(SUBSTITUTE(B185,"?","~?"),"*","~*")))</f>
        <v/>
      </c>
      <c r="D185">
        <f>IF(B185="","",SUMIFS('Keyword Map'!$C$3:$C$1002,'Keyword Map'!$B$3:$B$1002,SUBSTITUTE(SUBSTITUTE(B185,"?","~?"),"*","~*")))</f>
        <v/>
      </c>
      <c r="E185">
        <f>IF(B185="","",SUMPRODUCT(('Keyword Map'!$B$3:$B$1002=B185)*(LEN('Keyword Map'!$G$3:$G$1002)&gt;0)))</f>
        <v/>
      </c>
      <c r="F185">
        <f>IF(B185="","",C185-E185)</f>
        <v/>
      </c>
      <c r="G185">
        <f>IF(B185="","",COUNTIFS('Keyword Map'!$B$3:$B$1002,SUBSTITUTE(SUBSTITUTE(B185,"?","~?"),"*","~*"),'Keyword Map'!$R$3:$R$1002,"Yes"))</f>
        <v/>
      </c>
      <c r="H185">
        <f>IF(B185="","",COUNTIFS('Keyword Map'!$B$3:$B$1002,SUBSTITUTE(SUBSTITUTE(B185,"?","~?"),"*","~*"),'Keyword Map'!$W$3:$W$1002,"Yes"))</f>
        <v/>
      </c>
      <c r="I185">
        <f>IF(B185="","",IFERROR(ROUND(AVERAGEIFS('Keyword Map'!$P$3:$P$1002,'Keyword Map'!$B$3:$B$1002,SUBSTITUTE(SUBSTITUTE(B185,"?","~?"),"*","~*")),0),""))</f>
        <v/>
      </c>
    </row>
    <row r="186">
      <c r="A186">
        <f>ROW()-2</f>
        <v/>
      </c>
      <c r="B186">
        <f>IFERROR(INDEX('Keyword Map'!$B$3:$B$1002,MATCH(A186,'Keyword Map'!$AB$3:$AB$1002,0)),"")</f>
        <v/>
      </c>
      <c r="C186">
        <f>IF(B186="","",COUNTIF('Keyword Map'!$B$3:$B$1002,SUBSTITUTE(SUBSTITUTE(B186,"?","~?"),"*","~*")))</f>
        <v/>
      </c>
      <c r="D186">
        <f>IF(B186="","",SUMIFS('Keyword Map'!$C$3:$C$1002,'Keyword Map'!$B$3:$B$1002,SUBSTITUTE(SUBSTITUTE(B186,"?","~?"),"*","~*")))</f>
        <v/>
      </c>
      <c r="E186">
        <f>IF(B186="","",SUMPRODUCT(('Keyword Map'!$B$3:$B$1002=B186)*(LEN('Keyword Map'!$G$3:$G$1002)&gt;0)))</f>
        <v/>
      </c>
      <c r="F186">
        <f>IF(B186="","",C186-E186)</f>
        <v/>
      </c>
      <c r="G186">
        <f>IF(B186="","",COUNTIFS('Keyword Map'!$B$3:$B$1002,SUBSTITUTE(SUBSTITUTE(B186,"?","~?"),"*","~*"),'Keyword Map'!$R$3:$R$1002,"Yes"))</f>
        <v/>
      </c>
      <c r="H186">
        <f>IF(B186="","",COUNTIFS('Keyword Map'!$B$3:$B$1002,SUBSTITUTE(SUBSTITUTE(B186,"?","~?"),"*","~*"),'Keyword Map'!$W$3:$W$1002,"Yes"))</f>
        <v/>
      </c>
      <c r="I186">
        <f>IF(B186="","",IFERROR(ROUND(AVERAGEIFS('Keyword Map'!$P$3:$P$1002,'Keyword Map'!$B$3:$B$1002,SUBSTITUTE(SUBSTITUTE(B186,"?","~?"),"*","~*")),0),""))</f>
        <v/>
      </c>
    </row>
    <row r="187">
      <c r="A187">
        <f>ROW()-2</f>
        <v/>
      </c>
      <c r="B187">
        <f>IFERROR(INDEX('Keyword Map'!$B$3:$B$1002,MATCH(A187,'Keyword Map'!$AB$3:$AB$1002,0)),"")</f>
        <v/>
      </c>
      <c r="C187">
        <f>IF(B187="","",COUNTIF('Keyword Map'!$B$3:$B$1002,SUBSTITUTE(SUBSTITUTE(B187,"?","~?"),"*","~*")))</f>
        <v/>
      </c>
      <c r="D187">
        <f>IF(B187="","",SUMIFS('Keyword Map'!$C$3:$C$1002,'Keyword Map'!$B$3:$B$1002,SUBSTITUTE(SUBSTITUTE(B187,"?","~?"),"*","~*")))</f>
        <v/>
      </c>
      <c r="E187">
        <f>IF(B187="","",SUMPRODUCT(('Keyword Map'!$B$3:$B$1002=B187)*(LEN('Keyword Map'!$G$3:$G$1002)&gt;0)))</f>
        <v/>
      </c>
      <c r="F187">
        <f>IF(B187="","",C187-E187)</f>
        <v/>
      </c>
      <c r="G187">
        <f>IF(B187="","",COUNTIFS('Keyword Map'!$B$3:$B$1002,SUBSTITUTE(SUBSTITUTE(B187,"?","~?"),"*","~*"),'Keyword Map'!$R$3:$R$1002,"Yes"))</f>
        <v/>
      </c>
      <c r="H187">
        <f>IF(B187="","",COUNTIFS('Keyword Map'!$B$3:$B$1002,SUBSTITUTE(SUBSTITUTE(B187,"?","~?"),"*","~*"),'Keyword Map'!$W$3:$W$1002,"Yes"))</f>
        <v/>
      </c>
      <c r="I187">
        <f>IF(B187="","",IFERROR(ROUND(AVERAGEIFS('Keyword Map'!$P$3:$P$1002,'Keyword Map'!$B$3:$B$1002,SUBSTITUTE(SUBSTITUTE(B187,"?","~?"),"*","~*")),0),""))</f>
        <v/>
      </c>
    </row>
    <row r="188">
      <c r="A188">
        <f>ROW()-2</f>
        <v/>
      </c>
      <c r="B188">
        <f>IFERROR(INDEX('Keyword Map'!$B$3:$B$1002,MATCH(A188,'Keyword Map'!$AB$3:$AB$1002,0)),"")</f>
        <v/>
      </c>
      <c r="C188">
        <f>IF(B188="","",COUNTIF('Keyword Map'!$B$3:$B$1002,SUBSTITUTE(SUBSTITUTE(B188,"?","~?"),"*","~*")))</f>
        <v/>
      </c>
      <c r="D188">
        <f>IF(B188="","",SUMIFS('Keyword Map'!$C$3:$C$1002,'Keyword Map'!$B$3:$B$1002,SUBSTITUTE(SUBSTITUTE(B188,"?","~?"),"*","~*")))</f>
        <v/>
      </c>
      <c r="E188">
        <f>IF(B188="","",SUMPRODUCT(('Keyword Map'!$B$3:$B$1002=B188)*(LEN('Keyword Map'!$G$3:$G$1002)&gt;0)))</f>
        <v/>
      </c>
      <c r="F188">
        <f>IF(B188="","",C188-E188)</f>
        <v/>
      </c>
      <c r="G188">
        <f>IF(B188="","",COUNTIFS('Keyword Map'!$B$3:$B$1002,SUBSTITUTE(SUBSTITUTE(B188,"?","~?"),"*","~*"),'Keyword Map'!$R$3:$R$1002,"Yes"))</f>
        <v/>
      </c>
      <c r="H188">
        <f>IF(B188="","",COUNTIFS('Keyword Map'!$B$3:$B$1002,SUBSTITUTE(SUBSTITUTE(B188,"?","~?"),"*","~*"),'Keyword Map'!$W$3:$W$1002,"Yes"))</f>
        <v/>
      </c>
      <c r="I188">
        <f>IF(B188="","",IFERROR(ROUND(AVERAGEIFS('Keyword Map'!$P$3:$P$1002,'Keyword Map'!$B$3:$B$1002,SUBSTITUTE(SUBSTITUTE(B188,"?","~?"),"*","~*")),0),""))</f>
        <v/>
      </c>
    </row>
    <row r="189">
      <c r="A189">
        <f>ROW()-2</f>
        <v/>
      </c>
      <c r="B189">
        <f>IFERROR(INDEX('Keyword Map'!$B$3:$B$1002,MATCH(A189,'Keyword Map'!$AB$3:$AB$1002,0)),"")</f>
        <v/>
      </c>
      <c r="C189">
        <f>IF(B189="","",COUNTIF('Keyword Map'!$B$3:$B$1002,SUBSTITUTE(SUBSTITUTE(B189,"?","~?"),"*","~*")))</f>
        <v/>
      </c>
      <c r="D189">
        <f>IF(B189="","",SUMIFS('Keyword Map'!$C$3:$C$1002,'Keyword Map'!$B$3:$B$1002,SUBSTITUTE(SUBSTITUTE(B189,"?","~?"),"*","~*")))</f>
        <v/>
      </c>
      <c r="E189">
        <f>IF(B189="","",SUMPRODUCT(('Keyword Map'!$B$3:$B$1002=B189)*(LEN('Keyword Map'!$G$3:$G$1002)&gt;0)))</f>
        <v/>
      </c>
      <c r="F189">
        <f>IF(B189="","",C189-E189)</f>
        <v/>
      </c>
      <c r="G189">
        <f>IF(B189="","",COUNTIFS('Keyword Map'!$B$3:$B$1002,SUBSTITUTE(SUBSTITUTE(B189,"?","~?"),"*","~*"),'Keyword Map'!$R$3:$R$1002,"Yes"))</f>
        <v/>
      </c>
      <c r="H189">
        <f>IF(B189="","",COUNTIFS('Keyword Map'!$B$3:$B$1002,SUBSTITUTE(SUBSTITUTE(B189,"?","~?"),"*","~*"),'Keyword Map'!$W$3:$W$1002,"Yes"))</f>
        <v/>
      </c>
      <c r="I189">
        <f>IF(B189="","",IFERROR(ROUND(AVERAGEIFS('Keyword Map'!$P$3:$P$1002,'Keyword Map'!$B$3:$B$1002,SUBSTITUTE(SUBSTITUTE(B189,"?","~?"),"*","~*")),0),""))</f>
        <v/>
      </c>
    </row>
    <row r="190">
      <c r="A190">
        <f>ROW()-2</f>
        <v/>
      </c>
      <c r="B190">
        <f>IFERROR(INDEX('Keyword Map'!$B$3:$B$1002,MATCH(A190,'Keyword Map'!$AB$3:$AB$1002,0)),"")</f>
        <v/>
      </c>
      <c r="C190">
        <f>IF(B190="","",COUNTIF('Keyword Map'!$B$3:$B$1002,SUBSTITUTE(SUBSTITUTE(B190,"?","~?"),"*","~*")))</f>
        <v/>
      </c>
      <c r="D190">
        <f>IF(B190="","",SUMIFS('Keyword Map'!$C$3:$C$1002,'Keyword Map'!$B$3:$B$1002,SUBSTITUTE(SUBSTITUTE(B190,"?","~?"),"*","~*")))</f>
        <v/>
      </c>
      <c r="E190">
        <f>IF(B190="","",SUMPRODUCT(('Keyword Map'!$B$3:$B$1002=B190)*(LEN('Keyword Map'!$G$3:$G$1002)&gt;0)))</f>
        <v/>
      </c>
      <c r="F190">
        <f>IF(B190="","",C190-E190)</f>
        <v/>
      </c>
      <c r="G190">
        <f>IF(B190="","",COUNTIFS('Keyword Map'!$B$3:$B$1002,SUBSTITUTE(SUBSTITUTE(B190,"?","~?"),"*","~*"),'Keyword Map'!$R$3:$R$1002,"Yes"))</f>
        <v/>
      </c>
      <c r="H190">
        <f>IF(B190="","",COUNTIFS('Keyword Map'!$B$3:$B$1002,SUBSTITUTE(SUBSTITUTE(B190,"?","~?"),"*","~*"),'Keyword Map'!$W$3:$W$1002,"Yes"))</f>
        <v/>
      </c>
      <c r="I190">
        <f>IF(B190="","",IFERROR(ROUND(AVERAGEIFS('Keyword Map'!$P$3:$P$1002,'Keyword Map'!$B$3:$B$1002,SUBSTITUTE(SUBSTITUTE(B190,"?","~?"),"*","~*")),0),""))</f>
        <v/>
      </c>
    </row>
    <row r="191">
      <c r="A191">
        <f>ROW()-2</f>
        <v/>
      </c>
      <c r="B191">
        <f>IFERROR(INDEX('Keyword Map'!$B$3:$B$1002,MATCH(A191,'Keyword Map'!$AB$3:$AB$1002,0)),"")</f>
        <v/>
      </c>
      <c r="C191">
        <f>IF(B191="","",COUNTIF('Keyword Map'!$B$3:$B$1002,SUBSTITUTE(SUBSTITUTE(B191,"?","~?"),"*","~*")))</f>
        <v/>
      </c>
      <c r="D191">
        <f>IF(B191="","",SUMIFS('Keyword Map'!$C$3:$C$1002,'Keyword Map'!$B$3:$B$1002,SUBSTITUTE(SUBSTITUTE(B191,"?","~?"),"*","~*")))</f>
        <v/>
      </c>
      <c r="E191">
        <f>IF(B191="","",SUMPRODUCT(('Keyword Map'!$B$3:$B$1002=B191)*(LEN('Keyword Map'!$G$3:$G$1002)&gt;0)))</f>
        <v/>
      </c>
      <c r="F191">
        <f>IF(B191="","",C191-E191)</f>
        <v/>
      </c>
      <c r="G191">
        <f>IF(B191="","",COUNTIFS('Keyword Map'!$B$3:$B$1002,SUBSTITUTE(SUBSTITUTE(B191,"?","~?"),"*","~*"),'Keyword Map'!$R$3:$R$1002,"Yes"))</f>
        <v/>
      </c>
      <c r="H191">
        <f>IF(B191="","",COUNTIFS('Keyword Map'!$B$3:$B$1002,SUBSTITUTE(SUBSTITUTE(B191,"?","~?"),"*","~*"),'Keyword Map'!$W$3:$W$1002,"Yes"))</f>
        <v/>
      </c>
      <c r="I191">
        <f>IF(B191="","",IFERROR(ROUND(AVERAGEIFS('Keyword Map'!$P$3:$P$1002,'Keyword Map'!$B$3:$B$1002,SUBSTITUTE(SUBSTITUTE(B191,"?","~?"),"*","~*")),0),""))</f>
        <v/>
      </c>
    </row>
    <row r="192">
      <c r="A192">
        <f>ROW()-2</f>
        <v/>
      </c>
      <c r="B192">
        <f>IFERROR(INDEX('Keyword Map'!$B$3:$B$1002,MATCH(A192,'Keyword Map'!$AB$3:$AB$1002,0)),"")</f>
        <v/>
      </c>
      <c r="C192">
        <f>IF(B192="","",COUNTIF('Keyword Map'!$B$3:$B$1002,SUBSTITUTE(SUBSTITUTE(B192,"?","~?"),"*","~*")))</f>
        <v/>
      </c>
      <c r="D192">
        <f>IF(B192="","",SUMIFS('Keyword Map'!$C$3:$C$1002,'Keyword Map'!$B$3:$B$1002,SUBSTITUTE(SUBSTITUTE(B192,"?","~?"),"*","~*")))</f>
        <v/>
      </c>
      <c r="E192">
        <f>IF(B192="","",SUMPRODUCT(('Keyword Map'!$B$3:$B$1002=B192)*(LEN('Keyword Map'!$G$3:$G$1002)&gt;0)))</f>
        <v/>
      </c>
      <c r="F192">
        <f>IF(B192="","",C192-E192)</f>
        <v/>
      </c>
      <c r="G192">
        <f>IF(B192="","",COUNTIFS('Keyword Map'!$B$3:$B$1002,SUBSTITUTE(SUBSTITUTE(B192,"?","~?"),"*","~*"),'Keyword Map'!$R$3:$R$1002,"Yes"))</f>
        <v/>
      </c>
      <c r="H192">
        <f>IF(B192="","",COUNTIFS('Keyword Map'!$B$3:$B$1002,SUBSTITUTE(SUBSTITUTE(B192,"?","~?"),"*","~*"),'Keyword Map'!$W$3:$W$1002,"Yes"))</f>
        <v/>
      </c>
      <c r="I192">
        <f>IF(B192="","",IFERROR(ROUND(AVERAGEIFS('Keyword Map'!$P$3:$P$1002,'Keyword Map'!$B$3:$B$1002,SUBSTITUTE(SUBSTITUTE(B192,"?","~?"),"*","~*")),0),""))</f>
        <v/>
      </c>
    </row>
    <row r="193">
      <c r="A193">
        <f>ROW()-2</f>
        <v/>
      </c>
      <c r="B193">
        <f>IFERROR(INDEX('Keyword Map'!$B$3:$B$1002,MATCH(A193,'Keyword Map'!$AB$3:$AB$1002,0)),"")</f>
        <v/>
      </c>
      <c r="C193">
        <f>IF(B193="","",COUNTIF('Keyword Map'!$B$3:$B$1002,SUBSTITUTE(SUBSTITUTE(B193,"?","~?"),"*","~*")))</f>
        <v/>
      </c>
      <c r="D193">
        <f>IF(B193="","",SUMIFS('Keyword Map'!$C$3:$C$1002,'Keyword Map'!$B$3:$B$1002,SUBSTITUTE(SUBSTITUTE(B193,"?","~?"),"*","~*")))</f>
        <v/>
      </c>
      <c r="E193">
        <f>IF(B193="","",SUMPRODUCT(('Keyword Map'!$B$3:$B$1002=B193)*(LEN('Keyword Map'!$G$3:$G$1002)&gt;0)))</f>
        <v/>
      </c>
      <c r="F193">
        <f>IF(B193="","",C193-E193)</f>
        <v/>
      </c>
      <c r="G193">
        <f>IF(B193="","",COUNTIFS('Keyword Map'!$B$3:$B$1002,SUBSTITUTE(SUBSTITUTE(B193,"?","~?"),"*","~*"),'Keyword Map'!$R$3:$R$1002,"Yes"))</f>
        <v/>
      </c>
      <c r="H193">
        <f>IF(B193="","",COUNTIFS('Keyword Map'!$B$3:$B$1002,SUBSTITUTE(SUBSTITUTE(B193,"?","~?"),"*","~*"),'Keyword Map'!$W$3:$W$1002,"Yes"))</f>
        <v/>
      </c>
      <c r="I193">
        <f>IF(B193="","",IFERROR(ROUND(AVERAGEIFS('Keyword Map'!$P$3:$P$1002,'Keyword Map'!$B$3:$B$1002,SUBSTITUTE(SUBSTITUTE(B193,"?","~?"),"*","~*")),0),""))</f>
        <v/>
      </c>
    </row>
    <row r="194">
      <c r="A194">
        <f>ROW()-2</f>
        <v/>
      </c>
      <c r="B194">
        <f>IFERROR(INDEX('Keyword Map'!$B$3:$B$1002,MATCH(A194,'Keyword Map'!$AB$3:$AB$1002,0)),"")</f>
        <v/>
      </c>
      <c r="C194">
        <f>IF(B194="","",COUNTIF('Keyword Map'!$B$3:$B$1002,SUBSTITUTE(SUBSTITUTE(B194,"?","~?"),"*","~*")))</f>
        <v/>
      </c>
      <c r="D194">
        <f>IF(B194="","",SUMIFS('Keyword Map'!$C$3:$C$1002,'Keyword Map'!$B$3:$B$1002,SUBSTITUTE(SUBSTITUTE(B194,"?","~?"),"*","~*")))</f>
        <v/>
      </c>
      <c r="E194">
        <f>IF(B194="","",SUMPRODUCT(('Keyword Map'!$B$3:$B$1002=B194)*(LEN('Keyword Map'!$G$3:$G$1002)&gt;0)))</f>
        <v/>
      </c>
      <c r="F194">
        <f>IF(B194="","",C194-E194)</f>
        <v/>
      </c>
      <c r="G194">
        <f>IF(B194="","",COUNTIFS('Keyword Map'!$B$3:$B$1002,SUBSTITUTE(SUBSTITUTE(B194,"?","~?"),"*","~*"),'Keyword Map'!$R$3:$R$1002,"Yes"))</f>
        <v/>
      </c>
      <c r="H194">
        <f>IF(B194="","",COUNTIFS('Keyword Map'!$B$3:$B$1002,SUBSTITUTE(SUBSTITUTE(B194,"?","~?"),"*","~*"),'Keyword Map'!$W$3:$W$1002,"Yes"))</f>
        <v/>
      </c>
      <c r="I194">
        <f>IF(B194="","",IFERROR(ROUND(AVERAGEIFS('Keyword Map'!$P$3:$P$1002,'Keyword Map'!$B$3:$B$1002,SUBSTITUTE(SUBSTITUTE(B194,"?","~?"),"*","~*")),0),""))</f>
        <v/>
      </c>
    </row>
    <row r="195">
      <c r="A195">
        <f>ROW()-2</f>
        <v/>
      </c>
      <c r="B195">
        <f>IFERROR(INDEX('Keyword Map'!$B$3:$B$1002,MATCH(A195,'Keyword Map'!$AB$3:$AB$1002,0)),"")</f>
        <v/>
      </c>
      <c r="C195">
        <f>IF(B195="","",COUNTIF('Keyword Map'!$B$3:$B$1002,SUBSTITUTE(SUBSTITUTE(B195,"?","~?"),"*","~*")))</f>
        <v/>
      </c>
      <c r="D195">
        <f>IF(B195="","",SUMIFS('Keyword Map'!$C$3:$C$1002,'Keyword Map'!$B$3:$B$1002,SUBSTITUTE(SUBSTITUTE(B195,"?","~?"),"*","~*")))</f>
        <v/>
      </c>
      <c r="E195">
        <f>IF(B195="","",SUMPRODUCT(('Keyword Map'!$B$3:$B$1002=B195)*(LEN('Keyword Map'!$G$3:$G$1002)&gt;0)))</f>
        <v/>
      </c>
      <c r="F195">
        <f>IF(B195="","",C195-E195)</f>
        <v/>
      </c>
      <c r="G195">
        <f>IF(B195="","",COUNTIFS('Keyword Map'!$B$3:$B$1002,SUBSTITUTE(SUBSTITUTE(B195,"?","~?"),"*","~*"),'Keyword Map'!$R$3:$R$1002,"Yes"))</f>
        <v/>
      </c>
      <c r="H195">
        <f>IF(B195="","",COUNTIFS('Keyword Map'!$B$3:$B$1002,SUBSTITUTE(SUBSTITUTE(B195,"?","~?"),"*","~*"),'Keyword Map'!$W$3:$W$1002,"Yes"))</f>
        <v/>
      </c>
      <c r="I195">
        <f>IF(B195="","",IFERROR(ROUND(AVERAGEIFS('Keyword Map'!$P$3:$P$1002,'Keyword Map'!$B$3:$B$1002,SUBSTITUTE(SUBSTITUTE(B195,"?","~?"),"*","~*")),0),""))</f>
        <v/>
      </c>
    </row>
    <row r="196">
      <c r="A196">
        <f>ROW()-2</f>
        <v/>
      </c>
      <c r="B196">
        <f>IFERROR(INDEX('Keyword Map'!$B$3:$B$1002,MATCH(A196,'Keyword Map'!$AB$3:$AB$1002,0)),"")</f>
        <v/>
      </c>
      <c r="C196">
        <f>IF(B196="","",COUNTIF('Keyword Map'!$B$3:$B$1002,SUBSTITUTE(SUBSTITUTE(B196,"?","~?"),"*","~*")))</f>
        <v/>
      </c>
      <c r="D196">
        <f>IF(B196="","",SUMIFS('Keyword Map'!$C$3:$C$1002,'Keyword Map'!$B$3:$B$1002,SUBSTITUTE(SUBSTITUTE(B196,"?","~?"),"*","~*")))</f>
        <v/>
      </c>
      <c r="E196">
        <f>IF(B196="","",SUMPRODUCT(('Keyword Map'!$B$3:$B$1002=B196)*(LEN('Keyword Map'!$G$3:$G$1002)&gt;0)))</f>
        <v/>
      </c>
      <c r="F196">
        <f>IF(B196="","",C196-E196)</f>
        <v/>
      </c>
      <c r="G196">
        <f>IF(B196="","",COUNTIFS('Keyword Map'!$B$3:$B$1002,SUBSTITUTE(SUBSTITUTE(B196,"?","~?"),"*","~*"),'Keyword Map'!$R$3:$R$1002,"Yes"))</f>
        <v/>
      </c>
      <c r="H196">
        <f>IF(B196="","",COUNTIFS('Keyword Map'!$B$3:$B$1002,SUBSTITUTE(SUBSTITUTE(B196,"?","~?"),"*","~*"),'Keyword Map'!$W$3:$W$1002,"Yes"))</f>
        <v/>
      </c>
      <c r="I196">
        <f>IF(B196="","",IFERROR(ROUND(AVERAGEIFS('Keyword Map'!$P$3:$P$1002,'Keyword Map'!$B$3:$B$1002,SUBSTITUTE(SUBSTITUTE(B196,"?","~?"),"*","~*")),0),""))</f>
        <v/>
      </c>
    </row>
    <row r="197">
      <c r="A197">
        <f>ROW()-2</f>
        <v/>
      </c>
      <c r="B197">
        <f>IFERROR(INDEX('Keyword Map'!$B$3:$B$1002,MATCH(A197,'Keyword Map'!$AB$3:$AB$1002,0)),"")</f>
        <v/>
      </c>
      <c r="C197">
        <f>IF(B197="","",COUNTIF('Keyword Map'!$B$3:$B$1002,SUBSTITUTE(SUBSTITUTE(B197,"?","~?"),"*","~*")))</f>
        <v/>
      </c>
      <c r="D197">
        <f>IF(B197="","",SUMIFS('Keyword Map'!$C$3:$C$1002,'Keyword Map'!$B$3:$B$1002,SUBSTITUTE(SUBSTITUTE(B197,"?","~?"),"*","~*")))</f>
        <v/>
      </c>
      <c r="E197">
        <f>IF(B197="","",SUMPRODUCT(('Keyword Map'!$B$3:$B$1002=B197)*(LEN('Keyword Map'!$G$3:$G$1002)&gt;0)))</f>
        <v/>
      </c>
      <c r="F197">
        <f>IF(B197="","",C197-E197)</f>
        <v/>
      </c>
      <c r="G197">
        <f>IF(B197="","",COUNTIFS('Keyword Map'!$B$3:$B$1002,SUBSTITUTE(SUBSTITUTE(B197,"?","~?"),"*","~*"),'Keyword Map'!$R$3:$R$1002,"Yes"))</f>
        <v/>
      </c>
      <c r="H197">
        <f>IF(B197="","",COUNTIFS('Keyword Map'!$B$3:$B$1002,SUBSTITUTE(SUBSTITUTE(B197,"?","~?"),"*","~*"),'Keyword Map'!$W$3:$W$1002,"Yes"))</f>
        <v/>
      </c>
      <c r="I197">
        <f>IF(B197="","",IFERROR(ROUND(AVERAGEIFS('Keyword Map'!$P$3:$P$1002,'Keyword Map'!$B$3:$B$1002,SUBSTITUTE(SUBSTITUTE(B197,"?","~?"),"*","~*")),0),""))</f>
        <v/>
      </c>
    </row>
    <row r="198">
      <c r="A198">
        <f>ROW()-2</f>
        <v/>
      </c>
      <c r="B198">
        <f>IFERROR(INDEX('Keyword Map'!$B$3:$B$1002,MATCH(A198,'Keyword Map'!$AB$3:$AB$1002,0)),"")</f>
        <v/>
      </c>
      <c r="C198">
        <f>IF(B198="","",COUNTIF('Keyword Map'!$B$3:$B$1002,SUBSTITUTE(SUBSTITUTE(B198,"?","~?"),"*","~*")))</f>
        <v/>
      </c>
      <c r="D198">
        <f>IF(B198="","",SUMIFS('Keyword Map'!$C$3:$C$1002,'Keyword Map'!$B$3:$B$1002,SUBSTITUTE(SUBSTITUTE(B198,"?","~?"),"*","~*")))</f>
        <v/>
      </c>
      <c r="E198">
        <f>IF(B198="","",SUMPRODUCT(('Keyword Map'!$B$3:$B$1002=B198)*(LEN('Keyword Map'!$G$3:$G$1002)&gt;0)))</f>
        <v/>
      </c>
      <c r="F198">
        <f>IF(B198="","",C198-E198)</f>
        <v/>
      </c>
      <c r="G198">
        <f>IF(B198="","",COUNTIFS('Keyword Map'!$B$3:$B$1002,SUBSTITUTE(SUBSTITUTE(B198,"?","~?"),"*","~*"),'Keyword Map'!$R$3:$R$1002,"Yes"))</f>
        <v/>
      </c>
      <c r="H198">
        <f>IF(B198="","",COUNTIFS('Keyword Map'!$B$3:$B$1002,SUBSTITUTE(SUBSTITUTE(B198,"?","~?"),"*","~*"),'Keyword Map'!$W$3:$W$1002,"Yes"))</f>
        <v/>
      </c>
      <c r="I198">
        <f>IF(B198="","",IFERROR(ROUND(AVERAGEIFS('Keyword Map'!$P$3:$P$1002,'Keyword Map'!$B$3:$B$1002,SUBSTITUTE(SUBSTITUTE(B198,"?","~?"),"*","~*")),0),""))</f>
        <v/>
      </c>
    </row>
    <row r="199">
      <c r="A199">
        <f>ROW()-2</f>
        <v/>
      </c>
      <c r="B199">
        <f>IFERROR(INDEX('Keyword Map'!$B$3:$B$1002,MATCH(A199,'Keyword Map'!$AB$3:$AB$1002,0)),"")</f>
        <v/>
      </c>
      <c r="C199">
        <f>IF(B199="","",COUNTIF('Keyword Map'!$B$3:$B$1002,SUBSTITUTE(SUBSTITUTE(B199,"?","~?"),"*","~*")))</f>
        <v/>
      </c>
      <c r="D199">
        <f>IF(B199="","",SUMIFS('Keyword Map'!$C$3:$C$1002,'Keyword Map'!$B$3:$B$1002,SUBSTITUTE(SUBSTITUTE(B199,"?","~?"),"*","~*")))</f>
        <v/>
      </c>
      <c r="E199">
        <f>IF(B199="","",SUMPRODUCT(('Keyword Map'!$B$3:$B$1002=B199)*(LEN('Keyword Map'!$G$3:$G$1002)&gt;0)))</f>
        <v/>
      </c>
      <c r="F199">
        <f>IF(B199="","",C199-E199)</f>
        <v/>
      </c>
      <c r="G199">
        <f>IF(B199="","",COUNTIFS('Keyword Map'!$B$3:$B$1002,SUBSTITUTE(SUBSTITUTE(B199,"?","~?"),"*","~*"),'Keyword Map'!$R$3:$R$1002,"Yes"))</f>
        <v/>
      </c>
      <c r="H199">
        <f>IF(B199="","",COUNTIFS('Keyword Map'!$B$3:$B$1002,SUBSTITUTE(SUBSTITUTE(B199,"?","~?"),"*","~*"),'Keyword Map'!$W$3:$W$1002,"Yes"))</f>
        <v/>
      </c>
      <c r="I199">
        <f>IF(B199="","",IFERROR(ROUND(AVERAGEIFS('Keyword Map'!$P$3:$P$1002,'Keyword Map'!$B$3:$B$1002,SUBSTITUTE(SUBSTITUTE(B199,"?","~?"),"*","~*")),0),""))</f>
        <v/>
      </c>
    </row>
    <row r="200">
      <c r="A200">
        <f>ROW()-2</f>
        <v/>
      </c>
      <c r="B200">
        <f>IFERROR(INDEX('Keyword Map'!$B$3:$B$1002,MATCH(A200,'Keyword Map'!$AB$3:$AB$1002,0)),"")</f>
        <v/>
      </c>
      <c r="C200">
        <f>IF(B200="","",COUNTIF('Keyword Map'!$B$3:$B$1002,SUBSTITUTE(SUBSTITUTE(B200,"?","~?"),"*","~*")))</f>
        <v/>
      </c>
      <c r="D200">
        <f>IF(B200="","",SUMIFS('Keyword Map'!$C$3:$C$1002,'Keyword Map'!$B$3:$B$1002,SUBSTITUTE(SUBSTITUTE(B200,"?","~?"),"*","~*")))</f>
        <v/>
      </c>
      <c r="E200">
        <f>IF(B200="","",SUMPRODUCT(('Keyword Map'!$B$3:$B$1002=B200)*(LEN('Keyword Map'!$G$3:$G$1002)&gt;0)))</f>
        <v/>
      </c>
      <c r="F200">
        <f>IF(B200="","",C200-E200)</f>
        <v/>
      </c>
      <c r="G200">
        <f>IF(B200="","",COUNTIFS('Keyword Map'!$B$3:$B$1002,SUBSTITUTE(SUBSTITUTE(B200,"?","~?"),"*","~*"),'Keyword Map'!$R$3:$R$1002,"Yes"))</f>
        <v/>
      </c>
      <c r="H200">
        <f>IF(B200="","",COUNTIFS('Keyword Map'!$B$3:$B$1002,SUBSTITUTE(SUBSTITUTE(B200,"?","~?"),"*","~*"),'Keyword Map'!$W$3:$W$1002,"Yes"))</f>
        <v/>
      </c>
      <c r="I200">
        <f>IF(B200="","",IFERROR(ROUND(AVERAGEIFS('Keyword Map'!$P$3:$P$1002,'Keyword Map'!$B$3:$B$1002,SUBSTITUTE(SUBSTITUTE(B200,"?","~?"),"*","~*")),0),""))</f>
        <v/>
      </c>
    </row>
    <row r="201">
      <c r="A201">
        <f>ROW()-2</f>
        <v/>
      </c>
      <c r="B201">
        <f>IFERROR(INDEX('Keyword Map'!$B$3:$B$1002,MATCH(A201,'Keyword Map'!$AB$3:$AB$1002,0)),"")</f>
        <v/>
      </c>
      <c r="C201">
        <f>IF(B201="","",COUNTIF('Keyword Map'!$B$3:$B$1002,SUBSTITUTE(SUBSTITUTE(B201,"?","~?"),"*","~*")))</f>
        <v/>
      </c>
      <c r="D201">
        <f>IF(B201="","",SUMIFS('Keyword Map'!$C$3:$C$1002,'Keyword Map'!$B$3:$B$1002,SUBSTITUTE(SUBSTITUTE(B201,"?","~?"),"*","~*")))</f>
        <v/>
      </c>
      <c r="E201">
        <f>IF(B201="","",SUMPRODUCT(('Keyword Map'!$B$3:$B$1002=B201)*(LEN('Keyword Map'!$G$3:$G$1002)&gt;0)))</f>
        <v/>
      </c>
      <c r="F201">
        <f>IF(B201="","",C201-E201)</f>
        <v/>
      </c>
      <c r="G201">
        <f>IF(B201="","",COUNTIFS('Keyword Map'!$B$3:$B$1002,SUBSTITUTE(SUBSTITUTE(B201,"?","~?"),"*","~*"),'Keyword Map'!$R$3:$R$1002,"Yes"))</f>
        <v/>
      </c>
      <c r="H201">
        <f>IF(B201="","",COUNTIFS('Keyword Map'!$B$3:$B$1002,SUBSTITUTE(SUBSTITUTE(B201,"?","~?"),"*","~*"),'Keyword Map'!$W$3:$W$1002,"Yes"))</f>
        <v/>
      </c>
      <c r="I201">
        <f>IF(B201="","",IFERROR(ROUND(AVERAGEIFS('Keyword Map'!$P$3:$P$1002,'Keyword Map'!$B$3:$B$1002,SUBSTITUTE(SUBSTITUTE(B201,"?","~?"),"*","~*")),0),""))</f>
        <v/>
      </c>
    </row>
    <row r="202">
      <c r="A202">
        <f>ROW()-2</f>
        <v/>
      </c>
      <c r="B202">
        <f>IFERROR(INDEX('Keyword Map'!$B$3:$B$1002,MATCH(A202,'Keyword Map'!$AB$3:$AB$1002,0)),"")</f>
        <v/>
      </c>
      <c r="C202">
        <f>IF(B202="","",COUNTIF('Keyword Map'!$B$3:$B$1002,SUBSTITUTE(SUBSTITUTE(B202,"?","~?"),"*","~*")))</f>
        <v/>
      </c>
      <c r="D202">
        <f>IF(B202="","",SUMIFS('Keyword Map'!$C$3:$C$1002,'Keyword Map'!$B$3:$B$1002,SUBSTITUTE(SUBSTITUTE(B202,"?","~?"),"*","~*")))</f>
        <v/>
      </c>
      <c r="E202">
        <f>IF(B202="","",SUMPRODUCT(('Keyword Map'!$B$3:$B$1002=B202)*(LEN('Keyword Map'!$G$3:$G$1002)&gt;0)))</f>
        <v/>
      </c>
      <c r="F202">
        <f>IF(B202="","",C202-E202)</f>
        <v/>
      </c>
      <c r="G202">
        <f>IF(B202="","",COUNTIFS('Keyword Map'!$B$3:$B$1002,SUBSTITUTE(SUBSTITUTE(B202,"?","~?"),"*","~*"),'Keyword Map'!$R$3:$R$1002,"Yes"))</f>
        <v/>
      </c>
      <c r="H202">
        <f>IF(B202="","",COUNTIFS('Keyword Map'!$B$3:$B$1002,SUBSTITUTE(SUBSTITUTE(B202,"?","~?"),"*","~*"),'Keyword Map'!$W$3:$W$1002,"Yes"))</f>
        <v/>
      </c>
      <c r="I202">
        <f>IF(B202="","",IFERROR(ROUND(AVERAGEIFS('Keyword Map'!$P$3:$P$1002,'Keyword Map'!$B$3:$B$1002,SUBSTITUTE(SUBSTITUTE(B202,"?","~?"),"*","~*")),0),""))</f>
        <v/>
      </c>
    </row>
    <row r="203">
      <c r="A203">
        <f>ROW()-2</f>
        <v/>
      </c>
      <c r="B203">
        <f>IFERROR(INDEX('Keyword Map'!$B$3:$B$1002,MATCH(A203,'Keyword Map'!$AB$3:$AB$1002,0)),"")</f>
        <v/>
      </c>
      <c r="C203">
        <f>IF(B203="","",COUNTIF('Keyword Map'!$B$3:$B$1002,SUBSTITUTE(SUBSTITUTE(B203,"?","~?"),"*","~*")))</f>
        <v/>
      </c>
      <c r="D203">
        <f>IF(B203="","",SUMIFS('Keyword Map'!$C$3:$C$1002,'Keyword Map'!$B$3:$B$1002,SUBSTITUTE(SUBSTITUTE(B203,"?","~?"),"*","~*")))</f>
        <v/>
      </c>
      <c r="E203">
        <f>IF(B203="","",SUMPRODUCT(('Keyword Map'!$B$3:$B$1002=B203)*(LEN('Keyword Map'!$G$3:$G$1002)&gt;0)))</f>
        <v/>
      </c>
      <c r="F203">
        <f>IF(B203="","",C203-E203)</f>
        <v/>
      </c>
      <c r="G203">
        <f>IF(B203="","",COUNTIFS('Keyword Map'!$B$3:$B$1002,SUBSTITUTE(SUBSTITUTE(B203,"?","~?"),"*","~*"),'Keyword Map'!$R$3:$R$1002,"Yes"))</f>
        <v/>
      </c>
      <c r="H203">
        <f>IF(B203="","",COUNTIFS('Keyword Map'!$B$3:$B$1002,SUBSTITUTE(SUBSTITUTE(B203,"?","~?"),"*","~*"),'Keyword Map'!$W$3:$W$1002,"Yes"))</f>
        <v/>
      </c>
      <c r="I203">
        <f>IF(B203="","",IFERROR(ROUND(AVERAGEIFS('Keyword Map'!$P$3:$P$1002,'Keyword Map'!$B$3:$B$1002,SUBSTITUTE(SUBSTITUTE(B203,"?","~?"),"*","~*")),0),""))</f>
        <v/>
      </c>
    </row>
    <row r="204">
      <c r="A204">
        <f>ROW()-2</f>
        <v/>
      </c>
      <c r="B204">
        <f>IFERROR(INDEX('Keyword Map'!$B$3:$B$1002,MATCH(A204,'Keyword Map'!$AB$3:$AB$1002,0)),"")</f>
        <v/>
      </c>
      <c r="C204">
        <f>IF(B204="","",COUNTIF('Keyword Map'!$B$3:$B$1002,SUBSTITUTE(SUBSTITUTE(B204,"?","~?"),"*","~*")))</f>
        <v/>
      </c>
      <c r="D204">
        <f>IF(B204="","",SUMIFS('Keyword Map'!$C$3:$C$1002,'Keyword Map'!$B$3:$B$1002,SUBSTITUTE(SUBSTITUTE(B204,"?","~?"),"*","~*")))</f>
        <v/>
      </c>
      <c r="E204">
        <f>IF(B204="","",SUMPRODUCT(('Keyword Map'!$B$3:$B$1002=B204)*(LEN('Keyword Map'!$G$3:$G$1002)&gt;0)))</f>
        <v/>
      </c>
      <c r="F204">
        <f>IF(B204="","",C204-E204)</f>
        <v/>
      </c>
      <c r="G204">
        <f>IF(B204="","",COUNTIFS('Keyword Map'!$B$3:$B$1002,SUBSTITUTE(SUBSTITUTE(B204,"?","~?"),"*","~*"),'Keyword Map'!$R$3:$R$1002,"Yes"))</f>
        <v/>
      </c>
      <c r="H204">
        <f>IF(B204="","",COUNTIFS('Keyword Map'!$B$3:$B$1002,SUBSTITUTE(SUBSTITUTE(B204,"?","~?"),"*","~*"),'Keyword Map'!$W$3:$W$1002,"Yes"))</f>
        <v/>
      </c>
      <c r="I204">
        <f>IF(B204="","",IFERROR(ROUND(AVERAGEIFS('Keyword Map'!$P$3:$P$1002,'Keyword Map'!$B$3:$B$1002,SUBSTITUTE(SUBSTITUTE(B204,"?","~?"),"*","~*")),0),""))</f>
        <v/>
      </c>
    </row>
    <row r="205">
      <c r="A205">
        <f>ROW()-2</f>
        <v/>
      </c>
      <c r="B205">
        <f>IFERROR(INDEX('Keyword Map'!$B$3:$B$1002,MATCH(A205,'Keyword Map'!$AB$3:$AB$1002,0)),"")</f>
        <v/>
      </c>
      <c r="C205">
        <f>IF(B205="","",COUNTIF('Keyword Map'!$B$3:$B$1002,SUBSTITUTE(SUBSTITUTE(B205,"?","~?"),"*","~*")))</f>
        <v/>
      </c>
      <c r="D205">
        <f>IF(B205="","",SUMIFS('Keyword Map'!$C$3:$C$1002,'Keyword Map'!$B$3:$B$1002,SUBSTITUTE(SUBSTITUTE(B205,"?","~?"),"*","~*")))</f>
        <v/>
      </c>
      <c r="E205">
        <f>IF(B205="","",SUMPRODUCT(('Keyword Map'!$B$3:$B$1002=B205)*(LEN('Keyword Map'!$G$3:$G$1002)&gt;0)))</f>
        <v/>
      </c>
      <c r="F205">
        <f>IF(B205="","",C205-E205)</f>
        <v/>
      </c>
      <c r="G205">
        <f>IF(B205="","",COUNTIFS('Keyword Map'!$B$3:$B$1002,SUBSTITUTE(SUBSTITUTE(B205,"?","~?"),"*","~*"),'Keyword Map'!$R$3:$R$1002,"Yes"))</f>
        <v/>
      </c>
      <c r="H205">
        <f>IF(B205="","",COUNTIFS('Keyword Map'!$B$3:$B$1002,SUBSTITUTE(SUBSTITUTE(B205,"?","~?"),"*","~*"),'Keyword Map'!$W$3:$W$1002,"Yes"))</f>
        <v/>
      </c>
      <c r="I205">
        <f>IF(B205="","",IFERROR(ROUND(AVERAGEIFS('Keyword Map'!$P$3:$P$1002,'Keyword Map'!$B$3:$B$1002,SUBSTITUTE(SUBSTITUTE(B205,"?","~?"),"*","~*")),0),""))</f>
        <v/>
      </c>
    </row>
    <row r="206">
      <c r="A206">
        <f>ROW()-2</f>
        <v/>
      </c>
      <c r="B206">
        <f>IFERROR(INDEX('Keyword Map'!$B$3:$B$1002,MATCH(A206,'Keyword Map'!$AB$3:$AB$1002,0)),"")</f>
        <v/>
      </c>
      <c r="C206">
        <f>IF(B206="","",COUNTIF('Keyword Map'!$B$3:$B$1002,SUBSTITUTE(SUBSTITUTE(B206,"?","~?"),"*","~*")))</f>
        <v/>
      </c>
      <c r="D206">
        <f>IF(B206="","",SUMIFS('Keyword Map'!$C$3:$C$1002,'Keyword Map'!$B$3:$B$1002,SUBSTITUTE(SUBSTITUTE(B206,"?","~?"),"*","~*")))</f>
        <v/>
      </c>
      <c r="E206">
        <f>IF(B206="","",SUMPRODUCT(('Keyword Map'!$B$3:$B$1002=B206)*(LEN('Keyword Map'!$G$3:$G$1002)&gt;0)))</f>
        <v/>
      </c>
      <c r="F206">
        <f>IF(B206="","",C206-E206)</f>
        <v/>
      </c>
      <c r="G206">
        <f>IF(B206="","",COUNTIFS('Keyword Map'!$B$3:$B$1002,SUBSTITUTE(SUBSTITUTE(B206,"?","~?"),"*","~*"),'Keyword Map'!$R$3:$R$1002,"Yes"))</f>
        <v/>
      </c>
      <c r="H206">
        <f>IF(B206="","",COUNTIFS('Keyword Map'!$B$3:$B$1002,SUBSTITUTE(SUBSTITUTE(B206,"?","~?"),"*","~*"),'Keyword Map'!$W$3:$W$1002,"Yes"))</f>
        <v/>
      </c>
      <c r="I206">
        <f>IF(B206="","",IFERROR(ROUND(AVERAGEIFS('Keyword Map'!$P$3:$P$1002,'Keyword Map'!$B$3:$B$1002,SUBSTITUTE(SUBSTITUTE(B206,"?","~?"),"*","~*")),0),""))</f>
        <v/>
      </c>
    </row>
    <row r="207">
      <c r="A207">
        <f>ROW()-2</f>
        <v/>
      </c>
      <c r="B207">
        <f>IFERROR(INDEX('Keyword Map'!$B$3:$B$1002,MATCH(A207,'Keyword Map'!$AB$3:$AB$1002,0)),"")</f>
        <v/>
      </c>
      <c r="C207">
        <f>IF(B207="","",COUNTIF('Keyword Map'!$B$3:$B$1002,SUBSTITUTE(SUBSTITUTE(B207,"?","~?"),"*","~*")))</f>
        <v/>
      </c>
      <c r="D207">
        <f>IF(B207="","",SUMIFS('Keyword Map'!$C$3:$C$1002,'Keyword Map'!$B$3:$B$1002,SUBSTITUTE(SUBSTITUTE(B207,"?","~?"),"*","~*")))</f>
        <v/>
      </c>
      <c r="E207">
        <f>IF(B207="","",SUMPRODUCT(('Keyword Map'!$B$3:$B$1002=B207)*(LEN('Keyword Map'!$G$3:$G$1002)&gt;0)))</f>
        <v/>
      </c>
      <c r="F207">
        <f>IF(B207="","",C207-E207)</f>
        <v/>
      </c>
      <c r="G207">
        <f>IF(B207="","",COUNTIFS('Keyword Map'!$B$3:$B$1002,SUBSTITUTE(SUBSTITUTE(B207,"?","~?"),"*","~*"),'Keyword Map'!$R$3:$R$1002,"Yes"))</f>
        <v/>
      </c>
      <c r="H207">
        <f>IF(B207="","",COUNTIFS('Keyword Map'!$B$3:$B$1002,SUBSTITUTE(SUBSTITUTE(B207,"?","~?"),"*","~*"),'Keyword Map'!$W$3:$W$1002,"Yes"))</f>
        <v/>
      </c>
      <c r="I207">
        <f>IF(B207="","",IFERROR(ROUND(AVERAGEIFS('Keyword Map'!$P$3:$P$1002,'Keyword Map'!$B$3:$B$1002,SUBSTITUTE(SUBSTITUTE(B207,"?","~?"),"*","~*")),0),""))</f>
        <v/>
      </c>
    </row>
    <row r="208">
      <c r="A208">
        <f>ROW()-2</f>
        <v/>
      </c>
      <c r="B208">
        <f>IFERROR(INDEX('Keyword Map'!$B$3:$B$1002,MATCH(A208,'Keyword Map'!$AB$3:$AB$1002,0)),"")</f>
        <v/>
      </c>
      <c r="C208">
        <f>IF(B208="","",COUNTIF('Keyword Map'!$B$3:$B$1002,SUBSTITUTE(SUBSTITUTE(B208,"?","~?"),"*","~*")))</f>
        <v/>
      </c>
      <c r="D208">
        <f>IF(B208="","",SUMIFS('Keyword Map'!$C$3:$C$1002,'Keyword Map'!$B$3:$B$1002,SUBSTITUTE(SUBSTITUTE(B208,"?","~?"),"*","~*")))</f>
        <v/>
      </c>
      <c r="E208">
        <f>IF(B208="","",SUMPRODUCT(('Keyword Map'!$B$3:$B$1002=B208)*(LEN('Keyword Map'!$G$3:$G$1002)&gt;0)))</f>
        <v/>
      </c>
      <c r="F208">
        <f>IF(B208="","",C208-E208)</f>
        <v/>
      </c>
      <c r="G208">
        <f>IF(B208="","",COUNTIFS('Keyword Map'!$B$3:$B$1002,SUBSTITUTE(SUBSTITUTE(B208,"?","~?"),"*","~*"),'Keyword Map'!$R$3:$R$1002,"Yes"))</f>
        <v/>
      </c>
      <c r="H208">
        <f>IF(B208="","",COUNTIFS('Keyword Map'!$B$3:$B$1002,SUBSTITUTE(SUBSTITUTE(B208,"?","~?"),"*","~*"),'Keyword Map'!$W$3:$W$1002,"Yes"))</f>
        <v/>
      </c>
      <c r="I208">
        <f>IF(B208="","",IFERROR(ROUND(AVERAGEIFS('Keyword Map'!$P$3:$P$1002,'Keyword Map'!$B$3:$B$1002,SUBSTITUTE(SUBSTITUTE(B208,"?","~?"),"*","~*")),0),""))</f>
        <v/>
      </c>
    </row>
    <row r="209">
      <c r="A209">
        <f>ROW()-2</f>
        <v/>
      </c>
      <c r="B209">
        <f>IFERROR(INDEX('Keyword Map'!$B$3:$B$1002,MATCH(A209,'Keyword Map'!$AB$3:$AB$1002,0)),"")</f>
        <v/>
      </c>
      <c r="C209">
        <f>IF(B209="","",COUNTIF('Keyword Map'!$B$3:$B$1002,SUBSTITUTE(SUBSTITUTE(B209,"?","~?"),"*","~*")))</f>
        <v/>
      </c>
      <c r="D209">
        <f>IF(B209="","",SUMIFS('Keyword Map'!$C$3:$C$1002,'Keyword Map'!$B$3:$B$1002,SUBSTITUTE(SUBSTITUTE(B209,"?","~?"),"*","~*")))</f>
        <v/>
      </c>
      <c r="E209">
        <f>IF(B209="","",SUMPRODUCT(('Keyword Map'!$B$3:$B$1002=B209)*(LEN('Keyword Map'!$G$3:$G$1002)&gt;0)))</f>
        <v/>
      </c>
      <c r="F209">
        <f>IF(B209="","",C209-E209)</f>
        <v/>
      </c>
      <c r="G209">
        <f>IF(B209="","",COUNTIFS('Keyword Map'!$B$3:$B$1002,SUBSTITUTE(SUBSTITUTE(B209,"?","~?"),"*","~*"),'Keyword Map'!$R$3:$R$1002,"Yes"))</f>
        <v/>
      </c>
      <c r="H209">
        <f>IF(B209="","",COUNTIFS('Keyword Map'!$B$3:$B$1002,SUBSTITUTE(SUBSTITUTE(B209,"?","~?"),"*","~*"),'Keyword Map'!$W$3:$W$1002,"Yes"))</f>
        <v/>
      </c>
      <c r="I209">
        <f>IF(B209="","",IFERROR(ROUND(AVERAGEIFS('Keyword Map'!$P$3:$P$1002,'Keyword Map'!$B$3:$B$1002,SUBSTITUTE(SUBSTITUTE(B209,"?","~?"),"*","~*")),0),""))</f>
        <v/>
      </c>
    </row>
    <row r="210">
      <c r="A210">
        <f>ROW()-2</f>
        <v/>
      </c>
      <c r="B210">
        <f>IFERROR(INDEX('Keyword Map'!$B$3:$B$1002,MATCH(A210,'Keyword Map'!$AB$3:$AB$1002,0)),"")</f>
        <v/>
      </c>
      <c r="C210">
        <f>IF(B210="","",COUNTIF('Keyword Map'!$B$3:$B$1002,SUBSTITUTE(SUBSTITUTE(B210,"?","~?"),"*","~*")))</f>
        <v/>
      </c>
      <c r="D210">
        <f>IF(B210="","",SUMIFS('Keyword Map'!$C$3:$C$1002,'Keyword Map'!$B$3:$B$1002,SUBSTITUTE(SUBSTITUTE(B210,"?","~?"),"*","~*")))</f>
        <v/>
      </c>
      <c r="E210">
        <f>IF(B210="","",SUMPRODUCT(('Keyword Map'!$B$3:$B$1002=B210)*(LEN('Keyword Map'!$G$3:$G$1002)&gt;0)))</f>
        <v/>
      </c>
      <c r="F210">
        <f>IF(B210="","",C210-E210)</f>
        <v/>
      </c>
      <c r="G210">
        <f>IF(B210="","",COUNTIFS('Keyword Map'!$B$3:$B$1002,SUBSTITUTE(SUBSTITUTE(B210,"?","~?"),"*","~*"),'Keyword Map'!$R$3:$R$1002,"Yes"))</f>
        <v/>
      </c>
      <c r="H210">
        <f>IF(B210="","",COUNTIFS('Keyword Map'!$B$3:$B$1002,SUBSTITUTE(SUBSTITUTE(B210,"?","~?"),"*","~*"),'Keyword Map'!$W$3:$W$1002,"Yes"))</f>
        <v/>
      </c>
      <c r="I210">
        <f>IF(B210="","",IFERROR(ROUND(AVERAGEIFS('Keyword Map'!$P$3:$P$1002,'Keyword Map'!$B$3:$B$1002,SUBSTITUTE(SUBSTITUTE(B210,"?","~?"),"*","~*")),0),""))</f>
        <v/>
      </c>
    </row>
    <row r="211">
      <c r="A211">
        <f>ROW()-2</f>
        <v/>
      </c>
      <c r="B211">
        <f>IFERROR(INDEX('Keyword Map'!$B$3:$B$1002,MATCH(A211,'Keyword Map'!$AB$3:$AB$1002,0)),"")</f>
        <v/>
      </c>
      <c r="C211">
        <f>IF(B211="","",COUNTIF('Keyword Map'!$B$3:$B$1002,SUBSTITUTE(SUBSTITUTE(B211,"?","~?"),"*","~*")))</f>
        <v/>
      </c>
      <c r="D211">
        <f>IF(B211="","",SUMIFS('Keyword Map'!$C$3:$C$1002,'Keyword Map'!$B$3:$B$1002,SUBSTITUTE(SUBSTITUTE(B211,"?","~?"),"*","~*")))</f>
        <v/>
      </c>
      <c r="E211">
        <f>IF(B211="","",SUMPRODUCT(('Keyword Map'!$B$3:$B$1002=B211)*(LEN('Keyword Map'!$G$3:$G$1002)&gt;0)))</f>
        <v/>
      </c>
      <c r="F211">
        <f>IF(B211="","",C211-E211)</f>
        <v/>
      </c>
      <c r="G211">
        <f>IF(B211="","",COUNTIFS('Keyword Map'!$B$3:$B$1002,SUBSTITUTE(SUBSTITUTE(B211,"?","~?"),"*","~*"),'Keyword Map'!$R$3:$R$1002,"Yes"))</f>
        <v/>
      </c>
      <c r="H211">
        <f>IF(B211="","",COUNTIFS('Keyword Map'!$B$3:$B$1002,SUBSTITUTE(SUBSTITUTE(B211,"?","~?"),"*","~*"),'Keyword Map'!$W$3:$W$1002,"Yes"))</f>
        <v/>
      </c>
      <c r="I211">
        <f>IF(B211="","",IFERROR(ROUND(AVERAGEIFS('Keyword Map'!$P$3:$P$1002,'Keyword Map'!$B$3:$B$1002,SUBSTITUTE(SUBSTITUTE(B211,"?","~?"),"*","~*")),0),""))</f>
        <v/>
      </c>
    </row>
    <row r="212">
      <c r="A212">
        <f>ROW()-2</f>
        <v/>
      </c>
      <c r="B212">
        <f>IFERROR(INDEX('Keyword Map'!$B$3:$B$1002,MATCH(A212,'Keyword Map'!$AB$3:$AB$1002,0)),"")</f>
        <v/>
      </c>
      <c r="C212">
        <f>IF(B212="","",COUNTIF('Keyword Map'!$B$3:$B$1002,SUBSTITUTE(SUBSTITUTE(B212,"?","~?"),"*","~*")))</f>
        <v/>
      </c>
      <c r="D212">
        <f>IF(B212="","",SUMIFS('Keyword Map'!$C$3:$C$1002,'Keyword Map'!$B$3:$B$1002,SUBSTITUTE(SUBSTITUTE(B212,"?","~?"),"*","~*")))</f>
        <v/>
      </c>
      <c r="E212">
        <f>IF(B212="","",SUMPRODUCT(('Keyword Map'!$B$3:$B$1002=B212)*(LEN('Keyword Map'!$G$3:$G$1002)&gt;0)))</f>
        <v/>
      </c>
      <c r="F212">
        <f>IF(B212="","",C212-E212)</f>
        <v/>
      </c>
      <c r="G212">
        <f>IF(B212="","",COUNTIFS('Keyword Map'!$B$3:$B$1002,SUBSTITUTE(SUBSTITUTE(B212,"?","~?"),"*","~*"),'Keyword Map'!$R$3:$R$1002,"Yes"))</f>
        <v/>
      </c>
      <c r="H212">
        <f>IF(B212="","",COUNTIFS('Keyword Map'!$B$3:$B$1002,SUBSTITUTE(SUBSTITUTE(B212,"?","~?"),"*","~*"),'Keyword Map'!$W$3:$W$1002,"Yes"))</f>
        <v/>
      </c>
      <c r="I212">
        <f>IF(B212="","",IFERROR(ROUND(AVERAGEIFS('Keyword Map'!$P$3:$P$1002,'Keyword Map'!$B$3:$B$1002,SUBSTITUTE(SUBSTITUTE(B212,"?","~?"),"*","~*")),0),""))</f>
        <v/>
      </c>
    </row>
    <row r="213">
      <c r="A213">
        <f>ROW()-2</f>
        <v/>
      </c>
      <c r="B213">
        <f>IFERROR(INDEX('Keyword Map'!$B$3:$B$1002,MATCH(A213,'Keyword Map'!$AB$3:$AB$1002,0)),"")</f>
        <v/>
      </c>
      <c r="C213">
        <f>IF(B213="","",COUNTIF('Keyword Map'!$B$3:$B$1002,SUBSTITUTE(SUBSTITUTE(B213,"?","~?"),"*","~*")))</f>
        <v/>
      </c>
      <c r="D213">
        <f>IF(B213="","",SUMIFS('Keyword Map'!$C$3:$C$1002,'Keyword Map'!$B$3:$B$1002,SUBSTITUTE(SUBSTITUTE(B213,"?","~?"),"*","~*")))</f>
        <v/>
      </c>
      <c r="E213">
        <f>IF(B213="","",SUMPRODUCT(('Keyword Map'!$B$3:$B$1002=B213)*(LEN('Keyword Map'!$G$3:$G$1002)&gt;0)))</f>
        <v/>
      </c>
      <c r="F213">
        <f>IF(B213="","",C213-E213)</f>
        <v/>
      </c>
      <c r="G213">
        <f>IF(B213="","",COUNTIFS('Keyword Map'!$B$3:$B$1002,SUBSTITUTE(SUBSTITUTE(B213,"?","~?"),"*","~*"),'Keyword Map'!$R$3:$R$1002,"Yes"))</f>
        <v/>
      </c>
      <c r="H213">
        <f>IF(B213="","",COUNTIFS('Keyword Map'!$B$3:$B$1002,SUBSTITUTE(SUBSTITUTE(B213,"?","~?"),"*","~*"),'Keyword Map'!$W$3:$W$1002,"Yes"))</f>
        <v/>
      </c>
      <c r="I213">
        <f>IF(B213="","",IFERROR(ROUND(AVERAGEIFS('Keyword Map'!$P$3:$P$1002,'Keyword Map'!$B$3:$B$1002,SUBSTITUTE(SUBSTITUTE(B213,"?","~?"),"*","~*")),0),""))</f>
        <v/>
      </c>
    </row>
    <row r="214">
      <c r="A214">
        <f>ROW()-2</f>
        <v/>
      </c>
      <c r="B214">
        <f>IFERROR(INDEX('Keyword Map'!$B$3:$B$1002,MATCH(A214,'Keyword Map'!$AB$3:$AB$1002,0)),"")</f>
        <v/>
      </c>
      <c r="C214">
        <f>IF(B214="","",COUNTIF('Keyword Map'!$B$3:$B$1002,SUBSTITUTE(SUBSTITUTE(B214,"?","~?"),"*","~*")))</f>
        <v/>
      </c>
      <c r="D214">
        <f>IF(B214="","",SUMIFS('Keyword Map'!$C$3:$C$1002,'Keyword Map'!$B$3:$B$1002,SUBSTITUTE(SUBSTITUTE(B214,"?","~?"),"*","~*")))</f>
        <v/>
      </c>
      <c r="E214">
        <f>IF(B214="","",SUMPRODUCT(('Keyword Map'!$B$3:$B$1002=B214)*(LEN('Keyword Map'!$G$3:$G$1002)&gt;0)))</f>
        <v/>
      </c>
      <c r="F214">
        <f>IF(B214="","",C214-E214)</f>
        <v/>
      </c>
      <c r="G214">
        <f>IF(B214="","",COUNTIFS('Keyword Map'!$B$3:$B$1002,SUBSTITUTE(SUBSTITUTE(B214,"?","~?"),"*","~*"),'Keyword Map'!$R$3:$R$1002,"Yes"))</f>
        <v/>
      </c>
      <c r="H214">
        <f>IF(B214="","",COUNTIFS('Keyword Map'!$B$3:$B$1002,SUBSTITUTE(SUBSTITUTE(B214,"?","~?"),"*","~*"),'Keyword Map'!$W$3:$W$1002,"Yes"))</f>
        <v/>
      </c>
      <c r="I214">
        <f>IF(B214="","",IFERROR(ROUND(AVERAGEIFS('Keyword Map'!$P$3:$P$1002,'Keyword Map'!$B$3:$B$1002,SUBSTITUTE(SUBSTITUTE(B214,"?","~?"),"*","~*")),0),""))</f>
        <v/>
      </c>
    </row>
    <row r="215">
      <c r="A215">
        <f>ROW()-2</f>
        <v/>
      </c>
      <c r="B215">
        <f>IFERROR(INDEX('Keyword Map'!$B$3:$B$1002,MATCH(A215,'Keyword Map'!$AB$3:$AB$1002,0)),"")</f>
        <v/>
      </c>
      <c r="C215">
        <f>IF(B215="","",COUNTIF('Keyword Map'!$B$3:$B$1002,SUBSTITUTE(SUBSTITUTE(B215,"?","~?"),"*","~*")))</f>
        <v/>
      </c>
      <c r="D215">
        <f>IF(B215="","",SUMIFS('Keyword Map'!$C$3:$C$1002,'Keyword Map'!$B$3:$B$1002,SUBSTITUTE(SUBSTITUTE(B215,"?","~?"),"*","~*")))</f>
        <v/>
      </c>
      <c r="E215">
        <f>IF(B215="","",SUMPRODUCT(('Keyword Map'!$B$3:$B$1002=B215)*(LEN('Keyword Map'!$G$3:$G$1002)&gt;0)))</f>
        <v/>
      </c>
      <c r="F215">
        <f>IF(B215="","",C215-E215)</f>
        <v/>
      </c>
      <c r="G215">
        <f>IF(B215="","",COUNTIFS('Keyword Map'!$B$3:$B$1002,SUBSTITUTE(SUBSTITUTE(B215,"?","~?"),"*","~*"),'Keyword Map'!$R$3:$R$1002,"Yes"))</f>
        <v/>
      </c>
      <c r="H215">
        <f>IF(B215="","",COUNTIFS('Keyword Map'!$B$3:$B$1002,SUBSTITUTE(SUBSTITUTE(B215,"?","~?"),"*","~*"),'Keyword Map'!$W$3:$W$1002,"Yes"))</f>
        <v/>
      </c>
      <c r="I215">
        <f>IF(B215="","",IFERROR(ROUND(AVERAGEIFS('Keyword Map'!$P$3:$P$1002,'Keyword Map'!$B$3:$B$1002,SUBSTITUTE(SUBSTITUTE(B215,"?","~?"),"*","~*")),0),""))</f>
        <v/>
      </c>
    </row>
    <row r="216">
      <c r="A216">
        <f>ROW()-2</f>
        <v/>
      </c>
      <c r="B216">
        <f>IFERROR(INDEX('Keyword Map'!$B$3:$B$1002,MATCH(A216,'Keyword Map'!$AB$3:$AB$1002,0)),"")</f>
        <v/>
      </c>
      <c r="C216">
        <f>IF(B216="","",COUNTIF('Keyword Map'!$B$3:$B$1002,SUBSTITUTE(SUBSTITUTE(B216,"?","~?"),"*","~*")))</f>
        <v/>
      </c>
      <c r="D216">
        <f>IF(B216="","",SUMIFS('Keyword Map'!$C$3:$C$1002,'Keyword Map'!$B$3:$B$1002,SUBSTITUTE(SUBSTITUTE(B216,"?","~?"),"*","~*")))</f>
        <v/>
      </c>
      <c r="E216">
        <f>IF(B216="","",SUMPRODUCT(('Keyword Map'!$B$3:$B$1002=B216)*(LEN('Keyword Map'!$G$3:$G$1002)&gt;0)))</f>
        <v/>
      </c>
      <c r="F216">
        <f>IF(B216="","",C216-E216)</f>
        <v/>
      </c>
      <c r="G216">
        <f>IF(B216="","",COUNTIFS('Keyword Map'!$B$3:$B$1002,SUBSTITUTE(SUBSTITUTE(B216,"?","~?"),"*","~*"),'Keyword Map'!$R$3:$R$1002,"Yes"))</f>
        <v/>
      </c>
      <c r="H216">
        <f>IF(B216="","",COUNTIFS('Keyword Map'!$B$3:$B$1002,SUBSTITUTE(SUBSTITUTE(B216,"?","~?"),"*","~*"),'Keyword Map'!$W$3:$W$1002,"Yes"))</f>
        <v/>
      </c>
      <c r="I216">
        <f>IF(B216="","",IFERROR(ROUND(AVERAGEIFS('Keyword Map'!$P$3:$P$1002,'Keyword Map'!$B$3:$B$1002,SUBSTITUTE(SUBSTITUTE(B216,"?","~?"),"*","~*")),0),""))</f>
        <v/>
      </c>
    </row>
    <row r="217">
      <c r="A217">
        <f>ROW()-2</f>
        <v/>
      </c>
      <c r="B217">
        <f>IFERROR(INDEX('Keyword Map'!$B$3:$B$1002,MATCH(A217,'Keyword Map'!$AB$3:$AB$1002,0)),"")</f>
        <v/>
      </c>
      <c r="C217">
        <f>IF(B217="","",COUNTIF('Keyword Map'!$B$3:$B$1002,SUBSTITUTE(SUBSTITUTE(B217,"?","~?"),"*","~*")))</f>
        <v/>
      </c>
      <c r="D217">
        <f>IF(B217="","",SUMIFS('Keyword Map'!$C$3:$C$1002,'Keyword Map'!$B$3:$B$1002,SUBSTITUTE(SUBSTITUTE(B217,"?","~?"),"*","~*")))</f>
        <v/>
      </c>
      <c r="E217">
        <f>IF(B217="","",SUMPRODUCT(('Keyword Map'!$B$3:$B$1002=B217)*(LEN('Keyword Map'!$G$3:$G$1002)&gt;0)))</f>
        <v/>
      </c>
      <c r="F217">
        <f>IF(B217="","",C217-E217)</f>
        <v/>
      </c>
      <c r="G217">
        <f>IF(B217="","",COUNTIFS('Keyword Map'!$B$3:$B$1002,SUBSTITUTE(SUBSTITUTE(B217,"?","~?"),"*","~*"),'Keyword Map'!$R$3:$R$1002,"Yes"))</f>
        <v/>
      </c>
      <c r="H217">
        <f>IF(B217="","",COUNTIFS('Keyword Map'!$B$3:$B$1002,SUBSTITUTE(SUBSTITUTE(B217,"?","~?"),"*","~*"),'Keyword Map'!$W$3:$W$1002,"Yes"))</f>
        <v/>
      </c>
      <c r="I217">
        <f>IF(B217="","",IFERROR(ROUND(AVERAGEIFS('Keyword Map'!$P$3:$P$1002,'Keyword Map'!$B$3:$B$1002,SUBSTITUTE(SUBSTITUTE(B217,"?","~?"),"*","~*")),0),""))</f>
        <v/>
      </c>
    </row>
    <row r="218">
      <c r="A218">
        <f>ROW()-2</f>
        <v/>
      </c>
      <c r="B218">
        <f>IFERROR(INDEX('Keyword Map'!$B$3:$B$1002,MATCH(A218,'Keyword Map'!$AB$3:$AB$1002,0)),"")</f>
        <v/>
      </c>
      <c r="C218">
        <f>IF(B218="","",COUNTIF('Keyword Map'!$B$3:$B$1002,SUBSTITUTE(SUBSTITUTE(B218,"?","~?"),"*","~*")))</f>
        <v/>
      </c>
      <c r="D218">
        <f>IF(B218="","",SUMIFS('Keyword Map'!$C$3:$C$1002,'Keyword Map'!$B$3:$B$1002,SUBSTITUTE(SUBSTITUTE(B218,"?","~?"),"*","~*")))</f>
        <v/>
      </c>
      <c r="E218">
        <f>IF(B218="","",SUMPRODUCT(('Keyword Map'!$B$3:$B$1002=B218)*(LEN('Keyword Map'!$G$3:$G$1002)&gt;0)))</f>
        <v/>
      </c>
      <c r="F218">
        <f>IF(B218="","",C218-E218)</f>
        <v/>
      </c>
      <c r="G218">
        <f>IF(B218="","",COUNTIFS('Keyword Map'!$B$3:$B$1002,SUBSTITUTE(SUBSTITUTE(B218,"?","~?"),"*","~*"),'Keyword Map'!$R$3:$R$1002,"Yes"))</f>
        <v/>
      </c>
      <c r="H218">
        <f>IF(B218="","",COUNTIFS('Keyword Map'!$B$3:$B$1002,SUBSTITUTE(SUBSTITUTE(B218,"?","~?"),"*","~*"),'Keyword Map'!$W$3:$W$1002,"Yes"))</f>
        <v/>
      </c>
      <c r="I218">
        <f>IF(B218="","",IFERROR(ROUND(AVERAGEIFS('Keyword Map'!$P$3:$P$1002,'Keyword Map'!$B$3:$B$1002,SUBSTITUTE(SUBSTITUTE(B218,"?","~?"),"*","~*")),0),""))</f>
        <v/>
      </c>
    </row>
    <row r="219">
      <c r="A219">
        <f>ROW()-2</f>
        <v/>
      </c>
      <c r="B219">
        <f>IFERROR(INDEX('Keyword Map'!$B$3:$B$1002,MATCH(A219,'Keyword Map'!$AB$3:$AB$1002,0)),"")</f>
        <v/>
      </c>
      <c r="C219">
        <f>IF(B219="","",COUNTIF('Keyword Map'!$B$3:$B$1002,SUBSTITUTE(SUBSTITUTE(B219,"?","~?"),"*","~*")))</f>
        <v/>
      </c>
      <c r="D219">
        <f>IF(B219="","",SUMIFS('Keyword Map'!$C$3:$C$1002,'Keyword Map'!$B$3:$B$1002,SUBSTITUTE(SUBSTITUTE(B219,"?","~?"),"*","~*")))</f>
        <v/>
      </c>
      <c r="E219">
        <f>IF(B219="","",SUMPRODUCT(('Keyword Map'!$B$3:$B$1002=B219)*(LEN('Keyword Map'!$G$3:$G$1002)&gt;0)))</f>
        <v/>
      </c>
      <c r="F219">
        <f>IF(B219="","",C219-E219)</f>
        <v/>
      </c>
      <c r="G219">
        <f>IF(B219="","",COUNTIFS('Keyword Map'!$B$3:$B$1002,SUBSTITUTE(SUBSTITUTE(B219,"?","~?"),"*","~*"),'Keyword Map'!$R$3:$R$1002,"Yes"))</f>
        <v/>
      </c>
      <c r="H219">
        <f>IF(B219="","",COUNTIFS('Keyword Map'!$B$3:$B$1002,SUBSTITUTE(SUBSTITUTE(B219,"?","~?"),"*","~*"),'Keyword Map'!$W$3:$W$1002,"Yes"))</f>
        <v/>
      </c>
      <c r="I219">
        <f>IF(B219="","",IFERROR(ROUND(AVERAGEIFS('Keyword Map'!$P$3:$P$1002,'Keyword Map'!$B$3:$B$1002,SUBSTITUTE(SUBSTITUTE(B219,"?","~?"),"*","~*")),0),""))</f>
        <v/>
      </c>
    </row>
    <row r="220">
      <c r="A220">
        <f>ROW()-2</f>
        <v/>
      </c>
      <c r="B220">
        <f>IFERROR(INDEX('Keyword Map'!$B$3:$B$1002,MATCH(A220,'Keyword Map'!$AB$3:$AB$1002,0)),"")</f>
        <v/>
      </c>
      <c r="C220">
        <f>IF(B220="","",COUNTIF('Keyword Map'!$B$3:$B$1002,SUBSTITUTE(SUBSTITUTE(B220,"?","~?"),"*","~*")))</f>
        <v/>
      </c>
      <c r="D220">
        <f>IF(B220="","",SUMIFS('Keyword Map'!$C$3:$C$1002,'Keyword Map'!$B$3:$B$1002,SUBSTITUTE(SUBSTITUTE(B220,"?","~?"),"*","~*")))</f>
        <v/>
      </c>
      <c r="E220">
        <f>IF(B220="","",SUMPRODUCT(('Keyword Map'!$B$3:$B$1002=B220)*(LEN('Keyword Map'!$G$3:$G$1002)&gt;0)))</f>
        <v/>
      </c>
      <c r="F220">
        <f>IF(B220="","",C220-E220)</f>
        <v/>
      </c>
      <c r="G220">
        <f>IF(B220="","",COUNTIFS('Keyword Map'!$B$3:$B$1002,SUBSTITUTE(SUBSTITUTE(B220,"?","~?"),"*","~*"),'Keyword Map'!$R$3:$R$1002,"Yes"))</f>
        <v/>
      </c>
      <c r="H220">
        <f>IF(B220="","",COUNTIFS('Keyword Map'!$B$3:$B$1002,SUBSTITUTE(SUBSTITUTE(B220,"?","~?"),"*","~*"),'Keyword Map'!$W$3:$W$1002,"Yes"))</f>
        <v/>
      </c>
      <c r="I220">
        <f>IF(B220="","",IFERROR(ROUND(AVERAGEIFS('Keyword Map'!$P$3:$P$1002,'Keyword Map'!$B$3:$B$1002,SUBSTITUTE(SUBSTITUTE(B220,"?","~?"),"*","~*")),0),""))</f>
        <v/>
      </c>
    </row>
    <row r="221">
      <c r="A221">
        <f>ROW()-2</f>
        <v/>
      </c>
      <c r="B221">
        <f>IFERROR(INDEX('Keyword Map'!$B$3:$B$1002,MATCH(A221,'Keyword Map'!$AB$3:$AB$1002,0)),"")</f>
        <v/>
      </c>
      <c r="C221">
        <f>IF(B221="","",COUNTIF('Keyword Map'!$B$3:$B$1002,SUBSTITUTE(SUBSTITUTE(B221,"?","~?"),"*","~*")))</f>
        <v/>
      </c>
      <c r="D221">
        <f>IF(B221="","",SUMIFS('Keyword Map'!$C$3:$C$1002,'Keyword Map'!$B$3:$B$1002,SUBSTITUTE(SUBSTITUTE(B221,"?","~?"),"*","~*")))</f>
        <v/>
      </c>
      <c r="E221">
        <f>IF(B221="","",SUMPRODUCT(('Keyword Map'!$B$3:$B$1002=B221)*(LEN('Keyword Map'!$G$3:$G$1002)&gt;0)))</f>
        <v/>
      </c>
      <c r="F221">
        <f>IF(B221="","",C221-E221)</f>
        <v/>
      </c>
      <c r="G221">
        <f>IF(B221="","",COUNTIFS('Keyword Map'!$B$3:$B$1002,SUBSTITUTE(SUBSTITUTE(B221,"?","~?"),"*","~*"),'Keyword Map'!$R$3:$R$1002,"Yes"))</f>
        <v/>
      </c>
      <c r="H221">
        <f>IF(B221="","",COUNTIFS('Keyword Map'!$B$3:$B$1002,SUBSTITUTE(SUBSTITUTE(B221,"?","~?"),"*","~*"),'Keyword Map'!$W$3:$W$1002,"Yes"))</f>
        <v/>
      </c>
      <c r="I221">
        <f>IF(B221="","",IFERROR(ROUND(AVERAGEIFS('Keyword Map'!$P$3:$P$1002,'Keyword Map'!$B$3:$B$1002,SUBSTITUTE(SUBSTITUTE(B221,"?","~?"),"*","~*")),0),""))</f>
        <v/>
      </c>
    </row>
    <row r="222">
      <c r="A222">
        <f>ROW()-2</f>
        <v/>
      </c>
      <c r="B222">
        <f>IFERROR(INDEX('Keyword Map'!$B$3:$B$1002,MATCH(A222,'Keyword Map'!$AB$3:$AB$1002,0)),"")</f>
        <v/>
      </c>
      <c r="C222">
        <f>IF(B222="","",COUNTIF('Keyword Map'!$B$3:$B$1002,SUBSTITUTE(SUBSTITUTE(B222,"?","~?"),"*","~*")))</f>
        <v/>
      </c>
      <c r="D222">
        <f>IF(B222="","",SUMIFS('Keyword Map'!$C$3:$C$1002,'Keyword Map'!$B$3:$B$1002,SUBSTITUTE(SUBSTITUTE(B222,"?","~?"),"*","~*")))</f>
        <v/>
      </c>
      <c r="E222">
        <f>IF(B222="","",SUMPRODUCT(('Keyword Map'!$B$3:$B$1002=B222)*(LEN('Keyword Map'!$G$3:$G$1002)&gt;0)))</f>
        <v/>
      </c>
      <c r="F222">
        <f>IF(B222="","",C222-E222)</f>
        <v/>
      </c>
      <c r="G222">
        <f>IF(B222="","",COUNTIFS('Keyword Map'!$B$3:$B$1002,SUBSTITUTE(SUBSTITUTE(B222,"?","~?"),"*","~*"),'Keyword Map'!$R$3:$R$1002,"Yes"))</f>
        <v/>
      </c>
      <c r="H222">
        <f>IF(B222="","",COUNTIFS('Keyword Map'!$B$3:$B$1002,SUBSTITUTE(SUBSTITUTE(B222,"?","~?"),"*","~*"),'Keyword Map'!$W$3:$W$1002,"Yes"))</f>
        <v/>
      </c>
      <c r="I222">
        <f>IF(B222="","",IFERROR(ROUND(AVERAGEIFS('Keyword Map'!$P$3:$P$1002,'Keyword Map'!$B$3:$B$1002,SUBSTITUTE(SUBSTITUTE(B222,"?","~?"),"*","~*")),0),""))</f>
        <v/>
      </c>
    </row>
    <row r="223">
      <c r="A223">
        <f>ROW()-2</f>
        <v/>
      </c>
      <c r="B223">
        <f>IFERROR(INDEX('Keyword Map'!$B$3:$B$1002,MATCH(A223,'Keyword Map'!$AB$3:$AB$1002,0)),"")</f>
        <v/>
      </c>
      <c r="C223">
        <f>IF(B223="","",COUNTIF('Keyword Map'!$B$3:$B$1002,SUBSTITUTE(SUBSTITUTE(B223,"?","~?"),"*","~*")))</f>
        <v/>
      </c>
      <c r="D223">
        <f>IF(B223="","",SUMIFS('Keyword Map'!$C$3:$C$1002,'Keyword Map'!$B$3:$B$1002,SUBSTITUTE(SUBSTITUTE(B223,"?","~?"),"*","~*")))</f>
        <v/>
      </c>
      <c r="E223">
        <f>IF(B223="","",SUMPRODUCT(('Keyword Map'!$B$3:$B$1002=B223)*(LEN('Keyword Map'!$G$3:$G$1002)&gt;0)))</f>
        <v/>
      </c>
      <c r="F223">
        <f>IF(B223="","",C223-E223)</f>
        <v/>
      </c>
      <c r="G223">
        <f>IF(B223="","",COUNTIFS('Keyword Map'!$B$3:$B$1002,SUBSTITUTE(SUBSTITUTE(B223,"?","~?"),"*","~*"),'Keyword Map'!$R$3:$R$1002,"Yes"))</f>
        <v/>
      </c>
      <c r="H223">
        <f>IF(B223="","",COUNTIFS('Keyword Map'!$B$3:$B$1002,SUBSTITUTE(SUBSTITUTE(B223,"?","~?"),"*","~*"),'Keyword Map'!$W$3:$W$1002,"Yes"))</f>
        <v/>
      </c>
      <c r="I223">
        <f>IF(B223="","",IFERROR(ROUND(AVERAGEIFS('Keyword Map'!$P$3:$P$1002,'Keyword Map'!$B$3:$B$1002,SUBSTITUTE(SUBSTITUTE(B223,"?","~?"),"*","~*")),0),""))</f>
        <v/>
      </c>
    </row>
    <row r="224">
      <c r="A224">
        <f>ROW()-2</f>
        <v/>
      </c>
      <c r="B224">
        <f>IFERROR(INDEX('Keyword Map'!$B$3:$B$1002,MATCH(A224,'Keyword Map'!$AB$3:$AB$1002,0)),"")</f>
        <v/>
      </c>
      <c r="C224">
        <f>IF(B224="","",COUNTIF('Keyword Map'!$B$3:$B$1002,SUBSTITUTE(SUBSTITUTE(B224,"?","~?"),"*","~*")))</f>
        <v/>
      </c>
      <c r="D224">
        <f>IF(B224="","",SUMIFS('Keyword Map'!$C$3:$C$1002,'Keyword Map'!$B$3:$B$1002,SUBSTITUTE(SUBSTITUTE(B224,"?","~?"),"*","~*")))</f>
        <v/>
      </c>
      <c r="E224">
        <f>IF(B224="","",SUMPRODUCT(('Keyword Map'!$B$3:$B$1002=B224)*(LEN('Keyword Map'!$G$3:$G$1002)&gt;0)))</f>
        <v/>
      </c>
      <c r="F224">
        <f>IF(B224="","",C224-E224)</f>
        <v/>
      </c>
      <c r="G224">
        <f>IF(B224="","",COUNTIFS('Keyword Map'!$B$3:$B$1002,SUBSTITUTE(SUBSTITUTE(B224,"?","~?"),"*","~*"),'Keyword Map'!$R$3:$R$1002,"Yes"))</f>
        <v/>
      </c>
      <c r="H224">
        <f>IF(B224="","",COUNTIFS('Keyword Map'!$B$3:$B$1002,SUBSTITUTE(SUBSTITUTE(B224,"?","~?"),"*","~*"),'Keyword Map'!$W$3:$W$1002,"Yes"))</f>
        <v/>
      </c>
      <c r="I224">
        <f>IF(B224="","",IFERROR(ROUND(AVERAGEIFS('Keyword Map'!$P$3:$P$1002,'Keyword Map'!$B$3:$B$1002,SUBSTITUTE(SUBSTITUTE(B224,"?","~?"),"*","~*")),0),""))</f>
        <v/>
      </c>
    </row>
    <row r="225">
      <c r="A225">
        <f>ROW()-2</f>
        <v/>
      </c>
      <c r="B225">
        <f>IFERROR(INDEX('Keyword Map'!$B$3:$B$1002,MATCH(A225,'Keyword Map'!$AB$3:$AB$1002,0)),"")</f>
        <v/>
      </c>
      <c r="C225">
        <f>IF(B225="","",COUNTIF('Keyword Map'!$B$3:$B$1002,SUBSTITUTE(SUBSTITUTE(B225,"?","~?"),"*","~*")))</f>
        <v/>
      </c>
      <c r="D225">
        <f>IF(B225="","",SUMIFS('Keyword Map'!$C$3:$C$1002,'Keyword Map'!$B$3:$B$1002,SUBSTITUTE(SUBSTITUTE(B225,"?","~?"),"*","~*")))</f>
        <v/>
      </c>
      <c r="E225">
        <f>IF(B225="","",SUMPRODUCT(('Keyword Map'!$B$3:$B$1002=B225)*(LEN('Keyword Map'!$G$3:$G$1002)&gt;0)))</f>
        <v/>
      </c>
      <c r="F225">
        <f>IF(B225="","",C225-E225)</f>
        <v/>
      </c>
      <c r="G225">
        <f>IF(B225="","",COUNTIFS('Keyword Map'!$B$3:$B$1002,SUBSTITUTE(SUBSTITUTE(B225,"?","~?"),"*","~*"),'Keyword Map'!$R$3:$R$1002,"Yes"))</f>
        <v/>
      </c>
      <c r="H225">
        <f>IF(B225="","",COUNTIFS('Keyword Map'!$B$3:$B$1002,SUBSTITUTE(SUBSTITUTE(B225,"?","~?"),"*","~*"),'Keyword Map'!$W$3:$W$1002,"Yes"))</f>
        <v/>
      </c>
      <c r="I225">
        <f>IF(B225="","",IFERROR(ROUND(AVERAGEIFS('Keyword Map'!$P$3:$P$1002,'Keyword Map'!$B$3:$B$1002,SUBSTITUTE(SUBSTITUTE(B225,"?","~?"),"*","~*")),0),""))</f>
        <v/>
      </c>
    </row>
    <row r="226">
      <c r="A226">
        <f>ROW()-2</f>
        <v/>
      </c>
      <c r="B226">
        <f>IFERROR(INDEX('Keyword Map'!$B$3:$B$1002,MATCH(A226,'Keyword Map'!$AB$3:$AB$1002,0)),"")</f>
        <v/>
      </c>
      <c r="C226">
        <f>IF(B226="","",COUNTIF('Keyword Map'!$B$3:$B$1002,SUBSTITUTE(SUBSTITUTE(B226,"?","~?"),"*","~*")))</f>
        <v/>
      </c>
      <c r="D226">
        <f>IF(B226="","",SUMIFS('Keyword Map'!$C$3:$C$1002,'Keyword Map'!$B$3:$B$1002,SUBSTITUTE(SUBSTITUTE(B226,"?","~?"),"*","~*")))</f>
        <v/>
      </c>
      <c r="E226">
        <f>IF(B226="","",SUMPRODUCT(('Keyword Map'!$B$3:$B$1002=B226)*(LEN('Keyword Map'!$G$3:$G$1002)&gt;0)))</f>
        <v/>
      </c>
      <c r="F226">
        <f>IF(B226="","",C226-E226)</f>
        <v/>
      </c>
      <c r="G226">
        <f>IF(B226="","",COUNTIFS('Keyword Map'!$B$3:$B$1002,SUBSTITUTE(SUBSTITUTE(B226,"?","~?"),"*","~*"),'Keyword Map'!$R$3:$R$1002,"Yes"))</f>
        <v/>
      </c>
      <c r="H226">
        <f>IF(B226="","",COUNTIFS('Keyword Map'!$B$3:$B$1002,SUBSTITUTE(SUBSTITUTE(B226,"?","~?"),"*","~*"),'Keyword Map'!$W$3:$W$1002,"Yes"))</f>
        <v/>
      </c>
      <c r="I226">
        <f>IF(B226="","",IFERROR(ROUND(AVERAGEIFS('Keyword Map'!$P$3:$P$1002,'Keyword Map'!$B$3:$B$1002,SUBSTITUTE(SUBSTITUTE(B226,"?","~?"),"*","~*")),0),""))</f>
        <v/>
      </c>
    </row>
    <row r="227">
      <c r="A227">
        <f>ROW()-2</f>
        <v/>
      </c>
      <c r="B227">
        <f>IFERROR(INDEX('Keyword Map'!$B$3:$B$1002,MATCH(A227,'Keyword Map'!$AB$3:$AB$1002,0)),"")</f>
        <v/>
      </c>
      <c r="C227">
        <f>IF(B227="","",COUNTIF('Keyword Map'!$B$3:$B$1002,SUBSTITUTE(SUBSTITUTE(B227,"?","~?"),"*","~*")))</f>
        <v/>
      </c>
      <c r="D227">
        <f>IF(B227="","",SUMIFS('Keyword Map'!$C$3:$C$1002,'Keyword Map'!$B$3:$B$1002,SUBSTITUTE(SUBSTITUTE(B227,"?","~?"),"*","~*")))</f>
        <v/>
      </c>
      <c r="E227">
        <f>IF(B227="","",SUMPRODUCT(('Keyword Map'!$B$3:$B$1002=B227)*(LEN('Keyword Map'!$G$3:$G$1002)&gt;0)))</f>
        <v/>
      </c>
      <c r="F227">
        <f>IF(B227="","",C227-E227)</f>
        <v/>
      </c>
      <c r="G227">
        <f>IF(B227="","",COUNTIFS('Keyword Map'!$B$3:$B$1002,SUBSTITUTE(SUBSTITUTE(B227,"?","~?"),"*","~*"),'Keyword Map'!$R$3:$R$1002,"Yes"))</f>
        <v/>
      </c>
      <c r="H227">
        <f>IF(B227="","",COUNTIFS('Keyword Map'!$B$3:$B$1002,SUBSTITUTE(SUBSTITUTE(B227,"?","~?"),"*","~*"),'Keyword Map'!$W$3:$W$1002,"Yes"))</f>
        <v/>
      </c>
      <c r="I227">
        <f>IF(B227="","",IFERROR(ROUND(AVERAGEIFS('Keyword Map'!$P$3:$P$1002,'Keyword Map'!$B$3:$B$1002,SUBSTITUTE(SUBSTITUTE(B227,"?","~?"),"*","~*")),0),""))</f>
        <v/>
      </c>
    </row>
    <row r="228">
      <c r="A228">
        <f>ROW()-2</f>
        <v/>
      </c>
      <c r="B228">
        <f>IFERROR(INDEX('Keyword Map'!$B$3:$B$1002,MATCH(A228,'Keyword Map'!$AB$3:$AB$1002,0)),"")</f>
        <v/>
      </c>
      <c r="C228">
        <f>IF(B228="","",COUNTIF('Keyword Map'!$B$3:$B$1002,SUBSTITUTE(SUBSTITUTE(B228,"?","~?"),"*","~*")))</f>
        <v/>
      </c>
      <c r="D228">
        <f>IF(B228="","",SUMIFS('Keyword Map'!$C$3:$C$1002,'Keyword Map'!$B$3:$B$1002,SUBSTITUTE(SUBSTITUTE(B228,"?","~?"),"*","~*")))</f>
        <v/>
      </c>
      <c r="E228">
        <f>IF(B228="","",SUMPRODUCT(('Keyword Map'!$B$3:$B$1002=B228)*(LEN('Keyword Map'!$G$3:$G$1002)&gt;0)))</f>
        <v/>
      </c>
      <c r="F228">
        <f>IF(B228="","",C228-E228)</f>
        <v/>
      </c>
      <c r="G228">
        <f>IF(B228="","",COUNTIFS('Keyword Map'!$B$3:$B$1002,SUBSTITUTE(SUBSTITUTE(B228,"?","~?"),"*","~*"),'Keyword Map'!$R$3:$R$1002,"Yes"))</f>
        <v/>
      </c>
      <c r="H228">
        <f>IF(B228="","",COUNTIFS('Keyword Map'!$B$3:$B$1002,SUBSTITUTE(SUBSTITUTE(B228,"?","~?"),"*","~*"),'Keyword Map'!$W$3:$W$1002,"Yes"))</f>
        <v/>
      </c>
      <c r="I228">
        <f>IF(B228="","",IFERROR(ROUND(AVERAGEIFS('Keyword Map'!$P$3:$P$1002,'Keyword Map'!$B$3:$B$1002,SUBSTITUTE(SUBSTITUTE(B228,"?","~?"),"*","~*")),0),""))</f>
        <v/>
      </c>
    </row>
    <row r="229">
      <c r="A229">
        <f>ROW()-2</f>
        <v/>
      </c>
      <c r="B229">
        <f>IFERROR(INDEX('Keyword Map'!$B$3:$B$1002,MATCH(A229,'Keyword Map'!$AB$3:$AB$1002,0)),"")</f>
        <v/>
      </c>
      <c r="C229">
        <f>IF(B229="","",COUNTIF('Keyword Map'!$B$3:$B$1002,SUBSTITUTE(SUBSTITUTE(B229,"?","~?"),"*","~*")))</f>
        <v/>
      </c>
      <c r="D229">
        <f>IF(B229="","",SUMIFS('Keyword Map'!$C$3:$C$1002,'Keyword Map'!$B$3:$B$1002,SUBSTITUTE(SUBSTITUTE(B229,"?","~?"),"*","~*")))</f>
        <v/>
      </c>
      <c r="E229">
        <f>IF(B229="","",SUMPRODUCT(('Keyword Map'!$B$3:$B$1002=B229)*(LEN('Keyword Map'!$G$3:$G$1002)&gt;0)))</f>
        <v/>
      </c>
      <c r="F229">
        <f>IF(B229="","",C229-E229)</f>
        <v/>
      </c>
      <c r="G229">
        <f>IF(B229="","",COUNTIFS('Keyword Map'!$B$3:$B$1002,SUBSTITUTE(SUBSTITUTE(B229,"?","~?"),"*","~*"),'Keyword Map'!$R$3:$R$1002,"Yes"))</f>
        <v/>
      </c>
      <c r="H229">
        <f>IF(B229="","",COUNTIFS('Keyword Map'!$B$3:$B$1002,SUBSTITUTE(SUBSTITUTE(B229,"?","~?"),"*","~*"),'Keyword Map'!$W$3:$W$1002,"Yes"))</f>
        <v/>
      </c>
      <c r="I229">
        <f>IF(B229="","",IFERROR(ROUND(AVERAGEIFS('Keyword Map'!$P$3:$P$1002,'Keyword Map'!$B$3:$B$1002,SUBSTITUTE(SUBSTITUTE(B229,"?","~?"),"*","~*")),0),""))</f>
        <v/>
      </c>
    </row>
    <row r="230">
      <c r="A230">
        <f>ROW()-2</f>
        <v/>
      </c>
      <c r="B230">
        <f>IFERROR(INDEX('Keyword Map'!$B$3:$B$1002,MATCH(A230,'Keyword Map'!$AB$3:$AB$1002,0)),"")</f>
        <v/>
      </c>
      <c r="C230">
        <f>IF(B230="","",COUNTIF('Keyword Map'!$B$3:$B$1002,SUBSTITUTE(SUBSTITUTE(B230,"?","~?"),"*","~*")))</f>
        <v/>
      </c>
      <c r="D230">
        <f>IF(B230="","",SUMIFS('Keyword Map'!$C$3:$C$1002,'Keyword Map'!$B$3:$B$1002,SUBSTITUTE(SUBSTITUTE(B230,"?","~?"),"*","~*")))</f>
        <v/>
      </c>
      <c r="E230">
        <f>IF(B230="","",SUMPRODUCT(('Keyword Map'!$B$3:$B$1002=B230)*(LEN('Keyword Map'!$G$3:$G$1002)&gt;0)))</f>
        <v/>
      </c>
      <c r="F230">
        <f>IF(B230="","",C230-E230)</f>
        <v/>
      </c>
      <c r="G230">
        <f>IF(B230="","",COUNTIFS('Keyword Map'!$B$3:$B$1002,SUBSTITUTE(SUBSTITUTE(B230,"?","~?"),"*","~*"),'Keyword Map'!$R$3:$R$1002,"Yes"))</f>
        <v/>
      </c>
      <c r="H230">
        <f>IF(B230="","",COUNTIFS('Keyword Map'!$B$3:$B$1002,SUBSTITUTE(SUBSTITUTE(B230,"?","~?"),"*","~*"),'Keyword Map'!$W$3:$W$1002,"Yes"))</f>
        <v/>
      </c>
      <c r="I230">
        <f>IF(B230="","",IFERROR(ROUND(AVERAGEIFS('Keyword Map'!$P$3:$P$1002,'Keyword Map'!$B$3:$B$1002,SUBSTITUTE(SUBSTITUTE(B230,"?","~?"),"*","~*")),0),""))</f>
        <v/>
      </c>
    </row>
    <row r="231">
      <c r="A231">
        <f>ROW()-2</f>
        <v/>
      </c>
      <c r="B231">
        <f>IFERROR(INDEX('Keyword Map'!$B$3:$B$1002,MATCH(A231,'Keyword Map'!$AB$3:$AB$1002,0)),"")</f>
        <v/>
      </c>
      <c r="C231">
        <f>IF(B231="","",COUNTIF('Keyword Map'!$B$3:$B$1002,SUBSTITUTE(SUBSTITUTE(B231,"?","~?"),"*","~*")))</f>
        <v/>
      </c>
      <c r="D231">
        <f>IF(B231="","",SUMIFS('Keyword Map'!$C$3:$C$1002,'Keyword Map'!$B$3:$B$1002,SUBSTITUTE(SUBSTITUTE(B231,"?","~?"),"*","~*")))</f>
        <v/>
      </c>
      <c r="E231">
        <f>IF(B231="","",SUMPRODUCT(('Keyword Map'!$B$3:$B$1002=B231)*(LEN('Keyword Map'!$G$3:$G$1002)&gt;0)))</f>
        <v/>
      </c>
      <c r="F231">
        <f>IF(B231="","",C231-E231)</f>
        <v/>
      </c>
      <c r="G231">
        <f>IF(B231="","",COUNTIFS('Keyword Map'!$B$3:$B$1002,SUBSTITUTE(SUBSTITUTE(B231,"?","~?"),"*","~*"),'Keyword Map'!$R$3:$R$1002,"Yes"))</f>
        <v/>
      </c>
      <c r="H231">
        <f>IF(B231="","",COUNTIFS('Keyword Map'!$B$3:$B$1002,SUBSTITUTE(SUBSTITUTE(B231,"?","~?"),"*","~*"),'Keyword Map'!$W$3:$W$1002,"Yes"))</f>
        <v/>
      </c>
      <c r="I231">
        <f>IF(B231="","",IFERROR(ROUND(AVERAGEIFS('Keyword Map'!$P$3:$P$1002,'Keyword Map'!$B$3:$B$1002,SUBSTITUTE(SUBSTITUTE(B231,"?","~?"),"*","~*")),0),""))</f>
        <v/>
      </c>
    </row>
    <row r="232">
      <c r="A232">
        <f>ROW()-2</f>
        <v/>
      </c>
      <c r="B232">
        <f>IFERROR(INDEX('Keyword Map'!$B$3:$B$1002,MATCH(A232,'Keyword Map'!$AB$3:$AB$1002,0)),"")</f>
        <v/>
      </c>
      <c r="C232">
        <f>IF(B232="","",COUNTIF('Keyword Map'!$B$3:$B$1002,SUBSTITUTE(SUBSTITUTE(B232,"?","~?"),"*","~*")))</f>
        <v/>
      </c>
      <c r="D232">
        <f>IF(B232="","",SUMIFS('Keyword Map'!$C$3:$C$1002,'Keyword Map'!$B$3:$B$1002,SUBSTITUTE(SUBSTITUTE(B232,"?","~?"),"*","~*")))</f>
        <v/>
      </c>
      <c r="E232">
        <f>IF(B232="","",SUMPRODUCT(('Keyword Map'!$B$3:$B$1002=B232)*(LEN('Keyword Map'!$G$3:$G$1002)&gt;0)))</f>
        <v/>
      </c>
      <c r="F232">
        <f>IF(B232="","",C232-E232)</f>
        <v/>
      </c>
      <c r="G232">
        <f>IF(B232="","",COUNTIFS('Keyword Map'!$B$3:$B$1002,SUBSTITUTE(SUBSTITUTE(B232,"?","~?"),"*","~*"),'Keyword Map'!$R$3:$R$1002,"Yes"))</f>
        <v/>
      </c>
      <c r="H232">
        <f>IF(B232="","",COUNTIFS('Keyword Map'!$B$3:$B$1002,SUBSTITUTE(SUBSTITUTE(B232,"?","~?"),"*","~*"),'Keyword Map'!$W$3:$W$1002,"Yes"))</f>
        <v/>
      </c>
      <c r="I232">
        <f>IF(B232="","",IFERROR(ROUND(AVERAGEIFS('Keyword Map'!$P$3:$P$1002,'Keyword Map'!$B$3:$B$1002,SUBSTITUTE(SUBSTITUTE(B232,"?","~?"),"*","~*")),0),""))</f>
        <v/>
      </c>
    </row>
    <row r="233">
      <c r="A233">
        <f>ROW()-2</f>
        <v/>
      </c>
      <c r="B233">
        <f>IFERROR(INDEX('Keyword Map'!$B$3:$B$1002,MATCH(A233,'Keyword Map'!$AB$3:$AB$1002,0)),"")</f>
        <v/>
      </c>
      <c r="C233">
        <f>IF(B233="","",COUNTIF('Keyword Map'!$B$3:$B$1002,SUBSTITUTE(SUBSTITUTE(B233,"?","~?"),"*","~*")))</f>
        <v/>
      </c>
      <c r="D233">
        <f>IF(B233="","",SUMIFS('Keyword Map'!$C$3:$C$1002,'Keyword Map'!$B$3:$B$1002,SUBSTITUTE(SUBSTITUTE(B233,"?","~?"),"*","~*")))</f>
        <v/>
      </c>
      <c r="E233">
        <f>IF(B233="","",SUMPRODUCT(('Keyword Map'!$B$3:$B$1002=B233)*(LEN('Keyword Map'!$G$3:$G$1002)&gt;0)))</f>
        <v/>
      </c>
      <c r="F233">
        <f>IF(B233="","",C233-E233)</f>
        <v/>
      </c>
      <c r="G233">
        <f>IF(B233="","",COUNTIFS('Keyword Map'!$B$3:$B$1002,SUBSTITUTE(SUBSTITUTE(B233,"?","~?"),"*","~*"),'Keyword Map'!$R$3:$R$1002,"Yes"))</f>
        <v/>
      </c>
      <c r="H233">
        <f>IF(B233="","",COUNTIFS('Keyword Map'!$B$3:$B$1002,SUBSTITUTE(SUBSTITUTE(B233,"?","~?"),"*","~*"),'Keyword Map'!$W$3:$W$1002,"Yes"))</f>
        <v/>
      </c>
      <c r="I233">
        <f>IF(B233="","",IFERROR(ROUND(AVERAGEIFS('Keyword Map'!$P$3:$P$1002,'Keyword Map'!$B$3:$B$1002,SUBSTITUTE(SUBSTITUTE(B233,"?","~?"),"*","~*")),0),""))</f>
        <v/>
      </c>
    </row>
    <row r="234">
      <c r="A234">
        <f>ROW()-2</f>
        <v/>
      </c>
      <c r="B234">
        <f>IFERROR(INDEX('Keyword Map'!$B$3:$B$1002,MATCH(A234,'Keyword Map'!$AB$3:$AB$1002,0)),"")</f>
        <v/>
      </c>
      <c r="C234">
        <f>IF(B234="","",COUNTIF('Keyword Map'!$B$3:$B$1002,SUBSTITUTE(SUBSTITUTE(B234,"?","~?"),"*","~*")))</f>
        <v/>
      </c>
      <c r="D234">
        <f>IF(B234="","",SUMIFS('Keyword Map'!$C$3:$C$1002,'Keyword Map'!$B$3:$B$1002,SUBSTITUTE(SUBSTITUTE(B234,"?","~?"),"*","~*")))</f>
        <v/>
      </c>
      <c r="E234">
        <f>IF(B234="","",SUMPRODUCT(('Keyword Map'!$B$3:$B$1002=B234)*(LEN('Keyword Map'!$G$3:$G$1002)&gt;0)))</f>
        <v/>
      </c>
      <c r="F234">
        <f>IF(B234="","",C234-E234)</f>
        <v/>
      </c>
      <c r="G234">
        <f>IF(B234="","",COUNTIFS('Keyword Map'!$B$3:$B$1002,SUBSTITUTE(SUBSTITUTE(B234,"?","~?"),"*","~*"),'Keyword Map'!$R$3:$R$1002,"Yes"))</f>
        <v/>
      </c>
      <c r="H234">
        <f>IF(B234="","",COUNTIFS('Keyword Map'!$B$3:$B$1002,SUBSTITUTE(SUBSTITUTE(B234,"?","~?"),"*","~*"),'Keyword Map'!$W$3:$W$1002,"Yes"))</f>
        <v/>
      </c>
      <c r="I234">
        <f>IF(B234="","",IFERROR(ROUND(AVERAGEIFS('Keyword Map'!$P$3:$P$1002,'Keyword Map'!$B$3:$B$1002,SUBSTITUTE(SUBSTITUTE(B234,"?","~?"),"*","~*")),0),""))</f>
        <v/>
      </c>
    </row>
    <row r="235">
      <c r="A235">
        <f>ROW()-2</f>
        <v/>
      </c>
      <c r="B235">
        <f>IFERROR(INDEX('Keyword Map'!$B$3:$B$1002,MATCH(A235,'Keyword Map'!$AB$3:$AB$1002,0)),"")</f>
        <v/>
      </c>
      <c r="C235">
        <f>IF(B235="","",COUNTIF('Keyword Map'!$B$3:$B$1002,SUBSTITUTE(SUBSTITUTE(B235,"?","~?"),"*","~*")))</f>
        <v/>
      </c>
      <c r="D235">
        <f>IF(B235="","",SUMIFS('Keyword Map'!$C$3:$C$1002,'Keyword Map'!$B$3:$B$1002,SUBSTITUTE(SUBSTITUTE(B235,"?","~?"),"*","~*")))</f>
        <v/>
      </c>
      <c r="E235">
        <f>IF(B235="","",SUMPRODUCT(('Keyword Map'!$B$3:$B$1002=B235)*(LEN('Keyword Map'!$G$3:$G$1002)&gt;0)))</f>
        <v/>
      </c>
      <c r="F235">
        <f>IF(B235="","",C235-E235)</f>
        <v/>
      </c>
      <c r="G235">
        <f>IF(B235="","",COUNTIFS('Keyword Map'!$B$3:$B$1002,SUBSTITUTE(SUBSTITUTE(B235,"?","~?"),"*","~*"),'Keyword Map'!$R$3:$R$1002,"Yes"))</f>
        <v/>
      </c>
      <c r="H235">
        <f>IF(B235="","",COUNTIFS('Keyword Map'!$B$3:$B$1002,SUBSTITUTE(SUBSTITUTE(B235,"?","~?"),"*","~*"),'Keyword Map'!$W$3:$W$1002,"Yes"))</f>
        <v/>
      </c>
      <c r="I235">
        <f>IF(B235="","",IFERROR(ROUND(AVERAGEIFS('Keyword Map'!$P$3:$P$1002,'Keyword Map'!$B$3:$B$1002,SUBSTITUTE(SUBSTITUTE(B235,"?","~?"),"*","~*")),0),""))</f>
        <v/>
      </c>
    </row>
    <row r="236">
      <c r="A236">
        <f>ROW()-2</f>
        <v/>
      </c>
      <c r="B236">
        <f>IFERROR(INDEX('Keyword Map'!$B$3:$B$1002,MATCH(A236,'Keyword Map'!$AB$3:$AB$1002,0)),"")</f>
        <v/>
      </c>
      <c r="C236">
        <f>IF(B236="","",COUNTIF('Keyword Map'!$B$3:$B$1002,SUBSTITUTE(SUBSTITUTE(B236,"?","~?"),"*","~*")))</f>
        <v/>
      </c>
      <c r="D236">
        <f>IF(B236="","",SUMIFS('Keyword Map'!$C$3:$C$1002,'Keyword Map'!$B$3:$B$1002,SUBSTITUTE(SUBSTITUTE(B236,"?","~?"),"*","~*")))</f>
        <v/>
      </c>
      <c r="E236">
        <f>IF(B236="","",SUMPRODUCT(('Keyword Map'!$B$3:$B$1002=B236)*(LEN('Keyword Map'!$G$3:$G$1002)&gt;0)))</f>
        <v/>
      </c>
      <c r="F236">
        <f>IF(B236="","",C236-E236)</f>
        <v/>
      </c>
      <c r="G236">
        <f>IF(B236="","",COUNTIFS('Keyword Map'!$B$3:$B$1002,SUBSTITUTE(SUBSTITUTE(B236,"?","~?"),"*","~*"),'Keyword Map'!$R$3:$R$1002,"Yes"))</f>
        <v/>
      </c>
      <c r="H236">
        <f>IF(B236="","",COUNTIFS('Keyword Map'!$B$3:$B$1002,SUBSTITUTE(SUBSTITUTE(B236,"?","~?"),"*","~*"),'Keyword Map'!$W$3:$W$1002,"Yes"))</f>
        <v/>
      </c>
      <c r="I236">
        <f>IF(B236="","",IFERROR(ROUND(AVERAGEIFS('Keyword Map'!$P$3:$P$1002,'Keyword Map'!$B$3:$B$1002,SUBSTITUTE(SUBSTITUTE(B236,"?","~?"),"*","~*")),0),""))</f>
        <v/>
      </c>
    </row>
    <row r="237">
      <c r="A237">
        <f>ROW()-2</f>
        <v/>
      </c>
      <c r="B237">
        <f>IFERROR(INDEX('Keyword Map'!$B$3:$B$1002,MATCH(A237,'Keyword Map'!$AB$3:$AB$1002,0)),"")</f>
        <v/>
      </c>
      <c r="C237">
        <f>IF(B237="","",COUNTIF('Keyword Map'!$B$3:$B$1002,SUBSTITUTE(SUBSTITUTE(B237,"?","~?"),"*","~*")))</f>
        <v/>
      </c>
      <c r="D237">
        <f>IF(B237="","",SUMIFS('Keyword Map'!$C$3:$C$1002,'Keyword Map'!$B$3:$B$1002,SUBSTITUTE(SUBSTITUTE(B237,"?","~?"),"*","~*")))</f>
        <v/>
      </c>
      <c r="E237">
        <f>IF(B237="","",SUMPRODUCT(('Keyword Map'!$B$3:$B$1002=B237)*(LEN('Keyword Map'!$G$3:$G$1002)&gt;0)))</f>
        <v/>
      </c>
      <c r="F237">
        <f>IF(B237="","",C237-E237)</f>
        <v/>
      </c>
      <c r="G237">
        <f>IF(B237="","",COUNTIFS('Keyword Map'!$B$3:$B$1002,SUBSTITUTE(SUBSTITUTE(B237,"?","~?"),"*","~*"),'Keyword Map'!$R$3:$R$1002,"Yes"))</f>
        <v/>
      </c>
      <c r="H237">
        <f>IF(B237="","",COUNTIFS('Keyword Map'!$B$3:$B$1002,SUBSTITUTE(SUBSTITUTE(B237,"?","~?"),"*","~*"),'Keyword Map'!$W$3:$W$1002,"Yes"))</f>
        <v/>
      </c>
      <c r="I237">
        <f>IF(B237="","",IFERROR(ROUND(AVERAGEIFS('Keyword Map'!$P$3:$P$1002,'Keyword Map'!$B$3:$B$1002,SUBSTITUTE(SUBSTITUTE(B237,"?","~?"),"*","~*")),0),""))</f>
        <v/>
      </c>
    </row>
    <row r="238">
      <c r="A238">
        <f>ROW()-2</f>
        <v/>
      </c>
      <c r="B238">
        <f>IFERROR(INDEX('Keyword Map'!$B$3:$B$1002,MATCH(A238,'Keyword Map'!$AB$3:$AB$1002,0)),"")</f>
        <v/>
      </c>
      <c r="C238">
        <f>IF(B238="","",COUNTIF('Keyword Map'!$B$3:$B$1002,SUBSTITUTE(SUBSTITUTE(B238,"?","~?"),"*","~*")))</f>
        <v/>
      </c>
      <c r="D238">
        <f>IF(B238="","",SUMIFS('Keyword Map'!$C$3:$C$1002,'Keyword Map'!$B$3:$B$1002,SUBSTITUTE(SUBSTITUTE(B238,"?","~?"),"*","~*")))</f>
        <v/>
      </c>
      <c r="E238">
        <f>IF(B238="","",SUMPRODUCT(('Keyword Map'!$B$3:$B$1002=B238)*(LEN('Keyword Map'!$G$3:$G$1002)&gt;0)))</f>
        <v/>
      </c>
      <c r="F238">
        <f>IF(B238="","",C238-E238)</f>
        <v/>
      </c>
      <c r="G238">
        <f>IF(B238="","",COUNTIFS('Keyword Map'!$B$3:$B$1002,SUBSTITUTE(SUBSTITUTE(B238,"?","~?"),"*","~*"),'Keyword Map'!$R$3:$R$1002,"Yes"))</f>
        <v/>
      </c>
      <c r="H238">
        <f>IF(B238="","",COUNTIFS('Keyword Map'!$B$3:$B$1002,SUBSTITUTE(SUBSTITUTE(B238,"?","~?"),"*","~*"),'Keyword Map'!$W$3:$W$1002,"Yes"))</f>
        <v/>
      </c>
      <c r="I238">
        <f>IF(B238="","",IFERROR(ROUND(AVERAGEIFS('Keyword Map'!$P$3:$P$1002,'Keyword Map'!$B$3:$B$1002,SUBSTITUTE(SUBSTITUTE(B238,"?","~?"),"*","~*")),0),""))</f>
        <v/>
      </c>
    </row>
    <row r="239">
      <c r="A239">
        <f>ROW()-2</f>
        <v/>
      </c>
      <c r="B239">
        <f>IFERROR(INDEX('Keyword Map'!$B$3:$B$1002,MATCH(A239,'Keyword Map'!$AB$3:$AB$1002,0)),"")</f>
        <v/>
      </c>
      <c r="C239">
        <f>IF(B239="","",COUNTIF('Keyword Map'!$B$3:$B$1002,SUBSTITUTE(SUBSTITUTE(B239,"?","~?"),"*","~*")))</f>
        <v/>
      </c>
      <c r="D239">
        <f>IF(B239="","",SUMIFS('Keyword Map'!$C$3:$C$1002,'Keyword Map'!$B$3:$B$1002,SUBSTITUTE(SUBSTITUTE(B239,"?","~?"),"*","~*")))</f>
        <v/>
      </c>
      <c r="E239">
        <f>IF(B239="","",SUMPRODUCT(('Keyword Map'!$B$3:$B$1002=B239)*(LEN('Keyword Map'!$G$3:$G$1002)&gt;0)))</f>
        <v/>
      </c>
      <c r="F239">
        <f>IF(B239="","",C239-E239)</f>
        <v/>
      </c>
      <c r="G239">
        <f>IF(B239="","",COUNTIFS('Keyword Map'!$B$3:$B$1002,SUBSTITUTE(SUBSTITUTE(B239,"?","~?"),"*","~*"),'Keyword Map'!$R$3:$R$1002,"Yes"))</f>
        <v/>
      </c>
      <c r="H239">
        <f>IF(B239="","",COUNTIFS('Keyword Map'!$B$3:$B$1002,SUBSTITUTE(SUBSTITUTE(B239,"?","~?"),"*","~*"),'Keyword Map'!$W$3:$W$1002,"Yes"))</f>
        <v/>
      </c>
      <c r="I239">
        <f>IF(B239="","",IFERROR(ROUND(AVERAGEIFS('Keyword Map'!$P$3:$P$1002,'Keyword Map'!$B$3:$B$1002,SUBSTITUTE(SUBSTITUTE(B239,"?","~?"),"*","~*")),0),""))</f>
        <v/>
      </c>
    </row>
    <row r="240">
      <c r="A240">
        <f>ROW()-2</f>
        <v/>
      </c>
      <c r="B240">
        <f>IFERROR(INDEX('Keyword Map'!$B$3:$B$1002,MATCH(A240,'Keyword Map'!$AB$3:$AB$1002,0)),"")</f>
        <v/>
      </c>
      <c r="C240">
        <f>IF(B240="","",COUNTIF('Keyword Map'!$B$3:$B$1002,SUBSTITUTE(SUBSTITUTE(B240,"?","~?"),"*","~*")))</f>
        <v/>
      </c>
      <c r="D240">
        <f>IF(B240="","",SUMIFS('Keyword Map'!$C$3:$C$1002,'Keyword Map'!$B$3:$B$1002,SUBSTITUTE(SUBSTITUTE(B240,"?","~?"),"*","~*")))</f>
        <v/>
      </c>
      <c r="E240">
        <f>IF(B240="","",SUMPRODUCT(('Keyword Map'!$B$3:$B$1002=B240)*(LEN('Keyword Map'!$G$3:$G$1002)&gt;0)))</f>
        <v/>
      </c>
      <c r="F240">
        <f>IF(B240="","",C240-E240)</f>
        <v/>
      </c>
      <c r="G240">
        <f>IF(B240="","",COUNTIFS('Keyword Map'!$B$3:$B$1002,SUBSTITUTE(SUBSTITUTE(B240,"?","~?"),"*","~*"),'Keyword Map'!$R$3:$R$1002,"Yes"))</f>
        <v/>
      </c>
      <c r="H240">
        <f>IF(B240="","",COUNTIFS('Keyword Map'!$B$3:$B$1002,SUBSTITUTE(SUBSTITUTE(B240,"?","~?"),"*","~*"),'Keyword Map'!$W$3:$W$1002,"Yes"))</f>
        <v/>
      </c>
      <c r="I240">
        <f>IF(B240="","",IFERROR(ROUND(AVERAGEIFS('Keyword Map'!$P$3:$P$1002,'Keyword Map'!$B$3:$B$1002,SUBSTITUTE(SUBSTITUTE(B240,"?","~?"),"*","~*")),0),""))</f>
        <v/>
      </c>
    </row>
    <row r="241">
      <c r="A241">
        <f>ROW()-2</f>
        <v/>
      </c>
      <c r="B241">
        <f>IFERROR(INDEX('Keyword Map'!$B$3:$B$1002,MATCH(A241,'Keyword Map'!$AB$3:$AB$1002,0)),"")</f>
        <v/>
      </c>
      <c r="C241">
        <f>IF(B241="","",COUNTIF('Keyword Map'!$B$3:$B$1002,SUBSTITUTE(SUBSTITUTE(B241,"?","~?"),"*","~*")))</f>
        <v/>
      </c>
      <c r="D241">
        <f>IF(B241="","",SUMIFS('Keyword Map'!$C$3:$C$1002,'Keyword Map'!$B$3:$B$1002,SUBSTITUTE(SUBSTITUTE(B241,"?","~?"),"*","~*")))</f>
        <v/>
      </c>
      <c r="E241">
        <f>IF(B241="","",SUMPRODUCT(('Keyword Map'!$B$3:$B$1002=B241)*(LEN('Keyword Map'!$G$3:$G$1002)&gt;0)))</f>
        <v/>
      </c>
      <c r="F241">
        <f>IF(B241="","",C241-E241)</f>
        <v/>
      </c>
      <c r="G241">
        <f>IF(B241="","",COUNTIFS('Keyword Map'!$B$3:$B$1002,SUBSTITUTE(SUBSTITUTE(B241,"?","~?"),"*","~*"),'Keyword Map'!$R$3:$R$1002,"Yes"))</f>
        <v/>
      </c>
      <c r="H241">
        <f>IF(B241="","",COUNTIFS('Keyword Map'!$B$3:$B$1002,SUBSTITUTE(SUBSTITUTE(B241,"?","~?"),"*","~*"),'Keyword Map'!$W$3:$W$1002,"Yes"))</f>
        <v/>
      </c>
      <c r="I241">
        <f>IF(B241="","",IFERROR(ROUND(AVERAGEIFS('Keyword Map'!$P$3:$P$1002,'Keyword Map'!$B$3:$B$1002,SUBSTITUTE(SUBSTITUTE(B241,"?","~?"),"*","~*")),0),""))</f>
        <v/>
      </c>
    </row>
    <row r="242">
      <c r="A242">
        <f>ROW()-2</f>
        <v/>
      </c>
      <c r="B242">
        <f>IFERROR(INDEX('Keyword Map'!$B$3:$B$1002,MATCH(A242,'Keyword Map'!$AB$3:$AB$1002,0)),"")</f>
        <v/>
      </c>
      <c r="C242">
        <f>IF(B242="","",COUNTIF('Keyword Map'!$B$3:$B$1002,SUBSTITUTE(SUBSTITUTE(B242,"?","~?"),"*","~*")))</f>
        <v/>
      </c>
      <c r="D242">
        <f>IF(B242="","",SUMIFS('Keyword Map'!$C$3:$C$1002,'Keyword Map'!$B$3:$B$1002,SUBSTITUTE(SUBSTITUTE(B242,"?","~?"),"*","~*")))</f>
        <v/>
      </c>
      <c r="E242">
        <f>IF(B242="","",SUMPRODUCT(('Keyword Map'!$B$3:$B$1002=B242)*(LEN('Keyword Map'!$G$3:$G$1002)&gt;0)))</f>
        <v/>
      </c>
      <c r="F242">
        <f>IF(B242="","",C242-E242)</f>
        <v/>
      </c>
      <c r="G242">
        <f>IF(B242="","",COUNTIFS('Keyword Map'!$B$3:$B$1002,SUBSTITUTE(SUBSTITUTE(B242,"?","~?"),"*","~*"),'Keyword Map'!$R$3:$R$1002,"Yes"))</f>
        <v/>
      </c>
      <c r="H242">
        <f>IF(B242="","",COUNTIFS('Keyword Map'!$B$3:$B$1002,SUBSTITUTE(SUBSTITUTE(B242,"?","~?"),"*","~*"),'Keyword Map'!$W$3:$W$1002,"Yes"))</f>
        <v/>
      </c>
      <c r="I242">
        <f>IF(B242="","",IFERROR(ROUND(AVERAGEIFS('Keyword Map'!$P$3:$P$1002,'Keyword Map'!$B$3:$B$1002,SUBSTITUTE(SUBSTITUTE(B242,"?","~?"),"*","~*")),0),""))</f>
        <v/>
      </c>
    </row>
    <row r="243">
      <c r="A243">
        <f>ROW()-2</f>
        <v/>
      </c>
      <c r="B243">
        <f>IFERROR(INDEX('Keyword Map'!$B$3:$B$1002,MATCH(A243,'Keyword Map'!$AB$3:$AB$1002,0)),"")</f>
        <v/>
      </c>
      <c r="C243">
        <f>IF(B243="","",COUNTIF('Keyword Map'!$B$3:$B$1002,SUBSTITUTE(SUBSTITUTE(B243,"?","~?"),"*","~*")))</f>
        <v/>
      </c>
      <c r="D243">
        <f>IF(B243="","",SUMIFS('Keyword Map'!$C$3:$C$1002,'Keyword Map'!$B$3:$B$1002,SUBSTITUTE(SUBSTITUTE(B243,"?","~?"),"*","~*")))</f>
        <v/>
      </c>
      <c r="E243">
        <f>IF(B243="","",SUMPRODUCT(('Keyword Map'!$B$3:$B$1002=B243)*(LEN('Keyword Map'!$G$3:$G$1002)&gt;0)))</f>
        <v/>
      </c>
      <c r="F243">
        <f>IF(B243="","",C243-E243)</f>
        <v/>
      </c>
      <c r="G243">
        <f>IF(B243="","",COUNTIFS('Keyword Map'!$B$3:$B$1002,SUBSTITUTE(SUBSTITUTE(B243,"?","~?"),"*","~*"),'Keyword Map'!$R$3:$R$1002,"Yes"))</f>
        <v/>
      </c>
      <c r="H243">
        <f>IF(B243="","",COUNTIFS('Keyword Map'!$B$3:$B$1002,SUBSTITUTE(SUBSTITUTE(B243,"?","~?"),"*","~*"),'Keyword Map'!$W$3:$W$1002,"Yes"))</f>
        <v/>
      </c>
      <c r="I243">
        <f>IF(B243="","",IFERROR(ROUND(AVERAGEIFS('Keyword Map'!$P$3:$P$1002,'Keyword Map'!$B$3:$B$1002,SUBSTITUTE(SUBSTITUTE(B243,"?","~?"),"*","~*")),0),""))</f>
        <v/>
      </c>
    </row>
    <row r="244">
      <c r="A244">
        <f>ROW()-2</f>
        <v/>
      </c>
      <c r="B244">
        <f>IFERROR(INDEX('Keyword Map'!$B$3:$B$1002,MATCH(A244,'Keyword Map'!$AB$3:$AB$1002,0)),"")</f>
        <v/>
      </c>
      <c r="C244">
        <f>IF(B244="","",COUNTIF('Keyword Map'!$B$3:$B$1002,SUBSTITUTE(SUBSTITUTE(B244,"?","~?"),"*","~*")))</f>
        <v/>
      </c>
      <c r="D244">
        <f>IF(B244="","",SUMIFS('Keyword Map'!$C$3:$C$1002,'Keyword Map'!$B$3:$B$1002,SUBSTITUTE(SUBSTITUTE(B244,"?","~?"),"*","~*")))</f>
        <v/>
      </c>
      <c r="E244">
        <f>IF(B244="","",SUMPRODUCT(('Keyword Map'!$B$3:$B$1002=B244)*(LEN('Keyword Map'!$G$3:$G$1002)&gt;0)))</f>
        <v/>
      </c>
      <c r="F244">
        <f>IF(B244="","",C244-E244)</f>
        <v/>
      </c>
      <c r="G244">
        <f>IF(B244="","",COUNTIFS('Keyword Map'!$B$3:$B$1002,SUBSTITUTE(SUBSTITUTE(B244,"?","~?"),"*","~*"),'Keyword Map'!$R$3:$R$1002,"Yes"))</f>
        <v/>
      </c>
      <c r="H244">
        <f>IF(B244="","",COUNTIFS('Keyword Map'!$B$3:$B$1002,SUBSTITUTE(SUBSTITUTE(B244,"?","~?"),"*","~*"),'Keyword Map'!$W$3:$W$1002,"Yes"))</f>
        <v/>
      </c>
      <c r="I244">
        <f>IF(B244="","",IFERROR(ROUND(AVERAGEIFS('Keyword Map'!$P$3:$P$1002,'Keyword Map'!$B$3:$B$1002,SUBSTITUTE(SUBSTITUTE(B244,"?","~?"),"*","~*")),0),""))</f>
        <v/>
      </c>
    </row>
    <row r="245">
      <c r="A245">
        <f>ROW()-2</f>
        <v/>
      </c>
      <c r="B245">
        <f>IFERROR(INDEX('Keyword Map'!$B$3:$B$1002,MATCH(A245,'Keyword Map'!$AB$3:$AB$1002,0)),"")</f>
        <v/>
      </c>
      <c r="C245">
        <f>IF(B245="","",COUNTIF('Keyword Map'!$B$3:$B$1002,SUBSTITUTE(SUBSTITUTE(B245,"?","~?"),"*","~*")))</f>
        <v/>
      </c>
      <c r="D245">
        <f>IF(B245="","",SUMIFS('Keyword Map'!$C$3:$C$1002,'Keyword Map'!$B$3:$B$1002,SUBSTITUTE(SUBSTITUTE(B245,"?","~?"),"*","~*")))</f>
        <v/>
      </c>
      <c r="E245">
        <f>IF(B245="","",SUMPRODUCT(('Keyword Map'!$B$3:$B$1002=B245)*(LEN('Keyword Map'!$G$3:$G$1002)&gt;0)))</f>
        <v/>
      </c>
      <c r="F245">
        <f>IF(B245="","",C245-E245)</f>
        <v/>
      </c>
      <c r="G245">
        <f>IF(B245="","",COUNTIFS('Keyword Map'!$B$3:$B$1002,SUBSTITUTE(SUBSTITUTE(B245,"?","~?"),"*","~*"),'Keyword Map'!$R$3:$R$1002,"Yes"))</f>
        <v/>
      </c>
      <c r="H245">
        <f>IF(B245="","",COUNTIFS('Keyword Map'!$B$3:$B$1002,SUBSTITUTE(SUBSTITUTE(B245,"?","~?"),"*","~*"),'Keyword Map'!$W$3:$W$1002,"Yes"))</f>
        <v/>
      </c>
      <c r="I245">
        <f>IF(B245="","",IFERROR(ROUND(AVERAGEIFS('Keyword Map'!$P$3:$P$1002,'Keyword Map'!$B$3:$B$1002,SUBSTITUTE(SUBSTITUTE(B245,"?","~?"),"*","~*")),0),""))</f>
        <v/>
      </c>
    </row>
    <row r="246">
      <c r="A246">
        <f>ROW()-2</f>
        <v/>
      </c>
      <c r="B246">
        <f>IFERROR(INDEX('Keyword Map'!$B$3:$B$1002,MATCH(A246,'Keyword Map'!$AB$3:$AB$1002,0)),"")</f>
        <v/>
      </c>
      <c r="C246">
        <f>IF(B246="","",COUNTIF('Keyword Map'!$B$3:$B$1002,SUBSTITUTE(SUBSTITUTE(B246,"?","~?"),"*","~*")))</f>
        <v/>
      </c>
      <c r="D246">
        <f>IF(B246="","",SUMIFS('Keyword Map'!$C$3:$C$1002,'Keyword Map'!$B$3:$B$1002,SUBSTITUTE(SUBSTITUTE(B246,"?","~?"),"*","~*")))</f>
        <v/>
      </c>
      <c r="E246">
        <f>IF(B246="","",SUMPRODUCT(('Keyword Map'!$B$3:$B$1002=B246)*(LEN('Keyword Map'!$G$3:$G$1002)&gt;0)))</f>
        <v/>
      </c>
      <c r="F246">
        <f>IF(B246="","",C246-E246)</f>
        <v/>
      </c>
      <c r="G246">
        <f>IF(B246="","",COUNTIFS('Keyword Map'!$B$3:$B$1002,SUBSTITUTE(SUBSTITUTE(B246,"?","~?"),"*","~*"),'Keyword Map'!$R$3:$R$1002,"Yes"))</f>
        <v/>
      </c>
      <c r="H246">
        <f>IF(B246="","",COUNTIFS('Keyword Map'!$B$3:$B$1002,SUBSTITUTE(SUBSTITUTE(B246,"?","~?"),"*","~*"),'Keyword Map'!$W$3:$W$1002,"Yes"))</f>
        <v/>
      </c>
      <c r="I246">
        <f>IF(B246="","",IFERROR(ROUND(AVERAGEIFS('Keyword Map'!$P$3:$P$1002,'Keyword Map'!$B$3:$B$1002,SUBSTITUTE(SUBSTITUTE(B246,"?","~?"),"*","~*")),0),""))</f>
        <v/>
      </c>
    </row>
    <row r="247">
      <c r="A247">
        <f>ROW()-2</f>
        <v/>
      </c>
      <c r="B247">
        <f>IFERROR(INDEX('Keyword Map'!$B$3:$B$1002,MATCH(A247,'Keyword Map'!$AB$3:$AB$1002,0)),"")</f>
        <v/>
      </c>
      <c r="C247">
        <f>IF(B247="","",COUNTIF('Keyword Map'!$B$3:$B$1002,SUBSTITUTE(SUBSTITUTE(B247,"?","~?"),"*","~*")))</f>
        <v/>
      </c>
      <c r="D247">
        <f>IF(B247="","",SUMIFS('Keyword Map'!$C$3:$C$1002,'Keyword Map'!$B$3:$B$1002,SUBSTITUTE(SUBSTITUTE(B247,"?","~?"),"*","~*")))</f>
        <v/>
      </c>
      <c r="E247">
        <f>IF(B247="","",SUMPRODUCT(('Keyword Map'!$B$3:$B$1002=B247)*(LEN('Keyword Map'!$G$3:$G$1002)&gt;0)))</f>
        <v/>
      </c>
      <c r="F247">
        <f>IF(B247="","",C247-E247)</f>
        <v/>
      </c>
      <c r="G247">
        <f>IF(B247="","",COUNTIFS('Keyword Map'!$B$3:$B$1002,SUBSTITUTE(SUBSTITUTE(B247,"?","~?"),"*","~*"),'Keyword Map'!$R$3:$R$1002,"Yes"))</f>
        <v/>
      </c>
      <c r="H247">
        <f>IF(B247="","",COUNTIFS('Keyword Map'!$B$3:$B$1002,SUBSTITUTE(SUBSTITUTE(B247,"?","~?"),"*","~*"),'Keyword Map'!$W$3:$W$1002,"Yes"))</f>
        <v/>
      </c>
      <c r="I247">
        <f>IF(B247="","",IFERROR(ROUND(AVERAGEIFS('Keyword Map'!$P$3:$P$1002,'Keyword Map'!$B$3:$B$1002,SUBSTITUTE(SUBSTITUTE(B247,"?","~?"),"*","~*")),0),""))</f>
        <v/>
      </c>
    </row>
    <row r="248">
      <c r="A248">
        <f>ROW()-2</f>
        <v/>
      </c>
      <c r="B248">
        <f>IFERROR(INDEX('Keyword Map'!$B$3:$B$1002,MATCH(A248,'Keyword Map'!$AB$3:$AB$1002,0)),"")</f>
        <v/>
      </c>
      <c r="C248">
        <f>IF(B248="","",COUNTIF('Keyword Map'!$B$3:$B$1002,SUBSTITUTE(SUBSTITUTE(B248,"?","~?"),"*","~*")))</f>
        <v/>
      </c>
      <c r="D248">
        <f>IF(B248="","",SUMIFS('Keyword Map'!$C$3:$C$1002,'Keyword Map'!$B$3:$B$1002,SUBSTITUTE(SUBSTITUTE(B248,"?","~?"),"*","~*")))</f>
        <v/>
      </c>
      <c r="E248">
        <f>IF(B248="","",SUMPRODUCT(('Keyword Map'!$B$3:$B$1002=B248)*(LEN('Keyword Map'!$G$3:$G$1002)&gt;0)))</f>
        <v/>
      </c>
      <c r="F248">
        <f>IF(B248="","",C248-E248)</f>
        <v/>
      </c>
      <c r="G248">
        <f>IF(B248="","",COUNTIFS('Keyword Map'!$B$3:$B$1002,SUBSTITUTE(SUBSTITUTE(B248,"?","~?"),"*","~*"),'Keyword Map'!$R$3:$R$1002,"Yes"))</f>
        <v/>
      </c>
      <c r="H248">
        <f>IF(B248="","",COUNTIFS('Keyword Map'!$B$3:$B$1002,SUBSTITUTE(SUBSTITUTE(B248,"?","~?"),"*","~*"),'Keyword Map'!$W$3:$W$1002,"Yes"))</f>
        <v/>
      </c>
      <c r="I248">
        <f>IF(B248="","",IFERROR(ROUND(AVERAGEIFS('Keyword Map'!$P$3:$P$1002,'Keyword Map'!$B$3:$B$1002,SUBSTITUTE(SUBSTITUTE(B248,"?","~?"),"*","~*")),0),""))</f>
        <v/>
      </c>
    </row>
    <row r="249">
      <c r="A249">
        <f>ROW()-2</f>
        <v/>
      </c>
      <c r="B249">
        <f>IFERROR(INDEX('Keyword Map'!$B$3:$B$1002,MATCH(A249,'Keyword Map'!$AB$3:$AB$1002,0)),"")</f>
        <v/>
      </c>
      <c r="C249">
        <f>IF(B249="","",COUNTIF('Keyword Map'!$B$3:$B$1002,SUBSTITUTE(SUBSTITUTE(B249,"?","~?"),"*","~*")))</f>
        <v/>
      </c>
      <c r="D249">
        <f>IF(B249="","",SUMIFS('Keyword Map'!$C$3:$C$1002,'Keyword Map'!$B$3:$B$1002,SUBSTITUTE(SUBSTITUTE(B249,"?","~?"),"*","~*")))</f>
        <v/>
      </c>
      <c r="E249">
        <f>IF(B249="","",SUMPRODUCT(('Keyword Map'!$B$3:$B$1002=B249)*(LEN('Keyword Map'!$G$3:$G$1002)&gt;0)))</f>
        <v/>
      </c>
      <c r="F249">
        <f>IF(B249="","",C249-E249)</f>
        <v/>
      </c>
      <c r="G249">
        <f>IF(B249="","",COUNTIFS('Keyword Map'!$B$3:$B$1002,SUBSTITUTE(SUBSTITUTE(B249,"?","~?"),"*","~*"),'Keyword Map'!$R$3:$R$1002,"Yes"))</f>
        <v/>
      </c>
      <c r="H249">
        <f>IF(B249="","",COUNTIFS('Keyword Map'!$B$3:$B$1002,SUBSTITUTE(SUBSTITUTE(B249,"?","~?"),"*","~*"),'Keyword Map'!$W$3:$W$1002,"Yes"))</f>
        <v/>
      </c>
      <c r="I249">
        <f>IF(B249="","",IFERROR(ROUND(AVERAGEIFS('Keyword Map'!$P$3:$P$1002,'Keyword Map'!$B$3:$B$1002,SUBSTITUTE(SUBSTITUTE(B249,"?","~?"),"*","~*")),0),""))</f>
        <v/>
      </c>
    </row>
    <row r="250">
      <c r="A250">
        <f>ROW()-2</f>
        <v/>
      </c>
      <c r="B250">
        <f>IFERROR(INDEX('Keyword Map'!$B$3:$B$1002,MATCH(A250,'Keyword Map'!$AB$3:$AB$1002,0)),"")</f>
        <v/>
      </c>
      <c r="C250">
        <f>IF(B250="","",COUNTIF('Keyword Map'!$B$3:$B$1002,SUBSTITUTE(SUBSTITUTE(B250,"?","~?"),"*","~*")))</f>
        <v/>
      </c>
      <c r="D250">
        <f>IF(B250="","",SUMIFS('Keyword Map'!$C$3:$C$1002,'Keyword Map'!$B$3:$B$1002,SUBSTITUTE(SUBSTITUTE(B250,"?","~?"),"*","~*")))</f>
        <v/>
      </c>
      <c r="E250">
        <f>IF(B250="","",SUMPRODUCT(('Keyword Map'!$B$3:$B$1002=B250)*(LEN('Keyword Map'!$G$3:$G$1002)&gt;0)))</f>
        <v/>
      </c>
      <c r="F250">
        <f>IF(B250="","",C250-E250)</f>
        <v/>
      </c>
      <c r="G250">
        <f>IF(B250="","",COUNTIFS('Keyword Map'!$B$3:$B$1002,SUBSTITUTE(SUBSTITUTE(B250,"?","~?"),"*","~*"),'Keyword Map'!$R$3:$R$1002,"Yes"))</f>
        <v/>
      </c>
      <c r="H250">
        <f>IF(B250="","",COUNTIFS('Keyword Map'!$B$3:$B$1002,SUBSTITUTE(SUBSTITUTE(B250,"?","~?"),"*","~*"),'Keyword Map'!$W$3:$W$1002,"Yes"))</f>
        <v/>
      </c>
      <c r="I250">
        <f>IF(B250="","",IFERROR(ROUND(AVERAGEIFS('Keyword Map'!$P$3:$P$1002,'Keyword Map'!$B$3:$B$1002,SUBSTITUTE(SUBSTITUTE(B250,"?","~?"),"*","~*")),0),""))</f>
        <v/>
      </c>
    </row>
    <row r="251">
      <c r="A251">
        <f>ROW()-2</f>
        <v/>
      </c>
      <c r="B251">
        <f>IFERROR(INDEX('Keyword Map'!$B$3:$B$1002,MATCH(A251,'Keyword Map'!$AB$3:$AB$1002,0)),"")</f>
        <v/>
      </c>
      <c r="C251">
        <f>IF(B251="","",COUNTIF('Keyword Map'!$B$3:$B$1002,SUBSTITUTE(SUBSTITUTE(B251,"?","~?"),"*","~*")))</f>
        <v/>
      </c>
      <c r="D251">
        <f>IF(B251="","",SUMIFS('Keyword Map'!$C$3:$C$1002,'Keyword Map'!$B$3:$B$1002,SUBSTITUTE(SUBSTITUTE(B251,"?","~?"),"*","~*")))</f>
        <v/>
      </c>
      <c r="E251">
        <f>IF(B251="","",SUMPRODUCT(('Keyword Map'!$B$3:$B$1002=B251)*(LEN('Keyword Map'!$G$3:$G$1002)&gt;0)))</f>
        <v/>
      </c>
      <c r="F251">
        <f>IF(B251="","",C251-E251)</f>
        <v/>
      </c>
      <c r="G251">
        <f>IF(B251="","",COUNTIFS('Keyword Map'!$B$3:$B$1002,SUBSTITUTE(SUBSTITUTE(B251,"?","~?"),"*","~*"),'Keyword Map'!$R$3:$R$1002,"Yes"))</f>
        <v/>
      </c>
      <c r="H251">
        <f>IF(B251="","",COUNTIFS('Keyword Map'!$B$3:$B$1002,SUBSTITUTE(SUBSTITUTE(B251,"?","~?"),"*","~*"),'Keyword Map'!$W$3:$W$1002,"Yes"))</f>
        <v/>
      </c>
      <c r="I251">
        <f>IF(B251="","",IFERROR(ROUND(AVERAGEIFS('Keyword Map'!$P$3:$P$1002,'Keyword Map'!$B$3:$B$1002,SUBSTITUTE(SUBSTITUTE(B251,"?","~?"),"*","~*")),0),""))</f>
        <v/>
      </c>
    </row>
    <row r="252">
      <c r="A252">
        <f>ROW()-2</f>
        <v/>
      </c>
      <c r="B252">
        <f>IFERROR(INDEX('Keyword Map'!$B$3:$B$1002,MATCH(A252,'Keyword Map'!$AB$3:$AB$1002,0)),"")</f>
        <v/>
      </c>
      <c r="C252">
        <f>IF(B252="","",COUNTIF('Keyword Map'!$B$3:$B$1002,SUBSTITUTE(SUBSTITUTE(B252,"?","~?"),"*","~*")))</f>
        <v/>
      </c>
      <c r="D252">
        <f>IF(B252="","",SUMIFS('Keyword Map'!$C$3:$C$1002,'Keyword Map'!$B$3:$B$1002,SUBSTITUTE(SUBSTITUTE(B252,"?","~?"),"*","~*")))</f>
        <v/>
      </c>
      <c r="E252">
        <f>IF(B252="","",SUMPRODUCT(('Keyword Map'!$B$3:$B$1002=B252)*(LEN('Keyword Map'!$G$3:$G$1002)&gt;0)))</f>
        <v/>
      </c>
      <c r="F252">
        <f>IF(B252="","",C252-E252)</f>
        <v/>
      </c>
      <c r="G252">
        <f>IF(B252="","",COUNTIFS('Keyword Map'!$B$3:$B$1002,SUBSTITUTE(SUBSTITUTE(B252,"?","~?"),"*","~*"),'Keyword Map'!$R$3:$R$1002,"Yes"))</f>
        <v/>
      </c>
      <c r="H252">
        <f>IF(B252="","",COUNTIFS('Keyword Map'!$B$3:$B$1002,SUBSTITUTE(SUBSTITUTE(B252,"?","~?"),"*","~*"),'Keyword Map'!$W$3:$W$1002,"Yes"))</f>
        <v/>
      </c>
      <c r="I252">
        <f>IF(B252="","",IFERROR(ROUND(AVERAGEIFS('Keyword Map'!$P$3:$P$1002,'Keyword Map'!$B$3:$B$1002,SUBSTITUTE(SUBSTITUTE(B252,"?","~?"),"*","~*")),0),""))</f>
        <v/>
      </c>
    </row>
    <row r="253">
      <c r="A253">
        <f>ROW()-2</f>
        <v/>
      </c>
      <c r="B253">
        <f>IFERROR(INDEX('Keyword Map'!$B$3:$B$1002,MATCH(A253,'Keyword Map'!$AB$3:$AB$1002,0)),"")</f>
        <v/>
      </c>
      <c r="C253">
        <f>IF(B253="","",COUNTIF('Keyword Map'!$B$3:$B$1002,SUBSTITUTE(SUBSTITUTE(B253,"?","~?"),"*","~*")))</f>
        <v/>
      </c>
      <c r="D253">
        <f>IF(B253="","",SUMIFS('Keyword Map'!$C$3:$C$1002,'Keyword Map'!$B$3:$B$1002,SUBSTITUTE(SUBSTITUTE(B253,"?","~?"),"*","~*")))</f>
        <v/>
      </c>
      <c r="E253">
        <f>IF(B253="","",SUMPRODUCT(('Keyword Map'!$B$3:$B$1002=B253)*(LEN('Keyword Map'!$G$3:$G$1002)&gt;0)))</f>
        <v/>
      </c>
      <c r="F253">
        <f>IF(B253="","",C253-E253)</f>
        <v/>
      </c>
      <c r="G253">
        <f>IF(B253="","",COUNTIFS('Keyword Map'!$B$3:$B$1002,SUBSTITUTE(SUBSTITUTE(B253,"?","~?"),"*","~*"),'Keyword Map'!$R$3:$R$1002,"Yes"))</f>
        <v/>
      </c>
      <c r="H253">
        <f>IF(B253="","",COUNTIFS('Keyword Map'!$B$3:$B$1002,SUBSTITUTE(SUBSTITUTE(B253,"?","~?"),"*","~*"),'Keyword Map'!$W$3:$W$1002,"Yes"))</f>
        <v/>
      </c>
      <c r="I253">
        <f>IF(B253="","",IFERROR(ROUND(AVERAGEIFS('Keyword Map'!$P$3:$P$1002,'Keyword Map'!$B$3:$B$1002,SUBSTITUTE(SUBSTITUTE(B253,"?","~?"),"*","~*")),0),""))</f>
        <v/>
      </c>
    </row>
    <row r="254">
      <c r="A254">
        <f>ROW()-2</f>
        <v/>
      </c>
      <c r="B254">
        <f>IFERROR(INDEX('Keyword Map'!$B$3:$B$1002,MATCH(A254,'Keyword Map'!$AB$3:$AB$1002,0)),"")</f>
        <v/>
      </c>
      <c r="C254">
        <f>IF(B254="","",COUNTIF('Keyword Map'!$B$3:$B$1002,SUBSTITUTE(SUBSTITUTE(B254,"?","~?"),"*","~*")))</f>
        <v/>
      </c>
      <c r="D254">
        <f>IF(B254="","",SUMIFS('Keyword Map'!$C$3:$C$1002,'Keyword Map'!$B$3:$B$1002,SUBSTITUTE(SUBSTITUTE(B254,"?","~?"),"*","~*")))</f>
        <v/>
      </c>
      <c r="E254">
        <f>IF(B254="","",SUMPRODUCT(('Keyword Map'!$B$3:$B$1002=B254)*(LEN('Keyword Map'!$G$3:$G$1002)&gt;0)))</f>
        <v/>
      </c>
      <c r="F254">
        <f>IF(B254="","",C254-E254)</f>
        <v/>
      </c>
      <c r="G254">
        <f>IF(B254="","",COUNTIFS('Keyword Map'!$B$3:$B$1002,SUBSTITUTE(SUBSTITUTE(B254,"?","~?"),"*","~*"),'Keyword Map'!$R$3:$R$1002,"Yes"))</f>
        <v/>
      </c>
      <c r="H254">
        <f>IF(B254="","",COUNTIFS('Keyword Map'!$B$3:$B$1002,SUBSTITUTE(SUBSTITUTE(B254,"?","~?"),"*","~*"),'Keyword Map'!$W$3:$W$1002,"Yes"))</f>
        <v/>
      </c>
      <c r="I254">
        <f>IF(B254="","",IFERROR(ROUND(AVERAGEIFS('Keyword Map'!$P$3:$P$1002,'Keyword Map'!$B$3:$B$1002,SUBSTITUTE(SUBSTITUTE(B254,"?","~?"),"*","~*")),0),""))</f>
        <v/>
      </c>
    </row>
    <row r="255">
      <c r="A255">
        <f>ROW()-2</f>
        <v/>
      </c>
      <c r="B255">
        <f>IFERROR(INDEX('Keyword Map'!$B$3:$B$1002,MATCH(A255,'Keyword Map'!$AB$3:$AB$1002,0)),"")</f>
        <v/>
      </c>
      <c r="C255">
        <f>IF(B255="","",COUNTIF('Keyword Map'!$B$3:$B$1002,SUBSTITUTE(SUBSTITUTE(B255,"?","~?"),"*","~*")))</f>
        <v/>
      </c>
      <c r="D255">
        <f>IF(B255="","",SUMIFS('Keyword Map'!$C$3:$C$1002,'Keyword Map'!$B$3:$B$1002,SUBSTITUTE(SUBSTITUTE(B255,"?","~?"),"*","~*")))</f>
        <v/>
      </c>
      <c r="E255">
        <f>IF(B255="","",SUMPRODUCT(('Keyword Map'!$B$3:$B$1002=B255)*(LEN('Keyword Map'!$G$3:$G$1002)&gt;0)))</f>
        <v/>
      </c>
      <c r="F255">
        <f>IF(B255="","",C255-E255)</f>
        <v/>
      </c>
      <c r="G255">
        <f>IF(B255="","",COUNTIFS('Keyword Map'!$B$3:$B$1002,SUBSTITUTE(SUBSTITUTE(B255,"?","~?"),"*","~*"),'Keyword Map'!$R$3:$R$1002,"Yes"))</f>
        <v/>
      </c>
      <c r="H255">
        <f>IF(B255="","",COUNTIFS('Keyword Map'!$B$3:$B$1002,SUBSTITUTE(SUBSTITUTE(B255,"?","~?"),"*","~*"),'Keyword Map'!$W$3:$W$1002,"Yes"))</f>
        <v/>
      </c>
      <c r="I255">
        <f>IF(B255="","",IFERROR(ROUND(AVERAGEIFS('Keyword Map'!$P$3:$P$1002,'Keyword Map'!$B$3:$B$1002,SUBSTITUTE(SUBSTITUTE(B255,"?","~?"),"*","~*")),0),""))</f>
        <v/>
      </c>
    </row>
    <row r="256">
      <c r="A256">
        <f>ROW()-2</f>
        <v/>
      </c>
      <c r="B256">
        <f>IFERROR(INDEX('Keyword Map'!$B$3:$B$1002,MATCH(A256,'Keyword Map'!$AB$3:$AB$1002,0)),"")</f>
        <v/>
      </c>
      <c r="C256">
        <f>IF(B256="","",COUNTIF('Keyword Map'!$B$3:$B$1002,SUBSTITUTE(SUBSTITUTE(B256,"?","~?"),"*","~*")))</f>
        <v/>
      </c>
      <c r="D256">
        <f>IF(B256="","",SUMIFS('Keyword Map'!$C$3:$C$1002,'Keyword Map'!$B$3:$B$1002,SUBSTITUTE(SUBSTITUTE(B256,"?","~?"),"*","~*")))</f>
        <v/>
      </c>
      <c r="E256">
        <f>IF(B256="","",SUMPRODUCT(('Keyword Map'!$B$3:$B$1002=B256)*(LEN('Keyword Map'!$G$3:$G$1002)&gt;0)))</f>
        <v/>
      </c>
      <c r="F256">
        <f>IF(B256="","",C256-E256)</f>
        <v/>
      </c>
      <c r="G256">
        <f>IF(B256="","",COUNTIFS('Keyword Map'!$B$3:$B$1002,SUBSTITUTE(SUBSTITUTE(B256,"?","~?"),"*","~*"),'Keyword Map'!$R$3:$R$1002,"Yes"))</f>
        <v/>
      </c>
      <c r="H256">
        <f>IF(B256="","",COUNTIFS('Keyword Map'!$B$3:$B$1002,SUBSTITUTE(SUBSTITUTE(B256,"?","~?"),"*","~*"),'Keyword Map'!$W$3:$W$1002,"Yes"))</f>
        <v/>
      </c>
      <c r="I256">
        <f>IF(B256="","",IFERROR(ROUND(AVERAGEIFS('Keyword Map'!$P$3:$P$1002,'Keyword Map'!$B$3:$B$1002,SUBSTITUTE(SUBSTITUTE(B256,"?","~?"),"*","~*")),0),""))</f>
        <v/>
      </c>
    </row>
    <row r="257">
      <c r="A257">
        <f>ROW()-2</f>
        <v/>
      </c>
      <c r="B257">
        <f>IFERROR(INDEX('Keyword Map'!$B$3:$B$1002,MATCH(A257,'Keyword Map'!$AB$3:$AB$1002,0)),"")</f>
        <v/>
      </c>
      <c r="C257">
        <f>IF(B257="","",COUNTIF('Keyword Map'!$B$3:$B$1002,SUBSTITUTE(SUBSTITUTE(B257,"?","~?"),"*","~*")))</f>
        <v/>
      </c>
      <c r="D257">
        <f>IF(B257="","",SUMIFS('Keyword Map'!$C$3:$C$1002,'Keyword Map'!$B$3:$B$1002,SUBSTITUTE(SUBSTITUTE(B257,"?","~?"),"*","~*")))</f>
        <v/>
      </c>
      <c r="E257">
        <f>IF(B257="","",SUMPRODUCT(('Keyword Map'!$B$3:$B$1002=B257)*(LEN('Keyword Map'!$G$3:$G$1002)&gt;0)))</f>
        <v/>
      </c>
      <c r="F257">
        <f>IF(B257="","",C257-E257)</f>
        <v/>
      </c>
      <c r="G257">
        <f>IF(B257="","",COUNTIFS('Keyword Map'!$B$3:$B$1002,SUBSTITUTE(SUBSTITUTE(B257,"?","~?"),"*","~*"),'Keyword Map'!$R$3:$R$1002,"Yes"))</f>
        <v/>
      </c>
      <c r="H257">
        <f>IF(B257="","",COUNTIFS('Keyword Map'!$B$3:$B$1002,SUBSTITUTE(SUBSTITUTE(B257,"?","~?"),"*","~*"),'Keyword Map'!$W$3:$W$1002,"Yes"))</f>
        <v/>
      </c>
      <c r="I257">
        <f>IF(B257="","",IFERROR(ROUND(AVERAGEIFS('Keyword Map'!$P$3:$P$1002,'Keyword Map'!$B$3:$B$1002,SUBSTITUTE(SUBSTITUTE(B257,"?","~?"),"*","~*")),0),""))</f>
        <v/>
      </c>
    </row>
    <row r="258">
      <c r="A258">
        <f>ROW()-2</f>
        <v/>
      </c>
      <c r="B258">
        <f>IFERROR(INDEX('Keyword Map'!$B$3:$B$1002,MATCH(A258,'Keyword Map'!$AB$3:$AB$1002,0)),"")</f>
        <v/>
      </c>
      <c r="C258">
        <f>IF(B258="","",COUNTIF('Keyword Map'!$B$3:$B$1002,SUBSTITUTE(SUBSTITUTE(B258,"?","~?"),"*","~*")))</f>
        <v/>
      </c>
      <c r="D258">
        <f>IF(B258="","",SUMIFS('Keyword Map'!$C$3:$C$1002,'Keyword Map'!$B$3:$B$1002,SUBSTITUTE(SUBSTITUTE(B258,"?","~?"),"*","~*")))</f>
        <v/>
      </c>
      <c r="E258">
        <f>IF(B258="","",SUMPRODUCT(('Keyword Map'!$B$3:$B$1002=B258)*(LEN('Keyword Map'!$G$3:$G$1002)&gt;0)))</f>
        <v/>
      </c>
      <c r="F258">
        <f>IF(B258="","",C258-E258)</f>
        <v/>
      </c>
      <c r="G258">
        <f>IF(B258="","",COUNTIFS('Keyword Map'!$B$3:$B$1002,SUBSTITUTE(SUBSTITUTE(B258,"?","~?"),"*","~*"),'Keyword Map'!$R$3:$R$1002,"Yes"))</f>
        <v/>
      </c>
      <c r="H258">
        <f>IF(B258="","",COUNTIFS('Keyword Map'!$B$3:$B$1002,SUBSTITUTE(SUBSTITUTE(B258,"?","~?"),"*","~*"),'Keyword Map'!$W$3:$W$1002,"Yes"))</f>
        <v/>
      </c>
      <c r="I258">
        <f>IF(B258="","",IFERROR(ROUND(AVERAGEIFS('Keyword Map'!$P$3:$P$1002,'Keyword Map'!$B$3:$B$1002,SUBSTITUTE(SUBSTITUTE(B258,"?","~?"),"*","~*")),0),""))</f>
        <v/>
      </c>
    </row>
    <row r="259">
      <c r="A259">
        <f>ROW()-2</f>
        <v/>
      </c>
      <c r="B259">
        <f>IFERROR(INDEX('Keyword Map'!$B$3:$B$1002,MATCH(A259,'Keyword Map'!$AB$3:$AB$1002,0)),"")</f>
        <v/>
      </c>
      <c r="C259">
        <f>IF(B259="","",COUNTIF('Keyword Map'!$B$3:$B$1002,SUBSTITUTE(SUBSTITUTE(B259,"?","~?"),"*","~*")))</f>
        <v/>
      </c>
      <c r="D259">
        <f>IF(B259="","",SUMIFS('Keyword Map'!$C$3:$C$1002,'Keyword Map'!$B$3:$B$1002,SUBSTITUTE(SUBSTITUTE(B259,"?","~?"),"*","~*")))</f>
        <v/>
      </c>
      <c r="E259">
        <f>IF(B259="","",SUMPRODUCT(('Keyword Map'!$B$3:$B$1002=B259)*(LEN('Keyword Map'!$G$3:$G$1002)&gt;0)))</f>
        <v/>
      </c>
      <c r="F259">
        <f>IF(B259="","",C259-E259)</f>
        <v/>
      </c>
      <c r="G259">
        <f>IF(B259="","",COUNTIFS('Keyword Map'!$B$3:$B$1002,SUBSTITUTE(SUBSTITUTE(B259,"?","~?"),"*","~*"),'Keyword Map'!$R$3:$R$1002,"Yes"))</f>
        <v/>
      </c>
      <c r="H259">
        <f>IF(B259="","",COUNTIFS('Keyword Map'!$B$3:$B$1002,SUBSTITUTE(SUBSTITUTE(B259,"?","~?"),"*","~*"),'Keyword Map'!$W$3:$W$1002,"Yes"))</f>
        <v/>
      </c>
      <c r="I259">
        <f>IF(B259="","",IFERROR(ROUND(AVERAGEIFS('Keyword Map'!$P$3:$P$1002,'Keyword Map'!$B$3:$B$1002,SUBSTITUTE(SUBSTITUTE(B259,"?","~?"),"*","~*")),0),""))</f>
        <v/>
      </c>
    </row>
    <row r="260">
      <c r="A260">
        <f>ROW()-2</f>
        <v/>
      </c>
      <c r="B260">
        <f>IFERROR(INDEX('Keyword Map'!$B$3:$B$1002,MATCH(A260,'Keyword Map'!$AB$3:$AB$1002,0)),"")</f>
        <v/>
      </c>
      <c r="C260">
        <f>IF(B260="","",COUNTIF('Keyword Map'!$B$3:$B$1002,SUBSTITUTE(SUBSTITUTE(B260,"?","~?"),"*","~*")))</f>
        <v/>
      </c>
      <c r="D260">
        <f>IF(B260="","",SUMIFS('Keyword Map'!$C$3:$C$1002,'Keyword Map'!$B$3:$B$1002,SUBSTITUTE(SUBSTITUTE(B260,"?","~?"),"*","~*")))</f>
        <v/>
      </c>
      <c r="E260">
        <f>IF(B260="","",SUMPRODUCT(('Keyword Map'!$B$3:$B$1002=B260)*(LEN('Keyword Map'!$G$3:$G$1002)&gt;0)))</f>
        <v/>
      </c>
      <c r="F260">
        <f>IF(B260="","",C260-E260)</f>
        <v/>
      </c>
      <c r="G260">
        <f>IF(B260="","",COUNTIFS('Keyword Map'!$B$3:$B$1002,SUBSTITUTE(SUBSTITUTE(B260,"?","~?"),"*","~*"),'Keyword Map'!$R$3:$R$1002,"Yes"))</f>
        <v/>
      </c>
      <c r="H260">
        <f>IF(B260="","",COUNTIFS('Keyword Map'!$B$3:$B$1002,SUBSTITUTE(SUBSTITUTE(B260,"?","~?"),"*","~*"),'Keyword Map'!$W$3:$W$1002,"Yes"))</f>
        <v/>
      </c>
      <c r="I260">
        <f>IF(B260="","",IFERROR(ROUND(AVERAGEIFS('Keyword Map'!$P$3:$P$1002,'Keyword Map'!$B$3:$B$1002,SUBSTITUTE(SUBSTITUTE(B260,"?","~?"),"*","~*")),0),""))</f>
        <v/>
      </c>
    </row>
    <row r="261">
      <c r="A261">
        <f>ROW()-2</f>
        <v/>
      </c>
      <c r="B261">
        <f>IFERROR(INDEX('Keyword Map'!$B$3:$B$1002,MATCH(A261,'Keyword Map'!$AB$3:$AB$1002,0)),"")</f>
        <v/>
      </c>
      <c r="C261">
        <f>IF(B261="","",COUNTIF('Keyword Map'!$B$3:$B$1002,SUBSTITUTE(SUBSTITUTE(B261,"?","~?"),"*","~*")))</f>
        <v/>
      </c>
      <c r="D261">
        <f>IF(B261="","",SUMIFS('Keyword Map'!$C$3:$C$1002,'Keyword Map'!$B$3:$B$1002,SUBSTITUTE(SUBSTITUTE(B261,"?","~?"),"*","~*")))</f>
        <v/>
      </c>
      <c r="E261">
        <f>IF(B261="","",SUMPRODUCT(('Keyword Map'!$B$3:$B$1002=B261)*(LEN('Keyword Map'!$G$3:$G$1002)&gt;0)))</f>
        <v/>
      </c>
      <c r="F261">
        <f>IF(B261="","",C261-E261)</f>
        <v/>
      </c>
      <c r="G261">
        <f>IF(B261="","",COUNTIFS('Keyword Map'!$B$3:$B$1002,SUBSTITUTE(SUBSTITUTE(B261,"?","~?"),"*","~*"),'Keyword Map'!$R$3:$R$1002,"Yes"))</f>
        <v/>
      </c>
      <c r="H261">
        <f>IF(B261="","",COUNTIFS('Keyword Map'!$B$3:$B$1002,SUBSTITUTE(SUBSTITUTE(B261,"?","~?"),"*","~*"),'Keyword Map'!$W$3:$W$1002,"Yes"))</f>
        <v/>
      </c>
      <c r="I261">
        <f>IF(B261="","",IFERROR(ROUND(AVERAGEIFS('Keyword Map'!$P$3:$P$1002,'Keyword Map'!$B$3:$B$1002,SUBSTITUTE(SUBSTITUTE(B261,"?","~?"),"*","~*")),0),""))</f>
        <v/>
      </c>
    </row>
    <row r="262">
      <c r="A262">
        <f>ROW()-2</f>
        <v/>
      </c>
      <c r="B262">
        <f>IFERROR(INDEX('Keyword Map'!$B$3:$B$1002,MATCH(A262,'Keyword Map'!$AB$3:$AB$1002,0)),"")</f>
        <v/>
      </c>
      <c r="C262">
        <f>IF(B262="","",COUNTIF('Keyword Map'!$B$3:$B$1002,SUBSTITUTE(SUBSTITUTE(B262,"?","~?"),"*","~*")))</f>
        <v/>
      </c>
      <c r="D262">
        <f>IF(B262="","",SUMIFS('Keyword Map'!$C$3:$C$1002,'Keyword Map'!$B$3:$B$1002,SUBSTITUTE(SUBSTITUTE(B262,"?","~?"),"*","~*")))</f>
        <v/>
      </c>
      <c r="E262">
        <f>IF(B262="","",SUMPRODUCT(('Keyword Map'!$B$3:$B$1002=B262)*(LEN('Keyword Map'!$G$3:$G$1002)&gt;0)))</f>
        <v/>
      </c>
      <c r="F262">
        <f>IF(B262="","",C262-E262)</f>
        <v/>
      </c>
      <c r="G262">
        <f>IF(B262="","",COUNTIFS('Keyword Map'!$B$3:$B$1002,SUBSTITUTE(SUBSTITUTE(B262,"?","~?"),"*","~*"),'Keyword Map'!$R$3:$R$1002,"Yes"))</f>
        <v/>
      </c>
      <c r="H262">
        <f>IF(B262="","",COUNTIFS('Keyword Map'!$B$3:$B$1002,SUBSTITUTE(SUBSTITUTE(B262,"?","~?"),"*","~*"),'Keyword Map'!$W$3:$W$1002,"Yes"))</f>
        <v/>
      </c>
      <c r="I262">
        <f>IF(B262="","",IFERROR(ROUND(AVERAGEIFS('Keyword Map'!$P$3:$P$1002,'Keyword Map'!$B$3:$B$1002,SUBSTITUTE(SUBSTITUTE(B262,"?","~?"),"*","~*")),0),""))</f>
        <v/>
      </c>
    </row>
    <row r="263">
      <c r="A263">
        <f>ROW()-2</f>
        <v/>
      </c>
      <c r="B263">
        <f>IFERROR(INDEX('Keyword Map'!$B$3:$B$1002,MATCH(A263,'Keyword Map'!$AB$3:$AB$1002,0)),"")</f>
        <v/>
      </c>
      <c r="C263">
        <f>IF(B263="","",COUNTIF('Keyword Map'!$B$3:$B$1002,SUBSTITUTE(SUBSTITUTE(B263,"?","~?"),"*","~*")))</f>
        <v/>
      </c>
      <c r="D263">
        <f>IF(B263="","",SUMIFS('Keyword Map'!$C$3:$C$1002,'Keyword Map'!$B$3:$B$1002,SUBSTITUTE(SUBSTITUTE(B263,"?","~?"),"*","~*")))</f>
        <v/>
      </c>
      <c r="E263">
        <f>IF(B263="","",SUMPRODUCT(('Keyword Map'!$B$3:$B$1002=B263)*(LEN('Keyword Map'!$G$3:$G$1002)&gt;0)))</f>
        <v/>
      </c>
      <c r="F263">
        <f>IF(B263="","",C263-E263)</f>
        <v/>
      </c>
      <c r="G263">
        <f>IF(B263="","",COUNTIFS('Keyword Map'!$B$3:$B$1002,SUBSTITUTE(SUBSTITUTE(B263,"?","~?"),"*","~*"),'Keyword Map'!$R$3:$R$1002,"Yes"))</f>
        <v/>
      </c>
      <c r="H263">
        <f>IF(B263="","",COUNTIFS('Keyword Map'!$B$3:$B$1002,SUBSTITUTE(SUBSTITUTE(B263,"?","~?"),"*","~*"),'Keyword Map'!$W$3:$W$1002,"Yes"))</f>
        <v/>
      </c>
      <c r="I263">
        <f>IF(B263="","",IFERROR(ROUND(AVERAGEIFS('Keyword Map'!$P$3:$P$1002,'Keyword Map'!$B$3:$B$1002,SUBSTITUTE(SUBSTITUTE(B263,"?","~?"),"*","~*")),0),""))</f>
        <v/>
      </c>
    </row>
    <row r="264">
      <c r="A264">
        <f>ROW()-2</f>
        <v/>
      </c>
      <c r="B264">
        <f>IFERROR(INDEX('Keyword Map'!$B$3:$B$1002,MATCH(A264,'Keyword Map'!$AB$3:$AB$1002,0)),"")</f>
        <v/>
      </c>
      <c r="C264">
        <f>IF(B264="","",COUNTIF('Keyword Map'!$B$3:$B$1002,SUBSTITUTE(SUBSTITUTE(B264,"?","~?"),"*","~*")))</f>
        <v/>
      </c>
      <c r="D264">
        <f>IF(B264="","",SUMIFS('Keyword Map'!$C$3:$C$1002,'Keyword Map'!$B$3:$B$1002,SUBSTITUTE(SUBSTITUTE(B264,"?","~?"),"*","~*")))</f>
        <v/>
      </c>
      <c r="E264">
        <f>IF(B264="","",SUMPRODUCT(('Keyword Map'!$B$3:$B$1002=B264)*(LEN('Keyword Map'!$G$3:$G$1002)&gt;0)))</f>
        <v/>
      </c>
      <c r="F264">
        <f>IF(B264="","",C264-E264)</f>
        <v/>
      </c>
      <c r="G264">
        <f>IF(B264="","",COUNTIFS('Keyword Map'!$B$3:$B$1002,SUBSTITUTE(SUBSTITUTE(B264,"?","~?"),"*","~*"),'Keyword Map'!$R$3:$R$1002,"Yes"))</f>
        <v/>
      </c>
      <c r="H264">
        <f>IF(B264="","",COUNTIFS('Keyword Map'!$B$3:$B$1002,SUBSTITUTE(SUBSTITUTE(B264,"?","~?"),"*","~*"),'Keyword Map'!$W$3:$W$1002,"Yes"))</f>
        <v/>
      </c>
      <c r="I264">
        <f>IF(B264="","",IFERROR(ROUND(AVERAGEIFS('Keyword Map'!$P$3:$P$1002,'Keyword Map'!$B$3:$B$1002,SUBSTITUTE(SUBSTITUTE(B264,"?","~?"),"*","~*")),0),""))</f>
        <v/>
      </c>
    </row>
    <row r="265">
      <c r="A265">
        <f>ROW()-2</f>
        <v/>
      </c>
      <c r="B265">
        <f>IFERROR(INDEX('Keyword Map'!$B$3:$B$1002,MATCH(A265,'Keyword Map'!$AB$3:$AB$1002,0)),"")</f>
        <v/>
      </c>
      <c r="C265">
        <f>IF(B265="","",COUNTIF('Keyword Map'!$B$3:$B$1002,SUBSTITUTE(SUBSTITUTE(B265,"?","~?"),"*","~*")))</f>
        <v/>
      </c>
      <c r="D265">
        <f>IF(B265="","",SUMIFS('Keyword Map'!$C$3:$C$1002,'Keyword Map'!$B$3:$B$1002,SUBSTITUTE(SUBSTITUTE(B265,"?","~?"),"*","~*")))</f>
        <v/>
      </c>
      <c r="E265">
        <f>IF(B265="","",SUMPRODUCT(('Keyword Map'!$B$3:$B$1002=B265)*(LEN('Keyword Map'!$G$3:$G$1002)&gt;0)))</f>
        <v/>
      </c>
      <c r="F265">
        <f>IF(B265="","",C265-E265)</f>
        <v/>
      </c>
      <c r="G265">
        <f>IF(B265="","",COUNTIFS('Keyword Map'!$B$3:$B$1002,SUBSTITUTE(SUBSTITUTE(B265,"?","~?"),"*","~*"),'Keyword Map'!$R$3:$R$1002,"Yes"))</f>
        <v/>
      </c>
      <c r="H265">
        <f>IF(B265="","",COUNTIFS('Keyword Map'!$B$3:$B$1002,SUBSTITUTE(SUBSTITUTE(B265,"?","~?"),"*","~*"),'Keyword Map'!$W$3:$W$1002,"Yes"))</f>
        <v/>
      </c>
      <c r="I265">
        <f>IF(B265="","",IFERROR(ROUND(AVERAGEIFS('Keyword Map'!$P$3:$P$1002,'Keyword Map'!$B$3:$B$1002,SUBSTITUTE(SUBSTITUTE(B265,"?","~?"),"*","~*")),0),""))</f>
        <v/>
      </c>
    </row>
    <row r="266">
      <c r="A266">
        <f>ROW()-2</f>
        <v/>
      </c>
      <c r="B266">
        <f>IFERROR(INDEX('Keyword Map'!$B$3:$B$1002,MATCH(A266,'Keyword Map'!$AB$3:$AB$1002,0)),"")</f>
        <v/>
      </c>
      <c r="C266">
        <f>IF(B266="","",COUNTIF('Keyword Map'!$B$3:$B$1002,SUBSTITUTE(SUBSTITUTE(B266,"?","~?"),"*","~*")))</f>
        <v/>
      </c>
      <c r="D266">
        <f>IF(B266="","",SUMIFS('Keyword Map'!$C$3:$C$1002,'Keyword Map'!$B$3:$B$1002,SUBSTITUTE(SUBSTITUTE(B266,"?","~?"),"*","~*")))</f>
        <v/>
      </c>
      <c r="E266">
        <f>IF(B266="","",SUMPRODUCT(('Keyword Map'!$B$3:$B$1002=B266)*(LEN('Keyword Map'!$G$3:$G$1002)&gt;0)))</f>
        <v/>
      </c>
      <c r="F266">
        <f>IF(B266="","",C266-E266)</f>
        <v/>
      </c>
      <c r="G266">
        <f>IF(B266="","",COUNTIFS('Keyword Map'!$B$3:$B$1002,SUBSTITUTE(SUBSTITUTE(B266,"?","~?"),"*","~*"),'Keyword Map'!$R$3:$R$1002,"Yes"))</f>
        <v/>
      </c>
      <c r="H266">
        <f>IF(B266="","",COUNTIFS('Keyword Map'!$B$3:$B$1002,SUBSTITUTE(SUBSTITUTE(B266,"?","~?"),"*","~*"),'Keyword Map'!$W$3:$W$1002,"Yes"))</f>
        <v/>
      </c>
      <c r="I266">
        <f>IF(B266="","",IFERROR(ROUND(AVERAGEIFS('Keyword Map'!$P$3:$P$1002,'Keyword Map'!$B$3:$B$1002,SUBSTITUTE(SUBSTITUTE(B266,"?","~?"),"*","~*")),0),""))</f>
        <v/>
      </c>
    </row>
    <row r="267">
      <c r="A267">
        <f>ROW()-2</f>
        <v/>
      </c>
      <c r="B267">
        <f>IFERROR(INDEX('Keyword Map'!$B$3:$B$1002,MATCH(A267,'Keyword Map'!$AB$3:$AB$1002,0)),"")</f>
        <v/>
      </c>
      <c r="C267">
        <f>IF(B267="","",COUNTIF('Keyword Map'!$B$3:$B$1002,SUBSTITUTE(SUBSTITUTE(B267,"?","~?"),"*","~*")))</f>
        <v/>
      </c>
      <c r="D267">
        <f>IF(B267="","",SUMIFS('Keyword Map'!$C$3:$C$1002,'Keyword Map'!$B$3:$B$1002,SUBSTITUTE(SUBSTITUTE(B267,"?","~?"),"*","~*")))</f>
        <v/>
      </c>
      <c r="E267">
        <f>IF(B267="","",SUMPRODUCT(('Keyword Map'!$B$3:$B$1002=B267)*(LEN('Keyword Map'!$G$3:$G$1002)&gt;0)))</f>
        <v/>
      </c>
      <c r="F267">
        <f>IF(B267="","",C267-E267)</f>
        <v/>
      </c>
      <c r="G267">
        <f>IF(B267="","",COUNTIFS('Keyword Map'!$B$3:$B$1002,SUBSTITUTE(SUBSTITUTE(B267,"?","~?"),"*","~*"),'Keyword Map'!$R$3:$R$1002,"Yes"))</f>
        <v/>
      </c>
      <c r="H267">
        <f>IF(B267="","",COUNTIFS('Keyword Map'!$B$3:$B$1002,SUBSTITUTE(SUBSTITUTE(B267,"?","~?"),"*","~*"),'Keyword Map'!$W$3:$W$1002,"Yes"))</f>
        <v/>
      </c>
      <c r="I267">
        <f>IF(B267="","",IFERROR(ROUND(AVERAGEIFS('Keyword Map'!$P$3:$P$1002,'Keyword Map'!$B$3:$B$1002,SUBSTITUTE(SUBSTITUTE(B267,"?","~?"),"*","~*")),0),""))</f>
        <v/>
      </c>
    </row>
    <row r="268">
      <c r="A268">
        <f>ROW()-2</f>
        <v/>
      </c>
      <c r="B268">
        <f>IFERROR(INDEX('Keyword Map'!$B$3:$B$1002,MATCH(A268,'Keyword Map'!$AB$3:$AB$1002,0)),"")</f>
        <v/>
      </c>
      <c r="C268">
        <f>IF(B268="","",COUNTIF('Keyword Map'!$B$3:$B$1002,SUBSTITUTE(SUBSTITUTE(B268,"?","~?"),"*","~*")))</f>
        <v/>
      </c>
      <c r="D268">
        <f>IF(B268="","",SUMIFS('Keyword Map'!$C$3:$C$1002,'Keyword Map'!$B$3:$B$1002,SUBSTITUTE(SUBSTITUTE(B268,"?","~?"),"*","~*")))</f>
        <v/>
      </c>
      <c r="E268">
        <f>IF(B268="","",SUMPRODUCT(('Keyword Map'!$B$3:$B$1002=B268)*(LEN('Keyword Map'!$G$3:$G$1002)&gt;0)))</f>
        <v/>
      </c>
      <c r="F268">
        <f>IF(B268="","",C268-E268)</f>
        <v/>
      </c>
      <c r="G268">
        <f>IF(B268="","",COUNTIFS('Keyword Map'!$B$3:$B$1002,SUBSTITUTE(SUBSTITUTE(B268,"?","~?"),"*","~*"),'Keyword Map'!$R$3:$R$1002,"Yes"))</f>
        <v/>
      </c>
      <c r="H268">
        <f>IF(B268="","",COUNTIFS('Keyword Map'!$B$3:$B$1002,SUBSTITUTE(SUBSTITUTE(B268,"?","~?"),"*","~*"),'Keyword Map'!$W$3:$W$1002,"Yes"))</f>
        <v/>
      </c>
      <c r="I268">
        <f>IF(B268="","",IFERROR(ROUND(AVERAGEIFS('Keyword Map'!$P$3:$P$1002,'Keyword Map'!$B$3:$B$1002,SUBSTITUTE(SUBSTITUTE(B268,"?","~?"),"*","~*")),0),""))</f>
        <v/>
      </c>
    </row>
    <row r="269">
      <c r="A269">
        <f>ROW()-2</f>
        <v/>
      </c>
      <c r="B269">
        <f>IFERROR(INDEX('Keyword Map'!$B$3:$B$1002,MATCH(A269,'Keyword Map'!$AB$3:$AB$1002,0)),"")</f>
        <v/>
      </c>
      <c r="C269">
        <f>IF(B269="","",COUNTIF('Keyword Map'!$B$3:$B$1002,SUBSTITUTE(SUBSTITUTE(B269,"?","~?"),"*","~*")))</f>
        <v/>
      </c>
      <c r="D269">
        <f>IF(B269="","",SUMIFS('Keyword Map'!$C$3:$C$1002,'Keyword Map'!$B$3:$B$1002,SUBSTITUTE(SUBSTITUTE(B269,"?","~?"),"*","~*")))</f>
        <v/>
      </c>
      <c r="E269">
        <f>IF(B269="","",SUMPRODUCT(('Keyword Map'!$B$3:$B$1002=B269)*(LEN('Keyword Map'!$G$3:$G$1002)&gt;0)))</f>
        <v/>
      </c>
      <c r="F269">
        <f>IF(B269="","",C269-E269)</f>
        <v/>
      </c>
      <c r="G269">
        <f>IF(B269="","",COUNTIFS('Keyword Map'!$B$3:$B$1002,SUBSTITUTE(SUBSTITUTE(B269,"?","~?"),"*","~*"),'Keyword Map'!$R$3:$R$1002,"Yes"))</f>
        <v/>
      </c>
      <c r="H269">
        <f>IF(B269="","",COUNTIFS('Keyword Map'!$B$3:$B$1002,SUBSTITUTE(SUBSTITUTE(B269,"?","~?"),"*","~*"),'Keyword Map'!$W$3:$W$1002,"Yes"))</f>
        <v/>
      </c>
      <c r="I269">
        <f>IF(B269="","",IFERROR(ROUND(AVERAGEIFS('Keyword Map'!$P$3:$P$1002,'Keyword Map'!$B$3:$B$1002,SUBSTITUTE(SUBSTITUTE(B269,"?","~?"),"*","~*")),0),""))</f>
        <v/>
      </c>
    </row>
    <row r="270">
      <c r="A270">
        <f>ROW()-2</f>
        <v/>
      </c>
      <c r="B270">
        <f>IFERROR(INDEX('Keyword Map'!$B$3:$B$1002,MATCH(A270,'Keyword Map'!$AB$3:$AB$1002,0)),"")</f>
        <v/>
      </c>
      <c r="C270">
        <f>IF(B270="","",COUNTIF('Keyword Map'!$B$3:$B$1002,SUBSTITUTE(SUBSTITUTE(B270,"?","~?"),"*","~*")))</f>
        <v/>
      </c>
      <c r="D270">
        <f>IF(B270="","",SUMIFS('Keyword Map'!$C$3:$C$1002,'Keyword Map'!$B$3:$B$1002,SUBSTITUTE(SUBSTITUTE(B270,"?","~?"),"*","~*")))</f>
        <v/>
      </c>
      <c r="E270">
        <f>IF(B270="","",SUMPRODUCT(('Keyword Map'!$B$3:$B$1002=B270)*(LEN('Keyword Map'!$G$3:$G$1002)&gt;0)))</f>
        <v/>
      </c>
      <c r="F270">
        <f>IF(B270="","",C270-E270)</f>
        <v/>
      </c>
      <c r="G270">
        <f>IF(B270="","",COUNTIFS('Keyword Map'!$B$3:$B$1002,SUBSTITUTE(SUBSTITUTE(B270,"?","~?"),"*","~*"),'Keyword Map'!$R$3:$R$1002,"Yes"))</f>
        <v/>
      </c>
      <c r="H270">
        <f>IF(B270="","",COUNTIFS('Keyword Map'!$B$3:$B$1002,SUBSTITUTE(SUBSTITUTE(B270,"?","~?"),"*","~*"),'Keyword Map'!$W$3:$W$1002,"Yes"))</f>
        <v/>
      </c>
      <c r="I270">
        <f>IF(B270="","",IFERROR(ROUND(AVERAGEIFS('Keyword Map'!$P$3:$P$1002,'Keyword Map'!$B$3:$B$1002,SUBSTITUTE(SUBSTITUTE(B270,"?","~?"),"*","~*")),0),""))</f>
        <v/>
      </c>
    </row>
    <row r="271">
      <c r="A271">
        <f>ROW()-2</f>
        <v/>
      </c>
      <c r="B271">
        <f>IFERROR(INDEX('Keyword Map'!$B$3:$B$1002,MATCH(A271,'Keyword Map'!$AB$3:$AB$1002,0)),"")</f>
        <v/>
      </c>
      <c r="C271">
        <f>IF(B271="","",COUNTIF('Keyword Map'!$B$3:$B$1002,SUBSTITUTE(SUBSTITUTE(B271,"?","~?"),"*","~*")))</f>
        <v/>
      </c>
      <c r="D271">
        <f>IF(B271="","",SUMIFS('Keyword Map'!$C$3:$C$1002,'Keyword Map'!$B$3:$B$1002,SUBSTITUTE(SUBSTITUTE(B271,"?","~?"),"*","~*")))</f>
        <v/>
      </c>
      <c r="E271">
        <f>IF(B271="","",SUMPRODUCT(('Keyword Map'!$B$3:$B$1002=B271)*(LEN('Keyword Map'!$G$3:$G$1002)&gt;0)))</f>
        <v/>
      </c>
      <c r="F271">
        <f>IF(B271="","",C271-E271)</f>
        <v/>
      </c>
      <c r="G271">
        <f>IF(B271="","",COUNTIFS('Keyword Map'!$B$3:$B$1002,SUBSTITUTE(SUBSTITUTE(B271,"?","~?"),"*","~*"),'Keyword Map'!$R$3:$R$1002,"Yes"))</f>
        <v/>
      </c>
      <c r="H271">
        <f>IF(B271="","",COUNTIFS('Keyword Map'!$B$3:$B$1002,SUBSTITUTE(SUBSTITUTE(B271,"?","~?"),"*","~*"),'Keyword Map'!$W$3:$W$1002,"Yes"))</f>
        <v/>
      </c>
      <c r="I271">
        <f>IF(B271="","",IFERROR(ROUND(AVERAGEIFS('Keyword Map'!$P$3:$P$1002,'Keyword Map'!$B$3:$B$1002,SUBSTITUTE(SUBSTITUTE(B271,"?","~?"),"*","~*")),0),""))</f>
        <v/>
      </c>
    </row>
    <row r="272">
      <c r="A272">
        <f>ROW()-2</f>
        <v/>
      </c>
      <c r="B272">
        <f>IFERROR(INDEX('Keyword Map'!$B$3:$B$1002,MATCH(A272,'Keyword Map'!$AB$3:$AB$1002,0)),"")</f>
        <v/>
      </c>
      <c r="C272">
        <f>IF(B272="","",COUNTIF('Keyword Map'!$B$3:$B$1002,SUBSTITUTE(SUBSTITUTE(B272,"?","~?"),"*","~*")))</f>
        <v/>
      </c>
      <c r="D272">
        <f>IF(B272="","",SUMIFS('Keyword Map'!$C$3:$C$1002,'Keyword Map'!$B$3:$B$1002,SUBSTITUTE(SUBSTITUTE(B272,"?","~?"),"*","~*")))</f>
        <v/>
      </c>
      <c r="E272">
        <f>IF(B272="","",SUMPRODUCT(('Keyword Map'!$B$3:$B$1002=B272)*(LEN('Keyword Map'!$G$3:$G$1002)&gt;0)))</f>
        <v/>
      </c>
      <c r="F272">
        <f>IF(B272="","",C272-E272)</f>
        <v/>
      </c>
      <c r="G272">
        <f>IF(B272="","",COUNTIFS('Keyword Map'!$B$3:$B$1002,SUBSTITUTE(SUBSTITUTE(B272,"?","~?"),"*","~*"),'Keyword Map'!$R$3:$R$1002,"Yes"))</f>
        <v/>
      </c>
      <c r="H272">
        <f>IF(B272="","",COUNTIFS('Keyword Map'!$B$3:$B$1002,SUBSTITUTE(SUBSTITUTE(B272,"?","~?"),"*","~*"),'Keyword Map'!$W$3:$W$1002,"Yes"))</f>
        <v/>
      </c>
      <c r="I272">
        <f>IF(B272="","",IFERROR(ROUND(AVERAGEIFS('Keyword Map'!$P$3:$P$1002,'Keyword Map'!$B$3:$B$1002,SUBSTITUTE(SUBSTITUTE(B272,"?","~?"),"*","~*")),0),""))</f>
        <v/>
      </c>
    </row>
    <row r="273">
      <c r="A273">
        <f>ROW()-2</f>
        <v/>
      </c>
      <c r="B273">
        <f>IFERROR(INDEX('Keyword Map'!$B$3:$B$1002,MATCH(A273,'Keyword Map'!$AB$3:$AB$1002,0)),"")</f>
        <v/>
      </c>
      <c r="C273">
        <f>IF(B273="","",COUNTIF('Keyword Map'!$B$3:$B$1002,SUBSTITUTE(SUBSTITUTE(B273,"?","~?"),"*","~*")))</f>
        <v/>
      </c>
      <c r="D273">
        <f>IF(B273="","",SUMIFS('Keyword Map'!$C$3:$C$1002,'Keyword Map'!$B$3:$B$1002,SUBSTITUTE(SUBSTITUTE(B273,"?","~?"),"*","~*")))</f>
        <v/>
      </c>
      <c r="E273">
        <f>IF(B273="","",SUMPRODUCT(('Keyword Map'!$B$3:$B$1002=B273)*(LEN('Keyword Map'!$G$3:$G$1002)&gt;0)))</f>
        <v/>
      </c>
      <c r="F273">
        <f>IF(B273="","",C273-E273)</f>
        <v/>
      </c>
      <c r="G273">
        <f>IF(B273="","",COUNTIFS('Keyword Map'!$B$3:$B$1002,SUBSTITUTE(SUBSTITUTE(B273,"?","~?"),"*","~*"),'Keyword Map'!$R$3:$R$1002,"Yes"))</f>
        <v/>
      </c>
      <c r="H273">
        <f>IF(B273="","",COUNTIFS('Keyword Map'!$B$3:$B$1002,SUBSTITUTE(SUBSTITUTE(B273,"?","~?"),"*","~*"),'Keyword Map'!$W$3:$W$1002,"Yes"))</f>
        <v/>
      </c>
      <c r="I273">
        <f>IF(B273="","",IFERROR(ROUND(AVERAGEIFS('Keyword Map'!$P$3:$P$1002,'Keyword Map'!$B$3:$B$1002,SUBSTITUTE(SUBSTITUTE(B273,"?","~?"),"*","~*")),0),""))</f>
        <v/>
      </c>
    </row>
    <row r="274">
      <c r="A274">
        <f>ROW()-2</f>
        <v/>
      </c>
      <c r="B274">
        <f>IFERROR(INDEX('Keyword Map'!$B$3:$B$1002,MATCH(A274,'Keyword Map'!$AB$3:$AB$1002,0)),"")</f>
        <v/>
      </c>
      <c r="C274">
        <f>IF(B274="","",COUNTIF('Keyword Map'!$B$3:$B$1002,SUBSTITUTE(SUBSTITUTE(B274,"?","~?"),"*","~*")))</f>
        <v/>
      </c>
      <c r="D274">
        <f>IF(B274="","",SUMIFS('Keyword Map'!$C$3:$C$1002,'Keyword Map'!$B$3:$B$1002,SUBSTITUTE(SUBSTITUTE(B274,"?","~?"),"*","~*")))</f>
        <v/>
      </c>
      <c r="E274">
        <f>IF(B274="","",SUMPRODUCT(('Keyword Map'!$B$3:$B$1002=B274)*(LEN('Keyword Map'!$G$3:$G$1002)&gt;0)))</f>
        <v/>
      </c>
      <c r="F274">
        <f>IF(B274="","",C274-E274)</f>
        <v/>
      </c>
      <c r="G274">
        <f>IF(B274="","",COUNTIFS('Keyword Map'!$B$3:$B$1002,SUBSTITUTE(SUBSTITUTE(B274,"?","~?"),"*","~*"),'Keyword Map'!$R$3:$R$1002,"Yes"))</f>
        <v/>
      </c>
      <c r="H274">
        <f>IF(B274="","",COUNTIFS('Keyword Map'!$B$3:$B$1002,SUBSTITUTE(SUBSTITUTE(B274,"?","~?"),"*","~*"),'Keyword Map'!$W$3:$W$1002,"Yes"))</f>
        <v/>
      </c>
      <c r="I274">
        <f>IF(B274="","",IFERROR(ROUND(AVERAGEIFS('Keyword Map'!$P$3:$P$1002,'Keyword Map'!$B$3:$B$1002,SUBSTITUTE(SUBSTITUTE(B274,"?","~?"),"*","~*")),0),""))</f>
        <v/>
      </c>
    </row>
    <row r="275">
      <c r="A275">
        <f>ROW()-2</f>
        <v/>
      </c>
      <c r="B275">
        <f>IFERROR(INDEX('Keyword Map'!$B$3:$B$1002,MATCH(A275,'Keyword Map'!$AB$3:$AB$1002,0)),"")</f>
        <v/>
      </c>
      <c r="C275">
        <f>IF(B275="","",COUNTIF('Keyword Map'!$B$3:$B$1002,SUBSTITUTE(SUBSTITUTE(B275,"?","~?"),"*","~*")))</f>
        <v/>
      </c>
      <c r="D275">
        <f>IF(B275="","",SUMIFS('Keyword Map'!$C$3:$C$1002,'Keyword Map'!$B$3:$B$1002,SUBSTITUTE(SUBSTITUTE(B275,"?","~?"),"*","~*")))</f>
        <v/>
      </c>
      <c r="E275">
        <f>IF(B275="","",SUMPRODUCT(('Keyword Map'!$B$3:$B$1002=B275)*(LEN('Keyword Map'!$G$3:$G$1002)&gt;0)))</f>
        <v/>
      </c>
      <c r="F275">
        <f>IF(B275="","",C275-E275)</f>
        <v/>
      </c>
      <c r="G275">
        <f>IF(B275="","",COUNTIFS('Keyword Map'!$B$3:$B$1002,SUBSTITUTE(SUBSTITUTE(B275,"?","~?"),"*","~*"),'Keyword Map'!$R$3:$R$1002,"Yes"))</f>
        <v/>
      </c>
      <c r="H275">
        <f>IF(B275="","",COUNTIFS('Keyword Map'!$B$3:$B$1002,SUBSTITUTE(SUBSTITUTE(B275,"?","~?"),"*","~*"),'Keyword Map'!$W$3:$W$1002,"Yes"))</f>
        <v/>
      </c>
      <c r="I275">
        <f>IF(B275="","",IFERROR(ROUND(AVERAGEIFS('Keyword Map'!$P$3:$P$1002,'Keyword Map'!$B$3:$B$1002,SUBSTITUTE(SUBSTITUTE(B275,"?","~?"),"*","~*")),0),""))</f>
        <v/>
      </c>
    </row>
    <row r="276">
      <c r="A276">
        <f>ROW()-2</f>
        <v/>
      </c>
      <c r="B276">
        <f>IFERROR(INDEX('Keyword Map'!$B$3:$B$1002,MATCH(A276,'Keyword Map'!$AB$3:$AB$1002,0)),"")</f>
        <v/>
      </c>
      <c r="C276">
        <f>IF(B276="","",COUNTIF('Keyword Map'!$B$3:$B$1002,SUBSTITUTE(SUBSTITUTE(B276,"?","~?"),"*","~*")))</f>
        <v/>
      </c>
      <c r="D276">
        <f>IF(B276="","",SUMIFS('Keyword Map'!$C$3:$C$1002,'Keyword Map'!$B$3:$B$1002,SUBSTITUTE(SUBSTITUTE(B276,"?","~?"),"*","~*")))</f>
        <v/>
      </c>
      <c r="E276">
        <f>IF(B276="","",SUMPRODUCT(('Keyword Map'!$B$3:$B$1002=B276)*(LEN('Keyword Map'!$G$3:$G$1002)&gt;0)))</f>
        <v/>
      </c>
      <c r="F276">
        <f>IF(B276="","",C276-E276)</f>
        <v/>
      </c>
      <c r="G276">
        <f>IF(B276="","",COUNTIFS('Keyword Map'!$B$3:$B$1002,SUBSTITUTE(SUBSTITUTE(B276,"?","~?"),"*","~*"),'Keyword Map'!$R$3:$R$1002,"Yes"))</f>
        <v/>
      </c>
      <c r="H276">
        <f>IF(B276="","",COUNTIFS('Keyword Map'!$B$3:$B$1002,SUBSTITUTE(SUBSTITUTE(B276,"?","~?"),"*","~*"),'Keyword Map'!$W$3:$W$1002,"Yes"))</f>
        <v/>
      </c>
      <c r="I276">
        <f>IF(B276="","",IFERROR(ROUND(AVERAGEIFS('Keyword Map'!$P$3:$P$1002,'Keyword Map'!$B$3:$B$1002,SUBSTITUTE(SUBSTITUTE(B276,"?","~?"),"*","~*")),0),""))</f>
        <v/>
      </c>
    </row>
    <row r="277">
      <c r="A277">
        <f>ROW()-2</f>
        <v/>
      </c>
      <c r="B277">
        <f>IFERROR(INDEX('Keyword Map'!$B$3:$B$1002,MATCH(A277,'Keyword Map'!$AB$3:$AB$1002,0)),"")</f>
        <v/>
      </c>
      <c r="C277">
        <f>IF(B277="","",COUNTIF('Keyword Map'!$B$3:$B$1002,SUBSTITUTE(SUBSTITUTE(B277,"?","~?"),"*","~*")))</f>
        <v/>
      </c>
      <c r="D277">
        <f>IF(B277="","",SUMIFS('Keyword Map'!$C$3:$C$1002,'Keyword Map'!$B$3:$B$1002,SUBSTITUTE(SUBSTITUTE(B277,"?","~?"),"*","~*")))</f>
        <v/>
      </c>
      <c r="E277">
        <f>IF(B277="","",SUMPRODUCT(('Keyword Map'!$B$3:$B$1002=B277)*(LEN('Keyword Map'!$G$3:$G$1002)&gt;0)))</f>
        <v/>
      </c>
      <c r="F277">
        <f>IF(B277="","",C277-E277)</f>
        <v/>
      </c>
      <c r="G277">
        <f>IF(B277="","",COUNTIFS('Keyword Map'!$B$3:$B$1002,SUBSTITUTE(SUBSTITUTE(B277,"?","~?"),"*","~*"),'Keyword Map'!$R$3:$R$1002,"Yes"))</f>
        <v/>
      </c>
      <c r="H277">
        <f>IF(B277="","",COUNTIFS('Keyword Map'!$B$3:$B$1002,SUBSTITUTE(SUBSTITUTE(B277,"?","~?"),"*","~*"),'Keyword Map'!$W$3:$W$1002,"Yes"))</f>
        <v/>
      </c>
      <c r="I277">
        <f>IF(B277="","",IFERROR(ROUND(AVERAGEIFS('Keyword Map'!$P$3:$P$1002,'Keyword Map'!$B$3:$B$1002,SUBSTITUTE(SUBSTITUTE(B277,"?","~?"),"*","~*")),0),""))</f>
        <v/>
      </c>
    </row>
    <row r="278">
      <c r="A278">
        <f>ROW()-2</f>
        <v/>
      </c>
      <c r="B278">
        <f>IFERROR(INDEX('Keyword Map'!$B$3:$B$1002,MATCH(A278,'Keyword Map'!$AB$3:$AB$1002,0)),"")</f>
        <v/>
      </c>
      <c r="C278">
        <f>IF(B278="","",COUNTIF('Keyword Map'!$B$3:$B$1002,SUBSTITUTE(SUBSTITUTE(B278,"?","~?"),"*","~*")))</f>
        <v/>
      </c>
      <c r="D278">
        <f>IF(B278="","",SUMIFS('Keyword Map'!$C$3:$C$1002,'Keyword Map'!$B$3:$B$1002,SUBSTITUTE(SUBSTITUTE(B278,"?","~?"),"*","~*")))</f>
        <v/>
      </c>
      <c r="E278">
        <f>IF(B278="","",SUMPRODUCT(('Keyword Map'!$B$3:$B$1002=B278)*(LEN('Keyword Map'!$G$3:$G$1002)&gt;0)))</f>
        <v/>
      </c>
      <c r="F278">
        <f>IF(B278="","",C278-E278)</f>
        <v/>
      </c>
      <c r="G278">
        <f>IF(B278="","",COUNTIFS('Keyword Map'!$B$3:$B$1002,SUBSTITUTE(SUBSTITUTE(B278,"?","~?"),"*","~*"),'Keyword Map'!$R$3:$R$1002,"Yes"))</f>
        <v/>
      </c>
      <c r="H278">
        <f>IF(B278="","",COUNTIFS('Keyword Map'!$B$3:$B$1002,SUBSTITUTE(SUBSTITUTE(B278,"?","~?"),"*","~*"),'Keyword Map'!$W$3:$W$1002,"Yes"))</f>
        <v/>
      </c>
      <c r="I278">
        <f>IF(B278="","",IFERROR(ROUND(AVERAGEIFS('Keyword Map'!$P$3:$P$1002,'Keyword Map'!$B$3:$B$1002,SUBSTITUTE(SUBSTITUTE(B278,"?","~?"),"*","~*")),0),""))</f>
        <v/>
      </c>
    </row>
    <row r="279">
      <c r="A279">
        <f>ROW()-2</f>
        <v/>
      </c>
      <c r="B279">
        <f>IFERROR(INDEX('Keyword Map'!$B$3:$B$1002,MATCH(A279,'Keyword Map'!$AB$3:$AB$1002,0)),"")</f>
        <v/>
      </c>
      <c r="C279">
        <f>IF(B279="","",COUNTIF('Keyword Map'!$B$3:$B$1002,SUBSTITUTE(SUBSTITUTE(B279,"?","~?"),"*","~*")))</f>
        <v/>
      </c>
      <c r="D279">
        <f>IF(B279="","",SUMIFS('Keyword Map'!$C$3:$C$1002,'Keyword Map'!$B$3:$B$1002,SUBSTITUTE(SUBSTITUTE(B279,"?","~?"),"*","~*")))</f>
        <v/>
      </c>
      <c r="E279">
        <f>IF(B279="","",SUMPRODUCT(('Keyword Map'!$B$3:$B$1002=B279)*(LEN('Keyword Map'!$G$3:$G$1002)&gt;0)))</f>
        <v/>
      </c>
      <c r="F279">
        <f>IF(B279="","",C279-E279)</f>
        <v/>
      </c>
      <c r="G279">
        <f>IF(B279="","",COUNTIFS('Keyword Map'!$B$3:$B$1002,SUBSTITUTE(SUBSTITUTE(B279,"?","~?"),"*","~*"),'Keyword Map'!$R$3:$R$1002,"Yes"))</f>
        <v/>
      </c>
      <c r="H279">
        <f>IF(B279="","",COUNTIFS('Keyword Map'!$B$3:$B$1002,SUBSTITUTE(SUBSTITUTE(B279,"?","~?"),"*","~*"),'Keyword Map'!$W$3:$W$1002,"Yes"))</f>
        <v/>
      </c>
      <c r="I279">
        <f>IF(B279="","",IFERROR(ROUND(AVERAGEIFS('Keyword Map'!$P$3:$P$1002,'Keyword Map'!$B$3:$B$1002,SUBSTITUTE(SUBSTITUTE(B279,"?","~?"),"*","~*")),0),""))</f>
        <v/>
      </c>
    </row>
    <row r="280">
      <c r="A280">
        <f>ROW()-2</f>
        <v/>
      </c>
      <c r="B280">
        <f>IFERROR(INDEX('Keyword Map'!$B$3:$B$1002,MATCH(A280,'Keyword Map'!$AB$3:$AB$1002,0)),"")</f>
        <v/>
      </c>
      <c r="C280">
        <f>IF(B280="","",COUNTIF('Keyword Map'!$B$3:$B$1002,SUBSTITUTE(SUBSTITUTE(B280,"?","~?"),"*","~*")))</f>
        <v/>
      </c>
      <c r="D280">
        <f>IF(B280="","",SUMIFS('Keyword Map'!$C$3:$C$1002,'Keyword Map'!$B$3:$B$1002,SUBSTITUTE(SUBSTITUTE(B280,"?","~?"),"*","~*")))</f>
        <v/>
      </c>
      <c r="E280">
        <f>IF(B280="","",SUMPRODUCT(('Keyword Map'!$B$3:$B$1002=B280)*(LEN('Keyword Map'!$G$3:$G$1002)&gt;0)))</f>
        <v/>
      </c>
      <c r="F280">
        <f>IF(B280="","",C280-E280)</f>
        <v/>
      </c>
      <c r="G280">
        <f>IF(B280="","",COUNTIFS('Keyword Map'!$B$3:$B$1002,SUBSTITUTE(SUBSTITUTE(B280,"?","~?"),"*","~*"),'Keyword Map'!$R$3:$R$1002,"Yes"))</f>
        <v/>
      </c>
      <c r="H280">
        <f>IF(B280="","",COUNTIFS('Keyword Map'!$B$3:$B$1002,SUBSTITUTE(SUBSTITUTE(B280,"?","~?"),"*","~*"),'Keyword Map'!$W$3:$W$1002,"Yes"))</f>
        <v/>
      </c>
      <c r="I280">
        <f>IF(B280="","",IFERROR(ROUND(AVERAGEIFS('Keyword Map'!$P$3:$P$1002,'Keyword Map'!$B$3:$B$1002,SUBSTITUTE(SUBSTITUTE(B280,"?","~?"),"*","~*")),0),""))</f>
        <v/>
      </c>
    </row>
    <row r="281">
      <c r="A281">
        <f>ROW()-2</f>
        <v/>
      </c>
      <c r="B281">
        <f>IFERROR(INDEX('Keyword Map'!$B$3:$B$1002,MATCH(A281,'Keyword Map'!$AB$3:$AB$1002,0)),"")</f>
        <v/>
      </c>
      <c r="C281">
        <f>IF(B281="","",COUNTIF('Keyword Map'!$B$3:$B$1002,SUBSTITUTE(SUBSTITUTE(B281,"?","~?"),"*","~*")))</f>
        <v/>
      </c>
      <c r="D281">
        <f>IF(B281="","",SUMIFS('Keyword Map'!$C$3:$C$1002,'Keyword Map'!$B$3:$B$1002,SUBSTITUTE(SUBSTITUTE(B281,"?","~?"),"*","~*")))</f>
        <v/>
      </c>
      <c r="E281">
        <f>IF(B281="","",SUMPRODUCT(('Keyword Map'!$B$3:$B$1002=B281)*(LEN('Keyword Map'!$G$3:$G$1002)&gt;0)))</f>
        <v/>
      </c>
      <c r="F281">
        <f>IF(B281="","",C281-E281)</f>
        <v/>
      </c>
      <c r="G281">
        <f>IF(B281="","",COUNTIFS('Keyword Map'!$B$3:$B$1002,SUBSTITUTE(SUBSTITUTE(B281,"?","~?"),"*","~*"),'Keyword Map'!$R$3:$R$1002,"Yes"))</f>
        <v/>
      </c>
      <c r="H281">
        <f>IF(B281="","",COUNTIFS('Keyword Map'!$B$3:$B$1002,SUBSTITUTE(SUBSTITUTE(B281,"?","~?"),"*","~*"),'Keyword Map'!$W$3:$W$1002,"Yes"))</f>
        <v/>
      </c>
      <c r="I281">
        <f>IF(B281="","",IFERROR(ROUND(AVERAGEIFS('Keyword Map'!$P$3:$P$1002,'Keyword Map'!$B$3:$B$1002,SUBSTITUTE(SUBSTITUTE(B281,"?","~?"),"*","~*")),0),""))</f>
        <v/>
      </c>
    </row>
    <row r="282">
      <c r="A282">
        <f>ROW()-2</f>
        <v/>
      </c>
      <c r="B282">
        <f>IFERROR(INDEX('Keyword Map'!$B$3:$B$1002,MATCH(A282,'Keyword Map'!$AB$3:$AB$1002,0)),"")</f>
        <v/>
      </c>
      <c r="C282">
        <f>IF(B282="","",COUNTIF('Keyword Map'!$B$3:$B$1002,SUBSTITUTE(SUBSTITUTE(B282,"?","~?"),"*","~*")))</f>
        <v/>
      </c>
      <c r="D282">
        <f>IF(B282="","",SUMIFS('Keyword Map'!$C$3:$C$1002,'Keyword Map'!$B$3:$B$1002,SUBSTITUTE(SUBSTITUTE(B282,"?","~?"),"*","~*")))</f>
        <v/>
      </c>
      <c r="E282">
        <f>IF(B282="","",SUMPRODUCT(('Keyword Map'!$B$3:$B$1002=B282)*(LEN('Keyword Map'!$G$3:$G$1002)&gt;0)))</f>
        <v/>
      </c>
      <c r="F282">
        <f>IF(B282="","",C282-E282)</f>
        <v/>
      </c>
      <c r="G282">
        <f>IF(B282="","",COUNTIFS('Keyword Map'!$B$3:$B$1002,SUBSTITUTE(SUBSTITUTE(B282,"?","~?"),"*","~*"),'Keyword Map'!$R$3:$R$1002,"Yes"))</f>
        <v/>
      </c>
      <c r="H282">
        <f>IF(B282="","",COUNTIFS('Keyword Map'!$B$3:$B$1002,SUBSTITUTE(SUBSTITUTE(B282,"?","~?"),"*","~*"),'Keyword Map'!$W$3:$W$1002,"Yes"))</f>
        <v/>
      </c>
      <c r="I282">
        <f>IF(B282="","",IFERROR(ROUND(AVERAGEIFS('Keyword Map'!$P$3:$P$1002,'Keyword Map'!$B$3:$B$1002,SUBSTITUTE(SUBSTITUTE(B282,"?","~?"),"*","~*")),0),""))</f>
        <v/>
      </c>
    </row>
    <row r="283">
      <c r="A283">
        <f>ROW()-2</f>
        <v/>
      </c>
      <c r="B283">
        <f>IFERROR(INDEX('Keyword Map'!$B$3:$B$1002,MATCH(A283,'Keyword Map'!$AB$3:$AB$1002,0)),"")</f>
        <v/>
      </c>
      <c r="C283">
        <f>IF(B283="","",COUNTIF('Keyword Map'!$B$3:$B$1002,SUBSTITUTE(SUBSTITUTE(B283,"?","~?"),"*","~*")))</f>
        <v/>
      </c>
      <c r="D283">
        <f>IF(B283="","",SUMIFS('Keyword Map'!$C$3:$C$1002,'Keyword Map'!$B$3:$B$1002,SUBSTITUTE(SUBSTITUTE(B283,"?","~?"),"*","~*")))</f>
        <v/>
      </c>
      <c r="E283">
        <f>IF(B283="","",SUMPRODUCT(('Keyword Map'!$B$3:$B$1002=B283)*(LEN('Keyword Map'!$G$3:$G$1002)&gt;0)))</f>
        <v/>
      </c>
      <c r="F283">
        <f>IF(B283="","",C283-E283)</f>
        <v/>
      </c>
      <c r="G283">
        <f>IF(B283="","",COUNTIFS('Keyword Map'!$B$3:$B$1002,SUBSTITUTE(SUBSTITUTE(B283,"?","~?"),"*","~*"),'Keyword Map'!$R$3:$R$1002,"Yes"))</f>
        <v/>
      </c>
      <c r="H283">
        <f>IF(B283="","",COUNTIFS('Keyword Map'!$B$3:$B$1002,SUBSTITUTE(SUBSTITUTE(B283,"?","~?"),"*","~*"),'Keyword Map'!$W$3:$W$1002,"Yes"))</f>
        <v/>
      </c>
      <c r="I283">
        <f>IF(B283="","",IFERROR(ROUND(AVERAGEIFS('Keyword Map'!$P$3:$P$1002,'Keyword Map'!$B$3:$B$1002,SUBSTITUTE(SUBSTITUTE(B283,"?","~?"),"*","~*")),0),""))</f>
        <v/>
      </c>
    </row>
    <row r="284">
      <c r="A284">
        <f>ROW()-2</f>
        <v/>
      </c>
      <c r="B284">
        <f>IFERROR(INDEX('Keyword Map'!$B$3:$B$1002,MATCH(A284,'Keyword Map'!$AB$3:$AB$1002,0)),"")</f>
        <v/>
      </c>
      <c r="C284">
        <f>IF(B284="","",COUNTIF('Keyword Map'!$B$3:$B$1002,SUBSTITUTE(SUBSTITUTE(B284,"?","~?"),"*","~*")))</f>
        <v/>
      </c>
      <c r="D284">
        <f>IF(B284="","",SUMIFS('Keyword Map'!$C$3:$C$1002,'Keyword Map'!$B$3:$B$1002,SUBSTITUTE(SUBSTITUTE(B284,"?","~?"),"*","~*")))</f>
        <v/>
      </c>
      <c r="E284">
        <f>IF(B284="","",SUMPRODUCT(('Keyword Map'!$B$3:$B$1002=B284)*(LEN('Keyword Map'!$G$3:$G$1002)&gt;0)))</f>
        <v/>
      </c>
      <c r="F284">
        <f>IF(B284="","",C284-E284)</f>
        <v/>
      </c>
      <c r="G284">
        <f>IF(B284="","",COUNTIFS('Keyword Map'!$B$3:$B$1002,SUBSTITUTE(SUBSTITUTE(B284,"?","~?"),"*","~*"),'Keyword Map'!$R$3:$R$1002,"Yes"))</f>
        <v/>
      </c>
      <c r="H284">
        <f>IF(B284="","",COUNTIFS('Keyword Map'!$B$3:$B$1002,SUBSTITUTE(SUBSTITUTE(B284,"?","~?"),"*","~*"),'Keyword Map'!$W$3:$W$1002,"Yes"))</f>
        <v/>
      </c>
      <c r="I284">
        <f>IF(B284="","",IFERROR(ROUND(AVERAGEIFS('Keyword Map'!$P$3:$P$1002,'Keyword Map'!$B$3:$B$1002,SUBSTITUTE(SUBSTITUTE(B284,"?","~?"),"*","~*")),0),""))</f>
        <v/>
      </c>
    </row>
    <row r="285">
      <c r="A285">
        <f>ROW()-2</f>
        <v/>
      </c>
      <c r="B285">
        <f>IFERROR(INDEX('Keyword Map'!$B$3:$B$1002,MATCH(A285,'Keyword Map'!$AB$3:$AB$1002,0)),"")</f>
        <v/>
      </c>
      <c r="C285">
        <f>IF(B285="","",COUNTIF('Keyword Map'!$B$3:$B$1002,SUBSTITUTE(SUBSTITUTE(B285,"?","~?"),"*","~*")))</f>
        <v/>
      </c>
      <c r="D285">
        <f>IF(B285="","",SUMIFS('Keyword Map'!$C$3:$C$1002,'Keyword Map'!$B$3:$B$1002,SUBSTITUTE(SUBSTITUTE(B285,"?","~?"),"*","~*")))</f>
        <v/>
      </c>
      <c r="E285">
        <f>IF(B285="","",SUMPRODUCT(('Keyword Map'!$B$3:$B$1002=B285)*(LEN('Keyword Map'!$G$3:$G$1002)&gt;0)))</f>
        <v/>
      </c>
      <c r="F285">
        <f>IF(B285="","",C285-E285)</f>
        <v/>
      </c>
      <c r="G285">
        <f>IF(B285="","",COUNTIFS('Keyword Map'!$B$3:$B$1002,SUBSTITUTE(SUBSTITUTE(B285,"?","~?"),"*","~*"),'Keyword Map'!$R$3:$R$1002,"Yes"))</f>
        <v/>
      </c>
      <c r="H285">
        <f>IF(B285="","",COUNTIFS('Keyword Map'!$B$3:$B$1002,SUBSTITUTE(SUBSTITUTE(B285,"?","~?"),"*","~*"),'Keyword Map'!$W$3:$W$1002,"Yes"))</f>
        <v/>
      </c>
      <c r="I285">
        <f>IF(B285="","",IFERROR(ROUND(AVERAGEIFS('Keyword Map'!$P$3:$P$1002,'Keyword Map'!$B$3:$B$1002,SUBSTITUTE(SUBSTITUTE(B285,"?","~?"),"*","~*")),0),""))</f>
        <v/>
      </c>
    </row>
    <row r="286">
      <c r="A286">
        <f>ROW()-2</f>
        <v/>
      </c>
      <c r="B286">
        <f>IFERROR(INDEX('Keyword Map'!$B$3:$B$1002,MATCH(A286,'Keyword Map'!$AB$3:$AB$1002,0)),"")</f>
        <v/>
      </c>
      <c r="C286">
        <f>IF(B286="","",COUNTIF('Keyword Map'!$B$3:$B$1002,SUBSTITUTE(SUBSTITUTE(B286,"?","~?"),"*","~*")))</f>
        <v/>
      </c>
      <c r="D286">
        <f>IF(B286="","",SUMIFS('Keyword Map'!$C$3:$C$1002,'Keyword Map'!$B$3:$B$1002,SUBSTITUTE(SUBSTITUTE(B286,"?","~?"),"*","~*")))</f>
        <v/>
      </c>
      <c r="E286">
        <f>IF(B286="","",SUMPRODUCT(('Keyword Map'!$B$3:$B$1002=B286)*(LEN('Keyword Map'!$G$3:$G$1002)&gt;0)))</f>
        <v/>
      </c>
      <c r="F286">
        <f>IF(B286="","",C286-E286)</f>
        <v/>
      </c>
      <c r="G286">
        <f>IF(B286="","",COUNTIFS('Keyword Map'!$B$3:$B$1002,SUBSTITUTE(SUBSTITUTE(B286,"?","~?"),"*","~*"),'Keyword Map'!$R$3:$R$1002,"Yes"))</f>
        <v/>
      </c>
      <c r="H286">
        <f>IF(B286="","",COUNTIFS('Keyword Map'!$B$3:$B$1002,SUBSTITUTE(SUBSTITUTE(B286,"?","~?"),"*","~*"),'Keyword Map'!$W$3:$W$1002,"Yes"))</f>
        <v/>
      </c>
      <c r="I286">
        <f>IF(B286="","",IFERROR(ROUND(AVERAGEIFS('Keyword Map'!$P$3:$P$1002,'Keyword Map'!$B$3:$B$1002,SUBSTITUTE(SUBSTITUTE(B286,"?","~?"),"*","~*")),0),""))</f>
        <v/>
      </c>
    </row>
    <row r="287">
      <c r="A287">
        <f>ROW()-2</f>
        <v/>
      </c>
      <c r="B287">
        <f>IFERROR(INDEX('Keyword Map'!$B$3:$B$1002,MATCH(A287,'Keyword Map'!$AB$3:$AB$1002,0)),"")</f>
        <v/>
      </c>
      <c r="C287">
        <f>IF(B287="","",COUNTIF('Keyword Map'!$B$3:$B$1002,SUBSTITUTE(SUBSTITUTE(B287,"?","~?"),"*","~*")))</f>
        <v/>
      </c>
      <c r="D287">
        <f>IF(B287="","",SUMIFS('Keyword Map'!$C$3:$C$1002,'Keyword Map'!$B$3:$B$1002,SUBSTITUTE(SUBSTITUTE(B287,"?","~?"),"*","~*")))</f>
        <v/>
      </c>
      <c r="E287">
        <f>IF(B287="","",SUMPRODUCT(('Keyword Map'!$B$3:$B$1002=B287)*(LEN('Keyword Map'!$G$3:$G$1002)&gt;0)))</f>
        <v/>
      </c>
      <c r="F287">
        <f>IF(B287="","",C287-E287)</f>
        <v/>
      </c>
      <c r="G287">
        <f>IF(B287="","",COUNTIFS('Keyword Map'!$B$3:$B$1002,SUBSTITUTE(SUBSTITUTE(B287,"?","~?"),"*","~*"),'Keyword Map'!$R$3:$R$1002,"Yes"))</f>
        <v/>
      </c>
      <c r="H287">
        <f>IF(B287="","",COUNTIFS('Keyword Map'!$B$3:$B$1002,SUBSTITUTE(SUBSTITUTE(B287,"?","~?"),"*","~*"),'Keyword Map'!$W$3:$W$1002,"Yes"))</f>
        <v/>
      </c>
      <c r="I287">
        <f>IF(B287="","",IFERROR(ROUND(AVERAGEIFS('Keyword Map'!$P$3:$P$1002,'Keyword Map'!$B$3:$B$1002,SUBSTITUTE(SUBSTITUTE(B287,"?","~?"),"*","~*")),0),""))</f>
        <v/>
      </c>
    </row>
    <row r="288">
      <c r="A288">
        <f>ROW()-2</f>
        <v/>
      </c>
      <c r="B288">
        <f>IFERROR(INDEX('Keyword Map'!$B$3:$B$1002,MATCH(A288,'Keyword Map'!$AB$3:$AB$1002,0)),"")</f>
        <v/>
      </c>
      <c r="C288">
        <f>IF(B288="","",COUNTIF('Keyword Map'!$B$3:$B$1002,SUBSTITUTE(SUBSTITUTE(B288,"?","~?"),"*","~*")))</f>
        <v/>
      </c>
      <c r="D288">
        <f>IF(B288="","",SUMIFS('Keyword Map'!$C$3:$C$1002,'Keyword Map'!$B$3:$B$1002,SUBSTITUTE(SUBSTITUTE(B288,"?","~?"),"*","~*")))</f>
        <v/>
      </c>
      <c r="E288">
        <f>IF(B288="","",SUMPRODUCT(('Keyword Map'!$B$3:$B$1002=B288)*(LEN('Keyword Map'!$G$3:$G$1002)&gt;0)))</f>
        <v/>
      </c>
      <c r="F288">
        <f>IF(B288="","",C288-E288)</f>
        <v/>
      </c>
      <c r="G288">
        <f>IF(B288="","",COUNTIFS('Keyword Map'!$B$3:$B$1002,SUBSTITUTE(SUBSTITUTE(B288,"?","~?"),"*","~*"),'Keyword Map'!$R$3:$R$1002,"Yes"))</f>
        <v/>
      </c>
      <c r="H288">
        <f>IF(B288="","",COUNTIFS('Keyword Map'!$B$3:$B$1002,SUBSTITUTE(SUBSTITUTE(B288,"?","~?"),"*","~*"),'Keyword Map'!$W$3:$W$1002,"Yes"))</f>
        <v/>
      </c>
      <c r="I288">
        <f>IF(B288="","",IFERROR(ROUND(AVERAGEIFS('Keyword Map'!$P$3:$P$1002,'Keyword Map'!$B$3:$B$1002,SUBSTITUTE(SUBSTITUTE(B288,"?","~?"),"*","~*")),0),""))</f>
        <v/>
      </c>
    </row>
    <row r="289">
      <c r="A289">
        <f>ROW()-2</f>
        <v/>
      </c>
      <c r="B289">
        <f>IFERROR(INDEX('Keyword Map'!$B$3:$B$1002,MATCH(A289,'Keyword Map'!$AB$3:$AB$1002,0)),"")</f>
        <v/>
      </c>
      <c r="C289">
        <f>IF(B289="","",COUNTIF('Keyword Map'!$B$3:$B$1002,SUBSTITUTE(SUBSTITUTE(B289,"?","~?"),"*","~*")))</f>
        <v/>
      </c>
      <c r="D289">
        <f>IF(B289="","",SUMIFS('Keyword Map'!$C$3:$C$1002,'Keyword Map'!$B$3:$B$1002,SUBSTITUTE(SUBSTITUTE(B289,"?","~?"),"*","~*")))</f>
        <v/>
      </c>
      <c r="E289">
        <f>IF(B289="","",SUMPRODUCT(('Keyword Map'!$B$3:$B$1002=B289)*(LEN('Keyword Map'!$G$3:$G$1002)&gt;0)))</f>
        <v/>
      </c>
      <c r="F289">
        <f>IF(B289="","",C289-E289)</f>
        <v/>
      </c>
      <c r="G289">
        <f>IF(B289="","",COUNTIFS('Keyword Map'!$B$3:$B$1002,SUBSTITUTE(SUBSTITUTE(B289,"?","~?"),"*","~*"),'Keyword Map'!$R$3:$R$1002,"Yes"))</f>
        <v/>
      </c>
      <c r="H289">
        <f>IF(B289="","",COUNTIFS('Keyword Map'!$B$3:$B$1002,SUBSTITUTE(SUBSTITUTE(B289,"?","~?"),"*","~*"),'Keyword Map'!$W$3:$W$1002,"Yes"))</f>
        <v/>
      </c>
      <c r="I289">
        <f>IF(B289="","",IFERROR(ROUND(AVERAGEIFS('Keyword Map'!$P$3:$P$1002,'Keyword Map'!$B$3:$B$1002,SUBSTITUTE(SUBSTITUTE(B289,"?","~?"),"*","~*")),0),""))</f>
        <v/>
      </c>
    </row>
    <row r="290">
      <c r="A290">
        <f>ROW()-2</f>
        <v/>
      </c>
      <c r="B290">
        <f>IFERROR(INDEX('Keyword Map'!$B$3:$B$1002,MATCH(A290,'Keyword Map'!$AB$3:$AB$1002,0)),"")</f>
        <v/>
      </c>
      <c r="C290">
        <f>IF(B290="","",COUNTIF('Keyword Map'!$B$3:$B$1002,SUBSTITUTE(SUBSTITUTE(B290,"?","~?"),"*","~*")))</f>
        <v/>
      </c>
      <c r="D290">
        <f>IF(B290="","",SUMIFS('Keyword Map'!$C$3:$C$1002,'Keyword Map'!$B$3:$B$1002,SUBSTITUTE(SUBSTITUTE(B290,"?","~?"),"*","~*")))</f>
        <v/>
      </c>
      <c r="E290">
        <f>IF(B290="","",SUMPRODUCT(('Keyword Map'!$B$3:$B$1002=B290)*(LEN('Keyword Map'!$G$3:$G$1002)&gt;0)))</f>
        <v/>
      </c>
      <c r="F290">
        <f>IF(B290="","",C290-E290)</f>
        <v/>
      </c>
      <c r="G290">
        <f>IF(B290="","",COUNTIFS('Keyword Map'!$B$3:$B$1002,SUBSTITUTE(SUBSTITUTE(B290,"?","~?"),"*","~*"),'Keyword Map'!$R$3:$R$1002,"Yes"))</f>
        <v/>
      </c>
      <c r="H290">
        <f>IF(B290="","",COUNTIFS('Keyword Map'!$B$3:$B$1002,SUBSTITUTE(SUBSTITUTE(B290,"?","~?"),"*","~*"),'Keyword Map'!$W$3:$W$1002,"Yes"))</f>
        <v/>
      </c>
      <c r="I290">
        <f>IF(B290="","",IFERROR(ROUND(AVERAGEIFS('Keyword Map'!$P$3:$P$1002,'Keyword Map'!$B$3:$B$1002,SUBSTITUTE(SUBSTITUTE(B290,"?","~?"),"*","~*")),0),""))</f>
        <v/>
      </c>
    </row>
    <row r="291">
      <c r="A291">
        <f>ROW()-2</f>
        <v/>
      </c>
      <c r="B291">
        <f>IFERROR(INDEX('Keyword Map'!$B$3:$B$1002,MATCH(A291,'Keyword Map'!$AB$3:$AB$1002,0)),"")</f>
        <v/>
      </c>
      <c r="C291">
        <f>IF(B291="","",COUNTIF('Keyword Map'!$B$3:$B$1002,SUBSTITUTE(SUBSTITUTE(B291,"?","~?"),"*","~*")))</f>
        <v/>
      </c>
      <c r="D291">
        <f>IF(B291="","",SUMIFS('Keyword Map'!$C$3:$C$1002,'Keyword Map'!$B$3:$B$1002,SUBSTITUTE(SUBSTITUTE(B291,"?","~?"),"*","~*")))</f>
        <v/>
      </c>
      <c r="E291">
        <f>IF(B291="","",SUMPRODUCT(('Keyword Map'!$B$3:$B$1002=B291)*(LEN('Keyword Map'!$G$3:$G$1002)&gt;0)))</f>
        <v/>
      </c>
      <c r="F291">
        <f>IF(B291="","",C291-E291)</f>
        <v/>
      </c>
      <c r="G291">
        <f>IF(B291="","",COUNTIFS('Keyword Map'!$B$3:$B$1002,SUBSTITUTE(SUBSTITUTE(B291,"?","~?"),"*","~*"),'Keyword Map'!$R$3:$R$1002,"Yes"))</f>
        <v/>
      </c>
      <c r="H291">
        <f>IF(B291="","",COUNTIFS('Keyword Map'!$B$3:$B$1002,SUBSTITUTE(SUBSTITUTE(B291,"?","~?"),"*","~*"),'Keyword Map'!$W$3:$W$1002,"Yes"))</f>
        <v/>
      </c>
      <c r="I291">
        <f>IF(B291="","",IFERROR(ROUND(AVERAGEIFS('Keyword Map'!$P$3:$P$1002,'Keyword Map'!$B$3:$B$1002,SUBSTITUTE(SUBSTITUTE(B291,"?","~?"),"*","~*")),0),""))</f>
        <v/>
      </c>
    </row>
    <row r="292">
      <c r="A292">
        <f>ROW()-2</f>
        <v/>
      </c>
      <c r="B292">
        <f>IFERROR(INDEX('Keyword Map'!$B$3:$B$1002,MATCH(A292,'Keyword Map'!$AB$3:$AB$1002,0)),"")</f>
        <v/>
      </c>
      <c r="C292">
        <f>IF(B292="","",COUNTIF('Keyword Map'!$B$3:$B$1002,SUBSTITUTE(SUBSTITUTE(B292,"?","~?"),"*","~*")))</f>
        <v/>
      </c>
      <c r="D292">
        <f>IF(B292="","",SUMIFS('Keyword Map'!$C$3:$C$1002,'Keyword Map'!$B$3:$B$1002,SUBSTITUTE(SUBSTITUTE(B292,"?","~?"),"*","~*")))</f>
        <v/>
      </c>
      <c r="E292">
        <f>IF(B292="","",SUMPRODUCT(('Keyword Map'!$B$3:$B$1002=B292)*(LEN('Keyword Map'!$G$3:$G$1002)&gt;0)))</f>
        <v/>
      </c>
      <c r="F292">
        <f>IF(B292="","",C292-E292)</f>
        <v/>
      </c>
      <c r="G292">
        <f>IF(B292="","",COUNTIFS('Keyword Map'!$B$3:$B$1002,SUBSTITUTE(SUBSTITUTE(B292,"?","~?"),"*","~*"),'Keyword Map'!$R$3:$R$1002,"Yes"))</f>
        <v/>
      </c>
      <c r="H292">
        <f>IF(B292="","",COUNTIFS('Keyword Map'!$B$3:$B$1002,SUBSTITUTE(SUBSTITUTE(B292,"?","~?"),"*","~*"),'Keyword Map'!$W$3:$W$1002,"Yes"))</f>
        <v/>
      </c>
      <c r="I292">
        <f>IF(B292="","",IFERROR(ROUND(AVERAGEIFS('Keyword Map'!$P$3:$P$1002,'Keyword Map'!$B$3:$B$1002,SUBSTITUTE(SUBSTITUTE(B292,"?","~?"),"*","~*")),0),""))</f>
        <v/>
      </c>
    </row>
    <row r="293">
      <c r="A293">
        <f>ROW()-2</f>
        <v/>
      </c>
      <c r="B293">
        <f>IFERROR(INDEX('Keyword Map'!$B$3:$B$1002,MATCH(A293,'Keyword Map'!$AB$3:$AB$1002,0)),"")</f>
        <v/>
      </c>
      <c r="C293">
        <f>IF(B293="","",COUNTIF('Keyword Map'!$B$3:$B$1002,SUBSTITUTE(SUBSTITUTE(B293,"?","~?"),"*","~*")))</f>
        <v/>
      </c>
      <c r="D293">
        <f>IF(B293="","",SUMIFS('Keyword Map'!$C$3:$C$1002,'Keyword Map'!$B$3:$B$1002,SUBSTITUTE(SUBSTITUTE(B293,"?","~?"),"*","~*")))</f>
        <v/>
      </c>
      <c r="E293">
        <f>IF(B293="","",SUMPRODUCT(('Keyword Map'!$B$3:$B$1002=B293)*(LEN('Keyword Map'!$G$3:$G$1002)&gt;0)))</f>
        <v/>
      </c>
      <c r="F293">
        <f>IF(B293="","",C293-E293)</f>
        <v/>
      </c>
      <c r="G293">
        <f>IF(B293="","",COUNTIFS('Keyword Map'!$B$3:$B$1002,SUBSTITUTE(SUBSTITUTE(B293,"?","~?"),"*","~*"),'Keyword Map'!$R$3:$R$1002,"Yes"))</f>
        <v/>
      </c>
      <c r="H293">
        <f>IF(B293="","",COUNTIFS('Keyword Map'!$B$3:$B$1002,SUBSTITUTE(SUBSTITUTE(B293,"?","~?"),"*","~*"),'Keyword Map'!$W$3:$W$1002,"Yes"))</f>
        <v/>
      </c>
      <c r="I293">
        <f>IF(B293="","",IFERROR(ROUND(AVERAGEIFS('Keyword Map'!$P$3:$P$1002,'Keyword Map'!$B$3:$B$1002,SUBSTITUTE(SUBSTITUTE(B293,"?","~?"),"*","~*")),0),""))</f>
        <v/>
      </c>
    </row>
    <row r="294">
      <c r="A294">
        <f>ROW()-2</f>
        <v/>
      </c>
      <c r="B294">
        <f>IFERROR(INDEX('Keyword Map'!$B$3:$B$1002,MATCH(A294,'Keyword Map'!$AB$3:$AB$1002,0)),"")</f>
        <v/>
      </c>
      <c r="C294">
        <f>IF(B294="","",COUNTIF('Keyword Map'!$B$3:$B$1002,SUBSTITUTE(SUBSTITUTE(B294,"?","~?"),"*","~*")))</f>
        <v/>
      </c>
      <c r="D294">
        <f>IF(B294="","",SUMIFS('Keyword Map'!$C$3:$C$1002,'Keyword Map'!$B$3:$B$1002,SUBSTITUTE(SUBSTITUTE(B294,"?","~?"),"*","~*")))</f>
        <v/>
      </c>
      <c r="E294">
        <f>IF(B294="","",SUMPRODUCT(('Keyword Map'!$B$3:$B$1002=B294)*(LEN('Keyword Map'!$G$3:$G$1002)&gt;0)))</f>
        <v/>
      </c>
      <c r="F294">
        <f>IF(B294="","",C294-E294)</f>
        <v/>
      </c>
      <c r="G294">
        <f>IF(B294="","",COUNTIFS('Keyword Map'!$B$3:$B$1002,SUBSTITUTE(SUBSTITUTE(B294,"?","~?"),"*","~*"),'Keyword Map'!$R$3:$R$1002,"Yes"))</f>
        <v/>
      </c>
      <c r="H294">
        <f>IF(B294="","",COUNTIFS('Keyword Map'!$B$3:$B$1002,SUBSTITUTE(SUBSTITUTE(B294,"?","~?"),"*","~*"),'Keyword Map'!$W$3:$W$1002,"Yes"))</f>
        <v/>
      </c>
      <c r="I294">
        <f>IF(B294="","",IFERROR(ROUND(AVERAGEIFS('Keyword Map'!$P$3:$P$1002,'Keyword Map'!$B$3:$B$1002,SUBSTITUTE(SUBSTITUTE(B294,"?","~?"),"*","~*")),0),""))</f>
        <v/>
      </c>
    </row>
    <row r="295">
      <c r="A295">
        <f>ROW()-2</f>
        <v/>
      </c>
      <c r="B295">
        <f>IFERROR(INDEX('Keyword Map'!$B$3:$B$1002,MATCH(A295,'Keyword Map'!$AB$3:$AB$1002,0)),"")</f>
        <v/>
      </c>
      <c r="C295">
        <f>IF(B295="","",COUNTIF('Keyword Map'!$B$3:$B$1002,SUBSTITUTE(SUBSTITUTE(B295,"?","~?"),"*","~*")))</f>
        <v/>
      </c>
      <c r="D295">
        <f>IF(B295="","",SUMIFS('Keyword Map'!$C$3:$C$1002,'Keyword Map'!$B$3:$B$1002,SUBSTITUTE(SUBSTITUTE(B295,"?","~?"),"*","~*")))</f>
        <v/>
      </c>
      <c r="E295">
        <f>IF(B295="","",SUMPRODUCT(('Keyword Map'!$B$3:$B$1002=B295)*(LEN('Keyword Map'!$G$3:$G$1002)&gt;0)))</f>
        <v/>
      </c>
      <c r="F295">
        <f>IF(B295="","",C295-E295)</f>
        <v/>
      </c>
      <c r="G295">
        <f>IF(B295="","",COUNTIFS('Keyword Map'!$B$3:$B$1002,SUBSTITUTE(SUBSTITUTE(B295,"?","~?"),"*","~*"),'Keyword Map'!$R$3:$R$1002,"Yes"))</f>
        <v/>
      </c>
      <c r="H295">
        <f>IF(B295="","",COUNTIFS('Keyword Map'!$B$3:$B$1002,SUBSTITUTE(SUBSTITUTE(B295,"?","~?"),"*","~*"),'Keyword Map'!$W$3:$W$1002,"Yes"))</f>
        <v/>
      </c>
      <c r="I295">
        <f>IF(B295="","",IFERROR(ROUND(AVERAGEIFS('Keyword Map'!$P$3:$P$1002,'Keyword Map'!$B$3:$B$1002,SUBSTITUTE(SUBSTITUTE(B295,"?","~?"),"*","~*")),0),""))</f>
        <v/>
      </c>
    </row>
    <row r="296">
      <c r="A296">
        <f>ROW()-2</f>
        <v/>
      </c>
      <c r="B296">
        <f>IFERROR(INDEX('Keyword Map'!$B$3:$B$1002,MATCH(A296,'Keyword Map'!$AB$3:$AB$1002,0)),"")</f>
        <v/>
      </c>
      <c r="C296">
        <f>IF(B296="","",COUNTIF('Keyword Map'!$B$3:$B$1002,SUBSTITUTE(SUBSTITUTE(B296,"?","~?"),"*","~*")))</f>
        <v/>
      </c>
      <c r="D296">
        <f>IF(B296="","",SUMIFS('Keyword Map'!$C$3:$C$1002,'Keyword Map'!$B$3:$B$1002,SUBSTITUTE(SUBSTITUTE(B296,"?","~?"),"*","~*")))</f>
        <v/>
      </c>
      <c r="E296">
        <f>IF(B296="","",SUMPRODUCT(('Keyword Map'!$B$3:$B$1002=B296)*(LEN('Keyword Map'!$G$3:$G$1002)&gt;0)))</f>
        <v/>
      </c>
      <c r="F296">
        <f>IF(B296="","",C296-E296)</f>
        <v/>
      </c>
      <c r="G296">
        <f>IF(B296="","",COUNTIFS('Keyword Map'!$B$3:$B$1002,SUBSTITUTE(SUBSTITUTE(B296,"?","~?"),"*","~*"),'Keyword Map'!$R$3:$R$1002,"Yes"))</f>
        <v/>
      </c>
      <c r="H296">
        <f>IF(B296="","",COUNTIFS('Keyword Map'!$B$3:$B$1002,SUBSTITUTE(SUBSTITUTE(B296,"?","~?"),"*","~*"),'Keyword Map'!$W$3:$W$1002,"Yes"))</f>
        <v/>
      </c>
      <c r="I296">
        <f>IF(B296="","",IFERROR(ROUND(AVERAGEIFS('Keyword Map'!$P$3:$P$1002,'Keyword Map'!$B$3:$B$1002,SUBSTITUTE(SUBSTITUTE(B296,"?","~?"),"*","~*")),0),""))</f>
        <v/>
      </c>
    </row>
    <row r="297">
      <c r="A297">
        <f>ROW()-2</f>
        <v/>
      </c>
      <c r="B297">
        <f>IFERROR(INDEX('Keyword Map'!$B$3:$B$1002,MATCH(A297,'Keyword Map'!$AB$3:$AB$1002,0)),"")</f>
        <v/>
      </c>
      <c r="C297">
        <f>IF(B297="","",COUNTIF('Keyword Map'!$B$3:$B$1002,SUBSTITUTE(SUBSTITUTE(B297,"?","~?"),"*","~*")))</f>
        <v/>
      </c>
      <c r="D297">
        <f>IF(B297="","",SUMIFS('Keyword Map'!$C$3:$C$1002,'Keyword Map'!$B$3:$B$1002,SUBSTITUTE(SUBSTITUTE(B297,"?","~?"),"*","~*")))</f>
        <v/>
      </c>
      <c r="E297">
        <f>IF(B297="","",SUMPRODUCT(('Keyword Map'!$B$3:$B$1002=B297)*(LEN('Keyword Map'!$G$3:$G$1002)&gt;0)))</f>
        <v/>
      </c>
      <c r="F297">
        <f>IF(B297="","",C297-E297)</f>
        <v/>
      </c>
      <c r="G297">
        <f>IF(B297="","",COUNTIFS('Keyword Map'!$B$3:$B$1002,SUBSTITUTE(SUBSTITUTE(B297,"?","~?"),"*","~*"),'Keyword Map'!$R$3:$R$1002,"Yes"))</f>
        <v/>
      </c>
      <c r="H297">
        <f>IF(B297="","",COUNTIFS('Keyword Map'!$B$3:$B$1002,SUBSTITUTE(SUBSTITUTE(B297,"?","~?"),"*","~*"),'Keyword Map'!$W$3:$W$1002,"Yes"))</f>
        <v/>
      </c>
      <c r="I297">
        <f>IF(B297="","",IFERROR(ROUND(AVERAGEIFS('Keyword Map'!$P$3:$P$1002,'Keyword Map'!$B$3:$B$1002,SUBSTITUTE(SUBSTITUTE(B297,"?","~?"),"*","~*")),0),""))</f>
        <v/>
      </c>
    </row>
    <row r="298">
      <c r="A298">
        <f>ROW()-2</f>
        <v/>
      </c>
      <c r="B298">
        <f>IFERROR(INDEX('Keyword Map'!$B$3:$B$1002,MATCH(A298,'Keyword Map'!$AB$3:$AB$1002,0)),"")</f>
        <v/>
      </c>
      <c r="C298">
        <f>IF(B298="","",COUNTIF('Keyword Map'!$B$3:$B$1002,SUBSTITUTE(SUBSTITUTE(B298,"?","~?"),"*","~*")))</f>
        <v/>
      </c>
      <c r="D298">
        <f>IF(B298="","",SUMIFS('Keyword Map'!$C$3:$C$1002,'Keyword Map'!$B$3:$B$1002,SUBSTITUTE(SUBSTITUTE(B298,"?","~?"),"*","~*")))</f>
        <v/>
      </c>
      <c r="E298">
        <f>IF(B298="","",SUMPRODUCT(('Keyword Map'!$B$3:$B$1002=B298)*(LEN('Keyword Map'!$G$3:$G$1002)&gt;0)))</f>
        <v/>
      </c>
      <c r="F298">
        <f>IF(B298="","",C298-E298)</f>
        <v/>
      </c>
      <c r="G298">
        <f>IF(B298="","",COUNTIFS('Keyword Map'!$B$3:$B$1002,SUBSTITUTE(SUBSTITUTE(B298,"?","~?"),"*","~*"),'Keyword Map'!$R$3:$R$1002,"Yes"))</f>
        <v/>
      </c>
      <c r="H298">
        <f>IF(B298="","",COUNTIFS('Keyword Map'!$B$3:$B$1002,SUBSTITUTE(SUBSTITUTE(B298,"?","~?"),"*","~*"),'Keyword Map'!$W$3:$W$1002,"Yes"))</f>
        <v/>
      </c>
      <c r="I298">
        <f>IF(B298="","",IFERROR(ROUND(AVERAGEIFS('Keyword Map'!$P$3:$P$1002,'Keyword Map'!$B$3:$B$1002,SUBSTITUTE(SUBSTITUTE(B298,"?","~?"),"*","~*")),0),""))</f>
        <v/>
      </c>
    </row>
    <row r="299">
      <c r="A299">
        <f>ROW()-2</f>
        <v/>
      </c>
      <c r="B299">
        <f>IFERROR(INDEX('Keyword Map'!$B$3:$B$1002,MATCH(A299,'Keyword Map'!$AB$3:$AB$1002,0)),"")</f>
        <v/>
      </c>
      <c r="C299">
        <f>IF(B299="","",COUNTIF('Keyword Map'!$B$3:$B$1002,SUBSTITUTE(SUBSTITUTE(B299,"?","~?"),"*","~*")))</f>
        <v/>
      </c>
      <c r="D299">
        <f>IF(B299="","",SUMIFS('Keyword Map'!$C$3:$C$1002,'Keyword Map'!$B$3:$B$1002,SUBSTITUTE(SUBSTITUTE(B299,"?","~?"),"*","~*")))</f>
        <v/>
      </c>
      <c r="E299">
        <f>IF(B299="","",SUMPRODUCT(('Keyword Map'!$B$3:$B$1002=B299)*(LEN('Keyword Map'!$G$3:$G$1002)&gt;0)))</f>
        <v/>
      </c>
      <c r="F299">
        <f>IF(B299="","",C299-E299)</f>
        <v/>
      </c>
      <c r="G299">
        <f>IF(B299="","",COUNTIFS('Keyword Map'!$B$3:$B$1002,SUBSTITUTE(SUBSTITUTE(B299,"?","~?"),"*","~*"),'Keyword Map'!$R$3:$R$1002,"Yes"))</f>
        <v/>
      </c>
      <c r="H299">
        <f>IF(B299="","",COUNTIFS('Keyword Map'!$B$3:$B$1002,SUBSTITUTE(SUBSTITUTE(B299,"?","~?"),"*","~*"),'Keyword Map'!$W$3:$W$1002,"Yes"))</f>
        <v/>
      </c>
      <c r="I299">
        <f>IF(B299="","",IFERROR(ROUND(AVERAGEIFS('Keyword Map'!$P$3:$P$1002,'Keyword Map'!$B$3:$B$1002,SUBSTITUTE(SUBSTITUTE(B299,"?","~?"),"*","~*")),0),""))</f>
        <v/>
      </c>
    </row>
    <row r="300">
      <c r="A300">
        <f>ROW()-2</f>
        <v/>
      </c>
      <c r="B300">
        <f>IFERROR(INDEX('Keyword Map'!$B$3:$B$1002,MATCH(A300,'Keyword Map'!$AB$3:$AB$1002,0)),"")</f>
        <v/>
      </c>
      <c r="C300">
        <f>IF(B300="","",COUNTIF('Keyword Map'!$B$3:$B$1002,SUBSTITUTE(SUBSTITUTE(B300,"?","~?"),"*","~*")))</f>
        <v/>
      </c>
      <c r="D300">
        <f>IF(B300="","",SUMIFS('Keyword Map'!$C$3:$C$1002,'Keyword Map'!$B$3:$B$1002,SUBSTITUTE(SUBSTITUTE(B300,"?","~?"),"*","~*")))</f>
        <v/>
      </c>
      <c r="E300">
        <f>IF(B300="","",SUMPRODUCT(('Keyword Map'!$B$3:$B$1002=B300)*(LEN('Keyword Map'!$G$3:$G$1002)&gt;0)))</f>
        <v/>
      </c>
      <c r="F300">
        <f>IF(B300="","",C300-E300)</f>
        <v/>
      </c>
      <c r="G300">
        <f>IF(B300="","",COUNTIFS('Keyword Map'!$B$3:$B$1002,SUBSTITUTE(SUBSTITUTE(B300,"?","~?"),"*","~*"),'Keyword Map'!$R$3:$R$1002,"Yes"))</f>
        <v/>
      </c>
      <c r="H300">
        <f>IF(B300="","",COUNTIFS('Keyword Map'!$B$3:$B$1002,SUBSTITUTE(SUBSTITUTE(B300,"?","~?"),"*","~*"),'Keyword Map'!$W$3:$W$1002,"Yes"))</f>
        <v/>
      </c>
      <c r="I300">
        <f>IF(B300="","",IFERROR(ROUND(AVERAGEIFS('Keyword Map'!$P$3:$P$1002,'Keyword Map'!$B$3:$B$1002,SUBSTITUTE(SUBSTITUTE(B300,"?","~?"),"*","~*")),0),""))</f>
        <v/>
      </c>
    </row>
    <row r="301">
      <c r="A301">
        <f>ROW()-2</f>
        <v/>
      </c>
      <c r="B301">
        <f>IFERROR(INDEX('Keyword Map'!$B$3:$B$1002,MATCH(A301,'Keyword Map'!$AB$3:$AB$1002,0)),"")</f>
        <v/>
      </c>
      <c r="C301">
        <f>IF(B301="","",COUNTIF('Keyword Map'!$B$3:$B$1002,SUBSTITUTE(SUBSTITUTE(B301,"?","~?"),"*","~*")))</f>
        <v/>
      </c>
      <c r="D301">
        <f>IF(B301="","",SUMIFS('Keyword Map'!$C$3:$C$1002,'Keyword Map'!$B$3:$B$1002,SUBSTITUTE(SUBSTITUTE(B301,"?","~?"),"*","~*")))</f>
        <v/>
      </c>
      <c r="E301">
        <f>IF(B301="","",SUMPRODUCT(('Keyword Map'!$B$3:$B$1002=B301)*(LEN('Keyword Map'!$G$3:$G$1002)&gt;0)))</f>
        <v/>
      </c>
      <c r="F301">
        <f>IF(B301="","",C301-E301)</f>
        <v/>
      </c>
      <c r="G301">
        <f>IF(B301="","",COUNTIFS('Keyword Map'!$B$3:$B$1002,SUBSTITUTE(SUBSTITUTE(B301,"?","~?"),"*","~*"),'Keyword Map'!$R$3:$R$1002,"Yes"))</f>
        <v/>
      </c>
      <c r="H301">
        <f>IF(B301="","",COUNTIFS('Keyword Map'!$B$3:$B$1002,SUBSTITUTE(SUBSTITUTE(B301,"?","~?"),"*","~*"),'Keyword Map'!$W$3:$W$1002,"Yes"))</f>
        <v/>
      </c>
      <c r="I301">
        <f>IF(B301="","",IFERROR(ROUND(AVERAGEIFS('Keyword Map'!$P$3:$P$1002,'Keyword Map'!$B$3:$B$1002,SUBSTITUTE(SUBSTITUTE(B301,"?","~?"),"*","~*")),0),""))</f>
        <v/>
      </c>
    </row>
    <row r="302">
      <c r="A302">
        <f>ROW()-2</f>
        <v/>
      </c>
      <c r="B302">
        <f>IFERROR(INDEX('Keyword Map'!$B$3:$B$1002,MATCH(A302,'Keyword Map'!$AB$3:$AB$1002,0)),"")</f>
        <v/>
      </c>
      <c r="C302">
        <f>IF(B302="","",COUNTIF('Keyword Map'!$B$3:$B$1002,SUBSTITUTE(SUBSTITUTE(B302,"?","~?"),"*","~*")))</f>
        <v/>
      </c>
      <c r="D302">
        <f>IF(B302="","",SUMIFS('Keyword Map'!$C$3:$C$1002,'Keyword Map'!$B$3:$B$1002,SUBSTITUTE(SUBSTITUTE(B302,"?","~?"),"*","~*")))</f>
        <v/>
      </c>
      <c r="E302">
        <f>IF(B302="","",SUMPRODUCT(('Keyword Map'!$B$3:$B$1002=B302)*(LEN('Keyword Map'!$G$3:$G$1002)&gt;0)))</f>
        <v/>
      </c>
      <c r="F302">
        <f>IF(B302="","",C302-E302)</f>
        <v/>
      </c>
      <c r="G302">
        <f>IF(B302="","",COUNTIFS('Keyword Map'!$B$3:$B$1002,SUBSTITUTE(SUBSTITUTE(B302,"?","~?"),"*","~*"),'Keyword Map'!$R$3:$R$1002,"Yes"))</f>
        <v/>
      </c>
      <c r="H302">
        <f>IF(B302="","",COUNTIFS('Keyword Map'!$B$3:$B$1002,SUBSTITUTE(SUBSTITUTE(B302,"?","~?"),"*","~*"),'Keyword Map'!$W$3:$W$1002,"Yes"))</f>
        <v/>
      </c>
      <c r="I302">
        <f>IF(B302="","",IFERROR(ROUND(AVERAGEIFS('Keyword Map'!$P$3:$P$1002,'Keyword Map'!$B$3:$B$1002,SUBSTITUTE(SUBSTITUTE(B302,"?","~?"),"*","~*")),0),""))</f>
        <v/>
      </c>
    </row>
  </sheetData>
  <autoFilter ref="A2:I302"/>
  <conditionalFormatting sqref="A3:I302">
    <cfRule type="expression" priority="1" dxfId="0">
      <formula>AND($B3&lt;&gt;"",MOD(ROW(),2)=0)</formula>
    </cfRule>
  </conditionalFormatting>
  <conditionalFormatting sqref="F3:H302">
    <cfRule type="expression" priority="2" dxfId="2">
      <formula>AND(ISNUMBER(F3),F3&gt;0)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E59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" customWidth="1" min="3" max="3"/>
    <col width="26" customWidth="1" min="4" max="4"/>
    <col width="12" customWidth="1" min="5" max="5"/>
    <col width="16" customWidth="1" min="6" max="6"/>
  </cols>
  <sheetData>
    <row r="1">
      <c r="A1" s="1" t="inlineStr">
        <is>
          <t>Keyword map dashboard</t>
        </is>
      </c>
    </row>
    <row r="2">
      <c r="A2" s="19" t="inlineStr">
        <is>
          <t>Counts update as you edit Keyword Map. Yellow numbers above zero are worth a look.</t>
        </is>
      </c>
    </row>
    <row r="3" ht="34" customHeight="1">
      <c r="A3" s="18" t="inlineStr">
        <is>
          <t>Metric</t>
        </is>
      </c>
      <c r="B3" s="18" t="inlineStr">
        <is>
          <t>Count</t>
        </is>
      </c>
      <c r="D3" s="18" t="inlineStr">
        <is>
          <t>Final intent</t>
        </is>
      </c>
      <c r="E3" s="18" t="inlineStr">
        <is>
          <t>Keywords</t>
        </is>
      </c>
      <c r="F3" s="18" t="inlineStr">
        <is>
          <t>Search volume</t>
        </is>
      </c>
    </row>
    <row r="4">
      <c r="A4" s="7" t="inlineStr">
        <is>
          <t>Keywords</t>
        </is>
      </c>
      <c r="B4" s="20">
        <f>SUMPRODUCT((LEN('Keyword Map'!$A$3:$A$1002)&gt;0)*1)</f>
        <v/>
      </c>
      <c r="D4" s="7" t="inlineStr">
        <is>
          <t>Informational</t>
        </is>
      </c>
      <c r="E4">
        <f>COUNTIF('Keyword Map'!$O$3:$O$1002,D4)</f>
        <v/>
      </c>
      <c r="F4">
        <f>SUMIFS('Keyword Map'!$C$3:$C$1002,'Keyword Map'!$O$3:$O$1002,D4)</f>
        <v/>
      </c>
    </row>
    <row r="5">
      <c r="A5" s="7" t="inlineStr">
        <is>
          <t>Mapped to a URL</t>
        </is>
      </c>
      <c r="B5" s="20">
        <f>SUMPRODUCT((LEN('Keyword Map'!$A$3:$A$1002)&gt;0)*(LEN('Keyword Map'!$G$3:$G$1002)&gt;0))</f>
        <v/>
      </c>
      <c r="D5" s="7" t="inlineStr">
        <is>
          <t>Commercial</t>
        </is>
      </c>
      <c r="E5">
        <f>COUNTIF('Keyword Map'!$O$3:$O$1002,D5)</f>
        <v/>
      </c>
      <c r="F5">
        <f>SUMIFS('Keyword Map'!$C$3:$C$1002,'Keyword Map'!$O$3:$O$1002,D5)</f>
        <v/>
      </c>
    </row>
    <row r="6">
      <c r="A6" s="7" t="inlineStr">
        <is>
          <t>Not mapped yet</t>
        </is>
      </c>
      <c r="B6" s="20">
        <f>B4-B5</f>
        <v/>
      </c>
      <c r="D6" s="7" t="inlineStr">
        <is>
          <t>Transactional</t>
        </is>
      </c>
      <c r="E6">
        <f>COUNTIF('Keyword Map'!$O$3:$O$1002,D6)</f>
        <v/>
      </c>
      <c r="F6">
        <f>SUMIFS('Keyword Map'!$C$3:$C$1002,'Keyword Map'!$O$3:$O$1002,D6)</f>
        <v/>
      </c>
    </row>
    <row r="7">
      <c r="A7" s="7" t="inlineStr">
        <is>
          <t>Target URLs</t>
        </is>
      </c>
      <c r="B7" s="20">
        <f>MAX('Keyword Map'!$AA$3:$AA$1002)</f>
        <v/>
      </c>
      <c r="D7" s="7" t="inlineStr">
        <is>
          <t>Navigational</t>
        </is>
      </c>
      <c r="E7">
        <f>COUNTIF('Keyword Map'!$O$3:$O$1002,D7)</f>
        <v/>
      </c>
      <c r="F7">
        <f>SUMIFS('Keyword Map'!$C$3:$C$1002,'Keyword Map'!$O$3:$O$1002,D7)</f>
        <v/>
      </c>
    </row>
    <row r="8">
      <c r="A8" s="7" t="inlineStr">
        <is>
          <t>Planned (new) URLs</t>
        </is>
      </c>
      <c r="B8" s="20">
        <f>COUNTIF('URL Summary'!$D$3:$D$502,"Planned")</f>
        <v/>
      </c>
      <c r="D8" s="7" t="inlineStr">
        <is>
          <t>Unclassified</t>
        </is>
      </c>
      <c r="E8">
        <f>COUNTIF('Keyword Map'!$O$3:$O$1002,D8)</f>
        <v/>
      </c>
      <c r="F8">
        <f>SUMIFS('Keyword Map'!$C$3:$C$1002,'Keyword Map'!$O$3:$O$1002,D8)</f>
        <v/>
      </c>
    </row>
    <row r="9">
      <c r="A9" s="7" t="inlineStr">
        <is>
          <t>Clusters</t>
        </is>
      </c>
      <c r="B9" s="20">
        <f>MAX('Keyword Map'!$AB$3:$AB$1002)</f>
        <v/>
      </c>
    </row>
    <row r="10">
      <c r="A10" s="7" t="inlineStr">
        <is>
          <t>Cannibalised keyword rows</t>
        </is>
      </c>
      <c r="B10" s="20">
        <f>COUNTIF('Keyword Map'!$R$3:$R$1002,"Yes")</f>
        <v/>
      </c>
    </row>
    <row r="11" ht="34" customHeight="1">
      <c r="A11" s="7" t="inlineStr">
        <is>
          <t>URLs with too many primary keywords</t>
        </is>
      </c>
      <c r="B11" s="20">
        <f>COUNTIF('URL Summary'!$K$3:$K$502,"Too many primary keywords")</f>
        <v/>
      </c>
      <c r="D11" s="18" t="inlineStr">
        <is>
          <t>Page type</t>
        </is>
      </c>
      <c r="E11" s="18" t="inlineStr">
        <is>
          <t>Keywords</t>
        </is>
      </c>
      <c r="F11" s="18" t="inlineStr">
        <is>
          <t>Intent mismatches</t>
        </is>
      </c>
    </row>
    <row r="12">
      <c r="A12" s="7" t="inlineStr">
        <is>
          <t>URLs with no primary keyword</t>
        </is>
      </c>
      <c r="B12" s="20">
        <f>COUNTIF('URL Summary'!$K$3:$K$502,"No primary keyword")</f>
        <v/>
      </c>
      <c r="D12">
        <f>IF(Settings!D5="","",Settings!D5)</f>
        <v/>
      </c>
      <c r="E12">
        <f>IF(D12="","",COUNTIF('Keyword Map'!$I$3:$I$1002,D12))</f>
        <v/>
      </c>
      <c r="F12">
        <f>IF(D12="","",COUNTIFS('Keyword Map'!$I$3:$I$1002,D12,'Keyword Map'!$W$3:$W$1002,"Yes"))</f>
        <v/>
      </c>
    </row>
    <row r="13">
      <c r="A13" s="7" t="inlineStr">
        <is>
          <t>URLs spanning 2+ clusters (keyword rows)</t>
        </is>
      </c>
      <c r="B13" s="20">
        <f>COUNTIF('Keyword Map'!$U$3:$U$1002,"Yes")</f>
        <v/>
      </c>
      <c r="D13">
        <f>IF(Settings!D6="","",Settings!D6)</f>
        <v/>
      </c>
      <c r="E13">
        <f>IF(D13="","",COUNTIF('Keyword Map'!$I$3:$I$1002,D13))</f>
        <v/>
      </c>
      <c r="F13">
        <f>IF(D13="","",COUNTIFS('Keyword Map'!$I$3:$I$1002,D13,'Keyword Map'!$W$3:$W$1002,"Yes"))</f>
        <v/>
      </c>
    </row>
    <row r="14">
      <c r="A14" s="7" t="inlineStr">
        <is>
          <t>Intent mismatches</t>
        </is>
      </c>
      <c r="B14" s="20">
        <f>COUNTIF('Keyword Map'!$W$3:$W$1002,"Yes")</f>
        <v/>
      </c>
      <c r="D14">
        <f>IF(Settings!D7="","",Settings!D7)</f>
        <v/>
      </c>
      <c r="E14">
        <f>IF(D14="","",COUNTIF('Keyword Map'!$I$3:$I$1002,D14))</f>
        <v/>
      </c>
      <c r="F14">
        <f>IF(D14="","",COUNTIFS('Keyword Map'!$I$3:$I$1002,D14,'Keyword Map'!$W$3:$W$1002,"Yes"))</f>
        <v/>
      </c>
    </row>
    <row r="15">
      <c r="A15" s="7" t="inlineStr">
        <is>
          <t>Ranking URL is not the target</t>
        </is>
      </c>
      <c r="B15" s="20">
        <f>COUNTIF('Keyword Map'!$X$3:$X$1002,"Yes")</f>
        <v/>
      </c>
      <c r="D15">
        <f>IF(Settings!D8="","",Settings!D8)</f>
        <v/>
      </c>
      <c r="E15">
        <f>IF(D15="","",COUNTIF('Keyword Map'!$I$3:$I$1002,D15))</f>
        <v/>
      </c>
      <c r="F15">
        <f>IF(D15="","",COUNTIFS('Keyword Map'!$I$3:$I$1002,D15,'Keyword Map'!$W$3:$W$1002,"Yes"))</f>
        <v/>
      </c>
    </row>
    <row r="16">
      <c r="A16" s="7" t="inlineStr">
        <is>
          <t>Unclassified intent</t>
        </is>
      </c>
      <c r="B16" s="20">
        <f>COUNTIF('Keyword Map'!$O$3:$O$1002,"Unclassified")</f>
        <v/>
      </c>
      <c r="D16">
        <f>IF(Settings!D9="","",Settings!D9)</f>
        <v/>
      </c>
      <c r="E16">
        <f>IF(D16="","",COUNTIF('Keyword Map'!$I$3:$I$1002,D16))</f>
        <v/>
      </c>
      <c r="F16">
        <f>IF(D16="","",COUNTIFS('Keyword Map'!$I$3:$I$1002,D16,'Keyword Map'!$W$3:$W$1002,"Yes"))</f>
        <v/>
      </c>
    </row>
    <row r="17">
      <c r="D17">
        <f>IF(Settings!D10="","",Settings!D10)</f>
        <v/>
      </c>
      <c r="E17">
        <f>IF(D17="","",COUNTIF('Keyword Map'!$I$3:$I$1002,D17))</f>
        <v/>
      </c>
      <c r="F17">
        <f>IF(D17="","",COUNTIFS('Keyword Map'!$I$3:$I$1002,D17,'Keyword Map'!$W$3:$W$1002,"Yes"))</f>
        <v/>
      </c>
    </row>
    <row r="18">
      <c r="D18">
        <f>IF(Settings!D11="","",Settings!D11)</f>
        <v/>
      </c>
      <c r="E18">
        <f>IF(D18="","",COUNTIF('Keyword Map'!$I$3:$I$1002,D18))</f>
        <v/>
      </c>
      <c r="F18">
        <f>IF(D18="","",COUNTIFS('Keyword Map'!$I$3:$I$1002,D18,'Keyword Map'!$W$3:$W$1002,"Yes"))</f>
        <v/>
      </c>
    </row>
    <row r="19">
      <c r="D19">
        <f>IF(Settings!D12="","",Settings!D12)</f>
        <v/>
      </c>
      <c r="E19">
        <f>IF(D19="","",COUNTIF('Keyword Map'!$I$3:$I$1002,D19))</f>
        <v/>
      </c>
      <c r="F19">
        <f>IF(D19="","",COUNTIFS('Keyword Map'!$I$3:$I$1002,D19,'Keyword Map'!$W$3:$W$1002,"Yes"))</f>
        <v/>
      </c>
    </row>
    <row r="20">
      <c r="D20">
        <f>IF(Settings!D13="","",Settings!D13)</f>
        <v/>
      </c>
      <c r="E20">
        <f>IF(D20="","",COUNTIF('Keyword Map'!$I$3:$I$1002,D20))</f>
        <v/>
      </c>
      <c r="F20">
        <f>IF(D20="","",COUNTIFS('Keyword Map'!$I$3:$I$1002,D20,'Keyword Map'!$W$3:$W$1002,"Yes"))</f>
        <v/>
      </c>
    </row>
    <row r="21">
      <c r="D21">
        <f>IF(Settings!D14="","",Settings!D14)</f>
        <v/>
      </c>
      <c r="E21">
        <f>IF(D21="","",COUNTIF('Keyword Map'!$I$3:$I$1002,D21))</f>
        <v/>
      </c>
      <c r="F21">
        <f>IF(D21="","",COUNTIFS('Keyword Map'!$I$3:$I$1002,D21,'Keyword Map'!$W$3:$W$1002,"Yes"))</f>
        <v/>
      </c>
    </row>
    <row r="22">
      <c r="D22">
        <f>IF(Settings!D15="","",Settings!D15)</f>
        <v/>
      </c>
      <c r="E22">
        <f>IF(D22="","",COUNTIF('Keyword Map'!$I$3:$I$1002,D22))</f>
        <v/>
      </c>
      <c r="F22">
        <f>IF(D22="","",COUNTIFS('Keyword Map'!$I$3:$I$1002,D22,'Keyword Map'!$W$3:$W$1002,"Yes"))</f>
        <v/>
      </c>
    </row>
    <row r="23">
      <c r="D23">
        <f>IF(Settings!D16="","",Settings!D16)</f>
        <v/>
      </c>
      <c r="E23">
        <f>IF(D23="","",COUNTIF('Keyword Map'!$I$3:$I$1002,D23))</f>
        <v/>
      </c>
      <c r="F23">
        <f>IF(D23="","",COUNTIFS('Keyword Map'!$I$3:$I$1002,D23,'Keyword Map'!$W$3:$W$1002,"Yes"))</f>
        <v/>
      </c>
    </row>
  </sheetData>
  <conditionalFormatting sqref="B10:B16">
    <cfRule type="expression" priority="1" dxfId="2">
      <formula>AND(ISNUMBER(B10),B10&gt;0)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70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  <col width="3" customWidth="1" min="10" max="10"/>
    <col width="16" customWidth="1" min="11" max="11"/>
    <col width="24" customWidth="1" min="12" max="12"/>
  </cols>
  <sheetData>
    <row r="1">
      <c r="A1" s="1" t="inlineStr">
        <is>
          <t>Settings: edit the rules, the sheet recalculates</t>
        </is>
      </c>
    </row>
    <row r="2">
      <c r="A2" s="19" t="inlineStr">
        <is>
          <t>Yellow cells are yours to change. Page types feed the dropdown on Keyword Map.</t>
        </is>
      </c>
    </row>
    <row r="3">
      <c r="A3" s="21" t="inlineStr">
        <is>
          <t>Thresholds and weights</t>
        </is>
      </c>
      <c r="D3" s="21" t="inlineStr">
        <is>
          <t>Page type × intent fit (Yes / Partial / No). 'No' raises the intent-mismatch flag.</t>
        </is>
      </c>
      <c r="K3" s="21" t="inlineStr">
        <is>
          <t>Intent rules: whole words or phrases, checked in this order: Navigational, Transactional, Commercial, Informational.</t>
        </is>
      </c>
    </row>
    <row r="4">
      <c r="A4" s="7" t="inlineStr">
        <is>
          <t>Max primary keywords per URL</t>
        </is>
      </c>
      <c r="B4" s="22" t="n">
        <v>1</v>
      </c>
      <c r="C4" s="23" t="inlineStr">
        <is>
          <t>More than this on one URL raises the 'Too many primary keywords' flag. One primary keyword (or cluster head) per page is my default.</t>
        </is>
      </c>
      <c r="D4" s="6" t="inlineStr">
        <is>
          <t>Page type</t>
        </is>
      </c>
      <c r="E4" s="6" t="inlineStr">
        <is>
          <t>Informational</t>
        </is>
      </c>
      <c r="F4" s="6" t="inlineStr">
        <is>
          <t>Commercial</t>
        </is>
      </c>
      <c r="G4" s="6" t="inlineStr">
        <is>
          <t>Transactional</t>
        </is>
      </c>
      <c r="H4" s="6" t="inlineStr">
        <is>
          <t>Navigational</t>
        </is>
      </c>
      <c r="K4" s="6" t="inlineStr">
        <is>
          <t>Intent</t>
        </is>
      </c>
      <c r="L4" s="6" t="inlineStr">
        <is>
          <t>Word or phrase</t>
        </is>
      </c>
    </row>
    <row r="5">
      <c r="A5" s="7" t="inlineStr">
        <is>
          <t>Volume points (max)</t>
        </is>
      </c>
      <c r="B5" s="22" t="n">
        <v>50</v>
      </c>
      <c r="C5" s="23" t="inlineStr">
        <is>
          <t>Points a keyword gets for search volume (log scale).</t>
        </is>
      </c>
      <c r="D5" s="22" t="inlineStr">
        <is>
          <t>Homepage</t>
        </is>
      </c>
      <c r="E5" s="24" t="inlineStr">
        <is>
          <t>Partial</t>
        </is>
      </c>
      <c r="F5" s="24" t="inlineStr">
        <is>
          <t>Partial</t>
        </is>
      </c>
      <c r="G5" s="24" t="inlineStr">
        <is>
          <t>Partial</t>
        </is>
      </c>
      <c r="H5" s="24" t="inlineStr">
        <is>
          <t>Yes</t>
        </is>
      </c>
      <c r="K5" t="inlineStr">
        <is>
          <t>Navigational</t>
        </is>
      </c>
      <c r="L5" t="inlineStr">
        <is>
          <t>stride</t>
        </is>
      </c>
    </row>
    <row r="6">
      <c r="A6" s="7" t="inlineStr">
        <is>
          <t>Difficulty points (max)</t>
        </is>
      </c>
      <c r="B6" s="22" t="n">
        <v>25</v>
      </c>
      <c r="C6" s="23" t="inlineStr">
        <is>
          <t>Points for ease: KD 0 gets all of them, KD 100 gets none. A blank KD counts as 50.</t>
        </is>
      </c>
      <c r="D6" s="22" t="inlineStr">
        <is>
          <t>Category / collection</t>
        </is>
      </c>
      <c r="E6" s="24" t="inlineStr">
        <is>
          <t>No</t>
        </is>
      </c>
      <c r="F6" s="24" t="inlineStr">
        <is>
          <t>Yes</t>
        </is>
      </c>
      <c r="G6" s="24" t="inlineStr">
        <is>
          <t>Yes</t>
        </is>
      </c>
      <c r="H6" s="24" t="inlineStr">
        <is>
          <t>Partial</t>
        </is>
      </c>
      <c r="K6" t="inlineStr">
        <is>
          <t>Navigational</t>
        </is>
      </c>
      <c r="L6" t="inlineStr">
        <is>
          <t>stride and co</t>
        </is>
      </c>
    </row>
    <row r="7">
      <c r="A7" s="7" t="inlineStr">
        <is>
          <t>Volume that earns full volume points</t>
        </is>
      </c>
      <c r="B7" s="22" t="n">
        <v>5000</v>
      </c>
      <c r="C7" s="23" t="inlineStr">
        <is>
          <t>Keywords at or above this volume get all the volume points.</t>
        </is>
      </c>
      <c r="D7" s="22" t="inlineStr">
        <is>
          <t>Product / service page</t>
        </is>
      </c>
      <c r="E7" s="24" t="inlineStr">
        <is>
          <t>No</t>
        </is>
      </c>
      <c r="F7" s="24" t="inlineStr">
        <is>
          <t>Yes</t>
        </is>
      </c>
      <c r="G7" s="24" t="inlineStr">
        <is>
          <t>Yes</t>
        </is>
      </c>
      <c r="H7" s="24" t="inlineStr">
        <is>
          <t>Partial</t>
        </is>
      </c>
      <c r="K7" t="inlineStr">
        <is>
          <t>Navigational</t>
        </is>
      </c>
      <c r="L7" t="inlineStr">
        <is>
          <t>login</t>
        </is>
      </c>
    </row>
    <row r="8">
      <c r="D8" s="22" t="inlineStr">
        <is>
          <t>Comparison / review</t>
        </is>
      </c>
      <c r="E8" s="24" t="inlineStr">
        <is>
          <t>Partial</t>
        </is>
      </c>
      <c r="F8" s="24" t="inlineStr">
        <is>
          <t>Yes</t>
        </is>
      </c>
      <c r="G8" s="24" t="inlineStr">
        <is>
          <t>Partial</t>
        </is>
      </c>
      <c r="H8" s="24" t="inlineStr">
        <is>
          <t>No</t>
        </is>
      </c>
      <c r="K8" t="inlineStr">
        <is>
          <t>Navigational</t>
        </is>
      </c>
      <c r="L8" t="inlineStr">
        <is>
          <t>log in</t>
        </is>
      </c>
    </row>
    <row r="9">
      <c r="A9" s="6" t="inlineStr">
        <is>
          <t>Intent</t>
        </is>
      </c>
      <c r="B9" s="6" t="inlineStr">
        <is>
          <t>Priority points</t>
        </is>
      </c>
      <c r="D9" s="22" t="inlineStr">
        <is>
          <t>Blog post / guide</t>
        </is>
      </c>
      <c r="E9" s="24" t="inlineStr">
        <is>
          <t>Yes</t>
        </is>
      </c>
      <c r="F9" s="24" t="inlineStr">
        <is>
          <t>Partial</t>
        </is>
      </c>
      <c r="G9" s="24" t="inlineStr">
        <is>
          <t>No</t>
        </is>
      </c>
      <c r="H9" s="24" t="inlineStr">
        <is>
          <t>No</t>
        </is>
      </c>
      <c r="K9" t="inlineStr">
        <is>
          <t>Navigational</t>
        </is>
      </c>
      <c r="L9" t="inlineStr">
        <is>
          <t>sign in</t>
        </is>
      </c>
    </row>
    <row r="10">
      <c r="A10" s="7" t="inlineStr">
        <is>
          <t>Transactional</t>
        </is>
      </c>
      <c r="B10" s="25" t="n">
        <v>25</v>
      </c>
      <c r="D10" s="22" t="inlineStr">
        <is>
          <t>Glossary / definition</t>
        </is>
      </c>
      <c r="E10" s="24" t="inlineStr">
        <is>
          <t>Yes</t>
        </is>
      </c>
      <c r="F10" s="24" t="inlineStr">
        <is>
          <t>No</t>
        </is>
      </c>
      <c r="G10" s="24" t="inlineStr">
        <is>
          <t>No</t>
        </is>
      </c>
      <c r="H10" s="24" t="inlineStr">
        <is>
          <t>No</t>
        </is>
      </c>
      <c r="K10" t="inlineStr">
        <is>
          <t>Navigational</t>
        </is>
      </c>
      <c r="L10" t="inlineStr">
        <is>
          <t>my account</t>
        </is>
      </c>
    </row>
    <row r="11">
      <c r="A11" s="7" t="inlineStr">
        <is>
          <t>Commercial</t>
        </is>
      </c>
      <c r="B11" s="25" t="n">
        <v>20</v>
      </c>
      <c r="D11" s="22" t="inlineStr">
        <is>
          <t>Landing page</t>
        </is>
      </c>
      <c r="E11" s="24" t="inlineStr">
        <is>
          <t>No</t>
        </is>
      </c>
      <c r="F11" s="24" t="inlineStr">
        <is>
          <t>Yes</t>
        </is>
      </c>
      <c r="G11" s="24" t="inlineStr">
        <is>
          <t>Yes</t>
        </is>
      </c>
      <c r="H11" s="24" t="inlineStr">
        <is>
          <t>Yes</t>
        </is>
      </c>
      <c r="K11" t="inlineStr">
        <is>
          <t>Transactional</t>
        </is>
      </c>
      <c r="L11" t="inlineStr">
        <is>
          <t>buy</t>
        </is>
      </c>
    </row>
    <row r="12">
      <c r="A12" s="7" t="inlineStr">
        <is>
          <t>Informational</t>
        </is>
      </c>
      <c r="B12" s="25" t="n">
        <v>10</v>
      </c>
      <c r="D12" s="22" t="inlineStr">
        <is>
          <t>Store / location page</t>
        </is>
      </c>
      <c r="E12" s="24" t="inlineStr">
        <is>
          <t>No</t>
        </is>
      </c>
      <c r="F12" s="24" t="inlineStr">
        <is>
          <t>Partial</t>
        </is>
      </c>
      <c r="G12" s="24" t="inlineStr">
        <is>
          <t>Yes</t>
        </is>
      </c>
      <c r="H12" s="24" t="inlineStr">
        <is>
          <t>Yes</t>
        </is>
      </c>
      <c r="K12" t="inlineStr">
        <is>
          <t>Transactional</t>
        </is>
      </c>
      <c r="L12" t="inlineStr">
        <is>
          <t>price</t>
        </is>
      </c>
    </row>
    <row r="13">
      <c r="A13" s="7" t="inlineStr">
        <is>
          <t>Navigational</t>
        </is>
      </c>
      <c r="B13" s="25" t="n">
        <v>5</v>
      </c>
      <c r="D13" s="22" t="inlineStr">
        <is>
          <t>Support / docs</t>
        </is>
      </c>
      <c r="E13" s="24" t="inlineStr">
        <is>
          <t>Yes</t>
        </is>
      </c>
      <c r="F13" s="24" t="inlineStr">
        <is>
          <t>No</t>
        </is>
      </c>
      <c r="G13" s="24" t="inlineStr">
        <is>
          <t>No</t>
        </is>
      </c>
      <c r="H13" s="24" t="inlineStr">
        <is>
          <t>Yes</t>
        </is>
      </c>
      <c r="K13" t="inlineStr">
        <is>
          <t>Transactional</t>
        </is>
      </c>
      <c r="L13" t="inlineStr">
        <is>
          <t>prices</t>
        </is>
      </c>
    </row>
    <row r="14">
      <c r="A14" s="7" t="inlineStr">
        <is>
          <t>Unclassified</t>
        </is>
      </c>
      <c r="B14" s="25" t="n">
        <v>0</v>
      </c>
      <c r="D14" s="22" t="inlineStr">
        <is>
          <t>Tool / calculator</t>
        </is>
      </c>
      <c r="E14" s="24" t="inlineStr">
        <is>
          <t>Yes</t>
        </is>
      </c>
      <c r="F14" s="24" t="inlineStr">
        <is>
          <t>Partial</t>
        </is>
      </c>
      <c r="G14" s="24" t="inlineStr">
        <is>
          <t>Partial</t>
        </is>
      </c>
      <c r="H14" s="24" t="inlineStr">
        <is>
          <t>No</t>
        </is>
      </c>
      <c r="K14" t="inlineStr">
        <is>
          <t>Transactional</t>
        </is>
      </c>
      <c r="L14" t="inlineStr">
        <is>
          <t>pricing</t>
        </is>
      </c>
    </row>
    <row r="15">
      <c r="D15" s="22" t="inlineStr">
        <is>
          <t>About / company</t>
        </is>
      </c>
      <c r="E15" s="24" t="inlineStr">
        <is>
          <t>Partial</t>
        </is>
      </c>
      <c r="F15" s="24" t="inlineStr">
        <is>
          <t>No</t>
        </is>
      </c>
      <c r="G15" s="24" t="inlineStr">
        <is>
          <t>No</t>
        </is>
      </c>
      <c r="H15" s="24" t="inlineStr">
        <is>
          <t>Yes</t>
        </is>
      </c>
      <c r="K15" t="inlineStr">
        <is>
          <t>Transactional</t>
        </is>
      </c>
      <c r="L15" t="inlineStr">
        <is>
          <t>expensive</t>
        </is>
      </c>
    </row>
    <row r="16">
      <c r="D16" s="22" t="n"/>
      <c r="E16" s="24" t="n"/>
      <c r="F16" s="24" t="n"/>
      <c r="G16" s="24" t="n"/>
      <c r="H16" s="24" t="n"/>
      <c r="K16" t="inlineStr">
        <is>
          <t>Transactional</t>
        </is>
      </c>
      <c r="L16" t="inlineStr">
        <is>
          <t>recommendation</t>
        </is>
      </c>
    </row>
    <row r="17">
      <c r="K17" t="inlineStr">
        <is>
          <t>Transactional</t>
        </is>
      </c>
      <c r="L17" t="inlineStr">
        <is>
          <t>recommendations</t>
        </is>
      </c>
    </row>
    <row r="18">
      <c r="K18" t="inlineStr">
        <is>
          <t>Transactional</t>
        </is>
      </c>
      <c r="L18" t="inlineStr">
        <is>
          <t>recommended</t>
        </is>
      </c>
    </row>
    <row r="19">
      <c r="K19" t="inlineStr">
        <is>
          <t>Transactional</t>
        </is>
      </c>
      <c r="L19" t="inlineStr">
        <is>
          <t>near me</t>
        </is>
      </c>
    </row>
    <row r="20">
      <c r="K20" t="inlineStr">
        <is>
          <t>Transactional</t>
        </is>
      </c>
      <c r="L20" t="inlineStr">
        <is>
          <t>firm</t>
        </is>
      </c>
    </row>
    <row r="21">
      <c r="K21" t="inlineStr">
        <is>
          <t>Transactional</t>
        </is>
      </c>
      <c r="L21" t="inlineStr">
        <is>
          <t>coupon</t>
        </is>
      </c>
    </row>
    <row r="22">
      <c r="K22" t="inlineStr">
        <is>
          <t>Transactional</t>
        </is>
      </c>
      <c r="L22" t="inlineStr">
        <is>
          <t>coupons</t>
        </is>
      </c>
    </row>
    <row r="23">
      <c r="K23" t="inlineStr">
        <is>
          <t>Transactional</t>
        </is>
      </c>
      <c r="L23" t="inlineStr">
        <is>
          <t>coupon code</t>
        </is>
      </c>
    </row>
    <row r="24">
      <c r="K24" t="inlineStr">
        <is>
          <t>Transactional</t>
        </is>
      </c>
      <c r="L24" t="inlineStr">
        <is>
          <t>order</t>
        </is>
      </c>
    </row>
    <row r="25">
      <c r="K25" t="inlineStr">
        <is>
          <t>Transactional</t>
        </is>
      </c>
      <c r="L25" t="inlineStr">
        <is>
          <t>purchase</t>
        </is>
      </c>
    </row>
    <row r="26">
      <c r="K26" t="inlineStr">
        <is>
          <t>Transactional</t>
        </is>
      </c>
      <c r="L26" t="inlineStr">
        <is>
          <t>discount</t>
        </is>
      </c>
    </row>
    <row r="27">
      <c r="K27" t="inlineStr">
        <is>
          <t>Transactional</t>
        </is>
      </c>
      <c r="L27" t="inlineStr">
        <is>
          <t>deal</t>
        </is>
      </c>
    </row>
    <row r="28">
      <c r="K28" t="inlineStr">
        <is>
          <t>Transactional</t>
        </is>
      </c>
      <c r="L28" t="inlineStr">
        <is>
          <t>deals</t>
        </is>
      </c>
    </row>
    <row r="29">
      <c r="K29" t="inlineStr">
        <is>
          <t>Transactional</t>
        </is>
      </c>
      <c r="L29" t="inlineStr">
        <is>
          <t>free trial</t>
        </is>
      </c>
    </row>
    <row r="30">
      <c r="K30" t="inlineStr">
        <is>
          <t>Transactional</t>
        </is>
      </c>
      <c r="L30" t="inlineStr">
        <is>
          <t>demo</t>
        </is>
      </c>
    </row>
    <row r="31">
      <c r="K31" t="inlineStr">
        <is>
          <t>Transactional</t>
        </is>
      </c>
      <c r="L31" t="inlineStr">
        <is>
          <t>shop</t>
        </is>
      </c>
    </row>
    <row r="32">
      <c r="K32" t="inlineStr">
        <is>
          <t>Transactional</t>
        </is>
      </c>
      <c r="L32" t="inlineStr">
        <is>
          <t>sale</t>
        </is>
      </c>
    </row>
    <row r="33">
      <c r="K33" t="inlineStr">
        <is>
          <t>Commercial</t>
        </is>
      </c>
      <c r="L33" t="inlineStr">
        <is>
          <t>best</t>
        </is>
      </c>
    </row>
    <row r="34">
      <c r="K34" t="inlineStr">
        <is>
          <t>Commercial</t>
        </is>
      </c>
      <c r="L34" t="inlineStr">
        <is>
          <t>top</t>
        </is>
      </c>
    </row>
    <row r="35">
      <c r="K35" t="inlineStr">
        <is>
          <t>Commercial</t>
        </is>
      </c>
      <c r="L35" t="inlineStr">
        <is>
          <t>vs</t>
        </is>
      </c>
    </row>
    <row r="36">
      <c r="K36" t="inlineStr">
        <is>
          <t>Commercial</t>
        </is>
      </c>
      <c r="L36" t="inlineStr">
        <is>
          <t>versus</t>
        </is>
      </c>
    </row>
    <row r="37">
      <c r="K37" t="inlineStr">
        <is>
          <t>Commercial</t>
        </is>
      </c>
      <c r="L37" t="inlineStr">
        <is>
          <t>review</t>
        </is>
      </c>
    </row>
    <row r="38">
      <c r="K38" t="inlineStr">
        <is>
          <t>Commercial</t>
        </is>
      </c>
      <c r="L38" t="inlineStr">
        <is>
          <t>reviews</t>
        </is>
      </c>
    </row>
    <row r="39">
      <c r="K39" t="inlineStr">
        <is>
          <t>Commercial</t>
        </is>
      </c>
      <c r="L39" t="inlineStr">
        <is>
          <t>cheap</t>
        </is>
      </c>
    </row>
    <row r="40">
      <c r="K40" t="inlineStr">
        <is>
          <t>Commercial</t>
        </is>
      </c>
      <c r="L40" t="inlineStr">
        <is>
          <t>comparison</t>
        </is>
      </c>
    </row>
    <row r="41">
      <c r="K41" t="inlineStr">
        <is>
          <t>Commercial</t>
        </is>
      </c>
      <c r="L41" t="inlineStr">
        <is>
          <t>compare</t>
        </is>
      </c>
    </row>
    <row r="42">
      <c r="K42" t="inlineStr">
        <is>
          <t>Commercial</t>
        </is>
      </c>
      <c r="L42" t="inlineStr">
        <is>
          <t>alternative</t>
        </is>
      </c>
    </row>
    <row r="43">
      <c r="K43" t="inlineStr">
        <is>
          <t>Commercial</t>
        </is>
      </c>
      <c r="L43" t="inlineStr">
        <is>
          <t>alternatives</t>
        </is>
      </c>
    </row>
    <row r="44">
      <c r="K44" t="inlineStr">
        <is>
          <t>Informational</t>
        </is>
      </c>
      <c r="L44" t="inlineStr">
        <is>
          <t>how</t>
        </is>
      </c>
    </row>
    <row r="45">
      <c r="K45" t="inlineStr">
        <is>
          <t>Informational</t>
        </is>
      </c>
      <c r="L45" t="inlineStr">
        <is>
          <t>why</t>
        </is>
      </c>
    </row>
    <row r="46">
      <c r="K46" t="inlineStr">
        <is>
          <t>Informational</t>
        </is>
      </c>
      <c r="L46" t="inlineStr">
        <is>
          <t>what</t>
        </is>
      </c>
    </row>
    <row r="47">
      <c r="K47" t="inlineStr">
        <is>
          <t>Informational</t>
        </is>
      </c>
      <c r="L47" t="inlineStr">
        <is>
          <t>does</t>
        </is>
      </c>
    </row>
    <row r="48">
      <c r="K48" t="inlineStr">
        <is>
          <t>Informational</t>
        </is>
      </c>
      <c r="L48" t="inlineStr">
        <is>
          <t>which</t>
        </is>
      </c>
    </row>
    <row r="49">
      <c r="K49" t="inlineStr">
        <is>
          <t>Informational</t>
        </is>
      </c>
      <c r="L49" t="inlineStr">
        <is>
          <t>when</t>
        </is>
      </c>
    </row>
    <row r="50">
      <c r="K50" t="inlineStr">
        <is>
          <t>Informational</t>
        </is>
      </c>
      <c r="L50" t="inlineStr">
        <is>
          <t>who</t>
        </is>
      </c>
    </row>
    <row r="51">
      <c r="K51" t="inlineStr">
        <is>
          <t>Informational</t>
        </is>
      </c>
      <c r="L51" t="inlineStr">
        <is>
          <t>guide</t>
        </is>
      </c>
    </row>
    <row r="52">
      <c r="K52" t="inlineStr">
        <is>
          <t>Informational</t>
        </is>
      </c>
      <c r="L52" t="inlineStr">
        <is>
          <t>tutorial</t>
        </is>
      </c>
    </row>
    <row r="53">
      <c r="K53" t="inlineStr">
        <is>
          <t>Informational</t>
        </is>
      </c>
      <c r="L53" t="inlineStr">
        <is>
          <t>learn</t>
        </is>
      </c>
    </row>
    <row r="54">
      <c r="K54" t="inlineStr">
        <is>
          <t>Informational</t>
        </is>
      </c>
      <c r="L54" t="inlineStr">
        <is>
          <t>example</t>
        </is>
      </c>
    </row>
    <row r="55">
      <c r="K55" t="inlineStr">
        <is>
          <t>Informational</t>
        </is>
      </c>
      <c r="L55" t="inlineStr">
        <is>
          <t>examples</t>
        </is>
      </c>
    </row>
    <row r="56">
      <c r="K56" t="inlineStr">
        <is>
          <t>Informational</t>
        </is>
      </c>
      <c r="L56" t="inlineStr">
        <is>
          <t>resource</t>
        </is>
      </c>
    </row>
    <row r="57">
      <c r="K57" t="inlineStr">
        <is>
          <t>Informational</t>
        </is>
      </c>
      <c r="L57" t="inlineStr">
        <is>
          <t>resources</t>
        </is>
      </c>
    </row>
    <row r="58">
      <c r="K58" t="inlineStr">
        <is>
          <t>Informational</t>
        </is>
      </c>
      <c r="L58" t="inlineStr">
        <is>
          <t>ideas</t>
        </is>
      </c>
    </row>
    <row r="59">
      <c r="K59" t="inlineStr">
        <is>
          <t>Informational</t>
        </is>
      </c>
      <c r="L59" t="inlineStr">
        <is>
          <t>tips</t>
        </is>
      </c>
    </row>
    <row r="60">
      <c r="K60" t="inlineStr">
        <is>
          <t>Informational</t>
        </is>
      </c>
      <c r="L60" t="inlineStr">
        <is>
          <t>meaning</t>
        </is>
      </c>
    </row>
    <row r="61">
      <c r="K61" t="inlineStr">
        <is>
          <t>Informational</t>
        </is>
      </c>
      <c r="L61" t="inlineStr">
        <is>
          <t>definition</t>
        </is>
      </c>
    </row>
    <row r="126">
      <c r="K126" s="19" t="inlineStr">
        <is>
          <t>Add rows anywhere up to row 124. Matching is case-insensitive and whole-word ('top' won't match 'laptop').</t>
        </is>
      </c>
    </row>
  </sheetData>
  <conditionalFormatting sqref="K5:L124">
    <cfRule type="expression" priority="1" dxfId="0">
      <formula>AND($K5&lt;&gt;"",MOD(ROW(),2)=0)</formula>
    </cfRule>
  </conditionalFormatting>
  <dataValidations count="2">
    <dataValidation sqref="E5:H16" showDropDown="0" showInputMessage="0" showErrorMessage="1" allowBlank="1" type="list" errorStyle="stop">
      <formula1>"Yes,Partial,No"</formula1>
    </dataValidation>
    <dataValidation sqref="K5:K124" showDropDown="0" showInputMessage="0" showErrorMessage="1" allowBlank="1" type="list" errorStyle="stop">
      <formula1>"Informational,Commercial,Transactional,Navigational"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2026-10-24T10:49:29Z</dcterms:created>
  <dcterms:modified xsi:type="dcterms:W3CDTF">2026-10-24T10:49:29Z</dcterms:modified>
</cp:coreProperties>
</file>