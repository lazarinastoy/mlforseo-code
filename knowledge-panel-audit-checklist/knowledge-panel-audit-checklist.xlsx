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hecklist" sheetId="2" state="visible" r:id="rId2"/>
    <sheet xmlns:r="http://schemas.openxmlformats.org/officeDocument/2006/relationships" name="Fact sheet" sheetId="3" state="visible" r:id="rId3"/>
    <sheet xmlns:r="http://schemas.openxmlformats.org/officeDocument/2006/relationships" name="Brand SERP log" sheetId="4" state="visible" r:id="rId4"/>
    <sheet xmlns:r="http://schemas.openxmlformats.org/officeDocument/2006/relationships" name="KG lookup log" sheetId="5" state="visible" r:id="rId5"/>
    <sheet xmlns:r="http://schemas.openxmlformats.org/officeDocument/2006/relationships" name="Action plan" sheetId="6" state="visible" r:id="rId6"/>
    <sheet xmlns:r="http://schemas.openxmlformats.org/officeDocument/2006/relationships" name="Progress" sheetId="7" state="visible" r:id="rId7"/>
  </sheets>
  <definedNames>
    <definedName name="_xlnm._FilterDatabase" localSheetId="1" hidden="1">'Checklist'!$A$1:$L$52</definedName>
    <definedName name="_xlnm._FilterDatabase" localSheetId="3" hidden="1">'Brand SERP log'!$A$2:$J$302</definedName>
    <definedName name="_xlnm._FilterDatabase" localSheetId="4" hidden="1">'KG lookup log'!$A$2:$K$122</definedName>
    <definedName name="_xlnm._FilterDatabase" localSheetId="5" hidden="1">'Action plan'!$A$2:$I$22</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251046"/>
      <sz val="18"/>
    </font>
    <font>
      <name val="Arial"/>
      <color rgb="006B6480"/>
      <sz val="11"/>
    </font>
    <font>
      <name val="Arial"/>
      <b val="1"/>
      <color rgb="008448EF"/>
      <sz val="12"/>
    </font>
    <font>
      <name val="Arial"/>
      <color rgb="001A0B32"/>
      <sz val="10"/>
    </font>
    <font>
      <name val="Arial"/>
      <b val="1"/>
      <color rgb="001A0B32"/>
      <sz val="10"/>
    </font>
    <font>
      <name val="Arial"/>
      <color rgb="006B6480"/>
    </font>
    <font>
      <name val="Arial"/>
      <b val="1"/>
      <color rgb="004B2A99"/>
    </font>
    <font>
      <name val="Arial"/>
      <b val="1"/>
      <color rgb="001D6B3A"/>
    </font>
    <font>
      <name val="Arial"/>
      <color rgb="008A8A8A"/>
    </font>
    <font>
      <name val="Arial"/>
      <b val="1"/>
      <color rgb="00251046"/>
    </font>
    <font>
      <name val="Arial"/>
      <color rgb="008448EF"/>
      <sz val="10"/>
      <u val="single"/>
    </font>
    <font>
      <name val="Arial"/>
      <i val="1"/>
      <color rgb="006B6480"/>
      <sz val="9"/>
    </font>
    <font>
      <name val="Arial"/>
      <b val="1"/>
      <color rgb="00FFFFFF"/>
      <sz val="10"/>
    </font>
    <font>
      <name val="Arial"/>
      <i val="1"/>
      <color rgb="006B6480"/>
      <sz val="10"/>
    </font>
    <font>
      <name val="Arial"/>
      <color rgb="008448EF"/>
      <sz val="11"/>
    </font>
    <font>
      <name val="Arial"/>
      <b val="1"/>
      <color rgb="00251046"/>
      <sz val="12"/>
    </font>
    <font>
      <name val="Arial"/>
      <color rgb="008448EF"/>
      <sz val="10"/>
    </font>
  </fonts>
  <fills count="7">
    <fill>
      <patternFill/>
    </fill>
    <fill>
      <patternFill patternType="gray125"/>
    </fill>
    <fill>
      <patternFill patternType="solid">
        <fgColor rgb="00E6DCFB"/>
        <bgColor rgb="00E6DCFB"/>
      </patternFill>
    </fill>
    <fill>
      <patternFill patternType="solid">
        <fgColor rgb="00DDF3E4"/>
        <bgColor rgb="00DDF3E4"/>
      </patternFill>
    </fill>
    <fill>
      <patternFill patternType="solid">
        <fgColor rgb="00EEEEEE"/>
        <bgColor rgb="00EEEEEE"/>
      </patternFill>
    </fill>
    <fill>
      <patternFill patternType="solid">
        <fgColor rgb="00FFDE59"/>
        <bgColor rgb="00FFDE59"/>
      </patternFill>
    </fill>
    <fill>
      <patternFill patternType="solid">
        <fgColor rgb="00251046"/>
        <bgColor rgb="00251046"/>
      </patternFill>
    </fill>
  </fills>
  <borders count="2">
    <border>
      <left/>
      <right/>
      <top/>
      <bottom/>
      <diagonal/>
    </border>
    <border>
      <bottom style="thin">
        <color rgb="00DCD3F0"/>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vertical="top" wrapText="1"/>
    </xf>
    <xf numFmtId="0" fontId="8" fillId="3" borderId="0" applyAlignment="1" pivotButton="0" quotePrefix="0" xfId="0">
      <alignment vertical="top" wrapText="1"/>
    </xf>
    <xf numFmtId="0" fontId="9" fillId="4" borderId="0" applyAlignment="1" pivotButton="0" quotePrefix="0" xfId="0">
      <alignment vertical="top" wrapText="1"/>
    </xf>
    <xf numFmtId="0" fontId="10" fillId="5"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6" borderId="0" applyAlignment="1" pivotButton="0" quotePrefix="0" xfId="0">
      <alignment vertical="center"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11" fillId="0" borderId="1" applyAlignment="1" pivotButton="0" quotePrefix="0" xfId="0">
      <alignment vertical="top" wrapText="1"/>
    </xf>
    <xf numFmtId="0" fontId="14" fillId="0" borderId="1" applyAlignment="1" pivotButton="0" quotePrefix="0" xfId="0">
      <alignment vertical="top" wrapText="1"/>
    </xf>
    <xf numFmtId="0" fontId="1" fillId="0" borderId="0" pivotButton="0" quotePrefix="0" xfId="0"/>
    <xf numFmtId="0" fontId="12" fillId="0" borderId="0" pivotButton="0" quotePrefix="0" xfId="0"/>
    <xf numFmtId="0" fontId="5" fillId="0" borderId="0" pivotButton="0" quotePrefix="0" xfId="0"/>
    <xf numFmtId="0" fontId="4" fillId="0" borderId="0" applyAlignment="1" pivotButton="0" quotePrefix="0" xfId="0">
      <alignment horizontal="right"/>
    </xf>
    <xf numFmtId="9" fontId="3" fillId="0" borderId="0" pivotButton="0" quotePrefix="0" xfId="0"/>
    <xf numFmtId="0" fontId="15" fillId="0" borderId="0" pivotButton="0" quotePrefix="0" xfId="0"/>
    <xf numFmtId="0" fontId="16" fillId="5" borderId="0" pivotButton="0" quotePrefix="0" xfId="0"/>
    <xf numFmtId="9" fontId="4" fillId="0" borderId="0" applyAlignment="1" pivotButton="0" quotePrefix="0" xfId="0">
      <alignment horizontal="right"/>
    </xf>
    <xf numFmtId="0" fontId="17" fillId="0" borderId="0" pivotButton="0" quotePrefix="0" xfId="0"/>
    <xf numFmtId="0" fontId="13" fillId="6" borderId="0" pivotButton="0" quotePrefix="0" xfId="0"/>
    <xf numFmtId="0" fontId="3" fillId="0" borderId="0" pivotButton="0" quotePrefix="0" xfId="0"/>
  </cellXfs>
  <cellStyles count="1">
    <cellStyle name="Normal" xfId="0" builtinId="0" hidden="0"/>
  </cellStyles>
  <dxfs count="7">
    <dxf>
      <font>
        <name val="Arial"/>
        <b val="1"/>
        <color rgb="001D6B3A"/>
      </font>
      <fill>
        <patternFill patternType="solid">
          <fgColor rgb="00DDF3E4"/>
          <bgColor rgb="00DDF3E4"/>
        </patternFill>
      </fill>
    </dxf>
    <dxf>
      <font>
        <name val="Arial"/>
        <b val="1"/>
        <color rgb="004B2A99"/>
      </font>
      <fill>
        <patternFill patternType="solid">
          <fgColor rgb="00E6DCFB"/>
          <bgColor rgb="00E6DCFB"/>
        </patternFill>
      </fill>
    </dxf>
    <dxf>
      <font>
        <name val="Arial"/>
        <b val="1"/>
        <color rgb="008A8A8A"/>
      </font>
      <fill>
        <patternFill patternType="solid">
          <fgColor rgb="00EEEEEE"/>
          <bgColor rgb="00EEEEEE"/>
        </patternFill>
      </fill>
    </dxf>
    <dxf>
      <font>
        <name val="Arial"/>
        <color rgb="006B6480"/>
      </font>
    </dxf>
    <dxf>
      <font>
        <name val="Arial"/>
        <b val="1"/>
        <color rgb="00251046"/>
      </font>
      <fill>
        <patternFill patternType="solid">
          <fgColor rgb="00FFDE59"/>
          <bgColor rgb="00FFDE59"/>
        </patternFill>
      </fill>
    </dxf>
    <dxf>
      <fill>
        <patternFill patternType="solid">
          <fgColor rgb="00F4F0FD"/>
          <bgColor rgb="00F4F0FD"/>
        </patternFill>
      </fill>
    </dxf>
    <dxf>
      <font>
        <name val="Arial"/>
        <b val="1"/>
        <color rgb="009B1C1C"/>
      </font>
      <fill>
        <patternFill patternType="solid">
          <fgColor rgb="00FDE2E2"/>
          <bgColor rgb="00FD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448EF"/>
    <outlinePr summaryBelow="1" summaryRight="1"/>
    <pageSetUpPr fitToPage="1"/>
  </sheetPr>
  <dimension ref="B2:C52"/>
  <sheetViews>
    <sheetView showGridLines="0" workbookViewId="0">
      <selection activeCell="A1" sqref="A1"/>
    </sheetView>
  </sheetViews>
  <sheetFormatPr baseColWidth="8" defaultRowHeight="15"/>
  <cols>
    <col width="3" customWidth="1" min="1" max="1"/>
    <col width="26" customWidth="1" min="2" max="2"/>
    <col width="92" customWidth="1" min="3" max="3"/>
  </cols>
  <sheetData>
    <row r="2" ht="30" customHeight="1">
      <c r="B2" s="1" t="inlineStr">
        <is>
          <t>Knowledge Panel &amp; Brand SERP Audit Checklist</t>
        </is>
      </c>
    </row>
    <row r="3" ht="36" customHeight="1">
      <c r="B3" s="2" t="inlineStr">
        <is>
          <t>A step-by-step audit of your Google knowledge panel eligibility and brand SERP, ending with a prioritised action plan. Free from MLforSEO, October 2026.</t>
        </is>
      </c>
    </row>
    <row r="5" ht="22" customHeight="1">
      <c r="B5" s="3" t="inlineStr">
        <is>
          <t>What this is</t>
        </is>
      </c>
    </row>
    <row r="6" ht="79" customHeight="1">
      <c r="B6" s="4" t="inlineStr">
        <is>
          <t>Knowledge panels aren't something you apply for. Google generates them automatically when its Knowledge Graph holds enough consistent, verifiable information about an entity, and the same signals help AI assistants describe you correctly. This workbook walks you through 36 checks: what page one shows for your brand today, whether Google's Knowledge Graph recognises you, your Wikidata status, your own markup, cross-platform consistency, independent corroboration, claiming and managing a panel, and monitoring.</t>
        </is>
      </c>
    </row>
    <row r="7" ht="34" customHeight="1">
      <c r="B7" s="4" t="inlineStr">
        <is>
          <t>It works for organisations and for people (founders, authors, consultants). Where a check says Organization, read Person or ProfilePage if you're auditing a person.</t>
        </is>
      </c>
    </row>
    <row r="9" ht="22" customHeight="1">
      <c r="B9" s="3" t="inlineStr">
        <is>
          <t>How to use it</t>
        </is>
      </c>
    </row>
    <row r="10" ht="19" customHeight="1">
      <c r="B10" s="5" t="inlineStr">
        <is>
          <t>Step 1</t>
        </is>
      </c>
      <c r="C10" s="4" t="inlineStr">
        <is>
          <t>Make your own copy (File &gt; Make a copy in Google Sheets).</t>
        </is>
      </c>
    </row>
    <row r="11" ht="34" customHeight="1">
      <c r="B11" s="5" t="inlineStr">
        <is>
          <t>Step 2</t>
        </is>
      </c>
      <c r="C11" s="4" t="inlineStr">
        <is>
          <t>Start with the Fact sheet tab: write the canonical version of each fact in column B. Everything else is compared against it.</t>
        </is>
      </c>
    </row>
    <row r="12" ht="34" customHeight="1">
      <c r="B12" s="5" t="inlineStr">
        <is>
          <t>Step 3</t>
        </is>
      </c>
      <c r="C12" s="4" t="inlineStr">
        <is>
          <t>Work through the Checklist tab in order. Log what you find in the Brand SERP log and KG lookup log tabs as the checks ask.</t>
        </is>
      </c>
    </row>
    <row r="13" ht="34" customHeight="1">
      <c r="B13" s="5" t="inlineStr">
        <is>
          <t>Step 4</t>
        </is>
      </c>
      <c r="C13" s="4" t="inlineStr">
        <is>
          <t>Fill in the platform columns of the Fact sheet. Any cell that differs from column B turns red.</t>
        </is>
      </c>
    </row>
    <row r="14" ht="34" customHeight="1">
      <c r="B14" s="5" t="inlineStr">
        <is>
          <t>Step 5</t>
        </is>
      </c>
      <c r="C14" s="4" t="inlineStr">
        <is>
          <t>Turn findings into the Action plan tab. Its order (own site first, then profiles, then panel claim, Wikidata and coverage) is the sequence we recommend.</t>
        </is>
      </c>
    </row>
    <row r="15" ht="34" customHeight="1">
      <c r="B15" s="5" t="inlineStr">
        <is>
          <t>Step 6</t>
        </is>
      </c>
      <c r="C15" s="4" t="inlineStr">
        <is>
          <t>Check the Progress tab for completion, owned share of page one and fact mismatches. Repeat monthly and quarterly (area 8).</t>
        </is>
      </c>
    </row>
    <row r="17" ht="22" customHeight="1">
      <c r="B17" s="3" t="inlineStr">
        <is>
          <t>Tabs</t>
        </is>
      </c>
    </row>
    <row r="18" ht="34" customHeight="1">
      <c r="B18" s="5" t="inlineStr">
        <is>
          <t>Checklist</t>
        </is>
      </c>
      <c r="C18" s="4" t="inlineStr">
        <is>
          <t>36 checks with why each matters, how to check it, priority, evidence level, status, owner, notes and links.</t>
        </is>
      </c>
    </row>
    <row r="19" ht="34" customHeight="1">
      <c r="B19" s="5" t="inlineStr">
        <is>
          <t>Fact sheet</t>
        </is>
      </c>
      <c r="C19" s="4" t="inlineStr">
        <is>
          <t>Your single source of truth, compared across nine platforms. Mismatches turn red and are counted.</t>
        </is>
      </c>
    </row>
    <row r="20" ht="19" customHeight="1">
      <c r="B20" s="5" t="inlineStr">
        <is>
          <t>Brand SERP log</t>
        </is>
      </c>
      <c r="C20" s="4" t="inlineStr">
        <is>
          <t>One row per result on page one for each brand query you test.</t>
        </is>
      </c>
    </row>
    <row r="21" ht="34" customHeight="1">
      <c r="B21" s="5" t="inlineStr">
        <is>
          <t>KG lookup log</t>
        </is>
      </c>
      <c r="C21" s="4" t="inlineStr">
        <is>
          <t>Dated Knowledge Graph Search API results: ID, name, type, description, resultScore and panel status.</t>
        </is>
      </c>
    </row>
    <row r="22" ht="19" customHeight="1">
      <c r="B22" s="5" t="inlineStr">
        <is>
          <t>Action plan</t>
        </is>
      </c>
      <c r="C22" s="4" t="inlineStr">
        <is>
          <t>The prioritised sequence of fixes, with owners, dates and status.</t>
        </is>
      </c>
    </row>
    <row r="23" ht="34" customHeight="1">
      <c r="B23" s="5" t="inlineStr">
        <is>
          <t>Progress</t>
        </is>
      </c>
      <c r="C23" s="4" t="inlineStr">
        <is>
          <t>Checklist completion by area and priority, plus brand SERP and fact-sheet summaries.</t>
        </is>
      </c>
    </row>
    <row r="25" ht="22" customHeight="1">
      <c r="B25" s="3" t="inlineStr">
        <is>
          <t>Status</t>
        </is>
      </c>
    </row>
    <row r="26" ht="19" customHeight="1">
      <c r="B26" s="6" t="inlineStr">
        <is>
          <t>Not started</t>
        </is>
      </c>
      <c r="C26" s="4" t="inlineStr">
        <is>
          <t>Default for every check.</t>
        </is>
      </c>
    </row>
    <row r="27" ht="19" customHeight="1">
      <c r="B27" s="7" t="inlineStr">
        <is>
          <t>In progress</t>
        </is>
      </c>
      <c r="C27" s="4" t="inlineStr">
        <is>
          <t>Someone is working on it.</t>
        </is>
      </c>
    </row>
    <row r="28" ht="19" customHeight="1">
      <c r="B28" s="8" t="inlineStr">
        <is>
          <t>Done</t>
        </is>
      </c>
      <c r="C28" s="4" t="inlineStr">
        <is>
          <t>Checked, and fixed if it needed fixing.</t>
        </is>
      </c>
    </row>
    <row r="29" ht="19" customHeight="1">
      <c r="B29" s="9" t="inlineStr">
        <is>
          <t>N/A</t>
        </is>
      </c>
      <c r="C29" s="4" t="inlineStr">
        <is>
          <t>Does not apply to this site. N/A rows are left out of the % complete.</t>
        </is>
      </c>
    </row>
    <row r="31" ht="22" customHeight="1">
      <c r="B31" s="3" t="inlineStr">
        <is>
          <t>Priority</t>
        </is>
      </c>
    </row>
    <row r="32" ht="19" customHeight="1">
      <c r="B32" s="10" t="inlineStr">
        <is>
          <t>High</t>
        </is>
      </c>
      <c r="C32" s="4" t="inlineStr">
        <is>
          <t>Fix first. Contradictions, misidentification or missing foundations.</t>
        </is>
      </c>
    </row>
    <row r="33" ht="19" customHeight="1">
      <c r="B33" s="5" t="inlineStr">
        <is>
          <t>Medium</t>
        </is>
      </c>
      <c r="C33" s="4" t="inlineStr">
        <is>
          <t>Do next. Strengthens recognition and corroboration.</t>
        </is>
      </c>
    </row>
    <row r="34" ht="19" customHeight="1">
      <c r="B34" s="6" t="inlineStr">
        <is>
          <t>Low</t>
        </is>
      </c>
      <c r="C34" s="4" t="inlineStr">
        <is>
          <t>Monitor, or nice to have.</t>
        </is>
      </c>
    </row>
    <row r="36" ht="22" customHeight="1">
      <c r="B36" s="3" t="inlineStr">
        <is>
          <t>Evidence levels</t>
        </is>
      </c>
    </row>
    <row r="37" ht="19" customHeight="1">
      <c r="B37" s="5" t="inlineStr">
        <is>
          <t>Google-documented</t>
        </is>
      </c>
      <c r="C37" s="4" t="inlineStr">
        <is>
          <t>Stated in Google Search Central or Google Help documentation.</t>
        </is>
      </c>
    </row>
    <row r="38" ht="34" customHeight="1">
      <c r="B38" s="5" t="inlineStr">
        <is>
          <t>Platform-documented</t>
        </is>
      </c>
      <c r="C38" s="4" t="inlineStr">
        <is>
          <t>Stated in another platform's own documentation (OpenAI, Anthropic, Perplexity, Microsoft Bing, Apple, Meta, Wikidata / Wikimedia, schema.org).</t>
        </is>
      </c>
    </row>
    <row r="39" ht="34" customHeight="1">
      <c r="B39" s="5" t="inlineStr">
        <is>
          <t>Research-backed</t>
        </is>
      </c>
      <c r="C39" s="4" t="inlineStr">
        <is>
          <t>Supported by published research or a large public dataset. Results come from specific test conditions and may not carry over to every site.</t>
        </is>
      </c>
    </row>
    <row r="40" ht="34" customHeight="1">
      <c r="B40" s="5" t="inlineStr">
        <is>
          <t>MLforSEO practice</t>
        </is>
      </c>
      <c r="C40" s="4" t="inlineStr">
        <is>
          <t>What we teach in MLforSEO courses and use in audits, based on how retrieval and entity systems work. Sensible and low-risk, but not confirmed by the platforms.</t>
        </is>
      </c>
    </row>
    <row r="41" ht="19" customHeight="1">
      <c r="B41" s="5" t="inlineStr">
        <is>
          <t>Unconfirmed (optional)</t>
        </is>
      </c>
      <c r="C41" s="4" t="inlineStr">
        <is>
          <t>A cheap extra that no major platform has confirmed using. Do it last, if at all.</t>
        </is>
      </c>
    </row>
    <row r="43" ht="22" customHeight="1">
      <c r="B43" s="3" t="inlineStr">
        <is>
          <t>Realistic expectations</t>
        </is>
      </c>
    </row>
    <row r="44" ht="64" customHeight="1">
      <c r="B44" s="4" t="inlineStr">
        <is>
          <t>Google doesn't publish a threshold for showing a panel, and it can't be bought or requested. In MLforSEO's experience it takes six to eighteen months of consistent signals for most brands, faster if you already have strong press coverage. The same work makes you easier for AI assistants to recognise and describe accurately, so it pays off even before a panel appears.</t>
        </is>
      </c>
    </row>
    <row r="46" ht="22" customHeight="1">
      <c r="B46" s="3" t="inlineStr">
        <is>
          <t>Credits</t>
        </is>
      </c>
    </row>
    <row r="47" ht="19" customHeight="1">
      <c r="B47" s="5" t="inlineStr">
        <is>
          <t>Created by</t>
        </is>
      </c>
      <c r="C47" s="11">
        <f>HYPERLINK("https://www.mlforseo.com/experts/lazarina-stoy/","Lazarina Stoy · MLforSEO")</f>
        <v/>
      </c>
    </row>
    <row r="48" ht="19" customHeight="1">
      <c r="B48" s="5" t="inlineStr">
        <is>
          <t>Built on</t>
        </is>
      </c>
      <c r="C48" s="11">
        <f>HYPERLINK("https://www.mlforseo.com/experts/beatrice-gamba/","Beatrice Gamba's entity SEO articles on MLforSEO")</f>
        <v/>
      </c>
    </row>
    <row r="49" ht="19" customHeight="1">
      <c r="B49" s="5" t="inlineStr">
        <is>
          <t>Read first</t>
        </is>
      </c>
      <c r="C49" s="11">
        <f>HYPERLINK("https://www.mlforseo.com/knowledge-graph-strategy/what-it-takes-to-earn-a-google-knowledge-panel/","What it takes to earn a Google knowledge panel")</f>
        <v/>
      </c>
    </row>
    <row r="50" ht="19" customHeight="1">
      <c r="B50" s="5" t="inlineStr">
        <is>
          <t>Go deeper</t>
        </is>
      </c>
      <c r="C50" s="11">
        <f>HYPERLINK("https://www.mlforseo.com/courses/ai-search-llms-entity-seo-and-knowledge-graph-strategies-for-brands/","AI Search &amp; LLMs: Entity SEO and Knowledge Graph Strategies for Brands")</f>
        <v/>
      </c>
    </row>
    <row r="51" ht="19" customHeight="1">
      <c r="B51" s="5" t="inlineStr">
        <is>
          <t>Source files</t>
        </is>
      </c>
      <c r="C51" s="11">
        <f>HYPERLINK("https://github.com/lazarinastoy/mlforseo-code/tree/main/knowledge-panel-audit-checklist","GitHub: lazarinastoy/mlforseo-code")</f>
        <v/>
      </c>
    </row>
    <row r="52" ht="18" customHeight="1">
      <c r="B52" s="12" t="inlineStr">
        <is>
          <t>Version 1.0, October 2026. Free to use and adapt (MIT licence); please keep the credit.</t>
        </is>
      </c>
    </row>
  </sheetData>
  <mergeCells count="14">
    <mergeCell ref="B6:C6"/>
    <mergeCell ref="B44:C44"/>
    <mergeCell ref="B2:C2"/>
    <mergeCell ref="B52:C52"/>
    <mergeCell ref="B7:C7"/>
    <mergeCell ref="B25:C25"/>
    <mergeCell ref="B3:C3"/>
    <mergeCell ref="B5:C5"/>
    <mergeCell ref="B46:C46"/>
    <mergeCell ref="B36:C36"/>
    <mergeCell ref="B31:C31"/>
    <mergeCell ref="B17:C17"/>
    <mergeCell ref="B9:C9"/>
    <mergeCell ref="B43:C43"/>
  </mergeCells>
  <printOptions gridLines="0"/>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L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44" customWidth="1" min="3" max="3"/>
    <col width="46" customWidth="1" min="4" max="4"/>
    <col width="46" customWidth="1" min="5" max="5"/>
    <col width="10" customWidth="1" min="6" max="6"/>
    <col width="17" customWidth="1" min="7" max="7"/>
    <col width="13" customWidth="1" min="8" max="8"/>
    <col width="13" customWidth="1" min="9" max="9"/>
    <col width="28" customWidth="1" min="10" max="10"/>
    <col width="30" customWidth="1" min="11" max="11"/>
    <col width="30" customWidth="1" min="12" max="12"/>
  </cols>
  <sheetData>
    <row r="1" ht="30" customHeight="1">
      <c r="A1" s="13" t="inlineStr">
        <is>
          <t>ID</t>
        </is>
      </c>
      <c r="B1" s="13" t="inlineStr">
        <is>
          <t>Area</t>
        </is>
      </c>
      <c r="C1" s="13" t="inlineStr">
        <is>
          <t>Check</t>
        </is>
      </c>
      <c r="D1" s="13" t="inlineStr">
        <is>
          <t>Why it matters</t>
        </is>
      </c>
      <c r="E1" s="13" t="inlineStr">
        <is>
          <t>How to check (tool / where)</t>
        </is>
      </c>
      <c r="F1" s="13" t="inlineStr">
        <is>
          <t>Priority</t>
        </is>
      </c>
      <c r="G1" s="13" t="inlineStr">
        <is>
          <t>Evidence</t>
        </is>
      </c>
      <c r="H1" s="13" t="inlineStr">
        <is>
          <t>Status</t>
        </is>
      </c>
      <c r="I1" s="13" t="inlineStr">
        <is>
          <t>Owner</t>
        </is>
      </c>
      <c r="J1" s="13" t="inlineStr">
        <is>
          <t>Notes</t>
        </is>
      </c>
      <c r="K1" s="13" t="inlineStr">
        <is>
          <t>Learn more</t>
        </is>
      </c>
      <c r="L1" s="13" t="inlineStr">
        <is>
          <t>Official source</t>
        </is>
      </c>
    </row>
    <row r="2" ht="81" customHeight="1">
      <c r="A2" s="14" t="inlineStr">
        <is>
          <t>K01</t>
        </is>
      </c>
      <c r="B2" s="15" t="inlineStr">
        <is>
          <t>1. Brand SERP baseline</t>
        </is>
      </c>
      <c r="C2" s="16" t="inlineStr">
        <is>
          <t>Capture page one for your exact brand name, on desktop and mobile</t>
        </is>
      </c>
      <c r="D2" s="15" t="inlineStr">
        <is>
          <t>Your brand SERP is what people (and AI systems summarising the web) see when they look you up. You need a dated baseline before changing anything.</t>
        </is>
      </c>
      <c r="E2" s="15" t="inlineStr">
        <is>
          <t>Search your brand name in a private window, set to your main country and language. Screenshot page one on desktop and mobile, then log each result in the 'Brand SERP log' tab.</t>
        </is>
      </c>
      <c r="F2" s="14" t="inlineStr">
        <is>
          <t>High</t>
        </is>
      </c>
      <c r="G2" s="15" t="inlineStr">
        <is>
          <t>MLforSEO practice</t>
        </is>
      </c>
      <c r="H2" s="14" t="inlineStr">
        <is>
          <t>Not started</t>
        </is>
      </c>
      <c r="I2" s="15" t="inlineStr"/>
      <c r="J2" s="15" t="inlineStr"/>
      <c r="K2" s="17">
        <f>HYPERLINK("https://www.mlforseo.com/knowledge-graph-strategy/what-it-takes-to-earn-a-google-knowledge-panel/","What it takes to earn a Google knowledge panel")</f>
        <v/>
      </c>
      <c r="L2" s="15" t="inlineStr"/>
    </row>
    <row r="3" ht="66" customHeight="1">
      <c r="A3" s="14" t="inlineStr">
        <is>
          <t>K02</t>
        </is>
      </c>
      <c r="B3" s="15" t="inlineStr">
        <is>
          <t>1. Brand SERP baseline</t>
        </is>
      </c>
      <c r="C3" s="16" t="inlineStr">
        <is>
          <t>Record which results you own or control</t>
        </is>
      </c>
      <c r="D3" s="15" t="inlineStr">
        <is>
          <t>Owned pages and official profiles are results you can keep accurate. Third-party results show how others describe you, for better or worse.</t>
        </is>
      </c>
      <c r="E3" s="15" t="inlineStr">
        <is>
          <t>In the Brand SERP log, mark each result as Owned site, Official profile, Third party (positive / neutral / negative) or Namesake. The Progress tab shows your owned share.</t>
        </is>
      </c>
      <c r="F3" s="14" t="inlineStr">
        <is>
          <t>Medium</t>
        </is>
      </c>
      <c r="G3" s="15" t="inlineStr">
        <is>
          <t>MLforSEO practice</t>
        </is>
      </c>
      <c r="H3" s="14" t="inlineStr">
        <is>
          <t>Not started</t>
        </is>
      </c>
      <c r="I3" s="15" t="inlineStr"/>
      <c r="J3" s="15" t="inlineStr"/>
      <c r="K3" s="17">
        <f>HYPERLINK("https://www.mlforseo.com/knowledge-graph-strategy/what-it-takes-to-earn-a-google-knowledge-panel/","What it takes to earn a Google knowledge panel")</f>
        <v/>
      </c>
      <c r="L3" s="15" t="inlineStr"/>
    </row>
    <row r="4" ht="141" customHeight="1">
      <c r="A4" s="14" t="inlineStr">
        <is>
          <t>K03</t>
        </is>
      </c>
      <c r="B4" s="15" t="inlineStr">
        <is>
          <t>1. Brand SERP baseline</t>
        </is>
      </c>
      <c r="C4" s="16" t="inlineStr">
        <is>
          <t>Note which SERP features appear for your brand query and which kind of panel it is</t>
        </is>
      </c>
      <c r="D4" s="15" t="inlineStr">
        <is>
          <t>A knowledge panel (an entity in Google's Knowledge Graph) and a Business Profile (a local business listing) look alike but are managed in different ways. Sitelinks, AI Overviews, videos and People Also Ask also shape the page.</t>
        </is>
      </c>
      <c r="E4" s="15" t="inlineStr">
        <is>
          <t>List every feature on page one: knowledge panel, Business Profile, sitelinks, AI Overview, People Also Ask, Top stories, videos, images, social posts, reviews. Entity panels usually carry a short description (often sourced from a site such as Wikipedia) and may offer 'Claim this knowledge panel'; a panel with hours, directions and reviews is usually a Business Profile.</t>
        </is>
      </c>
      <c r="F4" s="14" t="inlineStr">
        <is>
          <t>Medium</t>
        </is>
      </c>
      <c r="G4" s="15" t="inlineStr">
        <is>
          <t>Google-documented</t>
        </is>
      </c>
      <c r="H4" s="14" t="inlineStr">
        <is>
          <t>Not started</t>
        </is>
      </c>
      <c r="I4" s="15" t="inlineStr"/>
      <c r="J4" s="15" t="inlineStr"/>
      <c r="K4" s="17">
        <f>HYPERLINK("https://www.mlforseo.com/knowledge-graph-strategy/what-it-takes-to-earn-a-google-knowledge-panel/","What it takes to earn a Google knowledge panel")</f>
        <v/>
      </c>
      <c r="L4" s="17">
        <f>HYPERLINK("https://support.google.com/knowledgepanel/answer/9163198","Google Help: about knowledge panels")</f>
        <v/>
      </c>
    </row>
    <row r="5" ht="66" customHeight="1">
      <c r="A5" s="14" t="inlineStr">
        <is>
          <t>K04</t>
        </is>
      </c>
      <c r="B5" s="15" t="inlineStr">
        <is>
          <t>1. Brand SERP baseline</t>
        </is>
      </c>
      <c r="C5" s="16" t="inlineStr">
        <is>
          <t>Check the brand + modifier searches people actually run</t>
        </is>
      </c>
      <c r="D5" s="15" t="inlineStr">
        <is>
          <t>Searches like '[brand] reviews', '[brand] pricing', '[brand] vs [competitor]' and '[founder name]' are where wrong or negative information tends to surface.</t>
        </is>
      </c>
      <c r="E5" s="15" t="inlineStr">
        <is>
          <t>Pull branded queries from Search Console (filter queries containing the brand). Search the top five modifiers and log anything inaccurate or unowned.</t>
        </is>
      </c>
      <c r="F5" s="14" t="inlineStr">
        <is>
          <t>Medium</t>
        </is>
      </c>
      <c r="G5" s="15" t="inlineStr">
        <is>
          <t>MLforSEO practice</t>
        </is>
      </c>
      <c r="H5" s="14" t="inlineStr">
        <is>
          <t>Not started</t>
        </is>
      </c>
      <c r="I5" s="15" t="inlineStr"/>
      <c r="J5" s="15" t="inlineStr"/>
      <c r="K5" s="17">
        <f>HYPERLINK("https://www.mlforseo.com/knowledge-graph-strategy/what-it-takes-to-earn-a-google-knowledge-panel/","What it takes to earn a Google knowledge panel")</f>
        <v/>
      </c>
      <c r="L5" s="15" t="inlineStr"/>
    </row>
    <row r="6" ht="81" customHeight="1">
      <c r="A6" s="14" t="inlineStr">
        <is>
          <t>K05</t>
        </is>
      </c>
      <c r="B6" s="15" t="inlineStr">
        <is>
          <t>1. Brand SERP baseline</t>
        </is>
      </c>
      <c r="C6" s="16" t="inlineStr">
        <is>
          <t>Ask AI assistants who you are and compare the answer with your canonical facts</t>
        </is>
      </c>
      <c r="D6" s="15" t="inlineStr">
        <is>
          <t>AI answers draw on the same records as your knowledge panel. Wrong founding dates, products or locations point to the sources you need to correct.</t>
        </is>
      </c>
      <c r="E6" s="15" t="inlineStr">
        <is>
          <t>Ask 'What is [brand]?' and 'Who founded [brand]?' in Google AI Mode, Gemini, ChatGPT and Perplexity. Compare against the Fact sheet tab and note every mismatch and the source cited.</t>
        </is>
      </c>
      <c r="F6" s="14" t="inlineStr">
        <is>
          <t>High</t>
        </is>
      </c>
      <c r="G6" s="15" t="inlineStr">
        <is>
          <t>MLforSEO practice</t>
        </is>
      </c>
      <c r="H6" s="14" t="inlineStr">
        <is>
          <t>Not started</t>
        </is>
      </c>
      <c r="I6" s="15" t="inlineStr"/>
      <c r="J6" s="15" t="inlineStr"/>
      <c r="K6" s="17">
        <f>HYPERLINK("https://www.mlforseo.com/machine-learning-implementation-guides/ai-search-optimisation/trust-is-not-a-schema-field/","Trust isn't a schema field")</f>
        <v/>
      </c>
      <c r="L6" s="15" t="inlineStr"/>
    </row>
    <row r="7" ht="141" customHeight="1">
      <c r="A7" s="14" t="inlineStr">
        <is>
          <t>K06</t>
        </is>
      </c>
      <c r="B7" s="15" t="inlineStr">
        <is>
          <t>2. Knowledge Graph status</t>
        </is>
      </c>
      <c r="C7" s="16" t="inlineStr">
        <is>
          <t>Look up your brand (and founder) in the Knowledge Graph Search API</t>
        </is>
      </c>
      <c r="D7" s="15" t="inlineStr">
        <is>
          <t>The API shows whether Google's Knowledge Graph holds an entity for your name, its machine ID (kg:/m/... or kg:/g/...), type and description. No entity means a recognition problem comes before anything else.</t>
        </is>
      </c>
      <c r="E7" s="15" t="inlineStr">
        <is>
          <t>Use the API Explorer on Google's Knowledge Graph Search API page or the MLforSEO Knowledge Graph API notebook with your own API key. Log the ID, name, @type, description and resultScore in the 'KG lookup log' tab. Google now points new projects to Cloud Enterprise Knowledge Graph and says this API isn't for production-critical use; it is fine for audits.</t>
        </is>
      </c>
      <c r="F7" s="14" t="inlineStr">
        <is>
          <t>High</t>
        </is>
      </c>
      <c r="G7" s="15" t="inlineStr">
        <is>
          <t>Google-documented</t>
        </is>
      </c>
      <c r="H7" s="14" t="inlineStr">
        <is>
          <t>Not started</t>
        </is>
      </c>
      <c r="I7" s="15" t="inlineStr"/>
      <c r="J7" s="15" t="inlineStr"/>
      <c r="K7" s="17">
        <f>HYPERLINK("https://www.mlforseo.com/resource/knowledge-graph-api-extraction-and-entity-relationship-analysis-for-semantic-keyword-research-notebook/","Knowledge Graph API notebook")</f>
        <v/>
      </c>
      <c r="L7" s="17">
        <f>HYPERLINK("https://developers.google.com/knowledge-graph","Google: Knowledge Graph Search API")</f>
        <v/>
      </c>
    </row>
    <row r="8" ht="81" customHeight="1">
      <c r="A8" s="14" t="inlineStr">
        <is>
          <t>K07</t>
        </is>
      </c>
      <c r="B8" s="15" t="inlineStr">
        <is>
          <t>2. Knowledge Graph status</t>
        </is>
      </c>
      <c r="C8" s="16" t="inlineStr">
        <is>
          <t>Confirm the entity returned is you, not a namesake</t>
        </is>
      </c>
      <c r="D8" s="15" t="inlineStr">
        <is>
          <t>If a famous person, place or another company with the same name comes back first, you have a disambiguation problem, and AI systems may attribute your content to the wrong entity.</t>
        </is>
      </c>
      <c r="E8" s="15" t="inlineStr">
        <is>
          <t>Read the description and type of the top results. Search the API with your full name plus category (for example 'Acme Software'). Record which entity wins.</t>
        </is>
      </c>
      <c r="F8" s="14" t="inlineStr">
        <is>
          <t>High</t>
        </is>
      </c>
      <c r="G8" s="15" t="inlineStr">
        <is>
          <t>MLforSEO practice</t>
        </is>
      </c>
      <c r="H8" s="14" t="inlineStr">
        <is>
          <t>Not started</t>
        </is>
      </c>
      <c r="I8" s="15" t="inlineStr"/>
      <c r="J8" s="15" t="inlineStr"/>
      <c r="K8" s="17">
        <f>HYPERLINK("https://www.mlforseo.com/machine-learning-tutorials/entity-analysis/entity-disambiguation-in-practice/","Entity disambiguation in practice")</f>
        <v/>
      </c>
      <c r="L8" s="15" t="inlineStr"/>
    </row>
    <row r="9" ht="51" customHeight="1">
      <c r="A9" s="14" t="inlineStr">
        <is>
          <t>K08</t>
        </is>
      </c>
      <c r="B9" s="15" t="inlineStr">
        <is>
          <t>2. Knowledge Graph status</t>
        </is>
      </c>
      <c r="C9" s="16" t="inlineStr">
        <is>
          <t>Open your entity's ID in Google Search to see the panel tied to it</t>
        </is>
      </c>
      <c r="D9" s="15" t="inlineStr">
        <is>
          <t>Searching by machine ID shows the panel Google associates with that entity, even when your brand query shows something else.</t>
        </is>
      </c>
      <c r="E9" s="15" t="inlineStr">
        <is>
          <t>Search https://www.google.com/search?kgmid=/g/XXXX (use the ID from the API without the 'kg:' prefix). Screenshot the result.</t>
        </is>
      </c>
      <c r="F9" s="14" t="inlineStr">
        <is>
          <t>Medium</t>
        </is>
      </c>
      <c r="G9" s="15" t="inlineStr">
        <is>
          <t>MLforSEO practice</t>
        </is>
      </c>
      <c r="H9" s="14" t="inlineStr">
        <is>
          <t>Not started</t>
        </is>
      </c>
      <c r="I9" s="15" t="inlineStr"/>
      <c r="J9" s="15" t="inlineStr"/>
      <c r="K9" s="17">
        <f>HYPERLINK("https://www.mlforseo.com/knowledge-graph-strategy/what-it-takes-to-earn-a-google-knowledge-panel/","What it takes to earn a Google knowledge panel")</f>
        <v/>
      </c>
      <c r="L9" s="15" t="inlineStr"/>
    </row>
    <row r="10" ht="66" customHeight="1">
      <c r="A10" s="14" t="inlineStr">
        <is>
          <t>K09</t>
        </is>
      </c>
      <c r="B10" s="15" t="inlineStr">
        <is>
          <t>2. Knowledge Graph status</t>
        </is>
      </c>
      <c r="C10" s="16" t="inlineStr">
        <is>
          <t>Look for duplicate or fragmented entities for your brand</t>
        </is>
      </c>
      <c r="D10" s="15" t="inlineStr">
        <is>
          <t>Name variants ('Acme', 'Acme Corp', 'Acme Corporation') can create several thin entities instead of one strong one.</t>
        </is>
      </c>
      <c r="E10" s="15" t="inlineStr">
        <is>
          <t>Query each name variant and your founder in the API. If more than one ID describes your organisation, note them all and make naming consistent everywhere (area 5).</t>
        </is>
      </c>
      <c r="F10" s="14" t="inlineStr">
        <is>
          <t>Medium</t>
        </is>
      </c>
      <c r="G10" s="15" t="inlineStr">
        <is>
          <t>MLforSEO practice</t>
        </is>
      </c>
      <c r="H10" s="14" t="inlineStr">
        <is>
          <t>Not started</t>
        </is>
      </c>
      <c r="I10" s="15" t="inlineStr"/>
      <c r="J10" s="15" t="inlineStr"/>
      <c r="K10" s="17">
        <f>HYPERLINK("https://www.mlforseo.com/machine-learning-implementation-guides/ai-search-optimisation/consistency-beats-completeness-structured-data/","Consistency beats completeness")</f>
        <v/>
      </c>
      <c r="L10" s="15" t="inlineStr"/>
    </row>
    <row r="11" ht="81" customHeight="1">
      <c r="A11" s="14" t="inlineStr">
        <is>
          <t>K10</t>
        </is>
      </c>
      <c r="B11" s="15" t="inlineStr">
        <is>
          <t>2. Knowledge Graph status</t>
        </is>
      </c>
      <c r="C11" s="16" t="inlineStr">
        <is>
          <t>Treat resultScore as a relative signal only</t>
        </is>
      </c>
      <c r="D11" s="15" t="inlineStr">
        <is>
          <t>Google documents resultScore as an indicator of how well an entity matched the request and publishes no thresholds. It moves with the query, so compare it only with itself over time.</t>
        </is>
      </c>
      <c r="E11" s="15" t="inlineStr">
        <is>
          <t>Run the same query monthly and log the score in the KG lookup log. Rising scores and a stable ID are good signs; a changing ID is worth investigating.</t>
        </is>
      </c>
      <c r="F11" s="14" t="inlineStr">
        <is>
          <t>Low</t>
        </is>
      </c>
      <c r="G11" s="15" t="inlineStr">
        <is>
          <t>Google-documented</t>
        </is>
      </c>
      <c r="H11" s="14" t="inlineStr">
        <is>
          <t>Not started</t>
        </is>
      </c>
      <c r="I11" s="15" t="inlineStr"/>
      <c r="J11" s="15" t="inlineStr"/>
      <c r="K11" s="17">
        <f>HYPERLINK("https://www.mlforseo.com/machine-learning-tutorials/entity-analysis/entity-disambiguation-in-practice/","Entity disambiguation in practice")</f>
        <v/>
      </c>
      <c r="L11" s="17">
        <f>HYPERLINK("https://developers.google.com/knowledge-graph","Google: Knowledge Graph Search API")</f>
        <v/>
      </c>
    </row>
    <row r="12" ht="66" customHeight="1">
      <c r="A12" s="14" t="inlineStr">
        <is>
          <t>K11</t>
        </is>
      </c>
      <c r="B12" s="15" t="inlineStr">
        <is>
          <t>3. Wikidata &amp; Wikipedia</t>
        </is>
      </c>
      <c r="C12" s="16" t="inlineStr">
        <is>
          <t>Search Wikidata for an existing item before creating anything</t>
        </is>
      </c>
      <c r="D12" s="15" t="inlineStr">
        <is>
          <t>Duplicate items are the most common reason brand entries get deleted. Someone may already have created one for you.</t>
        </is>
      </c>
      <c r="E12" s="15" t="inlineStr">
        <is>
          <t>Search wikidata.org for your brand, legal name and founders. Record any Q-IDs in the Fact sheet. If one exists, improve it rather than starting again.</t>
        </is>
      </c>
      <c r="F12" s="14" t="inlineStr">
        <is>
          <t>High</t>
        </is>
      </c>
      <c r="G12" s="15" t="inlineStr">
        <is>
          <t>Platform-documented</t>
        </is>
      </c>
      <c r="H12" s="14" t="inlineStr">
        <is>
          <t>Not started</t>
        </is>
      </c>
      <c r="I12" s="15" t="inlineStr"/>
      <c r="J12" s="15" t="inlineStr"/>
      <c r="K12" s="17">
        <f>HYPERLINK("https://www.mlforseo.com/knowledge-graph-strategy/wikidata-for-brands-notability-criteria-and-a-realistic-path/","Wikidata for brands")</f>
        <v/>
      </c>
      <c r="L12" s="17">
        <f>HYPERLINK("https://www.wikidata.org/wiki/Wikidata:Notability","Wikidata: notability policy")</f>
        <v/>
      </c>
    </row>
    <row r="13" ht="96" customHeight="1">
      <c r="A13" s="14" t="inlineStr">
        <is>
          <t>K12</t>
        </is>
      </c>
      <c r="B13" s="15" t="inlineStr">
        <is>
          <t>3. Wikidata &amp; Wikipedia</t>
        </is>
      </c>
      <c r="C13" s="16" t="inlineStr">
        <is>
          <t>If an item exists, check it is accurate, neutral and referenced</t>
        </is>
      </c>
      <c r="D13" s="15" t="inlineStr">
        <is>
          <t>Wikidata is openly licensed and widely reused by search and AI systems, so errors there spread. Unreferenced statements are easy to challenge.</t>
        </is>
      </c>
      <c r="E13" s="15" t="inlineStr">
        <is>
          <t>Check label, description (short and neutral, no promotional language), instance of, country, official website, inception, founders, headquarters and social media IDs. Every statement should cite an external source.</t>
        </is>
      </c>
      <c r="F13" s="14" t="inlineStr">
        <is>
          <t>High</t>
        </is>
      </c>
      <c r="G13" s="15" t="inlineStr">
        <is>
          <t>Platform-documented</t>
        </is>
      </c>
      <c r="H13" s="14" t="inlineStr">
        <is>
          <t>Not started</t>
        </is>
      </c>
      <c r="I13" s="15" t="inlineStr"/>
      <c r="J13" s="15" t="inlineStr"/>
      <c r="K13" s="17">
        <f>HYPERLINK("https://www.mlforseo.com/knowledge-graph-strategy/wikidata-for-brands-notability-criteria-and-a-realistic-path/","Wikidata for brands")</f>
        <v/>
      </c>
      <c r="L13" s="17">
        <f>HYPERLINK("https://www.wikidata.org/wiki/Wikidata:Notability","Wikidata: notability policy")</f>
        <v/>
      </c>
    </row>
    <row r="14" ht="81" customHeight="1">
      <c r="A14" s="14" t="inlineStr">
        <is>
          <t>K13</t>
        </is>
      </c>
      <c r="B14" s="15" t="inlineStr">
        <is>
          <t>3. Wikidata &amp; Wikipedia</t>
        </is>
      </c>
      <c r="C14" s="16" t="inlineStr">
        <is>
          <t>If there is no item, check notability before creating one</t>
        </is>
      </c>
      <c r="D14" s="15" t="inlineStr">
        <is>
          <t>Wikidata accepts entities that can be described using serious, publicly available references: registries, authority records, databases and independent coverage. Your own website on its own isn't enough.</t>
        </is>
      </c>
      <c r="E14" s="15" t="inlineStr">
        <is>
          <t>List your external references (company registry, Crunchbase, trade press, conference programmes, industry databases). If you have two or three solid ones, you likely qualify; if not, earn coverage first (area 6).</t>
        </is>
      </c>
      <c r="F14" s="14" t="inlineStr">
        <is>
          <t>Medium</t>
        </is>
      </c>
      <c r="G14" s="15" t="inlineStr">
        <is>
          <t>Platform-documented</t>
        </is>
      </c>
      <c r="H14" s="14" t="inlineStr">
        <is>
          <t>Not started</t>
        </is>
      </c>
      <c r="I14" s="15" t="inlineStr"/>
      <c r="J14" s="15" t="inlineStr"/>
      <c r="K14" s="17">
        <f>HYPERLINK("https://www.mlforseo.com/knowledge-graph-strategy/wikidata-for-brands-notability-criteria-and-a-realistic-path/","Wikidata for brands")</f>
        <v/>
      </c>
      <c r="L14" s="17">
        <f>HYPERLINK("https://www.wikidata.org/wiki/Wikidata:Notability","Wikidata: notability policy")</f>
        <v/>
      </c>
    </row>
    <row r="15" ht="96" customHeight="1">
      <c r="A15" s="14" t="inlineStr">
        <is>
          <t>K14</t>
        </is>
      </c>
      <c r="B15" s="15" t="inlineStr">
        <is>
          <t>3. Wikidata &amp; Wikipedia</t>
        </is>
      </c>
      <c r="C15" s="16" t="inlineStr">
        <is>
          <t>Declare any conflict of interest when you or your agency edit</t>
        </is>
      </c>
      <c r="D15" s="15" t="inlineStr">
        <is>
          <t>Editing your own organisation's item or article is a conflict of interest. On Wikipedia, paid editing must be disclosed under the Wikimedia Terms of Use, and you should propose changes on the article's Talk page rather than editing directly.</t>
        </is>
      </c>
      <c r="E15" s="15" t="inlineStr">
        <is>
          <t>Use a personal, clearly identifiable account. Note your connection on your user page. For Wikipedia, request edits on the Talk page with independent sources.</t>
        </is>
      </c>
      <c r="F15" s="14" t="inlineStr">
        <is>
          <t>High</t>
        </is>
      </c>
      <c r="G15" s="15" t="inlineStr">
        <is>
          <t>Platform-documented</t>
        </is>
      </c>
      <c r="H15" s="14" t="inlineStr">
        <is>
          <t>Not started</t>
        </is>
      </c>
      <c r="I15" s="15" t="inlineStr"/>
      <c r="J15" s="15" t="inlineStr"/>
      <c r="K15" s="17">
        <f>HYPERLINK("https://www.mlforseo.com/knowledge-graph-strategy/wikidata-for-brands-notability-criteria-and-a-realistic-path/","Wikidata for brands")</f>
        <v/>
      </c>
      <c r="L15" s="17">
        <f>HYPERLINK("https://en.wikipedia.org/wiki/Wikipedia:Conflict_of_interest","Wikipedia: conflict of interest guideline")</f>
        <v/>
      </c>
    </row>
    <row r="16" ht="81" customHeight="1">
      <c r="A16" s="14" t="inlineStr">
        <is>
          <t>K15</t>
        </is>
      </c>
      <c r="B16" s="15" t="inlineStr">
        <is>
          <t>3. Wikidata &amp; Wikipedia</t>
        </is>
      </c>
      <c r="C16" s="16" t="inlineStr">
        <is>
          <t>Record whether a Wikipedia article exists and is accurate</t>
        </is>
      </c>
      <c r="D16" s="15" t="inlineStr">
        <is>
          <t>Wikipedia is a strong source for knowledge panels, but its notability bar (significant coverage in independent, reliable sources) excludes most small and mid-size brands. Not having one is normal.</t>
        </is>
      </c>
      <c r="E16" s="15" t="inlineStr">
        <is>
          <t>Search Wikipedia in your main languages. If an article exists, log factual errors and suggest corrections on its Talk page with sources. Don't write your own article.</t>
        </is>
      </c>
      <c r="F16" s="14" t="inlineStr">
        <is>
          <t>Low</t>
        </is>
      </c>
      <c r="G16" s="15" t="inlineStr">
        <is>
          <t>Platform-documented</t>
        </is>
      </c>
      <c r="H16" s="14" t="inlineStr">
        <is>
          <t>Not started</t>
        </is>
      </c>
      <c r="I16" s="15" t="inlineStr"/>
      <c r="J16" s="15" t="inlineStr"/>
      <c r="K16" s="17">
        <f>HYPERLINK("https://www.mlforseo.com/knowledge-graph-strategy/wikidata-for-brands-notability-criteria-and-a-realistic-path/","Wikidata for brands")</f>
        <v/>
      </c>
      <c r="L16" s="17">
        <f>HYPERLINK("https://en.wikipedia.org/wiki/Wikipedia:Conflict_of_interest","Wikipedia: conflict of interest guideline")</f>
        <v/>
      </c>
    </row>
    <row r="17" ht="111" customHeight="1">
      <c r="A17" s="14" t="inlineStr">
        <is>
          <t>K16</t>
        </is>
      </c>
      <c r="B17" s="15" t="inlineStr">
        <is>
          <t>4. On-site entity markup</t>
        </is>
      </c>
      <c r="C17" s="16" t="inlineStr">
        <is>
          <t>Organization (or Person / ProfilePage) markup sits on your home or about page</t>
        </is>
      </c>
      <c r="D17" s="15" t="inlineStr">
        <is>
          <t>Google recommends placing Organization markup on the home page or a single page describing the organisation. It helps Google understand your details and which logo to show, including in knowledge panels. For a person, ProfilePage markup with a Person as mainEntity does the same job.</t>
        </is>
      </c>
      <c r="E17" s="15" t="inlineStr">
        <is>
          <t>View Source on the home and about pages. Check for name, alternateName, legalName, url, logo, description, foundingDate, founder, address, contactPoint and sameAs. Validate with the Rich Results Test and Schema Markup Validator.</t>
        </is>
      </c>
      <c r="F17" s="14" t="inlineStr">
        <is>
          <t>High</t>
        </is>
      </c>
      <c r="G17" s="15" t="inlineStr">
        <is>
          <t>Google-documented</t>
        </is>
      </c>
      <c r="H17" s="14" t="inlineStr">
        <is>
          <t>Not started</t>
        </is>
      </c>
      <c r="I17" s="15" t="inlineStr"/>
      <c r="J17" s="15" t="inlineStr"/>
      <c r="K17" s="17">
        <f>HYPERLINK("https://www.mlforseo.com/machine-learning-implementation-guides/structured-data-audit/how-structured-data-reinforces-entity-understanding-in-ai-search/","Structured data and entity understanding")</f>
        <v/>
      </c>
      <c r="L17" s="17">
        <f>HYPERLINK("https://developers.google.com/search/docs/appearance/structured-data/organization","Google: Organization structured data")</f>
        <v/>
      </c>
    </row>
    <row r="18" ht="66" customHeight="1">
      <c r="A18" s="14" t="inlineStr">
        <is>
          <t>K17</t>
        </is>
      </c>
      <c r="B18" s="15" t="inlineStr">
        <is>
          <t>4. On-site entity markup</t>
        </is>
      </c>
      <c r="C18" s="16" t="inlineStr">
        <is>
          <t>The logo in your markup is a crawlable image of at least 112 x 112 px</t>
        </is>
      </c>
      <c r="D18" s="15" t="inlineStr">
        <is>
          <t>Google's Organization guidelines set this minimum and say the logo property helps Google choose the logo for Search results and knowledge panels.</t>
        </is>
      </c>
      <c r="E18" s="15" t="inlineStr">
        <is>
          <t>Open the logo URL from the markup: it should load directly (not blocked by robots.txt), be square-friendly and look right on a white background.</t>
        </is>
      </c>
      <c r="F18" s="14" t="inlineStr">
        <is>
          <t>Medium</t>
        </is>
      </c>
      <c r="G18" s="15" t="inlineStr">
        <is>
          <t>Google-documented</t>
        </is>
      </c>
      <c r="H18" s="14" t="inlineStr">
        <is>
          <t>Not started</t>
        </is>
      </c>
      <c r="I18" s="15" t="inlineStr"/>
      <c r="J18" s="15" t="inlineStr"/>
      <c r="K18" s="17">
        <f>HYPERLINK("https://www.mlforseo.com/machine-learning-implementation-guides/structured-data-audit/how-structured-data-reinforces-entity-understanding-in-ai-search/","Structured data and entity understanding")</f>
        <v/>
      </c>
      <c r="L18" s="17">
        <f>HYPERLINK("https://developers.google.com/search/docs/appearance/structured-data/organization","Google: Organization structured data")</f>
        <v/>
      </c>
    </row>
    <row r="19" ht="66" customHeight="1">
      <c r="A19" s="14" t="inlineStr">
        <is>
          <t>K18</t>
        </is>
      </c>
      <c r="B19" s="15" t="inlineStr">
        <is>
          <t>4. On-site entity markup</t>
        </is>
      </c>
      <c r="C19" s="16" t="inlineStr">
        <is>
          <t>Organization and founders have stable @id values that other markup points to</t>
        </is>
      </c>
      <c r="D19" s="15" t="inlineStr">
        <is>
          <t>A stable @id lets every article, product and author page reference the same entity, so signals add up instead of scattering across separate declarations.</t>
        </is>
      </c>
      <c r="E19" s="15" t="inlineStr">
        <is>
          <t>Check the Organization @id never changes between pages, and that Article publisher, Person worksFor and Product brand reference it.</t>
        </is>
      </c>
      <c r="F19" s="14" t="inlineStr">
        <is>
          <t>Medium</t>
        </is>
      </c>
      <c r="G19" s="15" t="inlineStr">
        <is>
          <t>MLforSEO practice</t>
        </is>
      </c>
      <c r="H19" s="14" t="inlineStr">
        <is>
          <t>Not started</t>
        </is>
      </c>
      <c r="I19" s="15" t="inlineStr"/>
      <c r="J19" s="15" t="inlineStr"/>
      <c r="K19" s="17">
        <f>HYPERLINK("https://www.mlforseo.com/machine-learning-implementation-guides/structured-data-audit/what-schema-org-id-does-and-why-your-entity-graph-falls-apart-without-it/","What schema.org @id does")</f>
        <v/>
      </c>
      <c r="L19" s="15" t="inlineStr"/>
    </row>
    <row r="20" ht="81" customHeight="1">
      <c r="A20" s="14" t="inlineStr">
        <is>
          <t>K19</t>
        </is>
      </c>
      <c r="B20" s="15" t="inlineStr">
        <is>
          <t>4. On-site entity markup</t>
        </is>
      </c>
      <c r="C20" s="16" t="inlineStr">
        <is>
          <t>Every sameAs link resolves to an official profile showing the same name</t>
        </is>
      </c>
      <c r="D20" s="15" t="inlineStr">
        <is>
          <t>schema.org defines sameAs as a page that unambiguously indicates the item's identity. A broken or mismatched link is a failed confirmation, which is worse than no link.</t>
        </is>
      </c>
      <c r="E20" s="15" t="inlineStr">
        <is>
          <t>Open each sameAs URL; log status code and displayed name in the Fact sheet. Include Wikidata, LinkedIn, Crunchbase, official social profiles and relevant industry directories.</t>
        </is>
      </c>
      <c r="F20" s="14" t="inlineStr">
        <is>
          <t>High</t>
        </is>
      </c>
      <c r="G20" s="15" t="inlineStr">
        <is>
          <t>MLforSEO practice</t>
        </is>
      </c>
      <c r="H20" s="14" t="inlineStr">
        <is>
          <t>Not started</t>
        </is>
      </c>
      <c r="I20" s="15" t="inlineStr"/>
      <c r="J20" s="15" t="inlineStr"/>
      <c r="K20" s="17">
        <f>HYPERLINK("https://www.mlforseo.com/machine-learning-implementation-guides/ai-search-optimisation/consistency-beats-completeness-structured-data/","Consistency beats completeness")</f>
        <v/>
      </c>
      <c r="L20" s="17">
        <f>HYPERLINK("https://schema.org/sameAs","schema.org: sameAs")</f>
        <v/>
      </c>
    </row>
    <row r="21" ht="66" customHeight="1">
      <c r="A21" s="14" t="inlineStr">
        <is>
          <t>K20</t>
        </is>
      </c>
      <c r="B21" s="15" t="inlineStr">
        <is>
          <t>4. On-site entity markup</t>
        </is>
      </c>
      <c r="C21" s="16" t="inlineStr">
        <is>
          <t>Your about page states the canonical facts in plain text, matching the markup</t>
        </is>
      </c>
      <c r="D21" s="15" t="inlineStr">
        <is>
          <t>Structured data should describe what is visible on the page. Plain-text facts also give AI systems and journalists something to quote.</t>
        </is>
      </c>
      <c r="E21" s="15" t="inlineStr">
        <is>
          <t>Compare the about page text with the JSON-LD and the Fact sheet: name, founding date, founders, headquarters, what you do in one sentence.</t>
        </is>
      </c>
      <c r="F21" s="14" t="inlineStr">
        <is>
          <t>High</t>
        </is>
      </c>
      <c r="G21" s="15" t="inlineStr">
        <is>
          <t>Google-documented</t>
        </is>
      </c>
      <c r="H21" s="14" t="inlineStr">
        <is>
          <t>Not started</t>
        </is>
      </c>
      <c r="I21" s="15" t="inlineStr"/>
      <c r="J21" s="15" t="inlineStr"/>
      <c r="K21" s="17">
        <f>HYPERLINK("https://www.mlforseo.com/machine-learning-implementation-guides/ai-search-optimisation/consistency-beats-completeness-structured-data/","Consistency beats completeness")</f>
        <v/>
      </c>
      <c r="L21" s="17">
        <f>HYPERLINK("https://developers.google.com/search/docs/appearance/structured-data/sd-policies","Google: structured data policies")</f>
        <v/>
      </c>
    </row>
    <row r="22" ht="81" customHeight="1">
      <c r="A22" s="14" t="inlineStr">
        <is>
          <t>K21</t>
        </is>
      </c>
      <c r="B22" s="15" t="inlineStr">
        <is>
          <t>4. On-site entity markup</t>
        </is>
      </c>
      <c r="C22" s="16" t="inlineStr">
        <is>
          <t>Your brand is the most prominent entity on your home and about pages</t>
        </is>
      </c>
      <c r="D22" s="15" t="inlineStr">
        <is>
          <t>If navigation labels or product names outscore your brand in entity extraction, the pages meant to define you send a weak signal.</t>
        </is>
      </c>
      <c r="E22" s="15" t="inlineStr">
        <is>
          <t>Run Google's Natural Language API (or the MLforSEO no-code template) on the full page and on the main content only. Your brand should lead on salience. Use &lt;nav&gt;, &lt;main&gt; and &lt;footer&gt; elements.</t>
        </is>
      </c>
      <c r="F22" s="14" t="inlineStr">
        <is>
          <t>Medium</t>
        </is>
      </c>
      <c r="G22" s="15" t="inlineStr">
        <is>
          <t>MLforSEO practice</t>
        </is>
      </c>
      <c r="H22" s="14" t="inlineStr">
        <is>
          <t>Not started</t>
        </is>
      </c>
      <c r="I22" s="15" t="inlineStr"/>
      <c r="J22" s="15" t="inlineStr"/>
      <c r="K22" s="17">
        <f>HYPERLINK("https://www.mlforseo.com/machine-learning-tutorials/entity-analysis/why-navigation-elements-outrank-your-brand-in-entity-analysis/","Why navigation outranks your brand")</f>
        <v/>
      </c>
      <c r="L22" s="15" t="inlineStr"/>
    </row>
    <row r="23" ht="81" customHeight="1">
      <c r="A23" s="14" t="inlineStr">
        <is>
          <t>K22</t>
        </is>
      </c>
      <c r="B23" s="15" t="inlineStr">
        <is>
          <t>5. Cross-platform consistency</t>
        </is>
      </c>
      <c r="C23" s="16" t="inlineStr">
        <is>
          <t>Create a single source of truth for your canonical facts</t>
        </is>
      </c>
      <c r="D23" s="15" t="inlineStr">
        <is>
          <t>One agreed version of each fact makes every later update quick and consistent. Without it, teams rediscover the platform list each time and miss some.</t>
        </is>
      </c>
      <c r="E23" s="15" t="inlineStr">
        <is>
          <t>Fill in column B of the 'Fact sheet' tab: canonical name, legal name, founding date, founders, headquarters, website URL, one-sentence description, category, employee range, logo URL.</t>
        </is>
      </c>
      <c r="F23" s="14" t="inlineStr">
        <is>
          <t>High</t>
        </is>
      </c>
      <c r="G23" s="15" t="inlineStr">
        <is>
          <t>MLforSEO practice</t>
        </is>
      </c>
      <c r="H23" s="14" t="inlineStr">
        <is>
          <t>Not started</t>
        </is>
      </c>
      <c r="I23" s="15" t="inlineStr"/>
      <c r="J23" s="15" t="inlineStr"/>
      <c r="K23" s="17">
        <f>HYPERLINK("https://www.mlforseo.com/machine-learning-implementation-guides/ai-search-optimisation/cross-platform-entity-consistency-the-llm-era/","Cross-platform entity consistency")</f>
        <v/>
      </c>
      <c r="L23" s="15" t="inlineStr"/>
    </row>
    <row r="24" ht="81" customHeight="1">
      <c r="A24" s="14" t="inlineStr">
        <is>
          <t>K23</t>
        </is>
      </c>
      <c r="B24" s="15" t="inlineStr">
        <is>
          <t>5. Cross-platform consistency</t>
        </is>
      </c>
      <c r="C24" s="16" t="inlineStr">
        <is>
          <t>Audit every profile against the fact sheet</t>
        </is>
      </c>
      <c r="D24" s="15" t="inlineStr">
        <is>
          <t>Each platform holding facts about you is a verification point for Google and AI systems. Consistent points add confidence; inconsistent ones subtract it.</t>
        </is>
      </c>
      <c r="E24" s="15" t="inlineStr">
        <is>
          <t>Fill the platform columns in the Fact sheet: website and schema, LinkedIn, Crunchbase, Wikidata, Business Profile, X, YouTube, industry directories, company registry. Cells that differ from column B turn red.</t>
        </is>
      </c>
      <c r="F24" s="14" t="inlineStr">
        <is>
          <t>High</t>
        </is>
      </c>
      <c r="G24" s="15" t="inlineStr">
        <is>
          <t>MLforSEO practice</t>
        </is>
      </c>
      <c r="H24" s="14" t="inlineStr">
        <is>
          <t>Not started</t>
        </is>
      </c>
      <c r="I24" s="15" t="inlineStr"/>
      <c r="J24" s="15" t="inlineStr"/>
      <c r="K24" s="17">
        <f>HYPERLINK("https://www.mlforseo.com/machine-learning-implementation-guides/ai-search-optimisation/cross-platform-entity-consistency-the-llm-era/","Cross-platform entity consistency")</f>
        <v/>
      </c>
      <c r="L24" s="15" t="inlineStr"/>
    </row>
    <row r="25" ht="81" customHeight="1">
      <c r="A25" s="14" t="inlineStr">
        <is>
          <t>K24</t>
        </is>
      </c>
      <c r="B25" s="15" t="inlineStr">
        <is>
          <t>5. Cross-platform consistency</t>
        </is>
      </c>
      <c r="C25" s="16" t="inlineStr">
        <is>
          <t>Fix contradictions first, then fill gaps</t>
        </is>
      </c>
      <c r="D25" s="15" t="inlineStr">
        <is>
          <t>A missing fact is neutral. Conflicting facts (founded 2011 here, 2013 there) are a conflict systems can't resolve, so they may drop the fact or lower confidence in the whole entity.</t>
        </is>
      </c>
      <c r="E25" s="15" t="inlineStr">
        <is>
          <t>Sort the Fact sheet by red cells. Correct the platforms you control, then request corrections from third parties with a link to an authoritative source.</t>
        </is>
      </c>
      <c r="F25" s="14" t="inlineStr">
        <is>
          <t>High</t>
        </is>
      </c>
      <c r="G25" s="15" t="inlineStr">
        <is>
          <t>MLforSEO practice</t>
        </is>
      </c>
      <c r="H25" s="14" t="inlineStr">
        <is>
          <t>Not started</t>
        </is>
      </c>
      <c r="I25" s="15" t="inlineStr"/>
      <c r="J25" s="15" t="inlineStr"/>
      <c r="K25" s="17">
        <f>HYPERLINK("https://www.mlforseo.com/machine-learning-implementation-guides/ai-search-optimisation/trust-is-not-a-schema-field/","Trust isn't a schema field")</f>
        <v/>
      </c>
      <c r="L25" s="15" t="inlineStr"/>
    </row>
    <row r="26" ht="81" customHeight="1">
      <c r="A26" s="14" t="inlineStr">
        <is>
          <t>K25</t>
        </is>
      </c>
      <c r="B26" s="15" t="inlineStr">
        <is>
          <t>5. Cross-platform consistency</t>
        </is>
      </c>
      <c r="C26" s="16" t="inlineStr">
        <is>
          <t>Founders and leaders have consistent, linked profiles</t>
        </is>
      </c>
      <c r="D26" s="15" t="inlineStr">
        <is>
          <t>People entities reinforce the organisation. Consistent names, titles and employers across author pages, speaker bios and LinkedIn give systems a second route to recognising you.</t>
        </is>
      </c>
      <c r="E26" s="15" t="inlineStr">
        <is>
          <t>Check each founder's LinkedIn, author page, speaker bios and Wikidata (if any) use the same name, title and employer. Link the person's markup to the Organization @id.</t>
        </is>
      </c>
      <c r="F26" s="14" t="inlineStr">
        <is>
          <t>Medium</t>
        </is>
      </c>
      <c r="G26" s="15" t="inlineStr">
        <is>
          <t>MLforSEO practice</t>
        </is>
      </c>
      <c r="H26" s="14" t="inlineStr">
        <is>
          <t>Not started</t>
        </is>
      </c>
      <c r="I26" s="15" t="inlineStr"/>
      <c r="J26" s="15" t="inlineStr"/>
      <c r="K26" s="17">
        <f>HYPERLINK("https://www.mlforseo.com/machine-learning-implementation-guides/ai-search-optimisation/trust-is-not-a-schema-field/","Trust isn't a schema field")</f>
        <v/>
      </c>
      <c r="L26" s="17">
        <f>HYPERLINK("https://developers.google.com/search/docs/appearance/structured-data/profile-page","Google: ProfilePage structured data")</f>
        <v/>
      </c>
    </row>
    <row r="27" ht="66" customHeight="1">
      <c r="A27" s="14" t="inlineStr">
        <is>
          <t>K26</t>
        </is>
      </c>
      <c r="B27" s="15" t="inlineStr">
        <is>
          <t>6. Corroboration</t>
        </is>
      </c>
      <c r="C27" s="16" t="inlineStr">
        <is>
          <t>List the independent sources that already describe you</t>
        </is>
      </c>
      <c r="D27" s="15" t="inlineStr">
        <is>
          <t>Google cross-checks your claims against external sources. Five consistent mentions in respected publications do more than fifty thin directory listings.</t>
        </is>
      </c>
      <c r="E27" s="15" t="inlineStr">
        <is>
          <t>Search your brand in news, trade publications, podcasts, conference programmes, registries and databases. Log each source and whether its facts match the Fact sheet.</t>
        </is>
      </c>
      <c r="F27" s="14" t="inlineStr">
        <is>
          <t>Medium</t>
        </is>
      </c>
      <c r="G27" s="15" t="inlineStr">
        <is>
          <t>MLforSEO practice</t>
        </is>
      </c>
      <c r="H27" s="14" t="inlineStr">
        <is>
          <t>Not started</t>
        </is>
      </c>
      <c r="I27" s="15" t="inlineStr"/>
      <c r="J27" s="15" t="inlineStr"/>
      <c r="K27" s="17">
        <f>HYPERLINK("https://www.mlforseo.com/knowledge-graph-strategy/what-it-takes-to-earn-a-google-knowledge-panel/","What it takes to earn a Google knowledge panel")</f>
        <v/>
      </c>
      <c r="L27" s="15" t="inlineStr"/>
    </row>
    <row r="28" ht="66" customHeight="1">
      <c r="A28" s="14" t="inlineStr">
        <is>
          <t>K27</t>
        </is>
      </c>
      <c r="B28" s="15" t="inlineStr">
        <is>
          <t>6. Corroboration</t>
        </is>
      </c>
      <c r="C28" s="16" t="inlineStr">
        <is>
          <t>Plan coverage that would make your key facts independently verifiable</t>
        </is>
      </c>
      <c r="D28" s="15" t="inlineStr">
        <is>
          <t>Panels appear when enough independent sources agree. Most brands need more third-party coverage before anything else moves.</t>
        </is>
      </c>
      <c r="E28" s="15" t="inlineStr">
        <is>
          <t>Pick realistic targets: industry publications, podcast interviews, conference talks, guest articles, partner pages, awards. Track them in the Action plan tab.</t>
        </is>
      </c>
      <c r="F28" s="14" t="inlineStr">
        <is>
          <t>Medium</t>
        </is>
      </c>
      <c r="G28" s="15" t="inlineStr">
        <is>
          <t>MLforSEO practice</t>
        </is>
      </c>
      <c r="H28" s="14" t="inlineStr">
        <is>
          <t>Not started</t>
        </is>
      </c>
      <c r="I28" s="15" t="inlineStr"/>
      <c r="J28" s="15" t="inlineStr"/>
      <c r="K28" s="17">
        <f>HYPERLINK("https://www.mlforseo.com/knowledge-graph-strategy/what-it-takes-to-earn-a-google-knowledge-panel/","What it takes to earn a Google knowledge panel")</f>
        <v/>
      </c>
      <c r="L28" s="15" t="inlineStr"/>
    </row>
    <row r="29" ht="66" customHeight="1">
      <c r="A29" s="14" t="inlineStr">
        <is>
          <t>K28</t>
        </is>
      </c>
      <c r="B29" s="15" t="inlineStr">
        <is>
          <t>6. Corroboration</t>
        </is>
      </c>
      <c r="C29" s="16" t="inlineStr">
        <is>
          <t>Third-party mentions place you next to your category and peers</t>
        </is>
      </c>
      <c r="D29" s="15" t="inlineStr">
        <is>
          <t>Co-occurrence with category terms, partners and competitors tells systems which 'Acme' you are and what you're relevant for.</t>
        </is>
      </c>
      <c r="E29" s="15" t="inlineStr">
        <is>
          <t>Check how press and partner pages describe you. Ask for your full name plus a short category descriptor in bios and boilerplates.</t>
        </is>
      </c>
      <c r="F29" s="14" t="inlineStr">
        <is>
          <t>Low</t>
        </is>
      </c>
      <c r="G29" s="15" t="inlineStr">
        <is>
          <t>MLforSEO practice</t>
        </is>
      </c>
      <c r="H29" s="14" t="inlineStr">
        <is>
          <t>Not started</t>
        </is>
      </c>
      <c r="I29" s="15" t="inlineStr"/>
      <c r="J29" s="15" t="inlineStr"/>
      <c r="K29" s="17">
        <f>HYPERLINK("https://www.mlforseo.com/machine-learning-implementation-guides/ai-search-optimisation/how-llms-co-cite-building-authority-by-association/","How LLMs co-cite")</f>
        <v/>
      </c>
      <c r="L29" s="15" t="inlineStr"/>
    </row>
    <row r="30" ht="96" customHeight="1">
      <c r="A30" s="14" t="inlineStr">
        <is>
          <t>K29</t>
        </is>
      </c>
      <c r="B30" s="15" t="inlineStr">
        <is>
          <t>7. Claim &amp; manage</t>
        </is>
      </c>
      <c r="C30" s="16" t="inlineStr">
        <is>
          <t>If a knowledge panel shows, claim it through an official profile</t>
        </is>
      </c>
      <c r="D30" s="15" t="inlineStr">
        <is>
          <t>Verified representatives can suggest changes to their panel and choose a featured image. Not every panel is claimable yet, so check back if the option is missing.</t>
        </is>
      </c>
      <c r="E30" s="15" t="inlineStr">
        <is>
          <t>Signed in to a Google Account, search for the entity, click 'Claim this knowledge panel' at the bottom of the panel, then sign in to one of the listed official sites or profiles (such as Search Console, YouTube, X or Facebook).</t>
        </is>
      </c>
      <c r="F30" s="14" t="inlineStr">
        <is>
          <t>High</t>
        </is>
      </c>
      <c r="G30" s="15" t="inlineStr">
        <is>
          <t>Google-documented</t>
        </is>
      </c>
      <c r="H30" s="14" t="inlineStr">
        <is>
          <t>Not started</t>
        </is>
      </c>
      <c r="I30" s="15" t="inlineStr"/>
      <c r="J30" s="15" t="inlineStr"/>
      <c r="K30" s="17">
        <f>HYPERLINK("https://www.mlforseo.com/knowledge-graph-strategy/what-it-takes-to-earn-a-google-knowledge-panel/","What it takes to earn a Google knowledge panel")</f>
        <v/>
      </c>
      <c r="L30" s="17">
        <f>HYPERLINK("https://support.google.com/knowledgepanel/answer/7534902","Google Help: get verified on Google")</f>
        <v/>
      </c>
    </row>
    <row r="31" ht="81" customHeight="1">
      <c r="A31" s="14" t="inlineStr">
        <is>
          <t>K30</t>
        </is>
      </c>
      <c r="B31" s="15" t="inlineStr">
        <is>
          <t>7. Claim &amp; manage</t>
        </is>
      </c>
      <c r="C31" s="16" t="inlineStr">
        <is>
          <t>Once verified, suggest corrections with evidence and add team members</t>
        </is>
      </c>
      <c r="D31" s="15" t="inlineStr">
        <is>
          <t>Feedback from verified representatives is prioritised, and edits backed by links to verifying pages are more likely to be accepted.</t>
        </is>
      </c>
      <c r="E31" s="15" t="inlineStr">
        <is>
          <t>Use Feedback below the panel, flag the fact, describe the correction and link to pages that confirm it. Add colleagues as Contributors or Managers at google.com/search/contributions/manage.</t>
        </is>
      </c>
      <c r="F31" s="14" t="inlineStr">
        <is>
          <t>Medium</t>
        </is>
      </c>
      <c r="G31" s="15" t="inlineStr">
        <is>
          <t>Google-documented</t>
        </is>
      </c>
      <c r="H31" s="14" t="inlineStr">
        <is>
          <t>Not started</t>
        </is>
      </c>
      <c r="I31" s="15" t="inlineStr"/>
      <c r="J31" s="15" t="inlineStr"/>
      <c r="K31" s="17">
        <f>HYPERLINK("https://www.mlforseo.com/knowledge-graph-strategy/what-it-takes-to-earn-a-google-knowledge-panel/","What it takes to earn a Google knowledge panel")</f>
        <v/>
      </c>
      <c r="L31" s="17">
        <f>HYPERLINK("https://support.google.com/knowledgepanel/answer/7534902","Google Help: get verified on Google")</f>
        <v/>
      </c>
    </row>
    <row r="32" ht="66" customHeight="1">
      <c r="A32" s="14" t="inlineStr">
        <is>
          <t>K31</t>
        </is>
      </c>
      <c r="B32" s="15" t="inlineStr">
        <is>
          <t>7. Claim &amp; manage</t>
        </is>
      </c>
      <c r="C32" s="16" t="inlineStr">
        <is>
          <t>Local businesses: claim and verify your Business Profile separately</t>
        </is>
      </c>
      <c r="D32" s="15" t="inlineStr">
        <is>
          <t>Business Profiles look like knowledge panels but cover businesses serving customers at a location or in a service area, and are managed through Google Business Profile.</t>
        </is>
      </c>
      <c r="E32" s="15" t="inlineStr">
        <is>
          <t>Claim or create the profile in Google Business Profile, verify it, and make name, address, phone, hours and website match the Fact sheet.</t>
        </is>
      </c>
      <c r="F32" s="14" t="inlineStr">
        <is>
          <t>High</t>
        </is>
      </c>
      <c r="G32" s="15" t="inlineStr">
        <is>
          <t>Google-documented</t>
        </is>
      </c>
      <c r="H32" s="14" t="inlineStr">
        <is>
          <t>Not started</t>
        </is>
      </c>
      <c r="I32" s="15" t="inlineStr"/>
      <c r="J32" s="15" t="inlineStr"/>
      <c r="K32" s="17">
        <f>HYPERLINK("https://www.mlforseo.com/machine-learning-implementation-guides/ai-search-optimisation/cross-platform-entity-consistency-the-llm-era/","Cross-platform entity consistency")</f>
        <v/>
      </c>
      <c r="L32" s="17">
        <f>HYPERLINK("https://support.google.com/knowledgepanel/answer/9163198","Google Help: about knowledge panels")</f>
        <v/>
      </c>
    </row>
    <row r="33" ht="81" customHeight="1">
      <c r="A33" s="14" t="inlineStr">
        <is>
          <t>K32</t>
        </is>
      </c>
      <c r="B33" s="15" t="inlineStr">
        <is>
          <t>7. Claim &amp; manage</t>
        </is>
      </c>
      <c r="C33" s="16" t="inlineStr">
        <is>
          <t>If the panel mixes you up with someone else or shows the wrong profiles, contact support</t>
        </is>
      </c>
      <c r="D33" s="15" t="inlineStr">
        <is>
          <t>Google's knowledge panel help lists mixed-up entities and wrong websites or profiles as cases for its support team, and runs an account recovery process if someone else already manages your panel.</t>
        </is>
      </c>
      <c r="E33" s="15" t="inlineStr">
        <is>
          <t>Follow the troubleshooting steps in Google's 'Get verified on Google' help article. Keep screenshots and links to authoritative sources ready.</t>
        </is>
      </c>
      <c r="F33" s="14" t="inlineStr">
        <is>
          <t>Medium</t>
        </is>
      </c>
      <c r="G33" s="15" t="inlineStr">
        <is>
          <t>Google-documented</t>
        </is>
      </c>
      <c r="H33" s="14" t="inlineStr">
        <is>
          <t>Not started</t>
        </is>
      </c>
      <c r="I33" s="15" t="inlineStr"/>
      <c r="J33" s="15" t="inlineStr"/>
      <c r="K33" s="17">
        <f>HYPERLINK("https://www.mlforseo.com/machine-learning-tutorials/entity-analysis/entity-disambiguation-in-practice/","Entity disambiguation in practice")</f>
        <v/>
      </c>
      <c r="L33" s="17">
        <f>HYPERLINK("https://support.google.com/knowledgepanel/answer/7534902","Google Help: get verified on Google")</f>
        <v/>
      </c>
    </row>
    <row r="34" ht="66" customHeight="1">
      <c r="A34" s="14" t="inlineStr">
        <is>
          <t>K33</t>
        </is>
      </c>
      <c r="B34" s="15" t="inlineStr">
        <is>
          <t>7. Claim &amp; manage</t>
        </is>
      </c>
      <c r="C34" s="16" t="inlineStr">
        <is>
          <t>Own more of page one for brand and brand + modifier searches</t>
        </is>
      </c>
      <c r="D34" s="15" t="inlineStr">
        <is>
          <t>Official profiles, a clear site structure (for sitelinks) and pages answering pricing, reviews and comparison questions keep accurate information near the top.</t>
        </is>
      </c>
      <c r="E34" s="15" t="inlineStr">
        <is>
          <t>Fill gaps from the Brand SERP log: complete official profiles, add or improve pages for top branded modifiers, link profiles from the site and markup.</t>
        </is>
      </c>
      <c r="F34" s="14" t="inlineStr">
        <is>
          <t>Medium</t>
        </is>
      </c>
      <c r="G34" s="15" t="inlineStr">
        <is>
          <t>MLforSEO practice</t>
        </is>
      </c>
      <c r="H34" s="14" t="inlineStr">
        <is>
          <t>Not started</t>
        </is>
      </c>
      <c r="I34" s="15" t="inlineStr"/>
      <c r="J34" s="15" t="inlineStr"/>
      <c r="K34" s="17">
        <f>HYPERLINK("https://www.mlforseo.com/knowledge-graph-strategy/what-it-takes-to-earn-a-google-knowledge-panel/","What it takes to earn a Google knowledge panel")</f>
        <v/>
      </c>
      <c r="L34" s="15" t="inlineStr"/>
    </row>
    <row r="35" ht="66" customHeight="1">
      <c r="A35" s="14" t="inlineStr">
        <is>
          <t>K34</t>
        </is>
      </c>
      <c r="B35" s="15" t="inlineStr">
        <is>
          <t>8. Monitor</t>
        </is>
      </c>
      <c r="C35" s="16" t="inlineStr">
        <is>
          <t>Monthly: check the top five platforms and rerun the brand SERP and KG lookups</t>
        </is>
      </c>
      <c r="D35" s="15" t="inlineStr">
        <is>
          <t>Third parties edit your records and Google updates panels automatically as the web changes. Small, regular checks stop drift.</t>
        </is>
      </c>
      <c r="E35" s="15" t="inlineStr">
        <is>
          <t>Each month: website, LinkedIn, Wikidata, Crunchbase, Business Profile against the Fact sheet; add a new row to the KG lookup log; note SERP changes in the Brand SERP log.</t>
        </is>
      </c>
      <c r="F35" s="14" t="inlineStr">
        <is>
          <t>Medium</t>
        </is>
      </c>
      <c r="G35" s="15" t="inlineStr">
        <is>
          <t>MLforSEO practice</t>
        </is>
      </c>
      <c r="H35" s="14" t="inlineStr">
        <is>
          <t>Not started</t>
        </is>
      </c>
      <c r="I35" s="15" t="inlineStr"/>
      <c r="J35" s="15" t="inlineStr"/>
      <c r="K35" s="17">
        <f>HYPERLINK("https://www.mlforseo.com/machine-learning-tutorials/entity-analysis/entity-audit-cadence-what-to-check-weekly-monthly-quarterly/","Entity audit cadence")</f>
        <v/>
      </c>
      <c r="L35" s="15" t="inlineStr"/>
    </row>
    <row r="36" ht="66" customHeight="1">
      <c r="A36" s="14" t="inlineStr">
        <is>
          <t>K35</t>
        </is>
      </c>
      <c r="B36" s="15" t="inlineStr">
        <is>
          <t>8. Monitor</t>
        </is>
      </c>
      <c r="C36" s="16" t="inlineStr">
        <is>
          <t>Update every platform within a week of a material change</t>
        </is>
      </c>
      <c r="D36" s="15" t="inlineStr">
        <is>
          <t>New leadership, a move, an acquisition or a rebrand makes old facts wrong everywhere at once. Stale data on Wikidata and profiles propagates to other systems.</t>
        </is>
      </c>
      <c r="E36" s="15" t="inlineStr">
        <is>
          <t>Update the Fact sheet first, then work through every platform column. Add the change to the Action plan with an owner and date.</t>
        </is>
      </c>
      <c r="F36" s="14" t="inlineStr">
        <is>
          <t>Medium</t>
        </is>
      </c>
      <c r="G36" s="15" t="inlineStr">
        <is>
          <t>MLforSEO practice</t>
        </is>
      </c>
      <c r="H36" s="14" t="inlineStr">
        <is>
          <t>Not started</t>
        </is>
      </c>
      <c r="I36" s="15" t="inlineStr"/>
      <c r="J36" s="15" t="inlineStr"/>
      <c r="K36" s="17">
        <f>HYPERLINK("https://www.mlforseo.com/machine-learning-implementation-guides/ai-search-optimisation/cross-platform-entity-consistency-the-llm-era/","Cross-platform entity consistency")</f>
        <v/>
      </c>
      <c r="L36" s="15" t="inlineStr"/>
    </row>
    <row r="37" ht="81" customHeight="1">
      <c r="A37" s="14" t="inlineStr">
        <is>
          <t>K36</t>
        </is>
      </c>
      <c r="B37" s="15" t="inlineStr">
        <is>
          <t>8. Monitor</t>
        </is>
      </c>
      <c r="C37" s="16" t="inlineStr">
        <is>
          <t>Quarterly: repeat the full audit and the AI answer check</t>
        </is>
      </c>
      <c r="D37" s="15" t="inlineStr">
        <is>
          <t>Panels usually take months of consistent signals to appear: six to eighteen months for most brands in MLforSEO's experience. Quarterly reviews show whether the work is moving the entity.</t>
        </is>
      </c>
      <c r="E37" s="15" t="inlineStr">
        <is>
          <t>Duplicate this sheet (or add a dated column to the logs), rerun every check, and compare KG ID, panel presence, owned share of page one and AI answer accuracy with last quarter.</t>
        </is>
      </c>
      <c r="F37" s="14" t="inlineStr">
        <is>
          <t>Low</t>
        </is>
      </c>
      <c r="G37" s="15" t="inlineStr">
        <is>
          <t>MLforSEO practice</t>
        </is>
      </c>
      <c r="H37" s="14" t="inlineStr">
        <is>
          <t>Not started</t>
        </is>
      </c>
      <c r="I37" s="15" t="inlineStr"/>
      <c r="J37" s="15" t="inlineStr"/>
      <c r="K37" s="17">
        <f>HYPERLINK("https://www.mlforseo.com/knowledge-graph-strategy/what-it-takes-to-earn-a-google-knowledge-panel/","What it takes to earn a Google knowledge panel")</f>
        <v/>
      </c>
      <c r="L37" s="15" t="inlineStr"/>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sheetData>
  <autoFilter ref="A1:L52"/>
  <conditionalFormatting sqref="H2:H52">
    <cfRule type="cellIs" priority="1" operator="equal" dxfId="0" stopIfTrue="1">
      <formula>"Done"</formula>
    </cfRule>
    <cfRule type="cellIs" priority="2" operator="equal" dxfId="1" stopIfTrue="1">
      <formula>"In progress"</formula>
    </cfRule>
    <cfRule type="cellIs" priority="3" operator="equal" dxfId="2" stopIfTrue="1">
      <formula>"N/A"</formula>
    </cfRule>
    <cfRule type="cellIs" priority="4" operator="equal" dxfId="3" stopIfTrue="1">
      <formula>"Not started"</formula>
    </cfRule>
  </conditionalFormatting>
  <conditionalFormatting sqref="F2:F52">
    <cfRule type="cellIs" priority="5" operator="equal" dxfId="4" stopIfTrue="1">
      <formula>"High"</formula>
    </cfRule>
    <cfRule type="cellIs" priority="6" operator="equal" dxfId="3" stopIfTrue="1">
      <formula>"Low"</formula>
    </cfRule>
  </conditionalFormatting>
  <conditionalFormatting sqref="A2:L52">
    <cfRule type="expression" priority="7" dxfId="5">
      <formula>MOD(ROW(),2)=0</formula>
    </cfRule>
  </conditionalFormatting>
  <dataValidations count="3">
    <dataValidation sqref="H2:H52" showDropDown="0" showInputMessage="0" showErrorMessage="0" allowBlank="1" errorTitle="Not in list" error="Pick a value from the list." type="list">
      <formula1>"Not started,In progress,Done,N/A"</formula1>
    </dataValidation>
    <dataValidation sqref="F2:F52" showDropDown="0" showInputMessage="0" showErrorMessage="0" allowBlank="1" errorTitle="Not in list" error="Pick a value from the list." type="list">
      <formula1>"High,Medium,Low"</formula1>
    </dataValidation>
    <dataValidation sqref="G2:G52" showDropDown="0" showInputMessage="0" showErrorMessage="0" allowBlank="1" errorTitle="Not in list" error="Pick a value from the list." type="list">
      <formula1>"Google-documented,Platform-documented,Research-backed,MLforSEO practice,Unconfirmed (optional)"</formula1>
    </dataValidation>
  </dataValidations>
  <printOptions gridLines="0"/>
  <pageMargins left="0.75" right="0.75" top="1" bottom="1" header="0.5" footer="0.5"/>
  <pageSetup orientation="landscape" fitToHeight="0" fitToWidth="1"/>
</worksheet>
</file>

<file path=xl/worksheets/sheet3.xml><?xml version="1.0" encoding="utf-8"?>
<worksheet xmlns="http://schemas.openxmlformats.org/spreadsheetml/2006/main">
  <sheetPr>
    <tabColor rgb="008448EF"/>
    <outlinePr summaryBelow="1" summaryRight="1"/>
    <pageSetUpPr fitToPage="1"/>
  </sheetPr>
  <dimension ref="A1:M2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12" customWidth="1" min="12" max="12"/>
    <col width="28" customWidth="1" min="13" max="13"/>
  </cols>
  <sheetData>
    <row r="1" ht="32" customHeight="1">
      <c r="A1" s="12" t="inlineStr">
        <is>
          <t>Write the canonical value in column B, then what each platform currently shows. Leave a cell blank if that platform doesn't show the fact. Cells that differ from column B turn red (the comparison ignores upper and lower case). Add rows for any other facts you track.</t>
        </is>
      </c>
    </row>
    <row r="2" ht="32" customHeight="1">
      <c r="A2" s="13" t="inlineStr">
        <is>
          <t>Fact</t>
        </is>
      </c>
      <c r="B2" s="13" t="inlineStr">
        <is>
          <t>Canonical value (your source of truth)</t>
        </is>
      </c>
      <c r="C2" s="13" t="inlineStr">
        <is>
          <t>Website &amp; schema</t>
        </is>
      </c>
      <c r="D2" s="13" t="inlineStr">
        <is>
          <t>LinkedIn</t>
        </is>
      </c>
      <c r="E2" s="13" t="inlineStr">
        <is>
          <t>Crunchbase</t>
        </is>
      </c>
      <c r="F2" s="13" t="inlineStr">
        <is>
          <t>Wikidata</t>
        </is>
      </c>
      <c r="G2" s="13" t="inlineStr">
        <is>
          <t>Business Profile</t>
        </is>
      </c>
      <c r="H2" s="13" t="inlineStr">
        <is>
          <t>X / social</t>
        </is>
      </c>
      <c r="I2" s="13" t="inlineStr">
        <is>
          <t>YouTube</t>
        </is>
      </c>
      <c r="J2" s="13" t="inlineStr">
        <is>
          <t>Industry directory</t>
        </is>
      </c>
      <c r="K2" s="13" t="inlineStr">
        <is>
          <t>Company registry</t>
        </is>
      </c>
      <c r="L2" s="13" t="inlineStr">
        <is>
          <t>Mismatches</t>
        </is>
      </c>
      <c r="M2" s="13" t="inlineStr">
        <is>
          <t>Notes</t>
        </is>
      </c>
    </row>
    <row r="3" ht="30" customHeight="1">
      <c r="A3" s="16" t="inlineStr">
        <is>
          <t>Canonical brand name</t>
        </is>
      </c>
      <c r="B3" s="15" t="n"/>
      <c r="C3" s="15" t="n"/>
      <c r="D3" s="15" t="n"/>
      <c r="E3" s="15" t="n"/>
      <c r="F3" s="15" t="n"/>
      <c r="G3" s="15" t="n"/>
      <c r="H3" s="15" t="n"/>
      <c r="I3" s="15" t="n"/>
      <c r="J3" s="15" t="n"/>
      <c r="K3" s="15" t="n"/>
      <c r="L3" s="14">
        <f>IF($B3="","",SUMPRODUCT((C3:K3&lt;&gt;"")*(C3:K3&lt;&gt;$B3)))</f>
        <v/>
      </c>
      <c r="M3" s="15" t="n"/>
    </row>
    <row r="4" ht="30" customHeight="1">
      <c r="A4" s="16" t="inlineStr">
        <is>
          <t>Legal name</t>
        </is>
      </c>
      <c r="B4" s="15" t="n"/>
      <c r="C4" s="15" t="n"/>
      <c r="D4" s="15" t="n"/>
      <c r="E4" s="15" t="n"/>
      <c r="F4" s="15" t="n"/>
      <c r="G4" s="15" t="n"/>
      <c r="H4" s="15" t="n"/>
      <c r="I4" s="15" t="n"/>
      <c r="J4" s="15" t="n"/>
      <c r="K4" s="15" t="n"/>
      <c r="L4" s="14">
        <f>IF($B4="","",SUMPRODUCT((C4:K4&lt;&gt;"")*(C4:K4&lt;&gt;$B4)))</f>
        <v/>
      </c>
      <c r="M4" s="15" t="n"/>
    </row>
    <row r="5" ht="30" customHeight="1">
      <c r="A5" s="16" t="inlineStr">
        <is>
          <t>Other names / abbreviations</t>
        </is>
      </c>
      <c r="B5" s="15" t="n"/>
      <c r="C5" s="15" t="n"/>
      <c r="D5" s="15" t="n"/>
      <c r="E5" s="15" t="n"/>
      <c r="F5" s="15" t="n"/>
      <c r="G5" s="15" t="n"/>
      <c r="H5" s="15" t="n"/>
      <c r="I5" s="15" t="n"/>
      <c r="J5" s="15" t="n"/>
      <c r="K5" s="15" t="n"/>
      <c r="L5" s="14">
        <f>IF($B5="","",SUMPRODUCT((C5:K5&lt;&gt;"")*(C5:K5&lt;&gt;$B5)))</f>
        <v/>
      </c>
      <c r="M5" s="15" t="n"/>
    </row>
    <row r="6" ht="30" customHeight="1">
      <c r="A6" s="16" t="inlineStr">
        <is>
          <t>Website URL (exact)</t>
        </is>
      </c>
      <c r="B6" s="15" t="n"/>
      <c r="C6" s="15" t="n"/>
      <c r="D6" s="15" t="n"/>
      <c r="E6" s="15" t="n"/>
      <c r="F6" s="15" t="n"/>
      <c r="G6" s="15" t="n"/>
      <c r="H6" s="15" t="n"/>
      <c r="I6" s="15" t="n"/>
      <c r="J6" s="15" t="n"/>
      <c r="K6" s="15" t="n"/>
      <c r="L6" s="14">
        <f>IF($B6="","",SUMPRODUCT((C6:K6&lt;&gt;"")*(C6:K6&lt;&gt;$B6)))</f>
        <v/>
      </c>
      <c r="M6" s="15" t="n"/>
    </row>
    <row r="7" ht="30" customHeight="1">
      <c r="A7" s="16" t="inlineStr">
        <is>
          <t>One-sentence description</t>
        </is>
      </c>
      <c r="B7" s="15" t="n"/>
      <c r="C7" s="15" t="n"/>
      <c r="D7" s="15" t="n"/>
      <c r="E7" s="15" t="n"/>
      <c r="F7" s="15" t="n"/>
      <c r="G7" s="15" t="n"/>
      <c r="H7" s="15" t="n"/>
      <c r="I7" s="15" t="n"/>
      <c r="J7" s="15" t="n"/>
      <c r="K7" s="15" t="n"/>
      <c r="L7" s="14">
        <f>IF($B7="","",SUMPRODUCT((C7:K7&lt;&gt;"")*(C7:K7&lt;&gt;$B7)))</f>
        <v/>
      </c>
      <c r="M7" s="15" t="n"/>
    </row>
    <row r="8" ht="30" customHeight="1">
      <c r="A8" s="16" t="inlineStr">
        <is>
          <t>Category / industry</t>
        </is>
      </c>
      <c r="B8" s="15" t="n"/>
      <c r="C8" s="15" t="n"/>
      <c r="D8" s="15" t="n"/>
      <c r="E8" s="15" t="n"/>
      <c r="F8" s="15" t="n"/>
      <c r="G8" s="15" t="n"/>
      <c r="H8" s="15" t="n"/>
      <c r="I8" s="15" t="n"/>
      <c r="J8" s="15" t="n"/>
      <c r="K8" s="15" t="n"/>
      <c r="L8" s="14">
        <f>IF($B8="","",SUMPRODUCT((C8:K8&lt;&gt;"")*(C8:K8&lt;&gt;$B8)))</f>
        <v/>
      </c>
      <c r="M8" s="15" t="n"/>
    </row>
    <row r="9" ht="30" customHeight="1">
      <c r="A9" s="16" t="inlineStr">
        <is>
          <t>Founding date</t>
        </is>
      </c>
      <c r="B9" s="15" t="n"/>
      <c r="C9" s="15" t="n"/>
      <c r="D9" s="15" t="n"/>
      <c r="E9" s="15" t="n"/>
      <c r="F9" s="15" t="n"/>
      <c r="G9" s="15" t="n"/>
      <c r="H9" s="15" t="n"/>
      <c r="I9" s="15" t="n"/>
      <c r="J9" s="15" t="n"/>
      <c r="K9" s="15" t="n"/>
      <c r="L9" s="14">
        <f>IF($B9="","",SUMPRODUCT((C9:K9&lt;&gt;"")*(C9:K9&lt;&gt;$B9)))</f>
        <v/>
      </c>
      <c r="M9" s="15" t="n"/>
    </row>
    <row r="10" ht="30" customHeight="1">
      <c r="A10" s="16" t="inlineStr">
        <is>
          <t>Founders</t>
        </is>
      </c>
      <c r="B10" s="15" t="n"/>
      <c r="C10" s="15" t="n"/>
      <c r="D10" s="15" t="n"/>
      <c r="E10" s="15" t="n"/>
      <c r="F10" s="15" t="n"/>
      <c r="G10" s="15" t="n"/>
      <c r="H10" s="15" t="n"/>
      <c r="I10" s="15" t="n"/>
      <c r="J10" s="15" t="n"/>
      <c r="K10" s="15" t="n"/>
      <c r="L10" s="14">
        <f>IF($B10="","",SUMPRODUCT((C10:K10&lt;&gt;"")*(C10:K10&lt;&gt;$B10)))</f>
        <v/>
      </c>
      <c r="M10" s="15" t="n"/>
    </row>
    <row r="11" ht="30" customHeight="1">
      <c r="A11" s="16" t="inlineStr">
        <is>
          <t>Current CEO / leader</t>
        </is>
      </c>
      <c r="B11" s="15" t="n"/>
      <c r="C11" s="15" t="n"/>
      <c r="D11" s="15" t="n"/>
      <c r="E11" s="15" t="n"/>
      <c r="F11" s="15" t="n"/>
      <c r="G11" s="15" t="n"/>
      <c r="H11" s="15" t="n"/>
      <c r="I11" s="15" t="n"/>
      <c r="J11" s="15" t="n"/>
      <c r="K11" s="15" t="n"/>
      <c r="L11" s="14">
        <f>IF($B11="","",SUMPRODUCT((C11:K11&lt;&gt;"")*(C11:K11&lt;&gt;$B11)))</f>
        <v/>
      </c>
      <c r="M11" s="15" t="n"/>
    </row>
    <row r="12" ht="30" customHeight="1">
      <c r="A12" s="16" t="inlineStr">
        <is>
          <t>Headquarters address</t>
        </is>
      </c>
      <c r="B12" s="15" t="n"/>
      <c r="C12" s="15" t="n"/>
      <c r="D12" s="15" t="n"/>
      <c r="E12" s="15" t="n"/>
      <c r="F12" s="15" t="n"/>
      <c r="G12" s="15" t="n"/>
      <c r="H12" s="15" t="n"/>
      <c r="I12" s="15" t="n"/>
      <c r="J12" s="15" t="n"/>
      <c r="K12" s="15" t="n"/>
      <c r="L12" s="14">
        <f>IF($B12="","",SUMPRODUCT((C12:K12&lt;&gt;"")*(C12:K12&lt;&gt;$B12)))</f>
        <v/>
      </c>
      <c r="M12" s="15" t="n"/>
    </row>
    <row r="13" ht="30" customHeight="1">
      <c r="A13" s="16" t="inlineStr">
        <is>
          <t>Phone</t>
        </is>
      </c>
      <c r="B13" s="15" t="n"/>
      <c r="C13" s="15" t="n"/>
      <c r="D13" s="15" t="n"/>
      <c r="E13" s="15" t="n"/>
      <c r="F13" s="15" t="n"/>
      <c r="G13" s="15" t="n"/>
      <c r="H13" s="15" t="n"/>
      <c r="I13" s="15" t="n"/>
      <c r="J13" s="15" t="n"/>
      <c r="K13" s="15" t="n"/>
      <c r="L13" s="14">
        <f>IF($B13="","",SUMPRODUCT((C13:K13&lt;&gt;"")*(C13:K13&lt;&gt;$B13)))</f>
        <v/>
      </c>
      <c r="M13" s="15" t="n"/>
    </row>
    <row r="14" ht="30" customHeight="1">
      <c r="A14" s="16" t="inlineStr">
        <is>
          <t>Employee range</t>
        </is>
      </c>
      <c r="B14" s="15" t="n"/>
      <c r="C14" s="15" t="n"/>
      <c r="D14" s="15" t="n"/>
      <c r="E14" s="15" t="n"/>
      <c r="F14" s="15" t="n"/>
      <c r="G14" s="15" t="n"/>
      <c r="H14" s="15" t="n"/>
      <c r="I14" s="15" t="n"/>
      <c r="J14" s="15" t="n"/>
      <c r="K14" s="15" t="n"/>
      <c r="L14" s="14">
        <f>IF($B14="","",SUMPRODUCT((C14:K14&lt;&gt;"")*(C14:K14&lt;&gt;$B14)))</f>
        <v/>
      </c>
      <c r="M14" s="15" t="n"/>
    </row>
    <row r="15" ht="30" customHeight="1">
      <c r="A15" s="16" t="inlineStr">
        <is>
          <t>Logo URL</t>
        </is>
      </c>
      <c r="B15" s="15" t="n"/>
      <c r="C15" s="15" t="n"/>
      <c r="D15" s="15" t="n"/>
      <c r="E15" s="15" t="n"/>
      <c r="F15" s="15" t="n"/>
      <c r="G15" s="15" t="n"/>
      <c r="H15" s="15" t="n"/>
      <c r="I15" s="15" t="n"/>
      <c r="J15" s="15" t="n"/>
      <c r="K15" s="15" t="n"/>
      <c r="L15" s="14">
        <f>IF($B15="","",SUMPRODUCT((C15:K15&lt;&gt;"")*(C15:K15&lt;&gt;$B15)))</f>
        <v/>
      </c>
      <c r="M15" s="15" t="n"/>
    </row>
    <row r="16" ht="30" customHeight="1">
      <c r="A16" s="16" t="inlineStr">
        <is>
          <t>Wikidata Q-ID</t>
        </is>
      </c>
      <c r="B16" s="15" t="n"/>
      <c r="C16" s="15" t="n"/>
      <c r="D16" s="15" t="n"/>
      <c r="E16" s="15" t="n"/>
      <c r="F16" s="15" t="n"/>
      <c r="G16" s="15" t="n"/>
      <c r="H16" s="15" t="n"/>
      <c r="I16" s="15" t="n"/>
      <c r="J16" s="15" t="n"/>
      <c r="K16" s="15" t="n"/>
      <c r="L16" s="14">
        <f>IF($B16="","",SUMPRODUCT((C16:K16&lt;&gt;"")*(C16:K16&lt;&gt;$B16)))</f>
        <v/>
      </c>
      <c r="M16" s="15" t="n"/>
    </row>
    <row r="17" ht="30" customHeight="1">
      <c r="A17" s="16" t="inlineStr">
        <is>
          <t>Knowledge Graph ID</t>
        </is>
      </c>
      <c r="B17" s="15" t="n"/>
      <c r="C17" s="15" t="n"/>
      <c r="D17" s="15" t="n"/>
      <c r="E17" s="15" t="n"/>
      <c r="F17" s="15" t="n"/>
      <c r="G17" s="15" t="n"/>
      <c r="H17" s="15" t="n"/>
      <c r="I17" s="15" t="n"/>
      <c r="J17" s="15" t="n"/>
      <c r="K17" s="15" t="n"/>
      <c r="L17" s="14">
        <f>IF($B17="","",SUMPRODUCT((C17:K17&lt;&gt;"")*(C17:K17&lt;&gt;$B17)))</f>
        <v/>
      </c>
      <c r="M17" s="15" t="n"/>
    </row>
    <row r="18" ht="30" customHeight="1">
      <c r="A18" s="16" t="n"/>
      <c r="B18" s="15" t="n"/>
      <c r="C18" s="15" t="n"/>
      <c r="D18" s="15" t="n"/>
      <c r="E18" s="15" t="n"/>
      <c r="F18" s="15" t="n"/>
      <c r="G18" s="15" t="n"/>
      <c r="H18" s="15" t="n"/>
      <c r="I18" s="15" t="n"/>
      <c r="J18" s="15" t="n"/>
      <c r="K18" s="15" t="n"/>
      <c r="L18" s="14">
        <f>IF($B18="","",SUMPRODUCT((C18:K18&lt;&gt;"")*(C18:K18&lt;&gt;$B18)))</f>
        <v/>
      </c>
      <c r="M18" s="15" t="n"/>
    </row>
    <row r="19" ht="30" customHeight="1">
      <c r="A19" s="16" t="n"/>
      <c r="B19" s="15" t="n"/>
      <c r="C19" s="15" t="n"/>
      <c r="D19" s="15" t="n"/>
      <c r="E19" s="15" t="n"/>
      <c r="F19" s="15" t="n"/>
      <c r="G19" s="15" t="n"/>
      <c r="H19" s="15" t="n"/>
      <c r="I19" s="15" t="n"/>
      <c r="J19" s="15" t="n"/>
      <c r="K19" s="15" t="n"/>
      <c r="L19" s="14">
        <f>IF($B19="","",SUMPRODUCT((C19:K19&lt;&gt;"")*(C19:K19&lt;&gt;$B19)))</f>
        <v/>
      </c>
      <c r="M19" s="15" t="n"/>
    </row>
    <row r="20" ht="30" customHeight="1">
      <c r="A20" s="16" t="n"/>
      <c r="B20" s="15" t="n"/>
      <c r="C20" s="15" t="n"/>
      <c r="D20" s="15" t="n"/>
      <c r="E20" s="15" t="n"/>
      <c r="F20" s="15" t="n"/>
      <c r="G20" s="15" t="n"/>
      <c r="H20" s="15" t="n"/>
      <c r="I20" s="15" t="n"/>
      <c r="J20" s="15" t="n"/>
      <c r="K20" s="15" t="n"/>
      <c r="L20" s="14">
        <f>IF($B20="","",SUMPRODUCT((C20:K20&lt;&gt;"")*(C20:K20&lt;&gt;$B20)))</f>
        <v/>
      </c>
      <c r="M20" s="15" t="n"/>
    </row>
    <row r="21" ht="30" customHeight="1">
      <c r="A21" s="16" t="n"/>
      <c r="B21" s="15" t="n"/>
      <c r="C21" s="15" t="n"/>
      <c r="D21" s="15" t="n"/>
      <c r="E21" s="15" t="n"/>
      <c r="F21" s="15" t="n"/>
      <c r="G21" s="15" t="n"/>
      <c r="H21" s="15" t="n"/>
      <c r="I21" s="15" t="n"/>
      <c r="J21" s="15" t="n"/>
      <c r="K21" s="15" t="n"/>
      <c r="L21" s="14">
        <f>IF($B21="","",SUMPRODUCT((C21:K21&lt;&gt;"")*(C21:K21&lt;&gt;$B21)))</f>
        <v/>
      </c>
      <c r="M21" s="15" t="n"/>
    </row>
    <row r="22" ht="30" customHeight="1">
      <c r="A22" s="16" t="n"/>
      <c r="B22" s="15" t="n"/>
      <c r="C22" s="15" t="n"/>
      <c r="D22" s="15" t="n"/>
      <c r="E22" s="15" t="n"/>
      <c r="F22" s="15" t="n"/>
      <c r="G22" s="15" t="n"/>
      <c r="H22" s="15" t="n"/>
      <c r="I22" s="15" t="n"/>
      <c r="J22" s="15" t="n"/>
      <c r="K22" s="15" t="n"/>
      <c r="L22" s="14">
        <f>IF($B22="","",SUMPRODUCT((C22:K22&lt;&gt;"")*(C22:K22&lt;&gt;$B22)))</f>
        <v/>
      </c>
      <c r="M22" s="15" t="n"/>
    </row>
  </sheetData>
  <mergeCells count="1">
    <mergeCell ref="A1:M1"/>
  </mergeCells>
  <conditionalFormatting sqref="C3:K22">
    <cfRule type="expression" priority="1" dxfId="6" stopIfTrue="1">
      <formula>AND(C3&lt;&gt;"",$B3&lt;&gt;"",C3&lt;&gt;$B3)</formula>
    </cfRule>
  </conditionalFormatting>
  <conditionalFormatting sqref="L3:L22">
    <cfRule type="cellIs" priority="2" operator="greaterThan" dxfId="4">
      <formula>0</formula>
    </cfRule>
  </conditionalFormatting>
  <conditionalFormatting sqref="B3:B22">
    <cfRule type="expression" priority="3" dxfId="5">
      <formula>TRUE</formula>
    </cfRule>
  </conditionalFormatting>
  <printOptions gridLines="0"/>
  <pageMargins left="0.75" right="0.75" top="1" bottom="1" header="0.5" footer="0.5"/>
  <pageSetup orientation="landscape" fitToHeight="0" fitToWidth="1"/>
</worksheet>
</file>

<file path=xl/worksheets/sheet4.xml><?xml version="1.0" encoding="utf-8"?>
<worksheet xmlns="http://schemas.openxmlformats.org/spreadsheetml/2006/main">
  <sheetPr>
    <tabColor rgb="008448EF"/>
    <outlinePr summaryBelow="1" summaryRight="1"/>
    <pageSetUpPr fitToPage="1"/>
  </sheetPr>
  <dimension ref="A1:J3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10" customWidth="1" min="3" max="3"/>
    <col width="9" customWidth="1" min="4" max="4"/>
    <col width="36" customWidth="1" min="5" max="5"/>
    <col width="30" customWidth="1" min="6" max="6"/>
    <col width="20" customWidth="1" min="7" max="7"/>
    <col width="18" customWidth="1" min="8" max="8"/>
    <col width="10" customWidth="1" min="9" max="9"/>
    <col width="32" customWidth="1" min="10" max="10"/>
  </cols>
  <sheetData>
    <row r="1" ht="34" customHeight="1">
      <c r="A1" s="12" t="inlineStr">
        <is>
          <t>One row per result on page one, per query and device. Log the exact brand name first, then brand + modifier queries (reviews, pricing, vs competitor, founder name). Delete the example rows.</t>
        </is>
      </c>
    </row>
    <row r="2" ht="30" customHeight="1">
      <c r="A2" s="13" t="inlineStr">
        <is>
          <t>Date</t>
        </is>
      </c>
      <c r="B2" s="13" t="inlineStr">
        <is>
          <t>Query</t>
        </is>
      </c>
      <c r="C2" s="13" t="inlineStr">
        <is>
          <t>Device</t>
        </is>
      </c>
      <c r="D2" s="13" t="inlineStr">
        <is>
          <t>Position</t>
        </is>
      </c>
      <c r="E2" s="13" t="inlineStr">
        <is>
          <t>URL</t>
        </is>
      </c>
      <c r="F2" s="13" t="inlineStr">
        <is>
          <t>Title / source</t>
        </is>
      </c>
      <c r="G2" s="13" t="inlineStr">
        <is>
          <t>Result type</t>
        </is>
      </c>
      <c r="H2" s="13" t="inlineStr">
        <is>
          <t>SERP feature</t>
        </is>
      </c>
      <c r="I2" s="13" t="inlineStr">
        <is>
          <t>Accurate?</t>
        </is>
      </c>
      <c r="J2" s="13" t="inlineStr">
        <is>
          <t>Notes</t>
        </is>
      </c>
    </row>
    <row r="3">
      <c r="A3" s="18" t="inlineStr">
        <is>
          <t>2026-10-01</t>
        </is>
      </c>
      <c r="B3" s="18" t="inlineStr">
        <is>
          <t>acme software</t>
        </is>
      </c>
      <c r="C3" s="18" t="inlineStr">
        <is>
          <t>Desktop</t>
        </is>
      </c>
      <c r="D3" s="18" t="n">
        <v>1</v>
      </c>
      <c r="E3" s="18" t="inlineStr">
        <is>
          <t>https://www.example.com/</t>
        </is>
      </c>
      <c r="F3" s="18" t="inlineStr">
        <is>
          <t>Acme Software: project management for remote teams</t>
        </is>
      </c>
      <c r="G3" s="18" t="inlineStr">
        <is>
          <t>Owned site</t>
        </is>
      </c>
      <c r="H3" s="18" t="inlineStr">
        <is>
          <t>Sitelinks</t>
        </is>
      </c>
      <c r="I3" s="18" t="inlineStr">
        <is>
          <t>Yes</t>
        </is>
      </c>
      <c r="J3" s="18" t="inlineStr">
        <is>
          <t>EXAMPLE ROW: delete.</t>
        </is>
      </c>
    </row>
    <row r="4">
      <c r="A4" s="18" t="inlineStr">
        <is>
          <t>2026-10-01</t>
        </is>
      </c>
      <c r="B4" s="18" t="inlineStr">
        <is>
          <t>acme software</t>
        </is>
      </c>
      <c r="C4" s="18" t="inlineStr">
        <is>
          <t>Desktop</t>
        </is>
      </c>
      <c r="D4" s="18" t="n">
        <v>2</v>
      </c>
      <c r="E4" s="18" t="inlineStr">
        <is>
          <t>https://www.linkedin.com/company/example</t>
        </is>
      </c>
      <c r="F4" s="18" t="inlineStr">
        <is>
          <t>Acme Software | LinkedIn</t>
        </is>
      </c>
      <c r="G4" s="18" t="inlineStr">
        <is>
          <t>Official profile</t>
        </is>
      </c>
      <c r="H4" s="18" t="inlineStr">
        <is>
          <t>Organic result</t>
        </is>
      </c>
      <c r="I4" s="18" t="inlineStr">
        <is>
          <t>Partly</t>
        </is>
      </c>
      <c r="J4" s="18" t="inlineStr">
        <is>
          <t>EXAMPLE ROW: delete. Old HQ address.</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row r="57">
      <c r="A57" s="15" t="n"/>
      <c r="B57" s="15" t="n"/>
      <c r="C57" s="15" t="n"/>
      <c r="D57" s="15" t="n"/>
      <c r="E57" s="15" t="n"/>
      <c r="F57" s="15" t="n"/>
      <c r="G57" s="15" t="n"/>
      <c r="H57" s="15" t="n"/>
      <c r="I57" s="15" t="n"/>
      <c r="J57" s="15" t="n"/>
    </row>
    <row r="58">
      <c r="A58" s="15" t="n"/>
      <c r="B58" s="15" t="n"/>
      <c r="C58" s="15" t="n"/>
      <c r="D58" s="15" t="n"/>
      <c r="E58" s="15" t="n"/>
      <c r="F58" s="15" t="n"/>
      <c r="G58" s="15" t="n"/>
      <c r="H58" s="15" t="n"/>
      <c r="I58" s="15" t="n"/>
      <c r="J58" s="15" t="n"/>
    </row>
    <row r="59">
      <c r="A59" s="15" t="n"/>
      <c r="B59" s="15" t="n"/>
      <c r="C59" s="15" t="n"/>
      <c r="D59" s="15" t="n"/>
      <c r="E59" s="15" t="n"/>
      <c r="F59" s="15" t="n"/>
      <c r="G59" s="15" t="n"/>
      <c r="H59" s="15" t="n"/>
      <c r="I59" s="15" t="n"/>
      <c r="J59" s="15" t="n"/>
    </row>
    <row r="60">
      <c r="A60" s="15" t="n"/>
      <c r="B60" s="15" t="n"/>
      <c r="C60" s="15" t="n"/>
      <c r="D60" s="15" t="n"/>
      <c r="E60" s="15" t="n"/>
      <c r="F60" s="15" t="n"/>
      <c r="G60" s="15" t="n"/>
      <c r="H60" s="15" t="n"/>
      <c r="I60" s="15" t="n"/>
      <c r="J60" s="15" t="n"/>
    </row>
    <row r="61">
      <c r="A61" s="15" t="n"/>
      <c r="B61" s="15" t="n"/>
      <c r="C61" s="15" t="n"/>
      <c r="D61" s="15" t="n"/>
      <c r="E61" s="15" t="n"/>
      <c r="F61" s="15" t="n"/>
      <c r="G61" s="15" t="n"/>
      <c r="H61" s="15" t="n"/>
      <c r="I61" s="15" t="n"/>
      <c r="J61" s="15" t="n"/>
    </row>
    <row r="62">
      <c r="A62" s="15" t="n"/>
      <c r="B62" s="15" t="n"/>
      <c r="C62" s="15" t="n"/>
      <c r="D62" s="15" t="n"/>
      <c r="E62" s="15" t="n"/>
      <c r="F62" s="15" t="n"/>
      <c r="G62" s="15" t="n"/>
      <c r="H62" s="15" t="n"/>
      <c r="I62" s="15" t="n"/>
      <c r="J62" s="15" t="n"/>
    </row>
    <row r="63">
      <c r="A63" s="15" t="n"/>
      <c r="B63" s="15" t="n"/>
      <c r="C63" s="15" t="n"/>
      <c r="D63" s="15" t="n"/>
      <c r="E63" s="15" t="n"/>
      <c r="F63" s="15" t="n"/>
      <c r="G63" s="15" t="n"/>
      <c r="H63" s="15" t="n"/>
      <c r="I63" s="15" t="n"/>
      <c r="J63" s="15" t="n"/>
    </row>
    <row r="64">
      <c r="A64" s="15" t="n"/>
      <c r="B64" s="15" t="n"/>
      <c r="C64" s="15" t="n"/>
      <c r="D64" s="15" t="n"/>
      <c r="E64" s="15" t="n"/>
      <c r="F64" s="15" t="n"/>
      <c r="G64" s="15" t="n"/>
      <c r="H64" s="15" t="n"/>
      <c r="I64" s="15" t="n"/>
      <c r="J64" s="15" t="n"/>
    </row>
    <row r="65">
      <c r="A65" s="15" t="n"/>
      <c r="B65" s="15" t="n"/>
      <c r="C65" s="15" t="n"/>
      <c r="D65" s="15" t="n"/>
      <c r="E65" s="15" t="n"/>
      <c r="F65" s="15" t="n"/>
      <c r="G65" s="15" t="n"/>
      <c r="H65" s="15" t="n"/>
      <c r="I65" s="15" t="n"/>
      <c r="J65" s="15" t="n"/>
    </row>
    <row r="66">
      <c r="A66" s="15" t="n"/>
      <c r="B66" s="15" t="n"/>
      <c r="C66" s="15" t="n"/>
      <c r="D66" s="15" t="n"/>
      <c r="E66" s="15" t="n"/>
      <c r="F66" s="15" t="n"/>
      <c r="G66" s="15" t="n"/>
      <c r="H66" s="15" t="n"/>
      <c r="I66" s="15" t="n"/>
      <c r="J66" s="15" t="n"/>
    </row>
    <row r="67">
      <c r="A67" s="15" t="n"/>
      <c r="B67" s="15" t="n"/>
      <c r="C67" s="15" t="n"/>
      <c r="D67" s="15" t="n"/>
      <c r="E67" s="15" t="n"/>
      <c r="F67" s="15" t="n"/>
      <c r="G67" s="15" t="n"/>
      <c r="H67" s="15" t="n"/>
      <c r="I67" s="15" t="n"/>
      <c r="J67" s="15" t="n"/>
    </row>
    <row r="68">
      <c r="A68" s="15" t="n"/>
      <c r="B68" s="15" t="n"/>
      <c r="C68" s="15" t="n"/>
      <c r="D68" s="15" t="n"/>
      <c r="E68" s="15" t="n"/>
      <c r="F68" s="15" t="n"/>
      <c r="G68" s="15" t="n"/>
      <c r="H68" s="15" t="n"/>
      <c r="I68" s="15" t="n"/>
      <c r="J68" s="15" t="n"/>
    </row>
    <row r="69">
      <c r="A69" s="15" t="n"/>
      <c r="B69" s="15" t="n"/>
      <c r="C69" s="15" t="n"/>
      <c r="D69" s="15" t="n"/>
      <c r="E69" s="15" t="n"/>
      <c r="F69" s="15" t="n"/>
      <c r="G69" s="15" t="n"/>
      <c r="H69" s="15" t="n"/>
      <c r="I69" s="15" t="n"/>
      <c r="J69" s="15" t="n"/>
    </row>
    <row r="70">
      <c r="A70" s="15" t="n"/>
      <c r="B70" s="15" t="n"/>
      <c r="C70" s="15" t="n"/>
      <c r="D70" s="15" t="n"/>
      <c r="E70" s="15" t="n"/>
      <c r="F70" s="15" t="n"/>
      <c r="G70" s="15" t="n"/>
      <c r="H70" s="15" t="n"/>
      <c r="I70" s="15" t="n"/>
      <c r="J70" s="15" t="n"/>
    </row>
    <row r="71">
      <c r="A71" s="15" t="n"/>
      <c r="B71" s="15" t="n"/>
      <c r="C71" s="15" t="n"/>
      <c r="D71" s="15" t="n"/>
      <c r="E71" s="15" t="n"/>
      <c r="F71" s="15" t="n"/>
      <c r="G71" s="15" t="n"/>
      <c r="H71" s="15" t="n"/>
      <c r="I71" s="15" t="n"/>
      <c r="J71" s="15" t="n"/>
    </row>
    <row r="72">
      <c r="A72" s="15" t="n"/>
      <c r="B72" s="15" t="n"/>
      <c r="C72" s="15" t="n"/>
      <c r="D72" s="15" t="n"/>
      <c r="E72" s="15" t="n"/>
      <c r="F72" s="15" t="n"/>
      <c r="G72" s="15" t="n"/>
      <c r="H72" s="15" t="n"/>
      <c r="I72" s="15" t="n"/>
      <c r="J72" s="15" t="n"/>
    </row>
    <row r="73">
      <c r="A73" s="15" t="n"/>
      <c r="B73" s="15" t="n"/>
      <c r="C73" s="15" t="n"/>
      <c r="D73" s="15" t="n"/>
      <c r="E73" s="15" t="n"/>
      <c r="F73" s="15" t="n"/>
      <c r="G73" s="15" t="n"/>
      <c r="H73" s="15" t="n"/>
      <c r="I73" s="15" t="n"/>
      <c r="J73" s="15" t="n"/>
    </row>
    <row r="74">
      <c r="A74" s="15" t="n"/>
      <c r="B74" s="15" t="n"/>
      <c r="C74" s="15" t="n"/>
      <c r="D74" s="15" t="n"/>
      <c r="E74" s="15" t="n"/>
      <c r="F74" s="15" t="n"/>
      <c r="G74" s="15" t="n"/>
      <c r="H74" s="15" t="n"/>
      <c r="I74" s="15" t="n"/>
      <c r="J74" s="15" t="n"/>
    </row>
    <row r="75">
      <c r="A75" s="15" t="n"/>
      <c r="B75" s="15" t="n"/>
      <c r="C75" s="15" t="n"/>
      <c r="D75" s="15" t="n"/>
      <c r="E75" s="15" t="n"/>
      <c r="F75" s="15" t="n"/>
      <c r="G75" s="15" t="n"/>
      <c r="H75" s="15" t="n"/>
      <c r="I75" s="15" t="n"/>
      <c r="J75" s="15" t="n"/>
    </row>
    <row r="76">
      <c r="A76" s="15" t="n"/>
      <c r="B76" s="15" t="n"/>
      <c r="C76" s="15" t="n"/>
      <c r="D76" s="15" t="n"/>
      <c r="E76" s="15" t="n"/>
      <c r="F76" s="15" t="n"/>
      <c r="G76" s="15" t="n"/>
      <c r="H76" s="15" t="n"/>
      <c r="I76" s="15" t="n"/>
      <c r="J76" s="15" t="n"/>
    </row>
    <row r="77">
      <c r="A77" s="15" t="n"/>
      <c r="B77" s="15" t="n"/>
      <c r="C77" s="15" t="n"/>
      <c r="D77" s="15" t="n"/>
      <c r="E77" s="15" t="n"/>
      <c r="F77" s="15" t="n"/>
      <c r="G77" s="15" t="n"/>
      <c r="H77" s="15" t="n"/>
      <c r="I77" s="15" t="n"/>
      <c r="J77" s="15" t="n"/>
    </row>
    <row r="78">
      <c r="A78" s="15" t="n"/>
      <c r="B78" s="15" t="n"/>
      <c r="C78" s="15" t="n"/>
      <c r="D78" s="15" t="n"/>
      <c r="E78" s="15" t="n"/>
      <c r="F78" s="15" t="n"/>
      <c r="G78" s="15" t="n"/>
      <c r="H78" s="15" t="n"/>
      <c r="I78" s="15" t="n"/>
      <c r="J78" s="15" t="n"/>
    </row>
    <row r="79">
      <c r="A79" s="15" t="n"/>
      <c r="B79" s="15" t="n"/>
      <c r="C79" s="15" t="n"/>
      <c r="D79" s="15" t="n"/>
      <c r="E79" s="15" t="n"/>
      <c r="F79" s="15" t="n"/>
      <c r="G79" s="15" t="n"/>
      <c r="H79" s="15" t="n"/>
      <c r="I79" s="15" t="n"/>
      <c r="J79" s="15" t="n"/>
    </row>
    <row r="80">
      <c r="A80" s="15" t="n"/>
      <c r="B80" s="15" t="n"/>
      <c r="C80" s="15" t="n"/>
      <c r="D80" s="15" t="n"/>
      <c r="E80" s="15" t="n"/>
      <c r="F80" s="15" t="n"/>
      <c r="G80" s="15" t="n"/>
      <c r="H80" s="15" t="n"/>
      <c r="I80" s="15" t="n"/>
      <c r="J80" s="15" t="n"/>
    </row>
    <row r="81">
      <c r="A81" s="15" t="n"/>
      <c r="B81" s="15" t="n"/>
      <c r="C81" s="15" t="n"/>
      <c r="D81" s="15" t="n"/>
      <c r="E81" s="15" t="n"/>
      <c r="F81" s="15" t="n"/>
      <c r="G81" s="15" t="n"/>
      <c r="H81" s="15" t="n"/>
      <c r="I81" s="15" t="n"/>
      <c r="J81" s="15" t="n"/>
    </row>
    <row r="82">
      <c r="A82" s="15" t="n"/>
      <c r="B82" s="15" t="n"/>
      <c r="C82" s="15" t="n"/>
      <c r="D82" s="15" t="n"/>
      <c r="E82" s="15" t="n"/>
      <c r="F82" s="15" t="n"/>
      <c r="G82" s="15" t="n"/>
      <c r="H82" s="15" t="n"/>
      <c r="I82" s="15" t="n"/>
      <c r="J82" s="15" t="n"/>
    </row>
    <row r="83">
      <c r="A83" s="15" t="n"/>
      <c r="B83" s="15" t="n"/>
      <c r="C83" s="15" t="n"/>
      <c r="D83" s="15" t="n"/>
      <c r="E83" s="15" t="n"/>
      <c r="F83" s="15" t="n"/>
      <c r="G83" s="15" t="n"/>
      <c r="H83" s="15" t="n"/>
      <c r="I83" s="15" t="n"/>
      <c r="J83" s="15" t="n"/>
    </row>
    <row r="84">
      <c r="A84" s="15" t="n"/>
      <c r="B84" s="15" t="n"/>
      <c r="C84" s="15" t="n"/>
      <c r="D84" s="15" t="n"/>
      <c r="E84" s="15" t="n"/>
      <c r="F84" s="15" t="n"/>
      <c r="G84" s="15" t="n"/>
      <c r="H84" s="15" t="n"/>
      <c r="I84" s="15" t="n"/>
      <c r="J84" s="15" t="n"/>
    </row>
    <row r="85">
      <c r="A85" s="15" t="n"/>
      <c r="B85" s="15" t="n"/>
      <c r="C85" s="15" t="n"/>
      <c r="D85" s="15" t="n"/>
      <c r="E85" s="15" t="n"/>
      <c r="F85" s="15" t="n"/>
      <c r="G85" s="15" t="n"/>
      <c r="H85" s="15" t="n"/>
      <c r="I85" s="15" t="n"/>
      <c r="J85" s="15" t="n"/>
    </row>
    <row r="86">
      <c r="A86" s="15" t="n"/>
      <c r="B86" s="15" t="n"/>
      <c r="C86" s="15" t="n"/>
      <c r="D86" s="15" t="n"/>
      <c r="E86" s="15" t="n"/>
      <c r="F86" s="15" t="n"/>
      <c r="G86" s="15" t="n"/>
      <c r="H86" s="15" t="n"/>
      <c r="I86" s="15" t="n"/>
      <c r="J86" s="15" t="n"/>
    </row>
    <row r="87">
      <c r="A87" s="15" t="n"/>
      <c r="B87" s="15" t="n"/>
      <c r="C87" s="15" t="n"/>
      <c r="D87" s="15" t="n"/>
      <c r="E87" s="15" t="n"/>
      <c r="F87" s="15" t="n"/>
      <c r="G87" s="15" t="n"/>
      <c r="H87" s="15" t="n"/>
      <c r="I87" s="15" t="n"/>
      <c r="J87" s="15" t="n"/>
    </row>
    <row r="88">
      <c r="A88" s="15" t="n"/>
      <c r="B88" s="15" t="n"/>
      <c r="C88" s="15" t="n"/>
      <c r="D88" s="15" t="n"/>
      <c r="E88" s="15" t="n"/>
      <c r="F88" s="15" t="n"/>
      <c r="G88" s="15" t="n"/>
      <c r="H88" s="15" t="n"/>
      <c r="I88" s="15" t="n"/>
      <c r="J88" s="15" t="n"/>
    </row>
    <row r="89">
      <c r="A89" s="15" t="n"/>
      <c r="B89" s="15" t="n"/>
      <c r="C89" s="15" t="n"/>
      <c r="D89" s="15" t="n"/>
      <c r="E89" s="15" t="n"/>
      <c r="F89" s="15" t="n"/>
      <c r="G89" s="15" t="n"/>
      <c r="H89" s="15" t="n"/>
      <c r="I89" s="15" t="n"/>
      <c r="J89" s="15" t="n"/>
    </row>
    <row r="90">
      <c r="A90" s="15" t="n"/>
      <c r="B90" s="15" t="n"/>
      <c r="C90" s="15" t="n"/>
      <c r="D90" s="15" t="n"/>
      <c r="E90" s="15" t="n"/>
      <c r="F90" s="15" t="n"/>
      <c r="G90" s="15" t="n"/>
      <c r="H90" s="15" t="n"/>
      <c r="I90" s="15" t="n"/>
      <c r="J90" s="15" t="n"/>
    </row>
    <row r="91">
      <c r="A91" s="15" t="n"/>
      <c r="B91" s="15" t="n"/>
      <c r="C91" s="15" t="n"/>
      <c r="D91" s="15" t="n"/>
      <c r="E91" s="15" t="n"/>
      <c r="F91" s="15" t="n"/>
      <c r="G91" s="15" t="n"/>
      <c r="H91" s="15" t="n"/>
      <c r="I91" s="15" t="n"/>
      <c r="J91" s="15" t="n"/>
    </row>
    <row r="92">
      <c r="A92" s="15" t="n"/>
      <c r="B92" s="15" t="n"/>
      <c r="C92" s="15" t="n"/>
      <c r="D92" s="15" t="n"/>
      <c r="E92" s="15" t="n"/>
      <c r="F92" s="15" t="n"/>
      <c r="G92" s="15" t="n"/>
      <c r="H92" s="15" t="n"/>
      <c r="I92" s="15" t="n"/>
      <c r="J92" s="15" t="n"/>
    </row>
    <row r="93">
      <c r="A93" s="15" t="n"/>
      <c r="B93" s="15" t="n"/>
      <c r="C93" s="15" t="n"/>
      <c r="D93" s="15" t="n"/>
      <c r="E93" s="15" t="n"/>
      <c r="F93" s="15" t="n"/>
      <c r="G93" s="15" t="n"/>
      <c r="H93" s="15" t="n"/>
      <c r="I93" s="15" t="n"/>
      <c r="J93" s="15" t="n"/>
    </row>
    <row r="94">
      <c r="A94" s="15" t="n"/>
      <c r="B94" s="15" t="n"/>
      <c r="C94" s="15" t="n"/>
      <c r="D94" s="15" t="n"/>
      <c r="E94" s="15" t="n"/>
      <c r="F94" s="15" t="n"/>
      <c r="G94" s="15" t="n"/>
      <c r="H94" s="15" t="n"/>
      <c r="I94" s="15" t="n"/>
      <c r="J94" s="15" t="n"/>
    </row>
    <row r="95">
      <c r="A95" s="15" t="n"/>
      <c r="B95" s="15" t="n"/>
      <c r="C95" s="15" t="n"/>
      <c r="D95" s="15" t="n"/>
      <c r="E95" s="15" t="n"/>
      <c r="F95" s="15" t="n"/>
      <c r="G95" s="15" t="n"/>
      <c r="H95" s="15" t="n"/>
      <c r="I95" s="15" t="n"/>
      <c r="J95" s="15" t="n"/>
    </row>
    <row r="96">
      <c r="A96" s="15" t="n"/>
      <c r="B96" s="15" t="n"/>
      <c r="C96" s="15" t="n"/>
      <c r="D96" s="15" t="n"/>
      <c r="E96" s="15" t="n"/>
      <c r="F96" s="15" t="n"/>
      <c r="G96" s="15" t="n"/>
      <c r="H96" s="15" t="n"/>
      <c r="I96" s="15" t="n"/>
      <c r="J96" s="15" t="n"/>
    </row>
    <row r="97">
      <c r="A97" s="15" t="n"/>
      <c r="B97" s="15" t="n"/>
      <c r="C97" s="15" t="n"/>
      <c r="D97" s="15" t="n"/>
      <c r="E97" s="15" t="n"/>
      <c r="F97" s="15" t="n"/>
      <c r="G97" s="15" t="n"/>
      <c r="H97" s="15" t="n"/>
      <c r="I97" s="15" t="n"/>
      <c r="J97" s="15" t="n"/>
    </row>
    <row r="98">
      <c r="A98" s="15" t="n"/>
      <c r="B98" s="15" t="n"/>
      <c r="C98" s="15" t="n"/>
      <c r="D98" s="15" t="n"/>
      <c r="E98" s="15" t="n"/>
      <c r="F98" s="15" t="n"/>
      <c r="G98" s="15" t="n"/>
      <c r="H98" s="15" t="n"/>
      <c r="I98" s="15" t="n"/>
      <c r="J98" s="15" t="n"/>
    </row>
    <row r="99">
      <c r="A99" s="15" t="n"/>
      <c r="B99" s="15" t="n"/>
      <c r="C99" s="15" t="n"/>
      <c r="D99" s="15" t="n"/>
      <c r="E99" s="15" t="n"/>
      <c r="F99" s="15" t="n"/>
      <c r="G99" s="15" t="n"/>
      <c r="H99" s="15" t="n"/>
      <c r="I99" s="15" t="n"/>
      <c r="J99" s="15" t="n"/>
    </row>
    <row r="100">
      <c r="A100" s="15" t="n"/>
      <c r="B100" s="15" t="n"/>
      <c r="C100" s="15" t="n"/>
      <c r="D100" s="15" t="n"/>
      <c r="E100" s="15" t="n"/>
      <c r="F100" s="15" t="n"/>
      <c r="G100" s="15" t="n"/>
      <c r="H100" s="15" t="n"/>
      <c r="I100" s="15" t="n"/>
      <c r="J100" s="15" t="n"/>
    </row>
    <row r="101">
      <c r="A101" s="15" t="n"/>
      <c r="B101" s="15" t="n"/>
      <c r="C101" s="15" t="n"/>
      <c r="D101" s="15" t="n"/>
      <c r="E101" s="15" t="n"/>
      <c r="F101" s="15" t="n"/>
      <c r="G101" s="15" t="n"/>
      <c r="H101" s="15" t="n"/>
      <c r="I101" s="15" t="n"/>
      <c r="J101" s="15" t="n"/>
    </row>
    <row r="102">
      <c r="A102" s="15" t="n"/>
      <c r="B102" s="15" t="n"/>
      <c r="C102" s="15" t="n"/>
      <c r="D102" s="15" t="n"/>
      <c r="E102" s="15" t="n"/>
      <c r="F102" s="15" t="n"/>
      <c r="G102" s="15" t="n"/>
      <c r="H102" s="15" t="n"/>
      <c r="I102" s="15" t="n"/>
      <c r="J102" s="15" t="n"/>
    </row>
    <row r="103">
      <c r="A103" s="15" t="n"/>
      <c r="B103" s="15" t="n"/>
      <c r="C103" s="15" t="n"/>
      <c r="D103" s="15" t="n"/>
      <c r="E103" s="15" t="n"/>
      <c r="F103" s="15" t="n"/>
      <c r="G103" s="15" t="n"/>
      <c r="H103" s="15" t="n"/>
      <c r="I103" s="15" t="n"/>
      <c r="J103" s="15" t="n"/>
    </row>
    <row r="104">
      <c r="A104" s="15" t="n"/>
      <c r="B104" s="15" t="n"/>
      <c r="C104" s="15" t="n"/>
      <c r="D104" s="15" t="n"/>
      <c r="E104" s="15" t="n"/>
      <c r="F104" s="15" t="n"/>
      <c r="G104" s="15" t="n"/>
      <c r="H104" s="15" t="n"/>
      <c r="I104" s="15" t="n"/>
      <c r="J104" s="15" t="n"/>
    </row>
    <row r="105">
      <c r="A105" s="15" t="n"/>
      <c r="B105" s="15" t="n"/>
      <c r="C105" s="15" t="n"/>
      <c r="D105" s="15" t="n"/>
      <c r="E105" s="15" t="n"/>
      <c r="F105" s="15" t="n"/>
      <c r="G105" s="15" t="n"/>
      <c r="H105" s="15" t="n"/>
      <c r="I105" s="15" t="n"/>
      <c r="J105" s="15" t="n"/>
    </row>
    <row r="106">
      <c r="A106" s="15" t="n"/>
      <c r="B106" s="15" t="n"/>
      <c r="C106" s="15" t="n"/>
      <c r="D106" s="15" t="n"/>
      <c r="E106" s="15" t="n"/>
      <c r="F106" s="15" t="n"/>
      <c r="G106" s="15" t="n"/>
      <c r="H106" s="15" t="n"/>
      <c r="I106" s="15" t="n"/>
      <c r="J106" s="15" t="n"/>
    </row>
    <row r="107">
      <c r="A107" s="15" t="n"/>
      <c r="B107" s="15" t="n"/>
      <c r="C107" s="15" t="n"/>
      <c r="D107" s="15" t="n"/>
      <c r="E107" s="15" t="n"/>
      <c r="F107" s="15" t="n"/>
      <c r="G107" s="15" t="n"/>
      <c r="H107" s="15" t="n"/>
      <c r="I107" s="15" t="n"/>
      <c r="J107" s="15" t="n"/>
    </row>
    <row r="108">
      <c r="A108" s="15" t="n"/>
      <c r="B108" s="15" t="n"/>
      <c r="C108" s="15" t="n"/>
      <c r="D108" s="15" t="n"/>
      <c r="E108" s="15" t="n"/>
      <c r="F108" s="15" t="n"/>
      <c r="G108" s="15" t="n"/>
      <c r="H108" s="15" t="n"/>
      <c r="I108" s="15" t="n"/>
      <c r="J108" s="15" t="n"/>
    </row>
    <row r="109">
      <c r="A109" s="15" t="n"/>
      <c r="B109" s="15" t="n"/>
      <c r="C109" s="15" t="n"/>
      <c r="D109" s="15" t="n"/>
      <c r="E109" s="15" t="n"/>
      <c r="F109" s="15" t="n"/>
      <c r="G109" s="15" t="n"/>
      <c r="H109" s="15" t="n"/>
      <c r="I109" s="15" t="n"/>
      <c r="J109" s="15" t="n"/>
    </row>
    <row r="110">
      <c r="A110" s="15" t="n"/>
      <c r="B110" s="15" t="n"/>
      <c r="C110" s="15" t="n"/>
      <c r="D110" s="15" t="n"/>
      <c r="E110" s="15" t="n"/>
      <c r="F110" s="15" t="n"/>
      <c r="G110" s="15" t="n"/>
      <c r="H110" s="15" t="n"/>
      <c r="I110" s="15" t="n"/>
      <c r="J110" s="15" t="n"/>
    </row>
    <row r="111">
      <c r="A111" s="15" t="n"/>
      <c r="B111" s="15" t="n"/>
      <c r="C111" s="15" t="n"/>
      <c r="D111" s="15" t="n"/>
      <c r="E111" s="15" t="n"/>
      <c r="F111" s="15" t="n"/>
      <c r="G111" s="15" t="n"/>
      <c r="H111" s="15" t="n"/>
      <c r="I111" s="15" t="n"/>
      <c r="J111" s="15" t="n"/>
    </row>
    <row r="112">
      <c r="A112" s="15" t="n"/>
      <c r="B112" s="15" t="n"/>
      <c r="C112" s="15" t="n"/>
      <c r="D112" s="15" t="n"/>
      <c r="E112" s="15" t="n"/>
      <c r="F112" s="15" t="n"/>
      <c r="G112" s="15" t="n"/>
      <c r="H112" s="15" t="n"/>
      <c r="I112" s="15" t="n"/>
      <c r="J112" s="15" t="n"/>
    </row>
    <row r="113">
      <c r="A113" s="15" t="n"/>
      <c r="B113" s="15" t="n"/>
      <c r="C113" s="15" t="n"/>
      <c r="D113" s="15" t="n"/>
      <c r="E113" s="15" t="n"/>
      <c r="F113" s="15" t="n"/>
      <c r="G113" s="15" t="n"/>
      <c r="H113" s="15" t="n"/>
      <c r="I113" s="15" t="n"/>
      <c r="J113" s="15" t="n"/>
    </row>
    <row r="114">
      <c r="A114" s="15" t="n"/>
      <c r="B114" s="15" t="n"/>
      <c r="C114" s="15" t="n"/>
      <c r="D114" s="15" t="n"/>
      <c r="E114" s="15" t="n"/>
      <c r="F114" s="15" t="n"/>
      <c r="G114" s="15" t="n"/>
      <c r="H114" s="15" t="n"/>
      <c r="I114" s="15" t="n"/>
      <c r="J114" s="15" t="n"/>
    </row>
    <row r="115">
      <c r="A115" s="15" t="n"/>
      <c r="B115" s="15" t="n"/>
      <c r="C115" s="15" t="n"/>
      <c r="D115" s="15" t="n"/>
      <c r="E115" s="15" t="n"/>
      <c r="F115" s="15" t="n"/>
      <c r="G115" s="15" t="n"/>
      <c r="H115" s="15" t="n"/>
      <c r="I115" s="15" t="n"/>
      <c r="J115" s="15" t="n"/>
    </row>
    <row r="116">
      <c r="A116" s="15" t="n"/>
      <c r="B116" s="15" t="n"/>
      <c r="C116" s="15" t="n"/>
      <c r="D116" s="15" t="n"/>
      <c r="E116" s="15" t="n"/>
      <c r="F116" s="15" t="n"/>
      <c r="G116" s="15" t="n"/>
      <c r="H116" s="15" t="n"/>
      <c r="I116" s="15" t="n"/>
      <c r="J116" s="15" t="n"/>
    </row>
    <row r="117">
      <c r="A117" s="15" t="n"/>
      <c r="B117" s="15" t="n"/>
      <c r="C117" s="15" t="n"/>
      <c r="D117" s="15" t="n"/>
      <c r="E117" s="15" t="n"/>
      <c r="F117" s="15" t="n"/>
      <c r="G117" s="15" t="n"/>
      <c r="H117" s="15" t="n"/>
      <c r="I117" s="15" t="n"/>
      <c r="J117" s="15" t="n"/>
    </row>
    <row r="118">
      <c r="A118" s="15" t="n"/>
      <c r="B118" s="15" t="n"/>
      <c r="C118" s="15" t="n"/>
      <c r="D118" s="15" t="n"/>
      <c r="E118" s="15" t="n"/>
      <c r="F118" s="15" t="n"/>
      <c r="G118" s="15" t="n"/>
      <c r="H118" s="15" t="n"/>
      <c r="I118" s="15" t="n"/>
      <c r="J118" s="15" t="n"/>
    </row>
    <row r="119">
      <c r="A119" s="15" t="n"/>
      <c r="B119" s="15" t="n"/>
      <c r="C119" s="15" t="n"/>
      <c r="D119" s="15" t="n"/>
      <c r="E119" s="15" t="n"/>
      <c r="F119" s="15" t="n"/>
      <c r="G119" s="15" t="n"/>
      <c r="H119" s="15" t="n"/>
      <c r="I119" s="15" t="n"/>
      <c r="J119" s="15" t="n"/>
    </row>
    <row r="120">
      <c r="A120" s="15" t="n"/>
      <c r="B120" s="15" t="n"/>
      <c r="C120" s="15" t="n"/>
      <c r="D120" s="15" t="n"/>
      <c r="E120" s="15" t="n"/>
      <c r="F120" s="15" t="n"/>
      <c r="G120" s="15" t="n"/>
      <c r="H120" s="15" t="n"/>
      <c r="I120" s="15" t="n"/>
      <c r="J120" s="15" t="n"/>
    </row>
    <row r="121">
      <c r="A121" s="15" t="n"/>
      <c r="B121" s="15" t="n"/>
      <c r="C121" s="15" t="n"/>
      <c r="D121" s="15" t="n"/>
      <c r="E121" s="15" t="n"/>
      <c r="F121" s="15" t="n"/>
      <c r="G121" s="15" t="n"/>
      <c r="H121" s="15" t="n"/>
      <c r="I121" s="15" t="n"/>
      <c r="J121" s="15" t="n"/>
    </row>
    <row r="122">
      <c r="A122" s="15" t="n"/>
      <c r="B122" s="15" t="n"/>
      <c r="C122" s="15" t="n"/>
      <c r="D122" s="15" t="n"/>
      <c r="E122" s="15" t="n"/>
      <c r="F122" s="15" t="n"/>
      <c r="G122" s="15" t="n"/>
      <c r="H122" s="15" t="n"/>
      <c r="I122" s="15" t="n"/>
      <c r="J122" s="15" t="n"/>
    </row>
    <row r="123">
      <c r="A123" s="15" t="n"/>
      <c r="B123" s="15" t="n"/>
      <c r="C123" s="15" t="n"/>
      <c r="D123" s="15" t="n"/>
      <c r="E123" s="15" t="n"/>
      <c r="F123" s="15" t="n"/>
      <c r="G123" s="15" t="n"/>
      <c r="H123" s="15" t="n"/>
      <c r="I123" s="15" t="n"/>
      <c r="J123" s="15" t="n"/>
    </row>
    <row r="124">
      <c r="A124" s="15" t="n"/>
      <c r="B124" s="15" t="n"/>
      <c r="C124" s="15" t="n"/>
      <c r="D124" s="15" t="n"/>
      <c r="E124" s="15" t="n"/>
      <c r="F124" s="15" t="n"/>
      <c r="G124" s="15" t="n"/>
      <c r="H124" s="15" t="n"/>
      <c r="I124" s="15" t="n"/>
      <c r="J124" s="15" t="n"/>
    </row>
    <row r="125">
      <c r="A125" s="15" t="n"/>
      <c r="B125" s="15" t="n"/>
      <c r="C125" s="15" t="n"/>
      <c r="D125" s="15" t="n"/>
      <c r="E125" s="15" t="n"/>
      <c r="F125" s="15" t="n"/>
      <c r="G125" s="15" t="n"/>
      <c r="H125" s="15" t="n"/>
      <c r="I125" s="15" t="n"/>
      <c r="J125" s="15" t="n"/>
    </row>
    <row r="126">
      <c r="A126" s="15" t="n"/>
      <c r="B126" s="15" t="n"/>
      <c r="C126" s="15" t="n"/>
      <c r="D126" s="15" t="n"/>
      <c r="E126" s="15" t="n"/>
      <c r="F126" s="15" t="n"/>
      <c r="G126" s="15" t="n"/>
      <c r="H126" s="15" t="n"/>
      <c r="I126" s="15" t="n"/>
      <c r="J126" s="15" t="n"/>
    </row>
    <row r="127">
      <c r="A127" s="15" t="n"/>
      <c r="B127" s="15" t="n"/>
      <c r="C127" s="15" t="n"/>
      <c r="D127" s="15" t="n"/>
      <c r="E127" s="15" t="n"/>
      <c r="F127" s="15" t="n"/>
      <c r="G127" s="15" t="n"/>
      <c r="H127" s="15" t="n"/>
      <c r="I127" s="15" t="n"/>
      <c r="J127" s="15" t="n"/>
    </row>
    <row r="128">
      <c r="A128" s="15" t="n"/>
      <c r="B128" s="15" t="n"/>
      <c r="C128" s="15" t="n"/>
      <c r="D128" s="15" t="n"/>
      <c r="E128" s="15" t="n"/>
      <c r="F128" s="15" t="n"/>
      <c r="G128" s="15" t="n"/>
      <c r="H128" s="15" t="n"/>
      <c r="I128" s="15" t="n"/>
      <c r="J128" s="15" t="n"/>
    </row>
    <row r="129">
      <c r="A129" s="15" t="n"/>
      <c r="B129" s="15" t="n"/>
      <c r="C129" s="15" t="n"/>
      <c r="D129" s="15" t="n"/>
      <c r="E129" s="15" t="n"/>
      <c r="F129" s="15" t="n"/>
      <c r="G129" s="15" t="n"/>
      <c r="H129" s="15" t="n"/>
      <c r="I129" s="15" t="n"/>
      <c r="J129" s="15" t="n"/>
    </row>
    <row r="130">
      <c r="A130" s="15" t="n"/>
      <c r="B130" s="15" t="n"/>
      <c r="C130" s="15" t="n"/>
      <c r="D130" s="15" t="n"/>
      <c r="E130" s="15" t="n"/>
      <c r="F130" s="15" t="n"/>
      <c r="G130" s="15" t="n"/>
      <c r="H130" s="15" t="n"/>
      <c r="I130" s="15" t="n"/>
      <c r="J130" s="15" t="n"/>
    </row>
    <row r="131">
      <c r="A131" s="15" t="n"/>
      <c r="B131" s="15" t="n"/>
      <c r="C131" s="15" t="n"/>
      <c r="D131" s="15" t="n"/>
      <c r="E131" s="15" t="n"/>
      <c r="F131" s="15" t="n"/>
      <c r="G131" s="15" t="n"/>
      <c r="H131" s="15" t="n"/>
      <c r="I131" s="15" t="n"/>
      <c r="J131" s="15" t="n"/>
    </row>
    <row r="132">
      <c r="A132" s="15" t="n"/>
      <c r="B132" s="15" t="n"/>
      <c r="C132" s="15" t="n"/>
      <c r="D132" s="15" t="n"/>
      <c r="E132" s="15" t="n"/>
      <c r="F132" s="15" t="n"/>
      <c r="G132" s="15" t="n"/>
      <c r="H132" s="15" t="n"/>
      <c r="I132" s="15" t="n"/>
      <c r="J132" s="15" t="n"/>
    </row>
    <row r="133">
      <c r="A133" s="15" t="n"/>
      <c r="B133" s="15" t="n"/>
      <c r="C133" s="15" t="n"/>
      <c r="D133" s="15" t="n"/>
      <c r="E133" s="15" t="n"/>
      <c r="F133" s="15" t="n"/>
      <c r="G133" s="15" t="n"/>
      <c r="H133" s="15" t="n"/>
      <c r="I133" s="15" t="n"/>
      <c r="J133" s="15" t="n"/>
    </row>
    <row r="134">
      <c r="A134" s="15" t="n"/>
      <c r="B134" s="15" t="n"/>
      <c r="C134" s="15" t="n"/>
      <c r="D134" s="15" t="n"/>
      <c r="E134" s="15" t="n"/>
      <c r="F134" s="15" t="n"/>
      <c r="G134" s="15" t="n"/>
      <c r="H134" s="15" t="n"/>
      <c r="I134" s="15" t="n"/>
      <c r="J134" s="15" t="n"/>
    </row>
    <row r="135">
      <c r="A135" s="15" t="n"/>
      <c r="B135" s="15" t="n"/>
      <c r="C135" s="15" t="n"/>
      <c r="D135" s="15" t="n"/>
      <c r="E135" s="15" t="n"/>
      <c r="F135" s="15" t="n"/>
      <c r="G135" s="15" t="n"/>
      <c r="H135" s="15" t="n"/>
      <c r="I135" s="15" t="n"/>
      <c r="J135" s="15" t="n"/>
    </row>
    <row r="136">
      <c r="A136" s="15" t="n"/>
      <c r="B136" s="15" t="n"/>
      <c r="C136" s="15" t="n"/>
      <c r="D136" s="15" t="n"/>
      <c r="E136" s="15" t="n"/>
      <c r="F136" s="15" t="n"/>
      <c r="G136" s="15" t="n"/>
      <c r="H136" s="15" t="n"/>
      <c r="I136" s="15" t="n"/>
      <c r="J136" s="15" t="n"/>
    </row>
    <row r="137">
      <c r="A137" s="15" t="n"/>
      <c r="B137" s="15" t="n"/>
      <c r="C137" s="15" t="n"/>
      <c r="D137" s="15" t="n"/>
      <c r="E137" s="15" t="n"/>
      <c r="F137" s="15" t="n"/>
      <c r="G137" s="15" t="n"/>
      <c r="H137" s="15" t="n"/>
      <c r="I137" s="15" t="n"/>
      <c r="J137" s="15" t="n"/>
    </row>
    <row r="138">
      <c r="A138" s="15" t="n"/>
      <c r="B138" s="15" t="n"/>
      <c r="C138" s="15" t="n"/>
      <c r="D138" s="15" t="n"/>
      <c r="E138" s="15" t="n"/>
      <c r="F138" s="15" t="n"/>
      <c r="G138" s="15" t="n"/>
      <c r="H138" s="15" t="n"/>
      <c r="I138" s="15" t="n"/>
      <c r="J138" s="15" t="n"/>
    </row>
    <row r="139">
      <c r="A139" s="15" t="n"/>
      <c r="B139" s="15" t="n"/>
      <c r="C139" s="15" t="n"/>
      <c r="D139" s="15" t="n"/>
      <c r="E139" s="15" t="n"/>
      <c r="F139" s="15" t="n"/>
      <c r="G139" s="15" t="n"/>
      <c r="H139" s="15" t="n"/>
      <c r="I139" s="15" t="n"/>
      <c r="J139" s="15" t="n"/>
    </row>
    <row r="140">
      <c r="A140" s="15" t="n"/>
      <c r="B140" s="15" t="n"/>
      <c r="C140" s="15" t="n"/>
      <c r="D140" s="15" t="n"/>
      <c r="E140" s="15" t="n"/>
      <c r="F140" s="15" t="n"/>
      <c r="G140" s="15" t="n"/>
      <c r="H140" s="15" t="n"/>
      <c r="I140" s="15" t="n"/>
      <c r="J140" s="15" t="n"/>
    </row>
    <row r="141">
      <c r="A141" s="15" t="n"/>
      <c r="B141" s="15" t="n"/>
      <c r="C141" s="15" t="n"/>
      <c r="D141" s="15" t="n"/>
      <c r="E141" s="15" t="n"/>
      <c r="F141" s="15" t="n"/>
      <c r="G141" s="15" t="n"/>
      <c r="H141" s="15" t="n"/>
      <c r="I141" s="15" t="n"/>
      <c r="J141" s="15" t="n"/>
    </row>
    <row r="142">
      <c r="A142" s="15" t="n"/>
      <c r="B142" s="15" t="n"/>
      <c r="C142" s="15" t="n"/>
      <c r="D142" s="15" t="n"/>
      <c r="E142" s="15" t="n"/>
      <c r="F142" s="15" t="n"/>
      <c r="G142" s="15" t="n"/>
      <c r="H142" s="15" t="n"/>
      <c r="I142" s="15" t="n"/>
      <c r="J142" s="15" t="n"/>
    </row>
    <row r="143">
      <c r="A143" s="15" t="n"/>
      <c r="B143" s="15" t="n"/>
      <c r="C143" s="15" t="n"/>
      <c r="D143" s="15" t="n"/>
      <c r="E143" s="15" t="n"/>
      <c r="F143" s="15" t="n"/>
      <c r="G143" s="15" t="n"/>
      <c r="H143" s="15" t="n"/>
      <c r="I143" s="15" t="n"/>
      <c r="J143" s="15" t="n"/>
    </row>
    <row r="144">
      <c r="A144" s="15" t="n"/>
      <c r="B144" s="15" t="n"/>
      <c r="C144" s="15" t="n"/>
      <c r="D144" s="15" t="n"/>
      <c r="E144" s="15" t="n"/>
      <c r="F144" s="15" t="n"/>
      <c r="G144" s="15" t="n"/>
      <c r="H144" s="15" t="n"/>
      <c r="I144" s="15" t="n"/>
      <c r="J144" s="15" t="n"/>
    </row>
    <row r="145">
      <c r="A145" s="15" t="n"/>
      <c r="B145" s="15" t="n"/>
      <c r="C145" s="15" t="n"/>
      <c r="D145" s="15" t="n"/>
      <c r="E145" s="15" t="n"/>
      <c r="F145" s="15" t="n"/>
      <c r="G145" s="15" t="n"/>
      <c r="H145" s="15" t="n"/>
      <c r="I145" s="15" t="n"/>
      <c r="J145" s="15" t="n"/>
    </row>
    <row r="146">
      <c r="A146" s="15" t="n"/>
      <c r="B146" s="15" t="n"/>
      <c r="C146" s="15" t="n"/>
      <c r="D146" s="15" t="n"/>
      <c r="E146" s="15" t="n"/>
      <c r="F146" s="15" t="n"/>
      <c r="G146" s="15" t="n"/>
      <c r="H146" s="15" t="n"/>
      <c r="I146" s="15" t="n"/>
      <c r="J146" s="15" t="n"/>
    </row>
    <row r="147">
      <c r="A147" s="15" t="n"/>
      <c r="B147" s="15" t="n"/>
      <c r="C147" s="15" t="n"/>
      <c r="D147" s="15" t="n"/>
      <c r="E147" s="15" t="n"/>
      <c r="F147" s="15" t="n"/>
      <c r="G147" s="15" t="n"/>
      <c r="H147" s="15" t="n"/>
      <c r="I147" s="15" t="n"/>
      <c r="J147" s="15" t="n"/>
    </row>
    <row r="148">
      <c r="A148" s="15" t="n"/>
      <c r="B148" s="15" t="n"/>
      <c r="C148" s="15" t="n"/>
      <c r="D148" s="15" t="n"/>
      <c r="E148" s="15" t="n"/>
      <c r="F148" s="15" t="n"/>
      <c r="G148" s="15" t="n"/>
      <c r="H148" s="15" t="n"/>
      <c r="I148" s="15" t="n"/>
      <c r="J148" s="15" t="n"/>
    </row>
    <row r="149">
      <c r="A149" s="15" t="n"/>
      <c r="B149" s="15" t="n"/>
      <c r="C149" s="15" t="n"/>
      <c r="D149" s="15" t="n"/>
      <c r="E149" s="15" t="n"/>
      <c r="F149" s="15" t="n"/>
      <c r="G149" s="15" t="n"/>
      <c r="H149" s="15" t="n"/>
      <c r="I149" s="15" t="n"/>
      <c r="J149" s="15" t="n"/>
    </row>
    <row r="150">
      <c r="A150" s="15" t="n"/>
      <c r="B150" s="15" t="n"/>
      <c r="C150" s="15" t="n"/>
      <c r="D150" s="15" t="n"/>
      <c r="E150" s="15" t="n"/>
      <c r="F150" s="15" t="n"/>
      <c r="G150" s="15" t="n"/>
      <c r="H150" s="15" t="n"/>
      <c r="I150" s="15" t="n"/>
      <c r="J150" s="15" t="n"/>
    </row>
    <row r="151">
      <c r="A151" s="15" t="n"/>
      <c r="B151" s="15" t="n"/>
      <c r="C151" s="15" t="n"/>
      <c r="D151" s="15" t="n"/>
      <c r="E151" s="15" t="n"/>
      <c r="F151" s="15" t="n"/>
      <c r="G151" s="15" t="n"/>
      <c r="H151" s="15" t="n"/>
      <c r="I151" s="15" t="n"/>
      <c r="J151" s="15" t="n"/>
    </row>
    <row r="152">
      <c r="A152" s="15" t="n"/>
      <c r="B152" s="15" t="n"/>
      <c r="C152" s="15" t="n"/>
      <c r="D152" s="15" t="n"/>
      <c r="E152" s="15" t="n"/>
      <c r="F152" s="15" t="n"/>
      <c r="G152" s="15" t="n"/>
      <c r="H152" s="15" t="n"/>
      <c r="I152" s="15" t="n"/>
      <c r="J152" s="15" t="n"/>
    </row>
    <row r="153">
      <c r="A153" s="15" t="n"/>
      <c r="B153" s="15" t="n"/>
      <c r="C153" s="15" t="n"/>
      <c r="D153" s="15" t="n"/>
      <c r="E153" s="15" t="n"/>
      <c r="F153" s="15" t="n"/>
      <c r="G153" s="15" t="n"/>
      <c r="H153" s="15" t="n"/>
      <c r="I153" s="15" t="n"/>
      <c r="J153" s="15" t="n"/>
    </row>
    <row r="154">
      <c r="A154" s="15" t="n"/>
      <c r="B154" s="15" t="n"/>
      <c r="C154" s="15" t="n"/>
      <c r="D154" s="15" t="n"/>
      <c r="E154" s="15" t="n"/>
      <c r="F154" s="15" t="n"/>
      <c r="G154" s="15" t="n"/>
      <c r="H154" s="15" t="n"/>
      <c r="I154" s="15" t="n"/>
      <c r="J154" s="15" t="n"/>
    </row>
    <row r="155">
      <c r="A155" s="15" t="n"/>
      <c r="B155" s="15" t="n"/>
      <c r="C155" s="15" t="n"/>
      <c r="D155" s="15" t="n"/>
      <c r="E155" s="15" t="n"/>
      <c r="F155" s="15" t="n"/>
      <c r="G155" s="15" t="n"/>
      <c r="H155" s="15" t="n"/>
      <c r="I155" s="15" t="n"/>
      <c r="J155" s="15" t="n"/>
    </row>
    <row r="156">
      <c r="A156" s="15" t="n"/>
      <c r="B156" s="15" t="n"/>
      <c r="C156" s="15" t="n"/>
      <c r="D156" s="15" t="n"/>
      <c r="E156" s="15" t="n"/>
      <c r="F156" s="15" t="n"/>
      <c r="G156" s="15" t="n"/>
      <c r="H156" s="15" t="n"/>
      <c r="I156" s="15" t="n"/>
      <c r="J156" s="15" t="n"/>
    </row>
    <row r="157">
      <c r="A157" s="15" t="n"/>
      <c r="B157" s="15" t="n"/>
      <c r="C157" s="15" t="n"/>
      <c r="D157" s="15" t="n"/>
      <c r="E157" s="15" t="n"/>
      <c r="F157" s="15" t="n"/>
      <c r="G157" s="15" t="n"/>
      <c r="H157" s="15" t="n"/>
      <c r="I157" s="15" t="n"/>
      <c r="J157" s="15" t="n"/>
    </row>
    <row r="158">
      <c r="A158" s="15" t="n"/>
      <c r="B158" s="15" t="n"/>
      <c r="C158" s="15" t="n"/>
      <c r="D158" s="15" t="n"/>
      <c r="E158" s="15" t="n"/>
      <c r="F158" s="15" t="n"/>
      <c r="G158" s="15" t="n"/>
      <c r="H158" s="15" t="n"/>
      <c r="I158" s="15" t="n"/>
      <c r="J158" s="15" t="n"/>
    </row>
    <row r="159">
      <c r="A159" s="15" t="n"/>
      <c r="B159" s="15" t="n"/>
      <c r="C159" s="15" t="n"/>
      <c r="D159" s="15" t="n"/>
      <c r="E159" s="15" t="n"/>
      <c r="F159" s="15" t="n"/>
      <c r="G159" s="15" t="n"/>
      <c r="H159" s="15" t="n"/>
      <c r="I159" s="15" t="n"/>
      <c r="J159" s="15" t="n"/>
    </row>
    <row r="160">
      <c r="A160" s="15" t="n"/>
      <c r="B160" s="15" t="n"/>
      <c r="C160" s="15" t="n"/>
      <c r="D160" s="15" t="n"/>
      <c r="E160" s="15" t="n"/>
      <c r="F160" s="15" t="n"/>
      <c r="G160" s="15" t="n"/>
      <c r="H160" s="15" t="n"/>
      <c r="I160" s="15" t="n"/>
      <c r="J160" s="15" t="n"/>
    </row>
    <row r="161">
      <c r="A161" s="15" t="n"/>
      <c r="B161" s="15" t="n"/>
      <c r="C161" s="15" t="n"/>
      <c r="D161" s="15" t="n"/>
      <c r="E161" s="15" t="n"/>
      <c r="F161" s="15" t="n"/>
      <c r="G161" s="15" t="n"/>
      <c r="H161" s="15" t="n"/>
      <c r="I161" s="15" t="n"/>
      <c r="J161" s="15" t="n"/>
    </row>
    <row r="162">
      <c r="A162" s="15" t="n"/>
      <c r="B162" s="15" t="n"/>
      <c r="C162" s="15" t="n"/>
      <c r="D162" s="15" t="n"/>
      <c r="E162" s="15" t="n"/>
      <c r="F162" s="15" t="n"/>
      <c r="G162" s="15" t="n"/>
      <c r="H162" s="15" t="n"/>
      <c r="I162" s="15" t="n"/>
      <c r="J162" s="15" t="n"/>
    </row>
    <row r="163">
      <c r="A163" s="15" t="n"/>
      <c r="B163" s="15" t="n"/>
      <c r="C163" s="15" t="n"/>
      <c r="D163" s="15" t="n"/>
      <c r="E163" s="15" t="n"/>
      <c r="F163" s="15" t="n"/>
      <c r="G163" s="15" t="n"/>
      <c r="H163" s="15" t="n"/>
      <c r="I163" s="15" t="n"/>
      <c r="J163" s="15" t="n"/>
    </row>
    <row r="164">
      <c r="A164" s="15" t="n"/>
      <c r="B164" s="15" t="n"/>
      <c r="C164" s="15" t="n"/>
      <c r="D164" s="15" t="n"/>
      <c r="E164" s="15" t="n"/>
      <c r="F164" s="15" t="n"/>
      <c r="G164" s="15" t="n"/>
      <c r="H164" s="15" t="n"/>
      <c r="I164" s="15" t="n"/>
      <c r="J164" s="15" t="n"/>
    </row>
    <row r="165">
      <c r="A165" s="15" t="n"/>
      <c r="B165" s="15" t="n"/>
      <c r="C165" s="15" t="n"/>
      <c r="D165" s="15" t="n"/>
      <c r="E165" s="15" t="n"/>
      <c r="F165" s="15" t="n"/>
      <c r="G165" s="15" t="n"/>
      <c r="H165" s="15" t="n"/>
      <c r="I165" s="15" t="n"/>
      <c r="J165" s="15" t="n"/>
    </row>
    <row r="166">
      <c r="A166" s="15" t="n"/>
      <c r="B166" s="15" t="n"/>
      <c r="C166" s="15" t="n"/>
      <c r="D166" s="15" t="n"/>
      <c r="E166" s="15" t="n"/>
      <c r="F166" s="15" t="n"/>
      <c r="G166" s="15" t="n"/>
      <c r="H166" s="15" t="n"/>
      <c r="I166" s="15" t="n"/>
      <c r="J166" s="15" t="n"/>
    </row>
    <row r="167">
      <c r="A167" s="15" t="n"/>
      <c r="B167" s="15" t="n"/>
      <c r="C167" s="15" t="n"/>
      <c r="D167" s="15" t="n"/>
      <c r="E167" s="15" t="n"/>
      <c r="F167" s="15" t="n"/>
      <c r="G167" s="15" t="n"/>
      <c r="H167" s="15" t="n"/>
      <c r="I167" s="15" t="n"/>
      <c r="J167" s="15" t="n"/>
    </row>
    <row r="168">
      <c r="A168" s="15" t="n"/>
      <c r="B168" s="15" t="n"/>
      <c r="C168" s="15" t="n"/>
      <c r="D168" s="15" t="n"/>
      <c r="E168" s="15" t="n"/>
      <c r="F168" s="15" t="n"/>
      <c r="G168" s="15" t="n"/>
      <c r="H168" s="15" t="n"/>
      <c r="I168" s="15" t="n"/>
      <c r="J168" s="15" t="n"/>
    </row>
    <row r="169">
      <c r="A169" s="15" t="n"/>
      <c r="B169" s="15" t="n"/>
      <c r="C169" s="15" t="n"/>
      <c r="D169" s="15" t="n"/>
      <c r="E169" s="15" t="n"/>
      <c r="F169" s="15" t="n"/>
      <c r="G169" s="15" t="n"/>
      <c r="H169" s="15" t="n"/>
      <c r="I169" s="15" t="n"/>
      <c r="J169" s="15" t="n"/>
    </row>
    <row r="170">
      <c r="A170" s="15" t="n"/>
      <c r="B170" s="15" t="n"/>
      <c r="C170" s="15" t="n"/>
      <c r="D170" s="15" t="n"/>
      <c r="E170" s="15" t="n"/>
      <c r="F170" s="15" t="n"/>
      <c r="G170" s="15" t="n"/>
      <c r="H170" s="15" t="n"/>
      <c r="I170" s="15" t="n"/>
      <c r="J170" s="15" t="n"/>
    </row>
    <row r="171">
      <c r="A171" s="15" t="n"/>
      <c r="B171" s="15" t="n"/>
      <c r="C171" s="15" t="n"/>
      <c r="D171" s="15" t="n"/>
      <c r="E171" s="15" t="n"/>
      <c r="F171" s="15" t="n"/>
      <c r="G171" s="15" t="n"/>
      <c r="H171" s="15" t="n"/>
      <c r="I171" s="15" t="n"/>
      <c r="J171" s="15" t="n"/>
    </row>
    <row r="172">
      <c r="A172" s="15" t="n"/>
      <c r="B172" s="15" t="n"/>
      <c r="C172" s="15" t="n"/>
      <c r="D172" s="15" t="n"/>
      <c r="E172" s="15" t="n"/>
      <c r="F172" s="15" t="n"/>
      <c r="G172" s="15" t="n"/>
      <c r="H172" s="15" t="n"/>
      <c r="I172" s="15" t="n"/>
      <c r="J172" s="15" t="n"/>
    </row>
    <row r="173">
      <c r="A173" s="15" t="n"/>
      <c r="B173" s="15" t="n"/>
      <c r="C173" s="15" t="n"/>
      <c r="D173" s="15" t="n"/>
      <c r="E173" s="15" t="n"/>
      <c r="F173" s="15" t="n"/>
      <c r="G173" s="15" t="n"/>
      <c r="H173" s="15" t="n"/>
      <c r="I173" s="15" t="n"/>
      <c r="J173" s="15" t="n"/>
    </row>
    <row r="174">
      <c r="A174" s="15" t="n"/>
      <c r="B174" s="15" t="n"/>
      <c r="C174" s="15" t="n"/>
      <c r="D174" s="15" t="n"/>
      <c r="E174" s="15" t="n"/>
      <c r="F174" s="15" t="n"/>
      <c r="G174" s="15" t="n"/>
      <c r="H174" s="15" t="n"/>
      <c r="I174" s="15" t="n"/>
      <c r="J174" s="15" t="n"/>
    </row>
    <row r="175">
      <c r="A175" s="15" t="n"/>
      <c r="B175" s="15" t="n"/>
      <c r="C175" s="15" t="n"/>
      <c r="D175" s="15" t="n"/>
      <c r="E175" s="15" t="n"/>
      <c r="F175" s="15" t="n"/>
      <c r="G175" s="15" t="n"/>
      <c r="H175" s="15" t="n"/>
      <c r="I175" s="15" t="n"/>
      <c r="J175" s="15" t="n"/>
    </row>
    <row r="176">
      <c r="A176" s="15" t="n"/>
      <c r="B176" s="15" t="n"/>
      <c r="C176" s="15" t="n"/>
      <c r="D176" s="15" t="n"/>
      <c r="E176" s="15" t="n"/>
      <c r="F176" s="15" t="n"/>
      <c r="G176" s="15" t="n"/>
      <c r="H176" s="15" t="n"/>
      <c r="I176" s="15" t="n"/>
      <c r="J176" s="15" t="n"/>
    </row>
    <row r="177">
      <c r="A177" s="15" t="n"/>
      <c r="B177" s="15" t="n"/>
      <c r="C177" s="15" t="n"/>
      <c r="D177" s="15" t="n"/>
      <c r="E177" s="15" t="n"/>
      <c r="F177" s="15" t="n"/>
      <c r="G177" s="15" t="n"/>
      <c r="H177" s="15" t="n"/>
      <c r="I177" s="15" t="n"/>
      <c r="J177" s="15" t="n"/>
    </row>
    <row r="178">
      <c r="A178" s="15" t="n"/>
      <c r="B178" s="15" t="n"/>
      <c r="C178" s="15" t="n"/>
      <c r="D178" s="15" t="n"/>
      <c r="E178" s="15" t="n"/>
      <c r="F178" s="15" t="n"/>
      <c r="G178" s="15" t="n"/>
      <c r="H178" s="15" t="n"/>
      <c r="I178" s="15" t="n"/>
      <c r="J178" s="15" t="n"/>
    </row>
    <row r="179">
      <c r="A179" s="15" t="n"/>
      <c r="B179" s="15" t="n"/>
      <c r="C179" s="15" t="n"/>
      <c r="D179" s="15" t="n"/>
      <c r="E179" s="15" t="n"/>
      <c r="F179" s="15" t="n"/>
      <c r="G179" s="15" t="n"/>
      <c r="H179" s="15" t="n"/>
      <c r="I179" s="15" t="n"/>
      <c r="J179" s="15" t="n"/>
    </row>
    <row r="180">
      <c r="A180" s="15" t="n"/>
      <c r="B180" s="15" t="n"/>
      <c r="C180" s="15" t="n"/>
      <c r="D180" s="15" t="n"/>
      <c r="E180" s="15" t="n"/>
      <c r="F180" s="15" t="n"/>
      <c r="G180" s="15" t="n"/>
      <c r="H180" s="15" t="n"/>
      <c r="I180" s="15" t="n"/>
      <c r="J180" s="15" t="n"/>
    </row>
    <row r="181">
      <c r="A181" s="15" t="n"/>
      <c r="B181" s="15" t="n"/>
      <c r="C181" s="15" t="n"/>
      <c r="D181" s="15" t="n"/>
      <c r="E181" s="15" t="n"/>
      <c r="F181" s="15" t="n"/>
      <c r="G181" s="15" t="n"/>
      <c r="H181" s="15" t="n"/>
      <c r="I181" s="15" t="n"/>
      <c r="J181" s="15" t="n"/>
    </row>
    <row r="182">
      <c r="A182" s="15" t="n"/>
      <c r="B182" s="15" t="n"/>
      <c r="C182" s="15" t="n"/>
      <c r="D182" s="15" t="n"/>
      <c r="E182" s="15" t="n"/>
      <c r="F182" s="15" t="n"/>
      <c r="G182" s="15" t="n"/>
      <c r="H182" s="15" t="n"/>
      <c r="I182" s="15" t="n"/>
      <c r="J182" s="15" t="n"/>
    </row>
    <row r="183">
      <c r="A183" s="15" t="n"/>
      <c r="B183" s="15" t="n"/>
      <c r="C183" s="15" t="n"/>
      <c r="D183" s="15" t="n"/>
      <c r="E183" s="15" t="n"/>
      <c r="F183" s="15" t="n"/>
      <c r="G183" s="15" t="n"/>
      <c r="H183" s="15" t="n"/>
      <c r="I183" s="15" t="n"/>
      <c r="J183" s="15" t="n"/>
    </row>
    <row r="184">
      <c r="A184" s="15" t="n"/>
      <c r="B184" s="15" t="n"/>
      <c r="C184" s="15" t="n"/>
      <c r="D184" s="15" t="n"/>
      <c r="E184" s="15" t="n"/>
      <c r="F184" s="15" t="n"/>
      <c r="G184" s="15" t="n"/>
      <c r="H184" s="15" t="n"/>
      <c r="I184" s="15" t="n"/>
      <c r="J184" s="15" t="n"/>
    </row>
    <row r="185">
      <c r="A185" s="15" t="n"/>
      <c r="B185" s="15" t="n"/>
      <c r="C185" s="15" t="n"/>
      <c r="D185" s="15" t="n"/>
      <c r="E185" s="15" t="n"/>
      <c r="F185" s="15" t="n"/>
      <c r="G185" s="15" t="n"/>
      <c r="H185" s="15" t="n"/>
      <c r="I185" s="15" t="n"/>
      <c r="J185" s="15" t="n"/>
    </row>
    <row r="186">
      <c r="A186" s="15" t="n"/>
      <c r="B186" s="15" t="n"/>
      <c r="C186" s="15" t="n"/>
      <c r="D186" s="15" t="n"/>
      <c r="E186" s="15" t="n"/>
      <c r="F186" s="15" t="n"/>
      <c r="G186" s="15" t="n"/>
      <c r="H186" s="15" t="n"/>
      <c r="I186" s="15" t="n"/>
      <c r="J186" s="15" t="n"/>
    </row>
    <row r="187">
      <c r="A187" s="15" t="n"/>
      <c r="B187" s="15" t="n"/>
      <c r="C187" s="15" t="n"/>
      <c r="D187" s="15" t="n"/>
      <c r="E187" s="15" t="n"/>
      <c r="F187" s="15" t="n"/>
      <c r="G187" s="15" t="n"/>
      <c r="H187" s="15" t="n"/>
      <c r="I187" s="15" t="n"/>
      <c r="J187" s="15" t="n"/>
    </row>
    <row r="188">
      <c r="A188" s="15" t="n"/>
      <c r="B188" s="15" t="n"/>
      <c r="C188" s="15" t="n"/>
      <c r="D188" s="15" t="n"/>
      <c r="E188" s="15" t="n"/>
      <c r="F188" s="15" t="n"/>
      <c r="G188" s="15" t="n"/>
      <c r="H188" s="15" t="n"/>
      <c r="I188" s="15" t="n"/>
      <c r="J188" s="15" t="n"/>
    </row>
    <row r="189">
      <c r="A189" s="15" t="n"/>
      <c r="B189" s="15" t="n"/>
      <c r="C189" s="15" t="n"/>
      <c r="D189" s="15" t="n"/>
      <c r="E189" s="15" t="n"/>
      <c r="F189" s="15" t="n"/>
      <c r="G189" s="15" t="n"/>
      <c r="H189" s="15" t="n"/>
      <c r="I189" s="15" t="n"/>
      <c r="J189" s="15" t="n"/>
    </row>
    <row r="190">
      <c r="A190" s="15" t="n"/>
      <c r="B190" s="15" t="n"/>
      <c r="C190" s="15" t="n"/>
      <c r="D190" s="15" t="n"/>
      <c r="E190" s="15" t="n"/>
      <c r="F190" s="15" t="n"/>
      <c r="G190" s="15" t="n"/>
      <c r="H190" s="15" t="n"/>
      <c r="I190" s="15" t="n"/>
      <c r="J190" s="15" t="n"/>
    </row>
    <row r="191">
      <c r="A191" s="15" t="n"/>
      <c r="B191" s="15" t="n"/>
      <c r="C191" s="15" t="n"/>
      <c r="D191" s="15" t="n"/>
      <c r="E191" s="15" t="n"/>
      <c r="F191" s="15" t="n"/>
      <c r="G191" s="15" t="n"/>
      <c r="H191" s="15" t="n"/>
      <c r="I191" s="15" t="n"/>
      <c r="J191" s="15" t="n"/>
    </row>
    <row r="192">
      <c r="A192" s="15" t="n"/>
      <c r="B192" s="15" t="n"/>
      <c r="C192" s="15" t="n"/>
      <c r="D192" s="15" t="n"/>
      <c r="E192" s="15" t="n"/>
      <c r="F192" s="15" t="n"/>
      <c r="G192" s="15" t="n"/>
      <c r="H192" s="15" t="n"/>
      <c r="I192" s="15" t="n"/>
      <c r="J192" s="15" t="n"/>
    </row>
    <row r="193">
      <c r="A193" s="15" t="n"/>
      <c r="B193" s="15" t="n"/>
      <c r="C193" s="15" t="n"/>
      <c r="D193" s="15" t="n"/>
      <c r="E193" s="15" t="n"/>
      <c r="F193" s="15" t="n"/>
      <c r="G193" s="15" t="n"/>
      <c r="H193" s="15" t="n"/>
      <c r="I193" s="15" t="n"/>
      <c r="J193" s="15" t="n"/>
    </row>
    <row r="194">
      <c r="A194" s="15" t="n"/>
      <c r="B194" s="15" t="n"/>
      <c r="C194" s="15" t="n"/>
      <c r="D194" s="15" t="n"/>
      <c r="E194" s="15" t="n"/>
      <c r="F194" s="15" t="n"/>
      <c r="G194" s="15" t="n"/>
      <c r="H194" s="15" t="n"/>
      <c r="I194" s="15" t="n"/>
      <c r="J194" s="15" t="n"/>
    </row>
    <row r="195">
      <c r="A195" s="15" t="n"/>
      <c r="B195" s="15" t="n"/>
      <c r="C195" s="15" t="n"/>
      <c r="D195" s="15" t="n"/>
      <c r="E195" s="15" t="n"/>
      <c r="F195" s="15" t="n"/>
      <c r="G195" s="15" t="n"/>
      <c r="H195" s="15" t="n"/>
      <c r="I195" s="15" t="n"/>
      <c r="J195" s="15" t="n"/>
    </row>
    <row r="196">
      <c r="A196" s="15" t="n"/>
      <c r="B196" s="15" t="n"/>
      <c r="C196" s="15" t="n"/>
      <c r="D196" s="15" t="n"/>
      <c r="E196" s="15" t="n"/>
      <c r="F196" s="15" t="n"/>
      <c r="G196" s="15" t="n"/>
      <c r="H196" s="15" t="n"/>
      <c r="I196" s="15" t="n"/>
      <c r="J196" s="15" t="n"/>
    </row>
    <row r="197">
      <c r="A197" s="15" t="n"/>
      <c r="B197" s="15" t="n"/>
      <c r="C197" s="15" t="n"/>
      <c r="D197" s="15" t="n"/>
      <c r="E197" s="15" t="n"/>
      <c r="F197" s="15" t="n"/>
      <c r="G197" s="15" t="n"/>
      <c r="H197" s="15" t="n"/>
      <c r="I197" s="15" t="n"/>
      <c r="J197" s="15" t="n"/>
    </row>
    <row r="198">
      <c r="A198" s="15" t="n"/>
      <c r="B198" s="15" t="n"/>
      <c r="C198" s="15" t="n"/>
      <c r="D198" s="15" t="n"/>
      <c r="E198" s="15" t="n"/>
      <c r="F198" s="15" t="n"/>
      <c r="G198" s="15" t="n"/>
      <c r="H198" s="15" t="n"/>
      <c r="I198" s="15" t="n"/>
      <c r="J198" s="15" t="n"/>
    </row>
    <row r="199">
      <c r="A199" s="15" t="n"/>
      <c r="B199" s="15" t="n"/>
      <c r="C199" s="15" t="n"/>
      <c r="D199" s="15" t="n"/>
      <c r="E199" s="15" t="n"/>
      <c r="F199" s="15" t="n"/>
      <c r="G199" s="15" t="n"/>
      <c r="H199" s="15" t="n"/>
      <c r="I199" s="15" t="n"/>
      <c r="J199" s="15" t="n"/>
    </row>
    <row r="200">
      <c r="A200" s="15" t="n"/>
      <c r="B200" s="15" t="n"/>
      <c r="C200" s="15" t="n"/>
      <c r="D200" s="15" t="n"/>
      <c r="E200" s="15" t="n"/>
      <c r="F200" s="15" t="n"/>
      <c r="G200" s="15" t="n"/>
      <c r="H200" s="15" t="n"/>
      <c r="I200" s="15" t="n"/>
      <c r="J200" s="15" t="n"/>
    </row>
    <row r="201">
      <c r="A201" s="15" t="n"/>
      <c r="B201" s="15" t="n"/>
      <c r="C201" s="15" t="n"/>
      <c r="D201" s="15" t="n"/>
      <c r="E201" s="15" t="n"/>
      <c r="F201" s="15" t="n"/>
      <c r="G201" s="15" t="n"/>
      <c r="H201" s="15" t="n"/>
      <c r="I201" s="15" t="n"/>
      <c r="J201" s="15" t="n"/>
    </row>
    <row r="202">
      <c r="A202" s="15" t="n"/>
      <c r="B202" s="15" t="n"/>
      <c r="C202" s="15" t="n"/>
      <c r="D202" s="15" t="n"/>
      <c r="E202" s="15" t="n"/>
      <c r="F202" s="15" t="n"/>
      <c r="G202" s="15" t="n"/>
      <c r="H202" s="15" t="n"/>
      <c r="I202" s="15" t="n"/>
      <c r="J202" s="15" t="n"/>
    </row>
    <row r="203">
      <c r="A203" s="15" t="n"/>
      <c r="B203" s="15" t="n"/>
      <c r="C203" s="15" t="n"/>
      <c r="D203" s="15" t="n"/>
      <c r="E203" s="15" t="n"/>
      <c r="F203" s="15" t="n"/>
      <c r="G203" s="15" t="n"/>
      <c r="H203" s="15" t="n"/>
      <c r="I203" s="15" t="n"/>
      <c r="J203" s="15" t="n"/>
    </row>
    <row r="204">
      <c r="A204" s="15" t="n"/>
      <c r="B204" s="15" t="n"/>
      <c r="C204" s="15" t="n"/>
      <c r="D204" s="15" t="n"/>
      <c r="E204" s="15" t="n"/>
      <c r="F204" s="15" t="n"/>
      <c r="G204" s="15" t="n"/>
      <c r="H204" s="15" t="n"/>
      <c r="I204" s="15" t="n"/>
      <c r="J204" s="15" t="n"/>
    </row>
    <row r="205">
      <c r="A205" s="15" t="n"/>
      <c r="B205" s="15" t="n"/>
      <c r="C205" s="15" t="n"/>
      <c r="D205" s="15" t="n"/>
      <c r="E205" s="15" t="n"/>
      <c r="F205" s="15" t="n"/>
      <c r="G205" s="15" t="n"/>
      <c r="H205" s="15" t="n"/>
      <c r="I205" s="15" t="n"/>
      <c r="J205" s="15" t="n"/>
    </row>
    <row r="206">
      <c r="A206" s="15" t="n"/>
      <c r="B206" s="15" t="n"/>
      <c r="C206" s="15" t="n"/>
      <c r="D206" s="15" t="n"/>
      <c r="E206" s="15" t="n"/>
      <c r="F206" s="15" t="n"/>
      <c r="G206" s="15" t="n"/>
      <c r="H206" s="15" t="n"/>
      <c r="I206" s="15" t="n"/>
      <c r="J206" s="15" t="n"/>
    </row>
    <row r="207">
      <c r="A207" s="15" t="n"/>
      <c r="B207" s="15" t="n"/>
      <c r="C207" s="15" t="n"/>
      <c r="D207" s="15" t="n"/>
      <c r="E207" s="15" t="n"/>
      <c r="F207" s="15" t="n"/>
      <c r="G207" s="15" t="n"/>
      <c r="H207" s="15" t="n"/>
      <c r="I207" s="15" t="n"/>
      <c r="J207" s="15" t="n"/>
    </row>
    <row r="208">
      <c r="A208" s="15" t="n"/>
      <c r="B208" s="15" t="n"/>
      <c r="C208" s="15" t="n"/>
      <c r="D208" s="15" t="n"/>
      <c r="E208" s="15" t="n"/>
      <c r="F208" s="15" t="n"/>
      <c r="G208" s="15" t="n"/>
      <c r="H208" s="15" t="n"/>
      <c r="I208" s="15" t="n"/>
      <c r="J208" s="15" t="n"/>
    </row>
    <row r="209">
      <c r="A209" s="15" t="n"/>
      <c r="B209" s="15" t="n"/>
      <c r="C209" s="15" t="n"/>
      <c r="D209" s="15" t="n"/>
      <c r="E209" s="15" t="n"/>
      <c r="F209" s="15" t="n"/>
      <c r="G209" s="15" t="n"/>
      <c r="H209" s="15" t="n"/>
      <c r="I209" s="15" t="n"/>
      <c r="J209" s="15" t="n"/>
    </row>
    <row r="210">
      <c r="A210" s="15" t="n"/>
      <c r="B210" s="15" t="n"/>
      <c r="C210" s="15" t="n"/>
      <c r="D210" s="15" t="n"/>
      <c r="E210" s="15" t="n"/>
      <c r="F210" s="15" t="n"/>
      <c r="G210" s="15" t="n"/>
      <c r="H210" s="15" t="n"/>
      <c r="I210" s="15" t="n"/>
      <c r="J210" s="15" t="n"/>
    </row>
    <row r="211">
      <c r="A211" s="15" t="n"/>
      <c r="B211" s="15" t="n"/>
      <c r="C211" s="15" t="n"/>
      <c r="D211" s="15" t="n"/>
      <c r="E211" s="15" t="n"/>
      <c r="F211" s="15" t="n"/>
      <c r="G211" s="15" t="n"/>
      <c r="H211" s="15" t="n"/>
      <c r="I211" s="15" t="n"/>
      <c r="J211" s="15" t="n"/>
    </row>
    <row r="212">
      <c r="A212" s="15" t="n"/>
      <c r="B212" s="15" t="n"/>
      <c r="C212" s="15" t="n"/>
      <c r="D212" s="15" t="n"/>
      <c r="E212" s="15" t="n"/>
      <c r="F212" s="15" t="n"/>
      <c r="G212" s="15" t="n"/>
      <c r="H212" s="15" t="n"/>
      <c r="I212" s="15" t="n"/>
      <c r="J212" s="15" t="n"/>
    </row>
    <row r="213">
      <c r="A213" s="15" t="n"/>
      <c r="B213" s="15" t="n"/>
      <c r="C213" s="15" t="n"/>
      <c r="D213" s="15" t="n"/>
      <c r="E213" s="15" t="n"/>
      <c r="F213" s="15" t="n"/>
      <c r="G213" s="15" t="n"/>
      <c r="H213" s="15" t="n"/>
      <c r="I213" s="15" t="n"/>
      <c r="J213" s="15" t="n"/>
    </row>
    <row r="214">
      <c r="A214" s="15" t="n"/>
      <c r="B214" s="15" t="n"/>
      <c r="C214" s="15" t="n"/>
      <c r="D214" s="15" t="n"/>
      <c r="E214" s="15" t="n"/>
      <c r="F214" s="15" t="n"/>
      <c r="G214" s="15" t="n"/>
      <c r="H214" s="15" t="n"/>
      <c r="I214" s="15" t="n"/>
      <c r="J214" s="15" t="n"/>
    </row>
    <row r="215">
      <c r="A215" s="15" t="n"/>
      <c r="B215" s="15" t="n"/>
      <c r="C215" s="15" t="n"/>
      <c r="D215" s="15" t="n"/>
      <c r="E215" s="15" t="n"/>
      <c r="F215" s="15" t="n"/>
      <c r="G215" s="15" t="n"/>
      <c r="H215" s="15" t="n"/>
      <c r="I215" s="15" t="n"/>
      <c r="J215" s="15" t="n"/>
    </row>
    <row r="216">
      <c r="A216" s="15" t="n"/>
      <c r="B216" s="15" t="n"/>
      <c r="C216" s="15" t="n"/>
      <c r="D216" s="15" t="n"/>
      <c r="E216" s="15" t="n"/>
      <c r="F216" s="15" t="n"/>
      <c r="G216" s="15" t="n"/>
      <c r="H216" s="15" t="n"/>
      <c r="I216" s="15" t="n"/>
      <c r="J216" s="15" t="n"/>
    </row>
    <row r="217">
      <c r="A217" s="15" t="n"/>
      <c r="B217" s="15" t="n"/>
      <c r="C217" s="15" t="n"/>
      <c r="D217" s="15" t="n"/>
      <c r="E217" s="15" t="n"/>
      <c r="F217" s="15" t="n"/>
      <c r="G217" s="15" t="n"/>
      <c r="H217" s="15" t="n"/>
      <c r="I217" s="15" t="n"/>
      <c r="J217" s="15" t="n"/>
    </row>
    <row r="218">
      <c r="A218" s="15" t="n"/>
      <c r="B218" s="15" t="n"/>
      <c r="C218" s="15" t="n"/>
      <c r="D218" s="15" t="n"/>
      <c r="E218" s="15" t="n"/>
      <c r="F218" s="15" t="n"/>
      <c r="G218" s="15" t="n"/>
      <c r="H218" s="15" t="n"/>
      <c r="I218" s="15" t="n"/>
      <c r="J218" s="15" t="n"/>
    </row>
    <row r="219">
      <c r="A219" s="15" t="n"/>
      <c r="B219" s="15" t="n"/>
      <c r="C219" s="15" t="n"/>
      <c r="D219" s="15" t="n"/>
      <c r="E219" s="15" t="n"/>
      <c r="F219" s="15" t="n"/>
      <c r="G219" s="15" t="n"/>
      <c r="H219" s="15" t="n"/>
      <c r="I219" s="15" t="n"/>
      <c r="J219" s="15" t="n"/>
    </row>
    <row r="220">
      <c r="A220" s="15" t="n"/>
      <c r="B220" s="15" t="n"/>
      <c r="C220" s="15" t="n"/>
      <c r="D220" s="15" t="n"/>
      <c r="E220" s="15" t="n"/>
      <c r="F220" s="15" t="n"/>
      <c r="G220" s="15" t="n"/>
      <c r="H220" s="15" t="n"/>
      <c r="I220" s="15" t="n"/>
      <c r="J220" s="15" t="n"/>
    </row>
    <row r="221">
      <c r="A221" s="15" t="n"/>
      <c r="B221" s="15" t="n"/>
      <c r="C221" s="15" t="n"/>
      <c r="D221" s="15" t="n"/>
      <c r="E221" s="15" t="n"/>
      <c r="F221" s="15" t="n"/>
      <c r="G221" s="15" t="n"/>
      <c r="H221" s="15" t="n"/>
      <c r="I221" s="15" t="n"/>
      <c r="J221" s="15" t="n"/>
    </row>
    <row r="222">
      <c r="A222" s="15" t="n"/>
      <c r="B222" s="15" t="n"/>
      <c r="C222" s="15" t="n"/>
      <c r="D222" s="15" t="n"/>
      <c r="E222" s="15" t="n"/>
      <c r="F222" s="15" t="n"/>
      <c r="G222" s="15" t="n"/>
      <c r="H222" s="15" t="n"/>
      <c r="I222" s="15" t="n"/>
      <c r="J222" s="15" t="n"/>
    </row>
    <row r="223">
      <c r="A223" s="15" t="n"/>
      <c r="B223" s="15" t="n"/>
      <c r="C223" s="15" t="n"/>
      <c r="D223" s="15" t="n"/>
      <c r="E223" s="15" t="n"/>
      <c r="F223" s="15" t="n"/>
      <c r="G223" s="15" t="n"/>
      <c r="H223" s="15" t="n"/>
      <c r="I223" s="15" t="n"/>
      <c r="J223" s="15" t="n"/>
    </row>
    <row r="224">
      <c r="A224" s="15" t="n"/>
      <c r="B224" s="15" t="n"/>
      <c r="C224" s="15" t="n"/>
      <c r="D224" s="15" t="n"/>
      <c r="E224" s="15" t="n"/>
      <c r="F224" s="15" t="n"/>
      <c r="G224" s="15" t="n"/>
      <c r="H224" s="15" t="n"/>
      <c r="I224" s="15" t="n"/>
      <c r="J224" s="15" t="n"/>
    </row>
    <row r="225">
      <c r="A225" s="15" t="n"/>
      <c r="B225" s="15" t="n"/>
      <c r="C225" s="15" t="n"/>
      <c r="D225" s="15" t="n"/>
      <c r="E225" s="15" t="n"/>
      <c r="F225" s="15" t="n"/>
      <c r="G225" s="15" t="n"/>
      <c r="H225" s="15" t="n"/>
      <c r="I225" s="15" t="n"/>
      <c r="J225" s="15" t="n"/>
    </row>
    <row r="226">
      <c r="A226" s="15" t="n"/>
      <c r="B226" s="15" t="n"/>
      <c r="C226" s="15" t="n"/>
      <c r="D226" s="15" t="n"/>
      <c r="E226" s="15" t="n"/>
      <c r="F226" s="15" t="n"/>
      <c r="G226" s="15" t="n"/>
      <c r="H226" s="15" t="n"/>
      <c r="I226" s="15" t="n"/>
      <c r="J226" s="15" t="n"/>
    </row>
    <row r="227">
      <c r="A227" s="15" t="n"/>
      <c r="B227" s="15" t="n"/>
      <c r="C227" s="15" t="n"/>
      <c r="D227" s="15" t="n"/>
      <c r="E227" s="15" t="n"/>
      <c r="F227" s="15" t="n"/>
      <c r="G227" s="15" t="n"/>
      <c r="H227" s="15" t="n"/>
      <c r="I227" s="15" t="n"/>
      <c r="J227" s="15" t="n"/>
    </row>
    <row r="228">
      <c r="A228" s="15" t="n"/>
      <c r="B228" s="15" t="n"/>
      <c r="C228" s="15" t="n"/>
      <c r="D228" s="15" t="n"/>
      <c r="E228" s="15" t="n"/>
      <c r="F228" s="15" t="n"/>
      <c r="G228" s="15" t="n"/>
      <c r="H228" s="15" t="n"/>
      <c r="I228" s="15" t="n"/>
      <c r="J228" s="15" t="n"/>
    </row>
    <row r="229">
      <c r="A229" s="15" t="n"/>
      <c r="B229" s="15" t="n"/>
      <c r="C229" s="15" t="n"/>
      <c r="D229" s="15" t="n"/>
      <c r="E229" s="15" t="n"/>
      <c r="F229" s="15" t="n"/>
      <c r="G229" s="15" t="n"/>
      <c r="H229" s="15" t="n"/>
      <c r="I229" s="15" t="n"/>
      <c r="J229" s="15" t="n"/>
    </row>
    <row r="230">
      <c r="A230" s="15" t="n"/>
      <c r="B230" s="15" t="n"/>
      <c r="C230" s="15" t="n"/>
      <c r="D230" s="15" t="n"/>
      <c r="E230" s="15" t="n"/>
      <c r="F230" s="15" t="n"/>
      <c r="G230" s="15" t="n"/>
      <c r="H230" s="15" t="n"/>
      <c r="I230" s="15" t="n"/>
      <c r="J230" s="15" t="n"/>
    </row>
    <row r="231">
      <c r="A231" s="15" t="n"/>
      <c r="B231" s="15" t="n"/>
      <c r="C231" s="15" t="n"/>
      <c r="D231" s="15" t="n"/>
      <c r="E231" s="15" t="n"/>
      <c r="F231" s="15" t="n"/>
      <c r="G231" s="15" t="n"/>
      <c r="H231" s="15" t="n"/>
      <c r="I231" s="15" t="n"/>
      <c r="J231" s="15" t="n"/>
    </row>
    <row r="232">
      <c r="A232" s="15" t="n"/>
      <c r="B232" s="15" t="n"/>
      <c r="C232" s="15" t="n"/>
      <c r="D232" s="15" t="n"/>
      <c r="E232" s="15" t="n"/>
      <c r="F232" s="15" t="n"/>
      <c r="G232" s="15" t="n"/>
      <c r="H232" s="15" t="n"/>
      <c r="I232" s="15" t="n"/>
      <c r="J232" s="15" t="n"/>
    </row>
    <row r="233">
      <c r="A233" s="15" t="n"/>
      <c r="B233" s="15" t="n"/>
      <c r="C233" s="15" t="n"/>
      <c r="D233" s="15" t="n"/>
      <c r="E233" s="15" t="n"/>
      <c r="F233" s="15" t="n"/>
      <c r="G233" s="15" t="n"/>
      <c r="H233" s="15" t="n"/>
      <c r="I233" s="15" t="n"/>
      <c r="J233" s="15" t="n"/>
    </row>
    <row r="234">
      <c r="A234" s="15" t="n"/>
      <c r="B234" s="15" t="n"/>
      <c r="C234" s="15" t="n"/>
      <c r="D234" s="15" t="n"/>
      <c r="E234" s="15" t="n"/>
      <c r="F234" s="15" t="n"/>
      <c r="G234" s="15" t="n"/>
      <c r="H234" s="15" t="n"/>
      <c r="I234" s="15" t="n"/>
      <c r="J234" s="15" t="n"/>
    </row>
    <row r="235">
      <c r="A235" s="15" t="n"/>
      <c r="B235" s="15" t="n"/>
      <c r="C235" s="15" t="n"/>
      <c r="D235" s="15" t="n"/>
      <c r="E235" s="15" t="n"/>
      <c r="F235" s="15" t="n"/>
      <c r="G235" s="15" t="n"/>
      <c r="H235" s="15" t="n"/>
      <c r="I235" s="15" t="n"/>
      <c r="J235" s="15" t="n"/>
    </row>
    <row r="236">
      <c r="A236" s="15" t="n"/>
      <c r="B236" s="15" t="n"/>
      <c r="C236" s="15" t="n"/>
      <c r="D236" s="15" t="n"/>
      <c r="E236" s="15" t="n"/>
      <c r="F236" s="15" t="n"/>
      <c r="G236" s="15" t="n"/>
      <c r="H236" s="15" t="n"/>
      <c r="I236" s="15" t="n"/>
      <c r="J236" s="15" t="n"/>
    </row>
    <row r="237">
      <c r="A237" s="15" t="n"/>
      <c r="B237" s="15" t="n"/>
      <c r="C237" s="15" t="n"/>
      <c r="D237" s="15" t="n"/>
      <c r="E237" s="15" t="n"/>
      <c r="F237" s="15" t="n"/>
      <c r="G237" s="15" t="n"/>
      <c r="H237" s="15" t="n"/>
      <c r="I237" s="15" t="n"/>
      <c r="J237" s="15" t="n"/>
    </row>
    <row r="238">
      <c r="A238" s="15" t="n"/>
      <c r="B238" s="15" t="n"/>
      <c r="C238" s="15" t="n"/>
      <c r="D238" s="15" t="n"/>
      <c r="E238" s="15" t="n"/>
      <c r="F238" s="15" t="n"/>
      <c r="G238" s="15" t="n"/>
      <c r="H238" s="15" t="n"/>
      <c r="I238" s="15" t="n"/>
      <c r="J238" s="15" t="n"/>
    </row>
    <row r="239">
      <c r="A239" s="15" t="n"/>
      <c r="B239" s="15" t="n"/>
      <c r="C239" s="15" t="n"/>
      <c r="D239" s="15" t="n"/>
      <c r="E239" s="15" t="n"/>
      <c r="F239" s="15" t="n"/>
      <c r="G239" s="15" t="n"/>
      <c r="H239" s="15" t="n"/>
      <c r="I239" s="15" t="n"/>
      <c r="J239" s="15" t="n"/>
    </row>
    <row r="240">
      <c r="A240" s="15" t="n"/>
      <c r="B240" s="15" t="n"/>
      <c r="C240" s="15" t="n"/>
      <c r="D240" s="15" t="n"/>
      <c r="E240" s="15" t="n"/>
      <c r="F240" s="15" t="n"/>
      <c r="G240" s="15" t="n"/>
      <c r="H240" s="15" t="n"/>
      <c r="I240" s="15" t="n"/>
      <c r="J240" s="15" t="n"/>
    </row>
    <row r="241">
      <c r="A241" s="15" t="n"/>
      <c r="B241" s="15" t="n"/>
      <c r="C241" s="15" t="n"/>
      <c r="D241" s="15" t="n"/>
      <c r="E241" s="15" t="n"/>
      <c r="F241" s="15" t="n"/>
      <c r="G241" s="15" t="n"/>
      <c r="H241" s="15" t="n"/>
      <c r="I241" s="15" t="n"/>
      <c r="J241" s="15" t="n"/>
    </row>
    <row r="242">
      <c r="A242" s="15" t="n"/>
      <c r="B242" s="15" t="n"/>
      <c r="C242" s="15" t="n"/>
      <c r="D242" s="15" t="n"/>
      <c r="E242" s="15" t="n"/>
      <c r="F242" s="15" t="n"/>
      <c r="G242" s="15" t="n"/>
      <c r="H242" s="15" t="n"/>
      <c r="I242" s="15" t="n"/>
      <c r="J242" s="15" t="n"/>
    </row>
    <row r="243">
      <c r="A243" s="15" t="n"/>
      <c r="B243" s="15" t="n"/>
      <c r="C243" s="15" t="n"/>
      <c r="D243" s="15" t="n"/>
      <c r="E243" s="15" t="n"/>
      <c r="F243" s="15" t="n"/>
      <c r="G243" s="15" t="n"/>
      <c r="H243" s="15" t="n"/>
      <c r="I243" s="15" t="n"/>
      <c r="J243" s="15" t="n"/>
    </row>
    <row r="244">
      <c r="A244" s="15" t="n"/>
      <c r="B244" s="15" t="n"/>
      <c r="C244" s="15" t="n"/>
      <c r="D244" s="15" t="n"/>
      <c r="E244" s="15" t="n"/>
      <c r="F244" s="15" t="n"/>
      <c r="G244" s="15" t="n"/>
      <c r="H244" s="15" t="n"/>
      <c r="I244" s="15" t="n"/>
      <c r="J244" s="15" t="n"/>
    </row>
    <row r="245">
      <c r="A245" s="15" t="n"/>
      <c r="B245" s="15" t="n"/>
      <c r="C245" s="15" t="n"/>
      <c r="D245" s="15" t="n"/>
      <c r="E245" s="15" t="n"/>
      <c r="F245" s="15" t="n"/>
      <c r="G245" s="15" t="n"/>
      <c r="H245" s="15" t="n"/>
      <c r="I245" s="15" t="n"/>
      <c r="J245" s="15" t="n"/>
    </row>
    <row r="246">
      <c r="A246" s="15" t="n"/>
      <c r="B246" s="15" t="n"/>
      <c r="C246" s="15" t="n"/>
      <c r="D246" s="15" t="n"/>
      <c r="E246" s="15" t="n"/>
      <c r="F246" s="15" t="n"/>
      <c r="G246" s="15" t="n"/>
      <c r="H246" s="15" t="n"/>
      <c r="I246" s="15" t="n"/>
      <c r="J246" s="15" t="n"/>
    </row>
    <row r="247">
      <c r="A247" s="15" t="n"/>
      <c r="B247" s="15" t="n"/>
      <c r="C247" s="15" t="n"/>
      <c r="D247" s="15" t="n"/>
      <c r="E247" s="15" t="n"/>
      <c r="F247" s="15" t="n"/>
      <c r="G247" s="15" t="n"/>
      <c r="H247" s="15" t="n"/>
      <c r="I247" s="15" t="n"/>
      <c r="J247" s="15" t="n"/>
    </row>
    <row r="248">
      <c r="A248" s="15" t="n"/>
      <c r="B248" s="15" t="n"/>
      <c r="C248" s="15" t="n"/>
      <c r="D248" s="15" t="n"/>
      <c r="E248" s="15" t="n"/>
      <c r="F248" s="15" t="n"/>
      <c r="G248" s="15" t="n"/>
      <c r="H248" s="15" t="n"/>
      <c r="I248" s="15" t="n"/>
      <c r="J248" s="15" t="n"/>
    </row>
    <row r="249">
      <c r="A249" s="15" t="n"/>
      <c r="B249" s="15" t="n"/>
      <c r="C249" s="15" t="n"/>
      <c r="D249" s="15" t="n"/>
      <c r="E249" s="15" t="n"/>
      <c r="F249" s="15" t="n"/>
      <c r="G249" s="15" t="n"/>
      <c r="H249" s="15" t="n"/>
      <c r="I249" s="15" t="n"/>
      <c r="J249" s="15" t="n"/>
    </row>
    <row r="250">
      <c r="A250" s="15" t="n"/>
      <c r="B250" s="15" t="n"/>
      <c r="C250" s="15" t="n"/>
      <c r="D250" s="15" t="n"/>
      <c r="E250" s="15" t="n"/>
      <c r="F250" s="15" t="n"/>
      <c r="G250" s="15" t="n"/>
      <c r="H250" s="15" t="n"/>
      <c r="I250" s="15" t="n"/>
      <c r="J250" s="15" t="n"/>
    </row>
    <row r="251">
      <c r="A251" s="15" t="n"/>
      <c r="B251" s="15" t="n"/>
      <c r="C251" s="15" t="n"/>
      <c r="D251" s="15" t="n"/>
      <c r="E251" s="15" t="n"/>
      <c r="F251" s="15" t="n"/>
      <c r="G251" s="15" t="n"/>
      <c r="H251" s="15" t="n"/>
      <c r="I251" s="15" t="n"/>
      <c r="J251" s="15" t="n"/>
    </row>
    <row r="252">
      <c r="A252" s="15" t="n"/>
      <c r="B252" s="15" t="n"/>
      <c r="C252" s="15" t="n"/>
      <c r="D252" s="15" t="n"/>
      <c r="E252" s="15" t="n"/>
      <c r="F252" s="15" t="n"/>
      <c r="G252" s="15" t="n"/>
      <c r="H252" s="15" t="n"/>
      <c r="I252" s="15" t="n"/>
      <c r="J252" s="15" t="n"/>
    </row>
    <row r="253">
      <c r="A253" s="15" t="n"/>
      <c r="B253" s="15" t="n"/>
      <c r="C253" s="15" t="n"/>
      <c r="D253" s="15" t="n"/>
      <c r="E253" s="15" t="n"/>
      <c r="F253" s="15" t="n"/>
      <c r="G253" s="15" t="n"/>
      <c r="H253" s="15" t="n"/>
      <c r="I253" s="15" t="n"/>
      <c r="J253" s="15" t="n"/>
    </row>
    <row r="254">
      <c r="A254" s="15" t="n"/>
      <c r="B254" s="15" t="n"/>
      <c r="C254" s="15" t="n"/>
      <c r="D254" s="15" t="n"/>
      <c r="E254" s="15" t="n"/>
      <c r="F254" s="15" t="n"/>
      <c r="G254" s="15" t="n"/>
      <c r="H254" s="15" t="n"/>
      <c r="I254" s="15" t="n"/>
      <c r="J254" s="15" t="n"/>
    </row>
    <row r="255">
      <c r="A255" s="15" t="n"/>
      <c r="B255" s="15" t="n"/>
      <c r="C255" s="15" t="n"/>
      <c r="D255" s="15" t="n"/>
      <c r="E255" s="15" t="n"/>
      <c r="F255" s="15" t="n"/>
      <c r="G255" s="15" t="n"/>
      <c r="H255" s="15" t="n"/>
      <c r="I255" s="15" t="n"/>
      <c r="J255" s="15" t="n"/>
    </row>
    <row r="256">
      <c r="A256" s="15" t="n"/>
      <c r="B256" s="15" t="n"/>
      <c r="C256" s="15" t="n"/>
      <c r="D256" s="15" t="n"/>
      <c r="E256" s="15" t="n"/>
      <c r="F256" s="15" t="n"/>
      <c r="G256" s="15" t="n"/>
      <c r="H256" s="15" t="n"/>
      <c r="I256" s="15" t="n"/>
      <c r="J256" s="15" t="n"/>
    </row>
    <row r="257">
      <c r="A257" s="15" t="n"/>
      <c r="B257" s="15" t="n"/>
      <c r="C257" s="15" t="n"/>
      <c r="D257" s="15" t="n"/>
      <c r="E257" s="15" t="n"/>
      <c r="F257" s="15" t="n"/>
      <c r="G257" s="15" t="n"/>
      <c r="H257" s="15" t="n"/>
      <c r="I257" s="15" t="n"/>
      <c r="J257" s="15" t="n"/>
    </row>
    <row r="258">
      <c r="A258" s="15" t="n"/>
      <c r="B258" s="15" t="n"/>
      <c r="C258" s="15" t="n"/>
      <c r="D258" s="15" t="n"/>
      <c r="E258" s="15" t="n"/>
      <c r="F258" s="15" t="n"/>
      <c r="G258" s="15" t="n"/>
      <c r="H258" s="15" t="n"/>
      <c r="I258" s="15" t="n"/>
      <c r="J258" s="15" t="n"/>
    </row>
    <row r="259">
      <c r="A259" s="15" t="n"/>
      <c r="B259" s="15" t="n"/>
      <c r="C259" s="15" t="n"/>
      <c r="D259" s="15" t="n"/>
      <c r="E259" s="15" t="n"/>
      <c r="F259" s="15" t="n"/>
      <c r="G259" s="15" t="n"/>
      <c r="H259" s="15" t="n"/>
      <c r="I259" s="15" t="n"/>
      <c r="J259" s="15" t="n"/>
    </row>
    <row r="260">
      <c r="A260" s="15" t="n"/>
      <c r="B260" s="15" t="n"/>
      <c r="C260" s="15" t="n"/>
      <c r="D260" s="15" t="n"/>
      <c r="E260" s="15" t="n"/>
      <c r="F260" s="15" t="n"/>
      <c r="G260" s="15" t="n"/>
      <c r="H260" s="15" t="n"/>
      <c r="I260" s="15" t="n"/>
      <c r="J260" s="15" t="n"/>
    </row>
    <row r="261">
      <c r="A261" s="15" t="n"/>
      <c r="B261" s="15" t="n"/>
      <c r="C261" s="15" t="n"/>
      <c r="D261" s="15" t="n"/>
      <c r="E261" s="15" t="n"/>
      <c r="F261" s="15" t="n"/>
      <c r="G261" s="15" t="n"/>
      <c r="H261" s="15" t="n"/>
      <c r="I261" s="15" t="n"/>
      <c r="J261" s="15" t="n"/>
    </row>
    <row r="262">
      <c r="A262" s="15" t="n"/>
      <c r="B262" s="15" t="n"/>
      <c r="C262" s="15" t="n"/>
      <c r="D262" s="15" t="n"/>
      <c r="E262" s="15" t="n"/>
      <c r="F262" s="15" t="n"/>
      <c r="G262" s="15" t="n"/>
      <c r="H262" s="15" t="n"/>
      <c r="I262" s="15" t="n"/>
      <c r="J262" s="15" t="n"/>
    </row>
    <row r="263">
      <c r="A263" s="15" t="n"/>
      <c r="B263" s="15" t="n"/>
      <c r="C263" s="15" t="n"/>
      <c r="D263" s="15" t="n"/>
      <c r="E263" s="15" t="n"/>
      <c r="F263" s="15" t="n"/>
      <c r="G263" s="15" t="n"/>
      <c r="H263" s="15" t="n"/>
      <c r="I263" s="15" t="n"/>
      <c r="J263" s="15" t="n"/>
    </row>
    <row r="264">
      <c r="A264" s="15" t="n"/>
      <c r="B264" s="15" t="n"/>
      <c r="C264" s="15" t="n"/>
      <c r="D264" s="15" t="n"/>
      <c r="E264" s="15" t="n"/>
      <c r="F264" s="15" t="n"/>
      <c r="G264" s="15" t="n"/>
      <c r="H264" s="15" t="n"/>
      <c r="I264" s="15" t="n"/>
      <c r="J264" s="15" t="n"/>
    </row>
    <row r="265">
      <c r="A265" s="15" t="n"/>
      <c r="B265" s="15" t="n"/>
      <c r="C265" s="15" t="n"/>
      <c r="D265" s="15" t="n"/>
      <c r="E265" s="15" t="n"/>
      <c r="F265" s="15" t="n"/>
      <c r="G265" s="15" t="n"/>
      <c r="H265" s="15" t="n"/>
      <c r="I265" s="15" t="n"/>
      <c r="J265" s="15" t="n"/>
    </row>
    <row r="266">
      <c r="A266" s="15" t="n"/>
      <c r="B266" s="15" t="n"/>
      <c r="C266" s="15" t="n"/>
      <c r="D266" s="15" t="n"/>
      <c r="E266" s="15" t="n"/>
      <c r="F266" s="15" t="n"/>
      <c r="G266" s="15" t="n"/>
      <c r="H266" s="15" t="n"/>
      <c r="I266" s="15" t="n"/>
      <c r="J266" s="15" t="n"/>
    </row>
    <row r="267">
      <c r="A267" s="15" t="n"/>
      <c r="B267" s="15" t="n"/>
      <c r="C267" s="15" t="n"/>
      <c r="D267" s="15" t="n"/>
      <c r="E267" s="15" t="n"/>
      <c r="F267" s="15" t="n"/>
      <c r="G267" s="15" t="n"/>
      <c r="H267" s="15" t="n"/>
      <c r="I267" s="15" t="n"/>
      <c r="J267" s="15" t="n"/>
    </row>
    <row r="268">
      <c r="A268" s="15" t="n"/>
      <c r="B268" s="15" t="n"/>
      <c r="C268" s="15" t="n"/>
      <c r="D268" s="15" t="n"/>
      <c r="E268" s="15" t="n"/>
      <c r="F268" s="15" t="n"/>
      <c r="G268" s="15" t="n"/>
      <c r="H268" s="15" t="n"/>
      <c r="I268" s="15" t="n"/>
      <c r="J268" s="15" t="n"/>
    </row>
    <row r="269">
      <c r="A269" s="15" t="n"/>
      <c r="B269" s="15" t="n"/>
      <c r="C269" s="15" t="n"/>
      <c r="D269" s="15" t="n"/>
      <c r="E269" s="15" t="n"/>
      <c r="F269" s="15" t="n"/>
      <c r="G269" s="15" t="n"/>
      <c r="H269" s="15" t="n"/>
      <c r="I269" s="15" t="n"/>
      <c r="J269" s="15" t="n"/>
    </row>
    <row r="270">
      <c r="A270" s="15" t="n"/>
      <c r="B270" s="15" t="n"/>
      <c r="C270" s="15" t="n"/>
      <c r="D270" s="15" t="n"/>
      <c r="E270" s="15" t="n"/>
      <c r="F270" s="15" t="n"/>
      <c r="G270" s="15" t="n"/>
      <c r="H270" s="15" t="n"/>
      <c r="I270" s="15" t="n"/>
      <c r="J270" s="15" t="n"/>
    </row>
    <row r="271">
      <c r="A271" s="15" t="n"/>
      <c r="B271" s="15" t="n"/>
      <c r="C271" s="15" t="n"/>
      <c r="D271" s="15" t="n"/>
      <c r="E271" s="15" t="n"/>
      <c r="F271" s="15" t="n"/>
      <c r="G271" s="15" t="n"/>
      <c r="H271" s="15" t="n"/>
      <c r="I271" s="15" t="n"/>
      <c r="J271" s="15" t="n"/>
    </row>
    <row r="272">
      <c r="A272" s="15" t="n"/>
      <c r="B272" s="15" t="n"/>
      <c r="C272" s="15" t="n"/>
      <c r="D272" s="15" t="n"/>
      <c r="E272" s="15" t="n"/>
      <c r="F272" s="15" t="n"/>
      <c r="G272" s="15" t="n"/>
      <c r="H272" s="15" t="n"/>
      <c r="I272" s="15" t="n"/>
      <c r="J272" s="15" t="n"/>
    </row>
    <row r="273">
      <c r="A273" s="15" t="n"/>
      <c r="B273" s="15" t="n"/>
      <c r="C273" s="15" t="n"/>
      <c r="D273" s="15" t="n"/>
      <c r="E273" s="15" t="n"/>
      <c r="F273" s="15" t="n"/>
      <c r="G273" s="15" t="n"/>
      <c r="H273" s="15" t="n"/>
      <c r="I273" s="15" t="n"/>
      <c r="J273" s="15" t="n"/>
    </row>
    <row r="274">
      <c r="A274" s="15" t="n"/>
      <c r="B274" s="15" t="n"/>
      <c r="C274" s="15" t="n"/>
      <c r="D274" s="15" t="n"/>
      <c r="E274" s="15" t="n"/>
      <c r="F274" s="15" t="n"/>
      <c r="G274" s="15" t="n"/>
      <c r="H274" s="15" t="n"/>
      <c r="I274" s="15" t="n"/>
      <c r="J274" s="15" t="n"/>
    </row>
    <row r="275">
      <c r="A275" s="15" t="n"/>
      <c r="B275" s="15" t="n"/>
      <c r="C275" s="15" t="n"/>
      <c r="D275" s="15" t="n"/>
      <c r="E275" s="15" t="n"/>
      <c r="F275" s="15" t="n"/>
      <c r="G275" s="15" t="n"/>
      <c r="H275" s="15" t="n"/>
      <c r="I275" s="15" t="n"/>
      <c r="J275" s="15" t="n"/>
    </row>
    <row r="276">
      <c r="A276" s="15" t="n"/>
      <c r="B276" s="15" t="n"/>
      <c r="C276" s="15" t="n"/>
      <c r="D276" s="15" t="n"/>
      <c r="E276" s="15" t="n"/>
      <c r="F276" s="15" t="n"/>
      <c r="G276" s="15" t="n"/>
      <c r="H276" s="15" t="n"/>
      <c r="I276" s="15" t="n"/>
      <c r="J276" s="15" t="n"/>
    </row>
    <row r="277">
      <c r="A277" s="15" t="n"/>
      <c r="B277" s="15" t="n"/>
      <c r="C277" s="15" t="n"/>
      <c r="D277" s="15" t="n"/>
      <c r="E277" s="15" t="n"/>
      <c r="F277" s="15" t="n"/>
      <c r="G277" s="15" t="n"/>
      <c r="H277" s="15" t="n"/>
      <c r="I277" s="15" t="n"/>
      <c r="J277" s="15" t="n"/>
    </row>
    <row r="278">
      <c r="A278" s="15" t="n"/>
      <c r="B278" s="15" t="n"/>
      <c r="C278" s="15" t="n"/>
      <c r="D278" s="15" t="n"/>
      <c r="E278" s="15" t="n"/>
      <c r="F278" s="15" t="n"/>
      <c r="G278" s="15" t="n"/>
      <c r="H278" s="15" t="n"/>
      <c r="I278" s="15" t="n"/>
      <c r="J278" s="15" t="n"/>
    </row>
    <row r="279">
      <c r="A279" s="15" t="n"/>
      <c r="B279" s="15" t="n"/>
      <c r="C279" s="15" t="n"/>
      <c r="D279" s="15" t="n"/>
      <c r="E279" s="15" t="n"/>
      <c r="F279" s="15" t="n"/>
      <c r="G279" s="15" t="n"/>
      <c r="H279" s="15" t="n"/>
      <c r="I279" s="15" t="n"/>
      <c r="J279" s="15" t="n"/>
    </row>
    <row r="280">
      <c r="A280" s="15" t="n"/>
      <c r="B280" s="15" t="n"/>
      <c r="C280" s="15" t="n"/>
      <c r="D280" s="15" t="n"/>
      <c r="E280" s="15" t="n"/>
      <c r="F280" s="15" t="n"/>
      <c r="G280" s="15" t="n"/>
      <c r="H280" s="15" t="n"/>
      <c r="I280" s="15" t="n"/>
      <c r="J280" s="15" t="n"/>
    </row>
    <row r="281">
      <c r="A281" s="15" t="n"/>
      <c r="B281" s="15" t="n"/>
      <c r="C281" s="15" t="n"/>
      <c r="D281" s="15" t="n"/>
      <c r="E281" s="15" t="n"/>
      <c r="F281" s="15" t="n"/>
      <c r="G281" s="15" t="n"/>
      <c r="H281" s="15" t="n"/>
      <c r="I281" s="15" t="n"/>
      <c r="J281" s="15" t="n"/>
    </row>
    <row r="282">
      <c r="A282" s="15" t="n"/>
      <c r="B282" s="15" t="n"/>
      <c r="C282" s="15" t="n"/>
      <c r="D282" s="15" t="n"/>
      <c r="E282" s="15" t="n"/>
      <c r="F282" s="15" t="n"/>
      <c r="G282" s="15" t="n"/>
      <c r="H282" s="15" t="n"/>
      <c r="I282" s="15" t="n"/>
      <c r="J282" s="15" t="n"/>
    </row>
    <row r="283">
      <c r="A283" s="15" t="n"/>
      <c r="B283" s="15" t="n"/>
      <c r="C283" s="15" t="n"/>
      <c r="D283" s="15" t="n"/>
      <c r="E283" s="15" t="n"/>
      <c r="F283" s="15" t="n"/>
      <c r="G283" s="15" t="n"/>
      <c r="H283" s="15" t="n"/>
      <c r="I283" s="15" t="n"/>
      <c r="J283" s="15" t="n"/>
    </row>
    <row r="284">
      <c r="A284" s="15" t="n"/>
      <c r="B284" s="15" t="n"/>
      <c r="C284" s="15" t="n"/>
      <c r="D284" s="15" t="n"/>
      <c r="E284" s="15" t="n"/>
      <c r="F284" s="15" t="n"/>
      <c r="G284" s="15" t="n"/>
      <c r="H284" s="15" t="n"/>
      <c r="I284" s="15" t="n"/>
      <c r="J284" s="15" t="n"/>
    </row>
    <row r="285">
      <c r="A285" s="15" t="n"/>
      <c r="B285" s="15" t="n"/>
      <c r="C285" s="15" t="n"/>
      <c r="D285" s="15" t="n"/>
      <c r="E285" s="15" t="n"/>
      <c r="F285" s="15" t="n"/>
      <c r="G285" s="15" t="n"/>
      <c r="H285" s="15" t="n"/>
      <c r="I285" s="15" t="n"/>
      <c r="J285" s="15" t="n"/>
    </row>
    <row r="286">
      <c r="A286" s="15" t="n"/>
      <c r="B286" s="15" t="n"/>
      <c r="C286" s="15" t="n"/>
      <c r="D286" s="15" t="n"/>
      <c r="E286" s="15" t="n"/>
      <c r="F286" s="15" t="n"/>
      <c r="G286" s="15" t="n"/>
      <c r="H286" s="15" t="n"/>
      <c r="I286" s="15" t="n"/>
      <c r="J286" s="15" t="n"/>
    </row>
    <row r="287">
      <c r="A287" s="15" t="n"/>
      <c r="B287" s="15" t="n"/>
      <c r="C287" s="15" t="n"/>
      <c r="D287" s="15" t="n"/>
      <c r="E287" s="15" t="n"/>
      <c r="F287" s="15" t="n"/>
      <c r="G287" s="15" t="n"/>
      <c r="H287" s="15" t="n"/>
      <c r="I287" s="15" t="n"/>
      <c r="J287" s="15" t="n"/>
    </row>
    <row r="288">
      <c r="A288" s="15" t="n"/>
      <c r="B288" s="15" t="n"/>
      <c r="C288" s="15" t="n"/>
      <c r="D288" s="15" t="n"/>
      <c r="E288" s="15" t="n"/>
      <c r="F288" s="15" t="n"/>
      <c r="G288" s="15" t="n"/>
      <c r="H288" s="15" t="n"/>
      <c r="I288" s="15" t="n"/>
      <c r="J288" s="15" t="n"/>
    </row>
    <row r="289">
      <c r="A289" s="15" t="n"/>
      <c r="B289" s="15" t="n"/>
      <c r="C289" s="15" t="n"/>
      <c r="D289" s="15" t="n"/>
      <c r="E289" s="15" t="n"/>
      <c r="F289" s="15" t="n"/>
      <c r="G289" s="15" t="n"/>
      <c r="H289" s="15" t="n"/>
      <c r="I289" s="15" t="n"/>
      <c r="J289" s="15" t="n"/>
    </row>
    <row r="290">
      <c r="A290" s="15" t="n"/>
      <c r="B290" s="15" t="n"/>
      <c r="C290" s="15" t="n"/>
      <c r="D290" s="15" t="n"/>
      <c r="E290" s="15" t="n"/>
      <c r="F290" s="15" t="n"/>
      <c r="G290" s="15" t="n"/>
      <c r="H290" s="15" t="n"/>
      <c r="I290" s="15" t="n"/>
      <c r="J290" s="15" t="n"/>
    </row>
    <row r="291">
      <c r="A291" s="15" t="n"/>
      <c r="B291" s="15" t="n"/>
      <c r="C291" s="15" t="n"/>
      <c r="D291" s="15" t="n"/>
      <c r="E291" s="15" t="n"/>
      <c r="F291" s="15" t="n"/>
      <c r="G291" s="15" t="n"/>
      <c r="H291" s="15" t="n"/>
      <c r="I291" s="15" t="n"/>
      <c r="J291" s="15" t="n"/>
    </row>
    <row r="292">
      <c r="A292" s="15" t="n"/>
      <c r="B292" s="15" t="n"/>
      <c r="C292" s="15" t="n"/>
      <c r="D292" s="15" t="n"/>
      <c r="E292" s="15" t="n"/>
      <c r="F292" s="15" t="n"/>
      <c r="G292" s="15" t="n"/>
      <c r="H292" s="15" t="n"/>
      <c r="I292" s="15" t="n"/>
      <c r="J292" s="15" t="n"/>
    </row>
    <row r="293">
      <c r="A293" s="15" t="n"/>
      <c r="B293" s="15" t="n"/>
      <c r="C293" s="15" t="n"/>
      <c r="D293" s="15" t="n"/>
      <c r="E293" s="15" t="n"/>
      <c r="F293" s="15" t="n"/>
      <c r="G293" s="15" t="n"/>
      <c r="H293" s="15" t="n"/>
      <c r="I293" s="15" t="n"/>
      <c r="J293" s="15" t="n"/>
    </row>
    <row r="294">
      <c r="A294" s="15" t="n"/>
      <c r="B294" s="15" t="n"/>
      <c r="C294" s="15" t="n"/>
      <c r="D294" s="15" t="n"/>
      <c r="E294" s="15" t="n"/>
      <c r="F294" s="15" t="n"/>
      <c r="G294" s="15" t="n"/>
      <c r="H294" s="15" t="n"/>
      <c r="I294" s="15" t="n"/>
      <c r="J294" s="15" t="n"/>
    </row>
    <row r="295">
      <c r="A295" s="15" t="n"/>
      <c r="B295" s="15" t="n"/>
      <c r="C295" s="15" t="n"/>
      <c r="D295" s="15" t="n"/>
      <c r="E295" s="15" t="n"/>
      <c r="F295" s="15" t="n"/>
      <c r="G295" s="15" t="n"/>
      <c r="H295" s="15" t="n"/>
      <c r="I295" s="15" t="n"/>
      <c r="J295" s="15" t="n"/>
    </row>
    <row r="296">
      <c r="A296" s="15" t="n"/>
      <c r="B296" s="15" t="n"/>
      <c r="C296" s="15" t="n"/>
      <c r="D296" s="15" t="n"/>
      <c r="E296" s="15" t="n"/>
      <c r="F296" s="15" t="n"/>
      <c r="G296" s="15" t="n"/>
      <c r="H296" s="15" t="n"/>
      <c r="I296" s="15" t="n"/>
      <c r="J296" s="15" t="n"/>
    </row>
    <row r="297">
      <c r="A297" s="15" t="n"/>
      <c r="B297" s="15" t="n"/>
      <c r="C297" s="15" t="n"/>
      <c r="D297" s="15" t="n"/>
      <c r="E297" s="15" t="n"/>
      <c r="F297" s="15" t="n"/>
      <c r="G297" s="15" t="n"/>
      <c r="H297" s="15" t="n"/>
      <c r="I297" s="15" t="n"/>
      <c r="J297" s="15" t="n"/>
    </row>
    <row r="298">
      <c r="A298" s="15" t="n"/>
      <c r="B298" s="15" t="n"/>
      <c r="C298" s="15" t="n"/>
      <c r="D298" s="15" t="n"/>
      <c r="E298" s="15" t="n"/>
      <c r="F298" s="15" t="n"/>
      <c r="G298" s="15" t="n"/>
      <c r="H298" s="15" t="n"/>
      <c r="I298" s="15" t="n"/>
      <c r="J298" s="15" t="n"/>
    </row>
    <row r="299">
      <c r="A299" s="15" t="n"/>
      <c r="B299" s="15" t="n"/>
      <c r="C299" s="15" t="n"/>
      <c r="D299" s="15" t="n"/>
      <c r="E299" s="15" t="n"/>
      <c r="F299" s="15" t="n"/>
      <c r="G299" s="15" t="n"/>
      <c r="H299" s="15" t="n"/>
      <c r="I299" s="15" t="n"/>
      <c r="J299" s="15" t="n"/>
    </row>
    <row r="300">
      <c r="A300" s="15" t="n"/>
      <c r="B300" s="15" t="n"/>
      <c r="C300" s="15" t="n"/>
      <c r="D300" s="15" t="n"/>
      <c r="E300" s="15" t="n"/>
      <c r="F300" s="15" t="n"/>
      <c r="G300" s="15" t="n"/>
      <c r="H300" s="15" t="n"/>
      <c r="I300" s="15" t="n"/>
      <c r="J300" s="15" t="n"/>
    </row>
    <row r="301">
      <c r="A301" s="15" t="n"/>
      <c r="B301" s="15" t="n"/>
      <c r="C301" s="15" t="n"/>
      <c r="D301" s="15" t="n"/>
      <c r="E301" s="15" t="n"/>
      <c r="F301" s="15" t="n"/>
      <c r="G301" s="15" t="n"/>
      <c r="H301" s="15" t="n"/>
      <c r="I301" s="15" t="n"/>
      <c r="J301" s="15" t="n"/>
    </row>
    <row r="302">
      <c r="A302" s="15" t="n"/>
      <c r="B302" s="15" t="n"/>
      <c r="C302" s="15" t="n"/>
      <c r="D302" s="15" t="n"/>
      <c r="E302" s="15" t="n"/>
      <c r="F302" s="15" t="n"/>
      <c r="G302" s="15" t="n"/>
      <c r="H302" s="15" t="n"/>
      <c r="I302" s="15" t="n"/>
      <c r="J302" s="15" t="n"/>
    </row>
  </sheetData>
  <autoFilter ref="A2:J302"/>
  <mergeCells count="1">
    <mergeCell ref="A1:J1"/>
  </mergeCells>
  <conditionalFormatting sqref="G3:G302">
    <cfRule type="cellIs" priority="1" operator="equal" dxfId="6">
      <formula>"Third party: negative"</formula>
    </cfRule>
  </conditionalFormatting>
  <conditionalFormatting sqref="I3:I302">
    <cfRule type="cellIs" priority="2" operator="equal" dxfId="6">
      <formula>"No"</formula>
    </cfRule>
  </conditionalFormatting>
  <conditionalFormatting sqref="A3:J302">
    <cfRule type="expression" priority="3" dxfId="5">
      <formula>MOD(ROW(),2)=0</formula>
    </cfRule>
  </conditionalFormatting>
  <dataValidations count="4">
    <dataValidation sqref="C3:C302" showDropDown="0" showInputMessage="0" showErrorMessage="0" allowBlank="1" errorTitle="Not in list" error="Pick a value from the list." type="list">
      <formula1>"Desktop,Mobile"</formula1>
    </dataValidation>
    <dataValidation sqref="G3:G302" showDropDown="0" showInputMessage="0" showErrorMessage="0" allowBlank="1" errorTitle="Not in list" error="Pick a value from the list." type="list">
      <formula1>"Owned site,Official profile,Third party: positive,Third party: neutral,Third party: negative,Namesake"</formula1>
    </dataValidation>
    <dataValidation sqref="H3:H302" showDropDown="0" showInputMessage="0" showErrorMessage="0" allowBlank="1" errorTitle="Not in list" error="Pick a value from the list." type="list">
      <formula1>"Organic result,Knowledge panel,Business Profile,Sitelinks,AI Overview,People Also Ask,Top stories,Videos,Images,Social posts,Reviews,Other"</formula1>
    </dataValidation>
    <dataValidation sqref="I3:I302" showDropDown="0" showInputMessage="0" showErrorMessage="0" allowBlank="1" errorTitle="Not in list" error="Pick a value from the list." type="list">
      <formula1>"Yes,Partly,No"</formula1>
    </dataValidation>
  </dataValidations>
  <printOptions gridLines="0"/>
  <pageMargins left="0.75" right="0.75" top="1" bottom="1" header="0.5" footer="0.5"/>
  <pageSetup orientation="landscape" fitToHeight="0" fitToWidth="1"/>
</worksheet>
</file>

<file path=xl/worksheets/sheet5.xml><?xml version="1.0" encoding="utf-8"?>
<worksheet xmlns="http://schemas.openxmlformats.org/spreadsheetml/2006/main">
  <sheetPr>
    <tabColor rgb="008448EF"/>
    <outlinePr summaryBelow="1" summaryRight="1"/>
    <pageSetUpPr fitToPage="1"/>
  </sheetPr>
  <dimension ref="A1:K12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22" customWidth="1" min="3" max="3"/>
    <col width="22" customWidth="1" min="4" max="4"/>
    <col width="18" customWidth="1" min="5" max="5"/>
    <col width="28" customWidth="1" min="6" max="6"/>
    <col width="11" customWidth="1" min="7" max="7"/>
    <col width="10" customWidth="1" min="8" max="8"/>
    <col width="18" customWidth="1" min="9" max="9"/>
    <col width="13" customWidth="1" min="10" max="10"/>
    <col width="30" customWidth="1" min="11" max="11"/>
  </cols>
  <sheetData>
    <row r="1" ht="20" customHeight="1">
      <c r="A1" s="12" t="inlineStr">
        <is>
          <t>Log a Knowledge Graph Search API lookup for your brand, its name variants and founders each month. resultScore has no official thresholds: compare it with your own earlier rows only.</t>
        </is>
      </c>
    </row>
    <row r="2" ht="30" customHeight="1">
      <c r="A2" s="13" t="inlineStr">
        <is>
          <t>Date</t>
        </is>
      </c>
      <c r="B2" s="13" t="inlineStr">
        <is>
          <t>Query</t>
        </is>
      </c>
      <c r="C2" s="13" t="inlineStr">
        <is>
          <t>KG ID (kg:/m/... or kg:/g/...)</t>
        </is>
      </c>
      <c r="D2" s="13" t="inlineStr">
        <is>
          <t>Name</t>
        </is>
      </c>
      <c r="E2" s="13" t="inlineStr">
        <is>
          <t>@type</t>
        </is>
      </c>
      <c r="F2" s="13" t="inlineStr">
        <is>
          <t>Description</t>
        </is>
      </c>
      <c r="G2" s="13" t="inlineStr">
        <is>
          <t>resultScore</t>
        </is>
      </c>
      <c r="H2" s="13" t="inlineStr">
        <is>
          <t>Is it you?</t>
        </is>
      </c>
      <c r="I2" s="13" t="inlineStr">
        <is>
          <t>Panel for brand query</t>
        </is>
      </c>
      <c r="J2" s="13" t="inlineStr">
        <is>
          <t>Claimed?</t>
        </is>
      </c>
      <c r="K2" s="13" t="inlineStr">
        <is>
          <t>Notes</t>
        </is>
      </c>
    </row>
    <row r="3">
      <c r="A3" s="15" t="n"/>
      <c r="B3" s="15" t="n"/>
      <c r="C3" s="15" t="n"/>
      <c r="D3" s="15" t="n"/>
      <c r="E3" s="15" t="n"/>
      <c r="F3" s="15" t="n"/>
      <c r="G3" s="15" t="n"/>
      <c r="H3" s="15" t="n"/>
      <c r="I3" s="15" t="n"/>
      <c r="J3" s="15" t="n"/>
      <c r="K3" s="15" t="n"/>
    </row>
    <row r="4">
      <c r="A4" s="15" t="n"/>
      <c r="B4" s="15" t="n"/>
      <c r="C4" s="15" t="n"/>
      <c r="D4" s="15" t="n"/>
      <c r="E4" s="15" t="n"/>
      <c r="F4" s="15" t="n"/>
      <c r="G4" s="15" t="n"/>
      <c r="H4" s="15" t="n"/>
      <c r="I4" s="15" t="n"/>
      <c r="J4" s="15" t="n"/>
      <c r="K4" s="15" t="n"/>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row r="57">
      <c r="A57" s="15" t="n"/>
      <c r="B57" s="15" t="n"/>
      <c r="C57" s="15" t="n"/>
      <c r="D57" s="15" t="n"/>
      <c r="E57" s="15" t="n"/>
      <c r="F57" s="15" t="n"/>
      <c r="G57" s="15" t="n"/>
      <c r="H57" s="15" t="n"/>
      <c r="I57" s="15" t="n"/>
      <c r="J57" s="15" t="n"/>
      <c r="K57" s="15" t="n"/>
    </row>
    <row r="58">
      <c r="A58" s="15" t="n"/>
      <c r="B58" s="15" t="n"/>
      <c r="C58" s="15" t="n"/>
      <c r="D58" s="15" t="n"/>
      <c r="E58" s="15" t="n"/>
      <c r="F58" s="15" t="n"/>
      <c r="G58" s="15" t="n"/>
      <c r="H58" s="15" t="n"/>
      <c r="I58" s="15" t="n"/>
      <c r="J58" s="15" t="n"/>
      <c r="K58" s="15" t="n"/>
    </row>
    <row r="59">
      <c r="A59" s="15" t="n"/>
      <c r="B59" s="15" t="n"/>
      <c r="C59" s="15" t="n"/>
      <c r="D59" s="15" t="n"/>
      <c r="E59" s="15" t="n"/>
      <c r="F59" s="15" t="n"/>
      <c r="G59" s="15" t="n"/>
      <c r="H59" s="15" t="n"/>
      <c r="I59" s="15" t="n"/>
      <c r="J59" s="15" t="n"/>
      <c r="K59" s="15" t="n"/>
    </row>
    <row r="60">
      <c r="A60" s="15" t="n"/>
      <c r="B60" s="15" t="n"/>
      <c r="C60" s="15" t="n"/>
      <c r="D60" s="15" t="n"/>
      <c r="E60" s="15" t="n"/>
      <c r="F60" s="15" t="n"/>
      <c r="G60" s="15" t="n"/>
      <c r="H60" s="15" t="n"/>
      <c r="I60" s="15" t="n"/>
      <c r="J60" s="15" t="n"/>
      <c r="K60" s="15" t="n"/>
    </row>
    <row r="61">
      <c r="A61" s="15" t="n"/>
      <c r="B61" s="15" t="n"/>
      <c r="C61" s="15" t="n"/>
      <c r="D61" s="15" t="n"/>
      <c r="E61" s="15" t="n"/>
      <c r="F61" s="15" t="n"/>
      <c r="G61" s="15" t="n"/>
      <c r="H61" s="15" t="n"/>
      <c r="I61" s="15" t="n"/>
      <c r="J61" s="15" t="n"/>
      <c r="K61" s="15" t="n"/>
    </row>
    <row r="62">
      <c r="A62" s="15" t="n"/>
      <c r="B62" s="15" t="n"/>
      <c r="C62" s="15" t="n"/>
      <c r="D62" s="15" t="n"/>
      <c r="E62" s="15" t="n"/>
      <c r="F62" s="15" t="n"/>
      <c r="G62" s="15" t="n"/>
      <c r="H62" s="15" t="n"/>
      <c r="I62" s="15" t="n"/>
      <c r="J62" s="15" t="n"/>
      <c r="K62" s="15" t="n"/>
    </row>
    <row r="63">
      <c r="A63" s="15" t="n"/>
      <c r="B63" s="15" t="n"/>
      <c r="C63" s="15" t="n"/>
      <c r="D63" s="15" t="n"/>
      <c r="E63" s="15" t="n"/>
      <c r="F63" s="15" t="n"/>
      <c r="G63" s="15" t="n"/>
      <c r="H63" s="15" t="n"/>
      <c r="I63" s="15" t="n"/>
      <c r="J63" s="15" t="n"/>
      <c r="K63" s="15" t="n"/>
    </row>
    <row r="64">
      <c r="A64" s="15" t="n"/>
      <c r="B64" s="15" t="n"/>
      <c r="C64" s="15" t="n"/>
      <c r="D64" s="15" t="n"/>
      <c r="E64" s="15" t="n"/>
      <c r="F64" s="15" t="n"/>
      <c r="G64" s="15" t="n"/>
      <c r="H64" s="15" t="n"/>
      <c r="I64" s="15" t="n"/>
      <c r="J64" s="15" t="n"/>
      <c r="K64" s="15" t="n"/>
    </row>
    <row r="65">
      <c r="A65" s="15" t="n"/>
      <c r="B65" s="15" t="n"/>
      <c r="C65" s="15" t="n"/>
      <c r="D65" s="15" t="n"/>
      <c r="E65" s="15" t="n"/>
      <c r="F65" s="15" t="n"/>
      <c r="G65" s="15" t="n"/>
      <c r="H65" s="15" t="n"/>
      <c r="I65" s="15" t="n"/>
      <c r="J65" s="15" t="n"/>
      <c r="K65" s="15" t="n"/>
    </row>
    <row r="66">
      <c r="A66" s="15" t="n"/>
      <c r="B66" s="15" t="n"/>
      <c r="C66" s="15" t="n"/>
      <c r="D66" s="15" t="n"/>
      <c r="E66" s="15" t="n"/>
      <c r="F66" s="15" t="n"/>
      <c r="G66" s="15" t="n"/>
      <c r="H66" s="15" t="n"/>
      <c r="I66" s="15" t="n"/>
      <c r="J66" s="15" t="n"/>
      <c r="K66" s="15" t="n"/>
    </row>
    <row r="67">
      <c r="A67" s="15" t="n"/>
      <c r="B67" s="15" t="n"/>
      <c r="C67" s="15" t="n"/>
      <c r="D67" s="15" t="n"/>
      <c r="E67" s="15" t="n"/>
      <c r="F67" s="15" t="n"/>
      <c r="G67" s="15" t="n"/>
      <c r="H67" s="15" t="n"/>
      <c r="I67" s="15" t="n"/>
      <c r="J67" s="15" t="n"/>
      <c r="K67" s="15" t="n"/>
    </row>
    <row r="68">
      <c r="A68" s="15" t="n"/>
      <c r="B68" s="15" t="n"/>
      <c r="C68" s="15" t="n"/>
      <c r="D68" s="15" t="n"/>
      <c r="E68" s="15" t="n"/>
      <c r="F68" s="15" t="n"/>
      <c r="G68" s="15" t="n"/>
      <c r="H68" s="15" t="n"/>
      <c r="I68" s="15" t="n"/>
      <c r="J68" s="15" t="n"/>
      <c r="K68" s="15" t="n"/>
    </row>
    <row r="69">
      <c r="A69" s="15" t="n"/>
      <c r="B69" s="15" t="n"/>
      <c r="C69" s="15" t="n"/>
      <c r="D69" s="15" t="n"/>
      <c r="E69" s="15" t="n"/>
      <c r="F69" s="15" t="n"/>
      <c r="G69" s="15" t="n"/>
      <c r="H69" s="15" t="n"/>
      <c r="I69" s="15" t="n"/>
      <c r="J69" s="15" t="n"/>
      <c r="K69" s="15" t="n"/>
    </row>
    <row r="70">
      <c r="A70" s="15" t="n"/>
      <c r="B70" s="15" t="n"/>
      <c r="C70" s="15" t="n"/>
      <c r="D70" s="15" t="n"/>
      <c r="E70" s="15" t="n"/>
      <c r="F70" s="15" t="n"/>
      <c r="G70" s="15" t="n"/>
      <c r="H70" s="15" t="n"/>
      <c r="I70" s="15" t="n"/>
      <c r="J70" s="15" t="n"/>
      <c r="K70" s="15" t="n"/>
    </row>
    <row r="71">
      <c r="A71" s="15" t="n"/>
      <c r="B71" s="15" t="n"/>
      <c r="C71" s="15" t="n"/>
      <c r="D71" s="15" t="n"/>
      <c r="E71" s="15" t="n"/>
      <c r="F71" s="15" t="n"/>
      <c r="G71" s="15" t="n"/>
      <c r="H71" s="15" t="n"/>
      <c r="I71" s="15" t="n"/>
      <c r="J71" s="15" t="n"/>
      <c r="K71" s="15" t="n"/>
    </row>
    <row r="72">
      <c r="A72" s="15" t="n"/>
      <c r="B72" s="15" t="n"/>
      <c r="C72" s="15" t="n"/>
      <c r="D72" s="15" t="n"/>
      <c r="E72" s="15" t="n"/>
      <c r="F72" s="15" t="n"/>
      <c r="G72" s="15" t="n"/>
      <c r="H72" s="15" t="n"/>
      <c r="I72" s="15" t="n"/>
      <c r="J72" s="15" t="n"/>
      <c r="K72" s="15" t="n"/>
    </row>
    <row r="73">
      <c r="A73" s="15" t="n"/>
      <c r="B73" s="15" t="n"/>
      <c r="C73" s="15" t="n"/>
      <c r="D73" s="15" t="n"/>
      <c r="E73" s="15" t="n"/>
      <c r="F73" s="15" t="n"/>
      <c r="G73" s="15" t="n"/>
      <c r="H73" s="15" t="n"/>
      <c r="I73" s="15" t="n"/>
      <c r="J73" s="15" t="n"/>
      <c r="K73" s="15" t="n"/>
    </row>
    <row r="74">
      <c r="A74" s="15" t="n"/>
      <c r="B74" s="15" t="n"/>
      <c r="C74" s="15" t="n"/>
      <c r="D74" s="15" t="n"/>
      <c r="E74" s="15" t="n"/>
      <c r="F74" s="15" t="n"/>
      <c r="G74" s="15" t="n"/>
      <c r="H74" s="15" t="n"/>
      <c r="I74" s="15" t="n"/>
      <c r="J74" s="15" t="n"/>
      <c r="K74" s="15" t="n"/>
    </row>
    <row r="75">
      <c r="A75" s="15" t="n"/>
      <c r="B75" s="15" t="n"/>
      <c r="C75" s="15" t="n"/>
      <c r="D75" s="15" t="n"/>
      <c r="E75" s="15" t="n"/>
      <c r="F75" s="15" t="n"/>
      <c r="G75" s="15" t="n"/>
      <c r="H75" s="15" t="n"/>
      <c r="I75" s="15" t="n"/>
      <c r="J75" s="15" t="n"/>
      <c r="K75" s="15" t="n"/>
    </row>
    <row r="76">
      <c r="A76" s="15" t="n"/>
      <c r="B76" s="15" t="n"/>
      <c r="C76" s="15" t="n"/>
      <c r="D76" s="15" t="n"/>
      <c r="E76" s="15" t="n"/>
      <c r="F76" s="15" t="n"/>
      <c r="G76" s="15" t="n"/>
      <c r="H76" s="15" t="n"/>
      <c r="I76" s="15" t="n"/>
      <c r="J76" s="15" t="n"/>
      <c r="K76" s="15" t="n"/>
    </row>
    <row r="77">
      <c r="A77" s="15" t="n"/>
      <c r="B77" s="15" t="n"/>
      <c r="C77" s="15" t="n"/>
      <c r="D77" s="15" t="n"/>
      <c r="E77" s="15" t="n"/>
      <c r="F77" s="15" t="n"/>
      <c r="G77" s="15" t="n"/>
      <c r="H77" s="15" t="n"/>
      <c r="I77" s="15" t="n"/>
      <c r="J77" s="15" t="n"/>
      <c r="K77" s="15" t="n"/>
    </row>
    <row r="78">
      <c r="A78" s="15" t="n"/>
      <c r="B78" s="15" t="n"/>
      <c r="C78" s="15" t="n"/>
      <c r="D78" s="15" t="n"/>
      <c r="E78" s="15" t="n"/>
      <c r="F78" s="15" t="n"/>
      <c r="G78" s="15" t="n"/>
      <c r="H78" s="15" t="n"/>
      <c r="I78" s="15" t="n"/>
      <c r="J78" s="15" t="n"/>
      <c r="K78" s="15" t="n"/>
    </row>
    <row r="79">
      <c r="A79" s="15" t="n"/>
      <c r="B79" s="15" t="n"/>
      <c r="C79" s="15" t="n"/>
      <c r="D79" s="15" t="n"/>
      <c r="E79" s="15" t="n"/>
      <c r="F79" s="15" t="n"/>
      <c r="G79" s="15" t="n"/>
      <c r="H79" s="15" t="n"/>
      <c r="I79" s="15" t="n"/>
      <c r="J79" s="15" t="n"/>
      <c r="K79" s="15" t="n"/>
    </row>
    <row r="80">
      <c r="A80" s="15" t="n"/>
      <c r="B80" s="15" t="n"/>
      <c r="C80" s="15" t="n"/>
      <c r="D80" s="15" t="n"/>
      <c r="E80" s="15" t="n"/>
      <c r="F80" s="15" t="n"/>
      <c r="G80" s="15" t="n"/>
      <c r="H80" s="15" t="n"/>
      <c r="I80" s="15" t="n"/>
      <c r="J80" s="15" t="n"/>
      <c r="K80" s="15" t="n"/>
    </row>
    <row r="81">
      <c r="A81" s="15" t="n"/>
      <c r="B81" s="15" t="n"/>
      <c r="C81" s="15" t="n"/>
      <c r="D81" s="15" t="n"/>
      <c r="E81" s="15" t="n"/>
      <c r="F81" s="15" t="n"/>
      <c r="G81" s="15" t="n"/>
      <c r="H81" s="15" t="n"/>
      <c r="I81" s="15" t="n"/>
      <c r="J81" s="15" t="n"/>
      <c r="K81" s="15" t="n"/>
    </row>
    <row r="82">
      <c r="A82" s="15" t="n"/>
      <c r="B82" s="15" t="n"/>
      <c r="C82" s="15" t="n"/>
      <c r="D82" s="15" t="n"/>
      <c r="E82" s="15" t="n"/>
      <c r="F82" s="15" t="n"/>
      <c r="G82" s="15" t="n"/>
      <c r="H82" s="15" t="n"/>
      <c r="I82" s="15" t="n"/>
      <c r="J82" s="15" t="n"/>
      <c r="K82" s="15" t="n"/>
    </row>
    <row r="83">
      <c r="A83" s="15" t="n"/>
      <c r="B83" s="15" t="n"/>
      <c r="C83" s="15" t="n"/>
      <c r="D83" s="15" t="n"/>
      <c r="E83" s="15" t="n"/>
      <c r="F83" s="15" t="n"/>
      <c r="G83" s="15" t="n"/>
      <c r="H83" s="15" t="n"/>
      <c r="I83" s="15" t="n"/>
      <c r="J83" s="15" t="n"/>
      <c r="K83" s="15" t="n"/>
    </row>
    <row r="84">
      <c r="A84" s="15" t="n"/>
      <c r="B84" s="15" t="n"/>
      <c r="C84" s="15" t="n"/>
      <c r="D84" s="15" t="n"/>
      <c r="E84" s="15" t="n"/>
      <c r="F84" s="15" t="n"/>
      <c r="G84" s="15" t="n"/>
      <c r="H84" s="15" t="n"/>
      <c r="I84" s="15" t="n"/>
      <c r="J84" s="15" t="n"/>
      <c r="K84" s="15" t="n"/>
    </row>
    <row r="85">
      <c r="A85" s="15" t="n"/>
      <c r="B85" s="15" t="n"/>
      <c r="C85" s="15" t="n"/>
      <c r="D85" s="15" t="n"/>
      <c r="E85" s="15" t="n"/>
      <c r="F85" s="15" t="n"/>
      <c r="G85" s="15" t="n"/>
      <c r="H85" s="15" t="n"/>
      <c r="I85" s="15" t="n"/>
      <c r="J85" s="15" t="n"/>
      <c r="K85" s="15" t="n"/>
    </row>
    <row r="86">
      <c r="A86" s="15" t="n"/>
      <c r="B86" s="15" t="n"/>
      <c r="C86" s="15" t="n"/>
      <c r="D86" s="15" t="n"/>
      <c r="E86" s="15" t="n"/>
      <c r="F86" s="15" t="n"/>
      <c r="G86" s="15" t="n"/>
      <c r="H86" s="15" t="n"/>
      <c r="I86" s="15" t="n"/>
      <c r="J86" s="15" t="n"/>
      <c r="K86" s="15" t="n"/>
    </row>
    <row r="87">
      <c r="A87" s="15" t="n"/>
      <c r="B87" s="15" t="n"/>
      <c r="C87" s="15" t="n"/>
      <c r="D87" s="15" t="n"/>
      <c r="E87" s="15" t="n"/>
      <c r="F87" s="15" t="n"/>
      <c r="G87" s="15" t="n"/>
      <c r="H87" s="15" t="n"/>
      <c r="I87" s="15" t="n"/>
      <c r="J87" s="15" t="n"/>
      <c r="K87" s="15" t="n"/>
    </row>
    <row r="88">
      <c r="A88" s="15" t="n"/>
      <c r="B88" s="15" t="n"/>
      <c r="C88" s="15" t="n"/>
      <c r="D88" s="15" t="n"/>
      <c r="E88" s="15" t="n"/>
      <c r="F88" s="15" t="n"/>
      <c r="G88" s="15" t="n"/>
      <c r="H88" s="15" t="n"/>
      <c r="I88" s="15" t="n"/>
      <c r="J88" s="15" t="n"/>
      <c r="K88" s="15" t="n"/>
    </row>
    <row r="89">
      <c r="A89" s="15" t="n"/>
      <c r="B89" s="15" t="n"/>
      <c r="C89" s="15" t="n"/>
      <c r="D89" s="15" t="n"/>
      <c r="E89" s="15" t="n"/>
      <c r="F89" s="15" t="n"/>
      <c r="G89" s="15" t="n"/>
      <c r="H89" s="15" t="n"/>
      <c r="I89" s="15" t="n"/>
      <c r="J89" s="15" t="n"/>
      <c r="K89" s="15" t="n"/>
    </row>
    <row r="90">
      <c r="A90" s="15" t="n"/>
      <c r="B90" s="15" t="n"/>
      <c r="C90" s="15" t="n"/>
      <c r="D90" s="15" t="n"/>
      <c r="E90" s="15" t="n"/>
      <c r="F90" s="15" t="n"/>
      <c r="G90" s="15" t="n"/>
      <c r="H90" s="15" t="n"/>
      <c r="I90" s="15" t="n"/>
      <c r="J90" s="15" t="n"/>
      <c r="K90" s="15" t="n"/>
    </row>
    <row r="91">
      <c r="A91" s="15" t="n"/>
      <c r="B91" s="15" t="n"/>
      <c r="C91" s="15" t="n"/>
      <c r="D91" s="15" t="n"/>
      <c r="E91" s="15" t="n"/>
      <c r="F91" s="15" t="n"/>
      <c r="G91" s="15" t="n"/>
      <c r="H91" s="15" t="n"/>
      <c r="I91" s="15" t="n"/>
      <c r="J91" s="15" t="n"/>
      <c r="K91" s="15" t="n"/>
    </row>
    <row r="92">
      <c r="A92" s="15" t="n"/>
      <c r="B92" s="15" t="n"/>
      <c r="C92" s="15" t="n"/>
      <c r="D92" s="15" t="n"/>
      <c r="E92" s="15" t="n"/>
      <c r="F92" s="15" t="n"/>
      <c r="G92" s="15" t="n"/>
      <c r="H92" s="15" t="n"/>
      <c r="I92" s="15" t="n"/>
      <c r="J92" s="15" t="n"/>
      <c r="K92" s="15" t="n"/>
    </row>
    <row r="93">
      <c r="A93" s="15" t="n"/>
      <c r="B93" s="15" t="n"/>
      <c r="C93" s="15" t="n"/>
      <c r="D93" s="15" t="n"/>
      <c r="E93" s="15" t="n"/>
      <c r="F93" s="15" t="n"/>
      <c r="G93" s="15" t="n"/>
      <c r="H93" s="15" t="n"/>
      <c r="I93" s="15" t="n"/>
      <c r="J93" s="15" t="n"/>
      <c r="K93" s="15" t="n"/>
    </row>
    <row r="94">
      <c r="A94" s="15" t="n"/>
      <c r="B94" s="15" t="n"/>
      <c r="C94" s="15" t="n"/>
      <c r="D94" s="15" t="n"/>
      <c r="E94" s="15" t="n"/>
      <c r="F94" s="15" t="n"/>
      <c r="G94" s="15" t="n"/>
      <c r="H94" s="15" t="n"/>
      <c r="I94" s="15" t="n"/>
      <c r="J94" s="15" t="n"/>
      <c r="K94" s="15" t="n"/>
    </row>
    <row r="95">
      <c r="A95" s="15" t="n"/>
      <c r="B95" s="15" t="n"/>
      <c r="C95" s="15" t="n"/>
      <c r="D95" s="15" t="n"/>
      <c r="E95" s="15" t="n"/>
      <c r="F95" s="15" t="n"/>
      <c r="G95" s="15" t="n"/>
      <c r="H95" s="15" t="n"/>
      <c r="I95" s="15" t="n"/>
      <c r="J95" s="15" t="n"/>
      <c r="K95" s="15" t="n"/>
    </row>
    <row r="96">
      <c r="A96" s="15" t="n"/>
      <c r="B96" s="15" t="n"/>
      <c r="C96" s="15" t="n"/>
      <c r="D96" s="15" t="n"/>
      <c r="E96" s="15" t="n"/>
      <c r="F96" s="15" t="n"/>
      <c r="G96" s="15" t="n"/>
      <c r="H96" s="15" t="n"/>
      <c r="I96" s="15" t="n"/>
      <c r="J96" s="15" t="n"/>
      <c r="K96" s="15" t="n"/>
    </row>
    <row r="97">
      <c r="A97" s="15" t="n"/>
      <c r="B97" s="15" t="n"/>
      <c r="C97" s="15" t="n"/>
      <c r="D97" s="15" t="n"/>
      <c r="E97" s="15" t="n"/>
      <c r="F97" s="15" t="n"/>
      <c r="G97" s="15" t="n"/>
      <c r="H97" s="15" t="n"/>
      <c r="I97" s="15" t="n"/>
      <c r="J97" s="15" t="n"/>
      <c r="K97" s="15" t="n"/>
    </row>
    <row r="98">
      <c r="A98" s="15" t="n"/>
      <c r="B98" s="15" t="n"/>
      <c r="C98" s="15" t="n"/>
      <c r="D98" s="15" t="n"/>
      <c r="E98" s="15" t="n"/>
      <c r="F98" s="15" t="n"/>
      <c r="G98" s="15" t="n"/>
      <c r="H98" s="15" t="n"/>
      <c r="I98" s="15" t="n"/>
      <c r="J98" s="15" t="n"/>
      <c r="K98" s="15" t="n"/>
    </row>
    <row r="99">
      <c r="A99" s="15" t="n"/>
      <c r="B99" s="15" t="n"/>
      <c r="C99" s="15" t="n"/>
      <c r="D99" s="15" t="n"/>
      <c r="E99" s="15" t="n"/>
      <c r="F99" s="15" t="n"/>
      <c r="G99" s="15" t="n"/>
      <c r="H99" s="15" t="n"/>
      <c r="I99" s="15" t="n"/>
      <c r="J99" s="15" t="n"/>
      <c r="K99" s="15" t="n"/>
    </row>
    <row r="100">
      <c r="A100" s="15" t="n"/>
      <c r="B100" s="15" t="n"/>
      <c r="C100" s="15" t="n"/>
      <c r="D100" s="15" t="n"/>
      <c r="E100" s="15" t="n"/>
      <c r="F100" s="15" t="n"/>
      <c r="G100" s="15" t="n"/>
      <c r="H100" s="15" t="n"/>
      <c r="I100" s="15" t="n"/>
      <c r="J100" s="15" t="n"/>
      <c r="K100" s="15" t="n"/>
    </row>
    <row r="101">
      <c r="A101" s="15" t="n"/>
      <c r="B101" s="15" t="n"/>
      <c r="C101" s="15" t="n"/>
      <c r="D101" s="15" t="n"/>
      <c r="E101" s="15" t="n"/>
      <c r="F101" s="15" t="n"/>
      <c r="G101" s="15" t="n"/>
      <c r="H101" s="15" t="n"/>
      <c r="I101" s="15" t="n"/>
      <c r="J101" s="15" t="n"/>
      <c r="K101" s="15" t="n"/>
    </row>
    <row r="102">
      <c r="A102" s="15" t="n"/>
      <c r="B102" s="15" t="n"/>
      <c r="C102" s="15" t="n"/>
      <c r="D102" s="15" t="n"/>
      <c r="E102" s="15" t="n"/>
      <c r="F102" s="15" t="n"/>
      <c r="G102" s="15" t="n"/>
      <c r="H102" s="15" t="n"/>
      <c r="I102" s="15" t="n"/>
      <c r="J102" s="15" t="n"/>
      <c r="K102" s="15" t="n"/>
    </row>
    <row r="103">
      <c r="A103" s="15" t="n"/>
      <c r="B103" s="15" t="n"/>
      <c r="C103" s="15" t="n"/>
      <c r="D103" s="15" t="n"/>
      <c r="E103" s="15" t="n"/>
      <c r="F103" s="15" t="n"/>
      <c r="G103" s="15" t="n"/>
      <c r="H103" s="15" t="n"/>
      <c r="I103" s="15" t="n"/>
      <c r="J103" s="15" t="n"/>
      <c r="K103" s="15" t="n"/>
    </row>
    <row r="104">
      <c r="A104" s="15" t="n"/>
      <c r="B104" s="15" t="n"/>
      <c r="C104" s="15" t="n"/>
      <c r="D104" s="15" t="n"/>
      <c r="E104" s="15" t="n"/>
      <c r="F104" s="15" t="n"/>
      <c r="G104" s="15" t="n"/>
      <c r="H104" s="15" t="n"/>
      <c r="I104" s="15" t="n"/>
      <c r="J104" s="15" t="n"/>
      <c r="K104" s="15" t="n"/>
    </row>
    <row r="105">
      <c r="A105" s="15" t="n"/>
      <c r="B105" s="15" t="n"/>
      <c r="C105" s="15" t="n"/>
      <c r="D105" s="15" t="n"/>
      <c r="E105" s="15" t="n"/>
      <c r="F105" s="15" t="n"/>
      <c r="G105" s="15" t="n"/>
      <c r="H105" s="15" t="n"/>
      <c r="I105" s="15" t="n"/>
      <c r="J105" s="15" t="n"/>
      <c r="K105" s="15" t="n"/>
    </row>
    <row r="106">
      <c r="A106" s="15" t="n"/>
      <c r="B106" s="15" t="n"/>
      <c r="C106" s="15" t="n"/>
      <c r="D106" s="15" t="n"/>
      <c r="E106" s="15" t="n"/>
      <c r="F106" s="15" t="n"/>
      <c r="G106" s="15" t="n"/>
      <c r="H106" s="15" t="n"/>
      <c r="I106" s="15" t="n"/>
      <c r="J106" s="15" t="n"/>
      <c r="K106" s="15" t="n"/>
    </row>
    <row r="107">
      <c r="A107" s="15" t="n"/>
      <c r="B107" s="15" t="n"/>
      <c r="C107" s="15" t="n"/>
      <c r="D107" s="15" t="n"/>
      <c r="E107" s="15" t="n"/>
      <c r="F107" s="15" t="n"/>
      <c r="G107" s="15" t="n"/>
      <c r="H107" s="15" t="n"/>
      <c r="I107" s="15" t="n"/>
      <c r="J107" s="15" t="n"/>
      <c r="K107" s="15" t="n"/>
    </row>
    <row r="108">
      <c r="A108" s="15" t="n"/>
      <c r="B108" s="15" t="n"/>
      <c r="C108" s="15" t="n"/>
      <c r="D108" s="15" t="n"/>
      <c r="E108" s="15" t="n"/>
      <c r="F108" s="15" t="n"/>
      <c r="G108" s="15" t="n"/>
      <c r="H108" s="15" t="n"/>
      <c r="I108" s="15" t="n"/>
      <c r="J108" s="15" t="n"/>
      <c r="K108" s="15" t="n"/>
    </row>
    <row r="109">
      <c r="A109" s="15" t="n"/>
      <c r="B109" s="15" t="n"/>
      <c r="C109" s="15" t="n"/>
      <c r="D109" s="15" t="n"/>
      <c r="E109" s="15" t="n"/>
      <c r="F109" s="15" t="n"/>
      <c r="G109" s="15" t="n"/>
      <c r="H109" s="15" t="n"/>
      <c r="I109" s="15" t="n"/>
      <c r="J109" s="15" t="n"/>
      <c r="K109" s="15" t="n"/>
    </row>
    <row r="110">
      <c r="A110" s="15" t="n"/>
      <c r="B110" s="15" t="n"/>
      <c r="C110" s="15" t="n"/>
      <c r="D110" s="15" t="n"/>
      <c r="E110" s="15" t="n"/>
      <c r="F110" s="15" t="n"/>
      <c r="G110" s="15" t="n"/>
      <c r="H110" s="15" t="n"/>
      <c r="I110" s="15" t="n"/>
      <c r="J110" s="15" t="n"/>
      <c r="K110" s="15" t="n"/>
    </row>
    <row r="111">
      <c r="A111" s="15" t="n"/>
      <c r="B111" s="15" t="n"/>
      <c r="C111" s="15" t="n"/>
      <c r="D111" s="15" t="n"/>
      <c r="E111" s="15" t="n"/>
      <c r="F111" s="15" t="n"/>
      <c r="G111" s="15" t="n"/>
      <c r="H111" s="15" t="n"/>
      <c r="I111" s="15" t="n"/>
      <c r="J111" s="15" t="n"/>
      <c r="K111" s="15" t="n"/>
    </row>
    <row r="112">
      <c r="A112" s="15" t="n"/>
      <c r="B112" s="15" t="n"/>
      <c r="C112" s="15" t="n"/>
      <c r="D112" s="15" t="n"/>
      <c r="E112" s="15" t="n"/>
      <c r="F112" s="15" t="n"/>
      <c r="G112" s="15" t="n"/>
      <c r="H112" s="15" t="n"/>
      <c r="I112" s="15" t="n"/>
      <c r="J112" s="15" t="n"/>
      <c r="K112" s="15" t="n"/>
    </row>
    <row r="113">
      <c r="A113" s="15" t="n"/>
      <c r="B113" s="15" t="n"/>
      <c r="C113" s="15" t="n"/>
      <c r="D113" s="15" t="n"/>
      <c r="E113" s="15" t="n"/>
      <c r="F113" s="15" t="n"/>
      <c r="G113" s="15" t="n"/>
      <c r="H113" s="15" t="n"/>
      <c r="I113" s="15" t="n"/>
      <c r="J113" s="15" t="n"/>
      <c r="K113" s="15" t="n"/>
    </row>
    <row r="114">
      <c r="A114" s="15" t="n"/>
      <c r="B114" s="15" t="n"/>
      <c r="C114" s="15" t="n"/>
      <c r="D114" s="15" t="n"/>
      <c r="E114" s="15" t="n"/>
      <c r="F114" s="15" t="n"/>
      <c r="G114" s="15" t="n"/>
      <c r="H114" s="15" t="n"/>
      <c r="I114" s="15" t="n"/>
      <c r="J114" s="15" t="n"/>
      <c r="K114" s="15" t="n"/>
    </row>
    <row r="115">
      <c r="A115" s="15" t="n"/>
      <c r="B115" s="15" t="n"/>
      <c r="C115" s="15" t="n"/>
      <c r="D115" s="15" t="n"/>
      <c r="E115" s="15" t="n"/>
      <c r="F115" s="15" t="n"/>
      <c r="G115" s="15" t="n"/>
      <c r="H115" s="15" t="n"/>
      <c r="I115" s="15" t="n"/>
      <c r="J115" s="15" t="n"/>
      <c r="K115" s="15" t="n"/>
    </row>
    <row r="116">
      <c r="A116" s="15" t="n"/>
      <c r="B116" s="15" t="n"/>
      <c r="C116" s="15" t="n"/>
      <c r="D116" s="15" t="n"/>
      <c r="E116" s="15" t="n"/>
      <c r="F116" s="15" t="n"/>
      <c r="G116" s="15" t="n"/>
      <c r="H116" s="15" t="n"/>
      <c r="I116" s="15" t="n"/>
      <c r="J116" s="15" t="n"/>
      <c r="K116" s="15" t="n"/>
    </row>
    <row r="117">
      <c r="A117" s="15" t="n"/>
      <c r="B117" s="15" t="n"/>
      <c r="C117" s="15" t="n"/>
      <c r="D117" s="15" t="n"/>
      <c r="E117" s="15" t="n"/>
      <c r="F117" s="15" t="n"/>
      <c r="G117" s="15" t="n"/>
      <c r="H117" s="15" t="n"/>
      <c r="I117" s="15" t="n"/>
      <c r="J117" s="15" t="n"/>
      <c r="K117" s="15" t="n"/>
    </row>
    <row r="118">
      <c r="A118" s="15" t="n"/>
      <c r="B118" s="15" t="n"/>
      <c r="C118" s="15" t="n"/>
      <c r="D118" s="15" t="n"/>
      <c r="E118" s="15" t="n"/>
      <c r="F118" s="15" t="n"/>
      <c r="G118" s="15" t="n"/>
      <c r="H118" s="15" t="n"/>
      <c r="I118" s="15" t="n"/>
      <c r="J118" s="15" t="n"/>
      <c r="K118" s="15" t="n"/>
    </row>
    <row r="119">
      <c r="A119" s="15" t="n"/>
      <c r="B119" s="15" t="n"/>
      <c r="C119" s="15" t="n"/>
      <c r="D119" s="15" t="n"/>
      <c r="E119" s="15" t="n"/>
      <c r="F119" s="15" t="n"/>
      <c r="G119" s="15" t="n"/>
      <c r="H119" s="15" t="n"/>
      <c r="I119" s="15" t="n"/>
      <c r="J119" s="15" t="n"/>
      <c r="K119" s="15" t="n"/>
    </row>
    <row r="120">
      <c r="A120" s="15" t="n"/>
      <c r="B120" s="15" t="n"/>
      <c r="C120" s="15" t="n"/>
      <c r="D120" s="15" t="n"/>
      <c r="E120" s="15" t="n"/>
      <c r="F120" s="15" t="n"/>
      <c r="G120" s="15" t="n"/>
      <c r="H120" s="15" t="n"/>
      <c r="I120" s="15" t="n"/>
      <c r="J120" s="15" t="n"/>
      <c r="K120" s="15" t="n"/>
    </row>
    <row r="121">
      <c r="A121" s="15" t="n"/>
      <c r="B121" s="15" t="n"/>
      <c r="C121" s="15" t="n"/>
      <c r="D121" s="15" t="n"/>
      <c r="E121" s="15" t="n"/>
      <c r="F121" s="15" t="n"/>
      <c r="G121" s="15" t="n"/>
      <c r="H121" s="15" t="n"/>
      <c r="I121" s="15" t="n"/>
      <c r="J121" s="15" t="n"/>
      <c r="K121" s="15" t="n"/>
    </row>
    <row r="122">
      <c r="A122" s="15" t="n"/>
      <c r="B122" s="15" t="n"/>
      <c r="C122" s="15" t="n"/>
      <c r="D122" s="15" t="n"/>
      <c r="E122" s="15" t="n"/>
      <c r="F122" s="15" t="n"/>
      <c r="G122" s="15" t="n"/>
      <c r="H122" s="15" t="n"/>
      <c r="I122" s="15" t="n"/>
      <c r="J122" s="15" t="n"/>
      <c r="K122" s="15" t="n"/>
    </row>
  </sheetData>
  <autoFilter ref="A2:K122"/>
  <mergeCells count="1">
    <mergeCell ref="A1:K1"/>
  </mergeCells>
  <conditionalFormatting sqref="H3:H122">
    <cfRule type="cellIs" priority="1" operator="equal" dxfId="6">
      <formula>"No"</formula>
    </cfRule>
  </conditionalFormatting>
  <conditionalFormatting sqref="A3:K122">
    <cfRule type="expression" priority="2" dxfId="5">
      <formula>MOD(ROW(),2)=0</formula>
    </cfRule>
  </conditionalFormatting>
  <dataValidations count="3">
    <dataValidation sqref="H3:H122" showDropDown="0" showInputMessage="0" showErrorMessage="0" allowBlank="1" errorTitle="Not in list" error="Pick a value from the list." type="list">
      <formula1>"Yes,No,Unsure"</formula1>
    </dataValidation>
    <dataValidation sqref="I3:I122" showDropDown="0" showInputMessage="0" showErrorMessage="0" allowBlank="1" errorTitle="Not in list" error="Pick a value from the list." type="list">
      <formula1>"Knowledge panel,Business Profile,None"</formula1>
    </dataValidation>
    <dataValidation sqref="J3:J122" showDropDown="0" showInputMessage="0" showErrorMessage="0" allowBlank="1" errorTitle="Not in list" error="Pick a value from the list." type="list">
      <formula1>"Yes,No,Not claimable yet"</formula1>
    </dataValidation>
  </dataValidations>
  <printOptions gridLines="0"/>
  <pageMargins left="0.75" right="0.75" top="1" bottom="1" header="0.5" footer="0.5"/>
  <pageSetup orientation="landscape" fitToHeight="0" fitToWidth="1"/>
</worksheet>
</file>

<file path=xl/worksheets/sheet6.xml><?xml version="1.0" encoding="utf-8"?>
<worksheet xmlns="http://schemas.openxmlformats.org/spreadsheetml/2006/main">
  <sheetPr>
    <tabColor rgb="00FFDE59"/>
    <outlinePr summaryBelow="1" summaryRight="1"/>
    <pageSetUpPr fitToPage="1"/>
  </sheetPr>
  <dimension ref="A1:I2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16" customWidth="1" min="3" max="3"/>
    <col width="40" customWidth="1" min="4" max="4"/>
    <col width="13" customWidth="1" min="5" max="5"/>
    <col width="14" customWidth="1" min="6" max="6"/>
    <col width="12" customWidth="1" min="7" max="7"/>
    <col width="13" customWidth="1" min="8" max="8"/>
    <col width="30" customWidth="1" min="9" max="9"/>
  </cols>
  <sheetData>
    <row r="1" ht="34" customHeight="1">
      <c r="A1" s="12" t="inlineStr">
        <is>
          <t>The recommended sequence: fix what you control first, then align profiles, then claim, then build external corroboration. Add your own actions from the checklist findings in the blank rows.</t>
        </is>
      </c>
    </row>
    <row r="2" ht="30" customHeight="1">
      <c r="A2" s="13" t="inlineStr">
        <is>
          <t>Order</t>
        </is>
      </c>
      <c r="B2" s="13" t="inlineStr">
        <is>
          <t>Action</t>
        </is>
      </c>
      <c r="C2" s="13" t="inlineStr">
        <is>
          <t>Related checks</t>
        </is>
      </c>
      <c r="D2" s="13" t="inlineStr">
        <is>
          <t>Why this order</t>
        </is>
      </c>
      <c r="E2" s="13" t="inlineStr">
        <is>
          <t>Effort</t>
        </is>
      </c>
      <c r="F2" s="13" t="inlineStr">
        <is>
          <t>Owner</t>
        </is>
      </c>
      <c r="G2" s="13" t="inlineStr">
        <is>
          <t>Due date</t>
        </is>
      </c>
      <c r="H2" s="13" t="inlineStr">
        <is>
          <t>Status</t>
        </is>
      </c>
      <c r="I2" s="13" t="inlineStr">
        <is>
          <t>Notes</t>
        </is>
      </c>
    </row>
    <row r="3" ht="36" customHeight="1">
      <c r="A3" s="14" t="inlineStr">
        <is>
          <t>1</t>
        </is>
      </c>
      <c r="B3" s="16" t="inlineStr">
        <is>
          <t>Agree the canonical facts and fill in the Fact sheet</t>
        </is>
      </c>
      <c r="C3" s="15" t="inlineStr">
        <is>
          <t>K22</t>
        </is>
      </c>
      <c r="D3" s="15" t="inlineStr">
        <is>
          <t>Everything else is checked against it.</t>
        </is>
      </c>
      <c r="E3" s="15" t="inlineStr">
        <is>
          <t>Low</t>
        </is>
      </c>
      <c r="F3" s="15" t="n"/>
      <c r="G3" s="15" t="n"/>
      <c r="H3" s="14" t="inlineStr">
        <is>
          <t>Not started</t>
        </is>
      </c>
      <c r="I3" s="15" t="n"/>
    </row>
    <row r="4" ht="51" customHeight="1">
      <c r="A4" s="14" t="inlineStr">
        <is>
          <t>2</t>
        </is>
      </c>
      <c r="B4" s="16" t="inlineStr">
        <is>
          <t>Fix contradictions on your own site and markup (about page, Organization markup, @id, sameAs)</t>
        </is>
      </c>
      <c r="C4" s="15" t="inlineStr">
        <is>
          <t>K16 to K21, K24</t>
        </is>
      </c>
      <c r="D4" s="15" t="inlineStr">
        <is>
          <t>You control these, and Google re-reads them at the next crawl.</t>
        </is>
      </c>
      <c r="E4" s="15" t="inlineStr">
        <is>
          <t>Low to medium</t>
        </is>
      </c>
      <c r="F4" s="15" t="n"/>
      <c r="G4" s="15" t="n"/>
      <c r="H4" s="14" t="inlineStr">
        <is>
          <t>Not started</t>
        </is>
      </c>
      <c r="I4" s="15" t="n"/>
    </row>
    <row r="5" ht="51" customHeight="1">
      <c r="A5" s="14" t="inlineStr">
        <is>
          <t>3</t>
        </is>
      </c>
      <c r="B5" s="16" t="inlineStr">
        <is>
          <t>Align the profiles you control (LinkedIn, Crunchbase, social profiles, directories, Business Profile)</t>
        </is>
      </c>
      <c r="C5" s="15" t="inlineStr">
        <is>
          <t>K23 to K25, K31</t>
        </is>
      </c>
      <c r="D5" s="15" t="inlineStr">
        <is>
          <t>Removes conflicts across the verification points you can edit today.</t>
        </is>
      </c>
      <c r="E5" s="15" t="inlineStr">
        <is>
          <t>Medium</t>
        </is>
      </c>
      <c r="F5" s="15" t="n"/>
      <c r="G5" s="15" t="n"/>
      <c r="H5" s="14" t="inlineStr">
        <is>
          <t>Not started</t>
        </is>
      </c>
      <c r="I5" s="15" t="n"/>
    </row>
    <row r="6" ht="36" customHeight="1">
      <c r="A6" s="14" t="inlineStr">
        <is>
          <t>4</t>
        </is>
      </c>
      <c r="B6" s="16" t="inlineStr">
        <is>
          <t>Claim the knowledge panel if one exists and submit evidence-backed corrections</t>
        </is>
      </c>
      <c r="C6" s="15" t="inlineStr">
        <is>
          <t>K29, K30, K32</t>
        </is>
      </c>
      <c r="D6" s="15" t="inlineStr">
        <is>
          <t>Verified feedback is prioritised.</t>
        </is>
      </c>
      <c r="E6" s="15" t="inlineStr">
        <is>
          <t>Low</t>
        </is>
      </c>
      <c r="F6" s="15" t="n"/>
      <c r="G6" s="15" t="n"/>
      <c r="H6" s="14" t="inlineStr">
        <is>
          <t>Not started</t>
        </is>
      </c>
      <c r="I6" s="15" t="n"/>
    </row>
    <row r="7" ht="51" customHeight="1">
      <c r="A7" s="14" t="inlineStr">
        <is>
          <t>5</t>
        </is>
      </c>
      <c r="B7" s="16" t="inlineStr">
        <is>
          <t>Improve or create the Wikidata item if you meet notability, declaring any conflict of interest</t>
        </is>
      </c>
      <c r="C7" s="15" t="inlineStr">
        <is>
          <t>K11 to K14</t>
        </is>
      </c>
      <c r="D7" s="15" t="inlineStr">
        <is>
          <t>Adds a referenced, openly reused record of your entity.</t>
        </is>
      </c>
      <c r="E7" s="15" t="inlineStr">
        <is>
          <t>Medium</t>
        </is>
      </c>
      <c r="F7" s="15" t="n"/>
      <c r="G7" s="15" t="n"/>
      <c r="H7" s="14" t="inlineStr">
        <is>
          <t>Not started</t>
        </is>
      </c>
      <c r="I7" s="15" t="n"/>
    </row>
    <row r="8" ht="36" customHeight="1">
      <c r="A8" s="14" t="inlineStr">
        <is>
          <t>6</t>
        </is>
      </c>
      <c r="B8" s="16" t="inlineStr">
        <is>
          <t>Earn independent coverage that confirms your key facts</t>
        </is>
      </c>
      <c r="C8" s="15" t="inlineStr">
        <is>
          <t>K26 to K28</t>
        </is>
      </c>
      <c r="D8" s="15" t="inlineStr">
        <is>
          <t>Panels and AI citations rely on agreement across independent sources.</t>
        </is>
      </c>
      <c r="E8" s="15" t="inlineStr">
        <is>
          <t>High (ongoing)</t>
        </is>
      </c>
      <c r="F8" s="15" t="n"/>
      <c r="G8" s="15" t="n"/>
      <c r="H8" s="14" t="inlineStr">
        <is>
          <t>Not started</t>
        </is>
      </c>
      <c r="I8" s="15" t="n"/>
    </row>
    <row r="9" ht="36" customHeight="1">
      <c r="A9" s="14" t="inlineStr">
        <is>
          <t>7</t>
        </is>
      </c>
      <c r="B9" s="16" t="inlineStr">
        <is>
          <t>Fill the gaps on page one for brand and brand + modifier searches</t>
        </is>
      </c>
      <c r="C9" s="15" t="inlineStr">
        <is>
          <t>K33</t>
        </is>
      </c>
      <c r="D9" s="15" t="inlineStr">
        <is>
          <t>Keeps accurate, owned information in front of people.</t>
        </is>
      </c>
      <c r="E9" s="15" t="inlineStr">
        <is>
          <t>Medium</t>
        </is>
      </c>
      <c r="F9" s="15" t="n"/>
      <c r="G9" s="15" t="n"/>
      <c r="H9" s="14" t="inlineStr">
        <is>
          <t>Not started</t>
        </is>
      </c>
      <c r="I9" s="15" t="n"/>
    </row>
    <row r="10" ht="36" customHeight="1">
      <c r="A10" s="14" t="inlineStr">
        <is>
          <t>8</t>
        </is>
      </c>
      <c r="B10" s="16" t="inlineStr">
        <is>
          <t>Set the monthly and quarterly checks in your calendar</t>
        </is>
      </c>
      <c r="C10" s="15" t="inlineStr">
        <is>
          <t>K34 to K36</t>
        </is>
      </c>
      <c r="D10" s="15" t="inlineStr">
        <is>
          <t>Stops drift and shows whether the work is moving the entity.</t>
        </is>
      </c>
      <c r="E10" s="15" t="inlineStr">
        <is>
          <t>Low</t>
        </is>
      </c>
      <c r="F10" s="15" t="n"/>
      <c r="G10" s="15" t="n"/>
      <c r="H10" s="14" t="inlineStr">
        <is>
          <t>Not started</t>
        </is>
      </c>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sheetData>
  <autoFilter ref="A2:I22"/>
  <mergeCells count="1">
    <mergeCell ref="A1:I1"/>
  </mergeCells>
  <conditionalFormatting sqref="H3:H22">
    <cfRule type="cellIs" priority="1" operator="equal" dxfId="0" stopIfTrue="1">
      <formula>"Done"</formula>
    </cfRule>
    <cfRule type="cellIs" priority="2" operator="equal" dxfId="1" stopIfTrue="1">
      <formula>"In progress"</formula>
    </cfRule>
    <cfRule type="cellIs" priority="3" operator="equal" dxfId="2" stopIfTrue="1">
      <formula>"N/A"</formula>
    </cfRule>
    <cfRule type="cellIs" priority="4" operator="equal" dxfId="3" stopIfTrue="1">
      <formula>"Not started"</formula>
    </cfRule>
  </conditionalFormatting>
  <conditionalFormatting sqref="A3:I22">
    <cfRule type="expression" priority="5" dxfId="5">
      <formula>MOD(ROW(),2)=0</formula>
    </cfRule>
  </conditionalFormatting>
  <dataValidations count="1">
    <dataValidation sqref="H3:H22" showDropDown="0" showInputMessage="0" showErrorMessage="0" allowBlank="1" errorTitle="Not in list" error="Pick a value from the list." type="list">
      <formula1>"Not started,In progress,Done,N/A"</formula1>
    </dataValidation>
  </dataValidations>
  <printOptions gridLines="0"/>
  <pageMargins left="0.75" right="0.75" top="1" bottom="1" header="0.5" footer="0.5"/>
  <pageSetup orientation="landscape" fitToHeight="0" fitToWidth="1"/>
</worksheet>
</file>

<file path=xl/worksheets/sheet7.xml><?xml version="1.0" encoding="utf-8"?>
<worksheet xmlns="http://schemas.openxmlformats.org/spreadsheetml/2006/main">
  <sheetPr>
    <tabColor rgb="00FFDE59"/>
    <outlinePr summaryBelow="1" summaryRight="1"/>
    <pageSetUpPr fitToPage="1"/>
  </sheetPr>
  <dimension ref="B2:J36"/>
  <sheetViews>
    <sheetView showGridLines="0" workbookViewId="0">
      <selection activeCell="A1" sqref="A1"/>
    </sheetView>
  </sheetViews>
  <sheetFormatPr baseColWidth="8" defaultRowHeight="15"/>
  <cols>
    <col width="3" customWidth="1" min="1" max="1"/>
    <col width="30" customWidth="1" min="2" max="2"/>
    <col width="10" customWidth="1" min="3" max="3"/>
    <col width="10" customWidth="1" min="4" max="4"/>
    <col width="13" customWidth="1" min="5" max="5"/>
    <col width="13" customWidth="1" min="6" max="6"/>
    <col width="10" customWidth="1" min="7" max="7"/>
    <col width="12" customWidth="1" min="8" max="8"/>
    <col width="28" customWidth="1" min="9" max="9"/>
    <col width="16" customWidth="1" min="10" max="10"/>
  </cols>
  <sheetData>
    <row r="2">
      <c r="B2" s="19" t="inlineStr">
        <is>
          <t>Progress</t>
        </is>
      </c>
    </row>
    <row r="3">
      <c r="B3" s="20" t="inlineStr">
        <is>
          <t>Updates automatically as you change the Status column. Formulas use COUNTIF / COUNTIFS, so they work in Google Sheets and Excel.</t>
        </is>
      </c>
    </row>
    <row r="5">
      <c r="B5" s="21" t="inlineStr">
        <is>
          <t>Checks</t>
        </is>
      </c>
      <c r="C5" s="22">
        <f>COUNTA('Checklist'!$C$2:$C$52)</f>
        <v/>
      </c>
    </row>
    <row r="6">
      <c r="B6" s="21" t="inlineStr">
        <is>
          <t>Done</t>
        </is>
      </c>
      <c r="C6" s="22">
        <f>COUNTIF('Checklist'!$H$2:$H$52,"Done")</f>
        <v/>
      </c>
    </row>
    <row r="7">
      <c r="B7" s="21" t="inlineStr">
        <is>
          <t>In progress</t>
        </is>
      </c>
      <c r="C7" s="22">
        <f>COUNTIF('Checklist'!$H$2:$H$52,"In progress")</f>
        <v/>
      </c>
    </row>
    <row r="8">
      <c r="B8" s="21" t="inlineStr">
        <is>
          <t>Not started</t>
        </is>
      </c>
      <c r="C8" s="22">
        <f>COUNTIF('Checklist'!$H$2:$H$52,"Not started")</f>
        <v/>
      </c>
    </row>
    <row r="9">
      <c r="B9" s="21" t="inlineStr">
        <is>
          <t>N/A</t>
        </is>
      </c>
      <c r="C9" s="22">
        <f>COUNTIF('Checklist'!$H$2:$H$52,"N/A")</f>
        <v/>
      </c>
    </row>
    <row r="10">
      <c r="B10" s="21" t="inlineStr">
        <is>
          <t>% complete (Done / applicable)</t>
        </is>
      </c>
      <c r="C10" s="23">
        <f>IFERROR(C6/(C5-C9),0)</f>
        <v/>
      </c>
      <c r="D10" s="24">
        <f>REPT("█",ROUND(C10*20,0))&amp;REPT("░",20-ROUND(C10*20,0))</f>
        <v/>
      </c>
    </row>
    <row r="11">
      <c r="B11" s="21" t="inlineStr">
        <is>
          <t>Open High-priority checks</t>
        </is>
      </c>
      <c r="C11" s="25">
        <f>COUNTIFS('Checklist'!$F$2:$F$52,"High",'Checklist'!$H$2:$H$52,"&lt;&gt;Done",'Checklist'!$H$2:$H$52,"&lt;&gt;N/A")</f>
        <v/>
      </c>
    </row>
    <row r="13" ht="28" customHeight="1">
      <c r="B13" s="13" t="inlineStr">
        <is>
          <t>Area</t>
        </is>
      </c>
      <c r="C13" s="13" t="inlineStr">
        <is>
          <t>Checks</t>
        </is>
      </c>
      <c r="D13" s="13" t="inlineStr">
        <is>
          <t>Done</t>
        </is>
      </c>
      <c r="E13" s="13" t="inlineStr">
        <is>
          <t>In progress</t>
        </is>
      </c>
      <c r="F13" s="13" t="inlineStr">
        <is>
          <t>Not started</t>
        </is>
      </c>
      <c r="G13" s="13" t="inlineStr">
        <is>
          <t>N/A</t>
        </is>
      </c>
      <c r="H13" s="13" t="inlineStr">
        <is>
          <t>% done</t>
        </is>
      </c>
      <c r="I13" s="13" t="inlineStr">
        <is>
          <t>Open High</t>
        </is>
      </c>
    </row>
    <row r="14">
      <c r="B14" s="21" t="inlineStr">
        <is>
          <t>1. Brand SERP baseline</t>
        </is>
      </c>
      <c r="C14" s="22">
        <f>COUNTIF('Checklist'!$B$2:$B$52,$B14)</f>
        <v/>
      </c>
      <c r="D14" s="22">
        <f>COUNTIFS('Checklist'!$B$2:$B$52,$B14,'Checklist'!$H$2:$H$52,"Done")</f>
        <v/>
      </c>
      <c r="E14" s="22">
        <f>COUNTIFS('Checklist'!$B$2:$B$52,$B14,'Checklist'!$H$2:$H$52,"In progress")</f>
        <v/>
      </c>
      <c r="F14" s="22">
        <f>COUNTIFS('Checklist'!$B$2:$B$52,$B14,'Checklist'!$H$2:$H$52,"Not started")</f>
        <v/>
      </c>
      <c r="G14" s="22">
        <f>COUNTIFS('Checklist'!$B$2:$B$52,$B14,'Checklist'!$H$2:$H$52,"N/A")</f>
        <v/>
      </c>
      <c r="H14" s="26">
        <f>IFERROR(D14/(C14-G14),0)</f>
        <v/>
      </c>
      <c r="I14" s="22">
        <f>COUNTIFS('Checklist'!$B$2:$B$52,$B14,'Checklist'!$F$2:$F$52,"High",'Checklist'!$H$2:$H$52,"&lt;&gt;Done",'Checklist'!$H$2:$H$52,"&lt;&gt;N/A")</f>
        <v/>
      </c>
      <c r="J14" s="27">
        <f>REPT("█",ROUND(H14*10,0))&amp;REPT("░",10-ROUND(H14*10,0))</f>
        <v/>
      </c>
    </row>
    <row r="15">
      <c r="B15" s="21" t="inlineStr">
        <is>
          <t>2. Knowledge Graph status</t>
        </is>
      </c>
      <c r="C15" s="22">
        <f>COUNTIF('Checklist'!$B$2:$B$52,$B15)</f>
        <v/>
      </c>
      <c r="D15" s="22">
        <f>COUNTIFS('Checklist'!$B$2:$B$52,$B15,'Checklist'!$H$2:$H$52,"Done")</f>
        <v/>
      </c>
      <c r="E15" s="22">
        <f>COUNTIFS('Checklist'!$B$2:$B$52,$B15,'Checklist'!$H$2:$H$52,"In progress")</f>
        <v/>
      </c>
      <c r="F15" s="22">
        <f>COUNTIFS('Checklist'!$B$2:$B$52,$B15,'Checklist'!$H$2:$H$52,"Not started")</f>
        <v/>
      </c>
      <c r="G15" s="22">
        <f>COUNTIFS('Checklist'!$B$2:$B$52,$B15,'Checklist'!$H$2:$H$52,"N/A")</f>
        <v/>
      </c>
      <c r="H15" s="26">
        <f>IFERROR(D15/(C15-G15),0)</f>
        <v/>
      </c>
      <c r="I15" s="22">
        <f>COUNTIFS('Checklist'!$B$2:$B$52,$B15,'Checklist'!$F$2:$F$52,"High",'Checklist'!$H$2:$H$52,"&lt;&gt;Done",'Checklist'!$H$2:$H$52,"&lt;&gt;N/A")</f>
        <v/>
      </c>
      <c r="J15" s="27">
        <f>REPT("█",ROUND(H15*10,0))&amp;REPT("░",10-ROUND(H15*10,0))</f>
        <v/>
      </c>
    </row>
    <row r="16">
      <c r="B16" s="21" t="inlineStr">
        <is>
          <t>3. Wikidata &amp; Wikipedia</t>
        </is>
      </c>
      <c r="C16" s="22">
        <f>COUNTIF('Checklist'!$B$2:$B$52,$B16)</f>
        <v/>
      </c>
      <c r="D16" s="22">
        <f>COUNTIFS('Checklist'!$B$2:$B$52,$B16,'Checklist'!$H$2:$H$52,"Done")</f>
        <v/>
      </c>
      <c r="E16" s="22">
        <f>COUNTIFS('Checklist'!$B$2:$B$52,$B16,'Checklist'!$H$2:$H$52,"In progress")</f>
        <v/>
      </c>
      <c r="F16" s="22">
        <f>COUNTIFS('Checklist'!$B$2:$B$52,$B16,'Checklist'!$H$2:$H$52,"Not started")</f>
        <v/>
      </c>
      <c r="G16" s="22">
        <f>COUNTIFS('Checklist'!$B$2:$B$52,$B16,'Checklist'!$H$2:$H$52,"N/A")</f>
        <v/>
      </c>
      <c r="H16" s="26">
        <f>IFERROR(D16/(C16-G16),0)</f>
        <v/>
      </c>
      <c r="I16" s="22">
        <f>COUNTIFS('Checklist'!$B$2:$B$52,$B16,'Checklist'!$F$2:$F$52,"High",'Checklist'!$H$2:$H$52,"&lt;&gt;Done",'Checklist'!$H$2:$H$52,"&lt;&gt;N/A")</f>
        <v/>
      </c>
      <c r="J16" s="27">
        <f>REPT("█",ROUND(H16*10,0))&amp;REPT("░",10-ROUND(H16*10,0))</f>
        <v/>
      </c>
    </row>
    <row r="17">
      <c r="B17" s="21" t="inlineStr">
        <is>
          <t>4. On-site entity markup</t>
        </is>
      </c>
      <c r="C17" s="22">
        <f>COUNTIF('Checklist'!$B$2:$B$52,$B17)</f>
        <v/>
      </c>
      <c r="D17" s="22">
        <f>COUNTIFS('Checklist'!$B$2:$B$52,$B17,'Checklist'!$H$2:$H$52,"Done")</f>
        <v/>
      </c>
      <c r="E17" s="22">
        <f>COUNTIFS('Checklist'!$B$2:$B$52,$B17,'Checklist'!$H$2:$H$52,"In progress")</f>
        <v/>
      </c>
      <c r="F17" s="22">
        <f>COUNTIFS('Checklist'!$B$2:$B$52,$B17,'Checklist'!$H$2:$H$52,"Not started")</f>
        <v/>
      </c>
      <c r="G17" s="22">
        <f>COUNTIFS('Checklist'!$B$2:$B$52,$B17,'Checklist'!$H$2:$H$52,"N/A")</f>
        <v/>
      </c>
      <c r="H17" s="26">
        <f>IFERROR(D17/(C17-G17),0)</f>
        <v/>
      </c>
      <c r="I17" s="22">
        <f>COUNTIFS('Checklist'!$B$2:$B$52,$B17,'Checklist'!$F$2:$F$52,"High",'Checklist'!$H$2:$H$52,"&lt;&gt;Done",'Checklist'!$H$2:$H$52,"&lt;&gt;N/A")</f>
        <v/>
      </c>
      <c r="J17" s="27">
        <f>REPT("█",ROUND(H17*10,0))&amp;REPT("░",10-ROUND(H17*10,0))</f>
        <v/>
      </c>
    </row>
    <row r="18">
      <c r="B18" s="21" t="inlineStr">
        <is>
          <t>5. Cross-platform consistency</t>
        </is>
      </c>
      <c r="C18" s="22">
        <f>COUNTIF('Checklist'!$B$2:$B$52,$B18)</f>
        <v/>
      </c>
      <c r="D18" s="22">
        <f>COUNTIFS('Checklist'!$B$2:$B$52,$B18,'Checklist'!$H$2:$H$52,"Done")</f>
        <v/>
      </c>
      <c r="E18" s="22">
        <f>COUNTIFS('Checklist'!$B$2:$B$52,$B18,'Checklist'!$H$2:$H$52,"In progress")</f>
        <v/>
      </c>
      <c r="F18" s="22">
        <f>COUNTIFS('Checklist'!$B$2:$B$52,$B18,'Checklist'!$H$2:$H$52,"Not started")</f>
        <v/>
      </c>
      <c r="G18" s="22">
        <f>COUNTIFS('Checklist'!$B$2:$B$52,$B18,'Checklist'!$H$2:$H$52,"N/A")</f>
        <v/>
      </c>
      <c r="H18" s="26">
        <f>IFERROR(D18/(C18-G18),0)</f>
        <v/>
      </c>
      <c r="I18" s="22">
        <f>COUNTIFS('Checklist'!$B$2:$B$52,$B18,'Checklist'!$F$2:$F$52,"High",'Checklist'!$H$2:$H$52,"&lt;&gt;Done",'Checklist'!$H$2:$H$52,"&lt;&gt;N/A")</f>
        <v/>
      </c>
      <c r="J18" s="27">
        <f>REPT("█",ROUND(H18*10,0))&amp;REPT("░",10-ROUND(H18*10,0))</f>
        <v/>
      </c>
    </row>
    <row r="19">
      <c r="B19" s="21" t="inlineStr">
        <is>
          <t>6. Corroboration</t>
        </is>
      </c>
      <c r="C19" s="22">
        <f>COUNTIF('Checklist'!$B$2:$B$52,$B19)</f>
        <v/>
      </c>
      <c r="D19" s="22">
        <f>COUNTIFS('Checklist'!$B$2:$B$52,$B19,'Checklist'!$H$2:$H$52,"Done")</f>
        <v/>
      </c>
      <c r="E19" s="22">
        <f>COUNTIFS('Checklist'!$B$2:$B$52,$B19,'Checklist'!$H$2:$H$52,"In progress")</f>
        <v/>
      </c>
      <c r="F19" s="22">
        <f>COUNTIFS('Checklist'!$B$2:$B$52,$B19,'Checklist'!$H$2:$H$52,"Not started")</f>
        <v/>
      </c>
      <c r="G19" s="22">
        <f>COUNTIFS('Checklist'!$B$2:$B$52,$B19,'Checklist'!$H$2:$H$52,"N/A")</f>
        <v/>
      </c>
      <c r="H19" s="26">
        <f>IFERROR(D19/(C19-G19),0)</f>
        <v/>
      </c>
      <c r="I19" s="22">
        <f>COUNTIFS('Checklist'!$B$2:$B$52,$B19,'Checklist'!$F$2:$F$52,"High",'Checklist'!$H$2:$H$52,"&lt;&gt;Done",'Checklist'!$H$2:$H$52,"&lt;&gt;N/A")</f>
        <v/>
      </c>
      <c r="J19" s="27">
        <f>REPT("█",ROUND(H19*10,0))&amp;REPT("░",10-ROUND(H19*10,0))</f>
        <v/>
      </c>
    </row>
    <row r="20">
      <c r="B20" s="21" t="inlineStr">
        <is>
          <t>7. Claim &amp; manage</t>
        </is>
      </c>
      <c r="C20" s="22">
        <f>COUNTIF('Checklist'!$B$2:$B$52,$B20)</f>
        <v/>
      </c>
      <c r="D20" s="22">
        <f>COUNTIFS('Checklist'!$B$2:$B$52,$B20,'Checklist'!$H$2:$H$52,"Done")</f>
        <v/>
      </c>
      <c r="E20" s="22">
        <f>COUNTIFS('Checklist'!$B$2:$B$52,$B20,'Checklist'!$H$2:$H$52,"In progress")</f>
        <v/>
      </c>
      <c r="F20" s="22">
        <f>COUNTIFS('Checklist'!$B$2:$B$52,$B20,'Checklist'!$H$2:$H$52,"Not started")</f>
        <v/>
      </c>
      <c r="G20" s="22">
        <f>COUNTIFS('Checklist'!$B$2:$B$52,$B20,'Checklist'!$H$2:$H$52,"N/A")</f>
        <v/>
      </c>
      <c r="H20" s="26">
        <f>IFERROR(D20/(C20-G20),0)</f>
        <v/>
      </c>
      <c r="I20" s="22">
        <f>COUNTIFS('Checklist'!$B$2:$B$52,$B20,'Checklist'!$F$2:$F$52,"High",'Checklist'!$H$2:$H$52,"&lt;&gt;Done",'Checklist'!$H$2:$H$52,"&lt;&gt;N/A")</f>
        <v/>
      </c>
      <c r="J20" s="27">
        <f>REPT("█",ROUND(H20*10,0))&amp;REPT("░",10-ROUND(H20*10,0))</f>
        <v/>
      </c>
    </row>
    <row r="21">
      <c r="B21" s="21" t="inlineStr">
        <is>
          <t>8. Monitor</t>
        </is>
      </c>
      <c r="C21" s="22">
        <f>COUNTIF('Checklist'!$B$2:$B$52,$B21)</f>
        <v/>
      </c>
      <c r="D21" s="22">
        <f>COUNTIFS('Checklist'!$B$2:$B$52,$B21,'Checklist'!$H$2:$H$52,"Done")</f>
        <v/>
      </c>
      <c r="E21" s="22">
        <f>COUNTIFS('Checklist'!$B$2:$B$52,$B21,'Checklist'!$H$2:$H$52,"In progress")</f>
        <v/>
      </c>
      <c r="F21" s="22">
        <f>COUNTIFS('Checklist'!$B$2:$B$52,$B21,'Checklist'!$H$2:$H$52,"Not started")</f>
        <v/>
      </c>
      <c r="G21" s="22">
        <f>COUNTIFS('Checklist'!$B$2:$B$52,$B21,'Checklist'!$H$2:$H$52,"N/A")</f>
        <v/>
      </c>
      <c r="H21" s="26">
        <f>IFERROR(D21/(C21-G21),0)</f>
        <v/>
      </c>
      <c r="I21" s="22">
        <f>COUNTIFS('Checklist'!$B$2:$B$52,$B21,'Checklist'!$F$2:$F$52,"High",'Checklist'!$H$2:$H$52,"&lt;&gt;Done",'Checklist'!$H$2:$H$52,"&lt;&gt;N/A")</f>
        <v/>
      </c>
      <c r="J21" s="27">
        <f>REPT("█",ROUND(H21*10,0))&amp;REPT("░",10-ROUND(H21*10,0))</f>
        <v/>
      </c>
    </row>
    <row r="23">
      <c r="B23" s="28" t="inlineStr">
        <is>
          <t>Priority</t>
        </is>
      </c>
      <c r="C23" s="28" t="inlineStr">
        <is>
          <t>Checks</t>
        </is>
      </c>
      <c r="D23" s="28" t="inlineStr">
        <is>
          <t>Done</t>
        </is>
      </c>
      <c r="E23" s="28" t="inlineStr">
        <is>
          <t>Open</t>
        </is>
      </c>
      <c r="F23" s="28" t="inlineStr">
        <is>
          <t>% done</t>
        </is>
      </c>
    </row>
    <row r="24">
      <c r="B24" s="21" t="inlineStr">
        <is>
          <t>High</t>
        </is>
      </c>
      <c r="C24" s="22">
        <f>COUNTIF('Checklist'!$F$2:$F$52,$B24)</f>
        <v/>
      </c>
      <c r="D24" s="22">
        <f>COUNTIFS('Checklist'!$F$2:$F$52,$B24,'Checklist'!$H$2:$H$52,"Done")</f>
        <v/>
      </c>
      <c r="E24" s="22">
        <f>COUNTIFS('Checklist'!$F$2:$F$52,$B24,'Checklist'!$H$2:$H$52,"&lt;&gt;Done",'Checklist'!$H$2:$H$52,"&lt;&gt;N/A")</f>
        <v/>
      </c>
      <c r="F24" s="26">
        <f>IFERROR(D24/(C24-COUNTIFS('Checklist'!$F$2:$F$52,$B24,'Checklist'!$H$2:$H$52,"N/A")),0)</f>
        <v/>
      </c>
    </row>
    <row r="25">
      <c r="B25" s="21" t="inlineStr">
        <is>
          <t>Medium</t>
        </is>
      </c>
      <c r="C25" s="22">
        <f>COUNTIF('Checklist'!$F$2:$F$52,$B25)</f>
        <v/>
      </c>
      <c r="D25" s="22">
        <f>COUNTIFS('Checklist'!$F$2:$F$52,$B25,'Checklist'!$H$2:$H$52,"Done")</f>
        <v/>
      </c>
      <c r="E25" s="22">
        <f>COUNTIFS('Checklist'!$F$2:$F$52,$B25,'Checklist'!$H$2:$H$52,"&lt;&gt;Done",'Checklist'!$H$2:$H$52,"&lt;&gt;N/A")</f>
        <v/>
      </c>
      <c r="F25" s="26">
        <f>IFERROR(D25/(C25-COUNTIFS('Checklist'!$F$2:$F$52,$B25,'Checklist'!$H$2:$H$52,"N/A")),0)</f>
        <v/>
      </c>
    </row>
    <row r="26">
      <c r="B26" s="21" t="inlineStr">
        <is>
          <t>Low</t>
        </is>
      </c>
      <c r="C26" s="22">
        <f>COUNTIF('Checklist'!$F$2:$F$52,$B26)</f>
        <v/>
      </c>
      <c r="D26" s="22">
        <f>COUNTIFS('Checklist'!$F$2:$F$52,$B26,'Checklist'!$H$2:$H$52,"Done")</f>
        <v/>
      </c>
      <c r="E26" s="22">
        <f>COUNTIFS('Checklist'!$F$2:$F$52,$B26,'Checklist'!$H$2:$H$52,"&lt;&gt;Done",'Checklist'!$H$2:$H$52,"&lt;&gt;N/A")</f>
        <v/>
      </c>
      <c r="F26" s="26">
        <f>IFERROR(D26/(C26-COUNTIFS('Checklist'!$F$2:$F$52,$B26,'Checklist'!$H$2:$H$52,"N/A")),0)</f>
        <v/>
      </c>
    </row>
    <row r="28">
      <c r="B28" s="29" t="inlineStr">
        <is>
          <t>Brand SERP, facts and actions</t>
        </is>
      </c>
    </row>
    <row r="29">
      <c r="B29" s="21" t="inlineStr">
        <is>
          <t>Results logged</t>
        </is>
      </c>
      <c r="C29" s="22">
        <f>COUNTA('Brand SERP log'!$G$3:$G$302)</f>
        <v/>
      </c>
    </row>
    <row r="30">
      <c r="B30" s="21" t="inlineStr">
        <is>
          <t>Owned site or official profile</t>
        </is>
      </c>
      <c r="C30" s="22">
        <f>COUNTIF('Brand SERP log'!$G$3:$G$302,"Owned site")+COUNTIF('Brand SERP log'!$G$3:$G$302,"Official profile")</f>
        <v/>
      </c>
    </row>
    <row r="31">
      <c r="B31" s="21" t="inlineStr">
        <is>
          <t>Owned share of logged results</t>
        </is>
      </c>
      <c r="C31" s="26">
        <f>IFERROR(C30/C29,0)</f>
        <v/>
      </c>
    </row>
    <row r="32">
      <c r="B32" s="21" t="inlineStr">
        <is>
          <t>Negative third-party results</t>
        </is>
      </c>
      <c r="C32" s="22">
        <f>COUNTIF('Brand SERP log'!$G$3:$G$302,"Third party: negative")</f>
        <v/>
      </c>
    </row>
    <row r="33">
      <c r="B33" s="21" t="inlineStr">
        <is>
          <t>Results with inaccurate information</t>
        </is>
      </c>
      <c r="C33" s="22">
        <f>COUNTIF('Brand SERP log'!$I$3:$I$302,"No")+COUNTIF('Brand SERP log'!$I$3:$I$302,"Partly")</f>
        <v/>
      </c>
    </row>
    <row r="34">
      <c r="B34" s="21" t="inlineStr">
        <is>
          <t>Fact-sheet mismatches (all platforms)</t>
        </is>
      </c>
      <c r="C34" s="22">
        <f>SUM('Fact sheet'!L3:L22)</f>
        <v/>
      </c>
    </row>
    <row r="35">
      <c r="B35" s="21" t="inlineStr">
        <is>
          <t>Facts with at least one mismatch</t>
        </is>
      </c>
      <c r="C35" s="22">
        <f>COUNTIF('Fact sheet'!L3:L22,"&gt;0")</f>
        <v/>
      </c>
    </row>
    <row r="36">
      <c r="B36" s="21" t="inlineStr">
        <is>
          <t>Action plan items done</t>
        </is>
      </c>
      <c r="C36" s="22">
        <f>COUNTIF('Action plan'!$H$3:$H$22,"Done")&amp;" of "&amp;COUNTA('Action plan'!$B$3:$B$22)</f>
        <v/>
      </c>
    </row>
  </sheetData>
  <mergeCells count="1">
    <mergeCell ref="D10:H10"/>
  </mergeCells>
  <conditionalFormatting sqref="B14:J21">
    <cfRule type="expression" priority="1" dxfId="5">
      <formula>MOD(ROW(),2)=0</formula>
    </cfRule>
  </conditionalFormatting>
  <conditionalFormatting sqref="I14:I21">
    <cfRule type="cellIs" priority="2" operator="greaterThan" dxfId="4">
      <formula>0</formula>
    </cfRule>
  </conditionalFormatting>
  <conditionalFormatting sqref="B24:B26">
    <cfRule type="cellIs" priority="3" operator="equal" dxfId="4" stopIfTrue="1">
      <formula>"High"</formula>
    </cfRule>
    <cfRule type="cellIs" priority="4" operator="equal" dxfId="3" stopIfTrue="1">
      <formula>"Low"</formula>
    </cfRule>
  </conditionalFormatting>
  <conditionalFormatting sqref="C32:C35">
    <cfRule type="cellIs" priority="5" operator="greaterThan" dxfId="6">
      <formula>0</formula>
    </cfRule>
  </conditionalFormatting>
  <printOptions gridLines="0"/>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2026-10-24T10:46:31Z</dcterms:created>
  <dcterms:modified xmlns:dcterms="http://purl.org/dc/terms/" xmlns:xsi="http://www.w3.org/2001/XMLSchema-instance" xsi:type="dcterms:W3CDTF">2026-10-24T10:46:32Z</dcterms:modified>
</cp:coreProperties>
</file>